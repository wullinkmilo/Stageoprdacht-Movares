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77F3F4C7-02F5-4871-9394-6D93D2E6CFA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149" i="1"/>
  <c r="Q146" i="1"/>
  <c r="Q136" i="1"/>
  <c r="Q113" i="1"/>
  <c r="Q46" i="1"/>
  <c r="Q137" i="1" l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FP232" i="1"/>
  <c r="BO232" i="1" s="1"/>
  <c r="FP233" i="1"/>
  <c r="BO233" i="1" s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29" i="1"/>
  <c r="BO235" i="1"/>
  <c r="FP229" i="1"/>
  <c r="FP111" i="1"/>
  <c r="BO111" i="1" s="1"/>
  <c r="FP110" i="1"/>
  <c r="BO110" i="1" s="1"/>
  <c r="FP236" i="1"/>
  <c r="BO236" i="1" s="1"/>
  <c r="BO231" i="1"/>
  <c r="FP218" i="1"/>
  <c r="BO218" i="1" s="1"/>
  <c r="FP234" i="1"/>
  <c r="BO234" i="1" s="1"/>
  <c r="FP231" i="1"/>
  <c r="FP230" i="1"/>
  <c r="BO230" i="1" s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<sst xmlns="http://schemas.openxmlformats.org/spreadsheetml/2006/main" count="1015" uniqueCount="311">
  <si>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</si>
  <si>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</si>
  <si>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</si>
  <si>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</si>
  <si>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</si>
  <si>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</si>
  <si>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</si>
  <si>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</si>
  <si>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</si>
  <si>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</si>
  <si>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</si>
  <si>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</si>
  <si>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</si>
  <si>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</si>
  <si>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</si>
  <si>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</si>
  <si>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</si>
  <si>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</si>
  <si>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</si>
  <si>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</si>
  <si>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</si>
  <si>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</si>
  <si>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</si>
  <si>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</si>
  <si>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</si>
  <si>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</si>
  <si>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</si>
  <si>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</si>
  <si>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</si>
  <si>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</si>
  <si>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</si>
  <si>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</si>
  <si>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</si>
  <si>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</si>
  <si>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</si>
  <si>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</si>
  <si>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</si>
  <si>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</si>
  <si>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</si>
  <si>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</si>
  <si>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</si>
  <si>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</si>
  <si>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</si>
  <si>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</si>
  <si>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</si>
  <si>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</si>
  <si>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</si>
  <si>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</si>
  <si>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</si>
  <si>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</si>
  <si>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</si>
  <si>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</si>
  <si>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</si>
  <si>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</si>
  <si>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</si>
  <si>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</si>
  <si>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</si>
  <si>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</si>
  <si>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</si>
  <si>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</si>
  <si>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</si>
  <si>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</si>
  <si>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</si>
  <si>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</si>
  <si>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</si>
  <si>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</si>
  <si>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</si>
  <si>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</si>
  <si>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</si>
  <si>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</si>
  <si>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</si>
  <si>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</si>
  <si>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</si>
  <si>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</si>
  <si>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</si>
  <si>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</si>
  <si>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</si>
  <si>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</si>
  <si>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</si>
  <si>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</si>
  <si>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</si>
  <si>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</si>
  <si>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</si>
  <si>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</si>
  <si>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</si>
  <si>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</si>
  <si>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</si>
  <si>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</si>
  <si>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</si>
  <si>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</si>
  <si>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</si>
  <si>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</si>
  <si>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</si>
  <si>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</si>
  <si>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</si>
  <si>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</si>
  <si>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</si>
  <si>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</si>
  <si>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</si>
  <si>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</si>
  <si>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</si>
  <si>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</si>
  <si>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</si>
  <si>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</si>
  <si>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</si>
  <si>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</si>
  <si>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</si>
  <si>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</si>
  <si>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</si>
  <si>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</si>
  <si>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</si>
  <si>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</si>
  <si>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</si>
  <si>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</si>
  <si>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</si>
  <si>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</si>
  <si>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</si>
  <si>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</si>
  <si>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</si>
  <si>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</si>
  <si>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</si>
  <si>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</si>
  <si>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</si>
  <si>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</si>
  <si>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</si>
  <si>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</si>
  <si>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</si>
  <si>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</si>
  <si>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</si>
  <si>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</si>
  <si>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</si>
  <si>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</si>
  <si>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</si>
  <si>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</si>
  <si>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</si>
  <si>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</si>
  <si>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</si>
  <si>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</si>
  <si>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</si>
  <si>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</si>
  <si>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</si>
  <si>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</si>
  <si>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</si>
  <si>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</si>
  <si>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</si>
  <si>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</si>
  <si>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</si>
  <si>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</si>
  <si>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</si>
  <si>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</si>
  <si>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</si>
  <si>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</si>
  <si>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</si>
  <si>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</si>
  <si>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</si>
  <si>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</si>
  <si>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</si>
  <si>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</si>
  <si>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</si>
  <si>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</si>
  <si>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</si>
  <si>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</si>
  <si>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</si>
  <si>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</si>
  <si>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</si>
  <si>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</si>
  <si>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</si>
  <si>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</si>
  <si>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</si>
  <si>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</si>
  <si>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</si>
  <si>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</si>
  <si>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</si>
  <si>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</si>
  <si>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</si>
  <si>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</si>
  <si>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</si>
  <si>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</si>
  <si>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</si>
  <si>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</si>
  <si>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</si>
  <si>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</si>
  <si>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</si>
  <si>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</si>
  <si>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</si>
  <si>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</si>
  <si>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</si>
  <si>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</si>
  <si>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</si>
  <si>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</si>
  <si>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</si>
  <si>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</si>
  <si>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</si>
  <si>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</si>
  <si>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</si>
  <si>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</si>
  <si>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</si>
  <si>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</si>
  <si>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</si>
  <si>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</si>
  <si>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</si>
  <si>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</si>
  <si>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</si>
  <si>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</si>
  <si>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</si>
  <si>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</si>
  <si>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</si>
  <si>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</si>
  <si>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</si>
  <si>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</si>
  <si>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</si>
  <si>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</si>
  <si>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</si>
  <si>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</si>
  <si>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</si>
  <si>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</si>
  <si>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</si>
  <si>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</si>
  <si>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</si>
  <si>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</si>
  <si>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</si>
  <si>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</si>
  <si>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</si>
  <si>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</si>
  <si>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</si>
  <si>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</si>
  <si>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</si>
  <si>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</si>
  <si>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</si>
  <si>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</si>
  <si>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</si>
  <si>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</si>
  <si>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</si>
  <si>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</si>
  <si>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</si>
  <si>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</si>
  <si>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</si>
  <si>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</si>
  <si>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</si>
  <si>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</si>
  <si>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</si>
  <si>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</si>
  <si>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</si>
  <si>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</si>
  <si>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</si>
  <si>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</si>
  <si>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</si>
  <si>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</si>
  <si>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</si>
  <si>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</si>
  <si>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</si>
  <si>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</si>
  <si>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</si>
  <si>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</si>
  <si>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</si>
  <si>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</si>
  <si>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</si>
  <si>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</si>
  <si>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</si>
  <si>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</si>
  <si>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</si>
  <si>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</si>
  <si>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</si>
  <si>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</si>
  <si>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</si>
  <si>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</si>
  <si>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</si>
  <si>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</si>
  <si>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</si>
  <si>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</si>
  <si>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</si>
  <si>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</si>
  <si>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</si>
  <si>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</si>
  <si>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</si>
  <si>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</si>
  <si>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</si>
  <si>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</si>
  <si>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</si>
  <si>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</si>
  <si>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</si>
  <si>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</si>
  <si>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</si>
  <si>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</si>
  <si>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</si>
  <si>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</si>
  <si>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</si>
  <si>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</si>
  <si>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</si>
  <si>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</si>
  <si>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</si>
  <si>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</si>
  <si>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</si>
  <si>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</si>
  <si>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</si>
  <si>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</si>
  <si>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</si>
  <si>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</si>
  <si>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</si>
  <si>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</si>
  <si>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</si>
  <si>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</si>
  <si>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</si>
  <si>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</si>
  <si>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</si>
  <si>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KW20-123-0033</t>
  </si>
  <si>
    <t>Faunapassage nabij Burg. Letschertweg</t>
  </si>
  <si>
    <t>Tilburg</t>
  </si>
  <si>
    <r>
      <t xml:space="preserve">vervanging gehele duiker BxL, </t>
    </r>
    <r>
      <rPr>
        <sz val="9"/>
        <color rgb="FFFF0000"/>
        <rFont val="Calibri"/>
        <family val="2"/>
      </rPr>
      <t>uitw BxH: 2,5x1,25m</t>
    </r>
  </si>
  <si>
    <t>duiker: 36,4 m3</t>
  </si>
  <si>
    <t>overgangsplaten 8 st: 11,52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</si>
</sst>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R107" sqref="R10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10731869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14.128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2005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42769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143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77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2105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2105</v>
      </c>
      <c r="K59" s="159">
        <v>2105</v>
      </c>
      <c r="L59" s="156">
        <f>'Berekening MJOP+LTP'!T46</f>
        <v>229600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2105</v>
      </c>
      <c r="L65" s="214">
        <f>L59</f>
        <v>229600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246100</v>
      </c>
      <c r="M66" s="218">
        <f>SUM(M49:M59)</f>
        <v>14952.56010585888</v>
      </c>
      <c r="N66" s="249">
        <f>SUM(N49:N59)</f>
        <v>52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2105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12282.617769080061</v>
      </c>
      <c r="N75" s="61">
        <f>'Berekening MJOP+LTP'!AA125</f>
        <v>0</v>
      </c>
      <c r="O75" s="261">
        <f>'Berekening MJOP+LTP'!AC125</f>
        <v>360.98576121717804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3711.4915588414374</v>
      </c>
      <c r="N76" s="61">
        <f>'Berekening MJOP+LTP'!AA147</f>
        <v>0</v>
      </c>
      <c r="O76" s="261">
        <f>'Berekening MJOP+LTP'!AC147</f>
        <v>109.08062359412284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2105</v>
      </c>
      <c r="K77" s="90">
        <v>2105</v>
      </c>
      <c r="L77" s="64">
        <f>'Berekening MJOP+LTP'!T154</f>
        <v>229600</v>
      </c>
      <c r="M77" s="64">
        <f>'Berekening MJOP+LTP'!Y154</f>
        <v>34295.27175587503</v>
      </c>
      <c r="N77" s="61">
        <f>'Berekening MJOP+LTP'!AA149</f>
        <v>52</v>
      </c>
      <c r="O77" s="261">
        <f>'Berekening MJOP+LTP'!AC154</f>
        <v>1007.9369897929972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2105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2105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2105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-13304.64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2105</v>
      </c>
      <c r="K92" s="219"/>
      <c r="L92" s="220"/>
      <c r="M92" s="220">
        <f t="shared" ref="M92:O94" si="1">M71+M75+M79+M83+M87</f>
        <v>12282.617769080061</v>
      </c>
      <c r="N92" s="267">
        <f t="shared" si="1"/>
        <v>0</v>
      </c>
      <c r="O92" s="263">
        <f t="shared" si="1"/>
        <v>360.98576121717804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2105</v>
      </c>
      <c r="K93" s="221"/>
      <c r="L93" s="222"/>
      <c r="M93" s="222">
        <f t="shared" si="1"/>
        <v>3711.4915588414374</v>
      </c>
      <c r="N93" s="252">
        <f t="shared" si="1"/>
        <v>0</v>
      </c>
      <c r="O93" s="264">
        <f t="shared" si="1"/>
        <v>109.08062359412284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2105</v>
      </c>
      <c r="L94" s="222">
        <f>L73+L77+L81+L85+L89</f>
        <v>229600</v>
      </c>
      <c r="M94" s="222">
        <f t="shared" si="1"/>
        <v>34295.27175587503</v>
      </c>
      <c r="N94" s="252">
        <f t="shared" si="1"/>
        <v>52</v>
      </c>
      <c r="O94" s="264">
        <f t="shared" si="1"/>
        <v>1007.9369897929972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2105</v>
      </c>
      <c r="L95" s="223">
        <f>L91</f>
        <v>-13304.64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61">
        <f>'Berekening MJOP+LTP'!Q229</f>
        <v>0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72.8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36.4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228">
        <f>'Berekening MJOP+LTP'!Q232</f>
        <v>26.495999999999999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228">
        <f>'Berekening MJOP+LTP'!Q233</f>
        <v>5.2991999999999999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139" activePane="bottomLeft" state="frozen"/>
      <selection pane="bottomLeft" activeCell="O244" sqref="O24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251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308</v>
      </c>
      <c r="Q46" s="83">
        <f>22.4*2.5</f>
        <v>56</v>
      </c>
      <c r="R46" s="81" t="s">
        <v>35</v>
      </c>
      <c r="S46" s="81">
        <v>4100</v>
      </c>
      <c r="T46" s="9">
        <f t="shared" si="4"/>
        <v>229600</v>
      </c>
      <c r="U46" s="11">
        <v>1</v>
      </c>
      <c r="V46" s="1">
        <f>Voorblad!F24+100</f>
        <v>2105</v>
      </c>
      <c r="W46" s="9">
        <f>Voorblad!K59</f>
        <v>2105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166.87172869052199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10</v>
      </c>
      <c r="R110" s="1" t="s">
        <v>35</v>
      </c>
      <c r="S110" s="21">
        <f>$H$20*15</f>
        <v>26.55</v>
      </c>
      <c r="T110" s="9">
        <f t="shared" si="20"/>
        <v>265.5</v>
      </c>
      <c r="U110" s="14">
        <v>10</v>
      </c>
      <c r="V110" s="14"/>
      <c r="Y110" s="9">
        <f t="shared" si="21"/>
        <v>779.62004761324749</v>
      </c>
      <c r="Z110" s="82"/>
      <c r="AA110" s="82"/>
      <c r="AC110" s="9">
        <f>$Y110*(Voorblad!$K$44*(1+Voorblad!$K$44)^Voorblad!$K$41)/((1+Voorblad!$K$44)^Voorblad!$K$41-1)</f>
        <v>22.91300939579099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207.40817565818054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162.02693532901947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126.57518291554776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98.880330591767446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77.245156220400233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60.343792580430765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47.140474317901301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2*2.5</f>
        <v>5</v>
      </c>
      <c r="R113" s="147" t="s">
        <v>195</v>
      </c>
      <c r="S113" s="21">
        <f>$H$20*350</f>
        <v>619.5</v>
      </c>
      <c r="T113" s="9">
        <f t="shared" si="20"/>
        <v>3097.5</v>
      </c>
      <c r="U113" s="14">
        <v>15</v>
      </c>
      <c r="V113" s="14"/>
      <c r="Y113" s="9">
        <f>SUM(AE113:EB113)</f>
        <v>5825.1514455905499</v>
      </c>
      <c r="Z113" s="82"/>
      <c r="AA113" s="82"/>
      <c r="AC113" s="9">
        <f>$Y113*(Voorblad!$K$44*(1+Voorblad!$K$44)^Voorblad!$K$41)/((1+Voorblad!$K$44)^Voorblad!$K$41-1)</f>
        <v>171.20102313086508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2138.7170623087586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1476.7104673480571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1019.6177151274351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704.0109134383589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486.09528736793953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3">
        <v>0</v>
      </c>
      <c r="R115" s="14" t="s">
        <v>34</v>
      </c>
      <c r="S115" s="21">
        <f>$H$20*1000</f>
        <v>1770</v>
      </c>
      <c r="T115" s="21">
        <f t="shared" si="20"/>
        <v>0</v>
      </c>
      <c r="U115" s="14">
        <v>15</v>
      </c>
      <c r="Y115" s="21">
        <f t="shared" si="22"/>
        <v>0</v>
      </c>
      <c r="Z115" s="149"/>
      <c r="AA115" s="149"/>
      <c r="AC115" s="9">
        <f>$Y115*(Voorblad!$K$44*(1+Voorblad!$K$44)^Voorblad!$K$41)/((1+Voorblad!$K$44)^Voorblad!$K$41-1)</f>
        <v>0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0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0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v>0</v>
      </c>
      <c r="R122" s="1" t="s">
        <v>34</v>
      </c>
      <c r="S122" s="14">
        <f>$H$20*100</f>
        <v>177</v>
      </c>
      <c r="T122" s="9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12282.617769080061</v>
      </c>
      <c r="Z125" s="24"/>
      <c r="AA125" s="23">
        <f>SUM(AA109:AA124)</f>
        <v>0</v>
      </c>
      <c r="AC125" s="9">
        <f>$Y125*(Voorblad!$K$44*(1+Voorblad!$K$44)^Voorblad!$K$41)/((1+Voorblad!$K$44)^Voorblad!$K$41-1)</f>
        <v>360.98576121717804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898.76876118544897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2749.779080111261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702.11671975908439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2025.2029266487641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428.48143256432564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1310.9370623067023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334.72901028840101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965.50068128689213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204.27538871090562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624.97965518735077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2*2.5</f>
        <v>5</v>
      </c>
      <c r="R136" s="147" t="s">
        <v>195</v>
      </c>
      <c r="S136" s="14">
        <f>$H$10*500</f>
        <v>1190</v>
      </c>
      <c r="T136" s="9">
        <f t="shared" si="104"/>
        <v>5950</v>
      </c>
      <c r="U136" s="14">
        <v>50</v>
      </c>
      <c r="V136" s="14"/>
      <c r="Y136" s="9">
        <f>SUM(AE136:EB136)</f>
        <v>1731.1061375193271</v>
      </c>
      <c r="Z136" s="82"/>
      <c r="AA136" s="82"/>
      <c r="AC136" s="9">
        <f>$Y136*(Voorblad!$K$44*(1+Voorblad!$K$44)^Voorblad!$K$41)/((1+Voorblad!$K$44)^Voorblad!$K$41-1)</f>
        <v>50.877156527109541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1731.1061375193271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249.27928380278311</v>
      </c>
      <c r="Z137" s="149"/>
      <c r="AA137" s="149"/>
      <c r="AC137" s="9">
        <f>$Y137*(Voorblad!$K$44*(1+Voorblad!$K$44)^Voorblad!$K$41)/((1+Voorblad!$K$44)^Voorblad!$K$41-1)</f>
        <v>7.3263105399037736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249.27928380278311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v>0</v>
      </c>
      <c r="R139" s="1" t="s">
        <v>34</v>
      </c>
      <c r="S139" s="14">
        <f>$H$10*400</f>
        <v>952</v>
      </c>
      <c r="T139" s="9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2*2.5</f>
        <v>5</v>
      </c>
      <c r="R146" s="147" t="s">
        <v>195</v>
      </c>
      <c r="S146" s="14">
        <f>$H$10*500</f>
        <v>1190</v>
      </c>
      <c r="T146" s="9">
        <f t="shared" si="104"/>
        <v>5950</v>
      </c>
      <c r="U146" s="14">
        <v>50</v>
      </c>
      <c r="V146" s="14"/>
      <c r="Y146" s="9">
        <f>SUM(AE146:EB146)</f>
        <v>1731.1061375193271</v>
      </c>
      <c r="Z146" s="82"/>
      <c r="AA146" s="82"/>
      <c r="AC146" s="229">
        <f>$Y146*(Voorblad!$K$44*(1+Voorblad!$K$44)^Voorblad!$K$41)/((1+Voorblad!$K$44)^Voorblad!$K$41-1)</f>
        <v>50.877156527109541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1731.1061375193271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3711.4915588414374</v>
      </c>
      <c r="Z147" s="24"/>
      <c r="AA147" s="23">
        <f>SUM(AA127:AA146)</f>
        <v>0</v>
      </c>
      <c r="AC147" s="9">
        <f>$Y147*(Voorblad!$K$44*(1+Voorblad!$K$44)^Voorblad!$K$41)/((1+Voorblad!$K$44)^Voorblad!$K$41-1)</f>
        <v>109.08062359412284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3711.4915588414374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83">
        <f>22.4*2.5</f>
        <v>56</v>
      </c>
      <c r="R149" s="81" t="s">
        <v>35</v>
      </c>
      <c r="S149" s="81">
        <v>4100</v>
      </c>
      <c r="T149" s="21">
        <f>Q149*S149</f>
        <v>229600</v>
      </c>
      <c r="U149" s="11">
        <v>1</v>
      </c>
      <c r="V149" s="14">
        <f>Voorblad!F24+100</f>
        <v>2105</v>
      </c>
      <c r="W149" s="9">
        <f>Voorblad!K77</f>
        <v>2105</v>
      </c>
      <c r="X149" s="6"/>
      <c r="Y149" s="9">
        <f t="shared" si="21"/>
        <v>34295.27175587503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1007.9369897929972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34295.27175587503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4592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9184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16072.000000000002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229600</v>
      </c>
      <c r="U154" s="14"/>
      <c r="V154" s="14"/>
      <c r="W154" s="14"/>
      <c r="X154" s="6"/>
      <c r="Y154" s="23">
        <f>SUM(Y149:Y153)</f>
        <v>34295.27175587503</v>
      </c>
      <c r="Z154" s="24"/>
      <c r="AA154" s="23">
        <f>SUM(AA149:AA153)</f>
        <v>52</v>
      </c>
      <c r="AC154" s="9">
        <f>$Y154*(Voorblad!$K$44*(1+Voorblad!$K$44)^Voorblad!$K$41)/((1+Voorblad!$K$44)^Voorblad!$K$41-1)</f>
        <v>1007.9369897929972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2105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2105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2105</v>
      </c>
      <c r="W229" s="9">
        <f>Voorblad!$K$77</f>
        <v>2105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309</v>
      </c>
      <c r="Q230" s="83">
        <f>2*36.4</f>
        <v>72.8</v>
      </c>
      <c r="R230" s="1" t="s">
        <v>101</v>
      </c>
      <c r="S230" s="1">
        <v>-50</v>
      </c>
      <c r="T230" s="21">
        <f t="shared" si="201"/>
        <v>-3640</v>
      </c>
      <c r="U230" s="11">
        <v>1</v>
      </c>
      <c r="V230" s="14">
        <f>Voorblad!F24+100</f>
        <v>2105</v>
      </c>
      <c r="W230" s="9">
        <f>Voorblad!$K$77</f>
        <v>2105</v>
      </c>
      <c r="X230" s="6"/>
      <c r="Y230" s="9">
        <f t="shared" ref="Y230" si="203">SUM(AE230:EB230)</f>
        <v>-543.70552783704306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-543.70552783704306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36.4</v>
      </c>
      <c r="R231" s="1" t="s">
        <v>101</v>
      </c>
      <c r="S231" s="1">
        <v>-200</v>
      </c>
      <c r="T231" s="21">
        <f t="shared" si="201"/>
        <v>-7280</v>
      </c>
      <c r="U231" s="11">
        <v>1</v>
      </c>
      <c r="V231" s="14">
        <f>Voorblad!F24+100</f>
        <v>2105</v>
      </c>
      <c r="W231" s="9">
        <f>Voorblad!$K$77</f>
        <v>2105</v>
      </c>
      <c r="X231" s="6"/>
      <c r="Y231" s="9">
        <f t="shared" ref="Y231:Y234" si="204">SUM(AE231:EB231)</f>
        <v>-1087.4110556740861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-1087.4110556740861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310</v>
      </c>
      <c r="Q232" s="83">
        <f>2.3*11.52</f>
        <v>26.495999999999999</v>
      </c>
      <c r="R232" s="1" t="s">
        <v>101</v>
      </c>
      <c r="S232" s="1">
        <v>-50</v>
      </c>
      <c r="T232" s="21">
        <f t="shared" si="201"/>
        <v>-1324.8</v>
      </c>
      <c r="U232" s="11">
        <v>1</v>
      </c>
      <c r="V232" s="14">
        <f>Voorblad!F24+100</f>
        <v>2105</v>
      </c>
      <c r="W232" s="9">
        <f>Voorblad!$K$77</f>
        <v>2105</v>
      </c>
      <c r="X232" s="6"/>
      <c r="Y232" s="9">
        <f t="shared" ref="Y232" si="205">SUM(AE232:EB232)</f>
        <v>-197.88491298860293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-197.88491298860293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5.2991999999999999</v>
      </c>
      <c r="R233" s="1" t="s">
        <v>101</v>
      </c>
      <c r="S233" s="1">
        <v>-200</v>
      </c>
      <c r="T233" s="21">
        <f t="shared" si="201"/>
        <v>-1059.8399999999999</v>
      </c>
      <c r="U233" s="11">
        <v>1</v>
      </c>
      <c r="V233" s="14">
        <f>Voorblad!F24+100</f>
        <v>2105</v>
      </c>
      <c r="W233" s="9">
        <f>Voorblad!$K$77</f>
        <v>2105</v>
      </c>
      <c r="X233" s="6"/>
      <c r="Y233" s="9">
        <f t="shared" ref="Y233" si="206">SUM(AE233:EB233)</f>
        <v>-158.30793039088235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-158.30793039088235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2105</v>
      </c>
      <c r="W234" s="9">
        <f>Voorblad!$K$77</f>
        <v>2105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2105</v>
      </c>
      <c r="W235" s="9">
        <f>Voorblad!$K$77</f>
        <v>2105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2105</v>
      </c>
      <c r="W236" s="9">
        <f>Voorblad!$K$77</f>
        <v>2105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-13304.64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2019-12-12T08:04:39Z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