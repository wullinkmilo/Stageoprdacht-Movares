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9001817E-8A02-4727-A5D4-F5E75ABDC7B3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32" i="1" l="1"/>
  <c r="Q230" i="1"/>
  <c r="Q229" i="1"/>
  <c r="S138" i="1"/>
  <c r="S116" i="1"/>
  <c r="Q138" i="1"/>
  <c r="Q116" i="1"/>
  <c r="Q204" i="1"/>
  <c r="Q149" i="1"/>
  <c r="Q146" i="1"/>
  <c r="Q139" i="1"/>
  <c r="Q137" i="1"/>
  <c r="Q136" i="1"/>
  <c r="Q133" i="1"/>
  <c r="Q122" i="1"/>
  <c r="Q117" i="1"/>
  <c r="Q115" i="1"/>
  <c r="Q46" i="1"/>
  <c r="Q113" i="1"/>
  <c r="Q110" i="1"/>
  <c r="S39" i="1"/>
  <c r="Q39" i="1"/>
  <c r="N93" i="2" l="1"/>
  <c r="N92" i="2"/>
  <c r="N61" i="2"/>
  <c r="N60" i="2"/>
  <c r="H61" i="2"/>
  <c r="Q233" i="1"/>
  <c r="Q231" i="1"/>
  <c r="T229" i="1"/>
  <c r="V229" i="1"/>
  <c r="W229" i="1"/>
  <c r="Q201" i="1"/>
  <c r="Q198" i="1" l="1"/>
  <c r="D50" i="2" l="1"/>
  <c r="D49" i="2"/>
  <c r="L50" i="2"/>
  <c r="L61" i="2" s="1"/>
  <c r="C50" i="2"/>
  <c r="B50" i="2"/>
  <c r="T36" i="1"/>
  <c r="T35" i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L60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W230" i="1" l="1"/>
  <c r="W231" i="1"/>
  <c r="W232" i="1"/>
  <c r="W233" i="1"/>
  <c r="W234" i="1"/>
  <c r="W235" i="1"/>
  <c r="W236" i="1"/>
  <c r="W221" i="1" l="1"/>
  <c r="W187" i="1"/>
  <c r="W97" i="1"/>
  <c r="W149" i="1"/>
  <c r="B59" i="2"/>
  <c r="N89" i="2"/>
  <c r="N85" i="2"/>
  <c r="N94" i="2" s="1"/>
  <c r="N73" i="2"/>
  <c r="N52" i="2"/>
  <c r="N53" i="2"/>
  <c r="N54" i="2"/>
  <c r="N55" i="2"/>
  <c r="N56" i="2"/>
  <c r="N57" i="2"/>
  <c r="N58" i="2"/>
  <c r="N51" i="2"/>
  <c r="N48" i="2"/>
  <c r="N59" i="2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2" i="2" l="1"/>
  <c r="N63" i="2"/>
  <c r="N66" i="2"/>
  <c r="N6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36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2" i="2"/>
  <c r="L66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AN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M125" i="1" l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O63" i="2" s="1"/>
  <c r="M52" i="2"/>
  <c r="W40" i="1"/>
  <c r="CK40" i="1" s="1"/>
  <c r="M63" i="2" l="1"/>
  <c r="CV40" i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O64" i="2" l="1"/>
  <c r="O62" i="2"/>
  <c r="M62" i="2"/>
  <c r="M64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0" i="2" s="1"/>
  <c r="M66" i="2" l="1"/>
  <c r="M60" i="2"/>
  <c r="O66" i="2"/>
</calcChain>
</file>

<file path=xl/sharedStrings.xml><?xml version="1.0" encoding="utf-8"?>
<sst xmlns="http://schemas.openxmlformats.org/spreadsheetml/2006/main" count="1030" uniqueCount="319">
  <si>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</si>
  <si>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</si>
  <si>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</si>
  <si>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</si>
  <si>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</si>
  <si>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</si>
  <si>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</si>
  <si>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</si>
  <si>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</si>
  <si>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</si>
  <si>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</si>
  <si>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</si>
  <si>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</si>
  <si>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</si>
  <si>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</si>
  <si>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</si>
  <si>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</si>
  <si>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</si>
  <si>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</si>
  <si>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</si>
  <si>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</si>
  <si>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</si>
  <si>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</si>
  <si>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</si>
  <si>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</si>
  <si>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</si>
  <si>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</si>
  <si>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</si>
  <si>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</si>
  <si>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</si>
  <si>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</si>
  <si>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</si>
  <si>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</si>
  <si>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</si>
  <si>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</si>
  <si>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</si>
  <si>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</si>
  <si>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</si>
  <si>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</si>
  <si>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</si>
  <si>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</si>
  <si>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</si>
  <si>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</si>
  <si>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</si>
  <si>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</si>
  <si>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</si>
  <si>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</si>
  <si>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</si>
  <si>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</si>
  <si>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</si>
  <si>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</si>
  <si>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</si>
  <si>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</si>
  <si>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</si>
  <si>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</si>
  <si>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</si>
  <si>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</si>
  <si>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</si>
  <si>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</si>
  <si>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</si>
  <si>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</si>
  <si>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</si>
  <si>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</si>
  <si>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</si>
  <si>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</si>
  <si>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</si>
  <si>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</si>
  <si>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</si>
  <si>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</si>
  <si>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</si>
  <si>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</si>
  <si>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</si>
  <si>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</si>
  <si>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</si>
  <si>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</si>
  <si>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</si>
  <si>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</si>
  <si>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</si>
  <si>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</si>
  <si>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</si>
  <si>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</si>
  <si>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</si>
  <si>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</si>
  <si>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</si>
  <si>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</si>
  <si>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</si>
  <si>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</si>
  <si>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</si>
  <si>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</si>
  <si>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</si>
  <si>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</si>
  <si>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</si>
  <si>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</si>
  <si>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</si>
  <si>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</si>
  <si>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</si>
  <si>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</si>
  <si>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</si>
  <si>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</si>
  <si>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</si>
  <si>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</si>
  <si>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</si>
  <si>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</si>
  <si>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</si>
  <si>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</si>
  <si>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</si>
  <si>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</si>
  <si>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</si>
  <si>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</si>
  <si>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</si>
  <si>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</si>
  <si>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</si>
  <si>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</si>
  <si>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</si>
  <si>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</si>
  <si>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</si>
  <si>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</si>
  <si>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</si>
  <si>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</si>
  <si>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</si>
  <si>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</si>
  <si>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</si>
  <si>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</si>
  <si>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</si>
  <si>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</si>
  <si>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</si>
  <si>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</si>
  <si>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</si>
  <si>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</si>
  <si>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</si>
  <si>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</si>
  <si>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</si>
  <si>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</si>
  <si>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</si>
  <si>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</si>
  <si>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</si>
  <si>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</si>
  <si>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</si>
  <si>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</si>
  <si>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</si>
  <si>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</si>
  <si>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</si>
  <si>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</si>
  <si>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</si>
  <si>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</si>
  <si>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</si>
  <si>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</si>
  <si>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</si>
  <si>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</si>
  <si>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</si>
  <si>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</si>
  <si>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</si>
  <si>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</si>
  <si>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</si>
  <si>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</si>
  <si>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</si>
  <si>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</si>
  <si>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</si>
  <si>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</si>
  <si>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</si>
  <si>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</si>
  <si>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</si>
  <si>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</si>
  <si>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</si>
  <si>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</si>
  <si>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</si>
  <si>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</si>
  <si>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</si>
  <si>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</si>
  <si>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</si>
  <si>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</si>
  <si>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</si>
  <si>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</si>
  <si>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</si>
  <si>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</si>
  <si>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</si>
  <si>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</si>
  <si>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</si>
  <si>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</si>
  <si>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</si>
  <si>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</si>
  <si>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</si>
  <si>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</si>
  <si>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</si>
  <si>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</si>
  <si>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</si>
  <si>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</si>
  <si>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</si>
  <si>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</si>
  <si>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</si>
  <si>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</si>
  <si>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</si>
  <si>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</si>
  <si>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</si>
  <si>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</si>
  <si>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</si>
  <si>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</si>
  <si>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</si>
  <si>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</si>
  <si>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</si>
  <si>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</si>
  <si>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</si>
  <si>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</si>
  <si>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</si>
  <si>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</si>
  <si>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</si>
  <si>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</si>
  <si>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</si>
  <si>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</si>
  <si>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</si>
  <si>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</si>
  <si>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</si>
  <si>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</si>
  <si>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</si>
  <si>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</si>
  <si>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</si>
  <si>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</si>
  <si>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</si>
  <si>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</si>
  <si>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</si>
  <si>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</si>
  <si>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</si>
  <si>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</si>
  <si>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</si>
  <si>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</si>
  <si>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</si>
  <si>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</si>
  <si>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</si>
  <si>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</si>
  <si>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</si>
  <si>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</si>
  <si>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</si>
  <si>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</si>
  <si>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</si>
  <si>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</si>
  <si>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</si>
  <si>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</si>
  <si>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</si>
  <si>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</si>
  <si>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</si>
  <si>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</si>
  <si>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</si>
  <si>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</si>
  <si>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</si>
  <si>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</si>
  <si>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</si>
  <si>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</si>
  <si>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</si>
  <si>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</si>
  <si>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</si>
  <si>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</si>
  <si>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</si>
  <si>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</si>
  <si>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</si>
  <si>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</si>
  <si>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</si>
  <si>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</si>
  <si>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</si>
  <si>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</si>
  <si>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</si>
  <si>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</si>
  <si>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</si>
  <si>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</si>
  <si>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</si>
  <si>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</si>
  <si>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</si>
  <si>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</si>
  <si>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</si>
  <si>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</si>
  <si>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</si>
  <si>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</si>
  <si>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</si>
  <si>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</si>
  <si>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</si>
  <si>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</si>
  <si>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</si>
  <si>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</si>
  <si>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</si>
  <si>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</si>
  <si>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</si>
  <si>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</si>
  <si>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</si>
  <si>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</si>
  <si>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</si>
  <si>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</si>
  <si>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</si>
  <si>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</si>
  <si>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</si>
  <si>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</si>
  <si>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</si>
  <si>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</si>
  <si>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</si>
  <si>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</si>
  <si>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</si>
  <si>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</si>
  <si>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</si>
  <si>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</si>
  <si>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</si>
  <si>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</si>
  <si>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Totaal kosten cat. 2 (advies IB tlv ProRail AM)</t>
  </si>
  <si>
    <t>(Constructie) staal geluidscherm</t>
  </si>
  <si>
    <t>1x52</t>
  </si>
  <si>
    <t>10735902 + 10877206</t>
  </si>
  <si>
    <t>KW20-121-0001</t>
  </si>
  <si>
    <t>Onderdoorgang Westtangent</t>
  </si>
  <si>
    <t>Breda</t>
  </si>
  <si>
    <t>Gewapend betonnen trogliggers (voorgespannen)</t>
  </si>
  <si>
    <t xml:space="preserve">nadere inspectie 'onder handbereik' van de opleggingen en systeem HWA kunstwerken </t>
  </si>
  <si>
    <t>loszittende tegelwerk verwijderen en oppervlak afwerken i.v.m. wegnemen risico vallende delen en/of tegelwerk herstellen</t>
  </si>
  <si>
    <t>2 stuks ES-trogbruggen BxL</t>
  </si>
  <si>
    <t>2 hooggefundeerde landhoofden achter tunnelwanden</t>
  </si>
  <si>
    <t>alleen 2 stuks ES trogbruggen</t>
  </si>
  <si>
    <r>
      <t xml:space="preserve">voer in: 2,5% x oppervlak </t>
    </r>
    <r>
      <rPr>
        <sz val="9"/>
        <color rgb="FFFF0000"/>
        <rFont val="Calibri"/>
        <family val="2"/>
      </rPr>
      <t>rooster tussen trogbruggen</t>
    </r>
  </si>
  <si>
    <t>rooster tussen trogbruggen</t>
  </si>
  <si>
    <t>leuning 2x29,2 m1 á 35 kg/m1</t>
  </si>
  <si>
    <t>spoordek+PV-paden: 505 m3</t>
  </si>
  <si>
    <t>Σ: 2 landhfdn: 400 m3</t>
  </si>
  <si>
    <t>2 stuks naast elkaar gelegen ES betonnen trogliggerbruggen op landhoofden gefund. op palen (achter de tunnelwanden odg).</t>
  </si>
  <si>
    <t>Gewapend beton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</si>
</sst>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  <xf numFmtId="1" fontId="1" fillId="0" borderId="56" xfId="0" applyNumberFormat="1" applyFont="1" applyBorder="1" applyAlignment="1">
      <alignment horizontal="center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topLeftCell="C85" zoomScale="110" zoomScaleNormal="90" zoomScaleSheetLayoutView="110" workbookViewId="0">
      <selection activeCell="G113" sqref="G113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242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69" t="s">
        <v>147</v>
      </c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  <c r="N7" s="270"/>
      <c r="O7" s="271"/>
      <c r="P7" s="228"/>
    </row>
    <row r="8" spans="2:16" x14ac:dyDescent="0.3">
      <c r="B8" s="109" t="s">
        <v>125</v>
      </c>
      <c r="C8" s="110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2"/>
      <c r="P8" s="111"/>
    </row>
    <row r="9" spans="2:16" x14ac:dyDescent="0.3">
      <c r="B9" s="91" t="s">
        <v>113</v>
      </c>
      <c r="C9" s="92"/>
      <c r="D9" s="93"/>
      <c r="E9" s="93"/>
      <c r="F9" s="136" t="s">
        <v>119</v>
      </c>
      <c r="G9" s="31"/>
      <c r="H9" s="31"/>
      <c r="I9" s="31"/>
      <c r="J9" s="31"/>
      <c r="K9" s="31"/>
      <c r="L9" s="31"/>
      <c r="M9" s="31"/>
      <c r="N9" s="31"/>
      <c r="O9" s="32"/>
      <c r="P9" s="85"/>
    </row>
    <row r="10" spans="2:16" x14ac:dyDescent="0.3">
      <c r="B10" s="91" t="s">
        <v>114</v>
      </c>
      <c r="C10" s="92"/>
      <c r="D10" s="93"/>
      <c r="E10" s="93"/>
      <c r="F10" s="137" t="s">
        <v>120</v>
      </c>
      <c r="G10" s="31"/>
      <c r="H10" s="31"/>
      <c r="I10" s="31"/>
      <c r="J10" s="31"/>
      <c r="K10" s="31"/>
      <c r="L10" s="31"/>
      <c r="M10" s="31"/>
      <c r="N10" s="31"/>
      <c r="O10" s="32"/>
      <c r="P10" s="85"/>
    </row>
    <row r="11" spans="2:16" x14ac:dyDescent="0.3">
      <c r="B11" s="91" t="s">
        <v>115</v>
      </c>
      <c r="C11" s="92"/>
      <c r="D11" s="93"/>
      <c r="E11" s="93"/>
      <c r="F11" s="137" t="s">
        <v>121</v>
      </c>
      <c r="G11" s="31"/>
      <c r="H11" s="31"/>
      <c r="I11" s="31"/>
      <c r="J11" s="31"/>
      <c r="K11" s="31"/>
      <c r="L11" s="31"/>
      <c r="M11" s="31"/>
      <c r="N11" s="31"/>
      <c r="O11" s="32"/>
      <c r="P11" s="85"/>
    </row>
    <row r="12" spans="2:16" x14ac:dyDescent="0.3">
      <c r="B12" s="91" t="s">
        <v>116</v>
      </c>
      <c r="C12" s="92"/>
      <c r="D12" s="93"/>
      <c r="E12" s="93"/>
      <c r="F12" s="136" t="s">
        <v>122</v>
      </c>
      <c r="G12" s="31"/>
      <c r="H12" s="31"/>
      <c r="I12" s="31"/>
      <c r="J12" s="31"/>
      <c r="K12" s="31"/>
      <c r="L12" s="31"/>
      <c r="M12" s="31"/>
      <c r="N12" s="31"/>
      <c r="O12" s="32"/>
      <c r="P12" s="85"/>
    </row>
    <row r="13" spans="2:16" x14ac:dyDescent="0.3">
      <c r="B13" s="91" t="s">
        <v>117</v>
      </c>
      <c r="C13" s="92"/>
      <c r="D13" s="93"/>
      <c r="E13" s="93"/>
      <c r="F13" s="138">
        <v>43809</v>
      </c>
      <c r="G13" s="31"/>
      <c r="H13" s="31"/>
      <c r="I13" s="31"/>
      <c r="J13" s="31"/>
      <c r="K13" s="31"/>
      <c r="L13" s="31"/>
      <c r="M13" s="31"/>
      <c r="N13" s="31"/>
      <c r="O13" s="32"/>
      <c r="P13" s="85"/>
    </row>
    <row r="14" spans="2:16" ht="15" thickBot="1" x14ac:dyDescent="0.35">
      <c r="B14" s="94" t="s">
        <v>118</v>
      </c>
      <c r="C14" s="95"/>
      <c r="D14" s="96"/>
      <c r="E14" s="96"/>
      <c r="F14" s="139" t="s">
        <v>123</v>
      </c>
      <c r="G14" s="33"/>
      <c r="H14" s="33"/>
      <c r="I14" s="33"/>
      <c r="J14" s="33"/>
      <c r="K14" s="33"/>
      <c r="L14" s="33"/>
      <c r="M14" s="33"/>
      <c r="N14" s="33"/>
      <c r="O14" s="34"/>
      <c r="P14" s="85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09" t="s">
        <v>124</v>
      </c>
      <c r="C16" s="110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2"/>
      <c r="P16" s="111"/>
    </row>
    <row r="17" spans="2:18" x14ac:dyDescent="0.3">
      <c r="B17" s="97" t="s">
        <v>126</v>
      </c>
      <c r="C17" s="98"/>
      <c r="D17" s="93"/>
      <c r="E17" s="93"/>
      <c r="F17" s="140" t="s">
        <v>302</v>
      </c>
      <c r="G17" s="35"/>
      <c r="H17" s="35"/>
      <c r="I17" s="35"/>
      <c r="J17" s="31"/>
      <c r="K17" s="31"/>
      <c r="L17" s="31"/>
      <c r="M17" s="31"/>
      <c r="N17" s="31"/>
      <c r="O17" s="32"/>
      <c r="P17" s="85"/>
    </row>
    <row r="18" spans="2:18" x14ac:dyDescent="0.3">
      <c r="B18" s="97" t="s">
        <v>2</v>
      </c>
      <c r="C18" s="98"/>
      <c r="D18" s="93"/>
      <c r="E18" s="93"/>
      <c r="F18" s="140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5"/>
      <c r="R18" s="88"/>
    </row>
    <row r="19" spans="2:18" x14ac:dyDescent="0.3">
      <c r="B19" s="97" t="s">
        <v>1</v>
      </c>
      <c r="C19" s="98"/>
      <c r="D19" s="93"/>
      <c r="E19" s="93"/>
      <c r="F19" s="140" t="s">
        <v>303</v>
      </c>
      <c r="G19" s="35"/>
      <c r="H19" s="35"/>
      <c r="I19" s="35"/>
      <c r="J19" s="31"/>
      <c r="K19" s="31"/>
      <c r="L19" s="31"/>
      <c r="M19" s="31"/>
      <c r="N19" s="31"/>
      <c r="O19" s="32"/>
      <c r="P19" s="85"/>
      <c r="R19" s="88"/>
    </row>
    <row r="20" spans="2:18" x14ac:dyDescent="0.3">
      <c r="B20" s="97" t="s">
        <v>4</v>
      </c>
      <c r="C20" s="98"/>
      <c r="D20" s="93"/>
      <c r="E20" s="93"/>
      <c r="F20" s="140" t="s">
        <v>304</v>
      </c>
      <c r="G20" s="35"/>
      <c r="H20" s="35"/>
      <c r="I20" s="35"/>
      <c r="J20" s="31"/>
      <c r="K20" s="31"/>
      <c r="L20" s="31"/>
      <c r="M20" s="31"/>
      <c r="N20" s="31"/>
      <c r="O20" s="32"/>
      <c r="P20" s="85"/>
    </row>
    <row r="21" spans="2:18" x14ac:dyDescent="0.3">
      <c r="B21" s="97" t="s">
        <v>127</v>
      </c>
      <c r="C21" s="98"/>
      <c r="D21" s="93"/>
      <c r="E21" s="93"/>
      <c r="F21" s="141">
        <v>121</v>
      </c>
      <c r="G21" s="36"/>
      <c r="H21" s="36"/>
      <c r="I21" s="36"/>
      <c r="J21" s="31"/>
      <c r="K21" s="31"/>
      <c r="L21" s="31"/>
      <c r="M21" s="31"/>
      <c r="N21" s="31"/>
      <c r="O21" s="32"/>
      <c r="P21" s="85"/>
    </row>
    <row r="22" spans="2:18" x14ac:dyDescent="0.3">
      <c r="B22" s="97" t="s">
        <v>128</v>
      </c>
      <c r="C22" s="98"/>
      <c r="D22" s="93"/>
      <c r="E22" s="93"/>
      <c r="F22" s="140">
        <v>2.605</v>
      </c>
      <c r="G22" s="35"/>
      <c r="H22" s="35"/>
      <c r="I22" s="35"/>
      <c r="J22" s="31"/>
      <c r="K22" s="31"/>
      <c r="L22" s="31"/>
      <c r="M22" s="31"/>
      <c r="N22" s="31"/>
      <c r="O22" s="32"/>
      <c r="P22" s="85"/>
    </row>
    <row r="23" spans="2:18" x14ac:dyDescent="0.3">
      <c r="B23" s="97" t="s">
        <v>3</v>
      </c>
      <c r="C23" s="98"/>
      <c r="D23" s="93"/>
      <c r="E23" s="93"/>
      <c r="F23" s="140" t="s">
        <v>305</v>
      </c>
      <c r="G23" s="35"/>
      <c r="H23" s="35"/>
      <c r="I23" s="35"/>
      <c r="J23" s="31"/>
      <c r="K23" s="31"/>
      <c r="L23" s="31"/>
      <c r="M23" s="31"/>
      <c r="N23" s="31"/>
      <c r="O23" s="32"/>
      <c r="P23" s="85"/>
    </row>
    <row r="24" spans="2:18" x14ac:dyDescent="0.3">
      <c r="B24" s="97" t="s">
        <v>5</v>
      </c>
      <c r="C24" s="98"/>
      <c r="D24" s="93"/>
      <c r="E24" s="93"/>
      <c r="F24" s="140">
        <v>2004</v>
      </c>
      <c r="G24" s="35"/>
      <c r="H24" s="35"/>
      <c r="I24" s="35"/>
      <c r="J24" s="31"/>
      <c r="K24" s="31"/>
      <c r="L24" s="31"/>
      <c r="M24" s="31"/>
      <c r="N24" s="31"/>
      <c r="O24" s="32"/>
      <c r="P24" s="85"/>
    </row>
    <row r="25" spans="2:18" x14ac:dyDescent="0.3">
      <c r="B25" s="97" t="s">
        <v>6</v>
      </c>
      <c r="C25" s="98"/>
      <c r="D25" s="93"/>
      <c r="E25" s="93"/>
      <c r="F25" s="140">
        <v>2004</v>
      </c>
      <c r="G25" s="35"/>
      <c r="H25" s="35"/>
      <c r="I25" s="35"/>
      <c r="J25" s="31"/>
      <c r="K25" s="31"/>
      <c r="L25" s="31"/>
      <c r="M25" s="31"/>
      <c r="N25" s="31"/>
      <c r="O25" s="32"/>
      <c r="P25" s="85"/>
    </row>
    <row r="26" spans="2:18" x14ac:dyDescent="0.3">
      <c r="B26" s="97" t="s">
        <v>92</v>
      </c>
      <c r="C26" s="98"/>
      <c r="D26" s="93"/>
      <c r="E26" s="93"/>
      <c r="F26" s="140" t="s">
        <v>111</v>
      </c>
      <c r="G26" s="225"/>
      <c r="H26" s="35"/>
      <c r="I26" s="35"/>
      <c r="J26" s="31"/>
      <c r="K26" s="31"/>
      <c r="L26" s="31"/>
      <c r="M26" s="31"/>
      <c r="N26" s="31"/>
      <c r="O26" s="32"/>
      <c r="P26" s="85"/>
    </row>
    <row r="27" spans="2:18" x14ac:dyDescent="0.3">
      <c r="B27" s="97" t="s">
        <v>42</v>
      </c>
      <c r="C27" s="98"/>
      <c r="D27" s="93"/>
      <c r="E27" s="93"/>
      <c r="F27" s="140" t="s">
        <v>306</v>
      </c>
      <c r="G27" s="35"/>
      <c r="H27" s="35"/>
      <c r="I27" s="35"/>
      <c r="J27" s="31"/>
      <c r="K27" s="31"/>
      <c r="L27" s="31"/>
      <c r="M27" s="31"/>
      <c r="N27" s="31"/>
      <c r="O27" s="32"/>
      <c r="P27" s="85"/>
    </row>
    <row r="28" spans="2:18" x14ac:dyDescent="0.3">
      <c r="B28" s="97" t="s">
        <v>93</v>
      </c>
      <c r="C28" s="98"/>
      <c r="D28" s="93"/>
      <c r="E28" s="93"/>
      <c r="F28" s="140" t="s">
        <v>318</v>
      </c>
      <c r="G28" s="35"/>
      <c r="H28" s="35"/>
      <c r="I28" s="35"/>
      <c r="J28" s="31"/>
      <c r="K28" s="31"/>
      <c r="L28" s="31"/>
      <c r="M28" s="31"/>
      <c r="N28" s="31"/>
      <c r="O28" s="32"/>
      <c r="P28" s="85"/>
    </row>
    <row r="29" spans="2:18" x14ac:dyDescent="0.3">
      <c r="B29" s="97" t="s">
        <v>7</v>
      </c>
      <c r="C29" s="98"/>
      <c r="D29" s="93"/>
      <c r="E29" s="93"/>
      <c r="F29" s="142">
        <v>42736</v>
      </c>
      <c r="G29" s="37"/>
      <c r="H29" s="37"/>
      <c r="I29" s="37"/>
      <c r="J29" s="31"/>
      <c r="K29" s="31"/>
      <c r="L29" s="31"/>
      <c r="M29" s="31"/>
      <c r="N29" s="31"/>
      <c r="O29" s="32"/>
      <c r="P29" s="85"/>
    </row>
    <row r="30" spans="2:18" x14ac:dyDescent="0.3">
      <c r="B30" s="97" t="s">
        <v>8</v>
      </c>
      <c r="C30" s="98"/>
      <c r="D30" s="93"/>
      <c r="E30" s="93"/>
      <c r="F30" s="138">
        <v>42775</v>
      </c>
      <c r="G30" s="38"/>
      <c r="H30" s="38"/>
      <c r="I30" s="38"/>
      <c r="J30" s="31"/>
      <c r="K30" s="31"/>
      <c r="L30" s="31"/>
      <c r="M30" s="31"/>
      <c r="N30" s="31"/>
      <c r="O30" s="32"/>
      <c r="P30" s="85"/>
    </row>
    <row r="31" spans="2:18" x14ac:dyDescent="0.3">
      <c r="B31" s="97" t="s">
        <v>9</v>
      </c>
      <c r="C31" s="98"/>
      <c r="D31" s="93"/>
      <c r="E31" s="93"/>
      <c r="F31" s="138" t="s">
        <v>111</v>
      </c>
      <c r="G31" s="38"/>
      <c r="H31" s="38"/>
      <c r="I31" s="38"/>
      <c r="J31" s="31"/>
      <c r="K31" s="31"/>
      <c r="L31" s="31"/>
      <c r="M31" s="31"/>
      <c r="N31" s="31"/>
      <c r="O31" s="32"/>
      <c r="P31" s="85"/>
    </row>
    <row r="32" spans="2:18" x14ac:dyDescent="0.3">
      <c r="B32" s="97" t="s">
        <v>10</v>
      </c>
      <c r="C32" s="98"/>
      <c r="D32" s="93"/>
      <c r="E32" s="93"/>
      <c r="F32" s="138" t="s">
        <v>111</v>
      </c>
      <c r="G32" s="38"/>
      <c r="H32" s="38"/>
      <c r="I32" s="38"/>
      <c r="J32" s="160" t="s">
        <v>224</v>
      </c>
      <c r="K32" s="161"/>
      <c r="L32" s="31"/>
      <c r="M32" s="31"/>
      <c r="N32" s="31"/>
      <c r="O32" s="32"/>
      <c r="P32" s="85"/>
    </row>
    <row r="33" spans="2:16" ht="15" thickBot="1" x14ac:dyDescent="0.35">
      <c r="B33" s="99" t="s">
        <v>227</v>
      </c>
      <c r="C33" s="100"/>
      <c r="D33" s="96"/>
      <c r="E33" s="96"/>
      <c r="F33" s="143" t="s">
        <v>317</v>
      </c>
      <c r="G33" s="151"/>
      <c r="H33" s="152"/>
      <c r="I33" s="152"/>
      <c r="J33" s="152"/>
      <c r="K33" s="152"/>
      <c r="L33" s="152"/>
      <c r="M33" s="33"/>
      <c r="N33" s="33"/>
      <c r="O33" s="34"/>
      <c r="P33" s="85"/>
    </row>
    <row r="34" spans="2:16" ht="15" thickBot="1" x14ac:dyDescent="0.35">
      <c r="B34" s="84"/>
      <c r="C34" s="84"/>
      <c r="D34" s="85"/>
      <c r="E34" s="85"/>
      <c r="F34" s="85"/>
      <c r="G34" s="86"/>
      <c r="H34" s="87"/>
      <c r="I34" s="87"/>
      <c r="J34" s="85"/>
      <c r="K34" s="85"/>
      <c r="L34" s="85"/>
      <c r="M34" s="85"/>
      <c r="N34" s="85"/>
      <c r="O34" s="85"/>
      <c r="P34" s="85"/>
    </row>
    <row r="35" spans="2:16" ht="15" outlineLevel="1" thickBot="1" x14ac:dyDescent="0.35">
      <c r="B35" s="266" t="s">
        <v>143</v>
      </c>
      <c r="C35" s="267"/>
      <c r="D35" s="267"/>
      <c r="E35" s="267"/>
      <c r="F35" s="267"/>
      <c r="G35" s="267"/>
      <c r="H35" s="267"/>
      <c r="I35" s="267"/>
      <c r="J35" s="267"/>
      <c r="K35" s="267"/>
      <c r="L35" s="267"/>
      <c r="M35" s="267"/>
      <c r="N35" s="267"/>
      <c r="O35" s="268"/>
      <c r="P35" s="229"/>
    </row>
    <row r="36" spans="2:16" x14ac:dyDescent="0.3">
      <c r="B36" s="109" t="s">
        <v>243</v>
      </c>
      <c r="C36" s="110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2"/>
      <c r="P36" s="111"/>
    </row>
    <row r="37" spans="2:16" x14ac:dyDescent="0.3">
      <c r="B37" s="39" t="s">
        <v>37</v>
      </c>
      <c r="C37" s="41"/>
      <c r="D37" s="40"/>
      <c r="E37" s="40"/>
      <c r="F37" s="101">
        <v>2018</v>
      </c>
      <c r="G37" s="41"/>
      <c r="H37" s="130" t="s">
        <v>130</v>
      </c>
      <c r="I37" s="40"/>
      <c r="J37" s="40"/>
      <c r="K37" s="102">
        <v>10</v>
      </c>
      <c r="L37" s="42"/>
      <c r="M37" s="42"/>
      <c r="N37" s="43"/>
      <c r="O37" s="44"/>
      <c r="P37" s="230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1" t="s">
        <v>129</v>
      </c>
      <c r="I38" s="43"/>
      <c r="J38" s="43"/>
      <c r="K38" s="46">
        <f>F37+K37</f>
        <v>2028</v>
      </c>
      <c r="L38" s="43"/>
      <c r="M38" s="43"/>
      <c r="N38" s="43"/>
      <c r="O38" s="47"/>
      <c r="P38" s="85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2"/>
      <c r="I39" s="40"/>
      <c r="J39" s="40"/>
      <c r="K39" s="46"/>
      <c r="L39" s="43"/>
      <c r="M39" s="43"/>
      <c r="N39" s="43"/>
      <c r="O39" s="44"/>
      <c r="P39" s="230"/>
    </row>
    <row r="40" spans="2:16" x14ac:dyDescent="0.3">
      <c r="B40" s="45"/>
      <c r="C40" s="40"/>
      <c r="D40" s="40"/>
      <c r="E40" s="40"/>
      <c r="F40" s="46"/>
      <c r="G40" s="40"/>
      <c r="H40" s="132"/>
      <c r="I40" s="40"/>
      <c r="J40" s="40"/>
      <c r="K40" s="46"/>
      <c r="L40" s="43"/>
      <c r="M40" s="43"/>
      <c r="N40" s="43"/>
      <c r="O40" s="44"/>
      <c r="P40" s="230"/>
    </row>
    <row r="41" spans="2:16" x14ac:dyDescent="0.3">
      <c r="B41" s="39" t="s">
        <v>244</v>
      </c>
      <c r="C41" s="41"/>
      <c r="D41" s="40"/>
      <c r="E41" s="40"/>
      <c r="F41" s="101">
        <v>2028</v>
      </c>
      <c r="G41" s="41"/>
      <c r="H41" s="130" t="s">
        <v>245</v>
      </c>
      <c r="I41" s="40"/>
      <c r="J41" s="40"/>
      <c r="K41" s="102">
        <f>F24+100-F41</f>
        <v>76</v>
      </c>
      <c r="L41" s="42"/>
      <c r="M41" s="42"/>
      <c r="N41" s="43"/>
      <c r="O41" s="44"/>
      <c r="P41" s="230"/>
    </row>
    <row r="42" spans="2:16" x14ac:dyDescent="0.3">
      <c r="B42" s="45"/>
      <c r="C42" s="40"/>
      <c r="D42" s="40"/>
      <c r="E42" s="40"/>
      <c r="F42" s="40"/>
      <c r="G42" s="54"/>
      <c r="H42" s="132" t="s">
        <v>246</v>
      </c>
      <c r="I42" s="40"/>
      <c r="J42" s="40"/>
      <c r="K42" s="46">
        <f>F41+K41</f>
        <v>2104</v>
      </c>
      <c r="L42" s="43"/>
      <c r="M42" s="43"/>
      <c r="N42" s="43"/>
      <c r="O42" s="44"/>
      <c r="P42" s="230"/>
    </row>
    <row r="43" spans="2:16" x14ac:dyDescent="0.3">
      <c r="B43" s="48"/>
      <c r="C43" s="43"/>
      <c r="D43" s="43"/>
      <c r="E43" s="43"/>
      <c r="F43" s="43"/>
      <c r="G43" s="54"/>
      <c r="H43" s="132"/>
      <c r="I43" s="40"/>
      <c r="J43" s="40"/>
      <c r="K43" s="46"/>
      <c r="L43" s="43"/>
      <c r="M43" s="43"/>
      <c r="N43" s="43"/>
      <c r="O43" s="44"/>
      <c r="P43" s="230"/>
    </row>
    <row r="44" spans="2:16" x14ac:dyDescent="0.3">
      <c r="B44" s="48"/>
      <c r="C44" s="43"/>
      <c r="D44" s="43"/>
      <c r="E44" s="43"/>
      <c r="F44" s="43"/>
      <c r="G44" s="134"/>
      <c r="H44" s="130" t="s">
        <v>38</v>
      </c>
      <c r="I44" s="49"/>
      <c r="J44" s="49"/>
      <c r="K44" s="103">
        <v>2.5000000000000001E-2</v>
      </c>
      <c r="L44" s="49"/>
      <c r="M44" s="49"/>
      <c r="N44" s="49"/>
      <c r="O44" s="44"/>
      <c r="P44" s="230"/>
    </row>
    <row r="45" spans="2:16" ht="15" thickBot="1" x14ac:dyDescent="0.35">
      <c r="B45" s="50"/>
      <c r="C45" s="65"/>
      <c r="D45" s="51"/>
      <c r="E45" s="51"/>
      <c r="F45" s="51"/>
      <c r="G45" s="135"/>
      <c r="H45" s="133"/>
      <c r="I45" s="52"/>
      <c r="J45" s="51"/>
      <c r="K45" s="51"/>
      <c r="L45" s="51"/>
      <c r="M45" s="51"/>
      <c r="N45" s="51"/>
      <c r="O45" s="53"/>
      <c r="P45" s="85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3" t="s">
        <v>131</v>
      </c>
      <c r="C47" s="114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6"/>
      <c r="P47" s="111"/>
    </row>
    <row r="48" spans="2:16" ht="28.8" customHeight="1" x14ac:dyDescent="0.3">
      <c r="B48" s="162" t="s">
        <v>239</v>
      </c>
      <c r="C48" s="163" t="s">
        <v>240</v>
      </c>
      <c r="D48" s="67" t="str">
        <f>'Berekening MJOP+LTP'!K28</f>
        <v>Omschrijving</v>
      </c>
      <c r="E48" s="67"/>
      <c r="F48" s="68"/>
      <c r="G48" s="69"/>
      <c r="H48" s="150" t="s">
        <v>223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2" t="str">
        <f>'Berekening MJOP+LTP'!AA28</f>
        <v>TVP duur</v>
      </c>
      <c r="O48" s="129" t="s">
        <v>279</v>
      </c>
      <c r="P48" s="231"/>
    </row>
    <row r="49" spans="2:16" x14ac:dyDescent="0.3">
      <c r="B49" s="108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3"/>
      <c r="O49" s="252">
        <f>'Berekening MJOP+LTP'!AC33</f>
        <v>731.6641072480279</v>
      </c>
      <c r="P49" s="231"/>
    </row>
    <row r="50" spans="2:16" x14ac:dyDescent="0.3">
      <c r="B50" s="108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3"/>
      <c r="O50" s="252">
        <f>'Berekening MJOP+LTP'!AC36</f>
        <v>446.29381588570288</v>
      </c>
      <c r="P50" s="231"/>
    </row>
    <row r="51" spans="2:16" x14ac:dyDescent="0.3">
      <c r="B51" s="108">
        <f>'Berekening MJOP+LTP'!B38</f>
        <v>2</v>
      </c>
      <c r="C51" s="66">
        <f>'Berekening MJOP+LTP'!D38</f>
        <v>1</v>
      </c>
      <c r="D51" s="144" t="str">
        <f>'Berekening MJOP+LTP'!K38</f>
        <v>globale beschouwing constructieve veiligheid</v>
      </c>
      <c r="E51" s="186"/>
      <c r="F51" s="31"/>
      <c r="G51" s="35"/>
      <c r="H51" s="35"/>
      <c r="I51" s="35"/>
      <c r="J51" s="35"/>
      <c r="K51" s="90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3">
        <f>'Berekening MJOP+LTP'!AC38</f>
        <v>530.50310089355912</v>
      </c>
      <c r="P51" s="232"/>
    </row>
    <row r="52" spans="2:16" x14ac:dyDescent="0.3">
      <c r="B52" s="108">
        <f>'Berekening MJOP+LTP'!B39</f>
        <v>1</v>
      </c>
      <c r="C52" s="66">
        <f>'Berekening MJOP+LTP'!D39</f>
        <v>2</v>
      </c>
      <c r="D52" s="144" t="str">
        <f>'Berekening MJOP+LTP'!K39</f>
        <v>loszittende tegelwerk verwijderen en oppervlak afwerken i.v.m. wegnemen risico vallende delen en/of tegelwerk herstellen</v>
      </c>
      <c r="E52" s="186"/>
      <c r="F52" s="31"/>
      <c r="G52" s="35"/>
      <c r="H52" s="35"/>
      <c r="I52" s="35"/>
      <c r="J52" s="35"/>
      <c r="K52" s="90">
        <v>2020</v>
      </c>
      <c r="L52" s="64">
        <f>'Berekening MJOP+LTP'!T39</f>
        <v>5310</v>
      </c>
      <c r="M52" s="64">
        <f>'Berekening MJOP+LTP'!Y39</f>
        <v>5054.1344437834623</v>
      </c>
      <c r="N52" s="61">
        <f>'Berekening MJOP+LTP'!AA39</f>
        <v>0</v>
      </c>
      <c r="O52" s="253">
        <f>'Berekening MJOP+LTP'!AC39</f>
        <v>577.47915047768367</v>
      </c>
      <c r="P52" s="232"/>
    </row>
    <row r="53" spans="2:16" x14ac:dyDescent="0.3">
      <c r="B53" s="108">
        <f>'Berekening MJOP+LTP'!B40</f>
        <v>2</v>
      </c>
      <c r="C53" s="66">
        <f>'Berekening MJOP+LTP'!D40</f>
        <v>3</v>
      </c>
      <c r="D53" s="144" t="str">
        <f>'Berekening MJOP+LTP'!K40</f>
        <v xml:space="preserve">nadere inspectie 'onder handbereik' van de opleggingen en systeem HWA kunstwerken </v>
      </c>
      <c r="E53" s="186"/>
      <c r="F53" s="31"/>
      <c r="G53" s="35"/>
      <c r="H53" s="35"/>
      <c r="I53" s="35"/>
      <c r="J53" s="35"/>
      <c r="K53" s="90">
        <v>2020</v>
      </c>
      <c r="L53" s="64">
        <f>'Berekening MJOP+LTP'!T40</f>
        <v>2500</v>
      </c>
      <c r="M53" s="64">
        <f>'Berekening MJOP+LTP'!Y40</f>
        <v>2379.5359904818561</v>
      </c>
      <c r="N53" s="61">
        <f>'Berekening MJOP+LTP'!AA40</f>
        <v>0</v>
      </c>
      <c r="O53" s="253">
        <f>'Berekening MJOP+LTP'!AC40</f>
        <v>271.88283920794902</v>
      </c>
      <c r="P53" s="232"/>
    </row>
    <row r="54" spans="2:16" x14ac:dyDescent="0.3">
      <c r="B54" s="108">
        <f>'Berekening MJOP+LTP'!B41</f>
        <v>0</v>
      </c>
      <c r="C54" s="66">
        <f>'Berekening MJOP+LTP'!D41</f>
        <v>4</v>
      </c>
      <c r="D54" s="144">
        <f>'Berekening MJOP+LTP'!K41</f>
        <v>0</v>
      </c>
      <c r="E54" s="186"/>
      <c r="F54" s="31"/>
      <c r="G54" s="35"/>
      <c r="H54" s="35"/>
      <c r="I54" s="35"/>
      <c r="J54" s="35"/>
      <c r="K54" s="90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3">
        <f>'Berekening MJOP+LTP'!AC41</f>
        <v>0</v>
      </c>
      <c r="P54" s="232"/>
    </row>
    <row r="55" spans="2:16" x14ac:dyDescent="0.3">
      <c r="B55" s="108">
        <f>'Berekening MJOP+LTP'!B42</f>
        <v>0</v>
      </c>
      <c r="C55" s="66">
        <f>'Berekening MJOP+LTP'!D42</f>
        <v>5</v>
      </c>
      <c r="D55" s="144">
        <f>'Berekening MJOP+LTP'!K42</f>
        <v>0</v>
      </c>
      <c r="E55" s="186"/>
      <c r="F55" s="31"/>
      <c r="G55" s="35"/>
      <c r="H55" s="35"/>
      <c r="I55" s="35"/>
      <c r="J55" s="35"/>
      <c r="K55" s="90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3">
        <f>'Berekening MJOP+LTP'!AC42</f>
        <v>0</v>
      </c>
      <c r="P55" s="232"/>
    </row>
    <row r="56" spans="2:16" x14ac:dyDescent="0.3">
      <c r="B56" s="108">
        <f>'Berekening MJOP+LTP'!B43</f>
        <v>0</v>
      </c>
      <c r="C56" s="66">
        <f>'Berekening MJOP+LTP'!D43</f>
        <v>6</v>
      </c>
      <c r="D56" s="144">
        <f>'Berekening MJOP+LTP'!K43</f>
        <v>0</v>
      </c>
      <c r="E56" s="186"/>
      <c r="F56" s="31"/>
      <c r="G56" s="35"/>
      <c r="H56" s="35"/>
      <c r="I56" s="35"/>
      <c r="J56" s="35"/>
      <c r="K56" s="90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3">
        <f>'Berekening MJOP+LTP'!AC43</f>
        <v>0</v>
      </c>
      <c r="P56" s="232"/>
    </row>
    <row r="57" spans="2:16" x14ac:dyDescent="0.3">
      <c r="B57" s="108">
        <f>'Berekening MJOP+LTP'!B44</f>
        <v>0</v>
      </c>
      <c r="C57" s="66">
        <f>'Berekening MJOP+LTP'!D44</f>
        <v>7</v>
      </c>
      <c r="D57" s="144">
        <f>'Berekening MJOP+LTP'!K44</f>
        <v>0</v>
      </c>
      <c r="E57" s="186"/>
      <c r="F57" s="31"/>
      <c r="G57" s="35"/>
      <c r="H57" s="35"/>
      <c r="I57" s="35"/>
      <c r="J57" s="35"/>
      <c r="K57" s="156"/>
      <c r="L57" s="153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3">
        <f>'Berekening MJOP+LTP'!AC44</f>
        <v>0</v>
      </c>
      <c r="P57" s="232"/>
    </row>
    <row r="58" spans="2:16" x14ac:dyDescent="0.3">
      <c r="B58" s="120">
        <f>'Berekening MJOP+LTP'!B45</f>
        <v>0</v>
      </c>
      <c r="C58" s="121">
        <f>'Berekening MJOP+LTP'!D45</f>
        <v>8</v>
      </c>
      <c r="D58" s="144">
        <f>'Berekening MJOP+LTP'!K45</f>
        <v>0</v>
      </c>
      <c r="E58" s="186"/>
      <c r="F58" s="31"/>
      <c r="G58" s="56"/>
      <c r="H58" s="56"/>
      <c r="I58" s="56"/>
      <c r="J58" s="56"/>
      <c r="K58" s="157"/>
      <c r="L58" s="154">
        <f>'Berekening MJOP+LTP'!T45</f>
        <v>0</v>
      </c>
      <c r="M58" s="122">
        <f>'Berekening MJOP+LTP'!Y45</f>
        <v>0</v>
      </c>
      <c r="N58" s="123">
        <f>'Berekening MJOP+LTP'!AA45</f>
        <v>0</v>
      </c>
      <c r="O58" s="254">
        <f>'Berekening MJOP+LTP'!AC45</f>
        <v>0</v>
      </c>
      <c r="P58" s="232"/>
    </row>
    <row r="59" spans="2:16" ht="15" thickBot="1" x14ac:dyDescent="0.35">
      <c r="B59" s="124">
        <f>'Berekening MJOP+LTP'!B46</f>
        <v>1</v>
      </c>
      <c r="C59" s="125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6" t="s">
        <v>141</v>
      </c>
      <c r="I59" s="126"/>
      <c r="J59" s="56">
        <f>F24+100</f>
        <v>2104</v>
      </c>
      <c r="K59" s="158">
        <v>2104</v>
      </c>
      <c r="L59" s="155">
        <f>'Berekening MJOP+LTP'!T46</f>
        <v>6453117.9378000004</v>
      </c>
      <c r="M59" s="127">
        <f>'Berekening MJOP+LTP'!Y46</f>
        <v>0</v>
      </c>
      <c r="N59" s="128">
        <f>'Berekening MJOP+LTP'!AA46</f>
        <v>104</v>
      </c>
      <c r="O59" s="255">
        <f>'Berekening MJOP+LTP'!AC46</f>
        <v>0</v>
      </c>
      <c r="P59" s="233"/>
    </row>
    <row r="60" spans="2:16" x14ac:dyDescent="0.3">
      <c r="B60" s="205" t="s">
        <v>292</v>
      </c>
      <c r="C60" s="187"/>
      <c r="D60" s="206"/>
      <c r="E60" s="206"/>
      <c r="F60" s="187"/>
      <c r="G60" s="188" t="s">
        <v>149</v>
      </c>
      <c r="H60" s="189">
        <f>F37</f>
        <v>2018</v>
      </c>
      <c r="I60" s="207" t="s">
        <v>29</v>
      </c>
      <c r="J60" s="190">
        <f>K38</f>
        <v>2028</v>
      </c>
      <c r="K60" s="191"/>
      <c r="L60" s="208">
        <f t="shared" ref="L60:O61" si="0">L49</f>
        <v>6500</v>
      </c>
      <c r="M60" s="208">
        <f t="shared" si="0"/>
        <v>6403.5710426315018</v>
      </c>
      <c r="N60" s="244">
        <f t="shared" si="0"/>
        <v>0</v>
      </c>
      <c r="O60" s="256">
        <f t="shared" si="0"/>
        <v>731.6641072480279</v>
      </c>
      <c r="P60" s="234"/>
    </row>
    <row r="61" spans="2:16" x14ac:dyDescent="0.3">
      <c r="B61" s="209" t="s">
        <v>299</v>
      </c>
      <c r="C61" s="192"/>
      <c r="D61" s="210"/>
      <c r="E61" s="210"/>
      <c r="F61" s="192"/>
      <c r="G61" s="193" t="s">
        <v>149</v>
      </c>
      <c r="H61" s="194">
        <f>F37</f>
        <v>2018</v>
      </c>
      <c r="I61" s="211" t="s">
        <v>29</v>
      </c>
      <c r="J61" s="195">
        <f>K38</f>
        <v>2028</v>
      </c>
      <c r="K61" s="196"/>
      <c r="L61" s="212">
        <f t="shared" si="0"/>
        <v>5000</v>
      </c>
      <c r="M61" s="212">
        <f t="shared" si="0"/>
        <v>3905.9920086286352</v>
      </c>
      <c r="N61" s="245">
        <f t="shared" si="0"/>
        <v>0</v>
      </c>
      <c r="O61" s="257">
        <f t="shared" si="0"/>
        <v>446.29381588570288</v>
      </c>
      <c r="P61" s="234"/>
    </row>
    <row r="62" spans="2:16" x14ac:dyDescent="0.3">
      <c r="B62" s="209" t="s">
        <v>293</v>
      </c>
      <c r="C62" s="192"/>
      <c r="D62" s="210"/>
      <c r="E62" s="210"/>
      <c r="F62" s="192"/>
      <c r="G62" s="193" t="s">
        <v>149</v>
      </c>
      <c r="H62" s="194">
        <f>F37</f>
        <v>2018</v>
      </c>
      <c r="I62" s="211" t="s">
        <v>29</v>
      </c>
      <c r="J62" s="195">
        <f>K38</f>
        <v>2028</v>
      </c>
      <c r="K62" s="196"/>
      <c r="L62" s="212">
        <f>SUMIF(B51:B58,2,L51:L58)</f>
        <v>7500</v>
      </c>
      <c r="M62" s="212">
        <f>SUMIF(B51:B58,2,M51:M58)</f>
        <v>7022.5330450806005</v>
      </c>
      <c r="N62" s="245">
        <f>SUMIF(B51:B58,2,N51:N58)</f>
        <v>0</v>
      </c>
      <c r="O62" s="257">
        <f>SUMIF(B51:B58,2,O51:O58)</f>
        <v>802.38594010150814</v>
      </c>
      <c r="P62" s="234"/>
    </row>
    <row r="63" spans="2:16" x14ac:dyDescent="0.3">
      <c r="B63" s="209" t="s">
        <v>294</v>
      </c>
      <c r="C63" s="192"/>
      <c r="D63" s="210"/>
      <c r="E63" s="210"/>
      <c r="F63" s="192"/>
      <c r="G63" s="193" t="s">
        <v>149</v>
      </c>
      <c r="H63" s="194">
        <f>F37</f>
        <v>2018</v>
      </c>
      <c r="I63" s="211" t="s">
        <v>29</v>
      </c>
      <c r="J63" s="195">
        <f>K38</f>
        <v>2028</v>
      </c>
      <c r="K63" s="196"/>
      <c r="L63" s="212">
        <f>SUMIF(B51:B58,1,L51:L58)</f>
        <v>5310</v>
      </c>
      <c r="M63" s="212">
        <f>SUMIF(B51:B58,1,M51:M58)</f>
        <v>5054.1344437834623</v>
      </c>
      <c r="N63" s="245">
        <f>SUMIF(B51:B58,1,N51:N58)</f>
        <v>0</v>
      </c>
      <c r="O63" s="257">
        <f>SUMIF(B51:B58,1,O51:O58)</f>
        <v>577.47915047768367</v>
      </c>
      <c r="P63" s="234"/>
    </row>
    <row r="64" spans="2:16" x14ac:dyDescent="0.3">
      <c r="B64" s="209" t="s">
        <v>272</v>
      </c>
      <c r="C64" s="192"/>
      <c r="D64" s="210"/>
      <c r="E64" s="210"/>
      <c r="F64" s="192"/>
      <c r="G64" s="193" t="s">
        <v>149</v>
      </c>
      <c r="H64" s="194">
        <f>F37</f>
        <v>2018</v>
      </c>
      <c r="I64" s="211" t="s">
        <v>29</v>
      </c>
      <c r="J64" s="195">
        <f>K38</f>
        <v>2028</v>
      </c>
      <c r="K64" s="196"/>
      <c r="L64" s="212">
        <f>SUM(L51:L58)</f>
        <v>12810</v>
      </c>
      <c r="M64" s="212">
        <f>SUM(M51:M58)</f>
        <v>12076.667488864063</v>
      </c>
      <c r="N64" s="245">
        <f>SUM(N51:N58)</f>
        <v>0</v>
      </c>
      <c r="O64" s="257">
        <f>SUM(O51:O58)</f>
        <v>1379.8650905791919</v>
      </c>
      <c r="P64" s="234"/>
    </row>
    <row r="65" spans="2:16" x14ac:dyDescent="0.3">
      <c r="B65" s="209" t="s">
        <v>295</v>
      </c>
      <c r="C65" s="192"/>
      <c r="D65" s="210"/>
      <c r="E65" s="210"/>
      <c r="F65" s="192"/>
      <c r="G65" s="203" t="s">
        <v>256</v>
      </c>
      <c r="H65" s="194"/>
      <c r="I65" s="211"/>
      <c r="J65" s="195"/>
      <c r="K65" s="222">
        <f>K59</f>
        <v>2104</v>
      </c>
      <c r="L65" s="212">
        <f>L59</f>
        <v>6453117.9378000004</v>
      </c>
      <c r="M65" s="212">
        <f>M59</f>
        <v>0</v>
      </c>
      <c r="N65" s="246">
        <f>N59</f>
        <v>104</v>
      </c>
      <c r="O65" s="257">
        <f>O59</f>
        <v>0</v>
      </c>
      <c r="P65" s="235"/>
    </row>
    <row r="66" spans="2:16" ht="15" thickBot="1" x14ac:dyDescent="0.35">
      <c r="B66" s="213" t="s">
        <v>273</v>
      </c>
      <c r="C66" s="197"/>
      <c r="D66" s="214"/>
      <c r="E66" s="214"/>
      <c r="F66" s="197"/>
      <c r="G66" s="198" t="s">
        <v>149</v>
      </c>
      <c r="H66" s="199">
        <f>F37</f>
        <v>2018</v>
      </c>
      <c r="I66" s="215" t="s">
        <v>29</v>
      </c>
      <c r="J66" s="200">
        <f>K38</f>
        <v>2028</v>
      </c>
      <c r="K66" s="201"/>
      <c r="L66" s="216">
        <f>SUM(L49:L59)</f>
        <v>6477427.9378000004</v>
      </c>
      <c r="M66" s="216">
        <f>SUM(M49:M59)</f>
        <v>22386.230540124197</v>
      </c>
      <c r="N66" s="247">
        <f>SUM(N49:N59)</f>
        <v>104</v>
      </c>
      <c r="O66" s="258">
        <f>SUM(O49:O59)</f>
        <v>2557.8230137129226</v>
      </c>
      <c r="P66" s="235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3" t="s">
        <v>241</v>
      </c>
      <c r="C68" s="114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7"/>
      <c r="O68" s="118"/>
      <c r="P68" s="236"/>
    </row>
    <row r="69" spans="2:16" ht="24" x14ac:dyDescent="0.3">
      <c r="B69" s="164" t="s">
        <v>239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48" t="s">
        <v>139</v>
      </c>
      <c r="O69" s="129" t="s">
        <v>279</v>
      </c>
      <c r="P69" s="237"/>
    </row>
    <row r="70" spans="2:16" x14ac:dyDescent="0.3">
      <c r="B70" s="104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59"/>
      <c r="P70" s="238"/>
    </row>
    <row r="71" spans="2:16" x14ac:dyDescent="0.3">
      <c r="B71" s="105">
        <f>'Berekening MJOP+LTP'!B58</f>
        <v>3</v>
      </c>
      <c r="C71" s="31"/>
      <c r="D71" s="107" t="str">
        <f>'Berekening MJOP+LTP'!B74</f>
        <v>totaal klein cyclisch onderhoud</v>
      </c>
      <c r="E71" s="107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59">
        <f>'Berekening MJOP+LTP'!AC74</f>
        <v>0</v>
      </c>
      <c r="P71" s="232"/>
    </row>
    <row r="72" spans="2:16" x14ac:dyDescent="0.3">
      <c r="B72" s="105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59">
        <f>'Berekening MJOP+LTP'!AC95</f>
        <v>0</v>
      </c>
      <c r="P72" s="232"/>
    </row>
    <row r="73" spans="2:16" x14ac:dyDescent="0.3">
      <c r="B73" s="105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5" t="s">
        <v>141</v>
      </c>
      <c r="I73" s="35"/>
      <c r="J73" s="35">
        <f>F24+100</f>
        <v>2104</v>
      </c>
      <c r="K73" s="89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59">
        <f>'Berekening MJOP+LTP'!AC105</f>
        <v>0</v>
      </c>
      <c r="P73" s="232"/>
    </row>
    <row r="74" spans="2:16" x14ac:dyDescent="0.3">
      <c r="B74" s="104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59">
        <f>'Berekening MJOP+LTP'!AA145</f>
        <v>0</v>
      </c>
      <c r="P74" s="232"/>
    </row>
    <row r="75" spans="2:16" x14ac:dyDescent="0.3">
      <c r="B75" s="105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143515.28105787019</v>
      </c>
      <c r="N75" s="61">
        <f>'Berekening MJOP+LTP'!AA125</f>
        <v>0</v>
      </c>
      <c r="O75" s="259">
        <f>'Berekening MJOP+LTP'!AC125</f>
        <v>4236.507868638022</v>
      </c>
      <c r="P75" s="232"/>
    </row>
    <row r="76" spans="2:16" x14ac:dyDescent="0.3">
      <c r="B76" s="105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85356.035744013221</v>
      </c>
      <c r="N76" s="61">
        <f>'Berekening MJOP+LTP'!AA147</f>
        <v>0</v>
      </c>
      <c r="O76" s="259">
        <f>'Berekening MJOP+LTP'!AC147</f>
        <v>2519.6725700550755</v>
      </c>
      <c r="P76" s="232"/>
    </row>
    <row r="77" spans="2:16" x14ac:dyDescent="0.3">
      <c r="B77" s="105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5" t="s">
        <v>141</v>
      </c>
      <c r="I77" s="35"/>
      <c r="J77" s="35">
        <f>F24+100</f>
        <v>2104</v>
      </c>
      <c r="K77" s="89">
        <v>2104</v>
      </c>
      <c r="L77" s="64">
        <f>'Berekening MJOP+LTP'!T154</f>
        <v>5546401.8150000004</v>
      </c>
      <c r="M77" s="64">
        <f>'Berekening MJOP+LTP'!Y154</f>
        <v>849175.70318171207</v>
      </c>
      <c r="N77" s="61">
        <f>'Berekening MJOP+LTP'!AA149</f>
        <v>52</v>
      </c>
      <c r="O77" s="259">
        <f>'Berekening MJOP+LTP'!AC154</f>
        <v>25067.29263857902</v>
      </c>
      <c r="P77" s="232"/>
    </row>
    <row r="78" spans="2:16" x14ac:dyDescent="0.3">
      <c r="B78" s="104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59">
        <f>'Berekening MJOP+LTP'!AA196</f>
        <v>0</v>
      </c>
      <c r="P78" s="232"/>
    </row>
    <row r="79" spans="2:16" x14ac:dyDescent="0.3">
      <c r="B79" s="105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59">
        <f>'Berekening MJOP+LTP'!AC172</f>
        <v>0</v>
      </c>
      <c r="P79" s="232"/>
    </row>
    <row r="80" spans="2:16" x14ac:dyDescent="0.3">
      <c r="B80" s="105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59">
        <f>'Berekening MJOP+LTP'!AC185</f>
        <v>0</v>
      </c>
      <c r="P80" s="232"/>
    </row>
    <row r="81" spans="2:17" x14ac:dyDescent="0.3">
      <c r="B81" s="105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5" t="s">
        <v>141</v>
      </c>
      <c r="I81" s="35"/>
      <c r="J81" s="35">
        <f>F24+100</f>
        <v>2104</v>
      </c>
      <c r="K81" s="89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59">
        <f>'Berekening MJOP+LTP'!AC191</f>
        <v>0</v>
      </c>
      <c r="P81" s="232"/>
    </row>
    <row r="82" spans="2:17" x14ac:dyDescent="0.3">
      <c r="B82" s="104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59"/>
      <c r="P82" s="232"/>
    </row>
    <row r="83" spans="2:17" x14ac:dyDescent="0.3">
      <c r="B83" s="105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5677.8462758762635</v>
      </c>
      <c r="N83" s="61">
        <f>'Berekening MJOP+LTP'!AA199</f>
        <v>0</v>
      </c>
      <c r="O83" s="259">
        <f>'Berekening MJOP+LTP'!AC199</f>
        <v>167.6075205884689</v>
      </c>
      <c r="P83" s="232"/>
    </row>
    <row r="84" spans="2:17" x14ac:dyDescent="0.3">
      <c r="B84" s="105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59">
        <f>'Berekening MJOP+LTP'!AC202</f>
        <v>0</v>
      </c>
      <c r="P84" s="232"/>
    </row>
    <row r="85" spans="2:17" x14ac:dyDescent="0.3">
      <c r="B85" s="105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5" t="s">
        <v>141</v>
      </c>
      <c r="I85" s="35"/>
      <c r="J85" s="35">
        <f>F25+100</f>
        <v>2104</v>
      </c>
      <c r="K85" s="89">
        <v>2104</v>
      </c>
      <c r="L85" s="64">
        <f>'Berekening MJOP+LTP'!T208</f>
        <v>906716.12280000001</v>
      </c>
      <c r="M85" s="64">
        <f>'Berekening MJOP+LTP'!Y208</f>
        <v>138821.76712883639</v>
      </c>
      <c r="N85" s="61">
        <f>'Berekening MJOP+LTP'!AA204</f>
        <v>52</v>
      </c>
      <c r="O85" s="259">
        <f>'Berekening MJOP+LTP'!AC208</f>
        <v>4097.9574052633525</v>
      </c>
      <c r="P85" s="232"/>
    </row>
    <row r="86" spans="2:17" x14ac:dyDescent="0.3">
      <c r="B86" s="104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59"/>
      <c r="P86" s="232"/>
    </row>
    <row r="87" spans="2:17" x14ac:dyDescent="0.3">
      <c r="B87" s="105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59">
        <f>'Berekening MJOP+LTP'!AC216</f>
        <v>0</v>
      </c>
      <c r="P87" s="232"/>
    </row>
    <row r="88" spans="2:17" x14ac:dyDescent="0.3">
      <c r="B88" s="105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59">
        <f>'Berekening MJOP+LTP'!AC219</f>
        <v>0</v>
      </c>
      <c r="P88" s="232"/>
    </row>
    <row r="89" spans="2:17" x14ac:dyDescent="0.3">
      <c r="B89" s="105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5" t="s">
        <v>141</v>
      </c>
      <c r="I89" s="35"/>
      <c r="J89" s="35">
        <f>F25+100</f>
        <v>2104</v>
      </c>
      <c r="K89" s="89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59">
        <f>'Berekening MJOP+LTP'!AC225</f>
        <v>0</v>
      </c>
      <c r="P89" s="232"/>
    </row>
    <row r="90" spans="2:17" x14ac:dyDescent="0.3">
      <c r="B90" s="104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59"/>
      <c r="P90" s="238"/>
    </row>
    <row r="91" spans="2:17" ht="15" thickBot="1" x14ac:dyDescent="0.35">
      <c r="B91" s="106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-234708.8</v>
      </c>
      <c r="M91" s="64"/>
      <c r="N91" s="249"/>
      <c r="O91" s="260"/>
      <c r="P91" s="239"/>
      <c r="Q91" s="27"/>
    </row>
    <row r="92" spans="2:17" x14ac:dyDescent="0.3">
      <c r="B92" s="205" t="s">
        <v>296</v>
      </c>
      <c r="C92" s="206"/>
      <c r="D92" s="206"/>
      <c r="E92" s="206"/>
      <c r="F92" s="187"/>
      <c r="G92" s="202" t="s">
        <v>150</v>
      </c>
      <c r="H92" s="189">
        <f>F41</f>
        <v>2028</v>
      </c>
      <c r="I92" s="207" t="s">
        <v>29</v>
      </c>
      <c r="J92" s="190">
        <f>K42</f>
        <v>2104</v>
      </c>
      <c r="K92" s="217"/>
      <c r="L92" s="218"/>
      <c r="M92" s="218">
        <f t="shared" ref="M92:O94" si="1">M71+M75+M79+M83+M87</f>
        <v>149193.12733374647</v>
      </c>
      <c r="N92" s="265">
        <f t="shared" si="1"/>
        <v>0</v>
      </c>
      <c r="O92" s="261">
        <f t="shared" si="1"/>
        <v>4404.1153892264911</v>
      </c>
      <c r="P92" s="240"/>
    </row>
    <row r="93" spans="2:17" x14ac:dyDescent="0.3">
      <c r="B93" s="209" t="s">
        <v>297</v>
      </c>
      <c r="C93" s="210"/>
      <c r="D93" s="210"/>
      <c r="E93" s="210"/>
      <c r="F93" s="192"/>
      <c r="G93" s="203" t="s">
        <v>150</v>
      </c>
      <c r="H93" s="194">
        <f>F41</f>
        <v>2028</v>
      </c>
      <c r="I93" s="211" t="s">
        <v>29</v>
      </c>
      <c r="J93" s="195">
        <f>K42</f>
        <v>2104</v>
      </c>
      <c r="K93" s="219"/>
      <c r="L93" s="220"/>
      <c r="M93" s="220">
        <f t="shared" si="1"/>
        <v>85356.035744013221</v>
      </c>
      <c r="N93" s="250">
        <f t="shared" si="1"/>
        <v>0</v>
      </c>
      <c r="O93" s="262">
        <f t="shared" si="1"/>
        <v>2519.6725700550755</v>
      </c>
      <c r="P93" s="241"/>
    </row>
    <row r="94" spans="2:17" x14ac:dyDescent="0.3">
      <c r="B94" s="209" t="s">
        <v>295</v>
      </c>
      <c r="C94" s="210"/>
      <c r="D94" s="210"/>
      <c r="E94" s="210"/>
      <c r="F94" s="192"/>
      <c r="G94" s="203" t="s">
        <v>256</v>
      </c>
      <c r="H94" s="194"/>
      <c r="I94" s="211"/>
      <c r="J94" s="195"/>
      <c r="K94" s="223">
        <f>K59</f>
        <v>2104</v>
      </c>
      <c r="L94" s="220">
        <f>L73+L77+L81+L85+L89</f>
        <v>6453117.9378000004</v>
      </c>
      <c r="M94" s="220">
        <f t="shared" si="1"/>
        <v>987997.47031054844</v>
      </c>
      <c r="N94" s="250">
        <f t="shared" si="1"/>
        <v>104</v>
      </c>
      <c r="O94" s="262">
        <f t="shared" si="1"/>
        <v>29165.250043842374</v>
      </c>
      <c r="P94" s="241"/>
    </row>
    <row r="95" spans="2:17" ht="15" thickBot="1" x14ac:dyDescent="0.35">
      <c r="B95" s="213" t="s">
        <v>298</v>
      </c>
      <c r="C95" s="214"/>
      <c r="D95" s="214"/>
      <c r="E95" s="214"/>
      <c r="F95" s="197"/>
      <c r="G95" s="204" t="s">
        <v>256</v>
      </c>
      <c r="H95" s="199"/>
      <c r="I95" s="215"/>
      <c r="J95" s="200"/>
      <c r="K95" s="224">
        <f>K59</f>
        <v>2104</v>
      </c>
      <c r="L95" s="221">
        <f>L91</f>
        <v>-234708.8</v>
      </c>
      <c r="M95" s="221"/>
      <c r="N95" s="251"/>
      <c r="O95" s="263"/>
      <c r="P95" s="241"/>
    </row>
    <row r="97" spans="3:6" ht="15" thickBot="1" x14ac:dyDescent="0.35"/>
    <row r="98" spans="3:6" x14ac:dyDescent="0.3">
      <c r="C98" s="172" t="s">
        <v>257</v>
      </c>
      <c r="D98" s="173"/>
      <c r="E98" s="173"/>
      <c r="F98" s="174"/>
    </row>
    <row r="99" spans="3:6" x14ac:dyDescent="0.3">
      <c r="C99" s="175" t="s">
        <v>11</v>
      </c>
      <c r="D99" s="177"/>
      <c r="E99" s="178" t="s">
        <v>258</v>
      </c>
      <c r="F99" s="176" t="s">
        <v>259</v>
      </c>
    </row>
    <row r="100" spans="3:6" x14ac:dyDescent="0.3">
      <c r="C100" s="183" t="str">
        <f>'Berekening MJOP+LTP'!K229</f>
        <v>(Constructie) staal spoordek</v>
      </c>
      <c r="D100" s="179"/>
      <c r="E100" s="226">
        <f>'Berekening MJOP+LTP'!Q229</f>
        <v>2.044</v>
      </c>
      <c r="F100" s="181" t="str">
        <f>'Berekening MJOP+LTP'!R229</f>
        <v>ton</v>
      </c>
    </row>
    <row r="101" spans="3:6" x14ac:dyDescent="0.3">
      <c r="C101" s="184" t="str">
        <f>'Berekening MJOP+LTP'!K230</f>
        <v>Beton spoordek</v>
      </c>
      <c r="D101" s="179"/>
      <c r="E101" s="57">
        <f>'Berekening MJOP+LTP'!Q230</f>
        <v>1010</v>
      </c>
      <c r="F101" s="181" t="str">
        <f>'Berekening MJOP+LTP'!R230</f>
        <v>ton</v>
      </c>
    </row>
    <row r="102" spans="3:6" x14ac:dyDescent="0.3">
      <c r="C102" s="184" t="str">
        <f>'Berekening MJOP+LTP'!K231</f>
        <v>Betonstaal spoordek</v>
      </c>
      <c r="D102" s="179"/>
      <c r="E102" s="57">
        <f>'Berekening MJOP+LTP'!Q231</f>
        <v>505</v>
      </c>
      <c r="F102" s="181" t="str">
        <f>'Berekening MJOP+LTP'!R231</f>
        <v>ton</v>
      </c>
    </row>
    <row r="103" spans="3:6" x14ac:dyDescent="0.3">
      <c r="C103" s="184" t="str">
        <f>'Berekening MJOP+LTP'!K232</f>
        <v>Beton onderbouw</v>
      </c>
      <c r="D103" s="179"/>
      <c r="E103" s="57">
        <f>'Berekening MJOP+LTP'!Q232</f>
        <v>919.99999999999989</v>
      </c>
      <c r="F103" s="181" t="str">
        <f>'Berekening MJOP+LTP'!R232</f>
        <v>ton</v>
      </c>
    </row>
    <row r="104" spans="3:6" x14ac:dyDescent="0.3">
      <c r="C104" s="184" t="str">
        <f>'Berekening MJOP+LTP'!K233</f>
        <v>Betonstaal onderbouw</v>
      </c>
      <c r="D104" s="179"/>
      <c r="E104" s="61">
        <f>'Berekening MJOP+LTP'!Q233</f>
        <v>184</v>
      </c>
      <c r="F104" s="181" t="str">
        <f>'Berekening MJOP+LTP'!R233</f>
        <v>ton</v>
      </c>
    </row>
    <row r="105" spans="3:6" x14ac:dyDescent="0.3">
      <c r="C105" s="184" t="str">
        <f>'Berekening MJOP+LTP'!K234</f>
        <v>Metselwerk spoordek</v>
      </c>
      <c r="D105" s="179"/>
      <c r="E105" s="57">
        <f>'Berekening MJOP+LTP'!Q234</f>
        <v>0</v>
      </c>
      <c r="F105" s="181" t="str">
        <f>'Berekening MJOP+LTP'!R234</f>
        <v>ton</v>
      </c>
    </row>
    <row r="106" spans="3:6" x14ac:dyDescent="0.3">
      <c r="C106" s="184" t="str">
        <f>'Berekening MJOP+LTP'!K235</f>
        <v>Metselwerk onderbouw</v>
      </c>
      <c r="D106" s="179"/>
      <c r="E106" s="57">
        <f>'Berekening MJOP+LTP'!Q235</f>
        <v>0</v>
      </c>
      <c r="F106" s="181" t="str">
        <f>'Berekening MJOP+LTP'!R235</f>
        <v>ton</v>
      </c>
    </row>
    <row r="107" spans="3:6" ht="15" thickBot="1" x14ac:dyDescent="0.35">
      <c r="C107" s="185" t="str">
        <f>'Berekening MJOP+LTP'!K236</f>
        <v>(Constructie) staal geluidscherm</v>
      </c>
      <c r="D107" s="180"/>
      <c r="E107" s="279">
        <f>'Berekening MJOP+LTP'!Q236</f>
        <v>0</v>
      </c>
      <c r="F107" s="182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zoomScale="90" zoomScaleNormal="90" zoomScaleSheetLayoutView="90" workbookViewId="0">
      <pane ySplit="2" topLeftCell="A3" activePane="bottomLeft" state="frozen"/>
      <selection pane="bottomLeft" activeCell="M211" sqref="M211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234</v>
      </c>
      <c r="C1" s="3" t="s">
        <v>235</v>
      </c>
      <c r="D1" s="3" t="s">
        <v>237</v>
      </c>
      <c r="E1" s="3" t="s">
        <v>232</v>
      </c>
      <c r="F1" s="3" t="s">
        <v>0</v>
      </c>
      <c r="G1" s="3"/>
      <c r="H1" s="3"/>
      <c r="I1" s="3" t="s">
        <v>229</v>
      </c>
      <c r="J1" s="3"/>
      <c r="K1" s="3" t="s">
        <v>11</v>
      </c>
      <c r="L1" s="3"/>
      <c r="M1" s="3"/>
      <c r="N1" s="3"/>
      <c r="O1" s="3" t="s">
        <v>54</v>
      </c>
      <c r="P1" s="3" t="s">
        <v>135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140</v>
      </c>
      <c r="X1" s="3"/>
      <c r="Y1" s="20" t="s">
        <v>68</v>
      </c>
      <c r="Z1" s="20" t="s">
        <v>138</v>
      </c>
      <c r="AA1" s="20" t="s">
        <v>142</v>
      </c>
      <c r="AC1" s="20" t="s">
        <v>277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233</v>
      </c>
      <c r="C2" s="3" t="s">
        <v>238</v>
      </c>
      <c r="D2" s="3" t="s">
        <v>236</v>
      </c>
      <c r="E2" s="3" t="s">
        <v>231</v>
      </c>
      <c r="F2" s="3"/>
      <c r="G2" s="3"/>
      <c r="H2" s="3"/>
      <c r="I2" s="3" t="s">
        <v>230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278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8" t="s">
        <v>14</v>
      </c>
      <c r="D7" s="1" t="s">
        <v>285</v>
      </c>
      <c r="K7" s="1" t="s">
        <v>19</v>
      </c>
    </row>
    <row r="8" spans="2:236" ht="13.8" x14ac:dyDescent="0.3">
      <c r="B8" s="169"/>
      <c r="D8" s="1" t="s">
        <v>41</v>
      </c>
      <c r="K8" s="1" t="s">
        <v>13</v>
      </c>
    </row>
    <row r="9" spans="2:236" ht="13.8" x14ac:dyDescent="0.3">
      <c r="B9" s="169"/>
      <c r="D9" s="1" t="s">
        <v>252</v>
      </c>
      <c r="K9" s="1" t="s">
        <v>25</v>
      </c>
    </row>
    <row r="10" spans="2:236" ht="13.8" x14ac:dyDescent="0.3">
      <c r="B10" s="169"/>
      <c r="D10" s="167" t="s">
        <v>255</v>
      </c>
      <c r="H10" s="170">
        <v>2.38</v>
      </c>
      <c r="I10" s="166">
        <v>2.38</v>
      </c>
    </row>
    <row r="11" spans="2:236" ht="13.8" x14ac:dyDescent="0.3">
      <c r="B11" s="169"/>
    </row>
    <row r="12" spans="2:236" ht="13.8" x14ac:dyDescent="0.3">
      <c r="B12" s="168" t="s">
        <v>15</v>
      </c>
      <c r="D12" s="1" t="s">
        <v>284</v>
      </c>
      <c r="K12" s="1" t="s">
        <v>18</v>
      </c>
    </row>
    <row r="13" spans="2:236" ht="13.8" x14ac:dyDescent="0.3">
      <c r="B13" s="169"/>
      <c r="D13" s="1" t="s">
        <v>16</v>
      </c>
      <c r="K13" s="1" t="s">
        <v>20</v>
      </c>
    </row>
    <row r="14" spans="2:236" ht="13.8" x14ac:dyDescent="0.3">
      <c r="B14" s="169"/>
      <c r="D14" s="1" t="s">
        <v>253</v>
      </c>
    </row>
    <row r="15" spans="2:236" ht="13.8" x14ac:dyDescent="0.3">
      <c r="B15" s="169"/>
      <c r="D15" s="167" t="s">
        <v>254</v>
      </c>
      <c r="E15" s="14"/>
      <c r="F15" s="14"/>
      <c r="G15" s="14"/>
      <c r="H15" s="165">
        <v>1.77</v>
      </c>
    </row>
    <row r="16" spans="2:236" ht="13.8" x14ac:dyDescent="0.3">
      <c r="B16" s="169"/>
    </row>
    <row r="17" spans="2:236" ht="13.8" x14ac:dyDescent="0.3">
      <c r="B17" s="168" t="s">
        <v>17</v>
      </c>
      <c r="D17" s="1" t="s">
        <v>286</v>
      </c>
      <c r="K17" s="1" t="s">
        <v>248</v>
      </c>
    </row>
    <row r="18" spans="2:236" ht="13.8" x14ac:dyDescent="0.3">
      <c r="B18" s="169"/>
      <c r="D18" s="1" t="s">
        <v>40</v>
      </c>
      <c r="K18" s="1" t="s">
        <v>249</v>
      </c>
    </row>
    <row r="19" spans="2:236" ht="13.8" x14ac:dyDescent="0.3">
      <c r="B19" s="169"/>
      <c r="D19" s="1" t="s">
        <v>253</v>
      </c>
      <c r="K19" s="1" t="s">
        <v>250</v>
      </c>
    </row>
    <row r="20" spans="2:236" ht="13.8" x14ac:dyDescent="0.3">
      <c r="B20" s="169"/>
      <c r="D20" s="167" t="s">
        <v>254</v>
      </c>
      <c r="H20" s="171">
        <v>1.77</v>
      </c>
      <c r="I20" s="166">
        <v>1.77</v>
      </c>
    </row>
    <row r="21" spans="2:236" x14ac:dyDescent="0.25">
      <c r="K21" s="25" t="s">
        <v>146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2" t="s">
        <v>251</v>
      </c>
      <c r="C24" s="273"/>
      <c r="D24" s="273"/>
      <c r="E24" s="273"/>
      <c r="F24" s="273"/>
      <c r="G24" s="273"/>
      <c r="H24" s="273"/>
      <c r="I24" s="274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234</v>
      </c>
      <c r="C28" s="3" t="s">
        <v>235</v>
      </c>
      <c r="D28" s="3" t="s">
        <v>237</v>
      </c>
      <c r="E28" s="3" t="s">
        <v>232</v>
      </c>
      <c r="F28" s="3" t="s">
        <v>0</v>
      </c>
      <c r="G28" s="3"/>
      <c r="H28" s="3"/>
      <c r="I28" s="3" t="s">
        <v>229</v>
      </c>
      <c r="J28" s="3"/>
      <c r="K28" s="3" t="s">
        <v>11</v>
      </c>
      <c r="L28" s="3"/>
      <c r="M28" s="3"/>
      <c r="N28" s="3"/>
      <c r="O28" s="3" t="s">
        <v>54</v>
      </c>
      <c r="P28" s="3" t="s">
        <v>135</v>
      </c>
      <c r="Q28" s="3" t="s">
        <v>30</v>
      </c>
      <c r="R28" s="3" t="s">
        <v>69</v>
      </c>
      <c r="S28" s="159" t="s">
        <v>32</v>
      </c>
      <c r="T28" s="3" t="s">
        <v>24</v>
      </c>
      <c r="U28" s="3" t="s">
        <v>36</v>
      </c>
      <c r="V28" s="3" t="s">
        <v>71</v>
      </c>
      <c r="W28" s="3" t="s">
        <v>140</v>
      </c>
      <c r="X28" s="3"/>
      <c r="Y28" s="20" t="s">
        <v>68</v>
      </c>
      <c r="Z28" s="20" t="s">
        <v>138</v>
      </c>
      <c r="AA28" s="20" t="s">
        <v>142</v>
      </c>
      <c r="AC28" s="20" t="s">
        <v>277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233</v>
      </c>
      <c r="C29" s="3" t="s">
        <v>238</v>
      </c>
      <c r="D29" s="3" t="s">
        <v>236</v>
      </c>
      <c r="E29" s="3" t="s">
        <v>231</v>
      </c>
      <c r="F29" s="3"/>
      <c r="G29" s="3"/>
      <c r="H29" s="3"/>
      <c r="I29" s="3" t="s">
        <v>230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278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280</v>
      </c>
      <c r="K31" s="1" t="s">
        <v>281</v>
      </c>
      <c r="O31" s="1" t="s">
        <v>290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1"/>
      <c r="AA31" s="81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275</v>
      </c>
      <c r="K32" s="1" t="s">
        <v>148</v>
      </c>
      <c r="O32" s="1" t="s">
        <v>290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1"/>
      <c r="AA32" s="81"/>
      <c r="AC32" s="227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289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4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283</v>
      </c>
      <c r="I35" s="1" t="s">
        <v>282</v>
      </c>
      <c r="K35" s="1" t="s">
        <v>288</v>
      </c>
      <c r="O35" s="1" t="s">
        <v>291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1"/>
      <c r="AA35" s="81"/>
      <c r="AC35" s="227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287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6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0">
        <v>1</v>
      </c>
      <c r="R38" s="80" t="s">
        <v>33</v>
      </c>
      <c r="S38" s="80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1"/>
      <c r="AA38" s="81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1</v>
      </c>
      <c r="C39" s="76" t="s">
        <v>22</v>
      </c>
      <c r="D39" s="78">
        <v>2</v>
      </c>
      <c r="E39" s="76" t="s">
        <v>22</v>
      </c>
      <c r="F39" s="76" t="s">
        <v>21</v>
      </c>
      <c r="G39" s="76"/>
      <c r="H39" s="76"/>
      <c r="I39" s="76" t="s">
        <v>275</v>
      </c>
      <c r="J39" s="76"/>
      <c r="K39" s="76" t="s">
        <v>308</v>
      </c>
      <c r="L39" s="76"/>
      <c r="M39" s="76"/>
      <c r="N39" s="76"/>
      <c r="O39" s="77"/>
      <c r="P39" s="77"/>
      <c r="Q39" s="80">
        <f>2*15*4</f>
        <v>120</v>
      </c>
      <c r="R39" s="80" t="s">
        <v>35</v>
      </c>
      <c r="S39" s="82">
        <f>H15*25</f>
        <v>44.25</v>
      </c>
      <c r="T39" s="9">
        <f t="shared" si="4"/>
        <v>5310</v>
      </c>
      <c r="U39" s="11">
        <v>1</v>
      </c>
      <c r="V39" s="14"/>
      <c r="W39" s="9">
        <f>Voorblad!K52</f>
        <v>2020</v>
      </c>
      <c r="Y39" s="9">
        <f t="shared" ref="Y39:Y45" si="5">SUM(AE39:EB39)</f>
        <v>5054.1344437834623</v>
      </c>
      <c r="Z39" s="81"/>
      <c r="AA39" s="81"/>
      <c r="AC39" s="9">
        <f>$Y39*(Voorblad!$K$44*(1+Voorblad!$K$44)^Voorblad!$K$37)/((1+Voorblad!$K$44)^Voorblad!$K$37-1)</f>
        <v>577.47915047768367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5054.1344437834623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>
        <v>2</v>
      </c>
      <c r="C40" s="76" t="s">
        <v>22</v>
      </c>
      <c r="D40" s="76">
        <v>3</v>
      </c>
      <c r="E40" s="76" t="s">
        <v>22</v>
      </c>
      <c r="F40" s="76" t="s">
        <v>21</v>
      </c>
      <c r="G40" s="76"/>
      <c r="H40" s="76"/>
      <c r="I40" s="76" t="s">
        <v>47</v>
      </c>
      <c r="J40" s="76"/>
      <c r="K40" s="76" t="s">
        <v>307</v>
      </c>
      <c r="L40" s="76"/>
      <c r="M40" s="76"/>
      <c r="N40" s="76"/>
      <c r="O40" s="77"/>
      <c r="P40" s="77"/>
      <c r="Q40" s="80">
        <v>1</v>
      </c>
      <c r="R40" s="80" t="s">
        <v>33</v>
      </c>
      <c r="S40" s="80">
        <v>2500</v>
      </c>
      <c r="T40" s="9">
        <f t="shared" si="4"/>
        <v>2500</v>
      </c>
      <c r="U40" s="11">
        <v>1</v>
      </c>
      <c r="V40" s="14"/>
      <c r="W40" s="9">
        <f>Voorblad!K53</f>
        <v>2020</v>
      </c>
      <c r="Y40" s="9">
        <f t="shared" si="5"/>
        <v>2379.5359904818561</v>
      </c>
      <c r="Z40" s="81"/>
      <c r="AA40" s="81"/>
      <c r="AC40" s="9">
        <f>$Y40*(Voorblad!$K$44*(1+Voorblad!$K$44)^Voorblad!$K$37)/((1+Voorblad!$K$44)^Voorblad!$K$37-1)</f>
        <v>271.88283920794902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2379.5359904818561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0">
        <v>1</v>
      </c>
      <c r="R41" s="80" t="s">
        <v>33</v>
      </c>
      <c r="S41" s="80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1"/>
      <c r="AA41" s="81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9"/>
      <c r="P42" s="79"/>
      <c r="Q42" s="80">
        <v>1</v>
      </c>
      <c r="R42" s="80" t="s">
        <v>33</v>
      </c>
      <c r="S42" s="80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1"/>
      <c r="AA42" s="81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0">
        <v>1</v>
      </c>
      <c r="R43" s="80" t="s">
        <v>33</v>
      </c>
      <c r="S43" s="80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1"/>
      <c r="AA43" s="81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0">
        <v>1</v>
      </c>
      <c r="R44" s="80" t="s">
        <v>33</v>
      </c>
      <c r="S44" s="80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1"/>
      <c r="AA44" s="81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0">
        <v>1</v>
      </c>
      <c r="R45" s="80" t="s">
        <v>33</v>
      </c>
      <c r="S45" s="80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1"/>
      <c r="AA45" s="81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19" t="s">
        <v>22</v>
      </c>
      <c r="D46" s="119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228</v>
      </c>
      <c r="P46" s="14" t="s">
        <v>309</v>
      </c>
      <c r="Q46" s="82">
        <f>29.177*2*8.265</f>
        <v>482.29581000000002</v>
      </c>
      <c r="R46" s="80" t="s">
        <v>35</v>
      </c>
      <c r="S46" s="80">
        <v>13380</v>
      </c>
      <c r="T46" s="9">
        <f t="shared" si="4"/>
        <v>6453117.9378000004</v>
      </c>
      <c r="U46" s="11">
        <v>1</v>
      </c>
      <c r="V46" s="1">
        <f>Voorblad!F24+100</f>
        <v>2104</v>
      </c>
      <c r="W46" s="9">
        <f>Voorblad!K59</f>
        <v>2104</v>
      </c>
      <c r="X46" s="6"/>
      <c r="Y46" s="9">
        <f>SUM(AE46:EB46)</f>
        <v>0</v>
      </c>
      <c r="Z46" s="81" t="s">
        <v>276</v>
      </c>
      <c r="AA46" s="81">
        <v>104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266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247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5" t="s">
        <v>72</v>
      </c>
      <c r="C52" s="276"/>
      <c r="D52" s="277"/>
      <c r="E52" s="277"/>
      <c r="F52" s="277"/>
      <c r="G52" s="277"/>
      <c r="H52" s="277"/>
      <c r="I52" s="277"/>
      <c r="J52" s="277"/>
      <c r="K52" s="278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234</v>
      </c>
      <c r="C54" s="3"/>
      <c r="D54" s="3"/>
      <c r="E54" s="3"/>
      <c r="F54" s="3" t="s">
        <v>0</v>
      </c>
      <c r="G54" s="3"/>
      <c r="H54" s="3"/>
      <c r="I54" s="3" t="s">
        <v>229</v>
      </c>
      <c r="J54" s="3"/>
      <c r="K54" s="3" t="s">
        <v>11</v>
      </c>
      <c r="L54" s="3"/>
      <c r="M54" s="3"/>
      <c r="N54" s="3"/>
      <c r="O54" s="3" t="s">
        <v>54</v>
      </c>
      <c r="P54" s="3" t="s">
        <v>135</v>
      </c>
      <c r="Q54" s="3" t="s">
        <v>30</v>
      </c>
      <c r="R54" s="3" t="s">
        <v>69</v>
      </c>
      <c r="S54" s="159" t="s">
        <v>32</v>
      </c>
      <c r="T54" s="3" t="s">
        <v>24</v>
      </c>
      <c r="U54" s="3" t="s">
        <v>36</v>
      </c>
      <c r="V54" s="3" t="s">
        <v>71</v>
      </c>
      <c r="W54" s="3" t="s">
        <v>140</v>
      </c>
      <c r="X54" s="6"/>
      <c r="Y54" s="20" t="s">
        <v>68</v>
      </c>
      <c r="Z54" s="20" t="s">
        <v>138</v>
      </c>
      <c r="AA54" s="20" t="s">
        <v>142</v>
      </c>
      <c r="AC54" s="20" t="s">
        <v>277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233</v>
      </c>
      <c r="I55" s="3" t="s">
        <v>230</v>
      </c>
      <c r="O55" s="14"/>
      <c r="P55" s="14"/>
      <c r="V55" s="3" t="s">
        <v>70</v>
      </c>
      <c r="AC55" s="20" t="s">
        <v>278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274</v>
      </c>
      <c r="K58" s="1" t="s">
        <v>281</v>
      </c>
      <c r="N58" s="3"/>
      <c r="Q58" s="80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1"/>
      <c r="AA58" s="81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1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275</v>
      </c>
      <c r="K59" s="1" t="s">
        <v>109</v>
      </c>
      <c r="N59" s="3"/>
      <c r="O59" s="1" t="s">
        <v>133</v>
      </c>
      <c r="Q59" s="82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1"/>
      <c r="AA59" s="81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275</v>
      </c>
      <c r="K60" s="1" t="s">
        <v>151</v>
      </c>
      <c r="N60" s="3"/>
      <c r="Q60" s="82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1"/>
      <c r="AA60" s="81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275</v>
      </c>
      <c r="K61" s="1" t="s">
        <v>144</v>
      </c>
      <c r="N61" s="3"/>
      <c r="Q61" s="80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1"/>
      <c r="AA61" s="81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2</v>
      </c>
      <c r="HC61" s="8">
        <f>IF(HC$56-Voorblad!$F$41&gt;Voorblad!$K$41,0,IF($U61=0,0,IF($U61&lt;1,1/$U61,IF((HC$56-Voorblad!$F$41)/$U61-SUM($EE61:HB61)=1,1,0))))</f>
        <v>2</v>
      </c>
      <c r="HD61" s="8">
        <f>IF(HD$56-Voorblad!$F$41&gt;Voorblad!$K$41,0,IF($U61=0,0,IF($U61&lt;1,1/$U61,IF((HD$56-Voorblad!$F$41)/$U61-SUM($EE61:HC61)=1,1,0))))</f>
        <v>2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275</v>
      </c>
      <c r="K62" s="14" t="s">
        <v>163</v>
      </c>
      <c r="L62" s="14"/>
      <c r="M62" s="14"/>
      <c r="N62" s="3"/>
      <c r="P62" s="1" t="s">
        <v>183</v>
      </c>
      <c r="Q62" s="80">
        <v>0</v>
      </c>
      <c r="R62" s="146" t="s">
        <v>195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1"/>
      <c r="AA62" s="81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275</v>
      </c>
      <c r="K63" s="14" t="s">
        <v>167</v>
      </c>
      <c r="L63" s="14"/>
      <c r="M63" s="14"/>
      <c r="N63" s="3"/>
      <c r="O63" s="1" t="s">
        <v>169</v>
      </c>
      <c r="Q63" s="80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1"/>
      <c r="AA63" s="81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1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275</v>
      </c>
      <c r="K64" s="14" t="s">
        <v>202</v>
      </c>
      <c r="L64" s="14"/>
      <c r="M64" s="14"/>
      <c r="N64" s="3"/>
      <c r="O64" s="1" t="s">
        <v>170</v>
      </c>
      <c r="P64" s="1" t="s">
        <v>173</v>
      </c>
      <c r="Q64" s="80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1"/>
      <c r="AA64" s="81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1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275</v>
      </c>
      <c r="K65" s="14" t="s">
        <v>168</v>
      </c>
      <c r="L65" s="14"/>
      <c r="M65" s="14"/>
      <c r="N65" s="3"/>
      <c r="O65" s="1" t="s">
        <v>171</v>
      </c>
      <c r="P65" s="1" t="s">
        <v>174</v>
      </c>
      <c r="Q65" s="80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1"/>
      <c r="AA65" s="81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1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275</v>
      </c>
      <c r="K66" s="14" t="s">
        <v>166</v>
      </c>
      <c r="L66" s="14"/>
      <c r="M66" s="14"/>
      <c r="N66" s="3"/>
      <c r="O66" s="1" t="s">
        <v>171</v>
      </c>
      <c r="P66" s="1" t="s">
        <v>174</v>
      </c>
      <c r="Q66" s="80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1"/>
      <c r="AA66" s="81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1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275</v>
      </c>
      <c r="K67" s="14" t="s">
        <v>188</v>
      </c>
      <c r="L67" s="14"/>
      <c r="M67" s="14"/>
      <c r="N67" s="3"/>
      <c r="O67" s="1" t="s">
        <v>172</v>
      </c>
      <c r="P67" s="1" t="s">
        <v>175</v>
      </c>
      <c r="Q67" s="80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1"/>
      <c r="AA67" s="81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1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275</v>
      </c>
      <c r="K68" s="14" t="s">
        <v>94</v>
      </c>
      <c r="L68" s="14"/>
      <c r="M68" s="14"/>
      <c r="N68" s="3"/>
      <c r="O68" s="1" t="s">
        <v>177</v>
      </c>
      <c r="P68" s="1" t="s">
        <v>176</v>
      </c>
      <c r="Q68" s="80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1"/>
      <c r="AA68" s="81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1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275</v>
      </c>
      <c r="K69" s="14" t="s">
        <v>53</v>
      </c>
      <c r="L69" s="14"/>
      <c r="M69" s="14"/>
      <c r="N69" s="3"/>
      <c r="O69" s="1" t="s">
        <v>177</v>
      </c>
      <c r="P69" s="1" t="s">
        <v>178</v>
      </c>
      <c r="Q69" s="80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1"/>
      <c r="AA69" s="81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1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275</v>
      </c>
      <c r="K70" s="14" t="s">
        <v>190</v>
      </c>
      <c r="L70" s="14"/>
      <c r="M70" s="14"/>
      <c r="N70" s="3"/>
      <c r="O70" s="1" t="s">
        <v>177</v>
      </c>
      <c r="P70" s="1" t="s">
        <v>179</v>
      </c>
      <c r="Q70" s="80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1"/>
      <c r="AA70" s="81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1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275</v>
      </c>
      <c r="K71" s="14" t="s">
        <v>153</v>
      </c>
      <c r="L71" s="14"/>
      <c r="M71" s="14"/>
      <c r="N71" s="3"/>
      <c r="O71" s="1" t="s">
        <v>177</v>
      </c>
      <c r="P71" s="1" t="s">
        <v>180</v>
      </c>
      <c r="Q71" s="80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1"/>
      <c r="AA71" s="81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1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275</v>
      </c>
      <c r="K72" s="14" t="s">
        <v>164</v>
      </c>
      <c r="L72" s="14"/>
      <c r="M72" s="14"/>
      <c r="N72" s="3"/>
      <c r="O72" s="1" t="s">
        <v>177</v>
      </c>
      <c r="P72" s="1" t="s">
        <v>181</v>
      </c>
      <c r="Q72" s="80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1"/>
      <c r="AA72" s="81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1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275</v>
      </c>
      <c r="K73" s="14" t="s">
        <v>165</v>
      </c>
      <c r="L73" s="14"/>
      <c r="M73" s="14"/>
      <c r="N73" s="3"/>
      <c r="O73" s="1" t="s">
        <v>177</v>
      </c>
      <c r="P73" s="1" t="s">
        <v>182</v>
      </c>
      <c r="Q73" s="80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1"/>
      <c r="AA73" s="81"/>
      <c r="AC73" s="227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1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267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49" t="s">
        <v>145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192</v>
      </c>
      <c r="K76" s="1" t="s">
        <v>78</v>
      </c>
      <c r="N76" s="3"/>
      <c r="Q76" s="80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1"/>
      <c r="AA76" s="81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192</v>
      </c>
      <c r="K77" s="1" t="s">
        <v>79</v>
      </c>
      <c r="N77" s="3"/>
      <c r="Q77" s="80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1"/>
      <c r="AA77" s="81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192</v>
      </c>
      <c r="K78" s="1" t="s">
        <v>80</v>
      </c>
      <c r="N78" s="3"/>
      <c r="Q78" s="80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1"/>
      <c r="AA78" s="81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192</v>
      </c>
      <c r="K79" s="1" t="s">
        <v>81</v>
      </c>
      <c r="N79" s="3"/>
      <c r="Q79" s="80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1"/>
      <c r="AA79" s="81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192</v>
      </c>
      <c r="K80" s="1" t="s">
        <v>59</v>
      </c>
      <c r="N80" s="3"/>
      <c r="O80" s="1" t="s">
        <v>186</v>
      </c>
      <c r="P80" s="1" t="s">
        <v>176</v>
      </c>
      <c r="Q80" s="80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1"/>
      <c r="AA80" s="81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192</v>
      </c>
      <c r="K81" s="1" t="s">
        <v>50</v>
      </c>
      <c r="N81" s="3"/>
      <c r="O81" s="1" t="s">
        <v>186</v>
      </c>
      <c r="P81" s="1" t="s">
        <v>178</v>
      </c>
      <c r="Q81" s="80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1"/>
      <c r="AA81" s="81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192</v>
      </c>
      <c r="K82" s="14" t="s">
        <v>189</v>
      </c>
      <c r="N82" s="3"/>
      <c r="O82" s="1" t="s">
        <v>186</v>
      </c>
      <c r="P82" s="1" t="s">
        <v>179</v>
      </c>
      <c r="Q82" s="80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1"/>
      <c r="AA82" s="81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192</v>
      </c>
      <c r="K83" s="14" t="s">
        <v>154</v>
      </c>
      <c r="N83" s="3"/>
      <c r="O83" s="1" t="s">
        <v>186</v>
      </c>
      <c r="P83" s="1" t="s">
        <v>180</v>
      </c>
      <c r="Q83" s="80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1"/>
      <c r="AA83" s="81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192</v>
      </c>
      <c r="K84" s="14" t="s">
        <v>184</v>
      </c>
      <c r="N84" s="3"/>
      <c r="O84" s="1" t="s">
        <v>186</v>
      </c>
      <c r="P84" s="1" t="s">
        <v>181</v>
      </c>
      <c r="Q84" s="80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1"/>
      <c r="AA84" s="81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192</v>
      </c>
      <c r="K85" s="14" t="s">
        <v>185</v>
      </c>
      <c r="N85" s="3"/>
      <c r="O85" s="1" t="s">
        <v>186</v>
      </c>
      <c r="P85" s="1" t="s">
        <v>182</v>
      </c>
      <c r="Q85" s="80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1"/>
      <c r="AA85" s="81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201</v>
      </c>
      <c r="N86" s="3"/>
      <c r="Q86" s="80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1"/>
      <c r="AA86" s="81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159</v>
      </c>
      <c r="N87" s="3"/>
      <c r="P87" s="14" t="s">
        <v>193</v>
      </c>
      <c r="Q87" s="80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1"/>
      <c r="AA87" s="81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187</v>
      </c>
      <c r="N88" s="3"/>
      <c r="P88" s="14" t="s">
        <v>193</v>
      </c>
      <c r="Q88" s="80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1"/>
      <c r="AA88" s="81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191</v>
      </c>
      <c r="N89" s="3"/>
      <c r="P89" s="14" t="s">
        <v>193</v>
      </c>
      <c r="Q89" s="80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1"/>
      <c r="AA89" s="81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0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1"/>
      <c r="AA90" s="81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0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1"/>
      <c r="AA91" s="81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0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1"/>
      <c r="AA92" s="81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134</v>
      </c>
      <c r="N93" s="3"/>
      <c r="O93" s="1" t="s">
        <v>77</v>
      </c>
      <c r="Q93" s="80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1"/>
      <c r="AA93" s="81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7" t="s">
        <v>194</v>
      </c>
      <c r="N94" s="3"/>
      <c r="Q94" s="80">
        <v>0</v>
      </c>
      <c r="R94" s="146" t="s">
        <v>195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1"/>
      <c r="AA94" s="81"/>
      <c r="AC94" s="227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268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0">
        <v>0</v>
      </c>
      <c r="R97" s="80" t="s">
        <v>33</v>
      </c>
      <c r="S97" s="80">
        <v>0</v>
      </c>
      <c r="T97" s="14">
        <f t="shared" ref="T97:T104" si="19">Q97*S97</f>
        <v>0</v>
      </c>
      <c r="U97" s="11">
        <v>1</v>
      </c>
      <c r="V97" s="14">
        <f>Voorblad!F24+100</f>
        <v>2104</v>
      </c>
      <c r="W97" s="9">
        <f>Voorblad!K73</f>
        <v>0</v>
      </c>
      <c r="X97" s="6"/>
      <c r="Y97" s="9">
        <f t="shared" si="11"/>
        <v>0</v>
      </c>
      <c r="Z97" s="81"/>
      <c r="AA97" s="81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1</v>
      </c>
      <c r="HC97" s="8">
        <f>IF(HC$56-Voorblad!$F$41&gt;Voorblad!$K$41,0,IF($U97=0,0,IF($U97&lt;1,1/$U97,IF((HC$56-Voorblad!$F$41)/$U97-SUM($EE97:HB97)=1,1,0))))</f>
        <v>1</v>
      </c>
      <c r="HD97" s="8">
        <f>IF(HD$56-Voorblad!$F$41&gt;Voorblad!$K$41,0,IF($U97=0,0,IF($U97&lt;1,1/$U97,IF((HD$56-Voorblad!$F$41)/$U97-SUM($EE97:HC97)=1,1,0))))</f>
        <v>1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0">
        <v>0</v>
      </c>
      <c r="R98" s="80" t="s">
        <v>33</v>
      </c>
      <c r="S98" s="80">
        <v>0</v>
      </c>
      <c r="T98" s="14">
        <f t="shared" si="19"/>
        <v>0</v>
      </c>
      <c r="U98" s="11">
        <v>1</v>
      </c>
      <c r="V98" s="14"/>
      <c r="W98" s="80">
        <v>0</v>
      </c>
      <c r="X98" s="6"/>
      <c r="Y98" s="9">
        <f t="shared" si="11"/>
        <v>0</v>
      </c>
      <c r="Z98" s="81"/>
      <c r="AA98" s="81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1</v>
      </c>
      <c r="HC98" s="8">
        <f>IF(HC$56-Voorblad!$F$41&gt;Voorblad!$K$41,0,IF($U98=0,0,IF($U98&lt;1,1/$U98,IF((HC$56-Voorblad!$F$41)/$U98-SUM($EE98:HB98)=1,1,0))))</f>
        <v>1</v>
      </c>
      <c r="HD98" s="8">
        <f>IF(HD$56-Voorblad!$F$41&gt;Voorblad!$K$41,0,IF($U98=0,0,IF($U98&lt;1,1/$U98,IF((HD$56-Voorblad!$F$41)/$U98-SUM($EE98:HC98)=1,1,0))))</f>
        <v>1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152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0">
        <v>0</v>
      </c>
      <c r="X99" s="6"/>
      <c r="Y99" s="9">
        <f t="shared" si="11"/>
        <v>0</v>
      </c>
      <c r="Z99" s="81"/>
      <c r="AA99" s="81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1</v>
      </c>
      <c r="HC99" s="8">
        <f>IF(HC$56-Voorblad!$F$41&gt;Voorblad!$K$41,0,IF($U99=0,0,IF($U99&lt;1,1/$U99,IF((HC$56-Voorblad!$F$41)/$U99-SUM($EE99:HB99)=1,1,0))))</f>
        <v>1</v>
      </c>
      <c r="HD99" s="8">
        <f>IF(HD$56-Voorblad!$F$41&gt;Voorblad!$K$41,0,IF($U99=0,0,IF($U99&lt;1,1/$U99,IF((HD$56-Voorblad!$F$41)/$U99-SUM($EE99:HC99)=1,1,0))))</f>
        <v>1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155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0">
        <v>0</v>
      </c>
      <c r="X100" s="6"/>
      <c r="Y100" s="9">
        <f t="shared" si="11"/>
        <v>0</v>
      </c>
      <c r="Z100" s="81"/>
      <c r="AA100" s="81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1</v>
      </c>
      <c r="HC100" s="8">
        <f>IF(HC$56-Voorblad!$F$41&gt;Voorblad!$K$41,0,IF($U100=0,0,IF($U100&lt;1,1/$U100,IF((HC$56-Voorblad!$F$41)/$U100-SUM($EE100:HB100)=1,1,0))))</f>
        <v>1</v>
      </c>
      <c r="HD100" s="8">
        <f>IF(HD$56-Voorblad!$F$41&gt;Voorblad!$K$41,0,IF($U100=0,0,IF($U100&lt;1,1/$U100,IF((HD$56-Voorblad!$F$41)/$U100-SUM($EE100:HC100)=1,1,0))))</f>
        <v>1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156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0">
        <v>0</v>
      </c>
      <c r="X101" s="6"/>
      <c r="Y101" s="9">
        <f t="shared" si="11"/>
        <v>0</v>
      </c>
      <c r="Z101" s="81"/>
      <c r="AA101" s="81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1</v>
      </c>
      <c r="HC101" s="8">
        <f>IF(HC$56-Voorblad!$F$41&gt;Voorblad!$K$41,0,IF($U101=0,0,IF($U101&lt;1,1/$U101,IF((HC$56-Voorblad!$F$41)/$U101-SUM($EE101:HB101)=1,1,0))))</f>
        <v>1</v>
      </c>
      <c r="HD101" s="8">
        <f>IF(HD$56-Voorblad!$F$41&gt;Voorblad!$K$41,0,IF($U101=0,0,IF($U101&lt;1,1/$U101,IF((HD$56-Voorblad!$F$41)/$U101-SUM($EE101:HC101)=1,1,0))))</f>
        <v>1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0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0">
        <v>0</v>
      </c>
      <c r="X102" s="6"/>
      <c r="Y102" s="9">
        <f t="shared" si="11"/>
        <v>0</v>
      </c>
      <c r="Z102" s="81"/>
      <c r="AA102" s="81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1</v>
      </c>
      <c r="HC102" s="8">
        <f>IF(HC$56-Voorblad!$F$41&gt;Voorblad!$K$41,0,IF($U102=0,0,IF($U102&lt;1,1/$U102,IF((HC$56-Voorblad!$F$41)/$U102-SUM($EE102:HB102)=1,1,0))))</f>
        <v>1</v>
      </c>
      <c r="HD102" s="8">
        <f>IF(HD$56-Voorblad!$F$41&gt;Voorblad!$K$41,0,IF($U102=0,0,IF($U102&lt;1,1/$U102,IF((HD$56-Voorblad!$F$41)/$U102-SUM($EE102:HC102)=1,1,0))))</f>
        <v>1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0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0">
        <v>0</v>
      </c>
      <c r="X103" s="6"/>
      <c r="Y103" s="9">
        <f t="shared" si="11"/>
        <v>0</v>
      </c>
      <c r="Z103" s="81"/>
      <c r="AA103" s="81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1</v>
      </c>
      <c r="HC103" s="8">
        <f>IF(HC$56-Voorblad!$F$41&gt;Voorblad!$K$41,0,IF($U103=0,0,IF($U103&lt;1,1/$U103,IF((HC$56-Voorblad!$F$41)/$U103-SUM($EE103:HB103)=1,1,0))))</f>
        <v>1</v>
      </c>
      <c r="HD103" s="8">
        <f>IF(HD$56-Voorblad!$F$41&gt;Voorblad!$K$41,0,IF($U103=0,0,IF($U103&lt;1,1/$U103,IF((HD$56-Voorblad!$F$41)/$U103-SUM($EE103:HC103)=1,1,0))))</f>
        <v>1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0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0">
        <v>0</v>
      </c>
      <c r="X104" s="6"/>
      <c r="Y104" s="9">
        <f t="shared" si="11"/>
        <v>0</v>
      </c>
      <c r="Z104" s="81"/>
      <c r="AA104" s="81"/>
      <c r="AC104" s="227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1</v>
      </c>
      <c r="HC104" s="8">
        <f>IF(HC$56-Voorblad!$F$41&gt;Voorblad!$K$41,0,IF($U104=0,0,IF($U104&lt;1,1/$U104,IF((HC$56-Voorblad!$F$41)/$U104-SUM($EE104:HB104)=1,1,0))))</f>
        <v>1</v>
      </c>
      <c r="HD104" s="8">
        <f>IF(HD$56-Voorblad!$F$41&gt;Voorblad!$K$41,0,IF($U104=0,0,IF($U104&lt;1,1/$U104,IF((HD$56-Voorblad!$F$41)/$U104-SUM($EE104:HC104)=1,1,0))))</f>
        <v>1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269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274</v>
      </c>
      <c r="K109" s="1" t="s">
        <v>86</v>
      </c>
      <c r="P109" s="8"/>
      <c r="Q109" s="80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5677.8462758762635</v>
      </c>
      <c r="Z109" s="81"/>
      <c r="AA109" s="81"/>
      <c r="AC109" s="9">
        <f>$Y109*(Voorblad!$K$44*(1+Voorblad!$K$44)^Voorblad!$K$41)/((1+Voorblad!$K$44)^Voorblad!$K$41-1)</f>
        <v>167.6075205884689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138.8843678194113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1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275</v>
      </c>
      <c r="K110" s="1" t="s">
        <v>112</v>
      </c>
      <c r="O110" s="1" t="s">
        <v>225</v>
      </c>
      <c r="P110" s="14" t="s">
        <v>226</v>
      </c>
      <c r="Q110" s="82">
        <f>50%*(((2*29.177*(2*8.265))+(2*(29.177+(2*8.265)*2.05))))</f>
        <v>545.35931000000005</v>
      </c>
      <c r="R110" s="1" t="s">
        <v>35</v>
      </c>
      <c r="S110" s="21">
        <f>$H$20*15</f>
        <v>26.55</v>
      </c>
      <c r="T110" s="9">
        <f t="shared" si="20"/>
        <v>14479.289680500002</v>
      </c>
      <c r="U110" s="14">
        <v>10</v>
      </c>
      <c r="V110" s="14"/>
      <c r="Y110" s="9">
        <f t="shared" si="21"/>
        <v>42517.305122852777</v>
      </c>
      <c r="Z110" s="81"/>
      <c r="AA110" s="81"/>
      <c r="AC110" s="9">
        <f>$Y110*(Voorblad!$K$44*(1+Voorblad!$K$44)^Voorblad!$K$41)/((1+Voorblad!$K$44)^Voorblad!$K$41-1)</f>
        <v>1255.092115477355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11311.197956530415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8836.2897652448682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6902.8954417946925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5392.5308864098197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4212.6365097199687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3290.9049084446847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2570.8496547083378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275</v>
      </c>
      <c r="K111" s="1" t="s">
        <v>84</v>
      </c>
      <c r="P111" s="8"/>
      <c r="Q111" s="82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1"/>
      <c r="AA111" s="81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275</v>
      </c>
      <c r="K112" s="1" t="s">
        <v>144</v>
      </c>
      <c r="Q112" s="80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1"/>
      <c r="AA112" s="81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2</v>
      </c>
      <c r="HC112" s="8">
        <f>IF(HC$56-Voorblad!$F$41&gt;Voorblad!$K$41,0,IF($U112=0,0,IF($U112&lt;1,1/$U112,IF((HC$56-Voorblad!$F$41)/$U112-SUM($EE112:HB112)=1,1,0))))</f>
        <v>2</v>
      </c>
      <c r="HD112" s="8">
        <f>IF(HD$56-Voorblad!$F$41&gt;Voorblad!$K$41,0,IF($U112=0,0,IF($U112&lt;1,1/$U112,IF((HD$56-Voorblad!$F$41)/$U112-SUM($EE112:HC112)=1,1,0))))</f>
        <v>2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275</v>
      </c>
      <c r="K113" s="1" t="s">
        <v>158</v>
      </c>
      <c r="P113" s="1" t="s">
        <v>183</v>
      </c>
      <c r="Q113" s="82">
        <f>2*29.177</f>
        <v>58.353999999999999</v>
      </c>
      <c r="R113" s="146" t="s">
        <v>195</v>
      </c>
      <c r="S113" s="21">
        <f>$H$20*350</f>
        <v>619.5</v>
      </c>
      <c r="T113" s="9">
        <f t="shared" si="20"/>
        <v>36150.303</v>
      </c>
      <c r="U113" s="14">
        <v>15</v>
      </c>
      <c r="V113" s="14"/>
      <c r="Y113" s="9">
        <f>SUM(AE113:EB113)</f>
        <v>67984.177491198177</v>
      </c>
      <c r="Z113" s="81"/>
      <c r="AA113" s="81"/>
      <c r="AC113" s="9">
        <f>$Y113*(Voorblad!$K$44*(1+Voorblad!$K$44)^Voorblad!$K$41)/((1+Voorblad!$K$44)^Voorblad!$K$41-1)</f>
        <v>2006.8629679107651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24960.53909079306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17234.392522325707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11899.75442970927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8216.3705685564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5673.1208798137486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1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275</v>
      </c>
      <c r="K114" s="14" t="s">
        <v>167</v>
      </c>
      <c r="L114" s="14"/>
      <c r="M114" s="14"/>
      <c r="O114" s="1" t="s">
        <v>169</v>
      </c>
      <c r="Q114" s="80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1"/>
      <c r="AA114" s="81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1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275</v>
      </c>
      <c r="K115" s="14" t="s">
        <v>161</v>
      </c>
      <c r="O115" s="14" t="s">
        <v>157</v>
      </c>
      <c r="P115" s="14" t="s">
        <v>198</v>
      </c>
      <c r="Q115" s="83">
        <f>2.5%*2*29.177</f>
        <v>1.45885</v>
      </c>
      <c r="R115" s="14" t="s">
        <v>34</v>
      </c>
      <c r="S115" s="21">
        <f>$H$20*1000</f>
        <v>1770</v>
      </c>
      <c r="T115" s="21">
        <f t="shared" si="20"/>
        <v>2582.1644999999999</v>
      </c>
      <c r="U115" s="14">
        <v>15</v>
      </c>
      <c r="Y115" s="21">
        <f t="shared" si="22"/>
        <v>4856.0126779427264</v>
      </c>
      <c r="Z115" s="148"/>
      <c r="AA115" s="148"/>
      <c r="AC115" s="9">
        <f>$Y115*(Voorblad!$K$44*(1+Voorblad!$K$44)^Voorblad!$K$41)/((1+Voorblad!$K$44)^Voorblad!$K$41-1)</f>
        <v>143.34735485076894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1782.8956493423611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1231.0280373089788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849.98245926494781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586.88361203974273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405.2229199866963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1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275</v>
      </c>
      <c r="K116" s="14" t="s">
        <v>196</v>
      </c>
      <c r="L116" s="14"/>
      <c r="M116" s="14"/>
      <c r="O116" s="1" t="s">
        <v>170</v>
      </c>
      <c r="P116" s="1" t="s">
        <v>312</v>
      </c>
      <c r="Q116" s="83">
        <f>2.5%*(0.862*29.177)</f>
        <v>0.62876434999999997</v>
      </c>
      <c r="R116" s="1" t="s">
        <v>35</v>
      </c>
      <c r="S116" s="10">
        <f>$H$20*300</f>
        <v>531</v>
      </c>
      <c r="T116" s="9">
        <f t="shared" si="20"/>
        <v>333.87386985000001</v>
      </c>
      <c r="U116" s="14">
        <v>15</v>
      </c>
      <c r="V116" s="14"/>
      <c r="Y116" s="9">
        <f t="shared" si="22"/>
        <v>627.88243925799463</v>
      </c>
      <c r="Z116" s="81"/>
      <c r="AA116" s="81"/>
      <c r="AC116" s="9">
        <f>$Y116*(Voorblad!$K$44*(1+Voorblad!$K$44)^Voorblad!$K$41)/((1+Voorblad!$K$44)^Voorblad!$K$41-1)</f>
        <v>18.534812982204425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230.52840745996733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159.17192522405097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109.90273198295776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75.884051036738754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52.395323554279834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1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275</v>
      </c>
      <c r="K117" s="14" t="s">
        <v>197</v>
      </c>
      <c r="L117" s="14"/>
      <c r="M117" s="14"/>
      <c r="O117" s="1" t="s">
        <v>171</v>
      </c>
      <c r="P117" s="1" t="s">
        <v>174</v>
      </c>
      <c r="Q117" s="83">
        <f>2.5%*2*29.177</f>
        <v>1.45885</v>
      </c>
      <c r="R117" s="1" t="s">
        <v>34</v>
      </c>
      <c r="S117" s="14">
        <f>$H$20*500</f>
        <v>885</v>
      </c>
      <c r="T117" s="9">
        <f t="shared" si="20"/>
        <v>1291.0822499999999</v>
      </c>
      <c r="U117" s="14">
        <v>15</v>
      </c>
      <c r="V117" s="14"/>
      <c r="Y117" s="9">
        <f t="shared" si="22"/>
        <v>2428.0063389713632</v>
      </c>
      <c r="Z117" s="81"/>
      <c r="AA117" s="81"/>
      <c r="AC117" s="9">
        <f>$Y117*(Voorblad!$K$44*(1+Voorblad!$K$44)^Voorblad!$K$41)/((1+Voorblad!$K$44)^Voorblad!$K$41-1)</f>
        <v>71.673677425384469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891.44782467118057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615.5140186544894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424.9912296324739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293.44180601987136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202.61145999334815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1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275</v>
      </c>
      <c r="K118" s="14" t="s">
        <v>210</v>
      </c>
      <c r="L118" s="14"/>
      <c r="M118" s="14"/>
      <c r="O118" s="1" t="s">
        <v>171</v>
      </c>
      <c r="P118" s="1" t="s">
        <v>174</v>
      </c>
      <c r="Q118" s="80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1"/>
      <c r="AA118" s="81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1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275</v>
      </c>
      <c r="K119" s="14" t="s">
        <v>188</v>
      </c>
      <c r="L119" s="14"/>
      <c r="M119" s="14"/>
      <c r="O119" s="1" t="s">
        <v>172</v>
      </c>
      <c r="P119" s="1" t="s">
        <v>175</v>
      </c>
      <c r="Q119" s="80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1"/>
      <c r="AA119" s="81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1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275</v>
      </c>
      <c r="K120" s="1" t="s">
        <v>205</v>
      </c>
      <c r="O120" s="1" t="s">
        <v>177</v>
      </c>
      <c r="P120" s="1" t="s">
        <v>178</v>
      </c>
      <c r="Q120" s="80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1"/>
      <c r="AA120" s="81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1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275</v>
      </c>
      <c r="K121" s="14" t="s">
        <v>204</v>
      </c>
      <c r="L121" s="14"/>
      <c r="M121" s="14"/>
      <c r="O121" s="1" t="s">
        <v>177</v>
      </c>
      <c r="P121" s="1" t="s">
        <v>179</v>
      </c>
      <c r="Q121" s="80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1"/>
      <c r="AA121" s="81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1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275</v>
      </c>
      <c r="K122" s="14" t="s">
        <v>200</v>
      </c>
      <c r="L122" s="14"/>
      <c r="M122" s="14"/>
      <c r="O122" s="1" t="s">
        <v>177</v>
      </c>
      <c r="P122" s="1" t="s">
        <v>180</v>
      </c>
      <c r="Q122" s="82">
        <f>2*29.177</f>
        <v>58.353999999999999</v>
      </c>
      <c r="R122" s="1" t="s">
        <v>34</v>
      </c>
      <c r="S122" s="14">
        <f>$H$20*100</f>
        <v>177</v>
      </c>
      <c r="T122" s="9">
        <f t="shared" si="20"/>
        <v>10328.657999999999</v>
      </c>
      <c r="U122" s="14">
        <v>15</v>
      </c>
      <c r="V122" s="14"/>
      <c r="Y122" s="9">
        <f t="shared" si="23"/>
        <v>19424.050711770906</v>
      </c>
      <c r="Z122" s="81"/>
      <c r="AA122" s="81"/>
      <c r="AC122" s="9">
        <f>$Y122*(Voorblad!$K$44*(1+Voorblad!$K$44)^Voorblad!$K$41)/((1+Voorblad!$K$44)^Voorblad!$K$41-1)</f>
        <v>573.38941940307575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7131.5825973694446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4924.1121492359152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3399.9298370597912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2347.5344481589709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1620.8916799467852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1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275</v>
      </c>
      <c r="K123" s="14" t="s">
        <v>199</v>
      </c>
      <c r="L123" s="14"/>
      <c r="M123" s="14"/>
      <c r="O123" s="1" t="s">
        <v>177</v>
      </c>
      <c r="P123" s="1" t="s">
        <v>181</v>
      </c>
      <c r="Q123" s="80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1"/>
      <c r="AA123" s="81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1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275</v>
      </c>
      <c r="K124" s="14" t="s">
        <v>206</v>
      </c>
      <c r="L124" s="14"/>
      <c r="M124" s="14"/>
      <c r="O124" s="1" t="s">
        <v>177</v>
      </c>
      <c r="P124" s="1" t="s">
        <v>182</v>
      </c>
      <c r="Q124" s="80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1"/>
      <c r="AA124" s="81"/>
      <c r="AC124" s="227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1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267</v>
      </c>
      <c r="C125" s="2"/>
      <c r="S125" s="14"/>
      <c r="U125" s="14"/>
      <c r="V125" s="14"/>
      <c r="Y125" s="23">
        <f>SUM(Y109:Y124)</f>
        <v>143515.28105787019</v>
      </c>
      <c r="Z125" s="24"/>
      <c r="AA125" s="23">
        <f>SUM(AA109:AA124)</f>
        <v>0</v>
      </c>
      <c r="AC125" s="9">
        <f>$Y125*(Voorblad!$K$44*(1+Voorblad!$K$44)^Voorblad!$K$41)/((1+Voorblad!$K$44)^Voorblad!$K$41-1)</f>
        <v>4236.507868638022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12002.558542057684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35608.055587438517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9376.3795496749335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31489.031370928991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5722.131988382378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16975.880034828708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4470.1203637879698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15012.165369524511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2727.984569101342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8093.126631114269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49" t="s">
        <v>145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0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1"/>
      <c r="AA127" s="81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0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1"/>
      <c r="AA128" s="81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0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1"/>
      <c r="AA129" s="81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0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1"/>
      <c r="AA130" s="81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192</v>
      </c>
      <c r="K131" s="1" t="s">
        <v>211</v>
      </c>
      <c r="O131" s="1" t="s">
        <v>186</v>
      </c>
      <c r="P131" s="1" t="s">
        <v>178</v>
      </c>
      <c r="Q131" s="80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1"/>
      <c r="AA131" s="81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192</v>
      </c>
      <c r="K132" s="14" t="s">
        <v>212</v>
      </c>
      <c r="O132" s="1" t="s">
        <v>186</v>
      </c>
      <c r="P132" s="1" t="s">
        <v>179</v>
      </c>
      <c r="Q132" s="80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1"/>
      <c r="AA132" s="81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192</v>
      </c>
      <c r="K133" s="1" t="s">
        <v>208</v>
      </c>
      <c r="O133" s="1" t="s">
        <v>186</v>
      </c>
      <c r="P133" s="1" t="s">
        <v>180</v>
      </c>
      <c r="Q133" s="83">
        <f>2*29.177</f>
        <v>58.353999999999999</v>
      </c>
      <c r="R133" s="1" t="s">
        <v>34</v>
      </c>
      <c r="S133" s="21">
        <f>$H$10*125</f>
        <v>297.5</v>
      </c>
      <c r="T133" s="9">
        <f t="shared" si="104"/>
        <v>17360.314999999999</v>
      </c>
      <c r="U133" s="14">
        <v>30</v>
      </c>
      <c r="V133" s="14"/>
      <c r="Y133" s="9">
        <f t="shared" si="21"/>
        <v>12222.117868502704</v>
      </c>
      <c r="Z133" s="81"/>
      <c r="AA133" s="81"/>
      <c r="AC133" s="9">
        <f>$Y133*(Voorblad!$K$44*(1+Voorblad!$K$44)^Voorblad!$K$41)/((1+Voorblad!$K$44)^Voorblad!$K$41-1)</f>
        <v>360.79153480843621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8276.4031886874855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3945.7146798152198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192</v>
      </c>
      <c r="K134" s="14" t="s">
        <v>209</v>
      </c>
      <c r="O134" s="1" t="s">
        <v>186</v>
      </c>
      <c r="P134" s="1" t="s">
        <v>181</v>
      </c>
      <c r="Q134" s="80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1"/>
      <c r="AA134" s="81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192</v>
      </c>
      <c r="K135" s="14" t="s">
        <v>207</v>
      </c>
      <c r="O135" s="1" t="s">
        <v>186</v>
      </c>
      <c r="P135" s="1" t="s">
        <v>182</v>
      </c>
      <c r="Q135" s="80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1"/>
      <c r="AA135" s="81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183</v>
      </c>
      <c r="Q136" s="82">
        <f>2*29.177</f>
        <v>58.353999999999999</v>
      </c>
      <c r="R136" s="146" t="s">
        <v>195</v>
      </c>
      <c r="S136" s="14">
        <f>$H$10*500</f>
        <v>1190</v>
      </c>
      <c r="T136" s="9">
        <f t="shared" si="104"/>
        <v>69441.259999999995</v>
      </c>
      <c r="U136" s="14">
        <v>50</v>
      </c>
      <c r="V136" s="14"/>
      <c r="Y136" s="9">
        <f>SUM(AE136:EB136)</f>
        <v>20203.393509760564</v>
      </c>
      <c r="Z136" s="81"/>
      <c r="AA136" s="81"/>
      <c r="AC136" s="9">
        <f>$Y136*(Voorblad!$K$44*(1+Voorblad!$K$44)^Voorblad!$K$41)/((1+Voorblad!$K$44)^Voorblad!$K$41-1)</f>
        <v>596.39527544650434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20203.393509760564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160</v>
      </c>
      <c r="O137" s="14" t="s">
        <v>213</v>
      </c>
      <c r="P137" s="14" t="s">
        <v>216</v>
      </c>
      <c r="Q137" s="83">
        <f>7.5%*2*29.177</f>
        <v>4.3765499999999999</v>
      </c>
      <c r="R137" s="14" t="s">
        <v>34</v>
      </c>
      <c r="S137" s="21">
        <f>$H$10*1000</f>
        <v>2380</v>
      </c>
      <c r="T137" s="21">
        <f t="shared" si="104"/>
        <v>10416.189</v>
      </c>
      <c r="U137" s="14">
        <v>50</v>
      </c>
      <c r="Y137" s="21">
        <f t="shared" ref="Y137" si="108">SUM(AE137:EB137)</f>
        <v>3030.5090264640849</v>
      </c>
      <c r="Z137" s="148"/>
      <c r="AA137" s="148"/>
      <c r="AC137" s="9">
        <f>$Y137*(Voorblad!$K$44*(1+Voorblad!$K$44)^Voorblad!$K$41)/((1+Voorblad!$K$44)^Voorblad!$K$41-1)</f>
        <v>89.459291316975666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3030.5090264640849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203</v>
      </c>
      <c r="P138" s="6" t="s">
        <v>313</v>
      </c>
      <c r="Q138" s="83">
        <f>0.862*29.177</f>
        <v>25.150573999999999</v>
      </c>
      <c r="R138" s="1" t="s">
        <v>35</v>
      </c>
      <c r="S138" s="6">
        <f>$H$10*300</f>
        <v>714</v>
      </c>
      <c r="T138" s="9">
        <f t="shared" si="104"/>
        <v>17957.509835999997</v>
      </c>
      <c r="U138" s="14">
        <v>50</v>
      </c>
      <c r="V138" s="14"/>
      <c r="Y138" s="9">
        <f t="shared" si="107"/>
        <v>5224.5975616240812</v>
      </c>
      <c r="Z138" s="81"/>
      <c r="AA138" s="81"/>
      <c r="AC138" s="9">
        <f>$Y138*(Voorblad!$K$44*(1+Voorblad!$K$44)^Voorblad!$K$41)/((1+Voorblad!$K$44)^Voorblad!$K$41-1)</f>
        <v>154.227818230466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5224.5975616240812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159</v>
      </c>
      <c r="P139" s="14" t="s">
        <v>193</v>
      </c>
      <c r="Q139" s="83">
        <f>2*29.177</f>
        <v>58.353999999999999</v>
      </c>
      <c r="R139" s="1" t="s">
        <v>34</v>
      </c>
      <c r="S139" s="14">
        <f>$H$10*400</f>
        <v>952</v>
      </c>
      <c r="T139" s="9">
        <f t="shared" si="104"/>
        <v>55553.008000000002</v>
      </c>
      <c r="U139" s="14">
        <v>50</v>
      </c>
      <c r="V139" s="14"/>
      <c r="Y139" s="9">
        <f t="shared" si="107"/>
        <v>16162.714807808452</v>
      </c>
      <c r="Z139" s="81"/>
      <c r="AA139" s="81"/>
      <c r="AC139" s="9">
        <f>$Y139*(Voorblad!$K$44*(1+Voorblad!$K$44)^Voorblad!$K$41)/((1+Voorblad!$K$44)^Voorblad!$K$41-1)</f>
        <v>477.11622035720347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16162.714807808452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187</v>
      </c>
      <c r="P140" s="14" t="s">
        <v>193</v>
      </c>
      <c r="Q140" s="80">
        <v>0</v>
      </c>
      <c r="R140" s="1" t="s">
        <v>34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1"/>
      <c r="AA140" s="81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191</v>
      </c>
      <c r="P141" s="14" t="s">
        <v>193</v>
      </c>
      <c r="Q141" s="80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1"/>
      <c r="AA141" s="81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0">
        <v>8</v>
      </c>
      <c r="R142" s="1" t="s">
        <v>75</v>
      </c>
      <c r="S142" s="14">
        <f>$H$10*1500</f>
        <v>3570</v>
      </c>
      <c r="T142" s="1">
        <f t="shared" si="104"/>
        <v>28560</v>
      </c>
      <c r="U142" s="14">
        <v>50</v>
      </c>
      <c r="V142" s="14"/>
      <c r="Y142" s="9">
        <f>SUM(AE142:EB142)</f>
        <v>8309.3094600927707</v>
      </c>
      <c r="Z142" s="81"/>
      <c r="AA142" s="81"/>
      <c r="AC142" s="9">
        <f>$Y142*(Voorblad!$K$44*(1+Voorblad!$K$44)^Voorblad!$K$41)/((1+Voorblad!$K$44)^Voorblad!$K$41-1)</f>
        <v>245.28715444898558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8309.3094600927707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0">
        <v>0</v>
      </c>
      <c r="R143" s="1" t="s">
        <v>75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1"/>
      <c r="AA143" s="81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0">
        <v>0</v>
      </c>
      <c r="R144" s="1" t="s">
        <v>34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1"/>
      <c r="AA144" s="81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134</v>
      </c>
      <c r="O145" s="1" t="s">
        <v>77</v>
      </c>
      <c r="Q145" s="80">
        <v>0</v>
      </c>
      <c r="R145" s="1" t="s">
        <v>34</v>
      </c>
      <c r="S145" s="14">
        <f>$H$10*700</f>
        <v>1666</v>
      </c>
      <c r="T145" s="1">
        <f t="shared" si="104"/>
        <v>0</v>
      </c>
      <c r="U145" s="14">
        <v>50</v>
      </c>
      <c r="V145" s="14"/>
      <c r="Y145" s="9">
        <f>SUM(AE145:EB145)</f>
        <v>0</v>
      </c>
      <c r="Z145" s="81"/>
      <c r="AA145" s="81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7" t="s">
        <v>194</v>
      </c>
      <c r="Q146" s="82">
        <f>2*29.177</f>
        <v>58.353999999999999</v>
      </c>
      <c r="R146" s="146" t="s">
        <v>195</v>
      </c>
      <c r="S146" s="14">
        <f>$H$10*500</f>
        <v>1190</v>
      </c>
      <c r="T146" s="9">
        <f t="shared" si="104"/>
        <v>69441.259999999995</v>
      </c>
      <c r="U146" s="14">
        <v>50</v>
      </c>
      <c r="V146" s="14"/>
      <c r="Y146" s="9">
        <f>SUM(AE146:EB146)</f>
        <v>20203.393509760564</v>
      </c>
      <c r="Z146" s="81"/>
      <c r="AA146" s="81"/>
      <c r="AC146" s="227">
        <f>$Y146*(Voorblad!$K$44*(1+Voorblad!$K$44)^Voorblad!$K$41)/((1+Voorblad!$K$44)^Voorblad!$K$41-1)</f>
        <v>596.39527544650434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20203.393509760564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268</v>
      </c>
      <c r="C147" s="2"/>
      <c r="D147" s="22"/>
      <c r="N147" s="6"/>
      <c r="S147" s="14"/>
      <c r="U147" s="14"/>
      <c r="V147" s="14"/>
      <c r="Y147" s="23">
        <f>SUM(Y127:Y146)</f>
        <v>85356.035744013221</v>
      </c>
      <c r="Z147" s="24"/>
      <c r="AA147" s="23">
        <f>SUM(AA127:AA146)</f>
        <v>0</v>
      </c>
      <c r="AC147" s="9">
        <f>$Y147*(Voorblad!$K$44*(1+Voorblad!$K$44)^Voorblad!$K$41)/((1+Voorblad!$K$44)^Voorblad!$K$41-1)</f>
        <v>2519.6725700550755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8276.4031886874855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73133.917875510524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3945.7146798152198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311</v>
      </c>
      <c r="Q149" s="82">
        <f>29.177*2*8.265</f>
        <v>482.29581000000002</v>
      </c>
      <c r="R149" s="80" t="s">
        <v>35</v>
      </c>
      <c r="S149" s="80">
        <v>11500</v>
      </c>
      <c r="T149" s="21">
        <f>Q149*S149</f>
        <v>5546401.8150000004</v>
      </c>
      <c r="U149" s="11">
        <v>1</v>
      </c>
      <c r="V149" s="14">
        <f>Voorblad!F24+100</f>
        <v>2104</v>
      </c>
      <c r="W149" s="9">
        <f>Voorblad!K77</f>
        <v>2104</v>
      </c>
      <c r="X149" s="6"/>
      <c r="Y149" s="9">
        <f t="shared" si="21"/>
        <v>849175.70318171207</v>
      </c>
      <c r="Z149" s="81" t="s">
        <v>301</v>
      </c>
      <c r="AA149" s="81">
        <v>52</v>
      </c>
      <c r="AC149" s="9">
        <f>$Y149*(Voorblad!$K$44*(1+Voorblad!$K$44)^Voorblad!$K$41)/((1+Voorblad!$K$44)^Voorblad!$K$41-1)</f>
        <v>25067.29263857902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849175.70318171207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1</v>
      </c>
      <c r="HC149" s="8">
        <f>IF(HC$56-Voorblad!$F$41&gt;Voorblad!$K$41,0,IF($U149=0,0,IF($U149&lt;1,1/$U149,IF((HC$56-Voorblad!$F$41)/$U149-SUM($EE149:HB149)=1,1,0))))</f>
        <v>1</v>
      </c>
      <c r="HD149" s="8">
        <f>IF(HD$56-Voorblad!$F$41&gt;Voorblad!$K$41,0,IF($U149=0,0,IF($U149&lt;1,1/$U149,IF((HD$56-Voorblad!$F$41)/$U149-SUM($EE149:HC149)=1,1,0))))</f>
        <v>1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0">
        <v>0</v>
      </c>
      <c r="R150" s="76" t="s">
        <v>33</v>
      </c>
      <c r="S150" s="80">
        <v>0</v>
      </c>
      <c r="T150" s="14">
        <f>Q150*S150</f>
        <v>0</v>
      </c>
      <c r="U150" s="11">
        <v>1</v>
      </c>
      <c r="V150" s="14"/>
      <c r="W150" s="80">
        <v>0</v>
      </c>
      <c r="X150" s="6"/>
      <c r="Y150" s="9">
        <f t="shared" si="21"/>
        <v>0</v>
      </c>
      <c r="Z150" s="81"/>
      <c r="AA150" s="81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1</v>
      </c>
      <c r="HC150" s="8">
        <f>IF(HC$56-Voorblad!$F$41&gt;Voorblad!$K$41,0,IF($U150=0,0,IF($U150&lt;1,1/$U150,IF((HC$56-Voorblad!$F$41)/$U150-SUM($EE150:HB150)=1,1,0))))</f>
        <v>1</v>
      </c>
      <c r="HD150" s="8">
        <f>IF(HD$56-Voorblad!$F$41&gt;Voorblad!$K$41,0,IF($U150=0,0,IF($U150&lt;1,1/$U150,IF((HD$56-Voorblad!$F$41)/$U150-SUM($EE150:HC150)=1,1,0))))</f>
        <v>1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0">
        <v>0</v>
      </c>
      <c r="R151" s="1" t="s">
        <v>33</v>
      </c>
      <c r="S151" s="21">
        <f>2%*T149</f>
        <v>110928.03630000001</v>
      </c>
      <c r="T151" s="21">
        <f>Q151*S151</f>
        <v>0</v>
      </c>
      <c r="U151" s="11">
        <v>1</v>
      </c>
      <c r="V151" s="14"/>
      <c r="W151" s="80">
        <v>0</v>
      </c>
      <c r="X151" s="6"/>
      <c r="Y151" s="9">
        <f t="shared" si="21"/>
        <v>0</v>
      </c>
      <c r="Z151" s="81"/>
      <c r="AA151" s="81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1</v>
      </c>
      <c r="HC151" s="8">
        <f>IF(HC$56-Voorblad!$F$41&gt;Voorblad!$K$41,0,IF($U151=0,0,IF($U151&lt;1,1/$U151,IF((HC$56-Voorblad!$F$41)/$U151-SUM($EE151:HB151)=1,1,0))))</f>
        <v>1</v>
      </c>
      <c r="HD151" s="8">
        <f>IF(HD$56-Voorblad!$F$41&gt;Voorblad!$K$41,0,IF($U151=0,0,IF($U151&lt;1,1/$U151,IF((HD$56-Voorblad!$F$41)/$U151-SUM($EE151:HC151)=1,1,0))))</f>
        <v>1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0">
        <v>0</v>
      </c>
      <c r="R152" s="1" t="s">
        <v>33</v>
      </c>
      <c r="S152" s="21">
        <f>4%*T149</f>
        <v>221856.07260000001</v>
      </c>
      <c r="T152" s="21">
        <f>Q152*S152</f>
        <v>0</v>
      </c>
      <c r="U152" s="11">
        <v>1</v>
      </c>
      <c r="V152" s="14"/>
      <c r="W152" s="80">
        <v>0</v>
      </c>
      <c r="X152" s="6"/>
      <c r="Y152" s="9">
        <f t="shared" si="21"/>
        <v>0</v>
      </c>
      <c r="Z152" s="81"/>
      <c r="AA152" s="81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1</v>
      </c>
      <c r="HC152" s="8">
        <f>IF(HC$56-Voorblad!$F$41&gt;Voorblad!$K$41,0,IF($U152=0,0,IF($U152&lt;1,1/$U152,IF((HC$56-Voorblad!$F$41)/$U152-SUM($EE152:HB152)=1,1,0))))</f>
        <v>1</v>
      </c>
      <c r="HD152" s="8">
        <f>IF(HD$56-Voorblad!$F$41&gt;Voorblad!$K$41,0,IF($U152=0,0,IF($U152&lt;1,1/$U152,IF((HD$56-Voorblad!$F$41)/$U152-SUM($EE152:HC152)=1,1,0))))</f>
        <v>1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0">
        <v>0</v>
      </c>
      <c r="R153" s="1" t="s">
        <v>33</v>
      </c>
      <c r="S153" s="21">
        <f>7%*T149</f>
        <v>388248.12705000007</v>
      </c>
      <c r="T153" s="21">
        <f>Q153*S153</f>
        <v>0</v>
      </c>
      <c r="U153" s="11">
        <v>1</v>
      </c>
      <c r="V153" s="14"/>
      <c r="W153" s="80">
        <v>0</v>
      </c>
      <c r="X153" s="6"/>
      <c r="Y153" s="9">
        <f t="shared" si="21"/>
        <v>0</v>
      </c>
      <c r="Z153" s="81"/>
      <c r="AA153" s="81"/>
      <c r="AC153" s="227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1</v>
      </c>
      <c r="HC153" s="8">
        <f>IF(HC$56-Voorblad!$F$41&gt;Voorblad!$K$41,0,IF($U153=0,0,IF($U153&lt;1,1/$U153,IF((HC$56-Voorblad!$F$41)/$U153-SUM($EE153:HB153)=1,1,0))))</f>
        <v>1</v>
      </c>
      <c r="HD153" s="8">
        <f>IF(HD$56-Voorblad!$F$41&gt;Voorblad!$K$41,0,IF($U153=0,0,IF($U153&lt;1,1/$U153,IF((HD$56-Voorblad!$F$41)/$U153-SUM($EE153:HC153)=1,1,0))))</f>
        <v>1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269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5546401.8150000004</v>
      </c>
      <c r="U154" s="14"/>
      <c r="V154" s="14"/>
      <c r="W154" s="14"/>
      <c r="X154" s="6"/>
      <c r="Y154" s="23">
        <f>SUM(Y149:Y153)</f>
        <v>849175.70318171207</v>
      </c>
      <c r="Z154" s="24"/>
      <c r="AA154" s="23">
        <f>SUM(AA149:AA153)</f>
        <v>52</v>
      </c>
      <c r="AC154" s="9">
        <f>$Y154*(Voorblad!$K$44*(1+Voorblad!$K$44)^Voorblad!$K$41)/((1+Voorblad!$K$44)^Voorblad!$K$41-1)</f>
        <v>25067.29263857902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274</v>
      </c>
      <c r="K158" s="1" t="s">
        <v>86</v>
      </c>
      <c r="Q158" s="80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1"/>
      <c r="AA158" s="81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1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275</v>
      </c>
      <c r="K159" s="1" t="s">
        <v>110</v>
      </c>
      <c r="O159" s="1" t="s">
        <v>133</v>
      </c>
      <c r="Q159" s="82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1"/>
      <c r="AA159" s="81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275</v>
      </c>
      <c r="K160" s="1" t="s">
        <v>84</v>
      </c>
      <c r="Q160" s="82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1"/>
      <c r="AA160" s="81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275</v>
      </c>
      <c r="K161" s="1" t="s">
        <v>144</v>
      </c>
      <c r="Q161" s="80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1"/>
      <c r="AA161" s="81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2</v>
      </c>
      <c r="HC161" s="8">
        <f>IF(HC$56-Voorblad!$F$41&gt;Voorblad!$K$41,0,IF($U161=0,0,IF($U161&lt;1,1/$U161,IF((HC$56-Voorblad!$F$41)/$U161-SUM($EE161:HB161)=1,1,0))))</f>
        <v>2</v>
      </c>
      <c r="HD161" s="8">
        <f>IF(HD$56-Voorblad!$F$41&gt;Voorblad!$K$41,0,IF($U161=0,0,IF($U161&lt;1,1/$U161,IF((HD$56-Voorblad!$F$41)/$U161-SUM($EE161:HC161)=1,1,0))))</f>
        <v>2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275</v>
      </c>
      <c r="K162" s="1" t="s">
        <v>214</v>
      </c>
      <c r="P162" s="1" t="s">
        <v>183</v>
      </c>
      <c r="Q162" s="82">
        <v>0</v>
      </c>
      <c r="R162" s="146" t="s">
        <v>195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1"/>
      <c r="AA162" s="81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275</v>
      </c>
      <c r="K163" s="14" t="s">
        <v>161</v>
      </c>
      <c r="O163" s="14" t="s">
        <v>157</v>
      </c>
      <c r="P163" s="14" t="s">
        <v>198</v>
      </c>
      <c r="Q163" s="82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8"/>
      <c r="AA163" s="148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1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275</v>
      </c>
      <c r="K164" s="14" t="s">
        <v>196</v>
      </c>
      <c r="L164" s="14"/>
      <c r="M164" s="14"/>
      <c r="O164" s="1" t="s">
        <v>170</v>
      </c>
      <c r="P164" s="1" t="s">
        <v>173</v>
      </c>
      <c r="Q164" s="80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1"/>
      <c r="AA164" s="81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1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275</v>
      </c>
      <c r="K165" s="14" t="s">
        <v>197</v>
      </c>
      <c r="L165" s="14"/>
      <c r="M165" s="14"/>
      <c r="O165" s="1" t="s">
        <v>171</v>
      </c>
      <c r="P165" s="1" t="s">
        <v>174</v>
      </c>
      <c r="Q165" s="82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1"/>
      <c r="AA165" s="81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1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275</v>
      </c>
      <c r="K166" s="14" t="s">
        <v>210</v>
      </c>
      <c r="L166" s="14"/>
      <c r="M166" s="14"/>
      <c r="O166" s="1" t="s">
        <v>171</v>
      </c>
      <c r="P166" s="1" t="s">
        <v>174</v>
      </c>
      <c r="Q166" s="80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1"/>
      <c r="AA166" s="81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1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275</v>
      </c>
      <c r="K167" s="14" t="s">
        <v>188</v>
      </c>
      <c r="L167" s="14"/>
      <c r="M167" s="14"/>
      <c r="O167" s="1" t="s">
        <v>172</v>
      </c>
      <c r="P167" s="1" t="s">
        <v>175</v>
      </c>
      <c r="Q167" s="80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1"/>
      <c r="AA167" s="81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1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275</v>
      </c>
      <c r="K168" s="14" t="s">
        <v>204</v>
      </c>
      <c r="L168" s="14"/>
      <c r="M168" s="14"/>
      <c r="O168" s="1" t="s">
        <v>177</v>
      </c>
      <c r="P168" s="1" t="s">
        <v>179</v>
      </c>
      <c r="Q168" s="80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1"/>
      <c r="AA168" s="81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1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275</v>
      </c>
      <c r="K169" s="14" t="s">
        <v>200</v>
      </c>
      <c r="L169" s="14"/>
      <c r="M169" s="14"/>
      <c r="O169" s="1" t="s">
        <v>177</v>
      </c>
      <c r="P169" s="1" t="s">
        <v>180</v>
      </c>
      <c r="Q169" s="80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1"/>
      <c r="AA169" s="81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1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275</v>
      </c>
      <c r="K170" s="14" t="s">
        <v>199</v>
      </c>
      <c r="L170" s="14"/>
      <c r="M170" s="14"/>
      <c r="O170" s="1" t="s">
        <v>177</v>
      </c>
      <c r="P170" s="1" t="s">
        <v>181</v>
      </c>
      <c r="Q170" s="80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1"/>
      <c r="AA170" s="81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1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275</v>
      </c>
      <c r="K171" s="14" t="s">
        <v>206</v>
      </c>
      <c r="L171" s="14"/>
      <c r="M171" s="14"/>
      <c r="O171" s="1" t="s">
        <v>177</v>
      </c>
      <c r="P171" s="1" t="s">
        <v>182</v>
      </c>
      <c r="Q171" s="80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1"/>
      <c r="AA171" s="81"/>
      <c r="AC171" s="227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1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0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267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192</v>
      </c>
      <c r="K174" s="14" t="s">
        <v>212</v>
      </c>
      <c r="O174" s="1" t="s">
        <v>186</v>
      </c>
      <c r="P174" s="1" t="s">
        <v>179</v>
      </c>
      <c r="Q174" s="80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1"/>
      <c r="AA174" s="81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192</v>
      </c>
      <c r="K175" s="1" t="s">
        <v>208</v>
      </c>
      <c r="O175" s="1" t="s">
        <v>186</v>
      </c>
      <c r="P175" s="1" t="s">
        <v>180</v>
      </c>
      <c r="Q175" s="80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1"/>
      <c r="AA175" s="81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192</v>
      </c>
      <c r="K176" s="14" t="s">
        <v>209</v>
      </c>
      <c r="O176" s="1" t="s">
        <v>186</v>
      </c>
      <c r="P176" s="1" t="s">
        <v>181</v>
      </c>
      <c r="Q176" s="80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1"/>
      <c r="AA176" s="81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192</v>
      </c>
      <c r="K177" s="14" t="s">
        <v>207</v>
      </c>
      <c r="O177" s="1" t="s">
        <v>186</v>
      </c>
      <c r="P177" s="1" t="s">
        <v>182</v>
      </c>
      <c r="Q177" s="80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1"/>
      <c r="AA177" s="81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183</v>
      </c>
      <c r="Q178" s="82">
        <v>0</v>
      </c>
      <c r="R178" s="146" t="s">
        <v>195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1"/>
      <c r="AA178" s="81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160</v>
      </c>
      <c r="O179" s="14" t="s">
        <v>213</v>
      </c>
      <c r="P179" s="14" t="s">
        <v>216</v>
      </c>
      <c r="Q179" s="82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8"/>
      <c r="AA179" s="148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203</v>
      </c>
      <c r="Q180" s="80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1"/>
      <c r="AA180" s="81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215</v>
      </c>
      <c r="P181" s="14" t="s">
        <v>193</v>
      </c>
      <c r="Q181" s="80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1"/>
      <c r="AA181" s="81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162</v>
      </c>
      <c r="P182" s="14" t="s">
        <v>193</v>
      </c>
      <c r="Q182" s="80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1"/>
      <c r="AA182" s="81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191</v>
      </c>
      <c r="P183" s="14" t="s">
        <v>193</v>
      </c>
      <c r="Q183" s="80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1"/>
      <c r="AA183" s="81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7" t="s">
        <v>194</v>
      </c>
      <c r="Q184" s="80">
        <v>0</v>
      </c>
      <c r="R184" s="146" t="s">
        <v>195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1"/>
      <c r="AA184" s="81"/>
      <c r="AC184" s="227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268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0">
        <v>0</v>
      </c>
      <c r="R187" s="80" t="s">
        <v>33</v>
      </c>
      <c r="S187" s="80">
        <v>0</v>
      </c>
      <c r="T187" s="14">
        <f>Q187*S187</f>
        <v>0</v>
      </c>
      <c r="U187" s="11">
        <v>1</v>
      </c>
      <c r="V187" s="14">
        <f>Voorblad!F24+100</f>
        <v>2104</v>
      </c>
      <c r="W187" s="9">
        <f>Voorblad!K81</f>
        <v>0</v>
      </c>
      <c r="X187" s="6"/>
      <c r="Y187" s="9">
        <f t="shared" si="190"/>
        <v>0</v>
      </c>
      <c r="Z187" s="81"/>
      <c r="AA187" s="81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1</v>
      </c>
      <c r="HC187" s="8">
        <f>IF(HC$56-Voorblad!$F$41&gt;Voorblad!$K$41,0,IF($U187=0,0,IF($U187&lt;1,1/$U187,IF((HC$56-Voorblad!$F$41)/$U187-SUM($EE187:HB187)=1,1,0))))</f>
        <v>1</v>
      </c>
      <c r="HD187" s="8">
        <f>IF(HD$56-Voorblad!$F$41&gt;Voorblad!$K$41,0,IF($U187=0,0,IF($U187&lt;1,1/$U187,IF((HD$56-Voorblad!$F$41)/$U187-SUM($EE187:HC187)=1,1,0))))</f>
        <v>1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0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0">
        <v>0</v>
      </c>
      <c r="X188" s="6"/>
      <c r="Y188" s="9">
        <f t="shared" si="190"/>
        <v>0</v>
      </c>
      <c r="Z188" s="81"/>
      <c r="AA188" s="81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1</v>
      </c>
      <c r="HC188" s="8">
        <f>IF(HC$56-Voorblad!$F$41&gt;Voorblad!$K$41,0,IF($U188=0,0,IF($U188&lt;1,1/$U188,IF((HC$56-Voorblad!$F$41)/$U188-SUM($EE188:HB188)=1,1,0))))</f>
        <v>1</v>
      </c>
      <c r="HD188" s="8">
        <f>IF(HD$56-Voorblad!$F$41&gt;Voorblad!$K$41,0,IF($U188=0,0,IF($U188&lt;1,1/$U188,IF((HD$56-Voorblad!$F$41)/$U188-SUM($EE188:HC188)=1,1,0))))</f>
        <v>1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0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0">
        <v>0</v>
      </c>
      <c r="X189" s="6"/>
      <c r="Y189" s="9">
        <f t="shared" si="190"/>
        <v>0</v>
      </c>
      <c r="Z189" s="81"/>
      <c r="AA189" s="81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1</v>
      </c>
      <c r="HC189" s="8">
        <f>IF(HC$56-Voorblad!$F$41&gt;Voorblad!$K$41,0,IF($U189=0,0,IF($U189&lt;1,1/$U189,IF((HC$56-Voorblad!$F$41)/$U189-SUM($EE189:HB189)=1,1,0))))</f>
        <v>1</v>
      </c>
      <c r="HD189" s="8">
        <f>IF(HD$56-Voorblad!$F$41&gt;Voorblad!$K$41,0,IF($U189=0,0,IF($U189&lt;1,1/$U189,IF((HD$56-Voorblad!$F$41)/$U189-SUM($EE189:HC189)=1,1,0))))</f>
        <v>1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0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0">
        <v>0</v>
      </c>
      <c r="X190" s="6"/>
      <c r="Y190" s="9">
        <f t="shared" si="190"/>
        <v>0</v>
      </c>
      <c r="Z190" s="81"/>
      <c r="AA190" s="81"/>
      <c r="AC190" s="227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1</v>
      </c>
      <c r="HC190" s="8">
        <f>IF(HC$56-Voorblad!$F$41&gt;Voorblad!$K$41,0,IF($U190=0,0,IF($U190&lt;1,1/$U190,IF((HC$56-Voorblad!$F$41)/$U190-SUM($EE190:HB190)=1,1,0))))</f>
        <v>1</v>
      </c>
      <c r="HD190" s="8">
        <f>IF(HD$56-Voorblad!$F$41&gt;Voorblad!$K$41,0,IF($U190=0,0,IF($U190&lt;1,1/$U190,IF((HD$56-Voorblad!$F$41)/$U190-SUM($EE190:HC190)=1,1,0))))</f>
        <v>1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269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274</v>
      </c>
      <c r="K195" s="1" t="s">
        <v>86</v>
      </c>
      <c r="Q195" s="80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5677.8462758762635</v>
      </c>
      <c r="Z195" s="81"/>
      <c r="AA195" s="81"/>
      <c r="AC195" s="9">
        <f>$Y195*(Voorblad!$K$44*(1+Voorblad!$K$44)^Voorblad!$K$41)/((1+Voorblad!$K$44)^Voorblad!$K$41-1)</f>
        <v>167.6075205884689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291.3193471792672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257.48385406800077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227.57820840822569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201.14597526810255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177.78373267611033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157.13491439300432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138.8843678194113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1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275</v>
      </c>
      <c r="K196" s="1" t="s">
        <v>83</v>
      </c>
      <c r="O196" s="1" t="s">
        <v>133</v>
      </c>
      <c r="P196" s="6" t="s">
        <v>310</v>
      </c>
      <c r="Q196" s="83">
        <v>0</v>
      </c>
      <c r="R196" s="1" t="s">
        <v>35</v>
      </c>
      <c r="S196" s="21">
        <f>$H$20*15</f>
        <v>26.55</v>
      </c>
      <c r="T196" s="9">
        <f>Q196*S196</f>
        <v>0</v>
      </c>
      <c r="U196" s="14">
        <v>10</v>
      </c>
      <c r="V196" s="14"/>
      <c r="Y196" s="9">
        <f t="shared" si="199"/>
        <v>0</v>
      </c>
      <c r="Z196" s="81"/>
      <c r="AA196" s="81"/>
      <c r="AC196" s="9">
        <f>$Y196*(Voorblad!$K$44*(1+Voorblad!$K$44)^Voorblad!$K$41)/((1+Voorblad!$K$44)^Voorblad!$K$41-1)</f>
        <v>0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0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0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0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0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275</v>
      </c>
      <c r="K197" s="1" t="s">
        <v>84</v>
      </c>
      <c r="O197" s="1" t="s">
        <v>132</v>
      </c>
      <c r="Q197" s="83">
        <v>0</v>
      </c>
      <c r="R197" s="1" t="s">
        <v>35</v>
      </c>
      <c r="S197" s="21">
        <f>$H$20*20</f>
        <v>35.4</v>
      </c>
      <c r="T197" s="1">
        <f>Q197*S197</f>
        <v>0</v>
      </c>
      <c r="U197" s="14">
        <v>10</v>
      </c>
      <c r="V197" s="14"/>
      <c r="Y197" s="9">
        <f>SUM(AE197:EB197)</f>
        <v>0</v>
      </c>
      <c r="Z197" s="81"/>
      <c r="AA197" s="81"/>
      <c r="AC197" s="9">
        <f>$Y197*(Voorblad!$K$44*(1+Voorblad!$K$44)^Voorblad!$K$41)/((1+Voorblad!$K$44)^Voorblad!$K$41-1)</f>
        <v>0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0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0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0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0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275</v>
      </c>
      <c r="K198" s="1" t="s">
        <v>82</v>
      </c>
      <c r="O198" s="1" t="s">
        <v>217</v>
      </c>
      <c r="P198" s="1" t="s">
        <v>173</v>
      </c>
      <c r="Q198" s="83">
        <f>2.5%*Q196</f>
        <v>0</v>
      </c>
      <c r="R198" s="1" t="s">
        <v>35</v>
      </c>
      <c r="S198" s="14">
        <f>$H$20*500</f>
        <v>885</v>
      </c>
      <c r="T198" s="9">
        <f>Q198*S198</f>
        <v>0</v>
      </c>
      <c r="U198" s="14">
        <v>15</v>
      </c>
      <c r="V198" s="14"/>
      <c r="Y198" s="9">
        <f t="shared" si="199"/>
        <v>0</v>
      </c>
      <c r="Z198" s="81"/>
      <c r="AA198" s="81"/>
      <c r="AC198" s="227">
        <f>$Y198*(Voorblad!$K$44*(1+Voorblad!$K$44)^Voorblad!$K$41)/((1+Voorblad!$K$44)^Voorblad!$K$41-1)</f>
        <v>0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0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0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1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5677.8462758762635</v>
      </c>
      <c r="Z199" s="24"/>
      <c r="AA199" s="23">
        <f>SUM(AA195:AA198)</f>
        <v>0</v>
      </c>
      <c r="AC199" s="9">
        <f>$Y199*(Voorblad!$K$44*(1+Voorblad!$K$44)^Voorblad!$K$41)/((1+Voorblad!$K$44)^Voorblad!$K$41-1)</f>
        <v>167.6075205884689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267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221</v>
      </c>
      <c r="P201" s="1" t="s">
        <v>222</v>
      </c>
      <c r="Q201" s="83">
        <f>5%*Q196</f>
        <v>0</v>
      </c>
      <c r="R201" s="1" t="s">
        <v>35</v>
      </c>
      <c r="S201" s="14">
        <f>$H$10*500</f>
        <v>1190</v>
      </c>
      <c r="T201" s="9">
        <f>Q201*S201</f>
        <v>0</v>
      </c>
      <c r="U201" s="14">
        <v>50</v>
      </c>
      <c r="V201" s="14"/>
      <c r="Y201" s="9">
        <f t="shared" si="199"/>
        <v>0</v>
      </c>
      <c r="Z201" s="81"/>
      <c r="AA201" s="81"/>
      <c r="AC201" s="227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268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6" t="s">
        <v>310</v>
      </c>
      <c r="Q204" s="82">
        <f>29.177*2*8.265</f>
        <v>482.29581000000002</v>
      </c>
      <c r="R204" s="80" t="s">
        <v>35</v>
      </c>
      <c r="S204" s="80">
        <v>1880</v>
      </c>
      <c r="T204" s="9">
        <f>Q204*S204</f>
        <v>906716.12280000001</v>
      </c>
      <c r="U204" s="11">
        <v>1</v>
      </c>
      <c r="V204" s="14">
        <f>Voorblad!F25+100</f>
        <v>2104</v>
      </c>
      <c r="W204" s="9">
        <f>Voorblad!K85</f>
        <v>2104</v>
      </c>
      <c r="X204" s="6"/>
      <c r="Y204" s="9">
        <f t="shared" si="199"/>
        <v>138821.76712883639</v>
      </c>
      <c r="Z204" s="81" t="s">
        <v>301</v>
      </c>
      <c r="AA204" s="81">
        <v>52</v>
      </c>
      <c r="AC204" s="9">
        <f>$Y204*(Voorblad!$K$44*(1+Voorblad!$K$44)^Voorblad!$K$41)/((1+Voorblad!$K$44)^Voorblad!$K$41-1)</f>
        <v>4097.9574052633525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138821.76712883639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1</v>
      </c>
      <c r="HC204" s="8">
        <f>IF(HC$56-Voorblad!$F$41&gt;Voorblad!$K$41,0,IF($U204=0,0,IF($U204&lt;1,1/$U204,IF((HC$56-Voorblad!$F$41)/$U204-SUM($EE204:HB204)=1,1,0))))</f>
        <v>1</v>
      </c>
      <c r="HD204" s="8">
        <f>IF(HD$56-Voorblad!$F$41&gt;Voorblad!$K$41,0,IF($U204=0,0,IF($U204&lt;1,1/$U204,IF((HD$56-Voorblad!$F$41)/$U204-SUM($EE204:HC204)=1,1,0))))</f>
        <v>1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0">
        <v>0</v>
      </c>
      <c r="R205" s="1" t="s">
        <v>33</v>
      </c>
      <c r="S205" s="21">
        <f>2%*T204</f>
        <v>18134.322456000002</v>
      </c>
      <c r="T205" s="14">
        <f>Q205*S205</f>
        <v>0</v>
      </c>
      <c r="U205" s="11">
        <v>1</v>
      </c>
      <c r="V205" s="14"/>
      <c r="W205" s="80">
        <v>0</v>
      </c>
      <c r="X205" s="6"/>
      <c r="Y205" s="9">
        <f t="shared" si="199"/>
        <v>0</v>
      </c>
      <c r="Z205" s="81"/>
      <c r="AA205" s="81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1</v>
      </c>
      <c r="HC205" s="8">
        <f>IF(HC$56-Voorblad!$F$41&gt;Voorblad!$K$41,0,IF($U205=0,0,IF($U205&lt;1,1/$U205,IF((HC$56-Voorblad!$F$41)/$U205-SUM($EE205:HB205)=1,1,0))))</f>
        <v>1</v>
      </c>
      <c r="HD205" s="8">
        <f>IF(HD$56-Voorblad!$F$41&gt;Voorblad!$K$41,0,IF($U205=0,0,IF($U205&lt;1,1/$U205,IF((HD$56-Voorblad!$F$41)/$U205-SUM($EE205:HC205)=1,1,0))))</f>
        <v>1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0">
        <v>0</v>
      </c>
      <c r="R206" s="1" t="s">
        <v>33</v>
      </c>
      <c r="S206" s="21">
        <f>4%*T204</f>
        <v>36268.644912000003</v>
      </c>
      <c r="T206" s="14">
        <f>Q206*S206</f>
        <v>0</v>
      </c>
      <c r="U206" s="11">
        <v>1</v>
      </c>
      <c r="V206" s="14"/>
      <c r="W206" s="80">
        <v>0</v>
      </c>
      <c r="X206" s="6"/>
      <c r="Y206" s="9">
        <f t="shared" si="199"/>
        <v>0</v>
      </c>
      <c r="Z206" s="81"/>
      <c r="AA206" s="81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1</v>
      </c>
      <c r="HC206" s="8">
        <f>IF(HC$56-Voorblad!$F$41&gt;Voorblad!$K$41,0,IF($U206=0,0,IF($U206&lt;1,1/$U206,IF((HC$56-Voorblad!$F$41)/$U206-SUM($EE206:HB206)=1,1,0))))</f>
        <v>1</v>
      </c>
      <c r="HD206" s="8">
        <f>IF(HD$56-Voorblad!$F$41&gt;Voorblad!$K$41,0,IF($U206=0,0,IF($U206&lt;1,1/$U206,IF((HD$56-Voorblad!$F$41)/$U206-SUM($EE206:HC206)=1,1,0))))</f>
        <v>1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0">
        <v>0</v>
      </c>
      <c r="R207" s="1" t="s">
        <v>33</v>
      </c>
      <c r="S207" s="21">
        <f>7%*T204</f>
        <v>63470.12859600001</v>
      </c>
      <c r="T207" s="14">
        <f>Q207*S207</f>
        <v>0</v>
      </c>
      <c r="U207" s="11">
        <v>1</v>
      </c>
      <c r="V207" s="14"/>
      <c r="W207" s="80">
        <v>0</v>
      </c>
      <c r="X207" s="6"/>
      <c r="Y207" s="9">
        <f t="shared" si="199"/>
        <v>0</v>
      </c>
      <c r="Z207" s="81"/>
      <c r="AA207" s="81"/>
      <c r="AC207" s="227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1</v>
      </c>
      <c r="HC207" s="8">
        <f>IF(HC$56-Voorblad!$F$41&gt;Voorblad!$K$41,0,IF($U207=0,0,IF($U207&lt;1,1/$U207,IF((HC$56-Voorblad!$F$41)/$U207-SUM($EE207:HB207)=1,1,0))))</f>
        <v>1</v>
      </c>
      <c r="HD207" s="8">
        <f>IF(HD$56-Voorblad!$F$41&gt;Voorblad!$K$41,0,IF($U207=0,0,IF($U207&lt;1,1/$U207,IF((HD$56-Voorblad!$F$41)/$U207-SUM($EE207:HC207)=1,1,0))))</f>
        <v>1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269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906716.12280000001</v>
      </c>
      <c r="U208" s="14"/>
      <c r="V208" s="14"/>
      <c r="W208" s="14"/>
      <c r="X208" s="6"/>
      <c r="Y208" s="23">
        <f>SUM(Y204:Y207)</f>
        <v>138821.76712883639</v>
      </c>
      <c r="Z208" s="24"/>
      <c r="AA208" s="23">
        <f>SUM(AA204:AA207)</f>
        <v>52</v>
      </c>
      <c r="AC208" s="9">
        <f>$Y208*(Voorblad!$K$44*(1+Voorblad!$K$44)^Voorblad!$K$41)/((1+Voorblad!$K$44)^Voorblad!$K$41-1)</f>
        <v>4097.9574052633525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274</v>
      </c>
      <c r="K212" s="1" t="s">
        <v>86</v>
      </c>
      <c r="Q212" s="80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2"/>
      <c r="AA212" s="82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1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275</v>
      </c>
      <c r="K213" s="1" t="s">
        <v>87</v>
      </c>
      <c r="O213" s="1" t="s">
        <v>133</v>
      </c>
      <c r="Q213" s="80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2"/>
      <c r="AA213" s="82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275</v>
      </c>
      <c r="K214" s="1" t="s">
        <v>84</v>
      </c>
      <c r="O214" s="1" t="s">
        <v>132</v>
      </c>
      <c r="Q214" s="80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2"/>
      <c r="AA214" s="82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275</v>
      </c>
      <c r="K215" s="1" t="s">
        <v>88</v>
      </c>
      <c r="O215" s="1" t="s">
        <v>217</v>
      </c>
      <c r="P215" s="1" t="s">
        <v>173</v>
      </c>
      <c r="Q215" s="80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2"/>
      <c r="AA215" s="82"/>
      <c r="AC215" s="227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267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220</v>
      </c>
      <c r="O218" s="1" t="s">
        <v>218</v>
      </c>
      <c r="P218" s="1" t="s">
        <v>219</v>
      </c>
      <c r="Q218" s="80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2"/>
      <c r="AA218" s="82"/>
      <c r="AC218" s="227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268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Q221" s="80">
        <v>0</v>
      </c>
      <c r="R221" s="80" t="s">
        <v>33</v>
      </c>
      <c r="S221" s="80">
        <v>0</v>
      </c>
      <c r="T221" s="14">
        <f>Q221*S221</f>
        <v>0</v>
      </c>
      <c r="U221" s="11">
        <v>1</v>
      </c>
      <c r="V221" s="14">
        <f>Voorblad!F25+100</f>
        <v>2104</v>
      </c>
      <c r="W221" s="9">
        <f>Voorblad!K89</f>
        <v>0</v>
      </c>
      <c r="X221" s="6"/>
      <c r="Y221" s="9">
        <f t="shared" si="200"/>
        <v>0</v>
      </c>
      <c r="Z221" s="82"/>
      <c r="AA221" s="82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1</v>
      </c>
      <c r="HC221" s="8">
        <f>IF(HC$56-Voorblad!$F$41&gt;Voorblad!$K$41,0,IF($U221=0,0,IF($U221&lt;1,1/$U221,IF((HC$56-Voorblad!$F$41)/$U221-SUM($EE221:HB221)=1,1,0))))</f>
        <v>1</v>
      </c>
      <c r="HD221" s="8">
        <f>IF(HD$56-Voorblad!$F$41&gt;Voorblad!$K$41,0,IF($U221=0,0,IF($U221&lt;1,1/$U221,IF((HD$56-Voorblad!$F$41)/$U221-SUM($EE221:HC221)=1,1,0))))</f>
        <v>1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0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0">
        <v>0</v>
      </c>
      <c r="X222" s="6"/>
      <c r="Y222" s="9">
        <f t="shared" si="200"/>
        <v>0</v>
      </c>
      <c r="Z222" s="82"/>
      <c r="AA222" s="82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1</v>
      </c>
      <c r="HC222" s="8">
        <f>IF(HC$56-Voorblad!$F$41&gt;Voorblad!$K$41,0,IF($U222=0,0,IF($U222&lt;1,1/$U222,IF((HC$56-Voorblad!$F$41)/$U222-SUM($EE222:HB222)=1,1,0))))</f>
        <v>1</v>
      </c>
      <c r="HD222" s="8">
        <f>IF(HD$56-Voorblad!$F$41&gt;Voorblad!$K$41,0,IF($U222=0,0,IF($U222&lt;1,1/$U222,IF((HD$56-Voorblad!$F$41)/$U222-SUM($EE222:HC222)=1,1,0))))</f>
        <v>1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0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0">
        <v>0</v>
      </c>
      <c r="X223" s="6"/>
      <c r="Y223" s="9">
        <f t="shared" si="200"/>
        <v>0</v>
      </c>
      <c r="Z223" s="82"/>
      <c r="AA223" s="82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1</v>
      </c>
      <c r="HC223" s="8">
        <f>IF(HC$56-Voorblad!$F$41&gt;Voorblad!$K$41,0,IF($U223=0,0,IF($U223&lt;1,1/$U223,IF((HC$56-Voorblad!$F$41)/$U223-SUM($EE223:HB223)=1,1,0))))</f>
        <v>1</v>
      </c>
      <c r="HD223" s="8">
        <f>IF(HD$56-Voorblad!$F$41&gt;Voorblad!$K$41,0,IF($U223=0,0,IF($U223&lt;1,1/$U223,IF((HD$56-Voorblad!$F$41)/$U223-SUM($EE223:HC223)=1,1,0))))</f>
        <v>1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0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0">
        <v>0</v>
      </c>
      <c r="X224" s="6"/>
      <c r="Y224" s="9">
        <f t="shared" si="200"/>
        <v>0</v>
      </c>
      <c r="Z224" s="82"/>
      <c r="AA224" s="82"/>
      <c r="AC224" s="227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1</v>
      </c>
      <c r="HC224" s="8">
        <f>IF(HC$56-Voorblad!$F$41&gt;Voorblad!$K$41,0,IF($U224=0,0,IF($U224&lt;1,1/$U224,IF((HC$56-Voorblad!$F$41)/$U224-SUM($EE224:HB224)=1,1,0))))</f>
        <v>1</v>
      </c>
      <c r="HD224" s="8">
        <f>IF(HD$56-Voorblad!$F$41&gt;Voorblad!$K$41,0,IF($U224=0,0,IF($U224&lt;1,1/$U224,IF((HD$56-Voorblad!$F$41)/$U224-SUM($EE224:HC224)=1,1,0))))</f>
        <v>1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271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260</v>
      </c>
      <c r="P229" s="1" t="s">
        <v>314</v>
      </c>
      <c r="Q229" s="83">
        <f>2*29.2*0.035</f>
        <v>2.044</v>
      </c>
      <c r="R229" s="1" t="s">
        <v>101</v>
      </c>
      <c r="S229" s="1">
        <v>-200</v>
      </c>
      <c r="T229" s="21">
        <f t="shared" ref="T229:T236" si="201">Q229*S229</f>
        <v>-408.8</v>
      </c>
      <c r="U229" s="11">
        <v>1</v>
      </c>
      <c r="V229" s="14">
        <f>Voorblad!F24+100</f>
        <v>2104</v>
      </c>
      <c r="W229" s="9">
        <f>Voorblad!$K$77</f>
        <v>2104</v>
      </c>
      <c r="X229" s="6"/>
      <c r="Y229" s="9">
        <f t="shared" ref="Y229" si="202">SUM(AE229:EB229)</f>
        <v>-62.588870954471929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-62.588870954471929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1</v>
      </c>
      <c r="HC229" s="8">
        <f>IF(HC$56-Voorblad!$F$41&gt;Voorblad!$K$41,0,IF($U229=0,0,IF($U229&lt;1,1/$U229,IF((HC$56-Voorblad!$F$41)/$U229-SUM($EE229:HB229)=1,1,0))))</f>
        <v>1</v>
      </c>
      <c r="HD229" s="8">
        <f>IF(HD$56-Voorblad!$F$41&gt;Voorblad!$K$41,0,IF($U229=0,0,IF($U229&lt;1,1/$U229,IF((HD$56-Voorblad!$F$41)/$U229-SUM($EE229:HC229)=1,1,0))))</f>
        <v>1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261</v>
      </c>
      <c r="O230" s="1" t="s">
        <v>103</v>
      </c>
      <c r="P230" s="1" t="s">
        <v>315</v>
      </c>
      <c r="Q230" s="82">
        <f>2*505</f>
        <v>1010</v>
      </c>
      <c r="R230" s="1" t="s">
        <v>101</v>
      </c>
      <c r="S230" s="1">
        <v>-50</v>
      </c>
      <c r="T230" s="21">
        <f t="shared" si="201"/>
        <v>-50500</v>
      </c>
      <c r="U230" s="11">
        <v>1</v>
      </c>
      <c r="V230" s="14">
        <f>Voorblad!F24+100</f>
        <v>2104</v>
      </c>
      <c r="W230" s="9">
        <f>Voorblad!$K$77</f>
        <v>2104</v>
      </c>
      <c r="X230" s="6"/>
      <c r="Y230" s="9">
        <f t="shared" ref="Y230" si="203">SUM(AE230:EB230)</f>
        <v>-7731.7465342486112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-7731.7465342486112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1</v>
      </c>
      <c r="HC230" s="8">
        <f>IF(HC$56-Voorblad!$F$41&gt;Voorblad!$K$41,0,IF($U230=0,0,IF($U230&lt;1,1/$U230,IF((HC$56-Voorblad!$F$41)/$U230-SUM($EE230:HB230)=1,1,0))))</f>
        <v>1</v>
      </c>
      <c r="HD230" s="8">
        <f>IF(HD$56-Voorblad!$F$41&gt;Voorblad!$K$41,0,IF($U230=0,0,IF($U230&lt;1,1/$U230,IF((HD$56-Voorblad!$F$41)/$U230-SUM($EE230:HC230)=1,1,0))))</f>
        <v>1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262</v>
      </c>
      <c r="O231" s="1" t="s">
        <v>102</v>
      </c>
      <c r="Q231" s="82">
        <f>0.5*Q230</f>
        <v>505</v>
      </c>
      <c r="R231" s="1" t="s">
        <v>101</v>
      </c>
      <c r="S231" s="1">
        <v>-200</v>
      </c>
      <c r="T231" s="21">
        <f t="shared" si="201"/>
        <v>-101000</v>
      </c>
      <c r="U231" s="11">
        <v>1</v>
      </c>
      <c r="V231" s="14">
        <f>Voorblad!F24+100</f>
        <v>2104</v>
      </c>
      <c r="W231" s="9">
        <f>Voorblad!$K$77</f>
        <v>2104</v>
      </c>
      <c r="X231" s="6"/>
      <c r="Y231" s="9">
        <f t="shared" ref="Y231:Y234" si="204">SUM(AE231:EB231)</f>
        <v>-15463.493068497222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-15463.493068497222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1</v>
      </c>
      <c r="HC231" s="8">
        <f>IF(HC$56-Voorblad!$F$41&gt;Voorblad!$K$41,0,IF($U231=0,0,IF($U231&lt;1,1/$U231,IF((HC$56-Voorblad!$F$41)/$U231-SUM($EE231:HB231)=1,1,0))))</f>
        <v>1</v>
      </c>
      <c r="HD231" s="8">
        <f>IF(HD$56-Voorblad!$F$41&gt;Voorblad!$K$41,0,IF($U231=0,0,IF($U231&lt;1,1/$U231,IF((HD$56-Voorblad!$F$41)/$U231-SUM($EE231:HC231)=1,1,0))))</f>
        <v>1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263</v>
      </c>
      <c r="O232" s="1" t="s">
        <v>137</v>
      </c>
      <c r="P232" s="1" t="s">
        <v>316</v>
      </c>
      <c r="Q232" s="82">
        <f>2.3*400</f>
        <v>919.99999999999989</v>
      </c>
      <c r="R232" s="1" t="s">
        <v>101</v>
      </c>
      <c r="S232" s="1">
        <v>-50</v>
      </c>
      <c r="T232" s="21">
        <f t="shared" si="201"/>
        <v>-45999.999999999993</v>
      </c>
      <c r="U232" s="11">
        <v>1</v>
      </c>
      <c r="V232" s="14">
        <f>Voorblad!F24+100</f>
        <v>2104</v>
      </c>
      <c r="W232" s="9">
        <f>Voorblad!$K$77</f>
        <v>2104</v>
      </c>
      <c r="X232" s="6"/>
      <c r="Y232" s="9">
        <f t="shared" ref="Y232" si="205">SUM(AE232:EB232)</f>
        <v>-7042.7790212957634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-7042.7790212957634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1</v>
      </c>
      <c r="HC232" s="8">
        <f>IF(HC$56-Voorblad!$F$41&gt;Voorblad!$K$41,0,IF($U232=0,0,IF($U232&lt;1,1/$U232,IF((HC$56-Voorblad!$F$41)/$U232-SUM($EE232:HB232)=1,1,0))))</f>
        <v>1</v>
      </c>
      <c r="HD232" s="8">
        <f>IF(HD$56-Voorblad!$F$41&gt;Voorblad!$K$41,0,IF($U232=0,0,IF($U232&lt;1,1/$U232,IF((HD$56-Voorblad!$F$41)/$U232-SUM($EE232:HC232)=1,1,0))))</f>
        <v>1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264</v>
      </c>
      <c r="O233" s="1" t="s">
        <v>136</v>
      </c>
      <c r="Q233" s="82">
        <f>0.2*Q232</f>
        <v>184</v>
      </c>
      <c r="R233" s="1" t="s">
        <v>101</v>
      </c>
      <c r="S233" s="1">
        <v>-200</v>
      </c>
      <c r="T233" s="21">
        <f t="shared" si="201"/>
        <v>-36800</v>
      </c>
      <c r="U233" s="11">
        <v>1</v>
      </c>
      <c r="V233" s="14">
        <f>Voorblad!F24+100</f>
        <v>2104</v>
      </c>
      <c r="W233" s="9">
        <f>Voorblad!$K$77</f>
        <v>2104</v>
      </c>
      <c r="X233" s="6"/>
      <c r="Y233" s="9">
        <f t="shared" ref="Y233" si="206">SUM(AE233:EB233)</f>
        <v>-5634.2232170366115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-5634.2232170366115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1</v>
      </c>
      <c r="HC233" s="8">
        <f>IF(HC$56-Voorblad!$F$41&gt;Voorblad!$K$41,0,IF($U233=0,0,IF($U233&lt;1,1/$U233,IF((HC$56-Voorblad!$F$41)/$U233-SUM($EE233:HB233)=1,1,0))))</f>
        <v>1</v>
      </c>
      <c r="HD233" s="8">
        <f>IF(HD$56-Voorblad!$F$41&gt;Voorblad!$K$41,0,IF($U233=0,0,IF($U233&lt;1,1/$U233,IF((HD$56-Voorblad!$F$41)/$U233-SUM($EE233:HC233)=1,1,0))))</f>
        <v>1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265</v>
      </c>
      <c r="O234" s="1" t="s">
        <v>105</v>
      </c>
      <c r="Q234" s="82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2104</v>
      </c>
      <c r="W234" s="9">
        <f>Voorblad!$K$77</f>
        <v>2104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1</v>
      </c>
      <c r="HC234" s="8">
        <f>IF(HC$56-Voorblad!$F$41&gt;Voorblad!$K$41,0,IF($U234=0,0,IF($U234&lt;1,1/$U234,IF((HC$56-Voorblad!$F$41)/$U234-SUM($EE234:HB234)=1,1,0))))</f>
        <v>1</v>
      </c>
      <c r="HD234" s="8">
        <f>IF(HD$56-Voorblad!$F$41&gt;Voorblad!$K$41,0,IF($U234=0,0,IF($U234&lt;1,1/$U234,IF((HD$56-Voorblad!$F$41)/$U234-SUM($EE234:HC234)=1,1,0))))</f>
        <v>1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Q235" s="82">
        <v>0</v>
      </c>
      <c r="R235" s="1" t="s">
        <v>101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2104</v>
      </c>
      <c r="W235" s="9">
        <f>Voorblad!$K$77</f>
        <v>2104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1</v>
      </c>
      <c r="HC235" s="8">
        <f>IF(HC$56-Voorblad!$F$41&gt;Voorblad!$K$41,0,IF($U235=0,0,IF($U235&lt;1,1/$U235,IF((HC$56-Voorblad!$F$41)/$U235-SUM($EE235:HB235)=1,1,0))))</f>
        <v>1</v>
      </c>
      <c r="HD235" s="8">
        <f>IF(HD$56-Voorblad!$F$41&gt;Voorblad!$K$41,0,IF($U235=0,0,IF($U235&lt;1,1/$U235,IF((HD$56-Voorblad!$F$41)/$U235-SUM($EE235:HC235)=1,1,0))))</f>
        <v>1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K236" s="1" t="s">
        <v>300</v>
      </c>
      <c r="Q236" s="83">
        <v>0</v>
      </c>
      <c r="R236" s="80" t="s">
        <v>101</v>
      </c>
      <c r="S236" s="80">
        <v>-200</v>
      </c>
      <c r="T236" s="14">
        <f t="shared" si="201"/>
        <v>0</v>
      </c>
      <c r="U236" s="11">
        <v>1</v>
      </c>
      <c r="V236" s="14">
        <f>Voorblad!F24+100</f>
        <v>2104</v>
      </c>
      <c r="W236" s="9">
        <f>Voorblad!$K$77</f>
        <v>2104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1</v>
      </c>
      <c r="HC236" s="8">
        <f>IF(HC$56-Voorblad!$F$41&gt;Voorblad!$K$41,0,IF($U236=0,0,IF($U236&lt;1,1/$U236,IF((HC$56-Voorblad!$F$41)/$U236-SUM($EE236:HB236)=1,1,0))))</f>
        <v>1</v>
      </c>
      <c r="HD236" s="8">
        <f>IF(HD$56-Voorblad!$F$41&gt;Voorblad!$K$41,0,IF($U236=0,0,IF($U236&lt;1,1/$U236,IF((HD$56-Voorblad!$F$41)/$U236-SUM($EE236:HC236)=1,1,0))))</f>
        <v>1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270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-234708.8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BE7987-5940-42B3-A8E9-EDAEAF82DEB9}">
  <ds:schemaRefs>
    <ds:schemaRef ds:uri="http://purl.org/dc/dcmitype/"/>
    <ds:schemaRef ds:uri="http://schemas.openxmlformats.org/package/2006/metadata/core-properties"/>
    <ds:schemaRef ds:uri="http://purl.org/dc/terms/"/>
    <ds:schemaRef ds:uri="de75ed97-d5d0-480f-8c5e-5314c0bb5094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2019-12-11T14:06:21Z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