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3A364FE6-636A-4565-A6D7-EFBE217D9F6C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197" i="1" l="1"/>
  <c r="Q196" i="1"/>
  <c r="Q229" i="1"/>
  <c r="Q232" i="1"/>
  <c r="Q230" i="1"/>
  <c r="Q149" i="1"/>
  <c r="Q146" i="1"/>
  <c r="Q139" i="1"/>
  <c r="Q137" i="1"/>
  <c r="Q136" i="1"/>
  <c r="Q133" i="1"/>
  <c r="Q122" i="1"/>
  <c r="Q117" i="1"/>
  <c r="Q115" i="1"/>
  <c r="Q113" i="1"/>
  <c r="Q110" i="1"/>
  <c r="Q204" i="1"/>
  <c r="Q46" i="1"/>
  <c r="N93" i="2" l="1"/>
  <c r="N92" i="2"/>
  <c r="N61" i="2"/>
  <c r="N60" i="2"/>
  <c r="H61" i="2"/>
  <c r="Q233" i="1"/>
  <c r="Q231" i="1"/>
  <c r="T229" i="1"/>
  <c r="V229" i="1"/>
  <c r="W229" i="1"/>
  <c r="Q201" i="1"/>
  <c r="Q198" i="1" l="1"/>
  <c r="D50" i="2" l="1"/>
  <c r="D49" i="2"/>
  <c r="L50" i="2"/>
  <c r="L61" i="2" s="1"/>
  <c r="C50" i="2"/>
  <c r="B50" i="2"/>
  <c r="T36" i="1"/>
  <c r="T35" i="1"/>
  <c r="O78" i="2" l="1"/>
  <c r="O74" i="2"/>
  <c r="K41" i="2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L60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W230" i="1" l="1"/>
  <c r="W231" i="1"/>
  <c r="W232" i="1"/>
  <c r="W233" i="1"/>
  <c r="W234" i="1"/>
  <c r="W235" i="1"/>
  <c r="W236" i="1"/>
  <c r="W221" i="1" l="1"/>
  <c r="W187" i="1"/>
  <c r="W97" i="1"/>
  <c r="W149" i="1"/>
  <c r="B59" i="2"/>
  <c r="N89" i="2"/>
  <c r="N85" i="2"/>
  <c r="N94" i="2" s="1"/>
  <c r="N73" i="2"/>
  <c r="N52" i="2"/>
  <c r="N53" i="2"/>
  <c r="N54" i="2"/>
  <c r="N55" i="2"/>
  <c r="N56" i="2"/>
  <c r="N57" i="2"/>
  <c r="N58" i="2"/>
  <c r="N51" i="2"/>
  <c r="N48" i="2"/>
  <c r="N59" i="2"/>
  <c r="N65" i="2" s="1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2" i="2" l="1"/>
  <c r="O63" i="2"/>
  <c r="N63" i="2"/>
  <c r="N66" i="2"/>
  <c r="N64" i="2"/>
  <c r="K42" i="2" l="1"/>
  <c r="J93" i="2" s="1"/>
  <c r="D73" i="2"/>
  <c r="E104" i="2"/>
  <c r="V233" i="1"/>
  <c r="V232" i="1"/>
  <c r="J92" i="2" l="1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1" i="2" s="1"/>
  <c r="J66" i="2" l="1"/>
  <c r="J64" i="2"/>
  <c r="J63" i="2"/>
  <c r="J62" i="2"/>
  <c r="J60" i="2"/>
  <c r="V235" i="1"/>
  <c r="T235" i="1"/>
  <c r="V234" i="1"/>
  <c r="V236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s="1"/>
  <c r="L91" i="2" s="1"/>
  <c r="L95" i="2" s="1"/>
  <c r="T44" i="1" l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4" i="2" l="1"/>
  <c r="L62" i="2"/>
  <c r="L66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AN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M125" i="1" l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CZ233" i="1"/>
  <c r="CZ232" i="1"/>
  <c r="HA232" i="1"/>
  <c r="HA233" i="1"/>
  <c r="HA93" i="1"/>
  <c r="CZ93" i="1" s="1"/>
  <c r="CZ236" i="1"/>
  <c r="CZ235" i="1"/>
  <c r="CZ229" i="1"/>
  <c r="HA235" i="1"/>
  <c r="HA229" i="1"/>
  <c r="HA60" i="1"/>
  <c r="CZ60" i="1" s="1"/>
  <c r="HA159" i="1"/>
  <c r="CZ159" i="1" s="1"/>
  <c r="HA160" i="1"/>
  <c r="CZ160" i="1" s="1"/>
  <c r="HA59" i="1"/>
  <c r="CZ59" i="1" s="1"/>
  <c r="HA236" i="1"/>
  <c r="HA111" i="1"/>
  <c r="CZ111" i="1" s="1"/>
  <c r="HA110" i="1"/>
  <c r="CZ110" i="1" s="1"/>
  <c r="CZ234" i="1"/>
  <c r="CZ231" i="1"/>
  <c r="CZ230" i="1"/>
  <c r="HA218" i="1"/>
  <c r="CZ218" i="1" s="1"/>
  <c r="HA234" i="1"/>
  <c r="HA231" i="1"/>
  <c r="HA230" i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HA215" i="1"/>
  <c r="CZ215" i="1" s="1"/>
  <c r="HA214" i="1"/>
  <c r="CZ214" i="1" s="1"/>
  <c r="HA213" i="1"/>
  <c r="CZ213" i="1" s="1"/>
  <c r="HA212" i="1"/>
  <c r="CZ212" i="1" s="1"/>
  <c r="CZ224" i="1"/>
  <c r="CZ222" i="1"/>
  <c r="CZ221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3" i="1"/>
  <c r="HD232" i="1"/>
  <c r="DC232" i="1" s="1"/>
  <c r="HD233" i="1"/>
  <c r="HD93" i="1"/>
  <c r="DC93" i="1" s="1"/>
  <c r="DC236" i="1"/>
  <c r="DC229" i="1"/>
  <c r="HD229" i="1"/>
  <c r="HD235" i="1"/>
  <c r="DC235" i="1" s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0" i="1"/>
  <c r="HD218" i="1"/>
  <c r="DC218" i="1" s="1"/>
  <c r="HD234" i="1"/>
  <c r="DC234" i="1" s="1"/>
  <c r="HD231" i="1"/>
  <c r="DC231" i="1" s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HE232" i="1"/>
  <c r="DD232" i="1" s="1"/>
  <c r="HE233" i="1"/>
  <c r="HE93" i="1"/>
  <c r="DD93" i="1" s="1"/>
  <c r="DD229" i="1"/>
  <c r="HE235" i="1"/>
  <c r="DD235" i="1" s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DD236" i="1" s="1"/>
  <c r="HE111" i="1"/>
  <c r="DD111" i="1" s="1"/>
  <c r="HE218" i="1"/>
  <c r="DD218" i="1" s="1"/>
  <c r="HE231" i="1"/>
  <c r="HE230" i="1"/>
  <c r="HE234" i="1"/>
  <c r="DD234" i="1" s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O61" i="2" s="1"/>
  <c r="M50" i="2"/>
  <c r="M61" i="2" s="1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2" i="2" s="1"/>
  <c r="M52" i="2"/>
  <c r="W40" i="1"/>
  <c r="CK40" i="1" s="1"/>
  <c r="M63" i="2" l="1"/>
  <c r="CV40" i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O64" i="2" s="1"/>
  <c r="M53" i="2"/>
  <c r="AJ46" i="1"/>
  <c r="M62" i="2" l="1"/>
  <c r="M64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M65" i="2" s="1"/>
  <c r="AC46" i="1"/>
  <c r="O59" i="2" s="1"/>
  <c r="O65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  <c r="O60" i="2" s="1"/>
  <c r="M66" i="2" l="1"/>
  <c r="M60" i="2"/>
  <c r="O66" i="2"/>
</calcChain>
</file>

<file path=xl/sharedStrings.xml><?xml version="1.0" encoding="utf-8"?>
<sst xmlns="http://schemas.openxmlformats.org/spreadsheetml/2006/main" count="1021" uniqueCount="318">
  <si>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</si>
  <si>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</si>
  <si>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</si>
  <si>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</si>
  <si>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</si>
  <si>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</si>
  <si>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</si>
  <si>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</si>
  <si>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</si>
  <si>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</si>
  <si>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</si>
  <si>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</si>
  <si>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</si>
  <si>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</si>
  <si>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</si>
  <si>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</si>
  <si>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</si>
  <si>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</si>
  <si>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</si>
  <si>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</si>
  <si>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</si>
  <si>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</si>
  <si>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</si>
  <si>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</si>
  <si>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</si>
  <si>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</si>
  <si>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</si>
  <si>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</si>
  <si>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</si>
  <si>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</si>
  <si>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</si>
  <si>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</si>
  <si>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</si>
  <si>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</si>
  <si>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</si>
  <si>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</si>
  <si>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</si>
  <si>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</si>
  <si>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</si>
  <si>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</si>
  <si>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</si>
  <si>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</si>
  <si>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</si>
  <si>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</si>
  <si>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</si>
  <si>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</si>
  <si>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</si>
  <si>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</si>
  <si>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</si>
  <si>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</si>
  <si>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</si>
  <si>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</si>
  <si>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</si>
  <si>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</si>
  <si>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</si>
  <si>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</si>
  <si>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</si>
  <si>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</si>
  <si>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</si>
  <si>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</si>
  <si>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</si>
  <si>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</si>
  <si>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</si>
  <si>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</si>
  <si>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</si>
  <si>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</si>
  <si>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</si>
  <si>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</si>
  <si>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</si>
  <si>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</si>
  <si>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</si>
  <si>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</si>
  <si>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</si>
  <si>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</si>
  <si>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</si>
  <si>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</si>
  <si>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</si>
  <si>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</si>
  <si>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</si>
  <si>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</si>
  <si>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</si>
  <si>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</si>
  <si>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</si>
  <si>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</si>
  <si>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</si>
  <si>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</si>
  <si>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</si>
  <si>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</si>
  <si>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</si>
  <si>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</si>
  <si>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</si>
  <si>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</si>
  <si>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</si>
  <si>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</si>
  <si>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</si>
  <si>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</si>
  <si>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</si>
  <si>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</si>
  <si>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</si>
  <si>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</si>
  <si>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</si>
  <si>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</si>
  <si>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</si>
  <si>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</si>
  <si>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</si>
  <si>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</si>
  <si>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</si>
  <si>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</si>
  <si>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</si>
  <si>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</si>
  <si>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</si>
  <si>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</si>
  <si>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Gewapend beton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</si>
  <si>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</si>
  <si>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</si>
  <si>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</si>
  <si>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</si>
  <si>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</si>
  <si>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</si>
  <si>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</si>
  <si>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</si>
  <si>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</si>
  <si>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</si>
  <si>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</si>
  <si>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</si>
  <si>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</si>
  <si>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</si>
  <si>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</si>
  <si>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</si>
  <si>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</si>
  <si>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</si>
  <si>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</si>
  <si>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</si>
  <si>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</si>
  <si>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</si>
  <si>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</si>
  <si>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</si>
  <si>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</si>
  <si>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</si>
  <si>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</si>
  <si>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</si>
  <si>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</si>
  <si>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</si>
  <si>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</si>
  <si>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</si>
  <si>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</si>
  <si>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</si>
  <si>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</si>
  <si>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</si>
  <si>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</si>
  <si>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</si>
  <si>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</si>
  <si>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</si>
  <si>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</si>
  <si>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</si>
  <si>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</si>
  <si>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</si>
  <si>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</si>
  <si>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</si>
  <si>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</si>
  <si>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</si>
  <si>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</si>
  <si>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</si>
  <si>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</si>
  <si>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</si>
  <si>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</si>
  <si>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</si>
  <si>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</si>
  <si>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</si>
  <si>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</si>
  <si>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</si>
  <si>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</si>
  <si>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</si>
  <si>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</si>
  <si>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</si>
  <si>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</si>
  <si>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</si>
  <si>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</si>
  <si>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</si>
  <si>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</si>
  <si>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</si>
  <si>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</si>
  <si>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</si>
  <si>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</si>
  <si>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</si>
  <si>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</si>
  <si>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</si>
  <si>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</si>
  <si>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</si>
  <si>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</si>
  <si>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</si>
  <si>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</si>
  <si>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</si>
  <si>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</si>
  <si>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</si>
  <si>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</si>
  <si>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</si>
  <si>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</si>
  <si>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</si>
  <si>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</si>
  <si>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</si>
  <si>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</si>
  <si>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</si>
  <si>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</si>
  <si>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</si>
  <si>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</si>
  <si>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</si>
  <si>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</si>
  <si>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</si>
  <si>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</si>
  <si>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</si>
  <si>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</si>
  <si>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</si>
  <si>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</si>
  <si>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</si>
  <si>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</si>
  <si>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</si>
  <si>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</si>
  <si>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</si>
  <si>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</si>
  <si>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</si>
  <si>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</si>
  <si>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</si>
  <si>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</si>
  <si>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</si>
  <si>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</si>
  <si>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</si>
  <si>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</si>
  <si>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</si>
  <si>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</si>
  <si>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>alleen spoordek van tunnel</t>
  </si>
  <si>
    <t xml:space="preserve">Van de odg is alleen het gesloten deel (tunneldeel) in beschouwing genomen incl.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</si>
  <si>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</si>
  <si>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</si>
  <si>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</si>
  <si>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</si>
  <si>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</si>
  <si>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</si>
  <si>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</si>
  <si>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</si>
  <si>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</si>
  <si>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</si>
  <si>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</si>
  <si>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</si>
  <si>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</si>
  <si>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</si>
  <si>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</si>
  <si>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</si>
  <si>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</si>
  <si>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</si>
  <si>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</si>
  <si>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</si>
  <si>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</si>
  <si>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</si>
  <si>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</si>
  <si>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</si>
  <si>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</si>
  <si>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</si>
  <si>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</si>
  <si>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</si>
  <si>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</si>
  <si>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</si>
  <si>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</si>
  <si>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</si>
  <si>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</si>
  <si>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</si>
  <si>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</si>
  <si>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</si>
  <si>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</si>
  <si>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</si>
  <si>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</si>
  <si>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</si>
  <si>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</si>
  <si>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</si>
  <si>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</si>
  <si>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</si>
  <si>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</si>
  <si>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</si>
  <si>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</si>
  <si>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vervanging gesloten deel tunnel BxL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</si>
  <si>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</si>
  <si>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</si>
  <si>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</si>
  <si>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</si>
  <si>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</si>
  <si>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</si>
  <si>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</si>
  <si>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</si>
  <si>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</si>
  <si>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</si>
  <si>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</si>
  <si>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</si>
  <si>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</si>
  <si>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</si>
  <si>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</si>
  <si>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</si>
  <si>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</si>
  <si>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</si>
  <si>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</si>
  <si>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</si>
  <si>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</si>
  <si>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</si>
  <si>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</si>
  <si>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Tilburg</t>
  </si>
  <si>
    <t>Totaal kosten cat. 2 (advies IB tlv ProRail AM)</t>
  </si>
  <si>
    <t>Σ: van 2 landhfdn</t>
  </si>
  <si>
    <t xml:space="preserve">2 wanden landhfd + tunnelvloer </t>
  </si>
  <si>
    <t>(Constructie) staal geluidscherm</t>
  </si>
  <si>
    <t>1x52</t>
  </si>
  <si>
    <t>11534148 + 11534149</t>
  </si>
  <si>
    <t>KW20-551-0041</t>
  </si>
  <si>
    <t>Gewapend betonnen dek (voorgespannen) monoliet aan tunnelwanen</t>
  </si>
  <si>
    <t>Spoorviaducten Willem II Passage</t>
  </si>
  <si>
    <r>
      <t xml:space="preserve">voer in: 2,5% x lengte, </t>
    </r>
    <r>
      <rPr>
        <sz val="9"/>
        <color rgb="FFFF0000"/>
        <rFont val="Calibri"/>
        <family val="2"/>
      </rPr>
      <t>ook 2x een 3,0m hoog hekwerk</t>
    </r>
  </si>
  <si>
    <r>
      <t xml:space="preserve">prijs obv 1 m2 per m1 leuning </t>
    </r>
    <r>
      <rPr>
        <sz val="9"/>
        <color rgb="FFFF0000"/>
        <rFont val="Calibri"/>
        <family val="2"/>
      </rPr>
      <t>+ 3m hoog hekwerk</t>
    </r>
  </si>
  <si>
    <t>spoordekken+PV-paden: 170+201=371 m3</t>
  </si>
  <si>
    <t>Σ: 2 wanden landhfdn + vleugelwanden + vloer: 516 m3</t>
  </si>
  <si>
    <t xml:space="preserve">hekwerken á 35 kg/m1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</si>
</sst>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  <xf numFmtId="1" fontId="1" fillId="0" borderId="56" xfId="0" applyNumberFormat="1" applyFont="1" applyBorder="1" applyAlignment="1">
      <alignment horizontal="center"/>
    </xf>
    <xf numFmtId="166" fontId="1" fillId="0" borderId="22" xfId="0" applyNumberFormat="1" applyFont="1" applyBorder="1" applyAlignment="1">
      <alignment horizontal="center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110" zoomScaleNormal="90" zoomScaleSheetLayoutView="110" workbookViewId="0">
      <selection activeCell="Q90" sqref="Q90"/>
    </sheetView>
  </sheetViews>
  <sheetFormatPr defaultRowHeight="14.4" outlineLevelRow="1" x14ac:dyDescent="0.3"/>
  <cols>
    <col min="1" max="1" width="3.33203125" customWidth="1"/>
    <col min="2" max="3" width="5.6640625" customWidth="1"/>
    <col min="4" max="4" width="38.5546875" customWidth="1"/>
    <col min="5" max="5" width="9.88671875" customWidth="1"/>
    <col min="6" max="6" width="9.33203125" customWidth="1"/>
    <col min="7" max="7" width="14.6640625" customWidth="1"/>
    <col min="8" max="8" width="9.33203125" customWidth="1"/>
    <col min="9" max="9" width="1.44140625" customWidth="1"/>
    <col min="10" max="11" width="9.6640625" customWidth="1"/>
    <col min="12" max="13" width="11.664062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245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69" t="s">
        <v>148</v>
      </c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270"/>
      <c r="N7" s="270"/>
      <c r="O7" s="271"/>
      <c r="P7" s="228"/>
    </row>
    <row r="8" spans="2:16" x14ac:dyDescent="0.3">
      <c r="B8" s="110" t="s">
        <v>126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114</v>
      </c>
      <c r="C9" s="93"/>
      <c r="D9" s="94"/>
      <c r="E9" s="94"/>
      <c r="F9" s="137" t="s">
        <v>120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115</v>
      </c>
      <c r="C10" s="93"/>
      <c r="D10" s="94"/>
      <c r="E10" s="94"/>
      <c r="F10" s="138" t="s">
        <v>121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116</v>
      </c>
      <c r="C11" s="93"/>
      <c r="D11" s="94"/>
      <c r="E11" s="94"/>
      <c r="F11" s="138" t="s">
        <v>122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117</v>
      </c>
      <c r="C12" s="93"/>
      <c r="D12" s="94"/>
      <c r="E12" s="94"/>
      <c r="F12" s="137" t="s">
        <v>123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118</v>
      </c>
      <c r="C13" s="93"/>
      <c r="D13" s="94"/>
      <c r="E13" s="94"/>
      <c r="F13" s="139">
        <v>43811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119</v>
      </c>
      <c r="C14" s="96"/>
      <c r="D14" s="97"/>
      <c r="E14" s="97"/>
      <c r="F14" s="140" t="s">
        <v>124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125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127</v>
      </c>
      <c r="C17" s="99"/>
      <c r="D17" s="94"/>
      <c r="E17" s="94"/>
      <c r="F17" s="141" t="s">
        <v>309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310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312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128</v>
      </c>
      <c r="C21" s="99"/>
      <c r="D21" s="94"/>
      <c r="E21" s="94"/>
      <c r="F21" s="142">
        <v>551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129</v>
      </c>
      <c r="C22" s="99"/>
      <c r="D22" s="94"/>
      <c r="E22" s="94"/>
      <c r="F22" s="141">
        <v>22.382999999999999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303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2015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2015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 t="s">
        <v>111</v>
      </c>
      <c r="G26" s="226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311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112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42736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42775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111</v>
      </c>
      <c r="G32" s="38"/>
      <c r="H32" s="38"/>
      <c r="I32" s="38"/>
      <c r="J32" s="161" t="s">
        <v>225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228</v>
      </c>
      <c r="C33" s="101"/>
      <c r="D33" s="97"/>
      <c r="E33" s="97"/>
      <c r="F33" s="144" t="s">
        <v>231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6" t="s">
        <v>144</v>
      </c>
      <c r="C35" s="267"/>
      <c r="D35" s="267"/>
      <c r="E35" s="267"/>
      <c r="F35" s="267"/>
      <c r="G35" s="267"/>
      <c r="H35" s="267"/>
      <c r="I35" s="267"/>
      <c r="J35" s="267"/>
      <c r="K35" s="267"/>
      <c r="L35" s="267"/>
      <c r="M35" s="267"/>
      <c r="N35" s="267"/>
      <c r="O35" s="268"/>
      <c r="P35" s="229"/>
    </row>
    <row r="36" spans="2:16" x14ac:dyDescent="0.3">
      <c r="B36" s="110" t="s">
        <v>246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131</v>
      </c>
      <c r="I37" s="40"/>
      <c r="J37" s="40"/>
      <c r="K37" s="103">
        <v>10</v>
      </c>
      <c r="L37" s="42"/>
      <c r="M37" s="42"/>
      <c r="N37" s="43"/>
      <c r="O37" s="44"/>
      <c r="P37" s="230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130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0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0"/>
    </row>
    <row r="41" spans="2:16" x14ac:dyDescent="0.3">
      <c r="B41" s="39" t="s">
        <v>247</v>
      </c>
      <c r="C41" s="41"/>
      <c r="D41" s="40"/>
      <c r="E41" s="40"/>
      <c r="F41" s="102">
        <v>2028</v>
      </c>
      <c r="G41" s="41"/>
      <c r="H41" s="131" t="s">
        <v>248</v>
      </c>
      <c r="I41" s="40"/>
      <c r="J41" s="40"/>
      <c r="K41" s="103">
        <f>F24+100-F41</f>
        <v>87</v>
      </c>
      <c r="L41" s="42"/>
      <c r="M41" s="42"/>
      <c r="N41" s="43"/>
      <c r="O41" s="44"/>
      <c r="P41" s="230"/>
    </row>
    <row r="42" spans="2:16" x14ac:dyDescent="0.3">
      <c r="B42" s="45"/>
      <c r="C42" s="40"/>
      <c r="D42" s="40"/>
      <c r="E42" s="40"/>
      <c r="F42" s="40"/>
      <c r="G42" s="54"/>
      <c r="H42" s="133" t="s">
        <v>249</v>
      </c>
      <c r="I42" s="40"/>
      <c r="J42" s="40"/>
      <c r="K42" s="46">
        <f>F41+K41</f>
        <v>2115</v>
      </c>
      <c r="L42" s="43"/>
      <c r="M42" s="43"/>
      <c r="N42" s="43"/>
      <c r="O42" s="44"/>
      <c r="P42" s="230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0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0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132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95" customHeight="1" x14ac:dyDescent="0.3">
      <c r="B48" s="163" t="s">
        <v>242</v>
      </c>
      <c r="C48" s="164" t="s">
        <v>243</v>
      </c>
      <c r="D48" s="67" t="str">
        <f>'Berekening MJOP+LTP'!K28</f>
        <v>Omschrijving</v>
      </c>
      <c r="E48" s="67"/>
      <c r="F48" s="68"/>
      <c r="G48" s="69"/>
      <c r="H48" s="151" t="s">
        <v>224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2" t="str">
        <f>'Berekening MJOP+LTP'!AA28</f>
        <v>TVP duur</v>
      </c>
      <c r="O48" s="130" t="s">
        <v>283</v>
      </c>
      <c r="P48" s="231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3"/>
      <c r="O49" s="252">
        <f>'Berekening MJOP+LTP'!AC33</f>
        <v>731.6641072480279</v>
      </c>
      <c r="P49" s="231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3"/>
      <c r="O50" s="252">
        <f>'Berekening MJOP+LTP'!AC36</f>
        <v>446.29381588570288</v>
      </c>
      <c r="P50" s="231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7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3">
        <f>'Berekening MJOP+LTP'!AC38</f>
        <v>530.50310089355912</v>
      </c>
      <c r="P51" s="232"/>
    </row>
    <row r="52" spans="2:16" x14ac:dyDescent="0.3">
      <c r="B52" s="109">
        <f>'Berekening MJOP+LTP'!B39</f>
        <v>0</v>
      </c>
      <c r="C52" s="66">
        <f>'Berekening MJOP+LTP'!D39</f>
        <v>2</v>
      </c>
      <c r="D52" s="145">
        <f>'Berekening MJOP+LTP'!K39</f>
        <v>0</v>
      </c>
      <c r="E52" s="187"/>
      <c r="F52" s="31"/>
      <c r="G52" s="35"/>
      <c r="H52" s="35"/>
      <c r="I52" s="35"/>
      <c r="J52" s="35"/>
      <c r="K52" s="91">
        <v>2020</v>
      </c>
      <c r="L52" s="64">
        <f>'Berekening MJOP+LTP'!T39</f>
        <v>0</v>
      </c>
      <c r="M52" s="64">
        <f>'Berekening MJOP+LTP'!Y39</f>
        <v>0</v>
      </c>
      <c r="N52" s="61">
        <f>'Berekening MJOP+LTP'!AA39</f>
        <v>0</v>
      </c>
      <c r="O52" s="253">
        <f>'Berekening MJOP+LTP'!AC39</f>
        <v>0</v>
      </c>
      <c r="P52" s="232"/>
    </row>
    <row r="53" spans="2:16" x14ac:dyDescent="0.3">
      <c r="B53" s="109">
        <f>'Berekening MJOP+LTP'!B40</f>
        <v>0</v>
      </c>
      <c r="C53" s="66">
        <f>'Berekening MJOP+LTP'!D40</f>
        <v>3</v>
      </c>
      <c r="D53" s="145">
        <f>'Berekening MJOP+LTP'!K40</f>
        <v>0</v>
      </c>
      <c r="E53" s="187"/>
      <c r="F53" s="31"/>
      <c r="G53" s="35"/>
      <c r="H53" s="35"/>
      <c r="I53" s="35"/>
      <c r="J53" s="35"/>
      <c r="K53" s="91"/>
      <c r="L53" s="64">
        <f>'Berekening MJOP+LTP'!T40</f>
        <v>0</v>
      </c>
      <c r="M53" s="64">
        <f>'Berekening MJOP+LTP'!Y40</f>
        <v>0</v>
      </c>
      <c r="N53" s="61">
        <f>'Berekening MJOP+LTP'!AA40</f>
        <v>0</v>
      </c>
      <c r="O53" s="253">
        <f>'Berekening MJOP+LTP'!AC40</f>
        <v>0</v>
      </c>
      <c r="P53" s="232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7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3">
        <f>'Berekening MJOP+LTP'!AC41</f>
        <v>0</v>
      </c>
      <c r="P54" s="232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7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3">
        <f>'Berekening MJOP+LTP'!AC42</f>
        <v>0</v>
      </c>
      <c r="P55" s="232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7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3">
        <f>'Berekening MJOP+LTP'!AC43</f>
        <v>0</v>
      </c>
      <c r="P56" s="232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7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3">
        <f>'Berekening MJOP+LTP'!AC44</f>
        <v>0</v>
      </c>
      <c r="P57" s="232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7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4">
        <f>'Berekening MJOP+LTP'!AC45</f>
        <v>0</v>
      </c>
      <c r="P58" s="232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142</v>
      </c>
      <c r="I59" s="127"/>
      <c r="J59" s="56">
        <f>F24+100</f>
        <v>2115</v>
      </c>
      <c r="K59" s="159">
        <v>2115</v>
      </c>
      <c r="L59" s="156">
        <f>'Berekening MJOP+LTP'!T46</f>
        <v>5499384.07008</v>
      </c>
      <c r="M59" s="128">
        <f>'Berekening MJOP+LTP'!Y46</f>
        <v>0</v>
      </c>
      <c r="N59" s="129">
        <f>'Berekening MJOP+LTP'!AA46</f>
        <v>104</v>
      </c>
      <c r="O59" s="255">
        <f>'Berekening MJOP+LTP'!AC46</f>
        <v>0</v>
      </c>
      <c r="P59" s="233"/>
    </row>
    <row r="60" spans="2:16" x14ac:dyDescent="0.3">
      <c r="B60" s="206" t="s">
        <v>296</v>
      </c>
      <c r="C60" s="188"/>
      <c r="D60" s="207"/>
      <c r="E60" s="207"/>
      <c r="F60" s="188"/>
      <c r="G60" s="189" t="s">
        <v>150</v>
      </c>
      <c r="H60" s="190">
        <f>F37</f>
        <v>2018</v>
      </c>
      <c r="I60" s="208" t="s">
        <v>29</v>
      </c>
      <c r="J60" s="191">
        <f>K38</f>
        <v>2028</v>
      </c>
      <c r="K60" s="192"/>
      <c r="L60" s="209">
        <f t="shared" ref="L60:O61" si="0">L49</f>
        <v>6500</v>
      </c>
      <c r="M60" s="209">
        <f t="shared" si="0"/>
        <v>6403.5710426315018</v>
      </c>
      <c r="N60" s="244">
        <f t="shared" si="0"/>
        <v>0</v>
      </c>
      <c r="O60" s="256">
        <f t="shared" si="0"/>
        <v>731.6641072480279</v>
      </c>
      <c r="P60" s="234"/>
    </row>
    <row r="61" spans="2:16" x14ac:dyDescent="0.3">
      <c r="B61" s="210" t="s">
        <v>304</v>
      </c>
      <c r="C61" s="193"/>
      <c r="D61" s="211"/>
      <c r="E61" s="211"/>
      <c r="F61" s="193"/>
      <c r="G61" s="194" t="s">
        <v>150</v>
      </c>
      <c r="H61" s="195">
        <f>F37</f>
        <v>2018</v>
      </c>
      <c r="I61" s="212" t="s">
        <v>29</v>
      </c>
      <c r="J61" s="196">
        <f>K38</f>
        <v>2028</v>
      </c>
      <c r="K61" s="197"/>
      <c r="L61" s="213">
        <f t="shared" si="0"/>
        <v>5000</v>
      </c>
      <c r="M61" s="213">
        <f t="shared" si="0"/>
        <v>3905.9920086286352</v>
      </c>
      <c r="N61" s="245">
        <f t="shared" si="0"/>
        <v>0</v>
      </c>
      <c r="O61" s="257">
        <f t="shared" si="0"/>
        <v>446.29381588570288</v>
      </c>
      <c r="P61" s="234"/>
    </row>
    <row r="62" spans="2:16" x14ac:dyDescent="0.3">
      <c r="B62" s="210" t="s">
        <v>297</v>
      </c>
      <c r="C62" s="193"/>
      <c r="D62" s="211"/>
      <c r="E62" s="211"/>
      <c r="F62" s="193"/>
      <c r="G62" s="194" t="s">
        <v>150</v>
      </c>
      <c r="H62" s="195">
        <f>F37</f>
        <v>2018</v>
      </c>
      <c r="I62" s="212" t="s">
        <v>29</v>
      </c>
      <c r="J62" s="196">
        <f>K38</f>
        <v>2028</v>
      </c>
      <c r="K62" s="197"/>
      <c r="L62" s="213">
        <f>SUMIF(B51:B58,2,L51:L58)</f>
        <v>5000</v>
      </c>
      <c r="M62" s="213">
        <f>SUMIF(B51:B58,2,M51:M58)</f>
        <v>4642.9970545987444</v>
      </c>
      <c r="N62" s="245">
        <f>SUMIF(B51:B58,2,N51:N58)</f>
        <v>0</v>
      </c>
      <c r="O62" s="257">
        <f>SUMIF(B51:B58,2,O51:O58)</f>
        <v>530.50310089355912</v>
      </c>
      <c r="P62" s="234"/>
    </row>
    <row r="63" spans="2:16" x14ac:dyDescent="0.3">
      <c r="B63" s="210" t="s">
        <v>298</v>
      </c>
      <c r="C63" s="193"/>
      <c r="D63" s="211"/>
      <c r="E63" s="211"/>
      <c r="F63" s="193"/>
      <c r="G63" s="194" t="s">
        <v>150</v>
      </c>
      <c r="H63" s="195">
        <f>F37</f>
        <v>2018</v>
      </c>
      <c r="I63" s="212" t="s">
        <v>29</v>
      </c>
      <c r="J63" s="196">
        <f>K38</f>
        <v>2028</v>
      </c>
      <c r="K63" s="197"/>
      <c r="L63" s="213">
        <f>SUMIF(B51:B58,1,L51:L58)</f>
        <v>0</v>
      </c>
      <c r="M63" s="213">
        <f>SUMIF(B51:B58,1,M51:M58)</f>
        <v>0</v>
      </c>
      <c r="N63" s="245">
        <f>SUMIF(B51:B58,1,N51:N58)</f>
        <v>0</v>
      </c>
      <c r="O63" s="257">
        <f>SUMIF(B51:B58,1,O51:O58)</f>
        <v>0</v>
      </c>
      <c r="P63" s="234"/>
    </row>
    <row r="64" spans="2:16" x14ac:dyDescent="0.3">
      <c r="B64" s="210" t="s">
        <v>275</v>
      </c>
      <c r="C64" s="193"/>
      <c r="D64" s="211"/>
      <c r="E64" s="211"/>
      <c r="F64" s="193"/>
      <c r="G64" s="194" t="s">
        <v>150</v>
      </c>
      <c r="H64" s="195">
        <f>F37</f>
        <v>2018</v>
      </c>
      <c r="I64" s="212" t="s">
        <v>29</v>
      </c>
      <c r="J64" s="196">
        <f>K38</f>
        <v>2028</v>
      </c>
      <c r="K64" s="197"/>
      <c r="L64" s="213">
        <f>SUM(L51:L58)</f>
        <v>5000</v>
      </c>
      <c r="M64" s="213">
        <f>SUM(M51:M58)</f>
        <v>4642.9970545987444</v>
      </c>
      <c r="N64" s="245">
        <f>SUM(N51:N58)</f>
        <v>0</v>
      </c>
      <c r="O64" s="257">
        <f>SUM(O51:O58)</f>
        <v>530.50310089355912</v>
      </c>
      <c r="P64" s="234"/>
    </row>
    <row r="65" spans="2:16" x14ac:dyDescent="0.3">
      <c r="B65" s="210" t="s">
        <v>299</v>
      </c>
      <c r="C65" s="193"/>
      <c r="D65" s="211"/>
      <c r="E65" s="211"/>
      <c r="F65" s="193"/>
      <c r="G65" s="204" t="s">
        <v>259</v>
      </c>
      <c r="H65" s="195"/>
      <c r="I65" s="212"/>
      <c r="J65" s="196"/>
      <c r="K65" s="223">
        <f>K59</f>
        <v>2115</v>
      </c>
      <c r="L65" s="213">
        <f>L59</f>
        <v>5499384.07008</v>
      </c>
      <c r="M65" s="213">
        <f>M59</f>
        <v>0</v>
      </c>
      <c r="N65" s="246">
        <f>N59</f>
        <v>104</v>
      </c>
      <c r="O65" s="257">
        <f>O59</f>
        <v>0</v>
      </c>
      <c r="P65" s="235"/>
    </row>
    <row r="66" spans="2:16" ht="15" thickBot="1" x14ac:dyDescent="0.35">
      <c r="B66" s="214" t="s">
        <v>276</v>
      </c>
      <c r="C66" s="198"/>
      <c r="D66" s="215"/>
      <c r="E66" s="215"/>
      <c r="F66" s="198"/>
      <c r="G66" s="199" t="s">
        <v>150</v>
      </c>
      <c r="H66" s="200">
        <f>F37</f>
        <v>2018</v>
      </c>
      <c r="I66" s="216" t="s">
        <v>29</v>
      </c>
      <c r="J66" s="201">
        <f>K38</f>
        <v>2028</v>
      </c>
      <c r="K66" s="202"/>
      <c r="L66" s="217">
        <f>SUM(L49:L59)</f>
        <v>5515884.07008</v>
      </c>
      <c r="M66" s="217">
        <f>SUM(M49:M59)</f>
        <v>14952.56010585888</v>
      </c>
      <c r="N66" s="247">
        <f>SUM(N49:N59)</f>
        <v>104</v>
      </c>
      <c r="O66" s="258">
        <f>SUM(O49:O59)</f>
        <v>1708.4610240272898</v>
      </c>
      <c r="P66" s="235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244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6"/>
    </row>
    <row r="69" spans="2:16" ht="24" x14ac:dyDescent="0.3">
      <c r="B69" s="165" t="s">
        <v>242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48" t="s">
        <v>140</v>
      </c>
      <c r="O69" s="130" t="s">
        <v>283</v>
      </c>
      <c r="P69" s="237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59"/>
      <c r="P70" s="238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59">
        <f>'Berekening MJOP+LTP'!AC74</f>
        <v>0</v>
      </c>
      <c r="P71" s="232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59">
        <f>'Berekening MJOP+LTP'!AC95</f>
        <v>0</v>
      </c>
      <c r="P72" s="232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142</v>
      </c>
      <c r="I73" s="35"/>
      <c r="J73" s="35">
        <f>F24+100</f>
        <v>2115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59">
        <f>'Berekening MJOP+LTP'!AC105</f>
        <v>0</v>
      </c>
      <c r="P73" s="232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59">
        <f>'Berekening MJOP+LTP'!AA145</f>
        <v>0</v>
      </c>
      <c r="P74" s="232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160204.23340556308</v>
      </c>
      <c r="N75" s="61">
        <f>'Berekening MJOP+LTP'!AA125</f>
        <v>0</v>
      </c>
      <c r="O75" s="259">
        <f>'Berekening MJOP+LTP'!AC125</f>
        <v>4534.1881547995072</v>
      </c>
      <c r="P75" s="232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80445.11658651146</v>
      </c>
      <c r="N76" s="61">
        <f>'Berekening MJOP+LTP'!AA147</f>
        <v>0</v>
      </c>
      <c r="O76" s="259">
        <f>'Berekening MJOP+LTP'!AC147</f>
        <v>2276.8018483921005</v>
      </c>
      <c r="P76" s="232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142</v>
      </c>
      <c r="I77" s="35"/>
      <c r="J77" s="35">
        <f>F24+100</f>
        <v>2115</v>
      </c>
      <c r="K77" s="90">
        <v>2115</v>
      </c>
      <c r="L77" s="64">
        <f>'Berekening MJOP+LTP'!T154</f>
        <v>3626271.7106399997</v>
      </c>
      <c r="M77" s="64">
        <f>'Berekening MJOP+LTP'!Y154</f>
        <v>423139.97189409554</v>
      </c>
      <c r="N77" s="61">
        <f>'Berekening MJOP+LTP'!AA149</f>
        <v>52</v>
      </c>
      <c r="O77" s="259">
        <f>'Berekening MJOP+LTP'!AC154</f>
        <v>11975.939758891422</v>
      </c>
      <c r="P77" s="232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59">
        <f>'Berekening MJOP+LTP'!AA196</f>
        <v>0</v>
      </c>
      <c r="P78" s="232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59">
        <f>'Berekening MJOP+LTP'!AC172</f>
        <v>0</v>
      </c>
      <c r="P79" s="232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59">
        <f>'Berekening MJOP+LTP'!AC185</f>
        <v>0</v>
      </c>
      <c r="P80" s="232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142</v>
      </c>
      <c r="I81" s="35"/>
      <c r="J81" s="35">
        <f>F24+100</f>
        <v>2115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59">
        <f>'Berekening MJOP+LTP'!AC191</f>
        <v>0</v>
      </c>
      <c r="P81" s="232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59"/>
      <c r="P82" s="232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68856.967140120789</v>
      </c>
      <c r="N83" s="61">
        <f>'Berekening MJOP+LTP'!AA199</f>
        <v>0</v>
      </c>
      <c r="O83" s="259">
        <f>'Berekening MJOP+LTP'!AC199</f>
        <v>1948.8276816741916</v>
      </c>
      <c r="P83" s="232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5416.2848830704716</v>
      </c>
      <c r="N84" s="61">
        <f>'Berekening MJOP+LTP'!AA202</f>
        <v>0</v>
      </c>
      <c r="O84" s="259">
        <f>'Berekening MJOP+LTP'!AC202</f>
        <v>153.29466792345684</v>
      </c>
      <c r="P84" s="232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142</v>
      </c>
      <c r="I85" s="35"/>
      <c r="J85" s="35">
        <f>F25+100</f>
        <v>2115</v>
      </c>
      <c r="K85" s="90">
        <v>2115</v>
      </c>
      <c r="L85" s="64">
        <f>'Berekening MJOP+LTP'!T208</f>
        <v>1873112.3594399998</v>
      </c>
      <c r="M85" s="64">
        <f>'Berekening MJOP+LTP'!Y208</f>
        <v>218568.48420992721</v>
      </c>
      <c r="N85" s="61">
        <f>'Berekening MJOP+LTP'!AA204</f>
        <v>52</v>
      </c>
      <c r="O85" s="259">
        <f>'Berekening MJOP+LTP'!AC208</f>
        <v>6186.0452189693606</v>
      </c>
      <c r="P85" s="232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59"/>
      <c r="P86" s="232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59">
        <f>'Berekening MJOP+LTP'!AC216</f>
        <v>0</v>
      </c>
      <c r="P87" s="232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59">
        <f>'Berekening MJOP+LTP'!AC219</f>
        <v>0</v>
      </c>
      <c r="P88" s="232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142</v>
      </c>
      <c r="I89" s="35"/>
      <c r="J89" s="35">
        <f>F25+100</f>
        <v>2115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59">
        <f>'Berekening MJOP+LTP'!AC225</f>
        <v>0</v>
      </c>
      <c r="P89" s="232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59"/>
      <c r="P90" s="238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-218569.52</v>
      </c>
      <c r="M91" s="64"/>
      <c r="N91" s="249"/>
      <c r="O91" s="260"/>
      <c r="P91" s="239"/>
      <c r="Q91" s="27"/>
    </row>
    <row r="92" spans="2:17" x14ac:dyDescent="0.3">
      <c r="B92" s="206" t="s">
        <v>300</v>
      </c>
      <c r="C92" s="207"/>
      <c r="D92" s="207"/>
      <c r="E92" s="207"/>
      <c r="F92" s="188"/>
      <c r="G92" s="203" t="s">
        <v>151</v>
      </c>
      <c r="H92" s="190">
        <f>F41</f>
        <v>2028</v>
      </c>
      <c r="I92" s="208" t="s">
        <v>29</v>
      </c>
      <c r="J92" s="191">
        <f>K42</f>
        <v>2115</v>
      </c>
      <c r="K92" s="218"/>
      <c r="L92" s="219"/>
      <c r="M92" s="219">
        <f t="shared" ref="M92:O94" si="1">M71+M75+M79+M83+M87</f>
        <v>229061.20054568385</v>
      </c>
      <c r="N92" s="265">
        <f t="shared" si="1"/>
        <v>0</v>
      </c>
      <c r="O92" s="261">
        <f t="shared" si="1"/>
        <v>6483.015836473699</v>
      </c>
      <c r="P92" s="240"/>
    </row>
    <row r="93" spans="2:17" x14ac:dyDescent="0.3">
      <c r="B93" s="210" t="s">
        <v>301</v>
      </c>
      <c r="C93" s="211"/>
      <c r="D93" s="211"/>
      <c r="E93" s="211"/>
      <c r="F93" s="193"/>
      <c r="G93" s="204" t="s">
        <v>151</v>
      </c>
      <c r="H93" s="195">
        <f>F41</f>
        <v>2028</v>
      </c>
      <c r="I93" s="212" t="s">
        <v>29</v>
      </c>
      <c r="J93" s="196">
        <f>K42</f>
        <v>2115</v>
      </c>
      <c r="K93" s="220"/>
      <c r="L93" s="221"/>
      <c r="M93" s="221">
        <f t="shared" si="1"/>
        <v>85861.401469581935</v>
      </c>
      <c r="N93" s="250">
        <f t="shared" si="1"/>
        <v>0</v>
      </c>
      <c r="O93" s="262">
        <f t="shared" si="1"/>
        <v>2430.0965163155574</v>
      </c>
      <c r="P93" s="241"/>
    </row>
    <row r="94" spans="2:17" x14ac:dyDescent="0.3">
      <c r="B94" s="210" t="s">
        <v>299</v>
      </c>
      <c r="C94" s="211"/>
      <c r="D94" s="211"/>
      <c r="E94" s="211"/>
      <c r="F94" s="193"/>
      <c r="G94" s="204" t="s">
        <v>259</v>
      </c>
      <c r="H94" s="195"/>
      <c r="I94" s="212"/>
      <c r="J94" s="196"/>
      <c r="K94" s="224">
        <f>K59</f>
        <v>2115</v>
      </c>
      <c r="L94" s="221">
        <f>L73+L77+L81+L85+L89</f>
        <v>5499384.070079999</v>
      </c>
      <c r="M94" s="221">
        <f t="shared" si="1"/>
        <v>641708.45610402268</v>
      </c>
      <c r="N94" s="250">
        <f t="shared" si="1"/>
        <v>104</v>
      </c>
      <c r="O94" s="262">
        <f t="shared" si="1"/>
        <v>18161.984977860782</v>
      </c>
      <c r="P94" s="241"/>
    </row>
    <row r="95" spans="2:17" ht="15" thickBot="1" x14ac:dyDescent="0.35">
      <c r="B95" s="214" t="s">
        <v>302</v>
      </c>
      <c r="C95" s="215"/>
      <c r="D95" s="215"/>
      <c r="E95" s="215"/>
      <c r="F95" s="198"/>
      <c r="G95" s="205" t="s">
        <v>259</v>
      </c>
      <c r="H95" s="200"/>
      <c r="I95" s="216"/>
      <c r="J95" s="201"/>
      <c r="K95" s="225">
        <f>K59</f>
        <v>2115</v>
      </c>
      <c r="L95" s="222">
        <f>L91</f>
        <v>-218569.52</v>
      </c>
      <c r="M95" s="222"/>
      <c r="N95" s="251"/>
      <c r="O95" s="263"/>
      <c r="P95" s="241"/>
    </row>
    <row r="97" spans="3:6" ht="15" thickBot="1" x14ac:dyDescent="0.35"/>
    <row r="98" spans="3:6" x14ac:dyDescent="0.3">
      <c r="C98" s="173" t="s">
        <v>260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261</v>
      </c>
      <c r="F99" s="177" t="s">
        <v>262</v>
      </c>
    </row>
    <row r="100" spans="3:6" x14ac:dyDescent="0.3">
      <c r="C100" s="184" t="str">
        <f>'Berekening MJOP+LTP'!K229</f>
        <v>(Constructie) staal spoordek</v>
      </c>
      <c r="D100" s="180"/>
      <c r="E100" s="280">
        <f>'Berekening MJOP+LTP'!Q229</f>
        <v>2.2876000000000003</v>
      </c>
      <c r="F100" s="182" t="str">
        <f>'Berekening MJOP+LTP'!R229</f>
        <v>ton</v>
      </c>
    </row>
    <row r="101" spans="3:6" x14ac:dyDescent="0.3">
      <c r="C101" s="185" t="str">
        <f>'Berekening MJOP+LTP'!K230</f>
        <v>Beton spoordek</v>
      </c>
      <c r="D101" s="180"/>
      <c r="E101" s="57">
        <f>'Berekening MJOP+LTP'!Q230</f>
        <v>742</v>
      </c>
      <c r="F101" s="182" t="str">
        <f>'Berekening MJOP+LTP'!R230</f>
        <v>ton</v>
      </c>
    </row>
    <row r="102" spans="3:6" x14ac:dyDescent="0.3">
      <c r="C102" s="185" t="str">
        <f>'Berekening MJOP+LTP'!K231</f>
        <v>Betonstaal spoordek</v>
      </c>
      <c r="D102" s="180"/>
      <c r="E102" s="57">
        <f>'Berekening MJOP+LTP'!Q231</f>
        <v>371</v>
      </c>
      <c r="F102" s="182" t="str">
        <f>'Berekening MJOP+LTP'!R231</f>
        <v>ton</v>
      </c>
    </row>
    <row r="103" spans="3:6" x14ac:dyDescent="0.3">
      <c r="C103" s="185" t="str">
        <f>'Berekening MJOP+LTP'!K232</f>
        <v>Beton onderbouw</v>
      </c>
      <c r="D103" s="180"/>
      <c r="E103" s="61">
        <f>'Berekening MJOP+LTP'!Q232</f>
        <v>1186.8</v>
      </c>
      <c r="F103" s="182" t="str">
        <f>'Berekening MJOP+LTP'!R232</f>
        <v>ton</v>
      </c>
    </row>
    <row r="104" spans="3:6" x14ac:dyDescent="0.3">
      <c r="C104" s="185" t="str">
        <f>'Berekening MJOP+LTP'!K233</f>
        <v>Betonstaal onderbouw</v>
      </c>
      <c r="D104" s="180"/>
      <c r="E104" s="61">
        <f>'Berekening MJOP+LTP'!Q233</f>
        <v>237.36</v>
      </c>
      <c r="F104" s="182" t="str">
        <f>'Berekening MJOP+LTP'!R233</f>
        <v>ton</v>
      </c>
    </row>
    <row r="105" spans="3:6" x14ac:dyDescent="0.3">
      <c r="C105" s="185" t="str">
        <f>'Berekening MJOP+LTP'!K234</f>
        <v>Metselwerk spoordek</v>
      </c>
      <c r="D105" s="180"/>
      <c r="E105" s="57">
        <f>'Berekening MJOP+LTP'!Q234</f>
        <v>0</v>
      </c>
      <c r="F105" s="182" t="str">
        <f>'Berekening MJOP+LTP'!R234</f>
        <v>ton</v>
      </c>
    </row>
    <row r="106" spans="3:6" x14ac:dyDescent="0.3">
      <c r="C106" s="185" t="str">
        <f>'Berekening MJOP+LTP'!K235</f>
        <v>Metselwerk onderbouw</v>
      </c>
      <c r="D106" s="180"/>
      <c r="E106" s="57">
        <f>'Berekening MJOP+LTP'!Q235</f>
        <v>0</v>
      </c>
      <c r="F106" s="182" t="str">
        <f>'Berekening MJOP+LTP'!R235</f>
        <v>ton</v>
      </c>
    </row>
    <row r="107" spans="3:6" ht="15" thickBot="1" x14ac:dyDescent="0.35">
      <c r="C107" s="186" t="str">
        <f>'Berekening MJOP+LTP'!K236</f>
        <v>(Constructie) staal geluidscherm</v>
      </c>
      <c r="D107" s="181"/>
      <c r="E107" s="279">
        <f>'Berekening MJOP+LTP'!Q236</f>
        <v>0</v>
      </c>
      <c r="F107" s="183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K1" zoomScaleNormal="100" zoomScaleSheetLayoutView="90" workbookViewId="0">
      <pane ySplit="2" topLeftCell="A155" activePane="bottomLeft" state="frozen"/>
      <selection pane="bottomLeft" activeCell="O241" sqref="O241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6640625" style="1" customWidth="1"/>
    <col min="8" max="8" width="5" style="1" customWidth="1"/>
    <col min="9" max="9" width="5.664062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3320312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6640625" style="1" customWidth="1"/>
    <col min="22" max="22" width="8.88671875" style="1" customWidth="1"/>
    <col min="23" max="23" width="7.664062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33203125" style="1" customWidth="1"/>
    <col min="28" max="28" width="3.44140625" style="1" customWidth="1"/>
    <col min="29" max="29" width="8.6640625" style="1" customWidth="1"/>
    <col min="30" max="30" width="3.6640625" style="1" customWidth="1"/>
    <col min="31" max="32" width="7.6640625" style="1" customWidth="1"/>
    <col min="33" max="33" width="8.33203125" style="1" customWidth="1"/>
    <col min="34" max="40" width="7.6640625" style="1" customWidth="1" outlineLevel="1"/>
    <col min="41" max="41" width="9.33203125" style="1" customWidth="1" outlineLevel="1"/>
    <col min="42" max="46" width="7.664062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237</v>
      </c>
      <c r="C1" s="3" t="s">
        <v>238</v>
      </c>
      <c r="D1" s="3" t="s">
        <v>240</v>
      </c>
      <c r="E1" s="3" t="s">
        <v>235</v>
      </c>
      <c r="F1" s="3" t="s">
        <v>0</v>
      </c>
      <c r="G1" s="3"/>
      <c r="H1" s="3"/>
      <c r="I1" s="3" t="s">
        <v>232</v>
      </c>
      <c r="J1" s="3"/>
      <c r="K1" s="3" t="s">
        <v>11</v>
      </c>
      <c r="L1" s="3"/>
      <c r="M1" s="3"/>
      <c r="N1" s="3"/>
      <c r="O1" s="3" t="s">
        <v>54</v>
      </c>
      <c r="P1" s="3" t="s">
        <v>136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141</v>
      </c>
      <c r="X1" s="3"/>
      <c r="Y1" s="20" t="s">
        <v>68</v>
      </c>
      <c r="Z1" s="20" t="s">
        <v>139</v>
      </c>
      <c r="AA1" s="20" t="s">
        <v>143</v>
      </c>
      <c r="AC1" s="20" t="s">
        <v>281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236</v>
      </c>
      <c r="C2" s="3" t="s">
        <v>241</v>
      </c>
      <c r="D2" s="3" t="s">
        <v>239</v>
      </c>
      <c r="E2" s="3" t="s">
        <v>234</v>
      </c>
      <c r="F2" s="3"/>
      <c r="G2" s="3"/>
      <c r="H2" s="3"/>
      <c r="I2" s="3" t="s">
        <v>233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282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289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255</v>
      </c>
      <c r="K9" s="1" t="s">
        <v>25</v>
      </c>
    </row>
    <row r="10" spans="2:236" ht="13.8" x14ac:dyDescent="0.3">
      <c r="B10" s="170"/>
      <c r="D10" s="168" t="s">
        <v>258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288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256</v>
      </c>
    </row>
    <row r="15" spans="2:236" ht="13.8" x14ac:dyDescent="0.3">
      <c r="B15" s="170"/>
      <c r="D15" s="168" t="s">
        <v>257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290</v>
      </c>
      <c r="K17" s="1" t="s">
        <v>251</v>
      </c>
    </row>
    <row r="18" spans="2:236" ht="13.8" x14ac:dyDescent="0.3">
      <c r="B18" s="170"/>
      <c r="D18" s="1" t="s">
        <v>40</v>
      </c>
      <c r="K18" s="1" t="s">
        <v>252</v>
      </c>
    </row>
    <row r="19" spans="2:236" ht="13.8" x14ac:dyDescent="0.3">
      <c r="B19" s="170"/>
      <c r="D19" s="1" t="s">
        <v>256</v>
      </c>
      <c r="K19" s="1" t="s">
        <v>253</v>
      </c>
    </row>
    <row r="20" spans="2:236" ht="13.8" x14ac:dyDescent="0.3">
      <c r="B20" s="170"/>
      <c r="D20" s="168" t="s">
        <v>257</v>
      </c>
      <c r="H20" s="172">
        <v>1.77</v>
      </c>
      <c r="I20" s="167">
        <v>1.77</v>
      </c>
    </row>
    <row r="21" spans="2:236" x14ac:dyDescent="0.25">
      <c r="K21" s="25" t="s">
        <v>147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2" t="s">
        <v>254</v>
      </c>
      <c r="C24" s="273"/>
      <c r="D24" s="273"/>
      <c r="E24" s="273"/>
      <c r="F24" s="273"/>
      <c r="G24" s="273"/>
      <c r="H24" s="273"/>
      <c r="I24" s="274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237</v>
      </c>
      <c r="C28" s="3" t="s">
        <v>238</v>
      </c>
      <c r="D28" s="3" t="s">
        <v>240</v>
      </c>
      <c r="E28" s="3" t="s">
        <v>235</v>
      </c>
      <c r="F28" s="3" t="s">
        <v>0</v>
      </c>
      <c r="G28" s="3"/>
      <c r="H28" s="3"/>
      <c r="I28" s="3" t="s">
        <v>232</v>
      </c>
      <c r="J28" s="3"/>
      <c r="K28" s="3" t="s">
        <v>11</v>
      </c>
      <c r="L28" s="3"/>
      <c r="M28" s="3"/>
      <c r="N28" s="3"/>
      <c r="O28" s="3" t="s">
        <v>54</v>
      </c>
      <c r="P28" s="3" t="s">
        <v>136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141</v>
      </c>
      <c r="X28" s="3"/>
      <c r="Y28" s="20" t="s">
        <v>68</v>
      </c>
      <c r="Z28" s="20" t="s">
        <v>139</v>
      </c>
      <c r="AA28" s="20" t="s">
        <v>143</v>
      </c>
      <c r="AC28" s="20" t="s">
        <v>281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236</v>
      </c>
      <c r="C29" s="3" t="s">
        <v>241</v>
      </c>
      <c r="D29" s="3" t="s">
        <v>239</v>
      </c>
      <c r="E29" s="3" t="s">
        <v>234</v>
      </c>
      <c r="F29" s="3"/>
      <c r="G29" s="3"/>
      <c r="H29" s="3"/>
      <c r="I29" s="3" t="s">
        <v>233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282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284</v>
      </c>
      <c r="K31" s="1" t="s">
        <v>285</v>
      </c>
      <c r="O31" s="1" t="s">
        <v>294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278</v>
      </c>
      <c r="K32" s="1" t="s">
        <v>149</v>
      </c>
      <c r="O32" s="1" t="s">
        <v>294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7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293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4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287</v>
      </c>
      <c r="I35" s="1" t="s">
        <v>286</v>
      </c>
      <c r="K35" s="1" t="s">
        <v>292</v>
      </c>
      <c r="O35" s="1" t="s">
        <v>295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7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291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6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/>
      <c r="C39" s="76"/>
      <c r="D39" s="78">
        <v>2</v>
      </c>
      <c r="E39" s="76" t="s">
        <v>22</v>
      </c>
      <c r="F39" s="76" t="s">
        <v>21</v>
      </c>
      <c r="G39" s="76"/>
      <c r="H39" s="76"/>
      <c r="I39" s="76"/>
      <c r="J39" s="76"/>
      <c r="K39" s="76"/>
      <c r="L39" s="76"/>
      <c r="M39" s="76"/>
      <c r="N39" s="76"/>
      <c r="O39" s="77"/>
      <c r="P39" s="77"/>
      <c r="Q39" s="81">
        <v>1</v>
      </c>
      <c r="R39" s="81" t="s">
        <v>33</v>
      </c>
      <c r="S39" s="81"/>
      <c r="T39" s="9">
        <f t="shared" si="4"/>
        <v>0</v>
      </c>
      <c r="U39" s="11">
        <v>1</v>
      </c>
      <c r="V39" s="14"/>
      <c r="W39" s="9">
        <f>Voorblad!K52</f>
        <v>2020</v>
      </c>
      <c r="Y39" s="9">
        <f t="shared" ref="Y39:Y45" si="5">SUM(AE39:EB39)</f>
        <v>0</v>
      </c>
      <c r="Z39" s="82"/>
      <c r="AA39" s="82"/>
      <c r="AC39" s="9">
        <f>$Y39*(Voorblad!$K$44*(1+Voorblad!$K$44)^Voorblad!$K$37)/((1+Voorblad!$K$44)^Voorblad!$K$37-1)</f>
        <v>0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0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/>
      <c r="C40" s="76"/>
      <c r="D40" s="76">
        <v>3</v>
      </c>
      <c r="E40" s="76"/>
      <c r="F40" s="76"/>
      <c r="G40" s="76"/>
      <c r="H40" s="76"/>
      <c r="I40" s="76"/>
      <c r="J40" s="76"/>
      <c r="K40" s="79"/>
      <c r="L40" s="76"/>
      <c r="M40" s="76"/>
      <c r="N40" s="76"/>
      <c r="O40" s="77"/>
      <c r="P40" s="77"/>
      <c r="Q40" s="81">
        <v>1</v>
      </c>
      <c r="R40" s="81" t="s">
        <v>33</v>
      </c>
      <c r="S40" s="81"/>
      <c r="T40" s="9">
        <f t="shared" si="4"/>
        <v>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2"/>
      <c r="AA40" s="82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229</v>
      </c>
      <c r="P46" s="14" t="s">
        <v>279</v>
      </c>
      <c r="Q46" s="83">
        <f>(12.96*16.298)+(15.268*16.383)</f>
        <v>461.35772399999996</v>
      </c>
      <c r="R46" s="81" t="s">
        <v>35</v>
      </c>
      <c r="S46" s="81">
        <v>11920</v>
      </c>
      <c r="T46" s="9">
        <f t="shared" si="4"/>
        <v>5499384.07008</v>
      </c>
      <c r="U46" s="11">
        <v>1</v>
      </c>
      <c r="V46" s="1">
        <f>Voorblad!F24+100</f>
        <v>2115</v>
      </c>
      <c r="W46" s="9">
        <f>Voorblad!K59</f>
        <v>2115</v>
      </c>
      <c r="X46" s="6"/>
      <c r="Y46" s="9">
        <f>SUM(AE46:EB46)</f>
        <v>0</v>
      </c>
      <c r="Z46" s="82" t="s">
        <v>280</v>
      </c>
      <c r="AA46" s="82"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269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250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5" t="s">
        <v>72</v>
      </c>
      <c r="C52" s="276"/>
      <c r="D52" s="277"/>
      <c r="E52" s="277"/>
      <c r="F52" s="277"/>
      <c r="G52" s="277"/>
      <c r="H52" s="277"/>
      <c r="I52" s="277"/>
      <c r="J52" s="277"/>
      <c r="K52" s="278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237</v>
      </c>
      <c r="C54" s="3"/>
      <c r="D54" s="3"/>
      <c r="E54" s="3"/>
      <c r="F54" s="3" t="s">
        <v>0</v>
      </c>
      <c r="G54" s="3"/>
      <c r="H54" s="3"/>
      <c r="I54" s="3" t="s">
        <v>232</v>
      </c>
      <c r="J54" s="3"/>
      <c r="K54" s="3" t="s">
        <v>11</v>
      </c>
      <c r="L54" s="3"/>
      <c r="M54" s="3"/>
      <c r="N54" s="3"/>
      <c r="O54" s="3" t="s">
        <v>54</v>
      </c>
      <c r="P54" s="3" t="s">
        <v>136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141</v>
      </c>
      <c r="X54" s="6"/>
      <c r="Y54" s="20" t="s">
        <v>68</v>
      </c>
      <c r="Z54" s="20" t="s">
        <v>139</v>
      </c>
      <c r="AA54" s="20" t="s">
        <v>143</v>
      </c>
      <c r="AC54" s="20" t="s">
        <v>281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236</v>
      </c>
      <c r="I55" s="3" t="s">
        <v>233</v>
      </c>
      <c r="O55" s="14"/>
      <c r="P55" s="14"/>
      <c r="V55" s="3" t="s">
        <v>70</v>
      </c>
      <c r="AC55" s="20" t="s">
        <v>282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277</v>
      </c>
      <c r="K58" s="1" t="s">
        <v>285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1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1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1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278</v>
      </c>
      <c r="K59" s="1" t="s">
        <v>109</v>
      </c>
      <c r="N59" s="3"/>
      <c r="O59" s="1" t="s">
        <v>134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1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278</v>
      </c>
      <c r="K60" s="1" t="s">
        <v>152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1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278</v>
      </c>
      <c r="K61" s="1" t="s">
        <v>145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2</v>
      </c>
      <c r="HC61" s="8">
        <f>IF(HC$56-Voorblad!$F$41&gt;Voorblad!$K$41,0,IF($U61=0,0,IF($U61&lt;1,1/$U61,IF((HC$56-Voorblad!$F$41)/$U61-SUM($EE61:HB61)=1,1,0))))</f>
        <v>2</v>
      </c>
      <c r="HD61" s="8">
        <f>IF(HD$56-Voorblad!$F$41&gt;Voorblad!$K$41,0,IF($U61=0,0,IF($U61&lt;1,1/$U61,IF((HD$56-Voorblad!$F$41)/$U61-SUM($EE61:HC61)=1,1,0))))</f>
        <v>2</v>
      </c>
      <c r="HE61" s="8">
        <f>IF(HE$56-Voorblad!$F$41&gt;Voorblad!$K$41,0,IF($U61=0,0,IF($U61&lt;1,1/$U61,IF((HE$56-Voorblad!$F$41)/$U61-SUM($EE61:HD61)=1,1,0))))</f>
        <v>2</v>
      </c>
      <c r="HF61" s="8">
        <f>IF(HF$56-Voorblad!$F$41&gt;Voorblad!$K$41,0,IF($U61=0,0,IF($U61&lt;1,1/$U61,IF((HF$56-Voorblad!$F$41)/$U61-SUM($EE61:HE61)=1,1,0))))</f>
        <v>2</v>
      </c>
      <c r="HG61" s="8">
        <f>IF(HG$56-Voorblad!$F$41&gt;Voorblad!$K$41,0,IF($U61=0,0,IF($U61&lt;1,1/$U61,IF((HG$56-Voorblad!$F$41)/$U61-SUM($EE61:HF61)=1,1,0))))</f>
        <v>2</v>
      </c>
      <c r="HH61" s="8">
        <f>IF(HH$56-Voorblad!$F$41&gt;Voorblad!$K$41,0,IF($U61=0,0,IF($U61&lt;1,1/$U61,IF((HH$56-Voorblad!$F$41)/$U61-SUM($EE61:HG61)=1,1,0))))</f>
        <v>2</v>
      </c>
      <c r="HI61" s="8">
        <f>IF(HI$56-Voorblad!$F$41&gt;Voorblad!$K$41,0,IF($U61=0,0,IF($U61&lt;1,1/$U61,IF((HI$56-Voorblad!$F$41)/$U61-SUM($EE61:HH61)=1,1,0))))</f>
        <v>2</v>
      </c>
      <c r="HJ61" s="8">
        <f>IF(HJ$56-Voorblad!$F$41&gt;Voorblad!$K$41,0,IF($U61=0,0,IF($U61&lt;1,1/$U61,IF((HJ$56-Voorblad!$F$41)/$U61-SUM($EE61:HI61)=1,1,0))))</f>
        <v>2</v>
      </c>
      <c r="HK61" s="8">
        <f>IF(HK$56-Voorblad!$F$41&gt;Voorblad!$K$41,0,IF($U61=0,0,IF($U61&lt;1,1/$U61,IF((HK$56-Voorblad!$F$41)/$U61-SUM($EE61:HJ61)=1,1,0))))</f>
        <v>2</v>
      </c>
      <c r="HL61" s="8">
        <f>IF(HL$56-Voorblad!$F$41&gt;Voorblad!$K$41,0,IF($U61=0,0,IF($U61&lt;1,1/$U61,IF((HL$56-Voorblad!$F$41)/$U61-SUM($EE61:HK61)=1,1,0))))</f>
        <v>2</v>
      </c>
      <c r="HM61" s="8">
        <f>IF(HM$56-Voorblad!$F$41&gt;Voorblad!$K$41,0,IF($U61=0,0,IF($U61&lt;1,1/$U61,IF((HM$56-Voorblad!$F$41)/$U61-SUM($EE61:HL61)=1,1,0))))</f>
        <v>2</v>
      </c>
      <c r="HN61" s="8">
        <f>IF(HN$56-Voorblad!$F$41&gt;Voorblad!$K$41,0,IF($U61=0,0,IF($U61&lt;1,1/$U61,IF((HN$56-Voorblad!$F$41)/$U61-SUM($EE61:HM61)=1,1,0))))</f>
        <v>2</v>
      </c>
      <c r="HO61" s="8">
        <f>IF(HO$56-Voorblad!$F$41&gt;Voorblad!$K$41,0,IF($U61=0,0,IF($U61&lt;1,1/$U61,IF((HO$56-Voorblad!$F$41)/$U61-SUM($EE61:HN61)=1,1,0))))</f>
        <v>2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278</v>
      </c>
      <c r="K62" s="14" t="s">
        <v>164</v>
      </c>
      <c r="L62" s="14"/>
      <c r="M62" s="14"/>
      <c r="N62" s="3"/>
      <c r="P62" s="1" t="s">
        <v>184</v>
      </c>
      <c r="Q62" s="81">
        <v>0</v>
      </c>
      <c r="R62" s="147" t="s">
        <v>196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1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278</v>
      </c>
      <c r="K63" s="14" t="s">
        <v>168</v>
      </c>
      <c r="L63" s="14"/>
      <c r="M63" s="14"/>
      <c r="N63" s="3"/>
      <c r="O63" s="1" t="s">
        <v>170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1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278</v>
      </c>
      <c r="K64" s="14" t="s">
        <v>203</v>
      </c>
      <c r="L64" s="14"/>
      <c r="M64" s="14"/>
      <c r="N64" s="3"/>
      <c r="O64" s="1" t="s">
        <v>171</v>
      </c>
      <c r="P64" s="1" t="s">
        <v>174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1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278</v>
      </c>
      <c r="K65" s="14" t="s">
        <v>169</v>
      </c>
      <c r="L65" s="14"/>
      <c r="M65" s="14"/>
      <c r="N65" s="3"/>
      <c r="O65" s="1" t="s">
        <v>172</v>
      </c>
      <c r="P65" s="1" t="s">
        <v>175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1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278</v>
      </c>
      <c r="K66" s="14" t="s">
        <v>167</v>
      </c>
      <c r="L66" s="14"/>
      <c r="M66" s="14"/>
      <c r="N66" s="3"/>
      <c r="O66" s="1" t="s">
        <v>172</v>
      </c>
      <c r="P66" s="1" t="s">
        <v>175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1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278</v>
      </c>
      <c r="K67" s="14" t="s">
        <v>189</v>
      </c>
      <c r="L67" s="14"/>
      <c r="M67" s="14"/>
      <c r="N67" s="3"/>
      <c r="O67" s="1" t="s">
        <v>173</v>
      </c>
      <c r="P67" s="1" t="s">
        <v>176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1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278</v>
      </c>
      <c r="K68" s="14" t="s">
        <v>94</v>
      </c>
      <c r="L68" s="14"/>
      <c r="M68" s="14"/>
      <c r="N68" s="3"/>
      <c r="O68" s="1" t="s">
        <v>178</v>
      </c>
      <c r="P68" s="1" t="s">
        <v>177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1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278</v>
      </c>
      <c r="K69" s="14" t="s">
        <v>53</v>
      </c>
      <c r="L69" s="14"/>
      <c r="M69" s="14"/>
      <c r="N69" s="3"/>
      <c r="O69" s="1" t="s">
        <v>178</v>
      </c>
      <c r="P69" s="1" t="s">
        <v>179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1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278</v>
      </c>
      <c r="K70" s="14" t="s">
        <v>191</v>
      </c>
      <c r="L70" s="14"/>
      <c r="M70" s="14"/>
      <c r="N70" s="3"/>
      <c r="O70" s="1" t="s">
        <v>178</v>
      </c>
      <c r="P70" s="1" t="s">
        <v>180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1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278</v>
      </c>
      <c r="K71" s="14" t="s">
        <v>154</v>
      </c>
      <c r="L71" s="14"/>
      <c r="M71" s="14"/>
      <c r="N71" s="3"/>
      <c r="O71" s="1" t="s">
        <v>178</v>
      </c>
      <c r="P71" s="1" t="s">
        <v>181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1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278</v>
      </c>
      <c r="K72" s="14" t="s">
        <v>165</v>
      </c>
      <c r="L72" s="14"/>
      <c r="M72" s="14"/>
      <c r="N72" s="3"/>
      <c r="O72" s="1" t="s">
        <v>178</v>
      </c>
      <c r="P72" s="1" t="s">
        <v>182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1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278</v>
      </c>
      <c r="K73" s="14" t="s">
        <v>166</v>
      </c>
      <c r="L73" s="14"/>
      <c r="M73" s="14"/>
      <c r="N73" s="3"/>
      <c r="O73" s="1" t="s">
        <v>178</v>
      </c>
      <c r="P73" s="1" t="s">
        <v>183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7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1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270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146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193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1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193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193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1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193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1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193</v>
      </c>
      <c r="K80" s="1" t="s">
        <v>59</v>
      </c>
      <c r="N80" s="3"/>
      <c r="O80" s="1" t="s">
        <v>187</v>
      </c>
      <c r="P80" s="1" t="s">
        <v>177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193</v>
      </c>
      <c r="K81" s="1" t="s">
        <v>50</v>
      </c>
      <c r="N81" s="3"/>
      <c r="O81" s="1" t="s">
        <v>187</v>
      </c>
      <c r="P81" s="1" t="s">
        <v>179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193</v>
      </c>
      <c r="K82" s="14" t="s">
        <v>190</v>
      </c>
      <c r="N82" s="3"/>
      <c r="O82" s="1" t="s">
        <v>187</v>
      </c>
      <c r="P82" s="1" t="s">
        <v>180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193</v>
      </c>
      <c r="K83" s="14" t="s">
        <v>155</v>
      </c>
      <c r="N83" s="3"/>
      <c r="O83" s="1" t="s">
        <v>187</v>
      </c>
      <c r="P83" s="1" t="s">
        <v>181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193</v>
      </c>
      <c r="K84" s="14" t="s">
        <v>185</v>
      </c>
      <c r="N84" s="3"/>
      <c r="O84" s="1" t="s">
        <v>187</v>
      </c>
      <c r="P84" s="1" t="s">
        <v>182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193</v>
      </c>
      <c r="K85" s="14" t="s">
        <v>186</v>
      </c>
      <c r="N85" s="3"/>
      <c r="O85" s="1" t="s">
        <v>187</v>
      </c>
      <c r="P85" s="1" t="s">
        <v>183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202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160</v>
      </c>
      <c r="N87" s="3"/>
      <c r="P87" s="14" t="s">
        <v>194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188</v>
      </c>
      <c r="N88" s="3"/>
      <c r="P88" s="14" t="s">
        <v>194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192</v>
      </c>
      <c r="N89" s="3"/>
      <c r="P89" s="14" t="s">
        <v>194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135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195</v>
      </c>
      <c r="N94" s="3"/>
      <c r="Q94" s="81">
        <v>0</v>
      </c>
      <c r="R94" s="147" t="s">
        <v>196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7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271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2115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1</v>
      </c>
      <c r="HC97" s="8">
        <f>IF(HC$56-Voorblad!$F$41&gt;Voorblad!$K$41,0,IF($U97=0,0,IF($U97&lt;1,1/$U97,IF((HC$56-Voorblad!$F$41)/$U97-SUM($EE97:HB97)=1,1,0))))</f>
        <v>1</v>
      </c>
      <c r="HD97" s="8">
        <f>IF(HD$56-Voorblad!$F$41&gt;Voorblad!$K$41,0,IF($U97=0,0,IF($U97&lt;1,1/$U97,IF((HD$56-Voorblad!$F$41)/$U97-SUM($EE97:HC97)=1,1,0))))</f>
        <v>1</v>
      </c>
      <c r="HE97" s="8">
        <f>IF(HE$56-Voorblad!$F$41&gt;Voorblad!$K$41,0,IF($U97=0,0,IF($U97&lt;1,1/$U97,IF((HE$56-Voorblad!$F$41)/$U97-SUM($EE97:HD97)=1,1,0))))</f>
        <v>1</v>
      </c>
      <c r="HF97" s="8">
        <f>IF(HF$56-Voorblad!$F$41&gt;Voorblad!$K$41,0,IF($U97=0,0,IF($U97&lt;1,1/$U97,IF((HF$56-Voorblad!$F$41)/$U97-SUM($EE97:HE97)=1,1,0))))</f>
        <v>1</v>
      </c>
      <c r="HG97" s="8">
        <f>IF(HG$56-Voorblad!$F$41&gt;Voorblad!$K$41,0,IF($U97=0,0,IF($U97&lt;1,1/$U97,IF((HG$56-Voorblad!$F$41)/$U97-SUM($EE97:HF97)=1,1,0))))</f>
        <v>1</v>
      </c>
      <c r="HH97" s="8">
        <f>IF(HH$56-Voorblad!$F$41&gt;Voorblad!$K$41,0,IF($U97=0,0,IF($U97&lt;1,1/$U97,IF((HH$56-Voorblad!$F$41)/$U97-SUM($EE97:HG97)=1,1,0))))</f>
        <v>1</v>
      </c>
      <c r="HI97" s="8">
        <f>IF(HI$56-Voorblad!$F$41&gt;Voorblad!$K$41,0,IF($U97=0,0,IF($U97&lt;1,1/$U97,IF((HI$56-Voorblad!$F$41)/$U97-SUM($EE97:HH97)=1,1,0))))</f>
        <v>1</v>
      </c>
      <c r="HJ97" s="8">
        <f>IF(HJ$56-Voorblad!$F$41&gt;Voorblad!$K$41,0,IF($U97=0,0,IF($U97&lt;1,1/$U97,IF((HJ$56-Voorblad!$F$41)/$U97-SUM($EE97:HI97)=1,1,0))))</f>
        <v>1</v>
      </c>
      <c r="HK97" s="8">
        <f>IF(HK$56-Voorblad!$F$41&gt;Voorblad!$K$41,0,IF($U97=0,0,IF($U97&lt;1,1/$U97,IF((HK$56-Voorblad!$F$41)/$U97-SUM($EE97:HJ97)=1,1,0))))</f>
        <v>1</v>
      </c>
      <c r="HL97" s="8">
        <f>IF(HL$56-Voorblad!$F$41&gt;Voorblad!$K$41,0,IF($U97=0,0,IF($U97&lt;1,1/$U97,IF((HL$56-Voorblad!$F$41)/$U97-SUM($EE97:HK97)=1,1,0))))</f>
        <v>1</v>
      </c>
      <c r="HM97" s="8">
        <f>IF(HM$56-Voorblad!$F$41&gt;Voorblad!$K$41,0,IF($U97=0,0,IF($U97&lt;1,1/$U97,IF((HM$56-Voorblad!$F$41)/$U97-SUM($EE97:HL97)=1,1,0))))</f>
        <v>1</v>
      </c>
      <c r="HN97" s="8">
        <f>IF(HN$56-Voorblad!$F$41&gt;Voorblad!$K$41,0,IF($U97=0,0,IF($U97&lt;1,1/$U97,IF((HN$56-Voorblad!$F$41)/$U97-SUM($EE97:HM97)=1,1,0))))</f>
        <v>1</v>
      </c>
      <c r="HO97" s="8">
        <f>IF(HO$56-Voorblad!$F$41&gt;Voorblad!$K$41,0,IF($U97=0,0,IF($U97&lt;1,1/$U97,IF((HO$56-Voorblad!$F$41)/$U97-SUM($EE97:HN97)=1,1,0))))</f>
        <v>1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1</v>
      </c>
      <c r="HC98" s="8">
        <f>IF(HC$56-Voorblad!$F$41&gt;Voorblad!$K$41,0,IF($U98=0,0,IF($U98&lt;1,1/$U98,IF((HC$56-Voorblad!$F$41)/$U98-SUM($EE98:HB98)=1,1,0))))</f>
        <v>1</v>
      </c>
      <c r="HD98" s="8">
        <f>IF(HD$56-Voorblad!$F$41&gt;Voorblad!$K$41,0,IF($U98=0,0,IF($U98&lt;1,1/$U98,IF((HD$56-Voorblad!$F$41)/$U98-SUM($EE98:HC98)=1,1,0))))</f>
        <v>1</v>
      </c>
      <c r="HE98" s="8">
        <f>IF(HE$56-Voorblad!$F$41&gt;Voorblad!$K$41,0,IF($U98=0,0,IF($U98&lt;1,1/$U98,IF((HE$56-Voorblad!$F$41)/$U98-SUM($EE98:HD98)=1,1,0))))</f>
        <v>1</v>
      </c>
      <c r="HF98" s="8">
        <f>IF(HF$56-Voorblad!$F$41&gt;Voorblad!$K$41,0,IF($U98=0,0,IF($U98&lt;1,1/$U98,IF((HF$56-Voorblad!$F$41)/$U98-SUM($EE98:HE98)=1,1,0))))</f>
        <v>1</v>
      </c>
      <c r="HG98" s="8">
        <f>IF(HG$56-Voorblad!$F$41&gt;Voorblad!$K$41,0,IF($U98=0,0,IF($U98&lt;1,1/$U98,IF((HG$56-Voorblad!$F$41)/$U98-SUM($EE98:HF98)=1,1,0))))</f>
        <v>1</v>
      </c>
      <c r="HH98" s="8">
        <f>IF(HH$56-Voorblad!$F$41&gt;Voorblad!$K$41,0,IF($U98=0,0,IF($U98&lt;1,1/$U98,IF((HH$56-Voorblad!$F$41)/$U98-SUM($EE98:HG98)=1,1,0))))</f>
        <v>1</v>
      </c>
      <c r="HI98" s="8">
        <f>IF(HI$56-Voorblad!$F$41&gt;Voorblad!$K$41,0,IF($U98=0,0,IF($U98&lt;1,1/$U98,IF((HI$56-Voorblad!$F$41)/$U98-SUM($EE98:HH98)=1,1,0))))</f>
        <v>1</v>
      </c>
      <c r="HJ98" s="8">
        <f>IF(HJ$56-Voorblad!$F$41&gt;Voorblad!$K$41,0,IF($U98=0,0,IF($U98&lt;1,1/$U98,IF((HJ$56-Voorblad!$F$41)/$U98-SUM($EE98:HI98)=1,1,0))))</f>
        <v>1</v>
      </c>
      <c r="HK98" s="8">
        <f>IF(HK$56-Voorblad!$F$41&gt;Voorblad!$K$41,0,IF($U98=0,0,IF($U98&lt;1,1/$U98,IF((HK$56-Voorblad!$F$41)/$U98-SUM($EE98:HJ98)=1,1,0))))</f>
        <v>1</v>
      </c>
      <c r="HL98" s="8">
        <f>IF(HL$56-Voorblad!$F$41&gt;Voorblad!$K$41,0,IF($U98=0,0,IF($U98&lt;1,1/$U98,IF((HL$56-Voorblad!$F$41)/$U98-SUM($EE98:HK98)=1,1,0))))</f>
        <v>1</v>
      </c>
      <c r="HM98" s="8">
        <f>IF(HM$56-Voorblad!$F$41&gt;Voorblad!$K$41,0,IF($U98=0,0,IF($U98&lt;1,1/$U98,IF((HM$56-Voorblad!$F$41)/$U98-SUM($EE98:HL98)=1,1,0))))</f>
        <v>1</v>
      </c>
      <c r="HN98" s="8">
        <f>IF(HN$56-Voorblad!$F$41&gt;Voorblad!$K$41,0,IF($U98=0,0,IF($U98&lt;1,1/$U98,IF((HN$56-Voorblad!$F$41)/$U98-SUM($EE98:HM98)=1,1,0))))</f>
        <v>1</v>
      </c>
      <c r="HO98" s="8">
        <f>IF(HO$56-Voorblad!$F$41&gt;Voorblad!$K$41,0,IF($U98=0,0,IF($U98&lt;1,1/$U98,IF((HO$56-Voorblad!$F$41)/$U98-SUM($EE98:HN98)=1,1,0))))</f>
        <v>1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153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1</v>
      </c>
      <c r="HC99" s="8">
        <f>IF(HC$56-Voorblad!$F$41&gt;Voorblad!$K$41,0,IF($U99=0,0,IF($U99&lt;1,1/$U99,IF((HC$56-Voorblad!$F$41)/$U99-SUM($EE99:HB99)=1,1,0))))</f>
        <v>1</v>
      </c>
      <c r="HD99" s="8">
        <f>IF(HD$56-Voorblad!$F$41&gt;Voorblad!$K$41,0,IF($U99=0,0,IF($U99&lt;1,1/$U99,IF((HD$56-Voorblad!$F$41)/$U99-SUM($EE99:HC99)=1,1,0))))</f>
        <v>1</v>
      </c>
      <c r="HE99" s="8">
        <f>IF(HE$56-Voorblad!$F$41&gt;Voorblad!$K$41,0,IF($U99=0,0,IF($U99&lt;1,1/$U99,IF((HE$56-Voorblad!$F$41)/$U99-SUM($EE99:HD99)=1,1,0))))</f>
        <v>1</v>
      </c>
      <c r="HF99" s="8">
        <f>IF(HF$56-Voorblad!$F$41&gt;Voorblad!$K$41,0,IF($U99=0,0,IF($U99&lt;1,1/$U99,IF((HF$56-Voorblad!$F$41)/$U99-SUM($EE99:HE99)=1,1,0))))</f>
        <v>1</v>
      </c>
      <c r="HG99" s="8">
        <f>IF(HG$56-Voorblad!$F$41&gt;Voorblad!$K$41,0,IF($U99=0,0,IF($U99&lt;1,1/$U99,IF((HG$56-Voorblad!$F$41)/$U99-SUM($EE99:HF99)=1,1,0))))</f>
        <v>1</v>
      </c>
      <c r="HH99" s="8">
        <f>IF(HH$56-Voorblad!$F$41&gt;Voorblad!$K$41,0,IF($U99=0,0,IF($U99&lt;1,1/$U99,IF((HH$56-Voorblad!$F$41)/$U99-SUM($EE99:HG99)=1,1,0))))</f>
        <v>1</v>
      </c>
      <c r="HI99" s="8">
        <f>IF(HI$56-Voorblad!$F$41&gt;Voorblad!$K$41,0,IF($U99=0,0,IF($U99&lt;1,1/$U99,IF((HI$56-Voorblad!$F$41)/$U99-SUM($EE99:HH99)=1,1,0))))</f>
        <v>1</v>
      </c>
      <c r="HJ99" s="8">
        <f>IF(HJ$56-Voorblad!$F$41&gt;Voorblad!$K$41,0,IF($U99=0,0,IF($U99&lt;1,1/$U99,IF((HJ$56-Voorblad!$F$41)/$U99-SUM($EE99:HI99)=1,1,0))))</f>
        <v>1</v>
      </c>
      <c r="HK99" s="8">
        <f>IF(HK$56-Voorblad!$F$41&gt;Voorblad!$K$41,0,IF($U99=0,0,IF($U99&lt;1,1/$U99,IF((HK$56-Voorblad!$F$41)/$U99-SUM($EE99:HJ99)=1,1,0))))</f>
        <v>1</v>
      </c>
      <c r="HL99" s="8">
        <f>IF(HL$56-Voorblad!$F$41&gt;Voorblad!$K$41,0,IF($U99=0,0,IF($U99&lt;1,1/$U99,IF((HL$56-Voorblad!$F$41)/$U99-SUM($EE99:HK99)=1,1,0))))</f>
        <v>1</v>
      </c>
      <c r="HM99" s="8">
        <f>IF(HM$56-Voorblad!$F$41&gt;Voorblad!$K$41,0,IF($U99=0,0,IF($U99&lt;1,1/$U99,IF((HM$56-Voorblad!$F$41)/$U99-SUM($EE99:HL99)=1,1,0))))</f>
        <v>1</v>
      </c>
      <c r="HN99" s="8">
        <f>IF(HN$56-Voorblad!$F$41&gt;Voorblad!$K$41,0,IF($U99=0,0,IF($U99&lt;1,1/$U99,IF((HN$56-Voorblad!$F$41)/$U99-SUM($EE99:HM99)=1,1,0))))</f>
        <v>1</v>
      </c>
      <c r="HO99" s="8">
        <f>IF(HO$56-Voorblad!$F$41&gt;Voorblad!$K$41,0,IF($U99=0,0,IF($U99&lt;1,1/$U99,IF((HO$56-Voorblad!$F$41)/$U99-SUM($EE99:HN99)=1,1,0))))</f>
        <v>1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156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1</v>
      </c>
      <c r="HC100" s="8">
        <f>IF(HC$56-Voorblad!$F$41&gt;Voorblad!$K$41,0,IF($U100=0,0,IF($U100&lt;1,1/$U100,IF((HC$56-Voorblad!$F$41)/$U100-SUM($EE100:HB100)=1,1,0))))</f>
        <v>1</v>
      </c>
      <c r="HD100" s="8">
        <f>IF(HD$56-Voorblad!$F$41&gt;Voorblad!$K$41,0,IF($U100=0,0,IF($U100&lt;1,1/$U100,IF((HD$56-Voorblad!$F$41)/$U100-SUM($EE100:HC100)=1,1,0))))</f>
        <v>1</v>
      </c>
      <c r="HE100" s="8">
        <f>IF(HE$56-Voorblad!$F$41&gt;Voorblad!$K$41,0,IF($U100=0,0,IF($U100&lt;1,1/$U100,IF((HE$56-Voorblad!$F$41)/$U100-SUM($EE100:HD100)=1,1,0))))</f>
        <v>1</v>
      </c>
      <c r="HF100" s="8">
        <f>IF(HF$56-Voorblad!$F$41&gt;Voorblad!$K$41,0,IF($U100=0,0,IF($U100&lt;1,1/$U100,IF((HF$56-Voorblad!$F$41)/$U100-SUM($EE100:HE100)=1,1,0))))</f>
        <v>1</v>
      </c>
      <c r="HG100" s="8">
        <f>IF(HG$56-Voorblad!$F$41&gt;Voorblad!$K$41,0,IF($U100=0,0,IF($U100&lt;1,1/$U100,IF((HG$56-Voorblad!$F$41)/$U100-SUM($EE100:HF100)=1,1,0))))</f>
        <v>1</v>
      </c>
      <c r="HH100" s="8">
        <f>IF(HH$56-Voorblad!$F$41&gt;Voorblad!$K$41,0,IF($U100=0,0,IF($U100&lt;1,1/$U100,IF((HH$56-Voorblad!$F$41)/$U100-SUM($EE100:HG100)=1,1,0))))</f>
        <v>1</v>
      </c>
      <c r="HI100" s="8">
        <f>IF(HI$56-Voorblad!$F$41&gt;Voorblad!$K$41,0,IF($U100=0,0,IF($U100&lt;1,1/$U100,IF((HI$56-Voorblad!$F$41)/$U100-SUM($EE100:HH100)=1,1,0))))</f>
        <v>1</v>
      </c>
      <c r="HJ100" s="8">
        <f>IF(HJ$56-Voorblad!$F$41&gt;Voorblad!$K$41,0,IF($U100=0,0,IF($U100&lt;1,1/$U100,IF((HJ$56-Voorblad!$F$41)/$U100-SUM($EE100:HI100)=1,1,0))))</f>
        <v>1</v>
      </c>
      <c r="HK100" s="8">
        <f>IF(HK$56-Voorblad!$F$41&gt;Voorblad!$K$41,0,IF($U100=0,0,IF($U100&lt;1,1/$U100,IF((HK$56-Voorblad!$F$41)/$U100-SUM($EE100:HJ100)=1,1,0))))</f>
        <v>1</v>
      </c>
      <c r="HL100" s="8">
        <f>IF(HL$56-Voorblad!$F$41&gt;Voorblad!$K$41,0,IF($U100=0,0,IF($U100&lt;1,1/$U100,IF((HL$56-Voorblad!$F$41)/$U100-SUM($EE100:HK100)=1,1,0))))</f>
        <v>1</v>
      </c>
      <c r="HM100" s="8">
        <f>IF(HM$56-Voorblad!$F$41&gt;Voorblad!$K$41,0,IF($U100=0,0,IF($U100&lt;1,1/$U100,IF((HM$56-Voorblad!$F$41)/$U100-SUM($EE100:HL100)=1,1,0))))</f>
        <v>1</v>
      </c>
      <c r="HN100" s="8">
        <f>IF(HN$56-Voorblad!$F$41&gt;Voorblad!$K$41,0,IF($U100=0,0,IF($U100&lt;1,1/$U100,IF((HN$56-Voorblad!$F$41)/$U100-SUM($EE100:HM100)=1,1,0))))</f>
        <v>1</v>
      </c>
      <c r="HO100" s="8">
        <f>IF(HO$56-Voorblad!$F$41&gt;Voorblad!$K$41,0,IF($U100=0,0,IF($U100&lt;1,1/$U100,IF((HO$56-Voorblad!$F$41)/$U100-SUM($EE100:HN100)=1,1,0))))</f>
        <v>1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157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1</v>
      </c>
      <c r="HC101" s="8">
        <f>IF(HC$56-Voorblad!$F$41&gt;Voorblad!$K$41,0,IF($U101=0,0,IF($U101&lt;1,1/$U101,IF((HC$56-Voorblad!$F$41)/$U101-SUM($EE101:HB101)=1,1,0))))</f>
        <v>1</v>
      </c>
      <c r="HD101" s="8">
        <f>IF(HD$56-Voorblad!$F$41&gt;Voorblad!$K$41,0,IF($U101=0,0,IF($U101&lt;1,1/$U101,IF((HD$56-Voorblad!$F$41)/$U101-SUM($EE101:HC101)=1,1,0))))</f>
        <v>1</v>
      </c>
      <c r="HE101" s="8">
        <f>IF(HE$56-Voorblad!$F$41&gt;Voorblad!$K$41,0,IF($U101=0,0,IF($U101&lt;1,1/$U101,IF((HE$56-Voorblad!$F$41)/$U101-SUM($EE101:HD101)=1,1,0))))</f>
        <v>1</v>
      </c>
      <c r="HF101" s="8">
        <f>IF(HF$56-Voorblad!$F$41&gt;Voorblad!$K$41,0,IF($U101=0,0,IF($U101&lt;1,1/$U101,IF((HF$56-Voorblad!$F$41)/$U101-SUM($EE101:HE101)=1,1,0))))</f>
        <v>1</v>
      </c>
      <c r="HG101" s="8">
        <f>IF(HG$56-Voorblad!$F$41&gt;Voorblad!$K$41,0,IF($U101=0,0,IF($U101&lt;1,1/$U101,IF((HG$56-Voorblad!$F$41)/$U101-SUM($EE101:HF101)=1,1,0))))</f>
        <v>1</v>
      </c>
      <c r="HH101" s="8">
        <f>IF(HH$56-Voorblad!$F$41&gt;Voorblad!$K$41,0,IF($U101=0,0,IF($U101&lt;1,1/$U101,IF((HH$56-Voorblad!$F$41)/$U101-SUM($EE101:HG101)=1,1,0))))</f>
        <v>1</v>
      </c>
      <c r="HI101" s="8">
        <f>IF(HI$56-Voorblad!$F$41&gt;Voorblad!$K$41,0,IF($U101=0,0,IF($U101&lt;1,1/$U101,IF((HI$56-Voorblad!$F$41)/$U101-SUM($EE101:HH101)=1,1,0))))</f>
        <v>1</v>
      </c>
      <c r="HJ101" s="8">
        <f>IF(HJ$56-Voorblad!$F$41&gt;Voorblad!$K$41,0,IF($U101=0,0,IF($U101&lt;1,1/$U101,IF((HJ$56-Voorblad!$F$41)/$U101-SUM($EE101:HI101)=1,1,0))))</f>
        <v>1</v>
      </c>
      <c r="HK101" s="8">
        <f>IF(HK$56-Voorblad!$F$41&gt;Voorblad!$K$41,0,IF($U101=0,0,IF($U101&lt;1,1/$U101,IF((HK$56-Voorblad!$F$41)/$U101-SUM($EE101:HJ101)=1,1,0))))</f>
        <v>1</v>
      </c>
      <c r="HL101" s="8">
        <f>IF(HL$56-Voorblad!$F$41&gt;Voorblad!$K$41,0,IF($U101=0,0,IF($U101&lt;1,1/$U101,IF((HL$56-Voorblad!$F$41)/$U101-SUM($EE101:HK101)=1,1,0))))</f>
        <v>1</v>
      </c>
      <c r="HM101" s="8">
        <f>IF(HM$56-Voorblad!$F$41&gt;Voorblad!$K$41,0,IF($U101=0,0,IF($U101&lt;1,1/$U101,IF((HM$56-Voorblad!$F$41)/$U101-SUM($EE101:HL101)=1,1,0))))</f>
        <v>1</v>
      </c>
      <c r="HN101" s="8">
        <f>IF(HN$56-Voorblad!$F$41&gt;Voorblad!$K$41,0,IF($U101=0,0,IF($U101&lt;1,1/$U101,IF((HN$56-Voorblad!$F$41)/$U101-SUM($EE101:HM101)=1,1,0))))</f>
        <v>1</v>
      </c>
      <c r="HO101" s="8">
        <f>IF(HO$56-Voorblad!$F$41&gt;Voorblad!$K$41,0,IF($U101=0,0,IF($U101&lt;1,1/$U101,IF((HO$56-Voorblad!$F$41)/$U101-SUM($EE101:HN101)=1,1,0))))</f>
        <v>1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1</v>
      </c>
      <c r="HC102" s="8">
        <f>IF(HC$56-Voorblad!$F$41&gt;Voorblad!$K$41,0,IF($U102=0,0,IF($U102&lt;1,1/$U102,IF((HC$56-Voorblad!$F$41)/$U102-SUM($EE102:HB102)=1,1,0))))</f>
        <v>1</v>
      </c>
      <c r="HD102" s="8">
        <f>IF(HD$56-Voorblad!$F$41&gt;Voorblad!$K$41,0,IF($U102=0,0,IF($U102&lt;1,1/$U102,IF((HD$56-Voorblad!$F$41)/$U102-SUM($EE102:HC102)=1,1,0))))</f>
        <v>1</v>
      </c>
      <c r="HE102" s="8">
        <f>IF(HE$56-Voorblad!$F$41&gt;Voorblad!$K$41,0,IF($U102=0,0,IF($U102&lt;1,1/$U102,IF((HE$56-Voorblad!$F$41)/$U102-SUM($EE102:HD102)=1,1,0))))</f>
        <v>1</v>
      </c>
      <c r="HF102" s="8">
        <f>IF(HF$56-Voorblad!$F$41&gt;Voorblad!$K$41,0,IF($U102=0,0,IF($U102&lt;1,1/$U102,IF((HF$56-Voorblad!$F$41)/$U102-SUM($EE102:HE102)=1,1,0))))</f>
        <v>1</v>
      </c>
      <c r="HG102" s="8">
        <f>IF(HG$56-Voorblad!$F$41&gt;Voorblad!$K$41,0,IF($U102=0,0,IF($U102&lt;1,1/$U102,IF((HG$56-Voorblad!$F$41)/$U102-SUM($EE102:HF102)=1,1,0))))</f>
        <v>1</v>
      </c>
      <c r="HH102" s="8">
        <f>IF(HH$56-Voorblad!$F$41&gt;Voorblad!$K$41,0,IF($U102=0,0,IF($U102&lt;1,1/$U102,IF((HH$56-Voorblad!$F$41)/$U102-SUM($EE102:HG102)=1,1,0))))</f>
        <v>1</v>
      </c>
      <c r="HI102" s="8">
        <f>IF(HI$56-Voorblad!$F$41&gt;Voorblad!$K$41,0,IF($U102=0,0,IF($U102&lt;1,1/$U102,IF((HI$56-Voorblad!$F$41)/$U102-SUM($EE102:HH102)=1,1,0))))</f>
        <v>1</v>
      </c>
      <c r="HJ102" s="8">
        <f>IF(HJ$56-Voorblad!$F$41&gt;Voorblad!$K$41,0,IF($U102=0,0,IF($U102&lt;1,1/$U102,IF((HJ$56-Voorblad!$F$41)/$U102-SUM($EE102:HI102)=1,1,0))))</f>
        <v>1</v>
      </c>
      <c r="HK102" s="8">
        <f>IF(HK$56-Voorblad!$F$41&gt;Voorblad!$K$41,0,IF($U102=0,0,IF($U102&lt;1,1/$U102,IF((HK$56-Voorblad!$F$41)/$U102-SUM($EE102:HJ102)=1,1,0))))</f>
        <v>1</v>
      </c>
      <c r="HL102" s="8">
        <f>IF(HL$56-Voorblad!$F$41&gt;Voorblad!$K$41,0,IF($U102=0,0,IF($U102&lt;1,1/$U102,IF((HL$56-Voorblad!$F$41)/$U102-SUM($EE102:HK102)=1,1,0))))</f>
        <v>1</v>
      </c>
      <c r="HM102" s="8">
        <f>IF(HM$56-Voorblad!$F$41&gt;Voorblad!$K$41,0,IF($U102=0,0,IF($U102&lt;1,1/$U102,IF((HM$56-Voorblad!$F$41)/$U102-SUM($EE102:HL102)=1,1,0))))</f>
        <v>1</v>
      </c>
      <c r="HN102" s="8">
        <f>IF(HN$56-Voorblad!$F$41&gt;Voorblad!$K$41,0,IF($U102=0,0,IF($U102&lt;1,1/$U102,IF((HN$56-Voorblad!$F$41)/$U102-SUM($EE102:HM102)=1,1,0))))</f>
        <v>1</v>
      </c>
      <c r="HO102" s="8">
        <f>IF(HO$56-Voorblad!$F$41&gt;Voorblad!$K$41,0,IF($U102=0,0,IF($U102&lt;1,1/$U102,IF((HO$56-Voorblad!$F$41)/$U102-SUM($EE102:HN102)=1,1,0))))</f>
        <v>1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1</v>
      </c>
      <c r="HC103" s="8">
        <f>IF(HC$56-Voorblad!$F$41&gt;Voorblad!$K$41,0,IF($U103=0,0,IF($U103&lt;1,1/$U103,IF((HC$56-Voorblad!$F$41)/$U103-SUM($EE103:HB103)=1,1,0))))</f>
        <v>1</v>
      </c>
      <c r="HD103" s="8">
        <f>IF(HD$56-Voorblad!$F$41&gt;Voorblad!$K$41,0,IF($U103=0,0,IF($U103&lt;1,1/$U103,IF((HD$56-Voorblad!$F$41)/$U103-SUM($EE103:HC103)=1,1,0))))</f>
        <v>1</v>
      </c>
      <c r="HE103" s="8">
        <f>IF(HE$56-Voorblad!$F$41&gt;Voorblad!$K$41,0,IF($U103=0,0,IF($U103&lt;1,1/$U103,IF((HE$56-Voorblad!$F$41)/$U103-SUM($EE103:HD103)=1,1,0))))</f>
        <v>1</v>
      </c>
      <c r="HF103" s="8">
        <f>IF(HF$56-Voorblad!$F$41&gt;Voorblad!$K$41,0,IF($U103=0,0,IF($U103&lt;1,1/$U103,IF((HF$56-Voorblad!$F$41)/$U103-SUM($EE103:HE103)=1,1,0))))</f>
        <v>1</v>
      </c>
      <c r="HG103" s="8">
        <f>IF(HG$56-Voorblad!$F$41&gt;Voorblad!$K$41,0,IF($U103=0,0,IF($U103&lt;1,1/$U103,IF((HG$56-Voorblad!$F$41)/$U103-SUM($EE103:HF103)=1,1,0))))</f>
        <v>1</v>
      </c>
      <c r="HH103" s="8">
        <f>IF(HH$56-Voorblad!$F$41&gt;Voorblad!$K$41,0,IF($U103=0,0,IF($U103&lt;1,1/$U103,IF((HH$56-Voorblad!$F$41)/$U103-SUM($EE103:HG103)=1,1,0))))</f>
        <v>1</v>
      </c>
      <c r="HI103" s="8">
        <f>IF(HI$56-Voorblad!$F$41&gt;Voorblad!$K$41,0,IF($U103=0,0,IF($U103&lt;1,1/$U103,IF((HI$56-Voorblad!$F$41)/$U103-SUM($EE103:HH103)=1,1,0))))</f>
        <v>1</v>
      </c>
      <c r="HJ103" s="8">
        <f>IF(HJ$56-Voorblad!$F$41&gt;Voorblad!$K$41,0,IF($U103=0,0,IF($U103&lt;1,1/$U103,IF((HJ$56-Voorblad!$F$41)/$U103-SUM($EE103:HI103)=1,1,0))))</f>
        <v>1</v>
      </c>
      <c r="HK103" s="8">
        <f>IF(HK$56-Voorblad!$F$41&gt;Voorblad!$K$41,0,IF($U103=0,0,IF($U103&lt;1,1/$U103,IF((HK$56-Voorblad!$F$41)/$U103-SUM($EE103:HJ103)=1,1,0))))</f>
        <v>1</v>
      </c>
      <c r="HL103" s="8">
        <f>IF(HL$56-Voorblad!$F$41&gt;Voorblad!$K$41,0,IF($U103=0,0,IF($U103&lt;1,1/$U103,IF((HL$56-Voorblad!$F$41)/$U103-SUM($EE103:HK103)=1,1,0))))</f>
        <v>1</v>
      </c>
      <c r="HM103" s="8">
        <f>IF(HM$56-Voorblad!$F$41&gt;Voorblad!$K$41,0,IF($U103=0,0,IF($U103&lt;1,1/$U103,IF((HM$56-Voorblad!$F$41)/$U103-SUM($EE103:HL103)=1,1,0))))</f>
        <v>1</v>
      </c>
      <c r="HN103" s="8">
        <f>IF(HN$56-Voorblad!$F$41&gt;Voorblad!$K$41,0,IF($U103=0,0,IF($U103&lt;1,1/$U103,IF((HN$56-Voorblad!$F$41)/$U103-SUM($EE103:HM103)=1,1,0))))</f>
        <v>1</v>
      </c>
      <c r="HO103" s="8">
        <f>IF(HO$56-Voorblad!$F$41&gt;Voorblad!$K$41,0,IF($U103=0,0,IF($U103&lt;1,1/$U103,IF((HO$56-Voorblad!$F$41)/$U103-SUM($EE103:HN103)=1,1,0))))</f>
        <v>1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7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1</v>
      </c>
      <c r="HC104" s="8">
        <f>IF(HC$56-Voorblad!$F$41&gt;Voorblad!$K$41,0,IF($U104=0,0,IF($U104&lt;1,1/$U104,IF((HC$56-Voorblad!$F$41)/$U104-SUM($EE104:HB104)=1,1,0))))</f>
        <v>1</v>
      </c>
      <c r="HD104" s="8">
        <f>IF(HD$56-Voorblad!$F$41&gt;Voorblad!$K$41,0,IF($U104=0,0,IF($U104&lt;1,1/$U104,IF((HD$56-Voorblad!$F$41)/$U104-SUM($EE104:HC104)=1,1,0))))</f>
        <v>1</v>
      </c>
      <c r="HE104" s="8">
        <f>IF(HE$56-Voorblad!$F$41&gt;Voorblad!$K$41,0,IF($U104=0,0,IF($U104&lt;1,1/$U104,IF((HE$56-Voorblad!$F$41)/$U104-SUM($EE104:HD104)=1,1,0))))</f>
        <v>1</v>
      </c>
      <c r="HF104" s="8">
        <f>IF(HF$56-Voorblad!$F$41&gt;Voorblad!$K$41,0,IF($U104=0,0,IF($U104&lt;1,1/$U104,IF((HF$56-Voorblad!$F$41)/$U104-SUM($EE104:HE104)=1,1,0))))</f>
        <v>1</v>
      </c>
      <c r="HG104" s="8">
        <f>IF(HG$56-Voorblad!$F$41&gt;Voorblad!$K$41,0,IF($U104=0,0,IF($U104&lt;1,1/$U104,IF((HG$56-Voorblad!$F$41)/$U104-SUM($EE104:HF104)=1,1,0))))</f>
        <v>1</v>
      </c>
      <c r="HH104" s="8">
        <f>IF(HH$56-Voorblad!$F$41&gt;Voorblad!$K$41,0,IF($U104=0,0,IF($U104&lt;1,1/$U104,IF((HH$56-Voorblad!$F$41)/$U104-SUM($EE104:HG104)=1,1,0))))</f>
        <v>1</v>
      </c>
      <c r="HI104" s="8">
        <f>IF(HI$56-Voorblad!$F$41&gt;Voorblad!$K$41,0,IF($U104=0,0,IF($U104&lt;1,1/$U104,IF((HI$56-Voorblad!$F$41)/$U104-SUM($EE104:HH104)=1,1,0))))</f>
        <v>1</v>
      </c>
      <c r="HJ104" s="8">
        <f>IF(HJ$56-Voorblad!$F$41&gt;Voorblad!$K$41,0,IF($U104=0,0,IF($U104&lt;1,1/$U104,IF((HJ$56-Voorblad!$F$41)/$U104-SUM($EE104:HI104)=1,1,0))))</f>
        <v>1</v>
      </c>
      <c r="HK104" s="8">
        <f>IF(HK$56-Voorblad!$F$41&gt;Voorblad!$K$41,0,IF($U104=0,0,IF($U104&lt;1,1/$U104,IF((HK$56-Voorblad!$F$41)/$U104-SUM($EE104:HJ104)=1,1,0))))</f>
        <v>1</v>
      </c>
      <c r="HL104" s="8">
        <f>IF(HL$56-Voorblad!$F$41&gt;Voorblad!$K$41,0,IF($U104=0,0,IF($U104&lt;1,1/$U104,IF((HL$56-Voorblad!$F$41)/$U104-SUM($EE104:HK104)=1,1,0))))</f>
        <v>1</v>
      </c>
      <c r="HM104" s="8">
        <f>IF(HM$56-Voorblad!$F$41&gt;Voorblad!$K$41,0,IF($U104=0,0,IF($U104&lt;1,1/$U104,IF((HM$56-Voorblad!$F$41)/$U104-SUM($EE104:HL104)=1,1,0))))</f>
        <v>1</v>
      </c>
      <c r="HN104" s="8">
        <f>IF(HN$56-Voorblad!$F$41&gt;Voorblad!$K$41,0,IF($U104=0,0,IF($U104&lt;1,1/$U104,IF((HN$56-Voorblad!$F$41)/$U104-SUM($EE104:HM104)=1,1,0))))</f>
        <v>1</v>
      </c>
      <c r="HO104" s="8">
        <f>IF(HO$56-Voorblad!$F$41&gt;Voorblad!$K$41,0,IF($U104=0,0,IF($U104&lt;1,1/$U104,IF((HO$56-Voorblad!$F$41)/$U104-SUM($EE104:HN104)=1,1,0))))</f>
        <v>1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272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277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5909.0960660205992</v>
      </c>
      <c r="Z109" s="82"/>
      <c r="AA109" s="82"/>
      <c r="AC109" s="9">
        <f>$Y109*(Voorblad!$K$44*(1+Voorblad!$K$44)^Voorblad!$K$41)/((1+Voorblad!$K$44)^Voorblad!$K$41-1)</f>
        <v>167.24248054229372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138.8843678194113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122.75354397912392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108.4962461652121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1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1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1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278</v>
      </c>
      <c r="K110" s="1" t="s">
        <v>113</v>
      </c>
      <c r="O110" s="1" t="s">
        <v>226</v>
      </c>
      <c r="P110" s="14" t="s">
        <v>227</v>
      </c>
      <c r="Q110" s="83">
        <f>50%*(((2*12.96*16.298)+(2*(12.96+16.298)*1.578))+((2*15.268*16.383)+(2*(15.268+16.383)*1.578)))</f>
        <v>557.472126</v>
      </c>
      <c r="R110" s="1" t="s">
        <v>35</v>
      </c>
      <c r="S110" s="21">
        <f>$H$20*15</f>
        <v>26.55</v>
      </c>
      <c r="T110" s="9">
        <f t="shared" si="20"/>
        <v>14800.8849453</v>
      </c>
      <c r="U110" s="14">
        <v>10</v>
      </c>
      <c r="V110" s="14"/>
      <c r="Y110" s="9">
        <f t="shared" si="21"/>
        <v>45514.594915600137</v>
      </c>
      <c r="Z110" s="82"/>
      <c r="AA110" s="82"/>
      <c r="AC110" s="9">
        <f>$Y110*(Voorblad!$K$44*(1+Voorblad!$K$44)^Voorblad!$K$41)/((1+Voorblad!$K$44)^Voorblad!$K$41-1)</f>
        <v>1288.1790496408053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11562.427663394736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9032.5500107132993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7056.213631876929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5512.3028114575436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4306.202146138864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3363.9982340715765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2627.9500438648838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2052.9503740823011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1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278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1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278</v>
      </c>
      <c r="K112" s="1" t="s">
        <v>145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2</v>
      </c>
      <c r="HC112" s="8">
        <f>IF(HC$56-Voorblad!$F$41&gt;Voorblad!$K$41,0,IF($U112=0,0,IF($U112&lt;1,1/$U112,IF((HC$56-Voorblad!$F$41)/$U112-SUM($EE112:HB112)=1,1,0))))</f>
        <v>2</v>
      </c>
      <c r="HD112" s="8">
        <f>IF(HD$56-Voorblad!$F$41&gt;Voorblad!$K$41,0,IF($U112=0,0,IF($U112&lt;1,1/$U112,IF((HD$56-Voorblad!$F$41)/$U112-SUM($EE112:HC112)=1,1,0))))</f>
        <v>2</v>
      </c>
      <c r="HE112" s="8">
        <f>IF(HE$56-Voorblad!$F$41&gt;Voorblad!$K$41,0,IF($U112=0,0,IF($U112&lt;1,1/$U112,IF((HE$56-Voorblad!$F$41)/$U112-SUM($EE112:HD112)=1,1,0))))</f>
        <v>2</v>
      </c>
      <c r="HF112" s="8">
        <f>IF(HF$56-Voorblad!$F$41&gt;Voorblad!$K$41,0,IF($U112=0,0,IF($U112&lt;1,1/$U112,IF((HF$56-Voorblad!$F$41)/$U112-SUM($EE112:HE112)=1,1,0))))</f>
        <v>2</v>
      </c>
      <c r="HG112" s="8">
        <f>IF(HG$56-Voorblad!$F$41&gt;Voorblad!$K$41,0,IF($U112=0,0,IF($U112&lt;1,1/$U112,IF((HG$56-Voorblad!$F$41)/$U112-SUM($EE112:HF112)=1,1,0))))</f>
        <v>2</v>
      </c>
      <c r="HH112" s="8">
        <f>IF(HH$56-Voorblad!$F$41&gt;Voorblad!$K$41,0,IF($U112=0,0,IF($U112&lt;1,1/$U112,IF((HH$56-Voorblad!$F$41)/$U112-SUM($EE112:HG112)=1,1,0))))</f>
        <v>2</v>
      </c>
      <c r="HI112" s="8">
        <f>IF(HI$56-Voorblad!$F$41&gt;Voorblad!$K$41,0,IF($U112=0,0,IF($U112&lt;1,1/$U112,IF((HI$56-Voorblad!$F$41)/$U112-SUM($EE112:HH112)=1,1,0))))</f>
        <v>2</v>
      </c>
      <c r="HJ112" s="8">
        <f>IF(HJ$56-Voorblad!$F$41&gt;Voorblad!$K$41,0,IF($U112=0,0,IF($U112&lt;1,1/$U112,IF((HJ$56-Voorblad!$F$41)/$U112-SUM($EE112:HI112)=1,1,0))))</f>
        <v>2</v>
      </c>
      <c r="HK112" s="8">
        <f>IF(HK$56-Voorblad!$F$41&gt;Voorblad!$K$41,0,IF($U112=0,0,IF($U112&lt;1,1/$U112,IF((HK$56-Voorblad!$F$41)/$U112-SUM($EE112:HJ112)=1,1,0))))</f>
        <v>2</v>
      </c>
      <c r="HL112" s="8">
        <f>IF(HL$56-Voorblad!$F$41&gt;Voorblad!$K$41,0,IF($U112=0,0,IF($U112&lt;1,1/$U112,IF((HL$56-Voorblad!$F$41)/$U112-SUM($EE112:HK112)=1,1,0))))</f>
        <v>2</v>
      </c>
      <c r="HM112" s="8">
        <f>IF(HM$56-Voorblad!$F$41&gt;Voorblad!$K$41,0,IF($U112=0,0,IF($U112&lt;1,1/$U112,IF((HM$56-Voorblad!$F$41)/$U112-SUM($EE112:HL112)=1,1,0))))</f>
        <v>2</v>
      </c>
      <c r="HN112" s="8">
        <f>IF(HN$56-Voorblad!$F$41&gt;Voorblad!$K$41,0,IF($U112=0,0,IF($U112&lt;1,1/$U112,IF((HN$56-Voorblad!$F$41)/$U112-SUM($EE112:HM112)=1,1,0))))</f>
        <v>2</v>
      </c>
      <c r="HO112" s="8">
        <f>IF(HO$56-Voorblad!$F$41&gt;Voorblad!$K$41,0,IF($U112=0,0,IF($U112&lt;1,1/$U112,IF((HO$56-Voorblad!$F$41)/$U112-SUM($EE112:HN112)=1,1,0))))</f>
        <v>2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278</v>
      </c>
      <c r="K113" s="1" t="s">
        <v>159</v>
      </c>
      <c r="P113" s="1" t="s">
        <v>184</v>
      </c>
      <c r="Q113" s="83">
        <f>2*(16.3+16.38)</f>
        <v>65.36</v>
      </c>
      <c r="R113" s="147" t="s">
        <v>196</v>
      </c>
      <c r="S113" s="21">
        <f>$H$20*350</f>
        <v>619.5</v>
      </c>
      <c r="T113" s="9">
        <f t="shared" si="20"/>
        <v>40490.519999999997</v>
      </c>
      <c r="U113" s="14">
        <v>15</v>
      </c>
      <c r="V113" s="14"/>
      <c r="Y113" s="9">
        <f>SUM(AE113:EB113)</f>
        <v>76146.379696759643</v>
      </c>
      <c r="Z113" s="82"/>
      <c r="AA113" s="82"/>
      <c r="AC113" s="9">
        <f>$Y113*(Voorblad!$K$44*(1+Voorblad!$K$44)^Voorblad!$K$41)/((1+Voorblad!$K$44)^Voorblad!$K$41-1)</f>
        <v>2155.1366372314856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27957.309438500088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19303.559229173803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13328.442772145831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9202.8306604662266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6354.2375964737048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1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278</v>
      </c>
      <c r="K114" s="14" t="s">
        <v>168</v>
      </c>
      <c r="L114" s="14"/>
      <c r="M114" s="14"/>
      <c r="O114" s="1" t="s">
        <v>170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1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278</v>
      </c>
      <c r="K115" s="14" t="s">
        <v>162</v>
      </c>
      <c r="O115" s="14" t="s">
        <v>158</v>
      </c>
      <c r="P115" s="14" t="s">
        <v>199</v>
      </c>
      <c r="Q115" s="84">
        <f>2.5%*2*(16.3+16.38)</f>
        <v>1.6340000000000001</v>
      </c>
      <c r="R115" s="14" t="s">
        <v>34</v>
      </c>
      <c r="S115" s="21">
        <f>$H$20*1000</f>
        <v>1770</v>
      </c>
      <c r="T115" s="21">
        <f t="shared" si="20"/>
        <v>2892.1800000000003</v>
      </c>
      <c r="U115" s="14">
        <v>15</v>
      </c>
      <c r="Y115" s="21">
        <f t="shared" si="22"/>
        <v>5439.0271211971185</v>
      </c>
      <c r="Z115" s="149"/>
      <c r="AA115" s="149"/>
      <c r="AC115" s="9">
        <f>$Y115*(Voorblad!$K$44*(1+Voorblad!$K$44)^Voorblad!$K$41)/((1+Voorblad!$K$44)^Voorblad!$K$41-1)</f>
        <v>153.93833123082041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1996.9506741785781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1378.8256592267003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952.03162658184522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657.34504717615926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453.87411403383612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1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278</v>
      </c>
      <c r="K116" s="14" t="s">
        <v>197</v>
      </c>
      <c r="L116" s="14"/>
      <c r="M116" s="14"/>
      <c r="O116" s="1" t="s">
        <v>171</v>
      </c>
      <c r="P116" s="1" t="s">
        <v>174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1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278</v>
      </c>
      <c r="K117" s="14" t="s">
        <v>198</v>
      </c>
      <c r="L117" s="14"/>
      <c r="M117" s="14"/>
      <c r="O117" s="1" t="s">
        <v>172</v>
      </c>
      <c r="P117" s="1" t="s">
        <v>313</v>
      </c>
      <c r="Q117" s="84">
        <f>2.5%*((1*(16.3+16.38))+(1*3*(16.3+16.38)))</f>
        <v>3.2680000000000002</v>
      </c>
      <c r="R117" s="1" t="s">
        <v>34</v>
      </c>
      <c r="S117" s="14">
        <f>$H$20*500</f>
        <v>885</v>
      </c>
      <c r="T117" s="9">
        <f t="shared" si="20"/>
        <v>2892.1800000000003</v>
      </c>
      <c r="U117" s="14">
        <v>15</v>
      </c>
      <c r="V117" s="14"/>
      <c r="Y117" s="9">
        <f t="shared" si="22"/>
        <v>5439.0271211971185</v>
      </c>
      <c r="Z117" s="82"/>
      <c r="AA117" s="82"/>
      <c r="AC117" s="9">
        <f>$Y117*(Voorblad!$K$44*(1+Voorblad!$K$44)^Voorblad!$K$41)/((1+Voorblad!$K$44)^Voorblad!$K$41-1)</f>
        <v>153.93833123082041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1996.9506741785781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1378.8256592267003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952.03162658184522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657.34504717615926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453.87411403383612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1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278</v>
      </c>
      <c r="K118" s="14" t="s">
        <v>211</v>
      </c>
      <c r="L118" s="14"/>
      <c r="M118" s="14"/>
      <c r="O118" s="1" t="s">
        <v>172</v>
      </c>
      <c r="P118" s="1" t="s">
        <v>175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1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278</v>
      </c>
      <c r="K119" s="14" t="s">
        <v>189</v>
      </c>
      <c r="L119" s="14"/>
      <c r="M119" s="14"/>
      <c r="O119" s="1" t="s">
        <v>173</v>
      </c>
      <c r="P119" s="1" t="s">
        <v>176</v>
      </c>
      <c r="Q119" s="83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1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278</v>
      </c>
      <c r="K120" s="1" t="s">
        <v>206</v>
      </c>
      <c r="O120" s="1" t="s">
        <v>178</v>
      </c>
      <c r="P120" s="1" t="s">
        <v>179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1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278</v>
      </c>
      <c r="K121" s="14" t="s">
        <v>205</v>
      </c>
      <c r="L121" s="14"/>
      <c r="M121" s="14"/>
      <c r="O121" s="1" t="s">
        <v>178</v>
      </c>
      <c r="P121" s="1" t="s">
        <v>180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1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278</v>
      </c>
      <c r="K122" s="14" t="s">
        <v>201</v>
      </c>
      <c r="L122" s="14"/>
      <c r="M122" s="14"/>
      <c r="O122" s="1" t="s">
        <v>178</v>
      </c>
      <c r="P122" s="1" t="s">
        <v>314</v>
      </c>
      <c r="Q122" s="84">
        <f>((1*(16.3+16.38))+(1*(16.3+16.38)))</f>
        <v>65.36</v>
      </c>
      <c r="R122" s="1" t="s">
        <v>34</v>
      </c>
      <c r="S122" s="14">
        <f>$H$20*100</f>
        <v>177</v>
      </c>
      <c r="T122" s="9">
        <f t="shared" si="20"/>
        <v>11568.72</v>
      </c>
      <c r="U122" s="14">
        <v>15</v>
      </c>
      <c r="V122" s="14"/>
      <c r="Y122" s="9">
        <f t="shared" si="23"/>
        <v>21756.108484788474</v>
      </c>
      <c r="Z122" s="82"/>
      <c r="AA122" s="82"/>
      <c r="AC122" s="9">
        <f>$Y122*(Voorblad!$K$44*(1+Voorblad!$K$44)^Voorblad!$K$41)/((1+Voorblad!$K$44)^Voorblad!$K$41-1)</f>
        <v>615.75332492328164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7987.8026967143114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5515.3026369068002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3808.1265063273804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2629.3801887046366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1815.4964561353443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1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278</v>
      </c>
      <c r="K123" s="14" t="s">
        <v>200</v>
      </c>
      <c r="L123" s="14"/>
      <c r="M123" s="14"/>
      <c r="O123" s="1" t="s">
        <v>178</v>
      </c>
      <c r="P123" s="1" t="s">
        <v>182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1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278</v>
      </c>
      <c r="K124" s="14" t="s">
        <v>207</v>
      </c>
      <c r="L124" s="14"/>
      <c r="M124" s="14"/>
      <c r="O124" s="1" t="s">
        <v>178</v>
      </c>
      <c r="P124" s="1" t="s">
        <v>183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7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1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270</v>
      </c>
      <c r="C125" s="2"/>
      <c r="S125" s="14"/>
      <c r="U125" s="14"/>
      <c r="V125" s="14"/>
      <c r="Y125" s="23">
        <f>SUM(Y109:Y124)</f>
        <v>160204.23340556308</v>
      </c>
      <c r="Z125" s="24"/>
      <c r="AA125" s="23">
        <f>SUM(AA109:AA124)</f>
        <v>0</v>
      </c>
      <c r="AC125" s="9">
        <f>$Y125*(Voorblad!$K$44*(1+Voorblad!$K$44)^Voorblad!$K$41)/((1+Voorblad!$K$44)^Voorblad!$K$41-1)</f>
        <v>4534.1881547995072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12253.788248922005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40550.075501374056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9572.6397951433646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35054.644092796094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5841.903913430102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19331.951878816169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4563.6860002068652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16712.045152862858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2785.084958257888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9216.3666484961323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2175.7039180614252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108.4962461652121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146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1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1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1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193</v>
      </c>
      <c r="K131" s="1" t="s">
        <v>212</v>
      </c>
      <c r="O131" s="1" t="s">
        <v>187</v>
      </c>
      <c r="P131" s="1" t="s">
        <v>179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193</v>
      </c>
      <c r="K132" s="14" t="s">
        <v>213</v>
      </c>
      <c r="O132" s="1" t="s">
        <v>187</v>
      </c>
      <c r="P132" s="1" t="s">
        <v>180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193</v>
      </c>
      <c r="K133" s="1" t="s">
        <v>209</v>
      </c>
      <c r="O133" s="1" t="s">
        <v>187</v>
      </c>
      <c r="P133" s="1" t="s">
        <v>181</v>
      </c>
      <c r="Q133" s="84">
        <f>((1*(16.3+16.38))+(1*(16.3+16.38)))</f>
        <v>65.36</v>
      </c>
      <c r="R133" s="1" t="s">
        <v>34</v>
      </c>
      <c r="S133" s="21">
        <f>$H$10*125</f>
        <v>297.5</v>
      </c>
      <c r="T133" s="9">
        <f t="shared" si="104"/>
        <v>19444.599999999999</v>
      </c>
      <c r="U133" s="14">
        <v>30</v>
      </c>
      <c r="V133" s="14"/>
      <c r="Y133" s="9">
        <f t="shared" si="21"/>
        <v>13689.509269036171</v>
      </c>
      <c r="Z133" s="82"/>
      <c r="AA133" s="82"/>
      <c r="AC133" s="9">
        <f>$Y133*(Voorblad!$K$44*(1+Voorblad!$K$44)^Voorblad!$K$41)/((1+Voorblad!$K$44)^Voorblad!$K$41-1)</f>
        <v>387.4480059184657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9270.0708162699048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4419.4384527662669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193</v>
      </c>
      <c r="K134" s="14" t="s">
        <v>210</v>
      </c>
      <c r="O134" s="1" t="s">
        <v>187</v>
      </c>
      <c r="P134" s="1" t="s">
        <v>182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193</v>
      </c>
      <c r="K135" s="14" t="s">
        <v>208</v>
      </c>
      <c r="O135" s="1" t="s">
        <v>187</v>
      </c>
      <c r="P135" s="1" t="s">
        <v>183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184</v>
      </c>
      <c r="Q136" s="83">
        <f>2*(16.3+16.38)</f>
        <v>65.36</v>
      </c>
      <c r="R136" s="147" t="s">
        <v>196</v>
      </c>
      <c r="S136" s="14">
        <f>$H$10*500</f>
        <v>1190</v>
      </c>
      <c r="T136" s="9">
        <f t="shared" si="104"/>
        <v>77778.399999999994</v>
      </c>
      <c r="U136" s="14">
        <v>50</v>
      </c>
      <c r="V136" s="14"/>
      <c r="Y136" s="9">
        <f>SUM(AE136:EB136)</f>
        <v>22629.019429652642</v>
      </c>
      <c r="Z136" s="82"/>
      <c r="AA136" s="82"/>
      <c r="AC136" s="9">
        <f>$Y136*(Voorblad!$K$44*(1+Voorblad!$K$44)^Voorblad!$K$41)/((1+Voorblad!$K$44)^Voorblad!$K$41-1)</f>
        <v>640.45892965207975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22629.019429652642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161</v>
      </c>
      <c r="O137" s="14" t="s">
        <v>214</v>
      </c>
      <c r="P137" s="14" t="s">
        <v>217</v>
      </c>
      <c r="Q137" s="84">
        <f>7.5%*2*(16.3+16.38)</f>
        <v>4.9020000000000001</v>
      </c>
      <c r="R137" s="14" t="s">
        <v>34</v>
      </c>
      <c r="S137" s="21">
        <f>$H$10*1000</f>
        <v>2380</v>
      </c>
      <c r="T137" s="21">
        <f t="shared" si="104"/>
        <v>11666.76</v>
      </c>
      <c r="U137" s="14">
        <v>50</v>
      </c>
      <c r="Y137" s="21">
        <f t="shared" ref="Y137" si="108">SUM(AE137:EB137)</f>
        <v>3394.3529144478971</v>
      </c>
      <c r="Z137" s="149"/>
      <c r="AA137" s="149"/>
      <c r="AC137" s="9">
        <f>$Y137*(Voorblad!$K$44*(1+Voorblad!$K$44)^Voorblad!$K$41)/((1+Voorblad!$K$44)^Voorblad!$K$41-1)</f>
        <v>96.068839447811996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3394.3529144478971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204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160</v>
      </c>
      <c r="P139" s="14" t="s">
        <v>194</v>
      </c>
      <c r="Q139" s="84">
        <f>((1*(16.3+16.38))+(1*(16.3+16.38)))</f>
        <v>65.36</v>
      </c>
      <c r="R139" s="1" t="s">
        <v>34</v>
      </c>
      <c r="S139" s="14">
        <f>$H$10*400</f>
        <v>952</v>
      </c>
      <c r="T139" s="9">
        <f t="shared" si="104"/>
        <v>62222.720000000001</v>
      </c>
      <c r="U139" s="14">
        <v>50</v>
      </c>
      <c r="V139" s="14"/>
      <c r="Y139" s="9">
        <f t="shared" si="107"/>
        <v>18103.215543722115</v>
      </c>
      <c r="Z139" s="82"/>
      <c r="AA139" s="82"/>
      <c r="AC139" s="9">
        <f>$Y139*(Voorblad!$K$44*(1+Voorblad!$K$44)^Voorblad!$K$41)/((1+Voorblad!$K$44)^Voorblad!$K$41-1)</f>
        <v>512.36714372166387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18103.215543722115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188</v>
      </c>
      <c r="P140" s="14" t="s">
        <v>194</v>
      </c>
      <c r="Q140" s="81">
        <v>0</v>
      </c>
      <c r="R140" s="1" t="s">
        <v>34</v>
      </c>
      <c r="S140" s="14">
        <f>$H$10*400</f>
        <v>952</v>
      </c>
      <c r="T140" s="1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192</v>
      </c>
      <c r="P141" s="14" t="s">
        <v>194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1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1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1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135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1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195</v>
      </c>
      <c r="Q146" s="83">
        <f>2*(16.3+16.38)</f>
        <v>65.36</v>
      </c>
      <c r="R146" s="147" t="s">
        <v>196</v>
      </c>
      <c r="S146" s="14">
        <f>$H$10*500</f>
        <v>1190</v>
      </c>
      <c r="T146" s="9">
        <f t="shared" si="104"/>
        <v>77778.399999999994</v>
      </c>
      <c r="U146" s="14">
        <v>50</v>
      </c>
      <c r="V146" s="14"/>
      <c r="Y146" s="9">
        <f>SUM(AE146:EB146)</f>
        <v>22629.019429652642</v>
      </c>
      <c r="Z146" s="82"/>
      <c r="AA146" s="82"/>
      <c r="AC146" s="227">
        <f>$Y146*(Voorblad!$K$44*(1+Voorblad!$K$44)^Voorblad!$K$41)/((1+Voorblad!$K$44)^Voorblad!$K$41-1)</f>
        <v>640.45892965207975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22629.019429652642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271</v>
      </c>
      <c r="C147" s="2"/>
      <c r="D147" s="22"/>
      <c r="N147" s="6"/>
      <c r="S147" s="14"/>
      <c r="U147" s="14"/>
      <c r="V147" s="14"/>
      <c r="Y147" s="23">
        <f>SUM(Y127:Y146)</f>
        <v>80445.11658651146</v>
      </c>
      <c r="Z147" s="24"/>
      <c r="AA147" s="23">
        <f>SUM(AA127:AA146)</f>
        <v>0</v>
      </c>
      <c r="AC147" s="9">
        <f>$Y147*(Voorblad!$K$44*(1+Voorblad!$K$44)^Voorblad!$K$41)/((1+Voorblad!$K$44)^Voorblad!$K$41-1)</f>
        <v>2276.8018483921005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9270.0708162699048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66755.607317475296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4419.4384527662669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230</v>
      </c>
      <c r="Q149" s="83">
        <f>(12.96*16.298)+(15.268*16.383)</f>
        <v>461.35772399999996</v>
      </c>
      <c r="R149" s="81" t="s">
        <v>35</v>
      </c>
      <c r="S149" s="81">
        <v>7860</v>
      </c>
      <c r="T149" s="21">
        <f>Q149*S149</f>
        <v>3626271.7106399997</v>
      </c>
      <c r="U149" s="11">
        <v>1</v>
      </c>
      <c r="V149" s="14">
        <f>Voorblad!F24+100</f>
        <v>2115</v>
      </c>
      <c r="W149" s="9">
        <f>Voorblad!K77</f>
        <v>2115</v>
      </c>
      <c r="X149" s="6"/>
      <c r="Y149" s="9">
        <f t="shared" si="21"/>
        <v>423139.97189409554</v>
      </c>
      <c r="Z149" s="82" t="s">
        <v>308</v>
      </c>
      <c r="AA149" s="82">
        <v>52</v>
      </c>
      <c r="AC149" s="9">
        <f>$Y149*(Voorblad!$K$44*(1+Voorblad!$K$44)^Voorblad!$K$41)/((1+Voorblad!$K$44)^Voorblad!$K$41-1)</f>
        <v>11975.939758891422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423139.97189409554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1</v>
      </c>
      <c r="HC149" s="8">
        <f>IF(HC$56-Voorblad!$F$41&gt;Voorblad!$K$41,0,IF($U149=0,0,IF($U149&lt;1,1/$U149,IF((HC$56-Voorblad!$F$41)/$U149-SUM($EE149:HB149)=1,1,0))))</f>
        <v>1</v>
      </c>
      <c r="HD149" s="8">
        <f>IF(HD$56-Voorblad!$F$41&gt;Voorblad!$K$41,0,IF($U149=0,0,IF($U149&lt;1,1/$U149,IF((HD$56-Voorblad!$F$41)/$U149-SUM($EE149:HC149)=1,1,0))))</f>
        <v>1</v>
      </c>
      <c r="HE149" s="8">
        <f>IF(HE$56-Voorblad!$F$41&gt;Voorblad!$K$41,0,IF($U149=0,0,IF($U149&lt;1,1/$U149,IF((HE$56-Voorblad!$F$41)/$U149-SUM($EE149:HD149)=1,1,0))))</f>
        <v>1</v>
      </c>
      <c r="HF149" s="8">
        <f>IF(HF$56-Voorblad!$F$41&gt;Voorblad!$K$41,0,IF($U149=0,0,IF($U149&lt;1,1/$U149,IF((HF$56-Voorblad!$F$41)/$U149-SUM($EE149:HE149)=1,1,0))))</f>
        <v>1</v>
      </c>
      <c r="HG149" s="8">
        <f>IF(HG$56-Voorblad!$F$41&gt;Voorblad!$K$41,0,IF($U149=0,0,IF($U149&lt;1,1/$U149,IF((HG$56-Voorblad!$F$41)/$U149-SUM($EE149:HF149)=1,1,0))))</f>
        <v>1</v>
      </c>
      <c r="HH149" s="8">
        <f>IF(HH$56-Voorblad!$F$41&gt;Voorblad!$K$41,0,IF($U149=0,0,IF($U149&lt;1,1/$U149,IF((HH$56-Voorblad!$F$41)/$U149-SUM($EE149:HG149)=1,1,0))))</f>
        <v>1</v>
      </c>
      <c r="HI149" s="8">
        <f>IF(HI$56-Voorblad!$F$41&gt;Voorblad!$K$41,0,IF($U149=0,0,IF($U149&lt;1,1/$U149,IF((HI$56-Voorblad!$F$41)/$U149-SUM($EE149:HH149)=1,1,0))))</f>
        <v>1</v>
      </c>
      <c r="HJ149" s="8">
        <f>IF(HJ$56-Voorblad!$F$41&gt;Voorblad!$K$41,0,IF($U149=0,0,IF($U149&lt;1,1/$U149,IF((HJ$56-Voorblad!$F$41)/$U149-SUM($EE149:HI149)=1,1,0))))</f>
        <v>1</v>
      </c>
      <c r="HK149" s="8">
        <f>IF(HK$56-Voorblad!$F$41&gt;Voorblad!$K$41,0,IF($U149=0,0,IF($U149&lt;1,1/$U149,IF((HK$56-Voorblad!$F$41)/$U149-SUM($EE149:HJ149)=1,1,0))))</f>
        <v>1</v>
      </c>
      <c r="HL149" s="8">
        <f>IF(HL$56-Voorblad!$F$41&gt;Voorblad!$K$41,0,IF($U149=0,0,IF($U149&lt;1,1/$U149,IF((HL$56-Voorblad!$F$41)/$U149-SUM($EE149:HK149)=1,1,0))))</f>
        <v>1</v>
      </c>
      <c r="HM149" s="8">
        <f>IF(HM$56-Voorblad!$F$41&gt;Voorblad!$K$41,0,IF($U149=0,0,IF($U149&lt;1,1/$U149,IF((HM$56-Voorblad!$F$41)/$U149-SUM($EE149:HL149)=1,1,0))))</f>
        <v>1</v>
      </c>
      <c r="HN149" s="8">
        <f>IF(HN$56-Voorblad!$F$41&gt;Voorblad!$K$41,0,IF($U149=0,0,IF($U149&lt;1,1/$U149,IF((HN$56-Voorblad!$F$41)/$U149-SUM($EE149:HM149)=1,1,0))))</f>
        <v>1</v>
      </c>
      <c r="HO149" s="8">
        <f>IF(HO$56-Voorblad!$F$41&gt;Voorblad!$K$41,0,IF($U149=0,0,IF($U149&lt;1,1/$U149,IF((HO$56-Voorblad!$F$41)/$U149-SUM($EE149:HN149)=1,1,0))))</f>
        <v>1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1</v>
      </c>
      <c r="HC150" s="8">
        <f>IF(HC$56-Voorblad!$F$41&gt;Voorblad!$K$41,0,IF($U150=0,0,IF($U150&lt;1,1/$U150,IF((HC$56-Voorblad!$F$41)/$U150-SUM($EE150:HB150)=1,1,0))))</f>
        <v>1</v>
      </c>
      <c r="HD150" s="8">
        <f>IF(HD$56-Voorblad!$F$41&gt;Voorblad!$K$41,0,IF($U150=0,0,IF($U150&lt;1,1/$U150,IF((HD$56-Voorblad!$F$41)/$U150-SUM($EE150:HC150)=1,1,0))))</f>
        <v>1</v>
      </c>
      <c r="HE150" s="8">
        <f>IF(HE$56-Voorblad!$F$41&gt;Voorblad!$K$41,0,IF($U150=0,0,IF($U150&lt;1,1/$U150,IF((HE$56-Voorblad!$F$41)/$U150-SUM($EE150:HD150)=1,1,0))))</f>
        <v>1</v>
      </c>
      <c r="HF150" s="8">
        <f>IF(HF$56-Voorblad!$F$41&gt;Voorblad!$K$41,0,IF($U150=0,0,IF($U150&lt;1,1/$U150,IF((HF$56-Voorblad!$F$41)/$U150-SUM($EE150:HE150)=1,1,0))))</f>
        <v>1</v>
      </c>
      <c r="HG150" s="8">
        <f>IF(HG$56-Voorblad!$F$41&gt;Voorblad!$K$41,0,IF($U150=0,0,IF($U150&lt;1,1/$U150,IF((HG$56-Voorblad!$F$41)/$U150-SUM($EE150:HF150)=1,1,0))))</f>
        <v>1</v>
      </c>
      <c r="HH150" s="8">
        <f>IF(HH$56-Voorblad!$F$41&gt;Voorblad!$K$41,0,IF($U150=0,0,IF($U150&lt;1,1/$U150,IF((HH$56-Voorblad!$F$41)/$U150-SUM($EE150:HG150)=1,1,0))))</f>
        <v>1</v>
      </c>
      <c r="HI150" s="8">
        <f>IF(HI$56-Voorblad!$F$41&gt;Voorblad!$K$41,0,IF($U150=0,0,IF($U150&lt;1,1/$U150,IF((HI$56-Voorblad!$F$41)/$U150-SUM($EE150:HH150)=1,1,0))))</f>
        <v>1</v>
      </c>
      <c r="HJ150" s="8">
        <f>IF(HJ$56-Voorblad!$F$41&gt;Voorblad!$K$41,0,IF($U150=0,0,IF($U150&lt;1,1/$U150,IF((HJ$56-Voorblad!$F$41)/$U150-SUM($EE150:HI150)=1,1,0))))</f>
        <v>1</v>
      </c>
      <c r="HK150" s="8">
        <f>IF(HK$56-Voorblad!$F$41&gt;Voorblad!$K$41,0,IF($U150=0,0,IF($U150&lt;1,1/$U150,IF((HK$56-Voorblad!$F$41)/$U150-SUM($EE150:HJ150)=1,1,0))))</f>
        <v>1</v>
      </c>
      <c r="HL150" s="8">
        <f>IF(HL$56-Voorblad!$F$41&gt;Voorblad!$K$41,0,IF($U150=0,0,IF($U150&lt;1,1/$U150,IF((HL$56-Voorblad!$F$41)/$U150-SUM($EE150:HK150)=1,1,0))))</f>
        <v>1</v>
      </c>
      <c r="HM150" s="8">
        <f>IF(HM$56-Voorblad!$F$41&gt;Voorblad!$K$41,0,IF($U150=0,0,IF($U150&lt;1,1/$U150,IF((HM$56-Voorblad!$F$41)/$U150-SUM($EE150:HL150)=1,1,0))))</f>
        <v>1</v>
      </c>
      <c r="HN150" s="8">
        <f>IF(HN$56-Voorblad!$F$41&gt;Voorblad!$K$41,0,IF($U150=0,0,IF($U150&lt;1,1/$U150,IF((HN$56-Voorblad!$F$41)/$U150-SUM($EE150:HM150)=1,1,0))))</f>
        <v>1</v>
      </c>
      <c r="HO150" s="8">
        <f>IF(HO$56-Voorblad!$F$41&gt;Voorblad!$K$41,0,IF($U150=0,0,IF($U150&lt;1,1/$U150,IF((HO$56-Voorblad!$F$41)/$U150-SUM($EE150:HN150)=1,1,0))))</f>
        <v>1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72525.434212799999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1</v>
      </c>
      <c r="HC151" s="8">
        <f>IF(HC$56-Voorblad!$F$41&gt;Voorblad!$K$41,0,IF($U151=0,0,IF($U151&lt;1,1/$U151,IF((HC$56-Voorblad!$F$41)/$U151-SUM($EE151:HB151)=1,1,0))))</f>
        <v>1</v>
      </c>
      <c r="HD151" s="8">
        <f>IF(HD$56-Voorblad!$F$41&gt;Voorblad!$K$41,0,IF($U151=0,0,IF($U151&lt;1,1/$U151,IF((HD$56-Voorblad!$F$41)/$U151-SUM($EE151:HC151)=1,1,0))))</f>
        <v>1</v>
      </c>
      <c r="HE151" s="8">
        <f>IF(HE$56-Voorblad!$F$41&gt;Voorblad!$K$41,0,IF($U151=0,0,IF($U151&lt;1,1/$U151,IF((HE$56-Voorblad!$F$41)/$U151-SUM($EE151:HD151)=1,1,0))))</f>
        <v>1</v>
      </c>
      <c r="HF151" s="8">
        <f>IF(HF$56-Voorblad!$F$41&gt;Voorblad!$K$41,0,IF($U151=0,0,IF($U151&lt;1,1/$U151,IF((HF$56-Voorblad!$F$41)/$U151-SUM($EE151:HE151)=1,1,0))))</f>
        <v>1</v>
      </c>
      <c r="HG151" s="8">
        <f>IF(HG$56-Voorblad!$F$41&gt;Voorblad!$K$41,0,IF($U151=0,0,IF($U151&lt;1,1/$U151,IF((HG$56-Voorblad!$F$41)/$U151-SUM($EE151:HF151)=1,1,0))))</f>
        <v>1</v>
      </c>
      <c r="HH151" s="8">
        <f>IF(HH$56-Voorblad!$F$41&gt;Voorblad!$K$41,0,IF($U151=0,0,IF($U151&lt;1,1/$U151,IF((HH$56-Voorblad!$F$41)/$U151-SUM($EE151:HG151)=1,1,0))))</f>
        <v>1</v>
      </c>
      <c r="HI151" s="8">
        <f>IF(HI$56-Voorblad!$F$41&gt;Voorblad!$K$41,0,IF($U151=0,0,IF($U151&lt;1,1/$U151,IF((HI$56-Voorblad!$F$41)/$U151-SUM($EE151:HH151)=1,1,0))))</f>
        <v>1</v>
      </c>
      <c r="HJ151" s="8">
        <f>IF(HJ$56-Voorblad!$F$41&gt;Voorblad!$K$41,0,IF($U151=0,0,IF($U151&lt;1,1/$U151,IF((HJ$56-Voorblad!$F$41)/$U151-SUM($EE151:HI151)=1,1,0))))</f>
        <v>1</v>
      </c>
      <c r="HK151" s="8">
        <f>IF(HK$56-Voorblad!$F$41&gt;Voorblad!$K$41,0,IF($U151=0,0,IF($U151&lt;1,1/$U151,IF((HK$56-Voorblad!$F$41)/$U151-SUM($EE151:HJ151)=1,1,0))))</f>
        <v>1</v>
      </c>
      <c r="HL151" s="8">
        <f>IF(HL$56-Voorblad!$F$41&gt;Voorblad!$K$41,0,IF($U151=0,0,IF($U151&lt;1,1/$U151,IF((HL$56-Voorblad!$F$41)/$U151-SUM($EE151:HK151)=1,1,0))))</f>
        <v>1</v>
      </c>
      <c r="HM151" s="8">
        <f>IF(HM$56-Voorblad!$F$41&gt;Voorblad!$K$41,0,IF($U151=0,0,IF($U151&lt;1,1/$U151,IF((HM$56-Voorblad!$F$41)/$U151-SUM($EE151:HL151)=1,1,0))))</f>
        <v>1</v>
      </c>
      <c r="HN151" s="8">
        <f>IF(HN$56-Voorblad!$F$41&gt;Voorblad!$K$41,0,IF($U151=0,0,IF($U151&lt;1,1/$U151,IF((HN$56-Voorblad!$F$41)/$U151-SUM($EE151:HM151)=1,1,0))))</f>
        <v>1</v>
      </c>
      <c r="HO151" s="8">
        <f>IF(HO$56-Voorblad!$F$41&gt;Voorblad!$K$41,0,IF($U151=0,0,IF($U151&lt;1,1/$U151,IF((HO$56-Voorblad!$F$41)/$U151-SUM($EE151:HN151)=1,1,0))))</f>
        <v>1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145050.8684256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1</v>
      </c>
      <c r="HC152" s="8">
        <f>IF(HC$56-Voorblad!$F$41&gt;Voorblad!$K$41,0,IF($U152=0,0,IF($U152&lt;1,1/$U152,IF((HC$56-Voorblad!$F$41)/$U152-SUM($EE152:HB152)=1,1,0))))</f>
        <v>1</v>
      </c>
      <c r="HD152" s="8">
        <f>IF(HD$56-Voorblad!$F$41&gt;Voorblad!$K$41,0,IF($U152=0,0,IF($U152&lt;1,1/$U152,IF((HD$56-Voorblad!$F$41)/$U152-SUM($EE152:HC152)=1,1,0))))</f>
        <v>1</v>
      </c>
      <c r="HE152" s="8">
        <f>IF(HE$56-Voorblad!$F$41&gt;Voorblad!$K$41,0,IF($U152=0,0,IF($U152&lt;1,1/$U152,IF((HE$56-Voorblad!$F$41)/$U152-SUM($EE152:HD152)=1,1,0))))</f>
        <v>1</v>
      </c>
      <c r="HF152" s="8">
        <f>IF(HF$56-Voorblad!$F$41&gt;Voorblad!$K$41,0,IF($U152=0,0,IF($U152&lt;1,1/$U152,IF((HF$56-Voorblad!$F$41)/$U152-SUM($EE152:HE152)=1,1,0))))</f>
        <v>1</v>
      </c>
      <c r="HG152" s="8">
        <f>IF(HG$56-Voorblad!$F$41&gt;Voorblad!$K$41,0,IF($U152=0,0,IF($U152&lt;1,1/$U152,IF((HG$56-Voorblad!$F$41)/$U152-SUM($EE152:HF152)=1,1,0))))</f>
        <v>1</v>
      </c>
      <c r="HH152" s="8">
        <f>IF(HH$56-Voorblad!$F$41&gt;Voorblad!$K$41,0,IF($U152=0,0,IF($U152&lt;1,1/$U152,IF((HH$56-Voorblad!$F$41)/$U152-SUM($EE152:HG152)=1,1,0))))</f>
        <v>1</v>
      </c>
      <c r="HI152" s="8">
        <f>IF(HI$56-Voorblad!$F$41&gt;Voorblad!$K$41,0,IF($U152=0,0,IF($U152&lt;1,1/$U152,IF((HI$56-Voorblad!$F$41)/$U152-SUM($EE152:HH152)=1,1,0))))</f>
        <v>1</v>
      </c>
      <c r="HJ152" s="8">
        <f>IF(HJ$56-Voorblad!$F$41&gt;Voorblad!$K$41,0,IF($U152=0,0,IF($U152&lt;1,1/$U152,IF((HJ$56-Voorblad!$F$41)/$U152-SUM($EE152:HI152)=1,1,0))))</f>
        <v>1</v>
      </c>
      <c r="HK152" s="8">
        <f>IF(HK$56-Voorblad!$F$41&gt;Voorblad!$K$41,0,IF($U152=0,0,IF($U152&lt;1,1/$U152,IF((HK$56-Voorblad!$F$41)/$U152-SUM($EE152:HJ152)=1,1,0))))</f>
        <v>1</v>
      </c>
      <c r="HL152" s="8">
        <f>IF(HL$56-Voorblad!$F$41&gt;Voorblad!$K$41,0,IF($U152=0,0,IF($U152&lt;1,1/$U152,IF((HL$56-Voorblad!$F$41)/$U152-SUM($EE152:HK152)=1,1,0))))</f>
        <v>1</v>
      </c>
      <c r="HM152" s="8">
        <f>IF(HM$56-Voorblad!$F$41&gt;Voorblad!$K$41,0,IF($U152=0,0,IF($U152&lt;1,1/$U152,IF((HM$56-Voorblad!$F$41)/$U152-SUM($EE152:HL152)=1,1,0))))</f>
        <v>1</v>
      </c>
      <c r="HN152" s="8">
        <f>IF(HN$56-Voorblad!$F$41&gt;Voorblad!$K$41,0,IF($U152=0,0,IF($U152&lt;1,1/$U152,IF((HN$56-Voorblad!$F$41)/$U152-SUM($EE152:HM152)=1,1,0))))</f>
        <v>1</v>
      </c>
      <c r="HO152" s="8">
        <f>IF(HO$56-Voorblad!$F$41&gt;Voorblad!$K$41,0,IF($U152=0,0,IF($U152&lt;1,1/$U152,IF((HO$56-Voorblad!$F$41)/$U152-SUM($EE152:HN152)=1,1,0))))</f>
        <v>1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253839.0197448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7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1</v>
      </c>
      <c r="HC153" s="8">
        <f>IF(HC$56-Voorblad!$F$41&gt;Voorblad!$K$41,0,IF($U153=0,0,IF($U153&lt;1,1/$U153,IF((HC$56-Voorblad!$F$41)/$U153-SUM($EE153:HB153)=1,1,0))))</f>
        <v>1</v>
      </c>
      <c r="HD153" s="8">
        <f>IF(HD$56-Voorblad!$F$41&gt;Voorblad!$K$41,0,IF($U153=0,0,IF($U153&lt;1,1/$U153,IF((HD$56-Voorblad!$F$41)/$U153-SUM($EE153:HC153)=1,1,0))))</f>
        <v>1</v>
      </c>
      <c r="HE153" s="8">
        <f>IF(HE$56-Voorblad!$F$41&gt;Voorblad!$K$41,0,IF($U153=0,0,IF($U153&lt;1,1/$U153,IF((HE$56-Voorblad!$F$41)/$U153-SUM($EE153:HD153)=1,1,0))))</f>
        <v>1</v>
      </c>
      <c r="HF153" s="8">
        <f>IF(HF$56-Voorblad!$F$41&gt;Voorblad!$K$41,0,IF($U153=0,0,IF($U153&lt;1,1/$U153,IF((HF$56-Voorblad!$F$41)/$U153-SUM($EE153:HE153)=1,1,0))))</f>
        <v>1</v>
      </c>
      <c r="HG153" s="8">
        <f>IF(HG$56-Voorblad!$F$41&gt;Voorblad!$K$41,0,IF($U153=0,0,IF($U153&lt;1,1/$U153,IF((HG$56-Voorblad!$F$41)/$U153-SUM($EE153:HF153)=1,1,0))))</f>
        <v>1</v>
      </c>
      <c r="HH153" s="8">
        <f>IF(HH$56-Voorblad!$F$41&gt;Voorblad!$K$41,0,IF($U153=0,0,IF($U153&lt;1,1/$U153,IF((HH$56-Voorblad!$F$41)/$U153-SUM($EE153:HG153)=1,1,0))))</f>
        <v>1</v>
      </c>
      <c r="HI153" s="8">
        <f>IF(HI$56-Voorblad!$F$41&gt;Voorblad!$K$41,0,IF($U153=0,0,IF($U153&lt;1,1/$U153,IF((HI$56-Voorblad!$F$41)/$U153-SUM($EE153:HH153)=1,1,0))))</f>
        <v>1</v>
      </c>
      <c r="HJ153" s="8">
        <f>IF(HJ$56-Voorblad!$F$41&gt;Voorblad!$K$41,0,IF($U153=0,0,IF($U153&lt;1,1/$U153,IF((HJ$56-Voorblad!$F$41)/$U153-SUM($EE153:HI153)=1,1,0))))</f>
        <v>1</v>
      </c>
      <c r="HK153" s="8">
        <f>IF(HK$56-Voorblad!$F$41&gt;Voorblad!$K$41,0,IF($U153=0,0,IF($U153&lt;1,1/$U153,IF((HK$56-Voorblad!$F$41)/$U153-SUM($EE153:HJ153)=1,1,0))))</f>
        <v>1</v>
      </c>
      <c r="HL153" s="8">
        <f>IF(HL$56-Voorblad!$F$41&gt;Voorblad!$K$41,0,IF($U153=0,0,IF($U153&lt;1,1/$U153,IF((HL$56-Voorblad!$F$41)/$U153-SUM($EE153:HK153)=1,1,0))))</f>
        <v>1</v>
      </c>
      <c r="HM153" s="8">
        <f>IF(HM$56-Voorblad!$F$41&gt;Voorblad!$K$41,0,IF($U153=0,0,IF($U153&lt;1,1/$U153,IF((HM$56-Voorblad!$F$41)/$U153-SUM($EE153:HL153)=1,1,0))))</f>
        <v>1</v>
      </c>
      <c r="HN153" s="8">
        <f>IF(HN$56-Voorblad!$F$41&gt;Voorblad!$K$41,0,IF($U153=0,0,IF($U153&lt;1,1/$U153,IF((HN$56-Voorblad!$F$41)/$U153-SUM($EE153:HM153)=1,1,0))))</f>
        <v>1</v>
      </c>
      <c r="HO153" s="8">
        <f>IF(HO$56-Voorblad!$F$41&gt;Voorblad!$K$41,0,IF($U153=0,0,IF($U153&lt;1,1/$U153,IF((HO$56-Voorblad!$F$41)/$U153-SUM($EE153:HN153)=1,1,0))))</f>
        <v>1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272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3626271.7106399997</v>
      </c>
      <c r="U154" s="14"/>
      <c r="V154" s="14"/>
      <c r="W154" s="14"/>
      <c r="X154" s="6"/>
      <c r="Y154" s="23">
        <f>SUM(Y149:Y153)</f>
        <v>423139.97189409554</v>
      </c>
      <c r="Z154" s="24"/>
      <c r="AA154" s="23">
        <f>SUM(AA149:AA153)</f>
        <v>52</v>
      </c>
      <c r="AC154" s="9">
        <f>$Y154*(Voorblad!$K$44*(1+Voorblad!$K$44)^Voorblad!$K$41)/((1+Voorblad!$K$44)^Voorblad!$K$41-1)</f>
        <v>11975.939758891422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277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1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1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1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278</v>
      </c>
      <c r="K159" s="1" t="s">
        <v>110</v>
      </c>
      <c r="O159" s="1" t="s">
        <v>134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1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278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1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278</v>
      </c>
      <c r="K161" s="1" t="s">
        <v>145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2</v>
      </c>
      <c r="HC161" s="8">
        <f>IF(HC$56-Voorblad!$F$41&gt;Voorblad!$K$41,0,IF($U161=0,0,IF($U161&lt;1,1/$U161,IF((HC$56-Voorblad!$F$41)/$U161-SUM($EE161:HB161)=1,1,0))))</f>
        <v>2</v>
      </c>
      <c r="HD161" s="8">
        <f>IF(HD$56-Voorblad!$F$41&gt;Voorblad!$K$41,0,IF($U161=0,0,IF($U161&lt;1,1/$U161,IF((HD$56-Voorblad!$F$41)/$U161-SUM($EE161:HC161)=1,1,0))))</f>
        <v>2</v>
      </c>
      <c r="HE161" s="8">
        <f>IF(HE$56-Voorblad!$F$41&gt;Voorblad!$K$41,0,IF($U161=0,0,IF($U161&lt;1,1/$U161,IF((HE$56-Voorblad!$F$41)/$U161-SUM($EE161:HD161)=1,1,0))))</f>
        <v>2</v>
      </c>
      <c r="HF161" s="8">
        <f>IF(HF$56-Voorblad!$F$41&gt;Voorblad!$K$41,0,IF($U161=0,0,IF($U161&lt;1,1/$U161,IF((HF$56-Voorblad!$F$41)/$U161-SUM($EE161:HE161)=1,1,0))))</f>
        <v>2</v>
      </c>
      <c r="HG161" s="8">
        <f>IF(HG$56-Voorblad!$F$41&gt;Voorblad!$K$41,0,IF($U161=0,0,IF($U161&lt;1,1/$U161,IF((HG$56-Voorblad!$F$41)/$U161-SUM($EE161:HF161)=1,1,0))))</f>
        <v>2</v>
      </c>
      <c r="HH161" s="8">
        <f>IF(HH$56-Voorblad!$F$41&gt;Voorblad!$K$41,0,IF($U161=0,0,IF($U161&lt;1,1/$U161,IF((HH$56-Voorblad!$F$41)/$U161-SUM($EE161:HG161)=1,1,0))))</f>
        <v>2</v>
      </c>
      <c r="HI161" s="8">
        <f>IF(HI$56-Voorblad!$F$41&gt;Voorblad!$K$41,0,IF($U161=0,0,IF($U161&lt;1,1/$U161,IF((HI$56-Voorblad!$F$41)/$U161-SUM($EE161:HH161)=1,1,0))))</f>
        <v>2</v>
      </c>
      <c r="HJ161" s="8">
        <f>IF(HJ$56-Voorblad!$F$41&gt;Voorblad!$K$41,0,IF($U161=0,0,IF($U161&lt;1,1/$U161,IF((HJ$56-Voorblad!$F$41)/$U161-SUM($EE161:HI161)=1,1,0))))</f>
        <v>2</v>
      </c>
      <c r="HK161" s="8">
        <f>IF(HK$56-Voorblad!$F$41&gt;Voorblad!$K$41,0,IF($U161=0,0,IF($U161&lt;1,1/$U161,IF((HK$56-Voorblad!$F$41)/$U161-SUM($EE161:HJ161)=1,1,0))))</f>
        <v>2</v>
      </c>
      <c r="HL161" s="8">
        <f>IF(HL$56-Voorblad!$F$41&gt;Voorblad!$K$41,0,IF($U161=0,0,IF($U161&lt;1,1/$U161,IF((HL$56-Voorblad!$F$41)/$U161-SUM($EE161:HK161)=1,1,0))))</f>
        <v>2</v>
      </c>
      <c r="HM161" s="8">
        <f>IF(HM$56-Voorblad!$F$41&gt;Voorblad!$K$41,0,IF($U161=0,0,IF($U161&lt;1,1/$U161,IF((HM$56-Voorblad!$F$41)/$U161-SUM($EE161:HL161)=1,1,0))))</f>
        <v>2</v>
      </c>
      <c r="HN161" s="8">
        <f>IF(HN$56-Voorblad!$F$41&gt;Voorblad!$K$41,0,IF($U161=0,0,IF($U161&lt;1,1/$U161,IF((HN$56-Voorblad!$F$41)/$U161-SUM($EE161:HM161)=1,1,0))))</f>
        <v>2</v>
      </c>
      <c r="HO161" s="8">
        <f>IF(HO$56-Voorblad!$F$41&gt;Voorblad!$K$41,0,IF($U161=0,0,IF($U161&lt;1,1/$U161,IF((HO$56-Voorblad!$F$41)/$U161-SUM($EE161:HN161)=1,1,0))))</f>
        <v>2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278</v>
      </c>
      <c r="K162" s="1" t="s">
        <v>215</v>
      </c>
      <c r="P162" s="1" t="s">
        <v>184</v>
      </c>
      <c r="Q162" s="83">
        <v>0</v>
      </c>
      <c r="R162" s="147" t="s">
        <v>196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1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278</v>
      </c>
      <c r="K163" s="14" t="s">
        <v>162</v>
      </c>
      <c r="O163" s="14" t="s">
        <v>158</v>
      </c>
      <c r="P163" s="14" t="s">
        <v>199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1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278</v>
      </c>
      <c r="K164" s="14" t="s">
        <v>197</v>
      </c>
      <c r="L164" s="14"/>
      <c r="M164" s="14"/>
      <c r="O164" s="1" t="s">
        <v>171</v>
      </c>
      <c r="P164" s="1" t="s">
        <v>174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1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278</v>
      </c>
      <c r="K165" s="14" t="s">
        <v>198</v>
      </c>
      <c r="L165" s="14"/>
      <c r="M165" s="14"/>
      <c r="O165" s="1" t="s">
        <v>172</v>
      </c>
      <c r="P165" s="1" t="s">
        <v>175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1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278</v>
      </c>
      <c r="K166" s="14" t="s">
        <v>211</v>
      </c>
      <c r="L166" s="14"/>
      <c r="M166" s="14"/>
      <c r="O166" s="1" t="s">
        <v>172</v>
      </c>
      <c r="P166" s="1" t="s">
        <v>175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1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278</v>
      </c>
      <c r="K167" s="14" t="s">
        <v>189</v>
      </c>
      <c r="L167" s="14"/>
      <c r="M167" s="14"/>
      <c r="O167" s="1" t="s">
        <v>173</v>
      </c>
      <c r="P167" s="1" t="s">
        <v>176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1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278</v>
      </c>
      <c r="K168" s="14" t="s">
        <v>205</v>
      </c>
      <c r="L168" s="14"/>
      <c r="M168" s="14"/>
      <c r="O168" s="1" t="s">
        <v>178</v>
      </c>
      <c r="P168" s="1" t="s">
        <v>180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1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278</v>
      </c>
      <c r="K169" s="14" t="s">
        <v>201</v>
      </c>
      <c r="L169" s="14"/>
      <c r="M169" s="14"/>
      <c r="O169" s="1" t="s">
        <v>178</v>
      </c>
      <c r="P169" s="1" t="s">
        <v>181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1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278</v>
      </c>
      <c r="K170" s="14" t="s">
        <v>200</v>
      </c>
      <c r="L170" s="14"/>
      <c r="M170" s="14"/>
      <c r="O170" s="1" t="s">
        <v>178</v>
      </c>
      <c r="P170" s="1" t="s">
        <v>182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1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278</v>
      </c>
      <c r="K171" s="14" t="s">
        <v>207</v>
      </c>
      <c r="L171" s="14"/>
      <c r="M171" s="14"/>
      <c r="O171" s="1" t="s">
        <v>178</v>
      </c>
      <c r="P171" s="1" t="s">
        <v>183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7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1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270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193</v>
      </c>
      <c r="K174" s="14" t="s">
        <v>213</v>
      </c>
      <c r="O174" s="1" t="s">
        <v>187</v>
      </c>
      <c r="P174" s="1" t="s">
        <v>180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193</v>
      </c>
      <c r="K175" s="1" t="s">
        <v>209</v>
      </c>
      <c r="O175" s="1" t="s">
        <v>187</v>
      </c>
      <c r="P175" s="1" t="s">
        <v>181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193</v>
      </c>
      <c r="K176" s="14" t="s">
        <v>210</v>
      </c>
      <c r="O176" s="1" t="s">
        <v>187</v>
      </c>
      <c r="P176" s="1" t="s">
        <v>182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193</v>
      </c>
      <c r="K177" s="14" t="s">
        <v>208</v>
      </c>
      <c r="O177" s="1" t="s">
        <v>187</v>
      </c>
      <c r="P177" s="1" t="s">
        <v>183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184</v>
      </c>
      <c r="Q178" s="83">
        <v>0</v>
      </c>
      <c r="R178" s="147" t="s">
        <v>196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161</v>
      </c>
      <c r="O179" s="14" t="s">
        <v>214</v>
      </c>
      <c r="P179" s="14" t="s">
        <v>217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204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216</v>
      </c>
      <c r="P181" s="14" t="s">
        <v>194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163</v>
      </c>
      <c r="P182" s="14" t="s">
        <v>194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192</v>
      </c>
      <c r="P183" s="14" t="s">
        <v>194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195</v>
      </c>
      <c r="Q184" s="81">
        <v>0</v>
      </c>
      <c r="R184" s="147" t="s">
        <v>196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7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271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2115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1</v>
      </c>
      <c r="HC187" s="8">
        <f>IF(HC$56-Voorblad!$F$41&gt;Voorblad!$K$41,0,IF($U187=0,0,IF($U187&lt;1,1/$U187,IF((HC$56-Voorblad!$F$41)/$U187-SUM($EE187:HB187)=1,1,0))))</f>
        <v>1</v>
      </c>
      <c r="HD187" s="8">
        <f>IF(HD$56-Voorblad!$F$41&gt;Voorblad!$K$41,0,IF($U187=0,0,IF($U187&lt;1,1/$U187,IF((HD$56-Voorblad!$F$41)/$U187-SUM($EE187:HC187)=1,1,0))))</f>
        <v>1</v>
      </c>
      <c r="HE187" s="8">
        <f>IF(HE$56-Voorblad!$F$41&gt;Voorblad!$K$41,0,IF($U187=0,0,IF($U187&lt;1,1/$U187,IF((HE$56-Voorblad!$F$41)/$U187-SUM($EE187:HD187)=1,1,0))))</f>
        <v>1</v>
      </c>
      <c r="HF187" s="8">
        <f>IF(HF$56-Voorblad!$F$41&gt;Voorblad!$K$41,0,IF($U187=0,0,IF($U187&lt;1,1/$U187,IF((HF$56-Voorblad!$F$41)/$U187-SUM($EE187:HE187)=1,1,0))))</f>
        <v>1</v>
      </c>
      <c r="HG187" s="8">
        <f>IF(HG$56-Voorblad!$F$41&gt;Voorblad!$K$41,0,IF($U187=0,0,IF($U187&lt;1,1/$U187,IF((HG$56-Voorblad!$F$41)/$U187-SUM($EE187:HF187)=1,1,0))))</f>
        <v>1</v>
      </c>
      <c r="HH187" s="8">
        <f>IF(HH$56-Voorblad!$F$41&gt;Voorblad!$K$41,0,IF($U187=0,0,IF($U187&lt;1,1/$U187,IF((HH$56-Voorblad!$F$41)/$U187-SUM($EE187:HG187)=1,1,0))))</f>
        <v>1</v>
      </c>
      <c r="HI187" s="8">
        <f>IF(HI$56-Voorblad!$F$41&gt;Voorblad!$K$41,0,IF($U187=0,0,IF($U187&lt;1,1/$U187,IF((HI$56-Voorblad!$F$41)/$U187-SUM($EE187:HH187)=1,1,0))))</f>
        <v>1</v>
      </c>
      <c r="HJ187" s="8">
        <f>IF(HJ$56-Voorblad!$F$41&gt;Voorblad!$K$41,0,IF($U187=0,0,IF($U187&lt;1,1/$U187,IF((HJ$56-Voorblad!$F$41)/$U187-SUM($EE187:HI187)=1,1,0))))</f>
        <v>1</v>
      </c>
      <c r="HK187" s="8">
        <f>IF(HK$56-Voorblad!$F$41&gt;Voorblad!$K$41,0,IF($U187=0,0,IF($U187&lt;1,1/$U187,IF((HK$56-Voorblad!$F$41)/$U187-SUM($EE187:HJ187)=1,1,0))))</f>
        <v>1</v>
      </c>
      <c r="HL187" s="8">
        <f>IF(HL$56-Voorblad!$F$41&gt;Voorblad!$K$41,0,IF($U187=0,0,IF($U187&lt;1,1/$U187,IF((HL$56-Voorblad!$F$41)/$U187-SUM($EE187:HK187)=1,1,0))))</f>
        <v>1</v>
      </c>
      <c r="HM187" s="8">
        <f>IF(HM$56-Voorblad!$F$41&gt;Voorblad!$K$41,0,IF($U187=0,0,IF($U187&lt;1,1/$U187,IF((HM$56-Voorblad!$F$41)/$U187-SUM($EE187:HL187)=1,1,0))))</f>
        <v>1</v>
      </c>
      <c r="HN187" s="8">
        <f>IF(HN$56-Voorblad!$F$41&gt;Voorblad!$K$41,0,IF($U187=0,0,IF($U187&lt;1,1/$U187,IF((HN$56-Voorblad!$F$41)/$U187-SUM($EE187:HM187)=1,1,0))))</f>
        <v>1</v>
      </c>
      <c r="HO187" s="8">
        <f>IF(HO$56-Voorblad!$F$41&gt;Voorblad!$K$41,0,IF($U187=0,0,IF($U187&lt;1,1/$U187,IF((HO$56-Voorblad!$F$41)/$U187-SUM($EE187:HN187)=1,1,0))))</f>
        <v>1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1</v>
      </c>
      <c r="HC188" s="8">
        <f>IF(HC$56-Voorblad!$F$41&gt;Voorblad!$K$41,0,IF($U188=0,0,IF($U188&lt;1,1/$U188,IF((HC$56-Voorblad!$F$41)/$U188-SUM($EE188:HB188)=1,1,0))))</f>
        <v>1</v>
      </c>
      <c r="HD188" s="8">
        <f>IF(HD$56-Voorblad!$F$41&gt;Voorblad!$K$41,0,IF($U188=0,0,IF($U188&lt;1,1/$U188,IF((HD$56-Voorblad!$F$41)/$U188-SUM($EE188:HC188)=1,1,0))))</f>
        <v>1</v>
      </c>
      <c r="HE188" s="8">
        <f>IF(HE$56-Voorblad!$F$41&gt;Voorblad!$K$41,0,IF($U188=0,0,IF($U188&lt;1,1/$U188,IF((HE$56-Voorblad!$F$41)/$U188-SUM($EE188:HD188)=1,1,0))))</f>
        <v>1</v>
      </c>
      <c r="HF188" s="8">
        <f>IF(HF$56-Voorblad!$F$41&gt;Voorblad!$K$41,0,IF($U188=0,0,IF($U188&lt;1,1/$U188,IF((HF$56-Voorblad!$F$41)/$U188-SUM($EE188:HE188)=1,1,0))))</f>
        <v>1</v>
      </c>
      <c r="HG188" s="8">
        <f>IF(HG$56-Voorblad!$F$41&gt;Voorblad!$K$41,0,IF($U188=0,0,IF($U188&lt;1,1/$U188,IF((HG$56-Voorblad!$F$41)/$U188-SUM($EE188:HF188)=1,1,0))))</f>
        <v>1</v>
      </c>
      <c r="HH188" s="8">
        <f>IF(HH$56-Voorblad!$F$41&gt;Voorblad!$K$41,0,IF($U188=0,0,IF($U188&lt;1,1/$U188,IF((HH$56-Voorblad!$F$41)/$U188-SUM($EE188:HG188)=1,1,0))))</f>
        <v>1</v>
      </c>
      <c r="HI188" s="8">
        <f>IF(HI$56-Voorblad!$F$41&gt;Voorblad!$K$41,0,IF($U188=0,0,IF($U188&lt;1,1/$U188,IF((HI$56-Voorblad!$F$41)/$U188-SUM($EE188:HH188)=1,1,0))))</f>
        <v>1</v>
      </c>
      <c r="HJ188" s="8">
        <f>IF(HJ$56-Voorblad!$F$41&gt;Voorblad!$K$41,0,IF($U188=0,0,IF($U188&lt;1,1/$U188,IF((HJ$56-Voorblad!$F$41)/$U188-SUM($EE188:HI188)=1,1,0))))</f>
        <v>1</v>
      </c>
      <c r="HK188" s="8">
        <f>IF(HK$56-Voorblad!$F$41&gt;Voorblad!$K$41,0,IF($U188=0,0,IF($U188&lt;1,1/$U188,IF((HK$56-Voorblad!$F$41)/$U188-SUM($EE188:HJ188)=1,1,0))))</f>
        <v>1</v>
      </c>
      <c r="HL188" s="8">
        <f>IF(HL$56-Voorblad!$F$41&gt;Voorblad!$K$41,0,IF($U188=0,0,IF($U188&lt;1,1/$U188,IF((HL$56-Voorblad!$F$41)/$U188-SUM($EE188:HK188)=1,1,0))))</f>
        <v>1</v>
      </c>
      <c r="HM188" s="8">
        <f>IF(HM$56-Voorblad!$F$41&gt;Voorblad!$K$41,0,IF($U188=0,0,IF($U188&lt;1,1/$U188,IF((HM$56-Voorblad!$F$41)/$U188-SUM($EE188:HL188)=1,1,0))))</f>
        <v>1</v>
      </c>
      <c r="HN188" s="8">
        <f>IF(HN$56-Voorblad!$F$41&gt;Voorblad!$K$41,0,IF($U188=0,0,IF($U188&lt;1,1/$U188,IF((HN$56-Voorblad!$F$41)/$U188-SUM($EE188:HM188)=1,1,0))))</f>
        <v>1</v>
      </c>
      <c r="HO188" s="8">
        <f>IF(HO$56-Voorblad!$F$41&gt;Voorblad!$K$41,0,IF($U188=0,0,IF($U188&lt;1,1/$U188,IF((HO$56-Voorblad!$F$41)/$U188-SUM($EE188:HN188)=1,1,0))))</f>
        <v>1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1</v>
      </c>
      <c r="HC189" s="8">
        <f>IF(HC$56-Voorblad!$F$41&gt;Voorblad!$K$41,0,IF($U189=0,0,IF($U189&lt;1,1/$U189,IF((HC$56-Voorblad!$F$41)/$U189-SUM($EE189:HB189)=1,1,0))))</f>
        <v>1</v>
      </c>
      <c r="HD189" s="8">
        <f>IF(HD$56-Voorblad!$F$41&gt;Voorblad!$K$41,0,IF($U189=0,0,IF($U189&lt;1,1/$U189,IF((HD$56-Voorblad!$F$41)/$U189-SUM($EE189:HC189)=1,1,0))))</f>
        <v>1</v>
      </c>
      <c r="HE189" s="8">
        <f>IF(HE$56-Voorblad!$F$41&gt;Voorblad!$K$41,0,IF($U189=0,0,IF($U189&lt;1,1/$U189,IF((HE$56-Voorblad!$F$41)/$U189-SUM($EE189:HD189)=1,1,0))))</f>
        <v>1</v>
      </c>
      <c r="HF189" s="8">
        <f>IF(HF$56-Voorblad!$F$41&gt;Voorblad!$K$41,0,IF($U189=0,0,IF($U189&lt;1,1/$U189,IF((HF$56-Voorblad!$F$41)/$U189-SUM($EE189:HE189)=1,1,0))))</f>
        <v>1</v>
      </c>
      <c r="HG189" s="8">
        <f>IF(HG$56-Voorblad!$F$41&gt;Voorblad!$K$41,0,IF($U189=0,0,IF($U189&lt;1,1/$U189,IF((HG$56-Voorblad!$F$41)/$U189-SUM($EE189:HF189)=1,1,0))))</f>
        <v>1</v>
      </c>
      <c r="HH189" s="8">
        <f>IF(HH$56-Voorblad!$F$41&gt;Voorblad!$K$41,0,IF($U189=0,0,IF($U189&lt;1,1/$U189,IF((HH$56-Voorblad!$F$41)/$U189-SUM($EE189:HG189)=1,1,0))))</f>
        <v>1</v>
      </c>
      <c r="HI189" s="8">
        <f>IF(HI$56-Voorblad!$F$41&gt;Voorblad!$K$41,0,IF($U189=0,0,IF($U189&lt;1,1/$U189,IF((HI$56-Voorblad!$F$41)/$U189-SUM($EE189:HH189)=1,1,0))))</f>
        <v>1</v>
      </c>
      <c r="HJ189" s="8">
        <f>IF(HJ$56-Voorblad!$F$41&gt;Voorblad!$K$41,0,IF($U189=0,0,IF($U189&lt;1,1/$U189,IF((HJ$56-Voorblad!$F$41)/$U189-SUM($EE189:HI189)=1,1,0))))</f>
        <v>1</v>
      </c>
      <c r="HK189" s="8">
        <f>IF(HK$56-Voorblad!$F$41&gt;Voorblad!$K$41,0,IF($U189=0,0,IF($U189&lt;1,1/$U189,IF((HK$56-Voorblad!$F$41)/$U189-SUM($EE189:HJ189)=1,1,0))))</f>
        <v>1</v>
      </c>
      <c r="HL189" s="8">
        <f>IF(HL$56-Voorblad!$F$41&gt;Voorblad!$K$41,0,IF($U189=0,0,IF($U189&lt;1,1/$U189,IF((HL$56-Voorblad!$F$41)/$U189-SUM($EE189:HK189)=1,1,0))))</f>
        <v>1</v>
      </c>
      <c r="HM189" s="8">
        <f>IF(HM$56-Voorblad!$F$41&gt;Voorblad!$K$41,0,IF($U189=0,0,IF($U189&lt;1,1/$U189,IF((HM$56-Voorblad!$F$41)/$U189-SUM($EE189:HL189)=1,1,0))))</f>
        <v>1</v>
      </c>
      <c r="HN189" s="8">
        <f>IF(HN$56-Voorblad!$F$41&gt;Voorblad!$K$41,0,IF($U189=0,0,IF($U189&lt;1,1/$U189,IF((HN$56-Voorblad!$F$41)/$U189-SUM($EE189:HM189)=1,1,0))))</f>
        <v>1</v>
      </c>
      <c r="HO189" s="8">
        <f>IF(HO$56-Voorblad!$F$41&gt;Voorblad!$K$41,0,IF($U189=0,0,IF($U189&lt;1,1/$U189,IF((HO$56-Voorblad!$F$41)/$U189-SUM($EE189:HN189)=1,1,0))))</f>
        <v>1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7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1</v>
      </c>
      <c r="HC190" s="8">
        <f>IF(HC$56-Voorblad!$F$41&gt;Voorblad!$K$41,0,IF($U190=0,0,IF($U190&lt;1,1/$U190,IF((HC$56-Voorblad!$F$41)/$U190-SUM($EE190:HB190)=1,1,0))))</f>
        <v>1</v>
      </c>
      <c r="HD190" s="8">
        <f>IF(HD$56-Voorblad!$F$41&gt;Voorblad!$K$41,0,IF($U190=0,0,IF($U190&lt;1,1/$U190,IF((HD$56-Voorblad!$F$41)/$U190-SUM($EE190:HC190)=1,1,0))))</f>
        <v>1</v>
      </c>
      <c r="HE190" s="8">
        <f>IF(HE$56-Voorblad!$F$41&gt;Voorblad!$K$41,0,IF($U190=0,0,IF($U190&lt;1,1/$U190,IF((HE$56-Voorblad!$F$41)/$U190-SUM($EE190:HD190)=1,1,0))))</f>
        <v>1</v>
      </c>
      <c r="HF190" s="8">
        <f>IF(HF$56-Voorblad!$F$41&gt;Voorblad!$K$41,0,IF($U190=0,0,IF($U190&lt;1,1/$U190,IF((HF$56-Voorblad!$F$41)/$U190-SUM($EE190:HE190)=1,1,0))))</f>
        <v>1</v>
      </c>
      <c r="HG190" s="8">
        <f>IF(HG$56-Voorblad!$F$41&gt;Voorblad!$K$41,0,IF($U190=0,0,IF($U190&lt;1,1/$U190,IF((HG$56-Voorblad!$F$41)/$U190-SUM($EE190:HF190)=1,1,0))))</f>
        <v>1</v>
      </c>
      <c r="HH190" s="8">
        <f>IF(HH$56-Voorblad!$F$41&gt;Voorblad!$K$41,0,IF($U190=0,0,IF($U190&lt;1,1/$U190,IF((HH$56-Voorblad!$F$41)/$U190-SUM($EE190:HG190)=1,1,0))))</f>
        <v>1</v>
      </c>
      <c r="HI190" s="8">
        <f>IF(HI$56-Voorblad!$F$41&gt;Voorblad!$K$41,0,IF($U190=0,0,IF($U190&lt;1,1/$U190,IF((HI$56-Voorblad!$F$41)/$U190-SUM($EE190:HH190)=1,1,0))))</f>
        <v>1</v>
      </c>
      <c r="HJ190" s="8">
        <f>IF(HJ$56-Voorblad!$F$41&gt;Voorblad!$K$41,0,IF($U190=0,0,IF($U190&lt;1,1/$U190,IF((HJ$56-Voorblad!$F$41)/$U190-SUM($EE190:HI190)=1,1,0))))</f>
        <v>1</v>
      </c>
      <c r="HK190" s="8">
        <f>IF(HK$56-Voorblad!$F$41&gt;Voorblad!$K$41,0,IF($U190=0,0,IF($U190&lt;1,1/$U190,IF((HK$56-Voorblad!$F$41)/$U190-SUM($EE190:HJ190)=1,1,0))))</f>
        <v>1</v>
      </c>
      <c r="HL190" s="8">
        <f>IF(HL$56-Voorblad!$F$41&gt;Voorblad!$K$41,0,IF($U190=0,0,IF($U190&lt;1,1/$U190,IF((HL$56-Voorblad!$F$41)/$U190-SUM($EE190:HK190)=1,1,0))))</f>
        <v>1</v>
      </c>
      <c r="HM190" s="8">
        <f>IF(HM$56-Voorblad!$F$41&gt;Voorblad!$K$41,0,IF($U190=0,0,IF($U190&lt;1,1/$U190,IF((HM$56-Voorblad!$F$41)/$U190-SUM($EE190:HL190)=1,1,0))))</f>
        <v>1</v>
      </c>
      <c r="HN190" s="8">
        <f>IF(HN$56-Voorblad!$F$41&gt;Voorblad!$K$41,0,IF($U190=0,0,IF($U190&lt;1,1/$U190,IF((HN$56-Voorblad!$F$41)/$U190-SUM($EE190:HM190)=1,1,0))))</f>
        <v>1</v>
      </c>
      <c r="HO190" s="8">
        <f>IF(HO$56-Voorblad!$F$41&gt;Voorblad!$K$41,0,IF($U190=0,0,IF($U190&lt;1,1/$U190,IF((HO$56-Voorblad!$F$41)/$U190-SUM($EE190:HN190)=1,1,0))))</f>
        <v>1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272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customHeight="1" outlineLevel="1" x14ac:dyDescent="0.25">
      <c r="B195" s="1">
        <v>3</v>
      </c>
      <c r="F195" s="1" t="s">
        <v>23</v>
      </c>
      <c r="I195" s="1" t="s">
        <v>277</v>
      </c>
      <c r="K195" s="1" t="s">
        <v>86</v>
      </c>
      <c r="Q195" s="81">
        <v>1</v>
      </c>
      <c r="R195" s="1" t="s">
        <v>33</v>
      </c>
      <c r="S195" s="14">
        <f>$H$20*500</f>
        <v>885</v>
      </c>
      <c r="T195" s="1">
        <f>Q195*S195</f>
        <v>885</v>
      </c>
      <c r="U195" s="14">
        <v>5</v>
      </c>
      <c r="V195" s="14"/>
      <c r="Y195" s="9">
        <f t="shared" ref="Y195:Y207" si="199">SUM(AE195:EB195)</f>
        <v>5909.0960660205992</v>
      </c>
      <c r="Z195" s="82"/>
      <c r="AA195" s="82"/>
      <c r="AC195" s="9">
        <f>$Y195*(Voorblad!$K$44*(1+Voorblad!$K$44)^Voorblad!$K$41)/((1+Voorblad!$K$44)^Voorblad!$K$41-1)</f>
        <v>167.24248054229372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782.21104453442274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691.36058552726843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611.0620178025024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540.08978443006492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477.36067166261267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421.9172763851592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372.9133937495526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329.60110197255818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291.3193471792672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257.48385406800077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227.57820840822569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201.14597526810255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177.78373267611033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157.13491439300432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138.8843678194113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122.75354397912392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108.4962461652121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1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1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1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customHeight="1" outlineLevel="1" x14ac:dyDescent="0.25">
      <c r="B196" s="1">
        <v>3</v>
      </c>
      <c r="F196" s="1" t="s">
        <v>23</v>
      </c>
      <c r="I196" s="1" t="s">
        <v>278</v>
      </c>
      <c r="K196" s="1" t="s">
        <v>83</v>
      </c>
      <c r="O196" s="1" t="s">
        <v>134</v>
      </c>
      <c r="P196" s="1" t="s">
        <v>305</v>
      </c>
      <c r="Q196" s="83">
        <f>(2*3.05*32.8)+(4*4.7*6)</f>
        <v>312.88</v>
      </c>
      <c r="R196" s="1" t="s">
        <v>35</v>
      </c>
      <c r="S196" s="21">
        <f>$H$20*15</f>
        <v>26.55</v>
      </c>
      <c r="T196" s="9">
        <f>Q196*S196</f>
        <v>8306.9639999999999</v>
      </c>
      <c r="U196" s="14">
        <v>10</v>
      </c>
      <c r="V196" s="14"/>
      <c r="Y196" s="9">
        <f t="shared" si="199"/>
        <v>25544.965914928936</v>
      </c>
      <c r="Z196" s="82"/>
      <c r="AA196" s="82"/>
      <c r="AC196" s="9">
        <f>$Y196*(Voorblad!$K$44*(1+Voorblad!$K$44)^Voorblad!$K$41)/((1+Voorblad!$K$44)^Voorblad!$K$41-1)</f>
        <v>722.98764772970026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6489.386999993153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5069.4987525743609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3960.2843230616581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3093.7677835552199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2416.8464478238825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1888.0365822565177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1474.9311604584959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1152.2138652056487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1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customHeight="1" outlineLevel="1" x14ac:dyDescent="0.25">
      <c r="B197" s="1">
        <v>3</v>
      </c>
      <c r="F197" s="1" t="s">
        <v>23</v>
      </c>
      <c r="I197" s="1" t="s">
        <v>278</v>
      </c>
      <c r="K197" s="1" t="s">
        <v>84</v>
      </c>
      <c r="O197" s="1" t="s">
        <v>133</v>
      </c>
      <c r="Q197" s="83">
        <f>(2*2.5*32.8)+(4*2.5*6)</f>
        <v>224</v>
      </c>
      <c r="R197" s="1" t="s">
        <v>35</v>
      </c>
      <c r="S197" s="21">
        <f>$H$20*20</f>
        <v>35.4</v>
      </c>
      <c r="T197" s="9">
        <f>Q197*S197</f>
        <v>7929.5999999999995</v>
      </c>
      <c r="U197" s="14">
        <v>10</v>
      </c>
      <c r="V197" s="14"/>
      <c r="Y197" s="9">
        <f>SUM(AE197:EB197)</f>
        <v>24384.523842768605</v>
      </c>
      <c r="Z197" s="82"/>
      <c r="AA197" s="82"/>
      <c r="AC197" s="9">
        <f>$Y197*(Voorblad!$K$44*(1+Voorblad!$K$44)^Voorblad!$K$41)/((1+Voorblad!$K$44)^Voorblad!$K$41-1)</f>
        <v>690.14417920162293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6194.590846324325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4839.2044684933808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3780.3787964110261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2953.225873674121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2307.0553324492867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1802.2679384021988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1407.9288329613187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1099.8717540529501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1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customHeight="1" outlineLevel="1" x14ac:dyDescent="0.25">
      <c r="B198" s="1">
        <v>3</v>
      </c>
      <c r="F198" s="1" t="s">
        <v>23</v>
      </c>
      <c r="I198" s="1" t="s">
        <v>278</v>
      </c>
      <c r="K198" s="1" t="s">
        <v>82</v>
      </c>
      <c r="O198" s="1" t="s">
        <v>218</v>
      </c>
      <c r="P198" s="1" t="s">
        <v>174</v>
      </c>
      <c r="Q198" s="84">
        <f>2.5%*Q196</f>
        <v>7.8220000000000001</v>
      </c>
      <c r="R198" s="1" t="s">
        <v>35</v>
      </c>
      <c r="S198" s="14">
        <f>$H$20*500</f>
        <v>885</v>
      </c>
      <c r="T198" s="9">
        <f>Q198*S198</f>
        <v>6922.47</v>
      </c>
      <c r="U198" s="14">
        <v>15</v>
      </c>
      <c r="V198" s="14"/>
      <c r="Y198" s="9">
        <f t="shared" si="199"/>
        <v>13018.381316402651</v>
      </c>
      <c r="Z198" s="82"/>
      <c r="AA198" s="82"/>
      <c r="AC198" s="227">
        <f>$Y198*(Voorblad!$K$44*(1+Voorblad!$K$44)^Voorblad!$K$41)/((1+Voorblad!$K$44)^Voorblad!$K$41-1)</f>
        <v>368.4533742005745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4779.7271032511744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3300.2369358847154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2278.6999336362278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1573.3638185470982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1086.3535250834352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1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customHeight="1" outlineLevel="1" x14ac:dyDescent="0.25">
      <c r="S199" s="14"/>
      <c r="T199" s="9"/>
      <c r="U199" s="14"/>
      <c r="V199" s="14"/>
      <c r="Y199" s="23">
        <f>SUM(Y195:Y198)</f>
        <v>68856.967140120789</v>
      </c>
      <c r="Z199" s="24"/>
      <c r="AA199" s="23">
        <f>SUM(AA195:AA198)</f>
        <v>0</v>
      </c>
      <c r="AC199" s="9">
        <f>$Y199*(Voorblad!$K$44*(1+Voorblad!$K$44)^Voorblad!$K$41)/((1+Voorblad!$K$44)^Voorblad!$K$41-1)</f>
        <v>1948.8276816741916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outlineLevel="1" x14ac:dyDescent="0.25">
      <c r="B200" s="2" t="s">
        <v>270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222</v>
      </c>
      <c r="P201" s="1" t="s">
        <v>223</v>
      </c>
      <c r="Q201" s="84">
        <f>5%*Q196</f>
        <v>15.644</v>
      </c>
      <c r="R201" s="1" t="s">
        <v>35</v>
      </c>
      <c r="S201" s="14">
        <f>$H$10*500</f>
        <v>1190</v>
      </c>
      <c r="T201" s="9">
        <f>Q201*S201</f>
        <v>18616.36</v>
      </c>
      <c r="U201" s="14">
        <v>50</v>
      </c>
      <c r="V201" s="14"/>
      <c r="Y201" s="9">
        <f t="shared" si="199"/>
        <v>5416.2848830704716</v>
      </c>
      <c r="Z201" s="82"/>
      <c r="AA201" s="82"/>
      <c r="AC201" s="227">
        <f>$Y201*(Voorblad!$K$44*(1+Voorblad!$K$44)^Voorblad!$K$41)/((1+Voorblad!$K$44)^Voorblad!$K$41-1)</f>
        <v>153.29466792345684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5416.2848830704716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outlineLevel="1" x14ac:dyDescent="0.25">
      <c r="B202" s="2" t="s">
        <v>271</v>
      </c>
      <c r="C202" s="2"/>
      <c r="D202" s="15"/>
      <c r="S202" s="14"/>
      <c r="U202" s="14"/>
      <c r="V202" s="14"/>
      <c r="Y202" s="23">
        <f>SUM(Y201)</f>
        <v>5416.2848830704716</v>
      </c>
      <c r="Z202" s="24"/>
      <c r="AA202" s="23">
        <f>SUM(AA201)</f>
        <v>0</v>
      </c>
      <c r="AC202" s="9">
        <f>$Y202*(Voorblad!$K$44*(1+Voorblad!$K$44)^Voorblad!$K$41)/((1+Voorblad!$K$44)^Voorblad!$K$41-1)</f>
        <v>153.29466792345684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306</v>
      </c>
      <c r="Q204" s="83">
        <f>(12.96*16.298)+(15.268*16.383)</f>
        <v>461.35772399999996</v>
      </c>
      <c r="R204" s="81" t="s">
        <v>35</v>
      </c>
      <c r="S204" s="81">
        <v>4060</v>
      </c>
      <c r="T204" s="9">
        <f>Q204*S204</f>
        <v>1873112.3594399998</v>
      </c>
      <c r="U204" s="11">
        <v>1</v>
      </c>
      <c r="V204" s="14">
        <f>Voorblad!F25+100</f>
        <v>2115</v>
      </c>
      <c r="W204" s="9">
        <f>Voorblad!K85</f>
        <v>2115</v>
      </c>
      <c r="X204" s="6"/>
      <c r="Y204" s="9">
        <f t="shared" si="199"/>
        <v>218568.48420992721</v>
      </c>
      <c r="Z204" s="82" t="s">
        <v>308</v>
      </c>
      <c r="AA204" s="82">
        <v>52</v>
      </c>
      <c r="AC204" s="9">
        <f>$Y204*(Voorblad!$K$44*(1+Voorblad!$K$44)^Voorblad!$K$41)/((1+Voorblad!$K$44)^Voorblad!$K$41-1)</f>
        <v>6186.0452189693606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218568.48420992721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1</v>
      </c>
      <c r="HC204" s="8">
        <f>IF(HC$56-Voorblad!$F$41&gt;Voorblad!$K$41,0,IF($U204=0,0,IF($U204&lt;1,1/$U204,IF((HC$56-Voorblad!$F$41)/$U204-SUM($EE204:HB204)=1,1,0))))</f>
        <v>1</v>
      </c>
      <c r="HD204" s="8">
        <f>IF(HD$56-Voorblad!$F$41&gt;Voorblad!$K$41,0,IF($U204=0,0,IF($U204&lt;1,1/$U204,IF((HD$56-Voorblad!$F$41)/$U204-SUM($EE204:HC204)=1,1,0))))</f>
        <v>1</v>
      </c>
      <c r="HE204" s="8">
        <f>IF(HE$56-Voorblad!$F$41&gt;Voorblad!$K$41,0,IF($U204=0,0,IF($U204&lt;1,1/$U204,IF((HE$56-Voorblad!$F$41)/$U204-SUM($EE204:HD204)=1,1,0))))</f>
        <v>1</v>
      </c>
      <c r="HF204" s="8">
        <f>IF(HF$56-Voorblad!$F$41&gt;Voorblad!$K$41,0,IF($U204=0,0,IF($U204&lt;1,1/$U204,IF((HF$56-Voorblad!$F$41)/$U204-SUM($EE204:HE204)=1,1,0))))</f>
        <v>1</v>
      </c>
      <c r="HG204" s="8">
        <f>IF(HG$56-Voorblad!$F$41&gt;Voorblad!$K$41,0,IF($U204=0,0,IF($U204&lt;1,1/$U204,IF((HG$56-Voorblad!$F$41)/$U204-SUM($EE204:HF204)=1,1,0))))</f>
        <v>1</v>
      </c>
      <c r="HH204" s="8">
        <f>IF(HH$56-Voorblad!$F$41&gt;Voorblad!$K$41,0,IF($U204=0,0,IF($U204&lt;1,1/$U204,IF((HH$56-Voorblad!$F$41)/$U204-SUM($EE204:HG204)=1,1,0))))</f>
        <v>1</v>
      </c>
      <c r="HI204" s="8">
        <f>IF(HI$56-Voorblad!$F$41&gt;Voorblad!$K$41,0,IF($U204=0,0,IF($U204&lt;1,1/$U204,IF((HI$56-Voorblad!$F$41)/$U204-SUM($EE204:HH204)=1,1,0))))</f>
        <v>1</v>
      </c>
      <c r="HJ204" s="8">
        <f>IF(HJ$56-Voorblad!$F$41&gt;Voorblad!$K$41,0,IF($U204=0,0,IF($U204&lt;1,1/$U204,IF((HJ$56-Voorblad!$F$41)/$U204-SUM($EE204:HI204)=1,1,0))))</f>
        <v>1</v>
      </c>
      <c r="HK204" s="8">
        <f>IF(HK$56-Voorblad!$F$41&gt;Voorblad!$K$41,0,IF($U204=0,0,IF($U204&lt;1,1/$U204,IF((HK$56-Voorblad!$F$41)/$U204-SUM($EE204:HJ204)=1,1,0))))</f>
        <v>1</v>
      </c>
      <c r="HL204" s="8">
        <f>IF(HL$56-Voorblad!$F$41&gt;Voorblad!$K$41,0,IF($U204=0,0,IF($U204&lt;1,1/$U204,IF((HL$56-Voorblad!$F$41)/$U204-SUM($EE204:HK204)=1,1,0))))</f>
        <v>1</v>
      </c>
      <c r="HM204" s="8">
        <f>IF(HM$56-Voorblad!$F$41&gt;Voorblad!$K$41,0,IF($U204=0,0,IF($U204&lt;1,1/$U204,IF((HM$56-Voorblad!$F$41)/$U204-SUM($EE204:HL204)=1,1,0))))</f>
        <v>1</v>
      </c>
      <c r="HN204" s="8">
        <f>IF(HN$56-Voorblad!$F$41&gt;Voorblad!$K$41,0,IF($U204=0,0,IF($U204&lt;1,1/$U204,IF((HN$56-Voorblad!$F$41)/$U204-SUM($EE204:HM204)=1,1,0))))</f>
        <v>1</v>
      </c>
      <c r="HO204" s="8">
        <f>IF(HO$56-Voorblad!$F$41&gt;Voorblad!$K$41,0,IF($U204=0,0,IF($U204&lt;1,1/$U204,IF((HO$56-Voorblad!$F$41)/$U204-SUM($EE204:HN204)=1,1,0))))</f>
        <v>1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37462.2471888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1</v>
      </c>
      <c r="HC205" s="8">
        <f>IF(HC$56-Voorblad!$F$41&gt;Voorblad!$K$41,0,IF($U205=0,0,IF($U205&lt;1,1/$U205,IF((HC$56-Voorblad!$F$41)/$U205-SUM($EE205:HB205)=1,1,0))))</f>
        <v>1</v>
      </c>
      <c r="HD205" s="8">
        <f>IF(HD$56-Voorblad!$F$41&gt;Voorblad!$K$41,0,IF($U205=0,0,IF($U205&lt;1,1/$U205,IF((HD$56-Voorblad!$F$41)/$U205-SUM($EE205:HC205)=1,1,0))))</f>
        <v>1</v>
      </c>
      <c r="HE205" s="8">
        <f>IF(HE$56-Voorblad!$F$41&gt;Voorblad!$K$41,0,IF($U205=0,0,IF($U205&lt;1,1/$U205,IF((HE$56-Voorblad!$F$41)/$U205-SUM($EE205:HD205)=1,1,0))))</f>
        <v>1</v>
      </c>
      <c r="HF205" s="8">
        <f>IF(HF$56-Voorblad!$F$41&gt;Voorblad!$K$41,0,IF($U205=0,0,IF($U205&lt;1,1/$U205,IF((HF$56-Voorblad!$F$41)/$U205-SUM($EE205:HE205)=1,1,0))))</f>
        <v>1</v>
      </c>
      <c r="HG205" s="8">
        <f>IF(HG$56-Voorblad!$F$41&gt;Voorblad!$K$41,0,IF($U205=0,0,IF($U205&lt;1,1/$U205,IF((HG$56-Voorblad!$F$41)/$U205-SUM($EE205:HF205)=1,1,0))))</f>
        <v>1</v>
      </c>
      <c r="HH205" s="8">
        <f>IF(HH$56-Voorblad!$F$41&gt;Voorblad!$K$41,0,IF($U205=0,0,IF($U205&lt;1,1/$U205,IF((HH$56-Voorblad!$F$41)/$U205-SUM($EE205:HG205)=1,1,0))))</f>
        <v>1</v>
      </c>
      <c r="HI205" s="8">
        <f>IF(HI$56-Voorblad!$F$41&gt;Voorblad!$K$41,0,IF($U205=0,0,IF($U205&lt;1,1/$U205,IF((HI$56-Voorblad!$F$41)/$U205-SUM($EE205:HH205)=1,1,0))))</f>
        <v>1</v>
      </c>
      <c r="HJ205" s="8">
        <f>IF(HJ$56-Voorblad!$F$41&gt;Voorblad!$K$41,0,IF($U205=0,0,IF($U205&lt;1,1/$U205,IF((HJ$56-Voorblad!$F$41)/$U205-SUM($EE205:HI205)=1,1,0))))</f>
        <v>1</v>
      </c>
      <c r="HK205" s="8">
        <f>IF(HK$56-Voorblad!$F$41&gt;Voorblad!$K$41,0,IF($U205=0,0,IF($U205&lt;1,1/$U205,IF((HK$56-Voorblad!$F$41)/$U205-SUM($EE205:HJ205)=1,1,0))))</f>
        <v>1</v>
      </c>
      <c r="HL205" s="8">
        <f>IF(HL$56-Voorblad!$F$41&gt;Voorblad!$K$41,0,IF($U205=0,0,IF($U205&lt;1,1/$U205,IF((HL$56-Voorblad!$F$41)/$U205-SUM($EE205:HK205)=1,1,0))))</f>
        <v>1</v>
      </c>
      <c r="HM205" s="8">
        <f>IF(HM$56-Voorblad!$F$41&gt;Voorblad!$K$41,0,IF($U205=0,0,IF($U205&lt;1,1/$U205,IF((HM$56-Voorblad!$F$41)/$U205-SUM($EE205:HL205)=1,1,0))))</f>
        <v>1</v>
      </c>
      <c r="HN205" s="8">
        <f>IF(HN$56-Voorblad!$F$41&gt;Voorblad!$K$41,0,IF($U205=0,0,IF($U205&lt;1,1/$U205,IF((HN$56-Voorblad!$F$41)/$U205-SUM($EE205:HM205)=1,1,0))))</f>
        <v>1</v>
      </c>
      <c r="HO205" s="8">
        <f>IF(HO$56-Voorblad!$F$41&gt;Voorblad!$K$41,0,IF($U205=0,0,IF($U205&lt;1,1/$U205,IF((HO$56-Voorblad!$F$41)/$U205-SUM($EE205:HN205)=1,1,0))))</f>
        <v>1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74924.4943776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1</v>
      </c>
      <c r="HC206" s="8">
        <f>IF(HC$56-Voorblad!$F$41&gt;Voorblad!$K$41,0,IF($U206=0,0,IF($U206&lt;1,1/$U206,IF((HC$56-Voorblad!$F$41)/$U206-SUM($EE206:HB206)=1,1,0))))</f>
        <v>1</v>
      </c>
      <c r="HD206" s="8">
        <f>IF(HD$56-Voorblad!$F$41&gt;Voorblad!$K$41,0,IF($U206=0,0,IF($U206&lt;1,1/$U206,IF((HD$56-Voorblad!$F$41)/$U206-SUM($EE206:HC206)=1,1,0))))</f>
        <v>1</v>
      </c>
      <c r="HE206" s="8">
        <f>IF(HE$56-Voorblad!$F$41&gt;Voorblad!$K$41,0,IF($U206=0,0,IF($U206&lt;1,1/$U206,IF((HE$56-Voorblad!$F$41)/$U206-SUM($EE206:HD206)=1,1,0))))</f>
        <v>1</v>
      </c>
      <c r="HF206" s="8">
        <f>IF(HF$56-Voorblad!$F$41&gt;Voorblad!$K$41,0,IF($U206=0,0,IF($U206&lt;1,1/$U206,IF((HF$56-Voorblad!$F$41)/$U206-SUM($EE206:HE206)=1,1,0))))</f>
        <v>1</v>
      </c>
      <c r="HG206" s="8">
        <f>IF(HG$56-Voorblad!$F$41&gt;Voorblad!$K$41,0,IF($U206=0,0,IF($U206&lt;1,1/$U206,IF((HG$56-Voorblad!$F$41)/$U206-SUM($EE206:HF206)=1,1,0))))</f>
        <v>1</v>
      </c>
      <c r="HH206" s="8">
        <f>IF(HH$56-Voorblad!$F$41&gt;Voorblad!$K$41,0,IF($U206=0,0,IF($U206&lt;1,1/$U206,IF((HH$56-Voorblad!$F$41)/$U206-SUM($EE206:HG206)=1,1,0))))</f>
        <v>1</v>
      </c>
      <c r="HI206" s="8">
        <f>IF(HI$56-Voorblad!$F$41&gt;Voorblad!$K$41,0,IF($U206=0,0,IF($U206&lt;1,1/$U206,IF((HI$56-Voorblad!$F$41)/$U206-SUM($EE206:HH206)=1,1,0))))</f>
        <v>1</v>
      </c>
      <c r="HJ206" s="8">
        <f>IF(HJ$56-Voorblad!$F$41&gt;Voorblad!$K$41,0,IF($U206=0,0,IF($U206&lt;1,1/$U206,IF((HJ$56-Voorblad!$F$41)/$U206-SUM($EE206:HI206)=1,1,0))))</f>
        <v>1</v>
      </c>
      <c r="HK206" s="8">
        <f>IF(HK$56-Voorblad!$F$41&gt;Voorblad!$K$41,0,IF($U206=0,0,IF($U206&lt;1,1/$U206,IF((HK$56-Voorblad!$F$41)/$U206-SUM($EE206:HJ206)=1,1,0))))</f>
        <v>1</v>
      </c>
      <c r="HL206" s="8">
        <f>IF(HL$56-Voorblad!$F$41&gt;Voorblad!$K$41,0,IF($U206=0,0,IF($U206&lt;1,1/$U206,IF((HL$56-Voorblad!$F$41)/$U206-SUM($EE206:HK206)=1,1,0))))</f>
        <v>1</v>
      </c>
      <c r="HM206" s="8">
        <f>IF(HM$56-Voorblad!$F$41&gt;Voorblad!$K$41,0,IF($U206=0,0,IF($U206&lt;1,1/$U206,IF((HM$56-Voorblad!$F$41)/$U206-SUM($EE206:HL206)=1,1,0))))</f>
        <v>1</v>
      </c>
      <c r="HN206" s="8">
        <f>IF(HN$56-Voorblad!$F$41&gt;Voorblad!$K$41,0,IF($U206=0,0,IF($U206&lt;1,1/$U206,IF((HN$56-Voorblad!$F$41)/$U206-SUM($EE206:HM206)=1,1,0))))</f>
        <v>1</v>
      </c>
      <c r="HO206" s="8">
        <f>IF(HO$56-Voorblad!$F$41&gt;Voorblad!$K$41,0,IF($U206=0,0,IF($U206&lt;1,1/$U206,IF((HO$56-Voorblad!$F$41)/$U206-SUM($EE206:HN206)=1,1,0))))</f>
        <v>1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131117.86516079999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7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1</v>
      </c>
      <c r="HC207" s="8">
        <f>IF(HC$56-Voorblad!$F$41&gt;Voorblad!$K$41,0,IF($U207=0,0,IF($U207&lt;1,1/$U207,IF((HC$56-Voorblad!$F$41)/$U207-SUM($EE207:HB207)=1,1,0))))</f>
        <v>1</v>
      </c>
      <c r="HD207" s="8">
        <f>IF(HD$56-Voorblad!$F$41&gt;Voorblad!$K$41,0,IF($U207=0,0,IF($U207&lt;1,1/$U207,IF((HD$56-Voorblad!$F$41)/$U207-SUM($EE207:HC207)=1,1,0))))</f>
        <v>1</v>
      </c>
      <c r="HE207" s="8">
        <f>IF(HE$56-Voorblad!$F$41&gt;Voorblad!$K$41,0,IF($U207=0,0,IF($U207&lt;1,1/$U207,IF((HE$56-Voorblad!$F$41)/$U207-SUM($EE207:HD207)=1,1,0))))</f>
        <v>1</v>
      </c>
      <c r="HF207" s="8">
        <f>IF(HF$56-Voorblad!$F$41&gt;Voorblad!$K$41,0,IF($U207=0,0,IF($U207&lt;1,1/$U207,IF((HF$56-Voorblad!$F$41)/$U207-SUM($EE207:HE207)=1,1,0))))</f>
        <v>1</v>
      </c>
      <c r="HG207" s="8">
        <f>IF(HG$56-Voorblad!$F$41&gt;Voorblad!$K$41,0,IF($U207=0,0,IF($U207&lt;1,1/$U207,IF((HG$56-Voorblad!$F$41)/$U207-SUM($EE207:HF207)=1,1,0))))</f>
        <v>1</v>
      </c>
      <c r="HH207" s="8">
        <f>IF(HH$56-Voorblad!$F$41&gt;Voorblad!$K$41,0,IF($U207=0,0,IF($U207&lt;1,1/$U207,IF((HH$56-Voorblad!$F$41)/$U207-SUM($EE207:HG207)=1,1,0))))</f>
        <v>1</v>
      </c>
      <c r="HI207" s="8">
        <f>IF(HI$56-Voorblad!$F$41&gt;Voorblad!$K$41,0,IF($U207=0,0,IF($U207&lt;1,1/$U207,IF((HI$56-Voorblad!$F$41)/$U207-SUM($EE207:HH207)=1,1,0))))</f>
        <v>1</v>
      </c>
      <c r="HJ207" s="8">
        <f>IF(HJ$56-Voorblad!$F$41&gt;Voorblad!$K$41,0,IF($U207=0,0,IF($U207&lt;1,1/$U207,IF((HJ$56-Voorblad!$F$41)/$U207-SUM($EE207:HI207)=1,1,0))))</f>
        <v>1</v>
      </c>
      <c r="HK207" s="8">
        <f>IF(HK$56-Voorblad!$F$41&gt;Voorblad!$K$41,0,IF($U207=0,0,IF($U207&lt;1,1/$U207,IF((HK$56-Voorblad!$F$41)/$U207-SUM($EE207:HJ207)=1,1,0))))</f>
        <v>1</v>
      </c>
      <c r="HL207" s="8">
        <f>IF(HL$56-Voorblad!$F$41&gt;Voorblad!$K$41,0,IF($U207=0,0,IF($U207&lt;1,1/$U207,IF((HL$56-Voorblad!$F$41)/$U207-SUM($EE207:HK207)=1,1,0))))</f>
        <v>1</v>
      </c>
      <c r="HM207" s="8">
        <f>IF(HM$56-Voorblad!$F$41&gt;Voorblad!$K$41,0,IF($U207=0,0,IF($U207&lt;1,1/$U207,IF((HM$56-Voorblad!$F$41)/$U207-SUM($EE207:HL207)=1,1,0))))</f>
        <v>1</v>
      </c>
      <c r="HN207" s="8">
        <f>IF(HN$56-Voorblad!$F$41&gt;Voorblad!$K$41,0,IF($U207=0,0,IF($U207&lt;1,1/$U207,IF((HN$56-Voorblad!$F$41)/$U207-SUM($EE207:HM207)=1,1,0))))</f>
        <v>1</v>
      </c>
      <c r="HO207" s="8">
        <f>IF(HO$56-Voorblad!$F$41&gt;Voorblad!$K$41,0,IF($U207=0,0,IF($U207&lt;1,1/$U207,IF((HO$56-Voorblad!$F$41)/$U207-SUM($EE207:HN207)=1,1,0))))</f>
        <v>1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outlineLevel="1" x14ac:dyDescent="0.25">
      <c r="B208" s="2" t="s">
        <v>272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1873112.3594399998</v>
      </c>
      <c r="U208" s="14"/>
      <c r="V208" s="14"/>
      <c r="W208" s="14"/>
      <c r="X208" s="6"/>
      <c r="Y208" s="23">
        <f>SUM(Y204:Y207)</f>
        <v>218568.48420992721</v>
      </c>
      <c r="Z208" s="24"/>
      <c r="AA208" s="23">
        <f>SUM(AA204:AA207)</f>
        <v>52</v>
      </c>
      <c r="AC208" s="9">
        <f>$Y208*(Voorblad!$K$44*(1+Voorblad!$K$44)^Voorblad!$K$41)/((1+Voorblad!$K$44)^Voorblad!$K$41-1)</f>
        <v>6186.0452189693606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277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1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1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1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1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278</v>
      </c>
      <c r="K213" s="1" t="s">
        <v>87</v>
      </c>
      <c r="O213" s="1" t="s">
        <v>134</v>
      </c>
      <c r="Q213" s="81">
        <v>0</v>
      </c>
      <c r="R213" s="1" t="s">
        <v>35</v>
      </c>
      <c r="S213" s="21">
        <f>$H$20*15</f>
        <v>26.55</v>
      </c>
      <c r="T213" s="1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1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278</v>
      </c>
      <c r="K214" s="1" t="s">
        <v>84</v>
      </c>
      <c r="O214" s="1" t="s">
        <v>133</v>
      </c>
      <c r="Q214" s="81">
        <v>0</v>
      </c>
      <c r="R214" s="1" t="s">
        <v>35</v>
      </c>
      <c r="S214" s="21">
        <f>$H$20*20</f>
        <v>35.4</v>
      </c>
      <c r="T214" s="1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1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278</v>
      </c>
      <c r="K215" s="1" t="s">
        <v>88</v>
      </c>
      <c r="O215" s="1" t="s">
        <v>218</v>
      </c>
      <c r="P215" s="1" t="s">
        <v>174</v>
      </c>
      <c r="Q215" s="81">
        <v>0</v>
      </c>
      <c r="R215" s="1" t="s">
        <v>35</v>
      </c>
      <c r="S215" s="14">
        <f>$H$20*500</f>
        <v>885</v>
      </c>
      <c r="T215" s="1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7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1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270</v>
      </c>
      <c r="C217" s="2"/>
      <c r="S217" s="14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221</v>
      </c>
      <c r="O218" s="1" t="s">
        <v>219</v>
      </c>
      <c r="P218" s="1" t="s">
        <v>220</v>
      </c>
      <c r="Q218" s="81">
        <v>0</v>
      </c>
      <c r="R218" s="1" t="s">
        <v>35</v>
      </c>
      <c r="S218" s="14">
        <f>$H$10*500</f>
        <v>1190</v>
      </c>
      <c r="T218" s="1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7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271</v>
      </c>
      <c r="C219" s="2"/>
      <c r="D219" s="15"/>
      <c r="E219" s="15"/>
      <c r="S219" s="14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Q221" s="81">
        <v>0</v>
      </c>
      <c r="R221" s="81" t="s">
        <v>33</v>
      </c>
      <c r="S221" s="81">
        <v>0</v>
      </c>
      <c r="T221" s="14">
        <f>Q221*S221</f>
        <v>0</v>
      </c>
      <c r="U221" s="11">
        <v>1</v>
      </c>
      <c r="V221" s="14">
        <f>Voorblad!F25+100</f>
        <v>2115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1</v>
      </c>
      <c r="HC221" s="8">
        <f>IF(HC$56-Voorblad!$F$41&gt;Voorblad!$K$41,0,IF($U221=0,0,IF($U221&lt;1,1/$U221,IF((HC$56-Voorblad!$F$41)/$U221-SUM($EE221:HB221)=1,1,0))))</f>
        <v>1</v>
      </c>
      <c r="HD221" s="8">
        <f>IF(HD$56-Voorblad!$F$41&gt;Voorblad!$K$41,0,IF($U221=0,0,IF($U221&lt;1,1/$U221,IF((HD$56-Voorblad!$F$41)/$U221-SUM($EE221:HC221)=1,1,0))))</f>
        <v>1</v>
      </c>
      <c r="HE221" s="8">
        <f>IF(HE$56-Voorblad!$F$41&gt;Voorblad!$K$41,0,IF($U221=0,0,IF($U221&lt;1,1/$U221,IF((HE$56-Voorblad!$F$41)/$U221-SUM($EE221:HD221)=1,1,0))))</f>
        <v>1</v>
      </c>
      <c r="HF221" s="8">
        <f>IF(HF$56-Voorblad!$F$41&gt;Voorblad!$K$41,0,IF($U221=0,0,IF($U221&lt;1,1/$U221,IF((HF$56-Voorblad!$F$41)/$U221-SUM($EE221:HE221)=1,1,0))))</f>
        <v>1</v>
      </c>
      <c r="HG221" s="8">
        <f>IF(HG$56-Voorblad!$F$41&gt;Voorblad!$K$41,0,IF($U221=0,0,IF($U221&lt;1,1/$U221,IF((HG$56-Voorblad!$F$41)/$U221-SUM($EE221:HF221)=1,1,0))))</f>
        <v>1</v>
      </c>
      <c r="HH221" s="8">
        <f>IF(HH$56-Voorblad!$F$41&gt;Voorblad!$K$41,0,IF($U221=0,0,IF($U221&lt;1,1/$U221,IF((HH$56-Voorblad!$F$41)/$U221-SUM($EE221:HG221)=1,1,0))))</f>
        <v>1</v>
      </c>
      <c r="HI221" s="8">
        <f>IF(HI$56-Voorblad!$F$41&gt;Voorblad!$K$41,0,IF($U221=0,0,IF($U221&lt;1,1/$U221,IF((HI$56-Voorblad!$F$41)/$U221-SUM($EE221:HH221)=1,1,0))))</f>
        <v>1</v>
      </c>
      <c r="HJ221" s="8">
        <f>IF(HJ$56-Voorblad!$F$41&gt;Voorblad!$K$41,0,IF($U221=0,0,IF($U221&lt;1,1/$U221,IF((HJ$56-Voorblad!$F$41)/$U221-SUM($EE221:HI221)=1,1,0))))</f>
        <v>1</v>
      </c>
      <c r="HK221" s="8">
        <f>IF(HK$56-Voorblad!$F$41&gt;Voorblad!$K$41,0,IF($U221=0,0,IF($U221&lt;1,1/$U221,IF((HK$56-Voorblad!$F$41)/$U221-SUM($EE221:HJ221)=1,1,0))))</f>
        <v>1</v>
      </c>
      <c r="HL221" s="8">
        <f>IF(HL$56-Voorblad!$F$41&gt;Voorblad!$K$41,0,IF($U221=0,0,IF($U221&lt;1,1/$U221,IF((HL$56-Voorblad!$F$41)/$U221-SUM($EE221:HK221)=1,1,0))))</f>
        <v>1</v>
      </c>
      <c r="HM221" s="8">
        <f>IF(HM$56-Voorblad!$F$41&gt;Voorblad!$K$41,0,IF($U221=0,0,IF($U221&lt;1,1/$U221,IF((HM$56-Voorblad!$F$41)/$U221-SUM($EE221:HL221)=1,1,0))))</f>
        <v>1</v>
      </c>
      <c r="HN221" s="8">
        <f>IF(HN$56-Voorblad!$F$41&gt;Voorblad!$K$41,0,IF($U221=0,0,IF($U221&lt;1,1/$U221,IF((HN$56-Voorblad!$F$41)/$U221-SUM($EE221:HM221)=1,1,0))))</f>
        <v>1</v>
      </c>
      <c r="HO221" s="8">
        <f>IF(HO$56-Voorblad!$F$41&gt;Voorblad!$K$41,0,IF($U221=0,0,IF($U221&lt;1,1/$U221,IF((HO$56-Voorblad!$F$41)/$U221-SUM($EE221:HN221)=1,1,0))))</f>
        <v>1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14">
        <f>2%*T221</f>
        <v>0</v>
      </c>
      <c r="T222" s="14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1</v>
      </c>
      <c r="HC222" s="8">
        <f>IF(HC$56-Voorblad!$F$41&gt;Voorblad!$K$41,0,IF($U222=0,0,IF($U222&lt;1,1/$U222,IF((HC$56-Voorblad!$F$41)/$U222-SUM($EE222:HB222)=1,1,0))))</f>
        <v>1</v>
      </c>
      <c r="HD222" s="8">
        <f>IF(HD$56-Voorblad!$F$41&gt;Voorblad!$K$41,0,IF($U222=0,0,IF($U222&lt;1,1/$U222,IF((HD$56-Voorblad!$F$41)/$U222-SUM($EE222:HC222)=1,1,0))))</f>
        <v>1</v>
      </c>
      <c r="HE222" s="8">
        <f>IF(HE$56-Voorblad!$F$41&gt;Voorblad!$K$41,0,IF($U222=0,0,IF($U222&lt;1,1/$U222,IF((HE$56-Voorblad!$F$41)/$U222-SUM($EE222:HD222)=1,1,0))))</f>
        <v>1</v>
      </c>
      <c r="HF222" s="8">
        <f>IF(HF$56-Voorblad!$F$41&gt;Voorblad!$K$41,0,IF($U222=0,0,IF($U222&lt;1,1/$U222,IF((HF$56-Voorblad!$F$41)/$U222-SUM($EE222:HE222)=1,1,0))))</f>
        <v>1</v>
      </c>
      <c r="HG222" s="8">
        <f>IF(HG$56-Voorblad!$F$41&gt;Voorblad!$K$41,0,IF($U222=0,0,IF($U222&lt;1,1/$U222,IF((HG$56-Voorblad!$F$41)/$U222-SUM($EE222:HF222)=1,1,0))))</f>
        <v>1</v>
      </c>
      <c r="HH222" s="8">
        <f>IF(HH$56-Voorblad!$F$41&gt;Voorblad!$K$41,0,IF($U222=0,0,IF($U222&lt;1,1/$U222,IF((HH$56-Voorblad!$F$41)/$U222-SUM($EE222:HG222)=1,1,0))))</f>
        <v>1</v>
      </c>
      <c r="HI222" s="8">
        <f>IF(HI$56-Voorblad!$F$41&gt;Voorblad!$K$41,0,IF($U222=0,0,IF($U222&lt;1,1/$U222,IF((HI$56-Voorblad!$F$41)/$U222-SUM($EE222:HH222)=1,1,0))))</f>
        <v>1</v>
      </c>
      <c r="HJ222" s="8">
        <f>IF(HJ$56-Voorblad!$F$41&gt;Voorblad!$K$41,0,IF($U222=0,0,IF($U222&lt;1,1/$U222,IF((HJ$56-Voorblad!$F$41)/$U222-SUM($EE222:HI222)=1,1,0))))</f>
        <v>1</v>
      </c>
      <c r="HK222" s="8">
        <f>IF(HK$56-Voorblad!$F$41&gt;Voorblad!$K$41,0,IF($U222=0,0,IF($U222&lt;1,1/$U222,IF((HK$56-Voorblad!$F$41)/$U222-SUM($EE222:HJ222)=1,1,0))))</f>
        <v>1</v>
      </c>
      <c r="HL222" s="8">
        <f>IF(HL$56-Voorblad!$F$41&gt;Voorblad!$K$41,0,IF($U222=0,0,IF($U222&lt;1,1/$U222,IF((HL$56-Voorblad!$F$41)/$U222-SUM($EE222:HK222)=1,1,0))))</f>
        <v>1</v>
      </c>
      <c r="HM222" s="8">
        <f>IF(HM$56-Voorblad!$F$41&gt;Voorblad!$K$41,0,IF($U222=0,0,IF($U222&lt;1,1/$U222,IF((HM$56-Voorblad!$F$41)/$U222-SUM($EE222:HL222)=1,1,0))))</f>
        <v>1</v>
      </c>
      <c r="HN222" s="8">
        <f>IF(HN$56-Voorblad!$F$41&gt;Voorblad!$K$41,0,IF($U222=0,0,IF($U222&lt;1,1/$U222,IF((HN$56-Voorblad!$F$41)/$U222-SUM($EE222:HM222)=1,1,0))))</f>
        <v>1</v>
      </c>
      <c r="HO222" s="8">
        <f>IF(HO$56-Voorblad!$F$41&gt;Voorblad!$K$41,0,IF($U222=0,0,IF($U222&lt;1,1/$U222,IF((HO$56-Voorblad!$F$41)/$U222-SUM($EE222:HN222)=1,1,0))))</f>
        <v>1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14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1</v>
      </c>
      <c r="HC223" s="8">
        <f>IF(HC$56-Voorblad!$F$41&gt;Voorblad!$K$41,0,IF($U223=0,0,IF($U223&lt;1,1/$U223,IF((HC$56-Voorblad!$F$41)/$U223-SUM($EE223:HB223)=1,1,0))))</f>
        <v>1</v>
      </c>
      <c r="HD223" s="8">
        <f>IF(HD$56-Voorblad!$F$41&gt;Voorblad!$K$41,0,IF($U223=0,0,IF($U223&lt;1,1/$U223,IF((HD$56-Voorblad!$F$41)/$U223-SUM($EE223:HC223)=1,1,0))))</f>
        <v>1</v>
      </c>
      <c r="HE223" s="8">
        <f>IF(HE$56-Voorblad!$F$41&gt;Voorblad!$K$41,0,IF($U223=0,0,IF($U223&lt;1,1/$U223,IF((HE$56-Voorblad!$F$41)/$U223-SUM($EE223:HD223)=1,1,0))))</f>
        <v>1</v>
      </c>
      <c r="HF223" s="8">
        <f>IF(HF$56-Voorblad!$F$41&gt;Voorblad!$K$41,0,IF($U223=0,0,IF($U223&lt;1,1/$U223,IF((HF$56-Voorblad!$F$41)/$U223-SUM($EE223:HE223)=1,1,0))))</f>
        <v>1</v>
      </c>
      <c r="HG223" s="8">
        <f>IF(HG$56-Voorblad!$F$41&gt;Voorblad!$K$41,0,IF($U223=0,0,IF($U223&lt;1,1/$U223,IF((HG$56-Voorblad!$F$41)/$U223-SUM($EE223:HF223)=1,1,0))))</f>
        <v>1</v>
      </c>
      <c r="HH223" s="8">
        <f>IF(HH$56-Voorblad!$F$41&gt;Voorblad!$K$41,0,IF($U223=0,0,IF($U223&lt;1,1/$U223,IF((HH$56-Voorblad!$F$41)/$U223-SUM($EE223:HG223)=1,1,0))))</f>
        <v>1</v>
      </c>
      <c r="HI223" s="8">
        <f>IF(HI$56-Voorblad!$F$41&gt;Voorblad!$K$41,0,IF($U223=0,0,IF($U223&lt;1,1/$U223,IF((HI$56-Voorblad!$F$41)/$U223-SUM($EE223:HH223)=1,1,0))))</f>
        <v>1</v>
      </c>
      <c r="HJ223" s="8">
        <f>IF(HJ$56-Voorblad!$F$41&gt;Voorblad!$K$41,0,IF($U223=0,0,IF($U223&lt;1,1/$U223,IF((HJ$56-Voorblad!$F$41)/$U223-SUM($EE223:HI223)=1,1,0))))</f>
        <v>1</v>
      </c>
      <c r="HK223" s="8">
        <f>IF(HK$56-Voorblad!$F$41&gt;Voorblad!$K$41,0,IF($U223=0,0,IF($U223&lt;1,1/$U223,IF((HK$56-Voorblad!$F$41)/$U223-SUM($EE223:HJ223)=1,1,0))))</f>
        <v>1</v>
      </c>
      <c r="HL223" s="8">
        <f>IF(HL$56-Voorblad!$F$41&gt;Voorblad!$K$41,0,IF($U223=0,0,IF($U223&lt;1,1/$U223,IF((HL$56-Voorblad!$F$41)/$U223-SUM($EE223:HK223)=1,1,0))))</f>
        <v>1</v>
      </c>
      <c r="HM223" s="8">
        <f>IF(HM$56-Voorblad!$F$41&gt;Voorblad!$K$41,0,IF($U223=0,0,IF($U223&lt;1,1/$U223,IF((HM$56-Voorblad!$F$41)/$U223-SUM($EE223:HL223)=1,1,0))))</f>
        <v>1</v>
      </c>
      <c r="HN223" s="8">
        <f>IF(HN$56-Voorblad!$F$41&gt;Voorblad!$K$41,0,IF($U223=0,0,IF($U223&lt;1,1/$U223,IF((HN$56-Voorblad!$F$41)/$U223-SUM($EE223:HM223)=1,1,0))))</f>
        <v>1</v>
      </c>
      <c r="HO223" s="8">
        <f>IF(HO$56-Voorblad!$F$41&gt;Voorblad!$K$41,0,IF($U223=0,0,IF($U223&lt;1,1/$U223,IF((HO$56-Voorblad!$F$41)/$U223-SUM($EE223:HN223)=1,1,0))))</f>
        <v>1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14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7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1</v>
      </c>
      <c r="HC224" s="8">
        <f>IF(HC$56-Voorblad!$F$41&gt;Voorblad!$K$41,0,IF($U224=0,0,IF($U224&lt;1,1/$U224,IF((HC$56-Voorblad!$F$41)/$U224-SUM($EE224:HB224)=1,1,0))))</f>
        <v>1</v>
      </c>
      <c r="HD224" s="8">
        <f>IF(HD$56-Voorblad!$F$41&gt;Voorblad!$K$41,0,IF($U224=0,0,IF($U224&lt;1,1/$U224,IF((HD$56-Voorblad!$F$41)/$U224-SUM($EE224:HC224)=1,1,0))))</f>
        <v>1</v>
      </c>
      <c r="HE224" s="8">
        <f>IF(HE$56-Voorblad!$F$41&gt;Voorblad!$K$41,0,IF($U224=0,0,IF($U224&lt;1,1/$U224,IF((HE$56-Voorblad!$F$41)/$U224-SUM($EE224:HD224)=1,1,0))))</f>
        <v>1</v>
      </c>
      <c r="HF224" s="8">
        <f>IF(HF$56-Voorblad!$F$41&gt;Voorblad!$K$41,0,IF($U224=0,0,IF($U224&lt;1,1/$U224,IF((HF$56-Voorblad!$F$41)/$U224-SUM($EE224:HE224)=1,1,0))))</f>
        <v>1</v>
      </c>
      <c r="HG224" s="8">
        <f>IF(HG$56-Voorblad!$F$41&gt;Voorblad!$K$41,0,IF($U224=0,0,IF($U224&lt;1,1/$U224,IF((HG$56-Voorblad!$F$41)/$U224-SUM($EE224:HF224)=1,1,0))))</f>
        <v>1</v>
      </c>
      <c r="HH224" s="8">
        <f>IF(HH$56-Voorblad!$F$41&gt;Voorblad!$K$41,0,IF($U224=0,0,IF($U224&lt;1,1/$U224,IF((HH$56-Voorblad!$F$41)/$U224-SUM($EE224:HG224)=1,1,0))))</f>
        <v>1</v>
      </c>
      <c r="HI224" s="8">
        <f>IF(HI$56-Voorblad!$F$41&gt;Voorblad!$K$41,0,IF($U224=0,0,IF($U224&lt;1,1/$U224,IF((HI$56-Voorblad!$F$41)/$U224-SUM($EE224:HH224)=1,1,0))))</f>
        <v>1</v>
      </c>
      <c r="HJ224" s="8">
        <f>IF(HJ$56-Voorblad!$F$41&gt;Voorblad!$K$41,0,IF($U224=0,0,IF($U224&lt;1,1/$U224,IF((HJ$56-Voorblad!$F$41)/$U224-SUM($EE224:HI224)=1,1,0))))</f>
        <v>1</v>
      </c>
      <c r="HK224" s="8">
        <f>IF(HK$56-Voorblad!$F$41&gt;Voorblad!$K$41,0,IF($U224=0,0,IF($U224&lt;1,1/$U224,IF((HK$56-Voorblad!$F$41)/$U224-SUM($EE224:HJ224)=1,1,0))))</f>
        <v>1</v>
      </c>
      <c r="HL224" s="8">
        <f>IF(HL$56-Voorblad!$F$41&gt;Voorblad!$K$41,0,IF($U224=0,0,IF($U224&lt;1,1/$U224,IF((HL$56-Voorblad!$F$41)/$U224-SUM($EE224:HK224)=1,1,0))))</f>
        <v>1</v>
      </c>
      <c r="HM224" s="8">
        <f>IF(HM$56-Voorblad!$F$41&gt;Voorblad!$K$41,0,IF($U224=0,0,IF($U224&lt;1,1/$U224,IF((HM$56-Voorblad!$F$41)/$U224-SUM($EE224:HL224)=1,1,0))))</f>
        <v>1</v>
      </c>
      <c r="HN224" s="8">
        <f>IF(HN$56-Voorblad!$F$41&gt;Voorblad!$K$41,0,IF($U224=0,0,IF($U224&lt;1,1/$U224,IF((HN$56-Voorblad!$F$41)/$U224-SUM($EE224:HM224)=1,1,0))))</f>
        <v>1</v>
      </c>
      <c r="HO224" s="8">
        <f>IF(HO$56-Voorblad!$F$41&gt;Voorblad!$K$41,0,IF($U224=0,0,IF($U224&lt;1,1/$U224,IF((HO$56-Voorblad!$F$41)/$U224-SUM($EE224:HN224)=1,1,0))))</f>
        <v>1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274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263</v>
      </c>
      <c r="P229" s="1" t="s">
        <v>317</v>
      </c>
      <c r="Q229" s="84">
        <f>2*(16.3+16.38)*0.035</f>
        <v>2.2876000000000003</v>
      </c>
      <c r="R229" s="1" t="s">
        <v>101</v>
      </c>
      <c r="S229" s="1">
        <v>-200</v>
      </c>
      <c r="T229" s="21">
        <f t="shared" ref="T229:T236" si="201">Q229*S229</f>
        <v>-457.52000000000004</v>
      </c>
      <c r="U229" s="11">
        <v>1</v>
      </c>
      <c r="V229" s="14">
        <f>Voorblad!F24+100</f>
        <v>2115</v>
      </c>
      <c r="W229" s="9">
        <f>Voorblad!$K$77</f>
        <v>2115</v>
      </c>
      <c r="X229" s="6"/>
      <c r="Y229" s="9">
        <f t="shared" ref="Y229" si="202">SUM(AE229:EB229)</f>
        <v>-53.386788246713891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-53.386788246713891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1</v>
      </c>
      <c r="HC229" s="8">
        <f>IF(HC$56-Voorblad!$F$41&gt;Voorblad!$K$41,0,IF($U229=0,0,IF($U229&lt;1,1/$U229,IF((HC$56-Voorblad!$F$41)/$U229-SUM($EE229:HB229)=1,1,0))))</f>
        <v>1</v>
      </c>
      <c r="HD229" s="8">
        <f>IF(HD$56-Voorblad!$F$41&gt;Voorblad!$K$41,0,IF($U229=0,0,IF($U229&lt;1,1/$U229,IF((HD$56-Voorblad!$F$41)/$U229-SUM($EE229:HC229)=1,1,0))))</f>
        <v>1</v>
      </c>
      <c r="HE229" s="8">
        <f>IF(HE$56-Voorblad!$F$41&gt;Voorblad!$K$41,0,IF($U229=0,0,IF($U229&lt;1,1/$U229,IF((HE$56-Voorblad!$F$41)/$U229-SUM($EE229:HD229)=1,1,0))))</f>
        <v>1</v>
      </c>
      <c r="HF229" s="8">
        <f>IF(HF$56-Voorblad!$F$41&gt;Voorblad!$K$41,0,IF($U229=0,0,IF($U229&lt;1,1/$U229,IF((HF$56-Voorblad!$F$41)/$U229-SUM($EE229:HE229)=1,1,0))))</f>
        <v>1</v>
      </c>
      <c r="HG229" s="8">
        <f>IF(HG$56-Voorblad!$F$41&gt;Voorblad!$K$41,0,IF($U229=0,0,IF($U229&lt;1,1/$U229,IF((HG$56-Voorblad!$F$41)/$U229-SUM($EE229:HF229)=1,1,0))))</f>
        <v>1</v>
      </c>
      <c r="HH229" s="8">
        <f>IF(HH$56-Voorblad!$F$41&gt;Voorblad!$K$41,0,IF($U229=0,0,IF($U229&lt;1,1/$U229,IF((HH$56-Voorblad!$F$41)/$U229-SUM($EE229:HG229)=1,1,0))))</f>
        <v>1</v>
      </c>
      <c r="HI229" s="8">
        <f>IF(HI$56-Voorblad!$F$41&gt;Voorblad!$K$41,0,IF($U229=0,0,IF($U229&lt;1,1/$U229,IF((HI$56-Voorblad!$F$41)/$U229-SUM($EE229:HH229)=1,1,0))))</f>
        <v>1</v>
      </c>
      <c r="HJ229" s="8">
        <f>IF(HJ$56-Voorblad!$F$41&gt;Voorblad!$K$41,0,IF($U229=0,0,IF($U229&lt;1,1/$U229,IF((HJ$56-Voorblad!$F$41)/$U229-SUM($EE229:HI229)=1,1,0))))</f>
        <v>1</v>
      </c>
      <c r="HK229" s="8">
        <f>IF(HK$56-Voorblad!$F$41&gt;Voorblad!$K$41,0,IF($U229=0,0,IF($U229&lt;1,1/$U229,IF((HK$56-Voorblad!$F$41)/$U229-SUM($EE229:HJ229)=1,1,0))))</f>
        <v>1</v>
      </c>
      <c r="HL229" s="8">
        <f>IF(HL$56-Voorblad!$F$41&gt;Voorblad!$K$41,0,IF($U229=0,0,IF($U229&lt;1,1/$U229,IF((HL$56-Voorblad!$F$41)/$U229-SUM($EE229:HK229)=1,1,0))))</f>
        <v>1</v>
      </c>
      <c r="HM229" s="8">
        <f>IF(HM$56-Voorblad!$F$41&gt;Voorblad!$K$41,0,IF($U229=0,0,IF($U229&lt;1,1/$U229,IF((HM$56-Voorblad!$F$41)/$U229-SUM($EE229:HL229)=1,1,0))))</f>
        <v>1</v>
      </c>
      <c r="HN229" s="8">
        <f>IF(HN$56-Voorblad!$F$41&gt;Voorblad!$K$41,0,IF($U229=0,0,IF($U229&lt;1,1/$U229,IF((HN$56-Voorblad!$F$41)/$U229-SUM($EE229:HM229)=1,1,0))))</f>
        <v>1</v>
      </c>
      <c r="HO229" s="8">
        <f>IF(HO$56-Voorblad!$F$41&gt;Voorblad!$K$41,0,IF($U229=0,0,IF($U229&lt;1,1/$U229,IF((HO$56-Voorblad!$F$41)/$U229-SUM($EE229:HN229)=1,1,0))))</f>
        <v>1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264</v>
      </c>
      <c r="O230" s="1" t="s">
        <v>103</v>
      </c>
      <c r="P230" s="1" t="s">
        <v>315</v>
      </c>
      <c r="Q230" s="83">
        <f>2*371</f>
        <v>742</v>
      </c>
      <c r="R230" s="1" t="s">
        <v>101</v>
      </c>
      <c r="S230" s="1">
        <v>-50</v>
      </c>
      <c r="T230" s="21">
        <f t="shared" si="201"/>
        <v>-37100</v>
      </c>
      <c r="U230" s="11">
        <v>1</v>
      </c>
      <c r="V230" s="14">
        <f>Voorblad!F24+100</f>
        <v>2115</v>
      </c>
      <c r="W230" s="9">
        <f>Voorblad!$K$77</f>
        <v>2115</v>
      </c>
      <c r="X230" s="6"/>
      <c r="Y230" s="9">
        <f t="shared" ref="Y230" si="203">SUM(AE230:EB230)</f>
        <v>-4329.1000261258196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-4329.1000261258196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1</v>
      </c>
      <c r="HC230" s="8">
        <f>IF(HC$56-Voorblad!$F$41&gt;Voorblad!$K$41,0,IF($U230=0,0,IF($U230&lt;1,1/$U230,IF((HC$56-Voorblad!$F$41)/$U230-SUM($EE230:HB230)=1,1,0))))</f>
        <v>1</v>
      </c>
      <c r="HD230" s="8">
        <f>IF(HD$56-Voorblad!$F$41&gt;Voorblad!$K$41,0,IF($U230=0,0,IF($U230&lt;1,1/$U230,IF((HD$56-Voorblad!$F$41)/$U230-SUM($EE230:HC230)=1,1,0))))</f>
        <v>1</v>
      </c>
      <c r="HE230" s="8">
        <f>IF(HE$56-Voorblad!$F$41&gt;Voorblad!$K$41,0,IF($U230=0,0,IF($U230&lt;1,1/$U230,IF((HE$56-Voorblad!$F$41)/$U230-SUM($EE230:HD230)=1,1,0))))</f>
        <v>1</v>
      </c>
      <c r="HF230" s="8">
        <f>IF(HF$56-Voorblad!$F$41&gt;Voorblad!$K$41,0,IF($U230=0,0,IF($U230&lt;1,1/$U230,IF((HF$56-Voorblad!$F$41)/$U230-SUM($EE230:HE230)=1,1,0))))</f>
        <v>1</v>
      </c>
      <c r="HG230" s="8">
        <f>IF(HG$56-Voorblad!$F$41&gt;Voorblad!$K$41,0,IF($U230=0,0,IF($U230&lt;1,1/$U230,IF((HG$56-Voorblad!$F$41)/$U230-SUM($EE230:HF230)=1,1,0))))</f>
        <v>1</v>
      </c>
      <c r="HH230" s="8">
        <f>IF(HH$56-Voorblad!$F$41&gt;Voorblad!$K$41,0,IF($U230=0,0,IF($U230&lt;1,1/$U230,IF((HH$56-Voorblad!$F$41)/$U230-SUM($EE230:HG230)=1,1,0))))</f>
        <v>1</v>
      </c>
      <c r="HI230" s="8">
        <f>IF(HI$56-Voorblad!$F$41&gt;Voorblad!$K$41,0,IF($U230=0,0,IF($U230&lt;1,1/$U230,IF((HI$56-Voorblad!$F$41)/$U230-SUM($EE230:HH230)=1,1,0))))</f>
        <v>1</v>
      </c>
      <c r="HJ230" s="8">
        <f>IF(HJ$56-Voorblad!$F$41&gt;Voorblad!$K$41,0,IF($U230=0,0,IF($U230&lt;1,1/$U230,IF((HJ$56-Voorblad!$F$41)/$U230-SUM($EE230:HI230)=1,1,0))))</f>
        <v>1</v>
      </c>
      <c r="HK230" s="8">
        <f>IF(HK$56-Voorblad!$F$41&gt;Voorblad!$K$41,0,IF($U230=0,0,IF($U230&lt;1,1/$U230,IF((HK$56-Voorblad!$F$41)/$U230-SUM($EE230:HJ230)=1,1,0))))</f>
        <v>1</v>
      </c>
      <c r="HL230" s="8">
        <f>IF(HL$56-Voorblad!$F$41&gt;Voorblad!$K$41,0,IF($U230=0,0,IF($U230&lt;1,1/$U230,IF((HL$56-Voorblad!$F$41)/$U230-SUM($EE230:HK230)=1,1,0))))</f>
        <v>1</v>
      </c>
      <c r="HM230" s="8">
        <f>IF(HM$56-Voorblad!$F$41&gt;Voorblad!$K$41,0,IF($U230=0,0,IF($U230&lt;1,1/$U230,IF((HM$56-Voorblad!$F$41)/$U230-SUM($EE230:HL230)=1,1,0))))</f>
        <v>1</v>
      </c>
      <c r="HN230" s="8">
        <f>IF(HN$56-Voorblad!$F$41&gt;Voorblad!$K$41,0,IF($U230=0,0,IF($U230&lt;1,1/$U230,IF((HN$56-Voorblad!$F$41)/$U230-SUM($EE230:HM230)=1,1,0))))</f>
        <v>1</v>
      </c>
      <c r="HO230" s="8">
        <f>IF(HO$56-Voorblad!$F$41&gt;Voorblad!$K$41,0,IF($U230=0,0,IF($U230&lt;1,1/$U230,IF((HO$56-Voorblad!$F$41)/$U230-SUM($EE230:HN230)=1,1,0))))</f>
        <v>1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265</v>
      </c>
      <c r="O231" s="1" t="s">
        <v>102</v>
      </c>
      <c r="Q231" s="83">
        <f>0.5*Q230</f>
        <v>371</v>
      </c>
      <c r="R231" s="1" t="s">
        <v>101</v>
      </c>
      <c r="S231" s="1">
        <v>-200</v>
      </c>
      <c r="T231" s="21">
        <f t="shared" si="201"/>
        <v>-74200</v>
      </c>
      <c r="U231" s="11">
        <v>1</v>
      </c>
      <c r="V231" s="14">
        <f>Voorblad!F24+100</f>
        <v>2115</v>
      </c>
      <c r="W231" s="9">
        <f>Voorblad!$K$77</f>
        <v>2115</v>
      </c>
      <c r="X231" s="6"/>
      <c r="Y231" s="9">
        <f t="shared" ref="Y231:Y234" si="204">SUM(AE231:EB231)</f>
        <v>-8658.2000522516391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-8658.2000522516391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1</v>
      </c>
      <c r="HC231" s="8">
        <f>IF(HC$56-Voorblad!$F$41&gt;Voorblad!$K$41,0,IF($U231=0,0,IF($U231&lt;1,1/$U231,IF((HC$56-Voorblad!$F$41)/$U231-SUM($EE231:HB231)=1,1,0))))</f>
        <v>1</v>
      </c>
      <c r="HD231" s="8">
        <f>IF(HD$56-Voorblad!$F$41&gt;Voorblad!$K$41,0,IF($U231=0,0,IF($U231&lt;1,1/$U231,IF((HD$56-Voorblad!$F$41)/$U231-SUM($EE231:HC231)=1,1,0))))</f>
        <v>1</v>
      </c>
      <c r="HE231" s="8">
        <f>IF(HE$56-Voorblad!$F$41&gt;Voorblad!$K$41,0,IF($U231=0,0,IF($U231&lt;1,1/$U231,IF((HE$56-Voorblad!$F$41)/$U231-SUM($EE231:HD231)=1,1,0))))</f>
        <v>1</v>
      </c>
      <c r="HF231" s="8">
        <f>IF(HF$56-Voorblad!$F$41&gt;Voorblad!$K$41,0,IF($U231=0,0,IF($U231&lt;1,1/$U231,IF((HF$56-Voorblad!$F$41)/$U231-SUM($EE231:HE231)=1,1,0))))</f>
        <v>1</v>
      </c>
      <c r="HG231" s="8">
        <f>IF(HG$56-Voorblad!$F$41&gt;Voorblad!$K$41,0,IF($U231=0,0,IF($U231&lt;1,1/$U231,IF((HG$56-Voorblad!$F$41)/$U231-SUM($EE231:HF231)=1,1,0))))</f>
        <v>1</v>
      </c>
      <c r="HH231" s="8">
        <f>IF(HH$56-Voorblad!$F$41&gt;Voorblad!$K$41,0,IF($U231=0,0,IF($U231&lt;1,1/$U231,IF((HH$56-Voorblad!$F$41)/$U231-SUM($EE231:HG231)=1,1,0))))</f>
        <v>1</v>
      </c>
      <c r="HI231" s="8">
        <f>IF(HI$56-Voorblad!$F$41&gt;Voorblad!$K$41,0,IF($U231=0,0,IF($U231&lt;1,1/$U231,IF((HI$56-Voorblad!$F$41)/$U231-SUM($EE231:HH231)=1,1,0))))</f>
        <v>1</v>
      </c>
      <c r="HJ231" s="8">
        <f>IF(HJ$56-Voorblad!$F$41&gt;Voorblad!$K$41,0,IF($U231=0,0,IF($U231&lt;1,1/$U231,IF((HJ$56-Voorblad!$F$41)/$U231-SUM($EE231:HI231)=1,1,0))))</f>
        <v>1</v>
      </c>
      <c r="HK231" s="8">
        <f>IF(HK$56-Voorblad!$F$41&gt;Voorblad!$K$41,0,IF($U231=0,0,IF($U231&lt;1,1/$U231,IF((HK$56-Voorblad!$F$41)/$U231-SUM($EE231:HJ231)=1,1,0))))</f>
        <v>1</v>
      </c>
      <c r="HL231" s="8">
        <f>IF(HL$56-Voorblad!$F$41&gt;Voorblad!$K$41,0,IF($U231=0,0,IF($U231&lt;1,1/$U231,IF((HL$56-Voorblad!$F$41)/$U231-SUM($EE231:HK231)=1,1,0))))</f>
        <v>1</v>
      </c>
      <c r="HM231" s="8">
        <f>IF(HM$56-Voorblad!$F$41&gt;Voorblad!$K$41,0,IF($U231=0,0,IF($U231&lt;1,1/$U231,IF((HM$56-Voorblad!$F$41)/$U231-SUM($EE231:HL231)=1,1,0))))</f>
        <v>1</v>
      </c>
      <c r="HN231" s="8">
        <f>IF(HN$56-Voorblad!$F$41&gt;Voorblad!$K$41,0,IF($U231=0,0,IF($U231&lt;1,1/$U231,IF((HN$56-Voorblad!$F$41)/$U231-SUM($EE231:HM231)=1,1,0))))</f>
        <v>1</v>
      </c>
      <c r="HO231" s="8">
        <f>IF(HO$56-Voorblad!$F$41&gt;Voorblad!$K$41,0,IF($U231=0,0,IF($U231&lt;1,1/$U231,IF((HO$56-Voorblad!$F$41)/$U231-SUM($EE231:HN231)=1,1,0))))</f>
        <v>1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266</v>
      </c>
      <c r="O232" s="1" t="s">
        <v>138</v>
      </c>
      <c r="P232" s="1" t="s">
        <v>316</v>
      </c>
      <c r="Q232" s="83">
        <f>2.3*516</f>
        <v>1186.8</v>
      </c>
      <c r="R232" s="1" t="s">
        <v>101</v>
      </c>
      <c r="S232" s="1">
        <v>-50</v>
      </c>
      <c r="T232" s="21">
        <f t="shared" si="201"/>
        <v>-59340</v>
      </c>
      <c r="U232" s="11">
        <v>1</v>
      </c>
      <c r="V232" s="14">
        <f>Voorblad!F24+100</f>
        <v>2115</v>
      </c>
      <c r="W232" s="9">
        <f>Voorblad!$K$77</f>
        <v>2115</v>
      </c>
      <c r="X232" s="6"/>
      <c r="Y232" s="9">
        <f t="shared" ref="Y232" si="205">SUM(AE232:EB232)</f>
        <v>-6924.2262951564999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-6924.2262951564999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1</v>
      </c>
      <c r="HC232" s="8">
        <f>IF(HC$56-Voorblad!$F$41&gt;Voorblad!$K$41,0,IF($U232=0,0,IF($U232&lt;1,1/$U232,IF((HC$56-Voorblad!$F$41)/$U232-SUM($EE232:HB232)=1,1,0))))</f>
        <v>1</v>
      </c>
      <c r="HD232" s="8">
        <f>IF(HD$56-Voorblad!$F$41&gt;Voorblad!$K$41,0,IF($U232=0,0,IF($U232&lt;1,1/$U232,IF((HD$56-Voorblad!$F$41)/$U232-SUM($EE232:HC232)=1,1,0))))</f>
        <v>1</v>
      </c>
      <c r="HE232" s="8">
        <f>IF(HE$56-Voorblad!$F$41&gt;Voorblad!$K$41,0,IF($U232=0,0,IF($U232&lt;1,1/$U232,IF((HE$56-Voorblad!$F$41)/$U232-SUM($EE232:HD232)=1,1,0))))</f>
        <v>1</v>
      </c>
      <c r="HF232" s="8">
        <f>IF(HF$56-Voorblad!$F$41&gt;Voorblad!$K$41,0,IF($U232=0,0,IF($U232&lt;1,1/$U232,IF((HF$56-Voorblad!$F$41)/$U232-SUM($EE232:HE232)=1,1,0))))</f>
        <v>1</v>
      </c>
      <c r="HG232" s="8">
        <f>IF(HG$56-Voorblad!$F$41&gt;Voorblad!$K$41,0,IF($U232=0,0,IF($U232&lt;1,1/$U232,IF((HG$56-Voorblad!$F$41)/$U232-SUM($EE232:HF232)=1,1,0))))</f>
        <v>1</v>
      </c>
      <c r="HH232" s="8">
        <f>IF(HH$56-Voorblad!$F$41&gt;Voorblad!$K$41,0,IF($U232=0,0,IF($U232&lt;1,1/$U232,IF((HH$56-Voorblad!$F$41)/$U232-SUM($EE232:HG232)=1,1,0))))</f>
        <v>1</v>
      </c>
      <c r="HI232" s="8">
        <f>IF(HI$56-Voorblad!$F$41&gt;Voorblad!$K$41,0,IF($U232=0,0,IF($U232&lt;1,1/$U232,IF((HI$56-Voorblad!$F$41)/$U232-SUM($EE232:HH232)=1,1,0))))</f>
        <v>1</v>
      </c>
      <c r="HJ232" s="8">
        <f>IF(HJ$56-Voorblad!$F$41&gt;Voorblad!$K$41,0,IF($U232=0,0,IF($U232&lt;1,1/$U232,IF((HJ$56-Voorblad!$F$41)/$U232-SUM($EE232:HI232)=1,1,0))))</f>
        <v>1</v>
      </c>
      <c r="HK232" s="8">
        <f>IF(HK$56-Voorblad!$F$41&gt;Voorblad!$K$41,0,IF($U232=0,0,IF($U232&lt;1,1/$U232,IF((HK$56-Voorblad!$F$41)/$U232-SUM($EE232:HJ232)=1,1,0))))</f>
        <v>1</v>
      </c>
      <c r="HL232" s="8">
        <f>IF(HL$56-Voorblad!$F$41&gt;Voorblad!$K$41,0,IF($U232=0,0,IF($U232&lt;1,1/$U232,IF((HL$56-Voorblad!$F$41)/$U232-SUM($EE232:HK232)=1,1,0))))</f>
        <v>1</v>
      </c>
      <c r="HM232" s="8">
        <f>IF(HM$56-Voorblad!$F$41&gt;Voorblad!$K$41,0,IF($U232=0,0,IF($U232&lt;1,1/$U232,IF((HM$56-Voorblad!$F$41)/$U232-SUM($EE232:HL232)=1,1,0))))</f>
        <v>1</v>
      </c>
      <c r="HN232" s="8">
        <f>IF(HN$56-Voorblad!$F$41&gt;Voorblad!$K$41,0,IF($U232=0,0,IF($U232&lt;1,1/$U232,IF((HN$56-Voorblad!$F$41)/$U232-SUM($EE232:HM232)=1,1,0))))</f>
        <v>1</v>
      </c>
      <c r="HO232" s="8">
        <f>IF(HO$56-Voorblad!$F$41&gt;Voorblad!$K$41,0,IF($U232=0,0,IF($U232&lt;1,1/$U232,IF((HO$56-Voorblad!$F$41)/$U232-SUM($EE232:HN232)=1,1,0))))</f>
        <v>1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267</v>
      </c>
      <c r="O233" s="1" t="s">
        <v>137</v>
      </c>
      <c r="Q233" s="83">
        <f>0.2*Q232</f>
        <v>237.36</v>
      </c>
      <c r="R233" s="1" t="s">
        <v>101</v>
      </c>
      <c r="S233" s="1">
        <v>-200</v>
      </c>
      <c r="T233" s="21">
        <f t="shared" si="201"/>
        <v>-47472</v>
      </c>
      <c r="U233" s="11">
        <v>1</v>
      </c>
      <c r="V233" s="14">
        <f>Voorblad!F24+100</f>
        <v>2115</v>
      </c>
      <c r="W233" s="9">
        <f>Voorblad!$K$77</f>
        <v>2115</v>
      </c>
      <c r="X233" s="6"/>
      <c r="Y233" s="9">
        <f t="shared" ref="Y233" si="206">SUM(AE233:EB233)</f>
        <v>-5539.3810361251999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-5539.3810361251999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1</v>
      </c>
      <c r="HC233" s="8">
        <f>IF(HC$56-Voorblad!$F$41&gt;Voorblad!$K$41,0,IF($U233=0,0,IF($U233&lt;1,1/$U233,IF((HC$56-Voorblad!$F$41)/$U233-SUM($EE233:HB233)=1,1,0))))</f>
        <v>1</v>
      </c>
      <c r="HD233" s="8">
        <f>IF(HD$56-Voorblad!$F$41&gt;Voorblad!$K$41,0,IF($U233=0,0,IF($U233&lt;1,1/$U233,IF((HD$56-Voorblad!$F$41)/$U233-SUM($EE233:HC233)=1,1,0))))</f>
        <v>1</v>
      </c>
      <c r="HE233" s="8">
        <f>IF(HE$56-Voorblad!$F$41&gt;Voorblad!$K$41,0,IF($U233=0,0,IF($U233&lt;1,1/$U233,IF((HE$56-Voorblad!$F$41)/$U233-SUM($EE233:HD233)=1,1,0))))</f>
        <v>1</v>
      </c>
      <c r="HF233" s="8">
        <f>IF(HF$56-Voorblad!$F$41&gt;Voorblad!$K$41,0,IF($U233=0,0,IF($U233&lt;1,1/$U233,IF((HF$56-Voorblad!$F$41)/$U233-SUM($EE233:HE233)=1,1,0))))</f>
        <v>1</v>
      </c>
      <c r="HG233" s="8">
        <f>IF(HG$56-Voorblad!$F$41&gt;Voorblad!$K$41,0,IF($U233=0,0,IF($U233&lt;1,1/$U233,IF((HG$56-Voorblad!$F$41)/$U233-SUM($EE233:HF233)=1,1,0))))</f>
        <v>1</v>
      </c>
      <c r="HH233" s="8">
        <f>IF(HH$56-Voorblad!$F$41&gt;Voorblad!$K$41,0,IF($U233=0,0,IF($U233&lt;1,1/$U233,IF((HH$56-Voorblad!$F$41)/$U233-SUM($EE233:HG233)=1,1,0))))</f>
        <v>1</v>
      </c>
      <c r="HI233" s="8">
        <f>IF(HI$56-Voorblad!$F$41&gt;Voorblad!$K$41,0,IF($U233=0,0,IF($U233&lt;1,1/$U233,IF((HI$56-Voorblad!$F$41)/$U233-SUM($EE233:HH233)=1,1,0))))</f>
        <v>1</v>
      </c>
      <c r="HJ233" s="8">
        <f>IF(HJ$56-Voorblad!$F$41&gt;Voorblad!$K$41,0,IF($U233=0,0,IF($U233&lt;1,1/$U233,IF((HJ$56-Voorblad!$F$41)/$U233-SUM($EE233:HI233)=1,1,0))))</f>
        <v>1</v>
      </c>
      <c r="HK233" s="8">
        <f>IF(HK$56-Voorblad!$F$41&gt;Voorblad!$K$41,0,IF($U233=0,0,IF($U233&lt;1,1/$U233,IF((HK$56-Voorblad!$F$41)/$U233-SUM($EE233:HJ233)=1,1,0))))</f>
        <v>1</v>
      </c>
      <c r="HL233" s="8">
        <f>IF(HL$56-Voorblad!$F$41&gt;Voorblad!$K$41,0,IF($U233=0,0,IF($U233&lt;1,1/$U233,IF((HL$56-Voorblad!$F$41)/$U233-SUM($EE233:HK233)=1,1,0))))</f>
        <v>1</v>
      </c>
      <c r="HM233" s="8">
        <f>IF(HM$56-Voorblad!$F$41&gt;Voorblad!$K$41,0,IF($U233=0,0,IF($U233&lt;1,1/$U233,IF((HM$56-Voorblad!$F$41)/$U233-SUM($EE233:HL233)=1,1,0))))</f>
        <v>1</v>
      </c>
      <c r="HN233" s="8">
        <f>IF(HN$56-Voorblad!$F$41&gt;Voorblad!$K$41,0,IF($U233=0,0,IF($U233&lt;1,1/$U233,IF((HN$56-Voorblad!$F$41)/$U233-SUM($EE233:HM233)=1,1,0))))</f>
        <v>1</v>
      </c>
      <c r="HO233" s="8">
        <f>IF(HO$56-Voorblad!$F$41&gt;Voorblad!$K$41,0,IF($U233=0,0,IF($U233&lt;1,1/$U233,IF((HO$56-Voorblad!$F$41)/$U233-SUM($EE233:HN233)=1,1,0))))</f>
        <v>1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268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2115</v>
      </c>
      <c r="W234" s="9">
        <f>Voorblad!$K$77</f>
        <v>2115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1</v>
      </c>
      <c r="HC234" s="8">
        <f>IF(HC$56-Voorblad!$F$41&gt;Voorblad!$K$41,0,IF($U234=0,0,IF($U234&lt;1,1/$U234,IF((HC$56-Voorblad!$F$41)/$U234-SUM($EE234:HB234)=1,1,0))))</f>
        <v>1</v>
      </c>
      <c r="HD234" s="8">
        <f>IF(HD$56-Voorblad!$F$41&gt;Voorblad!$K$41,0,IF($U234=0,0,IF($U234&lt;1,1/$U234,IF((HD$56-Voorblad!$F$41)/$U234-SUM($EE234:HC234)=1,1,0))))</f>
        <v>1</v>
      </c>
      <c r="HE234" s="8">
        <f>IF(HE$56-Voorblad!$F$41&gt;Voorblad!$K$41,0,IF($U234=0,0,IF($U234&lt;1,1/$U234,IF((HE$56-Voorblad!$F$41)/$U234-SUM($EE234:HD234)=1,1,0))))</f>
        <v>1</v>
      </c>
      <c r="HF234" s="8">
        <f>IF(HF$56-Voorblad!$F$41&gt;Voorblad!$K$41,0,IF($U234=0,0,IF($U234&lt;1,1/$U234,IF((HF$56-Voorblad!$F$41)/$U234-SUM($EE234:HE234)=1,1,0))))</f>
        <v>1</v>
      </c>
      <c r="HG234" s="8">
        <f>IF(HG$56-Voorblad!$F$41&gt;Voorblad!$K$41,0,IF($U234=0,0,IF($U234&lt;1,1/$U234,IF((HG$56-Voorblad!$F$41)/$U234-SUM($EE234:HF234)=1,1,0))))</f>
        <v>1</v>
      </c>
      <c r="HH234" s="8">
        <f>IF(HH$56-Voorblad!$F$41&gt;Voorblad!$K$41,0,IF($U234=0,0,IF($U234&lt;1,1/$U234,IF((HH$56-Voorblad!$F$41)/$U234-SUM($EE234:HG234)=1,1,0))))</f>
        <v>1</v>
      </c>
      <c r="HI234" s="8">
        <f>IF(HI$56-Voorblad!$F$41&gt;Voorblad!$K$41,0,IF($U234=0,0,IF($U234&lt;1,1/$U234,IF((HI$56-Voorblad!$F$41)/$U234-SUM($EE234:HH234)=1,1,0))))</f>
        <v>1</v>
      </c>
      <c r="HJ234" s="8">
        <f>IF(HJ$56-Voorblad!$F$41&gt;Voorblad!$K$41,0,IF($U234=0,0,IF($U234&lt;1,1/$U234,IF((HJ$56-Voorblad!$F$41)/$U234-SUM($EE234:HI234)=1,1,0))))</f>
        <v>1</v>
      </c>
      <c r="HK234" s="8">
        <f>IF(HK$56-Voorblad!$F$41&gt;Voorblad!$K$41,0,IF($U234=0,0,IF($U234&lt;1,1/$U234,IF((HK$56-Voorblad!$F$41)/$U234-SUM($EE234:HJ234)=1,1,0))))</f>
        <v>1</v>
      </c>
      <c r="HL234" s="8">
        <f>IF(HL$56-Voorblad!$F$41&gt;Voorblad!$K$41,0,IF($U234=0,0,IF($U234&lt;1,1/$U234,IF((HL$56-Voorblad!$F$41)/$U234-SUM($EE234:HK234)=1,1,0))))</f>
        <v>1</v>
      </c>
      <c r="HM234" s="8">
        <f>IF(HM$56-Voorblad!$F$41&gt;Voorblad!$K$41,0,IF($U234=0,0,IF($U234&lt;1,1/$U234,IF((HM$56-Voorblad!$F$41)/$U234-SUM($EE234:HL234)=1,1,0))))</f>
        <v>1</v>
      </c>
      <c r="HN234" s="8">
        <f>IF(HN$56-Voorblad!$F$41&gt;Voorblad!$K$41,0,IF($U234=0,0,IF($U234&lt;1,1/$U234,IF((HN$56-Voorblad!$F$41)/$U234-SUM($EE234:HM234)=1,1,0))))</f>
        <v>1</v>
      </c>
      <c r="HO234" s="8">
        <f>IF(HO$56-Voorblad!$F$41&gt;Voorblad!$K$41,0,IF($U234=0,0,IF($U234&lt;1,1/$U234,IF((HO$56-Voorblad!$F$41)/$U234-SUM($EE234:HN234)=1,1,0))))</f>
        <v>1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Q235" s="83">
        <v>0</v>
      </c>
      <c r="R235" s="1" t="s">
        <v>101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2115</v>
      </c>
      <c r="W235" s="9">
        <f>Voorblad!$K$77</f>
        <v>2115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1</v>
      </c>
      <c r="HC235" s="8">
        <f>IF(HC$56-Voorblad!$F$41&gt;Voorblad!$K$41,0,IF($U235=0,0,IF($U235&lt;1,1/$U235,IF((HC$56-Voorblad!$F$41)/$U235-SUM($EE235:HB235)=1,1,0))))</f>
        <v>1</v>
      </c>
      <c r="HD235" s="8">
        <f>IF(HD$56-Voorblad!$F$41&gt;Voorblad!$K$41,0,IF($U235=0,0,IF($U235&lt;1,1/$U235,IF((HD$56-Voorblad!$F$41)/$U235-SUM($EE235:HC235)=1,1,0))))</f>
        <v>1</v>
      </c>
      <c r="HE235" s="8">
        <f>IF(HE$56-Voorblad!$F$41&gt;Voorblad!$K$41,0,IF($U235=0,0,IF($U235&lt;1,1/$U235,IF((HE$56-Voorblad!$F$41)/$U235-SUM($EE235:HD235)=1,1,0))))</f>
        <v>1</v>
      </c>
      <c r="HF235" s="8">
        <f>IF(HF$56-Voorblad!$F$41&gt;Voorblad!$K$41,0,IF($U235=0,0,IF($U235&lt;1,1/$U235,IF((HF$56-Voorblad!$F$41)/$U235-SUM($EE235:HE235)=1,1,0))))</f>
        <v>1</v>
      </c>
      <c r="HG235" s="8">
        <f>IF(HG$56-Voorblad!$F$41&gt;Voorblad!$K$41,0,IF($U235=0,0,IF($U235&lt;1,1/$U235,IF((HG$56-Voorblad!$F$41)/$U235-SUM($EE235:HF235)=1,1,0))))</f>
        <v>1</v>
      </c>
      <c r="HH235" s="8">
        <f>IF(HH$56-Voorblad!$F$41&gt;Voorblad!$K$41,0,IF($U235=0,0,IF($U235&lt;1,1/$U235,IF((HH$56-Voorblad!$F$41)/$U235-SUM($EE235:HG235)=1,1,0))))</f>
        <v>1</v>
      </c>
      <c r="HI235" s="8">
        <f>IF(HI$56-Voorblad!$F$41&gt;Voorblad!$K$41,0,IF($U235=0,0,IF($U235&lt;1,1/$U235,IF((HI$56-Voorblad!$F$41)/$U235-SUM($EE235:HH235)=1,1,0))))</f>
        <v>1</v>
      </c>
      <c r="HJ235" s="8">
        <f>IF(HJ$56-Voorblad!$F$41&gt;Voorblad!$K$41,0,IF($U235=0,0,IF($U235&lt;1,1/$U235,IF((HJ$56-Voorblad!$F$41)/$U235-SUM($EE235:HI235)=1,1,0))))</f>
        <v>1</v>
      </c>
      <c r="HK235" s="8">
        <f>IF(HK$56-Voorblad!$F$41&gt;Voorblad!$K$41,0,IF($U235=0,0,IF($U235&lt;1,1/$U235,IF((HK$56-Voorblad!$F$41)/$U235-SUM($EE235:HJ235)=1,1,0))))</f>
        <v>1</v>
      </c>
      <c r="HL235" s="8">
        <f>IF(HL$56-Voorblad!$F$41&gt;Voorblad!$K$41,0,IF($U235=0,0,IF($U235&lt;1,1/$U235,IF((HL$56-Voorblad!$F$41)/$U235-SUM($EE235:HK235)=1,1,0))))</f>
        <v>1</v>
      </c>
      <c r="HM235" s="8">
        <f>IF(HM$56-Voorblad!$F$41&gt;Voorblad!$K$41,0,IF($U235=0,0,IF($U235&lt;1,1/$U235,IF((HM$56-Voorblad!$F$41)/$U235-SUM($EE235:HL235)=1,1,0))))</f>
        <v>1</v>
      </c>
      <c r="HN235" s="8">
        <f>IF(HN$56-Voorblad!$F$41&gt;Voorblad!$K$41,0,IF($U235=0,0,IF($U235&lt;1,1/$U235,IF((HN$56-Voorblad!$F$41)/$U235-SUM($EE235:HM235)=1,1,0))))</f>
        <v>1</v>
      </c>
      <c r="HO235" s="8">
        <f>IF(HO$56-Voorblad!$F$41&gt;Voorblad!$K$41,0,IF($U235=0,0,IF($U235&lt;1,1/$U235,IF((HO$56-Voorblad!$F$41)/$U235-SUM($EE235:HN235)=1,1,0))))</f>
        <v>1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K236" s="1" t="s">
        <v>307</v>
      </c>
      <c r="Q236" s="83">
        <v>0</v>
      </c>
      <c r="R236" s="81" t="s">
        <v>101</v>
      </c>
      <c r="S236" s="81"/>
      <c r="T236" s="14">
        <f t="shared" si="201"/>
        <v>0</v>
      </c>
      <c r="U236" s="11">
        <v>1</v>
      </c>
      <c r="V236" s="14">
        <f>Voorblad!F24+100</f>
        <v>2115</v>
      </c>
      <c r="W236" s="9">
        <f>Voorblad!$K$77</f>
        <v>2115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1</v>
      </c>
      <c r="HC236" s="8">
        <f>IF(HC$56-Voorblad!$F$41&gt;Voorblad!$K$41,0,IF($U236=0,0,IF($U236&lt;1,1/$U236,IF((HC$56-Voorblad!$F$41)/$U236-SUM($EE236:HB236)=1,1,0))))</f>
        <v>1</v>
      </c>
      <c r="HD236" s="8">
        <f>IF(HD$56-Voorblad!$F$41&gt;Voorblad!$K$41,0,IF($U236=0,0,IF($U236&lt;1,1/$U236,IF((HD$56-Voorblad!$F$41)/$U236-SUM($EE236:HC236)=1,1,0))))</f>
        <v>1</v>
      </c>
      <c r="HE236" s="8">
        <f>IF(HE$56-Voorblad!$F$41&gt;Voorblad!$K$41,0,IF($U236=0,0,IF($U236&lt;1,1/$U236,IF((HE$56-Voorblad!$F$41)/$U236-SUM($EE236:HD236)=1,1,0))))</f>
        <v>1</v>
      </c>
      <c r="HF236" s="8">
        <f>IF(HF$56-Voorblad!$F$41&gt;Voorblad!$K$41,0,IF($U236=0,0,IF($U236&lt;1,1/$U236,IF((HF$56-Voorblad!$F$41)/$U236-SUM($EE236:HE236)=1,1,0))))</f>
        <v>1</v>
      </c>
      <c r="HG236" s="8">
        <f>IF(HG$56-Voorblad!$F$41&gt;Voorblad!$K$41,0,IF($U236=0,0,IF($U236&lt;1,1/$U236,IF((HG$56-Voorblad!$F$41)/$U236-SUM($EE236:HF236)=1,1,0))))</f>
        <v>1</v>
      </c>
      <c r="HH236" s="8">
        <f>IF(HH$56-Voorblad!$F$41&gt;Voorblad!$K$41,0,IF($U236=0,0,IF($U236&lt;1,1/$U236,IF((HH$56-Voorblad!$F$41)/$U236-SUM($EE236:HG236)=1,1,0))))</f>
        <v>1</v>
      </c>
      <c r="HI236" s="8">
        <f>IF(HI$56-Voorblad!$F$41&gt;Voorblad!$K$41,0,IF($U236=0,0,IF($U236&lt;1,1/$U236,IF((HI$56-Voorblad!$F$41)/$U236-SUM($EE236:HH236)=1,1,0))))</f>
        <v>1</v>
      </c>
      <c r="HJ236" s="8">
        <f>IF(HJ$56-Voorblad!$F$41&gt;Voorblad!$K$41,0,IF($U236=0,0,IF($U236&lt;1,1/$U236,IF((HJ$56-Voorblad!$F$41)/$U236-SUM($EE236:HI236)=1,1,0))))</f>
        <v>1</v>
      </c>
      <c r="HK236" s="8">
        <f>IF(HK$56-Voorblad!$F$41&gt;Voorblad!$K$41,0,IF($U236=0,0,IF($U236&lt;1,1/$U236,IF((HK$56-Voorblad!$F$41)/$U236-SUM($EE236:HJ236)=1,1,0))))</f>
        <v>1</v>
      </c>
      <c r="HL236" s="8">
        <f>IF(HL$56-Voorblad!$F$41&gt;Voorblad!$K$41,0,IF($U236=0,0,IF($U236&lt;1,1/$U236,IF((HL$56-Voorblad!$F$41)/$U236-SUM($EE236:HK236)=1,1,0))))</f>
        <v>1</v>
      </c>
      <c r="HM236" s="8">
        <f>IF(HM$56-Voorblad!$F$41&gt;Voorblad!$K$41,0,IF($U236=0,0,IF($U236&lt;1,1/$U236,IF((HM$56-Voorblad!$F$41)/$U236-SUM($EE236:HL236)=1,1,0))))</f>
        <v>1</v>
      </c>
      <c r="HN236" s="8">
        <f>IF(HN$56-Voorblad!$F$41&gt;Voorblad!$K$41,0,IF($U236=0,0,IF($U236&lt;1,1/$U236,IF((HN$56-Voorblad!$F$41)/$U236-SUM($EE236:HM236)=1,1,0))))</f>
        <v>1</v>
      </c>
      <c r="HO236" s="8">
        <f>IF(HO$56-Voorblad!$F$41&gt;Voorblad!$K$41,0,IF($U236=0,0,IF($U236&lt;1,1/$U236,IF((HO$56-Voorblad!$F$41)/$U236-SUM($EE236:HN236)=1,1,0))))</f>
        <v>1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273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-218569.52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BE7987-5940-42B3-A8E9-EDAEAF82DEB9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de75ed97-d5d0-480f-8c5e-5314c0bb509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2019-12-12T10:36:03Z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