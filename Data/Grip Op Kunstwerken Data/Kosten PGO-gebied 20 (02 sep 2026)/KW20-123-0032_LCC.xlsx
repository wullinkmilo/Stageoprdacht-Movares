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A81FE3F9-3154-4484-9D39-DE2D6088BD87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39" i="1" l="1"/>
  <c r="Q235" i="1" l="1"/>
  <c r="Q230" i="1"/>
  <c r="Q149" i="1"/>
  <c r="Q46" i="1"/>
  <c r="Q115" i="1" l="1"/>
  <c r="Q139" i="1" l="1"/>
  <c r="Q133" i="1"/>
  <c r="Q122" i="1"/>
  <c r="Q117" i="1"/>
  <c r="Q229" i="1"/>
  <c r="Q146" i="1"/>
  <c r="Q137" i="1"/>
  <c r="Q136" i="1"/>
  <c r="Q113" i="1"/>
  <c r="Q233" i="1" l="1"/>
  <c r="Q231" i="1"/>
  <c r="N64" i="2" l="1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N63" i="2"/>
  <c r="N62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4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6" i="2" l="1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FE232" i="1"/>
  <c r="BD232" i="1" s="1"/>
  <c r="FE233" i="1"/>
  <c r="BD233" i="1" s="1"/>
  <c r="FE93" i="1"/>
  <c r="BD93" i="1" s="1"/>
  <c r="FE160" i="1"/>
  <c r="BD160" i="1" s="1"/>
  <c r="FE60" i="1"/>
  <c r="BD60" i="1" s="1"/>
  <c r="FE159" i="1"/>
  <c r="BD159" i="1" s="1"/>
  <c r="FE59" i="1"/>
  <c r="BD59" i="1" s="1"/>
  <c r="FE229" i="1"/>
  <c r="BD229" i="1" s="1"/>
  <c r="FE235" i="1"/>
  <c r="BD235" i="1" s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3" i="1"/>
  <c r="FE197" i="1"/>
  <c r="BD197" i="1" s="1"/>
  <c r="FE224" i="1"/>
  <c r="FE222" i="1"/>
  <c r="FE223" i="1"/>
  <c r="FE221" i="1"/>
  <c r="BD221" i="1" s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FP232" i="1"/>
  <c r="BO232" i="1" s="1"/>
  <c r="FP233" i="1"/>
  <c r="BO233" i="1" s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29" i="1"/>
  <c r="BO235" i="1"/>
  <c r="FP229" i="1"/>
  <c r="FP111" i="1"/>
  <c r="BO111" i="1" s="1"/>
  <c r="FP110" i="1"/>
  <c r="BO110" i="1" s="1"/>
  <c r="FP236" i="1"/>
  <c r="BO236" i="1" s="1"/>
  <c r="BO231" i="1"/>
  <c r="FP218" i="1"/>
  <c r="BO218" i="1" s="1"/>
  <c r="FP234" i="1"/>
  <c r="BO234" i="1" s="1"/>
  <c r="FP231" i="1"/>
  <c r="FP230" i="1"/>
  <c r="BO230" i="1" s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FQ232" i="1"/>
  <c r="BP232" i="1" s="1"/>
  <c r="FQ233" i="1"/>
  <c r="BP233" i="1" s="1"/>
  <c r="FQ93" i="1"/>
  <c r="BP93" i="1" s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BP236" i="1" s="1"/>
  <c r="FQ110" i="1"/>
  <c r="BP110" i="1" s="1"/>
  <c r="BP231" i="1"/>
  <c r="FQ218" i="1"/>
  <c r="BP218" i="1" s="1"/>
  <c r="FQ231" i="1"/>
  <c r="FQ230" i="1"/>
  <c r="BP230" i="1" s="1"/>
  <c r="FQ234" i="1"/>
  <c r="BP234" i="1" s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GJ232" i="1"/>
  <c r="CI232" i="1" s="1"/>
  <c r="GJ233" i="1"/>
  <c r="CI233" i="1" s="1"/>
  <c r="GJ93" i="1"/>
  <c r="CI93" i="1" s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CI236" i="1" s="1"/>
  <c r="GJ218" i="1"/>
  <c r="CI218" i="1" s="1"/>
  <c r="GJ234" i="1"/>
  <c r="CI234" i="1" s="1"/>
  <c r="GJ230" i="1"/>
  <c r="GJ231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GK218" i="1"/>
  <c r="CJ218" i="1" s="1"/>
  <c r="GK234" i="1"/>
  <c r="CJ234" i="1" s="1"/>
  <c r="GK231" i="1"/>
  <c r="CJ231" i="1" s="1"/>
  <c r="GK230" i="1"/>
  <c r="CJ230" i="1" s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M63" i="2" s="1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<sst xmlns="http://schemas.openxmlformats.org/spreadsheetml/2006/main" count="1026" uniqueCount="315">
  <si>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</si>
  <si>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</si>
  <si>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</si>
  <si>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</si>
  <si>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</si>
  <si>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</si>
  <si>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</si>
  <si>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</si>
  <si>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</si>
  <si>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</si>
  <si>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</si>
  <si>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</si>
  <si>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</si>
  <si>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</si>
  <si>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</si>
  <si>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</si>
  <si>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</si>
  <si>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</si>
  <si>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</si>
  <si>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</si>
  <si>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</si>
  <si>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</si>
  <si>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</si>
  <si>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</si>
  <si>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</si>
  <si>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</si>
  <si>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</si>
  <si>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</si>
  <si>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</si>
  <si>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</si>
  <si>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</si>
  <si>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</si>
  <si>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</si>
  <si>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</si>
  <si>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</si>
  <si>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</si>
  <si>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</si>
  <si>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</si>
  <si>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</si>
  <si>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</si>
  <si>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</si>
  <si>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</si>
  <si>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</si>
  <si>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</si>
  <si>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</si>
  <si>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</si>
  <si>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</si>
  <si>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</si>
  <si>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</si>
  <si>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</si>
  <si>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</si>
  <si>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</si>
  <si>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</si>
  <si>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</si>
  <si>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</si>
  <si>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</si>
  <si>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</si>
  <si>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</si>
  <si>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</si>
  <si>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</si>
  <si>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</si>
  <si>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</si>
  <si>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</si>
  <si>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</si>
  <si>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</si>
  <si>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</si>
  <si>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</si>
  <si>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</si>
  <si>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</si>
  <si>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</si>
  <si>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</si>
  <si>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</si>
  <si>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</si>
  <si>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</si>
  <si>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</si>
  <si>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</si>
  <si>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</si>
  <si>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</si>
  <si>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</si>
  <si>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</si>
  <si>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</si>
  <si>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</si>
  <si>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</si>
  <si>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</si>
  <si>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</si>
  <si>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</si>
  <si>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</si>
  <si>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</si>
  <si>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</si>
  <si>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</si>
  <si>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</si>
  <si>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</si>
  <si>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</si>
  <si>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</si>
  <si>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</si>
  <si>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</si>
  <si>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</si>
  <si>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</si>
  <si>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</si>
  <si>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</si>
  <si>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</si>
  <si>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</si>
  <si>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</si>
  <si>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</si>
  <si>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</si>
  <si>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</si>
  <si>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</si>
  <si>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</si>
  <si>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</si>
  <si>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</si>
  <si>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</si>
  <si>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</si>
  <si>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</si>
  <si>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</si>
  <si>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</si>
  <si>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</si>
  <si>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</si>
  <si>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</si>
  <si>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</si>
  <si>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</si>
  <si>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</si>
  <si>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</si>
  <si>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</si>
  <si>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</si>
  <si>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</si>
  <si>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</si>
  <si>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</si>
  <si>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</si>
  <si>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</si>
  <si>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</si>
  <si>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</si>
  <si>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</si>
  <si>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</si>
  <si>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</si>
  <si>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</si>
  <si>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</si>
  <si>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</si>
  <si>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</si>
  <si>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</si>
  <si>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</si>
  <si>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</si>
  <si>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</si>
  <si>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</si>
  <si>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</si>
  <si>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</si>
  <si>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</si>
  <si>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</si>
  <si>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</si>
  <si>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</si>
  <si>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</si>
  <si>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</si>
  <si>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</si>
  <si>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</si>
  <si>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</si>
  <si>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</si>
  <si>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</si>
  <si>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</si>
  <si>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</si>
  <si>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</si>
  <si>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</si>
  <si>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</si>
  <si>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</si>
  <si>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</si>
  <si>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</si>
  <si>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</si>
  <si>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</si>
  <si>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</si>
  <si>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</si>
  <si>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</si>
  <si>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</si>
  <si>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</si>
  <si>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</si>
  <si>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</si>
  <si>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</si>
  <si>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</si>
  <si>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</si>
  <si>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</si>
  <si>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</si>
  <si>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</si>
  <si>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</si>
  <si>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</si>
  <si>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</si>
  <si>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</si>
  <si>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</si>
  <si>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</si>
  <si>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</si>
  <si>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</si>
  <si>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</si>
  <si>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</si>
  <si>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</si>
  <si>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</si>
  <si>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</si>
  <si>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</si>
  <si>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</si>
  <si>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</si>
  <si>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</si>
  <si>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</si>
  <si>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</si>
  <si>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</si>
  <si>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</si>
  <si>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</si>
  <si>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</si>
  <si>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</si>
  <si>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</si>
  <si>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</si>
  <si>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</si>
  <si>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</si>
  <si>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</si>
  <si>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</si>
  <si>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</si>
  <si>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</si>
  <si>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</si>
  <si>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</si>
  <si>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</si>
  <si>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</si>
  <si>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</si>
  <si>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</si>
  <si>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</si>
  <si>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</si>
  <si>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</si>
  <si>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</si>
  <si>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</si>
  <si>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</si>
  <si>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</si>
  <si>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</si>
  <si>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</si>
  <si>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</si>
  <si>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</si>
  <si>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</si>
  <si>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</si>
  <si>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</si>
  <si>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</si>
  <si>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</si>
  <si>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</si>
  <si>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</si>
  <si>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</si>
  <si>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</si>
  <si>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</si>
  <si>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</si>
  <si>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</si>
  <si>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</si>
  <si>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</si>
  <si>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</si>
  <si>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</si>
  <si>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</si>
  <si>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</si>
  <si>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</si>
  <si>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</si>
  <si>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</si>
  <si>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</si>
  <si>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</si>
  <si>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</si>
  <si>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</si>
  <si>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</si>
  <si>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</si>
  <si>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</si>
  <si>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</si>
  <si>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</si>
  <si>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</si>
  <si>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</si>
  <si>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</si>
  <si>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</si>
  <si>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</si>
  <si>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</si>
  <si>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</si>
  <si>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</si>
  <si>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</si>
  <si>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</si>
  <si>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</si>
  <si>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</si>
  <si>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</si>
  <si>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</si>
  <si>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</si>
  <si>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</si>
  <si>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</si>
  <si>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</si>
  <si>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</si>
  <si>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</si>
  <si>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</si>
  <si>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</si>
  <si>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</si>
  <si>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</si>
  <si>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</si>
  <si>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</si>
  <si>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</si>
  <si>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</si>
  <si>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</si>
  <si>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</si>
  <si>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</si>
  <si>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</si>
  <si>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</si>
  <si>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</si>
  <si>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</si>
  <si>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</si>
  <si>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</si>
  <si>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</si>
  <si>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</si>
  <si>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</si>
  <si>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</si>
  <si>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</si>
  <si>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alleen spoordek</t>
  </si>
  <si>
    <t>2 nieuwe betonnen landhoofden op palen</t>
  </si>
  <si>
    <t>Totaal kosten cat. 2 (advies IB tlv ProRail AM)</t>
  </si>
  <si>
    <t>Gewapend betonnen duiker</t>
  </si>
  <si>
    <t>zicht gedeelte betonwerk</t>
  </si>
  <si>
    <t>Gilse Rijen</t>
  </si>
  <si>
    <t>leuningen 2x4,25 m1 á 35 kg/m1</t>
  </si>
  <si>
    <r>
      <t>vervanging gehele duiker BxL, uit</t>
    </r>
    <r>
      <rPr>
        <sz val="9"/>
        <color rgb="FFFF0000"/>
        <rFont val="Calibri"/>
        <family val="2"/>
      </rPr>
      <t>w BxH: 2,4x2,55m</t>
    </r>
  </si>
  <si>
    <t>KW20-123-0032</t>
  </si>
  <si>
    <t>Duiker (spoorviaduct) Broekdijk</t>
  </si>
  <si>
    <t>duiker: 51 m3</t>
  </si>
  <si>
    <t>restant oude metselwerkduiker: 100 m3</t>
  </si>
  <si>
    <t>aanbrengen fysieke afscheiding op de 2,50m grens tussen spoor en onderhoudspad aan zuidzijde</t>
  </si>
  <si>
    <t>insp/ko</t>
  </si>
  <si>
    <t>monitoren doorlopende krimpscheur halverwege duikerlengte (indien watervoerend scheur dan injecteren)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</si>
</sst>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2" fontId="6" fillId="5" borderId="0" xfId="0" applyNumberFormat="1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S61" sqref="S61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43810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/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308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309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12.869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305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1966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1966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303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111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226</v>
      </c>
      <c r="C33" s="101"/>
      <c r="D33" s="97"/>
      <c r="E33" s="97"/>
      <c r="F33" s="144"/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143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243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244</v>
      </c>
      <c r="C41" s="41"/>
      <c r="D41" s="40"/>
      <c r="E41" s="40"/>
      <c r="F41" s="102">
        <v>2028</v>
      </c>
      <c r="G41" s="41"/>
      <c r="H41" s="131" t="s">
        <v>245</v>
      </c>
      <c r="I41" s="40"/>
      <c r="J41" s="40"/>
      <c r="K41" s="103">
        <f>F24+100-F41</f>
        <v>38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246</v>
      </c>
      <c r="I42" s="40"/>
      <c r="J42" s="40"/>
      <c r="K42" s="46">
        <f>F41+K41</f>
        <v>2066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239</v>
      </c>
      <c r="C48" s="164" t="s">
        <v>240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279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aanbrengen fysieke afscheiding op de 2,50m grens tussen spoor en onderhoudspad aan zuidzijde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1416</v>
      </c>
      <c r="M52" s="64">
        <f>'Berekening MJOP+LTP'!Y39</f>
        <v>1347.7691850089234</v>
      </c>
      <c r="N52" s="61">
        <f>'Berekening MJOP+LTP'!AA39</f>
        <v>0</v>
      </c>
      <c r="O52" s="255">
        <f>'Berekening MJOP+LTP'!AC39</f>
        <v>153.99444012738232</v>
      </c>
      <c r="P52" s="234"/>
    </row>
    <row r="53" spans="2:16" x14ac:dyDescent="0.3">
      <c r="B53" s="109">
        <f>'Berekening MJOP+LTP'!B40</f>
        <v>2</v>
      </c>
      <c r="C53" s="66">
        <f>'Berekening MJOP+LTP'!D40</f>
        <v>3</v>
      </c>
      <c r="D53" s="145" t="str">
        <f>'Berekening MJOP+LTP'!K40</f>
        <v>monitoren doorlopende krimpscheur halverwege duikerlengte (indien watervoerend scheur dan injecteren)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1500</v>
      </c>
      <c r="M53" s="64">
        <f>'Berekening MJOP+LTP'!Y40</f>
        <v>1427.7215942891137</v>
      </c>
      <c r="N53" s="61">
        <f>'Berekening MJOP+LTP'!AA40</f>
        <v>0</v>
      </c>
      <c r="O53" s="255">
        <f>'Berekening MJOP+LTP'!AC40</f>
        <v>163.12970352476941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2066</v>
      </c>
      <c r="K59" s="159">
        <v>2066</v>
      </c>
      <c r="L59" s="156">
        <f>'Berekening MJOP+LTP'!T46</f>
        <v>209304</v>
      </c>
      <c r="M59" s="128">
        <f>'Berekening MJOP+LTP'!Y46</f>
        <v>0</v>
      </c>
      <c r="N59" s="129">
        <f>'Berekening MJOP+LTP'!AA46</f>
        <v>52</v>
      </c>
      <c r="O59" s="257">
        <f>'Berekening MJOP+LTP'!AC46</f>
        <v>0</v>
      </c>
      <c r="P59" s="235"/>
    </row>
    <row r="60" spans="2:16" x14ac:dyDescent="0.3">
      <c r="B60" s="207" t="s">
        <v>292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302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293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6500</v>
      </c>
      <c r="M62" s="214">
        <f>SUMIF(B51:B58,2,M51:M58)</f>
        <v>6070.7186488878579</v>
      </c>
      <c r="N62" s="247">
        <f>SUMIF(B51:B58,2,N51:N58)</f>
        <v>0</v>
      </c>
      <c r="O62" s="259">
        <f>SUMIF(B51:B58,2,O51:O58)</f>
        <v>693.63280441832853</v>
      </c>
      <c r="P62" s="236"/>
    </row>
    <row r="63" spans="2:16" x14ac:dyDescent="0.3">
      <c r="B63" s="211" t="s">
        <v>294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1416</v>
      </c>
      <c r="M63" s="214">
        <f>SUMIF(B51:B58,1,M51:M58)</f>
        <v>1347.7691850089234</v>
      </c>
      <c r="N63" s="247">
        <f>SUMIF(B51:B58,1,N51:N58)</f>
        <v>0</v>
      </c>
      <c r="O63" s="259">
        <f>SUMIF(B51:B58,1,O51:O58)</f>
        <v>153.99444012738232</v>
      </c>
      <c r="P63" s="236"/>
    </row>
    <row r="64" spans="2:16" x14ac:dyDescent="0.3">
      <c r="B64" s="211" t="s">
        <v>272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7916</v>
      </c>
      <c r="M64" s="214">
        <f>SUM(M51:M58)</f>
        <v>7418.487833896781</v>
      </c>
      <c r="N64" s="247">
        <f>SUM(N51:N58)</f>
        <v>0</v>
      </c>
      <c r="O64" s="259">
        <f>SUM(O51:O58)</f>
        <v>847.62724454571082</v>
      </c>
      <c r="P64" s="236"/>
    </row>
    <row r="65" spans="2:16" x14ac:dyDescent="0.3">
      <c r="B65" s="211" t="s">
        <v>295</v>
      </c>
      <c r="C65" s="194"/>
      <c r="D65" s="212"/>
      <c r="E65" s="212"/>
      <c r="F65" s="194"/>
      <c r="G65" s="205" t="s">
        <v>256</v>
      </c>
      <c r="H65" s="196"/>
      <c r="I65" s="213"/>
      <c r="J65" s="197"/>
      <c r="K65" s="224">
        <f>K59</f>
        <v>2066</v>
      </c>
      <c r="L65" s="214">
        <f>L59</f>
        <v>209304</v>
      </c>
      <c r="M65" s="214">
        <f>M59</f>
        <v>0</v>
      </c>
      <c r="N65" s="248">
        <f>N59</f>
        <v>52</v>
      </c>
      <c r="O65" s="259">
        <f>O59</f>
        <v>0</v>
      </c>
      <c r="P65" s="237"/>
    </row>
    <row r="66" spans="2:16" ht="15" thickBot="1" x14ac:dyDescent="0.35">
      <c r="B66" s="215" t="s">
        <v>273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228720</v>
      </c>
      <c r="M66" s="218">
        <f>SUM(M49:M59)</f>
        <v>17728.050885156918</v>
      </c>
      <c r="N66" s="249">
        <f>SUM(N49:N59)</f>
        <v>52</v>
      </c>
      <c r="O66" s="260">
        <f>SUM(O49:O59)</f>
        <v>2025.5851676794416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241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279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2066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11079.24401500931</v>
      </c>
      <c r="N75" s="61">
        <f>'Berekening MJOP+LTP'!AA125</f>
        <v>0</v>
      </c>
      <c r="O75" s="261">
        <f>'Berekening MJOP+LTP'!AC125</f>
        <v>455.02585906952982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1205.56306515138</v>
      </c>
      <c r="N76" s="61">
        <f>'Berekening MJOP+LTP'!AA147</f>
        <v>0</v>
      </c>
      <c r="O76" s="261">
        <f>'Berekening MJOP+LTP'!AC147</f>
        <v>49.5126173446358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2066</v>
      </c>
      <c r="K77" s="90">
        <v>2066</v>
      </c>
      <c r="L77" s="64">
        <f>'Berekening MJOP+LTP'!T154</f>
        <v>209304</v>
      </c>
      <c r="M77" s="64">
        <f>'Berekening MJOP+LTP'!Y154</f>
        <v>81897.49973760685</v>
      </c>
      <c r="N77" s="61">
        <f>'Berekening MJOP+LTP'!AA149</f>
        <v>52</v>
      </c>
      <c r="O77" s="261">
        <f>'Berekening MJOP+LTP'!AC154</f>
        <v>3363.5399782933509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2066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2066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2066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-24359.5</v>
      </c>
      <c r="M91" s="64"/>
      <c r="N91" s="251"/>
      <c r="O91" s="262"/>
      <c r="P91" s="241"/>
      <c r="Q91" s="27"/>
    </row>
    <row r="92" spans="2:17" x14ac:dyDescent="0.3">
      <c r="B92" s="207" t="s">
        <v>296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2066</v>
      </c>
      <c r="K92" s="219"/>
      <c r="L92" s="220"/>
      <c r="M92" s="220">
        <f t="shared" ref="M92:O94" si="1">M71+M75+M79+M83+M87</f>
        <v>11079.24401500931</v>
      </c>
      <c r="N92" s="267">
        <f t="shared" si="1"/>
        <v>0</v>
      </c>
      <c r="O92" s="263">
        <f t="shared" si="1"/>
        <v>455.02585906952982</v>
      </c>
      <c r="P92" s="242"/>
    </row>
    <row r="93" spans="2:17" x14ac:dyDescent="0.3">
      <c r="B93" s="211" t="s">
        <v>297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2066</v>
      </c>
      <c r="K93" s="221"/>
      <c r="L93" s="222"/>
      <c r="M93" s="222">
        <f t="shared" si="1"/>
        <v>1205.56306515138</v>
      </c>
      <c r="N93" s="252">
        <f t="shared" si="1"/>
        <v>0</v>
      </c>
      <c r="O93" s="264">
        <f t="shared" si="1"/>
        <v>49.5126173446358</v>
      </c>
      <c r="P93" s="243"/>
    </row>
    <row r="94" spans="2:17" x14ac:dyDescent="0.3">
      <c r="B94" s="211" t="s">
        <v>295</v>
      </c>
      <c r="C94" s="212"/>
      <c r="D94" s="212"/>
      <c r="E94" s="212"/>
      <c r="F94" s="194"/>
      <c r="G94" s="205" t="s">
        <v>256</v>
      </c>
      <c r="H94" s="196"/>
      <c r="I94" s="213"/>
      <c r="J94" s="197"/>
      <c r="K94" s="225">
        <f>K59</f>
        <v>2066</v>
      </c>
      <c r="L94" s="222">
        <f>L73+L77+L81+L85+L89</f>
        <v>209304</v>
      </c>
      <c r="M94" s="222">
        <f t="shared" si="1"/>
        <v>81897.49973760685</v>
      </c>
      <c r="N94" s="252">
        <f t="shared" si="1"/>
        <v>52</v>
      </c>
      <c r="O94" s="264">
        <f t="shared" si="1"/>
        <v>3363.5399782933509</v>
      </c>
      <c r="P94" s="243"/>
    </row>
    <row r="95" spans="2:17" ht="15" thickBot="1" x14ac:dyDescent="0.35">
      <c r="B95" s="215" t="s">
        <v>298</v>
      </c>
      <c r="C95" s="216"/>
      <c r="D95" s="216"/>
      <c r="E95" s="216"/>
      <c r="F95" s="199"/>
      <c r="G95" s="206" t="s">
        <v>256</v>
      </c>
      <c r="H95" s="201"/>
      <c r="I95" s="217"/>
      <c r="J95" s="202"/>
      <c r="K95" s="226">
        <f>K59</f>
        <v>2066</v>
      </c>
      <c r="L95" s="223">
        <f>L91</f>
        <v>-24359.5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257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258</v>
      </c>
      <c r="F99" s="177" t="s">
        <v>259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0.29750000000000004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102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51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180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="90" zoomScaleNormal="90" zoomScaleSheetLayoutView="90" workbookViewId="0">
      <pane ySplit="2" topLeftCell="A29" activePane="bottomLeft" state="frozen"/>
      <selection pane="bottomLeft" activeCell="N53" sqref="N53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285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252</v>
      </c>
      <c r="K9" s="1" t="s">
        <v>25</v>
      </c>
    </row>
    <row r="10" spans="2:236" ht="13.8" x14ac:dyDescent="0.3">
      <c r="B10" s="170"/>
      <c r="D10" s="168" t="s">
        <v>255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284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253</v>
      </c>
    </row>
    <row r="15" spans="2:236" ht="13.8" x14ac:dyDescent="0.3">
      <c r="B15" s="170"/>
      <c r="D15" s="168" t="s">
        <v>254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286</v>
      </c>
      <c r="K17" s="1" t="s">
        <v>248</v>
      </c>
    </row>
    <row r="18" spans="2:236" ht="13.8" x14ac:dyDescent="0.3">
      <c r="B18" s="170"/>
      <c r="D18" s="1" t="s">
        <v>40</v>
      </c>
      <c r="K18" s="1" t="s">
        <v>249</v>
      </c>
    </row>
    <row r="19" spans="2:236" ht="13.8" x14ac:dyDescent="0.3">
      <c r="B19" s="170"/>
      <c r="D19" s="1" t="s">
        <v>253</v>
      </c>
      <c r="K19" s="1" t="s">
        <v>250</v>
      </c>
    </row>
    <row r="20" spans="2:236" ht="13.8" x14ac:dyDescent="0.3">
      <c r="B20" s="170"/>
      <c r="D20" s="168" t="s">
        <v>254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251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47</v>
      </c>
      <c r="J39" s="76"/>
      <c r="K39" s="76" t="s">
        <v>312</v>
      </c>
      <c r="L39" s="76"/>
      <c r="M39" s="76"/>
      <c r="N39" s="76"/>
      <c r="O39" s="77"/>
      <c r="P39" s="77"/>
      <c r="Q39" s="81">
        <v>8</v>
      </c>
      <c r="R39" s="81" t="s">
        <v>34</v>
      </c>
      <c r="S39" s="83">
        <f>H15*100</f>
        <v>177</v>
      </c>
      <c r="T39" s="9">
        <f t="shared" si="4"/>
        <v>1416</v>
      </c>
      <c r="U39" s="11">
        <v>1</v>
      </c>
      <c r="V39" s="14"/>
      <c r="W39" s="9">
        <f>Voorblad!K52</f>
        <v>2020</v>
      </c>
      <c r="Y39" s="9">
        <f t="shared" ref="Y39:Y45" si="5">SUM(AE39:EB39)</f>
        <v>1347.7691850089234</v>
      </c>
      <c r="Z39" s="82"/>
      <c r="AA39" s="82"/>
      <c r="AC39" s="9">
        <f>$Y39*(Voorblad!$K$44*(1+Voorblad!$K$44)^Voorblad!$K$37)/((1+Voorblad!$K$44)^Voorblad!$K$37-1)</f>
        <v>153.99444012738232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1347.7691850089234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2</v>
      </c>
      <c r="C40" s="76" t="s">
        <v>22</v>
      </c>
      <c r="D40" s="78">
        <v>3</v>
      </c>
      <c r="E40" s="76" t="s">
        <v>22</v>
      </c>
      <c r="F40" s="76" t="s">
        <v>21</v>
      </c>
      <c r="G40" s="76"/>
      <c r="H40" s="76"/>
      <c r="I40" s="76" t="s">
        <v>313</v>
      </c>
      <c r="J40" s="76"/>
      <c r="K40" s="79" t="s">
        <v>314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1500</v>
      </c>
      <c r="T40" s="9">
        <f t="shared" si="4"/>
        <v>1500</v>
      </c>
      <c r="U40" s="11">
        <v>1</v>
      </c>
      <c r="V40" s="14"/>
      <c r="W40" s="9">
        <f>Voorblad!K53</f>
        <v>2020</v>
      </c>
      <c r="Y40" s="9">
        <f t="shared" si="5"/>
        <v>1427.7215942891137</v>
      </c>
      <c r="Z40" s="82"/>
      <c r="AA40" s="82"/>
      <c r="AC40" s="9">
        <f>$Y40*(Voorblad!$K$44*(1+Voorblad!$K$44)^Voorblad!$K$37)/((1+Voorblad!$K$44)^Voorblad!$K$37-1)</f>
        <v>163.12970352476941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1427.7215942891137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227</v>
      </c>
      <c r="P46" s="14" t="s">
        <v>307</v>
      </c>
      <c r="Q46" s="268">
        <f>19*2.4</f>
        <v>45.6</v>
      </c>
      <c r="R46" s="81" t="s">
        <v>35</v>
      </c>
      <c r="S46" s="81">
        <v>4590</v>
      </c>
      <c r="T46" s="9">
        <f t="shared" si="4"/>
        <v>209304</v>
      </c>
      <c r="U46" s="11">
        <v>1</v>
      </c>
      <c r="V46" s="1">
        <f>Voorblad!F24+100</f>
        <v>2066</v>
      </c>
      <c r="W46" s="9">
        <f>Voorblad!K59</f>
        <v>2066</v>
      </c>
      <c r="X46" s="6"/>
      <c r="Y46" s="9">
        <f>SUM(AE46:EB46)</f>
        <v>0</v>
      </c>
      <c r="Z46" s="82" t="s">
        <v>299</v>
      </c>
      <c r="AA46" s="82">
        <v>52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0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0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0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0</v>
      </c>
      <c r="FT61" s="8">
        <f>IF(FT$56-Voorblad!$F$41&gt;Voorblad!$K$41,0,IF($U61=0,0,IF($U61&lt;1,1/$U61,IF((FT$56-Voorblad!$F$41)/$U61-SUM($EE61:FS61)=1,1,0))))</f>
        <v>0</v>
      </c>
      <c r="FU61" s="8">
        <f>IF(FU$56-Voorblad!$F$41&gt;Voorblad!$K$41,0,IF($U61=0,0,IF($U61&lt;1,1/$U61,IF((FU$56-Voorblad!$F$41)/$U61-SUM($EE61:FT61)=1,1,0))))</f>
        <v>0</v>
      </c>
      <c r="FV61" s="8">
        <f>IF(FV$56-Voorblad!$F$41&gt;Voorblad!$K$41,0,IF($U61=0,0,IF($U61&lt;1,1/$U61,IF((FV$56-Voorblad!$F$41)/$U61-SUM($EE61:FU61)=1,1,0))))</f>
        <v>0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0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2066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0</v>
      </c>
      <c r="FT97" s="8">
        <f>IF(FT$56-Voorblad!$F$41&gt;Voorblad!$K$41,0,IF($U97=0,0,IF($U97&lt;1,1/$U97,IF((FT$56-Voorblad!$F$41)/$U97-SUM($EE97:FS97)=1,1,0))))</f>
        <v>0</v>
      </c>
      <c r="FU97" s="8">
        <f>IF(FU$56-Voorblad!$F$41&gt;Voorblad!$K$41,0,IF($U97=0,0,IF($U97&lt;1,1/$U97,IF((FU$56-Voorblad!$F$41)/$U97-SUM($EE97:FT97)=1,1,0))))</f>
        <v>0</v>
      </c>
      <c r="FV97" s="8">
        <f>IF(FV$56-Voorblad!$F$41&gt;Voorblad!$K$41,0,IF($U97=0,0,IF($U97&lt;1,1/$U97,IF((FV$56-Voorblad!$F$41)/$U97-SUM($EE97:FU97)=1,1,0))))</f>
        <v>0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0</v>
      </c>
      <c r="FT98" s="8">
        <f>IF(FT$56-Voorblad!$F$41&gt;Voorblad!$K$41,0,IF($U98=0,0,IF($U98&lt;1,1/$U98,IF((FT$56-Voorblad!$F$41)/$U98-SUM($EE98:FS98)=1,1,0))))</f>
        <v>0</v>
      </c>
      <c r="FU98" s="8">
        <f>IF(FU$56-Voorblad!$F$41&gt;Voorblad!$K$41,0,IF($U98=0,0,IF($U98&lt;1,1/$U98,IF((FU$56-Voorblad!$F$41)/$U98-SUM($EE98:FT98)=1,1,0))))</f>
        <v>0</v>
      </c>
      <c r="FV98" s="8">
        <f>IF(FV$56-Voorblad!$F$41&gt;Voorblad!$K$41,0,IF($U98=0,0,IF($U98&lt;1,1/$U98,IF((FV$56-Voorblad!$F$41)/$U98-SUM($EE98:FU98)=1,1,0))))</f>
        <v>0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0</v>
      </c>
      <c r="FT99" s="8">
        <f>IF(FT$56-Voorblad!$F$41&gt;Voorblad!$K$41,0,IF($U99=0,0,IF($U99&lt;1,1/$U99,IF((FT$56-Voorblad!$F$41)/$U99-SUM($EE99:FS99)=1,1,0))))</f>
        <v>0</v>
      </c>
      <c r="FU99" s="8">
        <f>IF(FU$56-Voorblad!$F$41&gt;Voorblad!$K$41,0,IF($U99=0,0,IF($U99&lt;1,1/$U99,IF((FU$56-Voorblad!$F$41)/$U99-SUM($EE99:FT99)=1,1,0))))</f>
        <v>0</v>
      </c>
      <c r="FV99" s="8">
        <f>IF(FV$56-Voorblad!$F$41&gt;Voorblad!$K$41,0,IF($U99=0,0,IF($U99&lt;1,1/$U99,IF((FV$56-Voorblad!$F$41)/$U99-SUM($EE99:FU99)=1,1,0))))</f>
        <v>0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0</v>
      </c>
      <c r="FT100" s="8">
        <f>IF(FT$56-Voorblad!$F$41&gt;Voorblad!$K$41,0,IF($U100=0,0,IF($U100&lt;1,1/$U100,IF((FT$56-Voorblad!$F$41)/$U100-SUM($EE100:FS100)=1,1,0))))</f>
        <v>0</v>
      </c>
      <c r="FU100" s="8">
        <f>IF(FU$56-Voorblad!$F$41&gt;Voorblad!$K$41,0,IF($U100=0,0,IF($U100&lt;1,1/$U100,IF((FU$56-Voorblad!$F$41)/$U100-SUM($EE100:FT100)=1,1,0))))</f>
        <v>0</v>
      </c>
      <c r="FV100" s="8">
        <f>IF(FV$56-Voorblad!$F$41&gt;Voorblad!$K$41,0,IF($U100=0,0,IF($U100&lt;1,1/$U100,IF((FV$56-Voorblad!$F$41)/$U100-SUM($EE100:FU100)=1,1,0))))</f>
        <v>0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0</v>
      </c>
      <c r="FT101" s="8">
        <f>IF(FT$56-Voorblad!$F$41&gt;Voorblad!$K$41,0,IF($U101=0,0,IF($U101&lt;1,1/$U101,IF((FT$56-Voorblad!$F$41)/$U101-SUM($EE101:FS101)=1,1,0))))</f>
        <v>0</v>
      </c>
      <c r="FU101" s="8">
        <f>IF(FU$56-Voorblad!$F$41&gt;Voorblad!$K$41,0,IF($U101=0,0,IF($U101&lt;1,1/$U101,IF((FU$56-Voorblad!$F$41)/$U101-SUM($EE101:FT101)=1,1,0))))</f>
        <v>0</v>
      </c>
      <c r="FV101" s="8">
        <f>IF(FV$56-Voorblad!$F$41&gt;Voorblad!$K$41,0,IF($U101=0,0,IF($U101&lt;1,1/$U101,IF((FV$56-Voorblad!$F$41)/$U101-SUM($EE101:FU101)=1,1,0))))</f>
        <v>0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0</v>
      </c>
      <c r="FT102" s="8">
        <f>IF(FT$56-Voorblad!$F$41&gt;Voorblad!$K$41,0,IF($U102=0,0,IF($U102&lt;1,1/$U102,IF((FT$56-Voorblad!$F$41)/$U102-SUM($EE102:FS102)=1,1,0))))</f>
        <v>0</v>
      </c>
      <c r="FU102" s="8">
        <f>IF(FU$56-Voorblad!$F$41&gt;Voorblad!$K$41,0,IF($U102=0,0,IF($U102&lt;1,1/$U102,IF((FU$56-Voorblad!$F$41)/$U102-SUM($EE102:FT102)=1,1,0))))</f>
        <v>0</v>
      </c>
      <c r="FV102" s="8">
        <f>IF(FV$56-Voorblad!$F$41&gt;Voorblad!$K$41,0,IF($U102=0,0,IF($U102&lt;1,1/$U102,IF((FV$56-Voorblad!$F$41)/$U102-SUM($EE102:FU102)=1,1,0))))</f>
        <v>0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0</v>
      </c>
      <c r="FT103" s="8">
        <f>IF(FT$56-Voorblad!$F$41&gt;Voorblad!$K$41,0,IF($U103=0,0,IF($U103&lt;1,1/$U103,IF((FT$56-Voorblad!$F$41)/$U103-SUM($EE103:FS103)=1,1,0))))</f>
        <v>0</v>
      </c>
      <c r="FU103" s="8">
        <f>IF(FU$56-Voorblad!$F$41&gt;Voorblad!$K$41,0,IF($U103=0,0,IF($U103&lt;1,1/$U103,IF((FU$56-Voorblad!$F$41)/$U103-SUM($EE103:FT103)=1,1,0))))</f>
        <v>0</v>
      </c>
      <c r="FV103" s="8">
        <f>IF(FV$56-Voorblad!$F$41&gt;Voorblad!$K$41,0,IF($U103=0,0,IF($U103&lt;1,1/$U103,IF((FV$56-Voorblad!$F$41)/$U103-SUM($EE103:FU103)=1,1,0))))</f>
        <v>0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0</v>
      </c>
      <c r="FT104" s="8">
        <f>IF(FT$56-Voorblad!$F$41&gt;Voorblad!$K$41,0,IF($U104=0,0,IF($U104&lt;1,1/$U104,IF((FT$56-Voorblad!$F$41)/$U104-SUM($EE104:FS104)=1,1,0))))</f>
        <v>0</v>
      </c>
      <c r="FU104" s="8">
        <f>IF(FU$56-Voorblad!$F$41&gt;Voorblad!$K$41,0,IF($U104=0,0,IF($U104&lt;1,1/$U104,IF((FU$56-Voorblad!$F$41)/$U104-SUM($EE104:FT104)=1,1,0))))</f>
        <v>0</v>
      </c>
      <c r="FV104" s="8">
        <f>IF(FV$56-Voorblad!$F$41&gt;Voorblad!$K$41,0,IF($U104=0,0,IF($U104&lt;1,1/$U104,IF((FV$56-Voorblad!$F$41)/$U104-SUM($EE104:FU104)=1,1,0))))</f>
        <v>0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3896.9147740915828</v>
      </c>
      <c r="Z109" s="82"/>
      <c r="AA109" s="82"/>
      <c r="AC109" s="9">
        <f>$Y109*(Voorblad!$K$44*(1+Voorblad!$K$44)^Voorblad!$K$41)/((1+Voorblad!$K$44)^Voorblad!$K$41-1)</f>
        <v>160.04674961572957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0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0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6" t="s">
        <v>304</v>
      </c>
      <c r="Q110" s="83">
        <v>30</v>
      </c>
      <c r="R110" s="1" t="s">
        <v>35</v>
      </c>
      <c r="S110" s="21">
        <f>$H$20*15</f>
        <v>26.55</v>
      </c>
      <c r="T110" s="9">
        <f t="shared" si="20"/>
        <v>796.5</v>
      </c>
      <c r="U110" s="14">
        <v>10</v>
      </c>
      <c r="V110" s="14"/>
      <c r="Y110" s="9">
        <f t="shared" si="21"/>
        <v>1488.0308817082432</v>
      </c>
      <c r="Z110" s="82"/>
      <c r="AA110" s="82"/>
      <c r="AC110" s="9">
        <f>$Y110*(Voorblad!$K$44*(1+Voorblad!$K$44)^Voorblad!$K$41)/((1+Voorblad!$K$44)^Voorblad!$K$41-1)</f>
        <v>61.113603902397159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622.22452697454162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486.0808059870584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379.72554874664326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0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0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0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0</v>
      </c>
      <c r="FT112" s="8">
        <f>IF(FT$56-Voorblad!$F$41&gt;Voorblad!$K$41,0,IF($U112=0,0,IF($U112&lt;1,1/$U112,IF((FT$56-Voorblad!$F$41)/$U112-SUM($EE112:FS112)=1,1,0))))</f>
        <v>0</v>
      </c>
      <c r="FU112" s="8">
        <f>IF(FU$56-Voorblad!$F$41&gt;Voorblad!$K$41,0,IF($U112=0,0,IF($U112&lt;1,1/$U112,IF((FU$56-Voorblad!$F$41)/$U112-SUM($EE112:FT112)=1,1,0))))</f>
        <v>0</v>
      </c>
      <c r="FV112" s="8">
        <f>IF(FV$56-Voorblad!$F$41&gt;Voorblad!$K$41,0,IF($U112=0,0,IF($U112&lt;1,1/$U112,IF((FV$56-Voorblad!$F$41)/$U112-SUM($EE112:FU112)=1,1,0))))</f>
        <v>0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4">
        <f>2*2.4</f>
        <v>4.8</v>
      </c>
      <c r="R113" s="147" t="s">
        <v>195</v>
      </c>
      <c r="S113" s="21">
        <f>$H$20*350</f>
        <v>619.5</v>
      </c>
      <c r="T113" s="9">
        <f t="shared" si="20"/>
        <v>2973.6</v>
      </c>
      <c r="U113" s="14">
        <v>15</v>
      </c>
      <c r="V113" s="14"/>
      <c r="Y113" s="9">
        <f>SUM(AE113:EB113)</f>
        <v>3470.8104284705432</v>
      </c>
      <c r="Z113" s="82"/>
      <c r="AA113" s="82"/>
      <c r="AC113" s="9">
        <f>$Y113*(Voorblad!$K$44*(1+Voorblad!$K$44)^Voorblad!$K$41)/((1+Voorblad!$K$44)^Voorblad!$K$41-1)</f>
        <v>142.54659385990291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2053.1683798164081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1417.6420486541349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268">
        <f>2.5%*2*2.4</f>
        <v>0.12</v>
      </c>
      <c r="R115" s="14" t="s">
        <v>34</v>
      </c>
      <c r="S115" s="21">
        <f>$H$20*1000</f>
        <v>1770</v>
      </c>
      <c r="T115" s="21">
        <f t="shared" si="20"/>
        <v>212.4</v>
      </c>
      <c r="U115" s="14">
        <v>15</v>
      </c>
      <c r="Y115" s="21">
        <f t="shared" si="22"/>
        <v>247.91503060503879</v>
      </c>
      <c r="Z115" s="149"/>
      <c r="AA115" s="149"/>
      <c r="AC115" s="9">
        <f>$Y115*(Voorblad!$K$44*(1+Voorblad!$K$44)^Voorblad!$K$41)/((1+Voorblad!$K$44)^Voorblad!$K$41-1)</f>
        <v>10.181899561421634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146.65488427260058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101.26014633243821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268">
        <f>2.5%*2*4.25</f>
        <v>0.21250000000000002</v>
      </c>
      <c r="R117" s="1" t="s">
        <v>34</v>
      </c>
      <c r="S117" s="14">
        <f>$H$20*500</f>
        <v>885</v>
      </c>
      <c r="T117" s="9">
        <f t="shared" si="20"/>
        <v>188.06250000000003</v>
      </c>
      <c r="U117" s="14">
        <v>15</v>
      </c>
      <c r="V117" s="14"/>
      <c r="Y117" s="9">
        <f t="shared" si="22"/>
        <v>219.50810001487812</v>
      </c>
      <c r="Z117" s="82"/>
      <c r="AA117" s="82"/>
      <c r="AC117" s="9">
        <f>$Y117*(Voorblad!$K$44*(1+Voorblad!$K$44)^Voorblad!$K$41)/((1+Voorblad!$K$44)^Voorblad!$K$41-1)</f>
        <v>9.0152235700087395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129.85067878303178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89.657421231846342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4">
        <f>2*4.25</f>
        <v>8.5</v>
      </c>
      <c r="R122" s="1" t="s">
        <v>34</v>
      </c>
      <c r="S122" s="14">
        <f>$H$20*100</f>
        <v>177</v>
      </c>
      <c r="T122" s="9">
        <f t="shared" si="20"/>
        <v>1504.5</v>
      </c>
      <c r="U122" s="14">
        <v>15</v>
      </c>
      <c r="V122" s="14"/>
      <c r="Y122" s="9">
        <f t="shared" si="23"/>
        <v>1756.0648001190248</v>
      </c>
      <c r="Z122" s="82"/>
      <c r="AA122" s="82"/>
      <c r="AC122" s="9">
        <f>$Y122*(Voorblad!$K$44*(1+Voorblad!$K$44)^Voorblad!$K$41)/((1+Voorblad!$K$44)^Voorblad!$K$41-1)</f>
        <v>72.121788560069916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1038.805430264254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717.25936985477063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11079.24401500931</v>
      </c>
      <c r="Z125" s="24"/>
      <c r="AA125" s="23">
        <f>SUM(AA109:AA124)</f>
        <v>0</v>
      </c>
      <c r="AC125" s="9">
        <f>$Y125*(Voorblad!$K$44*(1+Voorblad!$K$44)^Voorblad!$K$41)/((1+Voorblad!$K$44)^Voorblad!$K$41-1)</f>
        <v>455.02585906952982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1313.58511250181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3979.5413909387971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1026.1705904171233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3127.461811204993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0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1">
        <f>2*4.25</f>
        <v>8.5</v>
      </c>
      <c r="R133" s="1" t="s">
        <v>34</v>
      </c>
      <c r="S133" s="21">
        <f>$H$10*125</f>
        <v>297.5</v>
      </c>
      <c r="T133" s="9">
        <f t="shared" si="104"/>
        <v>2528.75</v>
      </c>
      <c r="U133" s="14">
        <v>30</v>
      </c>
      <c r="V133" s="14"/>
      <c r="Y133" s="9">
        <f t="shared" si="21"/>
        <v>1205.56306515138</v>
      </c>
      <c r="Z133" s="82"/>
      <c r="AA133" s="82"/>
      <c r="AC133" s="9">
        <f>$Y133*(Voorblad!$K$44*(1+Voorblad!$K$44)^Voorblad!$K$41)/((1+Voorblad!$K$44)^Voorblad!$K$41-1)</f>
        <v>49.5126173446358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1205.56306515138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4">
        <f>2*2.4</f>
        <v>4.8</v>
      </c>
      <c r="R136" s="147" t="s">
        <v>195</v>
      </c>
      <c r="S136" s="14">
        <f>$H$10*500</f>
        <v>1190</v>
      </c>
      <c r="T136" s="9">
        <f t="shared" si="104"/>
        <v>5712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7.5%*2*2.4</f>
        <v>0.36</v>
      </c>
      <c r="R137" s="14" t="s">
        <v>34</v>
      </c>
      <c r="S137" s="21">
        <f>$H$10*1000</f>
        <v>2380</v>
      </c>
      <c r="T137" s="21">
        <f t="shared" si="104"/>
        <v>856.8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1">
        <f>2*4.25</f>
        <v>8.5</v>
      </c>
      <c r="R139" s="1" t="s">
        <v>34</v>
      </c>
      <c r="S139" s="14">
        <f>$H$10*400</f>
        <v>952</v>
      </c>
      <c r="T139" s="9">
        <f t="shared" si="104"/>
        <v>8092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2*2.4</f>
        <v>4.8</v>
      </c>
      <c r="R146" s="147" t="s">
        <v>195</v>
      </c>
      <c r="S146" s="14">
        <f>$H$10*500</f>
        <v>1190</v>
      </c>
      <c r="T146" s="9">
        <f t="shared" si="104"/>
        <v>5712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1205.56306515138</v>
      </c>
      <c r="Z147" s="24"/>
      <c r="AA147" s="23">
        <f>SUM(AA127:AA146)</f>
        <v>0</v>
      </c>
      <c r="AC147" s="9">
        <f>$Y147*(Voorblad!$K$44*(1+Voorblad!$K$44)^Voorblad!$K$41)/((1+Voorblad!$K$44)^Voorblad!$K$41-1)</f>
        <v>49.5126173446358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1205.56306515138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300</v>
      </c>
      <c r="Q149" s="268">
        <f>19*2.4</f>
        <v>45.6</v>
      </c>
      <c r="R149" s="81" t="s">
        <v>35</v>
      </c>
      <c r="S149" s="81">
        <v>4590</v>
      </c>
      <c r="T149" s="21">
        <f>Q149*S149</f>
        <v>209304</v>
      </c>
      <c r="U149" s="11">
        <v>1</v>
      </c>
      <c r="V149" s="14">
        <f>Voorblad!F24+100</f>
        <v>2066</v>
      </c>
      <c r="W149" s="9">
        <f>Voorblad!K77</f>
        <v>2066</v>
      </c>
      <c r="X149" s="6"/>
      <c r="Y149" s="9">
        <f t="shared" si="21"/>
        <v>81897.49973760685</v>
      </c>
      <c r="Z149" s="82" t="s">
        <v>299</v>
      </c>
      <c r="AA149" s="82">
        <v>52</v>
      </c>
      <c r="AC149" s="9">
        <f>$Y149*(Voorblad!$K$44*(1+Voorblad!$K$44)^Voorblad!$K$41)/((1+Voorblad!$K$44)^Voorblad!$K$41-1)</f>
        <v>3363.5399782933509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81897.49973760685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0</v>
      </c>
      <c r="FT149" s="8">
        <f>IF(FT$56-Voorblad!$F$41&gt;Voorblad!$K$41,0,IF($U149=0,0,IF($U149&lt;1,1/$U149,IF((FT$56-Voorblad!$F$41)/$U149-SUM($EE149:FS149)=1,1,0))))</f>
        <v>0</v>
      </c>
      <c r="FU149" s="8">
        <f>IF(FU$56-Voorblad!$F$41&gt;Voorblad!$K$41,0,IF($U149=0,0,IF($U149&lt;1,1/$U149,IF((FU$56-Voorblad!$F$41)/$U149-SUM($EE149:FT149)=1,1,0))))</f>
        <v>0</v>
      </c>
      <c r="FV149" s="8">
        <f>IF(FV$56-Voorblad!$F$41&gt;Voorblad!$K$41,0,IF($U149=0,0,IF($U149&lt;1,1/$U149,IF((FV$56-Voorblad!$F$41)/$U149-SUM($EE149:FU149)=1,1,0))))</f>
        <v>0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0</v>
      </c>
      <c r="FT150" s="8">
        <f>IF(FT$56-Voorblad!$F$41&gt;Voorblad!$K$41,0,IF($U150=0,0,IF($U150&lt;1,1/$U150,IF((FT$56-Voorblad!$F$41)/$U150-SUM($EE150:FS150)=1,1,0))))</f>
        <v>0</v>
      </c>
      <c r="FU150" s="8">
        <f>IF(FU$56-Voorblad!$F$41&gt;Voorblad!$K$41,0,IF($U150=0,0,IF($U150&lt;1,1/$U150,IF((FU$56-Voorblad!$F$41)/$U150-SUM($EE150:FT150)=1,1,0))))</f>
        <v>0</v>
      </c>
      <c r="FV150" s="8">
        <f>IF(FV$56-Voorblad!$F$41&gt;Voorblad!$K$41,0,IF($U150=0,0,IF($U150&lt;1,1/$U150,IF((FV$56-Voorblad!$F$41)/$U150-SUM($EE150:FU150)=1,1,0))))</f>
        <v>0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4186.08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0</v>
      </c>
      <c r="FT151" s="8">
        <f>IF(FT$56-Voorblad!$F$41&gt;Voorblad!$K$41,0,IF($U151=0,0,IF($U151&lt;1,1/$U151,IF((FT$56-Voorblad!$F$41)/$U151-SUM($EE151:FS151)=1,1,0))))</f>
        <v>0</v>
      </c>
      <c r="FU151" s="8">
        <f>IF(FU$56-Voorblad!$F$41&gt;Voorblad!$K$41,0,IF($U151=0,0,IF($U151&lt;1,1/$U151,IF((FU$56-Voorblad!$F$41)/$U151-SUM($EE151:FT151)=1,1,0))))</f>
        <v>0</v>
      </c>
      <c r="FV151" s="8">
        <f>IF(FV$56-Voorblad!$F$41&gt;Voorblad!$K$41,0,IF($U151=0,0,IF($U151&lt;1,1/$U151,IF((FV$56-Voorblad!$F$41)/$U151-SUM($EE151:FU151)=1,1,0))))</f>
        <v>0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8372.16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0</v>
      </c>
      <c r="FT152" s="8">
        <f>IF(FT$56-Voorblad!$F$41&gt;Voorblad!$K$41,0,IF($U152=0,0,IF($U152&lt;1,1/$U152,IF((FT$56-Voorblad!$F$41)/$U152-SUM($EE152:FS152)=1,1,0))))</f>
        <v>0</v>
      </c>
      <c r="FU152" s="8">
        <f>IF(FU$56-Voorblad!$F$41&gt;Voorblad!$K$41,0,IF($U152=0,0,IF($U152&lt;1,1/$U152,IF((FU$56-Voorblad!$F$41)/$U152-SUM($EE152:FT152)=1,1,0))))</f>
        <v>0</v>
      </c>
      <c r="FV152" s="8">
        <f>IF(FV$56-Voorblad!$F$41&gt;Voorblad!$K$41,0,IF($U152=0,0,IF($U152&lt;1,1/$U152,IF((FV$56-Voorblad!$F$41)/$U152-SUM($EE152:FU152)=1,1,0))))</f>
        <v>0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14651.28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0</v>
      </c>
      <c r="FT153" s="8">
        <f>IF(FT$56-Voorblad!$F$41&gt;Voorblad!$K$41,0,IF($U153=0,0,IF($U153&lt;1,1/$U153,IF((FT$56-Voorblad!$F$41)/$U153-SUM($EE153:FS153)=1,1,0))))</f>
        <v>0</v>
      </c>
      <c r="FU153" s="8">
        <f>IF(FU$56-Voorblad!$F$41&gt;Voorblad!$K$41,0,IF($U153=0,0,IF($U153&lt;1,1/$U153,IF((FU$56-Voorblad!$F$41)/$U153-SUM($EE153:FT153)=1,1,0))))</f>
        <v>0</v>
      </c>
      <c r="FV153" s="8">
        <f>IF(FV$56-Voorblad!$F$41&gt;Voorblad!$K$41,0,IF($U153=0,0,IF($U153&lt;1,1/$U153,IF((FV$56-Voorblad!$F$41)/$U153-SUM($EE153:FU153)=1,1,0))))</f>
        <v>0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209304</v>
      </c>
      <c r="U154" s="14"/>
      <c r="V154" s="14"/>
      <c r="W154" s="14"/>
      <c r="X154" s="6"/>
      <c r="Y154" s="23">
        <f>SUM(Y149:Y153)</f>
        <v>81897.49973760685</v>
      </c>
      <c r="Z154" s="24"/>
      <c r="AA154" s="23">
        <f>SUM(AA149:AA153)</f>
        <v>52</v>
      </c>
      <c r="AC154" s="9">
        <f>$Y154*(Voorblad!$K$44*(1+Voorblad!$K$44)^Voorblad!$K$41)/((1+Voorblad!$K$44)^Voorblad!$K$41-1)</f>
        <v>3363.5399782933509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0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0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0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0</v>
      </c>
      <c r="FT161" s="8">
        <f>IF(FT$56-Voorblad!$F$41&gt;Voorblad!$K$41,0,IF($U161=0,0,IF($U161&lt;1,1/$U161,IF((FT$56-Voorblad!$F$41)/$U161-SUM($EE161:FS161)=1,1,0))))</f>
        <v>0</v>
      </c>
      <c r="FU161" s="8">
        <f>IF(FU$56-Voorblad!$F$41&gt;Voorblad!$K$41,0,IF($U161=0,0,IF($U161&lt;1,1/$U161,IF((FU$56-Voorblad!$F$41)/$U161-SUM($EE161:FT161)=1,1,0))))</f>
        <v>0</v>
      </c>
      <c r="FV161" s="8">
        <f>IF(FV$56-Voorblad!$F$41&gt;Voorblad!$K$41,0,IF($U161=0,0,IF($U161&lt;1,1/$U161,IF((FV$56-Voorblad!$F$41)/$U161-SUM($EE161:FU161)=1,1,0))))</f>
        <v>0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0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2066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0</v>
      </c>
      <c r="FT187" s="8">
        <f>IF(FT$56-Voorblad!$F$41&gt;Voorblad!$K$41,0,IF($U187=0,0,IF($U187&lt;1,1/$U187,IF((FT$56-Voorblad!$F$41)/$U187-SUM($EE187:FS187)=1,1,0))))</f>
        <v>0</v>
      </c>
      <c r="FU187" s="8">
        <f>IF(FU$56-Voorblad!$F$41&gt;Voorblad!$K$41,0,IF($U187=0,0,IF($U187&lt;1,1/$U187,IF((FU$56-Voorblad!$F$41)/$U187-SUM($EE187:FT187)=1,1,0))))</f>
        <v>0</v>
      </c>
      <c r="FV187" s="8">
        <f>IF(FV$56-Voorblad!$F$41&gt;Voorblad!$K$41,0,IF($U187=0,0,IF($U187&lt;1,1/$U187,IF((FV$56-Voorblad!$F$41)/$U187-SUM($EE187:FU187)=1,1,0))))</f>
        <v>0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0</v>
      </c>
      <c r="FT188" s="8">
        <f>IF(FT$56-Voorblad!$F$41&gt;Voorblad!$K$41,0,IF($U188=0,0,IF($U188&lt;1,1/$U188,IF((FT$56-Voorblad!$F$41)/$U188-SUM($EE188:FS188)=1,1,0))))</f>
        <v>0</v>
      </c>
      <c r="FU188" s="8">
        <f>IF(FU$56-Voorblad!$F$41&gt;Voorblad!$K$41,0,IF($U188=0,0,IF($U188&lt;1,1/$U188,IF((FU$56-Voorblad!$F$41)/$U188-SUM($EE188:FT188)=1,1,0))))</f>
        <v>0</v>
      </c>
      <c r="FV188" s="8">
        <f>IF(FV$56-Voorblad!$F$41&gt;Voorblad!$K$41,0,IF($U188=0,0,IF($U188&lt;1,1/$U188,IF((FV$56-Voorblad!$F$41)/$U188-SUM($EE188:FU188)=1,1,0))))</f>
        <v>0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0</v>
      </c>
      <c r="FT189" s="8">
        <f>IF(FT$56-Voorblad!$F$41&gt;Voorblad!$K$41,0,IF($U189=0,0,IF($U189&lt;1,1/$U189,IF((FT$56-Voorblad!$F$41)/$U189-SUM($EE189:FS189)=1,1,0))))</f>
        <v>0</v>
      </c>
      <c r="FU189" s="8">
        <f>IF(FU$56-Voorblad!$F$41&gt;Voorblad!$K$41,0,IF($U189=0,0,IF($U189&lt;1,1/$U189,IF((FU$56-Voorblad!$F$41)/$U189-SUM($EE189:FT189)=1,1,0))))</f>
        <v>0</v>
      </c>
      <c r="FV189" s="8">
        <f>IF(FV$56-Voorblad!$F$41&gt;Voorblad!$K$41,0,IF($U189=0,0,IF($U189&lt;1,1/$U189,IF((FV$56-Voorblad!$F$41)/$U189-SUM($EE189:FU189)=1,1,0))))</f>
        <v>0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0</v>
      </c>
      <c r="FT190" s="8">
        <f>IF(FT$56-Voorblad!$F$41&gt;Voorblad!$K$41,0,IF($U190=0,0,IF($U190&lt;1,1/$U190,IF((FT$56-Voorblad!$F$41)/$U190-SUM($EE190:FS190)=1,1,0))))</f>
        <v>0</v>
      </c>
      <c r="FU190" s="8">
        <f>IF(FU$56-Voorblad!$F$41&gt;Voorblad!$K$41,0,IF($U190=0,0,IF($U190&lt;1,1/$U190,IF((FU$56-Voorblad!$F$41)/$U190-SUM($EE190:FT190)=1,1,0))))</f>
        <v>0</v>
      </c>
      <c r="FV190" s="8">
        <f>IF(FV$56-Voorblad!$F$41&gt;Voorblad!$K$41,0,IF($U190=0,0,IF($U190&lt;1,1/$U190,IF((FV$56-Voorblad!$F$41)/$U190-SUM($EE190:FU190)=1,1,0))))</f>
        <v>0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0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1" t="s">
        <v>276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0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0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228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2066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0</v>
      </c>
      <c r="FT204" s="8">
        <f>IF(FT$56-Voorblad!$F$41&gt;Voorblad!$K$41,0,IF($U204=0,0,IF($U204&lt;1,1/$U204,IF((FT$56-Voorblad!$F$41)/$U204-SUM($EE204:FS204)=1,1,0))))</f>
        <v>0</v>
      </c>
      <c r="FU204" s="8">
        <f>IF(FU$56-Voorblad!$F$41&gt;Voorblad!$K$41,0,IF($U204=0,0,IF($U204&lt;1,1/$U204,IF((FU$56-Voorblad!$F$41)/$U204-SUM($EE204:FT204)=1,1,0))))</f>
        <v>0</v>
      </c>
      <c r="FV204" s="8">
        <f>IF(FV$56-Voorblad!$F$41&gt;Voorblad!$K$41,0,IF($U204=0,0,IF($U204&lt;1,1/$U204,IF((FV$56-Voorblad!$F$41)/$U204-SUM($EE204:FU204)=1,1,0))))</f>
        <v>0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0</v>
      </c>
      <c r="FT205" s="8">
        <f>IF(FT$56-Voorblad!$F$41&gt;Voorblad!$K$41,0,IF($U205=0,0,IF($U205&lt;1,1/$U205,IF((FT$56-Voorblad!$F$41)/$U205-SUM($EE205:FS205)=1,1,0))))</f>
        <v>0</v>
      </c>
      <c r="FU205" s="8">
        <f>IF(FU$56-Voorblad!$F$41&gt;Voorblad!$K$41,0,IF($U205=0,0,IF($U205&lt;1,1/$U205,IF((FU$56-Voorblad!$F$41)/$U205-SUM($EE205:FT205)=1,1,0))))</f>
        <v>0</v>
      </c>
      <c r="FV205" s="8">
        <f>IF(FV$56-Voorblad!$F$41&gt;Voorblad!$K$41,0,IF($U205=0,0,IF($U205&lt;1,1/$U205,IF((FV$56-Voorblad!$F$41)/$U205-SUM($EE205:FU205)=1,1,0))))</f>
        <v>0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0</v>
      </c>
      <c r="FT206" s="8">
        <f>IF(FT$56-Voorblad!$F$41&gt;Voorblad!$K$41,0,IF($U206=0,0,IF($U206&lt;1,1/$U206,IF((FT$56-Voorblad!$F$41)/$U206-SUM($EE206:FS206)=1,1,0))))</f>
        <v>0</v>
      </c>
      <c r="FU206" s="8">
        <f>IF(FU$56-Voorblad!$F$41&gt;Voorblad!$K$41,0,IF($U206=0,0,IF($U206&lt;1,1/$U206,IF((FU$56-Voorblad!$F$41)/$U206-SUM($EE206:FT206)=1,1,0))))</f>
        <v>0</v>
      </c>
      <c r="FV206" s="8">
        <f>IF(FV$56-Voorblad!$F$41&gt;Voorblad!$K$41,0,IF($U206=0,0,IF($U206&lt;1,1/$U206,IF((FV$56-Voorblad!$F$41)/$U206-SUM($EE206:FU206)=1,1,0))))</f>
        <v>0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0</v>
      </c>
      <c r="FT207" s="8">
        <f>IF(FT$56-Voorblad!$F$41&gt;Voorblad!$K$41,0,IF($U207=0,0,IF($U207&lt;1,1/$U207,IF((FT$56-Voorblad!$F$41)/$U207-SUM($EE207:FS207)=1,1,0))))</f>
        <v>0</v>
      </c>
      <c r="FU207" s="8">
        <f>IF(FU$56-Voorblad!$F$41&gt;Voorblad!$K$41,0,IF($U207=0,0,IF($U207&lt;1,1/$U207,IF((FU$56-Voorblad!$F$41)/$U207-SUM($EE207:FT207)=1,1,0))))</f>
        <v>0</v>
      </c>
      <c r="FV207" s="8">
        <f>IF(FV$56-Voorblad!$F$41&gt;Voorblad!$K$41,0,IF($U207=0,0,IF($U207&lt;1,1/$U207,IF((FV$56-Voorblad!$F$41)/$U207-SUM($EE207:FU207)=1,1,0))))</f>
        <v>0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0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4">
        <v>0</v>
      </c>
      <c r="R213" s="1" t="s">
        <v>35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0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0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4">
        <v>0</v>
      </c>
      <c r="R215" s="1" t="s">
        <v>35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0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T216" s="9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v>0</v>
      </c>
      <c r="R218" s="1" t="s">
        <v>35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301</v>
      </c>
      <c r="Q221" s="84">
        <v>0</v>
      </c>
      <c r="R221" s="81" t="s">
        <v>33</v>
      </c>
      <c r="S221" s="81">
        <v>0</v>
      </c>
      <c r="T221" s="21">
        <f>Q221*S221</f>
        <v>0</v>
      </c>
      <c r="U221" s="11">
        <v>1</v>
      </c>
      <c r="V221" s="14">
        <f>Voorblad!F25+100</f>
        <v>2066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0</v>
      </c>
      <c r="FT221" s="8">
        <f>IF(FT$56-Voorblad!$F$41&gt;Voorblad!$K$41,0,IF($U221=0,0,IF($U221&lt;1,1/$U221,IF((FT$56-Voorblad!$F$41)/$U221-SUM($EE221:FS221)=1,1,0))))</f>
        <v>0</v>
      </c>
      <c r="FU221" s="8">
        <f>IF(FU$56-Voorblad!$F$41&gt;Voorblad!$K$41,0,IF($U221=0,0,IF($U221&lt;1,1/$U221,IF((FU$56-Voorblad!$F$41)/$U221-SUM($EE221:FT221)=1,1,0))))</f>
        <v>0</v>
      </c>
      <c r="FV221" s="8">
        <f>IF(FV$56-Voorblad!$F$41&gt;Voorblad!$K$41,0,IF($U221=0,0,IF($U221&lt;1,1/$U221,IF((FV$56-Voorblad!$F$41)/$U221-SUM($EE221:FU221)=1,1,0))))</f>
        <v>0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0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0</v>
      </c>
      <c r="FT222" s="8">
        <f>IF(FT$56-Voorblad!$F$41&gt;Voorblad!$K$41,0,IF($U222=0,0,IF($U222&lt;1,1/$U222,IF((FT$56-Voorblad!$F$41)/$U222-SUM($EE222:FS222)=1,1,0))))</f>
        <v>0</v>
      </c>
      <c r="FU222" s="8">
        <f>IF(FU$56-Voorblad!$F$41&gt;Voorblad!$K$41,0,IF($U222=0,0,IF($U222&lt;1,1/$U222,IF((FU$56-Voorblad!$F$41)/$U222-SUM($EE222:FT222)=1,1,0))))</f>
        <v>0</v>
      </c>
      <c r="FV222" s="8">
        <f>IF(FV$56-Voorblad!$F$41&gt;Voorblad!$K$41,0,IF($U222=0,0,IF($U222&lt;1,1/$U222,IF((FV$56-Voorblad!$F$41)/$U222-SUM($EE222:FU222)=1,1,0))))</f>
        <v>0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0</v>
      </c>
      <c r="FT223" s="8">
        <f>IF(FT$56-Voorblad!$F$41&gt;Voorblad!$K$41,0,IF($U223=0,0,IF($U223&lt;1,1/$U223,IF((FT$56-Voorblad!$F$41)/$U223-SUM($EE223:FS223)=1,1,0))))</f>
        <v>0</v>
      </c>
      <c r="FU223" s="8">
        <f>IF(FU$56-Voorblad!$F$41&gt;Voorblad!$K$41,0,IF($U223=0,0,IF($U223&lt;1,1/$U223,IF((FU$56-Voorblad!$F$41)/$U223-SUM($EE223:FT223)=1,1,0))))</f>
        <v>0</v>
      </c>
      <c r="FV223" s="8">
        <f>IF(FV$56-Voorblad!$F$41&gt;Voorblad!$K$41,0,IF($U223=0,0,IF($U223&lt;1,1/$U223,IF((FV$56-Voorblad!$F$41)/$U223-SUM($EE223:FU223)=1,1,0))))</f>
        <v>0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0</v>
      </c>
      <c r="FT224" s="8">
        <f>IF(FT$56-Voorblad!$F$41&gt;Voorblad!$K$41,0,IF($U224=0,0,IF($U224&lt;1,1/$U224,IF((FT$56-Voorblad!$F$41)/$U224-SUM($EE224:FS224)=1,1,0))))</f>
        <v>0</v>
      </c>
      <c r="FU224" s="8">
        <f>IF(FU$56-Voorblad!$F$41&gt;Voorblad!$K$41,0,IF($U224=0,0,IF($U224&lt;1,1/$U224,IF((FU$56-Voorblad!$F$41)/$U224-SUM($EE224:FT224)=1,1,0))))</f>
        <v>0</v>
      </c>
      <c r="FV224" s="8">
        <f>IF(FV$56-Voorblad!$F$41&gt;Voorblad!$K$41,0,IF($U224=0,0,IF($U224&lt;1,1/$U224,IF((FV$56-Voorblad!$F$41)/$U224-SUM($EE224:FU224)=1,1,0))))</f>
        <v>0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P229" s="1" t="s">
        <v>306</v>
      </c>
      <c r="Q229" s="84">
        <f>2*4.25*0.035</f>
        <v>0.29750000000000004</v>
      </c>
      <c r="R229" s="1" t="s">
        <v>101</v>
      </c>
      <c r="S229" s="1">
        <v>-200</v>
      </c>
      <c r="T229" s="21">
        <f t="shared" ref="T229:T236" si="201">Q229*S229</f>
        <v>-59.500000000000007</v>
      </c>
      <c r="U229" s="11">
        <v>1</v>
      </c>
      <c r="V229" s="14">
        <f>Voorblad!F24+100</f>
        <v>2066</v>
      </c>
      <c r="W229" s="9">
        <f>Voorblad!$K$77</f>
        <v>2066</v>
      </c>
      <c r="X229" s="6"/>
      <c r="Y229" s="9">
        <f t="shared" ref="Y229" si="202">SUM(AE229:EB229)</f>
        <v>-23.281452979339182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-23.281452979339182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0</v>
      </c>
      <c r="FT229" s="8">
        <f>IF(FT$56-Voorblad!$F$41&gt;Voorblad!$K$41,0,IF($U229=0,0,IF($U229&lt;1,1/$U229,IF((FT$56-Voorblad!$F$41)/$U229-SUM($EE229:FS229)=1,1,0))))</f>
        <v>0</v>
      </c>
      <c r="FU229" s="8">
        <f>IF(FU$56-Voorblad!$F$41&gt;Voorblad!$K$41,0,IF($U229=0,0,IF($U229&lt;1,1/$U229,IF((FU$56-Voorblad!$F$41)/$U229-SUM($EE229:FT229)=1,1,0))))</f>
        <v>0</v>
      </c>
      <c r="FV229" s="8">
        <f>IF(FV$56-Voorblad!$F$41&gt;Voorblad!$K$41,0,IF($U229=0,0,IF($U229&lt;1,1/$U229,IF((FV$56-Voorblad!$F$41)/$U229-SUM($EE229:FU229)=1,1,0))))</f>
        <v>0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310</v>
      </c>
      <c r="Q230" s="83">
        <f>2*51</f>
        <v>102</v>
      </c>
      <c r="R230" s="1" t="s">
        <v>101</v>
      </c>
      <c r="S230" s="1">
        <v>-50</v>
      </c>
      <c r="T230" s="21">
        <f t="shared" si="201"/>
        <v>-5100</v>
      </c>
      <c r="U230" s="11">
        <v>1</v>
      </c>
      <c r="V230" s="14">
        <f>Voorblad!F24+100</f>
        <v>2066</v>
      </c>
      <c r="W230" s="9">
        <f>Voorblad!$K$77</f>
        <v>2066</v>
      </c>
      <c r="X230" s="6"/>
      <c r="Y230" s="9">
        <f t="shared" ref="Y230" si="203">SUM(AE230:EB230)</f>
        <v>-1995.553112514787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-1995.553112514787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0</v>
      </c>
      <c r="FT230" s="8">
        <f>IF(FT$56-Voorblad!$F$41&gt;Voorblad!$K$41,0,IF($U230=0,0,IF($U230&lt;1,1/$U230,IF((FT$56-Voorblad!$F$41)/$U230-SUM($EE230:FS230)=1,1,0))))</f>
        <v>0</v>
      </c>
      <c r="FU230" s="8">
        <f>IF(FU$56-Voorblad!$F$41&gt;Voorblad!$K$41,0,IF($U230=0,0,IF($U230&lt;1,1/$U230,IF((FU$56-Voorblad!$F$41)/$U230-SUM($EE230:FT230)=1,1,0))))</f>
        <v>0</v>
      </c>
      <c r="FV230" s="8">
        <f>IF(FV$56-Voorblad!$F$41&gt;Voorblad!$K$41,0,IF($U230=0,0,IF($U230&lt;1,1/$U230,IF((FV$56-Voorblad!$F$41)/$U230-SUM($EE230:FU230)=1,1,0))))</f>
        <v>0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3">
        <f>0.5*Q230</f>
        <v>51</v>
      </c>
      <c r="R231" s="1" t="s">
        <v>101</v>
      </c>
      <c r="S231" s="1">
        <v>-200</v>
      </c>
      <c r="T231" s="21">
        <f t="shared" si="201"/>
        <v>-10200</v>
      </c>
      <c r="U231" s="11">
        <v>1</v>
      </c>
      <c r="V231" s="14">
        <f>Voorblad!F24+100</f>
        <v>2066</v>
      </c>
      <c r="W231" s="9">
        <f>Voorblad!$K$77</f>
        <v>2066</v>
      </c>
      <c r="X231" s="6"/>
      <c r="Y231" s="9">
        <f t="shared" ref="Y231:Y234" si="204">SUM(AE231:EB231)</f>
        <v>-3991.106225029574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-3991.106225029574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0</v>
      </c>
      <c r="FT231" s="8">
        <f>IF(FT$56-Voorblad!$F$41&gt;Voorblad!$K$41,0,IF($U231=0,0,IF($U231&lt;1,1/$U231,IF((FT$56-Voorblad!$F$41)/$U231-SUM($EE231:FS231)=1,1,0))))</f>
        <v>0</v>
      </c>
      <c r="FU231" s="8">
        <f>IF(FU$56-Voorblad!$F$41&gt;Voorblad!$K$41,0,IF($U231=0,0,IF($U231&lt;1,1/$U231,IF((FU$56-Voorblad!$F$41)/$U231-SUM($EE231:FT231)=1,1,0))))</f>
        <v>0</v>
      </c>
      <c r="FV231" s="8">
        <f>IF(FV$56-Voorblad!$F$41&gt;Voorblad!$K$41,0,IF($U231=0,0,IF($U231&lt;1,1/$U231,IF((FV$56-Voorblad!$F$41)/$U231-SUM($EE231:FU231)=1,1,0))))</f>
        <v>0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Q232" s="83">
        <v>0</v>
      </c>
      <c r="R232" s="1" t="s">
        <v>101</v>
      </c>
      <c r="S232" s="1">
        <v>-50</v>
      </c>
      <c r="T232" s="21">
        <f t="shared" si="201"/>
        <v>0</v>
      </c>
      <c r="U232" s="11">
        <v>1</v>
      </c>
      <c r="V232" s="14">
        <f>Voorblad!F24+100</f>
        <v>2066</v>
      </c>
      <c r="W232" s="9">
        <f>Voorblad!$K$77</f>
        <v>2066</v>
      </c>
      <c r="X232" s="6"/>
      <c r="Y232" s="9">
        <f t="shared" ref="Y232" si="205">SUM(AE232:EB232)</f>
        <v>0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0</v>
      </c>
      <c r="FT232" s="8">
        <f>IF(FT$56-Voorblad!$F$41&gt;Voorblad!$K$41,0,IF($U232=0,0,IF($U232&lt;1,1/$U232,IF((FT$56-Voorblad!$F$41)/$U232-SUM($EE232:FS232)=1,1,0))))</f>
        <v>0</v>
      </c>
      <c r="FU232" s="8">
        <f>IF(FU$56-Voorblad!$F$41&gt;Voorblad!$K$41,0,IF($U232=0,0,IF($U232&lt;1,1/$U232,IF((FU$56-Voorblad!$F$41)/$U232-SUM($EE232:FT232)=1,1,0))))</f>
        <v>0</v>
      </c>
      <c r="FV232" s="8">
        <f>IF(FV$56-Voorblad!$F$41&gt;Voorblad!$K$41,0,IF($U232=0,0,IF($U232&lt;1,1/$U232,IF((FV$56-Voorblad!$F$41)/$U232-SUM($EE232:FU232)=1,1,0))))</f>
        <v>0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3">
        <f>0.2*Q232</f>
        <v>0</v>
      </c>
      <c r="R233" s="1" t="s">
        <v>101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2066</v>
      </c>
      <c r="W233" s="9">
        <f>Voorblad!$K$77</f>
        <v>2066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0</v>
      </c>
      <c r="FT233" s="8">
        <f>IF(FT$56-Voorblad!$F$41&gt;Voorblad!$K$41,0,IF($U233=0,0,IF($U233&lt;1,1/$U233,IF((FT$56-Voorblad!$F$41)/$U233-SUM($EE233:FS233)=1,1,0))))</f>
        <v>0</v>
      </c>
      <c r="FU233" s="8">
        <f>IF(FU$56-Voorblad!$F$41&gt;Voorblad!$K$41,0,IF($U233=0,0,IF($U233&lt;1,1/$U233,IF((FU$56-Voorblad!$F$41)/$U233-SUM($EE233:FT233)=1,1,0))))</f>
        <v>0</v>
      </c>
      <c r="FV233" s="8">
        <f>IF(FV$56-Voorblad!$F$41&gt;Voorblad!$K$41,0,IF($U233=0,0,IF($U233&lt;1,1/$U233,IF((FV$56-Voorblad!$F$41)/$U233-SUM($EE233:FU233)=1,1,0))))</f>
        <v>0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2066</v>
      </c>
      <c r="W234" s="9">
        <f>Voorblad!$K$77</f>
        <v>2066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0</v>
      </c>
      <c r="FT234" s="8">
        <f>IF(FT$56-Voorblad!$F$41&gt;Voorblad!$K$41,0,IF($U234=0,0,IF($U234&lt;1,1/$U234,IF((FT$56-Voorblad!$F$41)/$U234-SUM($EE234:FS234)=1,1,0))))</f>
        <v>0</v>
      </c>
      <c r="FU234" s="8">
        <f>IF(FU$56-Voorblad!$F$41&gt;Voorblad!$K$41,0,IF($U234=0,0,IF($U234&lt;1,1/$U234,IF((FU$56-Voorblad!$F$41)/$U234-SUM($EE234:FT234)=1,1,0))))</f>
        <v>0</v>
      </c>
      <c r="FV234" s="8">
        <f>IF(FV$56-Voorblad!$F$41&gt;Voorblad!$K$41,0,IF($U234=0,0,IF($U234&lt;1,1/$U234,IF((FV$56-Voorblad!$F$41)/$U234-SUM($EE234:FU234)=1,1,0))))</f>
        <v>0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P235" s="1" t="s">
        <v>311</v>
      </c>
      <c r="Q235" s="83">
        <f>1.8*100</f>
        <v>180</v>
      </c>
      <c r="R235" s="1" t="s">
        <v>101</v>
      </c>
      <c r="S235" s="1">
        <v>-50</v>
      </c>
      <c r="T235" s="14">
        <f t="shared" si="201"/>
        <v>-9000</v>
      </c>
      <c r="U235" s="11">
        <v>1</v>
      </c>
      <c r="V235" s="14">
        <f>Voorblad!F24+100</f>
        <v>2066</v>
      </c>
      <c r="W235" s="9">
        <f>Voorblad!$K$77</f>
        <v>2066</v>
      </c>
      <c r="X235" s="6"/>
      <c r="Y235" s="9">
        <f t="shared" ref="Y235" si="207">SUM(AE235:EB235)</f>
        <v>-3521.5643162025654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-3521.5643162025654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0</v>
      </c>
      <c r="FT235" s="8">
        <f>IF(FT$56-Voorblad!$F$41&gt;Voorblad!$K$41,0,IF($U235=0,0,IF($U235&lt;1,1/$U235,IF((FT$56-Voorblad!$F$41)/$U235-SUM($EE235:FS235)=1,1,0))))</f>
        <v>0</v>
      </c>
      <c r="FU235" s="8">
        <f>IF(FU$56-Voorblad!$F$41&gt;Voorblad!$K$41,0,IF($U235=0,0,IF($U235&lt;1,1/$U235,IF((FU$56-Voorblad!$F$41)/$U235-SUM($EE235:FT235)=1,1,0))))</f>
        <v>0</v>
      </c>
      <c r="FV235" s="8">
        <f>IF(FV$56-Voorblad!$F$41&gt;Voorblad!$K$41,0,IF($U235=0,0,IF($U235&lt;1,1/$U235,IF((FV$56-Voorblad!$F$41)/$U235-SUM($EE235:FU235)=1,1,0))))</f>
        <v>0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2066</v>
      </c>
      <c r="W236" s="9">
        <f>Voorblad!$K$77</f>
        <v>2066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0</v>
      </c>
      <c r="FT236" s="8">
        <f>IF(FT$56-Voorblad!$F$41&gt;Voorblad!$K$41,0,IF($U236=0,0,IF($U236&lt;1,1/$U236,IF((FT$56-Voorblad!$F$41)/$U236-SUM($EE236:FS236)=1,1,0))))</f>
        <v>0</v>
      </c>
      <c r="FU236" s="8">
        <f>IF(FU$56-Voorblad!$F$41&gt;Voorblad!$K$41,0,IF($U236=0,0,IF($U236&lt;1,1/$U236,IF((FU$56-Voorblad!$F$41)/$U236-SUM($EE236:FT236)=1,1,0))))</f>
        <v>0</v>
      </c>
      <c r="FV236" s="8">
        <f>IF(FV$56-Voorblad!$F$41&gt;Voorblad!$K$41,0,IF($U236=0,0,IF($U236&lt;1,1/$U236,IF((FV$56-Voorblad!$F$41)/$U236-SUM($EE236:FU236)=1,1,0))))</f>
        <v>0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-24359.5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de75ed97-d5d0-480f-8c5e-5314c0bb5094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2019-12-11T15:28:45Z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