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BC5E9A00-E26C-4631-A827-AB54BD54039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S139" i="1" l="1"/>
  <c r="S117" i="1"/>
  <c r="Q146" i="1"/>
  <c r="Q136" i="1"/>
  <c r="Q232" i="1"/>
  <c r="Q230" i="1"/>
  <c r="Q197" i="1"/>
  <c r="Q196" i="1"/>
  <c r="Q139" i="1"/>
  <c r="Q137" i="1"/>
  <c r="Q117" i="1"/>
  <c r="Q115" i="1"/>
  <c r="Q113" i="1"/>
  <c r="Q110" i="1"/>
  <c r="Q204" i="1"/>
  <c r="Q149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O62" i="2" l="1"/>
  <c r="M63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<sst xmlns="http://schemas.openxmlformats.org/spreadsheetml/2006/main" count="1025" uniqueCount="315">
  <si>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</si>
  <si>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</si>
  <si>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</si>
  <si>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</si>
  <si>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</si>
  <si>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</si>
  <si>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</si>
  <si>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</si>
  <si>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</si>
  <si>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</si>
  <si>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</si>
  <si>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</si>
  <si>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</si>
  <si>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</si>
  <si>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</si>
  <si>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</si>
  <si>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</si>
  <si>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</si>
  <si>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</si>
  <si>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</si>
  <si>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</si>
  <si>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</si>
  <si>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</si>
  <si>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</si>
  <si>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</si>
  <si>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</si>
  <si>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</si>
  <si>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</si>
  <si>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</si>
  <si>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</si>
  <si>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</si>
  <si>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</si>
  <si>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</si>
  <si>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</si>
  <si>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</si>
  <si>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</si>
  <si>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</si>
  <si>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</si>
  <si>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</si>
  <si>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</si>
  <si>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</si>
  <si>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</si>
  <si>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</si>
  <si>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</si>
  <si>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</si>
  <si>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</si>
  <si>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</si>
  <si>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</si>
  <si>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</si>
  <si>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</si>
  <si>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</si>
  <si>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</si>
  <si>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</si>
  <si>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</si>
  <si>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</si>
  <si>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</si>
  <si>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</si>
  <si>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</si>
  <si>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</si>
  <si>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</si>
  <si>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</si>
  <si>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</si>
  <si>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</si>
  <si>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</si>
  <si>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</si>
  <si>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</si>
  <si>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</si>
  <si>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</si>
  <si>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</si>
  <si>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</si>
  <si>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</si>
  <si>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</si>
  <si>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</si>
  <si>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</si>
  <si>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</si>
  <si>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</si>
  <si>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</si>
  <si>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</si>
  <si>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</si>
  <si>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</si>
  <si>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</si>
  <si>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</si>
  <si>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</si>
  <si>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</si>
  <si>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</si>
  <si>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</si>
  <si>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</si>
  <si>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</si>
  <si>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</si>
  <si>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</si>
  <si>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</si>
  <si>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</si>
  <si>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</si>
  <si>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</si>
  <si>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</si>
  <si>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</si>
  <si>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</si>
  <si>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</si>
  <si>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</si>
  <si>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</si>
  <si>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</si>
  <si>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</si>
  <si>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</si>
  <si>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</si>
  <si>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</si>
  <si>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</si>
  <si>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</si>
  <si>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</si>
  <si>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</si>
  <si>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</si>
  <si>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</si>
  <si>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</si>
  <si>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</si>
  <si>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</si>
  <si>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</si>
  <si>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</si>
  <si>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</si>
  <si>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</si>
  <si>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</si>
  <si>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</si>
  <si>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</si>
  <si>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</si>
  <si>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</si>
  <si>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</si>
  <si>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</si>
  <si>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</si>
  <si>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</si>
  <si>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</si>
  <si>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</si>
  <si>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</si>
  <si>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</si>
  <si>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</si>
  <si>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</si>
  <si>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</si>
  <si>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</si>
  <si>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</si>
  <si>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</si>
  <si>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</si>
  <si>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</si>
  <si>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</si>
  <si>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</si>
  <si>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</si>
  <si>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</si>
  <si>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</si>
  <si>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</si>
  <si>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</si>
  <si>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</si>
  <si>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</si>
  <si>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</si>
  <si>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</si>
  <si>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</si>
  <si>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</si>
  <si>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</si>
  <si>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</si>
  <si>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</si>
  <si>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</si>
  <si>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</si>
  <si>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</si>
  <si>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</si>
  <si>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</si>
  <si>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</si>
  <si>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</si>
  <si>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</si>
  <si>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</si>
  <si>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</si>
  <si>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</si>
  <si>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</si>
  <si>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</si>
  <si>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</si>
  <si>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</si>
  <si>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</si>
  <si>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</si>
  <si>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</si>
  <si>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</si>
  <si>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</si>
  <si>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</si>
  <si>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</si>
  <si>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</si>
  <si>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</si>
  <si>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</si>
  <si>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</si>
  <si>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</si>
  <si>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</si>
  <si>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</si>
  <si>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</si>
  <si>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</si>
  <si>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</si>
  <si>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</si>
  <si>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</si>
  <si>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</si>
  <si>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</si>
  <si>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</si>
  <si>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</si>
  <si>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</si>
  <si>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</si>
  <si>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</si>
  <si>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</si>
  <si>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</si>
  <si>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</si>
  <si>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</si>
  <si>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</si>
  <si>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</si>
  <si>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</si>
  <si>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</si>
  <si>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</si>
  <si>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</si>
  <si>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</si>
  <si>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</si>
  <si>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</si>
  <si>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</si>
  <si>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</si>
  <si>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</si>
  <si>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</si>
  <si>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</si>
  <si>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</si>
  <si>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</si>
  <si>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</si>
  <si>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</si>
  <si>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</si>
  <si>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</si>
  <si>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</si>
  <si>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</si>
  <si>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</si>
  <si>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</si>
  <si>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</si>
  <si>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</si>
  <si>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</si>
  <si>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</si>
  <si>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</si>
  <si>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</si>
  <si>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</si>
  <si>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</si>
  <si>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</si>
  <si>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</si>
  <si>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</si>
  <si>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</si>
  <si>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</si>
  <si>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</si>
  <si>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</si>
  <si>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</si>
  <si>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</si>
  <si>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</si>
  <si>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</si>
  <si>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</si>
  <si>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</si>
  <si>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</si>
  <si>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</si>
  <si>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</si>
  <si>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</si>
  <si>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</si>
  <si>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</si>
  <si>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</si>
  <si>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</si>
  <si>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</si>
  <si>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</si>
  <si>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</si>
  <si>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</si>
  <si>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</si>
  <si>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</si>
  <si>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</si>
  <si>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</si>
  <si>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</si>
  <si>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</si>
  <si>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</si>
  <si>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</si>
  <si>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</si>
  <si>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</si>
  <si>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</si>
  <si>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</si>
  <si>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</si>
  <si>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</si>
  <si>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</si>
  <si>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</si>
  <si>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</si>
  <si>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</si>
  <si>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</si>
  <si>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</si>
  <si>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</si>
  <si>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</si>
  <si>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</si>
  <si>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</si>
  <si>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</si>
  <si>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</si>
  <si>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</si>
  <si>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</si>
  <si>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</si>
  <si>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</si>
  <si>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</si>
  <si>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</si>
  <si>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</si>
  <si>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</si>
  <si>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</si>
  <si>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</si>
  <si>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</si>
  <si>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</si>
  <si>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</si>
  <si>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</si>
  <si>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</si>
  <si>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</si>
  <si>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</si>
  <si>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</si>
  <si>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</si>
  <si>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</si>
  <si>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</si>
  <si>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KW20-123-0030</t>
  </si>
  <si>
    <t>Spoorviaduct Europalaan</t>
  </si>
  <si>
    <t>Gilze Rijen</t>
  </si>
  <si>
    <t xml:space="preserve">Van de odg is alleen het gesloten deel (tunnelmoot) in beschouwing genomen incl. tunnelvloer </t>
  </si>
  <si>
    <t xml:space="preserve">2 tunnelwanden + tunnelvloer (spoorkruisende moot) </t>
  </si>
  <si>
    <t>spoordek+PV-paden: 172 m3</t>
  </si>
  <si>
    <t>2 tunnelwanden + tunnelvloer: 632 m3</t>
  </si>
  <si>
    <t>nader onderzoek of verticale scheuren in tunnelwanden watervoerend zijn</t>
  </si>
  <si>
    <t>hier: RVS</t>
  </si>
  <si>
    <t>1x52</t>
  </si>
  <si>
    <r>
      <t>leuningen 2x14 m1 á 35 kg/m1 (</t>
    </r>
    <r>
      <rPr>
        <sz val="9"/>
        <color rgb="FFFF0000"/>
        <rFont val="Calibri"/>
        <family val="2"/>
      </rPr>
      <t>RVS</t>
    </r>
    <r>
      <rPr>
        <sz val="9"/>
        <color rgb="FF00000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</si>
</sst>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S103" sqref="S103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10592563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304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305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11.72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306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1999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1999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226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229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71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2099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283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nader onderzoek of verticale scheuren in tunnelwanden watervoerend zijn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5000</v>
      </c>
      <c r="M52" s="64">
        <f>'Berekening MJOP+LTP'!Y39</f>
        <v>4759.0719809637121</v>
      </c>
      <c r="N52" s="61">
        <f>'Berekening MJOP+LTP'!AA39</f>
        <v>0</v>
      </c>
      <c r="O52" s="255">
        <f>'Berekening MJOP+LTP'!AC39</f>
        <v>543.76567841589804</v>
      </c>
      <c r="P52" s="234"/>
    </row>
    <row r="53" spans="2:16" x14ac:dyDescent="0.3">
      <c r="B53" s="109">
        <f>'Berekening MJOP+LTP'!B40</f>
        <v>0</v>
      </c>
      <c r="C53" s="66">
        <f>'Berekening MJOP+LTP'!D40</f>
        <v>0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2099</v>
      </c>
      <c r="K59" s="159">
        <v>2099</v>
      </c>
      <c r="L59" s="156">
        <f>'Berekening MJOP+LTP'!T46</f>
        <v>1748572.4025000001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296</v>
      </c>
      <c r="C60" s="189"/>
      <c r="D60" s="208"/>
      <c r="E60" s="208"/>
      <c r="F60" s="189"/>
      <c r="G60" s="190" t="s">
        <v>151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303</v>
      </c>
      <c r="C61" s="194"/>
      <c r="D61" s="212"/>
      <c r="E61" s="212"/>
      <c r="F61" s="194"/>
      <c r="G61" s="195" t="s">
        <v>151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297</v>
      </c>
      <c r="C62" s="194"/>
      <c r="D62" s="212"/>
      <c r="E62" s="212"/>
      <c r="F62" s="194"/>
      <c r="G62" s="195" t="s">
        <v>151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3">
      <c r="B63" s="211" t="s">
        <v>298</v>
      </c>
      <c r="C63" s="194"/>
      <c r="D63" s="212"/>
      <c r="E63" s="212"/>
      <c r="F63" s="194"/>
      <c r="G63" s="195" t="s">
        <v>151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275</v>
      </c>
      <c r="C64" s="194"/>
      <c r="D64" s="212"/>
      <c r="E64" s="212"/>
      <c r="F64" s="194"/>
      <c r="G64" s="195" t="s">
        <v>151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10000</v>
      </c>
      <c r="M64" s="214">
        <f>SUM(M51:M58)</f>
        <v>9402.0690355624574</v>
      </c>
      <c r="N64" s="247">
        <f>SUM(N51:N58)</f>
        <v>0</v>
      </c>
      <c r="O64" s="259">
        <f>SUM(O51:O58)</f>
        <v>1074.2687793094572</v>
      </c>
      <c r="P64" s="236"/>
    </row>
    <row r="65" spans="2:16" x14ac:dyDescent="0.3">
      <c r="B65" s="211" t="s">
        <v>299</v>
      </c>
      <c r="C65" s="194"/>
      <c r="D65" s="212"/>
      <c r="E65" s="212"/>
      <c r="F65" s="194"/>
      <c r="G65" s="205" t="s">
        <v>259</v>
      </c>
      <c r="H65" s="196"/>
      <c r="I65" s="213"/>
      <c r="J65" s="197"/>
      <c r="K65" s="224">
        <f>K59</f>
        <v>2099</v>
      </c>
      <c r="L65" s="214">
        <f>L59</f>
        <v>1748572.4025000001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276</v>
      </c>
      <c r="C66" s="199"/>
      <c r="D66" s="216"/>
      <c r="E66" s="216"/>
      <c r="F66" s="199"/>
      <c r="G66" s="200" t="s">
        <v>151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1770072.4025000001</v>
      </c>
      <c r="M66" s="218">
        <f>SUM(M49:M59)</f>
        <v>19711.632086822592</v>
      </c>
      <c r="N66" s="249">
        <f>SUM(N49:N59)</f>
        <v>104</v>
      </c>
      <c r="O66" s="260">
        <f>SUM(O49:O59)</f>
        <v>2252.2267024431876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283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2099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53973.895248731256</v>
      </c>
      <c r="N75" s="61">
        <f>'Berekening MJOP+LTP'!AA125</f>
        <v>0</v>
      </c>
      <c r="O75" s="261">
        <f>'Berekening MJOP+LTP'!AC125</f>
        <v>1632.0572320592503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39188.780741162533</v>
      </c>
      <c r="N76" s="61">
        <f>'Berekening MJOP+LTP'!AA147</f>
        <v>0</v>
      </c>
      <c r="O76" s="261">
        <f>'Berekening MJOP+LTP'!AC147</f>
        <v>1184.9864222223616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2099</v>
      </c>
      <c r="K77" s="90">
        <v>2099</v>
      </c>
      <c r="L77" s="64">
        <f>'Berekening MJOP+LTP'!T154</f>
        <v>1208775.645</v>
      </c>
      <c r="M77" s="64">
        <f>'Berekening MJOP+LTP'!Y154</f>
        <v>209387.7442440938</v>
      </c>
      <c r="N77" s="61">
        <f>'Berekening MJOP+LTP'!AA149</f>
        <v>52</v>
      </c>
      <c r="O77" s="261">
        <f>'Berekening MJOP+LTP'!AC154</f>
        <v>6331.4456131675788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2099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46870.883961087573</v>
      </c>
      <c r="N83" s="61">
        <f>'Berekening MJOP+LTP'!AA199</f>
        <v>0</v>
      </c>
      <c r="O83" s="261">
        <f>'Berekening MJOP+LTP'!AC199</f>
        <v>1417.277089029461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4438.5561365995563</v>
      </c>
      <c r="N84" s="61">
        <f>'Berekening MJOP+LTP'!AA202</f>
        <v>0</v>
      </c>
      <c r="O84" s="261">
        <f>'Berekening MJOP+LTP'!AC202</f>
        <v>134.2126153625822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2099</v>
      </c>
      <c r="K85" s="90">
        <v>2099</v>
      </c>
      <c r="L85" s="64">
        <f>'Berekening MJOP+LTP'!T208</f>
        <v>538258.875</v>
      </c>
      <c r="M85" s="64">
        <f>'Berekening MJOP+LTP'!Y208</f>
        <v>93238.817411492142</v>
      </c>
      <c r="N85" s="61">
        <f>'Berekening MJOP+LTP'!AA204</f>
        <v>52</v>
      </c>
      <c r="O85" s="261">
        <f>'Berekening MJOP+LTP'!AC208</f>
        <v>2819.346010952484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2099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-183012</v>
      </c>
      <c r="M91" s="64"/>
      <c r="N91" s="251"/>
      <c r="O91" s="262"/>
      <c r="P91" s="241"/>
      <c r="Q91" s="27"/>
    </row>
    <row r="92" spans="2:17" x14ac:dyDescent="0.3">
      <c r="B92" s="207" t="s">
        <v>300</v>
      </c>
      <c r="C92" s="208"/>
      <c r="D92" s="208"/>
      <c r="E92" s="208"/>
      <c r="F92" s="189"/>
      <c r="G92" s="204" t="s">
        <v>152</v>
      </c>
      <c r="H92" s="191">
        <f>F41</f>
        <v>2028</v>
      </c>
      <c r="I92" s="209" t="s">
        <v>29</v>
      </c>
      <c r="J92" s="192">
        <f>K42</f>
        <v>2099</v>
      </c>
      <c r="K92" s="219"/>
      <c r="L92" s="220"/>
      <c r="M92" s="220">
        <f t="shared" ref="M92:O94" si="1">M71+M75+M79+M83+M87</f>
        <v>100844.77920981884</v>
      </c>
      <c r="N92" s="267">
        <f t="shared" si="1"/>
        <v>0</v>
      </c>
      <c r="O92" s="263">
        <f t="shared" si="1"/>
        <v>3049.3343210887115</v>
      </c>
      <c r="P92" s="242"/>
    </row>
    <row r="93" spans="2:17" x14ac:dyDescent="0.3">
      <c r="B93" s="211" t="s">
        <v>301</v>
      </c>
      <c r="C93" s="212"/>
      <c r="D93" s="212"/>
      <c r="E93" s="212"/>
      <c r="F93" s="194"/>
      <c r="G93" s="205" t="s">
        <v>152</v>
      </c>
      <c r="H93" s="196">
        <f>F41</f>
        <v>2028</v>
      </c>
      <c r="I93" s="213" t="s">
        <v>29</v>
      </c>
      <c r="J93" s="197">
        <f>K42</f>
        <v>2099</v>
      </c>
      <c r="K93" s="221"/>
      <c r="L93" s="222"/>
      <c r="M93" s="222">
        <f t="shared" si="1"/>
        <v>43627.336877762093</v>
      </c>
      <c r="N93" s="252">
        <f t="shared" si="1"/>
        <v>0</v>
      </c>
      <c r="O93" s="264">
        <f t="shared" si="1"/>
        <v>1319.1990375849439</v>
      </c>
      <c r="P93" s="243"/>
    </row>
    <row r="94" spans="2:17" x14ac:dyDescent="0.3">
      <c r="B94" s="211" t="s">
        <v>299</v>
      </c>
      <c r="C94" s="212"/>
      <c r="D94" s="212"/>
      <c r="E94" s="212"/>
      <c r="F94" s="194"/>
      <c r="G94" s="205" t="s">
        <v>259</v>
      </c>
      <c r="H94" s="196"/>
      <c r="I94" s="213"/>
      <c r="J94" s="197"/>
      <c r="K94" s="225">
        <f>K59</f>
        <v>2099</v>
      </c>
      <c r="L94" s="222">
        <f>L73+L77+L81+L85+L89</f>
        <v>1747034.52</v>
      </c>
      <c r="M94" s="222">
        <f t="shared" si="1"/>
        <v>302626.56165558595</v>
      </c>
      <c r="N94" s="252">
        <f t="shared" si="1"/>
        <v>104</v>
      </c>
      <c r="O94" s="264">
        <f t="shared" si="1"/>
        <v>9150.7916241200619</v>
      </c>
      <c r="P94" s="243"/>
    </row>
    <row r="95" spans="2:17" ht="15" thickBot="1" x14ac:dyDescent="0.35">
      <c r="B95" s="215" t="s">
        <v>302</v>
      </c>
      <c r="C95" s="216"/>
      <c r="D95" s="216"/>
      <c r="E95" s="216"/>
      <c r="F95" s="199"/>
      <c r="G95" s="206" t="s">
        <v>259</v>
      </c>
      <c r="H95" s="201"/>
      <c r="I95" s="217"/>
      <c r="J95" s="202"/>
      <c r="K95" s="226">
        <f>K59</f>
        <v>2099</v>
      </c>
      <c r="L95" s="223">
        <f>L91</f>
        <v>-183012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0.98000000000000009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344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172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1453.6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290.71999999999997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155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148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254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278</v>
      </c>
      <c r="K32" s="1" t="s">
        <v>150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311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5000</v>
      </c>
      <c r="T39" s="9">
        <f t="shared" si="4"/>
        <v>5000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4759.0719809637121</v>
      </c>
      <c r="Z39" s="82"/>
      <c r="AA39" s="82"/>
      <c r="AC39" s="9">
        <f>$Y39*(Voorblad!$K$44*(1+Voorblad!$K$44)^Voorblad!$K$37)/((1+Voorblad!$K$44)^Voorblad!$K$37-1)</f>
        <v>543.76567841589804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4759.0719809637121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/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279</v>
      </c>
      <c r="Q46" s="83">
        <f>13.315*11.55</f>
        <v>153.78825000000001</v>
      </c>
      <c r="R46" s="81" t="s">
        <v>35</v>
      </c>
      <c r="S46" s="81">
        <v>11370</v>
      </c>
      <c r="T46" s="9">
        <f t="shared" si="4"/>
        <v>1748572.4025000001</v>
      </c>
      <c r="U46" s="11">
        <v>1</v>
      </c>
      <c r="V46" s="1">
        <f>Voorblad!F24+100</f>
        <v>2099</v>
      </c>
      <c r="W46" s="9">
        <f>Voorblad!K59</f>
        <v>2099</v>
      </c>
      <c r="X46" s="6"/>
      <c r="Y46" s="9">
        <f>SUM(AE46:EB46)</f>
        <v>0</v>
      </c>
      <c r="Z46" s="82" t="s">
        <v>280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2099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167.4865747318355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114</v>
      </c>
      <c r="O110" s="1" t="s">
        <v>227</v>
      </c>
      <c r="P110" s="14" t="s">
        <v>228</v>
      </c>
      <c r="Q110" s="83">
        <f>50%*((2*13.315*11.55)+(2*(13.315+11.55)*2))</f>
        <v>203.51825000000002</v>
      </c>
      <c r="R110" s="1" t="s">
        <v>35</v>
      </c>
      <c r="S110" s="21">
        <f>$H$20*15</f>
        <v>26.55</v>
      </c>
      <c r="T110" s="9">
        <f t="shared" si="20"/>
        <v>5403.4095375000006</v>
      </c>
      <c r="U110" s="14">
        <v>10</v>
      </c>
      <c r="V110" s="14"/>
      <c r="Y110" s="9">
        <f t="shared" si="21"/>
        <v>15866.690775516481</v>
      </c>
      <c r="Z110" s="82"/>
      <c r="AA110" s="82"/>
      <c r="AC110" s="9">
        <f>$Y110*(Voorblad!$K$44*(1+Voorblad!$K$44)^Voorblad!$K$41)/((1+Voorblad!$K$44)^Voorblad!$K$41-1)</f>
        <v>479.77540456723256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4221.1348945645505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3297.5438331025221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2576.035972040218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2012.3951841457977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1572.0799014952472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1228.1063064332254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959.39468373492173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160</v>
      </c>
      <c r="P113" s="1" t="s">
        <v>185</v>
      </c>
      <c r="Q113" s="83">
        <f>2*13.3</f>
        <v>26.6</v>
      </c>
      <c r="R113" s="147" t="s">
        <v>197</v>
      </c>
      <c r="S113" s="21">
        <f>$H$20*350</f>
        <v>619.5</v>
      </c>
      <c r="T113" s="9">
        <f t="shared" si="20"/>
        <v>16478.7</v>
      </c>
      <c r="U113" s="14">
        <v>15</v>
      </c>
      <c r="V113" s="14"/>
      <c r="Y113" s="9">
        <f>SUM(AE113:EB113)</f>
        <v>28403.778761744285</v>
      </c>
      <c r="Z113" s="82"/>
      <c r="AA113" s="82"/>
      <c r="AC113" s="9">
        <f>$Y113*(Voorblad!$K$44*(1+Voorblad!$K$44)^Voorblad!$K$41)/((1+Voorblad!$K$44)^Voorblad!$K$41-1)</f>
        <v>858.87061388265056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11377.974771482595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7856.0996862916645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5424.3662444779548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3745.3380594920695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163</v>
      </c>
      <c r="O115" s="14" t="s">
        <v>159</v>
      </c>
      <c r="P115" s="14" t="s">
        <v>200</v>
      </c>
      <c r="Q115" s="84">
        <f>2.5%*2*13.3</f>
        <v>0.66500000000000004</v>
      </c>
      <c r="R115" s="14" t="s">
        <v>34</v>
      </c>
      <c r="S115" s="21">
        <f>$H$20*1000</f>
        <v>1770</v>
      </c>
      <c r="T115" s="21">
        <f t="shared" si="20"/>
        <v>1177.05</v>
      </c>
      <c r="U115" s="14">
        <v>15</v>
      </c>
      <c r="Y115" s="21">
        <f t="shared" si="22"/>
        <v>2028.8413401245916</v>
      </c>
      <c r="Z115" s="149"/>
      <c r="AA115" s="149"/>
      <c r="AC115" s="9">
        <f>$Y115*(Voorblad!$K$44*(1+Voorblad!$K$44)^Voorblad!$K$41)/((1+Voorblad!$K$44)^Voorblad!$K$41-1)</f>
        <v>61.347900991617891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812.71248367732812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561.14997759226173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387.45473174842533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267.52414710657638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199</v>
      </c>
      <c r="L117" s="14"/>
      <c r="M117" s="14"/>
      <c r="N117" s="6" t="s">
        <v>312</v>
      </c>
      <c r="O117" s="1" t="s">
        <v>173</v>
      </c>
      <c r="P117" s="1" t="s">
        <v>176</v>
      </c>
      <c r="Q117" s="84">
        <f>2.5%*2*14</f>
        <v>0.70000000000000007</v>
      </c>
      <c r="R117" s="1" t="s">
        <v>34</v>
      </c>
      <c r="S117" s="6">
        <f>$H$20*1000</f>
        <v>1770</v>
      </c>
      <c r="T117" s="9">
        <f t="shared" si="20"/>
        <v>1239.0000000000002</v>
      </c>
      <c r="U117" s="14">
        <v>15</v>
      </c>
      <c r="V117" s="14"/>
      <c r="Y117" s="9">
        <f t="shared" si="22"/>
        <v>2135.6224632890444</v>
      </c>
      <c r="Z117" s="82"/>
      <c r="AA117" s="82"/>
      <c r="AC117" s="9">
        <f>$Y117*(Voorblad!$K$44*(1+Voorblad!$K$44)^Voorblad!$K$41)/((1+Voorblad!$K$44)^Voorblad!$K$41-1)</f>
        <v>64.576737885913587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855.48682492350349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590.68418693922297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407.8470860509741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281.6043653753436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202</v>
      </c>
      <c r="L122" s="14"/>
      <c r="M122" s="14"/>
      <c r="N122" s="6" t="s">
        <v>312</v>
      </c>
      <c r="O122" s="1" t="s">
        <v>179</v>
      </c>
      <c r="P122" s="1" t="s">
        <v>182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53973.895248731256</v>
      </c>
      <c r="Z125" s="24"/>
      <c r="AA125" s="23">
        <f>SUM(AA109:AA124)</f>
        <v>0</v>
      </c>
      <c r="AC125" s="9">
        <f>$Y125*(Voorblad!$K$44*(1+Voorblad!$K$44)^Voorblad!$K$41)/((1+Voorblad!$K$44)^Voorblad!$K$41-1)</f>
        <v>1632.0572320592503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4912.4954800918185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13657.236097885929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3837.6336175325869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12005.887099248526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2341.9962861183558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6510.9874094566221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1829.5637555632479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5723.7188536753183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1116.529598127926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194</v>
      </c>
      <c r="K133" s="1" t="s">
        <v>210</v>
      </c>
      <c r="N133" s="6" t="s">
        <v>312</v>
      </c>
      <c r="O133" s="1" t="s">
        <v>188</v>
      </c>
      <c r="P133" s="1" t="s">
        <v>182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2*13.3</f>
        <v>26.6</v>
      </c>
      <c r="R136" s="147" t="s">
        <v>197</v>
      </c>
      <c r="S136" s="14">
        <f>$H$10*500</f>
        <v>1190</v>
      </c>
      <c r="T136" s="9">
        <f t="shared" si="104"/>
        <v>31654</v>
      </c>
      <c r="U136" s="14">
        <v>50</v>
      </c>
      <c r="V136" s="14"/>
      <c r="Y136" s="9">
        <f>SUM(AE136:EB136)</f>
        <v>9209.484651602821</v>
      </c>
      <c r="Z136" s="82"/>
      <c r="AA136" s="82"/>
      <c r="AC136" s="9">
        <f>$Y136*(Voorblad!$K$44*(1+Voorblad!$K$44)^Voorblad!$K$41)/((1+Voorblad!$K$44)^Voorblad!$K$41-1)</f>
        <v>278.47547337322044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9209.484651602821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7.5%*2*13.3</f>
        <v>1.9950000000000001</v>
      </c>
      <c r="R137" s="14" t="s">
        <v>34</v>
      </c>
      <c r="S137" s="21">
        <f>$H$10*1000</f>
        <v>2380</v>
      </c>
      <c r="T137" s="21">
        <f t="shared" si="104"/>
        <v>4748.1000000000004</v>
      </c>
      <c r="U137" s="14">
        <v>50</v>
      </c>
      <c r="Y137" s="21">
        <f t="shared" ref="Y137" si="108">SUM(AE137:EB137)</f>
        <v>1381.4226977404232</v>
      </c>
      <c r="Z137" s="149"/>
      <c r="AA137" s="149"/>
      <c r="AC137" s="9">
        <f>$Y137*(Voorblad!$K$44*(1+Voorblad!$K$44)^Voorblad!$K$41)/((1+Voorblad!$K$44)^Voorblad!$K$41-1)</f>
        <v>41.771321005983062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1381.4226977404232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161</v>
      </c>
      <c r="N139" s="6" t="s">
        <v>312</v>
      </c>
      <c r="P139" s="14" t="s">
        <v>195</v>
      </c>
      <c r="Q139" s="81">
        <f>2*14</f>
        <v>28</v>
      </c>
      <c r="R139" s="1" t="s">
        <v>34</v>
      </c>
      <c r="S139" s="6">
        <f>$H$10*1000</f>
        <v>2380</v>
      </c>
      <c r="T139" s="1">
        <f t="shared" si="104"/>
        <v>66640</v>
      </c>
      <c r="U139" s="14">
        <v>50</v>
      </c>
      <c r="V139" s="14"/>
      <c r="Y139" s="9">
        <f t="shared" si="107"/>
        <v>19388.388740216466</v>
      </c>
      <c r="Z139" s="82"/>
      <c r="AA139" s="82"/>
      <c r="AC139" s="9">
        <f>$Y139*(Voorblad!$K$44*(1+Voorblad!$K$44)^Voorblad!$K$41)/((1+Voorblad!$K$44)^Voorblad!$K$41-1)</f>
        <v>586.26415446993769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19388.388740216466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196</v>
      </c>
      <c r="Q146" s="83">
        <f>2*13.3</f>
        <v>26.6</v>
      </c>
      <c r="R146" s="147" t="s">
        <v>197</v>
      </c>
      <c r="S146" s="14">
        <f>$H$10*500</f>
        <v>1190</v>
      </c>
      <c r="T146" s="1">
        <f t="shared" si="104"/>
        <v>31654</v>
      </c>
      <c r="U146" s="14">
        <v>50</v>
      </c>
      <c r="V146" s="14"/>
      <c r="Y146" s="9">
        <f>SUM(AE146:EB146)</f>
        <v>9209.484651602821</v>
      </c>
      <c r="Z146" s="82"/>
      <c r="AA146" s="82"/>
      <c r="AC146" s="229">
        <f>$Y146*(Voorblad!$K$44*(1+Voorblad!$K$44)^Voorblad!$K$41)/((1+Voorblad!$K$44)^Voorblad!$K$41-1)</f>
        <v>278.47547337322044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9209.484651602821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39188.780741162533</v>
      </c>
      <c r="Z147" s="24"/>
      <c r="AA147" s="23">
        <f>SUM(AA127:AA146)</f>
        <v>0</v>
      </c>
      <c r="AC147" s="9">
        <f>$Y147*(Voorblad!$K$44*(1+Voorblad!$K$44)^Voorblad!$K$41)/((1+Voorblad!$K$44)^Voorblad!$K$41-1)</f>
        <v>1184.9864222223616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39188.780741162533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13.315*11.55</f>
        <v>153.78825000000001</v>
      </c>
      <c r="R149" s="81" t="s">
        <v>35</v>
      </c>
      <c r="S149" s="81">
        <v>7860</v>
      </c>
      <c r="T149" s="21">
        <f>Q149*S149</f>
        <v>1208775.645</v>
      </c>
      <c r="U149" s="11">
        <v>1</v>
      </c>
      <c r="V149" s="14">
        <f>Voorblad!F24+100</f>
        <v>2099</v>
      </c>
      <c r="W149" s="9">
        <f>Voorblad!K77</f>
        <v>2099</v>
      </c>
      <c r="X149" s="6"/>
      <c r="Y149" s="9">
        <f t="shared" si="21"/>
        <v>209387.7442440938</v>
      </c>
      <c r="Z149" s="82" t="s">
        <v>313</v>
      </c>
      <c r="AA149" s="82">
        <v>52</v>
      </c>
      <c r="AC149" s="9">
        <f>$Y149*(Voorblad!$K$44*(1+Voorblad!$K$44)^Voorblad!$K$41)/((1+Voorblad!$K$44)^Voorblad!$K$41-1)</f>
        <v>6331.4456131675788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209387.7442440938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24175.512900000002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48351.025800000003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84614.295150000005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1208775.645</v>
      </c>
      <c r="U154" s="14"/>
      <c r="V154" s="14"/>
      <c r="W154" s="14"/>
      <c r="X154" s="6"/>
      <c r="Y154" s="23">
        <f>SUM(Y149:Y153)</f>
        <v>209387.7442440938</v>
      </c>
      <c r="Z154" s="24"/>
      <c r="AA154" s="23">
        <f>SUM(AA149:AA153)</f>
        <v>52</v>
      </c>
      <c r="AC154" s="9">
        <f>$Y154*(Voorblad!$K$44*(1+Voorblad!$K$44)^Voorblad!$K$41)/((1+Voorblad!$K$44)^Voorblad!$K$41-1)</f>
        <v>6331.4456131675788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2099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5538.9619080568518</v>
      </c>
      <c r="Z195" s="82"/>
      <c r="AA195" s="82"/>
      <c r="AC195" s="9">
        <f>$Y195*(Voorblad!$K$44*(1+Voorblad!$K$44)^Voorblad!$K$41)/((1+Voorblad!$K$44)^Voorblad!$K$41-1)</f>
        <v>167.4865747318355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135</v>
      </c>
      <c r="Q196" s="84">
        <f>(2*11.55*4.8)+(2*6.9*6.8)+(2*3.8*6.8)</f>
        <v>256.40000000000003</v>
      </c>
      <c r="R196" s="1" t="s">
        <v>35</v>
      </c>
      <c r="S196" s="21">
        <f>$H$20*15</f>
        <v>26.55</v>
      </c>
      <c r="T196" s="9">
        <f>Q196*S196</f>
        <v>6807.420000000001</v>
      </c>
      <c r="U196" s="14">
        <v>10</v>
      </c>
      <c r="V196" s="14"/>
      <c r="Y196" s="9">
        <f t="shared" si="199"/>
        <v>19989.458020803668</v>
      </c>
      <c r="Z196" s="82"/>
      <c r="AA196" s="82"/>
      <c r="AC196" s="9">
        <f>$Y196*(Voorblad!$K$44*(1+Voorblad!$K$44)^Voorblad!$K$41)/((1+Voorblad!$K$44)^Voorblad!$K$41-1)</f>
        <v>604.43922710144386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5317.9456238757493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4154.3706218360594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3245.3876899546449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2535.2916763729177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1980.5658054910623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1547.214841762245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1208.6817615109894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134</v>
      </c>
      <c r="Q197" s="84">
        <f>(2*11.55*2.5)+(2*6.9*2.5)+(2*3.8*2.5)</f>
        <v>111.25</v>
      </c>
      <c r="R197" s="1" t="s">
        <v>35</v>
      </c>
      <c r="S197" s="21">
        <f>$H$20*20</f>
        <v>35.4</v>
      </c>
      <c r="T197" s="9">
        <f>Q197*S197</f>
        <v>3938.25</v>
      </c>
      <c r="U197" s="14">
        <v>10</v>
      </c>
      <c r="V197" s="14"/>
      <c r="Y197" s="9">
        <f>SUM(AE197:EB197)</f>
        <v>11564.364039596505</v>
      </c>
      <c r="Z197" s="82"/>
      <c r="AA197" s="82"/>
      <c r="AC197" s="9">
        <f>$Y197*(Voorblad!$K$44*(1+Voorblad!$K$44)^Voorblad!$K$41)/((1+Voorblad!$K$44)^Voorblad!$K$41-1)</f>
        <v>349.6820801613917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3076.5546055963446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2403.3995407137886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1877.5318799139584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1466.7249037778838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1145.8031506026034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895.09958994305634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699.25036904886929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219</v>
      </c>
      <c r="P198" s="1" t="s">
        <v>175</v>
      </c>
      <c r="Q198" s="84">
        <f>2.5%*Q196</f>
        <v>6.410000000000001</v>
      </c>
      <c r="R198" s="1" t="s">
        <v>35</v>
      </c>
      <c r="S198" s="14">
        <f>$H$20*500</f>
        <v>885</v>
      </c>
      <c r="T198" s="9">
        <f>Q198*S198</f>
        <v>5672.8500000000013</v>
      </c>
      <c r="U198" s="14">
        <v>15</v>
      </c>
      <c r="V198" s="14"/>
      <c r="Y198" s="9">
        <f t="shared" si="199"/>
        <v>9778.0999926305522</v>
      </c>
      <c r="Z198" s="82"/>
      <c r="AA198" s="82"/>
      <c r="AC198" s="229">
        <f>$Y198*(Voorblad!$K$44*(1+Voorblad!$K$44)^Voorblad!$K$41)/((1+Voorblad!$K$44)^Voorblad!$K$41-1)</f>
        <v>295.66920703479008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3916.9075341140415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2704.4897416288709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1867.3570154191029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1289.3457014685378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46870.883961087573</v>
      </c>
      <c r="Z199" s="24"/>
      <c r="AA199" s="23">
        <f>SUM(AA195:AA198)</f>
        <v>0</v>
      </c>
      <c r="AC199" s="9">
        <f>$Y199*(Voorblad!$K$44*(1+Voorblad!$K$44)^Voorblad!$K$41)/((1+Voorblad!$K$44)^Voorblad!$K$41-1)</f>
        <v>1417.277089029461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12.820000000000002</v>
      </c>
      <c r="R201" s="1" t="s">
        <v>35</v>
      </c>
      <c r="S201" s="14">
        <f>$H$10*500</f>
        <v>1190</v>
      </c>
      <c r="T201" s="9">
        <f>Q201*S201</f>
        <v>15255.800000000003</v>
      </c>
      <c r="U201" s="14">
        <v>50</v>
      </c>
      <c r="V201" s="14"/>
      <c r="Y201" s="9">
        <f t="shared" si="199"/>
        <v>4438.5561365995563</v>
      </c>
      <c r="Z201" s="82"/>
      <c r="AA201" s="82"/>
      <c r="AC201" s="229">
        <f>$Y201*(Voorblad!$K$44*(1+Voorblad!$K$44)^Voorblad!$K$41)/((1+Voorblad!$K$44)^Voorblad!$K$41-1)</f>
        <v>134.2126153625822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4438.5561365995563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4438.5561365995563</v>
      </c>
      <c r="Z202" s="24"/>
      <c r="AA202" s="23">
        <f>SUM(AA201)</f>
        <v>0</v>
      </c>
      <c r="AC202" s="9">
        <f>$Y202*(Voorblad!$K$44*(1+Voorblad!$K$44)^Voorblad!$K$41)/((1+Voorblad!$K$44)^Voorblad!$K$41-1)</f>
        <v>134.2126153625822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308</v>
      </c>
      <c r="Q204" s="83">
        <f>13.315*11.55</f>
        <v>153.78825000000001</v>
      </c>
      <c r="R204" s="81" t="s">
        <v>35</v>
      </c>
      <c r="S204" s="81">
        <v>3500</v>
      </c>
      <c r="T204" s="9">
        <f>Q204*S204</f>
        <v>538258.875</v>
      </c>
      <c r="U204" s="11">
        <v>1</v>
      </c>
      <c r="V204" s="14">
        <f>Voorblad!F25+100</f>
        <v>2099</v>
      </c>
      <c r="W204" s="9">
        <f>Voorblad!K85</f>
        <v>2099</v>
      </c>
      <c r="X204" s="6"/>
      <c r="Y204" s="9">
        <f t="shared" si="199"/>
        <v>93238.817411492142</v>
      </c>
      <c r="Z204" s="82" t="s">
        <v>313</v>
      </c>
      <c r="AA204" s="82">
        <v>52</v>
      </c>
      <c r="AC204" s="9">
        <f>$Y204*(Voorblad!$K$44*(1+Voorblad!$K$44)^Voorblad!$K$41)/((1+Voorblad!$K$44)^Voorblad!$K$41-1)</f>
        <v>2819.346010952484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93238.817411492142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10765.1775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21530.355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37678.121250000004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538258.875</v>
      </c>
      <c r="U208" s="14"/>
      <c r="V208" s="14"/>
      <c r="W208" s="14"/>
      <c r="X208" s="6"/>
      <c r="Y208" s="23">
        <f>SUM(Y204:Y207)</f>
        <v>93238.817411492142</v>
      </c>
      <c r="Z208" s="24"/>
      <c r="AA208" s="23">
        <f>SUM(AA204:AA207)</f>
        <v>52</v>
      </c>
      <c r="AC208" s="9">
        <f>$Y208*(Voorblad!$K$44*(1+Voorblad!$K$44)^Voorblad!$K$41)/((1+Voorblad!$K$44)^Voorblad!$K$41-1)</f>
        <v>2819.346010952484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2099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314</v>
      </c>
      <c r="Q229" s="84">
        <f>2*14*0.035</f>
        <v>0.98000000000000009</v>
      </c>
      <c r="R229" s="1" t="s">
        <v>102</v>
      </c>
      <c r="S229" s="6">
        <v>-600</v>
      </c>
      <c r="T229" s="21">
        <f t="shared" ref="T229:T236" si="201">Q229*S229</f>
        <v>-588</v>
      </c>
      <c r="U229" s="11">
        <v>1</v>
      </c>
      <c r="V229" s="14">
        <f>Voorblad!F24+100</f>
        <v>2099</v>
      </c>
      <c r="W229" s="9">
        <f>Voorblad!$K$77</f>
        <v>2099</v>
      </c>
      <c r="X229" s="6"/>
      <c r="Y229" s="9">
        <f t="shared" ref="Y229" si="202">SUM(AE229:EB229)</f>
        <v>-101.85512433577129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-101.85512433577129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104</v>
      </c>
      <c r="P230" s="1" t="s">
        <v>309</v>
      </c>
      <c r="Q230" s="83">
        <f>2*172</f>
        <v>344</v>
      </c>
      <c r="R230" s="1" t="s">
        <v>102</v>
      </c>
      <c r="S230" s="1">
        <v>-50</v>
      </c>
      <c r="T230" s="21">
        <f t="shared" si="201"/>
        <v>-17200</v>
      </c>
      <c r="U230" s="11">
        <v>1</v>
      </c>
      <c r="V230" s="14">
        <f>Voorblad!F24+100</f>
        <v>2099</v>
      </c>
      <c r="W230" s="9">
        <f>Voorblad!$K$77</f>
        <v>2099</v>
      </c>
      <c r="X230" s="6"/>
      <c r="Y230" s="9">
        <f t="shared" ref="Y230" si="203">SUM(AE230:EB230)</f>
        <v>-2979.4356098218814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-2979.4356098218814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103</v>
      </c>
      <c r="Q231" s="83">
        <f>0.5*Q230</f>
        <v>172</v>
      </c>
      <c r="R231" s="1" t="s">
        <v>102</v>
      </c>
      <c r="S231" s="1">
        <v>-200</v>
      </c>
      <c r="T231" s="21">
        <f t="shared" si="201"/>
        <v>-34400</v>
      </c>
      <c r="U231" s="11">
        <v>1</v>
      </c>
      <c r="V231" s="14">
        <f>Voorblad!F24+100</f>
        <v>2099</v>
      </c>
      <c r="W231" s="9">
        <f>Voorblad!$K$77</f>
        <v>2099</v>
      </c>
      <c r="X231" s="6"/>
      <c r="Y231" s="9">
        <f t="shared" ref="Y231:Y234" si="204">SUM(AE231:EB231)</f>
        <v>-5958.8712196437627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-5958.8712196437627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139</v>
      </c>
      <c r="P232" s="1" t="s">
        <v>310</v>
      </c>
      <c r="Q232" s="83">
        <f>2.3*632</f>
        <v>1453.6</v>
      </c>
      <c r="R232" s="1" t="s">
        <v>102</v>
      </c>
      <c r="S232" s="1">
        <v>-50</v>
      </c>
      <c r="T232" s="21">
        <f t="shared" si="201"/>
        <v>-72680</v>
      </c>
      <c r="U232" s="11">
        <v>1</v>
      </c>
      <c r="V232" s="14">
        <f>Voorblad!F24+100</f>
        <v>2099</v>
      </c>
      <c r="W232" s="9">
        <f>Voorblad!$K$77</f>
        <v>2099</v>
      </c>
      <c r="X232" s="6"/>
      <c r="Y232" s="9">
        <f t="shared" ref="Y232" si="205">SUM(AE232:EB232)</f>
        <v>-12589.847681503159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-12589.847681503159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138</v>
      </c>
      <c r="Q233" s="83">
        <f>0.2*Q232</f>
        <v>290.71999999999997</v>
      </c>
      <c r="R233" s="1" t="s">
        <v>102</v>
      </c>
      <c r="S233" s="1">
        <v>-200</v>
      </c>
      <c r="T233" s="21">
        <f t="shared" si="201"/>
        <v>-58143.999999999993</v>
      </c>
      <c r="U233" s="11">
        <v>1</v>
      </c>
      <c r="V233" s="14">
        <f>Voorblad!F24+100</f>
        <v>2099</v>
      </c>
      <c r="W233" s="9">
        <f>Voorblad!$K$77</f>
        <v>2099</v>
      </c>
      <c r="X233" s="6"/>
      <c r="Y233" s="9">
        <f t="shared" ref="Y233" si="206">SUM(AE233:EB233)</f>
        <v>-10071.878145202527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-10071.878145202527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2099</v>
      </c>
      <c r="W234" s="9">
        <f>Voorblad!$K$77</f>
        <v>2099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2099</v>
      </c>
      <c r="W235" s="9">
        <f>Voorblad!$K$77</f>
        <v>2099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2099</v>
      </c>
      <c r="W236" s="9">
        <f>Voorblad!$K$77</f>
        <v>2099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-183012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2019-12-10T08:21:11Z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