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F9DE988-D3C2-44F7-A2D6-1BF31CBBA5B1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K65" i="2" l="1"/>
  <c r="N61" i="2"/>
  <c r="N60" i="2"/>
  <c r="H61" i="2"/>
  <c r="Q233" i="1" l="1"/>
  <c r="Q232" i="1"/>
  <c r="Q230" i="1"/>
  <c r="Q231" i="1" s="1"/>
  <c r="Q204" i="1"/>
  <c r="Q197" i="1"/>
  <c r="Q196" i="1"/>
  <c r="Q201" i="1" s="1"/>
  <c r="Q149" i="1"/>
  <c r="Q146" i="1"/>
  <c r="Q139" i="1"/>
  <c r="Q137" i="1"/>
  <c r="Q136" i="1"/>
  <c r="Q133" i="1"/>
  <c r="Q122" i="1"/>
  <c r="Q117" i="1"/>
  <c r="Q115" i="1"/>
  <c r="Q113" i="1"/>
  <c r="Q110" i="1"/>
  <c r="Q46" i="1"/>
  <c r="Q198" i="1" l="1"/>
  <c r="D50" i="2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L60" i="2" l="1"/>
  <c r="N92" i="2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2" i="2"/>
  <c r="N66" i="2"/>
  <c r="N64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L6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2" i="2" l="1"/>
  <c r="O62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3" i="2"/>
  <c r="O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<sst xmlns="http://schemas.openxmlformats.org/spreadsheetml/2006/main" count="1030" uniqueCount="319">
  <si>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</si>
  <si>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</si>
  <si>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</si>
  <si>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</si>
  <si>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</si>
  <si>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</si>
  <si>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</si>
  <si>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</si>
  <si>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</si>
  <si>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</si>
  <si>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</si>
  <si>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</si>
  <si>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</si>
  <si>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</si>
  <si>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</si>
  <si>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</si>
  <si>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</si>
  <si>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</si>
  <si>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</si>
  <si>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</si>
  <si>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</si>
  <si>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</si>
  <si>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</si>
  <si>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</si>
  <si>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</si>
  <si>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</si>
  <si>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</si>
  <si>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</si>
  <si>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</si>
  <si>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</si>
  <si>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</si>
  <si>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</si>
  <si>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</si>
  <si>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</si>
  <si>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</si>
  <si>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</si>
  <si>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</si>
  <si>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</si>
  <si>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</si>
  <si>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</si>
  <si>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</si>
  <si>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</si>
  <si>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</si>
  <si>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</si>
  <si>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</si>
  <si>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</si>
  <si>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</si>
  <si>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</si>
  <si>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</si>
  <si>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</si>
  <si>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</si>
  <si>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</si>
  <si>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</si>
  <si>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</si>
  <si>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</si>
  <si>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</si>
  <si>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</si>
  <si>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</si>
  <si>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</si>
  <si>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</si>
  <si>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</si>
  <si>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</si>
  <si>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</si>
  <si>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</si>
  <si>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</si>
  <si>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</si>
  <si>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</si>
  <si>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</si>
  <si>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</si>
  <si>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</si>
  <si>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</si>
  <si>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</si>
  <si>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</si>
  <si>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</si>
  <si>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</si>
  <si>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</si>
  <si>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</si>
  <si>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</si>
  <si>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</si>
  <si>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</si>
  <si>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</si>
  <si>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</si>
  <si>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</si>
  <si>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</si>
  <si>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</si>
  <si>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</si>
  <si>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</si>
  <si>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</si>
  <si>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</si>
  <si>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</si>
  <si>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</si>
  <si>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</si>
  <si>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</si>
  <si>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</si>
  <si>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</si>
  <si>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</si>
  <si>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</si>
  <si>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</si>
  <si>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</si>
  <si>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</si>
  <si>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</si>
  <si>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</si>
  <si>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</si>
  <si>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</si>
  <si>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</si>
  <si>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</si>
  <si>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</si>
  <si>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</si>
  <si>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</si>
  <si>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</si>
  <si>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</si>
  <si>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</si>
  <si>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</si>
  <si>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</si>
  <si>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</si>
  <si>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</si>
  <si>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</si>
  <si>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</si>
  <si>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</si>
  <si>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</si>
  <si>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</si>
  <si>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</si>
  <si>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</si>
  <si>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</si>
  <si>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</si>
  <si>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</si>
  <si>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</si>
  <si>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</si>
  <si>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</si>
  <si>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</si>
  <si>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</si>
  <si>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</si>
  <si>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</si>
  <si>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</si>
  <si>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</si>
  <si>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</si>
  <si>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</si>
  <si>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</si>
  <si>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</si>
  <si>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</si>
  <si>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</si>
  <si>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</si>
  <si>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</si>
  <si>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</si>
  <si>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</si>
  <si>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</si>
  <si>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</si>
  <si>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</si>
  <si>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</si>
  <si>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</si>
  <si>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</si>
  <si>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</si>
  <si>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</si>
  <si>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</si>
  <si>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</si>
  <si>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</si>
  <si>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</si>
  <si>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</si>
  <si>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</si>
  <si>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</si>
  <si>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</si>
  <si>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</si>
  <si>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</si>
  <si>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</si>
  <si>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</si>
  <si>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</si>
  <si>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</si>
  <si>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</si>
  <si>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</si>
  <si>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</si>
  <si>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</si>
  <si>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</si>
  <si>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</si>
  <si>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</si>
  <si>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</si>
  <si>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</si>
  <si>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</si>
  <si>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</si>
  <si>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</si>
  <si>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</si>
  <si>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</si>
  <si>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</si>
  <si>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</si>
  <si>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</si>
  <si>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</si>
  <si>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</si>
  <si>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</si>
  <si>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</si>
  <si>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</si>
  <si>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</si>
  <si>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</si>
  <si>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</si>
  <si>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</si>
  <si>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</si>
  <si>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</si>
  <si>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</si>
  <si>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</si>
  <si>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</si>
  <si>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</si>
  <si>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</si>
  <si>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</si>
  <si>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</si>
  <si>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</si>
  <si>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</si>
  <si>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</si>
  <si>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</si>
  <si>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</si>
  <si>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</si>
  <si>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</si>
  <si>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</si>
  <si>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</si>
  <si>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</si>
  <si>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</si>
  <si>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</si>
  <si>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</si>
  <si>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</si>
  <si>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</si>
  <si>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</si>
  <si>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</si>
  <si>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</si>
  <si>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</si>
  <si>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</si>
  <si>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</si>
  <si>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</si>
  <si>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</si>
  <si>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</si>
  <si>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</si>
  <si>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</si>
  <si>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</si>
  <si>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</si>
  <si>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</si>
  <si>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</si>
  <si>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</si>
  <si>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</si>
  <si>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</si>
  <si>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</si>
  <si>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</si>
  <si>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</si>
  <si>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</si>
  <si>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</si>
  <si>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</si>
  <si>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</si>
  <si>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</si>
  <si>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</si>
  <si>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</si>
  <si>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</si>
  <si>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</si>
  <si>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</si>
  <si>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</si>
  <si>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</si>
  <si>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</si>
  <si>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</si>
  <si>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</si>
  <si>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</si>
  <si>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</si>
  <si>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</si>
  <si>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</si>
  <si>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</si>
  <si>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</si>
  <si>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</si>
  <si>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</si>
  <si>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</si>
  <si>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</si>
  <si>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</si>
  <si>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</si>
  <si>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</si>
  <si>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</si>
  <si>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</si>
  <si>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</si>
  <si>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</si>
  <si>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</si>
  <si>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</si>
  <si>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</si>
  <si>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</si>
  <si>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</si>
  <si>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</si>
  <si>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</si>
  <si>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</si>
  <si>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Breda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</si>
  <si>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</si>
  <si>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</si>
  <si>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</si>
  <si>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</si>
  <si>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</si>
  <si>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</si>
  <si>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</si>
  <si>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</si>
  <si>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</si>
  <si>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</si>
  <si>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</si>
  <si>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</si>
  <si>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</si>
  <si>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</si>
  <si>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</si>
  <si>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</si>
  <si>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</si>
  <si>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</si>
  <si>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</si>
  <si>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</si>
  <si>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</si>
  <si>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</si>
  <si>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</si>
  <si>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</si>
  <si>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</si>
  <si>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</si>
  <si>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KW20-544-0040</t>
  </si>
  <si>
    <t>Onderdoorgang Lunetstraat</t>
  </si>
  <si>
    <t>Gewapend beton (op staal)</t>
  </si>
  <si>
    <t>ja</t>
  </si>
  <si>
    <t>pve/pp</t>
  </si>
  <si>
    <t>uitvoeren nader archiefonderzoek kunstwerk</t>
  </si>
  <si>
    <t>leuning vervangen door hogere spijlenhekwerk, kabelgoten reinigen en wanden ophogen en nieuwe voetpadplaten</t>
  </si>
  <si>
    <t>beheersing functioneren van de waterhuishouding</t>
  </si>
  <si>
    <t>spoordek+PV-paden: 830 m3</t>
  </si>
  <si>
    <t>Σ: 2 landhfdn + 3 tussenstnpntn + vloer: 2710 m3</t>
  </si>
  <si>
    <t>Σ: van 2 landhfdn + 3 tussenstnpntn + vleugelwandn</t>
  </si>
  <si>
    <t>2 landhfd + 3 tussenstpnt+ tunnelvloer obv dek BxL</t>
  </si>
  <si>
    <t>Totaal kosten cat. 2 (advies IB tlv ProRail AM)</t>
  </si>
  <si>
    <t>leuningen 2x54,25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</si>
</sst>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70" zoomScaleNormal="90" zoomScaleSheetLayoutView="70" workbookViewId="0">
      <selection activeCell="Q28" sqref="Q2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246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149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>
        <v>10592916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544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22.411999999999999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278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1970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1970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307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226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229</v>
      </c>
      <c r="C33" s="101"/>
      <c r="D33" s="97"/>
      <c r="E33" s="97"/>
      <c r="F33" s="144" t="s">
        <v>232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145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247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248</v>
      </c>
      <c r="C41" s="41"/>
      <c r="D41" s="40"/>
      <c r="E41" s="40"/>
      <c r="F41" s="102">
        <v>2028</v>
      </c>
      <c r="G41" s="41"/>
      <c r="H41" s="131" t="s">
        <v>249</v>
      </c>
      <c r="I41" s="40"/>
      <c r="J41" s="40"/>
      <c r="K41" s="103">
        <f>F24+100-F41</f>
        <v>42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250</v>
      </c>
      <c r="I42" s="40"/>
      <c r="J42" s="40"/>
      <c r="K42" s="46">
        <f>F41+K41</f>
        <v>2070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243</v>
      </c>
      <c r="C48" s="164" t="s">
        <v>244</v>
      </c>
      <c r="D48" s="67" t="str">
        <f>'Berekening MJOP+LTP'!K28</f>
        <v>Omschrijving</v>
      </c>
      <c r="E48" s="67"/>
      <c r="F48" s="68"/>
      <c r="G48" s="69"/>
      <c r="H48" s="151" t="s">
        <v>225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285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leuning vervangen door hogere spijlenhekwerk, kabelgoten reinigen en wanden ophogen en nieuwe voetpadplaten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148885</v>
      </c>
      <c r="M53" s="64">
        <f>'Berekening MJOP+LTP'!Y40</f>
        <v>141710.88637715648</v>
      </c>
      <c r="N53" s="61">
        <f>'Berekening MJOP+LTP'!AA40</f>
        <v>0</v>
      </c>
      <c r="O53" s="255">
        <f>'Berekening MJOP+LTP'!AC40</f>
        <v>16191.7106061902</v>
      </c>
      <c r="P53" s="234"/>
    </row>
    <row r="54" spans="2:16" x14ac:dyDescent="0.3">
      <c r="B54" s="109">
        <f>'Berekening MJOP+LTP'!B41</f>
        <v>1</v>
      </c>
      <c r="C54" s="66">
        <f>'Berekening MJOP+LTP'!D41</f>
        <v>4</v>
      </c>
      <c r="D54" s="145" t="str">
        <f>'Berekening MJOP+LTP'!K41</f>
        <v>beheersing functioneren van de waterhuishouding</v>
      </c>
      <c r="E54" s="188"/>
      <c r="F54" s="31"/>
      <c r="G54" s="35"/>
      <c r="H54" s="35"/>
      <c r="I54" s="35"/>
      <c r="J54" s="35"/>
      <c r="K54" s="91">
        <v>2020</v>
      </c>
      <c r="L54" s="64">
        <f>'Berekening MJOP+LTP'!T41</f>
        <v>68104</v>
      </c>
      <c r="M54" s="64">
        <f>'Berekening MJOP+LTP'!Y41</f>
        <v>64822.367638310534</v>
      </c>
      <c r="N54" s="61">
        <f>'Berekening MJOP+LTP'!AA41</f>
        <v>0</v>
      </c>
      <c r="O54" s="255">
        <f>'Berekening MJOP+LTP'!AC41</f>
        <v>7406.5235525672642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2070</v>
      </c>
      <c r="K59" s="159">
        <v>2070</v>
      </c>
      <c r="L59" s="156">
        <f>'Berekening MJOP+LTP'!T46</f>
        <v>13497016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298</v>
      </c>
      <c r="C60" s="189"/>
      <c r="D60" s="208"/>
      <c r="E60" s="208"/>
      <c r="F60" s="189"/>
      <c r="G60" s="190" t="s">
        <v>151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317</v>
      </c>
      <c r="C61" s="194"/>
      <c r="D61" s="212"/>
      <c r="E61" s="212"/>
      <c r="F61" s="194"/>
      <c r="G61" s="195" t="s">
        <v>151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299</v>
      </c>
      <c r="C62" s="194"/>
      <c r="D62" s="212"/>
      <c r="E62" s="212"/>
      <c r="F62" s="194"/>
      <c r="G62" s="195" t="s">
        <v>151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5500</v>
      </c>
      <c r="M62" s="214">
        <f>SUMIF(B51:B58,2,M51:M58)</f>
        <v>5118.9042526951152</v>
      </c>
      <c r="N62" s="247">
        <f>SUMIF(B51:B58,2,N51:N58)</f>
        <v>0</v>
      </c>
      <c r="O62" s="259">
        <f>SUMIF(B51:B58,2,O51:O58)</f>
        <v>584.87966873514893</v>
      </c>
      <c r="P62" s="236"/>
    </row>
    <row r="63" spans="2:16" x14ac:dyDescent="0.3">
      <c r="B63" s="211" t="s">
        <v>300</v>
      </c>
      <c r="C63" s="194"/>
      <c r="D63" s="212"/>
      <c r="E63" s="212"/>
      <c r="F63" s="194"/>
      <c r="G63" s="195" t="s">
        <v>151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216989</v>
      </c>
      <c r="M63" s="214">
        <f>SUMIF(B51:B58,1,M51:M58)</f>
        <v>206533.25401546701</v>
      </c>
      <c r="N63" s="247">
        <f>SUMIF(B51:B58,1,N51:N58)</f>
        <v>0</v>
      </c>
      <c r="O63" s="259">
        <f>SUMIF(B51:B58,1,O51:O58)</f>
        <v>23598.234158757463</v>
      </c>
      <c r="P63" s="236"/>
    </row>
    <row r="64" spans="2:16" x14ac:dyDescent="0.3">
      <c r="B64" s="211" t="s">
        <v>276</v>
      </c>
      <c r="C64" s="194"/>
      <c r="D64" s="212"/>
      <c r="E64" s="212"/>
      <c r="F64" s="194"/>
      <c r="G64" s="195" t="s">
        <v>151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222489</v>
      </c>
      <c r="M64" s="214">
        <f>SUM(M51:M58)</f>
        <v>211652.15826816214</v>
      </c>
      <c r="N64" s="247">
        <f>SUM(N51:N58)</f>
        <v>0</v>
      </c>
      <c r="O64" s="259">
        <f>SUM(O51:O58)</f>
        <v>24183.113827492612</v>
      </c>
      <c r="P64" s="236"/>
    </row>
    <row r="65" spans="2:16" x14ac:dyDescent="0.3">
      <c r="B65" s="211" t="s">
        <v>301</v>
      </c>
      <c r="C65" s="194"/>
      <c r="D65" s="212"/>
      <c r="E65" s="212"/>
      <c r="F65" s="194"/>
      <c r="G65" s="205" t="s">
        <v>260</v>
      </c>
      <c r="H65" s="196"/>
      <c r="I65" s="213"/>
      <c r="J65" s="197"/>
      <c r="K65" s="224">
        <f>K59</f>
        <v>2070</v>
      </c>
      <c r="L65" s="214">
        <f>L59</f>
        <v>13497016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277</v>
      </c>
      <c r="C66" s="199"/>
      <c r="D66" s="216"/>
      <c r="E66" s="216"/>
      <c r="F66" s="199"/>
      <c r="G66" s="200" t="s">
        <v>151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13731005</v>
      </c>
      <c r="M66" s="218">
        <f>SUM(M49:M59)</f>
        <v>221961.72131942227</v>
      </c>
      <c r="N66" s="249">
        <f>SUM(N49:N59)</f>
        <v>208</v>
      </c>
      <c r="O66" s="260">
        <f>SUM(O49:O59)</f>
        <v>25361.071750626343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245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243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285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2070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183389.05169316128</v>
      </c>
      <c r="N75" s="61">
        <f>'Berekening MJOP+LTP'!AA125</f>
        <v>0</v>
      </c>
      <c r="O75" s="261">
        <f>'Berekening MJOP+LTP'!AC125</f>
        <v>7102.4299657888605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15388.657949285262</v>
      </c>
      <c r="N76" s="61">
        <f>'Berekening MJOP+LTP'!AA147</f>
        <v>0</v>
      </c>
      <c r="O76" s="261">
        <f>'Berekening MJOP+LTP'!AC147</f>
        <v>595.98358976821271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2070</v>
      </c>
      <c r="K77" s="90">
        <v>2070</v>
      </c>
      <c r="L77" s="64">
        <f>'Berekening MJOP+LTP'!T154</f>
        <v>8899878</v>
      </c>
      <c r="M77" s="64">
        <f>'Berekening MJOP+LTP'!Y154</f>
        <v>3154871.7328964961</v>
      </c>
      <c r="N77" s="61">
        <f>'Berekening MJOP+LTP'!AA149</f>
        <v>104</v>
      </c>
      <c r="O77" s="261">
        <f>'Berekening MJOP+LTP'!AC154</f>
        <v>122184.25978577588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2070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177734.38934802273</v>
      </c>
      <c r="N83" s="61">
        <f>'Berekening MJOP+LTP'!AA199</f>
        <v>0</v>
      </c>
      <c r="O83" s="261">
        <f>'Berekening MJOP+LTP'!AC199</f>
        <v>6883.4319235626144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2070</v>
      </c>
      <c r="K85" s="90">
        <v>2070</v>
      </c>
      <c r="L85" s="64">
        <f>'Berekening MJOP+LTP'!T208</f>
        <v>4597138</v>
      </c>
      <c r="M85" s="64">
        <f>'Berekening MJOP+LTP'!Y208</f>
        <v>1629615.6788243987</v>
      </c>
      <c r="N85" s="61">
        <f>'Berekening MJOP+LTP'!AA204</f>
        <v>104</v>
      </c>
      <c r="O85" s="261">
        <f>'Berekening MJOP+LTP'!AC208</f>
        <v>63112.989151431306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2070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-810729.5</v>
      </c>
      <c r="M91" s="64"/>
      <c r="N91" s="251"/>
      <c r="O91" s="262"/>
      <c r="P91" s="241"/>
      <c r="Q91" s="27"/>
    </row>
    <row r="92" spans="2:17" x14ac:dyDescent="0.3">
      <c r="B92" s="207" t="s">
        <v>302</v>
      </c>
      <c r="C92" s="208"/>
      <c r="D92" s="208"/>
      <c r="E92" s="208"/>
      <c r="F92" s="189"/>
      <c r="G92" s="204" t="s">
        <v>152</v>
      </c>
      <c r="H92" s="191">
        <f>F41</f>
        <v>2028</v>
      </c>
      <c r="I92" s="209" t="s">
        <v>29</v>
      </c>
      <c r="J92" s="192">
        <f>K42</f>
        <v>2070</v>
      </c>
      <c r="K92" s="219"/>
      <c r="L92" s="220"/>
      <c r="M92" s="220">
        <f t="shared" ref="M92:O94" si="1">M71+M75+M79+M83+M87</f>
        <v>361123.44104118401</v>
      </c>
      <c r="N92" s="267">
        <f t="shared" si="1"/>
        <v>0</v>
      </c>
      <c r="O92" s="263">
        <f t="shared" si="1"/>
        <v>13985.861889351476</v>
      </c>
      <c r="P92" s="242"/>
    </row>
    <row r="93" spans="2:17" x14ac:dyDescent="0.3">
      <c r="B93" s="211" t="s">
        <v>303</v>
      </c>
      <c r="C93" s="212"/>
      <c r="D93" s="212"/>
      <c r="E93" s="212"/>
      <c r="F93" s="194"/>
      <c r="G93" s="205" t="s">
        <v>152</v>
      </c>
      <c r="H93" s="196">
        <f>F41</f>
        <v>2028</v>
      </c>
      <c r="I93" s="213" t="s">
        <v>29</v>
      </c>
      <c r="J93" s="197">
        <f>K42</f>
        <v>2070</v>
      </c>
      <c r="K93" s="221"/>
      <c r="L93" s="222"/>
      <c r="M93" s="222">
        <f t="shared" si="1"/>
        <v>15388.657949285262</v>
      </c>
      <c r="N93" s="252">
        <f t="shared" si="1"/>
        <v>0</v>
      </c>
      <c r="O93" s="264">
        <f t="shared" si="1"/>
        <v>595.98358976821271</v>
      </c>
      <c r="P93" s="243"/>
    </row>
    <row r="94" spans="2:17" x14ac:dyDescent="0.3">
      <c r="B94" s="211" t="s">
        <v>301</v>
      </c>
      <c r="C94" s="212"/>
      <c r="D94" s="212"/>
      <c r="E94" s="212"/>
      <c r="F94" s="194"/>
      <c r="G94" s="205" t="s">
        <v>260</v>
      </c>
      <c r="H94" s="196"/>
      <c r="I94" s="213"/>
      <c r="J94" s="197"/>
      <c r="K94" s="225">
        <f>K59</f>
        <v>2070</v>
      </c>
      <c r="L94" s="222">
        <f>L73+L77+L81+L85+L89</f>
        <v>13497016</v>
      </c>
      <c r="M94" s="222">
        <f t="shared" si="1"/>
        <v>4784487.4117208943</v>
      </c>
      <c r="N94" s="252">
        <f t="shared" si="1"/>
        <v>208</v>
      </c>
      <c r="O94" s="264">
        <f t="shared" si="1"/>
        <v>185297.24893720719</v>
      </c>
      <c r="P94" s="243"/>
    </row>
    <row r="95" spans="2:17" ht="15" thickBot="1" x14ac:dyDescent="0.35">
      <c r="B95" s="215" t="s">
        <v>304</v>
      </c>
      <c r="C95" s="216"/>
      <c r="D95" s="216"/>
      <c r="E95" s="216"/>
      <c r="F95" s="199"/>
      <c r="G95" s="206" t="s">
        <v>260</v>
      </c>
      <c r="H95" s="201"/>
      <c r="I95" s="217"/>
      <c r="J95" s="202"/>
      <c r="K95" s="226">
        <f>K59</f>
        <v>2070</v>
      </c>
      <c r="L95" s="223">
        <f>L91</f>
        <v>-810729.5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261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262</v>
      </c>
      <c r="F99" s="177" t="s">
        <v>263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3.7975000000000003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1660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830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6232.9999999999991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1246.5999999999999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O1" zoomScale="90" zoomScaleNormal="90" zoomScaleSheetLayoutView="90" workbookViewId="0">
      <pane ySplit="2" topLeftCell="A207" activePane="bottomLeft" state="frozen"/>
      <selection pane="bottomLeft" activeCell="X244" sqref="X244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238</v>
      </c>
      <c r="C1" s="3" t="s">
        <v>239</v>
      </c>
      <c r="D1" s="3" t="s">
        <v>241</v>
      </c>
      <c r="E1" s="3" t="s">
        <v>236</v>
      </c>
      <c r="F1" s="3" t="s">
        <v>0</v>
      </c>
      <c r="G1" s="3"/>
      <c r="H1" s="3"/>
      <c r="I1" s="3" t="s">
        <v>233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237</v>
      </c>
      <c r="C2" s="3" t="s">
        <v>242</v>
      </c>
      <c r="D2" s="3" t="s">
        <v>240</v>
      </c>
      <c r="E2" s="3" t="s">
        <v>235</v>
      </c>
      <c r="F2" s="3"/>
      <c r="G2" s="3"/>
      <c r="H2" s="3"/>
      <c r="I2" s="3" t="s">
        <v>234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291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256</v>
      </c>
      <c r="K9" s="1" t="s">
        <v>25</v>
      </c>
    </row>
    <row r="10" spans="2:236" ht="13.8" x14ac:dyDescent="0.3">
      <c r="B10" s="170"/>
      <c r="D10" s="168" t="s">
        <v>259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290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257</v>
      </c>
    </row>
    <row r="15" spans="2:236" ht="13.8" x14ac:dyDescent="0.3">
      <c r="B15" s="170"/>
      <c r="D15" s="168" t="s">
        <v>258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292</v>
      </c>
      <c r="K17" s="1" t="s">
        <v>252</v>
      </c>
    </row>
    <row r="18" spans="2:236" ht="13.8" x14ac:dyDescent="0.3">
      <c r="B18" s="170"/>
      <c r="D18" s="1" t="s">
        <v>40</v>
      </c>
      <c r="K18" s="1" t="s">
        <v>253</v>
      </c>
    </row>
    <row r="19" spans="2:236" ht="13.8" x14ac:dyDescent="0.3">
      <c r="B19" s="170"/>
      <c r="D19" s="1" t="s">
        <v>257</v>
      </c>
      <c r="K19" s="1" t="s">
        <v>254</v>
      </c>
    </row>
    <row r="20" spans="2:236" ht="13.8" x14ac:dyDescent="0.3">
      <c r="B20" s="170"/>
      <c r="D20" s="168" t="s">
        <v>258</v>
      </c>
      <c r="H20" s="172">
        <v>1.77</v>
      </c>
      <c r="I20" s="167">
        <v>1.77</v>
      </c>
    </row>
    <row r="21" spans="2:236" x14ac:dyDescent="0.25">
      <c r="K21" s="25" t="s">
        <v>148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255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238</v>
      </c>
      <c r="C28" s="3" t="s">
        <v>239</v>
      </c>
      <c r="D28" s="3" t="s">
        <v>241</v>
      </c>
      <c r="E28" s="3" t="s">
        <v>236</v>
      </c>
      <c r="F28" s="3" t="s">
        <v>0</v>
      </c>
      <c r="G28" s="3"/>
      <c r="H28" s="3"/>
      <c r="I28" s="3" t="s">
        <v>233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237</v>
      </c>
      <c r="C29" s="3" t="s">
        <v>242</v>
      </c>
      <c r="D29" s="3" t="s">
        <v>240</v>
      </c>
      <c r="E29" s="3" t="s">
        <v>235</v>
      </c>
      <c r="F29" s="3"/>
      <c r="G29" s="3"/>
      <c r="H29" s="3"/>
      <c r="I29" s="3" t="s">
        <v>234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286</v>
      </c>
      <c r="K31" s="1" t="s">
        <v>287</v>
      </c>
      <c r="O31" s="1" t="s">
        <v>296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280</v>
      </c>
      <c r="K32" s="1" t="s">
        <v>150</v>
      </c>
      <c r="O32" s="1" t="s">
        <v>296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289</v>
      </c>
      <c r="I35" s="1" t="s">
        <v>288</v>
      </c>
      <c r="K35" s="1" t="s">
        <v>294</v>
      </c>
      <c r="O35" s="1" t="s">
        <v>297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308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308</v>
      </c>
      <c r="D39" s="78">
        <v>2</v>
      </c>
      <c r="E39" s="76" t="s">
        <v>22</v>
      </c>
      <c r="F39" s="76" t="s">
        <v>309</v>
      </c>
      <c r="G39" s="76"/>
      <c r="H39" s="76"/>
      <c r="I39" s="76" t="s">
        <v>47</v>
      </c>
      <c r="J39" s="76"/>
      <c r="K39" s="76" t="s">
        <v>310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308</v>
      </c>
      <c r="D40" s="76">
        <v>3</v>
      </c>
      <c r="E40" s="76" t="s">
        <v>308</v>
      </c>
      <c r="F40" s="76" t="s">
        <v>21</v>
      </c>
      <c r="G40" s="76"/>
      <c r="H40" s="76"/>
      <c r="I40" s="76" t="s">
        <v>48</v>
      </c>
      <c r="J40" s="76"/>
      <c r="K40" s="79" t="s">
        <v>311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148885</v>
      </c>
      <c r="T40" s="9">
        <f t="shared" si="4"/>
        <v>148885</v>
      </c>
      <c r="U40" s="11">
        <v>1</v>
      </c>
      <c r="V40" s="14"/>
      <c r="W40" s="9">
        <f>Voorblad!K53</f>
        <v>2020</v>
      </c>
      <c r="Y40" s="9">
        <f t="shared" si="5"/>
        <v>141710.88637715648</v>
      </c>
      <c r="Z40" s="82"/>
      <c r="AA40" s="82"/>
      <c r="AC40" s="9">
        <f>$Y40*(Voorblad!$K$44*(1+Voorblad!$K$44)^Voorblad!$K$37)/((1+Voorblad!$K$44)^Voorblad!$K$37-1)</f>
        <v>16191.7106061902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141710.88637715648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>
        <v>1</v>
      </c>
      <c r="C41" s="76" t="s">
        <v>308</v>
      </c>
      <c r="D41" s="76">
        <v>4</v>
      </c>
      <c r="E41" s="76" t="s">
        <v>308</v>
      </c>
      <c r="F41" s="76" t="s">
        <v>21</v>
      </c>
      <c r="G41" s="76"/>
      <c r="H41" s="76"/>
      <c r="I41" s="76" t="s">
        <v>48</v>
      </c>
      <c r="J41" s="76"/>
      <c r="K41" s="76" t="s">
        <v>312</v>
      </c>
      <c r="L41" s="76"/>
      <c r="M41" s="76"/>
      <c r="N41" s="76"/>
      <c r="O41" s="77"/>
      <c r="P41" s="77"/>
      <c r="Q41" s="81">
        <v>1</v>
      </c>
      <c r="R41" s="81" t="s">
        <v>33</v>
      </c>
      <c r="S41" s="81">
        <v>68104</v>
      </c>
      <c r="T41" s="9">
        <f t="shared" si="4"/>
        <v>68104</v>
      </c>
      <c r="U41" s="11">
        <v>1</v>
      </c>
      <c r="V41" s="14"/>
      <c r="W41" s="9">
        <f>Voorblad!K54</f>
        <v>2020</v>
      </c>
      <c r="Y41" s="9">
        <f t="shared" si="5"/>
        <v>64822.367638310534</v>
      </c>
      <c r="Z41" s="82"/>
      <c r="AA41" s="82"/>
      <c r="AC41" s="9">
        <f>$Y41*(Voorblad!$K$44*(1+Voorblad!$K$44)^Voorblad!$K$37)/((1+Voorblad!$K$44)^Voorblad!$K$37-1)</f>
        <v>7406.5235525672642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64822.367638310534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230</v>
      </c>
      <c r="P46" s="14" t="s">
        <v>281</v>
      </c>
      <c r="Q46" s="81">
        <f>26.8*42.25</f>
        <v>1132.3</v>
      </c>
      <c r="R46" s="81" t="s">
        <v>35</v>
      </c>
      <c r="S46" s="81">
        <v>11920</v>
      </c>
      <c r="T46" s="9">
        <f t="shared" si="4"/>
        <v>13497016</v>
      </c>
      <c r="U46" s="11">
        <v>1</v>
      </c>
      <c r="V46" s="1">
        <f>Voorblad!F24+100</f>
        <v>2070</v>
      </c>
      <c r="W46" s="9">
        <f>Voorblad!K59</f>
        <v>2070</v>
      </c>
      <c r="X46" s="6"/>
      <c r="Y46" s="9">
        <f>SUM(AE46:EB46)</f>
        <v>0</v>
      </c>
      <c r="Z46" s="82" t="s">
        <v>144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270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251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238</v>
      </c>
      <c r="C54" s="3"/>
      <c r="D54" s="3"/>
      <c r="E54" s="3"/>
      <c r="F54" s="3" t="s">
        <v>0</v>
      </c>
      <c r="G54" s="3"/>
      <c r="H54" s="3"/>
      <c r="I54" s="3" t="s">
        <v>233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237</v>
      </c>
      <c r="I55" s="3" t="s">
        <v>234</v>
      </c>
      <c r="O55" s="14"/>
      <c r="P55" s="14"/>
      <c r="V55" s="3" t="s">
        <v>70</v>
      </c>
      <c r="AC55" s="20" t="s">
        <v>284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279</v>
      </c>
      <c r="K58" s="1" t="s">
        <v>287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280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280</v>
      </c>
      <c r="K60" s="1" t="s">
        <v>153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280</v>
      </c>
      <c r="K61" s="1" t="s">
        <v>146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280</v>
      </c>
      <c r="K62" s="14" t="s">
        <v>165</v>
      </c>
      <c r="L62" s="14"/>
      <c r="M62" s="14"/>
      <c r="N62" s="3"/>
      <c r="P62" s="1" t="s">
        <v>185</v>
      </c>
      <c r="Q62" s="81">
        <v>0</v>
      </c>
      <c r="R62" s="147" t="s">
        <v>197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280</v>
      </c>
      <c r="K63" s="14" t="s">
        <v>169</v>
      </c>
      <c r="L63" s="14"/>
      <c r="M63" s="14"/>
      <c r="N63" s="3"/>
      <c r="O63" s="1" t="s">
        <v>171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280</v>
      </c>
      <c r="K64" s="14" t="s">
        <v>204</v>
      </c>
      <c r="L64" s="14"/>
      <c r="M64" s="14"/>
      <c r="N64" s="3"/>
      <c r="O64" s="1" t="s">
        <v>172</v>
      </c>
      <c r="P64" s="1" t="s">
        <v>175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280</v>
      </c>
      <c r="K65" s="14" t="s">
        <v>170</v>
      </c>
      <c r="L65" s="14"/>
      <c r="M65" s="14"/>
      <c r="N65" s="3"/>
      <c r="O65" s="1" t="s">
        <v>173</v>
      </c>
      <c r="P65" s="1" t="s">
        <v>176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280</v>
      </c>
      <c r="K66" s="14" t="s">
        <v>168</v>
      </c>
      <c r="L66" s="14"/>
      <c r="M66" s="14"/>
      <c r="N66" s="3"/>
      <c r="O66" s="1" t="s">
        <v>173</v>
      </c>
      <c r="P66" s="1" t="s">
        <v>176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280</v>
      </c>
      <c r="K67" s="14" t="s">
        <v>190</v>
      </c>
      <c r="L67" s="14"/>
      <c r="M67" s="14"/>
      <c r="N67" s="3"/>
      <c r="O67" s="1" t="s">
        <v>174</v>
      </c>
      <c r="P67" s="1" t="s">
        <v>177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280</v>
      </c>
      <c r="K68" s="14" t="s">
        <v>95</v>
      </c>
      <c r="L68" s="14"/>
      <c r="M68" s="14"/>
      <c r="N68" s="3"/>
      <c r="O68" s="1" t="s">
        <v>179</v>
      </c>
      <c r="P68" s="1" t="s">
        <v>178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280</v>
      </c>
      <c r="K69" s="14" t="s">
        <v>53</v>
      </c>
      <c r="L69" s="14"/>
      <c r="M69" s="14"/>
      <c r="N69" s="3"/>
      <c r="O69" s="1" t="s">
        <v>179</v>
      </c>
      <c r="P69" s="1" t="s">
        <v>180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280</v>
      </c>
      <c r="K70" s="14" t="s">
        <v>192</v>
      </c>
      <c r="L70" s="14"/>
      <c r="M70" s="14"/>
      <c r="N70" s="3"/>
      <c r="O70" s="1" t="s">
        <v>179</v>
      </c>
      <c r="P70" s="1" t="s">
        <v>181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280</v>
      </c>
      <c r="K71" s="14" t="s">
        <v>155</v>
      </c>
      <c r="L71" s="14"/>
      <c r="M71" s="14"/>
      <c r="N71" s="3"/>
      <c r="O71" s="1" t="s">
        <v>179</v>
      </c>
      <c r="P71" s="1" t="s">
        <v>182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280</v>
      </c>
      <c r="K72" s="14" t="s">
        <v>166</v>
      </c>
      <c r="L72" s="14"/>
      <c r="M72" s="14"/>
      <c r="N72" s="3"/>
      <c r="O72" s="1" t="s">
        <v>179</v>
      </c>
      <c r="P72" s="1" t="s">
        <v>183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280</v>
      </c>
      <c r="K73" s="14" t="s">
        <v>167</v>
      </c>
      <c r="L73" s="14"/>
      <c r="M73" s="14"/>
      <c r="N73" s="3"/>
      <c r="O73" s="1" t="s">
        <v>179</v>
      </c>
      <c r="P73" s="1" t="s">
        <v>184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271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147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194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194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194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194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194</v>
      </c>
      <c r="K80" s="1" t="s">
        <v>59</v>
      </c>
      <c r="N80" s="3"/>
      <c r="O80" s="1" t="s">
        <v>188</v>
      </c>
      <c r="P80" s="1" t="s">
        <v>178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194</v>
      </c>
      <c r="K81" s="1" t="s">
        <v>50</v>
      </c>
      <c r="N81" s="3"/>
      <c r="O81" s="1" t="s">
        <v>188</v>
      </c>
      <c r="P81" s="1" t="s">
        <v>180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194</v>
      </c>
      <c r="K82" s="14" t="s">
        <v>191</v>
      </c>
      <c r="N82" s="3"/>
      <c r="O82" s="1" t="s">
        <v>188</v>
      </c>
      <c r="P82" s="1" t="s">
        <v>181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194</v>
      </c>
      <c r="K83" s="14" t="s">
        <v>156</v>
      </c>
      <c r="N83" s="3"/>
      <c r="O83" s="1" t="s">
        <v>188</v>
      </c>
      <c r="P83" s="1" t="s">
        <v>182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194</v>
      </c>
      <c r="K84" s="14" t="s">
        <v>186</v>
      </c>
      <c r="N84" s="3"/>
      <c r="O84" s="1" t="s">
        <v>188</v>
      </c>
      <c r="P84" s="1" t="s">
        <v>183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194</v>
      </c>
      <c r="K85" s="14" t="s">
        <v>187</v>
      </c>
      <c r="N85" s="3"/>
      <c r="O85" s="1" t="s">
        <v>188</v>
      </c>
      <c r="P85" s="1" t="s">
        <v>184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203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161</v>
      </c>
      <c r="N87" s="3"/>
      <c r="P87" s="14" t="s">
        <v>195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189</v>
      </c>
      <c r="N88" s="3"/>
      <c r="P88" s="14" t="s">
        <v>195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193</v>
      </c>
      <c r="N89" s="3"/>
      <c r="P89" s="14" t="s">
        <v>195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196</v>
      </c>
      <c r="N94" s="3"/>
      <c r="Q94" s="81">
        <v>0</v>
      </c>
      <c r="R94" s="147" t="s">
        <v>197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272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2070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154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157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158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273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279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4226.5158760641407</v>
      </c>
      <c r="Z109" s="82"/>
      <c r="AA109" s="82"/>
      <c r="AC109" s="9">
        <f>$Y109*(Voorblad!$K$44*(1+Voorblad!$K$44)^Voorblad!$K$41)/((1+Voorblad!$K$44)^Voorblad!$K$41-1)</f>
        <v>163.6877050832131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280</v>
      </c>
      <c r="K110" s="1" t="s">
        <v>113</v>
      </c>
      <c r="O110" s="1" t="s">
        <v>227</v>
      </c>
      <c r="P110" s="14" t="s">
        <v>228</v>
      </c>
      <c r="Q110" s="83">
        <f>50%*((2*26.8*42.25)+(2*(26.8+42.25)*0.7))</f>
        <v>1180.635</v>
      </c>
      <c r="R110" s="1" t="s">
        <v>35</v>
      </c>
      <c r="S110" s="21">
        <f>$H$20*15</f>
        <v>26.55</v>
      </c>
      <c r="T110" s="9">
        <f t="shared" si="20"/>
        <v>31345.859250000001</v>
      </c>
      <c r="U110" s="14">
        <v>10</v>
      </c>
      <c r="V110" s="14"/>
      <c r="Y110" s="9">
        <f t="shared" si="21"/>
        <v>70234.869245008202</v>
      </c>
      <c r="Z110" s="82"/>
      <c r="AA110" s="82"/>
      <c r="AC110" s="9">
        <f>$Y110*(Voorblad!$K$44*(1+Voorblad!$K$44)^Voorblad!$K$41)/((1+Voorblad!$K$44)^Voorblad!$K$41-1)</f>
        <v>2720.1091633520382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24487.335146819598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19129.467079217691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14943.909108149774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11674.157910821137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280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280</v>
      </c>
      <c r="K112" s="1" t="s">
        <v>146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280</v>
      </c>
      <c r="K113" s="1" t="s">
        <v>160</v>
      </c>
      <c r="P113" s="1" t="s">
        <v>185</v>
      </c>
      <c r="Q113" s="83">
        <f>3*35</f>
        <v>105</v>
      </c>
      <c r="R113" s="147" t="s">
        <v>197</v>
      </c>
      <c r="S113" s="21">
        <f>$H$20*350</f>
        <v>619.5</v>
      </c>
      <c r="T113" s="9">
        <f t="shared" si="20"/>
        <v>65047.5</v>
      </c>
      <c r="U113" s="14">
        <v>15</v>
      </c>
      <c r="V113" s="14"/>
      <c r="Y113" s="9">
        <f>SUM(AE113:EB113)</f>
        <v>75923.978122793138</v>
      </c>
      <c r="Z113" s="82"/>
      <c r="AA113" s="82"/>
      <c r="AC113" s="9">
        <f>$Y113*(Voorblad!$K$44*(1+Voorblad!$K$44)^Voorblad!$K$41)/((1+Voorblad!$K$44)^Voorblad!$K$41-1)</f>
        <v>2940.4412769605515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44913.058308483931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31010.9198143092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280</v>
      </c>
      <c r="K114" s="14" t="s">
        <v>169</v>
      </c>
      <c r="L114" s="14"/>
      <c r="M114" s="14"/>
      <c r="O114" s="1" t="s">
        <v>171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280</v>
      </c>
      <c r="K115" s="14" t="s">
        <v>163</v>
      </c>
      <c r="O115" s="14" t="s">
        <v>159</v>
      </c>
      <c r="P115" s="14" t="s">
        <v>200</v>
      </c>
      <c r="Q115" s="84">
        <f>2.5%*((2*(6+42.25+6))+42.25)</f>
        <v>3.7687500000000003</v>
      </c>
      <c r="R115" s="14" t="s">
        <v>34</v>
      </c>
      <c r="S115" s="21">
        <f>$H$20*1000</f>
        <v>1770</v>
      </c>
      <c r="T115" s="21">
        <f t="shared" si="20"/>
        <v>6670.6875000000009</v>
      </c>
      <c r="U115" s="14">
        <v>15</v>
      </c>
      <c r="Y115" s="21">
        <f t="shared" si="22"/>
        <v>7786.0814299395006</v>
      </c>
      <c r="Z115" s="149"/>
      <c r="AA115" s="149"/>
      <c r="AC115" s="9">
        <f>$Y115*(Voorblad!$K$44*(1+Voorblad!$K$44)^Voorblad!$K$41)/((1+Voorblad!$K$44)^Voorblad!$K$41-1)</f>
        <v>301.54525340258721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4605.8799591863626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3180.201470753138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280</v>
      </c>
      <c r="K116" s="14" t="s">
        <v>198</v>
      </c>
      <c r="L116" s="14"/>
      <c r="M116" s="14"/>
      <c r="O116" s="1" t="s">
        <v>172</v>
      </c>
      <c r="P116" s="1" t="s">
        <v>175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280</v>
      </c>
      <c r="K117" s="14" t="s">
        <v>199</v>
      </c>
      <c r="L117" s="14"/>
      <c r="M117" s="14"/>
      <c r="O117" s="1" t="s">
        <v>173</v>
      </c>
      <c r="P117" s="1" t="s">
        <v>176</v>
      </c>
      <c r="Q117" s="83">
        <f>2.5%*2*(6+42.25+6)</f>
        <v>2.7125000000000004</v>
      </c>
      <c r="R117" s="1" t="s">
        <v>34</v>
      </c>
      <c r="S117" s="14">
        <f>$H$20*500</f>
        <v>885</v>
      </c>
      <c r="T117" s="9">
        <f t="shared" si="20"/>
        <v>2400.5625000000005</v>
      </c>
      <c r="U117" s="14">
        <v>15</v>
      </c>
      <c r="V117" s="14"/>
      <c r="Y117" s="9">
        <f t="shared" si="22"/>
        <v>2801.9563354840329</v>
      </c>
      <c r="Z117" s="82"/>
      <c r="AA117" s="82"/>
      <c r="AC117" s="9">
        <f>$Y117*(Voorblad!$K$44*(1+Voorblad!$K$44)^Voorblad!$K$41)/((1+Voorblad!$K$44)^Voorblad!$K$41-1)</f>
        <v>108.51628522116324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1657.5057232892882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1144.4506121947445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280</v>
      </c>
      <c r="K118" s="14" t="s">
        <v>212</v>
      </c>
      <c r="L118" s="14"/>
      <c r="M118" s="14"/>
      <c r="O118" s="1" t="s">
        <v>173</v>
      </c>
      <c r="P118" s="1" t="s">
        <v>176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280</v>
      </c>
      <c r="K119" s="14" t="s">
        <v>190</v>
      </c>
      <c r="L119" s="14"/>
      <c r="M119" s="14"/>
      <c r="O119" s="1" t="s">
        <v>174</v>
      </c>
      <c r="P119" s="1" t="s">
        <v>177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280</v>
      </c>
      <c r="K120" s="1" t="s">
        <v>207</v>
      </c>
      <c r="O120" s="1" t="s">
        <v>179</v>
      </c>
      <c r="P120" s="1" t="s">
        <v>180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280</v>
      </c>
      <c r="K121" s="14" t="s">
        <v>206</v>
      </c>
      <c r="L121" s="14"/>
      <c r="M121" s="14"/>
      <c r="O121" s="1" t="s">
        <v>179</v>
      </c>
      <c r="P121" s="1" t="s">
        <v>181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280</v>
      </c>
      <c r="K122" s="14" t="s">
        <v>202</v>
      </c>
      <c r="L122" s="14"/>
      <c r="M122" s="14"/>
      <c r="O122" s="1" t="s">
        <v>179</v>
      </c>
      <c r="P122" s="1" t="s">
        <v>182</v>
      </c>
      <c r="Q122" s="83">
        <f>2*(6+42.25+6)</f>
        <v>108.5</v>
      </c>
      <c r="R122" s="1" t="s">
        <v>34</v>
      </c>
      <c r="S122" s="14">
        <f>$H$20*100</f>
        <v>177</v>
      </c>
      <c r="T122" s="1">
        <f t="shared" si="20"/>
        <v>19204.5</v>
      </c>
      <c r="U122" s="14">
        <v>15</v>
      </c>
      <c r="V122" s="14"/>
      <c r="Y122" s="9">
        <f t="shared" si="23"/>
        <v>22415.650683872256</v>
      </c>
      <c r="Z122" s="82"/>
      <c r="AA122" s="82"/>
      <c r="AC122" s="9">
        <f>$Y122*(Voorblad!$K$44*(1+Voorblad!$K$44)^Voorblad!$K$41)/((1+Voorblad!$K$44)^Voorblad!$K$41-1)</f>
        <v>868.13028176930572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13260.045786314302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9155.6048975579542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280</v>
      </c>
      <c r="K123" s="14" t="s">
        <v>201</v>
      </c>
      <c r="L123" s="14"/>
      <c r="M123" s="14"/>
      <c r="O123" s="1" t="s">
        <v>179</v>
      </c>
      <c r="P123" s="1" t="s">
        <v>183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280</v>
      </c>
      <c r="K124" s="14" t="s">
        <v>208</v>
      </c>
      <c r="L124" s="14"/>
      <c r="M124" s="14"/>
      <c r="O124" s="1" t="s">
        <v>179</v>
      </c>
      <c r="P124" s="1" t="s">
        <v>184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271</v>
      </c>
      <c r="C125" s="2"/>
      <c r="S125" s="14"/>
      <c r="U125" s="14"/>
      <c r="V125" s="14"/>
      <c r="Y125" s="23">
        <f>SUM(Y109:Y124)</f>
        <v>183389.05169316128</v>
      </c>
      <c r="Z125" s="24"/>
      <c r="AA125" s="23">
        <f>SUM(AA109:AA124)</f>
        <v>0</v>
      </c>
      <c r="AC125" s="9">
        <f>$Y125*(Voorblad!$K$44*(1+Voorblad!$K$44)^Voorblad!$K$41)/((1+Voorblad!$K$44)^Voorblad!$K$41-1)</f>
        <v>7102.4299657888605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25178.695732346867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65047.55179507639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19669.556863647755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59857.003179349966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12003.759012793695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147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194</v>
      </c>
      <c r="K131" s="1" t="s">
        <v>213</v>
      </c>
      <c r="O131" s="1" t="s">
        <v>188</v>
      </c>
      <c r="P131" s="1" t="s">
        <v>180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194</v>
      </c>
      <c r="K132" s="14" t="s">
        <v>214</v>
      </c>
      <c r="O132" s="1" t="s">
        <v>188</v>
      </c>
      <c r="P132" s="1" t="s">
        <v>181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194</v>
      </c>
      <c r="K133" s="1" t="s">
        <v>210</v>
      </c>
      <c r="O133" s="1" t="s">
        <v>188</v>
      </c>
      <c r="P133" s="1" t="s">
        <v>182</v>
      </c>
      <c r="Q133" s="81">
        <f>2*(6+42.25+6)</f>
        <v>108.5</v>
      </c>
      <c r="R133" s="1" t="s">
        <v>34</v>
      </c>
      <c r="S133" s="21">
        <f>$H$10*125</f>
        <v>297.5</v>
      </c>
      <c r="T133" s="9">
        <f t="shared" si="104"/>
        <v>32278.75</v>
      </c>
      <c r="U133" s="14">
        <v>30</v>
      </c>
      <c r="V133" s="14"/>
      <c r="Y133" s="9">
        <f t="shared" si="21"/>
        <v>15388.657949285262</v>
      </c>
      <c r="Z133" s="82"/>
      <c r="AA133" s="82"/>
      <c r="AC133" s="9">
        <f>$Y133*(Voorblad!$K$44*(1+Voorblad!$K$44)^Voorblad!$K$41)/((1+Voorblad!$K$44)^Voorblad!$K$41-1)</f>
        <v>595.98358976821271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15388.657949285262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194</v>
      </c>
      <c r="K134" s="14" t="s">
        <v>211</v>
      </c>
      <c r="O134" s="1" t="s">
        <v>188</v>
      </c>
      <c r="P134" s="1" t="s">
        <v>183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194</v>
      </c>
      <c r="K135" s="14" t="s">
        <v>209</v>
      </c>
      <c r="O135" s="1" t="s">
        <v>188</v>
      </c>
      <c r="P135" s="1" t="s">
        <v>184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185</v>
      </c>
      <c r="Q136" s="83">
        <f>4*42.25</f>
        <v>169</v>
      </c>
      <c r="R136" s="147" t="s">
        <v>197</v>
      </c>
      <c r="S136" s="14">
        <f>$H$10*500</f>
        <v>1190</v>
      </c>
      <c r="T136" s="9">
        <f t="shared" si="104"/>
        <v>201110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162</v>
      </c>
      <c r="O137" s="14" t="s">
        <v>215</v>
      </c>
      <c r="P137" s="14" t="s">
        <v>218</v>
      </c>
      <c r="Q137" s="84">
        <f>7.5%*((2*(6+42.25+6))+42.25)</f>
        <v>11.30625</v>
      </c>
      <c r="R137" s="14" t="s">
        <v>34</v>
      </c>
      <c r="S137" s="21">
        <f>$H$10*1000</f>
        <v>2380</v>
      </c>
      <c r="T137" s="21">
        <f t="shared" si="104"/>
        <v>26908.875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205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161</v>
      </c>
      <c r="P139" s="14" t="s">
        <v>195</v>
      </c>
      <c r="Q139" s="81">
        <f>2*(6+42.25+6)</f>
        <v>108.5</v>
      </c>
      <c r="R139" s="1" t="s">
        <v>34</v>
      </c>
      <c r="S139" s="14">
        <f>$H$10*400</f>
        <v>952</v>
      </c>
      <c r="T139" s="1">
        <f t="shared" si="104"/>
        <v>103292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189</v>
      </c>
      <c r="P140" s="14" t="s">
        <v>195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193</v>
      </c>
      <c r="P141" s="14" t="s">
        <v>195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196</v>
      </c>
      <c r="Q146" s="83">
        <f>4*42.25</f>
        <v>169</v>
      </c>
      <c r="R146" s="147" t="s">
        <v>197</v>
      </c>
      <c r="S146" s="14">
        <f>$H$10*500</f>
        <v>1190</v>
      </c>
      <c r="T146" s="1">
        <f t="shared" si="104"/>
        <v>201110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272</v>
      </c>
      <c r="C147" s="2"/>
      <c r="D147" s="22"/>
      <c r="N147" s="6"/>
      <c r="S147" s="14"/>
      <c r="U147" s="14"/>
      <c r="V147" s="14"/>
      <c r="Y147" s="23">
        <f>SUM(Y127:Y146)</f>
        <v>15388.657949285262</v>
      </c>
      <c r="Z147" s="24"/>
      <c r="AA147" s="23">
        <f>SUM(AA127:AA146)</f>
        <v>0</v>
      </c>
      <c r="AC147" s="9">
        <f>$Y147*(Voorblad!$K$44*(1+Voorblad!$K$44)^Voorblad!$K$41)/((1+Voorblad!$K$44)^Voorblad!$K$41-1)</f>
        <v>595.98358976821271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15388.657949285262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231</v>
      </c>
      <c r="Q149" s="83">
        <f>26.8*42.25</f>
        <v>1132.3</v>
      </c>
      <c r="R149" s="81" t="s">
        <v>35</v>
      </c>
      <c r="S149" s="81">
        <v>7860</v>
      </c>
      <c r="T149" s="21">
        <f>Q149*S149</f>
        <v>8899878</v>
      </c>
      <c r="U149" s="11">
        <v>1</v>
      </c>
      <c r="V149" s="14">
        <f>Voorblad!F24+100</f>
        <v>2070</v>
      </c>
      <c r="W149" s="9">
        <f>Voorblad!K77</f>
        <v>2070</v>
      </c>
      <c r="X149" s="6"/>
      <c r="Y149" s="9">
        <f t="shared" si="21"/>
        <v>3154871.7328964961</v>
      </c>
      <c r="Z149" s="82" t="s">
        <v>282</v>
      </c>
      <c r="AA149" s="82">
        <v>104</v>
      </c>
      <c r="AC149" s="9">
        <f>$Y149*(Voorblad!$K$44*(1+Voorblad!$K$44)^Voorblad!$K$41)/((1+Voorblad!$K$44)^Voorblad!$K$41-1)</f>
        <v>122184.25978577588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3154871.7328964961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177997.56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355995.12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622991.46000000008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273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8899878</v>
      </c>
      <c r="U154" s="14"/>
      <c r="V154" s="14"/>
      <c r="W154" s="14"/>
      <c r="X154" s="6"/>
      <c r="Y154" s="23">
        <f>SUM(Y149:Y153)</f>
        <v>3154871.7328964961</v>
      </c>
      <c r="Z154" s="24"/>
      <c r="AA154" s="23">
        <f>SUM(AA149:AA153)</f>
        <v>104</v>
      </c>
      <c r="AC154" s="9">
        <f>$Y154*(Voorblad!$K$44*(1+Voorblad!$K$44)^Voorblad!$K$41)/((1+Voorblad!$K$44)^Voorblad!$K$41-1)</f>
        <v>122184.25978577588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279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280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280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280</v>
      </c>
      <c r="K161" s="1" t="s">
        <v>146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280</v>
      </c>
      <c r="K162" s="1" t="s">
        <v>216</v>
      </c>
      <c r="P162" s="1" t="s">
        <v>185</v>
      </c>
      <c r="Q162" s="83">
        <v>0</v>
      </c>
      <c r="R162" s="147" t="s">
        <v>197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280</v>
      </c>
      <c r="K163" s="14" t="s">
        <v>163</v>
      </c>
      <c r="O163" s="14" t="s">
        <v>159</v>
      </c>
      <c r="P163" s="14" t="s">
        <v>200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280</v>
      </c>
      <c r="K164" s="14" t="s">
        <v>198</v>
      </c>
      <c r="L164" s="14"/>
      <c r="M164" s="14"/>
      <c r="O164" s="1" t="s">
        <v>172</v>
      </c>
      <c r="P164" s="1" t="s">
        <v>175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280</v>
      </c>
      <c r="K165" s="14" t="s">
        <v>199</v>
      </c>
      <c r="L165" s="14"/>
      <c r="M165" s="14"/>
      <c r="O165" s="1" t="s">
        <v>173</v>
      </c>
      <c r="P165" s="1" t="s">
        <v>176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280</v>
      </c>
      <c r="K166" s="14" t="s">
        <v>212</v>
      </c>
      <c r="L166" s="14"/>
      <c r="M166" s="14"/>
      <c r="O166" s="1" t="s">
        <v>173</v>
      </c>
      <c r="P166" s="1" t="s">
        <v>176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280</v>
      </c>
      <c r="K167" s="14" t="s">
        <v>190</v>
      </c>
      <c r="L167" s="14"/>
      <c r="M167" s="14"/>
      <c r="O167" s="1" t="s">
        <v>174</v>
      </c>
      <c r="P167" s="1" t="s">
        <v>177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280</v>
      </c>
      <c r="K168" s="14" t="s">
        <v>206</v>
      </c>
      <c r="L168" s="14"/>
      <c r="M168" s="14"/>
      <c r="O168" s="1" t="s">
        <v>179</v>
      </c>
      <c r="P168" s="1" t="s">
        <v>181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280</v>
      </c>
      <c r="K169" s="14" t="s">
        <v>202</v>
      </c>
      <c r="L169" s="14"/>
      <c r="M169" s="14"/>
      <c r="O169" s="1" t="s">
        <v>179</v>
      </c>
      <c r="P169" s="1" t="s">
        <v>182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280</v>
      </c>
      <c r="K170" s="14" t="s">
        <v>201</v>
      </c>
      <c r="L170" s="14"/>
      <c r="M170" s="14"/>
      <c r="O170" s="1" t="s">
        <v>179</v>
      </c>
      <c r="P170" s="1" t="s">
        <v>183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280</v>
      </c>
      <c r="K171" s="14" t="s">
        <v>208</v>
      </c>
      <c r="L171" s="14"/>
      <c r="M171" s="14"/>
      <c r="O171" s="1" t="s">
        <v>179</v>
      </c>
      <c r="P171" s="1" t="s">
        <v>184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271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194</v>
      </c>
      <c r="K174" s="14" t="s">
        <v>214</v>
      </c>
      <c r="O174" s="1" t="s">
        <v>188</v>
      </c>
      <c r="P174" s="1" t="s">
        <v>181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194</v>
      </c>
      <c r="K175" s="1" t="s">
        <v>210</v>
      </c>
      <c r="O175" s="1" t="s">
        <v>188</v>
      </c>
      <c r="P175" s="1" t="s">
        <v>182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194</v>
      </c>
      <c r="K176" s="14" t="s">
        <v>211</v>
      </c>
      <c r="O176" s="1" t="s">
        <v>188</v>
      </c>
      <c r="P176" s="1" t="s">
        <v>183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194</v>
      </c>
      <c r="K177" s="14" t="s">
        <v>209</v>
      </c>
      <c r="O177" s="1" t="s">
        <v>188</v>
      </c>
      <c r="P177" s="1" t="s">
        <v>184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185</v>
      </c>
      <c r="Q178" s="83">
        <v>0</v>
      </c>
      <c r="R178" s="147" t="s">
        <v>197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162</v>
      </c>
      <c r="O179" s="14" t="s">
        <v>215</v>
      </c>
      <c r="P179" s="14" t="s">
        <v>218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205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217</v>
      </c>
      <c r="P181" s="14" t="s">
        <v>195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164</v>
      </c>
      <c r="P182" s="14" t="s">
        <v>195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193</v>
      </c>
      <c r="P183" s="14" t="s">
        <v>195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196</v>
      </c>
      <c r="Q184" s="81">
        <v>0</v>
      </c>
      <c r="R184" s="147" t="s">
        <v>197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272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2070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273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279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4226.5158760641407</v>
      </c>
      <c r="Z195" s="82"/>
      <c r="AA195" s="82"/>
      <c r="AC195" s="9">
        <f>$Y195*(Voorblad!$K$44*(1+Voorblad!$K$44)^Voorblad!$K$41)/((1+Voorblad!$K$44)^Voorblad!$K$41-1)</f>
        <v>163.6877050832131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280</v>
      </c>
      <c r="K196" s="1" t="s">
        <v>83</v>
      </c>
      <c r="O196" s="1" t="s">
        <v>134</v>
      </c>
      <c r="P196" s="1" t="s">
        <v>315</v>
      </c>
      <c r="Q196" s="84">
        <f>(4*2.5*42.25)+(4*4.6*42.25)+(4*((2.5*5)/2))</f>
        <v>1224.9000000000001</v>
      </c>
      <c r="R196" s="1" t="s">
        <v>35</v>
      </c>
      <c r="S196" s="21">
        <f>$H$20*15</f>
        <v>26.55</v>
      </c>
      <c r="T196" s="9">
        <f>Q196*S196</f>
        <v>32521.095000000005</v>
      </c>
      <c r="U196" s="14">
        <v>10</v>
      </c>
      <c r="V196" s="14"/>
      <c r="Y196" s="9">
        <f t="shared" si="199"/>
        <v>72868.152594333165</v>
      </c>
      <c r="Z196" s="82"/>
      <c r="AA196" s="82"/>
      <c r="AC196" s="9">
        <f>$Y196*(Voorblad!$K$44*(1+Voorblad!$K$44)^Voorblad!$K$41)/((1+Voorblad!$K$44)^Voorblad!$K$41-1)</f>
        <v>2822.0929535291698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25405.427436370537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19846.679308451596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15504.194155325447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12111.851694185596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280</v>
      </c>
      <c r="K197" s="1" t="s">
        <v>84</v>
      </c>
      <c r="O197" s="1" t="s">
        <v>133</v>
      </c>
      <c r="Q197" s="84">
        <f>(4*2.5*42.25)+(4*2.5*42.25)+(4*((2.5*5)/2))</f>
        <v>870</v>
      </c>
      <c r="R197" s="1" t="s">
        <v>35</v>
      </c>
      <c r="S197" s="21">
        <f>$H$20*20</f>
        <v>35.4</v>
      </c>
      <c r="T197" s="1">
        <f>Q197*S197</f>
        <v>30798</v>
      </c>
      <c r="U197" s="14">
        <v>10</v>
      </c>
      <c r="V197" s="14"/>
      <c r="Y197" s="9">
        <f>SUM(AE197:EB197)</f>
        <v>69007.312441363756</v>
      </c>
      <c r="Z197" s="82"/>
      <c r="AA197" s="82"/>
      <c r="AC197" s="9">
        <f>$Y197*(Voorblad!$K$44*(1+Voorblad!$K$44)^Voorblad!$K$41)/((1+Voorblad!$K$44)^Voorblad!$K$41-1)</f>
        <v>2672.5674145594226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24059.348376348942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18795.124498166257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14682.72121820354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11470.118348645025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280</v>
      </c>
      <c r="K198" s="1" t="s">
        <v>82</v>
      </c>
      <c r="O198" s="1" t="s">
        <v>219</v>
      </c>
      <c r="P198" s="1" t="s">
        <v>175</v>
      </c>
      <c r="Q198" s="84">
        <f>2.5%*Q196</f>
        <v>30.622500000000002</v>
      </c>
      <c r="R198" s="1" t="s">
        <v>35</v>
      </c>
      <c r="S198" s="14">
        <f>$H$20*500</f>
        <v>885</v>
      </c>
      <c r="T198" s="9">
        <f>Q198*S198</f>
        <v>27100.912500000002</v>
      </c>
      <c r="U198" s="14">
        <v>15</v>
      </c>
      <c r="V198" s="14"/>
      <c r="Y198" s="9">
        <f t="shared" si="199"/>
        <v>31632.40843626167</v>
      </c>
      <c r="Z198" s="82"/>
      <c r="AA198" s="82"/>
      <c r="AC198" s="229">
        <f>$Y198*(Voorblad!$K$44*(1+Voorblad!$K$44)^Voorblad!$K$41)/((1+Voorblad!$K$44)^Voorblad!$K$41-1)</f>
        <v>1225.0838503908094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18712.246640157133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12920.161796104538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177734.38934802273</v>
      </c>
      <c r="Z199" s="24"/>
      <c r="AA199" s="23">
        <f>SUM(AA195:AA198)</f>
        <v>0</v>
      </c>
      <c r="AC199" s="9">
        <f>$Y199*(Voorblad!$K$44*(1+Voorblad!$K$44)^Voorblad!$K$41)/((1+Voorblad!$K$44)^Voorblad!$K$41-1)</f>
        <v>6883.4319235626144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271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223</v>
      </c>
      <c r="P201" s="1" t="s">
        <v>224</v>
      </c>
      <c r="Q201" s="84">
        <f>5%*Q196</f>
        <v>61.245000000000005</v>
      </c>
      <c r="R201" s="1" t="s">
        <v>35</v>
      </c>
      <c r="S201" s="14">
        <f>$H$10*500</f>
        <v>1190</v>
      </c>
      <c r="T201" s="9">
        <f>Q201*S201</f>
        <v>72881.55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272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316</v>
      </c>
      <c r="Q204" s="83">
        <f>26.8*42.25</f>
        <v>1132.3</v>
      </c>
      <c r="R204" s="81" t="s">
        <v>35</v>
      </c>
      <c r="S204" s="81">
        <v>4060</v>
      </c>
      <c r="T204" s="9">
        <f>Q204*S204</f>
        <v>4597138</v>
      </c>
      <c r="U204" s="11">
        <v>1</v>
      </c>
      <c r="V204" s="14">
        <f>Voorblad!F25+100</f>
        <v>2070</v>
      </c>
      <c r="W204" s="9">
        <f>Voorblad!K85</f>
        <v>2070</v>
      </c>
      <c r="X204" s="6"/>
      <c r="Y204" s="9">
        <f t="shared" si="199"/>
        <v>1629615.6788243987</v>
      </c>
      <c r="Z204" s="82" t="s">
        <v>282</v>
      </c>
      <c r="AA204" s="82">
        <v>104</v>
      </c>
      <c r="AC204" s="9">
        <f>$Y204*(Voorblad!$K$44*(1+Voorblad!$K$44)^Voorblad!$K$41)/((1+Voorblad!$K$44)^Voorblad!$K$41-1)</f>
        <v>63112.989151431306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1629615.6788243987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91942.76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183885.52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321799.66000000003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273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4597138</v>
      </c>
      <c r="U208" s="14"/>
      <c r="V208" s="14"/>
      <c r="W208" s="14"/>
      <c r="X208" s="6"/>
      <c r="Y208" s="23">
        <f>SUM(Y204:Y207)</f>
        <v>1629615.6788243987</v>
      </c>
      <c r="Z208" s="24"/>
      <c r="AA208" s="23">
        <f>SUM(AA204:AA207)</f>
        <v>104</v>
      </c>
      <c r="AC208" s="9">
        <f>$Y208*(Voorblad!$K$44*(1+Voorblad!$K$44)^Voorblad!$K$41)/((1+Voorblad!$K$44)^Voorblad!$K$41-1)</f>
        <v>63112.989151431306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279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280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280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280</v>
      </c>
      <c r="K215" s="1" t="s">
        <v>88</v>
      </c>
      <c r="O215" s="1" t="s">
        <v>219</v>
      </c>
      <c r="P215" s="1" t="s">
        <v>175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271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222</v>
      </c>
      <c r="O218" s="1" t="s">
        <v>220</v>
      </c>
      <c r="P218" s="1" t="s">
        <v>221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272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2070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275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264</v>
      </c>
      <c r="P229" s="1" t="s">
        <v>318</v>
      </c>
      <c r="Q229" s="84">
        <f>0.035*108.5</f>
        <v>3.7975000000000003</v>
      </c>
      <c r="R229" s="1" t="s">
        <v>102</v>
      </c>
      <c r="S229" s="1">
        <v>-200</v>
      </c>
      <c r="T229" s="21">
        <f t="shared" ref="T229:T236" si="201">Q229*S229</f>
        <v>-759.50000000000011</v>
      </c>
      <c r="U229" s="11">
        <v>1</v>
      </c>
      <c r="V229" s="14">
        <f>Voorblad!F24+100</f>
        <v>2070</v>
      </c>
      <c r="W229" s="9">
        <f>Voorblad!$K$77</f>
        <v>2070</v>
      </c>
      <c r="X229" s="6"/>
      <c r="Y229" s="9">
        <f t="shared" ref="Y229" si="202">SUM(AE229:EB229)</f>
        <v>-269.23122779153704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-269.23122779153704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265</v>
      </c>
      <c r="O230" s="1" t="s">
        <v>104</v>
      </c>
      <c r="P230" s="1" t="s">
        <v>313</v>
      </c>
      <c r="Q230" s="83">
        <f>2*830</f>
        <v>1660</v>
      </c>
      <c r="R230" s="1" t="s">
        <v>102</v>
      </c>
      <c r="S230" s="1">
        <v>-50</v>
      </c>
      <c r="T230" s="21">
        <f t="shared" si="201"/>
        <v>-83000</v>
      </c>
      <c r="U230" s="11">
        <v>1</v>
      </c>
      <c r="V230" s="14">
        <f>Voorblad!F24+100</f>
        <v>2070</v>
      </c>
      <c r="W230" s="9">
        <f>Voorblad!$K$77</f>
        <v>2070</v>
      </c>
      <c r="X230" s="6"/>
      <c r="Y230" s="9">
        <f t="shared" ref="Y230" si="203">SUM(AE230:EB230)</f>
        <v>-29422.240825144923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-29422.240825144923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266</v>
      </c>
      <c r="O231" s="1" t="s">
        <v>103</v>
      </c>
      <c r="Q231" s="83">
        <f>0.5*Q230</f>
        <v>830</v>
      </c>
      <c r="R231" s="1" t="s">
        <v>102</v>
      </c>
      <c r="S231" s="1">
        <v>-200</v>
      </c>
      <c r="T231" s="21">
        <f t="shared" si="201"/>
        <v>-166000</v>
      </c>
      <c r="U231" s="11">
        <v>1</v>
      </c>
      <c r="V231" s="14">
        <f>Voorblad!F24+100</f>
        <v>2070</v>
      </c>
      <c r="W231" s="9">
        <f>Voorblad!$K$77</f>
        <v>2070</v>
      </c>
      <c r="X231" s="6"/>
      <c r="Y231" s="9">
        <f t="shared" ref="Y231:Y234" si="204">SUM(AE231:EB231)</f>
        <v>-58844.481650289847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-58844.481650289847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267</v>
      </c>
      <c r="O232" s="1" t="s">
        <v>138</v>
      </c>
      <c r="P232" s="1" t="s">
        <v>314</v>
      </c>
      <c r="Q232" s="83">
        <f>2.3*2710</f>
        <v>6232.9999999999991</v>
      </c>
      <c r="R232" s="1" t="s">
        <v>102</v>
      </c>
      <c r="S232" s="1">
        <v>-50</v>
      </c>
      <c r="T232" s="21">
        <f t="shared" si="201"/>
        <v>-311649.99999999994</v>
      </c>
      <c r="U232" s="11">
        <v>1</v>
      </c>
      <c r="V232" s="14">
        <f>Voorblad!F24+100</f>
        <v>2070</v>
      </c>
      <c r="W232" s="9">
        <f>Voorblad!$K$77</f>
        <v>2070</v>
      </c>
      <c r="X232" s="6"/>
      <c r="Y232" s="9">
        <f t="shared" ref="Y232" si="205">SUM(AE232:EB232)</f>
        <v>-110475.19702598089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-110475.19702598089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268</v>
      </c>
      <c r="O233" s="1" t="s">
        <v>137</v>
      </c>
      <c r="Q233" s="83">
        <f>0.2*Q232</f>
        <v>1246.5999999999999</v>
      </c>
      <c r="R233" s="1" t="s">
        <v>102</v>
      </c>
      <c r="S233" s="1">
        <v>-200</v>
      </c>
      <c r="T233" s="21">
        <f t="shared" si="201"/>
        <v>-249319.99999999997</v>
      </c>
      <c r="U233" s="11">
        <v>1</v>
      </c>
      <c r="V233" s="14">
        <f>Voorblad!F24+100</f>
        <v>2070</v>
      </c>
      <c r="W233" s="9">
        <f>Voorblad!$K$77</f>
        <v>2070</v>
      </c>
      <c r="X233" s="6"/>
      <c r="Y233" s="9">
        <f t="shared" ref="Y233" si="206">SUM(AE233:EB233)</f>
        <v>-88380.157620784725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-88380.157620784725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269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2070</v>
      </c>
      <c r="W234" s="9">
        <f>Voorblad!$K$77</f>
        <v>2070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2070</v>
      </c>
      <c r="W235" s="9">
        <f>Voorblad!$K$77</f>
        <v>2070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2070</v>
      </c>
      <c r="W236" s="9">
        <f>Voorblad!$K$77</f>
        <v>2070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274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-810729.5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de75ed97-d5d0-480f-8c5e-5314c0bb5094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2019-12-10T08:33:02Z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