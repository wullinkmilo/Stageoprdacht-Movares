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9167D320-B64D-4C04-A609-3B80050B0BD7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29" i="1" l="1"/>
  <c r="Q235" i="1" l="1"/>
  <c r="Q215" i="1"/>
  <c r="Q111" i="1"/>
  <c r="Q218" i="1" l="1"/>
  <c r="Q213" i="1"/>
  <c r="Q146" i="1"/>
  <c r="Q139" i="1"/>
  <c r="Q137" i="1"/>
  <c r="Q136" i="1"/>
  <c r="Q133" i="1"/>
  <c r="Q122" i="1"/>
  <c r="Q113" i="1"/>
  <c r="Q117" i="1"/>
  <c r="Q115" i="1"/>
  <c r="Q230" i="1"/>
  <c r="Q221" i="1" l="1"/>
  <c r="Q149" i="1"/>
  <c r="Q46" i="1"/>
  <c r="Q233" i="1" l="1"/>
  <c r="Q231" i="1"/>
  <c r="Q110" i="1"/>
  <c r="N66" i="2" l="1"/>
  <c r="N65" i="2"/>
  <c r="N64" i="2"/>
  <c r="O61" i="2"/>
  <c r="N61" i="2"/>
  <c r="M61" i="2"/>
  <c r="L61" i="2"/>
  <c r="O60" i="2"/>
  <c r="N60" i="2"/>
  <c r="M60" i="2"/>
  <c r="L60" i="2"/>
  <c r="J61" i="2"/>
  <c r="H61" i="2"/>
  <c r="AA46" i="1" l="1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O63" i="2" l="1"/>
  <c r="O62" i="2"/>
  <c r="M62" i="2"/>
  <c r="L63" i="2"/>
  <c r="N63" i="2"/>
  <c r="N62" i="2"/>
  <c r="M63" i="2"/>
  <c r="L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l="1"/>
  <c r="L66" i="2"/>
  <c r="V187" i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O64" i="2" s="1"/>
  <c r="M53" i="2"/>
  <c r="M64" i="2" s="1"/>
  <c r="AJ46" i="1"/>
  <c r="EA46" i="1" l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<sst xmlns="http://schemas.openxmlformats.org/spreadsheetml/2006/main" count="1016" uniqueCount="316">
  <si>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</si>
  <si>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</si>
  <si>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</si>
  <si>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</si>
  <si>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</si>
  <si>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</si>
  <si>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</si>
  <si>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</si>
  <si>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</si>
  <si>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</si>
  <si>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</si>
  <si>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</si>
  <si>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</si>
  <si>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</si>
  <si>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</si>
  <si>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</si>
  <si>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</si>
  <si>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</si>
  <si>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</si>
  <si>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</si>
  <si>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</si>
  <si>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</si>
  <si>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</si>
  <si>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</si>
  <si>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</si>
  <si>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</si>
  <si>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</si>
  <si>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</si>
  <si>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</si>
  <si>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</si>
  <si>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</si>
  <si>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</si>
  <si>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</si>
  <si>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</si>
  <si>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</si>
  <si>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</si>
  <si>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</si>
  <si>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</si>
  <si>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</si>
  <si>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</si>
  <si>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</si>
  <si>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</si>
  <si>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</si>
  <si>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</si>
  <si>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</si>
  <si>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</si>
  <si>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</si>
  <si>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</si>
  <si>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</si>
  <si>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</si>
  <si>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</si>
  <si>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</si>
  <si>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</si>
  <si>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</si>
  <si>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</si>
  <si>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</si>
  <si>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</si>
  <si>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</si>
  <si>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</si>
  <si>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</si>
  <si>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</si>
  <si>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</si>
  <si>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</si>
  <si>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</si>
  <si>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</si>
  <si>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</si>
  <si>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</si>
  <si>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</si>
  <si>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</si>
  <si>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</si>
  <si>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</si>
  <si>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</si>
  <si>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</si>
  <si>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</si>
  <si>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</si>
  <si>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</si>
  <si>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</si>
  <si>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</si>
  <si>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</si>
  <si>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</si>
  <si>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</si>
  <si>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</si>
  <si>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</si>
  <si>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</si>
  <si>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</si>
  <si>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</si>
  <si>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</si>
  <si>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</si>
  <si>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</si>
  <si>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</si>
  <si>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</si>
  <si>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</si>
  <si>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</si>
  <si>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</si>
  <si>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</si>
  <si>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</si>
  <si>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</si>
  <si>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</si>
  <si>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</si>
  <si>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</si>
  <si>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</si>
  <si>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</si>
  <si>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</si>
  <si>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</si>
  <si>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</si>
  <si>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</si>
  <si>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</si>
  <si>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</si>
  <si>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</si>
  <si>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</si>
  <si>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</si>
  <si>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</si>
  <si>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</si>
  <si>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</si>
  <si>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</si>
  <si>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</si>
  <si>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</si>
  <si>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</si>
  <si>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</si>
  <si>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</si>
  <si>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</si>
  <si>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</si>
  <si>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</si>
  <si>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</si>
  <si>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</si>
  <si>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</si>
  <si>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</si>
  <si>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</si>
  <si>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</si>
  <si>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</si>
  <si>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</si>
  <si>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</si>
  <si>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</si>
  <si>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</si>
  <si>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</si>
  <si>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</si>
  <si>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</si>
  <si>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</si>
  <si>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</si>
  <si>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</si>
  <si>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</si>
  <si>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</si>
  <si>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</si>
  <si>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</si>
  <si>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</si>
  <si>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</si>
  <si>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</si>
  <si>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</si>
  <si>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</si>
  <si>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</si>
  <si>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</si>
  <si>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</si>
  <si>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</si>
  <si>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</si>
  <si>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</si>
  <si>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</si>
  <si>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</si>
  <si>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</si>
  <si>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</si>
  <si>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</si>
  <si>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</si>
  <si>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</si>
  <si>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</si>
  <si>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</si>
  <si>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</si>
  <si>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</si>
  <si>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</si>
  <si>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</si>
  <si>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</si>
  <si>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</si>
  <si>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</si>
  <si>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</si>
  <si>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</si>
  <si>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</si>
  <si>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</si>
  <si>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</si>
  <si>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</si>
  <si>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</si>
  <si>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</si>
  <si>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</si>
  <si>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</si>
  <si>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</si>
  <si>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</si>
  <si>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</si>
  <si>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</si>
  <si>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</si>
  <si>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</si>
  <si>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</si>
  <si>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</si>
  <si>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</si>
  <si>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</si>
  <si>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</si>
  <si>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</si>
  <si>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</si>
  <si>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</si>
  <si>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</si>
  <si>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</si>
  <si>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</si>
  <si>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</si>
  <si>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</si>
  <si>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</si>
  <si>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</si>
  <si>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</si>
  <si>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</si>
  <si>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</si>
  <si>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</si>
  <si>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</si>
  <si>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</si>
  <si>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</si>
  <si>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</si>
  <si>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</si>
  <si>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</si>
  <si>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</si>
  <si>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</si>
  <si>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</si>
  <si>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</si>
  <si>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</si>
  <si>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</si>
  <si>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</si>
  <si>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</si>
  <si>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</si>
  <si>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</si>
  <si>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</si>
  <si>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</si>
  <si>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</si>
  <si>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</si>
  <si>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</si>
  <si>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</si>
  <si>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</si>
  <si>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</si>
  <si>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</si>
  <si>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</si>
  <si>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</si>
  <si>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</si>
  <si>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</si>
  <si>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</si>
  <si>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</si>
  <si>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</si>
  <si>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</si>
  <si>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</si>
  <si>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</si>
  <si>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</si>
  <si>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</si>
  <si>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</si>
  <si>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</si>
  <si>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</si>
  <si>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</si>
  <si>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</si>
  <si>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</si>
  <si>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</si>
  <si>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</si>
  <si>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</si>
  <si>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</si>
  <si>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</si>
  <si>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</si>
  <si>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</si>
  <si>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</si>
  <si>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</si>
  <si>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</si>
  <si>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</si>
  <si>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</si>
  <si>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</si>
  <si>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</si>
  <si>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</si>
  <si>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</si>
  <si>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</si>
  <si>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</si>
  <si>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</si>
  <si>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</si>
  <si>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</si>
  <si>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</si>
  <si>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</si>
  <si>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</si>
  <si>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</si>
  <si>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</si>
  <si>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</si>
  <si>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</si>
  <si>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vervanging folieconstructie</t>
  </si>
  <si>
    <t>Σ: van 2 landhfdn (wand) + 3 tussenstnpntn (wand)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</si>
  <si>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</si>
  <si>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</si>
  <si>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</si>
  <si>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</si>
  <si>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</si>
  <si>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</si>
  <si>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</si>
  <si>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</si>
  <si>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</si>
  <si>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</si>
  <si>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</si>
  <si>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</si>
  <si>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</si>
  <si>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</si>
  <si>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</si>
  <si>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</si>
  <si>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</si>
  <si>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</si>
  <si>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</si>
  <si>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</si>
  <si>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</si>
  <si>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</si>
  <si>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</si>
  <si>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</si>
  <si>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2 nieuwe betonnen landhoofden op palen</t>
  </si>
  <si>
    <t>Totaal kosten cat. 2 (advies IB tlv ProRail AM)</t>
  </si>
  <si>
    <t>KW20-122-0010</t>
  </si>
  <si>
    <t>Spoorviaduct bij Bosschenhoofd</t>
  </si>
  <si>
    <t>Bosschenhoofd</t>
  </si>
  <si>
    <t>Gewapend betonnen Π-vormige plaat</t>
  </si>
  <si>
    <t>Metselwerk</t>
  </si>
  <si>
    <t>vervanging gehele duiker BxL door langer kw</t>
  </si>
  <si>
    <t>spoordek+duikerranden: 25 m3</t>
  </si>
  <si>
    <t>vervanging dek duiker BxL door langer kw</t>
  </si>
  <si>
    <t>oude wanden duiker: 25 m3</t>
  </si>
  <si>
    <t xml:space="preserve">Bij vervanging een langer kunstwerk ivm nieuwe landhoofden achter de duiker </t>
  </si>
  <si>
    <t>leuningen 2x4,3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</si>
</sst>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P26" sqref="P26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243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43798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10592530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10.678000000000001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307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1985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1872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>
        <v>1985</v>
      </c>
      <c r="G26" s="227" t="s">
        <v>277</v>
      </c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308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309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>
        <v>43013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>
        <v>43013</v>
      </c>
      <c r="G32" s="38"/>
      <c r="H32" s="38"/>
      <c r="I32" s="38"/>
      <c r="J32" s="161" t="s">
        <v>224</v>
      </c>
      <c r="K32" s="162">
        <v>2017</v>
      </c>
      <c r="L32" s="31"/>
      <c r="M32" s="31"/>
      <c r="N32" s="31"/>
      <c r="O32" s="32"/>
      <c r="P32" s="86"/>
    </row>
    <row r="33" spans="2:16" ht="15" thickBot="1" x14ac:dyDescent="0.35">
      <c r="B33" s="100" t="s">
        <v>227</v>
      </c>
      <c r="C33" s="101"/>
      <c r="D33" s="97"/>
      <c r="E33" s="97"/>
      <c r="F33" s="144" t="s">
        <v>314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244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245</v>
      </c>
      <c r="C41" s="41"/>
      <c r="D41" s="40"/>
      <c r="E41" s="40"/>
      <c r="F41" s="102">
        <v>2028</v>
      </c>
      <c r="G41" s="41"/>
      <c r="H41" s="131" t="s">
        <v>246</v>
      </c>
      <c r="I41" s="40"/>
      <c r="J41" s="40"/>
      <c r="K41" s="103">
        <f>F24+100-F41</f>
        <v>57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247</v>
      </c>
      <c r="I42" s="40"/>
      <c r="J42" s="40"/>
      <c r="K42" s="46">
        <f>F41+K41</f>
        <v>2085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240</v>
      </c>
      <c r="C48" s="164" t="s">
        <v>241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282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0</v>
      </c>
      <c r="C52" s="66">
        <f>'Berekening MJOP+LTP'!D39</f>
        <v>2</v>
      </c>
      <c r="D52" s="145">
        <f>'Berekening MJOP+LTP'!K39</f>
        <v>0</v>
      </c>
      <c r="E52" s="188"/>
      <c r="F52" s="31"/>
      <c r="G52" s="35"/>
      <c r="H52" s="35"/>
      <c r="I52" s="35"/>
      <c r="J52" s="35"/>
      <c r="K52" s="91"/>
      <c r="L52" s="64">
        <f>'Berekening MJOP+LTP'!T39</f>
        <v>0</v>
      </c>
      <c r="M52" s="64">
        <f>'Berekening MJOP+LTP'!Y39</f>
        <v>0</v>
      </c>
      <c r="N52" s="61">
        <f>'Berekening MJOP+LTP'!AA39</f>
        <v>0</v>
      </c>
      <c r="O52" s="255">
        <f>'Berekening MJOP+LTP'!AC39</f>
        <v>0</v>
      </c>
      <c r="P52" s="234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2085</v>
      </c>
      <c r="K59" s="159">
        <v>2085</v>
      </c>
      <c r="L59" s="156">
        <f>'Berekening MJOP+LTP'!T46</f>
        <v>957949.99999999988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295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304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296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297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273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5000</v>
      </c>
      <c r="M64" s="214">
        <f>SUM(M51:M58)</f>
        <v>4642.9970545987444</v>
      </c>
      <c r="N64" s="247">
        <f>SUM(N51:N58)</f>
        <v>0</v>
      </c>
      <c r="O64" s="259">
        <f>SUM(O51:O58)</f>
        <v>530.50310089355912</v>
      </c>
      <c r="P64" s="236"/>
    </row>
    <row r="65" spans="2:16" x14ac:dyDescent="0.3">
      <c r="B65" s="211" t="s">
        <v>298</v>
      </c>
      <c r="C65" s="194"/>
      <c r="D65" s="212"/>
      <c r="E65" s="212"/>
      <c r="F65" s="194"/>
      <c r="G65" s="205" t="s">
        <v>257</v>
      </c>
      <c r="H65" s="196"/>
      <c r="I65" s="213"/>
      <c r="J65" s="197"/>
      <c r="K65" s="224">
        <f>K59</f>
        <v>2085</v>
      </c>
      <c r="L65" s="214">
        <f>L59</f>
        <v>957949.99999999988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274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974449.99999999988</v>
      </c>
      <c r="M66" s="218">
        <f>SUM(M49:M59)</f>
        <v>14952.56010585888</v>
      </c>
      <c r="N66" s="249">
        <f>SUM(N49:N59)</f>
        <v>104</v>
      </c>
      <c r="O66" s="260">
        <f>SUM(O49:O59)</f>
        <v>1708.4610240272898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242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240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282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2085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19925.802210914058</v>
      </c>
      <c r="N75" s="61">
        <f>'Berekening MJOP+LTP'!AA125</f>
        <v>0</v>
      </c>
      <c r="O75" s="261">
        <f>'Berekening MJOP+LTP'!AC125</f>
        <v>659.58472585109723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10003.37870180858</v>
      </c>
      <c r="N76" s="61">
        <f>'Berekening MJOP+LTP'!AA147</f>
        <v>0</v>
      </c>
      <c r="O76" s="261">
        <f>'Berekening MJOP+LTP'!AC147</f>
        <v>331.1322539879032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2085</v>
      </c>
      <c r="K77" s="90">
        <v>2085</v>
      </c>
      <c r="L77" s="64">
        <f>'Berekening MJOP+LTP'!T154</f>
        <v>776502.99999999988</v>
      </c>
      <c r="M77" s="64">
        <f>'Berekening MJOP+LTP'!Y154</f>
        <v>190056.53649917821</v>
      </c>
      <c r="N77" s="61">
        <f>'Berekening MJOP+LTP'!AA149</f>
        <v>52</v>
      </c>
      <c r="O77" s="261">
        <f>'Berekening MJOP+LTP'!AC154</f>
        <v>6291.2593026922823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2085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1972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8477.8392720157481</v>
      </c>
      <c r="N87" s="61">
        <f>'Berekening MJOP+LTP'!AA216</f>
        <v>0</v>
      </c>
      <c r="O87" s="261">
        <f>'Berekening MJOP+LTP'!AC216</f>
        <v>280.63378492130767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3413.0199529179777</v>
      </c>
      <c r="N88" s="61">
        <f>'Berekening MJOP+LTP'!AA219</f>
        <v>0</v>
      </c>
      <c r="O88" s="261">
        <f>'Berekening MJOP+LTP'!AC219</f>
        <v>112.97792711887311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1972</v>
      </c>
      <c r="K89" s="90">
        <v>2085</v>
      </c>
      <c r="L89" s="64">
        <f>'Berekening MJOP+LTP'!T225</f>
        <v>181446.99999999997</v>
      </c>
      <c r="M89" s="64">
        <f>'Berekening MJOP+LTP'!Y225</f>
        <v>44410.888790083736</v>
      </c>
      <c r="N89" s="61">
        <f>'Berekening MJOP+LTP'!AA221</f>
        <v>52</v>
      </c>
      <c r="O89" s="261">
        <f>'Berekening MJOP+LTP'!AC225</f>
        <v>1470.0910707307078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-9810.2000000000007</v>
      </c>
      <c r="M91" s="64"/>
      <c r="N91" s="251"/>
      <c r="O91" s="262"/>
      <c r="P91" s="241"/>
      <c r="Q91" s="27"/>
    </row>
    <row r="92" spans="2:17" x14ac:dyDescent="0.3">
      <c r="B92" s="207" t="s">
        <v>299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2085</v>
      </c>
      <c r="K92" s="219"/>
      <c r="L92" s="220"/>
      <c r="M92" s="220">
        <f t="shared" ref="M92:O94" si="1">M71+M75+M79+M83+M87</f>
        <v>28403.641482929808</v>
      </c>
      <c r="N92" s="267">
        <f t="shared" si="1"/>
        <v>0</v>
      </c>
      <c r="O92" s="263">
        <f t="shared" si="1"/>
        <v>940.2185107724049</v>
      </c>
      <c r="P92" s="242"/>
    </row>
    <row r="93" spans="2:17" x14ac:dyDescent="0.3">
      <c r="B93" s="211" t="s">
        <v>300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2085</v>
      </c>
      <c r="K93" s="221"/>
      <c r="L93" s="222"/>
      <c r="M93" s="222">
        <f t="shared" si="1"/>
        <v>13416.398654726558</v>
      </c>
      <c r="N93" s="252">
        <f t="shared" si="1"/>
        <v>0</v>
      </c>
      <c r="O93" s="264">
        <f t="shared" si="1"/>
        <v>444.11018110677628</v>
      </c>
      <c r="P93" s="243"/>
    </row>
    <row r="94" spans="2:17" x14ac:dyDescent="0.3">
      <c r="B94" s="211" t="s">
        <v>298</v>
      </c>
      <c r="C94" s="212"/>
      <c r="D94" s="212"/>
      <c r="E94" s="212"/>
      <c r="F94" s="194"/>
      <c r="G94" s="205" t="s">
        <v>257</v>
      </c>
      <c r="H94" s="196"/>
      <c r="I94" s="213"/>
      <c r="J94" s="197"/>
      <c r="K94" s="225">
        <f>K59</f>
        <v>2085</v>
      </c>
      <c r="L94" s="222">
        <f>L73+L77+L81+L85+L89</f>
        <v>957949.99999999988</v>
      </c>
      <c r="M94" s="222">
        <f t="shared" si="1"/>
        <v>234467.42528926194</v>
      </c>
      <c r="N94" s="252">
        <f t="shared" si="1"/>
        <v>104</v>
      </c>
      <c r="O94" s="264">
        <f t="shared" si="1"/>
        <v>7761.3503734229898</v>
      </c>
      <c r="P94" s="243"/>
    </row>
    <row r="95" spans="2:17" ht="15" thickBot="1" x14ac:dyDescent="0.35">
      <c r="B95" s="215" t="s">
        <v>301</v>
      </c>
      <c r="C95" s="216"/>
      <c r="D95" s="216"/>
      <c r="E95" s="216"/>
      <c r="F95" s="199"/>
      <c r="G95" s="206" t="s">
        <v>257</v>
      </c>
      <c r="H95" s="201"/>
      <c r="I95" s="217"/>
      <c r="J95" s="202"/>
      <c r="K95" s="226">
        <f>K59</f>
        <v>2085</v>
      </c>
      <c r="L95" s="223">
        <f>L91</f>
        <v>-9810.2000000000007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258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259</v>
      </c>
      <c r="F99" s="177" t="s">
        <v>260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0.30099999999999999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50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25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45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M1" zoomScale="70" zoomScaleNormal="70" zoomScaleSheetLayoutView="90" workbookViewId="0">
      <pane ySplit="2" topLeftCell="A147" activePane="bottomLeft" state="frozen"/>
      <selection pane="bottomLeft" activeCell="Q230" sqref="Q230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235</v>
      </c>
      <c r="C1" s="3" t="s">
        <v>236</v>
      </c>
      <c r="D1" s="3" t="s">
        <v>238</v>
      </c>
      <c r="E1" s="3" t="s">
        <v>233</v>
      </c>
      <c r="F1" s="3" t="s">
        <v>0</v>
      </c>
      <c r="G1" s="3"/>
      <c r="H1" s="3"/>
      <c r="I1" s="3" t="s">
        <v>230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280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234</v>
      </c>
      <c r="C2" s="3" t="s">
        <v>239</v>
      </c>
      <c r="D2" s="3" t="s">
        <v>237</v>
      </c>
      <c r="E2" s="3" t="s">
        <v>232</v>
      </c>
      <c r="F2" s="3"/>
      <c r="G2" s="3"/>
      <c r="H2" s="3"/>
      <c r="I2" s="3" t="s">
        <v>231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288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253</v>
      </c>
      <c r="K9" s="1" t="s">
        <v>25</v>
      </c>
    </row>
    <row r="10" spans="2:236" ht="13.8" x14ac:dyDescent="0.3">
      <c r="B10" s="170"/>
      <c r="D10" s="168" t="s">
        <v>256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287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254</v>
      </c>
    </row>
    <row r="15" spans="2:236" ht="13.8" x14ac:dyDescent="0.3">
      <c r="B15" s="170"/>
      <c r="D15" s="168" t="s">
        <v>255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289</v>
      </c>
      <c r="K17" s="1" t="s">
        <v>249</v>
      </c>
    </row>
    <row r="18" spans="2:236" ht="13.8" x14ac:dyDescent="0.3">
      <c r="B18" s="170"/>
      <c r="D18" s="1" t="s">
        <v>40</v>
      </c>
      <c r="K18" s="1" t="s">
        <v>250</v>
      </c>
    </row>
    <row r="19" spans="2:236" ht="13.8" x14ac:dyDescent="0.3">
      <c r="B19" s="170"/>
      <c r="D19" s="1" t="s">
        <v>254</v>
      </c>
      <c r="K19" s="1" t="s">
        <v>251</v>
      </c>
    </row>
    <row r="20" spans="2:236" ht="13.8" x14ac:dyDescent="0.3">
      <c r="B20" s="170"/>
      <c r="D20" s="168" t="s">
        <v>255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252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235</v>
      </c>
      <c r="C28" s="3" t="s">
        <v>236</v>
      </c>
      <c r="D28" s="3" t="s">
        <v>238</v>
      </c>
      <c r="E28" s="3" t="s">
        <v>233</v>
      </c>
      <c r="F28" s="3" t="s">
        <v>0</v>
      </c>
      <c r="G28" s="3"/>
      <c r="H28" s="3"/>
      <c r="I28" s="3" t="s">
        <v>230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280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234</v>
      </c>
      <c r="C29" s="3" t="s">
        <v>239</v>
      </c>
      <c r="D29" s="3" t="s">
        <v>237</v>
      </c>
      <c r="E29" s="3" t="s">
        <v>232</v>
      </c>
      <c r="F29" s="3"/>
      <c r="G29" s="3"/>
      <c r="H29" s="3"/>
      <c r="I29" s="3" t="s">
        <v>231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283</v>
      </c>
      <c r="K31" s="1" t="s">
        <v>284</v>
      </c>
      <c r="O31" s="1" t="s">
        <v>293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276</v>
      </c>
      <c r="K32" s="1" t="s">
        <v>148</v>
      </c>
      <c r="O32" s="1" t="s">
        <v>293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292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286</v>
      </c>
      <c r="I35" s="1" t="s">
        <v>285</v>
      </c>
      <c r="K35" s="1" t="s">
        <v>291</v>
      </c>
      <c r="O35" s="1" t="s">
        <v>294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290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/>
      <c r="C39" s="76"/>
      <c r="D39" s="78">
        <v>2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77"/>
      <c r="Q39" s="81">
        <v>1</v>
      </c>
      <c r="R39" s="81" t="s">
        <v>33</v>
      </c>
      <c r="S39" s="81"/>
      <c r="T39" s="9">
        <f t="shared" si="4"/>
        <v>0</v>
      </c>
      <c r="U39" s="11">
        <v>1</v>
      </c>
      <c r="V39" s="14"/>
      <c r="W39" s="9">
        <f>Voorblad!K52</f>
        <v>0</v>
      </c>
      <c r="Y39" s="9">
        <f t="shared" ref="Y39:Y45" si="5">SUM(AE39:EB39)</f>
        <v>0</v>
      </c>
      <c r="Z39" s="82"/>
      <c r="AA39" s="82"/>
      <c r="AC39" s="9">
        <f>$Y39*(Voorblad!$K$44*(1+Voorblad!$K$44)^Voorblad!$K$37)/((1+Voorblad!$K$44)^Voorblad!$K$37-1)</f>
        <v>0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0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8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228</v>
      </c>
      <c r="P46" s="14" t="s">
        <v>310</v>
      </c>
      <c r="Q46" s="268">
        <f>11.27*10</f>
        <v>112.69999999999999</v>
      </c>
      <c r="R46" s="81" t="s">
        <v>35</v>
      </c>
      <c r="S46" s="81">
        <v>8500</v>
      </c>
      <c r="T46" s="9">
        <f t="shared" si="4"/>
        <v>957949.99999999988</v>
      </c>
      <c r="U46" s="11">
        <v>1</v>
      </c>
      <c r="V46" s="1">
        <f>Voorblad!F24+100</f>
        <v>2085</v>
      </c>
      <c r="W46" s="9">
        <f>Voorblad!K59</f>
        <v>2085</v>
      </c>
      <c r="X46" s="6"/>
      <c r="Y46" s="9">
        <f>SUM(AE46:EB46)</f>
        <v>0</v>
      </c>
      <c r="Z46" s="82" t="s">
        <v>279</v>
      </c>
      <c r="AA46" s="82">
        <f>2*52</f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267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248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235</v>
      </c>
      <c r="C54" s="3"/>
      <c r="D54" s="3"/>
      <c r="E54" s="3"/>
      <c r="F54" s="3" t="s">
        <v>0</v>
      </c>
      <c r="G54" s="3"/>
      <c r="H54" s="3"/>
      <c r="I54" s="3" t="s">
        <v>230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280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234</v>
      </c>
      <c r="I55" s="3" t="s">
        <v>231</v>
      </c>
      <c r="O55" s="14"/>
      <c r="P55" s="14"/>
      <c r="V55" s="3" t="s">
        <v>70</v>
      </c>
      <c r="AC55" s="20" t="s">
        <v>281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275</v>
      </c>
      <c r="K58" s="1" t="s">
        <v>284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276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276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276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276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276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276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276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276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276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276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276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276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276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276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276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268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269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2085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270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275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5002.897285719635</v>
      </c>
      <c r="Z109" s="82"/>
      <c r="AA109" s="82"/>
      <c r="AC109" s="9">
        <f>$Y109*(Voorblad!$K$44*(1+Voorblad!$K$44)^Voorblad!$K$41)/((1+Voorblad!$K$44)^Voorblad!$K$41-1)</f>
        <v>165.60611210198348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276</v>
      </c>
      <c r="K110" s="1" t="s">
        <v>112</v>
      </c>
      <c r="O110" s="1" t="s">
        <v>225</v>
      </c>
      <c r="P110" s="14" t="s">
        <v>226</v>
      </c>
      <c r="Q110" s="83">
        <f>50%*(((2*11.27*2.86)+(2*(11.27+2.86)*1.2))+(4*1.15*0.45))</f>
        <v>50.223199999999991</v>
      </c>
      <c r="R110" s="1" t="s">
        <v>35</v>
      </c>
      <c r="S110" s="21">
        <f>$H$20*15</f>
        <v>26.55</v>
      </c>
      <c r="T110" s="9">
        <f t="shared" si="20"/>
        <v>1333.4259599999998</v>
      </c>
      <c r="U110" s="14">
        <v>10</v>
      </c>
      <c r="V110" s="14"/>
      <c r="Y110" s="9">
        <f t="shared" si="21"/>
        <v>3375.6809742001342</v>
      </c>
      <c r="Z110" s="82"/>
      <c r="AA110" s="82"/>
      <c r="AC110" s="9">
        <f>$Y110*(Voorblad!$K$44*(1+Voorblad!$K$44)^Voorblad!$K$41)/((1+Voorblad!$K$44)^Voorblad!$K$41-1)</f>
        <v>111.74193070675982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1041.6702287715932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813.75111784164085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635.70107266041373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496.60866193764542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387.94989298884042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276</v>
      </c>
      <c r="K111" s="1" t="s">
        <v>84</v>
      </c>
      <c r="P111" s="8"/>
      <c r="Q111" s="83">
        <f>2*2.86*1.2</f>
        <v>6.8639999999999999</v>
      </c>
      <c r="R111" s="1" t="s">
        <v>35</v>
      </c>
      <c r="S111" s="21">
        <f>$H$20*20</f>
        <v>35.4</v>
      </c>
      <c r="T111" s="9">
        <f t="shared" si="20"/>
        <v>242.98559999999998</v>
      </c>
      <c r="U111" s="14">
        <v>10</v>
      </c>
      <c r="V111" s="14"/>
      <c r="Y111" s="9">
        <f t="shared" si="21"/>
        <v>615.13866651029059</v>
      </c>
      <c r="Z111" s="82"/>
      <c r="AA111" s="82"/>
      <c r="AC111" s="9">
        <f>$Y111*(Voorblad!$K$44*(1+Voorblad!$K$44)^Voorblad!$K$41)/((1+Voorblad!$K$44)^Voorblad!$K$41-1)</f>
        <v>20.362345486314407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189.81996236236682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148.28705121311859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115.8416074043093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90.495278557585564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70.694766972910287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276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276</v>
      </c>
      <c r="K113" s="1" t="s">
        <v>158</v>
      </c>
      <c r="P113" s="1" t="s">
        <v>183</v>
      </c>
      <c r="Q113" s="268">
        <f>2*4.3</f>
        <v>8.6</v>
      </c>
      <c r="R113" s="147" t="s">
        <v>195</v>
      </c>
      <c r="S113" s="21">
        <f>$H$20*350</f>
        <v>619.5</v>
      </c>
      <c r="T113" s="9">
        <f t="shared" si="20"/>
        <v>5327.7</v>
      </c>
      <c r="U113" s="14">
        <v>15</v>
      </c>
      <c r="V113" s="14"/>
      <c r="Y113" s="9">
        <f>SUM(AE113:EB113)</f>
        <v>7972.2778210289116</v>
      </c>
      <c r="Z113" s="82"/>
      <c r="AA113" s="82"/>
      <c r="AC113" s="9">
        <f>$Y113*(Voorblad!$K$44*(1+Voorblad!$K$44)^Voorblad!$K$41)/((1+Voorblad!$K$44)^Voorblad!$K$41-1)</f>
        <v>263.8986689385049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3678.5933471710646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2539.9420038386584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1753.7424700191884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276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276</v>
      </c>
      <c r="K115" s="14" t="s">
        <v>161</v>
      </c>
      <c r="O115" s="14" t="s">
        <v>157</v>
      </c>
      <c r="P115" s="14" t="s">
        <v>198</v>
      </c>
      <c r="Q115" s="268">
        <f>2.5%*2*3</f>
        <v>0.15000000000000002</v>
      </c>
      <c r="R115" s="14" t="s">
        <v>34</v>
      </c>
      <c r="S115" s="21">
        <f>$H$20*1000</f>
        <v>1770</v>
      </c>
      <c r="T115" s="21">
        <f t="shared" si="20"/>
        <v>265.50000000000006</v>
      </c>
      <c r="U115" s="14">
        <v>15</v>
      </c>
      <c r="Y115" s="21">
        <f t="shared" si="22"/>
        <v>397.28959241007874</v>
      </c>
      <c r="Z115" s="149"/>
      <c r="AA115" s="149"/>
      <c r="AC115" s="9">
        <f>$Y115*(Voorblad!$K$44*(1+Voorblad!$K$44)^Voorblad!$K$41)/((1+Voorblad!$K$44)^Voorblad!$K$41-1)</f>
        <v>13.15109645872948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183.31860534075076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126.57518291554779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87.395804153780176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276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276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2.5%*2*4.3</f>
        <v>0.215</v>
      </c>
      <c r="R117" s="1" t="s">
        <v>34</v>
      </c>
      <c r="S117" s="14">
        <f>$H$20*500</f>
        <v>885</v>
      </c>
      <c r="T117" s="9">
        <f t="shared" si="20"/>
        <v>190.27500000000001</v>
      </c>
      <c r="U117" s="14">
        <v>15</v>
      </c>
      <c r="V117" s="14"/>
      <c r="Y117" s="9">
        <f t="shared" si="22"/>
        <v>284.72420789388968</v>
      </c>
      <c r="Z117" s="82"/>
      <c r="AA117" s="82"/>
      <c r="AC117" s="9">
        <f>$Y117*(Voorblad!$K$44*(1+Voorblad!$K$44)^Voorblad!$K$41)/((1+Voorblad!$K$44)^Voorblad!$K$41-1)</f>
        <v>9.4249524620894594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131.37833382753803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90.712214422809225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62.633659643542444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276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276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276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276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276</v>
      </c>
      <c r="K122" s="14" t="s">
        <v>200</v>
      </c>
      <c r="L122" s="14"/>
      <c r="M122" s="14"/>
      <c r="O122" s="1" t="s">
        <v>177</v>
      </c>
      <c r="P122" s="1" t="s">
        <v>180</v>
      </c>
      <c r="Q122" s="268">
        <f>2*4.3</f>
        <v>8.6</v>
      </c>
      <c r="R122" s="1" t="s">
        <v>34</v>
      </c>
      <c r="S122" s="14">
        <f>$H$20*100</f>
        <v>177</v>
      </c>
      <c r="T122" s="9">
        <f t="shared" si="20"/>
        <v>1522.2</v>
      </c>
      <c r="U122" s="14">
        <v>15</v>
      </c>
      <c r="V122" s="14"/>
      <c r="Y122" s="9">
        <f t="shared" si="23"/>
        <v>2277.7936631511175</v>
      </c>
      <c r="Z122" s="82"/>
      <c r="AA122" s="82"/>
      <c r="AC122" s="9">
        <f>$Y122*(Voorblad!$K$44*(1+Voorblad!$K$44)^Voorblad!$K$41)/((1+Voorblad!$K$44)^Voorblad!$K$41-1)</f>
        <v>75.399619696715675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1051.0266706203042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725.6977153824738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501.06927714833955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276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276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268</v>
      </c>
      <c r="C125" s="2"/>
      <c r="S125" s="14"/>
      <c r="U125" s="14"/>
      <c r="V125" s="14"/>
      <c r="Y125" s="23">
        <f>SUM(Y109:Y124)</f>
        <v>19925.802210914058</v>
      </c>
      <c r="Z125" s="24"/>
      <c r="AA125" s="23">
        <f>SUM(AA109:AA124)</f>
        <v>0</v>
      </c>
      <c r="AC125" s="9">
        <f>$Y125*(Voorblad!$K$44*(1+Voorblad!$K$44)^Voorblad!$K$41)/((1+Voorblad!$K$44)^Voorblad!$K$41-1)</f>
        <v>659.58472585109723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1922.8507766612283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5655.3789747621595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1502.1279534848243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4656.3870730093713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916.70504246778921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2696.1605581441181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716.1285140297515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268">
        <f>2*4.3</f>
        <v>8.6</v>
      </c>
      <c r="R133" s="1" t="s">
        <v>34</v>
      </c>
      <c r="S133" s="21">
        <f>$H$10*125</f>
        <v>297.5</v>
      </c>
      <c r="T133" s="9">
        <f t="shared" si="104"/>
        <v>2558.5</v>
      </c>
      <c r="U133" s="14">
        <v>30</v>
      </c>
      <c r="V133" s="14"/>
      <c r="Y133" s="9">
        <f t="shared" si="21"/>
        <v>1219.7461600355139</v>
      </c>
      <c r="Z133" s="82"/>
      <c r="AA133" s="82"/>
      <c r="AC133" s="9">
        <f>$Y133*(Voorblad!$K$44*(1+Voorblad!$K$44)^Voorblad!$K$41)/((1+Voorblad!$K$44)^Voorblad!$K$41-1)</f>
        <v>40.37608765052812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1219.7461600355139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268">
        <f>2*4.3</f>
        <v>8.6</v>
      </c>
      <c r="R136" s="147" t="s">
        <v>195</v>
      </c>
      <c r="S136" s="14">
        <f>$H$10*500</f>
        <v>1190</v>
      </c>
      <c r="T136" s="9">
        <f t="shared" si="104"/>
        <v>10234</v>
      </c>
      <c r="U136" s="14">
        <v>50</v>
      </c>
      <c r="V136" s="14"/>
      <c r="Y136" s="9">
        <f>SUM(AE136:EB136)</f>
        <v>2977.502556533243</v>
      </c>
      <c r="Z136" s="82"/>
      <c r="AA136" s="82"/>
      <c r="AC136" s="9">
        <f>$Y136*(Voorblad!$K$44*(1+Voorblad!$K$44)^Voorblad!$K$41)/((1+Voorblad!$K$44)^Voorblad!$K$41-1)</f>
        <v>98.561412317754275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2977.502556533243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268">
        <f>7.5%*2*4.3</f>
        <v>0.64499999999999991</v>
      </c>
      <c r="R137" s="14" t="s">
        <v>34</v>
      </c>
      <c r="S137" s="21">
        <f>$H$10*1000</f>
        <v>2380</v>
      </c>
      <c r="T137" s="21">
        <f t="shared" si="104"/>
        <v>1535.0999999999997</v>
      </c>
      <c r="U137" s="14">
        <v>50</v>
      </c>
      <c r="Y137" s="21">
        <f t="shared" ref="Y137" si="108">SUM(AE137:EB137)</f>
        <v>446.62538347998634</v>
      </c>
      <c r="Z137" s="149"/>
      <c r="AA137" s="149"/>
      <c r="AC137" s="9">
        <f>$Y137*(Voorblad!$K$44*(1+Voorblad!$K$44)^Voorblad!$K$41)/((1+Voorblad!$K$44)^Voorblad!$K$41-1)</f>
        <v>14.784211847663139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446.62538347998634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268">
        <f>2*4.3</f>
        <v>8.6</v>
      </c>
      <c r="R139" s="1" t="s">
        <v>34</v>
      </c>
      <c r="S139" s="14">
        <f>$H$10*400</f>
        <v>952</v>
      </c>
      <c r="T139" s="9">
        <f t="shared" si="104"/>
        <v>8187.2</v>
      </c>
      <c r="U139" s="14">
        <v>50</v>
      </c>
      <c r="V139" s="14"/>
      <c r="Y139" s="9">
        <f t="shared" si="107"/>
        <v>2382.0020452265944</v>
      </c>
      <c r="Z139" s="82"/>
      <c r="AA139" s="82"/>
      <c r="AC139" s="9">
        <f>$Y139*(Voorblad!$K$44*(1+Voorblad!$K$44)^Voorblad!$K$41)/((1+Voorblad!$K$44)^Voorblad!$K$41-1)</f>
        <v>78.849129854203412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2382.0020452265944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2*4.3</f>
        <v>8.6</v>
      </c>
      <c r="R146" s="147" t="s">
        <v>195</v>
      </c>
      <c r="S146" s="14">
        <f>$H$10*500</f>
        <v>1190</v>
      </c>
      <c r="T146" s="9">
        <f t="shared" si="104"/>
        <v>10234</v>
      </c>
      <c r="U146" s="14">
        <v>50</v>
      </c>
      <c r="V146" s="14"/>
      <c r="Y146" s="9">
        <f>SUM(AE146:EB146)</f>
        <v>2977.502556533243</v>
      </c>
      <c r="Z146" s="82"/>
      <c r="AA146" s="82"/>
      <c r="AC146" s="229">
        <f>$Y146*(Voorblad!$K$44*(1+Voorblad!$K$44)^Voorblad!$K$41)/((1+Voorblad!$K$44)^Voorblad!$K$41-1)</f>
        <v>98.561412317754275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2977.502556533243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269</v>
      </c>
      <c r="C147" s="2"/>
      <c r="D147" s="22"/>
      <c r="N147" s="6"/>
      <c r="S147" s="14"/>
      <c r="U147" s="14"/>
      <c r="V147" s="14"/>
      <c r="Y147" s="23">
        <f>SUM(Y127:Y146)</f>
        <v>10003.37870180858</v>
      </c>
      <c r="Z147" s="24"/>
      <c r="AA147" s="23">
        <f>SUM(AA127:AA146)</f>
        <v>0</v>
      </c>
      <c r="AC147" s="9">
        <f>$Y147*(Voorblad!$K$44*(1+Voorblad!$K$44)^Voorblad!$K$41)/((1+Voorblad!$K$44)^Voorblad!$K$41-1)</f>
        <v>331.1322539879032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1219.7461600355139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8783.6325417730677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312</v>
      </c>
      <c r="Q149" s="268">
        <f>11.27*10</f>
        <v>112.69999999999999</v>
      </c>
      <c r="R149" s="81" t="s">
        <v>35</v>
      </c>
      <c r="S149" s="81">
        <v>6890</v>
      </c>
      <c r="T149" s="21">
        <f>Q149*S149</f>
        <v>776502.99999999988</v>
      </c>
      <c r="U149" s="11">
        <v>1</v>
      </c>
      <c r="V149" s="14">
        <f>Voorblad!F24+100</f>
        <v>2085</v>
      </c>
      <c r="W149" s="9">
        <f>Voorblad!K77</f>
        <v>2085</v>
      </c>
      <c r="X149" s="6"/>
      <c r="Y149" s="9">
        <f t="shared" si="21"/>
        <v>190056.53649917821</v>
      </c>
      <c r="Z149" s="82" t="s">
        <v>302</v>
      </c>
      <c r="AA149" s="82">
        <v>52</v>
      </c>
      <c r="AC149" s="9">
        <f>$Y149*(Voorblad!$K$44*(1+Voorblad!$K$44)^Voorblad!$K$41)/((1+Voorblad!$K$44)^Voorblad!$K$41-1)</f>
        <v>6291.2593026922823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190056.53649917821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15530.059999999998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31060.119999999995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54355.21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270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776502.99999999988</v>
      </c>
      <c r="U154" s="14"/>
      <c r="V154" s="14"/>
      <c r="W154" s="14"/>
      <c r="X154" s="6"/>
      <c r="Y154" s="23">
        <f>SUM(Y149:Y153)</f>
        <v>190056.53649917821</v>
      </c>
      <c r="Z154" s="24"/>
      <c r="AA154" s="23">
        <f>SUM(AA149:AA153)</f>
        <v>52</v>
      </c>
      <c r="AC154" s="9">
        <f>$Y154*(Voorblad!$K$44*(1+Voorblad!$K$44)^Voorblad!$K$41)/((1+Voorblad!$K$44)^Voorblad!$K$41-1)</f>
        <v>6291.2593026922823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275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276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276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276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276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276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276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276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276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276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276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276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276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276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268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269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2085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270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275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276</v>
      </c>
      <c r="K196" s="1" t="s">
        <v>83</v>
      </c>
      <c r="O196" s="1" t="s">
        <v>133</v>
      </c>
      <c r="P196" s="1" t="s">
        <v>278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276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276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268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269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229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1972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270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customHeight="1" outlineLevel="1" x14ac:dyDescent="0.25">
      <c r="B212" s="1">
        <v>3</v>
      </c>
      <c r="F212" s="1" t="s">
        <v>23</v>
      </c>
      <c r="I212" s="1" t="s">
        <v>275</v>
      </c>
      <c r="K212" s="1" t="s">
        <v>86</v>
      </c>
      <c r="Q212" s="81">
        <v>1</v>
      </c>
      <c r="R212" s="1" t="s">
        <v>33</v>
      </c>
      <c r="S212" s="14">
        <f>$H$20*500</f>
        <v>885</v>
      </c>
      <c r="T212" s="9">
        <f>Q212*S212</f>
        <v>885</v>
      </c>
      <c r="U212" s="14">
        <v>5</v>
      </c>
      <c r="V212" s="14"/>
      <c r="Y212" s="9">
        <f t="shared" ref="Y212:Y224" si="200">SUM(AE212:EB212)</f>
        <v>5002.897285719635</v>
      </c>
      <c r="Z212" s="83"/>
      <c r="AA212" s="83"/>
      <c r="AC212" s="9">
        <f>$Y212*(Voorblad!$K$44*(1+Voorblad!$K$44)^Voorblad!$K$41)/((1+Voorblad!$K$44)^Voorblad!$K$41-1)</f>
        <v>165.60611210198348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782.21104453442274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691.36058552726843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611.0620178025024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540.08978443006492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477.36067166261267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421.9172763851592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372.9133937495526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329.60110197255818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291.3193471792672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257.48385406800077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227.57820840822569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customHeight="1" outlineLevel="1" x14ac:dyDescent="0.25">
      <c r="B213" s="1">
        <v>3</v>
      </c>
      <c r="F213" s="1" t="s">
        <v>23</v>
      </c>
      <c r="I213" s="1" t="s">
        <v>276</v>
      </c>
      <c r="K213" s="1" t="s">
        <v>87</v>
      </c>
      <c r="O213" s="1" t="s">
        <v>133</v>
      </c>
      <c r="Q213" s="84">
        <f>2*1.5*9.4</f>
        <v>28.200000000000003</v>
      </c>
      <c r="R213" s="1" t="s">
        <v>35</v>
      </c>
      <c r="S213" s="21">
        <f>$H$20*15</f>
        <v>26.55</v>
      </c>
      <c r="T213" s="9">
        <f>Q213*S213</f>
        <v>748.71000000000015</v>
      </c>
      <c r="U213" s="14">
        <v>10</v>
      </c>
      <c r="V213" s="14"/>
      <c r="Y213" s="9">
        <f t="shared" si="200"/>
        <v>1895.4229016160621</v>
      </c>
      <c r="Z213" s="83"/>
      <c r="AA213" s="83"/>
      <c r="AC213" s="9">
        <f>$Y213*(Voorblad!$K$44*(1+Voorblad!$K$44)^Voorblad!$K$41)/((1+Voorblad!$K$44)^Voorblad!$K$41-1)</f>
        <v>62.742366992358669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584.89105535606927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456.91595762783498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356.94201582184473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278.84253226878428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217.8313405415287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customHeight="1" outlineLevel="1" x14ac:dyDescent="0.25">
      <c r="B214" s="1">
        <v>3</v>
      </c>
      <c r="F214" s="1" t="s">
        <v>23</v>
      </c>
      <c r="I214" s="1" t="s">
        <v>276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customHeight="1" outlineLevel="1" x14ac:dyDescent="0.25">
      <c r="B215" s="1">
        <v>3</v>
      </c>
      <c r="F215" s="1" t="s">
        <v>23</v>
      </c>
      <c r="I215" s="1" t="s">
        <v>276</v>
      </c>
      <c r="K215" s="1" t="s">
        <v>88</v>
      </c>
      <c r="O215" s="1" t="s">
        <v>217</v>
      </c>
      <c r="P215" s="1" t="s">
        <v>173</v>
      </c>
      <c r="Q215" s="84">
        <f>2.5%*(2*1.5*9.4)</f>
        <v>0.70500000000000007</v>
      </c>
      <c r="R215" s="1" t="s">
        <v>35</v>
      </c>
      <c r="S215" s="14">
        <f>$H$20*500</f>
        <v>885</v>
      </c>
      <c r="T215" s="9">
        <f>Q215*S215</f>
        <v>623.92500000000007</v>
      </c>
      <c r="U215" s="14">
        <v>10</v>
      </c>
      <c r="V215" s="14"/>
      <c r="Y215" s="9">
        <f t="shared" si="200"/>
        <v>1579.5190846800513</v>
      </c>
      <c r="Z215" s="83"/>
      <c r="AA215" s="83"/>
      <c r="AC215" s="229">
        <f>$Y215*(Voorblad!$K$44*(1+Voorblad!$K$44)^Voorblad!$K$41)/((1+Voorblad!$K$44)^Voorblad!$K$41-1)</f>
        <v>52.285305826965541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487.40921279672432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380.76329802319577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297.45167985153728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232.36877689065352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181.52611711794057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customHeight="1" outlineLevel="1" x14ac:dyDescent="0.25">
      <c r="S216" s="14"/>
      <c r="T216" s="9"/>
      <c r="U216" s="14"/>
      <c r="V216" s="14"/>
      <c r="Y216" s="23">
        <f>SUM(Y212:Y215)</f>
        <v>8477.8392720157481</v>
      </c>
      <c r="Z216" s="24"/>
      <c r="AA216" s="23">
        <f>SUM(AA212:AA215)</f>
        <v>0</v>
      </c>
      <c r="AC216" s="9">
        <f>$Y216*(Voorblad!$K$44*(1+Voorblad!$K$44)^Voorblad!$K$41)/((1+Voorblad!$K$44)^Voorblad!$K$41-1)</f>
        <v>280.63378492130767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outlineLevel="1" x14ac:dyDescent="0.25">
      <c r="B217" s="2" t="s">
        <v>268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f>10%*(2*3.2*9.4)</f>
        <v>6.0160000000000009</v>
      </c>
      <c r="R218" s="1" t="s">
        <v>35</v>
      </c>
      <c r="S218" s="14">
        <f>$H$10*500</f>
        <v>1190</v>
      </c>
      <c r="T218" s="9">
        <f>Q218*S218</f>
        <v>7159.0400000000009</v>
      </c>
      <c r="U218" s="14">
        <v>30</v>
      </c>
      <c r="V218" s="14"/>
      <c r="Y218" s="9">
        <f>SUM(AE218:EB218)</f>
        <v>3413.0199529179777</v>
      </c>
      <c r="Z218" s="83"/>
      <c r="AA218" s="83"/>
      <c r="AC218" s="229">
        <f>$Y218*(Voorblad!$K$44*(1+Voorblad!$K$44)^Voorblad!$K$41)/((1+Voorblad!$K$44)^Voorblad!$K$41-1)</f>
        <v>112.97792711887311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3413.0199529179777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outlineLevel="1" x14ac:dyDescent="0.25">
      <c r="B219" s="2" t="s">
        <v>269</v>
      </c>
      <c r="C219" s="2"/>
      <c r="D219" s="15"/>
      <c r="E219" s="15"/>
      <c r="S219" s="14"/>
      <c r="T219" s="9"/>
      <c r="U219" s="14"/>
      <c r="V219" s="14"/>
      <c r="Y219" s="23">
        <f>SUM(Y218)</f>
        <v>3413.0199529179777</v>
      </c>
      <c r="Z219" s="24"/>
      <c r="AA219" s="23">
        <f>SUM(AA218)</f>
        <v>0</v>
      </c>
      <c r="AC219" s="9">
        <f>$Y219*(Voorblad!$K$44*(1+Voorblad!$K$44)^Voorblad!$K$41)/((1+Voorblad!$K$44)^Voorblad!$K$41-1)</f>
        <v>112.97792711887311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303</v>
      </c>
      <c r="Q221" s="268">
        <f>11.27*10</f>
        <v>112.69999999999999</v>
      </c>
      <c r="R221" s="81" t="s">
        <v>35</v>
      </c>
      <c r="S221" s="81">
        <v>1610</v>
      </c>
      <c r="T221" s="21">
        <f>Q221*S221</f>
        <v>181446.99999999997</v>
      </c>
      <c r="U221" s="11">
        <v>1</v>
      </c>
      <c r="V221" s="14">
        <f>Voorblad!F25+100</f>
        <v>1972</v>
      </c>
      <c r="W221" s="9">
        <f>Voorblad!K89</f>
        <v>2085</v>
      </c>
      <c r="X221" s="6"/>
      <c r="Y221" s="9">
        <f t="shared" si="200"/>
        <v>44410.888790083736</v>
      </c>
      <c r="Z221" s="83" t="s">
        <v>302</v>
      </c>
      <c r="AA221" s="83">
        <v>52</v>
      </c>
      <c r="AC221" s="9">
        <f>$Y221*(Voorblad!$K$44*(1+Voorblad!$K$44)^Voorblad!$K$41)/((1+Voorblad!$K$44)^Voorblad!$K$41-1)</f>
        <v>1470.0910707307078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44410.888790083736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3628.9399999999996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7257.8799999999992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12701.289999999999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outlineLevel="1" x14ac:dyDescent="0.25">
      <c r="B225" s="2" t="s">
        <v>272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181446.99999999997</v>
      </c>
      <c r="U225" s="14"/>
      <c r="V225" s="14"/>
      <c r="W225" s="14"/>
      <c r="X225" s="6"/>
      <c r="Y225" s="23">
        <f>SUM(Y221:Y224)</f>
        <v>44410.888790083736</v>
      </c>
      <c r="Z225" s="24"/>
      <c r="AA225" s="23">
        <f>SUM(AA221:AA224)</f>
        <v>52</v>
      </c>
      <c r="AC225" s="9">
        <f>$Y225*(Voorblad!$K$44*(1+Voorblad!$K$44)^Voorblad!$K$41)/((1+Voorblad!$K$44)^Voorblad!$K$41-1)</f>
        <v>1470.0910707307078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261</v>
      </c>
      <c r="P229" s="1" t="s">
        <v>315</v>
      </c>
      <c r="Q229" s="84">
        <f>2*4.3*0.035</f>
        <v>0.30099999999999999</v>
      </c>
      <c r="R229" s="1" t="s">
        <v>101</v>
      </c>
      <c r="S229" s="1">
        <v>-200</v>
      </c>
      <c r="T229" s="21">
        <f t="shared" ref="T229:T236" si="201">Q229*S229</f>
        <v>-60.199999999999996</v>
      </c>
      <c r="U229" s="11">
        <v>1</v>
      </c>
      <c r="V229" s="14">
        <f>Voorblad!F24+100</f>
        <v>2085</v>
      </c>
      <c r="W229" s="9">
        <f>Voorblad!$K$77</f>
        <v>2085</v>
      </c>
      <c r="X229" s="6"/>
      <c r="Y229" s="9">
        <f t="shared" ref="Y229" si="202">SUM(AE229:EB229)</f>
        <v>-14.734525812843646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-14.734525812843646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262</v>
      </c>
      <c r="O230" s="1" t="s">
        <v>103</v>
      </c>
      <c r="P230" s="1" t="s">
        <v>311</v>
      </c>
      <c r="Q230" s="83">
        <f>2*25</f>
        <v>50</v>
      </c>
      <c r="R230" s="1" t="s">
        <v>101</v>
      </c>
      <c r="S230" s="1">
        <v>-50</v>
      </c>
      <c r="T230" s="21">
        <f t="shared" si="201"/>
        <v>-2500</v>
      </c>
      <c r="U230" s="11">
        <v>1</v>
      </c>
      <c r="V230" s="14">
        <f>Voorblad!F24+100</f>
        <v>2085</v>
      </c>
      <c r="W230" s="9">
        <f>Voorblad!$K$77</f>
        <v>2085</v>
      </c>
      <c r="X230" s="6"/>
      <c r="Y230" s="9">
        <f t="shared" ref="Y230" si="203">SUM(AE230:EB230)</f>
        <v>-611.89891249350694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-611.89891249350694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263</v>
      </c>
      <c r="O231" s="1" t="s">
        <v>102</v>
      </c>
      <c r="Q231" s="83">
        <f>0.5*Q230</f>
        <v>25</v>
      </c>
      <c r="R231" s="1" t="s">
        <v>101</v>
      </c>
      <c r="S231" s="1">
        <v>-200</v>
      </c>
      <c r="T231" s="21">
        <f t="shared" si="201"/>
        <v>-5000</v>
      </c>
      <c r="U231" s="11">
        <v>1</v>
      </c>
      <c r="V231" s="14">
        <f>Voorblad!F24+100</f>
        <v>2085</v>
      </c>
      <c r="W231" s="9">
        <f>Voorblad!$K$77</f>
        <v>2085</v>
      </c>
      <c r="X231" s="6"/>
      <c r="Y231" s="9">
        <f t="shared" ref="Y231:Y234" si="204">SUM(AE231:EB231)</f>
        <v>-1223.7978249870139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-1223.7978249870139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264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2085</v>
      </c>
      <c r="W232" s="9">
        <f>Voorblad!$K$77</f>
        <v>2085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265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2085</v>
      </c>
      <c r="W233" s="9">
        <f>Voorblad!$K$77</f>
        <v>2085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266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2085</v>
      </c>
      <c r="W234" s="9">
        <f>Voorblad!$K$77</f>
        <v>2085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P235" s="1" t="s">
        <v>313</v>
      </c>
      <c r="Q235" s="83">
        <f>1.8*25</f>
        <v>45</v>
      </c>
      <c r="R235" s="1" t="s">
        <v>101</v>
      </c>
      <c r="S235" s="1">
        <v>-50</v>
      </c>
      <c r="T235" s="14">
        <f t="shared" si="201"/>
        <v>-2250</v>
      </c>
      <c r="U235" s="11">
        <v>1</v>
      </c>
      <c r="V235" s="14">
        <f>Voorblad!F24+100</f>
        <v>2085</v>
      </c>
      <c r="W235" s="9">
        <f>Voorblad!$K$77</f>
        <v>2085</v>
      </c>
      <c r="X235" s="6"/>
      <c r="Y235" s="9">
        <f t="shared" ref="Y235" si="207">SUM(AE235:EB235)</f>
        <v>-550.70902124415625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-550.70902124415625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2085</v>
      </c>
      <c r="W236" s="9">
        <f>Voorblad!$K$77</f>
        <v>2085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271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-9810.2000000000007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2019-12-10T08:19:58Z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