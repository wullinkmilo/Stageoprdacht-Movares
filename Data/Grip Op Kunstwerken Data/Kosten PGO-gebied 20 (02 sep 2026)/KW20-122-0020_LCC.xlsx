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53A85645-DB38-47AD-A54A-EFA1F9A491C8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Q230" i="1" l="1"/>
  <c r="Q235" i="1"/>
  <c r="Q218" i="1"/>
  <c r="Q215" i="1"/>
  <c r="Q221" i="1"/>
  <c r="Q149" i="1"/>
  <c r="Q146" i="1"/>
  <c r="Q139" i="1"/>
  <c r="Q137" i="1"/>
  <c r="Q136" i="1"/>
  <c r="Q133" i="1"/>
  <c r="Q122" i="1"/>
  <c r="Q117" i="1"/>
  <c r="Q115" i="1"/>
  <c r="Q113" i="1"/>
  <c r="Q213" i="1"/>
  <c r="Q214" i="1"/>
  <c r="Q111" i="1" l="1"/>
  <c r="Q110" i="1"/>
  <c r="Q46" i="1"/>
  <c r="S40" i="1"/>
  <c r="Q40" i="1"/>
  <c r="Q233" i="1" l="1"/>
  <c r="Q231" i="1"/>
  <c r="N66" i="2" l="1"/>
  <c r="N65" i="2"/>
  <c r="N64" i="2"/>
  <c r="O61" i="2"/>
  <c r="N61" i="2"/>
  <c r="M61" i="2"/>
  <c r="L61" i="2"/>
  <c r="O60" i="2"/>
  <c r="N60" i="2"/>
  <c r="M60" i="2"/>
  <c r="L60" i="2"/>
  <c r="J61" i="2"/>
  <c r="H61" i="2"/>
  <c r="AA46" i="1" l="1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L63" i="2" l="1"/>
  <c r="N63" i="2"/>
  <c r="N62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l="1"/>
  <c r="V187" i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2" i="2" l="1"/>
  <c r="L66" i="2"/>
  <c r="L64" i="2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AF35" i="1" l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5" i="1"/>
  <c r="CJ229" i="1"/>
  <c r="GK236" i="1"/>
  <c r="CJ236" i="1" s="1"/>
  <c r="GK111" i="1"/>
  <c r="CJ111" i="1" s="1"/>
  <c r="GK110" i="1"/>
  <c r="CJ110" i="1" s="1"/>
  <c r="GK218" i="1"/>
  <c r="CJ218" i="1" s="1"/>
  <c r="GK234" i="1"/>
  <c r="CJ234" i="1" s="1"/>
  <c r="GK231" i="1"/>
  <c r="CJ231" i="1" s="1"/>
  <c r="GK230" i="1"/>
  <c r="CJ230" i="1" s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2" i="2" s="1"/>
  <c r="M52" i="2"/>
  <c r="M62" i="2" s="1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3" i="2"/>
  <c r="O64" i="2"/>
  <c r="O63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<sst xmlns="http://schemas.openxmlformats.org/spreadsheetml/2006/main" count="1026" uniqueCount="318">
  <si>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</si>
  <si>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</si>
  <si>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</si>
  <si>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</si>
  <si>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</si>
  <si>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</si>
  <si>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</si>
  <si>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</si>
  <si>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</si>
  <si>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</si>
  <si>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</si>
  <si>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</si>
  <si>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</si>
  <si>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</si>
  <si>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</si>
  <si>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</si>
  <si>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</si>
  <si>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</si>
  <si>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</si>
  <si>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</si>
  <si>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</si>
  <si>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</si>
  <si>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</si>
  <si>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</si>
  <si>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</si>
  <si>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</si>
  <si>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</si>
  <si>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</si>
  <si>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</si>
  <si>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</si>
  <si>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</si>
  <si>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</si>
  <si>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</si>
  <si>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</si>
  <si>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</si>
  <si>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</si>
  <si>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</si>
  <si>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</si>
  <si>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</si>
  <si>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</si>
  <si>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</si>
  <si>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</si>
  <si>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</si>
  <si>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</si>
  <si>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</si>
  <si>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</si>
  <si>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</si>
  <si>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</si>
  <si>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</si>
  <si>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</si>
  <si>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</si>
  <si>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</si>
  <si>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</si>
  <si>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</si>
  <si>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</si>
  <si>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</si>
  <si>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</si>
  <si>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</si>
  <si>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</si>
  <si>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</si>
  <si>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</si>
  <si>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</si>
  <si>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</si>
  <si>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</si>
  <si>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</si>
  <si>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</si>
  <si>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</si>
  <si>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</si>
  <si>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</si>
  <si>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</si>
  <si>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</si>
  <si>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</si>
  <si>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</si>
  <si>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</si>
  <si>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</si>
  <si>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</si>
  <si>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</si>
  <si>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</si>
  <si>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</si>
  <si>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</si>
  <si>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</si>
  <si>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</si>
  <si>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</si>
  <si>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</si>
  <si>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</si>
  <si>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</si>
  <si>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</si>
  <si>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</si>
  <si>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</si>
  <si>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</si>
  <si>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</si>
  <si>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</si>
  <si>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</si>
  <si>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</si>
  <si>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</si>
  <si>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</si>
  <si>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</si>
  <si>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</si>
  <si>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</si>
  <si>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</si>
  <si>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</si>
  <si>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</si>
  <si>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</si>
  <si>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</si>
  <si>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</si>
  <si>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</si>
  <si>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</si>
  <si>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</si>
  <si>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</si>
  <si>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</si>
  <si>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</si>
  <si>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</si>
  <si>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</si>
  <si>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</si>
  <si>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</si>
  <si>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</si>
  <si>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</si>
  <si>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</si>
  <si>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</si>
  <si>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</si>
  <si>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</si>
  <si>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</si>
  <si>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</si>
  <si>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</si>
  <si>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</si>
  <si>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</si>
  <si>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</si>
  <si>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</si>
  <si>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</si>
  <si>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</si>
  <si>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</si>
  <si>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</si>
  <si>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</si>
  <si>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</si>
  <si>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</si>
  <si>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</si>
  <si>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</si>
  <si>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</si>
  <si>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</si>
  <si>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</si>
  <si>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</si>
  <si>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</si>
  <si>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</si>
  <si>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</si>
  <si>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</si>
  <si>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</si>
  <si>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</si>
  <si>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</si>
  <si>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</si>
  <si>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</si>
  <si>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</si>
  <si>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</si>
  <si>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</si>
  <si>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</si>
  <si>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</si>
  <si>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</si>
  <si>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</si>
  <si>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</si>
  <si>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</si>
  <si>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</si>
  <si>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</si>
  <si>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</si>
  <si>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</si>
  <si>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</si>
  <si>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</si>
  <si>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</si>
  <si>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</si>
  <si>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</si>
  <si>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</si>
  <si>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</si>
  <si>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</si>
  <si>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</si>
  <si>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</si>
  <si>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</si>
  <si>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</si>
  <si>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</si>
  <si>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</si>
  <si>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</si>
  <si>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</si>
  <si>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</si>
  <si>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</si>
  <si>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</si>
  <si>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</si>
  <si>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</si>
  <si>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</si>
  <si>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</si>
  <si>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</si>
  <si>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</si>
  <si>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</si>
  <si>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</si>
  <si>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</si>
  <si>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</si>
  <si>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</si>
  <si>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</si>
  <si>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</si>
  <si>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</si>
  <si>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</si>
  <si>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</si>
  <si>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</si>
  <si>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</si>
  <si>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</si>
  <si>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</si>
  <si>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</si>
  <si>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</si>
  <si>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</si>
  <si>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</si>
  <si>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</si>
  <si>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</si>
  <si>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</si>
  <si>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</si>
  <si>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</si>
  <si>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</si>
  <si>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</si>
  <si>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</si>
  <si>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</si>
  <si>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</si>
  <si>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</si>
  <si>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</si>
  <si>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</si>
  <si>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</si>
  <si>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</si>
  <si>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</si>
  <si>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</si>
  <si>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</si>
  <si>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</si>
  <si>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</si>
  <si>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</si>
  <si>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</si>
  <si>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</si>
  <si>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</si>
  <si>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</si>
  <si>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</si>
  <si>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</si>
  <si>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</si>
  <si>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</si>
  <si>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</si>
  <si>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</si>
  <si>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</si>
  <si>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</si>
  <si>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</si>
  <si>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</si>
  <si>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</si>
  <si>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</si>
  <si>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</si>
  <si>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</si>
  <si>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</si>
  <si>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</si>
  <si>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</si>
  <si>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</si>
  <si>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</si>
  <si>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</si>
  <si>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</si>
  <si>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</si>
  <si>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</si>
  <si>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</si>
  <si>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</si>
  <si>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</si>
  <si>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</si>
  <si>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</si>
  <si>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</si>
  <si>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</si>
  <si>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</si>
  <si>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</si>
  <si>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</si>
  <si>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</si>
  <si>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</si>
  <si>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</si>
  <si>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</si>
  <si>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</si>
  <si>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</si>
  <si>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</si>
  <si>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</si>
  <si>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</si>
  <si>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</si>
  <si>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</si>
  <si>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</si>
  <si>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</si>
  <si>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</si>
  <si>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</si>
  <si>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</si>
  <si>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</si>
  <si>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</si>
  <si>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</si>
  <si>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</si>
  <si>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</si>
  <si>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</si>
  <si>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</si>
  <si>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</si>
  <si>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</si>
  <si>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</si>
  <si>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</si>
  <si>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</si>
  <si>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</si>
  <si>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</si>
  <si>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</si>
  <si>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</si>
  <si>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</si>
  <si>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</si>
  <si>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</si>
  <si>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</si>
  <si>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</si>
  <si>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</si>
  <si>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2 nieuwe betonnen landhoofden op palen</t>
  </si>
  <si>
    <t>Totaal kosten cat. 2 (advies IB tlv ProRail AM)</t>
  </si>
  <si>
    <t>Metselwerk</t>
  </si>
  <si>
    <t>vervanging gehele duiker BxL door langer kw</t>
  </si>
  <si>
    <t>vervanging dek duiker BxL door langer kw</t>
  </si>
  <si>
    <t>oude wanden duiker: 25 m3</t>
  </si>
  <si>
    <t>KW20-122-0020</t>
  </si>
  <si>
    <t>Spoorviaduct Lagevaart</t>
  </si>
  <si>
    <t>Etten-Leur</t>
  </si>
  <si>
    <t>Gewapend betonnen plaat</t>
  </si>
  <si>
    <t>uitvoeren nader archiefonderzoek kunstwerk</t>
  </si>
  <si>
    <t>uitvoeren herstel metselwerk landhoofden en vleugelwanden</t>
  </si>
  <si>
    <t>aanname op hoeveelheden</t>
  </si>
  <si>
    <t>spoordek+: 22 m3</t>
  </si>
  <si>
    <t xml:space="preserve">Bij vervanging een langer kunstwerk ivm nieuwe landhoofden achter de duiker </t>
  </si>
  <si>
    <t>leuningen 2x3,65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</si>
</sst>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2" fontId="6" fillId="5" borderId="0" xfId="0" applyNumberFormat="1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topLeftCell="A21" zoomScale="90" zoomScaleNormal="90" zoomScaleSheetLayoutView="90" workbookViewId="0">
      <selection activeCell="X30" sqref="X30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243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43808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>
        <v>10592537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308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309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122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15.428000000000001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310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1960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1886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/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311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304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42699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/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/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227</v>
      </c>
      <c r="C33" s="101"/>
      <c r="D33" s="97"/>
      <c r="E33" s="97"/>
      <c r="F33" s="144" t="s">
        <v>316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143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244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245</v>
      </c>
      <c r="C41" s="41"/>
      <c r="D41" s="40"/>
      <c r="E41" s="40"/>
      <c r="F41" s="102">
        <v>2028</v>
      </c>
      <c r="G41" s="41"/>
      <c r="H41" s="131" t="s">
        <v>246</v>
      </c>
      <c r="I41" s="40"/>
      <c r="J41" s="40"/>
      <c r="K41" s="103">
        <f>F24+100-F41</f>
        <v>32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247</v>
      </c>
      <c r="I42" s="40"/>
      <c r="J42" s="40"/>
      <c r="K42" s="46">
        <f>F41+K41</f>
        <v>2060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240</v>
      </c>
      <c r="C48" s="164" t="s">
        <v>241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281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uitvoeren nader archiefonderzoek kunstwerk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500</v>
      </c>
      <c r="M52" s="64">
        <f>'Berekening MJOP+LTP'!Y39</f>
        <v>475.90719809637125</v>
      </c>
      <c r="N52" s="61">
        <f>'Berekening MJOP+LTP'!AA39</f>
        <v>0</v>
      </c>
      <c r="O52" s="255">
        <f>'Berekening MJOP+LTP'!AC39</f>
        <v>54.376567841589804</v>
      </c>
      <c r="P52" s="234"/>
    </row>
    <row r="53" spans="2:16" x14ac:dyDescent="0.3">
      <c r="B53" s="109">
        <f>'Berekening MJOP+LTP'!B40</f>
        <v>1</v>
      </c>
      <c r="C53" s="66">
        <f>'Berekening MJOP+LTP'!D40</f>
        <v>3</v>
      </c>
      <c r="D53" s="145" t="str">
        <f>'Berekening MJOP+LTP'!K40</f>
        <v>uitvoeren herstel metselwerk landhoofden en vleugelwanden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39757.9</v>
      </c>
      <c r="M53" s="64">
        <f>'Berekening MJOP+LTP'!Y40</f>
        <v>37842.141582391436</v>
      </c>
      <c r="N53" s="61">
        <f>'Berekening MJOP+LTP'!AA40</f>
        <v>0</v>
      </c>
      <c r="O53" s="255">
        <f>'Berekening MJOP+LTP'!AC40</f>
        <v>4323.7962931782868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2060</v>
      </c>
      <c r="K59" s="159">
        <v>2060</v>
      </c>
      <c r="L59" s="156">
        <f>'Berekening MJOP+LTP'!T46</f>
        <v>981750</v>
      </c>
      <c r="M59" s="128">
        <f>'Berekening MJOP+LTP'!Y46</f>
        <v>0</v>
      </c>
      <c r="N59" s="129">
        <f>'Berekening MJOP+LTP'!AA46</f>
        <v>104</v>
      </c>
      <c r="O59" s="257">
        <f>'Berekening MJOP+LTP'!AC46</f>
        <v>0</v>
      </c>
      <c r="P59" s="235"/>
    </row>
    <row r="60" spans="2:16" x14ac:dyDescent="0.3">
      <c r="B60" s="207" t="s">
        <v>294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303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295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5500</v>
      </c>
      <c r="M62" s="214">
        <f>SUMIF(B51:B58,2,M51:M58)</f>
        <v>5118.9042526951152</v>
      </c>
      <c r="N62" s="247">
        <f>SUMIF(B51:B58,2,N51:N58)</f>
        <v>0</v>
      </c>
      <c r="O62" s="259">
        <f>SUMIF(B51:B58,2,O51:O58)</f>
        <v>584.87966873514893</v>
      </c>
      <c r="P62" s="236"/>
    </row>
    <row r="63" spans="2:16" x14ac:dyDescent="0.3">
      <c r="B63" s="211" t="s">
        <v>296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39757.9</v>
      </c>
      <c r="M63" s="214">
        <f>SUMIF(B51:B58,1,M51:M58)</f>
        <v>37842.141582391436</v>
      </c>
      <c r="N63" s="247">
        <f>SUMIF(B51:B58,1,N51:N58)</f>
        <v>0</v>
      </c>
      <c r="O63" s="259">
        <f>SUMIF(B51:B58,1,O51:O58)</f>
        <v>4323.7962931782868</v>
      </c>
      <c r="P63" s="236"/>
    </row>
    <row r="64" spans="2:16" x14ac:dyDescent="0.3">
      <c r="B64" s="211" t="s">
        <v>273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45257.9</v>
      </c>
      <c r="M64" s="214">
        <f>SUM(M51:M58)</f>
        <v>42961.045835086552</v>
      </c>
      <c r="N64" s="247">
        <f>SUM(N51:N58)</f>
        <v>0</v>
      </c>
      <c r="O64" s="259">
        <f>SUM(O51:O58)</f>
        <v>4908.6759619134355</v>
      </c>
      <c r="P64" s="236"/>
    </row>
    <row r="65" spans="2:16" x14ac:dyDescent="0.3">
      <c r="B65" s="211" t="s">
        <v>297</v>
      </c>
      <c r="C65" s="194"/>
      <c r="D65" s="212"/>
      <c r="E65" s="212"/>
      <c r="F65" s="194"/>
      <c r="G65" s="205" t="s">
        <v>257</v>
      </c>
      <c r="H65" s="196"/>
      <c r="I65" s="213"/>
      <c r="J65" s="197"/>
      <c r="K65" s="224">
        <f>K59</f>
        <v>2060</v>
      </c>
      <c r="L65" s="214">
        <f>L59</f>
        <v>981750</v>
      </c>
      <c r="M65" s="214">
        <f>M59</f>
        <v>0</v>
      </c>
      <c r="N65" s="248">
        <f>N59</f>
        <v>104</v>
      </c>
      <c r="O65" s="259">
        <f>O59</f>
        <v>0</v>
      </c>
      <c r="P65" s="237"/>
    </row>
    <row r="66" spans="2:16" ht="15" thickBot="1" x14ac:dyDescent="0.35">
      <c r="B66" s="215" t="s">
        <v>274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1038507.9</v>
      </c>
      <c r="M66" s="218">
        <f>SUM(M49:M59)</f>
        <v>53270.608886346687</v>
      </c>
      <c r="N66" s="249">
        <f>SUM(N49:N59)</f>
        <v>104</v>
      </c>
      <c r="O66" s="260">
        <f>SUM(O49:O59)</f>
        <v>6086.6338850471666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242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240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281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2060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14451.349702600241</v>
      </c>
      <c r="N75" s="61">
        <f>'Berekening MJOP+LTP'!AA125</f>
        <v>0</v>
      </c>
      <c r="O75" s="261">
        <f>'Berekening MJOP+LTP'!AC125</f>
        <v>661.41388614154471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1035.3659265417734</v>
      </c>
      <c r="N76" s="61">
        <f>'Berekening MJOP+LTP'!AA147</f>
        <v>0</v>
      </c>
      <c r="O76" s="261">
        <f>'Berekening MJOP+LTP'!AC147</f>
        <v>47.386951056157613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2060</v>
      </c>
      <c r="K77" s="90">
        <v>2060</v>
      </c>
      <c r="L77" s="64">
        <f>'Berekening MJOP+LTP'!T154</f>
        <v>795795</v>
      </c>
      <c r="M77" s="64">
        <f>'Berekening MJOP+LTP'!Y154</f>
        <v>361108.33566076448</v>
      </c>
      <c r="N77" s="61">
        <f>'Berekening MJOP+LTP'!AA149</f>
        <v>52</v>
      </c>
      <c r="O77" s="261">
        <f>'Berekening MJOP+LTP'!AC154</f>
        <v>16527.319075568186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2060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1986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7091.2247457082758</v>
      </c>
      <c r="N87" s="61">
        <f>'Berekening MJOP+LTP'!AA216</f>
        <v>0</v>
      </c>
      <c r="O87" s="261">
        <f>'Berekening MJOP+LTP'!AC216</f>
        <v>324.55338865117079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1895.4288003156523</v>
      </c>
      <c r="N88" s="61">
        <f>'Berekening MJOP+LTP'!AA219</f>
        <v>0</v>
      </c>
      <c r="O88" s="261">
        <f>'Berekening MJOP+LTP'!AC219</f>
        <v>86.750577248560319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1986</v>
      </c>
      <c r="K89" s="90">
        <v>2060</v>
      </c>
      <c r="L89" s="64">
        <f>'Berekening MJOP+LTP'!T225</f>
        <v>185955</v>
      </c>
      <c r="M89" s="64">
        <f>'Berekening MJOP+LTP'!Y225</f>
        <v>84380.902817682261</v>
      </c>
      <c r="N89" s="61">
        <f>'Berekening MJOP+LTP'!AA221</f>
        <v>52</v>
      </c>
      <c r="O89" s="261">
        <f>'Berekening MJOP+LTP'!AC225</f>
        <v>3861.9715111269634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-8901.1</v>
      </c>
      <c r="M91" s="64"/>
      <c r="N91" s="251"/>
      <c r="O91" s="262"/>
      <c r="P91" s="241"/>
      <c r="Q91" s="27"/>
    </row>
    <row r="92" spans="2:17" x14ac:dyDescent="0.3">
      <c r="B92" s="207" t="s">
        <v>298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2060</v>
      </c>
      <c r="K92" s="219"/>
      <c r="L92" s="220"/>
      <c r="M92" s="220">
        <f t="shared" ref="M92:O94" si="1">M71+M75+M79+M83+M87</f>
        <v>21542.574448308515</v>
      </c>
      <c r="N92" s="267">
        <f t="shared" si="1"/>
        <v>0</v>
      </c>
      <c r="O92" s="263">
        <f t="shared" si="1"/>
        <v>985.96727479271544</v>
      </c>
      <c r="P92" s="242"/>
    </row>
    <row r="93" spans="2:17" x14ac:dyDescent="0.3">
      <c r="B93" s="211" t="s">
        <v>299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2060</v>
      </c>
      <c r="K93" s="221"/>
      <c r="L93" s="222"/>
      <c r="M93" s="222">
        <f t="shared" si="1"/>
        <v>2930.7947268574258</v>
      </c>
      <c r="N93" s="252">
        <f t="shared" si="1"/>
        <v>0</v>
      </c>
      <c r="O93" s="264">
        <f t="shared" si="1"/>
        <v>134.13752830471793</v>
      </c>
      <c r="P93" s="243"/>
    </row>
    <row r="94" spans="2:17" x14ac:dyDescent="0.3">
      <c r="B94" s="211" t="s">
        <v>297</v>
      </c>
      <c r="C94" s="212"/>
      <c r="D94" s="212"/>
      <c r="E94" s="212"/>
      <c r="F94" s="194"/>
      <c r="G94" s="205" t="s">
        <v>257</v>
      </c>
      <c r="H94" s="196"/>
      <c r="I94" s="213"/>
      <c r="J94" s="197"/>
      <c r="K94" s="225">
        <f>K59</f>
        <v>2060</v>
      </c>
      <c r="L94" s="222">
        <f>L73+L77+L81+L85+L89</f>
        <v>981750</v>
      </c>
      <c r="M94" s="222">
        <f t="shared" si="1"/>
        <v>445489.23847844673</v>
      </c>
      <c r="N94" s="252">
        <f t="shared" si="1"/>
        <v>104</v>
      </c>
      <c r="O94" s="264">
        <f t="shared" si="1"/>
        <v>20389.290586695148</v>
      </c>
      <c r="P94" s="243"/>
    </row>
    <row r="95" spans="2:17" ht="15" thickBot="1" x14ac:dyDescent="0.35">
      <c r="B95" s="215" t="s">
        <v>300</v>
      </c>
      <c r="C95" s="216"/>
      <c r="D95" s="216"/>
      <c r="E95" s="216"/>
      <c r="F95" s="199"/>
      <c r="G95" s="206" t="s">
        <v>257</v>
      </c>
      <c r="H95" s="201"/>
      <c r="I95" s="217"/>
      <c r="J95" s="202"/>
      <c r="K95" s="226">
        <f>K59</f>
        <v>2060</v>
      </c>
      <c r="L95" s="223">
        <f>L91</f>
        <v>-8901.1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258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259</v>
      </c>
      <c r="F99" s="177" t="s">
        <v>260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0.2555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44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22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45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="70" zoomScaleNormal="70" zoomScaleSheetLayoutView="90" workbookViewId="0">
      <pane ySplit="2" topLeftCell="A217" activePane="bottomLeft" state="frozen"/>
      <selection pane="bottomLeft" activeCell="Q229" sqref="Q229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235</v>
      </c>
      <c r="C1" s="3" t="s">
        <v>236</v>
      </c>
      <c r="D1" s="3" t="s">
        <v>238</v>
      </c>
      <c r="E1" s="3" t="s">
        <v>233</v>
      </c>
      <c r="F1" s="3" t="s">
        <v>0</v>
      </c>
      <c r="G1" s="3"/>
      <c r="H1" s="3"/>
      <c r="I1" s="3" t="s">
        <v>230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279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234</v>
      </c>
      <c r="C2" s="3" t="s">
        <v>239</v>
      </c>
      <c r="D2" s="3" t="s">
        <v>237</v>
      </c>
      <c r="E2" s="3" t="s">
        <v>232</v>
      </c>
      <c r="F2" s="3"/>
      <c r="G2" s="3"/>
      <c r="H2" s="3"/>
      <c r="I2" s="3" t="s">
        <v>231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280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287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253</v>
      </c>
      <c r="K9" s="1" t="s">
        <v>25</v>
      </c>
    </row>
    <row r="10" spans="2:236" ht="13.8" x14ac:dyDescent="0.3">
      <c r="B10" s="170"/>
      <c r="D10" s="168" t="s">
        <v>256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286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254</v>
      </c>
    </row>
    <row r="15" spans="2:236" ht="13.8" x14ac:dyDescent="0.3">
      <c r="B15" s="170"/>
      <c r="D15" s="168" t="s">
        <v>255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288</v>
      </c>
      <c r="K17" s="1" t="s">
        <v>249</v>
      </c>
    </row>
    <row r="18" spans="2:236" ht="13.8" x14ac:dyDescent="0.3">
      <c r="B18" s="170"/>
      <c r="D18" s="1" t="s">
        <v>40</v>
      </c>
      <c r="K18" s="1" t="s">
        <v>250</v>
      </c>
    </row>
    <row r="19" spans="2:236" ht="13.8" x14ac:dyDescent="0.3">
      <c r="B19" s="170"/>
      <c r="D19" s="1" t="s">
        <v>254</v>
      </c>
      <c r="K19" s="1" t="s">
        <v>251</v>
      </c>
    </row>
    <row r="20" spans="2:236" ht="13.8" x14ac:dyDescent="0.3">
      <c r="B20" s="170"/>
      <c r="D20" s="168" t="s">
        <v>255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252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235</v>
      </c>
      <c r="C28" s="3" t="s">
        <v>236</v>
      </c>
      <c r="D28" s="3" t="s">
        <v>238</v>
      </c>
      <c r="E28" s="3" t="s">
        <v>233</v>
      </c>
      <c r="F28" s="3" t="s">
        <v>0</v>
      </c>
      <c r="G28" s="3"/>
      <c r="H28" s="3"/>
      <c r="I28" s="3" t="s">
        <v>230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279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234</v>
      </c>
      <c r="C29" s="3" t="s">
        <v>239</v>
      </c>
      <c r="D29" s="3" t="s">
        <v>237</v>
      </c>
      <c r="E29" s="3" t="s">
        <v>232</v>
      </c>
      <c r="F29" s="3"/>
      <c r="G29" s="3"/>
      <c r="H29" s="3"/>
      <c r="I29" s="3" t="s">
        <v>231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280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282</v>
      </c>
      <c r="K31" s="1" t="s">
        <v>283</v>
      </c>
      <c r="O31" s="1" t="s">
        <v>292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276</v>
      </c>
      <c r="K32" s="1" t="s">
        <v>148</v>
      </c>
      <c r="O32" s="1" t="s">
        <v>292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291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285</v>
      </c>
      <c r="I35" s="1" t="s">
        <v>284</v>
      </c>
      <c r="K35" s="1" t="s">
        <v>290</v>
      </c>
      <c r="O35" s="1" t="s">
        <v>293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289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47</v>
      </c>
      <c r="J39" s="76"/>
      <c r="K39" s="76" t="s">
        <v>312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500</v>
      </c>
      <c r="T39" s="9">
        <f t="shared" si="4"/>
        <v>500</v>
      </c>
      <c r="U39" s="11">
        <v>1</v>
      </c>
      <c r="V39" s="14"/>
      <c r="W39" s="9">
        <f>Voorblad!K52</f>
        <v>2020</v>
      </c>
      <c r="Y39" s="9">
        <f t="shared" ref="Y39:Y45" si="5">SUM(AE39:EB39)</f>
        <v>475.90719809637125</v>
      </c>
      <c r="Z39" s="82"/>
      <c r="AA39" s="82"/>
      <c r="AC39" s="9">
        <f>$Y39*(Voorblad!$K$44*(1+Voorblad!$K$44)^Voorblad!$K$37)/((1+Voorblad!$K$44)^Voorblad!$K$37-1)</f>
        <v>54.376567841589804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475.90719809637125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1</v>
      </c>
      <c r="C40" s="76" t="s">
        <v>22</v>
      </c>
      <c r="D40" s="78">
        <v>3</v>
      </c>
      <c r="E40" s="76" t="s">
        <v>22</v>
      </c>
      <c r="F40" s="76" t="s">
        <v>21</v>
      </c>
      <c r="G40" s="76"/>
      <c r="H40" s="76"/>
      <c r="I40" s="76" t="s">
        <v>48</v>
      </c>
      <c r="J40" s="76"/>
      <c r="K40" s="79" t="s">
        <v>313</v>
      </c>
      <c r="L40" s="76"/>
      <c r="M40" s="76"/>
      <c r="N40" s="76"/>
      <c r="O40" s="77" t="s">
        <v>314</v>
      </c>
      <c r="P40" s="77"/>
      <c r="Q40" s="81">
        <f>(2*(11.55*1.1))+(4*((2*2)/2))</f>
        <v>33.410000000000004</v>
      </c>
      <c r="R40" s="81" t="s">
        <v>35</v>
      </c>
      <c r="S40" s="81">
        <f>H10*500</f>
        <v>1190</v>
      </c>
      <c r="T40" s="9">
        <f t="shared" si="4"/>
        <v>39757.9</v>
      </c>
      <c r="U40" s="11">
        <v>1</v>
      </c>
      <c r="V40" s="14"/>
      <c r="W40" s="9">
        <f>Voorblad!K53</f>
        <v>2020</v>
      </c>
      <c r="Y40" s="9">
        <f t="shared" si="5"/>
        <v>37842.141582391436</v>
      </c>
      <c r="Z40" s="82"/>
      <c r="AA40" s="82"/>
      <c r="AC40" s="9">
        <f>$Y40*(Voorblad!$K$44*(1+Voorblad!$K$44)^Voorblad!$K$37)/((1+Voorblad!$K$44)^Voorblad!$K$37-1)</f>
        <v>4323.7962931782868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37842.141582391436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228</v>
      </c>
      <c r="P46" s="14" t="s">
        <v>305</v>
      </c>
      <c r="Q46" s="268">
        <f>11.55*10</f>
        <v>115.5</v>
      </c>
      <c r="R46" s="81" t="s">
        <v>35</v>
      </c>
      <c r="S46" s="81">
        <v>8500</v>
      </c>
      <c r="T46" s="9">
        <f t="shared" si="4"/>
        <v>981750</v>
      </c>
      <c r="U46" s="11">
        <v>1</v>
      </c>
      <c r="V46" s="1">
        <f>Voorblad!F24+100</f>
        <v>2060</v>
      </c>
      <c r="W46" s="9">
        <f>Voorblad!K59</f>
        <v>2060</v>
      </c>
      <c r="X46" s="6"/>
      <c r="Y46" s="9">
        <f>SUM(AE46:EB46)</f>
        <v>0</v>
      </c>
      <c r="Z46" s="82" t="s">
        <v>278</v>
      </c>
      <c r="AA46" s="82">
        <f>2*52</f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267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248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235</v>
      </c>
      <c r="C54" s="3"/>
      <c r="D54" s="3"/>
      <c r="E54" s="3"/>
      <c r="F54" s="3" t="s">
        <v>0</v>
      </c>
      <c r="G54" s="3"/>
      <c r="H54" s="3"/>
      <c r="I54" s="3" t="s">
        <v>230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279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234</v>
      </c>
      <c r="I55" s="3" t="s">
        <v>231</v>
      </c>
      <c r="O55" s="14"/>
      <c r="P55" s="14"/>
      <c r="V55" s="3" t="s">
        <v>70</v>
      </c>
      <c r="AC55" s="20" t="s">
        <v>280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275</v>
      </c>
      <c r="K58" s="1" t="s">
        <v>283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0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0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276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0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276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0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276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0</v>
      </c>
      <c r="FN61" s="8">
        <f>IF(FN$56-Voorblad!$F$41&gt;Voorblad!$K$41,0,IF($U61=0,0,IF($U61&lt;1,1/$U61,IF((FN$56-Voorblad!$F$41)/$U61-SUM($EE61:FM61)=1,1,0))))</f>
        <v>0</v>
      </c>
      <c r="FO61" s="8">
        <f>IF(FO$56-Voorblad!$F$41&gt;Voorblad!$K$41,0,IF($U61=0,0,IF($U61&lt;1,1/$U61,IF((FO$56-Voorblad!$F$41)/$U61-SUM($EE61:FN61)=1,1,0))))</f>
        <v>0</v>
      </c>
      <c r="FP61" s="8">
        <f>IF(FP$56-Voorblad!$F$41&gt;Voorblad!$K$41,0,IF($U61=0,0,IF($U61&lt;1,1/$U61,IF((FP$56-Voorblad!$F$41)/$U61-SUM($EE61:FO61)=1,1,0))))</f>
        <v>0</v>
      </c>
      <c r="FQ61" s="8">
        <f>IF(FQ$56-Voorblad!$F$41&gt;Voorblad!$K$41,0,IF($U61=0,0,IF($U61&lt;1,1/$U61,IF((FQ$56-Voorblad!$F$41)/$U61-SUM($EE61:FP61)=1,1,0))))</f>
        <v>0</v>
      </c>
      <c r="FR61" s="8">
        <f>IF(FR$56-Voorblad!$F$41&gt;Voorblad!$K$41,0,IF($U61=0,0,IF($U61&lt;1,1/$U61,IF((FR$56-Voorblad!$F$41)/$U61-SUM($EE61:FQ61)=1,1,0))))</f>
        <v>0</v>
      </c>
      <c r="FS61" s="8">
        <f>IF(FS$56-Voorblad!$F$41&gt;Voorblad!$K$41,0,IF($U61=0,0,IF($U61&lt;1,1/$U61,IF((FS$56-Voorblad!$F$41)/$U61-SUM($EE61:FR61)=1,1,0))))</f>
        <v>0</v>
      </c>
      <c r="FT61" s="8">
        <f>IF(FT$56-Voorblad!$F$41&gt;Voorblad!$K$41,0,IF($U61=0,0,IF($U61&lt;1,1/$U61,IF((FT$56-Voorblad!$F$41)/$U61-SUM($EE61:FS61)=1,1,0))))</f>
        <v>0</v>
      </c>
      <c r="FU61" s="8">
        <f>IF(FU$56-Voorblad!$F$41&gt;Voorblad!$K$41,0,IF($U61=0,0,IF($U61&lt;1,1/$U61,IF((FU$56-Voorblad!$F$41)/$U61-SUM($EE61:FT61)=1,1,0))))</f>
        <v>0</v>
      </c>
      <c r="FV61" s="8">
        <f>IF(FV$56-Voorblad!$F$41&gt;Voorblad!$K$41,0,IF($U61=0,0,IF($U61&lt;1,1/$U61,IF((FV$56-Voorblad!$F$41)/$U61-SUM($EE61:FU61)=1,1,0))))</f>
        <v>0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276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0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276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276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276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276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276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276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276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276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276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276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276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268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0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0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269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2060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0</v>
      </c>
      <c r="FN97" s="8">
        <f>IF(FN$56-Voorblad!$F$41&gt;Voorblad!$K$41,0,IF($U97=0,0,IF($U97&lt;1,1/$U97,IF((FN$56-Voorblad!$F$41)/$U97-SUM($EE97:FM97)=1,1,0))))</f>
        <v>0</v>
      </c>
      <c r="FO97" s="8">
        <f>IF(FO$56-Voorblad!$F$41&gt;Voorblad!$K$41,0,IF($U97=0,0,IF($U97&lt;1,1/$U97,IF((FO$56-Voorblad!$F$41)/$U97-SUM($EE97:FN97)=1,1,0))))</f>
        <v>0</v>
      </c>
      <c r="FP97" s="8">
        <f>IF(FP$56-Voorblad!$F$41&gt;Voorblad!$K$41,0,IF($U97=0,0,IF($U97&lt;1,1/$U97,IF((FP$56-Voorblad!$F$41)/$U97-SUM($EE97:FO97)=1,1,0))))</f>
        <v>0</v>
      </c>
      <c r="FQ97" s="8">
        <f>IF(FQ$56-Voorblad!$F$41&gt;Voorblad!$K$41,0,IF($U97=0,0,IF($U97&lt;1,1/$U97,IF((FQ$56-Voorblad!$F$41)/$U97-SUM($EE97:FP97)=1,1,0))))</f>
        <v>0</v>
      </c>
      <c r="FR97" s="8">
        <f>IF(FR$56-Voorblad!$F$41&gt;Voorblad!$K$41,0,IF($U97=0,0,IF($U97&lt;1,1/$U97,IF((FR$56-Voorblad!$F$41)/$U97-SUM($EE97:FQ97)=1,1,0))))</f>
        <v>0</v>
      </c>
      <c r="FS97" s="8">
        <f>IF(FS$56-Voorblad!$F$41&gt;Voorblad!$K$41,0,IF($U97=0,0,IF($U97&lt;1,1/$U97,IF((FS$56-Voorblad!$F$41)/$U97-SUM($EE97:FR97)=1,1,0))))</f>
        <v>0</v>
      </c>
      <c r="FT97" s="8">
        <f>IF(FT$56-Voorblad!$F$41&gt;Voorblad!$K$41,0,IF($U97=0,0,IF($U97&lt;1,1/$U97,IF((FT$56-Voorblad!$F$41)/$U97-SUM($EE97:FS97)=1,1,0))))</f>
        <v>0</v>
      </c>
      <c r="FU97" s="8">
        <f>IF(FU$56-Voorblad!$F$41&gt;Voorblad!$K$41,0,IF($U97=0,0,IF($U97&lt;1,1/$U97,IF((FU$56-Voorblad!$F$41)/$U97-SUM($EE97:FT97)=1,1,0))))</f>
        <v>0</v>
      </c>
      <c r="FV97" s="8">
        <f>IF(FV$56-Voorblad!$F$41&gt;Voorblad!$K$41,0,IF($U97=0,0,IF($U97&lt;1,1/$U97,IF((FV$56-Voorblad!$F$41)/$U97-SUM($EE97:FU97)=1,1,0))))</f>
        <v>0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0</v>
      </c>
      <c r="FN98" s="8">
        <f>IF(FN$56-Voorblad!$F$41&gt;Voorblad!$K$41,0,IF($U98=0,0,IF($U98&lt;1,1/$U98,IF((FN$56-Voorblad!$F$41)/$U98-SUM($EE98:FM98)=1,1,0))))</f>
        <v>0</v>
      </c>
      <c r="FO98" s="8">
        <f>IF(FO$56-Voorblad!$F$41&gt;Voorblad!$K$41,0,IF($U98=0,0,IF($U98&lt;1,1/$U98,IF((FO$56-Voorblad!$F$41)/$U98-SUM($EE98:FN98)=1,1,0))))</f>
        <v>0</v>
      </c>
      <c r="FP98" s="8">
        <f>IF(FP$56-Voorblad!$F$41&gt;Voorblad!$K$41,0,IF($U98=0,0,IF($U98&lt;1,1/$U98,IF((FP$56-Voorblad!$F$41)/$U98-SUM($EE98:FO98)=1,1,0))))</f>
        <v>0</v>
      </c>
      <c r="FQ98" s="8">
        <f>IF(FQ$56-Voorblad!$F$41&gt;Voorblad!$K$41,0,IF($U98=0,0,IF($U98&lt;1,1/$U98,IF((FQ$56-Voorblad!$F$41)/$U98-SUM($EE98:FP98)=1,1,0))))</f>
        <v>0</v>
      </c>
      <c r="FR98" s="8">
        <f>IF(FR$56-Voorblad!$F$41&gt;Voorblad!$K$41,0,IF($U98=0,0,IF($U98&lt;1,1/$U98,IF((FR$56-Voorblad!$F$41)/$U98-SUM($EE98:FQ98)=1,1,0))))</f>
        <v>0</v>
      </c>
      <c r="FS98" s="8">
        <f>IF(FS$56-Voorblad!$F$41&gt;Voorblad!$K$41,0,IF($U98=0,0,IF($U98&lt;1,1/$U98,IF((FS$56-Voorblad!$F$41)/$U98-SUM($EE98:FR98)=1,1,0))))</f>
        <v>0</v>
      </c>
      <c r="FT98" s="8">
        <f>IF(FT$56-Voorblad!$F$41&gt;Voorblad!$K$41,0,IF($U98=0,0,IF($U98&lt;1,1/$U98,IF((FT$56-Voorblad!$F$41)/$U98-SUM($EE98:FS98)=1,1,0))))</f>
        <v>0</v>
      </c>
      <c r="FU98" s="8">
        <f>IF(FU$56-Voorblad!$F$41&gt;Voorblad!$K$41,0,IF($U98=0,0,IF($U98&lt;1,1/$U98,IF((FU$56-Voorblad!$F$41)/$U98-SUM($EE98:FT98)=1,1,0))))</f>
        <v>0</v>
      </c>
      <c r="FV98" s="8">
        <f>IF(FV$56-Voorblad!$F$41&gt;Voorblad!$K$41,0,IF($U98=0,0,IF($U98&lt;1,1/$U98,IF((FV$56-Voorblad!$F$41)/$U98-SUM($EE98:FU98)=1,1,0))))</f>
        <v>0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0</v>
      </c>
      <c r="FN99" s="8">
        <f>IF(FN$56-Voorblad!$F$41&gt;Voorblad!$K$41,0,IF($U99=0,0,IF($U99&lt;1,1/$U99,IF((FN$56-Voorblad!$F$41)/$U99-SUM($EE99:FM99)=1,1,0))))</f>
        <v>0</v>
      </c>
      <c r="FO99" s="8">
        <f>IF(FO$56-Voorblad!$F$41&gt;Voorblad!$K$41,0,IF($U99=0,0,IF($U99&lt;1,1/$U99,IF((FO$56-Voorblad!$F$41)/$U99-SUM($EE99:FN99)=1,1,0))))</f>
        <v>0</v>
      </c>
      <c r="FP99" s="8">
        <f>IF(FP$56-Voorblad!$F$41&gt;Voorblad!$K$41,0,IF($U99=0,0,IF($U99&lt;1,1/$U99,IF((FP$56-Voorblad!$F$41)/$U99-SUM($EE99:FO99)=1,1,0))))</f>
        <v>0</v>
      </c>
      <c r="FQ99" s="8">
        <f>IF(FQ$56-Voorblad!$F$41&gt;Voorblad!$K$41,0,IF($U99=0,0,IF($U99&lt;1,1/$U99,IF((FQ$56-Voorblad!$F$41)/$U99-SUM($EE99:FP99)=1,1,0))))</f>
        <v>0</v>
      </c>
      <c r="FR99" s="8">
        <f>IF(FR$56-Voorblad!$F$41&gt;Voorblad!$K$41,0,IF($U99=0,0,IF($U99&lt;1,1/$U99,IF((FR$56-Voorblad!$F$41)/$U99-SUM($EE99:FQ99)=1,1,0))))</f>
        <v>0</v>
      </c>
      <c r="FS99" s="8">
        <f>IF(FS$56-Voorblad!$F$41&gt;Voorblad!$K$41,0,IF($U99=0,0,IF($U99&lt;1,1/$U99,IF((FS$56-Voorblad!$F$41)/$U99-SUM($EE99:FR99)=1,1,0))))</f>
        <v>0</v>
      </c>
      <c r="FT99" s="8">
        <f>IF(FT$56-Voorblad!$F$41&gt;Voorblad!$K$41,0,IF($U99=0,0,IF($U99&lt;1,1/$U99,IF((FT$56-Voorblad!$F$41)/$U99-SUM($EE99:FS99)=1,1,0))))</f>
        <v>0</v>
      </c>
      <c r="FU99" s="8">
        <f>IF(FU$56-Voorblad!$F$41&gt;Voorblad!$K$41,0,IF($U99=0,0,IF($U99&lt;1,1/$U99,IF((FU$56-Voorblad!$F$41)/$U99-SUM($EE99:FT99)=1,1,0))))</f>
        <v>0</v>
      </c>
      <c r="FV99" s="8">
        <f>IF(FV$56-Voorblad!$F$41&gt;Voorblad!$K$41,0,IF($U99=0,0,IF($U99&lt;1,1/$U99,IF((FV$56-Voorblad!$F$41)/$U99-SUM($EE99:FU99)=1,1,0))))</f>
        <v>0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0</v>
      </c>
      <c r="FN100" s="8">
        <f>IF(FN$56-Voorblad!$F$41&gt;Voorblad!$K$41,0,IF($U100=0,0,IF($U100&lt;1,1/$U100,IF((FN$56-Voorblad!$F$41)/$U100-SUM($EE100:FM100)=1,1,0))))</f>
        <v>0</v>
      </c>
      <c r="FO100" s="8">
        <f>IF(FO$56-Voorblad!$F$41&gt;Voorblad!$K$41,0,IF($U100=0,0,IF($U100&lt;1,1/$U100,IF((FO$56-Voorblad!$F$41)/$U100-SUM($EE100:FN100)=1,1,0))))</f>
        <v>0</v>
      </c>
      <c r="FP100" s="8">
        <f>IF(FP$56-Voorblad!$F$41&gt;Voorblad!$K$41,0,IF($U100=0,0,IF($U100&lt;1,1/$U100,IF((FP$56-Voorblad!$F$41)/$U100-SUM($EE100:FO100)=1,1,0))))</f>
        <v>0</v>
      </c>
      <c r="FQ100" s="8">
        <f>IF(FQ$56-Voorblad!$F$41&gt;Voorblad!$K$41,0,IF($U100=0,0,IF($U100&lt;1,1/$U100,IF((FQ$56-Voorblad!$F$41)/$U100-SUM($EE100:FP100)=1,1,0))))</f>
        <v>0</v>
      </c>
      <c r="FR100" s="8">
        <f>IF(FR$56-Voorblad!$F$41&gt;Voorblad!$K$41,0,IF($U100=0,0,IF($U100&lt;1,1/$U100,IF((FR$56-Voorblad!$F$41)/$U100-SUM($EE100:FQ100)=1,1,0))))</f>
        <v>0</v>
      </c>
      <c r="FS100" s="8">
        <f>IF(FS$56-Voorblad!$F$41&gt;Voorblad!$K$41,0,IF($U100=0,0,IF($U100&lt;1,1/$U100,IF((FS$56-Voorblad!$F$41)/$U100-SUM($EE100:FR100)=1,1,0))))</f>
        <v>0</v>
      </c>
      <c r="FT100" s="8">
        <f>IF(FT$56-Voorblad!$F$41&gt;Voorblad!$K$41,0,IF($U100=0,0,IF($U100&lt;1,1/$U100,IF((FT$56-Voorblad!$F$41)/$U100-SUM($EE100:FS100)=1,1,0))))</f>
        <v>0</v>
      </c>
      <c r="FU100" s="8">
        <f>IF(FU$56-Voorblad!$F$41&gt;Voorblad!$K$41,0,IF($U100=0,0,IF($U100&lt;1,1/$U100,IF((FU$56-Voorblad!$F$41)/$U100-SUM($EE100:FT100)=1,1,0))))</f>
        <v>0</v>
      </c>
      <c r="FV100" s="8">
        <f>IF(FV$56-Voorblad!$F$41&gt;Voorblad!$K$41,0,IF($U100=0,0,IF($U100&lt;1,1/$U100,IF((FV$56-Voorblad!$F$41)/$U100-SUM($EE100:FU100)=1,1,0))))</f>
        <v>0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0</v>
      </c>
      <c r="FN101" s="8">
        <f>IF(FN$56-Voorblad!$F$41&gt;Voorblad!$K$41,0,IF($U101=0,0,IF($U101&lt;1,1/$U101,IF((FN$56-Voorblad!$F$41)/$U101-SUM($EE101:FM101)=1,1,0))))</f>
        <v>0</v>
      </c>
      <c r="FO101" s="8">
        <f>IF(FO$56-Voorblad!$F$41&gt;Voorblad!$K$41,0,IF($U101=0,0,IF($U101&lt;1,1/$U101,IF((FO$56-Voorblad!$F$41)/$U101-SUM($EE101:FN101)=1,1,0))))</f>
        <v>0</v>
      </c>
      <c r="FP101" s="8">
        <f>IF(FP$56-Voorblad!$F$41&gt;Voorblad!$K$41,0,IF($U101=0,0,IF($U101&lt;1,1/$U101,IF((FP$56-Voorblad!$F$41)/$U101-SUM($EE101:FO101)=1,1,0))))</f>
        <v>0</v>
      </c>
      <c r="FQ101" s="8">
        <f>IF(FQ$56-Voorblad!$F$41&gt;Voorblad!$K$41,0,IF($U101=0,0,IF($U101&lt;1,1/$U101,IF((FQ$56-Voorblad!$F$41)/$U101-SUM($EE101:FP101)=1,1,0))))</f>
        <v>0</v>
      </c>
      <c r="FR101" s="8">
        <f>IF(FR$56-Voorblad!$F$41&gt;Voorblad!$K$41,0,IF($U101=0,0,IF($U101&lt;1,1/$U101,IF((FR$56-Voorblad!$F$41)/$U101-SUM($EE101:FQ101)=1,1,0))))</f>
        <v>0</v>
      </c>
      <c r="FS101" s="8">
        <f>IF(FS$56-Voorblad!$F$41&gt;Voorblad!$K$41,0,IF($U101=0,0,IF($U101&lt;1,1/$U101,IF((FS$56-Voorblad!$F$41)/$U101-SUM($EE101:FR101)=1,1,0))))</f>
        <v>0</v>
      </c>
      <c r="FT101" s="8">
        <f>IF(FT$56-Voorblad!$F$41&gt;Voorblad!$K$41,0,IF($U101=0,0,IF($U101&lt;1,1/$U101,IF((FT$56-Voorblad!$F$41)/$U101-SUM($EE101:FS101)=1,1,0))))</f>
        <v>0</v>
      </c>
      <c r="FU101" s="8">
        <f>IF(FU$56-Voorblad!$F$41&gt;Voorblad!$K$41,0,IF($U101=0,0,IF($U101&lt;1,1/$U101,IF((FU$56-Voorblad!$F$41)/$U101-SUM($EE101:FT101)=1,1,0))))</f>
        <v>0</v>
      </c>
      <c r="FV101" s="8">
        <f>IF(FV$56-Voorblad!$F$41&gt;Voorblad!$K$41,0,IF($U101=0,0,IF($U101&lt;1,1/$U101,IF((FV$56-Voorblad!$F$41)/$U101-SUM($EE101:FU101)=1,1,0))))</f>
        <v>0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0</v>
      </c>
      <c r="FN102" s="8">
        <f>IF(FN$56-Voorblad!$F$41&gt;Voorblad!$K$41,0,IF($U102=0,0,IF($U102&lt;1,1/$U102,IF((FN$56-Voorblad!$F$41)/$U102-SUM($EE102:FM102)=1,1,0))))</f>
        <v>0</v>
      </c>
      <c r="FO102" s="8">
        <f>IF(FO$56-Voorblad!$F$41&gt;Voorblad!$K$41,0,IF($U102=0,0,IF($U102&lt;1,1/$U102,IF((FO$56-Voorblad!$F$41)/$U102-SUM($EE102:FN102)=1,1,0))))</f>
        <v>0</v>
      </c>
      <c r="FP102" s="8">
        <f>IF(FP$56-Voorblad!$F$41&gt;Voorblad!$K$41,0,IF($U102=0,0,IF($U102&lt;1,1/$U102,IF((FP$56-Voorblad!$F$41)/$U102-SUM($EE102:FO102)=1,1,0))))</f>
        <v>0</v>
      </c>
      <c r="FQ102" s="8">
        <f>IF(FQ$56-Voorblad!$F$41&gt;Voorblad!$K$41,0,IF($U102=0,0,IF($U102&lt;1,1/$U102,IF((FQ$56-Voorblad!$F$41)/$U102-SUM($EE102:FP102)=1,1,0))))</f>
        <v>0</v>
      </c>
      <c r="FR102" s="8">
        <f>IF(FR$56-Voorblad!$F$41&gt;Voorblad!$K$41,0,IF($U102=0,0,IF($U102&lt;1,1/$U102,IF((FR$56-Voorblad!$F$41)/$U102-SUM($EE102:FQ102)=1,1,0))))</f>
        <v>0</v>
      </c>
      <c r="FS102" s="8">
        <f>IF(FS$56-Voorblad!$F$41&gt;Voorblad!$K$41,0,IF($U102=0,0,IF($U102&lt;1,1/$U102,IF((FS$56-Voorblad!$F$41)/$U102-SUM($EE102:FR102)=1,1,0))))</f>
        <v>0</v>
      </c>
      <c r="FT102" s="8">
        <f>IF(FT$56-Voorblad!$F$41&gt;Voorblad!$K$41,0,IF($U102=0,0,IF($U102&lt;1,1/$U102,IF((FT$56-Voorblad!$F$41)/$U102-SUM($EE102:FS102)=1,1,0))))</f>
        <v>0</v>
      </c>
      <c r="FU102" s="8">
        <f>IF(FU$56-Voorblad!$F$41&gt;Voorblad!$K$41,0,IF($U102=0,0,IF($U102&lt;1,1/$U102,IF((FU$56-Voorblad!$F$41)/$U102-SUM($EE102:FT102)=1,1,0))))</f>
        <v>0</v>
      </c>
      <c r="FV102" s="8">
        <f>IF(FV$56-Voorblad!$F$41&gt;Voorblad!$K$41,0,IF($U102=0,0,IF($U102&lt;1,1/$U102,IF((FV$56-Voorblad!$F$41)/$U102-SUM($EE102:FU102)=1,1,0))))</f>
        <v>0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0</v>
      </c>
      <c r="FN103" s="8">
        <f>IF(FN$56-Voorblad!$F$41&gt;Voorblad!$K$41,0,IF($U103=0,0,IF($U103&lt;1,1/$U103,IF((FN$56-Voorblad!$F$41)/$U103-SUM($EE103:FM103)=1,1,0))))</f>
        <v>0</v>
      </c>
      <c r="FO103" s="8">
        <f>IF(FO$56-Voorblad!$F$41&gt;Voorblad!$K$41,0,IF($U103=0,0,IF($U103&lt;1,1/$U103,IF((FO$56-Voorblad!$F$41)/$U103-SUM($EE103:FN103)=1,1,0))))</f>
        <v>0</v>
      </c>
      <c r="FP103" s="8">
        <f>IF(FP$56-Voorblad!$F$41&gt;Voorblad!$K$41,0,IF($U103=0,0,IF($U103&lt;1,1/$U103,IF((FP$56-Voorblad!$F$41)/$U103-SUM($EE103:FO103)=1,1,0))))</f>
        <v>0</v>
      </c>
      <c r="FQ103" s="8">
        <f>IF(FQ$56-Voorblad!$F$41&gt;Voorblad!$K$41,0,IF($U103=0,0,IF($U103&lt;1,1/$U103,IF((FQ$56-Voorblad!$F$41)/$U103-SUM($EE103:FP103)=1,1,0))))</f>
        <v>0</v>
      </c>
      <c r="FR103" s="8">
        <f>IF(FR$56-Voorblad!$F$41&gt;Voorblad!$K$41,0,IF($U103=0,0,IF($U103&lt;1,1/$U103,IF((FR$56-Voorblad!$F$41)/$U103-SUM($EE103:FQ103)=1,1,0))))</f>
        <v>0</v>
      </c>
      <c r="FS103" s="8">
        <f>IF(FS$56-Voorblad!$F$41&gt;Voorblad!$K$41,0,IF($U103=0,0,IF($U103&lt;1,1/$U103,IF((FS$56-Voorblad!$F$41)/$U103-SUM($EE103:FR103)=1,1,0))))</f>
        <v>0</v>
      </c>
      <c r="FT103" s="8">
        <f>IF(FT$56-Voorblad!$F$41&gt;Voorblad!$K$41,0,IF($U103=0,0,IF($U103&lt;1,1/$U103,IF((FT$56-Voorblad!$F$41)/$U103-SUM($EE103:FS103)=1,1,0))))</f>
        <v>0</v>
      </c>
      <c r="FU103" s="8">
        <f>IF(FU$56-Voorblad!$F$41&gt;Voorblad!$K$41,0,IF($U103=0,0,IF($U103&lt;1,1/$U103,IF((FU$56-Voorblad!$F$41)/$U103-SUM($EE103:FT103)=1,1,0))))</f>
        <v>0</v>
      </c>
      <c r="FV103" s="8">
        <f>IF(FV$56-Voorblad!$F$41&gt;Voorblad!$K$41,0,IF($U103=0,0,IF($U103&lt;1,1/$U103,IF((FV$56-Voorblad!$F$41)/$U103-SUM($EE103:FU103)=1,1,0))))</f>
        <v>0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0</v>
      </c>
      <c r="FN104" s="8">
        <f>IF(FN$56-Voorblad!$F$41&gt;Voorblad!$K$41,0,IF($U104=0,0,IF($U104&lt;1,1/$U104,IF((FN$56-Voorblad!$F$41)/$U104-SUM($EE104:FM104)=1,1,0))))</f>
        <v>0</v>
      </c>
      <c r="FO104" s="8">
        <f>IF(FO$56-Voorblad!$F$41&gt;Voorblad!$K$41,0,IF($U104=0,0,IF($U104&lt;1,1/$U104,IF((FO$56-Voorblad!$F$41)/$U104-SUM($EE104:FN104)=1,1,0))))</f>
        <v>0</v>
      </c>
      <c r="FP104" s="8">
        <f>IF(FP$56-Voorblad!$F$41&gt;Voorblad!$K$41,0,IF($U104=0,0,IF($U104&lt;1,1/$U104,IF((FP$56-Voorblad!$F$41)/$U104-SUM($EE104:FO104)=1,1,0))))</f>
        <v>0</v>
      </c>
      <c r="FQ104" s="8">
        <f>IF(FQ$56-Voorblad!$F$41&gt;Voorblad!$K$41,0,IF($U104=0,0,IF($U104&lt;1,1/$U104,IF((FQ$56-Voorblad!$F$41)/$U104-SUM($EE104:FP104)=1,1,0))))</f>
        <v>0</v>
      </c>
      <c r="FR104" s="8">
        <f>IF(FR$56-Voorblad!$F$41&gt;Voorblad!$K$41,0,IF($U104=0,0,IF($U104&lt;1,1/$U104,IF((FR$56-Voorblad!$F$41)/$U104-SUM($EE104:FQ104)=1,1,0))))</f>
        <v>0</v>
      </c>
      <c r="FS104" s="8">
        <f>IF(FS$56-Voorblad!$F$41&gt;Voorblad!$K$41,0,IF($U104=0,0,IF($U104&lt;1,1/$U104,IF((FS$56-Voorblad!$F$41)/$U104-SUM($EE104:FR104)=1,1,0))))</f>
        <v>0</v>
      </c>
      <c r="FT104" s="8">
        <f>IF(FT$56-Voorblad!$F$41&gt;Voorblad!$K$41,0,IF($U104=0,0,IF($U104&lt;1,1/$U104,IF((FT$56-Voorblad!$F$41)/$U104-SUM($EE104:FS104)=1,1,0))))</f>
        <v>0</v>
      </c>
      <c r="FU104" s="8">
        <f>IF(FU$56-Voorblad!$F$41&gt;Voorblad!$K$41,0,IF($U104=0,0,IF($U104&lt;1,1/$U104,IF((FU$56-Voorblad!$F$41)/$U104-SUM($EE104:FT104)=1,1,0))))</f>
        <v>0</v>
      </c>
      <c r="FV104" s="8">
        <f>IF(FV$56-Voorblad!$F$41&gt;Voorblad!$K$41,0,IF($U104=0,0,IF($U104&lt;1,1/$U104,IF((FV$56-Voorblad!$F$41)/$U104-SUM($EE104:FU104)=1,1,0))))</f>
        <v>0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270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275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3524.0013803420302</v>
      </c>
      <c r="Z109" s="82"/>
      <c r="AA109" s="82"/>
      <c r="AC109" s="9">
        <f>$Y109*(Voorblad!$K$44*(1+Voorblad!$K$44)^Voorblad!$K$41)/((1+Voorblad!$K$44)^Voorblad!$K$41-1)</f>
        <v>161.28759567148273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0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0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0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0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276</v>
      </c>
      <c r="K110" s="1" t="s">
        <v>112</v>
      </c>
      <c r="O110" s="1" t="s">
        <v>225</v>
      </c>
      <c r="P110" s="14" t="s">
        <v>226</v>
      </c>
      <c r="Q110" s="83">
        <f>50%*(((2*11.55*3.65)+(2*(11.55+3.65)*1.2)))</f>
        <v>60.397500000000001</v>
      </c>
      <c r="R110" s="1" t="s">
        <v>35</v>
      </c>
      <c r="S110" s="21">
        <f>$H$20*15</f>
        <v>26.55</v>
      </c>
      <c r="T110" s="9">
        <f t="shared" si="20"/>
        <v>1603.553625</v>
      </c>
      <c r="U110" s="14">
        <v>10</v>
      </c>
      <c r="V110" s="14"/>
      <c r="Y110" s="9">
        <f t="shared" si="21"/>
        <v>2995.7781725991208</v>
      </c>
      <c r="Z110" s="82"/>
      <c r="AA110" s="82"/>
      <c r="AC110" s="9">
        <f>$Y110*(Voorblad!$K$44*(1+Voorblad!$K$44)^Voorblad!$K$41)/((1+Voorblad!$K$44)^Voorblad!$K$41-1)</f>
        <v>137.11171094283853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1252.6935289314958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978.60218265344531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764.48246101417953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0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0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276</v>
      </c>
      <c r="K111" s="1" t="s">
        <v>84</v>
      </c>
      <c r="P111" s="8"/>
      <c r="Q111" s="84">
        <f>(2*3.65*1.2)</f>
        <v>8.76</v>
      </c>
      <c r="R111" s="1" t="s">
        <v>35</v>
      </c>
      <c r="S111" s="21">
        <f>$H$20*20</f>
        <v>35.4</v>
      </c>
      <c r="T111" s="9">
        <f t="shared" si="20"/>
        <v>310.10399999999998</v>
      </c>
      <c r="U111" s="14">
        <v>10</v>
      </c>
      <c r="V111" s="14"/>
      <c r="Y111" s="9">
        <f t="shared" si="21"/>
        <v>579.34002327840938</v>
      </c>
      <c r="Z111" s="82"/>
      <c r="AA111" s="82"/>
      <c r="AC111" s="9">
        <f>$Y111*(Voorblad!$K$44*(1+Voorblad!$K$44)^Voorblad!$K$41)/((1+Voorblad!$K$44)^Voorblad!$K$41-1)</f>
        <v>26.515415105134384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242.25274916875486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189.24746046429473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147.83981364535978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0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276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0</v>
      </c>
      <c r="FN112" s="8">
        <f>IF(FN$56-Voorblad!$F$41&gt;Voorblad!$K$41,0,IF($U112=0,0,IF($U112&lt;1,1/$U112,IF((FN$56-Voorblad!$F$41)/$U112-SUM($EE112:FM112)=1,1,0))))</f>
        <v>0</v>
      </c>
      <c r="FO112" s="8">
        <f>IF(FO$56-Voorblad!$F$41&gt;Voorblad!$K$41,0,IF($U112=0,0,IF($U112&lt;1,1/$U112,IF((FO$56-Voorblad!$F$41)/$U112-SUM($EE112:FN112)=1,1,0))))</f>
        <v>0</v>
      </c>
      <c r="FP112" s="8">
        <f>IF(FP$56-Voorblad!$F$41&gt;Voorblad!$K$41,0,IF($U112=0,0,IF($U112&lt;1,1/$U112,IF((FP$56-Voorblad!$F$41)/$U112-SUM($EE112:FO112)=1,1,0))))</f>
        <v>0</v>
      </c>
      <c r="FQ112" s="8">
        <f>IF(FQ$56-Voorblad!$F$41&gt;Voorblad!$K$41,0,IF($U112=0,0,IF($U112&lt;1,1/$U112,IF((FQ$56-Voorblad!$F$41)/$U112-SUM($EE112:FP112)=1,1,0))))</f>
        <v>0</v>
      </c>
      <c r="FR112" s="8">
        <f>IF(FR$56-Voorblad!$F$41&gt;Voorblad!$K$41,0,IF($U112=0,0,IF($U112&lt;1,1/$U112,IF((FR$56-Voorblad!$F$41)/$U112-SUM($EE112:FQ112)=1,1,0))))</f>
        <v>0</v>
      </c>
      <c r="FS112" s="8">
        <f>IF(FS$56-Voorblad!$F$41&gt;Voorblad!$K$41,0,IF($U112=0,0,IF($U112&lt;1,1/$U112,IF((FS$56-Voorblad!$F$41)/$U112-SUM($EE112:FR112)=1,1,0))))</f>
        <v>0</v>
      </c>
      <c r="FT112" s="8">
        <f>IF(FT$56-Voorblad!$F$41&gt;Voorblad!$K$41,0,IF($U112=0,0,IF($U112&lt;1,1/$U112,IF((FT$56-Voorblad!$F$41)/$U112-SUM($EE112:FS112)=1,1,0))))</f>
        <v>0</v>
      </c>
      <c r="FU112" s="8">
        <f>IF(FU$56-Voorblad!$F$41&gt;Voorblad!$K$41,0,IF($U112=0,0,IF($U112&lt;1,1/$U112,IF((FU$56-Voorblad!$F$41)/$U112-SUM($EE112:FT112)=1,1,0))))</f>
        <v>0</v>
      </c>
      <c r="FV112" s="8">
        <f>IF(FV$56-Voorblad!$F$41&gt;Voorblad!$K$41,0,IF($U112=0,0,IF($U112&lt;1,1/$U112,IF((FV$56-Voorblad!$F$41)/$U112-SUM($EE112:FU112)=1,1,0))))</f>
        <v>0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276</v>
      </c>
      <c r="K113" s="1" t="s">
        <v>158</v>
      </c>
      <c r="P113" s="1" t="s">
        <v>183</v>
      </c>
      <c r="Q113" s="268">
        <f>2*3.65</f>
        <v>7.3</v>
      </c>
      <c r="R113" s="147" t="s">
        <v>195</v>
      </c>
      <c r="S113" s="21">
        <f>$H$20*350</f>
        <v>619.5</v>
      </c>
      <c r="T113" s="9">
        <f t="shared" si="20"/>
        <v>4522.3499999999995</v>
      </c>
      <c r="U113" s="14">
        <v>15</v>
      </c>
      <c r="V113" s="14"/>
      <c r="Y113" s="9">
        <f>SUM(AE113:EB113)</f>
        <v>5278.5241932989502</v>
      </c>
      <c r="Z113" s="82"/>
      <c r="AA113" s="82"/>
      <c r="AC113" s="9">
        <f>$Y113*(Voorblad!$K$44*(1+Voorblad!$K$44)^Voorblad!$K$41)/((1+Voorblad!$K$44)^Voorblad!$K$41-1)</f>
        <v>241.58914368765366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3122.526910970787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2155.9972823281632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276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276</v>
      </c>
      <c r="K115" s="14" t="s">
        <v>161</v>
      </c>
      <c r="O115" s="14" t="s">
        <v>157</v>
      </c>
      <c r="P115" s="14" t="s">
        <v>198</v>
      </c>
      <c r="Q115" s="268">
        <f>2.5%*2*3.65</f>
        <v>0.1825</v>
      </c>
      <c r="R115" s="14" t="s">
        <v>34</v>
      </c>
      <c r="S115" s="21">
        <f>$H$20*1000</f>
        <v>1770</v>
      </c>
      <c r="T115" s="21">
        <f t="shared" si="20"/>
        <v>323.02499999999998</v>
      </c>
      <c r="U115" s="14">
        <v>15</v>
      </c>
      <c r="Y115" s="21">
        <f t="shared" si="22"/>
        <v>377.03744237849645</v>
      </c>
      <c r="Z115" s="149"/>
      <c r="AA115" s="149"/>
      <c r="AC115" s="9">
        <f>$Y115*(Voorblad!$K$44*(1+Voorblad!$K$44)^Voorblad!$K$41)/((1+Voorblad!$K$44)^Voorblad!$K$41-1)</f>
        <v>17.256367406260978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223.03763649791335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153.9998058805831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276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276</v>
      </c>
      <c r="K117" s="14" t="s">
        <v>197</v>
      </c>
      <c r="L117" s="14"/>
      <c r="M117" s="14"/>
      <c r="O117" s="1" t="s">
        <v>171</v>
      </c>
      <c r="P117" s="1" t="s">
        <v>174</v>
      </c>
      <c r="Q117" s="268">
        <f>2.5%*2*3.65</f>
        <v>0.1825</v>
      </c>
      <c r="R117" s="1" t="s">
        <v>34</v>
      </c>
      <c r="S117" s="14">
        <f>$H$20*500</f>
        <v>885</v>
      </c>
      <c r="T117" s="9">
        <f t="shared" si="20"/>
        <v>161.51249999999999</v>
      </c>
      <c r="U117" s="14">
        <v>15</v>
      </c>
      <c r="V117" s="14"/>
      <c r="Y117" s="9">
        <f t="shared" si="22"/>
        <v>188.51872118924823</v>
      </c>
      <c r="Z117" s="82"/>
      <c r="AA117" s="82"/>
      <c r="AC117" s="9">
        <f>$Y117*(Voorblad!$K$44*(1+Voorblad!$K$44)^Voorblad!$K$41)/((1+Voorblad!$K$44)^Voorblad!$K$41-1)</f>
        <v>8.6281837031304889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111.51881824895668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76.999902940291548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276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276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276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276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276</v>
      </c>
      <c r="K122" s="14" t="s">
        <v>200</v>
      </c>
      <c r="L122" s="14"/>
      <c r="M122" s="14"/>
      <c r="O122" s="1" t="s">
        <v>177</v>
      </c>
      <c r="P122" s="1" t="s">
        <v>180</v>
      </c>
      <c r="Q122" s="268">
        <f>2*3.65</f>
        <v>7.3</v>
      </c>
      <c r="R122" s="1" t="s">
        <v>34</v>
      </c>
      <c r="S122" s="14">
        <f>$H$20*100</f>
        <v>177</v>
      </c>
      <c r="T122" s="9">
        <f t="shared" si="20"/>
        <v>1292.0999999999999</v>
      </c>
      <c r="U122" s="14">
        <v>15</v>
      </c>
      <c r="V122" s="14"/>
      <c r="Y122" s="9">
        <f t="shared" si="23"/>
        <v>1508.1497695139858</v>
      </c>
      <c r="Z122" s="82"/>
      <c r="AA122" s="82"/>
      <c r="AC122" s="9">
        <f>$Y122*(Voorblad!$K$44*(1+Voorblad!$K$44)^Voorblad!$K$41)/((1+Voorblad!$K$44)^Voorblad!$K$41-1)</f>
        <v>69.025469625043911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892.15054599165342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615.99922352233239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276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276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268</v>
      </c>
      <c r="C125" s="2"/>
      <c r="S125" s="14"/>
      <c r="U125" s="14"/>
      <c r="V125" s="14"/>
      <c r="Y125" s="23">
        <f>SUM(Y109:Y124)</f>
        <v>14451.349702600241</v>
      </c>
      <c r="Z125" s="24"/>
      <c r="AA125" s="23">
        <f>SUM(AA109:AA124)</f>
        <v>0</v>
      </c>
      <c r="AC125" s="9">
        <f>$Y125*(Voorblad!$K$44*(1+Voorblad!$K$44)^Voorblad!$K$41)/((1+Voorblad!$K$44)^Voorblad!$K$41-1)</f>
        <v>661.41388614154471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2186.3068636275189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4960.2959295118126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1707.9394275478051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4337.2357657160692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0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0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0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0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268">
        <f>2*3.65</f>
        <v>7.3</v>
      </c>
      <c r="R133" s="1" t="s">
        <v>34</v>
      </c>
      <c r="S133" s="21">
        <f>$H$10*125</f>
        <v>297.5</v>
      </c>
      <c r="T133" s="9">
        <f t="shared" si="104"/>
        <v>2171.75</v>
      </c>
      <c r="U133" s="14">
        <v>30</v>
      </c>
      <c r="V133" s="14"/>
      <c r="Y133" s="9">
        <f t="shared" si="21"/>
        <v>1035.3659265417734</v>
      </c>
      <c r="Z133" s="82"/>
      <c r="AA133" s="82"/>
      <c r="AC133" s="9">
        <f>$Y133*(Voorblad!$K$44*(1+Voorblad!$K$44)^Voorblad!$K$41)/((1+Voorblad!$K$44)^Voorblad!$K$41-1)</f>
        <v>47.386951056157613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1035.3659265417734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268">
        <f>2*3.65</f>
        <v>7.3</v>
      </c>
      <c r="R136" s="147" t="s">
        <v>195</v>
      </c>
      <c r="S136" s="14">
        <f>$H$10*500</f>
        <v>1190</v>
      </c>
      <c r="T136" s="9">
        <f t="shared" si="104"/>
        <v>8687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268">
        <f>7.5%*2*3.65</f>
        <v>0.54749999999999999</v>
      </c>
      <c r="R137" s="14" t="s">
        <v>34</v>
      </c>
      <c r="S137" s="21">
        <f>$H$10*1000</f>
        <v>2380</v>
      </c>
      <c r="T137" s="21">
        <f t="shared" si="104"/>
        <v>1303.05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268">
        <f>2*3.65</f>
        <v>7.3</v>
      </c>
      <c r="R139" s="1" t="s">
        <v>34</v>
      </c>
      <c r="S139" s="14">
        <f>$H$10*400</f>
        <v>952</v>
      </c>
      <c r="T139" s="9">
        <f t="shared" si="104"/>
        <v>6949.5999999999995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2*3.65</f>
        <v>7.3</v>
      </c>
      <c r="R146" s="147" t="s">
        <v>195</v>
      </c>
      <c r="S146" s="14">
        <f>$H$10*500</f>
        <v>1190</v>
      </c>
      <c r="T146" s="9">
        <f t="shared" si="104"/>
        <v>8687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269</v>
      </c>
      <c r="C147" s="2"/>
      <c r="D147" s="22"/>
      <c r="N147" s="6"/>
      <c r="S147" s="14"/>
      <c r="U147" s="14"/>
      <c r="V147" s="14"/>
      <c r="Y147" s="23">
        <f>SUM(Y127:Y146)</f>
        <v>1035.3659265417734</v>
      </c>
      <c r="Z147" s="24"/>
      <c r="AA147" s="23">
        <f>SUM(AA127:AA146)</f>
        <v>0</v>
      </c>
      <c r="AC147" s="9">
        <f>$Y147*(Voorblad!$K$44*(1+Voorblad!$K$44)^Voorblad!$K$41)/((1+Voorblad!$K$44)^Voorblad!$K$41-1)</f>
        <v>47.386951056157613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1035.3659265417734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306</v>
      </c>
      <c r="Q149" s="268">
        <f>11.55*10</f>
        <v>115.5</v>
      </c>
      <c r="R149" s="81" t="s">
        <v>35</v>
      </c>
      <c r="S149" s="81">
        <v>6890</v>
      </c>
      <c r="T149" s="21">
        <f>Q149*S149</f>
        <v>795795</v>
      </c>
      <c r="U149" s="11">
        <v>1</v>
      </c>
      <c r="V149" s="14">
        <f>Voorblad!F24+100</f>
        <v>2060</v>
      </c>
      <c r="W149" s="9">
        <f>Voorblad!K77</f>
        <v>2060</v>
      </c>
      <c r="X149" s="6"/>
      <c r="Y149" s="9">
        <f t="shared" si="21"/>
        <v>361108.33566076448</v>
      </c>
      <c r="Z149" s="82" t="s">
        <v>301</v>
      </c>
      <c r="AA149" s="82">
        <v>52</v>
      </c>
      <c r="AC149" s="9">
        <f>$Y149*(Voorblad!$K$44*(1+Voorblad!$K$44)^Voorblad!$K$41)/((1+Voorblad!$K$44)^Voorblad!$K$41-1)</f>
        <v>16527.319075568186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361108.33566076448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0</v>
      </c>
      <c r="FN149" s="8">
        <f>IF(FN$56-Voorblad!$F$41&gt;Voorblad!$K$41,0,IF($U149=0,0,IF($U149&lt;1,1/$U149,IF((FN$56-Voorblad!$F$41)/$U149-SUM($EE149:FM149)=1,1,0))))</f>
        <v>0</v>
      </c>
      <c r="FO149" s="8">
        <f>IF(FO$56-Voorblad!$F$41&gt;Voorblad!$K$41,0,IF($U149=0,0,IF($U149&lt;1,1/$U149,IF((FO$56-Voorblad!$F$41)/$U149-SUM($EE149:FN149)=1,1,0))))</f>
        <v>0</v>
      </c>
      <c r="FP149" s="8">
        <f>IF(FP$56-Voorblad!$F$41&gt;Voorblad!$K$41,0,IF($U149=0,0,IF($U149&lt;1,1/$U149,IF((FP$56-Voorblad!$F$41)/$U149-SUM($EE149:FO149)=1,1,0))))</f>
        <v>0</v>
      </c>
      <c r="FQ149" s="8">
        <f>IF(FQ$56-Voorblad!$F$41&gt;Voorblad!$K$41,0,IF($U149=0,0,IF($U149&lt;1,1/$U149,IF((FQ$56-Voorblad!$F$41)/$U149-SUM($EE149:FP149)=1,1,0))))</f>
        <v>0</v>
      </c>
      <c r="FR149" s="8">
        <f>IF(FR$56-Voorblad!$F$41&gt;Voorblad!$K$41,0,IF($U149=0,0,IF($U149&lt;1,1/$U149,IF((FR$56-Voorblad!$F$41)/$U149-SUM($EE149:FQ149)=1,1,0))))</f>
        <v>0</v>
      </c>
      <c r="FS149" s="8">
        <f>IF(FS$56-Voorblad!$F$41&gt;Voorblad!$K$41,0,IF($U149=0,0,IF($U149&lt;1,1/$U149,IF((FS$56-Voorblad!$F$41)/$U149-SUM($EE149:FR149)=1,1,0))))</f>
        <v>0</v>
      </c>
      <c r="FT149" s="8">
        <f>IF(FT$56-Voorblad!$F$41&gt;Voorblad!$K$41,0,IF($U149=0,0,IF($U149&lt;1,1/$U149,IF((FT$56-Voorblad!$F$41)/$U149-SUM($EE149:FS149)=1,1,0))))</f>
        <v>0</v>
      </c>
      <c r="FU149" s="8">
        <f>IF(FU$56-Voorblad!$F$41&gt;Voorblad!$K$41,0,IF($U149=0,0,IF($U149&lt;1,1/$U149,IF((FU$56-Voorblad!$F$41)/$U149-SUM($EE149:FT149)=1,1,0))))</f>
        <v>0</v>
      </c>
      <c r="FV149" s="8">
        <f>IF(FV$56-Voorblad!$F$41&gt;Voorblad!$K$41,0,IF($U149=0,0,IF($U149&lt;1,1/$U149,IF((FV$56-Voorblad!$F$41)/$U149-SUM($EE149:FU149)=1,1,0))))</f>
        <v>0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0</v>
      </c>
      <c r="FN150" s="8">
        <f>IF(FN$56-Voorblad!$F$41&gt;Voorblad!$K$41,0,IF($U150=0,0,IF($U150&lt;1,1/$U150,IF((FN$56-Voorblad!$F$41)/$U150-SUM($EE150:FM150)=1,1,0))))</f>
        <v>0</v>
      </c>
      <c r="FO150" s="8">
        <f>IF(FO$56-Voorblad!$F$41&gt;Voorblad!$K$41,0,IF($U150=0,0,IF($U150&lt;1,1/$U150,IF((FO$56-Voorblad!$F$41)/$U150-SUM($EE150:FN150)=1,1,0))))</f>
        <v>0</v>
      </c>
      <c r="FP150" s="8">
        <f>IF(FP$56-Voorblad!$F$41&gt;Voorblad!$K$41,0,IF($U150=0,0,IF($U150&lt;1,1/$U150,IF((FP$56-Voorblad!$F$41)/$U150-SUM($EE150:FO150)=1,1,0))))</f>
        <v>0</v>
      </c>
      <c r="FQ150" s="8">
        <f>IF(FQ$56-Voorblad!$F$41&gt;Voorblad!$K$41,0,IF($U150=0,0,IF($U150&lt;1,1/$U150,IF((FQ$56-Voorblad!$F$41)/$U150-SUM($EE150:FP150)=1,1,0))))</f>
        <v>0</v>
      </c>
      <c r="FR150" s="8">
        <f>IF(FR$56-Voorblad!$F$41&gt;Voorblad!$K$41,0,IF($U150=0,0,IF($U150&lt;1,1/$U150,IF((FR$56-Voorblad!$F$41)/$U150-SUM($EE150:FQ150)=1,1,0))))</f>
        <v>0</v>
      </c>
      <c r="FS150" s="8">
        <f>IF(FS$56-Voorblad!$F$41&gt;Voorblad!$K$41,0,IF($U150=0,0,IF($U150&lt;1,1/$U150,IF((FS$56-Voorblad!$F$41)/$U150-SUM($EE150:FR150)=1,1,0))))</f>
        <v>0</v>
      </c>
      <c r="FT150" s="8">
        <f>IF(FT$56-Voorblad!$F$41&gt;Voorblad!$K$41,0,IF($U150=0,0,IF($U150&lt;1,1/$U150,IF((FT$56-Voorblad!$F$41)/$U150-SUM($EE150:FS150)=1,1,0))))</f>
        <v>0</v>
      </c>
      <c r="FU150" s="8">
        <f>IF(FU$56-Voorblad!$F$41&gt;Voorblad!$K$41,0,IF($U150=0,0,IF($U150&lt;1,1/$U150,IF((FU$56-Voorblad!$F$41)/$U150-SUM($EE150:FT150)=1,1,0))))</f>
        <v>0</v>
      </c>
      <c r="FV150" s="8">
        <f>IF(FV$56-Voorblad!$F$41&gt;Voorblad!$K$41,0,IF($U150=0,0,IF($U150&lt;1,1/$U150,IF((FV$56-Voorblad!$F$41)/$U150-SUM($EE150:FU150)=1,1,0))))</f>
        <v>0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15915.9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0</v>
      </c>
      <c r="FN151" s="8">
        <f>IF(FN$56-Voorblad!$F$41&gt;Voorblad!$K$41,0,IF($U151=0,0,IF($U151&lt;1,1/$U151,IF((FN$56-Voorblad!$F$41)/$U151-SUM($EE151:FM151)=1,1,0))))</f>
        <v>0</v>
      </c>
      <c r="FO151" s="8">
        <f>IF(FO$56-Voorblad!$F$41&gt;Voorblad!$K$41,0,IF($U151=0,0,IF($U151&lt;1,1/$U151,IF((FO$56-Voorblad!$F$41)/$U151-SUM($EE151:FN151)=1,1,0))))</f>
        <v>0</v>
      </c>
      <c r="FP151" s="8">
        <f>IF(FP$56-Voorblad!$F$41&gt;Voorblad!$K$41,0,IF($U151=0,0,IF($U151&lt;1,1/$U151,IF((FP$56-Voorblad!$F$41)/$U151-SUM($EE151:FO151)=1,1,0))))</f>
        <v>0</v>
      </c>
      <c r="FQ151" s="8">
        <f>IF(FQ$56-Voorblad!$F$41&gt;Voorblad!$K$41,0,IF($U151=0,0,IF($U151&lt;1,1/$U151,IF((FQ$56-Voorblad!$F$41)/$U151-SUM($EE151:FP151)=1,1,0))))</f>
        <v>0</v>
      </c>
      <c r="FR151" s="8">
        <f>IF(FR$56-Voorblad!$F$41&gt;Voorblad!$K$41,0,IF($U151=0,0,IF($U151&lt;1,1/$U151,IF((FR$56-Voorblad!$F$41)/$U151-SUM($EE151:FQ151)=1,1,0))))</f>
        <v>0</v>
      </c>
      <c r="FS151" s="8">
        <f>IF(FS$56-Voorblad!$F$41&gt;Voorblad!$K$41,0,IF($U151=0,0,IF($U151&lt;1,1/$U151,IF((FS$56-Voorblad!$F$41)/$U151-SUM($EE151:FR151)=1,1,0))))</f>
        <v>0</v>
      </c>
      <c r="FT151" s="8">
        <f>IF(FT$56-Voorblad!$F$41&gt;Voorblad!$K$41,0,IF($U151=0,0,IF($U151&lt;1,1/$U151,IF((FT$56-Voorblad!$F$41)/$U151-SUM($EE151:FS151)=1,1,0))))</f>
        <v>0</v>
      </c>
      <c r="FU151" s="8">
        <f>IF(FU$56-Voorblad!$F$41&gt;Voorblad!$K$41,0,IF($U151=0,0,IF($U151&lt;1,1/$U151,IF((FU$56-Voorblad!$F$41)/$U151-SUM($EE151:FT151)=1,1,0))))</f>
        <v>0</v>
      </c>
      <c r="FV151" s="8">
        <f>IF(FV$56-Voorblad!$F$41&gt;Voorblad!$K$41,0,IF($U151=0,0,IF($U151&lt;1,1/$U151,IF((FV$56-Voorblad!$F$41)/$U151-SUM($EE151:FU151)=1,1,0))))</f>
        <v>0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31831.8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0</v>
      </c>
      <c r="FN152" s="8">
        <f>IF(FN$56-Voorblad!$F$41&gt;Voorblad!$K$41,0,IF($U152=0,0,IF($U152&lt;1,1/$U152,IF((FN$56-Voorblad!$F$41)/$U152-SUM($EE152:FM152)=1,1,0))))</f>
        <v>0</v>
      </c>
      <c r="FO152" s="8">
        <f>IF(FO$56-Voorblad!$F$41&gt;Voorblad!$K$41,0,IF($U152=0,0,IF($U152&lt;1,1/$U152,IF((FO$56-Voorblad!$F$41)/$U152-SUM($EE152:FN152)=1,1,0))))</f>
        <v>0</v>
      </c>
      <c r="FP152" s="8">
        <f>IF(FP$56-Voorblad!$F$41&gt;Voorblad!$K$41,0,IF($U152=0,0,IF($U152&lt;1,1/$U152,IF((FP$56-Voorblad!$F$41)/$U152-SUM($EE152:FO152)=1,1,0))))</f>
        <v>0</v>
      </c>
      <c r="FQ152" s="8">
        <f>IF(FQ$56-Voorblad!$F$41&gt;Voorblad!$K$41,0,IF($U152=0,0,IF($U152&lt;1,1/$U152,IF((FQ$56-Voorblad!$F$41)/$U152-SUM($EE152:FP152)=1,1,0))))</f>
        <v>0</v>
      </c>
      <c r="FR152" s="8">
        <f>IF(FR$56-Voorblad!$F$41&gt;Voorblad!$K$41,0,IF($U152=0,0,IF($U152&lt;1,1/$U152,IF((FR$56-Voorblad!$F$41)/$U152-SUM($EE152:FQ152)=1,1,0))))</f>
        <v>0</v>
      </c>
      <c r="FS152" s="8">
        <f>IF(FS$56-Voorblad!$F$41&gt;Voorblad!$K$41,0,IF($U152=0,0,IF($U152&lt;1,1/$U152,IF((FS$56-Voorblad!$F$41)/$U152-SUM($EE152:FR152)=1,1,0))))</f>
        <v>0</v>
      </c>
      <c r="FT152" s="8">
        <f>IF(FT$56-Voorblad!$F$41&gt;Voorblad!$K$41,0,IF($U152=0,0,IF($U152&lt;1,1/$U152,IF((FT$56-Voorblad!$F$41)/$U152-SUM($EE152:FS152)=1,1,0))))</f>
        <v>0</v>
      </c>
      <c r="FU152" s="8">
        <f>IF(FU$56-Voorblad!$F$41&gt;Voorblad!$K$41,0,IF($U152=0,0,IF($U152&lt;1,1/$U152,IF((FU$56-Voorblad!$F$41)/$U152-SUM($EE152:FT152)=1,1,0))))</f>
        <v>0</v>
      </c>
      <c r="FV152" s="8">
        <f>IF(FV$56-Voorblad!$F$41&gt;Voorblad!$K$41,0,IF($U152=0,0,IF($U152&lt;1,1/$U152,IF((FV$56-Voorblad!$F$41)/$U152-SUM($EE152:FU152)=1,1,0))))</f>
        <v>0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55705.650000000009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0</v>
      </c>
      <c r="FN153" s="8">
        <f>IF(FN$56-Voorblad!$F$41&gt;Voorblad!$K$41,0,IF($U153=0,0,IF($U153&lt;1,1/$U153,IF((FN$56-Voorblad!$F$41)/$U153-SUM($EE153:FM153)=1,1,0))))</f>
        <v>0</v>
      </c>
      <c r="FO153" s="8">
        <f>IF(FO$56-Voorblad!$F$41&gt;Voorblad!$K$41,0,IF($U153=0,0,IF($U153&lt;1,1/$U153,IF((FO$56-Voorblad!$F$41)/$U153-SUM($EE153:FN153)=1,1,0))))</f>
        <v>0</v>
      </c>
      <c r="FP153" s="8">
        <f>IF(FP$56-Voorblad!$F$41&gt;Voorblad!$K$41,0,IF($U153=0,0,IF($U153&lt;1,1/$U153,IF((FP$56-Voorblad!$F$41)/$U153-SUM($EE153:FO153)=1,1,0))))</f>
        <v>0</v>
      </c>
      <c r="FQ153" s="8">
        <f>IF(FQ$56-Voorblad!$F$41&gt;Voorblad!$K$41,0,IF($U153=0,0,IF($U153&lt;1,1/$U153,IF((FQ$56-Voorblad!$F$41)/$U153-SUM($EE153:FP153)=1,1,0))))</f>
        <v>0</v>
      </c>
      <c r="FR153" s="8">
        <f>IF(FR$56-Voorblad!$F$41&gt;Voorblad!$K$41,0,IF($U153=0,0,IF($U153&lt;1,1/$U153,IF((FR$56-Voorblad!$F$41)/$U153-SUM($EE153:FQ153)=1,1,0))))</f>
        <v>0</v>
      </c>
      <c r="FS153" s="8">
        <f>IF(FS$56-Voorblad!$F$41&gt;Voorblad!$K$41,0,IF($U153=0,0,IF($U153&lt;1,1/$U153,IF((FS$56-Voorblad!$F$41)/$U153-SUM($EE153:FR153)=1,1,0))))</f>
        <v>0</v>
      </c>
      <c r="FT153" s="8">
        <f>IF(FT$56-Voorblad!$F$41&gt;Voorblad!$K$41,0,IF($U153=0,0,IF($U153&lt;1,1/$U153,IF((FT$56-Voorblad!$F$41)/$U153-SUM($EE153:FS153)=1,1,0))))</f>
        <v>0</v>
      </c>
      <c r="FU153" s="8">
        <f>IF(FU$56-Voorblad!$F$41&gt;Voorblad!$K$41,0,IF($U153=0,0,IF($U153&lt;1,1/$U153,IF((FU$56-Voorblad!$F$41)/$U153-SUM($EE153:FT153)=1,1,0))))</f>
        <v>0</v>
      </c>
      <c r="FV153" s="8">
        <f>IF(FV$56-Voorblad!$F$41&gt;Voorblad!$K$41,0,IF($U153=0,0,IF($U153&lt;1,1/$U153,IF((FV$56-Voorblad!$F$41)/$U153-SUM($EE153:FU153)=1,1,0))))</f>
        <v>0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270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795795</v>
      </c>
      <c r="U154" s="14"/>
      <c r="V154" s="14"/>
      <c r="W154" s="14"/>
      <c r="X154" s="6"/>
      <c r="Y154" s="23">
        <f>SUM(Y149:Y153)</f>
        <v>361108.33566076448</v>
      </c>
      <c r="Z154" s="24"/>
      <c r="AA154" s="23">
        <f>SUM(AA149:AA153)</f>
        <v>52</v>
      </c>
      <c r="AC154" s="9">
        <f>$Y154*(Voorblad!$K$44*(1+Voorblad!$K$44)^Voorblad!$K$41)/((1+Voorblad!$K$44)^Voorblad!$K$41-1)</f>
        <v>16527.319075568186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275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0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0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276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0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276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0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276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0</v>
      </c>
      <c r="FN161" s="8">
        <f>IF(FN$56-Voorblad!$F$41&gt;Voorblad!$K$41,0,IF($U161=0,0,IF($U161&lt;1,1/$U161,IF((FN$56-Voorblad!$F$41)/$U161-SUM($EE161:FM161)=1,1,0))))</f>
        <v>0</v>
      </c>
      <c r="FO161" s="8">
        <f>IF(FO$56-Voorblad!$F$41&gt;Voorblad!$K$41,0,IF($U161=0,0,IF($U161&lt;1,1/$U161,IF((FO$56-Voorblad!$F$41)/$U161-SUM($EE161:FN161)=1,1,0))))</f>
        <v>0</v>
      </c>
      <c r="FP161" s="8">
        <f>IF(FP$56-Voorblad!$F$41&gt;Voorblad!$K$41,0,IF($U161=0,0,IF($U161&lt;1,1/$U161,IF((FP$56-Voorblad!$F$41)/$U161-SUM($EE161:FO161)=1,1,0))))</f>
        <v>0</v>
      </c>
      <c r="FQ161" s="8">
        <f>IF(FQ$56-Voorblad!$F$41&gt;Voorblad!$K$41,0,IF($U161=0,0,IF($U161&lt;1,1/$U161,IF((FQ$56-Voorblad!$F$41)/$U161-SUM($EE161:FP161)=1,1,0))))</f>
        <v>0</v>
      </c>
      <c r="FR161" s="8">
        <f>IF(FR$56-Voorblad!$F$41&gt;Voorblad!$K$41,0,IF($U161=0,0,IF($U161&lt;1,1/$U161,IF((FR$56-Voorblad!$F$41)/$U161-SUM($EE161:FQ161)=1,1,0))))</f>
        <v>0</v>
      </c>
      <c r="FS161" s="8">
        <f>IF(FS$56-Voorblad!$F$41&gt;Voorblad!$K$41,0,IF($U161=0,0,IF($U161&lt;1,1/$U161,IF((FS$56-Voorblad!$F$41)/$U161-SUM($EE161:FR161)=1,1,0))))</f>
        <v>0</v>
      </c>
      <c r="FT161" s="8">
        <f>IF(FT$56-Voorblad!$F$41&gt;Voorblad!$K$41,0,IF($U161=0,0,IF($U161&lt;1,1/$U161,IF((FT$56-Voorblad!$F$41)/$U161-SUM($EE161:FS161)=1,1,0))))</f>
        <v>0</v>
      </c>
      <c r="FU161" s="8">
        <f>IF(FU$56-Voorblad!$F$41&gt;Voorblad!$K$41,0,IF($U161=0,0,IF($U161&lt;1,1/$U161,IF((FU$56-Voorblad!$F$41)/$U161-SUM($EE161:FT161)=1,1,0))))</f>
        <v>0</v>
      </c>
      <c r="FV161" s="8">
        <f>IF(FV$56-Voorblad!$F$41&gt;Voorblad!$K$41,0,IF($U161=0,0,IF($U161&lt;1,1/$U161,IF((FV$56-Voorblad!$F$41)/$U161-SUM($EE161:FU161)=1,1,0))))</f>
        <v>0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276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0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276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276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276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276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276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276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276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276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276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268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269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2060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0</v>
      </c>
      <c r="FN187" s="8">
        <f>IF(FN$56-Voorblad!$F$41&gt;Voorblad!$K$41,0,IF($U187=0,0,IF($U187&lt;1,1/$U187,IF((FN$56-Voorblad!$F$41)/$U187-SUM($EE187:FM187)=1,1,0))))</f>
        <v>0</v>
      </c>
      <c r="FO187" s="8">
        <f>IF(FO$56-Voorblad!$F$41&gt;Voorblad!$K$41,0,IF($U187=0,0,IF($U187&lt;1,1/$U187,IF((FO$56-Voorblad!$F$41)/$U187-SUM($EE187:FN187)=1,1,0))))</f>
        <v>0</v>
      </c>
      <c r="FP187" s="8">
        <f>IF(FP$56-Voorblad!$F$41&gt;Voorblad!$K$41,0,IF($U187=0,0,IF($U187&lt;1,1/$U187,IF((FP$56-Voorblad!$F$41)/$U187-SUM($EE187:FO187)=1,1,0))))</f>
        <v>0</v>
      </c>
      <c r="FQ187" s="8">
        <f>IF(FQ$56-Voorblad!$F$41&gt;Voorblad!$K$41,0,IF($U187=0,0,IF($U187&lt;1,1/$U187,IF((FQ$56-Voorblad!$F$41)/$U187-SUM($EE187:FP187)=1,1,0))))</f>
        <v>0</v>
      </c>
      <c r="FR187" s="8">
        <f>IF(FR$56-Voorblad!$F$41&gt;Voorblad!$K$41,0,IF($U187=0,0,IF($U187&lt;1,1/$U187,IF((FR$56-Voorblad!$F$41)/$U187-SUM($EE187:FQ187)=1,1,0))))</f>
        <v>0</v>
      </c>
      <c r="FS187" s="8">
        <f>IF(FS$56-Voorblad!$F$41&gt;Voorblad!$K$41,0,IF($U187=0,0,IF($U187&lt;1,1/$U187,IF((FS$56-Voorblad!$F$41)/$U187-SUM($EE187:FR187)=1,1,0))))</f>
        <v>0</v>
      </c>
      <c r="FT187" s="8">
        <f>IF(FT$56-Voorblad!$F$41&gt;Voorblad!$K$41,0,IF($U187=0,0,IF($U187&lt;1,1/$U187,IF((FT$56-Voorblad!$F$41)/$U187-SUM($EE187:FS187)=1,1,0))))</f>
        <v>0</v>
      </c>
      <c r="FU187" s="8">
        <f>IF(FU$56-Voorblad!$F$41&gt;Voorblad!$K$41,0,IF($U187=0,0,IF($U187&lt;1,1/$U187,IF((FU$56-Voorblad!$F$41)/$U187-SUM($EE187:FT187)=1,1,0))))</f>
        <v>0</v>
      </c>
      <c r="FV187" s="8">
        <f>IF(FV$56-Voorblad!$F$41&gt;Voorblad!$K$41,0,IF($U187=0,0,IF($U187&lt;1,1/$U187,IF((FV$56-Voorblad!$F$41)/$U187-SUM($EE187:FU187)=1,1,0))))</f>
        <v>0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0</v>
      </c>
      <c r="FN188" s="8">
        <f>IF(FN$56-Voorblad!$F$41&gt;Voorblad!$K$41,0,IF($U188=0,0,IF($U188&lt;1,1/$U188,IF((FN$56-Voorblad!$F$41)/$U188-SUM($EE188:FM188)=1,1,0))))</f>
        <v>0</v>
      </c>
      <c r="FO188" s="8">
        <f>IF(FO$56-Voorblad!$F$41&gt;Voorblad!$K$41,0,IF($U188=0,0,IF($U188&lt;1,1/$U188,IF((FO$56-Voorblad!$F$41)/$U188-SUM($EE188:FN188)=1,1,0))))</f>
        <v>0</v>
      </c>
      <c r="FP188" s="8">
        <f>IF(FP$56-Voorblad!$F$41&gt;Voorblad!$K$41,0,IF($U188=0,0,IF($U188&lt;1,1/$U188,IF((FP$56-Voorblad!$F$41)/$U188-SUM($EE188:FO188)=1,1,0))))</f>
        <v>0</v>
      </c>
      <c r="FQ188" s="8">
        <f>IF(FQ$56-Voorblad!$F$41&gt;Voorblad!$K$41,0,IF($U188=0,0,IF($U188&lt;1,1/$U188,IF((FQ$56-Voorblad!$F$41)/$U188-SUM($EE188:FP188)=1,1,0))))</f>
        <v>0</v>
      </c>
      <c r="FR188" s="8">
        <f>IF(FR$56-Voorblad!$F$41&gt;Voorblad!$K$41,0,IF($U188=0,0,IF($U188&lt;1,1/$U188,IF((FR$56-Voorblad!$F$41)/$U188-SUM($EE188:FQ188)=1,1,0))))</f>
        <v>0</v>
      </c>
      <c r="FS188" s="8">
        <f>IF(FS$56-Voorblad!$F$41&gt;Voorblad!$K$41,0,IF($U188=0,0,IF($U188&lt;1,1/$U188,IF((FS$56-Voorblad!$F$41)/$U188-SUM($EE188:FR188)=1,1,0))))</f>
        <v>0</v>
      </c>
      <c r="FT188" s="8">
        <f>IF(FT$56-Voorblad!$F$41&gt;Voorblad!$K$41,0,IF($U188=0,0,IF($U188&lt;1,1/$U188,IF((FT$56-Voorblad!$F$41)/$U188-SUM($EE188:FS188)=1,1,0))))</f>
        <v>0</v>
      </c>
      <c r="FU188" s="8">
        <f>IF(FU$56-Voorblad!$F$41&gt;Voorblad!$K$41,0,IF($U188=0,0,IF($U188&lt;1,1/$U188,IF((FU$56-Voorblad!$F$41)/$U188-SUM($EE188:FT188)=1,1,0))))</f>
        <v>0</v>
      </c>
      <c r="FV188" s="8">
        <f>IF(FV$56-Voorblad!$F$41&gt;Voorblad!$K$41,0,IF($U188=0,0,IF($U188&lt;1,1/$U188,IF((FV$56-Voorblad!$F$41)/$U188-SUM($EE188:FU188)=1,1,0))))</f>
        <v>0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0</v>
      </c>
      <c r="FN189" s="8">
        <f>IF(FN$56-Voorblad!$F$41&gt;Voorblad!$K$41,0,IF($U189=0,0,IF($U189&lt;1,1/$U189,IF((FN$56-Voorblad!$F$41)/$U189-SUM($EE189:FM189)=1,1,0))))</f>
        <v>0</v>
      </c>
      <c r="FO189" s="8">
        <f>IF(FO$56-Voorblad!$F$41&gt;Voorblad!$K$41,0,IF($U189=0,0,IF($U189&lt;1,1/$U189,IF((FO$56-Voorblad!$F$41)/$U189-SUM($EE189:FN189)=1,1,0))))</f>
        <v>0</v>
      </c>
      <c r="FP189" s="8">
        <f>IF(FP$56-Voorblad!$F$41&gt;Voorblad!$K$41,0,IF($U189=0,0,IF($U189&lt;1,1/$U189,IF((FP$56-Voorblad!$F$41)/$U189-SUM($EE189:FO189)=1,1,0))))</f>
        <v>0</v>
      </c>
      <c r="FQ189" s="8">
        <f>IF(FQ$56-Voorblad!$F$41&gt;Voorblad!$K$41,0,IF($U189=0,0,IF($U189&lt;1,1/$U189,IF((FQ$56-Voorblad!$F$41)/$U189-SUM($EE189:FP189)=1,1,0))))</f>
        <v>0</v>
      </c>
      <c r="FR189" s="8">
        <f>IF(FR$56-Voorblad!$F$41&gt;Voorblad!$K$41,0,IF($U189=0,0,IF($U189&lt;1,1/$U189,IF((FR$56-Voorblad!$F$41)/$U189-SUM($EE189:FQ189)=1,1,0))))</f>
        <v>0</v>
      </c>
      <c r="FS189" s="8">
        <f>IF(FS$56-Voorblad!$F$41&gt;Voorblad!$K$41,0,IF($U189=0,0,IF($U189&lt;1,1/$U189,IF((FS$56-Voorblad!$F$41)/$U189-SUM($EE189:FR189)=1,1,0))))</f>
        <v>0</v>
      </c>
      <c r="FT189" s="8">
        <f>IF(FT$56-Voorblad!$F$41&gt;Voorblad!$K$41,0,IF($U189=0,0,IF($U189&lt;1,1/$U189,IF((FT$56-Voorblad!$F$41)/$U189-SUM($EE189:FS189)=1,1,0))))</f>
        <v>0</v>
      </c>
      <c r="FU189" s="8">
        <f>IF(FU$56-Voorblad!$F$41&gt;Voorblad!$K$41,0,IF($U189=0,0,IF($U189&lt;1,1/$U189,IF((FU$56-Voorblad!$F$41)/$U189-SUM($EE189:FT189)=1,1,0))))</f>
        <v>0</v>
      </c>
      <c r="FV189" s="8">
        <f>IF(FV$56-Voorblad!$F$41&gt;Voorblad!$K$41,0,IF($U189=0,0,IF($U189&lt;1,1/$U189,IF((FV$56-Voorblad!$F$41)/$U189-SUM($EE189:FU189)=1,1,0))))</f>
        <v>0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0</v>
      </c>
      <c r="FN190" s="8">
        <f>IF(FN$56-Voorblad!$F$41&gt;Voorblad!$K$41,0,IF($U190=0,0,IF($U190&lt;1,1/$U190,IF((FN$56-Voorblad!$F$41)/$U190-SUM($EE190:FM190)=1,1,0))))</f>
        <v>0</v>
      </c>
      <c r="FO190" s="8">
        <f>IF(FO$56-Voorblad!$F$41&gt;Voorblad!$K$41,0,IF($U190=0,0,IF($U190&lt;1,1/$U190,IF((FO$56-Voorblad!$F$41)/$U190-SUM($EE190:FN190)=1,1,0))))</f>
        <v>0</v>
      </c>
      <c r="FP190" s="8">
        <f>IF(FP$56-Voorblad!$F$41&gt;Voorblad!$K$41,0,IF($U190=0,0,IF($U190&lt;1,1/$U190,IF((FP$56-Voorblad!$F$41)/$U190-SUM($EE190:FO190)=1,1,0))))</f>
        <v>0</v>
      </c>
      <c r="FQ190" s="8">
        <f>IF(FQ$56-Voorblad!$F$41&gt;Voorblad!$K$41,0,IF($U190=0,0,IF($U190&lt;1,1/$U190,IF((FQ$56-Voorblad!$F$41)/$U190-SUM($EE190:FP190)=1,1,0))))</f>
        <v>0</v>
      </c>
      <c r="FR190" s="8">
        <f>IF(FR$56-Voorblad!$F$41&gt;Voorblad!$K$41,0,IF($U190=0,0,IF($U190&lt;1,1/$U190,IF((FR$56-Voorblad!$F$41)/$U190-SUM($EE190:FQ190)=1,1,0))))</f>
        <v>0</v>
      </c>
      <c r="FS190" s="8">
        <f>IF(FS$56-Voorblad!$F$41&gt;Voorblad!$K$41,0,IF($U190=0,0,IF($U190&lt;1,1/$U190,IF((FS$56-Voorblad!$F$41)/$U190-SUM($EE190:FR190)=1,1,0))))</f>
        <v>0</v>
      </c>
      <c r="FT190" s="8">
        <f>IF(FT$56-Voorblad!$F$41&gt;Voorblad!$K$41,0,IF($U190=0,0,IF($U190&lt;1,1/$U190,IF((FT$56-Voorblad!$F$41)/$U190-SUM($EE190:FS190)=1,1,0))))</f>
        <v>0</v>
      </c>
      <c r="FU190" s="8">
        <f>IF(FU$56-Voorblad!$F$41&gt;Voorblad!$K$41,0,IF($U190=0,0,IF($U190&lt;1,1/$U190,IF((FU$56-Voorblad!$F$41)/$U190-SUM($EE190:FT190)=1,1,0))))</f>
        <v>0</v>
      </c>
      <c r="FV190" s="8">
        <f>IF(FV$56-Voorblad!$F$41&gt;Voorblad!$K$41,0,IF($U190=0,0,IF($U190&lt;1,1/$U190,IF((FV$56-Voorblad!$F$41)/$U190-SUM($EE190:FU190)=1,1,0))))</f>
        <v>0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270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275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0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0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276</v>
      </c>
      <c r="K196" s="1" t="s">
        <v>83</v>
      </c>
      <c r="O196" s="1" t="s">
        <v>133</v>
      </c>
      <c r="P196" s="1" t="s">
        <v>277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0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276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0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276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268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269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229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1986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0</v>
      </c>
      <c r="FN204" s="8">
        <f>IF(FN$56-Voorblad!$F$41&gt;Voorblad!$K$41,0,IF($U204=0,0,IF($U204&lt;1,1/$U204,IF((FN$56-Voorblad!$F$41)/$U204-SUM($EE204:FM204)=1,1,0))))</f>
        <v>0</v>
      </c>
      <c r="FO204" s="8">
        <f>IF(FO$56-Voorblad!$F$41&gt;Voorblad!$K$41,0,IF($U204=0,0,IF($U204&lt;1,1/$U204,IF((FO$56-Voorblad!$F$41)/$U204-SUM($EE204:FN204)=1,1,0))))</f>
        <v>0</v>
      </c>
      <c r="FP204" s="8">
        <f>IF(FP$56-Voorblad!$F$41&gt;Voorblad!$K$41,0,IF($U204=0,0,IF($U204&lt;1,1/$U204,IF((FP$56-Voorblad!$F$41)/$U204-SUM($EE204:FO204)=1,1,0))))</f>
        <v>0</v>
      </c>
      <c r="FQ204" s="8">
        <f>IF(FQ$56-Voorblad!$F$41&gt;Voorblad!$K$41,0,IF($U204=0,0,IF($U204&lt;1,1/$U204,IF((FQ$56-Voorblad!$F$41)/$U204-SUM($EE204:FP204)=1,1,0))))</f>
        <v>0</v>
      </c>
      <c r="FR204" s="8">
        <f>IF(FR$56-Voorblad!$F$41&gt;Voorblad!$K$41,0,IF($U204=0,0,IF($U204&lt;1,1/$U204,IF((FR$56-Voorblad!$F$41)/$U204-SUM($EE204:FQ204)=1,1,0))))</f>
        <v>0</v>
      </c>
      <c r="FS204" s="8">
        <f>IF(FS$56-Voorblad!$F$41&gt;Voorblad!$K$41,0,IF($U204=0,0,IF($U204&lt;1,1/$U204,IF((FS$56-Voorblad!$F$41)/$U204-SUM($EE204:FR204)=1,1,0))))</f>
        <v>0</v>
      </c>
      <c r="FT204" s="8">
        <f>IF(FT$56-Voorblad!$F$41&gt;Voorblad!$K$41,0,IF($U204=0,0,IF($U204&lt;1,1/$U204,IF((FT$56-Voorblad!$F$41)/$U204-SUM($EE204:FS204)=1,1,0))))</f>
        <v>0</v>
      </c>
      <c r="FU204" s="8">
        <f>IF(FU$56-Voorblad!$F$41&gt;Voorblad!$K$41,0,IF($U204=0,0,IF($U204&lt;1,1/$U204,IF((FU$56-Voorblad!$F$41)/$U204-SUM($EE204:FT204)=1,1,0))))</f>
        <v>0</v>
      </c>
      <c r="FV204" s="8">
        <f>IF(FV$56-Voorblad!$F$41&gt;Voorblad!$K$41,0,IF($U204=0,0,IF($U204&lt;1,1/$U204,IF((FV$56-Voorblad!$F$41)/$U204-SUM($EE204:FU204)=1,1,0))))</f>
        <v>0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0</v>
      </c>
      <c r="FN205" s="8">
        <f>IF(FN$56-Voorblad!$F$41&gt;Voorblad!$K$41,0,IF($U205=0,0,IF($U205&lt;1,1/$U205,IF((FN$56-Voorblad!$F$41)/$U205-SUM($EE205:FM205)=1,1,0))))</f>
        <v>0</v>
      </c>
      <c r="FO205" s="8">
        <f>IF(FO$56-Voorblad!$F$41&gt;Voorblad!$K$41,0,IF($U205=0,0,IF($U205&lt;1,1/$U205,IF((FO$56-Voorblad!$F$41)/$U205-SUM($EE205:FN205)=1,1,0))))</f>
        <v>0</v>
      </c>
      <c r="FP205" s="8">
        <f>IF(FP$56-Voorblad!$F$41&gt;Voorblad!$K$41,0,IF($U205=0,0,IF($U205&lt;1,1/$U205,IF((FP$56-Voorblad!$F$41)/$U205-SUM($EE205:FO205)=1,1,0))))</f>
        <v>0</v>
      </c>
      <c r="FQ205" s="8">
        <f>IF(FQ$56-Voorblad!$F$41&gt;Voorblad!$K$41,0,IF($U205=0,0,IF($U205&lt;1,1/$U205,IF((FQ$56-Voorblad!$F$41)/$U205-SUM($EE205:FP205)=1,1,0))))</f>
        <v>0</v>
      </c>
      <c r="FR205" s="8">
        <f>IF(FR$56-Voorblad!$F$41&gt;Voorblad!$K$41,0,IF($U205=0,0,IF($U205&lt;1,1/$U205,IF((FR$56-Voorblad!$F$41)/$U205-SUM($EE205:FQ205)=1,1,0))))</f>
        <v>0</v>
      </c>
      <c r="FS205" s="8">
        <f>IF(FS$56-Voorblad!$F$41&gt;Voorblad!$K$41,0,IF($U205=0,0,IF($U205&lt;1,1/$U205,IF((FS$56-Voorblad!$F$41)/$U205-SUM($EE205:FR205)=1,1,0))))</f>
        <v>0</v>
      </c>
      <c r="FT205" s="8">
        <f>IF(FT$56-Voorblad!$F$41&gt;Voorblad!$K$41,0,IF($U205=0,0,IF($U205&lt;1,1/$U205,IF((FT$56-Voorblad!$F$41)/$U205-SUM($EE205:FS205)=1,1,0))))</f>
        <v>0</v>
      </c>
      <c r="FU205" s="8">
        <f>IF(FU$56-Voorblad!$F$41&gt;Voorblad!$K$41,0,IF($U205=0,0,IF($U205&lt;1,1/$U205,IF((FU$56-Voorblad!$F$41)/$U205-SUM($EE205:FT205)=1,1,0))))</f>
        <v>0</v>
      </c>
      <c r="FV205" s="8">
        <f>IF(FV$56-Voorblad!$F$41&gt;Voorblad!$K$41,0,IF($U205=0,0,IF($U205&lt;1,1/$U205,IF((FV$56-Voorblad!$F$41)/$U205-SUM($EE205:FU205)=1,1,0))))</f>
        <v>0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0</v>
      </c>
      <c r="FN206" s="8">
        <f>IF(FN$56-Voorblad!$F$41&gt;Voorblad!$K$41,0,IF($U206=0,0,IF($U206&lt;1,1/$U206,IF((FN$56-Voorblad!$F$41)/$U206-SUM($EE206:FM206)=1,1,0))))</f>
        <v>0</v>
      </c>
      <c r="FO206" s="8">
        <f>IF(FO$56-Voorblad!$F$41&gt;Voorblad!$K$41,0,IF($U206=0,0,IF($U206&lt;1,1/$U206,IF((FO$56-Voorblad!$F$41)/$U206-SUM($EE206:FN206)=1,1,0))))</f>
        <v>0</v>
      </c>
      <c r="FP206" s="8">
        <f>IF(FP$56-Voorblad!$F$41&gt;Voorblad!$K$41,0,IF($U206=0,0,IF($U206&lt;1,1/$U206,IF((FP$56-Voorblad!$F$41)/$U206-SUM($EE206:FO206)=1,1,0))))</f>
        <v>0</v>
      </c>
      <c r="FQ206" s="8">
        <f>IF(FQ$56-Voorblad!$F$41&gt;Voorblad!$K$41,0,IF($U206=0,0,IF($U206&lt;1,1/$U206,IF((FQ$56-Voorblad!$F$41)/$U206-SUM($EE206:FP206)=1,1,0))))</f>
        <v>0</v>
      </c>
      <c r="FR206" s="8">
        <f>IF(FR$56-Voorblad!$F$41&gt;Voorblad!$K$41,0,IF($U206=0,0,IF($U206&lt;1,1/$U206,IF((FR$56-Voorblad!$F$41)/$U206-SUM($EE206:FQ206)=1,1,0))))</f>
        <v>0</v>
      </c>
      <c r="FS206" s="8">
        <f>IF(FS$56-Voorblad!$F$41&gt;Voorblad!$K$41,0,IF($U206=0,0,IF($U206&lt;1,1/$U206,IF((FS$56-Voorblad!$F$41)/$U206-SUM($EE206:FR206)=1,1,0))))</f>
        <v>0</v>
      </c>
      <c r="FT206" s="8">
        <f>IF(FT$56-Voorblad!$F$41&gt;Voorblad!$K$41,0,IF($U206=0,0,IF($U206&lt;1,1/$U206,IF((FT$56-Voorblad!$F$41)/$U206-SUM($EE206:FS206)=1,1,0))))</f>
        <v>0</v>
      </c>
      <c r="FU206" s="8">
        <f>IF(FU$56-Voorblad!$F$41&gt;Voorblad!$K$41,0,IF($U206=0,0,IF($U206&lt;1,1/$U206,IF((FU$56-Voorblad!$F$41)/$U206-SUM($EE206:FT206)=1,1,0))))</f>
        <v>0</v>
      </c>
      <c r="FV206" s="8">
        <f>IF(FV$56-Voorblad!$F$41&gt;Voorblad!$K$41,0,IF($U206=0,0,IF($U206&lt;1,1/$U206,IF((FV$56-Voorblad!$F$41)/$U206-SUM($EE206:FU206)=1,1,0))))</f>
        <v>0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0</v>
      </c>
      <c r="FN207" s="8">
        <f>IF(FN$56-Voorblad!$F$41&gt;Voorblad!$K$41,0,IF($U207=0,0,IF($U207&lt;1,1/$U207,IF((FN$56-Voorblad!$F$41)/$U207-SUM($EE207:FM207)=1,1,0))))</f>
        <v>0</v>
      </c>
      <c r="FO207" s="8">
        <f>IF(FO$56-Voorblad!$F$41&gt;Voorblad!$K$41,0,IF($U207=0,0,IF($U207&lt;1,1/$U207,IF((FO$56-Voorblad!$F$41)/$U207-SUM($EE207:FN207)=1,1,0))))</f>
        <v>0</v>
      </c>
      <c r="FP207" s="8">
        <f>IF(FP$56-Voorblad!$F$41&gt;Voorblad!$K$41,0,IF($U207=0,0,IF($U207&lt;1,1/$U207,IF((FP$56-Voorblad!$F$41)/$U207-SUM($EE207:FO207)=1,1,0))))</f>
        <v>0</v>
      </c>
      <c r="FQ207" s="8">
        <f>IF(FQ$56-Voorblad!$F$41&gt;Voorblad!$K$41,0,IF($U207=0,0,IF($U207&lt;1,1/$U207,IF((FQ$56-Voorblad!$F$41)/$U207-SUM($EE207:FP207)=1,1,0))))</f>
        <v>0</v>
      </c>
      <c r="FR207" s="8">
        <f>IF(FR$56-Voorblad!$F$41&gt;Voorblad!$K$41,0,IF($U207=0,0,IF($U207&lt;1,1/$U207,IF((FR$56-Voorblad!$F$41)/$U207-SUM($EE207:FQ207)=1,1,0))))</f>
        <v>0</v>
      </c>
      <c r="FS207" s="8">
        <f>IF(FS$56-Voorblad!$F$41&gt;Voorblad!$K$41,0,IF($U207=0,0,IF($U207&lt;1,1/$U207,IF((FS$56-Voorblad!$F$41)/$U207-SUM($EE207:FR207)=1,1,0))))</f>
        <v>0</v>
      </c>
      <c r="FT207" s="8">
        <f>IF(FT$56-Voorblad!$F$41&gt;Voorblad!$K$41,0,IF($U207=0,0,IF($U207&lt;1,1/$U207,IF((FT$56-Voorblad!$F$41)/$U207-SUM($EE207:FS207)=1,1,0))))</f>
        <v>0</v>
      </c>
      <c r="FU207" s="8">
        <f>IF(FU$56-Voorblad!$F$41&gt;Voorblad!$K$41,0,IF($U207=0,0,IF($U207&lt;1,1/$U207,IF((FU$56-Voorblad!$F$41)/$U207-SUM($EE207:FT207)=1,1,0))))</f>
        <v>0</v>
      </c>
      <c r="FV207" s="8">
        <f>IF(FV$56-Voorblad!$F$41&gt;Voorblad!$K$41,0,IF($U207=0,0,IF($U207&lt;1,1/$U207,IF((FV$56-Voorblad!$F$41)/$U207-SUM($EE207:FU207)=1,1,0))))</f>
        <v>0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270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customHeight="1" outlineLevel="1" x14ac:dyDescent="0.25">
      <c r="B212" s="1">
        <v>3</v>
      </c>
      <c r="F212" s="1" t="s">
        <v>23</v>
      </c>
      <c r="I212" s="1" t="s">
        <v>275</v>
      </c>
      <c r="K212" s="1" t="s">
        <v>86</v>
      </c>
      <c r="Q212" s="81">
        <v>1</v>
      </c>
      <c r="R212" s="1" t="s">
        <v>33</v>
      </c>
      <c r="S212" s="14">
        <f>$H$20*500</f>
        <v>885</v>
      </c>
      <c r="T212" s="9">
        <f>Q212*S212</f>
        <v>885</v>
      </c>
      <c r="U212" s="14">
        <v>5</v>
      </c>
      <c r="V212" s="14"/>
      <c r="Y212" s="9">
        <f t="shared" ref="Y212:Y224" si="200">SUM(AE212:EB212)</f>
        <v>3524.0013803420302</v>
      </c>
      <c r="Z212" s="83"/>
      <c r="AA212" s="83"/>
      <c r="AC212" s="9">
        <f>$Y212*(Voorblad!$K$44*(1+Voorblad!$K$44)^Voorblad!$K$41)/((1+Voorblad!$K$44)^Voorblad!$K$41-1)</f>
        <v>161.28759567148273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782.21104453442274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691.36058552726843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611.0620178025024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540.08978443006492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477.36067166261267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421.9172763851592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0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0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customHeight="1" outlineLevel="1" x14ac:dyDescent="0.25">
      <c r="B213" s="1">
        <v>3</v>
      </c>
      <c r="F213" s="1" t="s">
        <v>23</v>
      </c>
      <c r="I213" s="1" t="s">
        <v>276</v>
      </c>
      <c r="K213" s="1" t="s">
        <v>87</v>
      </c>
      <c r="O213" s="1" t="s">
        <v>133</v>
      </c>
      <c r="Q213" s="81">
        <f>(2*(11.55*1.1))+(4*((2*2)/2))</f>
        <v>33.410000000000004</v>
      </c>
      <c r="R213" s="1" t="s">
        <v>35</v>
      </c>
      <c r="S213" s="21">
        <f>$H$20*15</f>
        <v>26.55</v>
      </c>
      <c r="T213" s="9">
        <f>Q213*S213</f>
        <v>887.03550000000007</v>
      </c>
      <c r="U213" s="14">
        <v>10</v>
      </c>
      <c r="V213" s="14"/>
      <c r="Y213" s="9">
        <f t="shared" si="200"/>
        <v>1657.1703919290803</v>
      </c>
      <c r="Z213" s="83"/>
      <c r="AA213" s="83"/>
      <c r="AC213" s="9">
        <f>$Y213*(Voorblad!$K$44*(1+Voorblad!$K$44)^Voorblad!$K$41)/((1+Voorblad!$K$44)^Voorblad!$K$41-1)</f>
        <v>75.845892008779089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692.95071487398127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541.33199093425401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422.8876861208451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0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customHeight="1" outlineLevel="1" x14ac:dyDescent="0.25">
      <c r="B214" s="1">
        <v>3</v>
      </c>
      <c r="F214" s="1" t="s">
        <v>23</v>
      </c>
      <c r="I214" s="1" t="s">
        <v>276</v>
      </c>
      <c r="K214" s="1" t="s">
        <v>84</v>
      </c>
      <c r="O214" s="1" t="s">
        <v>132</v>
      </c>
      <c r="Q214" s="81">
        <f>(4*((2*2)/2))</f>
        <v>8</v>
      </c>
      <c r="R214" s="1" t="s">
        <v>35</v>
      </c>
      <c r="S214" s="21">
        <f>$H$20*20</f>
        <v>35.4</v>
      </c>
      <c r="T214" s="9">
        <f>Q214*S214</f>
        <v>283.2</v>
      </c>
      <c r="U214" s="14">
        <v>10</v>
      </c>
      <c r="V214" s="14"/>
      <c r="Y214" s="9">
        <f t="shared" si="200"/>
        <v>529.0776468295976</v>
      </c>
      <c r="Z214" s="83"/>
      <c r="AA214" s="83"/>
      <c r="AC214" s="9">
        <f>$Y214*(Voorblad!$K$44*(1+Voorblad!$K$44)^Voorblad!$K$41)/((1+Voorblad!$K$44)^Voorblad!$K$41-1)</f>
        <v>24.214990963593046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221.2353873687259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172.82873101762075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135.01352844325092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0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customHeight="1" outlineLevel="1" x14ac:dyDescent="0.25">
      <c r="B215" s="1">
        <v>3</v>
      </c>
      <c r="F215" s="1" t="s">
        <v>23</v>
      </c>
      <c r="I215" s="1" t="s">
        <v>276</v>
      </c>
      <c r="K215" s="1" t="s">
        <v>88</v>
      </c>
      <c r="O215" s="1" t="s">
        <v>217</v>
      </c>
      <c r="P215" s="1" t="s">
        <v>173</v>
      </c>
      <c r="Q215" s="268">
        <f>2.5%*((2*(11.55*1.1))+(4*((2*2)/2)))</f>
        <v>0.83525000000000016</v>
      </c>
      <c r="R215" s="1" t="s">
        <v>35</v>
      </c>
      <c r="S215" s="14">
        <f>$H$20*500</f>
        <v>885</v>
      </c>
      <c r="T215" s="9">
        <f>Q215*S215</f>
        <v>739.19625000000019</v>
      </c>
      <c r="U215" s="14">
        <v>10</v>
      </c>
      <c r="V215" s="14"/>
      <c r="Y215" s="9">
        <f t="shared" si="200"/>
        <v>1380.9753266075672</v>
      </c>
      <c r="Z215" s="83"/>
      <c r="AA215" s="83"/>
      <c r="AC215" s="229">
        <f>$Y215*(Voorblad!$K$44*(1+Voorblad!$K$44)^Voorblad!$K$41)/((1+Voorblad!$K$44)^Voorblad!$K$41-1)</f>
        <v>63.204910007315931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577.45892906165113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451.10999244521179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352.40640510070432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0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customHeight="1" outlineLevel="1" x14ac:dyDescent="0.25">
      <c r="S216" s="14"/>
      <c r="T216" s="9"/>
      <c r="U216" s="14"/>
      <c r="V216" s="14"/>
      <c r="Y216" s="23">
        <f>SUM(Y212:Y215)</f>
        <v>7091.2247457082758</v>
      </c>
      <c r="Z216" s="24"/>
      <c r="AA216" s="23">
        <f>SUM(AA212:AA215)</f>
        <v>0</v>
      </c>
      <c r="AC216" s="9">
        <f>$Y216*(Voorblad!$K$44*(1+Voorblad!$K$44)^Voorblad!$K$41)/((1+Voorblad!$K$44)^Voorblad!$K$41-1)</f>
        <v>324.55338865117079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outlineLevel="1" x14ac:dyDescent="0.25">
      <c r="B217" s="2" t="s">
        <v>268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268">
        <f>10%*((2*(11.55*1.1))+(4*((2*2)/2)))</f>
        <v>3.3410000000000006</v>
      </c>
      <c r="R218" s="1" t="s">
        <v>35</v>
      </c>
      <c r="S218" s="14">
        <f>$H$10*500</f>
        <v>1190</v>
      </c>
      <c r="T218" s="9">
        <f>Q218*S218</f>
        <v>3975.7900000000009</v>
      </c>
      <c r="U218" s="14">
        <v>30</v>
      </c>
      <c r="V218" s="14"/>
      <c r="Y218" s="9">
        <f>SUM(AE218:EB218)</f>
        <v>1895.4288003156523</v>
      </c>
      <c r="Z218" s="83"/>
      <c r="AA218" s="83"/>
      <c r="AC218" s="229">
        <f>$Y218*(Voorblad!$K$44*(1+Voorblad!$K$44)^Voorblad!$K$41)/((1+Voorblad!$K$44)^Voorblad!$K$41-1)</f>
        <v>86.750577248560319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1895.4288003156523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outlineLevel="1" x14ac:dyDescent="0.25">
      <c r="B219" s="2" t="s">
        <v>269</v>
      </c>
      <c r="C219" s="2"/>
      <c r="D219" s="15"/>
      <c r="E219" s="15"/>
      <c r="S219" s="14"/>
      <c r="T219" s="9"/>
      <c r="U219" s="14"/>
      <c r="V219" s="14"/>
      <c r="Y219" s="23">
        <f>SUM(Y218)</f>
        <v>1895.4288003156523</v>
      </c>
      <c r="Z219" s="24"/>
      <c r="AA219" s="23">
        <f>SUM(AA218)</f>
        <v>0</v>
      </c>
      <c r="AC219" s="9">
        <f>$Y219*(Voorblad!$K$44*(1+Voorblad!$K$44)^Voorblad!$K$41)/((1+Voorblad!$K$44)^Voorblad!$K$41-1)</f>
        <v>86.750577248560319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302</v>
      </c>
      <c r="Q221" s="268">
        <f>11.55*10</f>
        <v>115.5</v>
      </c>
      <c r="R221" s="81" t="s">
        <v>35</v>
      </c>
      <c r="S221" s="81">
        <v>1610</v>
      </c>
      <c r="T221" s="21">
        <f>Q221*S221</f>
        <v>185955</v>
      </c>
      <c r="U221" s="11">
        <v>1</v>
      </c>
      <c r="V221" s="14">
        <f>Voorblad!F25+100</f>
        <v>1986</v>
      </c>
      <c r="W221" s="9">
        <f>Voorblad!K89</f>
        <v>2060</v>
      </c>
      <c r="X221" s="6"/>
      <c r="Y221" s="9">
        <f t="shared" si="200"/>
        <v>84380.902817682261</v>
      </c>
      <c r="Z221" s="83" t="s">
        <v>301</v>
      </c>
      <c r="AA221" s="83">
        <v>52</v>
      </c>
      <c r="AC221" s="9">
        <f>$Y221*(Voorblad!$K$44*(1+Voorblad!$K$44)^Voorblad!$K$41)/((1+Voorblad!$K$44)^Voorblad!$K$41-1)</f>
        <v>3861.9715111269634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84380.902817682261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0</v>
      </c>
      <c r="FN221" s="8">
        <f>IF(FN$56-Voorblad!$F$41&gt;Voorblad!$K$41,0,IF($U221=0,0,IF($U221&lt;1,1/$U221,IF((FN$56-Voorblad!$F$41)/$U221-SUM($EE221:FM221)=1,1,0))))</f>
        <v>0</v>
      </c>
      <c r="FO221" s="8">
        <f>IF(FO$56-Voorblad!$F$41&gt;Voorblad!$K$41,0,IF($U221=0,0,IF($U221&lt;1,1/$U221,IF((FO$56-Voorblad!$F$41)/$U221-SUM($EE221:FN221)=1,1,0))))</f>
        <v>0</v>
      </c>
      <c r="FP221" s="8">
        <f>IF(FP$56-Voorblad!$F$41&gt;Voorblad!$K$41,0,IF($U221=0,0,IF($U221&lt;1,1/$U221,IF((FP$56-Voorblad!$F$41)/$U221-SUM($EE221:FO221)=1,1,0))))</f>
        <v>0</v>
      </c>
      <c r="FQ221" s="8">
        <f>IF(FQ$56-Voorblad!$F$41&gt;Voorblad!$K$41,0,IF($U221=0,0,IF($U221&lt;1,1/$U221,IF((FQ$56-Voorblad!$F$41)/$U221-SUM($EE221:FP221)=1,1,0))))</f>
        <v>0</v>
      </c>
      <c r="FR221" s="8">
        <f>IF(FR$56-Voorblad!$F$41&gt;Voorblad!$K$41,0,IF($U221=0,0,IF($U221&lt;1,1/$U221,IF((FR$56-Voorblad!$F$41)/$U221-SUM($EE221:FQ221)=1,1,0))))</f>
        <v>0</v>
      </c>
      <c r="FS221" s="8">
        <f>IF(FS$56-Voorblad!$F$41&gt;Voorblad!$K$41,0,IF($U221=0,0,IF($U221&lt;1,1/$U221,IF((FS$56-Voorblad!$F$41)/$U221-SUM($EE221:FR221)=1,1,0))))</f>
        <v>0</v>
      </c>
      <c r="FT221" s="8">
        <f>IF(FT$56-Voorblad!$F$41&gt;Voorblad!$K$41,0,IF($U221=0,0,IF($U221&lt;1,1/$U221,IF((FT$56-Voorblad!$F$41)/$U221-SUM($EE221:FS221)=1,1,0))))</f>
        <v>0</v>
      </c>
      <c r="FU221" s="8">
        <f>IF(FU$56-Voorblad!$F$41&gt;Voorblad!$K$41,0,IF($U221=0,0,IF($U221&lt;1,1/$U221,IF((FU$56-Voorblad!$F$41)/$U221-SUM($EE221:FT221)=1,1,0))))</f>
        <v>0</v>
      </c>
      <c r="FV221" s="8">
        <f>IF(FV$56-Voorblad!$F$41&gt;Voorblad!$K$41,0,IF($U221=0,0,IF($U221&lt;1,1/$U221,IF((FV$56-Voorblad!$F$41)/$U221-SUM($EE221:FU221)=1,1,0))))</f>
        <v>0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3719.1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0</v>
      </c>
      <c r="FN222" s="8">
        <f>IF(FN$56-Voorblad!$F$41&gt;Voorblad!$K$41,0,IF($U222=0,0,IF($U222&lt;1,1/$U222,IF((FN$56-Voorblad!$F$41)/$U222-SUM($EE222:FM222)=1,1,0))))</f>
        <v>0</v>
      </c>
      <c r="FO222" s="8">
        <f>IF(FO$56-Voorblad!$F$41&gt;Voorblad!$K$41,0,IF($U222=0,0,IF($U222&lt;1,1/$U222,IF((FO$56-Voorblad!$F$41)/$U222-SUM($EE222:FN222)=1,1,0))))</f>
        <v>0</v>
      </c>
      <c r="FP222" s="8">
        <f>IF(FP$56-Voorblad!$F$41&gt;Voorblad!$K$41,0,IF($U222=0,0,IF($U222&lt;1,1/$U222,IF((FP$56-Voorblad!$F$41)/$U222-SUM($EE222:FO222)=1,1,0))))</f>
        <v>0</v>
      </c>
      <c r="FQ222" s="8">
        <f>IF(FQ$56-Voorblad!$F$41&gt;Voorblad!$K$41,0,IF($U222=0,0,IF($U222&lt;1,1/$U222,IF((FQ$56-Voorblad!$F$41)/$U222-SUM($EE222:FP222)=1,1,0))))</f>
        <v>0</v>
      </c>
      <c r="FR222" s="8">
        <f>IF(FR$56-Voorblad!$F$41&gt;Voorblad!$K$41,0,IF($U222=0,0,IF($U222&lt;1,1/$U222,IF((FR$56-Voorblad!$F$41)/$U222-SUM($EE222:FQ222)=1,1,0))))</f>
        <v>0</v>
      </c>
      <c r="FS222" s="8">
        <f>IF(FS$56-Voorblad!$F$41&gt;Voorblad!$K$41,0,IF($U222=0,0,IF($U222&lt;1,1/$U222,IF((FS$56-Voorblad!$F$41)/$U222-SUM($EE222:FR222)=1,1,0))))</f>
        <v>0</v>
      </c>
      <c r="FT222" s="8">
        <f>IF(FT$56-Voorblad!$F$41&gt;Voorblad!$K$41,0,IF($U222=0,0,IF($U222&lt;1,1/$U222,IF((FT$56-Voorblad!$F$41)/$U222-SUM($EE222:FS222)=1,1,0))))</f>
        <v>0</v>
      </c>
      <c r="FU222" s="8">
        <f>IF(FU$56-Voorblad!$F$41&gt;Voorblad!$K$41,0,IF($U222=0,0,IF($U222&lt;1,1/$U222,IF((FU$56-Voorblad!$F$41)/$U222-SUM($EE222:FT222)=1,1,0))))</f>
        <v>0</v>
      </c>
      <c r="FV222" s="8">
        <f>IF(FV$56-Voorblad!$F$41&gt;Voorblad!$K$41,0,IF($U222=0,0,IF($U222&lt;1,1/$U222,IF((FV$56-Voorblad!$F$41)/$U222-SUM($EE222:FU222)=1,1,0))))</f>
        <v>0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7438.2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0</v>
      </c>
      <c r="FN223" s="8">
        <f>IF(FN$56-Voorblad!$F$41&gt;Voorblad!$K$41,0,IF($U223=0,0,IF($U223&lt;1,1/$U223,IF((FN$56-Voorblad!$F$41)/$U223-SUM($EE223:FM223)=1,1,0))))</f>
        <v>0</v>
      </c>
      <c r="FO223" s="8">
        <f>IF(FO$56-Voorblad!$F$41&gt;Voorblad!$K$41,0,IF($U223=0,0,IF($U223&lt;1,1/$U223,IF((FO$56-Voorblad!$F$41)/$U223-SUM($EE223:FN223)=1,1,0))))</f>
        <v>0</v>
      </c>
      <c r="FP223" s="8">
        <f>IF(FP$56-Voorblad!$F$41&gt;Voorblad!$K$41,0,IF($U223=0,0,IF($U223&lt;1,1/$U223,IF((FP$56-Voorblad!$F$41)/$U223-SUM($EE223:FO223)=1,1,0))))</f>
        <v>0</v>
      </c>
      <c r="FQ223" s="8">
        <f>IF(FQ$56-Voorblad!$F$41&gt;Voorblad!$K$41,0,IF($U223=0,0,IF($U223&lt;1,1/$U223,IF((FQ$56-Voorblad!$F$41)/$U223-SUM($EE223:FP223)=1,1,0))))</f>
        <v>0</v>
      </c>
      <c r="FR223" s="8">
        <f>IF(FR$56-Voorblad!$F$41&gt;Voorblad!$K$41,0,IF($U223=0,0,IF($U223&lt;1,1/$U223,IF((FR$56-Voorblad!$F$41)/$U223-SUM($EE223:FQ223)=1,1,0))))</f>
        <v>0</v>
      </c>
      <c r="FS223" s="8">
        <f>IF(FS$56-Voorblad!$F$41&gt;Voorblad!$K$41,0,IF($U223=0,0,IF($U223&lt;1,1/$U223,IF((FS$56-Voorblad!$F$41)/$U223-SUM($EE223:FR223)=1,1,0))))</f>
        <v>0</v>
      </c>
      <c r="FT223" s="8">
        <f>IF(FT$56-Voorblad!$F$41&gt;Voorblad!$K$41,0,IF($U223=0,0,IF($U223&lt;1,1/$U223,IF((FT$56-Voorblad!$F$41)/$U223-SUM($EE223:FS223)=1,1,0))))</f>
        <v>0</v>
      </c>
      <c r="FU223" s="8">
        <f>IF(FU$56-Voorblad!$F$41&gt;Voorblad!$K$41,0,IF($U223=0,0,IF($U223&lt;1,1/$U223,IF((FU$56-Voorblad!$F$41)/$U223-SUM($EE223:FT223)=1,1,0))))</f>
        <v>0</v>
      </c>
      <c r="FV223" s="8">
        <f>IF(FV$56-Voorblad!$F$41&gt;Voorblad!$K$41,0,IF($U223=0,0,IF($U223&lt;1,1/$U223,IF((FV$56-Voorblad!$F$41)/$U223-SUM($EE223:FU223)=1,1,0))))</f>
        <v>0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13016.85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0</v>
      </c>
      <c r="FN224" s="8">
        <f>IF(FN$56-Voorblad!$F$41&gt;Voorblad!$K$41,0,IF($U224=0,0,IF($U224&lt;1,1/$U224,IF((FN$56-Voorblad!$F$41)/$U224-SUM($EE224:FM224)=1,1,0))))</f>
        <v>0</v>
      </c>
      <c r="FO224" s="8">
        <f>IF(FO$56-Voorblad!$F$41&gt;Voorblad!$K$41,0,IF($U224=0,0,IF($U224&lt;1,1/$U224,IF((FO$56-Voorblad!$F$41)/$U224-SUM($EE224:FN224)=1,1,0))))</f>
        <v>0</v>
      </c>
      <c r="FP224" s="8">
        <f>IF(FP$56-Voorblad!$F$41&gt;Voorblad!$K$41,0,IF($U224=0,0,IF($U224&lt;1,1/$U224,IF((FP$56-Voorblad!$F$41)/$U224-SUM($EE224:FO224)=1,1,0))))</f>
        <v>0</v>
      </c>
      <c r="FQ224" s="8">
        <f>IF(FQ$56-Voorblad!$F$41&gt;Voorblad!$K$41,0,IF($U224=0,0,IF($U224&lt;1,1/$U224,IF((FQ$56-Voorblad!$F$41)/$U224-SUM($EE224:FP224)=1,1,0))))</f>
        <v>0</v>
      </c>
      <c r="FR224" s="8">
        <f>IF(FR$56-Voorblad!$F$41&gt;Voorblad!$K$41,0,IF($U224=0,0,IF($U224&lt;1,1/$U224,IF((FR$56-Voorblad!$F$41)/$U224-SUM($EE224:FQ224)=1,1,0))))</f>
        <v>0</v>
      </c>
      <c r="FS224" s="8">
        <f>IF(FS$56-Voorblad!$F$41&gt;Voorblad!$K$41,0,IF($U224=0,0,IF($U224&lt;1,1/$U224,IF((FS$56-Voorblad!$F$41)/$U224-SUM($EE224:FR224)=1,1,0))))</f>
        <v>0</v>
      </c>
      <c r="FT224" s="8">
        <f>IF(FT$56-Voorblad!$F$41&gt;Voorblad!$K$41,0,IF($U224=0,0,IF($U224&lt;1,1/$U224,IF((FT$56-Voorblad!$F$41)/$U224-SUM($EE224:FS224)=1,1,0))))</f>
        <v>0</v>
      </c>
      <c r="FU224" s="8">
        <f>IF(FU$56-Voorblad!$F$41&gt;Voorblad!$K$41,0,IF($U224=0,0,IF($U224&lt;1,1/$U224,IF((FU$56-Voorblad!$F$41)/$U224-SUM($EE224:FT224)=1,1,0))))</f>
        <v>0</v>
      </c>
      <c r="FV224" s="8">
        <f>IF(FV$56-Voorblad!$F$41&gt;Voorblad!$K$41,0,IF($U224=0,0,IF($U224&lt;1,1/$U224,IF((FV$56-Voorblad!$F$41)/$U224-SUM($EE224:FU224)=1,1,0))))</f>
        <v>0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outlineLevel="1" x14ac:dyDescent="0.25">
      <c r="B225" s="2" t="s">
        <v>272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185955</v>
      </c>
      <c r="U225" s="14"/>
      <c r="V225" s="14"/>
      <c r="W225" s="14"/>
      <c r="X225" s="6"/>
      <c r="Y225" s="23">
        <f>SUM(Y221:Y224)</f>
        <v>84380.902817682261</v>
      </c>
      <c r="Z225" s="24"/>
      <c r="AA225" s="23">
        <f>SUM(AA221:AA224)</f>
        <v>52</v>
      </c>
      <c r="AC225" s="9">
        <f>$Y225*(Voorblad!$K$44*(1+Voorblad!$K$44)^Voorblad!$K$41)/((1+Voorblad!$K$44)^Voorblad!$K$41-1)</f>
        <v>3861.9715111269634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261</v>
      </c>
      <c r="P229" s="1" t="s">
        <v>317</v>
      </c>
      <c r="Q229" s="84">
        <f>2*3.65*0.035</f>
        <v>0.2555</v>
      </c>
      <c r="R229" s="1" t="s">
        <v>101</v>
      </c>
      <c r="S229" s="1">
        <v>-200</v>
      </c>
      <c r="T229" s="21">
        <f t="shared" ref="T229:T236" si="201">Q229*S229</f>
        <v>-51.1</v>
      </c>
      <c r="U229" s="11">
        <v>1</v>
      </c>
      <c r="V229" s="14">
        <f>Voorblad!F24+100</f>
        <v>2060</v>
      </c>
      <c r="W229" s="9">
        <f>Voorblad!$K$77</f>
        <v>2060</v>
      </c>
      <c r="X229" s="6"/>
      <c r="Y229" s="9">
        <f t="shared" ref="Y229" si="202">SUM(AE229:EB229)</f>
        <v>-23.187675157879937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-23.187675157879937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0</v>
      </c>
      <c r="FN229" s="8">
        <f>IF(FN$56-Voorblad!$F$41&gt;Voorblad!$K$41,0,IF($U229=0,0,IF($U229&lt;1,1/$U229,IF((FN$56-Voorblad!$F$41)/$U229-SUM($EE229:FM229)=1,1,0))))</f>
        <v>0</v>
      </c>
      <c r="FO229" s="8">
        <f>IF(FO$56-Voorblad!$F$41&gt;Voorblad!$K$41,0,IF($U229=0,0,IF($U229&lt;1,1/$U229,IF((FO$56-Voorblad!$F$41)/$U229-SUM($EE229:FN229)=1,1,0))))</f>
        <v>0</v>
      </c>
      <c r="FP229" s="8">
        <f>IF(FP$56-Voorblad!$F$41&gt;Voorblad!$K$41,0,IF($U229=0,0,IF($U229&lt;1,1/$U229,IF((FP$56-Voorblad!$F$41)/$U229-SUM($EE229:FO229)=1,1,0))))</f>
        <v>0</v>
      </c>
      <c r="FQ229" s="8">
        <f>IF(FQ$56-Voorblad!$F$41&gt;Voorblad!$K$41,0,IF($U229=0,0,IF($U229&lt;1,1/$U229,IF((FQ$56-Voorblad!$F$41)/$U229-SUM($EE229:FP229)=1,1,0))))</f>
        <v>0</v>
      </c>
      <c r="FR229" s="8">
        <f>IF(FR$56-Voorblad!$F$41&gt;Voorblad!$K$41,0,IF($U229=0,0,IF($U229&lt;1,1/$U229,IF((FR$56-Voorblad!$F$41)/$U229-SUM($EE229:FQ229)=1,1,0))))</f>
        <v>0</v>
      </c>
      <c r="FS229" s="8">
        <f>IF(FS$56-Voorblad!$F$41&gt;Voorblad!$K$41,0,IF($U229=0,0,IF($U229&lt;1,1/$U229,IF((FS$56-Voorblad!$F$41)/$U229-SUM($EE229:FR229)=1,1,0))))</f>
        <v>0</v>
      </c>
      <c r="FT229" s="8">
        <f>IF(FT$56-Voorblad!$F$41&gt;Voorblad!$K$41,0,IF($U229=0,0,IF($U229&lt;1,1/$U229,IF((FT$56-Voorblad!$F$41)/$U229-SUM($EE229:FS229)=1,1,0))))</f>
        <v>0</v>
      </c>
      <c r="FU229" s="8">
        <f>IF(FU$56-Voorblad!$F$41&gt;Voorblad!$K$41,0,IF($U229=0,0,IF($U229&lt;1,1/$U229,IF((FU$56-Voorblad!$F$41)/$U229-SUM($EE229:FT229)=1,1,0))))</f>
        <v>0</v>
      </c>
      <c r="FV229" s="8">
        <f>IF(FV$56-Voorblad!$F$41&gt;Voorblad!$K$41,0,IF($U229=0,0,IF($U229&lt;1,1/$U229,IF((FV$56-Voorblad!$F$41)/$U229-SUM($EE229:FU229)=1,1,0))))</f>
        <v>0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262</v>
      </c>
      <c r="O230" s="1" t="s">
        <v>103</v>
      </c>
      <c r="P230" s="1" t="s">
        <v>315</v>
      </c>
      <c r="Q230" s="83">
        <f>2*22</f>
        <v>44</v>
      </c>
      <c r="R230" s="1" t="s">
        <v>101</v>
      </c>
      <c r="S230" s="1">
        <v>-50</v>
      </c>
      <c r="T230" s="21">
        <f t="shared" si="201"/>
        <v>-2200</v>
      </c>
      <c r="U230" s="11">
        <v>1</v>
      </c>
      <c r="V230" s="14">
        <f>Voorblad!F24+100</f>
        <v>2060</v>
      </c>
      <c r="W230" s="9">
        <f>Voorblad!$K$77</f>
        <v>2060</v>
      </c>
      <c r="X230" s="6"/>
      <c r="Y230" s="9">
        <f t="shared" ref="Y230" si="203">SUM(AE230:EB230)</f>
        <v>-998.29521227663133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-998.29521227663133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0</v>
      </c>
      <c r="FN230" s="8">
        <f>IF(FN$56-Voorblad!$F$41&gt;Voorblad!$K$41,0,IF($U230=0,0,IF($U230&lt;1,1/$U230,IF((FN$56-Voorblad!$F$41)/$U230-SUM($EE230:FM230)=1,1,0))))</f>
        <v>0</v>
      </c>
      <c r="FO230" s="8">
        <f>IF(FO$56-Voorblad!$F$41&gt;Voorblad!$K$41,0,IF($U230=0,0,IF($U230&lt;1,1/$U230,IF((FO$56-Voorblad!$F$41)/$U230-SUM($EE230:FN230)=1,1,0))))</f>
        <v>0</v>
      </c>
      <c r="FP230" s="8">
        <f>IF(FP$56-Voorblad!$F$41&gt;Voorblad!$K$41,0,IF($U230=0,0,IF($U230&lt;1,1/$U230,IF((FP$56-Voorblad!$F$41)/$U230-SUM($EE230:FO230)=1,1,0))))</f>
        <v>0</v>
      </c>
      <c r="FQ230" s="8">
        <f>IF(FQ$56-Voorblad!$F$41&gt;Voorblad!$K$41,0,IF($U230=0,0,IF($U230&lt;1,1/$U230,IF((FQ$56-Voorblad!$F$41)/$U230-SUM($EE230:FP230)=1,1,0))))</f>
        <v>0</v>
      </c>
      <c r="FR230" s="8">
        <f>IF(FR$56-Voorblad!$F$41&gt;Voorblad!$K$41,0,IF($U230=0,0,IF($U230&lt;1,1/$U230,IF((FR$56-Voorblad!$F$41)/$U230-SUM($EE230:FQ230)=1,1,0))))</f>
        <v>0</v>
      </c>
      <c r="FS230" s="8">
        <f>IF(FS$56-Voorblad!$F$41&gt;Voorblad!$K$41,0,IF($U230=0,0,IF($U230&lt;1,1/$U230,IF((FS$56-Voorblad!$F$41)/$U230-SUM($EE230:FR230)=1,1,0))))</f>
        <v>0</v>
      </c>
      <c r="FT230" s="8">
        <f>IF(FT$56-Voorblad!$F$41&gt;Voorblad!$K$41,0,IF($U230=0,0,IF($U230&lt;1,1/$U230,IF((FT$56-Voorblad!$F$41)/$U230-SUM($EE230:FS230)=1,1,0))))</f>
        <v>0</v>
      </c>
      <c r="FU230" s="8">
        <f>IF(FU$56-Voorblad!$F$41&gt;Voorblad!$K$41,0,IF($U230=0,0,IF($U230&lt;1,1/$U230,IF((FU$56-Voorblad!$F$41)/$U230-SUM($EE230:FT230)=1,1,0))))</f>
        <v>0</v>
      </c>
      <c r="FV230" s="8">
        <f>IF(FV$56-Voorblad!$F$41&gt;Voorblad!$K$41,0,IF($U230=0,0,IF($U230&lt;1,1/$U230,IF((FV$56-Voorblad!$F$41)/$U230-SUM($EE230:FU230)=1,1,0))))</f>
        <v>0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263</v>
      </c>
      <c r="O231" s="1" t="s">
        <v>102</v>
      </c>
      <c r="Q231" s="83">
        <f>0.5*Q230</f>
        <v>22</v>
      </c>
      <c r="R231" s="1" t="s">
        <v>101</v>
      </c>
      <c r="S231" s="1">
        <v>-200</v>
      </c>
      <c r="T231" s="21">
        <f t="shared" si="201"/>
        <v>-4400</v>
      </c>
      <c r="U231" s="11">
        <v>1</v>
      </c>
      <c r="V231" s="14">
        <f>Voorblad!F24+100</f>
        <v>2060</v>
      </c>
      <c r="W231" s="9">
        <f>Voorblad!$K$77</f>
        <v>2060</v>
      </c>
      <c r="X231" s="6"/>
      <c r="Y231" s="9">
        <f t="shared" ref="Y231:Y234" si="204">SUM(AE231:EB231)</f>
        <v>-1996.5904245532627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-1996.5904245532627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0</v>
      </c>
      <c r="FN231" s="8">
        <f>IF(FN$56-Voorblad!$F$41&gt;Voorblad!$K$41,0,IF($U231=0,0,IF($U231&lt;1,1/$U231,IF((FN$56-Voorblad!$F$41)/$U231-SUM($EE231:FM231)=1,1,0))))</f>
        <v>0</v>
      </c>
      <c r="FO231" s="8">
        <f>IF(FO$56-Voorblad!$F$41&gt;Voorblad!$K$41,0,IF($U231=0,0,IF($U231&lt;1,1/$U231,IF((FO$56-Voorblad!$F$41)/$U231-SUM($EE231:FN231)=1,1,0))))</f>
        <v>0</v>
      </c>
      <c r="FP231" s="8">
        <f>IF(FP$56-Voorblad!$F$41&gt;Voorblad!$K$41,0,IF($U231=0,0,IF($U231&lt;1,1/$U231,IF((FP$56-Voorblad!$F$41)/$U231-SUM($EE231:FO231)=1,1,0))))</f>
        <v>0</v>
      </c>
      <c r="FQ231" s="8">
        <f>IF(FQ$56-Voorblad!$F$41&gt;Voorblad!$K$41,0,IF($U231=0,0,IF($U231&lt;1,1/$U231,IF((FQ$56-Voorblad!$F$41)/$U231-SUM($EE231:FP231)=1,1,0))))</f>
        <v>0</v>
      </c>
      <c r="FR231" s="8">
        <f>IF(FR$56-Voorblad!$F$41&gt;Voorblad!$K$41,0,IF($U231=0,0,IF($U231&lt;1,1/$U231,IF((FR$56-Voorblad!$F$41)/$U231-SUM($EE231:FQ231)=1,1,0))))</f>
        <v>0</v>
      </c>
      <c r="FS231" s="8">
        <f>IF(FS$56-Voorblad!$F$41&gt;Voorblad!$K$41,0,IF($U231=0,0,IF($U231&lt;1,1/$U231,IF((FS$56-Voorblad!$F$41)/$U231-SUM($EE231:FR231)=1,1,0))))</f>
        <v>0</v>
      </c>
      <c r="FT231" s="8">
        <f>IF(FT$56-Voorblad!$F$41&gt;Voorblad!$K$41,0,IF($U231=0,0,IF($U231&lt;1,1/$U231,IF((FT$56-Voorblad!$F$41)/$U231-SUM($EE231:FS231)=1,1,0))))</f>
        <v>0</v>
      </c>
      <c r="FU231" s="8">
        <f>IF(FU$56-Voorblad!$F$41&gt;Voorblad!$K$41,0,IF($U231=0,0,IF($U231&lt;1,1/$U231,IF((FU$56-Voorblad!$F$41)/$U231-SUM($EE231:FT231)=1,1,0))))</f>
        <v>0</v>
      </c>
      <c r="FV231" s="8">
        <f>IF(FV$56-Voorblad!$F$41&gt;Voorblad!$K$41,0,IF($U231=0,0,IF($U231&lt;1,1/$U231,IF((FV$56-Voorblad!$F$41)/$U231-SUM($EE231:FU231)=1,1,0))))</f>
        <v>0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264</v>
      </c>
      <c r="O232" s="1" t="s">
        <v>137</v>
      </c>
      <c r="Q232" s="83">
        <v>0</v>
      </c>
      <c r="R232" s="1" t="s">
        <v>101</v>
      </c>
      <c r="S232" s="1">
        <v>-50</v>
      </c>
      <c r="T232" s="21">
        <f t="shared" si="201"/>
        <v>0</v>
      </c>
      <c r="U232" s="11">
        <v>1</v>
      </c>
      <c r="V232" s="14">
        <f>Voorblad!F24+100</f>
        <v>2060</v>
      </c>
      <c r="W232" s="9">
        <f>Voorblad!$K$77</f>
        <v>2060</v>
      </c>
      <c r="X232" s="6"/>
      <c r="Y232" s="9">
        <f t="shared" ref="Y232" si="205">SUM(AE232:EB232)</f>
        <v>0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0</v>
      </c>
      <c r="FN232" s="8">
        <f>IF(FN$56-Voorblad!$F$41&gt;Voorblad!$K$41,0,IF($U232=0,0,IF($U232&lt;1,1/$U232,IF((FN$56-Voorblad!$F$41)/$U232-SUM($EE232:FM232)=1,1,0))))</f>
        <v>0</v>
      </c>
      <c r="FO232" s="8">
        <f>IF(FO$56-Voorblad!$F$41&gt;Voorblad!$K$41,0,IF($U232=0,0,IF($U232&lt;1,1/$U232,IF((FO$56-Voorblad!$F$41)/$U232-SUM($EE232:FN232)=1,1,0))))</f>
        <v>0</v>
      </c>
      <c r="FP232" s="8">
        <f>IF(FP$56-Voorblad!$F$41&gt;Voorblad!$K$41,0,IF($U232=0,0,IF($U232&lt;1,1/$U232,IF((FP$56-Voorblad!$F$41)/$U232-SUM($EE232:FO232)=1,1,0))))</f>
        <v>0</v>
      </c>
      <c r="FQ232" s="8">
        <f>IF(FQ$56-Voorblad!$F$41&gt;Voorblad!$K$41,0,IF($U232=0,0,IF($U232&lt;1,1/$U232,IF((FQ$56-Voorblad!$F$41)/$U232-SUM($EE232:FP232)=1,1,0))))</f>
        <v>0</v>
      </c>
      <c r="FR232" s="8">
        <f>IF(FR$56-Voorblad!$F$41&gt;Voorblad!$K$41,0,IF($U232=0,0,IF($U232&lt;1,1/$U232,IF((FR$56-Voorblad!$F$41)/$U232-SUM($EE232:FQ232)=1,1,0))))</f>
        <v>0</v>
      </c>
      <c r="FS232" s="8">
        <f>IF(FS$56-Voorblad!$F$41&gt;Voorblad!$K$41,0,IF($U232=0,0,IF($U232&lt;1,1/$U232,IF((FS$56-Voorblad!$F$41)/$U232-SUM($EE232:FR232)=1,1,0))))</f>
        <v>0</v>
      </c>
      <c r="FT232" s="8">
        <f>IF(FT$56-Voorblad!$F$41&gt;Voorblad!$K$41,0,IF($U232=0,0,IF($U232&lt;1,1/$U232,IF((FT$56-Voorblad!$F$41)/$U232-SUM($EE232:FS232)=1,1,0))))</f>
        <v>0</v>
      </c>
      <c r="FU232" s="8">
        <f>IF(FU$56-Voorblad!$F$41&gt;Voorblad!$K$41,0,IF($U232=0,0,IF($U232&lt;1,1/$U232,IF((FU$56-Voorblad!$F$41)/$U232-SUM($EE232:FT232)=1,1,0))))</f>
        <v>0</v>
      </c>
      <c r="FV232" s="8">
        <f>IF(FV$56-Voorblad!$F$41&gt;Voorblad!$K$41,0,IF($U232=0,0,IF($U232&lt;1,1/$U232,IF((FV$56-Voorblad!$F$41)/$U232-SUM($EE232:FU232)=1,1,0))))</f>
        <v>0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265</v>
      </c>
      <c r="O233" s="1" t="s">
        <v>136</v>
      </c>
      <c r="Q233" s="83">
        <f>0.2*Q232</f>
        <v>0</v>
      </c>
      <c r="R233" s="1" t="s">
        <v>101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2060</v>
      </c>
      <c r="W233" s="9">
        <f>Voorblad!$K$77</f>
        <v>2060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0</v>
      </c>
      <c r="FN233" s="8">
        <f>IF(FN$56-Voorblad!$F$41&gt;Voorblad!$K$41,0,IF($U233=0,0,IF($U233&lt;1,1/$U233,IF((FN$56-Voorblad!$F$41)/$U233-SUM($EE233:FM233)=1,1,0))))</f>
        <v>0</v>
      </c>
      <c r="FO233" s="8">
        <f>IF(FO$56-Voorblad!$F$41&gt;Voorblad!$K$41,0,IF($U233=0,0,IF($U233&lt;1,1/$U233,IF((FO$56-Voorblad!$F$41)/$U233-SUM($EE233:FN233)=1,1,0))))</f>
        <v>0</v>
      </c>
      <c r="FP233" s="8">
        <f>IF(FP$56-Voorblad!$F$41&gt;Voorblad!$K$41,0,IF($U233=0,0,IF($U233&lt;1,1/$U233,IF((FP$56-Voorblad!$F$41)/$U233-SUM($EE233:FO233)=1,1,0))))</f>
        <v>0</v>
      </c>
      <c r="FQ233" s="8">
        <f>IF(FQ$56-Voorblad!$F$41&gt;Voorblad!$K$41,0,IF($U233=0,0,IF($U233&lt;1,1/$U233,IF((FQ$56-Voorblad!$F$41)/$U233-SUM($EE233:FP233)=1,1,0))))</f>
        <v>0</v>
      </c>
      <c r="FR233" s="8">
        <f>IF(FR$56-Voorblad!$F$41&gt;Voorblad!$K$41,0,IF($U233=0,0,IF($U233&lt;1,1/$U233,IF((FR$56-Voorblad!$F$41)/$U233-SUM($EE233:FQ233)=1,1,0))))</f>
        <v>0</v>
      </c>
      <c r="FS233" s="8">
        <f>IF(FS$56-Voorblad!$F$41&gt;Voorblad!$K$41,0,IF($U233=0,0,IF($U233&lt;1,1/$U233,IF((FS$56-Voorblad!$F$41)/$U233-SUM($EE233:FR233)=1,1,0))))</f>
        <v>0</v>
      </c>
      <c r="FT233" s="8">
        <f>IF(FT$56-Voorblad!$F$41&gt;Voorblad!$K$41,0,IF($U233=0,0,IF($U233&lt;1,1/$U233,IF((FT$56-Voorblad!$F$41)/$U233-SUM($EE233:FS233)=1,1,0))))</f>
        <v>0</v>
      </c>
      <c r="FU233" s="8">
        <f>IF(FU$56-Voorblad!$F$41&gt;Voorblad!$K$41,0,IF($U233=0,0,IF($U233&lt;1,1/$U233,IF((FU$56-Voorblad!$F$41)/$U233-SUM($EE233:FT233)=1,1,0))))</f>
        <v>0</v>
      </c>
      <c r="FV233" s="8">
        <f>IF(FV$56-Voorblad!$F$41&gt;Voorblad!$K$41,0,IF($U233=0,0,IF($U233&lt;1,1/$U233,IF((FV$56-Voorblad!$F$41)/$U233-SUM($EE233:FU233)=1,1,0))))</f>
        <v>0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266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2060</v>
      </c>
      <c r="W234" s="9">
        <f>Voorblad!$K$77</f>
        <v>2060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0</v>
      </c>
      <c r="FN234" s="8">
        <f>IF(FN$56-Voorblad!$F$41&gt;Voorblad!$K$41,0,IF($U234=0,0,IF($U234&lt;1,1/$U234,IF((FN$56-Voorblad!$F$41)/$U234-SUM($EE234:FM234)=1,1,0))))</f>
        <v>0</v>
      </c>
      <c r="FO234" s="8">
        <f>IF(FO$56-Voorblad!$F$41&gt;Voorblad!$K$41,0,IF($U234=0,0,IF($U234&lt;1,1/$U234,IF((FO$56-Voorblad!$F$41)/$U234-SUM($EE234:FN234)=1,1,0))))</f>
        <v>0</v>
      </c>
      <c r="FP234" s="8">
        <f>IF(FP$56-Voorblad!$F$41&gt;Voorblad!$K$41,0,IF($U234=0,0,IF($U234&lt;1,1/$U234,IF((FP$56-Voorblad!$F$41)/$U234-SUM($EE234:FO234)=1,1,0))))</f>
        <v>0</v>
      </c>
      <c r="FQ234" s="8">
        <f>IF(FQ$56-Voorblad!$F$41&gt;Voorblad!$K$41,0,IF($U234=0,0,IF($U234&lt;1,1/$U234,IF((FQ$56-Voorblad!$F$41)/$U234-SUM($EE234:FP234)=1,1,0))))</f>
        <v>0</v>
      </c>
      <c r="FR234" s="8">
        <f>IF(FR$56-Voorblad!$F$41&gt;Voorblad!$K$41,0,IF($U234=0,0,IF($U234&lt;1,1/$U234,IF((FR$56-Voorblad!$F$41)/$U234-SUM($EE234:FQ234)=1,1,0))))</f>
        <v>0</v>
      </c>
      <c r="FS234" s="8">
        <f>IF(FS$56-Voorblad!$F$41&gt;Voorblad!$K$41,0,IF($U234=0,0,IF($U234&lt;1,1/$U234,IF((FS$56-Voorblad!$F$41)/$U234-SUM($EE234:FR234)=1,1,0))))</f>
        <v>0</v>
      </c>
      <c r="FT234" s="8">
        <f>IF(FT$56-Voorblad!$F$41&gt;Voorblad!$K$41,0,IF($U234=0,0,IF($U234&lt;1,1/$U234,IF((FT$56-Voorblad!$F$41)/$U234-SUM($EE234:FS234)=1,1,0))))</f>
        <v>0</v>
      </c>
      <c r="FU234" s="8">
        <f>IF(FU$56-Voorblad!$F$41&gt;Voorblad!$K$41,0,IF($U234=0,0,IF($U234&lt;1,1/$U234,IF((FU$56-Voorblad!$F$41)/$U234-SUM($EE234:FT234)=1,1,0))))</f>
        <v>0</v>
      </c>
      <c r="FV234" s="8">
        <f>IF(FV$56-Voorblad!$F$41&gt;Voorblad!$K$41,0,IF($U234=0,0,IF($U234&lt;1,1/$U234,IF((FV$56-Voorblad!$F$41)/$U234-SUM($EE234:FU234)=1,1,0))))</f>
        <v>0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P235" s="1" t="s">
        <v>307</v>
      </c>
      <c r="Q235" s="83">
        <f>1.8*25</f>
        <v>45</v>
      </c>
      <c r="R235" s="1" t="s">
        <v>101</v>
      </c>
      <c r="S235" s="1">
        <v>-50</v>
      </c>
      <c r="T235" s="14">
        <f t="shared" si="201"/>
        <v>-2250</v>
      </c>
      <c r="U235" s="11">
        <v>1</v>
      </c>
      <c r="V235" s="14">
        <f>Voorblad!F24+100</f>
        <v>2060</v>
      </c>
      <c r="W235" s="9">
        <f>Voorblad!$K$77</f>
        <v>2060</v>
      </c>
      <c r="X235" s="6"/>
      <c r="Y235" s="9">
        <f t="shared" ref="Y235" si="207">SUM(AE235:EB235)</f>
        <v>-1020.9837398283729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-1020.9837398283729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0</v>
      </c>
      <c r="FN235" s="8">
        <f>IF(FN$56-Voorblad!$F$41&gt;Voorblad!$K$41,0,IF($U235=0,0,IF($U235&lt;1,1/$U235,IF((FN$56-Voorblad!$F$41)/$U235-SUM($EE235:FM235)=1,1,0))))</f>
        <v>0</v>
      </c>
      <c r="FO235" s="8">
        <f>IF(FO$56-Voorblad!$F$41&gt;Voorblad!$K$41,0,IF($U235=0,0,IF($U235&lt;1,1/$U235,IF((FO$56-Voorblad!$F$41)/$U235-SUM($EE235:FN235)=1,1,0))))</f>
        <v>0</v>
      </c>
      <c r="FP235" s="8">
        <f>IF(FP$56-Voorblad!$F$41&gt;Voorblad!$K$41,0,IF($U235=0,0,IF($U235&lt;1,1/$U235,IF((FP$56-Voorblad!$F$41)/$U235-SUM($EE235:FO235)=1,1,0))))</f>
        <v>0</v>
      </c>
      <c r="FQ235" s="8">
        <f>IF(FQ$56-Voorblad!$F$41&gt;Voorblad!$K$41,0,IF($U235=0,0,IF($U235&lt;1,1/$U235,IF((FQ$56-Voorblad!$F$41)/$U235-SUM($EE235:FP235)=1,1,0))))</f>
        <v>0</v>
      </c>
      <c r="FR235" s="8">
        <f>IF(FR$56-Voorblad!$F$41&gt;Voorblad!$K$41,0,IF($U235=0,0,IF($U235&lt;1,1/$U235,IF((FR$56-Voorblad!$F$41)/$U235-SUM($EE235:FQ235)=1,1,0))))</f>
        <v>0</v>
      </c>
      <c r="FS235" s="8">
        <f>IF(FS$56-Voorblad!$F$41&gt;Voorblad!$K$41,0,IF($U235=0,0,IF($U235&lt;1,1/$U235,IF((FS$56-Voorblad!$F$41)/$U235-SUM($EE235:FR235)=1,1,0))))</f>
        <v>0</v>
      </c>
      <c r="FT235" s="8">
        <f>IF(FT$56-Voorblad!$F$41&gt;Voorblad!$K$41,0,IF($U235=0,0,IF($U235&lt;1,1/$U235,IF((FT$56-Voorblad!$F$41)/$U235-SUM($EE235:FS235)=1,1,0))))</f>
        <v>0</v>
      </c>
      <c r="FU235" s="8">
        <f>IF(FU$56-Voorblad!$F$41&gt;Voorblad!$K$41,0,IF($U235=0,0,IF($U235&lt;1,1/$U235,IF((FU$56-Voorblad!$F$41)/$U235-SUM($EE235:FT235)=1,1,0))))</f>
        <v>0</v>
      </c>
      <c r="FV235" s="8">
        <f>IF(FV$56-Voorblad!$F$41&gt;Voorblad!$K$41,0,IF($U235=0,0,IF($U235&lt;1,1/$U235,IF((FV$56-Voorblad!$F$41)/$U235-SUM($EE235:FU235)=1,1,0))))</f>
        <v>0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2060</v>
      </c>
      <c r="W236" s="9">
        <f>Voorblad!$K$77</f>
        <v>2060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0</v>
      </c>
      <c r="FN236" s="8">
        <f>IF(FN$56-Voorblad!$F$41&gt;Voorblad!$K$41,0,IF($U236=0,0,IF($U236&lt;1,1/$U236,IF((FN$56-Voorblad!$F$41)/$U236-SUM($EE236:FM236)=1,1,0))))</f>
        <v>0</v>
      </c>
      <c r="FO236" s="8">
        <f>IF(FO$56-Voorblad!$F$41&gt;Voorblad!$K$41,0,IF($U236=0,0,IF($U236&lt;1,1/$U236,IF((FO$56-Voorblad!$F$41)/$U236-SUM($EE236:FN236)=1,1,0))))</f>
        <v>0</v>
      </c>
      <c r="FP236" s="8">
        <f>IF(FP$56-Voorblad!$F$41&gt;Voorblad!$K$41,0,IF($U236=0,0,IF($U236&lt;1,1/$U236,IF((FP$56-Voorblad!$F$41)/$U236-SUM($EE236:FO236)=1,1,0))))</f>
        <v>0</v>
      </c>
      <c r="FQ236" s="8">
        <f>IF(FQ$56-Voorblad!$F$41&gt;Voorblad!$K$41,0,IF($U236=0,0,IF($U236&lt;1,1/$U236,IF((FQ$56-Voorblad!$F$41)/$U236-SUM($EE236:FP236)=1,1,0))))</f>
        <v>0</v>
      </c>
      <c r="FR236" s="8">
        <f>IF(FR$56-Voorblad!$F$41&gt;Voorblad!$K$41,0,IF($U236=0,0,IF($U236&lt;1,1/$U236,IF((FR$56-Voorblad!$F$41)/$U236-SUM($EE236:FQ236)=1,1,0))))</f>
        <v>0</v>
      </c>
      <c r="FS236" s="8">
        <f>IF(FS$56-Voorblad!$F$41&gt;Voorblad!$K$41,0,IF($U236=0,0,IF($U236&lt;1,1/$U236,IF((FS$56-Voorblad!$F$41)/$U236-SUM($EE236:FR236)=1,1,0))))</f>
        <v>0</v>
      </c>
      <c r="FT236" s="8">
        <f>IF(FT$56-Voorblad!$F$41&gt;Voorblad!$K$41,0,IF($U236=0,0,IF($U236&lt;1,1/$U236,IF((FT$56-Voorblad!$F$41)/$U236-SUM($EE236:FS236)=1,1,0))))</f>
        <v>0</v>
      </c>
      <c r="FU236" s="8">
        <f>IF(FU$56-Voorblad!$F$41&gt;Voorblad!$K$41,0,IF($U236=0,0,IF($U236&lt;1,1/$U236,IF((FU$56-Voorblad!$F$41)/$U236-SUM($EE236:FT236)=1,1,0))))</f>
        <v>0</v>
      </c>
      <c r="FV236" s="8">
        <f>IF(FV$56-Voorblad!$F$41&gt;Voorblad!$K$41,0,IF($U236=0,0,IF($U236&lt;1,1/$U236,IF((FV$56-Voorblad!$F$41)/$U236-SUM($EE236:FU236)=1,1,0))))</f>
        <v>0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271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-8901.1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de75ed97-d5d0-480f-8c5e-5314c0bb509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2019-12-10T08:20:28Z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</Properties>
</file>