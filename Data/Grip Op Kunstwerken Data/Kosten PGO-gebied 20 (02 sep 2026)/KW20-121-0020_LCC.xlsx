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55E4F186-4107-4757-B94F-9C33EB04AE0B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2" i="1" l="1"/>
  <c r="Q233" i="1" s="1"/>
  <c r="Q230" i="1"/>
  <c r="Q231" i="1" s="1"/>
  <c r="Q204" i="1"/>
  <c r="Q197" i="1"/>
  <c r="Q196" i="1"/>
  <c r="Q201" i="1" s="1"/>
  <c r="Q149" i="1"/>
  <c r="Q146" i="1"/>
  <c r="Q139" i="1"/>
  <c r="Q137" i="1"/>
  <c r="Q136" i="1"/>
  <c r="Q133" i="1"/>
  <c r="Q122" i="1"/>
  <c r="Q117" i="1"/>
  <c r="Q115" i="1"/>
  <c r="Q113" i="1"/>
  <c r="Q110" i="1"/>
  <c r="AA46" i="1"/>
  <c r="Q46" i="1"/>
  <c r="S40" i="1"/>
  <c r="S39" i="1"/>
  <c r="Q198" i="1" l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O63" i="2"/>
  <c r="N63" i="2"/>
  <c r="N62" i="2"/>
  <c r="M63" i="2"/>
  <c r="L63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6" i="2" l="1"/>
  <c r="L64" i="2"/>
  <c r="L62" i="2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<sst xmlns="http://schemas.openxmlformats.org/spreadsheetml/2006/main" count="1030" uniqueCount="320">
  <si>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</si>
  <si>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</si>
  <si>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</si>
  <si>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</si>
  <si>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</si>
  <si>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</si>
  <si>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</si>
  <si>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</si>
  <si>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</si>
  <si>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</si>
  <si>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</si>
  <si>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</si>
  <si>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</si>
  <si>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</si>
  <si>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</si>
  <si>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</si>
  <si>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</si>
  <si>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</si>
  <si>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</si>
  <si>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</si>
  <si>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</si>
  <si>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</si>
  <si>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</si>
  <si>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</si>
  <si>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</si>
  <si>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</si>
  <si>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</si>
  <si>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</si>
  <si>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</si>
  <si>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</si>
  <si>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</si>
  <si>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</si>
  <si>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</si>
  <si>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</si>
  <si>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</si>
  <si>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</si>
  <si>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</si>
  <si>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</si>
  <si>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</si>
  <si>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</si>
  <si>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</si>
  <si>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</si>
  <si>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</si>
  <si>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</si>
  <si>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</si>
  <si>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</si>
  <si>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</si>
  <si>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</si>
  <si>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</si>
  <si>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</si>
  <si>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</si>
  <si>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</si>
  <si>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</si>
  <si>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</si>
  <si>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</si>
  <si>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</si>
  <si>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</si>
  <si>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</si>
  <si>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</si>
  <si>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</si>
  <si>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</si>
  <si>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</si>
  <si>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</si>
  <si>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</si>
  <si>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</si>
  <si>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</si>
  <si>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</si>
  <si>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</si>
  <si>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</si>
  <si>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</si>
  <si>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</si>
  <si>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</si>
  <si>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</si>
  <si>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</si>
  <si>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</si>
  <si>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</si>
  <si>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</si>
  <si>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</si>
  <si>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</si>
  <si>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</si>
  <si>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</si>
  <si>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</si>
  <si>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</si>
  <si>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</si>
  <si>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</si>
  <si>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</si>
  <si>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</si>
  <si>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</si>
  <si>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</si>
  <si>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</si>
  <si>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</si>
  <si>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</si>
  <si>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</si>
  <si>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</si>
  <si>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</si>
  <si>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</si>
  <si>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</si>
  <si>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</si>
  <si>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</si>
  <si>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</si>
  <si>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</si>
  <si>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</si>
  <si>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</si>
  <si>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</si>
  <si>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</si>
  <si>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</si>
  <si>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</si>
  <si>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</si>
  <si>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</si>
  <si>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</si>
  <si>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</si>
  <si>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</si>
  <si>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</si>
  <si>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</si>
  <si>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</si>
  <si>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</si>
  <si>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</si>
  <si>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</si>
  <si>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</si>
  <si>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</si>
  <si>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</si>
  <si>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</si>
  <si>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</si>
  <si>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</si>
  <si>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</si>
  <si>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</si>
  <si>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</si>
  <si>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</si>
  <si>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</si>
  <si>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</si>
  <si>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</si>
  <si>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</si>
  <si>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</si>
  <si>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</si>
  <si>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</si>
  <si>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</si>
  <si>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</si>
  <si>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</si>
  <si>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</si>
  <si>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</si>
  <si>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</si>
  <si>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</si>
  <si>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</si>
  <si>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</si>
  <si>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</si>
  <si>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</si>
  <si>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</si>
  <si>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</si>
  <si>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</si>
  <si>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</si>
  <si>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</si>
  <si>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</si>
  <si>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</si>
  <si>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</si>
  <si>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</si>
  <si>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</si>
  <si>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</si>
  <si>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</si>
  <si>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</si>
  <si>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</si>
  <si>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</si>
  <si>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</si>
  <si>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</si>
  <si>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</si>
  <si>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</si>
  <si>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</si>
  <si>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</si>
  <si>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</si>
  <si>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</si>
  <si>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</si>
  <si>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</si>
  <si>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</si>
  <si>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</si>
  <si>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</si>
  <si>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</si>
  <si>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</si>
  <si>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</si>
  <si>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</si>
  <si>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</si>
  <si>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</si>
  <si>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</si>
  <si>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</si>
  <si>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</si>
  <si>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</si>
  <si>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</si>
  <si>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</si>
  <si>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</si>
  <si>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</si>
  <si>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</si>
  <si>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</si>
  <si>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</si>
  <si>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</si>
  <si>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</si>
  <si>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</si>
  <si>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</si>
  <si>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</si>
  <si>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</si>
  <si>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</si>
  <si>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</si>
  <si>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</si>
  <si>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</si>
  <si>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</si>
  <si>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</si>
  <si>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</si>
  <si>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</si>
  <si>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</si>
  <si>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</si>
  <si>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</si>
  <si>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</si>
  <si>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</si>
  <si>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</si>
  <si>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</si>
  <si>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</si>
  <si>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</si>
  <si>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</si>
  <si>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</si>
  <si>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</si>
  <si>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</si>
  <si>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</si>
  <si>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</si>
  <si>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</si>
  <si>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</si>
  <si>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</si>
  <si>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</si>
  <si>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</si>
  <si>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</si>
  <si>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</si>
  <si>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</si>
  <si>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</si>
  <si>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</si>
  <si>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</si>
  <si>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</si>
  <si>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</si>
  <si>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</si>
  <si>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</si>
  <si>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</si>
  <si>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</si>
  <si>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</si>
  <si>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</si>
  <si>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</si>
  <si>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</si>
  <si>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</si>
  <si>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</si>
  <si>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</si>
  <si>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</si>
  <si>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</si>
  <si>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</si>
  <si>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</si>
  <si>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</si>
  <si>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</si>
  <si>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</si>
  <si>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</si>
  <si>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</si>
  <si>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</si>
  <si>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</si>
  <si>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</si>
  <si>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</si>
  <si>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</si>
  <si>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</si>
  <si>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</si>
  <si>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</si>
  <si>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</si>
  <si>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</si>
  <si>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</si>
  <si>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</si>
  <si>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</si>
  <si>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</si>
  <si>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</si>
  <si>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</si>
  <si>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</si>
  <si>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</si>
  <si>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</si>
  <si>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</si>
  <si>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</si>
  <si>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</si>
  <si>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</si>
  <si>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</si>
  <si>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</si>
  <si>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</si>
  <si>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</si>
  <si>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</si>
  <si>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</si>
  <si>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</si>
  <si>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</si>
  <si>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</si>
  <si>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</si>
  <si>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</si>
  <si>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</si>
  <si>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</si>
  <si>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</si>
  <si>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</si>
  <si>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</si>
  <si>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</si>
  <si>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</si>
  <si>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</si>
  <si>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</si>
  <si>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</si>
  <si>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</si>
  <si>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</si>
  <si>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</si>
  <si>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alleen spoordek</t>
  </si>
  <si>
    <t>Totaal kosten cat. 2 (advies IB tlv ProRail AM)</t>
  </si>
  <si>
    <t>10735909 + 10877213</t>
  </si>
  <si>
    <t>KW20-121-0020</t>
  </si>
  <si>
    <t>Spoorviaduct o/d Mark (Markbrug)</t>
  </si>
  <si>
    <t>Drimmelen</t>
  </si>
  <si>
    <t>Gewapend beton (op paalfundering)</t>
  </si>
  <si>
    <t>Betonnen voorgespannen DS-dek aan weerszijden geïntegreerde PV-paden</t>
  </si>
  <si>
    <t>no/ko</t>
  </si>
  <si>
    <t>regelmatig (maandelijks) schouwen tav vocht bij oplegvlakken, indien vocht dan onder handbereik inspecteren</t>
  </si>
  <si>
    <t>insp/ko</t>
  </si>
  <si>
    <t>controleren watergoot landhoofden achter opleggingen en vervuiling hoeken landhoofden verwijderen</t>
  </si>
  <si>
    <t>valt deze BHM niet in contract van de PCA? (dan cat. 3 ipv 2)</t>
  </si>
  <si>
    <t>in kwp staat in 2017 maandelijks schouwen?</t>
  </si>
  <si>
    <t>4x52</t>
  </si>
  <si>
    <t>Σ: van 2 landhfdn + vleugelwandn + 4 tussenstnpntn</t>
  </si>
  <si>
    <t xml:space="preserve">Σ: van 2 landhfdn + vleugelwandn + 1 tussenstnpntn </t>
  </si>
  <si>
    <t>spoordek+PV-paden: 1465 m3</t>
  </si>
  <si>
    <t>Σ: 2 landhfdn + 4 tussenstnpntn: 1500 m3</t>
  </si>
  <si>
    <t>leuningen 2x115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</si>
</sst>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5" fillId="8" borderId="0" xfId="0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T78" sqref="T7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148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302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121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8.625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2002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306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307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144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74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2102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280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regelmatig (maandelijks) schouwen tav vocht bij oplegvlakken, indien vocht dan onder handbereik inspecteren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4425</v>
      </c>
      <c r="M52" s="64">
        <f>'Berekening MJOP+LTP'!Y39</f>
        <v>4211.7787031528851</v>
      </c>
      <c r="N52" s="61">
        <f>'Berekening MJOP+LTP'!AA39</f>
        <v>0</v>
      </c>
      <c r="O52" s="255">
        <f>'Berekening MJOP+LTP'!AC39</f>
        <v>481.23262539806979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controleren watergoot landhoofden achter opleggingen en vervuiling hoeken landhoofden verwijderen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1770</v>
      </c>
      <c r="M53" s="64">
        <f>'Berekening MJOP+LTP'!Y40</f>
        <v>1684.7114812611542</v>
      </c>
      <c r="N53" s="61">
        <f>'Berekening MJOP+LTP'!AA40</f>
        <v>0</v>
      </c>
      <c r="O53" s="255">
        <f>'Berekening MJOP+LTP'!AC40</f>
        <v>192.49305015922792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2102</v>
      </c>
      <c r="K59" s="159">
        <v>2102</v>
      </c>
      <c r="L59" s="156">
        <f>'Berekening MJOP+LTP'!T46</f>
        <v>16614645.300000001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293</v>
      </c>
      <c r="C60" s="189"/>
      <c r="D60" s="208"/>
      <c r="E60" s="208"/>
      <c r="F60" s="189"/>
      <c r="G60" s="190" t="s">
        <v>150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301</v>
      </c>
      <c r="C61" s="194"/>
      <c r="D61" s="212"/>
      <c r="E61" s="212"/>
      <c r="F61" s="194"/>
      <c r="G61" s="195" t="s">
        <v>150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294</v>
      </c>
      <c r="C62" s="194"/>
      <c r="D62" s="212"/>
      <c r="E62" s="212"/>
      <c r="F62" s="194"/>
      <c r="G62" s="195" t="s">
        <v>150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11195</v>
      </c>
      <c r="M62" s="214">
        <f>SUMIF(B51:B58,2,M51:M58)</f>
        <v>10539.487239012784</v>
      </c>
      <c r="N62" s="247">
        <f>SUMIF(B51:B58,2,N51:N58)</f>
        <v>0</v>
      </c>
      <c r="O62" s="259">
        <f>SUMIF(B51:B58,2,O51:O58)</f>
        <v>1204.2287764508569</v>
      </c>
      <c r="P62" s="236"/>
    </row>
    <row r="63" spans="2:16" x14ac:dyDescent="0.3">
      <c r="B63" s="211" t="s">
        <v>295</v>
      </c>
      <c r="C63" s="194"/>
      <c r="D63" s="212"/>
      <c r="E63" s="212"/>
      <c r="F63" s="194"/>
      <c r="G63" s="195" t="s">
        <v>150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150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11195</v>
      </c>
      <c r="M64" s="214">
        <f>SUM(M51:M58)</f>
        <v>10539.487239012784</v>
      </c>
      <c r="N64" s="247">
        <f>SUM(N51:N58)</f>
        <v>0</v>
      </c>
      <c r="O64" s="259">
        <f>SUM(O51:O58)</f>
        <v>1204.2287764508569</v>
      </c>
      <c r="P64" s="236"/>
    </row>
    <row r="65" spans="2:16" x14ac:dyDescent="0.3">
      <c r="B65" s="211" t="s">
        <v>296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2102</v>
      </c>
      <c r="L65" s="214">
        <f>L59</f>
        <v>16614645.300000001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150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16637340.300000001</v>
      </c>
      <c r="M66" s="218">
        <f>SUM(M49:M59)</f>
        <v>20849.05029027292</v>
      </c>
      <c r="N66" s="249">
        <f>SUM(N49:N59)</f>
        <v>208</v>
      </c>
      <c r="O66" s="260">
        <f>SUM(O49:O59)</f>
        <v>2382.1866995845876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280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2102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420844.82176119729</v>
      </c>
      <c r="N75" s="61">
        <f>'Berekening MJOP+LTP'!AA125</f>
        <v>0</v>
      </c>
      <c r="O75" s="261">
        <f>'Berekening MJOP+LTP'!AC125</f>
        <v>12537.901958721131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290008.52514520643</v>
      </c>
      <c r="N76" s="61">
        <f>'Berekening MJOP+LTP'!AA147</f>
        <v>0</v>
      </c>
      <c r="O76" s="261">
        <f>'Berekening MJOP+LTP'!AC147</f>
        <v>8639.9980882434738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2102</v>
      </c>
      <c r="K77" s="90">
        <v>2102</v>
      </c>
      <c r="L77" s="64">
        <f>'Berekening MJOP+LTP'!T154</f>
        <v>13735438.200000001</v>
      </c>
      <c r="M77" s="64">
        <f>'Berekening MJOP+LTP'!Y154</f>
        <v>2209410.8388789068</v>
      </c>
      <c r="N77" s="61">
        <f>'Berekening MJOP+LTP'!AA149</f>
        <v>104</v>
      </c>
      <c r="O77" s="261">
        <f>'Berekening MJOP+LTP'!AC154</f>
        <v>65823.256107730645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2102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101460.33194066801</v>
      </c>
      <c r="N83" s="61">
        <f>'Berekening MJOP+LTP'!AA199</f>
        <v>0</v>
      </c>
      <c r="O83" s="261">
        <f>'Berekening MJOP+LTP'!AC199</f>
        <v>3022.7286372391991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11885.324652611947</v>
      </c>
      <c r="N84" s="61">
        <f>'Berekening MJOP+LTP'!AA202</f>
        <v>0</v>
      </c>
      <c r="O84" s="261">
        <f>'Berekening MJOP+LTP'!AC202</f>
        <v>354.09021933166991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2102</v>
      </c>
      <c r="K85" s="90">
        <v>2102</v>
      </c>
      <c r="L85" s="64">
        <f>'Berekening MJOP+LTP'!T208</f>
        <v>2866743</v>
      </c>
      <c r="M85" s="64">
        <f>'Berekening MJOP+LTP'!Y208</f>
        <v>461129.30394024367</v>
      </c>
      <c r="N85" s="61">
        <f>'Berekening MJOP+LTP'!AA204</f>
        <v>104</v>
      </c>
      <c r="O85" s="261">
        <f>'Berekening MJOP+LTP'!AC208</f>
        <v>13738.066156785886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2102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-725735</v>
      </c>
      <c r="M91" s="64"/>
      <c r="N91" s="251"/>
      <c r="O91" s="262"/>
      <c r="P91" s="241"/>
      <c r="Q91" s="27"/>
    </row>
    <row r="92" spans="2:17" x14ac:dyDescent="0.3">
      <c r="B92" s="207" t="s">
        <v>297</v>
      </c>
      <c r="C92" s="208"/>
      <c r="D92" s="208"/>
      <c r="E92" s="208"/>
      <c r="F92" s="189"/>
      <c r="G92" s="204" t="s">
        <v>151</v>
      </c>
      <c r="H92" s="191">
        <f>F41</f>
        <v>2028</v>
      </c>
      <c r="I92" s="209" t="s">
        <v>29</v>
      </c>
      <c r="J92" s="192">
        <f>K42</f>
        <v>2102</v>
      </c>
      <c r="K92" s="219"/>
      <c r="L92" s="220"/>
      <c r="M92" s="220">
        <f t="shared" ref="M92:O94" si="1">M71+M75+M79+M83+M87</f>
        <v>522305.15370186529</v>
      </c>
      <c r="N92" s="267">
        <f t="shared" si="1"/>
        <v>0</v>
      </c>
      <c r="O92" s="263">
        <f t="shared" si="1"/>
        <v>15560.630595960331</v>
      </c>
      <c r="P92" s="242"/>
    </row>
    <row r="93" spans="2:17" x14ac:dyDescent="0.3">
      <c r="B93" s="211" t="s">
        <v>298</v>
      </c>
      <c r="C93" s="212"/>
      <c r="D93" s="212"/>
      <c r="E93" s="212"/>
      <c r="F93" s="194"/>
      <c r="G93" s="205" t="s">
        <v>151</v>
      </c>
      <c r="H93" s="196">
        <f>F41</f>
        <v>2028</v>
      </c>
      <c r="I93" s="213" t="s">
        <v>29</v>
      </c>
      <c r="J93" s="197">
        <f>K42</f>
        <v>2102</v>
      </c>
      <c r="K93" s="221"/>
      <c r="L93" s="222"/>
      <c r="M93" s="222">
        <f t="shared" si="1"/>
        <v>301893.84979781834</v>
      </c>
      <c r="N93" s="252">
        <f t="shared" si="1"/>
        <v>0</v>
      </c>
      <c r="O93" s="264">
        <f t="shared" si="1"/>
        <v>8994.0883075751444</v>
      </c>
      <c r="P93" s="243"/>
    </row>
    <row r="94" spans="2:17" x14ac:dyDescent="0.3">
      <c r="B94" s="211" t="s">
        <v>296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2102</v>
      </c>
      <c r="L94" s="222">
        <f>L73+L77+L81+L85+L89</f>
        <v>16602181.200000001</v>
      </c>
      <c r="M94" s="222">
        <f t="shared" si="1"/>
        <v>2670540.1428191504</v>
      </c>
      <c r="N94" s="252">
        <f t="shared" si="1"/>
        <v>208</v>
      </c>
      <c r="O94" s="264">
        <f t="shared" si="1"/>
        <v>79561.322264516537</v>
      </c>
      <c r="P94" s="243"/>
    </row>
    <row r="95" spans="2:17" ht="15" thickBot="1" x14ac:dyDescent="0.35">
      <c r="B95" s="215" t="s">
        <v>299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2102</v>
      </c>
      <c r="L95" s="223">
        <f>L91</f>
        <v>-725735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8.0500000000000007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2930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1465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3162.4999999999995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632.5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N1" zoomScale="90" zoomScaleNormal="90" zoomScaleSheetLayoutView="90" workbookViewId="0">
      <pane ySplit="2" topLeftCell="A200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278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279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286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285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287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278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279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281</v>
      </c>
      <c r="K31" s="1" t="s">
        <v>282</v>
      </c>
      <c r="O31" s="1" t="s">
        <v>291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276</v>
      </c>
      <c r="K32" s="1" t="s">
        <v>149</v>
      </c>
      <c r="O32" s="1" t="s">
        <v>291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290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284</v>
      </c>
      <c r="I35" s="1" t="s">
        <v>283</v>
      </c>
      <c r="K35" s="1" t="s">
        <v>289</v>
      </c>
      <c r="O35" s="1" t="s">
        <v>292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288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8">
        <v>2</v>
      </c>
      <c r="C38" s="120" t="s">
        <v>22</v>
      </c>
      <c r="D38" s="78">
        <v>1</v>
      </c>
      <c r="E38" s="120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8">
        <v>2</v>
      </c>
      <c r="C39" s="120" t="s">
        <v>22</v>
      </c>
      <c r="D39" s="78">
        <v>2</v>
      </c>
      <c r="E39" s="120" t="s">
        <v>22</v>
      </c>
      <c r="F39" s="76" t="s">
        <v>23</v>
      </c>
      <c r="G39" s="76"/>
      <c r="H39" s="76"/>
      <c r="I39" s="76" t="s">
        <v>308</v>
      </c>
      <c r="J39" s="76"/>
      <c r="K39" s="76" t="s">
        <v>309</v>
      </c>
      <c r="L39" s="76"/>
      <c r="M39" s="76"/>
      <c r="N39" s="76"/>
      <c r="O39" s="268" t="s">
        <v>312</v>
      </c>
      <c r="P39" s="268" t="s">
        <v>313</v>
      </c>
      <c r="Q39" s="81">
        <v>1</v>
      </c>
      <c r="R39" s="81" t="s">
        <v>33</v>
      </c>
      <c r="S39" s="81">
        <f>H15*2500</f>
        <v>4425</v>
      </c>
      <c r="T39" s="9">
        <f t="shared" si="4"/>
        <v>4425</v>
      </c>
      <c r="U39" s="11">
        <v>1</v>
      </c>
      <c r="V39" s="14"/>
      <c r="W39" s="9">
        <f>Voorblad!K52</f>
        <v>2020</v>
      </c>
      <c r="Y39" s="9">
        <f t="shared" ref="Y39:Y45" si="5">SUM(AE39:EB39)</f>
        <v>4211.7787031528851</v>
      </c>
      <c r="Z39" s="82"/>
      <c r="AA39" s="82"/>
      <c r="AC39" s="9">
        <f>$Y39*(Voorblad!$K$44*(1+Voorblad!$K$44)^Voorblad!$K$37)/((1+Voorblad!$K$44)^Voorblad!$K$37-1)</f>
        <v>481.23262539806979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4211.7787031528851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8">
        <v>3</v>
      </c>
      <c r="E40" s="76" t="s">
        <v>22</v>
      </c>
      <c r="F40" s="76" t="s">
        <v>23</v>
      </c>
      <c r="G40" s="76"/>
      <c r="H40" s="76"/>
      <c r="I40" s="76" t="s">
        <v>310</v>
      </c>
      <c r="J40" s="76"/>
      <c r="K40" s="79" t="s">
        <v>311</v>
      </c>
      <c r="L40" s="76"/>
      <c r="M40" s="76"/>
      <c r="N40" s="76"/>
      <c r="O40" s="268" t="s">
        <v>312</v>
      </c>
      <c r="P40" s="77"/>
      <c r="Q40" s="81">
        <v>1</v>
      </c>
      <c r="R40" s="81" t="s">
        <v>33</v>
      </c>
      <c r="S40" s="81">
        <f>H15*1000</f>
        <v>1770</v>
      </c>
      <c r="T40" s="9">
        <f t="shared" si="4"/>
        <v>1770</v>
      </c>
      <c r="U40" s="11">
        <v>1</v>
      </c>
      <c r="V40" s="14"/>
      <c r="W40" s="9">
        <f>Voorblad!K53</f>
        <v>2020</v>
      </c>
      <c r="Y40" s="9">
        <f t="shared" si="5"/>
        <v>1684.7114812611542</v>
      </c>
      <c r="Z40" s="82"/>
      <c r="AA40" s="82"/>
      <c r="AC40" s="9">
        <f>$Y40*(Voorblad!$K$44*(1+Voorblad!$K$44)^Voorblad!$K$37)/((1+Voorblad!$K$44)^Voorblad!$K$37-1)</f>
        <v>192.49305015922792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1684.7114812611542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229</v>
      </c>
      <c r="P46" s="14"/>
      <c r="Q46" s="83">
        <f>99*12.59</f>
        <v>1246.4100000000001</v>
      </c>
      <c r="R46" s="81" t="s">
        <v>35</v>
      </c>
      <c r="S46" s="81">
        <v>13330</v>
      </c>
      <c r="T46" s="9">
        <f t="shared" si="4"/>
        <v>16614645.300000001</v>
      </c>
      <c r="U46" s="11">
        <v>1</v>
      </c>
      <c r="V46" s="1">
        <f>Voorblad!F24+100</f>
        <v>2102</v>
      </c>
      <c r="W46" s="9">
        <f>Voorblad!K59</f>
        <v>2102</v>
      </c>
      <c r="X46" s="6"/>
      <c r="Y46" s="9">
        <f>SUM(AE46:EB46)</f>
        <v>0</v>
      </c>
      <c r="Z46" s="82" t="s">
        <v>314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278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279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282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95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2102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165.01797756635932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113</v>
      </c>
      <c r="O110" s="1" t="s">
        <v>226</v>
      </c>
      <c r="P110" s="14" t="s">
        <v>227</v>
      </c>
      <c r="Q110" s="83">
        <f>50%*(((2*99*12.59)+(2*(99+12.59)*1.175)))</f>
        <v>1377.5282500000001</v>
      </c>
      <c r="R110" s="1" t="s">
        <v>35</v>
      </c>
      <c r="S110" s="21">
        <f>$H$20*15</f>
        <v>26.55</v>
      </c>
      <c r="T110" s="9">
        <f t="shared" si="20"/>
        <v>36573.375037500002</v>
      </c>
      <c r="U110" s="14">
        <v>10</v>
      </c>
      <c r="V110" s="14"/>
      <c r="Y110" s="9">
        <f t="shared" si="21"/>
        <v>107394.86398535933</v>
      </c>
      <c r="Z110" s="82"/>
      <c r="AA110" s="82"/>
      <c r="AC110" s="9">
        <f>$Y110*(Voorblad!$K$44*(1+Voorblad!$K$44)^Voorblad!$K$41)/((1+Voorblad!$K$44)^Voorblad!$K$41-1)</f>
        <v>3199.5315277579516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28571.062125010605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22319.668067664737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17436.08902150844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13621.044875949889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10640.738486926455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8312.5278991683772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6493.7335091308523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159</v>
      </c>
      <c r="P113" s="1" t="s">
        <v>184</v>
      </c>
      <c r="Q113" s="83">
        <f>2*99</f>
        <v>198</v>
      </c>
      <c r="R113" s="147" t="s">
        <v>196</v>
      </c>
      <c r="S113" s="21">
        <f>$H$20*350</f>
        <v>619.5</v>
      </c>
      <c r="T113" s="9">
        <f t="shared" si="20"/>
        <v>122661</v>
      </c>
      <c r="U113" s="14">
        <v>15</v>
      </c>
      <c r="V113" s="14"/>
      <c r="Y113" s="9">
        <f>SUM(AE113:EB113)</f>
        <v>211426.62386561531</v>
      </c>
      <c r="Z113" s="82"/>
      <c r="AA113" s="82"/>
      <c r="AC113" s="9">
        <f>$Y113*(Voorblad!$K$44*(1+Voorblad!$K$44)^Voorblad!$K$41)/((1+Voorblad!$K$44)^Voorblad!$K$41-1)</f>
        <v>6298.8687145940012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84693.195667426829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58477.734506983063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40376.861519046433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27878.832172159015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162</v>
      </c>
      <c r="O115" s="14" t="s">
        <v>158</v>
      </c>
      <c r="P115" s="14" t="s">
        <v>199</v>
      </c>
      <c r="Q115" s="84">
        <f>2.5%*2*(8+99+8)</f>
        <v>5.75</v>
      </c>
      <c r="R115" s="14" t="s">
        <v>34</v>
      </c>
      <c r="S115" s="21">
        <f>$H$20*1000</f>
        <v>1770</v>
      </c>
      <c r="T115" s="21">
        <f t="shared" si="20"/>
        <v>10177.5</v>
      </c>
      <c r="U115" s="14">
        <v>15</v>
      </c>
      <c r="Y115" s="21">
        <f t="shared" si="22"/>
        <v>17542.613091302861</v>
      </c>
      <c r="Z115" s="149"/>
      <c r="AA115" s="149"/>
      <c r="AC115" s="9">
        <f>$Y115*(Voorblad!$K$44*(1+Voorblad!$K$44)^Voorblad!$K$41)/((1+Voorblad!$K$44)^Voorblad!$K$41-1)</f>
        <v>522.63340705505789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7027.2132047287778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4852.0486784293307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3350.1724925615727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2313.1787155831794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f>2.5%*2*(8+99+8)</f>
        <v>5.75</v>
      </c>
      <c r="R117" s="1" t="s">
        <v>34</v>
      </c>
      <c r="S117" s="14">
        <f>$H$20*500</f>
        <v>885</v>
      </c>
      <c r="T117" s="9">
        <f t="shared" si="20"/>
        <v>5088.75</v>
      </c>
      <c r="U117" s="14">
        <v>15</v>
      </c>
      <c r="V117" s="14"/>
      <c r="Y117" s="9">
        <f t="shared" si="22"/>
        <v>8771.3065456514305</v>
      </c>
      <c r="Z117" s="82"/>
      <c r="AA117" s="82"/>
      <c r="AC117" s="9">
        <f>$Y117*(Voorblad!$K$44*(1+Voorblad!$K$44)^Voorblad!$K$41)/((1+Voorblad!$K$44)^Voorblad!$K$41-1)</f>
        <v>261.31670352752894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3513.6066023643889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2426.0243392146654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1675.0862462807863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1156.5893577915897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2*(8+99+8)</f>
        <v>230</v>
      </c>
      <c r="R122" s="1" t="s">
        <v>34</v>
      </c>
      <c r="S122" s="14">
        <f>$H$20*100</f>
        <v>177</v>
      </c>
      <c r="T122" s="9">
        <f t="shared" si="20"/>
        <v>40710</v>
      </c>
      <c r="U122" s="14">
        <v>15</v>
      </c>
      <c r="V122" s="14"/>
      <c r="Y122" s="9">
        <f t="shared" si="23"/>
        <v>70170.452365211444</v>
      </c>
      <c r="Z122" s="82"/>
      <c r="AA122" s="82"/>
      <c r="AC122" s="9">
        <f>$Y122*(Voorblad!$K$44*(1+Voorblad!$K$44)^Voorblad!$K$41)/((1+Voorblad!$K$44)^Voorblad!$K$41-1)</f>
        <v>2090.5336282202315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28108.852818915111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19408.194713717323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13400.689970246291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9252.7148623327175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420844.82176119729</v>
      </c>
      <c r="Z125" s="24"/>
      <c r="AA125" s="23">
        <f>SUM(AA109:AA124)</f>
        <v>0</v>
      </c>
      <c r="AC125" s="9">
        <f>$Y125*(Voorblad!$K$44*(1+Voorblad!$K$44)^Voorblad!$K$41)/((1+Voorblad!$K$44)^Voorblad!$K$41-1)</f>
        <v>12537.901958721131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29262.422710537874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123953.93031123761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22859.757852094801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103022.00853623799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13950.645977922446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59094.129575314349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10898.222340994456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49114.988982302981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6650.868423523857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2*(8+99+8)</f>
        <v>230</v>
      </c>
      <c r="R133" s="1" t="s">
        <v>34</v>
      </c>
      <c r="S133" s="21">
        <f>$H$10*125</f>
        <v>297.5</v>
      </c>
      <c r="T133" s="9">
        <f t="shared" si="104"/>
        <v>68425</v>
      </c>
      <c r="U133" s="14">
        <v>30</v>
      </c>
      <c r="V133" s="14"/>
      <c r="Y133" s="9">
        <f t="shared" si="21"/>
        <v>48172.99773375642</v>
      </c>
      <c r="Z133" s="82"/>
      <c r="AA133" s="82"/>
      <c r="AC133" s="9">
        <f>$Y133*(Voorblad!$K$44*(1+Voorblad!$K$44)^Voorblad!$K$41)/((1+Voorblad!$K$44)^Voorblad!$K$41-1)</f>
        <v>1435.1805972469783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32621.118233507928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15551.879500248493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2*99</f>
        <v>198</v>
      </c>
      <c r="R136" s="147" t="s">
        <v>196</v>
      </c>
      <c r="S136" s="14">
        <f>$H$10*500</f>
        <v>1190</v>
      </c>
      <c r="T136" s="9">
        <f t="shared" si="104"/>
        <v>235620</v>
      </c>
      <c r="U136" s="14">
        <v>50</v>
      </c>
      <c r="V136" s="14"/>
      <c r="Y136" s="9">
        <f>SUM(AE136:EB136)</f>
        <v>68551.803045765366</v>
      </c>
      <c r="Z136" s="82"/>
      <c r="AA136" s="82"/>
      <c r="AC136" s="9">
        <f>$Y136*(Voorblad!$K$44*(1+Voorblad!$K$44)^Voorblad!$K$41)/((1+Voorblad!$K$44)^Voorblad!$K$41-1)</f>
        <v>2042.3104698887707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68551.803045765366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7.5%*2*(8+99+8)</f>
        <v>17.25</v>
      </c>
      <c r="R137" s="14" t="s">
        <v>34</v>
      </c>
      <c r="S137" s="21">
        <f>$H$10*1000</f>
        <v>2380</v>
      </c>
      <c r="T137" s="21">
        <f t="shared" si="104"/>
        <v>41055</v>
      </c>
      <c r="U137" s="14">
        <v>50</v>
      </c>
      <c r="Y137" s="21">
        <f t="shared" ref="Y137" si="108">SUM(AE137:EB137)</f>
        <v>11944.632348883359</v>
      </c>
      <c r="Z137" s="149"/>
      <c r="AA137" s="149"/>
      <c r="AC137" s="9">
        <f>$Y137*(Voorblad!$K$44*(1+Voorblad!$K$44)^Voorblad!$K$41)/((1+Voorblad!$K$44)^Voorblad!$K$41-1)</f>
        <v>355.857127329104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11944.632348883359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2*(8+99+8)</f>
        <v>230</v>
      </c>
      <c r="R139" s="1" t="s">
        <v>34</v>
      </c>
      <c r="S139" s="14">
        <f>$H$10*400</f>
        <v>952</v>
      </c>
      <c r="T139" s="9">
        <f t="shared" si="104"/>
        <v>218960</v>
      </c>
      <c r="U139" s="14">
        <v>50</v>
      </c>
      <c r="V139" s="14"/>
      <c r="Y139" s="9">
        <f t="shared" si="107"/>
        <v>63704.705860711241</v>
      </c>
      <c r="Z139" s="82"/>
      <c r="AA139" s="82"/>
      <c r="AC139" s="9">
        <f>$Y139*(Voorblad!$K$44*(1+Voorblad!$K$44)^Voorblad!$K$41)/((1+Voorblad!$K$44)^Voorblad!$K$41-1)</f>
        <v>1897.9046790885545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63704.705860711241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28</v>
      </c>
      <c r="R142" s="1" t="s">
        <v>75</v>
      </c>
      <c r="S142" s="14">
        <f>$H$10*1500</f>
        <v>3570</v>
      </c>
      <c r="T142" s="9">
        <f t="shared" si="104"/>
        <v>99960</v>
      </c>
      <c r="U142" s="14">
        <v>50</v>
      </c>
      <c r="V142" s="14"/>
      <c r="Y142" s="9">
        <f>SUM(AE142:EB142)</f>
        <v>29082.583110324696</v>
      </c>
      <c r="Z142" s="82"/>
      <c r="AA142" s="82"/>
      <c r="AC142" s="9">
        <f>$Y142*(Voorblad!$K$44*(1+Voorblad!$K$44)^Voorblad!$K$41)/((1+Voorblad!$K$44)^Voorblad!$K$41-1)</f>
        <v>866.43474480129657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29082.583110324696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4">
        <f>2*99</f>
        <v>198</v>
      </c>
      <c r="R146" s="147" t="s">
        <v>196</v>
      </c>
      <c r="S146" s="14">
        <f>$H$10*500</f>
        <v>1190</v>
      </c>
      <c r="T146" s="9">
        <f t="shared" si="104"/>
        <v>235620</v>
      </c>
      <c r="U146" s="14">
        <v>50</v>
      </c>
      <c r="V146" s="14"/>
      <c r="Y146" s="9">
        <f>SUM(AE146:EB146)</f>
        <v>68551.803045765366</v>
      </c>
      <c r="Z146" s="82"/>
      <c r="AA146" s="82"/>
      <c r="AC146" s="229">
        <f>$Y146*(Voorblad!$K$44*(1+Voorblad!$K$44)^Voorblad!$K$41)/((1+Voorblad!$K$44)^Voorblad!$K$41-1)</f>
        <v>2042.3104698887707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68551.803045765366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290008.52514520643</v>
      </c>
      <c r="Z147" s="24"/>
      <c r="AA147" s="23">
        <f>SUM(AA127:AA146)</f>
        <v>0</v>
      </c>
      <c r="AC147" s="9">
        <f>$Y147*(Voorblad!$K$44*(1+Voorblad!$K$44)^Voorblad!$K$41)/((1+Voorblad!$K$44)^Voorblad!$K$41-1)</f>
        <v>8639.9980882434738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32621.118233507928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241835.52741145005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15551.879500248493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300</v>
      </c>
      <c r="Q149" s="83">
        <f>99*12.59</f>
        <v>1246.4100000000001</v>
      </c>
      <c r="R149" s="81" t="s">
        <v>35</v>
      </c>
      <c r="S149" s="81">
        <v>11020</v>
      </c>
      <c r="T149" s="21">
        <f>Q149*S149</f>
        <v>13735438.200000001</v>
      </c>
      <c r="U149" s="11">
        <v>1</v>
      </c>
      <c r="V149" s="14">
        <f>Voorblad!F24+100</f>
        <v>2102</v>
      </c>
      <c r="W149" s="9">
        <f>Voorblad!K77</f>
        <v>2102</v>
      </c>
      <c r="X149" s="6"/>
      <c r="Y149" s="9">
        <f t="shared" si="21"/>
        <v>2209410.8388789068</v>
      </c>
      <c r="Z149" s="82" t="s">
        <v>277</v>
      </c>
      <c r="AA149" s="82">
        <v>104</v>
      </c>
      <c r="AC149" s="9">
        <f>$Y149*(Voorblad!$K$44*(1+Voorblad!$K$44)^Voorblad!$K$41)/((1+Voorblad!$K$44)^Voorblad!$K$41-1)</f>
        <v>65823.256107730645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2209410.8388789068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274708.76400000002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549417.52800000005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961480.67400000012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13735438.200000001</v>
      </c>
      <c r="U154" s="14"/>
      <c r="V154" s="14"/>
      <c r="W154" s="14"/>
      <c r="X154" s="6"/>
      <c r="Y154" s="23">
        <f>SUM(Y149:Y153)</f>
        <v>2209410.8388789068</v>
      </c>
      <c r="Z154" s="24"/>
      <c r="AA154" s="23">
        <f>SUM(AA149:AA153)</f>
        <v>104</v>
      </c>
      <c r="AC154" s="9">
        <f>$Y154*(Voorblad!$K$44*(1+Voorblad!$K$44)^Voorblad!$K$41)/((1+Voorblad!$K$44)^Voorblad!$K$41-1)</f>
        <v>65823.256107730645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2102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5538.9619080568518</v>
      </c>
      <c r="Z195" s="82"/>
      <c r="AA195" s="82"/>
      <c r="AC195" s="9">
        <f>$Y195*(Voorblad!$K$44*(1+Voorblad!$K$44)^Voorblad!$K$41)/((1+Voorblad!$K$44)^Voorblad!$K$41-1)</f>
        <v>165.01797756635932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134</v>
      </c>
      <c r="P196" s="1" t="s">
        <v>315</v>
      </c>
      <c r="Q196" s="84">
        <f>(2*((12.59*4.55)+(2*(5.55*5.55)/2)))+((4*4*5*(1*3.14))+(3*((2*(3.6+18)*2))))</f>
        <v>686.57400000000007</v>
      </c>
      <c r="R196" s="1" t="s">
        <v>35</v>
      </c>
      <c r="S196" s="21">
        <f>$H$20*15</f>
        <v>26.55</v>
      </c>
      <c r="T196" s="9">
        <f>Q196*S196</f>
        <v>18228.539700000001</v>
      </c>
      <c r="U196" s="14">
        <v>10</v>
      </c>
      <c r="V196" s="14"/>
      <c r="Y196" s="9">
        <f t="shared" si="199"/>
        <v>53526.685457001782</v>
      </c>
      <c r="Z196" s="82"/>
      <c r="AA196" s="82"/>
      <c r="AC196" s="9">
        <f>$Y196*(Voorblad!$K$44*(1+Voorblad!$K$44)^Voorblad!$K$41)/((1+Voorblad!$K$44)^Voorblad!$K$41-1)</f>
        <v>1594.678845344107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14240.106079433965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11124.348109658622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8690.3229635059288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6788.8664095712147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5303.4515886865074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4143.0479047116678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3236.5424014338769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133</v>
      </c>
      <c r="P197" s="1" t="s">
        <v>316</v>
      </c>
      <c r="Q197" s="84">
        <f>(2*((12.59*2.5)+(2*(5.55*5.55)/2)))+((1*4*2.5*(1*3.14)))</f>
        <v>155.95500000000001</v>
      </c>
      <c r="R197" s="1" t="s">
        <v>35</v>
      </c>
      <c r="S197" s="21">
        <f>$H$20*20</f>
        <v>35.4</v>
      </c>
      <c r="T197" s="1">
        <f>Q197*S197</f>
        <v>5520.8069999999998</v>
      </c>
      <c r="U197" s="14">
        <v>10</v>
      </c>
      <c r="V197" s="14"/>
      <c r="Y197" s="9">
        <f>SUM(AE197:EB197)</f>
        <v>16211.419270069868</v>
      </c>
      <c r="Z197" s="82"/>
      <c r="AA197" s="82"/>
      <c r="AC197" s="9">
        <f>$Y197*(Voorblad!$K$44*(1+Voorblad!$K$44)^Voorblad!$K$41)/((1+Voorblad!$K$44)^Voorblad!$K$41-1)</f>
        <v>482.9741864691257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4312.8456046362062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3369.1880932316308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2632.0043535458999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2056.1175943252124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1606.2357784470023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1254.7888229174773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980.23902296643962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218</v>
      </c>
      <c r="P198" s="1" t="s">
        <v>174</v>
      </c>
      <c r="Q198" s="84">
        <f>2.5%*Q196</f>
        <v>17.164350000000002</v>
      </c>
      <c r="R198" s="1" t="s">
        <v>35</v>
      </c>
      <c r="S198" s="14">
        <f>$H$20*500</f>
        <v>885</v>
      </c>
      <c r="T198" s="9">
        <f>Q198*S198</f>
        <v>15190.449750000002</v>
      </c>
      <c r="U198" s="14">
        <v>15</v>
      </c>
      <c r="V198" s="14"/>
      <c r="Y198" s="9">
        <f t="shared" si="199"/>
        <v>26183.265305539502</v>
      </c>
      <c r="Z198" s="82"/>
      <c r="AA198" s="82"/>
      <c r="AC198" s="229">
        <f>$Y198*(Voorblad!$K$44*(1+Voorblad!$K$44)^Voorblad!$K$41)/((1+Voorblad!$K$44)^Voorblad!$K$41-1)</f>
        <v>780.05762785960724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10488.482345268383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7241.9358029216073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5000.3072367564555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3452.5399205930562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101460.33194066801</v>
      </c>
      <c r="Z199" s="24"/>
      <c r="AA199" s="23">
        <f>SUM(AA195:AA198)</f>
        <v>0</v>
      </c>
      <c r="AC199" s="9">
        <f>$Y199*(Voorblad!$K$44*(1+Voorblad!$K$44)^Voorblad!$K$41)/((1+Voorblad!$K$44)^Voorblad!$K$41-1)</f>
        <v>3022.7286372391991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34.328700000000005</v>
      </c>
      <c r="R201" s="1" t="s">
        <v>35</v>
      </c>
      <c r="S201" s="14">
        <f>$H$10*500</f>
        <v>1190</v>
      </c>
      <c r="T201" s="9">
        <f>Q201*S201</f>
        <v>40851.153000000006</v>
      </c>
      <c r="U201" s="14">
        <v>50</v>
      </c>
      <c r="V201" s="14"/>
      <c r="Y201" s="9">
        <f t="shared" si="199"/>
        <v>11885.324652611947</v>
      </c>
      <c r="Z201" s="82"/>
      <c r="AA201" s="82"/>
      <c r="AC201" s="229">
        <f>$Y201*(Voorblad!$K$44*(1+Voorblad!$K$44)^Voorblad!$K$41)/((1+Voorblad!$K$44)^Voorblad!$K$41-1)</f>
        <v>354.09021933166991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11885.324652611947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11885.324652611947</v>
      </c>
      <c r="Z202" s="24"/>
      <c r="AA202" s="23">
        <f>SUM(AA201)</f>
        <v>0</v>
      </c>
      <c r="AC202" s="9">
        <f>$Y202*(Voorblad!$K$44*(1+Voorblad!$K$44)^Voorblad!$K$41)/((1+Voorblad!$K$44)^Voorblad!$K$41-1)</f>
        <v>354.09021933166991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Q204" s="83">
        <f>99*12.59</f>
        <v>1246.4100000000001</v>
      </c>
      <c r="R204" s="81" t="s">
        <v>35</v>
      </c>
      <c r="S204" s="81">
        <v>2300</v>
      </c>
      <c r="T204" s="9">
        <f>Q204*S204</f>
        <v>2866743</v>
      </c>
      <c r="U204" s="11">
        <v>1</v>
      </c>
      <c r="V204" s="14">
        <f>Voorblad!F25+100</f>
        <v>2102</v>
      </c>
      <c r="W204" s="9">
        <f>Voorblad!K85</f>
        <v>2102</v>
      </c>
      <c r="X204" s="6"/>
      <c r="Y204" s="9">
        <f t="shared" si="199"/>
        <v>461129.30394024367</v>
      </c>
      <c r="Z204" s="83" t="s">
        <v>277</v>
      </c>
      <c r="AA204" s="83">
        <v>104</v>
      </c>
      <c r="AC204" s="9">
        <f>$Y204*(Voorblad!$K$44*(1+Voorblad!$K$44)^Voorblad!$K$41)/((1+Voorblad!$K$44)^Voorblad!$K$41-1)</f>
        <v>13738.066156785886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461129.30394024367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57334.86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114669.72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200672.01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2866743</v>
      </c>
      <c r="U208" s="14"/>
      <c r="V208" s="14"/>
      <c r="W208" s="14"/>
      <c r="X208" s="6"/>
      <c r="Y208" s="23">
        <f>SUM(Y204:Y207)</f>
        <v>461129.30394024367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13738.066156785886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134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218</v>
      </c>
      <c r="P215" s="1" t="s">
        <v>174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2102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319</v>
      </c>
      <c r="Q229" s="84">
        <f>2*115*0.035</f>
        <v>8.0500000000000007</v>
      </c>
      <c r="R229" s="1" t="s">
        <v>102</v>
      </c>
      <c r="S229" s="1">
        <v>-200</v>
      </c>
      <c r="T229" s="21">
        <f t="shared" ref="T229:T236" si="201">Q229*S229</f>
        <v>-1610.0000000000002</v>
      </c>
      <c r="U229" s="11">
        <v>1</v>
      </c>
      <c r="V229" s="14">
        <f>Voorblad!F24+100</f>
        <v>2102</v>
      </c>
      <c r="W229" s="9">
        <f>Voorblad!$K$77</f>
        <v>2102</v>
      </c>
      <c r="X229" s="6"/>
      <c r="Y229" s="9">
        <f t="shared" ref="Y229" si="202">SUM(AE229:EB229)</f>
        <v>-258.97618982371017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-258.97618982371017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104</v>
      </c>
      <c r="P230" s="1" t="s">
        <v>317</v>
      </c>
      <c r="Q230" s="83">
        <f>2*1465</f>
        <v>2930</v>
      </c>
      <c r="R230" s="1" t="s">
        <v>102</v>
      </c>
      <c r="S230" s="1">
        <v>-50</v>
      </c>
      <c r="T230" s="21">
        <f t="shared" si="201"/>
        <v>-146500</v>
      </c>
      <c r="U230" s="11">
        <v>1</v>
      </c>
      <c r="V230" s="14">
        <f>Voorblad!F24+100</f>
        <v>2102</v>
      </c>
      <c r="W230" s="9">
        <f>Voorblad!$K$77</f>
        <v>2102</v>
      </c>
      <c r="X230" s="6"/>
      <c r="Y230" s="9">
        <f t="shared" ref="Y230" si="203">SUM(AE230:EB230)</f>
        <v>-23565.224726194745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-23565.224726194745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103</v>
      </c>
      <c r="Q231" s="83">
        <f>0.5*Q230</f>
        <v>1465</v>
      </c>
      <c r="R231" s="1" t="s">
        <v>102</v>
      </c>
      <c r="S231" s="1">
        <v>-200</v>
      </c>
      <c r="T231" s="21">
        <f t="shared" si="201"/>
        <v>-293000</v>
      </c>
      <c r="U231" s="11">
        <v>1</v>
      </c>
      <c r="V231" s="14">
        <f>Voorblad!F24+100</f>
        <v>2102</v>
      </c>
      <c r="W231" s="9">
        <f>Voorblad!$K$77</f>
        <v>2102</v>
      </c>
      <c r="X231" s="6"/>
      <c r="Y231" s="9">
        <f t="shared" ref="Y231:Y234" si="204">SUM(AE231:EB231)</f>
        <v>-47130.44945238949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-47130.44945238949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138</v>
      </c>
      <c r="P232" s="1" t="s">
        <v>318</v>
      </c>
      <c r="Q232" s="83">
        <f>2.3*1375</f>
        <v>3162.4999999999995</v>
      </c>
      <c r="R232" s="1" t="s">
        <v>102</v>
      </c>
      <c r="S232" s="1">
        <v>-50</v>
      </c>
      <c r="T232" s="21">
        <f t="shared" si="201"/>
        <v>-158124.99999999997</v>
      </c>
      <c r="U232" s="11">
        <v>1</v>
      </c>
      <c r="V232" s="14">
        <f>Voorblad!F24+100</f>
        <v>2102</v>
      </c>
      <c r="W232" s="9">
        <f>Voorblad!$K$77</f>
        <v>2102</v>
      </c>
      <c r="X232" s="6"/>
      <c r="Y232" s="9">
        <f t="shared" ref="Y232" si="205">SUM(AE232:EB232)</f>
        <v>-25435.161500542959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-25435.161500542959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137</v>
      </c>
      <c r="Q233" s="83">
        <f>0.2*Q232</f>
        <v>632.5</v>
      </c>
      <c r="R233" s="1" t="s">
        <v>102</v>
      </c>
      <c r="S233" s="1">
        <v>-200</v>
      </c>
      <c r="T233" s="21">
        <f t="shared" si="201"/>
        <v>-126500</v>
      </c>
      <c r="U233" s="11">
        <v>1</v>
      </c>
      <c r="V233" s="14">
        <f>Voorblad!F24+100</f>
        <v>2102</v>
      </c>
      <c r="W233" s="9">
        <f>Voorblad!$K$77</f>
        <v>2102</v>
      </c>
      <c r="X233" s="6"/>
      <c r="Y233" s="9">
        <f t="shared" ref="Y233" si="206">SUM(AE233:EB233)</f>
        <v>-20348.12920043437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-20348.12920043437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2102</v>
      </c>
      <c r="W234" s="9">
        <f>Voorblad!$K$77</f>
        <v>2102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2102</v>
      </c>
      <c r="W235" s="9">
        <f>Voorblad!$K$77</f>
        <v>2102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2102</v>
      </c>
      <c r="W236" s="9">
        <f>Voorblad!$K$77</f>
        <v>2102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-725735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2019-12-10T08:19:24Z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