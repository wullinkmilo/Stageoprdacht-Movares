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berr\documents\pwwork\d2650562\"/>
    </mc:Choice>
  </mc:AlternateContent>
  <xr:revisionPtr revIDLastSave="0" documentId="13_ncr:1_{99466637-C7DD-4FAA-813E-8756CBE7FB39}" xr6:coauthVersionLast="36" xr6:coauthVersionMax="36" xr10:uidLastSave="{00000000-0000-0000-0000-000000000000}"/>
  <bookViews>
    <workbookView xWindow="5580" yWindow="0" windowWidth="19560" windowHeight="9528" xr2:uid="{00000000-000D-0000-FFFF-FFFF00000000}"/>
  </bookViews>
  <sheets>
    <sheet name="Voorblad" sheetId="2" r:id="rId1"/>
    <sheet name="Berekening MJOP+LTP" sheetId="1" r:id="rId2"/>
  </sheets>
  <definedNames>
    <definedName name="_xlnm.Print_Area" localSheetId="1">'Berekening MJOP+LTP'!$A$1:$EC$239</definedName>
    <definedName name="_xlnm.Print_Area" localSheetId="0">Voorblad!$B$1:$O$108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Q230" i="1" l="1"/>
  <c r="Q229" i="1" l="1"/>
  <c r="O66" i="2" l="1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J61" i="2"/>
  <c r="H61" i="2"/>
  <c r="Q235" i="1" l="1"/>
  <c r="Q232" i="1"/>
  <c r="Q231" i="1"/>
  <c r="Q221" i="1"/>
  <c r="Q218" i="1"/>
  <c r="Q215" i="1"/>
  <c r="Q214" i="1"/>
  <c r="Q213" i="1"/>
  <c r="Q136" i="1"/>
  <c r="Q149" i="1"/>
  <c r="Q146" i="1"/>
  <c r="Q139" i="1"/>
  <c r="Q137" i="1"/>
  <c r="Q133" i="1"/>
  <c r="Q122" i="1"/>
  <c r="Q117" i="1"/>
  <c r="Q115" i="1"/>
  <c r="Q113" i="1"/>
  <c r="Q111" i="1"/>
  <c r="Q110" i="1"/>
  <c r="AA46" i="1"/>
  <c r="Q46" i="1"/>
  <c r="S39" i="1"/>
  <c r="D50" i="2" l="1"/>
  <c r="D49" i="2"/>
  <c r="L50" i="2"/>
  <c r="C50" i="2"/>
  <c r="B50" i="2"/>
  <c r="T36" i="1"/>
  <c r="T35" i="1"/>
  <c r="O78" i="2" l="1"/>
  <c r="O74" i="2"/>
  <c r="K41" i="2" l="1"/>
  <c r="Q201" i="1" l="1"/>
  <c r="K95" i="2" l="1"/>
  <c r="K94" i="2"/>
  <c r="K65" i="2"/>
  <c r="H63" i="2"/>
  <c r="H64" i="2"/>
  <c r="E101" i="2" l="1"/>
  <c r="F101" i="2"/>
  <c r="F102" i="2"/>
  <c r="E103" i="2"/>
  <c r="F103" i="2"/>
  <c r="F104" i="2"/>
  <c r="E105" i="2"/>
  <c r="F105" i="2"/>
  <c r="E106" i="2"/>
  <c r="F106" i="2"/>
  <c r="E107" i="2"/>
  <c r="F107" i="2"/>
  <c r="F100" i="2"/>
  <c r="E100" i="2"/>
  <c r="C101" i="2"/>
  <c r="C102" i="2"/>
  <c r="C103" i="2"/>
  <c r="C104" i="2"/>
  <c r="C105" i="2"/>
  <c r="C106" i="2"/>
  <c r="C107" i="2"/>
  <c r="C100" i="2"/>
  <c r="H93" i="2"/>
  <c r="S86" i="1"/>
  <c r="S218" i="1"/>
  <c r="S215" i="1"/>
  <c r="S214" i="1"/>
  <c r="S213" i="1"/>
  <c r="S212" i="1"/>
  <c r="S201" i="1"/>
  <c r="S198" i="1"/>
  <c r="S197" i="1"/>
  <c r="S196" i="1"/>
  <c r="S195" i="1"/>
  <c r="S184" i="1"/>
  <c r="S183" i="1"/>
  <c r="S182" i="1"/>
  <c r="S181" i="1"/>
  <c r="S180" i="1"/>
  <c r="S179" i="1"/>
  <c r="S178" i="1"/>
  <c r="S177" i="1"/>
  <c r="S176" i="1"/>
  <c r="S175" i="1"/>
  <c r="S174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94" i="1"/>
  <c r="S93" i="1"/>
  <c r="S92" i="1"/>
  <c r="S91" i="1"/>
  <c r="S90" i="1"/>
  <c r="S89" i="1"/>
  <c r="S88" i="1"/>
  <c r="S87" i="1"/>
  <c r="S85" i="1"/>
  <c r="S84" i="1"/>
  <c r="S83" i="1"/>
  <c r="S82" i="1"/>
  <c r="S81" i="1"/>
  <c r="S80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W46" i="1" l="1"/>
  <c r="B81" i="2" l="1"/>
  <c r="B80" i="2"/>
  <c r="B77" i="2"/>
  <c r="B76" i="2"/>
  <c r="B73" i="2"/>
  <c r="B72" i="2"/>
  <c r="T182" i="1"/>
  <c r="T181" i="1"/>
  <c r="T180" i="1"/>
  <c r="T179" i="1"/>
  <c r="T174" i="1"/>
  <c r="T177" i="1"/>
  <c r="T163" i="1"/>
  <c r="AA172" i="1"/>
  <c r="T170" i="1"/>
  <c r="T168" i="1"/>
  <c r="T167" i="1"/>
  <c r="T166" i="1"/>
  <c r="T164" i="1"/>
  <c r="T161" i="1"/>
  <c r="AA147" i="1"/>
  <c r="T183" i="1" l="1"/>
  <c r="T184" i="1"/>
  <c r="T175" i="1"/>
  <c r="T176" i="1"/>
  <c r="T165" i="1"/>
  <c r="T169" i="1"/>
  <c r="T171" i="1"/>
  <c r="T94" i="1" l="1"/>
  <c r="T143" i="1"/>
  <c r="T142" i="1"/>
  <c r="T140" i="1"/>
  <c r="T146" i="1"/>
  <c r="T132" i="1"/>
  <c r="T138" i="1"/>
  <c r="T135" i="1"/>
  <c r="T134" i="1"/>
  <c r="S130" i="1"/>
  <c r="S129" i="1"/>
  <c r="S128" i="1"/>
  <c r="S127" i="1"/>
  <c r="T124" i="1"/>
  <c r="T123" i="1"/>
  <c r="T122" i="1"/>
  <c r="T121" i="1"/>
  <c r="AA74" i="1"/>
  <c r="AA95" i="1"/>
  <c r="S76" i="1"/>
  <c r="S99" i="1"/>
  <c r="S79" i="1"/>
  <c r="S78" i="1"/>
  <c r="S77" i="1"/>
  <c r="T131" i="1" l="1"/>
  <c r="T137" i="1"/>
  <c r="T136" i="1"/>
  <c r="T133" i="1"/>
  <c r="T145" i="1"/>
  <c r="T139" i="1"/>
  <c r="T141" i="1"/>
  <c r="T144" i="1"/>
  <c r="T115" i="1"/>
  <c r="T119" i="1"/>
  <c r="T114" i="1"/>
  <c r="T118" i="1"/>
  <c r="T116" i="1"/>
  <c r="T117" i="1"/>
  <c r="T112" i="1"/>
  <c r="T89" i="1" l="1"/>
  <c r="T88" i="1"/>
  <c r="T87" i="1"/>
  <c r="T86" i="1"/>
  <c r="T81" i="1"/>
  <c r="T82" i="1"/>
  <c r="T85" i="1"/>
  <c r="T84" i="1"/>
  <c r="T83" i="1"/>
  <c r="T73" i="1"/>
  <c r="T72" i="1"/>
  <c r="T71" i="1"/>
  <c r="T68" i="1"/>
  <c r="T70" i="1" l="1"/>
  <c r="T69" i="1"/>
  <c r="T66" i="1"/>
  <c r="T63" i="1"/>
  <c r="T65" i="1"/>
  <c r="J89" i="2" l="1"/>
  <c r="J85" i="2"/>
  <c r="J81" i="2"/>
  <c r="J77" i="2"/>
  <c r="J73" i="2"/>
  <c r="H66" i="2" l="1"/>
  <c r="C59" i="2" l="1"/>
  <c r="H62" i="2"/>
  <c r="H60" i="2"/>
  <c r="C49" i="2" l="1"/>
  <c r="B49" i="2"/>
  <c r="T32" i="1"/>
  <c r="T31" i="1" l="1"/>
  <c r="T33" i="1" s="1"/>
  <c r="L49" i="2" s="1"/>
  <c r="H92" i="2"/>
  <c r="B89" i="2"/>
  <c r="B88" i="2"/>
  <c r="B87" i="2"/>
  <c r="D88" i="2"/>
  <c r="D87" i="2"/>
  <c r="B85" i="2"/>
  <c r="D85" i="2"/>
  <c r="B84" i="2"/>
  <c r="B83" i="2"/>
  <c r="D84" i="2"/>
  <c r="D83" i="2"/>
  <c r="AA225" i="1"/>
  <c r="AA208" i="1"/>
  <c r="AA219" i="1"/>
  <c r="N88" i="2" s="1"/>
  <c r="AA216" i="1"/>
  <c r="N87" i="2" s="1"/>
  <c r="AA202" i="1"/>
  <c r="N84" i="2" s="1"/>
  <c r="AA199" i="1"/>
  <c r="N83" i="2" s="1"/>
  <c r="N81" i="2"/>
  <c r="D80" i="2"/>
  <c r="B79" i="2"/>
  <c r="D79" i="2"/>
  <c r="AA185" i="1"/>
  <c r="N80" i="2" s="1"/>
  <c r="N79" i="2"/>
  <c r="AA191" i="1"/>
  <c r="N77" i="2"/>
  <c r="AA154" i="1"/>
  <c r="AA105" i="1"/>
  <c r="N72" i="2"/>
  <c r="N71" i="2"/>
  <c r="N76" i="2"/>
  <c r="AA125" i="1"/>
  <c r="N75" i="2" s="1"/>
  <c r="B75" i="2"/>
  <c r="D76" i="2"/>
  <c r="D75" i="2"/>
  <c r="B71" i="2"/>
  <c r="D72" i="2"/>
  <c r="D71" i="2"/>
  <c r="N92" i="2" l="1"/>
  <c r="N93" i="2"/>
  <c r="W230" i="1"/>
  <c r="W231" i="1"/>
  <c r="W232" i="1"/>
  <c r="W233" i="1"/>
  <c r="W234" i="1"/>
  <c r="W235" i="1"/>
  <c r="W236" i="1"/>
  <c r="W229" i="1"/>
  <c r="W221" i="1" l="1"/>
  <c r="W187" i="1"/>
  <c r="W97" i="1"/>
  <c r="W149" i="1"/>
  <c r="B59" i="2"/>
  <c r="N89" i="2"/>
  <c r="N85" i="2"/>
  <c r="N73" i="2"/>
  <c r="N52" i="2"/>
  <c r="N53" i="2"/>
  <c r="N54" i="2"/>
  <c r="N55" i="2"/>
  <c r="N56" i="2"/>
  <c r="N57" i="2"/>
  <c r="N58" i="2"/>
  <c r="N51" i="2"/>
  <c r="N48" i="2"/>
  <c r="N59" i="2"/>
  <c r="C90" i="2"/>
  <c r="C86" i="2"/>
  <c r="C82" i="2"/>
  <c r="C78" i="2"/>
  <c r="C74" i="2"/>
  <c r="C70" i="2"/>
  <c r="B52" i="2"/>
  <c r="B53" i="2"/>
  <c r="B54" i="2"/>
  <c r="B55" i="2"/>
  <c r="B56" i="2"/>
  <c r="B57" i="2"/>
  <c r="B58" i="2"/>
  <c r="B51" i="2"/>
  <c r="C52" i="2"/>
  <c r="C53" i="2"/>
  <c r="C54" i="2"/>
  <c r="C55" i="2"/>
  <c r="C56" i="2"/>
  <c r="C57" i="2"/>
  <c r="C58" i="2"/>
  <c r="C51" i="2"/>
  <c r="J59" i="2"/>
  <c r="W41" i="1"/>
  <c r="W42" i="1"/>
  <c r="W43" i="1"/>
  <c r="W44" i="1"/>
  <c r="W45" i="1"/>
  <c r="N94" i="2" l="1"/>
  <c r="K42" i="2" l="1"/>
  <c r="J93" i="2" s="1"/>
  <c r="D73" i="2"/>
  <c r="E104" i="2"/>
  <c r="V233" i="1"/>
  <c r="V232" i="1"/>
  <c r="Q198" i="1" l="1"/>
  <c r="J92" i="2"/>
  <c r="T232" i="1"/>
  <c r="T233" i="1"/>
  <c r="T93" i="1" l="1"/>
  <c r="D91" i="2" l="1"/>
  <c r="D89" i="2"/>
  <c r="D81" i="2"/>
  <c r="D77" i="2"/>
  <c r="D59" i="2"/>
  <c r="M69" i="2"/>
  <c r="L69" i="2"/>
  <c r="K69" i="2"/>
  <c r="M48" i="2"/>
  <c r="L48" i="2"/>
  <c r="K48" i="2"/>
  <c r="D48" i="2"/>
  <c r="D52" i="2"/>
  <c r="D53" i="2"/>
  <c r="D54" i="2"/>
  <c r="D55" i="2"/>
  <c r="D56" i="2"/>
  <c r="D57" i="2"/>
  <c r="D58" i="2"/>
  <c r="D51" i="2"/>
  <c r="F38" i="2" l="1"/>
  <c r="F39" i="2" s="1"/>
  <c r="K38" i="2"/>
  <c r="J66" i="2" l="1"/>
  <c r="J64" i="2"/>
  <c r="J63" i="2"/>
  <c r="J62" i="2"/>
  <c r="J60" i="2"/>
  <c r="V235" i="1"/>
  <c r="T235" i="1"/>
  <c r="V234" i="1"/>
  <c r="V229" i="1"/>
  <c r="V236" i="1"/>
  <c r="T229" i="1"/>
  <c r="T46" i="1" l="1"/>
  <c r="L59" i="2" s="1"/>
  <c r="V187" i="1" l="1"/>
  <c r="T111" i="1" l="1"/>
  <c r="T236" i="1"/>
  <c r="V231" i="1"/>
  <c r="V230" i="1"/>
  <c r="T234" i="1"/>
  <c r="V204" i="1"/>
  <c r="T231" i="1" l="1"/>
  <c r="E102" i="2"/>
  <c r="T59" i="1"/>
  <c r="T60" i="1"/>
  <c r="T159" i="1"/>
  <c r="T160" i="1"/>
  <c r="T110" i="1"/>
  <c r="T230" i="1"/>
  <c r="T237" i="1" l="1"/>
  <c r="L91" i="2" s="1"/>
  <c r="L95" i="2" s="1"/>
  <c r="T44" i="1"/>
  <c r="L57" i="2" s="1"/>
  <c r="Q99" i="1"/>
  <c r="Q101" i="1" l="1"/>
  <c r="Q100" i="1"/>
  <c r="V221" i="1" l="1"/>
  <c r="T218" i="1"/>
  <c r="T221" i="1"/>
  <c r="T215" i="1"/>
  <c r="T214" i="1"/>
  <c r="T213" i="1"/>
  <c r="T212" i="1"/>
  <c r="S222" i="1" l="1"/>
  <c r="T222" i="1" s="1"/>
  <c r="S224" i="1"/>
  <c r="T224" i="1" s="1"/>
  <c r="S223" i="1"/>
  <c r="T223" i="1" s="1"/>
  <c r="T197" i="1"/>
  <c r="T204" i="1"/>
  <c r="T201" i="1"/>
  <c r="T198" i="1"/>
  <c r="T196" i="1"/>
  <c r="T195" i="1"/>
  <c r="T225" i="1" l="1"/>
  <c r="L89" i="2" s="1"/>
  <c r="S206" i="1"/>
  <c r="T206" i="1" s="1"/>
  <c r="S207" i="1"/>
  <c r="T207" i="1" s="1"/>
  <c r="S205" i="1"/>
  <c r="T205" i="1" s="1"/>
  <c r="T130" i="1"/>
  <c r="T129" i="1"/>
  <c r="T128" i="1"/>
  <c r="T127" i="1"/>
  <c r="T79" i="1"/>
  <c r="T78" i="1"/>
  <c r="T77" i="1"/>
  <c r="T76" i="1"/>
  <c r="T61" i="1"/>
  <c r="T92" i="1"/>
  <c r="T91" i="1"/>
  <c r="T90" i="1"/>
  <c r="T208" i="1" l="1"/>
  <c r="L85" i="2" s="1"/>
  <c r="V149" i="1"/>
  <c r="V46" i="1"/>
  <c r="V97" i="1"/>
  <c r="T187" i="1"/>
  <c r="T178" i="1"/>
  <c r="T158" i="1"/>
  <c r="T162" i="1"/>
  <c r="T150" i="1"/>
  <c r="T149" i="1"/>
  <c r="S152" i="1" s="1"/>
  <c r="T98" i="1"/>
  <c r="T97" i="1"/>
  <c r="S188" i="1" l="1"/>
  <c r="T188" i="1" s="1"/>
  <c r="S190" i="1"/>
  <c r="T190" i="1" s="1"/>
  <c r="S189" i="1"/>
  <c r="T189" i="1" s="1"/>
  <c r="S153" i="1"/>
  <c r="T153" i="1" s="1"/>
  <c r="T152" i="1"/>
  <c r="S151" i="1"/>
  <c r="T151" i="1" s="1"/>
  <c r="S103" i="1"/>
  <c r="T103" i="1" s="1"/>
  <c r="S102" i="1"/>
  <c r="T102" i="1" s="1"/>
  <c r="S104" i="1"/>
  <c r="T104" i="1" s="1"/>
  <c r="S101" i="1"/>
  <c r="S100" i="1"/>
  <c r="T191" i="1" l="1"/>
  <c r="T154" i="1"/>
  <c r="L77" i="2" s="1"/>
  <c r="T101" i="1"/>
  <c r="T100" i="1"/>
  <c r="T99" i="1" l="1"/>
  <c r="T105" i="1" s="1"/>
  <c r="L73" i="2" s="1"/>
  <c r="T80" i="1" l="1"/>
  <c r="T120" i="1"/>
  <c r="T67" i="1"/>
  <c r="T109" i="1"/>
  <c r="T113" i="1"/>
  <c r="EF56" i="1" l="1"/>
  <c r="AE56" i="1"/>
  <c r="AE30" i="1"/>
  <c r="T58" i="1"/>
  <c r="T64" i="1"/>
  <c r="T62" i="1"/>
  <c r="T39" i="1"/>
  <c r="L52" i="2" s="1"/>
  <c r="T40" i="1"/>
  <c r="L53" i="2" s="1"/>
  <c r="T41" i="1"/>
  <c r="L54" i="2" s="1"/>
  <c r="T42" i="1"/>
  <c r="L55" i="2" s="1"/>
  <c r="T43" i="1"/>
  <c r="L56" i="2" s="1"/>
  <c r="T45" i="1"/>
  <c r="L58" i="2" s="1"/>
  <c r="T38" i="1"/>
  <c r="EF30" i="1"/>
  <c r="EF35" i="1" s="1"/>
  <c r="AE35" i="1" s="1"/>
  <c r="EF184" i="1" l="1"/>
  <c r="AE184" i="1" s="1"/>
  <c r="EF183" i="1"/>
  <c r="AE183" i="1" s="1"/>
  <c r="EF181" i="1"/>
  <c r="AE181" i="1" s="1"/>
  <c r="EF182" i="1"/>
  <c r="AE182" i="1" s="1"/>
  <c r="EF179" i="1"/>
  <c r="AE179" i="1" s="1"/>
  <c r="EF180" i="1"/>
  <c r="AE180" i="1" s="1"/>
  <c r="EF163" i="1"/>
  <c r="AE163" i="1" s="1"/>
  <c r="EF177" i="1"/>
  <c r="AE177" i="1" s="1"/>
  <c r="EF176" i="1"/>
  <c r="AE176" i="1" s="1"/>
  <c r="EF175" i="1"/>
  <c r="AE175" i="1" s="1"/>
  <c r="EF174" i="1"/>
  <c r="AE174" i="1" s="1"/>
  <c r="EF161" i="1"/>
  <c r="AE161" i="1" s="1"/>
  <c r="EF171" i="1"/>
  <c r="AE171" i="1" s="1"/>
  <c r="EF170" i="1"/>
  <c r="AE170" i="1" s="1"/>
  <c r="EF168" i="1"/>
  <c r="AE168" i="1" s="1"/>
  <c r="EF169" i="1"/>
  <c r="AE169" i="1" s="1"/>
  <c r="EF167" i="1"/>
  <c r="AE167" i="1" s="1"/>
  <c r="EF166" i="1"/>
  <c r="AE166" i="1" s="1"/>
  <c r="EF165" i="1"/>
  <c r="AE165" i="1" s="1"/>
  <c r="EF164" i="1"/>
  <c r="AE164" i="1" s="1"/>
  <c r="EF137" i="1"/>
  <c r="AE137" i="1" s="1"/>
  <c r="EF136" i="1"/>
  <c r="AE136" i="1" s="1"/>
  <c r="EF146" i="1"/>
  <c r="AE146" i="1" s="1"/>
  <c r="EF145" i="1"/>
  <c r="AE145" i="1" s="1"/>
  <c r="EF144" i="1"/>
  <c r="AE144" i="1" s="1"/>
  <c r="EF142" i="1"/>
  <c r="AE142" i="1" s="1"/>
  <c r="EF139" i="1"/>
  <c r="AE139" i="1" s="1"/>
  <c r="EF143" i="1"/>
  <c r="AE143" i="1" s="1"/>
  <c r="EF141" i="1"/>
  <c r="AE141" i="1" s="1"/>
  <c r="EF140" i="1"/>
  <c r="AE140" i="1" s="1"/>
  <c r="EF131" i="1"/>
  <c r="AE131" i="1" s="1"/>
  <c r="EF132" i="1"/>
  <c r="AE132" i="1" s="1"/>
  <c r="EF133" i="1"/>
  <c r="AE133" i="1" s="1"/>
  <c r="EF138" i="1"/>
  <c r="AE138" i="1" s="1"/>
  <c r="EF135" i="1"/>
  <c r="AE135" i="1" s="1"/>
  <c r="EF134" i="1"/>
  <c r="AE134" i="1" s="1"/>
  <c r="EF124" i="1"/>
  <c r="AE124" i="1" s="1"/>
  <c r="EF123" i="1"/>
  <c r="AE123" i="1" s="1"/>
  <c r="EF115" i="1"/>
  <c r="AE115" i="1" s="1"/>
  <c r="EF121" i="1"/>
  <c r="AE121" i="1" s="1"/>
  <c r="EF122" i="1"/>
  <c r="AE122" i="1" s="1"/>
  <c r="EF118" i="1"/>
  <c r="AE118" i="1" s="1"/>
  <c r="EF119" i="1"/>
  <c r="AE119" i="1" s="1"/>
  <c r="EF117" i="1"/>
  <c r="AE117" i="1" s="1"/>
  <c r="EF116" i="1"/>
  <c r="AE116" i="1" s="1"/>
  <c r="EF114" i="1"/>
  <c r="AE114" i="1" s="1"/>
  <c r="EF112" i="1"/>
  <c r="AE112" i="1" s="1"/>
  <c r="EF94" i="1"/>
  <c r="AE94" i="1" s="1"/>
  <c r="EF89" i="1"/>
  <c r="AE89" i="1" s="1"/>
  <c r="EF88" i="1"/>
  <c r="AE88" i="1" s="1"/>
  <c r="EF86" i="1"/>
  <c r="AE86" i="1" s="1"/>
  <c r="EF87" i="1"/>
  <c r="AE87" i="1" s="1"/>
  <c r="EF81" i="1"/>
  <c r="AE81" i="1" s="1"/>
  <c r="EF85" i="1"/>
  <c r="AE85" i="1" s="1"/>
  <c r="EF84" i="1"/>
  <c r="AE84" i="1" s="1"/>
  <c r="EF83" i="1"/>
  <c r="AE83" i="1" s="1"/>
  <c r="EF82" i="1"/>
  <c r="AE82" i="1" s="1"/>
  <c r="EF66" i="1"/>
  <c r="AE66" i="1" s="1"/>
  <c r="EF72" i="1"/>
  <c r="AE72" i="1" s="1"/>
  <c r="EF71" i="1"/>
  <c r="AE71" i="1" s="1"/>
  <c r="EF73" i="1"/>
  <c r="AE73" i="1" s="1"/>
  <c r="EF70" i="1"/>
  <c r="AE70" i="1" s="1"/>
  <c r="EF69" i="1"/>
  <c r="AE69" i="1" s="1"/>
  <c r="EF68" i="1"/>
  <c r="AE68" i="1" s="1"/>
  <c r="EF65" i="1"/>
  <c r="AE65" i="1" s="1"/>
  <c r="EF63" i="1"/>
  <c r="AE63" i="1" s="1"/>
  <c r="EF44" i="1"/>
  <c r="EF32" i="1"/>
  <c r="AE32" i="1" s="1"/>
  <c r="EF31" i="1"/>
  <c r="EF109" i="1"/>
  <c r="AE109" i="1" s="1"/>
  <c r="L51" i="2"/>
  <c r="AE233" i="1"/>
  <c r="AE232" i="1"/>
  <c r="EF232" i="1"/>
  <c r="EF233" i="1"/>
  <c r="EF93" i="1"/>
  <c r="AE93" i="1" s="1"/>
  <c r="AE44" i="1"/>
  <c r="EF235" i="1"/>
  <c r="EF229" i="1"/>
  <c r="EF160" i="1"/>
  <c r="AE160" i="1" s="1"/>
  <c r="EF59" i="1"/>
  <c r="AE59" i="1" s="1"/>
  <c r="EF159" i="1"/>
  <c r="AE159" i="1" s="1"/>
  <c r="EF60" i="1"/>
  <c r="AE60" i="1" s="1"/>
  <c r="AE236" i="1"/>
  <c r="AE235" i="1"/>
  <c r="AE229" i="1"/>
  <c r="EF111" i="1"/>
  <c r="AE111" i="1" s="1"/>
  <c r="EF236" i="1"/>
  <c r="EF110" i="1"/>
  <c r="AE110" i="1" s="1"/>
  <c r="AE234" i="1"/>
  <c r="AE231" i="1"/>
  <c r="AE230" i="1"/>
  <c r="EF218" i="1"/>
  <c r="AE218" i="1" s="1"/>
  <c r="EF234" i="1"/>
  <c r="EF231" i="1"/>
  <c r="EF230" i="1"/>
  <c r="EF197" i="1"/>
  <c r="AE197" i="1" s="1"/>
  <c r="EF223" i="1"/>
  <c r="EF224" i="1"/>
  <c r="EF222" i="1"/>
  <c r="EF221" i="1"/>
  <c r="AE221" i="1" s="1"/>
  <c r="EF214" i="1"/>
  <c r="AE214" i="1" s="1"/>
  <c r="EF213" i="1"/>
  <c r="AE213" i="1" s="1"/>
  <c r="EF212" i="1"/>
  <c r="AE212" i="1" s="1"/>
  <c r="EF215" i="1"/>
  <c r="AE215" i="1" s="1"/>
  <c r="AE223" i="1"/>
  <c r="AE224" i="1"/>
  <c r="AE222" i="1"/>
  <c r="AE207" i="1"/>
  <c r="AE206" i="1"/>
  <c r="AE205" i="1"/>
  <c r="EF207" i="1"/>
  <c r="EF206" i="1"/>
  <c r="EF205" i="1"/>
  <c r="EF204" i="1"/>
  <c r="EF201" i="1"/>
  <c r="AE201" i="1" s="1"/>
  <c r="EF198" i="1"/>
  <c r="AE198" i="1" s="1"/>
  <c r="EF195" i="1"/>
  <c r="AE195" i="1" s="1"/>
  <c r="EF196" i="1"/>
  <c r="AE196" i="1" s="1"/>
  <c r="EF130" i="1"/>
  <c r="AE130" i="1" s="1"/>
  <c r="EF129" i="1"/>
  <c r="AE129" i="1" s="1"/>
  <c r="EF127" i="1"/>
  <c r="AE127" i="1" s="1"/>
  <c r="EF128" i="1"/>
  <c r="AE128" i="1" s="1"/>
  <c r="EF79" i="1"/>
  <c r="AE79" i="1" s="1"/>
  <c r="EF78" i="1"/>
  <c r="AE78" i="1" s="1"/>
  <c r="EF61" i="1"/>
  <c r="AE61" i="1" s="1"/>
  <c r="EF77" i="1"/>
  <c r="AE77" i="1" s="1"/>
  <c r="EF76" i="1"/>
  <c r="AE76" i="1" s="1"/>
  <c r="EF91" i="1"/>
  <c r="EF90" i="1"/>
  <c r="EF92" i="1"/>
  <c r="AE92" i="1" s="1"/>
  <c r="AE190" i="1"/>
  <c r="AE189" i="1"/>
  <c r="AE188" i="1"/>
  <c r="AE151" i="1"/>
  <c r="AE187" i="1"/>
  <c r="AE153" i="1"/>
  <c r="AE150" i="1"/>
  <c r="AE152" i="1"/>
  <c r="EF189" i="1"/>
  <c r="EF190" i="1"/>
  <c r="EF188" i="1"/>
  <c r="EF178" i="1"/>
  <c r="AE178" i="1" s="1"/>
  <c r="EF187" i="1"/>
  <c r="EF153" i="1"/>
  <c r="EF150" i="1"/>
  <c r="EF151" i="1"/>
  <c r="EF98" i="1"/>
  <c r="EF100" i="1"/>
  <c r="EF102" i="1"/>
  <c r="EF104" i="1"/>
  <c r="EF152" i="1"/>
  <c r="EF103" i="1"/>
  <c r="EF149" i="1"/>
  <c r="EF101" i="1"/>
  <c r="EF99" i="1"/>
  <c r="EF97" i="1"/>
  <c r="AE97" i="1" s="1"/>
  <c r="AE98" i="1"/>
  <c r="AE102" i="1"/>
  <c r="AE103" i="1"/>
  <c r="AE99" i="1"/>
  <c r="AE100" i="1"/>
  <c r="AE104" i="1"/>
  <c r="AE101" i="1"/>
  <c r="EF42" i="1"/>
  <c r="AE42" i="1" s="1"/>
  <c r="EF46" i="1"/>
  <c r="EG30" i="1"/>
  <c r="EG35" i="1" s="1"/>
  <c r="EF43" i="1"/>
  <c r="EF45" i="1"/>
  <c r="EF40" i="1"/>
  <c r="EF39" i="1"/>
  <c r="EF38" i="1"/>
  <c r="AF30" i="1"/>
  <c r="AF44" i="1" s="1"/>
  <c r="EF41" i="1"/>
  <c r="AE41" i="1" s="1"/>
  <c r="EF80" i="1"/>
  <c r="AE80" i="1" s="1"/>
  <c r="EF158" i="1"/>
  <c r="AE158" i="1" s="1"/>
  <c r="EF120" i="1"/>
  <c r="AE120" i="1" s="1"/>
  <c r="EF67" i="1"/>
  <c r="AE67" i="1" s="1"/>
  <c r="AE45" i="1"/>
  <c r="EF62" i="1"/>
  <c r="AE62" i="1" s="1"/>
  <c r="EF58" i="1"/>
  <c r="AE58" i="1" s="1"/>
  <c r="EF162" i="1"/>
  <c r="AE162" i="1" s="1"/>
  <c r="EF64" i="1"/>
  <c r="AE64" i="1" s="1"/>
  <c r="EF113" i="1"/>
  <c r="AE113" i="1" s="1"/>
  <c r="EG56" i="1"/>
  <c r="AE43" i="1"/>
  <c r="AF56" i="1"/>
  <c r="AF35" i="1" l="1"/>
  <c r="AE147" i="1"/>
  <c r="AE125" i="1"/>
  <c r="EG184" i="1"/>
  <c r="AF184" i="1" s="1"/>
  <c r="EG179" i="1"/>
  <c r="AF179" i="1" s="1"/>
  <c r="EG180" i="1"/>
  <c r="AF180" i="1" s="1"/>
  <c r="EG182" i="1"/>
  <c r="AF182" i="1" s="1"/>
  <c r="EG183" i="1"/>
  <c r="AF183" i="1" s="1"/>
  <c r="EG181" i="1"/>
  <c r="AF181" i="1" s="1"/>
  <c r="EG163" i="1"/>
  <c r="AF163" i="1" s="1"/>
  <c r="EG176" i="1"/>
  <c r="AF176" i="1" s="1"/>
  <c r="EG177" i="1"/>
  <c r="AF177" i="1" s="1"/>
  <c r="EG174" i="1"/>
  <c r="AF174" i="1" s="1"/>
  <c r="EG175" i="1"/>
  <c r="AF175" i="1" s="1"/>
  <c r="EG161" i="1"/>
  <c r="AF161" i="1" s="1"/>
  <c r="EG171" i="1"/>
  <c r="AF171" i="1" s="1"/>
  <c r="EG170" i="1"/>
  <c r="AF170" i="1" s="1"/>
  <c r="EG169" i="1"/>
  <c r="AF169" i="1" s="1"/>
  <c r="EG168" i="1"/>
  <c r="AF168" i="1" s="1"/>
  <c r="EG166" i="1"/>
  <c r="AF166" i="1" s="1"/>
  <c r="EG167" i="1"/>
  <c r="AF167" i="1" s="1"/>
  <c r="EG165" i="1"/>
  <c r="AF165" i="1" s="1"/>
  <c r="EG164" i="1"/>
  <c r="AF164" i="1" s="1"/>
  <c r="EG137" i="1"/>
  <c r="AF137" i="1" s="1"/>
  <c r="EG136" i="1"/>
  <c r="AF136" i="1" s="1"/>
  <c r="EG146" i="1"/>
  <c r="AF146" i="1" s="1"/>
  <c r="EG142" i="1"/>
  <c r="AF142" i="1" s="1"/>
  <c r="EG144" i="1"/>
  <c r="AF144" i="1" s="1"/>
  <c r="EG139" i="1"/>
  <c r="AF139" i="1" s="1"/>
  <c r="EG141" i="1"/>
  <c r="AF141" i="1" s="1"/>
  <c r="EG145" i="1"/>
  <c r="AF145" i="1" s="1"/>
  <c r="EG143" i="1"/>
  <c r="AF143" i="1" s="1"/>
  <c r="EG140" i="1"/>
  <c r="AF140" i="1" s="1"/>
  <c r="EG131" i="1"/>
  <c r="AF131" i="1" s="1"/>
  <c r="EG132" i="1"/>
  <c r="AF132" i="1" s="1"/>
  <c r="EG133" i="1"/>
  <c r="AF133" i="1" s="1"/>
  <c r="EG138" i="1"/>
  <c r="AF138" i="1" s="1"/>
  <c r="EG135" i="1"/>
  <c r="AF135" i="1" s="1"/>
  <c r="EG134" i="1"/>
  <c r="AF134" i="1" s="1"/>
  <c r="EG123" i="1"/>
  <c r="AF123" i="1" s="1"/>
  <c r="EG124" i="1"/>
  <c r="AF124" i="1" s="1"/>
  <c r="EG115" i="1"/>
  <c r="AF115" i="1" s="1"/>
  <c r="EG122" i="1"/>
  <c r="AF122" i="1" s="1"/>
  <c r="EG121" i="1"/>
  <c r="AF121" i="1" s="1"/>
  <c r="EG118" i="1"/>
  <c r="AF118" i="1" s="1"/>
  <c r="EG119" i="1"/>
  <c r="AF119" i="1" s="1"/>
  <c r="EG117" i="1"/>
  <c r="AF117" i="1" s="1"/>
  <c r="EG114" i="1"/>
  <c r="AF114" i="1" s="1"/>
  <c r="EG116" i="1"/>
  <c r="AF116" i="1" s="1"/>
  <c r="EG112" i="1"/>
  <c r="AF112" i="1" s="1"/>
  <c r="EG94" i="1"/>
  <c r="AF94" i="1" s="1"/>
  <c r="EG88" i="1"/>
  <c r="AF88" i="1" s="1"/>
  <c r="EG87" i="1"/>
  <c r="AF87" i="1" s="1"/>
  <c r="EG89" i="1"/>
  <c r="AF89" i="1" s="1"/>
  <c r="EG86" i="1"/>
  <c r="AF86" i="1" s="1"/>
  <c r="EG81" i="1"/>
  <c r="AF81" i="1" s="1"/>
  <c r="EG84" i="1"/>
  <c r="AF84" i="1" s="1"/>
  <c r="EG85" i="1"/>
  <c r="AF85" i="1" s="1"/>
  <c r="EG83" i="1"/>
  <c r="AF83" i="1" s="1"/>
  <c r="EG82" i="1"/>
  <c r="AF82" i="1" s="1"/>
  <c r="EG66" i="1"/>
  <c r="AF66" i="1" s="1"/>
  <c r="EG72" i="1"/>
  <c r="AF72" i="1" s="1"/>
  <c r="EG73" i="1"/>
  <c r="AF73" i="1" s="1"/>
  <c r="EG71" i="1"/>
  <c r="AF71" i="1" s="1"/>
  <c r="EG69" i="1"/>
  <c r="AF69" i="1" s="1"/>
  <c r="EG70" i="1"/>
  <c r="AF70" i="1" s="1"/>
  <c r="EG68" i="1"/>
  <c r="AF68" i="1" s="1"/>
  <c r="EG65" i="1"/>
  <c r="AF65" i="1" s="1"/>
  <c r="EG63" i="1"/>
  <c r="AF63" i="1" s="1"/>
  <c r="EG31" i="1"/>
  <c r="EG44" i="1"/>
  <c r="EG32" i="1"/>
  <c r="AF32" i="1" s="1"/>
  <c r="AF233" i="1"/>
  <c r="AF232" i="1"/>
  <c r="EG232" i="1"/>
  <c r="EG233" i="1"/>
  <c r="EG93" i="1"/>
  <c r="AF93" i="1" s="1"/>
  <c r="EG229" i="1"/>
  <c r="EG235" i="1"/>
  <c r="EG159" i="1"/>
  <c r="AF159" i="1" s="1"/>
  <c r="EG59" i="1"/>
  <c r="AF59" i="1" s="1"/>
  <c r="EG160" i="1"/>
  <c r="AF160" i="1" s="1"/>
  <c r="EG60" i="1"/>
  <c r="AF60" i="1" s="1"/>
  <c r="AF236" i="1"/>
  <c r="AF235" i="1"/>
  <c r="AF229" i="1"/>
  <c r="EG236" i="1"/>
  <c r="EG111" i="1"/>
  <c r="AF111" i="1" s="1"/>
  <c r="EG110" i="1"/>
  <c r="AF110" i="1" s="1"/>
  <c r="AF230" i="1"/>
  <c r="AF234" i="1"/>
  <c r="AF231" i="1"/>
  <c r="EG218" i="1"/>
  <c r="AF218" i="1" s="1"/>
  <c r="EG230" i="1"/>
  <c r="EG231" i="1"/>
  <c r="EG234" i="1"/>
  <c r="AF222" i="1"/>
  <c r="AF223" i="1"/>
  <c r="EG197" i="1"/>
  <c r="AF197" i="1" s="1"/>
  <c r="EG224" i="1"/>
  <c r="AF224" i="1" s="1"/>
  <c r="EG223" i="1"/>
  <c r="EG222" i="1"/>
  <c r="EG221" i="1"/>
  <c r="AF221" i="1" s="1"/>
  <c r="EG215" i="1"/>
  <c r="AF215" i="1" s="1"/>
  <c r="EG214" i="1"/>
  <c r="AF214" i="1" s="1"/>
  <c r="EG212" i="1"/>
  <c r="AF212" i="1" s="1"/>
  <c r="EG213" i="1"/>
  <c r="AF45" i="1"/>
  <c r="AF207" i="1"/>
  <c r="AF206" i="1"/>
  <c r="AF205" i="1"/>
  <c r="EG205" i="1"/>
  <c r="EG207" i="1"/>
  <c r="EG204" i="1"/>
  <c r="EG196" i="1"/>
  <c r="AF196" i="1" s="1"/>
  <c r="EG206" i="1"/>
  <c r="EG129" i="1"/>
  <c r="AF129" i="1" s="1"/>
  <c r="EG127" i="1"/>
  <c r="AF127" i="1" s="1"/>
  <c r="EG195" i="1"/>
  <c r="AF195" i="1" s="1"/>
  <c r="EG130" i="1"/>
  <c r="AF130" i="1" s="1"/>
  <c r="EG201" i="1"/>
  <c r="AF201" i="1" s="1"/>
  <c r="EG198" i="1"/>
  <c r="AF198" i="1" s="1"/>
  <c r="EG128" i="1"/>
  <c r="AF128" i="1" s="1"/>
  <c r="EG90" i="1"/>
  <c r="AF90" i="1" s="1"/>
  <c r="AE90" i="1"/>
  <c r="EG91" i="1"/>
  <c r="AF91" i="1" s="1"/>
  <c r="AE91" i="1"/>
  <c r="EG79" i="1"/>
  <c r="AF79" i="1" s="1"/>
  <c r="EG61" i="1"/>
  <c r="AF61" i="1" s="1"/>
  <c r="EG78" i="1"/>
  <c r="AF78" i="1" s="1"/>
  <c r="EG92" i="1"/>
  <c r="EG77" i="1"/>
  <c r="EG76" i="1"/>
  <c r="AF76" i="1" s="1"/>
  <c r="AF190" i="1"/>
  <c r="AF189" i="1"/>
  <c r="AF188" i="1"/>
  <c r="AF187" i="1"/>
  <c r="AF151" i="1"/>
  <c r="AF150" i="1"/>
  <c r="AF152" i="1"/>
  <c r="AF153" i="1"/>
  <c r="EG190" i="1"/>
  <c r="EG187" i="1"/>
  <c r="EG189" i="1"/>
  <c r="EG178" i="1"/>
  <c r="AF178" i="1" s="1"/>
  <c r="EG188" i="1"/>
  <c r="EG43" i="1"/>
  <c r="AG30" i="1"/>
  <c r="AG44" i="1" s="1"/>
  <c r="EG151" i="1"/>
  <c r="EG153" i="1"/>
  <c r="EG149" i="1"/>
  <c r="EG97" i="1"/>
  <c r="EG150" i="1"/>
  <c r="EG104" i="1"/>
  <c r="AF104" i="1" s="1"/>
  <c r="EG152" i="1"/>
  <c r="EG40" i="1"/>
  <c r="EG102" i="1"/>
  <c r="EG103" i="1"/>
  <c r="EG100" i="1"/>
  <c r="EG101" i="1"/>
  <c r="EG99" i="1"/>
  <c r="EG98" i="1"/>
  <c r="EH30" i="1"/>
  <c r="EH35" i="1" s="1"/>
  <c r="EG45" i="1"/>
  <c r="EG46" i="1"/>
  <c r="AF97" i="1"/>
  <c r="AF101" i="1"/>
  <c r="AF100" i="1"/>
  <c r="AF103" i="1"/>
  <c r="AF99" i="1"/>
  <c r="AF98" i="1"/>
  <c r="AF102" i="1"/>
  <c r="EG42" i="1"/>
  <c r="EG38" i="1"/>
  <c r="EG41" i="1"/>
  <c r="EG39" i="1"/>
  <c r="AF42" i="1"/>
  <c r="AF41" i="1"/>
  <c r="AF43" i="1"/>
  <c r="EG80" i="1"/>
  <c r="AF80" i="1" s="1"/>
  <c r="EG120" i="1"/>
  <c r="AF120" i="1" s="1"/>
  <c r="EG67" i="1"/>
  <c r="AF67" i="1" s="1"/>
  <c r="EG158" i="1"/>
  <c r="AF158" i="1" s="1"/>
  <c r="EG109" i="1"/>
  <c r="AF109" i="1" s="1"/>
  <c r="EG162" i="1"/>
  <c r="AF162" i="1" s="1"/>
  <c r="EG113" i="1"/>
  <c r="AF113" i="1" s="1"/>
  <c r="EG58" i="1"/>
  <c r="AF58" i="1" s="1"/>
  <c r="EG62" i="1"/>
  <c r="AF62" i="1" s="1"/>
  <c r="EH56" i="1"/>
  <c r="EG64" i="1"/>
  <c r="AF64" i="1" s="1"/>
  <c r="AG56" i="1"/>
  <c r="AG35" i="1" l="1"/>
  <c r="AF147" i="1"/>
  <c r="AF125" i="1"/>
  <c r="EH184" i="1"/>
  <c r="AG184" i="1" s="1"/>
  <c r="EH182" i="1"/>
  <c r="AG182" i="1" s="1"/>
  <c r="EH180" i="1"/>
  <c r="AG180" i="1" s="1"/>
  <c r="EH179" i="1"/>
  <c r="AG179" i="1" s="1"/>
  <c r="EH181" i="1"/>
  <c r="AG181" i="1" s="1"/>
  <c r="EH183" i="1"/>
  <c r="AG183" i="1" s="1"/>
  <c r="EH163" i="1"/>
  <c r="AG163" i="1" s="1"/>
  <c r="EH176" i="1"/>
  <c r="AG176" i="1" s="1"/>
  <c r="EH177" i="1"/>
  <c r="AG177" i="1" s="1"/>
  <c r="EH175" i="1"/>
  <c r="AG175" i="1" s="1"/>
  <c r="EH174" i="1"/>
  <c r="AG174" i="1" s="1"/>
  <c r="EH161" i="1"/>
  <c r="AG161" i="1" s="1"/>
  <c r="EH170" i="1"/>
  <c r="AG170" i="1" s="1"/>
  <c r="EH171" i="1"/>
  <c r="AG171" i="1" s="1"/>
  <c r="EH169" i="1"/>
  <c r="AG169" i="1" s="1"/>
  <c r="EH168" i="1"/>
  <c r="AG168" i="1" s="1"/>
  <c r="EH167" i="1"/>
  <c r="AG167" i="1" s="1"/>
  <c r="EH165" i="1"/>
  <c r="AG165" i="1" s="1"/>
  <c r="EH166" i="1"/>
  <c r="AG166" i="1" s="1"/>
  <c r="EH164" i="1"/>
  <c r="AG164" i="1" s="1"/>
  <c r="EH137" i="1"/>
  <c r="AG137" i="1" s="1"/>
  <c r="EH136" i="1"/>
  <c r="AG136" i="1" s="1"/>
  <c r="EH146" i="1"/>
  <c r="AG146" i="1" s="1"/>
  <c r="EH145" i="1"/>
  <c r="AG145" i="1" s="1"/>
  <c r="EH143" i="1"/>
  <c r="AG143" i="1" s="1"/>
  <c r="EH141" i="1"/>
  <c r="AG141" i="1" s="1"/>
  <c r="EH140" i="1"/>
  <c r="AG140" i="1" s="1"/>
  <c r="EH144" i="1"/>
  <c r="AG144" i="1" s="1"/>
  <c r="EH142" i="1"/>
  <c r="AG142" i="1" s="1"/>
  <c r="EH139" i="1"/>
  <c r="AG139" i="1" s="1"/>
  <c r="EH131" i="1"/>
  <c r="AG131" i="1" s="1"/>
  <c r="EH132" i="1"/>
  <c r="AG132" i="1" s="1"/>
  <c r="EH133" i="1"/>
  <c r="AG133" i="1" s="1"/>
  <c r="EH135" i="1"/>
  <c r="AG135" i="1" s="1"/>
  <c r="EH138" i="1"/>
  <c r="AG138" i="1" s="1"/>
  <c r="EH134" i="1"/>
  <c r="AG134" i="1" s="1"/>
  <c r="EH123" i="1"/>
  <c r="AG123" i="1" s="1"/>
  <c r="EH124" i="1"/>
  <c r="AG124" i="1" s="1"/>
  <c r="EH115" i="1"/>
  <c r="AG115" i="1" s="1"/>
  <c r="EH122" i="1"/>
  <c r="AG122" i="1" s="1"/>
  <c r="EH121" i="1"/>
  <c r="AG121" i="1" s="1"/>
  <c r="EH119" i="1"/>
  <c r="AG119" i="1" s="1"/>
  <c r="EH118" i="1"/>
  <c r="AG118" i="1" s="1"/>
  <c r="EH117" i="1"/>
  <c r="AG117" i="1" s="1"/>
  <c r="EH116" i="1"/>
  <c r="AG116" i="1" s="1"/>
  <c r="EH114" i="1"/>
  <c r="AG114" i="1" s="1"/>
  <c r="EH112" i="1"/>
  <c r="AG112" i="1" s="1"/>
  <c r="EH94" i="1"/>
  <c r="AG94" i="1" s="1"/>
  <c r="EH89" i="1"/>
  <c r="AG89" i="1" s="1"/>
  <c r="EH88" i="1"/>
  <c r="AG88" i="1" s="1"/>
  <c r="EH87" i="1"/>
  <c r="AG87" i="1" s="1"/>
  <c r="EH86" i="1"/>
  <c r="AG86" i="1" s="1"/>
  <c r="EH81" i="1"/>
  <c r="AG81" i="1" s="1"/>
  <c r="EH84" i="1"/>
  <c r="AG84" i="1" s="1"/>
  <c r="EH85" i="1"/>
  <c r="AG85" i="1" s="1"/>
  <c r="EH83" i="1"/>
  <c r="AG83" i="1" s="1"/>
  <c r="EH82" i="1"/>
  <c r="AG82" i="1" s="1"/>
  <c r="EH66" i="1"/>
  <c r="AG66" i="1" s="1"/>
  <c r="EH73" i="1"/>
  <c r="AG73" i="1" s="1"/>
  <c r="EH72" i="1"/>
  <c r="AG72" i="1" s="1"/>
  <c r="EH68" i="1"/>
  <c r="AG68" i="1" s="1"/>
  <c r="EH71" i="1"/>
  <c r="AG71" i="1" s="1"/>
  <c r="EH70" i="1"/>
  <c r="AG70" i="1" s="1"/>
  <c r="EH69" i="1"/>
  <c r="AG69" i="1" s="1"/>
  <c r="EH65" i="1"/>
  <c r="AG65" i="1" s="1"/>
  <c r="EH63" i="1"/>
  <c r="AG63" i="1" s="1"/>
  <c r="EH44" i="1"/>
  <c r="EH32" i="1"/>
  <c r="AG32" i="1" s="1"/>
  <c r="EH31" i="1"/>
  <c r="AG233" i="1"/>
  <c r="AG232" i="1"/>
  <c r="EH232" i="1"/>
  <c r="EH233" i="1"/>
  <c r="EH93" i="1"/>
  <c r="AG93" i="1" s="1"/>
  <c r="AG236" i="1"/>
  <c r="AG235" i="1"/>
  <c r="AG229" i="1"/>
  <c r="EH235" i="1"/>
  <c r="EH229" i="1"/>
  <c r="EH159" i="1"/>
  <c r="EH59" i="1"/>
  <c r="AG59" i="1" s="1"/>
  <c r="EH160" i="1"/>
  <c r="AG160" i="1" s="1"/>
  <c r="EH60" i="1"/>
  <c r="AG60" i="1" s="1"/>
  <c r="EH111" i="1"/>
  <c r="AG111" i="1" s="1"/>
  <c r="EH236" i="1"/>
  <c r="EH110" i="1"/>
  <c r="AG110" i="1" s="1"/>
  <c r="AG230" i="1"/>
  <c r="AG234" i="1"/>
  <c r="AG231" i="1"/>
  <c r="EH218" i="1"/>
  <c r="AG218" i="1" s="1"/>
  <c r="EH230" i="1"/>
  <c r="EH231" i="1"/>
  <c r="EH234" i="1"/>
  <c r="EI30" i="1"/>
  <c r="EI35" i="1" s="1"/>
  <c r="EH213" i="1"/>
  <c r="AG213" i="1" s="1"/>
  <c r="AF213" i="1"/>
  <c r="AG223" i="1"/>
  <c r="AG224" i="1"/>
  <c r="AG222" i="1"/>
  <c r="AG221" i="1"/>
  <c r="EH197" i="1"/>
  <c r="AG197" i="1" s="1"/>
  <c r="EH215" i="1"/>
  <c r="AG215" i="1" s="1"/>
  <c r="EH214" i="1"/>
  <c r="AG214" i="1" s="1"/>
  <c r="EH222" i="1"/>
  <c r="EH221" i="1"/>
  <c r="EH224" i="1"/>
  <c r="EH223" i="1"/>
  <c r="EH212" i="1"/>
  <c r="AG212" i="1" s="1"/>
  <c r="EH207" i="1"/>
  <c r="EH205" i="1"/>
  <c r="EH196" i="1"/>
  <c r="EH195" i="1"/>
  <c r="AG195" i="1" s="1"/>
  <c r="EH198" i="1"/>
  <c r="AG198" i="1" s="1"/>
  <c r="EH204" i="1"/>
  <c r="EH129" i="1"/>
  <c r="AG129" i="1" s="1"/>
  <c r="EH201" i="1"/>
  <c r="AG201" i="1" s="1"/>
  <c r="EH127" i="1"/>
  <c r="AG127" i="1" s="1"/>
  <c r="EH130" i="1"/>
  <c r="AG130" i="1" s="1"/>
  <c r="EH128" i="1"/>
  <c r="AG128" i="1" s="1"/>
  <c r="EH206" i="1"/>
  <c r="AG207" i="1"/>
  <c r="AG206" i="1"/>
  <c r="AG205" i="1"/>
  <c r="AH30" i="1"/>
  <c r="AH44" i="1" s="1"/>
  <c r="EH77" i="1"/>
  <c r="AG77" i="1" s="1"/>
  <c r="AF77" i="1"/>
  <c r="EH91" i="1"/>
  <c r="AG91" i="1" s="1"/>
  <c r="EH61" i="1"/>
  <c r="AG61" i="1" s="1"/>
  <c r="EH79" i="1"/>
  <c r="AG79" i="1" s="1"/>
  <c r="EH90" i="1"/>
  <c r="AG90" i="1" s="1"/>
  <c r="EH78" i="1"/>
  <c r="AG78" i="1" s="1"/>
  <c r="EH76" i="1"/>
  <c r="AG76" i="1" s="1"/>
  <c r="EH41" i="1"/>
  <c r="EH45" i="1"/>
  <c r="AG45" i="1" s="1"/>
  <c r="EH92" i="1"/>
  <c r="AG92" i="1" s="1"/>
  <c r="AF92" i="1"/>
  <c r="AG190" i="1"/>
  <c r="AG188" i="1"/>
  <c r="AG189" i="1"/>
  <c r="AG187" i="1"/>
  <c r="AG152" i="1"/>
  <c r="AG153" i="1"/>
  <c r="AG151" i="1"/>
  <c r="AG150" i="1"/>
  <c r="EH189" i="1"/>
  <c r="EH188" i="1"/>
  <c r="EH187" i="1"/>
  <c r="EH178" i="1"/>
  <c r="AG178" i="1" s="1"/>
  <c r="EH190" i="1"/>
  <c r="EH38" i="1"/>
  <c r="EH43" i="1"/>
  <c r="AG43" i="1" s="1"/>
  <c r="EH39" i="1"/>
  <c r="EH46" i="1"/>
  <c r="EH40" i="1"/>
  <c r="AG99" i="1"/>
  <c r="AG104" i="1"/>
  <c r="AG100" i="1"/>
  <c r="AG101" i="1"/>
  <c r="AG102" i="1"/>
  <c r="AG98" i="1"/>
  <c r="EH153" i="1"/>
  <c r="EH150" i="1"/>
  <c r="EH103" i="1"/>
  <c r="AG103" i="1" s="1"/>
  <c r="EH101" i="1"/>
  <c r="EH99" i="1"/>
  <c r="EH151" i="1"/>
  <c r="EH102" i="1"/>
  <c r="EH104" i="1"/>
  <c r="EH149" i="1"/>
  <c r="EH98" i="1"/>
  <c r="EH100" i="1"/>
  <c r="EH152" i="1"/>
  <c r="EH97" i="1"/>
  <c r="AG97" i="1" s="1"/>
  <c r="EH42" i="1"/>
  <c r="AG42" i="1" s="1"/>
  <c r="EH80" i="1"/>
  <c r="AG80" i="1" s="1"/>
  <c r="EH158" i="1"/>
  <c r="AG158" i="1" s="1"/>
  <c r="EH120" i="1"/>
  <c r="AG120" i="1" s="1"/>
  <c r="EH67" i="1"/>
  <c r="AG67" i="1" s="1"/>
  <c r="EH109" i="1"/>
  <c r="AG109" i="1" s="1"/>
  <c r="EH162" i="1"/>
  <c r="AG162" i="1" s="1"/>
  <c r="EH113" i="1"/>
  <c r="AG113" i="1" s="1"/>
  <c r="EI56" i="1"/>
  <c r="EH64" i="1"/>
  <c r="AG64" i="1" s="1"/>
  <c r="EH62" i="1"/>
  <c r="AG62" i="1" s="1"/>
  <c r="EH58" i="1"/>
  <c r="AH56" i="1"/>
  <c r="AH35" i="1" l="1"/>
  <c r="AG147" i="1"/>
  <c r="AG125" i="1"/>
  <c r="EI184" i="1"/>
  <c r="AH184" i="1" s="1"/>
  <c r="EI180" i="1"/>
  <c r="AH180" i="1" s="1"/>
  <c r="EI183" i="1"/>
  <c r="AH183" i="1" s="1"/>
  <c r="EI181" i="1"/>
  <c r="AH181" i="1" s="1"/>
  <c r="EI182" i="1"/>
  <c r="AH182" i="1" s="1"/>
  <c r="EI179" i="1"/>
  <c r="AH179" i="1" s="1"/>
  <c r="EI163" i="1"/>
  <c r="AH163" i="1" s="1"/>
  <c r="EI177" i="1"/>
  <c r="AH177" i="1" s="1"/>
  <c r="EI176" i="1"/>
  <c r="AH176" i="1" s="1"/>
  <c r="EI175" i="1"/>
  <c r="AH175" i="1" s="1"/>
  <c r="EI174" i="1"/>
  <c r="AH174" i="1" s="1"/>
  <c r="EI161" i="1"/>
  <c r="AH161" i="1" s="1"/>
  <c r="EI171" i="1"/>
  <c r="AH171" i="1" s="1"/>
  <c r="EI170" i="1"/>
  <c r="AH170" i="1" s="1"/>
  <c r="EI169" i="1"/>
  <c r="AH169" i="1" s="1"/>
  <c r="EI167" i="1"/>
  <c r="AH167" i="1" s="1"/>
  <c r="EI165" i="1"/>
  <c r="AH165" i="1" s="1"/>
  <c r="EI168" i="1"/>
  <c r="AH168" i="1" s="1"/>
  <c r="EI164" i="1"/>
  <c r="AH164" i="1" s="1"/>
  <c r="EI166" i="1"/>
  <c r="AH166" i="1" s="1"/>
  <c r="EI137" i="1"/>
  <c r="AH137" i="1" s="1"/>
  <c r="EI136" i="1"/>
  <c r="AH136" i="1" s="1"/>
  <c r="EI146" i="1"/>
  <c r="AH146" i="1" s="1"/>
  <c r="EI145" i="1"/>
  <c r="AH145" i="1" s="1"/>
  <c r="EI144" i="1"/>
  <c r="AH144" i="1" s="1"/>
  <c r="EI143" i="1"/>
  <c r="AH143" i="1" s="1"/>
  <c r="EI141" i="1"/>
  <c r="AH141" i="1" s="1"/>
  <c r="EI140" i="1"/>
  <c r="AH140" i="1" s="1"/>
  <c r="EI142" i="1"/>
  <c r="AH142" i="1" s="1"/>
  <c r="EI139" i="1"/>
  <c r="AH139" i="1" s="1"/>
  <c r="EI131" i="1"/>
  <c r="AH131" i="1" s="1"/>
  <c r="EI132" i="1"/>
  <c r="AH132" i="1" s="1"/>
  <c r="EI133" i="1"/>
  <c r="AH133" i="1" s="1"/>
  <c r="EI138" i="1"/>
  <c r="AH138" i="1" s="1"/>
  <c r="EI135" i="1"/>
  <c r="AH135" i="1" s="1"/>
  <c r="EI134" i="1"/>
  <c r="AH134" i="1" s="1"/>
  <c r="EI124" i="1"/>
  <c r="AH124" i="1" s="1"/>
  <c r="EI123" i="1"/>
  <c r="AH123" i="1" s="1"/>
  <c r="EI115" i="1"/>
  <c r="AH115" i="1" s="1"/>
  <c r="EI122" i="1"/>
  <c r="AH122" i="1" s="1"/>
  <c r="EI121" i="1"/>
  <c r="AH121" i="1" s="1"/>
  <c r="EI119" i="1"/>
  <c r="AH119" i="1" s="1"/>
  <c r="EI118" i="1"/>
  <c r="AH118" i="1" s="1"/>
  <c r="EI117" i="1"/>
  <c r="AH117" i="1" s="1"/>
  <c r="EI116" i="1"/>
  <c r="AH116" i="1" s="1"/>
  <c r="EI114" i="1"/>
  <c r="AH114" i="1" s="1"/>
  <c r="EI112" i="1"/>
  <c r="AH112" i="1" s="1"/>
  <c r="EI94" i="1"/>
  <c r="AH94" i="1" s="1"/>
  <c r="EI89" i="1"/>
  <c r="AH89" i="1" s="1"/>
  <c r="EI87" i="1"/>
  <c r="AH87" i="1" s="1"/>
  <c r="EI86" i="1"/>
  <c r="AH86" i="1" s="1"/>
  <c r="EI88" i="1"/>
  <c r="AH88" i="1" s="1"/>
  <c r="EI81" i="1"/>
  <c r="AH81" i="1" s="1"/>
  <c r="EI85" i="1"/>
  <c r="AH85" i="1" s="1"/>
  <c r="EI84" i="1"/>
  <c r="AH84" i="1" s="1"/>
  <c r="EI83" i="1"/>
  <c r="AH83" i="1" s="1"/>
  <c r="EI82" i="1"/>
  <c r="AH82" i="1" s="1"/>
  <c r="EI66" i="1"/>
  <c r="AH66" i="1" s="1"/>
  <c r="EI72" i="1"/>
  <c r="AH72" i="1" s="1"/>
  <c r="EI73" i="1"/>
  <c r="AH73" i="1" s="1"/>
  <c r="EI71" i="1"/>
  <c r="AH71" i="1" s="1"/>
  <c r="EI70" i="1"/>
  <c r="AH70" i="1" s="1"/>
  <c r="EI69" i="1"/>
  <c r="AH69" i="1" s="1"/>
  <c r="EI68" i="1"/>
  <c r="AH68" i="1" s="1"/>
  <c r="EI65" i="1"/>
  <c r="AH65" i="1" s="1"/>
  <c r="EI63" i="1"/>
  <c r="AH63" i="1" s="1"/>
  <c r="EI44" i="1"/>
  <c r="EI32" i="1"/>
  <c r="AH32" i="1" s="1"/>
  <c r="EI31" i="1"/>
  <c r="AH233" i="1"/>
  <c r="AH232" i="1"/>
  <c r="EI233" i="1"/>
  <c r="EI232" i="1"/>
  <c r="EI93" i="1"/>
  <c r="AH93" i="1" s="1"/>
  <c r="AH236" i="1"/>
  <c r="AH229" i="1"/>
  <c r="AH235" i="1"/>
  <c r="EI235" i="1"/>
  <c r="EI229" i="1"/>
  <c r="EI160" i="1"/>
  <c r="AH160" i="1" s="1"/>
  <c r="EI59" i="1"/>
  <c r="AH59" i="1" s="1"/>
  <c r="EI60" i="1"/>
  <c r="AH60" i="1" s="1"/>
  <c r="EI40" i="1"/>
  <c r="EI38" i="1"/>
  <c r="EI159" i="1"/>
  <c r="AH159" i="1" s="1"/>
  <c r="AG159" i="1"/>
  <c r="EI236" i="1"/>
  <c r="EI111" i="1"/>
  <c r="AH111" i="1" s="1"/>
  <c r="EI110" i="1"/>
  <c r="AH110" i="1" s="1"/>
  <c r="EI46" i="1"/>
  <c r="EI39" i="1"/>
  <c r="EI41" i="1"/>
  <c r="EI218" i="1"/>
  <c r="AH218" i="1" s="1"/>
  <c r="EI234" i="1"/>
  <c r="EI230" i="1"/>
  <c r="EI231" i="1"/>
  <c r="AH234" i="1"/>
  <c r="AH231" i="1"/>
  <c r="AH230" i="1"/>
  <c r="EJ30" i="1"/>
  <c r="EJ35" i="1" s="1"/>
  <c r="EI45" i="1"/>
  <c r="EI197" i="1"/>
  <c r="AH197" i="1" s="1"/>
  <c r="EI224" i="1"/>
  <c r="EI215" i="1"/>
  <c r="AH215" i="1" s="1"/>
  <c r="EI214" i="1"/>
  <c r="AH214" i="1" s="1"/>
  <c r="EI221" i="1"/>
  <c r="EI222" i="1"/>
  <c r="EI223" i="1"/>
  <c r="EI213" i="1"/>
  <c r="AH213" i="1" s="1"/>
  <c r="EI212" i="1"/>
  <c r="AH212" i="1" s="1"/>
  <c r="AH224" i="1"/>
  <c r="AH223" i="1"/>
  <c r="AH222" i="1"/>
  <c r="AH221" i="1"/>
  <c r="EI43" i="1"/>
  <c r="AG41" i="1"/>
  <c r="AH42" i="1"/>
  <c r="AH45" i="1"/>
  <c r="EI207" i="1"/>
  <c r="EI205" i="1"/>
  <c r="EI204" i="1"/>
  <c r="EI129" i="1"/>
  <c r="AH129" i="1" s="1"/>
  <c r="EI198" i="1"/>
  <c r="AH198" i="1" s="1"/>
  <c r="EI195" i="1"/>
  <c r="AH195" i="1" s="1"/>
  <c r="EI130" i="1"/>
  <c r="AH130" i="1" s="1"/>
  <c r="EI201" i="1"/>
  <c r="AH201" i="1" s="1"/>
  <c r="EI128" i="1"/>
  <c r="AH128" i="1" s="1"/>
  <c r="EI206" i="1"/>
  <c r="EI127" i="1"/>
  <c r="AH127" i="1" s="1"/>
  <c r="AH43" i="1"/>
  <c r="AH41" i="1"/>
  <c r="AH205" i="1"/>
  <c r="AH206" i="1"/>
  <c r="AH207" i="1"/>
  <c r="EI196" i="1"/>
  <c r="AH196" i="1" s="1"/>
  <c r="AG196" i="1"/>
  <c r="AI30" i="1"/>
  <c r="EI79" i="1"/>
  <c r="AH79" i="1" s="1"/>
  <c r="EI76" i="1"/>
  <c r="AH76" i="1" s="1"/>
  <c r="EI90" i="1"/>
  <c r="AH90" i="1" s="1"/>
  <c r="EI91" i="1"/>
  <c r="AH91" i="1" s="1"/>
  <c r="EI77" i="1"/>
  <c r="AH77" i="1" s="1"/>
  <c r="EI61" i="1"/>
  <c r="AH61" i="1" s="1"/>
  <c r="EI92" i="1"/>
  <c r="AH92" i="1" s="1"/>
  <c r="EI78" i="1"/>
  <c r="AH78" i="1" s="1"/>
  <c r="EI188" i="1"/>
  <c r="EI190" i="1"/>
  <c r="EI189" i="1"/>
  <c r="EI178" i="1"/>
  <c r="AH178" i="1" s="1"/>
  <c r="EI187" i="1"/>
  <c r="AH190" i="1"/>
  <c r="AH188" i="1"/>
  <c r="AH187" i="1"/>
  <c r="AH189" i="1"/>
  <c r="AH150" i="1"/>
  <c r="AH152" i="1"/>
  <c r="AH151" i="1"/>
  <c r="AH153" i="1"/>
  <c r="EI99" i="1"/>
  <c r="EI101" i="1"/>
  <c r="EI150" i="1"/>
  <c r="EI104" i="1"/>
  <c r="EI97" i="1"/>
  <c r="EI151" i="1"/>
  <c r="EI153" i="1"/>
  <c r="EI103" i="1"/>
  <c r="EI149" i="1"/>
  <c r="EI98" i="1"/>
  <c r="EI152" i="1"/>
  <c r="EI100" i="1"/>
  <c r="EI102" i="1"/>
  <c r="AH99" i="1"/>
  <c r="AH103" i="1"/>
  <c r="AH98" i="1"/>
  <c r="AH101" i="1"/>
  <c r="AH102" i="1"/>
  <c r="AH100" i="1"/>
  <c r="AH97" i="1"/>
  <c r="AH104" i="1"/>
  <c r="EI42" i="1"/>
  <c r="EI80" i="1"/>
  <c r="AH80" i="1" s="1"/>
  <c r="EI158" i="1"/>
  <c r="AH158" i="1" s="1"/>
  <c r="EI67" i="1"/>
  <c r="AH67" i="1" s="1"/>
  <c r="EI120" i="1"/>
  <c r="AH120" i="1" s="1"/>
  <c r="EI62" i="1"/>
  <c r="AH62" i="1" s="1"/>
  <c r="EI109" i="1"/>
  <c r="AH109" i="1" s="1"/>
  <c r="EI162" i="1"/>
  <c r="AH162" i="1" s="1"/>
  <c r="EI58" i="1"/>
  <c r="AH58" i="1" s="1"/>
  <c r="AG58" i="1"/>
  <c r="EI113" i="1"/>
  <c r="AH113" i="1" s="1"/>
  <c r="EJ56" i="1"/>
  <c r="EI64" i="1"/>
  <c r="AH64" i="1" s="1"/>
  <c r="AI56" i="1"/>
  <c r="AI35" i="1" l="1"/>
  <c r="AH147" i="1"/>
  <c r="AH125" i="1"/>
  <c r="EJ184" i="1"/>
  <c r="AI184" i="1" s="1"/>
  <c r="EJ183" i="1"/>
  <c r="AI183" i="1" s="1"/>
  <c r="EJ181" i="1"/>
  <c r="AI181" i="1" s="1"/>
  <c r="EJ182" i="1"/>
  <c r="AI182" i="1" s="1"/>
  <c r="EJ179" i="1"/>
  <c r="AI179" i="1" s="1"/>
  <c r="EJ180" i="1"/>
  <c r="AI180" i="1" s="1"/>
  <c r="EJ163" i="1"/>
  <c r="AI163" i="1" s="1"/>
  <c r="EJ177" i="1"/>
  <c r="AI177" i="1" s="1"/>
  <c r="EJ176" i="1"/>
  <c r="AI176" i="1" s="1"/>
  <c r="EJ175" i="1"/>
  <c r="AI175" i="1" s="1"/>
  <c r="EJ174" i="1"/>
  <c r="AI174" i="1" s="1"/>
  <c r="EJ161" i="1"/>
  <c r="AI161" i="1" s="1"/>
  <c r="EJ171" i="1"/>
  <c r="AI171" i="1" s="1"/>
  <c r="EJ170" i="1"/>
  <c r="AI170" i="1" s="1"/>
  <c r="EJ168" i="1"/>
  <c r="AI168" i="1" s="1"/>
  <c r="EJ166" i="1"/>
  <c r="AI166" i="1" s="1"/>
  <c r="EJ169" i="1"/>
  <c r="AI169" i="1" s="1"/>
  <c r="EJ164" i="1"/>
  <c r="AI164" i="1" s="1"/>
  <c r="EJ165" i="1"/>
  <c r="AI165" i="1" s="1"/>
  <c r="EJ167" i="1"/>
  <c r="AI167" i="1" s="1"/>
  <c r="EJ137" i="1"/>
  <c r="AI137" i="1" s="1"/>
  <c r="EJ136" i="1"/>
  <c r="AI136" i="1" s="1"/>
  <c r="EJ146" i="1"/>
  <c r="AI146" i="1" s="1"/>
  <c r="EJ145" i="1"/>
  <c r="AI145" i="1" s="1"/>
  <c r="EJ144" i="1"/>
  <c r="AI144" i="1" s="1"/>
  <c r="EJ142" i="1"/>
  <c r="AI142" i="1" s="1"/>
  <c r="EJ141" i="1"/>
  <c r="AI141" i="1" s="1"/>
  <c r="EJ143" i="1"/>
  <c r="AI143" i="1" s="1"/>
  <c r="EJ139" i="1"/>
  <c r="AI139" i="1" s="1"/>
  <c r="EJ140" i="1"/>
  <c r="AI140" i="1" s="1"/>
  <c r="EJ131" i="1"/>
  <c r="AI131" i="1" s="1"/>
  <c r="EJ132" i="1"/>
  <c r="AI132" i="1" s="1"/>
  <c r="EJ133" i="1"/>
  <c r="AI133" i="1" s="1"/>
  <c r="EJ138" i="1"/>
  <c r="AI138" i="1" s="1"/>
  <c r="EJ135" i="1"/>
  <c r="AI135" i="1" s="1"/>
  <c r="EJ134" i="1"/>
  <c r="AI134" i="1" s="1"/>
  <c r="EJ124" i="1"/>
  <c r="AI124" i="1" s="1"/>
  <c r="EJ123" i="1"/>
  <c r="AI123" i="1" s="1"/>
  <c r="EJ115" i="1"/>
  <c r="AI115" i="1" s="1"/>
  <c r="EJ121" i="1"/>
  <c r="AI121" i="1" s="1"/>
  <c r="EJ122" i="1"/>
  <c r="AI122" i="1" s="1"/>
  <c r="EJ118" i="1"/>
  <c r="AI118" i="1" s="1"/>
  <c r="EJ119" i="1"/>
  <c r="AI119" i="1" s="1"/>
  <c r="EJ114" i="1"/>
  <c r="AI114" i="1" s="1"/>
  <c r="EJ116" i="1"/>
  <c r="AI116" i="1" s="1"/>
  <c r="EJ117" i="1"/>
  <c r="AI117" i="1" s="1"/>
  <c r="EJ112" i="1"/>
  <c r="AI112" i="1" s="1"/>
  <c r="EJ94" i="1"/>
  <c r="AI94" i="1" s="1"/>
  <c r="EJ89" i="1"/>
  <c r="AI89" i="1" s="1"/>
  <c r="EJ88" i="1"/>
  <c r="AI88" i="1" s="1"/>
  <c r="EJ86" i="1"/>
  <c r="AI86" i="1" s="1"/>
  <c r="EJ87" i="1"/>
  <c r="AI87" i="1" s="1"/>
  <c r="EJ81" i="1"/>
  <c r="AI81" i="1" s="1"/>
  <c r="EJ85" i="1"/>
  <c r="AI85" i="1" s="1"/>
  <c r="EJ84" i="1"/>
  <c r="AI84" i="1" s="1"/>
  <c r="EJ83" i="1"/>
  <c r="AI83" i="1" s="1"/>
  <c r="EJ82" i="1"/>
  <c r="AI82" i="1" s="1"/>
  <c r="EJ66" i="1"/>
  <c r="AI66" i="1" s="1"/>
  <c r="EJ73" i="1"/>
  <c r="AI73" i="1" s="1"/>
  <c r="EJ71" i="1"/>
  <c r="AI71" i="1" s="1"/>
  <c r="EJ72" i="1"/>
  <c r="AI72" i="1" s="1"/>
  <c r="EJ70" i="1"/>
  <c r="AI70" i="1" s="1"/>
  <c r="EJ69" i="1"/>
  <c r="AI69" i="1" s="1"/>
  <c r="EJ68" i="1"/>
  <c r="AI68" i="1" s="1"/>
  <c r="EJ65" i="1"/>
  <c r="AI65" i="1" s="1"/>
  <c r="EJ63" i="1"/>
  <c r="AI63" i="1" s="1"/>
  <c r="EJ44" i="1"/>
  <c r="EJ32" i="1"/>
  <c r="AI32" i="1" s="1"/>
  <c r="EJ31" i="1"/>
  <c r="AI44" i="1"/>
  <c r="EJ232" i="1"/>
  <c r="EJ233" i="1"/>
  <c r="AI233" i="1"/>
  <c r="AI232" i="1"/>
  <c r="EJ93" i="1"/>
  <c r="AI93" i="1" s="1"/>
  <c r="AI236" i="1"/>
  <c r="AI235" i="1"/>
  <c r="AI229" i="1"/>
  <c r="EJ235" i="1"/>
  <c r="EJ229" i="1"/>
  <c r="EJ159" i="1"/>
  <c r="AI159" i="1" s="1"/>
  <c r="EJ60" i="1"/>
  <c r="AI60" i="1" s="1"/>
  <c r="EJ59" i="1"/>
  <c r="AI59" i="1" s="1"/>
  <c r="EJ160" i="1"/>
  <c r="AI160" i="1" s="1"/>
  <c r="EJ236" i="1"/>
  <c r="EJ111" i="1"/>
  <c r="AI111" i="1" s="1"/>
  <c r="EJ110" i="1"/>
  <c r="AI110" i="1" s="1"/>
  <c r="AI234" i="1"/>
  <c r="AI231" i="1"/>
  <c r="AI230" i="1"/>
  <c r="EJ38" i="1"/>
  <c r="EJ46" i="1"/>
  <c r="EJ42" i="1"/>
  <c r="EJ218" i="1"/>
  <c r="AI218" i="1" s="1"/>
  <c r="EJ230" i="1"/>
  <c r="EJ231" i="1"/>
  <c r="EJ234" i="1"/>
  <c r="EJ40" i="1"/>
  <c r="EK30" i="1"/>
  <c r="EK35" i="1" s="1"/>
  <c r="EJ43" i="1"/>
  <c r="EJ45" i="1"/>
  <c r="AI45" i="1" s="1"/>
  <c r="EJ41" i="1"/>
  <c r="EJ39" i="1"/>
  <c r="EJ223" i="1"/>
  <c r="AI224" i="1"/>
  <c r="AI223" i="1"/>
  <c r="AI222" i="1"/>
  <c r="AI221" i="1"/>
  <c r="EJ197" i="1"/>
  <c r="AI197" i="1" s="1"/>
  <c r="EJ215" i="1"/>
  <c r="AI215" i="1" s="1"/>
  <c r="EJ224" i="1"/>
  <c r="EJ214" i="1"/>
  <c r="AI214" i="1" s="1"/>
  <c r="EJ221" i="1"/>
  <c r="EJ222" i="1"/>
  <c r="EJ213" i="1"/>
  <c r="AI213" i="1" s="1"/>
  <c r="EJ212" i="1"/>
  <c r="AI212" i="1" s="1"/>
  <c r="AI43" i="1"/>
  <c r="AJ30" i="1"/>
  <c r="AJ44" i="1" s="1"/>
  <c r="AI42" i="1"/>
  <c r="AI207" i="1"/>
  <c r="AI206" i="1"/>
  <c r="AI205" i="1"/>
  <c r="EJ204" i="1"/>
  <c r="EJ207" i="1"/>
  <c r="EJ205" i="1"/>
  <c r="EJ196" i="1"/>
  <c r="AI196" i="1" s="1"/>
  <c r="EJ198" i="1"/>
  <c r="AI198" i="1" s="1"/>
  <c r="EJ130" i="1"/>
  <c r="AI130" i="1" s="1"/>
  <c r="EJ129" i="1"/>
  <c r="AI129" i="1" s="1"/>
  <c r="EJ195" i="1"/>
  <c r="AI195" i="1" s="1"/>
  <c r="EJ127" i="1"/>
  <c r="AI127" i="1" s="1"/>
  <c r="EJ201" i="1"/>
  <c r="AI201" i="1" s="1"/>
  <c r="EJ206" i="1"/>
  <c r="EJ128" i="1"/>
  <c r="AI128" i="1" s="1"/>
  <c r="EJ90" i="1"/>
  <c r="AI90" i="1" s="1"/>
  <c r="EJ77" i="1"/>
  <c r="AI77" i="1" s="1"/>
  <c r="EJ92" i="1"/>
  <c r="AI92" i="1" s="1"/>
  <c r="EJ91" i="1"/>
  <c r="AI91" i="1" s="1"/>
  <c r="EJ61" i="1"/>
  <c r="AI61" i="1" s="1"/>
  <c r="EJ76" i="1"/>
  <c r="AI76" i="1" s="1"/>
  <c r="EJ79" i="1"/>
  <c r="AI79" i="1" s="1"/>
  <c r="EJ78" i="1"/>
  <c r="AI78" i="1" s="1"/>
  <c r="EJ188" i="1"/>
  <c r="EJ190" i="1"/>
  <c r="EJ189" i="1"/>
  <c r="EJ178" i="1"/>
  <c r="AI178" i="1" s="1"/>
  <c r="EJ187" i="1"/>
  <c r="AI187" i="1"/>
  <c r="AI190" i="1"/>
  <c r="AI189" i="1"/>
  <c r="AI153" i="1"/>
  <c r="AI188" i="1"/>
  <c r="AI152" i="1"/>
  <c r="AI150" i="1"/>
  <c r="AI151" i="1"/>
  <c r="EJ100" i="1"/>
  <c r="EJ104" i="1"/>
  <c r="EJ150" i="1"/>
  <c r="EJ102" i="1"/>
  <c r="EJ103" i="1"/>
  <c r="EJ98" i="1"/>
  <c r="EJ101" i="1"/>
  <c r="EJ99" i="1"/>
  <c r="EJ153" i="1"/>
  <c r="EJ152" i="1"/>
  <c r="EJ151" i="1"/>
  <c r="EJ149" i="1"/>
  <c r="EJ97" i="1"/>
  <c r="AI97" i="1" s="1"/>
  <c r="AI98" i="1"/>
  <c r="AI102" i="1"/>
  <c r="AI101" i="1"/>
  <c r="AI104" i="1"/>
  <c r="AI100" i="1"/>
  <c r="AI99" i="1"/>
  <c r="AI103" i="1"/>
  <c r="EJ80" i="1"/>
  <c r="AI80" i="1" s="1"/>
  <c r="EJ120" i="1"/>
  <c r="AI120" i="1" s="1"/>
  <c r="EJ67" i="1"/>
  <c r="AI67" i="1" s="1"/>
  <c r="EJ158" i="1"/>
  <c r="AI158" i="1" s="1"/>
  <c r="EJ109" i="1"/>
  <c r="AI109" i="1" s="1"/>
  <c r="EJ162" i="1"/>
  <c r="AI162" i="1" s="1"/>
  <c r="EJ113" i="1"/>
  <c r="EK56" i="1"/>
  <c r="EJ64" i="1"/>
  <c r="AI64" i="1" s="1"/>
  <c r="EJ58" i="1"/>
  <c r="AI58" i="1" s="1"/>
  <c r="EJ62" i="1"/>
  <c r="AI62" i="1" s="1"/>
  <c r="AJ56" i="1"/>
  <c r="AJ35" i="1" l="1"/>
  <c r="AI147" i="1"/>
  <c r="EK184" i="1"/>
  <c r="AJ184" i="1" s="1"/>
  <c r="EK179" i="1"/>
  <c r="AJ179" i="1" s="1"/>
  <c r="EK182" i="1"/>
  <c r="AJ182" i="1" s="1"/>
  <c r="EK183" i="1"/>
  <c r="AJ183" i="1" s="1"/>
  <c r="EK180" i="1"/>
  <c r="AJ180" i="1" s="1"/>
  <c r="EK181" i="1"/>
  <c r="AJ181" i="1" s="1"/>
  <c r="EK163" i="1"/>
  <c r="AJ163" i="1" s="1"/>
  <c r="EK176" i="1"/>
  <c r="AJ176" i="1" s="1"/>
  <c r="EK174" i="1"/>
  <c r="AJ174" i="1" s="1"/>
  <c r="EK175" i="1"/>
  <c r="AJ175" i="1" s="1"/>
  <c r="EK177" i="1"/>
  <c r="AJ177" i="1" s="1"/>
  <c r="EK161" i="1"/>
  <c r="AJ161" i="1" s="1"/>
  <c r="EK170" i="1"/>
  <c r="AJ170" i="1" s="1"/>
  <c r="EK171" i="1"/>
  <c r="AJ171" i="1" s="1"/>
  <c r="EK169" i="1"/>
  <c r="AJ169" i="1" s="1"/>
  <c r="EK166" i="1"/>
  <c r="AJ166" i="1" s="1"/>
  <c r="EK167" i="1"/>
  <c r="AJ167" i="1" s="1"/>
  <c r="EK165" i="1"/>
  <c r="AJ165" i="1" s="1"/>
  <c r="EK168" i="1"/>
  <c r="AJ168" i="1" s="1"/>
  <c r="EK164" i="1"/>
  <c r="AJ164" i="1" s="1"/>
  <c r="EK137" i="1"/>
  <c r="AJ137" i="1" s="1"/>
  <c r="EK136" i="1"/>
  <c r="AJ136" i="1" s="1"/>
  <c r="EK145" i="1"/>
  <c r="AJ145" i="1" s="1"/>
  <c r="EK144" i="1"/>
  <c r="AJ144" i="1" s="1"/>
  <c r="EK142" i="1"/>
  <c r="AJ142" i="1" s="1"/>
  <c r="EK146" i="1"/>
  <c r="AJ146" i="1" s="1"/>
  <c r="EK143" i="1"/>
  <c r="AJ143" i="1" s="1"/>
  <c r="EK139" i="1"/>
  <c r="AJ139" i="1" s="1"/>
  <c r="EK140" i="1"/>
  <c r="AJ140" i="1" s="1"/>
  <c r="EK141" i="1"/>
  <c r="AJ141" i="1" s="1"/>
  <c r="EK131" i="1"/>
  <c r="AJ131" i="1" s="1"/>
  <c r="EK132" i="1"/>
  <c r="AJ132" i="1" s="1"/>
  <c r="EK133" i="1"/>
  <c r="AJ133" i="1" s="1"/>
  <c r="EK135" i="1"/>
  <c r="AJ135" i="1" s="1"/>
  <c r="EK138" i="1"/>
  <c r="AJ138" i="1" s="1"/>
  <c r="EK134" i="1"/>
  <c r="AJ134" i="1" s="1"/>
  <c r="EK123" i="1"/>
  <c r="AJ123" i="1" s="1"/>
  <c r="EK124" i="1"/>
  <c r="AJ124" i="1" s="1"/>
  <c r="EK115" i="1"/>
  <c r="AJ115" i="1" s="1"/>
  <c r="EK121" i="1"/>
  <c r="AJ121" i="1" s="1"/>
  <c r="EK122" i="1"/>
  <c r="AJ122" i="1" s="1"/>
  <c r="EK118" i="1"/>
  <c r="AJ118" i="1" s="1"/>
  <c r="EK114" i="1"/>
  <c r="AJ114" i="1" s="1"/>
  <c r="EK119" i="1"/>
  <c r="AJ119" i="1" s="1"/>
  <c r="EK116" i="1"/>
  <c r="AJ116" i="1" s="1"/>
  <c r="EK117" i="1"/>
  <c r="AJ117" i="1" s="1"/>
  <c r="EK112" i="1"/>
  <c r="AJ112" i="1" s="1"/>
  <c r="EK94" i="1"/>
  <c r="AJ94" i="1" s="1"/>
  <c r="EK88" i="1"/>
  <c r="AJ88" i="1" s="1"/>
  <c r="EK87" i="1"/>
  <c r="AJ87" i="1" s="1"/>
  <c r="EK89" i="1"/>
  <c r="AJ89" i="1" s="1"/>
  <c r="EK86" i="1"/>
  <c r="AJ86" i="1" s="1"/>
  <c r="EK81" i="1"/>
  <c r="AJ81" i="1" s="1"/>
  <c r="EK84" i="1"/>
  <c r="AJ84" i="1" s="1"/>
  <c r="EK83" i="1"/>
  <c r="AJ83" i="1" s="1"/>
  <c r="EK82" i="1"/>
  <c r="AJ82" i="1" s="1"/>
  <c r="EK85" i="1"/>
  <c r="AJ85" i="1" s="1"/>
  <c r="EK66" i="1"/>
  <c r="AJ66" i="1" s="1"/>
  <c r="EK72" i="1"/>
  <c r="AJ72" i="1" s="1"/>
  <c r="EK69" i="1"/>
  <c r="AJ69" i="1" s="1"/>
  <c r="EK73" i="1"/>
  <c r="AJ73" i="1" s="1"/>
  <c r="EK71" i="1"/>
  <c r="AJ71" i="1" s="1"/>
  <c r="EK70" i="1"/>
  <c r="AJ70" i="1" s="1"/>
  <c r="EK68" i="1"/>
  <c r="AJ68" i="1" s="1"/>
  <c r="EK65" i="1"/>
  <c r="AJ65" i="1" s="1"/>
  <c r="EK63" i="1"/>
  <c r="AJ63" i="1" s="1"/>
  <c r="EK44" i="1"/>
  <c r="EK32" i="1"/>
  <c r="AJ32" i="1" s="1"/>
  <c r="EK31" i="1"/>
  <c r="EK41" i="1"/>
  <c r="EK232" i="1"/>
  <c r="EK233" i="1"/>
  <c r="AJ233" i="1"/>
  <c r="AJ232" i="1"/>
  <c r="EK93" i="1"/>
  <c r="AJ93" i="1" s="1"/>
  <c r="EK235" i="1"/>
  <c r="EK229" i="1"/>
  <c r="EK60" i="1"/>
  <c r="AJ60" i="1" s="1"/>
  <c r="EK159" i="1"/>
  <c r="AJ159" i="1" s="1"/>
  <c r="EK160" i="1"/>
  <c r="AJ160" i="1" s="1"/>
  <c r="EK59" i="1"/>
  <c r="AJ59" i="1" s="1"/>
  <c r="AJ236" i="1"/>
  <c r="AJ235" i="1"/>
  <c r="AJ229" i="1"/>
  <c r="EK236" i="1"/>
  <c r="EK110" i="1"/>
  <c r="AJ110" i="1" s="1"/>
  <c r="EK111" i="1"/>
  <c r="AJ111" i="1" s="1"/>
  <c r="EK46" i="1"/>
  <c r="EK43" i="1"/>
  <c r="EK230" i="1"/>
  <c r="EK231" i="1"/>
  <c r="EK234" i="1"/>
  <c r="AJ234" i="1"/>
  <c r="AJ230" i="1"/>
  <c r="AJ231" i="1"/>
  <c r="EK40" i="1"/>
  <c r="AJ45" i="1"/>
  <c r="EK38" i="1"/>
  <c r="AI41" i="1"/>
  <c r="EK45" i="1"/>
  <c r="EK42" i="1"/>
  <c r="EK39" i="1"/>
  <c r="EL30" i="1"/>
  <c r="EL35" i="1" s="1"/>
  <c r="EK223" i="1"/>
  <c r="EK218" i="1"/>
  <c r="AJ218" i="1" s="1"/>
  <c r="AJ43" i="1"/>
  <c r="EK197" i="1"/>
  <c r="AJ197" i="1" s="1"/>
  <c r="EK224" i="1"/>
  <c r="EK215" i="1"/>
  <c r="AJ215" i="1" s="1"/>
  <c r="EK214" i="1"/>
  <c r="AJ214" i="1" s="1"/>
  <c r="EK222" i="1"/>
  <c r="EK221" i="1"/>
  <c r="EK213" i="1"/>
  <c r="AJ213" i="1" s="1"/>
  <c r="EK212" i="1"/>
  <c r="AJ212" i="1" s="1"/>
  <c r="AJ222" i="1"/>
  <c r="AJ224" i="1"/>
  <c r="AJ223" i="1"/>
  <c r="AJ221" i="1"/>
  <c r="AJ42" i="1"/>
  <c r="AK30" i="1"/>
  <c r="AK44" i="1" s="1"/>
  <c r="AJ41" i="1"/>
  <c r="AJ207" i="1"/>
  <c r="AJ206" i="1"/>
  <c r="AJ205" i="1"/>
  <c r="EK196" i="1"/>
  <c r="AJ196" i="1" s="1"/>
  <c r="EK207" i="1"/>
  <c r="EK195" i="1"/>
  <c r="AJ195" i="1" s="1"/>
  <c r="EK205" i="1"/>
  <c r="EK198" i="1"/>
  <c r="AJ198" i="1" s="1"/>
  <c r="EK129" i="1"/>
  <c r="AJ129" i="1" s="1"/>
  <c r="EK130" i="1"/>
  <c r="AJ130" i="1" s="1"/>
  <c r="EK127" i="1"/>
  <c r="AJ127" i="1" s="1"/>
  <c r="EK128" i="1"/>
  <c r="AJ128" i="1" s="1"/>
  <c r="EK201" i="1"/>
  <c r="AJ201" i="1" s="1"/>
  <c r="EK204" i="1"/>
  <c r="EK206" i="1"/>
  <c r="EK91" i="1"/>
  <c r="AJ91" i="1" s="1"/>
  <c r="EK90" i="1"/>
  <c r="AJ90" i="1" s="1"/>
  <c r="EK92" i="1"/>
  <c r="EK79" i="1"/>
  <c r="AJ79" i="1" s="1"/>
  <c r="EK76" i="1"/>
  <c r="AJ76" i="1" s="1"/>
  <c r="EK61" i="1"/>
  <c r="AJ61" i="1" s="1"/>
  <c r="EK77" i="1"/>
  <c r="AJ77" i="1" s="1"/>
  <c r="EK78" i="1"/>
  <c r="AJ78" i="1" s="1"/>
  <c r="EK189" i="1"/>
  <c r="EK188" i="1"/>
  <c r="EK190" i="1"/>
  <c r="EK187" i="1"/>
  <c r="EK178" i="1"/>
  <c r="AJ178" i="1" s="1"/>
  <c r="AJ190" i="1"/>
  <c r="AJ189" i="1"/>
  <c r="AJ188" i="1"/>
  <c r="AJ150" i="1"/>
  <c r="AJ151" i="1"/>
  <c r="AJ187" i="1"/>
  <c r="AJ153" i="1"/>
  <c r="AJ152" i="1"/>
  <c r="EK98" i="1"/>
  <c r="EK150" i="1"/>
  <c r="EK97" i="1"/>
  <c r="EK153" i="1"/>
  <c r="EK104" i="1"/>
  <c r="EK99" i="1"/>
  <c r="EK100" i="1"/>
  <c r="EK149" i="1"/>
  <c r="EK101" i="1"/>
  <c r="EK151" i="1"/>
  <c r="EK152" i="1"/>
  <c r="EK103" i="1"/>
  <c r="EK102" i="1"/>
  <c r="AJ97" i="1"/>
  <c r="AJ101" i="1"/>
  <c r="AJ99" i="1"/>
  <c r="AJ102" i="1"/>
  <c r="AJ100" i="1"/>
  <c r="AJ98" i="1"/>
  <c r="AJ104" i="1"/>
  <c r="AJ103" i="1"/>
  <c r="EK80" i="1"/>
  <c r="AJ80" i="1" s="1"/>
  <c r="EK158" i="1"/>
  <c r="AJ158" i="1" s="1"/>
  <c r="EK120" i="1"/>
  <c r="AJ120" i="1" s="1"/>
  <c r="EK67" i="1"/>
  <c r="AJ67" i="1" s="1"/>
  <c r="EK109" i="1"/>
  <c r="AJ109" i="1" s="1"/>
  <c r="EK162" i="1"/>
  <c r="AJ162" i="1" s="1"/>
  <c r="EK113" i="1"/>
  <c r="AJ113" i="1" s="1"/>
  <c r="AI113" i="1"/>
  <c r="AI125" i="1" s="1"/>
  <c r="EK58" i="1"/>
  <c r="AJ58" i="1" s="1"/>
  <c r="EK62" i="1"/>
  <c r="AJ62" i="1" s="1"/>
  <c r="EL56" i="1"/>
  <c r="EK64" i="1"/>
  <c r="AJ64" i="1" s="1"/>
  <c r="AK56" i="1"/>
  <c r="AK35" i="1" l="1"/>
  <c r="AJ147" i="1"/>
  <c r="AJ125" i="1"/>
  <c r="EL184" i="1"/>
  <c r="AK184" i="1" s="1"/>
  <c r="EL182" i="1"/>
  <c r="AK182" i="1" s="1"/>
  <c r="EL183" i="1"/>
  <c r="AK183" i="1" s="1"/>
  <c r="EL180" i="1"/>
  <c r="AK180" i="1" s="1"/>
  <c r="EL179" i="1"/>
  <c r="AK179" i="1" s="1"/>
  <c r="EL181" i="1"/>
  <c r="AK181" i="1" s="1"/>
  <c r="EL163" i="1"/>
  <c r="AK163" i="1" s="1"/>
  <c r="EL176" i="1"/>
  <c r="AK176" i="1" s="1"/>
  <c r="EL177" i="1"/>
  <c r="AK177" i="1" s="1"/>
  <c r="EL175" i="1"/>
  <c r="AK175" i="1" s="1"/>
  <c r="EL174" i="1"/>
  <c r="AK174" i="1" s="1"/>
  <c r="EL161" i="1"/>
  <c r="AK161" i="1" s="1"/>
  <c r="EL170" i="1"/>
  <c r="AK170" i="1" s="1"/>
  <c r="EL171" i="1"/>
  <c r="AK171" i="1" s="1"/>
  <c r="EL169" i="1"/>
  <c r="AK169" i="1" s="1"/>
  <c r="EL168" i="1"/>
  <c r="AK168" i="1" s="1"/>
  <c r="EL167" i="1"/>
  <c r="AK167" i="1" s="1"/>
  <c r="EL165" i="1"/>
  <c r="AK165" i="1" s="1"/>
  <c r="EL166" i="1"/>
  <c r="AK166" i="1" s="1"/>
  <c r="EL164" i="1"/>
  <c r="AK164" i="1" s="1"/>
  <c r="EL137" i="1"/>
  <c r="AK137" i="1" s="1"/>
  <c r="EL136" i="1"/>
  <c r="AK136" i="1" s="1"/>
  <c r="EL146" i="1"/>
  <c r="AK146" i="1" s="1"/>
  <c r="EL145" i="1"/>
  <c r="AK145" i="1" s="1"/>
  <c r="EL144" i="1"/>
  <c r="AK144" i="1" s="1"/>
  <c r="EL143" i="1"/>
  <c r="AK143" i="1" s="1"/>
  <c r="EL141" i="1"/>
  <c r="AK141" i="1" s="1"/>
  <c r="EL142" i="1"/>
  <c r="AK142" i="1" s="1"/>
  <c r="EL140" i="1"/>
  <c r="AK140" i="1" s="1"/>
  <c r="EL139" i="1"/>
  <c r="AK139" i="1" s="1"/>
  <c r="EL131" i="1"/>
  <c r="AK131" i="1" s="1"/>
  <c r="EL132" i="1"/>
  <c r="AK132" i="1" s="1"/>
  <c r="EL133" i="1"/>
  <c r="AK133" i="1" s="1"/>
  <c r="EL135" i="1"/>
  <c r="AK135" i="1" s="1"/>
  <c r="EL138" i="1"/>
  <c r="AK138" i="1" s="1"/>
  <c r="EL134" i="1"/>
  <c r="AK134" i="1" s="1"/>
  <c r="EL123" i="1"/>
  <c r="AK123" i="1" s="1"/>
  <c r="EL124" i="1"/>
  <c r="AK124" i="1" s="1"/>
  <c r="EL115" i="1"/>
  <c r="AK115" i="1" s="1"/>
  <c r="EL122" i="1"/>
  <c r="AK122" i="1" s="1"/>
  <c r="EL121" i="1"/>
  <c r="AK121" i="1" s="1"/>
  <c r="EL119" i="1"/>
  <c r="AK119" i="1" s="1"/>
  <c r="EL118" i="1"/>
  <c r="AK118" i="1" s="1"/>
  <c r="EL117" i="1"/>
  <c r="AK117" i="1" s="1"/>
  <c r="EL116" i="1"/>
  <c r="AK116" i="1" s="1"/>
  <c r="EL114" i="1"/>
  <c r="AK114" i="1" s="1"/>
  <c r="EL112" i="1"/>
  <c r="AK112" i="1" s="1"/>
  <c r="EL94" i="1"/>
  <c r="AK94" i="1" s="1"/>
  <c r="EL89" i="1"/>
  <c r="AK89" i="1" s="1"/>
  <c r="EL88" i="1"/>
  <c r="AK88" i="1" s="1"/>
  <c r="EL86" i="1"/>
  <c r="AK86" i="1" s="1"/>
  <c r="EL87" i="1"/>
  <c r="AK87" i="1" s="1"/>
  <c r="EL81" i="1"/>
  <c r="AK81" i="1" s="1"/>
  <c r="EL84" i="1"/>
  <c r="AK84" i="1" s="1"/>
  <c r="EL85" i="1"/>
  <c r="AK85" i="1" s="1"/>
  <c r="EL83" i="1"/>
  <c r="AK83" i="1" s="1"/>
  <c r="EL82" i="1"/>
  <c r="AK82" i="1" s="1"/>
  <c r="EL66" i="1"/>
  <c r="AK66" i="1" s="1"/>
  <c r="EL73" i="1"/>
  <c r="AK73" i="1" s="1"/>
  <c r="EL72" i="1"/>
  <c r="AK72" i="1" s="1"/>
  <c r="EL71" i="1"/>
  <c r="AK71" i="1" s="1"/>
  <c r="EL70" i="1"/>
  <c r="AK70" i="1" s="1"/>
  <c r="EL69" i="1"/>
  <c r="AK69" i="1" s="1"/>
  <c r="EL68" i="1"/>
  <c r="AK68" i="1" s="1"/>
  <c r="EL65" i="1"/>
  <c r="AK65" i="1" s="1"/>
  <c r="EL63" i="1"/>
  <c r="AK63" i="1" s="1"/>
  <c r="EL44" i="1"/>
  <c r="EL32" i="1"/>
  <c r="AK32" i="1" s="1"/>
  <c r="EL31" i="1"/>
  <c r="EL58" i="1"/>
  <c r="AK58" i="1" s="1"/>
  <c r="EL61" i="1"/>
  <c r="AK61" i="1" s="1"/>
  <c r="EL232" i="1"/>
  <c r="EL233" i="1"/>
  <c r="AK233" i="1"/>
  <c r="AK232" i="1"/>
  <c r="EL93" i="1"/>
  <c r="AK93" i="1" s="1"/>
  <c r="EL229" i="1"/>
  <c r="EL235" i="1"/>
  <c r="EL60" i="1"/>
  <c r="AK60" i="1" s="1"/>
  <c r="EL159" i="1"/>
  <c r="AK159" i="1" s="1"/>
  <c r="EL59" i="1"/>
  <c r="AK59" i="1" s="1"/>
  <c r="EL160" i="1"/>
  <c r="AK160" i="1" s="1"/>
  <c r="AK236" i="1"/>
  <c r="AK235" i="1"/>
  <c r="AK229" i="1"/>
  <c r="EL236" i="1"/>
  <c r="EL111" i="1"/>
  <c r="AK111" i="1" s="1"/>
  <c r="EL110" i="1"/>
  <c r="AK110" i="1" s="1"/>
  <c r="EL231" i="1"/>
  <c r="AK230" i="1"/>
  <c r="AK231" i="1"/>
  <c r="AK234" i="1"/>
  <c r="EL230" i="1"/>
  <c r="EL234" i="1"/>
  <c r="EL43" i="1"/>
  <c r="EL45" i="1"/>
  <c r="EL39" i="1"/>
  <c r="EL38" i="1"/>
  <c r="EL41" i="1"/>
  <c r="EL42" i="1"/>
  <c r="EM30" i="1"/>
  <c r="EM35" i="1" s="1"/>
  <c r="EL46" i="1"/>
  <c r="EL40" i="1"/>
  <c r="EL218" i="1"/>
  <c r="AK218" i="1" s="1"/>
  <c r="AK42" i="1"/>
  <c r="AL30" i="1"/>
  <c r="AL44" i="1" s="1"/>
  <c r="EL197" i="1"/>
  <c r="AK197" i="1" s="1"/>
  <c r="EL224" i="1"/>
  <c r="EL215" i="1"/>
  <c r="AK215" i="1" s="1"/>
  <c r="EL223" i="1"/>
  <c r="EL214" i="1"/>
  <c r="AK214" i="1" s="1"/>
  <c r="EL213" i="1"/>
  <c r="AK213" i="1" s="1"/>
  <c r="EL212" i="1"/>
  <c r="AK212" i="1" s="1"/>
  <c r="EL221" i="1"/>
  <c r="AK223" i="1"/>
  <c r="AK224" i="1"/>
  <c r="AK222" i="1"/>
  <c r="AK221" i="1"/>
  <c r="EL222" i="1"/>
  <c r="AK43" i="1"/>
  <c r="AK41" i="1"/>
  <c r="AK45" i="1"/>
  <c r="EL204" i="1"/>
  <c r="EL196" i="1"/>
  <c r="AK196" i="1" s="1"/>
  <c r="EL195" i="1"/>
  <c r="AK195" i="1" s="1"/>
  <c r="EL207" i="1"/>
  <c r="EL130" i="1"/>
  <c r="AK130" i="1" s="1"/>
  <c r="EL129" i="1"/>
  <c r="AK129" i="1" s="1"/>
  <c r="EL206" i="1"/>
  <c r="EL198" i="1"/>
  <c r="AK198" i="1" s="1"/>
  <c r="EL128" i="1"/>
  <c r="AK128" i="1" s="1"/>
  <c r="EL127" i="1"/>
  <c r="AK127" i="1" s="1"/>
  <c r="EL201" i="1"/>
  <c r="AK201" i="1" s="1"/>
  <c r="AK207" i="1"/>
  <c r="AK206" i="1"/>
  <c r="AK205" i="1"/>
  <c r="EL205" i="1"/>
  <c r="EL76" i="1"/>
  <c r="AK76" i="1" s="1"/>
  <c r="EL90" i="1"/>
  <c r="AK90" i="1" s="1"/>
  <c r="EL91" i="1"/>
  <c r="AK91" i="1" s="1"/>
  <c r="EL79" i="1"/>
  <c r="AK79" i="1" s="1"/>
  <c r="EL77" i="1"/>
  <c r="EL78" i="1"/>
  <c r="AK78" i="1" s="1"/>
  <c r="EL92" i="1"/>
  <c r="AK92" i="1" s="1"/>
  <c r="AJ92" i="1"/>
  <c r="EL188" i="1"/>
  <c r="EL190" i="1"/>
  <c r="EL189" i="1"/>
  <c r="EL178" i="1"/>
  <c r="AK178" i="1" s="1"/>
  <c r="EL187" i="1"/>
  <c r="AK188" i="1"/>
  <c r="AK190" i="1"/>
  <c r="AK189" i="1"/>
  <c r="AK187" i="1"/>
  <c r="AK152" i="1"/>
  <c r="AK153" i="1"/>
  <c r="AK150" i="1"/>
  <c r="AK151" i="1"/>
  <c r="EL97" i="1"/>
  <c r="EL104" i="1"/>
  <c r="EL150" i="1"/>
  <c r="EL103" i="1"/>
  <c r="EL102" i="1"/>
  <c r="EL100" i="1"/>
  <c r="EL153" i="1"/>
  <c r="EL99" i="1"/>
  <c r="EL149" i="1"/>
  <c r="EL101" i="1"/>
  <c r="EL152" i="1"/>
  <c r="EL151" i="1"/>
  <c r="EL98" i="1"/>
  <c r="AK100" i="1"/>
  <c r="AK104" i="1"/>
  <c r="AK103" i="1"/>
  <c r="AK98" i="1"/>
  <c r="AK102" i="1"/>
  <c r="AK97" i="1"/>
  <c r="AK101" i="1"/>
  <c r="AK99" i="1"/>
  <c r="EL80" i="1"/>
  <c r="AK80" i="1" s="1"/>
  <c r="EL158" i="1"/>
  <c r="AK158" i="1" s="1"/>
  <c r="EL120" i="1"/>
  <c r="AK120" i="1" s="1"/>
  <c r="EL67" i="1"/>
  <c r="AK67" i="1" s="1"/>
  <c r="EL109" i="1"/>
  <c r="AK109" i="1" s="1"/>
  <c r="EL162" i="1"/>
  <c r="AK162" i="1" s="1"/>
  <c r="EL113" i="1"/>
  <c r="AK113" i="1" s="1"/>
  <c r="EL64" i="1"/>
  <c r="AK64" i="1" s="1"/>
  <c r="EL62" i="1"/>
  <c r="AK62" i="1" s="1"/>
  <c r="EM56" i="1"/>
  <c r="AL56" i="1"/>
  <c r="AL35" i="1" l="1"/>
  <c r="AK125" i="1"/>
  <c r="AK147" i="1"/>
  <c r="EM184" i="1"/>
  <c r="AL184" i="1" s="1"/>
  <c r="EM180" i="1"/>
  <c r="AL180" i="1" s="1"/>
  <c r="EM183" i="1"/>
  <c r="AL183" i="1" s="1"/>
  <c r="EM179" i="1"/>
  <c r="AL179" i="1" s="1"/>
  <c r="EM181" i="1"/>
  <c r="AL181" i="1" s="1"/>
  <c r="EM182" i="1"/>
  <c r="AL182" i="1" s="1"/>
  <c r="EM163" i="1"/>
  <c r="AL163" i="1" s="1"/>
  <c r="EM177" i="1"/>
  <c r="AL177" i="1" s="1"/>
  <c r="EM175" i="1"/>
  <c r="AL175" i="1" s="1"/>
  <c r="EM176" i="1"/>
  <c r="AL176" i="1" s="1"/>
  <c r="EM174" i="1"/>
  <c r="AL174" i="1" s="1"/>
  <c r="EM161" i="1"/>
  <c r="AL161" i="1" s="1"/>
  <c r="EM171" i="1"/>
  <c r="AL171" i="1" s="1"/>
  <c r="EM169" i="1"/>
  <c r="AL169" i="1" s="1"/>
  <c r="EM170" i="1"/>
  <c r="AL170" i="1" s="1"/>
  <c r="EM168" i="1"/>
  <c r="AL168" i="1" s="1"/>
  <c r="EM167" i="1"/>
  <c r="AL167" i="1" s="1"/>
  <c r="EM165" i="1"/>
  <c r="AL165" i="1" s="1"/>
  <c r="EM166" i="1"/>
  <c r="AL166" i="1" s="1"/>
  <c r="EM164" i="1"/>
  <c r="AL164" i="1" s="1"/>
  <c r="EM137" i="1"/>
  <c r="AL137" i="1" s="1"/>
  <c r="EM136" i="1"/>
  <c r="AL136" i="1" s="1"/>
  <c r="EM146" i="1"/>
  <c r="AL146" i="1" s="1"/>
  <c r="EM145" i="1"/>
  <c r="AL145" i="1" s="1"/>
  <c r="EM144" i="1"/>
  <c r="AL144" i="1" s="1"/>
  <c r="EM143" i="1"/>
  <c r="AL143" i="1" s="1"/>
  <c r="EM141" i="1"/>
  <c r="AL141" i="1" s="1"/>
  <c r="EM140" i="1"/>
  <c r="AL140" i="1" s="1"/>
  <c r="EM139" i="1"/>
  <c r="AL139" i="1" s="1"/>
  <c r="EM142" i="1"/>
  <c r="AL142" i="1" s="1"/>
  <c r="EM131" i="1"/>
  <c r="AL131" i="1" s="1"/>
  <c r="EM132" i="1"/>
  <c r="AL132" i="1" s="1"/>
  <c r="EM133" i="1"/>
  <c r="AL133" i="1" s="1"/>
  <c r="EM138" i="1"/>
  <c r="AL138" i="1" s="1"/>
  <c r="EM134" i="1"/>
  <c r="AL134" i="1" s="1"/>
  <c r="EM135" i="1"/>
  <c r="AL135" i="1" s="1"/>
  <c r="EM124" i="1"/>
  <c r="AL124" i="1" s="1"/>
  <c r="EM123" i="1"/>
  <c r="AL123" i="1" s="1"/>
  <c r="EM115" i="1"/>
  <c r="AL115" i="1" s="1"/>
  <c r="EM122" i="1"/>
  <c r="AL122" i="1" s="1"/>
  <c r="EM121" i="1"/>
  <c r="AL121" i="1" s="1"/>
  <c r="EM119" i="1"/>
  <c r="AL119" i="1" s="1"/>
  <c r="EM117" i="1"/>
  <c r="AL117" i="1" s="1"/>
  <c r="EM116" i="1"/>
  <c r="AL116" i="1" s="1"/>
  <c r="EM118" i="1"/>
  <c r="AL118" i="1" s="1"/>
  <c r="EM114" i="1"/>
  <c r="AL114" i="1" s="1"/>
  <c r="EM112" i="1"/>
  <c r="AL112" i="1" s="1"/>
  <c r="EM94" i="1"/>
  <c r="AL94" i="1" s="1"/>
  <c r="EM89" i="1"/>
  <c r="AL89" i="1" s="1"/>
  <c r="EM86" i="1"/>
  <c r="AL86" i="1" s="1"/>
  <c r="EM88" i="1"/>
  <c r="AL88" i="1" s="1"/>
  <c r="EM87" i="1"/>
  <c r="AL87" i="1" s="1"/>
  <c r="EM81" i="1"/>
  <c r="AL81" i="1" s="1"/>
  <c r="EM85" i="1"/>
  <c r="AL85" i="1" s="1"/>
  <c r="EM83" i="1"/>
  <c r="AL83" i="1" s="1"/>
  <c r="EM82" i="1"/>
  <c r="AL82" i="1" s="1"/>
  <c r="EM84" i="1"/>
  <c r="AL84" i="1" s="1"/>
  <c r="EM66" i="1"/>
  <c r="AL66" i="1" s="1"/>
  <c r="EM72" i="1"/>
  <c r="AL72" i="1" s="1"/>
  <c r="EM71" i="1"/>
  <c r="AL71" i="1" s="1"/>
  <c r="EM73" i="1"/>
  <c r="AL73" i="1" s="1"/>
  <c r="EM70" i="1"/>
  <c r="AL70" i="1" s="1"/>
  <c r="EM68" i="1"/>
  <c r="AL68" i="1" s="1"/>
  <c r="EM69" i="1"/>
  <c r="AL69" i="1" s="1"/>
  <c r="EM65" i="1"/>
  <c r="AL65" i="1" s="1"/>
  <c r="EM63" i="1"/>
  <c r="AL63" i="1" s="1"/>
  <c r="EM31" i="1"/>
  <c r="EM44" i="1"/>
  <c r="EM32" i="1"/>
  <c r="AL32" i="1" s="1"/>
  <c r="AL233" i="1"/>
  <c r="AL232" i="1"/>
  <c r="EM233" i="1"/>
  <c r="EM232" i="1"/>
  <c r="EM93" i="1"/>
  <c r="AL93" i="1" s="1"/>
  <c r="EM229" i="1"/>
  <c r="EM235" i="1"/>
  <c r="EM60" i="1"/>
  <c r="AL60" i="1" s="1"/>
  <c r="EM159" i="1"/>
  <c r="AL159" i="1" s="1"/>
  <c r="EM59" i="1"/>
  <c r="AL59" i="1" s="1"/>
  <c r="EM160" i="1"/>
  <c r="AL160" i="1" s="1"/>
  <c r="AL236" i="1"/>
  <c r="AL229" i="1"/>
  <c r="AL235" i="1"/>
  <c r="EM236" i="1"/>
  <c r="EM111" i="1"/>
  <c r="AL111" i="1" s="1"/>
  <c r="EM110" i="1"/>
  <c r="AL110" i="1" s="1"/>
  <c r="AL234" i="1"/>
  <c r="AL231" i="1"/>
  <c r="AL230" i="1"/>
  <c r="EM231" i="1"/>
  <c r="EM230" i="1"/>
  <c r="EM234" i="1"/>
  <c r="EM38" i="1"/>
  <c r="EM46" i="1"/>
  <c r="EN30" i="1"/>
  <c r="EN35" i="1" s="1"/>
  <c r="EM39" i="1"/>
  <c r="EM45" i="1"/>
  <c r="EM42" i="1"/>
  <c r="EM40" i="1"/>
  <c r="EM43" i="1"/>
  <c r="EM41" i="1"/>
  <c r="AL222" i="1"/>
  <c r="AL223" i="1"/>
  <c r="EM218" i="1"/>
  <c r="AL218" i="1" s="1"/>
  <c r="AL42" i="1"/>
  <c r="AL43" i="1"/>
  <c r="AL45" i="1"/>
  <c r="AM30" i="1"/>
  <c r="AM44" i="1" s="1"/>
  <c r="AL41" i="1"/>
  <c r="EM197" i="1"/>
  <c r="AL197" i="1" s="1"/>
  <c r="EM224" i="1"/>
  <c r="AL224" i="1" s="1"/>
  <c r="EM222" i="1"/>
  <c r="EM223" i="1"/>
  <c r="EM215" i="1"/>
  <c r="AL215" i="1" s="1"/>
  <c r="EM214" i="1"/>
  <c r="AL214" i="1" s="1"/>
  <c r="EM213" i="1"/>
  <c r="AL213" i="1" s="1"/>
  <c r="EM221" i="1"/>
  <c r="AL221" i="1" s="1"/>
  <c r="EM212" i="1"/>
  <c r="AL212" i="1" s="1"/>
  <c r="EM206" i="1"/>
  <c r="EM204" i="1"/>
  <c r="EM196" i="1"/>
  <c r="AL196" i="1" s="1"/>
  <c r="EM195" i="1"/>
  <c r="AL195" i="1" s="1"/>
  <c r="EM207" i="1"/>
  <c r="EM205" i="1"/>
  <c r="EM130" i="1"/>
  <c r="AL130" i="1" s="1"/>
  <c r="EM198" i="1"/>
  <c r="AL198" i="1" s="1"/>
  <c r="EM129" i="1"/>
  <c r="AL129" i="1" s="1"/>
  <c r="EM127" i="1"/>
  <c r="AL127" i="1" s="1"/>
  <c r="EM128" i="1"/>
  <c r="AL128" i="1" s="1"/>
  <c r="EM201" i="1"/>
  <c r="AL201" i="1" s="1"/>
  <c r="AL207" i="1"/>
  <c r="AL205" i="1"/>
  <c r="AL206" i="1"/>
  <c r="EM92" i="1"/>
  <c r="AL92" i="1" s="1"/>
  <c r="EM76" i="1"/>
  <c r="AL76" i="1" s="1"/>
  <c r="EM90" i="1"/>
  <c r="AL90" i="1" s="1"/>
  <c r="EM91" i="1"/>
  <c r="AL91" i="1" s="1"/>
  <c r="EM61" i="1"/>
  <c r="AL61" i="1" s="1"/>
  <c r="EM79" i="1"/>
  <c r="EM78" i="1"/>
  <c r="AL78" i="1" s="1"/>
  <c r="EM77" i="1"/>
  <c r="AL77" i="1" s="1"/>
  <c r="AK77" i="1"/>
  <c r="AL190" i="1"/>
  <c r="AL189" i="1"/>
  <c r="AL187" i="1"/>
  <c r="AL188" i="1"/>
  <c r="AL151" i="1"/>
  <c r="AL150" i="1"/>
  <c r="AL153" i="1"/>
  <c r="AL152" i="1"/>
  <c r="EM190" i="1"/>
  <c r="EM189" i="1"/>
  <c r="EM188" i="1"/>
  <c r="EM178" i="1"/>
  <c r="AL178" i="1" s="1"/>
  <c r="EM187" i="1"/>
  <c r="EM103" i="1"/>
  <c r="EM153" i="1"/>
  <c r="EM102" i="1"/>
  <c r="EM97" i="1"/>
  <c r="EM104" i="1"/>
  <c r="AL104" i="1" s="1"/>
  <c r="EM98" i="1"/>
  <c r="EM100" i="1"/>
  <c r="EM150" i="1"/>
  <c r="EM99" i="1"/>
  <c r="EM101" i="1"/>
  <c r="EM151" i="1"/>
  <c r="EM152" i="1"/>
  <c r="EM149" i="1"/>
  <c r="AL99" i="1"/>
  <c r="AL103" i="1"/>
  <c r="AL97" i="1"/>
  <c r="AL100" i="1"/>
  <c r="AL101" i="1"/>
  <c r="AL98" i="1"/>
  <c r="AL102" i="1"/>
  <c r="EM80" i="1"/>
  <c r="AL80" i="1" s="1"/>
  <c r="EM158" i="1"/>
  <c r="AL158" i="1" s="1"/>
  <c r="EM120" i="1"/>
  <c r="AL120" i="1" s="1"/>
  <c r="EM67" i="1"/>
  <c r="AL67" i="1" s="1"/>
  <c r="EM109" i="1"/>
  <c r="AL109" i="1" s="1"/>
  <c r="EM162" i="1"/>
  <c r="AL162" i="1" s="1"/>
  <c r="EM113" i="1"/>
  <c r="AL113" i="1" s="1"/>
  <c r="EM58" i="1"/>
  <c r="AL58" i="1" s="1"/>
  <c r="EM62" i="1"/>
  <c r="AL62" i="1" s="1"/>
  <c r="EM64" i="1"/>
  <c r="AL64" i="1" s="1"/>
  <c r="EN56" i="1"/>
  <c r="AM56" i="1"/>
  <c r="AM35" i="1" l="1"/>
  <c r="AL125" i="1"/>
  <c r="AL147" i="1"/>
  <c r="EN184" i="1"/>
  <c r="AM184" i="1" s="1"/>
  <c r="EN183" i="1"/>
  <c r="AM183" i="1" s="1"/>
  <c r="EN181" i="1"/>
  <c r="AM181" i="1" s="1"/>
  <c r="EN180" i="1"/>
  <c r="AM180" i="1" s="1"/>
  <c r="EN182" i="1"/>
  <c r="AM182" i="1" s="1"/>
  <c r="EN179" i="1"/>
  <c r="AM179" i="1" s="1"/>
  <c r="EN163" i="1"/>
  <c r="AM163" i="1" s="1"/>
  <c r="EN177" i="1"/>
  <c r="AM177" i="1" s="1"/>
  <c r="EN176" i="1"/>
  <c r="AM176" i="1" s="1"/>
  <c r="EN175" i="1"/>
  <c r="AM175" i="1" s="1"/>
  <c r="EN174" i="1"/>
  <c r="AM174" i="1" s="1"/>
  <c r="EN161" i="1"/>
  <c r="AM161" i="1" s="1"/>
  <c r="EN171" i="1"/>
  <c r="AM171" i="1" s="1"/>
  <c r="EN170" i="1"/>
  <c r="AM170" i="1" s="1"/>
  <c r="EN168" i="1"/>
  <c r="AM168" i="1" s="1"/>
  <c r="EN169" i="1"/>
  <c r="AM169" i="1" s="1"/>
  <c r="EN167" i="1"/>
  <c r="AM167" i="1" s="1"/>
  <c r="EN166" i="1"/>
  <c r="AM166" i="1" s="1"/>
  <c r="EN165" i="1"/>
  <c r="AM165" i="1" s="1"/>
  <c r="EN164" i="1"/>
  <c r="AM164" i="1" s="1"/>
  <c r="EN137" i="1"/>
  <c r="AM137" i="1" s="1"/>
  <c r="EN136" i="1"/>
  <c r="AM136" i="1" s="1"/>
  <c r="EN146" i="1"/>
  <c r="AM146" i="1" s="1"/>
  <c r="EN144" i="1"/>
  <c r="AM144" i="1" s="1"/>
  <c r="EN145" i="1"/>
  <c r="AM145" i="1" s="1"/>
  <c r="EN143" i="1"/>
  <c r="AM143" i="1" s="1"/>
  <c r="EN142" i="1"/>
  <c r="AM142" i="1" s="1"/>
  <c r="EN139" i="1"/>
  <c r="AM139" i="1" s="1"/>
  <c r="EN141" i="1"/>
  <c r="AM141" i="1" s="1"/>
  <c r="EN140" i="1"/>
  <c r="AM140" i="1" s="1"/>
  <c r="EN131" i="1"/>
  <c r="AM131" i="1" s="1"/>
  <c r="EN132" i="1"/>
  <c r="AM132" i="1" s="1"/>
  <c r="EN133" i="1"/>
  <c r="AM133" i="1" s="1"/>
  <c r="EN138" i="1"/>
  <c r="AM138" i="1" s="1"/>
  <c r="EN135" i="1"/>
  <c r="AM135" i="1" s="1"/>
  <c r="EN134" i="1"/>
  <c r="AM134" i="1" s="1"/>
  <c r="EN124" i="1"/>
  <c r="AM124" i="1" s="1"/>
  <c r="EN123" i="1"/>
  <c r="AM123" i="1" s="1"/>
  <c r="EN115" i="1"/>
  <c r="AM115" i="1" s="1"/>
  <c r="EN121" i="1"/>
  <c r="AM121" i="1" s="1"/>
  <c r="EN122" i="1"/>
  <c r="AM122" i="1" s="1"/>
  <c r="EN118" i="1"/>
  <c r="AM118" i="1" s="1"/>
  <c r="EN116" i="1"/>
  <c r="AM116" i="1" s="1"/>
  <c r="EN117" i="1"/>
  <c r="AM117" i="1" s="1"/>
  <c r="EN114" i="1"/>
  <c r="AM114" i="1" s="1"/>
  <c r="EN119" i="1"/>
  <c r="AM119" i="1" s="1"/>
  <c r="EN112" i="1"/>
  <c r="AM112" i="1" s="1"/>
  <c r="EN94" i="1"/>
  <c r="AM94" i="1" s="1"/>
  <c r="EN89" i="1"/>
  <c r="AM89" i="1" s="1"/>
  <c r="EN88" i="1"/>
  <c r="AM88" i="1" s="1"/>
  <c r="EN87" i="1"/>
  <c r="AM87" i="1" s="1"/>
  <c r="EN86" i="1"/>
  <c r="AM86" i="1" s="1"/>
  <c r="EN81" i="1"/>
  <c r="AM81" i="1" s="1"/>
  <c r="EN85" i="1"/>
  <c r="AM85" i="1" s="1"/>
  <c r="EN84" i="1"/>
  <c r="AM84" i="1" s="1"/>
  <c r="EN83" i="1"/>
  <c r="AM83" i="1" s="1"/>
  <c r="EN82" i="1"/>
  <c r="AM82" i="1" s="1"/>
  <c r="EN66" i="1"/>
  <c r="AM66" i="1" s="1"/>
  <c r="EN73" i="1"/>
  <c r="AM73" i="1" s="1"/>
  <c r="EN72" i="1"/>
  <c r="AM72" i="1" s="1"/>
  <c r="EN71" i="1"/>
  <c r="AM71" i="1" s="1"/>
  <c r="EN70" i="1"/>
  <c r="AM70" i="1" s="1"/>
  <c r="EN69" i="1"/>
  <c r="AM69" i="1" s="1"/>
  <c r="EN68" i="1"/>
  <c r="AM68" i="1" s="1"/>
  <c r="EN65" i="1"/>
  <c r="AM65" i="1" s="1"/>
  <c r="EN63" i="1"/>
  <c r="AM63" i="1" s="1"/>
  <c r="EN44" i="1"/>
  <c r="EN32" i="1"/>
  <c r="AM32" i="1" s="1"/>
  <c r="EN31" i="1"/>
  <c r="AM233" i="1"/>
  <c r="AM232" i="1"/>
  <c r="EN232" i="1"/>
  <c r="EN233" i="1"/>
  <c r="EN93" i="1"/>
  <c r="AM93" i="1" s="1"/>
  <c r="EN229" i="1"/>
  <c r="EN235" i="1"/>
  <c r="EN60" i="1"/>
  <c r="AM60" i="1" s="1"/>
  <c r="EN159" i="1"/>
  <c r="AM159" i="1" s="1"/>
  <c r="EN160" i="1"/>
  <c r="AM160" i="1" s="1"/>
  <c r="EN59" i="1"/>
  <c r="AM59" i="1" s="1"/>
  <c r="AM236" i="1"/>
  <c r="AM235" i="1"/>
  <c r="AM229" i="1"/>
  <c r="EN236" i="1"/>
  <c r="EN111" i="1"/>
  <c r="AM111" i="1" s="1"/>
  <c r="EN110" i="1"/>
  <c r="AM110" i="1" s="1"/>
  <c r="EN218" i="1"/>
  <c r="AM218" i="1" s="1"/>
  <c r="EN231" i="1"/>
  <c r="EN230" i="1"/>
  <c r="EN234" i="1"/>
  <c r="AM234" i="1"/>
  <c r="AM230" i="1"/>
  <c r="AM231" i="1"/>
  <c r="EN46" i="1"/>
  <c r="EN38" i="1"/>
  <c r="EN40" i="1"/>
  <c r="EN45" i="1"/>
  <c r="EN41" i="1"/>
  <c r="EN39" i="1"/>
  <c r="EN42" i="1"/>
  <c r="EO30" i="1"/>
  <c r="EO35" i="1" s="1"/>
  <c r="EN43" i="1"/>
  <c r="AM41" i="1"/>
  <c r="AN30" i="1"/>
  <c r="AN44" i="1" s="1"/>
  <c r="AM45" i="1"/>
  <c r="AM42" i="1"/>
  <c r="AM43" i="1"/>
  <c r="AM223" i="1"/>
  <c r="AM224" i="1"/>
  <c r="AM222" i="1"/>
  <c r="AM221" i="1"/>
  <c r="EN197" i="1"/>
  <c r="AM197" i="1" s="1"/>
  <c r="EN224" i="1"/>
  <c r="EN215" i="1"/>
  <c r="AM215" i="1" s="1"/>
  <c r="EN221" i="1"/>
  <c r="EN214" i="1"/>
  <c r="AM214" i="1" s="1"/>
  <c r="EN213" i="1"/>
  <c r="AM213" i="1" s="1"/>
  <c r="EN212" i="1"/>
  <c r="AM212" i="1" s="1"/>
  <c r="EN222" i="1"/>
  <c r="EN223" i="1"/>
  <c r="AM207" i="1"/>
  <c r="AM206" i="1"/>
  <c r="AM205" i="1"/>
  <c r="EN196" i="1"/>
  <c r="AM196" i="1" s="1"/>
  <c r="EN195" i="1"/>
  <c r="AM195" i="1" s="1"/>
  <c r="EN205" i="1"/>
  <c r="EN206" i="1"/>
  <c r="EN127" i="1"/>
  <c r="AM127" i="1" s="1"/>
  <c r="EN198" i="1"/>
  <c r="AM198" i="1" s="1"/>
  <c r="EN130" i="1"/>
  <c r="AM130" i="1" s="1"/>
  <c r="EN129" i="1"/>
  <c r="EN128" i="1"/>
  <c r="AM128" i="1" s="1"/>
  <c r="EN201" i="1"/>
  <c r="AM201" i="1" s="1"/>
  <c r="EN207" i="1"/>
  <c r="EN204" i="1"/>
  <c r="EN92" i="1"/>
  <c r="AM92" i="1" s="1"/>
  <c r="EN76" i="1"/>
  <c r="AM76" i="1" s="1"/>
  <c r="EN90" i="1"/>
  <c r="AM90" i="1" s="1"/>
  <c r="EN61" i="1"/>
  <c r="AM61" i="1" s="1"/>
  <c r="EN77" i="1"/>
  <c r="AM77" i="1" s="1"/>
  <c r="EN91" i="1"/>
  <c r="AM91" i="1" s="1"/>
  <c r="EN78" i="1"/>
  <c r="AM78" i="1" s="1"/>
  <c r="EN79" i="1"/>
  <c r="AM79" i="1" s="1"/>
  <c r="AL79" i="1"/>
  <c r="AM188" i="1"/>
  <c r="AM189" i="1"/>
  <c r="AM187" i="1"/>
  <c r="AM190" i="1"/>
  <c r="AM150" i="1"/>
  <c r="AM151" i="1"/>
  <c r="AM153" i="1"/>
  <c r="AM152" i="1"/>
  <c r="EN188" i="1"/>
  <c r="EN189" i="1"/>
  <c r="EN178" i="1"/>
  <c r="AM178" i="1" s="1"/>
  <c r="EN190" i="1"/>
  <c r="EN187" i="1"/>
  <c r="EN152" i="1"/>
  <c r="EN97" i="1"/>
  <c r="EN151" i="1"/>
  <c r="EN102" i="1"/>
  <c r="EN101" i="1"/>
  <c r="EN153" i="1"/>
  <c r="EN99" i="1"/>
  <c r="EN98" i="1"/>
  <c r="EN149" i="1"/>
  <c r="EN150" i="1"/>
  <c r="EN100" i="1"/>
  <c r="EN104" i="1"/>
  <c r="EN103" i="1"/>
  <c r="AM98" i="1"/>
  <c r="AM102" i="1"/>
  <c r="AM101" i="1"/>
  <c r="AM99" i="1"/>
  <c r="AM103" i="1"/>
  <c r="AM100" i="1"/>
  <c r="AM97" i="1"/>
  <c r="AM104" i="1"/>
  <c r="EN80" i="1"/>
  <c r="AM80" i="1" s="1"/>
  <c r="EN158" i="1"/>
  <c r="AM158" i="1" s="1"/>
  <c r="EN120" i="1"/>
  <c r="AM120" i="1" s="1"/>
  <c r="EN67" i="1"/>
  <c r="AM67" i="1" s="1"/>
  <c r="EN109" i="1"/>
  <c r="AM109" i="1" s="1"/>
  <c r="EN162" i="1"/>
  <c r="AM162" i="1" s="1"/>
  <c r="EN113" i="1"/>
  <c r="AM113" i="1" s="1"/>
  <c r="EN62" i="1"/>
  <c r="AM62" i="1" s="1"/>
  <c r="EN58" i="1"/>
  <c r="AM58" i="1" s="1"/>
  <c r="EO56" i="1"/>
  <c r="EN64" i="1"/>
  <c r="AM64" i="1" s="1"/>
  <c r="AN56" i="1"/>
  <c r="AN35" i="1" l="1"/>
  <c r="AM125" i="1"/>
  <c r="EO184" i="1"/>
  <c r="AN184" i="1" s="1"/>
  <c r="EO179" i="1"/>
  <c r="AN179" i="1" s="1"/>
  <c r="EO181" i="1"/>
  <c r="AN181" i="1" s="1"/>
  <c r="EO182" i="1"/>
  <c r="AN182" i="1" s="1"/>
  <c r="EO183" i="1"/>
  <c r="AN183" i="1" s="1"/>
  <c r="EO180" i="1"/>
  <c r="AN180" i="1" s="1"/>
  <c r="EO163" i="1"/>
  <c r="AN163" i="1" s="1"/>
  <c r="EO176" i="1"/>
  <c r="AN176" i="1" s="1"/>
  <c r="EO174" i="1"/>
  <c r="AN174" i="1" s="1"/>
  <c r="EO177" i="1"/>
  <c r="AN177" i="1" s="1"/>
  <c r="EO175" i="1"/>
  <c r="AN175" i="1" s="1"/>
  <c r="EO161" i="1"/>
  <c r="AN161" i="1" s="1"/>
  <c r="EO170" i="1"/>
  <c r="AN170" i="1" s="1"/>
  <c r="EO169" i="1"/>
  <c r="AN169" i="1" s="1"/>
  <c r="EO171" i="1"/>
  <c r="AN171" i="1" s="1"/>
  <c r="EO166" i="1"/>
  <c r="AN166" i="1" s="1"/>
  <c r="EO168" i="1"/>
  <c r="AN168" i="1" s="1"/>
  <c r="EO167" i="1"/>
  <c r="AN167" i="1" s="1"/>
  <c r="EO165" i="1"/>
  <c r="AN165" i="1" s="1"/>
  <c r="EO164" i="1"/>
  <c r="AN164" i="1" s="1"/>
  <c r="EO136" i="1"/>
  <c r="AN136" i="1" s="1"/>
  <c r="EO137" i="1"/>
  <c r="AN137" i="1" s="1"/>
  <c r="EO145" i="1"/>
  <c r="AN145" i="1" s="1"/>
  <c r="EO144" i="1"/>
  <c r="AN144" i="1" s="1"/>
  <c r="EO146" i="1"/>
  <c r="AN146" i="1" s="1"/>
  <c r="EO142" i="1"/>
  <c r="AN142" i="1" s="1"/>
  <c r="EO139" i="1"/>
  <c r="AN139" i="1" s="1"/>
  <c r="EO141" i="1"/>
  <c r="AN141" i="1" s="1"/>
  <c r="EO143" i="1"/>
  <c r="AN143" i="1" s="1"/>
  <c r="EO140" i="1"/>
  <c r="AN140" i="1" s="1"/>
  <c r="EO131" i="1"/>
  <c r="AN131" i="1" s="1"/>
  <c r="EO132" i="1"/>
  <c r="AN132" i="1" s="1"/>
  <c r="EO133" i="1"/>
  <c r="AN133" i="1" s="1"/>
  <c r="EO135" i="1"/>
  <c r="AN135" i="1" s="1"/>
  <c r="EO134" i="1"/>
  <c r="AN134" i="1" s="1"/>
  <c r="EO138" i="1"/>
  <c r="AN138" i="1" s="1"/>
  <c r="EO123" i="1"/>
  <c r="AN123" i="1" s="1"/>
  <c r="EO124" i="1"/>
  <c r="AN124" i="1" s="1"/>
  <c r="EO115" i="1"/>
  <c r="AN115" i="1" s="1"/>
  <c r="EO122" i="1"/>
  <c r="AN122" i="1" s="1"/>
  <c r="EO121" i="1"/>
  <c r="AN121" i="1" s="1"/>
  <c r="EO119" i="1"/>
  <c r="AN119" i="1" s="1"/>
  <c r="EO118" i="1"/>
  <c r="AN118" i="1" s="1"/>
  <c r="EO117" i="1"/>
  <c r="AN117" i="1" s="1"/>
  <c r="EO114" i="1"/>
  <c r="AN114" i="1" s="1"/>
  <c r="EO116" i="1"/>
  <c r="AN116" i="1" s="1"/>
  <c r="EO112" i="1"/>
  <c r="AN112" i="1" s="1"/>
  <c r="EO94" i="1"/>
  <c r="AN94" i="1" s="1"/>
  <c r="EO88" i="1"/>
  <c r="AN88" i="1" s="1"/>
  <c r="EO87" i="1"/>
  <c r="AN87" i="1" s="1"/>
  <c r="EO89" i="1"/>
  <c r="AN89" i="1" s="1"/>
  <c r="EO86" i="1"/>
  <c r="AN86" i="1" s="1"/>
  <c r="EO81" i="1"/>
  <c r="AN81" i="1" s="1"/>
  <c r="EO84" i="1"/>
  <c r="AN84" i="1" s="1"/>
  <c r="EO83" i="1"/>
  <c r="AN83" i="1" s="1"/>
  <c r="EO85" i="1"/>
  <c r="AN85" i="1" s="1"/>
  <c r="EO82" i="1"/>
  <c r="AN82" i="1" s="1"/>
  <c r="EO66" i="1"/>
  <c r="AN66" i="1" s="1"/>
  <c r="EO73" i="1"/>
  <c r="AN73" i="1" s="1"/>
  <c r="EO72" i="1"/>
  <c r="AN72" i="1" s="1"/>
  <c r="EO71" i="1"/>
  <c r="AN71" i="1" s="1"/>
  <c r="EO69" i="1"/>
  <c r="AN69" i="1" s="1"/>
  <c r="EO68" i="1"/>
  <c r="AN68" i="1" s="1"/>
  <c r="EO70" i="1"/>
  <c r="AN70" i="1" s="1"/>
  <c r="EO65" i="1"/>
  <c r="AN65" i="1" s="1"/>
  <c r="EO63" i="1"/>
  <c r="AN63" i="1" s="1"/>
  <c r="EO31" i="1"/>
  <c r="EO44" i="1"/>
  <c r="EO32" i="1"/>
  <c r="AN32" i="1" s="1"/>
  <c r="EO232" i="1"/>
  <c r="EO233" i="1"/>
  <c r="AN233" i="1"/>
  <c r="AN232" i="1"/>
  <c r="EO93" i="1"/>
  <c r="AN93" i="1" s="1"/>
  <c r="EO229" i="1"/>
  <c r="EO235" i="1"/>
  <c r="EO60" i="1"/>
  <c r="AN60" i="1" s="1"/>
  <c r="EO159" i="1"/>
  <c r="AN159" i="1" s="1"/>
  <c r="EO59" i="1"/>
  <c r="AN59" i="1" s="1"/>
  <c r="EO160" i="1"/>
  <c r="AN160" i="1" s="1"/>
  <c r="AN236" i="1"/>
  <c r="AN235" i="1"/>
  <c r="AN229" i="1"/>
  <c r="EO236" i="1"/>
  <c r="EO111" i="1"/>
  <c r="AN111" i="1" s="1"/>
  <c r="EO110" i="1"/>
  <c r="AN110" i="1" s="1"/>
  <c r="EO218" i="1"/>
  <c r="AN218" i="1" s="1"/>
  <c r="EO231" i="1"/>
  <c r="EO230" i="1"/>
  <c r="EO234" i="1"/>
  <c r="AN230" i="1"/>
  <c r="AN234" i="1"/>
  <c r="AN231" i="1"/>
  <c r="EP30" i="1"/>
  <c r="EP35" i="1" s="1"/>
  <c r="EO38" i="1"/>
  <c r="EO46" i="1"/>
  <c r="EO45" i="1"/>
  <c r="EO42" i="1"/>
  <c r="EO39" i="1"/>
  <c r="EO43" i="1"/>
  <c r="EO40" i="1"/>
  <c r="EO41" i="1"/>
  <c r="EO221" i="1"/>
  <c r="AN43" i="1"/>
  <c r="AO30" i="1"/>
  <c r="AO44" i="1" s="1"/>
  <c r="AN42" i="1"/>
  <c r="AN41" i="1"/>
  <c r="AN45" i="1"/>
  <c r="EO197" i="1"/>
  <c r="AN197" i="1" s="1"/>
  <c r="EO222" i="1"/>
  <c r="EO223" i="1"/>
  <c r="EO215" i="1"/>
  <c r="AN215" i="1" s="1"/>
  <c r="EO214" i="1"/>
  <c r="AN214" i="1" s="1"/>
  <c r="EO212" i="1"/>
  <c r="AN212" i="1" s="1"/>
  <c r="EO213" i="1"/>
  <c r="AN213" i="1" s="1"/>
  <c r="AN224" i="1"/>
  <c r="AN222" i="1"/>
  <c r="AN223" i="1"/>
  <c r="AN221" i="1"/>
  <c r="EO224" i="1"/>
  <c r="EO205" i="1"/>
  <c r="EO207" i="1"/>
  <c r="AN207" i="1"/>
  <c r="AN206" i="1"/>
  <c r="AN205" i="1"/>
  <c r="EO196" i="1"/>
  <c r="AN196" i="1" s="1"/>
  <c r="EO204" i="1"/>
  <c r="EO195" i="1"/>
  <c r="AN195" i="1" s="1"/>
  <c r="EO130" i="1"/>
  <c r="AN130" i="1" s="1"/>
  <c r="EO127" i="1"/>
  <c r="AN127" i="1" s="1"/>
  <c r="EO198" i="1"/>
  <c r="AN198" i="1" s="1"/>
  <c r="EO201" i="1"/>
  <c r="AN201" i="1" s="1"/>
  <c r="EO128" i="1"/>
  <c r="AN128" i="1" s="1"/>
  <c r="EO129" i="1"/>
  <c r="AN129" i="1" s="1"/>
  <c r="AM129" i="1"/>
  <c r="AM147" i="1" s="1"/>
  <c r="EO206" i="1"/>
  <c r="EO92" i="1"/>
  <c r="AN92" i="1" s="1"/>
  <c r="EO61" i="1"/>
  <c r="AN61" i="1" s="1"/>
  <c r="EO77" i="1"/>
  <c r="AN77" i="1" s="1"/>
  <c r="EO90" i="1"/>
  <c r="AN90" i="1" s="1"/>
  <c r="EO76" i="1"/>
  <c r="AN76" i="1" s="1"/>
  <c r="EO79" i="1"/>
  <c r="AN79" i="1" s="1"/>
  <c r="EO91" i="1"/>
  <c r="AN91" i="1" s="1"/>
  <c r="EO78" i="1"/>
  <c r="AN78" i="1" s="1"/>
  <c r="AN190" i="1"/>
  <c r="AN189" i="1"/>
  <c r="AN188" i="1"/>
  <c r="AN187" i="1"/>
  <c r="AN150" i="1"/>
  <c r="AN151" i="1"/>
  <c r="AN153" i="1"/>
  <c r="AN152" i="1"/>
  <c r="EO189" i="1"/>
  <c r="EO188" i="1"/>
  <c r="EO190" i="1"/>
  <c r="EO178" i="1"/>
  <c r="AN178" i="1" s="1"/>
  <c r="EO187" i="1"/>
  <c r="EO98" i="1"/>
  <c r="EO102" i="1"/>
  <c r="EO100" i="1"/>
  <c r="EO151" i="1"/>
  <c r="EO103" i="1"/>
  <c r="EO150" i="1"/>
  <c r="EO153" i="1"/>
  <c r="EO104" i="1"/>
  <c r="EO97" i="1"/>
  <c r="EO99" i="1"/>
  <c r="EO101" i="1"/>
  <c r="EO152" i="1"/>
  <c r="EO149" i="1"/>
  <c r="AN97" i="1"/>
  <c r="AN101" i="1"/>
  <c r="AN98" i="1"/>
  <c r="AN102" i="1"/>
  <c r="AN104" i="1"/>
  <c r="AN99" i="1"/>
  <c r="AN103" i="1"/>
  <c r="AN100" i="1"/>
  <c r="EO80" i="1"/>
  <c r="AN80" i="1" s="1"/>
  <c r="EO158" i="1"/>
  <c r="AN158" i="1" s="1"/>
  <c r="EO120" i="1"/>
  <c r="AN120" i="1" s="1"/>
  <c r="EO67" i="1"/>
  <c r="AN67" i="1" s="1"/>
  <c r="EO109" i="1"/>
  <c r="AN109" i="1" s="1"/>
  <c r="EO162" i="1"/>
  <c r="AN162" i="1" s="1"/>
  <c r="EO113" i="1"/>
  <c r="AN113" i="1" s="1"/>
  <c r="EO64" i="1"/>
  <c r="AN64" i="1" s="1"/>
  <c r="EO62" i="1"/>
  <c r="AN62" i="1" s="1"/>
  <c r="EP56" i="1"/>
  <c r="EO58" i="1"/>
  <c r="AN58" i="1" s="1"/>
  <c r="AO56" i="1"/>
  <c r="AO35" i="1" l="1"/>
  <c r="AN125" i="1"/>
  <c r="AN147" i="1"/>
  <c r="EP184" i="1"/>
  <c r="AO184" i="1" s="1"/>
  <c r="EP182" i="1"/>
  <c r="AO182" i="1" s="1"/>
  <c r="EP183" i="1"/>
  <c r="AO183" i="1" s="1"/>
  <c r="EP181" i="1"/>
  <c r="AO181" i="1" s="1"/>
  <c r="EP179" i="1"/>
  <c r="AO179" i="1" s="1"/>
  <c r="EP180" i="1"/>
  <c r="AO180" i="1" s="1"/>
  <c r="EP163" i="1"/>
  <c r="AO163" i="1" s="1"/>
  <c r="EP176" i="1"/>
  <c r="AO176" i="1" s="1"/>
  <c r="EP177" i="1"/>
  <c r="AO177" i="1" s="1"/>
  <c r="EP175" i="1"/>
  <c r="AO175" i="1" s="1"/>
  <c r="EP174" i="1"/>
  <c r="AO174" i="1" s="1"/>
  <c r="EP161" i="1"/>
  <c r="AO161" i="1" s="1"/>
  <c r="EP170" i="1"/>
  <c r="AO170" i="1" s="1"/>
  <c r="EP171" i="1"/>
  <c r="AO171" i="1" s="1"/>
  <c r="EP169" i="1"/>
  <c r="AO169" i="1" s="1"/>
  <c r="EP167" i="1"/>
  <c r="AO167" i="1" s="1"/>
  <c r="EP168" i="1"/>
  <c r="AO168" i="1" s="1"/>
  <c r="EP165" i="1"/>
  <c r="AO165" i="1" s="1"/>
  <c r="EP166" i="1"/>
  <c r="AO166" i="1" s="1"/>
  <c r="EP164" i="1"/>
  <c r="AO164" i="1" s="1"/>
  <c r="EP137" i="1"/>
  <c r="AO137" i="1" s="1"/>
  <c r="EP136" i="1"/>
  <c r="AO136" i="1" s="1"/>
  <c r="EP146" i="1"/>
  <c r="AO146" i="1" s="1"/>
  <c r="EP145" i="1"/>
  <c r="AO145" i="1" s="1"/>
  <c r="EP144" i="1"/>
  <c r="AO144" i="1" s="1"/>
  <c r="EP141" i="1"/>
  <c r="AO141" i="1" s="1"/>
  <c r="EP140" i="1"/>
  <c r="AO140" i="1" s="1"/>
  <c r="EP142" i="1"/>
  <c r="AO142" i="1" s="1"/>
  <c r="EP139" i="1"/>
  <c r="AO139" i="1" s="1"/>
  <c r="EP143" i="1"/>
  <c r="AO143" i="1" s="1"/>
  <c r="EP131" i="1"/>
  <c r="AO131" i="1" s="1"/>
  <c r="EP132" i="1"/>
  <c r="AO132" i="1" s="1"/>
  <c r="EP133" i="1"/>
  <c r="AO133" i="1" s="1"/>
  <c r="EP135" i="1"/>
  <c r="AO135" i="1" s="1"/>
  <c r="EP138" i="1"/>
  <c r="AO138" i="1" s="1"/>
  <c r="EP134" i="1"/>
  <c r="AO134" i="1" s="1"/>
  <c r="EP123" i="1"/>
  <c r="AO123" i="1" s="1"/>
  <c r="EP124" i="1"/>
  <c r="AO124" i="1" s="1"/>
  <c r="EP115" i="1"/>
  <c r="AO115" i="1" s="1"/>
  <c r="EP122" i="1"/>
  <c r="AO122" i="1" s="1"/>
  <c r="EP121" i="1"/>
  <c r="AO121" i="1" s="1"/>
  <c r="EP119" i="1"/>
  <c r="AO119" i="1" s="1"/>
  <c r="EP118" i="1"/>
  <c r="AO118" i="1" s="1"/>
  <c r="EP117" i="1"/>
  <c r="AO117" i="1" s="1"/>
  <c r="EP116" i="1"/>
  <c r="AO116" i="1" s="1"/>
  <c r="EP114" i="1"/>
  <c r="AO114" i="1" s="1"/>
  <c r="EP112" i="1"/>
  <c r="AO112" i="1" s="1"/>
  <c r="EP94" i="1"/>
  <c r="AO94" i="1" s="1"/>
  <c r="EP89" i="1"/>
  <c r="AO89" i="1" s="1"/>
  <c r="EP88" i="1"/>
  <c r="AO88" i="1" s="1"/>
  <c r="EP87" i="1"/>
  <c r="AO87" i="1" s="1"/>
  <c r="EP86" i="1"/>
  <c r="AO86" i="1" s="1"/>
  <c r="EP81" i="1"/>
  <c r="AO81" i="1" s="1"/>
  <c r="EP84" i="1"/>
  <c r="AO84" i="1" s="1"/>
  <c r="EP85" i="1"/>
  <c r="AO85" i="1" s="1"/>
  <c r="EP83" i="1"/>
  <c r="AO83" i="1" s="1"/>
  <c r="EP82" i="1"/>
  <c r="AO82" i="1" s="1"/>
  <c r="EP66" i="1"/>
  <c r="AO66" i="1" s="1"/>
  <c r="EP73" i="1"/>
  <c r="AO73" i="1" s="1"/>
  <c r="EP72" i="1"/>
  <c r="AO72" i="1" s="1"/>
  <c r="EP69" i="1"/>
  <c r="AO69" i="1" s="1"/>
  <c r="EP68" i="1"/>
  <c r="AO68" i="1" s="1"/>
  <c r="EP71" i="1"/>
  <c r="AO71" i="1" s="1"/>
  <c r="EP70" i="1"/>
  <c r="AO70" i="1" s="1"/>
  <c r="EP65" i="1"/>
  <c r="AO65" i="1" s="1"/>
  <c r="EP63" i="1"/>
  <c r="AO63" i="1" s="1"/>
  <c r="EP44" i="1"/>
  <c r="EP32" i="1"/>
  <c r="AO32" i="1" s="1"/>
  <c r="EP31" i="1"/>
  <c r="EP232" i="1"/>
  <c r="EP233" i="1"/>
  <c r="AO233" i="1"/>
  <c r="AO232" i="1"/>
  <c r="EP93" i="1"/>
  <c r="AO93" i="1" s="1"/>
  <c r="EP229" i="1"/>
  <c r="EP60" i="1"/>
  <c r="AO60" i="1" s="1"/>
  <c r="EP159" i="1"/>
  <c r="AO159" i="1" s="1"/>
  <c r="EP160" i="1"/>
  <c r="AO160" i="1" s="1"/>
  <c r="EP59" i="1"/>
  <c r="AO59" i="1" s="1"/>
  <c r="EP235" i="1"/>
  <c r="AO236" i="1"/>
  <c r="AO235" i="1"/>
  <c r="AO229" i="1"/>
  <c r="EP111" i="1"/>
  <c r="AO111" i="1" s="1"/>
  <c r="EP236" i="1"/>
  <c r="EP110" i="1"/>
  <c r="AO110" i="1" s="1"/>
  <c r="EP230" i="1"/>
  <c r="AO230" i="1"/>
  <c r="AO234" i="1"/>
  <c r="AO231" i="1"/>
  <c r="EP218" i="1"/>
  <c r="AO218" i="1" s="1"/>
  <c r="EP231" i="1"/>
  <c r="EP234" i="1"/>
  <c r="EP38" i="1"/>
  <c r="EP46" i="1"/>
  <c r="EP42" i="1"/>
  <c r="EP39" i="1"/>
  <c r="EP43" i="1"/>
  <c r="EP45" i="1"/>
  <c r="EP41" i="1"/>
  <c r="EQ30" i="1"/>
  <c r="EQ35" i="1" s="1"/>
  <c r="EP40" i="1"/>
  <c r="EP223" i="1"/>
  <c r="AO43" i="1"/>
  <c r="AO45" i="1"/>
  <c r="AO41" i="1"/>
  <c r="AP30" i="1"/>
  <c r="AP44" i="1" s="1"/>
  <c r="AO42" i="1"/>
  <c r="AO223" i="1"/>
  <c r="AO224" i="1"/>
  <c r="AO222" i="1"/>
  <c r="AO221" i="1"/>
  <c r="EP197" i="1"/>
  <c r="AO197" i="1" s="1"/>
  <c r="EP215" i="1"/>
  <c r="AO215" i="1" s="1"/>
  <c r="EP222" i="1"/>
  <c r="EP213" i="1"/>
  <c r="AO213" i="1" s="1"/>
  <c r="EP214" i="1"/>
  <c r="AO214" i="1" s="1"/>
  <c r="EP212" i="1"/>
  <c r="AO212" i="1" s="1"/>
  <c r="EP224" i="1"/>
  <c r="EP221" i="1"/>
  <c r="EP196" i="1"/>
  <c r="AO196" i="1" s="1"/>
  <c r="EP204" i="1"/>
  <c r="EP195" i="1"/>
  <c r="AO195" i="1" s="1"/>
  <c r="EP207" i="1"/>
  <c r="EP130" i="1"/>
  <c r="AO130" i="1" s="1"/>
  <c r="EP198" i="1"/>
  <c r="AO198" i="1" s="1"/>
  <c r="EP127" i="1"/>
  <c r="AO127" i="1" s="1"/>
  <c r="EP129" i="1"/>
  <c r="AO129" i="1" s="1"/>
  <c r="EP201" i="1"/>
  <c r="AO201" i="1" s="1"/>
  <c r="EP128" i="1"/>
  <c r="AO128" i="1" s="1"/>
  <c r="AO207" i="1"/>
  <c r="AO206" i="1"/>
  <c r="AO205" i="1"/>
  <c r="EP206" i="1"/>
  <c r="EP205" i="1"/>
  <c r="EP91" i="1"/>
  <c r="AO91" i="1" s="1"/>
  <c r="EP61" i="1"/>
  <c r="AO61" i="1" s="1"/>
  <c r="EP79" i="1"/>
  <c r="AO79" i="1" s="1"/>
  <c r="EP92" i="1"/>
  <c r="AO92" i="1" s="1"/>
  <c r="EP76" i="1"/>
  <c r="AO76" i="1" s="1"/>
  <c r="EP90" i="1"/>
  <c r="AO90" i="1" s="1"/>
  <c r="EP77" i="1"/>
  <c r="AO77" i="1" s="1"/>
  <c r="EP78" i="1"/>
  <c r="AO78" i="1" s="1"/>
  <c r="EP189" i="1"/>
  <c r="EP188" i="1"/>
  <c r="EP190" i="1"/>
  <c r="EP178" i="1"/>
  <c r="AO178" i="1" s="1"/>
  <c r="EP187" i="1"/>
  <c r="AO189" i="1"/>
  <c r="AO190" i="1"/>
  <c r="AO188" i="1"/>
  <c r="AO152" i="1"/>
  <c r="AO153" i="1"/>
  <c r="AO187" i="1"/>
  <c r="AO150" i="1"/>
  <c r="AO151" i="1"/>
  <c r="EP151" i="1"/>
  <c r="EP104" i="1"/>
  <c r="EP97" i="1"/>
  <c r="EP102" i="1"/>
  <c r="EP152" i="1"/>
  <c r="EP101" i="1"/>
  <c r="EP153" i="1"/>
  <c r="EP100" i="1"/>
  <c r="EP99" i="1"/>
  <c r="EP150" i="1"/>
  <c r="EP149" i="1"/>
  <c r="EP103" i="1"/>
  <c r="EP98" i="1"/>
  <c r="AO104" i="1"/>
  <c r="AO100" i="1"/>
  <c r="AO102" i="1"/>
  <c r="AO103" i="1"/>
  <c r="AO98" i="1"/>
  <c r="AO97" i="1"/>
  <c r="AO101" i="1"/>
  <c r="AO99" i="1"/>
  <c r="EP80" i="1"/>
  <c r="AO80" i="1" s="1"/>
  <c r="EP158" i="1"/>
  <c r="AO158" i="1" s="1"/>
  <c r="EP120" i="1"/>
  <c r="AO120" i="1" s="1"/>
  <c r="EP67" i="1"/>
  <c r="AO67" i="1" s="1"/>
  <c r="EP109" i="1"/>
  <c r="AO109" i="1" s="1"/>
  <c r="EP162" i="1"/>
  <c r="AO162" i="1" s="1"/>
  <c r="EP113" i="1"/>
  <c r="AO113" i="1" s="1"/>
  <c r="EQ56" i="1"/>
  <c r="EP58" i="1"/>
  <c r="AO58" i="1" s="1"/>
  <c r="EP62" i="1"/>
  <c r="AO62" i="1" s="1"/>
  <c r="EP64" i="1"/>
  <c r="AO64" i="1" s="1"/>
  <c r="AP56" i="1"/>
  <c r="AP35" i="1" l="1"/>
  <c r="AO147" i="1"/>
  <c r="AO125" i="1"/>
  <c r="EQ184" i="1"/>
  <c r="AP184" i="1" s="1"/>
  <c r="EQ180" i="1"/>
  <c r="AP180" i="1" s="1"/>
  <c r="EQ183" i="1"/>
  <c r="AP183" i="1" s="1"/>
  <c r="EQ182" i="1"/>
  <c r="AP182" i="1" s="1"/>
  <c r="EQ179" i="1"/>
  <c r="AP179" i="1" s="1"/>
  <c r="EQ181" i="1"/>
  <c r="AP181" i="1" s="1"/>
  <c r="EQ163" i="1"/>
  <c r="AP163" i="1" s="1"/>
  <c r="EQ177" i="1"/>
  <c r="AP177" i="1" s="1"/>
  <c r="EQ175" i="1"/>
  <c r="AP175" i="1" s="1"/>
  <c r="EQ176" i="1"/>
  <c r="AP176" i="1" s="1"/>
  <c r="EQ174" i="1"/>
  <c r="AP174" i="1" s="1"/>
  <c r="EQ161" i="1"/>
  <c r="AP161" i="1" s="1"/>
  <c r="EQ171" i="1"/>
  <c r="AP171" i="1" s="1"/>
  <c r="EQ170" i="1"/>
  <c r="AP170" i="1" s="1"/>
  <c r="EQ169" i="1"/>
  <c r="AP169" i="1" s="1"/>
  <c r="EQ167" i="1"/>
  <c r="AP167" i="1" s="1"/>
  <c r="EQ168" i="1"/>
  <c r="AP168" i="1" s="1"/>
  <c r="EQ165" i="1"/>
  <c r="AP165" i="1" s="1"/>
  <c r="EQ164" i="1"/>
  <c r="AP164" i="1" s="1"/>
  <c r="EQ166" i="1"/>
  <c r="AP166" i="1" s="1"/>
  <c r="EQ137" i="1"/>
  <c r="AP137" i="1" s="1"/>
  <c r="EQ136" i="1"/>
  <c r="AP136" i="1" s="1"/>
  <c r="EQ146" i="1"/>
  <c r="AP146" i="1" s="1"/>
  <c r="EQ145" i="1"/>
  <c r="AP145" i="1" s="1"/>
  <c r="EQ143" i="1"/>
  <c r="AP143" i="1" s="1"/>
  <c r="EQ141" i="1"/>
  <c r="AP141" i="1" s="1"/>
  <c r="EQ140" i="1"/>
  <c r="AP140" i="1" s="1"/>
  <c r="EQ142" i="1"/>
  <c r="AP142" i="1" s="1"/>
  <c r="EQ144" i="1"/>
  <c r="AP144" i="1" s="1"/>
  <c r="EQ139" i="1"/>
  <c r="AP139" i="1" s="1"/>
  <c r="EQ131" i="1"/>
  <c r="AP131" i="1" s="1"/>
  <c r="EQ132" i="1"/>
  <c r="AP132" i="1" s="1"/>
  <c r="EQ133" i="1"/>
  <c r="AP133" i="1" s="1"/>
  <c r="EQ138" i="1"/>
  <c r="AP138" i="1" s="1"/>
  <c r="EQ134" i="1"/>
  <c r="AP134" i="1" s="1"/>
  <c r="EQ135" i="1"/>
  <c r="AP135" i="1" s="1"/>
  <c r="EQ124" i="1"/>
  <c r="AP124" i="1" s="1"/>
  <c r="EQ123" i="1"/>
  <c r="AP123" i="1" s="1"/>
  <c r="EQ115" i="1"/>
  <c r="AP115" i="1" s="1"/>
  <c r="EQ122" i="1"/>
  <c r="AP122" i="1" s="1"/>
  <c r="EQ121" i="1"/>
  <c r="AP121" i="1" s="1"/>
  <c r="EQ119" i="1"/>
  <c r="AP119" i="1" s="1"/>
  <c r="EQ118" i="1"/>
  <c r="AP118" i="1" s="1"/>
  <c r="EQ117" i="1"/>
  <c r="AP117" i="1" s="1"/>
  <c r="EQ116" i="1"/>
  <c r="AP116" i="1" s="1"/>
  <c r="EQ114" i="1"/>
  <c r="AP114" i="1" s="1"/>
  <c r="EQ112" i="1"/>
  <c r="AP112" i="1" s="1"/>
  <c r="EQ94" i="1"/>
  <c r="AP94" i="1" s="1"/>
  <c r="EQ89" i="1"/>
  <c r="AP89" i="1" s="1"/>
  <c r="EQ88" i="1"/>
  <c r="AP88" i="1" s="1"/>
  <c r="EQ86" i="1"/>
  <c r="AP86" i="1" s="1"/>
  <c r="EQ87" i="1"/>
  <c r="AP87" i="1" s="1"/>
  <c r="EQ81" i="1"/>
  <c r="AP81" i="1" s="1"/>
  <c r="EQ85" i="1"/>
  <c r="AP85" i="1" s="1"/>
  <c r="EQ83" i="1"/>
  <c r="AP83" i="1" s="1"/>
  <c r="EQ84" i="1"/>
  <c r="AP84" i="1" s="1"/>
  <c r="EQ82" i="1"/>
  <c r="AP82" i="1" s="1"/>
  <c r="EQ66" i="1"/>
  <c r="AP66" i="1" s="1"/>
  <c r="EQ72" i="1"/>
  <c r="AP72" i="1" s="1"/>
  <c r="EQ73" i="1"/>
  <c r="AP73" i="1" s="1"/>
  <c r="EQ71" i="1"/>
  <c r="AP71" i="1" s="1"/>
  <c r="EQ70" i="1"/>
  <c r="AP70" i="1" s="1"/>
  <c r="EQ69" i="1"/>
  <c r="AP69" i="1" s="1"/>
  <c r="EQ68" i="1"/>
  <c r="AP68" i="1" s="1"/>
  <c r="EQ65" i="1"/>
  <c r="AP65" i="1" s="1"/>
  <c r="EQ63" i="1"/>
  <c r="AP63" i="1" s="1"/>
  <c r="EQ44" i="1"/>
  <c r="EQ32" i="1"/>
  <c r="AP32" i="1" s="1"/>
  <c r="EQ31" i="1"/>
  <c r="EQ233" i="1"/>
  <c r="EQ232" i="1"/>
  <c r="AP233" i="1"/>
  <c r="AP232" i="1"/>
  <c r="EQ93" i="1"/>
  <c r="AP93" i="1" s="1"/>
  <c r="EQ229" i="1"/>
  <c r="EQ235" i="1"/>
  <c r="EQ60" i="1"/>
  <c r="AP60" i="1" s="1"/>
  <c r="EQ159" i="1"/>
  <c r="AP159" i="1" s="1"/>
  <c r="EQ59" i="1"/>
  <c r="AP59" i="1" s="1"/>
  <c r="EQ160" i="1"/>
  <c r="AP236" i="1"/>
  <c r="AP229" i="1"/>
  <c r="AP235" i="1"/>
  <c r="EQ111" i="1"/>
  <c r="AP111" i="1" s="1"/>
  <c r="EQ236" i="1"/>
  <c r="EQ110" i="1"/>
  <c r="AP110" i="1" s="1"/>
  <c r="AP234" i="1"/>
  <c r="AP231" i="1"/>
  <c r="AP230" i="1"/>
  <c r="EQ218" i="1"/>
  <c r="AP218" i="1" s="1"/>
  <c r="EQ231" i="1"/>
  <c r="EQ234" i="1"/>
  <c r="EQ230" i="1"/>
  <c r="EQ39" i="1"/>
  <c r="EQ46" i="1"/>
  <c r="EQ41" i="1"/>
  <c r="EQ43" i="1"/>
  <c r="ER30" i="1"/>
  <c r="ER35" i="1" s="1"/>
  <c r="EQ40" i="1"/>
  <c r="EQ42" i="1"/>
  <c r="EQ45" i="1"/>
  <c r="EQ38" i="1"/>
  <c r="AP41" i="1"/>
  <c r="AP42" i="1"/>
  <c r="AP45" i="1"/>
  <c r="AP43" i="1"/>
  <c r="AQ30" i="1"/>
  <c r="AQ44" i="1" s="1"/>
  <c r="EQ197" i="1"/>
  <c r="AP197" i="1" s="1"/>
  <c r="EQ223" i="1"/>
  <c r="EQ224" i="1"/>
  <c r="EQ221" i="1"/>
  <c r="EQ222" i="1"/>
  <c r="EQ214" i="1"/>
  <c r="AP214" i="1" s="1"/>
  <c r="EQ215" i="1"/>
  <c r="AP215" i="1" s="1"/>
  <c r="EQ213" i="1"/>
  <c r="AP213" i="1" s="1"/>
  <c r="EQ212" i="1"/>
  <c r="AP212" i="1" s="1"/>
  <c r="AP224" i="1"/>
  <c r="AP221" i="1"/>
  <c r="AP223" i="1"/>
  <c r="AP222" i="1"/>
  <c r="AP207" i="1"/>
  <c r="AP206" i="1"/>
  <c r="AP205" i="1"/>
  <c r="EQ207" i="1"/>
  <c r="EQ206" i="1"/>
  <c r="EQ205" i="1"/>
  <c r="EQ204" i="1"/>
  <c r="EQ196" i="1"/>
  <c r="AP196" i="1" s="1"/>
  <c r="EQ201" i="1"/>
  <c r="AP201" i="1" s="1"/>
  <c r="EQ198" i="1"/>
  <c r="AP198" i="1" s="1"/>
  <c r="EQ195" i="1"/>
  <c r="AP195" i="1" s="1"/>
  <c r="EQ129" i="1"/>
  <c r="AP129" i="1" s="1"/>
  <c r="EQ130" i="1"/>
  <c r="AP130" i="1" s="1"/>
  <c r="EQ128" i="1"/>
  <c r="AP128" i="1" s="1"/>
  <c r="EQ127" i="1"/>
  <c r="AP127" i="1" s="1"/>
  <c r="EQ79" i="1"/>
  <c r="AP79" i="1" s="1"/>
  <c r="EQ78" i="1"/>
  <c r="AP78" i="1" s="1"/>
  <c r="EQ77" i="1"/>
  <c r="AP77" i="1" s="1"/>
  <c r="EQ76" i="1"/>
  <c r="AP76" i="1" s="1"/>
  <c r="EQ61" i="1"/>
  <c r="AP61" i="1" s="1"/>
  <c r="EQ92" i="1"/>
  <c r="AP92" i="1" s="1"/>
  <c r="EQ91" i="1"/>
  <c r="AP91" i="1" s="1"/>
  <c r="EQ90" i="1"/>
  <c r="AP90" i="1" s="1"/>
  <c r="EQ190" i="1"/>
  <c r="EQ187" i="1"/>
  <c r="EQ188" i="1"/>
  <c r="AP190" i="1"/>
  <c r="AP187" i="1"/>
  <c r="AP189" i="1"/>
  <c r="AP150" i="1"/>
  <c r="AP188" i="1"/>
  <c r="AP153" i="1"/>
  <c r="AP152" i="1"/>
  <c r="AP151" i="1"/>
  <c r="EQ189" i="1"/>
  <c r="EQ178" i="1"/>
  <c r="AP178" i="1" s="1"/>
  <c r="EQ152" i="1"/>
  <c r="EQ153" i="1"/>
  <c r="EQ151" i="1"/>
  <c r="EQ150" i="1"/>
  <c r="EQ99" i="1"/>
  <c r="EQ102" i="1"/>
  <c r="EQ104" i="1"/>
  <c r="EQ149" i="1"/>
  <c r="EQ97" i="1"/>
  <c r="EQ100" i="1"/>
  <c r="EQ98" i="1"/>
  <c r="EQ103" i="1"/>
  <c r="EQ101" i="1"/>
  <c r="AP97" i="1"/>
  <c r="AP100" i="1"/>
  <c r="AP101" i="1"/>
  <c r="AP98" i="1"/>
  <c r="AP102" i="1"/>
  <c r="AP104" i="1"/>
  <c r="AP99" i="1"/>
  <c r="AP103" i="1"/>
  <c r="EQ80" i="1"/>
  <c r="AP80" i="1" s="1"/>
  <c r="EQ158" i="1"/>
  <c r="AP158" i="1" s="1"/>
  <c r="EQ120" i="1"/>
  <c r="AP120" i="1" s="1"/>
  <c r="EQ67" i="1"/>
  <c r="AP67" i="1" s="1"/>
  <c r="EQ109" i="1"/>
  <c r="AP109" i="1" s="1"/>
  <c r="EQ162" i="1"/>
  <c r="AP162" i="1" s="1"/>
  <c r="EQ113" i="1"/>
  <c r="AP113" i="1" s="1"/>
  <c r="ER56" i="1"/>
  <c r="EQ58" i="1"/>
  <c r="AP58" i="1" s="1"/>
  <c r="EQ64" i="1"/>
  <c r="AP64" i="1" s="1"/>
  <c r="EQ62" i="1"/>
  <c r="AP62" i="1" s="1"/>
  <c r="AQ56" i="1"/>
  <c r="AQ35" i="1" l="1"/>
  <c r="AP147" i="1"/>
  <c r="AP125" i="1"/>
  <c r="ER184" i="1"/>
  <c r="AQ184" i="1" s="1"/>
  <c r="ER183" i="1"/>
  <c r="AQ183" i="1" s="1"/>
  <c r="ER181" i="1"/>
  <c r="AQ181" i="1" s="1"/>
  <c r="ER179" i="1"/>
  <c r="AQ179" i="1" s="1"/>
  <c r="ER180" i="1"/>
  <c r="AQ180" i="1" s="1"/>
  <c r="ER182" i="1"/>
  <c r="AQ182" i="1" s="1"/>
  <c r="ER163" i="1"/>
  <c r="AQ163" i="1" s="1"/>
  <c r="ER177" i="1"/>
  <c r="AQ177" i="1" s="1"/>
  <c r="ER176" i="1"/>
  <c r="AQ176" i="1" s="1"/>
  <c r="ER175" i="1"/>
  <c r="AQ175" i="1" s="1"/>
  <c r="ER174" i="1"/>
  <c r="AQ174" i="1" s="1"/>
  <c r="ER161" i="1"/>
  <c r="AQ161" i="1" s="1"/>
  <c r="ER171" i="1"/>
  <c r="AQ171" i="1" s="1"/>
  <c r="ER170" i="1"/>
  <c r="AQ170" i="1" s="1"/>
  <c r="ER168" i="1"/>
  <c r="AQ168" i="1" s="1"/>
  <c r="ER169" i="1"/>
  <c r="AQ169" i="1" s="1"/>
  <c r="ER166" i="1"/>
  <c r="AQ166" i="1" s="1"/>
  <c r="ER164" i="1"/>
  <c r="AQ164" i="1" s="1"/>
  <c r="ER167" i="1"/>
  <c r="AQ167" i="1" s="1"/>
  <c r="ER165" i="1"/>
  <c r="AQ165" i="1" s="1"/>
  <c r="ER137" i="1"/>
  <c r="AQ137" i="1" s="1"/>
  <c r="ER136" i="1"/>
  <c r="AQ136" i="1" s="1"/>
  <c r="ER146" i="1"/>
  <c r="AQ146" i="1" s="1"/>
  <c r="ER144" i="1"/>
  <c r="AQ144" i="1" s="1"/>
  <c r="ER143" i="1"/>
  <c r="AQ143" i="1" s="1"/>
  <c r="ER145" i="1"/>
  <c r="AQ145" i="1" s="1"/>
  <c r="ER142" i="1"/>
  <c r="AQ142" i="1" s="1"/>
  <c r="ER141" i="1"/>
  <c r="AQ141" i="1" s="1"/>
  <c r="ER139" i="1"/>
  <c r="AQ139" i="1" s="1"/>
  <c r="ER140" i="1"/>
  <c r="AQ140" i="1" s="1"/>
  <c r="ER131" i="1"/>
  <c r="AQ131" i="1" s="1"/>
  <c r="ER133" i="1"/>
  <c r="AQ133" i="1" s="1"/>
  <c r="ER132" i="1"/>
  <c r="AQ132" i="1" s="1"/>
  <c r="ER138" i="1"/>
  <c r="AQ138" i="1" s="1"/>
  <c r="ER135" i="1"/>
  <c r="AQ135" i="1" s="1"/>
  <c r="ER134" i="1"/>
  <c r="AQ134" i="1" s="1"/>
  <c r="ER124" i="1"/>
  <c r="AQ124" i="1" s="1"/>
  <c r="ER123" i="1"/>
  <c r="AQ123" i="1" s="1"/>
  <c r="ER115" i="1"/>
  <c r="AQ115" i="1" s="1"/>
  <c r="ER121" i="1"/>
  <c r="AQ121" i="1" s="1"/>
  <c r="ER122" i="1"/>
  <c r="AQ122" i="1" s="1"/>
  <c r="ER118" i="1"/>
  <c r="AQ118" i="1" s="1"/>
  <c r="ER119" i="1"/>
  <c r="AQ119" i="1" s="1"/>
  <c r="ER117" i="1"/>
  <c r="AQ117" i="1" s="1"/>
  <c r="ER114" i="1"/>
  <c r="AQ114" i="1" s="1"/>
  <c r="ER116" i="1"/>
  <c r="AQ116" i="1" s="1"/>
  <c r="ER112" i="1"/>
  <c r="AQ112" i="1" s="1"/>
  <c r="ER94" i="1"/>
  <c r="AQ94" i="1" s="1"/>
  <c r="ER89" i="1"/>
  <c r="AQ89" i="1" s="1"/>
  <c r="ER88" i="1"/>
  <c r="AQ88" i="1" s="1"/>
  <c r="ER87" i="1"/>
  <c r="AQ87" i="1" s="1"/>
  <c r="ER86" i="1"/>
  <c r="AQ86" i="1" s="1"/>
  <c r="ER81" i="1"/>
  <c r="AQ81" i="1" s="1"/>
  <c r="ER85" i="1"/>
  <c r="AQ85" i="1" s="1"/>
  <c r="ER84" i="1"/>
  <c r="AQ84" i="1" s="1"/>
  <c r="ER83" i="1"/>
  <c r="AQ83" i="1" s="1"/>
  <c r="ER82" i="1"/>
  <c r="AQ82" i="1" s="1"/>
  <c r="ER66" i="1"/>
  <c r="AQ66" i="1" s="1"/>
  <c r="ER72" i="1"/>
  <c r="AQ72" i="1" s="1"/>
  <c r="ER73" i="1"/>
  <c r="AQ73" i="1" s="1"/>
  <c r="ER71" i="1"/>
  <c r="AQ71" i="1" s="1"/>
  <c r="ER70" i="1"/>
  <c r="AQ70" i="1" s="1"/>
  <c r="ER69" i="1"/>
  <c r="AQ69" i="1" s="1"/>
  <c r="ER68" i="1"/>
  <c r="AQ68" i="1" s="1"/>
  <c r="ER65" i="1"/>
  <c r="AQ65" i="1" s="1"/>
  <c r="ER63" i="1"/>
  <c r="AQ63" i="1" s="1"/>
  <c r="ER44" i="1"/>
  <c r="ER32" i="1"/>
  <c r="AQ32" i="1" s="1"/>
  <c r="ER31" i="1"/>
  <c r="AQ233" i="1"/>
  <c r="AQ232" i="1"/>
  <c r="ER232" i="1"/>
  <c r="ER233" i="1"/>
  <c r="ER93" i="1"/>
  <c r="AQ93" i="1" s="1"/>
  <c r="ER60" i="1"/>
  <c r="AQ60" i="1" s="1"/>
  <c r="ER159" i="1"/>
  <c r="AQ159" i="1" s="1"/>
  <c r="ER59" i="1"/>
  <c r="AQ59" i="1" s="1"/>
  <c r="ER160" i="1"/>
  <c r="AQ160" i="1" s="1"/>
  <c r="AP160" i="1"/>
  <c r="ER235" i="1"/>
  <c r="AQ236" i="1"/>
  <c r="AQ235" i="1"/>
  <c r="AQ229" i="1"/>
  <c r="ER229" i="1"/>
  <c r="ER111" i="1"/>
  <c r="AQ111" i="1" s="1"/>
  <c r="ER110" i="1"/>
  <c r="AQ110" i="1" s="1"/>
  <c r="ER236" i="1"/>
  <c r="ER218" i="1"/>
  <c r="AQ218" i="1" s="1"/>
  <c r="ER231" i="1"/>
  <c r="ER234" i="1"/>
  <c r="AQ234" i="1"/>
  <c r="AQ231" i="1"/>
  <c r="AQ230" i="1"/>
  <c r="ER230" i="1"/>
  <c r="ER42" i="1"/>
  <c r="ER46" i="1"/>
  <c r="ER43" i="1"/>
  <c r="ER38" i="1"/>
  <c r="ER41" i="1"/>
  <c r="ER39" i="1"/>
  <c r="ER45" i="1"/>
  <c r="ER40" i="1"/>
  <c r="ES30" i="1"/>
  <c r="ES35" i="1" s="1"/>
  <c r="AR30" i="1"/>
  <c r="AR44" i="1" s="1"/>
  <c r="AQ45" i="1"/>
  <c r="AQ43" i="1"/>
  <c r="AQ41" i="1"/>
  <c r="AQ42" i="1"/>
  <c r="ER197" i="1"/>
  <c r="AQ197" i="1" s="1"/>
  <c r="ER224" i="1"/>
  <c r="ER222" i="1"/>
  <c r="ER221" i="1"/>
  <c r="ER223" i="1"/>
  <c r="ER213" i="1"/>
  <c r="AQ213" i="1" s="1"/>
  <c r="ER212" i="1"/>
  <c r="AQ212" i="1" s="1"/>
  <c r="ER215" i="1"/>
  <c r="AQ215" i="1" s="1"/>
  <c r="ER214" i="1"/>
  <c r="AQ214" i="1" s="1"/>
  <c r="AQ224" i="1"/>
  <c r="AQ223" i="1"/>
  <c r="AQ221" i="1"/>
  <c r="AQ222" i="1"/>
  <c r="AQ207" i="1"/>
  <c r="AQ206" i="1"/>
  <c r="AQ205" i="1"/>
  <c r="ER207" i="1"/>
  <c r="ER206" i="1"/>
  <c r="ER205" i="1"/>
  <c r="ER204" i="1"/>
  <c r="ER201" i="1"/>
  <c r="AQ201" i="1" s="1"/>
  <c r="ER198" i="1"/>
  <c r="AQ198" i="1" s="1"/>
  <c r="ER195" i="1"/>
  <c r="AQ195" i="1" s="1"/>
  <c r="ER196" i="1"/>
  <c r="AQ196" i="1" s="1"/>
  <c r="ER129" i="1"/>
  <c r="AQ129" i="1" s="1"/>
  <c r="ER130" i="1"/>
  <c r="AQ130" i="1" s="1"/>
  <c r="ER128" i="1"/>
  <c r="AQ128" i="1" s="1"/>
  <c r="ER127" i="1"/>
  <c r="AQ127" i="1" s="1"/>
  <c r="ER79" i="1"/>
  <c r="AQ79" i="1" s="1"/>
  <c r="ER78" i="1"/>
  <c r="AQ78" i="1" s="1"/>
  <c r="ER77" i="1"/>
  <c r="AQ77" i="1" s="1"/>
  <c r="ER92" i="1"/>
  <c r="AQ92" i="1" s="1"/>
  <c r="ER91" i="1"/>
  <c r="AQ91" i="1" s="1"/>
  <c r="ER90" i="1"/>
  <c r="AQ90" i="1" s="1"/>
  <c r="ER76" i="1"/>
  <c r="AQ76" i="1" s="1"/>
  <c r="ER61" i="1"/>
  <c r="AQ61" i="1" s="1"/>
  <c r="AQ189" i="1"/>
  <c r="AQ190" i="1"/>
  <c r="AQ188" i="1"/>
  <c r="AQ187" i="1"/>
  <c r="AQ151" i="1"/>
  <c r="AQ150" i="1"/>
  <c r="AQ153" i="1"/>
  <c r="AQ152" i="1"/>
  <c r="ER188" i="1"/>
  <c r="ER189" i="1"/>
  <c r="ER190" i="1"/>
  <c r="ER178" i="1"/>
  <c r="AQ178" i="1" s="1"/>
  <c r="ER187" i="1"/>
  <c r="ER150" i="1"/>
  <c r="ER153" i="1"/>
  <c r="ER152" i="1"/>
  <c r="ER151" i="1"/>
  <c r="ER98" i="1"/>
  <c r="ER102" i="1"/>
  <c r="ER149" i="1"/>
  <c r="ER101" i="1"/>
  <c r="ER97" i="1"/>
  <c r="ER100" i="1"/>
  <c r="ER99" i="1"/>
  <c r="ER103" i="1"/>
  <c r="ER104" i="1"/>
  <c r="AQ98" i="1"/>
  <c r="AQ97" i="1"/>
  <c r="AQ100" i="1"/>
  <c r="AQ102" i="1"/>
  <c r="AQ99" i="1"/>
  <c r="AQ103" i="1"/>
  <c r="AQ104" i="1"/>
  <c r="AQ101" i="1"/>
  <c r="ER80" i="1"/>
  <c r="AQ80" i="1" s="1"/>
  <c r="ER158" i="1"/>
  <c r="AQ158" i="1" s="1"/>
  <c r="ER120" i="1"/>
  <c r="AQ120" i="1" s="1"/>
  <c r="ER67" i="1"/>
  <c r="AQ67" i="1" s="1"/>
  <c r="ER109" i="1"/>
  <c r="AQ109" i="1" s="1"/>
  <c r="ER162" i="1"/>
  <c r="AQ162" i="1" s="1"/>
  <c r="ER113" i="1"/>
  <c r="AQ113" i="1" s="1"/>
  <c r="ES56" i="1"/>
  <c r="ER64" i="1"/>
  <c r="AQ64" i="1" s="1"/>
  <c r="ER62" i="1"/>
  <c r="AQ62" i="1" s="1"/>
  <c r="ER58" i="1"/>
  <c r="AQ58" i="1" s="1"/>
  <c r="AR56" i="1"/>
  <c r="AR35" i="1" l="1"/>
  <c r="AQ147" i="1"/>
  <c r="AQ125" i="1"/>
  <c r="ES184" i="1"/>
  <c r="AR184" i="1" s="1"/>
  <c r="ES179" i="1"/>
  <c r="AR179" i="1" s="1"/>
  <c r="ES180" i="1"/>
  <c r="AR180" i="1" s="1"/>
  <c r="ES181" i="1"/>
  <c r="AR181" i="1" s="1"/>
  <c r="ES183" i="1"/>
  <c r="AR183" i="1" s="1"/>
  <c r="ES182" i="1"/>
  <c r="AR182" i="1" s="1"/>
  <c r="ES163" i="1"/>
  <c r="AR163" i="1" s="1"/>
  <c r="ES176" i="1"/>
  <c r="AR176" i="1" s="1"/>
  <c r="ES177" i="1"/>
  <c r="AR177" i="1" s="1"/>
  <c r="ES174" i="1"/>
  <c r="AR174" i="1" s="1"/>
  <c r="ES175" i="1"/>
  <c r="AR175" i="1" s="1"/>
  <c r="ES161" i="1"/>
  <c r="AR161" i="1" s="1"/>
  <c r="ES171" i="1"/>
  <c r="AR171" i="1" s="1"/>
  <c r="ES168" i="1"/>
  <c r="AR168" i="1" s="1"/>
  <c r="ES166" i="1"/>
  <c r="AR166" i="1" s="1"/>
  <c r="ES167" i="1"/>
  <c r="AR167" i="1" s="1"/>
  <c r="ES165" i="1"/>
  <c r="AR165" i="1" s="1"/>
  <c r="ES170" i="1"/>
  <c r="AR170" i="1" s="1"/>
  <c r="ES169" i="1"/>
  <c r="AR169" i="1" s="1"/>
  <c r="ES164" i="1"/>
  <c r="AR164" i="1" s="1"/>
  <c r="ES137" i="1"/>
  <c r="AR137" i="1" s="1"/>
  <c r="ES136" i="1"/>
  <c r="AR136" i="1" s="1"/>
  <c r="ES146" i="1"/>
  <c r="AR146" i="1" s="1"/>
  <c r="ES142" i="1"/>
  <c r="AR142" i="1" s="1"/>
  <c r="ES143" i="1"/>
  <c r="AR143" i="1" s="1"/>
  <c r="ES139" i="1"/>
  <c r="AR139" i="1" s="1"/>
  <c r="ES144" i="1"/>
  <c r="AR144" i="1" s="1"/>
  <c r="ES145" i="1"/>
  <c r="AR145" i="1" s="1"/>
  <c r="ES140" i="1"/>
  <c r="AR140" i="1" s="1"/>
  <c r="ES141" i="1"/>
  <c r="AR141" i="1" s="1"/>
  <c r="ES131" i="1"/>
  <c r="AR131" i="1" s="1"/>
  <c r="ES133" i="1"/>
  <c r="AR133" i="1" s="1"/>
  <c r="ES132" i="1"/>
  <c r="AR132" i="1" s="1"/>
  <c r="ES135" i="1"/>
  <c r="AR135" i="1" s="1"/>
  <c r="ES138" i="1"/>
  <c r="AR138" i="1" s="1"/>
  <c r="ES134" i="1"/>
  <c r="AR134" i="1" s="1"/>
  <c r="ES123" i="1"/>
  <c r="AR123" i="1" s="1"/>
  <c r="ES124" i="1"/>
  <c r="AR124" i="1" s="1"/>
  <c r="ES115" i="1"/>
  <c r="AR115" i="1" s="1"/>
  <c r="ES121" i="1"/>
  <c r="AR121" i="1" s="1"/>
  <c r="ES122" i="1"/>
  <c r="AR122" i="1" s="1"/>
  <c r="ES118" i="1"/>
  <c r="AR118" i="1" s="1"/>
  <c r="ES119" i="1"/>
  <c r="AR119" i="1" s="1"/>
  <c r="ES114" i="1"/>
  <c r="AR114" i="1" s="1"/>
  <c r="ES116" i="1"/>
  <c r="AR116" i="1" s="1"/>
  <c r="ES117" i="1"/>
  <c r="AR117" i="1" s="1"/>
  <c r="ES112" i="1"/>
  <c r="AR112" i="1" s="1"/>
  <c r="ES94" i="1"/>
  <c r="AR94" i="1" s="1"/>
  <c r="ES88" i="1"/>
  <c r="AR88" i="1" s="1"/>
  <c r="ES87" i="1"/>
  <c r="AR87" i="1" s="1"/>
  <c r="ES89" i="1"/>
  <c r="AR89" i="1" s="1"/>
  <c r="ES86" i="1"/>
  <c r="AR86" i="1" s="1"/>
  <c r="ES81" i="1"/>
  <c r="AR81" i="1" s="1"/>
  <c r="ES84" i="1"/>
  <c r="AR84" i="1" s="1"/>
  <c r="ES85" i="1"/>
  <c r="AR85" i="1" s="1"/>
  <c r="ES82" i="1"/>
  <c r="AR82" i="1" s="1"/>
  <c r="ES83" i="1"/>
  <c r="AR83" i="1" s="1"/>
  <c r="ES66" i="1"/>
  <c r="AR66" i="1" s="1"/>
  <c r="ES73" i="1"/>
  <c r="AR73" i="1" s="1"/>
  <c r="ES69" i="1"/>
  <c r="AR69" i="1" s="1"/>
  <c r="ES71" i="1"/>
  <c r="AR71" i="1" s="1"/>
  <c r="ES72" i="1"/>
  <c r="AR72" i="1" s="1"/>
  <c r="ES70" i="1"/>
  <c r="AR70" i="1" s="1"/>
  <c r="ES68" i="1"/>
  <c r="AR68" i="1" s="1"/>
  <c r="ES65" i="1"/>
  <c r="AR65" i="1" s="1"/>
  <c r="ES63" i="1"/>
  <c r="AR63" i="1" s="1"/>
  <c r="ES44" i="1"/>
  <c r="ES31" i="1"/>
  <c r="ES32" i="1"/>
  <c r="AR32" i="1" s="1"/>
  <c r="AR233" i="1"/>
  <c r="AR232" i="1"/>
  <c r="ES232" i="1"/>
  <c r="ES233" i="1"/>
  <c r="ES93" i="1"/>
  <c r="AR93" i="1" s="1"/>
  <c r="ES229" i="1"/>
  <c r="ES235" i="1"/>
  <c r="AR236" i="1"/>
  <c r="AR235" i="1"/>
  <c r="AR229" i="1"/>
  <c r="ES60" i="1"/>
  <c r="AR60" i="1" s="1"/>
  <c r="ES159" i="1"/>
  <c r="AR159" i="1" s="1"/>
  <c r="ES160" i="1"/>
  <c r="AR160" i="1" s="1"/>
  <c r="ES59" i="1"/>
  <c r="AR59" i="1" s="1"/>
  <c r="ES111" i="1"/>
  <c r="AR111" i="1" s="1"/>
  <c r="ES110" i="1"/>
  <c r="AR110" i="1" s="1"/>
  <c r="ES236" i="1"/>
  <c r="ES234" i="1"/>
  <c r="AR234" i="1"/>
  <c r="AR230" i="1"/>
  <c r="AR231" i="1"/>
  <c r="ES218" i="1"/>
  <c r="AR218" i="1" s="1"/>
  <c r="ES230" i="1"/>
  <c r="ES231" i="1"/>
  <c r="ES43" i="1"/>
  <c r="ES41" i="1"/>
  <c r="ES38" i="1"/>
  <c r="ES46" i="1"/>
  <c r="ES42" i="1"/>
  <c r="ES39" i="1"/>
  <c r="ES45" i="1"/>
  <c r="ET30" i="1"/>
  <c r="ET35" i="1" s="1"/>
  <c r="ES40" i="1"/>
  <c r="AR45" i="1"/>
  <c r="AS30" i="1"/>
  <c r="AS44" i="1" s="1"/>
  <c r="AR42" i="1"/>
  <c r="AR43" i="1"/>
  <c r="AR41" i="1"/>
  <c r="AR222" i="1"/>
  <c r="AR221" i="1"/>
  <c r="AR223" i="1"/>
  <c r="AR224" i="1"/>
  <c r="ES197" i="1"/>
  <c r="AR197" i="1" s="1"/>
  <c r="ES223" i="1"/>
  <c r="ES222" i="1"/>
  <c r="ES215" i="1"/>
  <c r="AR215" i="1" s="1"/>
  <c r="ES224" i="1"/>
  <c r="ES214" i="1"/>
  <c r="AR214" i="1" s="1"/>
  <c r="ES213" i="1"/>
  <c r="AR213" i="1" s="1"/>
  <c r="ES212" i="1"/>
  <c r="AR212" i="1" s="1"/>
  <c r="ES221" i="1"/>
  <c r="ES205" i="1"/>
  <c r="ES207" i="1"/>
  <c r="ES206" i="1"/>
  <c r="ES204" i="1"/>
  <c r="ES201" i="1"/>
  <c r="AR201" i="1" s="1"/>
  <c r="ES198" i="1"/>
  <c r="AR198" i="1" s="1"/>
  <c r="ES195" i="1"/>
  <c r="AR195" i="1" s="1"/>
  <c r="ES196" i="1"/>
  <c r="AR196" i="1" s="1"/>
  <c r="ES130" i="1"/>
  <c r="AR130" i="1" s="1"/>
  <c r="ES128" i="1"/>
  <c r="AR128" i="1" s="1"/>
  <c r="ES127" i="1"/>
  <c r="AR127" i="1" s="1"/>
  <c r="ES129" i="1"/>
  <c r="AR129" i="1" s="1"/>
  <c r="AR207" i="1"/>
  <c r="AR206" i="1"/>
  <c r="AR205" i="1"/>
  <c r="ES78" i="1"/>
  <c r="AR78" i="1" s="1"/>
  <c r="ES79" i="1"/>
  <c r="AR79" i="1" s="1"/>
  <c r="ES76" i="1"/>
  <c r="AR76" i="1" s="1"/>
  <c r="ES77" i="1"/>
  <c r="AR77" i="1" s="1"/>
  <c r="ES61" i="1"/>
  <c r="AR61" i="1" s="1"/>
  <c r="ES92" i="1"/>
  <c r="AR92" i="1" s="1"/>
  <c r="ES90" i="1"/>
  <c r="AR90" i="1" s="1"/>
  <c r="ES91" i="1"/>
  <c r="AR91" i="1" s="1"/>
  <c r="ES190" i="1"/>
  <c r="ES188" i="1"/>
  <c r="ES189" i="1"/>
  <c r="ES178" i="1"/>
  <c r="AR178" i="1" s="1"/>
  <c r="ES187" i="1"/>
  <c r="AR190" i="1"/>
  <c r="AR188" i="1"/>
  <c r="AR187" i="1"/>
  <c r="AR150" i="1"/>
  <c r="AR151" i="1"/>
  <c r="AR189" i="1"/>
  <c r="AR152" i="1"/>
  <c r="AR153" i="1"/>
  <c r="ES153" i="1"/>
  <c r="ES152" i="1"/>
  <c r="ES150" i="1"/>
  <c r="ES97" i="1"/>
  <c r="ES101" i="1"/>
  <c r="ES151" i="1"/>
  <c r="ES98" i="1"/>
  <c r="ES100" i="1"/>
  <c r="ES103" i="1"/>
  <c r="ES99" i="1"/>
  <c r="ES102" i="1"/>
  <c r="ES104" i="1"/>
  <c r="ES149" i="1"/>
  <c r="AR99" i="1"/>
  <c r="AR98" i="1"/>
  <c r="AR97" i="1"/>
  <c r="AR103" i="1"/>
  <c r="AR101" i="1"/>
  <c r="AR102" i="1"/>
  <c r="AR104" i="1"/>
  <c r="AR100" i="1"/>
  <c r="ES80" i="1"/>
  <c r="AR80" i="1" s="1"/>
  <c r="ES158" i="1"/>
  <c r="AR158" i="1" s="1"/>
  <c r="ES120" i="1"/>
  <c r="AR120" i="1" s="1"/>
  <c r="ES67" i="1"/>
  <c r="AR67" i="1" s="1"/>
  <c r="ES109" i="1"/>
  <c r="AR109" i="1" s="1"/>
  <c r="ES162" i="1"/>
  <c r="AR162" i="1" s="1"/>
  <c r="ES113" i="1"/>
  <c r="AR113" i="1" s="1"/>
  <c r="ES58" i="1"/>
  <c r="AR58" i="1" s="1"/>
  <c r="ES64" i="1"/>
  <c r="AR64" i="1" s="1"/>
  <c r="ET56" i="1"/>
  <c r="ES62" i="1"/>
  <c r="AR62" i="1" s="1"/>
  <c r="AS56" i="1"/>
  <c r="AS35" i="1" l="1"/>
  <c r="AR125" i="1"/>
  <c r="AR147" i="1"/>
  <c r="ET184" i="1"/>
  <c r="AS184" i="1" s="1"/>
  <c r="ET182" i="1"/>
  <c r="AS182" i="1" s="1"/>
  <c r="ET183" i="1"/>
  <c r="AS183" i="1" s="1"/>
  <c r="ET181" i="1"/>
  <c r="AS181" i="1" s="1"/>
  <c r="ET180" i="1"/>
  <c r="AS180" i="1" s="1"/>
  <c r="ET179" i="1"/>
  <c r="AS179" i="1" s="1"/>
  <c r="ET163" i="1"/>
  <c r="AS163" i="1" s="1"/>
  <c r="ET176" i="1"/>
  <c r="AS176" i="1" s="1"/>
  <c r="ET177" i="1"/>
  <c r="AS177" i="1" s="1"/>
  <c r="ET175" i="1"/>
  <c r="AS175" i="1" s="1"/>
  <c r="ET174" i="1"/>
  <c r="AS174" i="1" s="1"/>
  <c r="ET161" i="1"/>
  <c r="AS161" i="1" s="1"/>
  <c r="ET170" i="1"/>
  <c r="AS170" i="1" s="1"/>
  <c r="ET171" i="1"/>
  <c r="AS171" i="1" s="1"/>
  <c r="ET169" i="1"/>
  <c r="AS169" i="1" s="1"/>
  <c r="ET167" i="1"/>
  <c r="AS167" i="1" s="1"/>
  <c r="ET165" i="1"/>
  <c r="AS165" i="1" s="1"/>
  <c r="ET168" i="1"/>
  <c r="AS168" i="1" s="1"/>
  <c r="ET166" i="1"/>
  <c r="AS166" i="1" s="1"/>
  <c r="ET164" i="1"/>
  <c r="AS164" i="1" s="1"/>
  <c r="ET137" i="1"/>
  <c r="AS137" i="1" s="1"/>
  <c r="ET136" i="1"/>
  <c r="AS136" i="1" s="1"/>
  <c r="ET146" i="1"/>
  <c r="AS146" i="1" s="1"/>
  <c r="ET145" i="1"/>
  <c r="AS145" i="1" s="1"/>
  <c r="ET144" i="1"/>
  <c r="AS144" i="1" s="1"/>
  <c r="ET143" i="1"/>
  <c r="AS143" i="1" s="1"/>
  <c r="ET141" i="1"/>
  <c r="AS141" i="1" s="1"/>
  <c r="ET142" i="1"/>
  <c r="AS142" i="1" s="1"/>
  <c r="ET140" i="1"/>
  <c r="AS140" i="1" s="1"/>
  <c r="ET139" i="1"/>
  <c r="AS139" i="1" s="1"/>
  <c r="ET131" i="1"/>
  <c r="AS131" i="1" s="1"/>
  <c r="ET132" i="1"/>
  <c r="AS132" i="1" s="1"/>
  <c r="ET133" i="1"/>
  <c r="AS133" i="1" s="1"/>
  <c r="ET135" i="1"/>
  <c r="AS135" i="1" s="1"/>
  <c r="ET138" i="1"/>
  <c r="AS138" i="1" s="1"/>
  <c r="ET134" i="1"/>
  <c r="AS134" i="1" s="1"/>
  <c r="ET123" i="1"/>
  <c r="AS123" i="1" s="1"/>
  <c r="ET124" i="1"/>
  <c r="AS124" i="1" s="1"/>
  <c r="ET115" i="1"/>
  <c r="AS115" i="1" s="1"/>
  <c r="ET122" i="1"/>
  <c r="AS122" i="1" s="1"/>
  <c r="ET121" i="1"/>
  <c r="AS121" i="1" s="1"/>
  <c r="ET119" i="1"/>
  <c r="AS119" i="1" s="1"/>
  <c r="ET118" i="1"/>
  <c r="AS118" i="1" s="1"/>
  <c r="ET117" i="1"/>
  <c r="AS117" i="1" s="1"/>
  <c r="ET116" i="1"/>
  <c r="AS116" i="1" s="1"/>
  <c r="ET114" i="1"/>
  <c r="AS114" i="1" s="1"/>
  <c r="ET112" i="1"/>
  <c r="AS112" i="1" s="1"/>
  <c r="ET94" i="1"/>
  <c r="AS94" i="1" s="1"/>
  <c r="ET89" i="1"/>
  <c r="AS89" i="1" s="1"/>
  <c r="ET87" i="1"/>
  <c r="AS87" i="1" s="1"/>
  <c r="ET86" i="1"/>
  <c r="AS86" i="1" s="1"/>
  <c r="ET88" i="1"/>
  <c r="AS88" i="1" s="1"/>
  <c r="ET81" i="1"/>
  <c r="AS81" i="1" s="1"/>
  <c r="ET84" i="1"/>
  <c r="AS84" i="1" s="1"/>
  <c r="ET85" i="1"/>
  <c r="AS85" i="1" s="1"/>
  <c r="ET83" i="1"/>
  <c r="AS83" i="1" s="1"/>
  <c r="ET82" i="1"/>
  <c r="AS82" i="1" s="1"/>
  <c r="ET66" i="1"/>
  <c r="AS66" i="1" s="1"/>
  <c r="ET73" i="1"/>
  <c r="AS73" i="1" s="1"/>
  <c r="ET72" i="1"/>
  <c r="AS72" i="1" s="1"/>
  <c r="ET71" i="1"/>
  <c r="AS71" i="1" s="1"/>
  <c r="ET70" i="1"/>
  <c r="AS70" i="1" s="1"/>
  <c r="ET69" i="1"/>
  <c r="AS69" i="1" s="1"/>
  <c r="ET68" i="1"/>
  <c r="AS68" i="1" s="1"/>
  <c r="ET65" i="1"/>
  <c r="AS65" i="1" s="1"/>
  <c r="ET63" i="1"/>
  <c r="AS63" i="1" s="1"/>
  <c r="ET44" i="1"/>
  <c r="ET32" i="1"/>
  <c r="AS32" i="1" s="1"/>
  <c r="ET31" i="1"/>
  <c r="AS233" i="1"/>
  <c r="AS232" i="1"/>
  <c r="ET232" i="1"/>
  <c r="ET233" i="1"/>
  <c r="ET93" i="1"/>
  <c r="AS93" i="1" s="1"/>
  <c r="AS236" i="1"/>
  <c r="AS235" i="1"/>
  <c r="AS229" i="1"/>
  <c r="ET235" i="1"/>
  <c r="ET160" i="1"/>
  <c r="AS160" i="1" s="1"/>
  <c r="ET60" i="1"/>
  <c r="AS60" i="1" s="1"/>
  <c r="ET159" i="1"/>
  <c r="AS159" i="1" s="1"/>
  <c r="ET59" i="1"/>
  <c r="AS59" i="1" s="1"/>
  <c r="ET229" i="1"/>
  <c r="ET111" i="1"/>
  <c r="AS111" i="1" s="1"/>
  <c r="ET110" i="1"/>
  <c r="AS110" i="1" s="1"/>
  <c r="ET236" i="1"/>
  <c r="ET218" i="1"/>
  <c r="AS218" i="1" s="1"/>
  <c r="ET231" i="1"/>
  <c r="ET230" i="1"/>
  <c r="AS230" i="1"/>
  <c r="AS231" i="1"/>
  <c r="AS234" i="1"/>
  <c r="ET234" i="1"/>
  <c r="ET39" i="1"/>
  <c r="ET38" i="1"/>
  <c r="ET41" i="1"/>
  <c r="ET42" i="1"/>
  <c r="EU30" i="1"/>
  <c r="EU35" i="1" s="1"/>
  <c r="ET40" i="1"/>
  <c r="ET45" i="1"/>
  <c r="ET43" i="1"/>
  <c r="ET46" i="1"/>
  <c r="AS45" i="1"/>
  <c r="AS43" i="1"/>
  <c r="AT30" i="1"/>
  <c r="AT44" i="1" s="1"/>
  <c r="AS41" i="1"/>
  <c r="AS42" i="1"/>
  <c r="AS224" i="1"/>
  <c r="AS223" i="1"/>
  <c r="AS221" i="1"/>
  <c r="AS222" i="1"/>
  <c r="ET197" i="1"/>
  <c r="AS197" i="1" s="1"/>
  <c r="ET224" i="1"/>
  <c r="ET223" i="1"/>
  <c r="ET222" i="1"/>
  <c r="ET221" i="1"/>
  <c r="ET214" i="1"/>
  <c r="AS214" i="1" s="1"/>
  <c r="ET212" i="1"/>
  <c r="AS212" i="1" s="1"/>
  <c r="ET215" i="1"/>
  <c r="AS215" i="1" s="1"/>
  <c r="ET213" i="1"/>
  <c r="AS213" i="1" s="1"/>
  <c r="AS207" i="1"/>
  <c r="AS206" i="1"/>
  <c r="AS205" i="1"/>
  <c r="ET207" i="1"/>
  <c r="ET206" i="1"/>
  <c r="ET205" i="1"/>
  <c r="ET204" i="1"/>
  <c r="ET201" i="1"/>
  <c r="AS201" i="1" s="1"/>
  <c r="ET196" i="1"/>
  <c r="AS196" i="1" s="1"/>
  <c r="ET195" i="1"/>
  <c r="AS195" i="1" s="1"/>
  <c r="ET198" i="1"/>
  <c r="AS198" i="1" s="1"/>
  <c r="ET128" i="1"/>
  <c r="AS128" i="1" s="1"/>
  <c r="ET127" i="1"/>
  <c r="AS127" i="1" s="1"/>
  <c r="ET129" i="1"/>
  <c r="AS129" i="1" s="1"/>
  <c r="ET130" i="1"/>
  <c r="AS130" i="1" s="1"/>
  <c r="ET78" i="1"/>
  <c r="AS78" i="1" s="1"/>
  <c r="ET79" i="1"/>
  <c r="AS79" i="1" s="1"/>
  <c r="ET61" i="1"/>
  <c r="AS61" i="1" s="1"/>
  <c r="ET77" i="1"/>
  <c r="AS77" i="1" s="1"/>
  <c r="ET76" i="1"/>
  <c r="AS76" i="1" s="1"/>
  <c r="ET92" i="1"/>
  <c r="AS92" i="1" s="1"/>
  <c r="ET90" i="1"/>
  <c r="AS90" i="1" s="1"/>
  <c r="ET91" i="1"/>
  <c r="AS91" i="1" s="1"/>
  <c r="AS189" i="1"/>
  <c r="AS188" i="1"/>
  <c r="AS187" i="1"/>
  <c r="AS190" i="1"/>
  <c r="AS152" i="1"/>
  <c r="AS153" i="1"/>
  <c r="AS150" i="1"/>
  <c r="AS151" i="1"/>
  <c r="ET190" i="1"/>
  <c r="ET188" i="1"/>
  <c r="ET178" i="1"/>
  <c r="AS178" i="1" s="1"/>
  <c r="ET189" i="1"/>
  <c r="ET187" i="1"/>
  <c r="ET151" i="1"/>
  <c r="ET153" i="1"/>
  <c r="ET152" i="1"/>
  <c r="ET150" i="1"/>
  <c r="ET149" i="1"/>
  <c r="ET100" i="1"/>
  <c r="ET99" i="1"/>
  <c r="ET102" i="1"/>
  <c r="ET98" i="1"/>
  <c r="ET101" i="1"/>
  <c r="ET97" i="1"/>
  <c r="ET104" i="1"/>
  <c r="ET103" i="1"/>
  <c r="AS100" i="1"/>
  <c r="AS99" i="1"/>
  <c r="AS104" i="1"/>
  <c r="AS97" i="1"/>
  <c r="AS101" i="1"/>
  <c r="AS102" i="1"/>
  <c r="AS103" i="1"/>
  <c r="AS98" i="1"/>
  <c r="ET80" i="1"/>
  <c r="AS80" i="1" s="1"/>
  <c r="ET158" i="1"/>
  <c r="AS158" i="1" s="1"/>
  <c r="ET120" i="1"/>
  <c r="AS120" i="1" s="1"/>
  <c r="ET67" i="1"/>
  <c r="AS67" i="1" s="1"/>
  <c r="ET109" i="1"/>
  <c r="AS109" i="1" s="1"/>
  <c r="ET162" i="1"/>
  <c r="AS162" i="1" s="1"/>
  <c r="ET113" i="1"/>
  <c r="AS113" i="1" s="1"/>
  <c r="EU56" i="1"/>
  <c r="ET62" i="1"/>
  <c r="AS62" i="1" s="1"/>
  <c r="ET58" i="1"/>
  <c r="AS58" i="1" s="1"/>
  <c r="ET64" i="1"/>
  <c r="AS64" i="1" s="1"/>
  <c r="AT56" i="1"/>
  <c r="AT35" i="1" l="1"/>
  <c r="AS147" i="1"/>
  <c r="AS125" i="1"/>
  <c r="EU184" i="1"/>
  <c r="AT184" i="1" s="1"/>
  <c r="EU180" i="1"/>
  <c r="AT180" i="1" s="1"/>
  <c r="EU183" i="1"/>
  <c r="AT183" i="1" s="1"/>
  <c r="EU182" i="1"/>
  <c r="AT182" i="1" s="1"/>
  <c r="EU179" i="1"/>
  <c r="AT179" i="1" s="1"/>
  <c r="EU181" i="1"/>
  <c r="AT181" i="1" s="1"/>
  <c r="EU163" i="1"/>
  <c r="AT163" i="1" s="1"/>
  <c r="EU177" i="1"/>
  <c r="AT177" i="1" s="1"/>
  <c r="EU176" i="1"/>
  <c r="AT176" i="1" s="1"/>
  <c r="EU175" i="1"/>
  <c r="AT175" i="1" s="1"/>
  <c r="EU174" i="1"/>
  <c r="AT174" i="1" s="1"/>
  <c r="EU161" i="1"/>
  <c r="AT161" i="1" s="1"/>
  <c r="EU171" i="1"/>
  <c r="AT171" i="1" s="1"/>
  <c r="EU169" i="1"/>
  <c r="AT169" i="1" s="1"/>
  <c r="EU168" i="1"/>
  <c r="AT168" i="1" s="1"/>
  <c r="EU167" i="1"/>
  <c r="AT167" i="1" s="1"/>
  <c r="EU170" i="1"/>
  <c r="AT170" i="1" s="1"/>
  <c r="EU165" i="1"/>
  <c r="AT165" i="1" s="1"/>
  <c r="EU166" i="1"/>
  <c r="AT166" i="1" s="1"/>
  <c r="EU164" i="1"/>
  <c r="AT164" i="1" s="1"/>
  <c r="EU137" i="1"/>
  <c r="AT137" i="1" s="1"/>
  <c r="EU136" i="1"/>
  <c r="AT136" i="1" s="1"/>
  <c r="EU146" i="1"/>
  <c r="AT146" i="1" s="1"/>
  <c r="EU145" i="1"/>
  <c r="AT145" i="1" s="1"/>
  <c r="EU144" i="1"/>
  <c r="AT144" i="1" s="1"/>
  <c r="EU143" i="1"/>
  <c r="AT143" i="1" s="1"/>
  <c r="EU141" i="1"/>
  <c r="AT141" i="1" s="1"/>
  <c r="EU140" i="1"/>
  <c r="AT140" i="1" s="1"/>
  <c r="EU142" i="1"/>
  <c r="AT142" i="1" s="1"/>
  <c r="EU139" i="1"/>
  <c r="AT139" i="1" s="1"/>
  <c r="EU131" i="1"/>
  <c r="AT131" i="1" s="1"/>
  <c r="EU132" i="1"/>
  <c r="AT132" i="1" s="1"/>
  <c r="EU133" i="1"/>
  <c r="AT133" i="1" s="1"/>
  <c r="EU138" i="1"/>
  <c r="AT138" i="1" s="1"/>
  <c r="EU134" i="1"/>
  <c r="AT134" i="1" s="1"/>
  <c r="EU135" i="1"/>
  <c r="AT135" i="1" s="1"/>
  <c r="EU124" i="1"/>
  <c r="AT124" i="1" s="1"/>
  <c r="EU123" i="1"/>
  <c r="AT123" i="1" s="1"/>
  <c r="EU115" i="1"/>
  <c r="AT115" i="1" s="1"/>
  <c r="EU122" i="1"/>
  <c r="AT122" i="1" s="1"/>
  <c r="EU121" i="1"/>
  <c r="AT121" i="1" s="1"/>
  <c r="EU119" i="1"/>
  <c r="AT119" i="1" s="1"/>
  <c r="EU118" i="1"/>
  <c r="AT118" i="1" s="1"/>
  <c r="EU117" i="1"/>
  <c r="AT117" i="1" s="1"/>
  <c r="EU116" i="1"/>
  <c r="AT116" i="1" s="1"/>
  <c r="EU114" i="1"/>
  <c r="AT114" i="1" s="1"/>
  <c r="EU112" i="1"/>
  <c r="AT112" i="1" s="1"/>
  <c r="EU94" i="1"/>
  <c r="AT94" i="1" s="1"/>
  <c r="EU89" i="1"/>
  <c r="AT89" i="1" s="1"/>
  <c r="EU86" i="1"/>
  <c r="AT86" i="1" s="1"/>
  <c r="EU88" i="1"/>
  <c r="AT88" i="1" s="1"/>
  <c r="EU87" i="1"/>
  <c r="AT87" i="1" s="1"/>
  <c r="EU81" i="1"/>
  <c r="AT81" i="1" s="1"/>
  <c r="EU85" i="1"/>
  <c r="AT85" i="1" s="1"/>
  <c r="EU83" i="1"/>
  <c r="AT83" i="1" s="1"/>
  <c r="EU84" i="1"/>
  <c r="AT84" i="1" s="1"/>
  <c r="EU82" i="1"/>
  <c r="AT82" i="1" s="1"/>
  <c r="EU66" i="1"/>
  <c r="AT66" i="1" s="1"/>
  <c r="EU72" i="1"/>
  <c r="AT72" i="1" s="1"/>
  <c r="EU73" i="1"/>
  <c r="AT73" i="1" s="1"/>
  <c r="EU71" i="1"/>
  <c r="AT71" i="1" s="1"/>
  <c r="EU70" i="1"/>
  <c r="AT70" i="1" s="1"/>
  <c r="EU68" i="1"/>
  <c r="AT68" i="1" s="1"/>
  <c r="EU69" i="1"/>
  <c r="AT69" i="1" s="1"/>
  <c r="EU65" i="1"/>
  <c r="AT65" i="1" s="1"/>
  <c r="EU63" i="1"/>
  <c r="AT63" i="1" s="1"/>
  <c r="EU44" i="1"/>
  <c r="EU32" i="1"/>
  <c r="AT32" i="1" s="1"/>
  <c r="EU31" i="1"/>
  <c r="AT233" i="1"/>
  <c r="AT232" i="1"/>
  <c r="EU233" i="1"/>
  <c r="EU232" i="1"/>
  <c r="EU93" i="1"/>
  <c r="AT93" i="1" s="1"/>
  <c r="EU235" i="1"/>
  <c r="AT236" i="1"/>
  <c r="AT229" i="1"/>
  <c r="AT235" i="1"/>
  <c r="EU60" i="1"/>
  <c r="AT60" i="1" s="1"/>
  <c r="EU160" i="1"/>
  <c r="AT160" i="1" s="1"/>
  <c r="EU159" i="1"/>
  <c r="AT159" i="1" s="1"/>
  <c r="EU59" i="1"/>
  <c r="AT59" i="1" s="1"/>
  <c r="EU229" i="1"/>
  <c r="EU236" i="1"/>
  <c r="EU111" i="1"/>
  <c r="AT111" i="1" s="1"/>
  <c r="EU110" i="1"/>
  <c r="AT110" i="1" s="1"/>
  <c r="EU218" i="1"/>
  <c r="AT218" i="1" s="1"/>
  <c r="EU234" i="1"/>
  <c r="AT234" i="1"/>
  <c r="AT231" i="1"/>
  <c r="AT230" i="1"/>
  <c r="EU230" i="1"/>
  <c r="EU231" i="1"/>
  <c r="EU39" i="1"/>
  <c r="EU45" i="1"/>
  <c r="EU40" i="1"/>
  <c r="EV30" i="1"/>
  <c r="EV35" i="1" s="1"/>
  <c r="EU43" i="1"/>
  <c r="EU38" i="1"/>
  <c r="EU46" i="1"/>
  <c r="EU42" i="1"/>
  <c r="EU41" i="1"/>
  <c r="AT45" i="1"/>
  <c r="AU30" i="1"/>
  <c r="AU44" i="1" s="1"/>
  <c r="AT42" i="1"/>
  <c r="AT41" i="1"/>
  <c r="AT43" i="1"/>
  <c r="AT224" i="1"/>
  <c r="AT223" i="1"/>
  <c r="AT222" i="1"/>
  <c r="AT221" i="1"/>
  <c r="EU197" i="1"/>
  <c r="AT197" i="1" s="1"/>
  <c r="EU222" i="1"/>
  <c r="EU223" i="1"/>
  <c r="EU224" i="1"/>
  <c r="EU221" i="1"/>
  <c r="EU215" i="1"/>
  <c r="AT215" i="1" s="1"/>
  <c r="EU214" i="1"/>
  <c r="AT214" i="1" s="1"/>
  <c r="EU213" i="1"/>
  <c r="AT213" i="1" s="1"/>
  <c r="EU212" i="1"/>
  <c r="AT212" i="1" s="1"/>
  <c r="AT207" i="1"/>
  <c r="AT206" i="1"/>
  <c r="AT205" i="1"/>
  <c r="EU207" i="1"/>
  <c r="EU206" i="1"/>
  <c r="EU205" i="1"/>
  <c r="EU204" i="1"/>
  <c r="EU201" i="1"/>
  <c r="AT201" i="1" s="1"/>
  <c r="EU196" i="1"/>
  <c r="AT196" i="1" s="1"/>
  <c r="EU198" i="1"/>
  <c r="AT198" i="1" s="1"/>
  <c r="EU195" i="1"/>
  <c r="AT195" i="1" s="1"/>
  <c r="EU129" i="1"/>
  <c r="AT129" i="1" s="1"/>
  <c r="EU130" i="1"/>
  <c r="AT130" i="1" s="1"/>
  <c r="EU128" i="1"/>
  <c r="AT128" i="1" s="1"/>
  <c r="EU127" i="1"/>
  <c r="AT127" i="1" s="1"/>
  <c r="EU79" i="1"/>
  <c r="AT79" i="1" s="1"/>
  <c r="EU77" i="1"/>
  <c r="AT77" i="1" s="1"/>
  <c r="EU76" i="1"/>
  <c r="AT76" i="1" s="1"/>
  <c r="EU78" i="1"/>
  <c r="AT78" i="1" s="1"/>
  <c r="EU61" i="1"/>
  <c r="AT61" i="1" s="1"/>
  <c r="EU92" i="1"/>
  <c r="AT92" i="1" s="1"/>
  <c r="EU91" i="1"/>
  <c r="AT91" i="1" s="1"/>
  <c r="EU90" i="1"/>
  <c r="AT90" i="1" s="1"/>
  <c r="AT190" i="1"/>
  <c r="AT189" i="1"/>
  <c r="AT187" i="1"/>
  <c r="AT188" i="1"/>
  <c r="AT150" i="1"/>
  <c r="AT151" i="1"/>
  <c r="AT152" i="1"/>
  <c r="AT153" i="1"/>
  <c r="EU188" i="1"/>
  <c r="EU187" i="1"/>
  <c r="EU178" i="1"/>
  <c r="AT178" i="1" s="1"/>
  <c r="EU189" i="1"/>
  <c r="EU190" i="1"/>
  <c r="EU152" i="1"/>
  <c r="EU151" i="1"/>
  <c r="EU99" i="1"/>
  <c r="EU103" i="1"/>
  <c r="EU150" i="1"/>
  <c r="EU153" i="1"/>
  <c r="EU149" i="1"/>
  <c r="EU98" i="1"/>
  <c r="EU101" i="1"/>
  <c r="EU97" i="1"/>
  <c r="EU100" i="1"/>
  <c r="EU102" i="1"/>
  <c r="EU104" i="1"/>
  <c r="AT97" i="1"/>
  <c r="AT100" i="1"/>
  <c r="AT99" i="1"/>
  <c r="AT101" i="1"/>
  <c r="AT103" i="1"/>
  <c r="AT102" i="1"/>
  <c r="AT104" i="1"/>
  <c r="AT98" i="1"/>
  <c r="EU80" i="1"/>
  <c r="AT80" i="1" s="1"/>
  <c r="EU158" i="1"/>
  <c r="AT158" i="1" s="1"/>
  <c r="EU120" i="1"/>
  <c r="AT120" i="1" s="1"/>
  <c r="EU67" i="1"/>
  <c r="AT67" i="1" s="1"/>
  <c r="EU109" i="1"/>
  <c r="AT109" i="1" s="1"/>
  <c r="EU162" i="1"/>
  <c r="AT162" i="1" s="1"/>
  <c r="EU113" i="1"/>
  <c r="AT113" i="1" s="1"/>
  <c r="EV56" i="1"/>
  <c r="EU64" i="1"/>
  <c r="AT64" i="1" s="1"/>
  <c r="EU62" i="1"/>
  <c r="AT62" i="1" s="1"/>
  <c r="EU58" i="1"/>
  <c r="AT58" i="1" s="1"/>
  <c r="AU56" i="1"/>
  <c r="AU35" i="1" l="1"/>
  <c r="AT125" i="1"/>
  <c r="AT147" i="1"/>
  <c r="EV183" i="1"/>
  <c r="AU183" i="1" s="1"/>
  <c r="EV181" i="1"/>
  <c r="AU181" i="1" s="1"/>
  <c r="EV182" i="1"/>
  <c r="AU182" i="1" s="1"/>
  <c r="EV179" i="1"/>
  <c r="AU179" i="1" s="1"/>
  <c r="EV184" i="1"/>
  <c r="AU184" i="1" s="1"/>
  <c r="EV180" i="1"/>
  <c r="AU180" i="1" s="1"/>
  <c r="EV163" i="1"/>
  <c r="AU163" i="1" s="1"/>
  <c r="EV177" i="1"/>
  <c r="AU177" i="1" s="1"/>
  <c r="EV176" i="1"/>
  <c r="AU176" i="1" s="1"/>
  <c r="EV175" i="1"/>
  <c r="AU175" i="1" s="1"/>
  <c r="EV174" i="1"/>
  <c r="AU174" i="1" s="1"/>
  <c r="EV161" i="1"/>
  <c r="AU161" i="1" s="1"/>
  <c r="EV171" i="1"/>
  <c r="AU171" i="1" s="1"/>
  <c r="EV170" i="1"/>
  <c r="AU170" i="1" s="1"/>
  <c r="EV168" i="1"/>
  <c r="AU168" i="1" s="1"/>
  <c r="EV169" i="1"/>
  <c r="AU169" i="1" s="1"/>
  <c r="EV167" i="1"/>
  <c r="AU167" i="1" s="1"/>
  <c r="EV166" i="1"/>
  <c r="AU166" i="1" s="1"/>
  <c r="EV165" i="1"/>
  <c r="AU165" i="1" s="1"/>
  <c r="EV164" i="1"/>
  <c r="AU164" i="1" s="1"/>
  <c r="EV137" i="1"/>
  <c r="AU137" i="1" s="1"/>
  <c r="EV136" i="1"/>
  <c r="AU136" i="1" s="1"/>
  <c r="EV146" i="1"/>
  <c r="AU146" i="1" s="1"/>
  <c r="EV145" i="1"/>
  <c r="AU145" i="1" s="1"/>
  <c r="EV144" i="1"/>
  <c r="AU144" i="1" s="1"/>
  <c r="EV143" i="1"/>
  <c r="AU143" i="1" s="1"/>
  <c r="EV142" i="1"/>
  <c r="AU142" i="1" s="1"/>
  <c r="EV139" i="1"/>
  <c r="AU139" i="1" s="1"/>
  <c r="EV141" i="1"/>
  <c r="AU141" i="1" s="1"/>
  <c r="EV140" i="1"/>
  <c r="AU140" i="1" s="1"/>
  <c r="EV131" i="1"/>
  <c r="AU131" i="1" s="1"/>
  <c r="EV132" i="1"/>
  <c r="AU132" i="1" s="1"/>
  <c r="EV133" i="1"/>
  <c r="AU133" i="1" s="1"/>
  <c r="EV138" i="1"/>
  <c r="AU138" i="1" s="1"/>
  <c r="EV135" i="1"/>
  <c r="AU135" i="1" s="1"/>
  <c r="EV134" i="1"/>
  <c r="AU134" i="1" s="1"/>
  <c r="EV124" i="1"/>
  <c r="AU124" i="1" s="1"/>
  <c r="EV123" i="1"/>
  <c r="AU123" i="1" s="1"/>
  <c r="EV115" i="1"/>
  <c r="AU115" i="1" s="1"/>
  <c r="EV121" i="1"/>
  <c r="AU121" i="1" s="1"/>
  <c r="EV122" i="1"/>
  <c r="AU122" i="1" s="1"/>
  <c r="EV118" i="1"/>
  <c r="AU118" i="1" s="1"/>
  <c r="EV119" i="1"/>
  <c r="AU119" i="1" s="1"/>
  <c r="EV116" i="1"/>
  <c r="AU116" i="1" s="1"/>
  <c r="EV117" i="1"/>
  <c r="AU117" i="1" s="1"/>
  <c r="EV114" i="1"/>
  <c r="AU114" i="1" s="1"/>
  <c r="EV112" i="1"/>
  <c r="AU112" i="1" s="1"/>
  <c r="EV94" i="1"/>
  <c r="AU94" i="1" s="1"/>
  <c r="EV89" i="1"/>
  <c r="AU89" i="1" s="1"/>
  <c r="EV88" i="1"/>
  <c r="AU88" i="1" s="1"/>
  <c r="EV87" i="1"/>
  <c r="AU87" i="1" s="1"/>
  <c r="EV86" i="1"/>
  <c r="AU86" i="1" s="1"/>
  <c r="EV81" i="1"/>
  <c r="AU81" i="1" s="1"/>
  <c r="EV85" i="1"/>
  <c r="AU85" i="1" s="1"/>
  <c r="EV84" i="1"/>
  <c r="AU84" i="1" s="1"/>
  <c r="EV83" i="1"/>
  <c r="AU83" i="1" s="1"/>
  <c r="EV82" i="1"/>
  <c r="AU82" i="1" s="1"/>
  <c r="EV66" i="1"/>
  <c r="AU66" i="1" s="1"/>
  <c r="EV72" i="1"/>
  <c r="AU72" i="1" s="1"/>
  <c r="EV71" i="1"/>
  <c r="AU71" i="1" s="1"/>
  <c r="EV70" i="1"/>
  <c r="AU70" i="1" s="1"/>
  <c r="EV69" i="1"/>
  <c r="AU69" i="1" s="1"/>
  <c r="EV68" i="1"/>
  <c r="AU68" i="1" s="1"/>
  <c r="EV73" i="1"/>
  <c r="AU73" i="1" s="1"/>
  <c r="EV65" i="1"/>
  <c r="AU65" i="1" s="1"/>
  <c r="EV63" i="1"/>
  <c r="AU63" i="1" s="1"/>
  <c r="EV44" i="1"/>
  <c r="EV32" i="1"/>
  <c r="AU32" i="1" s="1"/>
  <c r="EV31" i="1"/>
  <c r="AU233" i="1"/>
  <c r="AU232" i="1"/>
  <c r="EV232" i="1"/>
  <c r="EV233" i="1"/>
  <c r="EV93" i="1"/>
  <c r="AU93" i="1" s="1"/>
  <c r="AU236" i="1"/>
  <c r="AU235" i="1"/>
  <c r="AU229" i="1"/>
  <c r="EV60" i="1"/>
  <c r="AU60" i="1" s="1"/>
  <c r="EV160" i="1"/>
  <c r="AU160" i="1" s="1"/>
  <c r="EV159" i="1"/>
  <c r="AU159" i="1" s="1"/>
  <c r="EV59" i="1"/>
  <c r="AU59" i="1" s="1"/>
  <c r="EV229" i="1"/>
  <c r="EV235" i="1"/>
  <c r="EV111" i="1"/>
  <c r="AU111" i="1" s="1"/>
  <c r="EV110" i="1"/>
  <c r="AU110" i="1" s="1"/>
  <c r="EV236" i="1"/>
  <c r="EV231" i="1"/>
  <c r="AU234" i="1"/>
  <c r="AU231" i="1"/>
  <c r="AU230" i="1"/>
  <c r="EV230" i="1"/>
  <c r="EV218" i="1"/>
  <c r="AU218" i="1" s="1"/>
  <c r="EV234" i="1"/>
  <c r="EV43" i="1"/>
  <c r="EW30" i="1"/>
  <c r="EW35" i="1" s="1"/>
  <c r="EV42" i="1"/>
  <c r="EV38" i="1"/>
  <c r="EV40" i="1"/>
  <c r="EV46" i="1"/>
  <c r="EV41" i="1"/>
  <c r="EV39" i="1"/>
  <c r="EV45" i="1"/>
  <c r="AU45" i="1"/>
  <c r="AU41" i="1"/>
  <c r="AV30" i="1"/>
  <c r="AV44" i="1" s="1"/>
  <c r="AU43" i="1"/>
  <c r="AU42" i="1"/>
  <c r="AU224" i="1"/>
  <c r="AU223" i="1"/>
  <c r="AU221" i="1"/>
  <c r="AU222" i="1"/>
  <c r="EV197" i="1"/>
  <c r="AU197" i="1" s="1"/>
  <c r="EV223" i="1"/>
  <c r="EV222" i="1"/>
  <c r="EV221" i="1"/>
  <c r="EV224" i="1"/>
  <c r="EV213" i="1"/>
  <c r="AU213" i="1" s="1"/>
  <c r="EV212" i="1"/>
  <c r="AU212" i="1" s="1"/>
  <c r="EV214" i="1"/>
  <c r="AU214" i="1" s="1"/>
  <c r="EV215" i="1"/>
  <c r="AU215" i="1" s="1"/>
  <c r="EV207" i="1"/>
  <c r="EV206" i="1"/>
  <c r="EV205" i="1"/>
  <c r="EV204" i="1"/>
  <c r="EV201" i="1"/>
  <c r="AU201" i="1" s="1"/>
  <c r="EV196" i="1"/>
  <c r="AU196" i="1" s="1"/>
  <c r="EV198" i="1"/>
  <c r="AU198" i="1" s="1"/>
  <c r="EV195" i="1"/>
  <c r="AU195" i="1" s="1"/>
  <c r="EV129" i="1"/>
  <c r="AU129" i="1" s="1"/>
  <c r="EV130" i="1"/>
  <c r="AU130" i="1" s="1"/>
  <c r="EV128" i="1"/>
  <c r="AU128" i="1" s="1"/>
  <c r="EV127" i="1"/>
  <c r="AU127" i="1" s="1"/>
  <c r="AU207" i="1"/>
  <c r="AU206" i="1"/>
  <c r="AU205" i="1"/>
  <c r="EV79" i="1"/>
  <c r="AU79" i="1" s="1"/>
  <c r="EV78" i="1"/>
  <c r="AU78" i="1" s="1"/>
  <c r="EV77" i="1"/>
  <c r="AU77" i="1" s="1"/>
  <c r="EV76" i="1"/>
  <c r="AU76" i="1" s="1"/>
  <c r="EV61" i="1"/>
  <c r="AU61" i="1" s="1"/>
  <c r="EV92" i="1"/>
  <c r="AU92" i="1" s="1"/>
  <c r="EV91" i="1"/>
  <c r="AU91" i="1" s="1"/>
  <c r="EV90" i="1"/>
  <c r="AU90" i="1" s="1"/>
  <c r="EV187" i="1"/>
  <c r="EV189" i="1"/>
  <c r="EV188" i="1"/>
  <c r="AU189" i="1"/>
  <c r="AU188" i="1"/>
  <c r="AU190" i="1"/>
  <c r="AU150" i="1"/>
  <c r="AU187" i="1"/>
  <c r="AU153" i="1"/>
  <c r="AU151" i="1"/>
  <c r="AU152" i="1"/>
  <c r="EV190" i="1"/>
  <c r="EV178" i="1"/>
  <c r="AU178" i="1" s="1"/>
  <c r="EV153" i="1"/>
  <c r="EV150" i="1"/>
  <c r="EV152" i="1"/>
  <c r="EV151" i="1"/>
  <c r="EV98" i="1"/>
  <c r="EV102" i="1"/>
  <c r="EV97" i="1"/>
  <c r="EV100" i="1"/>
  <c r="EV103" i="1"/>
  <c r="EV149" i="1"/>
  <c r="EV99" i="1"/>
  <c r="EV101" i="1"/>
  <c r="EV104" i="1"/>
  <c r="AU98" i="1"/>
  <c r="AU97" i="1"/>
  <c r="AU102" i="1"/>
  <c r="AU99" i="1"/>
  <c r="AU101" i="1"/>
  <c r="AU100" i="1"/>
  <c r="AU103" i="1"/>
  <c r="AU104" i="1"/>
  <c r="EV80" i="1"/>
  <c r="AU80" i="1" s="1"/>
  <c r="EV158" i="1"/>
  <c r="AU158" i="1" s="1"/>
  <c r="EV120" i="1"/>
  <c r="AU120" i="1" s="1"/>
  <c r="EV67" i="1"/>
  <c r="AU67" i="1" s="1"/>
  <c r="EV109" i="1"/>
  <c r="AU109" i="1" s="1"/>
  <c r="EV162" i="1"/>
  <c r="AU162" i="1" s="1"/>
  <c r="EV113" i="1"/>
  <c r="AU113" i="1" s="1"/>
  <c r="EV62" i="1"/>
  <c r="AU62" i="1" s="1"/>
  <c r="EV64" i="1"/>
  <c r="AU64" i="1" s="1"/>
  <c r="EW56" i="1"/>
  <c r="EV58" i="1"/>
  <c r="AU58" i="1" s="1"/>
  <c r="AV56" i="1"/>
  <c r="AV35" i="1" l="1"/>
  <c r="AU147" i="1"/>
  <c r="AU125" i="1"/>
  <c r="EW179" i="1"/>
  <c r="AV179" i="1" s="1"/>
  <c r="EW180" i="1"/>
  <c r="AV180" i="1" s="1"/>
  <c r="EW184" i="1"/>
  <c r="AV184" i="1" s="1"/>
  <c r="EW182" i="1"/>
  <c r="AV182" i="1" s="1"/>
  <c r="EW183" i="1"/>
  <c r="AV183" i="1" s="1"/>
  <c r="EW181" i="1"/>
  <c r="AV181" i="1" s="1"/>
  <c r="EW163" i="1"/>
  <c r="AV163" i="1" s="1"/>
  <c r="EW176" i="1"/>
  <c r="AV176" i="1" s="1"/>
  <c r="EW177" i="1"/>
  <c r="AV177" i="1" s="1"/>
  <c r="EW174" i="1"/>
  <c r="AV174" i="1" s="1"/>
  <c r="EW175" i="1"/>
  <c r="AV175" i="1" s="1"/>
  <c r="EW161" i="1"/>
  <c r="AV161" i="1" s="1"/>
  <c r="EW171" i="1"/>
  <c r="AV171" i="1" s="1"/>
  <c r="EW170" i="1"/>
  <c r="AV170" i="1" s="1"/>
  <c r="EW169" i="1"/>
  <c r="AV169" i="1" s="1"/>
  <c r="EW166" i="1"/>
  <c r="AV166" i="1" s="1"/>
  <c r="EW167" i="1"/>
  <c r="AV167" i="1" s="1"/>
  <c r="EW168" i="1"/>
  <c r="AV168" i="1" s="1"/>
  <c r="EW165" i="1"/>
  <c r="AV165" i="1" s="1"/>
  <c r="EW164" i="1"/>
  <c r="AV164" i="1" s="1"/>
  <c r="EW137" i="1"/>
  <c r="AV137" i="1" s="1"/>
  <c r="EW136" i="1"/>
  <c r="AV136" i="1" s="1"/>
  <c r="EW146" i="1"/>
  <c r="AV146" i="1" s="1"/>
  <c r="EW145" i="1"/>
  <c r="AV145" i="1" s="1"/>
  <c r="EW142" i="1"/>
  <c r="AV142" i="1" s="1"/>
  <c r="EW144" i="1"/>
  <c r="AV144" i="1" s="1"/>
  <c r="EW139" i="1"/>
  <c r="AV139" i="1" s="1"/>
  <c r="EW143" i="1"/>
  <c r="AV143" i="1" s="1"/>
  <c r="EW141" i="1"/>
  <c r="AV141" i="1" s="1"/>
  <c r="EW140" i="1"/>
  <c r="AV140" i="1" s="1"/>
  <c r="EW131" i="1"/>
  <c r="AV131" i="1" s="1"/>
  <c r="EW132" i="1"/>
  <c r="AV132" i="1" s="1"/>
  <c r="EW133" i="1"/>
  <c r="AV133" i="1" s="1"/>
  <c r="EW135" i="1"/>
  <c r="AV135" i="1" s="1"/>
  <c r="EW138" i="1"/>
  <c r="AV138" i="1" s="1"/>
  <c r="EW134" i="1"/>
  <c r="AV134" i="1" s="1"/>
  <c r="EW123" i="1"/>
  <c r="AV123" i="1" s="1"/>
  <c r="EW124" i="1"/>
  <c r="AV124" i="1" s="1"/>
  <c r="EW115" i="1"/>
  <c r="AV115" i="1" s="1"/>
  <c r="EW122" i="1"/>
  <c r="AV122" i="1" s="1"/>
  <c r="EW121" i="1"/>
  <c r="AV121" i="1" s="1"/>
  <c r="EW118" i="1"/>
  <c r="AV118" i="1" s="1"/>
  <c r="EW119" i="1"/>
  <c r="AV119" i="1" s="1"/>
  <c r="EW117" i="1"/>
  <c r="AV117" i="1" s="1"/>
  <c r="EW114" i="1"/>
  <c r="AV114" i="1" s="1"/>
  <c r="EW116" i="1"/>
  <c r="AV116" i="1" s="1"/>
  <c r="EW112" i="1"/>
  <c r="AV112" i="1" s="1"/>
  <c r="EW94" i="1"/>
  <c r="AV94" i="1" s="1"/>
  <c r="EW88" i="1"/>
  <c r="AV88" i="1" s="1"/>
  <c r="EW87" i="1"/>
  <c r="AV87" i="1" s="1"/>
  <c r="EW89" i="1"/>
  <c r="AV89" i="1" s="1"/>
  <c r="EW86" i="1"/>
  <c r="AV86" i="1" s="1"/>
  <c r="EW81" i="1"/>
  <c r="AV81" i="1" s="1"/>
  <c r="EW84" i="1"/>
  <c r="AV84" i="1" s="1"/>
  <c r="EW85" i="1"/>
  <c r="AV85" i="1" s="1"/>
  <c r="EW83" i="1"/>
  <c r="AV83" i="1" s="1"/>
  <c r="EW82" i="1"/>
  <c r="AV82" i="1" s="1"/>
  <c r="EW66" i="1"/>
  <c r="AV66" i="1" s="1"/>
  <c r="EW72" i="1"/>
  <c r="AV72" i="1" s="1"/>
  <c r="EW71" i="1"/>
  <c r="AV71" i="1" s="1"/>
  <c r="EW69" i="1"/>
  <c r="AV69" i="1" s="1"/>
  <c r="EW73" i="1"/>
  <c r="AV73" i="1" s="1"/>
  <c r="EW70" i="1"/>
  <c r="AV70" i="1" s="1"/>
  <c r="EW68" i="1"/>
  <c r="AV68" i="1" s="1"/>
  <c r="EW65" i="1"/>
  <c r="AV65" i="1" s="1"/>
  <c r="EW63" i="1"/>
  <c r="AV63" i="1" s="1"/>
  <c r="EW44" i="1"/>
  <c r="EW32" i="1"/>
  <c r="AV32" i="1" s="1"/>
  <c r="EW31" i="1"/>
  <c r="EW232" i="1"/>
  <c r="EW233" i="1"/>
  <c r="AV233" i="1"/>
  <c r="AV232" i="1"/>
  <c r="EW93" i="1"/>
  <c r="AV93" i="1" s="1"/>
  <c r="EW229" i="1"/>
  <c r="AV236" i="1"/>
  <c r="AV235" i="1"/>
  <c r="AV229" i="1"/>
  <c r="EW60" i="1"/>
  <c r="AV60" i="1" s="1"/>
  <c r="EW160" i="1"/>
  <c r="AV160" i="1" s="1"/>
  <c r="EW159" i="1"/>
  <c r="AV159" i="1" s="1"/>
  <c r="EW59" i="1"/>
  <c r="AV59" i="1" s="1"/>
  <c r="EW235" i="1"/>
  <c r="EW236" i="1"/>
  <c r="EW111" i="1"/>
  <c r="AV111" i="1" s="1"/>
  <c r="EW110" i="1"/>
  <c r="AV110" i="1" s="1"/>
  <c r="EW218" i="1"/>
  <c r="AV218" i="1" s="1"/>
  <c r="AV230" i="1"/>
  <c r="AV234" i="1"/>
  <c r="AV231" i="1"/>
  <c r="EW234" i="1"/>
  <c r="EW230" i="1"/>
  <c r="EW231" i="1"/>
  <c r="EW45" i="1"/>
  <c r="EW40" i="1"/>
  <c r="EW42" i="1"/>
  <c r="EW43" i="1"/>
  <c r="EW39" i="1"/>
  <c r="EW46" i="1"/>
  <c r="EX30" i="1"/>
  <c r="EX35" i="1" s="1"/>
  <c r="EW38" i="1"/>
  <c r="EW41" i="1"/>
  <c r="AV45" i="1"/>
  <c r="AW30" i="1"/>
  <c r="AW44" i="1" s="1"/>
  <c r="AV41" i="1"/>
  <c r="AV42" i="1"/>
  <c r="AV43" i="1"/>
  <c r="AV222" i="1"/>
  <c r="AV221" i="1"/>
  <c r="AV224" i="1"/>
  <c r="AV223" i="1"/>
  <c r="EW197" i="1"/>
  <c r="AV197" i="1" s="1"/>
  <c r="EW224" i="1"/>
  <c r="EW223" i="1"/>
  <c r="EW221" i="1"/>
  <c r="EW222" i="1"/>
  <c r="EW215" i="1"/>
  <c r="AV215" i="1" s="1"/>
  <c r="EW214" i="1"/>
  <c r="AV214" i="1" s="1"/>
  <c r="EW213" i="1"/>
  <c r="AV213" i="1" s="1"/>
  <c r="EW212" i="1"/>
  <c r="AV212" i="1" s="1"/>
  <c r="AV207" i="1"/>
  <c r="AV206" i="1"/>
  <c r="AV205" i="1"/>
  <c r="EW207" i="1"/>
  <c r="EW205" i="1"/>
  <c r="EW206" i="1"/>
  <c r="EW204" i="1"/>
  <c r="EW201" i="1"/>
  <c r="AV201" i="1" s="1"/>
  <c r="EW198" i="1"/>
  <c r="AV198" i="1" s="1"/>
  <c r="EW195" i="1"/>
  <c r="AV195" i="1" s="1"/>
  <c r="EW196" i="1"/>
  <c r="AV196" i="1" s="1"/>
  <c r="EW130" i="1"/>
  <c r="AV130" i="1" s="1"/>
  <c r="EW128" i="1"/>
  <c r="AV128" i="1" s="1"/>
  <c r="EW127" i="1"/>
  <c r="AV127" i="1" s="1"/>
  <c r="EW129" i="1"/>
  <c r="AV129" i="1" s="1"/>
  <c r="EW78" i="1"/>
  <c r="AV78" i="1" s="1"/>
  <c r="EW79" i="1"/>
  <c r="AV79" i="1" s="1"/>
  <c r="EW77" i="1"/>
  <c r="AV77" i="1" s="1"/>
  <c r="EW76" i="1"/>
  <c r="AV76" i="1" s="1"/>
  <c r="EW90" i="1"/>
  <c r="AV90" i="1" s="1"/>
  <c r="EW91" i="1"/>
  <c r="AV91" i="1" s="1"/>
  <c r="EW61" i="1"/>
  <c r="AV61" i="1" s="1"/>
  <c r="EW92" i="1"/>
  <c r="AV92" i="1" s="1"/>
  <c r="EW188" i="1"/>
  <c r="EW178" i="1"/>
  <c r="AV178" i="1" s="1"/>
  <c r="EW189" i="1"/>
  <c r="AV190" i="1"/>
  <c r="AV189" i="1"/>
  <c r="AV187" i="1"/>
  <c r="AV150" i="1"/>
  <c r="AV151" i="1"/>
  <c r="AV188" i="1"/>
  <c r="AV153" i="1"/>
  <c r="AV152" i="1"/>
  <c r="EW190" i="1"/>
  <c r="EW187" i="1"/>
  <c r="EW153" i="1"/>
  <c r="EW151" i="1"/>
  <c r="EW152" i="1"/>
  <c r="EW150" i="1"/>
  <c r="EW97" i="1"/>
  <c r="EW101" i="1"/>
  <c r="EW149" i="1"/>
  <c r="EW100" i="1"/>
  <c r="EW99" i="1"/>
  <c r="EW102" i="1"/>
  <c r="EW98" i="1"/>
  <c r="EW104" i="1"/>
  <c r="EW103" i="1"/>
  <c r="AV99" i="1"/>
  <c r="AV98" i="1"/>
  <c r="AV103" i="1"/>
  <c r="AV97" i="1"/>
  <c r="AV100" i="1"/>
  <c r="AV104" i="1"/>
  <c r="AV101" i="1"/>
  <c r="AV102" i="1"/>
  <c r="EW80" i="1"/>
  <c r="AV80" i="1" s="1"/>
  <c r="EW158" i="1"/>
  <c r="AV158" i="1" s="1"/>
  <c r="EW120" i="1"/>
  <c r="AV120" i="1" s="1"/>
  <c r="EW67" i="1"/>
  <c r="AV67" i="1" s="1"/>
  <c r="EW109" i="1"/>
  <c r="AV109" i="1" s="1"/>
  <c r="EW162" i="1"/>
  <c r="AV162" i="1" s="1"/>
  <c r="EW113" i="1"/>
  <c r="AV113" i="1" s="1"/>
  <c r="EW58" i="1"/>
  <c r="AV58" i="1" s="1"/>
  <c r="EW62" i="1"/>
  <c r="AV62" i="1" s="1"/>
  <c r="EW64" i="1"/>
  <c r="AV64" i="1" s="1"/>
  <c r="EX56" i="1"/>
  <c r="AW56" i="1"/>
  <c r="AW35" i="1" l="1"/>
  <c r="AV125" i="1"/>
  <c r="AV147" i="1"/>
  <c r="EX184" i="1"/>
  <c r="AW184" i="1" s="1"/>
  <c r="EX182" i="1"/>
  <c r="AW182" i="1" s="1"/>
  <c r="EX180" i="1"/>
  <c r="AW180" i="1" s="1"/>
  <c r="EX179" i="1"/>
  <c r="AW179" i="1" s="1"/>
  <c r="EX181" i="1"/>
  <c r="AW181" i="1" s="1"/>
  <c r="EX183" i="1"/>
  <c r="AW183" i="1" s="1"/>
  <c r="EX163" i="1"/>
  <c r="AW163" i="1" s="1"/>
  <c r="EX176" i="1"/>
  <c r="AW176" i="1" s="1"/>
  <c r="EX177" i="1"/>
  <c r="AW177" i="1" s="1"/>
  <c r="EX174" i="1"/>
  <c r="AW174" i="1" s="1"/>
  <c r="EX175" i="1"/>
  <c r="AW175" i="1" s="1"/>
  <c r="EX161" i="1"/>
  <c r="AW161" i="1" s="1"/>
  <c r="EX170" i="1"/>
  <c r="AW170" i="1" s="1"/>
  <c r="EX171" i="1"/>
  <c r="AW171" i="1" s="1"/>
  <c r="EX169" i="1"/>
  <c r="AW169" i="1" s="1"/>
  <c r="EX168" i="1"/>
  <c r="AW168" i="1" s="1"/>
  <c r="EX167" i="1"/>
  <c r="AW167" i="1" s="1"/>
  <c r="EX165" i="1"/>
  <c r="AW165" i="1" s="1"/>
  <c r="EX166" i="1"/>
  <c r="AW166" i="1" s="1"/>
  <c r="EX164" i="1"/>
  <c r="AW164" i="1" s="1"/>
  <c r="EX137" i="1"/>
  <c r="AW137" i="1" s="1"/>
  <c r="EX136" i="1"/>
  <c r="AW136" i="1" s="1"/>
  <c r="EX146" i="1"/>
  <c r="AW146" i="1" s="1"/>
  <c r="EX145" i="1"/>
  <c r="AW145" i="1" s="1"/>
  <c r="EX144" i="1"/>
  <c r="AW144" i="1" s="1"/>
  <c r="EX141" i="1"/>
  <c r="AW141" i="1" s="1"/>
  <c r="EX143" i="1"/>
  <c r="AW143" i="1" s="1"/>
  <c r="EX140" i="1"/>
  <c r="AW140" i="1" s="1"/>
  <c r="EX139" i="1"/>
  <c r="AW139" i="1" s="1"/>
  <c r="EX142" i="1"/>
  <c r="AW142" i="1" s="1"/>
  <c r="EX131" i="1"/>
  <c r="AW131" i="1" s="1"/>
  <c r="EX132" i="1"/>
  <c r="AW132" i="1" s="1"/>
  <c r="EX133" i="1"/>
  <c r="AW133" i="1" s="1"/>
  <c r="EX135" i="1"/>
  <c r="AW135" i="1" s="1"/>
  <c r="EX138" i="1"/>
  <c r="AW138" i="1" s="1"/>
  <c r="EX134" i="1"/>
  <c r="AW134" i="1" s="1"/>
  <c r="EX123" i="1"/>
  <c r="AW123" i="1" s="1"/>
  <c r="EX124" i="1"/>
  <c r="AW124" i="1" s="1"/>
  <c r="EX115" i="1"/>
  <c r="AW115" i="1" s="1"/>
  <c r="EX122" i="1"/>
  <c r="AW122" i="1" s="1"/>
  <c r="EX121" i="1"/>
  <c r="AW121" i="1" s="1"/>
  <c r="EX119" i="1"/>
  <c r="AW119" i="1" s="1"/>
  <c r="EX117" i="1"/>
  <c r="AW117" i="1" s="1"/>
  <c r="EX118" i="1"/>
  <c r="AW118" i="1" s="1"/>
  <c r="EX116" i="1"/>
  <c r="AW116" i="1" s="1"/>
  <c r="EX114" i="1"/>
  <c r="AW114" i="1" s="1"/>
  <c r="EX112" i="1"/>
  <c r="AW112" i="1" s="1"/>
  <c r="EX94" i="1"/>
  <c r="AW94" i="1" s="1"/>
  <c r="EX89" i="1"/>
  <c r="AW89" i="1" s="1"/>
  <c r="EX88" i="1"/>
  <c r="AW88" i="1" s="1"/>
  <c r="EX87" i="1"/>
  <c r="AW87" i="1" s="1"/>
  <c r="EX86" i="1"/>
  <c r="AW86" i="1" s="1"/>
  <c r="EX81" i="1"/>
  <c r="AW81" i="1" s="1"/>
  <c r="EX84" i="1"/>
  <c r="AW84" i="1" s="1"/>
  <c r="EX85" i="1"/>
  <c r="AW85" i="1" s="1"/>
  <c r="EX83" i="1"/>
  <c r="AW83" i="1" s="1"/>
  <c r="EX82" i="1"/>
  <c r="AW82" i="1" s="1"/>
  <c r="EX66" i="1"/>
  <c r="AW66" i="1" s="1"/>
  <c r="EX73" i="1"/>
  <c r="AW73" i="1" s="1"/>
  <c r="EX72" i="1"/>
  <c r="AW72" i="1" s="1"/>
  <c r="EX70" i="1"/>
  <c r="AW70" i="1" s="1"/>
  <c r="EX71" i="1"/>
  <c r="AW71" i="1" s="1"/>
  <c r="EX69" i="1"/>
  <c r="AW69" i="1" s="1"/>
  <c r="EX68" i="1"/>
  <c r="AW68" i="1" s="1"/>
  <c r="EX65" i="1"/>
  <c r="AW65" i="1" s="1"/>
  <c r="EX63" i="1"/>
  <c r="AW63" i="1" s="1"/>
  <c r="EX44" i="1"/>
  <c r="EX31" i="1"/>
  <c r="EX32" i="1"/>
  <c r="AW32" i="1" s="1"/>
  <c r="AW233" i="1"/>
  <c r="AW232" i="1"/>
  <c r="EX232" i="1"/>
  <c r="EX233" i="1"/>
  <c r="EX229" i="1"/>
  <c r="EX93" i="1"/>
  <c r="AW93" i="1" s="1"/>
  <c r="AW236" i="1"/>
  <c r="AW235" i="1"/>
  <c r="AW229" i="1"/>
  <c r="EX160" i="1"/>
  <c r="AW160" i="1" s="1"/>
  <c r="EX60" i="1"/>
  <c r="AW60" i="1" s="1"/>
  <c r="EX159" i="1"/>
  <c r="AW159" i="1" s="1"/>
  <c r="EX59" i="1"/>
  <c r="AW59" i="1" s="1"/>
  <c r="EX235" i="1"/>
  <c r="EX111" i="1"/>
  <c r="AW111" i="1" s="1"/>
  <c r="EX110" i="1"/>
  <c r="AW110" i="1" s="1"/>
  <c r="EX236" i="1"/>
  <c r="EX218" i="1"/>
  <c r="AW218" i="1" s="1"/>
  <c r="EX231" i="1"/>
  <c r="EX230" i="1"/>
  <c r="AW230" i="1"/>
  <c r="AW234" i="1"/>
  <c r="AW231" i="1"/>
  <c r="EX234" i="1"/>
  <c r="EY30" i="1"/>
  <c r="EY35" i="1" s="1"/>
  <c r="EX41" i="1"/>
  <c r="EX43" i="1"/>
  <c r="EX42" i="1"/>
  <c r="EX38" i="1"/>
  <c r="EX46" i="1"/>
  <c r="EX45" i="1"/>
  <c r="EX40" i="1"/>
  <c r="EX39" i="1"/>
  <c r="AW45" i="1"/>
  <c r="AW43" i="1"/>
  <c r="AW42" i="1"/>
  <c r="AX30" i="1"/>
  <c r="AX44" i="1" s="1"/>
  <c r="AW41" i="1"/>
  <c r="EX197" i="1"/>
  <c r="AW197" i="1" s="1"/>
  <c r="EX224" i="1"/>
  <c r="EX223" i="1"/>
  <c r="EX222" i="1"/>
  <c r="EX214" i="1"/>
  <c r="AW214" i="1" s="1"/>
  <c r="EX221" i="1"/>
  <c r="EX215" i="1"/>
  <c r="AW215" i="1" s="1"/>
  <c r="EX213" i="1"/>
  <c r="AW213" i="1" s="1"/>
  <c r="EX212" i="1"/>
  <c r="AW212" i="1" s="1"/>
  <c r="AW223" i="1"/>
  <c r="AW224" i="1"/>
  <c r="AW221" i="1"/>
  <c r="AW222" i="1"/>
  <c r="EX207" i="1"/>
  <c r="EX206" i="1"/>
  <c r="EX205" i="1"/>
  <c r="EX204" i="1"/>
  <c r="EX201" i="1"/>
  <c r="AW201" i="1" s="1"/>
  <c r="EX198" i="1"/>
  <c r="AW198" i="1" s="1"/>
  <c r="EX195" i="1"/>
  <c r="AW195" i="1" s="1"/>
  <c r="EX196" i="1"/>
  <c r="AW196" i="1" s="1"/>
  <c r="EX130" i="1"/>
  <c r="AW130" i="1" s="1"/>
  <c r="EX127" i="1"/>
  <c r="AW127" i="1" s="1"/>
  <c r="EX128" i="1"/>
  <c r="AW128" i="1" s="1"/>
  <c r="EX129" i="1"/>
  <c r="AW129" i="1" s="1"/>
  <c r="AW207" i="1"/>
  <c r="AW206" i="1"/>
  <c r="AW205" i="1"/>
  <c r="EX79" i="1"/>
  <c r="AW79" i="1" s="1"/>
  <c r="EX78" i="1"/>
  <c r="AW78" i="1" s="1"/>
  <c r="EX61" i="1"/>
  <c r="AW61" i="1" s="1"/>
  <c r="EX77" i="1"/>
  <c r="AW77" i="1" s="1"/>
  <c r="EX76" i="1"/>
  <c r="AW76" i="1" s="1"/>
  <c r="EX91" i="1"/>
  <c r="AW91" i="1" s="1"/>
  <c r="EX92" i="1"/>
  <c r="AW92" i="1" s="1"/>
  <c r="EX90" i="1"/>
  <c r="AW90" i="1" s="1"/>
  <c r="EX189" i="1"/>
  <c r="EX187" i="1"/>
  <c r="AW189" i="1"/>
  <c r="AW190" i="1"/>
  <c r="AW188" i="1"/>
  <c r="AW187" i="1"/>
  <c r="AW152" i="1"/>
  <c r="AW153" i="1"/>
  <c r="AW151" i="1"/>
  <c r="AW150" i="1"/>
  <c r="EX178" i="1"/>
  <c r="AW178" i="1" s="1"/>
  <c r="EX190" i="1"/>
  <c r="EX188" i="1"/>
  <c r="EX152" i="1"/>
  <c r="EX151" i="1"/>
  <c r="EX153" i="1"/>
  <c r="EX150" i="1"/>
  <c r="EX149" i="1"/>
  <c r="EX100" i="1"/>
  <c r="EX98" i="1"/>
  <c r="EX101" i="1"/>
  <c r="EX97" i="1"/>
  <c r="EX103" i="1"/>
  <c r="EX99" i="1"/>
  <c r="EX104" i="1"/>
  <c r="EX102" i="1"/>
  <c r="AW100" i="1"/>
  <c r="AW99" i="1"/>
  <c r="AW98" i="1"/>
  <c r="AW104" i="1"/>
  <c r="AW101" i="1"/>
  <c r="AW102" i="1"/>
  <c r="AW103" i="1"/>
  <c r="AW97" i="1"/>
  <c r="EX80" i="1"/>
  <c r="AW80" i="1" s="1"/>
  <c r="EX158" i="1"/>
  <c r="AW158" i="1" s="1"/>
  <c r="EX120" i="1"/>
  <c r="AW120" i="1" s="1"/>
  <c r="EX67" i="1"/>
  <c r="AW67" i="1" s="1"/>
  <c r="EX109" i="1"/>
  <c r="AW109" i="1" s="1"/>
  <c r="EX162" i="1"/>
  <c r="AW162" i="1" s="1"/>
  <c r="EX113" i="1"/>
  <c r="AW113" i="1" s="1"/>
  <c r="EX58" i="1"/>
  <c r="AW58" i="1" s="1"/>
  <c r="EX64" i="1"/>
  <c r="AW64" i="1" s="1"/>
  <c r="EY56" i="1"/>
  <c r="EX62" i="1"/>
  <c r="AW62" i="1" s="1"/>
  <c r="AX56" i="1"/>
  <c r="AX35" i="1" l="1"/>
  <c r="AW147" i="1"/>
  <c r="AW125" i="1"/>
  <c r="EY184" i="1"/>
  <c r="AX184" i="1" s="1"/>
  <c r="EY180" i="1"/>
  <c r="AX180" i="1" s="1"/>
  <c r="EY183" i="1"/>
  <c r="AX183" i="1" s="1"/>
  <c r="EY181" i="1"/>
  <c r="AX181" i="1" s="1"/>
  <c r="EY179" i="1"/>
  <c r="AX179" i="1" s="1"/>
  <c r="EY182" i="1"/>
  <c r="AX182" i="1" s="1"/>
  <c r="EY163" i="1"/>
  <c r="AX163" i="1" s="1"/>
  <c r="EY177" i="1"/>
  <c r="AX177" i="1" s="1"/>
  <c r="EY176" i="1"/>
  <c r="AX176" i="1" s="1"/>
  <c r="EY175" i="1"/>
  <c r="AX175" i="1" s="1"/>
  <c r="EY174" i="1"/>
  <c r="AX174" i="1" s="1"/>
  <c r="EY161" i="1"/>
  <c r="AX161" i="1" s="1"/>
  <c r="EY171" i="1"/>
  <c r="AX171" i="1" s="1"/>
  <c r="EY170" i="1"/>
  <c r="AX170" i="1" s="1"/>
  <c r="EY169" i="1"/>
  <c r="AX169" i="1" s="1"/>
  <c r="EY168" i="1"/>
  <c r="AX168" i="1" s="1"/>
  <c r="EY167" i="1"/>
  <c r="AX167" i="1" s="1"/>
  <c r="EY165" i="1"/>
  <c r="AX165" i="1" s="1"/>
  <c r="EY164" i="1"/>
  <c r="AX164" i="1" s="1"/>
  <c r="EY166" i="1"/>
  <c r="AX166" i="1" s="1"/>
  <c r="EY137" i="1"/>
  <c r="AX137" i="1" s="1"/>
  <c r="EY136" i="1"/>
  <c r="AX136" i="1" s="1"/>
  <c r="EY146" i="1"/>
  <c r="AX146" i="1" s="1"/>
  <c r="EY145" i="1"/>
  <c r="AX145" i="1" s="1"/>
  <c r="EY144" i="1"/>
  <c r="AX144" i="1" s="1"/>
  <c r="EY143" i="1"/>
  <c r="AX143" i="1" s="1"/>
  <c r="EY141" i="1"/>
  <c r="AX141" i="1" s="1"/>
  <c r="EY140" i="1"/>
  <c r="AX140" i="1" s="1"/>
  <c r="EY142" i="1"/>
  <c r="AX142" i="1" s="1"/>
  <c r="EY139" i="1"/>
  <c r="AX139" i="1" s="1"/>
  <c r="EY131" i="1"/>
  <c r="AX131" i="1" s="1"/>
  <c r="EY132" i="1"/>
  <c r="AX132" i="1" s="1"/>
  <c r="EY133" i="1"/>
  <c r="AX133" i="1" s="1"/>
  <c r="EY138" i="1"/>
  <c r="AX138" i="1" s="1"/>
  <c r="EY135" i="1"/>
  <c r="AX135" i="1" s="1"/>
  <c r="EY134" i="1"/>
  <c r="AX134" i="1" s="1"/>
  <c r="EY124" i="1"/>
  <c r="AX124" i="1" s="1"/>
  <c r="EY123" i="1"/>
  <c r="AX123" i="1" s="1"/>
  <c r="EY115" i="1"/>
  <c r="AX115" i="1" s="1"/>
  <c r="EY122" i="1"/>
  <c r="AX122" i="1" s="1"/>
  <c r="EY121" i="1"/>
  <c r="AX121" i="1" s="1"/>
  <c r="EY119" i="1"/>
  <c r="AX119" i="1" s="1"/>
  <c r="EY118" i="1"/>
  <c r="AX118" i="1" s="1"/>
  <c r="EY117" i="1"/>
  <c r="AX117" i="1" s="1"/>
  <c r="EY116" i="1"/>
  <c r="AX116" i="1" s="1"/>
  <c r="EY114" i="1"/>
  <c r="AX114" i="1" s="1"/>
  <c r="EY112" i="1"/>
  <c r="AX112" i="1" s="1"/>
  <c r="EY94" i="1"/>
  <c r="AX94" i="1" s="1"/>
  <c r="EY89" i="1"/>
  <c r="AX89" i="1" s="1"/>
  <c r="EY87" i="1"/>
  <c r="AX87" i="1" s="1"/>
  <c r="EY86" i="1"/>
  <c r="AX86" i="1" s="1"/>
  <c r="EY88" i="1"/>
  <c r="AX88" i="1" s="1"/>
  <c r="EY81" i="1"/>
  <c r="AX81" i="1" s="1"/>
  <c r="EY85" i="1"/>
  <c r="AX85" i="1" s="1"/>
  <c r="EY84" i="1"/>
  <c r="AX84" i="1" s="1"/>
  <c r="EY83" i="1"/>
  <c r="AX83" i="1" s="1"/>
  <c r="EY82" i="1"/>
  <c r="AX82" i="1" s="1"/>
  <c r="EY66" i="1"/>
  <c r="AX66" i="1" s="1"/>
  <c r="EY72" i="1"/>
  <c r="AX72" i="1" s="1"/>
  <c r="EY73" i="1"/>
  <c r="AX73" i="1" s="1"/>
  <c r="EY71" i="1"/>
  <c r="AX71" i="1" s="1"/>
  <c r="EY70" i="1"/>
  <c r="AX70" i="1" s="1"/>
  <c r="EY69" i="1"/>
  <c r="AX69" i="1" s="1"/>
  <c r="EY68" i="1"/>
  <c r="AX68" i="1" s="1"/>
  <c r="EY65" i="1"/>
  <c r="AX65" i="1" s="1"/>
  <c r="EY63" i="1"/>
  <c r="AX63" i="1" s="1"/>
  <c r="EY44" i="1"/>
  <c r="EY31" i="1"/>
  <c r="EY32" i="1"/>
  <c r="AX32" i="1" s="1"/>
  <c r="EY233" i="1"/>
  <c r="EY232" i="1"/>
  <c r="AX233" i="1"/>
  <c r="AX232" i="1"/>
  <c r="EY229" i="1"/>
  <c r="EY93" i="1"/>
  <c r="AX93" i="1" s="1"/>
  <c r="AX236" i="1"/>
  <c r="AX229" i="1"/>
  <c r="AX235" i="1"/>
  <c r="EY160" i="1"/>
  <c r="AX160" i="1" s="1"/>
  <c r="EY60" i="1"/>
  <c r="AX60" i="1" s="1"/>
  <c r="EY159" i="1"/>
  <c r="AX159" i="1" s="1"/>
  <c r="EY59" i="1"/>
  <c r="AX59" i="1" s="1"/>
  <c r="EY235" i="1"/>
  <c r="EY236" i="1"/>
  <c r="EY111" i="1"/>
  <c r="AX111" i="1" s="1"/>
  <c r="EY110" i="1"/>
  <c r="AX110" i="1" s="1"/>
  <c r="EY218" i="1"/>
  <c r="AX218" i="1" s="1"/>
  <c r="EY234" i="1"/>
  <c r="AX234" i="1"/>
  <c r="AX231" i="1"/>
  <c r="AX230" i="1"/>
  <c r="EY230" i="1"/>
  <c r="EY231" i="1"/>
  <c r="EZ30" i="1"/>
  <c r="EZ35" i="1" s="1"/>
  <c r="EY40" i="1"/>
  <c r="EY42" i="1"/>
  <c r="EY46" i="1"/>
  <c r="EY38" i="1"/>
  <c r="EY43" i="1"/>
  <c r="EY45" i="1"/>
  <c r="EY41" i="1"/>
  <c r="EY39" i="1"/>
  <c r="AX43" i="1"/>
  <c r="AY30" i="1"/>
  <c r="AY44" i="1" s="1"/>
  <c r="AX42" i="1"/>
  <c r="AX45" i="1"/>
  <c r="AX41" i="1"/>
  <c r="EY197" i="1"/>
  <c r="AX197" i="1" s="1"/>
  <c r="EY224" i="1"/>
  <c r="EY222" i="1"/>
  <c r="EY221" i="1"/>
  <c r="EY215" i="1"/>
  <c r="AX215" i="1" s="1"/>
  <c r="EY214" i="1"/>
  <c r="AX214" i="1" s="1"/>
  <c r="EY213" i="1"/>
  <c r="AX213" i="1" s="1"/>
  <c r="EY212" i="1"/>
  <c r="AX212" i="1" s="1"/>
  <c r="EY223" i="1"/>
  <c r="AX224" i="1"/>
  <c r="AX223" i="1"/>
  <c r="AX221" i="1"/>
  <c r="AX222" i="1"/>
  <c r="EY207" i="1"/>
  <c r="EY206" i="1"/>
  <c r="EY205" i="1"/>
  <c r="EY204" i="1"/>
  <c r="EY201" i="1"/>
  <c r="AX201" i="1" s="1"/>
  <c r="EY196" i="1"/>
  <c r="AX196" i="1" s="1"/>
  <c r="EY198" i="1"/>
  <c r="AX198" i="1" s="1"/>
  <c r="EY195" i="1"/>
  <c r="AX195" i="1" s="1"/>
  <c r="EY129" i="1"/>
  <c r="AX129" i="1" s="1"/>
  <c r="EY130" i="1"/>
  <c r="AX130" i="1" s="1"/>
  <c r="EY128" i="1"/>
  <c r="AX128" i="1" s="1"/>
  <c r="EY127" i="1"/>
  <c r="AX127" i="1" s="1"/>
  <c r="AX205" i="1"/>
  <c r="AX207" i="1"/>
  <c r="AX206" i="1"/>
  <c r="EY79" i="1"/>
  <c r="AX79" i="1" s="1"/>
  <c r="EY78" i="1"/>
  <c r="AX78" i="1" s="1"/>
  <c r="EY77" i="1"/>
  <c r="AX77" i="1" s="1"/>
  <c r="EY76" i="1"/>
  <c r="AX76" i="1" s="1"/>
  <c r="EY92" i="1"/>
  <c r="AX92" i="1" s="1"/>
  <c r="EY91" i="1"/>
  <c r="AX91" i="1" s="1"/>
  <c r="EY90" i="1"/>
  <c r="AX90" i="1" s="1"/>
  <c r="EY61" i="1"/>
  <c r="AX61" i="1" s="1"/>
  <c r="EY188" i="1"/>
  <c r="EY178" i="1"/>
  <c r="AX178" i="1" s="1"/>
  <c r="AX190" i="1"/>
  <c r="AX188" i="1"/>
  <c r="AX187" i="1"/>
  <c r="AX189" i="1"/>
  <c r="AX150" i="1"/>
  <c r="AX153" i="1"/>
  <c r="AX152" i="1"/>
  <c r="AX151" i="1"/>
  <c r="EY190" i="1"/>
  <c r="EY189" i="1"/>
  <c r="EY187" i="1"/>
  <c r="EY152" i="1"/>
  <c r="EY153" i="1"/>
  <c r="EY151" i="1"/>
  <c r="EY150" i="1"/>
  <c r="EY99" i="1"/>
  <c r="EY103" i="1"/>
  <c r="EY102" i="1"/>
  <c r="EY98" i="1"/>
  <c r="EY101" i="1"/>
  <c r="EY97" i="1"/>
  <c r="EY100" i="1"/>
  <c r="EY149" i="1"/>
  <c r="EY104" i="1"/>
  <c r="AX97" i="1"/>
  <c r="AX100" i="1"/>
  <c r="AX101" i="1"/>
  <c r="AX98" i="1"/>
  <c r="AX102" i="1"/>
  <c r="AX103" i="1"/>
  <c r="AX104" i="1"/>
  <c r="AX99" i="1"/>
  <c r="EY80" i="1"/>
  <c r="AX80" i="1" s="1"/>
  <c r="EY158" i="1"/>
  <c r="AX158" i="1" s="1"/>
  <c r="EY120" i="1"/>
  <c r="AX120" i="1" s="1"/>
  <c r="EY67" i="1"/>
  <c r="AX67" i="1" s="1"/>
  <c r="EY109" i="1"/>
  <c r="AX109" i="1" s="1"/>
  <c r="EY162" i="1"/>
  <c r="AX162" i="1" s="1"/>
  <c r="EY113" i="1"/>
  <c r="AX113" i="1" s="1"/>
  <c r="EY58" i="1"/>
  <c r="AX58" i="1" s="1"/>
  <c r="EY64" i="1"/>
  <c r="AX64" i="1" s="1"/>
  <c r="EY62" i="1"/>
  <c r="AX62" i="1" s="1"/>
  <c r="EZ56" i="1"/>
  <c r="AY56" i="1"/>
  <c r="AY35" i="1" l="1"/>
  <c r="AX147" i="1"/>
  <c r="AX125" i="1"/>
  <c r="EZ184" i="1"/>
  <c r="AY184" i="1" s="1"/>
  <c r="EZ183" i="1"/>
  <c r="AY183" i="1" s="1"/>
  <c r="EZ181" i="1"/>
  <c r="AY181" i="1" s="1"/>
  <c r="EZ182" i="1"/>
  <c r="AY182" i="1" s="1"/>
  <c r="EZ180" i="1"/>
  <c r="AY180" i="1" s="1"/>
  <c r="EZ179" i="1"/>
  <c r="AY179" i="1" s="1"/>
  <c r="EZ163" i="1"/>
  <c r="AY163" i="1" s="1"/>
  <c r="EZ177" i="1"/>
  <c r="AY177" i="1" s="1"/>
  <c r="EZ176" i="1"/>
  <c r="AY176" i="1" s="1"/>
  <c r="EZ175" i="1"/>
  <c r="AY175" i="1" s="1"/>
  <c r="EZ174" i="1"/>
  <c r="AY174" i="1" s="1"/>
  <c r="EZ161" i="1"/>
  <c r="AY161" i="1" s="1"/>
  <c r="EZ171" i="1"/>
  <c r="AY171" i="1" s="1"/>
  <c r="EZ170" i="1"/>
  <c r="AY170" i="1" s="1"/>
  <c r="EZ168" i="1"/>
  <c r="AY168" i="1" s="1"/>
  <c r="EZ169" i="1"/>
  <c r="AY169" i="1" s="1"/>
  <c r="EZ166" i="1"/>
  <c r="AY166" i="1" s="1"/>
  <c r="EZ164" i="1"/>
  <c r="AY164" i="1" s="1"/>
  <c r="EZ165" i="1"/>
  <c r="AY165" i="1" s="1"/>
  <c r="EZ167" i="1"/>
  <c r="AY167" i="1" s="1"/>
  <c r="EZ137" i="1"/>
  <c r="AY137" i="1" s="1"/>
  <c r="EZ136" i="1"/>
  <c r="AY136" i="1" s="1"/>
  <c r="EZ146" i="1"/>
  <c r="AY146" i="1" s="1"/>
  <c r="EZ145" i="1"/>
  <c r="AY145" i="1" s="1"/>
  <c r="EZ144" i="1"/>
  <c r="AY144" i="1" s="1"/>
  <c r="EZ143" i="1"/>
  <c r="AY143" i="1" s="1"/>
  <c r="EZ142" i="1"/>
  <c r="AY142" i="1" s="1"/>
  <c r="EZ141" i="1"/>
  <c r="AY141" i="1" s="1"/>
  <c r="EZ139" i="1"/>
  <c r="AY139" i="1" s="1"/>
  <c r="EZ140" i="1"/>
  <c r="AY140" i="1" s="1"/>
  <c r="EZ131" i="1"/>
  <c r="AY131" i="1" s="1"/>
  <c r="EZ133" i="1"/>
  <c r="AY133" i="1" s="1"/>
  <c r="EZ132" i="1"/>
  <c r="AY132" i="1" s="1"/>
  <c r="EZ138" i="1"/>
  <c r="AY138" i="1" s="1"/>
  <c r="EZ135" i="1"/>
  <c r="AY135" i="1" s="1"/>
  <c r="EZ134" i="1"/>
  <c r="AY134" i="1" s="1"/>
  <c r="EZ124" i="1"/>
  <c r="AY124" i="1" s="1"/>
  <c r="EZ123" i="1"/>
  <c r="AY123" i="1" s="1"/>
  <c r="EZ115" i="1"/>
  <c r="AY115" i="1" s="1"/>
  <c r="EZ121" i="1"/>
  <c r="AY121" i="1" s="1"/>
  <c r="EZ122" i="1"/>
  <c r="AY122" i="1" s="1"/>
  <c r="EZ118" i="1"/>
  <c r="AY118" i="1" s="1"/>
  <c r="EZ119" i="1"/>
  <c r="AY119" i="1" s="1"/>
  <c r="EZ117" i="1"/>
  <c r="AY117" i="1" s="1"/>
  <c r="EZ114" i="1"/>
  <c r="AY114" i="1" s="1"/>
  <c r="EZ116" i="1"/>
  <c r="AY116" i="1" s="1"/>
  <c r="EZ112" i="1"/>
  <c r="AY112" i="1" s="1"/>
  <c r="EZ94" i="1"/>
  <c r="AY94" i="1" s="1"/>
  <c r="EZ89" i="1"/>
  <c r="AY89" i="1" s="1"/>
  <c r="EZ88" i="1"/>
  <c r="AY88" i="1" s="1"/>
  <c r="EZ86" i="1"/>
  <c r="AY86" i="1" s="1"/>
  <c r="EZ87" i="1"/>
  <c r="AY87" i="1" s="1"/>
  <c r="EZ81" i="1"/>
  <c r="AY81" i="1" s="1"/>
  <c r="EZ85" i="1"/>
  <c r="AY85" i="1" s="1"/>
  <c r="EZ84" i="1"/>
  <c r="AY84" i="1" s="1"/>
  <c r="EZ83" i="1"/>
  <c r="AY83" i="1" s="1"/>
  <c r="EZ82" i="1"/>
  <c r="AY82" i="1" s="1"/>
  <c r="EZ66" i="1"/>
  <c r="AY66" i="1" s="1"/>
  <c r="EZ73" i="1"/>
  <c r="AY73" i="1" s="1"/>
  <c r="EZ71" i="1"/>
  <c r="AY71" i="1" s="1"/>
  <c r="EZ70" i="1"/>
  <c r="AY70" i="1" s="1"/>
  <c r="EZ69" i="1"/>
  <c r="AY69" i="1" s="1"/>
  <c r="EZ68" i="1"/>
  <c r="AY68" i="1" s="1"/>
  <c r="EZ72" i="1"/>
  <c r="AY72" i="1" s="1"/>
  <c r="EZ65" i="1"/>
  <c r="AY65" i="1" s="1"/>
  <c r="EZ63" i="1"/>
  <c r="AY63" i="1" s="1"/>
  <c r="EZ44" i="1"/>
  <c r="EZ32" i="1"/>
  <c r="AY32" i="1" s="1"/>
  <c r="EZ31" i="1"/>
  <c r="AY233" i="1"/>
  <c r="AY232" i="1"/>
  <c r="EZ232" i="1"/>
  <c r="EZ233" i="1"/>
  <c r="EZ229" i="1"/>
  <c r="EZ93" i="1"/>
  <c r="AY93" i="1" s="1"/>
  <c r="EZ160" i="1"/>
  <c r="AY160" i="1" s="1"/>
  <c r="EZ60" i="1"/>
  <c r="AY60" i="1" s="1"/>
  <c r="EZ159" i="1"/>
  <c r="AY159" i="1" s="1"/>
  <c r="EZ59" i="1"/>
  <c r="AY59" i="1" s="1"/>
  <c r="AY236" i="1"/>
  <c r="AY235" i="1"/>
  <c r="AY229" i="1"/>
  <c r="EZ235" i="1"/>
  <c r="EZ111" i="1"/>
  <c r="AY111" i="1" s="1"/>
  <c r="EZ110" i="1"/>
  <c r="AY110" i="1" s="1"/>
  <c r="EZ236" i="1"/>
  <c r="EZ218" i="1"/>
  <c r="AY218" i="1" s="1"/>
  <c r="EZ231" i="1"/>
  <c r="EZ230" i="1"/>
  <c r="EZ234" i="1"/>
  <c r="AY234" i="1"/>
  <c r="AY231" i="1"/>
  <c r="AY230" i="1"/>
  <c r="EZ43" i="1"/>
  <c r="EZ40" i="1"/>
  <c r="EZ42" i="1"/>
  <c r="EZ46" i="1"/>
  <c r="EZ39" i="1"/>
  <c r="EZ45" i="1"/>
  <c r="EZ38" i="1"/>
  <c r="FA30" i="1"/>
  <c r="FA35" i="1" s="1"/>
  <c r="EZ41" i="1"/>
  <c r="AY43" i="1"/>
  <c r="AY42" i="1"/>
  <c r="AY45" i="1"/>
  <c r="AZ30" i="1"/>
  <c r="AZ44" i="1" s="1"/>
  <c r="AY41" i="1"/>
  <c r="EZ197" i="1"/>
  <c r="AY197" i="1" s="1"/>
  <c r="EZ222" i="1"/>
  <c r="EZ221" i="1"/>
  <c r="EZ223" i="1"/>
  <c r="EZ224" i="1"/>
  <c r="EZ213" i="1"/>
  <c r="AY213" i="1" s="1"/>
  <c r="EZ212" i="1"/>
  <c r="AY212" i="1" s="1"/>
  <c r="EZ215" i="1"/>
  <c r="AY215" i="1" s="1"/>
  <c r="EZ214" i="1"/>
  <c r="AY214" i="1" s="1"/>
  <c r="AY224" i="1"/>
  <c r="AY223" i="1"/>
  <c r="AY222" i="1"/>
  <c r="AY221" i="1"/>
  <c r="EZ207" i="1"/>
  <c r="EZ206" i="1"/>
  <c r="EZ205" i="1"/>
  <c r="EZ204" i="1"/>
  <c r="EZ201" i="1"/>
  <c r="AY201" i="1" s="1"/>
  <c r="EZ198" i="1"/>
  <c r="AY198" i="1" s="1"/>
  <c r="EZ195" i="1"/>
  <c r="AY195" i="1" s="1"/>
  <c r="EZ196" i="1"/>
  <c r="AY196" i="1" s="1"/>
  <c r="EZ129" i="1"/>
  <c r="AY129" i="1" s="1"/>
  <c r="EZ130" i="1"/>
  <c r="AY130" i="1" s="1"/>
  <c r="EZ128" i="1"/>
  <c r="AY128" i="1" s="1"/>
  <c r="EZ127" i="1"/>
  <c r="AY127" i="1" s="1"/>
  <c r="AY207" i="1"/>
  <c r="AY206" i="1"/>
  <c r="AY205" i="1"/>
  <c r="EZ79" i="1"/>
  <c r="AY79" i="1" s="1"/>
  <c r="EZ78" i="1"/>
  <c r="AY78" i="1" s="1"/>
  <c r="EZ77" i="1"/>
  <c r="AY77" i="1" s="1"/>
  <c r="EZ92" i="1"/>
  <c r="AY92" i="1" s="1"/>
  <c r="EZ91" i="1"/>
  <c r="AY91" i="1" s="1"/>
  <c r="EZ90" i="1"/>
  <c r="AY90" i="1" s="1"/>
  <c r="EZ76" i="1"/>
  <c r="AY76" i="1" s="1"/>
  <c r="EZ61" i="1"/>
  <c r="AY61" i="1" s="1"/>
  <c r="EZ178" i="1"/>
  <c r="AY178" i="1" s="1"/>
  <c r="EZ187" i="1"/>
  <c r="EZ189" i="1"/>
  <c r="AY189" i="1"/>
  <c r="AY190" i="1"/>
  <c r="AY187" i="1"/>
  <c r="AY188" i="1"/>
  <c r="AY151" i="1"/>
  <c r="AY153" i="1"/>
  <c r="AY152" i="1"/>
  <c r="AY150" i="1"/>
  <c r="EZ190" i="1"/>
  <c r="EZ188" i="1"/>
  <c r="EZ150" i="1"/>
  <c r="EZ153" i="1"/>
  <c r="EZ152" i="1"/>
  <c r="EZ98" i="1"/>
  <c r="EZ102" i="1"/>
  <c r="EZ99" i="1"/>
  <c r="EZ149" i="1"/>
  <c r="EZ101" i="1"/>
  <c r="EZ151" i="1"/>
  <c r="EZ97" i="1"/>
  <c r="EZ103" i="1"/>
  <c r="EZ104" i="1"/>
  <c r="EZ100" i="1"/>
  <c r="AY98" i="1"/>
  <c r="AY97" i="1"/>
  <c r="AY100" i="1"/>
  <c r="AY102" i="1"/>
  <c r="AY101" i="1"/>
  <c r="AY104" i="1"/>
  <c r="AY99" i="1"/>
  <c r="AY103" i="1"/>
  <c r="EZ80" i="1"/>
  <c r="AY80" i="1" s="1"/>
  <c r="EZ158" i="1"/>
  <c r="AY158" i="1" s="1"/>
  <c r="EZ120" i="1"/>
  <c r="AY120" i="1" s="1"/>
  <c r="EZ67" i="1"/>
  <c r="AY67" i="1" s="1"/>
  <c r="EZ109" i="1"/>
  <c r="AY109" i="1" s="1"/>
  <c r="EZ162" i="1"/>
  <c r="AY162" i="1" s="1"/>
  <c r="EZ113" i="1"/>
  <c r="AY113" i="1" s="1"/>
  <c r="EZ64" i="1"/>
  <c r="AY64" i="1" s="1"/>
  <c r="FA56" i="1"/>
  <c r="EZ58" i="1"/>
  <c r="AY58" i="1" s="1"/>
  <c r="EZ62" i="1"/>
  <c r="AY62" i="1" s="1"/>
  <c r="AZ56" i="1"/>
  <c r="AZ35" i="1" l="1"/>
  <c r="AY125" i="1"/>
  <c r="AY147" i="1"/>
  <c r="FA184" i="1"/>
  <c r="AZ184" i="1" s="1"/>
  <c r="FA179" i="1"/>
  <c r="AZ179" i="1" s="1"/>
  <c r="FA182" i="1"/>
  <c r="AZ182" i="1" s="1"/>
  <c r="FA183" i="1"/>
  <c r="AZ183" i="1" s="1"/>
  <c r="FA181" i="1"/>
  <c r="AZ181" i="1" s="1"/>
  <c r="FA180" i="1"/>
  <c r="AZ180" i="1" s="1"/>
  <c r="FA163" i="1"/>
  <c r="AZ163" i="1" s="1"/>
  <c r="FA176" i="1"/>
  <c r="AZ176" i="1" s="1"/>
  <c r="FA174" i="1"/>
  <c r="AZ174" i="1" s="1"/>
  <c r="FA177" i="1"/>
  <c r="AZ177" i="1" s="1"/>
  <c r="FA175" i="1"/>
  <c r="AZ175" i="1" s="1"/>
  <c r="FA161" i="1"/>
  <c r="AZ161" i="1" s="1"/>
  <c r="FA171" i="1"/>
  <c r="AZ171" i="1" s="1"/>
  <c r="FA170" i="1"/>
  <c r="AZ170" i="1" s="1"/>
  <c r="FA168" i="1"/>
  <c r="AZ168" i="1" s="1"/>
  <c r="FA169" i="1"/>
  <c r="AZ169" i="1" s="1"/>
  <c r="FA166" i="1"/>
  <c r="AZ166" i="1" s="1"/>
  <c r="FA167" i="1"/>
  <c r="AZ167" i="1" s="1"/>
  <c r="FA165" i="1"/>
  <c r="AZ165" i="1" s="1"/>
  <c r="FA164" i="1"/>
  <c r="AZ164" i="1" s="1"/>
  <c r="FA137" i="1"/>
  <c r="AZ137" i="1" s="1"/>
  <c r="FA136" i="1"/>
  <c r="AZ136" i="1" s="1"/>
  <c r="FA145" i="1"/>
  <c r="AZ145" i="1" s="1"/>
  <c r="FA144" i="1"/>
  <c r="AZ144" i="1" s="1"/>
  <c r="FA146" i="1"/>
  <c r="AZ146" i="1" s="1"/>
  <c r="FA142" i="1"/>
  <c r="AZ142" i="1" s="1"/>
  <c r="FA143" i="1"/>
  <c r="AZ143" i="1" s="1"/>
  <c r="FA139" i="1"/>
  <c r="AZ139" i="1" s="1"/>
  <c r="FA140" i="1"/>
  <c r="AZ140" i="1" s="1"/>
  <c r="FA141" i="1"/>
  <c r="AZ141" i="1" s="1"/>
  <c r="FA131" i="1"/>
  <c r="AZ131" i="1" s="1"/>
  <c r="FA132" i="1"/>
  <c r="AZ132" i="1" s="1"/>
  <c r="FA133" i="1"/>
  <c r="AZ133" i="1" s="1"/>
  <c r="FA135" i="1"/>
  <c r="AZ135" i="1" s="1"/>
  <c r="FA138" i="1"/>
  <c r="AZ138" i="1" s="1"/>
  <c r="FA134" i="1"/>
  <c r="AZ134" i="1" s="1"/>
  <c r="FA123" i="1"/>
  <c r="AZ123" i="1" s="1"/>
  <c r="FA124" i="1"/>
  <c r="AZ124" i="1" s="1"/>
  <c r="FA115" i="1"/>
  <c r="AZ115" i="1" s="1"/>
  <c r="FA121" i="1"/>
  <c r="AZ121" i="1" s="1"/>
  <c r="FA122" i="1"/>
  <c r="AZ122" i="1" s="1"/>
  <c r="FA118" i="1"/>
  <c r="AZ118" i="1" s="1"/>
  <c r="FA114" i="1"/>
  <c r="AZ114" i="1" s="1"/>
  <c r="FA116" i="1"/>
  <c r="AZ116" i="1" s="1"/>
  <c r="FA117" i="1"/>
  <c r="AZ117" i="1" s="1"/>
  <c r="FA119" i="1"/>
  <c r="AZ119" i="1" s="1"/>
  <c r="FA112" i="1"/>
  <c r="AZ112" i="1" s="1"/>
  <c r="FA94" i="1"/>
  <c r="AZ94" i="1" s="1"/>
  <c r="FA88" i="1"/>
  <c r="AZ88" i="1" s="1"/>
  <c r="FA87" i="1"/>
  <c r="AZ87" i="1" s="1"/>
  <c r="FA86" i="1"/>
  <c r="AZ86" i="1" s="1"/>
  <c r="FA89" i="1"/>
  <c r="AZ89" i="1" s="1"/>
  <c r="FA81" i="1"/>
  <c r="AZ81" i="1" s="1"/>
  <c r="FA84" i="1"/>
  <c r="AZ84" i="1" s="1"/>
  <c r="FA83" i="1"/>
  <c r="AZ83" i="1" s="1"/>
  <c r="FA82" i="1"/>
  <c r="AZ82" i="1" s="1"/>
  <c r="FA85" i="1"/>
  <c r="AZ85" i="1" s="1"/>
  <c r="FA66" i="1"/>
  <c r="AZ66" i="1" s="1"/>
  <c r="FA72" i="1"/>
  <c r="AZ72" i="1" s="1"/>
  <c r="FA73" i="1"/>
  <c r="AZ73" i="1" s="1"/>
  <c r="FA69" i="1"/>
  <c r="AZ69" i="1" s="1"/>
  <c r="FA70" i="1"/>
  <c r="AZ70" i="1" s="1"/>
  <c r="FA71" i="1"/>
  <c r="AZ71" i="1" s="1"/>
  <c r="FA68" i="1"/>
  <c r="AZ68" i="1" s="1"/>
  <c r="FA65" i="1"/>
  <c r="AZ65" i="1" s="1"/>
  <c r="FA63" i="1"/>
  <c r="AZ63" i="1" s="1"/>
  <c r="FA44" i="1"/>
  <c r="FA32" i="1"/>
  <c r="AZ32" i="1" s="1"/>
  <c r="FA31" i="1"/>
  <c r="AZ233" i="1"/>
  <c r="AZ232" i="1"/>
  <c r="FA232" i="1"/>
  <c r="FA233" i="1"/>
  <c r="FA93" i="1"/>
  <c r="AZ93" i="1" s="1"/>
  <c r="AZ236" i="1"/>
  <c r="AZ235" i="1"/>
  <c r="AZ229" i="1"/>
  <c r="FA160" i="1"/>
  <c r="AZ160" i="1" s="1"/>
  <c r="FA60" i="1"/>
  <c r="AZ60" i="1" s="1"/>
  <c r="FA159" i="1"/>
  <c r="AZ159" i="1" s="1"/>
  <c r="FA59" i="1"/>
  <c r="AZ59" i="1" s="1"/>
  <c r="FA235" i="1"/>
  <c r="FA229" i="1"/>
  <c r="FA236" i="1"/>
  <c r="FA111" i="1"/>
  <c r="AZ111" i="1" s="1"/>
  <c r="FA110" i="1"/>
  <c r="AZ110" i="1" s="1"/>
  <c r="FA218" i="1"/>
  <c r="AZ218" i="1" s="1"/>
  <c r="FA234" i="1"/>
  <c r="FA230" i="1"/>
  <c r="AZ234" i="1"/>
  <c r="AZ230" i="1"/>
  <c r="AZ231" i="1"/>
  <c r="FA231" i="1"/>
  <c r="FA45" i="1"/>
  <c r="FA42" i="1"/>
  <c r="FA38" i="1"/>
  <c r="FA46" i="1"/>
  <c r="FB30" i="1"/>
  <c r="FB35" i="1" s="1"/>
  <c r="FA39" i="1"/>
  <c r="FA43" i="1"/>
  <c r="FA40" i="1"/>
  <c r="FA41" i="1"/>
  <c r="BA30" i="1"/>
  <c r="BA44" i="1" s="1"/>
  <c r="AZ43" i="1"/>
  <c r="AZ41" i="1"/>
  <c r="AZ42" i="1"/>
  <c r="AZ45" i="1"/>
  <c r="AZ222" i="1"/>
  <c r="AZ221" i="1"/>
  <c r="AZ223" i="1"/>
  <c r="AZ224" i="1"/>
  <c r="FA197" i="1"/>
  <c r="AZ197" i="1" s="1"/>
  <c r="FA223" i="1"/>
  <c r="FA222" i="1"/>
  <c r="FA224" i="1"/>
  <c r="FA221" i="1"/>
  <c r="FA215" i="1"/>
  <c r="AZ215" i="1" s="1"/>
  <c r="FA213" i="1"/>
  <c r="AZ213" i="1" s="1"/>
  <c r="FA212" i="1"/>
  <c r="AZ212" i="1" s="1"/>
  <c r="FA214" i="1"/>
  <c r="AZ214" i="1" s="1"/>
  <c r="FA206" i="1"/>
  <c r="FA205" i="1"/>
  <c r="FA207" i="1"/>
  <c r="FA204" i="1"/>
  <c r="FA201" i="1"/>
  <c r="AZ201" i="1" s="1"/>
  <c r="FA198" i="1"/>
  <c r="AZ198" i="1" s="1"/>
  <c r="FA195" i="1"/>
  <c r="AZ195" i="1" s="1"/>
  <c r="FA196" i="1"/>
  <c r="AZ196" i="1" s="1"/>
  <c r="FA130" i="1"/>
  <c r="AZ130" i="1" s="1"/>
  <c r="FA128" i="1"/>
  <c r="AZ128" i="1" s="1"/>
  <c r="FA127" i="1"/>
  <c r="AZ127" i="1" s="1"/>
  <c r="FA129" i="1"/>
  <c r="AZ129" i="1" s="1"/>
  <c r="AZ207" i="1"/>
  <c r="AZ206" i="1"/>
  <c r="AZ205" i="1"/>
  <c r="FA78" i="1"/>
  <c r="AZ78" i="1" s="1"/>
  <c r="FA79" i="1"/>
  <c r="AZ79" i="1" s="1"/>
  <c r="FA77" i="1"/>
  <c r="AZ77" i="1" s="1"/>
  <c r="FA76" i="1"/>
  <c r="AZ76" i="1" s="1"/>
  <c r="FA61" i="1"/>
  <c r="AZ61" i="1" s="1"/>
  <c r="FA91" i="1"/>
  <c r="AZ91" i="1" s="1"/>
  <c r="FA92" i="1"/>
  <c r="AZ92" i="1" s="1"/>
  <c r="FA90" i="1"/>
  <c r="AZ90" i="1" s="1"/>
  <c r="FA189" i="1"/>
  <c r="FA188" i="1"/>
  <c r="FA187" i="1"/>
  <c r="FA178" i="1"/>
  <c r="AZ178" i="1" s="1"/>
  <c r="FA190" i="1"/>
  <c r="AZ190" i="1"/>
  <c r="AZ189" i="1"/>
  <c r="AZ188" i="1"/>
  <c r="AZ150" i="1"/>
  <c r="AZ151" i="1"/>
  <c r="AZ187" i="1"/>
  <c r="AZ153" i="1"/>
  <c r="AZ152" i="1"/>
  <c r="FA153" i="1"/>
  <c r="FA151" i="1"/>
  <c r="FA152" i="1"/>
  <c r="FA97" i="1"/>
  <c r="FA101" i="1"/>
  <c r="FA150" i="1"/>
  <c r="FA100" i="1"/>
  <c r="FA103" i="1"/>
  <c r="FA149" i="1"/>
  <c r="FA99" i="1"/>
  <c r="FA98" i="1"/>
  <c r="FA104" i="1"/>
  <c r="FA102" i="1"/>
  <c r="AZ99" i="1"/>
  <c r="AZ98" i="1"/>
  <c r="AZ97" i="1"/>
  <c r="AZ103" i="1"/>
  <c r="AZ100" i="1"/>
  <c r="AZ102" i="1"/>
  <c r="AZ104" i="1"/>
  <c r="AZ101" i="1"/>
  <c r="FA80" i="1"/>
  <c r="AZ80" i="1" s="1"/>
  <c r="FA158" i="1"/>
  <c r="AZ158" i="1" s="1"/>
  <c r="FA120" i="1"/>
  <c r="AZ120" i="1" s="1"/>
  <c r="FA67" i="1"/>
  <c r="AZ67" i="1" s="1"/>
  <c r="FA109" i="1"/>
  <c r="AZ109" i="1" s="1"/>
  <c r="FA162" i="1"/>
  <c r="AZ162" i="1" s="1"/>
  <c r="FA113" i="1"/>
  <c r="AZ113" i="1" s="1"/>
  <c r="FA58" i="1"/>
  <c r="AZ58" i="1" s="1"/>
  <c r="FA62" i="1"/>
  <c r="AZ62" i="1" s="1"/>
  <c r="FB56" i="1"/>
  <c r="FA64" i="1"/>
  <c r="AZ64" i="1" s="1"/>
  <c r="BA56" i="1"/>
  <c r="BA35" i="1" l="1"/>
  <c r="AZ125" i="1"/>
  <c r="AZ147" i="1"/>
  <c r="FB184" i="1"/>
  <c r="BA184" i="1" s="1"/>
  <c r="FB182" i="1"/>
  <c r="BA182" i="1" s="1"/>
  <c r="FB183" i="1"/>
  <c r="BA183" i="1" s="1"/>
  <c r="FB180" i="1"/>
  <c r="BA180" i="1" s="1"/>
  <c r="FB179" i="1"/>
  <c r="BA179" i="1" s="1"/>
  <c r="FB181" i="1"/>
  <c r="BA181" i="1" s="1"/>
  <c r="FB163" i="1"/>
  <c r="BA163" i="1" s="1"/>
  <c r="FB176" i="1"/>
  <c r="BA176" i="1" s="1"/>
  <c r="FB177" i="1"/>
  <c r="BA177" i="1" s="1"/>
  <c r="FB175" i="1"/>
  <c r="BA175" i="1" s="1"/>
  <c r="FB174" i="1"/>
  <c r="BA174" i="1" s="1"/>
  <c r="FB161" i="1"/>
  <c r="BA161" i="1" s="1"/>
  <c r="FB170" i="1"/>
  <c r="BA170" i="1" s="1"/>
  <c r="FB171" i="1"/>
  <c r="BA171" i="1" s="1"/>
  <c r="FB169" i="1"/>
  <c r="BA169" i="1" s="1"/>
  <c r="FB167" i="1"/>
  <c r="BA167" i="1" s="1"/>
  <c r="FB168" i="1"/>
  <c r="BA168" i="1" s="1"/>
  <c r="FB165" i="1"/>
  <c r="BA165" i="1" s="1"/>
  <c r="FB166" i="1"/>
  <c r="BA166" i="1" s="1"/>
  <c r="FB164" i="1"/>
  <c r="BA164" i="1" s="1"/>
  <c r="FB137" i="1"/>
  <c r="BA137" i="1" s="1"/>
  <c r="FB136" i="1"/>
  <c r="BA136" i="1" s="1"/>
  <c r="FB146" i="1"/>
  <c r="BA146" i="1" s="1"/>
  <c r="FB143" i="1"/>
  <c r="BA143" i="1" s="1"/>
  <c r="FB141" i="1"/>
  <c r="BA141" i="1" s="1"/>
  <c r="FB144" i="1"/>
  <c r="BA144" i="1" s="1"/>
  <c r="FB142" i="1"/>
  <c r="BA142" i="1" s="1"/>
  <c r="FB145" i="1"/>
  <c r="BA145" i="1" s="1"/>
  <c r="FB140" i="1"/>
  <c r="BA140" i="1" s="1"/>
  <c r="FB139" i="1"/>
  <c r="BA139" i="1" s="1"/>
  <c r="FB131" i="1"/>
  <c r="BA131" i="1" s="1"/>
  <c r="FB132" i="1"/>
  <c r="BA132" i="1" s="1"/>
  <c r="FB133" i="1"/>
  <c r="BA133" i="1" s="1"/>
  <c r="FB135" i="1"/>
  <c r="BA135" i="1" s="1"/>
  <c r="FB138" i="1"/>
  <c r="BA138" i="1" s="1"/>
  <c r="FB134" i="1"/>
  <c r="BA134" i="1" s="1"/>
  <c r="FB123" i="1"/>
  <c r="BA123" i="1" s="1"/>
  <c r="FB124" i="1"/>
  <c r="BA124" i="1" s="1"/>
  <c r="FB115" i="1"/>
  <c r="BA115" i="1" s="1"/>
  <c r="FB122" i="1"/>
  <c r="BA122" i="1" s="1"/>
  <c r="FB121" i="1"/>
  <c r="BA121" i="1" s="1"/>
  <c r="FB119" i="1"/>
  <c r="BA119" i="1" s="1"/>
  <c r="FB117" i="1"/>
  <c r="BA117" i="1" s="1"/>
  <c r="FB118" i="1"/>
  <c r="BA118" i="1" s="1"/>
  <c r="FB116" i="1"/>
  <c r="BA116" i="1" s="1"/>
  <c r="FB114" i="1"/>
  <c r="BA114" i="1" s="1"/>
  <c r="FB112" i="1"/>
  <c r="BA112" i="1" s="1"/>
  <c r="FB94" i="1"/>
  <c r="BA94" i="1" s="1"/>
  <c r="FB88" i="1"/>
  <c r="BA88" i="1" s="1"/>
  <c r="FB89" i="1"/>
  <c r="BA89" i="1" s="1"/>
  <c r="FB87" i="1"/>
  <c r="BA87" i="1" s="1"/>
  <c r="FB86" i="1"/>
  <c r="BA86" i="1" s="1"/>
  <c r="FB81" i="1"/>
  <c r="BA81" i="1" s="1"/>
  <c r="FB84" i="1"/>
  <c r="BA84" i="1" s="1"/>
  <c r="FB85" i="1"/>
  <c r="BA85" i="1" s="1"/>
  <c r="FB83" i="1"/>
  <c r="BA83" i="1" s="1"/>
  <c r="FB82" i="1"/>
  <c r="BA82" i="1" s="1"/>
  <c r="FB66" i="1"/>
  <c r="BA66" i="1" s="1"/>
  <c r="FB73" i="1"/>
  <c r="BA73" i="1" s="1"/>
  <c r="FB72" i="1"/>
  <c r="BA72" i="1" s="1"/>
  <c r="FB71" i="1"/>
  <c r="BA71" i="1" s="1"/>
  <c r="FB70" i="1"/>
  <c r="BA70" i="1" s="1"/>
  <c r="FB69" i="1"/>
  <c r="BA69" i="1" s="1"/>
  <c r="FB68" i="1"/>
  <c r="BA68" i="1" s="1"/>
  <c r="FB65" i="1"/>
  <c r="BA65" i="1" s="1"/>
  <c r="FB63" i="1"/>
  <c r="BA63" i="1" s="1"/>
  <c r="FB44" i="1"/>
  <c r="FB31" i="1"/>
  <c r="FB32" i="1"/>
  <c r="BA32" i="1" s="1"/>
  <c r="FB232" i="1"/>
  <c r="FB233" i="1"/>
  <c r="BA233" i="1"/>
  <c r="BA232" i="1"/>
  <c r="FB93" i="1"/>
  <c r="BA93" i="1" s="1"/>
  <c r="FB235" i="1"/>
  <c r="BA236" i="1"/>
  <c r="BA235" i="1"/>
  <c r="BA229" i="1"/>
  <c r="FB60" i="1"/>
  <c r="BA60" i="1" s="1"/>
  <c r="FB160" i="1"/>
  <c r="BA160" i="1" s="1"/>
  <c r="FB159" i="1"/>
  <c r="BA159" i="1" s="1"/>
  <c r="FB59" i="1"/>
  <c r="BA59" i="1" s="1"/>
  <c r="FB229" i="1"/>
  <c r="FB111" i="1"/>
  <c r="BA111" i="1" s="1"/>
  <c r="FB110" i="1"/>
  <c r="BA110" i="1" s="1"/>
  <c r="FB236" i="1"/>
  <c r="FB218" i="1"/>
  <c r="BA218" i="1" s="1"/>
  <c r="FB231" i="1"/>
  <c r="BA234" i="1"/>
  <c r="BA230" i="1"/>
  <c r="BA231" i="1"/>
  <c r="FB230" i="1"/>
  <c r="FB234" i="1"/>
  <c r="FB43" i="1"/>
  <c r="FB39" i="1"/>
  <c r="FB46" i="1"/>
  <c r="FB45" i="1"/>
  <c r="FB38" i="1"/>
  <c r="FB41" i="1"/>
  <c r="FB40" i="1"/>
  <c r="FC30" i="1"/>
  <c r="FC35" i="1" s="1"/>
  <c r="FB42" i="1"/>
  <c r="BA41" i="1"/>
  <c r="BB30" i="1"/>
  <c r="BB44" i="1" s="1"/>
  <c r="BA43" i="1"/>
  <c r="BA45" i="1"/>
  <c r="BA42" i="1"/>
  <c r="BA223" i="1"/>
  <c r="BA224" i="1"/>
  <c r="BA221" i="1"/>
  <c r="BA222" i="1"/>
  <c r="FB197" i="1"/>
  <c r="BA197" i="1" s="1"/>
  <c r="FB224" i="1"/>
  <c r="FB223" i="1"/>
  <c r="FB221" i="1"/>
  <c r="FB222" i="1"/>
  <c r="FB214" i="1"/>
  <c r="BA214" i="1" s="1"/>
  <c r="FB215" i="1"/>
  <c r="BA215" i="1" s="1"/>
  <c r="FB213" i="1"/>
  <c r="BA213" i="1" s="1"/>
  <c r="FB212" i="1"/>
  <c r="BA212" i="1" s="1"/>
  <c r="BA207" i="1"/>
  <c r="BA206" i="1"/>
  <c r="BA205" i="1"/>
  <c r="FB207" i="1"/>
  <c r="FB206" i="1"/>
  <c r="FB205" i="1"/>
  <c r="FB204" i="1"/>
  <c r="FB201" i="1"/>
  <c r="BA201" i="1" s="1"/>
  <c r="FB196" i="1"/>
  <c r="BA196" i="1" s="1"/>
  <c r="FB198" i="1"/>
  <c r="BA198" i="1" s="1"/>
  <c r="FB195" i="1"/>
  <c r="BA195" i="1" s="1"/>
  <c r="FB130" i="1"/>
  <c r="BA130" i="1" s="1"/>
  <c r="FB128" i="1"/>
  <c r="BA128" i="1" s="1"/>
  <c r="FB129" i="1"/>
  <c r="BA129" i="1" s="1"/>
  <c r="FB127" i="1"/>
  <c r="BA127" i="1" s="1"/>
  <c r="FB78" i="1"/>
  <c r="BA78" i="1" s="1"/>
  <c r="FB79" i="1"/>
  <c r="BA79" i="1" s="1"/>
  <c r="FB61" i="1"/>
  <c r="BA61" i="1" s="1"/>
  <c r="FB92" i="1"/>
  <c r="BA92" i="1" s="1"/>
  <c r="FB90" i="1"/>
  <c r="BA90" i="1" s="1"/>
  <c r="FB91" i="1"/>
  <c r="BA91" i="1" s="1"/>
  <c r="FB77" i="1"/>
  <c r="BA77" i="1" s="1"/>
  <c r="FB76" i="1"/>
  <c r="BA76" i="1" s="1"/>
  <c r="FB187" i="1"/>
  <c r="FB190" i="1"/>
  <c r="FB188" i="1"/>
  <c r="BA189" i="1"/>
  <c r="BA188" i="1"/>
  <c r="BA190" i="1"/>
  <c r="BA187" i="1"/>
  <c r="BA152" i="1"/>
  <c r="BA153" i="1"/>
  <c r="BA150" i="1"/>
  <c r="BA151" i="1"/>
  <c r="FB178" i="1"/>
  <c r="BA178" i="1" s="1"/>
  <c r="FB189" i="1"/>
  <c r="FB153" i="1"/>
  <c r="FB151" i="1"/>
  <c r="FB152" i="1"/>
  <c r="FB150" i="1"/>
  <c r="FB149" i="1"/>
  <c r="FB100" i="1"/>
  <c r="FB97" i="1"/>
  <c r="FB99" i="1"/>
  <c r="FB102" i="1"/>
  <c r="FB101" i="1"/>
  <c r="FB98" i="1"/>
  <c r="FB103" i="1"/>
  <c r="FB104" i="1"/>
  <c r="BA100" i="1"/>
  <c r="BA99" i="1"/>
  <c r="BA104" i="1"/>
  <c r="BA97" i="1"/>
  <c r="BA98" i="1"/>
  <c r="BA101" i="1"/>
  <c r="BA103" i="1"/>
  <c r="BA102" i="1"/>
  <c r="FB80" i="1"/>
  <c r="BA80" i="1" s="1"/>
  <c r="FB158" i="1"/>
  <c r="BA158" i="1" s="1"/>
  <c r="FB120" i="1"/>
  <c r="BA120" i="1" s="1"/>
  <c r="FB67" i="1"/>
  <c r="BA67" i="1" s="1"/>
  <c r="FB109" i="1"/>
  <c r="BA109" i="1" s="1"/>
  <c r="FB162" i="1"/>
  <c r="BA162" i="1" s="1"/>
  <c r="FB113" i="1"/>
  <c r="BA113" i="1" s="1"/>
  <c r="FB64" i="1"/>
  <c r="BA64" i="1" s="1"/>
  <c r="FB58" i="1"/>
  <c r="BA58" i="1" s="1"/>
  <c r="FB62" i="1"/>
  <c r="BA62" i="1" s="1"/>
  <c r="FC56" i="1"/>
  <c r="BB56" i="1"/>
  <c r="BB35" i="1" l="1"/>
  <c r="BA147" i="1"/>
  <c r="BA125" i="1"/>
  <c r="FC184" i="1"/>
  <c r="BB184" i="1" s="1"/>
  <c r="FC180" i="1"/>
  <c r="BB180" i="1" s="1"/>
  <c r="FC183" i="1"/>
  <c r="BB183" i="1" s="1"/>
  <c r="FC179" i="1"/>
  <c r="BB179" i="1" s="1"/>
  <c r="FC181" i="1"/>
  <c r="BB181" i="1" s="1"/>
  <c r="FC182" i="1"/>
  <c r="BB182" i="1" s="1"/>
  <c r="FC163" i="1"/>
  <c r="BB163" i="1" s="1"/>
  <c r="FC177" i="1"/>
  <c r="BB177" i="1" s="1"/>
  <c r="FC175" i="1"/>
  <c r="BB175" i="1" s="1"/>
  <c r="FC176" i="1"/>
  <c r="BB176" i="1" s="1"/>
  <c r="FC174" i="1"/>
  <c r="BB174" i="1" s="1"/>
  <c r="FC161" i="1"/>
  <c r="BB161" i="1" s="1"/>
  <c r="FC171" i="1"/>
  <c r="BB171" i="1" s="1"/>
  <c r="FC169" i="1"/>
  <c r="BB169" i="1" s="1"/>
  <c r="FC170" i="1"/>
  <c r="BB170" i="1" s="1"/>
  <c r="FC168" i="1"/>
  <c r="BB168" i="1" s="1"/>
  <c r="FC167" i="1"/>
  <c r="BB167" i="1" s="1"/>
  <c r="FC165" i="1"/>
  <c r="BB165" i="1" s="1"/>
  <c r="FC166" i="1"/>
  <c r="BB166" i="1" s="1"/>
  <c r="FC164" i="1"/>
  <c r="BB164" i="1" s="1"/>
  <c r="FC137" i="1"/>
  <c r="BB137" i="1" s="1"/>
  <c r="FC136" i="1"/>
  <c r="BB136" i="1" s="1"/>
  <c r="FC146" i="1"/>
  <c r="BB146" i="1" s="1"/>
  <c r="FC145" i="1"/>
  <c r="BB145" i="1" s="1"/>
  <c r="FC143" i="1"/>
  <c r="BB143" i="1" s="1"/>
  <c r="FC141" i="1"/>
  <c r="BB141" i="1" s="1"/>
  <c r="FC140" i="1"/>
  <c r="BB140" i="1" s="1"/>
  <c r="FC139" i="1"/>
  <c r="BB139" i="1" s="1"/>
  <c r="FC142" i="1"/>
  <c r="BB142" i="1" s="1"/>
  <c r="FC144" i="1"/>
  <c r="BB144" i="1" s="1"/>
  <c r="FC131" i="1"/>
  <c r="BB131" i="1" s="1"/>
  <c r="FC132" i="1"/>
  <c r="BB132" i="1" s="1"/>
  <c r="FC133" i="1"/>
  <c r="BB133" i="1" s="1"/>
  <c r="FC138" i="1"/>
  <c r="BB138" i="1" s="1"/>
  <c r="FC134" i="1"/>
  <c r="BB134" i="1" s="1"/>
  <c r="FC135" i="1"/>
  <c r="BB135" i="1" s="1"/>
  <c r="FC123" i="1"/>
  <c r="BB123" i="1" s="1"/>
  <c r="FC124" i="1"/>
  <c r="BB124" i="1" s="1"/>
  <c r="FC115" i="1"/>
  <c r="BB115" i="1" s="1"/>
  <c r="FC122" i="1"/>
  <c r="BB122" i="1" s="1"/>
  <c r="FC121" i="1"/>
  <c r="BB121" i="1" s="1"/>
  <c r="FC119" i="1"/>
  <c r="BB119" i="1" s="1"/>
  <c r="FC116" i="1"/>
  <c r="BB116" i="1" s="1"/>
  <c r="FC117" i="1"/>
  <c r="BB117" i="1" s="1"/>
  <c r="FC118" i="1"/>
  <c r="BB118" i="1" s="1"/>
  <c r="FC114" i="1"/>
  <c r="BB114" i="1" s="1"/>
  <c r="FC112" i="1"/>
  <c r="BB112" i="1" s="1"/>
  <c r="FC94" i="1"/>
  <c r="BB94" i="1" s="1"/>
  <c r="FC89" i="1"/>
  <c r="BB89" i="1" s="1"/>
  <c r="FC86" i="1"/>
  <c r="BB86" i="1" s="1"/>
  <c r="FC87" i="1"/>
  <c r="BB87" i="1" s="1"/>
  <c r="FC88" i="1"/>
  <c r="BB88" i="1" s="1"/>
  <c r="FC81" i="1"/>
  <c r="BB81" i="1" s="1"/>
  <c r="FC85" i="1"/>
  <c r="BB85" i="1" s="1"/>
  <c r="FC83" i="1"/>
  <c r="BB83" i="1" s="1"/>
  <c r="FC82" i="1"/>
  <c r="BB82" i="1" s="1"/>
  <c r="FC84" i="1"/>
  <c r="BB84" i="1" s="1"/>
  <c r="FC66" i="1"/>
  <c r="BB66" i="1" s="1"/>
  <c r="FC72" i="1"/>
  <c r="BB72" i="1" s="1"/>
  <c r="FC73" i="1"/>
  <c r="BB73" i="1" s="1"/>
  <c r="FC71" i="1"/>
  <c r="BB71" i="1" s="1"/>
  <c r="FC70" i="1"/>
  <c r="BB70" i="1" s="1"/>
  <c r="FC68" i="1"/>
  <c r="BB68" i="1" s="1"/>
  <c r="FC69" i="1"/>
  <c r="BB69" i="1" s="1"/>
  <c r="FC65" i="1"/>
  <c r="BB65" i="1" s="1"/>
  <c r="FC63" i="1"/>
  <c r="BB63" i="1" s="1"/>
  <c r="FC44" i="1"/>
  <c r="FC32" i="1"/>
  <c r="BB32" i="1" s="1"/>
  <c r="FC31" i="1"/>
  <c r="BB233" i="1"/>
  <c r="BB232" i="1"/>
  <c r="FC233" i="1"/>
  <c r="FC232" i="1"/>
  <c r="FC93" i="1"/>
  <c r="BB93" i="1" s="1"/>
  <c r="FC235" i="1"/>
  <c r="BB236" i="1"/>
  <c r="BB229" i="1"/>
  <c r="BB235" i="1"/>
  <c r="FC160" i="1"/>
  <c r="BB160" i="1" s="1"/>
  <c r="FC60" i="1"/>
  <c r="BB60" i="1" s="1"/>
  <c r="FC159" i="1"/>
  <c r="BB159" i="1" s="1"/>
  <c r="FC59" i="1"/>
  <c r="BB59" i="1" s="1"/>
  <c r="FC229" i="1"/>
  <c r="FC236" i="1"/>
  <c r="FC111" i="1"/>
  <c r="BB111" i="1" s="1"/>
  <c r="FC110" i="1"/>
  <c r="BB110" i="1" s="1"/>
  <c r="FC234" i="1"/>
  <c r="FC230" i="1"/>
  <c r="BB234" i="1"/>
  <c r="BB231" i="1"/>
  <c r="BB230" i="1"/>
  <c r="FC218" i="1"/>
  <c r="BB218" i="1" s="1"/>
  <c r="FC231" i="1"/>
  <c r="FD30" i="1"/>
  <c r="FD35" i="1" s="1"/>
  <c r="FC38" i="1"/>
  <c r="FC39" i="1"/>
  <c r="FC45" i="1"/>
  <c r="FC41" i="1"/>
  <c r="FC46" i="1"/>
  <c r="FC40" i="1"/>
  <c r="FC43" i="1"/>
  <c r="FC42" i="1"/>
  <c r="BB45" i="1"/>
  <c r="BB43" i="1"/>
  <c r="BC30" i="1"/>
  <c r="BC44" i="1" s="1"/>
  <c r="BB42" i="1"/>
  <c r="BB41" i="1"/>
  <c r="FC197" i="1"/>
  <c r="BB197" i="1" s="1"/>
  <c r="FC224" i="1"/>
  <c r="FC223" i="1"/>
  <c r="FC222" i="1"/>
  <c r="FC221" i="1"/>
  <c r="FC215" i="1"/>
  <c r="BB215" i="1" s="1"/>
  <c r="FC214" i="1"/>
  <c r="BB214" i="1" s="1"/>
  <c r="FC213" i="1"/>
  <c r="BB213" i="1" s="1"/>
  <c r="FC212" i="1"/>
  <c r="BB212" i="1" s="1"/>
  <c r="BB224" i="1"/>
  <c r="BB223" i="1"/>
  <c r="BB221" i="1"/>
  <c r="BB222" i="1"/>
  <c r="FC207" i="1"/>
  <c r="FC206" i="1"/>
  <c r="FC205" i="1"/>
  <c r="FC204" i="1"/>
  <c r="FC201" i="1"/>
  <c r="BB201" i="1" s="1"/>
  <c r="FC196" i="1"/>
  <c r="BB196" i="1" s="1"/>
  <c r="FC198" i="1"/>
  <c r="BB198" i="1" s="1"/>
  <c r="FC195" i="1"/>
  <c r="BB195" i="1" s="1"/>
  <c r="FC129" i="1"/>
  <c r="BB129" i="1" s="1"/>
  <c r="FC130" i="1"/>
  <c r="BB130" i="1" s="1"/>
  <c r="FC128" i="1"/>
  <c r="BB128" i="1" s="1"/>
  <c r="FC127" i="1"/>
  <c r="BB127" i="1" s="1"/>
  <c r="BB207" i="1"/>
  <c r="BB205" i="1"/>
  <c r="BB206" i="1"/>
  <c r="FC79" i="1"/>
  <c r="BB79" i="1" s="1"/>
  <c r="FC78" i="1"/>
  <c r="BB78" i="1" s="1"/>
  <c r="FC77" i="1"/>
  <c r="BB77" i="1" s="1"/>
  <c r="FC76" i="1"/>
  <c r="BB76" i="1" s="1"/>
  <c r="FC92" i="1"/>
  <c r="BB92" i="1" s="1"/>
  <c r="FC91" i="1"/>
  <c r="BB91" i="1" s="1"/>
  <c r="FC90" i="1"/>
  <c r="BB90" i="1" s="1"/>
  <c r="FC61" i="1"/>
  <c r="BB61" i="1" s="1"/>
  <c r="FC187" i="1"/>
  <c r="BB190" i="1"/>
  <c r="BB187" i="1"/>
  <c r="BB189" i="1"/>
  <c r="BB188" i="1"/>
  <c r="BB151" i="1"/>
  <c r="BB150" i="1"/>
  <c r="BB153" i="1"/>
  <c r="BB152" i="1"/>
  <c r="FC189" i="1"/>
  <c r="FC188" i="1"/>
  <c r="FC190" i="1"/>
  <c r="FC178" i="1"/>
  <c r="BB178" i="1" s="1"/>
  <c r="FC152" i="1"/>
  <c r="FC150" i="1"/>
  <c r="FC153" i="1"/>
  <c r="FC151" i="1"/>
  <c r="FC99" i="1"/>
  <c r="FC103" i="1"/>
  <c r="FC149" i="1"/>
  <c r="FC98" i="1"/>
  <c r="FC101" i="1"/>
  <c r="FC97" i="1"/>
  <c r="FC100" i="1"/>
  <c r="FC102" i="1"/>
  <c r="FC104" i="1"/>
  <c r="BB97" i="1"/>
  <c r="BB100" i="1"/>
  <c r="BB99" i="1"/>
  <c r="BB101" i="1"/>
  <c r="BB102" i="1"/>
  <c r="BB103" i="1"/>
  <c r="BB104" i="1"/>
  <c r="BB98" i="1"/>
  <c r="FC80" i="1"/>
  <c r="BB80" i="1" s="1"/>
  <c r="FC158" i="1"/>
  <c r="BB158" i="1" s="1"/>
  <c r="FC120" i="1"/>
  <c r="BB120" i="1" s="1"/>
  <c r="FC67" i="1"/>
  <c r="BB67" i="1" s="1"/>
  <c r="FC109" i="1"/>
  <c r="BB109" i="1" s="1"/>
  <c r="FC162" i="1"/>
  <c r="BB162" i="1" s="1"/>
  <c r="FC113" i="1"/>
  <c r="BB113" i="1" s="1"/>
  <c r="FC64" i="1"/>
  <c r="BB64" i="1" s="1"/>
  <c r="FC58" i="1"/>
  <c r="BB58" i="1" s="1"/>
  <c r="FD56" i="1"/>
  <c r="FC62" i="1"/>
  <c r="BB62" i="1" s="1"/>
  <c r="BC56" i="1"/>
  <c r="BC35" i="1" l="1"/>
  <c r="BB125" i="1"/>
  <c r="BB147" i="1"/>
  <c r="FD184" i="1"/>
  <c r="BC184" i="1" s="1"/>
  <c r="FD183" i="1"/>
  <c r="BC183" i="1" s="1"/>
  <c r="FD181" i="1"/>
  <c r="BC181" i="1" s="1"/>
  <c r="FD180" i="1"/>
  <c r="BC180" i="1" s="1"/>
  <c r="FD182" i="1"/>
  <c r="BC182" i="1" s="1"/>
  <c r="FD179" i="1"/>
  <c r="BC179" i="1" s="1"/>
  <c r="FD163" i="1"/>
  <c r="BC163" i="1" s="1"/>
  <c r="FD177" i="1"/>
  <c r="BC177" i="1" s="1"/>
  <c r="FD176" i="1"/>
  <c r="BC176" i="1" s="1"/>
  <c r="FD175" i="1"/>
  <c r="BC175" i="1" s="1"/>
  <c r="FD174" i="1"/>
  <c r="BC174" i="1" s="1"/>
  <c r="FD161" i="1"/>
  <c r="BC161" i="1" s="1"/>
  <c r="FD171" i="1"/>
  <c r="BC171" i="1" s="1"/>
  <c r="FD170" i="1"/>
  <c r="BC170" i="1" s="1"/>
  <c r="FD168" i="1"/>
  <c r="BC168" i="1" s="1"/>
  <c r="FD169" i="1"/>
  <c r="BC169" i="1" s="1"/>
  <c r="FD167" i="1"/>
  <c r="BC167" i="1" s="1"/>
  <c r="FD166" i="1"/>
  <c r="BC166" i="1" s="1"/>
  <c r="FD165" i="1"/>
  <c r="BC165" i="1" s="1"/>
  <c r="FD164" i="1"/>
  <c r="BC164" i="1" s="1"/>
  <c r="FD137" i="1"/>
  <c r="BC137" i="1" s="1"/>
  <c r="FD136" i="1"/>
  <c r="BC136" i="1" s="1"/>
  <c r="FD146" i="1"/>
  <c r="BC146" i="1" s="1"/>
  <c r="FD145" i="1"/>
  <c r="BC145" i="1" s="1"/>
  <c r="FD144" i="1"/>
  <c r="BC144" i="1" s="1"/>
  <c r="FD143" i="1"/>
  <c r="BC143" i="1" s="1"/>
  <c r="FD142" i="1"/>
  <c r="BC142" i="1" s="1"/>
  <c r="FD139" i="1"/>
  <c r="BC139" i="1" s="1"/>
  <c r="FD141" i="1"/>
  <c r="BC141" i="1" s="1"/>
  <c r="FD140" i="1"/>
  <c r="BC140" i="1" s="1"/>
  <c r="FD131" i="1"/>
  <c r="BC131" i="1" s="1"/>
  <c r="FD132" i="1"/>
  <c r="BC132" i="1" s="1"/>
  <c r="FD133" i="1"/>
  <c r="BC133" i="1" s="1"/>
  <c r="FD138" i="1"/>
  <c r="BC138" i="1" s="1"/>
  <c r="FD135" i="1"/>
  <c r="BC135" i="1" s="1"/>
  <c r="FD134" i="1"/>
  <c r="BC134" i="1" s="1"/>
  <c r="FD124" i="1"/>
  <c r="BC124" i="1" s="1"/>
  <c r="FD123" i="1"/>
  <c r="BC123" i="1" s="1"/>
  <c r="FD115" i="1"/>
  <c r="BC115" i="1" s="1"/>
  <c r="FD121" i="1"/>
  <c r="BC121" i="1" s="1"/>
  <c r="FD122" i="1"/>
  <c r="BC122" i="1" s="1"/>
  <c r="FD118" i="1"/>
  <c r="BC118" i="1" s="1"/>
  <c r="FD117" i="1"/>
  <c r="BC117" i="1" s="1"/>
  <c r="FD119" i="1"/>
  <c r="BC119" i="1" s="1"/>
  <c r="FD116" i="1"/>
  <c r="BC116" i="1" s="1"/>
  <c r="FD114" i="1"/>
  <c r="BC114" i="1" s="1"/>
  <c r="FD112" i="1"/>
  <c r="BC112" i="1" s="1"/>
  <c r="FD94" i="1"/>
  <c r="BC94" i="1" s="1"/>
  <c r="FD89" i="1"/>
  <c r="BC89" i="1" s="1"/>
  <c r="FD88" i="1"/>
  <c r="BC88" i="1" s="1"/>
  <c r="FD87" i="1"/>
  <c r="BC87" i="1" s="1"/>
  <c r="FD86" i="1"/>
  <c r="BC86" i="1" s="1"/>
  <c r="FD81" i="1"/>
  <c r="BC81" i="1" s="1"/>
  <c r="FD85" i="1"/>
  <c r="BC85" i="1" s="1"/>
  <c r="FD84" i="1"/>
  <c r="BC84" i="1" s="1"/>
  <c r="FD83" i="1"/>
  <c r="BC83" i="1" s="1"/>
  <c r="FD82" i="1"/>
  <c r="BC82" i="1" s="1"/>
  <c r="FD66" i="1"/>
  <c r="BC66" i="1" s="1"/>
  <c r="FD73" i="1"/>
  <c r="BC73" i="1" s="1"/>
  <c r="FD71" i="1"/>
  <c r="BC71" i="1" s="1"/>
  <c r="FD70" i="1"/>
  <c r="BC70" i="1" s="1"/>
  <c r="FD72" i="1"/>
  <c r="BC72" i="1" s="1"/>
  <c r="FD69" i="1"/>
  <c r="BC69" i="1" s="1"/>
  <c r="FD68" i="1"/>
  <c r="BC68" i="1" s="1"/>
  <c r="FD65" i="1"/>
  <c r="BC65" i="1" s="1"/>
  <c r="FD63" i="1"/>
  <c r="BC63" i="1" s="1"/>
  <c r="FD44" i="1"/>
  <c r="FD32" i="1"/>
  <c r="BC32" i="1" s="1"/>
  <c r="FD31" i="1"/>
  <c r="FD232" i="1"/>
  <c r="FD233" i="1"/>
  <c r="BC233" i="1"/>
  <c r="BC232" i="1"/>
  <c r="FD235" i="1"/>
  <c r="FD93" i="1"/>
  <c r="BC93" i="1" s="1"/>
  <c r="FD60" i="1"/>
  <c r="BC60" i="1" s="1"/>
  <c r="FD160" i="1"/>
  <c r="BC160" i="1" s="1"/>
  <c r="FD159" i="1"/>
  <c r="BC159" i="1" s="1"/>
  <c r="FD59" i="1"/>
  <c r="BC59" i="1" s="1"/>
  <c r="BC236" i="1"/>
  <c r="BC235" i="1"/>
  <c r="BC229" i="1"/>
  <c r="FD229" i="1"/>
  <c r="FD111" i="1"/>
  <c r="BC111" i="1" s="1"/>
  <c r="FD110" i="1"/>
  <c r="BC110" i="1" s="1"/>
  <c r="FD236" i="1"/>
  <c r="FD218" i="1"/>
  <c r="BC218" i="1" s="1"/>
  <c r="FD231" i="1"/>
  <c r="BC234" i="1"/>
  <c r="BC230" i="1"/>
  <c r="BC231" i="1"/>
  <c r="FD230" i="1"/>
  <c r="FD234" i="1"/>
  <c r="FD42" i="1"/>
  <c r="FD39" i="1"/>
  <c r="FD43" i="1"/>
  <c r="FD40" i="1"/>
  <c r="FE30" i="1"/>
  <c r="FE35" i="1" s="1"/>
  <c r="FD45" i="1"/>
  <c r="FD41" i="1"/>
  <c r="FD46" i="1"/>
  <c r="FD38" i="1"/>
  <c r="BD30" i="1"/>
  <c r="BD44" i="1" s="1"/>
  <c r="BC42" i="1"/>
  <c r="BC41" i="1"/>
  <c r="BC43" i="1"/>
  <c r="BC45" i="1"/>
  <c r="FD197" i="1"/>
  <c r="BC197" i="1" s="1"/>
  <c r="FD222" i="1"/>
  <c r="FD221" i="1"/>
  <c r="FD223" i="1"/>
  <c r="FD224" i="1"/>
  <c r="FD213" i="1"/>
  <c r="BC213" i="1" s="1"/>
  <c r="FD212" i="1"/>
  <c r="BC212" i="1" s="1"/>
  <c r="FD215" i="1"/>
  <c r="BC215" i="1" s="1"/>
  <c r="FD214" i="1"/>
  <c r="BC214" i="1" s="1"/>
  <c r="BC224" i="1"/>
  <c r="BC223" i="1"/>
  <c r="BC221" i="1"/>
  <c r="BC222" i="1"/>
  <c r="FD207" i="1"/>
  <c r="FD206" i="1"/>
  <c r="FD205" i="1"/>
  <c r="FD201" i="1"/>
  <c r="BC201" i="1" s="1"/>
  <c r="FD204" i="1"/>
  <c r="FD198" i="1"/>
  <c r="BC198" i="1" s="1"/>
  <c r="FD195" i="1"/>
  <c r="BC195" i="1" s="1"/>
  <c r="FD196" i="1"/>
  <c r="BC196" i="1" s="1"/>
  <c r="FD129" i="1"/>
  <c r="BC129" i="1" s="1"/>
  <c r="FD130" i="1"/>
  <c r="BC130" i="1" s="1"/>
  <c r="FD128" i="1"/>
  <c r="BC128" i="1" s="1"/>
  <c r="FD127" i="1"/>
  <c r="BC127" i="1" s="1"/>
  <c r="BC207" i="1"/>
  <c r="BC206" i="1"/>
  <c r="BC205" i="1"/>
  <c r="FD79" i="1"/>
  <c r="BC79" i="1" s="1"/>
  <c r="FD78" i="1"/>
  <c r="BC78" i="1" s="1"/>
  <c r="FD77" i="1"/>
  <c r="BC77" i="1" s="1"/>
  <c r="FD92" i="1"/>
  <c r="BC92" i="1" s="1"/>
  <c r="FD91" i="1"/>
  <c r="BC91" i="1" s="1"/>
  <c r="FD90" i="1"/>
  <c r="BC90" i="1" s="1"/>
  <c r="FD76" i="1"/>
  <c r="BC76" i="1" s="1"/>
  <c r="FD61" i="1"/>
  <c r="BC61" i="1" s="1"/>
  <c r="FD190" i="1"/>
  <c r="FD188" i="1"/>
  <c r="BC189" i="1"/>
  <c r="BC188" i="1"/>
  <c r="BC187" i="1"/>
  <c r="BC190" i="1"/>
  <c r="BC150" i="1"/>
  <c r="BC151" i="1"/>
  <c r="BC153" i="1"/>
  <c r="BC152" i="1"/>
  <c r="FD189" i="1"/>
  <c r="FD178" i="1"/>
  <c r="BC178" i="1" s="1"/>
  <c r="FD187" i="1"/>
  <c r="FD152" i="1"/>
  <c r="FD150" i="1"/>
  <c r="FD153" i="1"/>
  <c r="FD151" i="1"/>
  <c r="FD98" i="1"/>
  <c r="FD102" i="1"/>
  <c r="FD101" i="1"/>
  <c r="FD97" i="1"/>
  <c r="FD100" i="1"/>
  <c r="FD103" i="1"/>
  <c r="FD149" i="1"/>
  <c r="FD104" i="1"/>
  <c r="FD99" i="1"/>
  <c r="BC98" i="1"/>
  <c r="BC97" i="1"/>
  <c r="BC102" i="1"/>
  <c r="BC99" i="1"/>
  <c r="BC101" i="1"/>
  <c r="BC103" i="1"/>
  <c r="BC104" i="1"/>
  <c r="BC100" i="1"/>
  <c r="FD80" i="1"/>
  <c r="BC80" i="1" s="1"/>
  <c r="FD158" i="1"/>
  <c r="BC158" i="1" s="1"/>
  <c r="FD120" i="1"/>
  <c r="BC120" i="1" s="1"/>
  <c r="FD67" i="1"/>
  <c r="BC67" i="1" s="1"/>
  <c r="FD109" i="1"/>
  <c r="BC109" i="1" s="1"/>
  <c r="FD162" i="1"/>
  <c r="BC162" i="1" s="1"/>
  <c r="FD113" i="1"/>
  <c r="BC113" i="1" s="1"/>
  <c r="FE56" i="1"/>
  <c r="FD62" i="1"/>
  <c r="BC62" i="1" s="1"/>
  <c r="FD58" i="1"/>
  <c r="BC58" i="1" s="1"/>
  <c r="FD64" i="1"/>
  <c r="BC64" i="1" s="1"/>
  <c r="BD56" i="1"/>
  <c r="BD35" i="1" l="1"/>
  <c r="BC125" i="1"/>
  <c r="BC147" i="1"/>
  <c r="FE184" i="1"/>
  <c r="BD184" i="1" s="1"/>
  <c r="FE179" i="1"/>
  <c r="BD179" i="1" s="1"/>
  <c r="FE181" i="1"/>
  <c r="BD181" i="1" s="1"/>
  <c r="FE182" i="1"/>
  <c r="BD182" i="1" s="1"/>
  <c r="FE183" i="1"/>
  <c r="BD183" i="1" s="1"/>
  <c r="FE180" i="1"/>
  <c r="BD180" i="1" s="1"/>
  <c r="FE163" i="1"/>
  <c r="BD163" i="1" s="1"/>
  <c r="FE176" i="1"/>
  <c r="BD176" i="1" s="1"/>
  <c r="FE177" i="1"/>
  <c r="BD177" i="1" s="1"/>
  <c r="FE174" i="1"/>
  <c r="BD174" i="1" s="1"/>
  <c r="FE175" i="1"/>
  <c r="BD175" i="1" s="1"/>
  <c r="FE161" i="1"/>
  <c r="BD161" i="1" s="1"/>
  <c r="FE170" i="1"/>
  <c r="BD170" i="1" s="1"/>
  <c r="FE171" i="1"/>
  <c r="BD171" i="1" s="1"/>
  <c r="FE169" i="1"/>
  <c r="BD169" i="1" s="1"/>
  <c r="FE168" i="1"/>
  <c r="BD168" i="1" s="1"/>
  <c r="FE166" i="1"/>
  <c r="BD166" i="1" s="1"/>
  <c r="FE167" i="1"/>
  <c r="BD167" i="1" s="1"/>
  <c r="FE164" i="1"/>
  <c r="BD164" i="1" s="1"/>
  <c r="FE165" i="1"/>
  <c r="BD165" i="1" s="1"/>
  <c r="FE137" i="1"/>
  <c r="BD137" i="1" s="1"/>
  <c r="FE136" i="1"/>
  <c r="BD136" i="1" s="1"/>
  <c r="FE145" i="1"/>
  <c r="BD145" i="1" s="1"/>
  <c r="FE146" i="1"/>
  <c r="BD146" i="1" s="1"/>
  <c r="FE144" i="1"/>
  <c r="BD144" i="1" s="1"/>
  <c r="FE142" i="1"/>
  <c r="BD142" i="1" s="1"/>
  <c r="FE139" i="1"/>
  <c r="BD139" i="1" s="1"/>
  <c r="FE141" i="1"/>
  <c r="BD141" i="1" s="1"/>
  <c r="FE143" i="1"/>
  <c r="BD143" i="1" s="1"/>
  <c r="FE140" i="1"/>
  <c r="BD140" i="1" s="1"/>
  <c r="FE131" i="1"/>
  <c r="BD131" i="1" s="1"/>
  <c r="FE132" i="1"/>
  <c r="BD132" i="1" s="1"/>
  <c r="FE133" i="1"/>
  <c r="BD133" i="1" s="1"/>
  <c r="FE135" i="1"/>
  <c r="BD135" i="1" s="1"/>
  <c r="FE138" i="1"/>
  <c r="BD138" i="1" s="1"/>
  <c r="FE134" i="1"/>
  <c r="BD134" i="1" s="1"/>
  <c r="FE123" i="1"/>
  <c r="BD123" i="1" s="1"/>
  <c r="FE124" i="1"/>
  <c r="BD124" i="1" s="1"/>
  <c r="FE115" i="1"/>
  <c r="BD115" i="1" s="1"/>
  <c r="FE121" i="1"/>
  <c r="BD121" i="1" s="1"/>
  <c r="FE122" i="1"/>
  <c r="BD122" i="1" s="1"/>
  <c r="FE118" i="1"/>
  <c r="BD118" i="1" s="1"/>
  <c r="FE119" i="1"/>
  <c r="BD119" i="1" s="1"/>
  <c r="FE117" i="1"/>
  <c r="BD117" i="1" s="1"/>
  <c r="FE114" i="1"/>
  <c r="BD114" i="1" s="1"/>
  <c r="FE116" i="1"/>
  <c r="BD116" i="1" s="1"/>
  <c r="FE112" i="1"/>
  <c r="BD112" i="1" s="1"/>
  <c r="FE94" i="1"/>
  <c r="BD94" i="1" s="1"/>
  <c r="FE88" i="1"/>
  <c r="BD88" i="1" s="1"/>
  <c r="FE87" i="1"/>
  <c r="BD87" i="1" s="1"/>
  <c r="FE89" i="1"/>
  <c r="BD89" i="1" s="1"/>
  <c r="FE86" i="1"/>
  <c r="BD86" i="1" s="1"/>
  <c r="FE81" i="1"/>
  <c r="BD81" i="1" s="1"/>
  <c r="FE84" i="1"/>
  <c r="BD84" i="1" s="1"/>
  <c r="FE85" i="1"/>
  <c r="BD85" i="1" s="1"/>
  <c r="FE83" i="1"/>
  <c r="BD83" i="1" s="1"/>
  <c r="FE82" i="1"/>
  <c r="BD82" i="1" s="1"/>
  <c r="FE66" i="1"/>
  <c r="BD66" i="1" s="1"/>
  <c r="FE73" i="1"/>
  <c r="BD73" i="1" s="1"/>
  <c r="FE72" i="1"/>
  <c r="BD72" i="1" s="1"/>
  <c r="FE71" i="1"/>
  <c r="BD71" i="1" s="1"/>
  <c r="FE69" i="1"/>
  <c r="BD69" i="1" s="1"/>
  <c r="FE68" i="1"/>
  <c r="BD68" i="1" s="1"/>
  <c r="FE70" i="1"/>
  <c r="BD70" i="1" s="1"/>
  <c r="FE65" i="1"/>
  <c r="BD65" i="1" s="1"/>
  <c r="FE63" i="1"/>
  <c r="BD63" i="1" s="1"/>
  <c r="FE44" i="1"/>
  <c r="FE31" i="1"/>
  <c r="FE32" i="1"/>
  <c r="BD32" i="1" s="1"/>
  <c r="BD233" i="1"/>
  <c r="BD232" i="1"/>
  <c r="FE232" i="1"/>
  <c r="FE233" i="1"/>
  <c r="FE93" i="1"/>
  <c r="BD93" i="1" s="1"/>
  <c r="FE160" i="1"/>
  <c r="BD160" i="1" s="1"/>
  <c r="FE60" i="1"/>
  <c r="BD60" i="1" s="1"/>
  <c r="FE159" i="1"/>
  <c r="BD159" i="1" s="1"/>
  <c r="FE59" i="1"/>
  <c r="BD59" i="1" s="1"/>
  <c r="BD235" i="1"/>
  <c r="BD229" i="1"/>
  <c r="FE229" i="1"/>
  <c r="FE235" i="1"/>
  <c r="FE236" i="1"/>
  <c r="BD236" i="1" s="1"/>
  <c r="FE111" i="1"/>
  <c r="BD111" i="1" s="1"/>
  <c r="FE110" i="1"/>
  <c r="BD110" i="1" s="1"/>
  <c r="FE218" i="1"/>
  <c r="BD218" i="1" s="1"/>
  <c r="FE234" i="1"/>
  <c r="BD234" i="1" s="1"/>
  <c r="FE230" i="1"/>
  <c r="BD230" i="1" s="1"/>
  <c r="FE231" i="1"/>
  <c r="BD231" i="1" s="1"/>
  <c r="FE42" i="1"/>
  <c r="FE38" i="1"/>
  <c r="FE40" i="1"/>
  <c r="FE43" i="1"/>
  <c r="FF30" i="1"/>
  <c r="FF35" i="1" s="1"/>
  <c r="FE45" i="1"/>
  <c r="FE46" i="1"/>
  <c r="FE39" i="1"/>
  <c r="FE41" i="1"/>
  <c r="BD41" i="1"/>
  <c r="BD45" i="1"/>
  <c r="BE30" i="1"/>
  <c r="BE44" i="1" s="1"/>
  <c r="BD42" i="1"/>
  <c r="BD43" i="1"/>
  <c r="BD224" i="1"/>
  <c r="BD222" i="1"/>
  <c r="BD221" i="1"/>
  <c r="BD223" i="1"/>
  <c r="FE197" i="1"/>
  <c r="BD197" i="1" s="1"/>
  <c r="FE224" i="1"/>
  <c r="FE222" i="1"/>
  <c r="FE223" i="1"/>
  <c r="FE221" i="1"/>
  <c r="FE215" i="1"/>
  <c r="BD215" i="1" s="1"/>
  <c r="FE214" i="1"/>
  <c r="BD214" i="1" s="1"/>
  <c r="FE212" i="1"/>
  <c r="BD212" i="1" s="1"/>
  <c r="FE213" i="1"/>
  <c r="BD213" i="1" s="1"/>
  <c r="BD207" i="1"/>
  <c r="BD206" i="1"/>
  <c r="BD205" i="1"/>
  <c r="FE205" i="1"/>
  <c r="FE207" i="1"/>
  <c r="FE206" i="1"/>
  <c r="FE204" i="1"/>
  <c r="FE201" i="1"/>
  <c r="BD201" i="1" s="1"/>
  <c r="FE198" i="1"/>
  <c r="BD198" i="1" s="1"/>
  <c r="FE195" i="1"/>
  <c r="BD195" i="1" s="1"/>
  <c r="FE196" i="1"/>
  <c r="BD196" i="1" s="1"/>
  <c r="FE130" i="1"/>
  <c r="BD130" i="1" s="1"/>
  <c r="FE128" i="1"/>
  <c r="BD128" i="1" s="1"/>
  <c r="FE127" i="1"/>
  <c r="BD127" i="1" s="1"/>
  <c r="FE129" i="1"/>
  <c r="BD129" i="1" s="1"/>
  <c r="FE78" i="1"/>
  <c r="BD78" i="1" s="1"/>
  <c r="FE79" i="1"/>
  <c r="BD79" i="1" s="1"/>
  <c r="FE77" i="1"/>
  <c r="BD77" i="1" s="1"/>
  <c r="FE76" i="1"/>
  <c r="BD76" i="1" s="1"/>
  <c r="FE61" i="1"/>
  <c r="BD61" i="1" s="1"/>
  <c r="FE92" i="1"/>
  <c r="BD92" i="1" s="1"/>
  <c r="FE91" i="1"/>
  <c r="BD91" i="1" s="1"/>
  <c r="FE90" i="1"/>
  <c r="BD90" i="1" s="1"/>
  <c r="FE189" i="1"/>
  <c r="FE187" i="1"/>
  <c r="FE178" i="1"/>
  <c r="BD178" i="1" s="1"/>
  <c r="FE188" i="1"/>
  <c r="BD190" i="1"/>
  <c r="BD189" i="1"/>
  <c r="BD187" i="1"/>
  <c r="BD150" i="1"/>
  <c r="BD151" i="1"/>
  <c r="BD188" i="1"/>
  <c r="BD153" i="1"/>
  <c r="BD152" i="1"/>
  <c r="FE190" i="1"/>
  <c r="FE153" i="1"/>
  <c r="FE151" i="1"/>
  <c r="FE150" i="1"/>
  <c r="FE152" i="1"/>
  <c r="FE97" i="1"/>
  <c r="FE101" i="1"/>
  <c r="FE99" i="1"/>
  <c r="FE102" i="1"/>
  <c r="FE98" i="1"/>
  <c r="FE149" i="1"/>
  <c r="FE104" i="1"/>
  <c r="FE100" i="1"/>
  <c r="FE103" i="1"/>
  <c r="BD99" i="1"/>
  <c r="BD98" i="1"/>
  <c r="BD103" i="1"/>
  <c r="BD101" i="1"/>
  <c r="BD102" i="1"/>
  <c r="BD97" i="1"/>
  <c r="BD100" i="1"/>
  <c r="BD104" i="1"/>
  <c r="FE80" i="1"/>
  <c r="BD80" i="1" s="1"/>
  <c r="FE158" i="1"/>
  <c r="BD158" i="1" s="1"/>
  <c r="FE120" i="1"/>
  <c r="BD120" i="1" s="1"/>
  <c r="FE67" i="1"/>
  <c r="BD67" i="1" s="1"/>
  <c r="FE109" i="1"/>
  <c r="BD109" i="1" s="1"/>
  <c r="FE162" i="1"/>
  <c r="BD162" i="1" s="1"/>
  <c r="FE113" i="1"/>
  <c r="BD113" i="1" s="1"/>
  <c r="FE64" i="1"/>
  <c r="BD64" i="1" s="1"/>
  <c r="FE58" i="1"/>
  <c r="BD58" i="1" s="1"/>
  <c r="FE62" i="1"/>
  <c r="BD62" i="1" s="1"/>
  <c r="FF56" i="1"/>
  <c r="BE56" i="1"/>
  <c r="BE35" i="1" l="1"/>
  <c r="BD125" i="1"/>
  <c r="BD147" i="1"/>
  <c r="FF184" i="1"/>
  <c r="BE184" i="1" s="1"/>
  <c r="FF182" i="1"/>
  <c r="BE182" i="1" s="1"/>
  <c r="FF183" i="1"/>
  <c r="BE183" i="1" s="1"/>
  <c r="FF180" i="1"/>
  <c r="BE180" i="1" s="1"/>
  <c r="FF179" i="1"/>
  <c r="BE179" i="1" s="1"/>
  <c r="FF181" i="1"/>
  <c r="BE181" i="1" s="1"/>
  <c r="FF163" i="1"/>
  <c r="BE163" i="1" s="1"/>
  <c r="FF176" i="1"/>
  <c r="BE176" i="1" s="1"/>
  <c r="FF177" i="1"/>
  <c r="BE177" i="1" s="1"/>
  <c r="FF175" i="1"/>
  <c r="BE175" i="1" s="1"/>
  <c r="FF174" i="1"/>
  <c r="BE174" i="1" s="1"/>
  <c r="FF161" i="1"/>
  <c r="BE161" i="1" s="1"/>
  <c r="FF170" i="1"/>
  <c r="BE170" i="1" s="1"/>
  <c r="FF171" i="1"/>
  <c r="BE171" i="1" s="1"/>
  <c r="FF169" i="1"/>
  <c r="BE169" i="1" s="1"/>
  <c r="FF168" i="1"/>
  <c r="BE168" i="1" s="1"/>
  <c r="FF167" i="1"/>
  <c r="BE167" i="1" s="1"/>
  <c r="FF165" i="1"/>
  <c r="BE165" i="1" s="1"/>
  <c r="FF166" i="1"/>
  <c r="BE166" i="1" s="1"/>
  <c r="FF164" i="1"/>
  <c r="BE164" i="1" s="1"/>
  <c r="FF137" i="1"/>
  <c r="BE137" i="1" s="1"/>
  <c r="FF136" i="1"/>
  <c r="BE136" i="1" s="1"/>
  <c r="FF146" i="1"/>
  <c r="BE146" i="1" s="1"/>
  <c r="FF144" i="1"/>
  <c r="BE144" i="1" s="1"/>
  <c r="FF145" i="1"/>
  <c r="BE145" i="1" s="1"/>
  <c r="FF141" i="1"/>
  <c r="BE141" i="1" s="1"/>
  <c r="FF140" i="1"/>
  <c r="BE140" i="1" s="1"/>
  <c r="FF142" i="1"/>
  <c r="BE142" i="1" s="1"/>
  <c r="FF143" i="1"/>
  <c r="BE143" i="1" s="1"/>
  <c r="FF139" i="1"/>
  <c r="BE139" i="1" s="1"/>
  <c r="FF131" i="1"/>
  <c r="BE131" i="1" s="1"/>
  <c r="FF132" i="1"/>
  <c r="BE132" i="1" s="1"/>
  <c r="FF133" i="1"/>
  <c r="BE133" i="1" s="1"/>
  <c r="FF135" i="1"/>
  <c r="BE135" i="1" s="1"/>
  <c r="FF138" i="1"/>
  <c r="BE138" i="1" s="1"/>
  <c r="FF134" i="1"/>
  <c r="BE134" i="1" s="1"/>
  <c r="FF123" i="1"/>
  <c r="BE123" i="1" s="1"/>
  <c r="FF124" i="1"/>
  <c r="BE124" i="1" s="1"/>
  <c r="FF115" i="1"/>
  <c r="BE115" i="1" s="1"/>
  <c r="FF122" i="1"/>
  <c r="BE122" i="1" s="1"/>
  <c r="FF121" i="1"/>
  <c r="BE121" i="1" s="1"/>
  <c r="FF119" i="1"/>
  <c r="BE119" i="1" s="1"/>
  <c r="FF117" i="1"/>
  <c r="BE117" i="1" s="1"/>
  <c r="FF118" i="1"/>
  <c r="BE118" i="1" s="1"/>
  <c r="FF116" i="1"/>
  <c r="BE116" i="1" s="1"/>
  <c r="FF114" i="1"/>
  <c r="BE114" i="1" s="1"/>
  <c r="FF112" i="1"/>
  <c r="BE112" i="1" s="1"/>
  <c r="FF94" i="1"/>
  <c r="BE94" i="1" s="1"/>
  <c r="FF89" i="1"/>
  <c r="BE89" i="1" s="1"/>
  <c r="FF88" i="1"/>
  <c r="BE88" i="1" s="1"/>
  <c r="FF87" i="1"/>
  <c r="BE87" i="1" s="1"/>
  <c r="FF86" i="1"/>
  <c r="BE86" i="1" s="1"/>
  <c r="FF81" i="1"/>
  <c r="BE81" i="1" s="1"/>
  <c r="FF84" i="1"/>
  <c r="BE84" i="1" s="1"/>
  <c r="FF85" i="1"/>
  <c r="BE85" i="1" s="1"/>
  <c r="FF83" i="1"/>
  <c r="BE83" i="1" s="1"/>
  <c r="FF82" i="1"/>
  <c r="BE82" i="1" s="1"/>
  <c r="FF66" i="1"/>
  <c r="BE66" i="1" s="1"/>
  <c r="FF73" i="1"/>
  <c r="BE73" i="1" s="1"/>
  <c r="FF72" i="1"/>
  <c r="BE72" i="1" s="1"/>
  <c r="FF68" i="1"/>
  <c r="BE68" i="1" s="1"/>
  <c r="FF71" i="1"/>
  <c r="BE71" i="1" s="1"/>
  <c r="FF70" i="1"/>
  <c r="BE70" i="1" s="1"/>
  <c r="FF69" i="1"/>
  <c r="BE69" i="1" s="1"/>
  <c r="FF65" i="1"/>
  <c r="BE65" i="1" s="1"/>
  <c r="FF63" i="1"/>
  <c r="BE63" i="1" s="1"/>
  <c r="FF44" i="1"/>
  <c r="FF31" i="1"/>
  <c r="FF32" i="1"/>
  <c r="BE32" i="1" s="1"/>
  <c r="FF232" i="1"/>
  <c r="FF233" i="1"/>
  <c r="BE233" i="1"/>
  <c r="BE232" i="1"/>
  <c r="FF93" i="1"/>
  <c r="BE93" i="1" s="1"/>
  <c r="FF235" i="1"/>
  <c r="BE236" i="1"/>
  <c r="BE235" i="1"/>
  <c r="BE229" i="1"/>
  <c r="FF229" i="1"/>
  <c r="FF60" i="1"/>
  <c r="BE60" i="1" s="1"/>
  <c r="FF160" i="1"/>
  <c r="BE160" i="1" s="1"/>
  <c r="FF159" i="1"/>
  <c r="BE159" i="1" s="1"/>
  <c r="FF59" i="1"/>
  <c r="BE59" i="1" s="1"/>
  <c r="FF111" i="1"/>
  <c r="BE111" i="1" s="1"/>
  <c r="FF110" i="1"/>
  <c r="BE110" i="1" s="1"/>
  <c r="FF236" i="1"/>
  <c r="FF218" i="1"/>
  <c r="BE218" i="1" s="1"/>
  <c r="FF231" i="1"/>
  <c r="FF234" i="1"/>
  <c r="FF230" i="1"/>
  <c r="BE230" i="1"/>
  <c r="BE231" i="1"/>
  <c r="BE234" i="1"/>
  <c r="FF45" i="1"/>
  <c r="FF41" i="1"/>
  <c r="FF39" i="1"/>
  <c r="FF43" i="1"/>
  <c r="FF38" i="1"/>
  <c r="FF46" i="1"/>
  <c r="FF40" i="1"/>
  <c r="FG30" i="1"/>
  <c r="FG35" i="1" s="1"/>
  <c r="FF42" i="1"/>
  <c r="BE42" i="1"/>
  <c r="BE43" i="1"/>
  <c r="BE45" i="1"/>
  <c r="BF30" i="1"/>
  <c r="BF44" i="1" s="1"/>
  <c r="BE41" i="1"/>
  <c r="FF197" i="1"/>
  <c r="BE197" i="1" s="1"/>
  <c r="FF224" i="1"/>
  <c r="FF223" i="1"/>
  <c r="FF222" i="1"/>
  <c r="FF221" i="1"/>
  <c r="FF214" i="1"/>
  <c r="BE214" i="1" s="1"/>
  <c r="FF215" i="1"/>
  <c r="BE215" i="1" s="1"/>
  <c r="FF213" i="1"/>
  <c r="BE213" i="1" s="1"/>
  <c r="FF212" i="1"/>
  <c r="BE212" i="1" s="1"/>
  <c r="BE223" i="1"/>
  <c r="BE224" i="1"/>
  <c r="BE222" i="1"/>
  <c r="BE221" i="1"/>
  <c r="FF207" i="1"/>
  <c r="FF206" i="1"/>
  <c r="FF205" i="1"/>
  <c r="FF204" i="1"/>
  <c r="FF201" i="1"/>
  <c r="BE201" i="1" s="1"/>
  <c r="FF196" i="1"/>
  <c r="BE196" i="1" s="1"/>
  <c r="FF198" i="1"/>
  <c r="BE198" i="1" s="1"/>
  <c r="FF195" i="1"/>
  <c r="BE195" i="1" s="1"/>
  <c r="FF127" i="1"/>
  <c r="BE127" i="1" s="1"/>
  <c r="FF130" i="1"/>
  <c r="BE130" i="1" s="1"/>
  <c r="FF129" i="1"/>
  <c r="BE129" i="1" s="1"/>
  <c r="FF128" i="1"/>
  <c r="BE128" i="1" s="1"/>
  <c r="BE207" i="1"/>
  <c r="BE206" i="1"/>
  <c r="BE205" i="1"/>
  <c r="FF79" i="1"/>
  <c r="BE79" i="1" s="1"/>
  <c r="FF61" i="1"/>
  <c r="BE61" i="1" s="1"/>
  <c r="FF76" i="1"/>
  <c r="BE76" i="1" s="1"/>
  <c r="FF77" i="1"/>
  <c r="BE77" i="1" s="1"/>
  <c r="FF78" i="1"/>
  <c r="BE78" i="1" s="1"/>
  <c r="FF91" i="1"/>
  <c r="BE91" i="1" s="1"/>
  <c r="FF90" i="1"/>
  <c r="BE90" i="1" s="1"/>
  <c r="FF92" i="1"/>
  <c r="BE92" i="1" s="1"/>
  <c r="BE189" i="1"/>
  <c r="BE190" i="1"/>
  <c r="BE188" i="1"/>
  <c r="BE152" i="1"/>
  <c r="BE153" i="1"/>
  <c r="BE150" i="1"/>
  <c r="BE187" i="1"/>
  <c r="BE151" i="1"/>
  <c r="FF190" i="1"/>
  <c r="FF178" i="1"/>
  <c r="BE178" i="1" s="1"/>
  <c r="FF187" i="1"/>
  <c r="FF188" i="1"/>
  <c r="FF189" i="1"/>
  <c r="FF151" i="1"/>
  <c r="FF153" i="1"/>
  <c r="FF152" i="1"/>
  <c r="FF149" i="1"/>
  <c r="FF100" i="1"/>
  <c r="FF103" i="1"/>
  <c r="FF99" i="1"/>
  <c r="FF98" i="1"/>
  <c r="FF101" i="1"/>
  <c r="FF150" i="1"/>
  <c r="FF97" i="1"/>
  <c r="FF102" i="1"/>
  <c r="FF104" i="1"/>
  <c r="BE100" i="1"/>
  <c r="BE99" i="1"/>
  <c r="BE98" i="1"/>
  <c r="BE104" i="1"/>
  <c r="BE101" i="1"/>
  <c r="BE103" i="1"/>
  <c r="BE97" i="1"/>
  <c r="BE102" i="1"/>
  <c r="FF80" i="1"/>
  <c r="BE80" i="1" s="1"/>
  <c r="FF158" i="1"/>
  <c r="BE158" i="1" s="1"/>
  <c r="FF120" i="1"/>
  <c r="BE120" i="1" s="1"/>
  <c r="FF67" i="1"/>
  <c r="BE67" i="1" s="1"/>
  <c r="FF109" i="1"/>
  <c r="BE109" i="1" s="1"/>
  <c r="FF162" i="1"/>
  <c r="BE162" i="1" s="1"/>
  <c r="FF113" i="1"/>
  <c r="BE113" i="1" s="1"/>
  <c r="FG56" i="1"/>
  <c r="FF58" i="1"/>
  <c r="BE58" i="1" s="1"/>
  <c r="FF64" i="1"/>
  <c r="BE64" i="1" s="1"/>
  <c r="FF62" i="1"/>
  <c r="BE62" i="1" s="1"/>
  <c r="BF56" i="1"/>
  <c r="BF35" i="1" l="1"/>
  <c r="BE125" i="1"/>
  <c r="BE147" i="1"/>
  <c r="FG184" i="1"/>
  <c r="BF184" i="1" s="1"/>
  <c r="FG180" i="1"/>
  <c r="BF180" i="1" s="1"/>
  <c r="FG183" i="1"/>
  <c r="BF183" i="1" s="1"/>
  <c r="FG182" i="1"/>
  <c r="BF182" i="1" s="1"/>
  <c r="FG179" i="1"/>
  <c r="BF179" i="1" s="1"/>
  <c r="FG181" i="1"/>
  <c r="BF181" i="1" s="1"/>
  <c r="FG163" i="1"/>
  <c r="BF163" i="1" s="1"/>
  <c r="FG177" i="1"/>
  <c r="BF177" i="1" s="1"/>
  <c r="FG175" i="1"/>
  <c r="BF175" i="1" s="1"/>
  <c r="FG176" i="1"/>
  <c r="BF176" i="1" s="1"/>
  <c r="FG174" i="1"/>
  <c r="BF174" i="1" s="1"/>
  <c r="FG161" i="1"/>
  <c r="BF161" i="1" s="1"/>
  <c r="FG171" i="1"/>
  <c r="BF171" i="1" s="1"/>
  <c r="FG170" i="1"/>
  <c r="BF170" i="1" s="1"/>
  <c r="FG169" i="1"/>
  <c r="BF169" i="1" s="1"/>
  <c r="FG168" i="1"/>
  <c r="BF168" i="1" s="1"/>
  <c r="FG167" i="1"/>
  <c r="BF167" i="1" s="1"/>
  <c r="FG165" i="1"/>
  <c r="BF165" i="1" s="1"/>
  <c r="FG164" i="1"/>
  <c r="BF164" i="1" s="1"/>
  <c r="FG166" i="1"/>
  <c r="BF166" i="1" s="1"/>
  <c r="FG137" i="1"/>
  <c r="BF137" i="1" s="1"/>
  <c r="FG136" i="1"/>
  <c r="BF136" i="1" s="1"/>
  <c r="FG146" i="1"/>
  <c r="BF146" i="1" s="1"/>
  <c r="FG145" i="1"/>
  <c r="BF145" i="1" s="1"/>
  <c r="FG143" i="1"/>
  <c r="BF143" i="1" s="1"/>
  <c r="FG141" i="1"/>
  <c r="BF141" i="1" s="1"/>
  <c r="FG144" i="1"/>
  <c r="BF144" i="1" s="1"/>
  <c r="FG140" i="1"/>
  <c r="BF140" i="1" s="1"/>
  <c r="FG142" i="1"/>
  <c r="BF142" i="1" s="1"/>
  <c r="FG139" i="1"/>
  <c r="BF139" i="1" s="1"/>
  <c r="FG131" i="1"/>
  <c r="BF131" i="1" s="1"/>
  <c r="FG132" i="1"/>
  <c r="BF132" i="1" s="1"/>
  <c r="FG133" i="1"/>
  <c r="BF133" i="1" s="1"/>
  <c r="FG138" i="1"/>
  <c r="BF138" i="1" s="1"/>
  <c r="FG134" i="1"/>
  <c r="BF134" i="1" s="1"/>
  <c r="FG135" i="1"/>
  <c r="BF135" i="1" s="1"/>
  <c r="FG124" i="1"/>
  <c r="BF124" i="1" s="1"/>
  <c r="FG123" i="1"/>
  <c r="BF123" i="1" s="1"/>
  <c r="FG115" i="1"/>
  <c r="BF115" i="1" s="1"/>
  <c r="FG122" i="1"/>
  <c r="BF122" i="1" s="1"/>
  <c r="FG121" i="1"/>
  <c r="BF121" i="1" s="1"/>
  <c r="FG119" i="1"/>
  <c r="BF119" i="1" s="1"/>
  <c r="FG118" i="1"/>
  <c r="BF118" i="1" s="1"/>
  <c r="FG116" i="1"/>
  <c r="BF116" i="1" s="1"/>
  <c r="FG114" i="1"/>
  <c r="BF114" i="1" s="1"/>
  <c r="FG117" i="1"/>
  <c r="BF117" i="1" s="1"/>
  <c r="FG112" i="1"/>
  <c r="BF112" i="1" s="1"/>
  <c r="FG94" i="1"/>
  <c r="BF94" i="1" s="1"/>
  <c r="FG89" i="1"/>
  <c r="BF89" i="1" s="1"/>
  <c r="FG86" i="1"/>
  <c r="BF86" i="1" s="1"/>
  <c r="FG88" i="1"/>
  <c r="BF88" i="1" s="1"/>
  <c r="FG87" i="1"/>
  <c r="BF87" i="1" s="1"/>
  <c r="FG81" i="1"/>
  <c r="BF81" i="1" s="1"/>
  <c r="FG85" i="1"/>
  <c r="BF85" i="1" s="1"/>
  <c r="FG83" i="1"/>
  <c r="BF83" i="1" s="1"/>
  <c r="FG82" i="1"/>
  <c r="BF82" i="1" s="1"/>
  <c r="FG84" i="1"/>
  <c r="BF84" i="1" s="1"/>
  <c r="FG66" i="1"/>
  <c r="BF66" i="1" s="1"/>
  <c r="FG72" i="1"/>
  <c r="BF72" i="1" s="1"/>
  <c r="FG71" i="1"/>
  <c r="BF71" i="1" s="1"/>
  <c r="FG73" i="1"/>
  <c r="BF73" i="1" s="1"/>
  <c r="FG70" i="1"/>
  <c r="BF70" i="1" s="1"/>
  <c r="FG69" i="1"/>
  <c r="BF69" i="1" s="1"/>
  <c r="FG68" i="1"/>
  <c r="BF68" i="1" s="1"/>
  <c r="FG65" i="1"/>
  <c r="BF65" i="1" s="1"/>
  <c r="FG63" i="1"/>
  <c r="BF63" i="1" s="1"/>
  <c r="FG44" i="1"/>
  <c r="FG32" i="1"/>
  <c r="BF32" i="1" s="1"/>
  <c r="FG31" i="1"/>
  <c r="BF233" i="1"/>
  <c r="BF232" i="1"/>
  <c r="FG233" i="1"/>
  <c r="FG232" i="1"/>
  <c r="FG93" i="1"/>
  <c r="BF93" i="1" s="1"/>
  <c r="BF236" i="1"/>
  <c r="BF229" i="1"/>
  <c r="BF235" i="1"/>
  <c r="FG229" i="1"/>
  <c r="FG60" i="1"/>
  <c r="BF60" i="1" s="1"/>
  <c r="FG160" i="1"/>
  <c r="BF160" i="1" s="1"/>
  <c r="FG159" i="1"/>
  <c r="BF159" i="1" s="1"/>
  <c r="FG59" i="1"/>
  <c r="BF59" i="1" s="1"/>
  <c r="FG235" i="1"/>
  <c r="FG111" i="1"/>
  <c r="BF111" i="1" s="1"/>
  <c r="FG110" i="1"/>
  <c r="BF110" i="1" s="1"/>
  <c r="FG236" i="1"/>
  <c r="BF231" i="1"/>
  <c r="BF234" i="1"/>
  <c r="BF230" i="1"/>
  <c r="FG218" i="1"/>
  <c r="BF218" i="1" s="1"/>
  <c r="FG234" i="1"/>
  <c r="FG231" i="1"/>
  <c r="FG230" i="1"/>
  <c r="FG46" i="1"/>
  <c r="FG45" i="1"/>
  <c r="FG41" i="1"/>
  <c r="FG38" i="1"/>
  <c r="FH30" i="1"/>
  <c r="FH35" i="1" s="1"/>
  <c r="FG42" i="1"/>
  <c r="FG39" i="1"/>
  <c r="FG43" i="1"/>
  <c r="FG40" i="1"/>
  <c r="BG30" i="1"/>
  <c r="BG44" i="1" s="1"/>
  <c r="BF45" i="1"/>
  <c r="BF43" i="1"/>
  <c r="BF42" i="1"/>
  <c r="BF41" i="1"/>
  <c r="FG197" i="1"/>
  <c r="BF197" i="1" s="1"/>
  <c r="FG223" i="1"/>
  <c r="FG222" i="1"/>
  <c r="FG221" i="1"/>
  <c r="FG224" i="1"/>
  <c r="FG215" i="1"/>
  <c r="BF215" i="1" s="1"/>
  <c r="FG213" i="1"/>
  <c r="BF213" i="1" s="1"/>
  <c r="FG212" i="1"/>
  <c r="BF212" i="1" s="1"/>
  <c r="FG214" i="1"/>
  <c r="BF214" i="1" s="1"/>
  <c r="BF224" i="1"/>
  <c r="BF223" i="1"/>
  <c r="BF221" i="1"/>
  <c r="BF222" i="1"/>
  <c r="FG207" i="1"/>
  <c r="FG206" i="1"/>
  <c r="FG205" i="1"/>
  <c r="FG204" i="1"/>
  <c r="FG196" i="1"/>
  <c r="BF196" i="1" s="1"/>
  <c r="FG201" i="1"/>
  <c r="BF201" i="1" s="1"/>
  <c r="FG198" i="1"/>
  <c r="BF198" i="1" s="1"/>
  <c r="FG195" i="1"/>
  <c r="BF195" i="1" s="1"/>
  <c r="FG129" i="1"/>
  <c r="BF129" i="1" s="1"/>
  <c r="FG130" i="1"/>
  <c r="BF130" i="1" s="1"/>
  <c r="FG128" i="1"/>
  <c r="BF128" i="1" s="1"/>
  <c r="FG127" i="1"/>
  <c r="BF127" i="1" s="1"/>
  <c r="BF207" i="1"/>
  <c r="BF206" i="1"/>
  <c r="BF205" i="1"/>
  <c r="FG79" i="1"/>
  <c r="BF79" i="1" s="1"/>
  <c r="FG78" i="1"/>
  <c r="BF78" i="1" s="1"/>
  <c r="FG77" i="1"/>
  <c r="BF77" i="1" s="1"/>
  <c r="FG76" i="1"/>
  <c r="BF76" i="1" s="1"/>
  <c r="FG61" i="1"/>
  <c r="BF61" i="1" s="1"/>
  <c r="FG92" i="1"/>
  <c r="BF92" i="1" s="1"/>
  <c r="FG91" i="1"/>
  <c r="BF91" i="1" s="1"/>
  <c r="FG90" i="1"/>
  <c r="BF90" i="1" s="1"/>
  <c r="BF190" i="1"/>
  <c r="BF189" i="1"/>
  <c r="BF187" i="1"/>
  <c r="BF188" i="1"/>
  <c r="BF150" i="1"/>
  <c r="BF151" i="1"/>
  <c r="BF153" i="1"/>
  <c r="BF152" i="1"/>
  <c r="FG189" i="1"/>
  <c r="FG178" i="1"/>
  <c r="BF178" i="1" s="1"/>
  <c r="FG188" i="1"/>
  <c r="FG190" i="1"/>
  <c r="FG187" i="1"/>
  <c r="FG152" i="1"/>
  <c r="FG153" i="1"/>
  <c r="FG151" i="1"/>
  <c r="FG150" i="1"/>
  <c r="FG99" i="1"/>
  <c r="FG103" i="1"/>
  <c r="FG97" i="1"/>
  <c r="FG100" i="1"/>
  <c r="FG149" i="1"/>
  <c r="FG102" i="1"/>
  <c r="FG101" i="1"/>
  <c r="FG98" i="1"/>
  <c r="FG104" i="1"/>
  <c r="BF97" i="1"/>
  <c r="BF100" i="1"/>
  <c r="BF101" i="1"/>
  <c r="BF98" i="1"/>
  <c r="BF99" i="1"/>
  <c r="BF104" i="1"/>
  <c r="BF102" i="1"/>
  <c r="BF103" i="1"/>
  <c r="FG80" i="1"/>
  <c r="BF80" i="1" s="1"/>
  <c r="FG158" i="1"/>
  <c r="BF158" i="1" s="1"/>
  <c r="FG120" i="1"/>
  <c r="BF120" i="1" s="1"/>
  <c r="FG67" i="1"/>
  <c r="BF67" i="1" s="1"/>
  <c r="FG109" i="1"/>
  <c r="BF109" i="1" s="1"/>
  <c r="FG162" i="1"/>
  <c r="BF162" i="1" s="1"/>
  <c r="FG113" i="1"/>
  <c r="BF113" i="1" s="1"/>
  <c r="FG64" i="1"/>
  <c r="BF64" i="1" s="1"/>
  <c r="FG58" i="1"/>
  <c r="BF58" i="1" s="1"/>
  <c r="FH56" i="1"/>
  <c r="FG62" i="1"/>
  <c r="BF62" i="1" s="1"/>
  <c r="BG56" i="1"/>
  <c r="BG35" i="1" l="1"/>
  <c r="BF125" i="1"/>
  <c r="BF147" i="1"/>
  <c r="FH184" i="1"/>
  <c r="BG184" i="1" s="1"/>
  <c r="FH183" i="1"/>
  <c r="BG183" i="1" s="1"/>
  <c r="FH181" i="1"/>
  <c r="BG181" i="1" s="1"/>
  <c r="FH179" i="1"/>
  <c r="BG179" i="1" s="1"/>
  <c r="FH180" i="1"/>
  <c r="BG180" i="1" s="1"/>
  <c r="FH182" i="1"/>
  <c r="BG182" i="1" s="1"/>
  <c r="FH163" i="1"/>
  <c r="BG163" i="1" s="1"/>
  <c r="FH177" i="1"/>
  <c r="BG177" i="1" s="1"/>
  <c r="FH176" i="1"/>
  <c r="BG176" i="1" s="1"/>
  <c r="FH175" i="1"/>
  <c r="BG175" i="1" s="1"/>
  <c r="FH174" i="1"/>
  <c r="BG174" i="1" s="1"/>
  <c r="FH161" i="1"/>
  <c r="BG161" i="1" s="1"/>
  <c r="FH171" i="1"/>
  <c r="BG171" i="1" s="1"/>
  <c r="FH170" i="1"/>
  <c r="BG170" i="1" s="1"/>
  <c r="FH168" i="1"/>
  <c r="BG168" i="1" s="1"/>
  <c r="FH169" i="1"/>
  <c r="BG169" i="1" s="1"/>
  <c r="FH166" i="1"/>
  <c r="BG166" i="1" s="1"/>
  <c r="FH164" i="1"/>
  <c r="BG164" i="1" s="1"/>
  <c r="FH167" i="1"/>
  <c r="BG167" i="1" s="1"/>
  <c r="FH165" i="1"/>
  <c r="BG165" i="1" s="1"/>
  <c r="FH137" i="1"/>
  <c r="BG137" i="1" s="1"/>
  <c r="FH136" i="1"/>
  <c r="BG136" i="1" s="1"/>
  <c r="FH146" i="1"/>
  <c r="BG146" i="1" s="1"/>
  <c r="FH145" i="1"/>
  <c r="BG145" i="1" s="1"/>
  <c r="FH144" i="1"/>
  <c r="BG144" i="1" s="1"/>
  <c r="FH143" i="1"/>
  <c r="BG143" i="1" s="1"/>
  <c r="FH142" i="1"/>
  <c r="BG142" i="1" s="1"/>
  <c r="FH141" i="1"/>
  <c r="BG141" i="1" s="1"/>
  <c r="FH139" i="1"/>
  <c r="BG139" i="1" s="1"/>
  <c r="FH140" i="1"/>
  <c r="BG140" i="1" s="1"/>
  <c r="FH131" i="1"/>
  <c r="BG131" i="1" s="1"/>
  <c r="FH133" i="1"/>
  <c r="BG133" i="1" s="1"/>
  <c r="FH132" i="1"/>
  <c r="BG132" i="1" s="1"/>
  <c r="FH138" i="1"/>
  <c r="BG138" i="1" s="1"/>
  <c r="FH135" i="1"/>
  <c r="BG135" i="1" s="1"/>
  <c r="FH134" i="1"/>
  <c r="BG134" i="1" s="1"/>
  <c r="FH124" i="1"/>
  <c r="BG124" i="1" s="1"/>
  <c r="FH123" i="1"/>
  <c r="BG123" i="1" s="1"/>
  <c r="FH115" i="1"/>
  <c r="BG115" i="1" s="1"/>
  <c r="FH121" i="1"/>
  <c r="BG121" i="1" s="1"/>
  <c r="FH122" i="1"/>
  <c r="BG122" i="1" s="1"/>
  <c r="FH118" i="1"/>
  <c r="BG118" i="1" s="1"/>
  <c r="FH119" i="1"/>
  <c r="BG119" i="1" s="1"/>
  <c r="FH117" i="1"/>
  <c r="BG117" i="1" s="1"/>
  <c r="FH114" i="1"/>
  <c r="BG114" i="1" s="1"/>
  <c r="FH116" i="1"/>
  <c r="BG116" i="1" s="1"/>
  <c r="FH112" i="1"/>
  <c r="BG112" i="1" s="1"/>
  <c r="FH94" i="1"/>
  <c r="BG94" i="1" s="1"/>
  <c r="FH89" i="1"/>
  <c r="BG89" i="1" s="1"/>
  <c r="FH88" i="1"/>
  <c r="BG88" i="1" s="1"/>
  <c r="FH86" i="1"/>
  <c r="BG86" i="1" s="1"/>
  <c r="FH87" i="1"/>
  <c r="BG87" i="1" s="1"/>
  <c r="FH81" i="1"/>
  <c r="BG81" i="1" s="1"/>
  <c r="FH85" i="1"/>
  <c r="BG85" i="1" s="1"/>
  <c r="FH84" i="1"/>
  <c r="BG84" i="1" s="1"/>
  <c r="FH82" i="1"/>
  <c r="BG82" i="1" s="1"/>
  <c r="FH83" i="1"/>
  <c r="BG83" i="1" s="1"/>
  <c r="FH66" i="1"/>
  <c r="BG66" i="1" s="1"/>
  <c r="FH72" i="1"/>
  <c r="BG72" i="1" s="1"/>
  <c r="FH71" i="1"/>
  <c r="BG71" i="1" s="1"/>
  <c r="FH73" i="1"/>
  <c r="BG73" i="1" s="1"/>
  <c r="FH70" i="1"/>
  <c r="BG70" i="1" s="1"/>
  <c r="FH69" i="1"/>
  <c r="BG69" i="1" s="1"/>
  <c r="FH68" i="1"/>
  <c r="BG68" i="1" s="1"/>
  <c r="FH65" i="1"/>
  <c r="BG65" i="1" s="1"/>
  <c r="FH63" i="1"/>
  <c r="BG63" i="1" s="1"/>
  <c r="FH44" i="1"/>
  <c r="FH32" i="1"/>
  <c r="BG32" i="1" s="1"/>
  <c r="FH31" i="1"/>
  <c r="FH232" i="1"/>
  <c r="FH233" i="1"/>
  <c r="BG233" i="1"/>
  <c r="BG232" i="1"/>
  <c r="FH93" i="1"/>
  <c r="BG93" i="1" s="1"/>
  <c r="FH160" i="1"/>
  <c r="BG160" i="1" s="1"/>
  <c r="FH60" i="1"/>
  <c r="BG60" i="1" s="1"/>
  <c r="FH159" i="1"/>
  <c r="BG159" i="1" s="1"/>
  <c r="FH59" i="1"/>
  <c r="BG59" i="1" s="1"/>
  <c r="FH235" i="1"/>
  <c r="BG236" i="1"/>
  <c r="BG229" i="1"/>
  <c r="BG235" i="1"/>
  <c r="FH229" i="1"/>
  <c r="FH111" i="1"/>
  <c r="BG111" i="1" s="1"/>
  <c r="FH110" i="1"/>
  <c r="BG110" i="1" s="1"/>
  <c r="FH236" i="1"/>
  <c r="BG234" i="1"/>
  <c r="BG231" i="1"/>
  <c r="BG230" i="1"/>
  <c r="FH218" i="1"/>
  <c r="BG218" i="1" s="1"/>
  <c r="FH234" i="1"/>
  <c r="FH231" i="1"/>
  <c r="FH230" i="1"/>
  <c r="FH42" i="1"/>
  <c r="FH38" i="1"/>
  <c r="FH39" i="1"/>
  <c r="FH43" i="1"/>
  <c r="FH46" i="1"/>
  <c r="FH45" i="1"/>
  <c r="FI30" i="1"/>
  <c r="FI35" i="1" s="1"/>
  <c r="FH41" i="1"/>
  <c r="FH40" i="1"/>
  <c r="BH30" i="1"/>
  <c r="BH44" i="1" s="1"/>
  <c r="BG42" i="1"/>
  <c r="BG45" i="1"/>
  <c r="BG43" i="1"/>
  <c r="BG41" i="1"/>
  <c r="FH197" i="1"/>
  <c r="BG197" i="1" s="1"/>
  <c r="FH224" i="1"/>
  <c r="FH222" i="1"/>
  <c r="FH221" i="1"/>
  <c r="FH223" i="1"/>
  <c r="FH213" i="1"/>
  <c r="BG213" i="1" s="1"/>
  <c r="FH212" i="1"/>
  <c r="BG212" i="1" s="1"/>
  <c r="FH215" i="1"/>
  <c r="BG215" i="1" s="1"/>
  <c r="FH214" i="1"/>
  <c r="BG214" i="1" s="1"/>
  <c r="BG223" i="1"/>
  <c r="BG221" i="1"/>
  <c r="BG224" i="1"/>
  <c r="BG222" i="1"/>
  <c r="BG207" i="1"/>
  <c r="BG206" i="1"/>
  <c r="BG205" i="1"/>
  <c r="FH207" i="1"/>
  <c r="FH206" i="1"/>
  <c r="FH205" i="1"/>
  <c r="FH204" i="1"/>
  <c r="FH201" i="1"/>
  <c r="BG201" i="1" s="1"/>
  <c r="FH196" i="1"/>
  <c r="BG196" i="1" s="1"/>
  <c r="FH198" i="1"/>
  <c r="BG198" i="1" s="1"/>
  <c r="FH195" i="1"/>
  <c r="BG195" i="1" s="1"/>
  <c r="FH129" i="1"/>
  <c r="BG129" i="1" s="1"/>
  <c r="FH130" i="1"/>
  <c r="BG130" i="1" s="1"/>
  <c r="FH128" i="1"/>
  <c r="BG128" i="1" s="1"/>
  <c r="FH127" i="1"/>
  <c r="BG127" i="1" s="1"/>
  <c r="FH79" i="1"/>
  <c r="BG79" i="1" s="1"/>
  <c r="FH78" i="1"/>
  <c r="BG78" i="1" s="1"/>
  <c r="FH77" i="1"/>
  <c r="BG77" i="1" s="1"/>
  <c r="FH92" i="1"/>
  <c r="BG92" i="1" s="1"/>
  <c r="FH91" i="1"/>
  <c r="BG91" i="1" s="1"/>
  <c r="FH90" i="1"/>
  <c r="BG90" i="1" s="1"/>
  <c r="FH76" i="1"/>
  <c r="BG76" i="1" s="1"/>
  <c r="FH61" i="1"/>
  <c r="BG61" i="1" s="1"/>
  <c r="BG189" i="1"/>
  <c r="BG188" i="1"/>
  <c r="BG190" i="1"/>
  <c r="BG187" i="1"/>
  <c r="BG151" i="1"/>
  <c r="BG150" i="1"/>
  <c r="BG153" i="1"/>
  <c r="BG152" i="1"/>
  <c r="FH178" i="1"/>
  <c r="BG178" i="1" s="1"/>
  <c r="FH187" i="1"/>
  <c r="FH190" i="1"/>
  <c r="FH189" i="1"/>
  <c r="FH188" i="1"/>
  <c r="FH150" i="1"/>
  <c r="FH153" i="1"/>
  <c r="FH152" i="1"/>
  <c r="FH98" i="1"/>
  <c r="FH102" i="1"/>
  <c r="FH149" i="1"/>
  <c r="FH101" i="1"/>
  <c r="FH97" i="1"/>
  <c r="FH100" i="1"/>
  <c r="FH151" i="1"/>
  <c r="FH99" i="1"/>
  <c r="FH103" i="1"/>
  <c r="FH104" i="1"/>
  <c r="BG98" i="1"/>
  <c r="BG97" i="1"/>
  <c r="BG100" i="1"/>
  <c r="BG102" i="1"/>
  <c r="BG103" i="1"/>
  <c r="BG104" i="1"/>
  <c r="BG101" i="1"/>
  <c r="BG99" i="1"/>
  <c r="FH80" i="1"/>
  <c r="BG80" i="1" s="1"/>
  <c r="FH158" i="1"/>
  <c r="BG158" i="1" s="1"/>
  <c r="FH120" i="1"/>
  <c r="BG120" i="1" s="1"/>
  <c r="FH67" i="1"/>
  <c r="BG67" i="1" s="1"/>
  <c r="FH109" i="1"/>
  <c r="BG109" i="1" s="1"/>
  <c r="FH162" i="1"/>
  <c r="BG162" i="1" s="1"/>
  <c r="FH113" i="1"/>
  <c r="BG113" i="1" s="1"/>
  <c r="FH58" i="1"/>
  <c r="BG58" i="1" s="1"/>
  <c r="FH64" i="1"/>
  <c r="BG64" i="1" s="1"/>
  <c r="FI56" i="1"/>
  <c r="FH62" i="1"/>
  <c r="BG62" i="1" s="1"/>
  <c r="BH56" i="1"/>
  <c r="BH35" i="1" l="1"/>
  <c r="BG125" i="1"/>
  <c r="BG147" i="1"/>
  <c r="FI184" i="1"/>
  <c r="BH184" i="1" s="1"/>
  <c r="FI179" i="1"/>
  <c r="BH179" i="1" s="1"/>
  <c r="FI180" i="1"/>
  <c r="BH180" i="1" s="1"/>
  <c r="FI181" i="1"/>
  <c r="BH181" i="1" s="1"/>
  <c r="FI183" i="1"/>
  <c r="BH183" i="1" s="1"/>
  <c r="FI182" i="1"/>
  <c r="BH182" i="1" s="1"/>
  <c r="FI163" i="1"/>
  <c r="BH163" i="1" s="1"/>
  <c r="FI176" i="1"/>
  <c r="BH176" i="1" s="1"/>
  <c r="FI177" i="1"/>
  <c r="BH177" i="1" s="1"/>
  <c r="FI174" i="1"/>
  <c r="BH174" i="1" s="1"/>
  <c r="FI175" i="1"/>
  <c r="BH175" i="1" s="1"/>
  <c r="FI161" i="1"/>
  <c r="BH161" i="1" s="1"/>
  <c r="FI171" i="1"/>
  <c r="BH171" i="1" s="1"/>
  <c r="FI170" i="1"/>
  <c r="BH170" i="1" s="1"/>
  <c r="FI168" i="1"/>
  <c r="BH168" i="1" s="1"/>
  <c r="FI169" i="1"/>
  <c r="BH169" i="1" s="1"/>
  <c r="FI166" i="1"/>
  <c r="BH166" i="1" s="1"/>
  <c r="FI167" i="1"/>
  <c r="BH167" i="1" s="1"/>
  <c r="FI165" i="1"/>
  <c r="BH165" i="1" s="1"/>
  <c r="FI164" i="1"/>
  <c r="BH164" i="1" s="1"/>
  <c r="FI137" i="1"/>
  <c r="BH137" i="1" s="1"/>
  <c r="FI136" i="1"/>
  <c r="BH136" i="1" s="1"/>
  <c r="FI145" i="1"/>
  <c r="BH145" i="1" s="1"/>
  <c r="FI146" i="1"/>
  <c r="BH146" i="1" s="1"/>
  <c r="FI144" i="1"/>
  <c r="BH144" i="1" s="1"/>
  <c r="FI142" i="1"/>
  <c r="BH142" i="1" s="1"/>
  <c r="FI143" i="1"/>
  <c r="BH143" i="1" s="1"/>
  <c r="FI139" i="1"/>
  <c r="BH139" i="1" s="1"/>
  <c r="FI140" i="1"/>
  <c r="BH140" i="1" s="1"/>
  <c r="FI141" i="1"/>
  <c r="BH141" i="1" s="1"/>
  <c r="FI131" i="1"/>
  <c r="BH131" i="1" s="1"/>
  <c r="FI133" i="1"/>
  <c r="BH133" i="1" s="1"/>
  <c r="FI132" i="1"/>
  <c r="BH132" i="1" s="1"/>
  <c r="FI135" i="1"/>
  <c r="BH135" i="1" s="1"/>
  <c r="FI138" i="1"/>
  <c r="BH138" i="1" s="1"/>
  <c r="FI134" i="1"/>
  <c r="BH134" i="1" s="1"/>
  <c r="FI123" i="1"/>
  <c r="BH123" i="1" s="1"/>
  <c r="FI124" i="1"/>
  <c r="BH124" i="1" s="1"/>
  <c r="FI115" i="1"/>
  <c r="BH115" i="1" s="1"/>
  <c r="FI121" i="1"/>
  <c r="BH121" i="1" s="1"/>
  <c r="FI122" i="1"/>
  <c r="BH122" i="1" s="1"/>
  <c r="FI118" i="1"/>
  <c r="BH118" i="1" s="1"/>
  <c r="FI119" i="1"/>
  <c r="BH119" i="1" s="1"/>
  <c r="FI117" i="1"/>
  <c r="BH117" i="1" s="1"/>
  <c r="FI114" i="1"/>
  <c r="BH114" i="1" s="1"/>
  <c r="FI116" i="1"/>
  <c r="BH116" i="1" s="1"/>
  <c r="FI112" i="1"/>
  <c r="BH112" i="1" s="1"/>
  <c r="FI94" i="1"/>
  <c r="BH94" i="1" s="1"/>
  <c r="FI88" i="1"/>
  <c r="BH88" i="1" s="1"/>
  <c r="FI87" i="1"/>
  <c r="BH87" i="1" s="1"/>
  <c r="FI89" i="1"/>
  <c r="BH89" i="1" s="1"/>
  <c r="FI86" i="1"/>
  <c r="BH86" i="1" s="1"/>
  <c r="FI81" i="1"/>
  <c r="BH81" i="1" s="1"/>
  <c r="FI84" i="1"/>
  <c r="BH84" i="1" s="1"/>
  <c r="FI85" i="1"/>
  <c r="BH85" i="1" s="1"/>
  <c r="FI83" i="1"/>
  <c r="BH83" i="1" s="1"/>
  <c r="FI82" i="1"/>
  <c r="BH82" i="1" s="1"/>
  <c r="FI66" i="1"/>
  <c r="BH66" i="1" s="1"/>
  <c r="FI73" i="1"/>
  <c r="BH73" i="1" s="1"/>
  <c r="FI72" i="1"/>
  <c r="BH72" i="1" s="1"/>
  <c r="FI69" i="1"/>
  <c r="BH69" i="1" s="1"/>
  <c r="FI71" i="1"/>
  <c r="BH71" i="1" s="1"/>
  <c r="FI68" i="1"/>
  <c r="BH68" i="1" s="1"/>
  <c r="FI70" i="1"/>
  <c r="BH70" i="1" s="1"/>
  <c r="FI65" i="1"/>
  <c r="BH65" i="1" s="1"/>
  <c r="FI63" i="1"/>
  <c r="BH63" i="1" s="1"/>
  <c r="FI44" i="1"/>
  <c r="FI32" i="1"/>
  <c r="BH32" i="1" s="1"/>
  <c r="FI31" i="1"/>
  <c r="FI232" i="1"/>
  <c r="FI233" i="1"/>
  <c r="BH233" i="1"/>
  <c r="BH232" i="1"/>
  <c r="FI93" i="1"/>
  <c r="BH93" i="1" s="1"/>
  <c r="FI160" i="1"/>
  <c r="BH160" i="1" s="1"/>
  <c r="FI60" i="1"/>
  <c r="BH60" i="1" s="1"/>
  <c r="FI159" i="1"/>
  <c r="BH159" i="1" s="1"/>
  <c r="FI59" i="1"/>
  <c r="BH59" i="1" s="1"/>
  <c r="BH236" i="1"/>
  <c r="BH235" i="1"/>
  <c r="BH229" i="1"/>
  <c r="FI229" i="1"/>
  <c r="FI235" i="1"/>
  <c r="FI110" i="1"/>
  <c r="BH110" i="1" s="1"/>
  <c r="FI236" i="1"/>
  <c r="FI111" i="1"/>
  <c r="BH111" i="1" s="1"/>
  <c r="FI218" i="1"/>
  <c r="BH218" i="1" s="1"/>
  <c r="FI231" i="1"/>
  <c r="FI230" i="1"/>
  <c r="FI234" i="1"/>
  <c r="BH234" i="1"/>
  <c r="BH231" i="1"/>
  <c r="BH230" i="1"/>
  <c r="FI43" i="1"/>
  <c r="FI41" i="1"/>
  <c r="FJ30" i="1"/>
  <c r="FJ35" i="1" s="1"/>
  <c r="FI42" i="1"/>
  <c r="FI45" i="1"/>
  <c r="FI39" i="1"/>
  <c r="FI38" i="1"/>
  <c r="FI46" i="1"/>
  <c r="FI40" i="1"/>
  <c r="BH41" i="1"/>
  <c r="BH42" i="1"/>
  <c r="BH45" i="1"/>
  <c r="BH43" i="1"/>
  <c r="BI30" i="1"/>
  <c r="BI44" i="1" s="1"/>
  <c r="FI197" i="1"/>
  <c r="BH197" i="1" s="1"/>
  <c r="FI223" i="1"/>
  <c r="FI224" i="1"/>
  <c r="FI222" i="1"/>
  <c r="FI215" i="1"/>
  <c r="BH215" i="1" s="1"/>
  <c r="FI221" i="1"/>
  <c r="FI214" i="1"/>
  <c r="BH214" i="1" s="1"/>
  <c r="FI213" i="1"/>
  <c r="BH213" i="1" s="1"/>
  <c r="FI212" i="1"/>
  <c r="BH212" i="1" s="1"/>
  <c r="BH222" i="1"/>
  <c r="BH221" i="1"/>
  <c r="BH223" i="1"/>
  <c r="BH224" i="1"/>
  <c r="FI205" i="1"/>
  <c r="FI207" i="1"/>
  <c r="FI206" i="1"/>
  <c r="FI201" i="1"/>
  <c r="BH201" i="1" s="1"/>
  <c r="FI204" i="1"/>
  <c r="FI198" i="1"/>
  <c r="BH198" i="1" s="1"/>
  <c r="FI195" i="1"/>
  <c r="BH195" i="1" s="1"/>
  <c r="FI196" i="1"/>
  <c r="BH196" i="1" s="1"/>
  <c r="FI130" i="1"/>
  <c r="BH130" i="1" s="1"/>
  <c r="FI128" i="1"/>
  <c r="BH128" i="1" s="1"/>
  <c r="FI127" i="1"/>
  <c r="BH127" i="1" s="1"/>
  <c r="FI129" i="1"/>
  <c r="BH129" i="1" s="1"/>
  <c r="BH207" i="1"/>
  <c r="BH206" i="1"/>
  <c r="BH205" i="1"/>
  <c r="FI78" i="1"/>
  <c r="BH78" i="1" s="1"/>
  <c r="FI79" i="1"/>
  <c r="BH79" i="1" s="1"/>
  <c r="FI77" i="1"/>
  <c r="BH77" i="1" s="1"/>
  <c r="FI76" i="1"/>
  <c r="BH76" i="1" s="1"/>
  <c r="FI92" i="1"/>
  <c r="BH92" i="1" s="1"/>
  <c r="FI90" i="1"/>
  <c r="BH90" i="1" s="1"/>
  <c r="FI61" i="1"/>
  <c r="BH61" i="1" s="1"/>
  <c r="FI91" i="1"/>
  <c r="BH91" i="1" s="1"/>
  <c r="FI178" i="1"/>
  <c r="BH178" i="1" s="1"/>
  <c r="FI187" i="1"/>
  <c r="BH190" i="1"/>
  <c r="BH188" i="1"/>
  <c r="BH187" i="1"/>
  <c r="BH150" i="1"/>
  <c r="BH151" i="1"/>
  <c r="BH189" i="1"/>
  <c r="BH153" i="1"/>
  <c r="BH152" i="1"/>
  <c r="FI188" i="1"/>
  <c r="FI189" i="1"/>
  <c r="FI190" i="1"/>
  <c r="FI153" i="1"/>
  <c r="FI152" i="1"/>
  <c r="FI150" i="1"/>
  <c r="FI151" i="1"/>
  <c r="FI97" i="1"/>
  <c r="FI101" i="1"/>
  <c r="FI98" i="1"/>
  <c r="FI100" i="1"/>
  <c r="FI103" i="1"/>
  <c r="FI104" i="1"/>
  <c r="FI99" i="1"/>
  <c r="FI149" i="1"/>
  <c r="FI102" i="1"/>
  <c r="BH99" i="1"/>
  <c r="BH98" i="1"/>
  <c r="BH97" i="1"/>
  <c r="BH103" i="1"/>
  <c r="BH100" i="1"/>
  <c r="BH101" i="1"/>
  <c r="BH102" i="1"/>
  <c r="BH104" i="1"/>
  <c r="FI80" i="1"/>
  <c r="BH80" i="1" s="1"/>
  <c r="FI158" i="1"/>
  <c r="BH158" i="1" s="1"/>
  <c r="FI120" i="1"/>
  <c r="BH120" i="1" s="1"/>
  <c r="FI67" i="1"/>
  <c r="BH67" i="1" s="1"/>
  <c r="FI109" i="1"/>
  <c r="BH109" i="1" s="1"/>
  <c r="FI162" i="1"/>
  <c r="BH162" i="1" s="1"/>
  <c r="FI113" i="1"/>
  <c r="BH113" i="1" s="1"/>
  <c r="FJ56" i="1"/>
  <c r="FI58" i="1"/>
  <c r="BH58" i="1" s="1"/>
  <c r="FI64" i="1"/>
  <c r="BH64" i="1" s="1"/>
  <c r="FI62" i="1"/>
  <c r="BH62" i="1" s="1"/>
  <c r="BI56" i="1"/>
  <c r="BI35" i="1" l="1"/>
  <c r="BH147" i="1"/>
  <c r="BH125" i="1"/>
  <c r="FJ184" i="1"/>
  <c r="BI184" i="1" s="1"/>
  <c r="FJ182" i="1"/>
  <c r="BI182" i="1" s="1"/>
  <c r="FJ183" i="1"/>
  <c r="BI183" i="1" s="1"/>
  <c r="FJ181" i="1"/>
  <c r="BI181" i="1" s="1"/>
  <c r="FJ179" i="1"/>
  <c r="BI179" i="1" s="1"/>
  <c r="FJ180" i="1"/>
  <c r="BI180" i="1" s="1"/>
  <c r="FJ163" i="1"/>
  <c r="BI163" i="1" s="1"/>
  <c r="FJ176" i="1"/>
  <c r="BI176" i="1" s="1"/>
  <c r="FJ177" i="1"/>
  <c r="BI177" i="1" s="1"/>
  <c r="FJ175" i="1"/>
  <c r="BI175" i="1" s="1"/>
  <c r="FJ174" i="1"/>
  <c r="BI174" i="1" s="1"/>
  <c r="FJ161" i="1"/>
  <c r="BI161" i="1" s="1"/>
  <c r="FJ170" i="1"/>
  <c r="BI170" i="1" s="1"/>
  <c r="FJ171" i="1"/>
  <c r="BI171" i="1" s="1"/>
  <c r="FJ169" i="1"/>
  <c r="BI169" i="1" s="1"/>
  <c r="FJ167" i="1"/>
  <c r="BI167" i="1" s="1"/>
  <c r="FJ165" i="1"/>
  <c r="BI165" i="1" s="1"/>
  <c r="FJ168" i="1"/>
  <c r="BI168" i="1" s="1"/>
  <c r="FJ166" i="1"/>
  <c r="BI166" i="1" s="1"/>
  <c r="FJ164" i="1"/>
  <c r="BI164" i="1" s="1"/>
  <c r="FJ137" i="1"/>
  <c r="BI137" i="1" s="1"/>
  <c r="FJ136" i="1"/>
  <c r="BI136" i="1" s="1"/>
  <c r="FJ146" i="1"/>
  <c r="BI146" i="1" s="1"/>
  <c r="FJ145" i="1"/>
  <c r="BI145" i="1" s="1"/>
  <c r="FJ144" i="1"/>
  <c r="BI144" i="1" s="1"/>
  <c r="FJ143" i="1"/>
  <c r="BI143" i="1" s="1"/>
  <c r="FJ141" i="1"/>
  <c r="BI141" i="1" s="1"/>
  <c r="FJ142" i="1"/>
  <c r="BI142" i="1" s="1"/>
  <c r="FJ140" i="1"/>
  <c r="BI140" i="1" s="1"/>
  <c r="FJ139" i="1"/>
  <c r="BI139" i="1" s="1"/>
  <c r="FJ131" i="1"/>
  <c r="BI131" i="1" s="1"/>
  <c r="FJ132" i="1"/>
  <c r="BI132" i="1" s="1"/>
  <c r="FJ133" i="1"/>
  <c r="BI133" i="1" s="1"/>
  <c r="FJ135" i="1"/>
  <c r="BI135" i="1" s="1"/>
  <c r="FJ138" i="1"/>
  <c r="BI138" i="1" s="1"/>
  <c r="FJ134" i="1"/>
  <c r="BI134" i="1" s="1"/>
  <c r="FJ123" i="1"/>
  <c r="BI123" i="1" s="1"/>
  <c r="FJ124" i="1"/>
  <c r="BI124" i="1" s="1"/>
  <c r="FJ115" i="1"/>
  <c r="BI115" i="1" s="1"/>
  <c r="FJ122" i="1"/>
  <c r="BI122" i="1" s="1"/>
  <c r="FJ121" i="1"/>
  <c r="BI121" i="1" s="1"/>
  <c r="FJ119" i="1"/>
  <c r="BI119" i="1" s="1"/>
  <c r="FJ117" i="1"/>
  <c r="BI117" i="1" s="1"/>
  <c r="FJ118" i="1"/>
  <c r="BI118" i="1" s="1"/>
  <c r="FJ114" i="1"/>
  <c r="BI114" i="1" s="1"/>
  <c r="FJ116" i="1"/>
  <c r="BI116" i="1" s="1"/>
  <c r="FJ112" i="1"/>
  <c r="BI112" i="1" s="1"/>
  <c r="FJ94" i="1"/>
  <c r="BI94" i="1" s="1"/>
  <c r="FJ89" i="1"/>
  <c r="BI89" i="1" s="1"/>
  <c r="FJ87" i="1"/>
  <c r="BI87" i="1" s="1"/>
  <c r="FJ88" i="1"/>
  <c r="BI88" i="1" s="1"/>
  <c r="FJ86" i="1"/>
  <c r="BI86" i="1" s="1"/>
  <c r="FJ81" i="1"/>
  <c r="BI81" i="1" s="1"/>
  <c r="FJ84" i="1"/>
  <c r="BI84" i="1" s="1"/>
  <c r="FJ85" i="1"/>
  <c r="BI85" i="1" s="1"/>
  <c r="FJ83" i="1"/>
  <c r="BI83" i="1" s="1"/>
  <c r="FJ82" i="1"/>
  <c r="BI82" i="1" s="1"/>
  <c r="FJ66" i="1"/>
  <c r="BI66" i="1" s="1"/>
  <c r="FJ73" i="1"/>
  <c r="BI73" i="1" s="1"/>
  <c r="FJ72" i="1"/>
  <c r="BI72" i="1" s="1"/>
  <c r="FJ68" i="1"/>
  <c r="BI68" i="1" s="1"/>
  <c r="FJ71" i="1"/>
  <c r="BI71" i="1" s="1"/>
  <c r="FJ70" i="1"/>
  <c r="BI70" i="1" s="1"/>
  <c r="FJ69" i="1"/>
  <c r="BI69" i="1" s="1"/>
  <c r="FJ65" i="1"/>
  <c r="BI65" i="1" s="1"/>
  <c r="FJ63" i="1"/>
  <c r="BI63" i="1" s="1"/>
  <c r="FJ44" i="1"/>
  <c r="FJ31" i="1"/>
  <c r="FJ32" i="1"/>
  <c r="BI32" i="1" s="1"/>
  <c r="BI233" i="1"/>
  <c r="BI232" i="1"/>
  <c r="FJ232" i="1"/>
  <c r="FJ233" i="1"/>
  <c r="FJ93" i="1"/>
  <c r="BI93" i="1" s="1"/>
  <c r="FJ235" i="1"/>
  <c r="BI236" i="1"/>
  <c r="BI235" i="1"/>
  <c r="BI229" i="1"/>
  <c r="FJ160" i="1"/>
  <c r="BI160" i="1" s="1"/>
  <c r="FJ60" i="1"/>
  <c r="BI60" i="1" s="1"/>
  <c r="FJ159" i="1"/>
  <c r="BI159" i="1" s="1"/>
  <c r="FJ59" i="1"/>
  <c r="BI59" i="1" s="1"/>
  <c r="FJ229" i="1"/>
  <c r="FJ236" i="1"/>
  <c r="FJ111" i="1"/>
  <c r="BI111" i="1" s="1"/>
  <c r="FJ110" i="1"/>
  <c r="BI110" i="1" s="1"/>
  <c r="BI234" i="1"/>
  <c r="BI230" i="1"/>
  <c r="BI231" i="1"/>
  <c r="FJ218" i="1"/>
  <c r="BI218" i="1" s="1"/>
  <c r="FJ231" i="1"/>
  <c r="FJ234" i="1"/>
  <c r="FJ230" i="1"/>
  <c r="FJ41" i="1"/>
  <c r="FJ45" i="1"/>
  <c r="FJ39" i="1"/>
  <c r="FJ38" i="1"/>
  <c r="FJ43" i="1"/>
  <c r="FJ40" i="1"/>
  <c r="FK30" i="1"/>
  <c r="FK35" i="1" s="1"/>
  <c r="FJ42" i="1"/>
  <c r="FJ46" i="1"/>
  <c r="BI45" i="1"/>
  <c r="BJ30" i="1"/>
  <c r="BJ44" i="1" s="1"/>
  <c r="BI41" i="1"/>
  <c r="BI42" i="1"/>
  <c r="BI43" i="1"/>
  <c r="BI224" i="1"/>
  <c r="BI223" i="1"/>
  <c r="BI221" i="1"/>
  <c r="BI222" i="1"/>
  <c r="FJ197" i="1"/>
  <c r="BI197" i="1" s="1"/>
  <c r="FJ224" i="1"/>
  <c r="FJ223" i="1"/>
  <c r="FJ222" i="1"/>
  <c r="FJ221" i="1"/>
  <c r="FJ214" i="1"/>
  <c r="BI214" i="1" s="1"/>
  <c r="FJ215" i="1"/>
  <c r="BI215" i="1" s="1"/>
  <c r="FJ213" i="1"/>
  <c r="BI213" i="1" s="1"/>
  <c r="FJ212" i="1"/>
  <c r="BI212" i="1" s="1"/>
  <c r="BI207" i="1"/>
  <c r="BI206" i="1"/>
  <c r="BI205" i="1"/>
  <c r="FJ207" i="1"/>
  <c r="FJ206" i="1"/>
  <c r="FJ205" i="1"/>
  <c r="FJ204" i="1"/>
  <c r="FJ201" i="1"/>
  <c r="BI201" i="1" s="1"/>
  <c r="FJ198" i="1"/>
  <c r="BI198" i="1" s="1"/>
  <c r="FJ196" i="1"/>
  <c r="BI196" i="1" s="1"/>
  <c r="FJ195" i="1"/>
  <c r="BI195" i="1" s="1"/>
  <c r="FJ128" i="1"/>
  <c r="BI128" i="1" s="1"/>
  <c r="FJ127" i="1"/>
  <c r="BI127" i="1" s="1"/>
  <c r="FJ129" i="1"/>
  <c r="BI129" i="1" s="1"/>
  <c r="FJ130" i="1"/>
  <c r="BI130" i="1" s="1"/>
  <c r="FJ78" i="1"/>
  <c r="BI78" i="1" s="1"/>
  <c r="FJ79" i="1"/>
  <c r="BI79" i="1" s="1"/>
  <c r="FJ61" i="1"/>
  <c r="BI61" i="1" s="1"/>
  <c r="FJ77" i="1"/>
  <c r="BI77" i="1" s="1"/>
  <c r="FJ76" i="1"/>
  <c r="BI76" i="1" s="1"/>
  <c r="FJ92" i="1"/>
  <c r="BI92" i="1" s="1"/>
  <c r="FJ90" i="1"/>
  <c r="BI90" i="1" s="1"/>
  <c r="FJ91" i="1"/>
  <c r="BI91" i="1" s="1"/>
  <c r="BI189" i="1"/>
  <c r="BI188" i="1"/>
  <c r="BI187" i="1"/>
  <c r="BI190" i="1"/>
  <c r="BI152" i="1"/>
  <c r="BI153" i="1"/>
  <c r="BI150" i="1"/>
  <c r="BI151" i="1"/>
  <c r="FJ178" i="1"/>
  <c r="BI178" i="1" s="1"/>
  <c r="FJ190" i="1"/>
  <c r="FJ187" i="1"/>
  <c r="FJ189" i="1"/>
  <c r="FJ188" i="1"/>
  <c r="FJ151" i="1"/>
  <c r="FJ152" i="1"/>
  <c r="FJ150" i="1"/>
  <c r="FJ153" i="1"/>
  <c r="FJ149" i="1"/>
  <c r="FJ100" i="1"/>
  <c r="FJ99" i="1"/>
  <c r="FJ102" i="1"/>
  <c r="FJ98" i="1"/>
  <c r="FJ101" i="1"/>
  <c r="FJ97" i="1"/>
  <c r="FJ103" i="1"/>
  <c r="FJ104" i="1"/>
  <c r="BI100" i="1"/>
  <c r="BI99" i="1"/>
  <c r="BI104" i="1"/>
  <c r="BI97" i="1"/>
  <c r="BI101" i="1"/>
  <c r="BI102" i="1"/>
  <c r="BI103" i="1"/>
  <c r="BI98" i="1"/>
  <c r="FJ80" i="1"/>
  <c r="BI80" i="1" s="1"/>
  <c r="FJ158" i="1"/>
  <c r="BI158" i="1" s="1"/>
  <c r="FJ120" i="1"/>
  <c r="BI120" i="1" s="1"/>
  <c r="FJ67" i="1"/>
  <c r="BI67" i="1" s="1"/>
  <c r="FJ109" i="1"/>
  <c r="BI109" i="1" s="1"/>
  <c r="FJ162" i="1"/>
  <c r="BI162" i="1" s="1"/>
  <c r="FJ113" i="1"/>
  <c r="BI113" i="1" s="1"/>
  <c r="FJ58" i="1"/>
  <c r="BI58" i="1" s="1"/>
  <c r="FJ64" i="1"/>
  <c r="BI64" i="1" s="1"/>
  <c r="FK56" i="1"/>
  <c r="FJ62" i="1"/>
  <c r="BI62" i="1" s="1"/>
  <c r="BJ56" i="1"/>
  <c r="BJ35" i="1" l="1"/>
  <c r="BI147" i="1"/>
  <c r="BI125" i="1"/>
  <c r="FK184" i="1"/>
  <c r="BJ184" i="1" s="1"/>
  <c r="FK183" i="1"/>
  <c r="BJ183" i="1" s="1"/>
  <c r="FK180" i="1"/>
  <c r="BJ180" i="1" s="1"/>
  <c r="FK182" i="1"/>
  <c r="BJ182" i="1" s="1"/>
  <c r="FK181" i="1"/>
  <c r="BJ181" i="1" s="1"/>
  <c r="FK179" i="1"/>
  <c r="BJ179" i="1" s="1"/>
  <c r="FK163" i="1"/>
  <c r="BJ163" i="1" s="1"/>
  <c r="FK177" i="1"/>
  <c r="BJ177" i="1" s="1"/>
  <c r="FK176" i="1"/>
  <c r="BJ176" i="1" s="1"/>
  <c r="FK175" i="1"/>
  <c r="BJ175" i="1" s="1"/>
  <c r="FK174" i="1"/>
  <c r="BJ174" i="1" s="1"/>
  <c r="FK161" i="1"/>
  <c r="BJ161" i="1" s="1"/>
  <c r="FK171" i="1"/>
  <c r="BJ171" i="1" s="1"/>
  <c r="FK169" i="1"/>
  <c r="BJ169" i="1" s="1"/>
  <c r="FK168" i="1"/>
  <c r="BJ168" i="1" s="1"/>
  <c r="FK167" i="1"/>
  <c r="BJ167" i="1" s="1"/>
  <c r="FK165" i="1"/>
  <c r="BJ165" i="1" s="1"/>
  <c r="FK170" i="1"/>
  <c r="BJ170" i="1" s="1"/>
  <c r="FK166" i="1"/>
  <c r="BJ166" i="1" s="1"/>
  <c r="FK164" i="1"/>
  <c r="BJ164" i="1" s="1"/>
  <c r="FK137" i="1"/>
  <c r="BJ137" i="1" s="1"/>
  <c r="FK136" i="1"/>
  <c r="BJ136" i="1" s="1"/>
  <c r="FK146" i="1"/>
  <c r="BJ146" i="1" s="1"/>
  <c r="FK145" i="1"/>
  <c r="BJ145" i="1" s="1"/>
  <c r="FK144" i="1"/>
  <c r="BJ144" i="1" s="1"/>
  <c r="FK143" i="1"/>
  <c r="BJ143" i="1" s="1"/>
  <c r="FK141" i="1"/>
  <c r="BJ141" i="1" s="1"/>
  <c r="FK140" i="1"/>
  <c r="BJ140" i="1" s="1"/>
  <c r="FK139" i="1"/>
  <c r="BJ139" i="1" s="1"/>
  <c r="FK142" i="1"/>
  <c r="BJ142" i="1" s="1"/>
  <c r="FK131" i="1"/>
  <c r="BJ131" i="1" s="1"/>
  <c r="FK132" i="1"/>
  <c r="BJ132" i="1" s="1"/>
  <c r="FK133" i="1"/>
  <c r="BJ133" i="1" s="1"/>
  <c r="FK138" i="1"/>
  <c r="BJ138" i="1" s="1"/>
  <c r="FK134" i="1"/>
  <c r="BJ134" i="1" s="1"/>
  <c r="FK135" i="1"/>
  <c r="BJ135" i="1" s="1"/>
  <c r="FK124" i="1"/>
  <c r="BJ124" i="1" s="1"/>
  <c r="FK123" i="1"/>
  <c r="BJ123" i="1" s="1"/>
  <c r="FK115" i="1"/>
  <c r="BJ115" i="1" s="1"/>
  <c r="FK122" i="1"/>
  <c r="BJ122" i="1" s="1"/>
  <c r="FK121" i="1"/>
  <c r="BJ121" i="1" s="1"/>
  <c r="FK119" i="1"/>
  <c r="BJ119" i="1" s="1"/>
  <c r="FK118" i="1"/>
  <c r="BJ118" i="1" s="1"/>
  <c r="FK117" i="1"/>
  <c r="BJ117" i="1" s="1"/>
  <c r="FK116" i="1"/>
  <c r="BJ116" i="1" s="1"/>
  <c r="FK114" i="1"/>
  <c r="BJ114" i="1" s="1"/>
  <c r="FK112" i="1"/>
  <c r="BJ112" i="1" s="1"/>
  <c r="FK94" i="1"/>
  <c r="BJ94" i="1" s="1"/>
  <c r="FK89" i="1"/>
  <c r="BJ89" i="1" s="1"/>
  <c r="FK88" i="1"/>
  <c r="BJ88" i="1" s="1"/>
  <c r="FK86" i="1"/>
  <c r="BJ86" i="1" s="1"/>
  <c r="FK87" i="1"/>
  <c r="BJ87" i="1" s="1"/>
  <c r="FK81" i="1"/>
  <c r="BJ81" i="1" s="1"/>
  <c r="FK85" i="1"/>
  <c r="BJ85" i="1" s="1"/>
  <c r="FK83" i="1"/>
  <c r="BJ83" i="1" s="1"/>
  <c r="FK84" i="1"/>
  <c r="BJ84" i="1" s="1"/>
  <c r="FK82" i="1"/>
  <c r="BJ82" i="1" s="1"/>
  <c r="FK66" i="1"/>
  <c r="BJ66" i="1" s="1"/>
  <c r="FK72" i="1"/>
  <c r="BJ72" i="1" s="1"/>
  <c r="FK73" i="1"/>
  <c r="BJ73" i="1" s="1"/>
  <c r="FK71" i="1"/>
  <c r="BJ71" i="1" s="1"/>
  <c r="FK70" i="1"/>
  <c r="BJ70" i="1" s="1"/>
  <c r="FK69" i="1"/>
  <c r="BJ69" i="1" s="1"/>
  <c r="FK68" i="1"/>
  <c r="BJ68" i="1" s="1"/>
  <c r="FK65" i="1"/>
  <c r="BJ65" i="1" s="1"/>
  <c r="FK63" i="1"/>
  <c r="BJ63" i="1" s="1"/>
  <c r="FK44" i="1"/>
  <c r="FK32" i="1"/>
  <c r="BJ32" i="1" s="1"/>
  <c r="FK31" i="1"/>
  <c r="BJ233" i="1"/>
  <c r="BJ232" i="1"/>
  <c r="FK233" i="1"/>
  <c r="FK232" i="1"/>
  <c r="FK93" i="1"/>
  <c r="BJ93" i="1" s="1"/>
  <c r="FK60" i="1"/>
  <c r="BJ60" i="1" s="1"/>
  <c r="FK160" i="1"/>
  <c r="BJ160" i="1" s="1"/>
  <c r="FK159" i="1"/>
  <c r="BJ159" i="1" s="1"/>
  <c r="FK59" i="1"/>
  <c r="BJ59" i="1" s="1"/>
  <c r="FK229" i="1"/>
  <c r="BJ236" i="1"/>
  <c r="BJ229" i="1"/>
  <c r="BJ235" i="1"/>
  <c r="FK235" i="1"/>
  <c r="FK111" i="1"/>
  <c r="BJ111" i="1" s="1"/>
  <c r="FK236" i="1"/>
  <c r="FK110" i="1"/>
  <c r="BJ110" i="1" s="1"/>
  <c r="BJ231" i="1"/>
  <c r="BJ230" i="1"/>
  <c r="BJ234" i="1"/>
  <c r="FK218" i="1"/>
  <c r="BJ218" i="1" s="1"/>
  <c r="FK234" i="1"/>
  <c r="FK231" i="1"/>
  <c r="FK230" i="1"/>
  <c r="FK40" i="1"/>
  <c r="FK42" i="1"/>
  <c r="FK46" i="1"/>
  <c r="FK43" i="1"/>
  <c r="FK45" i="1"/>
  <c r="FK41" i="1"/>
  <c r="FK39" i="1"/>
  <c r="FK38" i="1"/>
  <c r="FL30" i="1"/>
  <c r="FL35" i="1" s="1"/>
  <c r="BJ45" i="1"/>
  <c r="BJ43" i="1"/>
  <c r="BK30" i="1"/>
  <c r="BK44" i="1" s="1"/>
  <c r="BJ42" i="1"/>
  <c r="BJ41" i="1"/>
  <c r="BJ224" i="1"/>
  <c r="BJ223" i="1"/>
  <c r="BJ222" i="1"/>
  <c r="BJ221" i="1"/>
  <c r="FK197" i="1"/>
  <c r="BJ197" i="1" s="1"/>
  <c r="FK223" i="1"/>
  <c r="FK222" i="1"/>
  <c r="FK224" i="1"/>
  <c r="FK221" i="1"/>
  <c r="FK215" i="1"/>
  <c r="BJ215" i="1" s="1"/>
  <c r="FK214" i="1"/>
  <c r="BJ214" i="1" s="1"/>
  <c r="FK213" i="1"/>
  <c r="BJ213" i="1" s="1"/>
  <c r="FK212" i="1"/>
  <c r="BJ212" i="1" s="1"/>
  <c r="BJ207" i="1"/>
  <c r="BJ206" i="1"/>
  <c r="BJ205" i="1"/>
  <c r="FK207" i="1"/>
  <c r="FK206" i="1"/>
  <c r="FK205" i="1"/>
  <c r="FK204" i="1"/>
  <c r="FK201" i="1"/>
  <c r="BJ201" i="1" s="1"/>
  <c r="FK196" i="1"/>
  <c r="BJ196" i="1" s="1"/>
  <c r="FK198" i="1"/>
  <c r="BJ198" i="1" s="1"/>
  <c r="FK195" i="1"/>
  <c r="BJ195" i="1" s="1"/>
  <c r="FK129" i="1"/>
  <c r="BJ129" i="1" s="1"/>
  <c r="FK130" i="1"/>
  <c r="BJ130" i="1" s="1"/>
  <c r="FK128" i="1"/>
  <c r="BJ128" i="1" s="1"/>
  <c r="FK127" i="1"/>
  <c r="BJ127" i="1" s="1"/>
  <c r="FK79" i="1"/>
  <c r="BJ79" i="1" s="1"/>
  <c r="FK77" i="1"/>
  <c r="BJ77" i="1" s="1"/>
  <c r="FK76" i="1"/>
  <c r="BJ76" i="1" s="1"/>
  <c r="FK78" i="1"/>
  <c r="BJ78" i="1" s="1"/>
  <c r="FK61" i="1"/>
  <c r="BJ61" i="1" s="1"/>
  <c r="FK92" i="1"/>
  <c r="BJ92" i="1" s="1"/>
  <c r="FK91" i="1"/>
  <c r="BJ91" i="1" s="1"/>
  <c r="FK90" i="1"/>
  <c r="BJ90" i="1" s="1"/>
  <c r="BJ190" i="1"/>
  <c r="BJ187" i="1"/>
  <c r="BJ188" i="1"/>
  <c r="BJ189" i="1"/>
  <c r="BJ153" i="1"/>
  <c r="BJ152" i="1"/>
  <c r="BJ150" i="1"/>
  <c r="BJ151" i="1"/>
  <c r="FK189" i="1"/>
  <c r="FK188" i="1"/>
  <c r="FK190" i="1"/>
  <c r="FK187" i="1"/>
  <c r="FK178" i="1"/>
  <c r="BJ178" i="1" s="1"/>
  <c r="FK152" i="1"/>
  <c r="FK153" i="1"/>
  <c r="FK151" i="1"/>
  <c r="FK99" i="1"/>
  <c r="FK103" i="1"/>
  <c r="FK150" i="1"/>
  <c r="FK149" i="1"/>
  <c r="FK98" i="1"/>
  <c r="FK101" i="1"/>
  <c r="FK100" i="1"/>
  <c r="FK102" i="1"/>
  <c r="FK97" i="1"/>
  <c r="FK104" i="1"/>
  <c r="BJ97" i="1"/>
  <c r="BJ100" i="1"/>
  <c r="BJ99" i="1"/>
  <c r="BJ101" i="1"/>
  <c r="BJ102" i="1"/>
  <c r="BJ103" i="1"/>
  <c r="BJ98" i="1"/>
  <c r="BJ104" i="1"/>
  <c r="FK80" i="1"/>
  <c r="BJ80" i="1" s="1"/>
  <c r="FK158" i="1"/>
  <c r="BJ158" i="1" s="1"/>
  <c r="FK120" i="1"/>
  <c r="BJ120" i="1" s="1"/>
  <c r="FK67" i="1"/>
  <c r="BJ67" i="1" s="1"/>
  <c r="FK109" i="1"/>
  <c r="BJ109" i="1" s="1"/>
  <c r="FK162" i="1"/>
  <c r="BJ162" i="1" s="1"/>
  <c r="FK113" i="1"/>
  <c r="BJ113" i="1" s="1"/>
  <c r="FK58" i="1"/>
  <c r="BJ58" i="1" s="1"/>
  <c r="FK62" i="1"/>
  <c r="BJ62" i="1" s="1"/>
  <c r="FL56" i="1"/>
  <c r="FK64" i="1"/>
  <c r="BJ64" i="1" s="1"/>
  <c r="BK56" i="1"/>
  <c r="BK35" i="1" l="1"/>
  <c r="BJ125" i="1"/>
  <c r="BJ147" i="1"/>
  <c r="FL184" i="1"/>
  <c r="BK184" i="1" s="1"/>
  <c r="FL183" i="1"/>
  <c r="BK183" i="1" s="1"/>
  <c r="FL181" i="1"/>
  <c r="BK181" i="1" s="1"/>
  <c r="FL182" i="1"/>
  <c r="BK182" i="1" s="1"/>
  <c r="FL179" i="1"/>
  <c r="BK179" i="1" s="1"/>
  <c r="FL180" i="1"/>
  <c r="BK180" i="1" s="1"/>
  <c r="FL163" i="1"/>
  <c r="BK163" i="1" s="1"/>
  <c r="FL177" i="1"/>
  <c r="BK177" i="1" s="1"/>
  <c r="FL176" i="1"/>
  <c r="BK176" i="1" s="1"/>
  <c r="FL175" i="1"/>
  <c r="BK175" i="1" s="1"/>
  <c r="FL174" i="1"/>
  <c r="BK174" i="1" s="1"/>
  <c r="FL161" i="1"/>
  <c r="BK161" i="1" s="1"/>
  <c r="FL171" i="1"/>
  <c r="BK171" i="1" s="1"/>
  <c r="FL170" i="1"/>
  <c r="BK170" i="1" s="1"/>
  <c r="FL168" i="1"/>
  <c r="BK168" i="1" s="1"/>
  <c r="FL169" i="1"/>
  <c r="BK169" i="1" s="1"/>
  <c r="FL167" i="1"/>
  <c r="BK167" i="1" s="1"/>
  <c r="FL166" i="1"/>
  <c r="BK166" i="1" s="1"/>
  <c r="FL165" i="1"/>
  <c r="BK165" i="1" s="1"/>
  <c r="FL164" i="1"/>
  <c r="BK164" i="1" s="1"/>
  <c r="FL137" i="1"/>
  <c r="BK137" i="1" s="1"/>
  <c r="FL136" i="1"/>
  <c r="BK136" i="1" s="1"/>
  <c r="FL146" i="1"/>
  <c r="BK146" i="1" s="1"/>
  <c r="FL145" i="1"/>
  <c r="BK145" i="1" s="1"/>
  <c r="FL144" i="1"/>
  <c r="BK144" i="1" s="1"/>
  <c r="FL143" i="1"/>
  <c r="BK143" i="1" s="1"/>
  <c r="FL142" i="1"/>
  <c r="BK142" i="1" s="1"/>
  <c r="FL139" i="1"/>
  <c r="BK139" i="1" s="1"/>
  <c r="FL141" i="1"/>
  <c r="BK141" i="1" s="1"/>
  <c r="FL140" i="1"/>
  <c r="BK140" i="1" s="1"/>
  <c r="FL131" i="1"/>
  <c r="BK131" i="1" s="1"/>
  <c r="FL132" i="1"/>
  <c r="BK132" i="1" s="1"/>
  <c r="FL133" i="1"/>
  <c r="BK133" i="1" s="1"/>
  <c r="FL138" i="1"/>
  <c r="BK138" i="1" s="1"/>
  <c r="FL135" i="1"/>
  <c r="BK135" i="1" s="1"/>
  <c r="FL134" i="1"/>
  <c r="BK134" i="1" s="1"/>
  <c r="FL124" i="1"/>
  <c r="BK124" i="1" s="1"/>
  <c r="FL123" i="1"/>
  <c r="BK123" i="1" s="1"/>
  <c r="FL115" i="1"/>
  <c r="BK115" i="1" s="1"/>
  <c r="FL121" i="1"/>
  <c r="BK121" i="1" s="1"/>
  <c r="FL122" i="1"/>
  <c r="BK122" i="1" s="1"/>
  <c r="FL118" i="1"/>
  <c r="BK118" i="1" s="1"/>
  <c r="FL119" i="1"/>
  <c r="BK119" i="1" s="1"/>
  <c r="FL116" i="1"/>
  <c r="BK116" i="1" s="1"/>
  <c r="FL117" i="1"/>
  <c r="BK117" i="1" s="1"/>
  <c r="FL114" i="1"/>
  <c r="BK114" i="1" s="1"/>
  <c r="FL112" i="1"/>
  <c r="BK112" i="1" s="1"/>
  <c r="FL94" i="1"/>
  <c r="BK94" i="1" s="1"/>
  <c r="FL89" i="1"/>
  <c r="BK89" i="1" s="1"/>
  <c r="FL88" i="1"/>
  <c r="BK88" i="1" s="1"/>
  <c r="FL87" i="1"/>
  <c r="BK87" i="1" s="1"/>
  <c r="FL86" i="1"/>
  <c r="BK86" i="1" s="1"/>
  <c r="FL81" i="1"/>
  <c r="BK81" i="1" s="1"/>
  <c r="FL85" i="1"/>
  <c r="BK85" i="1" s="1"/>
  <c r="FL84" i="1"/>
  <c r="BK84" i="1" s="1"/>
  <c r="FL82" i="1"/>
  <c r="BK82" i="1" s="1"/>
  <c r="FL83" i="1"/>
  <c r="BK83" i="1" s="1"/>
  <c r="FL66" i="1"/>
  <c r="BK66" i="1" s="1"/>
  <c r="FL72" i="1"/>
  <c r="BK72" i="1" s="1"/>
  <c r="FL71" i="1"/>
  <c r="BK71" i="1" s="1"/>
  <c r="FL73" i="1"/>
  <c r="BK73" i="1" s="1"/>
  <c r="FL70" i="1"/>
  <c r="BK70" i="1" s="1"/>
  <c r="FL69" i="1"/>
  <c r="BK69" i="1" s="1"/>
  <c r="FL68" i="1"/>
  <c r="BK68" i="1" s="1"/>
  <c r="FL65" i="1"/>
  <c r="BK65" i="1" s="1"/>
  <c r="FL63" i="1"/>
  <c r="BK63" i="1" s="1"/>
  <c r="FL44" i="1"/>
  <c r="FL32" i="1"/>
  <c r="BK32" i="1" s="1"/>
  <c r="FL31" i="1"/>
  <c r="FL232" i="1"/>
  <c r="FL233" i="1"/>
  <c r="BK233" i="1"/>
  <c r="BK232" i="1"/>
  <c r="FL93" i="1"/>
  <c r="BK93" i="1" s="1"/>
  <c r="BK236" i="1"/>
  <c r="BK229" i="1"/>
  <c r="BK235" i="1"/>
  <c r="FL235" i="1"/>
  <c r="FL229" i="1"/>
  <c r="FL160" i="1"/>
  <c r="BK160" i="1" s="1"/>
  <c r="FL60" i="1"/>
  <c r="BK60" i="1" s="1"/>
  <c r="FL159" i="1"/>
  <c r="BK159" i="1" s="1"/>
  <c r="FL59" i="1"/>
  <c r="BK59" i="1" s="1"/>
  <c r="FL111" i="1"/>
  <c r="BK111" i="1" s="1"/>
  <c r="FL110" i="1"/>
  <c r="BK110" i="1" s="1"/>
  <c r="FL236" i="1"/>
  <c r="BK234" i="1"/>
  <c r="BK231" i="1"/>
  <c r="BK230" i="1"/>
  <c r="FL218" i="1"/>
  <c r="BK218" i="1" s="1"/>
  <c r="FL234" i="1"/>
  <c r="FL230" i="1"/>
  <c r="FL231" i="1"/>
  <c r="FM30" i="1"/>
  <c r="FM35" i="1" s="1"/>
  <c r="FL38" i="1"/>
  <c r="FL39" i="1"/>
  <c r="FL45" i="1"/>
  <c r="FL43" i="1"/>
  <c r="FL40" i="1"/>
  <c r="FL42" i="1"/>
  <c r="FL41" i="1"/>
  <c r="FL46" i="1"/>
  <c r="BL30" i="1"/>
  <c r="BL44" i="1" s="1"/>
  <c r="BK43" i="1"/>
  <c r="BK45" i="1"/>
  <c r="BK42" i="1"/>
  <c r="BK41" i="1"/>
  <c r="BK224" i="1"/>
  <c r="BK221" i="1"/>
  <c r="BK223" i="1"/>
  <c r="BK222" i="1"/>
  <c r="FL197" i="1"/>
  <c r="BK197" i="1" s="1"/>
  <c r="FL223" i="1"/>
  <c r="FL222" i="1"/>
  <c r="FL221" i="1"/>
  <c r="FL224" i="1"/>
  <c r="FL213" i="1"/>
  <c r="BK213" i="1" s="1"/>
  <c r="FL212" i="1"/>
  <c r="BK212" i="1" s="1"/>
  <c r="FL214" i="1"/>
  <c r="BK214" i="1" s="1"/>
  <c r="FL215" i="1"/>
  <c r="BK215" i="1" s="1"/>
  <c r="BK207" i="1"/>
  <c r="BK206" i="1"/>
  <c r="BK205" i="1"/>
  <c r="FL207" i="1"/>
  <c r="FL206" i="1"/>
  <c r="FL205" i="1"/>
  <c r="FL204" i="1"/>
  <c r="FL201" i="1"/>
  <c r="BK201" i="1" s="1"/>
  <c r="FL198" i="1"/>
  <c r="BK198" i="1" s="1"/>
  <c r="FL195" i="1"/>
  <c r="BK195" i="1" s="1"/>
  <c r="FL196" i="1"/>
  <c r="BK196" i="1" s="1"/>
  <c r="FL129" i="1"/>
  <c r="BK129" i="1" s="1"/>
  <c r="FL130" i="1"/>
  <c r="BK130" i="1" s="1"/>
  <c r="FL128" i="1"/>
  <c r="BK128" i="1" s="1"/>
  <c r="FL127" i="1"/>
  <c r="BK127" i="1" s="1"/>
  <c r="FL79" i="1"/>
  <c r="BK79" i="1" s="1"/>
  <c r="FL78" i="1"/>
  <c r="BK78" i="1" s="1"/>
  <c r="FL77" i="1"/>
  <c r="BK77" i="1" s="1"/>
  <c r="FL76" i="1"/>
  <c r="BK76" i="1" s="1"/>
  <c r="FL61" i="1"/>
  <c r="BK61" i="1" s="1"/>
  <c r="FL92" i="1"/>
  <c r="BK92" i="1" s="1"/>
  <c r="FL91" i="1"/>
  <c r="BK91" i="1" s="1"/>
  <c r="FL90" i="1"/>
  <c r="BK90" i="1" s="1"/>
  <c r="BK189" i="1"/>
  <c r="BK190" i="1"/>
  <c r="BK150" i="1"/>
  <c r="BK187" i="1"/>
  <c r="BK151" i="1"/>
  <c r="BK153" i="1"/>
  <c r="BK152" i="1"/>
  <c r="BK188" i="1"/>
  <c r="FL189" i="1"/>
  <c r="FL190" i="1"/>
  <c r="FL187" i="1"/>
  <c r="FL188" i="1"/>
  <c r="FL178" i="1"/>
  <c r="BK178" i="1" s="1"/>
  <c r="FL153" i="1"/>
  <c r="FL150" i="1"/>
  <c r="FL151" i="1"/>
  <c r="FL152" i="1"/>
  <c r="FL98" i="1"/>
  <c r="FL102" i="1"/>
  <c r="FL97" i="1"/>
  <c r="FL100" i="1"/>
  <c r="FL103" i="1"/>
  <c r="FL149" i="1"/>
  <c r="FL99" i="1"/>
  <c r="FL104" i="1"/>
  <c r="FL101" i="1"/>
  <c r="BK98" i="1"/>
  <c r="BK97" i="1"/>
  <c r="BK102" i="1"/>
  <c r="BK100" i="1"/>
  <c r="BK101" i="1"/>
  <c r="BK99" i="1"/>
  <c r="BK103" i="1"/>
  <c r="BK104" i="1"/>
  <c r="FL80" i="1"/>
  <c r="BK80" i="1" s="1"/>
  <c r="FL158" i="1"/>
  <c r="BK158" i="1" s="1"/>
  <c r="FL120" i="1"/>
  <c r="BK120" i="1" s="1"/>
  <c r="FL67" i="1"/>
  <c r="BK67" i="1" s="1"/>
  <c r="FL109" i="1"/>
  <c r="BK109" i="1" s="1"/>
  <c r="FL162" i="1"/>
  <c r="BK162" i="1" s="1"/>
  <c r="FL113" i="1"/>
  <c r="BK113" i="1" s="1"/>
  <c r="FL62" i="1"/>
  <c r="BK62" i="1" s="1"/>
  <c r="FL64" i="1"/>
  <c r="BK64" i="1" s="1"/>
  <c r="FM56" i="1"/>
  <c r="FL58" i="1"/>
  <c r="BK58" i="1" s="1"/>
  <c r="BL56" i="1"/>
  <c r="BL35" i="1" l="1"/>
  <c r="BK147" i="1"/>
  <c r="BK125" i="1"/>
  <c r="FM184" i="1"/>
  <c r="BL184" i="1" s="1"/>
  <c r="FM179" i="1"/>
  <c r="BL179" i="1" s="1"/>
  <c r="FM183" i="1"/>
  <c r="BL183" i="1" s="1"/>
  <c r="FM180" i="1"/>
  <c r="BL180" i="1" s="1"/>
  <c r="FM181" i="1"/>
  <c r="BL181" i="1" s="1"/>
  <c r="FM182" i="1"/>
  <c r="BL182" i="1" s="1"/>
  <c r="FM163" i="1"/>
  <c r="BL163" i="1" s="1"/>
  <c r="FM176" i="1"/>
  <c r="BL176" i="1" s="1"/>
  <c r="FM177" i="1"/>
  <c r="BL177" i="1" s="1"/>
  <c r="FM174" i="1"/>
  <c r="BL174" i="1" s="1"/>
  <c r="FM175" i="1"/>
  <c r="BL175" i="1" s="1"/>
  <c r="FM161" i="1"/>
  <c r="BL161" i="1" s="1"/>
  <c r="FM171" i="1"/>
  <c r="BL171" i="1" s="1"/>
  <c r="FM170" i="1"/>
  <c r="BL170" i="1" s="1"/>
  <c r="FM169" i="1"/>
  <c r="BL169" i="1" s="1"/>
  <c r="FM166" i="1"/>
  <c r="BL166" i="1" s="1"/>
  <c r="FM167" i="1"/>
  <c r="BL167" i="1" s="1"/>
  <c r="FM168" i="1"/>
  <c r="BL168" i="1" s="1"/>
  <c r="FM165" i="1"/>
  <c r="BL165" i="1" s="1"/>
  <c r="FM164" i="1"/>
  <c r="BL164" i="1" s="1"/>
  <c r="FM137" i="1"/>
  <c r="BL137" i="1" s="1"/>
  <c r="FM136" i="1"/>
  <c r="BL136" i="1" s="1"/>
  <c r="FM145" i="1"/>
  <c r="BL145" i="1" s="1"/>
  <c r="FM146" i="1"/>
  <c r="BL146" i="1" s="1"/>
  <c r="FM142" i="1"/>
  <c r="BL142" i="1" s="1"/>
  <c r="FM139" i="1"/>
  <c r="BL139" i="1" s="1"/>
  <c r="FM143" i="1"/>
  <c r="BL143" i="1" s="1"/>
  <c r="FM141" i="1"/>
  <c r="BL141" i="1" s="1"/>
  <c r="FM140" i="1"/>
  <c r="BL140" i="1" s="1"/>
  <c r="FM144" i="1"/>
  <c r="BL144" i="1" s="1"/>
  <c r="FM131" i="1"/>
  <c r="BL131" i="1" s="1"/>
  <c r="FM132" i="1"/>
  <c r="BL132" i="1" s="1"/>
  <c r="FM133" i="1"/>
  <c r="BL133" i="1" s="1"/>
  <c r="FM135" i="1"/>
  <c r="BL135" i="1" s="1"/>
  <c r="FM138" i="1"/>
  <c r="BL138" i="1" s="1"/>
  <c r="FM134" i="1"/>
  <c r="BL134" i="1" s="1"/>
  <c r="FM123" i="1"/>
  <c r="BL123" i="1" s="1"/>
  <c r="FM124" i="1"/>
  <c r="BL124" i="1" s="1"/>
  <c r="FM115" i="1"/>
  <c r="BL115" i="1" s="1"/>
  <c r="FM121" i="1"/>
  <c r="BL121" i="1" s="1"/>
  <c r="FM122" i="1"/>
  <c r="BL122" i="1" s="1"/>
  <c r="FM118" i="1"/>
  <c r="BL118" i="1" s="1"/>
  <c r="FM119" i="1"/>
  <c r="BL119" i="1" s="1"/>
  <c r="FM114" i="1"/>
  <c r="BL114" i="1" s="1"/>
  <c r="FM117" i="1"/>
  <c r="BL117" i="1" s="1"/>
  <c r="FM116" i="1"/>
  <c r="BL116" i="1" s="1"/>
  <c r="FM112" i="1"/>
  <c r="BL112" i="1" s="1"/>
  <c r="FM94" i="1"/>
  <c r="BL94" i="1" s="1"/>
  <c r="FM88" i="1"/>
  <c r="BL88" i="1" s="1"/>
  <c r="FM87" i="1"/>
  <c r="BL87" i="1" s="1"/>
  <c r="FM89" i="1"/>
  <c r="BL89" i="1" s="1"/>
  <c r="FM86" i="1"/>
  <c r="BL86" i="1" s="1"/>
  <c r="FM81" i="1"/>
  <c r="BL81" i="1" s="1"/>
  <c r="FM84" i="1"/>
  <c r="BL84" i="1" s="1"/>
  <c r="FM85" i="1"/>
  <c r="BL85" i="1" s="1"/>
  <c r="FM83" i="1"/>
  <c r="BL83" i="1" s="1"/>
  <c r="FM82" i="1"/>
  <c r="BL82" i="1" s="1"/>
  <c r="FM66" i="1"/>
  <c r="BL66" i="1" s="1"/>
  <c r="FM72" i="1"/>
  <c r="BL72" i="1" s="1"/>
  <c r="FM73" i="1"/>
  <c r="BL73" i="1" s="1"/>
  <c r="FM71" i="1"/>
  <c r="BL71" i="1" s="1"/>
  <c r="FM69" i="1"/>
  <c r="BL69" i="1" s="1"/>
  <c r="FM68" i="1"/>
  <c r="BL68" i="1" s="1"/>
  <c r="FM70" i="1"/>
  <c r="BL70" i="1" s="1"/>
  <c r="FM65" i="1"/>
  <c r="BL65" i="1" s="1"/>
  <c r="FM63" i="1"/>
  <c r="BL63" i="1" s="1"/>
  <c r="FM44" i="1"/>
  <c r="FM32" i="1"/>
  <c r="BL32" i="1" s="1"/>
  <c r="FM31" i="1"/>
  <c r="FM232" i="1"/>
  <c r="FM233" i="1"/>
  <c r="BL233" i="1"/>
  <c r="BL232" i="1"/>
  <c r="FM93" i="1"/>
  <c r="BL93" i="1" s="1"/>
  <c r="FM60" i="1"/>
  <c r="BL60" i="1" s="1"/>
  <c r="FM160" i="1"/>
  <c r="BL160" i="1" s="1"/>
  <c r="FM159" i="1"/>
  <c r="BL159" i="1" s="1"/>
  <c r="FM59" i="1"/>
  <c r="BL59" i="1" s="1"/>
  <c r="FM229" i="1"/>
  <c r="BL236" i="1"/>
  <c r="BL235" i="1"/>
  <c r="BL229" i="1"/>
  <c r="FM235" i="1"/>
  <c r="FM110" i="1"/>
  <c r="BL110" i="1" s="1"/>
  <c r="FM236" i="1"/>
  <c r="FM111" i="1"/>
  <c r="BL111" i="1" s="1"/>
  <c r="FM218" i="1"/>
  <c r="BL218" i="1" s="1"/>
  <c r="FM234" i="1"/>
  <c r="FM231" i="1"/>
  <c r="FM230" i="1"/>
  <c r="BL234" i="1"/>
  <c r="BL231" i="1"/>
  <c r="BL230" i="1"/>
  <c r="FM38" i="1"/>
  <c r="FM43" i="1"/>
  <c r="FM39" i="1"/>
  <c r="FM46" i="1"/>
  <c r="FM45" i="1"/>
  <c r="FM41" i="1"/>
  <c r="FM42" i="1"/>
  <c r="FM40" i="1"/>
  <c r="FN30" i="1"/>
  <c r="FN35" i="1" s="1"/>
  <c r="BL43" i="1"/>
  <c r="BL42" i="1"/>
  <c r="BM30" i="1"/>
  <c r="BM44" i="1" s="1"/>
  <c r="BL45" i="1"/>
  <c r="BL41" i="1"/>
  <c r="FM197" i="1"/>
  <c r="BL197" i="1" s="1"/>
  <c r="FM224" i="1"/>
  <c r="FM221" i="1"/>
  <c r="FM223" i="1"/>
  <c r="FM215" i="1"/>
  <c r="BL215" i="1" s="1"/>
  <c r="FM222" i="1"/>
  <c r="FM214" i="1"/>
  <c r="BL214" i="1" s="1"/>
  <c r="FM213" i="1"/>
  <c r="BL213" i="1" s="1"/>
  <c r="FM212" i="1"/>
  <c r="BL212" i="1" s="1"/>
  <c r="BL222" i="1"/>
  <c r="BL221" i="1"/>
  <c r="BL224" i="1"/>
  <c r="BL223" i="1"/>
  <c r="BL207" i="1"/>
  <c r="BL206" i="1"/>
  <c r="BL205" i="1"/>
  <c r="FM207" i="1"/>
  <c r="FM205" i="1"/>
  <c r="FM206" i="1"/>
  <c r="FM204" i="1"/>
  <c r="FM201" i="1"/>
  <c r="BL201" i="1" s="1"/>
  <c r="FM198" i="1"/>
  <c r="BL198" i="1" s="1"/>
  <c r="FM195" i="1"/>
  <c r="BL195" i="1" s="1"/>
  <c r="FM196" i="1"/>
  <c r="BL196" i="1" s="1"/>
  <c r="FM130" i="1"/>
  <c r="BL130" i="1" s="1"/>
  <c r="FM128" i="1"/>
  <c r="BL128" i="1" s="1"/>
  <c r="FM127" i="1"/>
  <c r="BL127" i="1" s="1"/>
  <c r="FM129" i="1"/>
  <c r="BL129" i="1" s="1"/>
  <c r="FM78" i="1"/>
  <c r="BL78" i="1" s="1"/>
  <c r="FM79" i="1"/>
  <c r="BL79" i="1" s="1"/>
  <c r="FM77" i="1"/>
  <c r="BL77" i="1" s="1"/>
  <c r="FM92" i="1"/>
  <c r="BL92" i="1" s="1"/>
  <c r="FM76" i="1"/>
  <c r="BL76" i="1" s="1"/>
  <c r="FM61" i="1"/>
  <c r="BL61" i="1" s="1"/>
  <c r="FM91" i="1"/>
  <c r="BL91" i="1" s="1"/>
  <c r="FM90" i="1"/>
  <c r="BL90" i="1" s="1"/>
  <c r="BL190" i="1"/>
  <c r="BL189" i="1"/>
  <c r="BL188" i="1"/>
  <c r="BL187" i="1"/>
  <c r="BL150" i="1"/>
  <c r="BL151" i="1"/>
  <c r="BL153" i="1"/>
  <c r="BL152" i="1"/>
  <c r="FM190" i="1"/>
  <c r="FM178" i="1"/>
  <c r="BL178" i="1" s="1"/>
  <c r="FM188" i="1"/>
  <c r="FM189" i="1"/>
  <c r="FM187" i="1"/>
  <c r="FM153" i="1"/>
  <c r="FM152" i="1"/>
  <c r="FM151" i="1"/>
  <c r="FM150" i="1"/>
  <c r="FM97" i="1"/>
  <c r="FM101" i="1"/>
  <c r="FM149" i="1"/>
  <c r="FM100" i="1"/>
  <c r="FM99" i="1"/>
  <c r="FM102" i="1"/>
  <c r="FM104" i="1"/>
  <c r="FM103" i="1"/>
  <c r="FM98" i="1"/>
  <c r="BL99" i="1"/>
  <c r="BL98" i="1"/>
  <c r="BL103" i="1"/>
  <c r="BL97" i="1"/>
  <c r="BL104" i="1"/>
  <c r="BL100" i="1"/>
  <c r="BL102" i="1"/>
  <c r="BL101" i="1"/>
  <c r="FM80" i="1"/>
  <c r="BL80" i="1" s="1"/>
  <c r="FM158" i="1"/>
  <c r="BL158" i="1" s="1"/>
  <c r="FM120" i="1"/>
  <c r="BL120" i="1" s="1"/>
  <c r="FM67" i="1"/>
  <c r="BL67" i="1" s="1"/>
  <c r="FM109" i="1"/>
  <c r="BL109" i="1" s="1"/>
  <c r="FM162" i="1"/>
  <c r="BL162" i="1" s="1"/>
  <c r="FM113" i="1"/>
  <c r="BL113" i="1" s="1"/>
  <c r="FN56" i="1"/>
  <c r="FM58" i="1"/>
  <c r="BL58" i="1" s="1"/>
  <c r="FM62" i="1"/>
  <c r="BL62" i="1" s="1"/>
  <c r="FM64" i="1"/>
  <c r="BL64" i="1" s="1"/>
  <c r="BM56" i="1"/>
  <c r="BM35" i="1" l="1"/>
  <c r="BL125" i="1"/>
  <c r="BL147" i="1"/>
  <c r="FN184" i="1"/>
  <c r="BM184" i="1" s="1"/>
  <c r="FN183" i="1"/>
  <c r="BM183" i="1" s="1"/>
  <c r="FN182" i="1"/>
  <c r="BM182" i="1" s="1"/>
  <c r="FN180" i="1"/>
  <c r="BM180" i="1" s="1"/>
  <c r="FN179" i="1"/>
  <c r="BM179" i="1" s="1"/>
  <c r="FN181" i="1"/>
  <c r="BM181" i="1" s="1"/>
  <c r="FN163" i="1"/>
  <c r="BM163" i="1" s="1"/>
  <c r="FN176" i="1"/>
  <c r="BM176" i="1" s="1"/>
  <c r="FN177" i="1"/>
  <c r="BM177" i="1" s="1"/>
  <c r="FN175" i="1"/>
  <c r="BM175" i="1" s="1"/>
  <c r="FN174" i="1"/>
  <c r="BM174" i="1" s="1"/>
  <c r="FN161" i="1"/>
  <c r="BM161" i="1" s="1"/>
  <c r="FN170" i="1"/>
  <c r="BM170" i="1" s="1"/>
  <c r="FN171" i="1"/>
  <c r="BM171" i="1" s="1"/>
  <c r="FN169" i="1"/>
  <c r="BM169" i="1" s="1"/>
  <c r="FN168" i="1"/>
  <c r="BM168" i="1" s="1"/>
  <c r="FN167" i="1"/>
  <c r="BM167" i="1" s="1"/>
  <c r="FN165" i="1"/>
  <c r="BM165" i="1" s="1"/>
  <c r="FN166" i="1"/>
  <c r="BM166" i="1" s="1"/>
  <c r="FN164" i="1"/>
  <c r="BM164" i="1" s="1"/>
  <c r="FN137" i="1"/>
  <c r="BM137" i="1" s="1"/>
  <c r="FN136" i="1"/>
  <c r="BM136" i="1" s="1"/>
  <c r="FN146" i="1"/>
  <c r="BM146" i="1" s="1"/>
  <c r="FN145" i="1"/>
  <c r="BM145" i="1" s="1"/>
  <c r="FN141" i="1"/>
  <c r="BM141" i="1" s="1"/>
  <c r="FN143" i="1"/>
  <c r="BM143" i="1" s="1"/>
  <c r="FN144" i="1"/>
  <c r="BM144" i="1" s="1"/>
  <c r="FN140" i="1"/>
  <c r="BM140" i="1" s="1"/>
  <c r="FN142" i="1"/>
  <c r="BM142" i="1" s="1"/>
  <c r="FN139" i="1"/>
  <c r="BM139" i="1" s="1"/>
  <c r="FN131" i="1"/>
  <c r="BM131" i="1" s="1"/>
  <c r="FN132" i="1"/>
  <c r="BM132" i="1" s="1"/>
  <c r="FN133" i="1"/>
  <c r="BM133" i="1" s="1"/>
  <c r="FN135" i="1"/>
  <c r="BM135" i="1" s="1"/>
  <c r="FN138" i="1"/>
  <c r="BM138" i="1" s="1"/>
  <c r="FN134" i="1"/>
  <c r="BM134" i="1" s="1"/>
  <c r="FN123" i="1"/>
  <c r="BM123" i="1" s="1"/>
  <c r="FN124" i="1"/>
  <c r="BM124" i="1" s="1"/>
  <c r="FN115" i="1"/>
  <c r="BM115" i="1" s="1"/>
  <c r="FN122" i="1"/>
  <c r="BM122" i="1" s="1"/>
  <c r="FN121" i="1"/>
  <c r="BM121" i="1" s="1"/>
  <c r="FN119" i="1"/>
  <c r="BM119" i="1" s="1"/>
  <c r="FN117" i="1"/>
  <c r="BM117" i="1" s="1"/>
  <c r="FN118" i="1"/>
  <c r="BM118" i="1" s="1"/>
  <c r="FN116" i="1"/>
  <c r="BM116" i="1" s="1"/>
  <c r="FN114" i="1"/>
  <c r="BM114" i="1" s="1"/>
  <c r="FN112" i="1"/>
  <c r="BM112" i="1" s="1"/>
  <c r="FN94" i="1"/>
  <c r="BM94" i="1" s="1"/>
  <c r="FN89" i="1"/>
  <c r="BM89" i="1" s="1"/>
  <c r="FN88" i="1"/>
  <c r="BM88" i="1" s="1"/>
  <c r="FN86" i="1"/>
  <c r="BM86" i="1" s="1"/>
  <c r="FN87" i="1"/>
  <c r="BM87" i="1" s="1"/>
  <c r="FN81" i="1"/>
  <c r="BM81" i="1" s="1"/>
  <c r="FN84" i="1"/>
  <c r="BM84" i="1" s="1"/>
  <c r="FN85" i="1"/>
  <c r="BM85" i="1" s="1"/>
  <c r="FN83" i="1"/>
  <c r="BM83" i="1" s="1"/>
  <c r="FN82" i="1"/>
  <c r="BM82" i="1" s="1"/>
  <c r="FN66" i="1"/>
  <c r="BM66" i="1" s="1"/>
  <c r="FN73" i="1"/>
  <c r="BM73" i="1" s="1"/>
  <c r="FN68" i="1"/>
  <c r="BM68" i="1" s="1"/>
  <c r="FN72" i="1"/>
  <c r="BM72" i="1" s="1"/>
  <c r="FN70" i="1"/>
  <c r="BM70" i="1" s="1"/>
  <c r="FN69" i="1"/>
  <c r="BM69" i="1" s="1"/>
  <c r="FN71" i="1"/>
  <c r="BM71" i="1" s="1"/>
  <c r="FN65" i="1"/>
  <c r="BM65" i="1" s="1"/>
  <c r="FN63" i="1"/>
  <c r="BM63" i="1" s="1"/>
  <c r="FN44" i="1"/>
  <c r="FN31" i="1"/>
  <c r="FN32" i="1"/>
  <c r="BM32" i="1" s="1"/>
  <c r="FN232" i="1"/>
  <c r="BM232" i="1" s="1"/>
  <c r="FN233" i="1"/>
  <c r="BM233" i="1" s="1"/>
  <c r="FN93" i="1"/>
  <c r="BM93" i="1" s="1"/>
  <c r="FN160" i="1"/>
  <c r="BM160" i="1" s="1"/>
  <c r="FN60" i="1"/>
  <c r="BM60" i="1" s="1"/>
  <c r="FN159" i="1"/>
  <c r="BM159" i="1" s="1"/>
  <c r="FN59" i="1"/>
  <c r="BM59" i="1" s="1"/>
  <c r="FN235" i="1"/>
  <c r="BM235" i="1" s="1"/>
  <c r="FN229" i="1"/>
  <c r="BM229" i="1" s="1"/>
  <c r="FN110" i="1"/>
  <c r="BM110" i="1" s="1"/>
  <c r="FN236" i="1"/>
  <c r="BM236" i="1" s="1"/>
  <c r="FN111" i="1"/>
  <c r="BM111" i="1" s="1"/>
  <c r="FN218" i="1"/>
  <c r="BM218" i="1" s="1"/>
  <c r="FN231" i="1"/>
  <c r="BM231" i="1" s="1"/>
  <c r="FN234" i="1"/>
  <c r="BM234" i="1" s="1"/>
  <c r="FN230" i="1"/>
  <c r="BM230" i="1" s="1"/>
  <c r="FN46" i="1"/>
  <c r="FN45" i="1"/>
  <c r="FO30" i="1"/>
  <c r="FO35" i="1" s="1"/>
  <c r="FN42" i="1"/>
  <c r="FN40" i="1"/>
  <c r="FN41" i="1"/>
  <c r="FN38" i="1"/>
  <c r="FN43" i="1"/>
  <c r="FN39" i="1"/>
  <c r="BM45" i="1"/>
  <c r="BN30" i="1"/>
  <c r="BN44" i="1" s="1"/>
  <c r="BM42" i="1"/>
  <c r="BM43" i="1"/>
  <c r="BM41" i="1"/>
  <c r="BM223" i="1"/>
  <c r="BM224" i="1"/>
  <c r="BM221" i="1"/>
  <c r="BM222" i="1"/>
  <c r="FN197" i="1"/>
  <c r="BM197" i="1" s="1"/>
  <c r="FN224" i="1"/>
  <c r="FN223" i="1"/>
  <c r="FN222" i="1"/>
  <c r="FN214" i="1"/>
  <c r="BM214" i="1" s="1"/>
  <c r="FN215" i="1"/>
  <c r="BM215" i="1" s="1"/>
  <c r="FN213" i="1"/>
  <c r="BM213" i="1" s="1"/>
  <c r="FN212" i="1"/>
  <c r="BM212" i="1" s="1"/>
  <c r="FN221" i="1"/>
  <c r="BM207" i="1"/>
  <c r="BM206" i="1"/>
  <c r="BM205" i="1"/>
  <c r="FN207" i="1"/>
  <c r="FN206" i="1"/>
  <c r="FN205" i="1"/>
  <c r="FN201" i="1"/>
  <c r="BM201" i="1" s="1"/>
  <c r="FN204" i="1"/>
  <c r="FN195" i="1"/>
  <c r="BM195" i="1" s="1"/>
  <c r="FN196" i="1"/>
  <c r="BM196" i="1" s="1"/>
  <c r="FN198" i="1"/>
  <c r="BM198" i="1" s="1"/>
  <c r="FN128" i="1"/>
  <c r="BM128" i="1" s="1"/>
  <c r="FN127" i="1"/>
  <c r="BM127" i="1" s="1"/>
  <c r="FN130" i="1"/>
  <c r="BM130" i="1" s="1"/>
  <c r="FN129" i="1"/>
  <c r="BM129" i="1" s="1"/>
  <c r="FN79" i="1"/>
  <c r="BM79" i="1" s="1"/>
  <c r="FN78" i="1"/>
  <c r="BM78" i="1" s="1"/>
  <c r="FN61" i="1"/>
  <c r="BM61" i="1" s="1"/>
  <c r="FN76" i="1"/>
  <c r="BM76" i="1" s="1"/>
  <c r="FN91" i="1"/>
  <c r="BM91" i="1" s="1"/>
  <c r="FN77" i="1"/>
  <c r="BM77" i="1" s="1"/>
  <c r="FN92" i="1"/>
  <c r="BM92" i="1" s="1"/>
  <c r="FN90" i="1"/>
  <c r="BM90" i="1" s="1"/>
  <c r="BM189" i="1"/>
  <c r="BM190" i="1"/>
  <c r="BM188" i="1"/>
  <c r="BM187" i="1"/>
  <c r="BM152" i="1"/>
  <c r="BM153" i="1"/>
  <c r="BM150" i="1"/>
  <c r="BM151" i="1"/>
  <c r="FN190" i="1"/>
  <c r="FN189" i="1"/>
  <c r="FN188" i="1"/>
  <c r="FN187" i="1"/>
  <c r="FN178" i="1"/>
  <c r="BM178" i="1" s="1"/>
  <c r="FN152" i="1"/>
  <c r="FN151" i="1"/>
  <c r="FN153" i="1"/>
  <c r="FN150" i="1"/>
  <c r="FN149" i="1"/>
  <c r="FN100" i="1"/>
  <c r="FN98" i="1"/>
  <c r="FN101" i="1"/>
  <c r="FN97" i="1"/>
  <c r="FN103" i="1"/>
  <c r="FN99" i="1"/>
  <c r="FN102" i="1"/>
  <c r="FN104" i="1"/>
  <c r="BM100" i="1"/>
  <c r="BM99" i="1"/>
  <c r="BM98" i="1"/>
  <c r="BM104" i="1"/>
  <c r="BM101" i="1"/>
  <c r="BM102" i="1"/>
  <c r="BM103" i="1"/>
  <c r="BM97" i="1"/>
  <c r="FN80" i="1"/>
  <c r="BM80" i="1" s="1"/>
  <c r="FN158" i="1"/>
  <c r="BM158" i="1" s="1"/>
  <c r="FN120" i="1"/>
  <c r="BM120" i="1" s="1"/>
  <c r="FN67" i="1"/>
  <c r="BM67" i="1" s="1"/>
  <c r="FN109" i="1"/>
  <c r="BM109" i="1" s="1"/>
  <c r="FN162" i="1"/>
  <c r="BM162" i="1" s="1"/>
  <c r="FN113" i="1"/>
  <c r="BM113" i="1" s="1"/>
  <c r="FN62" i="1"/>
  <c r="BM62" i="1" s="1"/>
  <c r="FN64" i="1"/>
  <c r="BM64" i="1" s="1"/>
  <c r="FO56" i="1"/>
  <c r="FN58" i="1"/>
  <c r="BM58" i="1" s="1"/>
  <c r="BN56" i="1"/>
  <c r="BN35" i="1" l="1"/>
  <c r="BM125" i="1"/>
  <c r="BM147" i="1"/>
  <c r="FO184" i="1"/>
  <c r="BN184" i="1" s="1"/>
  <c r="FO183" i="1"/>
  <c r="BN183" i="1" s="1"/>
  <c r="FO180" i="1"/>
  <c r="BN180" i="1" s="1"/>
  <c r="FO181" i="1"/>
  <c r="BN181" i="1" s="1"/>
  <c r="FO182" i="1"/>
  <c r="BN182" i="1" s="1"/>
  <c r="FO179" i="1"/>
  <c r="BN179" i="1" s="1"/>
  <c r="FO163" i="1"/>
  <c r="BN163" i="1" s="1"/>
  <c r="FO177" i="1"/>
  <c r="BN177" i="1" s="1"/>
  <c r="FO176" i="1"/>
  <c r="BN176" i="1" s="1"/>
  <c r="FO175" i="1"/>
  <c r="BN175" i="1" s="1"/>
  <c r="FO174" i="1"/>
  <c r="BN174" i="1" s="1"/>
  <c r="FO161" i="1"/>
  <c r="BN161" i="1" s="1"/>
  <c r="FO171" i="1"/>
  <c r="BN171" i="1" s="1"/>
  <c r="FO170" i="1"/>
  <c r="BN170" i="1" s="1"/>
  <c r="FO169" i="1"/>
  <c r="BN169" i="1" s="1"/>
  <c r="FO168" i="1"/>
  <c r="BN168" i="1" s="1"/>
  <c r="FO167" i="1"/>
  <c r="BN167" i="1" s="1"/>
  <c r="FO165" i="1"/>
  <c r="BN165" i="1" s="1"/>
  <c r="FO164" i="1"/>
  <c r="BN164" i="1" s="1"/>
  <c r="FO166" i="1"/>
  <c r="BN166" i="1" s="1"/>
  <c r="FO137" i="1"/>
  <c r="BN137" i="1" s="1"/>
  <c r="FO136" i="1"/>
  <c r="BN136" i="1" s="1"/>
  <c r="FO146" i="1"/>
  <c r="BN146" i="1" s="1"/>
  <c r="FO145" i="1"/>
  <c r="BN145" i="1" s="1"/>
  <c r="FO144" i="1"/>
  <c r="BN144" i="1" s="1"/>
  <c r="FO143" i="1"/>
  <c r="BN143" i="1" s="1"/>
  <c r="FO141" i="1"/>
  <c r="BN141" i="1" s="1"/>
  <c r="FO140" i="1"/>
  <c r="BN140" i="1" s="1"/>
  <c r="FO142" i="1"/>
  <c r="BN142" i="1" s="1"/>
  <c r="FO139" i="1"/>
  <c r="BN139" i="1" s="1"/>
  <c r="FO131" i="1"/>
  <c r="BN131" i="1" s="1"/>
  <c r="FO132" i="1"/>
  <c r="BN132" i="1" s="1"/>
  <c r="FO133" i="1"/>
  <c r="BN133" i="1" s="1"/>
  <c r="FO138" i="1"/>
  <c r="BN138" i="1" s="1"/>
  <c r="FO135" i="1"/>
  <c r="BN135" i="1" s="1"/>
  <c r="FO134" i="1"/>
  <c r="BN134" i="1" s="1"/>
  <c r="FO124" i="1"/>
  <c r="BN124" i="1" s="1"/>
  <c r="FO123" i="1"/>
  <c r="BN123" i="1" s="1"/>
  <c r="FO115" i="1"/>
  <c r="BN115" i="1" s="1"/>
  <c r="FO122" i="1"/>
  <c r="BN122" i="1" s="1"/>
  <c r="FO121" i="1"/>
  <c r="BN121" i="1" s="1"/>
  <c r="FO119" i="1"/>
  <c r="BN119" i="1" s="1"/>
  <c r="FO118" i="1"/>
  <c r="BN118" i="1" s="1"/>
  <c r="FO117" i="1"/>
  <c r="BN117" i="1" s="1"/>
  <c r="FO116" i="1"/>
  <c r="BN116" i="1" s="1"/>
  <c r="FO114" i="1"/>
  <c r="BN114" i="1" s="1"/>
  <c r="FO112" i="1"/>
  <c r="BN112" i="1" s="1"/>
  <c r="FO94" i="1"/>
  <c r="BN94" i="1" s="1"/>
  <c r="FO89" i="1"/>
  <c r="BN89" i="1" s="1"/>
  <c r="FO87" i="1"/>
  <c r="BN87" i="1" s="1"/>
  <c r="FO86" i="1"/>
  <c r="BN86" i="1" s="1"/>
  <c r="FO88" i="1"/>
  <c r="BN88" i="1" s="1"/>
  <c r="FO81" i="1"/>
  <c r="BN81" i="1" s="1"/>
  <c r="FO85" i="1"/>
  <c r="BN85" i="1" s="1"/>
  <c r="FO84" i="1"/>
  <c r="BN84" i="1" s="1"/>
  <c r="FO83" i="1"/>
  <c r="BN83" i="1" s="1"/>
  <c r="FO82" i="1"/>
  <c r="BN82" i="1" s="1"/>
  <c r="FO66" i="1"/>
  <c r="BN66" i="1" s="1"/>
  <c r="FO72" i="1"/>
  <c r="BN72" i="1" s="1"/>
  <c r="FO73" i="1"/>
  <c r="BN73" i="1" s="1"/>
  <c r="FO71" i="1"/>
  <c r="BN71" i="1" s="1"/>
  <c r="FO70" i="1"/>
  <c r="BN70" i="1" s="1"/>
  <c r="FO69" i="1"/>
  <c r="BN69" i="1" s="1"/>
  <c r="FO68" i="1"/>
  <c r="BN68" i="1" s="1"/>
  <c r="FO65" i="1"/>
  <c r="BN65" i="1" s="1"/>
  <c r="FO63" i="1"/>
  <c r="BN63" i="1" s="1"/>
  <c r="FO44" i="1"/>
  <c r="FO32" i="1"/>
  <c r="BN32" i="1" s="1"/>
  <c r="FO31" i="1"/>
  <c r="FO233" i="1"/>
  <c r="FO232" i="1"/>
  <c r="BN233" i="1"/>
  <c r="BN232" i="1"/>
  <c r="FO93" i="1"/>
  <c r="BN93" i="1" s="1"/>
  <c r="FO235" i="1"/>
  <c r="BN236" i="1"/>
  <c r="BN229" i="1"/>
  <c r="BN235" i="1"/>
  <c r="FO60" i="1"/>
  <c r="BN60" i="1" s="1"/>
  <c r="FO160" i="1"/>
  <c r="BN160" i="1" s="1"/>
  <c r="FO159" i="1"/>
  <c r="BN159" i="1" s="1"/>
  <c r="FO59" i="1"/>
  <c r="BN59" i="1" s="1"/>
  <c r="FO229" i="1"/>
  <c r="FO236" i="1"/>
  <c r="FO110" i="1"/>
  <c r="BN110" i="1" s="1"/>
  <c r="FO111" i="1"/>
  <c r="BN111" i="1" s="1"/>
  <c r="FO218" i="1"/>
  <c r="BN218" i="1" s="1"/>
  <c r="FO234" i="1"/>
  <c r="FO231" i="1"/>
  <c r="FO230" i="1"/>
  <c r="BN231" i="1"/>
  <c r="BN234" i="1"/>
  <c r="BN230" i="1"/>
  <c r="FO43" i="1"/>
  <c r="FO39" i="1"/>
  <c r="FO45" i="1"/>
  <c r="FO42" i="1"/>
  <c r="FO41" i="1"/>
  <c r="FO40" i="1"/>
  <c r="FO46" i="1"/>
  <c r="FP30" i="1"/>
  <c r="FP35" i="1" s="1"/>
  <c r="FO38" i="1"/>
  <c r="BN45" i="1"/>
  <c r="BN43" i="1"/>
  <c r="BN41" i="1"/>
  <c r="BO30" i="1"/>
  <c r="BO44" i="1" s="1"/>
  <c r="BN42" i="1"/>
  <c r="FO197" i="1"/>
  <c r="BN197" i="1" s="1"/>
  <c r="FO222" i="1"/>
  <c r="FO223" i="1"/>
  <c r="FO224" i="1"/>
  <c r="FO221" i="1"/>
  <c r="FO215" i="1"/>
  <c r="BN215" i="1" s="1"/>
  <c r="FO214" i="1"/>
  <c r="BN214" i="1" s="1"/>
  <c r="FO213" i="1"/>
  <c r="BN213" i="1" s="1"/>
  <c r="FO212" i="1"/>
  <c r="BN212" i="1" s="1"/>
  <c r="BN224" i="1"/>
  <c r="BN223" i="1"/>
  <c r="BN221" i="1"/>
  <c r="BN222" i="1"/>
  <c r="BN205" i="1"/>
  <c r="BN207" i="1"/>
  <c r="BN206" i="1"/>
  <c r="FO207" i="1"/>
  <c r="FO206" i="1"/>
  <c r="FO205" i="1"/>
  <c r="FO204" i="1"/>
  <c r="FO201" i="1"/>
  <c r="BN201" i="1" s="1"/>
  <c r="FO196" i="1"/>
  <c r="BN196" i="1" s="1"/>
  <c r="FO198" i="1"/>
  <c r="BN198" i="1" s="1"/>
  <c r="FO195" i="1"/>
  <c r="BN195" i="1" s="1"/>
  <c r="FO129" i="1"/>
  <c r="BN129" i="1" s="1"/>
  <c r="FO130" i="1"/>
  <c r="BN130" i="1" s="1"/>
  <c r="FO128" i="1"/>
  <c r="BN128" i="1" s="1"/>
  <c r="FO127" i="1"/>
  <c r="BN127" i="1" s="1"/>
  <c r="FO79" i="1"/>
  <c r="BN79" i="1" s="1"/>
  <c r="FO78" i="1"/>
  <c r="BN78" i="1" s="1"/>
  <c r="FO77" i="1"/>
  <c r="BN77" i="1" s="1"/>
  <c r="FO76" i="1"/>
  <c r="BN76" i="1" s="1"/>
  <c r="FO92" i="1"/>
  <c r="BN92" i="1" s="1"/>
  <c r="FO91" i="1"/>
  <c r="BN91" i="1" s="1"/>
  <c r="FO90" i="1"/>
  <c r="BN90" i="1" s="1"/>
  <c r="FO61" i="1"/>
  <c r="BN61" i="1" s="1"/>
  <c r="BN190" i="1"/>
  <c r="BN188" i="1"/>
  <c r="BN187" i="1"/>
  <c r="BN189" i="1"/>
  <c r="BN150" i="1"/>
  <c r="BN152" i="1"/>
  <c r="FO188" i="1"/>
  <c r="FO190" i="1"/>
  <c r="FO189" i="1"/>
  <c r="FO187" i="1"/>
  <c r="FO178" i="1"/>
  <c r="BN178" i="1" s="1"/>
  <c r="FO152" i="1"/>
  <c r="FO153" i="1"/>
  <c r="BN153" i="1" s="1"/>
  <c r="FO151" i="1"/>
  <c r="BN151" i="1" s="1"/>
  <c r="FO150" i="1"/>
  <c r="FO99" i="1"/>
  <c r="FO103" i="1"/>
  <c r="FO102" i="1"/>
  <c r="FO98" i="1"/>
  <c r="FO101" i="1"/>
  <c r="FO97" i="1"/>
  <c r="FO100" i="1"/>
  <c r="FO149" i="1"/>
  <c r="FO104" i="1"/>
  <c r="BN97" i="1"/>
  <c r="BN100" i="1"/>
  <c r="BN101" i="1"/>
  <c r="BN98" i="1"/>
  <c r="BN99" i="1"/>
  <c r="BN102" i="1"/>
  <c r="BN103" i="1"/>
  <c r="BN104" i="1"/>
  <c r="FO80" i="1"/>
  <c r="BN80" i="1" s="1"/>
  <c r="FO158" i="1"/>
  <c r="BN158" i="1" s="1"/>
  <c r="FO67" i="1"/>
  <c r="BN67" i="1" s="1"/>
  <c r="FO120" i="1"/>
  <c r="BN120" i="1" s="1"/>
  <c r="FO109" i="1"/>
  <c r="BN109" i="1" s="1"/>
  <c r="FO162" i="1"/>
  <c r="BN162" i="1" s="1"/>
  <c r="FO113" i="1"/>
  <c r="BN113" i="1" s="1"/>
  <c r="FO64" i="1"/>
  <c r="BN64" i="1" s="1"/>
  <c r="FP56" i="1"/>
  <c r="FO58" i="1"/>
  <c r="BN58" i="1" s="1"/>
  <c r="FO62" i="1"/>
  <c r="BN62" i="1" s="1"/>
  <c r="BO56" i="1"/>
  <c r="BO35" i="1" l="1"/>
  <c r="BN125" i="1"/>
  <c r="BN147" i="1"/>
  <c r="FP184" i="1"/>
  <c r="BO184" i="1" s="1"/>
  <c r="FP183" i="1"/>
  <c r="BO183" i="1" s="1"/>
  <c r="FP181" i="1"/>
  <c r="BO181" i="1" s="1"/>
  <c r="FP182" i="1"/>
  <c r="BO182" i="1" s="1"/>
  <c r="FP179" i="1"/>
  <c r="BO179" i="1" s="1"/>
  <c r="FP180" i="1"/>
  <c r="BO180" i="1" s="1"/>
  <c r="FP163" i="1"/>
  <c r="BO163" i="1" s="1"/>
  <c r="FP177" i="1"/>
  <c r="BO177" i="1" s="1"/>
  <c r="FP176" i="1"/>
  <c r="BO176" i="1" s="1"/>
  <c r="FP175" i="1"/>
  <c r="BO175" i="1" s="1"/>
  <c r="FP174" i="1"/>
  <c r="BO174" i="1" s="1"/>
  <c r="FP161" i="1"/>
  <c r="BO161" i="1" s="1"/>
  <c r="FP171" i="1"/>
  <c r="BO171" i="1" s="1"/>
  <c r="FP170" i="1"/>
  <c r="BO170" i="1" s="1"/>
  <c r="FP168" i="1"/>
  <c r="BO168" i="1" s="1"/>
  <c r="FP166" i="1"/>
  <c r="BO166" i="1" s="1"/>
  <c r="FP164" i="1"/>
  <c r="BO164" i="1" s="1"/>
  <c r="FP169" i="1"/>
  <c r="BO169" i="1" s="1"/>
  <c r="FP165" i="1"/>
  <c r="BO165" i="1" s="1"/>
  <c r="FP167" i="1"/>
  <c r="BO167" i="1" s="1"/>
  <c r="FP137" i="1"/>
  <c r="BO137" i="1" s="1"/>
  <c r="FP136" i="1"/>
  <c r="BO136" i="1" s="1"/>
  <c r="FP146" i="1"/>
  <c r="BO146" i="1" s="1"/>
  <c r="FP145" i="1"/>
  <c r="BO145" i="1" s="1"/>
  <c r="FP144" i="1"/>
  <c r="BO144" i="1" s="1"/>
  <c r="FP143" i="1"/>
  <c r="BO143" i="1" s="1"/>
  <c r="FP142" i="1"/>
  <c r="BO142" i="1" s="1"/>
  <c r="FP141" i="1"/>
  <c r="BO141" i="1" s="1"/>
  <c r="FP139" i="1"/>
  <c r="BO139" i="1" s="1"/>
  <c r="FP140" i="1"/>
  <c r="BO140" i="1" s="1"/>
  <c r="FP131" i="1"/>
  <c r="BO131" i="1" s="1"/>
  <c r="FP132" i="1"/>
  <c r="BO132" i="1" s="1"/>
  <c r="FP133" i="1"/>
  <c r="BO133" i="1" s="1"/>
  <c r="FP138" i="1"/>
  <c r="BO138" i="1" s="1"/>
  <c r="FP135" i="1"/>
  <c r="BO135" i="1" s="1"/>
  <c r="FP134" i="1"/>
  <c r="BO134" i="1" s="1"/>
  <c r="FP124" i="1"/>
  <c r="BO124" i="1" s="1"/>
  <c r="FP123" i="1"/>
  <c r="BO123" i="1" s="1"/>
  <c r="FP115" i="1"/>
  <c r="BO115" i="1" s="1"/>
  <c r="FP121" i="1"/>
  <c r="BO121" i="1" s="1"/>
  <c r="FP122" i="1"/>
  <c r="BO122" i="1" s="1"/>
  <c r="FP118" i="1"/>
  <c r="BO118" i="1" s="1"/>
  <c r="FP119" i="1"/>
  <c r="BO119" i="1" s="1"/>
  <c r="FP117" i="1"/>
  <c r="BO117" i="1" s="1"/>
  <c r="FP114" i="1"/>
  <c r="BO114" i="1" s="1"/>
  <c r="FP116" i="1"/>
  <c r="BO116" i="1" s="1"/>
  <c r="FP112" i="1"/>
  <c r="BO112" i="1" s="1"/>
  <c r="FP94" i="1"/>
  <c r="BO94" i="1" s="1"/>
  <c r="FP89" i="1"/>
  <c r="BO89" i="1" s="1"/>
  <c r="FP88" i="1"/>
  <c r="BO88" i="1" s="1"/>
  <c r="FP86" i="1"/>
  <c r="BO86" i="1" s="1"/>
  <c r="FP87" i="1"/>
  <c r="BO87" i="1" s="1"/>
  <c r="FP81" i="1"/>
  <c r="BO81" i="1" s="1"/>
  <c r="FP85" i="1"/>
  <c r="BO85" i="1" s="1"/>
  <c r="FP84" i="1"/>
  <c r="BO84" i="1" s="1"/>
  <c r="FP82" i="1"/>
  <c r="BO82" i="1" s="1"/>
  <c r="FP83" i="1"/>
  <c r="BO83" i="1" s="1"/>
  <c r="FP66" i="1"/>
  <c r="BO66" i="1" s="1"/>
  <c r="FP73" i="1"/>
  <c r="BO73" i="1" s="1"/>
  <c r="FP71" i="1"/>
  <c r="BO71" i="1" s="1"/>
  <c r="FP72" i="1"/>
  <c r="BO72" i="1" s="1"/>
  <c r="FP70" i="1"/>
  <c r="BO70" i="1" s="1"/>
  <c r="FP69" i="1"/>
  <c r="BO69" i="1" s="1"/>
  <c r="FP68" i="1"/>
  <c r="BO68" i="1" s="1"/>
  <c r="FP65" i="1"/>
  <c r="BO65" i="1" s="1"/>
  <c r="FP63" i="1"/>
  <c r="BO63" i="1" s="1"/>
  <c r="FP44" i="1"/>
  <c r="FP32" i="1"/>
  <c r="BO32" i="1" s="1"/>
  <c r="FP31" i="1"/>
  <c r="BO233" i="1"/>
  <c r="BO232" i="1"/>
  <c r="FP232" i="1"/>
  <c r="FP233" i="1"/>
  <c r="FP93" i="1"/>
  <c r="BO93" i="1" s="1"/>
  <c r="FP235" i="1"/>
  <c r="FP160" i="1"/>
  <c r="BO160" i="1" s="1"/>
  <c r="FP60" i="1"/>
  <c r="BO60" i="1" s="1"/>
  <c r="FP159" i="1"/>
  <c r="BO159" i="1" s="1"/>
  <c r="FP59" i="1"/>
  <c r="BO59" i="1" s="1"/>
  <c r="BO236" i="1"/>
  <c r="BO229" i="1"/>
  <c r="BO235" i="1"/>
  <c r="FP229" i="1"/>
  <c r="FP111" i="1"/>
  <c r="BO111" i="1" s="1"/>
  <c r="FP110" i="1"/>
  <c r="BO110" i="1" s="1"/>
  <c r="FP236" i="1"/>
  <c r="BO234" i="1"/>
  <c r="BO230" i="1"/>
  <c r="BO231" i="1"/>
  <c r="FP218" i="1"/>
  <c r="BO218" i="1" s="1"/>
  <c r="FP234" i="1"/>
  <c r="FP231" i="1"/>
  <c r="FP230" i="1"/>
  <c r="FP43" i="1"/>
  <c r="FP42" i="1"/>
  <c r="FP45" i="1"/>
  <c r="FP41" i="1"/>
  <c r="FP39" i="1"/>
  <c r="FQ30" i="1"/>
  <c r="FQ35" i="1" s="1"/>
  <c r="FP38" i="1"/>
  <c r="FP40" i="1"/>
  <c r="FP46" i="1"/>
  <c r="BO43" i="1"/>
  <c r="BO41" i="1"/>
  <c r="BP30" i="1"/>
  <c r="BP44" i="1" s="1"/>
  <c r="BO42" i="1"/>
  <c r="BO45" i="1"/>
  <c r="BO224" i="1"/>
  <c r="BO223" i="1"/>
  <c r="BO222" i="1"/>
  <c r="BO221" i="1"/>
  <c r="FP197" i="1"/>
  <c r="BO197" i="1" s="1"/>
  <c r="FP222" i="1"/>
  <c r="FP221" i="1"/>
  <c r="FP223" i="1"/>
  <c r="FP224" i="1"/>
  <c r="FP213" i="1"/>
  <c r="BO213" i="1" s="1"/>
  <c r="FP212" i="1"/>
  <c r="BO212" i="1" s="1"/>
  <c r="FP215" i="1"/>
  <c r="BO215" i="1" s="1"/>
  <c r="FP214" i="1"/>
  <c r="BO214" i="1" s="1"/>
  <c r="BO207" i="1"/>
  <c r="BO206" i="1"/>
  <c r="BO205" i="1"/>
  <c r="FP207" i="1"/>
  <c r="FP206" i="1"/>
  <c r="FP205" i="1"/>
  <c r="FP204" i="1"/>
  <c r="FP201" i="1"/>
  <c r="BO201" i="1" s="1"/>
  <c r="FP198" i="1"/>
  <c r="BO198" i="1" s="1"/>
  <c r="FP195" i="1"/>
  <c r="BO195" i="1" s="1"/>
  <c r="FP196" i="1"/>
  <c r="BO196" i="1" s="1"/>
  <c r="FP129" i="1"/>
  <c r="BO129" i="1" s="1"/>
  <c r="FP130" i="1"/>
  <c r="BO130" i="1" s="1"/>
  <c r="FP128" i="1"/>
  <c r="BO128" i="1" s="1"/>
  <c r="FP127" i="1"/>
  <c r="BO127" i="1" s="1"/>
  <c r="FP79" i="1"/>
  <c r="BO79" i="1" s="1"/>
  <c r="FP78" i="1"/>
  <c r="BO78" i="1" s="1"/>
  <c r="FP77" i="1"/>
  <c r="BO77" i="1" s="1"/>
  <c r="FP92" i="1"/>
  <c r="BO92" i="1" s="1"/>
  <c r="FP91" i="1"/>
  <c r="BO91" i="1" s="1"/>
  <c r="FP90" i="1"/>
  <c r="BO90" i="1" s="1"/>
  <c r="FP76" i="1"/>
  <c r="BO76" i="1" s="1"/>
  <c r="FP61" i="1"/>
  <c r="BO61" i="1" s="1"/>
  <c r="FP189" i="1"/>
  <c r="FP190" i="1"/>
  <c r="FP187" i="1"/>
  <c r="FP188" i="1"/>
  <c r="FP178" i="1"/>
  <c r="BO178" i="1" s="1"/>
  <c r="BO189" i="1"/>
  <c r="BO190" i="1"/>
  <c r="BO187" i="1"/>
  <c r="BO188" i="1"/>
  <c r="BO150" i="1"/>
  <c r="BO152" i="1"/>
  <c r="BO151" i="1"/>
  <c r="BO153" i="1"/>
  <c r="FP150" i="1"/>
  <c r="FP152" i="1"/>
  <c r="FP153" i="1"/>
  <c r="FP98" i="1"/>
  <c r="FP102" i="1"/>
  <c r="FP99" i="1"/>
  <c r="FP151" i="1"/>
  <c r="FP149" i="1"/>
  <c r="FP101" i="1"/>
  <c r="FP100" i="1"/>
  <c r="FP97" i="1"/>
  <c r="FP104" i="1"/>
  <c r="FP103" i="1"/>
  <c r="BO98" i="1"/>
  <c r="BO97" i="1"/>
  <c r="BO100" i="1"/>
  <c r="BO102" i="1"/>
  <c r="BO99" i="1"/>
  <c r="BO101" i="1"/>
  <c r="BO103" i="1"/>
  <c r="BO104" i="1"/>
  <c r="FP80" i="1"/>
  <c r="BO80" i="1" s="1"/>
  <c r="FP158" i="1"/>
  <c r="BO158" i="1" s="1"/>
  <c r="FP120" i="1"/>
  <c r="BO120" i="1" s="1"/>
  <c r="FP67" i="1"/>
  <c r="BO67" i="1" s="1"/>
  <c r="FP109" i="1"/>
  <c r="BO109" i="1" s="1"/>
  <c r="FP162" i="1"/>
  <c r="BO162" i="1" s="1"/>
  <c r="FP113" i="1"/>
  <c r="BO113" i="1" s="1"/>
  <c r="FQ56" i="1"/>
  <c r="FP62" i="1"/>
  <c r="BO62" i="1" s="1"/>
  <c r="FP64" i="1"/>
  <c r="BO64" i="1" s="1"/>
  <c r="FP58" i="1"/>
  <c r="BO58" i="1" s="1"/>
  <c r="BP56" i="1"/>
  <c r="BP35" i="1" l="1"/>
  <c r="BO147" i="1"/>
  <c r="BO125" i="1"/>
  <c r="FQ179" i="1"/>
  <c r="BP179" i="1" s="1"/>
  <c r="FQ184" i="1"/>
  <c r="BP184" i="1" s="1"/>
  <c r="FQ182" i="1"/>
  <c r="BP182" i="1" s="1"/>
  <c r="FQ180" i="1"/>
  <c r="BP180" i="1" s="1"/>
  <c r="FQ181" i="1"/>
  <c r="BP181" i="1" s="1"/>
  <c r="FQ183" i="1"/>
  <c r="BP183" i="1" s="1"/>
  <c r="FQ163" i="1"/>
  <c r="BP163" i="1" s="1"/>
  <c r="FQ176" i="1"/>
  <c r="BP176" i="1" s="1"/>
  <c r="FQ174" i="1"/>
  <c r="BP174" i="1" s="1"/>
  <c r="FQ175" i="1"/>
  <c r="BP175" i="1" s="1"/>
  <c r="FQ177" i="1"/>
  <c r="BP177" i="1" s="1"/>
  <c r="FQ161" i="1"/>
  <c r="BP161" i="1" s="1"/>
  <c r="FQ170" i="1"/>
  <c r="BP170" i="1" s="1"/>
  <c r="FQ168" i="1"/>
  <c r="BP168" i="1" s="1"/>
  <c r="FQ169" i="1"/>
  <c r="BP169" i="1" s="1"/>
  <c r="FQ166" i="1"/>
  <c r="BP166" i="1" s="1"/>
  <c r="FQ171" i="1"/>
  <c r="BP171" i="1" s="1"/>
  <c r="FQ167" i="1"/>
  <c r="BP167" i="1" s="1"/>
  <c r="FQ165" i="1"/>
  <c r="BP165" i="1" s="1"/>
  <c r="FQ164" i="1"/>
  <c r="BP164" i="1" s="1"/>
  <c r="FQ137" i="1"/>
  <c r="BP137" i="1" s="1"/>
  <c r="FQ136" i="1"/>
  <c r="BP136" i="1" s="1"/>
  <c r="FQ145" i="1"/>
  <c r="BP145" i="1" s="1"/>
  <c r="FQ144" i="1"/>
  <c r="BP144" i="1" s="1"/>
  <c r="FQ142" i="1"/>
  <c r="BP142" i="1" s="1"/>
  <c r="FQ143" i="1"/>
  <c r="BP143" i="1" s="1"/>
  <c r="FQ139" i="1"/>
  <c r="BP139" i="1" s="1"/>
  <c r="FQ146" i="1"/>
  <c r="BP146" i="1" s="1"/>
  <c r="FQ140" i="1"/>
  <c r="BP140" i="1" s="1"/>
  <c r="FQ141" i="1"/>
  <c r="BP141" i="1" s="1"/>
  <c r="FQ131" i="1"/>
  <c r="BP131" i="1" s="1"/>
  <c r="FQ133" i="1"/>
  <c r="BP133" i="1" s="1"/>
  <c r="FQ132" i="1"/>
  <c r="BP132" i="1" s="1"/>
  <c r="FQ135" i="1"/>
  <c r="BP135" i="1" s="1"/>
  <c r="FQ134" i="1"/>
  <c r="BP134" i="1" s="1"/>
  <c r="FQ138" i="1"/>
  <c r="BP138" i="1" s="1"/>
  <c r="FQ123" i="1"/>
  <c r="BP123" i="1" s="1"/>
  <c r="FQ124" i="1"/>
  <c r="BP124" i="1" s="1"/>
  <c r="FQ115" i="1"/>
  <c r="BP115" i="1" s="1"/>
  <c r="FQ121" i="1"/>
  <c r="BP121" i="1" s="1"/>
  <c r="FQ122" i="1"/>
  <c r="BP122" i="1" s="1"/>
  <c r="FQ118" i="1"/>
  <c r="BP118" i="1" s="1"/>
  <c r="FQ114" i="1"/>
  <c r="BP114" i="1" s="1"/>
  <c r="FQ117" i="1"/>
  <c r="BP117" i="1" s="1"/>
  <c r="FQ116" i="1"/>
  <c r="BP116" i="1" s="1"/>
  <c r="FQ119" i="1"/>
  <c r="BP119" i="1" s="1"/>
  <c r="FQ112" i="1"/>
  <c r="BP112" i="1" s="1"/>
  <c r="FQ94" i="1"/>
  <c r="BP94" i="1" s="1"/>
  <c r="FQ88" i="1"/>
  <c r="BP88" i="1" s="1"/>
  <c r="FQ87" i="1"/>
  <c r="BP87" i="1" s="1"/>
  <c r="FQ86" i="1"/>
  <c r="BP86" i="1" s="1"/>
  <c r="FQ89" i="1"/>
  <c r="BP89" i="1" s="1"/>
  <c r="FQ81" i="1"/>
  <c r="BP81" i="1" s="1"/>
  <c r="FQ84" i="1"/>
  <c r="BP84" i="1" s="1"/>
  <c r="FQ83" i="1"/>
  <c r="BP83" i="1" s="1"/>
  <c r="FQ82" i="1"/>
  <c r="BP82" i="1" s="1"/>
  <c r="FQ85" i="1"/>
  <c r="BP85" i="1" s="1"/>
  <c r="FQ66" i="1"/>
  <c r="BP66" i="1" s="1"/>
  <c r="FQ72" i="1"/>
  <c r="BP72" i="1" s="1"/>
  <c r="FQ69" i="1"/>
  <c r="BP69" i="1" s="1"/>
  <c r="FQ68" i="1"/>
  <c r="BP68" i="1" s="1"/>
  <c r="FQ71" i="1"/>
  <c r="BP71" i="1" s="1"/>
  <c r="FQ73" i="1"/>
  <c r="BP73" i="1" s="1"/>
  <c r="FQ70" i="1"/>
  <c r="BP70" i="1" s="1"/>
  <c r="FQ65" i="1"/>
  <c r="BP65" i="1" s="1"/>
  <c r="FQ63" i="1"/>
  <c r="BP63" i="1" s="1"/>
  <c r="FQ44" i="1"/>
  <c r="FQ32" i="1"/>
  <c r="BP32" i="1" s="1"/>
  <c r="FQ31" i="1"/>
  <c r="BP233" i="1"/>
  <c r="BP232" i="1"/>
  <c r="FQ232" i="1"/>
  <c r="FQ233" i="1"/>
  <c r="FQ93" i="1"/>
  <c r="BP93" i="1" s="1"/>
  <c r="BP236" i="1"/>
  <c r="BP235" i="1"/>
  <c r="BP229" i="1"/>
  <c r="FQ60" i="1"/>
  <c r="BP60" i="1" s="1"/>
  <c r="FQ160" i="1"/>
  <c r="BP160" i="1" s="1"/>
  <c r="FQ159" i="1"/>
  <c r="BP159" i="1" s="1"/>
  <c r="FQ59" i="1"/>
  <c r="BP59" i="1" s="1"/>
  <c r="FQ229" i="1"/>
  <c r="FQ235" i="1"/>
  <c r="FQ111" i="1"/>
  <c r="BP111" i="1" s="1"/>
  <c r="FQ236" i="1"/>
  <c r="FQ110" i="1"/>
  <c r="BP110" i="1" s="1"/>
  <c r="BP234" i="1"/>
  <c r="BP230" i="1"/>
  <c r="BP231" i="1"/>
  <c r="FQ218" i="1"/>
  <c r="BP218" i="1" s="1"/>
  <c r="FQ231" i="1"/>
  <c r="FQ230" i="1"/>
  <c r="FQ234" i="1"/>
  <c r="FQ46" i="1"/>
  <c r="FQ45" i="1"/>
  <c r="FQ41" i="1"/>
  <c r="FQ38" i="1"/>
  <c r="FQ42" i="1"/>
  <c r="FQ40" i="1"/>
  <c r="FQ39" i="1"/>
  <c r="FR30" i="1"/>
  <c r="FR35" i="1" s="1"/>
  <c r="FQ43" i="1"/>
  <c r="BP43" i="1"/>
  <c r="BP41" i="1"/>
  <c r="BP42" i="1"/>
  <c r="BP45" i="1"/>
  <c r="BQ30" i="1"/>
  <c r="BQ44" i="1" s="1"/>
  <c r="BP222" i="1"/>
  <c r="BP221" i="1"/>
  <c r="BP224" i="1"/>
  <c r="BP223" i="1"/>
  <c r="FQ197" i="1"/>
  <c r="BP197" i="1" s="1"/>
  <c r="FQ223" i="1"/>
  <c r="FQ222" i="1"/>
  <c r="FQ224" i="1"/>
  <c r="FQ221" i="1"/>
  <c r="FQ215" i="1"/>
  <c r="BP215" i="1" s="1"/>
  <c r="FQ213" i="1"/>
  <c r="BP213" i="1" s="1"/>
  <c r="FQ212" i="1"/>
  <c r="BP212" i="1" s="1"/>
  <c r="FQ214" i="1"/>
  <c r="BP214" i="1" s="1"/>
  <c r="BP207" i="1"/>
  <c r="BP206" i="1"/>
  <c r="BP205" i="1"/>
  <c r="FQ206" i="1"/>
  <c r="FQ205" i="1"/>
  <c r="FQ207" i="1"/>
  <c r="FQ204" i="1"/>
  <c r="FQ201" i="1"/>
  <c r="BP201" i="1" s="1"/>
  <c r="FQ198" i="1"/>
  <c r="BP198" i="1" s="1"/>
  <c r="FQ195" i="1"/>
  <c r="BP195" i="1" s="1"/>
  <c r="FQ196" i="1"/>
  <c r="BP196" i="1" s="1"/>
  <c r="FQ130" i="1"/>
  <c r="BP130" i="1" s="1"/>
  <c r="FQ128" i="1"/>
  <c r="BP128" i="1" s="1"/>
  <c r="FQ127" i="1"/>
  <c r="BP127" i="1" s="1"/>
  <c r="FQ129" i="1"/>
  <c r="BP129" i="1" s="1"/>
  <c r="FQ78" i="1"/>
  <c r="BP78" i="1" s="1"/>
  <c r="FQ76" i="1"/>
  <c r="BP76" i="1" s="1"/>
  <c r="FQ61" i="1"/>
  <c r="BP61" i="1" s="1"/>
  <c r="FQ77" i="1"/>
  <c r="BP77" i="1" s="1"/>
  <c r="FQ79" i="1"/>
  <c r="BP79" i="1" s="1"/>
  <c r="FQ91" i="1"/>
  <c r="BP91" i="1" s="1"/>
  <c r="FQ92" i="1"/>
  <c r="BP92" i="1" s="1"/>
  <c r="FQ90" i="1"/>
  <c r="BP90" i="1" s="1"/>
  <c r="FQ190" i="1"/>
  <c r="FQ189" i="1"/>
  <c r="FQ178" i="1"/>
  <c r="BP178" i="1" s="1"/>
  <c r="FQ187" i="1"/>
  <c r="FQ188" i="1"/>
  <c r="BP190" i="1"/>
  <c r="BP189" i="1"/>
  <c r="BP188" i="1"/>
  <c r="BP150" i="1"/>
  <c r="BP187" i="1"/>
  <c r="BP153" i="1"/>
  <c r="BP152" i="1"/>
  <c r="BP151" i="1"/>
  <c r="FQ153" i="1"/>
  <c r="FQ152" i="1"/>
  <c r="FQ151" i="1"/>
  <c r="FQ97" i="1"/>
  <c r="FQ101" i="1"/>
  <c r="FQ100" i="1"/>
  <c r="FQ103" i="1"/>
  <c r="FQ150" i="1"/>
  <c r="FQ149" i="1"/>
  <c r="FQ99" i="1"/>
  <c r="FQ98" i="1"/>
  <c r="FQ104" i="1"/>
  <c r="FQ102" i="1"/>
  <c r="BP99" i="1"/>
  <c r="BP98" i="1"/>
  <c r="BP97" i="1"/>
  <c r="BP103" i="1"/>
  <c r="BP101" i="1"/>
  <c r="BP102" i="1"/>
  <c r="BP104" i="1"/>
  <c r="BP100" i="1"/>
  <c r="FQ80" i="1"/>
  <c r="BP80" i="1" s="1"/>
  <c r="FQ158" i="1"/>
  <c r="BP158" i="1" s="1"/>
  <c r="FQ120" i="1"/>
  <c r="BP120" i="1" s="1"/>
  <c r="FQ67" i="1"/>
  <c r="BP67" i="1" s="1"/>
  <c r="FQ109" i="1"/>
  <c r="BP109" i="1" s="1"/>
  <c r="FQ162" i="1"/>
  <c r="BP162" i="1" s="1"/>
  <c r="FQ113" i="1"/>
  <c r="BP113" i="1" s="1"/>
  <c r="FQ64" i="1"/>
  <c r="BP64" i="1" s="1"/>
  <c r="FQ58" i="1"/>
  <c r="BP58" i="1" s="1"/>
  <c r="FR56" i="1"/>
  <c r="FQ62" i="1"/>
  <c r="BP62" i="1" s="1"/>
  <c r="BQ56" i="1"/>
  <c r="BQ35" i="1" l="1"/>
  <c r="BP125" i="1"/>
  <c r="BP147" i="1"/>
  <c r="FR184" i="1"/>
  <c r="BQ184" i="1" s="1"/>
  <c r="FR182" i="1"/>
  <c r="BQ182" i="1" s="1"/>
  <c r="FR180" i="1"/>
  <c r="BQ180" i="1" s="1"/>
  <c r="FR183" i="1"/>
  <c r="BQ183" i="1" s="1"/>
  <c r="FR179" i="1"/>
  <c r="BQ179" i="1" s="1"/>
  <c r="FR181" i="1"/>
  <c r="BQ181" i="1" s="1"/>
  <c r="FR163" i="1"/>
  <c r="BQ163" i="1" s="1"/>
  <c r="FR176" i="1"/>
  <c r="BQ176" i="1" s="1"/>
  <c r="FR177" i="1"/>
  <c r="BQ177" i="1" s="1"/>
  <c r="FR175" i="1"/>
  <c r="BQ175" i="1" s="1"/>
  <c r="FR174" i="1"/>
  <c r="BQ174" i="1" s="1"/>
  <c r="FR161" i="1"/>
  <c r="BQ161" i="1" s="1"/>
  <c r="FR170" i="1"/>
  <c r="BQ170" i="1" s="1"/>
  <c r="FR171" i="1"/>
  <c r="BQ171" i="1" s="1"/>
  <c r="FR169" i="1"/>
  <c r="BQ169" i="1" s="1"/>
  <c r="FR167" i="1"/>
  <c r="BQ167" i="1" s="1"/>
  <c r="FR168" i="1"/>
  <c r="BQ168" i="1" s="1"/>
  <c r="FR165" i="1"/>
  <c r="BQ165" i="1" s="1"/>
  <c r="FR166" i="1"/>
  <c r="BQ166" i="1" s="1"/>
  <c r="FR164" i="1"/>
  <c r="BQ164" i="1" s="1"/>
  <c r="FR137" i="1"/>
  <c r="BQ137" i="1" s="1"/>
  <c r="FR136" i="1"/>
  <c r="BQ136" i="1" s="1"/>
  <c r="FR146" i="1"/>
  <c r="BQ146" i="1" s="1"/>
  <c r="FR145" i="1"/>
  <c r="BQ145" i="1" s="1"/>
  <c r="FR143" i="1"/>
  <c r="BQ143" i="1" s="1"/>
  <c r="FR144" i="1"/>
  <c r="BQ144" i="1" s="1"/>
  <c r="FR141" i="1"/>
  <c r="BQ141" i="1" s="1"/>
  <c r="FR142" i="1"/>
  <c r="BQ142" i="1" s="1"/>
  <c r="FR140" i="1"/>
  <c r="BQ140" i="1" s="1"/>
  <c r="FR139" i="1"/>
  <c r="BQ139" i="1" s="1"/>
  <c r="FR131" i="1"/>
  <c r="BQ131" i="1" s="1"/>
  <c r="FR132" i="1"/>
  <c r="BQ132" i="1" s="1"/>
  <c r="FR133" i="1"/>
  <c r="BQ133" i="1" s="1"/>
  <c r="FR135" i="1"/>
  <c r="BQ135" i="1" s="1"/>
  <c r="FR138" i="1"/>
  <c r="BQ138" i="1" s="1"/>
  <c r="FR134" i="1"/>
  <c r="BQ134" i="1" s="1"/>
  <c r="FR123" i="1"/>
  <c r="BQ123" i="1" s="1"/>
  <c r="FR124" i="1"/>
  <c r="BQ124" i="1" s="1"/>
  <c r="FR115" i="1"/>
  <c r="BQ115" i="1" s="1"/>
  <c r="FR122" i="1"/>
  <c r="BQ122" i="1" s="1"/>
  <c r="FR121" i="1"/>
  <c r="BQ121" i="1" s="1"/>
  <c r="FR119" i="1"/>
  <c r="BQ119" i="1" s="1"/>
  <c r="FR117" i="1"/>
  <c r="BQ117" i="1" s="1"/>
  <c r="FR118" i="1"/>
  <c r="BQ118" i="1" s="1"/>
  <c r="FR116" i="1"/>
  <c r="BQ116" i="1" s="1"/>
  <c r="FR114" i="1"/>
  <c r="BQ114" i="1" s="1"/>
  <c r="FR112" i="1"/>
  <c r="BQ112" i="1" s="1"/>
  <c r="FR94" i="1"/>
  <c r="BQ94" i="1" s="1"/>
  <c r="FR88" i="1"/>
  <c r="BQ88" i="1" s="1"/>
  <c r="FR87" i="1"/>
  <c r="BQ87" i="1" s="1"/>
  <c r="FR89" i="1"/>
  <c r="BQ89" i="1" s="1"/>
  <c r="FR86" i="1"/>
  <c r="BQ86" i="1" s="1"/>
  <c r="FR81" i="1"/>
  <c r="BQ81" i="1" s="1"/>
  <c r="FR84" i="1"/>
  <c r="BQ84" i="1" s="1"/>
  <c r="FR85" i="1"/>
  <c r="BQ85" i="1" s="1"/>
  <c r="FR83" i="1"/>
  <c r="BQ83" i="1" s="1"/>
  <c r="FR82" i="1"/>
  <c r="BQ82" i="1" s="1"/>
  <c r="FR66" i="1"/>
  <c r="BQ66" i="1" s="1"/>
  <c r="FR73" i="1"/>
  <c r="BQ73" i="1" s="1"/>
  <c r="FR72" i="1"/>
  <c r="BQ72" i="1" s="1"/>
  <c r="FR68" i="1"/>
  <c r="BQ68" i="1" s="1"/>
  <c r="FR71" i="1"/>
  <c r="BQ71" i="1" s="1"/>
  <c r="FR70" i="1"/>
  <c r="BQ70" i="1" s="1"/>
  <c r="FR69" i="1"/>
  <c r="BQ69" i="1" s="1"/>
  <c r="FR65" i="1"/>
  <c r="BQ65" i="1" s="1"/>
  <c r="FR63" i="1"/>
  <c r="BQ63" i="1" s="1"/>
  <c r="FR44" i="1"/>
  <c r="FR31" i="1"/>
  <c r="FR32" i="1"/>
  <c r="BQ32" i="1" s="1"/>
  <c r="FR232" i="1"/>
  <c r="FR233" i="1"/>
  <c r="BQ233" i="1"/>
  <c r="BQ232" i="1"/>
  <c r="FR93" i="1"/>
  <c r="BQ93" i="1" s="1"/>
  <c r="FR229" i="1"/>
  <c r="BQ236" i="1"/>
  <c r="BQ235" i="1"/>
  <c r="BQ229" i="1"/>
  <c r="FR160" i="1"/>
  <c r="BQ160" i="1" s="1"/>
  <c r="FR60" i="1"/>
  <c r="BQ60" i="1" s="1"/>
  <c r="FR159" i="1"/>
  <c r="BQ159" i="1" s="1"/>
  <c r="FR59" i="1"/>
  <c r="BQ59" i="1" s="1"/>
  <c r="FR235" i="1"/>
  <c r="FR111" i="1"/>
  <c r="BQ111" i="1" s="1"/>
  <c r="FR110" i="1"/>
  <c r="BQ110" i="1" s="1"/>
  <c r="FR236" i="1"/>
  <c r="FR218" i="1"/>
  <c r="BQ218" i="1" s="1"/>
  <c r="FR231" i="1"/>
  <c r="FR234" i="1"/>
  <c r="FR230" i="1"/>
  <c r="BQ234" i="1"/>
  <c r="BQ231" i="1"/>
  <c r="BQ230" i="1"/>
  <c r="FR41" i="1"/>
  <c r="FR43" i="1"/>
  <c r="FR46" i="1"/>
  <c r="FR45" i="1"/>
  <c r="FR39" i="1"/>
  <c r="FS30" i="1"/>
  <c r="FS35" i="1" s="1"/>
  <c r="FR42" i="1"/>
  <c r="FR40" i="1"/>
  <c r="FR38" i="1"/>
  <c r="BR30" i="1"/>
  <c r="BR44" i="1" s="1"/>
  <c r="BQ45" i="1"/>
  <c r="BQ41" i="1"/>
  <c r="BQ43" i="1"/>
  <c r="BQ42" i="1"/>
  <c r="FR197" i="1"/>
  <c r="BQ197" i="1" s="1"/>
  <c r="FR224" i="1"/>
  <c r="FR223" i="1"/>
  <c r="FR221" i="1"/>
  <c r="FR222" i="1"/>
  <c r="FR214" i="1"/>
  <c r="BQ214" i="1" s="1"/>
  <c r="FR215" i="1"/>
  <c r="BQ215" i="1" s="1"/>
  <c r="FR213" i="1"/>
  <c r="BQ213" i="1" s="1"/>
  <c r="FR212" i="1"/>
  <c r="BQ212" i="1" s="1"/>
  <c r="BQ223" i="1"/>
  <c r="BQ224" i="1"/>
  <c r="BQ222" i="1"/>
  <c r="BQ221" i="1"/>
  <c r="FR207" i="1"/>
  <c r="FR206" i="1"/>
  <c r="FR205" i="1"/>
  <c r="FR204" i="1"/>
  <c r="FR201" i="1"/>
  <c r="BQ201" i="1" s="1"/>
  <c r="FR196" i="1"/>
  <c r="BQ196" i="1" s="1"/>
  <c r="FR198" i="1"/>
  <c r="BQ198" i="1" s="1"/>
  <c r="FR195" i="1"/>
  <c r="BQ195" i="1" s="1"/>
  <c r="FR128" i="1"/>
  <c r="BQ128" i="1" s="1"/>
  <c r="FR129" i="1"/>
  <c r="BQ129" i="1" s="1"/>
  <c r="FR130" i="1"/>
  <c r="BQ130" i="1" s="1"/>
  <c r="FR127" i="1"/>
  <c r="BQ127" i="1" s="1"/>
  <c r="BQ207" i="1"/>
  <c r="BQ206" i="1"/>
  <c r="BQ205" i="1"/>
  <c r="FR78" i="1"/>
  <c r="BQ78" i="1" s="1"/>
  <c r="FR61" i="1"/>
  <c r="BQ61" i="1" s="1"/>
  <c r="FR77" i="1"/>
  <c r="BQ77" i="1" s="1"/>
  <c r="FR79" i="1"/>
  <c r="BQ79" i="1" s="1"/>
  <c r="FR76" i="1"/>
  <c r="BQ76" i="1" s="1"/>
  <c r="FR92" i="1"/>
  <c r="BQ92" i="1" s="1"/>
  <c r="FR90" i="1"/>
  <c r="BQ90" i="1" s="1"/>
  <c r="FR91" i="1"/>
  <c r="BQ91" i="1" s="1"/>
  <c r="BQ189" i="1"/>
  <c r="BQ188" i="1"/>
  <c r="BQ187" i="1"/>
  <c r="BQ151" i="1"/>
  <c r="BQ152" i="1"/>
  <c r="BQ190" i="1"/>
  <c r="BQ150" i="1"/>
  <c r="BQ153" i="1"/>
  <c r="FR190" i="1"/>
  <c r="FR189" i="1"/>
  <c r="FR187" i="1"/>
  <c r="FR188" i="1"/>
  <c r="FR178" i="1"/>
  <c r="BQ178" i="1" s="1"/>
  <c r="FR153" i="1"/>
  <c r="FR151" i="1"/>
  <c r="FR150" i="1"/>
  <c r="FR149" i="1"/>
  <c r="FR100" i="1"/>
  <c r="FR152" i="1"/>
  <c r="FR97" i="1"/>
  <c r="FR99" i="1"/>
  <c r="FR102" i="1"/>
  <c r="FR98" i="1"/>
  <c r="FR104" i="1"/>
  <c r="FR103" i="1"/>
  <c r="FR101" i="1"/>
  <c r="BQ100" i="1"/>
  <c r="BQ99" i="1"/>
  <c r="BQ104" i="1"/>
  <c r="BQ97" i="1"/>
  <c r="BQ98" i="1"/>
  <c r="BQ102" i="1"/>
  <c r="BQ101" i="1"/>
  <c r="BQ103" i="1"/>
  <c r="FR80" i="1"/>
  <c r="BQ80" i="1" s="1"/>
  <c r="FR158" i="1"/>
  <c r="BQ158" i="1" s="1"/>
  <c r="FR120" i="1"/>
  <c r="BQ120" i="1" s="1"/>
  <c r="FR67" i="1"/>
  <c r="BQ67" i="1" s="1"/>
  <c r="FR109" i="1"/>
  <c r="BQ109" i="1" s="1"/>
  <c r="FR162" i="1"/>
  <c r="BQ162" i="1" s="1"/>
  <c r="FR113" i="1"/>
  <c r="BQ113" i="1" s="1"/>
  <c r="FS56" i="1"/>
  <c r="FR64" i="1"/>
  <c r="BQ64" i="1" s="1"/>
  <c r="FR62" i="1"/>
  <c r="BQ62" i="1" s="1"/>
  <c r="FR58" i="1"/>
  <c r="BQ58" i="1" s="1"/>
  <c r="BR56" i="1"/>
  <c r="BR35" i="1" l="1"/>
  <c r="BQ125" i="1"/>
  <c r="BQ147" i="1"/>
  <c r="FS183" i="1"/>
  <c r="BR183" i="1" s="1"/>
  <c r="FS184" i="1"/>
  <c r="BR184" i="1" s="1"/>
  <c r="FS180" i="1"/>
  <c r="BR180" i="1" s="1"/>
  <c r="FS179" i="1"/>
  <c r="BR179" i="1" s="1"/>
  <c r="FS181" i="1"/>
  <c r="BR181" i="1" s="1"/>
  <c r="FS182" i="1"/>
  <c r="BR182" i="1" s="1"/>
  <c r="FS163" i="1"/>
  <c r="BR163" i="1" s="1"/>
  <c r="FS177" i="1"/>
  <c r="BR177" i="1" s="1"/>
  <c r="FS175" i="1"/>
  <c r="BR175" i="1" s="1"/>
  <c r="FS176" i="1"/>
  <c r="BR176" i="1" s="1"/>
  <c r="FS174" i="1"/>
  <c r="BR174" i="1" s="1"/>
  <c r="FS161" i="1"/>
  <c r="BR161" i="1" s="1"/>
  <c r="FS171" i="1"/>
  <c r="BR171" i="1" s="1"/>
  <c r="FS169" i="1"/>
  <c r="BR169" i="1" s="1"/>
  <c r="FS170" i="1"/>
  <c r="BR170" i="1" s="1"/>
  <c r="FS168" i="1"/>
  <c r="BR168" i="1" s="1"/>
  <c r="FS167" i="1"/>
  <c r="BR167" i="1" s="1"/>
  <c r="FS165" i="1"/>
  <c r="BR165" i="1" s="1"/>
  <c r="FS166" i="1"/>
  <c r="BR166" i="1" s="1"/>
  <c r="FS164" i="1"/>
  <c r="BR164" i="1" s="1"/>
  <c r="FS137" i="1"/>
  <c r="BR137" i="1" s="1"/>
  <c r="FS136" i="1"/>
  <c r="BR136" i="1" s="1"/>
  <c r="FS146" i="1"/>
  <c r="BR146" i="1" s="1"/>
  <c r="FS145" i="1"/>
  <c r="BR145" i="1" s="1"/>
  <c r="FS143" i="1"/>
  <c r="BR143" i="1" s="1"/>
  <c r="FS144" i="1"/>
  <c r="BR144" i="1" s="1"/>
  <c r="FS141" i="1"/>
  <c r="BR141" i="1" s="1"/>
  <c r="FS140" i="1"/>
  <c r="BR140" i="1" s="1"/>
  <c r="FS142" i="1"/>
  <c r="BR142" i="1" s="1"/>
  <c r="FS139" i="1"/>
  <c r="BR139" i="1" s="1"/>
  <c r="FS131" i="1"/>
  <c r="BR131" i="1" s="1"/>
  <c r="FS132" i="1"/>
  <c r="BR132" i="1" s="1"/>
  <c r="FS133" i="1"/>
  <c r="BR133" i="1" s="1"/>
  <c r="FS138" i="1"/>
  <c r="BR138" i="1" s="1"/>
  <c r="FS134" i="1"/>
  <c r="BR134" i="1" s="1"/>
  <c r="FS135" i="1"/>
  <c r="BR135" i="1" s="1"/>
  <c r="FS123" i="1"/>
  <c r="BR123" i="1" s="1"/>
  <c r="FS124" i="1"/>
  <c r="BR124" i="1" s="1"/>
  <c r="FS115" i="1"/>
  <c r="BR115" i="1" s="1"/>
  <c r="FS122" i="1"/>
  <c r="BR122" i="1" s="1"/>
  <c r="FS121" i="1"/>
  <c r="BR121" i="1" s="1"/>
  <c r="FS119" i="1"/>
  <c r="BR119" i="1" s="1"/>
  <c r="FS118" i="1"/>
  <c r="BR118" i="1" s="1"/>
  <c r="FS117" i="1"/>
  <c r="BR117" i="1" s="1"/>
  <c r="FS116" i="1"/>
  <c r="BR116" i="1" s="1"/>
  <c r="FS114" i="1"/>
  <c r="BR114" i="1" s="1"/>
  <c r="FS112" i="1"/>
  <c r="BR112" i="1" s="1"/>
  <c r="FS94" i="1"/>
  <c r="BR94" i="1" s="1"/>
  <c r="FS89" i="1"/>
  <c r="BR89" i="1" s="1"/>
  <c r="FS86" i="1"/>
  <c r="BR86" i="1" s="1"/>
  <c r="FS88" i="1"/>
  <c r="BR88" i="1" s="1"/>
  <c r="FS87" i="1"/>
  <c r="BR87" i="1" s="1"/>
  <c r="FS81" i="1"/>
  <c r="BR81" i="1" s="1"/>
  <c r="FS85" i="1"/>
  <c r="BR85" i="1" s="1"/>
  <c r="FS83" i="1"/>
  <c r="BR83" i="1" s="1"/>
  <c r="FS84" i="1"/>
  <c r="BR84" i="1" s="1"/>
  <c r="FS82" i="1"/>
  <c r="BR82" i="1" s="1"/>
  <c r="FS66" i="1"/>
  <c r="BR66" i="1" s="1"/>
  <c r="FS72" i="1"/>
  <c r="BR72" i="1" s="1"/>
  <c r="FS71" i="1"/>
  <c r="BR71" i="1" s="1"/>
  <c r="FS70" i="1"/>
  <c r="BR70" i="1" s="1"/>
  <c r="FS73" i="1"/>
  <c r="BR73" i="1" s="1"/>
  <c r="FS69" i="1"/>
  <c r="BR69" i="1" s="1"/>
  <c r="FS68" i="1"/>
  <c r="BR68" i="1" s="1"/>
  <c r="FS65" i="1"/>
  <c r="BR65" i="1" s="1"/>
  <c r="FS63" i="1"/>
  <c r="BR63" i="1" s="1"/>
  <c r="FS44" i="1"/>
  <c r="FS32" i="1"/>
  <c r="BR32" i="1" s="1"/>
  <c r="FS31" i="1"/>
  <c r="FS233" i="1"/>
  <c r="BR233" i="1" s="1"/>
  <c r="FS232" i="1"/>
  <c r="BR232" i="1" s="1"/>
  <c r="FS93" i="1"/>
  <c r="BR93" i="1" s="1"/>
  <c r="FS60" i="1"/>
  <c r="BR60" i="1" s="1"/>
  <c r="FS160" i="1"/>
  <c r="BR160" i="1" s="1"/>
  <c r="FS159" i="1"/>
  <c r="BR159" i="1" s="1"/>
  <c r="FS59" i="1"/>
  <c r="BR59" i="1" s="1"/>
  <c r="FS235" i="1"/>
  <c r="BR235" i="1" s="1"/>
  <c r="FS229" i="1"/>
  <c r="BR229" i="1" s="1"/>
  <c r="FS110" i="1"/>
  <c r="BR110" i="1" s="1"/>
  <c r="FS236" i="1"/>
  <c r="BR236" i="1" s="1"/>
  <c r="FS111" i="1"/>
  <c r="BR111" i="1" s="1"/>
  <c r="FS218" i="1"/>
  <c r="BR218" i="1" s="1"/>
  <c r="FS234" i="1"/>
  <c r="BR234" i="1" s="1"/>
  <c r="FS230" i="1"/>
  <c r="BR230" i="1" s="1"/>
  <c r="FS231" i="1"/>
  <c r="BR231" i="1" s="1"/>
  <c r="FS41" i="1"/>
  <c r="FS45" i="1"/>
  <c r="FS40" i="1"/>
  <c r="FS39" i="1"/>
  <c r="FS46" i="1"/>
  <c r="FS43" i="1"/>
  <c r="FS42" i="1"/>
  <c r="FT30" i="1"/>
  <c r="FT35" i="1" s="1"/>
  <c r="FS38" i="1"/>
  <c r="BR45" i="1"/>
  <c r="BR41" i="1"/>
  <c r="BS30" i="1"/>
  <c r="BS44" i="1" s="1"/>
  <c r="BR43" i="1"/>
  <c r="BR42" i="1"/>
  <c r="BR224" i="1"/>
  <c r="BR222" i="1"/>
  <c r="BR223" i="1"/>
  <c r="BR221" i="1"/>
  <c r="FS197" i="1"/>
  <c r="BR197" i="1" s="1"/>
  <c r="FS224" i="1"/>
  <c r="FS223" i="1"/>
  <c r="FS222" i="1"/>
  <c r="FS221" i="1"/>
  <c r="FS215" i="1"/>
  <c r="BR215" i="1" s="1"/>
  <c r="FS214" i="1"/>
  <c r="BR214" i="1" s="1"/>
  <c r="FS213" i="1"/>
  <c r="BR213" i="1" s="1"/>
  <c r="FS212" i="1"/>
  <c r="BR212" i="1" s="1"/>
  <c r="FS207" i="1"/>
  <c r="FS206" i="1"/>
  <c r="FS205" i="1"/>
  <c r="FS204" i="1"/>
  <c r="FS201" i="1"/>
  <c r="BR201" i="1" s="1"/>
  <c r="FS196" i="1"/>
  <c r="BR196" i="1" s="1"/>
  <c r="FS198" i="1"/>
  <c r="BR198" i="1" s="1"/>
  <c r="FS195" i="1"/>
  <c r="BR195" i="1" s="1"/>
  <c r="FS129" i="1"/>
  <c r="BR129" i="1" s="1"/>
  <c r="FS130" i="1"/>
  <c r="BR130" i="1" s="1"/>
  <c r="FS128" i="1"/>
  <c r="BR128" i="1" s="1"/>
  <c r="FS127" i="1"/>
  <c r="BR127" i="1" s="1"/>
  <c r="BR205" i="1"/>
  <c r="BR207" i="1"/>
  <c r="BR206" i="1"/>
  <c r="FS79" i="1"/>
  <c r="BR79" i="1" s="1"/>
  <c r="FS78" i="1"/>
  <c r="BR78" i="1" s="1"/>
  <c r="FS77" i="1"/>
  <c r="BR77" i="1" s="1"/>
  <c r="FS76" i="1"/>
  <c r="BR76" i="1" s="1"/>
  <c r="FS92" i="1"/>
  <c r="BR92" i="1" s="1"/>
  <c r="FS91" i="1"/>
  <c r="BR91" i="1" s="1"/>
  <c r="FS90" i="1"/>
  <c r="BR90" i="1" s="1"/>
  <c r="FS61" i="1"/>
  <c r="BR61" i="1" s="1"/>
  <c r="FS190" i="1"/>
  <c r="FS189" i="1"/>
  <c r="FS188" i="1"/>
  <c r="FS178" i="1"/>
  <c r="BR178" i="1" s="1"/>
  <c r="FS187" i="1"/>
  <c r="BR190" i="1"/>
  <c r="BR187" i="1"/>
  <c r="BR189" i="1"/>
  <c r="BR153" i="1"/>
  <c r="BR188" i="1"/>
  <c r="BR150" i="1"/>
  <c r="BR152" i="1"/>
  <c r="BR151" i="1"/>
  <c r="FS152" i="1"/>
  <c r="FS153" i="1"/>
  <c r="FS150" i="1"/>
  <c r="FS151" i="1"/>
  <c r="FS99" i="1"/>
  <c r="FS103" i="1"/>
  <c r="FS149" i="1"/>
  <c r="FS98" i="1"/>
  <c r="FS101" i="1"/>
  <c r="FS97" i="1"/>
  <c r="FS100" i="1"/>
  <c r="FS102" i="1"/>
  <c r="FS104" i="1"/>
  <c r="BR97" i="1"/>
  <c r="BR100" i="1"/>
  <c r="BR99" i="1"/>
  <c r="BR101" i="1"/>
  <c r="BR102" i="1"/>
  <c r="BR103" i="1"/>
  <c r="BR104" i="1"/>
  <c r="BR98" i="1"/>
  <c r="FS80" i="1"/>
  <c r="BR80" i="1" s="1"/>
  <c r="FS158" i="1"/>
  <c r="BR158" i="1" s="1"/>
  <c r="FS67" i="1"/>
  <c r="BR67" i="1" s="1"/>
  <c r="FS120" i="1"/>
  <c r="BR120" i="1" s="1"/>
  <c r="FS109" i="1"/>
  <c r="BR109" i="1" s="1"/>
  <c r="FS162" i="1"/>
  <c r="BR162" i="1" s="1"/>
  <c r="FS113" i="1"/>
  <c r="BR113" i="1" s="1"/>
  <c r="FS58" i="1"/>
  <c r="BR58" i="1" s="1"/>
  <c r="FS62" i="1"/>
  <c r="BR62" i="1" s="1"/>
  <c r="FS64" i="1"/>
  <c r="BR64" i="1" s="1"/>
  <c r="FT56" i="1"/>
  <c r="BS56" i="1"/>
  <c r="BS35" i="1" l="1"/>
  <c r="BR125" i="1"/>
  <c r="BR147" i="1"/>
  <c r="FT184" i="1"/>
  <c r="BS184" i="1" s="1"/>
  <c r="FT183" i="1"/>
  <c r="BS183" i="1" s="1"/>
  <c r="FT181" i="1"/>
  <c r="BS181" i="1" s="1"/>
  <c r="FT180" i="1"/>
  <c r="BS180" i="1" s="1"/>
  <c r="FT182" i="1"/>
  <c r="BS182" i="1" s="1"/>
  <c r="FT179" i="1"/>
  <c r="BS179" i="1" s="1"/>
  <c r="FT163" i="1"/>
  <c r="BS163" i="1" s="1"/>
  <c r="FT177" i="1"/>
  <c r="BS177" i="1" s="1"/>
  <c r="FT176" i="1"/>
  <c r="BS176" i="1" s="1"/>
  <c r="FT175" i="1"/>
  <c r="BS175" i="1" s="1"/>
  <c r="FT174" i="1"/>
  <c r="BS174" i="1" s="1"/>
  <c r="FT161" i="1"/>
  <c r="BS161" i="1" s="1"/>
  <c r="FT171" i="1"/>
  <c r="BS171" i="1" s="1"/>
  <c r="FT170" i="1"/>
  <c r="BS170" i="1" s="1"/>
  <c r="FT168" i="1"/>
  <c r="BS168" i="1" s="1"/>
  <c r="FT169" i="1"/>
  <c r="BS169" i="1" s="1"/>
  <c r="FT167" i="1"/>
  <c r="BS167" i="1" s="1"/>
  <c r="FT166" i="1"/>
  <c r="BS166" i="1" s="1"/>
  <c r="FT165" i="1"/>
  <c r="BS165" i="1" s="1"/>
  <c r="FT164" i="1"/>
  <c r="BS164" i="1" s="1"/>
  <c r="FT137" i="1"/>
  <c r="BS137" i="1" s="1"/>
  <c r="FT136" i="1"/>
  <c r="BS136" i="1" s="1"/>
  <c r="FT146" i="1"/>
  <c r="BS146" i="1" s="1"/>
  <c r="FT145" i="1"/>
  <c r="BS145" i="1" s="1"/>
  <c r="FT144" i="1"/>
  <c r="BS144" i="1" s="1"/>
  <c r="FT143" i="1"/>
  <c r="BS143" i="1" s="1"/>
  <c r="FT142" i="1"/>
  <c r="BS142" i="1" s="1"/>
  <c r="FT139" i="1"/>
  <c r="BS139" i="1" s="1"/>
  <c r="FT141" i="1"/>
  <c r="BS141" i="1" s="1"/>
  <c r="FT140" i="1"/>
  <c r="BS140" i="1" s="1"/>
  <c r="FT131" i="1"/>
  <c r="BS131" i="1" s="1"/>
  <c r="FT132" i="1"/>
  <c r="BS132" i="1" s="1"/>
  <c r="FT133" i="1"/>
  <c r="BS133" i="1" s="1"/>
  <c r="FT138" i="1"/>
  <c r="BS138" i="1" s="1"/>
  <c r="FT135" i="1"/>
  <c r="BS135" i="1" s="1"/>
  <c r="FT134" i="1"/>
  <c r="BS134" i="1" s="1"/>
  <c r="FT124" i="1"/>
  <c r="BS124" i="1" s="1"/>
  <c r="FT123" i="1"/>
  <c r="BS123" i="1" s="1"/>
  <c r="FT115" i="1"/>
  <c r="BS115" i="1" s="1"/>
  <c r="FT121" i="1"/>
  <c r="BS121" i="1" s="1"/>
  <c r="FT122" i="1"/>
  <c r="BS122" i="1" s="1"/>
  <c r="FT118" i="1"/>
  <c r="BS118" i="1" s="1"/>
  <c r="FT117" i="1"/>
  <c r="BS117" i="1" s="1"/>
  <c r="FT119" i="1"/>
  <c r="BS119" i="1" s="1"/>
  <c r="FT116" i="1"/>
  <c r="BS116" i="1" s="1"/>
  <c r="FT114" i="1"/>
  <c r="BS114" i="1" s="1"/>
  <c r="FT112" i="1"/>
  <c r="BS112" i="1" s="1"/>
  <c r="FT94" i="1"/>
  <c r="BS94" i="1" s="1"/>
  <c r="FT89" i="1"/>
  <c r="BS89" i="1" s="1"/>
  <c r="FT88" i="1"/>
  <c r="BS88" i="1" s="1"/>
  <c r="FT87" i="1"/>
  <c r="BS87" i="1" s="1"/>
  <c r="FT86" i="1"/>
  <c r="BS86" i="1" s="1"/>
  <c r="FT81" i="1"/>
  <c r="BS81" i="1" s="1"/>
  <c r="FT85" i="1"/>
  <c r="BS85" i="1" s="1"/>
  <c r="FT84" i="1"/>
  <c r="BS84" i="1" s="1"/>
  <c r="FT82" i="1"/>
  <c r="BS82" i="1" s="1"/>
  <c r="FT83" i="1"/>
  <c r="BS83" i="1" s="1"/>
  <c r="FT66" i="1"/>
  <c r="BS66" i="1" s="1"/>
  <c r="FT73" i="1"/>
  <c r="BS73" i="1" s="1"/>
  <c r="FT72" i="1"/>
  <c r="BS72" i="1" s="1"/>
  <c r="FT71" i="1"/>
  <c r="BS71" i="1" s="1"/>
  <c r="FT70" i="1"/>
  <c r="BS70" i="1" s="1"/>
  <c r="FT69" i="1"/>
  <c r="BS69" i="1" s="1"/>
  <c r="FT68" i="1"/>
  <c r="BS68" i="1" s="1"/>
  <c r="FT65" i="1"/>
  <c r="BS65" i="1" s="1"/>
  <c r="FT63" i="1"/>
  <c r="BS63" i="1" s="1"/>
  <c r="FT44" i="1"/>
  <c r="FT32" i="1"/>
  <c r="BS32" i="1" s="1"/>
  <c r="FT31" i="1"/>
  <c r="BS31" i="1" s="1"/>
  <c r="FT232" i="1"/>
  <c r="FT233" i="1"/>
  <c r="BS233" i="1"/>
  <c r="BS232" i="1"/>
  <c r="FT93" i="1"/>
  <c r="BS93" i="1" s="1"/>
  <c r="FT229" i="1"/>
  <c r="FT235" i="1"/>
  <c r="FT159" i="1"/>
  <c r="BS159" i="1" s="1"/>
  <c r="FT160" i="1"/>
  <c r="BS160" i="1" s="1"/>
  <c r="FT60" i="1"/>
  <c r="BS60" i="1" s="1"/>
  <c r="FT59" i="1"/>
  <c r="BS59" i="1" s="1"/>
  <c r="BS236" i="1"/>
  <c r="BS229" i="1"/>
  <c r="BS235" i="1"/>
  <c r="FT111" i="1"/>
  <c r="BS111" i="1" s="1"/>
  <c r="FT110" i="1"/>
  <c r="BS110" i="1" s="1"/>
  <c r="FT236" i="1"/>
  <c r="FT218" i="1"/>
  <c r="BS218" i="1" s="1"/>
  <c r="FT234" i="1"/>
  <c r="FT230" i="1"/>
  <c r="FT231" i="1"/>
  <c r="BS234" i="1"/>
  <c r="BS231" i="1"/>
  <c r="BS230" i="1"/>
  <c r="FT41" i="1"/>
  <c r="FT46" i="1"/>
  <c r="FT40" i="1"/>
  <c r="FT38" i="1"/>
  <c r="FT39" i="1"/>
  <c r="FT43" i="1"/>
  <c r="FT42" i="1"/>
  <c r="FU30" i="1"/>
  <c r="FU35" i="1" s="1"/>
  <c r="FT45" i="1"/>
  <c r="BS43" i="1"/>
  <c r="BS42" i="1"/>
  <c r="BS41" i="1"/>
  <c r="BT30" i="1"/>
  <c r="BT44" i="1" s="1"/>
  <c r="BS45" i="1"/>
  <c r="FT197" i="1"/>
  <c r="BS197" i="1" s="1"/>
  <c r="FT222" i="1"/>
  <c r="FT221" i="1"/>
  <c r="FT224" i="1"/>
  <c r="FT223" i="1"/>
  <c r="FT213" i="1"/>
  <c r="BS213" i="1" s="1"/>
  <c r="FT212" i="1"/>
  <c r="BS212" i="1" s="1"/>
  <c r="FT215" i="1"/>
  <c r="BS215" i="1" s="1"/>
  <c r="FT214" i="1"/>
  <c r="BS214" i="1" s="1"/>
  <c r="BS224" i="1"/>
  <c r="BS223" i="1"/>
  <c r="BS221" i="1"/>
  <c r="BS222" i="1"/>
  <c r="BS207" i="1"/>
  <c r="BS206" i="1"/>
  <c r="BS205" i="1"/>
  <c r="FT207" i="1"/>
  <c r="FT206" i="1"/>
  <c r="FT205" i="1"/>
  <c r="FT204" i="1"/>
  <c r="FT201" i="1"/>
  <c r="BS201" i="1" s="1"/>
  <c r="FT196" i="1"/>
  <c r="BS196" i="1" s="1"/>
  <c r="FT198" i="1"/>
  <c r="BS198" i="1" s="1"/>
  <c r="FT195" i="1"/>
  <c r="BS195" i="1" s="1"/>
  <c r="FT129" i="1"/>
  <c r="BS129" i="1" s="1"/>
  <c r="FT130" i="1"/>
  <c r="BS130" i="1" s="1"/>
  <c r="FT128" i="1"/>
  <c r="BS128" i="1" s="1"/>
  <c r="FT127" i="1"/>
  <c r="BS127" i="1" s="1"/>
  <c r="FT79" i="1"/>
  <c r="BS79" i="1" s="1"/>
  <c r="FT78" i="1"/>
  <c r="BS78" i="1" s="1"/>
  <c r="FT77" i="1"/>
  <c r="BS77" i="1" s="1"/>
  <c r="FT92" i="1"/>
  <c r="BS92" i="1" s="1"/>
  <c r="FT91" i="1"/>
  <c r="BS91" i="1" s="1"/>
  <c r="FT90" i="1"/>
  <c r="BS90" i="1" s="1"/>
  <c r="FT76" i="1"/>
  <c r="BS76" i="1" s="1"/>
  <c r="FT61" i="1"/>
  <c r="BS61" i="1" s="1"/>
  <c r="FT189" i="1"/>
  <c r="FT190" i="1"/>
  <c r="FT188" i="1"/>
  <c r="FT187" i="1"/>
  <c r="FT178" i="1"/>
  <c r="BS178" i="1" s="1"/>
  <c r="BS189" i="1"/>
  <c r="BS188" i="1"/>
  <c r="BS187" i="1"/>
  <c r="BS190" i="1"/>
  <c r="BS150" i="1"/>
  <c r="BS151" i="1"/>
  <c r="BS153" i="1"/>
  <c r="BS152" i="1"/>
  <c r="FT152" i="1"/>
  <c r="FT150" i="1"/>
  <c r="FT153" i="1"/>
  <c r="FT151" i="1"/>
  <c r="FT98" i="1"/>
  <c r="FT102" i="1"/>
  <c r="FT101" i="1"/>
  <c r="FT97" i="1"/>
  <c r="FT100" i="1"/>
  <c r="FT103" i="1"/>
  <c r="FT149" i="1"/>
  <c r="FT99" i="1"/>
  <c r="FT104" i="1"/>
  <c r="BS98" i="1"/>
  <c r="BS97" i="1"/>
  <c r="BS102" i="1"/>
  <c r="BS100" i="1"/>
  <c r="BS101" i="1"/>
  <c r="BS103" i="1"/>
  <c r="BS99" i="1"/>
  <c r="BS104" i="1"/>
  <c r="FT80" i="1"/>
  <c r="BS80" i="1" s="1"/>
  <c r="FT158" i="1"/>
  <c r="BS158" i="1" s="1"/>
  <c r="FT67" i="1"/>
  <c r="BS67" i="1" s="1"/>
  <c r="FT120" i="1"/>
  <c r="BS120" i="1" s="1"/>
  <c r="FT109" i="1"/>
  <c r="BS109" i="1" s="1"/>
  <c r="FT162" i="1"/>
  <c r="BS162" i="1" s="1"/>
  <c r="FT113" i="1"/>
  <c r="BS113" i="1" s="1"/>
  <c r="FT58" i="1"/>
  <c r="BS58" i="1" s="1"/>
  <c r="FT62" i="1"/>
  <c r="BS62" i="1" s="1"/>
  <c r="FT64" i="1"/>
  <c r="BS64" i="1" s="1"/>
  <c r="FU56" i="1"/>
  <c r="BT56" i="1"/>
  <c r="BT35" i="1" l="1"/>
  <c r="BS125" i="1"/>
  <c r="BS147" i="1"/>
  <c r="FU184" i="1"/>
  <c r="BT184" i="1" s="1"/>
  <c r="FU179" i="1"/>
  <c r="BT179" i="1" s="1"/>
  <c r="FU183" i="1"/>
  <c r="BT183" i="1" s="1"/>
  <c r="FU181" i="1"/>
  <c r="BT181" i="1" s="1"/>
  <c r="FU182" i="1"/>
  <c r="BT182" i="1" s="1"/>
  <c r="FU180" i="1"/>
  <c r="BT180" i="1" s="1"/>
  <c r="FU163" i="1"/>
  <c r="BT163" i="1" s="1"/>
  <c r="FU176" i="1"/>
  <c r="BT176" i="1" s="1"/>
  <c r="FU174" i="1"/>
  <c r="BT174" i="1" s="1"/>
  <c r="FU175" i="1"/>
  <c r="BT175" i="1" s="1"/>
  <c r="FU177" i="1"/>
  <c r="BT177" i="1" s="1"/>
  <c r="FU161" i="1"/>
  <c r="BT161" i="1" s="1"/>
  <c r="FU170" i="1"/>
  <c r="BT170" i="1" s="1"/>
  <c r="FU169" i="1"/>
  <c r="BT169" i="1" s="1"/>
  <c r="FU171" i="1"/>
  <c r="BT171" i="1" s="1"/>
  <c r="FU168" i="1"/>
  <c r="BT168" i="1" s="1"/>
  <c r="FU166" i="1"/>
  <c r="BT166" i="1" s="1"/>
  <c r="FU167" i="1"/>
  <c r="BT167" i="1" s="1"/>
  <c r="FU165" i="1"/>
  <c r="BT165" i="1" s="1"/>
  <c r="FU164" i="1"/>
  <c r="BT164" i="1" s="1"/>
  <c r="FU136" i="1"/>
  <c r="BT136" i="1" s="1"/>
  <c r="FU137" i="1"/>
  <c r="BT137" i="1" s="1"/>
  <c r="FU145" i="1"/>
  <c r="BT145" i="1" s="1"/>
  <c r="FU144" i="1"/>
  <c r="BT144" i="1" s="1"/>
  <c r="FU142" i="1"/>
  <c r="BT142" i="1" s="1"/>
  <c r="FU146" i="1"/>
  <c r="BT146" i="1" s="1"/>
  <c r="FU139" i="1"/>
  <c r="BT139" i="1" s="1"/>
  <c r="FU141" i="1"/>
  <c r="BT141" i="1" s="1"/>
  <c r="FU143" i="1"/>
  <c r="BT143" i="1" s="1"/>
  <c r="FU140" i="1"/>
  <c r="BT140" i="1" s="1"/>
  <c r="FU131" i="1"/>
  <c r="BT131" i="1" s="1"/>
  <c r="FU132" i="1"/>
  <c r="BT132" i="1" s="1"/>
  <c r="FU133" i="1"/>
  <c r="BT133" i="1" s="1"/>
  <c r="FU135" i="1"/>
  <c r="BT135" i="1" s="1"/>
  <c r="FU134" i="1"/>
  <c r="BT134" i="1" s="1"/>
  <c r="FU138" i="1"/>
  <c r="BT138" i="1" s="1"/>
  <c r="FU123" i="1"/>
  <c r="BT123" i="1" s="1"/>
  <c r="FU124" i="1"/>
  <c r="BT124" i="1" s="1"/>
  <c r="FU115" i="1"/>
  <c r="BT115" i="1" s="1"/>
  <c r="FU121" i="1"/>
  <c r="BT121" i="1" s="1"/>
  <c r="FU122" i="1"/>
  <c r="BT122" i="1" s="1"/>
  <c r="FU118" i="1"/>
  <c r="BT118" i="1" s="1"/>
  <c r="FU119" i="1"/>
  <c r="BT119" i="1" s="1"/>
  <c r="FU117" i="1"/>
  <c r="BT117" i="1" s="1"/>
  <c r="FU114" i="1"/>
  <c r="BT114" i="1" s="1"/>
  <c r="FU116" i="1"/>
  <c r="BT116" i="1" s="1"/>
  <c r="FU112" i="1"/>
  <c r="BT112" i="1" s="1"/>
  <c r="FU94" i="1"/>
  <c r="BT94" i="1" s="1"/>
  <c r="FU88" i="1"/>
  <c r="BT88" i="1" s="1"/>
  <c r="FU87" i="1"/>
  <c r="BT87" i="1" s="1"/>
  <c r="FU89" i="1"/>
  <c r="BT89" i="1" s="1"/>
  <c r="FU86" i="1"/>
  <c r="BT86" i="1" s="1"/>
  <c r="FU81" i="1"/>
  <c r="BT81" i="1" s="1"/>
  <c r="FU84" i="1"/>
  <c r="BT84" i="1" s="1"/>
  <c r="FU83" i="1"/>
  <c r="BT83" i="1" s="1"/>
  <c r="FU82" i="1"/>
  <c r="BT82" i="1" s="1"/>
  <c r="FU85" i="1"/>
  <c r="BT85" i="1" s="1"/>
  <c r="FU66" i="1"/>
  <c r="BT66" i="1" s="1"/>
  <c r="FU73" i="1"/>
  <c r="BT73" i="1" s="1"/>
  <c r="FU71" i="1"/>
  <c r="BT71" i="1" s="1"/>
  <c r="FU69" i="1"/>
  <c r="BT69" i="1" s="1"/>
  <c r="FU68" i="1"/>
  <c r="BT68" i="1" s="1"/>
  <c r="FU72" i="1"/>
  <c r="BT72" i="1" s="1"/>
  <c r="FU70" i="1"/>
  <c r="BT70" i="1" s="1"/>
  <c r="FU65" i="1"/>
  <c r="BT65" i="1" s="1"/>
  <c r="FU63" i="1"/>
  <c r="BT63" i="1" s="1"/>
  <c r="FU44" i="1"/>
  <c r="FU32" i="1"/>
  <c r="BT32" i="1" s="1"/>
  <c r="FU31" i="1"/>
  <c r="BT31" i="1" s="1"/>
  <c r="BT233" i="1"/>
  <c r="BT232" i="1"/>
  <c r="FU232" i="1"/>
  <c r="FU233" i="1"/>
  <c r="FU93" i="1"/>
  <c r="BT93" i="1" s="1"/>
  <c r="FU235" i="1"/>
  <c r="FU229" i="1"/>
  <c r="FU60" i="1"/>
  <c r="BT60" i="1" s="1"/>
  <c r="FU160" i="1"/>
  <c r="BT160" i="1" s="1"/>
  <c r="FU59" i="1"/>
  <c r="BT59" i="1" s="1"/>
  <c r="FU159" i="1"/>
  <c r="BT159" i="1" s="1"/>
  <c r="BT236" i="1"/>
  <c r="BT235" i="1"/>
  <c r="BT229" i="1"/>
  <c r="FU236" i="1"/>
  <c r="FU111" i="1"/>
  <c r="BT111" i="1" s="1"/>
  <c r="FU110" i="1"/>
  <c r="BT110" i="1" s="1"/>
  <c r="BT234" i="1"/>
  <c r="BT231" i="1"/>
  <c r="BT230" i="1"/>
  <c r="FU218" i="1"/>
  <c r="BT218" i="1" s="1"/>
  <c r="FU234" i="1"/>
  <c r="FU231" i="1"/>
  <c r="FU230" i="1"/>
  <c r="FU40" i="1"/>
  <c r="FU38" i="1"/>
  <c r="FU41" i="1"/>
  <c r="FU46" i="1"/>
  <c r="FU39" i="1"/>
  <c r="FU42" i="1"/>
  <c r="FU43" i="1"/>
  <c r="FU45" i="1"/>
  <c r="FV30" i="1"/>
  <c r="FV35" i="1" s="1"/>
  <c r="BT45" i="1"/>
  <c r="BT41" i="1"/>
  <c r="BU30" i="1"/>
  <c r="BU44" i="1" s="1"/>
  <c r="BT43" i="1"/>
  <c r="BT42" i="1"/>
  <c r="FU197" i="1"/>
  <c r="BT197" i="1" s="1"/>
  <c r="FU222" i="1"/>
  <c r="FU223" i="1"/>
  <c r="FU221" i="1"/>
  <c r="FU215" i="1"/>
  <c r="BT215" i="1" s="1"/>
  <c r="FU224" i="1"/>
  <c r="FU214" i="1"/>
  <c r="BT214" i="1" s="1"/>
  <c r="FU212" i="1"/>
  <c r="BT212" i="1" s="1"/>
  <c r="FU213" i="1"/>
  <c r="BT213" i="1" s="1"/>
  <c r="BT224" i="1"/>
  <c r="BT222" i="1"/>
  <c r="BT221" i="1"/>
  <c r="BT223" i="1"/>
  <c r="FU205" i="1"/>
  <c r="FU207" i="1"/>
  <c r="FU206" i="1"/>
  <c r="FU204" i="1"/>
  <c r="FU201" i="1"/>
  <c r="BT201" i="1" s="1"/>
  <c r="FU198" i="1"/>
  <c r="BT198" i="1" s="1"/>
  <c r="FU195" i="1"/>
  <c r="BT195" i="1" s="1"/>
  <c r="FU196" i="1"/>
  <c r="BT196" i="1" s="1"/>
  <c r="FU130" i="1"/>
  <c r="BT130" i="1" s="1"/>
  <c r="FU128" i="1"/>
  <c r="BT128" i="1" s="1"/>
  <c r="FU127" i="1"/>
  <c r="BT127" i="1" s="1"/>
  <c r="FU129" i="1"/>
  <c r="BT129" i="1" s="1"/>
  <c r="BT207" i="1"/>
  <c r="BT206" i="1"/>
  <c r="BT205" i="1"/>
  <c r="FU78" i="1"/>
  <c r="BT78" i="1" s="1"/>
  <c r="FU79" i="1"/>
  <c r="BT79" i="1" s="1"/>
  <c r="FU77" i="1"/>
  <c r="BT77" i="1" s="1"/>
  <c r="FU76" i="1"/>
  <c r="BT76" i="1" s="1"/>
  <c r="FU61" i="1"/>
  <c r="BT61" i="1" s="1"/>
  <c r="FU90" i="1"/>
  <c r="BT90" i="1" s="1"/>
  <c r="FU91" i="1"/>
  <c r="BT91" i="1" s="1"/>
  <c r="FU92" i="1"/>
  <c r="BT92" i="1" s="1"/>
  <c r="BT190" i="1"/>
  <c r="BT189" i="1"/>
  <c r="BT187" i="1"/>
  <c r="BT188" i="1"/>
  <c r="BT150" i="1"/>
  <c r="BT153" i="1"/>
  <c r="BT152" i="1"/>
  <c r="BT151" i="1"/>
  <c r="FU190" i="1"/>
  <c r="FU178" i="1"/>
  <c r="BT178" i="1" s="1"/>
  <c r="FU188" i="1"/>
  <c r="FU187" i="1"/>
  <c r="FU189" i="1"/>
  <c r="FU153" i="1"/>
  <c r="FU152" i="1"/>
  <c r="FU150" i="1"/>
  <c r="FU151" i="1"/>
  <c r="FU97" i="1"/>
  <c r="FU101" i="1"/>
  <c r="FU99" i="1"/>
  <c r="FU102" i="1"/>
  <c r="FU98" i="1"/>
  <c r="FU149" i="1"/>
  <c r="FU103" i="1"/>
  <c r="FU104" i="1"/>
  <c r="FU100" i="1"/>
  <c r="BT99" i="1"/>
  <c r="BT98" i="1"/>
  <c r="BT103" i="1"/>
  <c r="BT100" i="1"/>
  <c r="BT101" i="1"/>
  <c r="BT102" i="1"/>
  <c r="BT104" i="1"/>
  <c r="BT97" i="1"/>
  <c r="FU80" i="1"/>
  <c r="BT80" i="1" s="1"/>
  <c r="FU158" i="1"/>
  <c r="BT158" i="1" s="1"/>
  <c r="FU120" i="1"/>
  <c r="BT120" i="1" s="1"/>
  <c r="FU67" i="1"/>
  <c r="BT67" i="1" s="1"/>
  <c r="FU109" i="1"/>
  <c r="BT109" i="1" s="1"/>
  <c r="FU162" i="1"/>
  <c r="BT162" i="1" s="1"/>
  <c r="FU113" i="1"/>
  <c r="BT113" i="1" s="1"/>
  <c r="FU64" i="1"/>
  <c r="BT64" i="1" s="1"/>
  <c r="FV56" i="1"/>
  <c r="FU58" i="1"/>
  <c r="BT58" i="1" s="1"/>
  <c r="FU62" i="1"/>
  <c r="BT62" i="1" s="1"/>
  <c r="BU56" i="1"/>
  <c r="BU35" i="1" l="1"/>
  <c r="BT125" i="1"/>
  <c r="BT147" i="1"/>
  <c r="FV184" i="1"/>
  <c r="BU184" i="1" s="1"/>
  <c r="FV183" i="1"/>
  <c r="BU183" i="1" s="1"/>
  <c r="FV182" i="1"/>
  <c r="BU182" i="1" s="1"/>
  <c r="FV181" i="1"/>
  <c r="BU181" i="1" s="1"/>
  <c r="FV180" i="1"/>
  <c r="BU180" i="1" s="1"/>
  <c r="FV179" i="1"/>
  <c r="BU179" i="1" s="1"/>
  <c r="FV163" i="1"/>
  <c r="BU163" i="1" s="1"/>
  <c r="FV176" i="1"/>
  <c r="BU176" i="1" s="1"/>
  <c r="FV177" i="1"/>
  <c r="BU177" i="1" s="1"/>
  <c r="FV175" i="1"/>
  <c r="BU175" i="1" s="1"/>
  <c r="FV174" i="1"/>
  <c r="BU174" i="1" s="1"/>
  <c r="FV161" i="1"/>
  <c r="BU161" i="1" s="1"/>
  <c r="FV170" i="1"/>
  <c r="BU170" i="1" s="1"/>
  <c r="FV171" i="1"/>
  <c r="BU171" i="1" s="1"/>
  <c r="FV169" i="1"/>
  <c r="BU169" i="1" s="1"/>
  <c r="FV168" i="1"/>
  <c r="BU168" i="1" s="1"/>
  <c r="FV167" i="1"/>
  <c r="BU167" i="1" s="1"/>
  <c r="FV165" i="1"/>
  <c r="BU165" i="1" s="1"/>
  <c r="FV166" i="1"/>
  <c r="BU166" i="1" s="1"/>
  <c r="FV164" i="1"/>
  <c r="BU164" i="1" s="1"/>
  <c r="FV137" i="1"/>
  <c r="BU137" i="1" s="1"/>
  <c r="FV136" i="1"/>
  <c r="BU136" i="1" s="1"/>
  <c r="FV146" i="1"/>
  <c r="BU146" i="1" s="1"/>
  <c r="FV145" i="1"/>
  <c r="BU145" i="1" s="1"/>
  <c r="FV144" i="1"/>
  <c r="BU144" i="1" s="1"/>
  <c r="FV141" i="1"/>
  <c r="BU141" i="1" s="1"/>
  <c r="FV140" i="1"/>
  <c r="BU140" i="1" s="1"/>
  <c r="FV142" i="1"/>
  <c r="BU142" i="1" s="1"/>
  <c r="FV139" i="1"/>
  <c r="BU139" i="1" s="1"/>
  <c r="FV143" i="1"/>
  <c r="BU143" i="1" s="1"/>
  <c r="FV131" i="1"/>
  <c r="BU131" i="1" s="1"/>
  <c r="FV132" i="1"/>
  <c r="BU132" i="1" s="1"/>
  <c r="FV133" i="1"/>
  <c r="BU133" i="1" s="1"/>
  <c r="FV135" i="1"/>
  <c r="BU135" i="1" s="1"/>
  <c r="FV138" i="1"/>
  <c r="BU138" i="1" s="1"/>
  <c r="FV134" i="1"/>
  <c r="BU134" i="1" s="1"/>
  <c r="FV123" i="1"/>
  <c r="BU123" i="1" s="1"/>
  <c r="FV124" i="1"/>
  <c r="BU124" i="1" s="1"/>
  <c r="FV115" i="1"/>
  <c r="BU115" i="1" s="1"/>
  <c r="FV122" i="1"/>
  <c r="BU122" i="1" s="1"/>
  <c r="FV121" i="1"/>
  <c r="BU121" i="1" s="1"/>
  <c r="FV119" i="1"/>
  <c r="BU119" i="1" s="1"/>
  <c r="FV117" i="1"/>
  <c r="BU117" i="1" s="1"/>
  <c r="FV118" i="1"/>
  <c r="BU118" i="1" s="1"/>
  <c r="FV116" i="1"/>
  <c r="BU116" i="1" s="1"/>
  <c r="FV114" i="1"/>
  <c r="BU114" i="1" s="1"/>
  <c r="FV112" i="1"/>
  <c r="BU112" i="1" s="1"/>
  <c r="FV94" i="1"/>
  <c r="BU94" i="1" s="1"/>
  <c r="FV89" i="1"/>
  <c r="BU89" i="1" s="1"/>
  <c r="FV88" i="1"/>
  <c r="BU88" i="1" s="1"/>
  <c r="FV87" i="1"/>
  <c r="BU87" i="1" s="1"/>
  <c r="FV86" i="1"/>
  <c r="BU86" i="1" s="1"/>
  <c r="FV81" i="1"/>
  <c r="BU81" i="1" s="1"/>
  <c r="FV84" i="1"/>
  <c r="BU84" i="1" s="1"/>
  <c r="FV85" i="1"/>
  <c r="BU85" i="1" s="1"/>
  <c r="FV83" i="1"/>
  <c r="BU83" i="1" s="1"/>
  <c r="FV82" i="1"/>
  <c r="BU82" i="1" s="1"/>
  <c r="FV66" i="1"/>
  <c r="BU66" i="1" s="1"/>
  <c r="FV73" i="1"/>
  <c r="BU73" i="1" s="1"/>
  <c r="FV72" i="1"/>
  <c r="BU72" i="1" s="1"/>
  <c r="FV68" i="1"/>
  <c r="BU68" i="1" s="1"/>
  <c r="FV69" i="1"/>
  <c r="BU69" i="1" s="1"/>
  <c r="FV71" i="1"/>
  <c r="BU71" i="1" s="1"/>
  <c r="FV70" i="1"/>
  <c r="BU70" i="1" s="1"/>
  <c r="FV65" i="1"/>
  <c r="BU65" i="1" s="1"/>
  <c r="FV63" i="1"/>
  <c r="BU63" i="1" s="1"/>
  <c r="FV44" i="1"/>
  <c r="FV31" i="1"/>
  <c r="BU31" i="1" s="1"/>
  <c r="FV32" i="1"/>
  <c r="BU32" i="1" s="1"/>
  <c r="FV232" i="1"/>
  <c r="BU232" i="1" s="1"/>
  <c r="FV233" i="1"/>
  <c r="BU233" i="1" s="1"/>
  <c r="FV93" i="1"/>
  <c r="BU93" i="1" s="1"/>
  <c r="FV235" i="1"/>
  <c r="BU235" i="1" s="1"/>
  <c r="FV229" i="1"/>
  <c r="BU229" i="1" s="1"/>
  <c r="FV60" i="1"/>
  <c r="BU60" i="1" s="1"/>
  <c r="FV59" i="1"/>
  <c r="BU59" i="1" s="1"/>
  <c r="FV159" i="1"/>
  <c r="BU159" i="1" s="1"/>
  <c r="FV160" i="1"/>
  <c r="BU160" i="1" s="1"/>
  <c r="FV111" i="1"/>
  <c r="BU111" i="1" s="1"/>
  <c r="FV110" i="1"/>
  <c r="BU110" i="1" s="1"/>
  <c r="FV236" i="1"/>
  <c r="BU236" i="1" s="1"/>
  <c r="FV218" i="1"/>
  <c r="BU218" i="1" s="1"/>
  <c r="FV231" i="1"/>
  <c r="BU231" i="1" s="1"/>
  <c r="FV234" i="1"/>
  <c r="BU234" i="1" s="1"/>
  <c r="FV230" i="1"/>
  <c r="BU230" i="1" s="1"/>
  <c r="FV42" i="1"/>
  <c r="FV41" i="1"/>
  <c r="FV46" i="1"/>
  <c r="FV40" i="1"/>
  <c r="FW30" i="1"/>
  <c r="FW35" i="1" s="1"/>
  <c r="FV39" i="1"/>
  <c r="FV45" i="1"/>
  <c r="FV38" i="1"/>
  <c r="FV43" i="1"/>
  <c r="BU42" i="1"/>
  <c r="BU43" i="1"/>
  <c r="BV30" i="1"/>
  <c r="BV44" i="1" s="1"/>
  <c r="BU45" i="1"/>
  <c r="BU41" i="1"/>
  <c r="FV197" i="1"/>
  <c r="BU197" i="1" s="1"/>
  <c r="FV224" i="1"/>
  <c r="FV223" i="1"/>
  <c r="FV222" i="1"/>
  <c r="FV221" i="1"/>
  <c r="FV214" i="1"/>
  <c r="BU214" i="1" s="1"/>
  <c r="FV215" i="1"/>
  <c r="BU215" i="1" s="1"/>
  <c r="FV213" i="1"/>
  <c r="BU213" i="1" s="1"/>
  <c r="FV212" i="1"/>
  <c r="BU212" i="1" s="1"/>
  <c r="BU223" i="1"/>
  <c r="BU222" i="1"/>
  <c r="BU224" i="1"/>
  <c r="BU221" i="1"/>
  <c r="FV207" i="1"/>
  <c r="FV206" i="1"/>
  <c r="FV205" i="1"/>
  <c r="FV204" i="1"/>
  <c r="FV201" i="1"/>
  <c r="BU201" i="1" s="1"/>
  <c r="FV196" i="1"/>
  <c r="BU196" i="1" s="1"/>
  <c r="FV198" i="1"/>
  <c r="BU198" i="1" s="1"/>
  <c r="FV195" i="1"/>
  <c r="BU195" i="1" s="1"/>
  <c r="FV130" i="1"/>
  <c r="BU130" i="1" s="1"/>
  <c r="FV127" i="1"/>
  <c r="BU127" i="1" s="1"/>
  <c r="FV129" i="1"/>
  <c r="BU129" i="1" s="1"/>
  <c r="FV128" i="1"/>
  <c r="BU128" i="1" s="1"/>
  <c r="BU207" i="1"/>
  <c r="BU206" i="1"/>
  <c r="BU205" i="1"/>
  <c r="FV79" i="1"/>
  <c r="BU79" i="1" s="1"/>
  <c r="FV78" i="1"/>
  <c r="BU78" i="1" s="1"/>
  <c r="FV61" i="1"/>
  <c r="BU61" i="1" s="1"/>
  <c r="FV77" i="1"/>
  <c r="BU77" i="1" s="1"/>
  <c r="FV76" i="1"/>
  <c r="BU76" i="1" s="1"/>
  <c r="FV91" i="1"/>
  <c r="BU91" i="1" s="1"/>
  <c r="FV92" i="1"/>
  <c r="BU92" i="1" s="1"/>
  <c r="FV90" i="1"/>
  <c r="BU90" i="1" s="1"/>
  <c r="BU189" i="1"/>
  <c r="BU190" i="1"/>
  <c r="BU188" i="1"/>
  <c r="BU151" i="1"/>
  <c r="BU152" i="1"/>
  <c r="BU187" i="1"/>
  <c r="BU150" i="1"/>
  <c r="BU153" i="1"/>
  <c r="FV190" i="1"/>
  <c r="FV189" i="1"/>
  <c r="FV187" i="1"/>
  <c r="FV188" i="1"/>
  <c r="FV178" i="1"/>
  <c r="BU178" i="1" s="1"/>
  <c r="FV151" i="1"/>
  <c r="FV153" i="1"/>
  <c r="FV152" i="1"/>
  <c r="FV149" i="1"/>
  <c r="FV100" i="1"/>
  <c r="FV150" i="1"/>
  <c r="FV103" i="1"/>
  <c r="FV99" i="1"/>
  <c r="FV98" i="1"/>
  <c r="FV101" i="1"/>
  <c r="FV97" i="1"/>
  <c r="FV104" i="1"/>
  <c r="FV102" i="1"/>
  <c r="BU100" i="1"/>
  <c r="BU99" i="1"/>
  <c r="BU98" i="1"/>
  <c r="BU104" i="1"/>
  <c r="BU102" i="1"/>
  <c r="BU101" i="1"/>
  <c r="BU103" i="1"/>
  <c r="BU97" i="1"/>
  <c r="FV80" i="1"/>
  <c r="BU80" i="1" s="1"/>
  <c r="FV158" i="1"/>
  <c r="BU158" i="1" s="1"/>
  <c r="FV120" i="1"/>
  <c r="BU120" i="1" s="1"/>
  <c r="FV67" i="1"/>
  <c r="BU67" i="1" s="1"/>
  <c r="FV109" i="1"/>
  <c r="BU109" i="1" s="1"/>
  <c r="FV162" i="1"/>
  <c r="BU162" i="1" s="1"/>
  <c r="FV113" i="1"/>
  <c r="BU113" i="1" s="1"/>
  <c r="FV62" i="1"/>
  <c r="BU62" i="1" s="1"/>
  <c r="FV58" i="1"/>
  <c r="BU58" i="1" s="1"/>
  <c r="FV64" i="1"/>
  <c r="BU64" i="1" s="1"/>
  <c r="FW56" i="1"/>
  <c r="BV56" i="1"/>
  <c r="BV35" i="1" l="1"/>
  <c r="BU147" i="1"/>
  <c r="BU125" i="1"/>
  <c r="FW184" i="1"/>
  <c r="BV184" i="1" s="1"/>
  <c r="FW183" i="1"/>
  <c r="BV183" i="1" s="1"/>
  <c r="FW180" i="1"/>
  <c r="BV180" i="1" s="1"/>
  <c r="FW182" i="1"/>
  <c r="BV182" i="1" s="1"/>
  <c r="FW179" i="1"/>
  <c r="BV179" i="1" s="1"/>
  <c r="FW181" i="1"/>
  <c r="BV181" i="1" s="1"/>
  <c r="FW163" i="1"/>
  <c r="BV163" i="1" s="1"/>
  <c r="FW177" i="1"/>
  <c r="BV177" i="1" s="1"/>
  <c r="FW175" i="1"/>
  <c r="BV175" i="1" s="1"/>
  <c r="FW176" i="1"/>
  <c r="BV176" i="1" s="1"/>
  <c r="FW174" i="1"/>
  <c r="BV174" i="1" s="1"/>
  <c r="FW161" i="1"/>
  <c r="BV161" i="1" s="1"/>
  <c r="FW171" i="1"/>
  <c r="BV171" i="1" s="1"/>
  <c r="FW170" i="1"/>
  <c r="BV170" i="1" s="1"/>
  <c r="FW169" i="1"/>
  <c r="BV169" i="1" s="1"/>
  <c r="FW168" i="1"/>
  <c r="BV168" i="1" s="1"/>
  <c r="FW167" i="1"/>
  <c r="BV167" i="1" s="1"/>
  <c r="FW165" i="1"/>
  <c r="BV165" i="1" s="1"/>
  <c r="FW164" i="1"/>
  <c r="BV164" i="1" s="1"/>
  <c r="FW166" i="1"/>
  <c r="BV166" i="1" s="1"/>
  <c r="FW137" i="1"/>
  <c r="BV137" i="1" s="1"/>
  <c r="FW136" i="1"/>
  <c r="BV136" i="1" s="1"/>
  <c r="FW146" i="1"/>
  <c r="BV146" i="1" s="1"/>
  <c r="FW145" i="1"/>
  <c r="BV145" i="1" s="1"/>
  <c r="FW143" i="1"/>
  <c r="BV143" i="1" s="1"/>
  <c r="FW141" i="1"/>
  <c r="BV141" i="1" s="1"/>
  <c r="FW144" i="1"/>
  <c r="BV144" i="1" s="1"/>
  <c r="FW140" i="1"/>
  <c r="BV140" i="1" s="1"/>
  <c r="FW142" i="1"/>
  <c r="BV142" i="1" s="1"/>
  <c r="FW139" i="1"/>
  <c r="BV139" i="1" s="1"/>
  <c r="FW131" i="1"/>
  <c r="BV131" i="1" s="1"/>
  <c r="FW132" i="1"/>
  <c r="BV132" i="1" s="1"/>
  <c r="FW133" i="1"/>
  <c r="BV133" i="1" s="1"/>
  <c r="FW138" i="1"/>
  <c r="BV138" i="1" s="1"/>
  <c r="FW134" i="1"/>
  <c r="BV134" i="1" s="1"/>
  <c r="FW135" i="1"/>
  <c r="BV135" i="1" s="1"/>
  <c r="FW124" i="1"/>
  <c r="BV124" i="1" s="1"/>
  <c r="FW123" i="1"/>
  <c r="BV123" i="1" s="1"/>
  <c r="FW115" i="1"/>
  <c r="BV115" i="1" s="1"/>
  <c r="FW122" i="1"/>
  <c r="BV122" i="1" s="1"/>
  <c r="FW121" i="1"/>
  <c r="BV121" i="1" s="1"/>
  <c r="FW119" i="1"/>
  <c r="BV119" i="1" s="1"/>
  <c r="FW118" i="1"/>
  <c r="BV118" i="1" s="1"/>
  <c r="FW116" i="1"/>
  <c r="BV116" i="1" s="1"/>
  <c r="FW117" i="1"/>
  <c r="BV117" i="1" s="1"/>
  <c r="FW114" i="1"/>
  <c r="BV114" i="1" s="1"/>
  <c r="FW112" i="1"/>
  <c r="BV112" i="1" s="1"/>
  <c r="FW94" i="1"/>
  <c r="BV94" i="1" s="1"/>
  <c r="FW89" i="1"/>
  <c r="BV89" i="1" s="1"/>
  <c r="FW88" i="1"/>
  <c r="BV88" i="1" s="1"/>
  <c r="FW86" i="1"/>
  <c r="BV86" i="1" s="1"/>
  <c r="FW87" i="1"/>
  <c r="BV87" i="1" s="1"/>
  <c r="FW81" i="1"/>
  <c r="BV81" i="1" s="1"/>
  <c r="FW85" i="1"/>
  <c r="BV85" i="1" s="1"/>
  <c r="FW83" i="1"/>
  <c r="BV83" i="1" s="1"/>
  <c r="FW84" i="1"/>
  <c r="BV84" i="1" s="1"/>
  <c r="FW82" i="1"/>
  <c r="BV82" i="1" s="1"/>
  <c r="FW66" i="1"/>
  <c r="BV66" i="1" s="1"/>
  <c r="FW72" i="1"/>
  <c r="BV72" i="1" s="1"/>
  <c r="FW73" i="1"/>
  <c r="BV73" i="1" s="1"/>
  <c r="FW71" i="1"/>
  <c r="BV71" i="1" s="1"/>
  <c r="FW70" i="1"/>
  <c r="BV70" i="1" s="1"/>
  <c r="FW69" i="1"/>
  <c r="BV69" i="1" s="1"/>
  <c r="FW68" i="1"/>
  <c r="BV68" i="1" s="1"/>
  <c r="FW65" i="1"/>
  <c r="BV65" i="1" s="1"/>
  <c r="FW63" i="1"/>
  <c r="BV63" i="1" s="1"/>
  <c r="FW44" i="1"/>
  <c r="FW32" i="1"/>
  <c r="BV32" i="1" s="1"/>
  <c r="FW31" i="1"/>
  <c r="BV31" i="1" s="1"/>
  <c r="BV233" i="1"/>
  <c r="BV232" i="1"/>
  <c r="FW233" i="1"/>
  <c r="FW232" i="1"/>
  <c r="FW93" i="1"/>
  <c r="BV93" i="1" s="1"/>
  <c r="FW229" i="1"/>
  <c r="FW235" i="1"/>
  <c r="FW160" i="1"/>
  <c r="BV160" i="1" s="1"/>
  <c r="FW159" i="1"/>
  <c r="BV159" i="1" s="1"/>
  <c r="FW59" i="1"/>
  <c r="BV59" i="1" s="1"/>
  <c r="FW60" i="1"/>
  <c r="BV60" i="1" s="1"/>
  <c r="BV236" i="1"/>
  <c r="BV229" i="1"/>
  <c r="BV235" i="1"/>
  <c r="FW111" i="1"/>
  <c r="BV111" i="1" s="1"/>
  <c r="FW110" i="1"/>
  <c r="BV110" i="1" s="1"/>
  <c r="FW236" i="1"/>
  <c r="FW218" i="1"/>
  <c r="BV218" i="1" s="1"/>
  <c r="FW234" i="1"/>
  <c r="FW231" i="1"/>
  <c r="FW230" i="1"/>
  <c r="BV231" i="1"/>
  <c r="BV234" i="1"/>
  <c r="BV230" i="1"/>
  <c r="FW42" i="1"/>
  <c r="FW39" i="1"/>
  <c r="FW46" i="1"/>
  <c r="FW45" i="1"/>
  <c r="FW41" i="1"/>
  <c r="FW40" i="1"/>
  <c r="FX30" i="1"/>
  <c r="FX35" i="1" s="1"/>
  <c r="FW43" i="1"/>
  <c r="FW38" i="1"/>
  <c r="BW30" i="1"/>
  <c r="BW44" i="1" s="1"/>
  <c r="BV42" i="1"/>
  <c r="BV43" i="1"/>
  <c r="BV41" i="1"/>
  <c r="BV45" i="1"/>
  <c r="FW197" i="1"/>
  <c r="BV197" i="1" s="1"/>
  <c r="FW223" i="1"/>
  <c r="FW224" i="1"/>
  <c r="FW221" i="1"/>
  <c r="FW222" i="1"/>
  <c r="FW214" i="1"/>
  <c r="BV214" i="1" s="1"/>
  <c r="FW215" i="1"/>
  <c r="BV215" i="1" s="1"/>
  <c r="FW213" i="1"/>
  <c r="BV213" i="1" s="1"/>
  <c r="FW212" i="1"/>
  <c r="BV212" i="1" s="1"/>
  <c r="BV224" i="1"/>
  <c r="BV223" i="1"/>
  <c r="BV222" i="1"/>
  <c r="BV221" i="1"/>
  <c r="FW207" i="1"/>
  <c r="FW206" i="1"/>
  <c r="FW205" i="1"/>
  <c r="FW204" i="1"/>
  <c r="FW201" i="1"/>
  <c r="BV201" i="1" s="1"/>
  <c r="FW196" i="1"/>
  <c r="BV196" i="1" s="1"/>
  <c r="FW198" i="1"/>
  <c r="BV198" i="1" s="1"/>
  <c r="FW195" i="1"/>
  <c r="BV195" i="1" s="1"/>
  <c r="FW129" i="1"/>
  <c r="BV129" i="1" s="1"/>
  <c r="FW130" i="1"/>
  <c r="BV130" i="1" s="1"/>
  <c r="FW128" i="1"/>
  <c r="BV128" i="1" s="1"/>
  <c r="FW127" i="1"/>
  <c r="BV127" i="1" s="1"/>
  <c r="BV205" i="1"/>
  <c r="BV207" i="1"/>
  <c r="BV206" i="1"/>
  <c r="FW79" i="1"/>
  <c r="BV79" i="1" s="1"/>
  <c r="FW78" i="1"/>
  <c r="BV78" i="1" s="1"/>
  <c r="FW77" i="1"/>
  <c r="BV77" i="1" s="1"/>
  <c r="FW76" i="1"/>
  <c r="BV76" i="1" s="1"/>
  <c r="FW61" i="1"/>
  <c r="BV61" i="1" s="1"/>
  <c r="FW92" i="1"/>
  <c r="BV92" i="1" s="1"/>
  <c r="FW91" i="1"/>
  <c r="BV91" i="1" s="1"/>
  <c r="FW90" i="1"/>
  <c r="BV90" i="1" s="1"/>
  <c r="BV190" i="1"/>
  <c r="BV187" i="1"/>
  <c r="BV188" i="1"/>
  <c r="BV153" i="1"/>
  <c r="BV189" i="1"/>
  <c r="BV150" i="1"/>
  <c r="BV152" i="1"/>
  <c r="BV151" i="1"/>
  <c r="FW188" i="1"/>
  <c r="FW190" i="1"/>
  <c r="FW187" i="1"/>
  <c r="FW189" i="1"/>
  <c r="FW178" i="1"/>
  <c r="BV178" i="1" s="1"/>
  <c r="FW152" i="1"/>
  <c r="FW153" i="1"/>
  <c r="FW151" i="1"/>
  <c r="FW150" i="1"/>
  <c r="FW99" i="1"/>
  <c r="FW103" i="1"/>
  <c r="FW97" i="1"/>
  <c r="FW100" i="1"/>
  <c r="FW149" i="1"/>
  <c r="FW102" i="1"/>
  <c r="FW98" i="1"/>
  <c r="FW101" i="1"/>
  <c r="FW104" i="1"/>
  <c r="BV97" i="1"/>
  <c r="BV100" i="1"/>
  <c r="BV101" i="1"/>
  <c r="BV98" i="1"/>
  <c r="BV99" i="1"/>
  <c r="BV102" i="1"/>
  <c r="BV104" i="1"/>
  <c r="BV103" i="1"/>
  <c r="FW80" i="1"/>
  <c r="BV80" i="1" s="1"/>
  <c r="FW158" i="1"/>
  <c r="BV158" i="1" s="1"/>
  <c r="FW120" i="1"/>
  <c r="BV120" i="1" s="1"/>
  <c r="FW67" i="1"/>
  <c r="BV67" i="1" s="1"/>
  <c r="FW109" i="1"/>
  <c r="BV109" i="1" s="1"/>
  <c r="FW162" i="1"/>
  <c r="BV162" i="1" s="1"/>
  <c r="FW113" i="1"/>
  <c r="BV113" i="1" s="1"/>
  <c r="FW64" i="1"/>
  <c r="BV64" i="1" s="1"/>
  <c r="FW62" i="1"/>
  <c r="BV62" i="1" s="1"/>
  <c r="FX56" i="1"/>
  <c r="FW58" i="1"/>
  <c r="BV58" i="1" s="1"/>
  <c r="BW56" i="1"/>
  <c r="BW35" i="1" l="1"/>
  <c r="BV125" i="1"/>
  <c r="BV147" i="1"/>
  <c r="FX184" i="1"/>
  <c r="BW184" i="1" s="1"/>
  <c r="FX183" i="1"/>
  <c r="BW183" i="1" s="1"/>
  <c r="FX181" i="1"/>
  <c r="BW181" i="1" s="1"/>
  <c r="FX179" i="1"/>
  <c r="BW179" i="1" s="1"/>
  <c r="FX180" i="1"/>
  <c r="BW180" i="1" s="1"/>
  <c r="FX182" i="1"/>
  <c r="BW182" i="1" s="1"/>
  <c r="FX163" i="1"/>
  <c r="BW163" i="1" s="1"/>
  <c r="FX177" i="1"/>
  <c r="BW177" i="1" s="1"/>
  <c r="FX176" i="1"/>
  <c r="BW176" i="1" s="1"/>
  <c r="FX175" i="1"/>
  <c r="BW175" i="1" s="1"/>
  <c r="FX174" i="1"/>
  <c r="BW174" i="1" s="1"/>
  <c r="FX161" i="1"/>
  <c r="BW161" i="1" s="1"/>
  <c r="FX171" i="1"/>
  <c r="BW171" i="1" s="1"/>
  <c r="FX170" i="1"/>
  <c r="BW170" i="1" s="1"/>
  <c r="FX168" i="1"/>
  <c r="BW168" i="1" s="1"/>
  <c r="FX169" i="1"/>
  <c r="BW169" i="1" s="1"/>
  <c r="FX166" i="1"/>
  <c r="BW166" i="1" s="1"/>
  <c r="FX164" i="1"/>
  <c r="BW164" i="1" s="1"/>
  <c r="FX167" i="1"/>
  <c r="BW167" i="1" s="1"/>
  <c r="FX165" i="1"/>
  <c r="BW165" i="1" s="1"/>
  <c r="FX137" i="1"/>
  <c r="BW137" i="1" s="1"/>
  <c r="FX136" i="1"/>
  <c r="BW136" i="1" s="1"/>
  <c r="FX146" i="1"/>
  <c r="BW146" i="1" s="1"/>
  <c r="FX145" i="1"/>
  <c r="BW145" i="1" s="1"/>
  <c r="FX144" i="1"/>
  <c r="BW144" i="1" s="1"/>
  <c r="FX143" i="1"/>
  <c r="BW143" i="1" s="1"/>
  <c r="FX142" i="1"/>
  <c r="BW142" i="1" s="1"/>
  <c r="FX141" i="1"/>
  <c r="BW141" i="1" s="1"/>
  <c r="FX139" i="1"/>
  <c r="BW139" i="1" s="1"/>
  <c r="FX140" i="1"/>
  <c r="BW140" i="1" s="1"/>
  <c r="FX131" i="1"/>
  <c r="BW131" i="1" s="1"/>
  <c r="FX133" i="1"/>
  <c r="BW133" i="1" s="1"/>
  <c r="FX132" i="1"/>
  <c r="BW132" i="1" s="1"/>
  <c r="FX138" i="1"/>
  <c r="BW138" i="1" s="1"/>
  <c r="FX135" i="1"/>
  <c r="BW135" i="1" s="1"/>
  <c r="FX134" i="1"/>
  <c r="BW134" i="1" s="1"/>
  <c r="FX124" i="1"/>
  <c r="BW124" i="1" s="1"/>
  <c r="FX123" i="1"/>
  <c r="BW123" i="1" s="1"/>
  <c r="FX115" i="1"/>
  <c r="BW115" i="1" s="1"/>
  <c r="FX121" i="1"/>
  <c r="BW121" i="1" s="1"/>
  <c r="FX122" i="1"/>
  <c r="BW122" i="1" s="1"/>
  <c r="FX118" i="1"/>
  <c r="BW118" i="1" s="1"/>
  <c r="FX119" i="1"/>
  <c r="BW119" i="1" s="1"/>
  <c r="FX117" i="1"/>
  <c r="BW117" i="1" s="1"/>
  <c r="FX114" i="1"/>
  <c r="BW114" i="1" s="1"/>
  <c r="FX116" i="1"/>
  <c r="BW116" i="1" s="1"/>
  <c r="FX112" i="1"/>
  <c r="BW112" i="1" s="1"/>
  <c r="FX94" i="1"/>
  <c r="BW94" i="1" s="1"/>
  <c r="FX89" i="1"/>
  <c r="BW89" i="1" s="1"/>
  <c r="FX88" i="1"/>
  <c r="BW88" i="1" s="1"/>
  <c r="FX87" i="1"/>
  <c r="BW87" i="1" s="1"/>
  <c r="FX86" i="1"/>
  <c r="BW86" i="1" s="1"/>
  <c r="FX81" i="1"/>
  <c r="BW81" i="1" s="1"/>
  <c r="FX85" i="1"/>
  <c r="BW85" i="1" s="1"/>
  <c r="FX84" i="1"/>
  <c r="BW84" i="1" s="1"/>
  <c r="FX82" i="1"/>
  <c r="BW82" i="1" s="1"/>
  <c r="FX83" i="1"/>
  <c r="BW83" i="1" s="1"/>
  <c r="FX66" i="1"/>
  <c r="BW66" i="1" s="1"/>
  <c r="FX72" i="1"/>
  <c r="BW72" i="1" s="1"/>
  <c r="FX73" i="1"/>
  <c r="BW73" i="1" s="1"/>
  <c r="FX71" i="1"/>
  <c r="BW71" i="1" s="1"/>
  <c r="FX70" i="1"/>
  <c r="BW70" i="1" s="1"/>
  <c r="FX69" i="1"/>
  <c r="BW69" i="1" s="1"/>
  <c r="FX68" i="1"/>
  <c r="BW68" i="1" s="1"/>
  <c r="FX65" i="1"/>
  <c r="BW65" i="1" s="1"/>
  <c r="FX63" i="1"/>
  <c r="BW63" i="1" s="1"/>
  <c r="FX44" i="1"/>
  <c r="FX32" i="1"/>
  <c r="BW32" i="1" s="1"/>
  <c r="FX31" i="1"/>
  <c r="BW31" i="1" s="1"/>
  <c r="FX232" i="1"/>
  <c r="FX233" i="1"/>
  <c r="BW233" i="1"/>
  <c r="BW232" i="1"/>
  <c r="FX93" i="1"/>
  <c r="BW93" i="1" s="1"/>
  <c r="FX229" i="1"/>
  <c r="FX235" i="1"/>
  <c r="FX159" i="1"/>
  <c r="BW159" i="1" s="1"/>
  <c r="FX60" i="1"/>
  <c r="BW60" i="1" s="1"/>
  <c r="FX160" i="1"/>
  <c r="BW160" i="1" s="1"/>
  <c r="FX59" i="1"/>
  <c r="BW59" i="1" s="1"/>
  <c r="BW236" i="1"/>
  <c r="BW229" i="1"/>
  <c r="BW235" i="1"/>
  <c r="FX111" i="1"/>
  <c r="BW111" i="1" s="1"/>
  <c r="FX110" i="1"/>
  <c r="BW110" i="1" s="1"/>
  <c r="FX236" i="1"/>
  <c r="FX218" i="1"/>
  <c r="BW218" i="1" s="1"/>
  <c r="FX234" i="1"/>
  <c r="FX231" i="1"/>
  <c r="FX230" i="1"/>
  <c r="BW234" i="1"/>
  <c r="BW231" i="1"/>
  <c r="BW230" i="1"/>
  <c r="FY30" i="1"/>
  <c r="FY35" i="1" s="1"/>
  <c r="FX42" i="1"/>
  <c r="FX38" i="1"/>
  <c r="FX41" i="1"/>
  <c r="FX45" i="1"/>
  <c r="FX46" i="1"/>
  <c r="FX40" i="1"/>
  <c r="FX43" i="1"/>
  <c r="FX39" i="1"/>
  <c r="BW41" i="1"/>
  <c r="BW45" i="1"/>
  <c r="BW42" i="1"/>
  <c r="BX30" i="1"/>
  <c r="BX44" i="1" s="1"/>
  <c r="BW43" i="1"/>
  <c r="FX197" i="1"/>
  <c r="BW197" i="1" s="1"/>
  <c r="FX224" i="1"/>
  <c r="FX222" i="1"/>
  <c r="FX221" i="1"/>
  <c r="FX223" i="1"/>
  <c r="FX213" i="1"/>
  <c r="BW213" i="1" s="1"/>
  <c r="FX212" i="1"/>
  <c r="BW212" i="1" s="1"/>
  <c r="FX215" i="1"/>
  <c r="BW215" i="1" s="1"/>
  <c r="FX214" i="1"/>
  <c r="BW214" i="1" s="1"/>
  <c r="BW222" i="1"/>
  <c r="BW224" i="1"/>
  <c r="BW223" i="1"/>
  <c r="BW221" i="1"/>
  <c r="FX207" i="1"/>
  <c r="FX206" i="1"/>
  <c r="FX205" i="1"/>
  <c r="FX204" i="1"/>
  <c r="FX201" i="1"/>
  <c r="BW201" i="1" s="1"/>
  <c r="FX198" i="1"/>
  <c r="BW198" i="1" s="1"/>
  <c r="FX195" i="1"/>
  <c r="BW195" i="1" s="1"/>
  <c r="FX196" i="1"/>
  <c r="BW196" i="1" s="1"/>
  <c r="FX129" i="1"/>
  <c r="BW129" i="1" s="1"/>
  <c r="FX130" i="1"/>
  <c r="BW130" i="1" s="1"/>
  <c r="FX128" i="1"/>
  <c r="BW128" i="1" s="1"/>
  <c r="FX127" i="1"/>
  <c r="BW127" i="1" s="1"/>
  <c r="BW207" i="1"/>
  <c r="BW206" i="1"/>
  <c r="BW205" i="1"/>
  <c r="FX79" i="1"/>
  <c r="BW79" i="1" s="1"/>
  <c r="FX78" i="1"/>
  <c r="BW78" i="1" s="1"/>
  <c r="FX77" i="1"/>
  <c r="BW77" i="1" s="1"/>
  <c r="FX76" i="1"/>
  <c r="BW76" i="1" s="1"/>
  <c r="FX92" i="1"/>
  <c r="BW92" i="1" s="1"/>
  <c r="FX91" i="1"/>
  <c r="BW91" i="1" s="1"/>
  <c r="FX90" i="1"/>
  <c r="BW90" i="1" s="1"/>
  <c r="FX61" i="1"/>
  <c r="BW61" i="1" s="1"/>
  <c r="BW189" i="1"/>
  <c r="BW190" i="1"/>
  <c r="BW188" i="1"/>
  <c r="BW187" i="1"/>
  <c r="BW150" i="1"/>
  <c r="BW151" i="1"/>
  <c r="BW153" i="1"/>
  <c r="BW152" i="1"/>
  <c r="FX189" i="1"/>
  <c r="FX190" i="1"/>
  <c r="FX188" i="1"/>
  <c r="FX187" i="1"/>
  <c r="FX178" i="1"/>
  <c r="BW178" i="1" s="1"/>
  <c r="FX150" i="1"/>
  <c r="FX152" i="1"/>
  <c r="FX151" i="1"/>
  <c r="FX98" i="1"/>
  <c r="FX102" i="1"/>
  <c r="FX149" i="1"/>
  <c r="FX101" i="1"/>
  <c r="FX153" i="1"/>
  <c r="FX97" i="1"/>
  <c r="FX100" i="1"/>
  <c r="FX99" i="1"/>
  <c r="FX104" i="1"/>
  <c r="FX103" i="1"/>
  <c r="BW98" i="1"/>
  <c r="BW97" i="1"/>
  <c r="BW100" i="1"/>
  <c r="BW102" i="1"/>
  <c r="BW99" i="1"/>
  <c r="BW103" i="1"/>
  <c r="BW104" i="1"/>
  <c r="BW101" i="1"/>
  <c r="FX80" i="1"/>
  <c r="BW80" i="1" s="1"/>
  <c r="FX158" i="1"/>
  <c r="BW158" i="1" s="1"/>
  <c r="FX120" i="1"/>
  <c r="BW120" i="1" s="1"/>
  <c r="FX67" i="1"/>
  <c r="BW67" i="1" s="1"/>
  <c r="FX109" i="1"/>
  <c r="BW109" i="1" s="1"/>
  <c r="FX162" i="1"/>
  <c r="BW162" i="1" s="1"/>
  <c r="FX113" i="1"/>
  <c r="BW113" i="1" s="1"/>
  <c r="FX64" i="1"/>
  <c r="BW64" i="1" s="1"/>
  <c r="FY56" i="1"/>
  <c r="FX58" i="1"/>
  <c r="BW58" i="1" s="1"/>
  <c r="FX62" i="1"/>
  <c r="BW62" i="1" s="1"/>
  <c r="BX56" i="1"/>
  <c r="BX35" i="1" l="1"/>
  <c r="BW125" i="1"/>
  <c r="BW147" i="1"/>
  <c r="FY184" i="1"/>
  <c r="BX184" i="1" s="1"/>
  <c r="FY179" i="1"/>
  <c r="BX179" i="1" s="1"/>
  <c r="FY180" i="1"/>
  <c r="BX180" i="1" s="1"/>
  <c r="FY181" i="1"/>
  <c r="BX181" i="1" s="1"/>
  <c r="FY183" i="1"/>
  <c r="BX183" i="1" s="1"/>
  <c r="FY182" i="1"/>
  <c r="BX182" i="1" s="1"/>
  <c r="FY163" i="1"/>
  <c r="BX163" i="1" s="1"/>
  <c r="FY176" i="1"/>
  <c r="BX176" i="1" s="1"/>
  <c r="FY177" i="1"/>
  <c r="BX177" i="1" s="1"/>
  <c r="FY174" i="1"/>
  <c r="BX174" i="1" s="1"/>
  <c r="FY175" i="1"/>
  <c r="BX175" i="1" s="1"/>
  <c r="FY161" i="1"/>
  <c r="BX161" i="1" s="1"/>
  <c r="FY171" i="1"/>
  <c r="BX171" i="1" s="1"/>
  <c r="FY168" i="1"/>
  <c r="BX168" i="1" s="1"/>
  <c r="FY170" i="1"/>
  <c r="BX170" i="1" s="1"/>
  <c r="FY166" i="1"/>
  <c r="BX166" i="1" s="1"/>
  <c r="FY167" i="1"/>
  <c r="BX167" i="1" s="1"/>
  <c r="FY169" i="1"/>
  <c r="BX169" i="1" s="1"/>
  <c r="FY165" i="1"/>
  <c r="BX165" i="1" s="1"/>
  <c r="FY164" i="1"/>
  <c r="BX164" i="1" s="1"/>
  <c r="FY137" i="1"/>
  <c r="BX137" i="1" s="1"/>
  <c r="FY136" i="1"/>
  <c r="BX136" i="1" s="1"/>
  <c r="FY145" i="1"/>
  <c r="BX145" i="1" s="1"/>
  <c r="FY146" i="1"/>
  <c r="BX146" i="1" s="1"/>
  <c r="FY142" i="1"/>
  <c r="BX142" i="1" s="1"/>
  <c r="FY143" i="1"/>
  <c r="BX143" i="1" s="1"/>
  <c r="FY139" i="1"/>
  <c r="BX139" i="1" s="1"/>
  <c r="FY144" i="1"/>
  <c r="BX144" i="1" s="1"/>
  <c r="FY140" i="1"/>
  <c r="BX140" i="1" s="1"/>
  <c r="FY141" i="1"/>
  <c r="BX141" i="1" s="1"/>
  <c r="FY131" i="1"/>
  <c r="BX131" i="1" s="1"/>
  <c r="FY133" i="1"/>
  <c r="BX133" i="1" s="1"/>
  <c r="FY132" i="1"/>
  <c r="BX132" i="1" s="1"/>
  <c r="FY135" i="1"/>
  <c r="BX135" i="1" s="1"/>
  <c r="FY138" i="1"/>
  <c r="BX138" i="1" s="1"/>
  <c r="FY134" i="1"/>
  <c r="BX134" i="1" s="1"/>
  <c r="FY123" i="1"/>
  <c r="BX123" i="1" s="1"/>
  <c r="FY124" i="1"/>
  <c r="BX124" i="1" s="1"/>
  <c r="FY115" i="1"/>
  <c r="BX115" i="1" s="1"/>
  <c r="FY121" i="1"/>
  <c r="BX121" i="1" s="1"/>
  <c r="FY122" i="1"/>
  <c r="BX122" i="1" s="1"/>
  <c r="FY118" i="1"/>
  <c r="BX118" i="1" s="1"/>
  <c r="FY119" i="1"/>
  <c r="BX119" i="1" s="1"/>
  <c r="FY117" i="1"/>
  <c r="BX117" i="1" s="1"/>
  <c r="FY114" i="1"/>
  <c r="BX114" i="1" s="1"/>
  <c r="FY116" i="1"/>
  <c r="BX116" i="1" s="1"/>
  <c r="FY112" i="1"/>
  <c r="BX112" i="1" s="1"/>
  <c r="FY94" i="1"/>
  <c r="BX94" i="1" s="1"/>
  <c r="FY88" i="1"/>
  <c r="BX88" i="1" s="1"/>
  <c r="FY87" i="1"/>
  <c r="BX87" i="1" s="1"/>
  <c r="FY89" i="1"/>
  <c r="BX89" i="1" s="1"/>
  <c r="FY86" i="1"/>
  <c r="BX86" i="1" s="1"/>
  <c r="FY81" i="1"/>
  <c r="BX81" i="1" s="1"/>
  <c r="FY84" i="1"/>
  <c r="BX84" i="1" s="1"/>
  <c r="FY85" i="1"/>
  <c r="BX85" i="1" s="1"/>
  <c r="FY83" i="1"/>
  <c r="BX83" i="1" s="1"/>
  <c r="FY82" i="1"/>
  <c r="BX82" i="1" s="1"/>
  <c r="FY66" i="1"/>
  <c r="BX66" i="1" s="1"/>
  <c r="FY73" i="1"/>
  <c r="BX73" i="1" s="1"/>
  <c r="FY69" i="1"/>
  <c r="BX69" i="1" s="1"/>
  <c r="FY72" i="1"/>
  <c r="BX72" i="1" s="1"/>
  <c r="FY68" i="1"/>
  <c r="BX68" i="1" s="1"/>
  <c r="FY71" i="1"/>
  <c r="BX71" i="1" s="1"/>
  <c r="FY70" i="1"/>
  <c r="BX70" i="1" s="1"/>
  <c r="FY65" i="1"/>
  <c r="BX65" i="1" s="1"/>
  <c r="FY63" i="1"/>
  <c r="BX63" i="1" s="1"/>
  <c r="FY44" i="1"/>
  <c r="FY32" i="1"/>
  <c r="BX32" i="1" s="1"/>
  <c r="FY31" i="1"/>
  <c r="BX31" i="1" s="1"/>
  <c r="BX233" i="1"/>
  <c r="BX232" i="1"/>
  <c r="FY232" i="1"/>
  <c r="FY233" i="1"/>
  <c r="FY93" i="1"/>
  <c r="BX93" i="1" s="1"/>
  <c r="BX236" i="1"/>
  <c r="BX235" i="1"/>
  <c r="BX229" i="1"/>
  <c r="FY235" i="1"/>
  <c r="FY229" i="1"/>
  <c r="FY160" i="1"/>
  <c r="BX160" i="1" s="1"/>
  <c r="FY59" i="1"/>
  <c r="BX59" i="1" s="1"/>
  <c r="FY60" i="1"/>
  <c r="BX60" i="1" s="1"/>
  <c r="FY159" i="1"/>
  <c r="BX159" i="1" s="1"/>
  <c r="FY110" i="1"/>
  <c r="BX110" i="1" s="1"/>
  <c r="FY236" i="1"/>
  <c r="FY111" i="1"/>
  <c r="BX111" i="1" s="1"/>
  <c r="BX234" i="1"/>
  <c r="BX231" i="1"/>
  <c r="BX230" i="1"/>
  <c r="FY218" i="1"/>
  <c r="BX218" i="1" s="1"/>
  <c r="FY231" i="1"/>
  <c r="FY230" i="1"/>
  <c r="FY234" i="1"/>
  <c r="FY39" i="1"/>
  <c r="FZ30" i="1"/>
  <c r="FZ35" i="1" s="1"/>
  <c r="FY46" i="1"/>
  <c r="FY41" i="1"/>
  <c r="FY42" i="1"/>
  <c r="FY40" i="1"/>
  <c r="FY38" i="1"/>
  <c r="FY45" i="1"/>
  <c r="FY43" i="1"/>
  <c r="BX45" i="1"/>
  <c r="BY30" i="1"/>
  <c r="BY44" i="1" s="1"/>
  <c r="BX42" i="1"/>
  <c r="BX43" i="1"/>
  <c r="BX41" i="1"/>
  <c r="BX222" i="1"/>
  <c r="BX221" i="1"/>
  <c r="BX224" i="1"/>
  <c r="BX223" i="1"/>
  <c r="FY197" i="1"/>
  <c r="BX197" i="1" s="1"/>
  <c r="FY223" i="1"/>
  <c r="FY224" i="1"/>
  <c r="FY222" i="1"/>
  <c r="FY215" i="1"/>
  <c r="BX215" i="1" s="1"/>
  <c r="FY221" i="1"/>
  <c r="FY214" i="1"/>
  <c r="BX214" i="1" s="1"/>
  <c r="FY213" i="1"/>
  <c r="BX213" i="1" s="1"/>
  <c r="FY212" i="1"/>
  <c r="BX212" i="1" s="1"/>
  <c r="BX207" i="1"/>
  <c r="BX206" i="1"/>
  <c r="BX205" i="1"/>
  <c r="FY205" i="1"/>
  <c r="FY207" i="1"/>
  <c r="FY206" i="1"/>
  <c r="FY201" i="1"/>
  <c r="BX201" i="1" s="1"/>
  <c r="FY204" i="1"/>
  <c r="FY198" i="1"/>
  <c r="BX198" i="1" s="1"/>
  <c r="FY195" i="1"/>
  <c r="BX195" i="1" s="1"/>
  <c r="FY196" i="1"/>
  <c r="BX196" i="1" s="1"/>
  <c r="FY130" i="1"/>
  <c r="BX130" i="1" s="1"/>
  <c r="FY128" i="1"/>
  <c r="BX128" i="1" s="1"/>
  <c r="FY127" i="1"/>
  <c r="BX127" i="1" s="1"/>
  <c r="FY129" i="1"/>
  <c r="BX129" i="1" s="1"/>
  <c r="FY78" i="1"/>
  <c r="BX78" i="1" s="1"/>
  <c r="FY79" i="1"/>
  <c r="BX79" i="1" s="1"/>
  <c r="FY61" i="1"/>
  <c r="BX61" i="1" s="1"/>
  <c r="FY76" i="1"/>
  <c r="BX76" i="1" s="1"/>
  <c r="FY77" i="1"/>
  <c r="BX77" i="1" s="1"/>
  <c r="FY92" i="1"/>
  <c r="BX92" i="1" s="1"/>
  <c r="FY90" i="1"/>
  <c r="BX90" i="1" s="1"/>
  <c r="FY91" i="1"/>
  <c r="BX91" i="1" s="1"/>
  <c r="FY190" i="1"/>
  <c r="FY188" i="1"/>
  <c r="FY178" i="1"/>
  <c r="BX178" i="1" s="1"/>
  <c r="FY189" i="1"/>
  <c r="FY187" i="1"/>
  <c r="BX190" i="1"/>
  <c r="BX188" i="1"/>
  <c r="BX187" i="1"/>
  <c r="BX189" i="1"/>
  <c r="BX150" i="1"/>
  <c r="BX152" i="1"/>
  <c r="BX151" i="1"/>
  <c r="BX153" i="1"/>
  <c r="FY153" i="1"/>
  <c r="FY152" i="1"/>
  <c r="FY151" i="1"/>
  <c r="FY150" i="1"/>
  <c r="FY97" i="1"/>
  <c r="FY101" i="1"/>
  <c r="FY98" i="1"/>
  <c r="FY100" i="1"/>
  <c r="FY103" i="1"/>
  <c r="FY149" i="1"/>
  <c r="FY102" i="1"/>
  <c r="FY104" i="1"/>
  <c r="FY99" i="1"/>
  <c r="BX99" i="1"/>
  <c r="BX98" i="1"/>
  <c r="BX97" i="1"/>
  <c r="BX103" i="1"/>
  <c r="BX101" i="1"/>
  <c r="BX102" i="1"/>
  <c r="BX100" i="1"/>
  <c r="BX104" i="1"/>
  <c r="FY80" i="1"/>
  <c r="BX80" i="1" s="1"/>
  <c r="FY158" i="1"/>
  <c r="BX158" i="1" s="1"/>
  <c r="FY120" i="1"/>
  <c r="BX120" i="1" s="1"/>
  <c r="FY67" i="1"/>
  <c r="BX67" i="1" s="1"/>
  <c r="FY109" i="1"/>
  <c r="BX109" i="1" s="1"/>
  <c r="FY162" i="1"/>
  <c r="BX162" i="1" s="1"/>
  <c r="FY113" i="1"/>
  <c r="BX113" i="1" s="1"/>
  <c r="FY58" i="1"/>
  <c r="BX58" i="1" s="1"/>
  <c r="FY62" i="1"/>
  <c r="BX62" i="1" s="1"/>
  <c r="FY64" i="1"/>
  <c r="BX64" i="1" s="1"/>
  <c r="FZ56" i="1"/>
  <c r="BY56" i="1"/>
  <c r="BY35" i="1" l="1"/>
  <c r="BX125" i="1"/>
  <c r="BX147" i="1"/>
  <c r="FZ184" i="1"/>
  <c r="BY184" i="1" s="1"/>
  <c r="FZ182" i="1"/>
  <c r="BY182" i="1" s="1"/>
  <c r="FZ183" i="1"/>
  <c r="BY183" i="1" s="1"/>
  <c r="FZ181" i="1"/>
  <c r="BY181" i="1" s="1"/>
  <c r="FZ180" i="1"/>
  <c r="BY180" i="1" s="1"/>
  <c r="FZ179" i="1"/>
  <c r="BY179" i="1" s="1"/>
  <c r="FZ163" i="1"/>
  <c r="BY163" i="1" s="1"/>
  <c r="FZ176" i="1"/>
  <c r="BY176" i="1" s="1"/>
  <c r="FZ177" i="1"/>
  <c r="BY177" i="1" s="1"/>
  <c r="FZ175" i="1"/>
  <c r="BY175" i="1" s="1"/>
  <c r="FZ174" i="1"/>
  <c r="BY174" i="1" s="1"/>
  <c r="FZ161" i="1"/>
  <c r="BY161" i="1" s="1"/>
  <c r="FZ170" i="1"/>
  <c r="BY170" i="1" s="1"/>
  <c r="FZ171" i="1"/>
  <c r="BY171" i="1" s="1"/>
  <c r="FZ169" i="1"/>
  <c r="BY169" i="1" s="1"/>
  <c r="FZ167" i="1"/>
  <c r="BY167" i="1" s="1"/>
  <c r="FZ165" i="1"/>
  <c r="BY165" i="1" s="1"/>
  <c r="FZ168" i="1"/>
  <c r="BY168" i="1" s="1"/>
  <c r="FZ166" i="1"/>
  <c r="BY166" i="1" s="1"/>
  <c r="FZ164" i="1"/>
  <c r="BY164" i="1" s="1"/>
  <c r="FZ137" i="1"/>
  <c r="BY137" i="1" s="1"/>
  <c r="FZ136" i="1"/>
  <c r="BY136" i="1" s="1"/>
  <c r="FZ146" i="1"/>
  <c r="BY146" i="1" s="1"/>
  <c r="FZ145" i="1"/>
  <c r="BY145" i="1" s="1"/>
  <c r="FZ144" i="1"/>
  <c r="BY144" i="1" s="1"/>
  <c r="FZ143" i="1"/>
  <c r="BY143" i="1" s="1"/>
  <c r="FZ141" i="1"/>
  <c r="BY141" i="1" s="1"/>
  <c r="FZ142" i="1"/>
  <c r="BY142" i="1" s="1"/>
  <c r="FZ140" i="1"/>
  <c r="BY140" i="1" s="1"/>
  <c r="FZ139" i="1"/>
  <c r="BY139" i="1" s="1"/>
  <c r="FZ131" i="1"/>
  <c r="BY131" i="1" s="1"/>
  <c r="FZ132" i="1"/>
  <c r="BY132" i="1" s="1"/>
  <c r="FZ133" i="1"/>
  <c r="BY133" i="1" s="1"/>
  <c r="FZ135" i="1"/>
  <c r="BY135" i="1" s="1"/>
  <c r="FZ138" i="1"/>
  <c r="BY138" i="1" s="1"/>
  <c r="FZ134" i="1"/>
  <c r="BY134" i="1" s="1"/>
  <c r="FZ123" i="1"/>
  <c r="BY123" i="1" s="1"/>
  <c r="FZ124" i="1"/>
  <c r="BY124" i="1" s="1"/>
  <c r="FZ115" i="1"/>
  <c r="BY115" i="1" s="1"/>
  <c r="FZ122" i="1"/>
  <c r="BY122" i="1" s="1"/>
  <c r="FZ121" i="1"/>
  <c r="BY121" i="1" s="1"/>
  <c r="FZ119" i="1"/>
  <c r="BY119" i="1" s="1"/>
  <c r="FZ117" i="1"/>
  <c r="BY117" i="1" s="1"/>
  <c r="FZ118" i="1"/>
  <c r="BY118" i="1" s="1"/>
  <c r="FZ114" i="1"/>
  <c r="BY114" i="1" s="1"/>
  <c r="FZ116" i="1"/>
  <c r="BY116" i="1" s="1"/>
  <c r="FZ112" i="1"/>
  <c r="BY112" i="1" s="1"/>
  <c r="FZ94" i="1"/>
  <c r="BY94" i="1" s="1"/>
  <c r="FZ89" i="1"/>
  <c r="BY89" i="1" s="1"/>
  <c r="FZ87" i="1"/>
  <c r="BY87" i="1" s="1"/>
  <c r="FZ86" i="1"/>
  <c r="BY86" i="1" s="1"/>
  <c r="FZ88" i="1"/>
  <c r="BY88" i="1" s="1"/>
  <c r="FZ81" i="1"/>
  <c r="BY81" i="1" s="1"/>
  <c r="FZ84" i="1"/>
  <c r="BY84" i="1" s="1"/>
  <c r="FZ85" i="1"/>
  <c r="BY85" i="1" s="1"/>
  <c r="FZ83" i="1"/>
  <c r="BY83" i="1" s="1"/>
  <c r="FZ82" i="1"/>
  <c r="BY82" i="1" s="1"/>
  <c r="FZ66" i="1"/>
  <c r="BY66" i="1" s="1"/>
  <c r="FZ73" i="1"/>
  <c r="BY73" i="1" s="1"/>
  <c r="FZ72" i="1"/>
  <c r="BY72" i="1" s="1"/>
  <c r="FZ68" i="1"/>
  <c r="BY68" i="1" s="1"/>
  <c r="FZ71" i="1"/>
  <c r="BY71" i="1" s="1"/>
  <c r="FZ70" i="1"/>
  <c r="BY70" i="1" s="1"/>
  <c r="FZ69" i="1"/>
  <c r="BY69" i="1" s="1"/>
  <c r="FZ65" i="1"/>
  <c r="BY65" i="1" s="1"/>
  <c r="FZ63" i="1"/>
  <c r="BY63" i="1" s="1"/>
  <c r="FZ44" i="1"/>
  <c r="FZ31" i="1"/>
  <c r="BY31" i="1" s="1"/>
  <c r="FZ32" i="1"/>
  <c r="BY32" i="1" s="1"/>
  <c r="BY233" i="1"/>
  <c r="BY232" i="1"/>
  <c r="FZ232" i="1"/>
  <c r="FZ233" i="1"/>
  <c r="FZ93" i="1"/>
  <c r="BY93" i="1" s="1"/>
  <c r="FZ235" i="1"/>
  <c r="FZ229" i="1"/>
  <c r="FZ159" i="1"/>
  <c r="BY159" i="1" s="1"/>
  <c r="FZ60" i="1"/>
  <c r="BY60" i="1" s="1"/>
  <c r="FZ59" i="1"/>
  <c r="BY59" i="1" s="1"/>
  <c r="FZ160" i="1"/>
  <c r="BY160" i="1" s="1"/>
  <c r="BY236" i="1"/>
  <c r="BY235" i="1"/>
  <c r="BY229" i="1"/>
  <c r="FZ236" i="1"/>
  <c r="FZ110" i="1"/>
  <c r="BY110" i="1" s="1"/>
  <c r="FZ111" i="1"/>
  <c r="BY111" i="1" s="1"/>
  <c r="BY234" i="1"/>
  <c r="BY230" i="1"/>
  <c r="BY231" i="1"/>
  <c r="FZ218" i="1"/>
  <c r="BY218" i="1" s="1"/>
  <c r="FZ231" i="1"/>
  <c r="FZ234" i="1"/>
  <c r="FZ230" i="1"/>
  <c r="FZ41" i="1"/>
  <c r="FZ40" i="1"/>
  <c r="FZ43" i="1"/>
  <c r="FZ45" i="1"/>
  <c r="FZ39" i="1"/>
  <c r="GA30" i="1"/>
  <c r="GA35" i="1" s="1"/>
  <c r="FZ46" i="1"/>
  <c r="FZ42" i="1"/>
  <c r="FZ38" i="1"/>
  <c r="BY45" i="1"/>
  <c r="BZ30" i="1"/>
  <c r="BZ44" i="1" s="1"/>
  <c r="BY42" i="1"/>
  <c r="BY41" i="1"/>
  <c r="BY43" i="1"/>
  <c r="FZ197" i="1"/>
  <c r="BY197" i="1" s="1"/>
  <c r="FZ224" i="1"/>
  <c r="FZ223" i="1"/>
  <c r="FZ222" i="1"/>
  <c r="FZ221" i="1"/>
  <c r="FZ214" i="1"/>
  <c r="BY214" i="1" s="1"/>
  <c r="FZ215" i="1"/>
  <c r="BY215" i="1" s="1"/>
  <c r="FZ213" i="1"/>
  <c r="BY213" i="1" s="1"/>
  <c r="FZ212" i="1"/>
  <c r="BY212" i="1" s="1"/>
  <c r="BY224" i="1"/>
  <c r="BY223" i="1"/>
  <c r="BY221" i="1"/>
  <c r="BY222" i="1"/>
  <c r="FZ207" i="1"/>
  <c r="FZ206" i="1"/>
  <c r="FZ204" i="1"/>
  <c r="FZ205" i="1"/>
  <c r="FZ201" i="1"/>
  <c r="BY201" i="1" s="1"/>
  <c r="FZ198" i="1"/>
  <c r="BY198" i="1" s="1"/>
  <c r="FZ195" i="1"/>
  <c r="BY195" i="1" s="1"/>
  <c r="FZ196" i="1"/>
  <c r="BY196" i="1" s="1"/>
  <c r="FZ128" i="1"/>
  <c r="BY128" i="1" s="1"/>
  <c r="FZ127" i="1"/>
  <c r="BY127" i="1" s="1"/>
  <c r="FZ130" i="1"/>
  <c r="BY130" i="1" s="1"/>
  <c r="FZ129" i="1"/>
  <c r="BY129" i="1" s="1"/>
  <c r="BY207" i="1"/>
  <c r="BY206" i="1"/>
  <c r="BY205" i="1"/>
  <c r="FZ78" i="1"/>
  <c r="BY78" i="1" s="1"/>
  <c r="FZ79" i="1"/>
  <c r="BY79" i="1" s="1"/>
  <c r="FZ61" i="1"/>
  <c r="BY61" i="1" s="1"/>
  <c r="FZ77" i="1"/>
  <c r="BY77" i="1" s="1"/>
  <c r="FZ76" i="1"/>
  <c r="BY76" i="1" s="1"/>
  <c r="FZ92" i="1"/>
  <c r="BY92" i="1" s="1"/>
  <c r="FZ90" i="1"/>
  <c r="BY90" i="1" s="1"/>
  <c r="FZ91" i="1"/>
  <c r="BY91" i="1" s="1"/>
  <c r="FZ190" i="1"/>
  <c r="FZ189" i="1"/>
  <c r="FZ187" i="1"/>
  <c r="FZ188" i="1"/>
  <c r="FZ178" i="1"/>
  <c r="BY178" i="1" s="1"/>
  <c r="BY189" i="1"/>
  <c r="BY188" i="1"/>
  <c r="BY187" i="1"/>
  <c r="BY190" i="1"/>
  <c r="BY151" i="1"/>
  <c r="BY152" i="1"/>
  <c r="BY150" i="1"/>
  <c r="BY153" i="1"/>
  <c r="FZ151" i="1"/>
  <c r="FZ153" i="1"/>
  <c r="FZ150" i="1"/>
  <c r="FZ152" i="1"/>
  <c r="FZ149" i="1"/>
  <c r="FZ100" i="1"/>
  <c r="FZ99" i="1"/>
  <c r="FZ102" i="1"/>
  <c r="FZ98" i="1"/>
  <c r="FZ101" i="1"/>
  <c r="FZ97" i="1"/>
  <c r="FZ104" i="1"/>
  <c r="FZ103" i="1"/>
  <c r="BY100" i="1"/>
  <c r="BY99" i="1"/>
  <c r="BY104" i="1"/>
  <c r="BY97" i="1"/>
  <c r="BY101" i="1"/>
  <c r="BY102" i="1"/>
  <c r="BY103" i="1"/>
  <c r="BY98" i="1"/>
  <c r="FZ80" i="1"/>
  <c r="BY80" i="1" s="1"/>
  <c r="FZ158" i="1"/>
  <c r="BY158" i="1" s="1"/>
  <c r="FZ120" i="1"/>
  <c r="BY120" i="1" s="1"/>
  <c r="FZ67" i="1"/>
  <c r="BY67" i="1" s="1"/>
  <c r="FZ109" i="1"/>
  <c r="BY109" i="1" s="1"/>
  <c r="FZ162" i="1"/>
  <c r="BY162" i="1" s="1"/>
  <c r="FZ113" i="1"/>
  <c r="BY113" i="1" s="1"/>
  <c r="FZ58" i="1"/>
  <c r="BY58" i="1" s="1"/>
  <c r="FZ64" i="1"/>
  <c r="BY64" i="1" s="1"/>
  <c r="FZ62" i="1"/>
  <c r="BY62" i="1" s="1"/>
  <c r="GA56" i="1"/>
  <c r="BZ56" i="1"/>
  <c r="BZ35" i="1" l="1"/>
  <c r="BY125" i="1"/>
  <c r="BY147" i="1"/>
  <c r="GA184" i="1"/>
  <c r="BZ184" i="1" s="1"/>
  <c r="GA183" i="1"/>
  <c r="BZ183" i="1" s="1"/>
  <c r="GA180" i="1"/>
  <c r="BZ180" i="1" s="1"/>
  <c r="GA182" i="1"/>
  <c r="BZ182" i="1" s="1"/>
  <c r="GA179" i="1"/>
  <c r="BZ179" i="1" s="1"/>
  <c r="GA181" i="1"/>
  <c r="BZ181" i="1" s="1"/>
  <c r="GA163" i="1"/>
  <c r="BZ163" i="1" s="1"/>
  <c r="GA177" i="1"/>
  <c r="BZ177" i="1" s="1"/>
  <c r="GA176" i="1"/>
  <c r="BZ176" i="1" s="1"/>
  <c r="GA175" i="1"/>
  <c r="BZ175" i="1" s="1"/>
  <c r="GA174" i="1"/>
  <c r="BZ174" i="1" s="1"/>
  <c r="GA161" i="1"/>
  <c r="BZ161" i="1" s="1"/>
  <c r="GA171" i="1"/>
  <c r="BZ171" i="1" s="1"/>
  <c r="GA169" i="1"/>
  <c r="BZ169" i="1" s="1"/>
  <c r="GA168" i="1"/>
  <c r="BZ168" i="1" s="1"/>
  <c r="GA167" i="1"/>
  <c r="BZ167" i="1" s="1"/>
  <c r="GA170" i="1"/>
  <c r="BZ170" i="1" s="1"/>
  <c r="GA165" i="1"/>
  <c r="BZ165" i="1" s="1"/>
  <c r="GA166" i="1"/>
  <c r="BZ166" i="1" s="1"/>
  <c r="GA164" i="1"/>
  <c r="BZ164" i="1" s="1"/>
  <c r="GA137" i="1"/>
  <c r="BZ137" i="1" s="1"/>
  <c r="GA136" i="1"/>
  <c r="BZ136" i="1" s="1"/>
  <c r="GA146" i="1"/>
  <c r="BZ146" i="1" s="1"/>
  <c r="GA145" i="1"/>
  <c r="BZ145" i="1" s="1"/>
  <c r="GA144" i="1"/>
  <c r="BZ144" i="1" s="1"/>
  <c r="GA143" i="1"/>
  <c r="BZ143" i="1" s="1"/>
  <c r="GA141" i="1"/>
  <c r="BZ141" i="1" s="1"/>
  <c r="GA140" i="1"/>
  <c r="BZ140" i="1" s="1"/>
  <c r="GA139" i="1"/>
  <c r="BZ139" i="1" s="1"/>
  <c r="GA142" i="1"/>
  <c r="BZ142" i="1" s="1"/>
  <c r="GA131" i="1"/>
  <c r="BZ131" i="1" s="1"/>
  <c r="GA132" i="1"/>
  <c r="BZ132" i="1" s="1"/>
  <c r="GA133" i="1"/>
  <c r="BZ133" i="1" s="1"/>
  <c r="GA138" i="1"/>
  <c r="BZ138" i="1" s="1"/>
  <c r="GA134" i="1"/>
  <c r="BZ134" i="1" s="1"/>
  <c r="GA135" i="1"/>
  <c r="BZ135" i="1" s="1"/>
  <c r="GA124" i="1"/>
  <c r="BZ124" i="1" s="1"/>
  <c r="GA123" i="1"/>
  <c r="BZ123" i="1" s="1"/>
  <c r="GA115" i="1"/>
  <c r="BZ115" i="1" s="1"/>
  <c r="GA122" i="1"/>
  <c r="BZ122" i="1" s="1"/>
  <c r="GA121" i="1"/>
  <c r="BZ121" i="1" s="1"/>
  <c r="GA119" i="1"/>
  <c r="BZ119" i="1" s="1"/>
  <c r="GA118" i="1"/>
  <c r="BZ118" i="1" s="1"/>
  <c r="GA117" i="1"/>
  <c r="BZ117" i="1" s="1"/>
  <c r="GA116" i="1"/>
  <c r="BZ116" i="1" s="1"/>
  <c r="GA114" i="1"/>
  <c r="BZ114" i="1" s="1"/>
  <c r="GA112" i="1"/>
  <c r="BZ112" i="1" s="1"/>
  <c r="GA94" i="1"/>
  <c r="BZ94" i="1" s="1"/>
  <c r="GA89" i="1"/>
  <c r="BZ89" i="1" s="1"/>
  <c r="GA86" i="1"/>
  <c r="BZ86" i="1" s="1"/>
  <c r="GA88" i="1"/>
  <c r="BZ88" i="1" s="1"/>
  <c r="GA87" i="1"/>
  <c r="BZ87" i="1" s="1"/>
  <c r="GA81" i="1"/>
  <c r="BZ81" i="1" s="1"/>
  <c r="GA85" i="1"/>
  <c r="BZ85" i="1" s="1"/>
  <c r="GA83" i="1"/>
  <c r="BZ83" i="1" s="1"/>
  <c r="GA84" i="1"/>
  <c r="BZ84" i="1" s="1"/>
  <c r="GA82" i="1"/>
  <c r="BZ82" i="1" s="1"/>
  <c r="GA66" i="1"/>
  <c r="BZ66" i="1" s="1"/>
  <c r="GA72" i="1"/>
  <c r="BZ72" i="1" s="1"/>
  <c r="GA73" i="1"/>
  <c r="BZ73" i="1" s="1"/>
  <c r="GA71" i="1"/>
  <c r="BZ71" i="1" s="1"/>
  <c r="GA70" i="1"/>
  <c r="BZ70" i="1" s="1"/>
  <c r="GA69" i="1"/>
  <c r="BZ69" i="1" s="1"/>
  <c r="GA68" i="1"/>
  <c r="BZ68" i="1" s="1"/>
  <c r="GA65" i="1"/>
  <c r="BZ65" i="1" s="1"/>
  <c r="GA63" i="1"/>
  <c r="BZ63" i="1" s="1"/>
  <c r="GA44" i="1"/>
  <c r="GA32" i="1"/>
  <c r="BZ32" i="1" s="1"/>
  <c r="GA31" i="1"/>
  <c r="BZ31" i="1" s="1"/>
  <c r="BZ233" i="1"/>
  <c r="BZ232" i="1"/>
  <c r="GA233" i="1"/>
  <c r="GA232" i="1"/>
  <c r="GA93" i="1"/>
  <c r="BZ93" i="1" s="1"/>
  <c r="BZ236" i="1"/>
  <c r="BZ229" i="1"/>
  <c r="BZ235" i="1"/>
  <c r="GA229" i="1"/>
  <c r="GA235" i="1"/>
  <c r="GA160" i="1"/>
  <c r="BZ160" i="1" s="1"/>
  <c r="GA159" i="1"/>
  <c r="BZ159" i="1" s="1"/>
  <c r="GA59" i="1"/>
  <c r="BZ59" i="1" s="1"/>
  <c r="GA60" i="1"/>
  <c r="BZ60" i="1" s="1"/>
  <c r="GA111" i="1"/>
  <c r="BZ111" i="1" s="1"/>
  <c r="GA236" i="1"/>
  <c r="GA110" i="1"/>
  <c r="BZ110" i="1" s="1"/>
  <c r="BZ231" i="1"/>
  <c r="BZ230" i="1"/>
  <c r="BZ234" i="1"/>
  <c r="GA218" i="1"/>
  <c r="BZ218" i="1" s="1"/>
  <c r="GA234" i="1"/>
  <c r="GA231" i="1"/>
  <c r="GA230" i="1"/>
  <c r="GA41" i="1"/>
  <c r="GA45" i="1"/>
  <c r="GB30" i="1"/>
  <c r="GB35" i="1" s="1"/>
  <c r="GA40" i="1"/>
  <c r="GA42" i="1"/>
  <c r="GA43" i="1"/>
  <c r="GA38" i="1"/>
  <c r="GA39" i="1"/>
  <c r="GA46" i="1"/>
  <c r="CA30" i="1"/>
  <c r="CA44" i="1" s="1"/>
  <c r="BZ42" i="1"/>
  <c r="BZ45" i="1"/>
  <c r="BZ41" i="1"/>
  <c r="BZ43" i="1"/>
  <c r="BZ224" i="1"/>
  <c r="BZ223" i="1"/>
  <c r="BZ222" i="1"/>
  <c r="BZ221" i="1"/>
  <c r="GA197" i="1"/>
  <c r="BZ197" i="1" s="1"/>
  <c r="GA224" i="1"/>
  <c r="GA222" i="1"/>
  <c r="GA221" i="1"/>
  <c r="GA215" i="1"/>
  <c r="BZ215" i="1" s="1"/>
  <c r="GA214" i="1"/>
  <c r="BZ214" i="1" s="1"/>
  <c r="GA213" i="1"/>
  <c r="BZ213" i="1" s="1"/>
  <c r="GA212" i="1"/>
  <c r="BZ212" i="1" s="1"/>
  <c r="GA223" i="1"/>
  <c r="BZ207" i="1"/>
  <c r="BZ205" i="1"/>
  <c r="BZ206" i="1"/>
  <c r="GA207" i="1"/>
  <c r="GA206" i="1"/>
  <c r="GA205" i="1"/>
  <c r="GA204" i="1"/>
  <c r="GA201" i="1"/>
  <c r="BZ201" i="1" s="1"/>
  <c r="GA196" i="1"/>
  <c r="BZ196" i="1" s="1"/>
  <c r="GA198" i="1"/>
  <c r="BZ198" i="1" s="1"/>
  <c r="GA195" i="1"/>
  <c r="BZ195" i="1" s="1"/>
  <c r="GA129" i="1"/>
  <c r="BZ129" i="1" s="1"/>
  <c r="GA130" i="1"/>
  <c r="BZ130" i="1" s="1"/>
  <c r="GA128" i="1"/>
  <c r="BZ128" i="1" s="1"/>
  <c r="GA127" i="1"/>
  <c r="BZ127" i="1" s="1"/>
  <c r="GA79" i="1"/>
  <c r="BZ79" i="1" s="1"/>
  <c r="GA77" i="1"/>
  <c r="BZ77" i="1" s="1"/>
  <c r="GA76" i="1"/>
  <c r="BZ76" i="1" s="1"/>
  <c r="GA61" i="1"/>
  <c r="BZ61" i="1" s="1"/>
  <c r="GA92" i="1"/>
  <c r="BZ92" i="1" s="1"/>
  <c r="GA91" i="1"/>
  <c r="BZ91" i="1" s="1"/>
  <c r="GA90" i="1"/>
  <c r="BZ90" i="1" s="1"/>
  <c r="GA78" i="1"/>
  <c r="BZ78" i="1" s="1"/>
  <c r="BZ190" i="1"/>
  <c r="BZ189" i="1"/>
  <c r="BZ187" i="1"/>
  <c r="BZ153" i="1"/>
  <c r="BZ188" i="1"/>
  <c r="BZ150" i="1"/>
  <c r="BZ152" i="1"/>
  <c r="BZ151" i="1"/>
  <c r="GA189" i="1"/>
  <c r="GA188" i="1"/>
  <c r="GA187" i="1"/>
  <c r="GA190" i="1"/>
  <c r="GA178" i="1"/>
  <c r="BZ178" i="1" s="1"/>
  <c r="GA152" i="1"/>
  <c r="GA153" i="1"/>
  <c r="GA99" i="1"/>
  <c r="GA103" i="1"/>
  <c r="GA151" i="1"/>
  <c r="GA149" i="1"/>
  <c r="GA98" i="1"/>
  <c r="GA101" i="1"/>
  <c r="GA97" i="1"/>
  <c r="GA102" i="1"/>
  <c r="GA150" i="1"/>
  <c r="GA100" i="1"/>
  <c r="GA104" i="1"/>
  <c r="BZ97" i="1"/>
  <c r="BZ100" i="1"/>
  <c r="BZ99" i="1"/>
  <c r="BZ101" i="1"/>
  <c r="BZ103" i="1"/>
  <c r="BZ102" i="1"/>
  <c r="BZ98" i="1"/>
  <c r="BZ104" i="1"/>
  <c r="GA80" i="1"/>
  <c r="BZ80" i="1" s="1"/>
  <c r="GA158" i="1"/>
  <c r="BZ158" i="1" s="1"/>
  <c r="GA120" i="1"/>
  <c r="BZ120" i="1" s="1"/>
  <c r="GA67" i="1"/>
  <c r="BZ67" i="1" s="1"/>
  <c r="GA109" i="1"/>
  <c r="BZ109" i="1" s="1"/>
  <c r="GA162" i="1"/>
  <c r="BZ162" i="1" s="1"/>
  <c r="GA113" i="1"/>
  <c r="BZ113" i="1" s="1"/>
  <c r="GA58" i="1"/>
  <c r="BZ58" i="1" s="1"/>
  <c r="GA62" i="1"/>
  <c r="BZ62" i="1" s="1"/>
  <c r="GB56" i="1"/>
  <c r="GA64" i="1"/>
  <c r="BZ64" i="1" s="1"/>
  <c r="CA56" i="1"/>
  <c r="CA35" i="1" l="1"/>
  <c r="BZ147" i="1"/>
  <c r="BZ125" i="1"/>
  <c r="GB183" i="1"/>
  <c r="CA183" i="1" s="1"/>
  <c r="GB184" i="1"/>
  <c r="CA184" i="1" s="1"/>
  <c r="GB181" i="1"/>
  <c r="CA181" i="1" s="1"/>
  <c r="GB182" i="1"/>
  <c r="CA182" i="1" s="1"/>
  <c r="GB179" i="1"/>
  <c r="CA179" i="1" s="1"/>
  <c r="GB180" i="1"/>
  <c r="CA180" i="1" s="1"/>
  <c r="GB163" i="1"/>
  <c r="CA163" i="1" s="1"/>
  <c r="GB177" i="1"/>
  <c r="CA177" i="1" s="1"/>
  <c r="GB176" i="1"/>
  <c r="CA176" i="1" s="1"/>
  <c r="GB175" i="1"/>
  <c r="CA175" i="1" s="1"/>
  <c r="GB174" i="1"/>
  <c r="CA174" i="1" s="1"/>
  <c r="GB161" i="1"/>
  <c r="CA161" i="1" s="1"/>
  <c r="GB171" i="1"/>
  <c r="CA171" i="1" s="1"/>
  <c r="GB170" i="1"/>
  <c r="CA170" i="1" s="1"/>
  <c r="GB168" i="1"/>
  <c r="CA168" i="1" s="1"/>
  <c r="GB169" i="1"/>
  <c r="CA169" i="1" s="1"/>
  <c r="GB167" i="1"/>
  <c r="CA167" i="1" s="1"/>
  <c r="GB166" i="1"/>
  <c r="CA166" i="1" s="1"/>
  <c r="GB165" i="1"/>
  <c r="CA165" i="1" s="1"/>
  <c r="GB164" i="1"/>
  <c r="CA164" i="1" s="1"/>
  <c r="GB137" i="1"/>
  <c r="CA137" i="1" s="1"/>
  <c r="GB136" i="1"/>
  <c r="CA136" i="1" s="1"/>
  <c r="GB146" i="1"/>
  <c r="CA146" i="1" s="1"/>
  <c r="GB145" i="1"/>
  <c r="CA145" i="1" s="1"/>
  <c r="GB144" i="1"/>
  <c r="CA144" i="1" s="1"/>
  <c r="GB143" i="1"/>
  <c r="CA143" i="1" s="1"/>
  <c r="GB142" i="1"/>
  <c r="CA142" i="1" s="1"/>
  <c r="GB139" i="1"/>
  <c r="CA139" i="1" s="1"/>
  <c r="GB140" i="1"/>
  <c r="CA140" i="1" s="1"/>
  <c r="GB141" i="1"/>
  <c r="CA141" i="1" s="1"/>
  <c r="GB131" i="1"/>
  <c r="CA131" i="1" s="1"/>
  <c r="GB132" i="1"/>
  <c r="CA132" i="1" s="1"/>
  <c r="GB133" i="1"/>
  <c r="CA133" i="1" s="1"/>
  <c r="GB138" i="1"/>
  <c r="CA138" i="1" s="1"/>
  <c r="GB135" i="1"/>
  <c r="CA135" i="1" s="1"/>
  <c r="GB134" i="1"/>
  <c r="CA134" i="1" s="1"/>
  <c r="GB124" i="1"/>
  <c r="CA124" i="1" s="1"/>
  <c r="GB123" i="1"/>
  <c r="CA123" i="1" s="1"/>
  <c r="GB115" i="1"/>
  <c r="CA115" i="1" s="1"/>
  <c r="GB121" i="1"/>
  <c r="CA121" i="1" s="1"/>
  <c r="GB122" i="1"/>
  <c r="CA122" i="1" s="1"/>
  <c r="GB118" i="1"/>
  <c r="CA118" i="1" s="1"/>
  <c r="GB119" i="1"/>
  <c r="CA119" i="1" s="1"/>
  <c r="GB116" i="1"/>
  <c r="CA116" i="1" s="1"/>
  <c r="GB117" i="1"/>
  <c r="CA117" i="1" s="1"/>
  <c r="GB114" i="1"/>
  <c r="CA114" i="1" s="1"/>
  <c r="GB112" i="1"/>
  <c r="CA112" i="1" s="1"/>
  <c r="GB94" i="1"/>
  <c r="CA94" i="1" s="1"/>
  <c r="GB89" i="1"/>
  <c r="CA89" i="1" s="1"/>
  <c r="GB88" i="1"/>
  <c r="CA88" i="1" s="1"/>
  <c r="GB86" i="1"/>
  <c r="CA86" i="1" s="1"/>
  <c r="GB87" i="1"/>
  <c r="CA87" i="1" s="1"/>
  <c r="GB81" i="1"/>
  <c r="CA81" i="1" s="1"/>
  <c r="GB85" i="1"/>
  <c r="CA85" i="1" s="1"/>
  <c r="GB84" i="1"/>
  <c r="CA84" i="1" s="1"/>
  <c r="GB82" i="1"/>
  <c r="CA82" i="1" s="1"/>
  <c r="GB83" i="1"/>
  <c r="CA83" i="1" s="1"/>
  <c r="GB66" i="1"/>
  <c r="CA66" i="1" s="1"/>
  <c r="GB72" i="1"/>
  <c r="CA72" i="1" s="1"/>
  <c r="GB71" i="1"/>
  <c r="CA71" i="1" s="1"/>
  <c r="GB70" i="1"/>
  <c r="CA70" i="1" s="1"/>
  <c r="GB73" i="1"/>
  <c r="CA73" i="1" s="1"/>
  <c r="GB69" i="1"/>
  <c r="CA69" i="1" s="1"/>
  <c r="GB68" i="1"/>
  <c r="CA68" i="1" s="1"/>
  <c r="GB65" i="1"/>
  <c r="CA65" i="1" s="1"/>
  <c r="GB63" i="1"/>
  <c r="CA63" i="1" s="1"/>
  <c r="GB44" i="1"/>
  <c r="GB32" i="1"/>
  <c r="CA32" i="1" s="1"/>
  <c r="GB31" i="1"/>
  <c r="CA31" i="1" s="1"/>
  <c r="GB232" i="1"/>
  <c r="GB233" i="1"/>
  <c r="CA233" i="1"/>
  <c r="CA232" i="1"/>
  <c r="GB93" i="1"/>
  <c r="CA93" i="1" s="1"/>
  <c r="CA236" i="1"/>
  <c r="CA229" i="1"/>
  <c r="CA235" i="1"/>
  <c r="GB229" i="1"/>
  <c r="GB235" i="1"/>
  <c r="GB60" i="1"/>
  <c r="CA60" i="1" s="1"/>
  <c r="GB160" i="1"/>
  <c r="CA160" i="1" s="1"/>
  <c r="GB59" i="1"/>
  <c r="CA59" i="1" s="1"/>
  <c r="GB159" i="1"/>
  <c r="CA159" i="1" s="1"/>
  <c r="GB111" i="1"/>
  <c r="CA111" i="1" s="1"/>
  <c r="GB110" i="1"/>
  <c r="CA110" i="1" s="1"/>
  <c r="GB236" i="1"/>
  <c r="GB218" i="1"/>
  <c r="CA218" i="1" s="1"/>
  <c r="GB234" i="1"/>
  <c r="GB230" i="1"/>
  <c r="GB231" i="1"/>
  <c r="CA234" i="1"/>
  <c r="CA231" i="1"/>
  <c r="CA230" i="1"/>
  <c r="GC30" i="1"/>
  <c r="GC35" i="1" s="1"/>
  <c r="GB38" i="1"/>
  <c r="GB39" i="1"/>
  <c r="GB40" i="1"/>
  <c r="GB46" i="1"/>
  <c r="GB41" i="1"/>
  <c r="GB45" i="1"/>
  <c r="GB42" i="1"/>
  <c r="GB43" i="1"/>
  <c r="CA41" i="1"/>
  <c r="CA45" i="1"/>
  <c r="CA43" i="1"/>
  <c r="CA42" i="1"/>
  <c r="CB30" i="1"/>
  <c r="CB44" i="1" s="1"/>
  <c r="CA224" i="1"/>
  <c r="CA223" i="1"/>
  <c r="CA222" i="1"/>
  <c r="CA221" i="1"/>
  <c r="GB197" i="1"/>
  <c r="CA197" i="1" s="1"/>
  <c r="GB223" i="1"/>
  <c r="GB222" i="1"/>
  <c r="GB221" i="1"/>
  <c r="GB224" i="1"/>
  <c r="GB213" i="1"/>
  <c r="CA213" i="1" s="1"/>
  <c r="GB212" i="1"/>
  <c r="CA212" i="1" s="1"/>
  <c r="GB215" i="1"/>
  <c r="CA215" i="1" s="1"/>
  <c r="GB214" i="1"/>
  <c r="CA214" i="1" s="1"/>
  <c r="CA207" i="1"/>
  <c r="CA206" i="1"/>
  <c r="CA205" i="1"/>
  <c r="GB207" i="1"/>
  <c r="GB206" i="1"/>
  <c r="GB205" i="1"/>
  <c r="GB204" i="1"/>
  <c r="GB201" i="1"/>
  <c r="CA201" i="1" s="1"/>
  <c r="GB198" i="1"/>
  <c r="CA198" i="1" s="1"/>
  <c r="GB195" i="1"/>
  <c r="CA195" i="1" s="1"/>
  <c r="GB196" i="1"/>
  <c r="CA196" i="1" s="1"/>
  <c r="GB129" i="1"/>
  <c r="CA129" i="1" s="1"/>
  <c r="GB130" i="1"/>
  <c r="CA130" i="1" s="1"/>
  <c r="GB128" i="1"/>
  <c r="CA128" i="1" s="1"/>
  <c r="GB127" i="1"/>
  <c r="CA127" i="1" s="1"/>
  <c r="GB79" i="1"/>
  <c r="CA79" i="1" s="1"/>
  <c r="GB78" i="1"/>
  <c r="CA78" i="1" s="1"/>
  <c r="GB77" i="1"/>
  <c r="CA77" i="1" s="1"/>
  <c r="GB61" i="1"/>
  <c r="CA61" i="1" s="1"/>
  <c r="GB92" i="1"/>
  <c r="CA92" i="1" s="1"/>
  <c r="GB91" i="1"/>
  <c r="CA91" i="1" s="1"/>
  <c r="GB90" i="1"/>
  <c r="CA90" i="1" s="1"/>
  <c r="GB76" i="1"/>
  <c r="CA76" i="1" s="1"/>
  <c r="GB189" i="1"/>
  <c r="GB190" i="1"/>
  <c r="GB188" i="1"/>
  <c r="GB187" i="1"/>
  <c r="GB178" i="1"/>
  <c r="CA178" i="1" s="1"/>
  <c r="CA189" i="1"/>
  <c r="CA190" i="1"/>
  <c r="CA188" i="1"/>
  <c r="CA150" i="1"/>
  <c r="CA153" i="1"/>
  <c r="CA187" i="1"/>
  <c r="CA152" i="1"/>
  <c r="CA151" i="1"/>
  <c r="GB153" i="1"/>
  <c r="GB150" i="1"/>
  <c r="GB151" i="1"/>
  <c r="GB152" i="1"/>
  <c r="GB98" i="1"/>
  <c r="GB102" i="1"/>
  <c r="GB97" i="1"/>
  <c r="GB100" i="1"/>
  <c r="GB103" i="1"/>
  <c r="GB149" i="1"/>
  <c r="GB99" i="1"/>
  <c r="GB101" i="1"/>
  <c r="GB104" i="1"/>
  <c r="CA98" i="1"/>
  <c r="CA97" i="1"/>
  <c r="CA102" i="1"/>
  <c r="CA99" i="1"/>
  <c r="CA101" i="1"/>
  <c r="CA104" i="1"/>
  <c r="CA103" i="1"/>
  <c r="CA100" i="1"/>
  <c r="GB80" i="1"/>
  <c r="CA80" i="1" s="1"/>
  <c r="GB158" i="1"/>
  <c r="CA158" i="1" s="1"/>
  <c r="GB120" i="1"/>
  <c r="CA120" i="1" s="1"/>
  <c r="GB67" i="1"/>
  <c r="CA67" i="1" s="1"/>
  <c r="GB109" i="1"/>
  <c r="CA109" i="1" s="1"/>
  <c r="GB162" i="1"/>
  <c r="CA162" i="1" s="1"/>
  <c r="GB113" i="1"/>
  <c r="CA113" i="1" s="1"/>
  <c r="GB62" i="1"/>
  <c r="CA62" i="1" s="1"/>
  <c r="GC56" i="1"/>
  <c r="GB58" i="1"/>
  <c r="CA58" i="1" s="1"/>
  <c r="GB64" i="1"/>
  <c r="CA64" i="1" s="1"/>
  <c r="CB56" i="1"/>
  <c r="CB35" i="1" l="1"/>
  <c r="CA125" i="1"/>
  <c r="CA147" i="1"/>
  <c r="GC184" i="1"/>
  <c r="CB184" i="1" s="1"/>
  <c r="GC179" i="1"/>
  <c r="CB179" i="1" s="1"/>
  <c r="GC183" i="1"/>
  <c r="CB183" i="1" s="1"/>
  <c r="GC180" i="1"/>
  <c r="CB180" i="1" s="1"/>
  <c r="GC182" i="1"/>
  <c r="CB182" i="1" s="1"/>
  <c r="GC181" i="1"/>
  <c r="CB181" i="1" s="1"/>
  <c r="GC163" i="1"/>
  <c r="CB163" i="1" s="1"/>
  <c r="GC176" i="1"/>
  <c r="CB176" i="1" s="1"/>
  <c r="GC177" i="1"/>
  <c r="CB177" i="1" s="1"/>
  <c r="GC174" i="1"/>
  <c r="CB174" i="1" s="1"/>
  <c r="GC175" i="1"/>
  <c r="CB175" i="1" s="1"/>
  <c r="GC161" i="1"/>
  <c r="CB161" i="1" s="1"/>
  <c r="GC171" i="1"/>
  <c r="CB171" i="1" s="1"/>
  <c r="GC170" i="1"/>
  <c r="CB170" i="1" s="1"/>
  <c r="GC169" i="1"/>
  <c r="CB169" i="1" s="1"/>
  <c r="GC166" i="1"/>
  <c r="CB166" i="1" s="1"/>
  <c r="GC167" i="1"/>
  <c r="CB167" i="1" s="1"/>
  <c r="GC168" i="1"/>
  <c r="CB168" i="1" s="1"/>
  <c r="GC165" i="1"/>
  <c r="CB165" i="1" s="1"/>
  <c r="GC164" i="1"/>
  <c r="CB164" i="1" s="1"/>
  <c r="GC137" i="1"/>
  <c r="CB137" i="1" s="1"/>
  <c r="GC136" i="1"/>
  <c r="CB136" i="1" s="1"/>
  <c r="GC145" i="1"/>
  <c r="CB145" i="1" s="1"/>
  <c r="GC146" i="1"/>
  <c r="CB146" i="1" s="1"/>
  <c r="GC142" i="1"/>
  <c r="CB142" i="1" s="1"/>
  <c r="GC144" i="1"/>
  <c r="CB144" i="1" s="1"/>
  <c r="GC139" i="1"/>
  <c r="CB139" i="1" s="1"/>
  <c r="GC143" i="1"/>
  <c r="CB143" i="1" s="1"/>
  <c r="GC141" i="1"/>
  <c r="CB141" i="1" s="1"/>
  <c r="GC140" i="1"/>
  <c r="CB140" i="1" s="1"/>
  <c r="GC131" i="1"/>
  <c r="CB131" i="1" s="1"/>
  <c r="GC132" i="1"/>
  <c r="CB132" i="1" s="1"/>
  <c r="GC133" i="1"/>
  <c r="CB133" i="1" s="1"/>
  <c r="GC135" i="1"/>
  <c r="CB135" i="1" s="1"/>
  <c r="GC138" i="1"/>
  <c r="CB138" i="1" s="1"/>
  <c r="GC134" i="1"/>
  <c r="CB134" i="1" s="1"/>
  <c r="GC123" i="1"/>
  <c r="CB123" i="1" s="1"/>
  <c r="GC124" i="1"/>
  <c r="CB124" i="1" s="1"/>
  <c r="GC115" i="1"/>
  <c r="CB115" i="1" s="1"/>
  <c r="GC121" i="1"/>
  <c r="CB121" i="1" s="1"/>
  <c r="GC122" i="1"/>
  <c r="CB122" i="1" s="1"/>
  <c r="GC118" i="1"/>
  <c r="CB118" i="1" s="1"/>
  <c r="GC119" i="1"/>
  <c r="CB119" i="1" s="1"/>
  <c r="GC117" i="1"/>
  <c r="CB117" i="1" s="1"/>
  <c r="GC114" i="1"/>
  <c r="CB114" i="1" s="1"/>
  <c r="GC116" i="1"/>
  <c r="CB116" i="1" s="1"/>
  <c r="GC112" i="1"/>
  <c r="CB112" i="1" s="1"/>
  <c r="GC94" i="1"/>
  <c r="CB94" i="1" s="1"/>
  <c r="GC88" i="1"/>
  <c r="CB88" i="1" s="1"/>
  <c r="GC87" i="1"/>
  <c r="CB87" i="1" s="1"/>
  <c r="GC89" i="1"/>
  <c r="CB89" i="1" s="1"/>
  <c r="GC86" i="1"/>
  <c r="CB86" i="1" s="1"/>
  <c r="GC81" i="1"/>
  <c r="CB81" i="1" s="1"/>
  <c r="GC84" i="1"/>
  <c r="CB84" i="1" s="1"/>
  <c r="GC85" i="1"/>
  <c r="CB85" i="1" s="1"/>
  <c r="GC83" i="1"/>
  <c r="CB83" i="1" s="1"/>
  <c r="GC82" i="1"/>
  <c r="CB82" i="1" s="1"/>
  <c r="GC66" i="1"/>
  <c r="CB66" i="1" s="1"/>
  <c r="GC72" i="1"/>
  <c r="CB72" i="1" s="1"/>
  <c r="GC73" i="1"/>
  <c r="CB73" i="1" s="1"/>
  <c r="GC71" i="1"/>
  <c r="CB71" i="1" s="1"/>
  <c r="GC69" i="1"/>
  <c r="CB69" i="1" s="1"/>
  <c r="GC68" i="1"/>
  <c r="CB68" i="1" s="1"/>
  <c r="GC70" i="1"/>
  <c r="CB70" i="1" s="1"/>
  <c r="GC65" i="1"/>
  <c r="CB65" i="1" s="1"/>
  <c r="GC63" i="1"/>
  <c r="CB63" i="1" s="1"/>
  <c r="GC44" i="1"/>
  <c r="GC31" i="1"/>
  <c r="CB31" i="1" s="1"/>
  <c r="GC32" i="1"/>
  <c r="CB32" i="1" s="1"/>
  <c r="GC232" i="1"/>
  <c r="CB232" i="1" s="1"/>
  <c r="GC233" i="1"/>
  <c r="CB233" i="1" s="1"/>
  <c r="GC93" i="1"/>
  <c r="CB93" i="1" s="1"/>
  <c r="GC235" i="1"/>
  <c r="CB235" i="1" s="1"/>
  <c r="GC229" i="1"/>
  <c r="CB229" i="1" s="1"/>
  <c r="GC160" i="1"/>
  <c r="CB160" i="1" s="1"/>
  <c r="GC59" i="1"/>
  <c r="CB59" i="1" s="1"/>
  <c r="GC159" i="1"/>
  <c r="CB159" i="1" s="1"/>
  <c r="GC60" i="1"/>
  <c r="CB60" i="1" s="1"/>
  <c r="GC110" i="1"/>
  <c r="CB110" i="1" s="1"/>
  <c r="GC236" i="1"/>
  <c r="CB236" i="1" s="1"/>
  <c r="GC111" i="1"/>
  <c r="CB111" i="1" s="1"/>
  <c r="GC218" i="1"/>
  <c r="CB218" i="1" s="1"/>
  <c r="GC234" i="1"/>
  <c r="CB234" i="1" s="1"/>
  <c r="GC231" i="1"/>
  <c r="CB231" i="1" s="1"/>
  <c r="GC230" i="1"/>
  <c r="CB230" i="1" s="1"/>
  <c r="GC41" i="1"/>
  <c r="GC38" i="1"/>
  <c r="GC40" i="1"/>
  <c r="GC45" i="1"/>
  <c r="GC43" i="1"/>
  <c r="GC42" i="1"/>
  <c r="GC39" i="1"/>
  <c r="GD30" i="1"/>
  <c r="GD35" i="1" s="1"/>
  <c r="GC46" i="1"/>
  <c r="CC30" i="1"/>
  <c r="CC44" i="1" s="1"/>
  <c r="CB42" i="1"/>
  <c r="CB43" i="1"/>
  <c r="CB41" i="1"/>
  <c r="CB45" i="1"/>
  <c r="GC197" i="1"/>
  <c r="CB197" i="1" s="1"/>
  <c r="GC224" i="1"/>
  <c r="GC223" i="1"/>
  <c r="GC222" i="1"/>
  <c r="GC221" i="1"/>
  <c r="GC215" i="1"/>
  <c r="CB215" i="1" s="1"/>
  <c r="GC214" i="1"/>
  <c r="CB214" i="1" s="1"/>
  <c r="GC213" i="1"/>
  <c r="CB213" i="1" s="1"/>
  <c r="GC212" i="1"/>
  <c r="CB212" i="1" s="1"/>
  <c r="CB222" i="1"/>
  <c r="CB221" i="1"/>
  <c r="CB223" i="1"/>
  <c r="CB224" i="1"/>
  <c r="GC207" i="1"/>
  <c r="GC205" i="1"/>
  <c r="GC206" i="1"/>
  <c r="GC204" i="1"/>
  <c r="GC201" i="1"/>
  <c r="CB201" i="1" s="1"/>
  <c r="GC198" i="1"/>
  <c r="CB198" i="1" s="1"/>
  <c r="GC195" i="1"/>
  <c r="CB195" i="1" s="1"/>
  <c r="GC196" i="1"/>
  <c r="CB196" i="1" s="1"/>
  <c r="GC130" i="1"/>
  <c r="CB130" i="1" s="1"/>
  <c r="GC128" i="1"/>
  <c r="CB128" i="1" s="1"/>
  <c r="GC127" i="1"/>
  <c r="CB127" i="1" s="1"/>
  <c r="GC129" i="1"/>
  <c r="CB129" i="1" s="1"/>
  <c r="CB207" i="1"/>
  <c r="CB206" i="1"/>
  <c r="CB205" i="1"/>
  <c r="GC78" i="1"/>
  <c r="CB78" i="1" s="1"/>
  <c r="GC79" i="1"/>
  <c r="CB79" i="1" s="1"/>
  <c r="GC77" i="1"/>
  <c r="CB77" i="1" s="1"/>
  <c r="GC76" i="1"/>
  <c r="CB76" i="1" s="1"/>
  <c r="GC61" i="1"/>
  <c r="CB61" i="1" s="1"/>
  <c r="GC92" i="1"/>
  <c r="CB92" i="1" s="1"/>
  <c r="GC91" i="1"/>
  <c r="CB91" i="1" s="1"/>
  <c r="GC90" i="1"/>
  <c r="CB90" i="1" s="1"/>
  <c r="CB190" i="1"/>
  <c r="CB189" i="1"/>
  <c r="CB188" i="1"/>
  <c r="CB187" i="1"/>
  <c r="CB150" i="1"/>
  <c r="CB151" i="1"/>
  <c r="CB153" i="1"/>
  <c r="CB152" i="1"/>
  <c r="GC190" i="1"/>
  <c r="GC189" i="1"/>
  <c r="GC178" i="1"/>
  <c r="CB178" i="1" s="1"/>
  <c r="GC188" i="1"/>
  <c r="GC187" i="1"/>
  <c r="GC153" i="1"/>
  <c r="GC152" i="1"/>
  <c r="GC151" i="1"/>
  <c r="GC150" i="1"/>
  <c r="GC97" i="1"/>
  <c r="GC101" i="1"/>
  <c r="GC149" i="1"/>
  <c r="GC100" i="1"/>
  <c r="GC99" i="1"/>
  <c r="GC102" i="1"/>
  <c r="GC104" i="1"/>
  <c r="GC98" i="1"/>
  <c r="GC103" i="1"/>
  <c r="CB99" i="1"/>
  <c r="CB98" i="1"/>
  <c r="CB103" i="1"/>
  <c r="CB97" i="1"/>
  <c r="CB100" i="1"/>
  <c r="CB104" i="1"/>
  <c r="CB101" i="1"/>
  <c r="CB102" i="1"/>
  <c r="GC80" i="1"/>
  <c r="CB80" i="1" s="1"/>
  <c r="GC158" i="1"/>
  <c r="CB158" i="1" s="1"/>
  <c r="GC120" i="1"/>
  <c r="CB120" i="1" s="1"/>
  <c r="GC67" i="1"/>
  <c r="CB67" i="1" s="1"/>
  <c r="GC109" i="1"/>
  <c r="CB109" i="1" s="1"/>
  <c r="GC162" i="1"/>
  <c r="CB162" i="1" s="1"/>
  <c r="GC113" i="1"/>
  <c r="CB113" i="1" s="1"/>
  <c r="GC58" i="1"/>
  <c r="CB58" i="1" s="1"/>
  <c r="GD56" i="1"/>
  <c r="GC64" i="1"/>
  <c r="CB64" i="1" s="1"/>
  <c r="GC62" i="1"/>
  <c r="CB62" i="1" s="1"/>
  <c r="CC56" i="1"/>
  <c r="CC35" i="1" l="1"/>
  <c r="CB147" i="1"/>
  <c r="CB125" i="1"/>
  <c r="GD184" i="1"/>
  <c r="CC184" i="1" s="1"/>
  <c r="GD183" i="1"/>
  <c r="CC183" i="1" s="1"/>
  <c r="GD182" i="1"/>
  <c r="CC182" i="1" s="1"/>
  <c r="GD180" i="1"/>
  <c r="CC180" i="1" s="1"/>
  <c r="GD179" i="1"/>
  <c r="CC179" i="1" s="1"/>
  <c r="GD181" i="1"/>
  <c r="CC181" i="1" s="1"/>
  <c r="GD163" i="1"/>
  <c r="CC163" i="1" s="1"/>
  <c r="GD176" i="1"/>
  <c r="CC176" i="1" s="1"/>
  <c r="GD177" i="1"/>
  <c r="CC177" i="1" s="1"/>
  <c r="GD175" i="1"/>
  <c r="CC175" i="1" s="1"/>
  <c r="GD174" i="1"/>
  <c r="CC174" i="1" s="1"/>
  <c r="GD161" i="1"/>
  <c r="CC161" i="1" s="1"/>
  <c r="GD170" i="1"/>
  <c r="CC170" i="1" s="1"/>
  <c r="GD171" i="1"/>
  <c r="CC171" i="1" s="1"/>
  <c r="GD169" i="1"/>
  <c r="CC169" i="1" s="1"/>
  <c r="GD168" i="1"/>
  <c r="CC168" i="1" s="1"/>
  <c r="GD167" i="1"/>
  <c r="CC167" i="1" s="1"/>
  <c r="GD165" i="1"/>
  <c r="CC165" i="1" s="1"/>
  <c r="GD166" i="1"/>
  <c r="CC166" i="1" s="1"/>
  <c r="GD164" i="1"/>
  <c r="CC164" i="1" s="1"/>
  <c r="GD137" i="1"/>
  <c r="CC137" i="1" s="1"/>
  <c r="GD136" i="1"/>
  <c r="CC136" i="1" s="1"/>
  <c r="GD146" i="1"/>
  <c r="CC146" i="1" s="1"/>
  <c r="GD145" i="1"/>
  <c r="CC145" i="1" s="1"/>
  <c r="GD144" i="1"/>
  <c r="CC144" i="1" s="1"/>
  <c r="GD141" i="1"/>
  <c r="CC141" i="1" s="1"/>
  <c r="GD143" i="1"/>
  <c r="CC143" i="1" s="1"/>
  <c r="GD140" i="1"/>
  <c r="CC140" i="1" s="1"/>
  <c r="GD142" i="1"/>
  <c r="CC142" i="1" s="1"/>
  <c r="GD139" i="1"/>
  <c r="CC139" i="1" s="1"/>
  <c r="GD131" i="1"/>
  <c r="CC131" i="1" s="1"/>
  <c r="GD132" i="1"/>
  <c r="CC132" i="1" s="1"/>
  <c r="GD133" i="1"/>
  <c r="CC133" i="1" s="1"/>
  <c r="GD135" i="1"/>
  <c r="CC135" i="1" s="1"/>
  <c r="GD138" i="1"/>
  <c r="CC138" i="1" s="1"/>
  <c r="GD134" i="1"/>
  <c r="CC134" i="1" s="1"/>
  <c r="GD123" i="1"/>
  <c r="CC123" i="1" s="1"/>
  <c r="GD124" i="1"/>
  <c r="CC124" i="1" s="1"/>
  <c r="GD115" i="1"/>
  <c r="CC115" i="1" s="1"/>
  <c r="GD122" i="1"/>
  <c r="CC122" i="1" s="1"/>
  <c r="GD121" i="1"/>
  <c r="CC121" i="1" s="1"/>
  <c r="GD119" i="1"/>
  <c r="CC119" i="1" s="1"/>
  <c r="GD117" i="1"/>
  <c r="CC117" i="1" s="1"/>
  <c r="GD118" i="1"/>
  <c r="CC118" i="1" s="1"/>
  <c r="GD116" i="1"/>
  <c r="CC116" i="1" s="1"/>
  <c r="GD114" i="1"/>
  <c r="CC114" i="1" s="1"/>
  <c r="GD112" i="1"/>
  <c r="CC112" i="1" s="1"/>
  <c r="GD94" i="1"/>
  <c r="CC94" i="1" s="1"/>
  <c r="GD89" i="1"/>
  <c r="CC89" i="1" s="1"/>
  <c r="GD88" i="1"/>
  <c r="CC88" i="1" s="1"/>
  <c r="GD87" i="1"/>
  <c r="CC87" i="1" s="1"/>
  <c r="GD86" i="1"/>
  <c r="CC86" i="1" s="1"/>
  <c r="GD81" i="1"/>
  <c r="CC81" i="1" s="1"/>
  <c r="GD84" i="1"/>
  <c r="CC84" i="1" s="1"/>
  <c r="GD85" i="1"/>
  <c r="CC85" i="1" s="1"/>
  <c r="GD83" i="1"/>
  <c r="CC83" i="1" s="1"/>
  <c r="GD82" i="1"/>
  <c r="CC82" i="1" s="1"/>
  <c r="GD66" i="1"/>
  <c r="CC66" i="1" s="1"/>
  <c r="GD73" i="1"/>
  <c r="CC73" i="1" s="1"/>
  <c r="GD72" i="1"/>
  <c r="CC72" i="1" s="1"/>
  <c r="GD68" i="1"/>
  <c r="CC68" i="1" s="1"/>
  <c r="GD70" i="1"/>
  <c r="CC70" i="1" s="1"/>
  <c r="GD71" i="1"/>
  <c r="CC71" i="1" s="1"/>
  <c r="GD69" i="1"/>
  <c r="CC69" i="1" s="1"/>
  <c r="GD65" i="1"/>
  <c r="CC65" i="1" s="1"/>
  <c r="GD63" i="1"/>
  <c r="CC63" i="1" s="1"/>
  <c r="GD44" i="1"/>
  <c r="GD31" i="1"/>
  <c r="CC31" i="1" s="1"/>
  <c r="GD32" i="1"/>
  <c r="CC32" i="1" s="1"/>
  <c r="CC233" i="1"/>
  <c r="CC232" i="1"/>
  <c r="GD232" i="1"/>
  <c r="GD233" i="1"/>
  <c r="GD93" i="1"/>
  <c r="CC93" i="1" s="1"/>
  <c r="CC236" i="1"/>
  <c r="CC235" i="1"/>
  <c r="CC229" i="1"/>
  <c r="GD235" i="1"/>
  <c r="GD229" i="1"/>
  <c r="GD159" i="1"/>
  <c r="CC159" i="1" s="1"/>
  <c r="GD59" i="1"/>
  <c r="CC59" i="1" s="1"/>
  <c r="GD160" i="1"/>
  <c r="CC160" i="1" s="1"/>
  <c r="GD60" i="1"/>
  <c r="CC60" i="1" s="1"/>
  <c r="GD110" i="1"/>
  <c r="CC110" i="1" s="1"/>
  <c r="GD236" i="1"/>
  <c r="GD111" i="1"/>
  <c r="CC111" i="1" s="1"/>
  <c r="GD218" i="1"/>
  <c r="CC218" i="1" s="1"/>
  <c r="GD231" i="1"/>
  <c r="GD230" i="1"/>
  <c r="GD234" i="1"/>
  <c r="CC231" i="1"/>
  <c r="CC234" i="1"/>
  <c r="CC230" i="1"/>
  <c r="GD39" i="1"/>
  <c r="GD41" i="1"/>
  <c r="GD38" i="1"/>
  <c r="GD40" i="1"/>
  <c r="GD43" i="1"/>
  <c r="GD46" i="1"/>
  <c r="GD42" i="1"/>
  <c r="GD45" i="1"/>
  <c r="GE30" i="1"/>
  <c r="GE35" i="1" s="1"/>
  <c r="CC41" i="1"/>
  <c r="CC45" i="1"/>
  <c r="CC43" i="1"/>
  <c r="CC42" i="1"/>
  <c r="CD30" i="1"/>
  <c r="CD44" i="1" s="1"/>
  <c r="GD197" i="1"/>
  <c r="CC197" i="1" s="1"/>
  <c r="GD224" i="1"/>
  <c r="GD223" i="1"/>
  <c r="GD222" i="1"/>
  <c r="GD214" i="1"/>
  <c r="CC214" i="1" s="1"/>
  <c r="GD221" i="1"/>
  <c r="GD215" i="1"/>
  <c r="CC215" i="1" s="1"/>
  <c r="GD213" i="1"/>
  <c r="CC213" i="1" s="1"/>
  <c r="GD212" i="1"/>
  <c r="CC212" i="1" s="1"/>
  <c r="CC223" i="1"/>
  <c r="CC222" i="1"/>
  <c r="CC224" i="1"/>
  <c r="CC221" i="1"/>
  <c r="GD207" i="1"/>
  <c r="GD206" i="1"/>
  <c r="GD205" i="1"/>
  <c r="GD201" i="1"/>
  <c r="CC201" i="1" s="1"/>
  <c r="GD204" i="1"/>
  <c r="GD196" i="1"/>
  <c r="CC196" i="1" s="1"/>
  <c r="GD198" i="1"/>
  <c r="CC198" i="1" s="1"/>
  <c r="GD195" i="1"/>
  <c r="CC195" i="1" s="1"/>
  <c r="GD130" i="1"/>
  <c r="CC130" i="1" s="1"/>
  <c r="GD128" i="1"/>
  <c r="CC128" i="1" s="1"/>
  <c r="GD127" i="1"/>
  <c r="CC127" i="1" s="1"/>
  <c r="GD129" i="1"/>
  <c r="CC129" i="1" s="1"/>
  <c r="CC207" i="1"/>
  <c r="CC206" i="1"/>
  <c r="CC205" i="1"/>
  <c r="GD79" i="1"/>
  <c r="CC79" i="1" s="1"/>
  <c r="GD78" i="1"/>
  <c r="CC78" i="1" s="1"/>
  <c r="GD61" i="1"/>
  <c r="CC61" i="1" s="1"/>
  <c r="GD76" i="1"/>
  <c r="CC76" i="1" s="1"/>
  <c r="GD77" i="1"/>
  <c r="CC77" i="1" s="1"/>
  <c r="GD91" i="1"/>
  <c r="CC91" i="1" s="1"/>
  <c r="GD90" i="1"/>
  <c r="CC90" i="1" s="1"/>
  <c r="GD92" i="1"/>
  <c r="CC92" i="1" s="1"/>
  <c r="CC189" i="1"/>
  <c r="CC190" i="1"/>
  <c r="CC188" i="1"/>
  <c r="CC187" i="1"/>
  <c r="CC151" i="1"/>
  <c r="CC152" i="1"/>
  <c r="CC150" i="1"/>
  <c r="CC153" i="1"/>
  <c r="GD190" i="1"/>
  <c r="GD189" i="1"/>
  <c r="GD188" i="1"/>
  <c r="GD187" i="1"/>
  <c r="GD178" i="1"/>
  <c r="CC178" i="1" s="1"/>
  <c r="GD152" i="1"/>
  <c r="GD151" i="1"/>
  <c r="GD153" i="1"/>
  <c r="GD150" i="1"/>
  <c r="GD149" i="1"/>
  <c r="GD100" i="1"/>
  <c r="GD98" i="1"/>
  <c r="GD101" i="1"/>
  <c r="GD97" i="1"/>
  <c r="GD103" i="1"/>
  <c r="GD104" i="1"/>
  <c r="GD99" i="1"/>
  <c r="GD102" i="1"/>
  <c r="CC100" i="1"/>
  <c r="CC99" i="1"/>
  <c r="CC98" i="1"/>
  <c r="CC104" i="1"/>
  <c r="CC101" i="1"/>
  <c r="CC102" i="1"/>
  <c r="CC103" i="1"/>
  <c r="CC97" i="1"/>
  <c r="GD80" i="1"/>
  <c r="CC80" i="1" s="1"/>
  <c r="GD158" i="1"/>
  <c r="CC158" i="1" s="1"/>
  <c r="GD120" i="1"/>
  <c r="CC120" i="1" s="1"/>
  <c r="GD67" i="1"/>
  <c r="CC67" i="1" s="1"/>
  <c r="GD109" i="1"/>
  <c r="CC109" i="1" s="1"/>
  <c r="GD162" i="1"/>
  <c r="CC162" i="1" s="1"/>
  <c r="GD113" i="1"/>
  <c r="CC113" i="1" s="1"/>
  <c r="GE56" i="1"/>
  <c r="GD58" i="1"/>
  <c r="CC58" i="1" s="1"/>
  <c r="GD62" i="1"/>
  <c r="CC62" i="1" s="1"/>
  <c r="GD64" i="1"/>
  <c r="CC64" i="1" s="1"/>
  <c r="CD56" i="1"/>
  <c r="CD35" i="1" l="1"/>
  <c r="CC147" i="1"/>
  <c r="CC125" i="1"/>
  <c r="GE184" i="1"/>
  <c r="CD184" i="1" s="1"/>
  <c r="GE183" i="1"/>
  <c r="CD183" i="1" s="1"/>
  <c r="GE180" i="1"/>
  <c r="CD180" i="1" s="1"/>
  <c r="GE181" i="1"/>
  <c r="CD181" i="1" s="1"/>
  <c r="GE179" i="1"/>
  <c r="CD179" i="1" s="1"/>
  <c r="GE182" i="1"/>
  <c r="CD182" i="1" s="1"/>
  <c r="GE163" i="1"/>
  <c r="CD163" i="1" s="1"/>
  <c r="GE177" i="1"/>
  <c r="CD177" i="1" s="1"/>
  <c r="GE176" i="1"/>
  <c r="CD176" i="1" s="1"/>
  <c r="GE175" i="1"/>
  <c r="CD175" i="1" s="1"/>
  <c r="GE174" i="1"/>
  <c r="CD174" i="1" s="1"/>
  <c r="GE161" i="1"/>
  <c r="CD161" i="1" s="1"/>
  <c r="GE171" i="1"/>
  <c r="CD171" i="1" s="1"/>
  <c r="GE170" i="1"/>
  <c r="CD170" i="1" s="1"/>
  <c r="GE169" i="1"/>
  <c r="CD169" i="1" s="1"/>
  <c r="GE168" i="1"/>
  <c r="CD168" i="1" s="1"/>
  <c r="GE167" i="1"/>
  <c r="CD167" i="1" s="1"/>
  <c r="GE165" i="1"/>
  <c r="CD165" i="1" s="1"/>
  <c r="GE164" i="1"/>
  <c r="CD164" i="1" s="1"/>
  <c r="GE166" i="1"/>
  <c r="CD166" i="1" s="1"/>
  <c r="GE137" i="1"/>
  <c r="CD137" i="1" s="1"/>
  <c r="GE136" i="1"/>
  <c r="CD136" i="1" s="1"/>
  <c r="GE146" i="1"/>
  <c r="CD146" i="1" s="1"/>
  <c r="GE145" i="1"/>
  <c r="CD145" i="1" s="1"/>
  <c r="GE144" i="1"/>
  <c r="CD144" i="1" s="1"/>
  <c r="GE143" i="1"/>
  <c r="CD143" i="1" s="1"/>
  <c r="GE141" i="1"/>
  <c r="CD141" i="1" s="1"/>
  <c r="GE140" i="1"/>
  <c r="CD140" i="1" s="1"/>
  <c r="GE142" i="1"/>
  <c r="CD142" i="1" s="1"/>
  <c r="GE139" i="1"/>
  <c r="CD139" i="1" s="1"/>
  <c r="GE131" i="1"/>
  <c r="CD131" i="1" s="1"/>
  <c r="GE132" i="1"/>
  <c r="CD132" i="1" s="1"/>
  <c r="GE133" i="1"/>
  <c r="CD133" i="1" s="1"/>
  <c r="GE138" i="1"/>
  <c r="CD138" i="1" s="1"/>
  <c r="GE135" i="1"/>
  <c r="CD135" i="1" s="1"/>
  <c r="GE134" i="1"/>
  <c r="CD134" i="1" s="1"/>
  <c r="GE124" i="1"/>
  <c r="CD124" i="1" s="1"/>
  <c r="GE123" i="1"/>
  <c r="CD123" i="1" s="1"/>
  <c r="GE115" i="1"/>
  <c r="CD115" i="1" s="1"/>
  <c r="GE122" i="1"/>
  <c r="CD122" i="1" s="1"/>
  <c r="GE121" i="1"/>
  <c r="CD121" i="1" s="1"/>
  <c r="GE119" i="1"/>
  <c r="CD119" i="1" s="1"/>
  <c r="GE118" i="1"/>
  <c r="CD118" i="1" s="1"/>
  <c r="GE117" i="1"/>
  <c r="CD117" i="1" s="1"/>
  <c r="GE116" i="1"/>
  <c r="CD116" i="1" s="1"/>
  <c r="GE114" i="1"/>
  <c r="CD114" i="1" s="1"/>
  <c r="GE112" i="1"/>
  <c r="CD112" i="1" s="1"/>
  <c r="GE94" i="1"/>
  <c r="CD94" i="1" s="1"/>
  <c r="GE89" i="1"/>
  <c r="CD89" i="1" s="1"/>
  <c r="GE87" i="1"/>
  <c r="CD87" i="1" s="1"/>
  <c r="GE86" i="1"/>
  <c r="CD86" i="1" s="1"/>
  <c r="GE88" i="1"/>
  <c r="CD88" i="1" s="1"/>
  <c r="GE81" i="1"/>
  <c r="CD81" i="1" s="1"/>
  <c r="GE85" i="1"/>
  <c r="CD85" i="1" s="1"/>
  <c r="GE84" i="1"/>
  <c r="CD84" i="1" s="1"/>
  <c r="GE83" i="1"/>
  <c r="CD83" i="1" s="1"/>
  <c r="GE82" i="1"/>
  <c r="CD82" i="1" s="1"/>
  <c r="GE66" i="1"/>
  <c r="CD66" i="1" s="1"/>
  <c r="GE72" i="1"/>
  <c r="CD72" i="1" s="1"/>
  <c r="GE73" i="1"/>
  <c r="CD73" i="1" s="1"/>
  <c r="GE71" i="1"/>
  <c r="CD71" i="1" s="1"/>
  <c r="GE70" i="1"/>
  <c r="CD70" i="1" s="1"/>
  <c r="GE69" i="1"/>
  <c r="CD69" i="1" s="1"/>
  <c r="GE68" i="1"/>
  <c r="CD68" i="1" s="1"/>
  <c r="GE65" i="1"/>
  <c r="CD65" i="1" s="1"/>
  <c r="GE63" i="1"/>
  <c r="CD63" i="1" s="1"/>
  <c r="GE44" i="1"/>
  <c r="GE32" i="1"/>
  <c r="CD32" i="1" s="1"/>
  <c r="GE31" i="1"/>
  <c r="CD31" i="1" s="1"/>
  <c r="CD233" i="1"/>
  <c r="CD232" i="1"/>
  <c r="GE233" i="1"/>
  <c r="GE232" i="1"/>
  <c r="GE93" i="1"/>
  <c r="CD93" i="1" s="1"/>
  <c r="CD236" i="1"/>
  <c r="CD229" i="1"/>
  <c r="CD235" i="1"/>
  <c r="GE229" i="1"/>
  <c r="GE235" i="1"/>
  <c r="GE159" i="1"/>
  <c r="CD159" i="1" s="1"/>
  <c r="GE59" i="1"/>
  <c r="CD59" i="1" s="1"/>
  <c r="GE60" i="1"/>
  <c r="CD60" i="1" s="1"/>
  <c r="GE160" i="1"/>
  <c r="CD160" i="1" s="1"/>
  <c r="GE236" i="1"/>
  <c r="GE111" i="1"/>
  <c r="CD111" i="1" s="1"/>
  <c r="GE110" i="1"/>
  <c r="CD110" i="1" s="1"/>
  <c r="CD231" i="1"/>
  <c r="CD234" i="1"/>
  <c r="CD230" i="1"/>
  <c r="GE218" i="1"/>
  <c r="CD218" i="1" s="1"/>
  <c r="GE234" i="1"/>
  <c r="GE231" i="1"/>
  <c r="GE230" i="1"/>
  <c r="GF30" i="1"/>
  <c r="GF35" i="1" s="1"/>
  <c r="GE43" i="1"/>
  <c r="GE45" i="1"/>
  <c r="GE41" i="1"/>
  <c r="GE40" i="1"/>
  <c r="GE38" i="1"/>
  <c r="GE39" i="1"/>
  <c r="GE46" i="1"/>
  <c r="GE42" i="1"/>
  <c r="CD41" i="1"/>
  <c r="CD45" i="1"/>
  <c r="CD42" i="1"/>
  <c r="CD43" i="1"/>
  <c r="CE30" i="1"/>
  <c r="CE44" i="1" s="1"/>
  <c r="CD224" i="1"/>
  <c r="CD223" i="1"/>
  <c r="CD221" i="1"/>
  <c r="CD222" i="1"/>
  <c r="GE197" i="1"/>
  <c r="CD197" i="1" s="1"/>
  <c r="GE223" i="1"/>
  <c r="GE222" i="1"/>
  <c r="GE224" i="1"/>
  <c r="GE221" i="1"/>
  <c r="GE212" i="1"/>
  <c r="CD212" i="1" s="1"/>
  <c r="GE215" i="1"/>
  <c r="CD215" i="1" s="1"/>
  <c r="GE214" i="1"/>
  <c r="CD214" i="1" s="1"/>
  <c r="GE213" i="1"/>
  <c r="CD213" i="1" s="1"/>
  <c r="GE207" i="1"/>
  <c r="GE206" i="1"/>
  <c r="GE205" i="1"/>
  <c r="GE204" i="1"/>
  <c r="GE201" i="1"/>
  <c r="CD201" i="1" s="1"/>
  <c r="GE196" i="1"/>
  <c r="CD196" i="1" s="1"/>
  <c r="GE198" i="1"/>
  <c r="CD198" i="1" s="1"/>
  <c r="GE195" i="1"/>
  <c r="CD195" i="1" s="1"/>
  <c r="GE129" i="1"/>
  <c r="CD129" i="1" s="1"/>
  <c r="GE130" i="1"/>
  <c r="CD130" i="1" s="1"/>
  <c r="GE128" i="1"/>
  <c r="CD128" i="1" s="1"/>
  <c r="GE127" i="1"/>
  <c r="CD127" i="1" s="1"/>
  <c r="CD205" i="1"/>
  <c r="CD207" i="1"/>
  <c r="CD206" i="1"/>
  <c r="GE79" i="1"/>
  <c r="CD79" i="1" s="1"/>
  <c r="GE78" i="1"/>
  <c r="CD78" i="1" s="1"/>
  <c r="GE77" i="1"/>
  <c r="CD77" i="1" s="1"/>
  <c r="GE76" i="1"/>
  <c r="CD76" i="1" s="1"/>
  <c r="GE92" i="1"/>
  <c r="CD92" i="1" s="1"/>
  <c r="GE91" i="1"/>
  <c r="CD91" i="1" s="1"/>
  <c r="GE90" i="1"/>
  <c r="CD90" i="1" s="1"/>
  <c r="GE61" i="1"/>
  <c r="CD61" i="1" s="1"/>
  <c r="CD190" i="1"/>
  <c r="CD188" i="1"/>
  <c r="CD187" i="1"/>
  <c r="CD189" i="1"/>
  <c r="CD153" i="1"/>
  <c r="CD150" i="1"/>
  <c r="CD152" i="1"/>
  <c r="CD151" i="1"/>
  <c r="GE188" i="1"/>
  <c r="GE189" i="1"/>
  <c r="GE190" i="1"/>
  <c r="GE187" i="1"/>
  <c r="GE178" i="1"/>
  <c r="CD178" i="1" s="1"/>
  <c r="GE152" i="1"/>
  <c r="GE151" i="1"/>
  <c r="GE150" i="1"/>
  <c r="GE153" i="1"/>
  <c r="GE99" i="1"/>
  <c r="GE103" i="1"/>
  <c r="GE102" i="1"/>
  <c r="GE98" i="1"/>
  <c r="GE97" i="1"/>
  <c r="GE100" i="1"/>
  <c r="GE149" i="1"/>
  <c r="GE101" i="1"/>
  <c r="GE104" i="1"/>
  <c r="CD97" i="1"/>
  <c r="CD100" i="1"/>
  <c r="CD101" i="1"/>
  <c r="CD98" i="1"/>
  <c r="CD102" i="1"/>
  <c r="CD103" i="1"/>
  <c r="CD99" i="1"/>
  <c r="CD104" i="1"/>
  <c r="GE80" i="1"/>
  <c r="CD80" i="1" s="1"/>
  <c r="GE158" i="1"/>
  <c r="CD158" i="1" s="1"/>
  <c r="GE67" i="1"/>
  <c r="CD67" i="1" s="1"/>
  <c r="GE120" i="1"/>
  <c r="CD120" i="1" s="1"/>
  <c r="GE109" i="1"/>
  <c r="CD109" i="1" s="1"/>
  <c r="GE162" i="1"/>
  <c r="CD162" i="1" s="1"/>
  <c r="GE113" i="1"/>
  <c r="CD113" i="1" s="1"/>
  <c r="GE64" i="1"/>
  <c r="CD64" i="1" s="1"/>
  <c r="GE62" i="1"/>
  <c r="CD62" i="1" s="1"/>
  <c r="GF56" i="1"/>
  <c r="GE58" i="1"/>
  <c r="CD58" i="1" s="1"/>
  <c r="CE56" i="1"/>
  <c r="CE35" i="1" l="1"/>
  <c r="CD125" i="1"/>
  <c r="CD147" i="1"/>
  <c r="GF184" i="1"/>
  <c r="CE184" i="1" s="1"/>
  <c r="GF183" i="1"/>
  <c r="CE183" i="1" s="1"/>
  <c r="GF181" i="1"/>
  <c r="CE181" i="1" s="1"/>
  <c r="GF182" i="1"/>
  <c r="CE182" i="1" s="1"/>
  <c r="GF179" i="1"/>
  <c r="CE179" i="1" s="1"/>
  <c r="GF180" i="1"/>
  <c r="CE180" i="1" s="1"/>
  <c r="GF163" i="1"/>
  <c r="CE163" i="1" s="1"/>
  <c r="GF177" i="1"/>
  <c r="CE177" i="1" s="1"/>
  <c r="GF176" i="1"/>
  <c r="CE176" i="1" s="1"/>
  <c r="GF175" i="1"/>
  <c r="CE175" i="1" s="1"/>
  <c r="GF174" i="1"/>
  <c r="CE174" i="1" s="1"/>
  <c r="GF161" i="1"/>
  <c r="CE161" i="1" s="1"/>
  <c r="GF171" i="1"/>
  <c r="CE171" i="1" s="1"/>
  <c r="GF170" i="1"/>
  <c r="CE170" i="1" s="1"/>
  <c r="GF168" i="1"/>
  <c r="CE168" i="1" s="1"/>
  <c r="GF169" i="1"/>
  <c r="CE169" i="1" s="1"/>
  <c r="GF166" i="1"/>
  <c r="CE166" i="1" s="1"/>
  <c r="GF164" i="1"/>
  <c r="CE164" i="1" s="1"/>
  <c r="GF165" i="1"/>
  <c r="CE165" i="1" s="1"/>
  <c r="GF167" i="1"/>
  <c r="CE167" i="1" s="1"/>
  <c r="GF137" i="1"/>
  <c r="CE137" i="1" s="1"/>
  <c r="GF136" i="1"/>
  <c r="CE136" i="1" s="1"/>
  <c r="GF146" i="1"/>
  <c r="CE146" i="1" s="1"/>
  <c r="GF145" i="1"/>
  <c r="CE145" i="1" s="1"/>
  <c r="GF144" i="1"/>
  <c r="CE144" i="1" s="1"/>
  <c r="GF143" i="1"/>
  <c r="CE143" i="1" s="1"/>
  <c r="GF142" i="1"/>
  <c r="CE142" i="1" s="1"/>
  <c r="GF141" i="1"/>
  <c r="CE141" i="1" s="1"/>
  <c r="GF139" i="1"/>
  <c r="CE139" i="1" s="1"/>
  <c r="GF140" i="1"/>
  <c r="CE140" i="1" s="1"/>
  <c r="GF131" i="1"/>
  <c r="CE131" i="1" s="1"/>
  <c r="GF132" i="1"/>
  <c r="CE132" i="1" s="1"/>
  <c r="GF133" i="1"/>
  <c r="CE133" i="1" s="1"/>
  <c r="GF138" i="1"/>
  <c r="CE138" i="1" s="1"/>
  <c r="GF135" i="1"/>
  <c r="CE135" i="1" s="1"/>
  <c r="GF134" i="1"/>
  <c r="CE134" i="1" s="1"/>
  <c r="GF124" i="1"/>
  <c r="CE124" i="1" s="1"/>
  <c r="GF123" i="1"/>
  <c r="CE123" i="1" s="1"/>
  <c r="GF115" i="1"/>
  <c r="CE115" i="1" s="1"/>
  <c r="GF121" i="1"/>
  <c r="CE121" i="1" s="1"/>
  <c r="GF122" i="1"/>
  <c r="CE122" i="1" s="1"/>
  <c r="GF118" i="1"/>
  <c r="CE118" i="1" s="1"/>
  <c r="GF119" i="1"/>
  <c r="CE119" i="1" s="1"/>
  <c r="GF117" i="1"/>
  <c r="CE117" i="1" s="1"/>
  <c r="GF114" i="1"/>
  <c r="CE114" i="1" s="1"/>
  <c r="GF116" i="1"/>
  <c r="CE116" i="1" s="1"/>
  <c r="GF112" i="1"/>
  <c r="CE112" i="1" s="1"/>
  <c r="GF94" i="1"/>
  <c r="CE94" i="1" s="1"/>
  <c r="GF89" i="1"/>
  <c r="CE89" i="1" s="1"/>
  <c r="GF88" i="1"/>
  <c r="CE88" i="1" s="1"/>
  <c r="GF87" i="1"/>
  <c r="CE87" i="1" s="1"/>
  <c r="GF86" i="1"/>
  <c r="CE86" i="1" s="1"/>
  <c r="GF81" i="1"/>
  <c r="CE81" i="1" s="1"/>
  <c r="GF85" i="1"/>
  <c r="CE85" i="1" s="1"/>
  <c r="GF84" i="1"/>
  <c r="CE84" i="1" s="1"/>
  <c r="GF82" i="1"/>
  <c r="CE82" i="1" s="1"/>
  <c r="GF83" i="1"/>
  <c r="CE83" i="1" s="1"/>
  <c r="GF66" i="1"/>
  <c r="CE66" i="1" s="1"/>
  <c r="GF73" i="1"/>
  <c r="CE73" i="1" s="1"/>
  <c r="GF71" i="1"/>
  <c r="CE71" i="1" s="1"/>
  <c r="GF72" i="1"/>
  <c r="CE72" i="1" s="1"/>
  <c r="GF70" i="1"/>
  <c r="CE70" i="1" s="1"/>
  <c r="GF69" i="1"/>
  <c r="CE69" i="1" s="1"/>
  <c r="GF68" i="1"/>
  <c r="CE68" i="1" s="1"/>
  <c r="GF65" i="1"/>
  <c r="CE65" i="1" s="1"/>
  <c r="GF63" i="1"/>
  <c r="CE63" i="1" s="1"/>
  <c r="GF44" i="1"/>
  <c r="GF32" i="1"/>
  <c r="CE32" i="1" s="1"/>
  <c r="GF31" i="1"/>
  <c r="CE31" i="1" s="1"/>
  <c r="GF232" i="1"/>
  <c r="GF233" i="1"/>
  <c r="CE233" i="1"/>
  <c r="CE232" i="1"/>
  <c r="GF93" i="1"/>
  <c r="CE93" i="1" s="1"/>
  <c r="CE236" i="1"/>
  <c r="CE229" i="1"/>
  <c r="CE235" i="1"/>
  <c r="GF229" i="1"/>
  <c r="GF235" i="1"/>
  <c r="GF160" i="1"/>
  <c r="CE160" i="1" s="1"/>
  <c r="GF59" i="1"/>
  <c r="CE59" i="1" s="1"/>
  <c r="GF60" i="1"/>
  <c r="CE60" i="1" s="1"/>
  <c r="GF159" i="1"/>
  <c r="CE159" i="1" s="1"/>
  <c r="GF111" i="1"/>
  <c r="CE111" i="1" s="1"/>
  <c r="GF110" i="1"/>
  <c r="CE110" i="1" s="1"/>
  <c r="GF236" i="1"/>
  <c r="GF218" i="1"/>
  <c r="CE218" i="1" s="1"/>
  <c r="GF234" i="1"/>
  <c r="GF231" i="1"/>
  <c r="GF230" i="1"/>
  <c r="CE234" i="1"/>
  <c r="CE230" i="1"/>
  <c r="CE231" i="1"/>
  <c r="GF45" i="1"/>
  <c r="GG30" i="1"/>
  <c r="GG35" i="1" s="1"/>
  <c r="GF41" i="1"/>
  <c r="GF38" i="1"/>
  <c r="GF39" i="1"/>
  <c r="GF40" i="1"/>
  <c r="GF42" i="1"/>
  <c r="GF46" i="1"/>
  <c r="GF43" i="1"/>
  <c r="CE41" i="1"/>
  <c r="CF30" i="1"/>
  <c r="CF44" i="1" s="1"/>
  <c r="CE43" i="1"/>
  <c r="CE42" i="1"/>
  <c r="CE45" i="1"/>
  <c r="GF197" i="1"/>
  <c r="CE197" i="1" s="1"/>
  <c r="GF222" i="1"/>
  <c r="GF221" i="1"/>
  <c r="GF223" i="1"/>
  <c r="GF224" i="1"/>
  <c r="GF213" i="1"/>
  <c r="CE213" i="1" s="1"/>
  <c r="GF212" i="1"/>
  <c r="CE212" i="1" s="1"/>
  <c r="GF215" i="1"/>
  <c r="CE215" i="1" s="1"/>
  <c r="GF214" i="1"/>
  <c r="CE214" i="1" s="1"/>
  <c r="CE224" i="1"/>
  <c r="CE223" i="1"/>
  <c r="CE222" i="1"/>
  <c r="CE221" i="1"/>
  <c r="CE206" i="1"/>
  <c r="CE207" i="1"/>
  <c r="CE205" i="1"/>
  <c r="GF207" i="1"/>
  <c r="GF206" i="1"/>
  <c r="GF205" i="1"/>
  <c r="GF204" i="1"/>
  <c r="GF201" i="1"/>
  <c r="CE201" i="1" s="1"/>
  <c r="GF196" i="1"/>
  <c r="CE196" i="1" s="1"/>
  <c r="GF198" i="1"/>
  <c r="CE198" i="1" s="1"/>
  <c r="GF195" i="1"/>
  <c r="CE195" i="1" s="1"/>
  <c r="GF129" i="1"/>
  <c r="CE129" i="1" s="1"/>
  <c r="GF130" i="1"/>
  <c r="CE130" i="1" s="1"/>
  <c r="GF128" i="1"/>
  <c r="CE128" i="1" s="1"/>
  <c r="GF127" i="1"/>
  <c r="CE127" i="1" s="1"/>
  <c r="GF79" i="1"/>
  <c r="CE79" i="1" s="1"/>
  <c r="GF78" i="1"/>
  <c r="CE78" i="1" s="1"/>
  <c r="GF77" i="1"/>
  <c r="CE77" i="1" s="1"/>
  <c r="GF92" i="1"/>
  <c r="CE92" i="1" s="1"/>
  <c r="GF91" i="1"/>
  <c r="CE91" i="1" s="1"/>
  <c r="GF90" i="1"/>
  <c r="CE90" i="1" s="1"/>
  <c r="GF61" i="1"/>
  <c r="CE61" i="1" s="1"/>
  <c r="GF76" i="1"/>
  <c r="CE76" i="1" s="1"/>
  <c r="CE189" i="1"/>
  <c r="CE188" i="1"/>
  <c r="CE187" i="1"/>
  <c r="CE190" i="1"/>
  <c r="CE153" i="1"/>
  <c r="CE152" i="1"/>
  <c r="CE151" i="1"/>
  <c r="CE150" i="1"/>
  <c r="GF189" i="1"/>
  <c r="GF190" i="1"/>
  <c r="GF187" i="1"/>
  <c r="GF188" i="1"/>
  <c r="GF178" i="1"/>
  <c r="CE178" i="1" s="1"/>
  <c r="GF150" i="1"/>
  <c r="GF152" i="1"/>
  <c r="GF153" i="1"/>
  <c r="GF151" i="1"/>
  <c r="GF98" i="1"/>
  <c r="GF102" i="1"/>
  <c r="GF99" i="1"/>
  <c r="GF149" i="1"/>
  <c r="GF101" i="1"/>
  <c r="GF100" i="1"/>
  <c r="GF103" i="1"/>
  <c r="GF97" i="1"/>
  <c r="GF104" i="1"/>
  <c r="CE98" i="1"/>
  <c r="CE97" i="1"/>
  <c r="CE100" i="1"/>
  <c r="CE102" i="1"/>
  <c r="CE101" i="1"/>
  <c r="CE103" i="1"/>
  <c r="CE104" i="1"/>
  <c r="CE99" i="1"/>
  <c r="GF80" i="1"/>
  <c r="CE80" i="1" s="1"/>
  <c r="GF158" i="1"/>
  <c r="CE158" i="1" s="1"/>
  <c r="GF120" i="1"/>
  <c r="CE120" i="1" s="1"/>
  <c r="GF67" i="1"/>
  <c r="CE67" i="1" s="1"/>
  <c r="GF109" i="1"/>
  <c r="CE109" i="1" s="1"/>
  <c r="GF162" i="1"/>
  <c r="CE162" i="1" s="1"/>
  <c r="GF113" i="1"/>
  <c r="CE113" i="1" s="1"/>
  <c r="GG56" i="1"/>
  <c r="GF64" i="1"/>
  <c r="CE64" i="1" s="1"/>
  <c r="GF58" i="1"/>
  <c r="CE58" i="1" s="1"/>
  <c r="GF62" i="1"/>
  <c r="CE62" i="1" s="1"/>
  <c r="CF56" i="1"/>
  <c r="CF35" i="1" l="1"/>
  <c r="CE125" i="1"/>
  <c r="CE147" i="1"/>
  <c r="GG184" i="1"/>
  <c r="CF184" i="1" s="1"/>
  <c r="GG179" i="1"/>
  <c r="CF179" i="1" s="1"/>
  <c r="GG182" i="1"/>
  <c r="CF182" i="1" s="1"/>
  <c r="GG181" i="1"/>
  <c r="CF181" i="1" s="1"/>
  <c r="GG183" i="1"/>
  <c r="CF183" i="1" s="1"/>
  <c r="GG180" i="1"/>
  <c r="CF180" i="1" s="1"/>
  <c r="GG163" i="1"/>
  <c r="CF163" i="1" s="1"/>
  <c r="GG176" i="1"/>
  <c r="CF176" i="1" s="1"/>
  <c r="GG174" i="1"/>
  <c r="CF174" i="1" s="1"/>
  <c r="GG177" i="1"/>
  <c r="CF177" i="1" s="1"/>
  <c r="GG175" i="1"/>
  <c r="CF175" i="1" s="1"/>
  <c r="GG161" i="1"/>
  <c r="CF161" i="1" s="1"/>
  <c r="GG171" i="1"/>
  <c r="CF171" i="1" s="1"/>
  <c r="GG170" i="1"/>
  <c r="CF170" i="1" s="1"/>
  <c r="GG168" i="1"/>
  <c r="CF168" i="1" s="1"/>
  <c r="GG169" i="1"/>
  <c r="CF169" i="1" s="1"/>
  <c r="GG166" i="1"/>
  <c r="CF166" i="1" s="1"/>
  <c r="GG167" i="1"/>
  <c r="CF167" i="1" s="1"/>
  <c r="GG165" i="1"/>
  <c r="CF165" i="1" s="1"/>
  <c r="GG164" i="1"/>
  <c r="CF164" i="1" s="1"/>
  <c r="GG137" i="1"/>
  <c r="CF137" i="1" s="1"/>
  <c r="GG136" i="1"/>
  <c r="CF136" i="1" s="1"/>
  <c r="GG145" i="1"/>
  <c r="CF145" i="1" s="1"/>
  <c r="GG144" i="1"/>
  <c r="CF144" i="1" s="1"/>
  <c r="GG146" i="1"/>
  <c r="CF146" i="1" s="1"/>
  <c r="GG142" i="1"/>
  <c r="CF142" i="1" s="1"/>
  <c r="GG143" i="1"/>
  <c r="CF143" i="1" s="1"/>
  <c r="GG139" i="1"/>
  <c r="CF139" i="1" s="1"/>
  <c r="GG140" i="1"/>
  <c r="CF140" i="1" s="1"/>
  <c r="GG141" i="1"/>
  <c r="CF141" i="1" s="1"/>
  <c r="GG131" i="1"/>
  <c r="CF131" i="1" s="1"/>
  <c r="GG133" i="1"/>
  <c r="CF133" i="1" s="1"/>
  <c r="GG132" i="1"/>
  <c r="CF132" i="1" s="1"/>
  <c r="GG135" i="1"/>
  <c r="CF135" i="1" s="1"/>
  <c r="GG134" i="1"/>
  <c r="CF134" i="1" s="1"/>
  <c r="GG138" i="1"/>
  <c r="CF138" i="1" s="1"/>
  <c r="GG123" i="1"/>
  <c r="CF123" i="1" s="1"/>
  <c r="GG124" i="1"/>
  <c r="CF124" i="1" s="1"/>
  <c r="GG115" i="1"/>
  <c r="CF115" i="1" s="1"/>
  <c r="GG121" i="1"/>
  <c r="CF121" i="1" s="1"/>
  <c r="GG122" i="1"/>
  <c r="CF122" i="1" s="1"/>
  <c r="GG118" i="1"/>
  <c r="CF118" i="1" s="1"/>
  <c r="GG114" i="1"/>
  <c r="CF114" i="1" s="1"/>
  <c r="GG117" i="1"/>
  <c r="CF117" i="1" s="1"/>
  <c r="GG116" i="1"/>
  <c r="CF116" i="1" s="1"/>
  <c r="GG119" i="1"/>
  <c r="CF119" i="1" s="1"/>
  <c r="GG112" i="1"/>
  <c r="CF112" i="1" s="1"/>
  <c r="GG94" i="1"/>
  <c r="CF94" i="1" s="1"/>
  <c r="GG88" i="1"/>
  <c r="CF88" i="1" s="1"/>
  <c r="GG87" i="1"/>
  <c r="CF87" i="1" s="1"/>
  <c r="GG89" i="1"/>
  <c r="CF89" i="1" s="1"/>
  <c r="GG86" i="1"/>
  <c r="CF86" i="1" s="1"/>
  <c r="GG81" i="1"/>
  <c r="CF81" i="1" s="1"/>
  <c r="GG84" i="1"/>
  <c r="CF84" i="1" s="1"/>
  <c r="GG85" i="1"/>
  <c r="CF85" i="1" s="1"/>
  <c r="GG82" i="1"/>
  <c r="CF82" i="1" s="1"/>
  <c r="GG83" i="1"/>
  <c r="CF83" i="1" s="1"/>
  <c r="GG66" i="1"/>
  <c r="CF66" i="1" s="1"/>
  <c r="GG72" i="1"/>
  <c r="CF72" i="1" s="1"/>
  <c r="GG73" i="1"/>
  <c r="CF73" i="1" s="1"/>
  <c r="GG69" i="1"/>
  <c r="CF69" i="1" s="1"/>
  <c r="GG68" i="1"/>
  <c r="CF68" i="1" s="1"/>
  <c r="GG70" i="1"/>
  <c r="CF70" i="1" s="1"/>
  <c r="GG71" i="1"/>
  <c r="CF71" i="1" s="1"/>
  <c r="GG65" i="1"/>
  <c r="CF65" i="1" s="1"/>
  <c r="GG63" i="1"/>
  <c r="CF63" i="1" s="1"/>
  <c r="GG44" i="1"/>
  <c r="GG32" i="1"/>
  <c r="CF32" i="1" s="1"/>
  <c r="GG31" i="1"/>
  <c r="CF31" i="1" s="1"/>
  <c r="CF233" i="1"/>
  <c r="CF232" i="1"/>
  <c r="GG232" i="1"/>
  <c r="GG233" i="1"/>
  <c r="GG93" i="1"/>
  <c r="CF93" i="1" s="1"/>
  <c r="CF236" i="1"/>
  <c r="CF235" i="1"/>
  <c r="CF229" i="1"/>
  <c r="GG235" i="1"/>
  <c r="GG229" i="1"/>
  <c r="GG159" i="1"/>
  <c r="CF159" i="1" s="1"/>
  <c r="GG59" i="1"/>
  <c r="CF59" i="1" s="1"/>
  <c r="GG60" i="1"/>
  <c r="CF60" i="1" s="1"/>
  <c r="GG160" i="1"/>
  <c r="CF160" i="1" s="1"/>
  <c r="GG111" i="1"/>
  <c r="CF111" i="1" s="1"/>
  <c r="GG236" i="1"/>
  <c r="GG110" i="1"/>
  <c r="CF110" i="1" s="1"/>
  <c r="CF234" i="1"/>
  <c r="CF231" i="1"/>
  <c r="CF230" i="1"/>
  <c r="GG218" i="1"/>
  <c r="CF218" i="1" s="1"/>
  <c r="GG231" i="1"/>
  <c r="GG230" i="1"/>
  <c r="GG234" i="1"/>
  <c r="GG40" i="1"/>
  <c r="GG43" i="1"/>
  <c r="GG45" i="1"/>
  <c r="GG46" i="1"/>
  <c r="GG41" i="1"/>
  <c r="GG39" i="1"/>
  <c r="GH30" i="1"/>
  <c r="GH35" i="1" s="1"/>
  <c r="GG42" i="1"/>
  <c r="GG38" i="1"/>
  <c r="CF43" i="1"/>
  <c r="CG30" i="1"/>
  <c r="CG44" i="1" s="1"/>
  <c r="CF41" i="1"/>
  <c r="CF45" i="1"/>
  <c r="CF42" i="1"/>
  <c r="CF222" i="1"/>
  <c r="CF221" i="1"/>
  <c r="CF223" i="1"/>
  <c r="CF224" i="1"/>
  <c r="GG197" i="1"/>
  <c r="CF197" i="1" s="1"/>
  <c r="GG223" i="1"/>
  <c r="GG224" i="1"/>
  <c r="GG222" i="1"/>
  <c r="GG221" i="1"/>
  <c r="GG215" i="1"/>
  <c r="CF215" i="1" s="1"/>
  <c r="GG213" i="1"/>
  <c r="CF213" i="1" s="1"/>
  <c r="GG212" i="1"/>
  <c r="CF212" i="1" s="1"/>
  <c r="GG214" i="1"/>
  <c r="CF214" i="1" s="1"/>
  <c r="GG206" i="1"/>
  <c r="GG205" i="1"/>
  <c r="GG207" i="1"/>
  <c r="GG204" i="1"/>
  <c r="GG201" i="1"/>
  <c r="CF201" i="1" s="1"/>
  <c r="GG198" i="1"/>
  <c r="CF198" i="1" s="1"/>
  <c r="GG195" i="1"/>
  <c r="CF195" i="1" s="1"/>
  <c r="GG196" i="1"/>
  <c r="CF196" i="1" s="1"/>
  <c r="GG130" i="1"/>
  <c r="CF130" i="1" s="1"/>
  <c r="GG128" i="1"/>
  <c r="CF128" i="1" s="1"/>
  <c r="GG127" i="1"/>
  <c r="CF127" i="1" s="1"/>
  <c r="GG129" i="1"/>
  <c r="CF129" i="1" s="1"/>
  <c r="CF207" i="1"/>
  <c r="CF206" i="1"/>
  <c r="CF205" i="1"/>
  <c r="GG78" i="1"/>
  <c r="CF78" i="1" s="1"/>
  <c r="GG79" i="1"/>
  <c r="CF79" i="1" s="1"/>
  <c r="GG77" i="1"/>
  <c r="CF77" i="1" s="1"/>
  <c r="GG61" i="1"/>
  <c r="CF61" i="1" s="1"/>
  <c r="GG76" i="1"/>
  <c r="CF76" i="1" s="1"/>
  <c r="GG91" i="1"/>
  <c r="CF91" i="1" s="1"/>
  <c r="GG92" i="1"/>
  <c r="CF92" i="1" s="1"/>
  <c r="GG90" i="1"/>
  <c r="CF90" i="1" s="1"/>
  <c r="GG190" i="1"/>
  <c r="GG178" i="1"/>
  <c r="CF178" i="1" s="1"/>
  <c r="GG187" i="1"/>
  <c r="GG188" i="1"/>
  <c r="GG189" i="1"/>
  <c r="CF190" i="1"/>
  <c r="CF189" i="1"/>
  <c r="CF150" i="1"/>
  <c r="CF188" i="1"/>
  <c r="CF187" i="1"/>
  <c r="CF153" i="1"/>
  <c r="CF152" i="1"/>
  <c r="CF151" i="1"/>
  <c r="GG153" i="1"/>
  <c r="GG151" i="1"/>
  <c r="GG152" i="1"/>
  <c r="GG97" i="1"/>
  <c r="GG101" i="1"/>
  <c r="GG100" i="1"/>
  <c r="GG103" i="1"/>
  <c r="GG149" i="1"/>
  <c r="GG99" i="1"/>
  <c r="GG150" i="1"/>
  <c r="GG98" i="1"/>
  <c r="GG104" i="1"/>
  <c r="GG102" i="1"/>
  <c r="CF99" i="1"/>
  <c r="CF98" i="1"/>
  <c r="CF97" i="1"/>
  <c r="CF103" i="1"/>
  <c r="CF100" i="1"/>
  <c r="CF102" i="1"/>
  <c r="CF104" i="1"/>
  <c r="CF101" i="1"/>
  <c r="GG80" i="1"/>
  <c r="CF80" i="1" s="1"/>
  <c r="GG158" i="1"/>
  <c r="CF158" i="1" s="1"/>
  <c r="GG120" i="1"/>
  <c r="CF120" i="1" s="1"/>
  <c r="GG67" i="1"/>
  <c r="CF67" i="1" s="1"/>
  <c r="GG109" i="1"/>
  <c r="CF109" i="1" s="1"/>
  <c r="GG162" i="1"/>
  <c r="CF162" i="1" s="1"/>
  <c r="GG113" i="1"/>
  <c r="CF113" i="1" s="1"/>
  <c r="GG58" i="1"/>
  <c r="CF58" i="1" s="1"/>
  <c r="GG64" i="1"/>
  <c r="CF64" i="1" s="1"/>
  <c r="GH56" i="1"/>
  <c r="GG62" i="1"/>
  <c r="CF62" i="1" s="1"/>
  <c r="CG56" i="1"/>
  <c r="CG35" i="1" l="1"/>
  <c r="CF147" i="1"/>
  <c r="CF125" i="1"/>
  <c r="GH184" i="1"/>
  <c r="CG184" i="1" s="1"/>
  <c r="GH182" i="1"/>
  <c r="CG182" i="1" s="1"/>
  <c r="GH180" i="1"/>
  <c r="CG180" i="1" s="1"/>
  <c r="GH179" i="1"/>
  <c r="CG179" i="1" s="1"/>
  <c r="GH183" i="1"/>
  <c r="CG183" i="1" s="1"/>
  <c r="GH181" i="1"/>
  <c r="CG181" i="1" s="1"/>
  <c r="GH163" i="1"/>
  <c r="CG163" i="1" s="1"/>
  <c r="GH176" i="1"/>
  <c r="CG176" i="1" s="1"/>
  <c r="GH177" i="1"/>
  <c r="CG177" i="1" s="1"/>
  <c r="GH175" i="1"/>
  <c r="CG175" i="1" s="1"/>
  <c r="GH174" i="1"/>
  <c r="CG174" i="1" s="1"/>
  <c r="GH161" i="1"/>
  <c r="CG161" i="1" s="1"/>
  <c r="GH170" i="1"/>
  <c r="CG170" i="1" s="1"/>
  <c r="GH171" i="1"/>
  <c r="CG171" i="1" s="1"/>
  <c r="GH169" i="1"/>
  <c r="CG169" i="1" s="1"/>
  <c r="GH167" i="1"/>
  <c r="CG167" i="1" s="1"/>
  <c r="GH168" i="1"/>
  <c r="CG168" i="1" s="1"/>
  <c r="GH165" i="1"/>
  <c r="CG165" i="1" s="1"/>
  <c r="GH166" i="1"/>
  <c r="CG166" i="1" s="1"/>
  <c r="GH164" i="1"/>
  <c r="CG164" i="1" s="1"/>
  <c r="GH137" i="1"/>
  <c r="CG137" i="1" s="1"/>
  <c r="GH136" i="1"/>
  <c r="CG136" i="1" s="1"/>
  <c r="GH146" i="1"/>
  <c r="CG146" i="1" s="1"/>
  <c r="GH144" i="1"/>
  <c r="CG144" i="1" s="1"/>
  <c r="GH145" i="1"/>
  <c r="CG145" i="1" s="1"/>
  <c r="GH143" i="1"/>
  <c r="CG143" i="1" s="1"/>
  <c r="GH141" i="1"/>
  <c r="CG141" i="1" s="1"/>
  <c r="GH142" i="1"/>
  <c r="CG142" i="1" s="1"/>
  <c r="GH140" i="1"/>
  <c r="CG140" i="1" s="1"/>
  <c r="GH139" i="1"/>
  <c r="CG139" i="1" s="1"/>
  <c r="GH131" i="1"/>
  <c r="CG131" i="1" s="1"/>
  <c r="GH132" i="1"/>
  <c r="CG132" i="1" s="1"/>
  <c r="GH133" i="1"/>
  <c r="CG133" i="1" s="1"/>
  <c r="GH135" i="1"/>
  <c r="CG135" i="1" s="1"/>
  <c r="GH138" i="1"/>
  <c r="CG138" i="1" s="1"/>
  <c r="GH134" i="1"/>
  <c r="CG134" i="1" s="1"/>
  <c r="GH123" i="1"/>
  <c r="CG123" i="1" s="1"/>
  <c r="GH124" i="1"/>
  <c r="CG124" i="1" s="1"/>
  <c r="GH115" i="1"/>
  <c r="CG115" i="1" s="1"/>
  <c r="GH122" i="1"/>
  <c r="CG122" i="1" s="1"/>
  <c r="GH121" i="1"/>
  <c r="CG121" i="1" s="1"/>
  <c r="GH119" i="1"/>
  <c r="CG119" i="1" s="1"/>
  <c r="GH117" i="1"/>
  <c r="CG117" i="1" s="1"/>
  <c r="GH118" i="1"/>
  <c r="CG118" i="1" s="1"/>
  <c r="GH116" i="1"/>
  <c r="CG116" i="1" s="1"/>
  <c r="GH114" i="1"/>
  <c r="CG114" i="1" s="1"/>
  <c r="GH112" i="1"/>
  <c r="CG112" i="1" s="1"/>
  <c r="GH94" i="1"/>
  <c r="CG94" i="1" s="1"/>
  <c r="GH88" i="1"/>
  <c r="CG88" i="1" s="1"/>
  <c r="GH89" i="1"/>
  <c r="CG89" i="1" s="1"/>
  <c r="GH87" i="1"/>
  <c r="CG87" i="1" s="1"/>
  <c r="GH86" i="1"/>
  <c r="CG86" i="1" s="1"/>
  <c r="GH81" i="1"/>
  <c r="CG81" i="1" s="1"/>
  <c r="GH84" i="1"/>
  <c r="CG84" i="1" s="1"/>
  <c r="GH85" i="1"/>
  <c r="CG85" i="1" s="1"/>
  <c r="GH83" i="1"/>
  <c r="CG83" i="1" s="1"/>
  <c r="GH82" i="1"/>
  <c r="CG82" i="1" s="1"/>
  <c r="GH66" i="1"/>
  <c r="CG66" i="1" s="1"/>
  <c r="GH73" i="1"/>
  <c r="CG73" i="1" s="1"/>
  <c r="GH72" i="1"/>
  <c r="CG72" i="1" s="1"/>
  <c r="GH68" i="1"/>
  <c r="CG68" i="1" s="1"/>
  <c r="GH71" i="1"/>
  <c r="CG71" i="1" s="1"/>
  <c r="GH70" i="1"/>
  <c r="CG70" i="1" s="1"/>
  <c r="GH69" i="1"/>
  <c r="CG69" i="1" s="1"/>
  <c r="GH65" i="1"/>
  <c r="CG65" i="1" s="1"/>
  <c r="GH63" i="1"/>
  <c r="CG63" i="1" s="1"/>
  <c r="GH44" i="1"/>
  <c r="GH31" i="1"/>
  <c r="CG31" i="1" s="1"/>
  <c r="GH32" i="1"/>
  <c r="CG32" i="1" s="1"/>
  <c r="GH232" i="1"/>
  <c r="GH233" i="1"/>
  <c r="CG233" i="1"/>
  <c r="CG232" i="1"/>
  <c r="GH93" i="1"/>
  <c r="CG93" i="1" s="1"/>
  <c r="CG236" i="1"/>
  <c r="CG235" i="1"/>
  <c r="CG229" i="1"/>
  <c r="GH235" i="1"/>
  <c r="GH229" i="1"/>
  <c r="GH59" i="1"/>
  <c r="CG59" i="1" s="1"/>
  <c r="GH160" i="1"/>
  <c r="CG160" i="1" s="1"/>
  <c r="GH60" i="1"/>
  <c r="CG60" i="1" s="1"/>
  <c r="GH159" i="1"/>
  <c r="CG159" i="1" s="1"/>
  <c r="GH111" i="1"/>
  <c r="CG111" i="1" s="1"/>
  <c r="GH110" i="1"/>
  <c r="CG110" i="1" s="1"/>
  <c r="GH236" i="1"/>
  <c r="GH218" i="1"/>
  <c r="CG218" i="1" s="1"/>
  <c r="GH231" i="1"/>
  <c r="GH234" i="1"/>
  <c r="GH230" i="1"/>
  <c r="CG234" i="1"/>
  <c r="CG231" i="1"/>
  <c r="CG230" i="1"/>
  <c r="GH42" i="1"/>
  <c r="GH39" i="1"/>
  <c r="GH43" i="1"/>
  <c r="GH41" i="1"/>
  <c r="GI30" i="1"/>
  <c r="GI35" i="1" s="1"/>
  <c r="GH46" i="1"/>
  <c r="GH40" i="1"/>
  <c r="GH38" i="1"/>
  <c r="GH45" i="1"/>
  <c r="CG43" i="1"/>
  <c r="CG41" i="1"/>
  <c r="CG45" i="1"/>
  <c r="CG42" i="1"/>
  <c r="CH30" i="1"/>
  <c r="CH44" i="1" s="1"/>
  <c r="GH197" i="1"/>
  <c r="CG197" i="1" s="1"/>
  <c r="GH224" i="1"/>
  <c r="GH223" i="1"/>
  <c r="GH221" i="1"/>
  <c r="GH214" i="1"/>
  <c r="CG214" i="1" s="1"/>
  <c r="GH222" i="1"/>
  <c r="GH215" i="1"/>
  <c r="CG215" i="1" s="1"/>
  <c r="GH213" i="1"/>
  <c r="CG213" i="1" s="1"/>
  <c r="GH212" i="1"/>
  <c r="CG212" i="1" s="1"/>
  <c r="CG224" i="1"/>
  <c r="CG222" i="1"/>
  <c r="CG221" i="1"/>
  <c r="CG223" i="1"/>
  <c r="GH207" i="1"/>
  <c r="GH206" i="1"/>
  <c r="GH205" i="1"/>
  <c r="GH204" i="1"/>
  <c r="GH201" i="1"/>
  <c r="CG201" i="1" s="1"/>
  <c r="GH195" i="1"/>
  <c r="CG195" i="1" s="1"/>
  <c r="GH196" i="1"/>
  <c r="CG196" i="1" s="1"/>
  <c r="GH198" i="1"/>
  <c r="CG198" i="1" s="1"/>
  <c r="GH129" i="1"/>
  <c r="CG129" i="1" s="1"/>
  <c r="GH130" i="1"/>
  <c r="CG130" i="1" s="1"/>
  <c r="GH128" i="1"/>
  <c r="CG128" i="1" s="1"/>
  <c r="GH127" i="1"/>
  <c r="CG127" i="1" s="1"/>
  <c r="CG207" i="1"/>
  <c r="CG206" i="1"/>
  <c r="CG205" i="1"/>
  <c r="GH78" i="1"/>
  <c r="CG78" i="1" s="1"/>
  <c r="GH79" i="1"/>
  <c r="CG79" i="1" s="1"/>
  <c r="GH76" i="1"/>
  <c r="CG76" i="1" s="1"/>
  <c r="GH61" i="1"/>
  <c r="CG61" i="1" s="1"/>
  <c r="GH77" i="1"/>
  <c r="CG77" i="1" s="1"/>
  <c r="GH92" i="1"/>
  <c r="CG92" i="1" s="1"/>
  <c r="GH90" i="1"/>
  <c r="CG90" i="1" s="1"/>
  <c r="GH91" i="1"/>
  <c r="CG91" i="1" s="1"/>
  <c r="CG189" i="1"/>
  <c r="CG188" i="1"/>
  <c r="CG190" i="1"/>
  <c r="CG187" i="1"/>
  <c r="CG151" i="1"/>
  <c r="CG152" i="1"/>
  <c r="CG150" i="1"/>
  <c r="CG153" i="1"/>
  <c r="GH190" i="1"/>
  <c r="GH189" i="1"/>
  <c r="GH187" i="1"/>
  <c r="GH188" i="1"/>
  <c r="GH178" i="1"/>
  <c r="CG178" i="1" s="1"/>
  <c r="GH153" i="1"/>
  <c r="GH151" i="1"/>
  <c r="GH152" i="1"/>
  <c r="GH150" i="1"/>
  <c r="GH149" i="1"/>
  <c r="GH100" i="1"/>
  <c r="GH97" i="1"/>
  <c r="GH99" i="1"/>
  <c r="GH102" i="1"/>
  <c r="GH103" i="1"/>
  <c r="GH104" i="1"/>
  <c r="GH98" i="1"/>
  <c r="GH101" i="1"/>
  <c r="CG100" i="1"/>
  <c r="CG99" i="1"/>
  <c r="CG104" i="1"/>
  <c r="CG97" i="1"/>
  <c r="CG98" i="1"/>
  <c r="CG103" i="1"/>
  <c r="CG102" i="1"/>
  <c r="CG101" i="1"/>
  <c r="GH80" i="1"/>
  <c r="CG80" i="1" s="1"/>
  <c r="GH158" i="1"/>
  <c r="CG158" i="1" s="1"/>
  <c r="GH120" i="1"/>
  <c r="CG120" i="1" s="1"/>
  <c r="GH67" i="1"/>
  <c r="CG67" i="1" s="1"/>
  <c r="GH109" i="1"/>
  <c r="CG109" i="1" s="1"/>
  <c r="GH162" i="1"/>
  <c r="CG162" i="1" s="1"/>
  <c r="GH113" i="1"/>
  <c r="CG113" i="1" s="1"/>
  <c r="GH62" i="1"/>
  <c r="CG62" i="1" s="1"/>
  <c r="GH64" i="1"/>
  <c r="CG64" i="1" s="1"/>
  <c r="GH58" i="1"/>
  <c r="CG58" i="1" s="1"/>
  <c r="GI56" i="1"/>
  <c r="CH56" i="1"/>
  <c r="CH35" i="1" l="1"/>
  <c r="CG125" i="1"/>
  <c r="CG147" i="1"/>
  <c r="GI184" i="1"/>
  <c r="CH184" i="1" s="1"/>
  <c r="GI183" i="1"/>
  <c r="CH183" i="1" s="1"/>
  <c r="GI180" i="1"/>
  <c r="CH180" i="1" s="1"/>
  <c r="GI179" i="1"/>
  <c r="CH179" i="1" s="1"/>
  <c r="GI181" i="1"/>
  <c r="CH181" i="1" s="1"/>
  <c r="GI182" i="1"/>
  <c r="CH182" i="1" s="1"/>
  <c r="GI163" i="1"/>
  <c r="CH163" i="1" s="1"/>
  <c r="GI177" i="1"/>
  <c r="CH177" i="1" s="1"/>
  <c r="GI174" i="1"/>
  <c r="CH174" i="1" s="1"/>
  <c r="GI175" i="1"/>
  <c r="CH175" i="1" s="1"/>
  <c r="GI176" i="1"/>
  <c r="CH176" i="1" s="1"/>
  <c r="GI161" i="1"/>
  <c r="CH161" i="1" s="1"/>
  <c r="GI171" i="1"/>
  <c r="CH171" i="1" s="1"/>
  <c r="GI169" i="1"/>
  <c r="CH169" i="1" s="1"/>
  <c r="GI170" i="1"/>
  <c r="CH170" i="1" s="1"/>
  <c r="GI168" i="1"/>
  <c r="CH168" i="1" s="1"/>
  <c r="GI167" i="1"/>
  <c r="CH167" i="1" s="1"/>
  <c r="GI165" i="1"/>
  <c r="CH165" i="1" s="1"/>
  <c r="GI166" i="1"/>
  <c r="CH166" i="1" s="1"/>
  <c r="GI164" i="1"/>
  <c r="CH164" i="1" s="1"/>
  <c r="GI137" i="1"/>
  <c r="CH137" i="1" s="1"/>
  <c r="GI136" i="1"/>
  <c r="CH136" i="1" s="1"/>
  <c r="GI146" i="1"/>
  <c r="CH146" i="1" s="1"/>
  <c r="GI145" i="1"/>
  <c r="CH145" i="1" s="1"/>
  <c r="GI143" i="1"/>
  <c r="CH143" i="1" s="1"/>
  <c r="GI141" i="1"/>
  <c r="CH141" i="1" s="1"/>
  <c r="GI140" i="1"/>
  <c r="CH140" i="1" s="1"/>
  <c r="GI144" i="1"/>
  <c r="CH144" i="1" s="1"/>
  <c r="GI142" i="1"/>
  <c r="CH142" i="1" s="1"/>
  <c r="GI139" i="1"/>
  <c r="CH139" i="1" s="1"/>
  <c r="GI131" i="1"/>
  <c r="CH131" i="1" s="1"/>
  <c r="GI132" i="1"/>
  <c r="CH132" i="1" s="1"/>
  <c r="GI133" i="1"/>
  <c r="CH133" i="1" s="1"/>
  <c r="GI138" i="1"/>
  <c r="CH138" i="1" s="1"/>
  <c r="GI134" i="1"/>
  <c r="CH134" i="1" s="1"/>
  <c r="GI135" i="1"/>
  <c r="CH135" i="1" s="1"/>
  <c r="GI123" i="1"/>
  <c r="CH123" i="1" s="1"/>
  <c r="GI124" i="1"/>
  <c r="CH124" i="1" s="1"/>
  <c r="GI115" i="1"/>
  <c r="CH115" i="1" s="1"/>
  <c r="GI122" i="1"/>
  <c r="CH122" i="1" s="1"/>
  <c r="GI121" i="1"/>
  <c r="CH121" i="1" s="1"/>
  <c r="GI119" i="1"/>
  <c r="CH119" i="1" s="1"/>
  <c r="GI116" i="1"/>
  <c r="CH116" i="1" s="1"/>
  <c r="GI114" i="1"/>
  <c r="CH114" i="1" s="1"/>
  <c r="GI117" i="1"/>
  <c r="CH117" i="1" s="1"/>
  <c r="GI118" i="1"/>
  <c r="CH118" i="1" s="1"/>
  <c r="GI112" i="1"/>
  <c r="CH112" i="1" s="1"/>
  <c r="GI94" i="1"/>
  <c r="CH94" i="1" s="1"/>
  <c r="GI89" i="1"/>
  <c r="CH89" i="1" s="1"/>
  <c r="GI86" i="1"/>
  <c r="CH86" i="1" s="1"/>
  <c r="GI87" i="1"/>
  <c r="CH87" i="1" s="1"/>
  <c r="GI88" i="1"/>
  <c r="CH88" i="1" s="1"/>
  <c r="GI81" i="1"/>
  <c r="CH81" i="1" s="1"/>
  <c r="GI85" i="1"/>
  <c r="CH85" i="1" s="1"/>
  <c r="GI83" i="1"/>
  <c r="CH83" i="1" s="1"/>
  <c r="GI84" i="1"/>
  <c r="CH84" i="1" s="1"/>
  <c r="GI82" i="1"/>
  <c r="CH82" i="1" s="1"/>
  <c r="GI66" i="1"/>
  <c r="CH66" i="1" s="1"/>
  <c r="GI72" i="1"/>
  <c r="CH72" i="1" s="1"/>
  <c r="GI73" i="1"/>
  <c r="CH73" i="1" s="1"/>
  <c r="GI71" i="1"/>
  <c r="CH71" i="1" s="1"/>
  <c r="GI70" i="1"/>
  <c r="CH70" i="1" s="1"/>
  <c r="GI69" i="1"/>
  <c r="CH69" i="1" s="1"/>
  <c r="GI68" i="1"/>
  <c r="CH68" i="1" s="1"/>
  <c r="GI65" i="1"/>
  <c r="CH65" i="1" s="1"/>
  <c r="GI63" i="1"/>
  <c r="CH63" i="1" s="1"/>
  <c r="GI44" i="1"/>
  <c r="GI32" i="1"/>
  <c r="CH32" i="1" s="1"/>
  <c r="GI31" i="1"/>
  <c r="CH31" i="1" s="1"/>
  <c r="CH233" i="1"/>
  <c r="CH232" i="1"/>
  <c r="GI233" i="1"/>
  <c r="GI232" i="1"/>
  <c r="GI93" i="1"/>
  <c r="CH93" i="1" s="1"/>
  <c r="CH236" i="1"/>
  <c r="CH229" i="1"/>
  <c r="CH235" i="1"/>
  <c r="GI229" i="1"/>
  <c r="GI235" i="1"/>
  <c r="GI59" i="1"/>
  <c r="CH59" i="1" s="1"/>
  <c r="GI60" i="1"/>
  <c r="CH60" i="1" s="1"/>
  <c r="GI160" i="1"/>
  <c r="CH160" i="1" s="1"/>
  <c r="GI159" i="1"/>
  <c r="CH159" i="1" s="1"/>
  <c r="GI110" i="1"/>
  <c r="CH110" i="1" s="1"/>
  <c r="GI236" i="1"/>
  <c r="GI111" i="1"/>
  <c r="CH111" i="1" s="1"/>
  <c r="CH231" i="1"/>
  <c r="CH234" i="1"/>
  <c r="CH230" i="1"/>
  <c r="GI218" i="1"/>
  <c r="CH218" i="1" s="1"/>
  <c r="GI234" i="1"/>
  <c r="GI230" i="1"/>
  <c r="GI231" i="1"/>
  <c r="GJ30" i="1"/>
  <c r="GJ35" i="1" s="1"/>
  <c r="GI39" i="1"/>
  <c r="GI43" i="1"/>
  <c r="GI42" i="1"/>
  <c r="GI41" i="1"/>
  <c r="GI38" i="1"/>
  <c r="GI46" i="1"/>
  <c r="GI45" i="1"/>
  <c r="GI40" i="1"/>
  <c r="CI30" i="1"/>
  <c r="CI44" i="1" s="1"/>
  <c r="CH41" i="1"/>
  <c r="CH43" i="1"/>
  <c r="CH42" i="1"/>
  <c r="CH45" i="1"/>
  <c r="GI197" i="1"/>
  <c r="CH197" i="1" s="1"/>
  <c r="GI224" i="1"/>
  <c r="GI222" i="1"/>
  <c r="GI223" i="1"/>
  <c r="GI215" i="1"/>
  <c r="CH215" i="1" s="1"/>
  <c r="GI214" i="1"/>
  <c r="CH214" i="1" s="1"/>
  <c r="GI213" i="1"/>
  <c r="CH213" i="1" s="1"/>
  <c r="GI212" i="1"/>
  <c r="CH212" i="1" s="1"/>
  <c r="GI221" i="1"/>
  <c r="CH224" i="1"/>
  <c r="CH223" i="1"/>
  <c r="CH222" i="1"/>
  <c r="CH221" i="1"/>
  <c r="CH205" i="1"/>
  <c r="CH206" i="1"/>
  <c r="CH207" i="1"/>
  <c r="GI207" i="1"/>
  <c r="GI206" i="1"/>
  <c r="GI205" i="1"/>
  <c r="GI204" i="1"/>
  <c r="GI201" i="1"/>
  <c r="CH201" i="1" s="1"/>
  <c r="GI196" i="1"/>
  <c r="CH196" i="1" s="1"/>
  <c r="GI198" i="1"/>
  <c r="CH198" i="1" s="1"/>
  <c r="GI195" i="1"/>
  <c r="CH195" i="1" s="1"/>
  <c r="GI129" i="1"/>
  <c r="CH129" i="1" s="1"/>
  <c r="GI130" i="1"/>
  <c r="CH130" i="1" s="1"/>
  <c r="GI128" i="1"/>
  <c r="CH128" i="1" s="1"/>
  <c r="GI127" i="1"/>
  <c r="CH127" i="1" s="1"/>
  <c r="GI79" i="1"/>
  <c r="CH79" i="1" s="1"/>
  <c r="GI78" i="1"/>
  <c r="CH78" i="1" s="1"/>
  <c r="GI77" i="1"/>
  <c r="CH77" i="1" s="1"/>
  <c r="GI76" i="1"/>
  <c r="CH76" i="1" s="1"/>
  <c r="GI92" i="1"/>
  <c r="CH92" i="1" s="1"/>
  <c r="GI91" i="1"/>
  <c r="CH91" i="1" s="1"/>
  <c r="GI90" i="1"/>
  <c r="CH90" i="1" s="1"/>
  <c r="GI61" i="1"/>
  <c r="CH61" i="1" s="1"/>
  <c r="GI190" i="1"/>
  <c r="GI189" i="1"/>
  <c r="GI188" i="1"/>
  <c r="GI187" i="1"/>
  <c r="GI178" i="1"/>
  <c r="CH178" i="1" s="1"/>
  <c r="CH190" i="1"/>
  <c r="CH187" i="1"/>
  <c r="CH188" i="1"/>
  <c r="CH153" i="1"/>
  <c r="CH189" i="1"/>
  <c r="CH150" i="1"/>
  <c r="CH151" i="1"/>
  <c r="CH152" i="1"/>
  <c r="GI152" i="1"/>
  <c r="GI153" i="1"/>
  <c r="GI151" i="1"/>
  <c r="GI150" i="1"/>
  <c r="GI99" i="1"/>
  <c r="GI103" i="1"/>
  <c r="GI149" i="1"/>
  <c r="GI98" i="1"/>
  <c r="GI101" i="1"/>
  <c r="GI97" i="1"/>
  <c r="GI100" i="1"/>
  <c r="GI102" i="1"/>
  <c r="GI104" i="1"/>
  <c r="CH97" i="1"/>
  <c r="CH100" i="1"/>
  <c r="CH99" i="1"/>
  <c r="CH101" i="1"/>
  <c r="CH102" i="1"/>
  <c r="CH103" i="1"/>
  <c r="CH104" i="1"/>
  <c r="CH98" i="1"/>
  <c r="GI80" i="1"/>
  <c r="CH80" i="1" s="1"/>
  <c r="GI158" i="1"/>
  <c r="CH158" i="1" s="1"/>
  <c r="GI120" i="1"/>
  <c r="CH120" i="1" s="1"/>
  <c r="GI67" i="1"/>
  <c r="CH67" i="1" s="1"/>
  <c r="GI109" i="1"/>
  <c r="CH109" i="1" s="1"/>
  <c r="GI162" i="1"/>
  <c r="CH162" i="1" s="1"/>
  <c r="GI113" i="1"/>
  <c r="CH113" i="1" s="1"/>
  <c r="GI62" i="1"/>
  <c r="CH62" i="1" s="1"/>
  <c r="GI64" i="1"/>
  <c r="CH64" i="1" s="1"/>
  <c r="GI58" i="1"/>
  <c r="CH58" i="1" s="1"/>
  <c r="GJ56" i="1"/>
  <c r="CI56" i="1"/>
  <c r="CI35" i="1" l="1"/>
  <c r="CH125" i="1"/>
  <c r="CH147" i="1"/>
  <c r="GJ184" i="1"/>
  <c r="CI184" i="1" s="1"/>
  <c r="GJ183" i="1"/>
  <c r="CI183" i="1" s="1"/>
  <c r="GJ181" i="1"/>
  <c r="CI181" i="1" s="1"/>
  <c r="GJ180" i="1"/>
  <c r="CI180" i="1" s="1"/>
  <c r="GJ182" i="1"/>
  <c r="CI182" i="1" s="1"/>
  <c r="GJ179" i="1"/>
  <c r="CI179" i="1" s="1"/>
  <c r="GJ163" i="1"/>
  <c r="CI163" i="1" s="1"/>
  <c r="GJ177" i="1"/>
  <c r="CI177" i="1" s="1"/>
  <c r="GJ176" i="1"/>
  <c r="CI176" i="1" s="1"/>
  <c r="GJ175" i="1"/>
  <c r="CI175" i="1" s="1"/>
  <c r="GJ174" i="1"/>
  <c r="CI174" i="1" s="1"/>
  <c r="GJ161" i="1"/>
  <c r="CI161" i="1" s="1"/>
  <c r="GJ171" i="1"/>
  <c r="CI171" i="1" s="1"/>
  <c r="GJ170" i="1"/>
  <c r="CI170" i="1" s="1"/>
  <c r="GJ168" i="1"/>
  <c r="CI168" i="1" s="1"/>
  <c r="GJ169" i="1"/>
  <c r="CI169" i="1" s="1"/>
  <c r="GJ167" i="1"/>
  <c r="CI167" i="1" s="1"/>
  <c r="GJ166" i="1"/>
  <c r="CI166" i="1" s="1"/>
  <c r="GJ165" i="1"/>
  <c r="CI165" i="1" s="1"/>
  <c r="GJ164" i="1"/>
  <c r="CI164" i="1" s="1"/>
  <c r="GJ137" i="1"/>
  <c r="CI137" i="1" s="1"/>
  <c r="GJ136" i="1"/>
  <c r="CI136" i="1" s="1"/>
  <c r="GJ146" i="1"/>
  <c r="CI146" i="1" s="1"/>
  <c r="GJ145" i="1"/>
  <c r="CI145" i="1" s="1"/>
  <c r="GJ144" i="1"/>
  <c r="CI144" i="1" s="1"/>
  <c r="GJ143" i="1"/>
  <c r="CI143" i="1" s="1"/>
  <c r="GJ142" i="1"/>
  <c r="CI142" i="1" s="1"/>
  <c r="GJ139" i="1"/>
  <c r="CI139" i="1" s="1"/>
  <c r="GJ141" i="1"/>
  <c r="CI141" i="1" s="1"/>
  <c r="GJ140" i="1"/>
  <c r="CI140" i="1" s="1"/>
  <c r="GJ131" i="1"/>
  <c r="CI131" i="1" s="1"/>
  <c r="GJ132" i="1"/>
  <c r="CI132" i="1" s="1"/>
  <c r="GJ133" i="1"/>
  <c r="CI133" i="1" s="1"/>
  <c r="GJ138" i="1"/>
  <c r="CI138" i="1" s="1"/>
  <c r="GJ135" i="1"/>
  <c r="CI135" i="1" s="1"/>
  <c r="GJ134" i="1"/>
  <c r="CI134" i="1" s="1"/>
  <c r="GJ124" i="1"/>
  <c r="CI124" i="1" s="1"/>
  <c r="GJ123" i="1"/>
  <c r="CI123" i="1" s="1"/>
  <c r="GJ115" i="1"/>
  <c r="CI115" i="1" s="1"/>
  <c r="GJ121" i="1"/>
  <c r="CI121" i="1" s="1"/>
  <c r="GJ122" i="1"/>
  <c r="CI122" i="1" s="1"/>
  <c r="GJ118" i="1"/>
  <c r="CI118" i="1" s="1"/>
  <c r="GJ117" i="1"/>
  <c r="CI117" i="1" s="1"/>
  <c r="GJ119" i="1"/>
  <c r="CI119" i="1" s="1"/>
  <c r="GJ116" i="1"/>
  <c r="CI116" i="1" s="1"/>
  <c r="GJ114" i="1"/>
  <c r="CI114" i="1" s="1"/>
  <c r="GJ112" i="1"/>
  <c r="CI112" i="1" s="1"/>
  <c r="GJ94" i="1"/>
  <c r="CI94" i="1" s="1"/>
  <c r="GJ89" i="1"/>
  <c r="CI89" i="1" s="1"/>
  <c r="GJ88" i="1"/>
  <c r="CI88" i="1" s="1"/>
  <c r="GJ87" i="1"/>
  <c r="CI87" i="1" s="1"/>
  <c r="GJ86" i="1"/>
  <c r="CI86" i="1" s="1"/>
  <c r="GJ81" i="1"/>
  <c r="CI81" i="1" s="1"/>
  <c r="GJ85" i="1"/>
  <c r="CI85" i="1" s="1"/>
  <c r="GJ84" i="1"/>
  <c r="CI84" i="1" s="1"/>
  <c r="GJ82" i="1"/>
  <c r="CI82" i="1" s="1"/>
  <c r="GJ83" i="1"/>
  <c r="CI83" i="1" s="1"/>
  <c r="GJ66" i="1"/>
  <c r="CI66" i="1" s="1"/>
  <c r="GJ73" i="1"/>
  <c r="CI73" i="1" s="1"/>
  <c r="GJ71" i="1"/>
  <c r="CI71" i="1" s="1"/>
  <c r="GJ70" i="1"/>
  <c r="CI70" i="1" s="1"/>
  <c r="GJ69" i="1"/>
  <c r="CI69" i="1" s="1"/>
  <c r="GJ68" i="1"/>
  <c r="CI68" i="1" s="1"/>
  <c r="GJ72" i="1"/>
  <c r="CI72" i="1" s="1"/>
  <c r="GJ65" i="1"/>
  <c r="CI65" i="1" s="1"/>
  <c r="GJ63" i="1"/>
  <c r="CI63" i="1" s="1"/>
  <c r="GJ44" i="1"/>
  <c r="GJ32" i="1"/>
  <c r="CI32" i="1" s="1"/>
  <c r="GJ31" i="1"/>
  <c r="CI31" i="1" s="1"/>
  <c r="CI233" i="1"/>
  <c r="CI232" i="1"/>
  <c r="GJ232" i="1"/>
  <c r="GJ233" i="1"/>
  <c r="GJ93" i="1"/>
  <c r="CI93" i="1" s="1"/>
  <c r="CI236" i="1"/>
  <c r="CI229" i="1"/>
  <c r="CI235" i="1"/>
  <c r="GJ229" i="1"/>
  <c r="GJ235" i="1"/>
  <c r="GJ159" i="1"/>
  <c r="CI159" i="1" s="1"/>
  <c r="GJ60" i="1"/>
  <c r="CI60" i="1" s="1"/>
  <c r="GJ160" i="1"/>
  <c r="CI160" i="1" s="1"/>
  <c r="GJ59" i="1"/>
  <c r="CI59" i="1" s="1"/>
  <c r="GJ111" i="1"/>
  <c r="CI111" i="1" s="1"/>
  <c r="GJ110" i="1"/>
  <c r="CI110" i="1" s="1"/>
  <c r="GJ236" i="1"/>
  <c r="GJ218" i="1"/>
  <c r="CI218" i="1" s="1"/>
  <c r="GJ234" i="1"/>
  <c r="GJ230" i="1"/>
  <c r="GJ231" i="1"/>
  <c r="CI234" i="1"/>
  <c r="CI231" i="1"/>
  <c r="CI230" i="1"/>
  <c r="GJ46" i="1"/>
  <c r="GJ45" i="1"/>
  <c r="GJ39" i="1"/>
  <c r="GJ38" i="1"/>
  <c r="GJ41" i="1"/>
  <c r="GJ42" i="1"/>
  <c r="GK30" i="1"/>
  <c r="GK35" i="1" s="1"/>
  <c r="GJ43" i="1"/>
  <c r="GJ40" i="1"/>
  <c r="CI45" i="1"/>
  <c r="CJ30" i="1"/>
  <c r="CJ44" i="1" s="1"/>
  <c r="CI41" i="1"/>
  <c r="CI43" i="1"/>
  <c r="CI42" i="1"/>
  <c r="GJ197" i="1"/>
  <c r="CI197" i="1" s="1"/>
  <c r="GJ222" i="1"/>
  <c r="GJ221" i="1"/>
  <c r="GJ223" i="1"/>
  <c r="GJ224" i="1"/>
  <c r="GJ213" i="1"/>
  <c r="CI213" i="1" s="1"/>
  <c r="GJ212" i="1"/>
  <c r="CI212" i="1" s="1"/>
  <c r="GJ215" i="1"/>
  <c r="CI215" i="1" s="1"/>
  <c r="GJ214" i="1"/>
  <c r="CI214" i="1" s="1"/>
  <c r="CI223" i="1"/>
  <c r="CI221" i="1"/>
  <c r="CI222" i="1"/>
  <c r="CI224" i="1"/>
  <c r="GJ207" i="1"/>
  <c r="GJ206" i="1"/>
  <c r="GJ205" i="1"/>
  <c r="GJ204" i="1"/>
  <c r="GJ201" i="1"/>
  <c r="CI201" i="1" s="1"/>
  <c r="GJ198" i="1"/>
  <c r="CI198" i="1" s="1"/>
  <c r="GJ195" i="1"/>
  <c r="CI195" i="1" s="1"/>
  <c r="GJ196" i="1"/>
  <c r="CI196" i="1" s="1"/>
  <c r="GJ129" i="1"/>
  <c r="CI129" i="1" s="1"/>
  <c r="GJ130" i="1"/>
  <c r="CI130" i="1" s="1"/>
  <c r="GJ128" i="1"/>
  <c r="CI128" i="1" s="1"/>
  <c r="GJ127" i="1"/>
  <c r="CI127" i="1" s="1"/>
  <c r="CI206" i="1"/>
  <c r="CI207" i="1"/>
  <c r="CI205" i="1"/>
  <c r="GJ79" i="1"/>
  <c r="CI79" i="1" s="1"/>
  <c r="GJ78" i="1"/>
  <c r="CI78" i="1" s="1"/>
  <c r="GJ77" i="1"/>
  <c r="CI77" i="1" s="1"/>
  <c r="GJ92" i="1"/>
  <c r="CI92" i="1" s="1"/>
  <c r="GJ91" i="1"/>
  <c r="CI91" i="1" s="1"/>
  <c r="GJ90" i="1"/>
  <c r="CI90" i="1" s="1"/>
  <c r="GJ76" i="1"/>
  <c r="CI76" i="1" s="1"/>
  <c r="GJ61" i="1"/>
  <c r="CI61" i="1" s="1"/>
  <c r="CI189" i="1"/>
  <c r="CI188" i="1"/>
  <c r="CI187" i="1"/>
  <c r="CI190" i="1"/>
  <c r="CI150" i="1"/>
  <c r="CI151" i="1"/>
  <c r="CI153" i="1"/>
  <c r="CI152" i="1"/>
  <c r="GJ189" i="1"/>
  <c r="GJ190" i="1"/>
  <c r="GJ188" i="1"/>
  <c r="GJ187" i="1"/>
  <c r="GJ178" i="1"/>
  <c r="CI178" i="1" s="1"/>
  <c r="GJ152" i="1"/>
  <c r="GJ150" i="1"/>
  <c r="GJ153" i="1"/>
  <c r="GJ151" i="1"/>
  <c r="GJ98" i="1"/>
  <c r="GJ102" i="1"/>
  <c r="GJ97" i="1"/>
  <c r="GJ100" i="1"/>
  <c r="GJ103" i="1"/>
  <c r="GJ99" i="1"/>
  <c r="GJ101" i="1"/>
  <c r="GJ104" i="1"/>
  <c r="GJ149" i="1"/>
  <c r="CI98" i="1"/>
  <c r="CI97" i="1"/>
  <c r="CI102" i="1"/>
  <c r="CI99" i="1"/>
  <c r="CI101" i="1"/>
  <c r="CI103" i="1"/>
  <c r="CI100" i="1"/>
  <c r="CI104" i="1"/>
  <c r="GJ80" i="1"/>
  <c r="CI80" i="1" s="1"/>
  <c r="GJ158" i="1"/>
  <c r="CI158" i="1" s="1"/>
  <c r="GJ67" i="1"/>
  <c r="CI67" i="1" s="1"/>
  <c r="GJ120" i="1"/>
  <c r="CI120" i="1" s="1"/>
  <c r="GJ109" i="1"/>
  <c r="CI109" i="1" s="1"/>
  <c r="GJ162" i="1"/>
  <c r="CI162" i="1" s="1"/>
  <c r="GJ113" i="1"/>
  <c r="CI113" i="1" s="1"/>
  <c r="GJ58" i="1"/>
  <c r="CI58" i="1" s="1"/>
  <c r="GJ62" i="1"/>
  <c r="CI62" i="1" s="1"/>
  <c r="GJ64" i="1"/>
  <c r="CI64" i="1" s="1"/>
  <c r="GK56" i="1"/>
  <c r="CJ56" i="1"/>
  <c r="CJ35" i="1" l="1"/>
  <c r="CI125" i="1"/>
  <c r="CI147" i="1"/>
  <c r="GK184" i="1"/>
  <c r="CJ184" i="1" s="1"/>
  <c r="GK179" i="1"/>
  <c r="CJ179" i="1" s="1"/>
  <c r="GK183" i="1"/>
  <c r="CJ183" i="1" s="1"/>
  <c r="GK181" i="1"/>
  <c r="CJ181" i="1" s="1"/>
  <c r="GK182" i="1"/>
  <c r="CJ182" i="1" s="1"/>
  <c r="GK180" i="1"/>
  <c r="CJ180" i="1" s="1"/>
  <c r="GK163" i="1"/>
  <c r="CJ163" i="1" s="1"/>
  <c r="GK176" i="1"/>
  <c r="CJ176" i="1" s="1"/>
  <c r="GK177" i="1"/>
  <c r="CJ177" i="1" s="1"/>
  <c r="GK174" i="1"/>
  <c r="CJ174" i="1" s="1"/>
  <c r="GK175" i="1"/>
  <c r="CJ175" i="1" s="1"/>
  <c r="GK161" i="1"/>
  <c r="CJ161" i="1" s="1"/>
  <c r="GK170" i="1"/>
  <c r="CJ170" i="1" s="1"/>
  <c r="GK171" i="1"/>
  <c r="CJ171" i="1" s="1"/>
  <c r="GK169" i="1"/>
  <c r="CJ169" i="1" s="1"/>
  <c r="GK168" i="1"/>
  <c r="CJ168" i="1" s="1"/>
  <c r="GK166" i="1"/>
  <c r="CJ166" i="1" s="1"/>
  <c r="GK167" i="1"/>
  <c r="CJ167" i="1" s="1"/>
  <c r="GK164" i="1"/>
  <c r="CJ164" i="1" s="1"/>
  <c r="GK165" i="1"/>
  <c r="CJ165" i="1" s="1"/>
  <c r="GK137" i="1"/>
  <c r="CJ137" i="1" s="1"/>
  <c r="GK136" i="1"/>
  <c r="CJ136" i="1" s="1"/>
  <c r="GK145" i="1"/>
  <c r="CJ145" i="1" s="1"/>
  <c r="GK144" i="1"/>
  <c r="CJ144" i="1" s="1"/>
  <c r="GK146" i="1"/>
  <c r="CJ146" i="1" s="1"/>
  <c r="GK142" i="1"/>
  <c r="CJ142" i="1" s="1"/>
  <c r="GK139" i="1"/>
  <c r="CJ139" i="1" s="1"/>
  <c r="GK141" i="1"/>
  <c r="CJ141" i="1" s="1"/>
  <c r="GK140" i="1"/>
  <c r="CJ140" i="1" s="1"/>
  <c r="GK143" i="1"/>
  <c r="CJ143" i="1" s="1"/>
  <c r="GK131" i="1"/>
  <c r="CJ131" i="1" s="1"/>
  <c r="GK132" i="1"/>
  <c r="CJ132" i="1" s="1"/>
  <c r="GK133" i="1"/>
  <c r="CJ133" i="1" s="1"/>
  <c r="GK135" i="1"/>
  <c r="CJ135" i="1" s="1"/>
  <c r="GK138" i="1"/>
  <c r="CJ138" i="1" s="1"/>
  <c r="GK134" i="1"/>
  <c r="CJ134" i="1" s="1"/>
  <c r="GK123" i="1"/>
  <c r="CJ123" i="1" s="1"/>
  <c r="GK124" i="1"/>
  <c r="CJ124" i="1" s="1"/>
  <c r="GK115" i="1"/>
  <c r="CJ115" i="1" s="1"/>
  <c r="GK121" i="1"/>
  <c r="CJ121" i="1" s="1"/>
  <c r="GK122" i="1"/>
  <c r="CJ122" i="1" s="1"/>
  <c r="GK118" i="1"/>
  <c r="CJ118" i="1" s="1"/>
  <c r="GK119" i="1"/>
  <c r="CJ119" i="1" s="1"/>
  <c r="GK117" i="1"/>
  <c r="CJ117" i="1" s="1"/>
  <c r="GK114" i="1"/>
  <c r="CJ114" i="1" s="1"/>
  <c r="GK116" i="1"/>
  <c r="CJ116" i="1" s="1"/>
  <c r="GK112" i="1"/>
  <c r="CJ112" i="1" s="1"/>
  <c r="GK94" i="1"/>
  <c r="CJ94" i="1" s="1"/>
  <c r="GK88" i="1"/>
  <c r="CJ88" i="1" s="1"/>
  <c r="GK87" i="1"/>
  <c r="CJ87" i="1" s="1"/>
  <c r="GK89" i="1"/>
  <c r="CJ89" i="1" s="1"/>
  <c r="GK86" i="1"/>
  <c r="CJ86" i="1" s="1"/>
  <c r="GK81" i="1"/>
  <c r="CJ81" i="1" s="1"/>
  <c r="GK84" i="1"/>
  <c r="CJ84" i="1" s="1"/>
  <c r="GK85" i="1"/>
  <c r="CJ85" i="1" s="1"/>
  <c r="GK83" i="1"/>
  <c r="CJ83" i="1" s="1"/>
  <c r="GK82" i="1"/>
  <c r="CJ82" i="1" s="1"/>
  <c r="GK66" i="1"/>
  <c r="CJ66" i="1" s="1"/>
  <c r="GK73" i="1"/>
  <c r="CJ73" i="1" s="1"/>
  <c r="GK72" i="1"/>
  <c r="CJ72" i="1" s="1"/>
  <c r="GK71" i="1"/>
  <c r="CJ71" i="1" s="1"/>
  <c r="GK69" i="1"/>
  <c r="CJ69" i="1" s="1"/>
  <c r="GK68" i="1"/>
  <c r="CJ68" i="1" s="1"/>
  <c r="GK70" i="1"/>
  <c r="CJ70" i="1" s="1"/>
  <c r="GK65" i="1"/>
  <c r="CJ65" i="1" s="1"/>
  <c r="GK63" i="1"/>
  <c r="CJ63" i="1" s="1"/>
  <c r="GK44" i="1"/>
  <c r="GK31" i="1"/>
  <c r="CJ31" i="1" s="1"/>
  <c r="GK32" i="1"/>
  <c r="CJ32" i="1" s="1"/>
  <c r="CJ233" i="1"/>
  <c r="CJ232" i="1"/>
  <c r="GK232" i="1"/>
  <c r="GK233" i="1"/>
  <c r="GK93" i="1"/>
  <c r="CJ93" i="1" s="1"/>
  <c r="GK235" i="1"/>
  <c r="GK229" i="1"/>
  <c r="GK60" i="1"/>
  <c r="CJ60" i="1" s="1"/>
  <c r="GK159" i="1"/>
  <c r="CJ159" i="1" s="1"/>
  <c r="GK160" i="1"/>
  <c r="CJ160" i="1" s="1"/>
  <c r="GK59" i="1"/>
  <c r="CJ59" i="1" s="1"/>
  <c r="CJ236" i="1"/>
  <c r="CJ235" i="1"/>
  <c r="CJ229" i="1"/>
  <c r="GK236" i="1"/>
  <c r="GK111" i="1"/>
  <c r="CJ111" i="1" s="1"/>
  <c r="GK110" i="1"/>
  <c r="CJ110" i="1" s="1"/>
  <c r="CJ234" i="1"/>
  <c r="CJ231" i="1"/>
  <c r="CJ230" i="1"/>
  <c r="GK218" i="1"/>
  <c r="CJ218" i="1" s="1"/>
  <c r="GK234" i="1"/>
  <c r="GK231" i="1"/>
  <c r="GK230" i="1"/>
  <c r="GK38" i="1"/>
  <c r="GL30" i="1"/>
  <c r="GL35" i="1" s="1"/>
  <c r="GK40" i="1"/>
  <c r="GK43" i="1"/>
  <c r="GK45" i="1"/>
  <c r="GK42" i="1"/>
  <c r="GK39" i="1"/>
  <c r="GK41" i="1"/>
  <c r="GK46" i="1"/>
  <c r="CJ41" i="1"/>
  <c r="CJ45" i="1"/>
  <c r="CJ43" i="1"/>
  <c r="CK30" i="1"/>
  <c r="CK44" i="1" s="1"/>
  <c r="CJ42" i="1"/>
  <c r="GK197" i="1"/>
  <c r="CJ197" i="1" s="1"/>
  <c r="GK223" i="1"/>
  <c r="GK222" i="1"/>
  <c r="GK224" i="1"/>
  <c r="GK221" i="1"/>
  <c r="GK215" i="1"/>
  <c r="CJ215" i="1" s="1"/>
  <c r="GK214" i="1"/>
  <c r="CJ214" i="1" s="1"/>
  <c r="GK213" i="1"/>
  <c r="CJ213" i="1" s="1"/>
  <c r="GK212" i="1"/>
  <c r="CJ212" i="1" s="1"/>
  <c r="CJ224" i="1"/>
  <c r="CJ222" i="1"/>
  <c r="CJ221" i="1"/>
  <c r="CJ223" i="1"/>
  <c r="GK205" i="1"/>
  <c r="GK207" i="1"/>
  <c r="GK206" i="1"/>
  <c r="GK204" i="1"/>
  <c r="GK201" i="1"/>
  <c r="CJ201" i="1" s="1"/>
  <c r="GK198" i="1"/>
  <c r="CJ198" i="1" s="1"/>
  <c r="GK195" i="1"/>
  <c r="CJ195" i="1" s="1"/>
  <c r="GK196" i="1"/>
  <c r="CJ196" i="1" s="1"/>
  <c r="GK130" i="1"/>
  <c r="CJ130" i="1" s="1"/>
  <c r="GK128" i="1"/>
  <c r="CJ128" i="1" s="1"/>
  <c r="GK127" i="1"/>
  <c r="CJ127" i="1" s="1"/>
  <c r="GK129" i="1"/>
  <c r="CJ129" i="1" s="1"/>
  <c r="CJ207" i="1"/>
  <c r="CJ206" i="1"/>
  <c r="CJ205" i="1"/>
  <c r="GK78" i="1"/>
  <c r="CJ78" i="1" s="1"/>
  <c r="GK79" i="1"/>
  <c r="CJ79" i="1" s="1"/>
  <c r="GK77" i="1"/>
  <c r="CJ77" i="1" s="1"/>
  <c r="GK76" i="1"/>
  <c r="CJ76" i="1" s="1"/>
  <c r="GK61" i="1"/>
  <c r="CJ61" i="1" s="1"/>
  <c r="GK90" i="1"/>
  <c r="CJ90" i="1" s="1"/>
  <c r="GK91" i="1"/>
  <c r="CJ91" i="1" s="1"/>
  <c r="GK92" i="1"/>
  <c r="CJ92" i="1" s="1"/>
  <c r="CJ190" i="1"/>
  <c r="CJ189" i="1"/>
  <c r="CJ187" i="1"/>
  <c r="CJ188" i="1"/>
  <c r="CJ150" i="1"/>
  <c r="CJ152" i="1"/>
  <c r="CJ151" i="1"/>
  <c r="CJ153" i="1"/>
  <c r="GK190" i="1"/>
  <c r="GK178" i="1"/>
  <c r="CJ178" i="1" s="1"/>
  <c r="GK187" i="1"/>
  <c r="GK189" i="1"/>
  <c r="GK188" i="1"/>
  <c r="GK153" i="1"/>
  <c r="GK152" i="1"/>
  <c r="GK151" i="1"/>
  <c r="GK150" i="1"/>
  <c r="GK97" i="1"/>
  <c r="GK101" i="1"/>
  <c r="GK99" i="1"/>
  <c r="GK102" i="1"/>
  <c r="GK98" i="1"/>
  <c r="GK149" i="1"/>
  <c r="GK104" i="1"/>
  <c r="GK100" i="1"/>
  <c r="GK103" i="1"/>
  <c r="CJ99" i="1"/>
  <c r="CJ98" i="1"/>
  <c r="CJ103" i="1"/>
  <c r="CJ101" i="1"/>
  <c r="CJ102" i="1"/>
  <c r="CJ97" i="1"/>
  <c r="CJ100" i="1"/>
  <c r="CJ104" i="1"/>
  <c r="GK80" i="1"/>
  <c r="CJ80" i="1" s="1"/>
  <c r="GK158" i="1"/>
  <c r="CJ158" i="1" s="1"/>
  <c r="GK120" i="1"/>
  <c r="CJ120" i="1" s="1"/>
  <c r="GK67" i="1"/>
  <c r="CJ67" i="1" s="1"/>
  <c r="GK109" i="1"/>
  <c r="CJ109" i="1" s="1"/>
  <c r="GK162" i="1"/>
  <c r="CJ162" i="1" s="1"/>
  <c r="GK113" i="1"/>
  <c r="CJ113" i="1" s="1"/>
  <c r="GK58" i="1"/>
  <c r="CJ58" i="1" s="1"/>
  <c r="GL56" i="1"/>
  <c r="GK62" i="1"/>
  <c r="CJ62" i="1" s="1"/>
  <c r="GK64" i="1"/>
  <c r="CJ64" i="1" s="1"/>
  <c r="CK56" i="1"/>
  <c r="CK35" i="1" l="1"/>
  <c r="CJ125" i="1"/>
  <c r="CJ147" i="1"/>
  <c r="GL184" i="1"/>
  <c r="CK184" i="1" s="1"/>
  <c r="GL183" i="1"/>
  <c r="CK183" i="1" s="1"/>
  <c r="GL182" i="1"/>
  <c r="CK182" i="1" s="1"/>
  <c r="GL180" i="1"/>
  <c r="CK180" i="1" s="1"/>
  <c r="GL179" i="1"/>
  <c r="CK179" i="1" s="1"/>
  <c r="GL181" i="1"/>
  <c r="CK181" i="1" s="1"/>
  <c r="GL163" i="1"/>
  <c r="CK163" i="1" s="1"/>
  <c r="GL176" i="1"/>
  <c r="CK176" i="1" s="1"/>
  <c r="GL177" i="1"/>
  <c r="CK177" i="1" s="1"/>
  <c r="GL174" i="1"/>
  <c r="CK174" i="1" s="1"/>
  <c r="GL175" i="1"/>
  <c r="CK175" i="1" s="1"/>
  <c r="GL161" i="1"/>
  <c r="CK161" i="1" s="1"/>
  <c r="GL170" i="1"/>
  <c r="CK170" i="1" s="1"/>
  <c r="GL171" i="1"/>
  <c r="CK171" i="1" s="1"/>
  <c r="GL169" i="1"/>
  <c r="CK169" i="1" s="1"/>
  <c r="GL168" i="1"/>
  <c r="CK168" i="1" s="1"/>
  <c r="GL167" i="1"/>
  <c r="CK167" i="1" s="1"/>
  <c r="GL165" i="1"/>
  <c r="CK165" i="1" s="1"/>
  <c r="GL166" i="1"/>
  <c r="CK166" i="1" s="1"/>
  <c r="GL164" i="1"/>
  <c r="CK164" i="1" s="1"/>
  <c r="GL137" i="1"/>
  <c r="CK137" i="1" s="1"/>
  <c r="GL136" i="1"/>
  <c r="CK136" i="1" s="1"/>
  <c r="GL146" i="1"/>
  <c r="CK146" i="1" s="1"/>
  <c r="GL141" i="1"/>
  <c r="CK141" i="1" s="1"/>
  <c r="GL145" i="1"/>
  <c r="CK145" i="1" s="1"/>
  <c r="GL144" i="1"/>
  <c r="CK144" i="1" s="1"/>
  <c r="GL140" i="1"/>
  <c r="CK140" i="1" s="1"/>
  <c r="GL142" i="1"/>
  <c r="CK142" i="1" s="1"/>
  <c r="GL139" i="1"/>
  <c r="CK139" i="1" s="1"/>
  <c r="GL143" i="1"/>
  <c r="CK143" i="1" s="1"/>
  <c r="GL131" i="1"/>
  <c r="CK131" i="1" s="1"/>
  <c r="GL132" i="1"/>
  <c r="CK132" i="1" s="1"/>
  <c r="GL133" i="1"/>
  <c r="CK133" i="1" s="1"/>
  <c r="GL135" i="1"/>
  <c r="CK135" i="1" s="1"/>
  <c r="GL138" i="1"/>
  <c r="CK138" i="1" s="1"/>
  <c r="GL134" i="1"/>
  <c r="CK134" i="1" s="1"/>
  <c r="GL123" i="1"/>
  <c r="CK123" i="1" s="1"/>
  <c r="GL124" i="1"/>
  <c r="CK124" i="1" s="1"/>
  <c r="GL115" i="1"/>
  <c r="CK115" i="1" s="1"/>
  <c r="GL122" i="1"/>
  <c r="CK122" i="1" s="1"/>
  <c r="GL121" i="1"/>
  <c r="CK121" i="1" s="1"/>
  <c r="GL119" i="1"/>
  <c r="CK119" i="1" s="1"/>
  <c r="GL117" i="1"/>
  <c r="CK117" i="1" s="1"/>
  <c r="GL118" i="1"/>
  <c r="CK118" i="1" s="1"/>
  <c r="GL116" i="1"/>
  <c r="CK116" i="1" s="1"/>
  <c r="GL114" i="1"/>
  <c r="CK114" i="1" s="1"/>
  <c r="GL112" i="1"/>
  <c r="CK112" i="1" s="1"/>
  <c r="GL94" i="1"/>
  <c r="CK94" i="1" s="1"/>
  <c r="GL89" i="1"/>
  <c r="CK89" i="1" s="1"/>
  <c r="GL88" i="1"/>
  <c r="CK88" i="1" s="1"/>
  <c r="GL87" i="1"/>
  <c r="CK87" i="1" s="1"/>
  <c r="GL86" i="1"/>
  <c r="CK86" i="1" s="1"/>
  <c r="GL81" i="1"/>
  <c r="CK81" i="1" s="1"/>
  <c r="GL84" i="1"/>
  <c r="CK84" i="1" s="1"/>
  <c r="GL85" i="1"/>
  <c r="CK85" i="1" s="1"/>
  <c r="GL83" i="1"/>
  <c r="CK83" i="1" s="1"/>
  <c r="GL82" i="1"/>
  <c r="CK82" i="1" s="1"/>
  <c r="GL66" i="1"/>
  <c r="CK66" i="1" s="1"/>
  <c r="GL73" i="1"/>
  <c r="CK73" i="1" s="1"/>
  <c r="GL72" i="1"/>
  <c r="CK72" i="1" s="1"/>
  <c r="GL68" i="1"/>
  <c r="CK68" i="1" s="1"/>
  <c r="GL70" i="1"/>
  <c r="CK70" i="1" s="1"/>
  <c r="GL71" i="1"/>
  <c r="CK71" i="1" s="1"/>
  <c r="GL69" i="1"/>
  <c r="CK69" i="1" s="1"/>
  <c r="GL65" i="1"/>
  <c r="CK65" i="1" s="1"/>
  <c r="GL63" i="1"/>
  <c r="CK63" i="1" s="1"/>
  <c r="GL44" i="1"/>
  <c r="GL32" i="1"/>
  <c r="CK32" i="1" s="1"/>
  <c r="GL31" i="1"/>
  <c r="CK31" i="1" s="1"/>
  <c r="CK233" i="1"/>
  <c r="CK232" i="1"/>
  <c r="GL232" i="1"/>
  <c r="GL233" i="1"/>
  <c r="GL93" i="1"/>
  <c r="CK93" i="1" s="1"/>
  <c r="CK236" i="1"/>
  <c r="CK235" i="1"/>
  <c r="CK229" i="1"/>
  <c r="GL235" i="1"/>
  <c r="GL229" i="1"/>
  <c r="GL60" i="1"/>
  <c r="CK60" i="1" s="1"/>
  <c r="GL159" i="1"/>
  <c r="CK159" i="1" s="1"/>
  <c r="GL59" i="1"/>
  <c r="CK59" i="1" s="1"/>
  <c r="GL160" i="1"/>
  <c r="CK160" i="1" s="1"/>
  <c r="GL111" i="1"/>
  <c r="CK111" i="1" s="1"/>
  <c r="GL110" i="1"/>
  <c r="CK110" i="1" s="1"/>
  <c r="GL236" i="1"/>
  <c r="CK231" i="1"/>
  <c r="CK230" i="1"/>
  <c r="CK234" i="1"/>
  <c r="GL218" i="1"/>
  <c r="CK218" i="1" s="1"/>
  <c r="GL231" i="1"/>
  <c r="GL234" i="1"/>
  <c r="GL230" i="1"/>
  <c r="GL40" i="1"/>
  <c r="GL38" i="1"/>
  <c r="GL39" i="1"/>
  <c r="GL46" i="1"/>
  <c r="GL41" i="1"/>
  <c r="GM30" i="1"/>
  <c r="GM35" i="1" s="1"/>
  <c r="GL43" i="1"/>
  <c r="GL45" i="1"/>
  <c r="GL42" i="1"/>
  <c r="CK45" i="1"/>
  <c r="CK43" i="1"/>
  <c r="CL30" i="1"/>
  <c r="CL44" i="1" s="1"/>
  <c r="CK42" i="1"/>
  <c r="CK41" i="1"/>
  <c r="CK223" i="1"/>
  <c r="CK224" i="1"/>
  <c r="CK222" i="1"/>
  <c r="CK221" i="1"/>
  <c r="GL197" i="1"/>
  <c r="CK197" i="1" s="1"/>
  <c r="GL224" i="1"/>
  <c r="GL223" i="1"/>
  <c r="GL222" i="1"/>
  <c r="GL221" i="1"/>
  <c r="GL214" i="1"/>
  <c r="CK214" i="1" s="1"/>
  <c r="GL215" i="1"/>
  <c r="CK215" i="1" s="1"/>
  <c r="GL213" i="1"/>
  <c r="CK213" i="1" s="1"/>
  <c r="GL212" i="1"/>
  <c r="CK212" i="1" s="1"/>
  <c r="GL207" i="1"/>
  <c r="GL206" i="1"/>
  <c r="GL205" i="1"/>
  <c r="GL204" i="1"/>
  <c r="GL201" i="1"/>
  <c r="CK201" i="1" s="1"/>
  <c r="GL198" i="1"/>
  <c r="CK198" i="1" s="1"/>
  <c r="GL196" i="1"/>
  <c r="CK196" i="1" s="1"/>
  <c r="GL195" i="1"/>
  <c r="CK195" i="1" s="1"/>
  <c r="GL128" i="1"/>
  <c r="CK128" i="1" s="1"/>
  <c r="GL127" i="1"/>
  <c r="CK127" i="1" s="1"/>
  <c r="GL130" i="1"/>
  <c r="CK130" i="1" s="1"/>
  <c r="GL129" i="1"/>
  <c r="CK129" i="1" s="1"/>
  <c r="CK207" i="1"/>
  <c r="CK206" i="1"/>
  <c r="CK205" i="1"/>
  <c r="GL79" i="1"/>
  <c r="CK79" i="1" s="1"/>
  <c r="GL61" i="1"/>
  <c r="CK61" i="1" s="1"/>
  <c r="GL78" i="1"/>
  <c r="CK78" i="1" s="1"/>
  <c r="GL77" i="1"/>
  <c r="CK77" i="1" s="1"/>
  <c r="GL91" i="1"/>
  <c r="CK91" i="1" s="1"/>
  <c r="GL92" i="1"/>
  <c r="CK92" i="1" s="1"/>
  <c r="GL76" i="1"/>
  <c r="CK76" i="1" s="1"/>
  <c r="GL90" i="1"/>
  <c r="CK90" i="1" s="1"/>
  <c r="CK189" i="1"/>
  <c r="CK190" i="1"/>
  <c r="CK188" i="1"/>
  <c r="CK151" i="1"/>
  <c r="CK152" i="1"/>
  <c r="CK187" i="1"/>
  <c r="CK150" i="1"/>
  <c r="CK153" i="1"/>
  <c r="GL190" i="1"/>
  <c r="GL189" i="1"/>
  <c r="GL187" i="1"/>
  <c r="GL188" i="1"/>
  <c r="GL178" i="1"/>
  <c r="CK178" i="1" s="1"/>
  <c r="GL151" i="1"/>
  <c r="GL152" i="1"/>
  <c r="GL153" i="1"/>
  <c r="GL149" i="1"/>
  <c r="GL100" i="1"/>
  <c r="GL103" i="1"/>
  <c r="GL150" i="1"/>
  <c r="GL99" i="1"/>
  <c r="GL98" i="1"/>
  <c r="GL101" i="1"/>
  <c r="GL97" i="1"/>
  <c r="GL102" i="1"/>
  <c r="GL104" i="1"/>
  <c r="CK100" i="1"/>
  <c r="CK99" i="1"/>
  <c r="CK98" i="1"/>
  <c r="CK104" i="1"/>
  <c r="CK101" i="1"/>
  <c r="CK103" i="1"/>
  <c r="CK102" i="1"/>
  <c r="CK97" i="1"/>
  <c r="GL80" i="1"/>
  <c r="CK80" i="1" s="1"/>
  <c r="GL158" i="1"/>
  <c r="CK158" i="1" s="1"/>
  <c r="GL120" i="1"/>
  <c r="CK120" i="1" s="1"/>
  <c r="GL67" i="1"/>
  <c r="CK67" i="1" s="1"/>
  <c r="GL109" i="1"/>
  <c r="CK109" i="1" s="1"/>
  <c r="GL162" i="1"/>
  <c r="CK162" i="1" s="1"/>
  <c r="GL113" i="1"/>
  <c r="CK113" i="1" s="1"/>
  <c r="GL64" i="1"/>
  <c r="CK64" i="1" s="1"/>
  <c r="GL58" i="1"/>
  <c r="CK58" i="1" s="1"/>
  <c r="GM56" i="1"/>
  <c r="GL62" i="1"/>
  <c r="CK62" i="1" s="1"/>
  <c r="CL56" i="1"/>
  <c r="CL35" i="1" l="1"/>
  <c r="CK125" i="1"/>
  <c r="CK147" i="1"/>
  <c r="GM183" i="1"/>
  <c r="CL183" i="1" s="1"/>
  <c r="GM180" i="1"/>
  <c r="CL180" i="1" s="1"/>
  <c r="GM182" i="1"/>
  <c r="CL182" i="1" s="1"/>
  <c r="GM184" i="1"/>
  <c r="CL184" i="1" s="1"/>
  <c r="GM179" i="1"/>
  <c r="CL179" i="1" s="1"/>
  <c r="GM181" i="1"/>
  <c r="CL181" i="1" s="1"/>
  <c r="GM163" i="1"/>
  <c r="CL163" i="1" s="1"/>
  <c r="GM177" i="1"/>
  <c r="CL177" i="1" s="1"/>
  <c r="GM174" i="1"/>
  <c r="CL174" i="1" s="1"/>
  <c r="GM175" i="1"/>
  <c r="CL175" i="1" s="1"/>
  <c r="GM176" i="1"/>
  <c r="CL176" i="1" s="1"/>
  <c r="GM161" i="1"/>
  <c r="CL161" i="1" s="1"/>
  <c r="GM171" i="1"/>
  <c r="CL171" i="1" s="1"/>
  <c r="GM170" i="1"/>
  <c r="CL170" i="1" s="1"/>
  <c r="GM169" i="1"/>
  <c r="CL169" i="1" s="1"/>
  <c r="GM168" i="1"/>
  <c r="CL168" i="1" s="1"/>
  <c r="GM167" i="1"/>
  <c r="CL167" i="1" s="1"/>
  <c r="GM165" i="1"/>
  <c r="CL165" i="1" s="1"/>
  <c r="GM164" i="1"/>
  <c r="CL164" i="1" s="1"/>
  <c r="GM166" i="1"/>
  <c r="CL166" i="1" s="1"/>
  <c r="GM137" i="1"/>
  <c r="CL137" i="1" s="1"/>
  <c r="GM136" i="1"/>
  <c r="CL136" i="1" s="1"/>
  <c r="GM146" i="1"/>
  <c r="CL146" i="1" s="1"/>
  <c r="GM145" i="1"/>
  <c r="CL145" i="1" s="1"/>
  <c r="GM144" i="1"/>
  <c r="CL144" i="1" s="1"/>
  <c r="GM143" i="1"/>
  <c r="CL143" i="1" s="1"/>
  <c r="GM141" i="1"/>
  <c r="CL141" i="1" s="1"/>
  <c r="GM140" i="1"/>
  <c r="CL140" i="1" s="1"/>
  <c r="GM142" i="1"/>
  <c r="CL142" i="1" s="1"/>
  <c r="GM139" i="1"/>
  <c r="CL139" i="1" s="1"/>
  <c r="GM131" i="1"/>
  <c r="CL131" i="1" s="1"/>
  <c r="GM132" i="1"/>
  <c r="CL132" i="1" s="1"/>
  <c r="GM133" i="1"/>
  <c r="CL133" i="1" s="1"/>
  <c r="GM138" i="1"/>
  <c r="CL138" i="1" s="1"/>
  <c r="GM134" i="1"/>
  <c r="CL134" i="1" s="1"/>
  <c r="GM135" i="1"/>
  <c r="CL135" i="1" s="1"/>
  <c r="GM124" i="1"/>
  <c r="CL124" i="1" s="1"/>
  <c r="GM123" i="1"/>
  <c r="CL123" i="1" s="1"/>
  <c r="GM115" i="1"/>
  <c r="CL115" i="1" s="1"/>
  <c r="GM122" i="1"/>
  <c r="CL122" i="1" s="1"/>
  <c r="GM121" i="1"/>
  <c r="CL121" i="1" s="1"/>
  <c r="GM119" i="1"/>
  <c r="CL119" i="1" s="1"/>
  <c r="GM118" i="1"/>
  <c r="CL118" i="1" s="1"/>
  <c r="GM116" i="1"/>
  <c r="CL116" i="1" s="1"/>
  <c r="GM117" i="1"/>
  <c r="CL117" i="1" s="1"/>
  <c r="GM114" i="1"/>
  <c r="CL114" i="1" s="1"/>
  <c r="GM112" i="1"/>
  <c r="CL112" i="1" s="1"/>
  <c r="GM94" i="1"/>
  <c r="CL94" i="1" s="1"/>
  <c r="GM89" i="1"/>
  <c r="CL89" i="1" s="1"/>
  <c r="GM86" i="1"/>
  <c r="CL86" i="1" s="1"/>
  <c r="GM88" i="1"/>
  <c r="CL88" i="1" s="1"/>
  <c r="GM87" i="1"/>
  <c r="CL87" i="1" s="1"/>
  <c r="GM81" i="1"/>
  <c r="CL81" i="1" s="1"/>
  <c r="GM85" i="1"/>
  <c r="CL85" i="1" s="1"/>
  <c r="GM83" i="1"/>
  <c r="CL83" i="1" s="1"/>
  <c r="GM82" i="1"/>
  <c r="CL82" i="1" s="1"/>
  <c r="GM84" i="1"/>
  <c r="CL84" i="1" s="1"/>
  <c r="GM66" i="1"/>
  <c r="CL66" i="1" s="1"/>
  <c r="GM72" i="1"/>
  <c r="CL72" i="1" s="1"/>
  <c r="GM71" i="1"/>
  <c r="CL71" i="1" s="1"/>
  <c r="GM70" i="1"/>
  <c r="CL70" i="1" s="1"/>
  <c r="GM69" i="1"/>
  <c r="CL69" i="1" s="1"/>
  <c r="GM68" i="1"/>
  <c r="CL68" i="1" s="1"/>
  <c r="GM73" i="1"/>
  <c r="CL73" i="1" s="1"/>
  <c r="GM65" i="1"/>
  <c r="CL65" i="1" s="1"/>
  <c r="GM63" i="1"/>
  <c r="CL63" i="1" s="1"/>
  <c r="GM44" i="1"/>
  <c r="GM32" i="1"/>
  <c r="CL32" i="1" s="1"/>
  <c r="GM31" i="1"/>
  <c r="CL31" i="1" s="1"/>
  <c r="GM233" i="1"/>
  <c r="GM232" i="1"/>
  <c r="CL233" i="1"/>
  <c r="CL232" i="1"/>
  <c r="GM93" i="1"/>
  <c r="CL93" i="1" s="1"/>
  <c r="GM229" i="1"/>
  <c r="GM235" i="1"/>
  <c r="GM159" i="1"/>
  <c r="CL159" i="1" s="1"/>
  <c r="GM59" i="1"/>
  <c r="CL59" i="1" s="1"/>
  <c r="GM60" i="1"/>
  <c r="CL60" i="1" s="1"/>
  <c r="GM160" i="1"/>
  <c r="CL160" i="1" s="1"/>
  <c r="CL236" i="1"/>
  <c r="CL229" i="1"/>
  <c r="CL235" i="1"/>
  <c r="GM110" i="1"/>
  <c r="CL110" i="1" s="1"/>
  <c r="GM236" i="1"/>
  <c r="GM111" i="1"/>
  <c r="CL111" i="1" s="1"/>
  <c r="GM218" i="1"/>
  <c r="CL218" i="1" s="1"/>
  <c r="GM234" i="1"/>
  <c r="GM231" i="1"/>
  <c r="GM230" i="1"/>
  <c r="CL231" i="1"/>
  <c r="CL234" i="1"/>
  <c r="CL230" i="1"/>
  <c r="GM39" i="1"/>
  <c r="GM46" i="1"/>
  <c r="GM45" i="1"/>
  <c r="GM42" i="1"/>
  <c r="GM41" i="1"/>
  <c r="GM40" i="1"/>
  <c r="GM38" i="1"/>
  <c r="GN30" i="1"/>
  <c r="GN35" i="1" s="1"/>
  <c r="GM43" i="1"/>
  <c r="CL45" i="1"/>
  <c r="CM30" i="1"/>
  <c r="CM44" i="1" s="1"/>
  <c r="CL42" i="1"/>
  <c r="CL43" i="1"/>
  <c r="CL41" i="1"/>
  <c r="GM197" i="1"/>
  <c r="CL197" i="1" s="1"/>
  <c r="GM223" i="1"/>
  <c r="GM224" i="1"/>
  <c r="GM221" i="1"/>
  <c r="GM222" i="1"/>
  <c r="GM214" i="1"/>
  <c r="CL214" i="1" s="1"/>
  <c r="GM215" i="1"/>
  <c r="CL215" i="1" s="1"/>
  <c r="GM213" i="1"/>
  <c r="CL213" i="1" s="1"/>
  <c r="GM212" i="1"/>
  <c r="CL212" i="1" s="1"/>
  <c r="CL224" i="1"/>
  <c r="CL223" i="1"/>
  <c r="CL222" i="1"/>
  <c r="CL221" i="1"/>
  <c r="GM207" i="1"/>
  <c r="GM206" i="1"/>
  <c r="GM205" i="1"/>
  <c r="GM204" i="1"/>
  <c r="GM196" i="1"/>
  <c r="CL196" i="1" s="1"/>
  <c r="GM201" i="1"/>
  <c r="CL201" i="1" s="1"/>
  <c r="GM198" i="1"/>
  <c r="CL198" i="1" s="1"/>
  <c r="GM195" i="1"/>
  <c r="CL195" i="1" s="1"/>
  <c r="GM129" i="1"/>
  <c r="CL129" i="1" s="1"/>
  <c r="GM130" i="1"/>
  <c r="CL130" i="1" s="1"/>
  <c r="GM128" i="1"/>
  <c r="CL128" i="1" s="1"/>
  <c r="GM127" i="1"/>
  <c r="CL127" i="1" s="1"/>
  <c r="CL205" i="1"/>
  <c r="CL207" i="1"/>
  <c r="CL206" i="1"/>
  <c r="GM79" i="1"/>
  <c r="CL79" i="1" s="1"/>
  <c r="GM78" i="1"/>
  <c r="CL78" i="1" s="1"/>
  <c r="GM77" i="1"/>
  <c r="CL77" i="1" s="1"/>
  <c r="GM76" i="1"/>
  <c r="CL76" i="1" s="1"/>
  <c r="GM61" i="1"/>
  <c r="CL61" i="1" s="1"/>
  <c r="GM92" i="1"/>
  <c r="CL92" i="1" s="1"/>
  <c r="GM91" i="1"/>
  <c r="CL91" i="1" s="1"/>
  <c r="GM90" i="1"/>
  <c r="CL90" i="1" s="1"/>
  <c r="GM188" i="1"/>
  <c r="GM189" i="1"/>
  <c r="GM187" i="1"/>
  <c r="GM190" i="1"/>
  <c r="GM178" i="1"/>
  <c r="CL178" i="1" s="1"/>
  <c r="CL190" i="1"/>
  <c r="CL189" i="1"/>
  <c r="CL187" i="1"/>
  <c r="CL188" i="1"/>
  <c r="CL153" i="1"/>
  <c r="CL150" i="1"/>
  <c r="CL152" i="1"/>
  <c r="CL151" i="1"/>
  <c r="GM152" i="1"/>
  <c r="GM153" i="1"/>
  <c r="GM151" i="1"/>
  <c r="GM150" i="1"/>
  <c r="GM99" i="1"/>
  <c r="GM103" i="1"/>
  <c r="GM97" i="1"/>
  <c r="GM100" i="1"/>
  <c r="GM149" i="1"/>
  <c r="GM102" i="1"/>
  <c r="GM98" i="1"/>
  <c r="GM101" i="1"/>
  <c r="GM104" i="1"/>
  <c r="CL97" i="1"/>
  <c r="CL100" i="1"/>
  <c r="CL101" i="1"/>
  <c r="CL98" i="1"/>
  <c r="CL99" i="1"/>
  <c r="CL102" i="1"/>
  <c r="CL103" i="1"/>
  <c r="CL104" i="1"/>
  <c r="GM80" i="1"/>
  <c r="CL80" i="1" s="1"/>
  <c r="GM158" i="1"/>
  <c r="CL158" i="1" s="1"/>
  <c r="GM120" i="1"/>
  <c r="CL120" i="1" s="1"/>
  <c r="GM67" i="1"/>
  <c r="CL67" i="1" s="1"/>
  <c r="GM109" i="1"/>
  <c r="CL109" i="1" s="1"/>
  <c r="GM162" i="1"/>
  <c r="CL162" i="1" s="1"/>
  <c r="GM113" i="1"/>
  <c r="CL113" i="1" s="1"/>
  <c r="GM62" i="1"/>
  <c r="CL62" i="1" s="1"/>
  <c r="GM64" i="1"/>
  <c r="CL64" i="1" s="1"/>
  <c r="GN56" i="1"/>
  <c r="GM58" i="1"/>
  <c r="CL58" i="1" s="1"/>
  <c r="CM56" i="1"/>
  <c r="CM35" i="1" l="1"/>
  <c r="CL147" i="1"/>
  <c r="CL125" i="1"/>
  <c r="GN183" i="1"/>
  <c r="CM183" i="1" s="1"/>
  <c r="GN181" i="1"/>
  <c r="CM181" i="1" s="1"/>
  <c r="GN184" i="1"/>
  <c r="CM184" i="1" s="1"/>
  <c r="GN179" i="1"/>
  <c r="CM179" i="1" s="1"/>
  <c r="GN180" i="1"/>
  <c r="CM180" i="1" s="1"/>
  <c r="GN182" i="1"/>
  <c r="CM182" i="1" s="1"/>
  <c r="GN163" i="1"/>
  <c r="CM163" i="1" s="1"/>
  <c r="GN177" i="1"/>
  <c r="CM177" i="1" s="1"/>
  <c r="GN176" i="1"/>
  <c r="CM176" i="1" s="1"/>
  <c r="GN175" i="1"/>
  <c r="CM175" i="1" s="1"/>
  <c r="GN174" i="1"/>
  <c r="CM174" i="1" s="1"/>
  <c r="GN161" i="1"/>
  <c r="CM161" i="1" s="1"/>
  <c r="GN171" i="1"/>
  <c r="CM171" i="1" s="1"/>
  <c r="GN170" i="1"/>
  <c r="CM170" i="1" s="1"/>
  <c r="GN168" i="1"/>
  <c r="CM168" i="1" s="1"/>
  <c r="GN169" i="1"/>
  <c r="CM169" i="1" s="1"/>
  <c r="GN166" i="1"/>
  <c r="CM166" i="1" s="1"/>
  <c r="GN164" i="1"/>
  <c r="CM164" i="1" s="1"/>
  <c r="GN167" i="1"/>
  <c r="CM167" i="1" s="1"/>
  <c r="GN165" i="1"/>
  <c r="CM165" i="1" s="1"/>
  <c r="GN137" i="1"/>
  <c r="CM137" i="1" s="1"/>
  <c r="GN136" i="1"/>
  <c r="CM136" i="1" s="1"/>
  <c r="GN146" i="1"/>
  <c r="CM146" i="1" s="1"/>
  <c r="GN145" i="1"/>
  <c r="CM145" i="1" s="1"/>
  <c r="GN144" i="1"/>
  <c r="CM144" i="1" s="1"/>
  <c r="GN143" i="1"/>
  <c r="CM143" i="1" s="1"/>
  <c r="GN142" i="1"/>
  <c r="CM142" i="1" s="1"/>
  <c r="GN141" i="1"/>
  <c r="CM141" i="1" s="1"/>
  <c r="GN139" i="1"/>
  <c r="CM139" i="1" s="1"/>
  <c r="GN140" i="1"/>
  <c r="CM140" i="1" s="1"/>
  <c r="GN131" i="1"/>
  <c r="CM131" i="1" s="1"/>
  <c r="GN133" i="1"/>
  <c r="CM133" i="1" s="1"/>
  <c r="GN132" i="1"/>
  <c r="CM132" i="1" s="1"/>
  <c r="GN138" i="1"/>
  <c r="CM138" i="1" s="1"/>
  <c r="GN135" i="1"/>
  <c r="CM135" i="1" s="1"/>
  <c r="GN134" i="1"/>
  <c r="CM134" i="1" s="1"/>
  <c r="GN124" i="1"/>
  <c r="CM124" i="1" s="1"/>
  <c r="GN123" i="1"/>
  <c r="CM123" i="1" s="1"/>
  <c r="GN115" i="1"/>
  <c r="CM115" i="1" s="1"/>
  <c r="GN121" i="1"/>
  <c r="CM121" i="1" s="1"/>
  <c r="GN122" i="1"/>
  <c r="CM122" i="1" s="1"/>
  <c r="GN118" i="1"/>
  <c r="CM118" i="1" s="1"/>
  <c r="GN119" i="1"/>
  <c r="CM119" i="1" s="1"/>
  <c r="GN117" i="1"/>
  <c r="CM117" i="1" s="1"/>
  <c r="GN114" i="1"/>
  <c r="CM114" i="1" s="1"/>
  <c r="GN116" i="1"/>
  <c r="CM116" i="1" s="1"/>
  <c r="GN112" i="1"/>
  <c r="CM112" i="1" s="1"/>
  <c r="GN94" i="1"/>
  <c r="CM94" i="1" s="1"/>
  <c r="GN89" i="1"/>
  <c r="CM89" i="1" s="1"/>
  <c r="GN88" i="1"/>
  <c r="CM88" i="1" s="1"/>
  <c r="GN86" i="1"/>
  <c r="CM86" i="1" s="1"/>
  <c r="GN87" i="1"/>
  <c r="CM87" i="1" s="1"/>
  <c r="GN81" i="1"/>
  <c r="CM81" i="1" s="1"/>
  <c r="GN85" i="1"/>
  <c r="CM85" i="1" s="1"/>
  <c r="GN84" i="1"/>
  <c r="CM84" i="1" s="1"/>
  <c r="GN82" i="1"/>
  <c r="CM82" i="1" s="1"/>
  <c r="GN83" i="1"/>
  <c r="CM83" i="1" s="1"/>
  <c r="GN66" i="1"/>
  <c r="CM66" i="1" s="1"/>
  <c r="GN72" i="1"/>
  <c r="CM72" i="1" s="1"/>
  <c r="GN71" i="1"/>
  <c r="CM71" i="1" s="1"/>
  <c r="GN70" i="1"/>
  <c r="CM70" i="1" s="1"/>
  <c r="GN69" i="1"/>
  <c r="CM69" i="1" s="1"/>
  <c r="GN68" i="1"/>
  <c r="CM68" i="1" s="1"/>
  <c r="GN73" i="1"/>
  <c r="CM73" i="1" s="1"/>
  <c r="GN65" i="1"/>
  <c r="CM65" i="1" s="1"/>
  <c r="GN63" i="1"/>
  <c r="CM63" i="1" s="1"/>
  <c r="GN44" i="1"/>
  <c r="GN32" i="1"/>
  <c r="CM32" i="1" s="1"/>
  <c r="GN31" i="1"/>
  <c r="CM31" i="1" s="1"/>
  <c r="GN232" i="1"/>
  <c r="GN233" i="1"/>
  <c r="CM233" i="1"/>
  <c r="CM232" i="1"/>
  <c r="GN93" i="1"/>
  <c r="CM93" i="1" s="1"/>
  <c r="CM236" i="1"/>
  <c r="CM229" i="1"/>
  <c r="CM235" i="1"/>
  <c r="GN229" i="1"/>
  <c r="GN235" i="1"/>
  <c r="GN159" i="1"/>
  <c r="CM159" i="1" s="1"/>
  <c r="GN60" i="1"/>
  <c r="CM60" i="1" s="1"/>
  <c r="GN160" i="1"/>
  <c r="CM160" i="1" s="1"/>
  <c r="GN59" i="1"/>
  <c r="CM59" i="1" s="1"/>
  <c r="GN111" i="1"/>
  <c r="CM111" i="1" s="1"/>
  <c r="GN110" i="1"/>
  <c r="CM110" i="1" s="1"/>
  <c r="GN236" i="1"/>
  <c r="CM234" i="1"/>
  <c r="CM230" i="1"/>
  <c r="CM231" i="1"/>
  <c r="GN218" i="1"/>
  <c r="CM218" i="1" s="1"/>
  <c r="GN234" i="1"/>
  <c r="GN231" i="1"/>
  <c r="GN230" i="1"/>
  <c r="GN38" i="1"/>
  <c r="GN40" i="1"/>
  <c r="GN46" i="1"/>
  <c r="GN41" i="1"/>
  <c r="GO30" i="1"/>
  <c r="GO35" i="1" s="1"/>
  <c r="GN42" i="1"/>
  <c r="GN39" i="1"/>
  <c r="GN43" i="1"/>
  <c r="GN45" i="1"/>
  <c r="CM43" i="1"/>
  <c r="CM41" i="1"/>
  <c r="CM42" i="1"/>
  <c r="CN30" i="1"/>
  <c r="CN44" i="1" s="1"/>
  <c r="CM45" i="1"/>
  <c r="GN197" i="1"/>
  <c r="CM197" i="1" s="1"/>
  <c r="GN224" i="1"/>
  <c r="GN222" i="1"/>
  <c r="GN221" i="1"/>
  <c r="GN223" i="1"/>
  <c r="GN213" i="1"/>
  <c r="CM213" i="1" s="1"/>
  <c r="GN212" i="1"/>
  <c r="CM212" i="1" s="1"/>
  <c r="GN215" i="1"/>
  <c r="CM215" i="1" s="1"/>
  <c r="GN214" i="1"/>
  <c r="CM214" i="1" s="1"/>
  <c r="CM223" i="1"/>
  <c r="CM222" i="1"/>
  <c r="CM224" i="1"/>
  <c r="CM221" i="1"/>
  <c r="GN207" i="1"/>
  <c r="GN206" i="1"/>
  <c r="GN205" i="1"/>
  <c r="GN204" i="1"/>
  <c r="GN201" i="1"/>
  <c r="CM201" i="1" s="1"/>
  <c r="GN196" i="1"/>
  <c r="CM196" i="1" s="1"/>
  <c r="GN198" i="1"/>
  <c r="CM198" i="1" s="1"/>
  <c r="GN195" i="1"/>
  <c r="CM195" i="1" s="1"/>
  <c r="GN129" i="1"/>
  <c r="CM129" i="1" s="1"/>
  <c r="GN130" i="1"/>
  <c r="CM130" i="1" s="1"/>
  <c r="GN128" i="1"/>
  <c r="CM128" i="1" s="1"/>
  <c r="GN127" i="1"/>
  <c r="CM127" i="1" s="1"/>
  <c r="CM206" i="1"/>
  <c r="CM207" i="1"/>
  <c r="CM205" i="1"/>
  <c r="GN79" i="1"/>
  <c r="CM79" i="1" s="1"/>
  <c r="GN78" i="1"/>
  <c r="CM78" i="1" s="1"/>
  <c r="GN77" i="1"/>
  <c r="CM77" i="1" s="1"/>
  <c r="GN76" i="1"/>
  <c r="CM76" i="1" s="1"/>
  <c r="GN92" i="1"/>
  <c r="CM92" i="1" s="1"/>
  <c r="GN91" i="1"/>
  <c r="CM91" i="1" s="1"/>
  <c r="GN90" i="1"/>
  <c r="CM90" i="1" s="1"/>
  <c r="GN61" i="1"/>
  <c r="CM61" i="1" s="1"/>
  <c r="CM189" i="1"/>
  <c r="CM190" i="1"/>
  <c r="CM187" i="1"/>
  <c r="CM188" i="1"/>
  <c r="CM151" i="1"/>
  <c r="CM153" i="1"/>
  <c r="CM150" i="1"/>
  <c r="CM152" i="1"/>
  <c r="GN189" i="1"/>
  <c r="GN190" i="1"/>
  <c r="GN188" i="1"/>
  <c r="GN178" i="1"/>
  <c r="CM178" i="1" s="1"/>
  <c r="GN187" i="1"/>
  <c r="GN150" i="1"/>
  <c r="GN153" i="1"/>
  <c r="GN152" i="1"/>
  <c r="GN149" i="1"/>
  <c r="GN98" i="1"/>
  <c r="GN102" i="1"/>
  <c r="GN101" i="1"/>
  <c r="GN97" i="1"/>
  <c r="GN100" i="1"/>
  <c r="GN99" i="1"/>
  <c r="GN103" i="1"/>
  <c r="GN104" i="1"/>
  <c r="GN151" i="1"/>
  <c r="CM98" i="1"/>
  <c r="CM97" i="1"/>
  <c r="CM100" i="1"/>
  <c r="CM102" i="1"/>
  <c r="CM103" i="1"/>
  <c r="CM104" i="1"/>
  <c r="CM99" i="1"/>
  <c r="CM101" i="1"/>
  <c r="GN80" i="1"/>
  <c r="CM80" i="1" s="1"/>
  <c r="GN158" i="1"/>
  <c r="CM158" i="1" s="1"/>
  <c r="GN120" i="1"/>
  <c r="CM120" i="1" s="1"/>
  <c r="GN67" i="1"/>
  <c r="CM67" i="1" s="1"/>
  <c r="GN109" i="1"/>
  <c r="CM109" i="1" s="1"/>
  <c r="GN162" i="1"/>
  <c r="CM162" i="1" s="1"/>
  <c r="GN113" i="1"/>
  <c r="CM113" i="1" s="1"/>
  <c r="GO56" i="1"/>
  <c r="GN58" i="1"/>
  <c r="CM58" i="1" s="1"/>
  <c r="GN64" i="1"/>
  <c r="CM64" i="1" s="1"/>
  <c r="GN62" i="1"/>
  <c r="CM62" i="1" s="1"/>
  <c r="CN56" i="1"/>
  <c r="CN35" i="1" l="1"/>
  <c r="CM125" i="1"/>
  <c r="CM147" i="1"/>
  <c r="GO184" i="1"/>
  <c r="CN184" i="1" s="1"/>
  <c r="GO179" i="1"/>
  <c r="CN179" i="1" s="1"/>
  <c r="GO180" i="1"/>
  <c r="CN180" i="1" s="1"/>
  <c r="GO181" i="1"/>
  <c r="CN181" i="1" s="1"/>
  <c r="GO183" i="1"/>
  <c r="CN183" i="1" s="1"/>
  <c r="GO182" i="1"/>
  <c r="CN182" i="1" s="1"/>
  <c r="GO163" i="1"/>
  <c r="CN163" i="1" s="1"/>
  <c r="GO176" i="1"/>
  <c r="CN176" i="1" s="1"/>
  <c r="GO177" i="1"/>
  <c r="CN177" i="1" s="1"/>
  <c r="GO175" i="1"/>
  <c r="CN175" i="1" s="1"/>
  <c r="GO174" i="1"/>
  <c r="CN174" i="1" s="1"/>
  <c r="GO161" i="1"/>
  <c r="CN161" i="1" s="1"/>
  <c r="GO171" i="1"/>
  <c r="CN171" i="1" s="1"/>
  <c r="GO170" i="1"/>
  <c r="CN170" i="1" s="1"/>
  <c r="GO168" i="1"/>
  <c r="CN168" i="1" s="1"/>
  <c r="GO169" i="1"/>
  <c r="CN169" i="1" s="1"/>
  <c r="GO166" i="1"/>
  <c r="CN166" i="1" s="1"/>
  <c r="GO167" i="1"/>
  <c r="CN167" i="1" s="1"/>
  <c r="GO165" i="1"/>
  <c r="CN165" i="1" s="1"/>
  <c r="GO164" i="1"/>
  <c r="CN164" i="1" s="1"/>
  <c r="GO137" i="1"/>
  <c r="CN137" i="1" s="1"/>
  <c r="GO136" i="1"/>
  <c r="CN136" i="1" s="1"/>
  <c r="GO145" i="1"/>
  <c r="CN145" i="1" s="1"/>
  <c r="GO144" i="1"/>
  <c r="CN144" i="1" s="1"/>
  <c r="GO146" i="1"/>
  <c r="CN146" i="1" s="1"/>
  <c r="GO142" i="1"/>
  <c r="CN142" i="1" s="1"/>
  <c r="GO143" i="1"/>
  <c r="CN143" i="1" s="1"/>
  <c r="GO139" i="1"/>
  <c r="CN139" i="1" s="1"/>
  <c r="GO140" i="1"/>
  <c r="CN140" i="1" s="1"/>
  <c r="GO141" i="1"/>
  <c r="CN141" i="1" s="1"/>
  <c r="GO131" i="1"/>
  <c r="CN131" i="1" s="1"/>
  <c r="GO133" i="1"/>
  <c r="CN133" i="1" s="1"/>
  <c r="GO132" i="1"/>
  <c r="CN132" i="1" s="1"/>
  <c r="GO135" i="1"/>
  <c r="CN135" i="1" s="1"/>
  <c r="GO138" i="1"/>
  <c r="CN138" i="1" s="1"/>
  <c r="GO134" i="1"/>
  <c r="CN134" i="1" s="1"/>
  <c r="GO123" i="1"/>
  <c r="CN123" i="1" s="1"/>
  <c r="GO124" i="1"/>
  <c r="CN124" i="1" s="1"/>
  <c r="GO115" i="1"/>
  <c r="CN115" i="1" s="1"/>
  <c r="GO121" i="1"/>
  <c r="CN121" i="1" s="1"/>
  <c r="GO122" i="1"/>
  <c r="CN122" i="1" s="1"/>
  <c r="GO118" i="1"/>
  <c r="CN118" i="1" s="1"/>
  <c r="GO119" i="1"/>
  <c r="CN119" i="1" s="1"/>
  <c r="GO117" i="1"/>
  <c r="CN117" i="1" s="1"/>
  <c r="GO114" i="1"/>
  <c r="CN114" i="1" s="1"/>
  <c r="GO116" i="1"/>
  <c r="CN116" i="1" s="1"/>
  <c r="GO112" i="1"/>
  <c r="CN112" i="1" s="1"/>
  <c r="GO94" i="1"/>
  <c r="CN94" i="1" s="1"/>
  <c r="GO88" i="1"/>
  <c r="CN88" i="1" s="1"/>
  <c r="GO87" i="1"/>
  <c r="CN87" i="1" s="1"/>
  <c r="GO89" i="1"/>
  <c r="CN89" i="1" s="1"/>
  <c r="GO86" i="1"/>
  <c r="CN86" i="1" s="1"/>
  <c r="GO81" i="1"/>
  <c r="CN81" i="1" s="1"/>
  <c r="GO84" i="1"/>
  <c r="CN84" i="1" s="1"/>
  <c r="GO85" i="1"/>
  <c r="CN85" i="1" s="1"/>
  <c r="GO83" i="1"/>
  <c r="CN83" i="1" s="1"/>
  <c r="GO82" i="1"/>
  <c r="CN82" i="1" s="1"/>
  <c r="GO66" i="1"/>
  <c r="CN66" i="1" s="1"/>
  <c r="GO73" i="1"/>
  <c r="CN73" i="1" s="1"/>
  <c r="GO72" i="1"/>
  <c r="CN72" i="1" s="1"/>
  <c r="GO69" i="1"/>
  <c r="CN69" i="1" s="1"/>
  <c r="GO68" i="1"/>
  <c r="CN68" i="1" s="1"/>
  <c r="GO71" i="1"/>
  <c r="CN71" i="1" s="1"/>
  <c r="GO70" i="1"/>
  <c r="CN70" i="1" s="1"/>
  <c r="GO65" i="1"/>
  <c r="CN65" i="1" s="1"/>
  <c r="GO63" i="1"/>
  <c r="CN63" i="1" s="1"/>
  <c r="GO44" i="1"/>
  <c r="GO31" i="1"/>
  <c r="CN31" i="1" s="1"/>
  <c r="GO32" i="1"/>
  <c r="CN32" i="1" s="1"/>
  <c r="CN233" i="1"/>
  <c r="CN232" i="1"/>
  <c r="GO232" i="1"/>
  <c r="GO233" i="1"/>
  <c r="GO93" i="1"/>
  <c r="CN93" i="1" s="1"/>
  <c r="CN236" i="1"/>
  <c r="CN235" i="1"/>
  <c r="CN229" i="1"/>
  <c r="GO235" i="1"/>
  <c r="GO229" i="1"/>
  <c r="GO60" i="1"/>
  <c r="CN60" i="1" s="1"/>
  <c r="GO160" i="1"/>
  <c r="CN160" i="1" s="1"/>
  <c r="GO59" i="1"/>
  <c r="CN59" i="1" s="1"/>
  <c r="GO159" i="1"/>
  <c r="CN159" i="1" s="1"/>
  <c r="GO110" i="1"/>
  <c r="CN110" i="1" s="1"/>
  <c r="GO236" i="1"/>
  <c r="GO111" i="1"/>
  <c r="CN111" i="1" s="1"/>
  <c r="CN234" i="1"/>
  <c r="CN231" i="1"/>
  <c r="CN230" i="1"/>
  <c r="GO218" i="1"/>
  <c r="CN218" i="1" s="1"/>
  <c r="GO231" i="1"/>
  <c r="GO230" i="1"/>
  <c r="GO234" i="1"/>
  <c r="GO46" i="1"/>
  <c r="GO42" i="1"/>
  <c r="GO40" i="1"/>
  <c r="GO43" i="1"/>
  <c r="GP30" i="1"/>
  <c r="GP35" i="1" s="1"/>
  <c r="GO38" i="1"/>
  <c r="GO41" i="1"/>
  <c r="GO39" i="1"/>
  <c r="GO45" i="1"/>
  <c r="CN43" i="1"/>
  <c r="CO30" i="1"/>
  <c r="CO44" i="1" s="1"/>
  <c r="CN42" i="1"/>
  <c r="CN41" i="1"/>
  <c r="CN45" i="1"/>
  <c r="CN223" i="1"/>
  <c r="CN222" i="1"/>
  <c r="CN221" i="1"/>
  <c r="CN224" i="1"/>
  <c r="GO197" i="1"/>
  <c r="CN197" i="1" s="1"/>
  <c r="GO224" i="1"/>
  <c r="GO222" i="1"/>
  <c r="GO223" i="1"/>
  <c r="GO215" i="1"/>
  <c r="CN215" i="1" s="1"/>
  <c r="GO214" i="1"/>
  <c r="CN214" i="1" s="1"/>
  <c r="GO221" i="1"/>
  <c r="GO213" i="1"/>
  <c r="CN213" i="1" s="1"/>
  <c r="GO212" i="1"/>
  <c r="CN212" i="1" s="1"/>
  <c r="GO205" i="1"/>
  <c r="GO207" i="1"/>
  <c r="GO206" i="1"/>
  <c r="GO204" i="1"/>
  <c r="GO201" i="1"/>
  <c r="CN201" i="1" s="1"/>
  <c r="GO198" i="1"/>
  <c r="CN198" i="1" s="1"/>
  <c r="GO195" i="1"/>
  <c r="CN195" i="1" s="1"/>
  <c r="GO196" i="1"/>
  <c r="CN196" i="1" s="1"/>
  <c r="GO130" i="1"/>
  <c r="CN130" i="1" s="1"/>
  <c r="GO128" i="1"/>
  <c r="CN128" i="1" s="1"/>
  <c r="GO127" i="1"/>
  <c r="CN127" i="1" s="1"/>
  <c r="GO129" i="1"/>
  <c r="CN129" i="1" s="1"/>
  <c r="CN207" i="1"/>
  <c r="CN206" i="1"/>
  <c r="CN205" i="1"/>
  <c r="GO78" i="1"/>
  <c r="CN78" i="1" s="1"/>
  <c r="GO79" i="1"/>
  <c r="CN79" i="1" s="1"/>
  <c r="GO76" i="1"/>
  <c r="CN76" i="1" s="1"/>
  <c r="GO77" i="1"/>
  <c r="CN77" i="1" s="1"/>
  <c r="GO92" i="1"/>
  <c r="CN92" i="1" s="1"/>
  <c r="GO90" i="1"/>
  <c r="CN90" i="1" s="1"/>
  <c r="GO61" i="1"/>
  <c r="CN61" i="1" s="1"/>
  <c r="GO91" i="1"/>
  <c r="CN91" i="1" s="1"/>
  <c r="CN190" i="1"/>
  <c r="CN188" i="1"/>
  <c r="CN187" i="1"/>
  <c r="CN189" i="1"/>
  <c r="CN150" i="1"/>
  <c r="CN152" i="1"/>
  <c r="CN151" i="1"/>
  <c r="CN153" i="1"/>
  <c r="GO190" i="1"/>
  <c r="GO188" i="1"/>
  <c r="GO178" i="1"/>
  <c r="CN178" i="1" s="1"/>
  <c r="GO189" i="1"/>
  <c r="GO187" i="1"/>
  <c r="GO153" i="1"/>
  <c r="GO152" i="1"/>
  <c r="GO151" i="1"/>
  <c r="GO150" i="1"/>
  <c r="GO97" i="1"/>
  <c r="GO101" i="1"/>
  <c r="GO149" i="1"/>
  <c r="GO98" i="1"/>
  <c r="GO100" i="1"/>
  <c r="GO103" i="1"/>
  <c r="GO104" i="1"/>
  <c r="GO99" i="1"/>
  <c r="GO102" i="1"/>
  <c r="CN99" i="1"/>
  <c r="CN98" i="1"/>
  <c r="CN97" i="1"/>
  <c r="CN103" i="1"/>
  <c r="CN100" i="1"/>
  <c r="CN101" i="1"/>
  <c r="CN102" i="1"/>
  <c r="CN104" i="1"/>
  <c r="GO80" i="1"/>
  <c r="CN80" i="1" s="1"/>
  <c r="GO158" i="1"/>
  <c r="CN158" i="1" s="1"/>
  <c r="GO120" i="1"/>
  <c r="CN120" i="1" s="1"/>
  <c r="GO67" i="1"/>
  <c r="CN67" i="1" s="1"/>
  <c r="GO109" i="1"/>
  <c r="CN109" i="1" s="1"/>
  <c r="GO162" i="1"/>
  <c r="CN162" i="1" s="1"/>
  <c r="GO113" i="1"/>
  <c r="CN113" i="1" s="1"/>
  <c r="GO62" i="1"/>
  <c r="CN62" i="1" s="1"/>
  <c r="GO64" i="1"/>
  <c r="CN64" i="1" s="1"/>
  <c r="GO58" i="1"/>
  <c r="CN58" i="1" s="1"/>
  <c r="GP56" i="1"/>
  <c r="CO56" i="1"/>
  <c r="CO35" i="1" l="1"/>
  <c r="CN147" i="1"/>
  <c r="CN125" i="1"/>
  <c r="GP184" i="1"/>
  <c r="CO184" i="1" s="1"/>
  <c r="GP182" i="1"/>
  <c r="CO182" i="1" s="1"/>
  <c r="GP183" i="1"/>
  <c r="CO183" i="1" s="1"/>
  <c r="GP181" i="1"/>
  <c r="CO181" i="1" s="1"/>
  <c r="GP180" i="1"/>
  <c r="CO180" i="1" s="1"/>
  <c r="GP179" i="1"/>
  <c r="CO179" i="1" s="1"/>
  <c r="GP163" i="1"/>
  <c r="CO163" i="1" s="1"/>
  <c r="GP176" i="1"/>
  <c r="CO176" i="1" s="1"/>
  <c r="GP177" i="1"/>
  <c r="CO177" i="1" s="1"/>
  <c r="GP175" i="1"/>
  <c r="CO175" i="1" s="1"/>
  <c r="GP174" i="1"/>
  <c r="CO174" i="1" s="1"/>
  <c r="GP161" i="1"/>
  <c r="CO161" i="1" s="1"/>
  <c r="GP170" i="1"/>
  <c r="CO170" i="1" s="1"/>
  <c r="GP171" i="1"/>
  <c r="CO171" i="1" s="1"/>
  <c r="GP169" i="1"/>
  <c r="CO169" i="1" s="1"/>
  <c r="GP167" i="1"/>
  <c r="CO167" i="1" s="1"/>
  <c r="GP165" i="1"/>
  <c r="CO165" i="1" s="1"/>
  <c r="GP168" i="1"/>
  <c r="CO168" i="1" s="1"/>
  <c r="GP166" i="1"/>
  <c r="CO166" i="1" s="1"/>
  <c r="GP164" i="1"/>
  <c r="CO164" i="1" s="1"/>
  <c r="GP137" i="1"/>
  <c r="CO137" i="1" s="1"/>
  <c r="GP136" i="1"/>
  <c r="CO136" i="1" s="1"/>
  <c r="GP146" i="1"/>
  <c r="CO146" i="1" s="1"/>
  <c r="GP145" i="1"/>
  <c r="CO145" i="1" s="1"/>
  <c r="GP144" i="1"/>
  <c r="CO144" i="1" s="1"/>
  <c r="GP143" i="1"/>
  <c r="CO143" i="1" s="1"/>
  <c r="GP141" i="1"/>
  <c r="CO141" i="1" s="1"/>
  <c r="GP142" i="1"/>
  <c r="CO142" i="1" s="1"/>
  <c r="GP140" i="1"/>
  <c r="CO140" i="1" s="1"/>
  <c r="GP139" i="1"/>
  <c r="CO139" i="1" s="1"/>
  <c r="GP131" i="1"/>
  <c r="CO131" i="1" s="1"/>
  <c r="GP132" i="1"/>
  <c r="CO132" i="1" s="1"/>
  <c r="GP133" i="1"/>
  <c r="CO133" i="1" s="1"/>
  <c r="GP135" i="1"/>
  <c r="CO135" i="1" s="1"/>
  <c r="GP138" i="1"/>
  <c r="CO138" i="1" s="1"/>
  <c r="GP134" i="1"/>
  <c r="CO134" i="1" s="1"/>
  <c r="GP123" i="1"/>
  <c r="CO123" i="1" s="1"/>
  <c r="GP124" i="1"/>
  <c r="CO124" i="1" s="1"/>
  <c r="GP115" i="1"/>
  <c r="CO115" i="1" s="1"/>
  <c r="GP122" i="1"/>
  <c r="CO122" i="1" s="1"/>
  <c r="GP121" i="1"/>
  <c r="CO121" i="1" s="1"/>
  <c r="GP119" i="1"/>
  <c r="CO119" i="1" s="1"/>
  <c r="GP117" i="1"/>
  <c r="CO117" i="1" s="1"/>
  <c r="GP118" i="1"/>
  <c r="CO118" i="1" s="1"/>
  <c r="GP116" i="1"/>
  <c r="CO116" i="1" s="1"/>
  <c r="GP114" i="1"/>
  <c r="CO114" i="1" s="1"/>
  <c r="GP112" i="1"/>
  <c r="CO112" i="1" s="1"/>
  <c r="GP94" i="1"/>
  <c r="CO94" i="1" s="1"/>
  <c r="GP89" i="1"/>
  <c r="CO89" i="1" s="1"/>
  <c r="GP87" i="1"/>
  <c r="CO87" i="1" s="1"/>
  <c r="GP88" i="1"/>
  <c r="CO88" i="1" s="1"/>
  <c r="GP86" i="1"/>
  <c r="CO86" i="1" s="1"/>
  <c r="GP81" i="1"/>
  <c r="CO81" i="1" s="1"/>
  <c r="GP84" i="1"/>
  <c r="CO84" i="1" s="1"/>
  <c r="GP85" i="1"/>
  <c r="CO85" i="1" s="1"/>
  <c r="GP83" i="1"/>
  <c r="CO83" i="1" s="1"/>
  <c r="GP82" i="1"/>
  <c r="CO82" i="1" s="1"/>
  <c r="GP66" i="1"/>
  <c r="CO66" i="1" s="1"/>
  <c r="GP73" i="1"/>
  <c r="CO73" i="1" s="1"/>
  <c r="GP68" i="1"/>
  <c r="CO68" i="1" s="1"/>
  <c r="GP71" i="1"/>
  <c r="CO71" i="1" s="1"/>
  <c r="GP70" i="1"/>
  <c r="CO70" i="1" s="1"/>
  <c r="GP69" i="1"/>
  <c r="CO69" i="1" s="1"/>
  <c r="GP72" i="1"/>
  <c r="CO72" i="1" s="1"/>
  <c r="GP65" i="1"/>
  <c r="CO65" i="1" s="1"/>
  <c r="GP63" i="1"/>
  <c r="CO63" i="1" s="1"/>
  <c r="GP44" i="1"/>
  <c r="GP32" i="1"/>
  <c r="CO32" i="1" s="1"/>
  <c r="GP31" i="1"/>
  <c r="CO31" i="1" s="1"/>
  <c r="GP232" i="1"/>
  <c r="GP233" i="1"/>
  <c r="CO233" i="1"/>
  <c r="CO232" i="1"/>
  <c r="GP93" i="1"/>
  <c r="CO93" i="1" s="1"/>
  <c r="CO236" i="1"/>
  <c r="CO235" i="1"/>
  <c r="CO229" i="1"/>
  <c r="GP235" i="1"/>
  <c r="GP229" i="1"/>
  <c r="GP159" i="1"/>
  <c r="CO159" i="1" s="1"/>
  <c r="GP59" i="1"/>
  <c r="CO59" i="1" s="1"/>
  <c r="GP160" i="1"/>
  <c r="CO160" i="1" s="1"/>
  <c r="GP60" i="1"/>
  <c r="CO60" i="1" s="1"/>
  <c r="GP236" i="1"/>
  <c r="GP110" i="1"/>
  <c r="CO110" i="1" s="1"/>
  <c r="GP111" i="1"/>
  <c r="CO111" i="1" s="1"/>
  <c r="GP218" i="1"/>
  <c r="CO218" i="1" s="1"/>
  <c r="GP231" i="1"/>
  <c r="GP234" i="1"/>
  <c r="GP230" i="1"/>
  <c r="CO234" i="1"/>
  <c r="CO231" i="1"/>
  <c r="CO230" i="1"/>
  <c r="GP40" i="1"/>
  <c r="GP42" i="1"/>
  <c r="GP39" i="1"/>
  <c r="GP46" i="1"/>
  <c r="GP38" i="1"/>
  <c r="GP41" i="1"/>
  <c r="GP43" i="1"/>
  <c r="GP45" i="1"/>
  <c r="GQ30" i="1"/>
  <c r="GQ35" i="1" s="1"/>
  <c r="CO43" i="1"/>
  <c r="CO45" i="1"/>
  <c r="CP30" i="1"/>
  <c r="CP44" i="1" s="1"/>
  <c r="CO42" i="1"/>
  <c r="CO41" i="1"/>
  <c r="CO224" i="1"/>
  <c r="CO221" i="1"/>
  <c r="CO223" i="1"/>
  <c r="CO222" i="1"/>
  <c r="GP197" i="1"/>
  <c r="CO197" i="1" s="1"/>
  <c r="GP224" i="1"/>
  <c r="GP223" i="1"/>
  <c r="GP222" i="1"/>
  <c r="GP221" i="1"/>
  <c r="GP214" i="1"/>
  <c r="CO214" i="1" s="1"/>
  <c r="GP215" i="1"/>
  <c r="CO215" i="1" s="1"/>
  <c r="GP213" i="1"/>
  <c r="CO213" i="1" s="1"/>
  <c r="GP212" i="1"/>
  <c r="CO212" i="1" s="1"/>
  <c r="CO207" i="1"/>
  <c r="CO206" i="1"/>
  <c r="CO205" i="1"/>
  <c r="GP207" i="1"/>
  <c r="GP206" i="1"/>
  <c r="GP205" i="1"/>
  <c r="GP204" i="1"/>
  <c r="GP201" i="1"/>
  <c r="CO201" i="1" s="1"/>
  <c r="GP196" i="1"/>
  <c r="CO196" i="1" s="1"/>
  <c r="GP198" i="1"/>
  <c r="CO198" i="1" s="1"/>
  <c r="GP195" i="1"/>
  <c r="CO195" i="1" s="1"/>
  <c r="GP130" i="1"/>
  <c r="CO130" i="1" s="1"/>
  <c r="GP127" i="1"/>
  <c r="CO127" i="1" s="1"/>
  <c r="GP128" i="1"/>
  <c r="CO128" i="1" s="1"/>
  <c r="GP129" i="1"/>
  <c r="CO129" i="1" s="1"/>
  <c r="GP78" i="1"/>
  <c r="CO78" i="1" s="1"/>
  <c r="GP79" i="1"/>
  <c r="CO79" i="1" s="1"/>
  <c r="GP61" i="1"/>
  <c r="CO61" i="1" s="1"/>
  <c r="GP77" i="1"/>
  <c r="CO77" i="1" s="1"/>
  <c r="GP76" i="1"/>
  <c r="CO76" i="1" s="1"/>
  <c r="GP92" i="1"/>
  <c r="CO92" i="1" s="1"/>
  <c r="GP90" i="1"/>
  <c r="CO90" i="1" s="1"/>
  <c r="GP91" i="1"/>
  <c r="CO91" i="1" s="1"/>
  <c r="CO189" i="1"/>
  <c r="CO188" i="1"/>
  <c r="CO190" i="1"/>
  <c r="CO187" i="1"/>
  <c r="CO151" i="1"/>
  <c r="CO152" i="1"/>
  <c r="CO150" i="1"/>
  <c r="CO153" i="1"/>
  <c r="GP190" i="1"/>
  <c r="GP189" i="1"/>
  <c r="GP187" i="1"/>
  <c r="GP188" i="1"/>
  <c r="GP178" i="1"/>
  <c r="CO178" i="1" s="1"/>
  <c r="GP151" i="1"/>
  <c r="GP153" i="1"/>
  <c r="GP152" i="1"/>
  <c r="GP150" i="1"/>
  <c r="GP149" i="1"/>
  <c r="GP100" i="1"/>
  <c r="GP99" i="1"/>
  <c r="GP102" i="1"/>
  <c r="GP98" i="1"/>
  <c r="GP97" i="1"/>
  <c r="GP103" i="1"/>
  <c r="GP101" i="1"/>
  <c r="GP104" i="1"/>
  <c r="CO100" i="1"/>
  <c r="CO99" i="1"/>
  <c r="CO104" i="1"/>
  <c r="CO97" i="1"/>
  <c r="CO101" i="1"/>
  <c r="CO102" i="1"/>
  <c r="CO103" i="1"/>
  <c r="CO98" i="1"/>
  <c r="GP80" i="1"/>
  <c r="CO80" i="1" s="1"/>
  <c r="GP158" i="1"/>
  <c r="CO158" i="1" s="1"/>
  <c r="GP120" i="1"/>
  <c r="CO120" i="1" s="1"/>
  <c r="GP67" i="1"/>
  <c r="CO67" i="1" s="1"/>
  <c r="GP109" i="1"/>
  <c r="CO109" i="1" s="1"/>
  <c r="GP162" i="1"/>
  <c r="CO162" i="1" s="1"/>
  <c r="GP113" i="1"/>
  <c r="CO113" i="1" s="1"/>
  <c r="GP58" i="1"/>
  <c r="CO58" i="1" s="1"/>
  <c r="GQ56" i="1"/>
  <c r="GP62" i="1"/>
  <c r="CO62" i="1" s="1"/>
  <c r="GP64" i="1"/>
  <c r="CO64" i="1" s="1"/>
  <c r="CP56" i="1"/>
  <c r="CP35" i="1" l="1"/>
  <c r="CO125" i="1"/>
  <c r="CO147" i="1"/>
  <c r="GQ184" i="1"/>
  <c r="CP184" i="1" s="1"/>
  <c r="GQ183" i="1"/>
  <c r="CP183" i="1" s="1"/>
  <c r="GQ180" i="1"/>
  <c r="CP180" i="1" s="1"/>
  <c r="GQ182" i="1"/>
  <c r="CP182" i="1" s="1"/>
  <c r="GQ181" i="1"/>
  <c r="CP181" i="1" s="1"/>
  <c r="GQ179" i="1"/>
  <c r="CP179" i="1" s="1"/>
  <c r="GQ163" i="1"/>
  <c r="CP163" i="1" s="1"/>
  <c r="GQ177" i="1"/>
  <c r="CP177" i="1" s="1"/>
  <c r="GQ174" i="1"/>
  <c r="CP174" i="1" s="1"/>
  <c r="GQ176" i="1"/>
  <c r="CP176" i="1" s="1"/>
  <c r="GQ175" i="1"/>
  <c r="CP175" i="1" s="1"/>
  <c r="GQ161" i="1"/>
  <c r="CP161" i="1" s="1"/>
  <c r="GQ171" i="1"/>
  <c r="CP171" i="1" s="1"/>
  <c r="GQ169" i="1"/>
  <c r="CP169" i="1" s="1"/>
  <c r="GQ168" i="1"/>
  <c r="CP168" i="1" s="1"/>
  <c r="GQ167" i="1"/>
  <c r="CP167" i="1" s="1"/>
  <c r="GQ165" i="1"/>
  <c r="CP165" i="1" s="1"/>
  <c r="GQ166" i="1"/>
  <c r="CP166" i="1" s="1"/>
  <c r="GQ164" i="1"/>
  <c r="CP164" i="1" s="1"/>
  <c r="GQ170" i="1"/>
  <c r="CP170" i="1" s="1"/>
  <c r="GQ137" i="1"/>
  <c r="CP137" i="1" s="1"/>
  <c r="GQ136" i="1"/>
  <c r="CP136" i="1" s="1"/>
  <c r="GQ146" i="1"/>
  <c r="CP146" i="1" s="1"/>
  <c r="GQ145" i="1"/>
  <c r="CP145" i="1" s="1"/>
  <c r="GQ143" i="1"/>
  <c r="CP143" i="1" s="1"/>
  <c r="GQ141" i="1"/>
  <c r="CP141" i="1" s="1"/>
  <c r="GQ144" i="1"/>
  <c r="CP144" i="1" s="1"/>
  <c r="GQ140" i="1"/>
  <c r="CP140" i="1" s="1"/>
  <c r="GQ139" i="1"/>
  <c r="CP139" i="1" s="1"/>
  <c r="GQ142" i="1"/>
  <c r="CP142" i="1" s="1"/>
  <c r="GQ131" i="1"/>
  <c r="CP131" i="1" s="1"/>
  <c r="GQ132" i="1"/>
  <c r="CP132" i="1" s="1"/>
  <c r="GQ133" i="1"/>
  <c r="CP133" i="1" s="1"/>
  <c r="GQ138" i="1"/>
  <c r="CP138" i="1" s="1"/>
  <c r="GQ134" i="1"/>
  <c r="CP134" i="1" s="1"/>
  <c r="GQ135" i="1"/>
  <c r="CP135" i="1" s="1"/>
  <c r="GQ124" i="1"/>
  <c r="CP124" i="1" s="1"/>
  <c r="GQ123" i="1"/>
  <c r="CP123" i="1" s="1"/>
  <c r="GQ115" i="1"/>
  <c r="CP115" i="1" s="1"/>
  <c r="GQ122" i="1"/>
  <c r="CP122" i="1" s="1"/>
  <c r="GQ121" i="1"/>
  <c r="CP121" i="1" s="1"/>
  <c r="GQ119" i="1"/>
  <c r="CP119" i="1" s="1"/>
  <c r="GQ118" i="1"/>
  <c r="CP118" i="1" s="1"/>
  <c r="GQ117" i="1"/>
  <c r="CP117" i="1" s="1"/>
  <c r="GQ116" i="1"/>
  <c r="CP116" i="1" s="1"/>
  <c r="GQ114" i="1"/>
  <c r="CP114" i="1" s="1"/>
  <c r="GQ112" i="1"/>
  <c r="CP112" i="1" s="1"/>
  <c r="GQ94" i="1"/>
  <c r="CP94" i="1" s="1"/>
  <c r="GQ89" i="1"/>
  <c r="CP89" i="1" s="1"/>
  <c r="GQ88" i="1"/>
  <c r="CP88" i="1" s="1"/>
  <c r="GQ86" i="1"/>
  <c r="CP86" i="1" s="1"/>
  <c r="GQ87" i="1"/>
  <c r="CP87" i="1" s="1"/>
  <c r="GQ81" i="1"/>
  <c r="CP81" i="1" s="1"/>
  <c r="GQ85" i="1"/>
  <c r="CP85" i="1" s="1"/>
  <c r="GQ83" i="1"/>
  <c r="CP83" i="1" s="1"/>
  <c r="GQ84" i="1"/>
  <c r="CP84" i="1" s="1"/>
  <c r="GQ82" i="1"/>
  <c r="CP82" i="1" s="1"/>
  <c r="GQ66" i="1"/>
  <c r="CP66" i="1" s="1"/>
  <c r="GQ72" i="1"/>
  <c r="CP72" i="1" s="1"/>
  <c r="GQ73" i="1"/>
  <c r="CP73" i="1" s="1"/>
  <c r="GQ71" i="1"/>
  <c r="CP71" i="1" s="1"/>
  <c r="GQ70" i="1"/>
  <c r="CP70" i="1" s="1"/>
  <c r="GQ69" i="1"/>
  <c r="CP69" i="1" s="1"/>
  <c r="GQ68" i="1"/>
  <c r="CP68" i="1" s="1"/>
  <c r="GQ65" i="1"/>
  <c r="CP65" i="1" s="1"/>
  <c r="GQ63" i="1"/>
  <c r="CP63" i="1" s="1"/>
  <c r="GQ44" i="1"/>
  <c r="GQ32" i="1"/>
  <c r="CP32" i="1" s="1"/>
  <c r="GQ31" i="1"/>
  <c r="CP31" i="1" s="1"/>
  <c r="CP233" i="1"/>
  <c r="CP232" i="1"/>
  <c r="GQ233" i="1"/>
  <c r="GQ232" i="1"/>
  <c r="GQ93" i="1"/>
  <c r="CP93" i="1" s="1"/>
  <c r="CP236" i="1"/>
  <c r="CP229" i="1"/>
  <c r="CP235" i="1"/>
  <c r="GQ229" i="1"/>
  <c r="GQ235" i="1"/>
  <c r="GQ160" i="1"/>
  <c r="CP160" i="1" s="1"/>
  <c r="GQ159" i="1"/>
  <c r="CP159" i="1" s="1"/>
  <c r="GQ59" i="1"/>
  <c r="CP59" i="1" s="1"/>
  <c r="GQ60" i="1"/>
  <c r="CP60" i="1" s="1"/>
  <c r="GQ111" i="1"/>
  <c r="CP111" i="1" s="1"/>
  <c r="GQ236" i="1"/>
  <c r="GQ110" i="1"/>
  <c r="CP110" i="1" s="1"/>
  <c r="CP231" i="1"/>
  <c r="CP230" i="1"/>
  <c r="CP234" i="1"/>
  <c r="GQ218" i="1"/>
  <c r="CP218" i="1" s="1"/>
  <c r="GQ234" i="1"/>
  <c r="GQ231" i="1"/>
  <c r="GQ230" i="1"/>
  <c r="GQ42" i="1"/>
  <c r="GQ39" i="1"/>
  <c r="GQ45" i="1"/>
  <c r="GQ41" i="1"/>
  <c r="GQ38" i="1"/>
  <c r="GR30" i="1"/>
  <c r="GR35" i="1" s="1"/>
  <c r="GQ43" i="1"/>
  <c r="GQ40" i="1"/>
  <c r="GQ46" i="1"/>
  <c r="CP45" i="1"/>
  <c r="CP42" i="1"/>
  <c r="CQ30" i="1"/>
  <c r="CQ44" i="1" s="1"/>
  <c r="CP43" i="1"/>
  <c r="CP41" i="1"/>
  <c r="CP224" i="1"/>
  <c r="CP223" i="1"/>
  <c r="CP222" i="1"/>
  <c r="CP221" i="1"/>
  <c r="GQ197" i="1"/>
  <c r="CP197" i="1" s="1"/>
  <c r="GQ222" i="1"/>
  <c r="GQ223" i="1"/>
  <c r="GQ224" i="1"/>
  <c r="GQ221" i="1"/>
  <c r="GQ215" i="1"/>
  <c r="CP215" i="1" s="1"/>
  <c r="GQ214" i="1"/>
  <c r="CP214" i="1" s="1"/>
  <c r="GQ213" i="1"/>
  <c r="CP213" i="1" s="1"/>
  <c r="GQ212" i="1"/>
  <c r="CP212" i="1" s="1"/>
  <c r="CP207" i="1"/>
  <c r="CP205" i="1"/>
  <c r="CP206" i="1"/>
  <c r="GQ207" i="1"/>
  <c r="GQ206" i="1"/>
  <c r="GQ205" i="1"/>
  <c r="GQ204" i="1"/>
  <c r="GQ201" i="1"/>
  <c r="CP201" i="1" s="1"/>
  <c r="GQ196" i="1"/>
  <c r="CP196" i="1" s="1"/>
  <c r="GQ198" i="1"/>
  <c r="CP198" i="1" s="1"/>
  <c r="GQ195" i="1"/>
  <c r="CP195" i="1" s="1"/>
  <c r="GQ129" i="1"/>
  <c r="CP129" i="1" s="1"/>
  <c r="GQ130" i="1"/>
  <c r="CP130" i="1" s="1"/>
  <c r="GQ128" i="1"/>
  <c r="CP128" i="1" s="1"/>
  <c r="GQ127" i="1"/>
  <c r="CP127" i="1" s="1"/>
  <c r="GQ79" i="1"/>
  <c r="CP79" i="1" s="1"/>
  <c r="GQ77" i="1"/>
  <c r="CP77" i="1" s="1"/>
  <c r="GQ76" i="1"/>
  <c r="CP76" i="1" s="1"/>
  <c r="GQ78" i="1"/>
  <c r="CP78" i="1" s="1"/>
  <c r="GQ61" i="1"/>
  <c r="CP61" i="1" s="1"/>
  <c r="GQ92" i="1"/>
  <c r="CP92" i="1" s="1"/>
  <c r="GQ91" i="1"/>
  <c r="CP91" i="1" s="1"/>
  <c r="GQ90" i="1"/>
  <c r="CP90" i="1" s="1"/>
  <c r="CP190" i="1"/>
  <c r="CP187" i="1"/>
  <c r="CP189" i="1"/>
  <c r="CP188" i="1"/>
  <c r="CP153" i="1"/>
  <c r="CP152" i="1"/>
  <c r="CP151" i="1"/>
  <c r="CP150" i="1"/>
  <c r="GQ189" i="1"/>
  <c r="GQ188" i="1"/>
  <c r="GQ190" i="1"/>
  <c r="GQ187" i="1"/>
  <c r="GQ178" i="1"/>
  <c r="CP178" i="1" s="1"/>
  <c r="GQ152" i="1"/>
  <c r="GQ153" i="1"/>
  <c r="GQ151" i="1"/>
  <c r="GQ149" i="1"/>
  <c r="GQ99" i="1"/>
  <c r="GQ103" i="1"/>
  <c r="GQ150" i="1"/>
  <c r="GQ98" i="1"/>
  <c r="GQ101" i="1"/>
  <c r="GQ97" i="1"/>
  <c r="GQ102" i="1"/>
  <c r="GQ100" i="1"/>
  <c r="GQ104" i="1"/>
  <c r="CP97" i="1"/>
  <c r="CP100" i="1"/>
  <c r="CP99" i="1"/>
  <c r="CP101" i="1"/>
  <c r="CP102" i="1"/>
  <c r="CP104" i="1"/>
  <c r="CP103" i="1"/>
  <c r="CP98" i="1"/>
  <c r="GQ80" i="1"/>
  <c r="CP80" i="1" s="1"/>
  <c r="GQ158" i="1"/>
  <c r="CP158" i="1" s="1"/>
  <c r="GQ120" i="1"/>
  <c r="CP120" i="1" s="1"/>
  <c r="GQ67" i="1"/>
  <c r="CP67" i="1" s="1"/>
  <c r="GQ109" i="1"/>
  <c r="CP109" i="1" s="1"/>
  <c r="GQ162" i="1"/>
  <c r="CP162" i="1" s="1"/>
  <c r="GQ113" i="1"/>
  <c r="CP113" i="1" s="1"/>
  <c r="GR56" i="1"/>
  <c r="GQ64" i="1"/>
  <c r="CP64" i="1" s="1"/>
  <c r="GQ62" i="1"/>
  <c r="CP62" i="1" s="1"/>
  <c r="GQ58" i="1"/>
  <c r="CP58" i="1" s="1"/>
  <c r="CQ56" i="1"/>
  <c r="CQ35" i="1" l="1"/>
  <c r="CP125" i="1"/>
  <c r="CP147" i="1"/>
  <c r="GR184" i="1"/>
  <c r="CQ184" i="1" s="1"/>
  <c r="GR183" i="1"/>
  <c r="CQ183" i="1" s="1"/>
  <c r="GR181" i="1"/>
  <c r="CQ181" i="1" s="1"/>
  <c r="GR182" i="1"/>
  <c r="CQ182" i="1" s="1"/>
  <c r="GR179" i="1"/>
  <c r="CQ179" i="1" s="1"/>
  <c r="GR180" i="1"/>
  <c r="CQ180" i="1" s="1"/>
  <c r="GR163" i="1"/>
  <c r="CQ163" i="1" s="1"/>
  <c r="GR177" i="1"/>
  <c r="CQ177" i="1" s="1"/>
  <c r="GR176" i="1"/>
  <c r="CQ176" i="1" s="1"/>
  <c r="GR175" i="1"/>
  <c r="CQ175" i="1" s="1"/>
  <c r="GR174" i="1"/>
  <c r="CQ174" i="1" s="1"/>
  <c r="GR161" i="1"/>
  <c r="CQ161" i="1" s="1"/>
  <c r="GR171" i="1"/>
  <c r="CQ171" i="1" s="1"/>
  <c r="GR170" i="1"/>
  <c r="CQ170" i="1" s="1"/>
  <c r="GR168" i="1"/>
  <c r="CQ168" i="1" s="1"/>
  <c r="GR169" i="1"/>
  <c r="CQ169" i="1" s="1"/>
  <c r="GR167" i="1"/>
  <c r="CQ167" i="1" s="1"/>
  <c r="GR166" i="1"/>
  <c r="CQ166" i="1" s="1"/>
  <c r="GR165" i="1"/>
  <c r="CQ165" i="1" s="1"/>
  <c r="GR164" i="1"/>
  <c r="CQ164" i="1" s="1"/>
  <c r="GR137" i="1"/>
  <c r="CQ137" i="1" s="1"/>
  <c r="GR136" i="1"/>
  <c r="CQ136" i="1" s="1"/>
  <c r="GR146" i="1"/>
  <c r="CQ146" i="1" s="1"/>
  <c r="GR145" i="1"/>
  <c r="CQ145" i="1" s="1"/>
  <c r="GR144" i="1"/>
  <c r="CQ144" i="1" s="1"/>
  <c r="GR143" i="1"/>
  <c r="CQ143" i="1" s="1"/>
  <c r="GR142" i="1"/>
  <c r="CQ142" i="1" s="1"/>
  <c r="GR139" i="1"/>
  <c r="CQ139" i="1" s="1"/>
  <c r="GR141" i="1"/>
  <c r="CQ141" i="1" s="1"/>
  <c r="GR140" i="1"/>
  <c r="CQ140" i="1" s="1"/>
  <c r="GR131" i="1"/>
  <c r="CQ131" i="1" s="1"/>
  <c r="GR132" i="1"/>
  <c r="CQ132" i="1" s="1"/>
  <c r="GR133" i="1"/>
  <c r="CQ133" i="1" s="1"/>
  <c r="GR138" i="1"/>
  <c r="CQ138" i="1" s="1"/>
  <c r="GR135" i="1"/>
  <c r="CQ135" i="1" s="1"/>
  <c r="GR134" i="1"/>
  <c r="CQ134" i="1" s="1"/>
  <c r="GR124" i="1"/>
  <c r="CQ124" i="1" s="1"/>
  <c r="GR123" i="1"/>
  <c r="CQ123" i="1" s="1"/>
  <c r="GR115" i="1"/>
  <c r="CQ115" i="1" s="1"/>
  <c r="GR121" i="1"/>
  <c r="CQ121" i="1" s="1"/>
  <c r="GR122" i="1"/>
  <c r="CQ122" i="1" s="1"/>
  <c r="GR118" i="1"/>
  <c r="CQ118" i="1" s="1"/>
  <c r="GR119" i="1"/>
  <c r="CQ119" i="1" s="1"/>
  <c r="GR116" i="1"/>
  <c r="CQ116" i="1" s="1"/>
  <c r="GR117" i="1"/>
  <c r="CQ117" i="1" s="1"/>
  <c r="GR114" i="1"/>
  <c r="CQ114" i="1" s="1"/>
  <c r="GR112" i="1"/>
  <c r="CQ112" i="1" s="1"/>
  <c r="GR94" i="1"/>
  <c r="CQ94" i="1" s="1"/>
  <c r="GR89" i="1"/>
  <c r="CQ89" i="1" s="1"/>
  <c r="GR88" i="1"/>
  <c r="CQ88" i="1" s="1"/>
  <c r="GR87" i="1"/>
  <c r="CQ87" i="1" s="1"/>
  <c r="GR86" i="1"/>
  <c r="CQ86" i="1" s="1"/>
  <c r="GR81" i="1"/>
  <c r="CQ81" i="1" s="1"/>
  <c r="GR85" i="1"/>
  <c r="CQ85" i="1" s="1"/>
  <c r="GR84" i="1"/>
  <c r="CQ84" i="1" s="1"/>
  <c r="GR82" i="1"/>
  <c r="CQ82" i="1" s="1"/>
  <c r="GR83" i="1"/>
  <c r="CQ83" i="1" s="1"/>
  <c r="GR66" i="1"/>
  <c r="CQ66" i="1" s="1"/>
  <c r="GR72" i="1"/>
  <c r="CQ72" i="1" s="1"/>
  <c r="GR71" i="1"/>
  <c r="CQ71" i="1" s="1"/>
  <c r="GR73" i="1"/>
  <c r="CQ73" i="1" s="1"/>
  <c r="GR70" i="1"/>
  <c r="CQ70" i="1" s="1"/>
  <c r="GR69" i="1"/>
  <c r="CQ69" i="1" s="1"/>
  <c r="GR68" i="1"/>
  <c r="CQ68" i="1" s="1"/>
  <c r="GR65" i="1"/>
  <c r="CQ65" i="1" s="1"/>
  <c r="GR63" i="1"/>
  <c r="CQ63" i="1" s="1"/>
  <c r="GR44" i="1"/>
  <c r="GR32" i="1"/>
  <c r="CQ32" i="1" s="1"/>
  <c r="GR31" i="1"/>
  <c r="CQ31" i="1" s="1"/>
  <c r="CQ233" i="1"/>
  <c r="CQ232" i="1"/>
  <c r="GR232" i="1"/>
  <c r="GR233" i="1"/>
  <c r="GR93" i="1"/>
  <c r="CQ93" i="1" s="1"/>
  <c r="CQ236" i="1"/>
  <c r="CQ229" i="1"/>
  <c r="CQ235" i="1"/>
  <c r="GR229" i="1"/>
  <c r="GR235" i="1"/>
  <c r="GR60" i="1"/>
  <c r="CQ60" i="1" s="1"/>
  <c r="GR160" i="1"/>
  <c r="CQ160" i="1" s="1"/>
  <c r="GR59" i="1"/>
  <c r="CQ59" i="1" s="1"/>
  <c r="GR159" i="1"/>
  <c r="CQ159" i="1" s="1"/>
  <c r="GR111" i="1"/>
  <c r="CQ111" i="1" s="1"/>
  <c r="GR110" i="1"/>
  <c r="CQ110" i="1" s="1"/>
  <c r="GR236" i="1"/>
  <c r="CQ234" i="1"/>
  <c r="CQ231" i="1"/>
  <c r="CQ230" i="1"/>
  <c r="GR218" i="1"/>
  <c r="CQ218" i="1" s="1"/>
  <c r="GR234" i="1"/>
  <c r="GR230" i="1"/>
  <c r="GR231" i="1"/>
  <c r="GR39" i="1"/>
  <c r="GR38" i="1"/>
  <c r="GR40" i="1"/>
  <c r="GR46" i="1"/>
  <c r="GR41" i="1"/>
  <c r="GS30" i="1"/>
  <c r="GS35" i="1" s="1"/>
  <c r="GR42" i="1"/>
  <c r="GR43" i="1"/>
  <c r="GR45" i="1"/>
  <c r="CR30" i="1"/>
  <c r="CR44" i="1" s="1"/>
  <c r="CQ42" i="1"/>
  <c r="CQ43" i="1"/>
  <c r="CQ45" i="1"/>
  <c r="CQ41" i="1"/>
  <c r="CQ223" i="1"/>
  <c r="CQ224" i="1"/>
  <c r="CQ222" i="1"/>
  <c r="CQ221" i="1"/>
  <c r="GR197" i="1"/>
  <c r="CQ197" i="1" s="1"/>
  <c r="GR223" i="1"/>
  <c r="GR222" i="1"/>
  <c r="GR221" i="1"/>
  <c r="GR224" i="1"/>
  <c r="GR213" i="1"/>
  <c r="CQ213" i="1" s="1"/>
  <c r="GR212" i="1"/>
  <c r="CQ212" i="1" s="1"/>
  <c r="GR214" i="1"/>
  <c r="CQ214" i="1" s="1"/>
  <c r="GR215" i="1"/>
  <c r="CQ215" i="1" s="1"/>
  <c r="CQ206" i="1"/>
  <c r="CQ207" i="1"/>
  <c r="CQ205" i="1"/>
  <c r="GR207" i="1"/>
  <c r="GR206" i="1"/>
  <c r="GR205" i="1"/>
  <c r="GR204" i="1"/>
  <c r="GR201" i="1"/>
  <c r="CQ201" i="1" s="1"/>
  <c r="GR198" i="1"/>
  <c r="CQ198" i="1" s="1"/>
  <c r="GR195" i="1"/>
  <c r="CQ195" i="1" s="1"/>
  <c r="GR196" i="1"/>
  <c r="CQ196" i="1" s="1"/>
  <c r="GR129" i="1"/>
  <c r="CQ129" i="1" s="1"/>
  <c r="GR130" i="1"/>
  <c r="CQ130" i="1" s="1"/>
  <c r="GR128" i="1"/>
  <c r="CQ128" i="1" s="1"/>
  <c r="GR127" i="1"/>
  <c r="CQ127" i="1" s="1"/>
  <c r="GR79" i="1"/>
  <c r="CQ79" i="1" s="1"/>
  <c r="GR78" i="1"/>
  <c r="CQ78" i="1" s="1"/>
  <c r="GR77" i="1"/>
  <c r="CQ77" i="1" s="1"/>
  <c r="GR76" i="1"/>
  <c r="CQ76" i="1" s="1"/>
  <c r="GR61" i="1"/>
  <c r="CQ61" i="1" s="1"/>
  <c r="GR92" i="1"/>
  <c r="CQ92" i="1" s="1"/>
  <c r="GR91" i="1"/>
  <c r="CQ91" i="1" s="1"/>
  <c r="GR90" i="1"/>
  <c r="CQ90" i="1" s="1"/>
  <c r="CQ189" i="1"/>
  <c r="CQ190" i="1"/>
  <c r="CQ188" i="1"/>
  <c r="CQ187" i="1"/>
  <c r="CQ150" i="1"/>
  <c r="CQ153" i="1"/>
  <c r="CQ152" i="1"/>
  <c r="CQ151" i="1"/>
  <c r="GR189" i="1"/>
  <c r="GR190" i="1"/>
  <c r="GR187" i="1"/>
  <c r="GR188" i="1"/>
  <c r="GR178" i="1"/>
  <c r="CQ178" i="1" s="1"/>
  <c r="GR153" i="1"/>
  <c r="GR150" i="1"/>
  <c r="GR151" i="1"/>
  <c r="GR152" i="1"/>
  <c r="GR149" i="1"/>
  <c r="GR98" i="1"/>
  <c r="GR102" i="1"/>
  <c r="GR97" i="1"/>
  <c r="GR100" i="1"/>
  <c r="GR103" i="1"/>
  <c r="GR99" i="1"/>
  <c r="GR104" i="1"/>
  <c r="GR101" i="1"/>
  <c r="CQ98" i="1"/>
  <c r="CQ97" i="1"/>
  <c r="CQ102" i="1"/>
  <c r="CQ100" i="1"/>
  <c r="CQ101" i="1"/>
  <c r="CQ99" i="1"/>
  <c r="CQ104" i="1"/>
  <c r="CQ103" i="1"/>
  <c r="GR80" i="1"/>
  <c r="CQ80" i="1" s="1"/>
  <c r="GR158" i="1"/>
  <c r="CQ158" i="1" s="1"/>
  <c r="GR120" i="1"/>
  <c r="CQ120" i="1" s="1"/>
  <c r="GR67" i="1"/>
  <c r="CQ67" i="1" s="1"/>
  <c r="GR109" i="1"/>
  <c r="CQ109" i="1" s="1"/>
  <c r="GR162" i="1"/>
  <c r="CQ162" i="1" s="1"/>
  <c r="GR113" i="1"/>
  <c r="CQ113" i="1" s="1"/>
  <c r="GR62" i="1"/>
  <c r="CQ62" i="1" s="1"/>
  <c r="GR64" i="1"/>
  <c r="CQ64" i="1" s="1"/>
  <c r="GR58" i="1"/>
  <c r="CQ58" i="1" s="1"/>
  <c r="GS56" i="1"/>
  <c r="CR56" i="1"/>
  <c r="CR35" i="1" l="1"/>
  <c r="CQ125" i="1"/>
  <c r="CQ147" i="1"/>
  <c r="GS184" i="1"/>
  <c r="CR184" i="1" s="1"/>
  <c r="GS179" i="1"/>
  <c r="CR179" i="1" s="1"/>
  <c r="GS183" i="1"/>
  <c r="CR183" i="1" s="1"/>
  <c r="GS180" i="1"/>
  <c r="CR180" i="1" s="1"/>
  <c r="GS182" i="1"/>
  <c r="CR182" i="1" s="1"/>
  <c r="GS181" i="1"/>
  <c r="CR181" i="1" s="1"/>
  <c r="GS163" i="1"/>
  <c r="CR163" i="1" s="1"/>
  <c r="GS176" i="1"/>
  <c r="CR176" i="1" s="1"/>
  <c r="GS177" i="1"/>
  <c r="CR177" i="1" s="1"/>
  <c r="GS174" i="1"/>
  <c r="CR174" i="1" s="1"/>
  <c r="GS175" i="1"/>
  <c r="CR175" i="1" s="1"/>
  <c r="GS161" i="1"/>
  <c r="CR161" i="1" s="1"/>
  <c r="GS171" i="1"/>
  <c r="CR171" i="1" s="1"/>
  <c r="GS170" i="1"/>
  <c r="CR170" i="1" s="1"/>
  <c r="GS169" i="1"/>
  <c r="CR169" i="1" s="1"/>
  <c r="GS166" i="1"/>
  <c r="CR166" i="1" s="1"/>
  <c r="GS167" i="1"/>
  <c r="CR167" i="1" s="1"/>
  <c r="GS168" i="1"/>
  <c r="CR168" i="1" s="1"/>
  <c r="GS165" i="1"/>
  <c r="CR165" i="1" s="1"/>
  <c r="GS164" i="1"/>
  <c r="CR164" i="1" s="1"/>
  <c r="GS137" i="1"/>
  <c r="CR137" i="1" s="1"/>
  <c r="GS136" i="1"/>
  <c r="CR136" i="1" s="1"/>
  <c r="GS145" i="1"/>
  <c r="CR145" i="1" s="1"/>
  <c r="GS146" i="1"/>
  <c r="CR146" i="1" s="1"/>
  <c r="GS144" i="1"/>
  <c r="CR144" i="1" s="1"/>
  <c r="GS142" i="1"/>
  <c r="CR142" i="1" s="1"/>
  <c r="GS139" i="1"/>
  <c r="CR139" i="1" s="1"/>
  <c r="GS143" i="1"/>
  <c r="CR143" i="1" s="1"/>
  <c r="GS141" i="1"/>
  <c r="CR141" i="1" s="1"/>
  <c r="GS140" i="1"/>
  <c r="CR140" i="1" s="1"/>
  <c r="GS131" i="1"/>
  <c r="CR131" i="1" s="1"/>
  <c r="GS132" i="1"/>
  <c r="CR132" i="1" s="1"/>
  <c r="GS133" i="1"/>
  <c r="CR133" i="1" s="1"/>
  <c r="GS135" i="1"/>
  <c r="CR135" i="1" s="1"/>
  <c r="GS138" i="1"/>
  <c r="CR138" i="1" s="1"/>
  <c r="GS134" i="1"/>
  <c r="CR134" i="1" s="1"/>
  <c r="GS123" i="1"/>
  <c r="CR123" i="1" s="1"/>
  <c r="GS124" i="1"/>
  <c r="CR124" i="1" s="1"/>
  <c r="GS115" i="1"/>
  <c r="CR115" i="1" s="1"/>
  <c r="GS121" i="1"/>
  <c r="CR121" i="1" s="1"/>
  <c r="GS122" i="1"/>
  <c r="CR122" i="1" s="1"/>
  <c r="GS118" i="1"/>
  <c r="CR118" i="1" s="1"/>
  <c r="GS119" i="1"/>
  <c r="CR119" i="1" s="1"/>
  <c r="GS114" i="1"/>
  <c r="CR114" i="1" s="1"/>
  <c r="GS117" i="1"/>
  <c r="CR117" i="1" s="1"/>
  <c r="GS116" i="1"/>
  <c r="CR116" i="1" s="1"/>
  <c r="GS112" i="1"/>
  <c r="CR112" i="1" s="1"/>
  <c r="GS94" i="1"/>
  <c r="CR94" i="1" s="1"/>
  <c r="GS88" i="1"/>
  <c r="CR88" i="1" s="1"/>
  <c r="GS87" i="1"/>
  <c r="CR87" i="1" s="1"/>
  <c r="GS89" i="1"/>
  <c r="CR89" i="1" s="1"/>
  <c r="GS86" i="1"/>
  <c r="CR86" i="1" s="1"/>
  <c r="GS81" i="1"/>
  <c r="CR81" i="1" s="1"/>
  <c r="GS84" i="1"/>
  <c r="CR84" i="1" s="1"/>
  <c r="GS85" i="1"/>
  <c r="CR85" i="1" s="1"/>
  <c r="GS83" i="1"/>
  <c r="CR83" i="1" s="1"/>
  <c r="GS82" i="1"/>
  <c r="CR82" i="1" s="1"/>
  <c r="GS66" i="1"/>
  <c r="CR66" i="1" s="1"/>
  <c r="GS72" i="1"/>
  <c r="CR72" i="1" s="1"/>
  <c r="GS73" i="1"/>
  <c r="CR73" i="1" s="1"/>
  <c r="GS71" i="1"/>
  <c r="CR71" i="1" s="1"/>
  <c r="GS69" i="1"/>
  <c r="CR69" i="1" s="1"/>
  <c r="GS68" i="1"/>
  <c r="CR68" i="1" s="1"/>
  <c r="GS70" i="1"/>
  <c r="CR70" i="1" s="1"/>
  <c r="GS65" i="1"/>
  <c r="CR65" i="1" s="1"/>
  <c r="GS63" i="1"/>
  <c r="CR63" i="1" s="1"/>
  <c r="GS44" i="1"/>
  <c r="GS31" i="1"/>
  <c r="CR31" i="1" s="1"/>
  <c r="GS32" i="1"/>
  <c r="CR32" i="1" s="1"/>
  <c r="GS232" i="1"/>
  <c r="GS233" i="1"/>
  <c r="CR233" i="1"/>
  <c r="CR232" i="1"/>
  <c r="GS93" i="1"/>
  <c r="CR93" i="1" s="1"/>
  <c r="CR236" i="1"/>
  <c r="CR235" i="1"/>
  <c r="CR229" i="1"/>
  <c r="GS235" i="1"/>
  <c r="GS229" i="1"/>
  <c r="GS160" i="1"/>
  <c r="CR160" i="1" s="1"/>
  <c r="GS59" i="1"/>
  <c r="CR59" i="1" s="1"/>
  <c r="GS159" i="1"/>
  <c r="CR159" i="1" s="1"/>
  <c r="GS60" i="1"/>
  <c r="CR60" i="1" s="1"/>
  <c r="GS111" i="1"/>
  <c r="CR111" i="1" s="1"/>
  <c r="GS110" i="1"/>
  <c r="CR110" i="1" s="1"/>
  <c r="GS236" i="1"/>
  <c r="CR234" i="1"/>
  <c r="CR231" i="1"/>
  <c r="CR230" i="1"/>
  <c r="GS218" i="1"/>
  <c r="CR218" i="1" s="1"/>
  <c r="GS234" i="1"/>
  <c r="GS231" i="1"/>
  <c r="GS230" i="1"/>
  <c r="GS42" i="1"/>
  <c r="GS46" i="1"/>
  <c r="GS45" i="1"/>
  <c r="GT30" i="1"/>
  <c r="GT35" i="1" s="1"/>
  <c r="GS41" i="1"/>
  <c r="GS39" i="1"/>
  <c r="GS43" i="1"/>
  <c r="GS40" i="1"/>
  <c r="GS38" i="1"/>
  <c r="CR43" i="1"/>
  <c r="CS30" i="1"/>
  <c r="CS44" i="1" s="1"/>
  <c r="CR42" i="1"/>
  <c r="CR41" i="1"/>
  <c r="CR45" i="1"/>
  <c r="CR222" i="1"/>
  <c r="CR221" i="1"/>
  <c r="CR223" i="1"/>
  <c r="CR224" i="1"/>
  <c r="GS197" i="1"/>
  <c r="CR197" i="1" s="1"/>
  <c r="GS224" i="1"/>
  <c r="GS223" i="1"/>
  <c r="GS221" i="1"/>
  <c r="GS222" i="1"/>
  <c r="GS215" i="1"/>
  <c r="CR215" i="1" s="1"/>
  <c r="GS214" i="1"/>
  <c r="CR214" i="1" s="1"/>
  <c r="GS213" i="1"/>
  <c r="CR213" i="1" s="1"/>
  <c r="GS212" i="1"/>
  <c r="CR212" i="1" s="1"/>
  <c r="GS207" i="1"/>
  <c r="GS205" i="1"/>
  <c r="GS206" i="1"/>
  <c r="GS204" i="1"/>
  <c r="GS201" i="1"/>
  <c r="CR201" i="1" s="1"/>
  <c r="GS198" i="1"/>
  <c r="CR198" i="1" s="1"/>
  <c r="GS195" i="1"/>
  <c r="CR195" i="1" s="1"/>
  <c r="GS196" i="1"/>
  <c r="CR196" i="1" s="1"/>
  <c r="GS130" i="1"/>
  <c r="CR130" i="1" s="1"/>
  <c r="GS128" i="1"/>
  <c r="CR128" i="1" s="1"/>
  <c r="GS127" i="1"/>
  <c r="CR127" i="1" s="1"/>
  <c r="GS129" i="1"/>
  <c r="CR129" i="1" s="1"/>
  <c r="CR207" i="1"/>
  <c r="CR206" i="1"/>
  <c r="CR205" i="1"/>
  <c r="GS78" i="1"/>
  <c r="CR78" i="1" s="1"/>
  <c r="GS79" i="1"/>
  <c r="CR79" i="1" s="1"/>
  <c r="GS77" i="1"/>
  <c r="CR77" i="1" s="1"/>
  <c r="GS76" i="1"/>
  <c r="CR76" i="1" s="1"/>
  <c r="GS61" i="1"/>
  <c r="CR61" i="1" s="1"/>
  <c r="GS91" i="1"/>
  <c r="CR91" i="1" s="1"/>
  <c r="GS92" i="1"/>
  <c r="CR92" i="1" s="1"/>
  <c r="GS90" i="1"/>
  <c r="CR90" i="1" s="1"/>
  <c r="GS190" i="1"/>
  <c r="GS178" i="1"/>
  <c r="CR178" i="1" s="1"/>
  <c r="GS189" i="1"/>
  <c r="GS188" i="1"/>
  <c r="GS187" i="1"/>
  <c r="CR190" i="1"/>
  <c r="CR189" i="1"/>
  <c r="CR188" i="1"/>
  <c r="CR187" i="1"/>
  <c r="CR150" i="1"/>
  <c r="CR151" i="1"/>
  <c r="CR153" i="1"/>
  <c r="CR152" i="1"/>
  <c r="GS153" i="1"/>
  <c r="GS152" i="1"/>
  <c r="GS151" i="1"/>
  <c r="GS150" i="1"/>
  <c r="GS97" i="1"/>
  <c r="GS101" i="1"/>
  <c r="GS100" i="1"/>
  <c r="GS99" i="1"/>
  <c r="GS102" i="1"/>
  <c r="GS104" i="1"/>
  <c r="GS149" i="1"/>
  <c r="GS98" i="1"/>
  <c r="GS103" i="1"/>
  <c r="CR99" i="1"/>
  <c r="CR98" i="1"/>
  <c r="CR103" i="1"/>
  <c r="CR97" i="1"/>
  <c r="CR104" i="1"/>
  <c r="CR101" i="1"/>
  <c r="CR102" i="1"/>
  <c r="CR100" i="1"/>
  <c r="GS80" i="1"/>
  <c r="CR80" i="1" s="1"/>
  <c r="GS158" i="1"/>
  <c r="CR158" i="1" s="1"/>
  <c r="GS120" i="1"/>
  <c r="CR120" i="1" s="1"/>
  <c r="GS67" i="1"/>
  <c r="CR67" i="1" s="1"/>
  <c r="GS109" i="1"/>
  <c r="CR109" i="1" s="1"/>
  <c r="GS162" i="1"/>
  <c r="CR162" i="1" s="1"/>
  <c r="GS113" i="1"/>
  <c r="CR113" i="1" s="1"/>
  <c r="GS64" i="1"/>
  <c r="CR64" i="1" s="1"/>
  <c r="GS58" i="1"/>
  <c r="CR58" i="1" s="1"/>
  <c r="GT56" i="1"/>
  <c r="GS62" i="1"/>
  <c r="CR62" i="1" s="1"/>
  <c r="CS56" i="1"/>
  <c r="CS35" i="1" l="1"/>
  <c r="CR125" i="1"/>
  <c r="CR147" i="1"/>
  <c r="GT184" i="1"/>
  <c r="CS184" i="1" s="1"/>
  <c r="GT183" i="1"/>
  <c r="CS183" i="1" s="1"/>
  <c r="GT182" i="1"/>
  <c r="CS182" i="1" s="1"/>
  <c r="GT180" i="1"/>
  <c r="CS180" i="1" s="1"/>
  <c r="GT179" i="1"/>
  <c r="CS179" i="1" s="1"/>
  <c r="GT181" i="1"/>
  <c r="CS181" i="1" s="1"/>
  <c r="GT163" i="1"/>
  <c r="CS163" i="1" s="1"/>
  <c r="GT176" i="1"/>
  <c r="CS176" i="1" s="1"/>
  <c r="GT177" i="1"/>
  <c r="CS177" i="1" s="1"/>
  <c r="GT175" i="1"/>
  <c r="CS175" i="1" s="1"/>
  <c r="GT174" i="1"/>
  <c r="CS174" i="1" s="1"/>
  <c r="GT161" i="1"/>
  <c r="CS161" i="1" s="1"/>
  <c r="GT170" i="1"/>
  <c r="CS170" i="1" s="1"/>
  <c r="GT171" i="1"/>
  <c r="CS171" i="1" s="1"/>
  <c r="GT169" i="1"/>
  <c r="CS169" i="1" s="1"/>
  <c r="GT168" i="1"/>
  <c r="CS168" i="1" s="1"/>
  <c r="GT167" i="1"/>
  <c r="CS167" i="1" s="1"/>
  <c r="GT165" i="1"/>
  <c r="CS165" i="1" s="1"/>
  <c r="GT166" i="1"/>
  <c r="CS166" i="1" s="1"/>
  <c r="GT164" i="1"/>
  <c r="CS164" i="1" s="1"/>
  <c r="GT137" i="1"/>
  <c r="CS137" i="1" s="1"/>
  <c r="GT136" i="1"/>
  <c r="CS136" i="1" s="1"/>
  <c r="GT146" i="1"/>
  <c r="CS146" i="1" s="1"/>
  <c r="GT145" i="1"/>
  <c r="CS145" i="1" s="1"/>
  <c r="GT144" i="1"/>
  <c r="CS144" i="1" s="1"/>
  <c r="GT141" i="1"/>
  <c r="CS141" i="1" s="1"/>
  <c r="GT143" i="1"/>
  <c r="CS143" i="1" s="1"/>
  <c r="GT140" i="1"/>
  <c r="CS140" i="1" s="1"/>
  <c r="GT142" i="1"/>
  <c r="CS142" i="1" s="1"/>
  <c r="GT139" i="1"/>
  <c r="CS139" i="1" s="1"/>
  <c r="GT131" i="1"/>
  <c r="CS131" i="1" s="1"/>
  <c r="GT132" i="1"/>
  <c r="CS132" i="1" s="1"/>
  <c r="GT133" i="1"/>
  <c r="CS133" i="1" s="1"/>
  <c r="GT135" i="1"/>
  <c r="CS135" i="1" s="1"/>
  <c r="GT138" i="1"/>
  <c r="CS138" i="1" s="1"/>
  <c r="GT134" i="1"/>
  <c r="CS134" i="1" s="1"/>
  <c r="GT123" i="1"/>
  <c r="CS123" i="1" s="1"/>
  <c r="GT124" i="1"/>
  <c r="CS124" i="1" s="1"/>
  <c r="GT115" i="1"/>
  <c r="CS115" i="1" s="1"/>
  <c r="GT122" i="1"/>
  <c r="CS122" i="1" s="1"/>
  <c r="GT121" i="1"/>
  <c r="CS121" i="1" s="1"/>
  <c r="GT119" i="1"/>
  <c r="CS119" i="1" s="1"/>
  <c r="GT117" i="1"/>
  <c r="CS117" i="1" s="1"/>
  <c r="GT118" i="1"/>
  <c r="CS118" i="1" s="1"/>
  <c r="GT116" i="1"/>
  <c r="CS116" i="1" s="1"/>
  <c r="GT114" i="1"/>
  <c r="CS114" i="1" s="1"/>
  <c r="GT112" i="1"/>
  <c r="CS112" i="1" s="1"/>
  <c r="GT94" i="1"/>
  <c r="CS94" i="1" s="1"/>
  <c r="GT89" i="1"/>
  <c r="CS89" i="1" s="1"/>
  <c r="GT88" i="1"/>
  <c r="CS88" i="1" s="1"/>
  <c r="GT87" i="1"/>
  <c r="CS87" i="1" s="1"/>
  <c r="GT86" i="1"/>
  <c r="CS86" i="1" s="1"/>
  <c r="GT81" i="1"/>
  <c r="CS81" i="1" s="1"/>
  <c r="GT84" i="1"/>
  <c r="CS84" i="1" s="1"/>
  <c r="GT85" i="1"/>
  <c r="CS85" i="1" s="1"/>
  <c r="GT83" i="1"/>
  <c r="CS83" i="1" s="1"/>
  <c r="GT82" i="1"/>
  <c r="CS82" i="1" s="1"/>
  <c r="GT66" i="1"/>
  <c r="CS66" i="1" s="1"/>
  <c r="GT73" i="1"/>
  <c r="CS73" i="1" s="1"/>
  <c r="GT68" i="1"/>
  <c r="CS68" i="1" s="1"/>
  <c r="GT72" i="1"/>
  <c r="CS72" i="1" s="1"/>
  <c r="GT70" i="1"/>
  <c r="CS70" i="1" s="1"/>
  <c r="GT69" i="1"/>
  <c r="CS69" i="1" s="1"/>
  <c r="GT71" i="1"/>
  <c r="CS71" i="1" s="1"/>
  <c r="GT65" i="1"/>
  <c r="CS65" i="1" s="1"/>
  <c r="GT63" i="1"/>
  <c r="CS63" i="1" s="1"/>
  <c r="GT44" i="1"/>
  <c r="GT32" i="1"/>
  <c r="CS32" i="1" s="1"/>
  <c r="GT31" i="1"/>
  <c r="CS31" i="1" s="1"/>
  <c r="GT232" i="1"/>
  <c r="GT233" i="1"/>
  <c r="CS233" i="1"/>
  <c r="CS232" i="1"/>
  <c r="GT93" i="1"/>
  <c r="CS93" i="1" s="1"/>
  <c r="GT235" i="1"/>
  <c r="GT229" i="1"/>
  <c r="GT159" i="1"/>
  <c r="CS159" i="1" s="1"/>
  <c r="GT59" i="1"/>
  <c r="CS59" i="1" s="1"/>
  <c r="GT160" i="1"/>
  <c r="CS160" i="1" s="1"/>
  <c r="GT60" i="1"/>
  <c r="CS60" i="1" s="1"/>
  <c r="CS236" i="1"/>
  <c r="CS235" i="1"/>
  <c r="CS229" i="1"/>
  <c r="GT110" i="1"/>
  <c r="CS110" i="1" s="1"/>
  <c r="GT236" i="1"/>
  <c r="GT111" i="1"/>
  <c r="CS111" i="1" s="1"/>
  <c r="GT218" i="1"/>
  <c r="CS218" i="1" s="1"/>
  <c r="GT231" i="1"/>
  <c r="GT234" i="1"/>
  <c r="GT230" i="1"/>
  <c r="CS231" i="1"/>
  <c r="CS234" i="1"/>
  <c r="CS230" i="1"/>
  <c r="GT45" i="1"/>
  <c r="GU30" i="1"/>
  <c r="GU35" i="1" s="1"/>
  <c r="GT43" i="1"/>
  <c r="GT40" i="1"/>
  <c r="GT41" i="1"/>
  <c r="GT38" i="1"/>
  <c r="GT39" i="1"/>
  <c r="GT46" i="1"/>
  <c r="GT42" i="1"/>
  <c r="CT30" i="1"/>
  <c r="CT44" i="1" s="1"/>
  <c r="CS42" i="1"/>
  <c r="CS43" i="1"/>
  <c r="CS41" i="1"/>
  <c r="CS45" i="1"/>
  <c r="CS223" i="1"/>
  <c r="CS222" i="1"/>
  <c r="CS224" i="1"/>
  <c r="CS221" i="1"/>
  <c r="GT197" i="1"/>
  <c r="CS197" i="1" s="1"/>
  <c r="GT224" i="1"/>
  <c r="GT223" i="1"/>
  <c r="GT222" i="1"/>
  <c r="GT214" i="1"/>
  <c r="CS214" i="1" s="1"/>
  <c r="GT221" i="1"/>
  <c r="GT215" i="1"/>
  <c r="CS215" i="1" s="1"/>
  <c r="GT213" i="1"/>
  <c r="CS213" i="1" s="1"/>
  <c r="GT212" i="1"/>
  <c r="CS212" i="1" s="1"/>
  <c r="CS207" i="1"/>
  <c r="CS206" i="1"/>
  <c r="CS205" i="1"/>
  <c r="GT207" i="1"/>
  <c r="GT206" i="1"/>
  <c r="GT205" i="1"/>
  <c r="GT204" i="1"/>
  <c r="GT201" i="1"/>
  <c r="CS201" i="1" s="1"/>
  <c r="GT198" i="1"/>
  <c r="CS198" i="1" s="1"/>
  <c r="GT195" i="1"/>
  <c r="CS195" i="1" s="1"/>
  <c r="GT196" i="1"/>
  <c r="CS196" i="1" s="1"/>
  <c r="GT127" i="1"/>
  <c r="CS127" i="1" s="1"/>
  <c r="GT129" i="1"/>
  <c r="CS129" i="1" s="1"/>
  <c r="GT130" i="1"/>
  <c r="CS130" i="1" s="1"/>
  <c r="GT128" i="1"/>
  <c r="CS128" i="1" s="1"/>
  <c r="GT79" i="1"/>
  <c r="CS79" i="1" s="1"/>
  <c r="GT78" i="1"/>
  <c r="CS78" i="1" s="1"/>
  <c r="GT61" i="1"/>
  <c r="CS61" i="1" s="1"/>
  <c r="GT76" i="1"/>
  <c r="CS76" i="1" s="1"/>
  <c r="GT91" i="1"/>
  <c r="CS91" i="1" s="1"/>
  <c r="GT90" i="1"/>
  <c r="CS90" i="1" s="1"/>
  <c r="GT77" i="1"/>
  <c r="CS77" i="1" s="1"/>
  <c r="GT92" i="1"/>
  <c r="CS92" i="1" s="1"/>
  <c r="GT190" i="1"/>
  <c r="GT189" i="1"/>
  <c r="GT188" i="1"/>
  <c r="GT187" i="1"/>
  <c r="GT178" i="1"/>
  <c r="CS178" i="1" s="1"/>
  <c r="CS189" i="1"/>
  <c r="CS190" i="1"/>
  <c r="CS188" i="1"/>
  <c r="CS187" i="1"/>
  <c r="CS151" i="1"/>
  <c r="CS152" i="1"/>
  <c r="CS150" i="1"/>
  <c r="CS153" i="1"/>
  <c r="GT152" i="1"/>
  <c r="GT151" i="1"/>
  <c r="GT153" i="1"/>
  <c r="GT150" i="1"/>
  <c r="GT149" i="1"/>
  <c r="GT100" i="1"/>
  <c r="GT98" i="1"/>
  <c r="GT101" i="1"/>
  <c r="GT97" i="1"/>
  <c r="GT102" i="1"/>
  <c r="GT104" i="1"/>
  <c r="GT99" i="1"/>
  <c r="GT103" i="1"/>
  <c r="CS100" i="1"/>
  <c r="CS99" i="1"/>
  <c r="CS98" i="1"/>
  <c r="CS104" i="1"/>
  <c r="CS101" i="1"/>
  <c r="CS102" i="1"/>
  <c r="CS103" i="1"/>
  <c r="CS97" i="1"/>
  <c r="GT80" i="1"/>
  <c r="CS80" i="1" s="1"/>
  <c r="GT158" i="1"/>
  <c r="CS158" i="1" s="1"/>
  <c r="GT120" i="1"/>
  <c r="CS120" i="1" s="1"/>
  <c r="GT67" i="1"/>
  <c r="CS67" i="1" s="1"/>
  <c r="GT109" i="1"/>
  <c r="CS109" i="1" s="1"/>
  <c r="GT162" i="1"/>
  <c r="CS162" i="1" s="1"/>
  <c r="GT113" i="1"/>
  <c r="CS113" i="1" s="1"/>
  <c r="GT64" i="1"/>
  <c r="CS64" i="1" s="1"/>
  <c r="GT62" i="1"/>
  <c r="CS62" i="1" s="1"/>
  <c r="GT58" i="1"/>
  <c r="CS58" i="1" s="1"/>
  <c r="GU56" i="1"/>
  <c r="CT56" i="1"/>
  <c r="CT35" i="1" l="1"/>
  <c r="CS125" i="1"/>
  <c r="CS147" i="1"/>
  <c r="GU184" i="1"/>
  <c r="CT184" i="1" s="1"/>
  <c r="GU183" i="1"/>
  <c r="CT183" i="1" s="1"/>
  <c r="GU180" i="1"/>
  <c r="CT180" i="1" s="1"/>
  <c r="GU181" i="1"/>
  <c r="CT181" i="1" s="1"/>
  <c r="GU182" i="1"/>
  <c r="CT182" i="1" s="1"/>
  <c r="GU179" i="1"/>
  <c r="CT179" i="1" s="1"/>
  <c r="GU163" i="1"/>
  <c r="CT163" i="1" s="1"/>
  <c r="GU177" i="1"/>
  <c r="CT177" i="1" s="1"/>
  <c r="GU176" i="1"/>
  <c r="CT176" i="1" s="1"/>
  <c r="GU174" i="1"/>
  <c r="CT174" i="1" s="1"/>
  <c r="GU175" i="1"/>
  <c r="CT175" i="1" s="1"/>
  <c r="GU161" i="1"/>
  <c r="CT161" i="1" s="1"/>
  <c r="GU171" i="1"/>
  <c r="CT171" i="1" s="1"/>
  <c r="GU170" i="1"/>
  <c r="CT170" i="1" s="1"/>
  <c r="GU169" i="1"/>
  <c r="CT169" i="1" s="1"/>
  <c r="GU168" i="1"/>
  <c r="CT168" i="1" s="1"/>
  <c r="GU167" i="1"/>
  <c r="CT167" i="1" s="1"/>
  <c r="GU165" i="1"/>
  <c r="CT165" i="1" s="1"/>
  <c r="GU164" i="1"/>
  <c r="CT164" i="1" s="1"/>
  <c r="GU166" i="1"/>
  <c r="CT166" i="1" s="1"/>
  <c r="GU137" i="1"/>
  <c r="CT137" i="1" s="1"/>
  <c r="GU136" i="1"/>
  <c r="CT136" i="1" s="1"/>
  <c r="GU146" i="1"/>
  <c r="CT146" i="1" s="1"/>
  <c r="GU145" i="1"/>
  <c r="CT145" i="1" s="1"/>
  <c r="GU144" i="1"/>
  <c r="CT144" i="1" s="1"/>
  <c r="GU143" i="1"/>
  <c r="CT143" i="1" s="1"/>
  <c r="GU141" i="1"/>
  <c r="CT141" i="1" s="1"/>
  <c r="GU140" i="1"/>
  <c r="CT140" i="1" s="1"/>
  <c r="GU142" i="1"/>
  <c r="CT142" i="1" s="1"/>
  <c r="GU139" i="1"/>
  <c r="CT139" i="1" s="1"/>
  <c r="GU131" i="1"/>
  <c r="CT131" i="1" s="1"/>
  <c r="GU132" i="1"/>
  <c r="CT132" i="1" s="1"/>
  <c r="GU133" i="1"/>
  <c r="CT133" i="1" s="1"/>
  <c r="GU138" i="1"/>
  <c r="CT138" i="1" s="1"/>
  <c r="GU135" i="1"/>
  <c r="CT135" i="1" s="1"/>
  <c r="GU134" i="1"/>
  <c r="CT134" i="1" s="1"/>
  <c r="GU124" i="1"/>
  <c r="CT124" i="1" s="1"/>
  <c r="GU123" i="1"/>
  <c r="CT123" i="1" s="1"/>
  <c r="GU115" i="1"/>
  <c r="CT115" i="1" s="1"/>
  <c r="GU122" i="1"/>
  <c r="CT122" i="1" s="1"/>
  <c r="GU121" i="1"/>
  <c r="CT121" i="1" s="1"/>
  <c r="GU119" i="1"/>
  <c r="CT119" i="1" s="1"/>
  <c r="GU118" i="1"/>
  <c r="CT118" i="1" s="1"/>
  <c r="GU117" i="1"/>
  <c r="CT117" i="1" s="1"/>
  <c r="GU116" i="1"/>
  <c r="CT116" i="1" s="1"/>
  <c r="GU114" i="1"/>
  <c r="CT114" i="1" s="1"/>
  <c r="GU112" i="1"/>
  <c r="CT112" i="1" s="1"/>
  <c r="GU94" i="1"/>
  <c r="CT94" i="1" s="1"/>
  <c r="GU89" i="1"/>
  <c r="CT89" i="1" s="1"/>
  <c r="GU87" i="1"/>
  <c r="CT87" i="1" s="1"/>
  <c r="GU86" i="1"/>
  <c r="CT86" i="1" s="1"/>
  <c r="GU88" i="1"/>
  <c r="CT88" i="1" s="1"/>
  <c r="GU81" i="1"/>
  <c r="CT81" i="1" s="1"/>
  <c r="GU85" i="1"/>
  <c r="CT85" i="1" s="1"/>
  <c r="GU84" i="1"/>
  <c r="CT84" i="1" s="1"/>
  <c r="GU83" i="1"/>
  <c r="CT83" i="1" s="1"/>
  <c r="GU82" i="1"/>
  <c r="CT82" i="1" s="1"/>
  <c r="GU66" i="1"/>
  <c r="CT66" i="1" s="1"/>
  <c r="GU72" i="1"/>
  <c r="CT72" i="1" s="1"/>
  <c r="GU73" i="1"/>
  <c r="CT73" i="1" s="1"/>
  <c r="GU71" i="1"/>
  <c r="CT71" i="1" s="1"/>
  <c r="GU70" i="1"/>
  <c r="CT70" i="1" s="1"/>
  <c r="GU69" i="1"/>
  <c r="CT69" i="1" s="1"/>
  <c r="GU68" i="1"/>
  <c r="CT68" i="1" s="1"/>
  <c r="GU65" i="1"/>
  <c r="CT65" i="1" s="1"/>
  <c r="GU63" i="1"/>
  <c r="CT63" i="1" s="1"/>
  <c r="GU44" i="1"/>
  <c r="GU32" i="1"/>
  <c r="CT32" i="1" s="1"/>
  <c r="GU31" i="1"/>
  <c r="CT31" i="1" s="1"/>
  <c r="CT233" i="1"/>
  <c r="CT232" i="1"/>
  <c r="GU233" i="1"/>
  <c r="GU232" i="1"/>
  <c r="GU93" i="1"/>
  <c r="CT93" i="1" s="1"/>
  <c r="CT236" i="1"/>
  <c r="CT229" i="1"/>
  <c r="CT235" i="1"/>
  <c r="GU229" i="1"/>
  <c r="GU235" i="1"/>
  <c r="GU159" i="1"/>
  <c r="CT159" i="1" s="1"/>
  <c r="GU160" i="1"/>
  <c r="CT160" i="1" s="1"/>
  <c r="GU59" i="1"/>
  <c r="CT59" i="1" s="1"/>
  <c r="GU60" i="1"/>
  <c r="CT60" i="1" s="1"/>
  <c r="GU236" i="1"/>
  <c r="GU111" i="1"/>
  <c r="CT111" i="1" s="1"/>
  <c r="GU110" i="1"/>
  <c r="CT110" i="1" s="1"/>
  <c r="CT231" i="1"/>
  <c r="CT234" i="1"/>
  <c r="CT230" i="1"/>
  <c r="GU218" i="1"/>
  <c r="CT218" i="1" s="1"/>
  <c r="GU234" i="1"/>
  <c r="GU231" i="1"/>
  <c r="GU230" i="1"/>
  <c r="GU40" i="1"/>
  <c r="GU39" i="1"/>
  <c r="GU43" i="1"/>
  <c r="GU46" i="1"/>
  <c r="GU45" i="1"/>
  <c r="GU38" i="1"/>
  <c r="GV30" i="1"/>
  <c r="GV35" i="1" s="1"/>
  <c r="GU42" i="1"/>
  <c r="GU41" i="1"/>
  <c r="CT45" i="1"/>
  <c r="CU30" i="1"/>
  <c r="CU44" i="1" s="1"/>
  <c r="CT42" i="1"/>
  <c r="CT43" i="1"/>
  <c r="CT41" i="1"/>
  <c r="GU197" i="1"/>
  <c r="CT197" i="1" s="1"/>
  <c r="GU223" i="1"/>
  <c r="GU224" i="1"/>
  <c r="GU222" i="1"/>
  <c r="GU221" i="1"/>
  <c r="GU212" i="1"/>
  <c r="CT212" i="1" s="1"/>
  <c r="GU215" i="1"/>
  <c r="CT215" i="1" s="1"/>
  <c r="GU214" i="1"/>
  <c r="CT214" i="1" s="1"/>
  <c r="GU213" i="1"/>
  <c r="CT213" i="1" s="1"/>
  <c r="CT224" i="1"/>
  <c r="CT223" i="1"/>
  <c r="CT221" i="1"/>
  <c r="CT222" i="1"/>
  <c r="CT205" i="1"/>
  <c r="CT206" i="1"/>
  <c r="CT207" i="1"/>
  <c r="GU207" i="1"/>
  <c r="GU206" i="1"/>
  <c r="GU205" i="1"/>
  <c r="GU204" i="1"/>
  <c r="GU201" i="1"/>
  <c r="CT201" i="1" s="1"/>
  <c r="GU196" i="1"/>
  <c r="CT196" i="1" s="1"/>
  <c r="GU198" i="1"/>
  <c r="CT198" i="1" s="1"/>
  <c r="GU195" i="1"/>
  <c r="CT195" i="1" s="1"/>
  <c r="GU129" i="1"/>
  <c r="CT129" i="1" s="1"/>
  <c r="GU130" i="1"/>
  <c r="CT130" i="1" s="1"/>
  <c r="GU128" i="1"/>
  <c r="CT128" i="1" s="1"/>
  <c r="GU127" i="1"/>
  <c r="CT127" i="1" s="1"/>
  <c r="GU79" i="1"/>
  <c r="CT79" i="1" s="1"/>
  <c r="GU78" i="1"/>
  <c r="CT78" i="1" s="1"/>
  <c r="GU77" i="1"/>
  <c r="CT77" i="1" s="1"/>
  <c r="GU76" i="1"/>
  <c r="CT76" i="1" s="1"/>
  <c r="GU92" i="1"/>
  <c r="CT92" i="1" s="1"/>
  <c r="GU91" i="1"/>
  <c r="CT91" i="1" s="1"/>
  <c r="GU90" i="1"/>
  <c r="CT90" i="1" s="1"/>
  <c r="GU61" i="1"/>
  <c r="CT61" i="1" s="1"/>
  <c r="CT190" i="1"/>
  <c r="CT188" i="1"/>
  <c r="CT187" i="1"/>
  <c r="CT189" i="1"/>
  <c r="CT153" i="1"/>
  <c r="CT150" i="1"/>
  <c r="CT152" i="1"/>
  <c r="CT151" i="1"/>
  <c r="GU188" i="1"/>
  <c r="GU190" i="1"/>
  <c r="GU187" i="1"/>
  <c r="GU178" i="1"/>
  <c r="CT178" i="1" s="1"/>
  <c r="GU189" i="1"/>
  <c r="GU152" i="1"/>
  <c r="GU153" i="1"/>
  <c r="GU151" i="1"/>
  <c r="GU150" i="1"/>
  <c r="GU149" i="1"/>
  <c r="GU99" i="1"/>
  <c r="GU103" i="1"/>
  <c r="GU102" i="1"/>
  <c r="GU98" i="1"/>
  <c r="GU97" i="1"/>
  <c r="GU100" i="1"/>
  <c r="GU101" i="1"/>
  <c r="GU104" i="1"/>
  <c r="CT97" i="1"/>
  <c r="CT100" i="1"/>
  <c r="CT101" i="1"/>
  <c r="CT98" i="1"/>
  <c r="CT99" i="1"/>
  <c r="CT102" i="1"/>
  <c r="CT103" i="1"/>
  <c r="CT104" i="1"/>
  <c r="GU80" i="1"/>
  <c r="CT80" i="1" s="1"/>
  <c r="GU158" i="1"/>
  <c r="CT158" i="1" s="1"/>
  <c r="GU67" i="1"/>
  <c r="CT67" i="1" s="1"/>
  <c r="GU120" i="1"/>
  <c r="CT120" i="1" s="1"/>
  <c r="GU109" i="1"/>
  <c r="CT109" i="1" s="1"/>
  <c r="GU162" i="1"/>
  <c r="CT162" i="1" s="1"/>
  <c r="GU113" i="1"/>
  <c r="CT113" i="1" s="1"/>
  <c r="GU58" i="1"/>
  <c r="CT58" i="1" s="1"/>
  <c r="GU62" i="1"/>
  <c r="CT62" i="1" s="1"/>
  <c r="GV56" i="1"/>
  <c r="GU64" i="1"/>
  <c r="CT64" i="1" s="1"/>
  <c r="CU56" i="1"/>
  <c r="CU35" i="1" l="1"/>
  <c r="CT125" i="1"/>
  <c r="CT147" i="1"/>
  <c r="GV184" i="1"/>
  <c r="CU184" i="1" s="1"/>
  <c r="GV183" i="1"/>
  <c r="CU183" i="1" s="1"/>
  <c r="GV181" i="1"/>
  <c r="CU181" i="1" s="1"/>
  <c r="GV182" i="1"/>
  <c r="CU182" i="1" s="1"/>
  <c r="GV179" i="1"/>
  <c r="CU179" i="1" s="1"/>
  <c r="GV180" i="1"/>
  <c r="CU180" i="1" s="1"/>
  <c r="GV163" i="1"/>
  <c r="CU163" i="1" s="1"/>
  <c r="GV177" i="1"/>
  <c r="CU177" i="1" s="1"/>
  <c r="GV176" i="1"/>
  <c r="CU176" i="1" s="1"/>
  <c r="GV175" i="1"/>
  <c r="CU175" i="1" s="1"/>
  <c r="GV174" i="1"/>
  <c r="CU174" i="1" s="1"/>
  <c r="GV161" i="1"/>
  <c r="CU161" i="1" s="1"/>
  <c r="GV171" i="1"/>
  <c r="CU171" i="1" s="1"/>
  <c r="GV170" i="1"/>
  <c r="CU170" i="1" s="1"/>
  <c r="GV168" i="1"/>
  <c r="CU168" i="1" s="1"/>
  <c r="GV166" i="1"/>
  <c r="CU166" i="1" s="1"/>
  <c r="GV169" i="1"/>
  <c r="CU169" i="1" s="1"/>
  <c r="GV164" i="1"/>
  <c r="CU164" i="1" s="1"/>
  <c r="GV165" i="1"/>
  <c r="CU165" i="1" s="1"/>
  <c r="GV167" i="1"/>
  <c r="CU167" i="1" s="1"/>
  <c r="GV137" i="1"/>
  <c r="CU137" i="1" s="1"/>
  <c r="GV136" i="1"/>
  <c r="CU136" i="1" s="1"/>
  <c r="GV146" i="1"/>
  <c r="CU146" i="1" s="1"/>
  <c r="GV145" i="1"/>
  <c r="CU145" i="1" s="1"/>
  <c r="GV144" i="1"/>
  <c r="CU144" i="1" s="1"/>
  <c r="GV143" i="1"/>
  <c r="CU143" i="1" s="1"/>
  <c r="GV142" i="1"/>
  <c r="CU142" i="1" s="1"/>
  <c r="GV141" i="1"/>
  <c r="CU141" i="1" s="1"/>
  <c r="GV139" i="1"/>
  <c r="CU139" i="1" s="1"/>
  <c r="GV140" i="1"/>
  <c r="CU140" i="1" s="1"/>
  <c r="GV131" i="1"/>
  <c r="CU131" i="1" s="1"/>
  <c r="GV132" i="1"/>
  <c r="CU132" i="1" s="1"/>
  <c r="GV133" i="1"/>
  <c r="CU133" i="1" s="1"/>
  <c r="GV138" i="1"/>
  <c r="CU138" i="1" s="1"/>
  <c r="GV135" i="1"/>
  <c r="CU135" i="1" s="1"/>
  <c r="GV134" i="1"/>
  <c r="CU134" i="1" s="1"/>
  <c r="GV124" i="1"/>
  <c r="CU124" i="1" s="1"/>
  <c r="GV123" i="1"/>
  <c r="CU123" i="1" s="1"/>
  <c r="GV115" i="1"/>
  <c r="CU115" i="1" s="1"/>
  <c r="GV121" i="1"/>
  <c r="CU121" i="1" s="1"/>
  <c r="GV122" i="1"/>
  <c r="CU122" i="1" s="1"/>
  <c r="GV118" i="1"/>
  <c r="CU118" i="1" s="1"/>
  <c r="GV119" i="1"/>
  <c r="CU119" i="1" s="1"/>
  <c r="GV117" i="1"/>
  <c r="CU117" i="1" s="1"/>
  <c r="GV114" i="1"/>
  <c r="CU114" i="1" s="1"/>
  <c r="GV116" i="1"/>
  <c r="CU116" i="1" s="1"/>
  <c r="GV112" i="1"/>
  <c r="CU112" i="1" s="1"/>
  <c r="GV94" i="1"/>
  <c r="CU94" i="1" s="1"/>
  <c r="GV89" i="1"/>
  <c r="CU89" i="1" s="1"/>
  <c r="GV88" i="1"/>
  <c r="CU88" i="1" s="1"/>
  <c r="GV86" i="1"/>
  <c r="CU86" i="1" s="1"/>
  <c r="GV87" i="1"/>
  <c r="CU87" i="1" s="1"/>
  <c r="GV81" i="1"/>
  <c r="CU81" i="1" s="1"/>
  <c r="GV85" i="1"/>
  <c r="CU85" i="1" s="1"/>
  <c r="GV84" i="1"/>
  <c r="CU84" i="1" s="1"/>
  <c r="GV82" i="1"/>
  <c r="CU82" i="1" s="1"/>
  <c r="GV83" i="1"/>
  <c r="CU83" i="1" s="1"/>
  <c r="GV66" i="1"/>
  <c r="CU66" i="1" s="1"/>
  <c r="GV73" i="1"/>
  <c r="CU73" i="1" s="1"/>
  <c r="GV71" i="1"/>
  <c r="CU71" i="1" s="1"/>
  <c r="GV72" i="1"/>
  <c r="CU72" i="1" s="1"/>
  <c r="GV70" i="1"/>
  <c r="CU70" i="1" s="1"/>
  <c r="GV69" i="1"/>
  <c r="CU69" i="1" s="1"/>
  <c r="GV68" i="1"/>
  <c r="CU68" i="1" s="1"/>
  <c r="GV65" i="1"/>
  <c r="CU65" i="1" s="1"/>
  <c r="GV63" i="1"/>
  <c r="CU63" i="1" s="1"/>
  <c r="GV44" i="1"/>
  <c r="GV32" i="1"/>
  <c r="CU32" i="1" s="1"/>
  <c r="GV31" i="1"/>
  <c r="CU31" i="1" s="1"/>
  <c r="GV232" i="1"/>
  <c r="GV233" i="1"/>
  <c r="CU233" i="1"/>
  <c r="CU232" i="1"/>
  <c r="GV93" i="1"/>
  <c r="CU93" i="1" s="1"/>
  <c r="CU236" i="1"/>
  <c r="CU229" i="1"/>
  <c r="CU235" i="1"/>
  <c r="GV229" i="1"/>
  <c r="GV235" i="1"/>
  <c r="GV160" i="1"/>
  <c r="CU160" i="1" s="1"/>
  <c r="GV59" i="1"/>
  <c r="CU59" i="1" s="1"/>
  <c r="GV60" i="1"/>
  <c r="CU60" i="1" s="1"/>
  <c r="GV159" i="1"/>
  <c r="CU159" i="1" s="1"/>
  <c r="GV111" i="1"/>
  <c r="CU111" i="1" s="1"/>
  <c r="GV110" i="1"/>
  <c r="CU110" i="1" s="1"/>
  <c r="GV236" i="1"/>
  <c r="GV218" i="1"/>
  <c r="CU218" i="1" s="1"/>
  <c r="GV234" i="1"/>
  <c r="GV231" i="1"/>
  <c r="GV230" i="1"/>
  <c r="CU234" i="1"/>
  <c r="CU230" i="1"/>
  <c r="CU231" i="1"/>
  <c r="GW30" i="1"/>
  <c r="GW35" i="1" s="1"/>
  <c r="GV41" i="1"/>
  <c r="GV40" i="1"/>
  <c r="GV46" i="1"/>
  <c r="GV39" i="1"/>
  <c r="GV43" i="1"/>
  <c r="GV38" i="1"/>
  <c r="GV42" i="1"/>
  <c r="GV45" i="1"/>
  <c r="CU41" i="1"/>
  <c r="CU43" i="1"/>
  <c r="CU42" i="1"/>
  <c r="CV30" i="1"/>
  <c r="CV44" i="1" s="1"/>
  <c r="CU45" i="1"/>
  <c r="GV197" i="1"/>
  <c r="CU197" i="1" s="1"/>
  <c r="GV222" i="1"/>
  <c r="GV221" i="1"/>
  <c r="GV224" i="1"/>
  <c r="GV223" i="1"/>
  <c r="GV213" i="1"/>
  <c r="CU213" i="1" s="1"/>
  <c r="GV212" i="1"/>
  <c r="CU212" i="1" s="1"/>
  <c r="GV215" i="1"/>
  <c r="CU215" i="1" s="1"/>
  <c r="GV214" i="1"/>
  <c r="CU214" i="1" s="1"/>
  <c r="CU224" i="1"/>
  <c r="CU223" i="1"/>
  <c r="CU222" i="1"/>
  <c r="CU221" i="1"/>
  <c r="CU206" i="1"/>
  <c r="CU207" i="1"/>
  <c r="CU205" i="1"/>
  <c r="GV207" i="1"/>
  <c r="GV206" i="1"/>
  <c r="GV205" i="1"/>
  <c r="GV201" i="1"/>
  <c r="CU201" i="1" s="1"/>
  <c r="GV204" i="1"/>
  <c r="GV198" i="1"/>
  <c r="CU198" i="1" s="1"/>
  <c r="GV195" i="1"/>
  <c r="CU195" i="1" s="1"/>
  <c r="GV196" i="1"/>
  <c r="CU196" i="1" s="1"/>
  <c r="GV129" i="1"/>
  <c r="CU129" i="1" s="1"/>
  <c r="GV130" i="1"/>
  <c r="CU130" i="1" s="1"/>
  <c r="GV128" i="1"/>
  <c r="CU128" i="1" s="1"/>
  <c r="GV127" i="1"/>
  <c r="CU127" i="1" s="1"/>
  <c r="GV79" i="1"/>
  <c r="CU79" i="1" s="1"/>
  <c r="GV78" i="1"/>
  <c r="CU78" i="1" s="1"/>
  <c r="GV77" i="1"/>
  <c r="CU77" i="1" s="1"/>
  <c r="GV76" i="1"/>
  <c r="CU76" i="1" s="1"/>
  <c r="GV92" i="1"/>
  <c r="CU92" i="1" s="1"/>
  <c r="GV91" i="1"/>
  <c r="CU91" i="1" s="1"/>
  <c r="GV90" i="1"/>
  <c r="CU90" i="1" s="1"/>
  <c r="GV61" i="1"/>
  <c r="CU61" i="1" s="1"/>
  <c r="CU189" i="1"/>
  <c r="CU187" i="1"/>
  <c r="CU190" i="1"/>
  <c r="CU188" i="1"/>
  <c r="CU150" i="1"/>
  <c r="CU152" i="1"/>
  <c r="CU151" i="1"/>
  <c r="CU153" i="1"/>
  <c r="GV189" i="1"/>
  <c r="GV190" i="1"/>
  <c r="GV188" i="1"/>
  <c r="GV187" i="1"/>
  <c r="GV178" i="1"/>
  <c r="CU178" i="1" s="1"/>
  <c r="GV150" i="1"/>
  <c r="GV153" i="1"/>
  <c r="GV151" i="1"/>
  <c r="GV149" i="1"/>
  <c r="GV98" i="1"/>
  <c r="GV102" i="1"/>
  <c r="GV99" i="1"/>
  <c r="GV101" i="1"/>
  <c r="GV100" i="1"/>
  <c r="GV152" i="1"/>
  <c r="GV97" i="1"/>
  <c r="GV103" i="1"/>
  <c r="GV104" i="1"/>
  <c r="CU98" i="1"/>
  <c r="CU97" i="1"/>
  <c r="CU100" i="1"/>
  <c r="CU102" i="1"/>
  <c r="CU99" i="1"/>
  <c r="CU101" i="1"/>
  <c r="CU103" i="1"/>
  <c r="CU104" i="1"/>
  <c r="GV80" i="1"/>
  <c r="CU80" i="1" s="1"/>
  <c r="GV158" i="1"/>
  <c r="CU158" i="1" s="1"/>
  <c r="GV120" i="1"/>
  <c r="CU120" i="1" s="1"/>
  <c r="GV67" i="1"/>
  <c r="CU67" i="1" s="1"/>
  <c r="GV109" i="1"/>
  <c r="CU109" i="1" s="1"/>
  <c r="GV162" i="1"/>
  <c r="CU162" i="1" s="1"/>
  <c r="GV113" i="1"/>
  <c r="CU113" i="1" s="1"/>
  <c r="GV64" i="1"/>
  <c r="CU64" i="1" s="1"/>
  <c r="GW56" i="1"/>
  <c r="GV62" i="1"/>
  <c r="CU62" i="1" s="1"/>
  <c r="GV58" i="1"/>
  <c r="CU58" i="1" s="1"/>
  <c r="CV56" i="1"/>
  <c r="CV35" i="1" l="1"/>
  <c r="CU147" i="1"/>
  <c r="CU125" i="1"/>
  <c r="GW184" i="1"/>
  <c r="CV184" i="1" s="1"/>
  <c r="GW179" i="1"/>
  <c r="CV179" i="1" s="1"/>
  <c r="GW182" i="1"/>
  <c r="CV182" i="1" s="1"/>
  <c r="GW180" i="1"/>
  <c r="CV180" i="1" s="1"/>
  <c r="GW183" i="1"/>
  <c r="CV183" i="1" s="1"/>
  <c r="GW181" i="1"/>
  <c r="CV181" i="1" s="1"/>
  <c r="GW163" i="1"/>
  <c r="CV163" i="1" s="1"/>
  <c r="GW176" i="1"/>
  <c r="CV176" i="1" s="1"/>
  <c r="GW174" i="1"/>
  <c r="CV174" i="1" s="1"/>
  <c r="GW175" i="1"/>
  <c r="CV175" i="1" s="1"/>
  <c r="GW177" i="1"/>
  <c r="CV177" i="1" s="1"/>
  <c r="GW161" i="1"/>
  <c r="CV161" i="1" s="1"/>
  <c r="GW170" i="1"/>
  <c r="CV170" i="1" s="1"/>
  <c r="GW168" i="1"/>
  <c r="CV168" i="1" s="1"/>
  <c r="GW171" i="1"/>
  <c r="CV171" i="1" s="1"/>
  <c r="GW169" i="1"/>
  <c r="CV169" i="1" s="1"/>
  <c r="GW166" i="1"/>
  <c r="CV166" i="1" s="1"/>
  <c r="GW167" i="1"/>
  <c r="CV167" i="1" s="1"/>
  <c r="GW165" i="1"/>
  <c r="CV165" i="1" s="1"/>
  <c r="GW164" i="1"/>
  <c r="CV164" i="1" s="1"/>
  <c r="GW137" i="1"/>
  <c r="CV137" i="1" s="1"/>
  <c r="GW136" i="1"/>
  <c r="CV136" i="1" s="1"/>
  <c r="GW145" i="1"/>
  <c r="CV145" i="1" s="1"/>
  <c r="GW144" i="1"/>
  <c r="CV144" i="1" s="1"/>
  <c r="GW142" i="1"/>
  <c r="CV142" i="1" s="1"/>
  <c r="GW146" i="1"/>
  <c r="CV146" i="1" s="1"/>
  <c r="GW143" i="1"/>
  <c r="CV143" i="1" s="1"/>
  <c r="GW139" i="1"/>
  <c r="CV139" i="1" s="1"/>
  <c r="GW140" i="1"/>
  <c r="CV140" i="1" s="1"/>
  <c r="GW141" i="1"/>
  <c r="CV141" i="1" s="1"/>
  <c r="GW131" i="1"/>
  <c r="CV131" i="1" s="1"/>
  <c r="GW133" i="1"/>
  <c r="CV133" i="1" s="1"/>
  <c r="GW132" i="1"/>
  <c r="CV132" i="1" s="1"/>
  <c r="GW135" i="1"/>
  <c r="CV135" i="1" s="1"/>
  <c r="GW134" i="1"/>
  <c r="CV134" i="1" s="1"/>
  <c r="GW138" i="1"/>
  <c r="CV138" i="1" s="1"/>
  <c r="GW123" i="1"/>
  <c r="CV123" i="1" s="1"/>
  <c r="GW124" i="1"/>
  <c r="CV124" i="1" s="1"/>
  <c r="GW115" i="1"/>
  <c r="CV115" i="1" s="1"/>
  <c r="GW121" i="1"/>
  <c r="CV121" i="1" s="1"/>
  <c r="GW122" i="1"/>
  <c r="CV122" i="1" s="1"/>
  <c r="GW118" i="1"/>
  <c r="CV118" i="1" s="1"/>
  <c r="GW114" i="1"/>
  <c r="CV114" i="1" s="1"/>
  <c r="GW116" i="1"/>
  <c r="CV116" i="1" s="1"/>
  <c r="GW119" i="1"/>
  <c r="CV119" i="1" s="1"/>
  <c r="GW117" i="1"/>
  <c r="CV117" i="1" s="1"/>
  <c r="GW112" i="1"/>
  <c r="CV112" i="1" s="1"/>
  <c r="GW94" i="1"/>
  <c r="CV94" i="1" s="1"/>
  <c r="GW88" i="1"/>
  <c r="CV88" i="1" s="1"/>
  <c r="GW87" i="1"/>
  <c r="CV87" i="1" s="1"/>
  <c r="GW89" i="1"/>
  <c r="CV89" i="1" s="1"/>
  <c r="GW86" i="1"/>
  <c r="CV86" i="1" s="1"/>
  <c r="GW81" i="1"/>
  <c r="CV81" i="1" s="1"/>
  <c r="GW84" i="1"/>
  <c r="CV84" i="1" s="1"/>
  <c r="GW85" i="1"/>
  <c r="CV85" i="1" s="1"/>
  <c r="GW82" i="1"/>
  <c r="CV82" i="1" s="1"/>
  <c r="GW83" i="1"/>
  <c r="CV83" i="1" s="1"/>
  <c r="GW66" i="1"/>
  <c r="CV66" i="1" s="1"/>
  <c r="GW72" i="1"/>
  <c r="CV72" i="1" s="1"/>
  <c r="GW69" i="1"/>
  <c r="CV69" i="1" s="1"/>
  <c r="GW73" i="1"/>
  <c r="CV73" i="1" s="1"/>
  <c r="GW68" i="1"/>
  <c r="CV68" i="1" s="1"/>
  <c r="GW71" i="1"/>
  <c r="CV71" i="1" s="1"/>
  <c r="GW70" i="1"/>
  <c r="CV70" i="1" s="1"/>
  <c r="GW65" i="1"/>
  <c r="CV65" i="1" s="1"/>
  <c r="GW63" i="1"/>
  <c r="CV63" i="1" s="1"/>
  <c r="GW44" i="1"/>
  <c r="GW31" i="1"/>
  <c r="CV31" i="1" s="1"/>
  <c r="GW32" i="1"/>
  <c r="CV32" i="1" s="1"/>
  <c r="CV233" i="1"/>
  <c r="CV232" i="1"/>
  <c r="GW232" i="1"/>
  <c r="GW233" i="1"/>
  <c r="GW93" i="1"/>
  <c r="CV93" i="1" s="1"/>
  <c r="CV236" i="1"/>
  <c r="CV235" i="1"/>
  <c r="CV229" i="1"/>
  <c r="GW235" i="1"/>
  <c r="GW229" i="1"/>
  <c r="GW159" i="1"/>
  <c r="CV159" i="1" s="1"/>
  <c r="GW60" i="1"/>
  <c r="CV60" i="1" s="1"/>
  <c r="GW59" i="1"/>
  <c r="CV59" i="1" s="1"/>
  <c r="GW160" i="1"/>
  <c r="CV160" i="1" s="1"/>
  <c r="GW111" i="1"/>
  <c r="CV111" i="1" s="1"/>
  <c r="GW236" i="1"/>
  <c r="GW110" i="1"/>
  <c r="CV110" i="1" s="1"/>
  <c r="CV234" i="1"/>
  <c r="CV231" i="1"/>
  <c r="CV230" i="1"/>
  <c r="GW218" i="1"/>
  <c r="CV218" i="1" s="1"/>
  <c r="GW231" i="1"/>
  <c r="GW230" i="1"/>
  <c r="GW234" i="1"/>
  <c r="GW46" i="1"/>
  <c r="GW42" i="1"/>
  <c r="GW45" i="1"/>
  <c r="GX30" i="1"/>
  <c r="GX35" i="1" s="1"/>
  <c r="GW43" i="1"/>
  <c r="GW41" i="1"/>
  <c r="GW39" i="1"/>
  <c r="GW40" i="1"/>
  <c r="GW38" i="1"/>
  <c r="CV41" i="1"/>
  <c r="CV45" i="1"/>
  <c r="CV43" i="1"/>
  <c r="CW30" i="1"/>
  <c r="CW44" i="1" s="1"/>
  <c r="CV42" i="1"/>
  <c r="CV222" i="1"/>
  <c r="CV221" i="1"/>
  <c r="CV224" i="1"/>
  <c r="CV223" i="1"/>
  <c r="GW197" i="1"/>
  <c r="CV197" i="1" s="1"/>
  <c r="GW223" i="1"/>
  <c r="GW222" i="1"/>
  <c r="GW221" i="1"/>
  <c r="GW215" i="1"/>
  <c r="CV215" i="1" s="1"/>
  <c r="GW224" i="1"/>
  <c r="GW213" i="1"/>
  <c r="CV213" i="1" s="1"/>
  <c r="GW212" i="1"/>
  <c r="CV212" i="1" s="1"/>
  <c r="GW214" i="1"/>
  <c r="CV214" i="1" s="1"/>
  <c r="CV207" i="1"/>
  <c r="CV206" i="1"/>
  <c r="CV205" i="1"/>
  <c r="GW206" i="1"/>
  <c r="GW205" i="1"/>
  <c r="GW207" i="1"/>
  <c r="GW204" i="1"/>
  <c r="GW201" i="1"/>
  <c r="CV201" i="1" s="1"/>
  <c r="GW198" i="1"/>
  <c r="CV198" i="1" s="1"/>
  <c r="GW195" i="1"/>
  <c r="CV195" i="1" s="1"/>
  <c r="GW196" i="1"/>
  <c r="CV196" i="1" s="1"/>
  <c r="GW130" i="1"/>
  <c r="CV130" i="1" s="1"/>
  <c r="GW128" i="1"/>
  <c r="CV128" i="1" s="1"/>
  <c r="GW127" i="1"/>
  <c r="CV127" i="1" s="1"/>
  <c r="GW129" i="1"/>
  <c r="CV129" i="1" s="1"/>
  <c r="GW78" i="1"/>
  <c r="CV78" i="1" s="1"/>
  <c r="GW76" i="1"/>
  <c r="CV76" i="1" s="1"/>
  <c r="GW61" i="1"/>
  <c r="CV61" i="1" s="1"/>
  <c r="GW77" i="1"/>
  <c r="CV77" i="1" s="1"/>
  <c r="GW79" i="1"/>
  <c r="CV79" i="1" s="1"/>
  <c r="GW91" i="1"/>
  <c r="CV91" i="1" s="1"/>
  <c r="GW92" i="1"/>
  <c r="CV92" i="1" s="1"/>
  <c r="GW90" i="1"/>
  <c r="CV90" i="1" s="1"/>
  <c r="CV190" i="1"/>
  <c r="CV189" i="1"/>
  <c r="CV188" i="1"/>
  <c r="CV150" i="1"/>
  <c r="CV153" i="1"/>
  <c r="CV187" i="1"/>
  <c r="CV152" i="1"/>
  <c r="CV151" i="1"/>
  <c r="GW190" i="1"/>
  <c r="GW189" i="1"/>
  <c r="GW178" i="1"/>
  <c r="CV178" i="1" s="1"/>
  <c r="GW188" i="1"/>
  <c r="GW187" i="1"/>
  <c r="GW153" i="1"/>
  <c r="GW151" i="1"/>
  <c r="GW152" i="1"/>
  <c r="GW97" i="1"/>
  <c r="GW101" i="1"/>
  <c r="GW100" i="1"/>
  <c r="GW103" i="1"/>
  <c r="GW99" i="1"/>
  <c r="GW149" i="1"/>
  <c r="GW98" i="1"/>
  <c r="GW104" i="1"/>
  <c r="GW102" i="1"/>
  <c r="GW150" i="1"/>
  <c r="CV99" i="1"/>
  <c r="CV98" i="1"/>
  <c r="CV97" i="1"/>
  <c r="CV103" i="1"/>
  <c r="CV101" i="1"/>
  <c r="CV104" i="1"/>
  <c r="CV100" i="1"/>
  <c r="CV102" i="1"/>
  <c r="GW80" i="1"/>
  <c r="CV80" i="1" s="1"/>
  <c r="GW158" i="1"/>
  <c r="CV158" i="1" s="1"/>
  <c r="GW120" i="1"/>
  <c r="CV120" i="1" s="1"/>
  <c r="GW67" i="1"/>
  <c r="CV67" i="1" s="1"/>
  <c r="GW109" i="1"/>
  <c r="CV109" i="1" s="1"/>
  <c r="GW162" i="1"/>
  <c r="CV162" i="1" s="1"/>
  <c r="GW113" i="1"/>
  <c r="CV113" i="1" s="1"/>
  <c r="GW64" i="1"/>
  <c r="CV64" i="1" s="1"/>
  <c r="GW58" i="1"/>
  <c r="CV58" i="1" s="1"/>
  <c r="GW62" i="1"/>
  <c r="CV62" i="1" s="1"/>
  <c r="GX56" i="1"/>
  <c r="CW56" i="1"/>
  <c r="CW35" i="1" l="1"/>
  <c r="CV125" i="1"/>
  <c r="CV147" i="1"/>
  <c r="GX184" i="1"/>
  <c r="CW184" i="1" s="1"/>
  <c r="GX182" i="1"/>
  <c r="CW182" i="1" s="1"/>
  <c r="GX183" i="1"/>
  <c r="CW183" i="1" s="1"/>
  <c r="GX180" i="1"/>
  <c r="CW180" i="1" s="1"/>
  <c r="GX179" i="1"/>
  <c r="CW179" i="1" s="1"/>
  <c r="GX181" i="1"/>
  <c r="CW181" i="1" s="1"/>
  <c r="GX163" i="1"/>
  <c r="CW163" i="1" s="1"/>
  <c r="GX176" i="1"/>
  <c r="CW176" i="1" s="1"/>
  <c r="GX177" i="1"/>
  <c r="CW177" i="1" s="1"/>
  <c r="GX175" i="1"/>
  <c r="CW175" i="1" s="1"/>
  <c r="GX174" i="1"/>
  <c r="CW174" i="1" s="1"/>
  <c r="GX161" i="1"/>
  <c r="CW161" i="1" s="1"/>
  <c r="GX170" i="1"/>
  <c r="CW170" i="1" s="1"/>
  <c r="GX171" i="1"/>
  <c r="CW171" i="1" s="1"/>
  <c r="GX169" i="1"/>
  <c r="CW169" i="1" s="1"/>
  <c r="GX167" i="1"/>
  <c r="CW167" i="1" s="1"/>
  <c r="GX168" i="1"/>
  <c r="CW168" i="1" s="1"/>
  <c r="GX165" i="1"/>
  <c r="CW165" i="1" s="1"/>
  <c r="GX166" i="1"/>
  <c r="CW166" i="1" s="1"/>
  <c r="GX164" i="1"/>
  <c r="CW164" i="1" s="1"/>
  <c r="GX137" i="1"/>
  <c r="CW137" i="1" s="1"/>
  <c r="GX136" i="1"/>
  <c r="CW136" i="1" s="1"/>
  <c r="GX146" i="1"/>
  <c r="CW146" i="1" s="1"/>
  <c r="GX144" i="1"/>
  <c r="CW144" i="1" s="1"/>
  <c r="GX145" i="1"/>
  <c r="CW145" i="1" s="1"/>
  <c r="GX143" i="1"/>
  <c r="CW143" i="1" s="1"/>
  <c r="GX141" i="1"/>
  <c r="CW141" i="1" s="1"/>
  <c r="GX142" i="1"/>
  <c r="CW142" i="1" s="1"/>
  <c r="GX140" i="1"/>
  <c r="CW140" i="1" s="1"/>
  <c r="GX139" i="1"/>
  <c r="CW139" i="1" s="1"/>
  <c r="GX131" i="1"/>
  <c r="CW131" i="1" s="1"/>
  <c r="GX132" i="1"/>
  <c r="CW132" i="1" s="1"/>
  <c r="GX133" i="1"/>
  <c r="CW133" i="1" s="1"/>
  <c r="GX135" i="1"/>
  <c r="CW135" i="1" s="1"/>
  <c r="GX138" i="1"/>
  <c r="CW138" i="1" s="1"/>
  <c r="GX134" i="1"/>
  <c r="CW134" i="1" s="1"/>
  <c r="GX123" i="1"/>
  <c r="CW123" i="1" s="1"/>
  <c r="GX124" i="1"/>
  <c r="CW124" i="1" s="1"/>
  <c r="GX115" i="1"/>
  <c r="CW115" i="1" s="1"/>
  <c r="GX122" i="1"/>
  <c r="CW122" i="1" s="1"/>
  <c r="GX121" i="1"/>
  <c r="CW121" i="1" s="1"/>
  <c r="GX119" i="1"/>
  <c r="CW119" i="1" s="1"/>
  <c r="GX117" i="1"/>
  <c r="CW117" i="1" s="1"/>
  <c r="GX118" i="1"/>
  <c r="CW118" i="1" s="1"/>
  <c r="GX116" i="1"/>
  <c r="CW116" i="1" s="1"/>
  <c r="GX114" i="1"/>
  <c r="CW114" i="1" s="1"/>
  <c r="GX112" i="1"/>
  <c r="CW112" i="1" s="1"/>
  <c r="GX94" i="1"/>
  <c r="CW94" i="1" s="1"/>
  <c r="GX89" i="1"/>
  <c r="CW89" i="1" s="1"/>
  <c r="GX88" i="1"/>
  <c r="CW88" i="1" s="1"/>
  <c r="GX87" i="1"/>
  <c r="CW87" i="1" s="1"/>
  <c r="GX86" i="1"/>
  <c r="CW86" i="1" s="1"/>
  <c r="GX81" i="1"/>
  <c r="CW81" i="1" s="1"/>
  <c r="GX84" i="1"/>
  <c r="CW84" i="1" s="1"/>
  <c r="GX85" i="1"/>
  <c r="CW85" i="1" s="1"/>
  <c r="GX83" i="1"/>
  <c r="CW83" i="1" s="1"/>
  <c r="GX82" i="1"/>
  <c r="CW82" i="1" s="1"/>
  <c r="GX66" i="1"/>
  <c r="CW66" i="1" s="1"/>
  <c r="GX73" i="1"/>
  <c r="CW73" i="1" s="1"/>
  <c r="GX72" i="1"/>
  <c r="CW72" i="1" s="1"/>
  <c r="GX68" i="1"/>
  <c r="CW68" i="1" s="1"/>
  <c r="GX71" i="1"/>
  <c r="CW71" i="1" s="1"/>
  <c r="GX70" i="1"/>
  <c r="CW70" i="1" s="1"/>
  <c r="GX69" i="1"/>
  <c r="CW69" i="1" s="1"/>
  <c r="GX65" i="1"/>
  <c r="CW65" i="1" s="1"/>
  <c r="GX63" i="1"/>
  <c r="CW63" i="1" s="1"/>
  <c r="GX44" i="1"/>
  <c r="GX32" i="1"/>
  <c r="CW32" i="1" s="1"/>
  <c r="GX31" i="1"/>
  <c r="CW31" i="1" s="1"/>
  <c r="CW233" i="1"/>
  <c r="CW232" i="1"/>
  <c r="GX232" i="1"/>
  <c r="GX233" i="1"/>
  <c r="GX93" i="1"/>
  <c r="CW93" i="1" s="1"/>
  <c r="CW236" i="1"/>
  <c r="CW235" i="1"/>
  <c r="CW229" i="1"/>
  <c r="GX235" i="1"/>
  <c r="GX229" i="1"/>
  <c r="GX59" i="1"/>
  <c r="CW59" i="1" s="1"/>
  <c r="GX160" i="1"/>
  <c r="CW160" i="1" s="1"/>
  <c r="GX60" i="1"/>
  <c r="CW60" i="1" s="1"/>
  <c r="GX159" i="1"/>
  <c r="CW159" i="1" s="1"/>
  <c r="GX110" i="1"/>
  <c r="CW110" i="1" s="1"/>
  <c r="GX236" i="1"/>
  <c r="GX111" i="1"/>
  <c r="CW111" i="1" s="1"/>
  <c r="CW234" i="1"/>
  <c r="CW231" i="1"/>
  <c r="CW230" i="1"/>
  <c r="GX218" i="1"/>
  <c r="CW218" i="1" s="1"/>
  <c r="GX231" i="1"/>
  <c r="GX234" i="1"/>
  <c r="GX230" i="1"/>
  <c r="GY30" i="1"/>
  <c r="GY35" i="1" s="1"/>
  <c r="GX42" i="1"/>
  <c r="GX40" i="1"/>
  <c r="GX38" i="1"/>
  <c r="GX39" i="1"/>
  <c r="GX43" i="1"/>
  <c r="GX41" i="1"/>
  <c r="GX45" i="1"/>
  <c r="GX46" i="1"/>
  <c r="CW45" i="1"/>
  <c r="CW42" i="1"/>
  <c r="CX30" i="1"/>
  <c r="CX44" i="1" s="1"/>
  <c r="CW41" i="1"/>
  <c r="CW43" i="1"/>
  <c r="GX197" i="1"/>
  <c r="CW197" i="1" s="1"/>
  <c r="GX224" i="1"/>
  <c r="GX223" i="1"/>
  <c r="GX222" i="1"/>
  <c r="GX221" i="1"/>
  <c r="GX214" i="1"/>
  <c r="CW214" i="1" s="1"/>
  <c r="GX215" i="1"/>
  <c r="CW215" i="1" s="1"/>
  <c r="GX213" i="1"/>
  <c r="CW213" i="1" s="1"/>
  <c r="GX212" i="1"/>
  <c r="CW212" i="1" s="1"/>
  <c r="CW223" i="1"/>
  <c r="CW224" i="1"/>
  <c r="CW222" i="1"/>
  <c r="CW221" i="1"/>
  <c r="GX207" i="1"/>
  <c r="GX206" i="1"/>
  <c r="GX205" i="1"/>
  <c r="GX204" i="1"/>
  <c r="GX201" i="1"/>
  <c r="CW201" i="1" s="1"/>
  <c r="GX196" i="1"/>
  <c r="CW196" i="1" s="1"/>
  <c r="GX198" i="1"/>
  <c r="CW198" i="1" s="1"/>
  <c r="GX195" i="1"/>
  <c r="CW195" i="1" s="1"/>
  <c r="GX128" i="1"/>
  <c r="CW128" i="1" s="1"/>
  <c r="GX130" i="1"/>
  <c r="CW130" i="1" s="1"/>
  <c r="GX129" i="1"/>
  <c r="CW129" i="1" s="1"/>
  <c r="GX127" i="1"/>
  <c r="CW127" i="1" s="1"/>
  <c r="CW207" i="1"/>
  <c r="CW206" i="1"/>
  <c r="CW205" i="1"/>
  <c r="GX78" i="1"/>
  <c r="CW78" i="1" s="1"/>
  <c r="GX61" i="1"/>
  <c r="CW61" i="1" s="1"/>
  <c r="GX79" i="1"/>
  <c r="CW79" i="1" s="1"/>
  <c r="GX77" i="1"/>
  <c r="CW77" i="1" s="1"/>
  <c r="GX76" i="1"/>
  <c r="CW76" i="1" s="1"/>
  <c r="GX92" i="1"/>
  <c r="CW92" i="1" s="1"/>
  <c r="GX90" i="1"/>
  <c r="CW90" i="1" s="1"/>
  <c r="GX91" i="1"/>
  <c r="CW91" i="1" s="1"/>
  <c r="CW189" i="1"/>
  <c r="CW188" i="1"/>
  <c r="CW190" i="1"/>
  <c r="CW187" i="1"/>
  <c r="CW151" i="1"/>
  <c r="CW152" i="1"/>
  <c r="CW150" i="1"/>
  <c r="CW153" i="1"/>
  <c r="GX190" i="1"/>
  <c r="GX189" i="1"/>
  <c r="GX187" i="1"/>
  <c r="GX188" i="1"/>
  <c r="GX178" i="1"/>
  <c r="CW178" i="1" s="1"/>
  <c r="GX153" i="1"/>
  <c r="GX151" i="1"/>
  <c r="GX152" i="1"/>
  <c r="GX150" i="1"/>
  <c r="GX149" i="1"/>
  <c r="GX100" i="1"/>
  <c r="GX97" i="1"/>
  <c r="GX99" i="1"/>
  <c r="GX102" i="1"/>
  <c r="GX101" i="1"/>
  <c r="GX103" i="1"/>
  <c r="GX104" i="1"/>
  <c r="GX98" i="1"/>
  <c r="CW100" i="1"/>
  <c r="CW99" i="1"/>
  <c r="CW104" i="1"/>
  <c r="CW97" i="1"/>
  <c r="CW98" i="1"/>
  <c r="CW101" i="1"/>
  <c r="CW103" i="1"/>
  <c r="CW102" i="1"/>
  <c r="GX80" i="1"/>
  <c r="CW80" i="1" s="1"/>
  <c r="GX158" i="1"/>
  <c r="CW158" i="1" s="1"/>
  <c r="GX120" i="1"/>
  <c r="CW120" i="1" s="1"/>
  <c r="GX67" i="1"/>
  <c r="CW67" i="1" s="1"/>
  <c r="GX109" i="1"/>
  <c r="CW109" i="1" s="1"/>
  <c r="GX162" i="1"/>
  <c r="CW162" i="1" s="1"/>
  <c r="GX113" i="1"/>
  <c r="CW113" i="1" s="1"/>
  <c r="GX64" i="1"/>
  <c r="CW64" i="1" s="1"/>
  <c r="GY56" i="1"/>
  <c r="GX58" i="1"/>
  <c r="CW58" i="1" s="1"/>
  <c r="GX62" i="1"/>
  <c r="CW62" i="1" s="1"/>
  <c r="CX56" i="1"/>
  <c r="CX35" i="1" l="1"/>
  <c r="CW125" i="1"/>
  <c r="CW147" i="1"/>
  <c r="GY184" i="1"/>
  <c r="CX184" i="1" s="1"/>
  <c r="GY183" i="1"/>
  <c r="CX183" i="1" s="1"/>
  <c r="GY180" i="1"/>
  <c r="CX180" i="1" s="1"/>
  <c r="GY179" i="1"/>
  <c r="CX179" i="1" s="1"/>
  <c r="GY181" i="1"/>
  <c r="CX181" i="1" s="1"/>
  <c r="GY182" i="1"/>
  <c r="CX182" i="1" s="1"/>
  <c r="GY163" i="1"/>
  <c r="CX163" i="1" s="1"/>
  <c r="GY177" i="1"/>
  <c r="CX177" i="1" s="1"/>
  <c r="GY174" i="1"/>
  <c r="CX174" i="1" s="1"/>
  <c r="GY175" i="1"/>
  <c r="CX175" i="1" s="1"/>
  <c r="GY176" i="1"/>
  <c r="CX176" i="1" s="1"/>
  <c r="GY161" i="1"/>
  <c r="CX161" i="1" s="1"/>
  <c r="GY171" i="1"/>
  <c r="CX171" i="1" s="1"/>
  <c r="GY169" i="1"/>
  <c r="CX169" i="1" s="1"/>
  <c r="GY170" i="1"/>
  <c r="CX170" i="1" s="1"/>
  <c r="GY168" i="1"/>
  <c r="CX168" i="1" s="1"/>
  <c r="GY167" i="1"/>
  <c r="CX167" i="1" s="1"/>
  <c r="GY165" i="1"/>
  <c r="CX165" i="1" s="1"/>
  <c r="GY166" i="1"/>
  <c r="CX166" i="1" s="1"/>
  <c r="GY164" i="1"/>
  <c r="CX164" i="1" s="1"/>
  <c r="GY137" i="1"/>
  <c r="CX137" i="1" s="1"/>
  <c r="GY136" i="1"/>
  <c r="CX136" i="1" s="1"/>
  <c r="GY146" i="1"/>
  <c r="CX146" i="1" s="1"/>
  <c r="GY145" i="1"/>
  <c r="CX145" i="1" s="1"/>
  <c r="GY143" i="1"/>
  <c r="CX143" i="1" s="1"/>
  <c r="GY141" i="1"/>
  <c r="CX141" i="1" s="1"/>
  <c r="GY144" i="1"/>
  <c r="CX144" i="1" s="1"/>
  <c r="GY140" i="1"/>
  <c r="CX140" i="1" s="1"/>
  <c r="GY142" i="1"/>
  <c r="CX142" i="1" s="1"/>
  <c r="GY139" i="1"/>
  <c r="CX139" i="1" s="1"/>
  <c r="GY131" i="1"/>
  <c r="CX131" i="1" s="1"/>
  <c r="GY132" i="1"/>
  <c r="CX132" i="1" s="1"/>
  <c r="GY133" i="1"/>
  <c r="CX133" i="1" s="1"/>
  <c r="GY138" i="1"/>
  <c r="CX138" i="1" s="1"/>
  <c r="GY134" i="1"/>
  <c r="CX134" i="1" s="1"/>
  <c r="GY135" i="1"/>
  <c r="CX135" i="1" s="1"/>
  <c r="GY123" i="1"/>
  <c r="CX123" i="1" s="1"/>
  <c r="GY124" i="1"/>
  <c r="CX124" i="1" s="1"/>
  <c r="GY115" i="1"/>
  <c r="CX115" i="1" s="1"/>
  <c r="GY122" i="1"/>
  <c r="CX122" i="1" s="1"/>
  <c r="GY121" i="1"/>
  <c r="CX121" i="1" s="1"/>
  <c r="GY119" i="1"/>
  <c r="CX119" i="1" s="1"/>
  <c r="GY118" i="1"/>
  <c r="CX118" i="1" s="1"/>
  <c r="GY117" i="1"/>
  <c r="CX117" i="1" s="1"/>
  <c r="GY116" i="1"/>
  <c r="CX116" i="1" s="1"/>
  <c r="GY114" i="1"/>
  <c r="CX114" i="1" s="1"/>
  <c r="GY112" i="1"/>
  <c r="CX112" i="1" s="1"/>
  <c r="GY94" i="1"/>
  <c r="CX94" i="1" s="1"/>
  <c r="GY89" i="1"/>
  <c r="CX89" i="1" s="1"/>
  <c r="GY86" i="1"/>
  <c r="CX86" i="1" s="1"/>
  <c r="GY88" i="1"/>
  <c r="CX88" i="1" s="1"/>
  <c r="GY87" i="1"/>
  <c r="CX87" i="1" s="1"/>
  <c r="GY81" i="1"/>
  <c r="CX81" i="1" s="1"/>
  <c r="GY85" i="1"/>
  <c r="CX85" i="1" s="1"/>
  <c r="GY83" i="1"/>
  <c r="CX83" i="1" s="1"/>
  <c r="GY84" i="1"/>
  <c r="CX84" i="1" s="1"/>
  <c r="GY82" i="1"/>
  <c r="CX82" i="1" s="1"/>
  <c r="GY66" i="1"/>
  <c r="CX66" i="1" s="1"/>
  <c r="GY72" i="1"/>
  <c r="CX72" i="1" s="1"/>
  <c r="GY71" i="1"/>
  <c r="CX71" i="1" s="1"/>
  <c r="GY73" i="1"/>
  <c r="CX73" i="1" s="1"/>
  <c r="GY70" i="1"/>
  <c r="CX70" i="1" s="1"/>
  <c r="GY69" i="1"/>
  <c r="CX69" i="1" s="1"/>
  <c r="GY68" i="1"/>
  <c r="CX68" i="1" s="1"/>
  <c r="GY65" i="1"/>
  <c r="CX65" i="1" s="1"/>
  <c r="GY63" i="1"/>
  <c r="CX63" i="1" s="1"/>
  <c r="GY44" i="1"/>
  <c r="GY32" i="1"/>
  <c r="CX32" i="1" s="1"/>
  <c r="GY31" i="1"/>
  <c r="CX31" i="1" s="1"/>
  <c r="CX233" i="1"/>
  <c r="CX232" i="1"/>
  <c r="GY233" i="1"/>
  <c r="GY232" i="1"/>
  <c r="GY93" i="1"/>
  <c r="CX93" i="1" s="1"/>
  <c r="CX236" i="1"/>
  <c r="CX229" i="1"/>
  <c r="CX235" i="1"/>
  <c r="GY229" i="1"/>
  <c r="GY235" i="1"/>
  <c r="GY59" i="1"/>
  <c r="CX59" i="1" s="1"/>
  <c r="GY60" i="1"/>
  <c r="CX60" i="1" s="1"/>
  <c r="GY160" i="1"/>
  <c r="CX160" i="1" s="1"/>
  <c r="GY159" i="1"/>
  <c r="CX159" i="1" s="1"/>
  <c r="GY110" i="1"/>
  <c r="CX110" i="1" s="1"/>
  <c r="GY236" i="1"/>
  <c r="GY111" i="1"/>
  <c r="CX111" i="1" s="1"/>
  <c r="CX231" i="1"/>
  <c r="CX234" i="1"/>
  <c r="CX230" i="1"/>
  <c r="GY218" i="1"/>
  <c r="CX218" i="1" s="1"/>
  <c r="GY234" i="1"/>
  <c r="GY230" i="1"/>
  <c r="GY231" i="1"/>
  <c r="GY41" i="1"/>
  <c r="GY39" i="1"/>
  <c r="GY42" i="1"/>
  <c r="GY45" i="1"/>
  <c r="GY43" i="1"/>
  <c r="GY40" i="1"/>
  <c r="GY38" i="1"/>
  <c r="GZ30" i="1"/>
  <c r="GZ35" i="1" s="1"/>
  <c r="GY46" i="1"/>
  <c r="CX45" i="1"/>
  <c r="CX42" i="1"/>
  <c r="CY30" i="1"/>
  <c r="CY44" i="1" s="1"/>
  <c r="CX43" i="1"/>
  <c r="CX41" i="1"/>
  <c r="CX224" i="1"/>
  <c r="CX223" i="1"/>
  <c r="CX222" i="1"/>
  <c r="CX221" i="1"/>
  <c r="GY197" i="1"/>
  <c r="CX197" i="1" s="1"/>
  <c r="GY224" i="1"/>
  <c r="GY223" i="1"/>
  <c r="GY222" i="1"/>
  <c r="GY221" i="1"/>
  <c r="GY215" i="1"/>
  <c r="CX215" i="1" s="1"/>
  <c r="GY214" i="1"/>
  <c r="CX214" i="1" s="1"/>
  <c r="GY213" i="1"/>
  <c r="CX213" i="1" s="1"/>
  <c r="GY212" i="1"/>
  <c r="CX212" i="1" s="1"/>
  <c r="CX205" i="1"/>
  <c r="CX206" i="1"/>
  <c r="CX207" i="1"/>
  <c r="GY207" i="1"/>
  <c r="GY206" i="1"/>
  <c r="GY205" i="1"/>
  <c r="GY204" i="1"/>
  <c r="GY201" i="1"/>
  <c r="CX201" i="1" s="1"/>
  <c r="GY196" i="1"/>
  <c r="CX196" i="1" s="1"/>
  <c r="GY198" i="1"/>
  <c r="CX198" i="1" s="1"/>
  <c r="GY195" i="1"/>
  <c r="CX195" i="1" s="1"/>
  <c r="GY129" i="1"/>
  <c r="CX129" i="1" s="1"/>
  <c r="GY130" i="1"/>
  <c r="CX130" i="1" s="1"/>
  <c r="GY128" i="1"/>
  <c r="CX128" i="1" s="1"/>
  <c r="GY127" i="1"/>
  <c r="CX127" i="1" s="1"/>
  <c r="GY79" i="1"/>
  <c r="CX79" i="1" s="1"/>
  <c r="GY78" i="1"/>
  <c r="CX78" i="1" s="1"/>
  <c r="GY77" i="1"/>
  <c r="CX77" i="1" s="1"/>
  <c r="GY76" i="1"/>
  <c r="CX76" i="1" s="1"/>
  <c r="GY92" i="1"/>
  <c r="CX92" i="1" s="1"/>
  <c r="GY91" i="1"/>
  <c r="CX91" i="1" s="1"/>
  <c r="GY90" i="1"/>
  <c r="CX90" i="1" s="1"/>
  <c r="GY61" i="1"/>
  <c r="CX61" i="1" s="1"/>
  <c r="GY190" i="1"/>
  <c r="GY189" i="1"/>
  <c r="GY188" i="1"/>
  <c r="GY178" i="1"/>
  <c r="CX178" i="1" s="1"/>
  <c r="GY187" i="1"/>
  <c r="CX190" i="1"/>
  <c r="CX187" i="1"/>
  <c r="CX188" i="1"/>
  <c r="CX153" i="1"/>
  <c r="CX189" i="1"/>
  <c r="CX150" i="1"/>
  <c r="CX152" i="1"/>
  <c r="CX151" i="1"/>
  <c r="GY152" i="1"/>
  <c r="GY153" i="1"/>
  <c r="GY151" i="1"/>
  <c r="GY150" i="1"/>
  <c r="GY149" i="1"/>
  <c r="GY99" i="1"/>
  <c r="GY103" i="1"/>
  <c r="GY98" i="1"/>
  <c r="GY101" i="1"/>
  <c r="GY97" i="1"/>
  <c r="GY100" i="1"/>
  <c r="GY102" i="1"/>
  <c r="GY104" i="1"/>
  <c r="CX97" i="1"/>
  <c r="CX99" i="1"/>
  <c r="CX101" i="1"/>
  <c r="CX100" i="1"/>
  <c r="CX102" i="1"/>
  <c r="CX103" i="1"/>
  <c r="CX104" i="1"/>
  <c r="CX98" i="1"/>
  <c r="GY80" i="1"/>
  <c r="CX80" i="1" s="1"/>
  <c r="GY158" i="1"/>
  <c r="CX158" i="1" s="1"/>
  <c r="GY67" i="1"/>
  <c r="CX67" i="1" s="1"/>
  <c r="GY120" i="1"/>
  <c r="CX120" i="1" s="1"/>
  <c r="GY109" i="1"/>
  <c r="CX109" i="1" s="1"/>
  <c r="GY162" i="1"/>
  <c r="CX162" i="1" s="1"/>
  <c r="GY113" i="1"/>
  <c r="CX113" i="1" s="1"/>
  <c r="GY58" i="1"/>
  <c r="CX58" i="1" s="1"/>
  <c r="GZ56" i="1"/>
  <c r="GY64" i="1"/>
  <c r="CX64" i="1" s="1"/>
  <c r="GY62" i="1"/>
  <c r="CX62" i="1" s="1"/>
  <c r="CY56" i="1"/>
  <c r="CY35" i="1" l="1"/>
  <c r="CX125" i="1"/>
  <c r="CX147" i="1"/>
  <c r="GZ184" i="1"/>
  <c r="CY184" i="1" s="1"/>
  <c r="GZ183" i="1"/>
  <c r="CY183" i="1" s="1"/>
  <c r="GZ181" i="1"/>
  <c r="CY181" i="1" s="1"/>
  <c r="GZ180" i="1"/>
  <c r="CY180" i="1" s="1"/>
  <c r="GZ182" i="1"/>
  <c r="CY182" i="1" s="1"/>
  <c r="GZ179" i="1"/>
  <c r="CY179" i="1" s="1"/>
  <c r="GZ163" i="1"/>
  <c r="CY163" i="1" s="1"/>
  <c r="GZ177" i="1"/>
  <c r="CY177" i="1" s="1"/>
  <c r="GZ176" i="1"/>
  <c r="CY176" i="1" s="1"/>
  <c r="GZ175" i="1"/>
  <c r="CY175" i="1" s="1"/>
  <c r="GZ174" i="1"/>
  <c r="CY174" i="1" s="1"/>
  <c r="GZ161" i="1"/>
  <c r="CY161" i="1" s="1"/>
  <c r="GZ171" i="1"/>
  <c r="CY171" i="1" s="1"/>
  <c r="GZ170" i="1"/>
  <c r="CY170" i="1" s="1"/>
  <c r="GZ168" i="1"/>
  <c r="CY168" i="1" s="1"/>
  <c r="GZ169" i="1"/>
  <c r="CY169" i="1" s="1"/>
  <c r="GZ167" i="1"/>
  <c r="CY167" i="1" s="1"/>
  <c r="GZ166" i="1"/>
  <c r="CY166" i="1" s="1"/>
  <c r="GZ165" i="1"/>
  <c r="CY165" i="1" s="1"/>
  <c r="GZ164" i="1"/>
  <c r="CY164" i="1" s="1"/>
  <c r="GZ137" i="1"/>
  <c r="CY137" i="1" s="1"/>
  <c r="GZ136" i="1"/>
  <c r="CY136" i="1" s="1"/>
  <c r="GZ146" i="1"/>
  <c r="CY146" i="1" s="1"/>
  <c r="GZ145" i="1"/>
  <c r="CY145" i="1" s="1"/>
  <c r="GZ144" i="1"/>
  <c r="CY144" i="1" s="1"/>
  <c r="GZ143" i="1"/>
  <c r="CY143" i="1" s="1"/>
  <c r="GZ142" i="1"/>
  <c r="CY142" i="1" s="1"/>
  <c r="GZ139" i="1"/>
  <c r="CY139" i="1" s="1"/>
  <c r="GZ141" i="1"/>
  <c r="CY141" i="1" s="1"/>
  <c r="GZ140" i="1"/>
  <c r="CY140" i="1" s="1"/>
  <c r="GZ131" i="1"/>
  <c r="CY131" i="1" s="1"/>
  <c r="GZ132" i="1"/>
  <c r="CY132" i="1" s="1"/>
  <c r="GZ133" i="1"/>
  <c r="CY133" i="1" s="1"/>
  <c r="GZ138" i="1"/>
  <c r="CY138" i="1" s="1"/>
  <c r="GZ135" i="1"/>
  <c r="CY135" i="1" s="1"/>
  <c r="GZ134" i="1"/>
  <c r="CY134" i="1" s="1"/>
  <c r="GZ124" i="1"/>
  <c r="CY124" i="1" s="1"/>
  <c r="GZ123" i="1"/>
  <c r="CY123" i="1" s="1"/>
  <c r="GZ115" i="1"/>
  <c r="CY115" i="1" s="1"/>
  <c r="GZ121" i="1"/>
  <c r="CY121" i="1" s="1"/>
  <c r="GZ122" i="1"/>
  <c r="CY122" i="1" s="1"/>
  <c r="GZ118" i="1"/>
  <c r="CY118" i="1" s="1"/>
  <c r="GZ117" i="1"/>
  <c r="CY117" i="1" s="1"/>
  <c r="GZ116" i="1"/>
  <c r="CY116" i="1" s="1"/>
  <c r="GZ119" i="1"/>
  <c r="CY119" i="1" s="1"/>
  <c r="GZ114" i="1"/>
  <c r="CY114" i="1" s="1"/>
  <c r="GZ112" i="1"/>
  <c r="CY112" i="1" s="1"/>
  <c r="GZ94" i="1"/>
  <c r="CY94" i="1" s="1"/>
  <c r="GZ89" i="1"/>
  <c r="CY89" i="1" s="1"/>
  <c r="GZ88" i="1"/>
  <c r="CY88" i="1" s="1"/>
  <c r="GZ87" i="1"/>
  <c r="CY87" i="1" s="1"/>
  <c r="GZ86" i="1"/>
  <c r="CY86" i="1" s="1"/>
  <c r="GZ81" i="1"/>
  <c r="CY81" i="1" s="1"/>
  <c r="GZ85" i="1"/>
  <c r="CY85" i="1" s="1"/>
  <c r="GZ84" i="1"/>
  <c r="CY84" i="1" s="1"/>
  <c r="GZ82" i="1"/>
  <c r="CY82" i="1" s="1"/>
  <c r="GZ83" i="1"/>
  <c r="CY83" i="1" s="1"/>
  <c r="GZ66" i="1"/>
  <c r="CY66" i="1" s="1"/>
  <c r="GZ73" i="1"/>
  <c r="CY73" i="1" s="1"/>
  <c r="GZ72" i="1"/>
  <c r="CY72" i="1" s="1"/>
  <c r="GZ71" i="1"/>
  <c r="CY71" i="1" s="1"/>
  <c r="GZ70" i="1"/>
  <c r="CY70" i="1" s="1"/>
  <c r="GZ69" i="1"/>
  <c r="CY69" i="1" s="1"/>
  <c r="GZ68" i="1"/>
  <c r="CY68" i="1" s="1"/>
  <c r="GZ65" i="1"/>
  <c r="CY65" i="1" s="1"/>
  <c r="GZ63" i="1"/>
  <c r="CY63" i="1" s="1"/>
  <c r="GZ44" i="1"/>
  <c r="GZ32" i="1"/>
  <c r="CY32" i="1" s="1"/>
  <c r="GZ31" i="1"/>
  <c r="CY31" i="1" s="1"/>
  <c r="CY232" i="1"/>
  <c r="CY233" i="1"/>
  <c r="GZ232" i="1"/>
  <c r="GZ233" i="1"/>
  <c r="GZ93" i="1"/>
  <c r="CY93" i="1" s="1"/>
  <c r="CY236" i="1"/>
  <c r="CY229" i="1"/>
  <c r="CY235" i="1"/>
  <c r="GZ229" i="1"/>
  <c r="GZ235" i="1"/>
  <c r="GZ160" i="1"/>
  <c r="CY160" i="1" s="1"/>
  <c r="GZ159" i="1"/>
  <c r="CY159" i="1" s="1"/>
  <c r="GZ60" i="1"/>
  <c r="CY60" i="1" s="1"/>
  <c r="GZ59" i="1"/>
  <c r="CY59" i="1" s="1"/>
  <c r="GZ111" i="1"/>
  <c r="CY111" i="1" s="1"/>
  <c r="GZ110" i="1"/>
  <c r="CY110" i="1" s="1"/>
  <c r="GZ236" i="1"/>
  <c r="CY234" i="1"/>
  <c r="CY231" i="1"/>
  <c r="CY230" i="1"/>
  <c r="GZ218" i="1"/>
  <c r="CY218" i="1" s="1"/>
  <c r="GZ234" i="1"/>
  <c r="GZ230" i="1"/>
  <c r="GZ231" i="1"/>
  <c r="GZ41" i="1"/>
  <c r="GZ43" i="1"/>
  <c r="GZ45" i="1"/>
  <c r="GZ38" i="1"/>
  <c r="GZ39" i="1"/>
  <c r="HA30" i="1"/>
  <c r="HA35" i="1" s="1"/>
  <c r="GZ46" i="1"/>
  <c r="GZ42" i="1"/>
  <c r="GZ40" i="1"/>
  <c r="CY42" i="1"/>
  <c r="CY43" i="1"/>
  <c r="CY41" i="1"/>
  <c r="CY45" i="1"/>
  <c r="CZ30" i="1"/>
  <c r="CZ44" i="1" s="1"/>
  <c r="CY223" i="1"/>
  <c r="CY224" i="1"/>
  <c r="CY221" i="1"/>
  <c r="CY222" i="1"/>
  <c r="GZ197" i="1"/>
  <c r="CY197" i="1" s="1"/>
  <c r="GZ222" i="1"/>
  <c r="GZ221" i="1"/>
  <c r="GZ223" i="1"/>
  <c r="GZ224" i="1"/>
  <c r="GZ213" i="1"/>
  <c r="CY213" i="1" s="1"/>
  <c r="GZ212" i="1"/>
  <c r="CY212" i="1" s="1"/>
  <c r="GZ215" i="1"/>
  <c r="CY215" i="1" s="1"/>
  <c r="GZ214" i="1"/>
  <c r="CY214" i="1" s="1"/>
  <c r="GZ207" i="1"/>
  <c r="GZ206" i="1"/>
  <c r="GZ205" i="1"/>
  <c r="GZ204" i="1"/>
  <c r="GZ201" i="1"/>
  <c r="CY201" i="1" s="1"/>
  <c r="GZ196" i="1"/>
  <c r="CY196" i="1" s="1"/>
  <c r="GZ198" i="1"/>
  <c r="CY198" i="1" s="1"/>
  <c r="GZ195" i="1"/>
  <c r="CY195" i="1" s="1"/>
  <c r="GZ129" i="1"/>
  <c r="CY129" i="1" s="1"/>
  <c r="GZ130" i="1"/>
  <c r="CY130" i="1" s="1"/>
  <c r="GZ128" i="1"/>
  <c r="CY128" i="1" s="1"/>
  <c r="GZ127" i="1"/>
  <c r="CY127" i="1" s="1"/>
  <c r="CY206" i="1"/>
  <c r="CY207" i="1"/>
  <c r="CY205" i="1"/>
  <c r="GZ79" i="1"/>
  <c r="CY79" i="1" s="1"/>
  <c r="GZ78" i="1"/>
  <c r="CY78" i="1" s="1"/>
  <c r="GZ77" i="1"/>
  <c r="CY77" i="1" s="1"/>
  <c r="GZ76" i="1"/>
  <c r="CY76" i="1" s="1"/>
  <c r="GZ92" i="1"/>
  <c r="CY92" i="1" s="1"/>
  <c r="GZ91" i="1"/>
  <c r="CY91" i="1" s="1"/>
  <c r="GZ90" i="1"/>
  <c r="CY90" i="1" s="1"/>
  <c r="GZ61" i="1"/>
  <c r="CY61" i="1" s="1"/>
  <c r="CY189" i="1"/>
  <c r="CY188" i="1"/>
  <c r="CY190" i="1"/>
  <c r="CY187" i="1"/>
  <c r="CY150" i="1"/>
  <c r="CY152" i="1"/>
  <c r="CY151" i="1"/>
  <c r="CY153" i="1"/>
  <c r="GZ189" i="1"/>
  <c r="GZ190" i="1"/>
  <c r="GZ188" i="1"/>
  <c r="GZ187" i="1"/>
  <c r="GZ178" i="1"/>
  <c r="CY178" i="1" s="1"/>
  <c r="GZ152" i="1"/>
  <c r="GZ150" i="1"/>
  <c r="GZ151" i="1"/>
  <c r="GZ149" i="1"/>
  <c r="GZ98" i="1"/>
  <c r="GZ102" i="1"/>
  <c r="GZ153" i="1"/>
  <c r="GZ97" i="1"/>
  <c r="GZ100" i="1"/>
  <c r="GZ99" i="1"/>
  <c r="GZ104" i="1"/>
  <c r="GZ101" i="1"/>
  <c r="GZ103" i="1"/>
  <c r="CY98" i="1"/>
  <c r="CY97" i="1"/>
  <c r="CY102" i="1"/>
  <c r="CY101" i="1"/>
  <c r="CY100" i="1"/>
  <c r="CY103" i="1"/>
  <c r="CY104" i="1"/>
  <c r="CY99" i="1"/>
  <c r="GZ80" i="1"/>
  <c r="CY80" i="1" s="1"/>
  <c r="GZ158" i="1"/>
  <c r="CY158" i="1" s="1"/>
  <c r="GZ67" i="1"/>
  <c r="CY67" i="1" s="1"/>
  <c r="GZ120" i="1"/>
  <c r="CY120" i="1" s="1"/>
  <c r="GZ109" i="1"/>
  <c r="CY109" i="1" s="1"/>
  <c r="GZ162" i="1"/>
  <c r="CY162" i="1" s="1"/>
  <c r="GZ113" i="1"/>
  <c r="CY113" i="1" s="1"/>
  <c r="GZ64" i="1"/>
  <c r="CY64" i="1" s="1"/>
  <c r="GZ62" i="1"/>
  <c r="CY62" i="1" s="1"/>
  <c r="GZ58" i="1"/>
  <c r="CY58" i="1" s="1"/>
  <c r="HA56" i="1"/>
  <c r="CZ56" i="1"/>
  <c r="CZ35" i="1" l="1"/>
  <c r="CY147" i="1"/>
  <c r="CY125" i="1"/>
  <c r="HA184" i="1"/>
  <c r="CZ184" i="1" s="1"/>
  <c r="HA179" i="1"/>
  <c r="CZ179" i="1" s="1"/>
  <c r="HA183" i="1"/>
  <c r="CZ183" i="1" s="1"/>
  <c r="HA181" i="1"/>
  <c r="CZ181" i="1" s="1"/>
  <c r="HA182" i="1"/>
  <c r="CZ182" i="1" s="1"/>
  <c r="HA180" i="1"/>
  <c r="CZ180" i="1" s="1"/>
  <c r="HA163" i="1"/>
  <c r="CZ163" i="1" s="1"/>
  <c r="HA176" i="1"/>
  <c r="CZ176" i="1" s="1"/>
  <c r="HA174" i="1"/>
  <c r="CZ174" i="1" s="1"/>
  <c r="HA177" i="1"/>
  <c r="CZ177" i="1" s="1"/>
  <c r="HA175" i="1"/>
  <c r="CZ175" i="1" s="1"/>
  <c r="HA161" i="1"/>
  <c r="CZ161" i="1" s="1"/>
  <c r="HA170" i="1"/>
  <c r="CZ170" i="1" s="1"/>
  <c r="HA169" i="1"/>
  <c r="CZ169" i="1" s="1"/>
  <c r="HA171" i="1"/>
  <c r="CZ171" i="1" s="1"/>
  <c r="HA168" i="1"/>
  <c r="CZ168" i="1" s="1"/>
  <c r="HA166" i="1"/>
  <c r="CZ166" i="1" s="1"/>
  <c r="HA167" i="1"/>
  <c r="CZ167" i="1" s="1"/>
  <c r="HA165" i="1"/>
  <c r="CZ165" i="1" s="1"/>
  <c r="HA164" i="1"/>
  <c r="CZ164" i="1" s="1"/>
  <c r="HA136" i="1"/>
  <c r="CZ136" i="1" s="1"/>
  <c r="HA137" i="1"/>
  <c r="CZ137" i="1" s="1"/>
  <c r="HA145" i="1"/>
  <c r="CZ145" i="1" s="1"/>
  <c r="HA144" i="1"/>
  <c r="CZ144" i="1" s="1"/>
  <c r="HA146" i="1"/>
  <c r="CZ146" i="1" s="1"/>
  <c r="HA142" i="1"/>
  <c r="CZ142" i="1" s="1"/>
  <c r="HA139" i="1"/>
  <c r="CZ139" i="1" s="1"/>
  <c r="HA141" i="1"/>
  <c r="CZ141" i="1" s="1"/>
  <c r="HA143" i="1"/>
  <c r="CZ143" i="1" s="1"/>
  <c r="HA140" i="1"/>
  <c r="CZ140" i="1" s="1"/>
  <c r="HA131" i="1"/>
  <c r="CZ131" i="1" s="1"/>
  <c r="HA132" i="1"/>
  <c r="CZ132" i="1" s="1"/>
  <c r="HA133" i="1"/>
  <c r="CZ133" i="1" s="1"/>
  <c r="HA135" i="1"/>
  <c r="CZ135" i="1" s="1"/>
  <c r="HA134" i="1"/>
  <c r="CZ134" i="1" s="1"/>
  <c r="HA138" i="1"/>
  <c r="CZ138" i="1" s="1"/>
  <c r="HA123" i="1"/>
  <c r="CZ123" i="1" s="1"/>
  <c r="HA124" i="1"/>
  <c r="CZ124" i="1" s="1"/>
  <c r="HA115" i="1"/>
  <c r="CZ115" i="1" s="1"/>
  <c r="HA121" i="1"/>
  <c r="CZ121" i="1" s="1"/>
  <c r="HA122" i="1"/>
  <c r="CZ122" i="1" s="1"/>
  <c r="HA118" i="1"/>
  <c r="CZ118" i="1" s="1"/>
  <c r="HA119" i="1"/>
  <c r="CZ119" i="1" s="1"/>
  <c r="HA117" i="1"/>
  <c r="CZ117" i="1" s="1"/>
  <c r="HA114" i="1"/>
  <c r="CZ114" i="1" s="1"/>
  <c r="HA116" i="1"/>
  <c r="CZ116" i="1" s="1"/>
  <c r="HA112" i="1"/>
  <c r="CZ112" i="1" s="1"/>
  <c r="HA94" i="1"/>
  <c r="CZ94" i="1" s="1"/>
  <c r="HA88" i="1"/>
  <c r="CZ88" i="1" s="1"/>
  <c r="HA87" i="1"/>
  <c r="CZ87" i="1" s="1"/>
  <c r="HA89" i="1"/>
  <c r="CZ89" i="1" s="1"/>
  <c r="HA86" i="1"/>
  <c r="CZ86" i="1" s="1"/>
  <c r="HA81" i="1"/>
  <c r="CZ81" i="1" s="1"/>
  <c r="HA84" i="1"/>
  <c r="CZ84" i="1" s="1"/>
  <c r="HA83" i="1"/>
  <c r="CZ83" i="1" s="1"/>
  <c r="HA85" i="1"/>
  <c r="CZ85" i="1" s="1"/>
  <c r="HA82" i="1"/>
  <c r="CZ82" i="1" s="1"/>
  <c r="HA66" i="1"/>
  <c r="CZ66" i="1" s="1"/>
  <c r="HA73" i="1"/>
  <c r="CZ73" i="1" s="1"/>
  <c r="HA72" i="1"/>
  <c r="CZ72" i="1" s="1"/>
  <c r="HA71" i="1"/>
  <c r="CZ71" i="1" s="1"/>
  <c r="HA69" i="1"/>
  <c r="CZ69" i="1" s="1"/>
  <c r="HA68" i="1"/>
  <c r="CZ68" i="1" s="1"/>
  <c r="HA70" i="1"/>
  <c r="CZ70" i="1" s="1"/>
  <c r="HA65" i="1"/>
  <c r="CZ65" i="1" s="1"/>
  <c r="HA63" i="1"/>
  <c r="CZ63" i="1" s="1"/>
  <c r="HA44" i="1"/>
  <c r="HA31" i="1"/>
  <c r="CZ31" i="1" s="1"/>
  <c r="HA32" i="1"/>
  <c r="CZ32" i="1" s="1"/>
  <c r="HA232" i="1"/>
  <c r="CZ232" i="1" s="1"/>
  <c r="HA233" i="1"/>
  <c r="CZ233" i="1" s="1"/>
  <c r="HA93" i="1"/>
  <c r="CZ93" i="1" s="1"/>
  <c r="HA235" i="1"/>
  <c r="CZ235" i="1" s="1"/>
  <c r="HA229" i="1"/>
  <c r="CZ229" i="1" s="1"/>
  <c r="HA60" i="1"/>
  <c r="CZ60" i="1" s="1"/>
  <c r="HA159" i="1"/>
  <c r="CZ159" i="1" s="1"/>
  <c r="HA160" i="1"/>
  <c r="CZ160" i="1" s="1"/>
  <c r="HA59" i="1"/>
  <c r="CZ59" i="1" s="1"/>
  <c r="HA236" i="1"/>
  <c r="CZ236" i="1" s="1"/>
  <c r="HA111" i="1"/>
  <c r="CZ111" i="1" s="1"/>
  <c r="HA110" i="1"/>
  <c r="CZ110" i="1" s="1"/>
  <c r="HA218" i="1"/>
  <c r="CZ218" i="1" s="1"/>
  <c r="HA234" i="1"/>
  <c r="CZ234" i="1" s="1"/>
  <c r="HA231" i="1"/>
  <c r="CZ231" i="1" s="1"/>
  <c r="HA230" i="1"/>
  <c r="CZ230" i="1" s="1"/>
  <c r="HA46" i="1"/>
  <c r="HA39" i="1"/>
  <c r="HA41" i="1"/>
  <c r="HA45" i="1"/>
  <c r="HA43" i="1"/>
  <c r="HB30" i="1"/>
  <c r="HB35" i="1" s="1"/>
  <c r="HA40" i="1"/>
  <c r="HA38" i="1"/>
  <c r="HA42" i="1"/>
  <c r="CZ43" i="1"/>
  <c r="CZ41" i="1"/>
  <c r="CZ42" i="1"/>
  <c r="DA30" i="1"/>
  <c r="DA44" i="1" s="1"/>
  <c r="CZ45" i="1"/>
  <c r="HA197" i="1"/>
  <c r="CZ197" i="1" s="1"/>
  <c r="HA223" i="1"/>
  <c r="HA224" i="1"/>
  <c r="HA222" i="1"/>
  <c r="HA221" i="1"/>
  <c r="CZ221" i="1" s="1"/>
  <c r="HA215" i="1"/>
  <c r="CZ215" i="1" s="1"/>
  <c r="HA214" i="1"/>
  <c r="CZ214" i="1" s="1"/>
  <c r="HA213" i="1"/>
  <c r="CZ213" i="1" s="1"/>
  <c r="HA212" i="1"/>
  <c r="CZ212" i="1" s="1"/>
  <c r="CZ224" i="1"/>
  <c r="CZ222" i="1"/>
  <c r="CZ223" i="1"/>
  <c r="HA205" i="1"/>
  <c r="HA207" i="1"/>
  <c r="HA206" i="1"/>
  <c r="HA204" i="1"/>
  <c r="HA201" i="1"/>
  <c r="CZ201" i="1" s="1"/>
  <c r="HA198" i="1"/>
  <c r="CZ198" i="1" s="1"/>
  <c r="HA195" i="1"/>
  <c r="CZ195" i="1" s="1"/>
  <c r="HA196" i="1"/>
  <c r="CZ196" i="1" s="1"/>
  <c r="HA130" i="1"/>
  <c r="CZ130" i="1" s="1"/>
  <c r="HA128" i="1"/>
  <c r="CZ128" i="1" s="1"/>
  <c r="HA127" i="1"/>
  <c r="CZ127" i="1" s="1"/>
  <c r="HA129" i="1"/>
  <c r="CZ129" i="1" s="1"/>
  <c r="CZ207" i="1"/>
  <c r="CZ206" i="1"/>
  <c r="CZ205" i="1"/>
  <c r="HA78" i="1"/>
  <c r="CZ78" i="1" s="1"/>
  <c r="HA79" i="1"/>
  <c r="CZ79" i="1" s="1"/>
  <c r="HA77" i="1"/>
  <c r="CZ77" i="1" s="1"/>
  <c r="HA76" i="1"/>
  <c r="CZ76" i="1" s="1"/>
  <c r="HA61" i="1"/>
  <c r="CZ61" i="1" s="1"/>
  <c r="HA90" i="1"/>
  <c r="CZ90" i="1" s="1"/>
  <c r="HA91" i="1"/>
  <c r="CZ91" i="1" s="1"/>
  <c r="HA92" i="1"/>
  <c r="CZ92" i="1" s="1"/>
  <c r="CZ190" i="1"/>
  <c r="CZ189" i="1"/>
  <c r="CZ188" i="1"/>
  <c r="CZ187" i="1"/>
  <c r="CZ150" i="1"/>
  <c r="CZ152" i="1"/>
  <c r="CZ151" i="1"/>
  <c r="CZ153" i="1"/>
  <c r="HA190" i="1"/>
  <c r="HA178" i="1"/>
  <c r="CZ178" i="1" s="1"/>
  <c r="HA187" i="1"/>
  <c r="HA189" i="1"/>
  <c r="HA188" i="1"/>
  <c r="HA153" i="1"/>
  <c r="HA152" i="1"/>
  <c r="HA151" i="1"/>
  <c r="HA150" i="1"/>
  <c r="HA97" i="1"/>
  <c r="HA101" i="1"/>
  <c r="HA99" i="1"/>
  <c r="HA102" i="1"/>
  <c r="HA149" i="1"/>
  <c r="HA98" i="1"/>
  <c r="HA100" i="1"/>
  <c r="HA104" i="1"/>
  <c r="HA103" i="1"/>
  <c r="CZ99" i="1"/>
  <c r="CZ98" i="1"/>
  <c r="CZ100" i="1"/>
  <c r="CZ103" i="1"/>
  <c r="CZ101" i="1"/>
  <c r="CZ102" i="1"/>
  <c r="CZ97" i="1"/>
  <c r="CZ104" i="1"/>
  <c r="HA80" i="1"/>
  <c r="CZ80" i="1" s="1"/>
  <c r="HA158" i="1"/>
  <c r="CZ158" i="1" s="1"/>
  <c r="HA120" i="1"/>
  <c r="CZ120" i="1" s="1"/>
  <c r="HA67" i="1"/>
  <c r="CZ67" i="1" s="1"/>
  <c r="HA109" i="1"/>
  <c r="CZ109" i="1" s="1"/>
  <c r="HA162" i="1"/>
  <c r="CZ162" i="1" s="1"/>
  <c r="HA113" i="1"/>
  <c r="CZ113" i="1" s="1"/>
  <c r="HA64" i="1"/>
  <c r="CZ64" i="1" s="1"/>
  <c r="HA58" i="1"/>
  <c r="CZ58" i="1" s="1"/>
  <c r="HB56" i="1"/>
  <c r="HA62" i="1"/>
  <c r="CZ62" i="1" s="1"/>
  <c r="DA56" i="1"/>
  <c r="DA35" i="1" l="1"/>
  <c r="CZ125" i="1"/>
  <c r="CZ147" i="1"/>
  <c r="HB184" i="1"/>
  <c r="DA184" i="1" s="1"/>
  <c r="HB183" i="1"/>
  <c r="DA183" i="1" s="1"/>
  <c r="HB182" i="1"/>
  <c r="DA182" i="1" s="1"/>
  <c r="HB181" i="1"/>
  <c r="DA181" i="1" s="1"/>
  <c r="HB180" i="1"/>
  <c r="DA180" i="1" s="1"/>
  <c r="HB179" i="1"/>
  <c r="DA179" i="1" s="1"/>
  <c r="HB163" i="1"/>
  <c r="DA163" i="1" s="1"/>
  <c r="HB176" i="1"/>
  <c r="DA176" i="1" s="1"/>
  <c r="HB177" i="1"/>
  <c r="DA177" i="1" s="1"/>
  <c r="HB174" i="1"/>
  <c r="DA174" i="1" s="1"/>
  <c r="HB175" i="1"/>
  <c r="DA175" i="1" s="1"/>
  <c r="HB161" i="1"/>
  <c r="DA161" i="1" s="1"/>
  <c r="HB170" i="1"/>
  <c r="DA170" i="1" s="1"/>
  <c r="HB171" i="1"/>
  <c r="DA171" i="1" s="1"/>
  <c r="HB169" i="1"/>
  <c r="DA169" i="1" s="1"/>
  <c r="HB168" i="1"/>
  <c r="DA168" i="1" s="1"/>
  <c r="HB167" i="1"/>
  <c r="DA167" i="1" s="1"/>
  <c r="HB165" i="1"/>
  <c r="DA165" i="1" s="1"/>
  <c r="HB166" i="1"/>
  <c r="DA166" i="1" s="1"/>
  <c r="HB164" i="1"/>
  <c r="DA164" i="1" s="1"/>
  <c r="HB137" i="1"/>
  <c r="DA137" i="1" s="1"/>
  <c r="HB136" i="1"/>
  <c r="DA136" i="1" s="1"/>
  <c r="HB146" i="1"/>
  <c r="DA146" i="1" s="1"/>
  <c r="HB145" i="1"/>
  <c r="DA145" i="1" s="1"/>
  <c r="HB141" i="1"/>
  <c r="DA141" i="1" s="1"/>
  <c r="HB140" i="1"/>
  <c r="DA140" i="1" s="1"/>
  <c r="HB142" i="1"/>
  <c r="DA142" i="1" s="1"/>
  <c r="HB139" i="1"/>
  <c r="DA139" i="1" s="1"/>
  <c r="HB143" i="1"/>
  <c r="DA143" i="1" s="1"/>
  <c r="HB144" i="1"/>
  <c r="DA144" i="1" s="1"/>
  <c r="HB131" i="1"/>
  <c r="DA131" i="1" s="1"/>
  <c r="HB132" i="1"/>
  <c r="DA132" i="1" s="1"/>
  <c r="HB133" i="1"/>
  <c r="DA133" i="1" s="1"/>
  <c r="HB135" i="1"/>
  <c r="DA135" i="1" s="1"/>
  <c r="HB138" i="1"/>
  <c r="DA138" i="1" s="1"/>
  <c r="HB134" i="1"/>
  <c r="DA134" i="1" s="1"/>
  <c r="HB123" i="1"/>
  <c r="DA123" i="1" s="1"/>
  <c r="HB124" i="1"/>
  <c r="DA124" i="1" s="1"/>
  <c r="HB115" i="1"/>
  <c r="DA115" i="1" s="1"/>
  <c r="HB122" i="1"/>
  <c r="DA122" i="1" s="1"/>
  <c r="HB121" i="1"/>
  <c r="DA121" i="1" s="1"/>
  <c r="HB119" i="1"/>
  <c r="DA119" i="1" s="1"/>
  <c r="HB117" i="1"/>
  <c r="DA117" i="1" s="1"/>
  <c r="HB118" i="1"/>
  <c r="DA118" i="1" s="1"/>
  <c r="HB114" i="1"/>
  <c r="DA114" i="1" s="1"/>
  <c r="HB116" i="1"/>
  <c r="DA116" i="1" s="1"/>
  <c r="HB112" i="1"/>
  <c r="DA112" i="1" s="1"/>
  <c r="HB94" i="1"/>
  <c r="DA94" i="1" s="1"/>
  <c r="HB89" i="1"/>
  <c r="DA89" i="1" s="1"/>
  <c r="HB88" i="1"/>
  <c r="DA88" i="1" s="1"/>
  <c r="HB87" i="1"/>
  <c r="DA87" i="1" s="1"/>
  <c r="HB86" i="1"/>
  <c r="DA86" i="1" s="1"/>
  <c r="HB81" i="1"/>
  <c r="DA81" i="1" s="1"/>
  <c r="HB84" i="1"/>
  <c r="DA84" i="1" s="1"/>
  <c r="HB85" i="1"/>
  <c r="DA85" i="1" s="1"/>
  <c r="HB83" i="1"/>
  <c r="DA83" i="1" s="1"/>
  <c r="HB82" i="1"/>
  <c r="DA82" i="1" s="1"/>
  <c r="HB66" i="1"/>
  <c r="DA66" i="1" s="1"/>
  <c r="HB73" i="1"/>
  <c r="DA73" i="1" s="1"/>
  <c r="HB72" i="1"/>
  <c r="DA72" i="1" s="1"/>
  <c r="HB68" i="1"/>
  <c r="DA68" i="1" s="1"/>
  <c r="HB71" i="1"/>
  <c r="DA71" i="1" s="1"/>
  <c r="HB70" i="1"/>
  <c r="DA70" i="1" s="1"/>
  <c r="HB69" i="1"/>
  <c r="DA69" i="1" s="1"/>
  <c r="HB65" i="1"/>
  <c r="DA65" i="1" s="1"/>
  <c r="HB63" i="1"/>
  <c r="DA63" i="1" s="1"/>
  <c r="HB44" i="1"/>
  <c r="HB32" i="1"/>
  <c r="DA32" i="1" s="1"/>
  <c r="HB31" i="1"/>
  <c r="DA31" i="1" s="1"/>
  <c r="HB232" i="1"/>
  <c r="HB233" i="1"/>
  <c r="DA232" i="1"/>
  <c r="DA233" i="1"/>
  <c r="HB93" i="1"/>
  <c r="DA93" i="1" s="1"/>
  <c r="DA236" i="1"/>
  <c r="DA235" i="1"/>
  <c r="DA229" i="1"/>
  <c r="HB235" i="1"/>
  <c r="HB229" i="1"/>
  <c r="HB60" i="1"/>
  <c r="DA60" i="1" s="1"/>
  <c r="HB59" i="1"/>
  <c r="DA59" i="1" s="1"/>
  <c r="HB159" i="1"/>
  <c r="DA159" i="1" s="1"/>
  <c r="HB160" i="1"/>
  <c r="DA160" i="1" s="1"/>
  <c r="HB111" i="1"/>
  <c r="DA111" i="1" s="1"/>
  <c r="HB236" i="1"/>
  <c r="HB110" i="1"/>
  <c r="DA110" i="1" s="1"/>
  <c r="DA231" i="1"/>
  <c r="DA230" i="1"/>
  <c r="DA234" i="1"/>
  <c r="HB218" i="1"/>
  <c r="DA218" i="1" s="1"/>
  <c r="HB231" i="1"/>
  <c r="HB234" i="1"/>
  <c r="HB230" i="1"/>
  <c r="HB45" i="1"/>
  <c r="HC30" i="1"/>
  <c r="HC35" i="1" s="1"/>
  <c r="HB43" i="1"/>
  <c r="HB40" i="1"/>
  <c r="HB38" i="1"/>
  <c r="HB42" i="1"/>
  <c r="HB39" i="1"/>
  <c r="HB46" i="1"/>
  <c r="HB41" i="1"/>
  <c r="DA43" i="1"/>
  <c r="DA45" i="1"/>
  <c r="DA42" i="1"/>
  <c r="DB30" i="1"/>
  <c r="DB44" i="1" s="1"/>
  <c r="DA41" i="1"/>
  <c r="HB197" i="1"/>
  <c r="DA197" i="1" s="1"/>
  <c r="HB224" i="1"/>
  <c r="HB223" i="1"/>
  <c r="HB222" i="1"/>
  <c r="HB221" i="1"/>
  <c r="HB214" i="1"/>
  <c r="DA214" i="1" s="1"/>
  <c r="HB215" i="1"/>
  <c r="DA215" i="1" s="1"/>
  <c r="HB213" i="1"/>
  <c r="DA213" i="1" s="1"/>
  <c r="HB212" i="1"/>
  <c r="DA212" i="1" s="1"/>
  <c r="DA223" i="1"/>
  <c r="DA224" i="1"/>
  <c r="DA222" i="1"/>
  <c r="DA221" i="1"/>
  <c r="DA207" i="1"/>
  <c r="DA206" i="1"/>
  <c r="DA205" i="1"/>
  <c r="HB207" i="1"/>
  <c r="HB206" i="1"/>
  <c r="HB205" i="1"/>
  <c r="HB204" i="1"/>
  <c r="HB201" i="1"/>
  <c r="DA201" i="1" s="1"/>
  <c r="HB195" i="1"/>
  <c r="DA195" i="1" s="1"/>
  <c r="HB196" i="1"/>
  <c r="DA196" i="1" s="1"/>
  <c r="HB198" i="1"/>
  <c r="DA198" i="1" s="1"/>
  <c r="HB130" i="1"/>
  <c r="DA130" i="1" s="1"/>
  <c r="HB127" i="1"/>
  <c r="DA127" i="1" s="1"/>
  <c r="HB128" i="1"/>
  <c r="DA128" i="1" s="1"/>
  <c r="HB129" i="1"/>
  <c r="DA129" i="1" s="1"/>
  <c r="HB79" i="1"/>
  <c r="DA79" i="1" s="1"/>
  <c r="HB78" i="1"/>
  <c r="DA78" i="1" s="1"/>
  <c r="HB61" i="1"/>
  <c r="DA61" i="1" s="1"/>
  <c r="HB77" i="1"/>
  <c r="DA77" i="1" s="1"/>
  <c r="HB76" i="1"/>
  <c r="DA76" i="1" s="1"/>
  <c r="HB91" i="1"/>
  <c r="DA91" i="1" s="1"/>
  <c r="HB92" i="1"/>
  <c r="DA92" i="1" s="1"/>
  <c r="HB90" i="1"/>
  <c r="DA90" i="1" s="1"/>
  <c r="DA189" i="1"/>
  <c r="DA190" i="1"/>
  <c r="DA188" i="1"/>
  <c r="DA151" i="1"/>
  <c r="DA152" i="1"/>
  <c r="DA187" i="1"/>
  <c r="DA150" i="1"/>
  <c r="DA153" i="1"/>
  <c r="HB190" i="1"/>
  <c r="HB189" i="1"/>
  <c r="HB187" i="1"/>
  <c r="HB188" i="1"/>
  <c r="HB178" i="1"/>
  <c r="DA178" i="1" s="1"/>
  <c r="HB151" i="1"/>
  <c r="HB153" i="1"/>
  <c r="HB152" i="1"/>
  <c r="HB149" i="1"/>
  <c r="HB100" i="1"/>
  <c r="HB103" i="1"/>
  <c r="HB99" i="1"/>
  <c r="HB150" i="1"/>
  <c r="HB98" i="1"/>
  <c r="HB101" i="1"/>
  <c r="HB104" i="1"/>
  <c r="HB102" i="1"/>
  <c r="HB97" i="1"/>
  <c r="DA100" i="1"/>
  <c r="DA99" i="1"/>
  <c r="DA98" i="1"/>
  <c r="DA104" i="1"/>
  <c r="DA102" i="1"/>
  <c r="DA97" i="1"/>
  <c r="DA101" i="1"/>
  <c r="DA103" i="1"/>
  <c r="HB80" i="1"/>
  <c r="DA80" i="1" s="1"/>
  <c r="HB158" i="1"/>
  <c r="DA158" i="1" s="1"/>
  <c r="HB120" i="1"/>
  <c r="DA120" i="1" s="1"/>
  <c r="HB67" i="1"/>
  <c r="DA67" i="1" s="1"/>
  <c r="HB109" i="1"/>
  <c r="DA109" i="1" s="1"/>
  <c r="HB162" i="1"/>
  <c r="DA162" i="1" s="1"/>
  <c r="HB113" i="1"/>
  <c r="DA113" i="1" s="1"/>
  <c r="HC56" i="1"/>
  <c r="HB62" i="1"/>
  <c r="DA62" i="1" s="1"/>
  <c r="HB64" i="1"/>
  <c r="DA64" i="1" s="1"/>
  <c r="HB58" i="1"/>
  <c r="DA58" i="1" s="1"/>
  <c r="DB56" i="1"/>
  <c r="DB35" i="1" l="1"/>
  <c r="DA125" i="1"/>
  <c r="DA147" i="1"/>
  <c r="HC184" i="1"/>
  <c r="DB184" i="1" s="1"/>
  <c r="HC183" i="1"/>
  <c r="DB183" i="1" s="1"/>
  <c r="HC180" i="1"/>
  <c r="DB180" i="1" s="1"/>
  <c r="HC182" i="1"/>
  <c r="DB182" i="1" s="1"/>
  <c r="HC179" i="1"/>
  <c r="DB179" i="1" s="1"/>
  <c r="HC181" i="1"/>
  <c r="DB181" i="1" s="1"/>
  <c r="HC163" i="1"/>
  <c r="DB163" i="1" s="1"/>
  <c r="HC177" i="1"/>
  <c r="DB177" i="1" s="1"/>
  <c r="HC174" i="1"/>
  <c r="DB174" i="1" s="1"/>
  <c r="HC175" i="1"/>
  <c r="DB175" i="1" s="1"/>
  <c r="HC176" i="1"/>
  <c r="DB176" i="1" s="1"/>
  <c r="HC161" i="1"/>
  <c r="DB161" i="1" s="1"/>
  <c r="HC171" i="1"/>
  <c r="DB171" i="1" s="1"/>
  <c r="HC170" i="1"/>
  <c r="DB170" i="1" s="1"/>
  <c r="HC169" i="1"/>
  <c r="DB169" i="1" s="1"/>
  <c r="HC168" i="1"/>
  <c r="DB168" i="1" s="1"/>
  <c r="HC167" i="1"/>
  <c r="DB167" i="1" s="1"/>
  <c r="HC165" i="1"/>
  <c r="DB165" i="1" s="1"/>
  <c r="HC164" i="1"/>
  <c r="DB164" i="1" s="1"/>
  <c r="HC166" i="1"/>
  <c r="DB166" i="1" s="1"/>
  <c r="HC137" i="1"/>
  <c r="DB137" i="1" s="1"/>
  <c r="HC136" i="1"/>
  <c r="DB136" i="1" s="1"/>
  <c r="HC146" i="1"/>
  <c r="DB146" i="1" s="1"/>
  <c r="HC145" i="1"/>
  <c r="DB145" i="1" s="1"/>
  <c r="HC144" i="1"/>
  <c r="DB144" i="1" s="1"/>
  <c r="HC143" i="1"/>
  <c r="DB143" i="1" s="1"/>
  <c r="HC141" i="1"/>
  <c r="DB141" i="1" s="1"/>
  <c r="HC140" i="1"/>
  <c r="DB140" i="1" s="1"/>
  <c r="HC142" i="1"/>
  <c r="DB142" i="1" s="1"/>
  <c r="HC139" i="1"/>
  <c r="DB139" i="1" s="1"/>
  <c r="HC131" i="1"/>
  <c r="DB131" i="1" s="1"/>
  <c r="HC132" i="1"/>
  <c r="DB132" i="1" s="1"/>
  <c r="HC133" i="1"/>
  <c r="DB133" i="1" s="1"/>
  <c r="HC138" i="1"/>
  <c r="DB138" i="1" s="1"/>
  <c r="HC134" i="1"/>
  <c r="DB134" i="1" s="1"/>
  <c r="HC135" i="1"/>
  <c r="DB135" i="1" s="1"/>
  <c r="HC124" i="1"/>
  <c r="DB124" i="1" s="1"/>
  <c r="HC123" i="1"/>
  <c r="DB123" i="1" s="1"/>
  <c r="HC115" i="1"/>
  <c r="DB115" i="1" s="1"/>
  <c r="HC122" i="1"/>
  <c r="DB122" i="1" s="1"/>
  <c r="HC121" i="1"/>
  <c r="DB121" i="1" s="1"/>
  <c r="HC119" i="1"/>
  <c r="DB119" i="1" s="1"/>
  <c r="HC118" i="1"/>
  <c r="DB118" i="1" s="1"/>
  <c r="HC116" i="1"/>
  <c r="DB116" i="1" s="1"/>
  <c r="HC117" i="1"/>
  <c r="DB117" i="1" s="1"/>
  <c r="HC114" i="1"/>
  <c r="DB114" i="1" s="1"/>
  <c r="HC112" i="1"/>
  <c r="DB112" i="1" s="1"/>
  <c r="HC94" i="1"/>
  <c r="DB94" i="1" s="1"/>
  <c r="HC89" i="1"/>
  <c r="DB89" i="1" s="1"/>
  <c r="HC88" i="1"/>
  <c r="DB88" i="1" s="1"/>
  <c r="HC86" i="1"/>
  <c r="DB86" i="1" s="1"/>
  <c r="HC87" i="1"/>
  <c r="DB87" i="1" s="1"/>
  <c r="HC81" i="1"/>
  <c r="DB81" i="1" s="1"/>
  <c r="HC85" i="1"/>
  <c r="DB85" i="1" s="1"/>
  <c r="HC83" i="1"/>
  <c r="DB83" i="1" s="1"/>
  <c r="HC84" i="1"/>
  <c r="DB84" i="1" s="1"/>
  <c r="HC82" i="1"/>
  <c r="DB82" i="1" s="1"/>
  <c r="HC66" i="1"/>
  <c r="DB66" i="1" s="1"/>
  <c r="HC72" i="1"/>
  <c r="DB72" i="1" s="1"/>
  <c r="HC73" i="1"/>
  <c r="DB73" i="1" s="1"/>
  <c r="HC71" i="1"/>
  <c r="DB71" i="1" s="1"/>
  <c r="HC70" i="1"/>
  <c r="DB70" i="1" s="1"/>
  <c r="HC69" i="1"/>
  <c r="DB69" i="1" s="1"/>
  <c r="HC68" i="1"/>
  <c r="DB68" i="1" s="1"/>
  <c r="HC65" i="1"/>
  <c r="DB65" i="1" s="1"/>
  <c r="HC63" i="1"/>
  <c r="DB63" i="1" s="1"/>
  <c r="HC44" i="1"/>
  <c r="HC32" i="1"/>
  <c r="DB32" i="1" s="1"/>
  <c r="HC31" i="1"/>
  <c r="DB31" i="1" s="1"/>
  <c r="DB233" i="1"/>
  <c r="DB232" i="1"/>
  <c r="HC233" i="1"/>
  <c r="HC232" i="1"/>
  <c r="HC93" i="1"/>
  <c r="DB93" i="1" s="1"/>
  <c r="HC229" i="1"/>
  <c r="HC235" i="1"/>
  <c r="HC160" i="1"/>
  <c r="DB160" i="1" s="1"/>
  <c r="HC59" i="1"/>
  <c r="DB59" i="1" s="1"/>
  <c r="HC60" i="1"/>
  <c r="DB60" i="1" s="1"/>
  <c r="HC159" i="1"/>
  <c r="DB159" i="1" s="1"/>
  <c r="DB236" i="1"/>
  <c r="DB229" i="1"/>
  <c r="DB235" i="1"/>
  <c r="HC110" i="1"/>
  <c r="DB110" i="1" s="1"/>
  <c r="HC236" i="1"/>
  <c r="HC111" i="1"/>
  <c r="DB111" i="1" s="1"/>
  <c r="DB231" i="1"/>
  <c r="DB234" i="1"/>
  <c r="DB230" i="1"/>
  <c r="HC218" i="1"/>
  <c r="DB218" i="1" s="1"/>
  <c r="HC234" i="1"/>
  <c r="HC231" i="1"/>
  <c r="HC230" i="1"/>
  <c r="HC39" i="1"/>
  <c r="HC46" i="1"/>
  <c r="HC45" i="1"/>
  <c r="HC42" i="1"/>
  <c r="HD30" i="1"/>
  <c r="HD35" i="1" s="1"/>
  <c r="HC38" i="1"/>
  <c r="HC43" i="1"/>
  <c r="HC41" i="1"/>
  <c r="HC40" i="1"/>
  <c r="DC30" i="1"/>
  <c r="DC44" i="1" s="1"/>
  <c r="DB43" i="1"/>
  <c r="DB45" i="1"/>
  <c r="DB42" i="1"/>
  <c r="DB41" i="1"/>
  <c r="DB224" i="1"/>
  <c r="DB223" i="1"/>
  <c r="DB222" i="1"/>
  <c r="DB221" i="1"/>
  <c r="HC197" i="1"/>
  <c r="DB197" i="1" s="1"/>
  <c r="HC223" i="1"/>
  <c r="HC224" i="1"/>
  <c r="HC221" i="1"/>
  <c r="HC222" i="1"/>
  <c r="HC214" i="1"/>
  <c r="DB214" i="1" s="1"/>
  <c r="HC215" i="1"/>
  <c r="DB215" i="1" s="1"/>
  <c r="HC213" i="1"/>
  <c r="DB213" i="1" s="1"/>
  <c r="HC212" i="1"/>
  <c r="DB212" i="1" s="1"/>
  <c r="HC207" i="1"/>
  <c r="HC206" i="1"/>
  <c r="HC205" i="1"/>
  <c r="HC204" i="1"/>
  <c r="HC196" i="1"/>
  <c r="DB196" i="1" s="1"/>
  <c r="HC201" i="1"/>
  <c r="DB201" i="1" s="1"/>
  <c r="HC198" i="1"/>
  <c r="DB198" i="1" s="1"/>
  <c r="HC195" i="1"/>
  <c r="DB195" i="1" s="1"/>
  <c r="HC129" i="1"/>
  <c r="DB129" i="1" s="1"/>
  <c r="HC130" i="1"/>
  <c r="DB130" i="1" s="1"/>
  <c r="HC128" i="1"/>
  <c r="DB128" i="1" s="1"/>
  <c r="HC127" i="1"/>
  <c r="DB127" i="1" s="1"/>
  <c r="DB205" i="1"/>
  <c r="DB207" i="1"/>
  <c r="DB206" i="1"/>
  <c r="HC79" i="1"/>
  <c r="DB79" i="1" s="1"/>
  <c r="HC78" i="1"/>
  <c r="DB78" i="1" s="1"/>
  <c r="HC77" i="1"/>
  <c r="DB77" i="1" s="1"/>
  <c r="HC76" i="1"/>
  <c r="DB76" i="1" s="1"/>
  <c r="HC61" i="1"/>
  <c r="DB61" i="1" s="1"/>
  <c r="HC92" i="1"/>
  <c r="DB92" i="1" s="1"/>
  <c r="HC91" i="1"/>
  <c r="DB91" i="1" s="1"/>
  <c r="HC90" i="1"/>
  <c r="DB90" i="1" s="1"/>
  <c r="HC188" i="1"/>
  <c r="HC187" i="1"/>
  <c r="HC178" i="1"/>
  <c r="DB178" i="1" s="1"/>
  <c r="HC189" i="1"/>
  <c r="HC190" i="1"/>
  <c r="DB190" i="1"/>
  <c r="DB187" i="1"/>
  <c r="DB189" i="1"/>
  <c r="DB153" i="1"/>
  <c r="DB188" i="1"/>
  <c r="DB150" i="1"/>
  <c r="DB151" i="1"/>
  <c r="DB152" i="1"/>
  <c r="HC152" i="1"/>
  <c r="HC153" i="1"/>
  <c r="HC151" i="1"/>
  <c r="HC149" i="1"/>
  <c r="HC150" i="1"/>
  <c r="HC99" i="1"/>
  <c r="HC103" i="1"/>
  <c r="HC97" i="1"/>
  <c r="HC100" i="1"/>
  <c r="HC102" i="1"/>
  <c r="HC98" i="1"/>
  <c r="HC101" i="1"/>
  <c r="HC104" i="1"/>
  <c r="DB97" i="1"/>
  <c r="DB101" i="1"/>
  <c r="DB100" i="1"/>
  <c r="DB99" i="1"/>
  <c r="DB103" i="1"/>
  <c r="DB102" i="1"/>
  <c r="DB98" i="1"/>
  <c r="DB104" i="1"/>
  <c r="HC80" i="1"/>
  <c r="DB80" i="1" s="1"/>
  <c r="HC158" i="1"/>
  <c r="DB158" i="1" s="1"/>
  <c r="HC120" i="1"/>
  <c r="DB120" i="1" s="1"/>
  <c r="HC67" i="1"/>
  <c r="DB67" i="1" s="1"/>
  <c r="HC109" i="1"/>
  <c r="DB109" i="1" s="1"/>
  <c r="HC162" i="1"/>
  <c r="DB162" i="1" s="1"/>
  <c r="HC113" i="1"/>
  <c r="DB113" i="1" s="1"/>
  <c r="HD56" i="1"/>
  <c r="HC64" i="1"/>
  <c r="DB64" i="1" s="1"/>
  <c r="HC62" i="1"/>
  <c r="DB62" i="1" s="1"/>
  <c r="HC58" i="1"/>
  <c r="DB58" i="1" s="1"/>
  <c r="DC56" i="1"/>
  <c r="DC35" i="1" l="1"/>
  <c r="DB125" i="1"/>
  <c r="DB147" i="1"/>
  <c r="HD184" i="1"/>
  <c r="DC184" i="1" s="1"/>
  <c r="HD183" i="1"/>
  <c r="DC183" i="1" s="1"/>
  <c r="HD181" i="1"/>
  <c r="DC181" i="1" s="1"/>
  <c r="HD179" i="1"/>
  <c r="DC179" i="1" s="1"/>
  <c r="HD180" i="1"/>
  <c r="DC180" i="1" s="1"/>
  <c r="HD182" i="1"/>
  <c r="DC182" i="1" s="1"/>
  <c r="HD163" i="1"/>
  <c r="DC163" i="1" s="1"/>
  <c r="HD177" i="1"/>
  <c r="DC177" i="1" s="1"/>
  <c r="HD176" i="1"/>
  <c r="DC176" i="1" s="1"/>
  <c r="HD175" i="1"/>
  <c r="DC175" i="1" s="1"/>
  <c r="HD174" i="1"/>
  <c r="DC174" i="1" s="1"/>
  <c r="HD161" i="1"/>
  <c r="DC161" i="1" s="1"/>
  <c r="HD171" i="1"/>
  <c r="DC171" i="1" s="1"/>
  <c r="HD170" i="1"/>
  <c r="DC170" i="1" s="1"/>
  <c r="HD168" i="1"/>
  <c r="DC168" i="1" s="1"/>
  <c r="HD169" i="1"/>
  <c r="DC169" i="1" s="1"/>
  <c r="HD166" i="1"/>
  <c r="DC166" i="1" s="1"/>
  <c r="HD164" i="1"/>
  <c r="DC164" i="1" s="1"/>
  <c r="HD167" i="1"/>
  <c r="DC167" i="1" s="1"/>
  <c r="HD165" i="1"/>
  <c r="DC165" i="1" s="1"/>
  <c r="HD137" i="1"/>
  <c r="DC137" i="1" s="1"/>
  <c r="HD136" i="1"/>
  <c r="DC136" i="1" s="1"/>
  <c r="HD146" i="1"/>
  <c r="DC146" i="1" s="1"/>
  <c r="HD145" i="1"/>
  <c r="DC145" i="1" s="1"/>
  <c r="HD144" i="1"/>
  <c r="DC144" i="1" s="1"/>
  <c r="HD143" i="1"/>
  <c r="DC143" i="1" s="1"/>
  <c r="HD142" i="1"/>
  <c r="DC142" i="1" s="1"/>
  <c r="HD141" i="1"/>
  <c r="DC141" i="1" s="1"/>
  <c r="HD139" i="1"/>
  <c r="DC139" i="1" s="1"/>
  <c r="HD140" i="1"/>
  <c r="DC140" i="1" s="1"/>
  <c r="HD131" i="1"/>
  <c r="DC131" i="1" s="1"/>
  <c r="HD133" i="1"/>
  <c r="DC133" i="1" s="1"/>
  <c r="HD132" i="1"/>
  <c r="DC132" i="1" s="1"/>
  <c r="HD138" i="1"/>
  <c r="DC138" i="1" s="1"/>
  <c r="HD135" i="1"/>
  <c r="DC135" i="1" s="1"/>
  <c r="HD134" i="1"/>
  <c r="DC134" i="1" s="1"/>
  <c r="HD124" i="1"/>
  <c r="DC124" i="1" s="1"/>
  <c r="HD123" i="1"/>
  <c r="DC123" i="1" s="1"/>
  <c r="HD115" i="1"/>
  <c r="DC115" i="1" s="1"/>
  <c r="HD121" i="1"/>
  <c r="DC121" i="1" s="1"/>
  <c r="HD122" i="1"/>
  <c r="DC122" i="1" s="1"/>
  <c r="HD118" i="1"/>
  <c r="DC118" i="1" s="1"/>
  <c r="HD119" i="1"/>
  <c r="DC119" i="1" s="1"/>
  <c r="HD116" i="1"/>
  <c r="DC116" i="1" s="1"/>
  <c r="HD114" i="1"/>
  <c r="DC114" i="1" s="1"/>
  <c r="HD117" i="1"/>
  <c r="DC117" i="1" s="1"/>
  <c r="HD112" i="1"/>
  <c r="DC112" i="1" s="1"/>
  <c r="HD94" i="1"/>
  <c r="DC94" i="1" s="1"/>
  <c r="HD89" i="1"/>
  <c r="DC89" i="1" s="1"/>
  <c r="HD88" i="1"/>
  <c r="DC88" i="1" s="1"/>
  <c r="HD87" i="1"/>
  <c r="DC87" i="1" s="1"/>
  <c r="HD86" i="1"/>
  <c r="DC86" i="1" s="1"/>
  <c r="HD81" i="1"/>
  <c r="DC81" i="1" s="1"/>
  <c r="HD85" i="1"/>
  <c r="DC85" i="1" s="1"/>
  <c r="HD84" i="1"/>
  <c r="DC84" i="1" s="1"/>
  <c r="HD82" i="1"/>
  <c r="DC82" i="1" s="1"/>
  <c r="HD83" i="1"/>
  <c r="DC83" i="1" s="1"/>
  <c r="HD66" i="1"/>
  <c r="DC66" i="1" s="1"/>
  <c r="HD72" i="1"/>
  <c r="DC72" i="1" s="1"/>
  <c r="HD73" i="1"/>
  <c r="DC73" i="1" s="1"/>
  <c r="HD71" i="1"/>
  <c r="DC71" i="1" s="1"/>
  <c r="HD70" i="1"/>
  <c r="DC70" i="1" s="1"/>
  <c r="HD69" i="1"/>
  <c r="DC69" i="1" s="1"/>
  <c r="HD68" i="1"/>
  <c r="DC68" i="1" s="1"/>
  <c r="HD65" i="1"/>
  <c r="DC65" i="1" s="1"/>
  <c r="HD63" i="1"/>
  <c r="DC63" i="1" s="1"/>
  <c r="HD44" i="1"/>
  <c r="HD32" i="1"/>
  <c r="DC32" i="1" s="1"/>
  <c r="HD31" i="1"/>
  <c r="DC31" i="1" s="1"/>
  <c r="DC232" i="1"/>
  <c r="DC233" i="1"/>
  <c r="HD232" i="1"/>
  <c r="HD233" i="1"/>
  <c r="HD93" i="1"/>
  <c r="DC93" i="1" s="1"/>
  <c r="DC236" i="1"/>
  <c r="DC229" i="1"/>
  <c r="DC235" i="1"/>
  <c r="HD229" i="1"/>
  <c r="HD235" i="1"/>
  <c r="HD159" i="1"/>
  <c r="DC159" i="1" s="1"/>
  <c r="HD60" i="1"/>
  <c r="DC60" i="1" s="1"/>
  <c r="HD160" i="1"/>
  <c r="DC160" i="1" s="1"/>
  <c r="HD59" i="1"/>
  <c r="DC59" i="1" s="1"/>
  <c r="HD111" i="1"/>
  <c r="DC111" i="1" s="1"/>
  <c r="HD110" i="1"/>
  <c r="DC110" i="1" s="1"/>
  <c r="HD236" i="1"/>
  <c r="DC234" i="1"/>
  <c r="DC230" i="1"/>
  <c r="DC231" i="1"/>
  <c r="HD218" i="1"/>
  <c r="DC218" i="1" s="1"/>
  <c r="HD234" i="1"/>
  <c r="HD231" i="1"/>
  <c r="HD230" i="1"/>
  <c r="HD41" i="1"/>
  <c r="HD40" i="1"/>
  <c r="HD46" i="1"/>
  <c r="HD39" i="1"/>
  <c r="HE30" i="1"/>
  <c r="HE35" i="1" s="1"/>
  <c r="HD42" i="1"/>
  <c r="HD45" i="1"/>
  <c r="HD38" i="1"/>
  <c r="HD43" i="1"/>
  <c r="DC42" i="1"/>
  <c r="DC43" i="1"/>
  <c r="DC45" i="1"/>
  <c r="DD30" i="1"/>
  <c r="DD44" i="1" s="1"/>
  <c r="DC41" i="1"/>
  <c r="HD197" i="1"/>
  <c r="DC197" i="1" s="1"/>
  <c r="HD224" i="1"/>
  <c r="HD222" i="1"/>
  <c r="HD221" i="1"/>
  <c r="HD213" i="1"/>
  <c r="DC213" i="1" s="1"/>
  <c r="HD212" i="1"/>
  <c r="DC212" i="1" s="1"/>
  <c r="HD223" i="1"/>
  <c r="HD215" i="1"/>
  <c r="DC215" i="1" s="1"/>
  <c r="HD214" i="1"/>
  <c r="DC214" i="1" s="1"/>
  <c r="DC224" i="1"/>
  <c r="DC222" i="1"/>
  <c r="DC223" i="1"/>
  <c r="DC221" i="1"/>
  <c r="HD207" i="1"/>
  <c r="HD206" i="1"/>
  <c r="HD205" i="1"/>
  <c r="HD204" i="1"/>
  <c r="HD201" i="1"/>
  <c r="DC201" i="1" s="1"/>
  <c r="HD198" i="1"/>
  <c r="DC198" i="1" s="1"/>
  <c r="HD195" i="1"/>
  <c r="DC195" i="1" s="1"/>
  <c r="HD196" i="1"/>
  <c r="DC196" i="1" s="1"/>
  <c r="HD129" i="1"/>
  <c r="DC129" i="1" s="1"/>
  <c r="HD130" i="1"/>
  <c r="DC130" i="1" s="1"/>
  <c r="HD128" i="1"/>
  <c r="DC128" i="1" s="1"/>
  <c r="HD127" i="1"/>
  <c r="DC127" i="1" s="1"/>
  <c r="DC206" i="1"/>
  <c r="DC207" i="1"/>
  <c r="DC205" i="1"/>
  <c r="HD79" i="1"/>
  <c r="DC79" i="1" s="1"/>
  <c r="HD78" i="1"/>
  <c r="DC78" i="1" s="1"/>
  <c r="HD77" i="1"/>
  <c r="DC77" i="1" s="1"/>
  <c r="HD76" i="1"/>
  <c r="DC76" i="1" s="1"/>
  <c r="HD92" i="1"/>
  <c r="DC92" i="1" s="1"/>
  <c r="HD91" i="1"/>
  <c r="DC91" i="1" s="1"/>
  <c r="HD90" i="1"/>
  <c r="DC90" i="1" s="1"/>
  <c r="HD61" i="1"/>
  <c r="DC61" i="1" s="1"/>
  <c r="DC189" i="1"/>
  <c r="DC190" i="1"/>
  <c r="DC188" i="1"/>
  <c r="DC187" i="1"/>
  <c r="DC150" i="1"/>
  <c r="DC151" i="1"/>
  <c r="DC153" i="1"/>
  <c r="DC152" i="1"/>
  <c r="HD189" i="1"/>
  <c r="HD190" i="1"/>
  <c r="HD188" i="1"/>
  <c r="HD187" i="1"/>
  <c r="HD178" i="1"/>
  <c r="DC178" i="1" s="1"/>
  <c r="HD150" i="1"/>
  <c r="HD153" i="1"/>
  <c r="HD152" i="1"/>
  <c r="HD151" i="1"/>
  <c r="HD149" i="1"/>
  <c r="HD98" i="1"/>
  <c r="HD102" i="1"/>
  <c r="HD101" i="1"/>
  <c r="HD97" i="1"/>
  <c r="HD100" i="1"/>
  <c r="HD99" i="1"/>
  <c r="HD104" i="1"/>
  <c r="HD103" i="1"/>
  <c r="DC98" i="1"/>
  <c r="DC97" i="1"/>
  <c r="DC102" i="1"/>
  <c r="DC99" i="1"/>
  <c r="DC103" i="1"/>
  <c r="DC104" i="1"/>
  <c r="DC101" i="1"/>
  <c r="DC100" i="1"/>
  <c r="HD80" i="1"/>
  <c r="DC80" i="1" s="1"/>
  <c r="HD158" i="1"/>
  <c r="DC158" i="1" s="1"/>
  <c r="HD120" i="1"/>
  <c r="DC120" i="1" s="1"/>
  <c r="HD67" i="1"/>
  <c r="DC67" i="1" s="1"/>
  <c r="HD109" i="1"/>
  <c r="DC109" i="1" s="1"/>
  <c r="HD162" i="1"/>
  <c r="DC162" i="1" s="1"/>
  <c r="HD113" i="1"/>
  <c r="DC113" i="1" s="1"/>
  <c r="HD64" i="1"/>
  <c r="DC64" i="1" s="1"/>
  <c r="HE56" i="1"/>
  <c r="HD62" i="1"/>
  <c r="DC62" i="1" s="1"/>
  <c r="HD58" i="1"/>
  <c r="DC58" i="1" s="1"/>
  <c r="DD56" i="1"/>
  <c r="DD35" i="1" l="1"/>
  <c r="DC125" i="1"/>
  <c r="DC147" i="1"/>
  <c r="HE184" i="1"/>
  <c r="DD184" i="1" s="1"/>
  <c r="HE179" i="1"/>
  <c r="DD179" i="1" s="1"/>
  <c r="HE180" i="1"/>
  <c r="DD180" i="1" s="1"/>
  <c r="HE181" i="1"/>
  <c r="DD181" i="1" s="1"/>
  <c r="HE182" i="1"/>
  <c r="DD182" i="1" s="1"/>
  <c r="HE183" i="1"/>
  <c r="DD183" i="1" s="1"/>
  <c r="HE163" i="1"/>
  <c r="DD163" i="1" s="1"/>
  <c r="HE176" i="1"/>
  <c r="DD176" i="1" s="1"/>
  <c r="HE177" i="1"/>
  <c r="DD177" i="1" s="1"/>
  <c r="HE175" i="1"/>
  <c r="DD175" i="1" s="1"/>
  <c r="HE174" i="1"/>
  <c r="DD174" i="1" s="1"/>
  <c r="HE161" i="1"/>
  <c r="DD161" i="1" s="1"/>
  <c r="HE171" i="1"/>
  <c r="DD171" i="1" s="1"/>
  <c r="HE168" i="1"/>
  <c r="DD168" i="1" s="1"/>
  <c r="HE166" i="1"/>
  <c r="DD166" i="1" s="1"/>
  <c r="HE167" i="1"/>
  <c r="DD167" i="1" s="1"/>
  <c r="HE170" i="1"/>
  <c r="DD170" i="1" s="1"/>
  <c r="HE165" i="1"/>
  <c r="DD165" i="1" s="1"/>
  <c r="HE169" i="1"/>
  <c r="DD169" i="1" s="1"/>
  <c r="HE164" i="1"/>
  <c r="DD164" i="1" s="1"/>
  <c r="HE137" i="1"/>
  <c r="DD137" i="1" s="1"/>
  <c r="HE136" i="1"/>
  <c r="DD136" i="1" s="1"/>
  <c r="HE145" i="1"/>
  <c r="DD145" i="1" s="1"/>
  <c r="HE144" i="1"/>
  <c r="DD144" i="1" s="1"/>
  <c r="HE146" i="1"/>
  <c r="DD146" i="1" s="1"/>
  <c r="HE142" i="1"/>
  <c r="DD142" i="1" s="1"/>
  <c r="HE143" i="1"/>
  <c r="DD143" i="1" s="1"/>
  <c r="HE139" i="1"/>
  <c r="DD139" i="1" s="1"/>
  <c r="HE140" i="1"/>
  <c r="DD140" i="1" s="1"/>
  <c r="HE141" i="1"/>
  <c r="DD141" i="1" s="1"/>
  <c r="HE131" i="1"/>
  <c r="DD131" i="1" s="1"/>
  <c r="HE133" i="1"/>
  <c r="DD133" i="1" s="1"/>
  <c r="HE132" i="1"/>
  <c r="DD132" i="1" s="1"/>
  <c r="HE135" i="1"/>
  <c r="DD135" i="1" s="1"/>
  <c r="HE138" i="1"/>
  <c r="DD138" i="1" s="1"/>
  <c r="HE134" i="1"/>
  <c r="DD134" i="1" s="1"/>
  <c r="HE123" i="1"/>
  <c r="DD123" i="1" s="1"/>
  <c r="HE124" i="1"/>
  <c r="DD124" i="1" s="1"/>
  <c r="HE115" i="1"/>
  <c r="DD115" i="1" s="1"/>
  <c r="HE121" i="1"/>
  <c r="DD121" i="1" s="1"/>
  <c r="HE122" i="1"/>
  <c r="DD122" i="1" s="1"/>
  <c r="HE118" i="1"/>
  <c r="DD118" i="1" s="1"/>
  <c r="HE119" i="1"/>
  <c r="DD119" i="1" s="1"/>
  <c r="HE117" i="1"/>
  <c r="DD117" i="1" s="1"/>
  <c r="HE116" i="1"/>
  <c r="DD116" i="1" s="1"/>
  <c r="HE114" i="1"/>
  <c r="DD114" i="1" s="1"/>
  <c r="HE112" i="1"/>
  <c r="DD112" i="1" s="1"/>
  <c r="HE94" i="1"/>
  <c r="DD94" i="1" s="1"/>
  <c r="HE88" i="1"/>
  <c r="DD88" i="1" s="1"/>
  <c r="HE87" i="1"/>
  <c r="DD87" i="1" s="1"/>
  <c r="HE89" i="1"/>
  <c r="DD89" i="1" s="1"/>
  <c r="HE86" i="1"/>
  <c r="DD86" i="1" s="1"/>
  <c r="HE81" i="1"/>
  <c r="DD81" i="1" s="1"/>
  <c r="HE84" i="1"/>
  <c r="DD84" i="1" s="1"/>
  <c r="HE85" i="1"/>
  <c r="DD85" i="1" s="1"/>
  <c r="HE83" i="1"/>
  <c r="DD83" i="1" s="1"/>
  <c r="HE82" i="1"/>
  <c r="DD82" i="1" s="1"/>
  <c r="HE66" i="1"/>
  <c r="DD66" i="1" s="1"/>
  <c r="HE73" i="1"/>
  <c r="DD73" i="1" s="1"/>
  <c r="HE69" i="1"/>
  <c r="DD69" i="1" s="1"/>
  <c r="HE68" i="1"/>
  <c r="DD68" i="1" s="1"/>
  <c r="HE71" i="1"/>
  <c r="DD71" i="1" s="1"/>
  <c r="HE72" i="1"/>
  <c r="DD72" i="1" s="1"/>
  <c r="HE70" i="1"/>
  <c r="DD70" i="1" s="1"/>
  <c r="HE65" i="1"/>
  <c r="DD65" i="1" s="1"/>
  <c r="HE63" i="1"/>
  <c r="DD63" i="1" s="1"/>
  <c r="HE44" i="1"/>
  <c r="HE31" i="1"/>
  <c r="DD31" i="1" s="1"/>
  <c r="HE32" i="1"/>
  <c r="DD32" i="1" s="1"/>
  <c r="DD233" i="1"/>
  <c r="DD232" i="1"/>
  <c r="HE232" i="1"/>
  <c r="HE233" i="1"/>
  <c r="HE93" i="1"/>
  <c r="DD93" i="1" s="1"/>
  <c r="DD236" i="1"/>
  <c r="DD235" i="1"/>
  <c r="DD229" i="1"/>
  <c r="HE235" i="1"/>
  <c r="HE229" i="1"/>
  <c r="HE160" i="1"/>
  <c r="DD160" i="1" s="1"/>
  <c r="HE59" i="1"/>
  <c r="DD59" i="1" s="1"/>
  <c r="HE60" i="1"/>
  <c r="DD60" i="1" s="1"/>
  <c r="HE159" i="1"/>
  <c r="DD159" i="1" s="1"/>
  <c r="HE110" i="1"/>
  <c r="DD110" i="1" s="1"/>
  <c r="HE236" i="1"/>
  <c r="HE111" i="1"/>
  <c r="DD111" i="1" s="1"/>
  <c r="HE218" i="1"/>
  <c r="DD218" i="1" s="1"/>
  <c r="HE231" i="1"/>
  <c r="HE230" i="1"/>
  <c r="HE234" i="1"/>
  <c r="DD234" i="1"/>
  <c r="DD231" i="1"/>
  <c r="DD230" i="1"/>
  <c r="HE43" i="1"/>
  <c r="HE46" i="1"/>
  <c r="HE39" i="1"/>
  <c r="HF30" i="1"/>
  <c r="HF35" i="1" s="1"/>
  <c r="HE42" i="1"/>
  <c r="HE45" i="1"/>
  <c r="HE41" i="1"/>
  <c r="HE40" i="1"/>
  <c r="HE38" i="1"/>
  <c r="DD42" i="1"/>
  <c r="DE30" i="1"/>
  <c r="DE44" i="1" s="1"/>
  <c r="DD41" i="1"/>
  <c r="DD43" i="1"/>
  <c r="DD45" i="1"/>
  <c r="DD223" i="1"/>
  <c r="DD222" i="1"/>
  <c r="DD221" i="1"/>
  <c r="DD224" i="1"/>
  <c r="HE197" i="1"/>
  <c r="DD197" i="1" s="1"/>
  <c r="HE223" i="1"/>
  <c r="HE222" i="1"/>
  <c r="HE224" i="1"/>
  <c r="HE215" i="1"/>
  <c r="DD215" i="1" s="1"/>
  <c r="HE214" i="1"/>
  <c r="DD214" i="1" s="1"/>
  <c r="HE213" i="1"/>
  <c r="DD213" i="1" s="1"/>
  <c r="HE212" i="1"/>
  <c r="DD212" i="1" s="1"/>
  <c r="HE221" i="1"/>
  <c r="DD207" i="1"/>
  <c r="DD206" i="1"/>
  <c r="DD205" i="1"/>
  <c r="HE205" i="1"/>
  <c r="HE207" i="1"/>
  <c r="HE206" i="1"/>
  <c r="HE204" i="1"/>
  <c r="HE201" i="1"/>
  <c r="DD201" i="1" s="1"/>
  <c r="HE198" i="1"/>
  <c r="DD198" i="1" s="1"/>
  <c r="HE195" i="1"/>
  <c r="DD195" i="1" s="1"/>
  <c r="HE196" i="1"/>
  <c r="DD196" i="1" s="1"/>
  <c r="HE130" i="1"/>
  <c r="DD130" i="1" s="1"/>
  <c r="HE128" i="1"/>
  <c r="DD128" i="1" s="1"/>
  <c r="HE127" i="1"/>
  <c r="DD127" i="1" s="1"/>
  <c r="HE129" i="1"/>
  <c r="DD129" i="1" s="1"/>
  <c r="HE78" i="1"/>
  <c r="DD78" i="1" s="1"/>
  <c r="HE79" i="1"/>
  <c r="DD79" i="1" s="1"/>
  <c r="HE76" i="1"/>
  <c r="DD76" i="1" s="1"/>
  <c r="HE61" i="1"/>
  <c r="DD61" i="1" s="1"/>
  <c r="HE92" i="1"/>
  <c r="DD92" i="1" s="1"/>
  <c r="HE90" i="1"/>
  <c r="DD90" i="1" s="1"/>
  <c r="HE77" i="1"/>
  <c r="DD77" i="1" s="1"/>
  <c r="HE91" i="1"/>
  <c r="DD91" i="1" s="1"/>
  <c r="DD190" i="1"/>
  <c r="DD188" i="1"/>
  <c r="DD189" i="1"/>
  <c r="DD187" i="1"/>
  <c r="DD150" i="1"/>
  <c r="DD151" i="1"/>
  <c r="DD153" i="1"/>
  <c r="DD152" i="1"/>
  <c r="HE190" i="1"/>
  <c r="HE188" i="1"/>
  <c r="HE178" i="1"/>
  <c r="DD178" i="1" s="1"/>
  <c r="HE189" i="1"/>
  <c r="HE187" i="1"/>
  <c r="HE153" i="1"/>
  <c r="HE152" i="1"/>
  <c r="HE151" i="1"/>
  <c r="HE150" i="1"/>
  <c r="HE97" i="1"/>
  <c r="HE101" i="1"/>
  <c r="HE149" i="1"/>
  <c r="HE98" i="1"/>
  <c r="HE100" i="1"/>
  <c r="HE99" i="1"/>
  <c r="HE102" i="1"/>
  <c r="HE103" i="1"/>
  <c r="HE104" i="1"/>
  <c r="DD99" i="1"/>
  <c r="DD98" i="1"/>
  <c r="DD97" i="1"/>
  <c r="DD103" i="1"/>
  <c r="DD100" i="1"/>
  <c r="DD101" i="1"/>
  <c r="DD102" i="1"/>
  <c r="DD104" i="1"/>
  <c r="HE80" i="1"/>
  <c r="DD80" i="1" s="1"/>
  <c r="HE158" i="1"/>
  <c r="DD158" i="1" s="1"/>
  <c r="HE120" i="1"/>
  <c r="DD120" i="1" s="1"/>
  <c r="HE67" i="1"/>
  <c r="DD67" i="1" s="1"/>
  <c r="HE109" i="1"/>
  <c r="DD109" i="1" s="1"/>
  <c r="HE162" i="1"/>
  <c r="DD162" i="1" s="1"/>
  <c r="HE113" i="1"/>
  <c r="DD113" i="1" s="1"/>
  <c r="HE58" i="1"/>
  <c r="DD58" i="1" s="1"/>
  <c r="HE62" i="1"/>
  <c r="DD62" i="1" s="1"/>
  <c r="HE64" i="1"/>
  <c r="DD64" i="1" s="1"/>
  <c r="HF56" i="1"/>
  <c r="DE56" i="1"/>
  <c r="DE35" i="1" l="1"/>
  <c r="DD125" i="1"/>
  <c r="DD147" i="1"/>
  <c r="HF184" i="1"/>
  <c r="DE184" i="1" s="1"/>
  <c r="HF182" i="1"/>
  <c r="DE182" i="1" s="1"/>
  <c r="HF183" i="1"/>
  <c r="DE183" i="1" s="1"/>
  <c r="HF181" i="1"/>
  <c r="DE181" i="1" s="1"/>
  <c r="HF180" i="1"/>
  <c r="DE180" i="1" s="1"/>
  <c r="HF179" i="1"/>
  <c r="DE179" i="1" s="1"/>
  <c r="HF163" i="1"/>
  <c r="DE163" i="1" s="1"/>
  <c r="HF176" i="1"/>
  <c r="DE176" i="1" s="1"/>
  <c r="HF177" i="1"/>
  <c r="DE177" i="1" s="1"/>
  <c r="HF175" i="1"/>
  <c r="DE175" i="1" s="1"/>
  <c r="HF174" i="1"/>
  <c r="DE174" i="1" s="1"/>
  <c r="HF161" i="1"/>
  <c r="DE161" i="1" s="1"/>
  <c r="HF170" i="1"/>
  <c r="DE170" i="1" s="1"/>
  <c r="HF171" i="1"/>
  <c r="DE171" i="1" s="1"/>
  <c r="HF169" i="1"/>
  <c r="DE169" i="1" s="1"/>
  <c r="HF167" i="1"/>
  <c r="DE167" i="1" s="1"/>
  <c r="HF165" i="1"/>
  <c r="DE165" i="1" s="1"/>
  <c r="HF168" i="1"/>
  <c r="DE168" i="1" s="1"/>
  <c r="HF166" i="1"/>
  <c r="DE166" i="1" s="1"/>
  <c r="HF164" i="1"/>
  <c r="DE164" i="1" s="1"/>
  <c r="HF137" i="1"/>
  <c r="DE137" i="1" s="1"/>
  <c r="HF136" i="1"/>
  <c r="DE136" i="1" s="1"/>
  <c r="HF146" i="1"/>
  <c r="DE146" i="1" s="1"/>
  <c r="HF145" i="1"/>
  <c r="DE145" i="1" s="1"/>
  <c r="HF144" i="1"/>
  <c r="DE144" i="1" s="1"/>
  <c r="HF143" i="1"/>
  <c r="DE143" i="1" s="1"/>
  <c r="HF141" i="1"/>
  <c r="DE141" i="1" s="1"/>
  <c r="HF142" i="1"/>
  <c r="DE142" i="1" s="1"/>
  <c r="HF140" i="1"/>
  <c r="DE140" i="1" s="1"/>
  <c r="HF139" i="1"/>
  <c r="DE139" i="1" s="1"/>
  <c r="HF131" i="1"/>
  <c r="DE131" i="1" s="1"/>
  <c r="HF132" i="1"/>
  <c r="DE132" i="1" s="1"/>
  <c r="HF133" i="1"/>
  <c r="DE133" i="1" s="1"/>
  <c r="HF135" i="1"/>
  <c r="DE135" i="1" s="1"/>
  <c r="HF138" i="1"/>
  <c r="DE138" i="1" s="1"/>
  <c r="HF134" i="1"/>
  <c r="DE134" i="1" s="1"/>
  <c r="HF123" i="1"/>
  <c r="DE123" i="1" s="1"/>
  <c r="HF124" i="1"/>
  <c r="DE124" i="1" s="1"/>
  <c r="HF115" i="1"/>
  <c r="DE115" i="1" s="1"/>
  <c r="HF122" i="1"/>
  <c r="DE122" i="1" s="1"/>
  <c r="HF121" i="1"/>
  <c r="DE121" i="1" s="1"/>
  <c r="HF119" i="1"/>
  <c r="DE119" i="1" s="1"/>
  <c r="HF117" i="1"/>
  <c r="DE117" i="1" s="1"/>
  <c r="HF118" i="1"/>
  <c r="DE118" i="1" s="1"/>
  <c r="HF114" i="1"/>
  <c r="DE114" i="1" s="1"/>
  <c r="HF116" i="1"/>
  <c r="DE116" i="1" s="1"/>
  <c r="HF112" i="1"/>
  <c r="DE112" i="1" s="1"/>
  <c r="HF94" i="1"/>
  <c r="DE94" i="1" s="1"/>
  <c r="HF89" i="1"/>
  <c r="DE89" i="1" s="1"/>
  <c r="HF87" i="1"/>
  <c r="DE87" i="1" s="1"/>
  <c r="HF86" i="1"/>
  <c r="DE86" i="1" s="1"/>
  <c r="HF88" i="1"/>
  <c r="DE88" i="1" s="1"/>
  <c r="HF81" i="1"/>
  <c r="DE81" i="1" s="1"/>
  <c r="HF84" i="1"/>
  <c r="DE84" i="1" s="1"/>
  <c r="HF85" i="1"/>
  <c r="DE85" i="1" s="1"/>
  <c r="HF83" i="1"/>
  <c r="DE83" i="1" s="1"/>
  <c r="HF82" i="1"/>
  <c r="DE82" i="1" s="1"/>
  <c r="HF66" i="1"/>
  <c r="DE66" i="1" s="1"/>
  <c r="HF73" i="1"/>
  <c r="DE73" i="1" s="1"/>
  <c r="HF72" i="1"/>
  <c r="DE72" i="1" s="1"/>
  <c r="HF68" i="1"/>
  <c r="DE68" i="1" s="1"/>
  <c r="HF71" i="1"/>
  <c r="DE71" i="1" s="1"/>
  <c r="HF70" i="1"/>
  <c r="DE70" i="1" s="1"/>
  <c r="HF69" i="1"/>
  <c r="DE69" i="1" s="1"/>
  <c r="HF65" i="1"/>
  <c r="DE65" i="1" s="1"/>
  <c r="HF63" i="1"/>
  <c r="DE63" i="1" s="1"/>
  <c r="HF44" i="1"/>
  <c r="HF32" i="1"/>
  <c r="DE32" i="1" s="1"/>
  <c r="HF31" i="1"/>
  <c r="DE31" i="1" s="1"/>
  <c r="DE233" i="1"/>
  <c r="DE232" i="1"/>
  <c r="HF232" i="1"/>
  <c r="HF233" i="1"/>
  <c r="HF93" i="1"/>
  <c r="DE93" i="1" s="1"/>
  <c r="HF235" i="1"/>
  <c r="HF229" i="1"/>
  <c r="HF159" i="1"/>
  <c r="DE159" i="1" s="1"/>
  <c r="HF60" i="1"/>
  <c r="DE60" i="1" s="1"/>
  <c r="HF59" i="1"/>
  <c r="DE59" i="1" s="1"/>
  <c r="HF160" i="1"/>
  <c r="DE160" i="1" s="1"/>
  <c r="DE236" i="1"/>
  <c r="DE235" i="1"/>
  <c r="DE229" i="1"/>
  <c r="HF236" i="1"/>
  <c r="HF110" i="1"/>
  <c r="DE110" i="1" s="1"/>
  <c r="HF111" i="1"/>
  <c r="DE111" i="1" s="1"/>
  <c r="DE234" i="1"/>
  <c r="DE231" i="1"/>
  <c r="DE230" i="1"/>
  <c r="HF218" i="1"/>
  <c r="DE218" i="1" s="1"/>
  <c r="HF231" i="1"/>
  <c r="HF234" i="1"/>
  <c r="HF230" i="1"/>
  <c r="HF42" i="1"/>
  <c r="HG30" i="1"/>
  <c r="HG35" i="1" s="1"/>
  <c r="HF43" i="1"/>
  <c r="HF40" i="1"/>
  <c r="HF41" i="1"/>
  <c r="HF45" i="1"/>
  <c r="HF39" i="1"/>
  <c r="HF46" i="1"/>
  <c r="HF38" i="1"/>
  <c r="DE42" i="1"/>
  <c r="DF30" i="1"/>
  <c r="DF44" i="1" s="1"/>
  <c r="DE41" i="1"/>
  <c r="DE45" i="1"/>
  <c r="DE43" i="1"/>
  <c r="HF197" i="1"/>
  <c r="DE197" i="1" s="1"/>
  <c r="HF224" i="1"/>
  <c r="HF223" i="1"/>
  <c r="HF222" i="1"/>
  <c r="HF221" i="1"/>
  <c r="HF214" i="1"/>
  <c r="DE214" i="1" s="1"/>
  <c r="HF215" i="1"/>
  <c r="DE215" i="1" s="1"/>
  <c r="HF213" i="1"/>
  <c r="DE213" i="1" s="1"/>
  <c r="HF212" i="1"/>
  <c r="DE212" i="1" s="1"/>
  <c r="DE224" i="1"/>
  <c r="DE223" i="1"/>
  <c r="DE221" i="1"/>
  <c r="DE222" i="1"/>
  <c r="HF207" i="1"/>
  <c r="HF206" i="1"/>
  <c r="HF205" i="1"/>
  <c r="HF204" i="1"/>
  <c r="HF201" i="1"/>
  <c r="DE201" i="1" s="1"/>
  <c r="HF198" i="1"/>
  <c r="DE198" i="1" s="1"/>
  <c r="HF196" i="1"/>
  <c r="DE196" i="1" s="1"/>
  <c r="HF195" i="1"/>
  <c r="DE195" i="1" s="1"/>
  <c r="HF127" i="1"/>
  <c r="DE127" i="1" s="1"/>
  <c r="HF129" i="1"/>
  <c r="DE129" i="1" s="1"/>
  <c r="HF130" i="1"/>
  <c r="DE130" i="1" s="1"/>
  <c r="HF128" i="1"/>
  <c r="DE128" i="1" s="1"/>
  <c r="DE207" i="1"/>
  <c r="DE206" i="1"/>
  <c r="DE205" i="1"/>
  <c r="HF78" i="1"/>
  <c r="DE78" i="1" s="1"/>
  <c r="HF79" i="1"/>
  <c r="DE79" i="1" s="1"/>
  <c r="HF61" i="1"/>
  <c r="DE61" i="1" s="1"/>
  <c r="HF76" i="1"/>
  <c r="DE76" i="1" s="1"/>
  <c r="HF77" i="1"/>
  <c r="DE77" i="1" s="1"/>
  <c r="HF92" i="1"/>
  <c r="DE92" i="1" s="1"/>
  <c r="HF90" i="1"/>
  <c r="DE90" i="1" s="1"/>
  <c r="HF91" i="1"/>
  <c r="DE91" i="1" s="1"/>
  <c r="DE189" i="1"/>
  <c r="DE188" i="1"/>
  <c r="DE190" i="1"/>
  <c r="DE187" i="1"/>
  <c r="DE151" i="1"/>
  <c r="DE152" i="1"/>
  <c r="DE150" i="1"/>
  <c r="DE153" i="1"/>
  <c r="HF190" i="1"/>
  <c r="HF189" i="1"/>
  <c r="HF187" i="1"/>
  <c r="HF178" i="1"/>
  <c r="DE178" i="1" s="1"/>
  <c r="HF188" i="1"/>
  <c r="HF151" i="1"/>
  <c r="HF153" i="1"/>
  <c r="HF152" i="1"/>
  <c r="HF150" i="1"/>
  <c r="HF149" i="1"/>
  <c r="HF100" i="1"/>
  <c r="HF99" i="1"/>
  <c r="HF102" i="1"/>
  <c r="HF98" i="1"/>
  <c r="HF97" i="1"/>
  <c r="HF101" i="1"/>
  <c r="HF103" i="1"/>
  <c r="HF104" i="1"/>
  <c r="DE99" i="1"/>
  <c r="DE100" i="1"/>
  <c r="DE104" i="1"/>
  <c r="DE97" i="1"/>
  <c r="DE101" i="1"/>
  <c r="DE102" i="1"/>
  <c r="DE103" i="1"/>
  <c r="DE98" i="1"/>
  <c r="HF80" i="1"/>
  <c r="DE80" i="1" s="1"/>
  <c r="HF158" i="1"/>
  <c r="DE158" i="1" s="1"/>
  <c r="HF120" i="1"/>
  <c r="DE120" i="1" s="1"/>
  <c r="HF67" i="1"/>
  <c r="DE67" i="1" s="1"/>
  <c r="HF109" i="1"/>
  <c r="DE109" i="1" s="1"/>
  <c r="HF162" i="1"/>
  <c r="DE162" i="1" s="1"/>
  <c r="HF113" i="1"/>
  <c r="DE113" i="1" s="1"/>
  <c r="HF64" i="1"/>
  <c r="DE64" i="1" s="1"/>
  <c r="HF62" i="1"/>
  <c r="DE62" i="1" s="1"/>
  <c r="HF58" i="1"/>
  <c r="DE58" i="1" s="1"/>
  <c r="HG56" i="1"/>
  <c r="DF56" i="1"/>
  <c r="DF35" i="1" l="1"/>
  <c r="DE147" i="1"/>
  <c r="DE125" i="1"/>
  <c r="HG184" i="1"/>
  <c r="DF184" i="1" s="1"/>
  <c r="HG183" i="1"/>
  <c r="DF183" i="1" s="1"/>
  <c r="HG180" i="1"/>
  <c r="DF180" i="1" s="1"/>
  <c r="HG182" i="1"/>
  <c r="DF182" i="1" s="1"/>
  <c r="HG179" i="1"/>
  <c r="DF179" i="1" s="1"/>
  <c r="HG181" i="1"/>
  <c r="DF181" i="1" s="1"/>
  <c r="HG163" i="1"/>
  <c r="DF163" i="1" s="1"/>
  <c r="HG177" i="1"/>
  <c r="DF177" i="1" s="1"/>
  <c r="HG174" i="1"/>
  <c r="DF174" i="1" s="1"/>
  <c r="HG176" i="1"/>
  <c r="DF176" i="1" s="1"/>
  <c r="HG175" i="1"/>
  <c r="DF175" i="1" s="1"/>
  <c r="HG161" i="1"/>
  <c r="DF161" i="1" s="1"/>
  <c r="HG171" i="1"/>
  <c r="DF171" i="1" s="1"/>
  <c r="HG169" i="1"/>
  <c r="DF169" i="1" s="1"/>
  <c r="HG168" i="1"/>
  <c r="DF168" i="1" s="1"/>
  <c r="HG167" i="1"/>
  <c r="DF167" i="1" s="1"/>
  <c r="HG170" i="1"/>
  <c r="DF170" i="1" s="1"/>
  <c r="HG165" i="1"/>
  <c r="DF165" i="1" s="1"/>
  <c r="HG166" i="1"/>
  <c r="DF166" i="1" s="1"/>
  <c r="HG164" i="1"/>
  <c r="DF164" i="1" s="1"/>
  <c r="HG137" i="1"/>
  <c r="DF137" i="1" s="1"/>
  <c r="HG136" i="1"/>
  <c r="DF136" i="1" s="1"/>
  <c r="HG146" i="1"/>
  <c r="DF146" i="1" s="1"/>
  <c r="HG145" i="1"/>
  <c r="DF145" i="1" s="1"/>
  <c r="HG143" i="1"/>
  <c r="DF143" i="1" s="1"/>
  <c r="HG141" i="1"/>
  <c r="DF141" i="1" s="1"/>
  <c r="HG144" i="1"/>
  <c r="DF144" i="1" s="1"/>
  <c r="HG140" i="1"/>
  <c r="DF140" i="1" s="1"/>
  <c r="HG139" i="1"/>
  <c r="DF139" i="1" s="1"/>
  <c r="HG142" i="1"/>
  <c r="DF142" i="1" s="1"/>
  <c r="HG131" i="1"/>
  <c r="DF131" i="1" s="1"/>
  <c r="HG132" i="1"/>
  <c r="DF132" i="1" s="1"/>
  <c r="HG133" i="1"/>
  <c r="DF133" i="1" s="1"/>
  <c r="HG138" i="1"/>
  <c r="DF138" i="1" s="1"/>
  <c r="HG134" i="1"/>
  <c r="DF134" i="1" s="1"/>
  <c r="HG135" i="1"/>
  <c r="DF135" i="1" s="1"/>
  <c r="HG124" i="1"/>
  <c r="DF124" i="1" s="1"/>
  <c r="HG123" i="1"/>
  <c r="DF123" i="1" s="1"/>
  <c r="HG115" i="1"/>
  <c r="DF115" i="1" s="1"/>
  <c r="HG122" i="1"/>
  <c r="DF122" i="1" s="1"/>
  <c r="HG121" i="1"/>
  <c r="DF121" i="1" s="1"/>
  <c r="HG119" i="1"/>
  <c r="DF119" i="1" s="1"/>
  <c r="HG118" i="1"/>
  <c r="DF118" i="1" s="1"/>
  <c r="HG117" i="1"/>
  <c r="DF117" i="1" s="1"/>
  <c r="HG114" i="1"/>
  <c r="DF114" i="1" s="1"/>
  <c r="HG116" i="1"/>
  <c r="DF116" i="1" s="1"/>
  <c r="HG112" i="1"/>
  <c r="DF112" i="1" s="1"/>
  <c r="HG94" i="1"/>
  <c r="DF94" i="1" s="1"/>
  <c r="HG89" i="1"/>
  <c r="DF89" i="1" s="1"/>
  <c r="HG86" i="1"/>
  <c r="DF86" i="1" s="1"/>
  <c r="HG88" i="1"/>
  <c r="DF88" i="1" s="1"/>
  <c r="HG87" i="1"/>
  <c r="DF87" i="1" s="1"/>
  <c r="HG81" i="1"/>
  <c r="DF81" i="1" s="1"/>
  <c r="HG85" i="1"/>
  <c r="DF85" i="1" s="1"/>
  <c r="HG83" i="1"/>
  <c r="DF83" i="1" s="1"/>
  <c r="HG84" i="1"/>
  <c r="DF84" i="1" s="1"/>
  <c r="HG82" i="1"/>
  <c r="DF82" i="1" s="1"/>
  <c r="HG66" i="1"/>
  <c r="DF66" i="1" s="1"/>
  <c r="HG72" i="1"/>
  <c r="DF72" i="1" s="1"/>
  <c r="HG73" i="1"/>
  <c r="DF73" i="1" s="1"/>
  <c r="HG71" i="1"/>
  <c r="DF71" i="1" s="1"/>
  <c r="HG70" i="1"/>
  <c r="DF70" i="1" s="1"/>
  <c r="HG69" i="1"/>
  <c r="DF69" i="1" s="1"/>
  <c r="HG68" i="1"/>
  <c r="DF68" i="1" s="1"/>
  <c r="HG65" i="1"/>
  <c r="DF65" i="1" s="1"/>
  <c r="HG63" i="1"/>
  <c r="DF63" i="1" s="1"/>
  <c r="HG44" i="1"/>
  <c r="HG32" i="1"/>
  <c r="DF32" i="1" s="1"/>
  <c r="HG31" i="1"/>
  <c r="DF31" i="1" s="1"/>
  <c r="DF233" i="1"/>
  <c r="DF232" i="1"/>
  <c r="HG233" i="1"/>
  <c r="HG232" i="1"/>
  <c r="HG93" i="1"/>
  <c r="DF93" i="1" s="1"/>
  <c r="DF236" i="1"/>
  <c r="DF229" i="1"/>
  <c r="DF235" i="1"/>
  <c r="HG229" i="1"/>
  <c r="HG235" i="1"/>
  <c r="HG160" i="1"/>
  <c r="DF160" i="1" s="1"/>
  <c r="HG159" i="1"/>
  <c r="DF159" i="1" s="1"/>
  <c r="HG59" i="1"/>
  <c r="DF59" i="1" s="1"/>
  <c r="HG60" i="1"/>
  <c r="DF60" i="1" s="1"/>
  <c r="HG111" i="1"/>
  <c r="DF111" i="1" s="1"/>
  <c r="HG236" i="1"/>
  <c r="HG110" i="1"/>
  <c r="DF110" i="1" s="1"/>
  <c r="HG218" i="1"/>
  <c r="DF218" i="1" s="1"/>
  <c r="HG234" i="1"/>
  <c r="HG231" i="1"/>
  <c r="HG230" i="1"/>
  <c r="DF231" i="1"/>
  <c r="DF230" i="1"/>
  <c r="DF234" i="1"/>
  <c r="HG45" i="1"/>
  <c r="HG38" i="1"/>
  <c r="HH30" i="1"/>
  <c r="HH35" i="1" s="1"/>
  <c r="HG42" i="1"/>
  <c r="HG46" i="1"/>
  <c r="HG41" i="1"/>
  <c r="HG40" i="1"/>
  <c r="HG39" i="1"/>
  <c r="HG43" i="1"/>
  <c r="DF43" i="1"/>
  <c r="DF45" i="1"/>
  <c r="DF42" i="1"/>
  <c r="DF41" i="1"/>
  <c r="DG30" i="1"/>
  <c r="DG44" i="1" s="1"/>
  <c r="DF224" i="1"/>
  <c r="DF223" i="1"/>
  <c r="DF222" i="1"/>
  <c r="DF221" i="1"/>
  <c r="HG197" i="1"/>
  <c r="DF197" i="1" s="1"/>
  <c r="HG222" i="1"/>
  <c r="HG223" i="1"/>
  <c r="HG224" i="1"/>
  <c r="HG221" i="1"/>
  <c r="HG215" i="1"/>
  <c r="DF215" i="1" s="1"/>
  <c r="HG214" i="1"/>
  <c r="DF214" i="1" s="1"/>
  <c r="HG213" i="1"/>
  <c r="DF213" i="1" s="1"/>
  <c r="HG212" i="1"/>
  <c r="DF212" i="1" s="1"/>
  <c r="DF207" i="1"/>
  <c r="DF205" i="1"/>
  <c r="DF206" i="1"/>
  <c r="HG207" i="1"/>
  <c r="HG206" i="1"/>
  <c r="HG205" i="1"/>
  <c r="HG204" i="1"/>
  <c r="HG201" i="1"/>
  <c r="DF201" i="1" s="1"/>
  <c r="HG196" i="1"/>
  <c r="DF196" i="1" s="1"/>
  <c r="HG198" i="1"/>
  <c r="DF198" i="1" s="1"/>
  <c r="HG195" i="1"/>
  <c r="DF195" i="1" s="1"/>
  <c r="HG129" i="1"/>
  <c r="DF129" i="1" s="1"/>
  <c r="HG130" i="1"/>
  <c r="DF130" i="1" s="1"/>
  <c r="HG128" i="1"/>
  <c r="DF128" i="1" s="1"/>
  <c r="HG127" i="1"/>
  <c r="DF127" i="1" s="1"/>
  <c r="HG79" i="1"/>
  <c r="DF79" i="1" s="1"/>
  <c r="HG77" i="1"/>
  <c r="DF77" i="1" s="1"/>
  <c r="HG76" i="1"/>
  <c r="DF76" i="1" s="1"/>
  <c r="HG78" i="1"/>
  <c r="DF78" i="1" s="1"/>
  <c r="HG61" i="1"/>
  <c r="DF61" i="1" s="1"/>
  <c r="HG92" i="1"/>
  <c r="DF92" i="1" s="1"/>
  <c r="HG91" i="1"/>
  <c r="DF91" i="1" s="1"/>
  <c r="HG90" i="1"/>
  <c r="DF90" i="1" s="1"/>
  <c r="DF190" i="1"/>
  <c r="DF189" i="1"/>
  <c r="DF187" i="1"/>
  <c r="DF188" i="1"/>
  <c r="DF153" i="1"/>
  <c r="DF150" i="1"/>
  <c r="DF152" i="1"/>
  <c r="DF151" i="1"/>
  <c r="HG189" i="1"/>
  <c r="HG188" i="1"/>
  <c r="HG187" i="1"/>
  <c r="HG178" i="1"/>
  <c r="DF178" i="1" s="1"/>
  <c r="HG190" i="1"/>
  <c r="HG152" i="1"/>
  <c r="HG151" i="1"/>
  <c r="HG149" i="1"/>
  <c r="HG153" i="1"/>
  <c r="HG99" i="1"/>
  <c r="HG103" i="1"/>
  <c r="HG150" i="1"/>
  <c r="HG98" i="1"/>
  <c r="HG101" i="1"/>
  <c r="HG100" i="1"/>
  <c r="HG102" i="1"/>
  <c r="HG97" i="1"/>
  <c r="HG104" i="1"/>
  <c r="DF97" i="1"/>
  <c r="DF99" i="1"/>
  <c r="DF101" i="1"/>
  <c r="DF98" i="1"/>
  <c r="DF100" i="1"/>
  <c r="DF103" i="1"/>
  <c r="DF102" i="1"/>
  <c r="DF104" i="1"/>
  <c r="HG80" i="1"/>
  <c r="DF80" i="1" s="1"/>
  <c r="HG158" i="1"/>
  <c r="DF158" i="1" s="1"/>
  <c r="HG120" i="1"/>
  <c r="DF120" i="1" s="1"/>
  <c r="HG67" i="1"/>
  <c r="DF67" i="1" s="1"/>
  <c r="HG109" i="1"/>
  <c r="DF109" i="1" s="1"/>
  <c r="HG162" i="1"/>
  <c r="DF162" i="1" s="1"/>
  <c r="HG113" i="1"/>
  <c r="DF113" i="1" s="1"/>
  <c r="HG58" i="1"/>
  <c r="DF58" i="1" s="1"/>
  <c r="HG62" i="1"/>
  <c r="DF62" i="1" s="1"/>
  <c r="HH56" i="1"/>
  <c r="HG64" i="1"/>
  <c r="DF64" i="1" s="1"/>
  <c r="DG56" i="1"/>
  <c r="DG35" i="1" l="1"/>
  <c r="DF125" i="1"/>
  <c r="DF147" i="1"/>
  <c r="HH183" i="1"/>
  <c r="DG183" i="1" s="1"/>
  <c r="HH181" i="1"/>
  <c r="DG181" i="1" s="1"/>
  <c r="HH184" i="1"/>
  <c r="DG184" i="1" s="1"/>
  <c r="HH182" i="1"/>
  <c r="DG182" i="1" s="1"/>
  <c r="HH179" i="1"/>
  <c r="DG179" i="1" s="1"/>
  <c r="HH180" i="1"/>
  <c r="DG180" i="1" s="1"/>
  <c r="HH163" i="1"/>
  <c r="DG163" i="1" s="1"/>
  <c r="HH177" i="1"/>
  <c r="DG177" i="1" s="1"/>
  <c r="HH176" i="1"/>
  <c r="DG176" i="1" s="1"/>
  <c r="HH175" i="1"/>
  <c r="DG175" i="1" s="1"/>
  <c r="HH174" i="1"/>
  <c r="DG174" i="1" s="1"/>
  <c r="HH161" i="1"/>
  <c r="DG161" i="1" s="1"/>
  <c r="HH171" i="1"/>
  <c r="DG171" i="1" s="1"/>
  <c r="HH170" i="1"/>
  <c r="DG170" i="1" s="1"/>
  <c r="HH168" i="1"/>
  <c r="DG168" i="1" s="1"/>
  <c r="HH169" i="1"/>
  <c r="DG169" i="1" s="1"/>
  <c r="HH167" i="1"/>
  <c r="DG167" i="1" s="1"/>
  <c r="HH166" i="1"/>
  <c r="DG166" i="1" s="1"/>
  <c r="HH165" i="1"/>
  <c r="DG165" i="1" s="1"/>
  <c r="HH164" i="1"/>
  <c r="DG164" i="1" s="1"/>
  <c r="HH137" i="1"/>
  <c r="DG137" i="1" s="1"/>
  <c r="HH136" i="1"/>
  <c r="DG136" i="1" s="1"/>
  <c r="HH146" i="1"/>
  <c r="DG146" i="1" s="1"/>
  <c r="HH145" i="1"/>
  <c r="DG145" i="1" s="1"/>
  <c r="HH144" i="1"/>
  <c r="DG144" i="1" s="1"/>
  <c r="HH143" i="1"/>
  <c r="DG143" i="1" s="1"/>
  <c r="HH142" i="1"/>
  <c r="DG142" i="1" s="1"/>
  <c r="HH139" i="1"/>
  <c r="DG139" i="1" s="1"/>
  <c r="HH140" i="1"/>
  <c r="DG140" i="1" s="1"/>
  <c r="HH141" i="1"/>
  <c r="DG141" i="1" s="1"/>
  <c r="HH131" i="1"/>
  <c r="DG131" i="1" s="1"/>
  <c r="HH132" i="1"/>
  <c r="DG132" i="1" s="1"/>
  <c r="HH133" i="1"/>
  <c r="DG133" i="1" s="1"/>
  <c r="HH138" i="1"/>
  <c r="DG138" i="1" s="1"/>
  <c r="HH135" i="1"/>
  <c r="DG135" i="1" s="1"/>
  <c r="HH134" i="1"/>
  <c r="DG134" i="1" s="1"/>
  <c r="HH124" i="1"/>
  <c r="DG124" i="1" s="1"/>
  <c r="HH123" i="1"/>
  <c r="DG123" i="1" s="1"/>
  <c r="HH115" i="1"/>
  <c r="DG115" i="1" s="1"/>
  <c r="HH121" i="1"/>
  <c r="DG121" i="1" s="1"/>
  <c r="HH122" i="1"/>
  <c r="DG122" i="1" s="1"/>
  <c r="HH118" i="1"/>
  <c r="DG118" i="1" s="1"/>
  <c r="HH119" i="1"/>
  <c r="DG119" i="1" s="1"/>
  <c r="HH116" i="1"/>
  <c r="DG116" i="1" s="1"/>
  <c r="HH117" i="1"/>
  <c r="DG117" i="1" s="1"/>
  <c r="HH114" i="1"/>
  <c r="DG114" i="1" s="1"/>
  <c r="HH112" i="1"/>
  <c r="DG112" i="1" s="1"/>
  <c r="HH94" i="1"/>
  <c r="DG94" i="1" s="1"/>
  <c r="HH89" i="1"/>
  <c r="DG89" i="1" s="1"/>
  <c r="HH88" i="1"/>
  <c r="DG88" i="1" s="1"/>
  <c r="HH87" i="1"/>
  <c r="DG87" i="1" s="1"/>
  <c r="HH86" i="1"/>
  <c r="DG86" i="1" s="1"/>
  <c r="HH81" i="1"/>
  <c r="DG81" i="1" s="1"/>
  <c r="HH85" i="1"/>
  <c r="DG85" i="1" s="1"/>
  <c r="HH84" i="1"/>
  <c r="DG84" i="1" s="1"/>
  <c r="HH82" i="1"/>
  <c r="DG82" i="1" s="1"/>
  <c r="HH83" i="1"/>
  <c r="DG83" i="1" s="1"/>
  <c r="HH66" i="1"/>
  <c r="DG66" i="1" s="1"/>
  <c r="HH72" i="1"/>
  <c r="DG72" i="1" s="1"/>
  <c r="HH71" i="1"/>
  <c r="DG71" i="1" s="1"/>
  <c r="HH70" i="1"/>
  <c r="DG70" i="1" s="1"/>
  <c r="HH69" i="1"/>
  <c r="DG69" i="1" s="1"/>
  <c r="HH73" i="1"/>
  <c r="DG73" i="1" s="1"/>
  <c r="HH68" i="1"/>
  <c r="DG68" i="1" s="1"/>
  <c r="HH65" i="1"/>
  <c r="DG65" i="1" s="1"/>
  <c r="HH63" i="1"/>
  <c r="DG63" i="1" s="1"/>
  <c r="HH44" i="1"/>
  <c r="HH32" i="1"/>
  <c r="DG32" i="1" s="1"/>
  <c r="HH31" i="1"/>
  <c r="DG31" i="1" s="1"/>
  <c r="HH232" i="1"/>
  <c r="HH233" i="1"/>
  <c r="DG232" i="1"/>
  <c r="DG233" i="1"/>
  <c r="HH93" i="1"/>
  <c r="DG93" i="1" s="1"/>
  <c r="DG236" i="1"/>
  <c r="DG229" i="1"/>
  <c r="DG235" i="1"/>
  <c r="HH229" i="1"/>
  <c r="HH235" i="1"/>
  <c r="HH60" i="1"/>
  <c r="DG60" i="1" s="1"/>
  <c r="HH160" i="1"/>
  <c r="DG160" i="1" s="1"/>
  <c r="HH59" i="1"/>
  <c r="DG59" i="1" s="1"/>
  <c r="HH159" i="1"/>
  <c r="DG159" i="1" s="1"/>
  <c r="HH111" i="1"/>
  <c r="DG111" i="1" s="1"/>
  <c r="HH110" i="1"/>
  <c r="DG110" i="1" s="1"/>
  <c r="HH236" i="1"/>
  <c r="DG234" i="1"/>
  <c r="DG231" i="1"/>
  <c r="DG230" i="1"/>
  <c r="HH218" i="1"/>
  <c r="DG218" i="1" s="1"/>
  <c r="HH234" i="1"/>
  <c r="HH230" i="1"/>
  <c r="HH231" i="1"/>
  <c r="HH42" i="1"/>
  <c r="HH39" i="1"/>
  <c r="HI30" i="1"/>
  <c r="HI35" i="1" s="1"/>
  <c r="HH45" i="1"/>
  <c r="HH40" i="1"/>
  <c r="HH41" i="1"/>
  <c r="HH46" i="1"/>
  <c r="HH43" i="1"/>
  <c r="HH38" i="1"/>
  <c r="DG42" i="1"/>
  <c r="DG41" i="1"/>
  <c r="DG45" i="1"/>
  <c r="DG43" i="1"/>
  <c r="DH30" i="1"/>
  <c r="DH44" i="1" s="1"/>
  <c r="DG223" i="1"/>
  <c r="DG224" i="1"/>
  <c r="DG222" i="1"/>
  <c r="DG221" i="1"/>
  <c r="HH197" i="1"/>
  <c r="DG197" i="1" s="1"/>
  <c r="HH223" i="1"/>
  <c r="HH222" i="1"/>
  <c r="HH221" i="1"/>
  <c r="HH224" i="1"/>
  <c r="HH213" i="1"/>
  <c r="DG213" i="1" s="1"/>
  <c r="HH212" i="1"/>
  <c r="DG212" i="1" s="1"/>
  <c r="HH214" i="1"/>
  <c r="DG214" i="1" s="1"/>
  <c r="HH215" i="1"/>
  <c r="DG215" i="1" s="1"/>
  <c r="DG206" i="1"/>
  <c r="DG207" i="1"/>
  <c r="DG205" i="1"/>
  <c r="HH207" i="1"/>
  <c r="HH206" i="1"/>
  <c r="HH205" i="1"/>
  <c r="HH204" i="1"/>
  <c r="HH201" i="1"/>
  <c r="DG201" i="1" s="1"/>
  <c r="HH198" i="1"/>
  <c r="DG198" i="1" s="1"/>
  <c r="HH195" i="1"/>
  <c r="DG195" i="1" s="1"/>
  <c r="HH196" i="1"/>
  <c r="DG196" i="1" s="1"/>
  <c r="HH129" i="1"/>
  <c r="DG129" i="1" s="1"/>
  <c r="HH130" i="1"/>
  <c r="DG130" i="1" s="1"/>
  <c r="HH128" i="1"/>
  <c r="DG128" i="1" s="1"/>
  <c r="HH127" i="1"/>
  <c r="DG127" i="1" s="1"/>
  <c r="HH79" i="1"/>
  <c r="DG79" i="1" s="1"/>
  <c r="HH78" i="1"/>
  <c r="DG78" i="1" s="1"/>
  <c r="HH77" i="1"/>
  <c r="DG77" i="1" s="1"/>
  <c r="HH76" i="1"/>
  <c r="DG76" i="1" s="1"/>
  <c r="HH61" i="1"/>
  <c r="DG61" i="1" s="1"/>
  <c r="HH92" i="1"/>
  <c r="DG92" i="1" s="1"/>
  <c r="HH91" i="1"/>
  <c r="DG91" i="1" s="1"/>
  <c r="HH90" i="1"/>
  <c r="DG90" i="1" s="1"/>
  <c r="HH189" i="1"/>
  <c r="HH190" i="1"/>
  <c r="HH187" i="1"/>
  <c r="HH178" i="1"/>
  <c r="DG178" i="1" s="1"/>
  <c r="HH188" i="1"/>
  <c r="DG189" i="1"/>
  <c r="DG188" i="1"/>
  <c r="DG190" i="1"/>
  <c r="DG150" i="1"/>
  <c r="DG187" i="1"/>
  <c r="DG153" i="1"/>
  <c r="DG152" i="1"/>
  <c r="DG151" i="1"/>
  <c r="HH153" i="1"/>
  <c r="HH150" i="1"/>
  <c r="HH152" i="1"/>
  <c r="HH151" i="1"/>
  <c r="HH149" i="1"/>
  <c r="HH98" i="1"/>
  <c r="HH102" i="1"/>
  <c r="HH97" i="1"/>
  <c r="HH100" i="1"/>
  <c r="HH103" i="1"/>
  <c r="HH99" i="1"/>
  <c r="HH101" i="1"/>
  <c r="HH104" i="1"/>
  <c r="DG98" i="1"/>
  <c r="DG97" i="1"/>
  <c r="DG102" i="1"/>
  <c r="DG99" i="1"/>
  <c r="DG101" i="1"/>
  <c r="DG100" i="1"/>
  <c r="DG104" i="1"/>
  <c r="DG103" i="1"/>
  <c r="HH80" i="1"/>
  <c r="DG80" i="1" s="1"/>
  <c r="HH158" i="1"/>
  <c r="DG158" i="1" s="1"/>
  <c r="HH120" i="1"/>
  <c r="DG120" i="1" s="1"/>
  <c r="HH67" i="1"/>
  <c r="DG67" i="1" s="1"/>
  <c r="HH109" i="1"/>
  <c r="DG109" i="1" s="1"/>
  <c r="HH162" i="1"/>
  <c r="DG162" i="1" s="1"/>
  <c r="HH113" i="1"/>
  <c r="DG113" i="1" s="1"/>
  <c r="HH64" i="1"/>
  <c r="DG64" i="1" s="1"/>
  <c r="HH58" i="1"/>
  <c r="DG58" i="1" s="1"/>
  <c r="HI56" i="1"/>
  <c r="HH62" i="1"/>
  <c r="DG62" i="1" s="1"/>
  <c r="DH56" i="1"/>
  <c r="DH35" i="1" l="1"/>
  <c r="DG125" i="1"/>
  <c r="DG147" i="1"/>
  <c r="HI184" i="1"/>
  <c r="DH184" i="1" s="1"/>
  <c r="HI179" i="1"/>
  <c r="DH179" i="1" s="1"/>
  <c r="HI183" i="1"/>
  <c r="DH183" i="1" s="1"/>
  <c r="HI180" i="1"/>
  <c r="DH180" i="1" s="1"/>
  <c r="HI181" i="1"/>
  <c r="DH181" i="1" s="1"/>
  <c r="HI182" i="1"/>
  <c r="DH182" i="1" s="1"/>
  <c r="HI163" i="1"/>
  <c r="DH163" i="1" s="1"/>
  <c r="HI176" i="1"/>
  <c r="DH176" i="1" s="1"/>
  <c r="HI177" i="1"/>
  <c r="DH177" i="1" s="1"/>
  <c r="HI175" i="1"/>
  <c r="DH175" i="1" s="1"/>
  <c r="HI174" i="1"/>
  <c r="DH174" i="1" s="1"/>
  <c r="HI161" i="1"/>
  <c r="DH161" i="1" s="1"/>
  <c r="HI171" i="1"/>
  <c r="DH171" i="1" s="1"/>
  <c r="HI170" i="1"/>
  <c r="DH170" i="1" s="1"/>
  <c r="HI169" i="1"/>
  <c r="DH169" i="1" s="1"/>
  <c r="HI166" i="1"/>
  <c r="DH166" i="1" s="1"/>
  <c r="HI167" i="1"/>
  <c r="DH167" i="1" s="1"/>
  <c r="HI168" i="1"/>
  <c r="DH168" i="1" s="1"/>
  <c r="HI165" i="1"/>
  <c r="DH165" i="1" s="1"/>
  <c r="HI164" i="1"/>
  <c r="DH164" i="1" s="1"/>
  <c r="HI137" i="1"/>
  <c r="DH137" i="1" s="1"/>
  <c r="HI136" i="1"/>
  <c r="DH136" i="1" s="1"/>
  <c r="HI145" i="1"/>
  <c r="DH145" i="1" s="1"/>
  <c r="HI146" i="1"/>
  <c r="DH146" i="1" s="1"/>
  <c r="HI144" i="1"/>
  <c r="DH144" i="1" s="1"/>
  <c r="HI142" i="1"/>
  <c r="DH142" i="1" s="1"/>
  <c r="HI139" i="1"/>
  <c r="DH139" i="1" s="1"/>
  <c r="HI143" i="1"/>
  <c r="DH143" i="1" s="1"/>
  <c r="HI141" i="1"/>
  <c r="DH141" i="1" s="1"/>
  <c r="HI140" i="1"/>
  <c r="DH140" i="1" s="1"/>
  <c r="HI131" i="1"/>
  <c r="DH131" i="1" s="1"/>
  <c r="HI132" i="1"/>
  <c r="DH132" i="1" s="1"/>
  <c r="HI133" i="1"/>
  <c r="DH133" i="1" s="1"/>
  <c r="HI135" i="1"/>
  <c r="DH135" i="1" s="1"/>
  <c r="HI138" i="1"/>
  <c r="DH138" i="1" s="1"/>
  <c r="HI134" i="1"/>
  <c r="DH134" i="1" s="1"/>
  <c r="HI123" i="1"/>
  <c r="DH123" i="1" s="1"/>
  <c r="HI124" i="1"/>
  <c r="DH124" i="1" s="1"/>
  <c r="HI115" i="1"/>
  <c r="DH115" i="1" s="1"/>
  <c r="HI121" i="1"/>
  <c r="DH121" i="1" s="1"/>
  <c r="HI122" i="1"/>
  <c r="DH122" i="1" s="1"/>
  <c r="HI118" i="1"/>
  <c r="DH118" i="1" s="1"/>
  <c r="HI119" i="1"/>
  <c r="DH119" i="1" s="1"/>
  <c r="HI117" i="1"/>
  <c r="DH117" i="1" s="1"/>
  <c r="HI114" i="1"/>
  <c r="DH114" i="1" s="1"/>
  <c r="HI116" i="1"/>
  <c r="DH116" i="1" s="1"/>
  <c r="HI112" i="1"/>
  <c r="DH112" i="1" s="1"/>
  <c r="HI94" i="1"/>
  <c r="DH94" i="1" s="1"/>
  <c r="HI88" i="1"/>
  <c r="DH88" i="1" s="1"/>
  <c r="HI87" i="1"/>
  <c r="DH87" i="1" s="1"/>
  <c r="HI89" i="1"/>
  <c r="DH89" i="1" s="1"/>
  <c r="HI86" i="1"/>
  <c r="DH86" i="1" s="1"/>
  <c r="HI81" i="1"/>
  <c r="DH81" i="1" s="1"/>
  <c r="HI84" i="1"/>
  <c r="DH84" i="1" s="1"/>
  <c r="HI85" i="1"/>
  <c r="DH85" i="1" s="1"/>
  <c r="HI83" i="1"/>
  <c r="DH83" i="1" s="1"/>
  <c r="HI82" i="1"/>
  <c r="DH82" i="1" s="1"/>
  <c r="HI66" i="1"/>
  <c r="DH66" i="1" s="1"/>
  <c r="HI72" i="1"/>
  <c r="DH72" i="1" s="1"/>
  <c r="HI71" i="1"/>
  <c r="DH71" i="1" s="1"/>
  <c r="HI69" i="1"/>
  <c r="DH69" i="1" s="1"/>
  <c r="HI68" i="1"/>
  <c r="DH68" i="1" s="1"/>
  <c r="HI73" i="1"/>
  <c r="DH73" i="1" s="1"/>
  <c r="HI70" i="1"/>
  <c r="DH70" i="1" s="1"/>
  <c r="HI65" i="1"/>
  <c r="DH65" i="1" s="1"/>
  <c r="HI63" i="1"/>
  <c r="DH63" i="1" s="1"/>
  <c r="HI44" i="1"/>
  <c r="HI31" i="1"/>
  <c r="DH31" i="1" s="1"/>
  <c r="HI32" i="1"/>
  <c r="DH32" i="1" s="1"/>
  <c r="DH233" i="1"/>
  <c r="DH232" i="1"/>
  <c r="HI232" i="1"/>
  <c r="HI233" i="1"/>
  <c r="HI93" i="1"/>
  <c r="DH93" i="1" s="1"/>
  <c r="DH236" i="1"/>
  <c r="DH235" i="1"/>
  <c r="DH229" i="1"/>
  <c r="HI235" i="1"/>
  <c r="HI229" i="1"/>
  <c r="HI160" i="1"/>
  <c r="DH160" i="1" s="1"/>
  <c r="HI59" i="1"/>
  <c r="DH59" i="1" s="1"/>
  <c r="HI159" i="1"/>
  <c r="DH159" i="1" s="1"/>
  <c r="HI60" i="1"/>
  <c r="DH60" i="1" s="1"/>
  <c r="HI111" i="1"/>
  <c r="DH111" i="1" s="1"/>
  <c r="HI110" i="1"/>
  <c r="DH110" i="1" s="1"/>
  <c r="HI236" i="1"/>
  <c r="DH234" i="1"/>
  <c r="DH231" i="1"/>
  <c r="DH230" i="1"/>
  <c r="HI218" i="1"/>
  <c r="DH218" i="1" s="1"/>
  <c r="HI234" i="1"/>
  <c r="HI231" i="1"/>
  <c r="HI230" i="1"/>
  <c r="HI38" i="1"/>
  <c r="HI46" i="1"/>
  <c r="HI41" i="1"/>
  <c r="HJ30" i="1"/>
  <c r="HJ35" i="1" s="1"/>
  <c r="HI43" i="1"/>
  <c r="HI40" i="1"/>
  <c r="HI42" i="1"/>
  <c r="HI39" i="1"/>
  <c r="HI45" i="1"/>
  <c r="DH45" i="1"/>
  <c r="DH43" i="1"/>
  <c r="DH41" i="1"/>
  <c r="DI30" i="1"/>
  <c r="DI44" i="1" s="1"/>
  <c r="DH42" i="1"/>
  <c r="DH222" i="1"/>
  <c r="DH221" i="1"/>
  <c r="DH223" i="1"/>
  <c r="DH224" i="1"/>
  <c r="HI197" i="1"/>
  <c r="DH197" i="1" s="1"/>
  <c r="HI224" i="1"/>
  <c r="HI223" i="1"/>
  <c r="HI221" i="1"/>
  <c r="HI222" i="1"/>
  <c r="HI215" i="1"/>
  <c r="DH215" i="1" s="1"/>
  <c r="HI214" i="1"/>
  <c r="DH214" i="1" s="1"/>
  <c r="HI213" i="1"/>
  <c r="DH213" i="1" s="1"/>
  <c r="HI212" i="1"/>
  <c r="DH212" i="1" s="1"/>
  <c r="DH207" i="1"/>
  <c r="DH206" i="1"/>
  <c r="DH205" i="1"/>
  <c r="HI207" i="1"/>
  <c r="HI205" i="1"/>
  <c r="HI206" i="1"/>
  <c r="HI204" i="1"/>
  <c r="HI201" i="1"/>
  <c r="DH201" i="1" s="1"/>
  <c r="HI198" i="1"/>
  <c r="DH198" i="1" s="1"/>
  <c r="HI195" i="1"/>
  <c r="DH195" i="1" s="1"/>
  <c r="HI196" i="1"/>
  <c r="DH196" i="1" s="1"/>
  <c r="HI130" i="1"/>
  <c r="DH130" i="1" s="1"/>
  <c r="HI128" i="1"/>
  <c r="DH128" i="1" s="1"/>
  <c r="HI127" i="1"/>
  <c r="DH127" i="1" s="1"/>
  <c r="HI129" i="1"/>
  <c r="DH129" i="1" s="1"/>
  <c r="HI78" i="1"/>
  <c r="DH78" i="1" s="1"/>
  <c r="HI79" i="1"/>
  <c r="DH79" i="1" s="1"/>
  <c r="HI77" i="1"/>
  <c r="DH77" i="1" s="1"/>
  <c r="HI61" i="1"/>
  <c r="DH61" i="1" s="1"/>
  <c r="HI92" i="1"/>
  <c r="DH92" i="1" s="1"/>
  <c r="HI91" i="1"/>
  <c r="DH91" i="1" s="1"/>
  <c r="HI76" i="1"/>
  <c r="DH76" i="1" s="1"/>
  <c r="HI90" i="1"/>
  <c r="DH90" i="1" s="1"/>
  <c r="DH190" i="1"/>
  <c r="DH189" i="1"/>
  <c r="DH187" i="1"/>
  <c r="DH150" i="1"/>
  <c r="DH188" i="1"/>
  <c r="DH151" i="1"/>
  <c r="DH153" i="1"/>
  <c r="DH152" i="1"/>
  <c r="HI190" i="1"/>
  <c r="HI189" i="1"/>
  <c r="HI178" i="1"/>
  <c r="DH178" i="1" s="1"/>
  <c r="HI188" i="1"/>
  <c r="HI187" i="1"/>
  <c r="HI153" i="1"/>
  <c r="HI152" i="1"/>
  <c r="HI150" i="1"/>
  <c r="HI97" i="1"/>
  <c r="HI101" i="1"/>
  <c r="HI100" i="1"/>
  <c r="HI151" i="1"/>
  <c r="HI99" i="1"/>
  <c r="HI102" i="1"/>
  <c r="HI149" i="1"/>
  <c r="HI98" i="1"/>
  <c r="HI104" i="1"/>
  <c r="HI103" i="1"/>
  <c r="DH99" i="1"/>
  <c r="DH98" i="1"/>
  <c r="DH103" i="1"/>
  <c r="DH97" i="1"/>
  <c r="DH104" i="1"/>
  <c r="DH100" i="1"/>
  <c r="DH102" i="1"/>
  <c r="DH101" i="1"/>
  <c r="HI80" i="1"/>
  <c r="DH80" i="1" s="1"/>
  <c r="HI158" i="1"/>
  <c r="DH158" i="1" s="1"/>
  <c r="HI120" i="1"/>
  <c r="DH120" i="1" s="1"/>
  <c r="HI67" i="1"/>
  <c r="DH67" i="1" s="1"/>
  <c r="HI109" i="1"/>
  <c r="DH109" i="1" s="1"/>
  <c r="HI162" i="1"/>
  <c r="DH162" i="1" s="1"/>
  <c r="HI113" i="1"/>
  <c r="DH113" i="1" s="1"/>
  <c r="HI64" i="1"/>
  <c r="DH64" i="1" s="1"/>
  <c r="HI58" i="1"/>
  <c r="DH58" i="1" s="1"/>
  <c r="HJ56" i="1"/>
  <c r="HI62" i="1"/>
  <c r="DH62" i="1" s="1"/>
  <c r="DI56" i="1"/>
  <c r="DI35" i="1" l="1"/>
  <c r="DH147" i="1"/>
  <c r="DH125" i="1"/>
  <c r="HJ184" i="1"/>
  <c r="DI184" i="1" s="1"/>
  <c r="HJ183" i="1"/>
  <c r="DI183" i="1" s="1"/>
  <c r="HJ182" i="1"/>
  <c r="DI182" i="1" s="1"/>
  <c r="HJ180" i="1"/>
  <c r="DI180" i="1" s="1"/>
  <c r="HJ179" i="1"/>
  <c r="DI179" i="1" s="1"/>
  <c r="HJ181" i="1"/>
  <c r="DI181" i="1" s="1"/>
  <c r="HJ163" i="1"/>
  <c r="DI163" i="1" s="1"/>
  <c r="HJ176" i="1"/>
  <c r="DI176" i="1" s="1"/>
  <c r="HJ177" i="1"/>
  <c r="DI177" i="1" s="1"/>
  <c r="HJ174" i="1"/>
  <c r="DI174" i="1" s="1"/>
  <c r="HJ175" i="1"/>
  <c r="DI175" i="1" s="1"/>
  <c r="HJ161" i="1"/>
  <c r="DI161" i="1" s="1"/>
  <c r="HJ170" i="1"/>
  <c r="DI170" i="1" s="1"/>
  <c r="HJ171" i="1"/>
  <c r="DI171" i="1" s="1"/>
  <c r="HJ169" i="1"/>
  <c r="DI169" i="1" s="1"/>
  <c r="HJ168" i="1"/>
  <c r="DI168" i="1" s="1"/>
  <c r="HJ167" i="1"/>
  <c r="DI167" i="1" s="1"/>
  <c r="HJ165" i="1"/>
  <c r="DI165" i="1" s="1"/>
  <c r="HJ166" i="1"/>
  <c r="DI166" i="1" s="1"/>
  <c r="HJ164" i="1"/>
  <c r="DI164" i="1" s="1"/>
  <c r="HJ137" i="1"/>
  <c r="DI137" i="1" s="1"/>
  <c r="HJ136" i="1"/>
  <c r="DI136" i="1" s="1"/>
  <c r="HJ146" i="1"/>
  <c r="DI146" i="1" s="1"/>
  <c r="HJ145" i="1"/>
  <c r="DI145" i="1" s="1"/>
  <c r="HJ144" i="1"/>
  <c r="DI144" i="1" s="1"/>
  <c r="HJ141" i="1"/>
  <c r="DI141" i="1" s="1"/>
  <c r="HJ143" i="1"/>
  <c r="DI143" i="1" s="1"/>
  <c r="HJ140" i="1"/>
  <c r="DI140" i="1" s="1"/>
  <c r="HJ139" i="1"/>
  <c r="DI139" i="1" s="1"/>
  <c r="HJ142" i="1"/>
  <c r="DI142" i="1" s="1"/>
  <c r="HJ131" i="1"/>
  <c r="DI131" i="1" s="1"/>
  <c r="HJ132" i="1"/>
  <c r="DI132" i="1" s="1"/>
  <c r="HJ133" i="1"/>
  <c r="DI133" i="1" s="1"/>
  <c r="HJ135" i="1"/>
  <c r="DI135" i="1" s="1"/>
  <c r="HJ138" i="1"/>
  <c r="DI138" i="1" s="1"/>
  <c r="HJ134" i="1"/>
  <c r="DI134" i="1" s="1"/>
  <c r="HJ123" i="1"/>
  <c r="DI123" i="1" s="1"/>
  <c r="HJ124" i="1"/>
  <c r="DI124" i="1" s="1"/>
  <c r="HJ115" i="1"/>
  <c r="DI115" i="1" s="1"/>
  <c r="HJ122" i="1"/>
  <c r="DI122" i="1" s="1"/>
  <c r="HJ121" i="1"/>
  <c r="DI121" i="1" s="1"/>
  <c r="HJ119" i="1"/>
  <c r="DI119" i="1" s="1"/>
  <c r="HJ117" i="1"/>
  <c r="DI117" i="1" s="1"/>
  <c r="HJ118" i="1"/>
  <c r="DI118" i="1" s="1"/>
  <c r="HJ116" i="1"/>
  <c r="DI116" i="1" s="1"/>
  <c r="HJ114" i="1"/>
  <c r="DI114" i="1" s="1"/>
  <c r="HJ112" i="1"/>
  <c r="DI112" i="1" s="1"/>
  <c r="HJ94" i="1"/>
  <c r="DI94" i="1" s="1"/>
  <c r="HJ89" i="1"/>
  <c r="DI89" i="1" s="1"/>
  <c r="HJ88" i="1"/>
  <c r="DI88" i="1" s="1"/>
  <c r="HJ87" i="1"/>
  <c r="DI87" i="1" s="1"/>
  <c r="HJ86" i="1"/>
  <c r="DI86" i="1" s="1"/>
  <c r="HJ81" i="1"/>
  <c r="DI81" i="1" s="1"/>
  <c r="HJ84" i="1"/>
  <c r="DI84" i="1" s="1"/>
  <c r="HJ85" i="1"/>
  <c r="DI85" i="1" s="1"/>
  <c r="HJ83" i="1"/>
  <c r="DI83" i="1" s="1"/>
  <c r="HJ82" i="1"/>
  <c r="DI82" i="1" s="1"/>
  <c r="HJ66" i="1"/>
  <c r="DI66" i="1" s="1"/>
  <c r="HJ73" i="1"/>
  <c r="DI73" i="1" s="1"/>
  <c r="HJ72" i="1"/>
  <c r="DI72" i="1" s="1"/>
  <c r="HJ68" i="1"/>
  <c r="DI68" i="1" s="1"/>
  <c r="HJ70" i="1"/>
  <c r="DI70" i="1" s="1"/>
  <c r="HJ69" i="1"/>
  <c r="DI69" i="1" s="1"/>
  <c r="HJ71" i="1"/>
  <c r="DI71" i="1" s="1"/>
  <c r="HJ65" i="1"/>
  <c r="DI65" i="1" s="1"/>
  <c r="HJ63" i="1"/>
  <c r="DI63" i="1" s="1"/>
  <c r="HJ44" i="1"/>
  <c r="HJ32" i="1"/>
  <c r="DI32" i="1" s="1"/>
  <c r="HJ31" i="1"/>
  <c r="DI31" i="1" s="1"/>
  <c r="HJ232" i="1"/>
  <c r="HJ233" i="1"/>
  <c r="DI232" i="1"/>
  <c r="DI233" i="1"/>
  <c r="HJ93" i="1"/>
  <c r="DI93" i="1" s="1"/>
  <c r="DI236" i="1"/>
  <c r="DI235" i="1"/>
  <c r="DI229" i="1"/>
  <c r="HJ235" i="1"/>
  <c r="HJ229" i="1"/>
  <c r="HJ59" i="1"/>
  <c r="DI59" i="1" s="1"/>
  <c r="HJ160" i="1"/>
  <c r="DI160" i="1" s="1"/>
  <c r="HJ159" i="1"/>
  <c r="DI159" i="1" s="1"/>
  <c r="HJ60" i="1"/>
  <c r="DI60" i="1" s="1"/>
  <c r="HJ110" i="1"/>
  <c r="DI110" i="1" s="1"/>
  <c r="HJ236" i="1"/>
  <c r="HJ111" i="1"/>
  <c r="DI111" i="1" s="1"/>
  <c r="HJ218" i="1"/>
  <c r="DI218" i="1" s="1"/>
  <c r="HJ231" i="1"/>
  <c r="HJ234" i="1"/>
  <c r="HJ230" i="1"/>
  <c r="DI231" i="1"/>
  <c r="DI234" i="1"/>
  <c r="DI230" i="1"/>
  <c r="HJ38" i="1"/>
  <c r="HJ46" i="1"/>
  <c r="HJ39" i="1"/>
  <c r="HJ42" i="1"/>
  <c r="HJ45" i="1"/>
  <c r="HK30" i="1"/>
  <c r="HK35" i="1" s="1"/>
  <c r="HJ43" i="1"/>
  <c r="HJ41" i="1"/>
  <c r="HJ40" i="1"/>
  <c r="DI41" i="1"/>
  <c r="DI45" i="1"/>
  <c r="DI43" i="1"/>
  <c r="DI42" i="1"/>
  <c r="DJ30" i="1"/>
  <c r="DJ44" i="1" s="1"/>
  <c r="HJ197" i="1"/>
  <c r="DI197" i="1" s="1"/>
  <c r="HJ224" i="1"/>
  <c r="HJ223" i="1"/>
  <c r="HJ222" i="1"/>
  <c r="HJ214" i="1"/>
  <c r="DI214" i="1" s="1"/>
  <c r="HJ221" i="1"/>
  <c r="HJ215" i="1"/>
  <c r="DI215" i="1" s="1"/>
  <c r="HJ213" i="1"/>
  <c r="DI213" i="1" s="1"/>
  <c r="HJ212" i="1"/>
  <c r="DI212" i="1" s="1"/>
  <c r="DI223" i="1"/>
  <c r="DI224" i="1"/>
  <c r="DI222" i="1"/>
  <c r="DI221" i="1"/>
  <c r="DI207" i="1"/>
  <c r="DI206" i="1"/>
  <c r="DI205" i="1"/>
  <c r="HJ207" i="1"/>
  <c r="HJ206" i="1"/>
  <c r="HJ205" i="1"/>
  <c r="HJ204" i="1"/>
  <c r="HJ201" i="1"/>
  <c r="DI201" i="1" s="1"/>
  <c r="HJ196" i="1"/>
  <c r="DI196" i="1" s="1"/>
  <c r="HJ198" i="1"/>
  <c r="DI198" i="1" s="1"/>
  <c r="HJ195" i="1"/>
  <c r="DI195" i="1" s="1"/>
  <c r="HJ128" i="1"/>
  <c r="DI128" i="1" s="1"/>
  <c r="HJ127" i="1"/>
  <c r="DI127" i="1" s="1"/>
  <c r="HJ130" i="1"/>
  <c r="DI130" i="1" s="1"/>
  <c r="HJ129" i="1"/>
  <c r="DI129" i="1" s="1"/>
  <c r="HJ79" i="1"/>
  <c r="DI79" i="1" s="1"/>
  <c r="HJ78" i="1"/>
  <c r="DI78" i="1" s="1"/>
  <c r="HJ61" i="1"/>
  <c r="DI61" i="1" s="1"/>
  <c r="HJ77" i="1"/>
  <c r="DI77" i="1" s="1"/>
  <c r="HJ76" i="1"/>
  <c r="DI76" i="1" s="1"/>
  <c r="HJ91" i="1"/>
  <c r="DI91" i="1" s="1"/>
  <c r="HJ90" i="1"/>
  <c r="DI90" i="1" s="1"/>
  <c r="HJ92" i="1"/>
  <c r="DI92" i="1" s="1"/>
  <c r="DI189" i="1"/>
  <c r="DI190" i="1"/>
  <c r="DI188" i="1"/>
  <c r="DI187" i="1"/>
  <c r="DI151" i="1"/>
  <c r="DI152" i="1"/>
  <c r="DI150" i="1"/>
  <c r="DI153" i="1"/>
  <c r="HJ190" i="1"/>
  <c r="HJ189" i="1"/>
  <c r="HJ188" i="1"/>
  <c r="HJ187" i="1"/>
  <c r="HJ178" i="1"/>
  <c r="DI178" i="1" s="1"/>
  <c r="HJ152" i="1"/>
  <c r="HJ151" i="1"/>
  <c r="HJ153" i="1"/>
  <c r="HJ150" i="1"/>
  <c r="HJ149" i="1"/>
  <c r="HJ100" i="1"/>
  <c r="HJ98" i="1"/>
  <c r="HJ101" i="1"/>
  <c r="HJ97" i="1"/>
  <c r="HJ103" i="1"/>
  <c r="HJ99" i="1"/>
  <c r="HJ104" i="1"/>
  <c r="HJ102" i="1"/>
  <c r="DI99" i="1"/>
  <c r="DI98" i="1"/>
  <c r="DI100" i="1"/>
  <c r="DI104" i="1"/>
  <c r="DI101" i="1"/>
  <c r="DI102" i="1"/>
  <c r="DI103" i="1"/>
  <c r="DI97" i="1"/>
  <c r="HJ80" i="1"/>
  <c r="DI80" i="1" s="1"/>
  <c r="HJ158" i="1"/>
  <c r="DI158" i="1" s="1"/>
  <c r="HJ120" i="1"/>
  <c r="DI120" i="1" s="1"/>
  <c r="HJ67" i="1"/>
  <c r="DI67" i="1" s="1"/>
  <c r="HJ109" i="1"/>
  <c r="DI109" i="1" s="1"/>
  <c r="HJ162" i="1"/>
  <c r="DI162" i="1" s="1"/>
  <c r="HJ113" i="1"/>
  <c r="DI113" i="1" s="1"/>
  <c r="HJ64" i="1"/>
  <c r="DI64" i="1" s="1"/>
  <c r="HJ62" i="1"/>
  <c r="DI62" i="1" s="1"/>
  <c r="HJ58" i="1"/>
  <c r="DI58" i="1" s="1"/>
  <c r="HK56" i="1"/>
  <c r="DJ56" i="1"/>
  <c r="DJ35" i="1" l="1"/>
  <c r="DI125" i="1"/>
  <c r="DI147" i="1"/>
  <c r="HK184" i="1"/>
  <c r="DJ184" i="1" s="1"/>
  <c r="HK183" i="1"/>
  <c r="DJ183" i="1" s="1"/>
  <c r="HK180" i="1"/>
  <c r="DJ180" i="1" s="1"/>
  <c r="HK181" i="1"/>
  <c r="DJ181" i="1" s="1"/>
  <c r="HK182" i="1"/>
  <c r="DJ182" i="1" s="1"/>
  <c r="HK179" i="1"/>
  <c r="DJ179" i="1" s="1"/>
  <c r="HK163" i="1"/>
  <c r="DJ163" i="1" s="1"/>
  <c r="HK177" i="1"/>
  <c r="DJ177" i="1" s="1"/>
  <c r="HK176" i="1"/>
  <c r="DJ176" i="1" s="1"/>
  <c r="HK174" i="1"/>
  <c r="DJ174" i="1" s="1"/>
  <c r="HK175" i="1"/>
  <c r="DJ175" i="1" s="1"/>
  <c r="HK161" i="1"/>
  <c r="DJ161" i="1" s="1"/>
  <c r="HK171" i="1"/>
  <c r="DJ171" i="1" s="1"/>
  <c r="HK170" i="1"/>
  <c r="DJ170" i="1" s="1"/>
  <c r="HK169" i="1"/>
  <c r="DJ169" i="1" s="1"/>
  <c r="HK168" i="1"/>
  <c r="DJ168" i="1" s="1"/>
  <c r="HK167" i="1"/>
  <c r="DJ167" i="1" s="1"/>
  <c r="HK165" i="1"/>
  <c r="DJ165" i="1" s="1"/>
  <c r="HK164" i="1"/>
  <c r="DJ164" i="1" s="1"/>
  <c r="HK166" i="1"/>
  <c r="DJ166" i="1" s="1"/>
  <c r="HK137" i="1"/>
  <c r="DJ137" i="1" s="1"/>
  <c r="HK136" i="1"/>
  <c r="DJ136" i="1" s="1"/>
  <c r="HK146" i="1"/>
  <c r="DJ146" i="1" s="1"/>
  <c r="HK145" i="1"/>
  <c r="DJ145" i="1" s="1"/>
  <c r="HK144" i="1"/>
  <c r="DJ144" i="1" s="1"/>
  <c r="HK143" i="1"/>
  <c r="DJ143" i="1" s="1"/>
  <c r="HK141" i="1"/>
  <c r="DJ141" i="1" s="1"/>
  <c r="HK140" i="1"/>
  <c r="DJ140" i="1" s="1"/>
  <c r="HK142" i="1"/>
  <c r="DJ142" i="1" s="1"/>
  <c r="HK139" i="1"/>
  <c r="DJ139" i="1" s="1"/>
  <c r="HK131" i="1"/>
  <c r="DJ131" i="1" s="1"/>
  <c r="HK132" i="1"/>
  <c r="DJ132" i="1" s="1"/>
  <c r="HK133" i="1"/>
  <c r="DJ133" i="1" s="1"/>
  <c r="HK138" i="1"/>
  <c r="DJ138" i="1" s="1"/>
  <c r="HK135" i="1"/>
  <c r="DJ135" i="1" s="1"/>
  <c r="HK134" i="1"/>
  <c r="DJ134" i="1" s="1"/>
  <c r="HK124" i="1"/>
  <c r="DJ124" i="1" s="1"/>
  <c r="HK123" i="1"/>
  <c r="DJ123" i="1" s="1"/>
  <c r="HK115" i="1"/>
  <c r="DJ115" i="1" s="1"/>
  <c r="HK122" i="1"/>
  <c r="DJ122" i="1" s="1"/>
  <c r="HK121" i="1"/>
  <c r="DJ121" i="1" s="1"/>
  <c r="HK119" i="1"/>
  <c r="DJ119" i="1" s="1"/>
  <c r="HK118" i="1"/>
  <c r="DJ118" i="1" s="1"/>
  <c r="HK117" i="1"/>
  <c r="DJ117" i="1" s="1"/>
  <c r="HK116" i="1"/>
  <c r="DJ116" i="1" s="1"/>
  <c r="HK114" i="1"/>
  <c r="DJ114" i="1" s="1"/>
  <c r="HK112" i="1"/>
  <c r="DJ112" i="1" s="1"/>
  <c r="HK94" i="1"/>
  <c r="DJ94" i="1" s="1"/>
  <c r="HK89" i="1"/>
  <c r="DJ89" i="1" s="1"/>
  <c r="HK87" i="1"/>
  <c r="DJ87" i="1" s="1"/>
  <c r="HK86" i="1"/>
  <c r="DJ86" i="1" s="1"/>
  <c r="HK88" i="1"/>
  <c r="DJ88" i="1" s="1"/>
  <c r="HK81" i="1"/>
  <c r="DJ81" i="1" s="1"/>
  <c r="HK85" i="1"/>
  <c r="DJ85" i="1" s="1"/>
  <c r="HK84" i="1"/>
  <c r="DJ84" i="1" s="1"/>
  <c r="HK83" i="1"/>
  <c r="DJ83" i="1" s="1"/>
  <c r="HK82" i="1"/>
  <c r="DJ82" i="1" s="1"/>
  <c r="HK66" i="1"/>
  <c r="DJ66" i="1" s="1"/>
  <c r="HK72" i="1"/>
  <c r="DJ72" i="1" s="1"/>
  <c r="HK73" i="1"/>
  <c r="DJ73" i="1" s="1"/>
  <c r="HK71" i="1"/>
  <c r="DJ71" i="1" s="1"/>
  <c r="HK70" i="1"/>
  <c r="DJ70" i="1" s="1"/>
  <c r="HK69" i="1"/>
  <c r="DJ69" i="1" s="1"/>
  <c r="HK68" i="1"/>
  <c r="DJ68" i="1" s="1"/>
  <c r="HK65" i="1"/>
  <c r="DJ65" i="1" s="1"/>
  <c r="HK63" i="1"/>
  <c r="DJ63" i="1" s="1"/>
  <c r="HK44" i="1"/>
  <c r="HK32" i="1"/>
  <c r="DJ32" i="1" s="1"/>
  <c r="HK31" i="1"/>
  <c r="DJ31" i="1" s="1"/>
  <c r="DJ232" i="1"/>
  <c r="DJ233" i="1"/>
  <c r="HK233" i="1"/>
  <c r="HK232" i="1"/>
  <c r="HK93" i="1"/>
  <c r="DJ93" i="1" s="1"/>
  <c r="DJ236" i="1"/>
  <c r="DJ229" i="1"/>
  <c r="DJ235" i="1"/>
  <c r="HK229" i="1"/>
  <c r="HK235" i="1"/>
  <c r="HK159" i="1"/>
  <c r="DJ159" i="1" s="1"/>
  <c r="HK59" i="1"/>
  <c r="DJ59" i="1" s="1"/>
  <c r="HK60" i="1"/>
  <c r="DJ60" i="1" s="1"/>
  <c r="HK160" i="1"/>
  <c r="DJ160" i="1" s="1"/>
  <c r="HK236" i="1"/>
  <c r="HK110" i="1"/>
  <c r="DJ110" i="1" s="1"/>
  <c r="HK111" i="1"/>
  <c r="DJ111" i="1" s="1"/>
  <c r="DJ231" i="1"/>
  <c r="DJ234" i="1"/>
  <c r="DJ230" i="1"/>
  <c r="HK218" i="1"/>
  <c r="DJ218" i="1" s="1"/>
  <c r="HK234" i="1"/>
  <c r="HK231" i="1"/>
  <c r="HK230" i="1"/>
  <c r="HK45" i="1"/>
  <c r="HL30" i="1"/>
  <c r="HL35" i="1" s="1"/>
  <c r="HK38" i="1"/>
  <c r="HK40" i="1"/>
  <c r="HK42" i="1"/>
  <c r="HK46" i="1"/>
  <c r="HK39" i="1"/>
  <c r="HK43" i="1"/>
  <c r="HK41" i="1"/>
  <c r="DJ43" i="1"/>
  <c r="DJ42" i="1"/>
  <c r="DK30" i="1"/>
  <c r="DK44" i="1" s="1"/>
  <c r="DJ41" i="1"/>
  <c r="DJ45" i="1"/>
  <c r="HK197" i="1"/>
  <c r="DJ197" i="1" s="1"/>
  <c r="HK224" i="1"/>
  <c r="HK222" i="1"/>
  <c r="HK223" i="1"/>
  <c r="HK221" i="1"/>
  <c r="HK212" i="1"/>
  <c r="DJ212" i="1" s="1"/>
  <c r="HK215" i="1"/>
  <c r="DJ215" i="1" s="1"/>
  <c r="HK214" i="1"/>
  <c r="DJ214" i="1" s="1"/>
  <c r="HK213" i="1"/>
  <c r="DJ213" i="1" s="1"/>
  <c r="DJ224" i="1"/>
  <c r="DJ223" i="1"/>
  <c r="DJ221" i="1"/>
  <c r="DJ222" i="1"/>
  <c r="HK207" i="1"/>
  <c r="HK206" i="1"/>
  <c r="HK205" i="1"/>
  <c r="HK204" i="1"/>
  <c r="HK201" i="1"/>
  <c r="DJ201" i="1" s="1"/>
  <c r="HK196" i="1"/>
  <c r="DJ196" i="1" s="1"/>
  <c r="HK198" i="1"/>
  <c r="DJ198" i="1" s="1"/>
  <c r="HK195" i="1"/>
  <c r="DJ195" i="1" s="1"/>
  <c r="HK129" i="1"/>
  <c r="DJ129" i="1" s="1"/>
  <c r="HK130" i="1"/>
  <c r="DJ130" i="1" s="1"/>
  <c r="HK128" i="1"/>
  <c r="DJ128" i="1" s="1"/>
  <c r="HK127" i="1"/>
  <c r="DJ127" i="1" s="1"/>
  <c r="DJ206" i="1"/>
  <c r="DJ205" i="1"/>
  <c r="DJ207" i="1"/>
  <c r="HK79" i="1"/>
  <c r="DJ79" i="1" s="1"/>
  <c r="HK78" i="1"/>
  <c r="DJ78" i="1" s="1"/>
  <c r="HK77" i="1"/>
  <c r="DJ77" i="1" s="1"/>
  <c r="HK76" i="1"/>
  <c r="DJ76" i="1" s="1"/>
  <c r="HK92" i="1"/>
  <c r="DJ92" i="1" s="1"/>
  <c r="HK91" i="1"/>
  <c r="DJ91" i="1" s="1"/>
  <c r="HK90" i="1"/>
  <c r="DJ90" i="1" s="1"/>
  <c r="HK61" i="1"/>
  <c r="DJ61" i="1" s="1"/>
  <c r="DJ190" i="1"/>
  <c r="DJ188" i="1"/>
  <c r="DJ187" i="1"/>
  <c r="DJ189" i="1"/>
  <c r="DJ153" i="1"/>
  <c r="DJ152" i="1"/>
  <c r="DJ151" i="1"/>
  <c r="DJ150" i="1"/>
  <c r="HK188" i="1"/>
  <c r="HK190" i="1"/>
  <c r="HK187" i="1"/>
  <c r="HK178" i="1"/>
  <c r="DJ178" i="1" s="1"/>
  <c r="HK189" i="1"/>
  <c r="HK152" i="1"/>
  <c r="HK153" i="1"/>
  <c r="HK151" i="1"/>
  <c r="HK150" i="1"/>
  <c r="HK149" i="1"/>
  <c r="HK99" i="1"/>
  <c r="HK103" i="1"/>
  <c r="HK102" i="1"/>
  <c r="HK98" i="1"/>
  <c r="HK97" i="1"/>
  <c r="HK100" i="1"/>
  <c r="HK101" i="1"/>
  <c r="HK104" i="1"/>
  <c r="DJ97" i="1"/>
  <c r="DJ101" i="1"/>
  <c r="DJ98" i="1"/>
  <c r="DJ100" i="1"/>
  <c r="DJ102" i="1"/>
  <c r="DJ103" i="1"/>
  <c r="DJ99" i="1"/>
  <c r="DJ104" i="1"/>
  <c r="HK80" i="1"/>
  <c r="DJ80" i="1" s="1"/>
  <c r="HK158" i="1"/>
  <c r="DJ158" i="1" s="1"/>
  <c r="HK67" i="1"/>
  <c r="DJ67" i="1" s="1"/>
  <c r="HK120" i="1"/>
  <c r="DJ120" i="1" s="1"/>
  <c r="HK109" i="1"/>
  <c r="DJ109" i="1" s="1"/>
  <c r="HK162" i="1"/>
  <c r="DJ162" i="1" s="1"/>
  <c r="HK113" i="1"/>
  <c r="DJ113" i="1" s="1"/>
  <c r="HK64" i="1"/>
  <c r="DJ64" i="1" s="1"/>
  <c r="HK58" i="1"/>
  <c r="DJ58" i="1" s="1"/>
  <c r="HK62" i="1"/>
  <c r="DJ62" i="1" s="1"/>
  <c r="HL56" i="1"/>
  <c r="DK56" i="1"/>
  <c r="DK35" i="1" l="1"/>
  <c r="DJ147" i="1"/>
  <c r="DJ125" i="1"/>
  <c r="HL184" i="1"/>
  <c r="DK184" i="1" s="1"/>
  <c r="HL183" i="1"/>
  <c r="DK183" i="1" s="1"/>
  <c r="HL181" i="1"/>
  <c r="DK181" i="1" s="1"/>
  <c r="HL182" i="1"/>
  <c r="DK182" i="1" s="1"/>
  <c r="HL179" i="1"/>
  <c r="DK179" i="1" s="1"/>
  <c r="HL180" i="1"/>
  <c r="DK180" i="1" s="1"/>
  <c r="HL163" i="1"/>
  <c r="DK163" i="1" s="1"/>
  <c r="HL177" i="1"/>
  <c r="DK177" i="1" s="1"/>
  <c r="HL176" i="1"/>
  <c r="DK176" i="1" s="1"/>
  <c r="HL175" i="1"/>
  <c r="DK175" i="1" s="1"/>
  <c r="HL174" i="1"/>
  <c r="DK174" i="1" s="1"/>
  <c r="HL161" i="1"/>
  <c r="DK161" i="1" s="1"/>
  <c r="HL171" i="1"/>
  <c r="DK171" i="1" s="1"/>
  <c r="HL170" i="1"/>
  <c r="DK170" i="1" s="1"/>
  <c r="HL168" i="1"/>
  <c r="DK168" i="1" s="1"/>
  <c r="HL169" i="1"/>
  <c r="DK169" i="1" s="1"/>
  <c r="HL166" i="1"/>
  <c r="DK166" i="1" s="1"/>
  <c r="HL164" i="1"/>
  <c r="DK164" i="1" s="1"/>
  <c r="HL165" i="1"/>
  <c r="DK165" i="1" s="1"/>
  <c r="HL167" i="1"/>
  <c r="DK167" i="1" s="1"/>
  <c r="HL137" i="1"/>
  <c r="DK137" i="1" s="1"/>
  <c r="HL136" i="1"/>
  <c r="DK136" i="1" s="1"/>
  <c r="HL146" i="1"/>
  <c r="DK146" i="1" s="1"/>
  <c r="HL145" i="1"/>
  <c r="DK145" i="1" s="1"/>
  <c r="HL144" i="1"/>
  <c r="DK144" i="1" s="1"/>
  <c r="HL143" i="1"/>
  <c r="DK143" i="1" s="1"/>
  <c r="HL142" i="1"/>
  <c r="DK142" i="1" s="1"/>
  <c r="HL141" i="1"/>
  <c r="DK141" i="1" s="1"/>
  <c r="HL139" i="1"/>
  <c r="DK139" i="1" s="1"/>
  <c r="HL140" i="1"/>
  <c r="DK140" i="1" s="1"/>
  <c r="HL131" i="1"/>
  <c r="DK131" i="1" s="1"/>
  <c r="HL132" i="1"/>
  <c r="DK132" i="1" s="1"/>
  <c r="HL133" i="1"/>
  <c r="DK133" i="1" s="1"/>
  <c r="HL138" i="1"/>
  <c r="DK138" i="1" s="1"/>
  <c r="HL135" i="1"/>
  <c r="DK135" i="1" s="1"/>
  <c r="HL134" i="1"/>
  <c r="DK134" i="1" s="1"/>
  <c r="HL124" i="1"/>
  <c r="DK124" i="1" s="1"/>
  <c r="HL123" i="1"/>
  <c r="DK123" i="1" s="1"/>
  <c r="HL115" i="1"/>
  <c r="DK115" i="1" s="1"/>
  <c r="HL121" i="1"/>
  <c r="DK121" i="1" s="1"/>
  <c r="HL122" i="1"/>
  <c r="DK122" i="1" s="1"/>
  <c r="HL118" i="1"/>
  <c r="DK118" i="1" s="1"/>
  <c r="HL119" i="1"/>
  <c r="DK119" i="1" s="1"/>
  <c r="HL117" i="1"/>
  <c r="DK117" i="1" s="1"/>
  <c r="HL116" i="1"/>
  <c r="DK116" i="1" s="1"/>
  <c r="HL114" i="1"/>
  <c r="DK114" i="1" s="1"/>
  <c r="HL112" i="1"/>
  <c r="DK112" i="1" s="1"/>
  <c r="HL94" i="1"/>
  <c r="DK94" i="1" s="1"/>
  <c r="HL89" i="1"/>
  <c r="DK89" i="1" s="1"/>
  <c r="HL88" i="1"/>
  <c r="DK88" i="1" s="1"/>
  <c r="HL86" i="1"/>
  <c r="DK86" i="1" s="1"/>
  <c r="HL87" i="1"/>
  <c r="DK87" i="1" s="1"/>
  <c r="HL81" i="1"/>
  <c r="DK81" i="1" s="1"/>
  <c r="HL85" i="1"/>
  <c r="DK85" i="1" s="1"/>
  <c r="HL84" i="1"/>
  <c r="DK84" i="1" s="1"/>
  <c r="HL82" i="1"/>
  <c r="DK82" i="1" s="1"/>
  <c r="HL83" i="1"/>
  <c r="DK83" i="1" s="1"/>
  <c r="HL66" i="1"/>
  <c r="DK66" i="1" s="1"/>
  <c r="HL73" i="1"/>
  <c r="DK73" i="1" s="1"/>
  <c r="HL71" i="1"/>
  <c r="DK71" i="1" s="1"/>
  <c r="HL70" i="1"/>
  <c r="DK70" i="1" s="1"/>
  <c r="HL69" i="1"/>
  <c r="DK69" i="1" s="1"/>
  <c r="HL72" i="1"/>
  <c r="DK72" i="1" s="1"/>
  <c r="HL68" i="1"/>
  <c r="DK68" i="1" s="1"/>
  <c r="HL65" i="1"/>
  <c r="DK65" i="1" s="1"/>
  <c r="HL63" i="1"/>
  <c r="DK63" i="1" s="1"/>
  <c r="HL44" i="1"/>
  <c r="HL32" i="1"/>
  <c r="DK32" i="1" s="1"/>
  <c r="HL31" i="1"/>
  <c r="DK31" i="1" s="1"/>
  <c r="DK232" i="1"/>
  <c r="DK233" i="1"/>
  <c r="HL232" i="1"/>
  <c r="HL233" i="1"/>
  <c r="HL93" i="1"/>
  <c r="DK93" i="1" s="1"/>
  <c r="DK236" i="1"/>
  <c r="DK229" i="1"/>
  <c r="DK235" i="1"/>
  <c r="HL229" i="1"/>
  <c r="HL235" i="1"/>
  <c r="HL160" i="1"/>
  <c r="DK160" i="1" s="1"/>
  <c r="HL59" i="1"/>
  <c r="DK59" i="1" s="1"/>
  <c r="HL60" i="1"/>
  <c r="DK60" i="1" s="1"/>
  <c r="HL159" i="1"/>
  <c r="DK159" i="1" s="1"/>
  <c r="HL111" i="1"/>
  <c r="DK111" i="1" s="1"/>
  <c r="HL110" i="1"/>
  <c r="DK110" i="1" s="1"/>
  <c r="HL236" i="1"/>
  <c r="HL218" i="1"/>
  <c r="DK218" i="1" s="1"/>
  <c r="HL234" i="1"/>
  <c r="HL231" i="1"/>
  <c r="HL230" i="1"/>
  <c r="DK234" i="1"/>
  <c r="DK230" i="1"/>
  <c r="DK231" i="1"/>
  <c r="HL45" i="1"/>
  <c r="HL42" i="1"/>
  <c r="HM30" i="1"/>
  <c r="HM35" i="1" s="1"/>
  <c r="HL40" i="1"/>
  <c r="HL38" i="1"/>
  <c r="HL41" i="1"/>
  <c r="HL46" i="1"/>
  <c r="HL39" i="1"/>
  <c r="HL43" i="1"/>
  <c r="DK45" i="1"/>
  <c r="DK43" i="1"/>
  <c r="DK41" i="1"/>
  <c r="DL30" i="1"/>
  <c r="DL44" i="1" s="1"/>
  <c r="DK42" i="1"/>
  <c r="HL197" i="1"/>
  <c r="DK197" i="1" s="1"/>
  <c r="HL222" i="1"/>
  <c r="HL221" i="1"/>
  <c r="HL223" i="1"/>
  <c r="HL224" i="1"/>
  <c r="HL213" i="1"/>
  <c r="DK213" i="1" s="1"/>
  <c r="HL212" i="1"/>
  <c r="DK212" i="1" s="1"/>
  <c r="HL215" i="1"/>
  <c r="DK215" i="1" s="1"/>
  <c r="HL214" i="1"/>
  <c r="DK214" i="1" s="1"/>
  <c r="DK224" i="1"/>
  <c r="DK222" i="1"/>
  <c r="DK223" i="1"/>
  <c r="DK221" i="1"/>
  <c r="HL207" i="1"/>
  <c r="HL206" i="1"/>
  <c r="HL205" i="1"/>
  <c r="HL204" i="1"/>
  <c r="HL201" i="1"/>
  <c r="DK201" i="1" s="1"/>
  <c r="HL196" i="1"/>
  <c r="DK196" i="1" s="1"/>
  <c r="HL198" i="1"/>
  <c r="DK198" i="1" s="1"/>
  <c r="HL195" i="1"/>
  <c r="DK195" i="1" s="1"/>
  <c r="HL129" i="1"/>
  <c r="DK129" i="1" s="1"/>
  <c r="HL130" i="1"/>
  <c r="DK130" i="1" s="1"/>
  <c r="HL128" i="1"/>
  <c r="DK128" i="1" s="1"/>
  <c r="HL127" i="1"/>
  <c r="DK127" i="1" s="1"/>
  <c r="DK206" i="1"/>
  <c r="DK207" i="1"/>
  <c r="DK205" i="1"/>
  <c r="HL79" i="1"/>
  <c r="DK79" i="1" s="1"/>
  <c r="HL78" i="1"/>
  <c r="DK78" i="1" s="1"/>
  <c r="HL77" i="1"/>
  <c r="DK77" i="1" s="1"/>
  <c r="HL76" i="1"/>
  <c r="DK76" i="1" s="1"/>
  <c r="HL92" i="1"/>
  <c r="DK92" i="1" s="1"/>
  <c r="HL91" i="1"/>
  <c r="DK91" i="1" s="1"/>
  <c r="HL90" i="1"/>
  <c r="DK90" i="1" s="1"/>
  <c r="HL61" i="1"/>
  <c r="DK61" i="1" s="1"/>
  <c r="DK189" i="1"/>
  <c r="DK187" i="1"/>
  <c r="DK190" i="1"/>
  <c r="DK188" i="1"/>
  <c r="DK150" i="1"/>
  <c r="DK152" i="1"/>
  <c r="DK151" i="1"/>
  <c r="DK153" i="1"/>
  <c r="HL189" i="1"/>
  <c r="HL190" i="1"/>
  <c r="HL188" i="1"/>
  <c r="HL187" i="1"/>
  <c r="HL178" i="1"/>
  <c r="DK178" i="1" s="1"/>
  <c r="HL150" i="1"/>
  <c r="HL153" i="1"/>
  <c r="HL151" i="1"/>
  <c r="HL152" i="1"/>
  <c r="HL149" i="1"/>
  <c r="HL98" i="1"/>
  <c r="HL102" i="1"/>
  <c r="HL99" i="1"/>
  <c r="HL101" i="1"/>
  <c r="HL97" i="1"/>
  <c r="HL103" i="1"/>
  <c r="HL104" i="1"/>
  <c r="HL100" i="1"/>
  <c r="DK98" i="1"/>
  <c r="DK97" i="1"/>
  <c r="DK102" i="1"/>
  <c r="DK100" i="1"/>
  <c r="DK101" i="1"/>
  <c r="DK104" i="1"/>
  <c r="DK103" i="1"/>
  <c r="DK99" i="1"/>
  <c r="HL80" i="1"/>
  <c r="DK80" i="1" s="1"/>
  <c r="HL158" i="1"/>
  <c r="DK158" i="1" s="1"/>
  <c r="HL120" i="1"/>
  <c r="DK120" i="1" s="1"/>
  <c r="HL67" i="1"/>
  <c r="DK67" i="1" s="1"/>
  <c r="HL109" i="1"/>
  <c r="DK109" i="1" s="1"/>
  <c r="HL162" i="1"/>
  <c r="DK162" i="1" s="1"/>
  <c r="HL113" i="1"/>
  <c r="DK113" i="1" s="1"/>
  <c r="HL62" i="1"/>
  <c r="DK62" i="1" s="1"/>
  <c r="HL64" i="1"/>
  <c r="DK64" i="1" s="1"/>
  <c r="HM56" i="1"/>
  <c r="HL58" i="1"/>
  <c r="DK58" i="1" s="1"/>
  <c r="DL56" i="1"/>
  <c r="DL35" i="1" l="1"/>
  <c r="DK147" i="1"/>
  <c r="DK125" i="1"/>
  <c r="HM184" i="1"/>
  <c r="DL184" i="1" s="1"/>
  <c r="HM179" i="1"/>
  <c r="DL179" i="1" s="1"/>
  <c r="HM182" i="1"/>
  <c r="DL182" i="1" s="1"/>
  <c r="HM183" i="1"/>
  <c r="DL183" i="1" s="1"/>
  <c r="HM181" i="1"/>
  <c r="DL181" i="1" s="1"/>
  <c r="HM180" i="1"/>
  <c r="DL180" i="1" s="1"/>
  <c r="HM163" i="1"/>
  <c r="DL163" i="1" s="1"/>
  <c r="HM176" i="1"/>
  <c r="DL176" i="1" s="1"/>
  <c r="HM174" i="1"/>
  <c r="DL174" i="1" s="1"/>
  <c r="HM177" i="1"/>
  <c r="DL177" i="1" s="1"/>
  <c r="HM175" i="1"/>
  <c r="DL175" i="1" s="1"/>
  <c r="HM161" i="1"/>
  <c r="DL161" i="1" s="1"/>
  <c r="HM171" i="1"/>
  <c r="DL171" i="1" s="1"/>
  <c r="HM170" i="1"/>
  <c r="DL170" i="1" s="1"/>
  <c r="HM168" i="1"/>
  <c r="DL168" i="1" s="1"/>
  <c r="HM169" i="1"/>
  <c r="DL169" i="1" s="1"/>
  <c r="HM166" i="1"/>
  <c r="DL166" i="1" s="1"/>
  <c r="HM167" i="1"/>
  <c r="DL167" i="1" s="1"/>
  <c r="HM165" i="1"/>
  <c r="DL165" i="1" s="1"/>
  <c r="HM164" i="1"/>
  <c r="DL164" i="1" s="1"/>
  <c r="HM137" i="1"/>
  <c r="DL137" i="1" s="1"/>
  <c r="HM136" i="1"/>
  <c r="DL136" i="1" s="1"/>
  <c r="HM145" i="1"/>
  <c r="DL145" i="1" s="1"/>
  <c r="HM144" i="1"/>
  <c r="DL144" i="1" s="1"/>
  <c r="HM146" i="1"/>
  <c r="DL146" i="1" s="1"/>
  <c r="HM142" i="1"/>
  <c r="DL142" i="1" s="1"/>
  <c r="HM143" i="1"/>
  <c r="DL143" i="1" s="1"/>
  <c r="HM139" i="1"/>
  <c r="DL139" i="1" s="1"/>
  <c r="HM140" i="1"/>
  <c r="DL140" i="1" s="1"/>
  <c r="HM141" i="1"/>
  <c r="DL141" i="1" s="1"/>
  <c r="HM131" i="1"/>
  <c r="DL131" i="1" s="1"/>
  <c r="HM133" i="1"/>
  <c r="DL133" i="1" s="1"/>
  <c r="HM132" i="1"/>
  <c r="DL132" i="1" s="1"/>
  <c r="HM135" i="1"/>
  <c r="DL135" i="1" s="1"/>
  <c r="HM138" i="1"/>
  <c r="DL138" i="1" s="1"/>
  <c r="HM134" i="1"/>
  <c r="DL134" i="1" s="1"/>
  <c r="HM123" i="1"/>
  <c r="DL123" i="1" s="1"/>
  <c r="HM124" i="1"/>
  <c r="DL124" i="1" s="1"/>
  <c r="HM115" i="1"/>
  <c r="DL115" i="1" s="1"/>
  <c r="HM121" i="1"/>
  <c r="DL121" i="1" s="1"/>
  <c r="HM122" i="1"/>
  <c r="DL122" i="1" s="1"/>
  <c r="HM118" i="1"/>
  <c r="DL118" i="1" s="1"/>
  <c r="HM114" i="1"/>
  <c r="DL114" i="1" s="1"/>
  <c r="HM119" i="1"/>
  <c r="DL119" i="1" s="1"/>
  <c r="HM117" i="1"/>
  <c r="DL117" i="1" s="1"/>
  <c r="HM116" i="1"/>
  <c r="DL116" i="1" s="1"/>
  <c r="HM112" i="1"/>
  <c r="DL112" i="1" s="1"/>
  <c r="HM94" i="1"/>
  <c r="DL94" i="1" s="1"/>
  <c r="HM88" i="1"/>
  <c r="DL88" i="1" s="1"/>
  <c r="HM87" i="1"/>
  <c r="DL87" i="1" s="1"/>
  <c r="HM89" i="1"/>
  <c r="DL89" i="1" s="1"/>
  <c r="HM86" i="1"/>
  <c r="DL86" i="1" s="1"/>
  <c r="HM81" i="1"/>
  <c r="DL81" i="1" s="1"/>
  <c r="HM84" i="1"/>
  <c r="DL84" i="1" s="1"/>
  <c r="HM85" i="1"/>
  <c r="DL85" i="1" s="1"/>
  <c r="HM82" i="1"/>
  <c r="DL82" i="1" s="1"/>
  <c r="HM83" i="1"/>
  <c r="DL83" i="1" s="1"/>
  <c r="HM66" i="1"/>
  <c r="DL66" i="1" s="1"/>
  <c r="HM72" i="1"/>
  <c r="DL72" i="1" s="1"/>
  <c r="HM71" i="1"/>
  <c r="DL71" i="1" s="1"/>
  <c r="HM73" i="1"/>
  <c r="DL73" i="1" s="1"/>
  <c r="HM69" i="1"/>
  <c r="DL69" i="1" s="1"/>
  <c r="HM68" i="1"/>
  <c r="DL68" i="1" s="1"/>
  <c r="HM70" i="1"/>
  <c r="DL70" i="1" s="1"/>
  <c r="HM65" i="1"/>
  <c r="DL65" i="1" s="1"/>
  <c r="HM63" i="1"/>
  <c r="DL63" i="1" s="1"/>
  <c r="HM44" i="1"/>
  <c r="HM31" i="1"/>
  <c r="DL31" i="1" s="1"/>
  <c r="HM32" i="1"/>
  <c r="DL32" i="1" s="1"/>
  <c r="HM232" i="1"/>
  <c r="HM233" i="1"/>
  <c r="DL233" i="1"/>
  <c r="DL232" i="1"/>
  <c r="HM93" i="1"/>
  <c r="DL93" i="1" s="1"/>
  <c r="DL236" i="1"/>
  <c r="DL235" i="1"/>
  <c r="DL229" i="1"/>
  <c r="HM235" i="1"/>
  <c r="HM229" i="1"/>
  <c r="HM159" i="1"/>
  <c r="DL159" i="1" s="1"/>
  <c r="HM160" i="1"/>
  <c r="DL160" i="1" s="1"/>
  <c r="HM59" i="1"/>
  <c r="DL59" i="1" s="1"/>
  <c r="HM60" i="1"/>
  <c r="DL60" i="1" s="1"/>
  <c r="HM111" i="1"/>
  <c r="DL111" i="1" s="1"/>
  <c r="HM110" i="1"/>
  <c r="DL110" i="1" s="1"/>
  <c r="HM236" i="1"/>
  <c r="DL234" i="1"/>
  <c r="DL231" i="1"/>
  <c r="DL230" i="1"/>
  <c r="HM218" i="1"/>
  <c r="DL218" i="1" s="1"/>
  <c r="HM231" i="1"/>
  <c r="HM230" i="1"/>
  <c r="HM234" i="1"/>
  <c r="HM43" i="1"/>
  <c r="HN30" i="1"/>
  <c r="HN35" i="1" s="1"/>
  <c r="HM41" i="1"/>
  <c r="HM46" i="1"/>
  <c r="HM42" i="1"/>
  <c r="HM45" i="1"/>
  <c r="HM38" i="1"/>
  <c r="HM40" i="1"/>
  <c r="HM39" i="1"/>
  <c r="DL42" i="1"/>
  <c r="DM30" i="1"/>
  <c r="DM44" i="1" s="1"/>
  <c r="DL41" i="1"/>
  <c r="DL43" i="1"/>
  <c r="DL45" i="1"/>
  <c r="HM197" i="1"/>
  <c r="DL197" i="1" s="1"/>
  <c r="HM223" i="1"/>
  <c r="HM222" i="1"/>
  <c r="HM224" i="1"/>
  <c r="HM221" i="1"/>
  <c r="HM215" i="1"/>
  <c r="DL215" i="1" s="1"/>
  <c r="HM213" i="1"/>
  <c r="DL213" i="1" s="1"/>
  <c r="HM212" i="1"/>
  <c r="DL212" i="1" s="1"/>
  <c r="HM214" i="1"/>
  <c r="DL214" i="1" s="1"/>
  <c r="DL222" i="1"/>
  <c r="DL221" i="1"/>
  <c r="DL223" i="1"/>
  <c r="DL224" i="1"/>
  <c r="HM206" i="1"/>
  <c r="HM205" i="1"/>
  <c r="HM207" i="1"/>
  <c r="HM204" i="1"/>
  <c r="HM201" i="1"/>
  <c r="DL201" i="1" s="1"/>
  <c r="HM198" i="1"/>
  <c r="DL198" i="1" s="1"/>
  <c r="HM195" i="1"/>
  <c r="DL195" i="1" s="1"/>
  <c r="HM196" i="1"/>
  <c r="DL196" i="1" s="1"/>
  <c r="HM130" i="1"/>
  <c r="DL130" i="1" s="1"/>
  <c r="HM128" i="1"/>
  <c r="DL128" i="1" s="1"/>
  <c r="HM127" i="1"/>
  <c r="DL127" i="1" s="1"/>
  <c r="HM129" i="1"/>
  <c r="DL129" i="1" s="1"/>
  <c r="DL207" i="1"/>
  <c r="DL205" i="1"/>
  <c r="DL206" i="1"/>
  <c r="HM78" i="1"/>
  <c r="DL78" i="1" s="1"/>
  <c r="HM76" i="1"/>
  <c r="DL76" i="1" s="1"/>
  <c r="HM79" i="1"/>
  <c r="DL79" i="1" s="1"/>
  <c r="HM77" i="1"/>
  <c r="DL77" i="1" s="1"/>
  <c r="HM61" i="1"/>
  <c r="DL61" i="1" s="1"/>
  <c r="HM91" i="1"/>
  <c r="DL91" i="1" s="1"/>
  <c r="HM92" i="1"/>
  <c r="DL92" i="1" s="1"/>
  <c r="HM90" i="1"/>
  <c r="DL90" i="1" s="1"/>
  <c r="DL190" i="1"/>
  <c r="DL188" i="1"/>
  <c r="DL150" i="1"/>
  <c r="DL189" i="1"/>
  <c r="DL187" i="1"/>
  <c r="DL152" i="1"/>
  <c r="DL151" i="1"/>
  <c r="DL153" i="1"/>
  <c r="HM190" i="1"/>
  <c r="HM178" i="1"/>
  <c r="DL178" i="1" s="1"/>
  <c r="HM187" i="1"/>
  <c r="HM189" i="1"/>
  <c r="HM188" i="1"/>
  <c r="HM153" i="1"/>
  <c r="HM151" i="1"/>
  <c r="HM152" i="1"/>
  <c r="HM97" i="1"/>
  <c r="HM101" i="1"/>
  <c r="HM150" i="1"/>
  <c r="HM100" i="1"/>
  <c r="HM103" i="1"/>
  <c r="HM99" i="1"/>
  <c r="HM149" i="1"/>
  <c r="HM98" i="1"/>
  <c r="HM104" i="1"/>
  <c r="HM102" i="1"/>
  <c r="DL99" i="1"/>
  <c r="DL98" i="1"/>
  <c r="DL97" i="1"/>
  <c r="DL103" i="1"/>
  <c r="DL100" i="1"/>
  <c r="DL102" i="1"/>
  <c r="DL101" i="1"/>
  <c r="DL104" i="1"/>
  <c r="HM80" i="1"/>
  <c r="DL80" i="1" s="1"/>
  <c r="HM158" i="1"/>
  <c r="DL158" i="1" s="1"/>
  <c r="HM120" i="1"/>
  <c r="DL120" i="1" s="1"/>
  <c r="HM67" i="1"/>
  <c r="DL67" i="1" s="1"/>
  <c r="HM109" i="1"/>
  <c r="DL109" i="1" s="1"/>
  <c r="HM162" i="1"/>
  <c r="DL162" i="1" s="1"/>
  <c r="HM113" i="1"/>
  <c r="DL113" i="1" s="1"/>
  <c r="HN56" i="1"/>
  <c r="HM62" i="1"/>
  <c r="DL62" i="1" s="1"/>
  <c r="HM58" i="1"/>
  <c r="DL58" i="1" s="1"/>
  <c r="HM64" i="1"/>
  <c r="DL64" i="1" s="1"/>
  <c r="DM56" i="1"/>
  <c r="DM35" i="1" l="1"/>
  <c r="DL125" i="1"/>
  <c r="DL147" i="1"/>
  <c r="HN184" i="1"/>
  <c r="DM184" i="1" s="1"/>
  <c r="HN182" i="1"/>
  <c r="DM182" i="1" s="1"/>
  <c r="HN180" i="1"/>
  <c r="DM180" i="1" s="1"/>
  <c r="HN183" i="1"/>
  <c r="DM183" i="1" s="1"/>
  <c r="HN179" i="1"/>
  <c r="DM179" i="1" s="1"/>
  <c r="HN181" i="1"/>
  <c r="DM181" i="1" s="1"/>
  <c r="HN163" i="1"/>
  <c r="DM163" i="1" s="1"/>
  <c r="HN176" i="1"/>
  <c r="DM176" i="1" s="1"/>
  <c r="HN177" i="1"/>
  <c r="DM177" i="1" s="1"/>
  <c r="HN175" i="1"/>
  <c r="DM175" i="1" s="1"/>
  <c r="HN174" i="1"/>
  <c r="DM174" i="1" s="1"/>
  <c r="HN161" i="1"/>
  <c r="DM161" i="1" s="1"/>
  <c r="HN170" i="1"/>
  <c r="DM170" i="1" s="1"/>
  <c r="HN171" i="1"/>
  <c r="DM171" i="1" s="1"/>
  <c r="HN169" i="1"/>
  <c r="DM169" i="1" s="1"/>
  <c r="HN167" i="1"/>
  <c r="DM167" i="1" s="1"/>
  <c r="HN168" i="1"/>
  <c r="DM168" i="1" s="1"/>
  <c r="HN165" i="1"/>
  <c r="DM165" i="1" s="1"/>
  <c r="HN166" i="1"/>
  <c r="DM166" i="1" s="1"/>
  <c r="HN164" i="1"/>
  <c r="DM164" i="1" s="1"/>
  <c r="HN137" i="1"/>
  <c r="DM137" i="1" s="1"/>
  <c r="HN136" i="1"/>
  <c r="DM136" i="1" s="1"/>
  <c r="HN146" i="1"/>
  <c r="DM146" i="1" s="1"/>
  <c r="HN144" i="1"/>
  <c r="DM144" i="1" s="1"/>
  <c r="HN143" i="1"/>
  <c r="DM143" i="1" s="1"/>
  <c r="HN141" i="1"/>
  <c r="DM141" i="1" s="1"/>
  <c r="HN142" i="1"/>
  <c r="DM142" i="1" s="1"/>
  <c r="HN140" i="1"/>
  <c r="DM140" i="1" s="1"/>
  <c r="HN139" i="1"/>
  <c r="DM139" i="1" s="1"/>
  <c r="HN145" i="1"/>
  <c r="DM145" i="1" s="1"/>
  <c r="HN131" i="1"/>
  <c r="DM131" i="1" s="1"/>
  <c r="HN132" i="1"/>
  <c r="DM132" i="1" s="1"/>
  <c r="HN133" i="1"/>
  <c r="DM133" i="1" s="1"/>
  <c r="HN135" i="1"/>
  <c r="DM135" i="1" s="1"/>
  <c r="HN138" i="1"/>
  <c r="DM138" i="1" s="1"/>
  <c r="HN134" i="1"/>
  <c r="DM134" i="1" s="1"/>
  <c r="HN123" i="1"/>
  <c r="DM123" i="1" s="1"/>
  <c r="HN124" i="1"/>
  <c r="DM124" i="1" s="1"/>
  <c r="HN115" i="1"/>
  <c r="DM115" i="1" s="1"/>
  <c r="HN122" i="1"/>
  <c r="DM122" i="1" s="1"/>
  <c r="HN121" i="1"/>
  <c r="DM121" i="1" s="1"/>
  <c r="HN119" i="1"/>
  <c r="DM119" i="1" s="1"/>
  <c r="HN117" i="1"/>
  <c r="DM117" i="1" s="1"/>
  <c r="HN116" i="1"/>
  <c r="DM116" i="1" s="1"/>
  <c r="HN118" i="1"/>
  <c r="DM118" i="1" s="1"/>
  <c r="HN114" i="1"/>
  <c r="DM114" i="1" s="1"/>
  <c r="HN112" i="1"/>
  <c r="DM112" i="1" s="1"/>
  <c r="HN94" i="1"/>
  <c r="DM94" i="1" s="1"/>
  <c r="HN88" i="1"/>
  <c r="DM88" i="1" s="1"/>
  <c r="HN89" i="1"/>
  <c r="DM89" i="1" s="1"/>
  <c r="HN87" i="1"/>
  <c r="DM87" i="1" s="1"/>
  <c r="HN86" i="1"/>
  <c r="DM86" i="1" s="1"/>
  <c r="HN81" i="1"/>
  <c r="DM81" i="1" s="1"/>
  <c r="HN84" i="1"/>
  <c r="DM84" i="1" s="1"/>
  <c r="HN85" i="1"/>
  <c r="DM85" i="1" s="1"/>
  <c r="HN83" i="1"/>
  <c r="DM83" i="1" s="1"/>
  <c r="HN82" i="1"/>
  <c r="DM82" i="1" s="1"/>
  <c r="HN66" i="1"/>
  <c r="DM66" i="1" s="1"/>
  <c r="HN73" i="1"/>
  <c r="DM73" i="1" s="1"/>
  <c r="HN72" i="1"/>
  <c r="DM72" i="1" s="1"/>
  <c r="HN68" i="1"/>
  <c r="DM68" i="1" s="1"/>
  <c r="HN70" i="1"/>
  <c r="DM70" i="1" s="1"/>
  <c r="HN69" i="1"/>
  <c r="DM69" i="1" s="1"/>
  <c r="HN71" i="1"/>
  <c r="DM71" i="1" s="1"/>
  <c r="HN65" i="1"/>
  <c r="DM65" i="1" s="1"/>
  <c r="HN63" i="1"/>
  <c r="DM63" i="1" s="1"/>
  <c r="HN44" i="1"/>
  <c r="HN31" i="1"/>
  <c r="DM31" i="1" s="1"/>
  <c r="HN32" i="1"/>
  <c r="DM32" i="1" s="1"/>
  <c r="DM232" i="1"/>
  <c r="DM233" i="1"/>
  <c r="HN232" i="1"/>
  <c r="HN233" i="1"/>
  <c r="HN93" i="1"/>
  <c r="DM93" i="1" s="1"/>
  <c r="HN235" i="1"/>
  <c r="HN229" i="1"/>
  <c r="HN59" i="1"/>
  <c r="DM59" i="1" s="1"/>
  <c r="HN160" i="1"/>
  <c r="DM160" i="1" s="1"/>
  <c r="HN60" i="1"/>
  <c r="DM60" i="1" s="1"/>
  <c r="HN159" i="1"/>
  <c r="DM159" i="1" s="1"/>
  <c r="DM236" i="1"/>
  <c r="DM235" i="1"/>
  <c r="DM229" i="1"/>
  <c r="HN110" i="1"/>
  <c r="DM110" i="1" s="1"/>
  <c r="HN111" i="1"/>
  <c r="DM111" i="1" s="1"/>
  <c r="HN236" i="1"/>
  <c r="DM234" i="1"/>
  <c r="DM231" i="1"/>
  <c r="DM230" i="1"/>
  <c r="HN218" i="1"/>
  <c r="DM218" i="1" s="1"/>
  <c r="HN231" i="1"/>
  <c r="HN234" i="1"/>
  <c r="HN230" i="1"/>
  <c r="HN45" i="1"/>
  <c r="HN41" i="1"/>
  <c r="HN46" i="1"/>
  <c r="HN42" i="1"/>
  <c r="HO30" i="1"/>
  <c r="HO35" i="1" s="1"/>
  <c r="HN39" i="1"/>
  <c r="HN40" i="1"/>
  <c r="HN43" i="1"/>
  <c r="HN38" i="1"/>
  <c r="DM41" i="1"/>
  <c r="DN30" i="1"/>
  <c r="DN44" i="1" s="1"/>
  <c r="DM45" i="1"/>
  <c r="DM43" i="1"/>
  <c r="DM42" i="1"/>
  <c r="HN197" i="1"/>
  <c r="DM197" i="1" s="1"/>
  <c r="HN224" i="1"/>
  <c r="HN223" i="1"/>
  <c r="HN221" i="1"/>
  <c r="HN222" i="1"/>
  <c r="HN214" i="1"/>
  <c r="DM214" i="1" s="1"/>
  <c r="HN215" i="1"/>
  <c r="DM215" i="1" s="1"/>
  <c r="HN213" i="1"/>
  <c r="DM213" i="1" s="1"/>
  <c r="HN212" i="1"/>
  <c r="DM212" i="1" s="1"/>
  <c r="DM223" i="1"/>
  <c r="DM222" i="1"/>
  <c r="DM224" i="1"/>
  <c r="DM221" i="1"/>
  <c r="HN207" i="1"/>
  <c r="HN206" i="1"/>
  <c r="HN205" i="1"/>
  <c r="HN204" i="1"/>
  <c r="HN201" i="1"/>
  <c r="DM201" i="1" s="1"/>
  <c r="HN198" i="1"/>
  <c r="DM198" i="1" s="1"/>
  <c r="HN195" i="1"/>
  <c r="DM195" i="1" s="1"/>
  <c r="HN196" i="1"/>
  <c r="DM196" i="1" s="1"/>
  <c r="HN130" i="1"/>
  <c r="DM130" i="1" s="1"/>
  <c r="HN128" i="1"/>
  <c r="DM128" i="1" s="1"/>
  <c r="HN127" i="1"/>
  <c r="DM127" i="1" s="1"/>
  <c r="HN129" i="1"/>
  <c r="DM129" i="1" s="1"/>
  <c r="DM207" i="1"/>
  <c r="DM206" i="1"/>
  <c r="DM205" i="1"/>
  <c r="HN78" i="1"/>
  <c r="DM78" i="1" s="1"/>
  <c r="HN79" i="1"/>
  <c r="DM79" i="1" s="1"/>
  <c r="HN61" i="1"/>
  <c r="DM61" i="1" s="1"/>
  <c r="HN76" i="1"/>
  <c r="DM76" i="1" s="1"/>
  <c r="HN92" i="1"/>
  <c r="DM92" i="1" s="1"/>
  <c r="HN90" i="1"/>
  <c r="DM90" i="1" s="1"/>
  <c r="HN77" i="1"/>
  <c r="DM77" i="1" s="1"/>
  <c r="HN91" i="1"/>
  <c r="DM91" i="1" s="1"/>
  <c r="HN190" i="1"/>
  <c r="HN189" i="1"/>
  <c r="HN187" i="1"/>
  <c r="HN178" i="1"/>
  <c r="DM178" i="1" s="1"/>
  <c r="HN188" i="1"/>
  <c r="DM189" i="1"/>
  <c r="DM188" i="1"/>
  <c r="DM190" i="1"/>
  <c r="DM187" i="1"/>
  <c r="DM151" i="1"/>
  <c r="DM152" i="1"/>
  <c r="DM150" i="1"/>
  <c r="DM153" i="1"/>
  <c r="HN153" i="1"/>
  <c r="HN151" i="1"/>
  <c r="HN152" i="1"/>
  <c r="HN150" i="1"/>
  <c r="HN149" i="1"/>
  <c r="HN100" i="1"/>
  <c r="HN97" i="1"/>
  <c r="HN99" i="1"/>
  <c r="HN102" i="1"/>
  <c r="HN98" i="1"/>
  <c r="HN103" i="1"/>
  <c r="HN104" i="1"/>
  <c r="HN101" i="1"/>
  <c r="DM99" i="1"/>
  <c r="DM100" i="1"/>
  <c r="DM104" i="1"/>
  <c r="DM97" i="1"/>
  <c r="DM98" i="1"/>
  <c r="DM102" i="1"/>
  <c r="DM101" i="1"/>
  <c r="DM103" i="1"/>
  <c r="HN80" i="1"/>
  <c r="DM80" i="1" s="1"/>
  <c r="HN158" i="1"/>
  <c r="DM158" i="1" s="1"/>
  <c r="HN120" i="1"/>
  <c r="DM120" i="1" s="1"/>
  <c r="HN67" i="1"/>
  <c r="DM67" i="1" s="1"/>
  <c r="HN109" i="1"/>
  <c r="DM109" i="1" s="1"/>
  <c r="HN162" i="1"/>
  <c r="DM162" i="1" s="1"/>
  <c r="HN113" i="1"/>
  <c r="DM113" i="1" s="1"/>
  <c r="HN64" i="1"/>
  <c r="DM64" i="1" s="1"/>
  <c r="HN58" i="1"/>
  <c r="DM58" i="1" s="1"/>
  <c r="HO56" i="1"/>
  <c r="HN62" i="1"/>
  <c r="DM62" i="1" s="1"/>
  <c r="DN56" i="1"/>
  <c r="DN35" i="1" l="1"/>
  <c r="DM147" i="1"/>
  <c r="DM125" i="1"/>
  <c r="HO184" i="1"/>
  <c r="DN184" i="1" s="1"/>
  <c r="HO183" i="1"/>
  <c r="DN183" i="1" s="1"/>
  <c r="HO180" i="1"/>
  <c r="DN180" i="1" s="1"/>
  <c r="HO179" i="1"/>
  <c r="DN179" i="1" s="1"/>
  <c r="HO181" i="1"/>
  <c r="DN181" i="1" s="1"/>
  <c r="HO182" i="1"/>
  <c r="DN182" i="1" s="1"/>
  <c r="HO163" i="1"/>
  <c r="DN163" i="1" s="1"/>
  <c r="HO177" i="1"/>
  <c r="DN177" i="1" s="1"/>
  <c r="HO174" i="1"/>
  <c r="DN174" i="1" s="1"/>
  <c r="HO175" i="1"/>
  <c r="DN175" i="1" s="1"/>
  <c r="HO176" i="1"/>
  <c r="DN176" i="1" s="1"/>
  <c r="HO161" i="1"/>
  <c r="DN161" i="1" s="1"/>
  <c r="HO171" i="1"/>
  <c r="DN171" i="1" s="1"/>
  <c r="HO169" i="1"/>
  <c r="DN169" i="1" s="1"/>
  <c r="HO170" i="1"/>
  <c r="DN170" i="1" s="1"/>
  <c r="HO168" i="1"/>
  <c r="DN168" i="1" s="1"/>
  <c r="HO167" i="1"/>
  <c r="DN167" i="1" s="1"/>
  <c r="HO165" i="1"/>
  <c r="DN165" i="1" s="1"/>
  <c r="HO166" i="1"/>
  <c r="DN166" i="1" s="1"/>
  <c r="HO164" i="1"/>
  <c r="DN164" i="1" s="1"/>
  <c r="HO137" i="1"/>
  <c r="DN137" i="1" s="1"/>
  <c r="HO136" i="1"/>
  <c r="DN136" i="1" s="1"/>
  <c r="HO146" i="1"/>
  <c r="DN146" i="1" s="1"/>
  <c r="HO145" i="1"/>
  <c r="DN145" i="1" s="1"/>
  <c r="HO143" i="1"/>
  <c r="DN143" i="1" s="1"/>
  <c r="HO141" i="1"/>
  <c r="DN141" i="1" s="1"/>
  <c r="HO140" i="1"/>
  <c r="DN140" i="1" s="1"/>
  <c r="HO144" i="1"/>
  <c r="DN144" i="1" s="1"/>
  <c r="HO142" i="1"/>
  <c r="DN142" i="1" s="1"/>
  <c r="HO139" i="1"/>
  <c r="DN139" i="1" s="1"/>
  <c r="HO131" i="1"/>
  <c r="DN131" i="1" s="1"/>
  <c r="HO132" i="1"/>
  <c r="DN132" i="1" s="1"/>
  <c r="HO133" i="1"/>
  <c r="DN133" i="1" s="1"/>
  <c r="HO138" i="1"/>
  <c r="DN138" i="1" s="1"/>
  <c r="HO134" i="1"/>
  <c r="DN134" i="1" s="1"/>
  <c r="HO135" i="1"/>
  <c r="DN135" i="1" s="1"/>
  <c r="HO124" i="1"/>
  <c r="DN124" i="1" s="1"/>
  <c r="HO123" i="1"/>
  <c r="DN123" i="1" s="1"/>
  <c r="HO115" i="1"/>
  <c r="DN115" i="1" s="1"/>
  <c r="HO122" i="1"/>
  <c r="DN122" i="1" s="1"/>
  <c r="HO121" i="1"/>
  <c r="DN121" i="1" s="1"/>
  <c r="HO119" i="1"/>
  <c r="DN119" i="1" s="1"/>
  <c r="HO116" i="1"/>
  <c r="DN116" i="1" s="1"/>
  <c r="HO118" i="1"/>
  <c r="DN118" i="1" s="1"/>
  <c r="HO117" i="1"/>
  <c r="DN117" i="1" s="1"/>
  <c r="HO114" i="1"/>
  <c r="DN114" i="1" s="1"/>
  <c r="HO112" i="1"/>
  <c r="DN112" i="1" s="1"/>
  <c r="HO94" i="1"/>
  <c r="DN94" i="1" s="1"/>
  <c r="HO89" i="1"/>
  <c r="DN89" i="1" s="1"/>
  <c r="HO86" i="1"/>
  <c r="DN86" i="1" s="1"/>
  <c r="HO87" i="1"/>
  <c r="DN87" i="1" s="1"/>
  <c r="HO88" i="1"/>
  <c r="DN88" i="1" s="1"/>
  <c r="HO81" i="1"/>
  <c r="DN81" i="1" s="1"/>
  <c r="HO85" i="1"/>
  <c r="DN85" i="1" s="1"/>
  <c r="HO83" i="1"/>
  <c r="DN83" i="1" s="1"/>
  <c r="HO84" i="1"/>
  <c r="DN84" i="1" s="1"/>
  <c r="HO82" i="1"/>
  <c r="DN82" i="1" s="1"/>
  <c r="HO66" i="1"/>
  <c r="DN66" i="1" s="1"/>
  <c r="HO72" i="1"/>
  <c r="DN72" i="1" s="1"/>
  <c r="HO73" i="1"/>
  <c r="DN73" i="1" s="1"/>
  <c r="HO71" i="1"/>
  <c r="DN71" i="1" s="1"/>
  <c r="HO70" i="1"/>
  <c r="DN70" i="1" s="1"/>
  <c r="HO69" i="1"/>
  <c r="DN69" i="1" s="1"/>
  <c r="HO68" i="1"/>
  <c r="DN68" i="1" s="1"/>
  <c r="HO65" i="1"/>
  <c r="DN65" i="1" s="1"/>
  <c r="HO63" i="1"/>
  <c r="DN63" i="1" s="1"/>
  <c r="HO44" i="1"/>
  <c r="HO32" i="1"/>
  <c r="DN32" i="1" s="1"/>
  <c r="HO31" i="1"/>
  <c r="DN31" i="1" s="1"/>
  <c r="DN232" i="1"/>
  <c r="DN233" i="1"/>
  <c r="HO233" i="1"/>
  <c r="HO232" i="1"/>
  <c r="HO93" i="1"/>
  <c r="DN93" i="1" s="1"/>
  <c r="DN236" i="1"/>
  <c r="DN229" i="1"/>
  <c r="DN235" i="1"/>
  <c r="HO229" i="1"/>
  <c r="HO235" i="1"/>
  <c r="HO59" i="1"/>
  <c r="DN59" i="1" s="1"/>
  <c r="HO60" i="1"/>
  <c r="DN60" i="1" s="1"/>
  <c r="HO160" i="1"/>
  <c r="DN160" i="1" s="1"/>
  <c r="HO159" i="1"/>
  <c r="DN159" i="1" s="1"/>
  <c r="HO110" i="1"/>
  <c r="DN110" i="1" s="1"/>
  <c r="HO236" i="1"/>
  <c r="HO111" i="1"/>
  <c r="DN111" i="1" s="1"/>
  <c r="DN231" i="1"/>
  <c r="DN234" i="1"/>
  <c r="DN230" i="1"/>
  <c r="HO218" i="1"/>
  <c r="DN218" i="1" s="1"/>
  <c r="HO234" i="1"/>
  <c r="HO230" i="1"/>
  <c r="HO231" i="1"/>
  <c r="HO45" i="1"/>
  <c r="HO46" i="1"/>
  <c r="HO43" i="1"/>
  <c r="HO38" i="1"/>
  <c r="HO42" i="1"/>
  <c r="HO41" i="1"/>
  <c r="HP30" i="1"/>
  <c r="HP35" i="1" s="1"/>
  <c r="HO39" i="1"/>
  <c r="HO40" i="1"/>
  <c r="DN42" i="1"/>
  <c r="DO30" i="1"/>
  <c r="DO44" i="1" s="1"/>
  <c r="DN45" i="1"/>
  <c r="DN41" i="1"/>
  <c r="DN43" i="1"/>
  <c r="DN224" i="1"/>
  <c r="DN223" i="1"/>
  <c r="DN222" i="1"/>
  <c r="DN221" i="1"/>
  <c r="HO197" i="1"/>
  <c r="DN197" i="1" s="1"/>
  <c r="HO224" i="1"/>
  <c r="HO223" i="1"/>
  <c r="HO222" i="1"/>
  <c r="HO221" i="1"/>
  <c r="HO215" i="1"/>
  <c r="DN215" i="1" s="1"/>
  <c r="HO214" i="1"/>
  <c r="DN214" i="1" s="1"/>
  <c r="HO213" i="1"/>
  <c r="DN213" i="1" s="1"/>
  <c r="HO212" i="1"/>
  <c r="DN212" i="1" s="1"/>
  <c r="DN206" i="1"/>
  <c r="DN205" i="1"/>
  <c r="DN207" i="1"/>
  <c r="HO207" i="1"/>
  <c r="HO206" i="1"/>
  <c r="HO205" i="1"/>
  <c r="HO204" i="1"/>
  <c r="HO201" i="1"/>
  <c r="DN201" i="1" s="1"/>
  <c r="HO196" i="1"/>
  <c r="DN196" i="1" s="1"/>
  <c r="HO198" i="1"/>
  <c r="DN198" i="1" s="1"/>
  <c r="HO195" i="1"/>
  <c r="DN195" i="1" s="1"/>
  <c r="HO129" i="1"/>
  <c r="DN129" i="1" s="1"/>
  <c r="HO130" i="1"/>
  <c r="DN130" i="1" s="1"/>
  <c r="HO128" i="1"/>
  <c r="DN128" i="1" s="1"/>
  <c r="HO127" i="1"/>
  <c r="DN127" i="1" s="1"/>
  <c r="HO79" i="1"/>
  <c r="DN79" i="1" s="1"/>
  <c r="HO78" i="1"/>
  <c r="DN78" i="1" s="1"/>
  <c r="HO77" i="1"/>
  <c r="DN77" i="1" s="1"/>
  <c r="HO76" i="1"/>
  <c r="DN76" i="1" s="1"/>
  <c r="HO92" i="1"/>
  <c r="DN92" i="1" s="1"/>
  <c r="HO91" i="1"/>
  <c r="DN91" i="1" s="1"/>
  <c r="HO90" i="1"/>
  <c r="DN90" i="1" s="1"/>
  <c r="HO61" i="1"/>
  <c r="DN61" i="1" s="1"/>
  <c r="DN190" i="1"/>
  <c r="DN187" i="1"/>
  <c r="DN188" i="1"/>
  <c r="DN189" i="1"/>
  <c r="DN153" i="1"/>
  <c r="DN150" i="1"/>
  <c r="DN152" i="1"/>
  <c r="DN151" i="1"/>
  <c r="HO190" i="1"/>
  <c r="HO189" i="1"/>
  <c r="HO188" i="1"/>
  <c r="HO178" i="1"/>
  <c r="DN178" i="1" s="1"/>
  <c r="HO187" i="1"/>
  <c r="HO152" i="1"/>
  <c r="HO153" i="1"/>
  <c r="HO150" i="1"/>
  <c r="HO149" i="1"/>
  <c r="HO151" i="1"/>
  <c r="HO99" i="1"/>
  <c r="HO98" i="1"/>
  <c r="HO101" i="1"/>
  <c r="HO97" i="1"/>
  <c r="HO100" i="1"/>
  <c r="HO102" i="1"/>
  <c r="HO103" i="1"/>
  <c r="HO104" i="1"/>
  <c r="DN97" i="1"/>
  <c r="DN99" i="1"/>
  <c r="DN101" i="1"/>
  <c r="DN102" i="1"/>
  <c r="DN103" i="1"/>
  <c r="DN104" i="1"/>
  <c r="DN98" i="1"/>
  <c r="DN100" i="1"/>
  <c r="HO80" i="1"/>
  <c r="DN80" i="1" s="1"/>
  <c r="HO158" i="1"/>
  <c r="DN158" i="1" s="1"/>
  <c r="HO67" i="1"/>
  <c r="DN67" i="1" s="1"/>
  <c r="HO120" i="1"/>
  <c r="DN120" i="1" s="1"/>
  <c r="HO109" i="1"/>
  <c r="DN109" i="1" s="1"/>
  <c r="HO162" i="1"/>
  <c r="DN162" i="1" s="1"/>
  <c r="HO113" i="1"/>
  <c r="DN113" i="1" s="1"/>
  <c r="HO62" i="1"/>
  <c r="DN62" i="1" s="1"/>
  <c r="HO58" i="1"/>
  <c r="DN58" i="1" s="1"/>
  <c r="HO64" i="1"/>
  <c r="DN64" i="1" s="1"/>
  <c r="HP56" i="1"/>
  <c r="DO56" i="1"/>
  <c r="DO35" i="1" l="1"/>
  <c r="DN125" i="1"/>
  <c r="DN147" i="1"/>
  <c r="HP184" i="1"/>
  <c r="DO184" i="1" s="1"/>
  <c r="HP183" i="1"/>
  <c r="DO183" i="1" s="1"/>
  <c r="HP181" i="1"/>
  <c r="DO181" i="1" s="1"/>
  <c r="HP180" i="1"/>
  <c r="DO180" i="1" s="1"/>
  <c r="HP182" i="1"/>
  <c r="DO182" i="1" s="1"/>
  <c r="HP179" i="1"/>
  <c r="DO179" i="1" s="1"/>
  <c r="HP163" i="1"/>
  <c r="DO163" i="1" s="1"/>
  <c r="HP177" i="1"/>
  <c r="DO177" i="1" s="1"/>
  <c r="HP176" i="1"/>
  <c r="DO176" i="1" s="1"/>
  <c r="HP175" i="1"/>
  <c r="DO175" i="1" s="1"/>
  <c r="HP174" i="1"/>
  <c r="DO174" i="1" s="1"/>
  <c r="HP161" i="1"/>
  <c r="DO161" i="1" s="1"/>
  <c r="HP171" i="1"/>
  <c r="DO171" i="1" s="1"/>
  <c r="HP170" i="1"/>
  <c r="DO170" i="1" s="1"/>
  <c r="HP168" i="1"/>
  <c r="DO168" i="1" s="1"/>
  <c r="HP169" i="1"/>
  <c r="DO169" i="1" s="1"/>
  <c r="HP167" i="1"/>
  <c r="DO167" i="1" s="1"/>
  <c r="HP166" i="1"/>
  <c r="DO166" i="1" s="1"/>
  <c r="HP165" i="1"/>
  <c r="DO165" i="1" s="1"/>
  <c r="HP164" i="1"/>
  <c r="DO164" i="1" s="1"/>
  <c r="HP137" i="1"/>
  <c r="DO137" i="1" s="1"/>
  <c r="HP136" i="1"/>
  <c r="DO136" i="1" s="1"/>
  <c r="HP146" i="1"/>
  <c r="DO146" i="1" s="1"/>
  <c r="HP145" i="1"/>
  <c r="DO145" i="1" s="1"/>
  <c r="HP144" i="1"/>
  <c r="DO144" i="1" s="1"/>
  <c r="HP143" i="1"/>
  <c r="DO143" i="1" s="1"/>
  <c r="HP142" i="1"/>
  <c r="DO142" i="1" s="1"/>
  <c r="HP139" i="1"/>
  <c r="DO139" i="1" s="1"/>
  <c r="HP141" i="1"/>
  <c r="DO141" i="1" s="1"/>
  <c r="HP140" i="1"/>
  <c r="DO140" i="1" s="1"/>
  <c r="HP131" i="1"/>
  <c r="DO131" i="1" s="1"/>
  <c r="HP132" i="1"/>
  <c r="DO132" i="1" s="1"/>
  <c r="HP133" i="1"/>
  <c r="DO133" i="1" s="1"/>
  <c r="HP138" i="1"/>
  <c r="DO138" i="1" s="1"/>
  <c r="HP135" i="1"/>
  <c r="DO135" i="1" s="1"/>
  <c r="HP134" i="1"/>
  <c r="DO134" i="1" s="1"/>
  <c r="HP124" i="1"/>
  <c r="DO124" i="1" s="1"/>
  <c r="HP123" i="1"/>
  <c r="DO123" i="1" s="1"/>
  <c r="HP115" i="1"/>
  <c r="DO115" i="1" s="1"/>
  <c r="HP121" i="1"/>
  <c r="DO121" i="1" s="1"/>
  <c r="HP122" i="1"/>
  <c r="DO122" i="1" s="1"/>
  <c r="HP118" i="1"/>
  <c r="DO118" i="1" s="1"/>
  <c r="HP117" i="1"/>
  <c r="DO117" i="1" s="1"/>
  <c r="HP116" i="1"/>
  <c r="DO116" i="1" s="1"/>
  <c r="HP119" i="1"/>
  <c r="DO119" i="1" s="1"/>
  <c r="HP114" i="1"/>
  <c r="DO114" i="1" s="1"/>
  <c r="HP112" i="1"/>
  <c r="DO112" i="1" s="1"/>
  <c r="HP94" i="1"/>
  <c r="DO94" i="1" s="1"/>
  <c r="HP89" i="1"/>
  <c r="DO89" i="1" s="1"/>
  <c r="HP88" i="1"/>
  <c r="DO88" i="1" s="1"/>
  <c r="HP87" i="1"/>
  <c r="DO87" i="1" s="1"/>
  <c r="HP86" i="1"/>
  <c r="DO86" i="1" s="1"/>
  <c r="HP81" i="1"/>
  <c r="DO81" i="1" s="1"/>
  <c r="HP85" i="1"/>
  <c r="DO85" i="1" s="1"/>
  <c r="HP84" i="1"/>
  <c r="DO84" i="1" s="1"/>
  <c r="HP82" i="1"/>
  <c r="DO82" i="1" s="1"/>
  <c r="HP83" i="1"/>
  <c r="DO83" i="1" s="1"/>
  <c r="HP66" i="1"/>
  <c r="DO66" i="1" s="1"/>
  <c r="HP73" i="1"/>
  <c r="DO73" i="1" s="1"/>
  <c r="HP71" i="1"/>
  <c r="DO71" i="1" s="1"/>
  <c r="HP70" i="1"/>
  <c r="DO70" i="1" s="1"/>
  <c r="HP72" i="1"/>
  <c r="DO72" i="1" s="1"/>
  <c r="HP69" i="1"/>
  <c r="DO69" i="1" s="1"/>
  <c r="HP68" i="1"/>
  <c r="DO68" i="1" s="1"/>
  <c r="HP65" i="1"/>
  <c r="DO65" i="1" s="1"/>
  <c r="HP63" i="1"/>
  <c r="DO63" i="1" s="1"/>
  <c r="HP44" i="1"/>
  <c r="HP32" i="1"/>
  <c r="DO32" i="1" s="1"/>
  <c r="HP31" i="1"/>
  <c r="DO31" i="1" s="1"/>
  <c r="HP232" i="1"/>
  <c r="HP233" i="1"/>
  <c r="DO232" i="1"/>
  <c r="DO233" i="1"/>
  <c r="HP93" i="1"/>
  <c r="DO93" i="1" s="1"/>
  <c r="DO236" i="1"/>
  <c r="DO229" i="1"/>
  <c r="DO235" i="1"/>
  <c r="HP229" i="1"/>
  <c r="HP235" i="1"/>
  <c r="HP159" i="1"/>
  <c r="DO159" i="1" s="1"/>
  <c r="HP160" i="1"/>
  <c r="DO160" i="1" s="1"/>
  <c r="HP59" i="1"/>
  <c r="DO59" i="1" s="1"/>
  <c r="HP60" i="1"/>
  <c r="DO60" i="1" s="1"/>
  <c r="HP111" i="1"/>
  <c r="DO111" i="1" s="1"/>
  <c r="HP110" i="1"/>
  <c r="DO110" i="1" s="1"/>
  <c r="HP236" i="1"/>
  <c r="DO234" i="1"/>
  <c r="DO231" i="1"/>
  <c r="DO230" i="1"/>
  <c r="HP218" i="1"/>
  <c r="DO218" i="1" s="1"/>
  <c r="HP234" i="1"/>
  <c r="HP230" i="1"/>
  <c r="HP231" i="1"/>
  <c r="HP40" i="1"/>
  <c r="HP46" i="1"/>
  <c r="HP39" i="1"/>
  <c r="HP38" i="1"/>
  <c r="HP45" i="1"/>
  <c r="HQ30" i="1"/>
  <c r="HQ35" i="1" s="1"/>
  <c r="HP41" i="1"/>
  <c r="HP43" i="1"/>
  <c r="HP42" i="1"/>
  <c r="DP30" i="1"/>
  <c r="DP44" i="1" s="1"/>
  <c r="DO43" i="1"/>
  <c r="DO41" i="1"/>
  <c r="DO42" i="1"/>
  <c r="DO45" i="1"/>
  <c r="HP197" i="1"/>
  <c r="DO197" i="1" s="1"/>
  <c r="HP222" i="1"/>
  <c r="HP221" i="1"/>
  <c r="HP223" i="1"/>
  <c r="HP224" i="1"/>
  <c r="HP213" i="1"/>
  <c r="DO213" i="1" s="1"/>
  <c r="HP212" i="1"/>
  <c r="DO212" i="1" s="1"/>
  <c r="HP215" i="1"/>
  <c r="DO215" i="1" s="1"/>
  <c r="HP214" i="1"/>
  <c r="DO214" i="1" s="1"/>
  <c r="DO223" i="1"/>
  <c r="DO224" i="1"/>
  <c r="DO221" i="1"/>
  <c r="DO222" i="1"/>
  <c r="DO206" i="1"/>
  <c r="DO207" i="1"/>
  <c r="DO205" i="1"/>
  <c r="HP207" i="1"/>
  <c r="HP206" i="1"/>
  <c r="HP205" i="1"/>
  <c r="HP204" i="1"/>
  <c r="HP201" i="1"/>
  <c r="DO201" i="1" s="1"/>
  <c r="HP198" i="1"/>
  <c r="DO198" i="1" s="1"/>
  <c r="HP195" i="1"/>
  <c r="DO195" i="1" s="1"/>
  <c r="HP196" i="1"/>
  <c r="DO196" i="1" s="1"/>
  <c r="HP129" i="1"/>
  <c r="DO129" i="1" s="1"/>
  <c r="HP130" i="1"/>
  <c r="DO130" i="1" s="1"/>
  <c r="HP128" i="1"/>
  <c r="DO128" i="1" s="1"/>
  <c r="HP127" i="1"/>
  <c r="DO127" i="1" s="1"/>
  <c r="HP79" i="1"/>
  <c r="DO79" i="1" s="1"/>
  <c r="HP78" i="1"/>
  <c r="DO78" i="1" s="1"/>
  <c r="HP77" i="1"/>
  <c r="DO77" i="1" s="1"/>
  <c r="HP76" i="1"/>
  <c r="DO76" i="1" s="1"/>
  <c r="HP92" i="1"/>
  <c r="DO92" i="1" s="1"/>
  <c r="HP91" i="1"/>
  <c r="DO91" i="1" s="1"/>
  <c r="HP90" i="1"/>
  <c r="DO90" i="1" s="1"/>
  <c r="HP61" i="1"/>
  <c r="DO61" i="1" s="1"/>
  <c r="DO189" i="1"/>
  <c r="DO188" i="1"/>
  <c r="DO190" i="1"/>
  <c r="DO187" i="1"/>
  <c r="DO152" i="1"/>
  <c r="DO151" i="1"/>
  <c r="DO150" i="1"/>
  <c r="DO153" i="1"/>
  <c r="HP189" i="1"/>
  <c r="HP190" i="1"/>
  <c r="HP188" i="1"/>
  <c r="HP187" i="1"/>
  <c r="HP178" i="1"/>
  <c r="DO178" i="1" s="1"/>
  <c r="HP152" i="1"/>
  <c r="HP150" i="1"/>
  <c r="HP153" i="1"/>
  <c r="HP151" i="1"/>
  <c r="HP149" i="1"/>
  <c r="HP98" i="1"/>
  <c r="HP102" i="1"/>
  <c r="HP97" i="1"/>
  <c r="HP100" i="1"/>
  <c r="HP101" i="1"/>
  <c r="HP103" i="1"/>
  <c r="HP104" i="1"/>
  <c r="HP99" i="1"/>
  <c r="DO98" i="1"/>
  <c r="DO97" i="1"/>
  <c r="DO102" i="1"/>
  <c r="DO99" i="1"/>
  <c r="DO100" i="1"/>
  <c r="DO101" i="1"/>
  <c r="DO103" i="1"/>
  <c r="DO104" i="1"/>
  <c r="HP80" i="1"/>
  <c r="DO80" i="1" s="1"/>
  <c r="HP158" i="1"/>
  <c r="DO158" i="1" s="1"/>
  <c r="HP67" i="1"/>
  <c r="DO67" i="1" s="1"/>
  <c r="HP120" i="1"/>
  <c r="DO120" i="1" s="1"/>
  <c r="HP109" i="1"/>
  <c r="DO109" i="1" s="1"/>
  <c r="HP162" i="1"/>
  <c r="DO162" i="1" s="1"/>
  <c r="HP113" i="1"/>
  <c r="DO113" i="1" s="1"/>
  <c r="HP62" i="1"/>
  <c r="DO62" i="1" s="1"/>
  <c r="HP58" i="1"/>
  <c r="DO58" i="1" s="1"/>
  <c r="HP64" i="1"/>
  <c r="DO64" i="1" s="1"/>
  <c r="HQ56" i="1"/>
  <c r="DP56" i="1"/>
  <c r="DP35" i="1" l="1"/>
  <c r="DO125" i="1"/>
  <c r="DO147" i="1"/>
  <c r="HQ184" i="1"/>
  <c r="DP184" i="1" s="1"/>
  <c r="HQ179" i="1"/>
  <c r="DP179" i="1" s="1"/>
  <c r="HQ183" i="1"/>
  <c r="DP183" i="1" s="1"/>
  <c r="HQ181" i="1"/>
  <c r="DP181" i="1" s="1"/>
  <c r="HQ182" i="1"/>
  <c r="DP182" i="1" s="1"/>
  <c r="HQ180" i="1"/>
  <c r="DP180" i="1" s="1"/>
  <c r="HQ163" i="1"/>
  <c r="DP163" i="1" s="1"/>
  <c r="HQ176" i="1"/>
  <c r="DP176" i="1" s="1"/>
  <c r="HQ177" i="1"/>
  <c r="DP177" i="1" s="1"/>
  <c r="HQ174" i="1"/>
  <c r="DP174" i="1" s="1"/>
  <c r="HQ175" i="1"/>
  <c r="DP175" i="1" s="1"/>
  <c r="HQ161" i="1"/>
  <c r="DP161" i="1" s="1"/>
  <c r="HQ170" i="1"/>
  <c r="DP170" i="1" s="1"/>
  <c r="HQ171" i="1"/>
  <c r="DP171" i="1" s="1"/>
  <c r="HQ169" i="1"/>
  <c r="DP169" i="1" s="1"/>
  <c r="HQ166" i="1"/>
  <c r="DP166" i="1" s="1"/>
  <c r="HQ168" i="1"/>
  <c r="DP168" i="1" s="1"/>
  <c r="HQ167" i="1"/>
  <c r="DP167" i="1" s="1"/>
  <c r="HQ164" i="1"/>
  <c r="DP164" i="1" s="1"/>
  <c r="HQ165" i="1"/>
  <c r="DP165" i="1" s="1"/>
  <c r="HQ137" i="1"/>
  <c r="DP137" i="1" s="1"/>
  <c r="HQ136" i="1"/>
  <c r="DP136" i="1" s="1"/>
  <c r="HQ145" i="1"/>
  <c r="DP145" i="1" s="1"/>
  <c r="HQ144" i="1"/>
  <c r="DP144" i="1" s="1"/>
  <c r="HQ146" i="1"/>
  <c r="DP146" i="1" s="1"/>
  <c r="HQ142" i="1"/>
  <c r="DP142" i="1" s="1"/>
  <c r="HQ139" i="1"/>
  <c r="DP139" i="1" s="1"/>
  <c r="HQ141" i="1"/>
  <c r="DP141" i="1" s="1"/>
  <c r="HQ140" i="1"/>
  <c r="DP140" i="1" s="1"/>
  <c r="HQ143" i="1"/>
  <c r="DP143" i="1" s="1"/>
  <c r="HQ131" i="1"/>
  <c r="DP131" i="1" s="1"/>
  <c r="HQ133" i="1"/>
  <c r="DP133" i="1" s="1"/>
  <c r="HQ132" i="1"/>
  <c r="DP132" i="1" s="1"/>
  <c r="HQ135" i="1"/>
  <c r="DP135" i="1" s="1"/>
  <c r="HQ138" i="1"/>
  <c r="DP138" i="1" s="1"/>
  <c r="HQ134" i="1"/>
  <c r="DP134" i="1" s="1"/>
  <c r="HQ123" i="1"/>
  <c r="DP123" i="1" s="1"/>
  <c r="HQ124" i="1"/>
  <c r="DP124" i="1" s="1"/>
  <c r="HQ115" i="1"/>
  <c r="DP115" i="1" s="1"/>
  <c r="HQ121" i="1"/>
  <c r="DP121" i="1" s="1"/>
  <c r="HQ122" i="1"/>
  <c r="DP122" i="1" s="1"/>
  <c r="HQ118" i="1"/>
  <c r="DP118" i="1" s="1"/>
  <c r="HQ119" i="1"/>
  <c r="DP119" i="1" s="1"/>
  <c r="HQ117" i="1"/>
  <c r="DP117" i="1" s="1"/>
  <c r="HQ114" i="1"/>
  <c r="DP114" i="1" s="1"/>
  <c r="HQ116" i="1"/>
  <c r="DP116" i="1" s="1"/>
  <c r="HQ112" i="1"/>
  <c r="DP112" i="1" s="1"/>
  <c r="HQ94" i="1"/>
  <c r="DP94" i="1" s="1"/>
  <c r="HQ88" i="1"/>
  <c r="DP88" i="1" s="1"/>
  <c r="HQ87" i="1"/>
  <c r="DP87" i="1" s="1"/>
  <c r="HQ89" i="1"/>
  <c r="DP89" i="1" s="1"/>
  <c r="HQ86" i="1"/>
  <c r="DP86" i="1" s="1"/>
  <c r="HQ81" i="1"/>
  <c r="DP81" i="1" s="1"/>
  <c r="HQ84" i="1"/>
  <c r="DP84" i="1" s="1"/>
  <c r="HQ85" i="1"/>
  <c r="DP85" i="1" s="1"/>
  <c r="HQ83" i="1"/>
  <c r="DP83" i="1" s="1"/>
  <c r="HQ82" i="1"/>
  <c r="DP82" i="1" s="1"/>
  <c r="HQ66" i="1"/>
  <c r="DP66" i="1" s="1"/>
  <c r="HQ73" i="1"/>
  <c r="DP73" i="1" s="1"/>
  <c r="HQ71" i="1"/>
  <c r="DP71" i="1" s="1"/>
  <c r="HQ72" i="1"/>
  <c r="DP72" i="1" s="1"/>
  <c r="HQ69" i="1"/>
  <c r="DP69" i="1" s="1"/>
  <c r="HQ68" i="1"/>
  <c r="DP68" i="1" s="1"/>
  <c r="HQ70" i="1"/>
  <c r="DP70" i="1" s="1"/>
  <c r="HQ65" i="1"/>
  <c r="DP65" i="1" s="1"/>
  <c r="HQ63" i="1"/>
  <c r="DP63" i="1" s="1"/>
  <c r="HQ44" i="1"/>
  <c r="HQ31" i="1"/>
  <c r="DP31" i="1" s="1"/>
  <c r="HQ32" i="1"/>
  <c r="DP32" i="1" s="1"/>
  <c r="DP233" i="1"/>
  <c r="DP232" i="1"/>
  <c r="HQ232" i="1"/>
  <c r="HQ233" i="1"/>
  <c r="HQ93" i="1"/>
  <c r="DP93" i="1" s="1"/>
  <c r="HQ235" i="1"/>
  <c r="HQ229" i="1"/>
  <c r="HQ60" i="1"/>
  <c r="DP60" i="1" s="1"/>
  <c r="HQ159" i="1"/>
  <c r="DP159" i="1" s="1"/>
  <c r="HQ160" i="1"/>
  <c r="DP160" i="1" s="1"/>
  <c r="HQ59" i="1"/>
  <c r="DP59" i="1" s="1"/>
  <c r="DP236" i="1"/>
  <c r="DP235" i="1"/>
  <c r="DP229" i="1"/>
  <c r="HQ236" i="1"/>
  <c r="HQ111" i="1"/>
  <c r="DP111" i="1" s="1"/>
  <c r="HQ110" i="1"/>
  <c r="DP110" i="1" s="1"/>
  <c r="DP234" i="1"/>
  <c r="DP231" i="1"/>
  <c r="DP230" i="1"/>
  <c r="HQ218" i="1"/>
  <c r="DP218" i="1" s="1"/>
  <c r="HQ234" i="1"/>
  <c r="HQ231" i="1"/>
  <c r="HQ230" i="1"/>
  <c r="HQ39" i="1"/>
  <c r="HQ41" i="1"/>
  <c r="HR30" i="1"/>
  <c r="HR35" i="1" s="1"/>
  <c r="HQ38" i="1"/>
  <c r="HQ46" i="1"/>
  <c r="HQ45" i="1"/>
  <c r="HQ40" i="1"/>
  <c r="HQ42" i="1"/>
  <c r="HQ43" i="1"/>
  <c r="DP41" i="1"/>
  <c r="DP43" i="1"/>
  <c r="DQ30" i="1"/>
  <c r="DQ44" i="1" s="1"/>
  <c r="DP45" i="1"/>
  <c r="DP42" i="1"/>
  <c r="HQ197" i="1"/>
  <c r="DP197" i="1" s="1"/>
  <c r="HQ224" i="1"/>
  <c r="HQ222" i="1"/>
  <c r="HQ223" i="1"/>
  <c r="HQ221" i="1"/>
  <c r="HQ215" i="1"/>
  <c r="DP215" i="1" s="1"/>
  <c r="HQ214" i="1"/>
  <c r="DP214" i="1" s="1"/>
  <c r="HQ213" i="1"/>
  <c r="DP213" i="1" s="1"/>
  <c r="HQ212" i="1"/>
  <c r="DP212" i="1" s="1"/>
  <c r="DP224" i="1"/>
  <c r="DP222" i="1"/>
  <c r="DP221" i="1"/>
  <c r="DP223" i="1"/>
  <c r="HQ205" i="1"/>
  <c r="HQ207" i="1"/>
  <c r="HQ206" i="1"/>
  <c r="HQ204" i="1"/>
  <c r="HQ201" i="1"/>
  <c r="DP201" i="1" s="1"/>
  <c r="HQ198" i="1"/>
  <c r="DP198" i="1" s="1"/>
  <c r="HQ195" i="1"/>
  <c r="DP195" i="1" s="1"/>
  <c r="HQ196" i="1"/>
  <c r="DP196" i="1" s="1"/>
  <c r="HQ130" i="1"/>
  <c r="DP130" i="1" s="1"/>
  <c r="HQ128" i="1"/>
  <c r="DP128" i="1" s="1"/>
  <c r="HQ127" i="1"/>
  <c r="DP127" i="1" s="1"/>
  <c r="HQ129" i="1"/>
  <c r="DP129" i="1" s="1"/>
  <c r="DP207" i="1"/>
  <c r="DP206" i="1"/>
  <c r="DP205" i="1"/>
  <c r="HQ78" i="1"/>
  <c r="DP78" i="1" s="1"/>
  <c r="HQ79" i="1"/>
  <c r="DP79" i="1" s="1"/>
  <c r="HQ77" i="1"/>
  <c r="DP77" i="1" s="1"/>
  <c r="HQ76" i="1"/>
  <c r="DP76" i="1" s="1"/>
  <c r="HQ61" i="1"/>
  <c r="DP61" i="1" s="1"/>
  <c r="HQ90" i="1"/>
  <c r="DP90" i="1" s="1"/>
  <c r="HQ91" i="1"/>
  <c r="DP91" i="1" s="1"/>
  <c r="HQ92" i="1"/>
  <c r="DP92" i="1" s="1"/>
  <c r="HQ190" i="1"/>
  <c r="HQ178" i="1"/>
  <c r="DP178" i="1" s="1"/>
  <c r="HQ189" i="1"/>
  <c r="HQ188" i="1"/>
  <c r="HQ187" i="1"/>
  <c r="DP190" i="1"/>
  <c r="DP189" i="1"/>
  <c r="DP187" i="1"/>
  <c r="DP150" i="1"/>
  <c r="DP188" i="1"/>
  <c r="DP153" i="1"/>
  <c r="DP152" i="1"/>
  <c r="DP151" i="1"/>
  <c r="HQ153" i="1"/>
  <c r="HQ151" i="1"/>
  <c r="HQ152" i="1"/>
  <c r="HQ150" i="1"/>
  <c r="HQ97" i="1"/>
  <c r="HQ101" i="1"/>
  <c r="HQ99" i="1"/>
  <c r="HQ102" i="1"/>
  <c r="HQ103" i="1"/>
  <c r="HQ149" i="1"/>
  <c r="HQ98" i="1"/>
  <c r="HQ104" i="1"/>
  <c r="HQ100" i="1"/>
  <c r="DP99" i="1"/>
  <c r="DP98" i="1"/>
  <c r="DP103" i="1"/>
  <c r="DP100" i="1"/>
  <c r="DP101" i="1"/>
  <c r="DP102" i="1"/>
  <c r="DP97" i="1"/>
  <c r="DP104" i="1"/>
  <c r="HQ80" i="1"/>
  <c r="DP80" i="1" s="1"/>
  <c r="HQ158" i="1"/>
  <c r="DP158" i="1" s="1"/>
  <c r="HQ120" i="1"/>
  <c r="DP120" i="1" s="1"/>
  <c r="HQ67" i="1"/>
  <c r="DP67" i="1" s="1"/>
  <c r="HQ109" i="1"/>
  <c r="DP109" i="1" s="1"/>
  <c r="HQ162" i="1"/>
  <c r="DP162" i="1" s="1"/>
  <c r="HQ113" i="1"/>
  <c r="DP113" i="1" s="1"/>
  <c r="HQ58" i="1"/>
  <c r="DP58" i="1" s="1"/>
  <c r="HR56" i="1"/>
  <c r="HQ64" i="1"/>
  <c r="DP64" i="1" s="1"/>
  <c r="HQ62" i="1"/>
  <c r="DP62" i="1" s="1"/>
  <c r="DQ56" i="1"/>
  <c r="DQ35" i="1" l="1"/>
  <c r="DP147" i="1"/>
  <c r="DP125" i="1"/>
  <c r="HR184" i="1"/>
  <c r="DQ184" i="1" s="1"/>
  <c r="HR183" i="1"/>
  <c r="DQ183" i="1" s="1"/>
  <c r="HR182" i="1"/>
  <c r="DQ182" i="1" s="1"/>
  <c r="HR180" i="1"/>
  <c r="DQ180" i="1" s="1"/>
  <c r="HR179" i="1"/>
  <c r="DQ179" i="1" s="1"/>
  <c r="HR181" i="1"/>
  <c r="DQ181" i="1" s="1"/>
  <c r="HR163" i="1"/>
  <c r="DQ163" i="1" s="1"/>
  <c r="HR176" i="1"/>
  <c r="DQ176" i="1" s="1"/>
  <c r="HR177" i="1"/>
  <c r="DQ177" i="1" s="1"/>
  <c r="HR174" i="1"/>
  <c r="DQ174" i="1" s="1"/>
  <c r="HR175" i="1"/>
  <c r="DQ175" i="1" s="1"/>
  <c r="HR161" i="1"/>
  <c r="DQ161" i="1" s="1"/>
  <c r="HR170" i="1"/>
  <c r="DQ170" i="1" s="1"/>
  <c r="HR171" i="1"/>
  <c r="DQ171" i="1" s="1"/>
  <c r="HR169" i="1"/>
  <c r="DQ169" i="1" s="1"/>
  <c r="HR168" i="1"/>
  <c r="DQ168" i="1" s="1"/>
  <c r="HR167" i="1"/>
  <c r="DQ167" i="1" s="1"/>
  <c r="HR166" i="1"/>
  <c r="DQ166" i="1" s="1"/>
  <c r="HR165" i="1"/>
  <c r="DQ165" i="1" s="1"/>
  <c r="HR164" i="1"/>
  <c r="DQ164" i="1" s="1"/>
  <c r="HR137" i="1"/>
  <c r="DQ137" i="1" s="1"/>
  <c r="HR136" i="1"/>
  <c r="DQ136" i="1" s="1"/>
  <c r="HR146" i="1"/>
  <c r="DQ146" i="1" s="1"/>
  <c r="HR145" i="1"/>
  <c r="DQ145" i="1" s="1"/>
  <c r="HR141" i="1"/>
  <c r="DQ141" i="1" s="1"/>
  <c r="HR144" i="1"/>
  <c r="DQ144" i="1" s="1"/>
  <c r="HR140" i="1"/>
  <c r="DQ140" i="1" s="1"/>
  <c r="HR142" i="1"/>
  <c r="DQ142" i="1" s="1"/>
  <c r="HR139" i="1"/>
  <c r="DQ139" i="1" s="1"/>
  <c r="HR143" i="1"/>
  <c r="DQ143" i="1" s="1"/>
  <c r="HR131" i="1"/>
  <c r="DQ131" i="1" s="1"/>
  <c r="HR132" i="1"/>
  <c r="DQ132" i="1" s="1"/>
  <c r="HR133" i="1"/>
  <c r="DQ133" i="1" s="1"/>
  <c r="HR135" i="1"/>
  <c r="DQ135" i="1" s="1"/>
  <c r="HR138" i="1"/>
  <c r="DQ138" i="1" s="1"/>
  <c r="HR134" i="1"/>
  <c r="DQ134" i="1" s="1"/>
  <c r="HR123" i="1"/>
  <c r="DQ123" i="1" s="1"/>
  <c r="HR124" i="1"/>
  <c r="DQ124" i="1" s="1"/>
  <c r="HR115" i="1"/>
  <c r="DQ115" i="1" s="1"/>
  <c r="HR122" i="1"/>
  <c r="DQ122" i="1" s="1"/>
  <c r="HR121" i="1"/>
  <c r="DQ121" i="1" s="1"/>
  <c r="HR119" i="1"/>
  <c r="DQ119" i="1" s="1"/>
  <c r="HR117" i="1"/>
  <c r="DQ117" i="1" s="1"/>
  <c r="HR118" i="1"/>
  <c r="DQ118" i="1" s="1"/>
  <c r="HR116" i="1"/>
  <c r="DQ116" i="1" s="1"/>
  <c r="HR114" i="1"/>
  <c r="DQ114" i="1" s="1"/>
  <c r="HR112" i="1"/>
  <c r="DQ112" i="1" s="1"/>
  <c r="HR94" i="1"/>
  <c r="DQ94" i="1" s="1"/>
  <c r="HR89" i="1"/>
  <c r="DQ89" i="1" s="1"/>
  <c r="HR88" i="1"/>
  <c r="DQ88" i="1" s="1"/>
  <c r="HR87" i="1"/>
  <c r="DQ87" i="1" s="1"/>
  <c r="HR86" i="1"/>
  <c r="DQ86" i="1" s="1"/>
  <c r="HR81" i="1"/>
  <c r="DQ81" i="1" s="1"/>
  <c r="HR84" i="1"/>
  <c r="DQ84" i="1" s="1"/>
  <c r="HR85" i="1"/>
  <c r="DQ85" i="1" s="1"/>
  <c r="HR83" i="1"/>
  <c r="DQ83" i="1" s="1"/>
  <c r="HR82" i="1"/>
  <c r="DQ82" i="1" s="1"/>
  <c r="HR66" i="1"/>
  <c r="DQ66" i="1" s="1"/>
  <c r="HR73" i="1"/>
  <c r="DQ73" i="1" s="1"/>
  <c r="HR72" i="1"/>
  <c r="DQ72" i="1" s="1"/>
  <c r="HR71" i="1"/>
  <c r="DQ71" i="1" s="1"/>
  <c r="HR68" i="1"/>
  <c r="DQ68" i="1" s="1"/>
  <c r="HR69" i="1"/>
  <c r="DQ69" i="1" s="1"/>
  <c r="HR70" i="1"/>
  <c r="DQ70" i="1" s="1"/>
  <c r="HR65" i="1"/>
  <c r="DQ65" i="1" s="1"/>
  <c r="HR63" i="1"/>
  <c r="DQ63" i="1" s="1"/>
  <c r="HR44" i="1"/>
  <c r="HR31" i="1"/>
  <c r="DQ31" i="1" s="1"/>
  <c r="HR32" i="1"/>
  <c r="DQ32" i="1" s="1"/>
  <c r="DQ232" i="1"/>
  <c r="DQ233" i="1"/>
  <c r="HR232" i="1"/>
  <c r="HR233" i="1"/>
  <c r="HR93" i="1"/>
  <c r="DQ93" i="1" s="1"/>
  <c r="DQ236" i="1"/>
  <c r="DQ235" i="1"/>
  <c r="DQ229" i="1"/>
  <c r="HR235" i="1"/>
  <c r="HR229" i="1"/>
  <c r="HR60" i="1"/>
  <c r="DQ60" i="1" s="1"/>
  <c r="HR159" i="1"/>
  <c r="DQ159" i="1" s="1"/>
  <c r="HR59" i="1"/>
  <c r="DQ59" i="1" s="1"/>
  <c r="HR160" i="1"/>
  <c r="DQ160" i="1" s="1"/>
  <c r="HR111" i="1"/>
  <c r="DQ111" i="1" s="1"/>
  <c r="HR236" i="1"/>
  <c r="HR110" i="1"/>
  <c r="DQ110" i="1" s="1"/>
  <c r="HR218" i="1"/>
  <c r="DQ218" i="1" s="1"/>
  <c r="HR231" i="1"/>
  <c r="HR234" i="1"/>
  <c r="HR230" i="1"/>
  <c r="DQ231" i="1"/>
  <c r="DQ230" i="1"/>
  <c r="DQ234" i="1"/>
  <c r="HR38" i="1"/>
  <c r="HR46" i="1"/>
  <c r="HS30" i="1"/>
  <c r="HS35" i="1" s="1"/>
  <c r="HR41" i="1"/>
  <c r="HR39" i="1"/>
  <c r="HR40" i="1"/>
  <c r="HR42" i="1"/>
  <c r="HR45" i="1"/>
  <c r="HR43" i="1"/>
  <c r="DQ42" i="1"/>
  <c r="DQ43" i="1"/>
  <c r="DQ45" i="1"/>
  <c r="DQ41" i="1"/>
  <c r="DR30" i="1"/>
  <c r="DR44" i="1" s="1"/>
  <c r="DQ224" i="1"/>
  <c r="DQ222" i="1"/>
  <c r="DQ223" i="1"/>
  <c r="DQ221" i="1"/>
  <c r="HR197" i="1"/>
  <c r="DQ197" i="1" s="1"/>
  <c r="HR224" i="1"/>
  <c r="HR223" i="1"/>
  <c r="HR222" i="1"/>
  <c r="HR221" i="1"/>
  <c r="HR214" i="1"/>
  <c r="DQ214" i="1" s="1"/>
  <c r="HR215" i="1"/>
  <c r="DQ215" i="1" s="1"/>
  <c r="HR213" i="1"/>
  <c r="DQ213" i="1" s="1"/>
  <c r="HR212" i="1"/>
  <c r="DQ212" i="1" s="1"/>
  <c r="HR207" i="1"/>
  <c r="HR206" i="1"/>
  <c r="HR205" i="1"/>
  <c r="HR204" i="1"/>
  <c r="HR201" i="1"/>
  <c r="DQ201" i="1" s="1"/>
  <c r="HR198" i="1"/>
  <c r="DQ198" i="1" s="1"/>
  <c r="HR196" i="1"/>
  <c r="DQ196" i="1" s="1"/>
  <c r="HR195" i="1"/>
  <c r="DQ195" i="1" s="1"/>
  <c r="HR130" i="1"/>
  <c r="DQ130" i="1" s="1"/>
  <c r="HR129" i="1"/>
  <c r="DQ129" i="1" s="1"/>
  <c r="HR128" i="1"/>
  <c r="DQ128" i="1" s="1"/>
  <c r="HR127" i="1"/>
  <c r="DQ127" i="1" s="1"/>
  <c r="DQ207" i="1"/>
  <c r="DQ206" i="1"/>
  <c r="DQ205" i="1"/>
  <c r="HR79" i="1"/>
  <c r="DQ79" i="1" s="1"/>
  <c r="HR61" i="1"/>
  <c r="DQ61" i="1" s="1"/>
  <c r="HR77" i="1"/>
  <c r="DQ77" i="1" s="1"/>
  <c r="HR91" i="1"/>
  <c r="DQ91" i="1" s="1"/>
  <c r="HR76" i="1"/>
  <c r="DQ76" i="1" s="1"/>
  <c r="HR92" i="1"/>
  <c r="DQ92" i="1" s="1"/>
  <c r="HR90" i="1"/>
  <c r="DQ90" i="1" s="1"/>
  <c r="HR78" i="1"/>
  <c r="DQ78" i="1" s="1"/>
  <c r="DQ189" i="1"/>
  <c r="DQ190" i="1"/>
  <c r="DQ188" i="1"/>
  <c r="DQ151" i="1"/>
  <c r="DQ152" i="1"/>
  <c r="DQ153" i="1"/>
  <c r="DQ187" i="1"/>
  <c r="DQ150" i="1"/>
  <c r="HR190" i="1"/>
  <c r="HR189" i="1"/>
  <c r="HR187" i="1"/>
  <c r="HR188" i="1"/>
  <c r="HR178" i="1"/>
  <c r="DQ178" i="1" s="1"/>
  <c r="HR151" i="1"/>
  <c r="HR153" i="1"/>
  <c r="HR152" i="1"/>
  <c r="HR149" i="1"/>
  <c r="HR100" i="1"/>
  <c r="HR99" i="1"/>
  <c r="HR98" i="1"/>
  <c r="HR101" i="1"/>
  <c r="HR103" i="1"/>
  <c r="HR150" i="1"/>
  <c r="HR97" i="1"/>
  <c r="HR102" i="1"/>
  <c r="HR104" i="1"/>
  <c r="DQ99" i="1"/>
  <c r="DQ98" i="1"/>
  <c r="DQ100" i="1"/>
  <c r="DQ104" i="1"/>
  <c r="DQ101" i="1"/>
  <c r="DQ103" i="1"/>
  <c r="DQ97" i="1"/>
  <c r="DQ102" i="1"/>
  <c r="HR80" i="1"/>
  <c r="DQ80" i="1" s="1"/>
  <c r="HR158" i="1"/>
  <c r="DQ158" i="1" s="1"/>
  <c r="HR120" i="1"/>
  <c r="DQ120" i="1" s="1"/>
  <c r="HR67" i="1"/>
  <c r="DQ67" i="1" s="1"/>
  <c r="HR109" i="1"/>
  <c r="DQ109" i="1" s="1"/>
  <c r="HR162" i="1"/>
  <c r="DQ162" i="1" s="1"/>
  <c r="HR113" i="1"/>
  <c r="DQ113" i="1" s="1"/>
  <c r="HR58" i="1"/>
  <c r="DQ58" i="1" s="1"/>
  <c r="HR64" i="1"/>
  <c r="DQ64" i="1" s="1"/>
  <c r="HR62" i="1"/>
  <c r="DQ62" i="1" s="1"/>
  <c r="HS56" i="1"/>
  <c r="DR56" i="1"/>
  <c r="DR35" i="1" l="1"/>
  <c r="DQ125" i="1"/>
  <c r="DQ147" i="1"/>
  <c r="HS184" i="1"/>
  <c r="DR184" i="1" s="1"/>
  <c r="HS183" i="1"/>
  <c r="DR183" i="1" s="1"/>
  <c r="HS180" i="1"/>
  <c r="DR180" i="1" s="1"/>
  <c r="HS182" i="1"/>
  <c r="DR182" i="1" s="1"/>
  <c r="HS179" i="1"/>
  <c r="DR179" i="1" s="1"/>
  <c r="HS181" i="1"/>
  <c r="DR181" i="1" s="1"/>
  <c r="HS163" i="1"/>
  <c r="DR163" i="1" s="1"/>
  <c r="HS177" i="1"/>
  <c r="DR177" i="1" s="1"/>
  <c r="HS174" i="1"/>
  <c r="DR174" i="1" s="1"/>
  <c r="HS175" i="1"/>
  <c r="DR175" i="1" s="1"/>
  <c r="HS176" i="1"/>
  <c r="DR176" i="1" s="1"/>
  <c r="HS161" i="1"/>
  <c r="DR161" i="1" s="1"/>
  <c r="HS171" i="1"/>
  <c r="DR171" i="1" s="1"/>
  <c r="HS170" i="1"/>
  <c r="DR170" i="1" s="1"/>
  <c r="HS169" i="1"/>
  <c r="DR169" i="1" s="1"/>
  <c r="HS168" i="1"/>
  <c r="DR168" i="1" s="1"/>
  <c r="HS167" i="1"/>
  <c r="DR167" i="1" s="1"/>
  <c r="HS165" i="1"/>
  <c r="DR165" i="1" s="1"/>
  <c r="HS166" i="1"/>
  <c r="DR166" i="1" s="1"/>
  <c r="HS164" i="1"/>
  <c r="DR164" i="1" s="1"/>
  <c r="HS137" i="1"/>
  <c r="DR137" i="1" s="1"/>
  <c r="HS136" i="1"/>
  <c r="DR136" i="1" s="1"/>
  <c r="HS146" i="1"/>
  <c r="DR146" i="1" s="1"/>
  <c r="HS145" i="1"/>
  <c r="DR145" i="1" s="1"/>
  <c r="HS144" i="1"/>
  <c r="DR144" i="1" s="1"/>
  <c r="HS143" i="1"/>
  <c r="DR143" i="1" s="1"/>
  <c r="HS141" i="1"/>
  <c r="DR141" i="1" s="1"/>
  <c r="HS140" i="1"/>
  <c r="DR140" i="1" s="1"/>
  <c r="HS142" i="1"/>
  <c r="DR142" i="1" s="1"/>
  <c r="HS139" i="1"/>
  <c r="DR139" i="1" s="1"/>
  <c r="HS131" i="1"/>
  <c r="DR131" i="1" s="1"/>
  <c r="HS132" i="1"/>
  <c r="DR132" i="1" s="1"/>
  <c r="HS133" i="1"/>
  <c r="DR133" i="1" s="1"/>
  <c r="HS138" i="1"/>
  <c r="DR138" i="1" s="1"/>
  <c r="HS134" i="1"/>
  <c r="DR134" i="1" s="1"/>
  <c r="HS135" i="1"/>
  <c r="DR135" i="1" s="1"/>
  <c r="HS124" i="1"/>
  <c r="DR124" i="1" s="1"/>
  <c r="HS123" i="1"/>
  <c r="DR123" i="1" s="1"/>
  <c r="HS115" i="1"/>
  <c r="DR115" i="1" s="1"/>
  <c r="HS122" i="1"/>
  <c r="DR122" i="1" s="1"/>
  <c r="HS121" i="1"/>
  <c r="DR121" i="1" s="1"/>
  <c r="HS119" i="1"/>
  <c r="DR119" i="1" s="1"/>
  <c r="HS118" i="1"/>
  <c r="DR118" i="1" s="1"/>
  <c r="HS117" i="1"/>
  <c r="DR117" i="1" s="1"/>
  <c r="HS114" i="1"/>
  <c r="DR114" i="1" s="1"/>
  <c r="HS116" i="1"/>
  <c r="DR116" i="1" s="1"/>
  <c r="HS112" i="1"/>
  <c r="DR112" i="1" s="1"/>
  <c r="HS94" i="1"/>
  <c r="DR94" i="1" s="1"/>
  <c r="HS89" i="1"/>
  <c r="DR89" i="1" s="1"/>
  <c r="HS86" i="1"/>
  <c r="DR86" i="1" s="1"/>
  <c r="HS88" i="1"/>
  <c r="DR88" i="1" s="1"/>
  <c r="HS87" i="1"/>
  <c r="DR87" i="1" s="1"/>
  <c r="HS81" i="1"/>
  <c r="DR81" i="1" s="1"/>
  <c r="HS85" i="1"/>
  <c r="DR85" i="1" s="1"/>
  <c r="HS83" i="1"/>
  <c r="DR83" i="1" s="1"/>
  <c r="HS82" i="1"/>
  <c r="DR82" i="1" s="1"/>
  <c r="HS84" i="1"/>
  <c r="DR84" i="1" s="1"/>
  <c r="HS66" i="1"/>
  <c r="DR66" i="1" s="1"/>
  <c r="HS72" i="1"/>
  <c r="DR72" i="1" s="1"/>
  <c r="HS71" i="1"/>
  <c r="DR71" i="1" s="1"/>
  <c r="HS73" i="1"/>
  <c r="DR73" i="1" s="1"/>
  <c r="HS70" i="1"/>
  <c r="DR70" i="1" s="1"/>
  <c r="HS69" i="1"/>
  <c r="DR69" i="1" s="1"/>
  <c r="HS68" i="1"/>
  <c r="DR68" i="1" s="1"/>
  <c r="HS65" i="1"/>
  <c r="DR65" i="1" s="1"/>
  <c r="HS63" i="1"/>
  <c r="DR63" i="1" s="1"/>
  <c r="HS44" i="1"/>
  <c r="HS32" i="1"/>
  <c r="DR32" i="1" s="1"/>
  <c r="HS31" i="1"/>
  <c r="DR31" i="1" s="1"/>
  <c r="DR232" i="1"/>
  <c r="DR233" i="1"/>
  <c r="HS233" i="1"/>
  <c r="HS232" i="1"/>
  <c r="HS93" i="1"/>
  <c r="DR93" i="1" s="1"/>
  <c r="HS235" i="1"/>
  <c r="HS229" i="1"/>
  <c r="HS60" i="1"/>
  <c r="DR60" i="1" s="1"/>
  <c r="HS160" i="1"/>
  <c r="DR160" i="1" s="1"/>
  <c r="HS59" i="1"/>
  <c r="DR59" i="1" s="1"/>
  <c r="HS159" i="1"/>
  <c r="DR159" i="1" s="1"/>
  <c r="DR236" i="1"/>
  <c r="DR229" i="1"/>
  <c r="DR235" i="1"/>
  <c r="HS111" i="1"/>
  <c r="DR111" i="1" s="1"/>
  <c r="HS110" i="1"/>
  <c r="DR110" i="1" s="1"/>
  <c r="HS236" i="1"/>
  <c r="DR231" i="1"/>
  <c r="DR234" i="1"/>
  <c r="DR230" i="1"/>
  <c r="HS218" i="1"/>
  <c r="DR218" i="1" s="1"/>
  <c r="HS234" i="1"/>
  <c r="HS231" i="1"/>
  <c r="HS230" i="1"/>
  <c r="HS39" i="1"/>
  <c r="HS40" i="1"/>
  <c r="HS38" i="1"/>
  <c r="HS45" i="1"/>
  <c r="HS46" i="1"/>
  <c r="HT30" i="1"/>
  <c r="HT35" i="1" s="1"/>
  <c r="HS41" i="1"/>
  <c r="HS42" i="1"/>
  <c r="HS43" i="1"/>
  <c r="DR41" i="1"/>
  <c r="DR42" i="1"/>
  <c r="DS30" i="1"/>
  <c r="DS44" i="1" s="1"/>
  <c r="DR45" i="1"/>
  <c r="DR43" i="1"/>
  <c r="HS197" i="1"/>
  <c r="DR197" i="1" s="1"/>
  <c r="HS223" i="1"/>
  <c r="HS224" i="1"/>
  <c r="HS222" i="1"/>
  <c r="HS221" i="1"/>
  <c r="HS215" i="1"/>
  <c r="DR215" i="1" s="1"/>
  <c r="HS213" i="1"/>
  <c r="DR213" i="1" s="1"/>
  <c r="HS212" i="1"/>
  <c r="DR212" i="1" s="1"/>
  <c r="HS214" i="1"/>
  <c r="DR214" i="1" s="1"/>
  <c r="DR224" i="1"/>
  <c r="DR223" i="1"/>
  <c r="DR222" i="1"/>
  <c r="DR221" i="1"/>
  <c r="HS207" i="1"/>
  <c r="HS206" i="1"/>
  <c r="HS205" i="1"/>
  <c r="HS204" i="1"/>
  <c r="HS196" i="1"/>
  <c r="DR196" i="1" s="1"/>
  <c r="HS201" i="1"/>
  <c r="DR201" i="1" s="1"/>
  <c r="HS198" i="1"/>
  <c r="DR198" i="1" s="1"/>
  <c r="HS195" i="1"/>
  <c r="DR195" i="1" s="1"/>
  <c r="HS129" i="1"/>
  <c r="DR129" i="1" s="1"/>
  <c r="HS130" i="1"/>
  <c r="DR130" i="1" s="1"/>
  <c r="HS128" i="1"/>
  <c r="DR128" i="1" s="1"/>
  <c r="HS127" i="1"/>
  <c r="DR127" i="1" s="1"/>
  <c r="DR206" i="1"/>
  <c r="DR205" i="1"/>
  <c r="DR207" i="1"/>
  <c r="HS79" i="1"/>
  <c r="DR79" i="1" s="1"/>
  <c r="HS78" i="1"/>
  <c r="DR78" i="1" s="1"/>
  <c r="HS77" i="1"/>
  <c r="DR77" i="1" s="1"/>
  <c r="HS76" i="1"/>
  <c r="DR76" i="1" s="1"/>
  <c r="HS61" i="1"/>
  <c r="DR61" i="1" s="1"/>
  <c r="HS92" i="1"/>
  <c r="DR92" i="1" s="1"/>
  <c r="HS91" i="1"/>
  <c r="DR91" i="1" s="1"/>
  <c r="HS90" i="1"/>
  <c r="DR90" i="1" s="1"/>
  <c r="DR190" i="1"/>
  <c r="DR189" i="1"/>
  <c r="DR187" i="1"/>
  <c r="DR188" i="1"/>
  <c r="DR153" i="1"/>
  <c r="DR150" i="1"/>
  <c r="DR152" i="1"/>
  <c r="DR151" i="1"/>
  <c r="HS188" i="1"/>
  <c r="HS189" i="1"/>
  <c r="HS187" i="1"/>
  <c r="HS178" i="1"/>
  <c r="DR178" i="1" s="1"/>
  <c r="HS190" i="1"/>
  <c r="HS152" i="1"/>
  <c r="HS153" i="1"/>
  <c r="HS151" i="1"/>
  <c r="HS149" i="1"/>
  <c r="HS150" i="1"/>
  <c r="HS99" i="1"/>
  <c r="HS97" i="1"/>
  <c r="HS100" i="1"/>
  <c r="HS102" i="1"/>
  <c r="HS101" i="1"/>
  <c r="HS103" i="1"/>
  <c r="HS98" i="1"/>
  <c r="HS104" i="1"/>
  <c r="DR97" i="1"/>
  <c r="DR101" i="1"/>
  <c r="DR99" i="1"/>
  <c r="DR104" i="1"/>
  <c r="DR102" i="1"/>
  <c r="DR98" i="1"/>
  <c r="DR103" i="1"/>
  <c r="DR100" i="1"/>
  <c r="HS80" i="1"/>
  <c r="DR80" i="1" s="1"/>
  <c r="HS158" i="1"/>
  <c r="DR158" i="1" s="1"/>
  <c r="HS120" i="1"/>
  <c r="DR120" i="1" s="1"/>
  <c r="HS67" i="1"/>
  <c r="DR67" i="1" s="1"/>
  <c r="HS109" i="1"/>
  <c r="DR109" i="1" s="1"/>
  <c r="HS162" i="1"/>
  <c r="DR162" i="1" s="1"/>
  <c r="HS113" i="1"/>
  <c r="DR113" i="1" s="1"/>
  <c r="HS62" i="1"/>
  <c r="DR62" i="1" s="1"/>
  <c r="HS58" i="1"/>
  <c r="DR58" i="1" s="1"/>
  <c r="HT56" i="1"/>
  <c r="HS64" i="1"/>
  <c r="DR64" i="1" s="1"/>
  <c r="DS56" i="1"/>
  <c r="DS35" i="1" l="1"/>
  <c r="DR125" i="1"/>
  <c r="DR147" i="1"/>
  <c r="HT184" i="1"/>
  <c r="DS184" i="1" s="1"/>
  <c r="HT183" i="1"/>
  <c r="DS183" i="1" s="1"/>
  <c r="HT181" i="1"/>
  <c r="DS181" i="1" s="1"/>
  <c r="HT179" i="1"/>
  <c r="DS179" i="1" s="1"/>
  <c r="HT180" i="1"/>
  <c r="DS180" i="1" s="1"/>
  <c r="HT182" i="1"/>
  <c r="DS182" i="1" s="1"/>
  <c r="HT163" i="1"/>
  <c r="DS163" i="1" s="1"/>
  <c r="HT177" i="1"/>
  <c r="DS177" i="1" s="1"/>
  <c r="HT176" i="1"/>
  <c r="DS176" i="1" s="1"/>
  <c r="HT175" i="1"/>
  <c r="DS175" i="1" s="1"/>
  <c r="HT174" i="1"/>
  <c r="DS174" i="1" s="1"/>
  <c r="HT161" i="1"/>
  <c r="DS161" i="1" s="1"/>
  <c r="HT171" i="1"/>
  <c r="DS171" i="1" s="1"/>
  <c r="HT170" i="1"/>
  <c r="DS170" i="1" s="1"/>
  <c r="HT168" i="1"/>
  <c r="DS168" i="1" s="1"/>
  <c r="HT169" i="1"/>
  <c r="DS169" i="1" s="1"/>
  <c r="HT164" i="1"/>
  <c r="DS164" i="1" s="1"/>
  <c r="HT167" i="1"/>
  <c r="DS167" i="1" s="1"/>
  <c r="HT165" i="1"/>
  <c r="DS165" i="1" s="1"/>
  <c r="HT166" i="1"/>
  <c r="DS166" i="1" s="1"/>
  <c r="HT137" i="1"/>
  <c r="DS137" i="1" s="1"/>
  <c r="HT136" i="1"/>
  <c r="DS136" i="1" s="1"/>
  <c r="HT146" i="1"/>
  <c r="DS146" i="1" s="1"/>
  <c r="HT145" i="1"/>
  <c r="DS145" i="1" s="1"/>
  <c r="HT144" i="1"/>
  <c r="DS144" i="1" s="1"/>
  <c r="HT143" i="1"/>
  <c r="DS143" i="1" s="1"/>
  <c r="HT142" i="1"/>
  <c r="DS142" i="1" s="1"/>
  <c r="HT141" i="1"/>
  <c r="DS141" i="1" s="1"/>
  <c r="HT139" i="1"/>
  <c r="DS139" i="1" s="1"/>
  <c r="HT140" i="1"/>
  <c r="DS140" i="1" s="1"/>
  <c r="HT131" i="1"/>
  <c r="DS131" i="1" s="1"/>
  <c r="HT132" i="1"/>
  <c r="DS132" i="1" s="1"/>
  <c r="HT133" i="1"/>
  <c r="DS133" i="1" s="1"/>
  <c r="HT138" i="1"/>
  <c r="DS138" i="1" s="1"/>
  <c r="HT135" i="1"/>
  <c r="DS135" i="1" s="1"/>
  <c r="HT134" i="1"/>
  <c r="DS134" i="1" s="1"/>
  <c r="HT124" i="1"/>
  <c r="DS124" i="1" s="1"/>
  <c r="HT123" i="1"/>
  <c r="DS123" i="1" s="1"/>
  <c r="HT115" i="1"/>
  <c r="DS115" i="1" s="1"/>
  <c r="HT121" i="1"/>
  <c r="DS121" i="1" s="1"/>
  <c r="HT122" i="1"/>
  <c r="DS122" i="1" s="1"/>
  <c r="HT118" i="1"/>
  <c r="DS118" i="1" s="1"/>
  <c r="HT119" i="1"/>
  <c r="DS119" i="1" s="1"/>
  <c r="HT116" i="1"/>
  <c r="DS116" i="1" s="1"/>
  <c r="HT117" i="1"/>
  <c r="DS117" i="1" s="1"/>
  <c r="HT114" i="1"/>
  <c r="DS114" i="1" s="1"/>
  <c r="HT112" i="1"/>
  <c r="DS112" i="1" s="1"/>
  <c r="HT94" i="1"/>
  <c r="DS94" i="1" s="1"/>
  <c r="HT89" i="1"/>
  <c r="DS89" i="1" s="1"/>
  <c r="HT88" i="1"/>
  <c r="DS88" i="1" s="1"/>
  <c r="HT86" i="1"/>
  <c r="DS86" i="1" s="1"/>
  <c r="HT87" i="1"/>
  <c r="DS87" i="1" s="1"/>
  <c r="HT81" i="1"/>
  <c r="DS81" i="1" s="1"/>
  <c r="HT85" i="1"/>
  <c r="DS85" i="1" s="1"/>
  <c r="HT84" i="1"/>
  <c r="DS84" i="1" s="1"/>
  <c r="HT82" i="1"/>
  <c r="DS82" i="1" s="1"/>
  <c r="HT83" i="1"/>
  <c r="DS83" i="1" s="1"/>
  <c r="HT66" i="1"/>
  <c r="DS66" i="1" s="1"/>
  <c r="HT72" i="1"/>
  <c r="DS72" i="1" s="1"/>
  <c r="HT71" i="1"/>
  <c r="DS71" i="1" s="1"/>
  <c r="HT73" i="1"/>
  <c r="DS73" i="1" s="1"/>
  <c r="HT70" i="1"/>
  <c r="DS70" i="1" s="1"/>
  <c r="HT69" i="1"/>
  <c r="DS69" i="1" s="1"/>
  <c r="HT68" i="1"/>
  <c r="DS68" i="1" s="1"/>
  <c r="HT65" i="1"/>
  <c r="DS65" i="1" s="1"/>
  <c r="HT63" i="1"/>
  <c r="DS63" i="1" s="1"/>
  <c r="HT44" i="1"/>
  <c r="HT32" i="1"/>
  <c r="DS32" i="1" s="1"/>
  <c r="HT31" i="1"/>
  <c r="DS31" i="1" s="1"/>
  <c r="HT232" i="1"/>
  <c r="HT233" i="1"/>
  <c r="DS232" i="1"/>
  <c r="DS233" i="1"/>
  <c r="HT93" i="1"/>
  <c r="DS93" i="1" s="1"/>
  <c r="DS236" i="1"/>
  <c r="DS229" i="1"/>
  <c r="DS235" i="1"/>
  <c r="HT229" i="1"/>
  <c r="HT235" i="1"/>
  <c r="HT159" i="1"/>
  <c r="DS159" i="1" s="1"/>
  <c r="HT60" i="1"/>
  <c r="DS60" i="1" s="1"/>
  <c r="HT160" i="1"/>
  <c r="DS160" i="1" s="1"/>
  <c r="HT59" i="1"/>
  <c r="DS59" i="1" s="1"/>
  <c r="HT111" i="1"/>
  <c r="DS111" i="1" s="1"/>
  <c r="HT110" i="1"/>
  <c r="DS110" i="1" s="1"/>
  <c r="HT236" i="1"/>
  <c r="HT218" i="1"/>
  <c r="DS218" i="1" s="1"/>
  <c r="HT234" i="1"/>
  <c r="HT231" i="1"/>
  <c r="HT230" i="1"/>
  <c r="DS234" i="1"/>
  <c r="DS230" i="1"/>
  <c r="DS231" i="1"/>
  <c r="HT43" i="1"/>
  <c r="HT40" i="1"/>
  <c r="HT45" i="1"/>
  <c r="HT46" i="1"/>
  <c r="HT38" i="1"/>
  <c r="HU30" i="1"/>
  <c r="HU35" i="1" s="1"/>
  <c r="HT39" i="1"/>
  <c r="HT42" i="1"/>
  <c r="HT41" i="1"/>
  <c r="DS41" i="1"/>
  <c r="DS42" i="1"/>
  <c r="DS45" i="1"/>
  <c r="DT30" i="1"/>
  <c r="DT44" i="1" s="1"/>
  <c r="DS43" i="1"/>
  <c r="HT197" i="1"/>
  <c r="DS197" i="1" s="1"/>
  <c r="HT224" i="1"/>
  <c r="HT222" i="1"/>
  <c r="HT221" i="1"/>
  <c r="HT223" i="1"/>
  <c r="HT213" i="1"/>
  <c r="DS213" i="1" s="1"/>
  <c r="HT212" i="1"/>
  <c r="DS212" i="1" s="1"/>
  <c r="HT215" i="1"/>
  <c r="DS215" i="1" s="1"/>
  <c r="HT214" i="1"/>
  <c r="DS214" i="1" s="1"/>
  <c r="DS222" i="1"/>
  <c r="DS223" i="1"/>
  <c r="DS224" i="1"/>
  <c r="DS221" i="1"/>
  <c r="HT207" i="1"/>
  <c r="HT206" i="1"/>
  <c r="HT205" i="1"/>
  <c r="HT204" i="1"/>
  <c r="HT201" i="1"/>
  <c r="DS201" i="1" s="1"/>
  <c r="HT198" i="1"/>
  <c r="DS198" i="1" s="1"/>
  <c r="HT196" i="1"/>
  <c r="DS196" i="1" s="1"/>
  <c r="HT195" i="1"/>
  <c r="DS195" i="1" s="1"/>
  <c r="HT129" i="1"/>
  <c r="DS129" i="1" s="1"/>
  <c r="HT130" i="1"/>
  <c r="DS130" i="1" s="1"/>
  <c r="HT128" i="1"/>
  <c r="DS128" i="1" s="1"/>
  <c r="HT127" i="1"/>
  <c r="DS127" i="1" s="1"/>
  <c r="DS206" i="1"/>
  <c r="DS207" i="1"/>
  <c r="DS205" i="1"/>
  <c r="HT79" i="1"/>
  <c r="DS79" i="1" s="1"/>
  <c r="HT78" i="1"/>
  <c r="DS78" i="1" s="1"/>
  <c r="HT77" i="1"/>
  <c r="DS77" i="1" s="1"/>
  <c r="HT76" i="1"/>
  <c r="DS76" i="1" s="1"/>
  <c r="HT92" i="1"/>
  <c r="DS92" i="1" s="1"/>
  <c r="HT91" i="1"/>
  <c r="DS91" i="1" s="1"/>
  <c r="HT90" i="1"/>
  <c r="DS90" i="1" s="1"/>
  <c r="HT61" i="1"/>
  <c r="DS61" i="1" s="1"/>
  <c r="DS189" i="1"/>
  <c r="DS190" i="1"/>
  <c r="DS188" i="1"/>
  <c r="DS187" i="1"/>
  <c r="DS152" i="1"/>
  <c r="DS150" i="1"/>
  <c r="DS151" i="1"/>
  <c r="DS153" i="1"/>
  <c r="HT189" i="1"/>
  <c r="HT190" i="1"/>
  <c r="HT188" i="1"/>
  <c r="HT187" i="1"/>
  <c r="HT178" i="1"/>
  <c r="DS178" i="1" s="1"/>
  <c r="HT150" i="1"/>
  <c r="HT153" i="1"/>
  <c r="HT152" i="1"/>
  <c r="HT149" i="1"/>
  <c r="HT151" i="1"/>
  <c r="HT98" i="1"/>
  <c r="HT102" i="1"/>
  <c r="HT101" i="1"/>
  <c r="HT97" i="1"/>
  <c r="HT100" i="1"/>
  <c r="HT99" i="1"/>
  <c r="HT103" i="1"/>
  <c r="HT104" i="1"/>
  <c r="DS98" i="1"/>
  <c r="DS97" i="1"/>
  <c r="DS102" i="1"/>
  <c r="DS103" i="1"/>
  <c r="DS104" i="1"/>
  <c r="DS99" i="1"/>
  <c r="DS100" i="1"/>
  <c r="DS101" i="1"/>
  <c r="HT80" i="1"/>
  <c r="DS80" i="1" s="1"/>
  <c r="HT158" i="1"/>
  <c r="DS158" i="1" s="1"/>
  <c r="HT120" i="1"/>
  <c r="DS120" i="1" s="1"/>
  <c r="HT67" i="1"/>
  <c r="DS67" i="1" s="1"/>
  <c r="HT109" i="1"/>
  <c r="DS109" i="1" s="1"/>
  <c r="HT162" i="1"/>
  <c r="DS162" i="1" s="1"/>
  <c r="HT113" i="1"/>
  <c r="DS113" i="1" s="1"/>
  <c r="HU56" i="1"/>
  <c r="HT64" i="1"/>
  <c r="DS64" i="1" s="1"/>
  <c r="HT58" i="1"/>
  <c r="DS58" i="1" s="1"/>
  <c r="HT62" i="1"/>
  <c r="DS62" i="1" s="1"/>
  <c r="DT56" i="1"/>
  <c r="DT35" i="1" l="1"/>
  <c r="DS125" i="1"/>
  <c r="DS147" i="1"/>
  <c r="HU184" i="1"/>
  <c r="DT184" i="1" s="1"/>
  <c r="HU179" i="1"/>
  <c r="DT179" i="1" s="1"/>
  <c r="HU180" i="1"/>
  <c r="DT180" i="1" s="1"/>
  <c r="HU181" i="1"/>
  <c r="DT181" i="1" s="1"/>
  <c r="HU183" i="1"/>
  <c r="DT183" i="1" s="1"/>
  <c r="HU182" i="1"/>
  <c r="DT182" i="1" s="1"/>
  <c r="HU163" i="1"/>
  <c r="DT163" i="1" s="1"/>
  <c r="HU176" i="1"/>
  <c r="DT176" i="1" s="1"/>
  <c r="HU177" i="1"/>
  <c r="DT177" i="1" s="1"/>
  <c r="HU175" i="1"/>
  <c r="DT175" i="1" s="1"/>
  <c r="HU174" i="1"/>
  <c r="DT174" i="1" s="1"/>
  <c r="HU161" i="1"/>
  <c r="DT161" i="1" s="1"/>
  <c r="HU171" i="1"/>
  <c r="DT171" i="1" s="1"/>
  <c r="HU170" i="1"/>
  <c r="DT170" i="1" s="1"/>
  <c r="HU168" i="1"/>
  <c r="DT168" i="1" s="1"/>
  <c r="HU166" i="1"/>
  <c r="DT166" i="1" s="1"/>
  <c r="HU169" i="1"/>
  <c r="DT169" i="1" s="1"/>
  <c r="HU167" i="1"/>
  <c r="DT167" i="1" s="1"/>
  <c r="HU165" i="1"/>
  <c r="DT165" i="1" s="1"/>
  <c r="HU164" i="1"/>
  <c r="DT164" i="1" s="1"/>
  <c r="HU137" i="1"/>
  <c r="DT137" i="1" s="1"/>
  <c r="HU136" i="1"/>
  <c r="DT136" i="1" s="1"/>
  <c r="HU145" i="1"/>
  <c r="DT145" i="1" s="1"/>
  <c r="HU144" i="1"/>
  <c r="DT144" i="1" s="1"/>
  <c r="HU146" i="1"/>
  <c r="DT146" i="1" s="1"/>
  <c r="HU142" i="1"/>
  <c r="DT142" i="1" s="1"/>
  <c r="HU143" i="1"/>
  <c r="DT143" i="1" s="1"/>
  <c r="HU139" i="1"/>
  <c r="DT139" i="1" s="1"/>
  <c r="HU140" i="1"/>
  <c r="DT140" i="1" s="1"/>
  <c r="HU141" i="1"/>
  <c r="DT141" i="1" s="1"/>
  <c r="HU131" i="1"/>
  <c r="DT131" i="1" s="1"/>
  <c r="HU133" i="1"/>
  <c r="DT133" i="1" s="1"/>
  <c r="HU132" i="1"/>
  <c r="DT132" i="1" s="1"/>
  <c r="HU135" i="1"/>
  <c r="DT135" i="1" s="1"/>
  <c r="HU138" i="1"/>
  <c r="DT138" i="1" s="1"/>
  <c r="HU134" i="1"/>
  <c r="DT134" i="1" s="1"/>
  <c r="HU123" i="1"/>
  <c r="DT123" i="1" s="1"/>
  <c r="HU124" i="1"/>
  <c r="DT124" i="1" s="1"/>
  <c r="HU115" i="1"/>
  <c r="DT115" i="1" s="1"/>
  <c r="HU121" i="1"/>
  <c r="DT121" i="1" s="1"/>
  <c r="HU122" i="1"/>
  <c r="DT122" i="1" s="1"/>
  <c r="HU118" i="1"/>
  <c r="DT118" i="1" s="1"/>
  <c r="HU117" i="1"/>
  <c r="DT117" i="1" s="1"/>
  <c r="HU119" i="1"/>
  <c r="DT119" i="1" s="1"/>
  <c r="HU116" i="1"/>
  <c r="DT116" i="1" s="1"/>
  <c r="HU114" i="1"/>
  <c r="DT114" i="1" s="1"/>
  <c r="HU112" i="1"/>
  <c r="DT112" i="1" s="1"/>
  <c r="HU94" i="1"/>
  <c r="DT94" i="1" s="1"/>
  <c r="HU88" i="1"/>
  <c r="DT88" i="1" s="1"/>
  <c r="HU87" i="1"/>
  <c r="DT87" i="1" s="1"/>
  <c r="HU89" i="1"/>
  <c r="DT89" i="1" s="1"/>
  <c r="HU86" i="1"/>
  <c r="DT86" i="1" s="1"/>
  <c r="HU81" i="1"/>
  <c r="DT81" i="1" s="1"/>
  <c r="HU84" i="1"/>
  <c r="DT84" i="1" s="1"/>
  <c r="HU85" i="1"/>
  <c r="DT85" i="1" s="1"/>
  <c r="HU83" i="1"/>
  <c r="DT83" i="1" s="1"/>
  <c r="HU82" i="1"/>
  <c r="DT82" i="1" s="1"/>
  <c r="HU66" i="1"/>
  <c r="DT66" i="1" s="1"/>
  <c r="HU71" i="1"/>
  <c r="DT71" i="1" s="1"/>
  <c r="HU73" i="1"/>
  <c r="DT73" i="1" s="1"/>
  <c r="HU72" i="1"/>
  <c r="DT72" i="1" s="1"/>
  <c r="HU69" i="1"/>
  <c r="DT69" i="1" s="1"/>
  <c r="HU68" i="1"/>
  <c r="DT68" i="1" s="1"/>
  <c r="HU70" i="1"/>
  <c r="DT70" i="1" s="1"/>
  <c r="HU65" i="1"/>
  <c r="DT65" i="1" s="1"/>
  <c r="HU63" i="1"/>
  <c r="DT63" i="1" s="1"/>
  <c r="HU44" i="1"/>
  <c r="HU32" i="1"/>
  <c r="DT32" i="1" s="1"/>
  <c r="HU31" i="1"/>
  <c r="DT31" i="1" s="1"/>
  <c r="DT233" i="1"/>
  <c r="DT232" i="1"/>
  <c r="HU232" i="1"/>
  <c r="HU233" i="1"/>
  <c r="HU93" i="1"/>
  <c r="DT93" i="1" s="1"/>
  <c r="DT236" i="1"/>
  <c r="DT235" i="1"/>
  <c r="DT229" i="1"/>
  <c r="HU235" i="1"/>
  <c r="HU229" i="1"/>
  <c r="HU160" i="1"/>
  <c r="DT160" i="1" s="1"/>
  <c r="HU59" i="1"/>
  <c r="DT59" i="1" s="1"/>
  <c r="HU159" i="1"/>
  <c r="DT159" i="1" s="1"/>
  <c r="HU60" i="1"/>
  <c r="DT60" i="1" s="1"/>
  <c r="HU110" i="1"/>
  <c r="DT110" i="1" s="1"/>
  <c r="HU236" i="1"/>
  <c r="HU111" i="1"/>
  <c r="DT111" i="1" s="1"/>
  <c r="DT234" i="1"/>
  <c r="DT231" i="1"/>
  <c r="DT230" i="1"/>
  <c r="HU218" i="1"/>
  <c r="DT218" i="1" s="1"/>
  <c r="HU231" i="1"/>
  <c r="HU230" i="1"/>
  <c r="HU234" i="1"/>
  <c r="HU38" i="1"/>
  <c r="HU46" i="1"/>
  <c r="HU42" i="1"/>
  <c r="HV30" i="1"/>
  <c r="HV35" i="1" s="1"/>
  <c r="HU41" i="1"/>
  <c r="HU39" i="1"/>
  <c r="HU40" i="1"/>
  <c r="HU45" i="1"/>
  <c r="HU43" i="1"/>
  <c r="DU30" i="1"/>
  <c r="DU44" i="1" s="1"/>
  <c r="DT41" i="1"/>
  <c r="DT42" i="1"/>
  <c r="DT45" i="1"/>
  <c r="DT43" i="1"/>
  <c r="DT223" i="1"/>
  <c r="DT222" i="1"/>
  <c r="DT221" i="1"/>
  <c r="DT224" i="1"/>
  <c r="HU197" i="1"/>
  <c r="DT197" i="1" s="1"/>
  <c r="HU223" i="1"/>
  <c r="HU224" i="1"/>
  <c r="HU222" i="1"/>
  <c r="HU215" i="1"/>
  <c r="DT215" i="1" s="1"/>
  <c r="HU221" i="1"/>
  <c r="HU214" i="1"/>
  <c r="DT214" i="1" s="1"/>
  <c r="HU213" i="1"/>
  <c r="DT213" i="1" s="1"/>
  <c r="HU212" i="1"/>
  <c r="DT212" i="1" s="1"/>
  <c r="HU205" i="1"/>
  <c r="HU207" i="1"/>
  <c r="HU206" i="1"/>
  <c r="HU204" i="1"/>
  <c r="HU201" i="1"/>
  <c r="DT201" i="1" s="1"/>
  <c r="HU195" i="1"/>
  <c r="DT195" i="1" s="1"/>
  <c r="HU198" i="1"/>
  <c r="DT198" i="1" s="1"/>
  <c r="HU196" i="1"/>
  <c r="DT196" i="1" s="1"/>
  <c r="HU130" i="1"/>
  <c r="DT130" i="1" s="1"/>
  <c r="HU128" i="1"/>
  <c r="DT128" i="1" s="1"/>
  <c r="HU127" i="1"/>
  <c r="DT127" i="1" s="1"/>
  <c r="HU129" i="1"/>
  <c r="DT129" i="1" s="1"/>
  <c r="DT207" i="1"/>
  <c r="DT206" i="1"/>
  <c r="DT205" i="1"/>
  <c r="HU78" i="1"/>
  <c r="DT78" i="1" s="1"/>
  <c r="HU79" i="1"/>
  <c r="DT79" i="1" s="1"/>
  <c r="HU76" i="1"/>
  <c r="DT76" i="1" s="1"/>
  <c r="HU77" i="1"/>
  <c r="DT77" i="1" s="1"/>
  <c r="HU61" i="1"/>
  <c r="DT61" i="1" s="1"/>
  <c r="HU91" i="1"/>
  <c r="DT91" i="1" s="1"/>
  <c r="HU92" i="1"/>
  <c r="DT92" i="1" s="1"/>
  <c r="HU90" i="1"/>
  <c r="DT90" i="1" s="1"/>
  <c r="DT190" i="1"/>
  <c r="DT188" i="1"/>
  <c r="DT189" i="1"/>
  <c r="DT187" i="1"/>
  <c r="DT150" i="1"/>
  <c r="DT152" i="1"/>
  <c r="DT151" i="1"/>
  <c r="DT153" i="1"/>
  <c r="HU190" i="1"/>
  <c r="HU188" i="1"/>
  <c r="HU178" i="1"/>
  <c r="DT178" i="1" s="1"/>
  <c r="HU189" i="1"/>
  <c r="HU187" i="1"/>
  <c r="HU153" i="1"/>
  <c r="HU152" i="1"/>
  <c r="HU151" i="1"/>
  <c r="HU150" i="1"/>
  <c r="HU97" i="1"/>
  <c r="HU101" i="1"/>
  <c r="HU149" i="1"/>
  <c r="HU98" i="1"/>
  <c r="HU100" i="1"/>
  <c r="HU104" i="1"/>
  <c r="HU99" i="1"/>
  <c r="HU102" i="1"/>
  <c r="HU103" i="1"/>
  <c r="DT99" i="1"/>
  <c r="DT98" i="1"/>
  <c r="DT97" i="1"/>
  <c r="DT103" i="1"/>
  <c r="DT100" i="1"/>
  <c r="DT101" i="1"/>
  <c r="DT102" i="1"/>
  <c r="DT104" i="1"/>
  <c r="HU80" i="1"/>
  <c r="DT80" i="1" s="1"/>
  <c r="HU158" i="1"/>
  <c r="DT158" i="1" s="1"/>
  <c r="HU120" i="1"/>
  <c r="DT120" i="1" s="1"/>
  <c r="HU67" i="1"/>
  <c r="DT67" i="1" s="1"/>
  <c r="HU109" i="1"/>
  <c r="DT109" i="1" s="1"/>
  <c r="HU162" i="1"/>
  <c r="DT162" i="1" s="1"/>
  <c r="HU113" i="1"/>
  <c r="DT113" i="1" s="1"/>
  <c r="HU58" i="1"/>
  <c r="DT58" i="1" s="1"/>
  <c r="HU64" i="1"/>
  <c r="DT64" i="1" s="1"/>
  <c r="HU62" i="1"/>
  <c r="DT62" i="1" s="1"/>
  <c r="HV56" i="1"/>
  <c r="DU56" i="1"/>
  <c r="DU35" i="1" l="1"/>
  <c r="DT147" i="1"/>
  <c r="DT125" i="1"/>
  <c r="HV184" i="1"/>
  <c r="DU184" i="1" s="1"/>
  <c r="HV182" i="1"/>
  <c r="DU182" i="1" s="1"/>
  <c r="HV183" i="1"/>
  <c r="DU183" i="1" s="1"/>
  <c r="HV181" i="1"/>
  <c r="DU181" i="1" s="1"/>
  <c r="HV180" i="1"/>
  <c r="DU180" i="1" s="1"/>
  <c r="HV179" i="1"/>
  <c r="DU179" i="1" s="1"/>
  <c r="HV163" i="1"/>
  <c r="DU163" i="1" s="1"/>
  <c r="HV176" i="1"/>
  <c r="DU176" i="1" s="1"/>
  <c r="HV177" i="1"/>
  <c r="DU177" i="1" s="1"/>
  <c r="HV175" i="1"/>
  <c r="DU175" i="1" s="1"/>
  <c r="HV174" i="1"/>
  <c r="DU174" i="1" s="1"/>
  <c r="HV161" i="1"/>
  <c r="DU161" i="1" s="1"/>
  <c r="HV170" i="1"/>
  <c r="DU170" i="1" s="1"/>
  <c r="HV171" i="1"/>
  <c r="DU171" i="1" s="1"/>
  <c r="HV169" i="1"/>
  <c r="DU169" i="1" s="1"/>
  <c r="HV167" i="1"/>
  <c r="DU167" i="1" s="1"/>
  <c r="HV166" i="1"/>
  <c r="DU166" i="1" s="1"/>
  <c r="HV165" i="1"/>
  <c r="DU165" i="1" s="1"/>
  <c r="HV168" i="1"/>
  <c r="DU168" i="1" s="1"/>
  <c r="HV164" i="1"/>
  <c r="DU164" i="1" s="1"/>
  <c r="HV137" i="1"/>
  <c r="DU137" i="1" s="1"/>
  <c r="HV136" i="1"/>
  <c r="DU136" i="1" s="1"/>
  <c r="HV146" i="1"/>
  <c r="DU146" i="1" s="1"/>
  <c r="HV145" i="1"/>
  <c r="DU145" i="1" s="1"/>
  <c r="HV144" i="1"/>
  <c r="DU144" i="1" s="1"/>
  <c r="HV143" i="1"/>
  <c r="DU143" i="1" s="1"/>
  <c r="HV141" i="1"/>
  <c r="DU141" i="1" s="1"/>
  <c r="HV142" i="1"/>
  <c r="DU142" i="1" s="1"/>
  <c r="HV140" i="1"/>
  <c r="DU140" i="1" s="1"/>
  <c r="HV139" i="1"/>
  <c r="DU139" i="1" s="1"/>
  <c r="HV131" i="1"/>
  <c r="DU131" i="1" s="1"/>
  <c r="HV132" i="1"/>
  <c r="DU132" i="1" s="1"/>
  <c r="HV133" i="1"/>
  <c r="DU133" i="1" s="1"/>
  <c r="HV135" i="1"/>
  <c r="DU135" i="1" s="1"/>
  <c r="HV138" i="1"/>
  <c r="DU138" i="1" s="1"/>
  <c r="HV134" i="1"/>
  <c r="DU134" i="1" s="1"/>
  <c r="HV123" i="1"/>
  <c r="DU123" i="1" s="1"/>
  <c r="HV124" i="1"/>
  <c r="DU124" i="1" s="1"/>
  <c r="HV115" i="1"/>
  <c r="DU115" i="1" s="1"/>
  <c r="HV122" i="1"/>
  <c r="DU122" i="1" s="1"/>
  <c r="HV121" i="1"/>
  <c r="DU121" i="1" s="1"/>
  <c r="HV119" i="1"/>
  <c r="DU119" i="1" s="1"/>
  <c r="HV117" i="1"/>
  <c r="DU117" i="1" s="1"/>
  <c r="HV118" i="1"/>
  <c r="DU118" i="1" s="1"/>
  <c r="HV116" i="1"/>
  <c r="DU116" i="1" s="1"/>
  <c r="HV114" i="1"/>
  <c r="DU114" i="1" s="1"/>
  <c r="HV112" i="1"/>
  <c r="DU112" i="1" s="1"/>
  <c r="HV94" i="1"/>
  <c r="DU94" i="1" s="1"/>
  <c r="HV89" i="1"/>
  <c r="DU89" i="1" s="1"/>
  <c r="HV87" i="1"/>
  <c r="DU87" i="1" s="1"/>
  <c r="HV88" i="1"/>
  <c r="DU88" i="1" s="1"/>
  <c r="HV86" i="1"/>
  <c r="DU86" i="1" s="1"/>
  <c r="HV81" i="1"/>
  <c r="DU81" i="1" s="1"/>
  <c r="HV84" i="1"/>
  <c r="DU84" i="1" s="1"/>
  <c r="HV85" i="1"/>
  <c r="DU85" i="1" s="1"/>
  <c r="HV83" i="1"/>
  <c r="DU83" i="1" s="1"/>
  <c r="HV82" i="1"/>
  <c r="DU82" i="1" s="1"/>
  <c r="HV66" i="1"/>
  <c r="DU66" i="1" s="1"/>
  <c r="HV73" i="1"/>
  <c r="DU73" i="1" s="1"/>
  <c r="HV72" i="1"/>
  <c r="DU72" i="1" s="1"/>
  <c r="HV71" i="1"/>
  <c r="DU71" i="1" s="1"/>
  <c r="HV68" i="1"/>
  <c r="DU68" i="1" s="1"/>
  <c r="HV70" i="1"/>
  <c r="DU70" i="1" s="1"/>
  <c r="HV69" i="1"/>
  <c r="DU69" i="1" s="1"/>
  <c r="HV65" i="1"/>
  <c r="DU65" i="1" s="1"/>
  <c r="HV63" i="1"/>
  <c r="DU63" i="1" s="1"/>
  <c r="HV44" i="1"/>
  <c r="HV31" i="1"/>
  <c r="DU31" i="1" s="1"/>
  <c r="HV32" i="1"/>
  <c r="DU32" i="1" s="1"/>
  <c r="DU232" i="1"/>
  <c r="DU233" i="1"/>
  <c r="HV232" i="1"/>
  <c r="HV233" i="1"/>
  <c r="HV93" i="1"/>
  <c r="DU93" i="1" s="1"/>
  <c r="DU236" i="1"/>
  <c r="DU235" i="1"/>
  <c r="DU229" i="1"/>
  <c r="HV235" i="1"/>
  <c r="HV229" i="1"/>
  <c r="HV159" i="1"/>
  <c r="DU159" i="1" s="1"/>
  <c r="HV60" i="1"/>
  <c r="DU60" i="1" s="1"/>
  <c r="HV59" i="1"/>
  <c r="DU59" i="1" s="1"/>
  <c r="HV160" i="1"/>
  <c r="DU160" i="1" s="1"/>
  <c r="HV236" i="1"/>
  <c r="HV110" i="1"/>
  <c r="DU110" i="1" s="1"/>
  <c r="HV111" i="1"/>
  <c r="DU111" i="1" s="1"/>
  <c r="DU234" i="1"/>
  <c r="DU231" i="1"/>
  <c r="DU230" i="1"/>
  <c r="HV218" i="1"/>
  <c r="DU218" i="1" s="1"/>
  <c r="HV231" i="1"/>
  <c r="HV234" i="1"/>
  <c r="HV230" i="1"/>
  <c r="HV45" i="1"/>
  <c r="HV39" i="1"/>
  <c r="HV46" i="1"/>
  <c r="HV38" i="1"/>
  <c r="HW30" i="1"/>
  <c r="HW35" i="1" s="1"/>
  <c r="HV41" i="1"/>
  <c r="HV42" i="1"/>
  <c r="HV40" i="1"/>
  <c r="HV43" i="1"/>
  <c r="DU41" i="1"/>
  <c r="DU45" i="1"/>
  <c r="DU42" i="1"/>
  <c r="DU43" i="1"/>
  <c r="DV30" i="1"/>
  <c r="DV44" i="1" s="1"/>
  <c r="HV197" i="1"/>
  <c r="DU197" i="1" s="1"/>
  <c r="HV224" i="1"/>
  <c r="HV223" i="1"/>
  <c r="HV222" i="1"/>
  <c r="HV221" i="1"/>
  <c r="HV214" i="1"/>
  <c r="DU214" i="1" s="1"/>
  <c r="HV212" i="1"/>
  <c r="DU212" i="1" s="1"/>
  <c r="HV215" i="1"/>
  <c r="DU215" i="1" s="1"/>
  <c r="HV213" i="1"/>
  <c r="DU213" i="1" s="1"/>
  <c r="DU224" i="1"/>
  <c r="DU223" i="1"/>
  <c r="DU221" i="1"/>
  <c r="DU222" i="1"/>
  <c r="HV207" i="1"/>
  <c r="HV206" i="1"/>
  <c r="HV205" i="1"/>
  <c r="HV204" i="1"/>
  <c r="HV201" i="1"/>
  <c r="DU201" i="1" s="1"/>
  <c r="HV198" i="1"/>
  <c r="DU198" i="1" s="1"/>
  <c r="HV196" i="1"/>
  <c r="DU196" i="1" s="1"/>
  <c r="HV195" i="1"/>
  <c r="DU195" i="1" s="1"/>
  <c r="HV130" i="1"/>
  <c r="DU130" i="1" s="1"/>
  <c r="HV128" i="1"/>
  <c r="DU128" i="1" s="1"/>
  <c r="HV127" i="1"/>
  <c r="DU127" i="1" s="1"/>
  <c r="HV129" i="1"/>
  <c r="DU129" i="1" s="1"/>
  <c r="DU207" i="1"/>
  <c r="DU206" i="1"/>
  <c r="DU205" i="1"/>
  <c r="HV78" i="1"/>
  <c r="DU78" i="1" s="1"/>
  <c r="HV79" i="1"/>
  <c r="DU79" i="1" s="1"/>
  <c r="HV61" i="1"/>
  <c r="DU61" i="1" s="1"/>
  <c r="HV77" i="1"/>
  <c r="DU77" i="1" s="1"/>
  <c r="HV76" i="1"/>
  <c r="DU76" i="1" s="1"/>
  <c r="HV92" i="1"/>
  <c r="DU92" i="1" s="1"/>
  <c r="HV90" i="1"/>
  <c r="DU90" i="1" s="1"/>
  <c r="HV91" i="1"/>
  <c r="DU91" i="1" s="1"/>
  <c r="HV190" i="1"/>
  <c r="HV189" i="1"/>
  <c r="HV187" i="1"/>
  <c r="HV188" i="1"/>
  <c r="HV178" i="1"/>
  <c r="DU178" i="1" s="1"/>
  <c r="DU189" i="1"/>
  <c r="DU188" i="1"/>
  <c r="DU187" i="1"/>
  <c r="DU151" i="1"/>
  <c r="DU152" i="1"/>
  <c r="DU190" i="1"/>
  <c r="DU150" i="1"/>
  <c r="DU153" i="1"/>
  <c r="HV151" i="1"/>
  <c r="HV152" i="1"/>
  <c r="HV153" i="1"/>
  <c r="HV150" i="1"/>
  <c r="HV149" i="1"/>
  <c r="HV100" i="1"/>
  <c r="HV99" i="1"/>
  <c r="HV102" i="1"/>
  <c r="HV98" i="1"/>
  <c r="HV97" i="1"/>
  <c r="HV103" i="1"/>
  <c r="HV101" i="1"/>
  <c r="HV104" i="1"/>
  <c r="DU99" i="1"/>
  <c r="DU100" i="1"/>
  <c r="DU104" i="1"/>
  <c r="DU97" i="1"/>
  <c r="DU98" i="1"/>
  <c r="DU101" i="1"/>
  <c r="DU102" i="1"/>
  <c r="DU103" i="1"/>
  <c r="HV80" i="1"/>
  <c r="DU80" i="1" s="1"/>
  <c r="HV158" i="1"/>
  <c r="DU158" i="1" s="1"/>
  <c r="HV120" i="1"/>
  <c r="DU120" i="1" s="1"/>
  <c r="HV67" i="1"/>
  <c r="DU67" i="1" s="1"/>
  <c r="HV109" i="1"/>
  <c r="DU109" i="1" s="1"/>
  <c r="HV162" i="1"/>
  <c r="DU162" i="1" s="1"/>
  <c r="HV113" i="1"/>
  <c r="DU113" i="1" s="1"/>
  <c r="HV62" i="1"/>
  <c r="DU62" i="1" s="1"/>
  <c r="HW56" i="1"/>
  <c r="HV58" i="1"/>
  <c r="DU58" i="1" s="1"/>
  <c r="HV64" i="1"/>
  <c r="DU64" i="1" s="1"/>
  <c r="DV56" i="1"/>
  <c r="DV35" i="1" l="1"/>
  <c r="DU125" i="1"/>
  <c r="DU147" i="1"/>
  <c r="HW184" i="1"/>
  <c r="DV184" i="1" s="1"/>
  <c r="HW183" i="1"/>
  <c r="DV183" i="1" s="1"/>
  <c r="HW180" i="1"/>
  <c r="DV180" i="1" s="1"/>
  <c r="HW182" i="1"/>
  <c r="DV182" i="1" s="1"/>
  <c r="HW181" i="1"/>
  <c r="DV181" i="1" s="1"/>
  <c r="HW179" i="1"/>
  <c r="DV179" i="1" s="1"/>
  <c r="HW163" i="1"/>
  <c r="DV163" i="1" s="1"/>
  <c r="HW177" i="1"/>
  <c r="DV177" i="1" s="1"/>
  <c r="HW174" i="1"/>
  <c r="DV174" i="1" s="1"/>
  <c r="HW176" i="1"/>
  <c r="DV176" i="1" s="1"/>
  <c r="HW175" i="1"/>
  <c r="DV175" i="1" s="1"/>
  <c r="HW161" i="1"/>
  <c r="DV161" i="1" s="1"/>
  <c r="HW171" i="1"/>
  <c r="DV171" i="1" s="1"/>
  <c r="HW169" i="1"/>
  <c r="DV169" i="1" s="1"/>
  <c r="HW168" i="1"/>
  <c r="DV168" i="1" s="1"/>
  <c r="HW167" i="1"/>
  <c r="DV167" i="1" s="1"/>
  <c r="HW166" i="1"/>
  <c r="DV166" i="1" s="1"/>
  <c r="HW165" i="1"/>
  <c r="DV165" i="1" s="1"/>
  <c r="HW170" i="1"/>
  <c r="DV170" i="1" s="1"/>
  <c r="HW164" i="1"/>
  <c r="DV164" i="1" s="1"/>
  <c r="HW137" i="1"/>
  <c r="DV137" i="1" s="1"/>
  <c r="HW136" i="1"/>
  <c r="DV136" i="1" s="1"/>
  <c r="HW146" i="1"/>
  <c r="DV146" i="1" s="1"/>
  <c r="HW145" i="1"/>
  <c r="DV145" i="1" s="1"/>
  <c r="HW143" i="1"/>
  <c r="DV143" i="1" s="1"/>
  <c r="HW141" i="1"/>
  <c r="DV141" i="1" s="1"/>
  <c r="HW144" i="1"/>
  <c r="DV144" i="1" s="1"/>
  <c r="HW140" i="1"/>
  <c r="DV140" i="1" s="1"/>
  <c r="HW142" i="1"/>
  <c r="DV142" i="1" s="1"/>
  <c r="HW139" i="1"/>
  <c r="DV139" i="1" s="1"/>
  <c r="HW131" i="1"/>
  <c r="DV131" i="1" s="1"/>
  <c r="HW132" i="1"/>
  <c r="DV132" i="1" s="1"/>
  <c r="HW133" i="1"/>
  <c r="DV133" i="1" s="1"/>
  <c r="HW138" i="1"/>
  <c r="DV138" i="1" s="1"/>
  <c r="HW134" i="1"/>
  <c r="DV134" i="1" s="1"/>
  <c r="HW135" i="1"/>
  <c r="DV135" i="1" s="1"/>
  <c r="HW123" i="1"/>
  <c r="DV123" i="1" s="1"/>
  <c r="HW124" i="1"/>
  <c r="DV124" i="1" s="1"/>
  <c r="HW115" i="1"/>
  <c r="DV115" i="1" s="1"/>
  <c r="HW122" i="1"/>
  <c r="DV122" i="1" s="1"/>
  <c r="HW121" i="1"/>
  <c r="DV121" i="1" s="1"/>
  <c r="HW119" i="1"/>
  <c r="DV119" i="1" s="1"/>
  <c r="HW118" i="1"/>
  <c r="DV118" i="1" s="1"/>
  <c r="HW117" i="1"/>
  <c r="DV117" i="1" s="1"/>
  <c r="HW114" i="1"/>
  <c r="DV114" i="1" s="1"/>
  <c r="HW116" i="1"/>
  <c r="DV116" i="1" s="1"/>
  <c r="HW112" i="1"/>
  <c r="DV112" i="1" s="1"/>
  <c r="HW94" i="1"/>
  <c r="DV94" i="1" s="1"/>
  <c r="HW89" i="1"/>
  <c r="DV89" i="1" s="1"/>
  <c r="HW88" i="1"/>
  <c r="DV88" i="1" s="1"/>
  <c r="HW86" i="1"/>
  <c r="DV86" i="1" s="1"/>
  <c r="HW87" i="1"/>
  <c r="DV87" i="1" s="1"/>
  <c r="HW81" i="1"/>
  <c r="DV81" i="1" s="1"/>
  <c r="HW85" i="1"/>
  <c r="DV85" i="1" s="1"/>
  <c r="HW83" i="1"/>
  <c r="DV83" i="1" s="1"/>
  <c r="HW84" i="1"/>
  <c r="DV84" i="1" s="1"/>
  <c r="HW82" i="1"/>
  <c r="DV82" i="1" s="1"/>
  <c r="HW66" i="1"/>
  <c r="DV66" i="1" s="1"/>
  <c r="HW72" i="1"/>
  <c r="DV72" i="1" s="1"/>
  <c r="HW73" i="1"/>
  <c r="DV73" i="1" s="1"/>
  <c r="HW70" i="1"/>
  <c r="DV70" i="1" s="1"/>
  <c r="HW69" i="1"/>
  <c r="DV69" i="1" s="1"/>
  <c r="HW71" i="1"/>
  <c r="DV71" i="1" s="1"/>
  <c r="HW68" i="1"/>
  <c r="DV68" i="1" s="1"/>
  <c r="HW65" i="1"/>
  <c r="DV65" i="1" s="1"/>
  <c r="HW63" i="1"/>
  <c r="DV63" i="1" s="1"/>
  <c r="HW44" i="1"/>
  <c r="HW32" i="1"/>
  <c r="DV32" i="1" s="1"/>
  <c r="HW31" i="1"/>
  <c r="DV31" i="1" s="1"/>
  <c r="HW233" i="1"/>
  <c r="HW232" i="1"/>
  <c r="DV232" i="1"/>
  <c r="DV233" i="1"/>
  <c r="HW93" i="1"/>
  <c r="DV93" i="1" s="1"/>
  <c r="DV236" i="1"/>
  <c r="DV229" i="1"/>
  <c r="DV235" i="1"/>
  <c r="HW229" i="1"/>
  <c r="HW235" i="1"/>
  <c r="HW160" i="1"/>
  <c r="DV160" i="1" s="1"/>
  <c r="HW159" i="1"/>
  <c r="DV159" i="1" s="1"/>
  <c r="HW59" i="1"/>
  <c r="DV59" i="1" s="1"/>
  <c r="HW60" i="1"/>
  <c r="DV60" i="1" s="1"/>
  <c r="HW111" i="1"/>
  <c r="DV111" i="1" s="1"/>
  <c r="HW236" i="1"/>
  <c r="HW110" i="1"/>
  <c r="DV110" i="1" s="1"/>
  <c r="DV231" i="1"/>
  <c r="DV230" i="1"/>
  <c r="DV234" i="1"/>
  <c r="HW218" i="1"/>
  <c r="DV218" i="1" s="1"/>
  <c r="HW234" i="1"/>
  <c r="HW231" i="1"/>
  <c r="HW230" i="1"/>
  <c r="HW41" i="1"/>
  <c r="HW42" i="1"/>
  <c r="HX30" i="1"/>
  <c r="HX35" i="1" s="1"/>
  <c r="HW43" i="1"/>
  <c r="HW45" i="1"/>
  <c r="HW40" i="1"/>
  <c r="HW39" i="1"/>
  <c r="HW46" i="1"/>
  <c r="HW38" i="1"/>
  <c r="DV41" i="1"/>
  <c r="DV42" i="1"/>
  <c r="DV45" i="1"/>
  <c r="DW30" i="1"/>
  <c r="DW44" i="1" s="1"/>
  <c r="DV43" i="1"/>
  <c r="DV224" i="1"/>
  <c r="DV223" i="1"/>
  <c r="DV222" i="1"/>
  <c r="DV221" i="1"/>
  <c r="HW197" i="1"/>
  <c r="DV197" i="1" s="1"/>
  <c r="HW223" i="1"/>
  <c r="HW222" i="1"/>
  <c r="HW224" i="1"/>
  <c r="HW221" i="1"/>
  <c r="HW215" i="1"/>
  <c r="DV215" i="1" s="1"/>
  <c r="HW214" i="1"/>
  <c r="DV214" i="1" s="1"/>
  <c r="HW213" i="1"/>
  <c r="DV213" i="1" s="1"/>
  <c r="HW212" i="1"/>
  <c r="DV212" i="1" s="1"/>
  <c r="HW207" i="1"/>
  <c r="HW206" i="1"/>
  <c r="HW205" i="1"/>
  <c r="HW204" i="1"/>
  <c r="HW201" i="1"/>
  <c r="DV201" i="1" s="1"/>
  <c r="HW196" i="1"/>
  <c r="DV196" i="1" s="1"/>
  <c r="HW198" i="1"/>
  <c r="DV198" i="1" s="1"/>
  <c r="HW195" i="1"/>
  <c r="DV195" i="1" s="1"/>
  <c r="HW129" i="1"/>
  <c r="DV129" i="1" s="1"/>
  <c r="HW130" i="1"/>
  <c r="DV130" i="1" s="1"/>
  <c r="HW128" i="1"/>
  <c r="DV128" i="1" s="1"/>
  <c r="HW127" i="1"/>
  <c r="DV127" i="1" s="1"/>
  <c r="DV206" i="1"/>
  <c r="DV207" i="1"/>
  <c r="DV205" i="1"/>
  <c r="HW79" i="1"/>
  <c r="DV79" i="1" s="1"/>
  <c r="HW77" i="1"/>
  <c r="DV77" i="1" s="1"/>
  <c r="HW76" i="1"/>
  <c r="DV76" i="1" s="1"/>
  <c r="HW78" i="1"/>
  <c r="DV78" i="1" s="1"/>
  <c r="HW61" i="1"/>
  <c r="DV61" i="1" s="1"/>
  <c r="HW92" i="1"/>
  <c r="DV92" i="1" s="1"/>
  <c r="HW91" i="1"/>
  <c r="DV91" i="1" s="1"/>
  <c r="HW90" i="1"/>
  <c r="DV90" i="1" s="1"/>
  <c r="DV190" i="1"/>
  <c r="DV187" i="1"/>
  <c r="DV189" i="1"/>
  <c r="DV188" i="1"/>
  <c r="DV153" i="1"/>
  <c r="DV152" i="1"/>
  <c r="DV150" i="1"/>
  <c r="DV151" i="1"/>
  <c r="HW189" i="1"/>
  <c r="HW188" i="1"/>
  <c r="HW190" i="1"/>
  <c r="HW187" i="1"/>
  <c r="HW178" i="1"/>
  <c r="DV178" i="1" s="1"/>
  <c r="HW152" i="1"/>
  <c r="HW151" i="1"/>
  <c r="HW153" i="1"/>
  <c r="HW149" i="1"/>
  <c r="HW99" i="1"/>
  <c r="HW150" i="1"/>
  <c r="HW98" i="1"/>
  <c r="HW101" i="1"/>
  <c r="HW100" i="1"/>
  <c r="HW103" i="1"/>
  <c r="HW97" i="1"/>
  <c r="HW104" i="1"/>
  <c r="HW102" i="1"/>
  <c r="DV97" i="1"/>
  <c r="DV99" i="1"/>
  <c r="DV101" i="1"/>
  <c r="DV98" i="1"/>
  <c r="DV100" i="1"/>
  <c r="DV102" i="1"/>
  <c r="DV103" i="1"/>
  <c r="DV104" i="1"/>
  <c r="HW80" i="1"/>
  <c r="DV80" i="1" s="1"/>
  <c r="HW158" i="1"/>
  <c r="DV158" i="1" s="1"/>
  <c r="HW67" i="1"/>
  <c r="DV67" i="1" s="1"/>
  <c r="HW120" i="1"/>
  <c r="DV120" i="1" s="1"/>
  <c r="HW109" i="1"/>
  <c r="DV109" i="1" s="1"/>
  <c r="HW162" i="1"/>
  <c r="DV162" i="1" s="1"/>
  <c r="HW113" i="1"/>
  <c r="DV113" i="1" s="1"/>
  <c r="HX56" i="1"/>
  <c r="HW62" i="1"/>
  <c r="DV62" i="1" s="1"/>
  <c r="HW58" i="1"/>
  <c r="DV58" i="1" s="1"/>
  <c r="HW64" i="1"/>
  <c r="DV64" i="1" s="1"/>
  <c r="DW56" i="1"/>
  <c r="DW35" i="1" l="1"/>
  <c r="DV125" i="1"/>
  <c r="DV147" i="1"/>
  <c r="HX184" i="1"/>
  <c r="DW184" i="1" s="1"/>
  <c r="HX183" i="1"/>
  <c r="DW183" i="1" s="1"/>
  <c r="HX181" i="1"/>
  <c r="DW181" i="1" s="1"/>
  <c r="HX182" i="1"/>
  <c r="DW182" i="1" s="1"/>
  <c r="HX179" i="1"/>
  <c r="DW179" i="1" s="1"/>
  <c r="HX180" i="1"/>
  <c r="DW180" i="1" s="1"/>
  <c r="HX163" i="1"/>
  <c r="DW163" i="1" s="1"/>
  <c r="HX177" i="1"/>
  <c r="DW177" i="1" s="1"/>
  <c r="HX176" i="1"/>
  <c r="DW176" i="1" s="1"/>
  <c r="HX175" i="1"/>
  <c r="DW175" i="1" s="1"/>
  <c r="HX174" i="1"/>
  <c r="DW174" i="1" s="1"/>
  <c r="HX161" i="1"/>
  <c r="DW161" i="1" s="1"/>
  <c r="HX171" i="1"/>
  <c r="DW171" i="1" s="1"/>
  <c r="HX170" i="1"/>
  <c r="DW170" i="1" s="1"/>
  <c r="HX168" i="1"/>
  <c r="DW168" i="1" s="1"/>
  <c r="HX169" i="1"/>
  <c r="DW169" i="1" s="1"/>
  <c r="HX167" i="1"/>
  <c r="DW167" i="1" s="1"/>
  <c r="HX165" i="1"/>
  <c r="DW165" i="1" s="1"/>
  <c r="HX164" i="1"/>
  <c r="DW164" i="1" s="1"/>
  <c r="HX166" i="1"/>
  <c r="DW166" i="1" s="1"/>
  <c r="HX137" i="1"/>
  <c r="DW137" i="1" s="1"/>
  <c r="HX136" i="1"/>
  <c r="DW136" i="1" s="1"/>
  <c r="HX146" i="1"/>
  <c r="DW146" i="1" s="1"/>
  <c r="HX145" i="1"/>
  <c r="DW145" i="1" s="1"/>
  <c r="HX144" i="1"/>
  <c r="DW144" i="1" s="1"/>
  <c r="HX143" i="1"/>
  <c r="DW143" i="1" s="1"/>
  <c r="HX142" i="1"/>
  <c r="DW142" i="1" s="1"/>
  <c r="HX139" i="1"/>
  <c r="DW139" i="1" s="1"/>
  <c r="HX141" i="1"/>
  <c r="DW141" i="1" s="1"/>
  <c r="HX140" i="1"/>
  <c r="DW140" i="1" s="1"/>
  <c r="HX131" i="1"/>
  <c r="DW131" i="1" s="1"/>
  <c r="HX132" i="1"/>
  <c r="DW132" i="1" s="1"/>
  <c r="HX133" i="1"/>
  <c r="DW133" i="1" s="1"/>
  <c r="HX138" i="1"/>
  <c r="DW138" i="1" s="1"/>
  <c r="HX135" i="1"/>
  <c r="DW135" i="1" s="1"/>
  <c r="HX134" i="1"/>
  <c r="DW134" i="1" s="1"/>
  <c r="HX124" i="1"/>
  <c r="DW124" i="1" s="1"/>
  <c r="HX123" i="1"/>
  <c r="DW123" i="1" s="1"/>
  <c r="HX115" i="1"/>
  <c r="DW115" i="1" s="1"/>
  <c r="HX121" i="1"/>
  <c r="DW121" i="1" s="1"/>
  <c r="HX122" i="1"/>
  <c r="DW122" i="1" s="1"/>
  <c r="HX118" i="1"/>
  <c r="DW118" i="1" s="1"/>
  <c r="HX119" i="1"/>
  <c r="DW119" i="1" s="1"/>
  <c r="HX117" i="1"/>
  <c r="DW117" i="1" s="1"/>
  <c r="HX116" i="1"/>
  <c r="DW116" i="1" s="1"/>
  <c r="HX114" i="1"/>
  <c r="DW114" i="1" s="1"/>
  <c r="HX112" i="1"/>
  <c r="DW112" i="1" s="1"/>
  <c r="HX94" i="1"/>
  <c r="DW94" i="1" s="1"/>
  <c r="HX89" i="1"/>
  <c r="DW89" i="1" s="1"/>
  <c r="HX88" i="1"/>
  <c r="DW88" i="1" s="1"/>
  <c r="HX87" i="1"/>
  <c r="DW87" i="1" s="1"/>
  <c r="HX86" i="1"/>
  <c r="DW86" i="1" s="1"/>
  <c r="HX81" i="1"/>
  <c r="DW81" i="1" s="1"/>
  <c r="HX85" i="1"/>
  <c r="DW85" i="1" s="1"/>
  <c r="HX84" i="1"/>
  <c r="DW84" i="1" s="1"/>
  <c r="HX82" i="1"/>
  <c r="DW82" i="1" s="1"/>
  <c r="HX83" i="1"/>
  <c r="DW83" i="1" s="1"/>
  <c r="HX66" i="1"/>
  <c r="DW66" i="1" s="1"/>
  <c r="HX72" i="1"/>
  <c r="DW72" i="1" s="1"/>
  <c r="HX71" i="1"/>
  <c r="DW71" i="1" s="1"/>
  <c r="HX73" i="1"/>
  <c r="DW73" i="1" s="1"/>
  <c r="HX70" i="1"/>
  <c r="DW70" i="1" s="1"/>
  <c r="HX69" i="1"/>
  <c r="DW69" i="1" s="1"/>
  <c r="HX68" i="1"/>
  <c r="DW68" i="1" s="1"/>
  <c r="HX65" i="1"/>
  <c r="DW65" i="1" s="1"/>
  <c r="HX63" i="1"/>
  <c r="DW63" i="1" s="1"/>
  <c r="HX44" i="1"/>
  <c r="HX32" i="1"/>
  <c r="DW32" i="1" s="1"/>
  <c r="HX31" i="1"/>
  <c r="DW31" i="1" s="1"/>
  <c r="DW232" i="1"/>
  <c r="DW233" i="1"/>
  <c r="HX232" i="1"/>
  <c r="HX233" i="1"/>
  <c r="HX93" i="1"/>
  <c r="DW93" i="1" s="1"/>
  <c r="HX229" i="1"/>
  <c r="HX235" i="1"/>
  <c r="HX60" i="1"/>
  <c r="DW60" i="1" s="1"/>
  <c r="HX159" i="1"/>
  <c r="DW159" i="1" s="1"/>
  <c r="HX160" i="1"/>
  <c r="DW160" i="1" s="1"/>
  <c r="HX59" i="1"/>
  <c r="DW59" i="1" s="1"/>
  <c r="DW236" i="1"/>
  <c r="DW229" i="1"/>
  <c r="DW235" i="1"/>
  <c r="HX111" i="1"/>
  <c r="DW111" i="1" s="1"/>
  <c r="HX110" i="1"/>
  <c r="DW110" i="1" s="1"/>
  <c r="HX236" i="1"/>
  <c r="DW234" i="1"/>
  <c r="DW231" i="1"/>
  <c r="DW230" i="1"/>
  <c r="HX218" i="1"/>
  <c r="DW218" i="1" s="1"/>
  <c r="HX234" i="1"/>
  <c r="HX230" i="1"/>
  <c r="HX231" i="1"/>
  <c r="HX41" i="1"/>
  <c r="HX42" i="1"/>
  <c r="HY30" i="1"/>
  <c r="HY35" i="1" s="1"/>
  <c r="HX43" i="1"/>
  <c r="HX45" i="1"/>
  <c r="HX46" i="1"/>
  <c r="HX40" i="1"/>
  <c r="HX39" i="1"/>
  <c r="HX38" i="1"/>
  <c r="DW45" i="1"/>
  <c r="DW43" i="1"/>
  <c r="DW41" i="1"/>
  <c r="DX30" i="1"/>
  <c r="DX44" i="1" s="1"/>
  <c r="DW42" i="1"/>
  <c r="HX197" i="1"/>
  <c r="DW197" i="1" s="1"/>
  <c r="HX223" i="1"/>
  <c r="HX222" i="1"/>
  <c r="HX221" i="1"/>
  <c r="HX224" i="1"/>
  <c r="HX213" i="1"/>
  <c r="DW213" i="1" s="1"/>
  <c r="HX212" i="1"/>
  <c r="DW212" i="1" s="1"/>
  <c r="HX214" i="1"/>
  <c r="DW214" i="1" s="1"/>
  <c r="HX215" i="1"/>
  <c r="DW215" i="1" s="1"/>
  <c r="DW223" i="1"/>
  <c r="DW224" i="1"/>
  <c r="DW222" i="1"/>
  <c r="DW221" i="1"/>
  <c r="HX207" i="1"/>
  <c r="HX206" i="1"/>
  <c r="HX205" i="1"/>
  <c r="HX204" i="1"/>
  <c r="HX201" i="1"/>
  <c r="DW201" i="1" s="1"/>
  <c r="HX198" i="1"/>
  <c r="DW198" i="1" s="1"/>
  <c r="HX195" i="1"/>
  <c r="DW195" i="1" s="1"/>
  <c r="HX196" i="1"/>
  <c r="DW196" i="1" s="1"/>
  <c r="HX129" i="1"/>
  <c r="DW129" i="1" s="1"/>
  <c r="HX130" i="1"/>
  <c r="DW130" i="1" s="1"/>
  <c r="HX128" i="1"/>
  <c r="DW128" i="1" s="1"/>
  <c r="HX127" i="1"/>
  <c r="DW127" i="1" s="1"/>
  <c r="DW206" i="1"/>
  <c r="DW207" i="1"/>
  <c r="DW205" i="1"/>
  <c r="HX79" i="1"/>
  <c r="DW79" i="1" s="1"/>
  <c r="HX78" i="1"/>
  <c r="DW78" i="1" s="1"/>
  <c r="HX77" i="1"/>
  <c r="DW77" i="1" s="1"/>
  <c r="HX76" i="1"/>
  <c r="DW76" i="1" s="1"/>
  <c r="HX61" i="1"/>
  <c r="DW61" i="1" s="1"/>
  <c r="HX92" i="1"/>
  <c r="DW92" i="1" s="1"/>
  <c r="HX91" i="1"/>
  <c r="DW91" i="1" s="1"/>
  <c r="HX90" i="1"/>
  <c r="DW90" i="1" s="1"/>
  <c r="DW189" i="1"/>
  <c r="DW190" i="1"/>
  <c r="DW188" i="1"/>
  <c r="DW150" i="1"/>
  <c r="DW187" i="1"/>
  <c r="DW153" i="1"/>
  <c r="DW152" i="1"/>
  <c r="DW151" i="1"/>
  <c r="HX189" i="1"/>
  <c r="HX190" i="1"/>
  <c r="HX187" i="1"/>
  <c r="HX178" i="1"/>
  <c r="DW178" i="1" s="1"/>
  <c r="HX188" i="1"/>
  <c r="HX153" i="1"/>
  <c r="HX150" i="1"/>
  <c r="HX151" i="1"/>
  <c r="HX149" i="1"/>
  <c r="HX98" i="1"/>
  <c r="HX102" i="1"/>
  <c r="HX97" i="1"/>
  <c r="HX100" i="1"/>
  <c r="HX99" i="1"/>
  <c r="HX152" i="1"/>
  <c r="HX104" i="1"/>
  <c r="HX101" i="1"/>
  <c r="HX103" i="1"/>
  <c r="DW98" i="1"/>
  <c r="DW97" i="1"/>
  <c r="DW102" i="1"/>
  <c r="DW100" i="1"/>
  <c r="DW99" i="1"/>
  <c r="DW103" i="1"/>
  <c r="DW104" i="1"/>
  <c r="DW101" i="1"/>
  <c r="HX80" i="1"/>
  <c r="DW80" i="1" s="1"/>
  <c r="HX158" i="1"/>
  <c r="DW158" i="1" s="1"/>
  <c r="HX120" i="1"/>
  <c r="DW120" i="1" s="1"/>
  <c r="HX67" i="1"/>
  <c r="DW67" i="1" s="1"/>
  <c r="HX109" i="1"/>
  <c r="DW109" i="1" s="1"/>
  <c r="HX162" i="1"/>
  <c r="DW162" i="1" s="1"/>
  <c r="HX113" i="1"/>
  <c r="DW113" i="1" s="1"/>
  <c r="HY56" i="1"/>
  <c r="HX64" i="1"/>
  <c r="DW64" i="1" s="1"/>
  <c r="HX62" i="1"/>
  <c r="DW62" i="1" s="1"/>
  <c r="HX58" i="1"/>
  <c r="DW58" i="1" s="1"/>
  <c r="DX56" i="1"/>
  <c r="DX35" i="1" l="1"/>
  <c r="DW147" i="1"/>
  <c r="DW125" i="1"/>
  <c r="HY184" i="1"/>
  <c r="DX184" i="1" s="1"/>
  <c r="HY179" i="1"/>
  <c r="DX179" i="1" s="1"/>
  <c r="HY183" i="1"/>
  <c r="DX183" i="1" s="1"/>
  <c r="HY180" i="1"/>
  <c r="DX180" i="1" s="1"/>
  <c r="HY182" i="1"/>
  <c r="DX182" i="1" s="1"/>
  <c r="HY181" i="1"/>
  <c r="DX181" i="1" s="1"/>
  <c r="HY163" i="1"/>
  <c r="DX163" i="1" s="1"/>
  <c r="HY176" i="1"/>
  <c r="DX176" i="1" s="1"/>
  <c r="HY177" i="1"/>
  <c r="DX177" i="1" s="1"/>
  <c r="HY174" i="1"/>
  <c r="DX174" i="1" s="1"/>
  <c r="HY175" i="1"/>
  <c r="DX175" i="1" s="1"/>
  <c r="HY161" i="1"/>
  <c r="DX161" i="1" s="1"/>
  <c r="HY171" i="1"/>
  <c r="DX171" i="1" s="1"/>
  <c r="HY170" i="1"/>
  <c r="DX170" i="1" s="1"/>
  <c r="HY169" i="1"/>
  <c r="DX169" i="1" s="1"/>
  <c r="HY166" i="1"/>
  <c r="DX166" i="1" s="1"/>
  <c r="HY167" i="1"/>
  <c r="DX167" i="1" s="1"/>
  <c r="HY168" i="1"/>
  <c r="DX168" i="1" s="1"/>
  <c r="HY165" i="1"/>
  <c r="DX165" i="1" s="1"/>
  <c r="HY164" i="1"/>
  <c r="DX164" i="1" s="1"/>
  <c r="HY137" i="1"/>
  <c r="DX137" i="1" s="1"/>
  <c r="HY136" i="1"/>
  <c r="DX136" i="1" s="1"/>
  <c r="HY145" i="1"/>
  <c r="DX145" i="1" s="1"/>
  <c r="HY146" i="1"/>
  <c r="DX146" i="1" s="1"/>
  <c r="HY144" i="1"/>
  <c r="DX144" i="1" s="1"/>
  <c r="HY142" i="1"/>
  <c r="DX142" i="1" s="1"/>
  <c r="HY139" i="1"/>
  <c r="DX139" i="1" s="1"/>
  <c r="HY143" i="1"/>
  <c r="DX143" i="1" s="1"/>
  <c r="HY141" i="1"/>
  <c r="DX141" i="1" s="1"/>
  <c r="HY140" i="1"/>
  <c r="DX140" i="1" s="1"/>
  <c r="HY131" i="1"/>
  <c r="DX131" i="1" s="1"/>
  <c r="HY132" i="1"/>
  <c r="DX132" i="1" s="1"/>
  <c r="HY133" i="1"/>
  <c r="DX133" i="1" s="1"/>
  <c r="HY135" i="1"/>
  <c r="DX135" i="1" s="1"/>
  <c r="HY138" i="1"/>
  <c r="DX138" i="1" s="1"/>
  <c r="HY134" i="1"/>
  <c r="DX134" i="1" s="1"/>
  <c r="HY123" i="1"/>
  <c r="DX123" i="1" s="1"/>
  <c r="HY124" i="1"/>
  <c r="DX124" i="1" s="1"/>
  <c r="HY115" i="1"/>
  <c r="DX115" i="1" s="1"/>
  <c r="HY121" i="1"/>
  <c r="DX121" i="1" s="1"/>
  <c r="HY122" i="1"/>
  <c r="DX122" i="1" s="1"/>
  <c r="HY118" i="1"/>
  <c r="DX118" i="1" s="1"/>
  <c r="HY119" i="1"/>
  <c r="DX119" i="1" s="1"/>
  <c r="HY117" i="1"/>
  <c r="DX117" i="1" s="1"/>
  <c r="HY114" i="1"/>
  <c r="DX114" i="1" s="1"/>
  <c r="HY116" i="1"/>
  <c r="DX116" i="1" s="1"/>
  <c r="HY112" i="1"/>
  <c r="DX112" i="1" s="1"/>
  <c r="HY94" i="1"/>
  <c r="DX94" i="1" s="1"/>
  <c r="HY88" i="1"/>
  <c r="DX88" i="1" s="1"/>
  <c r="HY87" i="1"/>
  <c r="DX87" i="1" s="1"/>
  <c r="HY89" i="1"/>
  <c r="DX89" i="1" s="1"/>
  <c r="HY86" i="1"/>
  <c r="DX86" i="1" s="1"/>
  <c r="HY81" i="1"/>
  <c r="DX81" i="1" s="1"/>
  <c r="HY84" i="1"/>
  <c r="DX84" i="1" s="1"/>
  <c r="HY85" i="1"/>
  <c r="DX85" i="1" s="1"/>
  <c r="HY83" i="1"/>
  <c r="DX83" i="1" s="1"/>
  <c r="HY82" i="1"/>
  <c r="DX82" i="1" s="1"/>
  <c r="HY66" i="1"/>
  <c r="DX66" i="1" s="1"/>
  <c r="HY72" i="1"/>
  <c r="DX72" i="1" s="1"/>
  <c r="HY71" i="1"/>
  <c r="DX71" i="1" s="1"/>
  <c r="HY73" i="1"/>
  <c r="DX73" i="1" s="1"/>
  <c r="HY69" i="1"/>
  <c r="DX69" i="1" s="1"/>
  <c r="HY68" i="1"/>
  <c r="DX68" i="1" s="1"/>
  <c r="HY70" i="1"/>
  <c r="DX70" i="1" s="1"/>
  <c r="HY65" i="1"/>
  <c r="DX65" i="1" s="1"/>
  <c r="HY63" i="1"/>
  <c r="DX63" i="1" s="1"/>
  <c r="HY44" i="1"/>
  <c r="HY31" i="1"/>
  <c r="DX31" i="1" s="1"/>
  <c r="HY32" i="1"/>
  <c r="DX32" i="1" s="1"/>
  <c r="DX233" i="1"/>
  <c r="DX232" i="1"/>
  <c r="HY232" i="1"/>
  <c r="HY233" i="1"/>
  <c r="HY93" i="1"/>
  <c r="DX93" i="1" s="1"/>
  <c r="DX236" i="1"/>
  <c r="DX235" i="1"/>
  <c r="DX229" i="1"/>
  <c r="HY235" i="1"/>
  <c r="HY229" i="1"/>
  <c r="HY160" i="1"/>
  <c r="DX160" i="1" s="1"/>
  <c r="HY59" i="1"/>
  <c r="DX59" i="1" s="1"/>
  <c r="HY159" i="1"/>
  <c r="DX159" i="1" s="1"/>
  <c r="HY60" i="1"/>
  <c r="DX60" i="1" s="1"/>
  <c r="HY110" i="1"/>
  <c r="DX110" i="1" s="1"/>
  <c r="HY236" i="1"/>
  <c r="HY111" i="1"/>
  <c r="DX111" i="1" s="1"/>
  <c r="DX234" i="1"/>
  <c r="DX231" i="1"/>
  <c r="DX230" i="1"/>
  <c r="HY218" i="1"/>
  <c r="DX218" i="1" s="1"/>
  <c r="HY234" i="1"/>
  <c r="HY231" i="1"/>
  <c r="HY230" i="1"/>
  <c r="HY41" i="1"/>
  <c r="HY42" i="1"/>
  <c r="HZ30" i="1"/>
  <c r="HZ35" i="1" s="1"/>
  <c r="HY43" i="1"/>
  <c r="HY45" i="1"/>
  <c r="HY40" i="1"/>
  <c r="HY39" i="1"/>
  <c r="HY46" i="1"/>
  <c r="HY38" i="1"/>
  <c r="DX43" i="1"/>
  <c r="DX42" i="1"/>
  <c r="DY30" i="1"/>
  <c r="DY44" i="1" s="1"/>
  <c r="DX41" i="1"/>
  <c r="DX45" i="1"/>
  <c r="HY197" i="1"/>
  <c r="DX197" i="1" s="1"/>
  <c r="HY224" i="1"/>
  <c r="HY223" i="1"/>
  <c r="HY221" i="1"/>
  <c r="HY215" i="1"/>
  <c r="DX215" i="1" s="1"/>
  <c r="HY222" i="1"/>
  <c r="HY214" i="1"/>
  <c r="DX214" i="1" s="1"/>
  <c r="HY213" i="1"/>
  <c r="DX213" i="1" s="1"/>
  <c r="HY212" i="1"/>
  <c r="DX212" i="1" s="1"/>
  <c r="DX222" i="1"/>
  <c r="DX221" i="1"/>
  <c r="DX224" i="1"/>
  <c r="DX223" i="1"/>
  <c r="HY207" i="1"/>
  <c r="HY205" i="1"/>
  <c r="HY206" i="1"/>
  <c r="HY204" i="1"/>
  <c r="HY201" i="1"/>
  <c r="DX201" i="1" s="1"/>
  <c r="HY198" i="1"/>
  <c r="DX198" i="1" s="1"/>
  <c r="HY195" i="1"/>
  <c r="DX195" i="1" s="1"/>
  <c r="HY196" i="1"/>
  <c r="DX196" i="1" s="1"/>
  <c r="HY130" i="1"/>
  <c r="DX130" i="1" s="1"/>
  <c r="HY128" i="1"/>
  <c r="DX128" i="1" s="1"/>
  <c r="HY127" i="1"/>
  <c r="DX127" i="1" s="1"/>
  <c r="HY129" i="1"/>
  <c r="DX129" i="1" s="1"/>
  <c r="DX207" i="1"/>
  <c r="DX206" i="1"/>
  <c r="DX205" i="1"/>
  <c r="HY78" i="1"/>
  <c r="DX78" i="1" s="1"/>
  <c r="HY79" i="1"/>
  <c r="DX79" i="1" s="1"/>
  <c r="HY77" i="1"/>
  <c r="DX77" i="1" s="1"/>
  <c r="HY76" i="1"/>
  <c r="DX76" i="1" s="1"/>
  <c r="HY61" i="1"/>
  <c r="DX61" i="1" s="1"/>
  <c r="HY90" i="1"/>
  <c r="DX90" i="1" s="1"/>
  <c r="HY91" i="1"/>
  <c r="DX91" i="1" s="1"/>
  <c r="HY92" i="1"/>
  <c r="DX92" i="1" s="1"/>
  <c r="HY190" i="1"/>
  <c r="HY178" i="1"/>
  <c r="DX178" i="1" s="1"/>
  <c r="HY188" i="1"/>
  <c r="HY189" i="1"/>
  <c r="HY187" i="1"/>
  <c r="DX190" i="1"/>
  <c r="DX189" i="1"/>
  <c r="DX188" i="1"/>
  <c r="DX187" i="1"/>
  <c r="DX150" i="1"/>
  <c r="DX151" i="1"/>
  <c r="DX153" i="1"/>
  <c r="DX152" i="1"/>
  <c r="HY153" i="1"/>
  <c r="HY152" i="1"/>
  <c r="HY151" i="1"/>
  <c r="HY150" i="1"/>
  <c r="HY97" i="1"/>
  <c r="HY101" i="1"/>
  <c r="HY100" i="1"/>
  <c r="HY99" i="1"/>
  <c r="HY102" i="1"/>
  <c r="HY104" i="1"/>
  <c r="HY103" i="1"/>
  <c r="HY149" i="1"/>
  <c r="HY98" i="1"/>
  <c r="DX99" i="1"/>
  <c r="DX98" i="1"/>
  <c r="DX103" i="1"/>
  <c r="DX97" i="1"/>
  <c r="DX104" i="1"/>
  <c r="DX101" i="1"/>
  <c r="DX100" i="1"/>
  <c r="DX102" i="1"/>
  <c r="HY80" i="1"/>
  <c r="DX80" i="1" s="1"/>
  <c r="HY158" i="1"/>
  <c r="DX158" i="1" s="1"/>
  <c r="HY120" i="1"/>
  <c r="DX120" i="1" s="1"/>
  <c r="HY67" i="1"/>
  <c r="DX67" i="1" s="1"/>
  <c r="HY109" i="1"/>
  <c r="DX109" i="1" s="1"/>
  <c r="HY162" i="1"/>
  <c r="DX162" i="1" s="1"/>
  <c r="HY113" i="1"/>
  <c r="DX113" i="1" s="1"/>
  <c r="HY58" i="1"/>
  <c r="DX58" i="1" s="1"/>
  <c r="HZ56" i="1"/>
  <c r="HY64" i="1"/>
  <c r="DX64" i="1" s="1"/>
  <c r="HY62" i="1"/>
  <c r="DX62" i="1" s="1"/>
  <c r="DY56" i="1"/>
  <c r="DY35" i="1" l="1"/>
  <c r="DX125" i="1"/>
  <c r="DX147" i="1"/>
  <c r="HZ184" i="1"/>
  <c r="DY184" i="1" s="1"/>
  <c r="HZ183" i="1"/>
  <c r="DY183" i="1" s="1"/>
  <c r="HZ182" i="1"/>
  <c r="DY182" i="1" s="1"/>
  <c r="HZ180" i="1"/>
  <c r="DY180" i="1" s="1"/>
  <c r="HZ179" i="1"/>
  <c r="DY179" i="1" s="1"/>
  <c r="HZ181" i="1"/>
  <c r="DY181" i="1" s="1"/>
  <c r="HZ163" i="1"/>
  <c r="DY163" i="1" s="1"/>
  <c r="HZ176" i="1"/>
  <c r="DY176" i="1" s="1"/>
  <c r="HZ177" i="1"/>
  <c r="DY177" i="1" s="1"/>
  <c r="HZ175" i="1"/>
  <c r="DY175" i="1" s="1"/>
  <c r="HZ174" i="1"/>
  <c r="DY174" i="1" s="1"/>
  <c r="HZ161" i="1"/>
  <c r="DY161" i="1" s="1"/>
  <c r="HZ170" i="1"/>
  <c r="DY170" i="1" s="1"/>
  <c r="HZ171" i="1"/>
  <c r="DY171" i="1" s="1"/>
  <c r="HZ169" i="1"/>
  <c r="DY169" i="1" s="1"/>
  <c r="HZ168" i="1"/>
  <c r="DY168" i="1" s="1"/>
  <c r="HZ167" i="1"/>
  <c r="DY167" i="1" s="1"/>
  <c r="HZ165" i="1"/>
  <c r="DY165" i="1" s="1"/>
  <c r="HZ166" i="1"/>
  <c r="DY166" i="1" s="1"/>
  <c r="HZ164" i="1"/>
  <c r="DY164" i="1" s="1"/>
  <c r="HZ137" i="1"/>
  <c r="DY137" i="1" s="1"/>
  <c r="HZ136" i="1"/>
  <c r="DY136" i="1" s="1"/>
  <c r="HZ146" i="1"/>
  <c r="DY146" i="1" s="1"/>
  <c r="HZ145" i="1"/>
  <c r="DY145" i="1" s="1"/>
  <c r="HZ144" i="1"/>
  <c r="DY144" i="1" s="1"/>
  <c r="HZ141" i="1"/>
  <c r="DY141" i="1" s="1"/>
  <c r="HZ143" i="1"/>
  <c r="DY143" i="1" s="1"/>
  <c r="HZ140" i="1"/>
  <c r="DY140" i="1" s="1"/>
  <c r="HZ142" i="1"/>
  <c r="DY142" i="1" s="1"/>
  <c r="HZ139" i="1"/>
  <c r="DY139" i="1" s="1"/>
  <c r="HZ131" i="1"/>
  <c r="DY131" i="1" s="1"/>
  <c r="HZ132" i="1"/>
  <c r="DY132" i="1" s="1"/>
  <c r="HZ133" i="1"/>
  <c r="DY133" i="1" s="1"/>
  <c r="HZ135" i="1"/>
  <c r="DY135" i="1" s="1"/>
  <c r="HZ138" i="1"/>
  <c r="DY138" i="1" s="1"/>
  <c r="HZ134" i="1"/>
  <c r="DY134" i="1" s="1"/>
  <c r="HZ123" i="1"/>
  <c r="DY123" i="1" s="1"/>
  <c r="HZ124" i="1"/>
  <c r="DY124" i="1" s="1"/>
  <c r="HZ115" i="1"/>
  <c r="DY115" i="1" s="1"/>
  <c r="HZ122" i="1"/>
  <c r="DY122" i="1" s="1"/>
  <c r="HZ121" i="1"/>
  <c r="DY121" i="1" s="1"/>
  <c r="HZ119" i="1"/>
  <c r="DY119" i="1" s="1"/>
  <c r="HZ117" i="1"/>
  <c r="DY117" i="1" s="1"/>
  <c r="HZ118" i="1"/>
  <c r="DY118" i="1" s="1"/>
  <c r="HZ116" i="1"/>
  <c r="DY116" i="1" s="1"/>
  <c r="HZ114" i="1"/>
  <c r="DY114" i="1" s="1"/>
  <c r="HZ112" i="1"/>
  <c r="DY112" i="1" s="1"/>
  <c r="HZ94" i="1"/>
  <c r="DY94" i="1" s="1"/>
  <c r="HZ89" i="1"/>
  <c r="DY89" i="1" s="1"/>
  <c r="HZ88" i="1"/>
  <c r="DY88" i="1" s="1"/>
  <c r="HZ86" i="1"/>
  <c r="DY86" i="1" s="1"/>
  <c r="HZ87" i="1"/>
  <c r="DY87" i="1" s="1"/>
  <c r="HZ81" i="1"/>
  <c r="DY81" i="1" s="1"/>
  <c r="HZ84" i="1"/>
  <c r="DY84" i="1" s="1"/>
  <c r="HZ85" i="1"/>
  <c r="DY85" i="1" s="1"/>
  <c r="HZ83" i="1"/>
  <c r="DY83" i="1" s="1"/>
  <c r="HZ82" i="1"/>
  <c r="DY82" i="1" s="1"/>
  <c r="HZ66" i="1"/>
  <c r="DY66" i="1" s="1"/>
  <c r="HZ73" i="1"/>
  <c r="DY73" i="1" s="1"/>
  <c r="HZ71" i="1"/>
  <c r="DY71" i="1" s="1"/>
  <c r="HZ68" i="1"/>
  <c r="DY68" i="1" s="1"/>
  <c r="HZ72" i="1"/>
  <c r="DY72" i="1" s="1"/>
  <c r="HZ70" i="1"/>
  <c r="DY70" i="1" s="1"/>
  <c r="HZ69" i="1"/>
  <c r="DY69" i="1" s="1"/>
  <c r="HZ65" i="1"/>
  <c r="DY65" i="1" s="1"/>
  <c r="HZ63" i="1"/>
  <c r="DY63" i="1" s="1"/>
  <c r="HZ44" i="1"/>
  <c r="HZ31" i="1"/>
  <c r="DY31" i="1" s="1"/>
  <c r="HZ32" i="1"/>
  <c r="DY32" i="1" s="1"/>
  <c r="DY232" i="1"/>
  <c r="DY233" i="1"/>
  <c r="HZ232" i="1"/>
  <c r="HZ233" i="1"/>
  <c r="HZ93" i="1"/>
  <c r="DY93" i="1" s="1"/>
  <c r="DY236" i="1"/>
  <c r="DY235" i="1"/>
  <c r="DY229" i="1"/>
  <c r="HZ235" i="1"/>
  <c r="HZ229" i="1"/>
  <c r="HZ159" i="1"/>
  <c r="DY159" i="1" s="1"/>
  <c r="HZ59" i="1"/>
  <c r="DY59" i="1" s="1"/>
  <c r="HZ160" i="1"/>
  <c r="DY160" i="1" s="1"/>
  <c r="HZ60" i="1"/>
  <c r="DY60" i="1" s="1"/>
  <c r="HZ111" i="1"/>
  <c r="DY111" i="1" s="1"/>
  <c r="HZ110" i="1"/>
  <c r="DY110" i="1" s="1"/>
  <c r="HZ236" i="1"/>
  <c r="HZ218" i="1"/>
  <c r="DY218" i="1" s="1"/>
  <c r="HZ231" i="1"/>
  <c r="HZ234" i="1"/>
  <c r="HZ230" i="1"/>
  <c r="DY231" i="1"/>
  <c r="DY234" i="1"/>
  <c r="DY230" i="1"/>
  <c r="HZ40" i="1"/>
  <c r="HZ39" i="1"/>
  <c r="HZ46" i="1"/>
  <c r="HZ41" i="1"/>
  <c r="HZ43" i="1"/>
  <c r="HZ38" i="1"/>
  <c r="HZ42" i="1"/>
  <c r="HZ45" i="1"/>
  <c r="IA30" i="1"/>
  <c r="IA35" i="1" s="1"/>
  <c r="DY43" i="1"/>
  <c r="DY42" i="1"/>
  <c r="DY41" i="1"/>
  <c r="DY45" i="1"/>
  <c r="DZ30" i="1"/>
  <c r="DZ44" i="1" s="1"/>
  <c r="DY223" i="1"/>
  <c r="DY222" i="1"/>
  <c r="DY224" i="1"/>
  <c r="DY221" i="1"/>
  <c r="HZ197" i="1"/>
  <c r="DY197" i="1" s="1"/>
  <c r="HZ224" i="1"/>
  <c r="HZ223" i="1"/>
  <c r="HZ222" i="1"/>
  <c r="HZ214" i="1"/>
  <c r="DY214" i="1" s="1"/>
  <c r="HZ215" i="1"/>
  <c r="DY215" i="1" s="1"/>
  <c r="HZ213" i="1"/>
  <c r="DY213" i="1" s="1"/>
  <c r="HZ212" i="1"/>
  <c r="DY212" i="1" s="1"/>
  <c r="HZ221" i="1"/>
  <c r="DY207" i="1"/>
  <c r="DY206" i="1"/>
  <c r="DY205" i="1"/>
  <c r="HZ207" i="1"/>
  <c r="HZ206" i="1"/>
  <c r="HZ205" i="1"/>
  <c r="HZ204" i="1"/>
  <c r="HZ201" i="1"/>
  <c r="DY201" i="1" s="1"/>
  <c r="HZ198" i="1"/>
  <c r="DY198" i="1" s="1"/>
  <c r="HZ195" i="1"/>
  <c r="DY195" i="1" s="1"/>
  <c r="HZ196" i="1"/>
  <c r="DY196" i="1" s="1"/>
  <c r="HZ128" i="1"/>
  <c r="DY128" i="1" s="1"/>
  <c r="HZ127" i="1"/>
  <c r="DY127" i="1" s="1"/>
  <c r="HZ129" i="1"/>
  <c r="DY129" i="1" s="1"/>
  <c r="HZ130" i="1"/>
  <c r="DY130" i="1" s="1"/>
  <c r="HZ79" i="1"/>
  <c r="DY79" i="1" s="1"/>
  <c r="HZ78" i="1"/>
  <c r="DY78" i="1" s="1"/>
  <c r="HZ61" i="1"/>
  <c r="DY61" i="1" s="1"/>
  <c r="HZ76" i="1"/>
  <c r="DY76" i="1" s="1"/>
  <c r="HZ77" i="1"/>
  <c r="DY77" i="1" s="1"/>
  <c r="HZ91" i="1"/>
  <c r="DY91" i="1" s="1"/>
  <c r="HZ92" i="1"/>
  <c r="DY92" i="1" s="1"/>
  <c r="HZ90" i="1"/>
  <c r="DY90" i="1" s="1"/>
  <c r="HZ190" i="1"/>
  <c r="HZ189" i="1"/>
  <c r="HZ188" i="1"/>
  <c r="HZ187" i="1"/>
  <c r="HZ178" i="1"/>
  <c r="DY178" i="1" s="1"/>
  <c r="DY189" i="1"/>
  <c r="DY190" i="1"/>
  <c r="DY188" i="1"/>
  <c r="DY187" i="1"/>
  <c r="DY151" i="1"/>
  <c r="DY152" i="1"/>
  <c r="DY153" i="1"/>
  <c r="DY150" i="1"/>
  <c r="HZ152" i="1"/>
  <c r="HZ151" i="1"/>
  <c r="HZ153" i="1"/>
  <c r="HZ150" i="1"/>
  <c r="HZ149" i="1"/>
  <c r="HZ100" i="1"/>
  <c r="HZ98" i="1"/>
  <c r="HZ101" i="1"/>
  <c r="HZ97" i="1"/>
  <c r="HZ99" i="1"/>
  <c r="HZ102" i="1"/>
  <c r="HZ103" i="1"/>
  <c r="HZ104" i="1"/>
  <c r="DY99" i="1"/>
  <c r="DY98" i="1"/>
  <c r="DY100" i="1"/>
  <c r="DY104" i="1"/>
  <c r="DY101" i="1"/>
  <c r="DY102" i="1"/>
  <c r="DY103" i="1"/>
  <c r="DY97" i="1"/>
  <c r="HZ80" i="1"/>
  <c r="DY80" i="1" s="1"/>
  <c r="HZ158" i="1"/>
  <c r="DY158" i="1" s="1"/>
  <c r="HZ120" i="1"/>
  <c r="DY120" i="1" s="1"/>
  <c r="HZ67" i="1"/>
  <c r="DY67" i="1" s="1"/>
  <c r="HZ109" i="1"/>
  <c r="DY109" i="1" s="1"/>
  <c r="HZ162" i="1"/>
  <c r="DY162" i="1" s="1"/>
  <c r="HZ113" i="1"/>
  <c r="DY113" i="1" s="1"/>
  <c r="IA56" i="1"/>
  <c r="HZ58" i="1"/>
  <c r="DY58" i="1" s="1"/>
  <c r="HZ64" i="1"/>
  <c r="DY64" i="1" s="1"/>
  <c r="HZ62" i="1"/>
  <c r="DY62" i="1" s="1"/>
  <c r="DZ56" i="1"/>
  <c r="DZ35" i="1" l="1"/>
  <c r="DY125" i="1"/>
  <c r="DY147" i="1"/>
  <c r="IA184" i="1"/>
  <c r="DZ184" i="1" s="1"/>
  <c r="IA183" i="1"/>
  <c r="DZ183" i="1" s="1"/>
  <c r="IA180" i="1"/>
  <c r="DZ180" i="1" s="1"/>
  <c r="IA181" i="1"/>
  <c r="DZ181" i="1" s="1"/>
  <c r="IA182" i="1"/>
  <c r="DZ182" i="1" s="1"/>
  <c r="IA179" i="1"/>
  <c r="DZ179" i="1" s="1"/>
  <c r="IA163" i="1"/>
  <c r="DZ163" i="1" s="1"/>
  <c r="IA177" i="1"/>
  <c r="DZ177" i="1" s="1"/>
  <c r="IA176" i="1"/>
  <c r="DZ176" i="1" s="1"/>
  <c r="IA174" i="1"/>
  <c r="DZ174" i="1" s="1"/>
  <c r="IA175" i="1"/>
  <c r="DZ175" i="1" s="1"/>
  <c r="IA161" i="1"/>
  <c r="DZ161" i="1" s="1"/>
  <c r="IA171" i="1"/>
  <c r="DZ171" i="1" s="1"/>
  <c r="IA170" i="1"/>
  <c r="DZ170" i="1" s="1"/>
  <c r="IA169" i="1"/>
  <c r="DZ169" i="1" s="1"/>
  <c r="IA168" i="1"/>
  <c r="DZ168" i="1" s="1"/>
  <c r="IA167" i="1"/>
  <c r="DZ167" i="1" s="1"/>
  <c r="IA165" i="1"/>
  <c r="DZ165" i="1" s="1"/>
  <c r="IA166" i="1"/>
  <c r="DZ166" i="1" s="1"/>
  <c r="IA164" i="1"/>
  <c r="DZ164" i="1" s="1"/>
  <c r="IA137" i="1"/>
  <c r="DZ137" i="1" s="1"/>
  <c r="IA136" i="1"/>
  <c r="DZ136" i="1" s="1"/>
  <c r="IA146" i="1"/>
  <c r="DZ146" i="1" s="1"/>
  <c r="IA145" i="1"/>
  <c r="DZ145" i="1" s="1"/>
  <c r="IA144" i="1"/>
  <c r="DZ144" i="1" s="1"/>
  <c r="IA143" i="1"/>
  <c r="DZ143" i="1" s="1"/>
  <c r="IA141" i="1"/>
  <c r="DZ141" i="1" s="1"/>
  <c r="IA140" i="1"/>
  <c r="DZ140" i="1" s="1"/>
  <c r="IA142" i="1"/>
  <c r="DZ142" i="1" s="1"/>
  <c r="IA139" i="1"/>
  <c r="DZ139" i="1" s="1"/>
  <c r="IA131" i="1"/>
  <c r="DZ131" i="1" s="1"/>
  <c r="IA132" i="1"/>
  <c r="DZ132" i="1" s="1"/>
  <c r="IA133" i="1"/>
  <c r="DZ133" i="1" s="1"/>
  <c r="IA138" i="1"/>
  <c r="DZ138" i="1" s="1"/>
  <c r="IA135" i="1"/>
  <c r="DZ135" i="1" s="1"/>
  <c r="IA134" i="1"/>
  <c r="DZ134" i="1" s="1"/>
  <c r="IA124" i="1"/>
  <c r="DZ124" i="1" s="1"/>
  <c r="IA123" i="1"/>
  <c r="DZ123" i="1" s="1"/>
  <c r="IA115" i="1"/>
  <c r="DZ115" i="1" s="1"/>
  <c r="IA122" i="1"/>
  <c r="DZ122" i="1" s="1"/>
  <c r="IA121" i="1"/>
  <c r="DZ121" i="1" s="1"/>
  <c r="IA119" i="1"/>
  <c r="DZ119" i="1" s="1"/>
  <c r="IA118" i="1"/>
  <c r="DZ118" i="1" s="1"/>
  <c r="IA117" i="1"/>
  <c r="DZ117" i="1" s="1"/>
  <c r="IA114" i="1"/>
  <c r="DZ114" i="1" s="1"/>
  <c r="IA116" i="1"/>
  <c r="DZ116" i="1" s="1"/>
  <c r="IA112" i="1"/>
  <c r="DZ112" i="1" s="1"/>
  <c r="IA94" i="1"/>
  <c r="DZ94" i="1" s="1"/>
  <c r="IA89" i="1"/>
  <c r="DZ89" i="1" s="1"/>
  <c r="IA87" i="1"/>
  <c r="DZ87" i="1" s="1"/>
  <c r="IA86" i="1"/>
  <c r="DZ86" i="1" s="1"/>
  <c r="IA88" i="1"/>
  <c r="DZ88" i="1" s="1"/>
  <c r="IA81" i="1"/>
  <c r="DZ81" i="1" s="1"/>
  <c r="IA85" i="1"/>
  <c r="DZ85" i="1" s="1"/>
  <c r="IA84" i="1"/>
  <c r="DZ84" i="1" s="1"/>
  <c r="IA83" i="1"/>
  <c r="DZ83" i="1" s="1"/>
  <c r="IA82" i="1"/>
  <c r="DZ82" i="1" s="1"/>
  <c r="IA66" i="1"/>
  <c r="DZ66" i="1" s="1"/>
  <c r="IA72" i="1"/>
  <c r="DZ72" i="1" s="1"/>
  <c r="IA73" i="1"/>
  <c r="DZ73" i="1" s="1"/>
  <c r="IA71" i="1"/>
  <c r="DZ71" i="1" s="1"/>
  <c r="IA70" i="1"/>
  <c r="DZ70" i="1" s="1"/>
  <c r="IA69" i="1"/>
  <c r="DZ69" i="1" s="1"/>
  <c r="IA68" i="1"/>
  <c r="DZ68" i="1" s="1"/>
  <c r="IA65" i="1"/>
  <c r="DZ65" i="1" s="1"/>
  <c r="IA63" i="1"/>
  <c r="DZ63" i="1" s="1"/>
  <c r="IA44" i="1"/>
  <c r="IA32" i="1"/>
  <c r="DZ32" i="1" s="1"/>
  <c r="IA31" i="1"/>
  <c r="DZ31" i="1" s="1"/>
  <c r="DZ232" i="1"/>
  <c r="DZ233" i="1"/>
  <c r="IA233" i="1"/>
  <c r="IA232" i="1"/>
  <c r="IA93" i="1"/>
  <c r="DZ93" i="1" s="1"/>
  <c r="DZ236" i="1"/>
  <c r="DZ229" i="1"/>
  <c r="DZ235" i="1"/>
  <c r="IA229" i="1"/>
  <c r="IA235" i="1"/>
  <c r="IA159" i="1"/>
  <c r="DZ159" i="1" s="1"/>
  <c r="IA59" i="1"/>
  <c r="DZ59" i="1" s="1"/>
  <c r="IA60" i="1"/>
  <c r="DZ60" i="1" s="1"/>
  <c r="IA160" i="1"/>
  <c r="DZ160" i="1" s="1"/>
  <c r="IA236" i="1"/>
  <c r="IA110" i="1"/>
  <c r="DZ110" i="1" s="1"/>
  <c r="IA111" i="1"/>
  <c r="DZ111" i="1" s="1"/>
  <c r="DZ231" i="1"/>
  <c r="DZ234" i="1"/>
  <c r="DZ230" i="1"/>
  <c r="IA218" i="1"/>
  <c r="DZ218" i="1" s="1"/>
  <c r="IA234" i="1"/>
  <c r="IA231" i="1"/>
  <c r="IA230" i="1"/>
  <c r="IB30" i="1"/>
  <c r="IB35" i="1" s="1"/>
  <c r="IA38" i="1"/>
  <c r="IA46" i="1"/>
  <c r="IA43" i="1"/>
  <c r="IA45" i="1"/>
  <c r="IA40" i="1"/>
  <c r="IA39" i="1"/>
  <c r="IA41" i="1"/>
  <c r="IA42" i="1"/>
  <c r="DZ43" i="1"/>
  <c r="DZ41" i="1"/>
  <c r="DZ42" i="1"/>
  <c r="DZ45" i="1"/>
  <c r="EA30" i="1"/>
  <c r="EA44" i="1" s="1"/>
  <c r="DZ224" i="1"/>
  <c r="DZ223" i="1"/>
  <c r="DZ222" i="1"/>
  <c r="DZ221" i="1"/>
  <c r="IA197" i="1"/>
  <c r="DZ197" i="1" s="1"/>
  <c r="IA224" i="1"/>
  <c r="IA222" i="1"/>
  <c r="IA223" i="1"/>
  <c r="IA221" i="1"/>
  <c r="IA212" i="1"/>
  <c r="DZ212" i="1" s="1"/>
  <c r="IA215" i="1"/>
  <c r="DZ215" i="1" s="1"/>
  <c r="IA214" i="1"/>
  <c r="DZ214" i="1" s="1"/>
  <c r="IA213" i="1"/>
  <c r="DZ213" i="1" s="1"/>
  <c r="DZ206" i="1"/>
  <c r="DZ205" i="1"/>
  <c r="DZ207" i="1"/>
  <c r="IA207" i="1"/>
  <c r="IA206" i="1"/>
  <c r="IA205" i="1"/>
  <c r="IA204" i="1"/>
  <c r="IA201" i="1"/>
  <c r="DZ201" i="1" s="1"/>
  <c r="IA196" i="1"/>
  <c r="DZ196" i="1" s="1"/>
  <c r="IA195" i="1"/>
  <c r="DZ195" i="1" s="1"/>
  <c r="IA198" i="1"/>
  <c r="DZ198" i="1" s="1"/>
  <c r="IA129" i="1"/>
  <c r="DZ129" i="1" s="1"/>
  <c r="IA130" i="1"/>
  <c r="DZ130" i="1" s="1"/>
  <c r="IA128" i="1"/>
  <c r="DZ128" i="1" s="1"/>
  <c r="IA127" i="1"/>
  <c r="DZ127" i="1" s="1"/>
  <c r="IA79" i="1"/>
  <c r="DZ79" i="1" s="1"/>
  <c r="IA78" i="1"/>
  <c r="DZ78" i="1" s="1"/>
  <c r="IA77" i="1"/>
  <c r="DZ77" i="1" s="1"/>
  <c r="IA76" i="1"/>
  <c r="DZ76" i="1" s="1"/>
  <c r="IA61" i="1"/>
  <c r="DZ61" i="1" s="1"/>
  <c r="IA92" i="1"/>
  <c r="DZ92" i="1" s="1"/>
  <c r="IA91" i="1"/>
  <c r="DZ91" i="1" s="1"/>
  <c r="IA90" i="1"/>
  <c r="DZ90" i="1" s="1"/>
  <c r="IA188" i="1"/>
  <c r="IA187" i="1"/>
  <c r="IA189" i="1"/>
  <c r="IA178" i="1"/>
  <c r="DZ178" i="1" s="1"/>
  <c r="IA190" i="1"/>
  <c r="DZ190" i="1"/>
  <c r="DZ188" i="1"/>
  <c r="DZ187" i="1"/>
  <c r="DZ153" i="1"/>
  <c r="DZ189" i="1"/>
  <c r="DZ150" i="1"/>
  <c r="DZ151" i="1"/>
  <c r="DZ152" i="1"/>
  <c r="IA152" i="1"/>
  <c r="IA153" i="1"/>
  <c r="IA151" i="1"/>
  <c r="IA150" i="1"/>
  <c r="IA149" i="1"/>
  <c r="IA99" i="1"/>
  <c r="IA102" i="1"/>
  <c r="IA98" i="1"/>
  <c r="IA97" i="1"/>
  <c r="IA100" i="1"/>
  <c r="IA103" i="1"/>
  <c r="IA101" i="1"/>
  <c r="IA104" i="1"/>
  <c r="DZ97" i="1"/>
  <c r="DZ101" i="1"/>
  <c r="DZ99" i="1"/>
  <c r="DZ100" i="1"/>
  <c r="DZ102" i="1"/>
  <c r="DZ103" i="1"/>
  <c r="DZ104" i="1"/>
  <c r="DZ98" i="1"/>
  <c r="IA80" i="1"/>
  <c r="DZ80" i="1" s="1"/>
  <c r="IA158" i="1"/>
  <c r="DZ158" i="1" s="1"/>
  <c r="IA67" i="1"/>
  <c r="DZ67" i="1" s="1"/>
  <c r="IA120" i="1"/>
  <c r="DZ120" i="1" s="1"/>
  <c r="IA109" i="1"/>
  <c r="DZ109" i="1" s="1"/>
  <c r="IA162" i="1"/>
  <c r="DZ162" i="1" s="1"/>
  <c r="IA113" i="1"/>
  <c r="DZ113" i="1" s="1"/>
  <c r="IA62" i="1"/>
  <c r="DZ62" i="1" s="1"/>
  <c r="IA64" i="1"/>
  <c r="DZ64" i="1" s="1"/>
  <c r="IA58" i="1"/>
  <c r="DZ58" i="1" s="1"/>
  <c r="IB56" i="1"/>
  <c r="EA56" i="1"/>
  <c r="EA35" i="1" l="1"/>
  <c r="DZ147" i="1"/>
  <c r="DZ125" i="1"/>
  <c r="IB184" i="1"/>
  <c r="EA184" i="1" s="1"/>
  <c r="IB183" i="1"/>
  <c r="EA183" i="1" s="1"/>
  <c r="IB181" i="1"/>
  <c r="EA181" i="1" s="1"/>
  <c r="IB182" i="1"/>
  <c r="EA182" i="1" s="1"/>
  <c r="IB179" i="1"/>
  <c r="EA179" i="1" s="1"/>
  <c r="IB180" i="1"/>
  <c r="EA180" i="1" s="1"/>
  <c r="IB163" i="1"/>
  <c r="EA163" i="1" s="1"/>
  <c r="IB177" i="1"/>
  <c r="EA177" i="1" s="1"/>
  <c r="IB176" i="1"/>
  <c r="EA176" i="1" s="1"/>
  <c r="IB175" i="1"/>
  <c r="EA175" i="1" s="1"/>
  <c r="IB174" i="1"/>
  <c r="EA174" i="1" s="1"/>
  <c r="IB161" i="1"/>
  <c r="EA161" i="1" s="1"/>
  <c r="IB171" i="1"/>
  <c r="EA171" i="1" s="1"/>
  <c r="IB170" i="1"/>
  <c r="EA170" i="1" s="1"/>
  <c r="IB168" i="1"/>
  <c r="EA168" i="1" s="1"/>
  <c r="IB166" i="1"/>
  <c r="EA166" i="1" s="1"/>
  <c r="IB164" i="1"/>
  <c r="EA164" i="1" s="1"/>
  <c r="IB169" i="1"/>
  <c r="EA169" i="1" s="1"/>
  <c r="IB165" i="1"/>
  <c r="EA165" i="1" s="1"/>
  <c r="IB167" i="1"/>
  <c r="EA167" i="1" s="1"/>
  <c r="IB137" i="1"/>
  <c r="EA137" i="1" s="1"/>
  <c r="IB136" i="1"/>
  <c r="EA136" i="1" s="1"/>
  <c r="IB146" i="1"/>
  <c r="EA146" i="1" s="1"/>
  <c r="IB145" i="1"/>
  <c r="EA145" i="1" s="1"/>
  <c r="IB144" i="1"/>
  <c r="EA144" i="1" s="1"/>
  <c r="IB143" i="1"/>
  <c r="EA143" i="1" s="1"/>
  <c r="IB142" i="1"/>
  <c r="EA142" i="1" s="1"/>
  <c r="IB141" i="1"/>
  <c r="EA141" i="1" s="1"/>
  <c r="IB139" i="1"/>
  <c r="EA139" i="1" s="1"/>
  <c r="IB140" i="1"/>
  <c r="EA140" i="1" s="1"/>
  <c r="IB131" i="1"/>
  <c r="EA131" i="1" s="1"/>
  <c r="IB132" i="1"/>
  <c r="EA132" i="1" s="1"/>
  <c r="IB133" i="1"/>
  <c r="EA133" i="1" s="1"/>
  <c r="IB138" i="1"/>
  <c r="EA138" i="1" s="1"/>
  <c r="IB135" i="1"/>
  <c r="EA135" i="1" s="1"/>
  <c r="IB134" i="1"/>
  <c r="EA134" i="1" s="1"/>
  <c r="IB124" i="1"/>
  <c r="EA124" i="1" s="1"/>
  <c r="IB123" i="1"/>
  <c r="EA123" i="1" s="1"/>
  <c r="IB115" i="1"/>
  <c r="EA115" i="1" s="1"/>
  <c r="IB121" i="1"/>
  <c r="EA121" i="1" s="1"/>
  <c r="IB122" i="1"/>
  <c r="EA122" i="1" s="1"/>
  <c r="IB118" i="1"/>
  <c r="EA118" i="1" s="1"/>
  <c r="IB119" i="1"/>
  <c r="EA119" i="1" s="1"/>
  <c r="IB116" i="1"/>
  <c r="EA116" i="1" s="1"/>
  <c r="IB117" i="1"/>
  <c r="EA117" i="1" s="1"/>
  <c r="IB114" i="1"/>
  <c r="EA114" i="1" s="1"/>
  <c r="IB112" i="1"/>
  <c r="EA112" i="1" s="1"/>
  <c r="IB94" i="1"/>
  <c r="EA94" i="1" s="1"/>
  <c r="IB89" i="1"/>
  <c r="EA89" i="1" s="1"/>
  <c r="IB88" i="1"/>
  <c r="EA88" i="1" s="1"/>
  <c r="IB86" i="1"/>
  <c r="EA86" i="1" s="1"/>
  <c r="IB87" i="1"/>
  <c r="EA87" i="1" s="1"/>
  <c r="IB81" i="1"/>
  <c r="EA81" i="1" s="1"/>
  <c r="IB85" i="1"/>
  <c r="EA85" i="1" s="1"/>
  <c r="IB84" i="1"/>
  <c r="EA84" i="1" s="1"/>
  <c r="IB82" i="1"/>
  <c r="EA82" i="1" s="1"/>
  <c r="IB83" i="1"/>
  <c r="EA83" i="1" s="1"/>
  <c r="IB66" i="1"/>
  <c r="EA66" i="1" s="1"/>
  <c r="IB73" i="1"/>
  <c r="EA73" i="1" s="1"/>
  <c r="IB71" i="1"/>
  <c r="EA71" i="1" s="1"/>
  <c r="IB72" i="1"/>
  <c r="EA72" i="1" s="1"/>
  <c r="IB70" i="1"/>
  <c r="EA70" i="1" s="1"/>
  <c r="IB69" i="1"/>
  <c r="EA69" i="1" s="1"/>
  <c r="IB68" i="1"/>
  <c r="EA68" i="1" s="1"/>
  <c r="IB65" i="1"/>
  <c r="EA65" i="1" s="1"/>
  <c r="IB63" i="1"/>
  <c r="EA63" i="1" s="1"/>
  <c r="IB44" i="1"/>
  <c r="IB32" i="1"/>
  <c r="EA32" i="1" s="1"/>
  <c r="IB31" i="1"/>
  <c r="EA31" i="1" s="1"/>
  <c r="EA232" i="1"/>
  <c r="EA233" i="1"/>
  <c r="IB233" i="1"/>
  <c r="IB232" i="1"/>
  <c r="IB93" i="1"/>
  <c r="EA93" i="1" s="1"/>
  <c r="EA236" i="1"/>
  <c r="EA229" i="1"/>
  <c r="EA235" i="1"/>
  <c r="IB229" i="1"/>
  <c r="IB235" i="1"/>
  <c r="IB160" i="1"/>
  <c r="EA160" i="1" s="1"/>
  <c r="IB59" i="1"/>
  <c r="EA59" i="1" s="1"/>
  <c r="IB159" i="1"/>
  <c r="EA159" i="1" s="1"/>
  <c r="IB60" i="1"/>
  <c r="EA60" i="1" s="1"/>
  <c r="IB111" i="1"/>
  <c r="EA111" i="1" s="1"/>
  <c r="IB110" i="1"/>
  <c r="EA110" i="1" s="1"/>
  <c r="IB236" i="1"/>
  <c r="EA234" i="1"/>
  <c r="EA230" i="1"/>
  <c r="EA231" i="1"/>
  <c r="IB218" i="1"/>
  <c r="EA218" i="1" s="1"/>
  <c r="IB234" i="1"/>
  <c r="IB231" i="1"/>
  <c r="IB230" i="1"/>
  <c r="IB41" i="1"/>
  <c r="IB40" i="1"/>
  <c r="IB39" i="1"/>
  <c r="IB43" i="1"/>
  <c r="IB38" i="1"/>
  <c r="IB45" i="1"/>
  <c r="IB46" i="1"/>
  <c r="IB42" i="1"/>
  <c r="EA43" i="1"/>
  <c r="EA45" i="1"/>
  <c r="EA42" i="1"/>
  <c r="EA41" i="1"/>
  <c r="EB30" i="1"/>
  <c r="EB44" i="1" s="1"/>
  <c r="Y44" i="1" s="1"/>
  <c r="IB197" i="1"/>
  <c r="EA197" i="1" s="1"/>
  <c r="IB224" i="1"/>
  <c r="IB222" i="1"/>
  <c r="IB221" i="1"/>
  <c r="IB223" i="1"/>
  <c r="IB213" i="1"/>
  <c r="EA213" i="1" s="1"/>
  <c r="IB212" i="1"/>
  <c r="EA212" i="1" s="1"/>
  <c r="IB215" i="1"/>
  <c r="EA215" i="1" s="1"/>
  <c r="IB214" i="1"/>
  <c r="EA214" i="1" s="1"/>
  <c r="EA224" i="1"/>
  <c r="EA223" i="1"/>
  <c r="EA222" i="1"/>
  <c r="EA221" i="1"/>
  <c r="IB207" i="1"/>
  <c r="IB206" i="1"/>
  <c r="IB205" i="1"/>
  <c r="IB201" i="1"/>
  <c r="EA201" i="1" s="1"/>
  <c r="IB204" i="1"/>
  <c r="IB198" i="1"/>
  <c r="EA198" i="1" s="1"/>
  <c r="IB195" i="1"/>
  <c r="EA195" i="1" s="1"/>
  <c r="IB196" i="1"/>
  <c r="EA196" i="1" s="1"/>
  <c r="IB129" i="1"/>
  <c r="EA129" i="1" s="1"/>
  <c r="IB130" i="1"/>
  <c r="EA130" i="1" s="1"/>
  <c r="IB128" i="1"/>
  <c r="EA128" i="1" s="1"/>
  <c r="IB127" i="1"/>
  <c r="EA127" i="1" s="1"/>
  <c r="EA206" i="1"/>
  <c r="EA207" i="1"/>
  <c r="EA205" i="1"/>
  <c r="IB79" i="1"/>
  <c r="EA79" i="1" s="1"/>
  <c r="IB78" i="1"/>
  <c r="EA78" i="1" s="1"/>
  <c r="IB77" i="1"/>
  <c r="EA77" i="1" s="1"/>
  <c r="IB76" i="1"/>
  <c r="EA76" i="1" s="1"/>
  <c r="IB92" i="1"/>
  <c r="EA92" i="1" s="1"/>
  <c r="IB91" i="1"/>
  <c r="EA91" i="1" s="1"/>
  <c r="IB90" i="1"/>
  <c r="EA90" i="1" s="1"/>
  <c r="IB61" i="1"/>
  <c r="EA61" i="1" s="1"/>
  <c r="EA189" i="1"/>
  <c r="EA187" i="1"/>
  <c r="EA188" i="1"/>
  <c r="EA190" i="1"/>
  <c r="EA150" i="1"/>
  <c r="EA152" i="1"/>
  <c r="EA151" i="1"/>
  <c r="EA153" i="1"/>
  <c r="IB189" i="1"/>
  <c r="IB190" i="1"/>
  <c r="IB178" i="1"/>
  <c r="EA178" i="1" s="1"/>
  <c r="IB187" i="1"/>
  <c r="IB188" i="1"/>
  <c r="IB150" i="1"/>
  <c r="IB152" i="1"/>
  <c r="IB151" i="1"/>
  <c r="IB149" i="1"/>
  <c r="IB98" i="1"/>
  <c r="IB102" i="1"/>
  <c r="IB99" i="1"/>
  <c r="IB101" i="1"/>
  <c r="IB97" i="1"/>
  <c r="IB100" i="1"/>
  <c r="IB104" i="1"/>
  <c r="IB103" i="1"/>
  <c r="IB153" i="1"/>
  <c r="EA98" i="1"/>
  <c r="EA97" i="1"/>
  <c r="EA102" i="1"/>
  <c r="EA99" i="1"/>
  <c r="EA100" i="1"/>
  <c r="EA101" i="1"/>
  <c r="EA103" i="1"/>
  <c r="EA104" i="1"/>
  <c r="IB80" i="1"/>
  <c r="EA80" i="1" s="1"/>
  <c r="IB158" i="1"/>
  <c r="EA158" i="1" s="1"/>
  <c r="IB120" i="1"/>
  <c r="EA120" i="1" s="1"/>
  <c r="IB67" i="1"/>
  <c r="EA67" i="1" s="1"/>
  <c r="IB109" i="1"/>
  <c r="EA109" i="1" s="1"/>
  <c r="IB162" i="1"/>
  <c r="EA162" i="1" s="1"/>
  <c r="IB113" i="1"/>
  <c r="EA113" i="1" s="1"/>
  <c r="IB64" i="1"/>
  <c r="EA64" i="1" s="1"/>
  <c r="IB58" i="1"/>
  <c r="EA58" i="1" s="1"/>
  <c r="IB62" i="1"/>
  <c r="EA62" i="1" s="1"/>
  <c r="EB56" i="1"/>
  <c r="EB35" i="1" s="1"/>
  <c r="Y35" i="1" s="1"/>
  <c r="AC35" i="1" l="1"/>
  <c r="Y36" i="1"/>
  <c r="M57" i="2"/>
  <c r="AC44" i="1"/>
  <c r="O57" i="2" s="1"/>
  <c r="EA125" i="1"/>
  <c r="EA147" i="1"/>
  <c r="EB179" i="1"/>
  <c r="Y179" i="1" s="1"/>
  <c r="AC179" i="1" s="1"/>
  <c r="EB180" i="1"/>
  <c r="Y180" i="1" s="1"/>
  <c r="AC180" i="1" s="1"/>
  <c r="EB183" i="1"/>
  <c r="Y183" i="1" s="1"/>
  <c r="AC183" i="1" s="1"/>
  <c r="EB184" i="1"/>
  <c r="Y184" i="1" s="1"/>
  <c r="AC184" i="1" s="1"/>
  <c r="EB182" i="1"/>
  <c r="Y182" i="1" s="1"/>
  <c r="AC182" i="1" s="1"/>
  <c r="EB181" i="1"/>
  <c r="Y181" i="1" s="1"/>
  <c r="AC181" i="1" s="1"/>
  <c r="EB163" i="1"/>
  <c r="Y163" i="1" s="1"/>
  <c r="AC163" i="1" s="1"/>
  <c r="EB174" i="1"/>
  <c r="Y174" i="1" s="1"/>
  <c r="AC174" i="1" s="1"/>
  <c r="EB176" i="1"/>
  <c r="Y176" i="1" s="1"/>
  <c r="AC176" i="1" s="1"/>
  <c r="EB177" i="1"/>
  <c r="Y177" i="1" s="1"/>
  <c r="AC177" i="1" s="1"/>
  <c r="EB175" i="1"/>
  <c r="Y175" i="1" s="1"/>
  <c r="AC175" i="1" s="1"/>
  <c r="EB161" i="1"/>
  <c r="Y161" i="1" s="1"/>
  <c r="AC161" i="1" s="1"/>
  <c r="EB168" i="1"/>
  <c r="Y168" i="1" s="1"/>
  <c r="AC168" i="1" s="1"/>
  <c r="EB170" i="1"/>
  <c r="Y170" i="1" s="1"/>
  <c r="AC170" i="1" s="1"/>
  <c r="EB165" i="1"/>
  <c r="Y165" i="1" s="1"/>
  <c r="AC165" i="1" s="1"/>
  <c r="EB167" i="1"/>
  <c r="Y167" i="1" s="1"/>
  <c r="AC167" i="1" s="1"/>
  <c r="EB171" i="1"/>
  <c r="Y171" i="1" s="1"/>
  <c r="AC171" i="1" s="1"/>
  <c r="EB169" i="1"/>
  <c r="Y169" i="1" s="1"/>
  <c r="AC169" i="1" s="1"/>
  <c r="EB164" i="1"/>
  <c r="Y164" i="1" s="1"/>
  <c r="AC164" i="1" s="1"/>
  <c r="EB166" i="1"/>
  <c r="Y166" i="1" s="1"/>
  <c r="AC166" i="1" s="1"/>
  <c r="EB136" i="1"/>
  <c r="Y136" i="1" s="1"/>
  <c r="AC136" i="1" s="1"/>
  <c r="EB137" i="1"/>
  <c r="Y137" i="1" s="1"/>
  <c r="AC137" i="1" s="1"/>
  <c r="EB146" i="1"/>
  <c r="Y146" i="1" s="1"/>
  <c r="AC146" i="1" s="1"/>
  <c r="EB142" i="1"/>
  <c r="Y142" i="1" s="1"/>
  <c r="AC142" i="1" s="1"/>
  <c r="EB139" i="1"/>
  <c r="Y139" i="1" s="1"/>
  <c r="AC139" i="1" s="1"/>
  <c r="EB140" i="1"/>
  <c r="Y140" i="1" s="1"/>
  <c r="AC140" i="1" s="1"/>
  <c r="EB144" i="1"/>
  <c r="Y144" i="1" s="1"/>
  <c r="AC144" i="1" s="1"/>
  <c r="EB141" i="1"/>
  <c r="Y141" i="1" s="1"/>
  <c r="AC141" i="1" s="1"/>
  <c r="EB145" i="1"/>
  <c r="Y145" i="1" s="1"/>
  <c r="AC145" i="1" s="1"/>
  <c r="EB143" i="1"/>
  <c r="Y143" i="1" s="1"/>
  <c r="AC143" i="1" s="1"/>
  <c r="EB131" i="1"/>
  <c r="Y131" i="1" s="1"/>
  <c r="AC131" i="1" s="1"/>
  <c r="EB133" i="1"/>
  <c r="Y133" i="1" s="1"/>
  <c r="AC133" i="1" s="1"/>
  <c r="EB132" i="1"/>
  <c r="Y132" i="1" s="1"/>
  <c r="AC132" i="1" s="1"/>
  <c r="EB135" i="1"/>
  <c r="Y135" i="1" s="1"/>
  <c r="AC135" i="1" s="1"/>
  <c r="EB138" i="1"/>
  <c r="Y138" i="1" s="1"/>
  <c r="AC138" i="1" s="1"/>
  <c r="EB134" i="1"/>
  <c r="Y134" i="1" s="1"/>
  <c r="AC134" i="1" s="1"/>
  <c r="EB124" i="1"/>
  <c r="Y124" i="1" s="1"/>
  <c r="AC124" i="1" s="1"/>
  <c r="EB123" i="1"/>
  <c r="Y123" i="1" s="1"/>
  <c r="AC123" i="1" s="1"/>
  <c r="EB115" i="1"/>
  <c r="Y115" i="1" s="1"/>
  <c r="AC115" i="1" s="1"/>
  <c r="EB121" i="1"/>
  <c r="Y121" i="1" s="1"/>
  <c r="AC121" i="1" s="1"/>
  <c r="EB122" i="1"/>
  <c r="Y122" i="1" s="1"/>
  <c r="AC122" i="1" s="1"/>
  <c r="EB116" i="1"/>
  <c r="Y116" i="1" s="1"/>
  <c r="AC116" i="1" s="1"/>
  <c r="EB118" i="1"/>
  <c r="Y118" i="1" s="1"/>
  <c r="AC118" i="1" s="1"/>
  <c r="EB119" i="1"/>
  <c r="Y119" i="1" s="1"/>
  <c r="AC119" i="1" s="1"/>
  <c r="EB117" i="1"/>
  <c r="Y117" i="1" s="1"/>
  <c r="AC117" i="1" s="1"/>
  <c r="EB114" i="1"/>
  <c r="Y114" i="1" s="1"/>
  <c r="AC114" i="1" s="1"/>
  <c r="EB112" i="1"/>
  <c r="Y112" i="1" s="1"/>
  <c r="AC112" i="1" s="1"/>
  <c r="EB94" i="1"/>
  <c r="Y94" i="1" s="1"/>
  <c r="AC94" i="1" s="1"/>
  <c r="EB89" i="1"/>
  <c r="Y89" i="1" s="1"/>
  <c r="AC89" i="1" s="1"/>
  <c r="EB88" i="1"/>
  <c r="Y88" i="1" s="1"/>
  <c r="AC88" i="1" s="1"/>
  <c r="EB86" i="1"/>
  <c r="Y86" i="1" s="1"/>
  <c r="AC86" i="1" s="1"/>
  <c r="EB87" i="1"/>
  <c r="Y87" i="1" s="1"/>
  <c r="AC87" i="1" s="1"/>
  <c r="EB81" i="1"/>
  <c r="Y81" i="1" s="1"/>
  <c r="AC81" i="1" s="1"/>
  <c r="EB83" i="1"/>
  <c r="Y83" i="1" s="1"/>
  <c r="AC83" i="1" s="1"/>
  <c r="EB84" i="1"/>
  <c r="Y84" i="1" s="1"/>
  <c r="AC84" i="1" s="1"/>
  <c r="EB82" i="1"/>
  <c r="Y82" i="1" s="1"/>
  <c r="AC82" i="1" s="1"/>
  <c r="EB85" i="1"/>
  <c r="Y85" i="1" s="1"/>
  <c r="AC85" i="1" s="1"/>
  <c r="EB66" i="1"/>
  <c r="Y66" i="1" s="1"/>
  <c r="AC66" i="1" s="1"/>
  <c r="EB72" i="1"/>
  <c r="Y72" i="1" s="1"/>
  <c r="AC72" i="1" s="1"/>
  <c r="EB73" i="1"/>
  <c r="Y73" i="1" s="1"/>
  <c r="AC73" i="1" s="1"/>
  <c r="EB71" i="1"/>
  <c r="Y71" i="1" s="1"/>
  <c r="AC71" i="1" s="1"/>
  <c r="EB70" i="1"/>
  <c r="Y70" i="1" s="1"/>
  <c r="AC70" i="1" s="1"/>
  <c r="EB68" i="1"/>
  <c r="Y68" i="1" s="1"/>
  <c r="AC68" i="1" s="1"/>
  <c r="EB69" i="1"/>
  <c r="Y69" i="1" s="1"/>
  <c r="AC69" i="1" s="1"/>
  <c r="EB65" i="1"/>
  <c r="Y65" i="1" s="1"/>
  <c r="AC65" i="1" s="1"/>
  <c r="EB63" i="1"/>
  <c r="Y63" i="1" s="1"/>
  <c r="AC63" i="1" s="1"/>
  <c r="EB32" i="1"/>
  <c r="Y32" i="1" s="1"/>
  <c r="AC32" i="1" s="1"/>
  <c r="EB31" i="1"/>
  <c r="EB233" i="1"/>
  <c r="Y233" i="1" s="1"/>
  <c r="EB232" i="1"/>
  <c r="Y232" i="1" s="1"/>
  <c r="EB93" i="1"/>
  <c r="Y93" i="1" s="1"/>
  <c r="AC93" i="1" s="1"/>
  <c r="EB235" i="1"/>
  <c r="Y235" i="1" s="1"/>
  <c r="EB229" i="1"/>
  <c r="Y229" i="1" s="1"/>
  <c r="EB59" i="1"/>
  <c r="Y59" i="1" s="1"/>
  <c r="AC59" i="1" s="1"/>
  <c r="EB160" i="1"/>
  <c r="Y160" i="1" s="1"/>
  <c r="AC160" i="1" s="1"/>
  <c r="EB159" i="1"/>
  <c r="Y159" i="1" s="1"/>
  <c r="AC159" i="1" s="1"/>
  <c r="EB60" i="1"/>
  <c r="Y60" i="1" s="1"/>
  <c r="AC60" i="1" s="1"/>
  <c r="EB236" i="1"/>
  <c r="Y236" i="1" s="1"/>
  <c r="EB111" i="1"/>
  <c r="Y111" i="1" s="1"/>
  <c r="AC111" i="1" s="1"/>
  <c r="EB110" i="1"/>
  <c r="Y110" i="1" s="1"/>
  <c r="AC110" i="1" s="1"/>
  <c r="EB218" i="1"/>
  <c r="Y218" i="1" s="1"/>
  <c r="EB234" i="1"/>
  <c r="Y234" i="1" s="1"/>
  <c r="EB231" i="1"/>
  <c r="Y231" i="1" s="1"/>
  <c r="EB230" i="1"/>
  <c r="Y230" i="1" s="1"/>
  <c r="EB45" i="1"/>
  <c r="Y45" i="1" s="1"/>
  <c r="EB43" i="1"/>
  <c r="Y43" i="1" s="1"/>
  <c r="EB42" i="1"/>
  <c r="Y42" i="1" s="1"/>
  <c r="EB41" i="1"/>
  <c r="Y41" i="1" s="1"/>
  <c r="EB197" i="1"/>
  <c r="Y197" i="1" s="1"/>
  <c r="AC197" i="1" s="1"/>
  <c r="EB222" i="1"/>
  <c r="Y222" i="1" s="1"/>
  <c r="AC222" i="1" s="1"/>
  <c r="EB221" i="1"/>
  <c r="Y221" i="1" s="1"/>
  <c r="EB223" i="1"/>
  <c r="Y223" i="1" s="1"/>
  <c r="AC223" i="1" s="1"/>
  <c r="EB224" i="1"/>
  <c r="Y224" i="1" s="1"/>
  <c r="AC224" i="1" s="1"/>
  <c r="EB214" i="1"/>
  <c r="Y214" i="1" s="1"/>
  <c r="AC214" i="1" s="1"/>
  <c r="EB213" i="1"/>
  <c r="Y213" i="1" s="1"/>
  <c r="AC213" i="1" s="1"/>
  <c r="EB212" i="1"/>
  <c r="Y212" i="1" s="1"/>
  <c r="AC212" i="1" s="1"/>
  <c r="EB215" i="1"/>
  <c r="Y215" i="1" s="1"/>
  <c r="AC215" i="1" s="1"/>
  <c r="EB207" i="1"/>
  <c r="Y207" i="1" s="1"/>
  <c r="AC207" i="1" s="1"/>
  <c r="EB205" i="1"/>
  <c r="Y205" i="1" s="1"/>
  <c r="AC205" i="1" s="1"/>
  <c r="EB206" i="1"/>
  <c r="Y206" i="1" s="1"/>
  <c r="AC206" i="1" s="1"/>
  <c r="EB201" i="1"/>
  <c r="Y201" i="1" s="1"/>
  <c r="EB198" i="1"/>
  <c r="Y198" i="1" s="1"/>
  <c r="AC198" i="1" s="1"/>
  <c r="EB196" i="1"/>
  <c r="Y196" i="1" s="1"/>
  <c r="AC196" i="1" s="1"/>
  <c r="EB195" i="1"/>
  <c r="Y195" i="1" s="1"/>
  <c r="AC195" i="1" s="1"/>
  <c r="EB128" i="1"/>
  <c r="Y128" i="1" s="1"/>
  <c r="AC128" i="1" s="1"/>
  <c r="EB130" i="1"/>
  <c r="Y130" i="1" s="1"/>
  <c r="AC130" i="1" s="1"/>
  <c r="EB129" i="1"/>
  <c r="Y129" i="1" s="1"/>
  <c r="AC129" i="1" s="1"/>
  <c r="EB127" i="1"/>
  <c r="EB78" i="1"/>
  <c r="Y78" i="1" s="1"/>
  <c r="AC78" i="1" s="1"/>
  <c r="EB79" i="1"/>
  <c r="Y79" i="1" s="1"/>
  <c r="AC79" i="1" s="1"/>
  <c r="EB77" i="1"/>
  <c r="Y77" i="1" s="1"/>
  <c r="AC77" i="1" s="1"/>
  <c r="EB76" i="1"/>
  <c r="Y76" i="1" s="1"/>
  <c r="AC76" i="1" s="1"/>
  <c r="EB61" i="1"/>
  <c r="Y61" i="1" s="1"/>
  <c r="AC61" i="1" s="1"/>
  <c r="EB92" i="1"/>
  <c r="Y92" i="1" s="1"/>
  <c r="AC92" i="1" s="1"/>
  <c r="EB91" i="1"/>
  <c r="Y91" i="1" s="1"/>
  <c r="AC91" i="1" s="1"/>
  <c r="EB90" i="1"/>
  <c r="Y90" i="1" s="1"/>
  <c r="AC90" i="1" s="1"/>
  <c r="EB190" i="1"/>
  <c r="Y190" i="1" s="1"/>
  <c r="AC190" i="1" s="1"/>
  <c r="EB189" i="1"/>
  <c r="Y189" i="1" s="1"/>
  <c r="AC189" i="1" s="1"/>
  <c r="EB188" i="1"/>
  <c r="Y188" i="1" s="1"/>
  <c r="AC188" i="1" s="1"/>
  <c r="EB150" i="1"/>
  <c r="Y150" i="1" s="1"/>
  <c r="AC150" i="1" s="1"/>
  <c r="EB178" i="1"/>
  <c r="Y178" i="1" s="1"/>
  <c r="AC178" i="1" s="1"/>
  <c r="EB187" i="1"/>
  <c r="Y187" i="1" s="1"/>
  <c r="EB152" i="1"/>
  <c r="Y152" i="1" s="1"/>
  <c r="AC152" i="1" s="1"/>
  <c r="EB151" i="1"/>
  <c r="Y151" i="1" s="1"/>
  <c r="AC151" i="1" s="1"/>
  <c r="EB153" i="1"/>
  <c r="Y153" i="1" s="1"/>
  <c r="AC153" i="1" s="1"/>
  <c r="EB99" i="1"/>
  <c r="Y99" i="1" s="1"/>
  <c r="AC99" i="1" s="1"/>
  <c r="EB98" i="1"/>
  <c r="Y98" i="1" s="1"/>
  <c r="AC98" i="1" s="1"/>
  <c r="EB97" i="1"/>
  <c r="Y97" i="1" s="1"/>
  <c r="EB103" i="1"/>
  <c r="Y103" i="1" s="1"/>
  <c r="AC103" i="1" s="1"/>
  <c r="EB101" i="1"/>
  <c r="Y101" i="1" s="1"/>
  <c r="AC101" i="1" s="1"/>
  <c r="EB100" i="1"/>
  <c r="Y100" i="1" s="1"/>
  <c r="AC100" i="1" s="1"/>
  <c r="EB102" i="1"/>
  <c r="Y102" i="1" s="1"/>
  <c r="AC102" i="1" s="1"/>
  <c r="EB104" i="1"/>
  <c r="Y104" i="1" s="1"/>
  <c r="AC104" i="1" s="1"/>
  <c r="EB80" i="1"/>
  <c r="Y80" i="1" s="1"/>
  <c r="AC80" i="1" s="1"/>
  <c r="EB158" i="1"/>
  <c r="Y158" i="1" s="1"/>
  <c r="AC158" i="1" s="1"/>
  <c r="EB67" i="1"/>
  <c r="Y67" i="1" s="1"/>
  <c r="AC67" i="1" s="1"/>
  <c r="EB120" i="1"/>
  <c r="Y120" i="1" s="1"/>
  <c r="AC120" i="1" s="1"/>
  <c r="EB109" i="1"/>
  <c r="EB162" i="1"/>
  <c r="Y162" i="1" s="1"/>
  <c r="AC162" i="1" s="1"/>
  <c r="EB113" i="1"/>
  <c r="Y113" i="1" s="1"/>
  <c r="AC113" i="1" s="1"/>
  <c r="EB64" i="1"/>
  <c r="Y64" i="1" s="1"/>
  <c r="AC64" i="1" s="1"/>
  <c r="EB58" i="1"/>
  <c r="Y58" i="1" s="1"/>
  <c r="AC58" i="1" s="1"/>
  <c r="EB62" i="1"/>
  <c r="Y62" i="1" s="1"/>
  <c r="AC62" i="1" s="1"/>
  <c r="AC36" i="1" l="1"/>
  <c r="O50" i="2" s="1"/>
  <c r="M50" i="2"/>
  <c r="AC97" i="1"/>
  <c r="AC41" i="1"/>
  <c r="O54" i="2" s="1"/>
  <c r="AC221" i="1"/>
  <c r="AC187" i="1"/>
  <c r="M55" i="2"/>
  <c r="AC42" i="1"/>
  <c r="O55" i="2" s="1"/>
  <c r="M56" i="2"/>
  <c r="AC43" i="1"/>
  <c r="O56" i="2" s="1"/>
  <c r="Y202" i="1"/>
  <c r="AC201" i="1"/>
  <c r="M58" i="2"/>
  <c r="AC45" i="1"/>
  <c r="O58" i="2" s="1"/>
  <c r="Y219" i="1"/>
  <c r="AC218" i="1"/>
  <c r="Y109" i="1"/>
  <c r="EB125" i="1"/>
  <c r="Y127" i="1"/>
  <c r="AC127" i="1" s="1"/>
  <c r="EB147" i="1"/>
  <c r="Y172" i="1"/>
  <c r="Y74" i="1"/>
  <c r="Y95" i="1"/>
  <c r="Y199" i="1"/>
  <c r="Y216" i="1"/>
  <c r="Y185" i="1"/>
  <c r="M54" i="2"/>
  <c r="Y105" i="1"/>
  <c r="Y225" i="1"/>
  <c r="Y191" i="1"/>
  <c r="AC191" i="1" s="1"/>
  <c r="O81" i="2" s="1"/>
  <c r="M80" i="2" l="1"/>
  <c r="AC185" i="1"/>
  <c r="O80" i="2" s="1"/>
  <c r="M71" i="2"/>
  <c r="AC74" i="1"/>
  <c r="O71" i="2" s="1"/>
  <c r="M89" i="2"/>
  <c r="AC225" i="1"/>
  <c r="O89" i="2" s="1"/>
  <c r="M87" i="2"/>
  <c r="AC216" i="1"/>
  <c r="O87" i="2" s="1"/>
  <c r="M79" i="2"/>
  <c r="AC172" i="1"/>
  <c r="O79" i="2" s="1"/>
  <c r="M73" i="2"/>
  <c r="AC105" i="1"/>
  <c r="O73" i="2" s="1"/>
  <c r="M83" i="2"/>
  <c r="AC199" i="1"/>
  <c r="O83" i="2" s="1"/>
  <c r="M72" i="2"/>
  <c r="AC95" i="1"/>
  <c r="O72" i="2" s="1"/>
  <c r="M88" i="2"/>
  <c r="AC219" i="1"/>
  <c r="O88" i="2" s="1"/>
  <c r="M84" i="2"/>
  <c r="AC202" i="1"/>
  <c r="O84" i="2" s="1"/>
  <c r="Y147" i="1"/>
  <c r="Y125" i="1"/>
  <c r="AC109" i="1"/>
  <c r="M81" i="2"/>
  <c r="L81" i="2"/>
  <c r="L94" i="2" s="1"/>
  <c r="W38" i="1"/>
  <c r="M75" i="2" l="1"/>
  <c r="M92" i="2" s="1"/>
  <c r="AC125" i="1"/>
  <c r="O75" i="2" s="1"/>
  <c r="O92" i="2" s="1"/>
  <c r="M76" i="2"/>
  <c r="M93" i="2" s="1"/>
  <c r="AC147" i="1"/>
  <c r="O76" i="2" s="1"/>
  <c r="O93" i="2" s="1"/>
  <c r="AR38" i="1"/>
  <c r="AF38" i="1"/>
  <c r="AE38" i="1"/>
  <c r="DC38" i="1"/>
  <c r="DR38" i="1"/>
  <c r="DB38" i="1"/>
  <c r="CL38" i="1"/>
  <c r="BV38" i="1"/>
  <c r="BF38" i="1"/>
  <c r="AP38" i="1"/>
  <c r="DO38" i="1"/>
  <c r="CE38" i="1"/>
  <c r="DU38" i="1"/>
  <c r="DE38" i="1"/>
  <c r="CO38" i="1"/>
  <c r="BY38" i="1"/>
  <c r="BI38" i="1"/>
  <c r="AS38" i="1"/>
  <c r="DW38" i="1"/>
  <c r="BK38" i="1"/>
  <c r="AI38" i="1"/>
  <c r="DP38" i="1"/>
  <c r="CZ38" i="1"/>
  <c r="CJ38" i="1"/>
  <c r="BT38" i="1"/>
  <c r="BD38" i="1"/>
  <c r="AN38" i="1"/>
  <c r="CQ38" i="1"/>
  <c r="AQ38" i="1"/>
  <c r="DN38" i="1"/>
  <c r="CX38" i="1"/>
  <c r="CH38" i="1"/>
  <c r="BR38" i="1"/>
  <c r="BB38" i="1"/>
  <c r="AL38" i="1"/>
  <c r="DG38" i="1"/>
  <c r="BO38" i="1"/>
  <c r="DQ38" i="1"/>
  <c r="DA38" i="1"/>
  <c r="CK38" i="1"/>
  <c r="BU38" i="1"/>
  <c r="BE38" i="1"/>
  <c r="AO38" i="1"/>
  <c r="CY38" i="1"/>
  <c r="BC38" i="1"/>
  <c r="EB38" i="1"/>
  <c r="DL38" i="1"/>
  <c r="CV38" i="1"/>
  <c r="CF38" i="1"/>
  <c r="BP38" i="1"/>
  <c r="AZ38" i="1"/>
  <c r="AJ38" i="1"/>
  <c r="DS38" i="1"/>
  <c r="CA38" i="1"/>
  <c r="DZ38" i="1"/>
  <c r="DJ38" i="1"/>
  <c r="CT38" i="1"/>
  <c r="CD38" i="1"/>
  <c r="BN38" i="1"/>
  <c r="AX38" i="1"/>
  <c r="AH38" i="1"/>
  <c r="CU38" i="1"/>
  <c r="AY38" i="1"/>
  <c r="DM38" i="1"/>
  <c r="CW38" i="1"/>
  <c r="CG38" i="1"/>
  <c r="BQ38" i="1"/>
  <c r="BA38" i="1"/>
  <c r="AK38" i="1"/>
  <c r="CI38" i="1"/>
  <c r="AU38" i="1"/>
  <c r="DX38" i="1"/>
  <c r="DH38" i="1"/>
  <c r="CR38" i="1"/>
  <c r="CB38" i="1"/>
  <c r="BL38" i="1"/>
  <c r="AV38" i="1"/>
  <c r="BG38" i="1"/>
  <c r="DK38" i="1"/>
  <c r="BS38" i="1"/>
  <c r="DV38" i="1"/>
  <c r="DF38" i="1"/>
  <c r="CP38" i="1"/>
  <c r="BZ38" i="1"/>
  <c r="BJ38" i="1"/>
  <c r="AT38" i="1"/>
  <c r="EA38" i="1"/>
  <c r="CM38" i="1"/>
  <c r="DY38" i="1"/>
  <c r="DI38" i="1"/>
  <c r="CS38" i="1"/>
  <c r="CC38" i="1"/>
  <c r="BM38" i="1"/>
  <c r="AW38" i="1"/>
  <c r="AG38" i="1"/>
  <c r="BW38" i="1"/>
  <c r="AM38" i="1"/>
  <c r="DT38" i="1"/>
  <c r="DD38" i="1"/>
  <c r="CN38" i="1"/>
  <c r="BX38" i="1"/>
  <c r="BH38" i="1"/>
  <c r="Y38" i="1" l="1"/>
  <c r="AC38" i="1" l="1"/>
  <c r="O51" i="2" s="1"/>
  <c r="M51" i="2"/>
  <c r="W39" i="1"/>
  <c r="DB39" i="1" s="1"/>
  <c r="AE39" i="1" l="1"/>
  <c r="AM39" i="1"/>
  <c r="BT39" i="1"/>
  <c r="BI39" i="1"/>
  <c r="DE39" i="1"/>
  <c r="DP39" i="1"/>
  <c r="CZ39" i="1"/>
  <c r="DD39" i="1"/>
  <c r="DY39" i="1"/>
  <c r="BA39" i="1"/>
  <c r="DZ39" i="1"/>
  <c r="BF39" i="1"/>
  <c r="DT39" i="1"/>
  <c r="AP39" i="1"/>
  <c r="BW39" i="1"/>
  <c r="CL39" i="1"/>
  <c r="AQ39" i="1"/>
  <c r="CN39" i="1"/>
  <c r="CY39" i="1"/>
  <c r="CI39" i="1"/>
  <c r="DL39" i="1"/>
  <c r="CH39" i="1"/>
  <c r="BE39" i="1"/>
  <c r="BZ39" i="1"/>
  <c r="EB39" i="1"/>
  <c r="BJ39" i="1"/>
  <c r="DX39" i="1"/>
  <c r="DF39" i="1"/>
  <c r="BG39" i="1"/>
  <c r="BN39" i="1"/>
  <c r="EA39" i="1"/>
  <c r="BM39" i="1"/>
  <c r="DA39" i="1"/>
  <c r="DG39" i="1"/>
  <c r="AS39" i="1"/>
  <c r="CE39" i="1"/>
  <c r="CJ39" i="1"/>
  <c r="BP39" i="1"/>
  <c r="DJ39" i="1"/>
  <c r="BX39" i="1"/>
  <c r="DI39" i="1"/>
  <c r="BR39" i="1"/>
  <c r="BD39" i="1"/>
  <c r="CO39" i="1"/>
  <c r="AL39" i="1"/>
  <c r="AJ39" i="1"/>
  <c r="CT39" i="1"/>
  <c r="BH39" i="1"/>
  <c r="CS39" i="1"/>
  <c r="BB39" i="1"/>
  <c r="AN39" i="1"/>
  <c r="BY39" i="1"/>
  <c r="BC39" i="1"/>
  <c r="CC39" i="1"/>
  <c r="CR39" i="1"/>
  <c r="CW39" i="1"/>
  <c r="BO39" i="1"/>
  <c r="CV39" i="1"/>
  <c r="AO39" i="1"/>
  <c r="AU39" i="1"/>
  <c r="DC39" i="1"/>
  <c r="AT39" i="1"/>
  <c r="BK39" i="1"/>
  <c r="CX39" i="1"/>
  <c r="AX39" i="1"/>
  <c r="DK39" i="1"/>
  <c r="AW39" i="1"/>
  <c r="CK39" i="1"/>
  <c r="CQ39" i="1"/>
  <c r="AF39" i="1"/>
  <c r="BS39" i="1"/>
  <c r="DQ39" i="1"/>
  <c r="AH39" i="1"/>
  <c r="CU39" i="1"/>
  <c r="AG39" i="1"/>
  <c r="BU39" i="1"/>
  <c r="CA39" i="1"/>
  <c r="DM39" i="1"/>
  <c r="DN39" i="1"/>
  <c r="DO39" i="1"/>
  <c r="AK39" i="1"/>
  <c r="CP39" i="1"/>
  <c r="CM39" i="1"/>
  <c r="DR39" i="1"/>
  <c r="BV39" i="1"/>
  <c r="CD39" i="1"/>
  <c r="DS39" i="1"/>
  <c r="DU39" i="1"/>
  <c r="CB39" i="1"/>
  <c r="CG39" i="1"/>
  <c r="AY39" i="1"/>
  <c r="CF39" i="1"/>
  <c r="DH39" i="1"/>
  <c r="DV39" i="1"/>
  <c r="AR39" i="1"/>
  <c r="DW39" i="1"/>
  <c r="AV39" i="1"/>
  <c r="BQ39" i="1"/>
  <c r="AI39" i="1"/>
  <c r="AZ39" i="1"/>
  <c r="BL39" i="1"/>
  <c r="Y39" i="1" l="1"/>
  <c r="AC39" i="1" l="1"/>
  <c r="O52" i="2" s="1"/>
  <c r="M52" i="2"/>
  <c r="W40" i="1"/>
  <c r="CK40" i="1" s="1"/>
  <c r="CV40" i="1" l="1"/>
  <c r="CR40" i="1"/>
  <c r="BZ40" i="1"/>
  <c r="CF40" i="1"/>
  <c r="EA40" i="1"/>
  <c r="DQ40" i="1"/>
  <c r="CC40" i="1"/>
  <c r="BC40" i="1"/>
  <c r="CH40" i="1"/>
  <c r="DY40" i="1"/>
  <c r="AP40" i="1"/>
  <c r="AI40" i="1"/>
  <c r="CI40" i="1"/>
  <c r="AJ40" i="1"/>
  <c r="AS40" i="1"/>
  <c r="DI40" i="1"/>
  <c r="DN40" i="1"/>
  <c r="BH40" i="1"/>
  <c r="CM40" i="1"/>
  <c r="DC40" i="1"/>
  <c r="BV40" i="1"/>
  <c r="CB40" i="1"/>
  <c r="DK40" i="1"/>
  <c r="BE40" i="1"/>
  <c r="DV40" i="1"/>
  <c r="EB40" i="1"/>
  <c r="CJ40" i="1"/>
  <c r="BY40" i="1"/>
  <c r="CG40" i="1"/>
  <c r="DG40" i="1"/>
  <c r="BD40" i="1"/>
  <c r="BM40" i="1"/>
  <c r="AM40" i="1"/>
  <c r="DU40" i="1"/>
  <c r="BN40" i="1"/>
  <c r="BR40" i="1"/>
  <c r="BX40" i="1"/>
  <c r="CP40" i="1"/>
  <c r="BS40" i="1"/>
  <c r="BU40" i="1"/>
  <c r="AY40" i="1"/>
  <c r="DP40" i="1"/>
  <c r="BQ40" i="1"/>
  <c r="CU40" i="1"/>
  <c r="DJ40" i="1"/>
  <c r="CN40" i="1"/>
  <c r="CT40" i="1"/>
  <c r="AV40" i="1"/>
  <c r="CY40" i="1"/>
  <c r="AE40" i="1"/>
  <c r="CQ40" i="1"/>
  <c r="AQ40" i="1"/>
  <c r="AN40" i="1"/>
  <c r="DW40" i="1"/>
  <c r="AX40" i="1"/>
  <c r="BB40" i="1"/>
  <c r="CD40" i="1"/>
  <c r="CS40" i="1"/>
  <c r="AG40" i="1"/>
  <c r="CE40" i="1"/>
  <c r="BO40" i="1"/>
  <c r="CX40" i="1"/>
  <c r="DD40" i="1"/>
  <c r="BJ40" i="1"/>
  <c r="BP40" i="1"/>
  <c r="DR40" i="1"/>
  <c r="DX40" i="1"/>
  <c r="CZ40" i="1"/>
  <c r="DA40" i="1"/>
  <c r="DF40" i="1"/>
  <c r="DL40" i="1"/>
  <c r="DS40" i="1"/>
  <c r="BI40" i="1"/>
  <c r="AK40" i="1"/>
  <c r="CA40" i="1"/>
  <c r="DT40" i="1"/>
  <c r="AF40" i="1"/>
  <c r="AW40" i="1"/>
  <c r="DE40" i="1"/>
  <c r="CW40" i="1"/>
  <c r="CL40" i="1"/>
  <c r="DO40" i="1"/>
  <c r="AU40" i="1"/>
  <c r="BG40" i="1"/>
  <c r="AH40" i="1"/>
  <c r="BA40" i="1"/>
  <c r="CO40" i="1"/>
  <c r="DM40" i="1"/>
  <c r="AL40" i="1"/>
  <c r="AR40" i="1"/>
  <c r="BK40" i="1"/>
  <c r="DZ40" i="1"/>
  <c r="BF40" i="1"/>
  <c r="BL40" i="1"/>
  <c r="BW40" i="1"/>
  <c r="AO40" i="1"/>
  <c r="AT40" i="1"/>
  <c r="AZ40" i="1"/>
  <c r="DB40" i="1"/>
  <c r="DH40" i="1"/>
  <c r="BT40" i="1"/>
  <c r="Y40" i="1" l="1"/>
  <c r="AC40" i="1" l="1"/>
  <c r="O53" i="2" s="1"/>
  <c r="M53" i="2"/>
  <c r="AJ46" i="1"/>
  <c r="EA46" i="1" l="1"/>
  <c r="BK46" i="1"/>
  <c r="DQ46" i="1"/>
  <c r="CK46" i="1"/>
  <c r="BE46" i="1"/>
  <c r="BF46" i="1"/>
  <c r="DH46" i="1"/>
  <c r="CB46" i="1"/>
  <c r="AV46" i="1"/>
  <c r="DW46" i="1"/>
  <c r="CM46" i="1"/>
  <c r="BG46" i="1"/>
  <c r="DN46" i="1"/>
  <c r="BJ46" i="1"/>
  <c r="DM46" i="1"/>
  <c r="CG46" i="1"/>
  <c r="BA46" i="1"/>
  <c r="DR46" i="1"/>
  <c r="AX46" i="1"/>
  <c r="DD46" i="1"/>
  <c r="BX46" i="1"/>
  <c r="AR46" i="1"/>
  <c r="CQ46" i="1"/>
  <c r="DV46" i="1"/>
  <c r="BV46" i="1"/>
  <c r="DZ46" i="1"/>
  <c r="AE46" i="1"/>
  <c r="DG46" i="1"/>
  <c r="CA46" i="1"/>
  <c r="AU46" i="1"/>
  <c r="CX46" i="1"/>
  <c r="AL46" i="1"/>
  <c r="DA46" i="1"/>
  <c r="BU46" i="1"/>
  <c r="AO46" i="1"/>
  <c r="CH46" i="1"/>
  <c r="DX46" i="1"/>
  <c r="CR46" i="1"/>
  <c r="BL46" i="1"/>
  <c r="AF46" i="1"/>
  <c r="DC46" i="1"/>
  <c r="BW46" i="1"/>
  <c r="AQ46" i="1"/>
  <c r="CT46" i="1"/>
  <c r="AH46" i="1"/>
  <c r="CW46" i="1"/>
  <c r="BQ46" i="1"/>
  <c r="AK46" i="1"/>
  <c r="BZ46" i="1"/>
  <c r="DT46" i="1"/>
  <c r="CN46" i="1"/>
  <c r="BH46" i="1"/>
  <c r="DO46" i="1"/>
  <c r="CY46" i="1"/>
  <c r="CI46" i="1"/>
  <c r="BS46" i="1"/>
  <c r="BC46" i="1"/>
  <c r="AM46" i="1"/>
  <c r="DJ46" i="1"/>
  <c r="CL46" i="1"/>
  <c r="BB46" i="1"/>
  <c r="DY46" i="1"/>
  <c r="DI46" i="1"/>
  <c r="CS46" i="1"/>
  <c r="CC46" i="1"/>
  <c r="BM46" i="1"/>
  <c r="AW46" i="1"/>
  <c r="AG46" i="1"/>
  <c r="DF46" i="1"/>
  <c r="BR46" i="1"/>
  <c r="AP46" i="1"/>
  <c r="DP46" i="1"/>
  <c r="CZ46" i="1"/>
  <c r="CJ46" i="1"/>
  <c r="BT46" i="1"/>
  <c r="BD46" i="1"/>
  <c r="AN46" i="1"/>
  <c r="DK46" i="1"/>
  <c r="CU46" i="1"/>
  <c r="CE46" i="1"/>
  <c r="BO46" i="1"/>
  <c r="AY46" i="1"/>
  <c r="AI46" i="1"/>
  <c r="DB46" i="1"/>
  <c r="CD46" i="1"/>
  <c r="AT46" i="1"/>
  <c r="DU46" i="1"/>
  <c r="DE46" i="1"/>
  <c r="CO46" i="1"/>
  <c r="BY46" i="1"/>
  <c r="BI46" i="1"/>
  <c r="AS46" i="1"/>
  <c r="DS46" i="1"/>
  <c r="CP46" i="1"/>
  <c r="BN46" i="1"/>
  <c r="EB46" i="1"/>
  <c r="DL46" i="1"/>
  <c r="CV46" i="1"/>
  <c r="CF46" i="1"/>
  <c r="BP46" i="1"/>
  <c r="AZ46" i="1"/>
  <c r="Y46" i="1" l="1"/>
  <c r="AN149" i="1"/>
  <c r="M59" i="2" l="1"/>
  <c r="AC46" i="1"/>
  <c r="O59" i="2" s="1"/>
  <c r="CI149" i="1"/>
  <c r="BK149" i="1"/>
  <c r="CV149" i="1"/>
  <c r="DZ149" i="1"/>
  <c r="DJ149" i="1"/>
  <c r="CD149" i="1"/>
  <c r="BN149" i="1"/>
  <c r="AX149" i="1"/>
  <c r="AH149" i="1"/>
  <c r="CQ149" i="1"/>
  <c r="AY149" i="1"/>
  <c r="DU149" i="1"/>
  <c r="DE149" i="1"/>
  <c r="CO149" i="1"/>
  <c r="BY149" i="1"/>
  <c r="BI149" i="1"/>
  <c r="AS149" i="1"/>
  <c r="DS149" i="1"/>
  <c r="CA149" i="1"/>
  <c r="DX149" i="1"/>
  <c r="DH149" i="1"/>
  <c r="CR149" i="1"/>
  <c r="CB149" i="1"/>
  <c r="BL149" i="1"/>
  <c r="AV149" i="1"/>
  <c r="AF149" i="1"/>
  <c r="AI149" i="1"/>
  <c r="CX149" i="1"/>
  <c r="BR149" i="1"/>
  <c r="DC149" i="1"/>
  <c r="DI149" i="1"/>
  <c r="CC149" i="1"/>
  <c r="BM149" i="1"/>
  <c r="AG149" i="1"/>
  <c r="EB149" i="1"/>
  <c r="CF149" i="1"/>
  <c r="AJ149" i="1"/>
  <c r="BW149" i="1"/>
  <c r="CT149" i="1"/>
  <c r="DK149" i="1"/>
  <c r="BO149" i="1"/>
  <c r="DV149" i="1"/>
  <c r="DF149" i="1"/>
  <c r="CP149" i="1"/>
  <c r="BZ149" i="1"/>
  <c r="BJ149" i="1"/>
  <c r="AT149" i="1"/>
  <c r="EA149" i="1"/>
  <c r="CE149" i="1"/>
  <c r="AU149" i="1"/>
  <c r="DQ149" i="1"/>
  <c r="DA149" i="1"/>
  <c r="CK149" i="1"/>
  <c r="BU149" i="1"/>
  <c r="BE149" i="1"/>
  <c r="AO149" i="1"/>
  <c r="DG149" i="1"/>
  <c r="BC149" i="1"/>
  <c r="DT149" i="1"/>
  <c r="DD149" i="1"/>
  <c r="CN149" i="1"/>
  <c r="BX149" i="1"/>
  <c r="BH149" i="1"/>
  <c r="AR149" i="1"/>
  <c r="DN149" i="1"/>
  <c r="CH149" i="1"/>
  <c r="BB149" i="1"/>
  <c r="AL149" i="1"/>
  <c r="DY149" i="1"/>
  <c r="CS149" i="1"/>
  <c r="AW149" i="1"/>
  <c r="CM149" i="1"/>
  <c r="DL149" i="1"/>
  <c r="BP149" i="1"/>
  <c r="AZ149" i="1"/>
  <c r="DW149" i="1"/>
  <c r="AE149" i="1"/>
  <c r="CU149" i="1"/>
  <c r="BG149" i="1"/>
  <c r="DR149" i="1"/>
  <c r="DB149" i="1"/>
  <c r="CL149" i="1"/>
  <c r="BV149" i="1"/>
  <c r="BF149" i="1"/>
  <c r="AP149" i="1"/>
  <c r="DO149" i="1"/>
  <c r="BS149" i="1"/>
  <c r="AM149" i="1"/>
  <c r="DM149" i="1"/>
  <c r="CW149" i="1"/>
  <c r="CG149" i="1"/>
  <c r="BQ149" i="1"/>
  <c r="BA149" i="1"/>
  <c r="AK149" i="1"/>
  <c r="CY149" i="1"/>
  <c r="AQ149" i="1"/>
  <c r="DP149" i="1"/>
  <c r="CZ149" i="1"/>
  <c r="CJ149" i="1"/>
  <c r="BT149" i="1"/>
  <c r="BD149" i="1"/>
  <c r="Y149" i="1" l="1"/>
  <c r="W204" i="1"/>
  <c r="AR204" i="1" s="1"/>
  <c r="Y154" i="1" l="1"/>
  <c r="AC149" i="1"/>
  <c r="AE204" i="1"/>
  <c r="CY204" i="1"/>
  <c r="AQ204" i="1"/>
  <c r="BZ204" i="1"/>
  <c r="DI204" i="1"/>
  <c r="DF204" i="1"/>
  <c r="BD204" i="1"/>
  <c r="EA204" i="1"/>
  <c r="DV204" i="1"/>
  <c r="BJ204" i="1"/>
  <c r="CS204" i="1"/>
  <c r="AG204" i="1"/>
  <c r="BT204" i="1"/>
  <c r="BO204" i="1"/>
  <c r="AT204" i="1"/>
  <c r="CC204" i="1"/>
  <c r="DP204" i="1"/>
  <c r="CM204" i="1"/>
  <c r="CQ204" i="1"/>
  <c r="CP204" i="1"/>
  <c r="DY204" i="1"/>
  <c r="BM204" i="1"/>
  <c r="CZ204" i="1"/>
  <c r="AN204" i="1"/>
  <c r="AW204" i="1"/>
  <c r="CJ204" i="1"/>
  <c r="BW204" i="1"/>
  <c r="CI204" i="1"/>
  <c r="DK204" i="1"/>
  <c r="AY204" i="1"/>
  <c r="CA204" i="1"/>
  <c r="AM204" i="1"/>
  <c r="DR204" i="1"/>
  <c r="DB204" i="1"/>
  <c r="CL204" i="1"/>
  <c r="BV204" i="1"/>
  <c r="BF204" i="1"/>
  <c r="AP204" i="1"/>
  <c r="DU204" i="1"/>
  <c r="DE204" i="1"/>
  <c r="CO204" i="1"/>
  <c r="BY204" i="1"/>
  <c r="BI204" i="1"/>
  <c r="AS204" i="1"/>
  <c r="EB204" i="1"/>
  <c r="DL204" i="1"/>
  <c r="CV204" i="1"/>
  <c r="CF204" i="1"/>
  <c r="BP204" i="1"/>
  <c r="AZ204" i="1"/>
  <c r="AJ204" i="1"/>
  <c r="DS204" i="1"/>
  <c r="BG204" i="1"/>
  <c r="BS204" i="1"/>
  <c r="CU204" i="1"/>
  <c r="DW204" i="1"/>
  <c r="BK204" i="1"/>
  <c r="AI204" i="1"/>
  <c r="DN204" i="1"/>
  <c r="CX204" i="1"/>
  <c r="CH204" i="1"/>
  <c r="BR204" i="1"/>
  <c r="BB204" i="1"/>
  <c r="AL204" i="1"/>
  <c r="DQ204" i="1"/>
  <c r="DA204" i="1"/>
  <c r="CK204" i="1"/>
  <c r="BU204" i="1"/>
  <c r="BE204" i="1"/>
  <c r="AO204" i="1"/>
  <c r="DX204" i="1"/>
  <c r="DH204" i="1"/>
  <c r="CR204" i="1"/>
  <c r="CB204" i="1"/>
  <c r="BL204" i="1"/>
  <c r="AV204" i="1"/>
  <c r="AF204" i="1"/>
  <c r="DC204" i="1"/>
  <c r="DO204" i="1"/>
  <c r="BC204" i="1"/>
  <c r="CE204" i="1"/>
  <c r="DG204" i="1"/>
  <c r="AU204" i="1"/>
  <c r="DZ204" i="1"/>
  <c r="DJ204" i="1"/>
  <c r="CT204" i="1"/>
  <c r="CD204" i="1"/>
  <c r="BN204" i="1"/>
  <c r="AX204" i="1"/>
  <c r="AH204" i="1"/>
  <c r="DM204" i="1"/>
  <c r="CW204" i="1"/>
  <c r="CG204" i="1"/>
  <c r="BQ204" i="1"/>
  <c r="BA204" i="1"/>
  <c r="AK204" i="1"/>
  <c r="DT204" i="1"/>
  <c r="DD204" i="1"/>
  <c r="CN204" i="1"/>
  <c r="BX204" i="1"/>
  <c r="BH204" i="1"/>
  <c r="M77" i="2" l="1"/>
  <c r="AC154" i="1"/>
  <c r="O77" i="2" s="1"/>
  <c r="Y204" i="1"/>
  <c r="AC204" i="1" l="1"/>
  <c r="Y208" i="1"/>
  <c r="AE31" i="1"/>
  <c r="AK31" i="1"/>
  <c r="AG31" i="1"/>
  <c r="AL31" i="1"/>
  <c r="AM31" i="1"/>
  <c r="AJ31" i="1"/>
  <c r="AN31" i="1"/>
  <c r="AH31" i="1"/>
  <c r="AF31" i="1"/>
  <c r="AI31" i="1"/>
  <c r="M85" i="2" l="1"/>
  <c r="M94" i="2" s="1"/>
  <c r="AC208" i="1"/>
  <c r="O85" i="2" s="1"/>
  <c r="O94" i="2" s="1"/>
  <c r="AP31" i="1"/>
  <c r="AO31" i="1" l="1"/>
  <c r="AQ31" i="1" l="1"/>
  <c r="AR31" i="1" l="1"/>
  <c r="AS31" i="1" l="1"/>
  <c r="AU31" i="1"/>
  <c r="AW31" i="1" l="1"/>
  <c r="AT31" i="1"/>
  <c r="AV31" i="1" l="1"/>
  <c r="AX31" i="1" l="1"/>
  <c r="AZ31" i="1" l="1"/>
  <c r="AY31" i="1"/>
  <c r="BA31" i="1" l="1"/>
  <c r="BB31" i="1" l="1"/>
  <c r="BC31" i="1" l="1"/>
  <c r="BD31" i="1" l="1"/>
  <c r="BE31" i="1" l="1"/>
  <c r="BF31" i="1" l="1"/>
  <c r="BG31" i="1" l="1"/>
  <c r="BH31" i="1" l="1"/>
  <c r="BI31" i="1" l="1"/>
  <c r="BJ31" i="1" l="1"/>
  <c r="BK31" i="1" l="1"/>
  <c r="BL31" i="1" l="1"/>
  <c r="BM31" i="1" l="1"/>
  <c r="BN31" i="1" l="1"/>
  <c r="BO31" i="1" l="1"/>
  <c r="BP31" i="1" l="1"/>
  <c r="BQ31" i="1" l="1"/>
  <c r="BR31" i="1"/>
  <c r="Y31" i="1" l="1"/>
  <c r="Y33" i="1" l="1"/>
  <c r="AC31" i="1"/>
  <c r="M49" i="2" l="1"/>
  <c r="AC33" i="1"/>
  <c r="O49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Alberti RH (Ron)</author>
  </authors>
  <commentList>
    <comment ref="Q119" authorId="0" shapeId="0" xr:uid="{9FEF2A1A-4341-490A-A25B-140A9064BA5B}">
      <text>
        <r>
          <rPr>
            <b/>
            <sz val="9"/>
            <color indexed="81"/>
            <rFont val="Tahoma"/>
            <family val="2"/>
          </rPr>
          <t>Alberti RH (Ron):</t>
        </r>
        <r>
          <rPr>
            <sz val="9"/>
            <color indexed="81"/>
            <rFont val="Tahoma"/>
            <family val="2"/>
          </rPr>
          <t xml:space="preserve">
geluidscherm aan beide zijden? en hoe hoog?</t>
        </r>
      </text>
    </comment>
  </commentList>
</comments>
</file>

<file path=xl/sharedStrings.xml><?xml version="1.0" encoding="utf-8"?>
<sst xmlns="http://schemas.openxmlformats.org/spreadsheetml/2006/main" count="1025" uniqueCount="319">
  <si>
    <t>Thema</t>
  </si>
  <si>
    <t>Kunstwerknummer</t>
  </si>
  <si>
    <t>PGO-contractgebied</t>
  </si>
  <si>
    <t>Plaats</t>
  </si>
  <si>
    <t>Kunstwerknaam</t>
  </si>
  <si>
    <t>Bouwjaar bovenbouw</t>
  </si>
  <si>
    <t>Bouwjaar onderbouw</t>
  </si>
  <si>
    <t>Laatste inspectie/opname</t>
  </si>
  <si>
    <t>Kunstwerkpaspoort</t>
  </si>
  <si>
    <t>Programma van Eisen</t>
  </si>
  <si>
    <t>SSK-kostenraming (obv PVE)</t>
  </si>
  <si>
    <t>Omschrijving</t>
  </si>
  <si>
    <t>Kostencategorien</t>
  </si>
  <si>
    <t>Deze zijn ter verantwoording en rekening van ProRail Centraal, afdeling Projecten</t>
  </si>
  <si>
    <t>Cat. 1</t>
  </si>
  <si>
    <t>Cat. 2</t>
  </si>
  <si>
    <t>Regio Zuid</t>
  </si>
  <si>
    <t>Cat. 3</t>
  </si>
  <si>
    <t>Deze BHM zijn nodig om het risicoprofiel van het betreffende KW te verlagen</t>
  </si>
  <si>
    <t>Kosten voor de BHM opgenomen in de PVE's en dus ook in het productieplan (PP)</t>
  </si>
  <si>
    <t>Kosten voor de BHM en onderhoud om de functionaliteit van het KW te waarborgen en om degradatie v/h KW te voorkomen</t>
  </si>
  <si>
    <t>verlagen risicoprofiel</t>
  </si>
  <si>
    <t>nee</t>
  </si>
  <si>
    <t>waarborg functie</t>
  </si>
  <si>
    <t>kosten</t>
  </si>
  <si>
    <r>
      <t xml:space="preserve">Kosten voor de geadviseerde BHM die </t>
    </r>
    <r>
      <rPr>
        <u/>
        <sz val="9"/>
        <color rgb="FF000000"/>
        <rFont val="Calibri"/>
        <family val="2"/>
      </rPr>
      <t>niet</t>
    </r>
    <r>
      <rPr>
        <sz val="9"/>
        <color rgb="FF000000"/>
        <rFont val="Calibri"/>
        <family val="2"/>
      </rPr>
      <t xml:space="preserve"> zijn opgenomen in de PVE's maar wel zijn opgenomen in de KW-paspoorten </t>
    </r>
  </si>
  <si>
    <t>vervanging</t>
  </si>
  <si>
    <t>einde levensduur</t>
  </si>
  <si>
    <t>globale beschouwing constructieve veiligheid</t>
  </si>
  <si>
    <t>-</t>
  </si>
  <si>
    <t>hoev</t>
  </si>
  <si>
    <t>Onderwaterscherm wel/geen waarde</t>
  </si>
  <si>
    <t>eenh.prijs</t>
  </si>
  <si>
    <t>post</t>
  </si>
  <si>
    <t>m1</t>
  </si>
  <si>
    <t>m2</t>
  </si>
  <si>
    <t>freq</t>
  </si>
  <si>
    <t>Start looptijd PGO-contract</t>
  </si>
  <si>
    <t>Discontorente</t>
  </si>
  <si>
    <t>(Netto Contante) Waarde tabel</t>
  </si>
  <si>
    <t>(kortcyclisch onderhoud)</t>
  </si>
  <si>
    <t>(langcyclisch onderhoud, vervanging e.d.)</t>
  </si>
  <si>
    <t>Hoofddraagconstructie</t>
  </si>
  <si>
    <t>Betonnen kunstwerk</t>
  </si>
  <si>
    <t>Metselwerk kunstwerk</t>
  </si>
  <si>
    <t>Metselwerk onderbouw</t>
  </si>
  <si>
    <t>Betonnen onderbouw</t>
  </si>
  <si>
    <t>no</t>
  </si>
  <si>
    <t>go</t>
  </si>
  <si>
    <t>vv</t>
  </si>
  <si>
    <t>vervangen conservering inspectiewagen</t>
  </si>
  <si>
    <t>vervangen inspectiewagen</t>
  </si>
  <si>
    <t>Stalen kunstwerk</t>
  </si>
  <si>
    <t>herstel conservering inspectiewagen</t>
  </si>
  <si>
    <t>Uitgangspunten</t>
  </si>
  <si>
    <t>uitstel conservering</t>
  </si>
  <si>
    <t>theoretische levensduur 60 jaar</t>
  </si>
  <si>
    <t>theoretische levensduur 100 jaar</t>
  </si>
  <si>
    <t>uitstel vervanging</t>
  </si>
  <si>
    <t>vervangen conservering kunstwerk</t>
  </si>
  <si>
    <t>vervangen kunstwerk</t>
  </si>
  <si>
    <t>herstel grote gebreken betonnen kunstwerk, scheuren, aantastingen e.d.</t>
  </si>
  <si>
    <t>MEERJARENONDERHOUDSPLAN (MJOP)</t>
  </si>
  <si>
    <t>herstel grote gebreken metselwerk kunstwerk, scheuren, aantastingen e.d.</t>
  </si>
  <si>
    <t>extra onderhoud door 5 jaar uitstel vervanging kunstwerk</t>
  </si>
  <si>
    <t>extra onderhoud door 10 jaar uitstel vervanging kunstwerk</t>
  </si>
  <si>
    <t>xo</t>
  </si>
  <si>
    <t>xoc</t>
  </si>
  <si>
    <r>
      <rPr>
        <b/>
        <sz val="12"/>
        <color rgb="FF000000"/>
        <rFont val="Calibri"/>
        <family val="2"/>
      </rPr>
      <t>Σ</t>
    </r>
    <r>
      <rPr>
        <b/>
        <sz val="7.2"/>
        <color rgb="FF000000"/>
        <rFont val="Calibri"/>
        <family val="2"/>
      </rPr>
      <t xml:space="preserve"> </t>
    </r>
    <r>
      <rPr>
        <b/>
        <sz val="9"/>
        <color rgb="FF000000"/>
        <rFont val="Calibri"/>
        <family val="2"/>
      </rPr>
      <t>NCW</t>
    </r>
  </si>
  <si>
    <t>eenh.</t>
  </si>
  <si>
    <t>levensd</t>
  </si>
  <si>
    <t>theor.einde</t>
  </si>
  <si>
    <t xml:space="preserve">Maak keuze uit één van de onderstaande type kunstwerk en type onderbouw </t>
  </si>
  <si>
    <t>vervangen rubberopleggingen kunstwerk</t>
  </si>
  <si>
    <t>vervangen pot/bolsegment/rol- opleggingen kunstwerk</t>
  </si>
  <si>
    <t>st</t>
  </si>
  <si>
    <t>vervangen rubber lijnopleggingen kunstwerk</t>
  </si>
  <si>
    <t>incl. vijzelwerk</t>
  </si>
  <si>
    <t>vervangen bitumineuze voegovergangen (langcyclisch onderhoud)</t>
  </si>
  <si>
    <t>vervangen epoxy/kunststofbalk met rubber voegovergangen (langcyclisch)</t>
  </si>
  <si>
    <t>vervangen vinger-voegovergangen (langcyclisch onderhoud)</t>
  </si>
  <si>
    <t>vervangen lamellen-voegovergangen (langcyclisch)</t>
  </si>
  <si>
    <t>herstel kleine gebreken betonoppervlak, scheuren, aanrijschade e.d.</t>
  </si>
  <si>
    <t>schoonmaken betonoppervlak, graffiti, leksporen, aanslag</t>
  </si>
  <si>
    <t>aanbrengen ant-graffiti coating</t>
  </si>
  <si>
    <t>herstel grote gebreken betonoppervlak, scheuren, aantastingen e.d.</t>
  </si>
  <si>
    <t>kwaliteitsinspectie</t>
  </si>
  <si>
    <t>schoonmaken metselwerkoppervlak, graffiti, leksporen, aanslag</t>
  </si>
  <si>
    <t>herstel kleine gebreken metselwerkoppervlak, voegwerk, scheuren, aanrijschade e.d.</t>
  </si>
  <si>
    <t>extra onderhoud door &gt;10 jaar uitstel vervanging kunstwerk</t>
  </si>
  <si>
    <t>Gewapend betonnen plaat</t>
  </si>
  <si>
    <t>Voorbereiding nieuw PGO-contract</t>
  </si>
  <si>
    <t>Einde PGO-contract</t>
  </si>
  <si>
    <t>Bouwjaar constructieve uitbreiding</t>
  </si>
  <si>
    <t>Funderingsconstructie</t>
  </si>
  <si>
    <t>herstel conservering kunstwerk</t>
  </si>
  <si>
    <t>obv 25% van de conserveringskosten</t>
  </si>
  <si>
    <t>obv 35% van de conserveringskosten</t>
  </si>
  <si>
    <t>obv 50% van de conserveringskosten</t>
  </si>
  <si>
    <t>obv 2% van de vervangingskosten</t>
  </si>
  <si>
    <t>obv 4% van de vervangingskosten</t>
  </si>
  <si>
    <t>obv 7% van de vervangingskosten</t>
  </si>
  <si>
    <t>ton</t>
  </si>
  <si>
    <t>0,5 ton/m3 beton</t>
  </si>
  <si>
    <t>2,0 ton/m3 beton (LxBxD)</t>
  </si>
  <si>
    <t>Madaster (vrijkomende materialen)</t>
  </si>
  <si>
    <t>1,8 ton/m3 metselwerk</t>
  </si>
  <si>
    <t>vervangen onderbouw (incl. sloop bestaand)</t>
  </si>
  <si>
    <t>vervangen kunstwerk (incl. sloop bestaand)</t>
  </si>
  <si>
    <t>vervangingskosten (incl. sloop bestaand)</t>
  </si>
  <si>
    <t>schoonmaken staal oppervlak, graffiti, leksporen, aanslag</t>
  </si>
  <si>
    <t>schoonmaken metselwerk oppervlak, graffiti, leksporen, aanslag</t>
  </si>
  <si>
    <t>nvt</t>
  </si>
  <si>
    <t>schoonmaken beton oppervlak, graffiti, leksporen, aanslag</t>
  </si>
  <si>
    <t>Project</t>
  </si>
  <si>
    <t>Projectnummer ProRail</t>
  </si>
  <si>
    <t>Naam opsteller - functie</t>
  </si>
  <si>
    <t>Vakdiscipline</t>
  </si>
  <si>
    <t>Datum MJOP / LT</t>
  </si>
  <si>
    <t>Versie - Status</t>
  </si>
  <si>
    <t>ProRail, Grip op inspecties / Analyse kunstwerken; Opstellen PVE’s</t>
  </si>
  <si>
    <t>Nader in te vullen door ProRail</t>
  </si>
  <si>
    <t>R.H. Alberti - Adviseur civiele constructies &amp; assetmanagement</t>
  </si>
  <si>
    <t>Civiele techniek, Assetmanagement / instandhouding</t>
  </si>
  <si>
    <t>0.1 - CONCEPT</t>
  </si>
  <si>
    <t>Beheergegevens kunstwerk (input)</t>
  </si>
  <si>
    <t>Algemene gegevens</t>
  </si>
  <si>
    <t>SAP Equipmentnummer</t>
  </si>
  <si>
    <t>Geocode</t>
  </si>
  <si>
    <t>Kilometrering (km)</t>
  </si>
  <si>
    <t>Einde looptijd MJOP</t>
  </si>
  <si>
    <t>Looptijd MJOP</t>
  </si>
  <si>
    <t>Uitkomsten MJOP</t>
  </si>
  <si>
    <t>over 2,5 m hoogte onderbouw</t>
  </si>
  <si>
    <t>over zichtoppervlak betonwerk</t>
  </si>
  <si>
    <t>vervangen lijnopleggingen staal (railframe)</t>
  </si>
  <si>
    <t>Aanvullende informatie</t>
  </si>
  <si>
    <t>0,2 ton/m3 beton</t>
  </si>
  <si>
    <t>2,3 ton/m3 beton (LxBxD)</t>
  </si>
  <si>
    <t>TVP</t>
  </si>
  <si>
    <t>TVP-duur</t>
  </si>
  <si>
    <t>uitvoering</t>
  </si>
  <si>
    <t>theor.einde.levensduur:</t>
  </si>
  <si>
    <t>TVP duur</t>
  </si>
  <si>
    <r>
      <t xml:space="preserve">In de onderstaande rubrieken t.b.v. 'invoer' en 'uitkomsten' </t>
    </r>
    <r>
      <rPr>
        <b/>
        <sz val="10"/>
        <color rgb="FF000000"/>
        <rFont val="Calibri"/>
        <family val="2"/>
      </rPr>
      <t>ALLEEN</t>
    </r>
    <r>
      <rPr>
        <sz val="10"/>
        <color rgb="FF000000"/>
        <rFont val="Calibri"/>
        <family val="2"/>
      </rPr>
      <t xml:space="preserve"> de Excel-cellen met licht blauwe arcering invullen/aanpassen</t>
    </r>
  </si>
  <si>
    <t>schoonmaken voegovergangen rijdek-baan (kortcyclisch onderhoud)</t>
  </si>
  <si>
    <t xml:space="preserve">        open groep "vervangen voegovergangen" als het een kunstwerk voor autoverkeer betreft</t>
  </si>
  <si>
    <t>Voor kosten kengetallen vervanging zie: "SO-kengetall_verv_kwn_ProRail Zuid"</t>
  </si>
  <si>
    <r>
      <t xml:space="preserve">   In de onderstaande rubrieken 'Algemene gegevens' en 'Beheergegevens' </t>
    </r>
    <r>
      <rPr>
        <b/>
        <sz val="10"/>
        <rFont val="Calibri"/>
        <family val="2"/>
      </rPr>
      <t>ALLEEN</t>
    </r>
    <r>
      <rPr>
        <sz val="10"/>
        <rFont val="Calibri"/>
        <family val="2"/>
      </rPr>
      <t xml:space="preserve"> de blauwe teksten invullen/aanpassen</t>
    </r>
  </si>
  <si>
    <t>schoonmaken/klein herstel oppervlak, anti-graffiti</t>
  </si>
  <si>
    <t>periode beheer van - tot:</t>
  </si>
  <si>
    <t>periode van - tot:</t>
  </si>
  <si>
    <t>aanbrengen anti-graffiti coating</t>
  </si>
  <si>
    <t>extra kosten door 5 jaar uitstel conservering kunstwerk (incl. leuning)</t>
  </si>
  <si>
    <t>herstel conservering leuning</t>
  </si>
  <si>
    <t>vervangen conservering leuning</t>
  </si>
  <si>
    <t>extra kosten door 10 jaar uitstel conservering kunstwerk (incl. leuning)</t>
  </si>
  <si>
    <t>extra kosten door 15 jaar uitstel conservering kunstwerk (incl. leuning)</t>
  </si>
  <si>
    <t>obv 2% schade lengte</t>
  </si>
  <si>
    <t>herstel kleine gebreken betonnen kunstwerk, scheuren, aanrijschade e.d.</t>
  </si>
  <si>
    <t>vervangen leuning</t>
  </si>
  <si>
    <t>herstel grote gebreken betonnen PV-voorzieningen en kabelgoten, m.n. voetpadplaten</t>
  </si>
  <si>
    <t>herstel kleine gebreken betonnen PV-voorzieningen en kabelgoten, m.n. voetpadplaten</t>
  </si>
  <si>
    <t>vervangen stalen kabelkoker</t>
  </si>
  <si>
    <t>herstel gebreken kunstwerk (incl. leuning, kabelkoker), roest-, aanrijschade e.d.</t>
  </si>
  <si>
    <t>herstel conservering kabelkoker</t>
  </si>
  <si>
    <t>herstel conservering geluidscherm (stijlen)</t>
  </si>
  <si>
    <t>herstel kleine gebreken kabelkoker</t>
  </si>
  <si>
    <t>herstel kleine gebreken inspectiewagen</t>
  </si>
  <si>
    <t>herstel kleine gebreken leuning</t>
  </si>
  <si>
    <t>incl. aandrijflijn</t>
  </si>
  <si>
    <t>obv 2,5% schade aan oppervlak</t>
  </si>
  <si>
    <t>obv 2,5% schade aan lengte</t>
  </si>
  <si>
    <t>obv 2,5% schade aan oppervlak (stijlen en/of panelen)</t>
  </si>
  <si>
    <t>voer in: 2,5% x oppervlak</t>
  </si>
  <si>
    <t>voer in: 2,5% x lengte</t>
  </si>
  <si>
    <t>voer in: 2,5% x oppervlak scherm</t>
  </si>
  <si>
    <t>obv opgave verfoppervlak paspoort</t>
  </si>
  <si>
    <t>obv herstel 2,5% roestschade + overlagen</t>
  </si>
  <si>
    <t>prijs obv 2,0 m2 per m1 inspectiewagen</t>
  </si>
  <si>
    <t>prijs obv 1,5 m2 per m2 bordesoppervlak</t>
  </si>
  <si>
    <t>prijs obv 1 m2 per m1 leuning</t>
  </si>
  <si>
    <t>prijs obv 1 m2 per m1 kabelkoker</t>
  </si>
  <si>
    <t>prijs obv 0,6 m2 per m2 schermoppervlak (stijlen hoh 2,0 m)</t>
  </si>
  <si>
    <t>aanname eenh.prijs per m1 kw per spoor</t>
  </si>
  <si>
    <t>vervangen conservering kabelkoker</t>
  </si>
  <si>
    <t>vervangen conservering geluidscherm (stijlen)</t>
  </si>
  <si>
    <t>obv herstel 7,5% roestschade + tussenlaag + overlagen</t>
  </si>
  <si>
    <t>vervangen kabelkoker</t>
  </si>
  <si>
    <t>herstel kleine gebreken geluidscherm (stijlen + panelen)</t>
  </si>
  <si>
    <t xml:space="preserve">vervangen conservering PV-bordes (roosters + draagbalken) </t>
  </si>
  <si>
    <t>herstel conservering PV-bordes (roosters + draagbalken)</t>
  </si>
  <si>
    <t>vervangen geluidscherm (stijlen en panelen)</t>
  </si>
  <si>
    <t>go/vv</t>
  </si>
  <si>
    <t>incl. nieuwe bevestigingsmiddelen</t>
  </si>
  <si>
    <t>aanpassen kunstwerk door wijziging beleid door wet- en regelgeving</t>
  </si>
  <si>
    <t>m1 kw/sp</t>
  </si>
  <si>
    <t>herstel kleine gebreken stalen PV-bordes (roosters + draagbalken)</t>
  </si>
  <si>
    <t>herstel kleine gebreken stalen leuning</t>
  </si>
  <si>
    <t>voer in: 2,5% x lengte per PV-pad</t>
  </si>
  <si>
    <t>herstel conservering stalen kabelkoker</t>
  </si>
  <si>
    <t>herstel conservering stalen leuning</t>
  </si>
  <si>
    <t>vervangen PV-bordes (roosters + draagbalken)</t>
  </si>
  <si>
    <t>herstel kleine gebreken PV-bordes (roosters + draagbalken)</t>
  </si>
  <si>
    <t>vervangen stalen PV-bordes (roosters + draagbalken)</t>
  </si>
  <si>
    <t>herstel conservering stalen PV-bordes (roosters + draagbalken)</t>
  </si>
  <si>
    <t>herstel conservering stalen inspectiewagen</t>
  </si>
  <si>
    <t>herstel conservering geluidscherm (stalen stijlen)</t>
  </si>
  <si>
    <t>vervangen conservering geluidscherm (stalen stijlen)</t>
  </si>
  <si>
    <t>vervangen conservering stalen leuning</t>
  </si>
  <si>
    <t>vervangen conservering stalen kabelkoker</t>
  </si>
  <si>
    <t>herstel kleine gebreken stalen kabelkoker</t>
  </si>
  <si>
    <t>vervangen conservering stalen inspectiewagen</t>
  </si>
  <si>
    <t xml:space="preserve">vervangen conservering stalen PV-bordes (roosters + draagbalken) </t>
  </si>
  <si>
    <t>obv 7,5% schade aan lengte</t>
  </si>
  <si>
    <t>herstel kleine gebreken metselwerk kunstwerk, scheuren, aanrijschade e.d.</t>
  </si>
  <si>
    <t>vervangen stalen leuning</t>
  </si>
  <si>
    <t>voer in: 7,5% x lengte per PV-pad</t>
  </si>
  <si>
    <t>obv 2,5% schade aan het oppervlak</t>
  </si>
  <si>
    <t>obv 10% schade aan het oppervlak</t>
  </si>
  <si>
    <t>voer in: 10% x oppervlak</t>
  </si>
  <si>
    <t>herstel grote gebreken metselwerkoppervlak, voegwerk, stenen, scheuren, aantastingen e.d.</t>
  </si>
  <si>
    <t>obv 5% schade aan het oppervlak</t>
  </si>
  <si>
    <t>voer in: 5% x oppervlak</t>
  </si>
  <si>
    <t>prijspeil SSK als onderdeel van PVE:</t>
  </si>
  <si>
    <t>Prijspijl SSK:</t>
  </si>
  <si>
    <t>omhullend (zicht)oppervlak betonnen dek</t>
  </si>
  <si>
    <t>voer in:  50% van oppervlak</t>
  </si>
  <si>
    <t>Bijzonderheden t.a.v. de LCC analyse</t>
  </si>
  <si>
    <r>
      <t xml:space="preserve">bij </t>
    </r>
    <r>
      <rPr>
        <u/>
        <sz val="9"/>
        <rFont val="Calibri"/>
        <family val="2"/>
      </rPr>
      <t>PER DIRECTE</t>
    </r>
    <r>
      <rPr>
        <sz val="9"/>
        <rFont val="Calibri"/>
        <family val="2"/>
      </rPr>
      <t xml:space="preserve"> vervanging komen de BHM te vervallen</t>
    </r>
  </si>
  <si>
    <t xml:space="preserve">2 landhfd + 3 tussenstpnt+ tunnelvloer </t>
  </si>
  <si>
    <t>Maat-</t>
  </si>
  <si>
    <t>regel</t>
  </si>
  <si>
    <t>j/n</t>
  </si>
  <si>
    <t>€ in PVE</t>
  </si>
  <si>
    <t>cat.</t>
  </si>
  <si>
    <t>Kosten</t>
  </si>
  <si>
    <t>BHM in</t>
  </si>
  <si>
    <t>nr.</t>
  </si>
  <si>
    <t>BHM</t>
  </si>
  <si>
    <t>PVE j/n</t>
  </si>
  <si>
    <t>Kosten   cat.</t>
  </si>
  <si>
    <t>BHM     nr.</t>
  </si>
  <si>
    <t>Uitkomsten LTP</t>
  </si>
  <si>
    <t>LIFE CYCLE COSTS; Korte Termijn (MJOP) en Lange Termijn (TLP)</t>
  </si>
  <si>
    <t>Start- en looptijden MJOP / LTP (invoer)</t>
  </si>
  <si>
    <t>Start looptijd LTP</t>
  </si>
  <si>
    <t>Looptijd LTP</t>
  </si>
  <si>
    <t>Einde looptijd LTP</t>
  </si>
  <si>
    <t>LANGETERMIJNPLAN (LTP)</t>
  </si>
  <si>
    <t>in model opnemen startjaar (keuzejaar) voor LTP (los van startjaar PGO maar wel jaartal in zelfde kolom)</t>
  </si>
  <si>
    <t>vervangingskosten opnemen in LTP gekoppeld aan bouwjaar</t>
  </si>
  <si>
    <t>tbv LTP hoeveelheden uit paspoort overnemen? (bv LxB rijdek) tbv regulier onderhoud en vervanging</t>
  </si>
  <si>
    <t>Alleen de cellen met licht blauwe arcering invullen/aanpassen</t>
  </si>
  <si>
    <t>Kostenkengetallen zijn op niveau van investeringskosten</t>
  </si>
  <si>
    <t>Kostenkengetallen zijn op niveau van bouwkosten</t>
  </si>
  <si>
    <t>Factor van niveau BDBK -&gt; BK:</t>
  </si>
  <si>
    <t>Factor van niveau BDBK -&gt; INV:</t>
  </si>
  <si>
    <t>vervangingsjaar:</t>
  </si>
  <si>
    <t>Vrijkomende materialen bij vervanging (Madaster)</t>
  </si>
  <si>
    <t>hoev.heid</t>
  </si>
  <si>
    <t>eenheid</t>
  </si>
  <si>
    <t>(Constructie) staal spoordek</t>
  </si>
  <si>
    <t>Beton spoordek</t>
  </si>
  <si>
    <t>Betonstaal spoordek</t>
  </si>
  <si>
    <t>Beton onderbouw</t>
  </si>
  <si>
    <t>Betonstaal onderbouw</t>
  </si>
  <si>
    <t>Metselwerk spoordek</t>
  </si>
  <si>
    <t>totaal beheersmaatregelen</t>
  </si>
  <si>
    <t>totaal klein cyclisch onderhoud</t>
  </si>
  <si>
    <t>totaal groot cyclisch onderhoud</t>
  </si>
  <si>
    <t>totaal vervanging</t>
  </si>
  <si>
    <t>totaal (opbrengst) madaster</t>
  </si>
  <si>
    <t>Totaal vervanging</t>
  </si>
  <si>
    <t>Totaal kosten BHM cat. 1+2</t>
  </si>
  <si>
    <t>Totaal kosten cat. 1+2+3</t>
  </si>
  <si>
    <t>insp</t>
  </si>
  <si>
    <t>ko</t>
  </si>
  <si>
    <t>Σ: van 2 landhfdn (wand) + 3 tussenstnpntn (wand)</t>
  </si>
  <si>
    <t>2x52</t>
  </si>
  <si>
    <t>Equiv.</t>
  </si>
  <si>
    <t>jaarlast</t>
  </si>
  <si>
    <t>Equiv. Jaarlast</t>
  </si>
  <si>
    <t>FMECA</t>
  </si>
  <si>
    <t>uitvoeren risicoanalyses tbv PGO-contract (FMECA)</t>
  </si>
  <si>
    <t>advies</t>
  </si>
  <si>
    <t>AM tbv PP</t>
  </si>
  <si>
    <t>Beheerkosten tlv ProRail AM (assetmanager)</t>
  </si>
  <si>
    <t>Beheerkosten tlv ProRail Projecten (assetowner)</t>
  </si>
  <si>
    <t>Beheerkosten tlv PGO-contract (service provider)</t>
  </si>
  <si>
    <t>totaal advieswerk IB</t>
  </si>
  <si>
    <t>advieswerk IB tbv vullen productieplan</t>
  </si>
  <si>
    <t>totaal PGO-contract (service provider)</t>
  </si>
  <si>
    <t>PGO-contract (service provider)</t>
  </si>
  <si>
    <t>advieswerk IB tbv productie plan</t>
  </si>
  <si>
    <t>Totaal kosten cat. 3 (tlv PGO-contract)</t>
  </si>
  <si>
    <t>Totaal kosten BHM cat. 2 (tlv ProRail AM)</t>
  </si>
  <si>
    <t>Totaal kosten BHM cat. 1 (tlv ProRail Projecten)</t>
  </si>
  <si>
    <t>Totaal kosten vervanging cat. 1 (tlv ProRail Projecten)</t>
  </si>
  <si>
    <t>Totaal kosten klein cyclisch onderhoud cat. 3 (tlv PGO-contract)</t>
  </si>
  <si>
    <t>Totaal kosten groot cyclisch onderhoud cat. 1 (ProRail Projecten)</t>
  </si>
  <si>
    <t>Totaal opbrengst Madaster (ProRail Projecten)</t>
  </si>
  <si>
    <t>10877277 + 10770560</t>
  </si>
  <si>
    <t>KW20-125-0010</t>
  </si>
  <si>
    <t>Spoorviaduct Mortelsestraat</t>
  </si>
  <si>
    <t>Tilburg</t>
  </si>
  <si>
    <t>Metselwerk (funderingsplaat + inwendige vulling (schale beton)</t>
  </si>
  <si>
    <t>Betonnen ES-dekken (2 stuks) lang 8,43 m1 + aan weerszijden prefab betonnen PV-ligger lang 15,9 m1</t>
  </si>
  <si>
    <t>aanbrengen afschermingshekwerk aan de zuidzijde van de spoorbaan</t>
  </si>
  <si>
    <t>geen pve+SSK aanname: 2x 50 m1</t>
  </si>
  <si>
    <t>1x52</t>
  </si>
  <si>
    <t>alleen spoordek</t>
  </si>
  <si>
    <t>2 nieuwe betonnen landhoofden op palen</t>
  </si>
  <si>
    <t>Totaal kosten cat. 2 (advies IB tlv ProRail AM)</t>
  </si>
  <si>
    <t>spoordek+PV-paden: 96 m3</t>
  </si>
  <si>
    <t>Σ: 2 landhfdn: 725 m3</t>
  </si>
  <si>
    <t>Σ: 2 landhfdn: 96 m3</t>
  </si>
  <si>
    <t>vnt</t>
  </si>
  <si>
    <t>leuningen 2x15,9 m1 á 35 kg/m1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</si>
</sst>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 &quot;€&quot;\ * #,##0_ ;_ &quot;€&quot;\ * \-#,##0_ ;_ &quot;€&quot;\ * &quot;-&quot;_ ;_ @_ "/>
    <numFmt numFmtId="164" formatCode="_(&quot;€&quot;* #,##0_);_(&quot;€&quot;* \(#,##0\);_(&quot;€&quot;* &quot;-&quot;_);_(@_)"/>
    <numFmt numFmtId="165" formatCode="_ [$€-2]\ * #,##0_ ;_ [$€-2]\ * \-#,##0_ ;_ [$€-2]\ * &quot;-&quot;_ ;_ @_ "/>
    <numFmt numFmtId="166" formatCode="0.0"/>
    <numFmt numFmtId="167" formatCode="0.0%"/>
    <numFmt numFmtId="168" formatCode="_ &quot;€&quot;\ * #,##0_ ;_ &quot;€&quot;\ * \-#,##0_ ;_ &quot;€&quot;\ * &quot;-&quot;??_ ;_ @_ "/>
  </numFmts>
  <fonts count="33" x14ac:knownFonts="1">
    <font>
      <sz val="11"/>
      <color rgb="FF000000"/>
      <name val="Calibri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u/>
      <sz val="9"/>
      <color rgb="FF000000"/>
      <name val="Calibri"/>
      <family val="2"/>
    </font>
    <font>
      <b/>
      <sz val="9"/>
      <color rgb="FF0000FF"/>
      <name val="Calibri"/>
      <family val="2"/>
    </font>
    <font>
      <sz val="9"/>
      <color rgb="FFFF0000"/>
      <name val="Calibri"/>
      <family val="2"/>
    </font>
    <font>
      <sz val="9"/>
      <color rgb="FF0000FF"/>
      <name val="Calibri"/>
      <family val="2"/>
    </font>
    <font>
      <sz val="9"/>
      <color theme="0"/>
      <name val="Calibri"/>
      <family val="2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9"/>
      <name val="Calibri"/>
      <family val="2"/>
    </font>
    <font>
      <b/>
      <u/>
      <sz val="12"/>
      <color rgb="FF000000"/>
      <name val="Calibri"/>
      <family val="2"/>
    </font>
    <font>
      <b/>
      <sz val="7.2"/>
      <color rgb="FF000000"/>
      <name val="Calibri"/>
      <family val="2"/>
    </font>
    <font>
      <b/>
      <sz val="8"/>
      <color rgb="FF000000"/>
      <name val="Calibri"/>
      <family val="2"/>
    </font>
    <font>
      <sz val="10"/>
      <color theme="1"/>
      <name val="Arial"/>
      <family val="2"/>
    </font>
    <font>
      <b/>
      <sz val="9"/>
      <color rgb="FFFF0000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9"/>
      <name val="Calibri"/>
      <family val="2"/>
    </font>
    <font>
      <b/>
      <i/>
      <sz val="9"/>
      <color rgb="FF000000"/>
      <name val="Calibri"/>
      <family val="2"/>
    </font>
    <font>
      <i/>
      <sz val="9"/>
      <color rgb="FFFF0000"/>
      <name val="Calibri"/>
      <family val="2"/>
    </font>
    <font>
      <u/>
      <sz val="9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thin">
        <color theme="3"/>
      </bottom>
      <diagonal/>
    </border>
    <border>
      <left/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 style="thin">
        <color theme="3"/>
      </top>
      <bottom style="medium">
        <color theme="3"/>
      </bottom>
      <diagonal/>
    </border>
    <border>
      <left/>
      <right/>
      <top style="thin">
        <color theme="3"/>
      </top>
      <bottom style="medium">
        <color theme="3"/>
      </bottom>
      <diagonal/>
    </border>
    <border>
      <left/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 style="thin">
        <color indexed="64"/>
      </left>
      <right style="thin">
        <color indexed="64"/>
      </right>
      <top style="thin">
        <color rgb="FF002060"/>
      </top>
      <bottom style="thin">
        <color rgb="FF002060"/>
      </bottom>
      <diagonal/>
    </border>
    <border>
      <left/>
      <right style="medium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rgb="FF002060"/>
      </left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 style="medium">
        <color rgb="FF002060"/>
      </right>
      <top style="thin">
        <color rgb="FF002060"/>
      </top>
      <bottom style="medium">
        <color rgb="FF002060"/>
      </bottom>
      <diagonal/>
    </border>
    <border>
      <left/>
      <right style="thin">
        <color rgb="FF002060"/>
      </right>
      <top style="thin">
        <color rgb="FF002060"/>
      </top>
      <bottom style="medium">
        <color rgb="FF002060"/>
      </bottom>
      <diagonal/>
    </border>
    <border>
      <left style="thin">
        <color indexed="64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medium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 style="medium">
        <color theme="3"/>
      </bottom>
      <diagonal/>
    </border>
    <border>
      <left style="medium">
        <color theme="3"/>
      </left>
      <right style="thin">
        <color indexed="64"/>
      </right>
      <top style="thin">
        <color theme="3"/>
      </top>
      <bottom/>
      <diagonal/>
    </border>
    <border>
      <left style="medium">
        <color theme="3"/>
      </left>
      <right style="thin">
        <color indexed="64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medium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thin">
        <color indexed="64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 style="thin">
        <color rgb="FF002060"/>
      </left>
      <right/>
      <top style="thin">
        <color rgb="FF002060"/>
      </top>
      <bottom style="medium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 style="thin">
        <color theme="3"/>
      </left>
      <right/>
      <top style="thin">
        <color theme="3"/>
      </top>
      <bottom style="medium">
        <color theme="3"/>
      </bottom>
      <diagonal/>
    </border>
    <border>
      <left style="thin">
        <color theme="3"/>
      </left>
      <right/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 style="thin">
        <color rgb="FF002060"/>
      </right>
      <top style="thin">
        <color theme="3"/>
      </top>
      <bottom style="medium">
        <color theme="3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3"/>
      </bottom>
      <diagonal/>
    </border>
    <border>
      <left/>
      <right/>
      <top style="medium">
        <color indexed="64"/>
      </top>
      <bottom style="thin">
        <color theme="3"/>
      </bottom>
      <diagonal/>
    </border>
    <border>
      <left/>
      <right style="medium">
        <color indexed="64"/>
      </right>
      <top style="medium">
        <color indexed="64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theme="3"/>
      </bottom>
      <diagonal/>
    </border>
    <border>
      <left/>
      <right style="medium">
        <color indexed="64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medium">
        <color indexed="64"/>
      </bottom>
      <diagonal/>
    </border>
    <border>
      <left style="thin">
        <color theme="3"/>
      </left>
      <right style="medium">
        <color indexed="64"/>
      </right>
      <top style="thin">
        <color theme="3"/>
      </top>
      <bottom style="thin">
        <color theme="3"/>
      </bottom>
      <diagonal/>
    </border>
    <border>
      <left style="medium">
        <color indexed="64"/>
      </left>
      <right/>
      <top style="thin">
        <color theme="3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theme="3"/>
      </left>
      <right/>
      <top style="medium">
        <color theme="3"/>
      </top>
      <bottom style="thin">
        <color theme="3"/>
      </bottom>
      <diagonal/>
    </border>
    <border>
      <left/>
      <right/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theme="3"/>
      </right>
      <top style="thin">
        <color theme="3"/>
      </top>
      <bottom style="thin">
        <color theme="3"/>
      </bottom>
      <diagonal/>
    </border>
  </borders>
  <cellStyleXfs count="2">
    <xf numFmtId="0" fontId="0" fillId="0" borderId="0"/>
    <xf numFmtId="0" fontId="14" fillId="0" borderId="0"/>
  </cellStyleXfs>
  <cellXfs count="28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/>
    <xf numFmtId="14" fontId="1" fillId="0" borderId="0" xfId="0" applyNumberFormat="1" applyFont="1" applyAlignment="1">
      <alignment horizontal="left"/>
    </xf>
    <xf numFmtId="0" fontId="1" fillId="0" borderId="0" xfId="0" quotePrefix="1" applyFont="1"/>
    <xf numFmtId="0" fontId="5" fillId="0" borderId="0" xfId="0" applyFont="1"/>
    <xf numFmtId="0" fontId="4" fillId="0" borderId="0" xfId="0" applyFont="1"/>
    <xf numFmtId="0" fontId="6" fillId="0" borderId="0" xfId="0" applyFont="1"/>
    <xf numFmtId="1" fontId="1" fillId="0" borderId="0" xfId="0" applyNumberFormat="1" applyFont="1"/>
    <xf numFmtId="1" fontId="5" fillId="0" borderId="0" xfId="0" applyNumberFormat="1" applyFont="1"/>
    <xf numFmtId="0" fontId="7" fillId="0" borderId="0" xfId="0" applyFont="1"/>
    <xf numFmtId="1" fontId="2" fillId="0" borderId="0" xfId="0" applyNumberFormat="1" applyFont="1"/>
    <xf numFmtId="0" fontId="8" fillId="0" borderId="0" xfId="0" applyFont="1"/>
    <xf numFmtId="0" fontId="10" fillId="0" borderId="0" xfId="0" applyFont="1"/>
    <xf numFmtId="0" fontId="2" fillId="0" borderId="0" xfId="0" applyFont="1" applyAlignment="1">
      <alignment horizontal="left"/>
    </xf>
    <xf numFmtId="0" fontId="1" fillId="2" borderId="0" xfId="0" applyFont="1" applyFill="1"/>
    <xf numFmtId="0" fontId="8" fillId="2" borderId="0" xfId="0" applyFont="1" applyFill="1"/>
    <xf numFmtId="0" fontId="1" fillId="2" borderId="0" xfId="0" quotePrefix="1" applyFont="1" applyFill="1"/>
    <xf numFmtId="0" fontId="11" fillId="0" borderId="0" xfId="0" applyFont="1"/>
    <xf numFmtId="0" fontId="2" fillId="0" borderId="0" xfId="0" applyFont="1" applyAlignment="1">
      <alignment horizontal="center"/>
    </xf>
    <xf numFmtId="1" fontId="10" fillId="0" borderId="0" xfId="0" applyNumberFormat="1" applyFont="1"/>
    <xf numFmtId="0" fontId="1" fillId="0" borderId="0" xfId="0" applyFont="1" applyAlignment="1">
      <alignment horizontal="right"/>
    </xf>
    <xf numFmtId="1" fontId="2" fillId="0" borderId="1" xfId="0" applyNumberFormat="1" applyFont="1" applyBorder="1"/>
    <xf numFmtId="1" fontId="2" fillId="0" borderId="0" xfId="0" applyNumberFormat="1" applyFont="1" applyBorder="1"/>
    <xf numFmtId="0" fontId="15" fillId="0" borderId="0" xfId="0" applyFont="1"/>
    <xf numFmtId="1" fontId="1" fillId="0" borderId="1" xfId="0" applyNumberFormat="1" applyFont="1" applyBorder="1"/>
    <xf numFmtId="0" fontId="19" fillId="0" borderId="0" xfId="0" applyFont="1"/>
    <xf numFmtId="0" fontId="16" fillId="4" borderId="0" xfId="0" applyFont="1" applyFill="1"/>
    <xf numFmtId="0" fontId="3" fillId="4" borderId="0" xfId="0" applyFont="1" applyFill="1"/>
    <xf numFmtId="0" fontId="1" fillId="4" borderId="0" xfId="0" applyFont="1" applyFill="1"/>
    <xf numFmtId="0" fontId="1" fillId="0" borderId="2" xfId="0" applyFont="1" applyBorder="1"/>
    <xf numFmtId="0" fontId="1" fillId="0" borderId="4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2" xfId="0" applyFont="1" applyBorder="1" applyAlignment="1">
      <alignment horizontal="left"/>
    </xf>
    <xf numFmtId="0" fontId="1" fillId="0" borderId="2" xfId="0" quotePrefix="1" applyFont="1" applyBorder="1" applyAlignment="1">
      <alignment horizontal="left"/>
    </xf>
    <xf numFmtId="17" fontId="1" fillId="0" borderId="2" xfId="0" applyNumberFormat="1" applyFont="1" applyBorder="1" applyAlignment="1">
      <alignment horizontal="left"/>
    </xf>
    <xf numFmtId="14" fontId="1" fillId="0" borderId="2" xfId="0" applyNumberFormat="1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15" fillId="0" borderId="10" xfId="0" applyFont="1" applyBorder="1"/>
    <xf numFmtId="0" fontId="1" fillId="0" borderId="10" xfId="0" applyFont="1" applyBorder="1"/>
    <xf numFmtId="0" fontId="0" fillId="0" borderId="12" xfId="0" applyBorder="1"/>
    <xf numFmtId="0" fontId="1" fillId="0" borderId="9" xfId="0" applyFont="1" applyBorder="1" applyAlignment="1">
      <alignment horizontal="left"/>
    </xf>
    <xf numFmtId="0" fontId="1" fillId="0" borderId="10" xfId="0" applyFont="1" applyBorder="1" applyAlignment="1">
      <alignment horizontal="center"/>
    </xf>
    <xf numFmtId="0" fontId="1" fillId="0" borderId="12" xfId="0" applyFont="1" applyBorder="1"/>
    <xf numFmtId="0" fontId="1" fillId="0" borderId="9" xfId="0" applyFont="1" applyBorder="1"/>
    <xf numFmtId="0" fontId="1" fillId="0" borderId="10" xfId="0" quotePrefix="1" applyFont="1" applyBorder="1"/>
    <xf numFmtId="0" fontId="1" fillId="0" borderId="13" xfId="0" applyFont="1" applyBorder="1" applyAlignment="1">
      <alignment horizontal="left"/>
    </xf>
    <xf numFmtId="0" fontId="1" fillId="0" borderId="14" xfId="0" applyFont="1" applyBorder="1"/>
    <xf numFmtId="14" fontId="1" fillId="0" borderId="14" xfId="0" applyNumberFormat="1" applyFont="1" applyBorder="1" applyAlignment="1">
      <alignment horizontal="left"/>
    </xf>
    <xf numFmtId="0" fontId="1" fillId="0" borderId="15" xfId="0" applyFont="1" applyBorder="1"/>
    <xf numFmtId="0" fontId="1" fillId="0" borderId="18" xfId="0" applyFont="1" applyBorder="1" applyAlignment="1">
      <alignment horizontal="left"/>
    </xf>
    <xf numFmtId="0" fontId="1" fillId="0" borderId="20" xfId="0" applyFont="1" applyBorder="1"/>
    <xf numFmtId="0" fontId="1" fillId="0" borderId="20" xfId="0" applyFont="1" applyBorder="1" applyAlignment="1">
      <alignment horizontal="left"/>
    </xf>
    <xf numFmtId="0" fontId="1" fillId="0" borderId="22" xfId="0" applyFont="1" applyBorder="1" applyAlignment="1">
      <alignment horizontal="center"/>
    </xf>
    <xf numFmtId="164" fontId="1" fillId="0" borderId="22" xfId="0" applyNumberFormat="1" applyFont="1" applyBorder="1"/>
    <xf numFmtId="0" fontId="2" fillId="0" borderId="2" xfId="0" applyFont="1" applyBorder="1"/>
    <xf numFmtId="1" fontId="1" fillId="0" borderId="22" xfId="0" applyNumberFormat="1" applyFont="1" applyBorder="1"/>
    <xf numFmtId="1" fontId="1" fillId="0" borderId="22" xfId="0" applyNumberFormat="1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23" xfId="0" applyFont="1" applyBorder="1" applyAlignment="1">
      <alignment horizontal="center"/>
    </xf>
    <xf numFmtId="164" fontId="1" fillId="0" borderId="22" xfId="0" applyNumberFormat="1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25" xfId="0" applyFont="1" applyBorder="1" applyAlignment="1">
      <alignment horizontal="center"/>
    </xf>
    <xf numFmtId="0" fontId="2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left" vertical="center"/>
    </xf>
    <xf numFmtId="0" fontId="2" fillId="0" borderId="21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13" fillId="0" borderId="22" xfId="0" applyFont="1" applyBorder="1" applyAlignment="1">
      <alignment horizontal="center" vertical="center"/>
    </xf>
    <xf numFmtId="1" fontId="2" fillId="0" borderId="22" xfId="0" applyNumberFormat="1" applyFont="1" applyBorder="1" applyAlignment="1">
      <alignment horizontal="center" vertical="center"/>
    </xf>
    <xf numFmtId="0" fontId="1" fillId="0" borderId="22" xfId="0" applyNumberFormat="1" applyFont="1" applyBorder="1" applyAlignment="1">
      <alignment horizontal="center"/>
    </xf>
    <xf numFmtId="0" fontId="1" fillId="5" borderId="0" xfId="0" applyFont="1" applyFill="1"/>
    <xf numFmtId="0" fontId="10" fillId="5" borderId="0" xfId="0" applyFont="1" applyFill="1"/>
    <xf numFmtId="0" fontId="1" fillId="5" borderId="0" xfId="0" applyFont="1" applyFill="1" applyAlignment="1">
      <alignment horizontal="right"/>
    </xf>
    <xf numFmtId="0" fontId="1" fillId="5" borderId="0" xfId="0" quotePrefix="1" applyFont="1" applyFill="1"/>
    <xf numFmtId="165" fontId="10" fillId="5" borderId="0" xfId="0" applyNumberFormat="1" applyFont="1" applyFill="1"/>
    <xf numFmtId="0" fontId="6" fillId="5" borderId="0" xfId="0" applyFont="1" applyFill="1"/>
    <xf numFmtId="1" fontId="6" fillId="5" borderId="0" xfId="0" applyNumberFormat="1" applyFont="1" applyFill="1" applyAlignment="1">
      <alignment horizontal="center"/>
    </xf>
    <xf numFmtId="1" fontId="6" fillId="5" borderId="0" xfId="0" applyNumberFormat="1" applyFont="1" applyFill="1"/>
    <xf numFmtId="166" fontId="6" fillId="5" borderId="0" xfId="0" applyNumberFormat="1" applyFont="1" applyFill="1"/>
    <xf numFmtId="0" fontId="1" fillId="0" borderId="0" xfId="0" applyFont="1" applyBorder="1" applyAlignment="1">
      <alignment horizontal="left"/>
    </xf>
    <xf numFmtId="0" fontId="1" fillId="0" borderId="0" xfId="0" applyFont="1" applyBorder="1"/>
    <xf numFmtId="14" fontId="6" fillId="0" borderId="0" xfId="0" applyNumberFormat="1" applyFont="1" applyBorder="1" applyAlignment="1">
      <alignment horizontal="left"/>
    </xf>
    <xf numFmtId="14" fontId="1" fillId="0" borderId="0" xfId="0" applyNumberFormat="1" applyFont="1" applyBorder="1" applyAlignment="1">
      <alignment horizontal="left"/>
    </xf>
    <xf numFmtId="0" fontId="18" fillId="0" borderId="0" xfId="0" applyFont="1"/>
    <xf numFmtId="0" fontId="10" fillId="5" borderId="22" xfId="0" applyFont="1" applyFill="1" applyBorder="1" applyAlignment="1">
      <alignment horizontal="center"/>
    </xf>
    <xf numFmtId="0" fontId="10" fillId="5" borderId="11" xfId="0" applyNumberFormat="1" applyFont="1" applyFill="1" applyBorder="1" applyAlignment="1">
      <alignment horizontal="center"/>
    </xf>
    <xf numFmtId="0" fontId="20" fillId="0" borderId="3" xfId="0" applyFont="1" applyBorder="1"/>
    <xf numFmtId="0" fontId="21" fillId="0" borderId="2" xfId="0" applyFont="1" applyBorder="1"/>
    <xf numFmtId="0" fontId="20" fillId="0" borderId="2" xfId="0" applyFont="1" applyBorder="1"/>
    <xf numFmtId="0" fontId="20" fillId="0" borderId="5" xfId="0" applyFont="1" applyBorder="1"/>
    <xf numFmtId="0" fontId="21" fillId="0" borderId="6" xfId="0" applyFont="1" applyBorder="1"/>
    <xf numFmtId="0" fontId="20" fillId="0" borderId="6" xfId="0" applyFont="1" applyBorder="1"/>
    <xf numFmtId="0" fontId="20" fillId="0" borderId="3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5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10" fillId="5" borderId="17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167" fontId="10" fillId="5" borderId="11" xfId="0" applyNumberFormat="1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1" fontId="1" fillId="0" borderId="2" xfId="0" applyNumberFormat="1" applyFont="1" applyBorder="1"/>
    <xf numFmtId="1" fontId="1" fillId="0" borderId="31" xfId="0" applyNumberFormat="1" applyFont="1" applyBorder="1" applyAlignment="1">
      <alignment horizontal="center"/>
    </xf>
    <xf numFmtId="0" fontId="17" fillId="4" borderId="33" xfId="0" applyFont="1" applyFill="1" applyBorder="1"/>
    <xf numFmtId="0" fontId="17" fillId="4" borderId="0" xfId="0" applyFont="1" applyFill="1" applyBorder="1"/>
    <xf numFmtId="0" fontId="7" fillId="4" borderId="0" xfId="0" applyFont="1" applyFill="1" applyBorder="1"/>
    <xf numFmtId="0" fontId="7" fillId="4" borderId="34" xfId="0" applyFont="1" applyFill="1" applyBorder="1"/>
    <xf numFmtId="0" fontId="17" fillId="4" borderId="35" xfId="0" applyFont="1" applyFill="1" applyBorder="1"/>
    <xf numFmtId="0" fontId="17" fillId="4" borderId="36" xfId="0" applyFont="1" applyFill="1" applyBorder="1"/>
    <xf numFmtId="0" fontId="7" fillId="4" borderId="36" xfId="0" applyFont="1" applyFill="1" applyBorder="1"/>
    <xf numFmtId="0" fontId="7" fillId="4" borderId="37" xfId="0" applyFont="1" applyFill="1" applyBorder="1"/>
    <xf numFmtId="0" fontId="7" fillId="4" borderId="36" xfId="0" applyFont="1" applyFill="1" applyBorder="1" applyAlignment="1">
      <alignment horizontal="center"/>
    </xf>
    <xf numFmtId="0" fontId="7" fillId="4" borderId="37" xfId="0" applyFont="1" applyFill="1" applyBorder="1" applyAlignment="1">
      <alignment horizontal="center"/>
    </xf>
    <xf numFmtId="0" fontId="1" fillId="5" borderId="0" xfId="0" applyFont="1" applyFill="1" applyAlignment="1">
      <alignment horizontal="left"/>
    </xf>
    <xf numFmtId="1" fontId="1" fillId="0" borderId="30" xfId="0" applyNumberFormat="1" applyFont="1" applyBorder="1" applyAlignment="1">
      <alignment horizontal="center"/>
    </xf>
    <xf numFmtId="0" fontId="1" fillId="0" borderId="24" xfId="0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" fontId="1" fillId="0" borderId="21" xfId="0" applyNumberFormat="1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20" xfId="0" applyFont="1" applyBorder="1" applyAlignment="1">
      <alignment horizontal="right"/>
    </xf>
    <xf numFmtId="164" fontId="1" fillId="0" borderId="21" xfId="0" applyNumberFormat="1" applyFont="1" applyBorder="1"/>
    <xf numFmtId="1" fontId="10" fillId="3" borderId="21" xfId="0" applyNumberFormat="1" applyFont="1" applyFill="1" applyBorder="1" applyAlignment="1">
      <alignment horizontal="center"/>
    </xf>
    <xf numFmtId="0" fontId="2" fillId="0" borderId="39" xfId="0" applyFont="1" applyBorder="1" applyAlignment="1">
      <alignment horizontal="center" vertical="center" wrapText="1"/>
    </xf>
    <xf numFmtId="0" fontId="2" fillId="0" borderId="41" xfId="0" applyFont="1" applyBorder="1" applyAlignment="1">
      <alignment horizontal="left"/>
    </xf>
    <xf numFmtId="0" fontId="1" fillId="0" borderId="41" xfId="0" applyFont="1" applyBorder="1"/>
    <xf numFmtId="0" fontId="1" fillId="0" borderId="41" xfId="0" applyFont="1" applyBorder="1" applyAlignment="1">
      <alignment horizontal="left"/>
    </xf>
    <xf numFmtId="14" fontId="1" fillId="0" borderId="40" xfId="0" applyNumberFormat="1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14" fontId="1" fillId="0" borderId="16" xfId="0" applyNumberFormat="1" applyFont="1" applyBorder="1" applyAlignment="1">
      <alignment horizontal="left"/>
    </xf>
    <xf numFmtId="0" fontId="20" fillId="0" borderId="43" xfId="0" applyFont="1" applyBorder="1"/>
    <xf numFmtId="0" fontId="22" fillId="0" borderId="43" xfId="0" applyFont="1" applyBorder="1"/>
    <xf numFmtId="14" fontId="22" fillId="0" borderId="43" xfId="0" applyNumberFormat="1" applyFont="1" applyBorder="1" applyAlignment="1">
      <alignment horizontal="left"/>
    </xf>
    <xf numFmtId="0" fontId="22" fillId="0" borderId="42" xfId="0" applyFont="1" applyBorder="1"/>
    <xf numFmtId="0" fontId="22" fillId="0" borderId="43" xfId="0" applyFont="1" applyBorder="1" applyAlignment="1">
      <alignment horizontal="left"/>
    </xf>
    <xf numFmtId="0" fontId="22" fillId="0" borderId="43" xfId="0" quotePrefix="1" applyFont="1" applyBorder="1" applyAlignment="1">
      <alignment horizontal="left"/>
    </xf>
    <xf numFmtId="17" fontId="22" fillId="0" borderId="43" xfId="0" applyNumberFormat="1" applyFont="1" applyBorder="1" applyAlignment="1">
      <alignment horizontal="left"/>
    </xf>
    <xf numFmtId="14" fontId="22" fillId="0" borderId="42" xfId="0" applyNumberFormat="1" applyFont="1" applyBorder="1" applyAlignment="1">
      <alignment horizontal="left"/>
    </xf>
    <xf numFmtId="164" fontId="1" fillId="0" borderId="43" xfId="0" applyNumberFormat="1" applyFont="1" applyBorder="1" applyAlignment="1">
      <alignment horizontal="left"/>
    </xf>
    <xf numFmtId="0" fontId="1" fillId="0" borderId="2" xfId="0" applyFont="1" applyBorder="1" applyAlignment="1">
      <alignment horizontal="right"/>
    </xf>
    <xf numFmtId="0" fontId="10" fillId="0" borderId="0" xfId="0" quotePrefix="1" applyFont="1"/>
    <xf numFmtId="0" fontId="26" fillId="0" borderId="0" xfId="0" applyFont="1"/>
    <xf numFmtId="1" fontId="10" fillId="5" borderId="0" xfId="0" applyNumberFormat="1" applyFont="1" applyFill="1" applyAlignment="1">
      <alignment horizontal="center"/>
    </xf>
    <xf numFmtId="0" fontId="27" fillId="0" borderId="0" xfId="0" applyFont="1"/>
    <xf numFmtId="0" fontId="1" fillId="0" borderId="20" xfId="0" applyFont="1" applyBorder="1" applyAlignment="1">
      <alignment horizontal="right" vertical="center"/>
    </xf>
    <xf numFmtId="14" fontId="10" fillId="0" borderId="6" xfId="0" applyNumberFormat="1" applyFont="1" applyBorder="1" applyAlignment="1">
      <alignment horizontal="right"/>
    </xf>
    <xf numFmtId="14" fontId="10" fillId="0" borderId="6" xfId="0" applyNumberFormat="1" applyFont="1" applyBorder="1" applyAlignment="1">
      <alignment horizontal="center"/>
    </xf>
    <xf numFmtId="164" fontId="1" fillId="0" borderId="8" xfId="0" applyNumberFormat="1" applyFont="1" applyBorder="1" applyAlignment="1">
      <alignment horizontal="center"/>
    </xf>
    <xf numFmtId="164" fontId="1" fillId="0" borderId="44" xfId="0" applyNumberFormat="1" applyFont="1" applyBorder="1" applyAlignment="1">
      <alignment horizontal="center"/>
    </xf>
    <xf numFmtId="164" fontId="1" fillId="0" borderId="44" xfId="0" applyNumberFormat="1" applyFont="1" applyBorder="1"/>
    <xf numFmtId="0" fontId="10" fillId="5" borderId="45" xfId="0" applyNumberFormat="1" applyFont="1" applyFill="1" applyBorder="1" applyAlignment="1">
      <alignment horizontal="center"/>
    </xf>
    <xf numFmtId="0" fontId="10" fillId="5" borderId="46" xfId="0" applyNumberFormat="1" applyFont="1" applyFill="1" applyBorder="1" applyAlignment="1">
      <alignment horizontal="center"/>
    </xf>
    <xf numFmtId="0" fontId="10" fillId="5" borderId="47" xfId="0" applyNumberFormat="1" applyFont="1" applyFill="1" applyBorder="1" applyAlignment="1">
      <alignment horizontal="center"/>
    </xf>
    <xf numFmtId="0" fontId="2" fillId="6" borderId="48" xfId="0" applyFont="1" applyFill="1" applyBorder="1"/>
    <xf numFmtId="14" fontId="20" fillId="0" borderId="2" xfId="0" applyNumberFormat="1" applyFont="1" applyBorder="1" applyAlignment="1">
      <alignment horizontal="right"/>
    </xf>
    <xf numFmtId="0" fontId="6" fillId="5" borderId="22" xfId="0" applyNumberFormat="1" applyFont="1" applyFill="1" applyBorder="1" applyAlignment="1">
      <alignment horizontal="center"/>
    </xf>
    <xf numFmtId="0" fontId="2" fillId="0" borderId="19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 vertical="center" wrapText="1"/>
    </xf>
    <xf numFmtId="0" fontId="10" fillId="0" borderId="49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21" fillId="0" borderId="0" xfId="0" applyFont="1"/>
    <xf numFmtId="0" fontId="20" fillId="0" borderId="0" xfId="0" applyFont="1"/>
    <xf numFmtId="2" fontId="25" fillId="6" borderId="48" xfId="0" applyNumberFormat="1" applyFont="1" applyFill="1" applyBorder="1" applyAlignment="1">
      <alignment horizontal="center" vertical="center"/>
    </xf>
    <xf numFmtId="0" fontId="25" fillId="6" borderId="48" xfId="0" applyFont="1" applyFill="1" applyBorder="1" applyAlignment="1">
      <alignment horizontal="center" vertical="center"/>
    </xf>
    <xf numFmtId="0" fontId="17" fillId="4" borderId="50" xfId="0" applyFont="1" applyFill="1" applyBorder="1"/>
    <xf numFmtId="0" fontId="7" fillId="4" borderId="51" xfId="0" applyFont="1" applyFill="1" applyBorder="1"/>
    <xf numFmtId="0" fontId="7" fillId="4" borderId="52" xfId="0" applyFont="1" applyFill="1" applyBorder="1"/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22" xfId="0" applyFont="1" applyBorder="1" applyAlignment="1">
      <alignment horizontal="center" vertical="center"/>
    </xf>
    <xf numFmtId="0" fontId="1" fillId="0" borderId="8" xfId="0" applyFont="1" applyBorder="1"/>
    <xf numFmtId="0" fontId="1" fillId="0" borderId="55" xfId="0" applyFont="1" applyBorder="1"/>
    <xf numFmtId="0" fontId="1" fillId="0" borderId="56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57" xfId="0" applyFont="1" applyBorder="1" applyAlignment="1">
      <alignment horizontal="center"/>
    </xf>
    <xf numFmtId="0" fontId="1" fillId="0" borderId="59" xfId="0" applyFont="1" applyBorder="1"/>
    <xf numFmtId="0" fontId="1" fillId="0" borderId="60" xfId="0" applyFont="1" applyBorder="1"/>
    <xf numFmtId="0" fontId="1" fillId="0" borderId="61" xfId="0" applyFont="1" applyBorder="1"/>
    <xf numFmtId="164" fontId="1" fillId="0" borderId="2" xfId="0" applyNumberFormat="1" applyFont="1" applyBorder="1" applyAlignment="1">
      <alignment horizontal="left"/>
    </xf>
    <xf numFmtId="0" fontId="1" fillId="7" borderId="63" xfId="0" applyFont="1" applyFill="1" applyBorder="1"/>
    <xf numFmtId="0" fontId="1" fillId="7" borderId="64" xfId="0" applyFont="1" applyFill="1" applyBorder="1" applyAlignment="1">
      <alignment horizontal="right"/>
    </xf>
    <xf numFmtId="0" fontId="1" fillId="7" borderId="63" xfId="0" applyFont="1" applyFill="1" applyBorder="1" applyAlignment="1">
      <alignment horizontal="right"/>
    </xf>
    <xf numFmtId="0" fontId="1" fillId="7" borderId="65" xfId="0" applyFont="1" applyFill="1" applyBorder="1" applyAlignment="1">
      <alignment horizontal="left"/>
    </xf>
    <xf numFmtId="0" fontId="1" fillId="7" borderId="64" xfId="0" applyFont="1" applyFill="1" applyBorder="1" applyAlignment="1">
      <alignment horizontal="left"/>
    </xf>
    <xf numFmtId="0" fontId="1" fillId="7" borderId="2" xfId="0" applyFont="1" applyFill="1" applyBorder="1"/>
    <xf numFmtId="0" fontId="1" fillId="7" borderId="22" xfId="0" applyFont="1" applyFill="1" applyBorder="1" applyAlignment="1">
      <alignment horizontal="right"/>
    </xf>
    <xf numFmtId="0" fontId="1" fillId="7" borderId="2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left"/>
    </xf>
    <xf numFmtId="0" fontId="1" fillId="7" borderId="22" xfId="0" applyFont="1" applyFill="1" applyBorder="1" applyAlignment="1">
      <alignment horizontal="left"/>
    </xf>
    <xf numFmtId="0" fontId="1" fillId="7" borderId="6" xfId="0" applyFont="1" applyFill="1" applyBorder="1"/>
    <xf numFmtId="0" fontId="1" fillId="7" borderId="23" xfId="0" applyFont="1" applyFill="1" applyBorder="1" applyAlignment="1">
      <alignment horizontal="right"/>
    </xf>
    <xf numFmtId="0" fontId="1" fillId="7" borderId="6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left"/>
    </xf>
    <xf numFmtId="0" fontId="1" fillId="7" borderId="23" xfId="0" applyFont="1" applyFill="1" applyBorder="1" applyAlignment="1">
      <alignment horizontal="left"/>
    </xf>
    <xf numFmtId="0" fontId="1" fillId="7" borderId="65" xfId="0" applyFont="1" applyFill="1" applyBorder="1" applyAlignment="1">
      <alignment horizontal="right"/>
    </xf>
    <xf numFmtId="0" fontId="1" fillId="7" borderId="8" xfId="0" applyFont="1" applyFill="1" applyBorder="1" applyAlignment="1">
      <alignment horizontal="right"/>
    </xf>
    <xf numFmtId="0" fontId="1" fillId="7" borderId="67" xfId="0" applyFont="1" applyFill="1" applyBorder="1" applyAlignment="1">
      <alignment horizontal="right"/>
    </xf>
    <xf numFmtId="0" fontId="29" fillId="7" borderId="62" xfId="0" applyFont="1" applyFill="1" applyBorder="1"/>
    <xf numFmtId="0" fontId="29" fillId="7" borderId="63" xfId="0" applyFont="1" applyFill="1" applyBorder="1"/>
    <xf numFmtId="0" fontId="29" fillId="7" borderId="63" xfId="0" applyFont="1" applyFill="1" applyBorder="1" applyAlignment="1">
      <alignment horizontal="center"/>
    </xf>
    <xf numFmtId="164" fontId="10" fillId="7" borderId="64" xfId="0" applyNumberFormat="1" applyFont="1" applyFill="1" applyBorder="1" applyAlignment="1">
      <alignment horizontal="left"/>
    </xf>
    <xf numFmtId="0" fontId="29" fillId="7" borderId="3" xfId="0" applyFont="1" applyFill="1" applyBorder="1"/>
    <xf numFmtId="0" fontId="29" fillId="7" borderId="2" xfId="0" applyFont="1" applyFill="1" applyBorder="1"/>
    <xf numFmtId="0" fontId="29" fillId="7" borderId="2" xfId="0" applyFont="1" applyFill="1" applyBorder="1" applyAlignment="1">
      <alignment horizontal="center"/>
    </xf>
    <xf numFmtId="164" fontId="10" fillId="7" borderId="22" xfId="0" applyNumberFormat="1" applyFont="1" applyFill="1" applyBorder="1" applyAlignment="1">
      <alignment horizontal="left"/>
    </xf>
    <xf numFmtId="0" fontId="29" fillId="7" borderId="5" xfId="0" applyFont="1" applyFill="1" applyBorder="1"/>
    <xf numFmtId="0" fontId="29" fillId="7" borderId="6" xfId="0" applyFont="1" applyFill="1" applyBorder="1"/>
    <xf numFmtId="0" fontId="29" fillId="7" borderId="6" xfId="0" applyFont="1" applyFill="1" applyBorder="1" applyAlignment="1">
      <alignment horizontal="center"/>
    </xf>
    <xf numFmtId="164" fontId="10" fillId="7" borderId="23" xfId="0" applyNumberFormat="1" applyFont="1" applyFill="1" applyBorder="1" applyAlignment="1">
      <alignment horizontal="left"/>
    </xf>
    <xf numFmtId="0" fontId="1" fillId="7" borderId="63" xfId="0" applyFont="1" applyFill="1" applyBorder="1" applyAlignment="1">
      <alignment horizontal="left"/>
    </xf>
    <xf numFmtId="164" fontId="1" fillId="7" borderId="64" xfId="0" applyNumberFormat="1" applyFont="1" applyFill="1" applyBorder="1"/>
    <xf numFmtId="0" fontId="1" fillId="7" borderId="2" xfId="0" applyFont="1" applyFill="1" applyBorder="1" applyAlignment="1">
      <alignment horizontal="left"/>
    </xf>
    <xf numFmtId="164" fontId="1" fillId="7" borderId="22" xfId="0" applyNumberFormat="1" applyFont="1" applyFill="1" applyBorder="1"/>
    <xf numFmtId="164" fontId="1" fillId="7" borderId="23" xfId="0" applyNumberFormat="1" applyFont="1" applyFill="1" applyBorder="1"/>
    <xf numFmtId="0" fontId="1" fillId="7" borderId="22" xfId="0" applyFont="1" applyFill="1" applyBorder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7" borderId="6" xfId="0" applyFont="1" applyFill="1" applyBorder="1" applyAlignment="1">
      <alignment horizontal="center"/>
    </xf>
    <xf numFmtId="0" fontId="6" fillId="0" borderId="2" xfId="0" applyFont="1" applyBorder="1" applyAlignment="1">
      <alignment horizontal="left"/>
    </xf>
    <xf numFmtId="166" fontId="1" fillId="0" borderId="22" xfId="0" applyNumberFormat="1" applyFont="1" applyBorder="1" applyAlignment="1">
      <alignment horizontal="center"/>
    </xf>
    <xf numFmtId="1" fontId="1" fillId="0" borderId="69" xfId="0" applyNumberFormat="1" applyFont="1" applyBorder="1"/>
    <xf numFmtId="0" fontId="23" fillId="6" borderId="0" xfId="0" applyFont="1" applyFill="1" applyBorder="1" applyAlignment="1">
      <alignment horizontal="center" vertical="center"/>
    </xf>
    <xf numFmtId="0" fontId="20" fillId="6" borderId="0" xfId="0" applyFont="1" applyFill="1" applyBorder="1" applyAlignment="1">
      <alignment horizontal="center"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/>
    </xf>
    <xf numFmtId="1" fontId="10" fillId="3" borderId="0" xfId="0" applyNumberFormat="1" applyFont="1" applyFill="1" applyBorder="1" applyAlignment="1">
      <alignment horizontal="center"/>
    </xf>
    <xf numFmtId="0" fontId="10" fillId="7" borderId="0" xfId="0" applyNumberFormat="1" applyFont="1" applyFill="1" applyBorder="1" applyAlignment="1">
      <alignment horizontal="center"/>
    </xf>
    <xf numFmtId="1" fontId="10" fillId="7" borderId="0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3" fillId="0" borderId="0" xfId="0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/>
    </xf>
    <xf numFmtId="0" fontId="1" fillId="3" borderId="0" xfId="0" applyNumberFormat="1" applyFont="1" applyFill="1" applyBorder="1" applyAlignment="1">
      <alignment horizontal="center"/>
    </xf>
    <xf numFmtId="164" fontId="1" fillId="7" borderId="0" xfId="0" applyNumberFormat="1" applyFont="1" applyFill="1" applyBorder="1" applyAlignment="1">
      <alignment horizontal="center"/>
    </xf>
    <xf numFmtId="1" fontId="1" fillId="7" borderId="0" xfId="0" applyNumberFormat="1" applyFont="1" applyFill="1" applyBorder="1" applyAlignment="1">
      <alignment horizontal="center"/>
    </xf>
    <xf numFmtId="0" fontId="2" fillId="0" borderId="7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0" fillId="7" borderId="64" xfId="0" applyNumberFormat="1" applyFont="1" applyFill="1" applyBorder="1" applyAlignment="1">
      <alignment horizontal="center"/>
    </xf>
    <xf numFmtId="0" fontId="10" fillId="7" borderId="22" xfId="0" applyNumberFormat="1" applyFont="1" applyFill="1" applyBorder="1" applyAlignment="1">
      <alignment horizontal="center"/>
    </xf>
    <xf numFmtId="1" fontId="10" fillId="7" borderId="22" xfId="0" applyNumberFormat="1" applyFont="1" applyFill="1" applyBorder="1" applyAlignment="1">
      <alignment horizontal="center"/>
    </xf>
    <xf numFmtId="1" fontId="10" fillId="7" borderId="23" xfId="0" applyNumberFormat="1" applyFont="1" applyFill="1" applyBorder="1" applyAlignment="1">
      <alignment horizontal="center"/>
    </xf>
    <xf numFmtId="0" fontId="13" fillId="0" borderId="21" xfId="0" applyFont="1" applyBorder="1" applyAlignment="1">
      <alignment horizontal="center" vertical="center"/>
    </xf>
    <xf numFmtId="0" fontId="1" fillId="3" borderId="23" xfId="0" applyNumberFormat="1" applyFont="1" applyFill="1" applyBorder="1" applyAlignment="1">
      <alignment horizontal="center"/>
    </xf>
    <xf numFmtId="1" fontId="1" fillId="7" borderId="22" xfId="0" applyNumberFormat="1" applyFont="1" applyFill="1" applyBorder="1" applyAlignment="1">
      <alignment horizontal="center"/>
    </xf>
    <xf numFmtId="1" fontId="1" fillId="7" borderId="23" xfId="0" applyNumberFormat="1" applyFont="1" applyFill="1" applyBorder="1" applyAlignment="1">
      <alignment horizontal="center"/>
    </xf>
    <xf numFmtId="42" fontId="1" fillId="0" borderId="4" xfId="0" applyNumberFormat="1" applyFont="1" applyBorder="1" applyAlignment="1">
      <alignment horizontal="center" vertical="center" wrapText="1"/>
    </xf>
    <xf numFmtId="42" fontId="1" fillId="0" borderId="32" xfId="0" applyNumberFormat="1" applyFont="1" applyBorder="1" applyAlignment="1">
      <alignment horizontal="center"/>
    </xf>
    <xf numFmtId="42" fontId="1" fillId="0" borderId="38" xfId="0" applyNumberFormat="1" applyFont="1" applyBorder="1" applyAlignment="1">
      <alignment horizontal="center"/>
    </xf>
    <xf numFmtId="42" fontId="10" fillId="3" borderId="38" xfId="0" applyNumberFormat="1" applyFont="1" applyFill="1" applyBorder="1" applyAlignment="1">
      <alignment horizontal="center"/>
    </xf>
    <xf numFmtId="42" fontId="10" fillId="7" borderId="66" xfId="0" applyNumberFormat="1" applyFont="1" applyFill="1" applyBorder="1" applyAlignment="1">
      <alignment horizontal="center"/>
    </xf>
    <xf numFmtId="42" fontId="10" fillId="7" borderId="32" xfId="0" applyNumberFormat="1" applyFont="1" applyFill="1" applyBorder="1" applyAlignment="1">
      <alignment horizontal="center"/>
    </xf>
    <xf numFmtId="42" fontId="10" fillId="7" borderId="68" xfId="0" applyNumberFormat="1" applyFont="1" applyFill="1" applyBorder="1" applyAlignment="1">
      <alignment horizontal="center"/>
    </xf>
    <xf numFmtId="168" fontId="1" fillId="0" borderId="32" xfId="0" applyNumberFormat="1" applyFont="1" applyBorder="1" applyAlignment="1">
      <alignment horizontal="center"/>
    </xf>
    <xf numFmtId="168" fontId="1" fillId="3" borderId="68" xfId="0" applyNumberFormat="1" applyFont="1" applyFill="1" applyBorder="1" applyAlignment="1">
      <alignment horizontal="center"/>
    </xf>
    <xf numFmtId="168" fontId="1" fillId="7" borderId="66" xfId="0" applyNumberFormat="1" applyFont="1" applyFill="1" applyBorder="1" applyAlignment="1">
      <alignment horizontal="center"/>
    </xf>
    <xf numFmtId="168" fontId="1" fillId="7" borderId="32" xfId="0" applyNumberFormat="1" applyFont="1" applyFill="1" applyBorder="1" applyAlignment="1">
      <alignment horizontal="center"/>
    </xf>
    <xf numFmtId="168" fontId="1" fillId="7" borderId="68" xfId="0" applyNumberFormat="1" applyFont="1" applyFill="1" applyBorder="1" applyAlignment="1">
      <alignment horizontal="center"/>
    </xf>
    <xf numFmtId="1" fontId="1" fillId="0" borderId="0" xfId="0" applyNumberFormat="1" applyFont="1" applyBorder="1"/>
    <xf numFmtId="1" fontId="1" fillId="7" borderId="64" xfId="0" applyNumberFormat="1" applyFont="1" applyFill="1" applyBorder="1" applyAlignment="1">
      <alignment horizontal="center"/>
    </xf>
    <xf numFmtId="0" fontId="20" fillId="6" borderId="26" xfId="0" applyFont="1" applyFill="1" applyBorder="1" applyAlignment="1">
      <alignment horizontal="center" vertical="center"/>
    </xf>
    <xf numFmtId="0" fontId="20" fillId="6" borderId="27" xfId="0" applyFont="1" applyFill="1" applyBorder="1" applyAlignment="1">
      <alignment horizontal="center" vertical="center"/>
    </xf>
    <xf numFmtId="0" fontId="20" fillId="6" borderId="28" xfId="0" applyFont="1" applyFill="1" applyBorder="1" applyAlignment="1">
      <alignment horizontal="center" vertical="center"/>
    </xf>
    <xf numFmtId="0" fontId="23" fillId="6" borderId="26" xfId="0" applyFont="1" applyFill="1" applyBorder="1" applyAlignment="1">
      <alignment horizontal="center" vertical="center"/>
    </xf>
    <xf numFmtId="0" fontId="23" fillId="6" borderId="27" xfId="0" applyFont="1" applyFill="1" applyBorder="1" applyAlignment="1">
      <alignment horizontal="center" vertical="center"/>
    </xf>
    <xf numFmtId="0" fontId="23" fillId="6" borderId="28" xfId="0" applyFont="1" applyFill="1" applyBorder="1" applyAlignment="1">
      <alignment horizontal="center" vertical="center"/>
    </xf>
    <xf numFmtId="0" fontId="29" fillId="6" borderId="26" xfId="0" applyFont="1" applyFill="1" applyBorder="1" applyAlignment="1">
      <alignment horizontal="left" vertical="center"/>
    </xf>
    <xf numFmtId="0" fontId="29" fillId="6" borderId="27" xfId="0" applyFont="1" applyFill="1" applyBorder="1" applyAlignment="1">
      <alignment horizontal="left" vertical="center"/>
    </xf>
    <xf numFmtId="0" fontId="29" fillId="6" borderId="28" xfId="0" applyFont="1" applyFill="1" applyBorder="1" applyAlignment="1">
      <alignment horizontal="left" vertical="center"/>
    </xf>
    <xf numFmtId="0" fontId="30" fillId="6" borderId="26" xfId="0" applyFont="1" applyFill="1" applyBorder="1" applyAlignment="1">
      <alignment horizontal="left"/>
    </xf>
    <xf numFmtId="0" fontId="30" fillId="6" borderId="27" xfId="0" applyFont="1" applyFill="1" applyBorder="1" applyAlignment="1">
      <alignment horizontal="left"/>
    </xf>
    <xf numFmtId="0" fontId="29" fillId="0" borderId="27" xfId="0" applyFont="1" applyBorder="1" applyAlignment="1">
      <alignment horizontal="left"/>
    </xf>
    <xf numFmtId="0" fontId="0" fillId="0" borderId="28" xfId="0" applyBorder="1" applyAlignment="1">
      <alignment horizontal="left"/>
    </xf>
  </cellXfs>
  <cellStyles count="2">
    <cellStyle name="Standaard" xfId="0" builtinId="0"/>
    <cellStyle name="Standaard 2" xfId="1" xr:uid="{EF4CB638-9F83-486A-93D4-25F435321184}"/>
  </cellStyles>
  <dxfs count="36"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9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743603</xdr:colOff>
      <xdr:row>38</xdr:row>
      <xdr:rowOff>62287</xdr:rowOff>
    </xdr:from>
    <xdr:to>
      <xdr:col>14</xdr:col>
      <xdr:colOff>476462</xdr:colOff>
      <xdr:row>42</xdr:row>
      <xdr:rowOff>118533</xdr:rowOff>
    </xdr:to>
    <xdr:sp macro="" textlink="">
      <xdr:nvSpPr>
        <xdr:cNvPr id="2" name="Tekstvak 1">
          <a:extLst>
            <a:ext uri="{FF2B5EF4-FFF2-40B4-BE49-F238E27FC236}">
              <a16:creationId xmlns:a16="http://schemas.microsoft.com/office/drawing/2014/main" id="{B6D19DD1-518A-491B-8DB5-3657F36DF5C3}"/>
            </a:ext>
          </a:extLst>
        </xdr:cNvPr>
        <xdr:cNvSpPr txBox="1"/>
      </xdr:nvSpPr>
      <xdr:spPr>
        <a:xfrm>
          <a:off x="8795403" y="7233554"/>
          <a:ext cx="1849526" cy="80131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de periode t/m vervangingsjaar = (bouwjaar+100)-startjaar LTP</a:t>
          </a:r>
        </a:p>
        <a:p>
          <a:r>
            <a:rPr lang="nl-NL" sz="900">
              <a:solidFill>
                <a:sysClr val="windowText" lastClr="000000"/>
              </a:solidFill>
            </a:rPr>
            <a:t>OF indien de vervanging in de MJOP periode valt -&gt; 100 (jaar).</a:t>
          </a:r>
        </a:p>
      </xdr:txBody>
    </xdr:sp>
    <xdr:clientData/>
  </xdr:twoCellAnchor>
  <xdr:twoCellAnchor>
    <xdr:from>
      <xdr:col>11</xdr:col>
      <xdr:colOff>16933</xdr:colOff>
      <xdr:row>40</xdr:row>
      <xdr:rowOff>90410</xdr:rowOff>
    </xdr:from>
    <xdr:to>
      <xdr:col>11</xdr:col>
      <xdr:colOff>743603</xdr:colOff>
      <xdr:row>40</xdr:row>
      <xdr:rowOff>93133</xdr:rowOff>
    </xdr:to>
    <xdr:cxnSp macro="">
      <xdr:nvCxnSpPr>
        <xdr:cNvPr id="3" name="Rechte verbindingslijn met pijl 2">
          <a:extLst>
            <a:ext uri="{FF2B5EF4-FFF2-40B4-BE49-F238E27FC236}">
              <a16:creationId xmlns:a16="http://schemas.microsoft.com/office/drawing/2014/main" id="{20FEB9F8-0BC0-4DFC-AD8B-73FA1DFB0342}"/>
            </a:ext>
          </a:extLst>
        </xdr:cNvPr>
        <xdr:cNvCxnSpPr>
          <a:stCxn id="2" idx="1"/>
        </xdr:cNvCxnSpPr>
      </xdr:nvCxnSpPr>
      <xdr:spPr>
        <a:xfrm flipH="1">
          <a:off x="8068733" y="7634210"/>
          <a:ext cx="726670" cy="2723"/>
        </a:xfrm>
        <a:prstGeom prst="straightConnector1">
          <a:avLst/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</xdr:colOff>
      <xdr:row>41</xdr:row>
      <xdr:rowOff>101864</xdr:rowOff>
    </xdr:from>
    <xdr:to>
      <xdr:col>3</xdr:col>
      <xdr:colOff>1907012</xdr:colOff>
      <xdr:row>44</xdr:row>
      <xdr:rowOff>93133</xdr:rowOff>
    </xdr:to>
    <xdr:sp macro="" textlink="">
      <xdr:nvSpPr>
        <xdr:cNvPr id="4" name="Tekstvak 3">
          <a:extLst>
            <a:ext uri="{FF2B5EF4-FFF2-40B4-BE49-F238E27FC236}">
              <a16:creationId xmlns:a16="http://schemas.microsoft.com/office/drawing/2014/main" id="{B181FAE8-DDA6-452C-B5D7-03AFD4AB020B}"/>
            </a:ext>
          </a:extLst>
        </xdr:cNvPr>
        <xdr:cNvSpPr txBox="1"/>
      </xdr:nvSpPr>
      <xdr:spPr>
        <a:xfrm>
          <a:off x="626534" y="7425531"/>
          <a:ext cx="2304945" cy="55006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nl-NL" sz="900">
              <a:solidFill>
                <a:sysClr val="windowText" lastClr="000000"/>
              </a:solidFill>
            </a:rPr>
            <a:t>Vul in jaar einde looptijd MJOP </a:t>
          </a:r>
        </a:p>
        <a:p>
          <a:r>
            <a:rPr lang="nl-NL" sz="900">
              <a:solidFill>
                <a:sysClr val="windowText" lastClr="000000"/>
              </a:solidFill>
            </a:rPr>
            <a:t>OF indien vervanging in MJOP periode valt</a:t>
          </a:r>
        </a:p>
        <a:p>
          <a:r>
            <a:rPr lang="nl-NL" sz="900" baseline="0">
              <a:solidFill>
                <a:sysClr val="windowText" lastClr="000000"/>
              </a:solidFill>
            </a:rPr>
            <a:t>het jaar van vervanging.</a:t>
          </a:r>
          <a:endParaRPr lang="nl-NL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1907012</xdr:colOff>
      <xdr:row>41</xdr:row>
      <xdr:rowOff>0</xdr:rowOff>
    </xdr:from>
    <xdr:to>
      <xdr:col>5</xdr:col>
      <xdr:colOff>338666</xdr:colOff>
      <xdr:row>43</xdr:row>
      <xdr:rowOff>4366</xdr:rowOff>
    </xdr:to>
    <xdr:cxnSp macro="">
      <xdr:nvCxnSpPr>
        <xdr:cNvPr id="5" name="Verbindingslijn: gebogen 4">
          <a:extLst>
            <a:ext uri="{FF2B5EF4-FFF2-40B4-BE49-F238E27FC236}">
              <a16:creationId xmlns:a16="http://schemas.microsoft.com/office/drawing/2014/main" id="{AA6E5F84-ED17-4E19-A8B8-C53F69B88D50}"/>
            </a:ext>
          </a:extLst>
        </xdr:cNvPr>
        <xdr:cNvCxnSpPr>
          <a:stCxn id="4" idx="3"/>
        </xdr:cNvCxnSpPr>
      </xdr:nvCxnSpPr>
      <xdr:spPr>
        <a:xfrm flipV="1">
          <a:off x="2931479" y="7323667"/>
          <a:ext cx="692254" cy="376899"/>
        </a:xfrm>
        <a:prstGeom prst="bentConnector3">
          <a:avLst>
            <a:gd name="adj1" fmla="val 100145"/>
          </a:avLst>
        </a:prstGeom>
        <a:ln w="19050">
          <a:solidFill>
            <a:sysClr val="windowText" lastClr="00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153789</xdr:colOff>
      <xdr:row>0</xdr:row>
      <xdr:rowOff>85533</xdr:rowOff>
    </xdr:from>
    <xdr:to>
      <xdr:col>3</xdr:col>
      <xdr:colOff>443866</xdr:colOff>
      <xdr:row>3</xdr:row>
      <xdr:rowOff>57189</xdr:rowOff>
    </xdr:to>
    <xdr:pic>
      <xdr:nvPicPr>
        <xdr:cNvPr id="53" name="Afbeelding 52" descr="Logo_Movares_adviseurs_RGB_verkleind 70%.jpg">
          <a:extLst>
            <a:ext uri="{FF2B5EF4-FFF2-40B4-BE49-F238E27FC236}">
              <a16:creationId xmlns:a16="http://schemas.microsoft.com/office/drawing/2014/main" id="{E3713564-7F69-4CC3-88C5-32B7FF05CD74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2389" y="85533"/>
          <a:ext cx="1085944" cy="530456"/>
        </a:xfrm>
        <a:prstGeom prst="rect">
          <a:avLst/>
        </a:prstGeom>
      </xdr:spPr>
    </xdr:pic>
    <xdr:clientData/>
  </xdr:twoCellAnchor>
  <xdr:twoCellAnchor editAs="oneCell">
    <xdr:from>
      <xdr:col>11</xdr:col>
      <xdr:colOff>766880</xdr:colOff>
      <xdr:row>0</xdr:row>
      <xdr:rowOff>116571</xdr:rowOff>
    </xdr:from>
    <xdr:to>
      <xdr:col>14</xdr:col>
      <xdr:colOff>137305</xdr:colOff>
      <xdr:row>2</xdr:row>
      <xdr:rowOff>122286</xdr:rowOff>
    </xdr:to>
    <xdr:pic>
      <xdr:nvPicPr>
        <xdr:cNvPr id="54" name="Afbeelding 53" descr="Logo ProRail Groot.bmp">
          <a:extLst>
            <a:ext uri="{FF2B5EF4-FFF2-40B4-BE49-F238E27FC236}">
              <a16:creationId xmlns:a16="http://schemas.microsoft.com/office/drawing/2014/main" id="{9597B24E-27B0-4FEB-B56E-4471CBF4B687}"/>
            </a:ext>
          </a:extLst>
        </xdr:cNvPr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18680" y="116571"/>
          <a:ext cx="1487092" cy="3782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286809</xdr:colOff>
      <xdr:row>16</xdr:row>
      <xdr:rowOff>47625</xdr:rowOff>
    </xdr:from>
    <xdr:to>
      <xdr:col>26</xdr:col>
      <xdr:colOff>66676</xdr:colOff>
      <xdr:row>19</xdr:row>
      <xdr:rowOff>58208</xdr:rowOff>
    </xdr:to>
    <xdr:sp macro="" textlink="">
      <xdr:nvSpPr>
        <xdr:cNvPr id="3" name="Bijschrift: gebogen lijn 2">
          <a:extLst>
            <a:ext uri="{FF2B5EF4-FFF2-40B4-BE49-F238E27FC236}">
              <a16:creationId xmlns:a16="http://schemas.microsoft.com/office/drawing/2014/main" id="{58457CB2-5059-4005-A6AB-0ABC6BD64B90}"/>
            </a:ext>
          </a:extLst>
        </xdr:cNvPr>
        <xdr:cNvSpPr/>
      </xdr:nvSpPr>
      <xdr:spPr>
        <a:xfrm>
          <a:off x="18060459" y="2447925"/>
          <a:ext cx="3065992" cy="524933"/>
        </a:xfrm>
        <a:prstGeom prst="borderCallout2">
          <a:avLst>
            <a:gd name="adj1" fmla="val 18750"/>
            <a:gd name="adj2" fmla="val -895"/>
            <a:gd name="adj3" fmla="val 18750"/>
            <a:gd name="adj4" fmla="val -16667"/>
            <a:gd name="adj5" fmla="val 345344"/>
            <a:gd name="adj6" fmla="val -41533"/>
          </a:avLst>
        </a:prstGeom>
        <a:solidFill>
          <a:schemeClr val="accent6">
            <a:lumMod val="20000"/>
            <a:lumOff val="80000"/>
          </a:schemeClr>
        </a:solidFill>
        <a:ln w="952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Als</a:t>
          </a:r>
          <a:r>
            <a:rPr lang="nl-NL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de LCC-tool eenmaal draait en geautoriseerd is betreft opzet dan aandacht voor wellicht betere (onderbouwde) eenheidsprijzen en mogelijkheid tot indexeren inbouwen.</a:t>
          </a:r>
          <a:r>
            <a:rPr lang="nl-NL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nl-NL" sz="900">
            <a:solidFill>
              <a:sysClr val="windowText" lastClr="000000"/>
            </a:solidFill>
            <a:effectLst/>
          </a:endParaRPr>
        </a:p>
        <a:p>
          <a:pPr algn="l"/>
          <a:endParaRPr lang="nl-NL" sz="11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18EA5-5DF3-4318-A3CE-1D42C614270C}">
  <dimension ref="B5:R107"/>
  <sheetViews>
    <sheetView tabSelected="1" view="pageBreakPreview" zoomScale="70" zoomScaleNormal="90" zoomScaleSheetLayoutView="70" workbookViewId="0">
      <selection activeCell="R35" sqref="R35"/>
    </sheetView>
  </sheetViews>
  <sheetFormatPr defaultRowHeight="14.4" outlineLevelRow="1" x14ac:dyDescent="0.3"/>
  <cols>
    <col min="1" max="1" width="3.33203125" customWidth="1"/>
    <col min="2" max="3" width="5.77734375" customWidth="1"/>
    <col min="4" max="4" width="38.5546875" customWidth="1"/>
    <col min="5" max="5" width="9.88671875" customWidth="1"/>
    <col min="6" max="6" width="9.21875" customWidth="1"/>
    <col min="7" max="7" width="14.6640625" customWidth="1"/>
    <col min="8" max="8" width="9.21875" customWidth="1"/>
    <col min="9" max="9" width="1.44140625" customWidth="1"/>
    <col min="10" max="10" width="9.77734375" customWidth="1"/>
    <col min="11" max="11" width="9.6640625" customWidth="1"/>
    <col min="12" max="13" width="11.77734375" customWidth="1"/>
    <col min="14" max="14" width="7.44140625" customWidth="1"/>
    <col min="15" max="16" width="9.6640625" customWidth="1"/>
    <col min="19" max="19" width="11.88671875" customWidth="1"/>
  </cols>
  <sheetData>
    <row r="5" spans="2:16" ht="18" x14ac:dyDescent="0.35">
      <c r="B5" s="28" t="s">
        <v>244</v>
      </c>
      <c r="C5" s="28"/>
      <c r="D5" s="29"/>
      <c r="E5" s="29"/>
      <c r="F5" s="29"/>
      <c r="G5" s="29"/>
      <c r="H5" s="29"/>
      <c r="I5" s="29"/>
      <c r="J5" s="29"/>
      <c r="K5" s="29"/>
      <c r="L5" s="30"/>
      <c r="M5" s="30"/>
      <c r="N5" s="30"/>
      <c r="O5" s="30"/>
      <c r="P5" s="30"/>
    </row>
    <row r="6" spans="2:16" ht="15" thickBot="1" x14ac:dyDescent="0.35"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2:16" ht="15" outlineLevel="1" thickBot="1" x14ac:dyDescent="0.35">
      <c r="B7" s="271" t="s">
        <v>148</v>
      </c>
      <c r="C7" s="272"/>
      <c r="D7" s="272"/>
      <c r="E7" s="272"/>
      <c r="F7" s="272"/>
      <c r="G7" s="272"/>
      <c r="H7" s="272"/>
      <c r="I7" s="272"/>
      <c r="J7" s="272"/>
      <c r="K7" s="272"/>
      <c r="L7" s="272"/>
      <c r="M7" s="272"/>
      <c r="N7" s="272"/>
      <c r="O7" s="273"/>
      <c r="P7" s="230"/>
    </row>
    <row r="8" spans="2:16" x14ac:dyDescent="0.3">
      <c r="B8" s="110" t="s">
        <v>126</v>
      </c>
      <c r="C8" s="111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3"/>
      <c r="P8" s="112"/>
    </row>
    <row r="9" spans="2:16" x14ac:dyDescent="0.3">
      <c r="B9" s="92" t="s">
        <v>114</v>
      </c>
      <c r="C9" s="93"/>
      <c r="D9" s="94"/>
      <c r="E9" s="94"/>
      <c r="F9" s="137" t="s">
        <v>120</v>
      </c>
      <c r="G9" s="31"/>
      <c r="H9" s="31"/>
      <c r="I9" s="31"/>
      <c r="J9" s="31"/>
      <c r="K9" s="31"/>
      <c r="L9" s="31"/>
      <c r="M9" s="31"/>
      <c r="N9" s="31"/>
      <c r="O9" s="32"/>
      <c r="P9" s="86"/>
    </row>
    <row r="10" spans="2:16" x14ac:dyDescent="0.3">
      <c r="B10" s="92" t="s">
        <v>115</v>
      </c>
      <c r="C10" s="93"/>
      <c r="D10" s="94"/>
      <c r="E10" s="94"/>
      <c r="F10" s="138" t="s">
        <v>121</v>
      </c>
      <c r="G10" s="31"/>
      <c r="H10" s="31"/>
      <c r="I10" s="31"/>
      <c r="J10" s="31"/>
      <c r="K10" s="31"/>
      <c r="L10" s="31"/>
      <c r="M10" s="31"/>
      <c r="N10" s="31"/>
      <c r="O10" s="32"/>
      <c r="P10" s="86"/>
    </row>
    <row r="11" spans="2:16" x14ac:dyDescent="0.3">
      <c r="B11" s="92" t="s">
        <v>116</v>
      </c>
      <c r="C11" s="93"/>
      <c r="D11" s="94"/>
      <c r="E11" s="94"/>
      <c r="F11" s="138" t="s">
        <v>122</v>
      </c>
      <c r="G11" s="31"/>
      <c r="H11" s="31"/>
      <c r="I11" s="31"/>
      <c r="J11" s="31"/>
      <c r="K11" s="31"/>
      <c r="L11" s="31"/>
      <c r="M11" s="31"/>
      <c r="N11" s="31"/>
      <c r="O11" s="32"/>
      <c r="P11" s="86"/>
    </row>
    <row r="12" spans="2:16" x14ac:dyDescent="0.3">
      <c r="B12" s="92" t="s">
        <v>117</v>
      </c>
      <c r="C12" s="93"/>
      <c r="D12" s="94"/>
      <c r="E12" s="94"/>
      <c r="F12" s="137" t="s">
        <v>123</v>
      </c>
      <c r="G12" s="31"/>
      <c r="H12" s="31"/>
      <c r="I12" s="31"/>
      <c r="J12" s="31"/>
      <c r="K12" s="31"/>
      <c r="L12" s="31"/>
      <c r="M12" s="31"/>
      <c r="N12" s="31"/>
      <c r="O12" s="32"/>
      <c r="P12" s="86"/>
    </row>
    <row r="13" spans="2:16" x14ac:dyDescent="0.3">
      <c r="B13" s="92" t="s">
        <v>118</v>
      </c>
      <c r="C13" s="93"/>
      <c r="D13" s="94"/>
      <c r="E13" s="94"/>
      <c r="F13" s="139">
        <v>43797</v>
      </c>
      <c r="G13" s="31"/>
      <c r="H13" s="31"/>
      <c r="I13" s="31"/>
      <c r="J13" s="31"/>
      <c r="K13" s="31"/>
      <c r="L13" s="31"/>
      <c r="M13" s="31"/>
      <c r="N13" s="31"/>
      <c r="O13" s="32"/>
      <c r="P13" s="86"/>
    </row>
    <row r="14" spans="2:16" ht="15" thickBot="1" x14ac:dyDescent="0.35">
      <c r="B14" s="95" t="s">
        <v>119</v>
      </c>
      <c r="C14" s="96"/>
      <c r="D14" s="97"/>
      <c r="E14" s="97"/>
      <c r="F14" s="140" t="s">
        <v>124</v>
      </c>
      <c r="G14" s="33"/>
      <c r="H14" s="33"/>
      <c r="I14" s="33"/>
      <c r="J14" s="33"/>
      <c r="K14" s="33"/>
      <c r="L14" s="33"/>
      <c r="M14" s="33"/>
      <c r="N14" s="33"/>
      <c r="O14" s="34"/>
      <c r="P14" s="86"/>
    </row>
    <row r="15" spans="2:16" x14ac:dyDescent="0.3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2:16" x14ac:dyDescent="0.3">
      <c r="B16" s="110" t="s">
        <v>125</v>
      </c>
      <c r="C16" s="111"/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</row>
    <row r="17" spans="2:18" x14ac:dyDescent="0.3">
      <c r="B17" s="98" t="s">
        <v>127</v>
      </c>
      <c r="C17" s="99"/>
      <c r="D17" s="94"/>
      <c r="E17" s="94"/>
      <c r="F17" s="141" t="s">
        <v>302</v>
      </c>
      <c r="G17" s="35"/>
      <c r="H17" s="35"/>
      <c r="I17" s="35"/>
      <c r="J17" s="31"/>
      <c r="K17" s="31"/>
      <c r="L17" s="31"/>
      <c r="M17" s="31"/>
      <c r="N17" s="31"/>
      <c r="O17" s="32"/>
      <c r="P17" s="86"/>
    </row>
    <row r="18" spans="2:18" x14ac:dyDescent="0.3">
      <c r="B18" s="98" t="s">
        <v>2</v>
      </c>
      <c r="C18" s="99"/>
      <c r="D18" s="94"/>
      <c r="E18" s="94"/>
      <c r="F18" s="141">
        <v>20</v>
      </c>
      <c r="G18" s="35"/>
      <c r="H18" s="35"/>
      <c r="I18" s="35"/>
      <c r="J18" s="31"/>
      <c r="K18" s="31"/>
      <c r="L18" s="31"/>
      <c r="M18" s="31"/>
      <c r="N18" s="31"/>
      <c r="O18" s="32"/>
      <c r="P18" s="86"/>
      <c r="R18" s="89"/>
    </row>
    <row r="19" spans="2:18" x14ac:dyDescent="0.3">
      <c r="B19" s="98" t="s">
        <v>1</v>
      </c>
      <c r="C19" s="99"/>
      <c r="D19" s="94"/>
      <c r="E19" s="94"/>
      <c r="F19" s="141" t="s">
        <v>303</v>
      </c>
      <c r="G19" s="35"/>
      <c r="H19" s="35"/>
      <c r="I19" s="35"/>
      <c r="J19" s="31"/>
      <c r="K19" s="31"/>
      <c r="L19" s="31"/>
      <c r="M19" s="31"/>
      <c r="N19" s="31"/>
      <c r="O19" s="32"/>
      <c r="P19" s="86"/>
      <c r="R19" s="89"/>
    </row>
    <row r="20" spans="2:18" x14ac:dyDescent="0.3">
      <c r="B20" s="98" t="s">
        <v>4</v>
      </c>
      <c r="C20" s="99"/>
      <c r="D20" s="94"/>
      <c r="E20" s="94"/>
      <c r="F20" s="141" t="s">
        <v>304</v>
      </c>
      <c r="G20" s="35"/>
      <c r="H20" s="35"/>
      <c r="I20" s="35"/>
      <c r="J20" s="31"/>
      <c r="K20" s="31"/>
      <c r="L20" s="31"/>
      <c r="M20" s="31"/>
      <c r="N20" s="31"/>
      <c r="O20" s="32"/>
      <c r="P20" s="86"/>
    </row>
    <row r="21" spans="2:18" x14ac:dyDescent="0.3">
      <c r="B21" s="98" t="s">
        <v>128</v>
      </c>
      <c r="C21" s="99"/>
      <c r="D21" s="94"/>
      <c r="E21" s="94"/>
      <c r="F21" s="142">
        <v>125</v>
      </c>
      <c r="G21" s="36"/>
      <c r="H21" s="36"/>
      <c r="I21" s="36"/>
      <c r="J21" s="31"/>
      <c r="K21" s="31"/>
      <c r="L21" s="31"/>
      <c r="M21" s="31"/>
      <c r="N21" s="31"/>
      <c r="O21" s="32"/>
      <c r="P21" s="86"/>
    </row>
    <row r="22" spans="2:18" x14ac:dyDescent="0.3">
      <c r="B22" s="98" t="s">
        <v>129</v>
      </c>
      <c r="C22" s="99"/>
      <c r="D22" s="94"/>
      <c r="E22" s="94"/>
      <c r="F22" s="141">
        <v>24.343</v>
      </c>
      <c r="G22" s="35"/>
      <c r="H22" s="35"/>
      <c r="I22" s="35"/>
      <c r="J22" s="31"/>
      <c r="K22" s="31"/>
      <c r="L22" s="31"/>
      <c r="M22" s="31"/>
      <c r="N22" s="31"/>
      <c r="O22" s="32"/>
      <c r="P22" s="86"/>
    </row>
    <row r="23" spans="2:18" x14ac:dyDescent="0.3">
      <c r="B23" s="98" t="s">
        <v>3</v>
      </c>
      <c r="C23" s="99"/>
      <c r="D23" s="94"/>
      <c r="E23" s="94"/>
      <c r="F23" s="141" t="s">
        <v>305</v>
      </c>
      <c r="G23" s="35"/>
      <c r="H23" s="35"/>
      <c r="I23" s="35"/>
      <c r="J23" s="31"/>
      <c r="K23" s="31"/>
      <c r="L23" s="31"/>
      <c r="M23" s="31"/>
      <c r="N23" s="31"/>
      <c r="O23" s="32"/>
      <c r="P23" s="86"/>
    </row>
    <row r="24" spans="2:18" x14ac:dyDescent="0.3">
      <c r="B24" s="98" t="s">
        <v>5</v>
      </c>
      <c r="C24" s="99"/>
      <c r="D24" s="94"/>
      <c r="E24" s="94"/>
      <c r="F24" s="141">
        <v>2001</v>
      </c>
      <c r="G24" s="35"/>
      <c r="H24" s="35"/>
      <c r="I24" s="35"/>
      <c r="J24" s="31"/>
      <c r="K24" s="31"/>
      <c r="L24" s="31"/>
      <c r="M24" s="31"/>
      <c r="N24" s="31"/>
      <c r="O24" s="32"/>
      <c r="P24" s="86"/>
    </row>
    <row r="25" spans="2:18" x14ac:dyDescent="0.3">
      <c r="B25" s="98" t="s">
        <v>6</v>
      </c>
      <c r="C25" s="99"/>
      <c r="D25" s="94"/>
      <c r="E25" s="94"/>
      <c r="F25" s="141">
        <v>1920</v>
      </c>
      <c r="G25" s="35"/>
      <c r="H25" s="35"/>
      <c r="I25" s="35"/>
      <c r="J25" s="31"/>
      <c r="K25" s="31"/>
      <c r="L25" s="31"/>
      <c r="M25" s="31"/>
      <c r="N25" s="31"/>
      <c r="O25" s="32"/>
      <c r="P25" s="86"/>
    </row>
    <row r="26" spans="2:18" x14ac:dyDescent="0.3">
      <c r="B26" s="98" t="s">
        <v>93</v>
      </c>
      <c r="C26" s="99"/>
      <c r="D26" s="94"/>
      <c r="E26" s="94"/>
      <c r="F26" s="141" t="s">
        <v>112</v>
      </c>
      <c r="G26" s="227"/>
      <c r="H26" s="35"/>
      <c r="I26" s="35"/>
      <c r="J26" s="31"/>
      <c r="K26" s="31"/>
      <c r="L26" s="31"/>
      <c r="M26" s="31"/>
      <c r="N26" s="31"/>
      <c r="O26" s="32"/>
      <c r="P26" s="86"/>
    </row>
    <row r="27" spans="2:18" x14ac:dyDescent="0.3">
      <c r="B27" s="98" t="s">
        <v>42</v>
      </c>
      <c r="C27" s="99"/>
      <c r="D27" s="94"/>
      <c r="E27" s="94"/>
      <c r="F27" s="141" t="s">
        <v>90</v>
      </c>
      <c r="G27" s="35"/>
      <c r="H27" s="35"/>
      <c r="I27" s="35"/>
      <c r="J27" s="31"/>
      <c r="K27" s="31"/>
      <c r="L27" s="31"/>
      <c r="M27" s="31"/>
      <c r="N27" s="31"/>
      <c r="O27" s="32"/>
      <c r="P27" s="86"/>
    </row>
    <row r="28" spans="2:18" x14ac:dyDescent="0.3">
      <c r="B28" s="98" t="s">
        <v>94</v>
      </c>
      <c r="C28" s="99"/>
      <c r="D28" s="94"/>
      <c r="E28" s="94"/>
      <c r="F28" s="141" t="s">
        <v>306</v>
      </c>
      <c r="G28" s="35"/>
      <c r="H28" s="35"/>
      <c r="I28" s="35"/>
      <c r="J28" s="31"/>
      <c r="K28" s="31"/>
      <c r="L28" s="31"/>
      <c r="M28" s="31"/>
      <c r="N28" s="31"/>
      <c r="O28" s="32"/>
      <c r="P28" s="86"/>
    </row>
    <row r="29" spans="2:18" x14ac:dyDescent="0.3">
      <c r="B29" s="98" t="s">
        <v>7</v>
      </c>
      <c r="C29" s="99"/>
      <c r="D29" s="94"/>
      <c r="E29" s="94"/>
      <c r="F29" s="143">
        <v>42644</v>
      </c>
      <c r="G29" s="37"/>
      <c r="H29" s="37"/>
      <c r="I29" s="37"/>
      <c r="J29" s="31"/>
      <c r="K29" s="31"/>
      <c r="L29" s="31"/>
      <c r="M29" s="31"/>
      <c r="N29" s="31"/>
      <c r="O29" s="32"/>
      <c r="P29" s="86"/>
    </row>
    <row r="30" spans="2:18" x14ac:dyDescent="0.3">
      <c r="B30" s="98" t="s">
        <v>8</v>
      </c>
      <c r="C30" s="99"/>
      <c r="D30" s="94"/>
      <c r="E30" s="94"/>
      <c r="F30" s="139">
        <v>42699</v>
      </c>
      <c r="G30" s="38"/>
      <c r="H30" s="38"/>
      <c r="I30" s="38"/>
      <c r="J30" s="31"/>
      <c r="K30" s="31"/>
      <c r="L30" s="31"/>
      <c r="M30" s="31"/>
      <c r="N30" s="31"/>
      <c r="O30" s="32"/>
      <c r="P30" s="86"/>
    </row>
    <row r="31" spans="2:18" x14ac:dyDescent="0.3">
      <c r="B31" s="98" t="s">
        <v>9</v>
      </c>
      <c r="C31" s="99"/>
      <c r="D31" s="94"/>
      <c r="E31" s="94"/>
      <c r="F31" s="139" t="s">
        <v>112</v>
      </c>
      <c r="G31" s="38"/>
      <c r="H31" s="38"/>
      <c r="I31" s="38"/>
      <c r="J31" s="31"/>
      <c r="K31" s="31"/>
      <c r="L31" s="31"/>
      <c r="M31" s="31"/>
      <c r="N31" s="31"/>
      <c r="O31" s="32"/>
      <c r="P31" s="86"/>
    </row>
    <row r="32" spans="2:18" x14ac:dyDescent="0.3">
      <c r="B32" s="98" t="s">
        <v>10</v>
      </c>
      <c r="C32" s="99"/>
      <c r="D32" s="94"/>
      <c r="E32" s="94"/>
      <c r="F32" s="139" t="s">
        <v>317</v>
      </c>
      <c r="G32" s="38"/>
      <c r="H32" s="38"/>
      <c r="I32" s="38"/>
      <c r="J32" s="161" t="s">
        <v>225</v>
      </c>
      <c r="K32" s="162"/>
      <c r="L32" s="31"/>
      <c r="M32" s="31"/>
      <c r="N32" s="31"/>
      <c r="O32" s="32"/>
      <c r="P32" s="86"/>
    </row>
    <row r="33" spans="2:16" ht="15" thickBot="1" x14ac:dyDescent="0.35">
      <c r="B33" s="100" t="s">
        <v>228</v>
      </c>
      <c r="C33" s="101"/>
      <c r="D33" s="97"/>
      <c r="E33" s="97"/>
      <c r="F33" s="144" t="s">
        <v>307</v>
      </c>
      <c r="G33" s="152"/>
      <c r="H33" s="153"/>
      <c r="I33" s="153"/>
      <c r="J33" s="153"/>
      <c r="K33" s="153"/>
      <c r="L33" s="153"/>
      <c r="M33" s="33"/>
      <c r="N33" s="33"/>
      <c r="O33" s="34"/>
      <c r="P33" s="86"/>
    </row>
    <row r="34" spans="2:16" ht="15" thickBot="1" x14ac:dyDescent="0.35">
      <c r="B34" s="85"/>
      <c r="C34" s="85"/>
      <c r="D34" s="86"/>
      <c r="E34" s="86"/>
      <c r="F34" s="86"/>
      <c r="G34" s="87"/>
      <c r="H34" s="88"/>
      <c r="I34" s="88"/>
      <c r="J34" s="86"/>
      <c r="K34" s="86"/>
      <c r="L34" s="86"/>
      <c r="M34" s="86"/>
      <c r="N34" s="86"/>
      <c r="O34" s="86"/>
      <c r="P34" s="86"/>
    </row>
    <row r="35" spans="2:16" ht="15" outlineLevel="1" thickBot="1" x14ac:dyDescent="0.35">
      <c r="B35" s="268" t="s">
        <v>144</v>
      </c>
      <c r="C35" s="269"/>
      <c r="D35" s="269"/>
      <c r="E35" s="269"/>
      <c r="F35" s="269"/>
      <c r="G35" s="269"/>
      <c r="H35" s="269"/>
      <c r="I35" s="269"/>
      <c r="J35" s="269"/>
      <c r="K35" s="269"/>
      <c r="L35" s="269"/>
      <c r="M35" s="269"/>
      <c r="N35" s="269"/>
      <c r="O35" s="270"/>
      <c r="P35" s="231"/>
    </row>
    <row r="36" spans="2:16" x14ac:dyDescent="0.3">
      <c r="B36" s="110" t="s">
        <v>245</v>
      </c>
      <c r="C36" s="111"/>
      <c r="D36" s="112"/>
      <c r="E36" s="112"/>
      <c r="F36" s="112"/>
      <c r="G36" s="112"/>
      <c r="H36" s="112"/>
      <c r="I36" s="112"/>
      <c r="J36" s="112"/>
      <c r="K36" s="112"/>
      <c r="L36" s="112"/>
      <c r="M36" s="112"/>
      <c r="N36" s="112"/>
      <c r="O36" s="113"/>
      <c r="P36" s="112"/>
    </row>
    <row r="37" spans="2:16" x14ac:dyDescent="0.3">
      <c r="B37" s="39" t="s">
        <v>37</v>
      </c>
      <c r="C37" s="41"/>
      <c r="D37" s="40"/>
      <c r="E37" s="40"/>
      <c r="F37" s="102">
        <v>2018</v>
      </c>
      <c r="G37" s="41"/>
      <c r="H37" s="131" t="s">
        <v>131</v>
      </c>
      <c r="I37" s="40"/>
      <c r="J37" s="40"/>
      <c r="K37" s="103">
        <v>10</v>
      </c>
      <c r="L37" s="42"/>
      <c r="M37" s="42"/>
      <c r="N37" s="43"/>
      <c r="O37" s="44"/>
      <c r="P37" s="232"/>
    </row>
    <row r="38" spans="2:16" x14ac:dyDescent="0.3">
      <c r="B38" s="45" t="s">
        <v>92</v>
      </c>
      <c r="C38" s="40"/>
      <c r="D38" s="43"/>
      <c r="E38" s="43"/>
      <c r="F38" s="46">
        <f>F37+5</f>
        <v>2023</v>
      </c>
      <c r="G38" s="43"/>
      <c r="H38" s="132" t="s">
        <v>130</v>
      </c>
      <c r="I38" s="43"/>
      <c r="J38" s="43"/>
      <c r="K38" s="46">
        <f>F37+K37</f>
        <v>2028</v>
      </c>
      <c r="L38" s="43"/>
      <c r="M38" s="43"/>
      <c r="N38" s="43"/>
      <c r="O38" s="47"/>
      <c r="P38" s="86"/>
    </row>
    <row r="39" spans="2:16" x14ac:dyDescent="0.3">
      <c r="B39" s="45" t="s">
        <v>91</v>
      </c>
      <c r="C39" s="40"/>
      <c r="D39" s="40"/>
      <c r="E39" s="40"/>
      <c r="F39" s="46">
        <f>F38-2</f>
        <v>2021</v>
      </c>
      <c r="G39" s="40"/>
      <c r="H39" s="133"/>
      <c r="I39" s="40"/>
      <c r="J39" s="40"/>
      <c r="K39" s="46"/>
      <c r="L39" s="43"/>
      <c r="M39" s="43"/>
      <c r="N39" s="43"/>
      <c r="O39" s="44"/>
      <c r="P39" s="232"/>
    </row>
    <row r="40" spans="2:16" x14ac:dyDescent="0.3">
      <c r="B40" s="45"/>
      <c r="C40" s="40"/>
      <c r="D40" s="40"/>
      <c r="E40" s="40"/>
      <c r="F40" s="46"/>
      <c r="G40" s="40"/>
      <c r="H40" s="133"/>
      <c r="I40" s="40"/>
      <c r="J40" s="40"/>
      <c r="K40" s="46"/>
      <c r="L40" s="43"/>
      <c r="M40" s="43"/>
      <c r="N40" s="43"/>
      <c r="O40" s="44"/>
      <c r="P40" s="232"/>
    </row>
    <row r="41" spans="2:16" x14ac:dyDescent="0.3">
      <c r="B41" s="39" t="s">
        <v>246</v>
      </c>
      <c r="C41" s="41"/>
      <c r="D41" s="40"/>
      <c r="E41" s="40"/>
      <c r="F41" s="102">
        <v>2028</v>
      </c>
      <c r="G41" s="41"/>
      <c r="H41" s="131" t="s">
        <v>247</v>
      </c>
      <c r="I41" s="40"/>
      <c r="J41" s="40"/>
      <c r="K41" s="103">
        <f>F24+100-F41</f>
        <v>73</v>
      </c>
      <c r="L41" s="42"/>
      <c r="M41" s="42"/>
      <c r="N41" s="43"/>
      <c r="O41" s="44"/>
      <c r="P41" s="232"/>
    </row>
    <row r="42" spans="2:16" x14ac:dyDescent="0.3">
      <c r="B42" s="45"/>
      <c r="C42" s="40"/>
      <c r="D42" s="40"/>
      <c r="E42" s="40"/>
      <c r="F42" s="40"/>
      <c r="G42" s="54"/>
      <c r="H42" s="133" t="s">
        <v>248</v>
      </c>
      <c r="I42" s="40"/>
      <c r="J42" s="40"/>
      <c r="K42" s="46">
        <f>F41+K41</f>
        <v>2101</v>
      </c>
      <c r="L42" s="43"/>
      <c r="M42" s="43"/>
      <c r="N42" s="43"/>
      <c r="O42" s="44"/>
      <c r="P42" s="232"/>
    </row>
    <row r="43" spans="2:16" x14ac:dyDescent="0.3">
      <c r="B43" s="48"/>
      <c r="C43" s="43"/>
      <c r="D43" s="43"/>
      <c r="E43" s="43"/>
      <c r="F43" s="43"/>
      <c r="G43" s="54"/>
      <c r="H43" s="133"/>
      <c r="I43" s="40"/>
      <c r="J43" s="40"/>
      <c r="K43" s="46"/>
      <c r="L43" s="43"/>
      <c r="M43" s="43"/>
      <c r="N43" s="43"/>
      <c r="O43" s="44"/>
      <c r="P43" s="232"/>
    </row>
    <row r="44" spans="2:16" x14ac:dyDescent="0.3">
      <c r="B44" s="48"/>
      <c r="C44" s="43"/>
      <c r="D44" s="43"/>
      <c r="E44" s="43"/>
      <c r="F44" s="43"/>
      <c r="G44" s="135"/>
      <c r="H44" s="131" t="s">
        <v>38</v>
      </c>
      <c r="I44" s="49"/>
      <c r="J44" s="49"/>
      <c r="K44" s="104">
        <v>2.5000000000000001E-2</v>
      </c>
      <c r="L44" s="49"/>
      <c r="M44" s="49"/>
      <c r="N44" s="49"/>
      <c r="O44" s="44"/>
      <c r="P44" s="232"/>
    </row>
    <row r="45" spans="2:16" ht="15" thickBot="1" x14ac:dyDescent="0.35">
      <c r="B45" s="50"/>
      <c r="C45" s="65"/>
      <c r="D45" s="51"/>
      <c r="E45" s="51"/>
      <c r="F45" s="51"/>
      <c r="G45" s="136"/>
      <c r="H45" s="134"/>
      <c r="I45" s="52"/>
      <c r="J45" s="51"/>
      <c r="K45" s="51"/>
      <c r="L45" s="51"/>
      <c r="M45" s="51"/>
      <c r="N45" s="51"/>
      <c r="O45" s="53"/>
      <c r="P45" s="86"/>
    </row>
    <row r="46" spans="2:16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</row>
    <row r="47" spans="2:16" x14ac:dyDescent="0.3">
      <c r="B47" s="114" t="s">
        <v>132</v>
      </c>
      <c r="C47" s="115"/>
      <c r="D47" s="116"/>
      <c r="E47" s="116"/>
      <c r="F47" s="116"/>
      <c r="G47" s="116"/>
      <c r="H47" s="116"/>
      <c r="I47" s="116"/>
      <c r="J47" s="116"/>
      <c r="K47" s="116"/>
      <c r="L47" s="116"/>
      <c r="M47" s="116"/>
      <c r="N47" s="116"/>
      <c r="O47" s="117"/>
      <c r="P47" s="112"/>
    </row>
    <row r="48" spans="2:16" ht="28.8" customHeight="1" x14ac:dyDescent="0.3">
      <c r="B48" s="163" t="s">
        <v>241</v>
      </c>
      <c r="C48" s="164" t="s">
        <v>242</v>
      </c>
      <c r="D48" s="67" t="str">
        <f>'Berekening MJOP+LTP'!K28</f>
        <v>Omschrijving</v>
      </c>
      <c r="E48" s="67"/>
      <c r="F48" s="68"/>
      <c r="G48" s="69"/>
      <c r="H48" s="151" t="s">
        <v>224</v>
      </c>
      <c r="I48" s="69"/>
      <c r="J48" s="69">
        <v>2017</v>
      </c>
      <c r="K48" s="70" t="str">
        <f>'Berekening MJOP+LTP'!W28</f>
        <v>uitvoering</v>
      </c>
      <c r="L48" s="70" t="str">
        <f>'Berekening MJOP+LTP'!T28</f>
        <v>kosten</v>
      </c>
      <c r="M48" s="70" t="str">
        <f>'Berekening MJOP+LTP'!Y28</f>
        <v>Σ NCW</v>
      </c>
      <c r="N48" s="244" t="str">
        <f>'Berekening MJOP+LTP'!AA28</f>
        <v>TVP duur</v>
      </c>
      <c r="O48" s="130" t="s">
        <v>282</v>
      </c>
      <c r="P48" s="233"/>
    </row>
    <row r="49" spans="2:16" x14ac:dyDescent="0.3">
      <c r="B49" s="109">
        <f>'Berekening MJOP+LTP'!B31</f>
        <v>3</v>
      </c>
      <c r="C49" s="66" t="str">
        <f>'Berekening MJOP+LTP'!D31</f>
        <v>nvt</v>
      </c>
      <c r="D49" s="68" t="str">
        <f>'Berekening MJOP+LTP'!O31</f>
        <v>PGO-contract (service provider)</v>
      </c>
      <c r="E49" s="68"/>
      <c r="F49" s="68"/>
      <c r="G49" s="69"/>
      <c r="H49" s="69"/>
      <c r="I49" s="69"/>
      <c r="J49" s="69"/>
      <c r="K49" s="70"/>
      <c r="L49" s="64">
        <f>'Berekening MJOP+LTP'!T33</f>
        <v>6500</v>
      </c>
      <c r="M49" s="64">
        <f>'Berekening MJOP+LTP'!Y33</f>
        <v>6403.5710426315018</v>
      </c>
      <c r="N49" s="245"/>
      <c r="O49" s="254">
        <f>'Berekening MJOP+LTP'!AC33</f>
        <v>731.6641072480279</v>
      </c>
      <c r="P49" s="233"/>
    </row>
    <row r="50" spans="2:16" x14ac:dyDescent="0.3">
      <c r="B50" s="109">
        <f>'Berekening MJOP+LTP'!B35</f>
        <v>2</v>
      </c>
      <c r="C50" s="66" t="str">
        <f>'Berekening MJOP+LTP'!D35</f>
        <v>nvt</v>
      </c>
      <c r="D50" s="68" t="str">
        <f>'Berekening MJOP+LTP'!O35</f>
        <v>advieswerk IB tbv productie plan</v>
      </c>
      <c r="E50" s="68"/>
      <c r="F50" s="68"/>
      <c r="G50" s="69"/>
      <c r="H50" s="69"/>
      <c r="I50" s="69"/>
      <c r="J50" s="69"/>
      <c r="K50" s="70"/>
      <c r="L50" s="64">
        <f>'Berekening MJOP+LTP'!T36</f>
        <v>5000</v>
      </c>
      <c r="M50" s="64">
        <f>'Berekening MJOP+LTP'!Y36</f>
        <v>3905.9920086286352</v>
      </c>
      <c r="N50" s="245"/>
      <c r="O50" s="254">
        <f>'Berekening MJOP+LTP'!AC36</f>
        <v>446.29381588570288</v>
      </c>
      <c r="P50" s="233"/>
    </row>
    <row r="51" spans="2:16" x14ac:dyDescent="0.3">
      <c r="B51" s="109">
        <f>'Berekening MJOP+LTP'!B38</f>
        <v>2</v>
      </c>
      <c r="C51" s="66">
        <f>'Berekening MJOP+LTP'!D38</f>
        <v>1</v>
      </c>
      <c r="D51" s="145" t="str">
        <f>'Berekening MJOP+LTP'!K38</f>
        <v>globale beschouwing constructieve veiligheid</v>
      </c>
      <c r="E51" s="188"/>
      <c r="F51" s="31"/>
      <c r="G51" s="35"/>
      <c r="H51" s="35"/>
      <c r="I51" s="35"/>
      <c r="J51" s="35"/>
      <c r="K51" s="91">
        <v>2021</v>
      </c>
      <c r="L51" s="64">
        <f>'Berekening MJOP+LTP'!T38</f>
        <v>5000</v>
      </c>
      <c r="M51" s="64">
        <f>'Berekening MJOP+LTP'!Y38</f>
        <v>4642.9970545987444</v>
      </c>
      <c r="N51" s="61">
        <f>'Berekening MJOP+LTP'!AA38</f>
        <v>0</v>
      </c>
      <c r="O51" s="255">
        <f>'Berekening MJOP+LTP'!AC38</f>
        <v>530.50310089355912</v>
      </c>
      <c r="P51" s="234"/>
    </row>
    <row r="52" spans="2:16" x14ac:dyDescent="0.3">
      <c r="B52" s="109">
        <f>'Berekening MJOP+LTP'!B39</f>
        <v>1</v>
      </c>
      <c r="C52" s="66">
        <f>'Berekening MJOP+LTP'!D39</f>
        <v>2</v>
      </c>
      <c r="D52" s="145" t="str">
        <f>'Berekening MJOP+LTP'!K39</f>
        <v>aanbrengen afschermingshekwerk aan de zuidzijde van de spoorbaan</v>
      </c>
      <c r="E52" s="188"/>
      <c r="F52" s="31"/>
      <c r="G52" s="35"/>
      <c r="H52" s="35"/>
      <c r="I52" s="35"/>
      <c r="J52" s="35"/>
      <c r="K52" s="91">
        <v>2020</v>
      </c>
      <c r="L52" s="64">
        <f>'Berekening MJOP+LTP'!T39</f>
        <v>23800</v>
      </c>
      <c r="M52" s="64">
        <f>'Berekening MJOP+LTP'!Y39</f>
        <v>22653.182629387273</v>
      </c>
      <c r="N52" s="61">
        <f>'Berekening MJOP+LTP'!AA39</f>
        <v>0</v>
      </c>
      <c r="O52" s="255">
        <f>'Berekening MJOP+LTP'!AC39</f>
        <v>2588.324629259675</v>
      </c>
      <c r="P52" s="234"/>
    </row>
    <row r="53" spans="2:16" x14ac:dyDescent="0.3">
      <c r="B53" s="109">
        <f>'Berekening MJOP+LTP'!B40</f>
        <v>0</v>
      </c>
      <c r="C53" s="66">
        <f>'Berekening MJOP+LTP'!D40</f>
        <v>3</v>
      </c>
      <c r="D53" s="145">
        <f>'Berekening MJOP+LTP'!K40</f>
        <v>0</v>
      </c>
      <c r="E53" s="188"/>
      <c r="F53" s="31"/>
      <c r="G53" s="35"/>
      <c r="H53" s="35"/>
      <c r="I53" s="35"/>
      <c r="J53" s="35"/>
      <c r="K53" s="91"/>
      <c r="L53" s="64">
        <f>'Berekening MJOP+LTP'!T40</f>
        <v>1500</v>
      </c>
      <c r="M53" s="64">
        <f>'Berekening MJOP+LTP'!Y40</f>
        <v>0</v>
      </c>
      <c r="N53" s="61">
        <f>'Berekening MJOP+LTP'!AA40</f>
        <v>0</v>
      </c>
      <c r="O53" s="255">
        <f>'Berekening MJOP+LTP'!AC40</f>
        <v>0</v>
      </c>
      <c r="P53" s="234"/>
    </row>
    <row r="54" spans="2:16" x14ac:dyDescent="0.3">
      <c r="B54" s="109">
        <f>'Berekening MJOP+LTP'!B41</f>
        <v>0</v>
      </c>
      <c r="C54" s="66">
        <f>'Berekening MJOP+LTP'!D41</f>
        <v>4</v>
      </c>
      <c r="D54" s="145">
        <f>'Berekening MJOP+LTP'!K41</f>
        <v>0</v>
      </c>
      <c r="E54" s="188"/>
      <c r="F54" s="31"/>
      <c r="G54" s="35"/>
      <c r="H54" s="35"/>
      <c r="I54" s="35"/>
      <c r="J54" s="35"/>
      <c r="K54" s="91"/>
      <c r="L54" s="64">
        <f>'Berekening MJOP+LTP'!T41</f>
        <v>0</v>
      </c>
      <c r="M54" s="64">
        <f>'Berekening MJOP+LTP'!Y41</f>
        <v>0</v>
      </c>
      <c r="N54" s="61">
        <f>'Berekening MJOP+LTP'!AA41</f>
        <v>0</v>
      </c>
      <c r="O54" s="255">
        <f>'Berekening MJOP+LTP'!AC41</f>
        <v>0</v>
      </c>
      <c r="P54" s="234"/>
    </row>
    <row r="55" spans="2:16" x14ac:dyDescent="0.3">
      <c r="B55" s="109">
        <f>'Berekening MJOP+LTP'!B42</f>
        <v>0</v>
      </c>
      <c r="C55" s="66">
        <f>'Berekening MJOP+LTP'!D42</f>
        <v>5</v>
      </c>
      <c r="D55" s="145">
        <f>'Berekening MJOP+LTP'!K42</f>
        <v>0</v>
      </c>
      <c r="E55" s="188"/>
      <c r="F55" s="31"/>
      <c r="G55" s="35"/>
      <c r="H55" s="35"/>
      <c r="I55" s="35"/>
      <c r="J55" s="35"/>
      <c r="K55" s="91"/>
      <c r="L55" s="64">
        <f>'Berekening MJOP+LTP'!T42</f>
        <v>0</v>
      </c>
      <c r="M55" s="64">
        <f>'Berekening MJOP+LTP'!Y42</f>
        <v>0</v>
      </c>
      <c r="N55" s="61">
        <f>'Berekening MJOP+LTP'!AA42</f>
        <v>0</v>
      </c>
      <c r="O55" s="255">
        <f>'Berekening MJOP+LTP'!AC42</f>
        <v>0</v>
      </c>
      <c r="P55" s="234"/>
    </row>
    <row r="56" spans="2:16" x14ac:dyDescent="0.3">
      <c r="B56" s="109">
        <f>'Berekening MJOP+LTP'!B43</f>
        <v>0</v>
      </c>
      <c r="C56" s="66">
        <f>'Berekening MJOP+LTP'!D43</f>
        <v>6</v>
      </c>
      <c r="D56" s="145">
        <f>'Berekening MJOP+LTP'!K43</f>
        <v>0</v>
      </c>
      <c r="E56" s="188"/>
      <c r="F56" s="31"/>
      <c r="G56" s="35"/>
      <c r="H56" s="35"/>
      <c r="I56" s="35"/>
      <c r="J56" s="35"/>
      <c r="K56" s="91"/>
      <c r="L56" s="64">
        <f>'Berekening MJOP+LTP'!T43</f>
        <v>0</v>
      </c>
      <c r="M56" s="64">
        <f>'Berekening MJOP+LTP'!Y43</f>
        <v>0</v>
      </c>
      <c r="N56" s="61">
        <f>'Berekening MJOP+LTP'!AA43</f>
        <v>0</v>
      </c>
      <c r="O56" s="255">
        <f>'Berekening MJOP+LTP'!AC43</f>
        <v>0</v>
      </c>
      <c r="P56" s="234"/>
    </row>
    <row r="57" spans="2:16" x14ac:dyDescent="0.3">
      <c r="B57" s="109">
        <f>'Berekening MJOP+LTP'!B44</f>
        <v>0</v>
      </c>
      <c r="C57" s="66">
        <f>'Berekening MJOP+LTP'!D44</f>
        <v>7</v>
      </c>
      <c r="D57" s="145">
        <f>'Berekening MJOP+LTP'!K44</f>
        <v>0</v>
      </c>
      <c r="E57" s="188"/>
      <c r="F57" s="31"/>
      <c r="G57" s="35"/>
      <c r="H57" s="35"/>
      <c r="I57" s="35"/>
      <c r="J57" s="35"/>
      <c r="K57" s="157"/>
      <c r="L57" s="154">
        <f>'Berekening MJOP+LTP'!T44</f>
        <v>0</v>
      </c>
      <c r="M57" s="64">
        <f>'Berekening MJOP+LTP'!Y44</f>
        <v>0</v>
      </c>
      <c r="N57" s="61">
        <f>'Berekening MJOP+LTP'!AA44</f>
        <v>0</v>
      </c>
      <c r="O57" s="255">
        <f>'Berekening MJOP+LTP'!AC44</f>
        <v>0</v>
      </c>
      <c r="P57" s="234"/>
    </row>
    <row r="58" spans="2:16" x14ac:dyDescent="0.3">
      <c r="B58" s="121">
        <f>'Berekening MJOP+LTP'!B45</f>
        <v>0</v>
      </c>
      <c r="C58" s="122">
        <f>'Berekening MJOP+LTP'!D45</f>
        <v>8</v>
      </c>
      <c r="D58" s="145">
        <f>'Berekening MJOP+LTP'!K45</f>
        <v>0</v>
      </c>
      <c r="E58" s="188"/>
      <c r="F58" s="31"/>
      <c r="G58" s="56"/>
      <c r="H58" s="56"/>
      <c r="I58" s="56"/>
      <c r="J58" s="56"/>
      <c r="K58" s="158"/>
      <c r="L58" s="155">
        <f>'Berekening MJOP+LTP'!T45</f>
        <v>0</v>
      </c>
      <c r="M58" s="123">
        <f>'Berekening MJOP+LTP'!Y45</f>
        <v>0</v>
      </c>
      <c r="N58" s="124">
        <f>'Berekening MJOP+LTP'!AA45</f>
        <v>0</v>
      </c>
      <c r="O58" s="256">
        <f>'Berekening MJOP+LTP'!AC45</f>
        <v>0</v>
      </c>
      <c r="P58" s="234"/>
    </row>
    <row r="59" spans="2:16" ht="15" thickBot="1" x14ac:dyDescent="0.35">
      <c r="B59" s="125">
        <f>'Berekening MJOP+LTP'!B46</f>
        <v>1</v>
      </c>
      <c r="C59" s="126" t="str">
        <f>'Berekening MJOP+LTP'!D46</f>
        <v>nvt</v>
      </c>
      <c r="D59" s="55" t="str">
        <f>'Berekening MJOP+LTP'!K46</f>
        <v>vervangingskosten (incl. sloop bestaand)</v>
      </c>
      <c r="E59" s="55"/>
      <c r="F59" s="55"/>
      <c r="G59" s="56"/>
      <c r="H59" s="127" t="s">
        <v>142</v>
      </c>
      <c r="I59" s="127"/>
      <c r="J59" s="56">
        <f>F24+100</f>
        <v>2101</v>
      </c>
      <c r="K59" s="159">
        <v>2101</v>
      </c>
      <c r="L59" s="156">
        <f>'Berekening MJOP+LTP'!T46</f>
        <v>1035534.5999999999</v>
      </c>
      <c r="M59" s="128">
        <f>'Berekening MJOP+LTP'!Y46</f>
        <v>0</v>
      </c>
      <c r="N59" s="129">
        <f>'Berekening MJOP+LTP'!AA46</f>
        <v>104</v>
      </c>
      <c r="O59" s="257">
        <f>'Berekening MJOP+LTP'!AC46</f>
        <v>0</v>
      </c>
      <c r="P59" s="235"/>
    </row>
    <row r="60" spans="2:16" x14ac:dyDescent="0.3">
      <c r="B60" s="207" t="s">
        <v>295</v>
      </c>
      <c r="C60" s="189"/>
      <c r="D60" s="208"/>
      <c r="E60" s="208"/>
      <c r="F60" s="189"/>
      <c r="G60" s="190" t="s">
        <v>150</v>
      </c>
      <c r="H60" s="191">
        <f>F37</f>
        <v>2018</v>
      </c>
      <c r="I60" s="209" t="s">
        <v>29</v>
      </c>
      <c r="J60" s="192">
        <f>K38</f>
        <v>2028</v>
      </c>
      <c r="K60" s="193"/>
      <c r="L60" s="210">
        <f t="shared" ref="L60:O61" si="0">L49</f>
        <v>6500</v>
      </c>
      <c r="M60" s="210">
        <f t="shared" si="0"/>
        <v>6403.5710426315018</v>
      </c>
      <c r="N60" s="246">
        <f t="shared" si="0"/>
        <v>0</v>
      </c>
      <c r="O60" s="258">
        <f t="shared" si="0"/>
        <v>731.6641072480279</v>
      </c>
      <c r="P60" s="236"/>
    </row>
    <row r="61" spans="2:16" x14ac:dyDescent="0.3">
      <c r="B61" s="211" t="s">
        <v>313</v>
      </c>
      <c r="C61" s="194"/>
      <c r="D61" s="212"/>
      <c r="E61" s="212"/>
      <c r="F61" s="194"/>
      <c r="G61" s="195" t="s">
        <v>150</v>
      </c>
      <c r="H61" s="196">
        <f>F37</f>
        <v>2018</v>
      </c>
      <c r="I61" s="213" t="s">
        <v>29</v>
      </c>
      <c r="J61" s="197">
        <f>K38</f>
        <v>2028</v>
      </c>
      <c r="K61" s="198"/>
      <c r="L61" s="214">
        <f t="shared" si="0"/>
        <v>5000</v>
      </c>
      <c r="M61" s="214">
        <f t="shared" si="0"/>
        <v>3905.9920086286352</v>
      </c>
      <c r="N61" s="247">
        <f t="shared" si="0"/>
        <v>0</v>
      </c>
      <c r="O61" s="259">
        <f t="shared" si="0"/>
        <v>446.29381588570288</v>
      </c>
      <c r="P61" s="236"/>
    </row>
    <row r="62" spans="2:16" x14ac:dyDescent="0.3">
      <c r="B62" s="211" t="s">
        <v>296</v>
      </c>
      <c r="C62" s="194"/>
      <c r="D62" s="212"/>
      <c r="E62" s="212"/>
      <c r="F62" s="194"/>
      <c r="G62" s="195" t="s">
        <v>150</v>
      </c>
      <c r="H62" s="196">
        <f>F37</f>
        <v>2018</v>
      </c>
      <c r="I62" s="213" t="s">
        <v>29</v>
      </c>
      <c r="J62" s="197">
        <f>K38</f>
        <v>2028</v>
      </c>
      <c r="K62" s="198"/>
      <c r="L62" s="214">
        <f>SUMIF(B51:B58,2,L51:L58)</f>
        <v>5000</v>
      </c>
      <c r="M62" s="214">
        <f>SUMIF(B51:B58,2,M51:M58)</f>
        <v>4642.9970545987444</v>
      </c>
      <c r="N62" s="247">
        <f>SUMIF(B51:B58,2,N51:N58)</f>
        <v>0</v>
      </c>
      <c r="O62" s="259">
        <f>SUMIF(B51:B58,2,O51:O58)</f>
        <v>530.50310089355912</v>
      </c>
      <c r="P62" s="236"/>
    </row>
    <row r="63" spans="2:16" x14ac:dyDescent="0.3">
      <c r="B63" s="211" t="s">
        <v>297</v>
      </c>
      <c r="C63" s="194"/>
      <c r="D63" s="212"/>
      <c r="E63" s="212"/>
      <c r="F63" s="194"/>
      <c r="G63" s="195" t="s">
        <v>150</v>
      </c>
      <c r="H63" s="196">
        <f>F37</f>
        <v>2018</v>
      </c>
      <c r="I63" s="213" t="s">
        <v>29</v>
      </c>
      <c r="J63" s="197">
        <f>K38</f>
        <v>2028</v>
      </c>
      <c r="K63" s="198"/>
      <c r="L63" s="214">
        <f>SUMIF(B51:B58,1,L51:L58)</f>
        <v>23800</v>
      </c>
      <c r="M63" s="214">
        <f>SUMIF(B51:B58,1,M51:M58)</f>
        <v>22653.182629387273</v>
      </c>
      <c r="N63" s="247">
        <f>SUMIF(B51:B58,1,N51:N58)</f>
        <v>0</v>
      </c>
      <c r="O63" s="259">
        <f>SUMIF(B51:B58,1,O51:O58)</f>
        <v>2588.324629259675</v>
      </c>
      <c r="P63" s="236"/>
    </row>
    <row r="64" spans="2:16" x14ac:dyDescent="0.3">
      <c r="B64" s="211" t="s">
        <v>274</v>
      </c>
      <c r="C64" s="194"/>
      <c r="D64" s="212"/>
      <c r="E64" s="212"/>
      <c r="F64" s="194"/>
      <c r="G64" s="195" t="s">
        <v>150</v>
      </c>
      <c r="H64" s="196">
        <f>F37</f>
        <v>2018</v>
      </c>
      <c r="I64" s="213" t="s">
        <v>29</v>
      </c>
      <c r="J64" s="197">
        <f>K38</f>
        <v>2028</v>
      </c>
      <c r="K64" s="198"/>
      <c r="L64" s="214">
        <f>SUM(L51:L58)</f>
        <v>30300</v>
      </c>
      <c r="M64" s="214">
        <f>SUM(M51:M58)</f>
        <v>27296.179683986018</v>
      </c>
      <c r="N64" s="247">
        <f>SUM(N51:N58)</f>
        <v>0</v>
      </c>
      <c r="O64" s="259">
        <f>SUM(O51:O58)</f>
        <v>3118.8277301532344</v>
      </c>
      <c r="P64" s="236"/>
    </row>
    <row r="65" spans="2:16" x14ac:dyDescent="0.3">
      <c r="B65" s="211" t="s">
        <v>298</v>
      </c>
      <c r="C65" s="194"/>
      <c r="D65" s="212"/>
      <c r="E65" s="212"/>
      <c r="F65" s="194"/>
      <c r="G65" s="205" t="s">
        <v>258</v>
      </c>
      <c r="H65" s="196"/>
      <c r="I65" s="213"/>
      <c r="J65" s="197"/>
      <c r="K65" s="224">
        <f>K59</f>
        <v>2101</v>
      </c>
      <c r="L65" s="214">
        <f>L59</f>
        <v>1035534.5999999999</v>
      </c>
      <c r="M65" s="214">
        <f>M59</f>
        <v>0</v>
      </c>
      <c r="N65" s="248">
        <f>N59</f>
        <v>104</v>
      </c>
      <c r="O65" s="259">
        <f>O59</f>
        <v>0</v>
      </c>
      <c r="P65" s="237"/>
    </row>
    <row r="66" spans="2:16" ht="15" thickBot="1" x14ac:dyDescent="0.35">
      <c r="B66" s="215" t="s">
        <v>275</v>
      </c>
      <c r="C66" s="199"/>
      <c r="D66" s="216"/>
      <c r="E66" s="216"/>
      <c r="F66" s="199"/>
      <c r="G66" s="200" t="s">
        <v>150</v>
      </c>
      <c r="H66" s="201">
        <f>F37</f>
        <v>2018</v>
      </c>
      <c r="I66" s="217" t="s">
        <v>29</v>
      </c>
      <c r="J66" s="202">
        <f>K38</f>
        <v>2028</v>
      </c>
      <c r="K66" s="203"/>
      <c r="L66" s="218">
        <f>SUM(L49:L59)</f>
        <v>1077334.5999999999</v>
      </c>
      <c r="M66" s="218">
        <f>SUM(M49:M59)</f>
        <v>37605.742735246153</v>
      </c>
      <c r="N66" s="249">
        <f>SUM(N49:N59)</f>
        <v>104</v>
      </c>
      <c r="O66" s="260">
        <f>SUM(O49:O59)</f>
        <v>4296.7856532869646</v>
      </c>
      <c r="P66" s="237"/>
    </row>
    <row r="67" spans="2:16" x14ac:dyDescent="0.3">
      <c r="B67" s="1"/>
      <c r="C67" s="1"/>
      <c r="D67" s="1"/>
      <c r="E67" s="1"/>
      <c r="F67" s="1"/>
      <c r="G67" s="1"/>
      <c r="H67" s="4"/>
      <c r="I67" s="4"/>
      <c r="J67" s="1"/>
      <c r="K67" s="15"/>
      <c r="L67" s="5"/>
      <c r="M67" s="5"/>
      <c r="N67" s="5"/>
      <c r="O67" s="5"/>
      <c r="P67" s="5"/>
    </row>
    <row r="68" spans="2:16" x14ac:dyDescent="0.3">
      <c r="B68" s="114" t="s">
        <v>243</v>
      </c>
      <c r="C68" s="115"/>
      <c r="D68" s="116"/>
      <c r="E68" s="116"/>
      <c r="F68" s="116"/>
      <c r="G68" s="116"/>
      <c r="H68" s="116"/>
      <c r="I68" s="116"/>
      <c r="J68" s="116"/>
      <c r="K68" s="116"/>
      <c r="L68" s="116"/>
      <c r="M68" s="116"/>
      <c r="N68" s="118"/>
      <c r="O68" s="119"/>
      <c r="P68" s="238"/>
    </row>
    <row r="69" spans="2:16" ht="24" x14ac:dyDescent="0.3">
      <c r="B69" s="165" t="s">
        <v>241</v>
      </c>
      <c r="C69" s="71" t="s">
        <v>11</v>
      </c>
      <c r="D69" s="71"/>
      <c r="E69" s="71"/>
      <c r="F69" s="71"/>
      <c r="G69" s="72"/>
      <c r="H69" s="72"/>
      <c r="I69" s="72"/>
      <c r="J69" s="72"/>
      <c r="K69" s="73" t="str">
        <f>'Berekening MJOP+LTP'!W54</f>
        <v>uitvoering</v>
      </c>
      <c r="L69" s="74" t="str">
        <f>'Berekening MJOP+LTP'!T54</f>
        <v>kosten</v>
      </c>
      <c r="M69" s="74" t="str">
        <f>'Berekening MJOP+LTP'!Y54</f>
        <v>Σ NCW</v>
      </c>
      <c r="N69" s="250" t="s">
        <v>140</v>
      </c>
      <c r="O69" s="130" t="s">
        <v>282</v>
      </c>
      <c r="P69" s="239"/>
    </row>
    <row r="70" spans="2:16" x14ac:dyDescent="0.3">
      <c r="B70" s="105"/>
      <c r="C70" s="59" t="str">
        <f>'Berekening MJOP+LTP'!B57</f>
        <v>Stalen kunstwerk</v>
      </c>
      <c r="D70" s="31"/>
      <c r="E70" s="31"/>
      <c r="F70" s="31"/>
      <c r="G70" s="35"/>
      <c r="H70" s="35"/>
      <c r="I70" s="35"/>
      <c r="J70" s="35"/>
      <c r="K70" s="57"/>
      <c r="L70" s="60"/>
      <c r="M70" s="60"/>
      <c r="N70" s="75"/>
      <c r="O70" s="261"/>
      <c r="P70" s="240"/>
    </row>
    <row r="71" spans="2:16" x14ac:dyDescent="0.3">
      <c r="B71" s="106">
        <f>'Berekening MJOP+LTP'!B58</f>
        <v>3</v>
      </c>
      <c r="C71" s="31"/>
      <c r="D71" s="108" t="str">
        <f>'Berekening MJOP+LTP'!B74</f>
        <v>totaal klein cyclisch onderhoud</v>
      </c>
      <c r="E71" s="108"/>
      <c r="F71" s="31"/>
      <c r="G71" s="35"/>
      <c r="H71" s="35"/>
      <c r="I71" s="35"/>
      <c r="J71" s="35"/>
      <c r="K71" s="57"/>
      <c r="L71" s="58"/>
      <c r="M71" s="64">
        <f>'Berekening MJOP+LTP'!Y74</f>
        <v>0</v>
      </c>
      <c r="N71" s="61">
        <f>'Berekening MJOP+LTP'!AA74</f>
        <v>0</v>
      </c>
      <c r="O71" s="261">
        <f>'Berekening MJOP+LTP'!AC74</f>
        <v>0</v>
      </c>
      <c r="P71" s="234"/>
    </row>
    <row r="72" spans="2:16" x14ac:dyDescent="0.3">
      <c r="B72" s="106">
        <f>'Berekening MJOP+LTP'!B80</f>
        <v>1</v>
      </c>
      <c r="C72" s="31"/>
      <c r="D72" s="31" t="str">
        <f>'Berekening MJOP+LTP'!B95</f>
        <v>totaal groot cyclisch onderhoud</v>
      </c>
      <c r="E72" s="31"/>
      <c r="F72" s="31"/>
      <c r="G72" s="35"/>
      <c r="H72" s="35"/>
      <c r="I72" s="35"/>
      <c r="J72" s="35"/>
      <c r="K72" s="61"/>
      <c r="L72" s="58"/>
      <c r="M72" s="64">
        <f>'Berekening MJOP+LTP'!Y95</f>
        <v>0</v>
      </c>
      <c r="N72" s="61">
        <f>'Berekening MJOP+LTP'!AA95</f>
        <v>0</v>
      </c>
      <c r="O72" s="261">
        <f>'Berekening MJOP+LTP'!AC95</f>
        <v>0</v>
      </c>
      <c r="P72" s="234"/>
    </row>
    <row r="73" spans="2:16" x14ac:dyDescent="0.3">
      <c r="B73" s="106">
        <f>'Berekening MJOP+LTP'!B97</f>
        <v>1</v>
      </c>
      <c r="C73" s="31"/>
      <c r="D73" s="31" t="str">
        <f>'Berekening MJOP+LTP'!B105</f>
        <v>totaal vervanging</v>
      </c>
      <c r="E73" s="31"/>
      <c r="F73" s="31"/>
      <c r="G73" s="35"/>
      <c r="H73" s="146" t="s">
        <v>142</v>
      </c>
      <c r="I73" s="35"/>
      <c r="J73" s="35">
        <f>F24+100</f>
        <v>2101</v>
      </c>
      <c r="K73" s="90"/>
      <c r="L73" s="64">
        <f>'Berekening MJOP+LTP'!T105</f>
        <v>0</v>
      </c>
      <c r="M73" s="64">
        <f>'Berekening MJOP+LTP'!Y105</f>
        <v>0</v>
      </c>
      <c r="N73" s="61">
        <f>'Berekening MJOP+LTP'!AA97</f>
        <v>0</v>
      </c>
      <c r="O73" s="261">
        <f>'Berekening MJOP+LTP'!AC105</f>
        <v>0</v>
      </c>
      <c r="P73" s="234"/>
    </row>
    <row r="74" spans="2:16" x14ac:dyDescent="0.3">
      <c r="B74" s="105"/>
      <c r="C74" s="59" t="str">
        <f>'Berekening MJOP+LTP'!B108</f>
        <v>Betonnen kunstwerk</v>
      </c>
      <c r="D74" s="31"/>
      <c r="E74" s="31"/>
      <c r="F74" s="31"/>
      <c r="G74" s="35"/>
      <c r="H74" s="35"/>
      <c r="I74" s="35"/>
      <c r="J74" s="35"/>
      <c r="K74" s="57"/>
      <c r="L74" s="60"/>
      <c r="M74" s="64"/>
      <c r="N74" s="61"/>
      <c r="O74" s="261">
        <f>'Berekening MJOP+LTP'!AA145</f>
        <v>0</v>
      </c>
      <c r="P74" s="234"/>
    </row>
    <row r="75" spans="2:16" x14ac:dyDescent="0.3">
      <c r="B75" s="106">
        <f>'Berekening MJOP+LTP'!B109</f>
        <v>3</v>
      </c>
      <c r="C75" s="31"/>
      <c r="D75" s="31" t="str">
        <f>'Berekening MJOP+LTP'!B125</f>
        <v>totaal klein cyclisch onderhoud</v>
      </c>
      <c r="E75" s="31"/>
      <c r="F75" s="31"/>
      <c r="G75" s="35"/>
      <c r="H75" s="35"/>
      <c r="I75" s="35"/>
      <c r="J75" s="35"/>
      <c r="K75" s="61"/>
      <c r="L75" s="58"/>
      <c r="M75" s="64">
        <f>'Berekening MJOP+LTP'!Y125</f>
        <v>77771.272590053981</v>
      </c>
      <c r="N75" s="61">
        <f>'Berekening MJOP+LTP'!AA125</f>
        <v>0</v>
      </c>
      <c r="O75" s="261">
        <f>'Berekening MJOP+LTP'!AC125</f>
        <v>2328.1358863469591</v>
      </c>
      <c r="P75" s="234"/>
    </row>
    <row r="76" spans="2:16" x14ac:dyDescent="0.3">
      <c r="B76" s="106">
        <f>'Berekening MJOP+LTP'!B131</f>
        <v>1</v>
      </c>
      <c r="C76" s="31"/>
      <c r="D76" s="31" t="str">
        <f>'Berekening MJOP+LTP'!B147</f>
        <v>totaal groot cyclisch onderhoud</v>
      </c>
      <c r="E76" s="31"/>
      <c r="F76" s="31"/>
      <c r="G76" s="35"/>
      <c r="H76" s="35"/>
      <c r="I76" s="35"/>
      <c r="J76" s="35"/>
      <c r="K76" s="61"/>
      <c r="L76" s="58"/>
      <c r="M76" s="64">
        <f>'Berekening MJOP+LTP'!Y147</f>
        <v>50585.52768964781</v>
      </c>
      <c r="N76" s="61">
        <f>'Berekening MJOP+LTP'!AA147</f>
        <v>0</v>
      </c>
      <c r="O76" s="261">
        <f>'Berekening MJOP+LTP'!AC147</f>
        <v>1514.3121415133976</v>
      </c>
      <c r="P76" s="234"/>
    </row>
    <row r="77" spans="2:16" x14ac:dyDescent="0.3">
      <c r="B77" s="106">
        <f>'Berekening MJOP+LTP'!B149</f>
        <v>1</v>
      </c>
      <c r="C77" s="31"/>
      <c r="D77" s="31" t="str">
        <f>'Berekening MJOP+LTP'!B154</f>
        <v>totaal vervanging</v>
      </c>
      <c r="E77" s="31"/>
      <c r="F77" s="31"/>
      <c r="G77" s="35"/>
      <c r="H77" s="146" t="s">
        <v>142</v>
      </c>
      <c r="I77" s="35"/>
      <c r="J77" s="35">
        <f>F24+100</f>
        <v>2101</v>
      </c>
      <c r="K77" s="90">
        <v>2101</v>
      </c>
      <c r="L77" s="64">
        <f>'Berekening MJOP+LTP'!T154</f>
        <v>839392.16399999987</v>
      </c>
      <c r="M77" s="64">
        <f>'Berekening MJOP+LTP'!Y154</f>
        <v>138395.7447270893</v>
      </c>
      <c r="N77" s="61">
        <f>'Berekening MJOP+LTP'!AA149</f>
        <v>52</v>
      </c>
      <c r="O77" s="261">
        <f>'Berekening MJOP+LTP'!AC154</f>
        <v>4142.9706508114368</v>
      </c>
      <c r="P77" s="234"/>
    </row>
    <row r="78" spans="2:16" x14ac:dyDescent="0.3">
      <c r="B78" s="105"/>
      <c r="C78" s="59" t="str">
        <f>'Berekening MJOP+LTP'!B157</f>
        <v>Metselwerk kunstwerk</v>
      </c>
      <c r="D78" s="31"/>
      <c r="E78" s="31"/>
      <c r="F78" s="31"/>
      <c r="G78" s="35"/>
      <c r="H78" s="35"/>
      <c r="I78" s="35"/>
      <c r="J78" s="35"/>
      <c r="K78" s="57"/>
      <c r="L78" s="60"/>
      <c r="M78" s="64"/>
      <c r="N78" s="61"/>
      <c r="O78" s="261">
        <f>'Berekening MJOP+LTP'!AA196</f>
        <v>0</v>
      </c>
      <c r="P78" s="234"/>
    </row>
    <row r="79" spans="2:16" x14ac:dyDescent="0.3">
      <c r="B79" s="106">
        <f>'Berekening MJOP+LTP'!B158</f>
        <v>3</v>
      </c>
      <c r="C79" s="31"/>
      <c r="D79" s="31" t="str">
        <f>'Berekening MJOP+LTP'!B173</f>
        <v>totaal klein cyclisch onderhoud</v>
      </c>
      <c r="E79" s="31"/>
      <c r="F79" s="31"/>
      <c r="G79" s="35"/>
      <c r="H79" s="35"/>
      <c r="I79" s="35"/>
      <c r="J79" s="35"/>
      <c r="K79" s="61"/>
      <c r="L79" s="58"/>
      <c r="M79" s="64">
        <f>'Berekening MJOP+LTP'!Y172</f>
        <v>0</v>
      </c>
      <c r="N79" s="61">
        <f>'Berekening MJOP+LTP'!AA172</f>
        <v>0</v>
      </c>
      <c r="O79" s="261">
        <f>'Berekening MJOP+LTP'!AC172</f>
        <v>0</v>
      </c>
      <c r="P79" s="234"/>
    </row>
    <row r="80" spans="2:16" x14ac:dyDescent="0.3">
      <c r="B80" s="106">
        <f>'Berekening MJOP+LTP'!B174</f>
        <v>1</v>
      </c>
      <c r="C80" s="31"/>
      <c r="D80" s="31" t="str">
        <f>'Berekening MJOP+LTP'!B185</f>
        <v>totaal groot cyclisch onderhoud</v>
      </c>
      <c r="E80" s="31"/>
      <c r="F80" s="31"/>
      <c r="G80" s="35"/>
      <c r="H80" s="35"/>
      <c r="I80" s="35"/>
      <c r="J80" s="35"/>
      <c r="K80" s="61"/>
      <c r="L80" s="58"/>
      <c r="M80" s="64">
        <f>'Berekening MJOP+LTP'!Y185</f>
        <v>0</v>
      </c>
      <c r="N80" s="61">
        <f>'Berekening MJOP+LTP'!AA185</f>
        <v>0</v>
      </c>
      <c r="O80" s="261">
        <f>'Berekening MJOP+LTP'!AC185</f>
        <v>0</v>
      </c>
      <c r="P80" s="234"/>
    </row>
    <row r="81" spans="2:17" x14ac:dyDescent="0.3">
      <c r="B81" s="106">
        <f>'Berekening MJOP+LTP'!B187</f>
        <v>1</v>
      </c>
      <c r="C81" s="31"/>
      <c r="D81" s="31" t="str">
        <f>'Berekening MJOP+LTP'!B191</f>
        <v>totaal vervanging</v>
      </c>
      <c r="E81" s="31"/>
      <c r="F81" s="31"/>
      <c r="G81" s="35"/>
      <c r="H81" s="146" t="s">
        <v>142</v>
      </c>
      <c r="I81" s="35"/>
      <c r="J81" s="35">
        <f>F24+100</f>
        <v>2101</v>
      </c>
      <c r="K81" s="90"/>
      <c r="L81" s="64">
        <f>'Berekening MJOP+LTP'!Y191</f>
        <v>0</v>
      </c>
      <c r="M81" s="64">
        <f>'Berekening MJOP+LTP'!Y191</f>
        <v>0</v>
      </c>
      <c r="N81" s="61">
        <f>'Berekening MJOP+LTP'!AA187</f>
        <v>0</v>
      </c>
      <c r="O81" s="261">
        <f>'Berekening MJOP+LTP'!AC191</f>
        <v>0</v>
      </c>
      <c r="P81" s="234"/>
    </row>
    <row r="82" spans="2:17" x14ac:dyDescent="0.3">
      <c r="B82" s="105"/>
      <c r="C82" s="59" t="str">
        <f>'Berekening MJOP+LTP'!B194</f>
        <v>Betonnen onderbouw</v>
      </c>
      <c r="D82" s="31"/>
      <c r="E82" s="31"/>
      <c r="F82" s="31"/>
      <c r="G82" s="35"/>
      <c r="H82" s="35"/>
      <c r="I82" s="35"/>
      <c r="J82" s="35"/>
      <c r="K82" s="57"/>
      <c r="L82" s="60"/>
      <c r="M82" s="64"/>
      <c r="N82" s="61"/>
      <c r="O82" s="261"/>
      <c r="P82" s="234"/>
    </row>
    <row r="83" spans="2:17" x14ac:dyDescent="0.3">
      <c r="B83" s="106">
        <f>'Berekening MJOP+LTP'!B195</f>
        <v>3</v>
      </c>
      <c r="C83" s="31"/>
      <c r="D83" s="31" t="str">
        <f>'Berekening MJOP+LTP'!B200</f>
        <v>totaal klein cyclisch onderhoud</v>
      </c>
      <c r="E83" s="31"/>
      <c r="F83" s="31"/>
      <c r="G83" s="35"/>
      <c r="H83" s="35"/>
      <c r="I83" s="35"/>
      <c r="J83" s="35"/>
      <c r="K83" s="61"/>
      <c r="L83" s="58"/>
      <c r="M83" s="64">
        <f>'Berekening MJOP+LTP'!Y199</f>
        <v>0</v>
      </c>
      <c r="N83" s="61">
        <f>'Berekening MJOP+LTP'!AA199</f>
        <v>0</v>
      </c>
      <c r="O83" s="261">
        <f>'Berekening MJOP+LTP'!AC199</f>
        <v>0</v>
      </c>
      <c r="P83" s="234"/>
    </row>
    <row r="84" spans="2:17" x14ac:dyDescent="0.3">
      <c r="B84" s="106">
        <f>'Berekening MJOP+LTP'!B201</f>
        <v>1</v>
      </c>
      <c r="C84" s="31"/>
      <c r="D84" s="31" t="str">
        <f>'Berekening MJOP+LTP'!B202</f>
        <v>totaal groot cyclisch onderhoud</v>
      </c>
      <c r="E84" s="31"/>
      <c r="F84" s="31"/>
      <c r="G84" s="35"/>
      <c r="H84" s="35"/>
      <c r="I84" s="35"/>
      <c r="J84" s="35"/>
      <c r="K84" s="61"/>
      <c r="L84" s="58"/>
      <c r="M84" s="64">
        <f>'Berekening MJOP+LTP'!Y202</f>
        <v>0</v>
      </c>
      <c r="N84" s="61">
        <f>'Berekening MJOP+LTP'!AA202</f>
        <v>0</v>
      </c>
      <c r="O84" s="261">
        <f>'Berekening MJOP+LTP'!AC202</f>
        <v>0</v>
      </c>
      <c r="P84" s="234"/>
    </row>
    <row r="85" spans="2:17" x14ac:dyDescent="0.3">
      <c r="B85" s="106">
        <f>'Berekening MJOP+LTP'!B204</f>
        <v>1</v>
      </c>
      <c r="C85" s="31"/>
      <c r="D85" s="31" t="str">
        <f>'Berekening MJOP+LTP'!B208</f>
        <v>totaal vervanging</v>
      </c>
      <c r="E85" s="31"/>
      <c r="F85" s="31"/>
      <c r="G85" s="35"/>
      <c r="H85" s="146" t="s">
        <v>142</v>
      </c>
      <c r="I85" s="35"/>
      <c r="J85" s="35">
        <f>F25+100</f>
        <v>2020</v>
      </c>
      <c r="K85" s="90"/>
      <c r="L85" s="64">
        <f>'Berekening MJOP+LTP'!T208</f>
        <v>0</v>
      </c>
      <c r="M85" s="64">
        <f>'Berekening MJOP+LTP'!Y208</f>
        <v>0</v>
      </c>
      <c r="N85" s="61">
        <f>'Berekening MJOP+LTP'!AA204</f>
        <v>0</v>
      </c>
      <c r="O85" s="261">
        <f>'Berekening MJOP+LTP'!AC208</f>
        <v>0</v>
      </c>
      <c r="P85" s="234"/>
    </row>
    <row r="86" spans="2:17" x14ac:dyDescent="0.3">
      <c r="B86" s="105"/>
      <c r="C86" s="59" t="str">
        <f>'Berekening MJOP+LTP'!B211</f>
        <v>Metselwerk onderbouw</v>
      </c>
      <c r="D86" s="31"/>
      <c r="E86" s="31"/>
      <c r="F86" s="31"/>
      <c r="G86" s="35"/>
      <c r="H86" s="35"/>
      <c r="I86" s="35"/>
      <c r="J86" s="35"/>
      <c r="K86" s="57"/>
      <c r="L86" s="60"/>
      <c r="M86" s="64"/>
      <c r="N86" s="61"/>
      <c r="O86" s="261"/>
      <c r="P86" s="234"/>
    </row>
    <row r="87" spans="2:17" x14ac:dyDescent="0.3">
      <c r="B87" s="106">
        <f>'Berekening MJOP+LTP'!B212</f>
        <v>3</v>
      </c>
      <c r="C87" s="31"/>
      <c r="D87" s="31" t="str">
        <f>'Berekening MJOP+LTP'!B217</f>
        <v>totaal klein cyclisch onderhoud</v>
      </c>
      <c r="E87" s="31"/>
      <c r="F87" s="31"/>
      <c r="G87" s="35"/>
      <c r="H87" s="35"/>
      <c r="I87" s="35"/>
      <c r="J87" s="35"/>
      <c r="K87" s="61"/>
      <c r="L87" s="58"/>
      <c r="M87" s="64">
        <f>'Berekening MJOP+LTP'!Y216</f>
        <v>24536.327430937738</v>
      </c>
      <c r="N87" s="61">
        <f>'Berekening MJOP+LTP'!AA216</f>
        <v>0</v>
      </c>
      <c r="O87" s="261">
        <f>'Berekening MJOP+LTP'!AC216</f>
        <v>734.5116327494801</v>
      </c>
      <c r="P87" s="234"/>
    </row>
    <row r="88" spans="2:17" x14ac:dyDescent="0.3">
      <c r="B88" s="106">
        <f>'Berekening MJOP+LTP'!B218</f>
        <v>1</v>
      </c>
      <c r="C88" s="31"/>
      <c r="D88" s="31" t="str">
        <f>'Berekening MJOP+LTP'!B219</f>
        <v>totaal groot cyclisch onderhoud</v>
      </c>
      <c r="E88" s="31"/>
      <c r="F88" s="31"/>
      <c r="G88" s="35"/>
      <c r="H88" s="35"/>
      <c r="I88" s="35"/>
      <c r="J88" s="35"/>
      <c r="K88" s="61"/>
      <c r="L88" s="58"/>
      <c r="M88" s="64">
        <f>'Berekening MJOP+LTP'!Y219</f>
        <v>6900.7190910157387</v>
      </c>
      <c r="N88" s="61">
        <f>'Berekening MJOP+LTP'!AA219</f>
        <v>0</v>
      </c>
      <c r="O88" s="261">
        <f>'Berekening MJOP+LTP'!AC219</f>
        <v>206.57771465408598</v>
      </c>
      <c r="P88" s="234"/>
    </row>
    <row r="89" spans="2:17" x14ac:dyDescent="0.3">
      <c r="B89" s="106">
        <f>'Berekening MJOP+LTP'!B221</f>
        <v>1</v>
      </c>
      <c r="C89" s="31"/>
      <c r="D89" s="31" t="str">
        <f>'Berekening MJOP+LTP'!B225</f>
        <v>Totaal vervanging</v>
      </c>
      <c r="E89" s="31"/>
      <c r="F89" s="31"/>
      <c r="G89" s="35"/>
      <c r="H89" s="146" t="s">
        <v>142</v>
      </c>
      <c r="I89" s="35"/>
      <c r="J89" s="35">
        <f>F25+100</f>
        <v>2020</v>
      </c>
      <c r="K89" s="90">
        <v>2101</v>
      </c>
      <c r="L89" s="64">
        <f>'Berekening MJOP+LTP'!T225</f>
        <v>196142.43599999999</v>
      </c>
      <c r="M89" s="64">
        <f>'Berekening MJOP+LTP'!Y225</f>
        <v>32339.208854951205</v>
      </c>
      <c r="N89" s="61">
        <f>'Berekening MJOP+LTP'!AA221</f>
        <v>52</v>
      </c>
      <c r="O89" s="261">
        <f>'Berekening MJOP+LTP'!AC225</f>
        <v>968.09618981225151</v>
      </c>
      <c r="P89" s="234"/>
    </row>
    <row r="90" spans="2:17" x14ac:dyDescent="0.3">
      <c r="B90" s="105"/>
      <c r="C90" s="59" t="str">
        <f>'Berekening MJOP+LTP'!B228</f>
        <v>Madaster (vrijkomende materialen)</v>
      </c>
      <c r="D90" s="31"/>
      <c r="E90" s="31"/>
      <c r="F90" s="31"/>
      <c r="G90" s="35"/>
      <c r="H90" s="35"/>
      <c r="I90" s="35"/>
      <c r="J90" s="35"/>
      <c r="K90" s="57"/>
      <c r="L90" s="60"/>
      <c r="M90" s="64"/>
      <c r="N90" s="75"/>
      <c r="O90" s="261"/>
      <c r="P90" s="240"/>
    </row>
    <row r="91" spans="2:17" ht="15" thickBot="1" x14ac:dyDescent="0.35">
      <c r="B91" s="107"/>
      <c r="C91" s="33"/>
      <c r="D91" s="33" t="str">
        <f>'Berekening MJOP+LTP'!B237</f>
        <v>totaal (opbrengst) madaster</v>
      </c>
      <c r="E91" s="33"/>
      <c r="F91" s="33"/>
      <c r="G91" s="62"/>
      <c r="H91" s="62"/>
      <c r="I91" s="62"/>
      <c r="J91" s="62"/>
      <c r="K91" s="63"/>
      <c r="L91" s="64">
        <f>'Berekening MJOP+LTP'!T237</f>
        <v>-121037.59999999998</v>
      </c>
      <c r="M91" s="64"/>
      <c r="N91" s="251"/>
      <c r="O91" s="262"/>
      <c r="P91" s="241"/>
      <c r="Q91" s="27"/>
    </row>
    <row r="92" spans="2:17" x14ac:dyDescent="0.3">
      <c r="B92" s="207" t="s">
        <v>299</v>
      </c>
      <c r="C92" s="208"/>
      <c r="D92" s="208"/>
      <c r="E92" s="208"/>
      <c r="F92" s="189"/>
      <c r="G92" s="204" t="s">
        <v>151</v>
      </c>
      <c r="H92" s="191">
        <f>F41</f>
        <v>2028</v>
      </c>
      <c r="I92" s="209" t="s">
        <v>29</v>
      </c>
      <c r="J92" s="192">
        <f>K42</f>
        <v>2101</v>
      </c>
      <c r="K92" s="219"/>
      <c r="L92" s="220"/>
      <c r="M92" s="220">
        <f t="shared" ref="M92:O94" si="1">M71+M75+M79+M83+M87</f>
        <v>102307.60002099173</v>
      </c>
      <c r="N92" s="267">
        <f t="shared" si="1"/>
        <v>0</v>
      </c>
      <c r="O92" s="263">
        <f t="shared" si="1"/>
        <v>3062.6475190964393</v>
      </c>
      <c r="P92" s="242"/>
    </row>
    <row r="93" spans="2:17" x14ac:dyDescent="0.3">
      <c r="B93" s="211" t="s">
        <v>300</v>
      </c>
      <c r="C93" s="212"/>
      <c r="D93" s="212"/>
      <c r="E93" s="212"/>
      <c r="F93" s="194"/>
      <c r="G93" s="205" t="s">
        <v>151</v>
      </c>
      <c r="H93" s="196">
        <f>F41</f>
        <v>2028</v>
      </c>
      <c r="I93" s="213" t="s">
        <v>29</v>
      </c>
      <c r="J93" s="197">
        <f>K42</f>
        <v>2101</v>
      </c>
      <c r="K93" s="221"/>
      <c r="L93" s="222"/>
      <c r="M93" s="222">
        <f t="shared" si="1"/>
        <v>57486.246780663547</v>
      </c>
      <c r="N93" s="252">
        <f t="shared" si="1"/>
        <v>0</v>
      </c>
      <c r="O93" s="264">
        <f t="shared" si="1"/>
        <v>1720.8898561674837</v>
      </c>
      <c r="P93" s="243"/>
    </row>
    <row r="94" spans="2:17" x14ac:dyDescent="0.3">
      <c r="B94" s="211" t="s">
        <v>298</v>
      </c>
      <c r="C94" s="212"/>
      <c r="D94" s="212"/>
      <c r="E94" s="212"/>
      <c r="F94" s="194"/>
      <c r="G94" s="205" t="s">
        <v>258</v>
      </c>
      <c r="H94" s="196"/>
      <c r="I94" s="213"/>
      <c r="J94" s="197"/>
      <c r="K94" s="225">
        <f>K59</f>
        <v>2101</v>
      </c>
      <c r="L94" s="222">
        <f>L73+L77+L81+L85+L89</f>
        <v>1035534.5999999999</v>
      </c>
      <c r="M94" s="222">
        <f t="shared" si="1"/>
        <v>170734.9535820405</v>
      </c>
      <c r="N94" s="252">
        <f t="shared" si="1"/>
        <v>104</v>
      </c>
      <c r="O94" s="264">
        <f t="shared" si="1"/>
        <v>5111.0668406236882</v>
      </c>
      <c r="P94" s="243"/>
    </row>
    <row r="95" spans="2:17" ht="15" thickBot="1" x14ac:dyDescent="0.35">
      <c r="B95" s="215" t="s">
        <v>301</v>
      </c>
      <c r="C95" s="216"/>
      <c r="D95" s="216"/>
      <c r="E95" s="216"/>
      <c r="F95" s="199"/>
      <c r="G95" s="206" t="s">
        <v>258</v>
      </c>
      <c r="H95" s="201"/>
      <c r="I95" s="217"/>
      <c r="J95" s="202"/>
      <c r="K95" s="226">
        <f>K59</f>
        <v>2101</v>
      </c>
      <c r="L95" s="223">
        <f>L91</f>
        <v>-121037.59999999998</v>
      </c>
      <c r="M95" s="223"/>
      <c r="N95" s="253"/>
      <c r="O95" s="265"/>
      <c r="P95" s="243"/>
    </row>
    <row r="97" spans="3:6" ht="15" thickBot="1" x14ac:dyDescent="0.35"/>
    <row r="98" spans="3:6" x14ac:dyDescent="0.3">
      <c r="C98" s="173" t="s">
        <v>259</v>
      </c>
      <c r="D98" s="174"/>
      <c r="E98" s="174"/>
      <c r="F98" s="175"/>
    </row>
    <row r="99" spans="3:6" x14ac:dyDescent="0.3">
      <c r="C99" s="176" t="s">
        <v>11</v>
      </c>
      <c r="D99" s="178"/>
      <c r="E99" s="179" t="s">
        <v>260</v>
      </c>
      <c r="F99" s="177" t="s">
        <v>261</v>
      </c>
    </row>
    <row r="100" spans="3:6" x14ac:dyDescent="0.3">
      <c r="C100" s="185" t="str">
        <f>'Berekening MJOP+LTP'!K229</f>
        <v>(Constructie) staal spoordek</v>
      </c>
      <c r="D100" s="180"/>
      <c r="E100" s="228">
        <f>'Berekening MJOP+LTP'!Q229</f>
        <v>1.1130000000000002</v>
      </c>
      <c r="F100" s="183" t="str">
        <f>'Berekening MJOP+LTP'!R229</f>
        <v>ton</v>
      </c>
    </row>
    <row r="101" spans="3:6" x14ac:dyDescent="0.3">
      <c r="C101" s="186" t="str">
        <f>'Berekening MJOP+LTP'!K230</f>
        <v>Beton spoordek</v>
      </c>
      <c r="D101" s="180"/>
      <c r="E101" s="57">
        <f>'Berekening MJOP+LTP'!Q230</f>
        <v>192</v>
      </c>
      <c r="F101" s="183" t="str">
        <f>'Berekening MJOP+LTP'!R230</f>
        <v>ton</v>
      </c>
    </row>
    <row r="102" spans="3:6" x14ac:dyDescent="0.3">
      <c r="C102" s="186" t="str">
        <f>'Berekening MJOP+LTP'!K231</f>
        <v>Betonstaal spoordek</v>
      </c>
      <c r="D102" s="180"/>
      <c r="E102" s="57">
        <f>'Berekening MJOP+LTP'!Q231</f>
        <v>96</v>
      </c>
      <c r="F102" s="183" t="str">
        <f>'Berekening MJOP+LTP'!R231</f>
        <v>ton</v>
      </c>
    </row>
    <row r="103" spans="3:6" x14ac:dyDescent="0.3">
      <c r="C103" s="186" t="str">
        <f>'Berekening MJOP+LTP'!K232</f>
        <v>Beton onderbouw</v>
      </c>
      <c r="D103" s="180"/>
      <c r="E103" s="61">
        <f>'Berekening MJOP+LTP'!Q232</f>
        <v>1667.4999999999998</v>
      </c>
      <c r="F103" s="183" t="str">
        <f>'Berekening MJOP+LTP'!R232</f>
        <v>ton</v>
      </c>
    </row>
    <row r="104" spans="3:6" x14ac:dyDescent="0.3">
      <c r="C104" s="186" t="str">
        <f>'Berekening MJOP+LTP'!K233</f>
        <v>Betonstaal onderbouw</v>
      </c>
      <c r="D104" s="180"/>
      <c r="E104" s="61">
        <f>'Berekening MJOP+LTP'!Q233</f>
        <v>0</v>
      </c>
      <c r="F104" s="183" t="str">
        <f>'Berekening MJOP+LTP'!R233</f>
        <v>ton</v>
      </c>
    </row>
    <row r="105" spans="3:6" x14ac:dyDescent="0.3">
      <c r="C105" s="186" t="str">
        <f>'Berekening MJOP+LTP'!K234</f>
        <v>Metselwerk spoordek</v>
      </c>
      <c r="D105" s="180"/>
      <c r="E105" s="57">
        <f>'Berekening MJOP+LTP'!Q234</f>
        <v>0</v>
      </c>
      <c r="F105" s="183" t="str">
        <f>'Berekening MJOP+LTP'!R234</f>
        <v>ton</v>
      </c>
    </row>
    <row r="106" spans="3:6" x14ac:dyDescent="0.3">
      <c r="C106" s="186" t="str">
        <f>'Berekening MJOP+LTP'!K235</f>
        <v>Metselwerk onderbouw</v>
      </c>
      <c r="D106" s="180"/>
      <c r="E106" s="61">
        <f>'Berekening MJOP+LTP'!Q235</f>
        <v>172.8</v>
      </c>
      <c r="F106" s="183" t="str">
        <f>'Berekening MJOP+LTP'!R235</f>
        <v>ton</v>
      </c>
    </row>
    <row r="107" spans="3:6" ht="15" thickBot="1" x14ac:dyDescent="0.35">
      <c r="C107" s="187">
        <f>'Berekening MJOP+LTP'!K236</f>
        <v>0</v>
      </c>
      <c r="D107" s="181"/>
      <c r="E107" s="182">
        <f>'Berekening MJOP+LTP'!Q236</f>
        <v>0</v>
      </c>
      <c r="F107" s="184" t="str">
        <f>'Berekening MJOP+LTP'!R236</f>
        <v>ton</v>
      </c>
    </row>
  </sheetData>
  <mergeCells count="2">
    <mergeCell ref="B35:O35"/>
    <mergeCell ref="B7:O7"/>
  </mergeCells>
  <conditionalFormatting sqref="P51:P58 N51:N58 P71:P89 N71:N89">
    <cfRule type="cellIs" dxfId="35" priority="61" operator="equal">
      <formula>0</formula>
    </cfRule>
    <cfRule type="cellIs" dxfId="34" priority="62" operator="equal">
      <formula>0</formula>
    </cfRule>
  </conditionalFormatting>
  <conditionalFormatting sqref="B54:B56">
    <cfRule type="cellIs" dxfId="33" priority="55" operator="equal">
      <formula>0</formula>
    </cfRule>
    <cfRule type="cellIs" dxfId="32" priority="56" operator="equal">
      <formula>0</formula>
    </cfRule>
  </conditionalFormatting>
  <conditionalFormatting sqref="L53">
    <cfRule type="cellIs" dxfId="31" priority="53" operator="equal">
      <formula>0</formula>
    </cfRule>
    <cfRule type="cellIs" dxfId="30" priority="54" operator="equal">
      <formula>0</formula>
    </cfRule>
  </conditionalFormatting>
  <conditionalFormatting sqref="L51:M52">
    <cfRule type="cellIs" dxfId="29" priority="51" operator="equal">
      <formula>0</formula>
    </cfRule>
    <cfRule type="cellIs" dxfId="28" priority="52" operator="equal">
      <formula>0</formula>
    </cfRule>
  </conditionalFormatting>
  <conditionalFormatting sqref="M53">
    <cfRule type="cellIs" dxfId="27" priority="49" operator="equal">
      <formula>0</formula>
    </cfRule>
    <cfRule type="cellIs" dxfId="26" priority="50" operator="equal">
      <formula>0</formula>
    </cfRule>
  </conditionalFormatting>
  <conditionalFormatting sqref="L54:M56">
    <cfRule type="cellIs" dxfId="25" priority="47" operator="equal">
      <formula>0</formula>
    </cfRule>
    <cfRule type="cellIs" dxfId="24" priority="48" operator="equal">
      <formula>0</formula>
    </cfRule>
  </conditionalFormatting>
  <conditionalFormatting sqref="B51:B53">
    <cfRule type="cellIs" dxfId="23" priority="45" operator="equal">
      <formula>0</formula>
    </cfRule>
    <cfRule type="cellIs" dxfId="22" priority="46" operator="equal">
      <formula>0</formula>
    </cfRule>
  </conditionalFormatting>
  <conditionalFormatting sqref="L91 L89 L85 L81 L77 L73">
    <cfRule type="cellIs" dxfId="21" priority="43" operator="equal">
      <formula>0</formula>
    </cfRule>
    <cfRule type="cellIs" dxfId="20" priority="44" operator="equal">
      <formula>0</formula>
    </cfRule>
  </conditionalFormatting>
  <conditionalFormatting sqref="M71:M91">
    <cfRule type="cellIs" dxfId="19" priority="41" operator="equal">
      <formula>0</formula>
    </cfRule>
    <cfRule type="cellIs" dxfId="18" priority="42" operator="equal">
      <formula>0</formula>
    </cfRule>
  </conditionalFormatting>
  <conditionalFormatting sqref="B49">
    <cfRule type="cellIs" dxfId="17" priority="35" operator="equal">
      <formula>0</formula>
    </cfRule>
    <cfRule type="cellIs" dxfId="16" priority="36" operator="equal">
      <formula>0</formula>
    </cfRule>
  </conditionalFormatting>
  <conditionalFormatting sqref="L49:M49">
    <cfRule type="cellIs" dxfId="15" priority="33" operator="equal">
      <formula>0</formula>
    </cfRule>
    <cfRule type="cellIs" dxfId="14" priority="34" operator="equal">
      <formula>0</formula>
    </cfRule>
  </conditionalFormatting>
  <conditionalFormatting sqref="B57:B58">
    <cfRule type="cellIs" dxfId="13" priority="27" operator="equal">
      <formula>0</formula>
    </cfRule>
    <cfRule type="cellIs" dxfId="12" priority="28" operator="equal">
      <formula>0</formula>
    </cfRule>
  </conditionalFormatting>
  <conditionalFormatting sqref="L57:M58">
    <cfRule type="cellIs" dxfId="11" priority="25" operator="equal">
      <formula>0</formula>
    </cfRule>
    <cfRule type="cellIs" dxfId="10" priority="26" operator="equal">
      <formula>0</formula>
    </cfRule>
  </conditionalFormatting>
  <conditionalFormatting sqref="D51:E58">
    <cfRule type="cellIs" dxfId="9" priority="13" operator="equal">
      <formula>0</formula>
    </cfRule>
    <cfRule type="cellIs" dxfId="8" priority="14" operator="equal">
      <formula>0</formula>
    </cfRule>
  </conditionalFormatting>
  <conditionalFormatting sqref="O51:O58">
    <cfRule type="cellIs" dxfId="7" priority="7" operator="equal">
      <formula>0</formula>
    </cfRule>
    <cfRule type="cellIs" dxfId="6" priority="8" operator="equal">
      <formula>0</formula>
    </cfRule>
  </conditionalFormatting>
  <conditionalFormatting sqref="O71:O89">
    <cfRule type="cellIs" dxfId="5" priority="5" operator="equal">
      <formula>0</formula>
    </cfRule>
    <cfRule type="cellIs" dxfId="4" priority="6" operator="equal">
      <formula>0</formula>
    </cfRule>
  </conditionalFormatting>
  <conditionalFormatting sqref="B50">
    <cfRule type="cellIs" dxfId="3" priority="3" operator="equal">
      <formula>0</formula>
    </cfRule>
    <cfRule type="cellIs" dxfId="2" priority="4" operator="equal">
      <formula>0</formula>
    </cfRule>
  </conditionalFormatting>
  <conditionalFormatting sqref="L50:M50">
    <cfRule type="cellIs" dxfId="1" priority="1" operator="equal">
      <formula>0</formula>
    </cfRule>
    <cfRule type="cellIs" dxfId="0" priority="2" operator="equal">
      <formula>0</formula>
    </cfRule>
  </conditionalFormatting>
  <pageMargins left="0.70866141732283472" right="0.70866141732283472" top="0.23" bottom="0.54" header="0.15" footer="0.18"/>
  <pageSetup paperSize="9" scale="54" orientation="portrait" r:id="rId1"/>
  <headerFooter>
    <oddFooter xml:space="preserve">&amp;L&amp;"Calibri,Cursief"Document: &amp;F
&amp;R&amp;"Calibri,Cursief"&amp;P
</oddFooter>
  </headerFooter>
  <rowBreaks count="1" manualBreakCount="1">
    <brk id="96" min="1" max="14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IB237"/>
  <sheetViews>
    <sheetView topLeftCell="K1" zoomScale="90" zoomScaleNormal="90" zoomScaleSheetLayoutView="90" workbookViewId="0">
      <pane ySplit="2" topLeftCell="A209" activePane="bottomLeft" state="frozen"/>
      <selection pane="bottomLeft" activeCell="P241" sqref="P241"/>
    </sheetView>
  </sheetViews>
  <sheetFormatPr defaultColWidth="8.88671875" defaultRowHeight="12" outlineLevelRow="2" outlineLevelCol="1" x14ac:dyDescent="0.25"/>
  <cols>
    <col min="1" max="1" width="4.44140625" style="1" bestFit="1" customWidth="1"/>
    <col min="2" max="5" width="6.33203125" style="1" customWidth="1"/>
    <col min="6" max="6" width="7.33203125" style="1" customWidth="1"/>
    <col min="7" max="7" width="10.77734375" style="1" customWidth="1"/>
    <col min="8" max="8" width="5" style="1" customWidth="1"/>
    <col min="9" max="9" width="5.77734375" style="1" customWidth="1"/>
    <col min="10" max="10" width="8.5546875" style="1" customWidth="1"/>
    <col min="11" max="11" width="13" style="1" customWidth="1"/>
    <col min="12" max="12" width="8.88671875" style="1" customWidth="1"/>
    <col min="13" max="13" width="7.109375" style="1" customWidth="1"/>
    <col min="14" max="14" width="45.5546875" style="1" customWidth="1"/>
    <col min="15" max="15" width="44" style="1" customWidth="1" outlineLevel="1"/>
    <col min="16" max="16" width="39.21875" style="1" customWidth="1" outlineLevel="1"/>
    <col min="17" max="17" width="6.88671875" style="1" customWidth="1"/>
    <col min="18" max="18" width="7" style="1" customWidth="1"/>
    <col min="19" max="19" width="10.5546875" style="1" customWidth="1"/>
    <col min="20" max="20" width="9.33203125" style="1" customWidth="1"/>
    <col min="21" max="21" width="7.77734375" style="1" customWidth="1"/>
    <col min="22" max="22" width="8.88671875" style="1" customWidth="1"/>
    <col min="23" max="23" width="7.77734375" style="1" customWidth="1"/>
    <col min="24" max="24" width="4.33203125" style="1" customWidth="1"/>
    <col min="25" max="25" width="10.44140625" style="1" customWidth="1"/>
    <col min="26" max="26" width="6.5546875" style="1" customWidth="1"/>
    <col min="27" max="27" width="7.21875" style="1" customWidth="1"/>
    <col min="28" max="28" width="3.44140625" style="1" customWidth="1"/>
    <col min="29" max="29" width="8.77734375" style="1" customWidth="1"/>
    <col min="30" max="30" width="3.6640625" style="1" customWidth="1"/>
    <col min="31" max="32" width="7.77734375" style="1" customWidth="1"/>
    <col min="33" max="33" width="8.33203125" style="1" customWidth="1"/>
    <col min="34" max="40" width="7.77734375" style="1" customWidth="1" outlineLevel="1"/>
    <col min="41" max="41" width="9.21875" style="1" customWidth="1" outlineLevel="1"/>
    <col min="42" max="46" width="7.77734375" style="1" customWidth="1" outlineLevel="1"/>
    <col min="47" max="131" width="8.88671875" style="1" customWidth="1" outlineLevel="1"/>
    <col min="132" max="132" width="8.88671875" style="1" customWidth="1" outlineLevel="1" collapsed="1"/>
    <col min="133" max="133" width="8.88671875" style="1" customWidth="1" outlineLevel="1"/>
    <col min="134" max="134" width="8.88671875" style="1"/>
    <col min="135" max="236" width="8.88671875" style="1" customWidth="1" outlineLevel="1"/>
    <col min="237" max="16384" width="8.88671875" style="1"/>
  </cols>
  <sheetData>
    <row r="1" spans="2:236" ht="15" customHeight="1" x14ac:dyDescent="0.3">
      <c r="B1" s="3" t="s">
        <v>236</v>
      </c>
      <c r="C1" s="3" t="s">
        <v>237</v>
      </c>
      <c r="D1" s="3" t="s">
        <v>239</v>
      </c>
      <c r="E1" s="3" t="s">
        <v>234</v>
      </c>
      <c r="F1" s="3" t="s">
        <v>0</v>
      </c>
      <c r="G1" s="3"/>
      <c r="H1" s="3"/>
      <c r="I1" s="3" t="s">
        <v>231</v>
      </c>
      <c r="J1" s="3"/>
      <c r="K1" s="3" t="s">
        <v>11</v>
      </c>
      <c r="L1" s="3"/>
      <c r="M1" s="3"/>
      <c r="N1" s="3"/>
      <c r="O1" s="3" t="s">
        <v>54</v>
      </c>
      <c r="P1" s="3" t="s">
        <v>136</v>
      </c>
      <c r="Q1" s="3" t="s">
        <v>30</v>
      </c>
      <c r="R1" s="3" t="s">
        <v>69</v>
      </c>
      <c r="S1" s="3" t="s">
        <v>32</v>
      </c>
      <c r="T1" s="3" t="s">
        <v>24</v>
      </c>
      <c r="U1" s="3" t="s">
        <v>36</v>
      </c>
      <c r="V1" s="3" t="s">
        <v>71</v>
      </c>
      <c r="W1" s="3" t="s">
        <v>141</v>
      </c>
      <c r="X1" s="3"/>
      <c r="Y1" s="20" t="s">
        <v>68</v>
      </c>
      <c r="Z1" s="20" t="s">
        <v>139</v>
      </c>
      <c r="AA1" s="20" t="s">
        <v>143</v>
      </c>
      <c r="AC1" s="20" t="s">
        <v>280</v>
      </c>
      <c r="AE1" s="3" t="s">
        <v>39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7" t="s">
        <v>31</v>
      </c>
      <c r="EF1" s="7"/>
      <c r="EG1" s="7"/>
      <c r="EH1" s="7"/>
      <c r="EI1" s="7"/>
      <c r="EJ1" s="7"/>
      <c r="EK1" s="7"/>
      <c r="EL1" s="7"/>
      <c r="EM1" s="7"/>
      <c r="EN1" s="7"/>
      <c r="EO1" s="7"/>
      <c r="EP1" s="7"/>
      <c r="EQ1" s="7"/>
      <c r="ER1" s="7"/>
      <c r="ES1" s="7"/>
      <c r="ET1" s="7"/>
      <c r="EU1" s="7"/>
      <c r="EV1" s="7"/>
      <c r="EW1" s="7"/>
      <c r="EX1" s="7"/>
      <c r="EY1" s="7"/>
      <c r="EZ1" s="7"/>
      <c r="FA1" s="7"/>
      <c r="FB1" s="7"/>
      <c r="FC1" s="7"/>
      <c r="FD1" s="7"/>
      <c r="FE1" s="7"/>
      <c r="FF1" s="7"/>
      <c r="FG1" s="7"/>
      <c r="FH1" s="7"/>
      <c r="FI1" s="7"/>
      <c r="FJ1" s="7"/>
      <c r="FK1" s="7"/>
      <c r="FL1" s="7"/>
      <c r="FM1" s="7"/>
      <c r="FN1" s="7"/>
      <c r="FO1" s="7"/>
      <c r="FP1" s="7"/>
      <c r="FQ1" s="7"/>
      <c r="FR1" s="7"/>
      <c r="FS1" s="7"/>
      <c r="FT1" s="7"/>
      <c r="FU1" s="7"/>
      <c r="FV1" s="7"/>
      <c r="FW1" s="7"/>
      <c r="FX1" s="7"/>
      <c r="FY1" s="7"/>
      <c r="FZ1" s="7"/>
      <c r="GA1" s="7"/>
      <c r="GB1" s="7"/>
      <c r="GC1" s="7"/>
      <c r="GD1" s="7"/>
      <c r="GE1" s="7"/>
      <c r="GF1" s="7"/>
      <c r="GG1" s="7"/>
      <c r="GH1" s="7"/>
      <c r="GI1" s="7"/>
      <c r="GJ1" s="7"/>
      <c r="GK1" s="7"/>
      <c r="GL1" s="7"/>
      <c r="GM1" s="7"/>
      <c r="GN1" s="7"/>
      <c r="GO1" s="7"/>
      <c r="GP1" s="7"/>
      <c r="GQ1" s="7"/>
      <c r="GR1" s="7"/>
      <c r="GS1" s="7"/>
      <c r="GT1" s="7"/>
      <c r="GU1" s="7"/>
      <c r="GV1" s="7"/>
      <c r="GW1" s="7"/>
      <c r="GX1" s="7"/>
      <c r="GY1" s="7"/>
      <c r="GZ1" s="7"/>
      <c r="HA1" s="7"/>
      <c r="HB1" s="7"/>
      <c r="HC1" s="7"/>
      <c r="HD1" s="7"/>
      <c r="HE1" s="7"/>
      <c r="HF1" s="7"/>
      <c r="HG1" s="7"/>
      <c r="HH1" s="7"/>
      <c r="HI1" s="7"/>
      <c r="HJ1" s="7"/>
      <c r="HK1" s="7"/>
      <c r="HL1" s="7"/>
      <c r="HM1" s="7"/>
      <c r="HN1" s="7"/>
      <c r="HO1" s="7"/>
      <c r="HP1" s="7"/>
      <c r="HQ1" s="7"/>
      <c r="HR1" s="7"/>
      <c r="HS1" s="7"/>
      <c r="HT1" s="7"/>
      <c r="HU1" s="7"/>
      <c r="HV1" s="7"/>
      <c r="HW1" s="7"/>
      <c r="HX1" s="7"/>
      <c r="HY1" s="7"/>
      <c r="HZ1" s="7"/>
      <c r="IA1" s="7"/>
      <c r="IB1" s="7"/>
    </row>
    <row r="2" spans="2:236" ht="15" customHeight="1" x14ac:dyDescent="0.25">
      <c r="B2" s="3" t="s">
        <v>235</v>
      </c>
      <c r="C2" s="3" t="s">
        <v>240</v>
      </c>
      <c r="D2" s="3" t="s">
        <v>238</v>
      </c>
      <c r="E2" s="3" t="s">
        <v>233</v>
      </c>
      <c r="F2" s="3"/>
      <c r="G2" s="3"/>
      <c r="H2" s="3"/>
      <c r="I2" s="3" t="s">
        <v>232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70</v>
      </c>
      <c r="W2" s="3"/>
      <c r="X2" s="3"/>
      <c r="Y2" s="20"/>
      <c r="Z2" s="20"/>
      <c r="AA2" s="20"/>
      <c r="AC2" s="20" t="s">
        <v>281</v>
      </c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7"/>
      <c r="EF2" s="7"/>
      <c r="EG2" s="7"/>
      <c r="EH2" s="7"/>
      <c r="EI2" s="7"/>
      <c r="EJ2" s="7"/>
      <c r="EK2" s="7"/>
      <c r="EL2" s="7"/>
      <c r="EM2" s="7"/>
      <c r="EN2" s="7"/>
      <c r="EO2" s="7"/>
      <c r="EP2" s="7"/>
      <c r="EQ2" s="7"/>
      <c r="ER2" s="7"/>
      <c r="ES2" s="7"/>
      <c r="ET2" s="7"/>
      <c r="EU2" s="7"/>
      <c r="EV2" s="7"/>
      <c r="EW2" s="7"/>
      <c r="EX2" s="7"/>
      <c r="EY2" s="7"/>
      <c r="EZ2" s="7"/>
      <c r="FA2" s="7"/>
      <c r="FB2" s="7"/>
      <c r="FC2" s="7"/>
      <c r="FD2" s="7"/>
      <c r="FE2" s="7"/>
      <c r="FF2" s="7"/>
      <c r="FG2" s="7"/>
      <c r="FH2" s="7"/>
      <c r="FI2" s="7"/>
      <c r="FJ2" s="7"/>
      <c r="FK2" s="7"/>
      <c r="FL2" s="7"/>
      <c r="FM2" s="7"/>
      <c r="FN2" s="7"/>
      <c r="FO2" s="7"/>
      <c r="FP2" s="7"/>
      <c r="FQ2" s="7"/>
      <c r="FR2" s="7"/>
      <c r="FS2" s="7"/>
      <c r="FT2" s="7"/>
      <c r="FU2" s="7"/>
      <c r="FV2" s="7"/>
      <c r="FW2" s="7"/>
      <c r="FX2" s="7"/>
      <c r="FY2" s="7"/>
      <c r="FZ2" s="7"/>
      <c r="GA2" s="7"/>
      <c r="GB2" s="7"/>
      <c r="GC2" s="7"/>
      <c r="GD2" s="7"/>
      <c r="GE2" s="7"/>
      <c r="GF2" s="7"/>
      <c r="GG2" s="7"/>
      <c r="GH2" s="7"/>
      <c r="GI2" s="7"/>
      <c r="GJ2" s="7"/>
      <c r="GK2" s="7"/>
      <c r="GL2" s="7"/>
      <c r="GM2" s="7"/>
      <c r="GN2" s="7"/>
      <c r="GO2" s="7"/>
      <c r="GP2" s="7"/>
      <c r="GQ2" s="7"/>
      <c r="GR2" s="7"/>
      <c r="GS2" s="7"/>
      <c r="GT2" s="7"/>
      <c r="GU2" s="7"/>
      <c r="GV2" s="7"/>
      <c r="GW2" s="7"/>
      <c r="GX2" s="7"/>
      <c r="GY2" s="7"/>
      <c r="GZ2" s="7"/>
      <c r="HA2" s="7"/>
      <c r="HB2" s="7"/>
      <c r="HC2" s="7"/>
      <c r="HD2" s="7"/>
      <c r="HE2" s="7"/>
      <c r="HF2" s="7"/>
      <c r="HG2" s="7"/>
      <c r="HH2" s="7"/>
      <c r="HI2" s="7"/>
      <c r="HJ2" s="7"/>
      <c r="HK2" s="7"/>
      <c r="HL2" s="7"/>
      <c r="HM2" s="7"/>
      <c r="HN2" s="7"/>
      <c r="HO2" s="7"/>
      <c r="HP2" s="7"/>
      <c r="HQ2" s="7"/>
      <c r="HR2" s="7"/>
      <c r="HS2" s="7"/>
      <c r="HT2" s="7"/>
      <c r="HU2" s="7"/>
      <c r="HV2" s="7"/>
      <c r="HW2" s="7"/>
      <c r="HX2" s="7"/>
      <c r="HY2" s="7"/>
      <c r="HZ2" s="7"/>
      <c r="IA2" s="7"/>
      <c r="IB2" s="7"/>
    </row>
    <row r="5" spans="2:236" ht="18" x14ac:dyDescent="0.35">
      <c r="B5" s="13" t="s">
        <v>12</v>
      </c>
      <c r="C5" s="3"/>
    </row>
    <row r="7" spans="2:236" ht="13.8" x14ac:dyDescent="0.3">
      <c r="B7" s="169" t="s">
        <v>14</v>
      </c>
      <c r="D7" s="1" t="s">
        <v>288</v>
      </c>
      <c r="K7" s="1" t="s">
        <v>19</v>
      </c>
    </row>
    <row r="8" spans="2:236" ht="13.8" x14ac:dyDescent="0.3">
      <c r="B8" s="170"/>
      <c r="D8" s="1" t="s">
        <v>41</v>
      </c>
      <c r="K8" s="1" t="s">
        <v>13</v>
      </c>
    </row>
    <row r="9" spans="2:236" ht="13.8" x14ac:dyDescent="0.3">
      <c r="B9" s="170"/>
      <c r="D9" s="1" t="s">
        <v>254</v>
      </c>
      <c r="K9" s="1" t="s">
        <v>25</v>
      </c>
    </row>
    <row r="10" spans="2:236" ht="13.8" x14ac:dyDescent="0.3">
      <c r="B10" s="170"/>
      <c r="D10" s="168" t="s">
        <v>257</v>
      </c>
      <c r="H10" s="171">
        <v>2.38</v>
      </c>
      <c r="I10" s="167">
        <v>2.38</v>
      </c>
    </row>
    <row r="11" spans="2:236" ht="13.8" x14ac:dyDescent="0.3">
      <c r="B11" s="170"/>
    </row>
    <row r="12" spans="2:236" ht="13.8" x14ac:dyDescent="0.3">
      <c r="B12" s="169" t="s">
        <v>15</v>
      </c>
      <c r="D12" s="1" t="s">
        <v>287</v>
      </c>
      <c r="K12" s="1" t="s">
        <v>18</v>
      </c>
    </row>
    <row r="13" spans="2:236" ht="13.8" x14ac:dyDescent="0.3">
      <c r="B13" s="170"/>
      <c r="D13" s="1" t="s">
        <v>16</v>
      </c>
      <c r="K13" s="1" t="s">
        <v>20</v>
      </c>
    </row>
    <row r="14" spans="2:236" ht="13.8" x14ac:dyDescent="0.3">
      <c r="B14" s="170"/>
      <c r="D14" s="1" t="s">
        <v>255</v>
      </c>
    </row>
    <row r="15" spans="2:236" ht="13.8" x14ac:dyDescent="0.3">
      <c r="B15" s="170"/>
      <c r="D15" s="168" t="s">
        <v>256</v>
      </c>
      <c r="E15" s="14"/>
      <c r="F15" s="14"/>
      <c r="G15" s="14"/>
      <c r="H15" s="166">
        <v>1.77</v>
      </c>
    </row>
    <row r="16" spans="2:236" ht="13.8" x14ac:dyDescent="0.3">
      <c r="B16" s="170"/>
    </row>
    <row r="17" spans="2:236" ht="13.8" x14ac:dyDescent="0.3">
      <c r="B17" s="169" t="s">
        <v>17</v>
      </c>
      <c r="D17" s="1" t="s">
        <v>289</v>
      </c>
      <c r="K17" s="1" t="s">
        <v>250</v>
      </c>
    </row>
    <row r="18" spans="2:236" ht="13.8" x14ac:dyDescent="0.3">
      <c r="B18" s="170"/>
      <c r="D18" s="1" t="s">
        <v>40</v>
      </c>
      <c r="K18" s="1" t="s">
        <v>251</v>
      </c>
    </row>
    <row r="19" spans="2:236" ht="13.8" x14ac:dyDescent="0.3">
      <c r="B19" s="170"/>
      <c r="D19" s="1" t="s">
        <v>255</v>
      </c>
      <c r="K19" s="1" t="s">
        <v>252</v>
      </c>
    </row>
    <row r="20" spans="2:236" ht="13.8" x14ac:dyDescent="0.3">
      <c r="B20" s="170"/>
      <c r="D20" s="168" t="s">
        <v>256</v>
      </c>
      <c r="H20" s="172">
        <v>1.77</v>
      </c>
      <c r="I20" s="167">
        <v>1.77</v>
      </c>
    </row>
    <row r="21" spans="2:236" x14ac:dyDescent="0.25">
      <c r="K21" s="25" t="s">
        <v>147</v>
      </c>
    </row>
    <row r="22" spans="2:236" x14ac:dyDescent="0.25">
      <c r="K22" s="25"/>
    </row>
    <row r="23" spans="2:236" ht="12.6" thickBot="1" x14ac:dyDescent="0.3"/>
    <row r="24" spans="2:236" ht="16.95" customHeight="1" thickBot="1" x14ac:dyDescent="0.3">
      <c r="B24" s="274" t="s">
        <v>253</v>
      </c>
      <c r="C24" s="275"/>
      <c r="D24" s="275"/>
      <c r="E24" s="275"/>
      <c r="F24" s="275"/>
      <c r="G24" s="275"/>
      <c r="H24" s="275"/>
      <c r="I24" s="276"/>
    </row>
    <row r="25" spans="2:236" x14ac:dyDescent="0.25">
      <c r="K25" s="5"/>
      <c r="L25" s="5"/>
      <c r="M25" s="5"/>
      <c r="N25" s="5"/>
      <c r="O25" s="5"/>
      <c r="P25" s="5"/>
      <c r="Q25" s="5"/>
      <c r="R25" s="5"/>
      <c r="S25" s="5"/>
    </row>
    <row r="26" spans="2:236" ht="18" x14ac:dyDescent="0.35">
      <c r="B26" s="17" t="s">
        <v>62</v>
      </c>
      <c r="C26" s="17"/>
      <c r="D26" s="16"/>
      <c r="E26" s="16"/>
      <c r="F26" s="16"/>
      <c r="G26" s="16"/>
      <c r="H26" s="16"/>
      <c r="I26" s="16"/>
      <c r="J26" s="16"/>
      <c r="K26" s="18"/>
      <c r="L26" s="18"/>
      <c r="M26" s="18"/>
      <c r="N26" s="18"/>
      <c r="O26" s="18"/>
      <c r="P26" s="18"/>
      <c r="Q26" s="18"/>
      <c r="R26" s="18"/>
      <c r="S26" s="18"/>
      <c r="T26" s="16"/>
      <c r="U26" s="16"/>
      <c r="V26" s="16"/>
      <c r="W26" s="16"/>
      <c r="X26" s="16"/>
      <c r="Y26" s="16"/>
      <c r="Z26" s="16"/>
      <c r="AA26" s="16"/>
    </row>
    <row r="27" spans="2:236" ht="18" x14ac:dyDescent="0.35">
      <c r="B27" s="13"/>
      <c r="C27" s="13"/>
      <c r="K27" s="5"/>
      <c r="L27" s="5"/>
      <c r="M27" s="5"/>
      <c r="N27" s="5"/>
      <c r="O27" s="5"/>
      <c r="P27" s="5"/>
      <c r="Q27" s="5"/>
      <c r="R27" s="5"/>
      <c r="S27" s="5"/>
    </row>
    <row r="28" spans="2:236" ht="15" customHeight="1" x14ac:dyDescent="0.3">
      <c r="B28" s="3" t="s">
        <v>236</v>
      </c>
      <c r="C28" s="3" t="s">
        <v>237</v>
      </c>
      <c r="D28" s="3" t="s">
        <v>239</v>
      </c>
      <c r="E28" s="3" t="s">
        <v>234</v>
      </c>
      <c r="F28" s="3" t="s">
        <v>0</v>
      </c>
      <c r="G28" s="3"/>
      <c r="H28" s="3"/>
      <c r="I28" s="3" t="s">
        <v>231</v>
      </c>
      <c r="J28" s="3"/>
      <c r="K28" s="3" t="s">
        <v>11</v>
      </c>
      <c r="L28" s="3"/>
      <c r="M28" s="3"/>
      <c r="N28" s="3"/>
      <c r="O28" s="3" t="s">
        <v>54</v>
      </c>
      <c r="P28" s="3" t="s">
        <v>136</v>
      </c>
      <c r="Q28" s="3" t="s">
        <v>30</v>
      </c>
      <c r="R28" s="3" t="s">
        <v>69</v>
      </c>
      <c r="S28" s="160" t="s">
        <v>32</v>
      </c>
      <c r="T28" s="3" t="s">
        <v>24</v>
      </c>
      <c r="U28" s="3" t="s">
        <v>36</v>
      </c>
      <c r="V28" s="3" t="s">
        <v>71</v>
      </c>
      <c r="W28" s="3" t="s">
        <v>141</v>
      </c>
      <c r="X28" s="3"/>
      <c r="Y28" s="20" t="s">
        <v>68</v>
      </c>
      <c r="Z28" s="20" t="s">
        <v>139</v>
      </c>
      <c r="AA28" s="20" t="s">
        <v>143</v>
      </c>
      <c r="AC28" s="20" t="s">
        <v>280</v>
      </c>
      <c r="AE28" s="3" t="s">
        <v>39</v>
      </c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7" t="s">
        <v>31</v>
      </c>
      <c r="EF28" s="7"/>
      <c r="EG28" s="7"/>
      <c r="EH28" s="7"/>
      <c r="EI28" s="7"/>
      <c r="EJ28" s="7"/>
      <c r="EK28" s="7"/>
      <c r="EL28" s="7"/>
      <c r="EM28" s="7"/>
      <c r="EN28" s="7"/>
      <c r="EO28" s="7"/>
      <c r="EP28" s="7"/>
      <c r="EQ28" s="7"/>
      <c r="ER28" s="7"/>
      <c r="ES28" s="7"/>
      <c r="ET28" s="7"/>
      <c r="EU28" s="7"/>
      <c r="EV28" s="7"/>
      <c r="EW28" s="7"/>
      <c r="EX28" s="7"/>
      <c r="EY28" s="7"/>
      <c r="EZ28" s="7"/>
      <c r="FA28" s="7"/>
      <c r="FB28" s="7"/>
      <c r="FC28" s="7"/>
      <c r="FD28" s="7"/>
      <c r="FE28" s="7"/>
      <c r="FF28" s="7"/>
      <c r="FG28" s="7"/>
      <c r="FH28" s="7"/>
      <c r="FI28" s="7"/>
      <c r="FJ28" s="7"/>
      <c r="FK28" s="7"/>
      <c r="FL28" s="7"/>
      <c r="FM28" s="7"/>
      <c r="FN28" s="7"/>
      <c r="FO28" s="7"/>
      <c r="FP28" s="7"/>
      <c r="FQ28" s="7"/>
      <c r="FR28" s="7"/>
      <c r="FS28" s="7"/>
      <c r="FT28" s="7"/>
      <c r="FU28" s="7"/>
      <c r="FV28" s="7"/>
      <c r="FW28" s="7"/>
      <c r="FX28" s="7"/>
      <c r="FY28" s="7"/>
      <c r="FZ28" s="7"/>
      <c r="GA28" s="7"/>
      <c r="GB28" s="7"/>
      <c r="GC28" s="7"/>
      <c r="GD28" s="7"/>
      <c r="GE28" s="7"/>
      <c r="GF28" s="7"/>
      <c r="GG28" s="7"/>
      <c r="GH28" s="7"/>
      <c r="GI28" s="7"/>
      <c r="GJ28" s="7"/>
      <c r="GK28" s="7"/>
      <c r="GL28" s="7"/>
      <c r="GM28" s="7"/>
      <c r="GN28" s="7"/>
      <c r="GO28" s="7"/>
      <c r="GP28" s="7"/>
      <c r="GQ28" s="7"/>
      <c r="GR28" s="7"/>
      <c r="GS28" s="7"/>
      <c r="GT28" s="7"/>
      <c r="GU28" s="7"/>
      <c r="GV28" s="7"/>
      <c r="GW28" s="7"/>
      <c r="GX28" s="7"/>
      <c r="GY28" s="7"/>
      <c r="GZ28" s="7"/>
      <c r="HA28" s="7"/>
      <c r="HB28" s="7"/>
      <c r="HC28" s="7"/>
      <c r="HD28" s="7"/>
      <c r="HE28" s="7"/>
      <c r="HF28" s="7"/>
      <c r="HG28" s="7"/>
      <c r="HH28" s="7"/>
      <c r="HI28" s="7"/>
      <c r="HJ28" s="7"/>
      <c r="HK28" s="7"/>
      <c r="HL28" s="7"/>
      <c r="HM28" s="7"/>
      <c r="HN28" s="7"/>
      <c r="HO28" s="7"/>
      <c r="HP28" s="7"/>
      <c r="HQ28" s="7"/>
      <c r="HR28" s="7"/>
      <c r="HS28" s="7"/>
      <c r="HT28" s="7"/>
      <c r="HU28" s="7"/>
      <c r="HV28" s="7"/>
      <c r="HW28" s="7"/>
      <c r="HX28" s="7"/>
      <c r="HY28" s="7"/>
      <c r="HZ28" s="7"/>
      <c r="IA28" s="7"/>
      <c r="IB28" s="7"/>
    </row>
    <row r="29" spans="2:236" ht="15" customHeight="1" x14ac:dyDescent="0.25">
      <c r="B29" s="3" t="s">
        <v>235</v>
      </c>
      <c r="C29" s="3" t="s">
        <v>240</v>
      </c>
      <c r="D29" s="3" t="s">
        <v>238</v>
      </c>
      <c r="E29" s="3" t="s">
        <v>233</v>
      </c>
      <c r="F29" s="3"/>
      <c r="G29" s="3"/>
      <c r="H29" s="3"/>
      <c r="I29" s="3" t="s">
        <v>232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 t="s">
        <v>70</v>
      </c>
      <c r="W29" s="3"/>
      <c r="X29" s="3"/>
      <c r="Y29" s="20"/>
      <c r="Z29" s="20"/>
      <c r="AA29" s="20"/>
      <c r="AC29" s="20" t="s">
        <v>281</v>
      </c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7"/>
      <c r="EF29" s="7"/>
      <c r="EG29" s="7"/>
      <c r="EH29" s="7"/>
      <c r="EI29" s="7"/>
      <c r="EJ29" s="7"/>
      <c r="EK29" s="7"/>
      <c r="EL29" s="7"/>
      <c r="EM29" s="7"/>
      <c r="EN29" s="7"/>
      <c r="EO29" s="7"/>
      <c r="EP29" s="7"/>
      <c r="EQ29" s="7"/>
      <c r="ER29" s="7"/>
      <c r="ES29" s="7"/>
      <c r="ET29" s="7"/>
      <c r="EU29" s="7"/>
      <c r="EV29" s="7"/>
      <c r="EW29" s="7"/>
      <c r="EX29" s="7"/>
      <c r="EY29" s="7"/>
      <c r="EZ29" s="7"/>
      <c r="FA29" s="7"/>
      <c r="FB29" s="7"/>
      <c r="FC29" s="7"/>
      <c r="FD29" s="7"/>
      <c r="FE29" s="7"/>
      <c r="FF29" s="7"/>
      <c r="FG29" s="7"/>
      <c r="FH29" s="7"/>
      <c r="FI29" s="7"/>
      <c r="FJ29" s="7"/>
      <c r="FK29" s="7"/>
      <c r="FL29" s="7"/>
      <c r="FM29" s="7"/>
      <c r="FN29" s="7"/>
      <c r="FO29" s="7"/>
      <c r="FP29" s="7"/>
      <c r="FQ29" s="7"/>
      <c r="FR29" s="7"/>
      <c r="FS29" s="7"/>
      <c r="FT29" s="7"/>
      <c r="FU29" s="7"/>
      <c r="FV29" s="7"/>
      <c r="FW29" s="7"/>
      <c r="FX29" s="7"/>
      <c r="FY29" s="7"/>
      <c r="FZ29" s="7"/>
      <c r="GA29" s="7"/>
      <c r="GB29" s="7"/>
      <c r="GC29" s="7"/>
      <c r="GD29" s="7"/>
      <c r="GE29" s="7"/>
      <c r="GF29" s="7"/>
      <c r="GG29" s="7"/>
      <c r="GH29" s="7"/>
      <c r="GI29" s="7"/>
      <c r="GJ29" s="7"/>
      <c r="GK29" s="7"/>
      <c r="GL29" s="7"/>
      <c r="GM29" s="7"/>
      <c r="GN29" s="7"/>
      <c r="GO29" s="7"/>
      <c r="GP29" s="7"/>
      <c r="GQ29" s="7"/>
      <c r="GR29" s="7"/>
      <c r="GS29" s="7"/>
      <c r="GT29" s="7"/>
      <c r="GU29" s="7"/>
      <c r="GV29" s="7"/>
      <c r="GW29" s="7"/>
      <c r="GX29" s="7"/>
      <c r="GY29" s="7"/>
      <c r="GZ29" s="7"/>
      <c r="HA29" s="7"/>
      <c r="HB29" s="7"/>
      <c r="HC29" s="7"/>
      <c r="HD29" s="7"/>
      <c r="HE29" s="7"/>
      <c r="HF29" s="7"/>
      <c r="HG29" s="7"/>
      <c r="HH29" s="7"/>
      <c r="HI29" s="7"/>
      <c r="HJ29" s="7"/>
      <c r="HK29" s="7"/>
      <c r="HL29" s="7"/>
      <c r="HM29" s="7"/>
      <c r="HN29" s="7"/>
      <c r="HO29" s="7"/>
      <c r="HP29" s="7"/>
      <c r="HQ29" s="7"/>
      <c r="HR29" s="7"/>
      <c r="HS29" s="7"/>
      <c r="HT29" s="7"/>
      <c r="HU29" s="7"/>
      <c r="HV29" s="7"/>
      <c r="HW29" s="7"/>
      <c r="HX29" s="7"/>
      <c r="HY29" s="7"/>
      <c r="HZ29" s="7"/>
      <c r="IA29" s="7"/>
      <c r="IB29" s="7"/>
    </row>
    <row r="30" spans="2:236" ht="12" customHeight="1" x14ac:dyDescent="0.25">
      <c r="O30" s="14"/>
      <c r="P30" s="14"/>
      <c r="V30" s="3"/>
      <c r="AE30" s="3">
        <f>Voorblad!F37</f>
        <v>2018</v>
      </c>
      <c r="AF30" s="3">
        <f>AE30+1</f>
        <v>2019</v>
      </c>
      <c r="AG30" s="3">
        <f t="shared" ref="AG30:CR30" si="0">AF30+1</f>
        <v>2020</v>
      </c>
      <c r="AH30" s="3">
        <f t="shared" si="0"/>
        <v>2021</v>
      </c>
      <c r="AI30" s="3">
        <f t="shared" si="0"/>
        <v>2022</v>
      </c>
      <c r="AJ30" s="3">
        <f t="shared" si="0"/>
        <v>2023</v>
      </c>
      <c r="AK30" s="3">
        <f t="shared" si="0"/>
        <v>2024</v>
      </c>
      <c r="AL30" s="3">
        <f t="shared" si="0"/>
        <v>2025</v>
      </c>
      <c r="AM30" s="3">
        <f t="shared" si="0"/>
        <v>2026</v>
      </c>
      <c r="AN30" s="3">
        <f t="shared" si="0"/>
        <v>2027</v>
      </c>
      <c r="AO30" s="3">
        <f t="shared" si="0"/>
        <v>2028</v>
      </c>
      <c r="AP30" s="3">
        <f t="shared" si="0"/>
        <v>2029</v>
      </c>
      <c r="AQ30" s="3">
        <f t="shared" si="0"/>
        <v>2030</v>
      </c>
      <c r="AR30" s="3">
        <f t="shared" si="0"/>
        <v>2031</v>
      </c>
      <c r="AS30" s="3">
        <f t="shared" si="0"/>
        <v>2032</v>
      </c>
      <c r="AT30" s="3">
        <f t="shared" si="0"/>
        <v>2033</v>
      </c>
      <c r="AU30" s="3">
        <f t="shared" si="0"/>
        <v>2034</v>
      </c>
      <c r="AV30" s="3">
        <f t="shared" si="0"/>
        <v>2035</v>
      </c>
      <c r="AW30" s="3">
        <f t="shared" si="0"/>
        <v>2036</v>
      </c>
      <c r="AX30" s="3">
        <f t="shared" si="0"/>
        <v>2037</v>
      </c>
      <c r="AY30" s="3">
        <f t="shared" si="0"/>
        <v>2038</v>
      </c>
      <c r="AZ30" s="3">
        <f t="shared" si="0"/>
        <v>2039</v>
      </c>
      <c r="BA30" s="3">
        <f t="shared" si="0"/>
        <v>2040</v>
      </c>
      <c r="BB30" s="3">
        <f t="shared" si="0"/>
        <v>2041</v>
      </c>
      <c r="BC30" s="3">
        <f t="shared" si="0"/>
        <v>2042</v>
      </c>
      <c r="BD30" s="3">
        <f t="shared" si="0"/>
        <v>2043</v>
      </c>
      <c r="BE30" s="3">
        <f t="shared" si="0"/>
        <v>2044</v>
      </c>
      <c r="BF30" s="3">
        <f t="shared" si="0"/>
        <v>2045</v>
      </c>
      <c r="BG30" s="3">
        <f t="shared" si="0"/>
        <v>2046</v>
      </c>
      <c r="BH30" s="3">
        <f t="shared" si="0"/>
        <v>2047</v>
      </c>
      <c r="BI30" s="3">
        <f t="shared" si="0"/>
        <v>2048</v>
      </c>
      <c r="BJ30" s="3">
        <f t="shared" si="0"/>
        <v>2049</v>
      </c>
      <c r="BK30" s="3">
        <f t="shared" si="0"/>
        <v>2050</v>
      </c>
      <c r="BL30" s="3">
        <f t="shared" si="0"/>
        <v>2051</v>
      </c>
      <c r="BM30" s="3">
        <f t="shared" si="0"/>
        <v>2052</v>
      </c>
      <c r="BN30" s="3">
        <f t="shared" si="0"/>
        <v>2053</v>
      </c>
      <c r="BO30" s="3">
        <f t="shared" si="0"/>
        <v>2054</v>
      </c>
      <c r="BP30" s="3">
        <f t="shared" si="0"/>
        <v>2055</v>
      </c>
      <c r="BQ30" s="3">
        <f t="shared" si="0"/>
        <v>2056</v>
      </c>
      <c r="BR30" s="3">
        <f t="shared" si="0"/>
        <v>2057</v>
      </c>
      <c r="BS30" s="3">
        <f t="shared" si="0"/>
        <v>2058</v>
      </c>
      <c r="BT30" s="3">
        <f t="shared" si="0"/>
        <v>2059</v>
      </c>
      <c r="BU30" s="3">
        <f t="shared" si="0"/>
        <v>2060</v>
      </c>
      <c r="BV30" s="3">
        <f t="shared" si="0"/>
        <v>2061</v>
      </c>
      <c r="BW30" s="3">
        <f t="shared" si="0"/>
        <v>2062</v>
      </c>
      <c r="BX30" s="3">
        <f t="shared" si="0"/>
        <v>2063</v>
      </c>
      <c r="BY30" s="3">
        <f t="shared" si="0"/>
        <v>2064</v>
      </c>
      <c r="BZ30" s="3">
        <f t="shared" si="0"/>
        <v>2065</v>
      </c>
      <c r="CA30" s="3">
        <f t="shared" si="0"/>
        <v>2066</v>
      </c>
      <c r="CB30" s="3">
        <f t="shared" si="0"/>
        <v>2067</v>
      </c>
      <c r="CC30" s="3">
        <f t="shared" si="0"/>
        <v>2068</v>
      </c>
      <c r="CD30" s="3">
        <f t="shared" si="0"/>
        <v>2069</v>
      </c>
      <c r="CE30" s="3">
        <f t="shared" si="0"/>
        <v>2070</v>
      </c>
      <c r="CF30" s="3">
        <f t="shared" si="0"/>
        <v>2071</v>
      </c>
      <c r="CG30" s="3">
        <f t="shared" si="0"/>
        <v>2072</v>
      </c>
      <c r="CH30" s="3">
        <f t="shared" si="0"/>
        <v>2073</v>
      </c>
      <c r="CI30" s="3">
        <f t="shared" si="0"/>
        <v>2074</v>
      </c>
      <c r="CJ30" s="3">
        <f t="shared" si="0"/>
        <v>2075</v>
      </c>
      <c r="CK30" s="3">
        <f t="shared" si="0"/>
        <v>2076</v>
      </c>
      <c r="CL30" s="3">
        <f t="shared" si="0"/>
        <v>2077</v>
      </c>
      <c r="CM30" s="3">
        <f t="shared" si="0"/>
        <v>2078</v>
      </c>
      <c r="CN30" s="3">
        <f t="shared" si="0"/>
        <v>2079</v>
      </c>
      <c r="CO30" s="3">
        <f t="shared" si="0"/>
        <v>2080</v>
      </c>
      <c r="CP30" s="3">
        <f t="shared" si="0"/>
        <v>2081</v>
      </c>
      <c r="CQ30" s="3">
        <f t="shared" si="0"/>
        <v>2082</v>
      </c>
      <c r="CR30" s="3">
        <f t="shared" si="0"/>
        <v>2083</v>
      </c>
      <c r="CS30" s="3">
        <f t="shared" ref="CS30:EB30" si="1">CR30+1</f>
        <v>2084</v>
      </c>
      <c r="CT30" s="3">
        <f t="shared" si="1"/>
        <v>2085</v>
      </c>
      <c r="CU30" s="3">
        <f t="shared" si="1"/>
        <v>2086</v>
      </c>
      <c r="CV30" s="3">
        <f t="shared" si="1"/>
        <v>2087</v>
      </c>
      <c r="CW30" s="3">
        <f t="shared" si="1"/>
        <v>2088</v>
      </c>
      <c r="CX30" s="3">
        <f t="shared" si="1"/>
        <v>2089</v>
      </c>
      <c r="CY30" s="3">
        <f t="shared" si="1"/>
        <v>2090</v>
      </c>
      <c r="CZ30" s="3">
        <f t="shared" si="1"/>
        <v>2091</v>
      </c>
      <c r="DA30" s="3">
        <f t="shared" si="1"/>
        <v>2092</v>
      </c>
      <c r="DB30" s="3">
        <f t="shared" si="1"/>
        <v>2093</v>
      </c>
      <c r="DC30" s="3">
        <f t="shared" si="1"/>
        <v>2094</v>
      </c>
      <c r="DD30" s="3">
        <f t="shared" si="1"/>
        <v>2095</v>
      </c>
      <c r="DE30" s="3">
        <f t="shared" si="1"/>
        <v>2096</v>
      </c>
      <c r="DF30" s="3">
        <f t="shared" si="1"/>
        <v>2097</v>
      </c>
      <c r="DG30" s="3">
        <f t="shared" si="1"/>
        <v>2098</v>
      </c>
      <c r="DH30" s="3">
        <f t="shared" si="1"/>
        <v>2099</v>
      </c>
      <c r="DI30" s="3">
        <f t="shared" si="1"/>
        <v>2100</v>
      </c>
      <c r="DJ30" s="3">
        <f t="shared" si="1"/>
        <v>2101</v>
      </c>
      <c r="DK30" s="3">
        <f t="shared" si="1"/>
        <v>2102</v>
      </c>
      <c r="DL30" s="3">
        <f t="shared" si="1"/>
        <v>2103</v>
      </c>
      <c r="DM30" s="3">
        <f t="shared" si="1"/>
        <v>2104</v>
      </c>
      <c r="DN30" s="3">
        <f t="shared" si="1"/>
        <v>2105</v>
      </c>
      <c r="DO30" s="3">
        <f t="shared" si="1"/>
        <v>2106</v>
      </c>
      <c r="DP30" s="3">
        <f t="shared" si="1"/>
        <v>2107</v>
      </c>
      <c r="DQ30" s="3">
        <f t="shared" si="1"/>
        <v>2108</v>
      </c>
      <c r="DR30" s="3">
        <f t="shared" si="1"/>
        <v>2109</v>
      </c>
      <c r="DS30" s="3">
        <f t="shared" si="1"/>
        <v>2110</v>
      </c>
      <c r="DT30" s="3">
        <f t="shared" si="1"/>
        <v>2111</v>
      </c>
      <c r="DU30" s="3">
        <f t="shared" si="1"/>
        <v>2112</v>
      </c>
      <c r="DV30" s="3">
        <f t="shared" si="1"/>
        <v>2113</v>
      </c>
      <c r="DW30" s="3">
        <f t="shared" si="1"/>
        <v>2114</v>
      </c>
      <c r="DX30" s="3">
        <f t="shared" si="1"/>
        <v>2115</v>
      </c>
      <c r="DY30" s="3">
        <f t="shared" si="1"/>
        <v>2116</v>
      </c>
      <c r="DZ30" s="3">
        <f t="shared" si="1"/>
        <v>2117</v>
      </c>
      <c r="EA30" s="3">
        <f t="shared" si="1"/>
        <v>2118</v>
      </c>
      <c r="EB30" s="3">
        <f t="shared" si="1"/>
        <v>2119</v>
      </c>
      <c r="EC30" s="3"/>
      <c r="ED30" s="3"/>
      <c r="EE30" s="7"/>
      <c r="EF30" s="7">
        <f>Voorblad!F37</f>
        <v>2018</v>
      </c>
      <c r="EG30" s="7">
        <f>EF30+1</f>
        <v>2019</v>
      </c>
      <c r="EH30" s="7">
        <f>EG30+1</f>
        <v>2020</v>
      </c>
      <c r="EI30" s="7">
        <f t="shared" ref="EI30:GT30" si="2">EH30+1</f>
        <v>2021</v>
      </c>
      <c r="EJ30" s="7">
        <f t="shared" si="2"/>
        <v>2022</v>
      </c>
      <c r="EK30" s="7">
        <f t="shared" si="2"/>
        <v>2023</v>
      </c>
      <c r="EL30" s="7">
        <f t="shared" si="2"/>
        <v>2024</v>
      </c>
      <c r="EM30" s="7">
        <f t="shared" si="2"/>
        <v>2025</v>
      </c>
      <c r="EN30" s="7">
        <f t="shared" si="2"/>
        <v>2026</v>
      </c>
      <c r="EO30" s="7">
        <f t="shared" si="2"/>
        <v>2027</v>
      </c>
      <c r="EP30" s="7">
        <f t="shared" si="2"/>
        <v>2028</v>
      </c>
      <c r="EQ30" s="7">
        <f t="shared" si="2"/>
        <v>2029</v>
      </c>
      <c r="ER30" s="7">
        <f t="shared" si="2"/>
        <v>2030</v>
      </c>
      <c r="ES30" s="7">
        <f t="shared" si="2"/>
        <v>2031</v>
      </c>
      <c r="ET30" s="7">
        <f t="shared" si="2"/>
        <v>2032</v>
      </c>
      <c r="EU30" s="7">
        <f t="shared" si="2"/>
        <v>2033</v>
      </c>
      <c r="EV30" s="7">
        <f t="shared" si="2"/>
        <v>2034</v>
      </c>
      <c r="EW30" s="7">
        <f t="shared" si="2"/>
        <v>2035</v>
      </c>
      <c r="EX30" s="7">
        <f t="shared" si="2"/>
        <v>2036</v>
      </c>
      <c r="EY30" s="7">
        <f t="shared" si="2"/>
        <v>2037</v>
      </c>
      <c r="EZ30" s="7">
        <f t="shared" si="2"/>
        <v>2038</v>
      </c>
      <c r="FA30" s="7">
        <f t="shared" si="2"/>
        <v>2039</v>
      </c>
      <c r="FB30" s="7">
        <f t="shared" si="2"/>
        <v>2040</v>
      </c>
      <c r="FC30" s="7">
        <f t="shared" si="2"/>
        <v>2041</v>
      </c>
      <c r="FD30" s="7">
        <f t="shared" si="2"/>
        <v>2042</v>
      </c>
      <c r="FE30" s="7">
        <f t="shared" si="2"/>
        <v>2043</v>
      </c>
      <c r="FF30" s="7">
        <f t="shared" si="2"/>
        <v>2044</v>
      </c>
      <c r="FG30" s="7">
        <f t="shared" si="2"/>
        <v>2045</v>
      </c>
      <c r="FH30" s="7">
        <f t="shared" si="2"/>
        <v>2046</v>
      </c>
      <c r="FI30" s="7">
        <f t="shared" si="2"/>
        <v>2047</v>
      </c>
      <c r="FJ30" s="7">
        <f t="shared" si="2"/>
        <v>2048</v>
      </c>
      <c r="FK30" s="7">
        <f t="shared" si="2"/>
        <v>2049</v>
      </c>
      <c r="FL30" s="7">
        <f t="shared" si="2"/>
        <v>2050</v>
      </c>
      <c r="FM30" s="7">
        <f t="shared" si="2"/>
        <v>2051</v>
      </c>
      <c r="FN30" s="7">
        <f t="shared" si="2"/>
        <v>2052</v>
      </c>
      <c r="FO30" s="7">
        <f t="shared" si="2"/>
        <v>2053</v>
      </c>
      <c r="FP30" s="7">
        <f t="shared" si="2"/>
        <v>2054</v>
      </c>
      <c r="FQ30" s="7">
        <f t="shared" si="2"/>
        <v>2055</v>
      </c>
      <c r="FR30" s="7">
        <f t="shared" si="2"/>
        <v>2056</v>
      </c>
      <c r="FS30" s="7">
        <f t="shared" si="2"/>
        <v>2057</v>
      </c>
      <c r="FT30" s="7">
        <f t="shared" si="2"/>
        <v>2058</v>
      </c>
      <c r="FU30" s="7">
        <f t="shared" si="2"/>
        <v>2059</v>
      </c>
      <c r="FV30" s="7">
        <f t="shared" si="2"/>
        <v>2060</v>
      </c>
      <c r="FW30" s="7">
        <f t="shared" si="2"/>
        <v>2061</v>
      </c>
      <c r="FX30" s="7">
        <f t="shared" si="2"/>
        <v>2062</v>
      </c>
      <c r="FY30" s="7">
        <f t="shared" si="2"/>
        <v>2063</v>
      </c>
      <c r="FZ30" s="7">
        <f t="shared" si="2"/>
        <v>2064</v>
      </c>
      <c r="GA30" s="7">
        <f t="shared" si="2"/>
        <v>2065</v>
      </c>
      <c r="GB30" s="7">
        <f t="shared" si="2"/>
        <v>2066</v>
      </c>
      <c r="GC30" s="7">
        <f t="shared" si="2"/>
        <v>2067</v>
      </c>
      <c r="GD30" s="7">
        <f t="shared" si="2"/>
        <v>2068</v>
      </c>
      <c r="GE30" s="7">
        <f t="shared" si="2"/>
        <v>2069</v>
      </c>
      <c r="GF30" s="7">
        <f t="shared" si="2"/>
        <v>2070</v>
      </c>
      <c r="GG30" s="7">
        <f t="shared" si="2"/>
        <v>2071</v>
      </c>
      <c r="GH30" s="7">
        <f t="shared" si="2"/>
        <v>2072</v>
      </c>
      <c r="GI30" s="7">
        <f t="shared" si="2"/>
        <v>2073</v>
      </c>
      <c r="GJ30" s="7">
        <f t="shared" si="2"/>
        <v>2074</v>
      </c>
      <c r="GK30" s="7">
        <f t="shared" si="2"/>
        <v>2075</v>
      </c>
      <c r="GL30" s="7">
        <f t="shared" si="2"/>
        <v>2076</v>
      </c>
      <c r="GM30" s="7">
        <f t="shared" si="2"/>
        <v>2077</v>
      </c>
      <c r="GN30" s="7">
        <f t="shared" si="2"/>
        <v>2078</v>
      </c>
      <c r="GO30" s="7">
        <f t="shared" si="2"/>
        <v>2079</v>
      </c>
      <c r="GP30" s="7">
        <f t="shared" si="2"/>
        <v>2080</v>
      </c>
      <c r="GQ30" s="7">
        <f t="shared" si="2"/>
        <v>2081</v>
      </c>
      <c r="GR30" s="7">
        <f t="shared" si="2"/>
        <v>2082</v>
      </c>
      <c r="GS30" s="7">
        <f t="shared" si="2"/>
        <v>2083</v>
      </c>
      <c r="GT30" s="7">
        <f t="shared" si="2"/>
        <v>2084</v>
      </c>
      <c r="GU30" s="7">
        <f t="shared" ref="GU30:IB30" si="3">GT30+1</f>
        <v>2085</v>
      </c>
      <c r="GV30" s="7">
        <f t="shared" si="3"/>
        <v>2086</v>
      </c>
      <c r="GW30" s="7">
        <f t="shared" si="3"/>
        <v>2087</v>
      </c>
      <c r="GX30" s="7">
        <f t="shared" si="3"/>
        <v>2088</v>
      </c>
      <c r="GY30" s="7">
        <f t="shared" si="3"/>
        <v>2089</v>
      </c>
      <c r="GZ30" s="7">
        <f t="shared" si="3"/>
        <v>2090</v>
      </c>
      <c r="HA30" s="7">
        <f t="shared" si="3"/>
        <v>2091</v>
      </c>
      <c r="HB30" s="7">
        <f t="shared" si="3"/>
        <v>2092</v>
      </c>
      <c r="HC30" s="7">
        <f t="shared" si="3"/>
        <v>2093</v>
      </c>
      <c r="HD30" s="7">
        <f t="shared" si="3"/>
        <v>2094</v>
      </c>
      <c r="HE30" s="7">
        <f t="shared" si="3"/>
        <v>2095</v>
      </c>
      <c r="HF30" s="7">
        <f t="shared" si="3"/>
        <v>2096</v>
      </c>
      <c r="HG30" s="7">
        <f t="shared" si="3"/>
        <v>2097</v>
      </c>
      <c r="HH30" s="7">
        <f t="shared" si="3"/>
        <v>2098</v>
      </c>
      <c r="HI30" s="7">
        <f t="shared" si="3"/>
        <v>2099</v>
      </c>
      <c r="HJ30" s="7">
        <f t="shared" si="3"/>
        <v>2100</v>
      </c>
      <c r="HK30" s="7">
        <f t="shared" si="3"/>
        <v>2101</v>
      </c>
      <c r="HL30" s="7">
        <f t="shared" si="3"/>
        <v>2102</v>
      </c>
      <c r="HM30" s="7">
        <f t="shared" si="3"/>
        <v>2103</v>
      </c>
      <c r="HN30" s="7">
        <f t="shared" si="3"/>
        <v>2104</v>
      </c>
      <c r="HO30" s="7">
        <f t="shared" si="3"/>
        <v>2105</v>
      </c>
      <c r="HP30" s="7">
        <f t="shared" si="3"/>
        <v>2106</v>
      </c>
      <c r="HQ30" s="7">
        <f t="shared" si="3"/>
        <v>2107</v>
      </c>
      <c r="HR30" s="7">
        <f t="shared" si="3"/>
        <v>2108</v>
      </c>
      <c r="HS30" s="7">
        <f t="shared" si="3"/>
        <v>2109</v>
      </c>
      <c r="HT30" s="7">
        <f t="shared" si="3"/>
        <v>2110</v>
      </c>
      <c r="HU30" s="7">
        <f t="shared" si="3"/>
        <v>2111</v>
      </c>
      <c r="HV30" s="7">
        <f t="shared" si="3"/>
        <v>2112</v>
      </c>
      <c r="HW30" s="7">
        <f t="shared" si="3"/>
        <v>2113</v>
      </c>
      <c r="HX30" s="7">
        <f t="shared" si="3"/>
        <v>2114</v>
      </c>
      <c r="HY30" s="7">
        <f t="shared" si="3"/>
        <v>2115</v>
      </c>
      <c r="HZ30" s="7">
        <f t="shared" si="3"/>
        <v>2116</v>
      </c>
      <c r="IA30" s="7">
        <f t="shared" si="3"/>
        <v>2117</v>
      </c>
      <c r="IB30" s="7">
        <f t="shared" si="3"/>
        <v>2118</v>
      </c>
    </row>
    <row r="31" spans="2:236" ht="12" customHeight="1" x14ac:dyDescent="0.25">
      <c r="B31" s="1">
        <v>3</v>
      </c>
      <c r="C31" s="1" t="s">
        <v>22</v>
      </c>
      <c r="D31" s="1" t="s">
        <v>112</v>
      </c>
      <c r="E31" s="1" t="s">
        <v>112</v>
      </c>
      <c r="F31" s="1" t="s">
        <v>23</v>
      </c>
      <c r="I31" s="1" t="s">
        <v>283</v>
      </c>
      <c r="K31" s="1" t="s">
        <v>284</v>
      </c>
      <c r="O31" s="1" t="s">
        <v>293</v>
      </c>
      <c r="Q31" s="1">
        <v>1</v>
      </c>
      <c r="R31" s="1" t="s">
        <v>33</v>
      </c>
      <c r="S31" s="14">
        <v>1500</v>
      </c>
      <c r="T31" s="1">
        <f>Q31*S31</f>
        <v>1500</v>
      </c>
      <c r="U31" s="14">
        <v>5</v>
      </c>
      <c r="V31" s="14"/>
      <c r="Y31" s="9">
        <f>SUM(AE31:EB31)</f>
        <v>2497.5790340028661</v>
      </c>
      <c r="Z31" s="82"/>
      <c r="AA31" s="82"/>
      <c r="AC31" s="9">
        <f>$Y31*(Voorblad!$K$44*(1+Voorblad!$K$44)^Voorblad!$K$37)/((1+Voorblad!$K$44)^Voorblad!$K$37-1)</f>
        <v>285.37029136232502</v>
      </c>
      <c r="AE31" s="9">
        <f>EF31*($Q31*$S31)/(1+Voorblad!$K$44)^(AE$56-Voorblad!$F$41)</f>
        <v>0</v>
      </c>
      <c r="AF31" s="9">
        <f>EG31*($Q31*$S31)/(1+Voorblad!$K$44)^(AF$30-Voorblad!$F$37)</f>
        <v>0</v>
      </c>
      <c r="AG31" s="9">
        <f>EH31*($Q31*$S31)/(1+Voorblad!$K$44)^(AG$56-Voorblad!$F$41)</f>
        <v>0</v>
      </c>
      <c r="AH31" s="9">
        <f>EI31*($Q31*$S31)/(1+Voorblad!$K$44)^(AH$56-Voorblad!$F$41)</f>
        <v>0</v>
      </c>
      <c r="AI31" s="9">
        <f>EJ31*($Q31*$S31)/(1+Voorblad!$K$44)^(AI$56-Voorblad!$F$41)</f>
        <v>0</v>
      </c>
      <c r="AJ31" s="9">
        <f>EK31*($Q31*$S31)/(1+Voorblad!$K$44)^(AJ$56-Voorblad!$F$41)</f>
        <v>1325.7814314142759</v>
      </c>
      <c r="AK31" s="9">
        <f>EL31*($Q31*$S31)/(1+Voorblad!$K$44)^(AK$56-Voorblad!$F$41)</f>
        <v>0</v>
      </c>
      <c r="AL31" s="9">
        <f>EM31*($Q31*$S31)/(1+Voorblad!$K$44)^(AL$56-Voorblad!$F$41)</f>
        <v>0</v>
      </c>
      <c r="AM31" s="9">
        <f>EN31*($Q31*$S31)/(1+Voorblad!$K$44)^(AM$56-Voorblad!$F$41)</f>
        <v>0</v>
      </c>
      <c r="AN31" s="9">
        <f>EO31*($Q31*$S31)/(1+Voorblad!$K$44)^(AN$56-Voorblad!$F$41)</f>
        <v>0</v>
      </c>
      <c r="AO31" s="9">
        <f>EP31*($Q31*$S31)/(1+Voorblad!$K$44)^(AO$56-Voorblad!$F$41)</f>
        <v>1171.7976025885905</v>
      </c>
      <c r="AP31" s="9">
        <f>EQ31*($Q31*$S31)/(1+Voorblad!$K$44)^(AP$56-Voorblad!$F$41)</f>
        <v>0</v>
      </c>
      <c r="AQ31" s="9">
        <f>ER31*($Q31*$S31)/(1+Voorblad!$K$44)^(AQ$56-Voorblad!$F$41)</f>
        <v>0</v>
      </c>
      <c r="AR31" s="9">
        <f>ES31*($Q31*$S31)/(1+Voorblad!$K$44)^(AR$56-Voorblad!$F$41)</f>
        <v>0</v>
      </c>
      <c r="AS31" s="9">
        <f>ET31*($Q31*$S31)/(1+Voorblad!$K$44)^(AS$56-Voorblad!$F$41)</f>
        <v>0</v>
      </c>
      <c r="AT31" s="9">
        <f>EU31*($Q31*$S31)/(1+Voorblad!$K$44)^(AT$56-Voorblad!$F$41)</f>
        <v>0</v>
      </c>
      <c r="AU31" s="9">
        <f>EV31*($Q31*$S31)/(1+Voorblad!$K$44)^(AU$56-Voorblad!$F$41)</f>
        <v>0</v>
      </c>
      <c r="AV31" s="9">
        <f>EW31*($Q31*$S31)/(1+Voorblad!$K$44)^(AV$56-Voorblad!$F$41)</f>
        <v>0</v>
      </c>
      <c r="AW31" s="9">
        <f>EX31*($Q31*$S31)/(1+Voorblad!$K$44)^(AW$56-Voorblad!$F$41)</f>
        <v>0</v>
      </c>
      <c r="AX31" s="9">
        <f>EY31*($Q31*$S31)/(1+Voorblad!$K$44)^(AX$56-Voorblad!$F$41)</f>
        <v>0</v>
      </c>
      <c r="AY31" s="9">
        <f>EZ31*($Q31*$S31)/(1+Voorblad!$K$44)^(AY$56-Voorblad!$F$41)</f>
        <v>0</v>
      </c>
      <c r="AZ31" s="9">
        <f>FA31*($Q31*$S31)/(1+Voorblad!$K$44)^(AZ$56-Voorblad!$F$41)</f>
        <v>0</v>
      </c>
      <c r="BA31" s="9">
        <f>FB31*($Q31*$S31)/(1+Voorblad!$K$44)^(BA$56-Voorblad!$F$41)</f>
        <v>0</v>
      </c>
      <c r="BB31" s="9">
        <f>FC31*($Q31*$S31)/(1+Voorblad!$K$44)^(BB$56-Voorblad!$F$41)</f>
        <v>0</v>
      </c>
      <c r="BC31" s="9">
        <f>FD31*($Q31*$S31)/(1+Voorblad!$K$44)^(BC$56-Voorblad!$F$41)</f>
        <v>0</v>
      </c>
      <c r="BD31" s="9">
        <f>FE31*($Q31*$S31)/(1+Voorblad!$K$44)^(BD$56-Voorblad!$F$41)</f>
        <v>0</v>
      </c>
      <c r="BE31" s="9">
        <f>FF31*($Q31*$S31)/(1+Voorblad!$K$44)^(BE$56-Voorblad!$F$41)</f>
        <v>0</v>
      </c>
      <c r="BF31" s="9">
        <f>FG31*($Q31*$S31)/(1+Voorblad!$K$44)^(BF$56-Voorblad!$F$41)</f>
        <v>0</v>
      </c>
      <c r="BG31" s="9">
        <f>FH31*($Q31*$S31)/(1+Voorblad!$K$44)^(BG$56-Voorblad!$F$41)</f>
        <v>0</v>
      </c>
      <c r="BH31" s="9">
        <f>FI31*($Q31*$S31)/(1+Voorblad!$K$44)^(BH$56-Voorblad!$F$41)</f>
        <v>0</v>
      </c>
      <c r="BI31" s="9">
        <f>FJ31*($Q31*$S31)/(1+Voorblad!$K$44)^(BI$56-Voorblad!$F$41)</f>
        <v>0</v>
      </c>
      <c r="BJ31" s="9">
        <f>FK31*($Q31*$S31)/(1+Voorblad!$K$44)^(BJ$56-Voorblad!$F$41)</f>
        <v>0</v>
      </c>
      <c r="BK31" s="9">
        <f>FL31*($Q31*$S31)/(1+Voorblad!$K$44)^(BK$56-Voorblad!$F$41)</f>
        <v>0</v>
      </c>
      <c r="BL31" s="9">
        <f>FM31*($Q31*$S31)/(1+Voorblad!$K$44)^(BL$56-Voorblad!$F$41)</f>
        <v>0</v>
      </c>
      <c r="BM31" s="9">
        <f>FN31*($Q31*$S31)/(1+Voorblad!$K$44)^(BM$56-Voorblad!$F$41)</f>
        <v>0</v>
      </c>
      <c r="BN31" s="9">
        <f>FO31*($Q31*$S31)/(1+Voorblad!$K$44)^(BN$56-Voorblad!$F$41)</f>
        <v>0</v>
      </c>
      <c r="BO31" s="9">
        <f>FP31*($Q31*$S31)/(1+Voorblad!$K$44)^(BO$56-Voorblad!$F$41)</f>
        <v>0</v>
      </c>
      <c r="BP31" s="9">
        <f>FQ31*($Q31*$S31)/(1+Voorblad!$K$44)^(BP$56-Voorblad!$F$41)</f>
        <v>0</v>
      </c>
      <c r="BQ31" s="9">
        <f>FR31*($Q31*$S31)/(1+Voorblad!$K$44)^(BQ$56-Voorblad!$F$41)</f>
        <v>0</v>
      </c>
      <c r="BR31" s="9">
        <f>FS31*($Q31*$S31)/(1+Voorblad!$K$44)^(BR$56-Voorblad!$F$41)</f>
        <v>0</v>
      </c>
      <c r="BS31" s="9">
        <f>FT31*($Q31*$S31)/(1+Voorblad!$K$44)^(BS$56-Voorblad!$F$41)</f>
        <v>0</v>
      </c>
      <c r="BT31" s="9">
        <f>FU31*($Q31*$S31)/(1+Voorblad!$K$44)^(BT$56-Voorblad!$F$41)</f>
        <v>0</v>
      </c>
      <c r="BU31" s="9">
        <f>FV31*($Q31*$S31)/(1+Voorblad!$K$44)^(BU$56-Voorblad!$F$41)</f>
        <v>0</v>
      </c>
      <c r="BV31" s="9">
        <f>FW31*($Q31*$S31)/(1+Voorblad!$K$44)^(BV$56-Voorblad!$F$41)</f>
        <v>0</v>
      </c>
      <c r="BW31" s="9">
        <f>FX31*($Q31*$S31)/(1+Voorblad!$K$44)^(BW$56-Voorblad!$F$41)</f>
        <v>0</v>
      </c>
      <c r="BX31" s="9">
        <f>FY31*($Q31*$S31)/(1+Voorblad!$K$44)^(BX$56-Voorblad!$F$41)</f>
        <v>0</v>
      </c>
      <c r="BY31" s="9">
        <f>FZ31*($Q31*$S31)/(1+Voorblad!$K$44)^(BY$56-Voorblad!$F$41)</f>
        <v>0</v>
      </c>
      <c r="BZ31" s="9">
        <f>GA31*($Q31*$S31)/(1+Voorblad!$K$44)^(BZ$56-Voorblad!$F$41)</f>
        <v>0</v>
      </c>
      <c r="CA31" s="9">
        <f>GB31*($Q31*$S31)/(1+Voorblad!$K$44)^(CA$56-Voorblad!$F$41)</f>
        <v>0</v>
      </c>
      <c r="CB31" s="9">
        <f>GC31*($Q31*$S31)/(1+Voorblad!$K$44)^(CB$56-Voorblad!$F$41)</f>
        <v>0</v>
      </c>
      <c r="CC31" s="9">
        <f>GD31*($Q31*$S31)/(1+Voorblad!$K$44)^(CC$56-Voorblad!$F$41)</f>
        <v>0</v>
      </c>
      <c r="CD31" s="9">
        <f>GE31*($Q31*$S31)/(1+Voorblad!$K$44)^(CD$56-Voorblad!$F$41)</f>
        <v>0</v>
      </c>
      <c r="CE31" s="9">
        <f>GF31*($Q31*$S31)/(1+Voorblad!$K$44)^(CE$56-Voorblad!$F$41)</f>
        <v>0</v>
      </c>
      <c r="CF31" s="9">
        <f>GG31*($Q31*$S31)/(1+Voorblad!$K$44)^(CF$56-Voorblad!$F$41)</f>
        <v>0</v>
      </c>
      <c r="CG31" s="9">
        <f>GH31*($Q31*$S31)/(1+Voorblad!$K$44)^(CG$56-Voorblad!$F$41)</f>
        <v>0</v>
      </c>
      <c r="CH31" s="9">
        <f>GI31*($Q31*$S31)/(1+Voorblad!$K$44)^(CH$56-Voorblad!$F$41)</f>
        <v>0</v>
      </c>
      <c r="CI31" s="9">
        <f>GJ31*($Q31*$S31)/(1+Voorblad!$K$44)^(CI$56-Voorblad!$F$41)</f>
        <v>0</v>
      </c>
      <c r="CJ31" s="9">
        <f>GK31*($Q31*$S31)/(1+Voorblad!$K$44)^(CJ$56-Voorblad!$F$41)</f>
        <v>0</v>
      </c>
      <c r="CK31" s="9">
        <f>GL31*($Q31*$S31)/(1+Voorblad!$K$44)^(CK$56-Voorblad!$F$41)</f>
        <v>0</v>
      </c>
      <c r="CL31" s="9">
        <f>GM31*($Q31*$S31)/(1+Voorblad!$K$44)^(CL$56-Voorblad!$F$41)</f>
        <v>0</v>
      </c>
      <c r="CM31" s="9">
        <f>GN31*($Q31*$S31)/(1+Voorblad!$K$44)^(CM$56-Voorblad!$F$41)</f>
        <v>0</v>
      </c>
      <c r="CN31" s="9">
        <f>GO31*($Q31*$S31)/(1+Voorblad!$K$44)^(CN$56-Voorblad!$F$41)</f>
        <v>0</v>
      </c>
      <c r="CO31" s="9">
        <f>GP31*($Q31*$S31)/(1+Voorblad!$K$44)^(CO$56-Voorblad!$F$41)</f>
        <v>0</v>
      </c>
      <c r="CP31" s="9">
        <f>GQ31*($Q31*$S31)/(1+Voorblad!$K$44)^(CP$56-Voorblad!$F$41)</f>
        <v>0</v>
      </c>
      <c r="CQ31" s="9">
        <f>GR31*($Q31*$S31)/(1+Voorblad!$K$44)^(CQ$56-Voorblad!$F$41)</f>
        <v>0</v>
      </c>
      <c r="CR31" s="9">
        <f>GS31*($Q31*$S31)/(1+Voorblad!$K$44)^(CR$56-Voorblad!$F$41)</f>
        <v>0</v>
      </c>
      <c r="CS31" s="9">
        <f>GT31*($Q31*$S31)/(1+Voorblad!$K$44)^(CS$56-Voorblad!$F$41)</f>
        <v>0</v>
      </c>
      <c r="CT31" s="9">
        <f>GU31*($Q31*$S31)/(1+Voorblad!$K$44)^(CT$56-Voorblad!$F$41)</f>
        <v>0</v>
      </c>
      <c r="CU31" s="9">
        <f>GV31*($Q31*$S31)/(1+Voorblad!$K$44)^(CU$56-Voorblad!$F$41)</f>
        <v>0</v>
      </c>
      <c r="CV31" s="9">
        <f>GW31*($Q31*$S31)/(1+Voorblad!$K$44)^(CV$56-Voorblad!$F$41)</f>
        <v>0</v>
      </c>
      <c r="CW31" s="9">
        <f>GX31*($Q31*$S31)/(1+Voorblad!$K$44)^(CW$56-Voorblad!$F$41)</f>
        <v>0</v>
      </c>
      <c r="CX31" s="9">
        <f>GY31*($Q31*$S31)/(1+Voorblad!$K$44)^(CX$56-Voorblad!$F$41)</f>
        <v>0</v>
      </c>
      <c r="CY31" s="9">
        <f>GZ31*($Q31*$S31)/(1+Voorblad!$K$44)^(CY$56-Voorblad!$F$41)</f>
        <v>0</v>
      </c>
      <c r="CZ31" s="9">
        <f>HA31*($Q31*$S31)/(1+Voorblad!$K$44)^(CZ$56-Voorblad!$F$41)</f>
        <v>0</v>
      </c>
      <c r="DA31" s="9">
        <f>HB31*($Q31*$S31)/(1+Voorblad!$K$44)^(DA$56-Voorblad!$F$41)</f>
        <v>0</v>
      </c>
      <c r="DB31" s="9">
        <f>HC31*($Q31*$S31)/(1+Voorblad!$K$44)^(DB$56-Voorblad!$F$41)</f>
        <v>0</v>
      </c>
      <c r="DC31" s="9">
        <f>HD31*($Q31*$S31)/(1+Voorblad!$K$44)^(DC$56-Voorblad!$F$41)</f>
        <v>0</v>
      </c>
      <c r="DD31" s="9">
        <f>HE31*($Q31*$S31)/(1+Voorblad!$K$44)^(DD$56-Voorblad!$F$41)</f>
        <v>0</v>
      </c>
      <c r="DE31" s="9">
        <f>HF31*($Q31*$S31)/(1+Voorblad!$K$44)^(DE$56-Voorblad!$F$41)</f>
        <v>0</v>
      </c>
      <c r="DF31" s="9">
        <f>HG31*($Q31*$S31)/(1+Voorblad!$K$44)^(DF$56-Voorblad!$F$41)</f>
        <v>0</v>
      </c>
      <c r="DG31" s="9">
        <f>HH31*($Q31*$S31)/(1+Voorblad!$K$44)^(DG$56-Voorblad!$F$41)</f>
        <v>0</v>
      </c>
      <c r="DH31" s="9">
        <f>HI31*($Q31*$S31)/(1+Voorblad!$K$44)^(DH$56-Voorblad!$F$41)</f>
        <v>0</v>
      </c>
      <c r="DI31" s="9">
        <f>HJ31*($Q31*$S31)/(1+Voorblad!$K$44)^(DI$56-Voorblad!$F$41)</f>
        <v>0</v>
      </c>
      <c r="DJ31" s="9">
        <f>HK31*($Q31*$S31)/(1+Voorblad!$K$44)^(DJ$56-Voorblad!$F$41)</f>
        <v>0</v>
      </c>
      <c r="DK31" s="9">
        <f>HL31*($Q31*$S31)/(1+Voorblad!$K$44)^(DK$56-Voorblad!$F$41)</f>
        <v>0</v>
      </c>
      <c r="DL31" s="9">
        <f>HM31*($Q31*$S31)/(1+Voorblad!$K$44)^(DL$56-Voorblad!$F$41)</f>
        <v>0</v>
      </c>
      <c r="DM31" s="9">
        <f>HN31*($Q31*$S31)/(1+Voorblad!$K$44)^(DM$56-Voorblad!$F$41)</f>
        <v>0</v>
      </c>
      <c r="DN31" s="9">
        <f>HO31*($Q31*$S31)/(1+Voorblad!$K$44)^(DN$56-Voorblad!$F$41)</f>
        <v>0</v>
      </c>
      <c r="DO31" s="9">
        <f>HP31*($Q31*$S31)/(1+Voorblad!$K$44)^(DO$56-Voorblad!$F$41)</f>
        <v>0</v>
      </c>
      <c r="DP31" s="9">
        <f>HQ31*($Q31*$S31)/(1+Voorblad!$K$44)^(DP$56-Voorblad!$F$41)</f>
        <v>0</v>
      </c>
      <c r="DQ31" s="9">
        <f>HR31*($Q31*$S31)/(1+Voorblad!$K$44)^(DQ$56-Voorblad!$F$41)</f>
        <v>0</v>
      </c>
      <c r="DR31" s="9">
        <f>HS31*($Q31*$S31)/(1+Voorblad!$K$44)^(DR$56-Voorblad!$F$41)</f>
        <v>0</v>
      </c>
      <c r="DS31" s="9">
        <f>HT31*($Q31*$S31)/(1+Voorblad!$K$44)^(DS$56-Voorblad!$F$41)</f>
        <v>0</v>
      </c>
      <c r="DT31" s="9">
        <f>HU31*($Q31*$S31)/(1+Voorblad!$K$44)^(DT$56-Voorblad!$F$41)</f>
        <v>0</v>
      </c>
      <c r="DU31" s="9">
        <f>HV31*($Q31*$S31)/(1+Voorblad!$K$44)^(DU$56-Voorblad!$F$41)</f>
        <v>0</v>
      </c>
      <c r="DV31" s="9">
        <f>HW31*($Q31*$S31)/(1+Voorblad!$K$44)^(DV$56-Voorblad!$F$41)</f>
        <v>0</v>
      </c>
      <c r="DW31" s="9">
        <f>HX31*($Q31*$S31)/(1+Voorblad!$K$44)^(DW$56-Voorblad!$F$41)</f>
        <v>0</v>
      </c>
      <c r="DX31" s="9">
        <f>HY31*($Q31*$S31)/(1+Voorblad!$K$44)^(DX$56-Voorblad!$F$41)</f>
        <v>0</v>
      </c>
      <c r="DY31" s="9">
        <f>HZ31*($Q31*$S31)/(1+Voorblad!$K$44)^(DY$56-Voorblad!$F$41)</f>
        <v>0</v>
      </c>
      <c r="DZ31" s="9">
        <f>IA31*($Q31*$S31)/(1+Voorblad!$K$44)^(DZ$56-Voorblad!$F$41)</f>
        <v>0</v>
      </c>
      <c r="EA31" s="9">
        <f>IB31*($Q31*$S31)/(1+Voorblad!$K$44)^(EA$56-Voorblad!$F$41)</f>
        <v>0</v>
      </c>
      <c r="EB31" s="9">
        <f>IC31*($Q31*$S31)/(1+Voorblad!$K$44)^(EB$56-Voorblad!$F$41)</f>
        <v>0</v>
      </c>
      <c r="EE31" s="8">
        <v>0</v>
      </c>
      <c r="EF31" s="8">
        <f>IF(EF$30-Voorblad!$F$37&gt;Voorblad!$K$37,0,IF($U31=0,0,IF($U31&lt;1,1/$U31,IF((EF$30-Voorblad!$F$37)/$U31-SUM($EE31:EE31)=1,1,0))))</f>
        <v>0</v>
      </c>
      <c r="EG31" s="8">
        <f>IF(EG$30-Voorblad!$F$37&gt;Voorblad!$K$37,0,IF($U31=0,0,IF($U31&lt;1,1/$U31,IF((EG$30-Voorblad!$F$37)/$U31-SUM($EE31:EF31)=1,1,0))))</f>
        <v>0</v>
      </c>
      <c r="EH31" s="8">
        <f>IF(EH$30-Voorblad!$F$37&gt;Voorblad!$K$37,0,IF($U31=0,0,IF($U31&lt;1,1/$U31,IF((EH$30-Voorblad!$F$37)/$U31-SUM($EE31:EG31)=1,1,0))))</f>
        <v>0</v>
      </c>
      <c r="EI31" s="8">
        <f>IF(EI$30-Voorblad!$F$37&gt;Voorblad!$K$37,0,IF($U31=0,0,IF($U31&lt;1,1/$U31,IF((EI$30-Voorblad!$F$37)/$U31-SUM($EE31:EH31)=1,1,0))))</f>
        <v>0</v>
      </c>
      <c r="EJ31" s="8">
        <f>IF(EJ$30-Voorblad!$F$37&gt;Voorblad!$K$37,0,IF($U31=0,0,IF($U31&lt;1,1/$U31,IF((EJ$30-Voorblad!$F$37)/$U31-SUM($EE31:EI31)=1,1,0))))</f>
        <v>0</v>
      </c>
      <c r="EK31" s="8">
        <f>IF(EK$30-Voorblad!$F$37&gt;Voorblad!$K$37,0,IF($U31=0,0,IF($U31&lt;1,1/$U31,IF((EK$30-Voorblad!$F$37)/$U31-SUM($EE31:EJ31)=1,1,0))))</f>
        <v>1</v>
      </c>
      <c r="EL31" s="8">
        <f>IF(EL$30-Voorblad!$F$37&gt;Voorblad!$K$37,0,IF($U31=0,0,IF($U31&lt;1,1/$U31,IF((EL$30-Voorblad!$F$37)/$U31-SUM($EE31:EK31)=1,1,0))))</f>
        <v>0</v>
      </c>
      <c r="EM31" s="8">
        <f>IF(EM$30-Voorblad!$F$37&gt;Voorblad!$K$37,0,IF($U31=0,0,IF($U31&lt;1,1/$U31,IF((EM$30-Voorblad!$F$37)/$U31-SUM($EE31:EL31)=1,1,0))))</f>
        <v>0</v>
      </c>
      <c r="EN31" s="8">
        <f>IF(EN$30-Voorblad!$F$37&gt;Voorblad!$K$37,0,IF($U31=0,0,IF($U31&lt;1,1/$U31,IF((EN$30-Voorblad!$F$37)/$U31-SUM($EE31:EM31)=1,1,0))))</f>
        <v>0</v>
      </c>
      <c r="EO31" s="8">
        <f>IF(EO$30-Voorblad!$F$37&gt;Voorblad!$K$37,0,IF($U31=0,0,IF($U31&lt;1,1/$U31,IF((EO$30-Voorblad!$F$37)/$U31-SUM($EE31:EN31)=1,1,0))))</f>
        <v>0</v>
      </c>
      <c r="EP31" s="8">
        <f>IF(EP$30-Voorblad!$F$37&gt;Voorblad!$K$37,0,IF($U31=0,0,IF($U31&lt;1,1/$U31,IF((EP$30-Voorblad!$F$37)/$U31-SUM($EE31:EO31)=1,1,0))))</f>
        <v>1</v>
      </c>
      <c r="EQ31" s="8">
        <f>IF(EQ$30-Voorblad!$F$37&gt;Voorblad!$K$37,0,IF($U31=0,0,IF($U31&lt;1,1/$U31,IF((EQ$30-Voorblad!$F$37)/$U31-SUM($EE31:EP31)=1,1,0))))</f>
        <v>0</v>
      </c>
      <c r="ER31" s="8">
        <f>IF(ER$30-Voorblad!$F$37&gt;Voorblad!$K$37,0,IF($U31=0,0,IF($U31&lt;1,1/$U31,IF((ER$30-Voorblad!$F$37)/$U31-SUM($EE31:EQ31)=1,1,0))))</f>
        <v>0</v>
      </c>
      <c r="ES31" s="8">
        <f>IF(ES$30-Voorblad!$F$37&gt;Voorblad!$K$37,0,IF($U31=0,0,IF($U31&lt;1,1/$U31,IF((ES$30-Voorblad!$F$37)/$U31-SUM($EE31:ER31)=1,1,0))))</f>
        <v>0</v>
      </c>
      <c r="ET31" s="8">
        <f>IF(ET$30-Voorblad!$F$37&gt;Voorblad!$K$37,0,IF($U31=0,0,IF($U31&lt;1,1/$U31,IF((ET$30-Voorblad!$F$37)/$U31-SUM($EE31:ES31)=1,1,0))))</f>
        <v>0</v>
      </c>
      <c r="EU31" s="8">
        <f>IF(EU$30-Voorblad!$F$37&gt;Voorblad!$K$37,0,IF($U31=0,0,IF($U31&lt;1,1/$U31,IF((EU$30-Voorblad!$F$37)/$U31-SUM($EE31:ET31)=1,1,0))))</f>
        <v>0</v>
      </c>
      <c r="EV31" s="8">
        <f>IF(EV$30-Voorblad!$F$37&gt;Voorblad!$K$37,0,IF($U31=0,0,IF($U31&lt;1,1/$U31,IF((EV$30-Voorblad!$F$37)/$U31-SUM($EE31:EU31)=1,1,0))))</f>
        <v>0</v>
      </c>
      <c r="EW31" s="8">
        <f>IF(EW$30-Voorblad!$F$37&gt;Voorblad!$K$37,0,IF($U31=0,0,IF($U31&lt;1,1/$U31,IF((EW$30-Voorblad!$F$37)/$U31-SUM($EE31:EV31)=1,1,0))))</f>
        <v>0</v>
      </c>
      <c r="EX31" s="8">
        <f>IF(EX$30-Voorblad!$F$37&gt;Voorblad!$K$37,0,IF($U31=0,0,IF($U31&lt;1,1/$U31,IF((EX$30-Voorblad!$F$37)/$U31-SUM($EE31:EW31)=1,1,0))))</f>
        <v>0</v>
      </c>
      <c r="EY31" s="8">
        <f>IF(EY$30-Voorblad!$F$37&gt;Voorblad!$K$37,0,IF($U31=0,0,IF($U31&lt;1,1/$U31,IF((EY$30-Voorblad!$F$37)/$U31-SUM($EE31:EX31)=1,1,0))))</f>
        <v>0</v>
      </c>
      <c r="EZ31" s="8">
        <f>IF(EZ$30-Voorblad!$F$37&gt;Voorblad!$K$37,0,IF($U31=0,0,IF($U31&lt;1,1/$U31,IF((EZ$30-Voorblad!$F$37)/$U31-SUM($EE31:EY31)=1,1,0))))</f>
        <v>0</v>
      </c>
      <c r="FA31" s="8">
        <f>IF(FA$30-Voorblad!$F$37&gt;Voorblad!$K$37,0,IF($U31=0,0,IF($U31&lt;1,1/$U31,IF((FA$30-Voorblad!$F$37)/$U31-SUM($EE31:EZ31)=1,1,0))))</f>
        <v>0</v>
      </c>
      <c r="FB31" s="8">
        <f>IF(FB$30-Voorblad!$F$37&gt;Voorblad!$K$37,0,IF($U31=0,0,IF($U31&lt;1,1/$U31,IF((FB$30-Voorblad!$F$37)/$U31-SUM($EE31:FA31)=1,1,0))))</f>
        <v>0</v>
      </c>
      <c r="FC31" s="8">
        <f>IF(FC$30-Voorblad!$F$37&gt;Voorblad!$K$37,0,IF($U31=0,0,IF($U31&lt;1,1/$U31,IF((FC$30-Voorblad!$F$37)/$U31-SUM($EE31:FB31)=1,1,0))))</f>
        <v>0</v>
      </c>
      <c r="FD31" s="8">
        <f>IF(FD$30-Voorblad!$F$37&gt;Voorblad!$K$37,0,IF($U31=0,0,IF($U31&lt;1,1/$U31,IF((FD$30-Voorblad!$F$37)/$U31-SUM($EE31:FC31)=1,1,0))))</f>
        <v>0</v>
      </c>
      <c r="FE31" s="8">
        <f>IF(FE$30-Voorblad!$F$37&gt;Voorblad!$K$37,0,IF($U31=0,0,IF($U31&lt;1,1/$U31,IF((FE$30-Voorblad!$F$37)/$U31-SUM($EE31:FD31)=1,1,0))))</f>
        <v>0</v>
      </c>
      <c r="FF31" s="8">
        <f>IF(FF$30-Voorblad!$F$37&gt;Voorblad!$K$37,0,IF($U31=0,0,IF($U31&lt;1,1/$U31,IF((FF$30-Voorblad!$F$37)/$U31-SUM($EE31:FE31)=1,1,0))))</f>
        <v>0</v>
      </c>
      <c r="FG31" s="8">
        <f>IF(FG$30-Voorblad!$F$37&gt;Voorblad!$K$37,0,IF($U31=0,0,IF($U31&lt;1,1/$U31,IF((FG$30-Voorblad!$F$37)/$U31-SUM($EE31:FF31)=1,1,0))))</f>
        <v>0</v>
      </c>
      <c r="FH31" s="8">
        <f>IF(FH$30-Voorblad!$F$37&gt;Voorblad!$K$37,0,IF($U31=0,0,IF($U31&lt;1,1/$U31,IF((FH$30-Voorblad!$F$37)/$U31-SUM($EE31:FG31)=1,1,0))))</f>
        <v>0</v>
      </c>
      <c r="FI31" s="8">
        <f>IF(FI$30-Voorblad!$F$37&gt;Voorblad!$K$37,0,IF($U31=0,0,IF($U31&lt;1,1/$U31,IF((FI$30-Voorblad!$F$37)/$U31-SUM($EE31:FH31)=1,1,0))))</f>
        <v>0</v>
      </c>
      <c r="FJ31" s="8">
        <f>IF(FJ$30-Voorblad!$F$37&gt;Voorblad!$K$37,0,IF($U31=0,0,IF($U31&lt;1,1/$U31,IF((FJ$30-Voorblad!$F$37)/$U31-SUM($EE31:FI31)=1,1,0))))</f>
        <v>0</v>
      </c>
      <c r="FK31" s="8">
        <f>IF(FK$30-Voorblad!$F$37&gt;Voorblad!$K$37,0,IF($U31=0,0,IF($U31&lt;1,1/$U31,IF((FK$30-Voorblad!$F$37)/$U31-SUM($EE31:FJ31)=1,1,0))))</f>
        <v>0</v>
      </c>
      <c r="FL31" s="8">
        <f>IF(FL$30-Voorblad!$F$37&gt;Voorblad!$K$37,0,IF($U31=0,0,IF($U31&lt;1,1/$U31,IF((FL$30-Voorblad!$F$37)/$U31-SUM($EE31:FK31)=1,1,0))))</f>
        <v>0</v>
      </c>
      <c r="FM31" s="8">
        <f>IF(FM$30-Voorblad!$F$37&gt;Voorblad!$K$37,0,IF($U31=0,0,IF($U31&lt;1,1/$U31,IF((FM$30-Voorblad!$F$37)/$U31-SUM($EE31:FL31)=1,1,0))))</f>
        <v>0</v>
      </c>
      <c r="FN31" s="8">
        <f>IF(FN$30-Voorblad!$F$37&gt;Voorblad!$K$37,0,IF($U31=0,0,IF($U31&lt;1,1/$U31,IF((FN$30-Voorblad!$F$37)/$U31-SUM($EE31:FM31)=1,1,0))))</f>
        <v>0</v>
      </c>
      <c r="FO31" s="8">
        <f>IF(FO$30-Voorblad!$F$37&gt;Voorblad!$K$37,0,IF($U31=0,0,IF($U31&lt;1,1/$U31,IF((FO$30-Voorblad!$F$37)/$U31-SUM($EE31:FN31)=1,1,0))))</f>
        <v>0</v>
      </c>
      <c r="FP31" s="8">
        <f>IF(FP$30-Voorblad!$F$37&gt;Voorblad!$K$37,0,IF($U31=0,0,IF($U31&lt;1,1/$U31,IF((FP$30-Voorblad!$F$37)/$U31-SUM($EE31:FO31)=1,1,0))))</f>
        <v>0</v>
      </c>
      <c r="FQ31" s="8">
        <f>IF(FQ$30-Voorblad!$F$37&gt;Voorblad!$K$37,0,IF($U31=0,0,IF($U31&lt;1,1/$U31,IF((FQ$30-Voorblad!$F$37)/$U31-SUM($EE31:FP31)=1,1,0))))</f>
        <v>0</v>
      </c>
      <c r="FR31" s="8">
        <f>IF(FR$30-Voorblad!$F$37&gt;Voorblad!$K$37,0,IF($U31=0,0,IF($U31&lt;1,1/$U31,IF((FR$30-Voorblad!$F$37)/$U31-SUM($EE31:FQ31)=1,1,0))))</f>
        <v>0</v>
      </c>
      <c r="FS31" s="8">
        <f>IF(FS$30-Voorblad!$F$37&gt;Voorblad!$K$37,0,IF($U31=0,0,IF($U31&lt;1,1/$U31,IF((FS$30-Voorblad!$F$37)/$U31-SUM($EE31:FR31)=1,1,0))))</f>
        <v>0</v>
      </c>
      <c r="FT31" s="8">
        <f>IF(FT$30-Voorblad!$F$37&gt;Voorblad!$K$37,0,IF($U31=0,0,IF($U31&lt;1,1/$U31,IF((FT$30-Voorblad!$F$37)/$U31-SUM($EE31:FS31)=1,1,0))))</f>
        <v>0</v>
      </c>
      <c r="FU31" s="8">
        <f>IF(FU$30-Voorblad!$F$37&gt;Voorblad!$K$37,0,IF($U31=0,0,IF($U31&lt;1,1/$U31,IF((FU$30-Voorblad!$F$37)/$U31-SUM($EE31:FT31)=1,1,0))))</f>
        <v>0</v>
      </c>
      <c r="FV31" s="8">
        <f>IF(FV$30-Voorblad!$F$37&gt;Voorblad!$K$37,0,IF($U31=0,0,IF($U31&lt;1,1/$U31,IF((FV$30-Voorblad!$F$37)/$U31-SUM($EE31:FU31)=1,1,0))))</f>
        <v>0</v>
      </c>
      <c r="FW31" s="8">
        <f>IF(FW$30-Voorblad!$F$37&gt;Voorblad!$K$37,0,IF($U31=0,0,IF($U31&lt;1,1/$U31,IF((FW$30-Voorblad!$F$37)/$U31-SUM($EE31:FV31)=1,1,0))))</f>
        <v>0</v>
      </c>
      <c r="FX31" s="8">
        <f>IF(FX$30-Voorblad!$F$37&gt;Voorblad!$K$37,0,IF($U31=0,0,IF($U31&lt;1,1/$U31,IF((FX$30-Voorblad!$F$37)/$U31-SUM($EE31:FW31)=1,1,0))))</f>
        <v>0</v>
      </c>
      <c r="FY31" s="8">
        <f>IF(FY$30-Voorblad!$F$37&gt;Voorblad!$K$37,0,IF($U31=0,0,IF($U31&lt;1,1/$U31,IF((FY$30-Voorblad!$F$37)/$U31-SUM($EE31:FX31)=1,1,0))))</f>
        <v>0</v>
      </c>
      <c r="FZ31" s="8">
        <f>IF(FZ$30-Voorblad!$F$37&gt;Voorblad!$K$37,0,IF($U31=0,0,IF($U31&lt;1,1/$U31,IF((FZ$30-Voorblad!$F$37)/$U31-SUM($EE31:FY31)=1,1,0))))</f>
        <v>0</v>
      </c>
      <c r="GA31" s="8">
        <f>IF(GA$30-Voorblad!$F$37&gt;Voorblad!$K$37,0,IF($U31=0,0,IF($U31&lt;1,1/$U31,IF((GA$30-Voorblad!$F$37)/$U31-SUM($EE31:FZ31)=1,1,0))))</f>
        <v>0</v>
      </c>
      <c r="GB31" s="8">
        <f>IF(GB$30-Voorblad!$F$37&gt;Voorblad!$K$37,0,IF($U31=0,0,IF($U31&lt;1,1/$U31,IF((GB$30-Voorblad!$F$37)/$U31-SUM($EE31:GA31)=1,1,0))))</f>
        <v>0</v>
      </c>
      <c r="GC31" s="8">
        <f>IF(GC$30-Voorblad!$F$37&gt;Voorblad!$K$37,0,IF($U31=0,0,IF($U31&lt;1,1/$U31,IF((GC$30-Voorblad!$F$37)/$U31-SUM($EE31:GB31)=1,1,0))))</f>
        <v>0</v>
      </c>
      <c r="GD31" s="8">
        <f>IF(GD$30-Voorblad!$F$37&gt;Voorblad!$K$37,0,IF($U31=0,0,IF($U31&lt;1,1/$U31,IF((GD$30-Voorblad!$F$37)/$U31-SUM($EE31:GC31)=1,1,0))))</f>
        <v>0</v>
      </c>
      <c r="GE31" s="8">
        <f>IF(GE$30-Voorblad!$F$37&gt;Voorblad!$K$37,0,IF($U31=0,0,IF($U31&lt;1,1/$U31,IF((GE$30-Voorblad!$F$37)/$U31-SUM($EE31:GD31)=1,1,0))))</f>
        <v>0</v>
      </c>
      <c r="GF31" s="8">
        <f>IF(GF$30-Voorblad!$F$37&gt;Voorblad!$K$37,0,IF($U31=0,0,IF($U31&lt;1,1/$U31,IF((GF$30-Voorblad!$F$37)/$U31-SUM($EE31:GE31)=1,1,0))))</f>
        <v>0</v>
      </c>
      <c r="GG31" s="8">
        <f>IF(GG$30-Voorblad!$F$37&gt;Voorblad!$K$37,0,IF($U31=0,0,IF($U31&lt;1,1/$U31,IF((GG$30-Voorblad!$F$37)/$U31-SUM($EE31:GF31)=1,1,0))))</f>
        <v>0</v>
      </c>
      <c r="GH31" s="8">
        <f>IF(GH$30-Voorblad!$F$37&gt;Voorblad!$K$37,0,IF($U31=0,0,IF($U31&lt;1,1/$U31,IF((GH$30-Voorblad!$F$37)/$U31-SUM($EE31:GG31)=1,1,0))))</f>
        <v>0</v>
      </c>
      <c r="GI31" s="8">
        <f>IF(GI$30-Voorblad!$F$37&gt;Voorblad!$K$37,0,IF($U31=0,0,IF($U31&lt;1,1/$U31,IF((GI$30-Voorblad!$F$37)/$U31-SUM($EE31:GH31)=1,1,0))))</f>
        <v>0</v>
      </c>
      <c r="GJ31" s="8">
        <f>IF(GJ$30-Voorblad!$F$37&gt;Voorblad!$K$37,0,IF($U31=0,0,IF($U31&lt;1,1/$U31,IF((GJ$30-Voorblad!$F$37)/$U31-SUM($EE31:GI31)=1,1,0))))</f>
        <v>0</v>
      </c>
      <c r="GK31" s="8">
        <f>IF(GK$30-Voorblad!$F$37&gt;Voorblad!$K$37,0,IF($U31=0,0,IF($U31&lt;1,1/$U31,IF((GK$30-Voorblad!$F$37)/$U31-SUM($EE31:GJ31)=1,1,0))))</f>
        <v>0</v>
      </c>
      <c r="GL31" s="8">
        <f>IF(GL$30-Voorblad!$F$37&gt;Voorblad!$K$37,0,IF($U31=0,0,IF($U31&lt;1,1/$U31,IF((GL$30-Voorblad!$F$37)/$U31-SUM($EE31:GK31)=1,1,0))))</f>
        <v>0</v>
      </c>
      <c r="GM31" s="8">
        <f>IF(GM$30-Voorblad!$F$37&gt;Voorblad!$K$37,0,IF($U31=0,0,IF($U31&lt;1,1/$U31,IF((GM$30-Voorblad!$F$37)/$U31-SUM($EE31:GL31)=1,1,0))))</f>
        <v>0</v>
      </c>
      <c r="GN31" s="8">
        <f>IF(GN$30-Voorblad!$F$37&gt;Voorblad!$K$37,0,IF($U31=0,0,IF($U31&lt;1,1/$U31,IF((GN$30-Voorblad!$F$37)/$U31-SUM($EE31:GM31)=1,1,0))))</f>
        <v>0</v>
      </c>
      <c r="GO31" s="8">
        <f>IF(GO$30-Voorblad!$F$37&gt;Voorblad!$K$37,0,IF($U31=0,0,IF($U31&lt;1,1/$U31,IF((GO$30-Voorblad!$F$37)/$U31-SUM($EE31:GN31)=1,1,0))))</f>
        <v>0</v>
      </c>
      <c r="GP31" s="8">
        <f>IF(GP$30-Voorblad!$F$37&gt;Voorblad!$K$37,0,IF($U31=0,0,IF($U31&lt;1,1/$U31,IF((GP$30-Voorblad!$F$37)/$U31-SUM($EE31:GO31)=1,1,0))))</f>
        <v>0</v>
      </c>
      <c r="GQ31" s="8">
        <f>IF(GQ$30-Voorblad!$F$37&gt;Voorblad!$K$37,0,IF($U31=0,0,IF($U31&lt;1,1/$U31,IF((GQ$30-Voorblad!$F$37)/$U31-SUM($EE31:GP31)=1,1,0))))</f>
        <v>0</v>
      </c>
      <c r="GR31" s="8">
        <f>IF(GR$30-Voorblad!$F$37&gt;Voorblad!$K$37,0,IF($U31=0,0,IF($U31&lt;1,1/$U31,IF((GR$30-Voorblad!$F$37)/$U31-SUM($EE31:GQ31)=1,1,0))))</f>
        <v>0</v>
      </c>
      <c r="GS31" s="8">
        <f>IF(GS$30-Voorblad!$F$37&gt;Voorblad!$K$37,0,IF($U31=0,0,IF($U31&lt;1,1/$U31,IF((GS$30-Voorblad!$F$37)/$U31-SUM($EE31:GR31)=1,1,0))))</f>
        <v>0</v>
      </c>
      <c r="GT31" s="8">
        <f>IF(GT$30-Voorblad!$F$37&gt;Voorblad!$K$37,0,IF($U31=0,0,IF($U31&lt;1,1/$U31,IF((GT$30-Voorblad!$F$37)/$U31-SUM($EE31:GS31)=1,1,0))))</f>
        <v>0</v>
      </c>
      <c r="GU31" s="8">
        <f>IF(GU$30-Voorblad!$F$37&gt;Voorblad!$K$37,0,IF($U31=0,0,IF($U31&lt;1,1/$U31,IF((GU$30-Voorblad!$F$37)/$U31-SUM($EE31:GT31)=1,1,0))))</f>
        <v>0</v>
      </c>
      <c r="GV31" s="8">
        <f>IF(GV$30-Voorblad!$F$37&gt;Voorblad!$K$37,0,IF($U31=0,0,IF($U31&lt;1,1/$U31,IF((GV$30-Voorblad!$F$37)/$U31-SUM($EE31:GU31)=1,1,0))))</f>
        <v>0</v>
      </c>
      <c r="GW31" s="8">
        <f>IF(GW$30-Voorblad!$F$37&gt;Voorblad!$K$37,0,IF($U31=0,0,IF($U31&lt;1,1/$U31,IF((GW$30-Voorblad!$F$37)/$U31-SUM($EE31:GV31)=1,1,0))))</f>
        <v>0</v>
      </c>
      <c r="GX31" s="8">
        <f>IF(GX$30-Voorblad!$F$37&gt;Voorblad!$K$37,0,IF($U31=0,0,IF($U31&lt;1,1/$U31,IF((GX$30-Voorblad!$F$37)/$U31-SUM($EE31:GW31)=1,1,0))))</f>
        <v>0</v>
      </c>
      <c r="GY31" s="8">
        <f>IF(GY$30-Voorblad!$F$37&gt;Voorblad!$K$37,0,IF($U31=0,0,IF($U31&lt;1,1/$U31,IF((GY$30-Voorblad!$F$37)/$U31-SUM($EE31:GX31)=1,1,0))))</f>
        <v>0</v>
      </c>
      <c r="GZ31" s="8">
        <f>IF(GZ$30-Voorblad!$F$37&gt;Voorblad!$K$37,0,IF($U31=0,0,IF($U31&lt;1,1/$U31,IF((GZ$30-Voorblad!$F$37)/$U31-SUM($EE31:GY31)=1,1,0))))</f>
        <v>0</v>
      </c>
      <c r="HA31" s="8">
        <f>IF(HA$30-Voorblad!$F$37&gt;Voorblad!$K$37,0,IF($U31=0,0,IF($U31&lt;1,1/$U31,IF((HA$30-Voorblad!$F$37)/$U31-SUM($EE31:GZ31)=1,1,0))))</f>
        <v>0</v>
      </c>
      <c r="HB31" s="8">
        <f>IF(HB$30-Voorblad!$F$37&gt;Voorblad!$K$37,0,IF($U31=0,0,IF($U31&lt;1,1/$U31,IF((HB$30-Voorblad!$F$37)/$U31-SUM($EE31:HA31)=1,1,0))))</f>
        <v>0</v>
      </c>
      <c r="HC31" s="8">
        <f>IF(HC$30-Voorblad!$F$37&gt;Voorblad!$K$37,0,IF($U31=0,0,IF($U31&lt;1,1/$U31,IF((HC$30-Voorblad!$F$37)/$U31-SUM($EE31:HB31)=1,1,0))))</f>
        <v>0</v>
      </c>
      <c r="HD31" s="8">
        <f>IF(HD$30-Voorblad!$F$37&gt;Voorblad!$K$37,0,IF($U31=0,0,IF($U31&lt;1,1/$U31,IF((HD$30-Voorblad!$F$37)/$U31-SUM($EE31:HC31)=1,1,0))))</f>
        <v>0</v>
      </c>
      <c r="HE31" s="8">
        <f>IF(HE$30-Voorblad!$F$37&gt;Voorblad!$K$37,0,IF($U31=0,0,IF($U31&lt;1,1/$U31,IF((HE$30-Voorblad!$F$37)/$U31-SUM($EE31:HD31)=1,1,0))))</f>
        <v>0</v>
      </c>
      <c r="HF31" s="8">
        <f>IF(HF$30-Voorblad!$F$37&gt;Voorblad!$K$37,0,IF($U31=0,0,IF($U31&lt;1,1/$U31,IF((HF$30-Voorblad!$F$37)/$U31-SUM($EE31:HE31)=1,1,0))))</f>
        <v>0</v>
      </c>
      <c r="HG31" s="8">
        <f>IF(HG$30-Voorblad!$F$37&gt;Voorblad!$K$37,0,IF($U31=0,0,IF($U31&lt;1,1/$U31,IF((HG$30-Voorblad!$F$37)/$U31-SUM($EE31:HF31)=1,1,0))))</f>
        <v>0</v>
      </c>
      <c r="HH31" s="8">
        <f>IF(HH$30-Voorblad!$F$37&gt;Voorblad!$K$37,0,IF($U31=0,0,IF($U31&lt;1,1/$U31,IF((HH$30-Voorblad!$F$37)/$U31-SUM($EE31:HG31)=1,1,0))))</f>
        <v>0</v>
      </c>
      <c r="HI31" s="8">
        <f>IF(HI$30-Voorblad!$F$37&gt;Voorblad!$K$37,0,IF($U31=0,0,IF($U31&lt;1,1/$U31,IF((HI$30-Voorblad!$F$37)/$U31-SUM($EE31:HH31)=1,1,0))))</f>
        <v>0</v>
      </c>
      <c r="HJ31" s="8">
        <f>IF(HJ$30-Voorblad!$F$37&gt;Voorblad!$K$37,0,IF($U31=0,0,IF($U31&lt;1,1/$U31,IF((HJ$30-Voorblad!$F$37)/$U31-SUM($EE31:HI31)=1,1,0))))</f>
        <v>0</v>
      </c>
      <c r="HK31" s="8">
        <f>IF(HK$30-Voorblad!$F$37&gt;Voorblad!$K$37,0,IF($U31=0,0,IF($U31&lt;1,1/$U31,IF((HK$30-Voorblad!$F$37)/$U31-SUM($EE31:HJ31)=1,1,0))))</f>
        <v>0</v>
      </c>
      <c r="HL31" s="8">
        <f>IF(HL$30-Voorblad!$F$37&gt;Voorblad!$K$37,0,IF($U31=0,0,IF($U31&lt;1,1/$U31,IF((HL$30-Voorblad!$F$37)/$U31-SUM($EE31:HK31)=1,1,0))))</f>
        <v>0</v>
      </c>
      <c r="HM31" s="8">
        <f>IF(HM$30-Voorblad!$F$37&gt;Voorblad!$K$37,0,IF($U31=0,0,IF($U31&lt;1,1/$U31,IF((HM$30-Voorblad!$F$37)/$U31-SUM($EE31:HL31)=1,1,0))))</f>
        <v>0</v>
      </c>
      <c r="HN31" s="8">
        <f>IF(HN$30-Voorblad!$F$37&gt;Voorblad!$K$37,0,IF($U31=0,0,IF($U31&lt;1,1/$U31,IF((HN$30-Voorblad!$F$37)/$U31-SUM($EE31:HM31)=1,1,0))))</f>
        <v>0</v>
      </c>
      <c r="HO31" s="8">
        <f>IF(HO$30-Voorblad!$F$37&gt;Voorblad!$K$37,0,IF($U31=0,0,IF($U31&lt;1,1/$U31,IF((HO$30-Voorblad!$F$37)/$U31-SUM($EE31:HN31)=1,1,0))))</f>
        <v>0</v>
      </c>
      <c r="HP31" s="8">
        <f>IF(HP$30-Voorblad!$F$37&gt;Voorblad!$K$37,0,IF($U31=0,0,IF($U31&lt;1,1/$U31,IF((HP$30-Voorblad!$F$37)/$U31-SUM($EE31:HO31)=1,1,0))))</f>
        <v>0</v>
      </c>
      <c r="HQ31" s="8">
        <f>IF(HQ$30-Voorblad!$F$37&gt;Voorblad!$K$37,0,IF($U31=0,0,IF($U31&lt;1,1/$U31,IF((HQ$30-Voorblad!$F$37)/$U31-SUM($EE31:HP31)=1,1,0))))</f>
        <v>0</v>
      </c>
      <c r="HR31" s="8">
        <f>IF(HR$30-Voorblad!$F$37&gt;Voorblad!$K$37,0,IF($U31=0,0,IF($U31&lt;1,1/$U31,IF((HR$30-Voorblad!$F$37)/$U31-SUM($EE31:HQ31)=1,1,0))))</f>
        <v>0</v>
      </c>
      <c r="HS31" s="8">
        <f>IF(HS$30-Voorblad!$F$37&gt;Voorblad!$K$37,0,IF($U31=0,0,IF($U31&lt;1,1/$U31,IF((HS$30-Voorblad!$F$37)/$U31-SUM($EE31:HR31)=1,1,0))))</f>
        <v>0</v>
      </c>
      <c r="HT31" s="8">
        <f>IF(HT$30-Voorblad!$F$37&gt;Voorblad!$K$37,0,IF($U31=0,0,IF($U31&lt;1,1/$U31,IF((HT$30-Voorblad!$F$37)/$U31-SUM($EE31:HS31)=1,1,0))))</f>
        <v>0</v>
      </c>
      <c r="HU31" s="8">
        <f>IF(HU$30-Voorblad!$F$37&gt;Voorblad!$K$37,0,IF($U31=0,0,IF($U31&lt;1,1/$U31,IF((HU$30-Voorblad!$F$37)/$U31-SUM($EE31:HT31)=1,1,0))))</f>
        <v>0</v>
      </c>
      <c r="HV31" s="8">
        <f>IF(HV$30-Voorblad!$F$37&gt;Voorblad!$K$37,0,IF($U31=0,0,IF($U31&lt;1,1/$U31,IF((HV$30-Voorblad!$F$37)/$U31-SUM($EE31:HU31)=1,1,0))))</f>
        <v>0</v>
      </c>
      <c r="HW31" s="8">
        <f>IF(HW$30-Voorblad!$F$37&gt;Voorblad!$K$37,0,IF($U31=0,0,IF($U31&lt;1,1/$U31,IF((HW$30-Voorblad!$F$37)/$U31-SUM($EE31:HV31)=1,1,0))))</f>
        <v>0</v>
      </c>
      <c r="HX31" s="8">
        <f>IF(HX$30-Voorblad!$F$37&gt;Voorblad!$K$37,0,IF($U31=0,0,IF($U31&lt;1,1/$U31,IF((HX$30-Voorblad!$F$37)/$U31-SUM($EE31:HW31)=1,1,0))))</f>
        <v>0</v>
      </c>
      <c r="HY31" s="8">
        <f>IF(HY$30-Voorblad!$F$37&gt;Voorblad!$K$37,0,IF($U31=0,0,IF($U31&lt;1,1/$U31,IF((HY$30-Voorblad!$F$37)/$U31-SUM($EE31:HX31)=1,1,0))))</f>
        <v>0</v>
      </c>
      <c r="HZ31" s="8">
        <f>IF(HZ$30-Voorblad!$F$37&gt;Voorblad!$K$37,0,IF($U31=0,0,IF($U31&lt;1,1/$U31,IF((HZ$30-Voorblad!$F$37)/$U31-SUM($EE31:HY31)=1,1,0))))</f>
        <v>0</v>
      </c>
      <c r="IA31" s="8">
        <f>IF(IA$30-Voorblad!$F$37&gt;Voorblad!$K$37,0,IF($U31=0,0,IF($U31&lt;1,1/$U31,IF((IA$30-Voorblad!$F$37)/$U31-SUM($EE31:HZ31)=1,1,0))))</f>
        <v>0</v>
      </c>
      <c r="IB31" s="8">
        <f>IF(IB$30-Voorblad!$F$37&gt;Voorblad!$K$37,0,IF($U31=0,0,IF($U31&lt;1,1/$U31,IF((IB$30-Voorblad!$F$37)/$U31-SUM($EE31:IA31)=1,1,0))))</f>
        <v>0</v>
      </c>
    </row>
    <row r="32" spans="2:236" ht="12" customHeight="1" x14ac:dyDescent="0.25">
      <c r="B32" s="1">
        <v>3</v>
      </c>
      <c r="C32" s="1" t="s">
        <v>22</v>
      </c>
      <c r="D32" s="1" t="s">
        <v>112</v>
      </c>
      <c r="E32" s="1" t="s">
        <v>112</v>
      </c>
      <c r="F32" s="1" t="s">
        <v>23</v>
      </c>
      <c r="I32" s="1" t="s">
        <v>277</v>
      </c>
      <c r="K32" s="1" t="s">
        <v>149</v>
      </c>
      <c r="O32" s="1" t="s">
        <v>293</v>
      </c>
      <c r="Q32" s="1">
        <v>1</v>
      </c>
      <c r="R32" s="1" t="s">
        <v>33</v>
      </c>
      <c r="S32" s="14">
        <v>5000</v>
      </c>
      <c r="T32" s="1">
        <f>Q32*S32</f>
        <v>5000</v>
      </c>
      <c r="U32" s="14">
        <v>10</v>
      </c>
      <c r="V32" s="14"/>
      <c r="Y32" s="9">
        <f>SUM(AE32:EB32)</f>
        <v>3905.9920086286352</v>
      </c>
      <c r="Z32" s="82"/>
      <c r="AA32" s="82"/>
      <c r="AC32" s="229">
        <f>$Y32*(Voorblad!$K$44*(1+Voorblad!$K$44)^Voorblad!$K$37)/((1+Voorblad!$K$44)^Voorblad!$K$37-1)</f>
        <v>446.29381588570288</v>
      </c>
      <c r="AE32" s="9">
        <f>EF32*($Q32*$S32)/(1+Voorblad!$K$44)^(AE$56-Voorblad!$F$41)</f>
        <v>0</v>
      </c>
      <c r="AF32" s="9">
        <f>EG32*($Q32*$S32)/(1+Voorblad!$K$44)^(AF$30-Voorblad!$F$37)</f>
        <v>0</v>
      </c>
      <c r="AG32" s="9">
        <f>EH32*($Q32*$S32)/(1+Voorblad!$K$44)^(AG$56-Voorblad!$F$41)</f>
        <v>0</v>
      </c>
      <c r="AH32" s="9">
        <f>EI32*($Q32*$S32)/(1+Voorblad!$K$44)^(AH$56-Voorblad!$F$41)</f>
        <v>0</v>
      </c>
      <c r="AI32" s="9">
        <f>EJ32*($Q32*$S32)/(1+Voorblad!$K$44)^(AI$56-Voorblad!$F$41)</f>
        <v>0</v>
      </c>
      <c r="AJ32" s="9">
        <f>EK32*($Q32*$S32)/(1+Voorblad!$K$44)^(AJ$56-Voorblad!$F$41)</f>
        <v>0</v>
      </c>
      <c r="AK32" s="9">
        <f>EL32*($Q32*$S32)/(1+Voorblad!$K$44)^(AK$56-Voorblad!$F$41)</f>
        <v>0</v>
      </c>
      <c r="AL32" s="9">
        <f>EM32*($Q32*$S32)/(1+Voorblad!$K$44)^(AL$56-Voorblad!$F$41)</f>
        <v>0</v>
      </c>
      <c r="AM32" s="9">
        <f>EN32*($Q32*$S32)/(1+Voorblad!$K$44)^(AM$56-Voorblad!$F$41)</f>
        <v>0</v>
      </c>
      <c r="AN32" s="9">
        <f>EO32*($Q32*$S32)/(1+Voorblad!$K$44)^(AN$56-Voorblad!$F$41)</f>
        <v>0</v>
      </c>
      <c r="AO32" s="9">
        <f>EP32*($Q32*$S32)/(1+Voorblad!$K$44)^(AO$56-Voorblad!$F$41)</f>
        <v>3905.9920086286352</v>
      </c>
      <c r="AP32" s="9">
        <f>EQ32*($Q32*$S32)/(1+Voorblad!$K$44)^(AP$56-Voorblad!$F$41)</f>
        <v>0</v>
      </c>
      <c r="AQ32" s="9">
        <f>ER32*($Q32*$S32)/(1+Voorblad!$K$44)^(AQ$56-Voorblad!$F$41)</f>
        <v>0</v>
      </c>
      <c r="AR32" s="9">
        <f>ES32*($Q32*$S32)/(1+Voorblad!$K$44)^(AR$56-Voorblad!$F$41)</f>
        <v>0</v>
      </c>
      <c r="AS32" s="9">
        <f>ET32*($Q32*$S32)/(1+Voorblad!$K$44)^(AS$56-Voorblad!$F$41)</f>
        <v>0</v>
      </c>
      <c r="AT32" s="9">
        <f>EU32*($Q32*$S32)/(1+Voorblad!$K$44)^(AT$56-Voorblad!$F$41)</f>
        <v>0</v>
      </c>
      <c r="AU32" s="9">
        <f>EV32*($Q32*$S32)/(1+Voorblad!$K$44)^(AU$56-Voorblad!$F$41)</f>
        <v>0</v>
      </c>
      <c r="AV32" s="9">
        <f>EW32*($Q32*$S32)/(1+Voorblad!$K$44)^(AV$56-Voorblad!$F$41)</f>
        <v>0</v>
      </c>
      <c r="AW32" s="9">
        <f>EX32*($Q32*$S32)/(1+Voorblad!$K$44)^(AW$56-Voorblad!$F$41)</f>
        <v>0</v>
      </c>
      <c r="AX32" s="9">
        <f>EY32*($Q32*$S32)/(1+Voorblad!$K$44)^(AX$56-Voorblad!$F$41)</f>
        <v>0</v>
      </c>
      <c r="AY32" s="9">
        <f>EZ32*($Q32*$S32)/(1+Voorblad!$K$44)^(AY$56-Voorblad!$F$41)</f>
        <v>0</v>
      </c>
      <c r="AZ32" s="9">
        <f>FA32*($Q32*$S32)/(1+Voorblad!$K$44)^(AZ$56-Voorblad!$F$41)</f>
        <v>0</v>
      </c>
      <c r="BA32" s="9">
        <f>FB32*($Q32*$S32)/(1+Voorblad!$K$44)^(BA$56-Voorblad!$F$41)</f>
        <v>0</v>
      </c>
      <c r="BB32" s="9">
        <f>FC32*($Q32*$S32)/(1+Voorblad!$K$44)^(BB$56-Voorblad!$F$41)</f>
        <v>0</v>
      </c>
      <c r="BC32" s="9">
        <f>FD32*($Q32*$S32)/(1+Voorblad!$K$44)^(BC$56-Voorblad!$F$41)</f>
        <v>0</v>
      </c>
      <c r="BD32" s="9">
        <f>FE32*($Q32*$S32)/(1+Voorblad!$K$44)^(BD$56-Voorblad!$F$41)</f>
        <v>0</v>
      </c>
      <c r="BE32" s="9">
        <f>FF32*($Q32*$S32)/(1+Voorblad!$K$44)^(BE$56-Voorblad!$F$41)</f>
        <v>0</v>
      </c>
      <c r="BF32" s="9">
        <f>FG32*($Q32*$S32)/(1+Voorblad!$K$44)^(BF$56-Voorblad!$F$41)</f>
        <v>0</v>
      </c>
      <c r="BG32" s="9">
        <f>FH32*($Q32*$S32)/(1+Voorblad!$K$44)^(BG$56-Voorblad!$F$41)</f>
        <v>0</v>
      </c>
      <c r="BH32" s="9">
        <f>FI32*($Q32*$S32)/(1+Voorblad!$K$44)^(BH$56-Voorblad!$F$41)</f>
        <v>0</v>
      </c>
      <c r="BI32" s="9">
        <f>FJ32*($Q32*$S32)/(1+Voorblad!$K$44)^(BI$56-Voorblad!$F$41)</f>
        <v>0</v>
      </c>
      <c r="BJ32" s="9">
        <f>FK32*($Q32*$S32)/(1+Voorblad!$K$44)^(BJ$56-Voorblad!$F$41)</f>
        <v>0</v>
      </c>
      <c r="BK32" s="9">
        <f>FL32*($Q32*$S32)/(1+Voorblad!$K$44)^(BK$56-Voorblad!$F$41)</f>
        <v>0</v>
      </c>
      <c r="BL32" s="9">
        <f>FM32*($Q32*$S32)/(1+Voorblad!$K$44)^(BL$56-Voorblad!$F$41)</f>
        <v>0</v>
      </c>
      <c r="BM32" s="9">
        <f>FN32*($Q32*$S32)/(1+Voorblad!$K$44)^(BM$56-Voorblad!$F$41)</f>
        <v>0</v>
      </c>
      <c r="BN32" s="9">
        <f>FO32*($Q32*$S32)/(1+Voorblad!$K$44)^(BN$56-Voorblad!$F$41)</f>
        <v>0</v>
      </c>
      <c r="BO32" s="9">
        <f>FP32*($Q32*$S32)/(1+Voorblad!$K$44)^(BO$56-Voorblad!$F$41)</f>
        <v>0</v>
      </c>
      <c r="BP32" s="9">
        <f>FQ32*($Q32*$S32)/(1+Voorblad!$K$44)^(BP$56-Voorblad!$F$41)</f>
        <v>0</v>
      </c>
      <c r="BQ32" s="9">
        <f>FR32*($Q32*$S32)/(1+Voorblad!$K$44)^(BQ$56-Voorblad!$F$41)</f>
        <v>0</v>
      </c>
      <c r="BR32" s="9">
        <f>FS32*($Q32*$S32)/(1+Voorblad!$K$44)^(BR$56-Voorblad!$F$41)</f>
        <v>0</v>
      </c>
      <c r="BS32" s="9">
        <f>FT32*($Q32*$S32)/(1+Voorblad!$K$44)^(BS$56-Voorblad!$F$41)</f>
        <v>0</v>
      </c>
      <c r="BT32" s="9">
        <f>FU32*($Q32*$S32)/(1+Voorblad!$K$44)^(BT$56-Voorblad!$F$41)</f>
        <v>0</v>
      </c>
      <c r="BU32" s="9">
        <f>FV32*($Q32*$S32)/(1+Voorblad!$K$44)^(BU$56-Voorblad!$F$41)</f>
        <v>0</v>
      </c>
      <c r="BV32" s="9">
        <f>FW32*($Q32*$S32)/(1+Voorblad!$K$44)^(BV$56-Voorblad!$F$41)</f>
        <v>0</v>
      </c>
      <c r="BW32" s="9">
        <f>FX32*($Q32*$S32)/(1+Voorblad!$K$44)^(BW$56-Voorblad!$F$41)</f>
        <v>0</v>
      </c>
      <c r="BX32" s="9">
        <f>FY32*($Q32*$S32)/(1+Voorblad!$K$44)^(BX$56-Voorblad!$F$41)</f>
        <v>0</v>
      </c>
      <c r="BY32" s="9">
        <f>FZ32*($Q32*$S32)/(1+Voorblad!$K$44)^(BY$56-Voorblad!$F$41)</f>
        <v>0</v>
      </c>
      <c r="BZ32" s="9">
        <f>GA32*($Q32*$S32)/(1+Voorblad!$K$44)^(BZ$56-Voorblad!$F$41)</f>
        <v>0</v>
      </c>
      <c r="CA32" s="9">
        <f>GB32*($Q32*$S32)/(1+Voorblad!$K$44)^(CA$56-Voorblad!$F$41)</f>
        <v>0</v>
      </c>
      <c r="CB32" s="9">
        <f>GC32*($Q32*$S32)/(1+Voorblad!$K$44)^(CB$56-Voorblad!$F$41)</f>
        <v>0</v>
      </c>
      <c r="CC32" s="9">
        <f>GD32*($Q32*$S32)/(1+Voorblad!$K$44)^(CC$56-Voorblad!$F$41)</f>
        <v>0</v>
      </c>
      <c r="CD32" s="9">
        <f>GE32*($Q32*$S32)/(1+Voorblad!$K$44)^(CD$56-Voorblad!$F$41)</f>
        <v>0</v>
      </c>
      <c r="CE32" s="9">
        <f>GF32*($Q32*$S32)/(1+Voorblad!$K$44)^(CE$56-Voorblad!$F$41)</f>
        <v>0</v>
      </c>
      <c r="CF32" s="9">
        <f>GG32*($Q32*$S32)/(1+Voorblad!$K$44)^(CF$56-Voorblad!$F$41)</f>
        <v>0</v>
      </c>
      <c r="CG32" s="9">
        <f>GH32*($Q32*$S32)/(1+Voorblad!$K$44)^(CG$56-Voorblad!$F$41)</f>
        <v>0</v>
      </c>
      <c r="CH32" s="9">
        <f>GI32*($Q32*$S32)/(1+Voorblad!$K$44)^(CH$56-Voorblad!$F$41)</f>
        <v>0</v>
      </c>
      <c r="CI32" s="9">
        <f>GJ32*($Q32*$S32)/(1+Voorblad!$K$44)^(CI$56-Voorblad!$F$41)</f>
        <v>0</v>
      </c>
      <c r="CJ32" s="9">
        <f>GK32*($Q32*$S32)/(1+Voorblad!$K$44)^(CJ$56-Voorblad!$F$41)</f>
        <v>0</v>
      </c>
      <c r="CK32" s="9">
        <f>GL32*($Q32*$S32)/(1+Voorblad!$K$44)^(CK$56-Voorblad!$F$41)</f>
        <v>0</v>
      </c>
      <c r="CL32" s="9">
        <f>GM32*($Q32*$S32)/(1+Voorblad!$K$44)^(CL$56-Voorblad!$F$41)</f>
        <v>0</v>
      </c>
      <c r="CM32" s="9">
        <f>GN32*($Q32*$S32)/(1+Voorblad!$K$44)^(CM$56-Voorblad!$F$41)</f>
        <v>0</v>
      </c>
      <c r="CN32" s="9">
        <f>GO32*($Q32*$S32)/(1+Voorblad!$K$44)^(CN$56-Voorblad!$F$41)</f>
        <v>0</v>
      </c>
      <c r="CO32" s="9">
        <f>GP32*($Q32*$S32)/(1+Voorblad!$K$44)^(CO$56-Voorblad!$F$41)</f>
        <v>0</v>
      </c>
      <c r="CP32" s="9">
        <f>GQ32*($Q32*$S32)/(1+Voorblad!$K$44)^(CP$56-Voorblad!$F$41)</f>
        <v>0</v>
      </c>
      <c r="CQ32" s="9">
        <f>GR32*($Q32*$S32)/(1+Voorblad!$K$44)^(CQ$56-Voorblad!$F$41)</f>
        <v>0</v>
      </c>
      <c r="CR32" s="9">
        <f>GS32*($Q32*$S32)/(1+Voorblad!$K$44)^(CR$56-Voorblad!$F$41)</f>
        <v>0</v>
      </c>
      <c r="CS32" s="9">
        <f>GT32*($Q32*$S32)/(1+Voorblad!$K$44)^(CS$56-Voorblad!$F$41)</f>
        <v>0</v>
      </c>
      <c r="CT32" s="9">
        <f>GU32*($Q32*$S32)/(1+Voorblad!$K$44)^(CT$56-Voorblad!$F$41)</f>
        <v>0</v>
      </c>
      <c r="CU32" s="9">
        <f>GV32*($Q32*$S32)/(1+Voorblad!$K$44)^(CU$56-Voorblad!$F$41)</f>
        <v>0</v>
      </c>
      <c r="CV32" s="9">
        <f>GW32*($Q32*$S32)/(1+Voorblad!$K$44)^(CV$56-Voorblad!$F$41)</f>
        <v>0</v>
      </c>
      <c r="CW32" s="9">
        <f>GX32*($Q32*$S32)/(1+Voorblad!$K$44)^(CW$56-Voorblad!$F$41)</f>
        <v>0</v>
      </c>
      <c r="CX32" s="9">
        <f>GY32*($Q32*$S32)/(1+Voorblad!$K$44)^(CX$56-Voorblad!$F$41)</f>
        <v>0</v>
      </c>
      <c r="CY32" s="9">
        <f>GZ32*($Q32*$S32)/(1+Voorblad!$K$44)^(CY$56-Voorblad!$F$41)</f>
        <v>0</v>
      </c>
      <c r="CZ32" s="9">
        <f>HA32*($Q32*$S32)/(1+Voorblad!$K$44)^(CZ$56-Voorblad!$F$41)</f>
        <v>0</v>
      </c>
      <c r="DA32" s="9">
        <f>HB32*($Q32*$S32)/(1+Voorblad!$K$44)^(DA$56-Voorblad!$F$41)</f>
        <v>0</v>
      </c>
      <c r="DB32" s="9">
        <f>HC32*($Q32*$S32)/(1+Voorblad!$K$44)^(DB$56-Voorblad!$F$41)</f>
        <v>0</v>
      </c>
      <c r="DC32" s="9">
        <f>HD32*($Q32*$S32)/(1+Voorblad!$K$44)^(DC$56-Voorblad!$F$41)</f>
        <v>0</v>
      </c>
      <c r="DD32" s="9">
        <f>HE32*($Q32*$S32)/(1+Voorblad!$K$44)^(DD$56-Voorblad!$F$41)</f>
        <v>0</v>
      </c>
      <c r="DE32" s="9">
        <f>HF32*($Q32*$S32)/(1+Voorblad!$K$44)^(DE$56-Voorblad!$F$41)</f>
        <v>0</v>
      </c>
      <c r="DF32" s="9">
        <f>HG32*($Q32*$S32)/(1+Voorblad!$K$44)^(DF$56-Voorblad!$F$41)</f>
        <v>0</v>
      </c>
      <c r="DG32" s="9">
        <f>HH32*($Q32*$S32)/(1+Voorblad!$K$44)^(DG$56-Voorblad!$F$41)</f>
        <v>0</v>
      </c>
      <c r="DH32" s="9">
        <f>HI32*($Q32*$S32)/(1+Voorblad!$K$44)^(DH$56-Voorblad!$F$41)</f>
        <v>0</v>
      </c>
      <c r="DI32" s="9">
        <f>HJ32*($Q32*$S32)/(1+Voorblad!$K$44)^(DI$56-Voorblad!$F$41)</f>
        <v>0</v>
      </c>
      <c r="DJ32" s="9">
        <f>HK32*($Q32*$S32)/(1+Voorblad!$K$44)^(DJ$56-Voorblad!$F$41)</f>
        <v>0</v>
      </c>
      <c r="DK32" s="9">
        <f>HL32*($Q32*$S32)/(1+Voorblad!$K$44)^(DK$56-Voorblad!$F$41)</f>
        <v>0</v>
      </c>
      <c r="DL32" s="9">
        <f>HM32*($Q32*$S32)/(1+Voorblad!$K$44)^(DL$56-Voorblad!$F$41)</f>
        <v>0</v>
      </c>
      <c r="DM32" s="9">
        <f>HN32*($Q32*$S32)/(1+Voorblad!$K$44)^(DM$56-Voorblad!$F$41)</f>
        <v>0</v>
      </c>
      <c r="DN32" s="9">
        <f>HO32*($Q32*$S32)/(1+Voorblad!$K$44)^(DN$56-Voorblad!$F$41)</f>
        <v>0</v>
      </c>
      <c r="DO32" s="9">
        <f>HP32*($Q32*$S32)/(1+Voorblad!$K$44)^(DO$56-Voorblad!$F$41)</f>
        <v>0</v>
      </c>
      <c r="DP32" s="9">
        <f>HQ32*($Q32*$S32)/(1+Voorblad!$K$44)^(DP$56-Voorblad!$F$41)</f>
        <v>0</v>
      </c>
      <c r="DQ32" s="9">
        <f>HR32*($Q32*$S32)/(1+Voorblad!$K$44)^(DQ$56-Voorblad!$F$41)</f>
        <v>0</v>
      </c>
      <c r="DR32" s="9">
        <f>HS32*($Q32*$S32)/(1+Voorblad!$K$44)^(DR$56-Voorblad!$F$41)</f>
        <v>0</v>
      </c>
      <c r="DS32" s="9">
        <f>HT32*($Q32*$S32)/(1+Voorblad!$K$44)^(DS$56-Voorblad!$F$41)</f>
        <v>0</v>
      </c>
      <c r="DT32" s="9">
        <f>HU32*($Q32*$S32)/(1+Voorblad!$K$44)^(DT$56-Voorblad!$F$41)</f>
        <v>0</v>
      </c>
      <c r="DU32" s="9">
        <f>HV32*($Q32*$S32)/(1+Voorblad!$K$44)^(DU$56-Voorblad!$F$41)</f>
        <v>0</v>
      </c>
      <c r="DV32" s="9">
        <f>HW32*($Q32*$S32)/(1+Voorblad!$K$44)^(DV$56-Voorblad!$F$41)</f>
        <v>0</v>
      </c>
      <c r="DW32" s="9">
        <f>HX32*($Q32*$S32)/(1+Voorblad!$K$44)^(DW$56-Voorblad!$F$41)</f>
        <v>0</v>
      </c>
      <c r="DX32" s="9">
        <f>HY32*($Q32*$S32)/(1+Voorblad!$K$44)^(DX$56-Voorblad!$F$41)</f>
        <v>0</v>
      </c>
      <c r="DY32" s="9">
        <f>HZ32*($Q32*$S32)/(1+Voorblad!$K$44)^(DY$56-Voorblad!$F$41)</f>
        <v>0</v>
      </c>
      <c r="DZ32" s="9">
        <f>IA32*($Q32*$S32)/(1+Voorblad!$K$44)^(DZ$56-Voorblad!$F$41)</f>
        <v>0</v>
      </c>
      <c r="EA32" s="9">
        <f>IB32*($Q32*$S32)/(1+Voorblad!$K$44)^(EA$56-Voorblad!$F$41)</f>
        <v>0</v>
      </c>
      <c r="EB32" s="9">
        <f>IC32*($Q32*$S32)/(1+Voorblad!$K$44)^(EB$56-Voorblad!$F$41)</f>
        <v>0</v>
      </c>
      <c r="EE32" s="8">
        <v>0</v>
      </c>
      <c r="EF32" s="8">
        <f>IF(EF$30-Voorblad!$F$37&gt;Voorblad!$K$37,0,IF($U32=0,0,IF($U32&lt;1,1/$U32,IF((EF$30-Voorblad!$F$37)/$U32-SUM($EE32:EE32)=1,1,0))))</f>
        <v>0</v>
      </c>
      <c r="EG32" s="8">
        <f>IF(EG$30-Voorblad!$F$37&gt;Voorblad!$K$37,0,IF($U32=0,0,IF($U32&lt;1,1/$U32,IF((EG$30-Voorblad!$F$37)/$U32-SUM($EE32:EF32)=1,1,0))))</f>
        <v>0</v>
      </c>
      <c r="EH32" s="8">
        <f>IF(EH$30-Voorblad!$F$37&gt;Voorblad!$K$37,0,IF($U32=0,0,IF($U32&lt;1,1/$U32,IF((EH$30-Voorblad!$F$37)/$U32-SUM($EE32:EG32)=1,1,0))))</f>
        <v>0</v>
      </c>
      <c r="EI32" s="8">
        <f>IF(EI$30-Voorblad!$F$37&gt;Voorblad!$K$37,0,IF($U32=0,0,IF($U32&lt;1,1/$U32,IF((EI$30-Voorblad!$F$37)/$U32-SUM($EE32:EH32)=1,1,0))))</f>
        <v>0</v>
      </c>
      <c r="EJ32" s="8">
        <f>IF(EJ$30-Voorblad!$F$37&gt;Voorblad!$K$37,0,IF($U32=0,0,IF($U32&lt;1,1/$U32,IF((EJ$30-Voorblad!$F$37)/$U32-SUM($EE32:EI32)=1,1,0))))</f>
        <v>0</v>
      </c>
      <c r="EK32" s="8">
        <f>IF(EK$30-Voorblad!$F$37&gt;Voorblad!$K$37,0,IF($U32=0,0,IF($U32&lt;1,1/$U32,IF((EK$30-Voorblad!$F$37)/$U32-SUM($EE32:EJ32)=1,1,0))))</f>
        <v>0</v>
      </c>
      <c r="EL32" s="8">
        <f>IF(EL$30-Voorblad!$F$37&gt;Voorblad!$K$37,0,IF($U32=0,0,IF($U32&lt;1,1/$U32,IF((EL$30-Voorblad!$F$37)/$U32-SUM($EE32:EK32)=1,1,0))))</f>
        <v>0</v>
      </c>
      <c r="EM32" s="8">
        <f>IF(EM$30-Voorblad!$F$37&gt;Voorblad!$K$37,0,IF($U32=0,0,IF($U32&lt;1,1/$U32,IF((EM$30-Voorblad!$F$37)/$U32-SUM($EE32:EL32)=1,1,0))))</f>
        <v>0</v>
      </c>
      <c r="EN32" s="8">
        <f>IF(EN$30-Voorblad!$F$37&gt;Voorblad!$K$37,0,IF($U32=0,0,IF($U32&lt;1,1/$U32,IF((EN$30-Voorblad!$F$37)/$U32-SUM($EE32:EM32)=1,1,0))))</f>
        <v>0</v>
      </c>
      <c r="EO32" s="8">
        <f>IF(EO$30-Voorblad!$F$37&gt;Voorblad!$K$37,0,IF($U32=0,0,IF($U32&lt;1,1/$U32,IF((EO$30-Voorblad!$F$37)/$U32-SUM($EE32:EN32)=1,1,0))))</f>
        <v>0</v>
      </c>
      <c r="EP32" s="8">
        <f>IF(EP$30-Voorblad!$F$37&gt;Voorblad!$K$37,0,IF($U32=0,0,IF($U32&lt;1,1/$U32,IF((EP$30-Voorblad!$F$37)/$U32-SUM($EE32:EO32)=1,1,0))))</f>
        <v>1</v>
      </c>
      <c r="EQ32" s="8">
        <f>IF(EQ$30-Voorblad!$F$37&gt;Voorblad!$K$37,0,IF($U32=0,0,IF($U32&lt;1,1/$U32,IF((EQ$30-Voorblad!$F$37)/$U32-SUM($EE32:EP32)=1,1,0))))</f>
        <v>0</v>
      </c>
      <c r="ER32" s="8">
        <f>IF(ER$30-Voorblad!$F$37&gt;Voorblad!$K$37,0,IF($U32=0,0,IF($U32&lt;1,1/$U32,IF((ER$30-Voorblad!$F$37)/$U32-SUM($EE32:EQ32)=1,1,0))))</f>
        <v>0</v>
      </c>
      <c r="ES32" s="8">
        <f>IF(ES$30-Voorblad!$F$37&gt;Voorblad!$K$37,0,IF($U32=0,0,IF($U32&lt;1,1/$U32,IF((ES$30-Voorblad!$F$37)/$U32-SUM($EE32:ER32)=1,1,0))))</f>
        <v>0</v>
      </c>
      <c r="ET32" s="8">
        <f>IF(ET$30-Voorblad!$F$37&gt;Voorblad!$K$37,0,IF($U32=0,0,IF($U32&lt;1,1/$U32,IF((ET$30-Voorblad!$F$37)/$U32-SUM($EE32:ES32)=1,1,0))))</f>
        <v>0</v>
      </c>
      <c r="EU32" s="8">
        <f>IF(EU$30-Voorblad!$F$37&gt;Voorblad!$K$37,0,IF($U32=0,0,IF($U32&lt;1,1/$U32,IF((EU$30-Voorblad!$F$37)/$U32-SUM($EE32:ET32)=1,1,0))))</f>
        <v>0</v>
      </c>
      <c r="EV32" s="8">
        <f>IF(EV$30-Voorblad!$F$37&gt;Voorblad!$K$37,0,IF($U32=0,0,IF($U32&lt;1,1/$U32,IF((EV$30-Voorblad!$F$37)/$U32-SUM($EE32:EU32)=1,1,0))))</f>
        <v>0</v>
      </c>
      <c r="EW32" s="8">
        <f>IF(EW$30-Voorblad!$F$37&gt;Voorblad!$K$37,0,IF($U32=0,0,IF($U32&lt;1,1/$U32,IF((EW$30-Voorblad!$F$37)/$U32-SUM($EE32:EV32)=1,1,0))))</f>
        <v>0</v>
      </c>
      <c r="EX32" s="8">
        <f>IF(EX$30-Voorblad!$F$37&gt;Voorblad!$K$37,0,IF($U32=0,0,IF($U32&lt;1,1/$U32,IF((EX$30-Voorblad!$F$37)/$U32-SUM($EE32:EW32)=1,1,0))))</f>
        <v>0</v>
      </c>
      <c r="EY32" s="8">
        <f>IF(EY$30-Voorblad!$F$37&gt;Voorblad!$K$37,0,IF($U32=0,0,IF($U32&lt;1,1/$U32,IF((EY$30-Voorblad!$F$37)/$U32-SUM($EE32:EX32)=1,1,0))))</f>
        <v>0</v>
      </c>
      <c r="EZ32" s="8">
        <f>IF(EZ$30-Voorblad!$F$37&gt;Voorblad!$K$37,0,IF($U32=0,0,IF($U32&lt;1,1/$U32,IF((EZ$30-Voorblad!$F$37)/$U32-SUM($EE32:EY32)=1,1,0))))</f>
        <v>0</v>
      </c>
      <c r="FA32" s="8">
        <f>IF(FA$30-Voorblad!$F$37&gt;Voorblad!$K$37,0,IF($U32=0,0,IF($U32&lt;1,1/$U32,IF((FA$30-Voorblad!$F$37)/$U32-SUM($EE32:EZ32)=1,1,0))))</f>
        <v>0</v>
      </c>
      <c r="FB32" s="8">
        <f>IF(FB$30-Voorblad!$F$37&gt;Voorblad!$K$37,0,IF($U32=0,0,IF($U32&lt;1,1/$U32,IF((FB$30-Voorblad!$F$37)/$U32-SUM($EE32:FA32)=1,1,0))))</f>
        <v>0</v>
      </c>
      <c r="FC32" s="8">
        <f>IF(FC$30-Voorblad!$F$37&gt;Voorblad!$K$37,0,IF($U32=0,0,IF($U32&lt;1,1/$U32,IF((FC$30-Voorblad!$F$37)/$U32-SUM($EE32:FB32)=1,1,0))))</f>
        <v>0</v>
      </c>
      <c r="FD32" s="8">
        <f>IF(FD$30-Voorblad!$F$37&gt;Voorblad!$K$37,0,IF($U32=0,0,IF($U32&lt;1,1/$U32,IF((FD$30-Voorblad!$F$37)/$U32-SUM($EE32:FC32)=1,1,0))))</f>
        <v>0</v>
      </c>
      <c r="FE32" s="8">
        <f>IF(FE$30-Voorblad!$F$37&gt;Voorblad!$K$37,0,IF($U32=0,0,IF($U32&lt;1,1/$U32,IF((FE$30-Voorblad!$F$37)/$U32-SUM($EE32:FD32)=1,1,0))))</f>
        <v>0</v>
      </c>
      <c r="FF32" s="8">
        <f>IF(FF$30-Voorblad!$F$37&gt;Voorblad!$K$37,0,IF($U32=0,0,IF($U32&lt;1,1/$U32,IF((FF$30-Voorblad!$F$37)/$U32-SUM($EE32:FE32)=1,1,0))))</f>
        <v>0</v>
      </c>
      <c r="FG32" s="8">
        <f>IF(FG$30-Voorblad!$F$37&gt;Voorblad!$K$37,0,IF($U32=0,0,IF($U32&lt;1,1/$U32,IF((FG$30-Voorblad!$F$37)/$U32-SUM($EE32:FF32)=1,1,0))))</f>
        <v>0</v>
      </c>
      <c r="FH32" s="8">
        <f>IF(FH$30-Voorblad!$F$37&gt;Voorblad!$K$37,0,IF($U32=0,0,IF($U32&lt;1,1/$U32,IF((FH$30-Voorblad!$F$37)/$U32-SUM($EE32:FG32)=1,1,0))))</f>
        <v>0</v>
      </c>
      <c r="FI32" s="8">
        <f>IF(FI$30-Voorblad!$F$37&gt;Voorblad!$K$37,0,IF($U32=0,0,IF($U32&lt;1,1/$U32,IF((FI$30-Voorblad!$F$37)/$U32-SUM($EE32:FH32)=1,1,0))))</f>
        <v>0</v>
      </c>
      <c r="FJ32" s="8">
        <f>IF(FJ$30-Voorblad!$F$37&gt;Voorblad!$K$37,0,IF($U32=0,0,IF($U32&lt;1,1/$U32,IF((FJ$30-Voorblad!$F$37)/$U32-SUM($EE32:FI32)=1,1,0))))</f>
        <v>0</v>
      </c>
      <c r="FK32" s="8">
        <f>IF(FK$30-Voorblad!$F$37&gt;Voorblad!$K$37,0,IF($U32=0,0,IF($U32&lt;1,1/$U32,IF((FK$30-Voorblad!$F$37)/$U32-SUM($EE32:FJ32)=1,1,0))))</f>
        <v>0</v>
      </c>
      <c r="FL32" s="8">
        <f>IF(FL$30-Voorblad!$F$37&gt;Voorblad!$K$37,0,IF($U32=0,0,IF($U32&lt;1,1/$U32,IF((FL$30-Voorblad!$F$37)/$U32-SUM($EE32:FK32)=1,1,0))))</f>
        <v>0</v>
      </c>
      <c r="FM32" s="8">
        <f>IF(FM$30-Voorblad!$F$37&gt;Voorblad!$K$37,0,IF($U32=0,0,IF($U32&lt;1,1/$U32,IF((FM$30-Voorblad!$F$37)/$U32-SUM($EE32:FL32)=1,1,0))))</f>
        <v>0</v>
      </c>
      <c r="FN32" s="8">
        <f>IF(FN$30-Voorblad!$F$37&gt;Voorblad!$K$37,0,IF($U32=0,0,IF($U32&lt;1,1/$U32,IF((FN$30-Voorblad!$F$37)/$U32-SUM($EE32:FM32)=1,1,0))))</f>
        <v>0</v>
      </c>
      <c r="FO32" s="8">
        <f>IF(FO$30-Voorblad!$F$37&gt;Voorblad!$K$37,0,IF($U32=0,0,IF($U32&lt;1,1/$U32,IF((FO$30-Voorblad!$F$37)/$U32-SUM($EE32:FN32)=1,1,0))))</f>
        <v>0</v>
      </c>
      <c r="FP32" s="8">
        <f>IF(FP$30-Voorblad!$F$37&gt;Voorblad!$K$37,0,IF($U32=0,0,IF($U32&lt;1,1/$U32,IF((FP$30-Voorblad!$F$37)/$U32-SUM($EE32:FO32)=1,1,0))))</f>
        <v>0</v>
      </c>
      <c r="FQ32" s="8">
        <f>IF(FQ$30-Voorblad!$F$37&gt;Voorblad!$K$37,0,IF($U32=0,0,IF($U32&lt;1,1/$U32,IF((FQ$30-Voorblad!$F$37)/$U32-SUM($EE32:FP32)=1,1,0))))</f>
        <v>0</v>
      </c>
      <c r="FR32" s="8">
        <f>IF(FR$30-Voorblad!$F$37&gt;Voorblad!$K$37,0,IF($U32=0,0,IF($U32&lt;1,1/$U32,IF((FR$30-Voorblad!$F$37)/$U32-SUM($EE32:FQ32)=1,1,0))))</f>
        <v>0</v>
      </c>
      <c r="FS32" s="8">
        <f>IF(FS$30-Voorblad!$F$37&gt;Voorblad!$K$37,0,IF($U32=0,0,IF($U32&lt;1,1/$U32,IF((FS$30-Voorblad!$F$37)/$U32-SUM($EE32:FR32)=1,1,0))))</f>
        <v>0</v>
      </c>
      <c r="FT32" s="8">
        <f>IF(FT$30-Voorblad!$F$37&gt;Voorblad!$K$37,0,IF($U32=0,0,IF($U32&lt;1,1/$U32,IF((FT$30-Voorblad!$F$37)/$U32-SUM($EE32:FS32)=1,1,0))))</f>
        <v>0</v>
      </c>
      <c r="FU32" s="8">
        <f>IF(FU$30-Voorblad!$F$37&gt;Voorblad!$K$37,0,IF($U32=0,0,IF($U32&lt;1,1/$U32,IF((FU$30-Voorblad!$F$37)/$U32-SUM($EE32:FT32)=1,1,0))))</f>
        <v>0</v>
      </c>
      <c r="FV32" s="8">
        <f>IF(FV$30-Voorblad!$F$37&gt;Voorblad!$K$37,0,IF($U32=0,0,IF($U32&lt;1,1/$U32,IF((FV$30-Voorblad!$F$37)/$U32-SUM($EE32:FU32)=1,1,0))))</f>
        <v>0</v>
      </c>
      <c r="FW32" s="8">
        <f>IF(FW$30-Voorblad!$F$37&gt;Voorblad!$K$37,0,IF($U32=0,0,IF($U32&lt;1,1/$U32,IF((FW$30-Voorblad!$F$37)/$U32-SUM($EE32:FV32)=1,1,0))))</f>
        <v>0</v>
      </c>
      <c r="FX32" s="8">
        <f>IF(FX$30-Voorblad!$F$37&gt;Voorblad!$K$37,0,IF($U32=0,0,IF($U32&lt;1,1/$U32,IF((FX$30-Voorblad!$F$37)/$U32-SUM($EE32:FW32)=1,1,0))))</f>
        <v>0</v>
      </c>
      <c r="FY32" s="8">
        <f>IF(FY$30-Voorblad!$F$37&gt;Voorblad!$K$37,0,IF($U32=0,0,IF($U32&lt;1,1/$U32,IF((FY$30-Voorblad!$F$37)/$U32-SUM($EE32:FX32)=1,1,0))))</f>
        <v>0</v>
      </c>
      <c r="FZ32" s="8">
        <f>IF(FZ$30-Voorblad!$F$37&gt;Voorblad!$K$37,0,IF($U32=0,0,IF($U32&lt;1,1/$U32,IF((FZ$30-Voorblad!$F$37)/$U32-SUM($EE32:FY32)=1,1,0))))</f>
        <v>0</v>
      </c>
      <c r="GA32" s="8">
        <f>IF(GA$30-Voorblad!$F$37&gt;Voorblad!$K$37,0,IF($U32=0,0,IF($U32&lt;1,1/$U32,IF((GA$30-Voorblad!$F$37)/$U32-SUM($EE32:FZ32)=1,1,0))))</f>
        <v>0</v>
      </c>
      <c r="GB32" s="8">
        <f>IF(GB$30-Voorblad!$F$37&gt;Voorblad!$K$37,0,IF($U32=0,0,IF($U32&lt;1,1/$U32,IF((GB$30-Voorblad!$F$37)/$U32-SUM($EE32:GA32)=1,1,0))))</f>
        <v>0</v>
      </c>
      <c r="GC32" s="8">
        <f>IF(GC$30-Voorblad!$F$37&gt;Voorblad!$K$37,0,IF($U32=0,0,IF($U32&lt;1,1/$U32,IF((GC$30-Voorblad!$F$37)/$U32-SUM($EE32:GB32)=1,1,0))))</f>
        <v>0</v>
      </c>
      <c r="GD32" s="8">
        <f>IF(GD$30-Voorblad!$F$37&gt;Voorblad!$K$37,0,IF($U32=0,0,IF($U32&lt;1,1/$U32,IF((GD$30-Voorblad!$F$37)/$U32-SUM($EE32:GC32)=1,1,0))))</f>
        <v>0</v>
      </c>
      <c r="GE32" s="8">
        <f>IF(GE$30-Voorblad!$F$37&gt;Voorblad!$K$37,0,IF($U32=0,0,IF($U32&lt;1,1/$U32,IF((GE$30-Voorblad!$F$37)/$U32-SUM($EE32:GD32)=1,1,0))))</f>
        <v>0</v>
      </c>
      <c r="GF32" s="8">
        <f>IF(GF$30-Voorblad!$F$37&gt;Voorblad!$K$37,0,IF($U32=0,0,IF($U32&lt;1,1/$U32,IF((GF$30-Voorblad!$F$37)/$U32-SUM($EE32:GE32)=1,1,0))))</f>
        <v>0</v>
      </c>
      <c r="GG32" s="8">
        <f>IF(GG$30-Voorblad!$F$37&gt;Voorblad!$K$37,0,IF($U32=0,0,IF($U32&lt;1,1/$U32,IF((GG$30-Voorblad!$F$37)/$U32-SUM($EE32:GF32)=1,1,0))))</f>
        <v>0</v>
      </c>
      <c r="GH32" s="8">
        <f>IF(GH$30-Voorblad!$F$37&gt;Voorblad!$K$37,0,IF($U32=0,0,IF($U32&lt;1,1/$U32,IF((GH$30-Voorblad!$F$37)/$U32-SUM($EE32:GG32)=1,1,0))))</f>
        <v>0</v>
      </c>
      <c r="GI32" s="8">
        <f>IF(GI$30-Voorblad!$F$37&gt;Voorblad!$K$37,0,IF($U32=0,0,IF($U32&lt;1,1/$U32,IF((GI$30-Voorblad!$F$37)/$U32-SUM($EE32:GH32)=1,1,0))))</f>
        <v>0</v>
      </c>
      <c r="GJ32" s="8">
        <f>IF(GJ$30-Voorblad!$F$37&gt;Voorblad!$K$37,0,IF($U32=0,0,IF($U32&lt;1,1/$U32,IF((GJ$30-Voorblad!$F$37)/$U32-SUM($EE32:GI32)=1,1,0))))</f>
        <v>0</v>
      </c>
      <c r="GK32" s="8">
        <f>IF(GK$30-Voorblad!$F$37&gt;Voorblad!$K$37,0,IF($U32=0,0,IF($U32&lt;1,1/$U32,IF((GK$30-Voorblad!$F$37)/$U32-SUM($EE32:GJ32)=1,1,0))))</f>
        <v>0</v>
      </c>
      <c r="GL32" s="8">
        <f>IF(GL$30-Voorblad!$F$37&gt;Voorblad!$K$37,0,IF($U32=0,0,IF($U32&lt;1,1/$U32,IF((GL$30-Voorblad!$F$37)/$U32-SUM($EE32:GK32)=1,1,0))))</f>
        <v>0</v>
      </c>
      <c r="GM32" s="8">
        <f>IF(GM$30-Voorblad!$F$37&gt;Voorblad!$K$37,0,IF($U32=0,0,IF($U32&lt;1,1/$U32,IF((GM$30-Voorblad!$F$37)/$U32-SUM($EE32:GL32)=1,1,0))))</f>
        <v>0</v>
      </c>
      <c r="GN32" s="8">
        <f>IF(GN$30-Voorblad!$F$37&gt;Voorblad!$K$37,0,IF($U32=0,0,IF($U32&lt;1,1/$U32,IF((GN$30-Voorblad!$F$37)/$U32-SUM($EE32:GM32)=1,1,0))))</f>
        <v>0</v>
      </c>
      <c r="GO32" s="8">
        <f>IF(GO$30-Voorblad!$F$37&gt;Voorblad!$K$37,0,IF($U32=0,0,IF($U32&lt;1,1/$U32,IF((GO$30-Voorblad!$F$37)/$U32-SUM($EE32:GN32)=1,1,0))))</f>
        <v>0</v>
      </c>
      <c r="GP32" s="8">
        <f>IF(GP$30-Voorblad!$F$37&gt;Voorblad!$K$37,0,IF($U32=0,0,IF($U32&lt;1,1/$U32,IF((GP$30-Voorblad!$F$37)/$U32-SUM($EE32:GO32)=1,1,0))))</f>
        <v>0</v>
      </c>
      <c r="GQ32" s="8">
        <f>IF(GQ$30-Voorblad!$F$37&gt;Voorblad!$K$37,0,IF($U32=0,0,IF($U32&lt;1,1/$U32,IF((GQ$30-Voorblad!$F$37)/$U32-SUM($EE32:GP32)=1,1,0))))</f>
        <v>0</v>
      </c>
      <c r="GR32" s="8">
        <f>IF(GR$30-Voorblad!$F$37&gt;Voorblad!$K$37,0,IF($U32=0,0,IF($U32&lt;1,1/$U32,IF((GR$30-Voorblad!$F$37)/$U32-SUM($EE32:GQ32)=1,1,0))))</f>
        <v>0</v>
      </c>
      <c r="GS32" s="8">
        <f>IF(GS$30-Voorblad!$F$37&gt;Voorblad!$K$37,0,IF($U32=0,0,IF($U32&lt;1,1/$U32,IF((GS$30-Voorblad!$F$37)/$U32-SUM($EE32:GR32)=1,1,0))))</f>
        <v>0</v>
      </c>
      <c r="GT32" s="8">
        <f>IF(GT$30-Voorblad!$F$37&gt;Voorblad!$K$37,0,IF($U32=0,0,IF($U32&lt;1,1/$U32,IF((GT$30-Voorblad!$F$37)/$U32-SUM($EE32:GS32)=1,1,0))))</f>
        <v>0</v>
      </c>
      <c r="GU32" s="8">
        <f>IF(GU$30-Voorblad!$F$37&gt;Voorblad!$K$37,0,IF($U32=0,0,IF($U32&lt;1,1/$U32,IF((GU$30-Voorblad!$F$37)/$U32-SUM($EE32:GT32)=1,1,0))))</f>
        <v>0</v>
      </c>
      <c r="GV32" s="8">
        <f>IF(GV$30-Voorblad!$F$37&gt;Voorblad!$K$37,0,IF($U32=0,0,IF($U32&lt;1,1/$U32,IF((GV$30-Voorblad!$F$37)/$U32-SUM($EE32:GU32)=1,1,0))))</f>
        <v>0</v>
      </c>
      <c r="GW32" s="8">
        <f>IF(GW$30-Voorblad!$F$37&gt;Voorblad!$K$37,0,IF($U32=0,0,IF($U32&lt;1,1/$U32,IF((GW$30-Voorblad!$F$37)/$U32-SUM($EE32:GV32)=1,1,0))))</f>
        <v>0</v>
      </c>
      <c r="GX32" s="8">
        <f>IF(GX$30-Voorblad!$F$37&gt;Voorblad!$K$37,0,IF($U32=0,0,IF($U32&lt;1,1/$U32,IF((GX$30-Voorblad!$F$37)/$U32-SUM($EE32:GW32)=1,1,0))))</f>
        <v>0</v>
      </c>
      <c r="GY32" s="8">
        <f>IF(GY$30-Voorblad!$F$37&gt;Voorblad!$K$37,0,IF($U32=0,0,IF($U32&lt;1,1/$U32,IF((GY$30-Voorblad!$F$37)/$U32-SUM($EE32:GX32)=1,1,0))))</f>
        <v>0</v>
      </c>
      <c r="GZ32" s="8">
        <f>IF(GZ$30-Voorblad!$F$37&gt;Voorblad!$K$37,0,IF($U32=0,0,IF($U32&lt;1,1/$U32,IF((GZ$30-Voorblad!$F$37)/$U32-SUM($EE32:GY32)=1,1,0))))</f>
        <v>0</v>
      </c>
      <c r="HA32" s="8">
        <f>IF(HA$30-Voorblad!$F$37&gt;Voorblad!$K$37,0,IF($U32=0,0,IF($U32&lt;1,1/$U32,IF((HA$30-Voorblad!$F$37)/$U32-SUM($EE32:GZ32)=1,1,0))))</f>
        <v>0</v>
      </c>
      <c r="HB32" s="8">
        <f>IF(HB$30-Voorblad!$F$37&gt;Voorblad!$K$37,0,IF($U32=0,0,IF($U32&lt;1,1/$U32,IF((HB$30-Voorblad!$F$37)/$U32-SUM($EE32:HA32)=1,1,0))))</f>
        <v>0</v>
      </c>
      <c r="HC32" s="8">
        <f>IF(HC$30-Voorblad!$F$37&gt;Voorblad!$K$37,0,IF($U32=0,0,IF($U32&lt;1,1/$U32,IF((HC$30-Voorblad!$F$37)/$U32-SUM($EE32:HB32)=1,1,0))))</f>
        <v>0</v>
      </c>
      <c r="HD32" s="8">
        <f>IF(HD$30-Voorblad!$F$37&gt;Voorblad!$K$37,0,IF($U32=0,0,IF($U32&lt;1,1/$U32,IF((HD$30-Voorblad!$F$37)/$U32-SUM($EE32:HC32)=1,1,0))))</f>
        <v>0</v>
      </c>
      <c r="HE32" s="8">
        <f>IF(HE$30-Voorblad!$F$37&gt;Voorblad!$K$37,0,IF($U32=0,0,IF($U32&lt;1,1/$U32,IF((HE$30-Voorblad!$F$37)/$U32-SUM($EE32:HD32)=1,1,0))))</f>
        <v>0</v>
      </c>
      <c r="HF32" s="8">
        <f>IF(HF$30-Voorblad!$F$37&gt;Voorblad!$K$37,0,IF($U32=0,0,IF($U32&lt;1,1/$U32,IF((HF$30-Voorblad!$F$37)/$U32-SUM($EE32:HE32)=1,1,0))))</f>
        <v>0</v>
      </c>
      <c r="HG32" s="8">
        <f>IF(HG$30-Voorblad!$F$37&gt;Voorblad!$K$37,0,IF($U32=0,0,IF($U32&lt;1,1/$U32,IF((HG$30-Voorblad!$F$37)/$U32-SUM($EE32:HF32)=1,1,0))))</f>
        <v>0</v>
      </c>
      <c r="HH32" s="8">
        <f>IF(HH$30-Voorblad!$F$37&gt;Voorblad!$K$37,0,IF($U32=0,0,IF($U32&lt;1,1/$U32,IF((HH$30-Voorblad!$F$37)/$U32-SUM($EE32:HG32)=1,1,0))))</f>
        <v>0</v>
      </c>
      <c r="HI32" s="8">
        <f>IF(HI$30-Voorblad!$F$37&gt;Voorblad!$K$37,0,IF($U32=0,0,IF($U32&lt;1,1/$U32,IF((HI$30-Voorblad!$F$37)/$U32-SUM($EE32:HH32)=1,1,0))))</f>
        <v>0</v>
      </c>
      <c r="HJ32" s="8">
        <f>IF(HJ$30-Voorblad!$F$37&gt;Voorblad!$K$37,0,IF($U32=0,0,IF($U32&lt;1,1/$U32,IF((HJ$30-Voorblad!$F$37)/$U32-SUM($EE32:HI32)=1,1,0))))</f>
        <v>0</v>
      </c>
      <c r="HK32" s="8">
        <f>IF(HK$30-Voorblad!$F$37&gt;Voorblad!$K$37,0,IF($U32=0,0,IF($U32&lt;1,1/$U32,IF((HK$30-Voorblad!$F$37)/$U32-SUM($EE32:HJ32)=1,1,0))))</f>
        <v>0</v>
      </c>
      <c r="HL32" s="8">
        <f>IF(HL$30-Voorblad!$F$37&gt;Voorblad!$K$37,0,IF($U32=0,0,IF($U32&lt;1,1/$U32,IF((HL$30-Voorblad!$F$37)/$U32-SUM($EE32:HK32)=1,1,0))))</f>
        <v>0</v>
      </c>
      <c r="HM32" s="8">
        <f>IF(HM$30-Voorblad!$F$37&gt;Voorblad!$K$37,0,IF($U32=0,0,IF($U32&lt;1,1/$U32,IF((HM$30-Voorblad!$F$37)/$U32-SUM($EE32:HL32)=1,1,0))))</f>
        <v>0</v>
      </c>
      <c r="HN32" s="8">
        <f>IF(HN$30-Voorblad!$F$37&gt;Voorblad!$K$37,0,IF($U32=0,0,IF($U32&lt;1,1/$U32,IF((HN$30-Voorblad!$F$37)/$U32-SUM($EE32:HM32)=1,1,0))))</f>
        <v>0</v>
      </c>
      <c r="HO32" s="8">
        <f>IF(HO$30-Voorblad!$F$37&gt;Voorblad!$K$37,0,IF($U32=0,0,IF($U32&lt;1,1/$U32,IF((HO$30-Voorblad!$F$37)/$U32-SUM($EE32:HN32)=1,1,0))))</f>
        <v>0</v>
      </c>
      <c r="HP32" s="8">
        <f>IF(HP$30-Voorblad!$F$37&gt;Voorblad!$K$37,0,IF($U32=0,0,IF($U32&lt;1,1/$U32,IF((HP$30-Voorblad!$F$37)/$U32-SUM($EE32:HO32)=1,1,0))))</f>
        <v>0</v>
      </c>
      <c r="HQ32" s="8">
        <f>IF(HQ$30-Voorblad!$F$37&gt;Voorblad!$K$37,0,IF($U32=0,0,IF($U32&lt;1,1/$U32,IF((HQ$30-Voorblad!$F$37)/$U32-SUM($EE32:HP32)=1,1,0))))</f>
        <v>0</v>
      </c>
      <c r="HR32" s="8">
        <f>IF(HR$30-Voorblad!$F$37&gt;Voorblad!$K$37,0,IF($U32=0,0,IF($U32&lt;1,1/$U32,IF((HR$30-Voorblad!$F$37)/$U32-SUM($EE32:HQ32)=1,1,0))))</f>
        <v>0</v>
      </c>
      <c r="HS32" s="8">
        <f>IF(HS$30-Voorblad!$F$37&gt;Voorblad!$K$37,0,IF($U32=0,0,IF($U32&lt;1,1/$U32,IF((HS$30-Voorblad!$F$37)/$U32-SUM($EE32:HR32)=1,1,0))))</f>
        <v>0</v>
      </c>
      <c r="HT32" s="8">
        <f>IF(HT$30-Voorblad!$F$37&gt;Voorblad!$K$37,0,IF($U32=0,0,IF($U32&lt;1,1/$U32,IF((HT$30-Voorblad!$F$37)/$U32-SUM($EE32:HS32)=1,1,0))))</f>
        <v>0</v>
      </c>
      <c r="HU32" s="8">
        <f>IF(HU$30-Voorblad!$F$37&gt;Voorblad!$K$37,0,IF($U32=0,0,IF($U32&lt;1,1/$U32,IF((HU$30-Voorblad!$F$37)/$U32-SUM($EE32:HT32)=1,1,0))))</f>
        <v>0</v>
      </c>
      <c r="HV32" s="8">
        <f>IF(HV$30-Voorblad!$F$37&gt;Voorblad!$K$37,0,IF($U32=0,0,IF($U32&lt;1,1/$U32,IF((HV$30-Voorblad!$F$37)/$U32-SUM($EE32:HU32)=1,1,0))))</f>
        <v>0</v>
      </c>
      <c r="HW32" s="8">
        <f>IF(HW$30-Voorblad!$F$37&gt;Voorblad!$K$37,0,IF($U32=0,0,IF($U32&lt;1,1/$U32,IF((HW$30-Voorblad!$F$37)/$U32-SUM($EE32:HV32)=1,1,0))))</f>
        <v>0</v>
      </c>
      <c r="HX32" s="8">
        <f>IF(HX$30-Voorblad!$F$37&gt;Voorblad!$K$37,0,IF($U32=0,0,IF($U32&lt;1,1/$U32,IF((HX$30-Voorblad!$F$37)/$U32-SUM($EE32:HW32)=1,1,0))))</f>
        <v>0</v>
      </c>
      <c r="HY32" s="8">
        <f>IF(HY$30-Voorblad!$F$37&gt;Voorblad!$K$37,0,IF($U32=0,0,IF($U32&lt;1,1/$U32,IF((HY$30-Voorblad!$F$37)/$U32-SUM($EE32:HX32)=1,1,0))))</f>
        <v>0</v>
      </c>
      <c r="HZ32" s="8">
        <f>IF(HZ$30-Voorblad!$F$37&gt;Voorblad!$K$37,0,IF($U32=0,0,IF($U32&lt;1,1/$U32,IF((HZ$30-Voorblad!$F$37)/$U32-SUM($EE32:HY32)=1,1,0))))</f>
        <v>0</v>
      </c>
      <c r="IA32" s="8">
        <f>IF(IA$30-Voorblad!$F$37&gt;Voorblad!$K$37,0,IF($U32=0,0,IF($U32&lt;1,1/$U32,IF((IA$30-Voorblad!$F$37)/$U32-SUM($EE32:HZ32)=1,1,0))))</f>
        <v>0</v>
      </c>
      <c r="IB32" s="8">
        <f>IF(IB$30-Voorblad!$F$37&gt;Voorblad!$K$37,0,IF($U32=0,0,IF($U32&lt;1,1/$U32,IF((IB$30-Voorblad!$F$37)/$U32-SUM($EE32:IA32)=1,1,0))))</f>
        <v>0</v>
      </c>
    </row>
    <row r="33" spans="2:236" ht="12" customHeight="1" x14ac:dyDescent="0.25">
      <c r="B33" s="2" t="s">
        <v>292</v>
      </c>
      <c r="C33" s="2"/>
      <c r="D33" s="2"/>
      <c r="O33" s="14"/>
      <c r="P33" s="14"/>
      <c r="S33" s="14"/>
      <c r="T33" s="26">
        <f>SUM(T31:T32)</f>
        <v>6500</v>
      </c>
      <c r="U33" s="14"/>
      <c r="V33" s="14"/>
      <c r="Y33" s="23">
        <f>SUM(Y31:Y32)</f>
        <v>6403.5710426315018</v>
      </c>
      <c r="Z33" s="24"/>
      <c r="AA33" s="24"/>
      <c r="AC33" s="9">
        <f>$Y33*(Voorblad!$K$44*(1+Voorblad!$K$44)^Voorblad!$K$37)/((1+Voorblad!$K$44)^Voorblad!$K$37-1)</f>
        <v>731.6641072480279</v>
      </c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E33" s="8"/>
      <c r="EF33" s="8"/>
      <c r="EG33" s="8"/>
      <c r="EH33" s="8"/>
      <c r="EI33" s="8"/>
      <c r="EJ33" s="8"/>
      <c r="EK33" s="8"/>
      <c r="EL33" s="8"/>
      <c r="EM33" s="8"/>
      <c r="EN33" s="8"/>
      <c r="EO33" s="8"/>
      <c r="EP33" s="8"/>
      <c r="EQ33" s="8"/>
      <c r="ER33" s="8"/>
      <c r="ES33" s="8"/>
      <c r="ET33" s="8"/>
      <c r="EU33" s="8"/>
      <c r="EV33" s="8"/>
      <c r="EW33" s="8"/>
      <c r="EX33" s="8"/>
      <c r="EY33" s="8"/>
      <c r="EZ33" s="8"/>
      <c r="FA33" s="8"/>
      <c r="FB33" s="8"/>
      <c r="FC33" s="8"/>
      <c r="FD33" s="8"/>
      <c r="FE33" s="8"/>
      <c r="FF33" s="8"/>
      <c r="FG33" s="8"/>
      <c r="FH33" s="8"/>
      <c r="FI33" s="8"/>
      <c r="FJ33" s="8"/>
      <c r="FK33" s="8"/>
      <c r="FL33" s="8"/>
      <c r="FM33" s="8"/>
      <c r="FN33" s="8"/>
      <c r="FO33" s="8"/>
      <c r="FP33" s="8"/>
      <c r="FQ33" s="8"/>
      <c r="FR33" s="8"/>
      <c r="FS33" s="8"/>
      <c r="FT33" s="8"/>
      <c r="FU33" s="8"/>
      <c r="FV33" s="8"/>
      <c r="FW33" s="8"/>
      <c r="FX33" s="8"/>
      <c r="FY33" s="8"/>
      <c r="FZ33" s="8"/>
      <c r="GA33" s="8"/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</row>
    <row r="34" spans="2:236" ht="12" customHeight="1" x14ac:dyDescent="0.25">
      <c r="B34" s="2"/>
      <c r="C34" s="2"/>
      <c r="D34" s="2"/>
      <c r="O34" s="14"/>
      <c r="P34" s="14"/>
      <c r="S34" s="14"/>
      <c r="T34" s="266"/>
      <c r="U34" s="14"/>
      <c r="V34" s="14"/>
      <c r="Y34" s="24"/>
      <c r="Z34" s="24"/>
      <c r="AA34" s="24"/>
      <c r="AC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E34" s="8"/>
      <c r="EF34" s="8"/>
      <c r="EG34" s="8"/>
      <c r="EH34" s="8"/>
      <c r="EI34" s="8"/>
      <c r="EJ34" s="8"/>
      <c r="EK34" s="8"/>
      <c r="EL34" s="8"/>
      <c r="EM34" s="8"/>
      <c r="EN34" s="8"/>
      <c r="EO34" s="8"/>
      <c r="EP34" s="8"/>
      <c r="EQ34" s="8"/>
      <c r="ER34" s="8"/>
      <c r="ES34" s="8"/>
      <c r="ET34" s="8"/>
      <c r="EU34" s="8"/>
      <c r="EV34" s="8"/>
      <c r="EW34" s="8"/>
      <c r="EX34" s="8"/>
      <c r="EY34" s="8"/>
      <c r="EZ34" s="8"/>
      <c r="FA34" s="8"/>
      <c r="FB34" s="8"/>
      <c r="FC34" s="8"/>
      <c r="FD34" s="8"/>
      <c r="FE34" s="8"/>
      <c r="FF34" s="8"/>
      <c r="FG34" s="8"/>
      <c r="FH34" s="8"/>
      <c r="FI34" s="8"/>
      <c r="FJ34" s="8"/>
      <c r="FK34" s="8"/>
      <c r="FL34" s="8"/>
      <c r="FM34" s="8"/>
      <c r="FN34" s="8"/>
      <c r="FO34" s="8"/>
      <c r="FP34" s="8"/>
      <c r="FQ34" s="8"/>
      <c r="FR34" s="8"/>
      <c r="FS34" s="8"/>
      <c r="FT34" s="8"/>
      <c r="FU34" s="8"/>
      <c r="FV34" s="8"/>
      <c r="FW34" s="8"/>
      <c r="FX34" s="8"/>
      <c r="FY34" s="8"/>
      <c r="FZ34" s="8"/>
      <c r="GA34" s="8"/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</row>
    <row r="35" spans="2:236" ht="12" customHeight="1" x14ac:dyDescent="0.25">
      <c r="B35" s="1">
        <v>2</v>
      </c>
      <c r="C35" s="1" t="s">
        <v>112</v>
      </c>
      <c r="D35" s="1" t="s">
        <v>112</v>
      </c>
      <c r="E35" s="1" t="s">
        <v>112</v>
      </c>
      <c r="F35" s="1" t="s">
        <v>286</v>
      </c>
      <c r="I35" s="1" t="s">
        <v>285</v>
      </c>
      <c r="K35" s="1" t="s">
        <v>291</v>
      </c>
      <c r="O35" s="1" t="s">
        <v>294</v>
      </c>
      <c r="Q35" s="1">
        <v>1</v>
      </c>
      <c r="R35" s="1" t="s">
        <v>33</v>
      </c>
      <c r="S35" s="14">
        <v>5000</v>
      </c>
      <c r="T35" s="1">
        <f>Q35*S35</f>
        <v>5000</v>
      </c>
      <c r="U35" s="14">
        <v>10</v>
      </c>
      <c r="V35" s="14"/>
      <c r="Y35" s="9">
        <f>SUM(AE35:EB35)</f>
        <v>3905.9920086286352</v>
      </c>
      <c r="Z35" s="82"/>
      <c r="AA35" s="82"/>
      <c r="AC35" s="229">
        <f>$Y35*(Voorblad!$K$44*(1+Voorblad!$K$44)^Voorblad!$K$37)/((1+Voorblad!$K$44)^Voorblad!$K$37-1)</f>
        <v>446.29381588570288</v>
      </c>
      <c r="AE35" s="9">
        <f>EF35*($Q35*$S35)/(1+Voorblad!$K$44)^(AE$56-Voorblad!$F$41)</f>
        <v>0</v>
      </c>
      <c r="AF35" s="9">
        <f>EG35*($Q35*$S35)/(1+Voorblad!$K$44)^(AF$30-Voorblad!$F$37)</f>
        <v>0</v>
      </c>
      <c r="AG35" s="9">
        <f>EH35*($Q35*$S35)/(1+Voorblad!$K$44)^(AG$56-Voorblad!$F$41)</f>
        <v>0</v>
      </c>
      <c r="AH35" s="9">
        <f>EI35*($Q35*$S35)/(1+Voorblad!$K$44)^(AH$56-Voorblad!$F$41)</f>
        <v>0</v>
      </c>
      <c r="AI35" s="9">
        <f>EJ35*($Q35*$S35)/(1+Voorblad!$K$44)^(AI$56-Voorblad!$F$41)</f>
        <v>0</v>
      </c>
      <c r="AJ35" s="9">
        <f>EK35*($Q35*$S35)/(1+Voorblad!$K$44)^(AJ$56-Voorblad!$F$41)</f>
        <v>0</v>
      </c>
      <c r="AK35" s="9">
        <f>EL35*($Q35*$S35)/(1+Voorblad!$K$44)^(AK$56-Voorblad!$F$41)</f>
        <v>0</v>
      </c>
      <c r="AL35" s="9">
        <f>EM35*($Q35*$S35)/(1+Voorblad!$K$44)^(AL$56-Voorblad!$F$41)</f>
        <v>0</v>
      </c>
      <c r="AM35" s="9">
        <f>EN35*($Q35*$S35)/(1+Voorblad!$K$44)^(AM$56-Voorblad!$F$41)</f>
        <v>0</v>
      </c>
      <c r="AN35" s="9">
        <f>EO35*($Q35*$S35)/(1+Voorblad!$K$44)^(AN$56-Voorblad!$F$41)</f>
        <v>0</v>
      </c>
      <c r="AO35" s="9">
        <f>EP35*($Q35*$S35)/(1+Voorblad!$K$44)^(AO$56-Voorblad!$F$41)</f>
        <v>3905.9920086286352</v>
      </c>
      <c r="AP35" s="9">
        <f>EQ35*($Q35*$S35)/(1+Voorblad!$K$44)^(AP$56-Voorblad!$F$41)</f>
        <v>0</v>
      </c>
      <c r="AQ35" s="9">
        <f>ER35*($Q35*$S35)/(1+Voorblad!$K$44)^(AQ$56-Voorblad!$F$41)</f>
        <v>0</v>
      </c>
      <c r="AR35" s="9">
        <f>ES35*($Q35*$S35)/(1+Voorblad!$K$44)^(AR$56-Voorblad!$F$41)</f>
        <v>0</v>
      </c>
      <c r="AS35" s="9">
        <f>ET35*($Q35*$S35)/(1+Voorblad!$K$44)^(AS$56-Voorblad!$F$41)</f>
        <v>0</v>
      </c>
      <c r="AT35" s="9">
        <f>EU35*($Q35*$S35)/(1+Voorblad!$K$44)^(AT$56-Voorblad!$F$41)</f>
        <v>0</v>
      </c>
      <c r="AU35" s="9">
        <f>EV35*($Q35*$S35)/(1+Voorblad!$K$44)^(AU$56-Voorblad!$F$41)</f>
        <v>0</v>
      </c>
      <c r="AV35" s="9">
        <f>EW35*($Q35*$S35)/(1+Voorblad!$K$44)^(AV$56-Voorblad!$F$41)</f>
        <v>0</v>
      </c>
      <c r="AW35" s="9">
        <f>EX35*($Q35*$S35)/(1+Voorblad!$K$44)^(AW$56-Voorblad!$F$41)</f>
        <v>0</v>
      </c>
      <c r="AX35" s="9">
        <f>EY35*($Q35*$S35)/(1+Voorblad!$K$44)^(AX$56-Voorblad!$F$41)</f>
        <v>0</v>
      </c>
      <c r="AY35" s="9">
        <f>EZ35*($Q35*$S35)/(1+Voorblad!$K$44)^(AY$56-Voorblad!$F$41)</f>
        <v>0</v>
      </c>
      <c r="AZ35" s="9">
        <f>FA35*($Q35*$S35)/(1+Voorblad!$K$44)^(AZ$56-Voorblad!$F$41)</f>
        <v>0</v>
      </c>
      <c r="BA35" s="9">
        <f>FB35*($Q35*$S35)/(1+Voorblad!$K$44)^(BA$56-Voorblad!$F$41)</f>
        <v>0</v>
      </c>
      <c r="BB35" s="9">
        <f>FC35*($Q35*$S35)/(1+Voorblad!$K$44)^(BB$56-Voorblad!$F$41)</f>
        <v>0</v>
      </c>
      <c r="BC35" s="9">
        <f>FD35*($Q35*$S35)/(1+Voorblad!$K$44)^(BC$56-Voorblad!$F$41)</f>
        <v>0</v>
      </c>
      <c r="BD35" s="9">
        <f>FE35*($Q35*$S35)/(1+Voorblad!$K$44)^(BD$56-Voorblad!$F$41)</f>
        <v>0</v>
      </c>
      <c r="BE35" s="9">
        <f>FF35*($Q35*$S35)/(1+Voorblad!$K$44)^(BE$56-Voorblad!$F$41)</f>
        <v>0</v>
      </c>
      <c r="BF35" s="9">
        <f>FG35*($Q35*$S35)/(1+Voorblad!$K$44)^(BF$56-Voorblad!$F$41)</f>
        <v>0</v>
      </c>
      <c r="BG35" s="9">
        <f>FH35*($Q35*$S35)/(1+Voorblad!$K$44)^(BG$56-Voorblad!$F$41)</f>
        <v>0</v>
      </c>
      <c r="BH35" s="9">
        <f>FI35*($Q35*$S35)/(1+Voorblad!$K$44)^(BH$56-Voorblad!$F$41)</f>
        <v>0</v>
      </c>
      <c r="BI35" s="9">
        <f>FJ35*($Q35*$S35)/(1+Voorblad!$K$44)^(BI$56-Voorblad!$F$41)</f>
        <v>0</v>
      </c>
      <c r="BJ35" s="9">
        <f>FK35*($Q35*$S35)/(1+Voorblad!$K$44)^(BJ$56-Voorblad!$F$41)</f>
        <v>0</v>
      </c>
      <c r="BK35" s="9">
        <f>FL35*($Q35*$S35)/(1+Voorblad!$K$44)^(BK$56-Voorblad!$F$41)</f>
        <v>0</v>
      </c>
      <c r="BL35" s="9">
        <f>FM35*($Q35*$S35)/(1+Voorblad!$K$44)^(BL$56-Voorblad!$F$41)</f>
        <v>0</v>
      </c>
      <c r="BM35" s="9">
        <f>FN35*($Q35*$S35)/(1+Voorblad!$K$44)^(BM$56-Voorblad!$F$41)</f>
        <v>0</v>
      </c>
      <c r="BN35" s="9">
        <f>FO35*($Q35*$S35)/(1+Voorblad!$K$44)^(BN$56-Voorblad!$F$41)</f>
        <v>0</v>
      </c>
      <c r="BO35" s="9">
        <f>FP35*($Q35*$S35)/(1+Voorblad!$K$44)^(BO$56-Voorblad!$F$41)</f>
        <v>0</v>
      </c>
      <c r="BP35" s="9">
        <f>FQ35*($Q35*$S35)/(1+Voorblad!$K$44)^(BP$56-Voorblad!$F$41)</f>
        <v>0</v>
      </c>
      <c r="BQ35" s="9">
        <f>FR35*($Q35*$S35)/(1+Voorblad!$K$44)^(BQ$56-Voorblad!$F$41)</f>
        <v>0</v>
      </c>
      <c r="BR35" s="9">
        <f>FS35*($Q35*$S35)/(1+Voorblad!$K$44)^(BR$56-Voorblad!$F$41)</f>
        <v>0</v>
      </c>
      <c r="BS35" s="9">
        <f>FT35*($Q35*$S35)/(1+Voorblad!$K$44)^(BS$56-Voorblad!$F$41)</f>
        <v>0</v>
      </c>
      <c r="BT35" s="9">
        <f>FU35*($Q35*$S35)/(1+Voorblad!$K$44)^(BT$56-Voorblad!$F$41)</f>
        <v>0</v>
      </c>
      <c r="BU35" s="9">
        <f>FV35*($Q35*$S35)/(1+Voorblad!$K$44)^(BU$56-Voorblad!$F$41)</f>
        <v>0</v>
      </c>
      <c r="BV35" s="9">
        <f>FW35*($Q35*$S35)/(1+Voorblad!$K$44)^(BV$56-Voorblad!$F$41)</f>
        <v>0</v>
      </c>
      <c r="BW35" s="9">
        <f>FX35*($Q35*$S35)/(1+Voorblad!$K$44)^(BW$56-Voorblad!$F$41)</f>
        <v>0</v>
      </c>
      <c r="BX35" s="9">
        <f>FY35*($Q35*$S35)/(1+Voorblad!$K$44)^(BX$56-Voorblad!$F$41)</f>
        <v>0</v>
      </c>
      <c r="BY35" s="9">
        <f>FZ35*($Q35*$S35)/(1+Voorblad!$K$44)^(BY$56-Voorblad!$F$41)</f>
        <v>0</v>
      </c>
      <c r="BZ35" s="9">
        <f>GA35*($Q35*$S35)/(1+Voorblad!$K$44)^(BZ$56-Voorblad!$F$41)</f>
        <v>0</v>
      </c>
      <c r="CA35" s="9">
        <f>GB35*($Q35*$S35)/(1+Voorblad!$K$44)^(CA$56-Voorblad!$F$41)</f>
        <v>0</v>
      </c>
      <c r="CB35" s="9">
        <f>GC35*($Q35*$S35)/(1+Voorblad!$K$44)^(CB$56-Voorblad!$F$41)</f>
        <v>0</v>
      </c>
      <c r="CC35" s="9">
        <f>GD35*($Q35*$S35)/(1+Voorblad!$K$44)^(CC$56-Voorblad!$F$41)</f>
        <v>0</v>
      </c>
      <c r="CD35" s="9">
        <f>GE35*($Q35*$S35)/(1+Voorblad!$K$44)^(CD$56-Voorblad!$F$41)</f>
        <v>0</v>
      </c>
      <c r="CE35" s="9">
        <f>GF35*($Q35*$S35)/(1+Voorblad!$K$44)^(CE$56-Voorblad!$F$41)</f>
        <v>0</v>
      </c>
      <c r="CF35" s="9">
        <f>GG35*($Q35*$S35)/(1+Voorblad!$K$44)^(CF$56-Voorblad!$F$41)</f>
        <v>0</v>
      </c>
      <c r="CG35" s="9">
        <f>GH35*($Q35*$S35)/(1+Voorblad!$K$44)^(CG$56-Voorblad!$F$41)</f>
        <v>0</v>
      </c>
      <c r="CH35" s="9">
        <f>GI35*($Q35*$S35)/(1+Voorblad!$K$44)^(CH$56-Voorblad!$F$41)</f>
        <v>0</v>
      </c>
      <c r="CI35" s="9">
        <f>GJ35*($Q35*$S35)/(1+Voorblad!$K$44)^(CI$56-Voorblad!$F$41)</f>
        <v>0</v>
      </c>
      <c r="CJ35" s="9">
        <f>GK35*($Q35*$S35)/(1+Voorblad!$K$44)^(CJ$56-Voorblad!$F$41)</f>
        <v>0</v>
      </c>
      <c r="CK35" s="9">
        <f>GL35*($Q35*$S35)/(1+Voorblad!$K$44)^(CK$56-Voorblad!$F$41)</f>
        <v>0</v>
      </c>
      <c r="CL35" s="9">
        <f>GM35*($Q35*$S35)/(1+Voorblad!$K$44)^(CL$56-Voorblad!$F$41)</f>
        <v>0</v>
      </c>
      <c r="CM35" s="9">
        <f>GN35*($Q35*$S35)/(1+Voorblad!$K$44)^(CM$56-Voorblad!$F$41)</f>
        <v>0</v>
      </c>
      <c r="CN35" s="9">
        <f>GO35*($Q35*$S35)/(1+Voorblad!$K$44)^(CN$56-Voorblad!$F$41)</f>
        <v>0</v>
      </c>
      <c r="CO35" s="9">
        <f>GP35*($Q35*$S35)/(1+Voorblad!$K$44)^(CO$56-Voorblad!$F$41)</f>
        <v>0</v>
      </c>
      <c r="CP35" s="9">
        <f>GQ35*($Q35*$S35)/(1+Voorblad!$K$44)^(CP$56-Voorblad!$F$41)</f>
        <v>0</v>
      </c>
      <c r="CQ35" s="9">
        <f>GR35*($Q35*$S35)/(1+Voorblad!$K$44)^(CQ$56-Voorblad!$F$41)</f>
        <v>0</v>
      </c>
      <c r="CR35" s="9">
        <f>GS35*($Q35*$S35)/(1+Voorblad!$K$44)^(CR$56-Voorblad!$F$41)</f>
        <v>0</v>
      </c>
      <c r="CS35" s="9">
        <f>GT35*($Q35*$S35)/(1+Voorblad!$K$44)^(CS$56-Voorblad!$F$41)</f>
        <v>0</v>
      </c>
      <c r="CT35" s="9">
        <f>GU35*($Q35*$S35)/(1+Voorblad!$K$44)^(CT$56-Voorblad!$F$41)</f>
        <v>0</v>
      </c>
      <c r="CU35" s="9">
        <f>GV35*($Q35*$S35)/(1+Voorblad!$K$44)^(CU$56-Voorblad!$F$41)</f>
        <v>0</v>
      </c>
      <c r="CV35" s="9">
        <f>GW35*($Q35*$S35)/(1+Voorblad!$K$44)^(CV$56-Voorblad!$F$41)</f>
        <v>0</v>
      </c>
      <c r="CW35" s="9">
        <f>GX35*($Q35*$S35)/(1+Voorblad!$K$44)^(CW$56-Voorblad!$F$41)</f>
        <v>0</v>
      </c>
      <c r="CX35" s="9">
        <f>GY35*($Q35*$S35)/(1+Voorblad!$K$44)^(CX$56-Voorblad!$F$41)</f>
        <v>0</v>
      </c>
      <c r="CY35" s="9">
        <f>GZ35*($Q35*$S35)/(1+Voorblad!$K$44)^(CY$56-Voorblad!$F$41)</f>
        <v>0</v>
      </c>
      <c r="CZ35" s="9">
        <f>HA35*($Q35*$S35)/(1+Voorblad!$K$44)^(CZ$56-Voorblad!$F$41)</f>
        <v>0</v>
      </c>
      <c r="DA35" s="9">
        <f>HB35*($Q35*$S35)/(1+Voorblad!$K$44)^(DA$56-Voorblad!$F$41)</f>
        <v>0</v>
      </c>
      <c r="DB35" s="9">
        <f>HC35*($Q35*$S35)/(1+Voorblad!$K$44)^(DB$56-Voorblad!$F$41)</f>
        <v>0</v>
      </c>
      <c r="DC35" s="9">
        <f>HD35*($Q35*$S35)/(1+Voorblad!$K$44)^(DC$56-Voorblad!$F$41)</f>
        <v>0</v>
      </c>
      <c r="DD35" s="9">
        <f>HE35*($Q35*$S35)/(1+Voorblad!$K$44)^(DD$56-Voorblad!$F$41)</f>
        <v>0</v>
      </c>
      <c r="DE35" s="9">
        <f>HF35*($Q35*$S35)/(1+Voorblad!$K$44)^(DE$56-Voorblad!$F$41)</f>
        <v>0</v>
      </c>
      <c r="DF35" s="9">
        <f>HG35*($Q35*$S35)/(1+Voorblad!$K$44)^(DF$56-Voorblad!$F$41)</f>
        <v>0</v>
      </c>
      <c r="DG35" s="9">
        <f>HH35*($Q35*$S35)/(1+Voorblad!$K$44)^(DG$56-Voorblad!$F$41)</f>
        <v>0</v>
      </c>
      <c r="DH35" s="9">
        <f>HI35*($Q35*$S35)/(1+Voorblad!$K$44)^(DH$56-Voorblad!$F$41)</f>
        <v>0</v>
      </c>
      <c r="DI35" s="9">
        <f>HJ35*($Q35*$S35)/(1+Voorblad!$K$44)^(DI$56-Voorblad!$F$41)</f>
        <v>0</v>
      </c>
      <c r="DJ35" s="9">
        <f>HK35*($Q35*$S35)/(1+Voorblad!$K$44)^(DJ$56-Voorblad!$F$41)</f>
        <v>0</v>
      </c>
      <c r="DK35" s="9">
        <f>HL35*($Q35*$S35)/(1+Voorblad!$K$44)^(DK$56-Voorblad!$F$41)</f>
        <v>0</v>
      </c>
      <c r="DL35" s="9">
        <f>HM35*($Q35*$S35)/(1+Voorblad!$K$44)^(DL$56-Voorblad!$F$41)</f>
        <v>0</v>
      </c>
      <c r="DM35" s="9">
        <f>HN35*($Q35*$S35)/(1+Voorblad!$K$44)^(DM$56-Voorblad!$F$41)</f>
        <v>0</v>
      </c>
      <c r="DN35" s="9">
        <f>HO35*($Q35*$S35)/(1+Voorblad!$K$44)^(DN$56-Voorblad!$F$41)</f>
        <v>0</v>
      </c>
      <c r="DO35" s="9">
        <f>HP35*($Q35*$S35)/(1+Voorblad!$K$44)^(DO$56-Voorblad!$F$41)</f>
        <v>0</v>
      </c>
      <c r="DP35" s="9">
        <f>HQ35*($Q35*$S35)/(1+Voorblad!$K$44)^(DP$56-Voorblad!$F$41)</f>
        <v>0</v>
      </c>
      <c r="DQ35" s="9">
        <f>HR35*($Q35*$S35)/(1+Voorblad!$K$44)^(DQ$56-Voorblad!$F$41)</f>
        <v>0</v>
      </c>
      <c r="DR35" s="9">
        <f>HS35*($Q35*$S35)/(1+Voorblad!$K$44)^(DR$56-Voorblad!$F$41)</f>
        <v>0</v>
      </c>
      <c r="DS35" s="9">
        <f>HT35*($Q35*$S35)/(1+Voorblad!$K$44)^(DS$56-Voorblad!$F$41)</f>
        <v>0</v>
      </c>
      <c r="DT35" s="9">
        <f>HU35*($Q35*$S35)/(1+Voorblad!$K$44)^(DT$56-Voorblad!$F$41)</f>
        <v>0</v>
      </c>
      <c r="DU35" s="9">
        <f>HV35*($Q35*$S35)/(1+Voorblad!$K$44)^(DU$56-Voorblad!$F$41)</f>
        <v>0</v>
      </c>
      <c r="DV35" s="9">
        <f>HW35*($Q35*$S35)/(1+Voorblad!$K$44)^(DV$56-Voorblad!$F$41)</f>
        <v>0</v>
      </c>
      <c r="DW35" s="9">
        <f>HX35*($Q35*$S35)/(1+Voorblad!$K$44)^(DW$56-Voorblad!$F$41)</f>
        <v>0</v>
      </c>
      <c r="DX35" s="9">
        <f>HY35*($Q35*$S35)/(1+Voorblad!$K$44)^(DX$56-Voorblad!$F$41)</f>
        <v>0</v>
      </c>
      <c r="DY35" s="9">
        <f>HZ35*($Q35*$S35)/(1+Voorblad!$K$44)^(DY$56-Voorblad!$F$41)</f>
        <v>0</v>
      </c>
      <c r="DZ35" s="9">
        <f>IA35*($Q35*$S35)/(1+Voorblad!$K$44)^(DZ$56-Voorblad!$F$41)</f>
        <v>0</v>
      </c>
      <c r="EA35" s="9">
        <f>IB35*($Q35*$S35)/(1+Voorblad!$K$44)^(EA$56-Voorblad!$F$41)</f>
        <v>0</v>
      </c>
      <c r="EB35" s="9">
        <f>IC35*($Q35*$S35)/(1+Voorblad!$K$44)^(EB$56-Voorblad!$F$41)</f>
        <v>0</v>
      </c>
      <c r="EE35" s="8">
        <v>0</v>
      </c>
      <c r="EF35" s="8">
        <f>IF(EF$30-Voorblad!$F$37&gt;Voorblad!$K$37,0,IF($U35=0,0,IF($U35&lt;1,1/$U35,IF((EF$30-Voorblad!$F$37)/$U35-SUM($EE35:EE35)=1,1,0))))</f>
        <v>0</v>
      </c>
      <c r="EG35" s="8">
        <f>IF(EG$30-Voorblad!$F$37&gt;Voorblad!$K$37,0,IF($U35=0,0,IF($U35&lt;1,1/$U35,IF((EG$30-Voorblad!$F$37)/$U35-SUM($EE35:EF35)=1,1,0))))</f>
        <v>0</v>
      </c>
      <c r="EH35" s="8">
        <f>IF(EH$30-Voorblad!$F$37&gt;Voorblad!$K$37,0,IF($U35=0,0,IF($U35&lt;1,1/$U35,IF((EH$30-Voorblad!$F$37)/$U35-SUM($EE35:EG35)=1,1,0))))</f>
        <v>0</v>
      </c>
      <c r="EI35" s="8">
        <f>IF(EI$30-Voorblad!$F$37&gt;Voorblad!$K$37,0,IF($U35=0,0,IF($U35&lt;1,1/$U35,IF((EI$30-Voorblad!$F$37)/$U35-SUM($EE35:EH35)=1,1,0))))</f>
        <v>0</v>
      </c>
      <c r="EJ35" s="8">
        <f>IF(EJ$30-Voorblad!$F$37&gt;Voorblad!$K$37,0,IF($U35=0,0,IF($U35&lt;1,1/$U35,IF((EJ$30-Voorblad!$F$37)/$U35-SUM($EE35:EI35)=1,1,0))))</f>
        <v>0</v>
      </c>
      <c r="EK35" s="8">
        <f>IF(EK$30-Voorblad!$F$37&gt;Voorblad!$K$37,0,IF($U35=0,0,IF($U35&lt;1,1/$U35,IF((EK$30-Voorblad!$F$37)/$U35-SUM($EE35:EJ35)=1,1,0))))</f>
        <v>0</v>
      </c>
      <c r="EL35" s="8">
        <f>IF(EL$30-Voorblad!$F$37&gt;Voorblad!$K$37,0,IF($U35=0,0,IF($U35&lt;1,1/$U35,IF((EL$30-Voorblad!$F$37)/$U35-SUM($EE35:EK35)=1,1,0))))</f>
        <v>0</v>
      </c>
      <c r="EM35" s="8">
        <f>IF(EM$30-Voorblad!$F$37&gt;Voorblad!$K$37,0,IF($U35=0,0,IF($U35&lt;1,1/$U35,IF((EM$30-Voorblad!$F$37)/$U35-SUM($EE35:EL35)=1,1,0))))</f>
        <v>0</v>
      </c>
      <c r="EN35" s="8">
        <f>IF(EN$30-Voorblad!$F$37&gt;Voorblad!$K$37,0,IF($U35=0,0,IF($U35&lt;1,1/$U35,IF((EN$30-Voorblad!$F$37)/$U35-SUM($EE35:EM35)=1,1,0))))</f>
        <v>0</v>
      </c>
      <c r="EO35" s="8">
        <f>IF(EO$30-Voorblad!$F$37&gt;Voorblad!$K$37,0,IF($U35=0,0,IF($U35&lt;1,1/$U35,IF((EO$30-Voorblad!$F$37)/$U35-SUM($EE35:EN35)=1,1,0))))</f>
        <v>0</v>
      </c>
      <c r="EP35" s="8">
        <f>IF(EP$30-Voorblad!$F$37&gt;Voorblad!$K$37,0,IF($U35=0,0,IF($U35&lt;1,1/$U35,IF((EP$30-Voorblad!$F$37)/$U35-SUM($EE35:EO35)=1,1,0))))</f>
        <v>1</v>
      </c>
      <c r="EQ35" s="8">
        <f>IF(EQ$30-Voorblad!$F$37&gt;Voorblad!$K$37,0,IF($U35=0,0,IF($U35&lt;1,1/$U35,IF((EQ$30-Voorblad!$F$37)/$U35-SUM($EE35:EP35)=1,1,0))))</f>
        <v>0</v>
      </c>
      <c r="ER35" s="8">
        <f>IF(ER$30-Voorblad!$F$37&gt;Voorblad!$K$37,0,IF($U35=0,0,IF($U35&lt;1,1/$U35,IF((ER$30-Voorblad!$F$37)/$U35-SUM($EE35:EQ35)=1,1,0))))</f>
        <v>0</v>
      </c>
      <c r="ES35" s="8">
        <f>IF(ES$30-Voorblad!$F$37&gt;Voorblad!$K$37,0,IF($U35=0,0,IF($U35&lt;1,1/$U35,IF((ES$30-Voorblad!$F$37)/$U35-SUM($EE35:ER35)=1,1,0))))</f>
        <v>0</v>
      </c>
      <c r="ET35" s="8">
        <f>IF(ET$30-Voorblad!$F$37&gt;Voorblad!$K$37,0,IF($U35=0,0,IF($U35&lt;1,1/$U35,IF((ET$30-Voorblad!$F$37)/$U35-SUM($EE35:ES35)=1,1,0))))</f>
        <v>0</v>
      </c>
      <c r="EU35" s="8">
        <f>IF(EU$30-Voorblad!$F$37&gt;Voorblad!$K$37,0,IF($U35=0,0,IF($U35&lt;1,1/$U35,IF((EU$30-Voorblad!$F$37)/$U35-SUM($EE35:ET35)=1,1,0))))</f>
        <v>0</v>
      </c>
      <c r="EV35" s="8">
        <f>IF(EV$30-Voorblad!$F$37&gt;Voorblad!$K$37,0,IF($U35=0,0,IF($U35&lt;1,1/$U35,IF((EV$30-Voorblad!$F$37)/$U35-SUM($EE35:EU35)=1,1,0))))</f>
        <v>0</v>
      </c>
      <c r="EW35" s="8">
        <f>IF(EW$30-Voorblad!$F$37&gt;Voorblad!$K$37,0,IF($U35=0,0,IF($U35&lt;1,1/$U35,IF((EW$30-Voorblad!$F$37)/$U35-SUM($EE35:EV35)=1,1,0))))</f>
        <v>0</v>
      </c>
      <c r="EX35" s="8">
        <f>IF(EX$30-Voorblad!$F$37&gt;Voorblad!$K$37,0,IF($U35=0,0,IF($U35&lt;1,1/$U35,IF((EX$30-Voorblad!$F$37)/$U35-SUM($EE35:EW35)=1,1,0))))</f>
        <v>0</v>
      </c>
      <c r="EY35" s="8">
        <f>IF(EY$30-Voorblad!$F$37&gt;Voorblad!$K$37,0,IF($U35=0,0,IF($U35&lt;1,1/$U35,IF((EY$30-Voorblad!$F$37)/$U35-SUM($EE35:EX35)=1,1,0))))</f>
        <v>0</v>
      </c>
      <c r="EZ35" s="8">
        <f>IF(EZ$30-Voorblad!$F$37&gt;Voorblad!$K$37,0,IF($U35=0,0,IF($U35&lt;1,1/$U35,IF((EZ$30-Voorblad!$F$37)/$U35-SUM($EE35:EY35)=1,1,0))))</f>
        <v>0</v>
      </c>
      <c r="FA35" s="8">
        <f>IF(FA$30-Voorblad!$F$37&gt;Voorblad!$K$37,0,IF($U35=0,0,IF($U35&lt;1,1/$U35,IF((FA$30-Voorblad!$F$37)/$U35-SUM($EE35:EZ35)=1,1,0))))</f>
        <v>0</v>
      </c>
      <c r="FB35" s="8">
        <f>IF(FB$30-Voorblad!$F$37&gt;Voorblad!$K$37,0,IF($U35=0,0,IF($U35&lt;1,1/$U35,IF((FB$30-Voorblad!$F$37)/$U35-SUM($EE35:FA35)=1,1,0))))</f>
        <v>0</v>
      </c>
      <c r="FC35" s="8">
        <f>IF(FC$30-Voorblad!$F$37&gt;Voorblad!$K$37,0,IF($U35=0,0,IF($U35&lt;1,1/$U35,IF((FC$30-Voorblad!$F$37)/$U35-SUM($EE35:FB35)=1,1,0))))</f>
        <v>0</v>
      </c>
      <c r="FD35" s="8">
        <f>IF(FD$30-Voorblad!$F$37&gt;Voorblad!$K$37,0,IF($U35=0,0,IF($U35&lt;1,1/$U35,IF((FD$30-Voorblad!$F$37)/$U35-SUM($EE35:FC35)=1,1,0))))</f>
        <v>0</v>
      </c>
      <c r="FE35" s="8">
        <f>IF(FE$30-Voorblad!$F$37&gt;Voorblad!$K$37,0,IF($U35=0,0,IF($U35&lt;1,1/$U35,IF((FE$30-Voorblad!$F$37)/$U35-SUM($EE35:FD35)=1,1,0))))</f>
        <v>0</v>
      </c>
      <c r="FF35" s="8">
        <f>IF(FF$30-Voorblad!$F$37&gt;Voorblad!$K$37,0,IF($U35=0,0,IF($U35&lt;1,1/$U35,IF((FF$30-Voorblad!$F$37)/$U35-SUM($EE35:FE35)=1,1,0))))</f>
        <v>0</v>
      </c>
      <c r="FG35" s="8">
        <f>IF(FG$30-Voorblad!$F$37&gt;Voorblad!$K$37,0,IF($U35=0,0,IF($U35&lt;1,1/$U35,IF((FG$30-Voorblad!$F$37)/$U35-SUM($EE35:FF35)=1,1,0))))</f>
        <v>0</v>
      </c>
      <c r="FH35" s="8">
        <f>IF(FH$30-Voorblad!$F$37&gt;Voorblad!$K$37,0,IF($U35=0,0,IF($U35&lt;1,1/$U35,IF((FH$30-Voorblad!$F$37)/$U35-SUM($EE35:FG35)=1,1,0))))</f>
        <v>0</v>
      </c>
      <c r="FI35" s="8">
        <f>IF(FI$30-Voorblad!$F$37&gt;Voorblad!$K$37,0,IF($U35=0,0,IF($U35&lt;1,1/$U35,IF((FI$30-Voorblad!$F$37)/$U35-SUM($EE35:FH35)=1,1,0))))</f>
        <v>0</v>
      </c>
      <c r="FJ35" s="8">
        <f>IF(FJ$30-Voorblad!$F$37&gt;Voorblad!$K$37,0,IF($U35=0,0,IF($U35&lt;1,1/$U35,IF((FJ$30-Voorblad!$F$37)/$U35-SUM($EE35:FI35)=1,1,0))))</f>
        <v>0</v>
      </c>
      <c r="FK35" s="8">
        <f>IF(FK$30-Voorblad!$F$37&gt;Voorblad!$K$37,0,IF($U35=0,0,IF($U35&lt;1,1/$U35,IF((FK$30-Voorblad!$F$37)/$U35-SUM($EE35:FJ35)=1,1,0))))</f>
        <v>0</v>
      </c>
      <c r="FL35" s="8">
        <f>IF(FL$30-Voorblad!$F$37&gt;Voorblad!$K$37,0,IF($U35=0,0,IF($U35&lt;1,1/$U35,IF((FL$30-Voorblad!$F$37)/$U35-SUM($EE35:FK35)=1,1,0))))</f>
        <v>0</v>
      </c>
      <c r="FM35" s="8">
        <f>IF(FM$30-Voorblad!$F$37&gt;Voorblad!$K$37,0,IF($U35=0,0,IF($U35&lt;1,1/$U35,IF((FM$30-Voorblad!$F$37)/$U35-SUM($EE35:FL35)=1,1,0))))</f>
        <v>0</v>
      </c>
      <c r="FN35" s="8">
        <f>IF(FN$30-Voorblad!$F$37&gt;Voorblad!$K$37,0,IF($U35=0,0,IF($U35&lt;1,1/$U35,IF((FN$30-Voorblad!$F$37)/$U35-SUM($EE35:FM35)=1,1,0))))</f>
        <v>0</v>
      </c>
      <c r="FO35" s="8">
        <f>IF(FO$30-Voorblad!$F$37&gt;Voorblad!$K$37,0,IF($U35=0,0,IF($U35&lt;1,1/$U35,IF((FO$30-Voorblad!$F$37)/$U35-SUM($EE35:FN35)=1,1,0))))</f>
        <v>0</v>
      </c>
      <c r="FP35" s="8">
        <f>IF(FP$30-Voorblad!$F$37&gt;Voorblad!$K$37,0,IF($U35=0,0,IF($U35&lt;1,1/$U35,IF((FP$30-Voorblad!$F$37)/$U35-SUM($EE35:FO35)=1,1,0))))</f>
        <v>0</v>
      </c>
      <c r="FQ35" s="8">
        <f>IF(FQ$30-Voorblad!$F$37&gt;Voorblad!$K$37,0,IF($U35=0,0,IF($U35&lt;1,1/$U35,IF((FQ$30-Voorblad!$F$37)/$U35-SUM($EE35:FP35)=1,1,0))))</f>
        <v>0</v>
      </c>
      <c r="FR35" s="8">
        <f>IF(FR$30-Voorblad!$F$37&gt;Voorblad!$K$37,0,IF($U35=0,0,IF($U35&lt;1,1/$U35,IF((FR$30-Voorblad!$F$37)/$U35-SUM($EE35:FQ35)=1,1,0))))</f>
        <v>0</v>
      </c>
      <c r="FS35" s="8">
        <f>IF(FS$30-Voorblad!$F$37&gt;Voorblad!$K$37,0,IF($U35=0,0,IF($U35&lt;1,1/$U35,IF((FS$30-Voorblad!$F$37)/$U35-SUM($EE35:FR35)=1,1,0))))</f>
        <v>0</v>
      </c>
      <c r="FT35" s="8">
        <f>IF(FT$30-Voorblad!$F$37&gt;Voorblad!$K$37,0,IF($U35=0,0,IF($U35&lt;1,1/$U35,IF((FT$30-Voorblad!$F$37)/$U35-SUM($EE35:FS35)=1,1,0))))</f>
        <v>0</v>
      </c>
      <c r="FU35" s="8">
        <f>IF(FU$30-Voorblad!$F$37&gt;Voorblad!$K$37,0,IF($U35=0,0,IF($U35&lt;1,1/$U35,IF((FU$30-Voorblad!$F$37)/$U35-SUM($EE35:FT35)=1,1,0))))</f>
        <v>0</v>
      </c>
      <c r="FV35" s="8">
        <f>IF(FV$30-Voorblad!$F$37&gt;Voorblad!$K$37,0,IF($U35=0,0,IF($U35&lt;1,1/$U35,IF((FV$30-Voorblad!$F$37)/$U35-SUM($EE35:FU35)=1,1,0))))</f>
        <v>0</v>
      </c>
      <c r="FW35" s="8">
        <f>IF(FW$30-Voorblad!$F$37&gt;Voorblad!$K$37,0,IF($U35=0,0,IF($U35&lt;1,1/$U35,IF((FW$30-Voorblad!$F$37)/$U35-SUM($EE35:FV35)=1,1,0))))</f>
        <v>0</v>
      </c>
      <c r="FX35" s="8">
        <f>IF(FX$30-Voorblad!$F$37&gt;Voorblad!$K$37,0,IF($U35=0,0,IF($U35&lt;1,1/$U35,IF((FX$30-Voorblad!$F$37)/$U35-SUM($EE35:FW35)=1,1,0))))</f>
        <v>0</v>
      </c>
      <c r="FY35" s="8">
        <f>IF(FY$30-Voorblad!$F$37&gt;Voorblad!$K$37,0,IF($U35=0,0,IF($U35&lt;1,1/$U35,IF((FY$30-Voorblad!$F$37)/$U35-SUM($EE35:FX35)=1,1,0))))</f>
        <v>0</v>
      </c>
      <c r="FZ35" s="8">
        <f>IF(FZ$30-Voorblad!$F$37&gt;Voorblad!$K$37,0,IF($U35=0,0,IF($U35&lt;1,1/$U35,IF((FZ$30-Voorblad!$F$37)/$U35-SUM($EE35:FY35)=1,1,0))))</f>
        <v>0</v>
      </c>
      <c r="GA35" s="8">
        <f>IF(GA$30-Voorblad!$F$37&gt;Voorblad!$K$37,0,IF($U35=0,0,IF($U35&lt;1,1/$U35,IF((GA$30-Voorblad!$F$37)/$U35-SUM($EE35:FZ35)=1,1,0))))</f>
        <v>0</v>
      </c>
      <c r="GB35" s="8">
        <f>IF(GB$30-Voorblad!$F$37&gt;Voorblad!$K$37,0,IF($U35=0,0,IF($U35&lt;1,1/$U35,IF((GB$30-Voorblad!$F$37)/$U35-SUM($EE35:GA35)=1,1,0))))</f>
        <v>0</v>
      </c>
      <c r="GC35" s="8">
        <f>IF(GC$30-Voorblad!$F$37&gt;Voorblad!$K$37,0,IF($U35=0,0,IF($U35&lt;1,1/$U35,IF((GC$30-Voorblad!$F$37)/$U35-SUM($EE35:GB35)=1,1,0))))</f>
        <v>0</v>
      </c>
      <c r="GD35" s="8">
        <f>IF(GD$30-Voorblad!$F$37&gt;Voorblad!$K$37,0,IF($U35=0,0,IF($U35&lt;1,1/$U35,IF((GD$30-Voorblad!$F$37)/$U35-SUM($EE35:GC35)=1,1,0))))</f>
        <v>0</v>
      </c>
      <c r="GE35" s="8">
        <f>IF(GE$30-Voorblad!$F$37&gt;Voorblad!$K$37,0,IF($U35=0,0,IF($U35&lt;1,1/$U35,IF((GE$30-Voorblad!$F$37)/$U35-SUM($EE35:GD35)=1,1,0))))</f>
        <v>0</v>
      </c>
      <c r="GF35" s="8">
        <f>IF(GF$30-Voorblad!$F$37&gt;Voorblad!$K$37,0,IF($U35=0,0,IF($U35&lt;1,1/$U35,IF((GF$30-Voorblad!$F$37)/$U35-SUM($EE35:GE35)=1,1,0))))</f>
        <v>0</v>
      </c>
      <c r="GG35" s="8">
        <f>IF(GG$30-Voorblad!$F$37&gt;Voorblad!$K$37,0,IF($U35=0,0,IF($U35&lt;1,1/$U35,IF((GG$30-Voorblad!$F$37)/$U35-SUM($EE35:GF35)=1,1,0))))</f>
        <v>0</v>
      </c>
      <c r="GH35" s="8">
        <f>IF(GH$30-Voorblad!$F$37&gt;Voorblad!$K$37,0,IF($U35=0,0,IF($U35&lt;1,1/$U35,IF((GH$30-Voorblad!$F$37)/$U35-SUM($EE35:GG35)=1,1,0))))</f>
        <v>0</v>
      </c>
      <c r="GI35" s="8">
        <f>IF(GI$30-Voorblad!$F$37&gt;Voorblad!$K$37,0,IF($U35=0,0,IF($U35&lt;1,1/$U35,IF((GI$30-Voorblad!$F$37)/$U35-SUM($EE35:GH35)=1,1,0))))</f>
        <v>0</v>
      </c>
      <c r="GJ35" s="8">
        <f>IF(GJ$30-Voorblad!$F$37&gt;Voorblad!$K$37,0,IF($U35=0,0,IF($U35&lt;1,1/$U35,IF((GJ$30-Voorblad!$F$37)/$U35-SUM($EE35:GI35)=1,1,0))))</f>
        <v>0</v>
      </c>
      <c r="GK35" s="8">
        <f>IF(GK$30-Voorblad!$F$37&gt;Voorblad!$K$37,0,IF($U35=0,0,IF($U35&lt;1,1/$U35,IF((GK$30-Voorblad!$F$37)/$U35-SUM($EE35:GJ35)=1,1,0))))</f>
        <v>0</v>
      </c>
      <c r="GL35" s="8">
        <f>IF(GL$30-Voorblad!$F$37&gt;Voorblad!$K$37,0,IF($U35=0,0,IF($U35&lt;1,1/$U35,IF((GL$30-Voorblad!$F$37)/$U35-SUM($EE35:GK35)=1,1,0))))</f>
        <v>0</v>
      </c>
      <c r="GM35" s="8">
        <f>IF(GM$30-Voorblad!$F$37&gt;Voorblad!$K$37,0,IF($U35=0,0,IF($U35&lt;1,1/$U35,IF((GM$30-Voorblad!$F$37)/$U35-SUM($EE35:GL35)=1,1,0))))</f>
        <v>0</v>
      </c>
      <c r="GN35" s="8">
        <f>IF(GN$30-Voorblad!$F$37&gt;Voorblad!$K$37,0,IF($U35=0,0,IF($U35&lt;1,1/$U35,IF((GN$30-Voorblad!$F$37)/$U35-SUM($EE35:GM35)=1,1,0))))</f>
        <v>0</v>
      </c>
      <c r="GO35" s="8">
        <f>IF(GO$30-Voorblad!$F$37&gt;Voorblad!$K$37,0,IF($U35=0,0,IF($U35&lt;1,1/$U35,IF((GO$30-Voorblad!$F$37)/$U35-SUM($EE35:GN35)=1,1,0))))</f>
        <v>0</v>
      </c>
      <c r="GP35" s="8">
        <f>IF(GP$30-Voorblad!$F$37&gt;Voorblad!$K$37,0,IF($U35=0,0,IF($U35&lt;1,1/$U35,IF((GP$30-Voorblad!$F$37)/$U35-SUM($EE35:GO35)=1,1,0))))</f>
        <v>0</v>
      </c>
      <c r="GQ35" s="8">
        <f>IF(GQ$30-Voorblad!$F$37&gt;Voorblad!$K$37,0,IF($U35=0,0,IF($U35&lt;1,1/$U35,IF((GQ$30-Voorblad!$F$37)/$U35-SUM($EE35:GP35)=1,1,0))))</f>
        <v>0</v>
      </c>
      <c r="GR35" s="8">
        <f>IF(GR$30-Voorblad!$F$37&gt;Voorblad!$K$37,0,IF($U35=0,0,IF($U35&lt;1,1/$U35,IF((GR$30-Voorblad!$F$37)/$U35-SUM($EE35:GQ35)=1,1,0))))</f>
        <v>0</v>
      </c>
      <c r="GS35" s="8">
        <f>IF(GS$30-Voorblad!$F$37&gt;Voorblad!$K$37,0,IF($U35=0,0,IF($U35&lt;1,1/$U35,IF((GS$30-Voorblad!$F$37)/$U35-SUM($EE35:GR35)=1,1,0))))</f>
        <v>0</v>
      </c>
      <c r="GT35" s="8">
        <f>IF(GT$30-Voorblad!$F$37&gt;Voorblad!$K$37,0,IF($U35=0,0,IF($U35&lt;1,1/$U35,IF((GT$30-Voorblad!$F$37)/$U35-SUM($EE35:GS35)=1,1,0))))</f>
        <v>0</v>
      </c>
      <c r="GU35" s="8">
        <f>IF(GU$30-Voorblad!$F$37&gt;Voorblad!$K$37,0,IF($U35=0,0,IF($U35&lt;1,1/$U35,IF((GU$30-Voorblad!$F$37)/$U35-SUM($EE35:GT35)=1,1,0))))</f>
        <v>0</v>
      </c>
      <c r="GV35" s="8">
        <f>IF(GV$30-Voorblad!$F$37&gt;Voorblad!$K$37,0,IF($U35=0,0,IF($U35&lt;1,1/$U35,IF((GV$30-Voorblad!$F$37)/$U35-SUM($EE35:GU35)=1,1,0))))</f>
        <v>0</v>
      </c>
      <c r="GW35" s="8">
        <f>IF(GW$30-Voorblad!$F$37&gt;Voorblad!$K$37,0,IF($U35=0,0,IF($U35&lt;1,1/$U35,IF((GW$30-Voorblad!$F$37)/$U35-SUM($EE35:GV35)=1,1,0))))</f>
        <v>0</v>
      </c>
      <c r="GX35" s="8">
        <f>IF(GX$30-Voorblad!$F$37&gt;Voorblad!$K$37,0,IF($U35=0,0,IF($U35&lt;1,1/$U35,IF((GX$30-Voorblad!$F$37)/$U35-SUM($EE35:GW35)=1,1,0))))</f>
        <v>0</v>
      </c>
      <c r="GY35" s="8">
        <f>IF(GY$30-Voorblad!$F$37&gt;Voorblad!$K$37,0,IF($U35=0,0,IF($U35&lt;1,1/$U35,IF((GY$30-Voorblad!$F$37)/$U35-SUM($EE35:GX35)=1,1,0))))</f>
        <v>0</v>
      </c>
      <c r="GZ35" s="8">
        <f>IF(GZ$30-Voorblad!$F$37&gt;Voorblad!$K$37,0,IF($U35=0,0,IF($U35&lt;1,1/$U35,IF((GZ$30-Voorblad!$F$37)/$U35-SUM($EE35:GY35)=1,1,0))))</f>
        <v>0</v>
      </c>
      <c r="HA35" s="8">
        <f>IF(HA$30-Voorblad!$F$37&gt;Voorblad!$K$37,0,IF($U35=0,0,IF($U35&lt;1,1/$U35,IF((HA$30-Voorblad!$F$37)/$U35-SUM($EE35:GZ35)=1,1,0))))</f>
        <v>0</v>
      </c>
      <c r="HB35" s="8">
        <f>IF(HB$30-Voorblad!$F$37&gt;Voorblad!$K$37,0,IF($U35=0,0,IF($U35&lt;1,1/$U35,IF((HB$30-Voorblad!$F$37)/$U35-SUM($EE35:HA35)=1,1,0))))</f>
        <v>0</v>
      </c>
      <c r="HC35" s="8">
        <f>IF(HC$30-Voorblad!$F$37&gt;Voorblad!$K$37,0,IF($U35=0,0,IF($U35&lt;1,1/$U35,IF((HC$30-Voorblad!$F$37)/$U35-SUM($EE35:HB35)=1,1,0))))</f>
        <v>0</v>
      </c>
      <c r="HD35" s="8">
        <f>IF(HD$30-Voorblad!$F$37&gt;Voorblad!$K$37,0,IF($U35=0,0,IF($U35&lt;1,1/$U35,IF((HD$30-Voorblad!$F$37)/$U35-SUM($EE35:HC35)=1,1,0))))</f>
        <v>0</v>
      </c>
      <c r="HE35" s="8">
        <f>IF(HE$30-Voorblad!$F$37&gt;Voorblad!$K$37,0,IF($U35=0,0,IF($U35&lt;1,1/$U35,IF((HE$30-Voorblad!$F$37)/$U35-SUM($EE35:HD35)=1,1,0))))</f>
        <v>0</v>
      </c>
      <c r="HF35" s="8">
        <f>IF(HF$30-Voorblad!$F$37&gt;Voorblad!$K$37,0,IF($U35=0,0,IF($U35&lt;1,1/$U35,IF((HF$30-Voorblad!$F$37)/$U35-SUM($EE35:HE35)=1,1,0))))</f>
        <v>0</v>
      </c>
      <c r="HG35" s="8">
        <f>IF(HG$30-Voorblad!$F$37&gt;Voorblad!$K$37,0,IF($U35=0,0,IF($U35&lt;1,1/$U35,IF((HG$30-Voorblad!$F$37)/$U35-SUM($EE35:HF35)=1,1,0))))</f>
        <v>0</v>
      </c>
      <c r="HH35" s="8">
        <f>IF(HH$30-Voorblad!$F$37&gt;Voorblad!$K$37,0,IF($U35=0,0,IF($U35&lt;1,1/$U35,IF((HH$30-Voorblad!$F$37)/$U35-SUM($EE35:HG35)=1,1,0))))</f>
        <v>0</v>
      </c>
      <c r="HI35" s="8">
        <f>IF(HI$30-Voorblad!$F$37&gt;Voorblad!$K$37,0,IF($U35=0,0,IF($U35&lt;1,1/$U35,IF((HI$30-Voorblad!$F$37)/$U35-SUM($EE35:HH35)=1,1,0))))</f>
        <v>0</v>
      </c>
      <c r="HJ35" s="8">
        <f>IF(HJ$30-Voorblad!$F$37&gt;Voorblad!$K$37,0,IF($U35=0,0,IF($U35&lt;1,1/$U35,IF((HJ$30-Voorblad!$F$37)/$U35-SUM($EE35:HI35)=1,1,0))))</f>
        <v>0</v>
      </c>
      <c r="HK35" s="8">
        <f>IF(HK$30-Voorblad!$F$37&gt;Voorblad!$K$37,0,IF($U35=0,0,IF($U35&lt;1,1/$U35,IF((HK$30-Voorblad!$F$37)/$U35-SUM($EE35:HJ35)=1,1,0))))</f>
        <v>0</v>
      </c>
      <c r="HL35" s="8">
        <f>IF(HL$30-Voorblad!$F$37&gt;Voorblad!$K$37,0,IF($U35=0,0,IF($U35&lt;1,1/$U35,IF((HL$30-Voorblad!$F$37)/$U35-SUM($EE35:HK35)=1,1,0))))</f>
        <v>0</v>
      </c>
      <c r="HM35" s="8">
        <f>IF(HM$30-Voorblad!$F$37&gt;Voorblad!$K$37,0,IF($U35=0,0,IF($U35&lt;1,1/$U35,IF((HM$30-Voorblad!$F$37)/$U35-SUM($EE35:HL35)=1,1,0))))</f>
        <v>0</v>
      </c>
      <c r="HN35" s="8">
        <f>IF(HN$30-Voorblad!$F$37&gt;Voorblad!$K$37,0,IF($U35=0,0,IF($U35&lt;1,1/$U35,IF((HN$30-Voorblad!$F$37)/$U35-SUM($EE35:HM35)=1,1,0))))</f>
        <v>0</v>
      </c>
      <c r="HO35" s="8">
        <f>IF(HO$30-Voorblad!$F$37&gt;Voorblad!$K$37,0,IF($U35=0,0,IF($U35&lt;1,1/$U35,IF((HO$30-Voorblad!$F$37)/$U35-SUM($EE35:HN35)=1,1,0))))</f>
        <v>0</v>
      </c>
      <c r="HP35" s="8">
        <f>IF(HP$30-Voorblad!$F$37&gt;Voorblad!$K$37,0,IF($U35=0,0,IF($U35&lt;1,1/$U35,IF((HP$30-Voorblad!$F$37)/$U35-SUM($EE35:HO35)=1,1,0))))</f>
        <v>0</v>
      </c>
      <c r="HQ35" s="8">
        <f>IF(HQ$30-Voorblad!$F$37&gt;Voorblad!$K$37,0,IF($U35=0,0,IF($U35&lt;1,1/$U35,IF((HQ$30-Voorblad!$F$37)/$U35-SUM($EE35:HP35)=1,1,0))))</f>
        <v>0</v>
      </c>
      <c r="HR35" s="8">
        <f>IF(HR$30-Voorblad!$F$37&gt;Voorblad!$K$37,0,IF($U35=0,0,IF($U35&lt;1,1/$U35,IF((HR$30-Voorblad!$F$37)/$U35-SUM($EE35:HQ35)=1,1,0))))</f>
        <v>0</v>
      </c>
      <c r="HS35" s="8">
        <f>IF(HS$30-Voorblad!$F$37&gt;Voorblad!$K$37,0,IF($U35=0,0,IF($U35&lt;1,1/$U35,IF((HS$30-Voorblad!$F$37)/$U35-SUM($EE35:HR35)=1,1,0))))</f>
        <v>0</v>
      </c>
      <c r="HT35" s="8">
        <f>IF(HT$30-Voorblad!$F$37&gt;Voorblad!$K$37,0,IF($U35=0,0,IF($U35&lt;1,1/$U35,IF((HT$30-Voorblad!$F$37)/$U35-SUM($EE35:HS35)=1,1,0))))</f>
        <v>0</v>
      </c>
      <c r="HU35" s="8">
        <f>IF(HU$30-Voorblad!$F$37&gt;Voorblad!$K$37,0,IF($U35=0,0,IF($U35&lt;1,1/$U35,IF((HU$30-Voorblad!$F$37)/$U35-SUM($EE35:HT35)=1,1,0))))</f>
        <v>0</v>
      </c>
      <c r="HV35" s="8">
        <f>IF(HV$30-Voorblad!$F$37&gt;Voorblad!$K$37,0,IF($U35=0,0,IF($U35&lt;1,1/$U35,IF((HV$30-Voorblad!$F$37)/$U35-SUM($EE35:HU35)=1,1,0))))</f>
        <v>0</v>
      </c>
      <c r="HW35" s="8">
        <f>IF(HW$30-Voorblad!$F$37&gt;Voorblad!$K$37,0,IF($U35=0,0,IF($U35&lt;1,1/$U35,IF((HW$30-Voorblad!$F$37)/$U35-SUM($EE35:HV35)=1,1,0))))</f>
        <v>0</v>
      </c>
      <c r="HX35" s="8">
        <f>IF(HX$30-Voorblad!$F$37&gt;Voorblad!$K$37,0,IF($U35=0,0,IF($U35&lt;1,1/$U35,IF((HX$30-Voorblad!$F$37)/$U35-SUM($EE35:HW35)=1,1,0))))</f>
        <v>0</v>
      </c>
      <c r="HY35" s="8">
        <f>IF(HY$30-Voorblad!$F$37&gt;Voorblad!$K$37,0,IF($U35=0,0,IF($U35&lt;1,1/$U35,IF((HY$30-Voorblad!$F$37)/$U35-SUM($EE35:HX35)=1,1,0))))</f>
        <v>0</v>
      </c>
      <c r="HZ35" s="8">
        <f>IF(HZ$30-Voorblad!$F$37&gt;Voorblad!$K$37,0,IF($U35=0,0,IF($U35&lt;1,1/$U35,IF((HZ$30-Voorblad!$F$37)/$U35-SUM($EE35:HY35)=1,1,0))))</f>
        <v>0</v>
      </c>
      <c r="IA35" s="8">
        <f>IF(IA$30-Voorblad!$F$37&gt;Voorblad!$K$37,0,IF($U35=0,0,IF($U35&lt;1,1/$U35,IF((IA$30-Voorblad!$F$37)/$U35-SUM($EE35:HZ35)=1,1,0))))</f>
        <v>0</v>
      </c>
      <c r="IB35" s="8">
        <f>IF(IB$30-Voorblad!$F$37&gt;Voorblad!$K$37,0,IF($U35=0,0,IF($U35&lt;1,1/$U35,IF((IB$30-Voorblad!$F$37)/$U35-SUM($EE35:IA35)=1,1,0))))</f>
        <v>0</v>
      </c>
    </row>
    <row r="36" spans="2:236" ht="12" customHeight="1" x14ac:dyDescent="0.25">
      <c r="B36" s="2" t="s">
        <v>290</v>
      </c>
      <c r="C36" s="2"/>
      <c r="D36" s="2"/>
      <c r="O36" s="14"/>
      <c r="P36" s="14"/>
      <c r="S36" s="14"/>
      <c r="T36" s="26">
        <f>SUM(T34:T35)</f>
        <v>5000</v>
      </c>
      <c r="U36" s="14"/>
      <c r="V36" s="14"/>
      <c r="Y36" s="23">
        <f>SUM(Y34:Y35)</f>
        <v>3905.9920086286352</v>
      </c>
      <c r="Z36" s="24"/>
      <c r="AA36" s="24"/>
      <c r="AC36" s="9">
        <f>$Y36*(Voorblad!$K$44*(1+Voorblad!$K$44)^Voorblad!$K$37)/((1+Voorblad!$K$44)^Voorblad!$K$37-1)</f>
        <v>446.29381588570288</v>
      </c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E36" s="8"/>
      <c r="EF36" s="8"/>
      <c r="EG36" s="8"/>
      <c r="EH36" s="8"/>
      <c r="EI36" s="8"/>
      <c r="EJ36" s="8"/>
      <c r="EK36" s="8"/>
      <c r="EL36" s="8"/>
      <c r="EM36" s="8"/>
      <c r="EN36" s="8"/>
      <c r="EO36" s="8"/>
      <c r="EP36" s="8"/>
      <c r="EQ36" s="8"/>
      <c r="ER36" s="8"/>
      <c r="ES36" s="8"/>
      <c r="ET36" s="8"/>
      <c r="EU36" s="8"/>
      <c r="EV36" s="8"/>
      <c r="EW36" s="8"/>
      <c r="EX36" s="8"/>
      <c r="EY36" s="8"/>
      <c r="EZ36" s="8"/>
      <c r="FA36" s="8"/>
      <c r="FB36" s="8"/>
      <c r="FC36" s="8"/>
      <c r="FD36" s="8"/>
      <c r="FE36" s="8"/>
      <c r="FF36" s="8"/>
      <c r="FG36" s="8"/>
      <c r="FH36" s="8"/>
      <c r="FI36" s="8"/>
      <c r="FJ36" s="8"/>
      <c r="FK36" s="8"/>
      <c r="FL36" s="8"/>
      <c r="FM36" s="8"/>
      <c r="FN36" s="8"/>
      <c r="FO36" s="8"/>
      <c r="FP36" s="8"/>
      <c r="FQ36" s="8"/>
      <c r="FR36" s="8"/>
      <c r="FS36" s="8"/>
      <c r="FT36" s="8"/>
      <c r="FU36" s="8"/>
      <c r="FV36" s="8"/>
      <c r="FW36" s="8"/>
      <c r="FX36" s="8"/>
      <c r="FY36" s="8"/>
      <c r="FZ36" s="8"/>
      <c r="GA36" s="8"/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</row>
    <row r="37" spans="2:236" ht="12" customHeight="1" x14ac:dyDescent="0.25">
      <c r="O37" s="14"/>
      <c r="P37" s="14"/>
      <c r="EE37" s="8"/>
      <c r="EF37" s="8"/>
      <c r="EG37" s="8"/>
      <c r="EH37" s="8"/>
      <c r="EI37" s="8"/>
      <c r="EJ37" s="8"/>
      <c r="EK37" s="8"/>
      <c r="EL37" s="8"/>
      <c r="EM37" s="8"/>
      <c r="EN37" s="8"/>
      <c r="EO37" s="8"/>
      <c r="EP37" s="8"/>
      <c r="EQ37" s="8"/>
      <c r="ER37" s="8"/>
      <c r="ES37" s="8"/>
      <c r="ET37" s="8"/>
      <c r="EU37" s="8"/>
      <c r="EV37" s="8"/>
      <c r="EW37" s="8"/>
      <c r="EX37" s="8"/>
      <c r="EY37" s="8"/>
      <c r="EZ37" s="8"/>
      <c r="FA37" s="8"/>
      <c r="FB37" s="8"/>
      <c r="FC37" s="8"/>
      <c r="FD37" s="8"/>
      <c r="FE37" s="8"/>
      <c r="FF37" s="8"/>
      <c r="FG37" s="8"/>
      <c r="FH37" s="8"/>
      <c r="FI37" s="8"/>
      <c r="FJ37" s="8"/>
      <c r="FK37" s="8"/>
      <c r="FL37" s="8"/>
      <c r="FM37" s="8"/>
      <c r="FN37" s="8"/>
      <c r="FO37" s="8"/>
      <c r="FP37" s="8"/>
      <c r="FQ37" s="8"/>
      <c r="FR37" s="8"/>
      <c r="FS37" s="8"/>
      <c r="FT37" s="8"/>
      <c r="FU37" s="8"/>
      <c r="FV37" s="8"/>
      <c r="FW37" s="8"/>
      <c r="FX37" s="8"/>
      <c r="FY37" s="8"/>
      <c r="FZ37" s="8"/>
      <c r="GA37" s="8"/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</row>
    <row r="38" spans="2:236" ht="12" customHeight="1" x14ac:dyDescent="0.25">
      <c r="B38" s="78">
        <v>2</v>
      </c>
      <c r="C38" s="120" t="s">
        <v>22</v>
      </c>
      <c r="D38" s="78">
        <v>1</v>
      </c>
      <c r="E38" s="120" t="s">
        <v>22</v>
      </c>
      <c r="F38" s="76" t="s">
        <v>21</v>
      </c>
      <c r="G38" s="76"/>
      <c r="H38" s="76"/>
      <c r="I38" s="76" t="s">
        <v>47</v>
      </c>
      <c r="J38" s="76"/>
      <c r="K38" s="76" t="s">
        <v>28</v>
      </c>
      <c r="L38" s="76"/>
      <c r="M38" s="76"/>
      <c r="N38" s="76"/>
      <c r="O38" s="77"/>
      <c r="P38" s="77"/>
      <c r="Q38" s="81">
        <v>1</v>
      </c>
      <c r="R38" s="81" t="s">
        <v>33</v>
      </c>
      <c r="S38" s="81">
        <v>5000</v>
      </c>
      <c r="T38" s="9">
        <f t="shared" ref="T38:T46" si="4">Q38*S38</f>
        <v>5000</v>
      </c>
      <c r="U38" s="11">
        <v>1</v>
      </c>
      <c r="V38" s="14"/>
      <c r="W38" s="9">
        <f>Voorblad!K51</f>
        <v>2021</v>
      </c>
      <c r="Y38" s="9">
        <f>SUM(AE38:EB38)</f>
        <v>4642.9970545987444</v>
      </c>
      <c r="Z38" s="82"/>
      <c r="AA38" s="82"/>
      <c r="AC38" s="9">
        <f>$Y38*(Voorblad!$K$44*(1+Voorblad!$K$44)^Voorblad!$K$37)/((1+Voorblad!$K$44)^Voorblad!$K$37-1)</f>
        <v>530.50310089355912</v>
      </c>
      <c r="AE38" s="9">
        <f>IF($W38=AE$30,EF38*($Q38*$S38)/(1+Voorblad!$K$44)^(AE$30-Voorblad!$F$37),0)</f>
        <v>0</v>
      </c>
      <c r="AF38" s="9">
        <f>IF($W38=AF$30,EG38*($Q38*$S38)/(1+Voorblad!$K$44)^(AF$30-Voorblad!$F$37),0)</f>
        <v>0</v>
      </c>
      <c r="AG38" s="9">
        <f>IF($W38=AG$30,EH38*($Q38*$S38)/(1+Voorblad!$K$44)^(AG$30-Voorblad!$F$37),0)</f>
        <v>0</v>
      </c>
      <c r="AH38" s="9">
        <f>IF($W38=AH$30,EI38*($Q38*$S38)/(1+Voorblad!$K$44)^(AH$30-Voorblad!$F$37),0)</f>
        <v>4642.9970545987444</v>
      </c>
      <c r="AI38" s="9">
        <f>IF($W38=AI$30,EJ38*($Q38*$S38)/(1+Voorblad!$K$44)^(AI$30-Voorblad!$F$37),0)</f>
        <v>0</v>
      </c>
      <c r="AJ38" s="9">
        <f>IF($W38=AJ$30,EK38*($Q38*$S38)/(1+Voorblad!$K$44)^(AJ$30-Voorblad!$F$37),0)</f>
        <v>0</v>
      </c>
      <c r="AK38" s="9">
        <f>IF($W38=AK$30,EL38*($Q38*$S38)/(1+Voorblad!$K$44)^(AK$30-Voorblad!$F$37),0)</f>
        <v>0</v>
      </c>
      <c r="AL38" s="9">
        <f>IF($W38=AL$30,EM38*($Q38*$S38)/(1+Voorblad!$K$44)^(AL$30-Voorblad!$F$37),0)</f>
        <v>0</v>
      </c>
      <c r="AM38" s="9">
        <f>IF($W38=AM$30,EN38*($Q38*$S38)/(1+Voorblad!$K$44)^(AM$30-Voorblad!$F$37),0)</f>
        <v>0</v>
      </c>
      <c r="AN38" s="9">
        <f>IF($W38=AN$30,EO38*($Q38*$S38)/(1+Voorblad!$K$44)^(AN$30-Voorblad!$F$37),0)</f>
        <v>0</v>
      </c>
      <c r="AO38" s="9">
        <f>IF($W38=AO$30,EP38*($Q38*$S38)/(1+Voorblad!$K$44)^(AO$30-Voorblad!$F$37),0)</f>
        <v>0</v>
      </c>
      <c r="AP38" s="9">
        <f>IF($W38=AP$30,EQ38*($Q38*$S38)/(1+Voorblad!$K$44)^(AP$30-Voorblad!$F$37),0)</f>
        <v>0</v>
      </c>
      <c r="AQ38" s="9">
        <f>IF($W38=AQ$30,ER38*($Q38*$S38)/(1+Voorblad!$K$44)^(AQ$30-Voorblad!$F$37),0)</f>
        <v>0</v>
      </c>
      <c r="AR38" s="9">
        <f>IF($W38=AR$30,ES38*($Q38*$S38)/(1+Voorblad!$K$44)^(AR$30-Voorblad!$F$37),0)</f>
        <v>0</v>
      </c>
      <c r="AS38" s="9">
        <f>IF($W38=AS$30,ET38*($Q38*$S38)/(1+Voorblad!$K$44)^(AS$30-Voorblad!$F$37),0)</f>
        <v>0</v>
      </c>
      <c r="AT38" s="9">
        <f>IF($W38=AT$30,EU38*($Q38*$S38)/(1+Voorblad!$K$44)^(AT$30-Voorblad!$F$37),0)</f>
        <v>0</v>
      </c>
      <c r="AU38" s="9">
        <f>IF($W38=AU$30,EV38*($Q38*$S38)/(1+Voorblad!$K$44)^(AU$30-Voorblad!$F$37),0)</f>
        <v>0</v>
      </c>
      <c r="AV38" s="9">
        <f>IF($W38=AV$30,EW38*($Q38*$S38)/(1+Voorblad!$K$44)^(AV$30-Voorblad!$F$37),0)</f>
        <v>0</v>
      </c>
      <c r="AW38" s="9">
        <f>IF($W38=AW$30,EX38*($Q38*$S38)/(1+Voorblad!$K$44)^(AW$30-Voorblad!$F$37),0)</f>
        <v>0</v>
      </c>
      <c r="AX38" s="9">
        <f>IF($W38=AX$30,EY38*($Q38*$S38)/(1+Voorblad!$K$44)^(AX$30-Voorblad!$F$37),0)</f>
        <v>0</v>
      </c>
      <c r="AY38" s="9">
        <f>IF($W38=AY$30,EZ38*($Q38*$S38)/(1+Voorblad!$K$44)^(AY$30-Voorblad!$F$37),0)</f>
        <v>0</v>
      </c>
      <c r="AZ38" s="9">
        <f>IF($W38=AZ$30,FA38*($Q38*$S38)/(1+Voorblad!$K$44)^(AZ$30-Voorblad!$F$37),0)</f>
        <v>0</v>
      </c>
      <c r="BA38" s="9">
        <f>IF($W38=BA$30,FB38*($Q38*$S38)/(1+Voorblad!$K$44)^(BA$30-Voorblad!$F$37),0)</f>
        <v>0</v>
      </c>
      <c r="BB38" s="9">
        <f>IF($W38=BB$30,FC38*($Q38*$S38)/(1+Voorblad!$K$44)^(BB$30-Voorblad!$F$37),0)</f>
        <v>0</v>
      </c>
      <c r="BC38" s="9">
        <f>IF($W38=BC$30,FD38*($Q38*$S38)/(1+Voorblad!$K$44)^(BC$30-Voorblad!$F$37),0)</f>
        <v>0</v>
      </c>
      <c r="BD38" s="9">
        <f>IF($W38=BD$30,FE38*($Q38*$S38)/(1+Voorblad!$K$44)^(BD$30-Voorblad!$F$37),0)</f>
        <v>0</v>
      </c>
      <c r="BE38" s="9">
        <f>IF($W38=BE$30,FF38*($Q38*$S38)/(1+Voorblad!$K$44)^(BE$30-Voorblad!$F$37),0)</f>
        <v>0</v>
      </c>
      <c r="BF38" s="9">
        <f>IF($W38=BF$30,FG38*($Q38*$S38)/(1+Voorblad!$K$44)^(BF$30-Voorblad!$F$37),0)</f>
        <v>0</v>
      </c>
      <c r="BG38" s="9">
        <f>IF($W38=BG$30,FH38*($Q38*$S38)/(1+Voorblad!$K$44)^(BG$30-Voorblad!$F$37),0)</f>
        <v>0</v>
      </c>
      <c r="BH38" s="9">
        <f>IF($W38=BH$30,FI38*($Q38*$S38)/(1+Voorblad!$K$44)^(BH$30-Voorblad!$F$37),0)</f>
        <v>0</v>
      </c>
      <c r="BI38" s="9">
        <f>IF($W38=BI$30,FJ38*($Q38*$S38)/(1+Voorblad!$K$44)^(BI$30-Voorblad!$F$37),0)</f>
        <v>0</v>
      </c>
      <c r="BJ38" s="9">
        <f>IF($W38=BJ$30,FK38*($Q38*$S38)/(1+Voorblad!$K$44)^(BJ$30-Voorblad!$F$37),0)</f>
        <v>0</v>
      </c>
      <c r="BK38" s="9">
        <f>IF($W38=BK$30,FL38*($Q38*$S38)/(1+Voorblad!$K$44)^(BK$30-Voorblad!$F$37),0)</f>
        <v>0</v>
      </c>
      <c r="BL38" s="9">
        <f>IF($W38=BL$30,FM38*($Q38*$S38)/(1+Voorblad!$K$44)^(BL$30-Voorblad!$F$37),0)</f>
        <v>0</v>
      </c>
      <c r="BM38" s="9">
        <f>IF($W38=BM$30,FN38*($Q38*$S38)/(1+Voorblad!$K$44)^(BM$30-Voorblad!$F$37),0)</f>
        <v>0</v>
      </c>
      <c r="BN38" s="9">
        <f>IF($W38=BN$30,FO38*($Q38*$S38)/(1+Voorblad!$K$44)^(BN$30-Voorblad!$F$37),0)</f>
        <v>0</v>
      </c>
      <c r="BO38" s="9">
        <f>IF($W38=BO$30,FP38*($Q38*$S38)/(1+Voorblad!$K$44)^(BO$30-Voorblad!$F$37),0)</f>
        <v>0</v>
      </c>
      <c r="BP38" s="9">
        <f>IF($W38=BP$30,FQ38*($Q38*$S38)/(1+Voorblad!$K$44)^(BP$30-Voorblad!$F$37),0)</f>
        <v>0</v>
      </c>
      <c r="BQ38" s="9">
        <f>IF($W38=BQ$30,FR38*($Q38*$S38)/(1+Voorblad!$K$44)^(BQ$30-Voorblad!$F$37),0)</f>
        <v>0</v>
      </c>
      <c r="BR38" s="9">
        <f>IF($W38=BR$30,FS38*($Q38*$S38)/(1+Voorblad!$K$44)^(BR$30-Voorblad!$F$37),0)</f>
        <v>0</v>
      </c>
      <c r="BS38" s="9">
        <f>IF($W38=BS$30,FT38*($Q38*$S38)/(1+Voorblad!$K$44)^(BS$30-Voorblad!$F$37),0)</f>
        <v>0</v>
      </c>
      <c r="BT38" s="9">
        <f>IF($W38=BT$30,FU38*($Q38*$S38)/(1+Voorblad!$K$44)^(BT$30-Voorblad!$F$37),0)</f>
        <v>0</v>
      </c>
      <c r="BU38" s="9">
        <f>IF($W38=BU$30,FV38*($Q38*$S38)/(1+Voorblad!$K$44)^(BU$30-Voorblad!$F$37),0)</f>
        <v>0</v>
      </c>
      <c r="BV38" s="9">
        <f>IF($W38=BV$30,FW38*($Q38*$S38)/(1+Voorblad!$K$44)^(BV$30-Voorblad!$F$37),0)</f>
        <v>0</v>
      </c>
      <c r="BW38" s="9">
        <f>IF($W38=BW$30,FX38*($Q38*$S38)/(1+Voorblad!$K$44)^(BW$30-Voorblad!$F$37),0)</f>
        <v>0</v>
      </c>
      <c r="BX38" s="9">
        <f>IF($W38=BX$30,FY38*($Q38*$S38)/(1+Voorblad!$K$44)^(BX$30-Voorblad!$F$37),0)</f>
        <v>0</v>
      </c>
      <c r="BY38" s="9">
        <f>IF($W38=BY$30,FZ38*($Q38*$S38)/(1+Voorblad!$K$44)^(BY$30-Voorblad!$F$37),0)</f>
        <v>0</v>
      </c>
      <c r="BZ38" s="9">
        <f>IF($W38=BZ$30,GA38*($Q38*$S38)/(1+Voorblad!$K$44)^(BZ$30-Voorblad!$F$37),0)</f>
        <v>0</v>
      </c>
      <c r="CA38" s="9">
        <f>IF($W38=CA$30,GB38*($Q38*$S38)/(1+Voorblad!$K$44)^(CA$30-Voorblad!$F$37),0)</f>
        <v>0</v>
      </c>
      <c r="CB38" s="9">
        <f>IF($W38=CB$30,GC38*($Q38*$S38)/(1+Voorblad!$K$44)^(CB$30-Voorblad!$F$37),0)</f>
        <v>0</v>
      </c>
      <c r="CC38" s="9">
        <f>IF($W38=CC$30,GD38*($Q38*$S38)/(1+Voorblad!$K$44)^(CC$30-Voorblad!$F$37),0)</f>
        <v>0</v>
      </c>
      <c r="CD38" s="9">
        <f>IF($W38=CD$30,GE38*($Q38*$S38)/(1+Voorblad!$K$44)^(CD$30-Voorblad!$F$37),0)</f>
        <v>0</v>
      </c>
      <c r="CE38" s="9">
        <f>IF($W38=CE$30,GF38*($Q38*$S38)/(1+Voorblad!$K$44)^(CE$30-Voorblad!$F$37),0)</f>
        <v>0</v>
      </c>
      <c r="CF38" s="9">
        <f>IF($W38=CF$30,GG38*($Q38*$S38)/(1+Voorblad!$K$44)^(CF$30-Voorblad!$F$37),0)</f>
        <v>0</v>
      </c>
      <c r="CG38" s="9">
        <f>IF($W38=CG$30,GH38*($Q38*$S38)/(1+Voorblad!$K$44)^(CG$30-Voorblad!$F$37),0)</f>
        <v>0</v>
      </c>
      <c r="CH38" s="9">
        <f>IF($W38=CH$30,GI38*($Q38*$S38)/(1+Voorblad!$K$44)^(CH$30-Voorblad!$F$37),0)</f>
        <v>0</v>
      </c>
      <c r="CI38" s="9">
        <f>IF($W38=CI$30,GJ38*($Q38*$S38)/(1+Voorblad!$K$44)^(CI$30-Voorblad!$F$37),0)</f>
        <v>0</v>
      </c>
      <c r="CJ38" s="9">
        <f>IF($W38=CJ$30,GK38*($Q38*$S38)/(1+Voorblad!$K$44)^(CJ$30-Voorblad!$F$37),0)</f>
        <v>0</v>
      </c>
      <c r="CK38" s="9">
        <f>IF($W38=CK$30,GL38*($Q38*$S38)/(1+Voorblad!$K$44)^(CK$30-Voorblad!$F$37),0)</f>
        <v>0</v>
      </c>
      <c r="CL38" s="9">
        <f>IF($W38=CL$30,GM38*($Q38*$S38)/(1+Voorblad!$K$44)^(CL$30-Voorblad!$F$37),0)</f>
        <v>0</v>
      </c>
      <c r="CM38" s="9">
        <f>IF($W38=CM$30,GN38*($Q38*$S38)/(1+Voorblad!$K$44)^(CM$30-Voorblad!$F$37),0)</f>
        <v>0</v>
      </c>
      <c r="CN38" s="9">
        <f>IF($W38=CN$30,GO38*($Q38*$S38)/(1+Voorblad!$K$44)^(CN$30-Voorblad!$F$37),0)</f>
        <v>0</v>
      </c>
      <c r="CO38" s="9">
        <f>IF($W38=CO$30,GP38*($Q38*$S38)/(1+Voorblad!$K$44)^(CO$30-Voorblad!$F$37),0)</f>
        <v>0</v>
      </c>
      <c r="CP38" s="9">
        <f>IF($W38=CP$30,GQ38*($Q38*$S38)/(1+Voorblad!$K$44)^(CP$30-Voorblad!$F$37),0)</f>
        <v>0</v>
      </c>
      <c r="CQ38" s="9">
        <f>IF($W38=CQ$30,GR38*($Q38*$S38)/(1+Voorblad!$K$44)^(CQ$30-Voorblad!$F$37),0)</f>
        <v>0</v>
      </c>
      <c r="CR38" s="9">
        <f>IF($W38=CR$30,GS38*($Q38*$S38)/(1+Voorblad!$K$44)^(CR$30-Voorblad!$F$37),0)</f>
        <v>0</v>
      </c>
      <c r="CS38" s="9">
        <f>IF($W38=CS$30,GT38*($Q38*$S38)/(1+Voorblad!$K$44)^(CS$30-Voorblad!$F$37),0)</f>
        <v>0</v>
      </c>
      <c r="CT38" s="9">
        <f>IF($W38=CT$30,GU38*($Q38*$S38)/(1+Voorblad!$K$44)^(CT$30-Voorblad!$F$37),0)</f>
        <v>0</v>
      </c>
      <c r="CU38" s="9">
        <f>IF($W38=CU$30,GV38*($Q38*$S38)/(1+Voorblad!$K$44)^(CU$30-Voorblad!$F$37),0)</f>
        <v>0</v>
      </c>
      <c r="CV38" s="9">
        <f>IF($W38=CV$30,GW38*($Q38*$S38)/(1+Voorblad!$K$44)^(CV$30-Voorblad!$F$37),0)</f>
        <v>0</v>
      </c>
      <c r="CW38" s="9">
        <f>IF($W38=CW$30,GX38*($Q38*$S38)/(1+Voorblad!$K$44)^(CW$30-Voorblad!$F$37),0)</f>
        <v>0</v>
      </c>
      <c r="CX38" s="9">
        <f>IF($W38=CX$30,GY38*($Q38*$S38)/(1+Voorblad!$K$44)^(CX$30-Voorblad!$F$37),0)</f>
        <v>0</v>
      </c>
      <c r="CY38" s="9">
        <f>IF($W38=CY$30,GZ38*($Q38*$S38)/(1+Voorblad!$K$44)^(CY$30-Voorblad!$F$37),0)</f>
        <v>0</v>
      </c>
      <c r="CZ38" s="9">
        <f>IF($W38=CZ$30,HA38*($Q38*$S38)/(1+Voorblad!$K$44)^(CZ$30-Voorblad!$F$37),0)</f>
        <v>0</v>
      </c>
      <c r="DA38" s="9">
        <f>IF($W38=DA$30,HB38*($Q38*$S38)/(1+Voorblad!$K$44)^(DA$30-Voorblad!$F$37),0)</f>
        <v>0</v>
      </c>
      <c r="DB38" s="9">
        <f>IF($W38=DB$30,HC38*($Q38*$S38)/(1+Voorblad!$K$44)^(DB$30-Voorblad!$F$37),0)</f>
        <v>0</v>
      </c>
      <c r="DC38" s="9">
        <f>IF($W38=DC$30,HD38*($Q38*$S38)/(1+Voorblad!$K$44)^(DC$30-Voorblad!$F$37),0)</f>
        <v>0</v>
      </c>
      <c r="DD38" s="9">
        <f>IF($W38=DD$30,HE38*($Q38*$S38)/(1+Voorblad!$K$44)^(DD$30-Voorblad!$F$37),0)</f>
        <v>0</v>
      </c>
      <c r="DE38" s="9">
        <f>IF($W38=DE$30,HF38*($Q38*$S38)/(1+Voorblad!$K$44)^(DE$30-Voorblad!$F$37),0)</f>
        <v>0</v>
      </c>
      <c r="DF38" s="9">
        <f>IF($W38=DF$30,HG38*($Q38*$S38)/(1+Voorblad!$K$44)^(DF$30-Voorblad!$F$37),0)</f>
        <v>0</v>
      </c>
      <c r="DG38" s="9">
        <f>IF($W38=DG$30,HH38*($Q38*$S38)/(1+Voorblad!$K$44)^(DG$30-Voorblad!$F$37),0)</f>
        <v>0</v>
      </c>
      <c r="DH38" s="9">
        <f>IF($W38=DH$30,HI38*($Q38*$S38)/(1+Voorblad!$K$44)^(DH$30-Voorblad!$F$37),0)</f>
        <v>0</v>
      </c>
      <c r="DI38" s="9">
        <f>IF($W38=DI$30,HJ38*($Q38*$S38)/(1+Voorblad!$K$44)^(DI$30-Voorblad!$F$37),0)</f>
        <v>0</v>
      </c>
      <c r="DJ38" s="9">
        <f>IF($W38=DJ$30,HK38*($Q38*$S38)/(1+Voorblad!$K$44)^(DJ$30-Voorblad!$F$37),0)</f>
        <v>0</v>
      </c>
      <c r="DK38" s="9">
        <f>IF($W38=DK$30,HL38*($Q38*$S38)/(1+Voorblad!$K$44)^(DK$30-Voorblad!$F$37),0)</f>
        <v>0</v>
      </c>
      <c r="DL38" s="9">
        <f>IF($W38=DL$30,HM38*($Q38*$S38)/(1+Voorblad!$K$44)^(DL$30-Voorblad!$F$37),0)</f>
        <v>0</v>
      </c>
      <c r="DM38" s="9">
        <f>IF($W38=DM$30,HN38*($Q38*$S38)/(1+Voorblad!$K$44)^(DM$30-Voorblad!$F$37),0)</f>
        <v>0</v>
      </c>
      <c r="DN38" s="9">
        <f>IF($W38=DN$30,HO38*($Q38*$S38)/(1+Voorblad!$K$44)^(DN$30-Voorblad!$F$37),0)</f>
        <v>0</v>
      </c>
      <c r="DO38" s="9">
        <f>IF($W38=DO$30,HP38*($Q38*$S38)/(1+Voorblad!$K$44)^(DO$30-Voorblad!$F$37),0)</f>
        <v>0</v>
      </c>
      <c r="DP38" s="9">
        <f>IF($W38=DP$30,HQ38*($Q38*$S38)/(1+Voorblad!$K$44)^(DP$30-Voorblad!$F$37),0)</f>
        <v>0</v>
      </c>
      <c r="DQ38" s="9">
        <f>IF($W38=DQ$30,HR38*($Q38*$S38)/(1+Voorblad!$K$44)^(DQ$30-Voorblad!$F$37),0)</f>
        <v>0</v>
      </c>
      <c r="DR38" s="9">
        <f>IF($W38=DR$30,HS38*($Q38*$S38)/(1+Voorblad!$K$44)^(DR$30-Voorblad!$F$37),0)</f>
        <v>0</v>
      </c>
      <c r="DS38" s="9">
        <f>IF($W38=DS$30,HT38*($Q38*$S38)/(1+Voorblad!$K$44)^(DS$30-Voorblad!$F$37),0)</f>
        <v>0</v>
      </c>
      <c r="DT38" s="9">
        <f>IF($W38=DT$30,HU38*($Q38*$S38)/(1+Voorblad!$K$44)^(DT$30-Voorblad!$F$37),0)</f>
        <v>0</v>
      </c>
      <c r="DU38" s="9">
        <f>IF($W38=DU$30,HV38*($Q38*$S38)/(1+Voorblad!$K$44)^(DU$30-Voorblad!$F$37),0)</f>
        <v>0</v>
      </c>
      <c r="DV38" s="9">
        <f>IF($W38=DV$30,HW38*($Q38*$S38)/(1+Voorblad!$K$44)^(DV$30-Voorblad!$F$37),0)</f>
        <v>0</v>
      </c>
      <c r="DW38" s="9">
        <f>IF($W38=DW$30,HX38*($Q38*$S38)/(1+Voorblad!$K$44)^(DW$30-Voorblad!$F$37),0)</f>
        <v>0</v>
      </c>
      <c r="DX38" s="9">
        <f>IF($W38=DX$30,HY38*($Q38*$S38)/(1+Voorblad!$K$44)^(DX$30-Voorblad!$F$37),0)</f>
        <v>0</v>
      </c>
      <c r="DY38" s="9">
        <f>IF($W38=DY$30,HZ38*($Q38*$S38)/(1+Voorblad!$K$44)^(DY$30-Voorblad!$F$37),0)</f>
        <v>0</v>
      </c>
      <c r="DZ38" s="9">
        <f>IF($W38=DZ$30,IA38*($Q38*$S38)/(1+Voorblad!$K$44)^(DZ$30-Voorblad!$F$37),0)</f>
        <v>0</v>
      </c>
      <c r="EA38" s="9">
        <f>IF($W38=EA$30,IB38*($Q38*$S38)/(1+Voorblad!$K$44)^(EA$30-Voorblad!$F$37),0)</f>
        <v>0</v>
      </c>
      <c r="EB38" s="9">
        <f>IF($W38=EB$30,IC38*($Q38*$S38)/(1+Voorblad!$K$44)^(EB$30-Voorblad!$F$37),0)</f>
        <v>0</v>
      </c>
      <c r="EE38" s="8">
        <v>0</v>
      </c>
      <c r="EF38" s="8">
        <f>IF(EF$30-Voorblad!$F$37&gt;Voorblad!$K$37,0,IF($U38=0,0,IF($U38&lt;1,1/$U38,IF((EF$30-Voorblad!$F$37)/$U38-SUM($EE38:EE38)=1,1,0))))</f>
        <v>0</v>
      </c>
      <c r="EG38" s="8">
        <f>IF(EG$30-Voorblad!$F$37&gt;Voorblad!$K$37,0,IF($U38=0,0,IF($U38&lt;1,1/$U38,IF((EG$30-Voorblad!$F$37)/$U38-SUM($EE38:EF38)=1,1,0))))</f>
        <v>1</v>
      </c>
      <c r="EH38" s="8">
        <f>IF(EH$30-Voorblad!$F$37&gt;Voorblad!$K$37,0,IF($U38=0,0,IF($U38&lt;1,1/$U38,IF((EH$30-Voorblad!$F$37)/$U38-SUM($EE38:EG38)=1,1,0))))</f>
        <v>1</v>
      </c>
      <c r="EI38" s="8">
        <f>IF(EI$30-Voorblad!$F$37&gt;Voorblad!$K$37,0,IF($U38=0,0,IF($U38&lt;1,1/$U38,IF((EI$30-Voorblad!$F$37)/$U38-SUM($EE38:EH38)=1,1,0))))</f>
        <v>1</v>
      </c>
      <c r="EJ38" s="8">
        <f>IF(EJ$30-Voorblad!$F$37&gt;Voorblad!$K$37,0,IF($U38=0,0,IF($U38&lt;1,1/$U38,IF((EJ$30-Voorblad!$F$37)/$U38-SUM($EE38:EI38)=1,1,0))))</f>
        <v>1</v>
      </c>
      <c r="EK38" s="8">
        <f>IF(EK$30-Voorblad!$F$37&gt;Voorblad!$K$37,0,IF($U38=0,0,IF($U38&lt;1,1/$U38,IF((EK$30-Voorblad!$F$37)/$U38-SUM($EE38:EJ38)=1,1,0))))</f>
        <v>1</v>
      </c>
      <c r="EL38" s="8">
        <f>IF(EL$30-Voorblad!$F$37&gt;Voorblad!$K$37,0,IF($U38=0,0,IF($U38&lt;1,1/$U38,IF((EL$30-Voorblad!$F$37)/$U38-SUM($EE38:EK38)=1,1,0))))</f>
        <v>1</v>
      </c>
      <c r="EM38" s="8">
        <f>IF(EM$30-Voorblad!$F$37&gt;Voorblad!$K$37,0,IF($U38=0,0,IF($U38&lt;1,1/$U38,IF((EM$30-Voorblad!$F$37)/$U38-SUM($EE38:EL38)=1,1,0))))</f>
        <v>1</v>
      </c>
      <c r="EN38" s="8">
        <f>IF(EN$30-Voorblad!$F$37&gt;Voorblad!$K$37,0,IF($U38=0,0,IF($U38&lt;1,1/$U38,IF((EN$30-Voorblad!$F$37)/$U38-SUM($EE38:EM38)=1,1,0))))</f>
        <v>1</v>
      </c>
      <c r="EO38" s="8">
        <f>IF(EO$30-Voorblad!$F$37&gt;Voorblad!$K$37,0,IF($U38=0,0,IF($U38&lt;1,1/$U38,IF((EO$30-Voorblad!$F$37)/$U38-SUM($EE38:EN38)=1,1,0))))</f>
        <v>1</v>
      </c>
      <c r="EP38" s="8">
        <f>IF(EP$30-Voorblad!$F$37&gt;Voorblad!$K$37,0,IF($U38=0,0,IF($U38&lt;1,1/$U38,IF((EP$30-Voorblad!$F$37)/$U38-SUM($EE38:EO38)=1,1,0))))</f>
        <v>1</v>
      </c>
      <c r="EQ38" s="8">
        <f>IF(EQ$30-Voorblad!$F$37&gt;Voorblad!$K$37,0,IF($U38=0,0,IF($U38&lt;1,1/$U38,IF((EQ$30-Voorblad!$F$37)/$U38-SUM($EE38:EP38)=1,1,0))))</f>
        <v>0</v>
      </c>
      <c r="ER38" s="8">
        <f>IF(ER$30-Voorblad!$F$37&gt;Voorblad!$K$37,0,IF($U38=0,0,IF($U38&lt;1,1/$U38,IF((ER$30-Voorblad!$F$37)/$U38-SUM($EE38:EQ38)=1,1,0))))</f>
        <v>0</v>
      </c>
      <c r="ES38" s="8">
        <f>IF(ES$30-Voorblad!$F$37&gt;Voorblad!$K$37,0,IF($U38=0,0,IF($U38&lt;1,1/$U38,IF((ES$30-Voorblad!$F$37)/$U38-SUM($EE38:ER38)=1,1,0))))</f>
        <v>0</v>
      </c>
      <c r="ET38" s="8">
        <f>IF(ET$30-Voorblad!$F$37&gt;Voorblad!$K$37,0,IF($U38=0,0,IF($U38&lt;1,1/$U38,IF((ET$30-Voorblad!$F$37)/$U38-SUM($EE38:ES38)=1,1,0))))</f>
        <v>0</v>
      </c>
      <c r="EU38" s="8">
        <f>IF(EU$30-Voorblad!$F$37&gt;Voorblad!$K$37,0,IF($U38=0,0,IF($U38&lt;1,1/$U38,IF((EU$30-Voorblad!$F$37)/$U38-SUM($EE38:ET38)=1,1,0))))</f>
        <v>0</v>
      </c>
      <c r="EV38" s="8">
        <f>IF(EV$30-Voorblad!$F$37&gt;Voorblad!$K$37,0,IF($U38=0,0,IF($U38&lt;1,1/$U38,IF((EV$30-Voorblad!$F$37)/$U38-SUM($EE38:EU38)=1,1,0))))</f>
        <v>0</v>
      </c>
      <c r="EW38" s="8">
        <f>IF(EW$30-Voorblad!$F$37&gt;Voorblad!$K$37,0,IF($U38=0,0,IF($U38&lt;1,1/$U38,IF((EW$30-Voorblad!$F$37)/$U38-SUM($EE38:EV38)=1,1,0))))</f>
        <v>0</v>
      </c>
      <c r="EX38" s="8">
        <f>IF(EX$30-Voorblad!$F$37&gt;Voorblad!$K$37,0,IF($U38=0,0,IF($U38&lt;1,1/$U38,IF((EX$30-Voorblad!$F$37)/$U38-SUM($EE38:EW38)=1,1,0))))</f>
        <v>0</v>
      </c>
      <c r="EY38" s="8">
        <f>IF(EY$30-Voorblad!$F$37&gt;Voorblad!$K$37,0,IF($U38=0,0,IF($U38&lt;1,1/$U38,IF((EY$30-Voorblad!$F$37)/$U38-SUM($EE38:EX38)=1,1,0))))</f>
        <v>0</v>
      </c>
      <c r="EZ38" s="8">
        <f>IF(EZ$30-Voorblad!$F$37&gt;Voorblad!$K$37,0,IF($U38=0,0,IF($U38&lt;1,1/$U38,IF((EZ$30-Voorblad!$F$37)/$U38-SUM($EE38:EY38)=1,1,0))))</f>
        <v>0</v>
      </c>
      <c r="FA38" s="8">
        <f>IF(FA$30-Voorblad!$F$37&gt;Voorblad!$K$37,0,IF($U38=0,0,IF($U38&lt;1,1/$U38,IF((FA$30-Voorblad!$F$37)/$U38-SUM($EE38:EZ38)=1,1,0))))</f>
        <v>0</v>
      </c>
      <c r="FB38" s="8">
        <f>IF(FB$30-Voorblad!$F$37&gt;Voorblad!$K$37,0,IF($U38=0,0,IF($U38&lt;1,1/$U38,IF((FB$30-Voorblad!$F$37)/$U38-SUM($EE38:FA38)=1,1,0))))</f>
        <v>0</v>
      </c>
      <c r="FC38" s="8">
        <f>IF(FC$30-Voorblad!$F$37&gt;Voorblad!$K$37,0,IF($U38=0,0,IF($U38&lt;1,1/$U38,IF((FC$30-Voorblad!$F$37)/$U38-SUM($EE38:FB38)=1,1,0))))</f>
        <v>0</v>
      </c>
      <c r="FD38" s="8">
        <f>IF(FD$30-Voorblad!$F$37&gt;Voorblad!$K$37,0,IF($U38=0,0,IF($U38&lt;1,1/$U38,IF((FD$30-Voorblad!$F$37)/$U38-SUM($EE38:FC38)=1,1,0))))</f>
        <v>0</v>
      </c>
      <c r="FE38" s="8">
        <f>IF(FE$30-Voorblad!$F$37&gt;Voorblad!$K$37,0,IF($U38=0,0,IF($U38&lt;1,1/$U38,IF((FE$30-Voorblad!$F$37)/$U38-SUM($EE38:FD38)=1,1,0))))</f>
        <v>0</v>
      </c>
      <c r="FF38" s="8">
        <f>IF(FF$30-Voorblad!$F$37&gt;Voorblad!$K$37,0,IF($U38=0,0,IF($U38&lt;1,1/$U38,IF((FF$30-Voorblad!$F$37)/$U38-SUM($EE38:FE38)=1,1,0))))</f>
        <v>0</v>
      </c>
      <c r="FG38" s="8">
        <f>IF(FG$30-Voorblad!$F$37&gt;Voorblad!$K$37,0,IF($U38=0,0,IF($U38&lt;1,1/$U38,IF((FG$30-Voorblad!$F$37)/$U38-SUM($EE38:FF38)=1,1,0))))</f>
        <v>0</v>
      </c>
      <c r="FH38" s="8">
        <f>IF(FH$30-Voorblad!$F$37&gt;Voorblad!$K$37,0,IF($U38=0,0,IF($U38&lt;1,1/$U38,IF((FH$30-Voorblad!$F$37)/$U38-SUM($EE38:FG38)=1,1,0))))</f>
        <v>0</v>
      </c>
      <c r="FI38" s="8">
        <f>IF(FI$30-Voorblad!$F$37&gt;Voorblad!$K$37,0,IF($U38=0,0,IF($U38&lt;1,1/$U38,IF((FI$30-Voorblad!$F$37)/$U38-SUM($EE38:FH38)=1,1,0))))</f>
        <v>0</v>
      </c>
      <c r="FJ38" s="8">
        <f>IF(FJ$30-Voorblad!$F$37&gt;Voorblad!$K$37,0,IF($U38=0,0,IF($U38&lt;1,1/$U38,IF((FJ$30-Voorblad!$F$37)/$U38-SUM($EE38:FI38)=1,1,0))))</f>
        <v>0</v>
      </c>
      <c r="FK38" s="8">
        <f>IF(FK$30-Voorblad!$F$37&gt;Voorblad!$K$37,0,IF($U38=0,0,IF($U38&lt;1,1/$U38,IF((FK$30-Voorblad!$F$37)/$U38-SUM($EE38:FJ38)=1,1,0))))</f>
        <v>0</v>
      </c>
      <c r="FL38" s="8">
        <f>IF(FL$30-Voorblad!$F$37&gt;Voorblad!$K$37,0,IF($U38=0,0,IF($U38&lt;1,1/$U38,IF((FL$30-Voorblad!$F$37)/$U38-SUM($EE38:FK38)=1,1,0))))</f>
        <v>0</v>
      </c>
      <c r="FM38" s="8">
        <f>IF(FM$30-Voorblad!$F$37&gt;Voorblad!$K$37,0,IF($U38=0,0,IF($U38&lt;1,1/$U38,IF((FM$30-Voorblad!$F$37)/$U38-SUM($EE38:FL38)=1,1,0))))</f>
        <v>0</v>
      </c>
      <c r="FN38" s="8">
        <f>IF(FN$30-Voorblad!$F$37&gt;Voorblad!$K$37,0,IF($U38=0,0,IF($U38&lt;1,1/$U38,IF((FN$30-Voorblad!$F$37)/$U38-SUM($EE38:FM38)=1,1,0))))</f>
        <v>0</v>
      </c>
      <c r="FO38" s="8">
        <f>IF(FO$30-Voorblad!$F$37&gt;Voorblad!$K$37,0,IF($U38=0,0,IF($U38&lt;1,1/$U38,IF((FO$30-Voorblad!$F$37)/$U38-SUM($EE38:FN38)=1,1,0))))</f>
        <v>0</v>
      </c>
      <c r="FP38" s="8">
        <f>IF(FP$30-Voorblad!$F$37&gt;Voorblad!$K$37,0,IF($U38=0,0,IF($U38&lt;1,1/$U38,IF((FP$30-Voorblad!$F$37)/$U38-SUM($EE38:FO38)=1,1,0))))</f>
        <v>0</v>
      </c>
      <c r="FQ38" s="8">
        <f>IF(FQ$30-Voorblad!$F$37&gt;Voorblad!$K$37,0,IF($U38=0,0,IF($U38&lt;1,1/$U38,IF((FQ$30-Voorblad!$F$37)/$U38-SUM($EE38:FP38)=1,1,0))))</f>
        <v>0</v>
      </c>
      <c r="FR38" s="8">
        <f>IF(FR$30-Voorblad!$F$37&gt;Voorblad!$K$37,0,IF($U38=0,0,IF($U38&lt;1,1/$U38,IF((FR$30-Voorblad!$F$37)/$U38-SUM($EE38:FQ38)=1,1,0))))</f>
        <v>0</v>
      </c>
      <c r="FS38" s="8">
        <f>IF(FS$30-Voorblad!$F$37&gt;Voorblad!$K$37,0,IF($U38=0,0,IF($U38&lt;1,1/$U38,IF((FS$30-Voorblad!$F$37)/$U38-SUM($EE38:FR38)=1,1,0))))</f>
        <v>0</v>
      </c>
      <c r="FT38" s="8">
        <f>IF(FT$30-Voorblad!$F$37&gt;Voorblad!$K$37,0,IF($U38=0,0,IF($U38&lt;1,1/$U38,IF((FT$30-Voorblad!$F$37)/$U38-SUM($EE38:FS38)=1,1,0))))</f>
        <v>0</v>
      </c>
      <c r="FU38" s="8">
        <f>IF(FU$30-Voorblad!$F$37&gt;Voorblad!$K$37,0,IF($U38=0,0,IF($U38&lt;1,1/$U38,IF((FU$30-Voorblad!$F$37)/$U38-SUM($EE38:FT38)=1,1,0))))</f>
        <v>0</v>
      </c>
      <c r="FV38" s="8">
        <f>IF(FV$30-Voorblad!$F$37&gt;Voorblad!$K$37,0,IF($U38=0,0,IF($U38&lt;1,1/$U38,IF((FV$30-Voorblad!$F$37)/$U38-SUM($EE38:FU38)=1,1,0))))</f>
        <v>0</v>
      </c>
      <c r="FW38" s="8">
        <f>IF(FW$30-Voorblad!$F$37&gt;Voorblad!$K$37,0,IF($U38=0,0,IF($U38&lt;1,1/$U38,IF((FW$30-Voorblad!$F$37)/$U38-SUM($EE38:FV38)=1,1,0))))</f>
        <v>0</v>
      </c>
      <c r="FX38" s="8">
        <f>IF(FX$30-Voorblad!$F$37&gt;Voorblad!$K$37,0,IF($U38=0,0,IF($U38&lt;1,1/$U38,IF((FX$30-Voorblad!$F$37)/$U38-SUM($EE38:FW38)=1,1,0))))</f>
        <v>0</v>
      </c>
      <c r="FY38" s="8">
        <f>IF(FY$30-Voorblad!$F$37&gt;Voorblad!$K$37,0,IF($U38=0,0,IF($U38&lt;1,1/$U38,IF((FY$30-Voorblad!$F$37)/$U38-SUM($EE38:FX38)=1,1,0))))</f>
        <v>0</v>
      </c>
      <c r="FZ38" s="8">
        <f>IF(FZ$30-Voorblad!$F$37&gt;Voorblad!$K$37,0,IF($U38=0,0,IF($U38&lt;1,1/$U38,IF((FZ$30-Voorblad!$F$37)/$U38-SUM($EE38:FY38)=1,1,0))))</f>
        <v>0</v>
      </c>
      <c r="GA38" s="8">
        <f>IF(GA$30-Voorblad!$F$37&gt;Voorblad!$K$37,0,IF($U38=0,0,IF($U38&lt;1,1/$U38,IF((GA$30-Voorblad!$F$37)/$U38-SUM($EE38:FZ38)=1,1,0))))</f>
        <v>0</v>
      </c>
      <c r="GB38" s="8">
        <f>IF(GB$30-Voorblad!$F$37&gt;Voorblad!$K$37,0,IF($U38=0,0,IF($U38&lt;1,1/$U38,IF((GB$30-Voorblad!$F$37)/$U38-SUM($EE38:GA38)=1,1,0))))</f>
        <v>0</v>
      </c>
      <c r="GC38" s="8">
        <f>IF(GC$30-Voorblad!$F$37&gt;Voorblad!$K$37,0,IF($U38=0,0,IF($U38&lt;1,1/$U38,IF((GC$30-Voorblad!$F$37)/$U38-SUM($EE38:GB38)=1,1,0))))</f>
        <v>0</v>
      </c>
      <c r="GD38" s="8">
        <f>IF(GD$30-Voorblad!$F$37&gt;Voorblad!$K$37,0,IF($U38=0,0,IF($U38&lt;1,1/$U38,IF((GD$30-Voorblad!$F$37)/$U38-SUM($EE38:GC38)=1,1,0))))</f>
        <v>0</v>
      </c>
      <c r="GE38" s="8">
        <f>IF(GE$30-Voorblad!$F$37&gt;Voorblad!$K$37,0,IF($U38=0,0,IF($U38&lt;1,1/$U38,IF((GE$30-Voorblad!$F$37)/$U38-SUM($EE38:GD38)=1,1,0))))</f>
        <v>0</v>
      </c>
      <c r="GF38" s="8">
        <f>IF(GF$30-Voorblad!$F$37&gt;Voorblad!$K$37,0,IF($U38=0,0,IF($U38&lt;1,1/$U38,IF((GF$30-Voorblad!$F$37)/$U38-SUM($EE38:GE38)=1,1,0))))</f>
        <v>0</v>
      </c>
      <c r="GG38" s="8">
        <f>IF(GG$30-Voorblad!$F$37&gt;Voorblad!$K$37,0,IF($U38=0,0,IF($U38&lt;1,1/$U38,IF((GG$30-Voorblad!$F$37)/$U38-SUM($EE38:GF38)=1,1,0))))</f>
        <v>0</v>
      </c>
      <c r="GH38" s="8">
        <f>IF(GH$30-Voorblad!$F$37&gt;Voorblad!$K$37,0,IF($U38=0,0,IF($U38&lt;1,1/$U38,IF((GH$30-Voorblad!$F$37)/$U38-SUM($EE38:GG38)=1,1,0))))</f>
        <v>0</v>
      </c>
      <c r="GI38" s="8">
        <f>IF(GI$30-Voorblad!$F$37&gt;Voorblad!$K$37,0,IF($U38=0,0,IF($U38&lt;1,1/$U38,IF((GI$30-Voorblad!$F$37)/$U38-SUM($EE38:GH38)=1,1,0))))</f>
        <v>0</v>
      </c>
      <c r="GJ38" s="8">
        <f>IF(GJ$30-Voorblad!$F$37&gt;Voorblad!$K$37,0,IF($U38=0,0,IF($U38&lt;1,1/$U38,IF((GJ$30-Voorblad!$F$37)/$U38-SUM($EE38:GI38)=1,1,0))))</f>
        <v>0</v>
      </c>
      <c r="GK38" s="8">
        <f>IF(GK$30-Voorblad!$F$37&gt;Voorblad!$K$37,0,IF($U38=0,0,IF($U38&lt;1,1/$U38,IF((GK$30-Voorblad!$F$37)/$U38-SUM($EE38:GJ38)=1,1,0))))</f>
        <v>0</v>
      </c>
      <c r="GL38" s="8">
        <f>IF(GL$30-Voorblad!$F$37&gt;Voorblad!$K$37,0,IF($U38=0,0,IF($U38&lt;1,1/$U38,IF((GL$30-Voorblad!$F$37)/$U38-SUM($EE38:GK38)=1,1,0))))</f>
        <v>0</v>
      </c>
      <c r="GM38" s="8">
        <f>IF(GM$30-Voorblad!$F$37&gt;Voorblad!$K$37,0,IF($U38=0,0,IF($U38&lt;1,1/$U38,IF((GM$30-Voorblad!$F$37)/$U38-SUM($EE38:GL38)=1,1,0))))</f>
        <v>0</v>
      </c>
      <c r="GN38" s="8">
        <f>IF(GN$30-Voorblad!$F$37&gt;Voorblad!$K$37,0,IF($U38=0,0,IF($U38&lt;1,1/$U38,IF((GN$30-Voorblad!$F$37)/$U38-SUM($EE38:GM38)=1,1,0))))</f>
        <v>0</v>
      </c>
      <c r="GO38" s="8">
        <f>IF(GO$30-Voorblad!$F$37&gt;Voorblad!$K$37,0,IF($U38=0,0,IF($U38&lt;1,1/$U38,IF((GO$30-Voorblad!$F$37)/$U38-SUM($EE38:GN38)=1,1,0))))</f>
        <v>0</v>
      </c>
      <c r="GP38" s="8">
        <f>IF(GP$30-Voorblad!$F$37&gt;Voorblad!$K$37,0,IF($U38=0,0,IF($U38&lt;1,1/$U38,IF((GP$30-Voorblad!$F$37)/$U38-SUM($EE38:GO38)=1,1,0))))</f>
        <v>0</v>
      </c>
      <c r="GQ38" s="8">
        <f>IF(GQ$30-Voorblad!$F$37&gt;Voorblad!$K$37,0,IF($U38=0,0,IF($U38&lt;1,1/$U38,IF((GQ$30-Voorblad!$F$37)/$U38-SUM($EE38:GP38)=1,1,0))))</f>
        <v>0</v>
      </c>
      <c r="GR38" s="8">
        <f>IF(GR$30-Voorblad!$F$37&gt;Voorblad!$K$37,0,IF($U38=0,0,IF($U38&lt;1,1/$U38,IF((GR$30-Voorblad!$F$37)/$U38-SUM($EE38:GQ38)=1,1,0))))</f>
        <v>0</v>
      </c>
      <c r="GS38" s="8">
        <f>IF(GS$30-Voorblad!$F$37&gt;Voorblad!$K$37,0,IF($U38=0,0,IF($U38&lt;1,1/$U38,IF((GS$30-Voorblad!$F$37)/$U38-SUM($EE38:GR38)=1,1,0))))</f>
        <v>0</v>
      </c>
      <c r="GT38" s="8">
        <f>IF(GT$30-Voorblad!$F$37&gt;Voorblad!$K$37,0,IF($U38=0,0,IF($U38&lt;1,1/$U38,IF((GT$30-Voorblad!$F$37)/$U38-SUM($EE38:GS38)=1,1,0))))</f>
        <v>0</v>
      </c>
      <c r="GU38" s="8">
        <f>IF(GU$30-Voorblad!$F$37&gt;Voorblad!$K$37,0,IF($U38=0,0,IF($U38&lt;1,1/$U38,IF((GU$30-Voorblad!$F$37)/$U38-SUM($EE38:GT38)=1,1,0))))</f>
        <v>0</v>
      </c>
      <c r="GV38" s="8">
        <f>IF(GV$30-Voorblad!$F$37&gt;Voorblad!$K$37,0,IF($U38=0,0,IF($U38&lt;1,1/$U38,IF((GV$30-Voorblad!$F$37)/$U38-SUM($EE38:GU38)=1,1,0))))</f>
        <v>0</v>
      </c>
      <c r="GW38" s="8">
        <f>IF(GW$30-Voorblad!$F$37&gt;Voorblad!$K$37,0,IF($U38=0,0,IF($U38&lt;1,1/$U38,IF((GW$30-Voorblad!$F$37)/$U38-SUM($EE38:GV38)=1,1,0))))</f>
        <v>0</v>
      </c>
      <c r="GX38" s="8">
        <f>IF(GX$30-Voorblad!$F$37&gt;Voorblad!$K$37,0,IF($U38=0,0,IF($U38&lt;1,1/$U38,IF((GX$30-Voorblad!$F$37)/$U38-SUM($EE38:GW38)=1,1,0))))</f>
        <v>0</v>
      </c>
      <c r="GY38" s="8">
        <f>IF(GY$30-Voorblad!$F$37&gt;Voorblad!$K$37,0,IF($U38=0,0,IF($U38&lt;1,1/$U38,IF((GY$30-Voorblad!$F$37)/$U38-SUM($EE38:GX38)=1,1,0))))</f>
        <v>0</v>
      </c>
      <c r="GZ38" s="8">
        <f>IF(GZ$30-Voorblad!$F$37&gt;Voorblad!$K$37,0,IF($U38=0,0,IF($U38&lt;1,1/$U38,IF((GZ$30-Voorblad!$F$37)/$U38-SUM($EE38:GY38)=1,1,0))))</f>
        <v>0</v>
      </c>
      <c r="HA38" s="8">
        <f>IF(HA$30-Voorblad!$F$37&gt;Voorblad!$K$37,0,IF($U38=0,0,IF($U38&lt;1,1/$U38,IF((HA$30-Voorblad!$F$37)/$U38-SUM($EE38:GZ38)=1,1,0))))</f>
        <v>0</v>
      </c>
      <c r="HB38" s="8">
        <f>IF(HB$30-Voorblad!$F$37&gt;Voorblad!$K$37,0,IF($U38=0,0,IF($U38&lt;1,1/$U38,IF((HB$30-Voorblad!$F$37)/$U38-SUM($EE38:HA38)=1,1,0))))</f>
        <v>0</v>
      </c>
      <c r="HC38" s="8">
        <f>IF(HC$30-Voorblad!$F$37&gt;Voorblad!$K$37,0,IF($U38=0,0,IF($U38&lt;1,1/$U38,IF((HC$30-Voorblad!$F$37)/$U38-SUM($EE38:HB38)=1,1,0))))</f>
        <v>0</v>
      </c>
      <c r="HD38" s="8">
        <f>IF(HD$30-Voorblad!$F$37&gt;Voorblad!$K$37,0,IF($U38=0,0,IF($U38&lt;1,1/$U38,IF((HD$30-Voorblad!$F$37)/$U38-SUM($EE38:HC38)=1,1,0))))</f>
        <v>0</v>
      </c>
      <c r="HE38" s="8">
        <f>IF(HE$30-Voorblad!$F$37&gt;Voorblad!$K$37,0,IF($U38=0,0,IF($U38&lt;1,1/$U38,IF((HE$30-Voorblad!$F$37)/$U38-SUM($EE38:HD38)=1,1,0))))</f>
        <v>0</v>
      </c>
      <c r="HF38" s="8">
        <f>IF(HF$30-Voorblad!$F$37&gt;Voorblad!$K$37,0,IF($U38=0,0,IF($U38&lt;1,1/$U38,IF((HF$30-Voorblad!$F$37)/$U38-SUM($EE38:HE38)=1,1,0))))</f>
        <v>0</v>
      </c>
      <c r="HG38" s="8">
        <f>IF(HG$30-Voorblad!$F$37&gt;Voorblad!$K$37,0,IF($U38=0,0,IF($U38&lt;1,1/$U38,IF((HG$30-Voorblad!$F$37)/$U38-SUM($EE38:HF38)=1,1,0))))</f>
        <v>0</v>
      </c>
      <c r="HH38" s="8">
        <f>IF(HH$30-Voorblad!$F$37&gt;Voorblad!$K$37,0,IF($U38=0,0,IF($U38&lt;1,1/$U38,IF((HH$30-Voorblad!$F$37)/$U38-SUM($EE38:HG38)=1,1,0))))</f>
        <v>0</v>
      </c>
      <c r="HI38" s="8">
        <f>IF(HI$30-Voorblad!$F$37&gt;Voorblad!$K$37,0,IF($U38=0,0,IF($U38&lt;1,1/$U38,IF((HI$30-Voorblad!$F$37)/$U38-SUM($EE38:HH38)=1,1,0))))</f>
        <v>0</v>
      </c>
      <c r="HJ38" s="8">
        <f>IF(HJ$30-Voorblad!$F$37&gt;Voorblad!$K$37,0,IF($U38=0,0,IF($U38&lt;1,1/$U38,IF((HJ$30-Voorblad!$F$37)/$U38-SUM($EE38:HI38)=1,1,0))))</f>
        <v>0</v>
      </c>
      <c r="HK38" s="8">
        <f>IF(HK$30-Voorblad!$F$37&gt;Voorblad!$K$37,0,IF($U38=0,0,IF($U38&lt;1,1/$U38,IF((HK$30-Voorblad!$F$37)/$U38-SUM($EE38:HJ38)=1,1,0))))</f>
        <v>0</v>
      </c>
      <c r="HL38" s="8">
        <f>IF(HL$30-Voorblad!$F$37&gt;Voorblad!$K$37,0,IF($U38=0,0,IF($U38&lt;1,1/$U38,IF((HL$30-Voorblad!$F$37)/$U38-SUM($EE38:HK38)=1,1,0))))</f>
        <v>0</v>
      </c>
      <c r="HM38" s="8">
        <f>IF(HM$30-Voorblad!$F$37&gt;Voorblad!$K$37,0,IF($U38=0,0,IF($U38&lt;1,1/$U38,IF((HM$30-Voorblad!$F$37)/$U38-SUM($EE38:HL38)=1,1,0))))</f>
        <v>0</v>
      </c>
      <c r="HN38" s="8">
        <f>IF(HN$30-Voorblad!$F$37&gt;Voorblad!$K$37,0,IF($U38=0,0,IF($U38&lt;1,1/$U38,IF((HN$30-Voorblad!$F$37)/$U38-SUM($EE38:HM38)=1,1,0))))</f>
        <v>0</v>
      </c>
      <c r="HO38" s="8">
        <f>IF(HO$30-Voorblad!$F$37&gt;Voorblad!$K$37,0,IF($U38=0,0,IF($U38&lt;1,1/$U38,IF((HO$30-Voorblad!$F$37)/$U38-SUM($EE38:HN38)=1,1,0))))</f>
        <v>0</v>
      </c>
      <c r="HP38" s="8">
        <f>IF(HP$30-Voorblad!$F$37&gt;Voorblad!$K$37,0,IF($U38=0,0,IF($U38&lt;1,1/$U38,IF((HP$30-Voorblad!$F$37)/$U38-SUM($EE38:HO38)=1,1,0))))</f>
        <v>0</v>
      </c>
      <c r="HQ38" s="8">
        <f>IF(HQ$30-Voorblad!$F$37&gt;Voorblad!$K$37,0,IF($U38=0,0,IF($U38&lt;1,1/$U38,IF((HQ$30-Voorblad!$F$37)/$U38-SUM($EE38:HP38)=1,1,0))))</f>
        <v>0</v>
      </c>
      <c r="HR38" s="8">
        <f>IF(HR$30-Voorblad!$F$37&gt;Voorblad!$K$37,0,IF($U38=0,0,IF($U38&lt;1,1/$U38,IF((HR$30-Voorblad!$F$37)/$U38-SUM($EE38:HQ38)=1,1,0))))</f>
        <v>0</v>
      </c>
      <c r="HS38" s="8">
        <f>IF(HS$30-Voorblad!$F$37&gt;Voorblad!$K$37,0,IF($U38=0,0,IF($U38&lt;1,1/$U38,IF((HS$30-Voorblad!$F$37)/$U38-SUM($EE38:HR38)=1,1,0))))</f>
        <v>0</v>
      </c>
      <c r="HT38" s="8">
        <f>IF(HT$30-Voorblad!$F$37&gt;Voorblad!$K$37,0,IF($U38=0,0,IF($U38&lt;1,1/$U38,IF((HT$30-Voorblad!$F$37)/$U38-SUM($EE38:HS38)=1,1,0))))</f>
        <v>0</v>
      </c>
      <c r="HU38" s="8">
        <f>IF(HU$30-Voorblad!$F$37&gt;Voorblad!$K$37,0,IF($U38=0,0,IF($U38&lt;1,1/$U38,IF((HU$30-Voorblad!$F$37)/$U38-SUM($EE38:HT38)=1,1,0))))</f>
        <v>0</v>
      </c>
      <c r="HV38" s="8">
        <f>IF(HV$30-Voorblad!$F$37&gt;Voorblad!$K$37,0,IF($U38=0,0,IF($U38&lt;1,1/$U38,IF((HV$30-Voorblad!$F$37)/$U38-SUM($EE38:HU38)=1,1,0))))</f>
        <v>0</v>
      </c>
      <c r="HW38" s="8">
        <f>IF(HW$30-Voorblad!$F$37&gt;Voorblad!$K$37,0,IF($U38=0,0,IF($U38&lt;1,1/$U38,IF((HW$30-Voorblad!$F$37)/$U38-SUM($EE38:HV38)=1,1,0))))</f>
        <v>0</v>
      </c>
      <c r="HX38" s="8">
        <f>IF(HX$30-Voorblad!$F$37&gt;Voorblad!$K$37,0,IF($U38=0,0,IF($U38&lt;1,1/$U38,IF((HX$30-Voorblad!$F$37)/$U38-SUM($EE38:HW38)=1,1,0))))</f>
        <v>0</v>
      </c>
      <c r="HY38" s="8">
        <f>IF(HY$30-Voorblad!$F$37&gt;Voorblad!$K$37,0,IF($U38=0,0,IF($U38&lt;1,1/$U38,IF((HY$30-Voorblad!$F$37)/$U38-SUM($EE38:HX38)=1,1,0))))</f>
        <v>0</v>
      </c>
      <c r="HZ38" s="8">
        <f>IF(HZ$30-Voorblad!$F$37&gt;Voorblad!$K$37,0,IF($U38=0,0,IF($U38&lt;1,1/$U38,IF((HZ$30-Voorblad!$F$37)/$U38-SUM($EE38:HY38)=1,1,0))))</f>
        <v>0</v>
      </c>
      <c r="IA38" s="8">
        <f>IF(IA$30-Voorblad!$F$37&gt;Voorblad!$K$37,0,IF($U38=0,0,IF($U38&lt;1,1/$U38,IF((IA$30-Voorblad!$F$37)/$U38-SUM($EE38:HZ38)=1,1,0))))</f>
        <v>0</v>
      </c>
      <c r="IB38" s="8">
        <f>IF(IB$30-Voorblad!$F$37&gt;Voorblad!$K$37,0,IF($U38=0,0,IF($U38&lt;1,1/$U38,IF((IB$30-Voorblad!$F$37)/$U38-SUM($EE38:IA38)=1,1,0))))</f>
        <v>0</v>
      </c>
    </row>
    <row r="39" spans="2:236" ht="12" customHeight="1" x14ac:dyDescent="0.25">
      <c r="B39" s="78">
        <v>1</v>
      </c>
      <c r="C39" s="120" t="s">
        <v>22</v>
      </c>
      <c r="D39" s="78">
        <v>2</v>
      </c>
      <c r="E39" s="120" t="s">
        <v>22</v>
      </c>
      <c r="F39" s="76" t="s">
        <v>21</v>
      </c>
      <c r="G39" s="76"/>
      <c r="H39" s="76"/>
      <c r="I39" s="76" t="s">
        <v>48</v>
      </c>
      <c r="J39" s="76"/>
      <c r="K39" s="76" t="s">
        <v>308</v>
      </c>
      <c r="L39" s="76"/>
      <c r="M39" s="76"/>
      <c r="N39" s="76"/>
      <c r="O39" s="77"/>
      <c r="P39" s="77" t="s">
        <v>309</v>
      </c>
      <c r="Q39" s="81">
        <v>100</v>
      </c>
      <c r="R39" s="81" t="s">
        <v>34</v>
      </c>
      <c r="S39" s="81">
        <f>$H$10*100</f>
        <v>238</v>
      </c>
      <c r="T39" s="9">
        <f t="shared" si="4"/>
        <v>23800</v>
      </c>
      <c r="U39" s="11">
        <v>1</v>
      </c>
      <c r="V39" s="14"/>
      <c r="W39" s="9">
        <f>Voorblad!K52</f>
        <v>2020</v>
      </c>
      <c r="Y39" s="9">
        <f t="shared" ref="Y39:Y45" si="5">SUM(AE39:EB39)</f>
        <v>22653.182629387273</v>
      </c>
      <c r="Z39" s="82"/>
      <c r="AA39" s="82"/>
      <c r="AC39" s="9">
        <f>$Y39*(Voorblad!$K$44*(1+Voorblad!$K$44)^Voorblad!$K$37)/((1+Voorblad!$K$44)^Voorblad!$K$37-1)</f>
        <v>2588.324629259675</v>
      </c>
      <c r="AE39" s="9">
        <f>IF($W39=AE$30,EF39*($Q39*$S39)/(1+Voorblad!$K$44)^(AE$30-Voorblad!$F$37),0)</f>
        <v>0</v>
      </c>
      <c r="AF39" s="9">
        <f>IF($W39=AF$30,EG39*($Q39*$S39)/(1+Voorblad!$K$44)^(AF$30-Voorblad!$F$37),0)</f>
        <v>0</v>
      </c>
      <c r="AG39" s="9">
        <f>IF($W39=AG$30,EH39*($Q39*$S39)/(1+Voorblad!$K$44)^(AG$30-Voorblad!$F$37),0)</f>
        <v>22653.182629387273</v>
      </c>
      <c r="AH39" s="9">
        <f>IF($W39=AH$30,EI39*($Q39*$S39)/(1+Voorblad!$K$44)^(AH$30-Voorblad!$F$37),0)</f>
        <v>0</v>
      </c>
      <c r="AI39" s="9">
        <f>IF($W39=AI$30,EJ39*($Q39*$S39)/(1+Voorblad!$K$44)^(AI$30-Voorblad!$F$37),0)</f>
        <v>0</v>
      </c>
      <c r="AJ39" s="9">
        <f>IF($W39=AJ$30,EK39*($Q39*$S39)/(1+Voorblad!$K$44)^(AJ$30-Voorblad!$F$37),0)</f>
        <v>0</v>
      </c>
      <c r="AK39" s="9">
        <f>IF($W39=AK$30,EL39*($Q39*$S39)/(1+Voorblad!$K$44)^(AK$30-Voorblad!$F$37),0)</f>
        <v>0</v>
      </c>
      <c r="AL39" s="9">
        <f>IF($W39=AL$30,EM39*($Q39*$S39)/(1+Voorblad!$K$44)^(AL$30-Voorblad!$F$37),0)</f>
        <v>0</v>
      </c>
      <c r="AM39" s="9">
        <f>IF($W39=AM$30,EN39*($Q39*$S39)/(1+Voorblad!$K$44)^(AM$30-Voorblad!$F$37),0)</f>
        <v>0</v>
      </c>
      <c r="AN39" s="9">
        <f>IF($W39=AN$30,EO39*($Q39*$S39)/(1+Voorblad!$K$44)^(AN$30-Voorblad!$F$37),0)</f>
        <v>0</v>
      </c>
      <c r="AO39" s="9">
        <f>IF($W39=AO$30,EP39*($Q39*$S39)/(1+Voorblad!$K$44)^(AO$30-Voorblad!$F$37),0)</f>
        <v>0</v>
      </c>
      <c r="AP39" s="9">
        <f>IF($W39=AP$30,EQ39*($Q39*$S39)/(1+Voorblad!$K$44)^(AP$30-Voorblad!$F$37),0)</f>
        <v>0</v>
      </c>
      <c r="AQ39" s="9">
        <f>IF($W39=AQ$30,ER39*($Q39*$S39)/(1+Voorblad!$K$44)^(AQ$30-Voorblad!$F$37),0)</f>
        <v>0</v>
      </c>
      <c r="AR39" s="9">
        <f>IF($W39=AR$30,ES39*($Q39*$S39)/(1+Voorblad!$K$44)^(AR$30-Voorblad!$F$37),0)</f>
        <v>0</v>
      </c>
      <c r="AS39" s="9">
        <f>IF($W39=AS$30,ET39*($Q39*$S39)/(1+Voorblad!$K$44)^(AS$30-Voorblad!$F$37),0)</f>
        <v>0</v>
      </c>
      <c r="AT39" s="9">
        <f>IF($W39=AT$30,EU39*($Q39*$S39)/(1+Voorblad!$K$44)^(AT$30-Voorblad!$F$37),0)</f>
        <v>0</v>
      </c>
      <c r="AU39" s="9">
        <f>IF($W39=AU$30,EV39*($Q39*$S39)/(1+Voorblad!$K$44)^(AU$30-Voorblad!$F$37),0)</f>
        <v>0</v>
      </c>
      <c r="AV39" s="9">
        <f>IF($W39=AV$30,EW39*($Q39*$S39)/(1+Voorblad!$K$44)^(AV$30-Voorblad!$F$37),0)</f>
        <v>0</v>
      </c>
      <c r="AW39" s="9">
        <f>IF($W39=AW$30,EX39*($Q39*$S39)/(1+Voorblad!$K$44)^(AW$30-Voorblad!$F$37),0)</f>
        <v>0</v>
      </c>
      <c r="AX39" s="9">
        <f>IF($W39=AX$30,EY39*($Q39*$S39)/(1+Voorblad!$K$44)^(AX$30-Voorblad!$F$37),0)</f>
        <v>0</v>
      </c>
      <c r="AY39" s="9">
        <f>IF($W39=AY$30,EZ39*($Q39*$S39)/(1+Voorblad!$K$44)^(AY$30-Voorblad!$F$37),0)</f>
        <v>0</v>
      </c>
      <c r="AZ39" s="9">
        <f>IF($W39=AZ$30,FA39*($Q39*$S39)/(1+Voorblad!$K$44)^(AZ$30-Voorblad!$F$37),0)</f>
        <v>0</v>
      </c>
      <c r="BA39" s="9">
        <f>IF($W39=BA$30,FB39*($Q39*$S39)/(1+Voorblad!$K$44)^(BA$30-Voorblad!$F$37),0)</f>
        <v>0</v>
      </c>
      <c r="BB39" s="9">
        <f>IF($W39=BB$30,FC39*($Q39*$S39)/(1+Voorblad!$K$44)^(BB$30-Voorblad!$F$37),0)</f>
        <v>0</v>
      </c>
      <c r="BC39" s="9">
        <f>IF($W39=BC$30,FD39*($Q39*$S39)/(1+Voorblad!$K$44)^(BC$30-Voorblad!$F$37),0)</f>
        <v>0</v>
      </c>
      <c r="BD39" s="9">
        <f>IF($W39=BD$30,FE39*($Q39*$S39)/(1+Voorblad!$K$44)^(BD$30-Voorblad!$F$37),0)</f>
        <v>0</v>
      </c>
      <c r="BE39" s="9">
        <f>IF($W39=BE$30,FF39*($Q39*$S39)/(1+Voorblad!$K$44)^(BE$30-Voorblad!$F$37),0)</f>
        <v>0</v>
      </c>
      <c r="BF39" s="9">
        <f>IF($W39=BF$30,FG39*($Q39*$S39)/(1+Voorblad!$K$44)^(BF$30-Voorblad!$F$37),0)</f>
        <v>0</v>
      </c>
      <c r="BG39" s="9">
        <f>IF($W39=BG$30,FH39*($Q39*$S39)/(1+Voorblad!$K$44)^(BG$30-Voorblad!$F$37),0)</f>
        <v>0</v>
      </c>
      <c r="BH39" s="9">
        <f>IF($W39=BH$30,FI39*($Q39*$S39)/(1+Voorblad!$K$44)^(BH$30-Voorblad!$F$37),0)</f>
        <v>0</v>
      </c>
      <c r="BI39" s="9">
        <f>IF($W39=BI$30,FJ39*($Q39*$S39)/(1+Voorblad!$K$44)^(BI$30-Voorblad!$F$37),0)</f>
        <v>0</v>
      </c>
      <c r="BJ39" s="9">
        <f>IF($W39=BJ$30,FK39*($Q39*$S39)/(1+Voorblad!$K$44)^(BJ$30-Voorblad!$F$37),0)</f>
        <v>0</v>
      </c>
      <c r="BK39" s="9">
        <f>IF($W39=BK$30,FL39*($Q39*$S39)/(1+Voorblad!$K$44)^(BK$30-Voorblad!$F$37),0)</f>
        <v>0</v>
      </c>
      <c r="BL39" s="9">
        <f>IF($W39=BL$30,FM39*($Q39*$S39)/(1+Voorblad!$K$44)^(BL$30-Voorblad!$F$37),0)</f>
        <v>0</v>
      </c>
      <c r="BM39" s="9">
        <f>IF($W39=BM$30,FN39*($Q39*$S39)/(1+Voorblad!$K$44)^(BM$30-Voorblad!$F$37),0)</f>
        <v>0</v>
      </c>
      <c r="BN39" s="9">
        <f>IF($W39=BN$30,FO39*($Q39*$S39)/(1+Voorblad!$K$44)^(BN$30-Voorblad!$F$37),0)</f>
        <v>0</v>
      </c>
      <c r="BO39" s="9">
        <f>IF($W39=BO$30,FP39*($Q39*$S39)/(1+Voorblad!$K$44)^(BO$30-Voorblad!$F$37),0)</f>
        <v>0</v>
      </c>
      <c r="BP39" s="9">
        <f>IF($W39=BP$30,FQ39*($Q39*$S39)/(1+Voorblad!$K$44)^(BP$30-Voorblad!$F$37),0)</f>
        <v>0</v>
      </c>
      <c r="BQ39" s="9">
        <f>IF($W39=BQ$30,FR39*($Q39*$S39)/(1+Voorblad!$K$44)^(BQ$30-Voorblad!$F$37),0)</f>
        <v>0</v>
      </c>
      <c r="BR39" s="9">
        <f>IF($W39=BR$30,FS39*($Q39*$S39)/(1+Voorblad!$K$44)^(BR$30-Voorblad!$F$37),0)</f>
        <v>0</v>
      </c>
      <c r="BS39" s="9">
        <f>IF($W39=BS$30,FT39*($Q39*$S39)/(1+Voorblad!$K$44)^(BS$30-Voorblad!$F$37),0)</f>
        <v>0</v>
      </c>
      <c r="BT39" s="9">
        <f>IF($W39=BT$30,FU39*($Q39*$S39)/(1+Voorblad!$K$44)^(BT$30-Voorblad!$F$37),0)</f>
        <v>0</v>
      </c>
      <c r="BU39" s="9">
        <f>IF($W39=BU$30,FV39*($Q39*$S39)/(1+Voorblad!$K$44)^(BU$30-Voorblad!$F$37),0)</f>
        <v>0</v>
      </c>
      <c r="BV39" s="9">
        <f>IF($W39=BV$30,FW39*($Q39*$S39)/(1+Voorblad!$K$44)^(BV$30-Voorblad!$F$37),0)</f>
        <v>0</v>
      </c>
      <c r="BW39" s="9">
        <f>IF($W39=BW$30,FX39*($Q39*$S39)/(1+Voorblad!$K$44)^(BW$30-Voorblad!$F$37),0)</f>
        <v>0</v>
      </c>
      <c r="BX39" s="9">
        <f>IF($W39=BX$30,FY39*($Q39*$S39)/(1+Voorblad!$K$44)^(BX$30-Voorblad!$F$37),0)</f>
        <v>0</v>
      </c>
      <c r="BY39" s="9">
        <f>IF($W39=BY$30,FZ39*($Q39*$S39)/(1+Voorblad!$K$44)^(BY$30-Voorblad!$F$37),0)</f>
        <v>0</v>
      </c>
      <c r="BZ39" s="9">
        <f>IF($W39=BZ$30,GA39*($Q39*$S39)/(1+Voorblad!$K$44)^(BZ$30-Voorblad!$F$37),0)</f>
        <v>0</v>
      </c>
      <c r="CA39" s="9">
        <f>IF($W39=CA$30,GB39*($Q39*$S39)/(1+Voorblad!$K$44)^(CA$30-Voorblad!$F$37),0)</f>
        <v>0</v>
      </c>
      <c r="CB39" s="9">
        <f>IF($W39=CB$30,GC39*($Q39*$S39)/(1+Voorblad!$K$44)^(CB$30-Voorblad!$F$37),0)</f>
        <v>0</v>
      </c>
      <c r="CC39" s="9">
        <f>IF($W39=CC$30,GD39*($Q39*$S39)/(1+Voorblad!$K$44)^(CC$30-Voorblad!$F$37),0)</f>
        <v>0</v>
      </c>
      <c r="CD39" s="9">
        <f>IF($W39=CD$30,GE39*($Q39*$S39)/(1+Voorblad!$K$44)^(CD$30-Voorblad!$F$37),0)</f>
        <v>0</v>
      </c>
      <c r="CE39" s="9">
        <f>IF($W39=CE$30,GF39*($Q39*$S39)/(1+Voorblad!$K$44)^(CE$30-Voorblad!$F$37),0)</f>
        <v>0</v>
      </c>
      <c r="CF39" s="9">
        <f>IF($W39=CF$30,GG39*($Q39*$S39)/(1+Voorblad!$K$44)^(CF$30-Voorblad!$F$37),0)</f>
        <v>0</v>
      </c>
      <c r="CG39" s="9">
        <f>IF($W39=CG$30,GH39*($Q39*$S39)/(1+Voorblad!$K$44)^(CG$30-Voorblad!$F$37),0)</f>
        <v>0</v>
      </c>
      <c r="CH39" s="9">
        <f>IF($W39=CH$30,GI39*($Q39*$S39)/(1+Voorblad!$K$44)^(CH$30-Voorblad!$F$37),0)</f>
        <v>0</v>
      </c>
      <c r="CI39" s="9">
        <f>IF($W39=CI$30,GJ39*($Q39*$S39)/(1+Voorblad!$K$44)^(CI$30-Voorblad!$F$37),0)</f>
        <v>0</v>
      </c>
      <c r="CJ39" s="9">
        <f>IF($W39=CJ$30,GK39*($Q39*$S39)/(1+Voorblad!$K$44)^(CJ$30-Voorblad!$F$37),0)</f>
        <v>0</v>
      </c>
      <c r="CK39" s="9">
        <f>IF($W39=CK$30,GL39*($Q39*$S39)/(1+Voorblad!$K$44)^(CK$30-Voorblad!$F$37),0)</f>
        <v>0</v>
      </c>
      <c r="CL39" s="9">
        <f>IF($W39=CL$30,GM39*($Q39*$S39)/(1+Voorblad!$K$44)^(CL$30-Voorblad!$F$37),0)</f>
        <v>0</v>
      </c>
      <c r="CM39" s="9">
        <f>IF($W39=CM$30,GN39*($Q39*$S39)/(1+Voorblad!$K$44)^(CM$30-Voorblad!$F$37),0)</f>
        <v>0</v>
      </c>
      <c r="CN39" s="9">
        <f>IF($W39=CN$30,GO39*($Q39*$S39)/(1+Voorblad!$K$44)^(CN$30-Voorblad!$F$37),0)</f>
        <v>0</v>
      </c>
      <c r="CO39" s="9">
        <f>IF($W39=CO$30,GP39*($Q39*$S39)/(1+Voorblad!$K$44)^(CO$30-Voorblad!$F$37),0)</f>
        <v>0</v>
      </c>
      <c r="CP39" s="9">
        <f>IF($W39=CP$30,GQ39*($Q39*$S39)/(1+Voorblad!$K$44)^(CP$30-Voorblad!$F$37),0)</f>
        <v>0</v>
      </c>
      <c r="CQ39" s="9">
        <f>IF($W39=CQ$30,GR39*($Q39*$S39)/(1+Voorblad!$K$44)^(CQ$30-Voorblad!$F$37),0)</f>
        <v>0</v>
      </c>
      <c r="CR39" s="9">
        <f>IF($W39=CR$30,GS39*($Q39*$S39)/(1+Voorblad!$K$44)^(CR$30-Voorblad!$F$37),0)</f>
        <v>0</v>
      </c>
      <c r="CS39" s="9">
        <f>IF($W39=CS$30,GT39*($Q39*$S39)/(1+Voorblad!$K$44)^(CS$30-Voorblad!$F$37),0)</f>
        <v>0</v>
      </c>
      <c r="CT39" s="9">
        <f>IF($W39=CT$30,GU39*($Q39*$S39)/(1+Voorblad!$K$44)^(CT$30-Voorblad!$F$37),0)</f>
        <v>0</v>
      </c>
      <c r="CU39" s="9">
        <f>IF($W39=CU$30,GV39*($Q39*$S39)/(1+Voorblad!$K$44)^(CU$30-Voorblad!$F$37),0)</f>
        <v>0</v>
      </c>
      <c r="CV39" s="9">
        <f>IF($W39=CV$30,GW39*($Q39*$S39)/(1+Voorblad!$K$44)^(CV$30-Voorblad!$F$37),0)</f>
        <v>0</v>
      </c>
      <c r="CW39" s="9">
        <f>IF($W39=CW$30,GX39*($Q39*$S39)/(1+Voorblad!$K$44)^(CW$30-Voorblad!$F$37),0)</f>
        <v>0</v>
      </c>
      <c r="CX39" s="9">
        <f>IF($W39=CX$30,GY39*($Q39*$S39)/(1+Voorblad!$K$44)^(CX$30-Voorblad!$F$37),0)</f>
        <v>0</v>
      </c>
      <c r="CY39" s="9">
        <f>IF($W39=CY$30,GZ39*($Q39*$S39)/(1+Voorblad!$K$44)^(CY$30-Voorblad!$F$37),0)</f>
        <v>0</v>
      </c>
      <c r="CZ39" s="9">
        <f>IF($W39=CZ$30,HA39*($Q39*$S39)/(1+Voorblad!$K$44)^(CZ$30-Voorblad!$F$37),0)</f>
        <v>0</v>
      </c>
      <c r="DA39" s="9">
        <f>IF($W39=DA$30,HB39*($Q39*$S39)/(1+Voorblad!$K$44)^(DA$30-Voorblad!$F$37),0)</f>
        <v>0</v>
      </c>
      <c r="DB39" s="9">
        <f>IF($W39=DB$30,HC39*($Q39*$S39)/(1+Voorblad!$K$44)^(DB$30-Voorblad!$F$37),0)</f>
        <v>0</v>
      </c>
      <c r="DC39" s="9">
        <f>IF($W39=DC$30,HD39*($Q39*$S39)/(1+Voorblad!$K$44)^(DC$30-Voorblad!$F$37),0)</f>
        <v>0</v>
      </c>
      <c r="DD39" s="9">
        <f>IF($W39=DD$30,HE39*($Q39*$S39)/(1+Voorblad!$K$44)^(DD$30-Voorblad!$F$37),0)</f>
        <v>0</v>
      </c>
      <c r="DE39" s="9">
        <f>IF($W39=DE$30,HF39*($Q39*$S39)/(1+Voorblad!$K$44)^(DE$30-Voorblad!$F$37),0)</f>
        <v>0</v>
      </c>
      <c r="DF39" s="9">
        <f>IF($W39=DF$30,HG39*($Q39*$S39)/(1+Voorblad!$K$44)^(DF$30-Voorblad!$F$37),0)</f>
        <v>0</v>
      </c>
      <c r="DG39" s="9">
        <f>IF($W39=DG$30,HH39*($Q39*$S39)/(1+Voorblad!$K$44)^(DG$30-Voorblad!$F$37),0)</f>
        <v>0</v>
      </c>
      <c r="DH39" s="9">
        <f>IF($W39=DH$30,HI39*($Q39*$S39)/(1+Voorblad!$K$44)^(DH$30-Voorblad!$F$37),0)</f>
        <v>0</v>
      </c>
      <c r="DI39" s="9">
        <f>IF($W39=DI$30,HJ39*($Q39*$S39)/(1+Voorblad!$K$44)^(DI$30-Voorblad!$F$37),0)</f>
        <v>0</v>
      </c>
      <c r="DJ39" s="9">
        <f>IF($W39=DJ$30,HK39*($Q39*$S39)/(1+Voorblad!$K$44)^(DJ$30-Voorblad!$F$37),0)</f>
        <v>0</v>
      </c>
      <c r="DK39" s="9">
        <f>IF($W39=DK$30,HL39*($Q39*$S39)/(1+Voorblad!$K$44)^(DK$30-Voorblad!$F$37),0)</f>
        <v>0</v>
      </c>
      <c r="DL39" s="9">
        <f>IF($W39=DL$30,HM39*($Q39*$S39)/(1+Voorblad!$K$44)^(DL$30-Voorblad!$F$37),0)</f>
        <v>0</v>
      </c>
      <c r="DM39" s="9">
        <f>IF($W39=DM$30,HN39*($Q39*$S39)/(1+Voorblad!$K$44)^(DM$30-Voorblad!$F$37),0)</f>
        <v>0</v>
      </c>
      <c r="DN39" s="9">
        <f>IF($W39=DN$30,HO39*($Q39*$S39)/(1+Voorblad!$K$44)^(DN$30-Voorblad!$F$37),0)</f>
        <v>0</v>
      </c>
      <c r="DO39" s="9">
        <f>IF($W39=DO$30,HP39*($Q39*$S39)/(1+Voorblad!$K$44)^(DO$30-Voorblad!$F$37),0)</f>
        <v>0</v>
      </c>
      <c r="DP39" s="9">
        <f>IF($W39=DP$30,HQ39*($Q39*$S39)/(1+Voorblad!$K$44)^(DP$30-Voorblad!$F$37),0)</f>
        <v>0</v>
      </c>
      <c r="DQ39" s="9">
        <f>IF($W39=DQ$30,HR39*($Q39*$S39)/(1+Voorblad!$K$44)^(DQ$30-Voorblad!$F$37),0)</f>
        <v>0</v>
      </c>
      <c r="DR39" s="9">
        <f>IF($W39=DR$30,HS39*($Q39*$S39)/(1+Voorblad!$K$44)^(DR$30-Voorblad!$F$37),0)</f>
        <v>0</v>
      </c>
      <c r="DS39" s="9">
        <f>IF($W39=DS$30,HT39*($Q39*$S39)/(1+Voorblad!$K$44)^(DS$30-Voorblad!$F$37),0)</f>
        <v>0</v>
      </c>
      <c r="DT39" s="9">
        <f>IF($W39=DT$30,HU39*($Q39*$S39)/(1+Voorblad!$K$44)^(DT$30-Voorblad!$F$37),0)</f>
        <v>0</v>
      </c>
      <c r="DU39" s="9">
        <f>IF($W39=DU$30,HV39*($Q39*$S39)/(1+Voorblad!$K$44)^(DU$30-Voorblad!$F$37),0)</f>
        <v>0</v>
      </c>
      <c r="DV39" s="9">
        <f>IF($W39=DV$30,HW39*($Q39*$S39)/(1+Voorblad!$K$44)^(DV$30-Voorblad!$F$37),0)</f>
        <v>0</v>
      </c>
      <c r="DW39" s="9">
        <f>IF($W39=DW$30,HX39*($Q39*$S39)/(1+Voorblad!$K$44)^(DW$30-Voorblad!$F$37),0)</f>
        <v>0</v>
      </c>
      <c r="DX39" s="9">
        <f>IF($W39=DX$30,HY39*($Q39*$S39)/(1+Voorblad!$K$44)^(DX$30-Voorblad!$F$37),0)</f>
        <v>0</v>
      </c>
      <c r="DY39" s="9">
        <f>IF($W39=DY$30,HZ39*($Q39*$S39)/(1+Voorblad!$K$44)^(DY$30-Voorblad!$F$37),0)</f>
        <v>0</v>
      </c>
      <c r="DZ39" s="9">
        <f>IF($W39=DZ$30,IA39*($Q39*$S39)/(1+Voorblad!$K$44)^(DZ$30-Voorblad!$F$37),0)</f>
        <v>0</v>
      </c>
      <c r="EA39" s="9">
        <f>IF($W39=EA$30,IB39*($Q39*$S39)/(1+Voorblad!$K$44)^(EA$30-Voorblad!$F$37),0)</f>
        <v>0</v>
      </c>
      <c r="EB39" s="9">
        <f>IF($W39=EB$30,IC39*($Q39*$S39)/(1+Voorblad!$K$44)^(EB$30-Voorblad!$F$37),0)</f>
        <v>0</v>
      </c>
      <c r="EE39" s="8">
        <v>0</v>
      </c>
      <c r="EF39" s="8">
        <f>IF(EF$30-Voorblad!$F$37&gt;Voorblad!$K$37,0,IF($U39=0,0,IF($U39&lt;1,1/$U39,IF((EF$30-Voorblad!$F$37)/$U39-SUM($EE39:EE39)=1,1,0))))</f>
        <v>0</v>
      </c>
      <c r="EG39" s="8">
        <f>IF(EG$30-Voorblad!$F$37&gt;Voorblad!$K$37,0,IF($U39=0,0,IF($U39&lt;1,1/$U39,IF((EG$30-Voorblad!$F$37)/$U39-SUM($EE39:EF39)=1,1,0))))</f>
        <v>1</v>
      </c>
      <c r="EH39" s="8">
        <f>IF(EH$30-Voorblad!$F$37&gt;Voorblad!$K$37,0,IF($U39=0,0,IF($U39&lt;1,1/$U39,IF((EH$30-Voorblad!$F$37)/$U39-SUM($EE39:EG39)=1,1,0))))</f>
        <v>1</v>
      </c>
      <c r="EI39" s="8">
        <f>IF(EI$30-Voorblad!$F$37&gt;Voorblad!$K$37,0,IF($U39=0,0,IF($U39&lt;1,1/$U39,IF((EI$30-Voorblad!$F$37)/$U39-SUM($EE39:EH39)=1,1,0))))</f>
        <v>1</v>
      </c>
      <c r="EJ39" s="8">
        <f>IF(EJ$30-Voorblad!$F$37&gt;Voorblad!$K$37,0,IF($U39=0,0,IF($U39&lt;1,1/$U39,IF((EJ$30-Voorblad!$F$37)/$U39-SUM($EE39:EI39)=1,1,0))))</f>
        <v>1</v>
      </c>
      <c r="EK39" s="8">
        <f>IF(EK$30-Voorblad!$F$37&gt;Voorblad!$K$37,0,IF($U39=0,0,IF($U39&lt;1,1/$U39,IF((EK$30-Voorblad!$F$37)/$U39-SUM($EE39:EJ39)=1,1,0))))</f>
        <v>1</v>
      </c>
      <c r="EL39" s="8">
        <f>IF(EL$30-Voorblad!$F$37&gt;Voorblad!$K$37,0,IF($U39=0,0,IF($U39&lt;1,1/$U39,IF((EL$30-Voorblad!$F$37)/$U39-SUM($EE39:EK39)=1,1,0))))</f>
        <v>1</v>
      </c>
      <c r="EM39" s="8">
        <f>IF(EM$30-Voorblad!$F$37&gt;Voorblad!$K$37,0,IF($U39=0,0,IF($U39&lt;1,1/$U39,IF((EM$30-Voorblad!$F$37)/$U39-SUM($EE39:EL39)=1,1,0))))</f>
        <v>1</v>
      </c>
      <c r="EN39" s="8">
        <f>IF(EN$30-Voorblad!$F$37&gt;Voorblad!$K$37,0,IF($U39=0,0,IF($U39&lt;1,1/$U39,IF((EN$30-Voorblad!$F$37)/$U39-SUM($EE39:EM39)=1,1,0))))</f>
        <v>1</v>
      </c>
      <c r="EO39" s="8">
        <f>IF(EO$30-Voorblad!$F$37&gt;Voorblad!$K$37,0,IF($U39=0,0,IF($U39&lt;1,1/$U39,IF((EO$30-Voorblad!$F$37)/$U39-SUM($EE39:EN39)=1,1,0))))</f>
        <v>1</v>
      </c>
      <c r="EP39" s="8">
        <f>IF(EP$30-Voorblad!$F$37&gt;Voorblad!$K$37,0,IF($U39=0,0,IF($U39&lt;1,1/$U39,IF((EP$30-Voorblad!$F$37)/$U39-SUM($EE39:EO39)=1,1,0))))</f>
        <v>1</v>
      </c>
      <c r="EQ39" s="8">
        <f>IF(EQ$30-Voorblad!$F$37&gt;Voorblad!$K$37,0,IF($U39=0,0,IF($U39&lt;1,1/$U39,IF((EQ$30-Voorblad!$F$37)/$U39-SUM($EE39:EP39)=1,1,0))))</f>
        <v>0</v>
      </c>
      <c r="ER39" s="8">
        <f>IF(ER$30-Voorblad!$F$37&gt;Voorblad!$K$37,0,IF($U39=0,0,IF($U39&lt;1,1/$U39,IF((ER$30-Voorblad!$F$37)/$U39-SUM($EE39:EQ39)=1,1,0))))</f>
        <v>0</v>
      </c>
      <c r="ES39" s="8">
        <f>IF(ES$30-Voorblad!$F$37&gt;Voorblad!$K$37,0,IF($U39=0,0,IF($U39&lt;1,1/$U39,IF((ES$30-Voorblad!$F$37)/$U39-SUM($EE39:ER39)=1,1,0))))</f>
        <v>0</v>
      </c>
      <c r="ET39" s="8">
        <f>IF(ET$30-Voorblad!$F$37&gt;Voorblad!$K$37,0,IF($U39=0,0,IF($U39&lt;1,1/$U39,IF((ET$30-Voorblad!$F$37)/$U39-SUM($EE39:ES39)=1,1,0))))</f>
        <v>0</v>
      </c>
      <c r="EU39" s="8">
        <f>IF(EU$30-Voorblad!$F$37&gt;Voorblad!$K$37,0,IF($U39=0,0,IF($U39&lt;1,1/$U39,IF((EU$30-Voorblad!$F$37)/$U39-SUM($EE39:ET39)=1,1,0))))</f>
        <v>0</v>
      </c>
      <c r="EV39" s="8">
        <f>IF(EV$30-Voorblad!$F$37&gt;Voorblad!$K$37,0,IF($U39=0,0,IF($U39&lt;1,1/$U39,IF((EV$30-Voorblad!$F$37)/$U39-SUM($EE39:EU39)=1,1,0))))</f>
        <v>0</v>
      </c>
      <c r="EW39" s="8">
        <f>IF(EW$30-Voorblad!$F$37&gt;Voorblad!$K$37,0,IF($U39=0,0,IF($U39&lt;1,1/$U39,IF((EW$30-Voorblad!$F$37)/$U39-SUM($EE39:EV39)=1,1,0))))</f>
        <v>0</v>
      </c>
      <c r="EX39" s="8">
        <f>IF(EX$30-Voorblad!$F$37&gt;Voorblad!$K$37,0,IF($U39=0,0,IF($U39&lt;1,1/$U39,IF((EX$30-Voorblad!$F$37)/$U39-SUM($EE39:EW39)=1,1,0))))</f>
        <v>0</v>
      </c>
      <c r="EY39" s="8">
        <f>IF(EY$30-Voorblad!$F$37&gt;Voorblad!$K$37,0,IF($U39=0,0,IF($U39&lt;1,1/$U39,IF((EY$30-Voorblad!$F$37)/$U39-SUM($EE39:EX39)=1,1,0))))</f>
        <v>0</v>
      </c>
      <c r="EZ39" s="8">
        <f>IF(EZ$30-Voorblad!$F$37&gt;Voorblad!$K$37,0,IF($U39=0,0,IF($U39&lt;1,1/$U39,IF((EZ$30-Voorblad!$F$37)/$U39-SUM($EE39:EY39)=1,1,0))))</f>
        <v>0</v>
      </c>
      <c r="FA39" s="8">
        <f>IF(FA$30-Voorblad!$F$37&gt;Voorblad!$K$37,0,IF($U39=0,0,IF($U39&lt;1,1/$U39,IF((FA$30-Voorblad!$F$37)/$U39-SUM($EE39:EZ39)=1,1,0))))</f>
        <v>0</v>
      </c>
      <c r="FB39" s="8">
        <f>IF(FB$30-Voorblad!$F$37&gt;Voorblad!$K$37,0,IF($U39=0,0,IF($U39&lt;1,1/$U39,IF((FB$30-Voorblad!$F$37)/$U39-SUM($EE39:FA39)=1,1,0))))</f>
        <v>0</v>
      </c>
      <c r="FC39" s="8">
        <f>IF(FC$30-Voorblad!$F$37&gt;Voorblad!$K$37,0,IF($U39=0,0,IF($U39&lt;1,1/$U39,IF((FC$30-Voorblad!$F$37)/$U39-SUM($EE39:FB39)=1,1,0))))</f>
        <v>0</v>
      </c>
      <c r="FD39" s="8">
        <f>IF(FD$30-Voorblad!$F$37&gt;Voorblad!$K$37,0,IF($U39=0,0,IF($U39&lt;1,1/$U39,IF((FD$30-Voorblad!$F$37)/$U39-SUM($EE39:FC39)=1,1,0))))</f>
        <v>0</v>
      </c>
      <c r="FE39" s="8">
        <f>IF(FE$30-Voorblad!$F$37&gt;Voorblad!$K$37,0,IF($U39=0,0,IF($U39&lt;1,1/$U39,IF((FE$30-Voorblad!$F$37)/$U39-SUM($EE39:FD39)=1,1,0))))</f>
        <v>0</v>
      </c>
      <c r="FF39" s="8">
        <f>IF(FF$30-Voorblad!$F$37&gt;Voorblad!$K$37,0,IF($U39=0,0,IF($U39&lt;1,1/$U39,IF((FF$30-Voorblad!$F$37)/$U39-SUM($EE39:FE39)=1,1,0))))</f>
        <v>0</v>
      </c>
      <c r="FG39" s="8">
        <f>IF(FG$30-Voorblad!$F$37&gt;Voorblad!$K$37,0,IF($U39=0,0,IF($U39&lt;1,1/$U39,IF((FG$30-Voorblad!$F$37)/$U39-SUM($EE39:FF39)=1,1,0))))</f>
        <v>0</v>
      </c>
      <c r="FH39" s="8">
        <f>IF(FH$30-Voorblad!$F$37&gt;Voorblad!$K$37,0,IF($U39=0,0,IF($U39&lt;1,1/$U39,IF((FH$30-Voorblad!$F$37)/$U39-SUM($EE39:FG39)=1,1,0))))</f>
        <v>0</v>
      </c>
      <c r="FI39" s="8">
        <f>IF(FI$30-Voorblad!$F$37&gt;Voorblad!$K$37,0,IF($U39=0,0,IF($U39&lt;1,1/$U39,IF((FI$30-Voorblad!$F$37)/$U39-SUM($EE39:FH39)=1,1,0))))</f>
        <v>0</v>
      </c>
      <c r="FJ39" s="8">
        <f>IF(FJ$30-Voorblad!$F$37&gt;Voorblad!$K$37,0,IF($U39=0,0,IF($U39&lt;1,1/$U39,IF((FJ$30-Voorblad!$F$37)/$U39-SUM($EE39:FI39)=1,1,0))))</f>
        <v>0</v>
      </c>
      <c r="FK39" s="8">
        <f>IF(FK$30-Voorblad!$F$37&gt;Voorblad!$K$37,0,IF($U39=0,0,IF($U39&lt;1,1/$U39,IF((FK$30-Voorblad!$F$37)/$U39-SUM($EE39:FJ39)=1,1,0))))</f>
        <v>0</v>
      </c>
      <c r="FL39" s="8">
        <f>IF(FL$30-Voorblad!$F$37&gt;Voorblad!$K$37,0,IF($U39=0,0,IF($U39&lt;1,1/$U39,IF((FL$30-Voorblad!$F$37)/$U39-SUM($EE39:FK39)=1,1,0))))</f>
        <v>0</v>
      </c>
      <c r="FM39" s="8">
        <f>IF(FM$30-Voorblad!$F$37&gt;Voorblad!$K$37,0,IF($U39=0,0,IF($U39&lt;1,1/$U39,IF((FM$30-Voorblad!$F$37)/$U39-SUM($EE39:FL39)=1,1,0))))</f>
        <v>0</v>
      </c>
      <c r="FN39" s="8">
        <f>IF(FN$30-Voorblad!$F$37&gt;Voorblad!$K$37,0,IF($U39=0,0,IF($U39&lt;1,1/$U39,IF((FN$30-Voorblad!$F$37)/$U39-SUM($EE39:FM39)=1,1,0))))</f>
        <v>0</v>
      </c>
      <c r="FO39" s="8">
        <f>IF(FO$30-Voorblad!$F$37&gt;Voorblad!$K$37,0,IF($U39=0,0,IF($U39&lt;1,1/$U39,IF((FO$30-Voorblad!$F$37)/$U39-SUM($EE39:FN39)=1,1,0))))</f>
        <v>0</v>
      </c>
      <c r="FP39" s="8">
        <f>IF(FP$30-Voorblad!$F$37&gt;Voorblad!$K$37,0,IF($U39=0,0,IF($U39&lt;1,1/$U39,IF((FP$30-Voorblad!$F$37)/$U39-SUM($EE39:FO39)=1,1,0))))</f>
        <v>0</v>
      </c>
      <c r="FQ39" s="8">
        <f>IF(FQ$30-Voorblad!$F$37&gt;Voorblad!$K$37,0,IF($U39=0,0,IF($U39&lt;1,1/$U39,IF((FQ$30-Voorblad!$F$37)/$U39-SUM($EE39:FP39)=1,1,0))))</f>
        <v>0</v>
      </c>
      <c r="FR39" s="8">
        <f>IF(FR$30-Voorblad!$F$37&gt;Voorblad!$K$37,0,IF($U39=0,0,IF($U39&lt;1,1/$U39,IF((FR$30-Voorblad!$F$37)/$U39-SUM($EE39:FQ39)=1,1,0))))</f>
        <v>0</v>
      </c>
      <c r="FS39" s="8">
        <f>IF(FS$30-Voorblad!$F$37&gt;Voorblad!$K$37,0,IF($U39=0,0,IF($U39&lt;1,1/$U39,IF((FS$30-Voorblad!$F$37)/$U39-SUM($EE39:FR39)=1,1,0))))</f>
        <v>0</v>
      </c>
      <c r="FT39" s="8">
        <f>IF(FT$30-Voorblad!$F$37&gt;Voorblad!$K$37,0,IF($U39=0,0,IF($U39&lt;1,1/$U39,IF((FT$30-Voorblad!$F$37)/$U39-SUM($EE39:FS39)=1,1,0))))</f>
        <v>0</v>
      </c>
      <c r="FU39" s="8">
        <f>IF(FU$30-Voorblad!$F$37&gt;Voorblad!$K$37,0,IF($U39=0,0,IF($U39&lt;1,1/$U39,IF((FU$30-Voorblad!$F$37)/$U39-SUM($EE39:FT39)=1,1,0))))</f>
        <v>0</v>
      </c>
      <c r="FV39" s="8">
        <f>IF(FV$30-Voorblad!$F$37&gt;Voorblad!$K$37,0,IF($U39=0,0,IF($U39&lt;1,1/$U39,IF((FV$30-Voorblad!$F$37)/$U39-SUM($EE39:FU39)=1,1,0))))</f>
        <v>0</v>
      </c>
      <c r="FW39" s="8">
        <f>IF(FW$30-Voorblad!$F$37&gt;Voorblad!$K$37,0,IF($U39=0,0,IF($U39&lt;1,1/$U39,IF((FW$30-Voorblad!$F$37)/$U39-SUM($EE39:FV39)=1,1,0))))</f>
        <v>0</v>
      </c>
      <c r="FX39" s="8">
        <f>IF(FX$30-Voorblad!$F$37&gt;Voorblad!$K$37,0,IF($U39=0,0,IF($U39&lt;1,1/$U39,IF((FX$30-Voorblad!$F$37)/$U39-SUM($EE39:FW39)=1,1,0))))</f>
        <v>0</v>
      </c>
      <c r="FY39" s="8">
        <f>IF(FY$30-Voorblad!$F$37&gt;Voorblad!$K$37,0,IF($U39=0,0,IF($U39&lt;1,1/$U39,IF((FY$30-Voorblad!$F$37)/$U39-SUM($EE39:FX39)=1,1,0))))</f>
        <v>0</v>
      </c>
      <c r="FZ39" s="8">
        <f>IF(FZ$30-Voorblad!$F$37&gt;Voorblad!$K$37,0,IF($U39=0,0,IF($U39&lt;1,1/$U39,IF((FZ$30-Voorblad!$F$37)/$U39-SUM($EE39:FY39)=1,1,0))))</f>
        <v>0</v>
      </c>
      <c r="GA39" s="8">
        <f>IF(GA$30-Voorblad!$F$37&gt;Voorblad!$K$37,0,IF($U39=0,0,IF($U39&lt;1,1/$U39,IF((GA$30-Voorblad!$F$37)/$U39-SUM($EE39:FZ39)=1,1,0))))</f>
        <v>0</v>
      </c>
      <c r="GB39" s="8">
        <f>IF(GB$30-Voorblad!$F$37&gt;Voorblad!$K$37,0,IF($U39=0,0,IF($U39&lt;1,1/$U39,IF((GB$30-Voorblad!$F$37)/$U39-SUM($EE39:GA39)=1,1,0))))</f>
        <v>0</v>
      </c>
      <c r="GC39" s="8">
        <f>IF(GC$30-Voorblad!$F$37&gt;Voorblad!$K$37,0,IF($U39=0,0,IF($U39&lt;1,1/$U39,IF((GC$30-Voorblad!$F$37)/$U39-SUM($EE39:GB39)=1,1,0))))</f>
        <v>0</v>
      </c>
      <c r="GD39" s="8">
        <f>IF(GD$30-Voorblad!$F$37&gt;Voorblad!$K$37,0,IF($U39=0,0,IF($U39&lt;1,1/$U39,IF((GD$30-Voorblad!$F$37)/$U39-SUM($EE39:GC39)=1,1,0))))</f>
        <v>0</v>
      </c>
      <c r="GE39" s="8">
        <f>IF(GE$30-Voorblad!$F$37&gt;Voorblad!$K$37,0,IF($U39=0,0,IF($U39&lt;1,1/$U39,IF((GE$30-Voorblad!$F$37)/$U39-SUM($EE39:GD39)=1,1,0))))</f>
        <v>0</v>
      </c>
      <c r="GF39" s="8">
        <f>IF(GF$30-Voorblad!$F$37&gt;Voorblad!$K$37,0,IF($U39=0,0,IF($U39&lt;1,1/$U39,IF((GF$30-Voorblad!$F$37)/$U39-SUM($EE39:GE39)=1,1,0))))</f>
        <v>0</v>
      </c>
      <c r="GG39" s="8">
        <f>IF(GG$30-Voorblad!$F$37&gt;Voorblad!$K$37,0,IF($U39=0,0,IF($U39&lt;1,1/$U39,IF((GG$30-Voorblad!$F$37)/$U39-SUM($EE39:GF39)=1,1,0))))</f>
        <v>0</v>
      </c>
      <c r="GH39" s="8">
        <f>IF(GH$30-Voorblad!$F$37&gt;Voorblad!$K$37,0,IF($U39=0,0,IF($U39&lt;1,1/$U39,IF((GH$30-Voorblad!$F$37)/$U39-SUM($EE39:GG39)=1,1,0))))</f>
        <v>0</v>
      </c>
      <c r="GI39" s="8">
        <f>IF(GI$30-Voorblad!$F$37&gt;Voorblad!$K$37,0,IF($U39=0,0,IF($U39&lt;1,1/$U39,IF((GI$30-Voorblad!$F$37)/$U39-SUM($EE39:GH39)=1,1,0))))</f>
        <v>0</v>
      </c>
      <c r="GJ39" s="8">
        <f>IF(GJ$30-Voorblad!$F$37&gt;Voorblad!$K$37,0,IF($U39=0,0,IF($U39&lt;1,1/$U39,IF((GJ$30-Voorblad!$F$37)/$U39-SUM($EE39:GI39)=1,1,0))))</f>
        <v>0</v>
      </c>
      <c r="GK39" s="8">
        <f>IF(GK$30-Voorblad!$F$37&gt;Voorblad!$K$37,0,IF($U39=0,0,IF($U39&lt;1,1/$U39,IF((GK$30-Voorblad!$F$37)/$U39-SUM($EE39:GJ39)=1,1,0))))</f>
        <v>0</v>
      </c>
      <c r="GL39" s="8">
        <f>IF(GL$30-Voorblad!$F$37&gt;Voorblad!$K$37,0,IF($U39=0,0,IF($U39&lt;1,1/$U39,IF((GL$30-Voorblad!$F$37)/$U39-SUM($EE39:GK39)=1,1,0))))</f>
        <v>0</v>
      </c>
      <c r="GM39" s="8">
        <f>IF(GM$30-Voorblad!$F$37&gt;Voorblad!$K$37,0,IF($U39=0,0,IF($U39&lt;1,1/$U39,IF((GM$30-Voorblad!$F$37)/$U39-SUM($EE39:GL39)=1,1,0))))</f>
        <v>0</v>
      </c>
      <c r="GN39" s="8">
        <f>IF(GN$30-Voorblad!$F$37&gt;Voorblad!$K$37,0,IF($U39=0,0,IF($U39&lt;1,1/$U39,IF((GN$30-Voorblad!$F$37)/$U39-SUM($EE39:GM39)=1,1,0))))</f>
        <v>0</v>
      </c>
      <c r="GO39" s="8">
        <f>IF(GO$30-Voorblad!$F$37&gt;Voorblad!$K$37,0,IF($U39=0,0,IF($U39&lt;1,1/$U39,IF((GO$30-Voorblad!$F$37)/$U39-SUM($EE39:GN39)=1,1,0))))</f>
        <v>0</v>
      </c>
      <c r="GP39" s="8">
        <f>IF(GP$30-Voorblad!$F$37&gt;Voorblad!$K$37,0,IF($U39=0,0,IF($U39&lt;1,1/$U39,IF((GP$30-Voorblad!$F$37)/$U39-SUM($EE39:GO39)=1,1,0))))</f>
        <v>0</v>
      </c>
      <c r="GQ39" s="8">
        <f>IF(GQ$30-Voorblad!$F$37&gt;Voorblad!$K$37,0,IF($U39=0,0,IF($U39&lt;1,1/$U39,IF((GQ$30-Voorblad!$F$37)/$U39-SUM($EE39:GP39)=1,1,0))))</f>
        <v>0</v>
      </c>
      <c r="GR39" s="8">
        <f>IF(GR$30-Voorblad!$F$37&gt;Voorblad!$K$37,0,IF($U39=0,0,IF($U39&lt;1,1/$U39,IF((GR$30-Voorblad!$F$37)/$U39-SUM($EE39:GQ39)=1,1,0))))</f>
        <v>0</v>
      </c>
      <c r="GS39" s="8">
        <f>IF(GS$30-Voorblad!$F$37&gt;Voorblad!$K$37,0,IF($U39=0,0,IF($U39&lt;1,1/$U39,IF((GS$30-Voorblad!$F$37)/$U39-SUM($EE39:GR39)=1,1,0))))</f>
        <v>0</v>
      </c>
      <c r="GT39" s="8">
        <f>IF(GT$30-Voorblad!$F$37&gt;Voorblad!$K$37,0,IF($U39=0,0,IF($U39&lt;1,1/$U39,IF((GT$30-Voorblad!$F$37)/$U39-SUM($EE39:GS39)=1,1,0))))</f>
        <v>0</v>
      </c>
      <c r="GU39" s="8">
        <f>IF(GU$30-Voorblad!$F$37&gt;Voorblad!$K$37,0,IF($U39=0,0,IF($U39&lt;1,1/$U39,IF((GU$30-Voorblad!$F$37)/$U39-SUM($EE39:GT39)=1,1,0))))</f>
        <v>0</v>
      </c>
      <c r="GV39" s="8">
        <f>IF(GV$30-Voorblad!$F$37&gt;Voorblad!$K$37,0,IF($U39=0,0,IF($U39&lt;1,1/$U39,IF((GV$30-Voorblad!$F$37)/$U39-SUM($EE39:GU39)=1,1,0))))</f>
        <v>0</v>
      </c>
      <c r="GW39" s="8">
        <f>IF(GW$30-Voorblad!$F$37&gt;Voorblad!$K$37,0,IF($U39=0,0,IF($U39&lt;1,1/$U39,IF((GW$30-Voorblad!$F$37)/$U39-SUM($EE39:GV39)=1,1,0))))</f>
        <v>0</v>
      </c>
      <c r="GX39" s="8">
        <f>IF(GX$30-Voorblad!$F$37&gt;Voorblad!$K$37,0,IF($U39=0,0,IF($U39&lt;1,1/$U39,IF((GX$30-Voorblad!$F$37)/$U39-SUM($EE39:GW39)=1,1,0))))</f>
        <v>0</v>
      </c>
      <c r="GY39" s="8">
        <f>IF(GY$30-Voorblad!$F$37&gt;Voorblad!$K$37,0,IF($U39=0,0,IF($U39&lt;1,1/$U39,IF((GY$30-Voorblad!$F$37)/$U39-SUM($EE39:GX39)=1,1,0))))</f>
        <v>0</v>
      </c>
      <c r="GZ39" s="8">
        <f>IF(GZ$30-Voorblad!$F$37&gt;Voorblad!$K$37,0,IF($U39=0,0,IF($U39&lt;1,1/$U39,IF((GZ$30-Voorblad!$F$37)/$U39-SUM($EE39:GY39)=1,1,0))))</f>
        <v>0</v>
      </c>
      <c r="HA39" s="8">
        <f>IF(HA$30-Voorblad!$F$37&gt;Voorblad!$K$37,0,IF($U39=0,0,IF($U39&lt;1,1/$U39,IF((HA$30-Voorblad!$F$37)/$U39-SUM($EE39:GZ39)=1,1,0))))</f>
        <v>0</v>
      </c>
      <c r="HB39" s="8">
        <f>IF(HB$30-Voorblad!$F$37&gt;Voorblad!$K$37,0,IF($U39=0,0,IF($U39&lt;1,1/$U39,IF((HB$30-Voorblad!$F$37)/$U39-SUM($EE39:HA39)=1,1,0))))</f>
        <v>0</v>
      </c>
      <c r="HC39" s="8">
        <f>IF(HC$30-Voorblad!$F$37&gt;Voorblad!$K$37,0,IF($U39=0,0,IF($U39&lt;1,1/$U39,IF((HC$30-Voorblad!$F$37)/$U39-SUM($EE39:HB39)=1,1,0))))</f>
        <v>0</v>
      </c>
      <c r="HD39" s="8">
        <f>IF(HD$30-Voorblad!$F$37&gt;Voorblad!$K$37,0,IF($U39=0,0,IF($U39&lt;1,1/$U39,IF((HD$30-Voorblad!$F$37)/$U39-SUM($EE39:HC39)=1,1,0))))</f>
        <v>0</v>
      </c>
      <c r="HE39" s="8">
        <f>IF(HE$30-Voorblad!$F$37&gt;Voorblad!$K$37,0,IF($U39=0,0,IF($U39&lt;1,1/$U39,IF((HE$30-Voorblad!$F$37)/$U39-SUM($EE39:HD39)=1,1,0))))</f>
        <v>0</v>
      </c>
      <c r="HF39" s="8">
        <f>IF(HF$30-Voorblad!$F$37&gt;Voorblad!$K$37,0,IF($U39=0,0,IF($U39&lt;1,1/$U39,IF((HF$30-Voorblad!$F$37)/$U39-SUM($EE39:HE39)=1,1,0))))</f>
        <v>0</v>
      </c>
      <c r="HG39" s="8">
        <f>IF(HG$30-Voorblad!$F$37&gt;Voorblad!$K$37,0,IF($U39=0,0,IF($U39&lt;1,1/$U39,IF((HG$30-Voorblad!$F$37)/$U39-SUM($EE39:HF39)=1,1,0))))</f>
        <v>0</v>
      </c>
      <c r="HH39" s="8">
        <f>IF(HH$30-Voorblad!$F$37&gt;Voorblad!$K$37,0,IF($U39=0,0,IF($U39&lt;1,1/$U39,IF((HH$30-Voorblad!$F$37)/$U39-SUM($EE39:HG39)=1,1,0))))</f>
        <v>0</v>
      </c>
      <c r="HI39" s="8">
        <f>IF(HI$30-Voorblad!$F$37&gt;Voorblad!$K$37,0,IF($U39=0,0,IF($U39&lt;1,1/$U39,IF((HI$30-Voorblad!$F$37)/$U39-SUM($EE39:HH39)=1,1,0))))</f>
        <v>0</v>
      </c>
      <c r="HJ39" s="8">
        <f>IF(HJ$30-Voorblad!$F$37&gt;Voorblad!$K$37,0,IF($U39=0,0,IF($U39&lt;1,1/$U39,IF((HJ$30-Voorblad!$F$37)/$U39-SUM($EE39:HI39)=1,1,0))))</f>
        <v>0</v>
      </c>
      <c r="HK39" s="8">
        <f>IF(HK$30-Voorblad!$F$37&gt;Voorblad!$K$37,0,IF($U39=0,0,IF($U39&lt;1,1/$U39,IF((HK$30-Voorblad!$F$37)/$U39-SUM($EE39:HJ39)=1,1,0))))</f>
        <v>0</v>
      </c>
      <c r="HL39" s="8">
        <f>IF(HL$30-Voorblad!$F$37&gt;Voorblad!$K$37,0,IF($U39=0,0,IF($U39&lt;1,1/$U39,IF((HL$30-Voorblad!$F$37)/$U39-SUM($EE39:HK39)=1,1,0))))</f>
        <v>0</v>
      </c>
      <c r="HM39" s="8">
        <f>IF(HM$30-Voorblad!$F$37&gt;Voorblad!$K$37,0,IF($U39=0,0,IF($U39&lt;1,1/$U39,IF((HM$30-Voorblad!$F$37)/$U39-SUM($EE39:HL39)=1,1,0))))</f>
        <v>0</v>
      </c>
      <c r="HN39" s="8">
        <f>IF(HN$30-Voorblad!$F$37&gt;Voorblad!$K$37,0,IF($U39=0,0,IF($U39&lt;1,1/$U39,IF((HN$30-Voorblad!$F$37)/$U39-SUM($EE39:HM39)=1,1,0))))</f>
        <v>0</v>
      </c>
      <c r="HO39" s="8">
        <f>IF(HO$30-Voorblad!$F$37&gt;Voorblad!$K$37,0,IF($U39=0,0,IF($U39&lt;1,1/$U39,IF((HO$30-Voorblad!$F$37)/$U39-SUM($EE39:HN39)=1,1,0))))</f>
        <v>0</v>
      </c>
      <c r="HP39" s="8">
        <f>IF(HP$30-Voorblad!$F$37&gt;Voorblad!$K$37,0,IF($U39=0,0,IF($U39&lt;1,1/$U39,IF((HP$30-Voorblad!$F$37)/$U39-SUM($EE39:HO39)=1,1,0))))</f>
        <v>0</v>
      </c>
      <c r="HQ39" s="8">
        <f>IF(HQ$30-Voorblad!$F$37&gt;Voorblad!$K$37,0,IF($U39=0,0,IF($U39&lt;1,1/$U39,IF((HQ$30-Voorblad!$F$37)/$U39-SUM($EE39:HP39)=1,1,0))))</f>
        <v>0</v>
      </c>
      <c r="HR39" s="8">
        <f>IF(HR$30-Voorblad!$F$37&gt;Voorblad!$K$37,0,IF($U39=0,0,IF($U39&lt;1,1/$U39,IF((HR$30-Voorblad!$F$37)/$U39-SUM($EE39:HQ39)=1,1,0))))</f>
        <v>0</v>
      </c>
      <c r="HS39" s="8">
        <f>IF(HS$30-Voorblad!$F$37&gt;Voorblad!$K$37,0,IF($U39=0,0,IF($U39&lt;1,1/$U39,IF((HS$30-Voorblad!$F$37)/$U39-SUM($EE39:HR39)=1,1,0))))</f>
        <v>0</v>
      </c>
      <c r="HT39" s="8">
        <f>IF(HT$30-Voorblad!$F$37&gt;Voorblad!$K$37,0,IF($U39=0,0,IF($U39&lt;1,1/$U39,IF((HT$30-Voorblad!$F$37)/$U39-SUM($EE39:HS39)=1,1,0))))</f>
        <v>0</v>
      </c>
      <c r="HU39" s="8">
        <f>IF(HU$30-Voorblad!$F$37&gt;Voorblad!$K$37,0,IF($U39=0,0,IF($U39&lt;1,1/$U39,IF((HU$30-Voorblad!$F$37)/$U39-SUM($EE39:HT39)=1,1,0))))</f>
        <v>0</v>
      </c>
      <c r="HV39" s="8">
        <f>IF(HV$30-Voorblad!$F$37&gt;Voorblad!$K$37,0,IF($U39=0,0,IF($U39&lt;1,1/$U39,IF((HV$30-Voorblad!$F$37)/$U39-SUM($EE39:HU39)=1,1,0))))</f>
        <v>0</v>
      </c>
      <c r="HW39" s="8">
        <f>IF(HW$30-Voorblad!$F$37&gt;Voorblad!$K$37,0,IF($U39=0,0,IF($U39&lt;1,1/$U39,IF((HW$30-Voorblad!$F$37)/$U39-SUM($EE39:HV39)=1,1,0))))</f>
        <v>0</v>
      </c>
      <c r="HX39" s="8">
        <f>IF(HX$30-Voorblad!$F$37&gt;Voorblad!$K$37,0,IF($U39=0,0,IF($U39&lt;1,1/$U39,IF((HX$30-Voorblad!$F$37)/$U39-SUM($EE39:HW39)=1,1,0))))</f>
        <v>0</v>
      </c>
      <c r="HY39" s="8">
        <f>IF(HY$30-Voorblad!$F$37&gt;Voorblad!$K$37,0,IF($U39=0,0,IF($U39&lt;1,1/$U39,IF((HY$30-Voorblad!$F$37)/$U39-SUM($EE39:HX39)=1,1,0))))</f>
        <v>0</v>
      </c>
      <c r="HZ39" s="8">
        <f>IF(HZ$30-Voorblad!$F$37&gt;Voorblad!$K$37,0,IF($U39=0,0,IF($U39&lt;1,1/$U39,IF((HZ$30-Voorblad!$F$37)/$U39-SUM($EE39:HY39)=1,1,0))))</f>
        <v>0</v>
      </c>
      <c r="IA39" s="8">
        <f>IF(IA$30-Voorblad!$F$37&gt;Voorblad!$K$37,0,IF($U39=0,0,IF($U39&lt;1,1/$U39,IF((IA$30-Voorblad!$F$37)/$U39-SUM($EE39:HZ39)=1,1,0))))</f>
        <v>0</v>
      </c>
      <c r="IB39" s="8">
        <f>IF(IB$30-Voorblad!$F$37&gt;Voorblad!$K$37,0,IF($U39=0,0,IF($U39&lt;1,1/$U39,IF((IB$30-Voorblad!$F$37)/$U39-SUM($EE39:IA39)=1,1,0))))</f>
        <v>0</v>
      </c>
    </row>
    <row r="40" spans="2:236" ht="12" customHeight="1" x14ac:dyDescent="0.25">
      <c r="B40" s="76"/>
      <c r="C40" s="76"/>
      <c r="D40" s="78">
        <v>3</v>
      </c>
      <c r="E40" s="76"/>
      <c r="F40" s="76"/>
      <c r="G40" s="76"/>
      <c r="H40" s="76"/>
      <c r="I40" s="76"/>
      <c r="J40" s="76"/>
      <c r="K40" s="79"/>
      <c r="L40" s="76"/>
      <c r="M40" s="76"/>
      <c r="N40" s="76"/>
      <c r="O40" s="77"/>
      <c r="P40" s="77"/>
      <c r="Q40" s="81">
        <v>1</v>
      </c>
      <c r="R40" s="81" t="s">
        <v>33</v>
      </c>
      <c r="S40" s="81">
        <v>1500</v>
      </c>
      <c r="T40" s="9">
        <f t="shared" si="4"/>
        <v>1500</v>
      </c>
      <c r="U40" s="11">
        <v>1</v>
      </c>
      <c r="V40" s="14"/>
      <c r="W40" s="9">
        <f>Voorblad!K53</f>
        <v>0</v>
      </c>
      <c r="Y40" s="9">
        <f t="shared" si="5"/>
        <v>0</v>
      </c>
      <c r="Z40" s="82"/>
      <c r="AA40" s="82"/>
      <c r="AC40" s="9">
        <f>$Y40*(Voorblad!$K$44*(1+Voorblad!$K$44)^Voorblad!$K$37)/((1+Voorblad!$K$44)^Voorblad!$K$37-1)</f>
        <v>0</v>
      </c>
      <c r="AE40" s="9">
        <f>IF($W40=AE$30,EF40*($Q40*$S40)/(1+Voorblad!$K$44)^(AE$30-Voorblad!$F$37),0)</f>
        <v>0</v>
      </c>
      <c r="AF40" s="9">
        <f>IF($W40=AF$30,EG40*($Q40*$S40)/(1+Voorblad!$K$44)^(AF$30-Voorblad!$F$37),0)</f>
        <v>0</v>
      </c>
      <c r="AG40" s="9">
        <f>IF($W40=AG$30,EH40*($Q40*$S40)/(1+Voorblad!$K$44)^(AG$30-Voorblad!$F$37),0)</f>
        <v>0</v>
      </c>
      <c r="AH40" s="9">
        <f>IF($W40=AH$30,EI40*($Q40*$S40)/(1+Voorblad!$K$44)^(AH$30-Voorblad!$F$37),0)</f>
        <v>0</v>
      </c>
      <c r="AI40" s="9">
        <f>IF($W40=AI$30,EJ40*($Q40*$S40)/(1+Voorblad!$K$44)^(AI$30-Voorblad!$F$37),0)</f>
        <v>0</v>
      </c>
      <c r="AJ40" s="9">
        <f>IF($W40=AJ$30,EK40*($Q40*$S40)/(1+Voorblad!$K$44)^(AJ$30-Voorblad!$F$37),0)</f>
        <v>0</v>
      </c>
      <c r="AK40" s="9">
        <f>IF($W40=AK$30,EL40*($Q40*$S40)/(1+Voorblad!$K$44)^(AK$30-Voorblad!$F$37),0)</f>
        <v>0</v>
      </c>
      <c r="AL40" s="9">
        <f>IF($W40=AL$30,EM40*($Q40*$S40)/(1+Voorblad!$K$44)^(AL$30-Voorblad!$F$37),0)</f>
        <v>0</v>
      </c>
      <c r="AM40" s="9">
        <f>IF($W40=AM$30,EN40*($Q40*$S40)/(1+Voorblad!$K$44)^(AM$30-Voorblad!$F$37),0)</f>
        <v>0</v>
      </c>
      <c r="AN40" s="9">
        <f>IF($W40=AN$30,EO40*($Q40*$S40)/(1+Voorblad!$K$44)^(AN$30-Voorblad!$F$37),0)</f>
        <v>0</v>
      </c>
      <c r="AO40" s="9">
        <f>IF($W40=AO$30,EP40*($Q40*$S40)/(1+Voorblad!$K$44)^(AO$30-Voorblad!$F$37),0)</f>
        <v>0</v>
      </c>
      <c r="AP40" s="9">
        <f>IF($W40=AP$30,EQ40*($Q40*$S40)/(1+Voorblad!$K$44)^(AP$30-Voorblad!$F$37),0)</f>
        <v>0</v>
      </c>
      <c r="AQ40" s="9">
        <f>IF($W40=AQ$30,ER40*($Q40*$S40)/(1+Voorblad!$K$44)^(AQ$30-Voorblad!$F$37),0)</f>
        <v>0</v>
      </c>
      <c r="AR40" s="9">
        <f>IF($W40=AR$30,ES40*($Q40*$S40)/(1+Voorblad!$K$44)^(AR$30-Voorblad!$F$37),0)</f>
        <v>0</v>
      </c>
      <c r="AS40" s="9">
        <f>IF($W40=AS$30,ET40*($Q40*$S40)/(1+Voorblad!$K$44)^(AS$30-Voorblad!$F$37),0)</f>
        <v>0</v>
      </c>
      <c r="AT40" s="9">
        <f>IF($W40=AT$30,EU40*($Q40*$S40)/(1+Voorblad!$K$44)^(AT$30-Voorblad!$F$37),0)</f>
        <v>0</v>
      </c>
      <c r="AU40" s="9">
        <f>IF($W40=AU$30,EV40*($Q40*$S40)/(1+Voorblad!$K$44)^(AU$30-Voorblad!$F$37),0)</f>
        <v>0</v>
      </c>
      <c r="AV40" s="9">
        <f>IF($W40=AV$30,EW40*($Q40*$S40)/(1+Voorblad!$K$44)^(AV$30-Voorblad!$F$37),0)</f>
        <v>0</v>
      </c>
      <c r="AW40" s="9">
        <f>IF($W40=AW$30,EX40*($Q40*$S40)/(1+Voorblad!$K$44)^(AW$30-Voorblad!$F$37),0)</f>
        <v>0</v>
      </c>
      <c r="AX40" s="9">
        <f>IF($W40=AX$30,EY40*($Q40*$S40)/(1+Voorblad!$K$44)^(AX$30-Voorblad!$F$37),0)</f>
        <v>0</v>
      </c>
      <c r="AY40" s="9">
        <f>IF($W40=AY$30,EZ40*($Q40*$S40)/(1+Voorblad!$K$44)^(AY$30-Voorblad!$F$37),0)</f>
        <v>0</v>
      </c>
      <c r="AZ40" s="9">
        <f>IF($W40=AZ$30,FA40*($Q40*$S40)/(1+Voorblad!$K$44)^(AZ$30-Voorblad!$F$37),0)</f>
        <v>0</v>
      </c>
      <c r="BA40" s="9">
        <f>IF($W40=BA$30,FB40*($Q40*$S40)/(1+Voorblad!$K$44)^(BA$30-Voorblad!$F$37),0)</f>
        <v>0</v>
      </c>
      <c r="BB40" s="9">
        <f>IF($W40=BB$30,FC40*($Q40*$S40)/(1+Voorblad!$K$44)^(BB$30-Voorblad!$F$37),0)</f>
        <v>0</v>
      </c>
      <c r="BC40" s="9">
        <f>IF($W40=BC$30,FD40*($Q40*$S40)/(1+Voorblad!$K$44)^(BC$30-Voorblad!$F$37),0)</f>
        <v>0</v>
      </c>
      <c r="BD40" s="9">
        <f>IF($W40=BD$30,FE40*($Q40*$S40)/(1+Voorblad!$K$44)^(BD$30-Voorblad!$F$37),0)</f>
        <v>0</v>
      </c>
      <c r="BE40" s="9">
        <f>IF($W40=BE$30,FF40*($Q40*$S40)/(1+Voorblad!$K$44)^(BE$30-Voorblad!$F$37),0)</f>
        <v>0</v>
      </c>
      <c r="BF40" s="9">
        <f>IF($W40=BF$30,FG40*($Q40*$S40)/(1+Voorblad!$K$44)^(BF$30-Voorblad!$F$37),0)</f>
        <v>0</v>
      </c>
      <c r="BG40" s="9">
        <f>IF($W40=BG$30,FH40*($Q40*$S40)/(1+Voorblad!$K$44)^(BG$30-Voorblad!$F$37),0)</f>
        <v>0</v>
      </c>
      <c r="BH40" s="9">
        <f>IF($W40=BH$30,FI40*($Q40*$S40)/(1+Voorblad!$K$44)^(BH$30-Voorblad!$F$37),0)</f>
        <v>0</v>
      </c>
      <c r="BI40" s="9">
        <f>IF($W40=BI$30,FJ40*($Q40*$S40)/(1+Voorblad!$K$44)^(BI$30-Voorblad!$F$37),0)</f>
        <v>0</v>
      </c>
      <c r="BJ40" s="9">
        <f>IF($W40=BJ$30,FK40*($Q40*$S40)/(1+Voorblad!$K$44)^(BJ$30-Voorblad!$F$37),0)</f>
        <v>0</v>
      </c>
      <c r="BK40" s="9">
        <f>IF($W40=BK$30,FL40*($Q40*$S40)/(1+Voorblad!$K$44)^(BK$30-Voorblad!$F$37),0)</f>
        <v>0</v>
      </c>
      <c r="BL40" s="9">
        <f>IF($W40=BL$30,FM40*($Q40*$S40)/(1+Voorblad!$K$44)^(BL$30-Voorblad!$F$37),0)</f>
        <v>0</v>
      </c>
      <c r="BM40" s="9">
        <f>IF($W40=BM$30,FN40*($Q40*$S40)/(1+Voorblad!$K$44)^(BM$30-Voorblad!$F$37),0)</f>
        <v>0</v>
      </c>
      <c r="BN40" s="9">
        <f>IF($W40=BN$30,FO40*($Q40*$S40)/(1+Voorblad!$K$44)^(BN$30-Voorblad!$F$37),0)</f>
        <v>0</v>
      </c>
      <c r="BO40" s="9">
        <f>IF($W40=BO$30,FP40*($Q40*$S40)/(1+Voorblad!$K$44)^(BO$30-Voorblad!$F$37),0)</f>
        <v>0</v>
      </c>
      <c r="BP40" s="9">
        <f>IF($W40=BP$30,FQ40*($Q40*$S40)/(1+Voorblad!$K$44)^(BP$30-Voorblad!$F$37),0)</f>
        <v>0</v>
      </c>
      <c r="BQ40" s="9">
        <f>IF($W40=BQ$30,FR40*($Q40*$S40)/(1+Voorblad!$K$44)^(BQ$30-Voorblad!$F$37),0)</f>
        <v>0</v>
      </c>
      <c r="BR40" s="9">
        <f>IF($W40=BR$30,FS40*($Q40*$S40)/(1+Voorblad!$K$44)^(BR$30-Voorblad!$F$37),0)</f>
        <v>0</v>
      </c>
      <c r="BS40" s="9">
        <f>IF($W40=BS$30,FT40*($Q40*$S40)/(1+Voorblad!$K$44)^(BS$30-Voorblad!$F$37),0)</f>
        <v>0</v>
      </c>
      <c r="BT40" s="9">
        <f>IF($W40=BT$30,FU40*($Q40*$S40)/(1+Voorblad!$K$44)^(BT$30-Voorblad!$F$37),0)</f>
        <v>0</v>
      </c>
      <c r="BU40" s="9">
        <f>IF($W40=BU$30,FV40*($Q40*$S40)/(1+Voorblad!$K$44)^(BU$30-Voorblad!$F$37),0)</f>
        <v>0</v>
      </c>
      <c r="BV40" s="9">
        <f>IF($W40=BV$30,FW40*($Q40*$S40)/(1+Voorblad!$K$44)^(BV$30-Voorblad!$F$37),0)</f>
        <v>0</v>
      </c>
      <c r="BW40" s="9">
        <f>IF($W40=BW$30,FX40*($Q40*$S40)/(1+Voorblad!$K$44)^(BW$30-Voorblad!$F$37),0)</f>
        <v>0</v>
      </c>
      <c r="BX40" s="9">
        <f>IF($W40=BX$30,FY40*($Q40*$S40)/(1+Voorblad!$K$44)^(BX$30-Voorblad!$F$37),0)</f>
        <v>0</v>
      </c>
      <c r="BY40" s="9">
        <f>IF($W40=BY$30,FZ40*($Q40*$S40)/(1+Voorblad!$K$44)^(BY$30-Voorblad!$F$37),0)</f>
        <v>0</v>
      </c>
      <c r="BZ40" s="9">
        <f>IF($W40=BZ$30,GA40*($Q40*$S40)/(1+Voorblad!$K$44)^(BZ$30-Voorblad!$F$37),0)</f>
        <v>0</v>
      </c>
      <c r="CA40" s="9">
        <f>IF($W40=CA$30,GB40*($Q40*$S40)/(1+Voorblad!$K$44)^(CA$30-Voorblad!$F$37),0)</f>
        <v>0</v>
      </c>
      <c r="CB40" s="9">
        <f>IF($W40=CB$30,GC40*($Q40*$S40)/(1+Voorblad!$K$44)^(CB$30-Voorblad!$F$37),0)</f>
        <v>0</v>
      </c>
      <c r="CC40" s="9">
        <f>IF($W40=CC$30,GD40*($Q40*$S40)/(1+Voorblad!$K$44)^(CC$30-Voorblad!$F$37),0)</f>
        <v>0</v>
      </c>
      <c r="CD40" s="9">
        <f>IF($W40=CD$30,GE40*($Q40*$S40)/(1+Voorblad!$K$44)^(CD$30-Voorblad!$F$37),0)</f>
        <v>0</v>
      </c>
      <c r="CE40" s="9">
        <f>IF($W40=CE$30,GF40*($Q40*$S40)/(1+Voorblad!$K$44)^(CE$30-Voorblad!$F$37),0)</f>
        <v>0</v>
      </c>
      <c r="CF40" s="9">
        <f>IF($W40=CF$30,GG40*($Q40*$S40)/(1+Voorblad!$K$44)^(CF$30-Voorblad!$F$37),0)</f>
        <v>0</v>
      </c>
      <c r="CG40" s="9">
        <f>IF($W40=CG$30,GH40*($Q40*$S40)/(1+Voorblad!$K$44)^(CG$30-Voorblad!$F$37),0)</f>
        <v>0</v>
      </c>
      <c r="CH40" s="9">
        <f>IF($W40=CH$30,GI40*($Q40*$S40)/(1+Voorblad!$K$44)^(CH$30-Voorblad!$F$37),0)</f>
        <v>0</v>
      </c>
      <c r="CI40" s="9">
        <f>IF($W40=CI$30,GJ40*($Q40*$S40)/(1+Voorblad!$K$44)^(CI$30-Voorblad!$F$37),0)</f>
        <v>0</v>
      </c>
      <c r="CJ40" s="9">
        <f>IF($W40=CJ$30,GK40*($Q40*$S40)/(1+Voorblad!$K$44)^(CJ$30-Voorblad!$F$37),0)</f>
        <v>0</v>
      </c>
      <c r="CK40" s="9">
        <f>IF($W40=CK$30,GL40*($Q40*$S40)/(1+Voorblad!$K$44)^(CK$30-Voorblad!$F$37),0)</f>
        <v>0</v>
      </c>
      <c r="CL40" s="9">
        <f>IF($W40=CL$30,GM40*($Q40*$S40)/(1+Voorblad!$K$44)^(CL$30-Voorblad!$F$37),0)</f>
        <v>0</v>
      </c>
      <c r="CM40" s="9">
        <f>IF($W40=CM$30,GN40*($Q40*$S40)/(1+Voorblad!$K$44)^(CM$30-Voorblad!$F$37),0)</f>
        <v>0</v>
      </c>
      <c r="CN40" s="9">
        <f>IF($W40=CN$30,GO40*($Q40*$S40)/(1+Voorblad!$K$44)^(CN$30-Voorblad!$F$37),0)</f>
        <v>0</v>
      </c>
      <c r="CO40" s="9">
        <f>IF($W40=CO$30,GP40*($Q40*$S40)/(1+Voorblad!$K$44)^(CO$30-Voorblad!$F$37),0)</f>
        <v>0</v>
      </c>
      <c r="CP40" s="9">
        <f>IF($W40=CP$30,GQ40*($Q40*$S40)/(1+Voorblad!$K$44)^(CP$30-Voorblad!$F$37),0)</f>
        <v>0</v>
      </c>
      <c r="CQ40" s="9">
        <f>IF($W40=CQ$30,GR40*($Q40*$S40)/(1+Voorblad!$K$44)^(CQ$30-Voorblad!$F$37),0)</f>
        <v>0</v>
      </c>
      <c r="CR40" s="9">
        <f>IF($W40=CR$30,GS40*($Q40*$S40)/(1+Voorblad!$K$44)^(CR$30-Voorblad!$F$37),0)</f>
        <v>0</v>
      </c>
      <c r="CS40" s="9">
        <f>IF($W40=CS$30,GT40*($Q40*$S40)/(1+Voorblad!$K$44)^(CS$30-Voorblad!$F$37),0)</f>
        <v>0</v>
      </c>
      <c r="CT40" s="9">
        <f>IF($W40=CT$30,GU40*($Q40*$S40)/(1+Voorblad!$K$44)^(CT$30-Voorblad!$F$37),0)</f>
        <v>0</v>
      </c>
      <c r="CU40" s="9">
        <f>IF($W40=CU$30,GV40*($Q40*$S40)/(1+Voorblad!$K$44)^(CU$30-Voorblad!$F$37),0)</f>
        <v>0</v>
      </c>
      <c r="CV40" s="9">
        <f>IF($W40=CV$30,GW40*($Q40*$S40)/(1+Voorblad!$K$44)^(CV$30-Voorblad!$F$37),0)</f>
        <v>0</v>
      </c>
      <c r="CW40" s="9">
        <f>IF($W40=CW$30,GX40*($Q40*$S40)/(1+Voorblad!$K$44)^(CW$30-Voorblad!$F$37),0)</f>
        <v>0</v>
      </c>
      <c r="CX40" s="9">
        <f>IF($W40=CX$30,GY40*($Q40*$S40)/(1+Voorblad!$K$44)^(CX$30-Voorblad!$F$37),0)</f>
        <v>0</v>
      </c>
      <c r="CY40" s="9">
        <f>IF($W40=CY$30,GZ40*($Q40*$S40)/(1+Voorblad!$K$44)^(CY$30-Voorblad!$F$37),0)</f>
        <v>0</v>
      </c>
      <c r="CZ40" s="9">
        <f>IF($W40=CZ$30,HA40*($Q40*$S40)/(1+Voorblad!$K$44)^(CZ$30-Voorblad!$F$37),0)</f>
        <v>0</v>
      </c>
      <c r="DA40" s="9">
        <f>IF($W40=DA$30,HB40*($Q40*$S40)/(1+Voorblad!$K$44)^(DA$30-Voorblad!$F$37),0)</f>
        <v>0</v>
      </c>
      <c r="DB40" s="9">
        <f>IF($W40=DB$30,HC40*($Q40*$S40)/(1+Voorblad!$K$44)^(DB$30-Voorblad!$F$37),0)</f>
        <v>0</v>
      </c>
      <c r="DC40" s="9">
        <f>IF($W40=DC$30,HD40*($Q40*$S40)/(1+Voorblad!$K$44)^(DC$30-Voorblad!$F$37),0)</f>
        <v>0</v>
      </c>
      <c r="DD40" s="9">
        <f>IF($W40=DD$30,HE40*($Q40*$S40)/(1+Voorblad!$K$44)^(DD$30-Voorblad!$F$37),0)</f>
        <v>0</v>
      </c>
      <c r="DE40" s="9">
        <f>IF($W40=DE$30,HF40*($Q40*$S40)/(1+Voorblad!$K$44)^(DE$30-Voorblad!$F$37),0)</f>
        <v>0</v>
      </c>
      <c r="DF40" s="9">
        <f>IF($W40=DF$30,HG40*($Q40*$S40)/(1+Voorblad!$K$44)^(DF$30-Voorblad!$F$37),0)</f>
        <v>0</v>
      </c>
      <c r="DG40" s="9">
        <f>IF($W40=DG$30,HH40*($Q40*$S40)/(1+Voorblad!$K$44)^(DG$30-Voorblad!$F$37),0)</f>
        <v>0</v>
      </c>
      <c r="DH40" s="9">
        <f>IF($W40=DH$30,HI40*($Q40*$S40)/(1+Voorblad!$K$44)^(DH$30-Voorblad!$F$37),0)</f>
        <v>0</v>
      </c>
      <c r="DI40" s="9">
        <f>IF($W40=DI$30,HJ40*($Q40*$S40)/(1+Voorblad!$K$44)^(DI$30-Voorblad!$F$37),0)</f>
        <v>0</v>
      </c>
      <c r="DJ40" s="9">
        <f>IF($W40=DJ$30,HK40*($Q40*$S40)/(1+Voorblad!$K$44)^(DJ$30-Voorblad!$F$37),0)</f>
        <v>0</v>
      </c>
      <c r="DK40" s="9">
        <f>IF($W40=DK$30,HL40*($Q40*$S40)/(1+Voorblad!$K$44)^(DK$30-Voorblad!$F$37),0)</f>
        <v>0</v>
      </c>
      <c r="DL40" s="9">
        <f>IF($W40=DL$30,HM40*($Q40*$S40)/(1+Voorblad!$K$44)^(DL$30-Voorblad!$F$37),0)</f>
        <v>0</v>
      </c>
      <c r="DM40" s="9">
        <f>IF($W40=DM$30,HN40*($Q40*$S40)/(1+Voorblad!$K$44)^(DM$30-Voorblad!$F$37),0)</f>
        <v>0</v>
      </c>
      <c r="DN40" s="9">
        <f>IF($W40=DN$30,HO40*($Q40*$S40)/(1+Voorblad!$K$44)^(DN$30-Voorblad!$F$37),0)</f>
        <v>0</v>
      </c>
      <c r="DO40" s="9">
        <f>IF($W40=DO$30,HP40*($Q40*$S40)/(1+Voorblad!$K$44)^(DO$30-Voorblad!$F$37),0)</f>
        <v>0</v>
      </c>
      <c r="DP40" s="9">
        <f>IF($W40=DP$30,HQ40*($Q40*$S40)/(1+Voorblad!$K$44)^(DP$30-Voorblad!$F$37),0)</f>
        <v>0</v>
      </c>
      <c r="DQ40" s="9">
        <f>IF($W40=DQ$30,HR40*($Q40*$S40)/(1+Voorblad!$K$44)^(DQ$30-Voorblad!$F$37),0)</f>
        <v>0</v>
      </c>
      <c r="DR40" s="9">
        <f>IF($W40=DR$30,HS40*($Q40*$S40)/(1+Voorblad!$K$44)^(DR$30-Voorblad!$F$37),0)</f>
        <v>0</v>
      </c>
      <c r="DS40" s="9">
        <f>IF($W40=DS$30,HT40*($Q40*$S40)/(1+Voorblad!$K$44)^(DS$30-Voorblad!$F$37),0)</f>
        <v>0</v>
      </c>
      <c r="DT40" s="9">
        <f>IF($W40=DT$30,HU40*($Q40*$S40)/(1+Voorblad!$K$44)^(DT$30-Voorblad!$F$37),0)</f>
        <v>0</v>
      </c>
      <c r="DU40" s="9">
        <f>IF($W40=DU$30,HV40*($Q40*$S40)/(1+Voorblad!$K$44)^(DU$30-Voorblad!$F$37),0)</f>
        <v>0</v>
      </c>
      <c r="DV40" s="9">
        <f>IF($W40=DV$30,HW40*($Q40*$S40)/(1+Voorblad!$K$44)^(DV$30-Voorblad!$F$37),0)</f>
        <v>0</v>
      </c>
      <c r="DW40" s="9">
        <f>IF($W40=DW$30,HX40*($Q40*$S40)/(1+Voorblad!$K$44)^(DW$30-Voorblad!$F$37),0)</f>
        <v>0</v>
      </c>
      <c r="DX40" s="9">
        <f>IF($W40=DX$30,HY40*($Q40*$S40)/(1+Voorblad!$K$44)^(DX$30-Voorblad!$F$37),0)</f>
        <v>0</v>
      </c>
      <c r="DY40" s="9">
        <f>IF($W40=DY$30,HZ40*($Q40*$S40)/(1+Voorblad!$K$44)^(DY$30-Voorblad!$F$37),0)</f>
        <v>0</v>
      </c>
      <c r="DZ40" s="9">
        <f>IF($W40=DZ$30,IA40*($Q40*$S40)/(1+Voorblad!$K$44)^(DZ$30-Voorblad!$F$37),0)</f>
        <v>0</v>
      </c>
      <c r="EA40" s="9">
        <f>IF($W40=EA$30,IB40*($Q40*$S40)/(1+Voorblad!$K$44)^(EA$30-Voorblad!$F$37),0)</f>
        <v>0</v>
      </c>
      <c r="EB40" s="9">
        <f>IF($W40=EB$30,IC40*($Q40*$S40)/(1+Voorblad!$K$44)^(EB$30-Voorblad!$F$37),0)</f>
        <v>0</v>
      </c>
      <c r="EE40" s="8">
        <v>0</v>
      </c>
      <c r="EF40" s="8">
        <f>IF(EF$30-Voorblad!$F$37&gt;Voorblad!$K$37,0,IF($U40=0,0,IF($U40&lt;1,1/$U40,IF((EF$30-Voorblad!$F$37)/$U40-SUM($EE40:EE40)=1,1,0))))</f>
        <v>0</v>
      </c>
      <c r="EG40" s="8">
        <f>IF(EG$30-Voorblad!$F$37&gt;Voorblad!$K$37,0,IF($U40=0,0,IF($U40&lt;1,1/$U40,IF((EG$30-Voorblad!$F$37)/$U40-SUM($EE40:EF40)=1,1,0))))</f>
        <v>1</v>
      </c>
      <c r="EH40" s="8">
        <f>IF(EH$30-Voorblad!$F$37&gt;Voorblad!$K$37,0,IF($U40=0,0,IF($U40&lt;1,1/$U40,IF((EH$30-Voorblad!$F$37)/$U40-SUM($EE40:EG40)=1,1,0))))</f>
        <v>1</v>
      </c>
      <c r="EI40" s="8">
        <f>IF(EI$30-Voorblad!$F$37&gt;Voorblad!$K$37,0,IF($U40=0,0,IF($U40&lt;1,1/$U40,IF((EI$30-Voorblad!$F$37)/$U40-SUM($EE40:EH40)=1,1,0))))</f>
        <v>1</v>
      </c>
      <c r="EJ40" s="8">
        <f>IF(EJ$30-Voorblad!$F$37&gt;Voorblad!$K$37,0,IF($U40=0,0,IF($U40&lt;1,1/$U40,IF((EJ$30-Voorblad!$F$37)/$U40-SUM($EE40:EI40)=1,1,0))))</f>
        <v>1</v>
      </c>
      <c r="EK40" s="8">
        <f>IF(EK$30-Voorblad!$F$37&gt;Voorblad!$K$37,0,IF($U40=0,0,IF($U40&lt;1,1/$U40,IF((EK$30-Voorblad!$F$37)/$U40-SUM($EE40:EJ40)=1,1,0))))</f>
        <v>1</v>
      </c>
      <c r="EL40" s="8">
        <f>IF(EL$30-Voorblad!$F$37&gt;Voorblad!$K$37,0,IF($U40=0,0,IF($U40&lt;1,1/$U40,IF((EL$30-Voorblad!$F$37)/$U40-SUM($EE40:EK40)=1,1,0))))</f>
        <v>1</v>
      </c>
      <c r="EM40" s="8">
        <f>IF(EM$30-Voorblad!$F$37&gt;Voorblad!$K$37,0,IF($U40=0,0,IF($U40&lt;1,1/$U40,IF((EM$30-Voorblad!$F$37)/$U40-SUM($EE40:EL40)=1,1,0))))</f>
        <v>1</v>
      </c>
      <c r="EN40" s="8">
        <f>IF(EN$30-Voorblad!$F$37&gt;Voorblad!$K$37,0,IF($U40=0,0,IF($U40&lt;1,1/$U40,IF((EN$30-Voorblad!$F$37)/$U40-SUM($EE40:EM40)=1,1,0))))</f>
        <v>1</v>
      </c>
      <c r="EO40" s="8">
        <f>IF(EO$30-Voorblad!$F$37&gt;Voorblad!$K$37,0,IF($U40=0,0,IF($U40&lt;1,1/$U40,IF((EO$30-Voorblad!$F$37)/$U40-SUM($EE40:EN40)=1,1,0))))</f>
        <v>1</v>
      </c>
      <c r="EP40" s="8">
        <f>IF(EP$30-Voorblad!$F$37&gt;Voorblad!$K$37,0,IF($U40=0,0,IF($U40&lt;1,1/$U40,IF((EP$30-Voorblad!$F$37)/$U40-SUM($EE40:EO40)=1,1,0))))</f>
        <v>1</v>
      </c>
      <c r="EQ40" s="8">
        <f>IF(EQ$30-Voorblad!$F$37&gt;Voorblad!$K$37,0,IF($U40=0,0,IF($U40&lt;1,1/$U40,IF((EQ$30-Voorblad!$F$37)/$U40-SUM($EE40:EP40)=1,1,0))))</f>
        <v>0</v>
      </c>
      <c r="ER40" s="8">
        <f>IF(ER$30-Voorblad!$F$37&gt;Voorblad!$K$37,0,IF($U40=0,0,IF($U40&lt;1,1/$U40,IF((ER$30-Voorblad!$F$37)/$U40-SUM($EE40:EQ40)=1,1,0))))</f>
        <v>0</v>
      </c>
      <c r="ES40" s="8">
        <f>IF(ES$30-Voorblad!$F$37&gt;Voorblad!$K$37,0,IF($U40=0,0,IF($U40&lt;1,1/$U40,IF((ES$30-Voorblad!$F$37)/$U40-SUM($EE40:ER40)=1,1,0))))</f>
        <v>0</v>
      </c>
      <c r="ET40" s="8">
        <f>IF(ET$30-Voorblad!$F$37&gt;Voorblad!$K$37,0,IF($U40=0,0,IF($U40&lt;1,1/$U40,IF((ET$30-Voorblad!$F$37)/$U40-SUM($EE40:ES40)=1,1,0))))</f>
        <v>0</v>
      </c>
      <c r="EU40" s="8">
        <f>IF(EU$30-Voorblad!$F$37&gt;Voorblad!$K$37,0,IF($U40=0,0,IF($U40&lt;1,1/$U40,IF((EU$30-Voorblad!$F$37)/$U40-SUM($EE40:ET40)=1,1,0))))</f>
        <v>0</v>
      </c>
      <c r="EV40" s="8">
        <f>IF(EV$30-Voorblad!$F$37&gt;Voorblad!$K$37,0,IF($U40=0,0,IF($U40&lt;1,1/$U40,IF((EV$30-Voorblad!$F$37)/$U40-SUM($EE40:EU40)=1,1,0))))</f>
        <v>0</v>
      </c>
      <c r="EW40" s="8">
        <f>IF(EW$30-Voorblad!$F$37&gt;Voorblad!$K$37,0,IF($U40=0,0,IF($U40&lt;1,1/$U40,IF((EW$30-Voorblad!$F$37)/$U40-SUM($EE40:EV40)=1,1,0))))</f>
        <v>0</v>
      </c>
      <c r="EX40" s="8">
        <f>IF(EX$30-Voorblad!$F$37&gt;Voorblad!$K$37,0,IF($U40=0,0,IF($U40&lt;1,1/$U40,IF((EX$30-Voorblad!$F$37)/$U40-SUM($EE40:EW40)=1,1,0))))</f>
        <v>0</v>
      </c>
      <c r="EY40" s="8">
        <f>IF(EY$30-Voorblad!$F$37&gt;Voorblad!$K$37,0,IF($U40=0,0,IF($U40&lt;1,1/$U40,IF((EY$30-Voorblad!$F$37)/$U40-SUM($EE40:EX40)=1,1,0))))</f>
        <v>0</v>
      </c>
      <c r="EZ40" s="8">
        <f>IF(EZ$30-Voorblad!$F$37&gt;Voorblad!$K$37,0,IF($U40=0,0,IF($U40&lt;1,1/$U40,IF((EZ$30-Voorblad!$F$37)/$U40-SUM($EE40:EY40)=1,1,0))))</f>
        <v>0</v>
      </c>
      <c r="FA40" s="8">
        <f>IF(FA$30-Voorblad!$F$37&gt;Voorblad!$K$37,0,IF($U40=0,0,IF($U40&lt;1,1/$U40,IF((FA$30-Voorblad!$F$37)/$U40-SUM($EE40:EZ40)=1,1,0))))</f>
        <v>0</v>
      </c>
      <c r="FB40" s="8">
        <f>IF(FB$30-Voorblad!$F$37&gt;Voorblad!$K$37,0,IF($U40=0,0,IF($U40&lt;1,1/$U40,IF((FB$30-Voorblad!$F$37)/$U40-SUM($EE40:FA40)=1,1,0))))</f>
        <v>0</v>
      </c>
      <c r="FC40" s="8">
        <f>IF(FC$30-Voorblad!$F$37&gt;Voorblad!$K$37,0,IF($U40=0,0,IF($U40&lt;1,1/$U40,IF((FC$30-Voorblad!$F$37)/$U40-SUM($EE40:FB40)=1,1,0))))</f>
        <v>0</v>
      </c>
      <c r="FD40" s="8">
        <f>IF(FD$30-Voorblad!$F$37&gt;Voorblad!$K$37,0,IF($U40=0,0,IF($U40&lt;1,1/$U40,IF((FD$30-Voorblad!$F$37)/$U40-SUM($EE40:FC40)=1,1,0))))</f>
        <v>0</v>
      </c>
      <c r="FE40" s="8">
        <f>IF(FE$30-Voorblad!$F$37&gt;Voorblad!$K$37,0,IF($U40=0,0,IF($U40&lt;1,1/$U40,IF((FE$30-Voorblad!$F$37)/$U40-SUM($EE40:FD40)=1,1,0))))</f>
        <v>0</v>
      </c>
      <c r="FF40" s="8">
        <f>IF(FF$30-Voorblad!$F$37&gt;Voorblad!$K$37,0,IF($U40=0,0,IF($U40&lt;1,1/$U40,IF((FF$30-Voorblad!$F$37)/$U40-SUM($EE40:FE40)=1,1,0))))</f>
        <v>0</v>
      </c>
      <c r="FG40" s="8">
        <f>IF(FG$30-Voorblad!$F$37&gt;Voorblad!$K$37,0,IF($U40=0,0,IF($U40&lt;1,1/$U40,IF((FG$30-Voorblad!$F$37)/$U40-SUM($EE40:FF40)=1,1,0))))</f>
        <v>0</v>
      </c>
      <c r="FH40" s="8">
        <f>IF(FH$30-Voorblad!$F$37&gt;Voorblad!$K$37,0,IF($U40=0,0,IF($U40&lt;1,1/$U40,IF((FH$30-Voorblad!$F$37)/$U40-SUM($EE40:FG40)=1,1,0))))</f>
        <v>0</v>
      </c>
      <c r="FI40" s="8">
        <f>IF(FI$30-Voorblad!$F$37&gt;Voorblad!$K$37,0,IF($U40=0,0,IF($U40&lt;1,1/$U40,IF((FI$30-Voorblad!$F$37)/$U40-SUM($EE40:FH40)=1,1,0))))</f>
        <v>0</v>
      </c>
      <c r="FJ40" s="8">
        <f>IF(FJ$30-Voorblad!$F$37&gt;Voorblad!$K$37,0,IF($U40=0,0,IF($U40&lt;1,1/$U40,IF((FJ$30-Voorblad!$F$37)/$U40-SUM($EE40:FI40)=1,1,0))))</f>
        <v>0</v>
      </c>
      <c r="FK40" s="8">
        <f>IF(FK$30-Voorblad!$F$37&gt;Voorblad!$K$37,0,IF($U40=0,0,IF($U40&lt;1,1/$U40,IF((FK$30-Voorblad!$F$37)/$U40-SUM($EE40:FJ40)=1,1,0))))</f>
        <v>0</v>
      </c>
      <c r="FL40" s="8">
        <f>IF(FL$30-Voorblad!$F$37&gt;Voorblad!$K$37,0,IF($U40=0,0,IF($U40&lt;1,1/$U40,IF((FL$30-Voorblad!$F$37)/$U40-SUM($EE40:FK40)=1,1,0))))</f>
        <v>0</v>
      </c>
      <c r="FM40" s="8">
        <f>IF(FM$30-Voorblad!$F$37&gt;Voorblad!$K$37,0,IF($U40=0,0,IF($U40&lt;1,1/$U40,IF((FM$30-Voorblad!$F$37)/$U40-SUM($EE40:FL40)=1,1,0))))</f>
        <v>0</v>
      </c>
      <c r="FN40" s="8">
        <f>IF(FN$30-Voorblad!$F$37&gt;Voorblad!$K$37,0,IF($U40=0,0,IF($U40&lt;1,1/$U40,IF((FN$30-Voorblad!$F$37)/$U40-SUM($EE40:FM40)=1,1,0))))</f>
        <v>0</v>
      </c>
      <c r="FO40" s="8">
        <f>IF(FO$30-Voorblad!$F$37&gt;Voorblad!$K$37,0,IF($U40=0,0,IF($U40&lt;1,1/$U40,IF((FO$30-Voorblad!$F$37)/$U40-SUM($EE40:FN40)=1,1,0))))</f>
        <v>0</v>
      </c>
      <c r="FP40" s="8">
        <f>IF(FP$30-Voorblad!$F$37&gt;Voorblad!$K$37,0,IF($U40=0,0,IF($U40&lt;1,1/$U40,IF((FP$30-Voorblad!$F$37)/$U40-SUM($EE40:FO40)=1,1,0))))</f>
        <v>0</v>
      </c>
      <c r="FQ40" s="8">
        <f>IF(FQ$30-Voorblad!$F$37&gt;Voorblad!$K$37,0,IF($U40=0,0,IF($U40&lt;1,1/$U40,IF((FQ$30-Voorblad!$F$37)/$U40-SUM($EE40:FP40)=1,1,0))))</f>
        <v>0</v>
      </c>
      <c r="FR40" s="8">
        <f>IF(FR$30-Voorblad!$F$37&gt;Voorblad!$K$37,0,IF($U40=0,0,IF($U40&lt;1,1/$U40,IF((FR$30-Voorblad!$F$37)/$U40-SUM($EE40:FQ40)=1,1,0))))</f>
        <v>0</v>
      </c>
      <c r="FS40" s="8">
        <f>IF(FS$30-Voorblad!$F$37&gt;Voorblad!$K$37,0,IF($U40=0,0,IF($U40&lt;1,1/$U40,IF((FS$30-Voorblad!$F$37)/$U40-SUM($EE40:FR40)=1,1,0))))</f>
        <v>0</v>
      </c>
      <c r="FT40" s="8">
        <f>IF(FT$30-Voorblad!$F$37&gt;Voorblad!$K$37,0,IF($U40=0,0,IF($U40&lt;1,1/$U40,IF((FT$30-Voorblad!$F$37)/$U40-SUM($EE40:FS40)=1,1,0))))</f>
        <v>0</v>
      </c>
      <c r="FU40" s="8">
        <f>IF(FU$30-Voorblad!$F$37&gt;Voorblad!$K$37,0,IF($U40=0,0,IF($U40&lt;1,1/$U40,IF((FU$30-Voorblad!$F$37)/$U40-SUM($EE40:FT40)=1,1,0))))</f>
        <v>0</v>
      </c>
      <c r="FV40" s="8">
        <f>IF(FV$30-Voorblad!$F$37&gt;Voorblad!$K$37,0,IF($U40=0,0,IF($U40&lt;1,1/$U40,IF((FV$30-Voorblad!$F$37)/$U40-SUM($EE40:FU40)=1,1,0))))</f>
        <v>0</v>
      </c>
      <c r="FW40" s="8">
        <f>IF(FW$30-Voorblad!$F$37&gt;Voorblad!$K$37,0,IF($U40=0,0,IF($U40&lt;1,1/$U40,IF((FW$30-Voorblad!$F$37)/$U40-SUM($EE40:FV40)=1,1,0))))</f>
        <v>0</v>
      </c>
      <c r="FX40" s="8">
        <f>IF(FX$30-Voorblad!$F$37&gt;Voorblad!$K$37,0,IF($U40=0,0,IF($U40&lt;1,1/$U40,IF((FX$30-Voorblad!$F$37)/$U40-SUM($EE40:FW40)=1,1,0))))</f>
        <v>0</v>
      </c>
      <c r="FY40" s="8">
        <f>IF(FY$30-Voorblad!$F$37&gt;Voorblad!$K$37,0,IF($U40=0,0,IF($U40&lt;1,1/$U40,IF((FY$30-Voorblad!$F$37)/$U40-SUM($EE40:FX40)=1,1,0))))</f>
        <v>0</v>
      </c>
      <c r="FZ40" s="8">
        <f>IF(FZ$30-Voorblad!$F$37&gt;Voorblad!$K$37,0,IF($U40=0,0,IF($U40&lt;1,1/$U40,IF((FZ$30-Voorblad!$F$37)/$U40-SUM($EE40:FY40)=1,1,0))))</f>
        <v>0</v>
      </c>
      <c r="GA40" s="8">
        <f>IF(GA$30-Voorblad!$F$37&gt;Voorblad!$K$37,0,IF($U40=0,0,IF($U40&lt;1,1/$U40,IF((GA$30-Voorblad!$F$37)/$U40-SUM($EE40:FZ40)=1,1,0))))</f>
        <v>0</v>
      </c>
      <c r="GB40" s="8">
        <f>IF(GB$30-Voorblad!$F$37&gt;Voorblad!$K$37,0,IF($U40=0,0,IF($U40&lt;1,1/$U40,IF((GB$30-Voorblad!$F$37)/$U40-SUM($EE40:GA40)=1,1,0))))</f>
        <v>0</v>
      </c>
      <c r="GC40" s="8">
        <f>IF(GC$30-Voorblad!$F$37&gt;Voorblad!$K$37,0,IF($U40=0,0,IF($U40&lt;1,1/$U40,IF((GC$30-Voorblad!$F$37)/$U40-SUM($EE40:GB40)=1,1,0))))</f>
        <v>0</v>
      </c>
      <c r="GD40" s="8">
        <f>IF(GD$30-Voorblad!$F$37&gt;Voorblad!$K$37,0,IF($U40=0,0,IF($U40&lt;1,1/$U40,IF((GD$30-Voorblad!$F$37)/$U40-SUM($EE40:GC40)=1,1,0))))</f>
        <v>0</v>
      </c>
      <c r="GE40" s="8">
        <f>IF(GE$30-Voorblad!$F$37&gt;Voorblad!$K$37,0,IF($U40=0,0,IF($U40&lt;1,1/$U40,IF((GE$30-Voorblad!$F$37)/$U40-SUM($EE40:GD40)=1,1,0))))</f>
        <v>0</v>
      </c>
      <c r="GF40" s="8">
        <f>IF(GF$30-Voorblad!$F$37&gt;Voorblad!$K$37,0,IF($U40=0,0,IF($U40&lt;1,1/$U40,IF((GF$30-Voorblad!$F$37)/$U40-SUM($EE40:GE40)=1,1,0))))</f>
        <v>0</v>
      </c>
      <c r="GG40" s="8">
        <f>IF(GG$30-Voorblad!$F$37&gt;Voorblad!$K$37,0,IF($U40=0,0,IF($U40&lt;1,1/$U40,IF((GG$30-Voorblad!$F$37)/$U40-SUM($EE40:GF40)=1,1,0))))</f>
        <v>0</v>
      </c>
      <c r="GH40" s="8">
        <f>IF(GH$30-Voorblad!$F$37&gt;Voorblad!$K$37,0,IF($U40=0,0,IF($U40&lt;1,1/$U40,IF((GH$30-Voorblad!$F$37)/$U40-SUM($EE40:GG40)=1,1,0))))</f>
        <v>0</v>
      </c>
      <c r="GI40" s="8">
        <f>IF(GI$30-Voorblad!$F$37&gt;Voorblad!$K$37,0,IF($U40=0,0,IF($U40&lt;1,1/$U40,IF((GI$30-Voorblad!$F$37)/$U40-SUM($EE40:GH40)=1,1,0))))</f>
        <v>0</v>
      </c>
      <c r="GJ40" s="8">
        <f>IF(GJ$30-Voorblad!$F$37&gt;Voorblad!$K$37,0,IF($U40=0,0,IF($U40&lt;1,1/$U40,IF((GJ$30-Voorblad!$F$37)/$U40-SUM($EE40:GI40)=1,1,0))))</f>
        <v>0</v>
      </c>
      <c r="GK40" s="8">
        <f>IF(GK$30-Voorblad!$F$37&gt;Voorblad!$K$37,0,IF($U40=0,0,IF($U40&lt;1,1/$U40,IF((GK$30-Voorblad!$F$37)/$U40-SUM($EE40:GJ40)=1,1,0))))</f>
        <v>0</v>
      </c>
      <c r="GL40" s="8">
        <f>IF(GL$30-Voorblad!$F$37&gt;Voorblad!$K$37,0,IF($U40=0,0,IF($U40&lt;1,1/$U40,IF((GL$30-Voorblad!$F$37)/$U40-SUM($EE40:GK40)=1,1,0))))</f>
        <v>0</v>
      </c>
      <c r="GM40" s="8">
        <f>IF(GM$30-Voorblad!$F$37&gt;Voorblad!$K$37,0,IF($U40=0,0,IF($U40&lt;1,1/$U40,IF((GM$30-Voorblad!$F$37)/$U40-SUM($EE40:GL40)=1,1,0))))</f>
        <v>0</v>
      </c>
      <c r="GN40" s="8">
        <f>IF(GN$30-Voorblad!$F$37&gt;Voorblad!$K$37,0,IF($U40=0,0,IF($U40&lt;1,1/$U40,IF((GN$30-Voorblad!$F$37)/$U40-SUM($EE40:GM40)=1,1,0))))</f>
        <v>0</v>
      </c>
      <c r="GO40" s="8">
        <f>IF(GO$30-Voorblad!$F$37&gt;Voorblad!$K$37,0,IF($U40=0,0,IF($U40&lt;1,1/$U40,IF((GO$30-Voorblad!$F$37)/$U40-SUM($EE40:GN40)=1,1,0))))</f>
        <v>0</v>
      </c>
      <c r="GP40" s="8">
        <f>IF(GP$30-Voorblad!$F$37&gt;Voorblad!$K$37,0,IF($U40=0,0,IF($U40&lt;1,1/$U40,IF((GP$30-Voorblad!$F$37)/$U40-SUM($EE40:GO40)=1,1,0))))</f>
        <v>0</v>
      </c>
      <c r="GQ40" s="8">
        <f>IF(GQ$30-Voorblad!$F$37&gt;Voorblad!$K$37,0,IF($U40=0,0,IF($U40&lt;1,1/$U40,IF((GQ$30-Voorblad!$F$37)/$U40-SUM($EE40:GP40)=1,1,0))))</f>
        <v>0</v>
      </c>
      <c r="GR40" s="8">
        <f>IF(GR$30-Voorblad!$F$37&gt;Voorblad!$K$37,0,IF($U40=0,0,IF($U40&lt;1,1/$U40,IF((GR$30-Voorblad!$F$37)/$U40-SUM($EE40:GQ40)=1,1,0))))</f>
        <v>0</v>
      </c>
      <c r="GS40" s="8">
        <f>IF(GS$30-Voorblad!$F$37&gt;Voorblad!$K$37,0,IF($U40=0,0,IF($U40&lt;1,1/$U40,IF((GS$30-Voorblad!$F$37)/$U40-SUM($EE40:GR40)=1,1,0))))</f>
        <v>0</v>
      </c>
      <c r="GT40" s="8">
        <f>IF(GT$30-Voorblad!$F$37&gt;Voorblad!$K$37,0,IF($U40=0,0,IF($U40&lt;1,1/$U40,IF((GT$30-Voorblad!$F$37)/$U40-SUM($EE40:GS40)=1,1,0))))</f>
        <v>0</v>
      </c>
      <c r="GU40" s="8">
        <f>IF(GU$30-Voorblad!$F$37&gt;Voorblad!$K$37,0,IF($U40=0,0,IF($U40&lt;1,1/$U40,IF((GU$30-Voorblad!$F$37)/$U40-SUM($EE40:GT40)=1,1,0))))</f>
        <v>0</v>
      </c>
      <c r="GV40" s="8">
        <f>IF(GV$30-Voorblad!$F$37&gt;Voorblad!$K$37,0,IF($U40=0,0,IF($U40&lt;1,1/$U40,IF((GV$30-Voorblad!$F$37)/$U40-SUM($EE40:GU40)=1,1,0))))</f>
        <v>0</v>
      </c>
      <c r="GW40" s="8">
        <f>IF(GW$30-Voorblad!$F$37&gt;Voorblad!$K$37,0,IF($U40=0,0,IF($U40&lt;1,1/$U40,IF((GW$30-Voorblad!$F$37)/$U40-SUM($EE40:GV40)=1,1,0))))</f>
        <v>0</v>
      </c>
      <c r="GX40" s="8">
        <f>IF(GX$30-Voorblad!$F$37&gt;Voorblad!$K$37,0,IF($U40=0,0,IF($U40&lt;1,1/$U40,IF((GX$30-Voorblad!$F$37)/$U40-SUM($EE40:GW40)=1,1,0))))</f>
        <v>0</v>
      </c>
      <c r="GY40" s="8">
        <f>IF(GY$30-Voorblad!$F$37&gt;Voorblad!$K$37,0,IF($U40=0,0,IF($U40&lt;1,1/$U40,IF((GY$30-Voorblad!$F$37)/$U40-SUM($EE40:GX40)=1,1,0))))</f>
        <v>0</v>
      </c>
      <c r="GZ40" s="8">
        <f>IF(GZ$30-Voorblad!$F$37&gt;Voorblad!$K$37,0,IF($U40=0,0,IF($U40&lt;1,1/$U40,IF((GZ$30-Voorblad!$F$37)/$U40-SUM($EE40:GY40)=1,1,0))))</f>
        <v>0</v>
      </c>
      <c r="HA40" s="8">
        <f>IF(HA$30-Voorblad!$F$37&gt;Voorblad!$K$37,0,IF($U40=0,0,IF($U40&lt;1,1/$U40,IF((HA$30-Voorblad!$F$37)/$U40-SUM($EE40:GZ40)=1,1,0))))</f>
        <v>0</v>
      </c>
      <c r="HB40" s="8">
        <f>IF(HB$30-Voorblad!$F$37&gt;Voorblad!$K$37,0,IF($U40=0,0,IF($U40&lt;1,1/$U40,IF((HB$30-Voorblad!$F$37)/$U40-SUM($EE40:HA40)=1,1,0))))</f>
        <v>0</v>
      </c>
      <c r="HC40" s="8">
        <f>IF(HC$30-Voorblad!$F$37&gt;Voorblad!$K$37,0,IF($U40=0,0,IF($U40&lt;1,1/$U40,IF((HC$30-Voorblad!$F$37)/$U40-SUM($EE40:HB40)=1,1,0))))</f>
        <v>0</v>
      </c>
      <c r="HD40" s="8">
        <f>IF(HD$30-Voorblad!$F$37&gt;Voorblad!$K$37,0,IF($U40=0,0,IF($U40&lt;1,1/$U40,IF((HD$30-Voorblad!$F$37)/$U40-SUM($EE40:HC40)=1,1,0))))</f>
        <v>0</v>
      </c>
      <c r="HE40" s="8">
        <f>IF(HE$30-Voorblad!$F$37&gt;Voorblad!$K$37,0,IF($U40=0,0,IF($U40&lt;1,1/$U40,IF((HE$30-Voorblad!$F$37)/$U40-SUM($EE40:HD40)=1,1,0))))</f>
        <v>0</v>
      </c>
      <c r="HF40" s="8">
        <f>IF(HF$30-Voorblad!$F$37&gt;Voorblad!$K$37,0,IF($U40=0,0,IF($U40&lt;1,1/$U40,IF((HF$30-Voorblad!$F$37)/$U40-SUM($EE40:HE40)=1,1,0))))</f>
        <v>0</v>
      </c>
      <c r="HG40" s="8">
        <f>IF(HG$30-Voorblad!$F$37&gt;Voorblad!$K$37,0,IF($U40=0,0,IF($U40&lt;1,1/$U40,IF((HG$30-Voorblad!$F$37)/$U40-SUM($EE40:HF40)=1,1,0))))</f>
        <v>0</v>
      </c>
      <c r="HH40" s="8">
        <f>IF(HH$30-Voorblad!$F$37&gt;Voorblad!$K$37,0,IF($U40=0,0,IF($U40&lt;1,1/$U40,IF((HH$30-Voorblad!$F$37)/$U40-SUM($EE40:HG40)=1,1,0))))</f>
        <v>0</v>
      </c>
      <c r="HI40" s="8">
        <f>IF(HI$30-Voorblad!$F$37&gt;Voorblad!$K$37,0,IF($U40=0,0,IF($U40&lt;1,1/$U40,IF((HI$30-Voorblad!$F$37)/$U40-SUM($EE40:HH40)=1,1,0))))</f>
        <v>0</v>
      </c>
      <c r="HJ40" s="8">
        <f>IF(HJ$30-Voorblad!$F$37&gt;Voorblad!$K$37,0,IF($U40=0,0,IF($U40&lt;1,1/$U40,IF((HJ$30-Voorblad!$F$37)/$U40-SUM($EE40:HI40)=1,1,0))))</f>
        <v>0</v>
      </c>
      <c r="HK40" s="8">
        <f>IF(HK$30-Voorblad!$F$37&gt;Voorblad!$K$37,0,IF($U40=0,0,IF($U40&lt;1,1/$U40,IF((HK$30-Voorblad!$F$37)/$U40-SUM($EE40:HJ40)=1,1,0))))</f>
        <v>0</v>
      </c>
      <c r="HL40" s="8">
        <f>IF(HL$30-Voorblad!$F$37&gt;Voorblad!$K$37,0,IF($U40=0,0,IF($U40&lt;1,1/$U40,IF((HL$30-Voorblad!$F$37)/$U40-SUM($EE40:HK40)=1,1,0))))</f>
        <v>0</v>
      </c>
      <c r="HM40" s="8">
        <f>IF(HM$30-Voorblad!$F$37&gt;Voorblad!$K$37,0,IF($U40=0,0,IF($U40&lt;1,1/$U40,IF((HM$30-Voorblad!$F$37)/$U40-SUM($EE40:HL40)=1,1,0))))</f>
        <v>0</v>
      </c>
      <c r="HN40" s="8">
        <f>IF(HN$30-Voorblad!$F$37&gt;Voorblad!$K$37,0,IF($U40=0,0,IF($U40&lt;1,1/$U40,IF((HN$30-Voorblad!$F$37)/$U40-SUM($EE40:HM40)=1,1,0))))</f>
        <v>0</v>
      </c>
      <c r="HO40" s="8">
        <f>IF(HO$30-Voorblad!$F$37&gt;Voorblad!$K$37,0,IF($U40=0,0,IF($U40&lt;1,1/$U40,IF((HO$30-Voorblad!$F$37)/$U40-SUM($EE40:HN40)=1,1,0))))</f>
        <v>0</v>
      </c>
      <c r="HP40" s="8">
        <f>IF(HP$30-Voorblad!$F$37&gt;Voorblad!$K$37,0,IF($U40=0,0,IF($U40&lt;1,1/$U40,IF((HP$30-Voorblad!$F$37)/$U40-SUM($EE40:HO40)=1,1,0))))</f>
        <v>0</v>
      </c>
      <c r="HQ40" s="8">
        <f>IF(HQ$30-Voorblad!$F$37&gt;Voorblad!$K$37,0,IF($U40=0,0,IF($U40&lt;1,1/$U40,IF((HQ$30-Voorblad!$F$37)/$U40-SUM($EE40:HP40)=1,1,0))))</f>
        <v>0</v>
      </c>
      <c r="HR40" s="8">
        <f>IF(HR$30-Voorblad!$F$37&gt;Voorblad!$K$37,0,IF($U40=0,0,IF($U40&lt;1,1/$U40,IF((HR$30-Voorblad!$F$37)/$U40-SUM($EE40:HQ40)=1,1,0))))</f>
        <v>0</v>
      </c>
      <c r="HS40" s="8">
        <f>IF(HS$30-Voorblad!$F$37&gt;Voorblad!$K$37,0,IF($U40=0,0,IF($U40&lt;1,1/$U40,IF((HS$30-Voorblad!$F$37)/$U40-SUM($EE40:HR40)=1,1,0))))</f>
        <v>0</v>
      </c>
      <c r="HT40" s="8">
        <f>IF(HT$30-Voorblad!$F$37&gt;Voorblad!$K$37,0,IF($U40=0,0,IF($U40&lt;1,1/$U40,IF((HT$30-Voorblad!$F$37)/$U40-SUM($EE40:HS40)=1,1,0))))</f>
        <v>0</v>
      </c>
      <c r="HU40" s="8">
        <f>IF(HU$30-Voorblad!$F$37&gt;Voorblad!$K$37,0,IF($U40=0,0,IF($U40&lt;1,1/$U40,IF((HU$30-Voorblad!$F$37)/$U40-SUM($EE40:HT40)=1,1,0))))</f>
        <v>0</v>
      </c>
      <c r="HV40" s="8">
        <f>IF(HV$30-Voorblad!$F$37&gt;Voorblad!$K$37,0,IF($U40=0,0,IF($U40&lt;1,1/$U40,IF((HV$30-Voorblad!$F$37)/$U40-SUM($EE40:HU40)=1,1,0))))</f>
        <v>0</v>
      </c>
      <c r="HW40" s="8">
        <f>IF(HW$30-Voorblad!$F$37&gt;Voorblad!$K$37,0,IF($U40=0,0,IF($U40&lt;1,1/$U40,IF((HW$30-Voorblad!$F$37)/$U40-SUM($EE40:HV40)=1,1,0))))</f>
        <v>0</v>
      </c>
      <c r="HX40" s="8">
        <f>IF(HX$30-Voorblad!$F$37&gt;Voorblad!$K$37,0,IF($U40=0,0,IF($U40&lt;1,1/$U40,IF((HX$30-Voorblad!$F$37)/$U40-SUM($EE40:HW40)=1,1,0))))</f>
        <v>0</v>
      </c>
      <c r="HY40" s="8">
        <f>IF(HY$30-Voorblad!$F$37&gt;Voorblad!$K$37,0,IF($U40=0,0,IF($U40&lt;1,1/$U40,IF((HY$30-Voorblad!$F$37)/$U40-SUM($EE40:HX40)=1,1,0))))</f>
        <v>0</v>
      </c>
      <c r="HZ40" s="8">
        <f>IF(HZ$30-Voorblad!$F$37&gt;Voorblad!$K$37,0,IF($U40=0,0,IF($U40&lt;1,1/$U40,IF((HZ$30-Voorblad!$F$37)/$U40-SUM($EE40:HY40)=1,1,0))))</f>
        <v>0</v>
      </c>
      <c r="IA40" s="8">
        <f>IF(IA$30-Voorblad!$F$37&gt;Voorblad!$K$37,0,IF($U40=0,0,IF($U40&lt;1,1/$U40,IF((IA$30-Voorblad!$F$37)/$U40-SUM($EE40:HZ40)=1,1,0))))</f>
        <v>0</v>
      </c>
      <c r="IB40" s="8">
        <f>IF(IB$30-Voorblad!$F$37&gt;Voorblad!$K$37,0,IF($U40=0,0,IF($U40&lt;1,1/$U40,IF((IB$30-Voorblad!$F$37)/$U40-SUM($EE40:IA40)=1,1,0))))</f>
        <v>0</v>
      </c>
    </row>
    <row r="41" spans="2:236" ht="12" customHeight="1" x14ac:dyDescent="0.25">
      <c r="B41" s="76"/>
      <c r="C41" s="76"/>
      <c r="D41" s="76">
        <v>4</v>
      </c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7"/>
      <c r="P41" s="77"/>
      <c r="Q41" s="81">
        <v>1</v>
      </c>
      <c r="R41" s="81" t="s">
        <v>33</v>
      </c>
      <c r="S41" s="81"/>
      <c r="T41" s="9">
        <f t="shared" si="4"/>
        <v>0</v>
      </c>
      <c r="U41" s="11">
        <v>1</v>
      </c>
      <c r="V41" s="14"/>
      <c r="W41" s="9">
        <f>Voorblad!K54</f>
        <v>0</v>
      </c>
      <c r="Y41" s="9">
        <f t="shared" si="5"/>
        <v>0</v>
      </c>
      <c r="Z41" s="82"/>
      <c r="AA41" s="82"/>
      <c r="AC41" s="9">
        <f>$Y41*(Voorblad!$K$44*(1+Voorblad!$K$44)^Voorblad!$K$37)/((1+Voorblad!$K$44)^Voorblad!$K$37-1)</f>
        <v>0</v>
      </c>
      <c r="AE41" s="9">
        <f>IF($W41=AE$30,EF41*($Q41*$S41)/(1+Voorblad!$K$44)^(AE$30-Voorblad!$F$37),0)</f>
        <v>0</v>
      </c>
      <c r="AF41" s="9">
        <f>IF($W41=AF$30,EG41*($Q41*$S41)/(1+Voorblad!$K$44)^(AF$30-Voorblad!$F$37),0)</f>
        <v>0</v>
      </c>
      <c r="AG41" s="9">
        <f>IF($W41=AG$30,EH41*($Q41*$S41)/(1+Voorblad!$K$44)^(AG$30-Voorblad!$F$37),0)</f>
        <v>0</v>
      </c>
      <c r="AH41" s="9">
        <f>IF($W41=AH$30,EI41*($Q41*$S41)/(1+Voorblad!$K$44)^(AH$30-Voorblad!$F$37),0)</f>
        <v>0</v>
      </c>
      <c r="AI41" s="9">
        <f>IF($W41=AI$30,EJ41*($Q41*$S41)/(1+Voorblad!$K$44)^(AI$30-Voorblad!$F$37),0)</f>
        <v>0</v>
      </c>
      <c r="AJ41" s="9">
        <f>IF($W41=AJ$30,EK41*($Q41*$S41)/(1+Voorblad!$K$44)^(AJ$30-Voorblad!$F$37),0)</f>
        <v>0</v>
      </c>
      <c r="AK41" s="9">
        <f>IF($W41=AK$30,EL41*($Q41*$S41)/(1+Voorblad!$K$44)^(AK$30-Voorblad!$F$37),0)</f>
        <v>0</v>
      </c>
      <c r="AL41" s="9">
        <f>IF($W41=AL$30,EM41*($Q41*$S41)/(1+Voorblad!$K$44)^(AL$30-Voorblad!$F$37),0)</f>
        <v>0</v>
      </c>
      <c r="AM41" s="9">
        <f>IF($W41=AM$30,EN41*($Q41*$S41)/(1+Voorblad!$K$44)^(AM$30-Voorblad!$F$37),0)</f>
        <v>0</v>
      </c>
      <c r="AN41" s="9">
        <f>IF($W41=AN$30,EO41*($Q41*$S41)/(1+Voorblad!$K$44)^(AN$30-Voorblad!$F$37),0)</f>
        <v>0</v>
      </c>
      <c r="AO41" s="9">
        <f>IF($W41=AO$30,EP41*($Q41*$S41)/(1+Voorblad!$K$44)^(AO$30-Voorblad!$F$37),0)</f>
        <v>0</v>
      </c>
      <c r="AP41" s="9">
        <f>IF($W41=AP$30,EQ41*($Q41*$S41)/(1+Voorblad!$K$44)^(AP$30-Voorblad!$F$37),0)</f>
        <v>0</v>
      </c>
      <c r="AQ41" s="9">
        <f>IF($W41=AQ$30,ER41*($Q41*$S41)/(1+Voorblad!$K$44)^(AQ$30-Voorblad!$F$37),0)</f>
        <v>0</v>
      </c>
      <c r="AR41" s="9">
        <f>IF($W41=AR$30,ES41*($Q41*$S41)/(1+Voorblad!$K$44)^(AR$30-Voorblad!$F$37),0)</f>
        <v>0</v>
      </c>
      <c r="AS41" s="9">
        <f>IF($W41=AS$30,ET41*($Q41*$S41)/(1+Voorblad!$K$44)^(AS$30-Voorblad!$F$37),0)</f>
        <v>0</v>
      </c>
      <c r="AT41" s="9">
        <f>IF($W41=AT$30,EU41*($Q41*$S41)/(1+Voorblad!$K$44)^(AT$30-Voorblad!$F$37),0)</f>
        <v>0</v>
      </c>
      <c r="AU41" s="9">
        <f>IF($W41=AU$30,EV41*($Q41*$S41)/(1+Voorblad!$K$44)^(AU$30-Voorblad!$F$37),0)</f>
        <v>0</v>
      </c>
      <c r="AV41" s="9">
        <f>IF($W41=AV$30,EW41*($Q41*$S41)/(1+Voorblad!$K$44)^(AV$30-Voorblad!$F$37),0)</f>
        <v>0</v>
      </c>
      <c r="AW41" s="9">
        <f>IF($W41=AW$30,EX41*($Q41*$S41)/(1+Voorblad!$K$44)^(AW$30-Voorblad!$F$37),0)</f>
        <v>0</v>
      </c>
      <c r="AX41" s="9">
        <f>IF($W41=AX$30,EY41*($Q41*$S41)/(1+Voorblad!$K$44)^(AX$30-Voorblad!$F$37),0)</f>
        <v>0</v>
      </c>
      <c r="AY41" s="9">
        <f>IF($W41=AY$30,EZ41*($Q41*$S41)/(1+Voorblad!$K$44)^(AY$30-Voorblad!$F$37),0)</f>
        <v>0</v>
      </c>
      <c r="AZ41" s="9">
        <f>IF($W41=AZ$30,FA41*($Q41*$S41)/(1+Voorblad!$K$44)^(AZ$30-Voorblad!$F$37),0)</f>
        <v>0</v>
      </c>
      <c r="BA41" s="9">
        <f>IF($W41=BA$30,FB41*($Q41*$S41)/(1+Voorblad!$K$44)^(BA$30-Voorblad!$F$37),0)</f>
        <v>0</v>
      </c>
      <c r="BB41" s="9">
        <f>IF($W41=BB$30,FC41*($Q41*$S41)/(1+Voorblad!$K$44)^(BB$30-Voorblad!$F$37),0)</f>
        <v>0</v>
      </c>
      <c r="BC41" s="9">
        <f>IF($W41=BC$30,FD41*($Q41*$S41)/(1+Voorblad!$K$44)^(BC$30-Voorblad!$F$37),0)</f>
        <v>0</v>
      </c>
      <c r="BD41" s="9">
        <f>IF($W41=BD$30,FE41*($Q41*$S41)/(1+Voorblad!$K$44)^(BD$30-Voorblad!$F$37),0)</f>
        <v>0</v>
      </c>
      <c r="BE41" s="9">
        <f>IF($W41=BE$30,FF41*($Q41*$S41)/(1+Voorblad!$K$44)^(BE$30-Voorblad!$F$37),0)</f>
        <v>0</v>
      </c>
      <c r="BF41" s="9">
        <f>IF($W41=BF$30,FG41*($Q41*$S41)/(1+Voorblad!$K$44)^(BF$30-Voorblad!$F$37),0)</f>
        <v>0</v>
      </c>
      <c r="BG41" s="9">
        <f>IF($W41=BG$30,FH41*($Q41*$S41)/(1+Voorblad!$K$44)^(BG$30-Voorblad!$F$37),0)</f>
        <v>0</v>
      </c>
      <c r="BH41" s="9">
        <f>IF($W41=BH$30,FI41*($Q41*$S41)/(1+Voorblad!$K$44)^(BH$30-Voorblad!$F$37),0)</f>
        <v>0</v>
      </c>
      <c r="BI41" s="9">
        <f>IF($W41=BI$30,FJ41*($Q41*$S41)/(1+Voorblad!$K$44)^(BI$30-Voorblad!$F$37),0)</f>
        <v>0</v>
      </c>
      <c r="BJ41" s="9">
        <f>IF($W41=BJ$30,FK41*($Q41*$S41)/(1+Voorblad!$K$44)^(BJ$30-Voorblad!$F$37),0)</f>
        <v>0</v>
      </c>
      <c r="BK41" s="9">
        <f>IF($W41=BK$30,FL41*($Q41*$S41)/(1+Voorblad!$K$44)^(BK$30-Voorblad!$F$37),0)</f>
        <v>0</v>
      </c>
      <c r="BL41" s="9">
        <f>IF($W41=BL$30,FM41*($Q41*$S41)/(1+Voorblad!$K$44)^(BL$30-Voorblad!$F$37),0)</f>
        <v>0</v>
      </c>
      <c r="BM41" s="9">
        <f>IF($W41=BM$30,FN41*($Q41*$S41)/(1+Voorblad!$K$44)^(BM$30-Voorblad!$F$37),0)</f>
        <v>0</v>
      </c>
      <c r="BN41" s="9">
        <f>IF($W41=BN$30,FO41*($Q41*$S41)/(1+Voorblad!$K$44)^(BN$30-Voorblad!$F$37),0)</f>
        <v>0</v>
      </c>
      <c r="BO41" s="9">
        <f>IF($W41=BO$30,FP41*($Q41*$S41)/(1+Voorblad!$K$44)^(BO$30-Voorblad!$F$37),0)</f>
        <v>0</v>
      </c>
      <c r="BP41" s="9">
        <f>IF($W41=BP$30,FQ41*($Q41*$S41)/(1+Voorblad!$K$44)^(BP$30-Voorblad!$F$37),0)</f>
        <v>0</v>
      </c>
      <c r="BQ41" s="9">
        <f>IF($W41=BQ$30,FR41*($Q41*$S41)/(1+Voorblad!$K$44)^(BQ$30-Voorblad!$F$37),0)</f>
        <v>0</v>
      </c>
      <c r="BR41" s="9">
        <f>IF($W41=BR$30,FS41*($Q41*$S41)/(1+Voorblad!$K$44)^(BR$30-Voorblad!$F$37),0)</f>
        <v>0</v>
      </c>
      <c r="BS41" s="9">
        <f>IF($W41=BS$30,FT41*($Q41*$S41)/(1+Voorblad!$K$44)^(BS$30-Voorblad!$F$37),0)</f>
        <v>0</v>
      </c>
      <c r="BT41" s="9">
        <f>IF($W41=BT$30,FU41*($Q41*$S41)/(1+Voorblad!$K$44)^(BT$30-Voorblad!$F$37),0)</f>
        <v>0</v>
      </c>
      <c r="BU41" s="9">
        <f>IF($W41=BU$30,FV41*($Q41*$S41)/(1+Voorblad!$K$44)^(BU$30-Voorblad!$F$37),0)</f>
        <v>0</v>
      </c>
      <c r="BV41" s="9">
        <f>IF($W41=BV$30,FW41*($Q41*$S41)/(1+Voorblad!$K$44)^(BV$30-Voorblad!$F$37),0)</f>
        <v>0</v>
      </c>
      <c r="BW41" s="9">
        <f>IF($W41=BW$30,FX41*($Q41*$S41)/(1+Voorblad!$K$44)^(BW$30-Voorblad!$F$37),0)</f>
        <v>0</v>
      </c>
      <c r="BX41" s="9">
        <f>IF($W41=BX$30,FY41*($Q41*$S41)/(1+Voorblad!$K$44)^(BX$30-Voorblad!$F$37),0)</f>
        <v>0</v>
      </c>
      <c r="BY41" s="9">
        <f>IF($W41=BY$30,FZ41*($Q41*$S41)/(1+Voorblad!$K$44)^(BY$30-Voorblad!$F$37),0)</f>
        <v>0</v>
      </c>
      <c r="BZ41" s="9">
        <f>IF($W41=BZ$30,GA41*($Q41*$S41)/(1+Voorblad!$K$44)^(BZ$30-Voorblad!$F$37),0)</f>
        <v>0</v>
      </c>
      <c r="CA41" s="9">
        <f>IF($W41=CA$30,GB41*($Q41*$S41)/(1+Voorblad!$K$44)^(CA$30-Voorblad!$F$37),0)</f>
        <v>0</v>
      </c>
      <c r="CB41" s="9">
        <f>IF($W41=CB$30,GC41*($Q41*$S41)/(1+Voorblad!$K$44)^(CB$30-Voorblad!$F$37),0)</f>
        <v>0</v>
      </c>
      <c r="CC41" s="9">
        <f>IF($W41=CC$30,GD41*($Q41*$S41)/(1+Voorblad!$K$44)^(CC$30-Voorblad!$F$37),0)</f>
        <v>0</v>
      </c>
      <c r="CD41" s="9">
        <f>IF($W41=CD$30,GE41*($Q41*$S41)/(1+Voorblad!$K$44)^(CD$30-Voorblad!$F$37),0)</f>
        <v>0</v>
      </c>
      <c r="CE41" s="9">
        <f>IF($W41=CE$30,GF41*($Q41*$S41)/(1+Voorblad!$K$44)^(CE$30-Voorblad!$F$37),0)</f>
        <v>0</v>
      </c>
      <c r="CF41" s="9">
        <f>IF($W41=CF$30,GG41*($Q41*$S41)/(1+Voorblad!$K$44)^(CF$30-Voorblad!$F$37),0)</f>
        <v>0</v>
      </c>
      <c r="CG41" s="9">
        <f>IF($W41=CG$30,GH41*($Q41*$S41)/(1+Voorblad!$K$44)^(CG$30-Voorblad!$F$37),0)</f>
        <v>0</v>
      </c>
      <c r="CH41" s="9">
        <f>IF($W41=CH$30,GI41*($Q41*$S41)/(1+Voorblad!$K$44)^(CH$30-Voorblad!$F$37),0)</f>
        <v>0</v>
      </c>
      <c r="CI41" s="9">
        <f>IF($W41=CI$30,GJ41*($Q41*$S41)/(1+Voorblad!$K$44)^(CI$30-Voorblad!$F$37),0)</f>
        <v>0</v>
      </c>
      <c r="CJ41" s="9">
        <f>IF($W41=CJ$30,GK41*($Q41*$S41)/(1+Voorblad!$K$44)^(CJ$30-Voorblad!$F$37),0)</f>
        <v>0</v>
      </c>
      <c r="CK41" s="9">
        <f>IF($W41=CK$30,GL41*($Q41*$S41)/(1+Voorblad!$K$44)^(CK$30-Voorblad!$F$37),0)</f>
        <v>0</v>
      </c>
      <c r="CL41" s="9">
        <f>IF($W41=CL$30,GM41*($Q41*$S41)/(1+Voorblad!$K$44)^(CL$30-Voorblad!$F$37),0)</f>
        <v>0</v>
      </c>
      <c r="CM41" s="9">
        <f>IF($W41=CM$30,GN41*($Q41*$S41)/(1+Voorblad!$K$44)^(CM$30-Voorblad!$F$37),0)</f>
        <v>0</v>
      </c>
      <c r="CN41" s="9">
        <f>IF($W41=CN$30,GO41*($Q41*$S41)/(1+Voorblad!$K$44)^(CN$30-Voorblad!$F$37),0)</f>
        <v>0</v>
      </c>
      <c r="CO41" s="9">
        <f>IF($W41=CO$30,GP41*($Q41*$S41)/(1+Voorblad!$K$44)^(CO$30-Voorblad!$F$37),0)</f>
        <v>0</v>
      </c>
      <c r="CP41" s="9">
        <f>IF($W41=CP$30,GQ41*($Q41*$S41)/(1+Voorblad!$K$44)^(CP$30-Voorblad!$F$37),0)</f>
        <v>0</v>
      </c>
      <c r="CQ41" s="9">
        <f>IF($W41=CQ$30,GR41*($Q41*$S41)/(1+Voorblad!$K$44)^(CQ$30-Voorblad!$F$37),0)</f>
        <v>0</v>
      </c>
      <c r="CR41" s="9">
        <f>IF($W41=CR$30,GS41*($Q41*$S41)/(1+Voorblad!$K$44)^(CR$30-Voorblad!$F$37),0)</f>
        <v>0</v>
      </c>
      <c r="CS41" s="9">
        <f>IF($W41=CS$30,GT41*($Q41*$S41)/(1+Voorblad!$K$44)^(CS$30-Voorblad!$F$37),0)</f>
        <v>0</v>
      </c>
      <c r="CT41" s="9">
        <f>IF($W41=CT$30,GU41*($Q41*$S41)/(1+Voorblad!$K$44)^(CT$30-Voorblad!$F$37),0)</f>
        <v>0</v>
      </c>
      <c r="CU41" s="9">
        <f>IF($W41=CU$30,GV41*($Q41*$S41)/(1+Voorblad!$K$44)^(CU$30-Voorblad!$F$37),0)</f>
        <v>0</v>
      </c>
      <c r="CV41" s="9">
        <f>IF($W41=CV$30,GW41*($Q41*$S41)/(1+Voorblad!$K$44)^(CV$30-Voorblad!$F$37),0)</f>
        <v>0</v>
      </c>
      <c r="CW41" s="9">
        <f>IF($W41=CW$30,GX41*($Q41*$S41)/(1+Voorblad!$K$44)^(CW$30-Voorblad!$F$37),0)</f>
        <v>0</v>
      </c>
      <c r="CX41" s="9">
        <f>IF($W41=CX$30,GY41*($Q41*$S41)/(1+Voorblad!$K$44)^(CX$30-Voorblad!$F$37),0)</f>
        <v>0</v>
      </c>
      <c r="CY41" s="9">
        <f>IF($W41=CY$30,GZ41*($Q41*$S41)/(1+Voorblad!$K$44)^(CY$30-Voorblad!$F$37),0)</f>
        <v>0</v>
      </c>
      <c r="CZ41" s="9">
        <f>IF($W41=CZ$30,HA41*($Q41*$S41)/(1+Voorblad!$K$44)^(CZ$30-Voorblad!$F$37),0)</f>
        <v>0</v>
      </c>
      <c r="DA41" s="9">
        <f>IF($W41=DA$30,HB41*($Q41*$S41)/(1+Voorblad!$K$44)^(DA$30-Voorblad!$F$37),0)</f>
        <v>0</v>
      </c>
      <c r="DB41" s="9">
        <f>IF($W41=DB$30,HC41*($Q41*$S41)/(1+Voorblad!$K$44)^(DB$30-Voorblad!$F$37),0)</f>
        <v>0</v>
      </c>
      <c r="DC41" s="9">
        <f>IF($W41=DC$30,HD41*($Q41*$S41)/(1+Voorblad!$K$44)^(DC$30-Voorblad!$F$37),0)</f>
        <v>0</v>
      </c>
      <c r="DD41" s="9">
        <f>IF($W41=DD$30,HE41*($Q41*$S41)/(1+Voorblad!$K$44)^(DD$30-Voorblad!$F$37),0)</f>
        <v>0</v>
      </c>
      <c r="DE41" s="9">
        <f>IF($W41=DE$30,HF41*($Q41*$S41)/(1+Voorblad!$K$44)^(DE$30-Voorblad!$F$37),0)</f>
        <v>0</v>
      </c>
      <c r="DF41" s="9">
        <f>IF($W41=DF$30,HG41*($Q41*$S41)/(1+Voorblad!$K$44)^(DF$30-Voorblad!$F$37),0)</f>
        <v>0</v>
      </c>
      <c r="DG41" s="9">
        <f>IF($W41=DG$30,HH41*($Q41*$S41)/(1+Voorblad!$K$44)^(DG$30-Voorblad!$F$37),0)</f>
        <v>0</v>
      </c>
      <c r="DH41" s="9">
        <f>IF($W41=DH$30,HI41*($Q41*$S41)/(1+Voorblad!$K$44)^(DH$30-Voorblad!$F$37),0)</f>
        <v>0</v>
      </c>
      <c r="DI41" s="9">
        <f>IF($W41=DI$30,HJ41*($Q41*$S41)/(1+Voorblad!$K$44)^(DI$30-Voorblad!$F$37),0)</f>
        <v>0</v>
      </c>
      <c r="DJ41" s="9">
        <f>IF($W41=DJ$30,HK41*($Q41*$S41)/(1+Voorblad!$K$44)^(DJ$30-Voorblad!$F$37),0)</f>
        <v>0</v>
      </c>
      <c r="DK41" s="9">
        <f>IF($W41=DK$30,HL41*($Q41*$S41)/(1+Voorblad!$K$44)^(DK$30-Voorblad!$F$37),0)</f>
        <v>0</v>
      </c>
      <c r="DL41" s="9">
        <f>IF($W41=DL$30,HM41*($Q41*$S41)/(1+Voorblad!$K$44)^(DL$30-Voorblad!$F$37),0)</f>
        <v>0</v>
      </c>
      <c r="DM41" s="9">
        <f>IF($W41=DM$30,HN41*($Q41*$S41)/(1+Voorblad!$K$44)^(DM$30-Voorblad!$F$37),0)</f>
        <v>0</v>
      </c>
      <c r="DN41" s="9">
        <f>IF($W41=DN$30,HO41*($Q41*$S41)/(1+Voorblad!$K$44)^(DN$30-Voorblad!$F$37),0)</f>
        <v>0</v>
      </c>
      <c r="DO41" s="9">
        <f>IF($W41=DO$30,HP41*($Q41*$S41)/(1+Voorblad!$K$44)^(DO$30-Voorblad!$F$37),0)</f>
        <v>0</v>
      </c>
      <c r="DP41" s="9">
        <f>IF($W41=DP$30,HQ41*($Q41*$S41)/(1+Voorblad!$K$44)^(DP$30-Voorblad!$F$37),0)</f>
        <v>0</v>
      </c>
      <c r="DQ41" s="9">
        <f>IF($W41=DQ$30,HR41*($Q41*$S41)/(1+Voorblad!$K$44)^(DQ$30-Voorblad!$F$37),0)</f>
        <v>0</v>
      </c>
      <c r="DR41" s="9">
        <f>IF($W41=DR$30,HS41*($Q41*$S41)/(1+Voorblad!$K$44)^(DR$30-Voorblad!$F$37),0)</f>
        <v>0</v>
      </c>
      <c r="DS41" s="9">
        <f>IF($W41=DS$30,HT41*($Q41*$S41)/(1+Voorblad!$K$44)^(DS$30-Voorblad!$F$37),0)</f>
        <v>0</v>
      </c>
      <c r="DT41" s="9">
        <f>IF($W41=DT$30,HU41*($Q41*$S41)/(1+Voorblad!$K$44)^(DT$30-Voorblad!$F$37),0)</f>
        <v>0</v>
      </c>
      <c r="DU41" s="9">
        <f>IF($W41=DU$30,HV41*($Q41*$S41)/(1+Voorblad!$K$44)^(DU$30-Voorblad!$F$37),0)</f>
        <v>0</v>
      </c>
      <c r="DV41" s="9">
        <f>IF($W41=DV$30,HW41*($Q41*$S41)/(1+Voorblad!$K$44)^(DV$30-Voorblad!$F$37),0)</f>
        <v>0</v>
      </c>
      <c r="DW41" s="9">
        <f>IF($W41=DW$30,HX41*($Q41*$S41)/(1+Voorblad!$K$44)^(DW$30-Voorblad!$F$37),0)</f>
        <v>0</v>
      </c>
      <c r="DX41" s="9">
        <f>IF($W41=DX$30,HY41*($Q41*$S41)/(1+Voorblad!$K$44)^(DX$30-Voorblad!$F$37),0)</f>
        <v>0</v>
      </c>
      <c r="DY41" s="9">
        <f>IF($W41=DY$30,HZ41*($Q41*$S41)/(1+Voorblad!$K$44)^(DY$30-Voorblad!$F$37),0)</f>
        <v>0</v>
      </c>
      <c r="DZ41" s="9">
        <f>IF($W41=DZ$30,IA41*($Q41*$S41)/(1+Voorblad!$K$44)^(DZ$30-Voorblad!$F$37),0)</f>
        <v>0</v>
      </c>
      <c r="EA41" s="9">
        <f>IF($W41=EA$30,IB41*($Q41*$S41)/(1+Voorblad!$K$44)^(EA$30-Voorblad!$F$37),0)</f>
        <v>0</v>
      </c>
      <c r="EB41" s="9">
        <f>IF($W41=EB$30,IC41*($Q41*$S41)/(1+Voorblad!$K$44)^(EB$30-Voorblad!$F$37),0)</f>
        <v>0</v>
      </c>
      <c r="EE41" s="8">
        <v>0</v>
      </c>
      <c r="EF41" s="8">
        <f>IF(EF$30-Voorblad!$F$37&gt;Voorblad!$K$37,0,IF($U41=0,0,IF($U41&lt;1,1/$U41,IF((EF$30-Voorblad!$F$37)/$U41-SUM($EE41:EE41)=1,1,0))))</f>
        <v>0</v>
      </c>
      <c r="EG41" s="8">
        <f>IF(EG$30-Voorblad!$F$37&gt;Voorblad!$K$37,0,IF($U41=0,0,IF($U41&lt;1,1/$U41,IF((EG$30-Voorblad!$F$37)/$U41-SUM($EE41:EF41)=1,1,0))))</f>
        <v>1</v>
      </c>
      <c r="EH41" s="8">
        <f>IF(EH$30-Voorblad!$F$37&gt;Voorblad!$K$37,0,IF($U41=0,0,IF($U41&lt;1,1/$U41,IF((EH$30-Voorblad!$F$37)/$U41-SUM($EE41:EG41)=1,1,0))))</f>
        <v>1</v>
      </c>
      <c r="EI41" s="8">
        <f>IF(EI$30-Voorblad!$F$37&gt;Voorblad!$K$37,0,IF($U41=0,0,IF($U41&lt;1,1/$U41,IF((EI$30-Voorblad!$F$37)/$U41-SUM($EE41:EH41)=1,1,0))))</f>
        <v>1</v>
      </c>
      <c r="EJ41" s="8">
        <f>IF(EJ$30-Voorblad!$F$37&gt;Voorblad!$K$37,0,IF($U41=0,0,IF($U41&lt;1,1/$U41,IF((EJ$30-Voorblad!$F$37)/$U41-SUM($EE41:EI41)=1,1,0))))</f>
        <v>1</v>
      </c>
      <c r="EK41" s="8">
        <f>IF(EK$30-Voorblad!$F$37&gt;Voorblad!$K$37,0,IF($U41=0,0,IF($U41&lt;1,1/$U41,IF((EK$30-Voorblad!$F$37)/$U41-SUM($EE41:EJ41)=1,1,0))))</f>
        <v>1</v>
      </c>
      <c r="EL41" s="8">
        <f>IF(EL$30-Voorblad!$F$37&gt;Voorblad!$K$37,0,IF($U41=0,0,IF($U41&lt;1,1/$U41,IF((EL$30-Voorblad!$F$37)/$U41-SUM($EE41:EK41)=1,1,0))))</f>
        <v>1</v>
      </c>
      <c r="EM41" s="8">
        <f>IF(EM$30-Voorblad!$F$37&gt;Voorblad!$K$37,0,IF($U41=0,0,IF($U41&lt;1,1/$U41,IF((EM$30-Voorblad!$F$37)/$U41-SUM($EE41:EL41)=1,1,0))))</f>
        <v>1</v>
      </c>
      <c r="EN41" s="8">
        <f>IF(EN$30-Voorblad!$F$37&gt;Voorblad!$K$37,0,IF($U41=0,0,IF($U41&lt;1,1/$U41,IF((EN$30-Voorblad!$F$37)/$U41-SUM($EE41:EM41)=1,1,0))))</f>
        <v>1</v>
      </c>
      <c r="EO41" s="8">
        <f>IF(EO$30-Voorblad!$F$37&gt;Voorblad!$K$37,0,IF($U41=0,0,IF($U41&lt;1,1/$U41,IF((EO$30-Voorblad!$F$37)/$U41-SUM($EE41:EN41)=1,1,0))))</f>
        <v>1</v>
      </c>
      <c r="EP41" s="8">
        <f>IF(EP$30-Voorblad!$F$37&gt;Voorblad!$K$37,0,IF($U41=0,0,IF($U41&lt;1,1/$U41,IF((EP$30-Voorblad!$F$37)/$U41-SUM($EE41:EO41)=1,1,0))))</f>
        <v>1</v>
      </c>
      <c r="EQ41" s="8">
        <f>IF(EQ$30-Voorblad!$F$37&gt;Voorblad!$K$37,0,IF($U41=0,0,IF($U41&lt;1,1/$U41,IF((EQ$30-Voorblad!$F$37)/$U41-SUM($EE41:EP41)=1,1,0))))</f>
        <v>0</v>
      </c>
      <c r="ER41" s="8">
        <f>IF(ER$30-Voorblad!$F$37&gt;Voorblad!$K$37,0,IF($U41=0,0,IF($U41&lt;1,1/$U41,IF((ER$30-Voorblad!$F$37)/$U41-SUM($EE41:EQ41)=1,1,0))))</f>
        <v>0</v>
      </c>
      <c r="ES41" s="8">
        <f>IF(ES$30-Voorblad!$F$37&gt;Voorblad!$K$37,0,IF($U41=0,0,IF($U41&lt;1,1/$U41,IF((ES$30-Voorblad!$F$37)/$U41-SUM($EE41:ER41)=1,1,0))))</f>
        <v>0</v>
      </c>
      <c r="ET41" s="8">
        <f>IF(ET$30-Voorblad!$F$37&gt;Voorblad!$K$37,0,IF($U41=0,0,IF($U41&lt;1,1/$U41,IF((ET$30-Voorblad!$F$37)/$U41-SUM($EE41:ES41)=1,1,0))))</f>
        <v>0</v>
      </c>
      <c r="EU41" s="8">
        <f>IF(EU$30-Voorblad!$F$37&gt;Voorblad!$K$37,0,IF($U41=0,0,IF($U41&lt;1,1/$U41,IF((EU$30-Voorblad!$F$37)/$U41-SUM($EE41:ET41)=1,1,0))))</f>
        <v>0</v>
      </c>
      <c r="EV41" s="8">
        <f>IF(EV$30-Voorblad!$F$37&gt;Voorblad!$K$37,0,IF($U41=0,0,IF($U41&lt;1,1/$U41,IF((EV$30-Voorblad!$F$37)/$U41-SUM($EE41:EU41)=1,1,0))))</f>
        <v>0</v>
      </c>
      <c r="EW41" s="8">
        <f>IF(EW$30-Voorblad!$F$37&gt;Voorblad!$K$37,0,IF($U41=0,0,IF($U41&lt;1,1/$U41,IF((EW$30-Voorblad!$F$37)/$U41-SUM($EE41:EV41)=1,1,0))))</f>
        <v>0</v>
      </c>
      <c r="EX41" s="8">
        <f>IF(EX$30-Voorblad!$F$37&gt;Voorblad!$K$37,0,IF($U41=0,0,IF($U41&lt;1,1/$U41,IF((EX$30-Voorblad!$F$37)/$U41-SUM($EE41:EW41)=1,1,0))))</f>
        <v>0</v>
      </c>
      <c r="EY41" s="8">
        <f>IF(EY$30-Voorblad!$F$37&gt;Voorblad!$K$37,0,IF($U41=0,0,IF($U41&lt;1,1/$U41,IF((EY$30-Voorblad!$F$37)/$U41-SUM($EE41:EX41)=1,1,0))))</f>
        <v>0</v>
      </c>
      <c r="EZ41" s="8">
        <f>IF(EZ$30-Voorblad!$F$37&gt;Voorblad!$K$37,0,IF($U41=0,0,IF($U41&lt;1,1/$U41,IF((EZ$30-Voorblad!$F$37)/$U41-SUM($EE41:EY41)=1,1,0))))</f>
        <v>0</v>
      </c>
      <c r="FA41" s="8">
        <f>IF(FA$30-Voorblad!$F$37&gt;Voorblad!$K$37,0,IF($U41=0,0,IF($U41&lt;1,1/$U41,IF((FA$30-Voorblad!$F$37)/$U41-SUM($EE41:EZ41)=1,1,0))))</f>
        <v>0</v>
      </c>
      <c r="FB41" s="8">
        <f>IF(FB$30-Voorblad!$F$37&gt;Voorblad!$K$37,0,IF($U41=0,0,IF($U41&lt;1,1/$U41,IF((FB$30-Voorblad!$F$37)/$U41-SUM($EE41:FA41)=1,1,0))))</f>
        <v>0</v>
      </c>
      <c r="FC41" s="8">
        <f>IF(FC$30-Voorblad!$F$37&gt;Voorblad!$K$37,0,IF($U41=0,0,IF($U41&lt;1,1/$U41,IF((FC$30-Voorblad!$F$37)/$U41-SUM($EE41:FB41)=1,1,0))))</f>
        <v>0</v>
      </c>
      <c r="FD41" s="8">
        <f>IF(FD$30-Voorblad!$F$37&gt;Voorblad!$K$37,0,IF($U41=0,0,IF($U41&lt;1,1/$U41,IF((FD$30-Voorblad!$F$37)/$U41-SUM($EE41:FC41)=1,1,0))))</f>
        <v>0</v>
      </c>
      <c r="FE41" s="8">
        <f>IF(FE$30-Voorblad!$F$37&gt;Voorblad!$K$37,0,IF($U41=0,0,IF($U41&lt;1,1/$U41,IF((FE$30-Voorblad!$F$37)/$U41-SUM($EE41:FD41)=1,1,0))))</f>
        <v>0</v>
      </c>
      <c r="FF41" s="8">
        <f>IF(FF$30-Voorblad!$F$37&gt;Voorblad!$K$37,0,IF($U41=0,0,IF($U41&lt;1,1/$U41,IF((FF$30-Voorblad!$F$37)/$U41-SUM($EE41:FE41)=1,1,0))))</f>
        <v>0</v>
      </c>
      <c r="FG41" s="8">
        <f>IF(FG$30-Voorblad!$F$37&gt;Voorblad!$K$37,0,IF($U41=0,0,IF($U41&lt;1,1/$U41,IF((FG$30-Voorblad!$F$37)/$U41-SUM($EE41:FF41)=1,1,0))))</f>
        <v>0</v>
      </c>
      <c r="FH41" s="8">
        <f>IF(FH$30-Voorblad!$F$37&gt;Voorblad!$K$37,0,IF($U41=0,0,IF($U41&lt;1,1/$U41,IF((FH$30-Voorblad!$F$37)/$U41-SUM($EE41:FG41)=1,1,0))))</f>
        <v>0</v>
      </c>
      <c r="FI41" s="8">
        <f>IF(FI$30-Voorblad!$F$37&gt;Voorblad!$K$37,0,IF($U41=0,0,IF($U41&lt;1,1/$U41,IF((FI$30-Voorblad!$F$37)/$U41-SUM($EE41:FH41)=1,1,0))))</f>
        <v>0</v>
      </c>
      <c r="FJ41" s="8">
        <f>IF(FJ$30-Voorblad!$F$37&gt;Voorblad!$K$37,0,IF($U41=0,0,IF($U41&lt;1,1/$U41,IF((FJ$30-Voorblad!$F$37)/$U41-SUM($EE41:FI41)=1,1,0))))</f>
        <v>0</v>
      </c>
      <c r="FK41" s="8">
        <f>IF(FK$30-Voorblad!$F$37&gt;Voorblad!$K$37,0,IF($U41=0,0,IF($U41&lt;1,1/$U41,IF((FK$30-Voorblad!$F$37)/$U41-SUM($EE41:FJ41)=1,1,0))))</f>
        <v>0</v>
      </c>
      <c r="FL41" s="8">
        <f>IF(FL$30-Voorblad!$F$37&gt;Voorblad!$K$37,0,IF($U41=0,0,IF($U41&lt;1,1/$U41,IF((FL$30-Voorblad!$F$37)/$U41-SUM($EE41:FK41)=1,1,0))))</f>
        <v>0</v>
      </c>
      <c r="FM41" s="8">
        <f>IF(FM$30-Voorblad!$F$37&gt;Voorblad!$K$37,0,IF($U41=0,0,IF($U41&lt;1,1/$U41,IF((FM$30-Voorblad!$F$37)/$U41-SUM($EE41:FL41)=1,1,0))))</f>
        <v>0</v>
      </c>
      <c r="FN41" s="8">
        <f>IF(FN$30-Voorblad!$F$37&gt;Voorblad!$K$37,0,IF($U41=0,0,IF($U41&lt;1,1/$U41,IF((FN$30-Voorblad!$F$37)/$U41-SUM($EE41:FM41)=1,1,0))))</f>
        <v>0</v>
      </c>
      <c r="FO41" s="8">
        <f>IF(FO$30-Voorblad!$F$37&gt;Voorblad!$K$37,0,IF($U41=0,0,IF($U41&lt;1,1/$U41,IF((FO$30-Voorblad!$F$37)/$U41-SUM($EE41:FN41)=1,1,0))))</f>
        <v>0</v>
      </c>
      <c r="FP41" s="8">
        <f>IF(FP$30-Voorblad!$F$37&gt;Voorblad!$K$37,0,IF($U41=0,0,IF($U41&lt;1,1/$U41,IF((FP$30-Voorblad!$F$37)/$U41-SUM($EE41:FO41)=1,1,0))))</f>
        <v>0</v>
      </c>
      <c r="FQ41" s="8">
        <f>IF(FQ$30-Voorblad!$F$37&gt;Voorblad!$K$37,0,IF($U41=0,0,IF($U41&lt;1,1/$U41,IF((FQ$30-Voorblad!$F$37)/$U41-SUM($EE41:FP41)=1,1,0))))</f>
        <v>0</v>
      </c>
      <c r="FR41" s="8">
        <f>IF(FR$30-Voorblad!$F$37&gt;Voorblad!$K$37,0,IF($U41=0,0,IF($U41&lt;1,1/$U41,IF((FR$30-Voorblad!$F$37)/$U41-SUM($EE41:FQ41)=1,1,0))))</f>
        <v>0</v>
      </c>
      <c r="FS41" s="8">
        <f>IF(FS$30-Voorblad!$F$37&gt;Voorblad!$K$37,0,IF($U41=0,0,IF($U41&lt;1,1/$U41,IF((FS$30-Voorblad!$F$37)/$U41-SUM($EE41:FR41)=1,1,0))))</f>
        <v>0</v>
      </c>
      <c r="FT41" s="8">
        <f>IF(FT$30-Voorblad!$F$37&gt;Voorblad!$K$37,0,IF($U41=0,0,IF($U41&lt;1,1/$U41,IF((FT$30-Voorblad!$F$37)/$U41-SUM($EE41:FS41)=1,1,0))))</f>
        <v>0</v>
      </c>
      <c r="FU41" s="8">
        <f>IF(FU$30-Voorblad!$F$37&gt;Voorblad!$K$37,0,IF($U41=0,0,IF($U41&lt;1,1/$U41,IF((FU$30-Voorblad!$F$37)/$U41-SUM($EE41:FT41)=1,1,0))))</f>
        <v>0</v>
      </c>
      <c r="FV41" s="8">
        <f>IF(FV$30-Voorblad!$F$37&gt;Voorblad!$K$37,0,IF($U41=0,0,IF($U41&lt;1,1/$U41,IF((FV$30-Voorblad!$F$37)/$U41-SUM($EE41:FU41)=1,1,0))))</f>
        <v>0</v>
      </c>
      <c r="FW41" s="8">
        <f>IF(FW$30-Voorblad!$F$37&gt;Voorblad!$K$37,0,IF($U41=0,0,IF($U41&lt;1,1/$U41,IF((FW$30-Voorblad!$F$37)/$U41-SUM($EE41:FV41)=1,1,0))))</f>
        <v>0</v>
      </c>
      <c r="FX41" s="8">
        <f>IF(FX$30-Voorblad!$F$37&gt;Voorblad!$K$37,0,IF($U41=0,0,IF($U41&lt;1,1/$U41,IF((FX$30-Voorblad!$F$37)/$U41-SUM($EE41:FW41)=1,1,0))))</f>
        <v>0</v>
      </c>
      <c r="FY41" s="8">
        <f>IF(FY$30-Voorblad!$F$37&gt;Voorblad!$K$37,0,IF($U41=0,0,IF($U41&lt;1,1/$U41,IF((FY$30-Voorblad!$F$37)/$U41-SUM($EE41:FX41)=1,1,0))))</f>
        <v>0</v>
      </c>
      <c r="FZ41" s="8">
        <f>IF(FZ$30-Voorblad!$F$37&gt;Voorblad!$K$37,0,IF($U41=0,0,IF($U41&lt;1,1/$U41,IF((FZ$30-Voorblad!$F$37)/$U41-SUM($EE41:FY41)=1,1,0))))</f>
        <v>0</v>
      </c>
      <c r="GA41" s="8">
        <f>IF(GA$30-Voorblad!$F$37&gt;Voorblad!$K$37,0,IF($U41=0,0,IF($U41&lt;1,1/$U41,IF((GA$30-Voorblad!$F$37)/$U41-SUM($EE41:FZ41)=1,1,0))))</f>
        <v>0</v>
      </c>
      <c r="GB41" s="8">
        <f>IF(GB$30-Voorblad!$F$37&gt;Voorblad!$K$37,0,IF($U41=0,0,IF($U41&lt;1,1/$U41,IF((GB$30-Voorblad!$F$37)/$U41-SUM($EE41:GA41)=1,1,0))))</f>
        <v>0</v>
      </c>
      <c r="GC41" s="8">
        <f>IF(GC$30-Voorblad!$F$37&gt;Voorblad!$K$37,0,IF($U41=0,0,IF($U41&lt;1,1/$U41,IF((GC$30-Voorblad!$F$37)/$U41-SUM($EE41:GB41)=1,1,0))))</f>
        <v>0</v>
      </c>
      <c r="GD41" s="8">
        <f>IF(GD$30-Voorblad!$F$37&gt;Voorblad!$K$37,0,IF($U41=0,0,IF($U41&lt;1,1/$U41,IF((GD$30-Voorblad!$F$37)/$U41-SUM($EE41:GC41)=1,1,0))))</f>
        <v>0</v>
      </c>
      <c r="GE41" s="8">
        <f>IF(GE$30-Voorblad!$F$37&gt;Voorblad!$K$37,0,IF($U41=0,0,IF($U41&lt;1,1/$U41,IF((GE$30-Voorblad!$F$37)/$U41-SUM($EE41:GD41)=1,1,0))))</f>
        <v>0</v>
      </c>
      <c r="GF41" s="8">
        <f>IF(GF$30-Voorblad!$F$37&gt;Voorblad!$K$37,0,IF($U41=0,0,IF($U41&lt;1,1/$U41,IF((GF$30-Voorblad!$F$37)/$U41-SUM($EE41:GE41)=1,1,0))))</f>
        <v>0</v>
      </c>
      <c r="GG41" s="8">
        <f>IF(GG$30-Voorblad!$F$37&gt;Voorblad!$K$37,0,IF($U41=0,0,IF($U41&lt;1,1/$U41,IF((GG$30-Voorblad!$F$37)/$U41-SUM($EE41:GF41)=1,1,0))))</f>
        <v>0</v>
      </c>
      <c r="GH41" s="8">
        <f>IF(GH$30-Voorblad!$F$37&gt;Voorblad!$K$37,0,IF($U41=0,0,IF($U41&lt;1,1/$U41,IF((GH$30-Voorblad!$F$37)/$U41-SUM($EE41:GG41)=1,1,0))))</f>
        <v>0</v>
      </c>
      <c r="GI41" s="8">
        <f>IF(GI$30-Voorblad!$F$37&gt;Voorblad!$K$37,0,IF($U41=0,0,IF($U41&lt;1,1/$U41,IF((GI$30-Voorblad!$F$37)/$U41-SUM($EE41:GH41)=1,1,0))))</f>
        <v>0</v>
      </c>
      <c r="GJ41" s="8">
        <f>IF(GJ$30-Voorblad!$F$37&gt;Voorblad!$K$37,0,IF($U41=0,0,IF($U41&lt;1,1/$U41,IF((GJ$30-Voorblad!$F$37)/$U41-SUM($EE41:GI41)=1,1,0))))</f>
        <v>0</v>
      </c>
      <c r="GK41" s="8">
        <f>IF(GK$30-Voorblad!$F$37&gt;Voorblad!$K$37,0,IF($U41=0,0,IF($U41&lt;1,1/$U41,IF((GK$30-Voorblad!$F$37)/$U41-SUM($EE41:GJ41)=1,1,0))))</f>
        <v>0</v>
      </c>
      <c r="GL41" s="8">
        <f>IF(GL$30-Voorblad!$F$37&gt;Voorblad!$K$37,0,IF($U41=0,0,IF($U41&lt;1,1/$U41,IF((GL$30-Voorblad!$F$37)/$U41-SUM($EE41:GK41)=1,1,0))))</f>
        <v>0</v>
      </c>
      <c r="GM41" s="8">
        <f>IF(GM$30-Voorblad!$F$37&gt;Voorblad!$K$37,0,IF($U41=0,0,IF($U41&lt;1,1/$U41,IF((GM$30-Voorblad!$F$37)/$U41-SUM($EE41:GL41)=1,1,0))))</f>
        <v>0</v>
      </c>
      <c r="GN41" s="8">
        <f>IF(GN$30-Voorblad!$F$37&gt;Voorblad!$K$37,0,IF($U41=0,0,IF($U41&lt;1,1/$U41,IF((GN$30-Voorblad!$F$37)/$U41-SUM($EE41:GM41)=1,1,0))))</f>
        <v>0</v>
      </c>
      <c r="GO41" s="8">
        <f>IF(GO$30-Voorblad!$F$37&gt;Voorblad!$K$37,0,IF($U41=0,0,IF($U41&lt;1,1/$U41,IF((GO$30-Voorblad!$F$37)/$U41-SUM($EE41:GN41)=1,1,0))))</f>
        <v>0</v>
      </c>
      <c r="GP41" s="8">
        <f>IF(GP$30-Voorblad!$F$37&gt;Voorblad!$K$37,0,IF($U41=0,0,IF($U41&lt;1,1/$U41,IF((GP$30-Voorblad!$F$37)/$U41-SUM($EE41:GO41)=1,1,0))))</f>
        <v>0</v>
      </c>
      <c r="GQ41" s="8">
        <f>IF(GQ$30-Voorblad!$F$37&gt;Voorblad!$K$37,0,IF($U41=0,0,IF($U41&lt;1,1/$U41,IF((GQ$30-Voorblad!$F$37)/$U41-SUM($EE41:GP41)=1,1,0))))</f>
        <v>0</v>
      </c>
      <c r="GR41" s="8">
        <f>IF(GR$30-Voorblad!$F$37&gt;Voorblad!$K$37,0,IF($U41=0,0,IF($U41&lt;1,1/$U41,IF((GR$30-Voorblad!$F$37)/$U41-SUM($EE41:GQ41)=1,1,0))))</f>
        <v>0</v>
      </c>
      <c r="GS41" s="8">
        <f>IF(GS$30-Voorblad!$F$37&gt;Voorblad!$K$37,0,IF($U41=0,0,IF($U41&lt;1,1/$U41,IF((GS$30-Voorblad!$F$37)/$U41-SUM($EE41:GR41)=1,1,0))))</f>
        <v>0</v>
      </c>
      <c r="GT41" s="8">
        <f>IF(GT$30-Voorblad!$F$37&gt;Voorblad!$K$37,0,IF($U41=0,0,IF($U41&lt;1,1/$U41,IF((GT$30-Voorblad!$F$37)/$U41-SUM($EE41:GS41)=1,1,0))))</f>
        <v>0</v>
      </c>
      <c r="GU41" s="8">
        <f>IF(GU$30-Voorblad!$F$37&gt;Voorblad!$K$37,0,IF($U41=0,0,IF($U41&lt;1,1/$U41,IF((GU$30-Voorblad!$F$37)/$U41-SUM($EE41:GT41)=1,1,0))))</f>
        <v>0</v>
      </c>
      <c r="GV41" s="8">
        <f>IF(GV$30-Voorblad!$F$37&gt;Voorblad!$K$37,0,IF($U41=0,0,IF($U41&lt;1,1/$U41,IF((GV$30-Voorblad!$F$37)/$U41-SUM($EE41:GU41)=1,1,0))))</f>
        <v>0</v>
      </c>
      <c r="GW41" s="8">
        <f>IF(GW$30-Voorblad!$F$37&gt;Voorblad!$K$37,0,IF($U41=0,0,IF($U41&lt;1,1/$U41,IF((GW$30-Voorblad!$F$37)/$U41-SUM($EE41:GV41)=1,1,0))))</f>
        <v>0</v>
      </c>
      <c r="GX41" s="8">
        <f>IF(GX$30-Voorblad!$F$37&gt;Voorblad!$K$37,0,IF($U41=0,0,IF($U41&lt;1,1/$U41,IF((GX$30-Voorblad!$F$37)/$U41-SUM($EE41:GW41)=1,1,0))))</f>
        <v>0</v>
      </c>
      <c r="GY41" s="8">
        <f>IF(GY$30-Voorblad!$F$37&gt;Voorblad!$K$37,0,IF($U41=0,0,IF($U41&lt;1,1/$U41,IF((GY$30-Voorblad!$F$37)/$U41-SUM($EE41:GX41)=1,1,0))))</f>
        <v>0</v>
      </c>
      <c r="GZ41" s="8">
        <f>IF(GZ$30-Voorblad!$F$37&gt;Voorblad!$K$37,0,IF($U41=0,0,IF($U41&lt;1,1/$U41,IF((GZ$30-Voorblad!$F$37)/$U41-SUM($EE41:GY41)=1,1,0))))</f>
        <v>0</v>
      </c>
      <c r="HA41" s="8">
        <f>IF(HA$30-Voorblad!$F$37&gt;Voorblad!$K$37,0,IF($U41=0,0,IF($U41&lt;1,1/$U41,IF((HA$30-Voorblad!$F$37)/$U41-SUM($EE41:GZ41)=1,1,0))))</f>
        <v>0</v>
      </c>
      <c r="HB41" s="8">
        <f>IF(HB$30-Voorblad!$F$37&gt;Voorblad!$K$37,0,IF($U41=0,0,IF($U41&lt;1,1/$U41,IF((HB$30-Voorblad!$F$37)/$U41-SUM($EE41:HA41)=1,1,0))))</f>
        <v>0</v>
      </c>
      <c r="HC41" s="8">
        <f>IF(HC$30-Voorblad!$F$37&gt;Voorblad!$K$37,0,IF($U41=0,0,IF($U41&lt;1,1/$U41,IF((HC$30-Voorblad!$F$37)/$U41-SUM($EE41:HB41)=1,1,0))))</f>
        <v>0</v>
      </c>
      <c r="HD41" s="8">
        <f>IF(HD$30-Voorblad!$F$37&gt;Voorblad!$K$37,0,IF($U41=0,0,IF($U41&lt;1,1/$U41,IF((HD$30-Voorblad!$F$37)/$U41-SUM($EE41:HC41)=1,1,0))))</f>
        <v>0</v>
      </c>
      <c r="HE41" s="8">
        <f>IF(HE$30-Voorblad!$F$37&gt;Voorblad!$K$37,0,IF($U41=0,0,IF($U41&lt;1,1/$U41,IF((HE$30-Voorblad!$F$37)/$U41-SUM($EE41:HD41)=1,1,0))))</f>
        <v>0</v>
      </c>
      <c r="HF41" s="8">
        <f>IF(HF$30-Voorblad!$F$37&gt;Voorblad!$K$37,0,IF($U41=0,0,IF($U41&lt;1,1/$U41,IF((HF$30-Voorblad!$F$37)/$U41-SUM($EE41:HE41)=1,1,0))))</f>
        <v>0</v>
      </c>
      <c r="HG41" s="8">
        <f>IF(HG$30-Voorblad!$F$37&gt;Voorblad!$K$37,0,IF($U41=0,0,IF($U41&lt;1,1/$U41,IF((HG$30-Voorblad!$F$37)/$U41-SUM($EE41:HF41)=1,1,0))))</f>
        <v>0</v>
      </c>
      <c r="HH41" s="8">
        <f>IF(HH$30-Voorblad!$F$37&gt;Voorblad!$K$37,0,IF($U41=0,0,IF($U41&lt;1,1/$U41,IF((HH$30-Voorblad!$F$37)/$U41-SUM($EE41:HG41)=1,1,0))))</f>
        <v>0</v>
      </c>
      <c r="HI41" s="8">
        <f>IF(HI$30-Voorblad!$F$37&gt;Voorblad!$K$37,0,IF($U41=0,0,IF($U41&lt;1,1/$U41,IF((HI$30-Voorblad!$F$37)/$U41-SUM($EE41:HH41)=1,1,0))))</f>
        <v>0</v>
      </c>
      <c r="HJ41" s="8">
        <f>IF(HJ$30-Voorblad!$F$37&gt;Voorblad!$K$37,0,IF($U41=0,0,IF($U41&lt;1,1/$U41,IF((HJ$30-Voorblad!$F$37)/$U41-SUM($EE41:HI41)=1,1,0))))</f>
        <v>0</v>
      </c>
      <c r="HK41" s="8">
        <f>IF(HK$30-Voorblad!$F$37&gt;Voorblad!$K$37,0,IF($U41=0,0,IF($U41&lt;1,1/$U41,IF((HK$30-Voorblad!$F$37)/$U41-SUM($EE41:HJ41)=1,1,0))))</f>
        <v>0</v>
      </c>
      <c r="HL41" s="8">
        <f>IF(HL$30-Voorblad!$F$37&gt;Voorblad!$K$37,0,IF($U41=0,0,IF($U41&lt;1,1/$U41,IF((HL$30-Voorblad!$F$37)/$U41-SUM($EE41:HK41)=1,1,0))))</f>
        <v>0</v>
      </c>
      <c r="HM41" s="8">
        <f>IF(HM$30-Voorblad!$F$37&gt;Voorblad!$K$37,0,IF($U41=0,0,IF($U41&lt;1,1/$U41,IF((HM$30-Voorblad!$F$37)/$U41-SUM($EE41:HL41)=1,1,0))))</f>
        <v>0</v>
      </c>
      <c r="HN41" s="8">
        <f>IF(HN$30-Voorblad!$F$37&gt;Voorblad!$K$37,0,IF($U41=0,0,IF($U41&lt;1,1/$U41,IF((HN$30-Voorblad!$F$37)/$U41-SUM($EE41:HM41)=1,1,0))))</f>
        <v>0</v>
      </c>
      <c r="HO41" s="8">
        <f>IF(HO$30-Voorblad!$F$37&gt;Voorblad!$K$37,0,IF($U41=0,0,IF($U41&lt;1,1/$U41,IF((HO$30-Voorblad!$F$37)/$U41-SUM($EE41:HN41)=1,1,0))))</f>
        <v>0</v>
      </c>
      <c r="HP41" s="8">
        <f>IF(HP$30-Voorblad!$F$37&gt;Voorblad!$K$37,0,IF($U41=0,0,IF($U41&lt;1,1/$U41,IF((HP$30-Voorblad!$F$37)/$U41-SUM($EE41:HO41)=1,1,0))))</f>
        <v>0</v>
      </c>
      <c r="HQ41" s="8">
        <f>IF(HQ$30-Voorblad!$F$37&gt;Voorblad!$K$37,0,IF($U41=0,0,IF($U41&lt;1,1/$U41,IF((HQ$30-Voorblad!$F$37)/$U41-SUM($EE41:HP41)=1,1,0))))</f>
        <v>0</v>
      </c>
      <c r="HR41" s="8">
        <f>IF(HR$30-Voorblad!$F$37&gt;Voorblad!$K$37,0,IF($U41=0,0,IF($U41&lt;1,1/$U41,IF((HR$30-Voorblad!$F$37)/$U41-SUM($EE41:HQ41)=1,1,0))))</f>
        <v>0</v>
      </c>
      <c r="HS41" s="8">
        <f>IF(HS$30-Voorblad!$F$37&gt;Voorblad!$K$37,0,IF($U41=0,0,IF($U41&lt;1,1/$U41,IF((HS$30-Voorblad!$F$37)/$U41-SUM($EE41:HR41)=1,1,0))))</f>
        <v>0</v>
      </c>
      <c r="HT41" s="8">
        <f>IF(HT$30-Voorblad!$F$37&gt;Voorblad!$K$37,0,IF($U41=0,0,IF($U41&lt;1,1/$U41,IF((HT$30-Voorblad!$F$37)/$U41-SUM($EE41:HS41)=1,1,0))))</f>
        <v>0</v>
      </c>
      <c r="HU41" s="8">
        <f>IF(HU$30-Voorblad!$F$37&gt;Voorblad!$K$37,0,IF($U41=0,0,IF($U41&lt;1,1/$U41,IF((HU$30-Voorblad!$F$37)/$U41-SUM($EE41:HT41)=1,1,0))))</f>
        <v>0</v>
      </c>
      <c r="HV41" s="8">
        <f>IF(HV$30-Voorblad!$F$37&gt;Voorblad!$K$37,0,IF($U41=0,0,IF($U41&lt;1,1/$U41,IF((HV$30-Voorblad!$F$37)/$U41-SUM($EE41:HU41)=1,1,0))))</f>
        <v>0</v>
      </c>
      <c r="HW41" s="8">
        <f>IF(HW$30-Voorblad!$F$37&gt;Voorblad!$K$37,0,IF($U41=0,0,IF($U41&lt;1,1/$U41,IF((HW$30-Voorblad!$F$37)/$U41-SUM($EE41:HV41)=1,1,0))))</f>
        <v>0</v>
      </c>
      <c r="HX41" s="8">
        <f>IF(HX$30-Voorblad!$F$37&gt;Voorblad!$K$37,0,IF($U41=0,0,IF($U41&lt;1,1/$U41,IF((HX$30-Voorblad!$F$37)/$U41-SUM($EE41:HW41)=1,1,0))))</f>
        <v>0</v>
      </c>
      <c r="HY41" s="8">
        <f>IF(HY$30-Voorblad!$F$37&gt;Voorblad!$K$37,0,IF($U41=0,0,IF($U41&lt;1,1/$U41,IF((HY$30-Voorblad!$F$37)/$U41-SUM($EE41:HX41)=1,1,0))))</f>
        <v>0</v>
      </c>
      <c r="HZ41" s="8">
        <f>IF(HZ$30-Voorblad!$F$37&gt;Voorblad!$K$37,0,IF($U41=0,0,IF($U41&lt;1,1/$U41,IF((HZ$30-Voorblad!$F$37)/$U41-SUM($EE41:HY41)=1,1,0))))</f>
        <v>0</v>
      </c>
      <c r="IA41" s="8">
        <f>IF(IA$30-Voorblad!$F$37&gt;Voorblad!$K$37,0,IF($U41=0,0,IF($U41&lt;1,1/$U41,IF((IA$30-Voorblad!$F$37)/$U41-SUM($EE41:HZ41)=1,1,0))))</f>
        <v>0</v>
      </c>
      <c r="IB41" s="8">
        <f>IF(IB$30-Voorblad!$F$37&gt;Voorblad!$K$37,0,IF($U41=0,0,IF($U41&lt;1,1/$U41,IF((IB$30-Voorblad!$F$37)/$U41-SUM($EE41:IA41)=1,1,0))))</f>
        <v>0</v>
      </c>
    </row>
    <row r="42" spans="2:236" ht="12" customHeight="1" x14ac:dyDescent="0.25">
      <c r="B42" s="76"/>
      <c r="C42" s="76"/>
      <c r="D42" s="76">
        <v>5</v>
      </c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80"/>
      <c r="P42" s="80"/>
      <c r="Q42" s="81">
        <v>1</v>
      </c>
      <c r="R42" s="81" t="s">
        <v>33</v>
      </c>
      <c r="S42" s="81"/>
      <c r="T42" s="9">
        <f t="shared" si="4"/>
        <v>0</v>
      </c>
      <c r="U42" s="11">
        <v>1</v>
      </c>
      <c r="V42" s="14"/>
      <c r="W42" s="9">
        <f>Voorblad!K55</f>
        <v>0</v>
      </c>
      <c r="Y42" s="9">
        <f t="shared" si="5"/>
        <v>0</v>
      </c>
      <c r="Z42" s="82"/>
      <c r="AA42" s="82"/>
      <c r="AC42" s="9">
        <f>$Y42*(Voorblad!$K$44*(1+Voorblad!$K$44)^Voorblad!$K$37)/((1+Voorblad!$K$44)^Voorblad!$K$37-1)</f>
        <v>0</v>
      </c>
      <c r="AE42" s="9">
        <f>IF($W42=AE$30,EF42*($Q42*$S42)/(1+Voorblad!$K$44)^(AE$30-Voorblad!$F$37),0)</f>
        <v>0</v>
      </c>
      <c r="AF42" s="9">
        <f>IF($W42=AF$30,EG42*($Q42*$S42)/(1+Voorblad!$K$44)^(AF$30-Voorblad!$F$37),0)</f>
        <v>0</v>
      </c>
      <c r="AG42" s="9">
        <f>IF($W42=AG$30,EH42*($Q42*$S42)/(1+Voorblad!$K$44)^(AG$30-Voorblad!$F$37),0)</f>
        <v>0</v>
      </c>
      <c r="AH42" s="9">
        <f>IF($W42=AH$30,EI42*($Q42*$S42)/(1+Voorblad!$K$44)^(AH$30-Voorblad!$F$37),0)</f>
        <v>0</v>
      </c>
      <c r="AI42" s="9">
        <f>IF($W42=AI$30,EJ42*($Q42*$S42)/(1+Voorblad!$K$44)^(AI$30-Voorblad!$F$37),0)</f>
        <v>0</v>
      </c>
      <c r="AJ42" s="9">
        <f>IF($W42=AJ$30,EK42*($Q42*$S42)/(1+Voorblad!$K$44)^(AJ$30-Voorblad!$F$37),0)</f>
        <v>0</v>
      </c>
      <c r="AK42" s="9">
        <f>IF($W42=AK$30,EL42*($Q42*$S42)/(1+Voorblad!$K$44)^(AK$30-Voorblad!$F$37),0)</f>
        <v>0</v>
      </c>
      <c r="AL42" s="9">
        <f>IF($W42=AL$30,EM42*($Q42*$S42)/(1+Voorblad!$K$44)^(AL$30-Voorblad!$F$37),0)</f>
        <v>0</v>
      </c>
      <c r="AM42" s="9">
        <f>IF($W42=AM$30,EN42*($Q42*$S42)/(1+Voorblad!$K$44)^(AM$30-Voorblad!$F$37),0)</f>
        <v>0</v>
      </c>
      <c r="AN42" s="9">
        <f>IF($W42=AN$30,EO42*($Q42*$S42)/(1+Voorblad!$K$44)^(AN$30-Voorblad!$F$37),0)</f>
        <v>0</v>
      </c>
      <c r="AO42" s="9">
        <f>IF($W42=AO$30,EP42*($Q42*$S42)/(1+Voorblad!$K$44)^(AO$30-Voorblad!$F$37),0)</f>
        <v>0</v>
      </c>
      <c r="AP42" s="9">
        <f>IF($W42=AP$30,EQ42*($Q42*$S42)/(1+Voorblad!$K$44)^(AP$30-Voorblad!$F$37),0)</f>
        <v>0</v>
      </c>
      <c r="AQ42" s="9">
        <f>IF($W42=AQ$30,ER42*($Q42*$S42)/(1+Voorblad!$K$44)^(AQ$30-Voorblad!$F$37),0)</f>
        <v>0</v>
      </c>
      <c r="AR42" s="9">
        <f>IF($W42=AR$30,ES42*($Q42*$S42)/(1+Voorblad!$K$44)^(AR$30-Voorblad!$F$37),0)</f>
        <v>0</v>
      </c>
      <c r="AS42" s="9">
        <f>IF($W42=AS$30,ET42*($Q42*$S42)/(1+Voorblad!$K$44)^(AS$30-Voorblad!$F$37),0)</f>
        <v>0</v>
      </c>
      <c r="AT42" s="9">
        <f>IF($W42=AT$30,EU42*($Q42*$S42)/(1+Voorblad!$K$44)^(AT$30-Voorblad!$F$37),0)</f>
        <v>0</v>
      </c>
      <c r="AU42" s="9">
        <f>IF($W42=AU$30,EV42*($Q42*$S42)/(1+Voorblad!$K$44)^(AU$30-Voorblad!$F$37),0)</f>
        <v>0</v>
      </c>
      <c r="AV42" s="9">
        <f>IF($W42=AV$30,EW42*($Q42*$S42)/(1+Voorblad!$K$44)^(AV$30-Voorblad!$F$37),0)</f>
        <v>0</v>
      </c>
      <c r="AW42" s="9">
        <f>IF($W42=AW$30,EX42*($Q42*$S42)/(1+Voorblad!$K$44)^(AW$30-Voorblad!$F$37),0)</f>
        <v>0</v>
      </c>
      <c r="AX42" s="9">
        <f>IF($W42=AX$30,EY42*($Q42*$S42)/(1+Voorblad!$K$44)^(AX$30-Voorblad!$F$37),0)</f>
        <v>0</v>
      </c>
      <c r="AY42" s="9">
        <f>IF($W42=AY$30,EZ42*($Q42*$S42)/(1+Voorblad!$K$44)^(AY$30-Voorblad!$F$37),0)</f>
        <v>0</v>
      </c>
      <c r="AZ42" s="9">
        <f>IF($W42=AZ$30,FA42*($Q42*$S42)/(1+Voorblad!$K$44)^(AZ$30-Voorblad!$F$37),0)</f>
        <v>0</v>
      </c>
      <c r="BA42" s="9">
        <f>IF($W42=BA$30,FB42*($Q42*$S42)/(1+Voorblad!$K$44)^(BA$30-Voorblad!$F$37),0)</f>
        <v>0</v>
      </c>
      <c r="BB42" s="9">
        <f>IF($W42=BB$30,FC42*($Q42*$S42)/(1+Voorblad!$K$44)^(BB$30-Voorblad!$F$37),0)</f>
        <v>0</v>
      </c>
      <c r="BC42" s="9">
        <f>IF($W42=BC$30,FD42*($Q42*$S42)/(1+Voorblad!$K$44)^(BC$30-Voorblad!$F$37),0)</f>
        <v>0</v>
      </c>
      <c r="BD42" s="9">
        <f>IF($W42=BD$30,FE42*($Q42*$S42)/(1+Voorblad!$K$44)^(BD$30-Voorblad!$F$37),0)</f>
        <v>0</v>
      </c>
      <c r="BE42" s="9">
        <f>IF($W42=BE$30,FF42*($Q42*$S42)/(1+Voorblad!$K$44)^(BE$30-Voorblad!$F$37),0)</f>
        <v>0</v>
      </c>
      <c r="BF42" s="9">
        <f>IF($W42=BF$30,FG42*($Q42*$S42)/(1+Voorblad!$K$44)^(BF$30-Voorblad!$F$37),0)</f>
        <v>0</v>
      </c>
      <c r="BG42" s="9">
        <f>IF($W42=BG$30,FH42*($Q42*$S42)/(1+Voorblad!$K$44)^(BG$30-Voorblad!$F$37),0)</f>
        <v>0</v>
      </c>
      <c r="BH42" s="9">
        <f>IF($W42=BH$30,FI42*($Q42*$S42)/(1+Voorblad!$K$44)^(BH$30-Voorblad!$F$37),0)</f>
        <v>0</v>
      </c>
      <c r="BI42" s="9">
        <f>IF($W42=BI$30,FJ42*($Q42*$S42)/(1+Voorblad!$K$44)^(BI$30-Voorblad!$F$37),0)</f>
        <v>0</v>
      </c>
      <c r="BJ42" s="9">
        <f>IF($W42=BJ$30,FK42*($Q42*$S42)/(1+Voorblad!$K$44)^(BJ$30-Voorblad!$F$37),0)</f>
        <v>0</v>
      </c>
      <c r="BK42" s="9">
        <f>IF($W42=BK$30,FL42*($Q42*$S42)/(1+Voorblad!$K$44)^(BK$30-Voorblad!$F$37),0)</f>
        <v>0</v>
      </c>
      <c r="BL42" s="9">
        <f>IF($W42=BL$30,FM42*($Q42*$S42)/(1+Voorblad!$K$44)^(BL$30-Voorblad!$F$37),0)</f>
        <v>0</v>
      </c>
      <c r="BM42" s="9">
        <f>IF($W42=BM$30,FN42*($Q42*$S42)/(1+Voorblad!$K$44)^(BM$30-Voorblad!$F$37),0)</f>
        <v>0</v>
      </c>
      <c r="BN42" s="9">
        <f>IF($W42=BN$30,FO42*($Q42*$S42)/(1+Voorblad!$K$44)^(BN$30-Voorblad!$F$37),0)</f>
        <v>0</v>
      </c>
      <c r="BO42" s="9">
        <f>IF($W42=BO$30,FP42*($Q42*$S42)/(1+Voorblad!$K$44)^(BO$30-Voorblad!$F$37),0)</f>
        <v>0</v>
      </c>
      <c r="BP42" s="9">
        <f>IF($W42=BP$30,FQ42*($Q42*$S42)/(1+Voorblad!$K$44)^(BP$30-Voorblad!$F$37),0)</f>
        <v>0</v>
      </c>
      <c r="BQ42" s="9">
        <f>IF($W42=BQ$30,FR42*($Q42*$S42)/(1+Voorblad!$K$44)^(BQ$30-Voorblad!$F$37),0)</f>
        <v>0</v>
      </c>
      <c r="BR42" s="9">
        <f>IF($W42=BR$30,FS42*($Q42*$S42)/(1+Voorblad!$K$44)^(BR$30-Voorblad!$F$37),0)</f>
        <v>0</v>
      </c>
      <c r="BS42" s="9">
        <f>IF($W42=BS$30,FT42*($Q42*$S42)/(1+Voorblad!$K$44)^(BS$30-Voorblad!$F$37),0)</f>
        <v>0</v>
      </c>
      <c r="BT42" s="9">
        <f>IF($W42=BT$30,FU42*($Q42*$S42)/(1+Voorblad!$K$44)^(BT$30-Voorblad!$F$37),0)</f>
        <v>0</v>
      </c>
      <c r="BU42" s="9">
        <f>IF($W42=BU$30,FV42*($Q42*$S42)/(1+Voorblad!$K$44)^(BU$30-Voorblad!$F$37),0)</f>
        <v>0</v>
      </c>
      <c r="BV42" s="9">
        <f>IF($W42=BV$30,FW42*($Q42*$S42)/(1+Voorblad!$K$44)^(BV$30-Voorblad!$F$37),0)</f>
        <v>0</v>
      </c>
      <c r="BW42" s="9">
        <f>IF($W42=BW$30,FX42*($Q42*$S42)/(1+Voorblad!$K$44)^(BW$30-Voorblad!$F$37),0)</f>
        <v>0</v>
      </c>
      <c r="BX42" s="9">
        <f>IF($W42=BX$30,FY42*($Q42*$S42)/(1+Voorblad!$K$44)^(BX$30-Voorblad!$F$37),0)</f>
        <v>0</v>
      </c>
      <c r="BY42" s="9">
        <f>IF($W42=BY$30,FZ42*($Q42*$S42)/(1+Voorblad!$K$44)^(BY$30-Voorblad!$F$37),0)</f>
        <v>0</v>
      </c>
      <c r="BZ42" s="9">
        <f>IF($W42=BZ$30,GA42*($Q42*$S42)/(1+Voorblad!$K$44)^(BZ$30-Voorblad!$F$37),0)</f>
        <v>0</v>
      </c>
      <c r="CA42" s="9">
        <f>IF($W42=CA$30,GB42*($Q42*$S42)/(1+Voorblad!$K$44)^(CA$30-Voorblad!$F$37),0)</f>
        <v>0</v>
      </c>
      <c r="CB42" s="9">
        <f>IF($W42=CB$30,GC42*($Q42*$S42)/(1+Voorblad!$K$44)^(CB$30-Voorblad!$F$37),0)</f>
        <v>0</v>
      </c>
      <c r="CC42" s="9">
        <f>IF($W42=CC$30,GD42*($Q42*$S42)/(1+Voorblad!$K$44)^(CC$30-Voorblad!$F$37),0)</f>
        <v>0</v>
      </c>
      <c r="CD42" s="9">
        <f>IF($W42=CD$30,GE42*($Q42*$S42)/(1+Voorblad!$K$44)^(CD$30-Voorblad!$F$37),0)</f>
        <v>0</v>
      </c>
      <c r="CE42" s="9">
        <f>IF($W42=CE$30,GF42*($Q42*$S42)/(1+Voorblad!$K$44)^(CE$30-Voorblad!$F$37),0)</f>
        <v>0</v>
      </c>
      <c r="CF42" s="9">
        <f>IF($W42=CF$30,GG42*($Q42*$S42)/(1+Voorblad!$K$44)^(CF$30-Voorblad!$F$37),0)</f>
        <v>0</v>
      </c>
      <c r="CG42" s="9">
        <f>IF($W42=CG$30,GH42*($Q42*$S42)/(1+Voorblad!$K$44)^(CG$30-Voorblad!$F$37),0)</f>
        <v>0</v>
      </c>
      <c r="CH42" s="9">
        <f>IF($W42=CH$30,GI42*($Q42*$S42)/(1+Voorblad!$K$44)^(CH$30-Voorblad!$F$37),0)</f>
        <v>0</v>
      </c>
      <c r="CI42" s="9">
        <f>IF($W42=CI$30,GJ42*($Q42*$S42)/(1+Voorblad!$K$44)^(CI$30-Voorblad!$F$37),0)</f>
        <v>0</v>
      </c>
      <c r="CJ42" s="9">
        <f>IF($W42=CJ$30,GK42*($Q42*$S42)/(1+Voorblad!$K$44)^(CJ$30-Voorblad!$F$37),0)</f>
        <v>0</v>
      </c>
      <c r="CK42" s="9">
        <f>IF($W42=CK$30,GL42*($Q42*$S42)/(1+Voorblad!$K$44)^(CK$30-Voorblad!$F$37),0)</f>
        <v>0</v>
      </c>
      <c r="CL42" s="9">
        <f>IF($W42=CL$30,GM42*($Q42*$S42)/(1+Voorblad!$K$44)^(CL$30-Voorblad!$F$37),0)</f>
        <v>0</v>
      </c>
      <c r="CM42" s="9">
        <f>IF($W42=CM$30,GN42*($Q42*$S42)/(1+Voorblad!$K$44)^(CM$30-Voorblad!$F$37),0)</f>
        <v>0</v>
      </c>
      <c r="CN42" s="9">
        <f>IF($W42=CN$30,GO42*($Q42*$S42)/(1+Voorblad!$K$44)^(CN$30-Voorblad!$F$37),0)</f>
        <v>0</v>
      </c>
      <c r="CO42" s="9">
        <f>IF($W42=CO$30,GP42*($Q42*$S42)/(1+Voorblad!$K$44)^(CO$30-Voorblad!$F$37),0)</f>
        <v>0</v>
      </c>
      <c r="CP42" s="9">
        <f>IF($W42=CP$30,GQ42*($Q42*$S42)/(1+Voorblad!$K$44)^(CP$30-Voorblad!$F$37),0)</f>
        <v>0</v>
      </c>
      <c r="CQ42" s="9">
        <f>IF($W42=CQ$30,GR42*($Q42*$S42)/(1+Voorblad!$K$44)^(CQ$30-Voorblad!$F$37),0)</f>
        <v>0</v>
      </c>
      <c r="CR42" s="9">
        <f>IF($W42=CR$30,GS42*($Q42*$S42)/(1+Voorblad!$K$44)^(CR$30-Voorblad!$F$37),0)</f>
        <v>0</v>
      </c>
      <c r="CS42" s="9">
        <f>IF($W42=CS$30,GT42*($Q42*$S42)/(1+Voorblad!$K$44)^(CS$30-Voorblad!$F$37),0)</f>
        <v>0</v>
      </c>
      <c r="CT42" s="9">
        <f>IF($W42=CT$30,GU42*($Q42*$S42)/(1+Voorblad!$K$44)^(CT$30-Voorblad!$F$37),0)</f>
        <v>0</v>
      </c>
      <c r="CU42" s="9">
        <f>IF($W42=CU$30,GV42*($Q42*$S42)/(1+Voorblad!$K$44)^(CU$30-Voorblad!$F$37),0)</f>
        <v>0</v>
      </c>
      <c r="CV42" s="9">
        <f>IF($W42=CV$30,GW42*($Q42*$S42)/(1+Voorblad!$K$44)^(CV$30-Voorblad!$F$37),0)</f>
        <v>0</v>
      </c>
      <c r="CW42" s="9">
        <f>IF($W42=CW$30,GX42*($Q42*$S42)/(1+Voorblad!$K$44)^(CW$30-Voorblad!$F$37),0)</f>
        <v>0</v>
      </c>
      <c r="CX42" s="9">
        <f>IF($W42=CX$30,GY42*($Q42*$S42)/(1+Voorblad!$K$44)^(CX$30-Voorblad!$F$37),0)</f>
        <v>0</v>
      </c>
      <c r="CY42" s="9">
        <f>IF($W42=CY$30,GZ42*($Q42*$S42)/(1+Voorblad!$K$44)^(CY$30-Voorblad!$F$37),0)</f>
        <v>0</v>
      </c>
      <c r="CZ42" s="9">
        <f>IF($W42=CZ$30,HA42*($Q42*$S42)/(1+Voorblad!$K$44)^(CZ$30-Voorblad!$F$37),0)</f>
        <v>0</v>
      </c>
      <c r="DA42" s="9">
        <f>IF($W42=DA$30,HB42*($Q42*$S42)/(1+Voorblad!$K$44)^(DA$30-Voorblad!$F$37),0)</f>
        <v>0</v>
      </c>
      <c r="DB42" s="9">
        <f>IF($W42=DB$30,HC42*($Q42*$S42)/(1+Voorblad!$K$44)^(DB$30-Voorblad!$F$37),0)</f>
        <v>0</v>
      </c>
      <c r="DC42" s="9">
        <f>IF($W42=DC$30,HD42*($Q42*$S42)/(1+Voorblad!$K$44)^(DC$30-Voorblad!$F$37),0)</f>
        <v>0</v>
      </c>
      <c r="DD42" s="9">
        <f>IF($W42=DD$30,HE42*($Q42*$S42)/(1+Voorblad!$K$44)^(DD$30-Voorblad!$F$37),0)</f>
        <v>0</v>
      </c>
      <c r="DE42" s="9">
        <f>IF($W42=DE$30,HF42*($Q42*$S42)/(1+Voorblad!$K$44)^(DE$30-Voorblad!$F$37),0)</f>
        <v>0</v>
      </c>
      <c r="DF42" s="9">
        <f>IF($W42=DF$30,HG42*($Q42*$S42)/(1+Voorblad!$K$44)^(DF$30-Voorblad!$F$37),0)</f>
        <v>0</v>
      </c>
      <c r="DG42" s="9">
        <f>IF($W42=DG$30,HH42*($Q42*$S42)/(1+Voorblad!$K$44)^(DG$30-Voorblad!$F$37),0)</f>
        <v>0</v>
      </c>
      <c r="DH42" s="9">
        <f>IF($W42=DH$30,HI42*($Q42*$S42)/(1+Voorblad!$K$44)^(DH$30-Voorblad!$F$37),0)</f>
        <v>0</v>
      </c>
      <c r="DI42" s="9">
        <f>IF($W42=DI$30,HJ42*($Q42*$S42)/(1+Voorblad!$K$44)^(DI$30-Voorblad!$F$37),0)</f>
        <v>0</v>
      </c>
      <c r="DJ42" s="9">
        <f>IF($W42=DJ$30,HK42*($Q42*$S42)/(1+Voorblad!$K$44)^(DJ$30-Voorblad!$F$37),0)</f>
        <v>0</v>
      </c>
      <c r="DK42" s="9">
        <f>IF($W42=DK$30,HL42*($Q42*$S42)/(1+Voorblad!$K$44)^(DK$30-Voorblad!$F$37),0)</f>
        <v>0</v>
      </c>
      <c r="DL42" s="9">
        <f>IF($W42=DL$30,HM42*($Q42*$S42)/(1+Voorblad!$K$44)^(DL$30-Voorblad!$F$37),0)</f>
        <v>0</v>
      </c>
      <c r="DM42" s="9">
        <f>IF($W42=DM$30,HN42*($Q42*$S42)/(1+Voorblad!$K$44)^(DM$30-Voorblad!$F$37),0)</f>
        <v>0</v>
      </c>
      <c r="DN42" s="9">
        <f>IF($W42=DN$30,HO42*($Q42*$S42)/(1+Voorblad!$K$44)^(DN$30-Voorblad!$F$37),0)</f>
        <v>0</v>
      </c>
      <c r="DO42" s="9">
        <f>IF($W42=DO$30,HP42*($Q42*$S42)/(1+Voorblad!$K$44)^(DO$30-Voorblad!$F$37),0)</f>
        <v>0</v>
      </c>
      <c r="DP42" s="9">
        <f>IF($W42=DP$30,HQ42*($Q42*$S42)/(1+Voorblad!$K$44)^(DP$30-Voorblad!$F$37),0)</f>
        <v>0</v>
      </c>
      <c r="DQ42" s="9">
        <f>IF($W42=DQ$30,HR42*($Q42*$S42)/(1+Voorblad!$K$44)^(DQ$30-Voorblad!$F$37),0)</f>
        <v>0</v>
      </c>
      <c r="DR42" s="9">
        <f>IF($W42=DR$30,HS42*($Q42*$S42)/(1+Voorblad!$K$44)^(DR$30-Voorblad!$F$37),0)</f>
        <v>0</v>
      </c>
      <c r="DS42" s="9">
        <f>IF($W42=DS$30,HT42*($Q42*$S42)/(1+Voorblad!$K$44)^(DS$30-Voorblad!$F$37),0)</f>
        <v>0</v>
      </c>
      <c r="DT42" s="9">
        <f>IF($W42=DT$30,HU42*($Q42*$S42)/(1+Voorblad!$K$44)^(DT$30-Voorblad!$F$37),0)</f>
        <v>0</v>
      </c>
      <c r="DU42" s="9">
        <f>IF($W42=DU$30,HV42*($Q42*$S42)/(1+Voorblad!$K$44)^(DU$30-Voorblad!$F$37),0)</f>
        <v>0</v>
      </c>
      <c r="DV42" s="9">
        <f>IF($W42=DV$30,HW42*($Q42*$S42)/(1+Voorblad!$K$44)^(DV$30-Voorblad!$F$37),0)</f>
        <v>0</v>
      </c>
      <c r="DW42" s="9">
        <f>IF($W42=DW$30,HX42*($Q42*$S42)/(1+Voorblad!$K$44)^(DW$30-Voorblad!$F$37),0)</f>
        <v>0</v>
      </c>
      <c r="DX42" s="9">
        <f>IF($W42=DX$30,HY42*($Q42*$S42)/(1+Voorblad!$K$44)^(DX$30-Voorblad!$F$37),0)</f>
        <v>0</v>
      </c>
      <c r="DY42" s="9">
        <f>IF($W42=DY$30,HZ42*($Q42*$S42)/(1+Voorblad!$K$44)^(DY$30-Voorblad!$F$37),0)</f>
        <v>0</v>
      </c>
      <c r="DZ42" s="9">
        <f>IF($W42=DZ$30,IA42*($Q42*$S42)/(1+Voorblad!$K$44)^(DZ$30-Voorblad!$F$37),0)</f>
        <v>0</v>
      </c>
      <c r="EA42" s="9">
        <f>IF($W42=EA$30,IB42*($Q42*$S42)/(1+Voorblad!$K$44)^(EA$30-Voorblad!$F$37),0)</f>
        <v>0</v>
      </c>
      <c r="EB42" s="9">
        <f>IF($W42=EB$30,IC42*($Q42*$S42)/(1+Voorblad!$K$44)^(EB$30-Voorblad!$F$37),0)</f>
        <v>0</v>
      </c>
      <c r="EE42" s="8">
        <v>0</v>
      </c>
      <c r="EF42" s="8">
        <f>IF(EF$30-Voorblad!$F$37&gt;Voorblad!$K$37,0,IF($U42=0,0,IF($U42&lt;1,1/$U42,IF((EF$30-Voorblad!$F$37)/$U42-SUM($EE42:EE42)=1,1,0))))</f>
        <v>0</v>
      </c>
      <c r="EG42" s="8">
        <f>IF(EG$30-Voorblad!$F$37&gt;Voorblad!$K$37,0,IF($U42=0,0,IF($U42&lt;1,1/$U42,IF((EG$30-Voorblad!$F$37)/$U42-SUM($EE42:EF42)=1,1,0))))</f>
        <v>1</v>
      </c>
      <c r="EH42" s="8">
        <f>IF(EH$30-Voorblad!$F$37&gt;Voorblad!$K$37,0,IF($U42=0,0,IF($U42&lt;1,1/$U42,IF((EH$30-Voorblad!$F$37)/$U42-SUM($EE42:EG42)=1,1,0))))</f>
        <v>1</v>
      </c>
      <c r="EI42" s="8">
        <f>IF(EI$30-Voorblad!$F$37&gt;Voorblad!$K$37,0,IF($U42=0,0,IF($U42&lt;1,1/$U42,IF((EI$30-Voorblad!$F$37)/$U42-SUM($EE42:EH42)=1,1,0))))</f>
        <v>1</v>
      </c>
      <c r="EJ42" s="8">
        <f>IF(EJ$30-Voorblad!$F$37&gt;Voorblad!$K$37,0,IF($U42=0,0,IF($U42&lt;1,1/$U42,IF((EJ$30-Voorblad!$F$37)/$U42-SUM($EE42:EI42)=1,1,0))))</f>
        <v>1</v>
      </c>
      <c r="EK42" s="8">
        <f>IF(EK$30-Voorblad!$F$37&gt;Voorblad!$K$37,0,IF($U42=0,0,IF($U42&lt;1,1/$U42,IF((EK$30-Voorblad!$F$37)/$U42-SUM($EE42:EJ42)=1,1,0))))</f>
        <v>1</v>
      </c>
      <c r="EL42" s="8">
        <f>IF(EL$30-Voorblad!$F$37&gt;Voorblad!$K$37,0,IF($U42=0,0,IF($U42&lt;1,1/$U42,IF((EL$30-Voorblad!$F$37)/$U42-SUM($EE42:EK42)=1,1,0))))</f>
        <v>1</v>
      </c>
      <c r="EM42" s="8">
        <f>IF(EM$30-Voorblad!$F$37&gt;Voorblad!$K$37,0,IF($U42=0,0,IF($U42&lt;1,1/$U42,IF((EM$30-Voorblad!$F$37)/$U42-SUM($EE42:EL42)=1,1,0))))</f>
        <v>1</v>
      </c>
      <c r="EN42" s="8">
        <f>IF(EN$30-Voorblad!$F$37&gt;Voorblad!$K$37,0,IF($U42=0,0,IF($U42&lt;1,1/$U42,IF((EN$30-Voorblad!$F$37)/$U42-SUM($EE42:EM42)=1,1,0))))</f>
        <v>1</v>
      </c>
      <c r="EO42" s="8">
        <f>IF(EO$30-Voorblad!$F$37&gt;Voorblad!$K$37,0,IF($U42=0,0,IF($U42&lt;1,1/$U42,IF((EO$30-Voorblad!$F$37)/$U42-SUM($EE42:EN42)=1,1,0))))</f>
        <v>1</v>
      </c>
      <c r="EP42" s="8">
        <f>IF(EP$30-Voorblad!$F$37&gt;Voorblad!$K$37,0,IF($U42=0,0,IF($U42&lt;1,1/$U42,IF((EP$30-Voorblad!$F$37)/$U42-SUM($EE42:EO42)=1,1,0))))</f>
        <v>1</v>
      </c>
      <c r="EQ42" s="8">
        <f>IF(EQ$30-Voorblad!$F$37&gt;Voorblad!$K$37,0,IF($U42=0,0,IF($U42&lt;1,1/$U42,IF((EQ$30-Voorblad!$F$37)/$U42-SUM($EE42:EP42)=1,1,0))))</f>
        <v>0</v>
      </c>
      <c r="ER42" s="8">
        <f>IF(ER$30-Voorblad!$F$37&gt;Voorblad!$K$37,0,IF($U42=0,0,IF($U42&lt;1,1/$U42,IF((ER$30-Voorblad!$F$37)/$U42-SUM($EE42:EQ42)=1,1,0))))</f>
        <v>0</v>
      </c>
      <c r="ES42" s="8">
        <f>IF(ES$30-Voorblad!$F$37&gt;Voorblad!$K$37,0,IF($U42=0,0,IF($U42&lt;1,1/$U42,IF((ES$30-Voorblad!$F$37)/$U42-SUM($EE42:ER42)=1,1,0))))</f>
        <v>0</v>
      </c>
      <c r="ET42" s="8">
        <f>IF(ET$30-Voorblad!$F$37&gt;Voorblad!$K$37,0,IF($U42=0,0,IF($U42&lt;1,1/$U42,IF((ET$30-Voorblad!$F$37)/$U42-SUM($EE42:ES42)=1,1,0))))</f>
        <v>0</v>
      </c>
      <c r="EU42" s="8">
        <f>IF(EU$30-Voorblad!$F$37&gt;Voorblad!$K$37,0,IF($U42=0,0,IF($U42&lt;1,1/$U42,IF((EU$30-Voorblad!$F$37)/$U42-SUM($EE42:ET42)=1,1,0))))</f>
        <v>0</v>
      </c>
      <c r="EV42" s="8">
        <f>IF(EV$30-Voorblad!$F$37&gt;Voorblad!$K$37,0,IF($U42=0,0,IF($U42&lt;1,1/$U42,IF((EV$30-Voorblad!$F$37)/$U42-SUM($EE42:EU42)=1,1,0))))</f>
        <v>0</v>
      </c>
      <c r="EW42" s="8">
        <f>IF(EW$30-Voorblad!$F$37&gt;Voorblad!$K$37,0,IF($U42=0,0,IF($U42&lt;1,1/$U42,IF((EW$30-Voorblad!$F$37)/$U42-SUM($EE42:EV42)=1,1,0))))</f>
        <v>0</v>
      </c>
      <c r="EX42" s="8">
        <f>IF(EX$30-Voorblad!$F$37&gt;Voorblad!$K$37,0,IF($U42=0,0,IF($U42&lt;1,1/$U42,IF((EX$30-Voorblad!$F$37)/$U42-SUM($EE42:EW42)=1,1,0))))</f>
        <v>0</v>
      </c>
      <c r="EY42" s="8">
        <f>IF(EY$30-Voorblad!$F$37&gt;Voorblad!$K$37,0,IF($U42=0,0,IF($U42&lt;1,1/$U42,IF((EY$30-Voorblad!$F$37)/$U42-SUM($EE42:EX42)=1,1,0))))</f>
        <v>0</v>
      </c>
      <c r="EZ42" s="8">
        <f>IF(EZ$30-Voorblad!$F$37&gt;Voorblad!$K$37,0,IF($U42=0,0,IF($U42&lt;1,1/$U42,IF((EZ$30-Voorblad!$F$37)/$U42-SUM($EE42:EY42)=1,1,0))))</f>
        <v>0</v>
      </c>
      <c r="FA42" s="8">
        <f>IF(FA$30-Voorblad!$F$37&gt;Voorblad!$K$37,0,IF($U42=0,0,IF($U42&lt;1,1/$U42,IF((FA$30-Voorblad!$F$37)/$U42-SUM($EE42:EZ42)=1,1,0))))</f>
        <v>0</v>
      </c>
      <c r="FB42" s="8">
        <f>IF(FB$30-Voorblad!$F$37&gt;Voorblad!$K$37,0,IF($U42=0,0,IF($U42&lt;1,1/$U42,IF((FB$30-Voorblad!$F$37)/$U42-SUM($EE42:FA42)=1,1,0))))</f>
        <v>0</v>
      </c>
      <c r="FC42" s="8">
        <f>IF(FC$30-Voorblad!$F$37&gt;Voorblad!$K$37,0,IF($U42=0,0,IF($U42&lt;1,1/$U42,IF((FC$30-Voorblad!$F$37)/$U42-SUM($EE42:FB42)=1,1,0))))</f>
        <v>0</v>
      </c>
      <c r="FD42" s="8">
        <f>IF(FD$30-Voorblad!$F$37&gt;Voorblad!$K$37,0,IF($U42=0,0,IF($U42&lt;1,1/$U42,IF((FD$30-Voorblad!$F$37)/$U42-SUM($EE42:FC42)=1,1,0))))</f>
        <v>0</v>
      </c>
      <c r="FE42" s="8">
        <f>IF(FE$30-Voorblad!$F$37&gt;Voorblad!$K$37,0,IF($U42=0,0,IF($U42&lt;1,1/$U42,IF((FE$30-Voorblad!$F$37)/$U42-SUM($EE42:FD42)=1,1,0))))</f>
        <v>0</v>
      </c>
      <c r="FF42" s="8">
        <f>IF(FF$30-Voorblad!$F$37&gt;Voorblad!$K$37,0,IF($U42=0,0,IF($U42&lt;1,1/$U42,IF((FF$30-Voorblad!$F$37)/$U42-SUM($EE42:FE42)=1,1,0))))</f>
        <v>0</v>
      </c>
      <c r="FG42" s="8">
        <f>IF(FG$30-Voorblad!$F$37&gt;Voorblad!$K$37,0,IF($U42=0,0,IF($U42&lt;1,1/$U42,IF((FG$30-Voorblad!$F$37)/$U42-SUM($EE42:FF42)=1,1,0))))</f>
        <v>0</v>
      </c>
      <c r="FH42" s="8">
        <f>IF(FH$30-Voorblad!$F$37&gt;Voorblad!$K$37,0,IF($U42=0,0,IF($U42&lt;1,1/$U42,IF((FH$30-Voorblad!$F$37)/$U42-SUM($EE42:FG42)=1,1,0))))</f>
        <v>0</v>
      </c>
      <c r="FI42" s="8">
        <f>IF(FI$30-Voorblad!$F$37&gt;Voorblad!$K$37,0,IF($U42=0,0,IF($U42&lt;1,1/$U42,IF((FI$30-Voorblad!$F$37)/$U42-SUM($EE42:FH42)=1,1,0))))</f>
        <v>0</v>
      </c>
      <c r="FJ42" s="8">
        <f>IF(FJ$30-Voorblad!$F$37&gt;Voorblad!$K$37,0,IF($U42=0,0,IF($U42&lt;1,1/$U42,IF((FJ$30-Voorblad!$F$37)/$U42-SUM($EE42:FI42)=1,1,0))))</f>
        <v>0</v>
      </c>
      <c r="FK42" s="8">
        <f>IF(FK$30-Voorblad!$F$37&gt;Voorblad!$K$37,0,IF($U42=0,0,IF($U42&lt;1,1/$U42,IF((FK$30-Voorblad!$F$37)/$U42-SUM($EE42:FJ42)=1,1,0))))</f>
        <v>0</v>
      </c>
      <c r="FL42" s="8">
        <f>IF(FL$30-Voorblad!$F$37&gt;Voorblad!$K$37,0,IF($U42=0,0,IF($U42&lt;1,1/$U42,IF((FL$30-Voorblad!$F$37)/$U42-SUM($EE42:FK42)=1,1,0))))</f>
        <v>0</v>
      </c>
      <c r="FM42" s="8">
        <f>IF(FM$30-Voorblad!$F$37&gt;Voorblad!$K$37,0,IF($U42=0,0,IF($U42&lt;1,1/$U42,IF((FM$30-Voorblad!$F$37)/$U42-SUM($EE42:FL42)=1,1,0))))</f>
        <v>0</v>
      </c>
      <c r="FN42" s="8">
        <f>IF(FN$30-Voorblad!$F$37&gt;Voorblad!$K$37,0,IF($U42=0,0,IF($U42&lt;1,1/$U42,IF((FN$30-Voorblad!$F$37)/$U42-SUM($EE42:FM42)=1,1,0))))</f>
        <v>0</v>
      </c>
      <c r="FO42" s="8">
        <f>IF(FO$30-Voorblad!$F$37&gt;Voorblad!$K$37,0,IF($U42=0,0,IF($U42&lt;1,1/$U42,IF((FO$30-Voorblad!$F$37)/$U42-SUM($EE42:FN42)=1,1,0))))</f>
        <v>0</v>
      </c>
      <c r="FP42" s="8">
        <f>IF(FP$30-Voorblad!$F$37&gt;Voorblad!$K$37,0,IF($U42=0,0,IF($U42&lt;1,1/$U42,IF((FP$30-Voorblad!$F$37)/$U42-SUM($EE42:FO42)=1,1,0))))</f>
        <v>0</v>
      </c>
      <c r="FQ42" s="8">
        <f>IF(FQ$30-Voorblad!$F$37&gt;Voorblad!$K$37,0,IF($U42=0,0,IF($U42&lt;1,1/$U42,IF((FQ$30-Voorblad!$F$37)/$U42-SUM($EE42:FP42)=1,1,0))))</f>
        <v>0</v>
      </c>
      <c r="FR42" s="8">
        <f>IF(FR$30-Voorblad!$F$37&gt;Voorblad!$K$37,0,IF($U42=0,0,IF($U42&lt;1,1/$U42,IF((FR$30-Voorblad!$F$37)/$U42-SUM($EE42:FQ42)=1,1,0))))</f>
        <v>0</v>
      </c>
      <c r="FS42" s="8">
        <f>IF(FS$30-Voorblad!$F$37&gt;Voorblad!$K$37,0,IF($U42=0,0,IF($U42&lt;1,1/$U42,IF((FS$30-Voorblad!$F$37)/$U42-SUM($EE42:FR42)=1,1,0))))</f>
        <v>0</v>
      </c>
      <c r="FT42" s="8">
        <f>IF(FT$30-Voorblad!$F$37&gt;Voorblad!$K$37,0,IF($U42=0,0,IF($U42&lt;1,1/$U42,IF((FT$30-Voorblad!$F$37)/$U42-SUM($EE42:FS42)=1,1,0))))</f>
        <v>0</v>
      </c>
      <c r="FU42" s="8">
        <f>IF(FU$30-Voorblad!$F$37&gt;Voorblad!$K$37,0,IF($U42=0,0,IF($U42&lt;1,1/$U42,IF((FU$30-Voorblad!$F$37)/$U42-SUM($EE42:FT42)=1,1,0))))</f>
        <v>0</v>
      </c>
      <c r="FV42" s="8">
        <f>IF(FV$30-Voorblad!$F$37&gt;Voorblad!$K$37,0,IF($U42=0,0,IF($U42&lt;1,1/$U42,IF((FV$30-Voorblad!$F$37)/$U42-SUM($EE42:FU42)=1,1,0))))</f>
        <v>0</v>
      </c>
      <c r="FW42" s="8">
        <f>IF(FW$30-Voorblad!$F$37&gt;Voorblad!$K$37,0,IF($U42=0,0,IF($U42&lt;1,1/$U42,IF((FW$30-Voorblad!$F$37)/$U42-SUM($EE42:FV42)=1,1,0))))</f>
        <v>0</v>
      </c>
      <c r="FX42" s="8">
        <f>IF(FX$30-Voorblad!$F$37&gt;Voorblad!$K$37,0,IF($U42=0,0,IF($U42&lt;1,1/$U42,IF((FX$30-Voorblad!$F$37)/$U42-SUM($EE42:FW42)=1,1,0))))</f>
        <v>0</v>
      </c>
      <c r="FY42" s="8">
        <f>IF(FY$30-Voorblad!$F$37&gt;Voorblad!$K$37,0,IF($U42=0,0,IF($U42&lt;1,1/$U42,IF((FY$30-Voorblad!$F$37)/$U42-SUM($EE42:FX42)=1,1,0))))</f>
        <v>0</v>
      </c>
      <c r="FZ42" s="8">
        <f>IF(FZ$30-Voorblad!$F$37&gt;Voorblad!$K$37,0,IF($U42=0,0,IF($U42&lt;1,1/$U42,IF((FZ$30-Voorblad!$F$37)/$U42-SUM($EE42:FY42)=1,1,0))))</f>
        <v>0</v>
      </c>
      <c r="GA42" s="8">
        <f>IF(GA$30-Voorblad!$F$37&gt;Voorblad!$K$37,0,IF($U42=0,0,IF($U42&lt;1,1/$U42,IF((GA$30-Voorblad!$F$37)/$U42-SUM($EE42:FZ42)=1,1,0))))</f>
        <v>0</v>
      </c>
      <c r="GB42" s="8">
        <f>IF(GB$30-Voorblad!$F$37&gt;Voorblad!$K$37,0,IF($U42=0,0,IF($U42&lt;1,1/$U42,IF((GB$30-Voorblad!$F$37)/$U42-SUM($EE42:GA42)=1,1,0))))</f>
        <v>0</v>
      </c>
      <c r="GC42" s="8">
        <f>IF(GC$30-Voorblad!$F$37&gt;Voorblad!$K$37,0,IF($U42=0,0,IF($U42&lt;1,1/$U42,IF((GC$30-Voorblad!$F$37)/$U42-SUM($EE42:GB42)=1,1,0))))</f>
        <v>0</v>
      </c>
      <c r="GD42" s="8">
        <f>IF(GD$30-Voorblad!$F$37&gt;Voorblad!$K$37,0,IF($U42=0,0,IF($U42&lt;1,1/$U42,IF((GD$30-Voorblad!$F$37)/$U42-SUM($EE42:GC42)=1,1,0))))</f>
        <v>0</v>
      </c>
      <c r="GE42" s="8">
        <f>IF(GE$30-Voorblad!$F$37&gt;Voorblad!$K$37,0,IF($U42=0,0,IF($U42&lt;1,1/$U42,IF((GE$30-Voorblad!$F$37)/$U42-SUM($EE42:GD42)=1,1,0))))</f>
        <v>0</v>
      </c>
      <c r="GF42" s="8">
        <f>IF(GF$30-Voorblad!$F$37&gt;Voorblad!$K$37,0,IF($U42=0,0,IF($U42&lt;1,1/$U42,IF((GF$30-Voorblad!$F$37)/$U42-SUM($EE42:GE42)=1,1,0))))</f>
        <v>0</v>
      </c>
      <c r="GG42" s="8">
        <f>IF(GG$30-Voorblad!$F$37&gt;Voorblad!$K$37,0,IF($U42=0,0,IF($U42&lt;1,1/$U42,IF((GG$30-Voorblad!$F$37)/$U42-SUM($EE42:GF42)=1,1,0))))</f>
        <v>0</v>
      </c>
      <c r="GH42" s="8">
        <f>IF(GH$30-Voorblad!$F$37&gt;Voorblad!$K$37,0,IF($U42=0,0,IF($U42&lt;1,1/$U42,IF((GH$30-Voorblad!$F$37)/$U42-SUM($EE42:GG42)=1,1,0))))</f>
        <v>0</v>
      </c>
      <c r="GI42" s="8">
        <f>IF(GI$30-Voorblad!$F$37&gt;Voorblad!$K$37,0,IF($U42=0,0,IF($U42&lt;1,1/$U42,IF((GI$30-Voorblad!$F$37)/$U42-SUM($EE42:GH42)=1,1,0))))</f>
        <v>0</v>
      </c>
      <c r="GJ42" s="8">
        <f>IF(GJ$30-Voorblad!$F$37&gt;Voorblad!$K$37,0,IF($U42=0,0,IF($U42&lt;1,1/$U42,IF((GJ$30-Voorblad!$F$37)/$U42-SUM($EE42:GI42)=1,1,0))))</f>
        <v>0</v>
      </c>
      <c r="GK42" s="8">
        <f>IF(GK$30-Voorblad!$F$37&gt;Voorblad!$K$37,0,IF($U42=0,0,IF($U42&lt;1,1/$U42,IF((GK$30-Voorblad!$F$37)/$U42-SUM($EE42:GJ42)=1,1,0))))</f>
        <v>0</v>
      </c>
      <c r="GL42" s="8">
        <f>IF(GL$30-Voorblad!$F$37&gt;Voorblad!$K$37,0,IF($U42=0,0,IF($U42&lt;1,1/$U42,IF((GL$30-Voorblad!$F$37)/$U42-SUM($EE42:GK42)=1,1,0))))</f>
        <v>0</v>
      </c>
      <c r="GM42" s="8">
        <f>IF(GM$30-Voorblad!$F$37&gt;Voorblad!$K$37,0,IF($U42=0,0,IF($U42&lt;1,1/$U42,IF((GM$30-Voorblad!$F$37)/$U42-SUM($EE42:GL42)=1,1,0))))</f>
        <v>0</v>
      </c>
      <c r="GN42" s="8">
        <f>IF(GN$30-Voorblad!$F$37&gt;Voorblad!$K$37,0,IF($U42=0,0,IF($U42&lt;1,1/$U42,IF((GN$30-Voorblad!$F$37)/$U42-SUM($EE42:GM42)=1,1,0))))</f>
        <v>0</v>
      </c>
      <c r="GO42" s="8">
        <f>IF(GO$30-Voorblad!$F$37&gt;Voorblad!$K$37,0,IF($U42=0,0,IF($U42&lt;1,1/$U42,IF((GO$30-Voorblad!$F$37)/$U42-SUM($EE42:GN42)=1,1,0))))</f>
        <v>0</v>
      </c>
      <c r="GP42" s="8">
        <f>IF(GP$30-Voorblad!$F$37&gt;Voorblad!$K$37,0,IF($U42=0,0,IF($U42&lt;1,1/$U42,IF((GP$30-Voorblad!$F$37)/$U42-SUM($EE42:GO42)=1,1,0))))</f>
        <v>0</v>
      </c>
      <c r="GQ42" s="8">
        <f>IF(GQ$30-Voorblad!$F$37&gt;Voorblad!$K$37,0,IF($U42=0,0,IF($U42&lt;1,1/$U42,IF((GQ$30-Voorblad!$F$37)/$U42-SUM($EE42:GP42)=1,1,0))))</f>
        <v>0</v>
      </c>
      <c r="GR42" s="8">
        <f>IF(GR$30-Voorblad!$F$37&gt;Voorblad!$K$37,0,IF($U42=0,0,IF($U42&lt;1,1/$U42,IF((GR$30-Voorblad!$F$37)/$U42-SUM($EE42:GQ42)=1,1,0))))</f>
        <v>0</v>
      </c>
      <c r="GS42" s="8">
        <f>IF(GS$30-Voorblad!$F$37&gt;Voorblad!$K$37,0,IF($U42=0,0,IF($U42&lt;1,1/$U42,IF((GS$30-Voorblad!$F$37)/$U42-SUM($EE42:GR42)=1,1,0))))</f>
        <v>0</v>
      </c>
      <c r="GT42" s="8">
        <f>IF(GT$30-Voorblad!$F$37&gt;Voorblad!$K$37,0,IF($U42=0,0,IF($U42&lt;1,1/$U42,IF((GT$30-Voorblad!$F$37)/$U42-SUM($EE42:GS42)=1,1,0))))</f>
        <v>0</v>
      </c>
      <c r="GU42" s="8">
        <f>IF(GU$30-Voorblad!$F$37&gt;Voorblad!$K$37,0,IF($U42=0,0,IF($U42&lt;1,1/$U42,IF((GU$30-Voorblad!$F$37)/$U42-SUM($EE42:GT42)=1,1,0))))</f>
        <v>0</v>
      </c>
      <c r="GV42" s="8">
        <f>IF(GV$30-Voorblad!$F$37&gt;Voorblad!$K$37,0,IF($U42=0,0,IF($U42&lt;1,1/$U42,IF((GV$30-Voorblad!$F$37)/$U42-SUM($EE42:GU42)=1,1,0))))</f>
        <v>0</v>
      </c>
      <c r="GW42" s="8">
        <f>IF(GW$30-Voorblad!$F$37&gt;Voorblad!$K$37,0,IF($U42=0,0,IF($U42&lt;1,1/$U42,IF((GW$30-Voorblad!$F$37)/$U42-SUM($EE42:GV42)=1,1,0))))</f>
        <v>0</v>
      </c>
      <c r="GX42" s="8">
        <f>IF(GX$30-Voorblad!$F$37&gt;Voorblad!$K$37,0,IF($U42=0,0,IF($U42&lt;1,1/$U42,IF((GX$30-Voorblad!$F$37)/$U42-SUM($EE42:GW42)=1,1,0))))</f>
        <v>0</v>
      </c>
      <c r="GY42" s="8">
        <f>IF(GY$30-Voorblad!$F$37&gt;Voorblad!$K$37,0,IF($U42=0,0,IF($U42&lt;1,1/$U42,IF((GY$30-Voorblad!$F$37)/$U42-SUM($EE42:GX42)=1,1,0))))</f>
        <v>0</v>
      </c>
      <c r="GZ42" s="8">
        <f>IF(GZ$30-Voorblad!$F$37&gt;Voorblad!$K$37,0,IF($U42=0,0,IF($U42&lt;1,1/$U42,IF((GZ$30-Voorblad!$F$37)/$U42-SUM($EE42:GY42)=1,1,0))))</f>
        <v>0</v>
      </c>
      <c r="HA42" s="8">
        <f>IF(HA$30-Voorblad!$F$37&gt;Voorblad!$K$37,0,IF($U42=0,0,IF($U42&lt;1,1/$U42,IF((HA$30-Voorblad!$F$37)/$U42-SUM($EE42:GZ42)=1,1,0))))</f>
        <v>0</v>
      </c>
      <c r="HB42" s="8">
        <f>IF(HB$30-Voorblad!$F$37&gt;Voorblad!$K$37,0,IF($U42=0,0,IF($U42&lt;1,1/$U42,IF((HB$30-Voorblad!$F$37)/$U42-SUM($EE42:HA42)=1,1,0))))</f>
        <v>0</v>
      </c>
      <c r="HC42" s="8">
        <f>IF(HC$30-Voorblad!$F$37&gt;Voorblad!$K$37,0,IF($U42=0,0,IF($U42&lt;1,1/$U42,IF((HC$30-Voorblad!$F$37)/$U42-SUM($EE42:HB42)=1,1,0))))</f>
        <v>0</v>
      </c>
      <c r="HD42" s="8">
        <f>IF(HD$30-Voorblad!$F$37&gt;Voorblad!$K$37,0,IF($U42=0,0,IF($U42&lt;1,1/$U42,IF((HD$30-Voorblad!$F$37)/$U42-SUM($EE42:HC42)=1,1,0))))</f>
        <v>0</v>
      </c>
      <c r="HE42" s="8">
        <f>IF(HE$30-Voorblad!$F$37&gt;Voorblad!$K$37,0,IF($U42=0,0,IF($U42&lt;1,1/$U42,IF((HE$30-Voorblad!$F$37)/$U42-SUM($EE42:HD42)=1,1,0))))</f>
        <v>0</v>
      </c>
      <c r="HF42" s="8">
        <f>IF(HF$30-Voorblad!$F$37&gt;Voorblad!$K$37,0,IF($U42=0,0,IF($U42&lt;1,1/$U42,IF((HF$30-Voorblad!$F$37)/$U42-SUM($EE42:HE42)=1,1,0))))</f>
        <v>0</v>
      </c>
      <c r="HG42" s="8">
        <f>IF(HG$30-Voorblad!$F$37&gt;Voorblad!$K$37,0,IF($U42=0,0,IF($U42&lt;1,1/$U42,IF((HG$30-Voorblad!$F$37)/$U42-SUM($EE42:HF42)=1,1,0))))</f>
        <v>0</v>
      </c>
      <c r="HH42" s="8">
        <f>IF(HH$30-Voorblad!$F$37&gt;Voorblad!$K$37,0,IF($U42=0,0,IF($U42&lt;1,1/$U42,IF((HH$30-Voorblad!$F$37)/$U42-SUM($EE42:HG42)=1,1,0))))</f>
        <v>0</v>
      </c>
      <c r="HI42" s="8">
        <f>IF(HI$30-Voorblad!$F$37&gt;Voorblad!$K$37,0,IF($U42=0,0,IF($U42&lt;1,1/$U42,IF((HI$30-Voorblad!$F$37)/$U42-SUM($EE42:HH42)=1,1,0))))</f>
        <v>0</v>
      </c>
      <c r="HJ42" s="8">
        <f>IF(HJ$30-Voorblad!$F$37&gt;Voorblad!$K$37,0,IF($U42=0,0,IF($U42&lt;1,1/$U42,IF((HJ$30-Voorblad!$F$37)/$U42-SUM($EE42:HI42)=1,1,0))))</f>
        <v>0</v>
      </c>
      <c r="HK42" s="8">
        <f>IF(HK$30-Voorblad!$F$37&gt;Voorblad!$K$37,0,IF($U42=0,0,IF($U42&lt;1,1/$U42,IF((HK$30-Voorblad!$F$37)/$U42-SUM($EE42:HJ42)=1,1,0))))</f>
        <v>0</v>
      </c>
      <c r="HL42" s="8">
        <f>IF(HL$30-Voorblad!$F$37&gt;Voorblad!$K$37,0,IF($U42=0,0,IF($U42&lt;1,1/$U42,IF((HL$30-Voorblad!$F$37)/$U42-SUM($EE42:HK42)=1,1,0))))</f>
        <v>0</v>
      </c>
      <c r="HM42" s="8">
        <f>IF(HM$30-Voorblad!$F$37&gt;Voorblad!$K$37,0,IF($U42=0,0,IF($U42&lt;1,1/$U42,IF((HM$30-Voorblad!$F$37)/$U42-SUM($EE42:HL42)=1,1,0))))</f>
        <v>0</v>
      </c>
      <c r="HN42" s="8">
        <f>IF(HN$30-Voorblad!$F$37&gt;Voorblad!$K$37,0,IF($U42=0,0,IF($U42&lt;1,1/$U42,IF((HN$30-Voorblad!$F$37)/$U42-SUM($EE42:HM42)=1,1,0))))</f>
        <v>0</v>
      </c>
      <c r="HO42" s="8">
        <f>IF(HO$30-Voorblad!$F$37&gt;Voorblad!$K$37,0,IF($U42=0,0,IF($U42&lt;1,1/$U42,IF((HO$30-Voorblad!$F$37)/$U42-SUM($EE42:HN42)=1,1,0))))</f>
        <v>0</v>
      </c>
      <c r="HP42" s="8">
        <f>IF(HP$30-Voorblad!$F$37&gt;Voorblad!$K$37,0,IF($U42=0,0,IF($U42&lt;1,1/$U42,IF((HP$30-Voorblad!$F$37)/$U42-SUM($EE42:HO42)=1,1,0))))</f>
        <v>0</v>
      </c>
      <c r="HQ42" s="8">
        <f>IF(HQ$30-Voorblad!$F$37&gt;Voorblad!$K$37,0,IF($U42=0,0,IF($U42&lt;1,1/$U42,IF((HQ$30-Voorblad!$F$37)/$U42-SUM($EE42:HP42)=1,1,0))))</f>
        <v>0</v>
      </c>
      <c r="HR42" s="8">
        <f>IF(HR$30-Voorblad!$F$37&gt;Voorblad!$K$37,0,IF($U42=0,0,IF($U42&lt;1,1/$U42,IF((HR$30-Voorblad!$F$37)/$U42-SUM($EE42:HQ42)=1,1,0))))</f>
        <v>0</v>
      </c>
      <c r="HS42" s="8">
        <f>IF(HS$30-Voorblad!$F$37&gt;Voorblad!$K$37,0,IF($U42=0,0,IF($U42&lt;1,1/$U42,IF((HS$30-Voorblad!$F$37)/$U42-SUM($EE42:HR42)=1,1,0))))</f>
        <v>0</v>
      </c>
      <c r="HT42" s="8">
        <f>IF(HT$30-Voorblad!$F$37&gt;Voorblad!$K$37,0,IF($U42=0,0,IF($U42&lt;1,1/$U42,IF((HT$30-Voorblad!$F$37)/$U42-SUM($EE42:HS42)=1,1,0))))</f>
        <v>0</v>
      </c>
      <c r="HU42" s="8">
        <f>IF(HU$30-Voorblad!$F$37&gt;Voorblad!$K$37,0,IF($U42=0,0,IF($U42&lt;1,1/$U42,IF((HU$30-Voorblad!$F$37)/$U42-SUM($EE42:HT42)=1,1,0))))</f>
        <v>0</v>
      </c>
      <c r="HV42" s="8">
        <f>IF(HV$30-Voorblad!$F$37&gt;Voorblad!$K$37,0,IF($U42=0,0,IF($U42&lt;1,1/$U42,IF((HV$30-Voorblad!$F$37)/$U42-SUM($EE42:HU42)=1,1,0))))</f>
        <v>0</v>
      </c>
      <c r="HW42" s="8">
        <f>IF(HW$30-Voorblad!$F$37&gt;Voorblad!$K$37,0,IF($U42=0,0,IF($U42&lt;1,1/$U42,IF((HW$30-Voorblad!$F$37)/$U42-SUM($EE42:HV42)=1,1,0))))</f>
        <v>0</v>
      </c>
      <c r="HX42" s="8">
        <f>IF(HX$30-Voorblad!$F$37&gt;Voorblad!$K$37,0,IF($U42=0,0,IF($U42&lt;1,1/$U42,IF((HX$30-Voorblad!$F$37)/$U42-SUM($EE42:HW42)=1,1,0))))</f>
        <v>0</v>
      </c>
      <c r="HY42" s="8">
        <f>IF(HY$30-Voorblad!$F$37&gt;Voorblad!$K$37,0,IF($U42=0,0,IF($U42&lt;1,1/$U42,IF((HY$30-Voorblad!$F$37)/$U42-SUM($EE42:HX42)=1,1,0))))</f>
        <v>0</v>
      </c>
      <c r="HZ42" s="8">
        <f>IF(HZ$30-Voorblad!$F$37&gt;Voorblad!$K$37,0,IF($U42=0,0,IF($U42&lt;1,1/$U42,IF((HZ$30-Voorblad!$F$37)/$U42-SUM($EE42:HY42)=1,1,0))))</f>
        <v>0</v>
      </c>
      <c r="IA42" s="8">
        <f>IF(IA$30-Voorblad!$F$37&gt;Voorblad!$K$37,0,IF($U42=0,0,IF($U42&lt;1,1/$U42,IF((IA$30-Voorblad!$F$37)/$U42-SUM($EE42:HZ42)=1,1,0))))</f>
        <v>0</v>
      </c>
      <c r="IB42" s="8">
        <f>IF(IB$30-Voorblad!$F$37&gt;Voorblad!$K$37,0,IF($U42=0,0,IF($U42&lt;1,1/$U42,IF((IB$30-Voorblad!$F$37)/$U42-SUM($EE42:IA42)=1,1,0))))</f>
        <v>0</v>
      </c>
    </row>
    <row r="43" spans="2:236" ht="12" customHeight="1" x14ac:dyDescent="0.25">
      <c r="B43" s="76"/>
      <c r="C43" s="76"/>
      <c r="D43" s="76">
        <v>6</v>
      </c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7"/>
      <c r="P43" s="77"/>
      <c r="Q43" s="81">
        <v>1</v>
      </c>
      <c r="R43" s="81" t="s">
        <v>33</v>
      </c>
      <c r="S43" s="81"/>
      <c r="T43" s="9">
        <f t="shared" si="4"/>
        <v>0</v>
      </c>
      <c r="U43" s="11">
        <v>1</v>
      </c>
      <c r="V43" s="14"/>
      <c r="W43" s="9">
        <f>Voorblad!K56</f>
        <v>0</v>
      </c>
      <c r="Y43" s="9">
        <f>SUM(AE43:EB43)</f>
        <v>0</v>
      </c>
      <c r="Z43" s="82"/>
      <c r="AA43" s="82"/>
      <c r="AC43" s="9">
        <f>$Y43*(Voorblad!$K$44*(1+Voorblad!$K$44)^Voorblad!$K$37)/((1+Voorblad!$K$44)^Voorblad!$K$37-1)</f>
        <v>0</v>
      </c>
      <c r="AE43" s="9">
        <f>IF($W43=AE$30,EF43*($Q43*$S43)/(1+Voorblad!$K$44)^(AE$30-Voorblad!$F$37),0)</f>
        <v>0</v>
      </c>
      <c r="AF43" s="9">
        <f>IF($W43=AF$30,EG43*($Q43*$S43)/(1+Voorblad!$K$44)^(AF$30-Voorblad!$F$37),0)</f>
        <v>0</v>
      </c>
      <c r="AG43" s="9">
        <f>IF($W43=AG$30,EH43*($Q43*$S43)/(1+Voorblad!$K$44)^(AG$30-Voorblad!$F$37),0)</f>
        <v>0</v>
      </c>
      <c r="AH43" s="9">
        <f>IF($W43=AH$30,EI43*($Q43*$S43)/(1+Voorblad!$K$44)^(AH$30-Voorblad!$F$37),0)</f>
        <v>0</v>
      </c>
      <c r="AI43" s="9">
        <f>IF($W43=AI$30,EJ43*($Q43*$S43)/(1+Voorblad!$K$44)^(AI$30-Voorblad!$F$37),0)</f>
        <v>0</v>
      </c>
      <c r="AJ43" s="9">
        <f>IF($W43=AJ$30,EK43*($Q43*$S43)/(1+Voorblad!$K$44)^(AJ$30-Voorblad!$F$37),0)</f>
        <v>0</v>
      </c>
      <c r="AK43" s="9">
        <f>IF($W43=AK$30,EL43*($Q43*$S43)/(1+Voorblad!$K$44)^(AK$30-Voorblad!$F$37),0)</f>
        <v>0</v>
      </c>
      <c r="AL43" s="9">
        <f>IF($W43=AL$30,EM43*($Q43*$S43)/(1+Voorblad!$K$44)^(AL$30-Voorblad!$F$37),0)</f>
        <v>0</v>
      </c>
      <c r="AM43" s="9">
        <f>IF($W43=AM$30,EN43*($Q43*$S43)/(1+Voorblad!$K$44)^(AM$30-Voorblad!$F$37),0)</f>
        <v>0</v>
      </c>
      <c r="AN43" s="9">
        <f>IF($W43=AN$30,EO43*($Q43*$S43)/(1+Voorblad!$K$44)^(AN$30-Voorblad!$F$37),0)</f>
        <v>0</v>
      </c>
      <c r="AO43" s="9">
        <f>IF($W43=AO$30,EP43*($Q43*$S43)/(1+Voorblad!$K$44)^(AO$30-Voorblad!$F$37),0)</f>
        <v>0</v>
      </c>
      <c r="AP43" s="9">
        <f>IF($W43=AP$30,EQ43*($Q43*$S43)/(1+Voorblad!$K$44)^(AP$30-Voorblad!$F$37),0)</f>
        <v>0</v>
      </c>
      <c r="AQ43" s="9">
        <f>IF($W43=AQ$30,ER43*($Q43*$S43)/(1+Voorblad!$K$44)^(AQ$30-Voorblad!$F$37),0)</f>
        <v>0</v>
      </c>
      <c r="AR43" s="9">
        <f>IF($W43=AR$30,ES43*($Q43*$S43)/(1+Voorblad!$K$44)^(AR$30-Voorblad!$F$37),0)</f>
        <v>0</v>
      </c>
      <c r="AS43" s="9">
        <f>IF($W43=AS$30,ET43*($Q43*$S43)/(1+Voorblad!$K$44)^(AS$30-Voorblad!$F$37),0)</f>
        <v>0</v>
      </c>
      <c r="AT43" s="9">
        <f>IF($W43=AT$30,EU43*($Q43*$S43)/(1+Voorblad!$K$44)^(AT$30-Voorblad!$F$37),0)</f>
        <v>0</v>
      </c>
      <c r="AU43" s="9">
        <f>IF($W43=AU$30,EV43*($Q43*$S43)/(1+Voorblad!$K$44)^(AU$30-Voorblad!$F$37),0)</f>
        <v>0</v>
      </c>
      <c r="AV43" s="9">
        <f>IF($W43=AV$30,EW43*($Q43*$S43)/(1+Voorblad!$K$44)^(AV$30-Voorblad!$F$37),0)</f>
        <v>0</v>
      </c>
      <c r="AW43" s="9">
        <f>IF($W43=AW$30,EX43*($Q43*$S43)/(1+Voorblad!$K$44)^(AW$30-Voorblad!$F$37),0)</f>
        <v>0</v>
      </c>
      <c r="AX43" s="9">
        <f>IF($W43=AX$30,EY43*($Q43*$S43)/(1+Voorblad!$K$44)^(AX$30-Voorblad!$F$37),0)</f>
        <v>0</v>
      </c>
      <c r="AY43" s="9">
        <f>IF($W43=AY$30,EZ43*($Q43*$S43)/(1+Voorblad!$K$44)^(AY$30-Voorblad!$F$37),0)</f>
        <v>0</v>
      </c>
      <c r="AZ43" s="9">
        <f>IF($W43=AZ$30,FA43*($Q43*$S43)/(1+Voorblad!$K$44)^(AZ$30-Voorblad!$F$37),0)</f>
        <v>0</v>
      </c>
      <c r="BA43" s="9">
        <f>IF($W43=BA$30,FB43*($Q43*$S43)/(1+Voorblad!$K$44)^(BA$30-Voorblad!$F$37),0)</f>
        <v>0</v>
      </c>
      <c r="BB43" s="9">
        <f>IF($W43=BB$30,FC43*($Q43*$S43)/(1+Voorblad!$K$44)^(BB$30-Voorblad!$F$37),0)</f>
        <v>0</v>
      </c>
      <c r="BC43" s="9">
        <f>IF($W43=BC$30,FD43*($Q43*$S43)/(1+Voorblad!$K$44)^(BC$30-Voorblad!$F$37),0)</f>
        <v>0</v>
      </c>
      <c r="BD43" s="9">
        <f>IF($W43=BD$30,FE43*($Q43*$S43)/(1+Voorblad!$K$44)^(BD$30-Voorblad!$F$37),0)</f>
        <v>0</v>
      </c>
      <c r="BE43" s="9">
        <f>IF($W43=BE$30,FF43*($Q43*$S43)/(1+Voorblad!$K$44)^(BE$30-Voorblad!$F$37),0)</f>
        <v>0</v>
      </c>
      <c r="BF43" s="9">
        <f>IF($W43=BF$30,FG43*($Q43*$S43)/(1+Voorblad!$K$44)^(BF$30-Voorblad!$F$37),0)</f>
        <v>0</v>
      </c>
      <c r="BG43" s="9">
        <f>IF($W43=BG$30,FH43*($Q43*$S43)/(1+Voorblad!$K$44)^(BG$30-Voorblad!$F$37),0)</f>
        <v>0</v>
      </c>
      <c r="BH43" s="9">
        <f>IF($W43=BH$30,FI43*($Q43*$S43)/(1+Voorblad!$K$44)^(BH$30-Voorblad!$F$37),0)</f>
        <v>0</v>
      </c>
      <c r="BI43" s="9">
        <f>IF($W43=BI$30,FJ43*($Q43*$S43)/(1+Voorblad!$K$44)^(BI$30-Voorblad!$F$37),0)</f>
        <v>0</v>
      </c>
      <c r="BJ43" s="9">
        <f>IF($W43=BJ$30,FK43*($Q43*$S43)/(1+Voorblad!$K$44)^(BJ$30-Voorblad!$F$37),0)</f>
        <v>0</v>
      </c>
      <c r="BK43" s="9">
        <f>IF($W43=BK$30,FL43*($Q43*$S43)/(1+Voorblad!$K$44)^(BK$30-Voorblad!$F$37),0)</f>
        <v>0</v>
      </c>
      <c r="BL43" s="9">
        <f>IF($W43=BL$30,FM43*($Q43*$S43)/(1+Voorblad!$K$44)^(BL$30-Voorblad!$F$37),0)</f>
        <v>0</v>
      </c>
      <c r="BM43" s="9">
        <f>IF($W43=BM$30,FN43*($Q43*$S43)/(1+Voorblad!$K$44)^(BM$30-Voorblad!$F$37),0)</f>
        <v>0</v>
      </c>
      <c r="BN43" s="9">
        <f>IF($W43=BN$30,FO43*($Q43*$S43)/(1+Voorblad!$K$44)^(BN$30-Voorblad!$F$37),0)</f>
        <v>0</v>
      </c>
      <c r="BO43" s="9">
        <f>IF($W43=BO$30,FP43*($Q43*$S43)/(1+Voorblad!$K$44)^(BO$30-Voorblad!$F$37),0)</f>
        <v>0</v>
      </c>
      <c r="BP43" s="9">
        <f>IF($W43=BP$30,FQ43*($Q43*$S43)/(1+Voorblad!$K$44)^(BP$30-Voorblad!$F$37),0)</f>
        <v>0</v>
      </c>
      <c r="BQ43" s="9">
        <f>IF($W43=BQ$30,FR43*($Q43*$S43)/(1+Voorblad!$K$44)^(BQ$30-Voorblad!$F$37),0)</f>
        <v>0</v>
      </c>
      <c r="BR43" s="9">
        <f>IF($W43=BR$30,FS43*($Q43*$S43)/(1+Voorblad!$K$44)^(BR$30-Voorblad!$F$37),0)</f>
        <v>0</v>
      </c>
      <c r="BS43" s="9">
        <f>IF($W43=BS$30,FT43*($Q43*$S43)/(1+Voorblad!$K$44)^(BS$30-Voorblad!$F$37),0)</f>
        <v>0</v>
      </c>
      <c r="BT43" s="9">
        <f>IF($W43=BT$30,FU43*($Q43*$S43)/(1+Voorblad!$K$44)^(BT$30-Voorblad!$F$37),0)</f>
        <v>0</v>
      </c>
      <c r="BU43" s="9">
        <f>IF($W43=BU$30,FV43*($Q43*$S43)/(1+Voorblad!$K$44)^(BU$30-Voorblad!$F$37),0)</f>
        <v>0</v>
      </c>
      <c r="BV43" s="9">
        <f>IF($W43=BV$30,FW43*($Q43*$S43)/(1+Voorblad!$K$44)^(BV$30-Voorblad!$F$37),0)</f>
        <v>0</v>
      </c>
      <c r="BW43" s="9">
        <f>IF($W43=BW$30,FX43*($Q43*$S43)/(1+Voorblad!$K$44)^(BW$30-Voorblad!$F$37),0)</f>
        <v>0</v>
      </c>
      <c r="BX43" s="9">
        <f>IF($W43=BX$30,FY43*($Q43*$S43)/(1+Voorblad!$K$44)^(BX$30-Voorblad!$F$37),0)</f>
        <v>0</v>
      </c>
      <c r="BY43" s="9">
        <f>IF($W43=BY$30,FZ43*($Q43*$S43)/(1+Voorblad!$K$44)^(BY$30-Voorblad!$F$37),0)</f>
        <v>0</v>
      </c>
      <c r="BZ43" s="9">
        <f>IF($W43=BZ$30,GA43*($Q43*$S43)/(1+Voorblad!$K$44)^(BZ$30-Voorblad!$F$37),0)</f>
        <v>0</v>
      </c>
      <c r="CA43" s="9">
        <f>IF($W43=CA$30,GB43*($Q43*$S43)/(1+Voorblad!$K$44)^(CA$30-Voorblad!$F$37),0)</f>
        <v>0</v>
      </c>
      <c r="CB43" s="9">
        <f>IF($W43=CB$30,GC43*($Q43*$S43)/(1+Voorblad!$K$44)^(CB$30-Voorblad!$F$37),0)</f>
        <v>0</v>
      </c>
      <c r="CC43" s="9">
        <f>IF($W43=CC$30,GD43*($Q43*$S43)/(1+Voorblad!$K$44)^(CC$30-Voorblad!$F$37),0)</f>
        <v>0</v>
      </c>
      <c r="CD43" s="9">
        <f>IF($W43=CD$30,GE43*($Q43*$S43)/(1+Voorblad!$K$44)^(CD$30-Voorblad!$F$37),0)</f>
        <v>0</v>
      </c>
      <c r="CE43" s="9">
        <f>IF($W43=CE$30,GF43*($Q43*$S43)/(1+Voorblad!$K$44)^(CE$30-Voorblad!$F$37),0)</f>
        <v>0</v>
      </c>
      <c r="CF43" s="9">
        <f>IF($W43=CF$30,GG43*($Q43*$S43)/(1+Voorblad!$K$44)^(CF$30-Voorblad!$F$37),0)</f>
        <v>0</v>
      </c>
      <c r="CG43" s="9">
        <f>IF($W43=CG$30,GH43*($Q43*$S43)/(1+Voorblad!$K$44)^(CG$30-Voorblad!$F$37),0)</f>
        <v>0</v>
      </c>
      <c r="CH43" s="9">
        <f>IF($W43=CH$30,GI43*($Q43*$S43)/(1+Voorblad!$K$44)^(CH$30-Voorblad!$F$37),0)</f>
        <v>0</v>
      </c>
      <c r="CI43" s="9">
        <f>IF($W43=CI$30,GJ43*($Q43*$S43)/(1+Voorblad!$K$44)^(CI$30-Voorblad!$F$37),0)</f>
        <v>0</v>
      </c>
      <c r="CJ43" s="9">
        <f>IF($W43=CJ$30,GK43*($Q43*$S43)/(1+Voorblad!$K$44)^(CJ$30-Voorblad!$F$37),0)</f>
        <v>0</v>
      </c>
      <c r="CK43" s="9">
        <f>IF($W43=CK$30,GL43*($Q43*$S43)/(1+Voorblad!$K$44)^(CK$30-Voorblad!$F$37),0)</f>
        <v>0</v>
      </c>
      <c r="CL43" s="9">
        <f>IF($W43=CL$30,GM43*($Q43*$S43)/(1+Voorblad!$K$44)^(CL$30-Voorblad!$F$37),0)</f>
        <v>0</v>
      </c>
      <c r="CM43" s="9">
        <f>IF($W43=CM$30,GN43*($Q43*$S43)/(1+Voorblad!$K$44)^(CM$30-Voorblad!$F$37),0)</f>
        <v>0</v>
      </c>
      <c r="CN43" s="9">
        <f>IF($W43=CN$30,GO43*($Q43*$S43)/(1+Voorblad!$K$44)^(CN$30-Voorblad!$F$37),0)</f>
        <v>0</v>
      </c>
      <c r="CO43" s="9">
        <f>IF($W43=CO$30,GP43*($Q43*$S43)/(1+Voorblad!$K$44)^(CO$30-Voorblad!$F$37),0)</f>
        <v>0</v>
      </c>
      <c r="CP43" s="9">
        <f>IF($W43=CP$30,GQ43*($Q43*$S43)/(1+Voorblad!$K$44)^(CP$30-Voorblad!$F$37),0)</f>
        <v>0</v>
      </c>
      <c r="CQ43" s="9">
        <f>IF($W43=CQ$30,GR43*($Q43*$S43)/(1+Voorblad!$K$44)^(CQ$30-Voorblad!$F$37),0)</f>
        <v>0</v>
      </c>
      <c r="CR43" s="9">
        <f>IF($W43=CR$30,GS43*($Q43*$S43)/(1+Voorblad!$K$44)^(CR$30-Voorblad!$F$37),0)</f>
        <v>0</v>
      </c>
      <c r="CS43" s="9">
        <f>IF($W43=CS$30,GT43*($Q43*$S43)/(1+Voorblad!$K$44)^(CS$30-Voorblad!$F$37),0)</f>
        <v>0</v>
      </c>
      <c r="CT43" s="9">
        <f>IF($W43=CT$30,GU43*($Q43*$S43)/(1+Voorblad!$K$44)^(CT$30-Voorblad!$F$37),0)</f>
        <v>0</v>
      </c>
      <c r="CU43" s="9">
        <f>IF($W43=CU$30,GV43*($Q43*$S43)/(1+Voorblad!$K$44)^(CU$30-Voorblad!$F$37),0)</f>
        <v>0</v>
      </c>
      <c r="CV43" s="9">
        <f>IF($W43=CV$30,GW43*($Q43*$S43)/(1+Voorblad!$K$44)^(CV$30-Voorblad!$F$37),0)</f>
        <v>0</v>
      </c>
      <c r="CW43" s="9">
        <f>IF($W43=CW$30,GX43*($Q43*$S43)/(1+Voorblad!$K$44)^(CW$30-Voorblad!$F$37),0)</f>
        <v>0</v>
      </c>
      <c r="CX43" s="9">
        <f>IF($W43=CX$30,GY43*($Q43*$S43)/(1+Voorblad!$K$44)^(CX$30-Voorblad!$F$37),0)</f>
        <v>0</v>
      </c>
      <c r="CY43" s="9">
        <f>IF($W43=CY$30,GZ43*($Q43*$S43)/(1+Voorblad!$K$44)^(CY$30-Voorblad!$F$37),0)</f>
        <v>0</v>
      </c>
      <c r="CZ43" s="9">
        <f>IF($W43=CZ$30,HA43*($Q43*$S43)/(1+Voorblad!$K$44)^(CZ$30-Voorblad!$F$37),0)</f>
        <v>0</v>
      </c>
      <c r="DA43" s="9">
        <f>IF($W43=DA$30,HB43*($Q43*$S43)/(1+Voorblad!$K$44)^(DA$30-Voorblad!$F$37),0)</f>
        <v>0</v>
      </c>
      <c r="DB43" s="9">
        <f>IF($W43=DB$30,HC43*($Q43*$S43)/(1+Voorblad!$K$44)^(DB$30-Voorblad!$F$37),0)</f>
        <v>0</v>
      </c>
      <c r="DC43" s="9">
        <f>IF($W43=DC$30,HD43*($Q43*$S43)/(1+Voorblad!$K$44)^(DC$30-Voorblad!$F$37),0)</f>
        <v>0</v>
      </c>
      <c r="DD43" s="9">
        <f>IF($W43=DD$30,HE43*($Q43*$S43)/(1+Voorblad!$K$44)^(DD$30-Voorblad!$F$37),0)</f>
        <v>0</v>
      </c>
      <c r="DE43" s="9">
        <f>IF($W43=DE$30,HF43*($Q43*$S43)/(1+Voorblad!$K$44)^(DE$30-Voorblad!$F$37),0)</f>
        <v>0</v>
      </c>
      <c r="DF43" s="9">
        <f>IF($W43=DF$30,HG43*($Q43*$S43)/(1+Voorblad!$K$44)^(DF$30-Voorblad!$F$37),0)</f>
        <v>0</v>
      </c>
      <c r="DG43" s="9">
        <f>IF($W43=DG$30,HH43*($Q43*$S43)/(1+Voorblad!$K$44)^(DG$30-Voorblad!$F$37),0)</f>
        <v>0</v>
      </c>
      <c r="DH43" s="9">
        <f>IF($W43=DH$30,HI43*($Q43*$S43)/(1+Voorblad!$K$44)^(DH$30-Voorblad!$F$37),0)</f>
        <v>0</v>
      </c>
      <c r="DI43" s="9">
        <f>IF($W43=DI$30,HJ43*($Q43*$S43)/(1+Voorblad!$K$44)^(DI$30-Voorblad!$F$37),0)</f>
        <v>0</v>
      </c>
      <c r="DJ43" s="9">
        <f>IF($W43=DJ$30,HK43*($Q43*$S43)/(1+Voorblad!$K$44)^(DJ$30-Voorblad!$F$37),0)</f>
        <v>0</v>
      </c>
      <c r="DK43" s="9">
        <f>IF($W43=DK$30,HL43*($Q43*$S43)/(1+Voorblad!$K$44)^(DK$30-Voorblad!$F$37),0)</f>
        <v>0</v>
      </c>
      <c r="DL43" s="9">
        <f>IF($W43=DL$30,HM43*($Q43*$S43)/(1+Voorblad!$K$44)^(DL$30-Voorblad!$F$37),0)</f>
        <v>0</v>
      </c>
      <c r="DM43" s="9">
        <f>IF($W43=DM$30,HN43*($Q43*$S43)/(1+Voorblad!$K$44)^(DM$30-Voorblad!$F$37),0)</f>
        <v>0</v>
      </c>
      <c r="DN43" s="9">
        <f>IF($W43=DN$30,HO43*($Q43*$S43)/(1+Voorblad!$K$44)^(DN$30-Voorblad!$F$37),0)</f>
        <v>0</v>
      </c>
      <c r="DO43" s="9">
        <f>IF($W43=DO$30,HP43*($Q43*$S43)/(1+Voorblad!$K$44)^(DO$30-Voorblad!$F$37),0)</f>
        <v>0</v>
      </c>
      <c r="DP43" s="9">
        <f>IF($W43=DP$30,HQ43*($Q43*$S43)/(1+Voorblad!$K$44)^(DP$30-Voorblad!$F$37),0)</f>
        <v>0</v>
      </c>
      <c r="DQ43" s="9">
        <f>IF($W43=DQ$30,HR43*($Q43*$S43)/(1+Voorblad!$K$44)^(DQ$30-Voorblad!$F$37),0)</f>
        <v>0</v>
      </c>
      <c r="DR43" s="9">
        <f>IF($W43=DR$30,HS43*($Q43*$S43)/(1+Voorblad!$K$44)^(DR$30-Voorblad!$F$37),0)</f>
        <v>0</v>
      </c>
      <c r="DS43" s="9">
        <f>IF($W43=DS$30,HT43*($Q43*$S43)/(1+Voorblad!$K$44)^(DS$30-Voorblad!$F$37),0)</f>
        <v>0</v>
      </c>
      <c r="DT43" s="9">
        <f>IF($W43=DT$30,HU43*($Q43*$S43)/(1+Voorblad!$K$44)^(DT$30-Voorblad!$F$37),0)</f>
        <v>0</v>
      </c>
      <c r="DU43" s="9">
        <f>IF($W43=DU$30,HV43*($Q43*$S43)/(1+Voorblad!$K$44)^(DU$30-Voorblad!$F$37),0)</f>
        <v>0</v>
      </c>
      <c r="DV43" s="9">
        <f>IF($W43=DV$30,HW43*($Q43*$S43)/(1+Voorblad!$K$44)^(DV$30-Voorblad!$F$37),0)</f>
        <v>0</v>
      </c>
      <c r="DW43" s="9">
        <f>IF($W43=DW$30,HX43*($Q43*$S43)/(1+Voorblad!$K$44)^(DW$30-Voorblad!$F$37),0)</f>
        <v>0</v>
      </c>
      <c r="DX43" s="9">
        <f>IF($W43=DX$30,HY43*($Q43*$S43)/(1+Voorblad!$K$44)^(DX$30-Voorblad!$F$37),0)</f>
        <v>0</v>
      </c>
      <c r="DY43" s="9">
        <f>IF($W43=DY$30,HZ43*($Q43*$S43)/(1+Voorblad!$K$44)^(DY$30-Voorblad!$F$37),0)</f>
        <v>0</v>
      </c>
      <c r="DZ43" s="9">
        <f>IF($W43=DZ$30,IA43*($Q43*$S43)/(1+Voorblad!$K$44)^(DZ$30-Voorblad!$F$37),0)</f>
        <v>0</v>
      </c>
      <c r="EA43" s="9">
        <f>IF($W43=EA$30,IB43*($Q43*$S43)/(1+Voorblad!$K$44)^(EA$30-Voorblad!$F$37),0)</f>
        <v>0</v>
      </c>
      <c r="EB43" s="9">
        <f>IF($W43=EB$30,IC43*($Q43*$S43)/(1+Voorblad!$K$44)^(EB$30-Voorblad!$F$37),0)</f>
        <v>0</v>
      </c>
      <c r="EE43" s="8">
        <v>0</v>
      </c>
      <c r="EF43" s="8">
        <f>IF(EF$30-Voorblad!$F$37&gt;Voorblad!$K$37,0,IF($U43=0,0,IF($U43&lt;1,1/$U43,IF((EF$30-Voorblad!$F$37)/$U43-SUM($EE43:EE43)=1,1,0))))</f>
        <v>0</v>
      </c>
      <c r="EG43" s="8">
        <f>IF(EG$30-Voorblad!$F$37&gt;Voorblad!$K$37,0,IF($U43=0,0,IF($U43&lt;1,1/$U43,IF((EG$30-Voorblad!$F$37)/$U43-SUM($EE43:EF43)=1,1,0))))</f>
        <v>1</v>
      </c>
      <c r="EH43" s="8">
        <f>IF(EH$30-Voorblad!$F$37&gt;Voorblad!$K$37,0,IF($U43=0,0,IF($U43&lt;1,1/$U43,IF((EH$30-Voorblad!$F$37)/$U43-SUM($EE43:EG43)=1,1,0))))</f>
        <v>1</v>
      </c>
      <c r="EI43" s="8">
        <f>IF(EI$30-Voorblad!$F$37&gt;Voorblad!$K$37,0,IF($U43=0,0,IF($U43&lt;1,1/$U43,IF((EI$30-Voorblad!$F$37)/$U43-SUM($EE43:EH43)=1,1,0))))</f>
        <v>1</v>
      </c>
      <c r="EJ43" s="8">
        <f>IF(EJ$30-Voorblad!$F$37&gt;Voorblad!$K$37,0,IF($U43=0,0,IF($U43&lt;1,1/$U43,IF((EJ$30-Voorblad!$F$37)/$U43-SUM($EE43:EI43)=1,1,0))))</f>
        <v>1</v>
      </c>
      <c r="EK43" s="8">
        <f>IF(EK$30-Voorblad!$F$37&gt;Voorblad!$K$37,0,IF($U43=0,0,IF($U43&lt;1,1/$U43,IF((EK$30-Voorblad!$F$37)/$U43-SUM($EE43:EJ43)=1,1,0))))</f>
        <v>1</v>
      </c>
      <c r="EL43" s="8">
        <f>IF(EL$30-Voorblad!$F$37&gt;Voorblad!$K$37,0,IF($U43=0,0,IF($U43&lt;1,1/$U43,IF((EL$30-Voorblad!$F$37)/$U43-SUM($EE43:EK43)=1,1,0))))</f>
        <v>1</v>
      </c>
      <c r="EM43" s="8">
        <f>IF(EM$30-Voorblad!$F$37&gt;Voorblad!$K$37,0,IF($U43=0,0,IF($U43&lt;1,1/$U43,IF((EM$30-Voorblad!$F$37)/$U43-SUM($EE43:EL43)=1,1,0))))</f>
        <v>1</v>
      </c>
      <c r="EN43" s="8">
        <f>IF(EN$30-Voorblad!$F$37&gt;Voorblad!$K$37,0,IF($U43=0,0,IF($U43&lt;1,1/$U43,IF((EN$30-Voorblad!$F$37)/$U43-SUM($EE43:EM43)=1,1,0))))</f>
        <v>1</v>
      </c>
      <c r="EO43" s="8">
        <f>IF(EO$30-Voorblad!$F$37&gt;Voorblad!$K$37,0,IF($U43=0,0,IF($U43&lt;1,1/$U43,IF((EO$30-Voorblad!$F$37)/$U43-SUM($EE43:EN43)=1,1,0))))</f>
        <v>1</v>
      </c>
      <c r="EP43" s="8">
        <f>IF(EP$30-Voorblad!$F$37&gt;Voorblad!$K$37,0,IF($U43=0,0,IF($U43&lt;1,1/$U43,IF((EP$30-Voorblad!$F$37)/$U43-SUM($EE43:EO43)=1,1,0))))</f>
        <v>1</v>
      </c>
      <c r="EQ43" s="8">
        <f>IF(EQ$30-Voorblad!$F$37&gt;Voorblad!$K$37,0,IF($U43=0,0,IF($U43&lt;1,1/$U43,IF((EQ$30-Voorblad!$F$37)/$U43-SUM($EE43:EP43)=1,1,0))))</f>
        <v>0</v>
      </c>
      <c r="ER43" s="8">
        <f>IF(ER$30-Voorblad!$F$37&gt;Voorblad!$K$37,0,IF($U43=0,0,IF($U43&lt;1,1/$U43,IF((ER$30-Voorblad!$F$37)/$U43-SUM($EE43:EQ43)=1,1,0))))</f>
        <v>0</v>
      </c>
      <c r="ES43" s="8">
        <f>IF(ES$30-Voorblad!$F$37&gt;Voorblad!$K$37,0,IF($U43=0,0,IF($U43&lt;1,1/$U43,IF((ES$30-Voorblad!$F$37)/$U43-SUM($EE43:ER43)=1,1,0))))</f>
        <v>0</v>
      </c>
      <c r="ET43" s="8">
        <f>IF(ET$30-Voorblad!$F$37&gt;Voorblad!$K$37,0,IF($U43=0,0,IF($U43&lt;1,1/$U43,IF((ET$30-Voorblad!$F$37)/$U43-SUM($EE43:ES43)=1,1,0))))</f>
        <v>0</v>
      </c>
      <c r="EU43" s="8">
        <f>IF(EU$30-Voorblad!$F$37&gt;Voorblad!$K$37,0,IF($U43=0,0,IF($U43&lt;1,1/$U43,IF((EU$30-Voorblad!$F$37)/$U43-SUM($EE43:ET43)=1,1,0))))</f>
        <v>0</v>
      </c>
      <c r="EV43" s="8">
        <f>IF(EV$30-Voorblad!$F$37&gt;Voorblad!$K$37,0,IF($U43=0,0,IF($U43&lt;1,1/$U43,IF((EV$30-Voorblad!$F$37)/$U43-SUM($EE43:EU43)=1,1,0))))</f>
        <v>0</v>
      </c>
      <c r="EW43" s="8">
        <f>IF(EW$30-Voorblad!$F$37&gt;Voorblad!$K$37,0,IF($U43=0,0,IF($U43&lt;1,1/$U43,IF((EW$30-Voorblad!$F$37)/$U43-SUM($EE43:EV43)=1,1,0))))</f>
        <v>0</v>
      </c>
      <c r="EX43" s="8">
        <f>IF(EX$30-Voorblad!$F$37&gt;Voorblad!$K$37,0,IF($U43=0,0,IF($U43&lt;1,1/$U43,IF((EX$30-Voorblad!$F$37)/$U43-SUM($EE43:EW43)=1,1,0))))</f>
        <v>0</v>
      </c>
      <c r="EY43" s="8">
        <f>IF(EY$30-Voorblad!$F$37&gt;Voorblad!$K$37,0,IF($U43=0,0,IF($U43&lt;1,1/$U43,IF((EY$30-Voorblad!$F$37)/$U43-SUM($EE43:EX43)=1,1,0))))</f>
        <v>0</v>
      </c>
      <c r="EZ43" s="8">
        <f>IF(EZ$30-Voorblad!$F$37&gt;Voorblad!$K$37,0,IF($U43=0,0,IF($U43&lt;1,1/$U43,IF((EZ$30-Voorblad!$F$37)/$U43-SUM($EE43:EY43)=1,1,0))))</f>
        <v>0</v>
      </c>
      <c r="FA43" s="8">
        <f>IF(FA$30-Voorblad!$F$37&gt;Voorblad!$K$37,0,IF($U43=0,0,IF($U43&lt;1,1/$U43,IF((FA$30-Voorblad!$F$37)/$U43-SUM($EE43:EZ43)=1,1,0))))</f>
        <v>0</v>
      </c>
      <c r="FB43" s="8">
        <f>IF(FB$30-Voorblad!$F$37&gt;Voorblad!$K$37,0,IF($U43=0,0,IF($U43&lt;1,1/$U43,IF((FB$30-Voorblad!$F$37)/$U43-SUM($EE43:FA43)=1,1,0))))</f>
        <v>0</v>
      </c>
      <c r="FC43" s="8">
        <f>IF(FC$30-Voorblad!$F$37&gt;Voorblad!$K$37,0,IF($U43=0,0,IF($U43&lt;1,1/$U43,IF((FC$30-Voorblad!$F$37)/$U43-SUM($EE43:FB43)=1,1,0))))</f>
        <v>0</v>
      </c>
      <c r="FD43" s="8">
        <f>IF(FD$30-Voorblad!$F$37&gt;Voorblad!$K$37,0,IF($U43=0,0,IF($U43&lt;1,1/$U43,IF((FD$30-Voorblad!$F$37)/$U43-SUM($EE43:FC43)=1,1,0))))</f>
        <v>0</v>
      </c>
      <c r="FE43" s="8">
        <f>IF(FE$30-Voorblad!$F$37&gt;Voorblad!$K$37,0,IF($U43=0,0,IF($U43&lt;1,1/$U43,IF((FE$30-Voorblad!$F$37)/$U43-SUM($EE43:FD43)=1,1,0))))</f>
        <v>0</v>
      </c>
      <c r="FF43" s="8">
        <f>IF(FF$30-Voorblad!$F$37&gt;Voorblad!$K$37,0,IF($U43=0,0,IF($U43&lt;1,1/$U43,IF((FF$30-Voorblad!$F$37)/$U43-SUM($EE43:FE43)=1,1,0))))</f>
        <v>0</v>
      </c>
      <c r="FG43" s="8">
        <f>IF(FG$30-Voorblad!$F$37&gt;Voorblad!$K$37,0,IF($U43=0,0,IF($U43&lt;1,1/$U43,IF((FG$30-Voorblad!$F$37)/$U43-SUM($EE43:FF43)=1,1,0))))</f>
        <v>0</v>
      </c>
      <c r="FH43" s="8">
        <f>IF(FH$30-Voorblad!$F$37&gt;Voorblad!$K$37,0,IF($U43=0,0,IF($U43&lt;1,1/$U43,IF((FH$30-Voorblad!$F$37)/$U43-SUM($EE43:FG43)=1,1,0))))</f>
        <v>0</v>
      </c>
      <c r="FI43" s="8">
        <f>IF(FI$30-Voorblad!$F$37&gt;Voorblad!$K$37,0,IF($U43=0,0,IF($U43&lt;1,1/$U43,IF((FI$30-Voorblad!$F$37)/$U43-SUM($EE43:FH43)=1,1,0))))</f>
        <v>0</v>
      </c>
      <c r="FJ43" s="8">
        <f>IF(FJ$30-Voorblad!$F$37&gt;Voorblad!$K$37,0,IF($U43=0,0,IF($U43&lt;1,1/$U43,IF((FJ$30-Voorblad!$F$37)/$U43-SUM($EE43:FI43)=1,1,0))))</f>
        <v>0</v>
      </c>
      <c r="FK43" s="8">
        <f>IF(FK$30-Voorblad!$F$37&gt;Voorblad!$K$37,0,IF($U43=0,0,IF($U43&lt;1,1/$U43,IF((FK$30-Voorblad!$F$37)/$U43-SUM($EE43:FJ43)=1,1,0))))</f>
        <v>0</v>
      </c>
      <c r="FL43" s="8">
        <f>IF(FL$30-Voorblad!$F$37&gt;Voorblad!$K$37,0,IF($U43=0,0,IF($U43&lt;1,1/$U43,IF((FL$30-Voorblad!$F$37)/$U43-SUM($EE43:FK43)=1,1,0))))</f>
        <v>0</v>
      </c>
      <c r="FM43" s="8">
        <f>IF(FM$30-Voorblad!$F$37&gt;Voorblad!$K$37,0,IF($U43=0,0,IF($U43&lt;1,1/$U43,IF((FM$30-Voorblad!$F$37)/$U43-SUM($EE43:FL43)=1,1,0))))</f>
        <v>0</v>
      </c>
      <c r="FN43" s="8">
        <f>IF(FN$30-Voorblad!$F$37&gt;Voorblad!$K$37,0,IF($U43=0,0,IF($U43&lt;1,1/$U43,IF((FN$30-Voorblad!$F$37)/$U43-SUM($EE43:FM43)=1,1,0))))</f>
        <v>0</v>
      </c>
      <c r="FO43" s="8">
        <f>IF(FO$30-Voorblad!$F$37&gt;Voorblad!$K$37,0,IF($U43=0,0,IF($U43&lt;1,1/$U43,IF((FO$30-Voorblad!$F$37)/$U43-SUM($EE43:FN43)=1,1,0))))</f>
        <v>0</v>
      </c>
      <c r="FP43" s="8">
        <f>IF(FP$30-Voorblad!$F$37&gt;Voorblad!$K$37,0,IF($U43=0,0,IF($U43&lt;1,1/$U43,IF((FP$30-Voorblad!$F$37)/$U43-SUM($EE43:FO43)=1,1,0))))</f>
        <v>0</v>
      </c>
      <c r="FQ43" s="8">
        <f>IF(FQ$30-Voorblad!$F$37&gt;Voorblad!$K$37,0,IF($U43=0,0,IF($U43&lt;1,1/$U43,IF((FQ$30-Voorblad!$F$37)/$U43-SUM($EE43:FP43)=1,1,0))))</f>
        <v>0</v>
      </c>
      <c r="FR43" s="8">
        <f>IF(FR$30-Voorblad!$F$37&gt;Voorblad!$K$37,0,IF($U43=0,0,IF($U43&lt;1,1/$U43,IF((FR$30-Voorblad!$F$37)/$U43-SUM($EE43:FQ43)=1,1,0))))</f>
        <v>0</v>
      </c>
      <c r="FS43" s="8">
        <f>IF(FS$30-Voorblad!$F$37&gt;Voorblad!$K$37,0,IF($U43=0,0,IF($U43&lt;1,1/$U43,IF((FS$30-Voorblad!$F$37)/$U43-SUM($EE43:FR43)=1,1,0))))</f>
        <v>0</v>
      </c>
      <c r="FT43" s="8">
        <f>IF(FT$30-Voorblad!$F$37&gt;Voorblad!$K$37,0,IF($U43=0,0,IF($U43&lt;1,1/$U43,IF((FT$30-Voorblad!$F$37)/$U43-SUM($EE43:FS43)=1,1,0))))</f>
        <v>0</v>
      </c>
      <c r="FU43" s="8">
        <f>IF(FU$30-Voorblad!$F$37&gt;Voorblad!$K$37,0,IF($U43=0,0,IF($U43&lt;1,1/$U43,IF((FU$30-Voorblad!$F$37)/$U43-SUM($EE43:FT43)=1,1,0))))</f>
        <v>0</v>
      </c>
      <c r="FV43" s="8">
        <f>IF(FV$30-Voorblad!$F$37&gt;Voorblad!$K$37,0,IF($U43=0,0,IF($U43&lt;1,1/$U43,IF((FV$30-Voorblad!$F$37)/$U43-SUM($EE43:FU43)=1,1,0))))</f>
        <v>0</v>
      </c>
      <c r="FW43" s="8">
        <f>IF(FW$30-Voorblad!$F$37&gt;Voorblad!$K$37,0,IF($U43=0,0,IF($U43&lt;1,1/$U43,IF((FW$30-Voorblad!$F$37)/$U43-SUM($EE43:FV43)=1,1,0))))</f>
        <v>0</v>
      </c>
      <c r="FX43" s="8">
        <f>IF(FX$30-Voorblad!$F$37&gt;Voorblad!$K$37,0,IF($U43=0,0,IF($U43&lt;1,1/$U43,IF((FX$30-Voorblad!$F$37)/$U43-SUM($EE43:FW43)=1,1,0))))</f>
        <v>0</v>
      </c>
      <c r="FY43" s="8">
        <f>IF(FY$30-Voorblad!$F$37&gt;Voorblad!$K$37,0,IF($U43=0,0,IF($U43&lt;1,1/$U43,IF((FY$30-Voorblad!$F$37)/$U43-SUM($EE43:FX43)=1,1,0))))</f>
        <v>0</v>
      </c>
      <c r="FZ43" s="8">
        <f>IF(FZ$30-Voorblad!$F$37&gt;Voorblad!$K$37,0,IF($U43=0,0,IF($U43&lt;1,1/$U43,IF((FZ$30-Voorblad!$F$37)/$U43-SUM($EE43:FY43)=1,1,0))))</f>
        <v>0</v>
      </c>
      <c r="GA43" s="8">
        <f>IF(GA$30-Voorblad!$F$37&gt;Voorblad!$K$37,0,IF($U43=0,0,IF($U43&lt;1,1/$U43,IF((GA$30-Voorblad!$F$37)/$U43-SUM($EE43:FZ43)=1,1,0))))</f>
        <v>0</v>
      </c>
      <c r="GB43" s="8">
        <f>IF(GB$30-Voorblad!$F$37&gt;Voorblad!$K$37,0,IF($U43=0,0,IF($U43&lt;1,1/$U43,IF((GB$30-Voorblad!$F$37)/$U43-SUM($EE43:GA43)=1,1,0))))</f>
        <v>0</v>
      </c>
      <c r="GC43" s="8">
        <f>IF(GC$30-Voorblad!$F$37&gt;Voorblad!$K$37,0,IF($U43=0,0,IF($U43&lt;1,1/$U43,IF((GC$30-Voorblad!$F$37)/$U43-SUM($EE43:GB43)=1,1,0))))</f>
        <v>0</v>
      </c>
      <c r="GD43" s="8">
        <f>IF(GD$30-Voorblad!$F$37&gt;Voorblad!$K$37,0,IF($U43=0,0,IF($U43&lt;1,1/$U43,IF((GD$30-Voorblad!$F$37)/$U43-SUM($EE43:GC43)=1,1,0))))</f>
        <v>0</v>
      </c>
      <c r="GE43" s="8">
        <f>IF(GE$30-Voorblad!$F$37&gt;Voorblad!$K$37,0,IF($U43=0,0,IF($U43&lt;1,1/$U43,IF((GE$30-Voorblad!$F$37)/$U43-SUM($EE43:GD43)=1,1,0))))</f>
        <v>0</v>
      </c>
      <c r="GF43" s="8">
        <f>IF(GF$30-Voorblad!$F$37&gt;Voorblad!$K$37,0,IF($U43=0,0,IF($U43&lt;1,1/$U43,IF((GF$30-Voorblad!$F$37)/$U43-SUM($EE43:GE43)=1,1,0))))</f>
        <v>0</v>
      </c>
      <c r="GG43" s="8">
        <f>IF(GG$30-Voorblad!$F$37&gt;Voorblad!$K$37,0,IF($U43=0,0,IF($U43&lt;1,1/$U43,IF((GG$30-Voorblad!$F$37)/$U43-SUM($EE43:GF43)=1,1,0))))</f>
        <v>0</v>
      </c>
      <c r="GH43" s="8">
        <f>IF(GH$30-Voorblad!$F$37&gt;Voorblad!$K$37,0,IF($U43=0,0,IF($U43&lt;1,1/$U43,IF((GH$30-Voorblad!$F$37)/$U43-SUM($EE43:GG43)=1,1,0))))</f>
        <v>0</v>
      </c>
      <c r="GI43" s="8">
        <f>IF(GI$30-Voorblad!$F$37&gt;Voorblad!$K$37,0,IF($U43=0,0,IF($U43&lt;1,1/$U43,IF((GI$30-Voorblad!$F$37)/$U43-SUM($EE43:GH43)=1,1,0))))</f>
        <v>0</v>
      </c>
      <c r="GJ43" s="8">
        <f>IF(GJ$30-Voorblad!$F$37&gt;Voorblad!$K$37,0,IF($U43=0,0,IF($U43&lt;1,1/$U43,IF((GJ$30-Voorblad!$F$37)/$U43-SUM($EE43:GI43)=1,1,0))))</f>
        <v>0</v>
      </c>
      <c r="GK43" s="8">
        <f>IF(GK$30-Voorblad!$F$37&gt;Voorblad!$K$37,0,IF($U43=0,0,IF($U43&lt;1,1/$U43,IF((GK$30-Voorblad!$F$37)/$U43-SUM($EE43:GJ43)=1,1,0))))</f>
        <v>0</v>
      </c>
      <c r="GL43" s="8">
        <f>IF(GL$30-Voorblad!$F$37&gt;Voorblad!$K$37,0,IF($U43=0,0,IF($U43&lt;1,1/$U43,IF((GL$30-Voorblad!$F$37)/$U43-SUM($EE43:GK43)=1,1,0))))</f>
        <v>0</v>
      </c>
      <c r="GM43" s="8">
        <f>IF(GM$30-Voorblad!$F$37&gt;Voorblad!$K$37,0,IF($U43=0,0,IF($U43&lt;1,1/$U43,IF((GM$30-Voorblad!$F$37)/$U43-SUM($EE43:GL43)=1,1,0))))</f>
        <v>0</v>
      </c>
      <c r="GN43" s="8">
        <f>IF(GN$30-Voorblad!$F$37&gt;Voorblad!$K$37,0,IF($U43=0,0,IF($U43&lt;1,1/$U43,IF((GN$30-Voorblad!$F$37)/$U43-SUM($EE43:GM43)=1,1,0))))</f>
        <v>0</v>
      </c>
      <c r="GO43" s="8">
        <f>IF(GO$30-Voorblad!$F$37&gt;Voorblad!$K$37,0,IF($U43=0,0,IF($U43&lt;1,1/$U43,IF((GO$30-Voorblad!$F$37)/$U43-SUM($EE43:GN43)=1,1,0))))</f>
        <v>0</v>
      </c>
      <c r="GP43" s="8">
        <f>IF(GP$30-Voorblad!$F$37&gt;Voorblad!$K$37,0,IF($U43=0,0,IF($U43&lt;1,1/$U43,IF((GP$30-Voorblad!$F$37)/$U43-SUM($EE43:GO43)=1,1,0))))</f>
        <v>0</v>
      </c>
      <c r="GQ43" s="8">
        <f>IF(GQ$30-Voorblad!$F$37&gt;Voorblad!$K$37,0,IF($U43=0,0,IF($U43&lt;1,1/$U43,IF((GQ$30-Voorblad!$F$37)/$U43-SUM($EE43:GP43)=1,1,0))))</f>
        <v>0</v>
      </c>
      <c r="GR43" s="8">
        <f>IF(GR$30-Voorblad!$F$37&gt;Voorblad!$K$37,0,IF($U43=0,0,IF($U43&lt;1,1/$U43,IF((GR$30-Voorblad!$F$37)/$U43-SUM($EE43:GQ43)=1,1,0))))</f>
        <v>0</v>
      </c>
      <c r="GS43" s="8">
        <f>IF(GS$30-Voorblad!$F$37&gt;Voorblad!$K$37,0,IF($U43=0,0,IF($U43&lt;1,1/$U43,IF((GS$30-Voorblad!$F$37)/$U43-SUM($EE43:GR43)=1,1,0))))</f>
        <v>0</v>
      </c>
      <c r="GT43" s="8">
        <f>IF(GT$30-Voorblad!$F$37&gt;Voorblad!$K$37,0,IF($U43=0,0,IF($U43&lt;1,1/$U43,IF((GT$30-Voorblad!$F$37)/$U43-SUM($EE43:GS43)=1,1,0))))</f>
        <v>0</v>
      </c>
      <c r="GU43" s="8">
        <f>IF(GU$30-Voorblad!$F$37&gt;Voorblad!$K$37,0,IF($U43=0,0,IF($U43&lt;1,1/$U43,IF((GU$30-Voorblad!$F$37)/$U43-SUM($EE43:GT43)=1,1,0))))</f>
        <v>0</v>
      </c>
      <c r="GV43" s="8">
        <f>IF(GV$30-Voorblad!$F$37&gt;Voorblad!$K$37,0,IF($U43=0,0,IF($U43&lt;1,1/$U43,IF((GV$30-Voorblad!$F$37)/$U43-SUM($EE43:GU43)=1,1,0))))</f>
        <v>0</v>
      </c>
      <c r="GW43" s="8">
        <f>IF(GW$30-Voorblad!$F$37&gt;Voorblad!$K$37,0,IF($U43=0,0,IF($U43&lt;1,1/$U43,IF((GW$30-Voorblad!$F$37)/$U43-SUM($EE43:GV43)=1,1,0))))</f>
        <v>0</v>
      </c>
      <c r="GX43" s="8">
        <f>IF(GX$30-Voorblad!$F$37&gt;Voorblad!$K$37,0,IF($U43=0,0,IF($U43&lt;1,1/$U43,IF((GX$30-Voorblad!$F$37)/$U43-SUM($EE43:GW43)=1,1,0))))</f>
        <v>0</v>
      </c>
      <c r="GY43" s="8">
        <f>IF(GY$30-Voorblad!$F$37&gt;Voorblad!$K$37,0,IF($U43=0,0,IF($U43&lt;1,1/$U43,IF((GY$30-Voorblad!$F$37)/$U43-SUM($EE43:GX43)=1,1,0))))</f>
        <v>0</v>
      </c>
      <c r="GZ43" s="8">
        <f>IF(GZ$30-Voorblad!$F$37&gt;Voorblad!$K$37,0,IF($U43=0,0,IF($U43&lt;1,1/$U43,IF((GZ$30-Voorblad!$F$37)/$U43-SUM($EE43:GY43)=1,1,0))))</f>
        <v>0</v>
      </c>
      <c r="HA43" s="8">
        <f>IF(HA$30-Voorblad!$F$37&gt;Voorblad!$K$37,0,IF($U43=0,0,IF($U43&lt;1,1/$U43,IF((HA$30-Voorblad!$F$37)/$U43-SUM($EE43:GZ43)=1,1,0))))</f>
        <v>0</v>
      </c>
      <c r="HB43" s="8">
        <f>IF(HB$30-Voorblad!$F$37&gt;Voorblad!$K$37,0,IF($U43=0,0,IF($U43&lt;1,1/$U43,IF((HB$30-Voorblad!$F$37)/$U43-SUM($EE43:HA43)=1,1,0))))</f>
        <v>0</v>
      </c>
      <c r="HC43" s="8">
        <f>IF(HC$30-Voorblad!$F$37&gt;Voorblad!$K$37,0,IF($U43=0,0,IF($U43&lt;1,1/$U43,IF((HC$30-Voorblad!$F$37)/$U43-SUM($EE43:HB43)=1,1,0))))</f>
        <v>0</v>
      </c>
      <c r="HD43" s="8">
        <f>IF(HD$30-Voorblad!$F$37&gt;Voorblad!$K$37,0,IF($U43=0,0,IF($U43&lt;1,1/$U43,IF((HD$30-Voorblad!$F$37)/$U43-SUM($EE43:HC43)=1,1,0))))</f>
        <v>0</v>
      </c>
      <c r="HE43" s="8">
        <f>IF(HE$30-Voorblad!$F$37&gt;Voorblad!$K$37,0,IF($U43=0,0,IF($U43&lt;1,1/$U43,IF((HE$30-Voorblad!$F$37)/$U43-SUM($EE43:HD43)=1,1,0))))</f>
        <v>0</v>
      </c>
      <c r="HF43" s="8">
        <f>IF(HF$30-Voorblad!$F$37&gt;Voorblad!$K$37,0,IF($U43=0,0,IF($U43&lt;1,1/$U43,IF((HF$30-Voorblad!$F$37)/$U43-SUM($EE43:HE43)=1,1,0))))</f>
        <v>0</v>
      </c>
      <c r="HG43" s="8">
        <f>IF(HG$30-Voorblad!$F$37&gt;Voorblad!$K$37,0,IF($U43=0,0,IF($U43&lt;1,1/$U43,IF((HG$30-Voorblad!$F$37)/$U43-SUM($EE43:HF43)=1,1,0))))</f>
        <v>0</v>
      </c>
      <c r="HH43" s="8">
        <f>IF(HH$30-Voorblad!$F$37&gt;Voorblad!$K$37,0,IF($U43=0,0,IF($U43&lt;1,1/$U43,IF((HH$30-Voorblad!$F$37)/$U43-SUM($EE43:HG43)=1,1,0))))</f>
        <v>0</v>
      </c>
      <c r="HI43" s="8">
        <f>IF(HI$30-Voorblad!$F$37&gt;Voorblad!$K$37,0,IF($U43=0,0,IF($U43&lt;1,1/$U43,IF((HI$30-Voorblad!$F$37)/$U43-SUM($EE43:HH43)=1,1,0))))</f>
        <v>0</v>
      </c>
      <c r="HJ43" s="8">
        <f>IF(HJ$30-Voorblad!$F$37&gt;Voorblad!$K$37,0,IF($U43=0,0,IF($U43&lt;1,1/$U43,IF((HJ$30-Voorblad!$F$37)/$U43-SUM($EE43:HI43)=1,1,0))))</f>
        <v>0</v>
      </c>
      <c r="HK43" s="8">
        <f>IF(HK$30-Voorblad!$F$37&gt;Voorblad!$K$37,0,IF($U43=0,0,IF($U43&lt;1,1/$U43,IF((HK$30-Voorblad!$F$37)/$U43-SUM($EE43:HJ43)=1,1,0))))</f>
        <v>0</v>
      </c>
      <c r="HL43" s="8">
        <f>IF(HL$30-Voorblad!$F$37&gt;Voorblad!$K$37,0,IF($U43=0,0,IF($U43&lt;1,1/$U43,IF((HL$30-Voorblad!$F$37)/$U43-SUM($EE43:HK43)=1,1,0))))</f>
        <v>0</v>
      </c>
      <c r="HM43" s="8">
        <f>IF(HM$30-Voorblad!$F$37&gt;Voorblad!$K$37,0,IF($U43=0,0,IF($U43&lt;1,1/$U43,IF((HM$30-Voorblad!$F$37)/$U43-SUM($EE43:HL43)=1,1,0))))</f>
        <v>0</v>
      </c>
      <c r="HN43" s="8">
        <f>IF(HN$30-Voorblad!$F$37&gt;Voorblad!$K$37,0,IF($U43=0,0,IF($U43&lt;1,1/$U43,IF((HN$30-Voorblad!$F$37)/$U43-SUM($EE43:HM43)=1,1,0))))</f>
        <v>0</v>
      </c>
      <c r="HO43" s="8">
        <f>IF(HO$30-Voorblad!$F$37&gt;Voorblad!$K$37,0,IF($U43=0,0,IF($U43&lt;1,1/$U43,IF((HO$30-Voorblad!$F$37)/$U43-SUM($EE43:HN43)=1,1,0))))</f>
        <v>0</v>
      </c>
      <c r="HP43" s="8">
        <f>IF(HP$30-Voorblad!$F$37&gt;Voorblad!$K$37,0,IF($U43=0,0,IF($U43&lt;1,1/$U43,IF((HP$30-Voorblad!$F$37)/$U43-SUM($EE43:HO43)=1,1,0))))</f>
        <v>0</v>
      </c>
      <c r="HQ43" s="8">
        <f>IF(HQ$30-Voorblad!$F$37&gt;Voorblad!$K$37,0,IF($U43=0,0,IF($U43&lt;1,1/$U43,IF((HQ$30-Voorblad!$F$37)/$U43-SUM($EE43:HP43)=1,1,0))))</f>
        <v>0</v>
      </c>
      <c r="HR43" s="8">
        <f>IF(HR$30-Voorblad!$F$37&gt;Voorblad!$K$37,0,IF($U43=0,0,IF($U43&lt;1,1/$U43,IF((HR$30-Voorblad!$F$37)/$U43-SUM($EE43:HQ43)=1,1,0))))</f>
        <v>0</v>
      </c>
      <c r="HS43" s="8">
        <f>IF(HS$30-Voorblad!$F$37&gt;Voorblad!$K$37,0,IF($U43=0,0,IF($U43&lt;1,1/$U43,IF((HS$30-Voorblad!$F$37)/$U43-SUM($EE43:HR43)=1,1,0))))</f>
        <v>0</v>
      </c>
      <c r="HT43" s="8">
        <f>IF(HT$30-Voorblad!$F$37&gt;Voorblad!$K$37,0,IF($U43=0,0,IF($U43&lt;1,1/$U43,IF((HT$30-Voorblad!$F$37)/$U43-SUM($EE43:HS43)=1,1,0))))</f>
        <v>0</v>
      </c>
      <c r="HU43" s="8">
        <f>IF(HU$30-Voorblad!$F$37&gt;Voorblad!$K$37,0,IF($U43=0,0,IF($U43&lt;1,1/$U43,IF((HU$30-Voorblad!$F$37)/$U43-SUM($EE43:HT43)=1,1,0))))</f>
        <v>0</v>
      </c>
      <c r="HV43" s="8">
        <f>IF(HV$30-Voorblad!$F$37&gt;Voorblad!$K$37,0,IF($U43=0,0,IF($U43&lt;1,1/$U43,IF((HV$30-Voorblad!$F$37)/$U43-SUM($EE43:HU43)=1,1,0))))</f>
        <v>0</v>
      </c>
      <c r="HW43" s="8">
        <f>IF(HW$30-Voorblad!$F$37&gt;Voorblad!$K$37,0,IF($U43=0,0,IF($U43&lt;1,1/$U43,IF((HW$30-Voorblad!$F$37)/$U43-SUM($EE43:HV43)=1,1,0))))</f>
        <v>0</v>
      </c>
      <c r="HX43" s="8">
        <f>IF(HX$30-Voorblad!$F$37&gt;Voorblad!$K$37,0,IF($U43=0,0,IF($U43&lt;1,1/$U43,IF((HX$30-Voorblad!$F$37)/$U43-SUM($EE43:HW43)=1,1,0))))</f>
        <v>0</v>
      </c>
      <c r="HY43" s="8">
        <f>IF(HY$30-Voorblad!$F$37&gt;Voorblad!$K$37,0,IF($U43=0,0,IF($U43&lt;1,1/$U43,IF((HY$30-Voorblad!$F$37)/$U43-SUM($EE43:HX43)=1,1,0))))</f>
        <v>0</v>
      </c>
      <c r="HZ43" s="8">
        <f>IF(HZ$30-Voorblad!$F$37&gt;Voorblad!$K$37,0,IF($U43=0,0,IF($U43&lt;1,1/$U43,IF((HZ$30-Voorblad!$F$37)/$U43-SUM($EE43:HY43)=1,1,0))))</f>
        <v>0</v>
      </c>
      <c r="IA43" s="8">
        <f>IF(IA$30-Voorblad!$F$37&gt;Voorblad!$K$37,0,IF($U43=0,0,IF($U43&lt;1,1/$U43,IF((IA$30-Voorblad!$F$37)/$U43-SUM($EE43:HZ43)=1,1,0))))</f>
        <v>0</v>
      </c>
      <c r="IB43" s="8">
        <f>IF(IB$30-Voorblad!$F$37&gt;Voorblad!$K$37,0,IF($U43=0,0,IF($U43&lt;1,1/$U43,IF((IB$30-Voorblad!$F$37)/$U43-SUM($EE43:IA43)=1,1,0))))</f>
        <v>0</v>
      </c>
    </row>
    <row r="44" spans="2:236" ht="12" customHeight="1" x14ac:dyDescent="0.25">
      <c r="B44" s="76"/>
      <c r="C44" s="76"/>
      <c r="D44" s="76">
        <v>7</v>
      </c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7"/>
      <c r="P44" s="77"/>
      <c r="Q44" s="81">
        <v>1</v>
      </c>
      <c r="R44" s="81" t="s">
        <v>33</v>
      </c>
      <c r="S44" s="81"/>
      <c r="T44" s="9">
        <f t="shared" si="4"/>
        <v>0</v>
      </c>
      <c r="U44" s="11">
        <v>1</v>
      </c>
      <c r="V44" s="14"/>
      <c r="W44" s="9">
        <f>Voorblad!K57</f>
        <v>0</v>
      </c>
      <c r="Y44" s="9">
        <f>SUM(AE44:EB44)</f>
        <v>0</v>
      </c>
      <c r="Z44" s="82"/>
      <c r="AA44" s="82"/>
      <c r="AC44" s="9">
        <f>$Y44*(Voorblad!$K$44*(1+Voorblad!$K$44)^Voorblad!$K$37)/((1+Voorblad!$K$44)^Voorblad!$K$37-1)</f>
        <v>0</v>
      </c>
      <c r="AE44" s="9">
        <f>IF($W44=AE$30,EF44*($Q44*$S44)/(1+Voorblad!$K$44)^(AE$30-Voorblad!$F$37),0)</f>
        <v>0</v>
      </c>
      <c r="AF44" s="9">
        <f>IF($W44=AF$30,EG44*($Q44*$S44)/(1+Voorblad!$K$44)^(AF$30-Voorblad!$F$37),0)</f>
        <v>0</v>
      </c>
      <c r="AG44" s="9">
        <f>IF($W44=AG$30,EH44*($Q44*$S44)/(1+Voorblad!$K$44)^(AG$30-Voorblad!$F$37),0)</f>
        <v>0</v>
      </c>
      <c r="AH44" s="9">
        <f>IF($W44=AH$30,EI44*($Q44*$S44)/(1+Voorblad!$K$44)^(AH$30-Voorblad!$F$37),0)</f>
        <v>0</v>
      </c>
      <c r="AI44" s="9">
        <f>IF($W44=AI$30,EJ44*($Q44*$S44)/(1+Voorblad!$K$44)^(AI$30-Voorblad!$F$37),0)</f>
        <v>0</v>
      </c>
      <c r="AJ44" s="9">
        <f>IF($W44=AJ$30,EK44*($Q44*$S44)/(1+Voorblad!$K$44)^(AJ$30-Voorblad!$F$37),0)</f>
        <v>0</v>
      </c>
      <c r="AK44" s="9">
        <f>IF($W44=AK$30,EL44*($Q44*$S44)/(1+Voorblad!$K$44)^(AK$30-Voorblad!$F$37),0)</f>
        <v>0</v>
      </c>
      <c r="AL44" s="9">
        <f>IF($W44=AL$30,EM44*($Q44*$S44)/(1+Voorblad!$K$44)^(AL$30-Voorblad!$F$37),0)</f>
        <v>0</v>
      </c>
      <c r="AM44" s="9">
        <f>IF($W44=AM$30,EN44*($Q44*$S44)/(1+Voorblad!$K$44)^(AM$30-Voorblad!$F$37),0)</f>
        <v>0</v>
      </c>
      <c r="AN44" s="9">
        <f>IF($W44=AN$30,EO44*($Q44*$S44)/(1+Voorblad!$K$44)^(AN$30-Voorblad!$F$37),0)</f>
        <v>0</v>
      </c>
      <c r="AO44" s="9">
        <f>IF($W44=AO$30,EP44*($Q44*$S44)/(1+Voorblad!$K$44)^(AO$30-Voorblad!$F$37),0)</f>
        <v>0</v>
      </c>
      <c r="AP44" s="9">
        <f>IF($W44=AP$30,EQ44*($Q44*$S44)/(1+Voorblad!$K$44)^(AP$30-Voorblad!$F$37),0)</f>
        <v>0</v>
      </c>
      <c r="AQ44" s="9">
        <f>IF($W44=AQ$30,ER44*($Q44*$S44)/(1+Voorblad!$K$44)^(AQ$30-Voorblad!$F$37),0)</f>
        <v>0</v>
      </c>
      <c r="AR44" s="9">
        <f>IF($W44=AR$30,ES44*($Q44*$S44)/(1+Voorblad!$K$44)^(AR$30-Voorblad!$F$37),0)</f>
        <v>0</v>
      </c>
      <c r="AS44" s="9">
        <f>IF($W44=AS$30,ET44*($Q44*$S44)/(1+Voorblad!$K$44)^(AS$30-Voorblad!$F$37),0)</f>
        <v>0</v>
      </c>
      <c r="AT44" s="9">
        <f>IF($W44=AT$30,EU44*($Q44*$S44)/(1+Voorblad!$K$44)^(AT$30-Voorblad!$F$37),0)</f>
        <v>0</v>
      </c>
      <c r="AU44" s="9">
        <f>IF($W44=AU$30,EV44*($Q44*$S44)/(1+Voorblad!$K$44)^(AU$30-Voorblad!$F$37),0)</f>
        <v>0</v>
      </c>
      <c r="AV44" s="9">
        <f>IF($W44=AV$30,EW44*($Q44*$S44)/(1+Voorblad!$K$44)^(AV$30-Voorblad!$F$37),0)</f>
        <v>0</v>
      </c>
      <c r="AW44" s="9">
        <f>IF($W44=AW$30,EX44*($Q44*$S44)/(1+Voorblad!$K$44)^(AW$30-Voorblad!$F$37),0)</f>
        <v>0</v>
      </c>
      <c r="AX44" s="9">
        <f>IF($W44=AX$30,EY44*($Q44*$S44)/(1+Voorblad!$K$44)^(AX$30-Voorblad!$F$37),0)</f>
        <v>0</v>
      </c>
      <c r="AY44" s="9">
        <f>IF($W44=AY$30,EZ44*($Q44*$S44)/(1+Voorblad!$K$44)^(AY$30-Voorblad!$F$37),0)</f>
        <v>0</v>
      </c>
      <c r="AZ44" s="9">
        <f>IF($W44=AZ$30,FA44*($Q44*$S44)/(1+Voorblad!$K$44)^(AZ$30-Voorblad!$F$37),0)</f>
        <v>0</v>
      </c>
      <c r="BA44" s="9">
        <f>IF($W44=BA$30,FB44*($Q44*$S44)/(1+Voorblad!$K$44)^(BA$30-Voorblad!$F$37),0)</f>
        <v>0</v>
      </c>
      <c r="BB44" s="9">
        <f>IF($W44=BB$30,FC44*($Q44*$S44)/(1+Voorblad!$K$44)^(BB$30-Voorblad!$F$37),0)</f>
        <v>0</v>
      </c>
      <c r="BC44" s="9">
        <f>IF($W44=BC$30,FD44*($Q44*$S44)/(1+Voorblad!$K$44)^(BC$30-Voorblad!$F$37),0)</f>
        <v>0</v>
      </c>
      <c r="BD44" s="9">
        <f>IF($W44=BD$30,FE44*($Q44*$S44)/(1+Voorblad!$K$44)^(BD$30-Voorblad!$F$37),0)</f>
        <v>0</v>
      </c>
      <c r="BE44" s="9">
        <f>IF($W44=BE$30,FF44*($Q44*$S44)/(1+Voorblad!$K$44)^(BE$30-Voorblad!$F$37),0)</f>
        <v>0</v>
      </c>
      <c r="BF44" s="9">
        <f>IF($W44=BF$30,FG44*($Q44*$S44)/(1+Voorblad!$K$44)^(BF$30-Voorblad!$F$37),0)</f>
        <v>0</v>
      </c>
      <c r="BG44" s="9">
        <f>IF($W44=BG$30,FH44*($Q44*$S44)/(1+Voorblad!$K$44)^(BG$30-Voorblad!$F$37),0)</f>
        <v>0</v>
      </c>
      <c r="BH44" s="9">
        <f>IF($W44=BH$30,FI44*($Q44*$S44)/(1+Voorblad!$K$44)^(BH$30-Voorblad!$F$37),0)</f>
        <v>0</v>
      </c>
      <c r="BI44" s="9">
        <f>IF($W44=BI$30,FJ44*($Q44*$S44)/(1+Voorblad!$K$44)^(BI$30-Voorblad!$F$37),0)</f>
        <v>0</v>
      </c>
      <c r="BJ44" s="9">
        <f>IF($W44=BJ$30,FK44*($Q44*$S44)/(1+Voorblad!$K$44)^(BJ$30-Voorblad!$F$37),0)</f>
        <v>0</v>
      </c>
      <c r="BK44" s="9">
        <f>IF($W44=BK$30,FL44*($Q44*$S44)/(1+Voorblad!$K$44)^(BK$30-Voorblad!$F$37),0)</f>
        <v>0</v>
      </c>
      <c r="BL44" s="9">
        <f>IF($W44=BL$30,FM44*($Q44*$S44)/(1+Voorblad!$K$44)^(BL$30-Voorblad!$F$37),0)</f>
        <v>0</v>
      </c>
      <c r="BM44" s="9">
        <f>IF($W44=BM$30,FN44*($Q44*$S44)/(1+Voorblad!$K$44)^(BM$30-Voorblad!$F$37),0)</f>
        <v>0</v>
      </c>
      <c r="BN44" s="9">
        <f>IF($W44=BN$30,FO44*($Q44*$S44)/(1+Voorblad!$K$44)^(BN$30-Voorblad!$F$37),0)</f>
        <v>0</v>
      </c>
      <c r="BO44" s="9">
        <f>IF($W44=BO$30,FP44*($Q44*$S44)/(1+Voorblad!$K$44)^(BO$30-Voorblad!$F$37),0)</f>
        <v>0</v>
      </c>
      <c r="BP44" s="9">
        <f>IF($W44=BP$30,FQ44*($Q44*$S44)/(1+Voorblad!$K$44)^(BP$30-Voorblad!$F$37),0)</f>
        <v>0</v>
      </c>
      <c r="BQ44" s="9">
        <f>IF($W44=BQ$30,FR44*($Q44*$S44)/(1+Voorblad!$K$44)^(BQ$30-Voorblad!$F$37),0)</f>
        <v>0</v>
      </c>
      <c r="BR44" s="9">
        <f>IF($W44=BR$30,FS44*($Q44*$S44)/(1+Voorblad!$K$44)^(BR$30-Voorblad!$F$37),0)</f>
        <v>0</v>
      </c>
      <c r="BS44" s="9">
        <f>IF($W44=BS$30,FT44*($Q44*$S44)/(1+Voorblad!$K$44)^(BS$30-Voorblad!$F$37),0)</f>
        <v>0</v>
      </c>
      <c r="BT44" s="9">
        <f>IF($W44=BT$30,FU44*($Q44*$S44)/(1+Voorblad!$K$44)^(BT$30-Voorblad!$F$37),0)</f>
        <v>0</v>
      </c>
      <c r="BU44" s="9">
        <f>IF($W44=BU$30,FV44*($Q44*$S44)/(1+Voorblad!$K$44)^(BU$30-Voorblad!$F$37),0)</f>
        <v>0</v>
      </c>
      <c r="BV44" s="9">
        <f>IF($W44=BV$30,FW44*($Q44*$S44)/(1+Voorblad!$K$44)^(BV$30-Voorblad!$F$37),0)</f>
        <v>0</v>
      </c>
      <c r="BW44" s="9">
        <f>IF($W44=BW$30,FX44*($Q44*$S44)/(1+Voorblad!$K$44)^(BW$30-Voorblad!$F$37),0)</f>
        <v>0</v>
      </c>
      <c r="BX44" s="9">
        <f>IF($W44=BX$30,FY44*($Q44*$S44)/(1+Voorblad!$K$44)^(BX$30-Voorblad!$F$37),0)</f>
        <v>0</v>
      </c>
      <c r="BY44" s="9">
        <f>IF($W44=BY$30,FZ44*($Q44*$S44)/(1+Voorblad!$K$44)^(BY$30-Voorblad!$F$37),0)</f>
        <v>0</v>
      </c>
      <c r="BZ44" s="9">
        <f>IF($W44=BZ$30,GA44*($Q44*$S44)/(1+Voorblad!$K$44)^(BZ$30-Voorblad!$F$37),0)</f>
        <v>0</v>
      </c>
      <c r="CA44" s="9">
        <f>IF($W44=CA$30,GB44*($Q44*$S44)/(1+Voorblad!$K$44)^(CA$30-Voorblad!$F$37),0)</f>
        <v>0</v>
      </c>
      <c r="CB44" s="9">
        <f>IF($W44=CB$30,GC44*($Q44*$S44)/(1+Voorblad!$K$44)^(CB$30-Voorblad!$F$37),0)</f>
        <v>0</v>
      </c>
      <c r="CC44" s="9">
        <f>IF($W44=CC$30,GD44*($Q44*$S44)/(1+Voorblad!$K$44)^(CC$30-Voorblad!$F$37),0)</f>
        <v>0</v>
      </c>
      <c r="CD44" s="9">
        <f>IF($W44=CD$30,GE44*($Q44*$S44)/(1+Voorblad!$K$44)^(CD$30-Voorblad!$F$37),0)</f>
        <v>0</v>
      </c>
      <c r="CE44" s="9">
        <f>IF($W44=CE$30,GF44*($Q44*$S44)/(1+Voorblad!$K$44)^(CE$30-Voorblad!$F$37),0)</f>
        <v>0</v>
      </c>
      <c r="CF44" s="9">
        <f>IF($W44=CF$30,GG44*($Q44*$S44)/(1+Voorblad!$K$44)^(CF$30-Voorblad!$F$37),0)</f>
        <v>0</v>
      </c>
      <c r="CG44" s="9">
        <f>IF($W44=CG$30,GH44*($Q44*$S44)/(1+Voorblad!$K$44)^(CG$30-Voorblad!$F$37),0)</f>
        <v>0</v>
      </c>
      <c r="CH44" s="9">
        <f>IF($W44=CH$30,GI44*($Q44*$S44)/(1+Voorblad!$K$44)^(CH$30-Voorblad!$F$37),0)</f>
        <v>0</v>
      </c>
      <c r="CI44" s="9">
        <f>IF($W44=CI$30,GJ44*($Q44*$S44)/(1+Voorblad!$K$44)^(CI$30-Voorblad!$F$37),0)</f>
        <v>0</v>
      </c>
      <c r="CJ44" s="9">
        <f>IF($W44=CJ$30,GK44*($Q44*$S44)/(1+Voorblad!$K$44)^(CJ$30-Voorblad!$F$37),0)</f>
        <v>0</v>
      </c>
      <c r="CK44" s="9">
        <f>IF($W44=CK$30,GL44*($Q44*$S44)/(1+Voorblad!$K$44)^(CK$30-Voorblad!$F$37),0)</f>
        <v>0</v>
      </c>
      <c r="CL44" s="9">
        <f>IF($W44=CL$30,GM44*($Q44*$S44)/(1+Voorblad!$K$44)^(CL$30-Voorblad!$F$37),0)</f>
        <v>0</v>
      </c>
      <c r="CM44" s="9">
        <f>IF($W44=CM$30,GN44*($Q44*$S44)/(1+Voorblad!$K$44)^(CM$30-Voorblad!$F$37),0)</f>
        <v>0</v>
      </c>
      <c r="CN44" s="9">
        <f>IF($W44=CN$30,GO44*($Q44*$S44)/(1+Voorblad!$K$44)^(CN$30-Voorblad!$F$37),0)</f>
        <v>0</v>
      </c>
      <c r="CO44" s="9">
        <f>IF($W44=CO$30,GP44*($Q44*$S44)/(1+Voorblad!$K$44)^(CO$30-Voorblad!$F$37),0)</f>
        <v>0</v>
      </c>
      <c r="CP44" s="9">
        <f>IF($W44=CP$30,GQ44*($Q44*$S44)/(1+Voorblad!$K$44)^(CP$30-Voorblad!$F$37),0)</f>
        <v>0</v>
      </c>
      <c r="CQ44" s="9">
        <f>IF($W44=CQ$30,GR44*($Q44*$S44)/(1+Voorblad!$K$44)^(CQ$30-Voorblad!$F$37),0)</f>
        <v>0</v>
      </c>
      <c r="CR44" s="9">
        <f>IF($W44=CR$30,GS44*($Q44*$S44)/(1+Voorblad!$K$44)^(CR$30-Voorblad!$F$37),0)</f>
        <v>0</v>
      </c>
      <c r="CS44" s="9">
        <f>IF($W44=CS$30,GT44*($Q44*$S44)/(1+Voorblad!$K$44)^(CS$30-Voorblad!$F$37),0)</f>
        <v>0</v>
      </c>
      <c r="CT44" s="9">
        <f>IF($W44=CT$30,GU44*($Q44*$S44)/(1+Voorblad!$K$44)^(CT$30-Voorblad!$F$37),0)</f>
        <v>0</v>
      </c>
      <c r="CU44" s="9">
        <f>IF($W44=CU$30,GV44*($Q44*$S44)/(1+Voorblad!$K$44)^(CU$30-Voorblad!$F$37),0)</f>
        <v>0</v>
      </c>
      <c r="CV44" s="9">
        <f>IF($W44=CV$30,GW44*($Q44*$S44)/(1+Voorblad!$K$44)^(CV$30-Voorblad!$F$37),0)</f>
        <v>0</v>
      </c>
      <c r="CW44" s="9">
        <f>IF($W44=CW$30,GX44*($Q44*$S44)/(1+Voorblad!$K$44)^(CW$30-Voorblad!$F$37),0)</f>
        <v>0</v>
      </c>
      <c r="CX44" s="9">
        <f>IF($W44=CX$30,GY44*($Q44*$S44)/(1+Voorblad!$K$44)^(CX$30-Voorblad!$F$37),0)</f>
        <v>0</v>
      </c>
      <c r="CY44" s="9">
        <f>IF($W44=CY$30,GZ44*($Q44*$S44)/(1+Voorblad!$K$44)^(CY$30-Voorblad!$F$37),0)</f>
        <v>0</v>
      </c>
      <c r="CZ44" s="9">
        <f>IF($W44=CZ$30,HA44*($Q44*$S44)/(1+Voorblad!$K$44)^(CZ$30-Voorblad!$F$37),0)</f>
        <v>0</v>
      </c>
      <c r="DA44" s="9">
        <f>IF($W44=DA$30,HB44*($Q44*$S44)/(1+Voorblad!$K$44)^(DA$30-Voorblad!$F$37),0)</f>
        <v>0</v>
      </c>
      <c r="DB44" s="9">
        <f>IF($W44=DB$30,HC44*($Q44*$S44)/(1+Voorblad!$K$44)^(DB$30-Voorblad!$F$37),0)</f>
        <v>0</v>
      </c>
      <c r="DC44" s="9">
        <f>IF($W44=DC$30,HD44*($Q44*$S44)/(1+Voorblad!$K$44)^(DC$30-Voorblad!$F$37),0)</f>
        <v>0</v>
      </c>
      <c r="DD44" s="9">
        <f>IF($W44=DD$30,HE44*($Q44*$S44)/(1+Voorblad!$K$44)^(DD$30-Voorblad!$F$37),0)</f>
        <v>0</v>
      </c>
      <c r="DE44" s="9">
        <f>IF($W44=DE$30,HF44*($Q44*$S44)/(1+Voorblad!$K$44)^(DE$30-Voorblad!$F$37),0)</f>
        <v>0</v>
      </c>
      <c r="DF44" s="9">
        <f>IF($W44=DF$30,HG44*($Q44*$S44)/(1+Voorblad!$K$44)^(DF$30-Voorblad!$F$37),0)</f>
        <v>0</v>
      </c>
      <c r="DG44" s="9">
        <f>IF($W44=DG$30,HH44*($Q44*$S44)/(1+Voorblad!$K$44)^(DG$30-Voorblad!$F$37),0)</f>
        <v>0</v>
      </c>
      <c r="DH44" s="9">
        <f>IF($W44=DH$30,HI44*($Q44*$S44)/(1+Voorblad!$K$44)^(DH$30-Voorblad!$F$37),0)</f>
        <v>0</v>
      </c>
      <c r="DI44" s="9">
        <f>IF($W44=DI$30,HJ44*($Q44*$S44)/(1+Voorblad!$K$44)^(DI$30-Voorblad!$F$37),0)</f>
        <v>0</v>
      </c>
      <c r="DJ44" s="9">
        <f>IF($W44=DJ$30,HK44*($Q44*$S44)/(1+Voorblad!$K$44)^(DJ$30-Voorblad!$F$37),0)</f>
        <v>0</v>
      </c>
      <c r="DK44" s="9">
        <f>IF($W44=DK$30,HL44*($Q44*$S44)/(1+Voorblad!$K$44)^(DK$30-Voorblad!$F$37),0)</f>
        <v>0</v>
      </c>
      <c r="DL44" s="9">
        <f>IF($W44=DL$30,HM44*($Q44*$S44)/(1+Voorblad!$K$44)^(DL$30-Voorblad!$F$37),0)</f>
        <v>0</v>
      </c>
      <c r="DM44" s="9">
        <f>IF($W44=DM$30,HN44*($Q44*$S44)/(1+Voorblad!$K$44)^(DM$30-Voorblad!$F$37),0)</f>
        <v>0</v>
      </c>
      <c r="DN44" s="9">
        <f>IF($W44=DN$30,HO44*($Q44*$S44)/(1+Voorblad!$K$44)^(DN$30-Voorblad!$F$37),0)</f>
        <v>0</v>
      </c>
      <c r="DO44" s="9">
        <f>IF($W44=DO$30,HP44*($Q44*$S44)/(1+Voorblad!$K$44)^(DO$30-Voorblad!$F$37),0)</f>
        <v>0</v>
      </c>
      <c r="DP44" s="9">
        <f>IF($W44=DP$30,HQ44*($Q44*$S44)/(1+Voorblad!$K$44)^(DP$30-Voorblad!$F$37),0)</f>
        <v>0</v>
      </c>
      <c r="DQ44" s="9">
        <f>IF($W44=DQ$30,HR44*($Q44*$S44)/(1+Voorblad!$K$44)^(DQ$30-Voorblad!$F$37),0)</f>
        <v>0</v>
      </c>
      <c r="DR44" s="9">
        <f>IF($W44=DR$30,HS44*($Q44*$S44)/(1+Voorblad!$K$44)^(DR$30-Voorblad!$F$37),0)</f>
        <v>0</v>
      </c>
      <c r="DS44" s="9">
        <f>IF($W44=DS$30,HT44*($Q44*$S44)/(1+Voorblad!$K$44)^(DS$30-Voorblad!$F$37),0)</f>
        <v>0</v>
      </c>
      <c r="DT44" s="9">
        <f>IF($W44=DT$30,HU44*($Q44*$S44)/(1+Voorblad!$K$44)^(DT$30-Voorblad!$F$37),0)</f>
        <v>0</v>
      </c>
      <c r="DU44" s="9">
        <f>IF($W44=DU$30,HV44*($Q44*$S44)/(1+Voorblad!$K$44)^(DU$30-Voorblad!$F$37),0)</f>
        <v>0</v>
      </c>
      <c r="DV44" s="9">
        <f>IF($W44=DV$30,HW44*($Q44*$S44)/(1+Voorblad!$K$44)^(DV$30-Voorblad!$F$37),0)</f>
        <v>0</v>
      </c>
      <c r="DW44" s="9">
        <f>IF($W44=DW$30,HX44*($Q44*$S44)/(1+Voorblad!$K$44)^(DW$30-Voorblad!$F$37),0)</f>
        <v>0</v>
      </c>
      <c r="DX44" s="9">
        <f>IF($W44=DX$30,HY44*($Q44*$S44)/(1+Voorblad!$K$44)^(DX$30-Voorblad!$F$37),0)</f>
        <v>0</v>
      </c>
      <c r="DY44" s="9">
        <f>IF($W44=DY$30,HZ44*($Q44*$S44)/(1+Voorblad!$K$44)^(DY$30-Voorblad!$F$37),0)</f>
        <v>0</v>
      </c>
      <c r="DZ44" s="9">
        <f>IF($W44=DZ$30,IA44*($Q44*$S44)/(1+Voorblad!$K$44)^(DZ$30-Voorblad!$F$37),0)</f>
        <v>0</v>
      </c>
      <c r="EA44" s="9">
        <f>IF($W44=EA$30,IB44*($Q44*$S44)/(1+Voorblad!$K$44)^(EA$30-Voorblad!$F$37),0)</f>
        <v>0</v>
      </c>
      <c r="EB44" s="9">
        <f>IF($W44=EB$30,IC44*($Q44*$S44)/(1+Voorblad!$K$44)^(EB$30-Voorblad!$F$37),0)</f>
        <v>0</v>
      </c>
      <c r="EE44" s="8">
        <v>0</v>
      </c>
      <c r="EF44" s="8">
        <f>IF(EF$30-Voorblad!$F$37&gt;Voorblad!$K$37,0,IF($U44=0,0,IF($U44&lt;1,1/$U44,IF((EF$30-Voorblad!$F$37)/$U44-SUM($EE44:EE44)=1,1,0))))</f>
        <v>0</v>
      </c>
      <c r="EG44" s="8">
        <f>IF(EG$30-Voorblad!$F$37&gt;Voorblad!$K$37,0,IF($U44=0,0,IF($U44&lt;1,1/$U44,IF((EG$30-Voorblad!$F$37)/$U44-SUM($EE44:EF44)=1,1,0))))</f>
        <v>1</v>
      </c>
      <c r="EH44" s="8">
        <f>IF(EH$30-Voorblad!$F$37&gt;Voorblad!$K$37,0,IF($U44=0,0,IF($U44&lt;1,1/$U44,IF((EH$30-Voorblad!$F$37)/$U44-SUM($EE44:EG44)=1,1,0))))</f>
        <v>1</v>
      </c>
      <c r="EI44" s="8">
        <f>IF(EI$30-Voorblad!$F$37&gt;Voorblad!$K$37,0,IF($U44=0,0,IF($U44&lt;1,1/$U44,IF((EI$30-Voorblad!$F$37)/$U44-SUM($EE44:EH44)=1,1,0))))</f>
        <v>1</v>
      </c>
      <c r="EJ44" s="8">
        <f>IF(EJ$30-Voorblad!$F$37&gt;Voorblad!$K$37,0,IF($U44=0,0,IF($U44&lt;1,1/$U44,IF((EJ$30-Voorblad!$F$37)/$U44-SUM($EE44:EI44)=1,1,0))))</f>
        <v>1</v>
      </c>
      <c r="EK44" s="8">
        <f>IF(EK$30-Voorblad!$F$37&gt;Voorblad!$K$37,0,IF($U44=0,0,IF($U44&lt;1,1/$U44,IF((EK$30-Voorblad!$F$37)/$U44-SUM($EE44:EJ44)=1,1,0))))</f>
        <v>1</v>
      </c>
      <c r="EL44" s="8">
        <f>IF(EL$30-Voorblad!$F$37&gt;Voorblad!$K$37,0,IF($U44=0,0,IF($U44&lt;1,1/$U44,IF((EL$30-Voorblad!$F$37)/$U44-SUM($EE44:EK44)=1,1,0))))</f>
        <v>1</v>
      </c>
      <c r="EM44" s="8">
        <f>IF(EM$30-Voorblad!$F$37&gt;Voorblad!$K$37,0,IF($U44=0,0,IF($U44&lt;1,1/$U44,IF((EM$30-Voorblad!$F$37)/$U44-SUM($EE44:EL44)=1,1,0))))</f>
        <v>1</v>
      </c>
      <c r="EN44" s="8">
        <f>IF(EN$30-Voorblad!$F$37&gt;Voorblad!$K$37,0,IF($U44=0,0,IF($U44&lt;1,1/$U44,IF((EN$30-Voorblad!$F$37)/$U44-SUM($EE44:EM44)=1,1,0))))</f>
        <v>1</v>
      </c>
      <c r="EO44" s="8">
        <f>IF(EO$30-Voorblad!$F$37&gt;Voorblad!$K$37,0,IF($U44=0,0,IF($U44&lt;1,1/$U44,IF((EO$30-Voorblad!$F$37)/$U44-SUM($EE44:EN44)=1,1,0))))</f>
        <v>1</v>
      </c>
      <c r="EP44" s="8">
        <f>IF(EP$30-Voorblad!$F$37&gt;Voorblad!$K$37,0,IF($U44=0,0,IF($U44&lt;1,1/$U44,IF((EP$30-Voorblad!$F$37)/$U44-SUM($EE44:EO44)=1,1,0))))</f>
        <v>1</v>
      </c>
      <c r="EQ44" s="8">
        <f>IF(EQ$30-Voorblad!$F$37&gt;Voorblad!$K$37,0,IF($U44=0,0,IF($U44&lt;1,1/$U44,IF((EQ$30-Voorblad!$F$37)/$U44-SUM($EE44:EP44)=1,1,0))))</f>
        <v>0</v>
      </c>
      <c r="ER44" s="8">
        <f>IF(ER$30-Voorblad!$F$37&gt;Voorblad!$K$37,0,IF($U44=0,0,IF($U44&lt;1,1/$U44,IF((ER$30-Voorblad!$F$37)/$U44-SUM($EE44:EQ44)=1,1,0))))</f>
        <v>0</v>
      </c>
      <c r="ES44" s="8">
        <f>IF(ES$30-Voorblad!$F$37&gt;Voorblad!$K$37,0,IF($U44=0,0,IF($U44&lt;1,1/$U44,IF((ES$30-Voorblad!$F$37)/$U44-SUM($EE44:ER44)=1,1,0))))</f>
        <v>0</v>
      </c>
      <c r="ET44" s="8">
        <f>IF(ET$30-Voorblad!$F$37&gt;Voorblad!$K$37,0,IF($U44=0,0,IF($U44&lt;1,1/$U44,IF((ET$30-Voorblad!$F$37)/$U44-SUM($EE44:ES44)=1,1,0))))</f>
        <v>0</v>
      </c>
      <c r="EU44" s="8">
        <f>IF(EU$30-Voorblad!$F$37&gt;Voorblad!$K$37,0,IF($U44=0,0,IF($U44&lt;1,1/$U44,IF((EU$30-Voorblad!$F$37)/$U44-SUM($EE44:ET44)=1,1,0))))</f>
        <v>0</v>
      </c>
      <c r="EV44" s="8">
        <f>IF(EV$30-Voorblad!$F$37&gt;Voorblad!$K$37,0,IF($U44=0,0,IF($U44&lt;1,1/$U44,IF((EV$30-Voorblad!$F$37)/$U44-SUM($EE44:EU44)=1,1,0))))</f>
        <v>0</v>
      </c>
      <c r="EW44" s="8">
        <f>IF(EW$30-Voorblad!$F$37&gt;Voorblad!$K$37,0,IF($U44=0,0,IF($U44&lt;1,1/$U44,IF((EW$30-Voorblad!$F$37)/$U44-SUM($EE44:EV44)=1,1,0))))</f>
        <v>0</v>
      </c>
      <c r="EX44" s="8">
        <f>IF(EX$30-Voorblad!$F$37&gt;Voorblad!$K$37,0,IF($U44=0,0,IF($U44&lt;1,1/$U44,IF((EX$30-Voorblad!$F$37)/$U44-SUM($EE44:EW44)=1,1,0))))</f>
        <v>0</v>
      </c>
      <c r="EY44" s="8">
        <f>IF(EY$30-Voorblad!$F$37&gt;Voorblad!$K$37,0,IF($U44=0,0,IF($U44&lt;1,1/$U44,IF((EY$30-Voorblad!$F$37)/$U44-SUM($EE44:EX44)=1,1,0))))</f>
        <v>0</v>
      </c>
      <c r="EZ44" s="8">
        <f>IF(EZ$30-Voorblad!$F$37&gt;Voorblad!$K$37,0,IF($U44=0,0,IF($U44&lt;1,1/$U44,IF((EZ$30-Voorblad!$F$37)/$U44-SUM($EE44:EY44)=1,1,0))))</f>
        <v>0</v>
      </c>
      <c r="FA44" s="8">
        <f>IF(FA$30-Voorblad!$F$37&gt;Voorblad!$K$37,0,IF($U44=0,0,IF($U44&lt;1,1/$U44,IF((FA$30-Voorblad!$F$37)/$U44-SUM($EE44:EZ44)=1,1,0))))</f>
        <v>0</v>
      </c>
      <c r="FB44" s="8">
        <f>IF(FB$30-Voorblad!$F$37&gt;Voorblad!$K$37,0,IF($U44=0,0,IF($U44&lt;1,1/$U44,IF((FB$30-Voorblad!$F$37)/$U44-SUM($EE44:FA44)=1,1,0))))</f>
        <v>0</v>
      </c>
      <c r="FC44" s="8">
        <f>IF(FC$30-Voorblad!$F$37&gt;Voorblad!$K$37,0,IF($U44=0,0,IF($U44&lt;1,1/$U44,IF((FC$30-Voorblad!$F$37)/$U44-SUM($EE44:FB44)=1,1,0))))</f>
        <v>0</v>
      </c>
      <c r="FD44" s="8">
        <f>IF(FD$30-Voorblad!$F$37&gt;Voorblad!$K$37,0,IF($U44=0,0,IF($U44&lt;1,1/$U44,IF((FD$30-Voorblad!$F$37)/$U44-SUM($EE44:FC44)=1,1,0))))</f>
        <v>0</v>
      </c>
      <c r="FE44" s="8">
        <f>IF(FE$30-Voorblad!$F$37&gt;Voorblad!$K$37,0,IF($U44=0,0,IF($U44&lt;1,1/$U44,IF((FE$30-Voorblad!$F$37)/$U44-SUM($EE44:FD44)=1,1,0))))</f>
        <v>0</v>
      </c>
      <c r="FF44" s="8">
        <f>IF(FF$30-Voorblad!$F$37&gt;Voorblad!$K$37,0,IF($U44=0,0,IF($U44&lt;1,1/$U44,IF((FF$30-Voorblad!$F$37)/$U44-SUM($EE44:FE44)=1,1,0))))</f>
        <v>0</v>
      </c>
      <c r="FG44" s="8">
        <f>IF(FG$30-Voorblad!$F$37&gt;Voorblad!$K$37,0,IF($U44=0,0,IF($U44&lt;1,1/$U44,IF((FG$30-Voorblad!$F$37)/$U44-SUM($EE44:FF44)=1,1,0))))</f>
        <v>0</v>
      </c>
      <c r="FH44" s="8">
        <f>IF(FH$30-Voorblad!$F$37&gt;Voorblad!$K$37,0,IF($U44=0,0,IF($U44&lt;1,1/$U44,IF((FH$30-Voorblad!$F$37)/$U44-SUM($EE44:FG44)=1,1,0))))</f>
        <v>0</v>
      </c>
      <c r="FI44" s="8">
        <f>IF(FI$30-Voorblad!$F$37&gt;Voorblad!$K$37,0,IF($U44=0,0,IF($U44&lt;1,1/$U44,IF((FI$30-Voorblad!$F$37)/$U44-SUM($EE44:FH44)=1,1,0))))</f>
        <v>0</v>
      </c>
      <c r="FJ44" s="8">
        <f>IF(FJ$30-Voorblad!$F$37&gt;Voorblad!$K$37,0,IF($U44=0,0,IF($U44&lt;1,1/$U44,IF((FJ$30-Voorblad!$F$37)/$U44-SUM($EE44:FI44)=1,1,0))))</f>
        <v>0</v>
      </c>
      <c r="FK44" s="8">
        <f>IF(FK$30-Voorblad!$F$37&gt;Voorblad!$K$37,0,IF($U44=0,0,IF($U44&lt;1,1/$U44,IF((FK$30-Voorblad!$F$37)/$U44-SUM($EE44:FJ44)=1,1,0))))</f>
        <v>0</v>
      </c>
      <c r="FL44" s="8">
        <f>IF(FL$30-Voorblad!$F$37&gt;Voorblad!$K$37,0,IF($U44=0,0,IF($U44&lt;1,1/$U44,IF((FL$30-Voorblad!$F$37)/$U44-SUM($EE44:FK44)=1,1,0))))</f>
        <v>0</v>
      </c>
      <c r="FM44" s="8">
        <f>IF(FM$30-Voorblad!$F$37&gt;Voorblad!$K$37,0,IF($U44=0,0,IF($U44&lt;1,1/$U44,IF((FM$30-Voorblad!$F$37)/$U44-SUM($EE44:FL44)=1,1,0))))</f>
        <v>0</v>
      </c>
      <c r="FN44" s="8">
        <f>IF(FN$30-Voorblad!$F$37&gt;Voorblad!$K$37,0,IF($U44=0,0,IF($U44&lt;1,1/$U44,IF((FN$30-Voorblad!$F$37)/$U44-SUM($EE44:FM44)=1,1,0))))</f>
        <v>0</v>
      </c>
      <c r="FO44" s="8">
        <f>IF(FO$30-Voorblad!$F$37&gt;Voorblad!$K$37,0,IF($U44=0,0,IF($U44&lt;1,1/$U44,IF((FO$30-Voorblad!$F$37)/$U44-SUM($EE44:FN44)=1,1,0))))</f>
        <v>0</v>
      </c>
      <c r="FP44" s="8">
        <f>IF(FP$30-Voorblad!$F$37&gt;Voorblad!$K$37,0,IF($U44=0,0,IF($U44&lt;1,1/$U44,IF((FP$30-Voorblad!$F$37)/$U44-SUM($EE44:FO44)=1,1,0))))</f>
        <v>0</v>
      </c>
      <c r="FQ44" s="8">
        <f>IF(FQ$30-Voorblad!$F$37&gt;Voorblad!$K$37,0,IF($U44=0,0,IF($U44&lt;1,1/$U44,IF((FQ$30-Voorblad!$F$37)/$U44-SUM($EE44:FP44)=1,1,0))))</f>
        <v>0</v>
      </c>
      <c r="FR44" s="8">
        <f>IF(FR$30-Voorblad!$F$37&gt;Voorblad!$K$37,0,IF($U44=0,0,IF($U44&lt;1,1/$U44,IF((FR$30-Voorblad!$F$37)/$U44-SUM($EE44:FQ44)=1,1,0))))</f>
        <v>0</v>
      </c>
      <c r="FS44" s="8">
        <f>IF(FS$30-Voorblad!$F$37&gt;Voorblad!$K$37,0,IF($U44=0,0,IF($U44&lt;1,1/$U44,IF((FS$30-Voorblad!$F$37)/$U44-SUM($EE44:FR44)=1,1,0))))</f>
        <v>0</v>
      </c>
      <c r="FT44" s="8">
        <f>IF(FT$30-Voorblad!$F$37&gt;Voorblad!$K$37,0,IF($U44=0,0,IF($U44&lt;1,1/$U44,IF((FT$30-Voorblad!$F$37)/$U44-SUM($EE44:FS44)=1,1,0))))</f>
        <v>0</v>
      </c>
      <c r="FU44" s="8">
        <f>IF(FU$30-Voorblad!$F$37&gt;Voorblad!$K$37,0,IF($U44=0,0,IF($U44&lt;1,1/$U44,IF((FU$30-Voorblad!$F$37)/$U44-SUM($EE44:FT44)=1,1,0))))</f>
        <v>0</v>
      </c>
      <c r="FV44" s="8">
        <f>IF(FV$30-Voorblad!$F$37&gt;Voorblad!$K$37,0,IF($U44=0,0,IF($U44&lt;1,1/$U44,IF((FV$30-Voorblad!$F$37)/$U44-SUM($EE44:FU44)=1,1,0))))</f>
        <v>0</v>
      </c>
      <c r="FW44" s="8">
        <f>IF(FW$30-Voorblad!$F$37&gt;Voorblad!$K$37,0,IF($U44=0,0,IF($U44&lt;1,1/$U44,IF((FW$30-Voorblad!$F$37)/$U44-SUM($EE44:FV44)=1,1,0))))</f>
        <v>0</v>
      </c>
      <c r="FX44" s="8">
        <f>IF(FX$30-Voorblad!$F$37&gt;Voorblad!$K$37,0,IF($U44=0,0,IF($U44&lt;1,1/$U44,IF((FX$30-Voorblad!$F$37)/$U44-SUM($EE44:FW44)=1,1,0))))</f>
        <v>0</v>
      </c>
      <c r="FY44" s="8">
        <f>IF(FY$30-Voorblad!$F$37&gt;Voorblad!$K$37,0,IF($U44=0,0,IF($U44&lt;1,1/$U44,IF((FY$30-Voorblad!$F$37)/$U44-SUM($EE44:FX44)=1,1,0))))</f>
        <v>0</v>
      </c>
      <c r="FZ44" s="8">
        <f>IF(FZ$30-Voorblad!$F$37&gt;Voorblad!$K$37,0,IF($U44=0,0,IF($U44&lt;1,1/$U44,IF((FZ$30-Voorblad!$F$37)/$U44-SUM($EE44:FY44)=1,1,0))))</f>
        <v>0</v>
      </c>
      <c r="GA44" s="8">
        <f>IF(GA$30-Voorblad!$F$37&gt;Voorblad!$K$37,0,IF($U44=0,0,IF($U44&lt;1,1/$U44,IF((GA$30-Voorblad!$F$37)/$U44-SUM($EE44:FZ44)=1,1,0))))</f>
        <v>0</v>
      </c>
      <c r="GB44" s="8">
        <f>IF(GB$30-Voorblad!$F$37&gt;Voorblad!$K$37,0,IF($U44=0,0,IF($U44&lt;1,1/$U44,IF((GB$30-Voorblad!$F$37)/$U44-SUM($EE44:GA44)=1,1,0))))</f>
        <v>0</v>
      </c>
      <c r="GC44" s="8">
        <f>IF(GC$30-Voorblad!$F$37&gt;Voorblad!$K$37,0,IF($U44=0,0,IF($U44&lt;1,1/$U44,IF((GC$30-Voorblad!$F$37)/$U44-SUM($EE44:GB44)=1,1,0))))</f>
        <v>0</v>
      </c>
      <c r="GD44" s="8">
        <f>IF(GD$30-Voorblad!$F$37&gt;Voorblad!$K$37,0,IF($U44=0,0,IF($U44&lt;1,1/$U44,IF((GD$30-Voorblad!$F$37)/$U44-SUM($EE44:GC44)=1,1,0))))</f>
        <v>0</v>
      </c>
      <c r="GE44" s="8">
        <f>IF(GE$30-Voorblad!$F$37&gt;Voorblad!$K$37,0,IF($U44=0,0,IF($U44&lt;1,1/$U44,IF((GE$30-Voorblad!$F$37)/$U44-SUM($EE44:GD44)=1,1,0))))</f>
        <v>0</v>
      </c>
      <c r="GF44" s="8">
        <f>IF(GF$30-Voorblad!$F$37&gt;Voorblad!$K$37,0,IF($U44=0,0,IF($U44&lt;1,1/$U44,IF((GF$30-Voorblad!$F$37)/$U44-SUM($EE44:GE44)=1,1,0))))</f>
        <v>0</v>
      </c>
      <c r="GG44" s="8">
        <f>IF(GG$30-Voorblad!$F$37&gt;Voorblad!$K$37,0,IF($U44=0,0,IF($U44&lt;1,1/$U44,IF((GG$30-Voorblad!$F$37)/$U44-SUM($EE44:GF44)=1,1,0))))</f>
        <v>0</v>
      </c>
      <c r="GH44" s="8">
        <f>IF(GH$30-Voorblad!$F$37&gt;Voorblad!$K$37,0,IF($U44=0,0,IF($U44&lt;1,1/$U44,IF((GH$30-Voorblad!$F$37)/$U44-SUM($EE44:GG44)=1,1,0))))</f>
        <v>0</v>
      </c>
      <c r="GI44" s="8">
        <f>IF(GI$30-Voorblad!$F$37&gt;Voorblad!$K$37,0,IF($U44=0,0,IF($U44&lt;1,1/$U44,IF((GI$30-Voorblad!$F$37)/$U44-SUM($EE44:GH44)=1,1,0))))</f>
        <v>0</v>
      </c>
      <c r="GJ44" s="8">
        <f>IF(GJ$30-Voorblad!$F$37&gt;Voorblad!$K$37,0,IF($U44=0,0,IF($U44&lt;1,1/$U44,IF((GJ$30-Voorblad!$F$37)/$U44-SUM($EE44:GI44)=1,1,0))))</f>
        <v>0</v>
      </c>
      <c r="GK44" s="8">
        <f>IF(GK$30-Voorblad!$F$37&gt;Voorblad!$K$37,0,IF($U44=0,0,IF($U44&lt;1,1/$U44,IF((GK$30-Voorblad!$F$37)/$U44-SUM($EE44:GJ44)=1,1,0))))</f>
        <v>0</v>
      </c>
      <c r="GL44" s="8">
        <f>IF(GL$30-Voorblad!$F$37&gt;Voorblad!$K$37,0,IF($U44=0,0,IF($U44&lt;1,1/$U44,IF((GL$30-Voorblad!$F$37)/$U44-SUM($EE44:GK44)=1,1,0))))</f>
        <v>0</v>
      </c>
      <c r="GM44" s="8">
        <f>IF(GM$30-Voorblad!$F$37&gt;Voorblad!$K$37,0,IF($U44=0,0,IF($U44&lt;1,1/$U44,IF((GM$30-Voorblad!$F$37)/$U44-SUM($EE44:GL44)=1,1,0))))</f>
        <v>0</v>
      </c>
      <c r="GN44" s="8">
        <f>IF(GN$30-Voorblad!$F$37&gt;Voorblad!$K$37,0,IF($U44=0,0,IF($U44&lt;1,1/$U44,IF((GN$30-Voorblad!$F$37)/$U44-SUM($EE44:GM44)=1,1,0))))</f>
        <v>0</v>
      </c>
      <c r="GO44" s="8">
        <f>IF(GO$30-Voorblad!$F$37&gt;Voorblad!$K$37,0,IF($U44=0,0,IF($U44&lt;1,1/$U44,IF((GO$30-Voorblad!$F$37)/$U44-SUM($EE44:GN44)=1,1,0))))</f>
        <v>0</v>
      </c>
      <c r="GP44" s="8">
        <f>IF(GP$30-Voorblad!$F$37&gt;Voorblad!$K$37,0,IF($U44=0,0,IF($U44&lt;1,1/$U44,IF((GP$30-Voorblad!$F$37)/$U44-SUM($EE44:GO44)=1,1,0))))</f>
        <v>0</v>
      </c>
      <c r="GQ44" s="8">
        <f>IF(GQ$30-Voorblad!$F$37&gt;Voorblad!$K$37,0,IF($U44=0,0,IF($U44&lt;1,1/$U44,IF((GQ$30-Voorblad!$F$37)/$U44-SUM($EE44:GP44)=1,1,0))))</f>
        <v>0</v>
      </c>
      <c r="GR44" s="8">
        <f>IF(GR$30-Voorblad!$F$37&gt;Voorblad!$K$37,0,IF($U44=0,0,IF($U44&lt;1,1/$U44,IF((GR$30-Voorblad!$F$37)/$U44-SUM($EE44:GQ44)=1,1,0))))</f>
        <v>0</v>
      </c>
      <c r="GS44" s="8">
        <f>IF(GS$30-Voorblad!$F$37&gt;Voorblad!$K$37,0,IF($U44=0,0,IF($U44&lt;1,1/$U44,IF((GS$30-Voorblad!$F$37)/$U44-SUM($EE44:GR44)=1,1,0))))</f>
        <v>0</v>
      </c>
      <c r="GT44" s="8">
        <f>IF(GT$30-Voorblad!$F$37&gt;Voorblad!$K$37,0,IF($U44=0,0,IF($U44&lt;1,1/$U44,IF((GT$30-Voorblad!$F$37)/$U44-SUM($EE44:GS44)=1,1,0))))</f>
        <v>0</v>
      </c>
      <c r="GU44" s="8">
        <f>IF(GU$30-Voorblad!$F$37&gt;Voorblad!$K$37,0,IF($U44=0,0,IF($U44&lt;1,1/$U44,IF((GU$30-Voorblad!$F$37)/$U44-SUM($EE44:GT44)=1,1,0))))</f>
        <v>0</v>
      </c>
      <c r="GV44" s="8">
        <f>IF(GV$30-Voorblad!$F$37&gt;Voorblad!$K$37,0,IF($U44=0,0,IF($U44&lt;1,1/$U44,IF((GV$30-Voorblad!$F$37)/$U44-SUM($EE44:GU44)=1,1,0))))</f>
        <v>0</v>
      </c>
      <c r="GW44" s="8">
        <f>IF(GW$30-Voorblad!$F$37&gt;Voorblad!$K$37,0,IF($U44=0,0,IF($U44&lt;1,1/$U44,IF((GW$30-Voorblad!$F$37)/$U44-SUM($EE44:GV44)=1,1,0))))</f>
        <v>0</v>
      </c>
      <c r="GX44" s="8">
        <f>IF(GX$30-Voorblad!$F$37&gt;Voorblad!$K$37,0,IF($U44=0,0,IF($U44&lt;1,1/$U44,IF((GX$30-Voorblad!$F$37)/$U44-SUM($EE44:GW44)=1,1,0))))</f>
        <v>0</v>
      </c>
      <c r="GY44" s="8">
        <f>IF(GY$30-Voorblad!$F$37&gt;Voorblad!$K$37,0,IF($U44=0,0,IF($U44&lt;1,1/$U44,IF((GY$30-Voorblad!$F$37)/$U44-SUM($EE44:GX44)=1,1,0))))</f>
        <v>0</v>
      </c>
      <c r="GZ44" s="8">
        <f>IF(GZ$30-Voorblad!$F$37&gt;Voorblad!$K$37,0,IF($U44=0,0,IF($U44&lt;1,1/$U44,IF((GZ$30-Voorblad!$F$37)/$U44-SUM($EE44:GY44)=1,1,0))))</f>
        <v>0</v>
      </c>
      <c r="HA44" s="8">
        <f>IF(HA$30-Voorblad!$F$37&gt;Voorblad!$K$37,0,IF($U44=0,0,IF($U44&lt;1,1/$U44,IF((HA$30-Voorblad!$F$37)/$U44-SUM($EE44:GZ44)=1,1,0))))</f>
        <v>0</v>
      </c>
      <c r="HB44" s="8">
        <f>IF(HB$30-Voorblad!$F$37&gt;Voorblad!$K$37,0,IF($U44=0,0,IF($U44&lt;1,1/$U44,IF((HB$30-Voorblad!$F$37)/$U44-SUM($EE44:HA44)=1,1,0))))</f>
        <v>0</v>
      </c>
      <c r="HC44" s="8">
        <f>IF(HC$30-Voorblad!$F$37&gt;Voorblad!$K$37,0,IF($U44=0,0,IF($U44&lt;1,1/$U44,IF((HC$30-Voorblad!$F$37)/$U44-SUM($EE44:HB44)=1,1,0))))</f>
        <v>0</v>
      </c>
      <c r="HD44" s="8">
        <f>IF(HD$30-Voorblad!$F$37&gt;Voorblad!$K$37,0,IF($U44=0,0,IF($U44&lt;1,1/$U44,IF((HD$30-Voorblad!$F$37)/$U44-SUM($EE44:HC44)=1,1,0))))</f>
        <v>0</v>
      </c>
      <c r="HE44" s="8">
        <f>IF(HE$30-Voorblad!$F$37&gt;Voorblad!$K$37,0,IF($U44=0,0,IF($U44&lt;1,1/$U44,IF((HE$30-Voorblad!$F$37)/$U44-SUM($EE44:HD44)=1,1,0))))</f>
        <v>0</v>
      </c>
      <c r="HF44" s="8">
        <f>IF(HF$30-Voorblad!$F$37&gt;Voorblad!$K$37,0,IF($U44=0,0,IF($U44&lt;1,1/$U44,IF((HF$30-Voorblad!$F$37)/$U44-SUM($EE44:HE44)=1,1,0))))</f>
        <v>0</v>
      </c>
      <c r="HG44" s="8">
        <f>IF(HG$30-Voorblad!$F$37&gt;Voorblad!$K$37,0,IF($U44=0,0,IF($U44&lt;1,1/$U44,IF((HG$30-Voorblad!$F$37)/$U44-SUM($EE44:HF44)=1,1,0))))</f>
        <v>0</v>
      </c>
      <c r="HH44" s="8">
        <f>IF(HH$30-Voorblad!$F$37&gt;Voorblad!$K$37,0,IF($U44=0,0,IF($U44&lt;1,1/$U44,IF((HH$30-Voorblad!$F$37)/$U44-SUM($EE44:HG44)=1,1,0))))</f>
        <v>0</v>
      </c>
      <c r="HI44" s="8">
        <f>IF(HI$30-Voorblad!$F$37&gt;Voorblad!$K$37,0,IF($U44=0,0,IF($U44&lt;1,1/$U44,IF((HI$30-Voorblad!$F$37)/$U44-SUM($EE44:HH44)=1,1,0))))</f>
        <v>0</v>
      </c>
      <c r="HJ44" s="8">
        <f>IF(HJ$30-Voorblad!$F$37&gt;Voorblad!$K$37,0,IF($U44=0,0,IF($U44&lt;1,1/$U44,IF((HJ$30-Voorblad!$F$37)/$U44-SUM($EE44:HI44)=1,1,0))))</f>
        <v>0</v>
      </c>
      <c r="HK44" s="8">
        <f>IF(HK$30-Voorblad!$F$37&gt;Voorblad!$K$37,0,IF($U44=0,0,IF($U44&lt;1,1/$U44,IF((HK$30-Voorblad!$F$37)/$U44-SUM($EE44:HJ44)=1,1,0))))</f>
        <v>0</v>
      </c>
      <c r="HL44" s="8">
        <f>IF(HL$30-Voorblad!$F$37&gt;Voorblad!$K$37,0,IF($U44=0,0,IF($U44&lt;1,1/$U44,IF((HL$30-Voorblad!$F$37)/$U44-SUM($EE44:HK44)=1,1,0))))</f>
        <v>0</v>
      </c>
      <c r="HM44" s="8">
        <f>IF(HM$30-Voorblad!$F$37&gt;Voorblad!$K$37,0,IF($U44=0,0,IF($U44&lt;1,1/$U44,IF((HM$30-Voorblad!$F$37)/$U44-SUM($EE44:HL44)=1,1,0))))</f>
        <v>0</v>
      </c>
      <c r="HN44" s="8">
        <f>IF(HN$30-Voorblad!$F$37&gt;Voorblad!$K$37,0,IF($U44=0,0,IF($U44&lt;1,1/$U44,IF((HN$30-Voorblad!$F$37)/$U44-SUM($EE44:HM44)=1,1,0))))</f>
        <v>0</v>
      </c>
      <c r="HO44" s="8">
        <f>IF(HO$30-Voorblad!$F$37&gt;Voorblad!$K$37,0,IF($U44=0,0,IF($U44&lt;1,1/$U44,IF((HO$30-Voorblad!$F$37)/$U44-SUM($EE44:HN44)=1,1,0))))</f>
        <v>0</v>
      </c>
      <c r="HP44" s="8">
        <f>IF(HP$30-Voorblad!$F$37&gt;Voorblad!$K$37,0,IF($U44=0,0,IF($U44&lt;1,1/$U44,IF((HP$30-Voorblad!$F$37)/$U44-SUM($EE44:HO44)=1,1,0))))</f>
        <v>0</v>
      </c>
      <c r="HQ44" s="8">
        <f>IF(HQ$30-Voorblad!$F$37&gt;Voorblad!$K$37,0,IF($U44=0,0,IF($U44&lt;1,1/$U44,IF((HQ$30-Voorblad!$F$37)/$U44-SUM($EE44:HP44)=1,1,0))))</f>
        <v>0</v>
      </c>
      <c r="HR44" s="8">
        <f>IF(HR$30-Voorblad!$F$37&gt;Voorblad!$K$37,0,IF($U44=0,0,IF($U44&lt;1,1/$U44,IF((HR$30-Voorblad!$F$37)/$U44-SUM($EE44:HQ44)=1,1,0))))</f>
        <v>0</v>
      </c>
      <c r="HS44" s="8">
        <f>IF(HS$30-Voorblad!$F$37&gt;Voorblad!$K$37,0,IF($U44=0,0,IF($U44&lt;1,1/$U44,IF((HS$30-Voorblad!$F$37)/$U44-SUM($EE44:HR44)=1,1,0))))</f>
        <v>0</v>
      </c>
      <c r="HT44" s="8">
        <f>IF(HT$30-Voorblad!$F$37&gt;Voorblad!$K$37,0,IF($U44=0,0,IF($U44&lt;1,1/$U44,IF((HT$30-Voorblad!$F$37)/$U44-SUM($EE44:HS44)=1,1,0))))</f>
        <v>0</v>
      </c>
      <c r="HU44" s="8">
        <f>IF(HU$30-Voorblad!$F$37&gt;Voorblad!$K$37,0,IF($U44=0,0,IF($U44&lt;1,1/$U44,IF((HU$30-Voorblad!$F$37)/$U44-SUM($EE44:HT44)=1,1,0))))</f>
        <v>0</v>
      </c>
      <c r="HV44" s="8">
        <f>IF(HV$30-Voorblad!$F$37&gt;Voorblad!$K$37,0,IF($U44=0,0,IF($U44&lt;1,1/$U44,IF((HV$30-Voorblad!$F$37)/$U44-SUM($EE44:HU44)=1,1,0))))</f>
        <v>0</v>
      </c>
      <c r="HW44" s="8">
        <f>IF(HW$30-Voorblad!$F$37&gt;Voorblad!$K$37,0,IF($U44=0,0,IF($U44&lt;1,1/$U44,IF((HW$30-Voorblad!$F$37)/$U44-SUM($EE44:HV44)=1,1,0))))</f>
        <v>0</v>
      </c>
      <c r="HX44" s="8">
        <f>IF(HX$30-Voorblad!$F$37&gt;Voorblad!$K$37,0,IF($U44=0,0,IF($U44&lt;1,1/$U44,IF((HX$30-Voorblad!$F$37)/$U44-SUM($EE44:HW44)=1,1,0))))</f>
        <v>0</v>
      </c>
      <c r="HY44" s="8">
        <f>IF(HY$30-Voorblad!$F$37&gt;Voorblad!$K$37,0,IF($U44=0,0,IF($U44&lt;1,1/$U44,IF((HY$30-Voorblad!$F$37)/$U44-SUM($EE44:HX44)=1,1,0))))</f>
        <v>0</v>
      </c>
      <c r="HZ44" s="8">
        <f>IF(HZ$30-Voorblad!$F$37&gt;Voorblad!$K$37,0,IF($U44=0,0,IF($U44&lt;1,1/$U44,IF((HZ$30-Voorblad!$F$37)/$U44-SUM($EE44:HY44)=1,1,0))))</f>
        <v>0</v>
      </c>
      <c r="IA44" s="8">
        <f>IF(IA$30-Voorblad!$F$37&gt;Voorblad!$K$37,0,IF($U44=0,0,IF($U44&lt;1,1/$U44,IF((IA$30-Voorblad!$F$37)/$U44-SUM($EE44:HZ44)=1,1,0))))</f>
        <v>0</v>
      </c>
      <c r="IB44" s="8">
        <f>IF(IB$30-Voorblad!$F$37&gt;Voorblad!$K$37,0,IF($U44=0,0,IF($U44&lt;1,1/$U44,IF((IB$30-Voorblad!$F$37)/$U44-SUM($EE44:IA44)=1,1,0))))</f>
        <v>0</v>
      </c>
    </row>
    <row r="45" spans="2:236" ht="12" customHeight="1" x14ac:dyDescent="0.25">
      <c r="B45" s="76"/>
      <c r="C45" s="76"/>
      <c r="D45" s="76">
        <v>8</v>
      </c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7"/>
      <c r="P45" s="77"/>
      <c r="Q45" s="81">
        <v>1</v>
      </c>
      <c r="R45" s="81" t="s">
        <v>33</v>
      </c>
      <c r="S45" s="81"/>
      <c r="T45" s="9">
        <f t="shared" si="4"/>
        <v>0</v>
      </c>
      <c r="U45" s="11">
        <v>1</v>
      </c>
      <c r="V45" s="14"/>
      <c r="W45" s="9">
        <f>Voorblad!K58</f>
        <v>0</v>
      </c>
      <c r="Y45" s="9">
        <f t="shared" si="5"/>
        <v>0</v>
      </c>
      <c r="Z45" s="82"/>
      <c r="AA45" s="82"/>
      <c r="AC45" s="9">
        <f>$Y45*(Voorblad!$K$44*(1+Voorblad!$K$44)^Voorblad!$K$37)/((1+Voorblad!$K$44)^Voorblad!$K$37-1)</f>
        <v>0</v>
      </c>
      <c r="AE45" s="9">
        <f>IF($W45=AE$30,EF45*($Q45*$S45)/(1+Voorblad!$K$44)^(AE$30-Voorblad!$F$37),0)</f>
        <v>0</v>
      </c>
      <c r="AF45" s="9">
        <f>IF($W45=AF$30,EG45*($Q45*$S45)/(1+Voorblad!$K$44)^(AF$30-Voorblad!$F$37),0)</f>
        <v>0</v>
      </c>
      <c r="AG45" s="9">
        <f>IF($W45=AG$30,EH45*($Q45*$S45)/(1+Voorblad!$K$44)^(AG$30-Voorblad!$F$37),0)</f>
        <v>0</v>
      </c>
      <c r="AH45" s="9">
        <f>IF($W45=AH$30,EI45*($Q45*$S45)/(1+Voorblad!$K$44)^(AH$30-Voorblad!$F$37),0)</f>
        <v>0</v>
      </c>
      <c r="AI45" s="9">
        <f>IF($W45=AI$30,EJ45*($Q45*$S45)/(1+Voorblad!$K$44)^(AI$30-Voorblad!$F$37),0)</f>
        <v>0</v>
      </c>
      <c r="AJ45" s="9">
        <f>IF($W45=AJ$30,EK45*($Q45*$S45)/(1+Voorblad!$K$44)^(AJ$30-Voorblad!$F$37),0)</f>
        <v>0</v>
      </c>
      <c r="AK45" s="9">
        <f>IF($W45=AK$30,EL45*($Q45*$S45)/(1+Voorblad!$K$44)^(AK$30-Voorblad!$F$37),0)</f>
        <v>0</v>
      </c>
      <c r="AL45" s="9">
        <f>IF($W45=AL$30,EM45*($Q45*$S45)/(1+Voorblad!$K$44)^(AL$30-Voorblad!$F$37),0)</f>
        <v>0</v>
      </c>
      <c r="AM45" s="9">
        <f>IF($W45=AM$30,EN45*($Q45*$S45)/(1+Voorblad!$K$44)^(AM$30-Voorblad!$F$37),0)</f>
        <v>0</v>
      </c>
      <c r="AN45" s="9">
        <f>IF($W45=AN$30,EO45*($Q45*$S45)/(1+Voorblad!$K$44)^(AN$30-Voorblad!$F$37),0)</f>
        <v>0</v>
      </c>
      <c r="AO45" s="9">
        <f>IF($W45=AO$30,EP45*($Q45*$S45)/(1+Voorblad!$K$44)^(AO$30-Voorblad!$F$37),0)</f>
        <v>0</v>
      </c>
      <c r="AP45" s="9">
        <f>IF($W45=AP$30,EQ45*($Q45*$S45)/(1+Voorblad!$K$44)^(AP$30-Voorblad!$F$37),0)</f>
        <v>0</v>
      </c>
      <c r="AQ45" s="9">
        <f>IF($W45=AQ$30,ER45*($Q45*$S45)/(1+Voorblad!$K$44)^(AQ$30-Voorblad!$F$37),0)</f>
        <v>0</v>
      </c>
      <c r="AR45" s="9">
        <f>IF($W45=AR$30,ES45*($Q45*$S45)/(1+Voorblad!$K$44)^(AR$30-Voorblad!$F$37),0)</f>
        <v>0</v>
      </c>
      <c r="AS45" s="9">
        <f>IF($W45=AS$30,ET45*($Q45*$S45)/(1+Voorblad!$K$44)^(AS$30-Voorblad!$F$37),0)</f>
        <v>0</v>
      </c>
      <c r="AT45" s="9">
        <f>IF($W45=AT$30,EU45*($Q45*$S45)/(1+Voorblad!$K$44)^(AT$30-Voorblad!$F$37),0)</f>
        <v>0</v>
      </c>
      <c r="AU45" s="9">
        <f>IF($W45=AU$30,EV45*($Q45*$S45)/(1+Voorblad!$K$44)^(AU$30-Voorblad!$F$37),0)</f>
        <v>0</v>
      </c>
      <c r="AV45" s="9">
        <f>IF($W45=AV$30,EW45*($Q45*$S45)/(1+Voorblad!$K$44)^(AV$30-Voorblad!$F$37),0)</f>
        <v>0</v>
      </c>
      <c r="AW45" s="9">
        <f>IF($W45=AW$30,EX45*($Q45*$S45)/(1+Voorblad!$K$44)^(AW$30-Voorblad!$F$37),0)</f>
        <v>0</v>
      </c>
      <c r="AX45" s="9">
        <f>IF($W45=AX$30,EY45*($Q45*$S45)/(1+Voorblad!$K$44)^(AX$30-Voorblad!$F$37),0)</f>
        <v>0</v>
      </c>
      <c r="AY45" s="9">
        <f>IF($W45=AY$30,EZ45*($Q45*$S45)/(1+Voorblad!$K$44)^(AY$30-Voorblad!$F$37),0)</f>
        <v>0</v>
      </c>
      <c r="AZ45" s="9">
        <f>IF($W45=AZ$30,FA45*($Q45*$S45)/(1+Voorblad!$K$44)^(AZ$30-Voorblad!$F$37),0)</f>
        <v>0</v>
      </c>
      <c r="BA45" s="9">
        <f>IF($W45=BA$30,FB45*($Q45*$S45)/(1+Voorblad!$K$44)^(BA$30-Voorblad!$F$37),0)</f>
        <v>0</v>
      </c>
      <c r="BB45" s="9">
        <f>IF($W45=BB$30,FC45*($Q45*$S45)/(1+Voorblad!$K$44)^(BB$30-Voorblad!$F$37),0)</f>
        <v>0</v>
      </c>
      <c r="BC45" s="9">
        <f>IF($W45=BC$30,FD45*($Q45*$S45)/(1+Voorblad!$K$44)^(BC$30-Voorblad!$F$37),0)</f>
        <v>0</v>
      </c>
      <c r="BD45" s="9">
        <f>IF($W45=BD$30,FE45*($Q45*$S45)/(1+Voorblad!$K$44)^(BD$30-Voorblad!$F$37),0)</f>
        <v>0</v>
      </c>
      <c r="BE45" s="9">
        <f>IF($W45=BE$30,FF45*($Q45*$S45)/(1+Voorblad!$K$44)^(BE$30-Voorblad!$F$37),0)</f>
        <v>0</v>
      </c>
      <c r="BF45" s="9">
        <f>IF($W45=BF$30,FG45*($Q45*$S45)/(1+Voorblad!$K$44)^(BF$30-Voorblad!$F$37),0)</f>
        <v>0</v>
      </c>
      <c r="BG45" s="9">
        <f>IF($W45=BG$30,FH45*($Q45*$S45)/(1+Voorblad!$K$44)^(BG$30-Voorblad!$F$37),0)</f>
        <v>0</v>
      </c>
      <c r="BH45" s="9">
        <f>IF($W45=BH$30,FI45*($Q45*$S45)/(1+Voorblad!$K$44)^(BH$30-Voorblad!$F$37),0)</f>
        <v>0</v>
      </c>
      <c r="BI45" s="9">
        <f>IF($W45=BI$30,FJ45*($Q45*$S45)/(1+Voorblad!$K$44)^(BI$30-Voorblad!$F$37),0)</f>
        <v>0</v>
      </c>
      <c r="BJ45" s="9">
        <f>IF($W45=BJ$30,FK45*($Q45*$S45)/(1+Voorblad!$K$44)^(BJ$30-Voorblad!$F$37),0)</f>
        <v>0</v>
      </c>
      <c r="BK45" s="9">
        <f>IF($W45=BK$30,FL45*($Q45*$S45)/(1+Voorblad!$K$44)^(BK$30-Voorblad!$F$37),0)</f>
        <v>0</v>
      </c>
      <c r="BL45" s="9">
        <f>IF($W45=BL$30,FM45*($Q45*$S45)/(1+Voorblad!$K$44)^(BL$30-Voorblad!$F$37),0)</f>
        <v>0</v>
      </c>
      <c r="BM45" s="9">
        <f>IF($W45=BM$30,FN45*($Q45*$S45)/(1+Voorblad!$K$44)^(BM$30-Voorblad!$F$37),0)</f>
        <v>0</v>
      </c>
      <c r="BN45" s="9">
        <f>IF($W45=BN$30,FO45*($Q45*$S45)/(1+Voorblad!$K$44)^(BN$30-Voorblad!$F$37),0)</f>
        <v>0</v>
      </c>
      <c r="BO45" s="9">
        <f>IF($W45=BO$30,FP45*($Q45*$S45)/(1+Voorblad!$K$44)^(BO$30-Voorblad!$F$37),0)</f>
        <v>0</v>
      </c>
      <c r="BP45" s="9">
        <f>IF($W45=BP$30,FQ45*($Q45*$S45)/(1+Voorblad!$K$44)^(BP$30-Voorblad!$F$37),0)</f>
        <v>0</v>
      </c>
      <c r="BQ45" s="9">
        <f>IF($W45=BQ$30,FR45*($Q45*$S45)/(1+Voorblad!$K$44)^(BQ$30-Voorblad!$F$37),0)</f>
        <v>0</v>
      </c>
      <c r="BR45" s="9">
        <f>IF($W45=BR$30,FS45*($Q45*$S45)/(1+Voorblad!$K$44)^(BR$30-Voorblad!$F$37),0)</f>
        <v>0</v>
      </c>
      <c r="BS45" s="9">
        <f>IF($W45=BS$30,FT45*($Q45*$S45)/(1+Voorblad!$K$44)^(BS$30-Voorblad!$F$37),0)</f>
        <v>0</v>
      </c>
      <c r="BT45" s="9">
        <f>IF($W45=BT$30,FU45*($Q45*$S45)/(1+Voorblad!$K$44)^(BT$30-Voorblad!$F$37),0)</f>
        <v>0</v>
      </c>
      <c r="BU45" s="9">
        <f>IF($W45=BU$30,FV45*($Q45*$S45)/(1+Voorblad!$K$44)^(BU$30-Voorblad!$F$37),0)</f>
        <v>0</v>
      </c>
      <c r="BV45" s="9">
        <f>IF($W45=BV$30,FW45*($Q45*$S45)/(1+Voorblad!$K$44)^(BV$30-Voorblad!$F$37),0)</f>
        <v>0</v>
      </c>
      <c r="BW45" s="9">
        <f>IF($W45=BW$30,FX45*($Q45*$S45)/(1+Voorblad!$K$44)^(BW$30-Voorblad!$F$37),0)</f>
        <v>0</v>
      </c>
      <c r="BX45" s="9">
        <f>IF($W45=BX$30,FY45*($Q45*$S45)/(1+Voorblad!$K$44)^(BX$30-Voorblad!$F$37),0)</f>
        <v>0</v>
      </c>
      <c r="BY45" s="9">
        <f>IF($W45=BY$30,FZ45*($Q45*$S45)/(1+Voorblad!$K$44)^(BY$30-Voorblad!$F$37),0)</f>
        <v>0</v>
      </c>
      <c r="BZ45" s="9">
        <f>IF($W45=BZ$30,GA45*($Q45*$S45)/(1+Voorblad!$K$44)^(BZ$30-Voorblad!$F$37),0)</f>
        <v>0</v>
      </c>
      <c r="CA45" s="9">
        <f>IF($W45=CA$30,GB45*($Q45*$S45)/(1+Voorblad!$K$44)^(CA$30-Voorblad!$F$37),0)</f>
        <v>0</v>
      </c>
      <c r="CB45" s="9">
        <f>IF($W45=CB$30,GC45*($Q45*$S45)/(1+Voorblad!$K$44)^(CB$30-Voorblad!$F$37),0)</f>
        <v>0</v>
      </c>
      <c r="CC45" s="9">
        <f>IF($W45=CC$30,GD45*($Q45*$S45)/(1+Voorblad!$K$44)^(CC$30-Voorblad!$F$37),0)</f>
        <v>0</v>
      </c>
      <c r="CD45" s="9">
        <f>IF($W45=CD$30,GE45*($Q45*$S45)/(1+Voorblad!$K$44)^(CD$30-Voorblad!$F$37),0)</f>
        <v>0</v>
      </c>
      <c r="CE45" s="9">
        <f>IF($W45=CE$30,GF45*($Q45*$S45)/(1+Voorblad!$K$44)^(CE$30-Voorblad!$F$37),0)</f>
        <v>0</v>
      </c>
      <c r="CF45" s="9">
        <f>IF($W45=CF$30,GG45*($Q45*$S45)/(1+Voorblad!$K$44)^(CF$30-Voorblad!$F$37),0)</f>
        <v>0</v>
      </c>
      <c r="CG45" s="9">
        <f>IF($W45=CG$30,GH45*($Q45*$S45)/(1+Voorblad!$K$44)^(CG$30-Voorblad!$F$37),0)</f>
        <v>0</v>
      </c>
      <c r="CH45" s="9">
        <f>IF($W45=CH$30,GI45*($Q45*$S45)/(1+Voorblad!$K$44)^(CH$30-Voorblad!$F$37),0)</f>
        <v>0</v>
      </c>
      <c r="CI45" s="9">
        <f>IF($W45=CI$30,GJ45*($Q45*$S45)/(1+Voorblad!$K$44)^(CI$30-Voorblad!$F$37),0)</f>
        <v>0</v>
      </c>
      <c r="CJ45" s="9">
        <f>IF($W45=CJ$30,GK45*($Q45*$S45)/(1+Voorblad!$K$44)^(CJ$30-Voorblad!$F$37),0)</f>
        <v>0</v>
      </c>
      <c r="CK45" s="9">
        <f>IF($W45=CK$30,GL45*($Q45*$S45)/(1+Voorblad!$K$44)^(CK$30-Voorblad!$F$37),0)</f>
        <v>0</v>
      </c>
      <c r="CL45" s="9">
        <f>IF($W45=CL$30,GM45*($Q45*$S45)/(1+Voorblad!$K$44)^(CL$30-Voorblad!$F$37),0)</f>
        <v>0</v>
      </c>
      <c r="CM45" s="9">
        <f>IF($W45=CM$30,GN45*($Q45*$S45)/(1+Voorblad!$K$44)^(CM$30-Voorblad!$F$37),0)</f>
        <v>0</v>
      </c>
      <c r="CN45" s="9">
        <f>IF($W45=CN$30,GO45*($Q45*$S45)/(1+Voorblad!$K$44)^(CN$30-Voorblad!$F$37),0)</f>
        <v>0</v>
      </c>
      <c r="CO45" s="9">
        <f>IF($W45=CO$30,GP45*($Q45*$S45)/(1+Voorblad!$K$44)^(CO$30-Voorblad!$F$37),0)</f>
        <v>0</v>
      </c>
      <c r="CP45" s="9">
        <f>IF($W45=CP$30,GQ45*($Q45*$S45)/(1+Voorblad!$K$44)^(CP$30-Voorblad!$F$37),0)</f>
        <v>0</v>
      </c>
      <c r="CQ45" s="9">
        <f>IF($W45=CQ$30,GR45*($Q45*$S45)/(1+Voorblad!$K$44)^(CQ$30-Voorblad!$F$37),0)</f>
        <v>0</v>
      </c>
      <c r="CR45" s="9">
        <f>IF($W45=CR$30,GS45*($Q45*$S45)/(1+Voorblad!$K$44)^(CR$30-Voorblad!$F$37),0)</f>
        <v>0</v>
      </c>
      <c r="CS45" s="9">
        <f>IF($W45=CS$30,GT45*($Q45*$S45)/(1+Voorblad!$K$44)^(CS$30-Voorblad!$F$37),0)</f>
        <v>0</v>
      </c>
      <c r="CT45" s="9">
        <f>IF($W45=CT$30,GU45*($Q45*$S45)/(1+Voorblad!$K$44)^(CT$30-Voorblad!$F$37),0)</f>
        <v>0</v>
      </c>
      <c r="CU45" s="9">
        <f>IF($W45=CU$30,GV45*($Q45*$S45)/(1+Voorblad!$K$44)^(CU$30-Voorblad!$F$37),0)</f>
        <v>0</v>
      </c>
      <c r="CV45" s="9">
        <f>IF($W45=CV$30,GW45*($Q45*$S45)/(1+Voorblad!$K$44)^(CV$30-Voorblad!$F$37),0)</f>
        <v>0</v>
      </c>
      <c r="CW45" s="9">
        <f>IF($W45=CW$30,GX45*($Q45*$S45)/(1+Voorblad!$K$44)^(CW$30-Voorblad!$F$37),0)</f>
        <v>0</v>
      </c>
      <c r="CX45" s="9">
        <f>IF($W45=CX$30,GY45*($Q45*$S45)/(1+Voorblad!$K$44)^(CX$30-Voorblad!$F$37),0)</f>
        <v>0</v>
      </c>
      <c r="CY45" s="9">
        <f>IF($W45=CY$30,GZ45*($Q45*$S45)/(1+Voorblad!$K$44)^(CY$30-Voorblad!$F$37),0)</f>
        <v>0</v>
      </c>
      <c r="CZ45" s="9">
        <f>IF($W45=CZ$30,HA45*($Q45*$S45)/(1+Voorblad!$K$44)^(CZ$30-Voorblad!$F$37),0)</f>
        <v>0</v>
      </c>
      <c r="DA45" s="9">
        <f>IF($W45=DA$30,HB45*($Q45*$S45)/(1+Voorblad!$K$44)^(DA$30-Voorblad!$F$37),0)</f>
        <v>0</v>
      </c>
      <c r="DB45" s="9">
        <f>IF($W45=DB$30,HC45*($Q45*$S45)/(1+Voorblad!$K$44)^(DB$30-Voorblad!$F$37),0)</f>
        <v>0</v>
      </c>
      <c r="DC45" s="9">
        <f>IF($W45=DC$30,HD45*($Q45*$S45)/(1+Voorblad!$K$44)^(DC$30-Voorblad!$F$37),0)</f>
        <v>0</v>
      </c>
      <c r="DD45" s="9">
        <f>IF($W45=DD$30,HE45*($Q45*$S45)/(1+Voorblad!$K$44)^(DD$30-Voorblad!$F$37),0)</f>
        <v>0</v>
      </c>
      <c r="DE45" s="9">
        <f>IF($W45=DE$30,HF45*($Q45*$S45)/(1+Voorblad!$K$44)^(DE$30-Voorblad!$F$37),0)</f>
        <v>0</v>
      </c>
      <c r="DF45" s="9">
        <f>IF($W45=DF$30,HG45*($Q45*$S45)/(1+Voorblad!$K$44)^(DF$30-Voorblad!$F$37),0)</f>
        <v>0</v>
      </c>
      <c r="DG45" s="9">
        <f>IF($W45=DG$30,HH45*($Q45*$S45)/(1+Voorblad!$K$44)^(DG$30-Voorblad!$F$37),0)</f>
        <v>0</v>
      </c>
      <c r="DH45" s="9">
        <f>IF($W45=DH$30,HI45*($Q45*$S45)/(1+Voorblad!$K$44)^(DH$30-Voorblad!$F$37),0)</f>
        <v>0</v>
      </c>
      <c r="DI45" s="9">
        <f>IF($W45=DI$30,HJ45*($Q45*$S45)/(1+Voorblad!$K$44)^(DI$30-Voorblad!$F$37),0)</f>
        <v>0</v>
      </c>
      <c r="DJ45" s="9">
        <f>IF($W45=DJ$30,HK45*($Q45*$S45)/(1+Voorblad!$K$44)^(DJ$30-Voorblad!$F$37),0)</f>
        <v>0</v>
      </c>
      <c r="DK45" s="9">
        <f>IF($W45=DK$30,HL45*($Q45*$S45)/(1+Voorblad!$K$44)^(DK$30-Voorblad!$F$37),0)</f>
        <v>0</v>
      </c>
      <c r="DL45" s="9">
        <f>IF($W45=DL$30,HM45*($Q45*$S45)/(1+Voorblad!$K$44)^(DL$30-Voorblad!$F$37),0)</f>
        <v>0</v>
      </c>
      <c r="DM45" s="9">
        <f>IF($W45=DM$30,HN45*($Q45*$S45)/(1+Voorblad!$K$44)^(DM$30-Voorblad!$F$37),0)</f>
        <v>0</v>
      </c>
      <c r="DN45" s="9">
        <f>IF($W45=DN$30,HO45*($Q45*$S45)/(1+Voorblad!$K$44)^(DN$30-Voorblad!$F$37),0)</f>
        <v>0</v>
      </c>
      <c r="DO45" s="9">
        <f>IF($W45=DO$30,HP45*($Q45*$S45)/(1+Voorblad!$K$44)^(DO$30-Voorblad!$F$37),0)</f>
        <v>0</v>
      </c>
      <c r="DP45" s="9">
        <f>IF($W45=DP$30,HQ45*($Q45*$S45)/(1+Voorblad!$K$44)^(DP$30-Voorblad!$F$37),0)</f>
        <v>0</v>
      </c>
      <c r="DQ45" s="9">
        <f>IF($W45=DQ$30,HR45*($Q45*$S45)/(1+Voorblad!$K$44)^(DQ$30-Voorblad!$F$37),0)</f>
        <v>0</v>
      </c>
      <c r="DR45" s="9">
        <f>IF($W45=DR$30,HS45*($Q45*$S45)/(1+Voorblad!$K$44)^(DR$30-Voorblad!$F$37),0)</f>
        <v>0</v>
      </c>
      <c r="DS45" s="9">
        <f>IF($W45=DS$30,HT45*($Q45*$S45)/(1+Voorblad!$K$44)^(DS$30-Voorblad!$F$37),0)</f>
        <v>0</v>
      </c>
      <c r="DT45" s="9">
        <f>IF($W45=DT$30,HU45*($Q45*$S45)/(1+Voorblad!$K$44)^(DT$30-Voorblad!$F$37),0)</f>
        <v>0</v>
      </c>
      <c r="DU45" s="9">
        <f>IF($W45=DU$30,HV45*($Q45*$S45)/(1+Voorblad!$K$44)^(DU$30-Voorblad!$F$37),0)</f>
        <v>0</v>
      </c>
      <c r="DV45" s="9">
        <f>IF($W45=DV$30,HW45*($Q45*$S45)/(1+Voorblad!$K$44)^(DV$30-Voorblad!$F$37),0)</f>
        <v>0</v>
      </c>
      <c r="DW45" s="9">
        <f>IF($W45=DW$30,HX45*($Q45*$S45)/(1+Voorblad!$K$44)^(DW$30-Voorblad!$F$37),0)</f>
        <v>0</v>
      </c>
      <c r="DX45" s="9">
        <f>IF($W45=DX$30,HY45*($Q45*$S45)/(1+Voorblad!$K$44)^(DX$30-Voorblad!$F$37),0)</f>
        <v>0</v>
      </c>
      <c r="DY45" s="9">
        <f>IF($W45=DY$30,HZ45*($Q45*$S45)/(1+Voorblad!$K$44)^(DY$30-Voorblad!$F$37),0)</f>
        <v>0</v>
      </c>
      <c r="DZ45" s="9">
        <f>IF($W45=DZ$30,IA45*($Q45*$S45)/(1+Voorblad!$K$44)^(DZ$30-Voorblad!$F$37),0)</f>
        <v>0</v>
      </c>
      <c r="EA45" s="9">
        <f>IF($W45=EA$30,IB45*($Q45*$S45)/(1+Voorblad!$K$44)^(EA$30-Voorblad!$F$37),0)</f>
        <v>0</v>
      </c>
      <c r="EB45" s="9">
        <f>IF($W45=EB$30,IC45*($Q45*$S45)/(1+Voorblad!$K$44)^(EB$30-Voorblad!$F$37),0)</f>
        <v>0</v>
      </c>
      <c r="EE45" s="8">
        <v>0</v>
      </c>
      <c r="EF45" s="8">
        <f>IF(EF$30-Voorblad!$F$37&gt;Voorblad!$K$37,0,IF($U45=0,0,IF($U45&lt;1,1/$U45,IF((EF$30-Voorblad!$F$37)/$U45-SUM($EE45:EE45)=1,1,0))))</f>
        <v>0</v>
      </c>
      <c r="EG45" s="8">
        <f>IF(EG$30-Voorblad!$F$37&gt;Voorblad!$K$37,0,IF($U45=0,0,IF($U45&lt;1,1/$U45,IF((EG$30-Voorblad!$F$37)/$U45-SUM($EE45:EF45)=1,1,0))))</f>
        <v>1</v>
      </c>
      <c r="EH45" s="8">
        <f>IF(EH$30-Voorblad!$F$37&gt;Voorblad!$K$37,0,IF($U45=0,0,IF($U45&lt;1,1/$U45,IF((EH$30-Voorblad!$F$37)/$U45-SUM($EE45:EG45)=1,1,0))))</f>
        <v>1</v>
      </c>
      <c r="EI45" s="8">
        <f>IF(EI$30-Voorblad!$F$37&gt;Voorblad!$K$37,0,IF($U45=0,0,IF($U45&lt;1,1/$U45,IF((EI$30-Voorblad!$F$37)/$U45-SUM($EE45:EH45)=1,1,0))))</f>
        <v>1</v>
      </c>
      <c r="EJ45" s="8">
        <f>IF(EJ$30-Voorblad!$F$37&gt;Voorblad!$K$37,0,IF($U45=0,0,IF($U45&lt;1,1/$U45,IF((EJ$30-Voorblad!$F$37)/$U45-SUM($EE45:EI45)=1,1,0))))</f>
        <v>1</v>
      </c>
      <c r="EK45" s="8">
        <f>IF(EK$30-Voorblad!$F$37&gt;Voorblad!$K$37,0,IF($U45=0,0,IF($U45&lt;1,1/$U45,IF((EK$30-Voorblad!$F$37)/$U45-SUM($EE45:EJ45)=1,1,0))))</f>
        <v>1</v>
      </c>
      <c r="EL45" s="8">
        <f>IF(EL$30-Voorblad!$F$37&gt;Voorblad!$K$37,0,IF($U45=0,0,IF($U45&lt;1,1/$U45,IF((EL$30-Voorblad!$F$37)/$U45-SUM($EE45:EK45)=1,1,0))))</f>
        <v>1</v>
      </c>
      <c r="EM45" s="8">
        <f>IF(EM$30-Voorblad!$F$37&gt;Voorblad!$K$37,0,IF($U45=0,0,IF($U45&lt;1,1/$U45,IF((EM$30-Voorblad!$F$37)/$U45-SUM($EE45:EL45)=1,1,0))))</f>
        <v>1</v>
      </c>
      <c r="EN45" s="8">
        <f>IF(EN$30-Voorblad!$F$37&gt;Voorblad!$K$37,0,IF($U45=0,0,IF($U45&lt;1,1/$U45,IF((EN$30-Voorblad!$F$37)/$U45-SUM($EE45:EM45)=1,1,0))))</f>
        <v>1</v>
      </c>
      <c r="EO45" s="8">
        <f>IF(EO$30-Voorblad!$F$37&gt;Voorblad!$K$37,0,IF($U45=0,0,IF($U45&lt;1,1/$U45,IF((EO$30-Voorblad!$F$37)/$U45-SUM($EE45:EN45)=1,1,0))))</f>
        <v>1</v>
      </c>
      <c r="EP45" s="8">
        <f>IF(EP$30-Voorblad!$F$37&gt;Voorblad!$K$37,0,IF($U45=0,0,IF($U45&lt;1,1/$U45,IF((EP$30-Voorblad!$F$37)/$U45-SUM($EE45:EO45)=1,1,0))))</f>
        <v>1</v>
      </c>
      <c r="EQ45" s="8">
        <f>IF(EQ$30-Voorblad!$F$37&gt;Voorblad!$K$37,0,IF($U45=0,0,IF($U45&lt;1,1/$U45,IF((EQ$30-Voorblad!$F$37)/$U45-SUM($EE45:EP45)=1,1,0))))</f>
        <v>0</v>
      </c>
      <c r="ER45" s="8">
        <f>IF(ER$30-Voorblad!$F$37&gt;Voorblad!$K$37,0,IF($U45=0,0,IF($U45&lt;1,1/$U45,IF((ER$30-Voorblad!$F$37)/$U45-SUM($EE45:EQ45)=1,1,0))))</f>
        <v>0</v>
      </c>
      <c r="ES45" s="8">
        <f>IF(ES$30-Voorblad!$F$37&gt;Voorblad!$K$37,0,IF($U45=0,0,IF($U45&lt;1,1/$U45,IF((ES$30-Voorblad!$F$37)/$U45-SUM($EE45:ER45)=1,1,0))))</f>
        <v>0</v>
      </c>
      <c r="ET45" s="8">
        <f>IF(ET$30-Voorblad!$F$37&gt;Voorblad!$K$37,0,IF($U45=0,0,IF($U45&lt;1,1/$U45,IF((ET$30-Voorblad!$F$37)/$U45-SUM($EE45:ES45)=1,1,0))))</f>
        <v>0</v>
      </c>
      <c r="EU45" s="8">
        <f>IF(EU$30-Voorblad!$F$37&gt;Voorblad!$K$37,0,IF($U45=0,0,IF($U45&lt;1,1/$U45,IF((EU$30-Voorblad!$F$37)/$U45-SUM($EE45:ET45)=1,1,0))))</f>
        <v>0</v>
      </c>
      <c r="EV45" s="8">
        <f>IF(EV$30-Voorblad!$F$37&gt;Voorblad!$K$37,0,IF($U45=0,0,IF($U45&lt;1,1/$U45,IF((EV$30-Voorblad!$F$37)/$U45-SUM($EE45:EU45)=1,1,0))))</f>
        <v>0</v>
      </c>
      <c r="EW45" s="8">
        <f>IF(EW$30-Voorblad!$F$37&gt;Voorblad!$K$37,0,IF($U45=0,0,IF($U45&lt;1,1/$U45,IF((EW$30-Voorblad!$F$37)/$U45-SUM($EE45:EV45)=1,1,0))))</f>
        <v>0</v>
      </c>
      <c r="EX45" s="8">
        <f>IF(EX$30-Voorblad!$F$37&gt;Voorblad!$K$37,0,IF($U45=0,0,IF($U45&lt;1,1/$U45,IF((EX$30-Voorblad!$F$37)/$U45-SUM($EE45:EW45)=1,1,0))))</f>
        <v>0</v>
      </c>
      <c r="EY45" s="8">
        <f>IF(EY$30-Voorblad!$F$37&gt;Voorblad!$K$37,0,IF($U45=0,0,IF($U45&lt;1,1/$U45,IF((EY$30-Voorblad!$F$37)/$U45-SUM($EE45:EX45)=1,1,0))))</f>
        <v>0</v>
      </c>
      <c r="EZ45" s="8">
        <f>IF(EZ$30-Voorblad!$F$37&gt;Voorblad!$K$37,0,IF($U45=0,0,IF($U45&lt;1,1/$U45,IF((EZ$30-Voorblad!$F$37)/$U45-SUM($EE45:EY45)=1,1,0))))</f>
        <v>0</v>
      </c>
      <c r="FA45" s="8">
        <f>IF(FA$30-Voorblad!$F$37&gt;Voorblad!$K$37,0,IF($U45=0,0,IF($U45&lt;1,1/$U45,IF((FA$30-Voorblad!$F$37)/$U45-SUM($EE45:EZ45)=1,1,0))))</f>
        <v>0</v>
      </c>
      <c r="FB45" s="8">
        <f>IF(FB$30-Voorblad!$F$37&gt;Voorblad!$K$37,0,IF($U45=0,0,IF($U45&lt;1,1/$U45,IF((FB$30-Voorblad!$F$37)/$U45-SUM($EE45:FA45)=1,1,0))))</f>
        <v>0</v>
      </c>
      <c r="FC45" s="8">
        <f>IF(FC$30-Voorblad!$F$37&gt;Voorblad!$K$37,0,IF($U45=0,0,IF($U45&lt;1,1/$U45,IF((FC$30-Voorblad!$F$37)/$U45-SUM($EE45:FB45)=1,1,0))))</f>
        <v>0</v>
      </c>
      <c r="FD45" s="8">
        <f>IF(FD$30-Voorblad!$F$37&gt;Voorblad!$K$37,0,IF($U45=0,0,IF($U45&lt;1,1/$U45,IF((FD$30-Voorblad!$F$37)/$U45-SUM($EE45:FC45)=1,1,0))))</f>
        <v>0</v>
      </c>
      <c r="FE45" s="8">
        <f>IF(FE$30-Voorblad!$F$37&gt;Voorblad!$K$37,0,IF($U45=0,0,IF($U45&lt;1,1/$U45,IF((FE$30-Voorblad!$F$37)/$U45-SUM($EE45:FD45)=1,1,0))))</f>
        <v>0</v>
      </c>
      <c r="FF45" s="8">
        <f>IF(FF$30-Voorblad!$F$37&gt;Voorblad!$K$37,0,IF($U45=0,0,IF($U45&lt;1,1/$U45,IF((FF$30-Voorblad!$F$37)/$U45-SUM($EE45:FE45)=1,1,0))))</f>
        <v>0</v>
      </c>
      <c r="FG45" s="8">
        <f>IF(FG$30-Voorblad!$F$37&gt;Voorblad!$K$37,0,IF($U45=0,0,IF($U45&lt;1,1/$U45,IF((FG$30-Voorblad!$F$37)/$U45-SUM($EE45:FF45)=1,1,0))))</f>
        <v>0</v>
      </c>
      <c r="FH45" s="8">
        <f>IF(FH$30-Voorblad!$F$37&gt;Voorblad!$K$37,0,IF($U45=0,0,IF($U45&lt;1,1/$U45,IF((FH$30-Voorblad!$F$37)/$U45-SUM($EE45:FG45)=1,1,0))))</f>
        <v>0</v>
      </c>
      <c r="FI45" s="8">
        <f>IF(FI$30-Voorblad!$F$37&gt;Voorblad!$K$37,0,IF($U45=0,0,IF($U45&lt;1,1/$U45,IF((FI$30-Voorblad!$F$37)/$U45-SUM($EE45:FH45)=1,1,0))))</f>
        <v>0</v>
      </c>
      <c r="FJ45" s="8">
        <f>IF(FJ$30-Voorblad!$F$37&gt;Voorblad!$K$37,0,IF($U45=0,0,IF($U45&lt;1,1/$U45,IF((FJ$30-Voorblad!$F$37)/$U45-SUM($EE45:FI45)=1,1,0))))</f>
        <v>0</v>
      </c>
      <c r="FK45" s="8">
        <f>IF(FK$30-Voorblad!$F$37&gt;Voorblad!$K$37,0,IF($U45=0,0,IF($U45&lt;1,1/$U45,IF((FK$30-Voorblad!$F$37)/$U45-SUM($EE45:FJ45)=1,1,0))))</f>
        <v>0</v>
      </c>
      <c r="FL45" s="8">
        <f>IF(FL$30-Voorblad!$F$37&gt;Voorblad!$K$37,0,IF($U45=0,0,IF($U45&lt;1,1/$U45,IF((FL$30-Voorblad!$F$37)/$U45-SUM($EE45:FK45)=1,1,0))))</f>
        <v>0</v>
      </c>
      <c r="FM45" s="8">
        <f>IF(FM$30-Voorblad!$F$37&gt;Voorblad!$K$37,0,IF($U45=0,0,IF($U45&lt;1,1/$U45,IF((FM$30-Voorblad!$F$37)/$U45-SUM($EE45:FL45)=1,1,0))))</f>
        <v>0</v>
      </c>
      <c r="FN45" s="8">
        <f>IF(FN$30-Voorblad!$F$37&gt;Voorblad!$K$37,0,IF($U45=0,0,IF($U45&lt;1,1/$U45,IF((FN$30-Voorblad!$F$37)/$U45-SUM($EE45:FM45)=1,1,0))))</f>
        <v>0</v>
      </c>
      <c r="FO45" s="8">
        <f>IF(FO$30-Voorblad!$F$37&gt;Voorblad!$K$37,0,IF($U45=0,0,IF($U45&lt;1,1/$U45,IF((FO$30-Voorblad!$F$37)/$U45-SUM($EE45:FN45)=1,1,0))))</f>
        <v>0</v>
      </c>
      <c r="FP45" s="8">
        <f>IF(FP$30-Voorblad!$F$37&gt;Voorblad!$K$37,0,IF($U45=0,0,IF($U45&lt;1,1/$U45,IF((FP$30-Voorblad!$F$37)/$U45-SUM($EE45:FO45)=1,1,0))))</f>
        <v>0</v>
      </c>
      <c r="FQ45" s="8">
        <f>IF(FQ$30-Voorblad!$F$37&gt;Voorblad!$K$37,0,IF($U45=0,0,IF($U45&lt;1,1/$U45,IF((FQ$30-Voorblad!$F$37)/$U45-SUM($EE45:FP45)=1,1,0))))</f>
        <v>0</v>
      </c>
      <c r="FR45" s="8">
        <f>IF(FR$30-Voorblad!$F$37&gt;Voorblad!$K$37,0,IF($U45=0,0,IF($U45&lt;1,1/$U45,IF((FR$30-Voorblad!$F$37)/$U45-SUM($EE45:FQ45)=1,1,0))))</f>
        <v>0</v>
      </c>
      <c r="FS45" s="8">
        <f>IF(FS$30-Voorblad!$F$37&gt;Voorblad!$K$37,0,IF($U45=0,0,IF($U45&lt;1,1/$U45,IF((FS$30-Voorblad!$F$37)/$U45-SUM($EE45:FR45)=1,1,0))))</f>
        <v>0</v>
      </c>
      <c r="FT45" s="8">
        <f>IF(FT$30-Voorblad!$F$37&gt;Voorblad!$K$37,0,IF($U45=0,0,IF($U45&lt;1,1/$U45,IF((FT$30-Voorblad!$F$37)/$U45-SUM($EE45:FS45)=1,1,0))))</f>
        <v>0</v>
      </c>
      <c r="FU45" s="8">
        <f>IF(FU$30-Voorblad!$F$37&gt;Voorblad!$K$37,0,IF($U45=0,0,IF($U45&lt;1,1/$U45,IF((FU$30-Voorblad!$F$37)/$U45-SUM($EE45:FT45)=1,1,0))))</f>
        <v>0</v>
      </c>
      <c r="FV45" s="8">
        <f>IF(FV$30-Voorblad!$F$37&gt;Voorblad!$K$37,0,IF($U45=0,0,IF($U45&lt;1,1/$U45,IF((FV$30-Voorblad!$F$37)/$U45-SUM($EE45:FU45)=1,1,0))))</f>
        <v>0</v>
      </c>
      <c r="FW45" s="8">
        <f>IF(FW$30-Voorblad!$F$37&gt;Voorblad!$K$37,0,IF($U45=0,0,IF($U45&lt;1,1/$U45,IF((FW$30-Voorblad!$F$37)/$U45-SUM($EE45:FV45)=1,1,0))))</f>
        <v>0</v>
      </c>
      <c r="FX45" s="8">
        <f>IF(FX$30-Voorblad!$F$37&gt;Voorblad!$K$37,0,IF($U45=0,0,IF($U45&lt;1,1/$U45,IF((FX$30-Voorblad!$F$37)/$U45-SUM($EE45:FW45)=1,1,0))))</f>
        <v>0</v>
      </c>
      <c r="FY45" s="8">
        <f>IF(FY$30-Voorblad!$F$37&gt;Voorblad!$K$37,0,IF($U45=0,0,IF($U45&lt;1,1/$U45,IF((FY$30-Voorblad!$F$37)/$U45-SUM($EE45:FX45)=1,1,0))))</f>
        <v>0</v>
      </c>
      <c r="FZ45" s="8">
        <f>IF(FZ$30-Voorblad!$F$37&gt;Voorblad!$K$37,0,IF($U45=0,0,IF($U45&lt;1,1/$U45,IF((FZ$30-Voorblad!$F$37)/$U45-SUM($EE45:FY45)=1,1,0))))</f>
        <v>0</v>
      </c>
      <c r="GA45" s="8">
        <f>IF(GA$30-Voorblad!$F$37&gt;Voorblad!$K$37,0,IF($U45=0,0,IF($U45&lt;1,1/$U45,IF((GA$30-Voorblad!$F$37)/$U45-SUM($EE45:FZ45)=1,1,0))))</f>
        <v>0</v>
      </c>
      <c r="GB45" s="8">
        <f>IF(GB$30-Voorblad!$F$37&gt;Voorblad!$K$37,0,IF($U45=0,0,IF($U45&lt;1,1/$U45,IF((GB$30-Voorblad!$F$37)/$U45-SUM($EE45:GA45)=1,1,0))))</f>
        <v>0</v>
      </c>
      <c r="GC45" s="8">
        <f>IF(GC$30-Voorblad!$F$37&gt;Voorblad!$K$37,0,IF($U45=0,0,IF($U45&lt;1,1/$U45,IF((GC$30-Voorblad!$F$37)/$U45-SUM($EE45:GB45)=1,1,0))))</f>
        <v>0</v>
      </c>
      <c r="GD45" s="8">
        <f>IF(GD$30-Voorblad!$F$37&gt;Voorblad!$K$37,0,IF($U45=0,0,IF($U45&lt;1,1/$U45,IF((GD$30-Voorblad!$F$37)/$U45-SUM($EE45:GC45)=1,1,0))))</f>
        <v>0</v>
      </c>
      <c r="GE45" s="8">
        <f>IF(GE$30-Voorblad!$F$37&gt;Voorblad!$K$37,0,IF($U45=0,0,IF($U45&lt;1,1/$U45,IF((GE$30-Voorblad!$F$37)/$U45-SUM($EE45:GD45)=1,1,0))))</f>
        <v>0</v>
      </c>
      <c r="GF45" s="8">
        <f>IF(GF$30-Voorblad!$F$37&gt;Voorblad!$K$37,0,IF($U45=0,0,IF($U45&lt;1,1/$U45,IF((GF$30-Voorblad!$F$37)/$U45-SUM($EE45:GE45)=1,1,0))))</f>
        <v>0</v>
      </c>
      <c r="GG45" s="8">
        <f>IF(GG$30-Voorblad!$F$37&gt;Voorblad!$K$37,0,IF($U45=0,0,IF($U45&lt;1,1/$U45,IF((GG$30-Voorblad!$F$37)/$U45-SUM($EE45:GF45)=1,1,0))))</f>
        <v>0</v>
      </c>
      <c r="GH45" s="8">
        <f>IF(GH$30-Voorblad!$F$37&gt;Voorblad!$K$37,0,IF($U45=0,0,IF($U45&lt;1,1/$U45,IF((GH$30-Voorblad!$F$37)/$U45-SUM($EE45:GG45)=1,1,0))))</f>
        <v>0</v>
      </c>
      <c r="GI45" s="8">
        <f>IF(GI$30-Voorblad!$F$37&gt;Voorblad!$K$37,0,IF($U45=0,0,IF($U45&lt;1,1/$U45,IF((GI$30-Voorblad!$F$37)/$U45-SUM($EE45:GH45)=1,1,0))))</f>
        <v>0</v>
      </c>
      <c r="GJ45" s="8">
        <f>IF(GJ$30-Voorblad!$F$37&gt;Voorblad!$K$37,0,IF($U45=0,0,IF($U45&lt;1,1/$U45,IF((GJ$30-Voorblad!$F$37)/$U45-SUM($EE45:GI45)=1,1,0))))</f>
        <v>0</v>
      </c>
      <c r="GK45" s="8">
        <f>IF(GK$30-Voorblad!$F$37&gt;Voorblad!$K$37,0,IF($U45=0,0,IF($U45&lt;1,1/$U45,IF((GK$30-Voorblad!$F$37)/$U45-SUM($EE45:GJ45)=1,1,0))))</f>
        <v>0</v>
      </c>
      <c r="GL45" s="8">
        <f>IF(GL$30-Voorblad!$F$37&gt;Voorblad!$K$37,0,IF($U45=0,0,IF($U45&lt;1,1/$U45,IF((GL$30-Voorblad!$F$37)/$U45-SUM($EE45:GK45)=1,1,0))))</f>
        <v>0</v>
      </c>
      <c r="GM45" s="8">
        <f>IF(GM$30-Voorblad!$F$37&gt;Voorblad!$K$37,0,IF($U45=0,0,IF($U45&lt;1,1/$U45,IF((GM$30-Voorblad!$F$37)/$U45-SUM($EE45:GL45)=1,1,0))))</f>
        <v>0</v>
      </c>
      <c r="GN45" s="8">
        <f>IF(GN$30-Voorblad!$F$37&gt;Voorblad!$K$37,0,IF($U45=0,0,IF($U45&lt;1,1/$U45,IF((GN$30-Voorblad!$F$37)/$U45-SUM($EE45:GM45)=1,1,0))))</f>
        <v>0</v>
      </c>
      <c r="GO45" s="8">
        <f>IF(GO$30-Voorblad!$F$37&gt;Voorblad!$K$37,0,IF($U45=0,0,IF($U45&lt;1,1/$U45,IF((GO$30-Voorblad!$F$37)/$U45-SUM($EE45:GN45)=1,1,0))))</f>
        <v>0</v>
      </c>
      <c r="GP45" s="8">
        <f>IF(GP$30-Voorblad!$F$37&gt;Voorblad!$K$37,0,IF($U45=0,0,IF($U45&lt;1,1/$U45,IF((GP$30-Voorblad!$F$37)/$U45-SUM($EE45:GO45)=1,1,0))))</f>
        <v>0</v>
      </c>
      <c r="GQ45" s="8">
        <f>IF(GQ$30-Voorblad!$F$37&gt;Voorblad!$K$37,0,IF($U45=0,0,IF($U45&lt;1,1/$U45,IF((GQ$30-Voorblad!$F$37)/$U45-SUM($EE45:GP45)=1,1,0))))</f>
        <v>0</v>
      </c>
      <c r="GR45" s="8">
        <f>IF(GR$30-Voorblad!$F$37&gt;Voorblad!$K$37,0,IF($U45=0,0,IF($U45&lt;1,1/$U45,IF((GR$30-Voorblad!$F$37)/$U45-SUM($EE45:GQ45)=1,1,0))))</f>
        <v>0</v>
      </c>
      <c r="GS45" s="8">
        <f>IF(GS$30-Voorblad!$F$37&gt;Voorblad!$K$37,0,IF($U45=0,0,IF($U45&lt;1,1/$U45,IF((GS$30-Voorblad!$F$37)/$U45-SUM($EE45:GR45)=1,1,0))))</f>
        <v>0</v>
      </c>
      <c r="GT45" s="8">
        <f>IF(GT$30-Voorblad!$F$37&gt;Voorblad!$K$37,0,IF($U45=0,0,IF($U45&lt;1,1/$U45,IF((GT$30-Voorblad!$F$37)/$U45-SUM($EE45:GS45)=1,1,0))))</f>
        <v>0</v>
      </c>
      <c r="GU45" s="8">
        <f>IF(GU$30-Voorblad!$F$37&gt;Voorblad!$K$37,0,IF($U45=0,0,IF($U45&lt;1,1/$U45,IF((GU$30-Voorblad!$F$37)/$U45-SUM($EE45:GT45)=1,1,0))))</f>
        <v>0</v>
      </c>
      <c r="GV45" s="8">
        <f>IF(GV$30-Voorblad!$F$37&gt;Voorblad!$K$37,0,IF($U45=0,0,IF($U45&lt;1,1/$U45,IF((GV$30-Voorblad!$F$37)/$U45-SUM($EE45:GU45)=1,1,0))))</f>
        <v>0</v>
      </c>
      <c r="GW45" s="8">
        <f>IF(GW$30-Voorblad!$F$37&gt;Voorblad!$K$37,0,IF($U45=0,0,IF($U45&lt;1,1/$U45,IF((GW$30-Voorblad!$F$37)/$U45-SUM($EE45:GV45)=1,1,0))))</f>
        <v>0</v>
      </c>
      <c r="GX45" s="8">
        <f>IF(GX$30-Voorblad!$F$37&gt;Voorblad!$K$37,0,IF($U45=0,0,IF($U45&lt;1,1/$U45,IF((GX$30-Voorblad!$F$37)/$U45-SUM($EE45:GW45)=1,1,0))))</f>
        <v>0</v>
      </c>
      <c r="GY45" s="8">
        <f>IF(GY$30-Voorblad!$F$37&gt;Voorblad!$K$37,0,IF($U45=0,0,IF($U45&lt;1,1/$U45,IF((GY$30-Voorblad!$F$37)/$U45-SUM($EE45:GX45)=1,1,0))))</f>
        <v>0</v>
      </c>
      <c r="GZ45" s="8">
        <f>IF(GZ$30-Voorblad!$F$37&gt;Voorblad!$K$37,0,IF($U45=0,0,IF($U45&lt;1,1/$U45,IF((GZ$30-Voorblad!$F$37)/$U45-SUM($EE45:GY45)=1,1,0))))</f>
        <v>0</v>
      </c>
      <c r="HA45" s="8">
        <f>IF(HA$30-Voorblad!$F$37&gt;Voorblad!$K$37,0,IF($U45=0,0,IF($U45&lt;1,1/$U45,IF((HA$30-Voorblad!$F$37)/$U45-SUM($EE45:GZ45)=1,1,0))))</f>
        <v>0</v>
      </c>
      <c r="HB45" s="8">
        <f>IF(HB$30-Voorblad!$F$37&gt;Voorblad!$K$37,0,IF($U45=0,0,IF($U45&lt;1,1/$U45,IF((HB$30-Voorblad!$F$37)/$U45-SUM($EE45:HA45)=1,1,0))))</f>
        <v>0</v>
      </c>
      <c r="HC45" s="8">
        <f>IF(HC$30-Voorblad!$F$37&gt;Voorblad!$K$37,0,IF($U45=0,0,IF($U45&lt;1,1/$U45,IF((HC$30-Voorblad!$F$37)/$U45-SUM($EE45:HB45)=1,1,0))))</f>
        <v>0</v>
      </c>
      <c r="HD45" s="8">
        <f>IF(HD$30-Voorblad!$F$37&gt;Voorblad!$K$37,0,IF($U45=0,0,IF($U45&lt;1,1/$U45,IF((HD$30-Voorblad!$F$37)/$U45-SUM($EE45:HC45)=1,1,0))))</f>
        <v>0</v>
      </c>
      <c r="HE45" s="8">
        <f>IF(HE$30-Voorblad!$F$37&gt;Voorblad!$K$37,0,IF($U45=0,0,IF($U45&lt;1,1/$U45,IF((HE$30-Voorblad!$F$37)/$U45-SUM($EE45:HD45)=1,1,0))))</f>
        <v>0</v>
      </c>
      <c r="HF45" s="8">
        <f>IF(HF$30-Voorblad!$F$37&gt;Voorblad!$K$37,0,IF($U45=0,0,IF($U45&lt;1,1/$U45,IF((HF$30-Voorblad!$F$37)/$U45-SUM($EE45:HE45)=1,1,0))))</f>
        <v>0</v>
      </c>
      <c r="HG45" s="8">
        <f>IF(HG$30-Voorblad!$F$37&gt;Voorblad!$K$37,0,IF($U45=0,0,IF($U45&lt;1,1/$U45,IF((HG$30-Voorblad!$F$37)/$U45-SUM($EE45:HF45)=1,1,0))))</f>
        <v>0</v>
      </c>
      <c r="HH45" s="8">
        <f>IF(HH$30-Voorblad!$F$37&gt;Voorblad!$K$37,0,IF($U45=0,0,IF($U45&lt;1,1/$U45,IF((HH$30-Voorblad!$F$37)/$U45-SUM($EE45:HG45)=1,1,0))))</f>
        <v>0</v>
      </c>
      <c r="HI45" s="8">
        <f>IF(HI$30-Voorblad!$F$37&gt;Voorblad!$K$37,0,IF($U45=0,0,IF($U45&lt;1,1/$U45,IF((HI$30-Voorblad!$F$37)/$U45-SUM($EE45:HH45)=1,1,0))))</f>
        <v>0</v>
      </c>
      <c r="HJ45" s="8">
        <f>IF(HJ$30-Voorblad!$F$37&gt;Voorblad!$K$37,0,IF($U45=0,0,IF($U45&lt;1,1/$U45,IF((HJ$30-Voorblad!$F$37)/$U45-SUM($EE45:HI45)=1,1,0))))</f>
        <v>0</v>
      </c>
      <c r="HK45" s="8">
        <f>IF(HK$30-Voorblad!$F$37&gt;Voorblad!$K$37,0,IF($U45=0,0,IF($U45&lt;1,1/$U45,IF((HK$30-Voorblad!$F$37)/$U45-SUM($EE45:HJ45)=1,1,0))))</f>
        <v>0</v>
      </c>
      <c r="HL45" s="8">
        <f>IF(HL$30-Voorblad!$F$37&gt;Voorblad!$K$37,0,IF($U45=0,0,IF($U45&lt;1,1/$U45,IF((HL$30-Voorblad!$F$37)/$U45-SUM($EE45:HK45)=1,1,0))))</f>
        <v>0</v>
      </c>
      <c r="HM45" s="8">
        <f>IF(HM$30-Voorblad!$F$37&gt;Voorblad!$K$37,0,IF($U45=0,0,IF($U45&lt;1,1/$U45,IF((HM$30-Voorblad!$F$37)/$U45-SUM($EE45:HL45)=1,1,0))))</f>
        <v>0</v>
      </c>
      <c r="HN45" s="8">
        <f>IF(HN$30-Voorblad!$F$37&gt;Voorblad!$K$37,0,IF($U45=0,0,IF($U45&lt;1,1/$U45,IF((HN$30-Voorblad!$F$37)/$U45-SUM($EE45:HM45)=1,1,0))))</f>
        <v>0</v>
      </c>
      <c r="HO45" s="8">
        <f>IF(HO$30-Voorblad!$F$37&gt;Voorblad!$K$37,0,IF($U45=0,0,IF($U45&lt;1,1/$U45,IF((HO$30-Voorblad!$F$37)/$U45-SUM($EE45:HN45)=1,1,0))))</f>
        <v>0</v>
      </c>
      <c r="HP45" s="8">
        <f>IF(HP$30-Voorblad!$F$37&gt;Voorblad!$K$37,0,IF($U45=0,0,IF($U45&lt;1,1/$U45,IF((HP$30-Voorblad!$F$37)/$U45-SUM($EE45:HO45)=1,1,0))))</f>
        <v>0</v>
      </c>
      <c r="HQ45" s="8">
        <f>IF(HQ$30-Voorblad!$F$37&gt;Voorblad!$K$37,0,IF($U45=0,0,IF($U45&lt;1,1/$U45,IF((HQ$30-Voorblad!$F$37)/$U45-SUM($EE45:HP45)=1,1,0))))</f>
        <v>0</v>
      </c>
      <c r="HR45" s="8">
        <f>IF(HR$30-Voorblad!$F$37&gt;Voorblad!$K$37,0,IF($U45=0,0,IF($U45&lt;1,1/$U45,IF((HR$30-Voorblad!$F$37)/$U45-SUM($EE45:HQ45)=1,1,0))))</f>
        <v>0</v>
      </c>
      <c r="HS45" s="8">
        <f>IF(HS$30-Voorblad!$F$37&gt;Voorblad!$K$37,0,IF($U45=0,0,IF($U45&lt;1,1/$U45,IF((HS$30-Voorblad!$F$37)/$U45-SUM($EE45:HR45)=1,1,0))))</f>
        <v>0</v>
      </c>
      <c r="HT45" s="8">
        <f>IF(HT$30-Voorblad!$F$37&gt;Voorblad!$K$37,0,IF($U45=0,0,IF($U45&lt;1,1/$U45,IF((HT$30-Voorblad!$F$37)/$U45-SUM($EE45:HS45)=1,1,0))))</f>
        <v>0</v>
      </c>
      <c r="HU45" s="8">
        <f>IF(HU$30-Voorblad!$F$37&gt;Voorblad!$K$37,0,IF($U45=0,0,IF($U45&lt;1,1/$U45,IF((HU$30-Voorblad!$F$37)/$U45-SUM($EE45:HT45)=1,1,0))))</f>
        <v>0</v>
      </c>
      <c r="HV45" s="8">
        <f>IF(HV$30-Voorblad!$F$37&gt;Voorblad!$K$37,0,IF($U45=0,0,IF($U45&lt;1,1/$U45,IF((HV$30-Voorblad!$F$37)/$U45-SUM($EE45:HU45)=1,1,0))))</f>
        <v>0</v>
      </c>
      <c r="HW45" s="8">
        <f>IF(HW$30-Voorblad!$F$37&gt;Voorblad!$K$37,0,IF($U45=0,0,IF($U45&lt;1,1/$U45,IF((HW$30-Voorblad!$F$37)/$U45-SUM($EE45:HV45)=1,1,0))))</f>
        <v>0</v>
      </c>
      <c r="HX45" s="8">
        <f>IF(HX$30-Voorblad!$F$37&gt;Voorblad!$K$37,0,IF($U45=0,0,IF($U45&lt;1,1/$U45,IF((HX$30-Voorblad!$F$37)/$U45-SUM($EE45:HW45)=1,1,0))))</f>
        <v>0</v>
      </c>
      <c r="HY45" s="8">
        <f>IF(HY$30-Voorblad!$F$37&gt;Voorblad!$K$37,0,IF($U45=0,0,IF($U45&lt;1,1/$U45,IF((HY$30-Voorblad!$F$37)/$U45-SUM($EE45:HX45)=1,1,0))))</f>
        <v>0</v>
      </c>
      <c r="HZ45" s="8">
        <f>IF(HZ$30-Voorblad!$F$37&gt;Voorblad!$K$37,0,IF($U45=0,0,IF($U45&lt;1,1/$U45,IF((HZ$30-Voorblad!$F$37)/$U45-SUM($EE45:HY45)=1,1,0))))</f>
        <v>0</v>
      </c>
      <c r="IA45" s="8">
        <f>IF(IA$30-Voorblad!$F$37&gt;Voorblad!$K$37,0,IF($U45=0,0,IF($U45&lt;1,1/$U45,IF((IA$30-Voorblad!$F$37)/$U45-SUM($EE45:HZ45)=1,1,0))))</f>
        <v>0</v>
      </c>
      <c r="IB45" s="8">
        <f>IF(IB$30-Voorblad!$F$37&gt;Voorblad!$K$37,0,IF($U45=0,0,IF($U45&lt;1,1/$U45,IF((IB$30-Voorblad!$F$37)/$U45-SUM($EE45:IA45)=1,1,0))))</f>
        <v>0</v>
      </c>
    </row>
    <row r="46" spans="2:236" x14ac:dyDescent="0.25">
      <c r="B46" s="22">
        <v>1</v>
      </c>
      <c r="C46" s="120" t="s">
        <v>22</v>
      </c>
      <c r="D46" s="120" t="s">
        <v>112</v>
      </c>
      <c r="E46" s="76" t="s">
        <v>112</v>
      </c>
      <c r="F46" s="1" t="s">
        <v>27</v>
      </c>
      <c r="I46" s="1" t="s">
        <v>49</v>
      </c>
      <c r="K46" s="1" t="s">
        <v>109</v>
      </c>
      <c r="O46" s="14" t="s">
        <v>229</v>
      </c>
      <c r="P46" s="14"/>
      <c r="Q46" s="83">
        <f>(8.43*8.02)+(2*(15.9*1.705))</f>
        <v>121.82759999999999</v>
      </c>
      <c r="R46" s="81" t="s">
        <v>35</v>
      </c>
      <c r="S46" s="81">
        <v>8500</v>
      </c>
      <c r="T46" s="9">
        <f t="shared" si="4"/>
        <v>1035534.5999999999</v>
      </c>
      <c r="U46" s="11">
        <v>1</v>
      </c>
      <c r="V46" s="1">
        <f>Voorblad!F24+100</f>
        <v>2101</v>
      </c>
      <c r="W46" s="9">
        <f>Voorblad!K59</f>
        <v>2101</v>
      </c>
      <c r="X46" s="6"/>
      <c r="Y46" s="9">
        <f>SUM(AE46:EB46)</f>
        <v>0</v>
      </c>
      <c r="Z46" s="82" t="s">
        <v>279</v>
      </c>
      <c r="AA46" s="82">
        <f>2*52</f>
        <v>104</v>
      </c>
      <c r="AC46" s="9">
        <f>$Y46*(Voorblad!$K$44*(1+Voorblad!$K$44)^Voorblad!$K$37)/((1+Voorblad!$K$44)^Voorblad!$K$37-1)</f>
        <v>0</v>
      </c>
      <c r="AE46" s="9">
        <f>IF($W46=AE$30,EF46*($Q46*$S46)/(1+Voorblad!$K$44)^(AE$30-Voorblad!$F$37),0)</f>
        <v>0</v>
      </c>
      <c r="AF46" s="9">
        <f>IF($W46=AF$30,EG46*($Q46*$S46)/(1+Voorblad!$K$44)^(AF$30-Voorblad!$F$37),0)</f>
        <v>0</v>
      </c>
      <c r="AG46" s="9">
        <f>IF($W46=AG$30,EH46*($Q46*$S46)/(1+Voorblad!$K$44)^(AG$30-Voorblad!$F$37),0)</f>
        <v>0</v>
      </c>
      <c r="AH46" s="9">
        <f>IF($W46=AH$30,EI46*($Q46*$S46)/(1+Voorblad!$K$44)^(AH$30-Voorblad!$F$37),0)</f>
        <v>0</v>
      </c>
      <c r="AI46" s="9">
        <f>IF($W46=AI$30,EJ46*($Q46*$S46)/(1+Voorblad!$K$44)^(AI$30-Voorblad!$F$37),0)</f>
        <v>0</v>
      </c>
      <c r="AJ46" s="9">
        <f>IF($W46=AJ$30,EK46*($Q46*$S46)/(1+Voorblad!$K$44)^(AJ$30-Voorblad!$F$37),0)</f>
        <v>0</v>
      </c>
      <c r="AK46" s="9">
        <f>IF($W46=AK$30,EL46*($Q46*$S46)/(1+Voorblad!$K$44)^(AK$30-Voorblad!$F$37),0)</f>
        <v>0</v>
      </c>
      <c r="AL46" s="9">
        <f>IF($W46=AL$30,EM46*($Q46*$S46)/(1+Voorblad!$K$44)^(AL$30-Voorblad!$F$37),0)</f>
        <v>0</v>
      </c>
      <c r="AM46" s="9">
        <f>IF($W46=AM$30,EN46*($Q46*$S46)/(1+Voorblad!$K$44)^(AM$30-Voorblad!$F$37),0)</f>
        <v>0</v>
      </c>
      <c r="AN46" s="9">
        <f>IF($W46=AN$30,EO46*($Q46*$S46)/(1+Voorblad!$K$44)^(AN$30-Voorblad!$F$37),0)</f>
        <v>0</v>
      </c>
      <c r="AO46" s="21">
        <f>IF($W46=AO$30,EP46*($Q46*$S46)/(1+Voorblad!$K$44)^(AO$30-Voorblad!$F$37),0)</f>
        <v>0</v>
      </c>
      <c r="AP46" s="9">
        <f>IF($W46=AP$30,EQ46*($Q46*$S46)/(1+Voorblad!$K$44)^(AP$30-Voorblad!$F$37),0)</f>
        <v>0</v>
      </c>
      <c r="AQ46" s="9">
        <f>IF($W46=AQ$30,ER46*($Q46*$S46)/(1+Voorblad!$K$44)^(AQ$30-Voorblad!$F$37),0)</f>
        <v>0</v>
      </c>
      <c r="AR46" s="9">
        <f>IF($W46=AR$30,ES46*($Q46*$S46)/(1+Voorblad!$K$44)^(AR$30-Voorblad!$F$37),0)</f>
        <v>0</v>
      </c>
      <c r="AS46" s="9">
        <f>IF($W46=AS$30,ET46*($Q46*$S46)/(1+Voorblad!$K$44)^(AS$30-Voorblad!$F$37),0)</f>
        <v>0</v>
      </c>
      <c r="AT46" s="9">
        <f>IF($W46=AT$30,EU46*($Q46*$S46)/(1+Voorblad!$K$44)^(AT$30-Voorblad!$F$37),0)</f>
        <v>0</v>
      </c>
      <c r="AU46" s="9">
        <f>IF($W46=AU$30,EV46*($Q46*$S46)/(1+Voorblad!$K$44)^(AU$30-Voorblad!$F$37),0)</f>
        <v>0</v>
      </c>
      <c r="AV46" s="9">
        <f>IF($W46=AV$30,EW46*($Q46*$S46)/(1+Voorblad!$K$44)^(AV$30-Voorblad!$F$37),0)</f>
        <v>0</v>
      </c>
      <c r="AW46" s="9">
        <f>IF($W46=AW$30,EX46*($Q46*$S46)/(1+Voorblad!$K$44)^(AW$30-Voorblad!$F$37),0)</f>
        <v>0</v>
      </c>
      <c r="AX46" s="9">
        <f>IF($W46=AX$30,EY46*($Q46*$S46)/(1+Voorblad!$K$44)^(AX$30-Voorblad!$F$37),0)</f>
        <v>0</v>
      </c>
      <c r="AY46" s="9">
        <f>IF($W46=AY$30,EZ46*($Q46*$S46)/(1+Voorblad!$K$44)^(AY$30-Voorblad!$F$37),0)</f>
        <v>0</v>
      </c>
      <c r="AZ46" s="9">
        <f>IF($W46=AZ$30,FA46*($Q46*$S46)/(1+Voorblad!$K$44)^(AZ$30-Voorblad!$F$37),0)</f>
        <v>0</v>
      </c>
      <c r="BA46" s="9">
        <f>IF($W46=BA$30,FB46*($Q46*$S46)/(1+Voorblad!$K$44)^(BA$30-Voorblad!$F$37),0)</f>
        <v>0</v>
      </c>
      <c r="BB46" s="9">
        <f>IF($W46=BB$30,FC46*($Q46*$S46)/(1+Voorblad!$K$44)^(BB$30-Voorblad!$F$37),0)</f>
        <v>0</v>
      </c>
      <c r="BC46" s="9">
        <f>IF($W46=BC$30,FD46*($Q46*$S46)/(1+Voorblad!$K$44)^(BC$30-Voorblad!$F$37),0)</f>
        <v>0</v>
      </c>
      <c r="BD46" s="9">
        <f>IF($W46=BD$30,FE46*($Q46*$S46)/(1+Voorblad!$K$44)^(BD$30-Voorblad!$F$37),0)</f>
        <v>0</v>
      </c>
      <c r="BE46" s="9">
        <f>IF($W46=BE$30,FF46*($Q46*$S46)/(1+Voorblad!$K$44)^(BE$30-Voorblad!$F$37),0)</f>
        <v>0</v>
      </c>
      <c r="BF46" s="9">
        <f>IF($W46=BF$30,FG46*($Q46*$S46)/(1+Voorblad!$K$44)^(BF$30-Voorblad!$F$37),0)</f>
        <v>0</v>
      </c>
      <c r="BG46" s="9">
        <f>IF($W46=BG$30,FH46*($Q46*$S46)/(1+Voorblad!$K$44)^(BG$30-Voorblad!$F$37),0)</f>
        <v>0</v>
      </c>
      <c r="BH46" s="9">
        <f>IF($W46=BH$30,FI46*($Q46*$S46)/(1+Voorblad!$K$44)^(BH$30-Voorblad!$F$37),0)</f>
        <v>0</v>
      </c>
      <c r="BI46" s="9">
        <f>IF($W46=BI$30,FJ46*($Q46*$S46)/(1+Voorblad!$K$44)^(BI$30-Voorblad!$F$37),0)</f>
        <v>0</v>
      </c>
      <c r="BJ46" s="9">
        <f>IF($W46=BJ$30,FK46*($Q46*$S46)/(1+Voorblad!$K$44)^(BJ$30-Voorblad!$F$37),0)</f>
        <v>0</v>
      </c>
      <c r="BK46" s="9">
        <f>IF($W46=BK$30,FL46*($Q46*$S46)/(1+Voorblad!$K$44)^(BK$30-Voorblad!$F$37),0)</f>
        <v>0</v>
      </c>
      <c r="BL46" s="9">
        <f>IF($W46=BL$30,FM46*($Q46*$S46)/(1+Voorblad!$K$44)^(BL$30-Voorblad!$F$37),0)</f>
        <v>0</v>
      </c>
      <c r="BM46" s="9">
        <f>IF($W46=BM$30,FN46*($Q46*$S46)/(1+Voorblad!$K$44)^(BM$30-Voorblad!$F$37),0)</f>
        <v>0</v>
      </c>
      <c r="BN46" s="9">
        <f>IF($W46=BN$30,FO46*($Q46*$S46)/(1+Voorblad!$K$44)^(BN$30-Voorblad!$F$37),0)</f>
        <v>0</v>
      </c>
      <c r="BO46" s="9">
        <f>IF($W46=BO$30,FP46*($Q46*$S46)/(1+Voorblad!$K$44)^(BO$30-Voorblad!$F$37),0)</f>
        <v>0</v>
      </c>
      <c r="BP46" s="9">
        <f>IF($W46=BP$30,FQ46*($Q46*$S46)/(1+Voorblad!$K$44)^(BP$30-Voorblad!$F$37),0)</f>
        <v>0</v>
      </c>
      <c r="BQ46" s="9">
        <f>IF($W46=BQ$30,FR46*($Q46*$S46)/(1+Voorblad!$K$44)^(BQ$30-Voorblad!$F$37),0)</f>
        <v>0</v>
      </c>
      <c r="BR46" s="9">
        <f>IF($W46=BR$30,FS46*($Q46*$S46)/(1+Voorblad!$K$44)^(BR$30-Voorblad!$F$37),0)</f>
        <v>0</v>
      </c>
      <c r="BS46" s="9">
        <f>IF($W46=BS$30,FT46*($Q46*$S46)/(1+Voorblad!$K$44)^(BS$30-Voorblad!$F$37),0)</f>
        <v>0</v>
      </c>
      <c r="BT46" s="9">
        <f>IF($W46=BT$30,FU46*($Q46*$S46)/(1+Voorblad!$K$44)^(BT$30-Voorblad!$F$37),0)</f>
        <v>0</v>
      </c>
      <c r="BU46" s="9">
        <f>IF($W46=BU$30,FV46*($Q46*$S46)/(1+Voorblad!$K$44)^(BU$30-Voorblad!$F$37),0)</f>
        <v>0</v>
      </c>
      <c r="BV46" s="9">
        <f>IF($W46=BV$30,FW46*($Q46*$S46)/(1+Voorblad!$K$44)^(BV$30-Voorblad!$F$37),0)</f>
        <v>0</v>
      </c>
      <c r="BW46" s="9">
        <f>IF($W46=BW$30,FX46*($Q46*$S46)/(1+Voorblad!$K$44)^(BW$30-Voorblad!$F$37),0)</f>
        <v>0</v>
      </c>
      <c r="BX46" s="9">
        <f>IF($W46=BX$30,FY46*($Q46*$S46)/(1+Voorblad!$K$44)^(BX$30-Voorblad!$F$37),0)</f>
        <v>0</v>
      </c>
      <c r="BY46" s="9">
        <f>IF($W46=BY$30,FZ46*($Q46*$S46)/(1+Voorblad!$K$44)^(BY$30-Voorblad!$F$37),0)</f>
        <v>0</v>
      </c>
      <c r="BZ46" s="9">
        <f>IF($W46=BZ$30,GA46*($Q46*$S46)/(1+Voorblad!$K$44)^(BZ$30-Voorblad!$F$37),0)</f>
        <v>0</v>
      </c>
      <c r="CA46" s="9">
        <f>IF($W46=CA$30,GB46*($Q46*$S46)/(1+Voorblad!$K$44)^(CA$30-Voorblad!$F$37),0)</f>
        <v>0</v>
      </c>
      <c r="CB46" s="9">
        <f>IF($W46=CB$30,GC46*($Q46*$S46)/(1+Voorblad!$K$44)^(CB$30-Voorblad!$F$37),0)</f>
        <v>0</v>
      </c>
      <c r="CC46" s="9">
        <f>IF($W46=CC$30,GD46*($Q46*$S46)/(1+Voorblad!$K$44)^(CC$30-Voorblad!$F$37),0)</f>
        <v>0</v>
      </c>
      <c r="CD46" s="9">
        <f>IF($W46=CD$30,GE46*($Q46*$S46)/(1+Voorblad!$K$44)^(CD$30-Voorblad!$F$37),0)</f>
        <v>0</v>
      </c>
      <c r="CE46" s="9">
        <f>IF($W46=CE$30,GF46*($Q46*$S46)/(1+Voorblad!$K$44)^(CE$30-Voorblad!$F$37),0)</f>
        <v>0</v>
      </c>
      <c r="CF46" s="9">
        <f>IF($W46=CF$30,GG46*($Q46*$S46)/(1+Voorblad!$K$44)^(CF$30-Voorblad!$F$37),0)</f>
        <v>0</v>
      </c>
      <c r="CG46" s="9">
        <f>IF($W46=CG$30,GH46*($Q46*$S46)/(1+Voorblad!$K$44)^(CG$30-Voorblad!$F$37),0)</f>
        <v>0</v>
      </c>
      <c r="CH46" s="9">
        <f>IF($W46=CH$30,GI46*($Q46*$S46)/(1+Voorblad!$K$44)^(CH$30-Voorblad!$F$37),0)</f>
        <v>0</v>
      </c>
      <c r="CI46" s="9">
        <f>IF($W46=CI$30,GJ46*($Q46*$S46)/(1+Voorblad!$K$44)^(CI$30-Voorblad!$F$37),0)</f>
        <v>0</v>
      </c>
      <c r="CJ46" s="9">
        <f>IF($W46=CJ$30,GK46*($Q46*$S46)/(1+Voorblad!$K$44)^(CJ$30-Voorblad!$F$37),0)</f>
        <v>0</v>
      </c>
      <c r="CK46" s="9">
        <f>IF($W46=CK$30,GL46*($Q46*$S46)/(1+Voorblad!$K$44)^(CK$30-Voorblad!$F$37),0)</f>
        <v>0</v>
      </c>
      <c r="CL46" s="9">
        <f>IF($W46=CL$30,GM46*($Q46*$S46)/(1+Voorblad!$K$44)^(CL$30-Voorblad!$F$37),0)</f>
        <v>0</v>
      </c>
      <c r="CM46" s="9">
        <f>IF($W46=CM$30,GN46*($Q46*$S46)/(1+Voorblad!$K$44)^(CM$30-Voorblad!$F$37),0)</f>
        <v>0</v>
      </c>
      <c r="CN46" s="9">
        <f>IF($W46=CN$30,GO46*($Q46*$S46)/(1+Voorblad!$K$44)^(CN$30-Voorblad!$F$37),0)</f>
        <v>0</v>
      </c>
      <c r="CO46" s="9">
        <f>IF($W46=CO$30,GP46*($Q46*$S46)/(1+Voorblad!$K$44)^(CO$30-Voorblad!$F$37),0)</f>
        <v>0</v>
      </c>
      <c r="CP46" s="9">
        <f>IF($W46=CP$30,GQ46*($Q46*$S46)/(1+Voorblad!$K$44)^(CP$30-Voorblad!$F$37),0)</f>
        <v>0</v>
      </c>
      <c r="CQ46" s="9">
        <f>IF($W46=CQ$30,GR46*($Q46*$S46)/(1+Voorblad!$K$44)^(CQ$30-Voorblad!$F$37),0)</f>
        <v>0</v>
      </c>
      <c r="CR46" s="9">
        <f>IF($W46=CR$30,GS46*($Q46*$S46)/(1+Voorblad!$K$44)^(CR$30-Voorblad!$F$37),0)</f>
        <v>0</v>
      </c>
      <c r="CS46" s="9">
        <f>IF($W46=CS$30,GT46*($Q46*$S46)/(1+Voorblad!$K$44)^(CS$30-Voorblad!$F$37),0)</f>
        <v>0</v>
      </c>
      <c r="CT46" s="9">
        <f>IF($W46=CT$30,GU46*($Q46*$S46)/(1+Voorblad!$K$44)^(CT$30-Voorblad!$F$37),0)</f>
        <v>0</v>
      </c>
      <c r="CU46" s="9">
        <f>IF($W46=CU$30,GV46*($Q46*$S46)/(1+Voorblad!$K$44)^(CU$30-Voorblad!$F$37),0)</f>
        <v>0</v>
      </c>
      <c r="CV46" s="9">
        <f>IF($W46=CV$30,GW46*($Q46*$S46)/(1+Voorblad!$K$44)^(CV$30-Voorblad!$F$37),0)</f>
        <v>0</v>
      </c>
      <c r="CW46" s="9">
        <f>IF($W46=CW$30,GX46*($Q46*$S46)/(1+Voorblad!$K$44)^(CW$30-Voorblad!$F$37),0)</f>
        <v>0</v>
      </c>
      <c r="CX46" s="9">
        <f>IF($W46=CX$30,GY46*($Q46*$S46)/(1+Voorblad!$K$44)^(CX$30-Voorblad!$F$37),0)</f>
        <v>0</v>
      </c>
      <c r="CY46" s="9">
        <f>IF($W46=CY$30,GZ46*($Q46*$S46)/(1+Voorblad!$K$44)^(CY$30-Voorblad!$F$37),0)</f>
        <v>0</v>
      </c>
      <c r="CZ46" s="9">
        <f>IF($W46=CZ$30,HA46*($Q46*$S46)/(1+Voorblad!$K$44)^(CZ$30-Voorblad!$F$37),0)</f>
        <v>0</v>
      </c>
      <c r="DA46" s="9">
        <f>IF($W46=DA$30,HB46*($Q46*$S46)/(1+Voorblad!$K$44)^(DA$30-Voorblad!$F$37),0)</f>
        <v>0</v>
      </c>
      <c r="DB46" s="9">
        <f>IF($W46=DB$30,HC46*($Q46*$S46)/(1+Voorblad!$K$44)^(DB$30-Voorblad!$F$37),0)</f>
        <v>0</v>
      </c>
      <c r="DC46" s="9">
        <f>IF($W46=DC$30,HD46*($Q46*$S46)/(1+Voorblad!$K$44)^(DC$30-Voorblad!$F$37),0)</f>
        <v>0</v>
      </c>
      <c r="DD46" s="9">
        <f>IF($W46=DD$30,HE46*($Q46*$S46)/(1+Voorblad!$K$44)^(DD$30-Voorblad!$F$37),0)</f>
        <v>0</v>
      </c>
      <c r="DE46" s="9">
        <f>IF($W46=DE$30,HF46*($Q46*$S46)/(1+Voorblad!$K$44)^(DE$30-Voorblad!$F$37),0)</f>
        <v>0</v>
      </c>
      <c r="DF46" s="9">
        <f>IF($W46=DF$30,HG46*($Q46*$S46)/(1+Voorblad!$K$44)^(DF$30-Voorblad!$F$37),0)</f>
        <v>0</v>
      </c>
      <c r="DG46" s="9">
        <f>IF($W46=DG$30,HH46*($Q46*$S46)/(1+Voorblad!$K$44)^(DG$30-Voorblad!$F$37),0)</f>
        <v>0</v>
      </c>
      <c r="DH46" s="9">
        <f>IF($W46=DH$30,HI46*($Q46*$S46)/(1+Voorblad!$K$44)^(DH$30-Voorblad!$F$37),0)</f>
        <v>0</v>
      </c>
      <c r="DI46" s="9">
        <f>IF($W46=DI$30,HJ46*($Q46*$S46)/(1+Voorblad!$K$44)^(DI$30-Voorblad!$F$37),0)</f>
        <v>0</v>
      </c>
      <c r="DJ46" s="9">
        <f>IF($W46=DJ$30,HK46*($Q46*$S46)/(1+Voorblad!$K$44)^(DJ$30-Voorblad!$F$37),0)</f>
        <v>0</v>
      </c>
      <c r="DK46" s="9">
        <f>IF($W46=DK$30,HL46*($Q46*$S46)/(1+Voorblad!$K$44)^(DK$30-Voorblad!$F$37),0)</f>
        <v>0</v>
      </c>
      <c r="DL46" s="9">
        <f>IF($W46=DL$30,HM46*($Q46*$S46)/(1+Voorblad!$K$44)^(DL$30-Voorblad!$F$37),0)</f>
        <v>0</v>
      </c>
      <c r="DM46" s="9">
        <f>IF($W46=DM$30,HN46*($Q46*$S46)/(1+Voorblad!$K$44)^(DM$30-Voorblad!$F$37),0)</f>
        <v>0</v>
      </c>
      <c r="DN46" s="9">
        <f>IF($W46=DN$30,HO46*($Q46*$S46)/(1+Voorblad!$K$44)^(DN$30-Voorblad!$F$37),0)</f>
        <v>0</v>
      </c>
      <c r="DO46" s="9">
        <f>IF($W46=DO$30,HP46*($Q46*$S46)/(1+Voorblad!$K$44)^(DO$30-Voorblad!$F$37),0)</f>
        <v>0</v>
      </c>
      <c r="DP46" s="9">
        <f>IF($W46=DP$30,HQ46*($Q46*$S46)/(1+Voorblad!$K$44)^(DP$30-Voorblad!$F$37),0)</f>
        <v>0</v>
      </c>
      <c r="DQ46" s="9">
        <f>IF($W46=DQ$30,HR46*($Q46*$S46)/(1+Voorblad!$K$44)^(DQ$30-Voorblad!$F$37),0)</f>
        <v>0</v>
      </c>
      <c r="DR46" s="9">
        <f>IF($W46=DR$30,HS46*($Q46*$S46)/(1+Voorblad!$K$44)^(DR$30-Voorblad!$F$37),0)</f>
        <v>0</v>
      </c>
      <c r="DS46" s="9">
        <f>IF($W46=DS$30,HT46*($Q46*$S46)/(1+Voorblad!$K$44)^(DS$30-Voorblad!$F$37),0)</f>
        <v>0</v>
      </c>
      <c r="DT46" s="9">
        <f>IF($W46=DT$30,HU46*($Q46*$S46)/(1+Voorblad!$K$44)^(DT$30-Voorblad!$F$37),0)</f>
        <v>0</v>
      </c>
      <c r="DU46" s="9">
        <f>IF($W46=DU$30,HV46*($Q46*$S46)/(1+Voorblad!$K$44)^(DU$30-Voorblad!$F$37),0)</f>
        <v>0</v>
      </c>
      <c r="DV46" s="9">
        <f>IF($W46=DV$30,HW46*($Q46*$S46)/(1+Voorblad!$K$44)^(DV$30-Voorblad!$F$37),0)</f>
        <v>0</v>
      </c>
      <c r="DW46" s="9">
        <f>IF($W46=DW$30,HX46*($Q46*$S46)/(1+Voorblad!$K$44)^(DW$30-Voorblad!$F$37),0)</f>
        <v>0</v>
      </c>
      <c r="DX46" s="9">
        <f>IF($W46=DX$30,HY46*($Q46*$S46)/(1+Voorblad!$K$44)^(DX$30-Voorblad!$F$37),0)</f>
        <v>0</v>
      </c>
      <c r="DY46" s="9">
        <f>IF($W46=DY$30,HZ46*($Q46*$S46)/(1+Voorblad!$K$44)^(DY$30-Voorblad!$F$37),0)</f>
        <v>0</v>
      </c>
      <c r="DZ46" s="9">
        <f>IF($W46=DZ$30,IA46*($Q46*$S46)/(1+Voorblad!$K$44)^(DZ$30-Voorblad!$F$37),0)</f>
        <v>0</v>
      </c>
      <c r="EA46" s="9">
        <f>IF($W46=EA$30,IB46*($Q46*$S46)/(1+Voorblad!$K$44)^(EA$30-Voorblad!$F$37),0)</f>
        <v>0</v>
      </c>
      <c r="EB46" s="9">
        <f>IF($W46=EB$30,IC46*($Q46*$S46)/(1+Voorblad!$K$44)^(EB$30-Voorblad!$F$37),0)</f>
        <v>0</v>
      </c>
      <c r="EE46" s="8">
        <v>0</v>
      </c>
      <c r="EF46" s="8">
        <f>IF(EF$30-Voorblad!$F$37&gt;Voorblad!$K$37,0,IF($U46=0,0,IF($U46&lt;1,1/$U46,IF((EF$30-Voorblad!$F$37)/$U46-SUM($EE46:EE46)=1,1,0))))</f>
        <v>0</v>
      </c>
      <c r="EG46" s="8">
        <f>IF(EG$30-Voorblad!$F$37&gt;Voorblad!$K$37,0,IF($U46=0,0,IF($U46&lt;1,1/$U46,IF((EG$30-Voorblad!$F$37)/$U46-SUM($EE46:EF46)=1,1,0))))</f>
        <v>1</v>
      </c>
      <c r="EH46" s="8">
        <f>IF(EH$30-Voorblad!$F$37&gt;Voorblad!$K$37,0,IF($U46=0,0,IF($U46&lt;1,1/$U46,IF((EH$30-Voorblad!$F$37)/$U46-SUM($EE46:EG46)=1,1,0))))</f>
        <v>1</v>
      </c>
      <c r="EI46" s="8">
        <f>IF(EI$30-Voorblad!$F$37&gt;Voorblad!$K$37,0,IF($U46=0,0,IF($U46&lt;1,1/$U46,IF((EI$30-Voorblad!$F$37)/$U46-SUM($EE46:EH46)=1,1,0))))</f>
        <v>1</v>
      </c>
      <c r="EJ46" s="8">
        <f>IF(EJ$30-Voorblad!$F$37&gt;Voorblad!$K$37,0,IF($U46=0,0,IF($U46&lt;1,1/$U46,IF((EJ$30-Voorblad!$F$37)/$U46-SUM($EE46:EI46)=1,1,0))))</f>
        <v>1</v>
      </c>
      <c r="EK46" s="8">
        <f>IF(EK$30-Voorblad!$F$37&gt;Voorblad!$K$37,0,IF($U46=0,0,IF($U46&lt;1,1/$U46,IF((EK$30-Voorblad!$F$37)/$U46-SUM($EE46:EJ46)=1,1,0))))</f>
        <v>1</v>
      </c>
      <c r="EL46" s="8">
        <f>IF(EL$30-Voorblad!$F$37&gt;Voorblad!$K$37,0,IF($U46=0,0,IF($U46&lt;1,1/$U46,IF((EL$30-Voorblad!$F$37)/$U46-SUM($EE46:EK46)=1,1,0))))</f>
        <v>1</v>
      </c>
      <c r="EM46" s="8">
        <f>IF(EM$30-Voorblad!$F$37&gt;Voorblad!$K$37,0,IF($U46=0,0,IF($U46&lt;1,1/$U46,IF((EM$30-Voorblad!$F$37)/$U46-SUM($EE46:EL46)=1,1,0))))</f>
        <v>1</v>
      </c>
      <c r="EN46" s="8">
        <f>IF(EN$30-Voorblad!$F$37&gt;Voorblad!$K$37,0,IF($U46=0,0,IF($U46&lt;1,1/$U46,IF((EN$30-Voorblad!$F$37)/$U46-SUM($EE46:EM46)=1,1,0))))</f>
        <v>1</v>
      </c>
      <c r="EO46" s="8">
        <f>IF(EO$30-Voorblad!$F$37&gt;Voorblad!$K$37,0,IF($U46=0,0,IF($U46&lt;1,1/$U46,IF((EO$30-Voorblad!$F$37)/$U46-SUM($EE46:EN46)=1,1,0))))</f>
        <v>1</v>
      </c>
      <c r="EP46" s="8">
        <f>IF(EP$30-Voorblad!$F$37&gt;Voorblad!$K$37,0,IF($U46=0,0,IF($U46&lt;1,1/$U46,IF((EP$30-Voorblad!$F$37)/$U46-SUM($EE46:EO46)=1,1,0))))</f>
        <v>1</v>
      </c>
      <c r="EQ46" s="8">
        <f>IF(EQ$30-Voorblad!$F$37&gt;Voorblad!$K$37,0,IF($U46=0,0,IF($U46&lt;1,1/$U46,IF((EQ$30-Voorblad!$F$37)/$U46-SUM($EE46:EP46)=1,1,0))))</f>
        <v>0</v>
      </c>
      <c r="ER46" s="8">
        <f>IF(ER$30-Voorblad!$F$37&gt;Voorblad!$K$37,0,IF($U46=0,0,IF($U46&lt;1,1/$U46,IF((ER$30-Voorblad!$F$37)/$U46-SUM($EE46:EQ46)=1,1,0))))</f>
        <v>0</v>
      </c>
      <c r="ES46" s="8">
        <f>IF(ES$30-Voorblad!$F$37&gt;Voorblad!$K$37,0,IF($U46=0,0,IF($U46&lt;1,1/$U46,IF((ES$30-Voorblad!$F$37)/$U46-SUM($EE46:ER46)=1,1,0))))</f>
        <v>0</v>
      </c>
      <c r="ET46" s="8">
        <f>IF(ET$30-Voorblad!$F$37&gt;Voorblad!$K$37,0,IF($U46=0,0,IF($U46&lt;1,1/$U46,IF((ET$30-Voorblad!$F$37)/$U46-SUM($EE46:ES46)=1,1,0))))</f>
        <v>0</v>
      </c>
      <c r="EU46" s="8">
        <f>IF(EU$30-Voorblad!$F$37&gt;Voorblad!$K$37,0,IF($U46=0,0,IF($U46&lt;1,1/$U46,IF((EU$30-Voorblad!$F$37)/$U46-SUM($EE46:ET46)=1,1,0))))</f>
        <v>0</v>
      </c>
      <c r="EV46" s="8">
        <f>IF(EV$30-Voorblad!$F$37&gt;Voorblad!$K$37,0,IF($U46=0,0,IF($U46&lt;1,1/$U46,IF((EV$30-Voorblad!$F$37)/$U46-SUM($EE46:EU46)=1,1,0))))</f>
        <v>0</v>
      </c>
      <c r="EW46" s="8">
        <f>IF(EW$30-Voorblad!$F$37&gt;Voorblad!$K$37,0,IF($U46=0,0,IF($U46&lt;1,1/$U46,IF((EW$30-Voorblad!$F$37)/$U46-SUM($EE46:EV46)=1,1,0))))</f>
        <v>0</v>
      </c>
      <c r="EX46" s="8">
        <f>IF(EX$30-Voorblad!$F$37&gt;Voorblad!$K$37,0,IF($U46=0,0,IF($U46&lt;1,1/$U46,IF((EX$30-Voorblad!$F$37)/$U46-SUM($EE46:EW46)=1,1,0))))</f>
        <v>0</v>
      </c>
      <c r="EY46" s="8">
        <f>IF(EY$30-Voorblad!$F$37&gt;Voorblad!$K$37,0,IF($U46=0,0,IF($U46&lt;1,1/$U46,IF((EY$30-Voorblad!$F$37)/$U46-SUM($EE46:EX46)=1,1,0))))</f>
        <v>0</v>
      </c>
      <c r="EZ46" s="8">
        <f>IF(EZ$30-Voorblad!$F$37&gt;Voorblad!$K$37,0,IF($U46=0,0,IF($U46&lt;1,1/$U46,IF((EZ$30-Voorblad!$F$37)/$U46-SUM($EE46:EY46)=1,1,0))))</f>
        <v>0</v>
      </c>
      <c r="FA46" s="8">
        <f>IF(FA$30-Voorblad!$F$37&gt;Voorblad!$K$37,0,IF($U46=0,0,IF($U46&lt;1,1/$U46,IF((FA$30-Voorblad!$F$37)/$U46-SUM($EE46:EZ46)=1,1,0))))</f>
        <v>0</v>
      </c>
      <c r="FB46" s="8">
        <f>IF(FB$30-Voorblad!$F$37&gt;Voorblad!$K$37,0,IF($U46=0,0,IF($U46&lt;1,1/$U46,IF((FB$30-Voorblad!$F$37)/$U46-SUM($EE46:FA46)=1,1,0))))</f>
        <v>0</v>
      </c>
      <c r="FC46" s="8">
        <f>IF(FC$30-Voorblad!$F$37&gt;Voorblad!$K$37,0,IF($U46=0,0,IF($U46&lt;1,1/$U46,IF((FC$30-Voorblad!$F$37)/$U46-SUM($EE46:FB46)=1,1,0))))</f>
        <v>0</v>
      </c>
      <c r="FD46" s="8">
        <f>IF(FD$30-Voorblad!$F$37&gt;Voorblad!$K$37,0,IF($U46=0,0,IF($U46&lt;1,1/$U46,IF((FD$30-Voorblad!$F$37)/$U46-SUM($EE46:FC46)=1,1,0))))</f>
        <v>0</v>
      </c>
      <c r="FE46" s="8">
        <f>IF(FE$30-Voorblad!$F$37&gt;Voorblad!$K$37,0,IF($U46=0,0,IF($U46&lt;1,1/$U46,IF((FE$30-Voorblad!$F$37)/$U46-SUM($EE46:FD46)=1,1,0))))</f>
        <v>0</v>
      </c>
      <c r="FF46" s="8">
        <f>IF(FF$30-Voorblad!$F$37&gt;Voorblad!$K$37,0,IF($U46=0,0,IF($U46&lt;1,1/$U46,IF((FF$30-Voorblad!$F$37)/$U46-SUM($EE46:FE46)=1,1,0))))</f>
        <v>0</v>
      </c>
      <c r="FG46" s="8">
        <f>IF(FG$30-Voorblad!$F$37&gt;Voorblad!$K$37,0,IF($U46=0,0,IF($U46&lt;1,1/$U46,IF((FG$30-Voorblad!$F$37)/$U46-SUM($EE46:FF46)=1,1,0))))</f>
        <v>0</v>
      </c>
      <c r="FH46" s="8">
        <f>IF(FH$30-Voorblad!$F$37&gt;Voorblad!$K$37,0,IF($U46=0,0,IF($U46&lt;1,1/$U46,IF((FH$30-Voorblad!$F$37)/$U46-SUM($EE46:FG46)=1,1,0))))</f>
        <v>0</v>
      </c>
      <c r="FI46" s="8">
        <f>IF(FI$30-Voorblad!$F$37&gt;Voorblad!$K$37,0,IF($U46=0,0,IF($U46&lt;1,1/$U46,IF((FI$30-Voorblad!$F$37)/$U46-SUM($EE46:FH46)=1,1,0))))</f>
        <v>0</v>
      </c>
      <c r="FJ46" s="8">
        <f>IF(FJ$30-Voorblad!$F$37&gt;Voorblad!$K$37,0,IF($U46=0,0,IF($U46&lt;1,1/$U46,IF((FJ$30-Voorblad!$F$37)/$U46-SUM($EE46:FI46)=1,1,0))))</f>
        <v>0</v>
      </c>
      <c r="FK46" s="8">
        <f>IF(FK$30-Voorblad!$F$37&gt;Voorblad!$K$37,0,IF($U46=0,0,IF($U46&lt;1,1/$U46,IF((FK$30-Voorblad!$F$37)/$U46-SUM($EE46:FJ46)=1,1,0))))</f>
        <v>0</v>
      </c>
      <c r="FL46" s="8">
        <f>IF(FL$30-Voorblad!$F$37&gt;Voorblad!$K$37,0,IF($U46=0,0,IF($U46&lt;1,1/$U46,IF((FL$30-Voorblad!$F$37)/$U46-SUM($EE46:FK46)=1,1,0))))</f>
        <v>0</v>
      </c>
      <c r="FM46" s="8">
        <f>IF(FM$30-Voorblad!$F$37&gt;Voorblad!$K$37,0,IF($U46=0,0,IF($U46&lt;1,1/$U46,IF((FM$30-Voorblad!$F$37)/$U46-SUM($EE46:FL46)=1,1,0))))</f>
        <v>0</v>
      </c>
      <c r="FN46" s="8">
        <f>IF(FN$30-Voorblad!$F$37&gt;Voorblad!$K$37,0,IF($U46=0,0,IF($U46&lt;1,1/$U46,IF((FN$30-Voorblad!$F$37)/$U46-SUM($EE46:FM46)=1,1,0))))</f>
        <v>0</v>
      </c>
      <c r="FO46" s="8">
        <f>IF(FO$30-Voorblad!$F$37&gt;Voorblad!$K$37,0,IF($U46=0,0,IF($U46&lt;1,1/$U46,IF((FO$30-Voorblad!$F$37)/$U46-SUM($EE46:FN46)=1,1,0))))</f>
        <v>0</v>
      </c>
      <c r="FP46" s="8">
        <f>IF(FP$30-Voorblad!$F$37&gt;Voorblad!$K$37,0,IF($U46=0,0,IF($U46&lt;1,1/$U46,IF((FP$30-Voorblad!$F$37)/$U46-SUM($EE46:FO46)=1,1,0))))</f>
        <v>0</v>
      </c>
      <c r="FQ46" s="8">
        <f>IF(FQ$30-Voorblad!$F$37&gt;Voorblad!$K$37,0,IF($U46=0,0,IF($U46&lt;1,1/$U46,IF((FQ$30-Voorblad!$F$37)/$U46-SUM($EE46:FP46)=1,1,0))))</f>
        <v>0</v>
      </c>
      <c r="FR46" s="8">
        <f>IF(FR$30-Voorblad!$F$37&gt;Voorblad!$K$37,0,IF($U46=0,0,IF($U46&lt;1,1/$U46,IF((FR$30-Voorblad!$F$37)/$U46-SUM($EE46:FQ46)=1,1,0))))</f>
        <v>0</v>
      </c>
      <c r="FS46" s="8">
        <f>IF(FS$30-Voorblad!$F$37&gt;Voorblad!$K$37,0,IF($U46=0,0,IF($U46&lt;1,1/$U46,IF((FS$30-Voorblad!$F$37)/$U46-SUM($EE46:FR46)=1,1,0))))</f>
        <v>0</v>
      </c>
      <c r="FT46" s="8">
        <f>IF(FT$30-Voorblad!$F$37&gt;Voorblad!$K$37,0,IF($U46=0,0,IF($U46&lt;1,1/$U46,IF((FT$30-Voorblad!$F$37)/$U46-SUM($EE46:FS46)=1,1,0))))</f>
        <v>0</v>
      </c>
      <c r="FU46" s="8">
        <f>IF(FU$30-Voorblad!$F$37&gt;Voorblad!$K$37,0,IF($U46=0,0,IF($U46&lt;1,1/$U46,IF((FU$30-Voorblad!$F$37)/$U46-SUM($EE46:FT46)=1,1,0))))</f>
        <v>0</v>
      </c>
      <c r="FV46" s="8">
        <f>IF(FV$30-Voorblad!$F$37&gt;Voorblad!$K$37,0,IF($U46=0,0,IF($U46&lt;1,1/$U46,IF((FV$30-Voorblad!$F$37)/$U46-SUM($EE46:FU46)=1,1,0))))</f>
        <v>0</v>
      </c>
      <c r="FW46" s="8">
        <f>IF(FW$30-Voorblad!$F$37&gt;Voorblad!$K$37,0,IF($U46=0,0,IF($U46&lt;1,1/$U46,IF((FW$30-Voorblad!$F$37)/$U46-SUM($EE46:FV46)=1,1,0))))</f>
        <v>0</v>
      </c>
      <c r="FX46" s="8">
        <f>IF(FX$30-Voorblad!$F$37&gt;Voorblad!$K$37,0,IF($U46=0,0,IF($U46&lt;1,1/$U46,IF((FX$30-Voorblad!$F$37)/$U46-SUM($EE46:FW46)=1,1,0))))</f>
        <v>0</v>
      </c>
      <c r="FY46" s="8">
        <f>IF(FY$30-Voorblad!$F$37&gt;Voorblad!$K$37,0,IF($U46=0,0,IF($U46&lt;1,1/$U46,IF((FY$30-Voorblad!$F$37)/$U46-SUM($EE46:FX46)=1,1,0))))</f>
        <v>0</v>
      </c>
      <c r="FZ46" s="8">
        <f>IF(FZ$30-Voorblad!$F$37&gt;Voorblad!$K$37,0,IF($U46=0,0,IF($U46&lt;1,1/$U46,IF((FZ$30-Voorblad!$F$37)/$U46-SUM($EE46:FY46)=1,1,0))))</f>
        <v>0</v>
      </c>
      <c r="GA46" s="8">
        <f>IF(GA$30-Voorblad!$F$37&gt;Voorblad!$K$37,0,IF($U46=0,0,IF($U46&lt;1,1/$U46,IF((GA$30-Voorblad!$F$37)/$U46-SUM($EE46:FZ46)=1,1,0))))</f>
        <v>0</v>
      </c>
      <c r="GB46" s="8">
        <f>IF(GB$30-Voorblad!$F$37&gt;Voorblad!$K$37,0,IF($U46=0,0,IF($U46&lt;1,1/$U46,IF((GB$30-Voorblad!$F$37)/$U46-SUM($EE46:GA46)=1,1,0))))</f>
        <v>0</v>
      </c>
      <c r="GC46" s="8">
        <f>IF(GC$30-Voorblad!$F$37&gt;Voorblad!$K$37,0,IF($U46=0,0,IF($U46&lt;1,1/$U46,IF((GC$30-Voorblad!$F$37)/$U46-SUM($EE46:GB46)=1,1,0))))</f>
        <v>0</v>
      </c>
      <c r="GD46" s="8">
        <f>IF(GD$30-Voorblad!$F$37&gt;Voorblad!$K$37,0,IF($U46=0,0,IF($U46&lt;1,1/$U46,IF((GD$30-Voorblad!$F$37)/$U46-SUM($EE46:GC46)=1,1,0))))</f>
        <v>0</v>
      </c>
      <c r="GE46" s="8">
        <f>IF(GE$30-Voorblad!$F$37&gt;Voorblad!$K$37,0,IF($U46=0,0,IF($U46&lt;1,1/$U46,IF((GE$30-Voorblad!$F$37)/$U46-SUM($EE46:GD46)=1,1,0))))</f>
        <v>0</v>
      </c>
      <c r="GF46" s="8">
        <f>IF(GF$30-Voorblad!$F$37&gt;Voorblad!$K$37,0,IF($U46=0,0,IF($U46&lt;1,1/$U46,IF((GF$30-Voorblad!$F$37)/$U46-SUM($EE46:GE46)=1,1,0))))</f>
        <v>0</v>
      </c>
      <c r="GG46" s="8">
        <f>IF(GG$30-Voorblad!$F$37&gt;Voorblad!$K$37,0,IF($U46=0,0,IF($U46&lt;1,1/$U46,IF((GG$30-Voorblad!$F$37)/$U46-SUM($EE46:GF46)=1,1,0))))</f>
        <v>0</v>
      </c>
      <c r="GH46" s="8">
        <f>IF(GH$30-Voorblad!$F$37&gt;Voorblad!$K$37,0,IF($U46=0,0,IF($U46&lt;1,1/$U46,IF((GH$30-Voorblad!$F$37)/$U46-SUM($EE46:GG46)=1,1,0))))</f>
        <v>0</v>
      </c>
      <c r="GI46" s="8">
        <f>IF(GI$30-Voorblad!$F$37&gt;Voorblad!$K$37,0,IF($U46=0,0,IF($U46&lt;1,1/$U46,IF((GI$30-Voorblad!$F$37)/$U46-SUM($EE46:GH46)=1,1,0))))</f>
        <v>0</v>
      </c>
      <c r="GJ46" s="8">
        <f>IF(GJ$30-Voorblad!$F$37&gt;Voorblad!$K$37,0,IF($U46=0,0,IF($U46&lt;1,1/$U46,IF((GJ$30-Voorblad!$F$37)/$U46-SUM($EE46:GI46)=1,1,0))))</f>
        <v>0</v>
      </c>
      <c r="GK46" s="8">
        <f>IF(GK$30-Voorblad!$F$37&gt;Voorblad!$K$37,0,IF($U46=0,0,IF($U46&lt;1,1/$U46,IF((GK$30-Voorblad!$F$37)/$U46-SUM($EE46:GJ46)=1,1,0))))</f>
        <v>0</v>
      </c>
      <c r="GL46" s="8">
        <f>IF(GL$30-Voorblad!$F$37&gt;Voorblad!$K$37,0,IF($U46=0,0,IF($U46&lt;1,1/$U46,IF((GL$30-Voorblad!$F$37)/$U46-SUM($EE46:GK46)=1,1,0))))</f>
        <v>0</v>
      </c>
      <c r="GM46" s="8">
        <f>IF(GM$30-Voorblad!$F$37&gt;Voorblad!$K$37,0,IF($U46=0,0,IF($U46&lt;1,1/$U46,IF((GM$30-Voorblad!$F$37)/$U46-SUM($EE46:GL46)=1,1,0))))</f>
        <v>0</v>
      </c>
      <c r="GN46" s="8">
        <f>IF(GN$30-Voorblad!$F$37&gt;Voorblad!$K$37,0,IF($U46=0,0,IF($U46&lt;1,1/$U46,IF((GN$30-Voorblad!$F$37)/$U46-SUM($EE46:GM46)=1,1,0))))</f>
        <v>0</v>
      </c>
      <c r="GO46" s="8">
        <f>IF(GO$30-Voorblad!$F$37&gt;Voorblad!$K$37,0,IF($U46=0,0,IF($U46&lt;1,1/$U46,IF((GO$30-Voorblad!$F$37)/$U46-SUM($EE46:GN46)=1,1,0))))</f>
        <v>0</v>
      </c>
      <c r="GP46" s="8">
        <f>IF(GP$30-Voorblad!$F$37&gt;Voorblad!$K$37,0,IF($U46=0,0,IF($U46&lt;1,1/$U46,IF((GP$30-Voorblad!$F$37)/$U46-SUM($EE46:GO46)=1,1,0))))</f>
        <v>0</v>
      </c>
      <c r="GQ46" s="8">
        <f>IF(GQ$30-Voorblad!$F$37&gt;Voorblad!$K$37,0,IF($U46=0,0,IF($U46&lt;1,1/$U46,IF((GQ$30-Voorblad!$F$37)/$U46-SUM($EE46:GP46)=1,1,0))))</f>
        <v>0</v>
      </c>
      <c r="GR46" s="8">
        <f>IF(GR$30-Voorblad!$F$37&gt;Voorblad!$K$37,0,IF($U46=0,0,IF($U46&lt;1,1/$U46,IF((GR$30-Voorblad!$F$37)/$U46-SUM($EE46:GQ46)=1,1,0))))</f>
        <v>0</v>
      </c>
      <c r="GS46" s="8">
        <f>IF(GS$30-Voorblad!$F$37&gt;Voorblad!$K$37,0,IF($U46=0,0,IF($U46&lt;1,1/$U46,IF((GS$30-Voorblad!$F$37)/$U46-SUM($EE46:GR46)=1,1,0))))</f>
        <v>0</v>
      </c>
      <c r="GT46" s="8">
        <f>IF(GT$30-Voorblad!$F$37&gt;Voorblad!$K$37,0,IF($U46=0,0,IF($U46&lt;1,1/$U46,IF((GT$30-Voorblad!$F$37)/$U46-SUM($EE46:GS46)=1,1,0))))</f>
        <v>0</v>
      </c>
      <c r="GU46" s="8">
        <f>IF(GU$30-Voorblad!$F$37&gt;Voorblad!$K$37,0,IF($U46=0,0,IF($U46&lt;1,1/$U46,IF((GU$30-Voorblad!$F$37)/$U46-SUM($EE46:GT46)=1,1,0))))</f>
        <v>0</v>
      </c>
      <c r="GV46" s="8">
        <f>IF(GV$30-Voorblad!$F$37&gt;Voorblad!$K$37,0,IF($U46=0,0,IF($U46&lt;1,1/$U46,IF((GV$30-Voorblad!$F$37)/$U46-SUM($EE46:GU46)=1,1,0))))</f>
        <v>0</v>
      </c>
      <c r="GW46" s="8">
        <f>IF(GW$30-Voorblad!$F$37&gt;Voorblad!$K$37,0,IF($U46=0,0,IF($U46&lt;1,1/$U46,IF((GW$30-Voorblad!$F$37)/$U46-SUM($EE46:GV46)=1,1,0))))</f>
        <v>0</v>
      </c>
      <c r="GX46" s="8">
        <f>IF(GX$30-Voorblad!$F$37&gt;Voorblad!$K$37,0,IF($U46=0,0,IF($U46&lt;1,1/$U46,IF((GX$30-Voorblad!$F$37)/$U46-SUM($EE46:GW46)=1,1,0))))</f>
        <v>0</v>
      </c>
      <c r="GY46" s="8">
        <f>IF(GY$30-Voorblad!$F$37&gt;Voorblad!$K$37,0,IF($U46=0,0,IF($U46&lt;1,1/$U46,IF((GY$30-Voorblad!$F$37)/$U46-SUM($EE46:GX46)=1,1,0))))</f>
        <v>0</v>
      </c>
      <c r="GZ46" s="8">
        <f>IF(GZ$30-Voorblad!$F$37&gt;Voorblad!$K$37,0,IF($U46=0,0,IF($U46&lt;1,1/$U46,IF((GZ$30-Voorblad!$F$37)/$U46-SUM($EE46:GY46)=1,1,0))))</f>
        <v>0</v>
      </c>
      <c r="HA46" s="8">
        <f>IF(HA$30-Voorblad!$F$37&gt;Voorblad!$K$37,0,IF($U46=0,0,IF($U46&lt;1,1/$U46,IF((HA$30-Voorblad!$F$37)/$U46-SUM($EE46:GZ46)=1,1,0))))</f>
        <v>0</v>
      </c>
      <c r="HB46" s="8">
        <f>IF(HB$30-Voorblad!$F$37&gt;Voorblad!$K$37,0,IF($U46=0,0,IF($U46&lt;1,1/$U46,IF((HB$30-Voorblad!$F$37)/$U46-SUM($EE46:HA46)=1,1,0))))</f>
        <v>0</v>
      </c>
      <c r="HC46" s="8">
        <f>IF(HC$30-Voorblad!$F$37&gt;Voorblad!$K$37,0,IF($U46=0,0,IF($U46&lt;1,1/$U46,IF((HC$30-Voorblad!$F$37)/$U46-SUM($EE46:HB46)=1,1,0))))</f>
        <v>0</v>
      </c>
      <c r="HD46" s="8">
        <f>IF(HD$30-Voorblad!$F$37&gt;Voorblad!$K$37,0,IF($U46=0,0,IF($U46&lt;1,1/$U46,IF((HD$30-Voorblad!$F$37)/$U46-SUM($EE46:HC46)=1,1,0))))</f>
        <v>0</v>
      </c>
      <c r="HE46" s="8">
        <f>IF(HE$30-Voorblad!$F$37&gt;Voorblad!$K$37,0,IF($U46=0,0,IF($U46&lt;1,1/$U46,IF((HE$30-Voorblad!$F$37)/$U46-SUM($EE46:HD46)=1,1,0))))</f>
        <v>0</v>
      </c>
      <c r="HF46" s="8">
        <f>IF(HF$30-Voorblad!$F$37&gt;Voorblad!$K$37,0,IF($U46=0,0,IF($U46&lt;1,1/$U46,IF((HF$30-Voorblad!$F$37)/$U46-SUM($EE46:HE46)=1,1,0))))</f>
        <v>0</v>
      </c>
      <c r="HG46" s="8">
        <f>IF(HG$30-Voorblad!$F$37&gt;Voorblad!$K$37,0,IF($U46=0,0,IF($U46&lt;1,1/$U46,IF((HG$30-Voorblad!$F$37)/$U46-SUM($EE46:HF46)=1,1,0))))</f>
        <v>0</v>
      </c>
      <c r="HH46" s="8">
        <f>IF(HH$30-Voorblad!$F$37&gt;Voorblad!$K$37,0,IF($U46=0,0,IF($U46&lt;1,1/$U46,IF((HH$30-Voorblad!$F$37)/$U46-SUM($EE46:HG46)=1,1,0))))</f>
        <v>0</v>
      </c>
      <c r="HI46" s="8">
        <f>IF(HI$30-Voorblad!$F$37&gt;Voorblad!$K$37,0,IF($U46=0,0,IF($U46&lt;1,1/$U46,IF((HI$30-Voorblad!$F$37)/$U46-SUM($EE46:HH46)=1,1,0))))</f>
        <v>0</v>
      </c>
      <c r="HJ46" s="8">
        <f>IF(HJ$30-Voorblad!$F$37&gt;Voorblad!$K$37,0,IF($U46=0,0,IF($U46&lt;1,1/$U46,IF((HJ$30-Voorblad!$F$37)/$U46-SUM($EE46:HI46)=1,1,0))))</f>
        <v>0</v>
      </c>
      <c r="HK46" s="8">
        <f>IF(HK$30-Voorblad!$F$37&gt;Voorblad!$K$37,0,IF($U46=0,0,IF($U46&lt;1,1/$U46,IF((HK$30-Voorblad!$F$37)/$U46-SUM($EE46:HJ46)=1,1,0))))</f>
        <v>0</v>
      </c>
      <c r="HL46" s="8">
        <f>IF(HL$30-Voorblad!$F$37&gt;Voorblad!$K$37,0,IF($U46=0,0,IF($U46&lt;1,1/$U46,IF((HL$30-Voorblad!$F$37)/$U46-SUM($EE46:HK46)=1,1,0))))</f>
        <v>0</v>
      </c>
      <c r="HM46" s="8">
        <f>IF(HM$30-Voorblad!$F$37&gt;Voorblad!$K$37,0,IF($U46=0,0,IF($U46&lt;1,1/$U46,IF((HM$30-Voorblad!$F$37)/$U46-SUM($EE46:HL46)=1,1,0))))</f>
        <v>0</v>
      </c>
      <c r="HN46" s="8">
        <f>IF(HN$30-Voorblad!$F$37&gt;Voorblad!$K$37,0,IF($U46=0,0,IF($U46&lt;1,1/$U46,IF((HN$30-Voorblad!$F$37)/$U46-SUM($EE46:HM46)=1,1,0))))</f>
        <v>0</v>
      </c>
      <c r="HO46" s="8">
        <f>IF(HO$30-Voorblad!$F$37&gt;Voorblad!$K$37,0,IF($U46=0,0,IF($U46&lt;1,1/$U46,IF((HO$30-Voorblad!$F$37)/$U46-SUM($EE46:HN46)=1,1,0))))</f>
        <v>0</v>
      </c>
      <c r="HP46" s="8">
        <f>IF(HP$30-Voorblad!$F$37&gt;Voorblad!$K$37,0,IF($U46=0,0,IF($U46&lt;1,1/$U46,IF((HP$30-Voorblad!$F$37)/$U46-SUM($EE46:HO46)=1,1,0))))</f>
        <v>0</v>
      </c>
      <c r="HQ46" s="8">
        <f>IF(HQ$30-Voorblad!$F$37&gt;Voorblad!$K$37,0,IF($U46=0,0,IF($U46&lt;1,1/$U46,IF((HQ$30-Voorblad!$F$37)/$U46-SUM($EE46:HP46)=1,1,0))))</f>
        <v>0</v>
      </c>
      <c r="HR46" s="8">
        <f>IF(HR$30-Voorblad!$F$37&gt;Voorblad!$K$37,0,IF($U46=0,0,IF($U46&lt;1,1/$U46,IF((HR$30-Voorblad!$F$37)/$U46-SUM($EE46:HQ46)=1,1,0))))</f>
        <v>0</v>
      </c>
      <c r="HS46" s="8">
        <f>IF(HS$30-Voorblad!$F$37&gt;Voorblad!$K$37,0,IF($U46=0,0,IF($U46&lt;1,1/$U46,IF((HS$30-Voorblad!$F$37)/$U46-SUM($EE46:HR46)=1,1,0))))</f>
        <v>0</v>
      </c>
      <c r="HT46" s="8">
        <f>IF(HT$30-Voorblad!$F$37&gt;Voorblad!$K$37,0,IF($U46=0,0,IF($U46&lt;1,1/$U46,IF((HT$30-Voorblad!$F$37)/$U46-SUM($EE46:HS46)=1,1,0))))</f>
        <v>0</v>
      </c>
      <c r="HU46" s="8">
        <f>IF(HU$30-Voorblad!$F$37&gt;Voorblad!$K$37,0,IF($U46=0,0,IF($U46&lt;1,1/$U46,IF((HU$30-Voorblad!$F$37)/$U46-SUM($EE46:HT46)=1,1,0))))</f>
        <v>0</v>
      </c>
      <c r="HV46" s="8">
        <f>IF(HV$30-Voorblad!$F$37&gt;Voorblad!$K$37,0,IF($U46=0,0,IF($U46&lt;1,1/$U46,IF((HV$30-Voorblad!$F$37)/$U46-SUM($EE46:HU46)=1,1,0))))</f>
        <v>0</v>
      </c>
      <c r="HW46" s="8">
        <f>IF(HW$30-Voorblad!$F$37&gt;Voorblad!$K$37,0,IF($U46=0,0,IF($U46&lt;1,1/$U46,IF((HW$30-Voorblad!$F$37)/$U46-SUM($EE46:HV46)=1,1,0))))</f>
        <v>0</v>
      </c>
      <c r="HX46" s="8">
        <f>IF(HX$30-Voorblad!$F$37&gt;Voorblad!$K$37,0,IF($U46=0,0,IF($U46&lt;1,1/$U46,IF((HX$30-Voorblad!$F$37)/$U46-SUM($EE46:HW46)=1,1,0))))</f>
        <v>0</v>
      </c>
      <c r="HY46" s="8">
        <f>IF(HY$30-Voorblad!$F$37&gt;Voorblad!$K$37,0,IF($U46=0,0,IF($U46&lt;1,1/$U46,IF((HY$30-Voorblad!$F$37)/$U46-SUM($EE46:HX46)=1,1,0))))</f>
        <v>0</v>
      </c>
      <c r="HZ46" s="8">
        <f>IF(HZ$30-Voorblad!$F$37&gt;Voorblad!$K$37,0,IF($U46=0,0,IF($U46&lt;1,1/$U46,IF((HZ$30-Voorblad!$F$37)/$U46-SUM($EE46:HY46)=1,1,0))))</f>
        <v>0</v>
      </c>
      <c r="IA46" s="8">
        <f>IF(IA$30-Voorblad!$F$37&gt;Voorblad!$K$37,0,IF($U46=0,0,IF($U46&lt;1,1/$U46,IF((IA$30-Voorblad!$F$37)/$U46-SUM($EE46:HZ46)=1,1,0))))</f>
        <v>0</v>
      </c>
      <c r="IB46" s="8">
        <f>IF(IB$30-Voorblad!$F$37&gt;Voorblad!$K$37,0,IF($U46=0,0,IF($U46&lt;1,1/$U46,IF((IB$30-Voorblad!$F$37)/$U46-SUM($EE46:IA46)=1,1,0))))</f>
        <v>0</v>
      </c>
    </row>
    <row r="47" spans="2:236" ht="12" customHeight="1" x14ac:dyDescent="0.25">
      <c r="B47" s="2" t="s">
        <v>268</v>
      </c>
      <c r="C47" s="2"/>
      <c r="D47" s="2"/>
      <c r="O47" s="14"/>
      <c r="P47" s="14"/>
      <c r="S47" s="14"/>
      <c r="U47" s="14"/>
      <c r="V47" s="14"/>
      <c r="Z47" s="24"/>
      <c r="AA47" s="24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E47" s="8"/>
      <c r="EF47" s="8"/>
      <c r="EG47" s="8"/>
      <c r="EH47" s="8"/>
      <c r="EI47" s="8"/>
      <c r="EJ47" s="8"/>
      <c r="EK47" s="8"/>
      <c r="EL47" s="8"/>
      <c r="EM47" s="8"/>
      <c r="EN47" s="8"/>
      <c r="EO47" s="8"/>
      <c r="EP47" s="8"/>
      <c r="EQ47" s="8"/>
      <c r="ER47" s="8"/>
      <c r="ES47" s="8"/>
      <c r="ET47" s="8"/>
      <c r="EU47" s="8"/>
      <c r="EV47" s="8"/>
      <c r="EW47" s="8"/>
      <c r="EX47" s="8"/>
      <c r="EY47" s="8"/>
      <c r="EZ47" s="8"/>
      <c r="FA47" s="8"/>
      <c r="FB47" s="8"/>
      <c r="FC47" s="8"/>
      <c r="FD47" s="8"/>
      <c r="FE47" s="8"/>
      <c r="FF47" s="8"/>
      <c r="FG47" s="8"/>
      <c r="FH47" s="8"/>
      <c r="FI47" s="8"/>
      <c r="FJ47" s="8"/>
      <c r="FK47" s="8"/>
      <c r="FL47" s="8"/>
      <c r="FM47" s="8"/>
      <c r="FN47" s="8"/>
      <c r="FO47" s="8"/>
      <c r="FP47" s="8"/>
      <c r="FQ47" s="8"/>
      <c r="FR47" s="8"/>
      <c r="FS47" s="8"/>
      <c r="FT47" s="8"/>
      <c r="FU47" s="8"/>
      <c r="FV47" s="8"/>
      <c r="FW47" s="8"/>
      <c r="FX47" s="8"/>
      <c r="FY47" s="8"/>
      <c r="FZ47" s="8"/>
      <c r="GA47" s="8"/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</row>
    <row r="48" spans="2:236" x14ac:dyDescent="0.25"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14"/>
      <c r="P48" s="14"/>
      <c r="Q48" s="14"/>
      <c r="R48" s="6"/>
      <c r="S48" s="6"/>
      <c r="T48" s="6"/>
      <c r="U48" s="11"/>
      <c r="V48" s="11"/>
      <c r="W48" s="6"/>
      <c r="X48" s="6"/>
      <c r="Y48" s="6"/>
      <c r="Z48" s="6"/>
      <c r="AA48" s="6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10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E48" s="8"/>
      <c r="EF48" s="8"/>
      <c r="EG48" s="8"/>
      <c r="EH48" s="8"/>
      <c r="EI48" s="8"/>
      <c r="EJ48" s="8"/>
      <c r="EK48" s="8"/>
      <c r="EL48" s="8"/>
      <c r="EM48" s="8"/>
      <c r="EN48" s="8"/>
      <c r="EO48" s="8"/>
      <c r="EP48" s="8"/>
      <c r="EQ48" s="8"/>
      <c r="ER48" s="8"/>
      <c r="ES48" s="8"/>
      <c r="ET48" s="8"/>
      <c r="EU48" s="8"/>
      <c r="EV48" s="8"/>
      <c r="EW48" s="8"/>
      <c r="EX48" s="8"/>
      <c r="EY48" s="8"/>
      <c r="EZ48" s="8"/>
      <c r="FA48" s="8"/>
      <c r="FB48" s="8"/>
      <c r="FC48" s="8"/>
      <c r="FD48" s="8"/>
      <c r="FE48" s="8"/>
      <c r="FF48" s="8"/>
      <c r="FG48" s="8"/>
      <c r="FH48" s="8"/>
      <c r="FI48" s="8"/>
      <c r="FJ48" s="8"/>
      <c r="FK48" s="8"/>
      <c r="FL48" s="8"/>
      <c r="FM48" s="8"/>
      <c r="FN48" s="8"/>
      <c r="FO48" s="8"/>
      <c r="FP48" s="8"/>
      <c r="FQ48" s="8"/>
      <c r="FR48" s="8"/>
      <c r="FS48" s="8"/>
      <c r="FT48" s="8"/>
      <c r="FU48" s="8"/>
      <c r="FV48" s="8"/>
      <c r="FW48" s="8"/>
      <c r="FX48" s="8"/>
      <c r="FY48" s="8"/>
      <c r="FZ48" s="8"/>
      <c r="GA48" s="8"/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</row>
    <row r="49" spans="2:236" x14ac:dyDescent="0.25"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11"/>
      <c r="V49" s="11"/>
      <c r="W49" s="6"/>
      <c r="X49" s="6"/>
      <c r="Y49" s="6"/>
      <c r="Z49" s="6"/>
      <c r="AA49" s="6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10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E49" s="8"/>
      <c r="EF49" s="8"/>
      <c r="EG49" s="8"/>
      <c r="EH49" s="8"/>
      <c r="EI49" s="8"/>
      <c r="EJ49" s="8"/>
      <c r="EK49" s="8"/>
      <c r="EL49" s="8"/>
      <c r="EM49" s="8"/>
      <c r="EN49" s="8"/>
      <c r="EO49" s="8"/>
      <c r="EP49" s="8"/>
      <c r="EQ49" s="8"/>
      <c r="ER49" s="8"/>
      <c r="ES49" s="8"/>
      <c r="ET49" s="8"/>
      <c r="EU49" s="8"/>
      <c r="EV49" s="8"/>
      <c r="EW49" s="8"/>
      <c r="EX49" s="8"/>
      <c r="EY49" s="8"/>
      <c r="EZ49" s="8"/>
      <c r="FA49" s="8"/>
      <c r="FB49" s="8"/>
      <c r="FC49" s="8"/>
      <c r="FD49" s="8"/>
      <c r="FE49" s="8"/>
      <c r="FF49" s="8"/>
      <c r="FG49" s="8"/>
      <c r="FH49" s="8"/>
      <c r="FI49" s="8"/>
      <c r="FJ49" s="8"/>
      <c r="FK49" s="8"/>
      <c r="FL49" s="8"/>
      <c r="FM49" s="8"/>
      <c r="FN49" s="8"/>
      <c r="FO49" s="8"/>
      <c r="FP49" s="8"/>
      <c r="FQ49" s="8"/>
      <c r="FR49" s="8"/>
      <c r="FS49" s="8"/>
      <c r="FT49" s="8"/>
      <c r="FU49" s="8"/>
      <c r="FV49" s="8"/>
      <c r="FW49" s="8"/>
      <c r="FX49" s="8"/>
      <c r="FY49" s="8"/>
      <c r="FZ49" s="8"/>
      <c r="GA49" s="8"/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</row>
    <row r="50" spans="2:236" ht="18" x14ac:dyDescent="0.35">
      <c r="B50" s="17" t="s">
        <v>249</v>
      </c>
      <c r="C50" s="17"/>
      <c r="D50" s="16"/>
      <c r="E50" s="16"/>
      <c r="F50" s="16"/>
      <c r="G50" s="16"/>
      <c r="H50" s="16"/>
      <c r="I50" s="16"/>
      <c r="J50" s="16"/>
      <c r="K50" s="18"/>
      <c r="L50" s="18"/>
      <c r="M50" s="18"/>
      <c r="N50" s="18"/>
      <c r="O50" s="18"/>
      <c r="P50" s="18"/>
      <c r="Q50" s="18"/>
      <c r="R50" s="18"/>
      <c r="S50" s="18"/>
      <c r="T50" s="16"/>
      <c r="U50" s="16"/>
      <c r="V50" s="16"/>
      <c r="W50" s="16"/>
      <c r="X50" s="16"/>
      <c r="Y50" s="16"/>
      <c r="Z50" s="16"/>
      <c r="AA50" s="16"/>
    </row>
    <row r="51" spans="2:236" ht="12.6" thickBot="1" x14ac:dyDescent="0.3"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11"/>
      <c r="V51" s="11"/>
      <c r="W51" s="6"/>
      <c r="X51" s="6"/>
      <c r="Y51" s="6"/>
      <c r="Z51" s="6"/>
      <c r="AA51" s="6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10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E51" s="8"/>
      <c r="EF51" s="8"/>
      <c r="EG51" s="8"/>
      <c r="EH51" s="8"/>
      <c r="EI51" s="8"/>
      <c r="EJ51" s="8"/>
      <c r="EK51" s="8"/>
      <c r="EL51" s="8"/>
      <c r="EM51" s="8"/>
      <c r="EN51" s="8"/>
      <c r="EO51" s="8"/>
      <c r="EP51" s="8"/>
      <c r="EQ51" s="8"/>
      <c r="ER51" s="8"/>
      <c r="ES51" s="8"/>
      <c r="ET51" s="8"/>
      <c r="EU51" s="8"/>
      <c r="EV51" s="8"/>
      <c r="EW51" s="8"/>
      <c r="EX51" s="8"/>
      <c r="EY51" s="8"/>
      <c r="EZ51" s="8"/>
      <c r="FA51" s="8"/>
      <c r="FB51" s="8"/>
      <c r="FC51" s="8"/>
      <c r="FD51" s="8"/>
      <c r="FE51" s="8"/>
      <c r="FF51" s="8"/>
      <c r="FG51" s="8"/>
      <c r="FH51" s="8"/>
      <c r="FI51" s="8"/>
      <c r="FJ51" s="8"/>
      <c r="FK51" s="8"/>
      <c r="FL51" s="8"/>
      <c r="FM51" s="8"/>
      <c r="FN51" s="8"/>
      <c r="FO51" s="8"/>
      <c r="FP51" s="8"/>
      <c r="FQ51" s="8"/>
      <c r="FR51" s="8"/>
      <c r="FS51" s="8"/>
      <c r="FT51" s="8"/>
      <c r="FU51" s="8"/>
      <c r="FV51" s="8"/>
      <c r="FW51" s="8"/>
      <c r="FX51" s="8"/>
      <c r="FY51" s="8"/>
      <c r="FZ51" s="8"/>
      <c r="GA51" s="8"/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</row>
    <row r="52" spans="2:236" ht="16.95" customHeight="1" thickBot="1" x14ac:dyDescent="0.35">
      <c r="B52" s="277" t="s">
        <v>72</v>
      </c>
      <c r="C52" s="278"/>
      <c r="D52" s="279"/>
      <c r="E52" s="279"/>
      <c r="F52" s="279"/>
      <c r="G52" s="279"/>
      <c r="H52" s="279"/>
      <c r="I52" s="279"/>
      <c r="J52" s="279"/>
      <c r="K52" s="280"/>
      <c r="L52" s="6"/>
      <c r="M52" s="6"/>
      <c r="N52" s="6"/>
      <c r="O52" s="6"/>
      <c r="P52" s="6"/>
      <c r="Q52" s="6"/>
      <c r="R52" s="6"/>
      <c r="S52" s="6"/>
      <c r="T52" s="6"/>
      <c r="U52" s="11"/>
      <c r="V52" s="11"/>
      <c r="W52" s="6"/>
      <c r="X52" s="6"/>
      <c r="Y52" s="6"/>
      <c r="Z52" s="6"/>
      <c r="AA52" s="6"/>
      <c r="AF52" s="9"/>
      <c r="AG52" s="9"/>
      <c r="AH52" s="9"/>
      <c r="AI52" s="9"/>
      <c r="AJ52" s="9"/>
      <c r="AK52" s="9"/>
      <c r="AL52" s="9"/>
      <c r="AM52" s="9"/>
      <c r="AN52" s="9"/>
      <c r="AO52" s="10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E52" s="8"/>
      <c r="EF52" s="8"/>
      <c r="EG52" s="8"/>
      <c r="EH52" s="8"/>
      <c r="EI52" s="8"/>
      <c r="EJ52" s="8"/>
      <c r="EK52" s="8"/>
      <c r="EL52" s="8"/>
      <c r="EM52" s="8"/>
      <c r="EN52" s="8"/>
      <c r="EO52" s="8"/>
      <c r="EP52" s="8"/>
      <c r="EQ52" s="8"/>
      <c r="ER52" s="8"/>
      <c r="ES52" s="8"/>
      <c r="ET52" s="8"/>
      <c r="EU52" s="8"/>
      <c r="EV52" s="8"/>
      <c r="EW52" s="8"/>
      <c r="EX52" s="8"/>
      <c r="EY52" s="8"/>
      <c r="EZ52" s="8"/>
      <c r="FA52" s="8"/>
      <c r="FB52" s="8"/>
      <c r="FC52" s="8"/>
      <c r="FD52" s="8"/>
      <c r="FE52" s="8"/>
      <c r="FF52" s="8"/>
      <c r="FG52" s="8"/>
      <c r="FH52" s="8"/>
      <c r="FI52" s="8"/>
      <c r="FJ52" s="8"/>
      <c r="FK52" s="8"/>
      <c r="FL52" s="8"/>
      <c r="FM52" s="8"/>
      <c r="FN52" s="8"/>
      <c r="FO52" s="8"/>
      <c r="FP52" s="8"/>
      <c r="FQ52" s="8"/>
      <c r="FR52" s="8"/>
      <c r="FS52" s="8"/>
      <c r="FT52" s="8"/>
      <c r="FU52" s="8"/>
      <c r="FV52" s="8"/>
      <c r="FW52" s="8"/>
      <c r="FX52" s="8"/>
      <c r="FY52" s="8"/>
      <c r="FZ52" s="8"/>
      <c r="GA52" s="8"/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</row>
    <row r="53" spans="2:236" x14ac:dyDescent="0.25"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11"/>
      <c r="V53" s="11"/>
      <c r="W53" s="6"/>
      <c r="X53" s="6"/>
      <c r="Y53" s="6"/>
      <c r="Z53" s="6"/>
      <c r="AA53" s="6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10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E53" s="8"/>
      <c r="EF53" s="8"/>
      <c r="EG53" s="8"/>
      <c r="EH53" s="8"/>
      <c r="EI53" s="8"/>
      <c r="EJ53" s="8"/>
      <c r="EK53" s="8"/>
      <c r="EL53" s="8"/>
      <c r="EM53" s="8"/>
      <c r="EN53" s="8"/>
      <c r="EO53" s="8"/>
      <c r="EP53" s="8"/>
      <c r="EQ53" s="8"/>
      <c r="ER53" s="8"/>
      <c r="ES53" s="8"/>
      <c r="ET53" s="8"/>
      <c r="EU53" s="8"/>
      <c r="EV53" s="8"/>
      <c r="EW53" s="8"/>
      <c r="EX53" s="8"/>
      <c r="EY53" s="8"/>
      <c r="EZ53" s="8"/>
      <c r="FA53" s="8"/>
      <c r="FB53" s="8"/>
      <c r="FC53" s="8"/>
      <c r="FD53" s="8"/>
      <c r="FE53" s="8"/>
      <c r="FF53" s="8"/>
      <c r="FG53" s="8"/>
      <c r="FH53" s="8"/>
      <c r="FI53" s="8"/>
      <c r="FJ53" s="8"/>
      <c r="FK53" s="8"/>
      <c r="FL53" s="8"/>
      <c r="FM53" s="8"/>
      <c r="FN53" s="8"/>
      <c r="FO53" s="8"/>
      <c r="FP53" s="8"/>
      <c r="FQ53" s="8"/>
      <c r="FR53" s="8"/>
      <c r="FS53" s="8"/>
      <c r="FT53" s="8"/>
      <c r="FU53" s="8"/>
      <c r="FV53" s="8"/>
      <c r="FW53" s="8"/>
      <c r="FX53" s="8"/>
      <c r="FY53" s="8"/>
      <c r="FZ53" s="8"/>
      <c r="GA53" s="8"/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</row>
    <row r="54" spans="2:236" ht="15" customHeight="1" x14ac:dyDescent="0.3">
      <c r="B54" s="3" t="s">
        <v>236</v>
      </c>
      <c r="C54" s="3"/>
      <c r="D54" s="3"/>
      <c r="E54" s="3"/>
      <c r="F54" s="3" t="s">
        <v>0</v>
      </c>
      <c r="G54" s="3"/>
      <c r="H54" s="3"/>
      <c r="I54" s="3" t="s">
        <v>231</v>
      </c>
      <c r="J54" s="3"/>
      <c r="K54" s="3" t="s">
        <v>11</v>
      </c>
      <c r="L54" s="3"/>
      <c r="M54" s="3"/>
      <c r="N54" s="3"/>
      <c r="O54" s="3" t="s">
        <v>54</v>
      </c>
      <c r="P54" s="3" t="s">
        <v>136</v>
      </c>
      <c r="Q54" s="3" t="s">
        <v>30</v>
      </c>
      <c r="R54" s="3" t="s">
        <v>69</v>
      </c>
      <c r="S54" s="160" t="s">
        <v>32</v>
      </c>
      <c r="T54" s="3" t="s">
        <v>24</v>
      </c>
      <c r="U54" s="3" t="s">
        <v>36</v>
      </c>
      <c r="V54" s="3" t="s">
        <v>71</v>
      </c>
      <c r="W54" s="3" t="s">
        <v>141</v>
      </c>
      <c r="X54" s="6"/>
      <c r="Y54" s="20" t="s">
        <v>68</v>
      </c>
      <c r="Z54" s="20" t="s">
        <v>139</v>
      </c>
      <c r="AA54" s="20" t="s">
        <v>143</v>
      </c>
      <c r="AC54" s="20" t="s">
        <v>280</v>
      </c>
      <c r="AE54" s="12" t="s">
        <v>39</v>
      </c>
      <c r="AF54" s="9"/>
      <c r="AG54" s="9"/>
      <c r="AH54" s="9"/>
      <c r="AI54" s="9"/>
      <c r="AJ54" s="9"/>
      <c r="AK54" s="9"/>
      <c r="AL54" s="9"/>
      <c r="AM54" s="9"/>
      <c r="AN54" s="9"/>
      <c r="AO54" s="10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E54" s="7" t="s">
        <v>31</v>
      </c>
      <c r="EF54" s="8"/>
      <c r="EG54" s="8"/>
      <c r="EH54" s="8"/>
      <c r="EI54" s="8"/>
      <c r="EJ54" s="8"/>
      <c r="EK54" s="8"/>
      <c r="EL54" s="8"/>
      <c r="EM54" s="8"/>
      <c r="EN54" s="8"/>
      <c r="EO54" s="8"/>
      <c r="EP54" s="8"/>
      <c r="EQ54" s="8"/>
      <c r="ER54" s="8"/>
      <c r="ES54" s="8"/>
      <c r="ET54" s="8"/>
      <c r="EU54" s="8"/>
      <c r="EV54" s="8"/>
      <c r="EW54" s="8"/>
      <c r="EX54" s="8"/>
      <c r="EY54" s="8"/>
      <c r="EZ54" s="8"/>
      <c r="FA54" s="8"/>
      <c r="FB54" s="8"/>
      <c r="FC54" s="8"/>
      <c r="FD54" s="8"/>
      <c r="FE54" s="8"/>
      <c r="FF54" s="8"/>
      <c r="FG54" s="8"/>
      <c r="FH54" s="8"/>
      <c r="FI54" s="8"/>
      <c r="FJ54" s="8"/>
      <c r="FK54" s="8"/>
      <c r="FL54" s="8"/>
      <c r="FM54" s="8"/>
      <c r="FN54" s="8"/>
      <c r="FO54" s="8"/>
      <c r="FP54" s="8"/>
      <c r="FQ54" s="8"/>
      <c r="FR54" s="8"/>
      <c r="FS54" s="8"/>
      <c r="FT54" s="8"/>
      <c r="FU54" s="8"/>
      <c r="FV54" s="8"/>
      <c r="FW54" s="8"/>
      <c r="FX54" s="8"/>
      <c r="FY54" s="8"/>
      <c r="FZ54" s="8"/>
      <c r="GA54" s="8"/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</row>
    <row r="55" spans="2:236" ht="12" customHeight="1" x14ac:dyDescent="0.25">
      <c r="B55" s="3" t="s">
        <v>235</v>
      </c>
      <c r="I55" s="3" t="s">
        <v>232</v>
      </c>
      <c r="O55" s="14"/>
      <c r="P55" s="14"/>
      <c r="V55" s="3" t="s">
        <v>70</v>
      </c>
      <c r="AC55" s="20" t="s">
        <v>281</v>
      </c>
      <c r="EE55" s="8"/>
      <c r="EF55" s="8"/>
      <c r="EG55" s="8"/>
      <c r="EH55" s="8"/>
      <c r="EI55" s="8"/>
      <c r="EJ55" s="8"/>
      <c r="EK55" s="8"/>
      <c r="EL55" s="8"/>
      <c r="EM55" s="8"/>
      <c r="EN55" s="8"/>
      <c r="EO55" s="8"/>
      <c r="EP55" s="8"/>
      <c r="EQ55" s="8"/>
      <c r="ER55" s="8"/>
      <c r="ES55" s="8"/>
      <c r="ET55" s="8"/>
      <c r="EU55" s="8"/>
      <c r="EV55" s="8"/>
      <c r="EW55" s="8"/>
      <c r="EX55" s="8"/>
      <c r="EY55" s="8"/>
      <c r="EZ55" s="8"/>
      <c r="FA55" s="8"/>
      <c r="FB55" s="8"/>
      <c r="FC55" s="8"/>
      <c r="FD55" s="8"/>
      <c r="FE55" s="8"/>
      <c r="FF55" s="8"/>
      <c r="FG55" s="8"/>
      <c r="FH55" s="8"/>
      <c r="FI55" s="8"/>
      <c r="FJ55" s="8"/>
      <c r="FK55" s="8"/>
      <c r="FL55" s="8"/>
      <c r="FM55" s="8"/>
      <c r="FN55" s="8"/>
      <c r="FO55" s="8"/>
      <c r="FP55" s="8"/>
      <c r="FQ55" s="8"/>
      <c r="FR55" s="8"/>
      <c r="FS55" s="8"/>
      <c r="FT55" s="8"/>
      <c r="FU55" s="8"/>
      <c r="FV55" s="8"/>
      <c r="FW55" s="8"/>
      <c r="FX55" s="8"/>
      <c r="FY55" s="8"/>
      <c r="FZ55" s="8"/>
      <c r="GA55" s="8"/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</row>
    <row r="56" spans="2:236" x14ac:dyDescent="0.25">
      <c r="N56" s="3"/>
      <c r="V56" s="3"/>
      <c r="X56" s="6"/>
      <c r="Y56" s="6"/>
      <c r="Z56" s="6"/>
      <c r="AA56" s="6"/>
      <c r="AE56" s="12">
        <f>Voorblad!F41</f>
        <v>2028</v>
      </c>
      <c r="AF56" s="12">
        <f>AE56+1</f>
        <v>2029</v>
      </c>
      <c r="AG56" s="12">
        <f t="shared" ref="AG56:CR56" si="6">AF56+1</f>
        <v>2030</v>
      </c>
      <c r="AH56" s="12">
        <f t="shared" si="6"/>
        <v>2031</v>
      </c>
      <c r="AI56" s="12">
        <f t="shared" si="6"/>
        <v>2032</v>
      </c>
      <c r="AJ56" s="12">
        <f t="shared" si="6"/>
        <v>2033</v>
      </c>
      <c r="AK56" s="12">
        <f t="shared" si="6"/>
        <v>2034</v>
      </c>
      <c r="AL56" s="12">
        <f t="shared" si="6"/>
        <v>2035</v>
      </c>
      <c r="AM56" s="12">
        <f t="shared" si="6"/>
        <v>2036</v>
      </c>
      <c r="AN56" s="12">
        <f t="shared" si="6"/>
        <v>2037</v>
      </c>
      <c r="AO56" s="12">
        <f t="shared" si="6"/>
        <v>2038</v>
      </c>
      <c r="AP56" s="12">
        <f t="shared" si="6"/>
        <v>2039</v>
      </c>
      <c r="AQ56" s="12">
        <f t="shared" si="6"/>
        <v>2040</v>
      </c>
      <c r="AR56" s="12">
        <f t="shared" si="6"/>
        <v>2041</v>
      </c>
      <c r="AS56" s="12">
        <f t="shared" si="6"/>
        <v>2042</v>
      </c>
      <c r="AT56" s="12">
        <f t="shared" si="6"/>
        <v>2043</v>
      </c>
      <c r="AU56" s="12">
        <f t="shared" si="6"/>
        <v>2044</v>
      </c>
      <c r="AV56" s="12">
        <f t="shared" si="6"/>
        <v>2045</v>
      </c>
      <c r="AW56" s="12">
        <f t="shared" si="6"/>
        <v>2046</v>
      </c>
      <c r="AX56" s="12">
        <f t="shared" si="6"/>
        <v>2047</v>
      </c>
      <c r="AY56" s="12">
        <f t="shared" si="6"/>
        <v>2048</v>
      </c>
      <c r="AZ56" s="12">
        <f t="shared" si="6"/>
        <v>2049</v>
      </c>
      <c r="BA56" s="12">
        <f t="shared" si="6"/>
        <v>2050</v>
      </c>
      <c r="BB56" s="12">
        <f t="shared" si="6"/>
        <v>2051</v>
      </c>
      <c r="BC56" s="12">
        <f t="shared" si="6"/>
        <v>2052</v>
      </c>
      <c r="BD56" s="12">
        <f t="shared" si="6"/>
        <v>2053</v>
      </c>
      <c r="BE56" s="12">
        <f t="shared" si="6"/>
        <v>2054</v>
      </c>
      <c r="BF56" s="12">
        <f t="shared" si="6"/>
        <v>2055</v>
      </c>
      <c r="BG56" s="12">
        <f t="shared" si="6"/>
        <v>2056</v>
      </c>
      <c r="BH56" s="12">
        <f t="shared" si="6"/>
        <v>2057</v>
      </c>
      <c r="BI56" s="12">
        <f t="shared" si="6"/>
        <v>2058</v>
      </c>
      <c r="BJ56" s="12">
        <f t="shared" si="6"/>
        <v>2059</v>
      </c>
      <c r="BK56" s="12">
        <f t="shared" si="6"/>
        <v>2060</v>
      </c>
      <c r="BL56" s="12">
        <f t="shared" si="6"/>
        <v>2061</v>
      </c>
      <c r="BM56" s="12">
        <f t="shared" si="6"/>
        <v>2062</v>
      </c>
      <c r="BN56" s="12">
        <f t="shared" si="6"/>
        <v>2063</v>
      </c>
      <c r="BO56" s="12">
        <f t="shared" si="6"/>
        <v>2064</v>
      </c>
      <c r="BP56" s="12">
        <f t="shared" si="6"/>
        <v>2065</v>
      </c>
      <c r="BQ56" s="12">
        <f t="shared" si="6"/>
        <v>2066</v>
      </c>
      <c r="BR56" s="12">
        <f t="shared" si="6"/>
        <v>2067</v>
      </c>
      <c r="BS56" s="12">
        <f t="shared" si="6"/>
        <v>2068</v>
      </c>
      <c r="BT56" s="12">
        <f t="shared" si="6"/>
        <v>2069</v>
      </c>
      <c r="BU56" s="12">
        <f t="shared" si="6"/>
        <v>2070</v>
      </c>
      <c r="BV56" s="12">
        <f t="shared" si="6"/>
        <v>2071</v>
      </c>
      <c r="BW56" s="12">
        <f t="shared" si="6"/>
        <v>2072</v>
      </c>
      <c r="BX56" s="12">
        <f t="shared" si="6"/>
        <v>2073</v>
      </c>
      <c r="BY56" s="12">
        <f t="shared" si="6"/>
        <v>2074</v>
      </c>
      <c r="BZ56" s="12">
        <f t="shared" si="6"/>
        <v>2075</v>
      </c>
      <c r="CA56" s="12">
        <f t="shared" si="6"/>
        <v>2076</v>
      </c>
      <c r="CB56" s="12">
        <f t="shared" si="6"/>
        <v>2077</v>
      </c>
      <c r="CC56" s="12">
        <f t="shared" si="6"/>
        <v>2078</v>
      </c>
      <c r="CD56" s="12">
        <f t="shared" si="6"/>
        <v>2079</v>
      </c>
      <c r="CE56" s="12">
        <f t="shared" si="6"/>
        <v>2080</v>
      </c>
      <c r="CF56" s="12">
        <f t="shared" si="6"/>
        <v>2081</v>
      </c>
      <c r="CG56" s="12">
        <f t="shared" si="6"/>
        <v>2082</v>
      </c>
      <c r="CH56" s="12">
        <f t="shared" si="6"/>
        <v>2083</v>
      </c>
      <c r="CI56" s="12">
        <f t="shared" si="6"/>
        <v>2084</v>
      </c>
      <c r="CJ56" s="12">
        <f t="shared" si="6"/>
        <v>2085</v>
      </c>
      <c r="CK56" s="12">
        <f t="shared" si="6"/>
        <v>2086</v>
      </c>
      <c r="CL56" s="12">
        <f t="shared" si="6"/>
        <v>2087</v>
      </c>
      <c r="CM56" s="12">
        <f t="shared" si="6"/>
        <v>2088</v>
      </c>
      <c r="CN56" s="12">
        <f t="shared" si="6"/>
        <v>2089</v>
      </c>
      <c r="CO56" s="12">
        <f t="shared" si="6"/>
        <v>2090</v>
      </c>
      <c r="CP56" s="12">
        <f t="shared" si="6"/>
        <v>2091</v>
      </c>
      <c r="CQ56" s="12">
        <f t="shared" si="6"/>
        <v>2092</v>
      </c>
      <c r="CR56" s="12">
        <f t="shared" si="6"/>
        <v>2093</v>
      </c>
      <c r="CS56" s="12">
        <f t="shared" ref="CS56:EB56" si="7">CR56+1</f>
        <v>2094</v>
      </c>
      <c r="CT56" s="12">
        <f t="shared" si="7"/>
        <v>2095</v>
      </c>
      <c r="CU56" s="12">
        <f t="shared" si="7"/>
        <v>2096</v>
      </c>
      <c r="CV56" s="12">
        <f t="shared" si="7"/>
        <v>2097</v>
      </c>
      <c r="CW56" s="12">
        <f t="shared" si="7"/>
        <v>2098</v>
      </c>
      <c r="CX56" s="12">
        <f t="shared" si="7"/>
        <v>2099</v>
      </c>
      <c r="CY56" s="12">
        <f t="shared" si="7"/>
        <v>2100</v>
      </c>
      <c r="CZ56" s="12">
        <f t="shared" si="7"/>
        <v>2101</v>
      </c>
      <c r="DA56" s="12">
        <f t="shared" si="7"/>
        <v>2102</v>
      </c>
      <c r="DB56" s="12">
        <f t="shared" si="7"/>
        <v>2103</v>
      </c>
      <c r="DC56" s="12">
        <f t="shared" si="7"/>
        <v>2104</v>
      </c>
      <c r="DD56" s="12">
        <f t="shared" si="7"/>
        <v>2105</v>
      </c>
      <c r="DE56" s="12">
        <f t="shared" si="7"/>
        <v>2106</v>
      </c>
      <c r="DF56" s="12">
        <f t="shared" si="7"/>
        <v>2107</v>
      </c>
      <c r="DG56" s="12">
        <f t="shared" si="7"/>
        <v>2108</v>
      </c>
      <c r="DH56" s="12">
        <f t="shared" si="7"/>
        <v>2109</v>
      </c>
      <c r="DI56" s="12">
        <f t="shared" si="7"/>
        <v>2110</v>
      </c>
      <c r="DJ56" s="12">
        <f t="shared" si="7"/>
        <v>2111</v>
      </c>
      <c r="DK56" s="12">
        <f t="shared" si="7"/>
        <v>2112</v>
      </c>
      <c r="DL56" s="12">
        <f t="shared" si="7"/>
        <v>2113</v>
      </c>
      <c r="DM56" s="12">
        <f t="shared" si="7"/>
        <v>2114</v>
      </c>
      <c r="DN56" s="12">
        <f t="shared" si="7"/>
        <v>2115</v>
      </c>
      <c r="DO56" s="12">
        <f t="shared" si="7"/>
        <v>2116</v>
      </c>
      <c r="DP56" s="12">
        <f t="shared" si="7"/>
        <v>2117</v>
      </c>
      <c r="DQ56" s="12">
        <f t="shared" si="7"/>
        <v>2118</v>
      </c>
      <c r="DR56" s="12">
        <f t="shared" si="7"/>
        <v>2119</v>
      </c>
      <c r="DS56" s="12">
        <f t="shared" si="7"/>
        <v>2120</v>
      </c>
      <c r="DT56" s="12">
        <f t="shared" si="7"/>
        <v>2121</v>
      </c>
      <c r="DU56" s="12">
        <f t="shared" si="7"/>
        <v>2122</v>
      </c>
      <c r="DV56" s="12">
        <f t="shared" si="7"/>
        <v>2123</v>
      </c>
      <c r="DW56" s="12">
        <f t="shared" si="7"/>
        <v>2124</v>
      </c>
      <c r="DX56" s="12">
        <f t="shared" si="7"/>
        <v>2125</v>
      </c>
      <c r="DY56" s="12">
        <f t="shared" si="7"/>
        <v>2126</v>
      </c>
      <c r="DZ56" s="12">
        <f t="shared" si="7"/>
        <v>2127</v>
      </c>
      <c r="EA56" s="12">
        <f t="shared" si="7"/>
        <v>2128</v>
      </c>
      <c r="EB56" s="12">
        <f t="shared" si="7"/>
        <v>2129</v>
      </c>
      <c r="EF56" s="7">
        <f>Voorblad!F41</f>
        <v>2028</v>
      </c>
      <c r="EG56" s="7">
        <f>EF56+1</f>
        <v>2029</v>
      </c>
      <c r="EH56" s="7">
        <f t="shared" ref="EH56:GS56" si="8">EG56+1</f>
        <v>2030</v>
      </c>
      <c r="EI56" s="7">
        <f t="shared" si="8"/>
        <v>2031</v>
      </c>
      <c r="EJ56" s="7">
        <f t="shared" si="8"/>
        <v>2032</v>
      </c>
      <c r="EK56" s="7">
        <f t="shared" si="8"/>
        <v>2033</v>
      </c>
      <c r="EL56" s="7">
        <f t="shared" si="8"/>
        <v>2034</v>
      </c>
      <c r="EM56" s="7">
        <f t="shared" si="8"/>
        <v>2035</v>
      </c>
      <c r="EN56" s="7">
        <f t="shared" si="8"/>
        <v>2036</v>
      </c>
      <c r="EO56" s="7">
        <f t="shared" si="8"/>
        <v>2037</v>
      </c>
      <c r="EP56" s="7">
        <f t="shared" si="8"/>
        <v>2038</v>
      </c>
      <c r="EQ56" s="7">
        <f t="shared" si="8"/>
        <v>2039</v>
      </c>
      <c r="ER56" s="7">
        <f t="shared" si="8"/>
        <v>2040</v>
      </c>
      <c r="ES56" s="7">
        <f t="shared" si="8"/>
        <v>2041</v>
      </c>
      <c r="ET56" s="7">
        <f t="shared" si="8"/>
        <v>2042</v>
      </c>
      <c r="EU56" s="7">
        <f t="shared" si="8"/>
        <v>2043</v>
      </c>
      <c r="EV56" s="7">
        <f t="shared" si="8"/>
        <v>2044</v>
      </c>
      <c r="EW56" s="7">
        <f t="shared" si="8"/>
        <v>2045</v>
      </c>
      <c r="EX56" s="7">
        <f t="shared" si="8"/>
        <v>2046</v>
      </c>
      <c r="EY56" s="7">
        <f t="shared" si="8"/>
        <v>2047</v>
      </c>
      <c r="EZ56" s="7">
        <f t="shared" si="8"/>
        <v>2048</v>
      </c>
      <c r="FA56" s="7">
        <f t="shared" si="8"/>
        <v>2049</v>
      </c>
      <c r="FB56" s="7">
        <f t="shared" si="8"/>
        <v>2050</v>
      </c>
      <c r="FC56" s="7">
        <f t="shared" si="8"/>
        <v>2051</v>
      </c>
      <c r="FD56" s="7">
        <f t="shared" si="8"/>
        <v>2052</v>
      </c>
      <c r="FE56" s="7">
        <f t="shared" si="8"/>
        <v>2053</v>
      </c>
      <c r="FF56" s="7">
        <f t="shared" si="8"/>
        <v>2054</v>
      </c>
      <c r="FG56" s="7">
        <f t="shared" si="8"/>
        <v>2055</v>
      </c>
      <c r="FH56" s="7">
        <f t="shared" si="8"/>
        <v>2056</v>
      </c>
      <c r="FI56" s="7">
        <f t="shared" si="8"/>
        <v>2057</v>
      </c>
      <c r="FJ56" s="7">
        <f t="shared" si="8"/>
        <v>2058</v>
      </c>
      <c r="FK56" s="7">
        <f t="shared" si="8"/>
        <v>2059</v>
      </c>
      <c r="FL56" s="7">
        <f t="shared" si="8"/>
        <v>2060</v>
      </c>
      <c r="FM56" s="7">
        <f t="shared" si="8"/>
        <v>2061</v>
      </c>
      <c r="FN56" s="7">
        <f t="shared" si="8"/>
        <v>2062</v>
      </c>
      <c r="FO56" s="7">
        <f t="shared" si="8"/>
        <v>2063</v>
      </c>
      <c r="FP56" s="7">
        <f t="shared" si="8"/>
        <v>2064</v>
      </c>
      <c r="FQ56" s="7">
        <f t="shared" si="8"/>
        <v>2065</v>
      </c>
      <c r="FR56" s="7">
        <f t="shared" si="8"/>
        <v>2066</v>
      </c>
      <c r="FS56" s="7">
        <f t="shared" si="8"/>
        <v>2067</v>
      </c>
      <c r="FT56" s="7">
        <f t="shared" si="8"/>
        <v>2068</v>
      </c>
      <c r="FU56" s="7">
        <f t="shared" si="8"/>
        <v>2069</v>
      </c>
      <c r="FV56" s="7">
        <f t="shared" si="8"/>
        <v>2070</v>
      </c>
      <c r="FW56" s="7">
        <f t="shared" si="8"/>
        <v>2071</v>
      </c>
      <c r="FX56" s="7">
        <f t="shared" si="8"/>
        <v>2072</v>
      </c>
      <c r="FY56" s="7">
        <f t="shared" si="8"/>
        <v>2073</v>
      </c>
      <c r="FZ56" s="7">
        <f t="shared" si="8"/>
        <v>2074</v>
      </c>
      <c r="GA56" s="7">
        <f t="shared" si="8"/>
        <v>2075</v>
      </c>
      <c r="GB56" s="7">
        <f t="shared" si="8"/>
        <v>2076</v>
      </c>
      <c r="GC56" s="7">
        <f t="shared" si="8"/>
        <v>2077</v>
      </c>
      <c r="GD56" s="7">
        <f t="shared" si="8"/>
        <v>2078</v>
      </c>
      <c r="GE56" s="7">
        <f t="shared" si="8"/>
        <v>2079</v>
      </c>
      <c r="GF56" s="7">
        <f t="shared" si="8"/>
        <v>2080</v>
      </c>
      <c r="GG56" s="7">
        <f t="shared" si="8"/>
        <v>2081</v>
      </c>
      <c r="GH56" s="7">
        <f t="shared" si="8"/>
        <v>2082</v>
      </c>
      <c r="GI56" s="7">
        <f t="shared" si="8"/>
        <v>2083</v>
      </c>
      <c r="GJ56" s="7">
        <f t="shared" si="8"/>
        <v>2084</v>
      </c>
      <c r="GK56" s="7">
        <f t="shared" si="8"/>
        <v>2085</v>
      </c>
      <c r="GL56" s="7">
        <f t="shared" si="8"/>
        <v>2086</v>
      </c>
      <c r="GM56" s="7">
        <f t="shared" si="8"/>
        <v>2087</v>
      </c>
      <c r="GN56" s="7">
        <f t="shared" si="8"/>
        <v>2088</v>
      </c>
      <c r="GO56" s="7">
        <f t="shared" si="8"/>
        <v>2089</v>
      </c>
      <c r="GP56" s="7">
        <f t="shared" si="8"/>
        <v>2090</v>
      </c>
      <c r="GQ56" s="7">
        <f t="shared" si="8"/>
        <v>2091</v>
      </c>
      <c r="GR56" s="7">
        <f t="shared" si="8"/>
        <v>2092</v>
      </c>
      <c r="GS56" s="7">
        <f t="shared" si="8"/>
        <v>2093</v>
      </c>
      <c r="GT56" s="7">
        <f t="shared" ref="GT56:IB56" si="9">GS56+1</f>
        <v>2094</v>
      </c>
      <c r="GU56" s="7">
        <f t="shared" si="9"/>
        <v>2095</v>
      </c>
      <c r="GV56" s="7">
        <f t="shared" si="9"/>
        <v>2096</v>
      </c>
      <c r="GW56" s="7">
        <f t="shared" si="9"/>
        <v>2097</v>
      </c>
      <c r="GX56" s="7">
        <f t="shared" si="9"/>
        <v>2098</v>
      </c>
      <c r="GY56" s="7">
        <f t="shared" si="9"/>
        <v>2099</v>
      </c>
      <c r="GZ56" s="7">
        <f t="shared" si="9"/>
        <v>2100</v>
      </c>
      <c r="HA56" s="7">
        <f t="shared" si="9"/>
        <v>2101</v>
      </c>
      <c r="HB56" s="7">
        <f t="shared" si="9"/>
        <v>2102</v>
      </c>
      <c r="HC56" s="7">
        <f t="shared" si="9"/>
        <v>2103</v>
      </c>
      <c r="HD56" s="7">
        <f t="shared" si="9"/>
        <v>2104</v>
      </c>
      <c r="HE56" s="7">
        <f t="shared" si="9"/>
        <v>2105</v>
      </c>
      <c r="HF56" s="7">
        <f t="shared" si="9"/>
        <v>2106</v>
      </c>
      <c r="HG56" s="7">
        <f t="shared" si="9"/>
        <v>2107</v>
      </c>
      <c r="HH56" s="7">
        <f t="shared" si="9"/>
        <v>2108</v>
      </c>
      <c r="HI56" s="7">
        <f t="shared" si="9"/>
        <v>2109</v>
      </c>
      <c r="HJ56" s="7">
        <f t="shared" si="9"/>
        <v>2110</v>
      </c>
      <c r="HK56" s="7">
        <f t="shared" si="9"/>
        <v>2111</v>
      </c>
      <c r="HL56" s="7">
        <f t="shared" si="9"/>
        <v>2112</v>
      </c>
      <c r="HM56" s="7">
        <f t="shared" si="9"/>
        <v>2113</v>
      </c>
      <c r="HN56" s="7">
        <f t="shared" si="9"/>
        <v>2114</v>
      </c>
      <c r="HO56" s="7">
        <f t="shared" si="9"/>
        <v>2115</v>
      </c>
      <c r="HP56" s="7">
        <f t="shared" si="9"/>
        <v>2116</v>
      </c>
      <c r="HQ56" s="7">
        <f t="shared" si="9"/>
        <v>2117</v>
      </c>
      <c r="HR56" s="7">
        <f t="shared" si="9"/>
        <v>2118</v>
      </c>
      <c r="HS56" s="7">
        <f t="shared" si="9"/>
        <v>2119</v>
      </c>
      <c r="HT56" s="7">
        <f t="shared" si="9"/>
        <v>2120</v>
      </c>
      <c r="HU56" s="7">
        <f t="shared" si="9"/>
        <v>2121</v>
      </c>
      <c r="HV56" s="7">
        <f t="shared" si="9"/>
        <v>2122</v>
      </c>
      <c r="HW56" s="7">
        <f t="shared" si="9"/>
        <v>2123</v>
      </c>
      <c r="HX56" s="7">
        <f t="shared" si="9"/>
        <v>2124</v>
      </c>
      <c r="HY56" s="7">
        <f t="shared" si="9"/>
        <v>2125</v>
      </c>
      <c r="HZ56" s="7">
        <f t="shared" si="9"/>
        <v>2126</v>
      </c>
      <c r="IA56" s="7">
        <f t="shared" si="9"/>
        <v>2127</v>
      </c>
      <c r="IB56" s="7">
        <f t="shared" si="9"/>
        <v>2128</v>
      </c>
    </row>
    <row r="57" spans="2:236" ht="12" customHeight="1" x14ac:dyDescent="0.3">
      <c r="B57" s="19" t="s">
        <v>52</v>
      </c>
      <c r="C57" s="19"/>
      <c r="N57" s="3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</row>
    <row r="58" spans="2:236" ht="12" hidden="1" customHeight="1" outlineLevel="1" x14ac:dyDescent="0.25">
      <c r="B58" s="1">
        <v>3</v>
      </c>
      <c r="F58" s="1" t="s">
        <v>23</v>
      </c>
      <c r="I58" s="1" t="s">
        <v>276</v>
      </c>
      <c r="K58" s="1" t="s">
        <v>284</v>
      </c>
      <c r="N58" s="3"/>
      <c r="Q58" s="81">
        <v>0</v>
      </c>
      <c r="R58" s="1" t="s">
        <v>33</v>
      </c>
      <c r="S58" s="14">
        <f>$H$20*500</f>
        <v>885</v>
      </c>
      <c r="T58" s="1">
        <f t="shared" ref="T58:T73" si="10">Q58*S58</f>
        <v>0</v>
      </c>
      <c r="U58" s="14">
        <v>5</v>
      </c>
      <c r="V58" s="14"/>
      <c r="Y58" s="9">
        <f t="shared" ref="Y58:Y104" si="11">SUM(AE58:EB58)</f>
        <v>0</v>
      </c>
      <c r="Z58" s="82"/>
      <c r="AA58" s="82"/>
      <c r="AC58" s="9">
        <f>$Y58*(Voorblad!$K$44*(1+Voorblad!$K$44)^Voorblad!$K$41)/((1+Voorblad!$K$44)^Voorblad!$K$41-1)</f>
        <v>0</v>
      </c>
      <c r="AE58" s="9">
        <f>EF58*($Q58*$S58)/(1+Voorblad!$K$44)^(AE$56-Voorblad!$F$41)</f>
        <v>0</v>
      </c>
      <c r="AF58" s="9">
        <f>EG58*($Q58*$S58)/(1+Voorblad!$K$44)^(AF$56-Voorblad!$F$41)</f>
        <v>0</v>
      </c>
      <c r="AG58" s="9">
        <f>EH58*($Q58*$S58)/(1+Voorblad!$K$44)^(AG$56-Voorblad!$F$41)</f>
        <v>0</v>
      </c>
      <c r="AH58" s="9">
        <f>EI58*($Q58*$S58)/(1+Voorblad!$K$44)^(AH$56-Voorblad!$F$41)</f>
        <v>0</v>
      </c>
      <c r="AI58" s="9">
        <f>EJ58*($Q58*$S58)/(1+Voorblad!$K$44)^(AI$56-Voorblad!$F$41)</f>
        <v>0</v>
      </c>
      <c r="AJ58" s="9">
        <f>EK58*($Q58*$S58)/(1+Voorblad!$K$44)^(AJ$56-Voorblad!$F$41)</f>
        <v>0</v>
      </c>
      <c r="AK58" s="9">
        <f>EL58*($Q58*$S58)/(1+Voorblad!$K$44)^(AK$56-Voorblad!$F$41)</f>
        <v>0</v>
      </c>
      <c r="AL58" s="9">
        <f>EM58*($Q58*$S58)/(1+Voorblad!$K$44)^(AL$56-Voorblad!$F$41)</f>
        <v>0</v>
      </c>
      <c r="AM58" s="9">
        <f>EN58*($Q58*$S58)/(1+Voorblad!$K$44)^(AM$56-Voorblad!$F$41)</f>
        <v>0</v>
      </c>
      <c r="AN58" s="9">
        <f>EO58*($Q58*$S58)/(1+Voorblad!$K$44)^(AN$56-Voorblad!$F$41)</f>
        <v>0</v>
      </c>
      <c r="AO58" s="9">
        <f>EP58*($Q58*$S58)/(1+Voorblad!$K$44)^(AO$56-Voorblad!$F$41)</f>
        <v>0</v>
      </c>
      <c r="AP58" s="9">
        <f>EQ58*($Q58*$S58)/(1+Voorblad!$K$44)^(AP$56-Voorblad!$F$41)</f>
        <v>0</v>
      </c>
      <c r="AQ58" s="9">
        <f>ER58*($Q58*$S58)/(1+Voorblad!$K$44)^(AQ$56-Voorblad!$F$41)</f>
        <v>0</v>
      </c>
      <c r="AR58" s="9">
        <f>ES58*($Q58*$S58)/(1+Voorblad!$K$44)^(AR$56-Voorblad!$F$41)</f>
        <v>0</v>
      </c>
      <c r="AS58" s="9">
        <f>ET58*($Q58*$S58)/(1+Voorblad!$K$44)^(AS$56-Voorblad!$F$41)</f>
        <v>0</v>
      </c>
      <c r="AT58" s="9">
        <f>EU58*($Q58*$S58)/(1+Voorblad!$K$44)^(AT$56-Voorblad!$F$41)</f>
        <v>0</v>
      </c>
      <c r="AU58" s="9">
        <f>EV58*($Q58*$S58)/(1+Voorblad!$K$44)^(AU$56-Voorblad!$F$41)</f>
        <v>0</v>
      </c>
      <c r="AV58" s="9">
        <f>EW58*($Q58*$S58)/(1+Voorblad!$K$44)^(AV$56-Voorblad!$F$41)</f>
        <v>0</v>
      </c>
      <c r="AW58" s="9">
        <f>EX58*($Q58*$S58)/(1+Voorblad!$K$44)^(AW$56-Voorblad!$F$41)</f>
        <v>0</v>
      </c>
      <c r="AX58" s="9">
        <f>EY58*($Q58*$S58)/(1+Voorblad!$K$44)^(AX$56-Voorblad!$F$41)</f>
        <v>0</v>
      </c>
      <c r="AY58" s="9">
        <f>EZ58*($Q58*$S58)/(1+Voorblad!$K$44)^(AY$56-Voorblad!$F$41)</f>
        <v>0</v>
      </c>
      <c r="AZ58" s="9">
        <f>FA58*($Q58*$S58)/(1+Voorblad!$K$44)^(AZ$56-Voorblad!$F$41)</f>
        <v>0</v>
      </c>
      <c r="BA58" s="9">
        <f>FB58*($Q58*$S58)/(1+Voorblad!$K$44)^(BA$56-Voorblad!$F$41)</f>
        <v>0</v>
      </c>
      <c r="BB58" s="9">
        <f>FC58*($Q58*$S58)/(1+Voorblad!$K$44)^(BB$56-Voorblad!$F$41)</f>
        <v>0</v>
      </c>
      <c r="BC58" s="9">
        <f>FD58*($Q58*$S58)/(1+Voorblad!$K$44)^(BC$56-Voorblad!$F$41)</f>
        <v>0</v>
      </c>
      <c r="BD58" s="9">
        <f>FE58*($Q58*$S58)/(1+Voorblad!$K$44)^(BD$56-Voorblad!$F$41)</f>
        <v>0</v>
      </c>
      <c r="BE58" s="9">
        <f>FF58*($Q58*$S58)/(1+Voorblad!$K$44)^(BE$56-Voorblad!$F$41)</f>
        <v>0</v>
      </c>
      <c r="BF58" s="9">
        <f>FG58*($Q58*$S58)/(1+Voorblad!$K$44)^(BF$56-Voorblad!$F$41)</f>
        <v>0</v>
      </c>
      <c r="BG58" s="9">
        <f>FH58*($Q58*$S58)/(1+Voorblad!$K$44)^(BG$56-Voorblad!$F$41)</f>
        <v>0</v>
      </c>
      <c r="BH58" s="9">
        <f>FI58*($Q58*$S58)/(1+Voorblad!$K$44)^(BH$56-Voorblad!$F$41)</f>
        <v>0</v>
      </c>
      <c r="BI58" s="9">
        <f>FJ58*($Q58*$S58)/(1+Voorblad!$K$44)^(BI$56-Voorblad!$F$41)</f>
        <v>0</v>
      </c>
      <c r="BJ58" s="9">
        <f>FK58*($Q58*$S58)/(1+Voorblad!$K$44)^(BJ$56-Voorblad!$F$41)</f>
        <v>0</v>
      </c>
      <c r="BK58" s="9">
        <f>FL58*($Q58*$S58)/(1+Voorblad!$K$44)^(BK$56-Voorblad!$F$41)</f>
        <v>0</v>
      </c>
      <c r="BL58" s="9">
        <f>FM58*($Q58*$S58)/(1+Voorblad!$K$44)^(BL$56-Voorblad!$F$41)</f>
        <v>0</v>
      </c>
      <c r="BM58" s="9">
        <f>FN58*($Q58*$S58)/(1+Voorblad!$K$44)^(BM$56-Voorblad!$F$41)</f>
        <v>0</v>
      </c>
      <c r="BN58" s="9">
        <f>FO58*($Q58*$S58)/(1+Voorblad!$K$44)^(BN$56-Voorblad!$F$41)</f>
        <v>0</v>
      </c>
      <c r="BO58" s="9">
        <f>FP58*($Q58*$S58)/(1+Voorblad!$K$44)^(BO$56-Voorblad!$F$41)</f>
        <v>0</v>
      </c>
      <c r="BP58" s="9">
        <f>FQ58*($Q58*$S58)/(1+Voorblad!$K$44)^(BP$56-Voorblad!$F$41)</f>
        <v>0</v>
      </c>
      <c r="BQ58" s="9">
        <f>FR58*($Q58*$S58)/(1+Voorblad!$K$44)^(BQ$56-Voorblad!$F$41)</f>
        <v>0</v>
      </c>
      <c r="BR58" s="9">
        <f>FS58*($Q58*$S58)/(1+Voorblad!$K$44)^(BR$56-Voorblad!$F$41)</f>
        <v>0</v>
      </c>
      <c r="BS58" s="9">
        <f>FT58*($Q58*$S58)/(1+Voorblad!$K$44)^(BS$56-Voorblad!$F$41)</f>
        <v>0</v>
      </c>
      <c r="BT58" s="9">
        <f>FU58*($Q58*$S58)/(1+Voorblad!$K$44)^(BT$56-Voorblad!$F$41)</f>
        <v>0</v>
      </c>
      <c r="BU58" s="9">
        <f>FV58*($Q58*$S58)/(1+Voorblad!$K$44)^(BU$56-Voorblad!$F$41)</f>
        <v>0</v>
      </c>
      <c r="BV58" s="9">
        <f>FW58*($Q58*$S58)/(1+Voorblad!$K$44)^(BV$56-Voorblad!$F$41)</f>
        <v>0</v>
      </c>
      <c r="BW58" s="9">
        <f>FX58*($Q58*$S58)/(1+Voorblad!$K$44)^(BW$56-Voorblad!$F$41)</f>
        <v>0</v>
      </c>
      <c r="BX58" s="9">
        <f>FY58*($Q58*$S58)/(1+Voorblad!$K$44)^(BX$56-Voorblad!$F$41)</f>
        <v>0</v>
      </c>
      <c r="BY58" s="9">
        <f>FZ58*($Q58*$S58)/(1+Voorblad!$K$44)^(BY$56-Voorblad!$F$41)</f>
        <v>0</v>
      </c>
      <c r="BZ58" s="9">
        <f>GA58*($Q58*$S58)/(1+Voorblad!$K$44)^(BZ$56-Voorblad!$F$41)</f>
        <v>0</v>
      </c>
      <c r="CA58" s="9">
        <f>GB58*($Q58*$S58)/(1+Voorblad!$K$44)^(CA$56-Voorblad!$F$41)</f>
        <v>0</v>
      </c>
      <c r="CB58" s="9">
        <f>GC58*($Q58*$S58)/(1+Voorblad!$K$44)^(CB$56-Voorblad!$F$41)</f>
        <v>0</v>
      </c>
      <c r="CC58" s="9">
        <f>GD58*($Q58*$S58)/(1+Voorblad!$K$44)^(CC$56-Voorblad!$F$41)</f>
        <v>0</v>
      </c>
      <c r="CD58" s="9">
        <f>GE58*($Q58*$S58)/(1+Voorblad!$K$44)^(CD$56-Voorblad!$F$41)</f>
        <v>0</v>
      </c>
      <c r="CE58" s="9">
        <f>GF58*($Q58*$S58)/(1+Voorblad!$K$44)^(CE$56-Voorblad!$F$41)</f>
        <v>0</v>
      </c>
      <c r="CF58" s="9">
        <f>GG58*($Q58*$S58)/(1+Voorblad!$K$44)^(CF$56-Voorblad!$F$41)</f>
        <v>0</v>
      </c>
      <c r="CG58" s="9">
        <f>GH58*($Q58*$S58)/(1+Voorblad!$K$44)^(CG$56-Voorblad!$F$41)</f>
        <v>0</v>
      </c>
      <c r="CH58" s="9">
        <f>GI58*($Q58*$S58)/(1+Voorblad!$K$44)^(CH$56-Voorblad!$F$41)</f>
        <v>0</v>
      </c>
      <c r="CI58" s="9">
        <f>GJ58*($Q58*$S58)/(1+Voorblad!$K$44)^(CI$56-Voorblad!$F$41)</f>
        <v>0</v>
      </c>
      <c r="CJ58" s="9">
        <f>GK58*($Q58*$S58)/(1+Voorblad!$K$44)^(CJ$56-Voorblad!$F$41)</f>
        <v>0</v>
      </c>
      <c r="CK58" s="9">
        <f>GL58*($Q58*$S58)/(1+Voorblad!$K$44)^(CK$56-Voorblad!$F$41)</f>
        <v>0</v>
      </c>
      <c r="CL58" s="9">
        <f>GM58*($Q58*$S58)/(1+Voorblad!$K$44)^(CL$56-Voorblad!$F$41)</f>
        <v>0</v>
      </c>
      <c r="CM58" s="9">
        <f>GN58*($Q58*$S58)/(1+Voorblad!$K$44)^(CM$56-Voorblad!$F$41)</f>
        <v>0</v>
      </c>
      <c r="CN58" s="9">
        <f>GO58*($Q58*$S58)/(1+Voorblad!$K$44)^(CN$56-Voorblad!$F$41)</f>
        <v>0</v>
      </c>
      <c r="CO58" s="9">
        <f>GP58*($Q58*$S58)/(1+Voorblad!$K$44)^(CO$56-Voorblad!$F$41)</f>
        <v>0</v>
      </c>
      <c r="CP58" s="9">
        <f>GQ58*($Q58*$S58)/(1+Voorblad!$K$44)^(CP$56-Voorblad!$F$41)</f>
        <v>0</v>
      </c>
      <c r="CQ58" s="9">
        <f>GR58*($Q58*$S58)/(1+Voorblad!$K$44)^(CQ$56-Voorblad!$F$41)</f>
        <v>0</v>
      </c>
      <c r="CR58" s="9">
        <f>GS58*($Q58*$S58)/(1+Voorblad!$K$44)^(CR$56-Voorblad!$F$41)</f>
        <v>0</v>
      </c>
      <c r="CS58" s="9">
        <f>GT58*($Q58*$S58)/(1+Voorblad!$K$44)^(CS$56-Voorblad!$F$41)</f>
        <v>0</v>
      </c>
      <c r="CT58" s="9">
        <f>GU58*($Q58*$S58)/(1+Voorblad!$K$44)^(CT$56-Voorblad!$F$41)</f>
        <v>0</v>
      </c>
      <c r="CU58" s="9">
        <f>GV58*($Q58*$S58)/(1+Voorblad!$K$44)^(CU$56-Voorblad!$F$41)</f>
        <v>0</v>
      </c>
      <c r="CV58" s="9">
        <f>GW58*($Q58*$S58)/(1+Voorblad!$K$44)^(CV$56-Voorblad!$F$41)</f>
        <v>0</v>
      </c>
      <c r="CW58" s="9">
        <f>GX58*($Q58*$S58)/(1+Voorblad!$K$44)^(CW$56-Voorblad!$F$41)</f>
        <v>0</v>
      </c>
      <c r="CX58" s="9">
        <f>GY58*($Q58*$S58)/(1+Voorblad!$K$44)^(CX$56-Voorblad!$F$41)</f>
        <v>0</v>
      </c>
      <c r="CY58" s="9">
        <f>GZ58*($Q58*$S58)/(1+Voorblad!$K$44)^(CY$56-Voorblad!$F$41)</f>
        <v>0</v>
      </c>
      <c r="CZ58" s="9">
        <f>HA58*($Q58*$S58)/(1+Voorblad!$K$44)^(CZ$56-Voorblad!$F$41)</f>
        <v>0</v>
      </c>
      <c r="DA58" s="9">
        <f>HB58*($Q58*$S58)/(1+Voorblad!$K$44)^(DA$56-Voorblad!$F$41)</f>
        <v>0</v>
      </c>
      <c r="DB58" s="9">
        <f>HC58*($Q58*$S58)/(1+Voorblad!$K$44)^(DB$56-Voorblad!$F$41)</f>
        <v>0</v>
      </c>
      <c r="DC58" s="9">
        <f>HD58*($Q58*$S58)/(1+Voorblad!$K$44)^(DC$56-Voorblad!$F$41)</f>
        <v>0</v>
      </c>
      <c r="DD58" s="9">
        <f>HE58*($Q58*$S58)/(1+Voorblad!$K$44)^(DD$56-Voorblad!$F$41)</f>
        <v>0</v>
      </c>
      <c r="DE58" s="9">
        <f>HF58*($Q58*$S58)/(1+Voorblad!$K$44)^(DE$56-Voorblad!$F$41)</f>
        <v>0</v>
      </c>
      <c r="DF58" s="9">
        <f>HG58*($Q58*$S58)/(1+Voorblad!$K$44)^(DF$56-Voorblad!$F$41)</f>
        <v>0</v>
      </c>
      <c r="DG58" s="9">
        <f>HH58*($Q58*$S58)/(1+Voorblad!$K$44)^(DG$56-Voorblad!$F$41)</f>
        <v>0</v>
      </c>
      <c r="DH58" s="9">
        <f>HI58*($Q58*$S58)/(1+Voorblad!$K$44)^(DH$56-Voorblad!$F$41)</f>
        <v>0</v>
      </c>
      <c r="DI58" s="9">
        <f>HJ58*($Q58*$S58)/(1+Voorblad!$K$44)^(DI$56-Voorblad!$F$41)</f>
        <v>0</v>
      </c>
      <c r="DJ58" s="9">
        <f>HK58*($Q58*$S58)/(1+Voorblad!$K$44)^(DJ$56-Voorblad!$F$41)</f>
        <v>0</v>
      </c>
      <c r="DK58" s="9">
        <f>HL58*($Q58*$S58)/(1+Voorblad!$K$44)^(DK$56-Voorblad!$F$41)</f>
        <v>0</v>
      </c>
      <c r="DL58" s="9">
        <f>HM58*($Q58*$S58)/(1+Voorblad!$K$44)^(DL$56-Voorblad!$F$41)</f>
        <v>0</v>
      </c>
      <c r="DM58" s="9">
        <f>HN58*($Q58*$S58)/(1+Voorblad!$K$44)^(DM$56-Voorblad!$F$41)</f>
        <v>0</v>
      </c>
      <c r="DN58" s="9">
        <f>HO58*($Q58*$S58)/(1+Voorblad!$K$44)^(DN$56-Voorblad!$F$41)</f>
        <v>0</v>
      </c>
      <c r="DO58" s="9">
        <f>HP58*($Q58*$S58)/(1+Voorblad!$K$44)^(DO$56-Voorblad!$F$41)</f>
        <v>0</v>
      </c>
      <c r="DP58" s="9">
        <f>HQ58*($Q58*$S58)/(1+Voorblad!$K$44)^(DP$56-Voorblad!$F$41)</f>
        <v>0</v>
      </c>
      <c r="DQ58" s="9">
        <f>HR58*($Q58*$S58)/(1+Voorblad!$K$44)^(DQ$56-Voorblad!$F$41)</f>
        <v>0</v>
      </c>
      <c r="DR58" s="9">
        <f>HS58*($Q58*$S58)/(1+Voorblad!$K$44)^(DR$56-Voorblad!$F$41)</f>
        <v>0</v>
      </c>
      <c r="DS58" s="9">
        <f>HT58*($Q58*$S58)/(1+Voorblad!$K$44)^(DS$56-Voorblad!$F$41)</f>
        <v>0</v>
      </c>
      <c r="DT58" s="9">
        <f>HU58*($Q58*$S58)/(1+Voorblad!$K$44)^(DT$56-Voorblad!$F$41)</f>
        <v>0</v>
      </c>
      <c r="DU58" s="9">
        <f>HV58*($Q58*$S58)/(1+Voorblad!$K$44)^(DU$56-Voorblad!$F$41)</f>
        <v>0</v>
      </c>
      <c r="DV58" s="9">
        <f>HW58*($Q58*$S58)/(1+Voorblad!$K$44)^(DV$56-Voorblad!$F$41)</f>
        <v>0</v>
      </c>
      <c r="DW58" s="9">
        <f>HX58*($Q58*$S58)/(1+Voorblad!$K$44)^(DW$56-Voorblad!$F$41)</f>
        <v>0</v>
      </c>
      <c r="DX58" s="9">
        <f>HY58*($Q58*$S58)/(1+Voorblad!$K$44)^(DX$56-Voorblad!$F$41)</f>
        <v>0</v>
      </c>
      <c r="DY58" s="9">
        <f>HZ58*($Q58*$S58)/(1+Voorblad!$K$44)^(DY$56-Voorblad!$F$41)</f>
        <v>0</v>
      </c>
      <c r="DZ58" s="9">
        <f>IA58*($Q58*$S58)/(1+Voorblad!$K$44)^(DZ$56-Voorblad!$F$41)</f>
        <v>0</v>
      </c>
      <c r="EA58" s="9">
        <f>IB58*($Q58*$S58)/(1+Voorblad!$K$44)^(EA$56-Voorblad!$F$41)</f>
        <v>0</v>
      </c>
      <c r="EB58" s="9">
        <f>IC58*($Q58*$S58)/(1+Voorblad!$K$44)^(EB$56-Voorblad!$F$41)</f>
        <v>0</v>
      </c>
      <c r="EE58" s="8">
        <v>0</v>
      </c>
      <c r="EF58" s="8">
        <f>IF(EF$56-Voorblad!$F$41&gt;Voorblad!$K$41,0,IF($U58=0,0,IF($U58&lt;1,1/$U58,IF((EF$56-Voorblad!$F$41)/$U58-SUM($EE58:EE58)=1,1,0))))</f>
        <v>0</v>
      </c>
      <c r="EG58" s="8">
        <f>IF(EG$56-Voorblad!$F$41&gt;Voorblad!$K$41,0,IF($U58=0,0,IF($U58&lt;1,1/$U58,IF((EG$56-Voorblad!$F$41)/$U58-SUM($EE58:EF58)=1,1,0))))</f>
        <v>0</v>
      </c>
      <c r="EH58" s="8">
        <f>IF(EH$56-Voorblad!$F$41&gt;Voorblad!$K$41,0,IF($U58=0,0,IF($U58&lt;1,1/$U58,IF((EH$56-Voorblad!$F$41)/$U58-SUM($EE58:EG58)=1,1,0))))</f>
        <v>0</v>
      </c>
      <c r="EI58" s="8">
        <f>IF(EI$56-Voorblad!$F$41&gt;Voorblad!$K$41,0,IF($U58=0,0,IF($U58&lt;1,1/$U58,IF((EI$56-Voorblad!$F$41)/$U58-SUM($EE58:EH58)=1,1,0))))</f>
        <v>0</v>
      </c>
      <c r="EJ58" s="8">
        <f>IF(EJ$56-Voorblad!$F$41&gt;Voorblad!$K$41,0,IF($U58=0,0,IF($U58&lt;1,1/$U58,IF((EJ$56-Voorblad!$F$41)/$U58-SUM($EE58:EI58)=1,1,0))))</f>
        <v>0</v>
      </c>
      <c r="EK58" s="8">
        <f>IF(EK$56-Voorblad!$F$41&gt;Voorblad!$K$41,0,IF($U58=0,0,IF($U58&lt;1,1/$U58,IF((EK$56-Voorblad!$F$41)/$U58-SUM($EE58:EJ58)=1,1,0))))</f>
        <v>1</v>
      </c>
      <c r="EL58" s="8">
        <f>IF(EL$56-Voorblad!$F$41&gt;Voorblad!$K$41,0,IF($U58=0,0,IF($U58&lt;1,1/$U58,IF((EL$56-Voorblad!$F$41)/$U58-SUM($EE58:EK58)=1,1,0))))</f>
        <v>0</v>
      </c>
      <c r="EM58" s="8">
        <f>IF(EM$56-Voorblad!$F$41&gt;Voorblad!$K$41,0,IF($U58=0,0,IF($U58&lt;1,1/$U58,IF((EM$56-Voorblad!$F$41)/$U58-SUM($EE58:EL58)=1,1,0))))</f>
        <v>0</v>
      </c>
      <c r="EN58" s="8">
        <f>IF(EN$56-Voorblad!$F$41&gt;Voorblad!$K$41,0,IF($U58=0,0,IF($U58&lt;1,1/$U58,IF((EN$56-Voorblad!$F$41)/$U58-SUM($EE58:EM58)=1,1,0))))</f>
        <v>0</v>
      </c>
      <c r="EO58" s="8">
        <f>IF(EO$56-Voorblad!$F$41&gt;Voorblad!$K$41,0,IF($U58=0,0,IF($U58&lt;1,1/$U58,IF((EO$56-Voorblad!$F$41)/$U58-SUM($EE58:EN58)=1,1,0))))</f>
        <v>0</v>
      </c>
      <c r="EP58" s="8">
        <f>IF(EP$56-Voorblad!$F$41&gt;Voorblad!$K$41,0,IF($U58=0,0,IF($U58&lt;1,1/$U58,IF((EP$56-Voorblad!$F$41)/$U58-SUM($EE58:EO58)=1,1,0))))</f>
        <v>1</v>
      </c>
      <c r="EQ58" s="8">
        <f>IF(EQ$56-Voorblad!$F$41&gt;Voorblad!$K$41,0,IF($U58=0,0,IF($U58&lt;1,1/$U58,IF((EQ$56-Voorblad!$F$41)/$U58-SUM($EE58:EP58)=1,1,0))))</f>
        <v>0</v>
      </c>
      <c r="ER58" s="8">
        <f>IF(ER$56-Voorblad!$F$41&gt;Voorblad!$K$41,0,IF($U58=0,0,IF($U58&lt;1,1/$U58,IF((ER$56-Voorblad!$F$41)/$U58-SUM($EE58:EQ58)=1,1,0))))</f>
        <v>0</v>
      </c>
      <c r="ES58" s="8">
        <f>IF(ES$56-Voorblad!$F$41&gt;Voorblad!$K$41,0,IF($U58=0,0,IF($U58&lt;1,1/$U58,IF((ES$56-Voorblad!$F$41)/$U58-SUM($EE58:ER58)=1,1,0))))</f>
        <v>0</v>
      </c>
      <c r="ET58" s="8">
        <f>IF(ET$56-Voorblad!$F$41&gt;Voorblad!$K$41,0,IF($U58=0,0,IF($U58&lt;1,1/$U58,IF((ET$56-Voorblad!$F$41)/$U58-SUM($EE58:ES58)=1,1,0))))</f>
        <v>0</v>
      </c>
      <c r="EU58" s="8">
        <f>IF(EU$56-Voorblad!$F$41&gt;Voorblad!$K$41,0,IF($U58=0,0,IF($U58&lt;1,1/$U58,IF((EU$56-Voorblad!$F$41)/$U58-SUM($EE58:ET58)=1,1,0))))</f>
        <v>1</v>
      </c>
      <c r="EV58" s="8">
        <f>IF(EV$56-Voorblad!$F$41&gt;Voorblad!$K$41,0,IF($U58=0,0,IF($U58&lt;1,1/$U58,IF((EV$56-Voorblad!$F$41)/$U58-SUM($EE58:EU58)=1,1,0))))</f>
        <v>0</v>
      </c>
      <c r="EW58" s="8">
        <f>IF(EW$56-Voorblad!$F$41&gt;Voorblad!$K$41,0,IF($U58=0,0,IF($U58&lt;1,1/$U58,IF((EW$56-Voorblad!$F$41)/$U58-SUM($EE58:EV58)=1,1,0))))</f>
        <v>0</v>
      </c>
      <c r="EX58" s="8">
        <f>IF(EX$56-Voorblad!$F$41&gt;Voorblad!$K$41,0,IF($U58=0,0,IF($U58&lt;1,1/$U58,IF((EX$56-Voorblad!$F$41)/$U58-SUM($EE58:EW58)=1,1,0))))</f>
        <v>0</v>
      </c>
      <c r="EY58" s="8">
        <f>IF(EY$56-Voorblad!$F$41&gt;Voorblad!$K$41,0,IF($U58=0,0,IF($U58&lt;1,1/$U58,IF((EY$56-Voorblad!$F$41)/$U58-SUM($EE58:EX58)=1,1,0))))</f>
        <v>0</v>
      </c>
      <c r="EZ58" s="8">
        <f>IF(EZ$56-Voorblad!$F$41&gt;Voorblad!$K$41,0,IF($U58=0,0,IF($U58&lt;1,1/$U58,IF((EZ$56-Voorblad!$F$41)/$U58-SUM($EE58:EY58)=1,1,0))))</f>
        <v>1</v>
      </c>
      <c r="FA58" s="8">
        <f>IF(FA$56-Voorblad!$F$41&gt;Voorblad!$K$41,0,IF($U58=0,0,IF($U58&lt;1,1/$U58,IF((FA$56-Voorblad!$F$41)/$U58-SUM($EE58:EZ58)=1,1,0))))</f>
        <v>0</v>
      </c>
      <c r="FB58" s="8">
        <f>IF(FB$56-Voorblad!$F$41&gt;Voorblad!$K$41,0,IF($U58=0,0,IF($U58&lt;1,1/$U58,IF((FB$56-Voorblad!$F$41)/$U58-SUM($EE58:FA58)=1,1,0))))</f>
        <v>0</v>
      </c>
      <c r="FC58" s="8">
        <f>IF(FC$56-Voorblad!$F$41&gt;Voorblad!$K$41,0,IF($U58=0,0,IF($U58&lt;1,1/$U58,IF((FC$56-Voorblad!$F$41)/$U58-SUM($EE58:FB58)=1,1,0))))</f>
        <v>0</v>
      </c>
      <c r="FD58" s="8">
        <f>IF(FD$56-Voorblad!$F$41&gt;Voorblad!$K$41,0,IF($U58=0,0,IF($U58&lt;1,1/$U58,IF((FD$56-Voorblad!$F$41)/$U58-SUM($EE58:FC58)=1,1,0))))</f>
        <v>0</v>
      </c>
      <c r="FE58" s="8">
        <f>IF(FE$56-Voorblad!$F$41&gt;Voorblad!$K$41,0,IF($U58=0,0,IF($U58&lt;1,1/$U58,IF((FE$56-Voorblad!$F$41)/$U58-SUM($EE58:FD58)=1,1,0))))</f>
        <v>1</v>
      </c>
      <c r="FF58" s="8">
        <f>IF(FF$56-Voorblad!$F$41&gt;Voorblad!$K$41,0,IF($U58=0,0,IF($U58&lt;1,1/$U58,IF((FF$56-Voorblad!$F$41)/$U58-SUM($EE58:FE58)=1,1,0))))</f>
        <v>0</v>
      </c>
      <c r="FG58" s="8">
        <f>IF(FG$56-Voorblad!$F$41&gt;Voorblad!$K$41,0,IF($U58=0,0,IF($U58&lt;1,1/$U58,IF((FG$56-Voorblad!$F$41)/$U58-SUM($EE58:FF58)=1,1,0))))</f>
        <v>0</v>
      </c>
      <c r="FH58" s="8">
        <f>IF(FH$56-Voorblad!$F$41&gt;Voorblad!$K$41,0,IF($U58=0,0,IF($U58&lt;1,1/$U58,IF((FH$56-Voorblad!$F$41)/$U58-SUM($EE58:FG58)=1,1,0))))</f>
        <v>0</v>
      </c>
      <c r="FI58" s="8">
        <f>IF(FI$56-Voorblad!$F$41&gt;Voorblad!$K$41,0,IF($U58=0,0,IF($U58&lt;1,1/$U58,IF((FI$56-Voorblad!$F$41)/$U58-SUM($EE58:FH58)=1,1,0))))</f>
        <v>0</v>
      </c>
      <c r="FJ58" s="8">
        <f>IF(FJ$56-Voorblad!$F$41&gt;Voorblad!$K$41,0,IF($U58=0,0,IF($U58&lt;1,1/$U58,IF((FJ$56-Voorblad!$F$41)/$U58-SUM($EE58:FI58)=1,1,0))))</f>
        <v>1</v>
      </c>
      <c r="FK58" s="8">
        <f>IF(FK$56-Voorblad!$F$41&gt;Voorblad!$K$41,0,IF($U58=0,0,IF($U58&lt;1,1/$U58,IF((FK$56-Voorblad!$F$41)/$U58-SUM($EE58:FJ58)=1,1,0))))</f>
        <v>0</v>
      </c>
      <c r="FL58" s="8">
        <f>IF(FL$56-Voorblad!$F$41&gt;Voorblad!$K$41,0,IF($U58=0,0,IF($U58&lt;1,1/$U58,IF((FL$56-Voorblad!$F$41)/$U58-SUM($EE58:FK58)=1,1,0))))</f>
        <v>0</v>
      </c>
      <c r="FM58" s="8">
        <f>IF(FM$56-Voorblad!$F$41&gt;Voorblad!$K$41,0,IF($U58=0,0,IF($U58&lt;1,1/$U58,IF((FM$56-Voorblad!$F$41)/$U58-SUM($EE58:FL58)=1,1,0))))</f>
        <v>0</v>
      </c>
      <c r="FN58" s="8">
        <f>IF(FN$56-Voorblad!$F$41&gt;Voorblad!$K$41,0,IF($U58=0,0,IF($U58&lt;1,1/$U58,IF((FN$56-Voorblad!$F$41)/$U58-SUM($EE58:FM58)=1,1,0))))</f>
        <v>0</v>
      </c>
      <c r="FO58" s="8">
        <f>IF(FO$56-Voorblad!$F$41&gt;Voorblad!$K$41,0,IF($U58=0,0,IF($U58&lt;1,1/$U58,IF((FO$56-Voorblad!$F$41)/$U58-SUM($EE58:FN58)=1,1,0))))</f>
        <v>1</v>
      </c>
      <c r="FP58" s="8">
        <f>IF(FP$56-Voorblad!$F$41&gt;Voorblad!$K$41,0,IF($U58=0,0,IF($U58&lt;1,1/$U58,IF((FP$56-Voorblad!$F$41)/$U58-SUM($EE58:FO58)=1,1,0))))</f>
        <v>0</v>
      </c>
      <c r="FQ58" s="8">
        <f>IF(FQ$56-Voorblad!$F$41&gt;Voorblad!$K$41,0,IF($U58=0,0,IF($U58&lt;1,1/$U58,IF((FQ$56-Voorblad!$F$41)/$U58-SUM($EE58:FP58)=1,1,0))))</f>
        <v>0</v>
      </c>
      <c r="FR58" s="8">
        <f>IF(FR$56-Voorblad!$F$41&gt;Voorblad!$K$41,0,IF($U58=0,0,IF($U58&lt;1,1/$U58,IF((FR$56-Voorblad!$F$41)/$U58-SUM($EE58:FQ58)=1,1,0))))</f>
        <v>0</v>
      </c>
      <c r="FS58" s="8">
        <f>IF(FS$56-Voorblad!$F$41&gt;Voorblad!$K$41,0,IF($U58=0,0,IF($U58&lt;1,1/$U58,IF((FS$56-Voorblad!$F$41)/$U58-SUM($EE58:FR58)=1,1,0))))</f>
        <v>0</v>
      </c>
      <c r="FT58" s="8">
        <f>IF(FT$56-Voorblad!$F$41&gt;Voorblad!$K$41,0,IF($U58=0,0,IF($U58&lt;1,1/$U58,IF((FT$56-Voorblad!$F$41)/$U58-SUM($EE58:FS58)=1,1,0))))</f>
        <v>1</v>
      </c>
      <c r="FU58" s="8">
        <f>IF(FU$56-Voorblad!$F$41&gt;Voorblad!$K$41,0,IF($U58=0,0,IF($U58&lt;1,1/$U58,IF((FU$56-Voorblad!$F$41)/$U58-SUM($EE58:FT58)=1,1,0))))</f>
        <v>0</v>
      </c>
      <c r="FV58" s="8">
        <f>IF(FV$56-Voorblad!$F$41&gt;Voorblad!$K$41,0,IF($U58=0,0,IF($U58&lt;1,1/$U58,IF((FV$56-Voorblad!$F$41)/$U58-SUM($EE58:FU58)=1,1,0))))</f>
        <v>0</v>
      </c>
      <c r="FW58" s="8">
        <f>IF(FW$56-Voorblad!$F$41&gt;Voorblad!$K$41,0,IF($U58=0,0,IF($U58&lt;1,1/$U58,IF((FW$56-Voorblad!$F$41)/$U58-SUM($EE58:FV58)=1,1,0))))</f>
        <v>0</v>
      </c>
      <c r="FX58" s="8">
        <f>IF(FX$56-Voorblad!$F$41&gt;Voorblad!$K$41,0,IF($U58=0,0,IF($U58&lt;1,1/$U58,IF((FX$56-Voorblad!$F$41)/$U58-SUM($EE58:FW58)=1,1,0))))</f>
        <v>0</v>
      </c>
      <c r="FY58" s="8">
        <f>IF(FY$56-Voorblad!$F$41&gt;Voorblad!$K$41,0,IF($U58=0,0,IF($U58&lt;1,1/$U58,IF((FY$56-Voorblad!$F$41)/$U58-SUM($EE58:FX58)=1,1,0))))</f>
        <v>1</v>
      </c>
      <c r="FZ58" s="8">
        <f>IF(FZ$56-Voorblad!$F$41&gt;Voorblad!$K$41,0,IF($U58=0,0,IF($U58&lt;1,1/$U58,IF((FZ$56-Voorblad!$F$41)/$U58-SUM($EE58:FY58)=1,1,0))))</f>
        <v>0</v>
      </c>
      <c r="GA58" s="8">
        <f>IF(GA$56-Voorblad!$F$41&gt;Voorblad!$K$41,0,IF($U58=0,0,IF($U58&lt;1,1/$U58,IF((GA$56-Voorblad!$F$41)/$U58-SUM($EE58:FZ58)=1,1,0))))</f>
        <v>0</v>
      </c>
      <c r="GB58" s="8">
        <f>IF(GB$56-Voorblad!$F$41&gt;Voorblad!$K$41,0,IF($U58=0,0,IF($U58&lt;1,1/$U58,IF((GB$56-Voorblad!$F$41)/$U58-SUM($EE58:GA58)=1,1,0))))</f>
        <v>0</v>
      </c>
      <c r="GC58" s="8">
        <f>IF(GC$56-Voorblad!$F$41&gt;Voorblad!$K$41,0,IF($U58=0,0,IF($U58&lt;1,1/$U58,IF((GC$56-Voorblad!$F$41)/$U58-SUM($EE58:GB58)=1,1,0))))</f>
        <v>0</v>
      </c>
      <c r="GD58" s="8">
        <f>IF(GD$56-Voorblad!$F$41&gt;Voorblad!$K$41,0,IF($U58=0,0,IF($U58&lt;1,1/$U58,IF((GD$56-Voorblad!$F$41)/$U58-SUM($EE58:GC58)=1,1,0))))</f>
        <v>1</v>
      </c>
      <c r="GE58" s="8">
        <f>IF(GE$56-Voorblad!$F$41&gt;Voorblad!$K$41,0,IF($U58=0,0,IF($U58&lt;1,1/$U58,IF((GE$56-Voorblad!$F$41)/$U58-SUM($EE58:GD58)=1,1,0))))</f>
        <v>0</v>
      </c>
      <c r="GF58" s="8">
        <f>IF(GF$56-Voorblad!$F$41&gt;Voorblad!$K$41,0,IF($U58=0,0,IF($U58&lt;1,1/$U58,IF((GF$56-Voorblad!$F$41)/$U58-SUM($EE58:GE58)=1,1,0))))</f>
        <v>0</v>
      </c>
      <c r="GG58" s="8">
        <f>IF(GG$56-Voorblad!$F$41&gt;Voorblad!$K$41,0,IF($U58=0,0,IF($U58&lt;1,1/$U58,IF((GG$56-Voorblad!$F$41)/$U58-SUM($EE58:GF58)=1,1,0))))</f>
        <v>0</v>
      </c>
      <c r="GH58" s="8">
        <f>IF(GH$56-Voorblad!$F$41&gt;Voorblad!$K$41,0,IF($U58=0,0,IF($U58&lt;1,1/$U58,IF((GH$56-Voorblad!$F$41)/$U58-SUM($EE58:GG58)=1,1,0))))</f>
        <v>0</v>
      </c>
      <c r="GI58" s="8">
        <f>IF(GI$56-Voorblad!$F$41&gt;Voorblad!$K$41,0,IF($U58=0,0,IF($U58&lt;1,1/$U58,IF((GI$56-Voorblad!$F$41)/$U58-SUM($EE58:GH58)=1,1,0))))</f>
        <v>1</v>
      </c>
      <c r="GJ58" s="8">
        <f>IF(GJ$56-Voorblad!$F$41&gt;Voorblad!$K$41,0,IF($U58=0,0,IF($U58&lt;1,1/$U58,IF((GJ$56-Voorblad!$F$41)/$U58-SUM($EE58:GI58)=1,1,0))))</f>
        <v>0</v>
      </c>
      <c r="GK58" s="8">
        <f>IF(GK$56-Voorblad!$F$41&gt;Voorblad!$K$41,0,IF($U58=0,0,IF($U58&lt;1,1/$U58,IF((GK$56-Voorblad!$F$41)/$U58-SUM($EE58:GJ58)=1,1,0))))</f>
        <v>0</v>
      </c>
      <c r="GL58" s="8">
        <f>IF(GL$56-Voorblad!$F$41&gt;Voorblad!$K$41,0,IF($U58=0,0,IF($U58&lt;1,1/$U58,IF((GL$56-Voorblad!$F$41)/$U58-SUM($EE58:GK58)=1,1,0))))</f>
        <v>0</v>
      </c>
      <c r="GM58" s="8">
        <f>IF(GM$56-Voorblad!$F$41&gt;Voorblad!$K$41,0,IF($U58=0,0,IF($U58&lt;1,1/$U58,IF((GM$56-Voorblad!$F$41)/$U58-SUM($EE58:GL58)=1,1,0))))</f>
        <v>0</v>
      </c>
      <c r="GN58" s="8">
        <f>IF(GN$56-Voorblad!$F$41&gt;Voorblad!$K$41,0,IF($U58=0,0,IF($U58&lt;1,1/$U58,IF((GN$56-Voorblad!$F$41)/$U58-SUM($EE58:GM58)=1,1,0))))</f>
        <v>1</v>
      </c>
      <c r="GO58" s="8">
        <f>IF(GO$56-Voorblad!$F$41&gt;Voorblad!$K$41,0,IF($U58=0,0,IF($U58&lt;1,1/$U58,IF((GO$56-Voorblad!$F$41)/$U58-SUM($EE58:GN58)=1,1,0))))</f>
        <v>0</v>
      </c>
      <c r="GP58" s="8">
        <f>IF(GP$56-Voorblad!$F$41&gt;Voorblad!$K$41,0,IF($U58=0,0,IF($U58&lt;1,1/$U58,IF((GP$56-Voorblad!$F$41)/$U58-SUM($EE58:GO58)=1,1,0))))</f>
        <v>0</v>
      </c>
      <c r="GQ58" s="8">
        <f>IF(GQ$56-Voorblad!$F$41&gt;Voorblad!$K$41,0,IF($U58=0,0,IF($U58&lt;1,1/$U58,IF((GQ$56-Voorblad!$F$41)/$U58-SUM($EE58:GP58)=1,1,0))))</f>
        <v>0</v>
      </c>
      <c r="GR58" s="8">
        <f>IF(GR$56-Voorblad!$F$41&gt;Voorblad!$K$41,0,IF($U58=0,0,IF($U58&lt;1,1/$U58,IF((GR$56-Voorblad!$F$41)/$U58-SUM($EE58:GQ58)=1,1,0))))</f>
        <v>0</v>
      </c>
      <c r="GS58" s="8">
        <f>IF(GS$56-Voorblad!$F$41&gt;Voorblad!$K$41,0,IF($U58=0,0,IF($U58&lt;1,1/$U58,IF((GS$56-Voorblad!$F$41)/$U58-SUM($EE58:GR58)=1,1,0))))</f>
        <v>1</v>
      </c>
      <c r="GT58" s="8">
        <f>IF(GT$56-Voorblad!$F$41&gt;Voorblad!$K$41,0,IF($U58=0,0,IF($U58&lt;1,1/$U58,IF((GT$56-Voorblad!$F$41)/$U58-SUM($EE58:GS58)=1,1,0))))</f>
        <v>0</v>
      </c>
      <c r="GU58" s="8">
        <f>IF(GU$56-Voorblad!$F$41&gt;Voorblad!$K$41,0,IF($U58=0,0,IF($U58&lt;1,1/$U58,IF((GU$56-Voorblad!$F$41)/$U58-SUM($EE58:GT58)=1,1,0))))</f>
        <v>0</v>
      </c>
      <c r="GV58" s="8">
        <f>IF(GV$56-Voorblad!$F$41&gt;Voorblad!$K$41,0,IF($U58=0,0,IF($U58&lt;1,1/$U58,IF((GV$56-Voorblad!$F$41)/$U58-SUM($EE58:GU58)=1,1,0))))</f>
        <v>0</v>
      </c>
      <c r="GW58" s="8">
        <f>IF(GW$56-Voorblad!$F$41&gt;Voorblad!$K$41,0,IF($U58=0,0,IF($U58&lt;1,1/$U58,IF((GW$56-Voorblad!$F$41)/$U58-SUM($EE58:GV58)=1,1,0))))</f>
        <v>0</v>
      </c>
      <c r="GX58" s="8">
        <f>IF(GX$56-Voorblad!$F$41&gt;Voorblad!$K$41,0,IF($U58=0,0,IF($U58&lt;1,1/$U58,IF((GX$56-Voorblad!$F$41)/$U58-SUM($EE58:GW58)=1,1,0))))</f>
        <v>1</v>
      </c>
      <c r="GY58" s="8">
        <f>IF(GY$56-Voorblad!$F$41&gt;Voorblad!$K$41,0,IF($U58=0,0,IF($U58&lt;1,1/$U58,IF((GY$56-Voorblad!$F$41)/$U58-SUM($EE58:GX58)=1,1,0))))</f>
        <v>0</v>
      </c>
      <c r="GZ58" s="8">
        <f>IF(GZ$56-Voorblad!$F$41&gt;Voorblad!$K$41,0,IF($U58=0,0,IF($U58&lt;1,1/$U58,IF((GZ$56-Voorblad!$F$41)/$U58-SUM($EE58:GY58)=1,1,0))))</f>
        <v>0</v>
      </c>
      <c r="HA58" s="8">
        <f>IF(HA$56-Voorblad!$F$41&gt;Voorblad!$K$41,0,IF($U58=0,0,IF($U58&lt;1,1/$U58,IF((HA$56-Voorblad!$F$41)/$U58-SUM($EE58:GZ58)=1,1,0))))</f>
        <v>0</v>
      </c>
      <c r="HB58" s="8">
        <f>IF(HB$56-Voorblad!$F$41&gt;Voorblad!$K$41,0,IF($U58=0,0,IF($U58&lt;1,1/$U58,IF((HB$56-Voorblad!$F$41)/$U58-SUM($EE58:HA58)=1,1,0))))</f>
        <v>0</v>
      </c>
      <c r="HC58" s="8">
        <f>IF(HC$56-Voorblad!$F$41&gt;Voorblad!$K$41,0,IF($U58=0,0,IF($U58&lt;1,1/$U58,IF((HC$56-Voorblad!$F$41)/$U58-SUM($EE58:HB58)=1,1,0))))</f>
        <v>0</v>
      </c>
      <c r="HD58" s="8">
        <f>IF(HD$56-Voorblad!$F$41&gt;Voorblad!$K$41,0,IF($U58=0,0,IF($U58&lt;1,1/$U58,IF((HD$56-Voorblad!$F$41)/$U58-SUM($EE58:HC58)=1,1,0))))</f>
        <v>0</v>
      </c>
      <c r="HE58" s="8">
        <f>IF(HE$56-Voorblad!$F$41&gt;Voorblad!$K$41,0,IF($U58=0,0,IF($U58&lt;1,1/$U58,IF((HE$56-Voorblad!$F$41)/$U58-SUM($EE58:HD58)=1,1,0))))</f>
        <v>0</v>
      </c>
      <c r="HF58" s="8">
        <f>IF(HF$56-Voorblad!$F$41&gt;Voorblad!$K$41,0,IF($U58=0,0,IF($U58&lt;1,1/$U58,IF((HF$56-Voorblad!$F$41)/$U58-SUM($EE58:HE58)=1,1,0))))</f>
        <v>0</v>
      </c>
      <c r="HG58" s="8">
        <f>IF(HG$56-Voorblad!$F$41&gt;Voorblad!$K$41,0,IF($U58=0,0,IF($U58&lt;1,1/$U58,IF((HG$56-Voorblad!$F$41)/$U58-SUM($EE58:HF58)=1,1,0))))</f>
        <v>0</v>
      </c>
      <c r="HH58" s="8">
        <f>IF(HH$56-Voorblad!$F$41&gt;Voorblad!$K$41,0,IF($U58=0,0,IF($U58&lt;1,1/$U58,IF((HH$56-Voorblad!$F$41)/$U58-SUM($EE58:HG58)=1,1,0))))</f>
        <v>0</v>
      </c>
      <c r="HI58" s="8">
        <f>IF(HI$56-Voorblad!$F$41&gt;Voorblad!$K$41,0,IF($U58=0,0,IF($U58&lt;1,1/$U58,IF((HI$56-Voorblad!$F$41)/$U58-SUM($EE58:HH58)=1,1,0))))</f>
        <v>0</v>
      </c>
      <c r="HJ58" s="8">
        <f>IF(HJ$56-Voorblad!$F$41&gt;Voorblad!$K$41,0,IF($U58=0,0,IF($U58&lt;1,1/$U58,IF((HJ$56-Voorblad!$F$41)/$U58-SUM($EE58:HI58)=1,1,0))))</f>
        <v>0</v>
      </c>
      <c r="HK58" s="8">
        <f>IF(HK$56-Voorblad!$F$41&gt;Voorblad!$K$41,0,IF($U58=0,0,IF($U58&lt;1,1/$U58,IF((HK$56-Voorblad!$F$41)/$U58-SUM($EE58:HJ58)=1,1,0))))</f>
        <v>0</v>
      </c>
      <c r="HL58" s="8">
        <f>IF(HL$56-Voorblad!$F$41&gt;Voorblad!$K$41,0,IF($U58=0,0,IF($U58&lt;1,1/$U58,IF((HL$56-Voorblad!$F$41)/$U58-SUM($EE58:HK58)=1,1,0))))</f>
        <v>0</v>
      </c>
      <c r="HM58" s="8">
        <f>IF(HM$56-Voorblad!$F$41&gt;Voorblad!$K$41,0,IF($U58=0,0,IF($U58&lt;1,1/$U58,IF((HM$56-Voorblad!$F$41)/$U58-SUM($EE58:HL58)=1,1,0))))</f>
        <v>0</v>
      </c>
      <c r="HN58" s="8">
        <f>IF(HN$56-Voorblad!$F$41&gt;Voorblad!$K$41,0,IF($U58=0,0,IF($U58&lt;1,1/$U58,IF((HN$56-Voorblad!$F$41)/$U58-SUM($EE58:HM58)=1,1,0))))</f>
        <v>0</v>
      </c>
      <c r="HO58" s="8">
        <f>IF(HO$56-Voorblad!$F$41&gt;Voorblad!$K$41,0,IF($U58=0,0,IF($U58&lt;1,1/$U58,IF((HO$56-Voorblad!$F$41)/$U58-SUM($EE58:HN58)=1,1,0))))</f>
        <v>0</v>
      </c>
      <c r="HP58" s="8">
        <f>IF(HP$56-Voorblad!$F$41&gt;Voorblad!$K$41,0,IF($U58=0,0,IF($U58&lt;1,1/$U58,IF((HP$56-Voorblad!$F$41)/$U58-SUM($EE58:HO58)=1,1,0))))</f>
        <v>0</v>
      </c>
      <c r="HQ58" s="8">
        <f>IF(HQ$56-Voorblad!$F$41&gt;Voorblad!$K$41,0,IF($U58=0,0,IF($U58&lt;1,1/$U58,IF((HQ$56-Voorblad!$F$41)/$U58-SUM($EE58:HP58)=1,1,0))))</f>
        <v>0</v>
      </c>
      <c r="HR58" s="8">
        <f>IF(HR$56-Voorblad!$F$41&gt;Voorblad!$K$41,0,IF($U58=0,0,IF($U58&lt;1,1/$U58,IF((HR$56-Voorblad!$F$41)/$U58-SUM($EE58:HQ58)=1,1,0))))</f>
        <v>0</v>
      </c>
      <c r="HS58" s="8">
        <f>IF(HS$56-Voorblad!$F$41&gt;Voorblad!$K$41,0,IF($U58=0,0,IF($U58&lt;1,1/$U58,IF((HS$56-Voorblad!$F$41)/$U58-SUM($EE58:HR58)=1,1,0))))</f>
        <v>0</v>
      </c>
      <c r="HT58" s="8">
        <f>IF(HT$56-Voorblad!$F$41&gt;Voorblad!$K$41,0,IF($U58=0,0,IF($U58&lt;1,1/$U58,IF((HT$56-Voorblad!$F$41)/$U58-SUM($EE58:HS58)=1,1,0))))</f>
        <v>0</v>
      </c>
      <c r="HU58" s="8">
        <f>IF(HU$56-Voorblad!$F$41&gt;Voorblad!$K$41,0,IF($U58=0,0,IF($U58&lt;1,1/$U58,IF((HU$56-Voorblad!$F$41)/$U58-SUM($EE58:HT58)=1,1,0))))</f>
        <v>0</v>
      </c>
      <c r="HV58" s="8">
        <f>IF(HV$56-Voorblad!$F$41&gt;Voorblad!$K$41,0,IF($U58=0,0,IF($U58&lt;1,1/$U58,IF((HV$56-Voorblad!$F$41)/$U58-SUM($EE58:HU58)=1,1,0))))</f>
        <v>0</v>
      </c>
      <c r="HW58" s="8">
        <f>IF(HW$56-Voorblad!$F$41&gt;Voorblad!$K$41,0,IF($U58=0,0,IF($U58&lt;1,1/$U58,IF((HW$56-Voorblad!$F$41)/$U58-SUM($EE58:HV58)=1,1,0))))</f>
        <v>0</v>
      </c>
      <c r="HX58" s="8">
        <f>IF(HX$56-Voorblad!$F$41&gt;Voorblad!$K$41,0,IF($U58=0,0,IF($U58&lt;1,1/$U58,IF((HX$56-Voorblad!$F$41)/$U58-SUM($EE58:HW58)=1,1,0))))</f>
        <v>0</v>
      </c>
      <c r="HY58" s="8">
        <f>IF(HY$56-Voorblad!$F$41&gt;Voorblad!$K$41,0,IF($U58=0,0,IF($U58&lt;1,1/$U58,IF((HY$56-Voorblad!$F$41)/$U58-SUM($EE58:HX58)=1,1,0))))</f>
        <v>0</v>
      </c>
      <c r="HZ58" s="8">
        <f>IF(HZ$56-Voorblad!$F$41&gt;Voorblad!$K$41,0,IF($U58=0,0,IF($U58&lt;1,1/$U58,IF((HZ$56-Voorblad!$F$41)/$U58-SUM($EE58:HY58)=1,1,0))))</f>
        <v>0</v>
      </c>
      <c r="IA58" s="8">
        <f>IF(IA$56-Voorblad!$F$41&gt;Voorblad!$K$41,0,IF($U58=0,0,IF($U58&lt;1,1/$U58,IF((IA$56-Voorblad!$F$41)/$U58-SUM($EE58:HZ58)=1,1,0))))</f>
        <v>0</v>
      </c>
      <c r="IB58" s="8">
        <f>IF(IB$56-Voorblad!$F$41&gt;Voorblad!$K$41,0,IF($U58=0,0,IF($U58&lt;1,1/$U58,IF((IB$56-Voorblad!$F$41)/$U58-SUM($EE58:IA58)=1,1,0))))</f>
        <v>0</v>
      </c>
    </row>
    <row r="59" spans="2:236" ht="12" hidden="1" customHeight="1" outlineLevel="1" x14ac:dyDescent="0.25">
      <c r="B59" s="1">
        <v>3</v>
      </c>
      <c r="F59" s="1" t="s">
        <v>23</v>
      </c>
      <c r="I59" s="1" t="s">
        <v>277</v>
      </c>
      <c r="K59" s="1" t="s">
        <v>110</v>
      </c>
      <c r="N59" s="3"/>
      <c r="O59" s="1" t="s">
        <v>134</v>
      </c>
      <c r="Q59" s="83">
        <v>0</v>
      </c>
      <c r="R59" s="1" t="s">
        <v>35</v>
      </c>
      <c r="S59" s="21">
        <f>$H$20*15</f>
        <v>26.55</v>
      </c>
      <c r="T59" s="9">
        <f t="shared" si="10"/>
        <v>0</v>
      </c>
      <c r="U59" s="14">
        <v>10</v>
      </c>
      <c r="V59" s="14"/>
      <c r="Y59" s="9">
        <f t="shared" si="11"/>
        <v>0</v>
      </c>
      <c r="Z59" s="82"/>
      <c r="AA59" s="82"/>
      <c r="AC59" s="9">
        <f>$Y59*(Voorblad!$K$44*(1+Voorblad!$K$44)^Voorblad!$K$41)/((1+Voorblad!$K$44)^Voorblad!$K$41-1)</f>
        <v>0</v>
      </c>
      <c r="AE59" s="9">
        <f>EF59*($Q59*$S59)/(1+Voorblad!$K$44)^(AE$56-Voorblad!$F$41)</f>
        <v>0</v>
      </c>
      <c r="AF59" s="9">
        <f>EG59*($Q59*$S59)/(1+Voorblad!$K$44)^(AF$56-Voorblad!$F$41)</f>
        <v>0</v>
      </c>
      <c r="AG59" s="9">
        <f>EH59*($Q59*$S59)/(1+Voorblad!$K$44)^(AG$56-Voorblad!$F$41)</f>
        <v>0</v>
      </c>
      <c r="AH59" s="9">
        <f>EI59*($Q59*$S59)/(1+Voorblad!$K$44)^(AH$56-Voorblad!$F$41)</f>
        <v>0</v>
      </c>
      <c r="AI59" s="9">
        <f>EJ59*($Q59*$S59)/(1+Voorblad!$K$44)^(AI$56-Voorblad!$F$41)</f>
        <v>0</v>
      </c>
      <c r="AJ59" s="9">
        <f>EK59*($Q59*$S59)/(1+Voorblad!$K$44)^(AJ$56-Voorblad!$F$41)</f>
        <v>0</v>
      </c>
      <c r="AK59" s="9">
        <f>EL59*($Q59*$S59)/(1+Voorblad!$K$44)^(AK$56-Voorblad!$F$41)</f>
        <v>0</v>
      </c>
      <c r="AL59" s="9">
        <f>EM59*($Q59*$S59)/(1+Voorblad!$K$44)^(AL$56-Voorblad!$F$41)</f>
        <v>0</v>
      </c>
      <c r="AM59" s="9">
        <f>EN59*($Q59*$S59)/(1+Voorblad!$K$44)^(AM$56-Voorblad!$F$41)</f>
        <v>0</v>
      </c>
      <c r="AN59" s="9">
        <f>EO59*($Q59*$S59)/(1+Voorblad!$K$44)^(AN$56-Voorblad!$F$41)</f>
        <v>0</v>
      </c>
      <c r="AO59" s="9">
        <f>EP59*($Q59*$S59)/(1+Voorblad!$K$44)^(AO$56-Voorblad!$F$41)</f>
        <v>0</v>
      </c>
      <c r="AP59" s="9">
        <f>EQ59*($Q59*$S59)/(1+Voorblad!$K$44)^(AP$56-Voorblad!$F$41)</f>
        <v>0</v>
      </c>
      <c r="AQ59" s="9">
        <f>ER59*($Q59*$S59)/(1+Voorblad!$K$44)^(AQ$56-Voorblad!$F$41)</f>
        <v>0</v>
      </c>
      <c r="AR59" s="9">
        <f>ES59*($Q59*$S59)/(1+Voorblad!$K$44)^(AR$56-Voorblad!$F$41)</f>
        <v>0</v>
      </c>
      <c r="AS59" s="9">
        <f>ET59*($Q59*$S59)/(1+Voorblad!$K$44)^(AS$56-Voorblad!$F$41)</f>
        <v>0</v>
      </c>
      <c r="AT59" s="9">
        <f>EU59*($Q59*$S59)/(1+Voorblad!$K$44)^(AT$56-Voorblad!$F$41)</f>
        <v>0</v>
      </c>
      <c r="AU59" s="9">
        <f>EV59*($Q59*$S59)/(1+Voorblad!$K$44)^(AU$56-Voorblad!$F$41)</f>
        <v>0</v>
      </c>
      <c r="AV59" s="9">
        <f>EW59*($Q59*$S59)/(1+Voorblad!$K$44)^(AV$56-Voorblad!$F$41)</f>
        <v>0</v>
      </c>
      <c r="AW59" s="9">
        <f>EX59*($Q59*$S59)/(1+Voorblad!$K$44)^(AW$56-Voorblad!$F$41)</f>
        <v>0</v>
      </c>
      <c r="AX59" s="9">
        <f>EY59*($Q59*$S59)/(1+Voorblad!$K$44)^(AX$56-Voorblad!$F$41)</f>
        <v>0</v>
      </c>
      <c r="AY59" s="9">
        <f>EZ59*($Q59*$S59)/(1+Voorblad!$K$44)^(AY$56-Voorblad!$F$41)</f>
        <v>0</v>
      </c>
      <c r="AZ59" s="9">
        <f>FA59*($Q59*$S59)/(1+Voorblad!$K$44)^(AZ$56-Voorblad!$F$41)</f>
        <v>0</v>
      </c>
      <c r="BA59" s="9">
        <f>FB59*($Q59*$S59)/(1+Voorblad!$K$44)^(BA$56-Voorblad!$F$41)</f>
        <v>0</v>
      </c>
      <c r="BB59" s="9">
        <f>FC59*($Q59*$S59)/(1+Voorblad!$K$44)^(BB$56-Voorblad!$F$41)</f>
        <v>0</v>
      </c>
      <c r="BC59" s="9">
        <f>FD59*($Q59*$S59)/(1+Voorblad!$K$44)^(BC$56-Voorblad!$F$41)</f>
        <v>0</v>
      </c>
      <c r="BD59" s="9">
        <f>FE59*($Q59*$S59)/(1+Voorblad!$K$44)^(BD$56-Voorblad!$F$41)</f>
        <v>0</v>
      </c>
      <c r="BE59" s="9">
        <f>FF59*($Q59*$S59)/(1+Voorblad!$K$44)^(BE$56-Voorblad!$F$41)</f>
        <v>0</v>
      </c>
      <c r="BF59" s="9">
        <f>FG59*($Q59*$S59)/(1+Voorblad!$K$44)^(BF$56-Voorblad!$F$41)</f>
        <v>0</v>
      </c>
      <c r="BG59" s="9">
        <f>FH59*($Q59*$S59)/(1+Voorblad!$K$44)^(BG$56-Voorblad!$F$41)</f>
        <v>0</v>
      </c>
      <c r="BH59" s="9">
        <f>FI59*($Q59*$S59)/(1+Voorblad!$K$44)^(BH$56-Voorblad!$F$41)</f>
        <v>0</v>
      </c>
      <c r="BI59" s="9">
        <f>FJ59*($Q59*$S59)/(1+Voorblad!$K$44)^(BI$56-Voorblad!$F$41)</f>
        <v>0</v>
      </c>
      <c r="BJ59" s="9">
        <f>FK59*($Q59*$S59)/(1+Voorblad!$K$44)^(BJ$56-Voorblad!$F$41)</f>
        <v>0</v>
      </c>
      <c r="BK59" s="9">
        <f>FL59*($Q59*$S59)/(1+Voorblad!$K$44)^(BK$56-Voorblad!$F$41)</f>
        <v>0</v>
      </c>
      <c r="BL59" s="9">
        <f>FM59*($Q59*$S59)/(1+Voorblad!$K$44)^(BL$56-Voorblad!$F$41)</f>
        <v>0</v>
      </c>
      <c r="BM59" s="9">
        <f>FN59*($Q59*$S59)/(1+Voorblad!$K$44)^(BM$56-Voorblad!$F$41)</f>
        <v>0</v>
      </c>
      <c r="BN59" s="9">
        <f>FO59*($Q59*$S59)/(1+Voorblad!$K$44)^(BN$56-Voorblad!$F$41)</f>
        <v>0</v>
      </c>
      <c r="BO59" s="9">
        <f>FP59*($Q59*$S59)/(1+Voorblad!$K$44)^(BO$56-Voorblad!$F$41)</f>
        <v>0</v>
      </c>
      <c r="BP59" s="9">
        <f>FQ59*($Q59*$S59)/(1+Voorblad!$K$44)^(BP$56-Voorblad!$F$41)</f>
        <v>0</v>
      </c>
      <c r="BQ59" s="9">
        <f>FR59*($Q59*$S59)/(1+Voorblad!$K$44)^(BQ$56-Voorblad!$F$41)</f>
        <v>0</v>
      </c>
      <c r="BR59" s="9">
        <f>FS59*($Q59*$S59)/(1+Voorblad!$K$44)^(BR$56-Voorblad!$F$41)</f>
        <v>0</v>
      </c>
      <c r="BS59" s="9">
        <f>FT59*($Q59*$S59)/(1+Voorblad!$K$44)^(BS$56-Voorblad!$F$41)</f>
        <v>0</v>
      </c>
      <c r="BT59" s="9">
        <f>FU59*($Q59*$S59)/(1+Voorblad!$K$44)^(BT$56-Voorblad!$F$41)</f>
        <v>0</v>
      </c>
      <c r="BU59" s="9">
        <f>FV59*($Q59*$S59)/(1+Voorblad!$K$44)^(BU$56-Voorblad!$F$41)</f>
        <v>0</v>
      </c>
      <c r="BV59" s="9">
        <f>FW59*($Q59*$S59)/(1+Voorblad!$K$44)^(BV$56-Voorblad!$F$41)</f>
        <v>0</v>
      </c>
      <c r="BW59" s="9">
        <f>FX59*($Q59*$S59)/(1+Voorblad!$K$44)^(BW$56-Voorblad!$F$41)</f>
        <v>0</v>
      </c>
      <c r="BX59" s="9">
        <f>FY59*($Q59*$S59)/(1+Voorblad!$K$44)^(BX$56-Voorblad!$F$41)</f>
        <v>0</v>
      </c>
      <c r="BY59" s="9">
        <f>FZ59*($Q59*$S59)/(1+Voorblad!$K$44)^(BY$56-Voorblad!$F$41)</f>
        <v>0</v>
      </c>
      <c r="BZ59" s="9">
        <f>GA59*($Q59*$S59)/(1+Voorblad!$K$44)^(BZ$56-Voorblad!$F$41)</f>
        <v>0</v>
      </c>
      <c r="CA59" s="9">
        <f>GB59*($Q59*$S59)/(1+Voorblad!$K$44)^(CA$56-Voorblad!$F$41)</f>
        <v>0</v>
      </c>
      <c r="CB59" s="9">
        <f>GC59*($Q59*$S59)/(1+Voorblad!$K$44)^(CB$56-Voorblad!$F$41)</f>
        <v>0</v>
      </c>
      <c r="CC59" s="9">
        <f>GD59*($Q59*$S59)/(1+Voorblad!$K$44)^(CC$56-Voorblad!$F$41)</f>
        <v>0</v>
      </c>
      <c r="CD59" s="9">
        <f>GE59*($Q59*$S59)/(1+Voorblad!$K$44)^(CD$56-Voorblad!$F$41)</f>
        <v>0</v>
      </c>
      <c r="CE59" s="9">
        <f>GF59*($Q59*$S59)/(1+Voorblad!$K$44)^(CE$56-Voorblad!$F$41)</f>
        <v>0</v>
      </c>
      <c r="CF59" s="9">
        <f>GG59*($Q59*$S59)/(1+Voorblad!$K$44)^(CF$56-Voorblad!$F$41)</f>
        <v>0</v>
      </c>
      <c r="CG59" s="9">
        <f>GH59*($Q59*$S59)/(1+Voorblad!$K$44)^(CG$56-Voorblad!$F$41)</f>
        <v>0</v>
      </c>
      <c r="CH59" s="9">
        <f>GI59*($Q59*$S59)/(1+Voorblad!$K$44)^(CH$56-Voorblad!$F$41)</f>
        <v>0</v>
      </c>
      <c r="CI59" s="9">
        <f>GJ59*($Q59*$S59)/(1+Voorblad!$K$44)^(CI$56-Voorblad!$F$41)</f>
        <v>0</v>
      </c>
      <c r="CJ59" s="9">
        <f>GK59*($Q59*$S59)/(1+Voorblad!$K$44)^(CJ$56-Voorblad!$F$41)</f>
        <v>0</v>
      </c>
      <c r="CK59" s="9">
        <f>GL59*($Q59*$S59)/(1+Voorblad!$K$44)^(CK$56-Voorblad!$F$41)</f>
        <v>0</v>
      </c>
      <c r="CL59" s="9">
        <f>GM59*($Q59*$S59)/(1+Voorblad!$K$44)^(CL$56-Voorblad!$F$41)</f>
        <v>0</v>
      </c>
      <c r="CM59" s="9">
        <f>GN59*($Q59*$S59)/(1+Voorblad!$K$44)^(CM$56-Voorblad!$F$41)</f>
        <v>0</v>
      </c>
      <c r="CN59" s="9">
        <f>GO59*($Q59*$S59)/(1+Voorblad!$K$44)^(CN$56-Voorblad!$F$41)</f>
        <v>0</v>
      </c>
      <c r="CO59" s="9">
        <f>GP59*($Q59*$S59)/(1+Voorblad!$K$44)^(CO$56-Voorblad!$F$41)</f>
        <v>0</v>
      </c>
      <c r="CP59" s="9">
        <f>GQ59*($Q59*$S59)/(1+Voorblad!$K$44)^(CP$56-Voorblad!$F$41)</f>
        <v>0</v>
      </c>
      <c r="CQ59" s="9">
        <f>GR59*($Q59*$S59)/(1+Voorblad!$K$44)^(CQ$56-Voorblad!$F$41)</f>
        <v>0</v>
      </c>
      <c r="CR59" s="9">
        <f>GS59*($Q59*$S59)/(1+Voorblad!$K$44)^(CR$56-Voorblad!$F$41)</f>
        <v>0</v>
      </c>
      <c r="CS59" s="9">
        <f>GT59*($Q59*$S59)/(1+Voorblad!$K$44)^(CS$56-Voorblad!$F$41)</f>
        <v>0</v>
      </c>
      <c r="CT59" s="9">
        <f>GU59*($Q59*$S59)/(1+Voorblad!$K$44)^(CT$56-Voorblad!$F$41)</f>
        <v>0</v>
      </c>
      <c r="CU59" s="9">
        <f>GV59*($Q59*$S59)/(1+Voorblad!$K$44)^(CU$56-Voorblad!$F$41)</f>
        <v>0</v>
      </c>
      <c r="CV59" s="9">
        <f>GW59*($Q59*$S59)/(1+Voorblad!$K$44)^(CV$56-Voorblad!$F$41)</f>
        <v>0</v>
      </c>
      <c r="CW59" s="9">
        <f>GX59*($Q59*$S59)/(1+Voorblad!$K$44)^(CW$56-Voorblad!$F$41)</f>
        <v>0</v>
      </c>
      <c r="CX59" s="9">
        <f>GY59*($Q59*$S59)/(1+Voorblad!$K$44)^(CX$56-Voorblad!$F$41)</f>
        <v>0</v>
      </c>
      <c r="CY59" s="9">
        <f>GZ59*($Q59*$S59)/(1+Voorblad!$K$44)^(CY$56-Voorblad!$F$41)</f>
        <v>0</v>
      </c>
      <c r="CZ59" s="9">
        <f>HA59*($Q59*$S59)/(1+Voorblad!$K$44)^(CZ$56-Voorblad!$F$41)</f>
        <v>0</v>
      </c>
      <c r="DA59" s="9">
        <f>HB59*($Q59*$S59)/(1+Voorblad!$K$44)^(DA$56-Voorblad!$F$41)</f>
        <v>0</v>
      </c>
      <c r="DB59" s="9">
        <f>HC59*($Q59*$S59)/(1+Voorblad!$K$44)^(DB$56-Voorblad!$F$41)</f>
        <v>0</v>
      </c>
      <c r="DC59" s="9">
        <f>HD59*($Q59*$S59)/(1+Voorblad!$K$44)^(DC$56-Voorblad!$F$41)</f>
        <v>0</v>
      </c>
      <c r="DD59" s="9">
        <f>HE59*($Q59*$S59)/(1+Voorblad!$K$44)^(DD$56-Voorblad!$F$41)</f>
        <v>0</v>
      </c>
      <c r="DE59" s="9">
        <f>HF59*($Q59*$S59)/(1+Voorblad!$K$44)^(DE$56-Voorblad!$F$41)</f>
        <v>0</v>
      </c>
      <c r="DF59" s="9">
        <f>HG59*($Q59*$S59)/(1+Voorblad!$K$44)^(DF$56-Voorblad!$F$41)</f>
        <v>0</v>
      </c>
      <c r="DG59" s="9">
        <f>HH59*($Q59*$S59)/(1+Voorblad!$K$44)^(DG$56-Voorblad!$F$41)</f>
        <v>0</v>
      </c>
      <c r="DH59" s="9">
        <f>HI59*($Q59*$S59)/(1+Voorblad!$K$44)^(DH$56-Voorblad!$F$41)</f>
        <v>0</v>
      </c>
      <c r="DI59" s="9">
        <f>HJ59*($Q59*$S59)/(1+Voorblad!$K$44)^(DI$56-Voorblad!$F$41)</f>
        <v>0</v>
      </c>
      <c r="DJ59" s="9">
        <f>HK59*($Q59*$S59)/(1+Voorblad!$K$44)^(DJ$56-Voorblad!$F$41)</f>
        <v>0</v>
      </c>
      <c r="DK59" s="9">
        <f>HL59*($Q59*$S59)/(1+Voorblad!$K$44)^(DK$56-Voorblad!$F$41)</f>
        <v>0</v>
      </c>
      <c r="DL59" s="9">
        <f>HM59*($Q59*$S59)/(1+Voorblad!$K$44)^(DL$56-Voorblad!$F$41)</f>
        <v>0</v>
      </c>
      <c r="DM59" s="9">
        <f>HN59*($Q59*$S59)/(1+Voorblad!$K$44)^(DM$56-Voorblad!$F$41)</f>
        <v>0</v>
      </c>
      <c r="DN59" s="9">
        <f>HO59*($Q59*$S59)/(1+Voorblad!$K$44)^(DN$56-Voorblad!$F$41)</f>
        <v>0</v>
      </c>
      <c r="DO59" s="9">
        <f>HP59*($Q59*$S59)/(1+Voorblad!$K$44)^(DO$56-Voorblad!$F$41)</f>
        <v>0</v>
      </c>
      <c r="DP59" s="9">
        <f>HQ59*($Q59*$S59)/(1+Voorblad!$K$44)^(DP$56-Voorblad!$F$41)</f>
        <v>0</v>
      </c>
      <c r="DQ59" s="9">
        <f>HR59*($Q59*$S59)/(1+Voorblad!$K$44)^(DQ$56-Voorblad!$F$41)</f>
        <v>0</v>
      </c>
      <c r="DR59" s="9">
        <f>HS59*($Q59*$S59)/(1+Voorblad!$K$44)^(DR$56-Voorblad!$F$41)</f>
        <v>0</v>
      </c>
      <c r="DS59" s="9">
        <f>HT59*($Q59*$S59)/(1+Voorblad!$K$44)^(DS$56-Voorblad!$F$41)</f>
        <v>0</v>
      </c>
      <c r="DT59" s="9">
        <f>HU59*($Q59*$S59)/(1+Voorblad!$K$44)^(DT$56-Voorblad!$F$41)</f>
        <v>0</v>
      </c>
      <c r="DU59" s="9">
        <f>HV59*($Q59*$S59)/(1+Voorblad!$K$44)^(DU$56-Voorblad!$F$41)</f>
        <v>0</v>
      </c>
      <c r="DV59" s="9">
        <f>HW59*($Q59*$S59)/(1+Voorblad!$K$44)^(DV$56-Voorblad!$F$41)</f>
        <v>0</v>
      </c>
      <c r="DW59" s="9">
        <f>HX59*($Q59*$S59)/(1+Voorblad!$K$44)^(DW$56-Voorblad!$F$41)</f>
        <v>0</v>
      </c>
      <c r="DX59" s="9">
        <f>HY59*($Q59*$S59)/(1+Voorblad!$K$44)^(DX$56-Voorblad!$F$41)</f>
        <v>0</v>
      </c>
      <c r="DY59" s="9">
        <f>HZ59*($Q59*$S59)/(1+Voorblad!$K$44)^(DY$56-Voorblad!$F$41)</f>
        <v>0</v>
      </c>
      <c r="DZ59" s="9">
        <f>IA59*($Q59*$S59)/(1+Voorblad!$K$44)^(DZ$56-Voorblad!$F$41)</f>
        <v>0</v>
      </c>
      <c r="EA59" s="9">
        <f>IB59*($Q59*$S59)/(1+Voorblad!$K$44)^(EA$56-Voorblad!$F$41)</f>
        <v>0</v>
      </c>
      <c r="EB59" s="9">
        <f>IC59*($Q59*$S59)/(1+Voorblad!$K$44)^(EB$56-Voorblad!$F$41)</f>
        <v>0</v>
      </c>
      <c r="EE59" s="8">
        <v>0</v>
      </c>
      <c r="EF59" s="8">
        <f>IF(EF$56-Voorblad!$F$41&gt;Voorblad!$K$41,0,IF($U59=0,0,IF($U59&lt;1,1/$U59,IF((EF$56-Voorblad!$F$41)/$U59-SUM($EE59:EE59)=1,1,0))))</f>
        <v>0</v>
      </c>
      <c r="EG59" s="8">
        <f>IF(EG$56-Voorblad!$F$41&gt;Voorblad!$K$41,0,IF($U59=0,0,IF($U59&lt;1,1/$U59,IF((EG$56-Voorblad!$F$41)/$U59-SUM($EE59:EF59)=1,1,0))))</f>
        <v>0</v>
      </c>
      <c r="EH59" s="8">
        <f>IF(EH$56-Voorblad!$F$41&gt;Voorblad!$K$41,0,IF($U59=0,0,IF($U59&lt;1,1/$U59,IF((EH$56-Voorblad!$F$41)/$U59-SUM($EE59:EG59)=1,1,0))))</f>
        <v>0</v>
      </c>
      <c r="EI59" s="8">
        <f>IF(EI$56-Voorblad!$F$41&gt;Voorblad!$K$41,0,IF($U59=0,0,IF($U59&lt;1,1/$U59,IF((EI$56-Voorblad!$F$41)/$U59-SUM($EE59:EH59)=1,1,0))))</f>
        <v>0</v>
      </c>
      <c r="EJ59" s="8">
        <f>IF(EJ$56-Voorblad!$F$41&gt;Voorblad!$K$41,0,IF($U59=0,0,IF($U59&lt;1,1/$U59,IF((EJ$56-Voorblad!$F$41)/$U59-SUM($EE59:EI59)=1,1,0))))</f>
        <v>0</v>
      </c>
      <c r="EK59" s="8">
        <f>IF(EK$56-Voorblad!$F$41&gt;Voorblad!$K$41,0,IF($U59=0,0,IF($U59&lt;1,1/$U59,IF((EK$56-Voorblad!$F$41)/$U59-SUM($EE59:EJ59)=1,1,0))))</f>
        <v>0</v>
      </c>
      <c r="EL59" s="8">
        <f>IF(EL$56-Voorblad!$F$41&gt;Voorblad!$K$41,0,IF($U59=0,0,IF($U59&lt;1,1/$U59,IF((EL$56-Voorblad!$F$41)/$U59-SUM($EE59:EK59)=1,1,0))))</f>
        <v>0</v>
      </c>
      <c r="EM59" s="8">
        <f>IF(EM$56-Voorblad!$F$41&gt;Voorblad!$K$41,0,IF($U59=0,0,IF($U59&lt;1,1/$U59,IF((EM$56-Voorblad!$F$41)/$U59-SUM($EE59:EL59)=1,1,0))))</f>
        <v>0</v>
      </c>
      <c r="EN59" s="8">
        <f>IF(EN$56-Voorblad!$F$41&gt;Voorblad!$K$41,0,IF($U59=0,0,IF($U59&lt;1,1/$U59,IF((EN$56-Voorblad!$F$41)/$U59-SUM($EE59:EM59)=1,1,0))))</f>
        <v>0</v>
      </c>
      <c r="EO59" s="8">
        <f>IF(EO$56-Voorblad!$F$41&gt;Voorblad!$K$41,0,IF($U59=0,0,IF($U59&lt;1,1/$U59,IF((EO$56-Voorblad!$F$41)/$U59-SUM($EE59:EN59)=1,1,0))))</f>
        <v>0</v>
      </c>
      <c r="EP59" s="8">
        <f>IF(EP$56-Voorblad!$F$41&gt;Voorblad!$K$41,0,IF($U59=0,0,IF($U59&lt;1,1/$U59,IF((EP$56-Voorblad!$F$41)/$U59-SUM($EE59:EO59)=1,1,0))))</f>
        <v>1</v>
      </c>
      <c r="EQ59" s="8">
        <f>IF(EQ$56-Voorblad!$F$41&gt;Voorblad!$K$41,0,IF($U59=0,0,IF($U59&lt;1,1/$U59,IF((EQ$56-Voorblad!$F$41)/$U59-SUM($EE59:EP59)=1,1,0))))</f>
        <v>0</v>
      </c>
      <c r="ER59" s="8">
        <f>IF(ER$56-Voorblad!$F$41&gt;Voorblad!$K$41,0,IF($U59=0,0,IF($U59&lt;1,1/$U59,IF((ER$56-Voorblad!$F$41)/$U59-SUM($EE59:EQ59)=1,1,0))))</f>
        <v>0</v>
      </c>
      <c r="ES59" s="8">
        <f>IF(ES$56-Voorblad!$F$41&gt;Voorblad!$K$41,0,IF($U59=0,0,IF($U59&lt;1,1/$U59,IF((ES$56-Voorblad!$F$41)/$U59-SUM($EE59:ER59)=1,1,0))))</f>
        <v>0</v>
      </c>
      <c r="ET59" s="8">
        <f>IF(ET$56-Voorblad!$F$41&gt;Voorblad!$K$41,0,IF($U59=0,0,IF($U59&lt;1,1/$U59,IF((ET$56-Voorblad!$F$41)/$U59-SUM($EE59:ES59)=1,1,0))))</f>
        <v>0</v>
      </c>
      <c r="EU59" s="8">
        <f>IF(EU$56-Voorblad!$F$41&gt;Voorblad!$K$41,0,IF($U59=0,0,IF($U59&lt;1,1/$U59,IF((EU$56-Voorblad!$F$41)/$U59-SUM($EE59:ET59)=1,1,0))))</f>
        <v>0</v>
      </c>
      <c r="EV59" s="8">
        <f>IF(EV$56-Voorblad!$F$41&gt;Voorblad!$K$41,0,IF($U59=0,0,IF($U59&lt;1,1/$U59,IF((EV$56-Voorblad!$F$41)/$U59-SUM($EE59:EU59)=1,1,0))))</f>
        <v>0</v>
      </c>
      <c r="EW59" s="8">
        <f>IF(EW$56-Voorblad!$F$41&gt;Voorblad!$K$41,0,IF($U59=0,0,IF($U59&lt;1,1/$U59,IF((EW$56-Voorblad!$F$41)/$U59-SUM($EE59:EV59)=1,1,0))))</f>
        <v>0</v>
      </c>
      <c r="EX59" s="8">
        <f>IF(EX$56-Voorblad!$F$41&gt;Voorblad!$K$41,0,IF($U59=0,0,IF($U59&lt;1,1/$U59,IF((EX$56-Voorblad!$F$41)/$U59-SUM($EE59:EW59)=1,1,0))))</f>
        <v>0</v>
      </c>
      <c r="EY59" s="8">
        <f>IF(EY$56-Voorblad!$F$41&gt;Voorblad!$K$41,0,IF($U59=0,0,IF($U59&lt;1,1/$U59,IF((EY$56-Voorblad!$F$41)/$U59-SUM($EE59:EX59)=1,1,0))))</f>
        <v>0</v>
      </c>
      <c r="EZ59" s="8">
        <f>IF(EZ$56-Voorblad!$F$41&gt;Voorblad!$K$41,0,IF($U59=0,0,IF($U59&lt;1,1/$U59,IF((EZ$56-Voorblad!$F$41)/$U59-SUM($EE59:EY59)=1,1,0))))</f>
        <v>1</v>
      </c>
      <c r="FA59" s="8">
        <f>IF(FA$56-Voorblad!$F$41&gt;Voorblad!$K$41,0,IF($U59=0,0,IF($U59&lt;1,1/$U59,IF((FA$56-Voorblad!$F$41)/$U59-SUM($EE59:EZ59)=1,1,0))))</f>
        <v>0</v>
      </c>
      <c r="FB59" s="8">
        <f>IF(FB$56-Voorblad!$F$41&gt;Voorblad!$K$41,0,IF($U59=0,0,IF($U59&lt;1,1/$U59,IF((FB$56-Voorblad!$F$41)/$U59-SUM($EE59:FA59)=1,1,0))))</f>
        <v>0</v>
      </c>
      <c r="FC59" s="8">
        <f>IF(FC$56-Voorblad!$F$41&gt;Voorblad!$K$41,0,IF($U59=0,0,IF($U59&lt;1,1/$U59,IF((FC$56-Voorblad!$F$41)/$U59-SUM($EE59:FB59)=1,1,0))))</f>
        <v>0</v>
      </c>
      <c r="FD59" s="8">
        <f>IF(FD$56-Voorblad!$F$41&gt;Voorblad!$K$41,0,IF($U59=0,0,IF($U59&lt;1,1/$U59,IF((FD$56-Voorblad!$F$41)/$U59-SUM($EE59:FC59)=1,1,0))))</f>
        <v>0</v>
      </c>
      <c r="FE59" s="8">
        <f>IF(FE$56-Voorblad!$F$41&gt;Voorblad!$K$41,0,IF($U59=0,0,IF($U59&lt;1,1/$U59,IF((FE$56-Voorblad!$F$41)/$U59-SUM($EE59:FD59)=1,1,0))))</f>
        <v>0</v>
      </c>
      <c r="FF59" s="8">
        <f>IF(FF$56-Voorblad!$F$41&gt;Voorblad!$K$41,0,IF($U59=0,0,IF($U59&lt;1,1/$U59,IF((FF$56-Voorblad!$F$41)/$U59-SUM($EE59:FE59)=1,1,0))))</f>
        <v>0</v>
      </c>
      <c r="FG59" s="8">
        <f>IF(FG$56-Voorblad!$F$41&gt;Voorblad!$K$41,0,IF($U59=0,0,IF($U59&lt;1,1/$U59,IF((FG$56-Voorblad!$F$41)/$U59-SUM($EE59:FF59)=1,1,0))))</f>
        <v>0</v>
      </c>
      <c r="FH59" s="8">
        <f>IF(FH$56-Voorblad!$F$41&gt;Voorblad!$K$41,0,IF($U59=0,0,IF($U59&lt;1,1/$U59,IF((FH$56-Voorblad!$F$41)/$U59-SUM($EE59:FG59)=1,1,0))))</f>
        <v>0</v>
      </c>
      <c r="FI59" s="8">
        <f>IF(FI$56-Voorblad!$F$41&gt;Voorblad!$K$41,0,IF($U59=0,0,IF($U59&lt;1,1/$U59,IF((FI$56-Voorblad!$F$41)/$U59-SUM($EE59:FH59)=1,1,0))))</f>
        <v>0</v>
      </c>
      <c r="FJ59" s="8">
        <f>IF(FJ$56-Voorblad!$F$41&gt;Voorblad!$K$41,0,IF($U59=0,0,IF($U59&lt;1,1/$U59,IF((FJ$56-Voorblad!$F$41)/$U59-SUM($EE59:FI59)=1,1,0))))</f>
        <v>1</v>
      </c>
      <c r="FK59" s="8">
        <f>IF(FK$56-Voorblad!$F$41&gt;Voorblad!$K$41,0,IF($U59=0,0,IF($U59&lt;1,1/$U59,IF((FK$56-Voorblad!$F$41)/$U59-SUM($EE59:FJ59)=1,1,0))))</f>
        <v>0</v>
      </c>
      <c r="FL59" s="8">
        <f>IF(FL$56-Voorblad!$F$41&gt;Voorblad!$K$41,0,IF($U59=0,0,IF($U59&lt;1,1/$U59,IF((FL$56-Voorblad!$F$41)/$U59-SUM($EE59:FK59)=1,1,0))))</f>
        <v>0</v>
      </c>
      <c r="FM59" s="8">
        <f>IF(FM$56-Voorblad!$F$41&gt;Voorblad!$K$41,0,IF($U59=0,0,IF($U59&lt;1,1/$U59,IF((FM$56-Voorblad!$F$41)/$U59-SUM($EE59:FL59)=1,1,0))))</f>
        <v>0</v>
      </c>
      <c r="FN59" s="8">
        <f>IF(FN$56-Voorblad!$F$41&gt;Voorblad!$K$41,0,IF($U59=0,0,IF($U59&lt;1,1/$U59,IF((FN$56-Voorblad!$F$41)/$U59-SUM($EE59:FM59)=1,1,0))))</f>
        <v>0</v>
      </c>
      <c r="FO59" s="8">
        <f>IF(FO$56-Voorblad!$F$41&gt;Voorblad!$K$41,0,IF($U59=0,0,IF($U59&lt;1,1/$U59,IF((FO$56-Voorblad!$F$41)/$U59-SUM($EE59:FN59)=1,1,0))))</f>
        <v>0</v>
      </c>
      <c r="FP59" s="8">
        <f>IF(FP$56-Voorblad!$F$41&gt;Voorblad!$K$41,0,IF($U59=0,0,IF($U59&lt;1,1/$U59,IF((FP$56-Voorblad!$F$41)/$U59-SUM($EE59:FO59)=1,1,0))))</f>
        <v>0</v>
      </c>
      <c r="FQ59" s="8">
        <f>IF(FQ$56-Voorblad!$F$41&gt;Voorblad!$K$41,0,IF($U59=0,0,IF($U59&lt;1,1/$U59,IF((FQ$56-Voorblad!$F$41)/$U59-SUM($EE59:FP59)=1,1,0))))</f>
        <v>0</v>
      </c>
      <c r="FR59" s="8">
        <f>IF(FR$56-Voorblad!$F$41&gt;Voorblad!$K$41,0,IF($U59=0,0,IF($U59&lt;1,1/$U59,IF((FR$56-Voorblad!$F$41)/$U59-SUM($EE59:FQ59)=1,1,0))))</f>
        <v>0</v>
      </c>
      <c r="FS59" s="8">
        <f>IF(FS$56-Voorblad!$F$41&gt;Voorblad!$K$41,0,IF($U59=0,0,IF($U59&lt;1,1/$U59,IF((FS$56-Voorblad!$F$41)/$U59-SUM($EE59:FR59)=1,1,0))))</f>
        <v>0</v>
      </c>
      <c r="FT59" s="8">
        <f>IF(FT$56-Voorblad!$F$41&gt;Voorblad!$K$41,0,IF($U59=0,0,IF($U59&lt;1,1/$U59,IF((FT$56-Voorblad!$F$41)/$U59-SUM($EE59:FS59)=1,1,0))))</f>
        <v>1</v>
      </c>
      <c r="FU59" s="8">
        <f>IF(FU$56-Voorblad!$F$41&gt;Voorblad!$K$41,0,IF($U59=0,0,IF($U59&lt;1,1/$U59,IF((FU$56-Voorblad!$F$41)/$U59-SUM($EE59:FT59)=1,1,0))))</f>
        <v>0</v>
      </c>
      <c r="FV59" s="8">
        <f>IF(FV$56-Voorblad!$F$41&gt;Voorblad!$K$41,0,IF($U59=0,0,IF($U59&lt;1,1/$U59,IF((FV$56-Voorblad!$F$41)/$U59-SUM($EE59:FU59)=1,1,0))))</f>
        <v>0</v>
      </c>
      <c r="FW59" s="8">
        <f>IF(FW$56-Voorblad!$F$41&gt;Voorblad!$K$41,0,IF($U59=0,0,IF($U59&lt;1,1/$U59,IF((FW$56-Voorblad!$F$41)/$U59-SUM($EE59:FV59)=1,1,0))))</f>
        <v>0</v>
      </c>
      <c r="FX59" s="8">
        <f>IF(FX$56-Voorblad!$F$41&gt;Voorblad!$K$41,0,IF($U59=0,0,IF($U59&lt;1,1/$U59,IF((FX$56-Voorblad!$F$41)/$U59-SUM($EE59:FW59)=1,1,0))))</f>
        <v>0</v>
      </c>
      <c r="FY59" s="8">
        <f>IF(FY$56-Voorblad!$F$41&gt;Voorblad!$K$41,0,IF($U59=0,0,IF($U59&lt;1,1/$U59,IF((FY$56-Voorblad!$F$41)/$U59-SUM($EE59:FX59)=1,1,0))))</f>
        <v>0</v>
      </c>
      <c r="FZ59" s="8">
        <f>IF(FZ$56-Voorblad!$F$41&gt;Voorblad!$K$41,0,IF($U59=0,0,IF($U59&lt;1,1/$U59,IF((FZ$56-Voorblad!$F$41)/$U59-SUM($EE59:FY59)=1,1,0))))</f>
        <v>0</v>
      </c>
      <c r="GA59" s="8">
        <f>IF(GA$56-Voorblad!$F$41&gt;Voorblad!$K$41,0,IF($U59=0,0,IF($U59&lt;1,1/$U59,IF((GA$56-Voorblad!$F$41)/$U59-SUM($EE59:FZ59)=1,1,0))))</f>
        <v>0</v>
      </c>
      <c r="GB59" s="8">
        <f>IF(GB$56-Voorblad!$F$41&gt;Voorblad!$K$41,0,IF($U59=0,0,IF($U59&lt;1,1/$U59,IF((GB$56-Voorblad!$F$41)/$U59-SUM($EE59:GA59)=1,1,0))))</f>
        <v>0</v>
      </c>
      <c r="GC59" s="8">
        <f>IF(GC$56-Voorblad!$F$41&gt;Voorblad!$K$41,0,IF($U59=0,0,IF($U59&lt;1,1/$U59,IF((GC$56-Voorblad!$F$41)/$U59-SUM($EE59:GB59)=1,1,0))))</f>
        <v>0</v>
      </c>
      <c r="GD59" s="8">
        <f>IF(GD$56-Voorblad!$F$41&gt;Voorblad!$K$41,0,IF($U59=0,0,IF($U59&lt;1,1/$U59,IF((GD$56-Voorblad!$F$41)/$U59-SUM($EE59:GC59)=1,1,0))))</f>
        <v>1</v>
      </c>
      <c r="GE59" s="8">
        <f>IF(GE$56-Voorblad!$F$41&gt;Voorblad!$K$41,0,IF($U59=0,0,IF($U59&lt;1,1/$U59,IF((GE$56-Voorblad!$F$41)/$U59-SUM($EE59:GD59)=1,1,0))))</f>
        <v>0</v>
      </c>
      <c r="GF59" s="8">
        <f>IF(GF$56-Voorblad!$F$41&gt;Voorblad!$K$41,0,IF($U59=0,0,IF($U59&lt;1,1/$U59,IF((GF$56-Voorblad!$F$41)/$U59-SUM($EE59:GE59)=1,1,0))))</f>
        <v>0</v>
      </c>
      <c r="GG59" s="8">
        <f>IF(GG$56-Voorblad!$F$41&gt;Voorblad!$K$41,0,IF($U59=0,0,IF($U59&lt;1,1/$U59,IF((GG$56-Voorblad!$F$41)/$U59-SUM($EE59:GF59)=1,1,0))))</f>
        <v>0</v>
      </c>
      <c r="GH59" s="8">
        <f>IF(GH$56-Voorblad!$F$41&gt;Voorblad!$K$41,0,IF($U59=0,0,IF($U59&lt;1,1/$U59,IF((GH$56-Voorblad!$F$41)/$U59-SUM($EE59:GG59)=1,1,0))))</f>
        <v>0</v>
      </c>
      <c r="GI59" s="8">
        <f>IF(GI$56-Voorblad!$F$41&gt;Voorblad!$K$41,0,IF($U59=0,0,IF($U59&lt;1,1/$U59,IF((GI$56-Voorblad!$F$41)/$U59-SUM($EE59:GH59)=1,1,0))))</f>
        <v>0</v>
      </c>
      <c r="GJ59" s="8">
        <f>IF(GJ$56-Voorblad!$F$41&gt;Voorblad!$K$41,0,IF($U59=0,0,IF($U59&lt;1,1/$U59,IF((GJ$56-Voorblad!$F$41)/$U59-SUM($EE59:GI59)=1,1,0))))</f>
        <v>0</v>
      </c>
      <c r="GK59" s="8">
        <f>IF(GK$56-Voorblad!$F$41&gt;Voorblad!$K$41,0,IF($U59=0,0,IF($U59&lt;1,1/$U59,IF((GK$56-Voorblad!$F$41)/$U59-SUM($EE59:GJ59)=1,1,0))))</f>
        <v>0</v>
      </c>
      <c r="GL59" s="8">
        <f>IF(GL$56-Voorblad!$F$41&gt;Voorblad!$K$41,0,IF($U59=0,0,IF($U59&lt;1,1/$U59,IF((GL$56-Voorblad!$F$41)/$U59-SUM($EE59:GK59)=1,1,0))))</f>
        <v>0</v>
      </c>
      <c r="GM59" s="8">
        <f>IF(GM$56-Voorblad!$F$41&gt;Voorblad!$K$41,0,IF($U59=0,0,IF($U59&lt;1,1/$U59,IF((GM$56-Voorblad!$F$41)/$U59-SUM($EE59:GL59)=1,1,0))))</f>
        <v>0</v>
      </c>
      <c r="GN59" s="8">
        <f>IF(GN$56-Voorblad!$F$41&gt;Voorblad!$K$41,0,IF($U59=0,0,IF($U59&lt;1,1/$U59,IF((GN$56-Voorblad!$F$41)/$U59-SUM($EE59:GM59)=1,1,0))))</f>
        <v>1</v>
      </c>
      <c r="GO59" s="8">
        <f>IF(GO$56-Voorblad!$F$41&gt;Voorblad!$K$41,0,IF($U59=0,0,IF($U59&lt;1,1/$U59,IF((GO$56-Voorblad!$F$41)/$U59-SUM($EE59:GN59)=1,1,0))))</f>
        <v>0</v>
      </c>
      <c r="GP59" s="8">
        <f>IF(GP$56-Voorblad!$F$41&gt;Voorblad!$K$41,0,IF($U59=0,0,IF($U59&lt;1,1/$U59,IF((GP$56-Voorblad!$F$41)/$U59-SUM($EE59:GO59)=1,1,0))))</f>
        <v>0</v>
      </c>
      <c r="GQ59" s="8">
        <f>IF(GQ$56-Voorblad!$F$41&gt;Voorblad!$K$41,0,IF($U59=0,0,IF($U59&lt;1,1/$U59,IF((GQ$56-Voorblad!$F$41)/$U59-SUM($EE59:GP59)=1,1,0))))</f>
        <v>0</v>
      </c>
      <c r="GR59" s="8">
        <f>IF(GR$56-Voorblad!$F$41&gt;Voorblad!$K$41,0,IF($U59=0,0,IF($U59&lt;1,1/$U59,IF((GR$56-Voorblad!$F$41)/$U59-SUM($EE59:GQ59)=1,1,0))))</f>
        <v>0</v>
      </c>
      <c r="GS59" s="8">
        <f>IF(GS$56-Voorblad!$F$41&gt;Voorblad!$K$41,0,IF($U59=0,0,IF($U59&lt;1,1/$U59,IF((GS$56-Voorblad!$F$41)/$U59-SUM($EE59:GR59)=1,1,0))))</f>
        <v>0</v>
      </c>
      <c r="GT59" s="8">
        <f>IF(GT$56-Voorblad!$F$41&gt;Voorblad!$K$41,0,IF($U59=0,0,IF($U59&lt;1,1/$U59,IF((GT$56-Voorblad!$F$41)/$U59-SUM($EE59:GS59)=1,1,0))))</f>
        <v>0</v>
      </c>
      <c r="GU59" s="8">
        <f>IF(GU$56-Voorblad!$F$41&gt;Voorblad!$K$41,0,IF($U59=0,0,IF($U59&lt;1,1/$U59,IF((GU$56-Voorblad!$F$41)/$U59-SUM($EE59:GT59)=1,1,0))))</f>
        <v>0</v>
      </c>
      <c r="GV59" s="8">
        <f>IF(GV$56-Voorblad!$F$41&gt;Voorblad!$K$41,0,IF($U59=0,0,IF($U59&lt;1,1/$U59,IF((GV$56-Voorblad!$F$41)/$U59-SUM($EE59:GU59)=1,1,0))))</f>
        <v>0</v>
      </c>
      <c r="GW59" s="8">
        <f>IF(GW$56-Voorblad!$F$41&gt;Voorblad!$K$41,0,IF($U59=0,0,IF($U59&lt;1,1/$U59,IF((GW$56-Voorblad!$F$41)/$U59-SUM($EE59:GV59)=1,1,0))))</f>
        <v>0</v>
      </c>
      <c r="GX59" s="8">
        <f>IF(GX$56-Voorblad!$F$41&gt;Voorblad!$K$41,0,IF($U59=0,0,IF($U59&lt;1,1/$U59,IF((GX$56-Voorblad!$F$41)/$U59-SUM($EE59:GW59)=1,1,0))))</f>
        <v>1</v>
      </c>
      <c r="GY59" s="8">
        <f>IF(GY$56-Voorblad!$F$41&gt;Voorblad!$K$41,0,IF($U59=0,0,IF($U59&lt;1,1/$U59,IF((GY$56-Voorblad!$F$41)/$U59-SUM($EE59:GX59)=1,1,0))))</f>
        <v>0</v>
      </c>
      <c r="GZ59" s="8">
        <f>IF(GZ$56-Voorblad!$F$41&gt;Voorblad!$K$41,0,IF($U59=0,0,IF($U59&lt;1,1/$U59,IF((GZ$56-Voorblad!$F$41)/$U59-SUM($EE59:GY59)=1,1,0))))</f>
        <v>0</v>
      </c>
      <c r="HA59" s="8">
        <f>IF(HA$56-Voorblad!$F$41&gt;Voorblad!$K$41,0,IF($U59=0,0,IF($U59&lt;1,1/$U59,IF((HA$56-Voorblad!$F$41)/$U59-SUM($EE59:GZ59)=1,1,0))))</f>
        <v>0</v>
      </c>
      <c r="HB59" s="8">
        <f>IF(HB$56-Voorblad!$F$41&gt;Voorblad!$K$41,0,IF($U59=0,0,IF($U59&lt;1,1/$U59,IF((HB$56-Voorblad!$F$41)/$U59-SUM($EE59:HA59)=1,1,0))))</f>
        <v>0</v>
      </c>
      <c r="HC59" s="8">
        <f>IF(HC$56-Voorblad!$F$41&gt;Voorblad!$K$41,0,IF($U59=0,0,IF($U59&lt;1,1/$U59,IF((HC$56-Voorblad!$F$41)/$U59-SUM($EE59:HB59)=1,1,0))))</f>
        <v>0</v>
      </c>
      <c r="HD59" s="8">
        <f>IF(HD$56-Voorblad!$F$41&gt;Voorblad!$K$41,0,IF($U59=0,0,IF($U59&lt;1,1/$U59,IF((HD$56-Voorblad!$F$41)/$U59-SUM($EE59:HC59)=1,1,0))))</f>
        <v>0</v>
      </c>
      <c r="HE59" s="8">
        <f>IF(HE$56-Voorblad!$F$41&gt;Voorblad!$K$41,0,IF($U59=0,0,IF($U59&lt;1,1/$U59,IF((HE$56-Voorblad!$F$41)/$U59-SUM($EE59:HD59)=1,1,0))))</f>
        <v>0</v>
      </c>
      <c r="HF59" s="8">
        <f>IF(HF$56-Voorblad!$F$41&gt;Voorblad!$K$41,0,IF($U59=0,0,IF($U59&lt;1,1/$U59,IF((HF$56-Voorblad!$F$41)/$U59-SUM($EE59:HE59)=1,1,0))))</f>
        <v>0</v>
      </c>
      <c r="HG59" s="8">
        <f>IF(HG$56-Voorblad!$F$41&gt;Voorblad!$K$41,0,IF($U59=0,0,IF($U59&lt;1,1/$U59,IF((HG$56-Voorblad!$F$41)/$U59-SUM($EE59:HF59)=1,1,0))))</f>
        <v>0</v>
      </c>
      <c r="HH59" s="8">
        <f>IF(HH$56-Voorblad!$F$41&gt;Voorblad!$K$41,0,IF($U59=0,0,IF($U59&lt;1,1/$U59,IF((HH$56-Voorblad!$F$41)/$U59-SUM($EE59:HG59)=1,1,0))))</f>
        <v>0</v>
      </c>
      <c r="HI59" s="8">
        <f>IF(HI$56-Voorblad!$F$41&gt;Voorblad!$K$41,0,IF($U59=0,0,IF($U59&lt;1,1/$U59,IF((HI$56-Voorblad!$F$41)/$U59-SUM($EE59:HH59)=1,1,0))))</f>
        <v>0</v>
      </c>
      <c r="HJ59" s="8">
        <f>IF(HJ$56-Voorblad!$F$41&gt;Voorblad!$K$41,0,IF($U59=0,0,IF($U59&lt;1,1/$U59,IF((HJ$56-Voorblad!$F$41)/$U59-SUM($EE59:HI59)=1,1,0))))</f>
        <v>0</v>
      </c>
      <c r="HK59" s="8">
        <f>IF(HK$56-Voorblad!$F$41&gt;Voorblad!$K$41,0,IF($U59=0,0,IF($U59&lt;1,1/$U59,IF((HK$56-Voorblad!$F$41)/$U59-SUM($EE59:HJ59)=1,1,0))))</f>
        <v>0</v>
      </c>
      <c r="HL59" s="8">
        <f>IF(HL$56-Voorblad!$F$41&gt;Voorblad!$K$41,0,IF($U59=0,0,IF($U59&lt;1,1/$U59,IF((HL$56-Voorblad!$F$41)/$U59-SUM($EE59:HK59)=1,1,0))))</f>
        <v>0</v>
      </c>
      <c r="HM59" s="8">
        <f>IF(HM$56-Voorblad!$F$41&gt;Voorblad!$K$41,0,IF($U59=0,0,IF($U59&lt;1,1/$U59,IF((HM$56-Voorblad!$F$41)/$U59-SUM($EE59:HL59)=1,1,0))))</f>
        <v>0</v>
      </c>
      <c r="HN59" s="8">
        <f>IF(HN$56-Voorblad!$F$41&gt;Voorblad!$K$41,0,IF($U59=0,0,IF($U59&lt;1,1/$U59,IF((HN$56-Voorblad!$F$41)/$U59-SUM($EE59:HM59)=1,1,0))))</f>
        <v>0</v>
      </c>
      <c r="HO59" s="8">
        <f>IF(HO$56-Voorblad!$F$41&gt;Voorblad!$K$41,0,IF($U59=0,0,IF($U59&lt;1,1/$U59,IF((HO$56-Voorblad!$F$41)/$U59-SUM($EE59:HN59)=1,1,0))))</f>
        <v>0</v>
      </c>
      <c r="HP59" s="8">
        <f>IF(HP$56-Voorblad!$F$41&gt;Voorblad!$K$41,0,IF($U59=0,0,IF($U59&lt;1,1/$U59,IF((HP$56-Voorblad!$F$41)/$U59-SUM($EE59:HO59)=1,1,0))))</f>
        <v>0</v>
      </c>
      <c r="HQ59" s="8">
        <f>IF(HQ$56-Voorblad!$F$41&gt;Voorblad!$K$41,0,IF($U59=0,0,IF($U59&lt;1,1/$U59,IF((HQ$56-Voorblad!$F$41)/$U59-SUM($EE59:HP59)=1,1,0))))</f>
        <v>0</v>
      </c>
      <c r="HR59" s="8">
        <f>IF(HR$56-Voorblad!$F$41&gt;Voorblad!$K$41,0,IF($U59=0,0,IF($U59&lt;1,1/$U59,IF((HR$56-Voorblad!$F$41)/$U59-SUM($EE59:HQ59)=1,1,0))))</f>
        <v>0</v>
      </c>
      <c r="HS59" s="8">
        <f>IF(HS$56-Voorblad!$F$41&gt;Voorblad!$K$41,0,IF($U59=0,0,IF($U59&lt;1,1/$U59,IF((HS$56-Voorblad!$F$41)/$U59-SUM($EE59:HR59)=1,1,0))))</f>
        <v>0</v>
      </c>
      <c r="HT59" s="8">
        <f>IF(HT$56-Voorblad!$F$41&gt;Voorblad!$K$41,0,IF($U59=0,0,IF($U59&lt;1,1/$U59,IF((HT$56-Voorblad!$F$41)/$U59-SUM($EE59:HS59)=1,1,0))))</f>
        <v>0</v>
      </c>
      <c r="HU59" s="8">
        <f>IF(HU$56-Voorblad!$F$41&gt;Voorblad!$K$41,0,IF($U59=0,0,IF($U59&lt;1,1/$U59,IF((HU$56-Voorblad!$F$41)/$U59-SUM($EE59:HT59)=1,1,0))))</f>
        <v>0</v>
      </c>
      <c r="HV59" s="8">
        <f>IF(HV$56-Voorblad!$F$41&gt;Voorblad!$K$41,0,IF($U59=0,0,IF($U59&lt;1,1/$U59,IF((HV$56-Voorblad!$F$41)/$U59-SUM($EE59:HU59)=1,1,0))))</f>
        <v>0</v>
      </c>
      <c r="HW59" s="8">
        <f>IF(HW$56-Voorblad!$F$41&gt;Voorblad!$K$41,0,IF($U59=0,0,IF($U59&lt;1,1/$U59,IF((HW$56-Voorblad!$F$41)/$U59-SUM($EE59:HV59)=1,1,0))))</f>
        <v>0</v>
      </c>
      <c r="HX59" s="8">
        <f>IF(HX$56-Voorblad!$F$41&gt;Voorblad!$K$41,0,IF($U59=0,0,IF($U59&lt;1,1/$U59,IF((HX$56-Voorblad!$F$41)/$U59-SUM($EE59:HW59)=1,1,0))))</f>
        <v>0</v>
      </c>
      <c r="HY59" s="8">
        <f>IF(HY$56-Voorblad!$F$41&gt;Voorblad!$K$41,0,IF($U59=0,0,IF($U59&lt;1,1/$U59,IF((HY$56-Voorblad!$F$41)/$U59-SUM($EE59:HX59)=1,1,0))))</f>
        <v>0</v>
      </c>
      <c r="HZ59" s="8">
        <f>IF(HZ$56-Voorblad!$F$41&gt;Voorblad!$K$41,0,IF($U59=0,0,IF($U59&lt;1,1/$U59,IF((HZ$56-Voorblad!$F$41)/$U59-SUM($EE59:HY59)=1,1,0))))</f>
        <v>0</v>
      </c>
      <c r="IA59" s="8">
        <f>IF(IA$56-Voorblad!$F$41&gt;Voorblad!$K$41,0,IF($U59=0,0,IF($U59&lt;1,1/$U59,IF((IA$56-Voorblad!$F$41)/$U59-SUM($EE59:HZ59)=1,1,0))))</f>
        <v>0</v>
      </c>
      <c r="IB59" s="8">
        <f>IF(IB$56-Voorblad!$F$41&gt;Voorblad!$K$41,0,IF($U59=0,0,IF($U59&lt;1,1/$U59,IF((IB$56-Voorblad!$F$41)/$U59-SUM($EE59:IA59)=1,1,0))))</f>
        <v>0</v>
      </c>
    </row>
    <row r="60" spans="2:236" ht="12" hidden="1" customHeight="1" outlineLevel="1" x14ac:dyDescent="0.25">
      <c r="B60" s="1">
        <v>3</v>
      </c>
      <c r="F60" s="1" t="s">
        <v>23</v>
      </c>
      <c r="I60" s="1" t="s">
        <v>277</v>
      </c>
      <c r="K60" s="1" t="s">
        <v>152</v>
      </c>
      <c r="N60" s="3"/>
      <c r="Q60" s="83">
        <v>0</v>
      </c>
      <c r="R60" s="1" t="s">
        <v>35</v>
      </c>
      <c r="S60" s="21">
        <f>$H$20*20</f>
        <v>35.4</v>
      </c>
      <c r="T60" s="9">
        <f t="shared" si="10"/>
        <v>0</v>
      </c>
      <c r="U60" s="14">
        <v>10</v>
      </c>
      <c r="V60" s="14"/>
      <c r="Y60" s="9">
        <f t="shared" si="11"/>
        <v>0</v>
      </c>
      <c r="Z60" s="82"/>
      <c r="AA60" s="82"/>
      <c r="AC60" s="9">
        <f>$Y60*(Voorblad!$K$44*(1+Voorblad!$K$44)^Voorblad!$K$41)/((1+Voorblad!$K$44)^Voorblad!$K$41-1)</f>
        <v>0</v>
      </c>
      <c r="AE60" s="9">
        <f>EF60*($Q60*$S60)/(1+Voorblad!$K$44)^(AE$56-Voorblad!$F$41)</f>
        <v>0</v>
      </c>
      <c r="AF60" s="9">
        <f>EG60*($Q60*$S60)/(1+Voorblad!$K$44)^(AF$56-Voorblad!$F$41)</f>
        <v>0</v>
      </c>
      <c r="AG60" s="9">
        <f>EH60*($Q60*$S60)/(1+Voorblad!$K$44)^(AG$56-Voorblad!$F$41)</f>
        <v>0</v>
      </c>
      <c r="AH60" s="9">
        <f>EI60*($Q60*$S60)/(1+Voorblad!$K$44)^(AH$56-Voorblad!$F$41)</f>
        <v>0</v>
      </c>
      <c r="AI60" s="9">
        <f>EJ60*($Q60*$S60)/(1+Voorblad!$K$44)^(AI$56-Voorblad!$F$41)</f>
        <v>0</v>
      </c>
      <c r="AJ60" s="9">
        <f>EK60*($Q60*$S60)/(1+Voorblad!$K$44)^(AJ$56-Voorblad!$F$41)</f>
        <v>0</v>
      </c>
      <c r="AK60" s="9">
        <f>EL60*($Q60*$S60)/(1+Voorblad!$K$44)^(AK$56-Voorblad!$F$41)</f>
        <v>0</v>
      </c>
      <c r="AL60" s="9">
        <f>EM60*($Q60*$S60)/(1+Voorblad!$K$44)^(AL$56-Voorblad!$F$41)</f>
        <v>0</v>
      </c>
      <c r="AM60" s="9">
        <f>EN60*($Q60*$S60)/(1+Voorblad!$K$44)^(AM$56-Voorblad!$F$41)</f>
        <v>0</v>
      </c>
      <c r="AN60" s="9">
        <f>EO60*($Q60*$S60)/(1+Voorblad!$K$44)^(AN$56-Voorblad!$F$41)</f>
        <v>0</v>
      </c>
      <c r="AO60" s="9">
        <f>EP60*($Q60*$S60)/(1+Voorblad!$K$44)^(AO$56-Voorblad!$F$41)</f>
        <v>0</v>
      </c>
      <c r="AP60" s="9">
        <f>EQ60*($Q60*$S60)/(1+Voorblad!$K$44)^(AP$56-Voorblad!$F$41)</f>
        <v>0</v>
      </c>
      <c r="AQ60" s="9">
        <f>ER60*($Q60*$S60)/(1+Voorblad!$K$44)^(AQ$56-Voorblad!$F$41)</f>
        <v>0</v>
      </c>
      <c r="AR60" s="9">
        <f>ES60*($Q60*$S60)/(1+Voorblad!$K$44)^(AR$56-Voorblad!$F$41)</f>
        <v>0</v>
      </c>
      <c r="AS60" s="9">
        <f>ET60*($Q60*$S60)/(1+Voorblad!$K$44)^(AS$56-Voorblad!$F$41)</f>
        <v>0</v>
      </c>
      <c r="AT60" s="9">
        <f>EU60*($Q60*$S60)/(1+Voorblad!$K$44)^(AT$56-Voorblad!$F$41)</f>
        <v>0</v>
      </c>
      <c r="AU60" s="9">
        <f>EV60*($Q60*$S60)/(1+Voorblad!$K$44)^(AU$56-Voorblad!$F$41)</f>
        <v>0</v>
      </c>
      <c r="AV60" s="9">
        <f>EW60*($Q60*$S60)/(1+Voorblad!$K$44)^(AV$56-Voorblad!$F$41)</f>
        <v>0</v>
      </c>
      <c r="AW60" s="9">
        <f>EX60*($Q60*$S60)/(1+Voorblad!$K$44)^(AW$56-Voorblad!$F$41)</f>
        <v>0</v>
      </c>
      <c r="AX60" s="9">
        <f>EY60*($Q60*$S60)/(1+Voorblad!$K$44)^(AX$56-Voorblad!$F$41)</f>
        <v>0</v>
      </c>
      <c r="AY60" s="9">
        <f>EZ60*($Q60*$S60)/(1+Voorblad!$K$44)^(AY$56-Voorblad!$F$41)</f>
        <v>0</v>
      </c>
      <c r="AZ60" s="9">
        <f>FA60*($Q60*$S60)/(1+Voorblad!$K$44)^(AZ$56-Voorblad!$F$41)</f>
        <v>0</v>
      </c>
      <c r="BA60" s="9">
        <f>FB60*($Q60*$S60)/(1+Voorblad!$K$44)^(BA$56-Voorblad!$F$41)</f>
        <v>0</v>
      </c>
      <c r="BB60" s="9">
        <f>FC60*($Q60*$S60)/(1+Voorblad!$K$44)^(BB$56-Voorblad!$F$41)</f>
        <v>0</v>
      </c>
      <c r="BC60" s="9">
        <f>FD60*($Q60*$S60)/(1+Voorblad!$K$44)^(BC$56-Voorblad!$F$41)</f>
        <v>0</v>
      </c>
      <c r="BD60" s="9">
        <f>FE60*($Q60*$S60)/(1+Voorblad!$K$44)^(BD$56-Voorblad!$F$41)</f>
        <v>0</v>
      </c>
      <c r="BE60" s="9">
        <f>FF60*($Q60*$S60)/(1+Voorblad!$K$44)^(BE$56-Voorblad!$F$41)</f>
        <v>0</v>
      </c>
      <c r="BF60" s="9">
        <f>FG60*($Q60*$S60)/(1+Voorblad!$K$44)^(BF$56-Voorblad!$F$41)</f>
        <v>0</v>
      </c>
      <c r="BG60" s="9">
        <f>FH60*($Q60*$S60)/(1+Voorblad!$K$44)^(BG$56-Voorblad!$F$41)</f>
        <v>0</v>
      </c>
      <c r="BH60" s="9">
        <f>FI60*($Q60*$S60)/(1+Voorblad!$K$44)^(BH$56-Voorblad!$F$41)</f>
        <v>0</v>
      </c>
      <c r="BI60" s="9">
        <f>FJ60*($Q60*$S60)/(1+Voorblad!$K$44)^(BI$56-Voorblad!$F$41)</f>
        <v>0</v>
      </c>
      <c r="BJ60" s="9">
        <f>FK60*($Q60*$S60)/(1+Voorblad!$K$44)^(BJ$56-Voorblad!$F$41)</f>
        <v>0</v>
      </c>
      <c r="BK60" s="9">
        <f>FL60*($Q60*$S60)/(1+Voorblad!$K$44)^(BK$56-Voorblad!$F$41)</f>
        <v>0</v>
      </c>
      <c r="BL60" s="9">
        <f>FM60*($Q60*$S60)/(1+Voorblad!$K$44)^(BL$56-Voorblad!$F$41)</f>
        <v>0</v>
      </c>
      <c r="BM60" s="9">
        <f>FN60*($Q60*$S60)/(1+Voorblad!$K$44)^(BM$56-Voorblad!$F$41)</f>
        <v>0</v>
      </c>
      <c r="BN60" s="9">
        <f>FO60*($Q60*$S60)/(1+Voorblad!$K$44)^(BN$56-Voorblad!$F$41)</f>
        <v>0</v>
      </c>
      <c r="BO60" s="9">
        <f>FP60*($Q60*$S60)/(1+Voorblad!$K$44)^(BO$56-Voorblad!$F$41)</f>
        <v>0</v>
      </c>
      <c r="BP60" s="9">
        <f>FQ60*($Q60*$S60)/(1+Voorblad!$K$44)^(BP$56-Voorblad!$F$41)</f>
        <v>0</v>
      </c>
      <c r="BQ60" s="9">
        <f>FR60*($Q60*$S60)/(1+Voorblad!$K$44)^(BQ$56-Voorblad!$F$41)</f>
        <v>0</v>
      </c>
      <c r="BR60" s="9">
        <f>FS60*($Q60*$S60)/(1+Voorblad!$K$44)^(BR$56-Voorblad!$F$41)</f>
        <v>0</v>
      </c>
      <c r="BS60" s="9">
        <f>FT60*($Q60*$S60)/(1+Voorblad!$K$44)^(BS$56-Voorblad!$F$41)</f>
        <v>0</v>
      </c>
      <c r="BT60" s="9">
        <f>FU60*($Q60*$S60)/(1+Voorblad!$K$44)^(BT$56-Voorblad!$F$41)</f>
        <v>0</v>
      </c>
      <c r="BU60" s="9">
        <f>FV60*($Q60*$S60)/(1+Voorblad!$K$44)^(BU$56-Voorblad!$F$41)</f>
        <v>0</v>
      </c>
      <c r="BV60" s="9">
        <f>FW60*($Q60*$S60)/(1+Voorblad!$K$44)^(BV$56-Voorblad!$F$41)</f>
        <v>0</v>
      </c>
      <c r="BW60" s="9">
        <f>FX60*($Q60*$S60)/(1+Voorblad!$K$44)^(BW$56-Voorblad!$F$41)</f>
        <v>0</v>
      </c>
      <c r="BX60" s="9">
        <f>FY60*($Q60*$S60)/(1+Voorblad!$K$44)^(BX$56-Voorblad!$F$41)</f>
        <v>0</v>
      </c>
      <c r="BY60" s="9">
        <f>FZ60*($Q60*$S60)/(1+Voorblad!$K$44)^(BY$56-Voorblad!$F$41)</f>
        <v>0</v>
      </c>
      <c r="BZ60" s="9">
        <f>GA60*($Q60*$S60)/(1+Voorblad!$K$44)^(BZ$56-Voorblad!$F$41)</f>
        <v>0</v>
      </c>
      <c r="CA60" s="9">
        <f>GB60*($Q60*$S60)/(1+Voorblad!$K$44)^(CA$56-Voorblad!$F$41)</f>
        <v>0</v>
      </c>
      <c r="CB60" s="9">
        <f>GC60*($Q60*$S60)/(1+Voorblad!$K$44)^(CB$56-Voorblad!$F$41)</f>
        <v>0</v>
      </c>
      <c r="CC60" s="9">
        <f>GD60*($Q60*$S60)/(1+Voorblad!$K$44)^(CC$56-Voorblad!$F$41)</f>
        <v>0</v>
      </c>
      <c r="CD60" s="9">
        <f>GE60*($Q60*$S60)/(1+Voorblad!$K$44)^(CD$56-Voorblad!$F$41)</f>
        <v>0</v>
      </c>
      <c r="CE60" s="9">
        <f>GF60*($Q60*$S60)/(1+Voorblad!$K$44)^(CE$56-Voorblad!$F$41)</f>
        <v>0</v>
      </c>
      <c r="CF60" s="9">
        <f>GG60*($Q60*$S60)/(1+Voorblad!$K$44)^(CF$56-Voorblad!$F$41)</f>
        <v>0</v>
      </c>
      <c r="CG60" s="9">
        <f>GH60*($Q60*$S60)/(1+Voorblad!$K$44)^(CG$56-Voorblad!$F$41)</f>
        <v>0</v>
      </c>
      <c r="CH60" s="9">
        <f>GI60*($Q60*$S60)/(1+Voorblad!$K$44)^(CH$56-Voorblad!$F$41)</f>
        <v>0</v>
      </c>
      <c r="CI60" s="9">
        <f>GJ60*($Q60*$S60)/(1+Voorblad!$K$44)^(CI$56-Voorblad!$F$41)</f>
        <v>0</v>
      </c>
      <c r="CJ60" s="9">
        <f>GK60*($Q60*$S60)/(1+Voorblad!$K$44)^(CJ$56-Voorblad!$F$41)</f>
        <v>0</v>
      </c>
      <c r="CK60" s="9">
        <f>GL60*($Q60*$S60)/(1+Voorblad!$K$44)^(CK$56-Voorblad!$F$41)</f>
        <v>0</v>
      </c>
      <c r="CL60" s="9">
        <f>GM60*($Q60*$S60)/(1+Voorblad!$K$44)^(CL$56-Voorblad!$F$41)</f>
        <v>0</v>
      </c>
      <c r="CM60" s="9">
        <f>GN60*($Q60*$S60)/(1+Voorblad!$K$44)^(CM$56-Voorblad!$F$41)</f>
        <v>0</v>
      </c>
      <c r="CN60" s="9">
        <f>GO60*($Q60*$S60)/(1+Voorblad!$K$44)^(CN$56-Voorblad!$F$41)</f>
        <v>0</v>
      </c>
      <c r="CO60" s="9">
        <f>GP60*($Q60*$S60)/(1+Voorblad!$K$44)^(CO$56-Voorblad!$F$41)</f>
        <v>0</v>
      </c>
      <c r="CP60" s="9">
        <f>GQ60*($Q60*$S60)/(1+Voorblad!$K$44)^(CP$56-Voorblad!$F$41)</f>
        <v>0</v>
      </c>
      <c r="CQ60" s="9">
        <f>GR60*($Q60*$S60)/(1+Voorblad!$K$44)^(CQ$56-Voorblad!$F$41)</f>
        <v>0</v>
      </c>
      <c r="CR60" s="9">
        <f>GS60*($Q60*$S60)/(1+Voorblad!$K$44)^(CR$56-Voorblad!$F$41)</f>
        <v>0</v>
      </c>
      <c r="CS60" s="9">
        <f>GT60*($Q60*$S60)/(1+Voorblad!$K$44)^(CS$56-Voorblad!$F$41)</f>
        <v>0</v>
      </c>
      <c r="CT60" s="9">
        <f>GU60*($Q60*$S60)/(1+Voorblad!$K$44)^(CT$56-Voorblad!$F$41)</f>
        <v>0</v>
      </c>
      <c r="CU60" s="9">
        <f>GV60*($Q60*$S60)/(1+Voorblad!$K$44)^(CU$56-Voorblad!$F$41)</f>
        <v>0</v>
      </c>
      <c r="CV60" s="9">
        <f>GW60*($Q60*$S60)/(1+Voorblad!$K$44)^(CV$56-Voorblad!$F$41)</f>
        <v>0</v>
      </c>
      <c r="CW60" s="9">
        <f>GX60*($Q60*$S60)/(1+Voorblad!$K$44)^(CW$56-Voorblad!$F$41)</f>
        <v>0</v>
      </c>
      <c r="CX60" s="9">
        <f>GY60*($Q60*$S60)/(1+Voorblad!$K$44)^(CX$56-Voorblad!$F$41)</f>
        <v>0</v>
      </c>
      <c r="CY60" s="9">
        <f>GZ60*($Q60*$S60)/(1+Voorblad!$K$44)^(CY$56-Voorblad!$F$41)</f>
        <v>0</v>
      </c>
      <c r="CZ60" s="9">
        <f>HA60*($Q60*$S60)/(1+Voorblad!$K$44)^(CZ$56-Voorblad!$F$41)</f>
        <v>0</v>
      </c>
      <c r="DA60" s="9">
        <f>HB60*($Q60*$S60)/(1+Voorblad!$K$44)^(DA$56-Voorblad!$F$41)</f>
        <v>0</v>
      </c>
      <c r="DB60" s="9">
        <f>HC60*($Q60*$S60)/(1+Voorblad!$K$44)^(DB$56-Voorblad!$F$41)</f>
        <v>0</v>
      </c>
      <c r="DC60" s="9">
        <f>HD60*($Q60*$S60)/(1+Voorblad!$K$44)^(DC$56-Voorblad!$F$41)</f>
        <v>0</v>
      </c>
      <c r="DD60" s="9">
        <f>HE60*($Q60*$S60)/(1+Voorblad!$K$44)^(DD$56-Voorblad!$F$41)</f>
        <v>0</v>
      </c>
      <c r="DE60" s="9">
        <f>HF60*($Q60*$S60)/(1+Voorblad!$K$44)^(DE$56-Voorblad!$F$41)</f>
        <v>0</v>
      </c>
      <c r="DF60" s="9">
        <f>HG60*($Q60*$S60)/(1+Voorblad!$K$44)^(DF$56-Voorblad!$F$41)</f>
        <v>0</v>
      </c>
      <c r="DG60" s="9">
        <f>HH60*($Q60*$S60)/(1+Voorblad!$K$44)^(DG$56-Voorblad!$F$41)</f>
        <v>0</v>
      </c>
      <c r="DH60" s="9">
        <f>HI60*($Q60*$S60)/(1+Voorblad!$K$44)^(DH$56-Voorblad!$F$41)</f>
        <v>0</v>
      </c>
      <c r="DI60" s="9">
        <f>HJ60*($Q60*$S60)/(1+Voorblad!$K$44)^(DI$56-Voorblad!$F$41)</f>
        <v>0</v>
      </c>
      <c r="DJ60" s="9">
        <f>HK60*($Q60*$S60)/(1+Voorblad!$K$44)^(DJ$56-Voorblad!$F$41)</f>
        <v>0</v>
      </c>
      <c r="DK60" s="9">
        <f>HL60*($Q60*$S60)/(1+Voorblad!$K$44)^(DK$56-Voorblad!$F$41)</f>
        <v>0</v>
      </c>
      <c r="DL60" s="9">
        <f>HM60*($Q60*$S60)/(1+Voorblad!$K$44)^(DL$56-Voorblad!$F$41)</f>
        <v>0</v>
      </c>
      <c r="DM60" s="9">
        <f>HN60*($Q60*$S60)/(1+Voorblad!$K$44)^(DM$56-Voorblad!$F$41)</f>
        <v>0</v>
      </c>
      <c r="DN60" s="9">
        <f>HO60*($Q60*$S60)/(1+Voorblad!$K$44)^(DN$56-Voorblad!$F$41)</f>
        <v>0</v>
      </c>
      <c r="DO60" s="9">
        <f>HP60*($Q60*$S60)/(1+Voorblad!$K$44)^(DO$56-Voorblad!$F$41)</f>
        <v>0</v>
      </c>
      <c r="DP60" s="9">
        <f>HQ60*($Q60*$S60)/(1+Voorblad!$K$44)^(DP$56-Voorblad!$F$41)</f>
        <v>0</v>
      </c>
      <c r="DQ60" s="9">
        <f>HR60*($Q60*$S60)/(1+Voorblad!$K$44)^(DQ$56-Voorblad!$F$41)</f>
        <v>0</v>
      </c>
      <c r="DR60" s="9">
        <f>HS60*($Q60*$S60)/(1+Voorblad!$K$44)^(DR$56-Voorblad!$F$41)</f>
        <v>0</v>
      </c>
      <c r="DS60" s="9">
        <f>HT60*($Q60*$S60)/(1+Voorblad!$K$44)^(DS$56-Voorblad!$F$41)</f>
        <v>0</v>
      </c>
      <c r="DT60" s="9">
        <f>HU60*($Q60*$S60)/(1+Voorblad!$K$44)^(DT$56-Voorblad!$F$41)</f>
        <v>0</v>
      </c>
      <c r="DU60" s="9">
        <f>HV60*($Q60*$S60)/(1+Voorblad!$K$44)^(DU$56-Voorblad!$F$41)</f>
        <v>0</v>
      </c>
      <c r="DV60" s="9">
        <f>HW60*($Q60*$S60)/(1+Voorblad!$K$44)^(DV$56-Voorblad!$F$41)</f>
        <v>0</v>
      </c>
      <c r="DW60" s="9">
        <f>HX60*($Q60*$S60)/(1+Voorblad!$K$44)^(DW$56-Voorblad!$F$41)</f>
        <v>0</v>
      </c>
      <c r="DX60" s="9">
        <f>HY60*($Q60*$S60)/(1+Voorblad!$K$44)^(DX$56-Voorblad!$F$41)</f>
        <v>0</v>
      </c>
      <c r="DY60" s="9">
        <f>HZ60*($Q60*$S60)/(1+Voorblad!$K$44)^(DY$56-Voorblad!$F$41)</f>
        <v>0</v>
      </c>
      <c r="DZ60" s="9">
        <f>IA60*($Q60*$S60)/(1+Voorblad!$K$44)^(DZ$56-Voorblad!$F$41)</f>
        <v>0</v>
      </c>
      <c r="EA60" s="9">
        <f>IB60*($Q60*$S60)/(1+Voorblad!$K$44)^(EA$56-Voorblad!$F$41)</f>
        <v>0</v>
      </c>
      <c r="EB60" s="9">
        <f>IC60*($Q60*$S60)/(1+Voorblad!$K$44)^(EB$56-Voorblad!$F$41)</f>
        <v>0</v>
      </c>
      <c r="EE60" s="8">
        <v>0</v>
      </c>
      <c r="EF60" s="8">
        <f>IF(EF$56-Voorblad!$F$41&gt;Voorblad!$K$41,0,IF($U60=0,0,IF($U60&lt;1,1/$U60,IF((EF$56-Voorblad!$F$41)/$U60-SUM($EE60:EE60)=1,1,0))))</f>
        <v>0</v>
      </c>
      <c r="EG60" s="8">
        <f>IF(EG$56-Voorblad!$F$41&gt;Voorblad!$K$41,0,IF($U60=0,0,IF($U60&lt;1,1/$U60,IF((EG$56-Voorblad!$F$41)/$U60-SUM($EE60:EF60)=1,1,0))))</f>
        <v>0</v>
      </c>
      <c r="EH60" s="8">
        <f>IF(EH$56-Voorblad!$F$41&gt;Voorblad!$K$41,0,IF($U60=0,0,IF($U60&lt;1,1/$U60,IF((EH$56-Voorblad!$F$41)/$U60-SUM($EE60:EG60)=1,1,0))))</f>
        <v>0</v>
      </c>
      <c r="EI60" s="8">
        <f>IF(EI$56-Voorblad!$F$41&gt;Voorblad!$K$41,0,IF($U60=0,0,IF($U60&lt;1,1/$U60,IF((EI$56-Voorblad!$F$41)/$U60-SUM($EE60:EH60)=1,1,0))))</f>
        <v>0</v>
      </c>
      <c r="EJ60" s="8">
        <f>IF(EJ$56-Voorblad!$F$41&gt;Voorblad!$K$41,0,IF($U60=0,0,IF($U60&lt;1,1/$U60,IF((EJ$56-Voorblad!$F$41)/$U60-SUM($EE60:EI60)=1,1,0))))</f>
        <v>0</v>
      </c>
      <c r="EK60" s="8">
        <f>IF(EK$56-Voorblad!$F$41&gt;Voorblad!$K$41,0,IF($U60=0,0,IF($U60&lt;1,1/$U60,IF((EK$56-Voorblad!$F$41)/$U60-SUM($EE60:EJ60)=1,1,0))))</f>
        <v>0</v>
      </c>
      <c r="EL60" s="8">
        <f>IF(EL$56-Voorblad!$F$41&gt;Voorblad!$K$41,0,IF($U60=0,0,IF($U60&lt;1,1/$U60,IF((EL$56-Voorblad!$F$41)/$U60-SUM($EE60:EK60)=1,1,0))))</f>
        <v>0</v>
      </c>
      <c r="EM60" s="8">
        <f>IF(EM$56-Voorblad!$F$41&gt;Voorblad!$K$41,0,IF($U60=0,0,IF($U60&lt;1,1/$U60,IF((EM$56-Voorblad!$F$41)/$U60-SUM($EE60:EL60)=1,1,0))))</f>
        <v>0</v>
      </c>
      <c r="EN60" s="8">
        <f>IF(EN$56-Voorblad!$F$41&gt;Voorblad!$K$41,0,IF($U60=0,0,IF($U60&lt;1,1/$U60,IF((EN$56-Voorblad!$F$41)/$U60-SUM($EE60:EM60)=1,1,0))))</f>
        <v>0</v>
      </c>
      <c r="EO60" s="8">
        <f>IF(EO$56-Voorblad!$F$41&gt;Voorblad!$K$41,0,IF($U60=0,0,IF($U60&lt;1,1/$U60,IF((EO$56-Voorblad!$F$41)/$U60-SUM($EE60:EN60)=1,1,0))))</f>
        <v>0</v>
      </c>
      <c r="EP60" s="8">
        <f>IF(EP$56-Voorblad!$F$41&gt;Voorblad!$K$41,0,IF($U60=0,0,IF($U60&lt;1,1/$U60,IF((EP$56-Voorblad!$F$41)/$U60-SUM($EE60:EO60)=1,1,0))))</f>
        <v>1</v>
      </c>
      <c r="EQ60" s="8">
        <f>IF(EQ$56-Voorblad!$F$41&gt;Voorblad!$K$41,0,IF($U60=0,0,IF($U60&lt;1,1/$U60,IF((EQ$56-Voorblad!$F$41)/$U60-SUM($EE60:EP60)=1,1,0))))</f>
        <v>0</v>
      </c>
      <c r="ER60" s="8">
        <f>IF(ER$56-Voorblad!$F$41&gt;Voorblad!$K$41,0,IF($U60=0,0,IF($U60&lt;1,1/$U60,IF((ER$56-Voorblad!$F$41)/$U60-SUM($EE60:EQ60)=1,1,0))))</f>
        <v>0</v>
      </c>
      <c r="ES60" s="8">
        <f>IF(ES$56-Voorblad!$F$41&gt;Voorblad!$K$41,0,IF($U60=0,0,IF($U60&lt;1,1/$U60,IF((ES$56-Voorblad!$F$41)/$U60-SUM($EE60:ER60)=1,1,0))))</f>
        <v>0</v>
      </c>
      <c r="ET60" s="8">
        <f>IF(ET$56-Voorblad!$F$41&gt;Voorblad!$K$41,0,IF($U60=0,0,IF($U60&lt;1,1/$U60,IF((ET$56-Voorblad!$F$41)/$U60-SUM($EE60:ES60)=1,1,0))))</f>
        <v>0</v>
      </c>
      <c r="EU60" s="8">
        <f>IF(EU$56-Voorblad!$F$41&gt;Voorblad!$K$41,0,IF($U60=0,0,IF($U60&lt;1,1/$U60,IF((EU$56-Voorblad!$F$41)/$U60-SUM($EE60:ET60)=1,1,0))))</f>
        <v>0</v>
      </c>
      <c r="EV60" s="8">
        <f>IF(EV$56-Voorblad!$F$41&gt;Voorblad!$K$41,0,IF($U60=0,0,IF($U60&lt;1,1/$U60,IF((EV$56-Voorblad!$F$41)/$U60-SUM($EE60:EU60)=1,1,0))))</f>
        <v>0</v>
      </c>
      <c r="EW60" s="8">
        <f>IF(EW$56-Voorblad!$F$41&gt;Voorblad!$K$41,0,IF($U60=0,0,IF($U60&lt;1,1/$U60,IF((EW$56-Voorblad!$F$41)/$U60-SUM($EE60:EV60)=1,1,0))))</f>
        <v>0</v>
      </c>
      <c r="EX60" s="8">
        <f>IF(EX$56-Voorblad!$F$41&gt;Voorblad!$K$41,0,IF($U60=0,0,IF($U60&lt;1,1/$U60,IF((EX$56-Voorblad!$F$41)/$U60-SUM($EE60:EW60)=1,1,0))))</f>
        <v>0</v>
      </c>
      <c r="EY60" s="8">
        <f>IF(EY$56-Voorblad!$F$41&gt;Voorblad!$K$41,0,IF($U60=0,0,IF($U60&lt;1,1/$U60,IF((EY$56-Voorblad!$F$41)/$U60-SUM($EE60:EX60)=1,1,0))))</f>
        <v>0</v>
      </c>
      <c r="EZ60" s="8">
        <f>IF(EZ$56-Voorblad!$F$41&gt;Voorblad!$K$41,0,IF($U60=0,0,IF($U60&lt;1,1/$U60,IF((EZ$56-Voorblad!$F$41)/$U60-SUM($EE60:EY60)=1,1,0))))</f>
        <v>1</v>
      </c>
      <c r="FA60" s="8">
        <f>IF(FA$56-Voorblad!$F$41&gt;Voorblad!$K$41,0,IF($U60=0,0,IF($U60&lt;1,1/$U60,IF((FA$56-Voorblad!$F$41)/$U60-SUM($EE60:EZ60)=1,1,0))))</f>
        <v>0</v>
      </c>
      <c r="FB60" s="8">
        <f>IF(FB$56-Voorblad!$F$41&gt;Voorblad!$K$41,0,IF($U60=0,0,IF($U60&lt;1,1/$U60,IF((FB$56-Voorblad!$F$41)/$U60-SUM($EE60:FA60)=1,1,0))))</f>
        <v>0</v>
      </c>
      <c r="FC60" s="8">
        <f>IF(FC$56-Voorblad!$F$41&gt;Voorblad!$K$41,0,IF($U60=0,0,IF($U60&lt;1,1/$U60,IF((FC$56-Voorblad!$F$41)/$U60-SUM($EE60:FB60)=1,1,0))))</f>
        <v>0</v>
      </c>
      <c r="FD60" s="8">
        <f>IF(FD$56-Voorblad!$F$41&gt;Voorblad!$K$41,0,IF($U60=0,0,IF($U60&lt;1,1/$U60,IF((FD$56-Voorblad!$F$41)/$U60-SUM($EE60:FC60)=1,1,0))))</f>
        <v>0</v>
      </c>
      <c r="FE60" s="8">
        <f>IF(FE$56-Voorblad!$F$41&gt;Voorblad!$K$41,0,IF($U60=0,0,IF($U60&lt;1,1/$U60,IF((FE$56-Voorblad!$F$41)/$U60-SUM($EE60:FD60)=1,1,0))))</f>
        <v>0</v>
      </c>
      <c r="FF60" s="8">
        <f>IF(FF$56-Voorblad!$F$41&gt;Voorblad!$K$41,0,IF($U60=0,0,IF($U60&lt;1,1/$U60,IF((FF$56-Voorblad!$F$41)/$U60-SUM($EE60:FE60)=1,1,0))))</f>
        <v>0</v>
      </c>
      <c r="FG60" s="8">
        <f>IF(FG$56-Voorblad!$F$41&gt;Voorblad!$K$41,0,IF($U60=0,0,IF($U60&lt;1,1/$U60,IF((FG$56-Voorblad!$F$41)/$U60-SUM($EE60:FF60)=1,1,0))))</f>
        <v>0</v>
      </c>
      <c r="FH60" s="8">
        <f>IF(FH$56-Voorblad!$F$41&gt;Voorblad!$K$41,0,IF($U60=0,0,IF($U60&lt;1,1/$U60,IF((FH$56-Voorblad!$F$41)/$U60-SUM($EE60:FG60)=1,1,0))))</f>
        <v>0</v>
      </c>
      <c r="FI60" s="8">
        <f>IF(FI$56-Voorblad!$F$41&gt;Voorblad!$K$41,0,IF($U60=0,0,IF($U60&lt;1,1/$U60,IF((FI$56-Voorblad!$F$41)/$U60-SUM($EE60:FH60)=1,1,0))))</f>
        <v>0</v>
      </c>
      <c r="FJ60" s="8">
        <f>IF(FJ$56-Voorblad!$F$41&gt;Voorblad!$K$41,0,IF($U60=0,0,IF($U60&lt;1,1/$U60,IF((FJ$56-Voorblad!$F$41)/$U60-SUM($EE60:FI60)=1,1,0))))</f>
        <v>1</v>
      </c>
      <c r="FK60" s="8">
        <f>IF(FK$56-Voorblad!$F$41&gt;Voorblad!$K$41,0,IF($U60=0,0,IF($U60&lt;1,1/$U60,IF((FK$56-Voorblad!$F$41)/$U60-SUM($EE60:FJ60)=1,1,0))))</f>
        <v>0</v>
      </c>
      <c r="FL60" s="8">
        <f>IF(FL$56-Voorblad!$F$41&gt;Voorblad!$K$41,0,IF($U60=0,0,IF($U60&lt;1,1/$U60,IF((FL$56-Voorblad!$F$41)/$U60-SUM($EE60:FK60)=1,1,0))))</f>
        <v>0</v>
      </c>
      <c r="FM60" s="8">
        <f>IF(FM$56-Voorblad!$F$41&gt;Voorblad!$K$41,0,IF($U60=0,0,IF($U60&lt;1,1/$U60,IF((FM$56-Voorblad!$F$41)/$U60-SUM($EE60:FL60)=1,1,0))))</f>
        <v>0</v>
      </c>
      <c r="FN60" s="8">
        <f>IF(FN$56-Voorblad!$F$41&gt;Voorblad!$K$41,0,IF($U60=0,0,IF($U60&lt;1,1/$U60,IF((FN$56-Voorblad!$F$41)/$U60-SUM($EE60:FM60)=1,1,0))))</f>
        <v>0</v>
      </c>
      <c r="FO60" s="8">
        <f>IF(FO$56-Voorblad!$F$41&gt;Voorblad!$K$41,0,IF($U60=0,0,IF($U60&lt;1,1/$U60,IF((FO$56-Voorblad!$F$41)/$U60-SUM($EE60:FN60)=1,1,0))))</f>
        <v>0</v>
      </c>
      <c r="FP60" s="8">
        <f>IF(FP$56-Voorblad!$F$41&gt;Voorblad!$K$41,0,IF($U60=0,0,IF($U60&lt;1,1/$U60,IF((FP$56-Voorblad!$F$41)/$U60-SUM($EE60:FO60)=1,1,0))))</f>
        <v>0</v>
      </c>
      <c r="FQ60" s="8">
        <f>IF(FQ$56-Voorblad!$F$41&gt;Voorblad!$K$41,0,IF($U60=0,0,IF($U60&lt;1,1/$U60,IF((FQ$56-Voorblad!$F$41)/$U60-SUM($EE60:FP60)=1,1,0))))</f>
        <v>0</v>
      </c>
      <c r="FR60" s="8">
        <f>IF(FR$56-Voorblad!$F$41&gt;Voorblad!$K$41,0,IF($U60=0,0,IF($U60&lt;1,1/$U60,IF((FR$56-Voorblad!$F$41)/$U60-SUM($EE60:FQ60)=1,1,0))))</f>
        <v>0</v>
      </c>
      <c r="FS60" s="8">
        <f>IF(FS$56-Voorblad!$F$41&gt;Voorblad!$K$41,0,IF($U60=0,0,IF($U60&lt;1,1/$U60,IF((FS$56-Voorblad!$F$41)/$U60-SUM($EE60:FR60)=1,1,0))))</f>
        <v>0</v>
      </c>
      <c r="FT60" s="8">
        <f>IF(FT$56-Voorblad!$F$41&gt;Voorblad!$K$41,0,IF($U60=0,0,IF($U60&lt;1,1/$U60,IF((FT$56-Voorblad!$F$41)/$U60-SUM($EE60:FS60)=1,1,0))))</f>
        <v>1</v>
      </c>
      <c r="FU60" s="8">
        <f>IF(FU$56-Voorblad!$F$41&gt;Voorblad!$K$41,0,IF($U60=0,0,IF($U60&lt;1,1/$U60,IF((FU$56-Voorblad!$F$41)/$U60-SUM($EE60:FT60)=1,1,0))))</f>
        <v>0</v>
      </c>
      <c r="FV60" s="8">
        <f>IF(FV$56-Voorblad!$F$41&gt;Voorblad!$K$41,0,IF($U60=0,0,IF($U60&lt;1,1/$U60,IF((FV$56-Voorblad!$F$41)/$U60-SUM($EE60:FU60)=1,1,0))))</f>
        <v>0</v>
      </c>
      <c r="FW60" s="8">
        <f>IF(FW$56-Voorblad!$F$41&gt;Voorblad!$K$41,0,IF($U60=0,0,IF($U60&lt;1,1/$U60,IF((FW$56-Voorblad!$F$41)/$U60-SUM($EE60:FV60)=1,1,0))))</f>
        <v>0</v>
      </c>
      <c r="FX60" s="8">
        <f>IF(FX$56-Voorblad!$F$41&gt;Voorblad!$K$41,0,IF($U60=0,0,IF($U60&lt;1,1/$U60,IF((FX$56-Voorblad!$F$41)/$U60-SUM($EE60:FW60)=1,1,0))))</f>
        <v>0</v>
      </c>
      <c r="FY60" s="8">
        <f>IF(FY$56-Voorblad!$F$41&gt;Voorblad!$K$41,0,IF($U60=0,0,IF($U60&lt;1,1/$U60,IF((FY$56-Voorblad!$F$41)/$U60-SUM($EE60:FX60)=1,1,0))))</f>
        <v>0</v>
      </c>
      <c r="FZ60" s="8">
        <f>IF(FZ$56-Voorblad!$F$41&gt;Voorblad!$K$41,0,IF($U60=0,0,IF($U60&lt;1,1/$U60,IF((FZ$56-Voorblad!$F$41)/$U60-SUM($EE60:FY60)=1,1,0))))</f>
        <v>0</v>
      </c>
      <c r="GA60" s="8">
        <f>IF(GA$56-Voorblad!$F$41&gt;Voorblad!$K$41,0,IF($U60=0,0,IF($U60&lt;1,1/$U60,IF((GA$56-Voorblad!$F$41)/$U60-SUM($EE60:FZ60)=1,1,0))))</f>
        <v>0</v>
      </c>
      <c r="GB60" s="8">
        <f>IF(GB$56-Voorblad!$F$41&gt;Voorblad!$K$41,0,IF($U60=0,0,IF($U60&lt;1,1/$U60,IF((GB$56-Voorblad!$F$41)/$U60-SUM($EE60:GA60)=1,1,0))))</f>
        <v>0</v>
      </c>
      <c r="GC60" s="8">
        <f>IF(GC$56-Voorblad!$F$41&gt;Voorblad!$K$41,0,IF($U60=0,0,IF($U60&lt;1,1/$U60,IF((GC$56-Voorblad!$F$41)/$U60-SUM($EE60:GB60)=1,1,0))))</f>
        <v>0</v>
      </c>
      <c r="GD60" s="8">
        <f>IF(GD$56-Voorblad!$F$41&gt;Voorblad!$K$41,0,IF($U60=0,0,IF($U60&lt;1,1/$U60,IF((GD$56-Voorblad!$F$41)/$U60-SUM($EE60:GC60)=1,1,0))))</f>
        <v>1</v>
      </c>
      <c r="GE60" s="8">
        <f>IF(GE$56-Voorblad!$F$41&gt;Voorblad!$K$41,0,IF($U60=0,0,IF($U60&lt;1,1/$U60,IF((GE$56-Voorblad!$F$41)/$U60-SUM($EE60:GD60)=1,1,0))))</f>
        <v>0</v>
      </c>
      <c r="GF60" s="8">
        <f>IF(GF$56-Voorblad!$F$41&gt;Voorblad!$K$41,0,IF($U60=0,0,IF($U60&lt;1,1/$U60,IF((GF$56-Voorblad!$F$41)/$U60-SUM($EE60:GE60)=1,1,0))))</f>
        <v>0</v>
      </c>
      <c r="GG60" s="8">
        <f>IF(GG$56-Voorblad!$F$41&gt;Voorblad!$K$41,0,IF($U60=0,0,IF($U60&lt;1,1/$U60,IF((GG$56-Voorblad!$F$41)/$U60-SUM($EE60:GF60)=1,1,0))))</f>
        <v>0</v>
      </c>
      <c r="GH60" s="8">
        <f>IF(GH$56-Voorblad!$F$41&gt;Voorblad!$K$41,0,IF($U60=0,0,IF($U60&lt;1,1/$U60,IF((GH$56-Voorblad!$F$41)/$U60-SUM($EE60:GG60)=1,1,0))))</f>
        <v>0</v>
      </c>
      <c r="GI60" s="8">
        <f>IF(GI$56-Voorblad!$F$41&gt;Voorblad!$K$41,0,IF($U60=0,0,IF($U60&lt;1,1/$U60,IF((GI$56-Voorblad!$F$41)/$U60-SUM($EE60:GH60)=1,1,0))))</f>
        <v>0</v>
      </c>
      <c r="GJ60" s="8">
        <f>IF(GJ$56-Voorblad!$F$41&gt;Voorblad!$K$41,0,IF($U60=0,0,IF($U60&lt;1,1/$U60,IF((GJ$56-Voorblad!$F$41)/$U60-SUM($EE60:GI60)=1,1,0))))</f>
        <v>0</v>
      </c>
      <c r="GK60" s="8">
        <f>IF(GK$56-Voorblad!$F$41&gt;Voorblad!$K$41,0,IF($U60=0,0,IF($U60&lt;1,1/$U60,IF((GK$56-Voorblad!$F$41)/$U60-SUM($EE60:GJ60)=1,1,0))))</f>
        <v>0</v>
      </c>
      <c r="GL60" s="8">
        <f>IF(GL$56-Voorblad!$F$41&gt;Voorblad!$K$41,0,IF($U60=0,0,IF($U60&lt;1,1/$U60,IF((GL$56-Voorblad!$F$41)/$U60-SUM($EE60:GK60)=1,1,0))))</f>
        <v>0</v>
      </c>
      <c r="GM60" s="8">
        <f>IF(GM$56-Voorblad!$F$41&gt;Voorblad!$K$41,0,IF($U60=0,0,IF($U60&lt;1,1/$U60,IF((GM$56-Voorblad!$F$41)/$U60-SUM($EE60:GL60)=1,1,0))))</f>
        <v>0</v>
      </c>
      <c r="GN60" s="8">
        <f>IF(GN$56-Voorblad!$F$41&gt;Voorblad!$K$41,0,IF($U60=0,0,IF($U60&lt;1,1/$U60,IF((GN$56-Voorblad!$F$41)/$U60-SUM($EE60:GM60)=1,1,0))))</f>
        <v>1</v>
      </c>
      <c r="GO60" s="8">
        <f>IF(GO$56-Voorblad!$F$41&gt;Voorblad!$K$41,0,IF($U60=0,0,IF($U60&lt;1,1/$U60,IF((GO$56-Voorblad!$F$41)/$U60-SUM($EE60:GN60)=1,1,0))))</f>
        <v>0</v>
      </c>
      <c r="GP60" s="8">
        <f>IF(GP$56-Voorblad!$F$41&gt;Voorblad!$K$41,0,IF($U60=0,0,IF($U60&lt;1,1/$U60,IF((GP$56-Voorblad!$F$41)/$U60-SUM($EE60:GO60)=1,1,0))))</f>
        <v>0</v>
      </c>
      <c r="GQ60" s="8">
        <f>IF(GQ$56-Voorblad!$F$41&gt;Voorblad!$K$41,0,IF($U60=0,0,IF($U60&lt;1,1/$U60,IF((GQ$56-Voorblad!$F$41)/$U60-SUM($EE60:GP60)=1,1,0))))</f>
        <v>0</v>
      </c>
      <c r="GR60" s="8">
        <f>IF(GR$56-Voorblad!$F$41&gt;Voorblad!$K$41,0,IF($U60=0,0,IF($U60&lt;1,1/$U60,IF((GR$56-Voorblad!$F$41)/$U60-SUM($EE60:GQ60)=1,1,0))))</f>
        <v>0</v>
      </c>
      <c r="GS60" s="8">
        <f>IF(GS$56-Voorblad!$F$41&gt;Voorblad!$K$41,0,IF($U60=0,0,IF($U60&lt;1,1/$U60,IF((GS$56-Voorblad!$F$41)/$U60-SUM($EE60:GR60)=1,1,0))))</f>
        <v>0</v>
      </c>
      <c r="GT60" s="8">
        <f>IF(GT$56-Voorblad!$F$41&gt;Voorblad!$K$41,0,IF($U60=0,0,IF($U60&lt;1,1/$U60,IF((GT$56-Voorblad!$F$41)/$U60-SUM($EE60:GS60)=1,1,0))))</f>
        <v>0</v>
      </c>
      <c r="GU60" s="8">
        <f>IF(GU$56-Voorblad!$F$41&gt;Voorblad!$K$41,0,IF($U60=0,0,IF($U60&lt;1,1/$U60,IF((GU$56-Voorblad!$F$41)/$U60-SUM($EE60:GT60)=1,1,0))))</f>
        <v>0</v>
      </c>
      <c r="GV60" s="8">
        <f>IF(GV$56-Voorblad!$F$41&gt;Voorblad!$K$41,0,IF($U60=0,0,IF($U60&lt;1,1/$U60,IF((GV$56-Voorblad!$F$41)/$U60-SUM($EE60:GU60)=1,1,0))))</f>
        <v>0</v>
      </c>
      <c r="GW60" s="8">
        <f>IF(GW$56-Voorblad!$F$41&gt;Voorblad!$K$41,0,IF($U60=0,0,IF($U60&lt;1,1/$U60,IF((GW$56-Voorblad!$F$41)/$U60-SUM($EE60:GV60)=1,1,0))))</f>
        <v>0</v>
      </c>
      <c r="GX60" s="8">
        <f>IF(GX$56-Voorblad!$F$41&gt;Voorblad!$K$41,0,IF($U60=0,0,IF($U60&lt;1,1/$U60,IF((GX$56-Voorblad!$F$41)/$U60-SUM($EE60:GW60)=1,1,0))))</f>
        <v>1</v>
      </c>
      <c r="GY60" s="8">
        <f>IF(GY$56-Voorblad!$F$41&gt;Voorblad!$K$41,0,IF($U60=0,0,IF($U60&lt;1,1/$U60,IF((GY$56-Voorblad!$F$41)/$U60-SUM($EE60:GX60)=1,1,0))))</f>
        <v>0</v>
      </c>
      <c r="GZ60" s="8">
        <f>IF(GZ$56-Voorblad!$F$41&gt;Voorblad!$K$41,0,IF($U60=0,0,IF($U60&lt;1,1/$U60,IF((GZ$56-Voorblad!$F$41)/$U60-SUM($EE60:GY60)=1,1,0))))</f>
        <v>0</v>
      </c>
      <c r="HA60" s="8">
        <f>IF(HA$56-Voorblad!$F$41&gt;Voorblad!$K$41,0,IF($U60=0,0,IF($U60&lt;1,1/$U60,IF((HA$56-Voorblad!$F$41)/$U60-SUM($EE60:GZ60)=1,1,0))))</f>
        <v>0</v>
      </c>
      <c r="HB60" s="8">
        <f>IF(HB$56-Voorblad!$F$41&gt;Voorblad!$K$41,0,IF($U60=0,0,IF($U60&lt;1,1/$U60,IF((HB$56-Voorblad!$F$41)/$U60-SUM($EE60:HA60)=1,1,0))))</f>
        <v>0</v>
      </c>
      <c r="HC60" s="8">
        <f>IF(HC$56-Voorblad!$F$41&gt;Voorblad!$K$41,0,IF($U60=0,0,IF($U60&lt;1,1/$U60,IF((HC$56-Voorblad!$F$41)/$U60-SUM($EE60:HB60)=1,1,0))))</f>
        <v>0</v>
      </c>
      <c r="HD60" s="8">
        <f>IF(HD$56-Voorblad!$F$41&gt;Voorblad!$K$41,0,IF($U60=0,0,IF($U60&lt;1,1/$U60,IF((HD$56-Voorblad!$F$41)/$U60-SUM($EE60:HC60)=1,1,0))))</f>
        <v>0</v>
      </c>
      <c r="HE60" s="8">
        <f>IF(HE$56-Voorblad!$F$41&gt;Voorblad!$K$41,0,IF($U60=0,0,IF($U60&lt;1,1/$U60,IF((HE$56-Voorblad!$F$41)/$U60-SUM($EE60:HD60)=1,1,0))))</f>
        <v>0</v>
      </c>
      <c r="HF60" s="8">
        <f>IF(HF$56-Voorblad!$F$41&gt;Voorblad!$K$41,0,IF($U60=0,0,IF($U60&lt;1,1/$U60,IF((HF$56-Voorblad!$F$41)/$U60-SUM($EE60:HE60)=1,1,0))))</f>
        <v>0</v>
      </c>
      <c r="HG60" s="8">
        <f>IF(HG$56-Voorblad!$F$41&gt;Voorblad!$K$41,0,IF($U60=0,0,IF($U60&lt;1,1/$U60,IF((HG$56-Voorblad!$F$41)/$U60-SUM($EE60:HF60)=1,1,0))))</f>
        <v>0</v>
      </c>
      <c r="HH60" s="8">
        <f>IF(HH$56-Voorblad!$F$41&gt;Voorblad!$K$41,0,IF($U60=0,0,IF($U60&lt;1,1/$U60,IF((HH$56-Voorblad!$F$41)/$U60-SUM($EE60:HG60)=1,1,0))))</f>
        <v>0</v>
      </c>
      <c r="HI60" s="8">
        <f>IF(HI$56-Voorblad!$F$41&gt;Voorblad!$K$41,0,IF($U60=0,0,IF($U60&lt;1,1/$U60,IF((HI$56-Voorblad!$F$41)/$U60-SUM($EE60:HH60)=1,1,0))))</f>
        <v>0</v>
      </c>
      <c r="HJ60" s="8">
        <f>IF(HJ$56-Voorblad!$F$41&gt;Voorblad!$K$41,0,IF($U60=0,0,IF($U60&lt;1,1/$U60,IF((HJ$56-Voorblad!$F$41)/$U60-SUM($EE60:HI60)=1,1,0))))</f>
        <v>0</v>
      </c>
      <c r="HK60" s="8">
        <f>IF(HK$56-Voorblad!$F$41&gt;Voorblad!$K$41,0,IF($U60=0,0,IF($U60&lt;1,1/$U60,IF((HK$56-Voorblad!$F$41)/$U60-SUM($EE60:HJ60)=1,1,0))))</f>
        <v>0</v>
      </c>
      <c r="HL60" s="8">
        <f>IF(HL$56-Voorblad!$F$41&gt;Voorblad!$K$41,0,IF($U60=0,0,IF($U60&lt;1,1/$U60,IF((HL$56-Voorblad!$F$41)/$U60-SUM($EE60:HK60)=1,1,0))))</f>
        <v>0</v>
      </c>
      <c r="HM60" s="8">
        <f>IF(HM$56-Voorblad!$F$41&gt;Voorblad!$K$41,0,IF($U60=0,0,IF($U60&lt;1,1/$U60,IF((HM$56-Voorblad!$F$41)/$U60-SUM($EE60:HL60)=1,1,0))))</f>
        <v>0</v>
      </c>
      <c r="HN60" s="8">
        <f>IF(HN$56-Voorblad!$F$41&gt;Voorblad!$K$41,0,IF($U60=0,0,IF($U60&lt;1,1/$U60,IF((HN$56-Voorblad!$F$41)/$U60-SUM($EE60:HM60)=1,1,0))))</f>
        <v>0</v>
      </c>
      <c r="HO60" s="8">
        <f>IF(HO$56-Voorblad!$F$41&gt;Voorblad!$K$41,0,IF($U60=0,0,IF($U60&lt;1,1/$U60,IF((HO$56-Voorblad!$F$41)/$U60-SUM($EE60:HN60)=1,1,0))))</f>
        <v>0</v>
      </c>
      <c r="HP60" s="8">
        <f>IF(HP$56-Voorblad!$F$41&gt;Voorblad!$K$41,0,IF($U60=0,0,IF($U60&lt;1,1/$U60,IF((HP$56-Voorblad!$F$41)/$U60-SUM($EE60:HO60)=1,1,0))))</f>
        <v>0</v>
      </c>
      <c r="HQ60" s="8">
        <f>IF(HQ$56-Voorblad!$F$41&gt;Voorblad!$K$41,0,IF($U60=0,0,IF($U60&lt;1,1/$U60,IF((HQ$56-Voorblad!$F$41)/$U60-SUM($EE60:HP60)=1,1,0))))</f>
        <v>0</v>
      </c>
      <c r="HR60" s="8">
        <f>IF(HR$56-Voorblad!$F$41&gt;Voorblad!$K$41,0,IF($U60=0,0,IF($U60&lt;1,1/$U60,IF((HR$56-Voorblad!$F$41)/$U60-SUM($EE60:HQ60)=1,1,0))))</f>
        <v>0</v>
      </c>
      <c r="HS60" s="8">
        <f>IF(HS$56-Voorblad!$F$41&gt;Voorblad!$K$41,0,IF($U60=0,0,IF($U60&lt;1,1/$U60,IF((HS$56-Voorblad!$F$41)/$U60-SUM($EE60:HR60)=1,1,0))))</f>
        <v>0</v>
      </c>
      <c r="HT60" s="8">
        <f>IF(HT$56-Voorblad!$F$41&gt;Voorblad!$K$41,0,IF($U60=0,0,IF($U60&lt;1,1/$U60,IF((HT$56-Voorblad!$F$41)/$U60-SUM($EE60:HS60)=1,1,0))))</f>
        <v>0</v>
      </c>
      <c r="HU60" s="8">
        <f>IF(HU$56-Voorblad!$F$41&gt;Voorblad!$K$41,0,IF($U60=0,0,IF($U60&lt;1,1/$U60,IF((HU$56-Voorblad!$F$41)/$U60-SUM($EE60:HT60)=1,1,0))))</f>
        <v>0</v>
      </c>
      <c r="HV60" s="8">
        <f>IF(HV$56-Voorblad!$F$41&gt;Voorblad!$K$41,0,IF($U60=0,0,IF($U60&lt;1,1/$U60,IF((HV$56-Voorblad!$F$41)/$U60-SUM($EE60:HU60)=1,1,0))))</f>
        <v>0</v>
      </c>
      <c r="HW60" s="8">
        <f>IF(HW$56-Voorblad!$F$41&gt;Voorblad!$K$41,0,IF($U60=0,0,IF($U60&lt;1,1/$U60,IF((HW$56-Voorblad!$F$41)/$U60-SUM($EE60:HV60)=1,1,0))))</f>
        <v>0</v>
      </c>
      <c r="HX60" s="8">
        <f>IF(HX$56-Voorblad!$F$41&gt;Voorblad!$K$41,0,IF($U60=0,0,IF($U60&lt;1,1/$U60,IF((HX$56-Voorblad!$F$41)/$U60-SUM($EE60:HW60)=1,1,0))))</f>
        <v>0</v>
      </c>
      <c r="HY60" s="8">
        <f>IF(HY$56-Voorblad!$F$41&gt;Voorblad!$K$41,0,IF($U60=0,0,IF($U60&lt;1,1/$U60,IF((HY$56-Voorblad!$F$41)/$U60-SUM($EE60:HX60)=1,1,0))))</f>
        <v>0</v>
      </c>
      <c r="HZ60" s="8">
        <f>IF(HZ$56-Voorblad!$F$41&gt;Voorblad!$K$41,0,IF($U60=0,0,IF($U60&lt;1,1/$U60,IF((HZ$56-Voorblad!$F$41)/$U60-SUM($EE60:HY60)=1,1,0))))</f>
        <v>0</v>
      </c>
      <c r="IA60" s="8">
        <f>IF(IA$56-Voorblad!$F$41&gt;Voorblad!$K$41,0,IF($U60=0,0,IF($U60&lt;1,1/$U60,IF((IA$56-Voorblad!$F$41)/$U60-SUM($EE60:HZ60)=1,1,0))))</f>
        <v>0</v>
      </c>
      <c r="IB60" s="8">
        <f>IF(IB$56-Voorblad!$F$41&gt;Voorblad!$K$41,0,IF($U60=0,0,IF($U60&lt;1,1/$U60,IF((IB$56-Voorblad!$F$41)/$U60-SUM($EE60:IA60)=1,1,0))))</f>
        <v>0</v>
      </c>
    </row>
    <row r="61" spans="2:236" ht="12" hidden="1" customHeight="1" outlineLevel="1" x14ac:dyDescent="0.25">
      <c r="B61" s="1">
        <v>3</v>
      </c>
      <c r="F61" s="1" t="s">
        <v>23</v>
      </c>
      <c r="I61" s="1" t="s">
        <v>277</v>
      </c>
      <c r="K61" s="1" t="s">
        <v>145</v>
      </c>
      <c r="N61" s="3"/>
      <c r="Q61" s="81">
        <v>0</v>
      </c>
      <c r="R61" s="1" t="s">
        <v>34</v>
      </c>
      <c r="S61" s="21">
        <f>$H$20*15</f>
        <v>26.55</v>
      </c>
      <c r="T61" s="1">
        <f t="shared" si="10"/>
        <v>0</v>
      </c>
      <c r="U61" s="14">
        <v>0.5</v>
      </c>
      <c r="V61" s="14"/>
      <c r="Y61" s="9">
        <f>SUM(AE61:EB61)</f>
        <v>0</v>
      </c>
      <c r="Z61" s="82"/>
      <c r="AA61" s="82"/>
      <c r="AC61" s="9">
        <f>$Y61*(Voorblad!$K$44*(1+Voorblad!$K$44)^Voorblad!$K$41)/((1+Voorblad!$K$44)^Voorblad!$K$41-1)</f>
        <v>0</v>
      </c>
      <c r="AE61" s="9">
        <f>EF61*($Q61*$S61)/(1+Voorblad!$K$44)^(AE$56-Voorblad!$F$41)</f>
        <v>0</v>
      </c>
      <c r="AF61" s="9">
        <f>EG61*($Q61*$S61)/(1+Voorblad!$K$44)^(AF$56-Voorblad!$F$41)</f>
        <v>0</v>
      </c>
      <c r="AG61" s="9">
        <f>EH61*($Q61*$S61)/(1+Voorblad!$K$44)^(AG$56-Voorblad!$F$41)</f>
        <v>0</v>
      </c>
      <c r="AH61" s="9">
        <f>EI61*($Q61*$S61)/(1+Voorblad!$K$44)^(AH$56-Voorblad!$F$41)</f>
        <v>0</v>
      </c>
      <c r="AI61" s="9">
        <f>EJ61*($Q61*$S61)/(1+Voorblad!$K$44)^(AI$56-Voorblad!$F$41)</f>
        <v>0</v>
      </c>
      <c r="AJ61" s="9">
        <f>EK61*($Q61*$S61)/(1+Voorblad!$K$44)^(AJ$56-Voorblad!$F$41)</f>
        <v>0</v>
      </c>
      <c r="AK61" s="9">
        <f>EL61*($Q61*$S61)/(1+Voorblad!$K$44)^(AK$56-Voorblad!$F$41)</f>
        <v>0</v>
      </c>
      <c r="AL61" s="9">
        <f>EM61*($Q61*$S61)/(1+Voorblad!$K$44)^(AL$56-Voorblad!$F$41)</f>
        <v>0</v>
      </c>
      <c r="AM61" s="9">
        <f>EN61*($Q61*$S61)/(1+Voorblad!$K$44)^(AM$56-Voorblad!$F$41)</f>
        <v>0</v>
      </c>
      <c r="AN61" s="9">
        <f>EO61*($Q61*$S61)/(1+Voorblad!$K$44)^(AN$56-Voorblad!$F$41)</f>
        <v>0</v>
      </c>
      <c r="AO61" s="9">
        <f>EP61*($Q61*$S61)/(1+Voorblad!$K$44)^(AO$56-Voorblad!$F$41)</f>
        <v>0</v>
      </c>
      <c r="AP61" s="9">
        <f>EQ61*($Q61*$S61)/(1+Voorblad!$K$44)^(AP$56-Voorblad!$F$41)</f>
        <v>0</v>
      </c>
      <c r="AQ61" s="9">
        <f>ER61*($Q61*$S61)/(1+Voorblad!$K$44)^(AQ$56-Voorblad!$F$41)</f>
        <v>0</v>
      </c>
      <c r="AR61" s="9">
        <f>ES61*($Q61*$S61)/(1+Voorblad!$K$44)^(AR$56-Voorblad!$F$41)</f>
        <v>0</v>
      </c>
      <c r="AS61" s="9">
        <f>ET61*($Q61*$S61)/(1+Voorblad!$K$44)^(AS$56-Voorblad!$F$41)</f>
        <v>0</v>
      </c>
      <c r="AT61" s="9">
        <f>EU61*($Q61*$S61)/(1+Voorblad!$K$44)^(AT$56-Voorblad!$F$41)</f>
        <v>0</v>
      </c>
      <c r="AU61" s="9">
        <f>EV61*($Q61*$S61)/(1+Voorblad!$K$44)^(AU$56-Voorblad!$F$41)</f>
        <v>0</v>
      </c>
      <c r="AV61" s="9">
        <f>EW61*($Q61*$S61)/(1+Voorblad!$K$44)^(AV$56-Voorblad!$F$41)</f>
        <v>0</v>
      </c>
      <c r="AW61" s="9">
        <f>EX61*($Q61*$S61)/(1+Voorblad!$K$44)^(AW$56-Voorblad!$F$41)</f>
        <v>0</v>
      </c>
      <c r="AX61" s="9">
        <f>EY61*($Q61*$S61)/(1+Voorblad!$K$44)^(AX$56-Voorblad!$F$41)</f>
        <v>0</v>
      </c>
      <c r="AY61" s="9">
        <f>EZ61*($Q61*$S61)/(1+Voorblad!$K$44)^(AY$56-Voorblad!$F$41)</f>
        <v>0</v>
      </c>
      <c r="AZ61" s="9">
        <f>FA61*($Q61*$S61)/(1+Voorblad!$K$44)^(AZ$56-Voorblad!$F$41)</f>
        <v>0</v>
      </c>
      <c r="BA61" s="9">
        <f>FB61*($Q61*$S61)/(1+Voorblad!$K$44)^(BA$56-Voorblad!$F$41)</f>
        <v>0</v>
      </c>
      <c r="BB61" s="9">
        <f>FC61*($Q61*$S61)/(1+Voorblad!$K$44)^(BB$56-Voorblad!$F$41)</f>
        <v>0</v>
      </c>
      <c r="BC61" s="9">
        <f>FD61*($Q61*$S61)/(1+Voorblad!$K$44)^(BC$56-Voorblad!$F$41)</f>
        <v>0</v>
      </c>
      <c r="BD61" s="9">
        <f>FE61*($Q61*$S61)/(1+Voorblad!$K$44)^(BD$56-Voorblad!$F$41)</f>
        <v>0</v>
      </c>
      <c r="BE61" s="9">
        <f>FF61*($Q61*$S61)/(1+Voorblad!$K$44)^(BE$56-Voorblad!$F$41)</f>
        <v>0</v>
      </c>
      <c r="BF61" s="9">
        <f>FG61*($Q61*$S61)/(1+Voorblad!$K$44)^(BF$56-Voorblad!$F$41)</f>
        <v>0</v>
      </c>
      <c r="BG61" s="9">
        <f>FH61*($Q61*$S61)/(1+Voorblad!$K$44)^(BG$56-Voorblad!$F$41)</f>
        <v>0</v>
      </c>
      <c r="BH61" s="9">
        <f>FI61*($Q61*$S61)/(1+Voorblad!$K$44)^(BH$56-Voorblad!$F$41)</f>
        <v>0</v>
      </c>
      <c r="BI61" s="9">
        <f>FJ61*($Q61*$S61)/(1+Voorblad!$K$44)^(BI$56-Voorblad!$F$41)</f>
        <v>0</v>
      </c>
      <c r="BJ61" s="9">
        <f>FK61*($Q61*$S61)/(1+Voorblad!$K$44)^(BJ$56-Voorblad!$F$41)</f>
        <v>0</v>
      </c>
      <c r="BK61" s="9">
        <f>FL61*($Q61*$S61)/(1+Voorblad!$K$44)^(BK$56-Voorblad!$F$41)</f>
        <v>0</v>
      </c>
      <c r="BL61" s="9">
        <f>FM61*($Q61*$S61)/(1+Voorblad!$K$44)^(BL$56-Voorblad!$F$41)</f>
        <v>0</v>
      </c>
      <c r="BM61" s="9">
        <f>FN61*($Q61*$S61)/(1+Voorblad!$K$44)^(BM$56-Voorblad!$F$41)</f>
        <v>0</v>
      </c>
      <c r="BN61" s="9">
        <f>FO61*($Q61*$S61)/(1+Voorblad!$K$44)^(BN$56-Voorblad!$F$41)</f>
        <v>0</v>
      </c>
      <c r="BO61" s="9">
        <f>FP61*($Q61*$S61)/(1+Voorblad!$K$44)^(BO$56-Voorblad!$F$41)</f>
        <v>0</v>
      </c>
      <c r="BP61" s="9">
        <f>FQ61*($Q61*$S61)/(1+Voorblad!$K$44)^(BP$56-Voorblad!$F$41)</f>
        <v>0</v>
      </c>
      <c r="BQ61" s="9">
        <f>FR61*($Q61*$S61)/(1+Voorblad!$K$44)^(BQ$56-Voorblad!$F$41)</f>
        <v>0</v>
      </c>
      <c r="BR61" s="9">
        <f>FS61*($Q61*$S61)/(1+Voorblad!$K$44)^(BR$56-Voorblad!$F$41)</f>
        <v>0</v>
      </c>
      <c r="BS61" s="9">
        <f>FT61*($Q61*$S61)/(1+Voorblad!$K$44)^(BS$56-Voorblad!$F$41)</f>
        <v>0</v>
      </c>
      <c r="BT61" s="9">
        <f>FU61*($Q61*$S61)/(1+Voorblad!$K$44)^(BT$56-Voorblad!$F$41)</f>
        <v>0</v>
      </c>
      <c r="BU61" s="9">
        <f>FV61*($Q61*$S61)/(1+Voorblad!$K$44)^(BU$56-Voorblad!$F$41)</f>
        <v>0</v>
      </c>
      <c r="BV61" s="9">
        <f>FW61*($Q61*$S61)/(1+Voorblad!$K$44)^(BV$56-Voorblad!$F$41)</f>
        <v>0</v>
      </c>
      <c r="BW61" s="9">
        <f>FX61*($Q61*$S61)/(1+Voorblad!$K$44)^(BW$56-Voorblad!$F$41)</f>
        <v>0</v>
      </c>
      <c r="BX61" s="9">
        <f>FY61*($Q61*$S61)/(1+Voorblad!$K$44)^(BX$56-Voorblad!$F$41)</f>
        <v>0</v>
      </c>
      <c r="BY61" s="9">
        <f>FZ61*($Q61*$S61)/(1+Voorblad!$K$44)^(BY$56-Voorblad!$F$41)</f>
        <v>0</v>
      </c>
      <c r="BZ61" s="9">
        <f>GA61*($Q61*$S61)/(1+Voorblad!$K$44)^(BZ$56-Voorblad!$F$41)</f>
        <v>0</v>
      </c>
      <c r="CA61" s="9">
        <f>GB61*($Q61*$S61)/(1+Voorblad!$K$44)^(CA$56-Voorblad!$F$41)</f>
        <v>0</v>
      </c>
      <c r="CB61" s="9">
        <f>GC61*($Q61*$S61)/(1+Voorblad!$K$44)^(CB$56-Voorblad!$F$41)</f>
        <v>0</v>
      </c>
      <c r="CC61" s="9">
        <f>GD61*($Q61*$S61)/(1+Voorblad!$K$44)^(CC$56-Voorblad!$F$41)</f>
        <v>0</v>
      </c>
      <c r="CD61" s="9">
        <f>GE61*($Q61*$S61)/(1+Voorblad!$K$44)^(CD$56-Voorblad!$F$41)</f>
        <v>0</v>
      </c>
      <c r="CE61" s="9">
        <f>GF61*($Q61*$S61)/(1+Voorblad!$K$44)^(CE$56-Voorblad!$F$41)</f>
        <v>0</v>
      </c>
      <c r="CF61" s="9">
        <f>GG61*($Q61*$S61)/(1+Voorblad!$K$44)^(CF$56-Voorblad!$F$41)</f>
        <v>0</v>
      </c>
      <c r="CG61" s="9">
        <f>GH61*($Q61*$S61)/(1+Voorblad!$K$44)^(CG$56-Voorblad!$F$41)</f>
        <v>0</v>
      </c>
      <c r="CH61" s="9">
        <f>GI61*($Q61*$S61)/(1+Voorblad!$K$44)^(CH$56-Voorblad!$F$41)</f>
        <v>0</v>
      </c>
      <c r="CI61" s="9">
        <f>GJ61*($Q61*$S61)/(1+Voorblad!$K$44)^(CI$56-Voorblad!$F$41)</f>
        <v>0</v>
      </c>
      <c r="CJ61" s="9">
        <f>GK61*($Q61*$S61)/(1+Voorblad!$K$44)^(CJ$56-Voorblad!$F$41)</f>
        <v>0</v>
      </c>
      <c r="CK61" s="9">
        <f>GL61*($Q61*$S61)/(1+Voorblad!$K$44)^(CK$56-Voorblad!$F$41)</f>
        <v>0</v>
      </c>
      <c r="CL61" s="9">
        <f>GM61*($Q61*$S61)/(1+Voorblad!$K$44)^(CL$56-Voorblad!$F$41)</f>
        <v>0</v>
      </c>
      <c r="CM61" s="9">
        <f>GN61*($Q61*$S61)/(1+Voorblad!$K$44)^(CM$56-Voorblad!$F$41)</f>
        <v>0</v>
      </c>
      <c r="CN61" s="9">
        <f>GO61*($Q61*$S61)/(1+Voorblad!$K$44)^(CN$56-Voorblad!$F$41)</f>
        <v>0</v>
      </c>
      <c r="CO61" s="9">
        <f>GP61*($Q61*$S61)/(1+Voorblad!$K$44)^(CO$56-Voorblad!$F$41)</f>
        <v>0</v>
      </c>
      <c r="CP61" s="9">
        <f>GQ61*($Q61*$S61)/(1+Voorblad!$K$44)^(CP$56-Voorblad!$F$41)</f>
        <v>0</v>
      </c>
      <c r="CQ61" s="9">
        <f>GR61*($Q61*$S61)/(1+Voorblad!$K$44)^(CQ$56-Voorblad!$F$41)</f>
        <v>0</v>
      </c>
      <c r="CR61" s="9">
        <f>GS61*($Q61*$S61)/(1+Voorblad!$K$44)^(CR$56-Voorblad!$F$41)</f>
        <v>0</v>
      </c>
      <c r="CS61" s="9">
        <f>GT61*($Q61*$S61)/(1+Voorblad!$K$44)^(CS$56-Voorblad!$F$41)</f>
        <v>0</v>
      </c>
      <c r="CT61" s="9">
        <f>GU61*($Q61*$S61)/(1+Voorblad!$K$44)^(CT$56-Voorblad!$F$41)</f>
        <v>0</v>
      </c>
      <c r="CU61" s="9">
        <f>GV61*($Q61*$S61)/(1+Voorblad!$K$44)^(CU$56-Voorblad!$F$41)</f>
        <v>0</v>
      </c>
      <c r="CV61" s="9">
        <f>GW61*($Q61*$S61)/(1+Voorblad!$K$44)^(CV$56-Voorblad!$F$41)</f>
        <v>0</v>
      </c>
      <c r="CW61" s="9">
        <f>GX61*($Q61*$S61)/(1+Voorblad!$K$44)^(CW$56-Voorblad!$F$41)</f>
        <v>0</v>
      </c>
      <c r="CX61" s="9">
        <f>GY61*($Q61*$S61)/(1+Voorblad!$K$44)^(CX$56-Voorblad!$F$41)</f>
        <v>0</v>
      </c>
      <c r="CY61" s="9">
        <f>GZ61*($Q61*$S61)/(1+Voorblad!$K$44)^(CY$56-Voorblad!$F$41)</f>
        <v>0</v>
      </c>
      <c r="CZ61" s="9">
        <f>HA61*($Q61*$S61)/(1+Voorblad!$K$44)^(CZ$56-Voorblad!$F$41)</f>
        <v>0</v>
      </c>
      <c r="DA61" s="9">
        <f>HB61*($Q61*$S61)/(1+Voorblad!$K$44)^(DA$56-Voorblad!$F$41)</f>
        <v>0</v>
      </c>
      <c r="DB61" s="9">
        <f>HC61*($Q61*$S61)/(1+Voorblad!$K$44)^(DB$56-Voorblad!$F$41)</f>
        <v>0</v>
      </c>
      <c r="DC61" s="9">
        <f>HD61*($Q61*$S61)/(1+Voorblad!$K$44)^(DC$56-Voorblad!$F$41)</f>
        <v>0</v>
      </c>
      <c r="DD61" s="9">
        <f>HE61*($Q61*$S61)/(1+Voorblad!$K$44)^(DD$56-Voorblad!$F$41)</f>
        <v>0</v>
      </c>
      <c r="DE61" s="9">
        <f>HF61*($Q61*$S61)/(1+Voorblad!$K$44)^(DE$56-Voorblad!$F$41)</f>
        <v>0</v>
      </c>
      <c r="DF61" s="9">
        <f>HG61*($Q61*$S61)/(1+Voorblad!$K$44)^(DF$56-Voorblad!$F$41)</f>
        <v>0</v>
      </c>
      <c r="DG61" s="9">
        <f>HH61*($Q61*$S61)/(1+Voorblad!$K$44)^(DG$56-Voorblad!$F$41)</f>
        <v>0</v>
      </c>
      <c r="DH61" s="9">
        <f>HI61*($Q61*$S61)/(1+Voorblad!$K$44)^(DH$56-Voorblad!$F$41)</f>
        <v>0</v>
      </c>
      <c r="DI61" s="9">
        <f>HJ61*($Q61*$S61)/(1+Voorblad!$K$44)^(DI$56-Voorblad!$F$41)</f>
        <v>0</v>
      </c>
      <c r="DJ61" s="9">
        <f>HK61*($Q61*$S61)/(1+Voorblad!$K$44)^(DJ$56-Voorblad!$F$41)</f>
        <v>0</v>
      </c>
      <c r="DK61" s="9">
        <f>HL61*($Q61*$S61)/(1+Voorblad!$K$44)^(DK$56-Voorblad!$F$41)</f>
        <v>0</v>
      </c>
      <c r="DL61" s="9">
        <f>HM61*($Q61*$S61)/(1+Voorblad!$K$44)^(DL$56-Voorblad!$F$41)</f>
        <v>0</v>
      </c>
      <c r="DM61" s="9">
        <f>HN61*($Q61*$S61)/(1+Voorblad!$K$44)^(DM$56-Voorblad!$F$41)</f>
        <v>0</v>
      </c>
      <c r="DN61" s="9">
        <f>HO61*($Q61*$S61)/(1+Voorblad!$K$44)^(DN$56-Voorblad!$F$41)</f>
        <v>0</v>
      </c>
      <c r="DO61" s="9">
        <f>HP61*($Q61*$S61)/(1+Voorblad!$K$44)^(DO$56-Voorblad!$F$41)</f>
        <v>0</v>
      </c>
      <c r="DP61" s="9">
        <f>HQ61*($Q61*$S61)/(1+Voorblad!$K$44)^(DP$56-Voorblad!$F$41)</f>
        <v>0</v>
      </c>
      <c r="DQ61" s="9">
        <f>HR61*($Q61*$S61)/(1+Voorblad!$K$44)^(DQ$56-Voorblad!$F$41)</f>
        <v>0</v>
      </c>
      <c r="DR61" s="9">
        <f>HS61*($Q61*$S61)/(1+Voorblad!$K$44)^(DR$56-Voorblad!$F$41)</f>
        <v>0</v>
      </c>
      <c r="DS61" s="9">
        <f>HT61*($Q61*$S61)/(1+Voorblad!$K$44)^(DS$56-Voorblad!$F$41)</f>
        <v>0</v>
      </c>
      <c r="DT61" s="9">
        <f>HU61*($Q61*$S61)/(1+Voorblad!$K$44)^(DT$56-Voorblad!$F$41)</f>
        <v>0</v>
      </c>
      <c r="DU61" s="9">
        <f>HV61*($Q61*$S61)/(1+Voorblad!$K$44)^(DU$56-Voorblad!$F$41)</f>
        <v>0</v>
      </c>
      <c r="DV61" s="9">
        <f>HW61*($Q61*$S61)/(1+Voorblad!$K$44)^(DV$56-Voorblad!$F$41)</f>
        <v>0</v>
      </c>
      <c r="DW61" s="9">
        <f>HX61*($Q61*$S61)/(1+Voorblad!$K$44)^(DW$56-Voorblad!$F$41)</f>
        <v>0</v>
      </c>
      <c r="DX61" s="9">
        <f>HY61*($Q61*$S61)/(1+Voorblad!$K$44)^(DX$56-Voorblad!$F$41)</f>
        <v>0</v>
      </c>
      <c r="DY61" s="9">
        <f>HZ61*($Q61*$S61)/(1+Voorblad!$K$44)^(DY$56-Voorblad!$F$41)</f>
        <v>0</v>
      </c>
      <c r="DZ61" s="9">
        <f>IA61*($Q61*$S61)/(1+Voorblad!$K$44)^(DZ$56-Voorblad!$F$41)</f>
        <v>0</v>
      </c>
      <c r="EA61" s="9">
        <f>IB61*($Q61*$S61)/(1+Voorblad!$K$44)^(EA$56-Voorblad!$F$41)</f>
        <v>0</v>
      </c>
      <c r="EB61" s="9">
        <f>IC61*($Q61*$S61)/(1+Voorblad!$K$44)^(EB$56-Voorblad!$F$41)</f>
        <v>0</v>
      </c>
      <c r="EE61" s="8">
        <v>0</v>
      </c>
      <c r="EF61" s="8">
        <f>IF(EF$56-Voorblad!$F$41&gt;Voorblad!$K$41,0,IF($U61=0,0,IF($U61&lt;1,1/$U61,IF((EF$56-Voorblad!$F$41)/$U61-SUM($EE61:EE61)=1,1,0))))</f>
        <v>2</v>
      </c>
      <c r="EG61" s="8">
        <f>IF(EG$56-Voorblad!$F$41&gt;Voorblad!$K$41,0,IF($U61=0,0,IF($U61&lt;1,1/$U61,IF((EG$56-Voorblad!$F$41)/$U61-SUM($EE61:EF61)=1,1,0))))</f>
        <v>2</v>
      </c>
      <c r="EH61" s="8">
        <f>IF(EH$56-Voorblad!$F$41&gt;Voorblad!$K$41,0,IF($U61=0,0,IF($U61&lt;1,1/$U61,IF((EH$56-Voorblad!$F$41)/$U61-SUM($EE61:EG61)=1,1,0))))</f>
        <v>2</v>
      </c>
      <c r="EI61" s="8">
        <f>IF(EI$56-Voorblad!$F$41&gt;Voorblad!$K$41,0,IF($U61=0,0,IF($U61&lt;1,1/$U61,IF((EI$56-Voorblad!$F$41)/$U61-SUM($EE61:EH61)=1,1,0))))</f>
        <v>2</v>
      </c>
      <c r="EJ61" s="8">
        <f>IF(EJ$56-Voorblad!$F$41&gt;Voorblad!$K$41,0,IF($U61=0,0,IF($U61&lt;1,1/$U61,IF((EJ$56-Voorblad!$F$41)/$U61-SUM($EE61:EI61)=1,1,0))))</f>
        <v>2</v>
      </c>
      <c r="EK61" s="8">
        <f>IF(EK$56-Voorblad!$F$41&gt;Voorblad!$K$41,0,IF($U61=0,0,IF($U61&lt;1,1/$U61,IF((EK$56-Voorblad!$F$41)/$U61-SUM($EE61:EJ61)=1,1,0))))</f>
        <v>2</v>
      </c>
      <c r="EL61" s="8">
        <f>IF(EL$56-Voorblad!$F$41&gt;Voorblad!$K$41,0,IF($U61=0,0,IF($U61&lt;1,1/$U61,IF((EL$56-Voorblad!$F$41)/$U61-SUM($EE61:EK61)=1,1,0))))</f>
        <v>2</v>
      </c>
      <c r="EM61" s="8">
        <f>IF(EM$56-Voorblad!$F$41&gt;Voorblad!$K$41,0,IF($U61=0,0,IF($U61&lt;1,1/$U61,IF((EM$56-Voorblad!$F$41)/$U61-SUM($EE61:EL61)=1,1,0))))</f>
        <v>2</v>
      </c>
      <c r="EN61" s="8">
        <f>IF(EN$56-Voorblad!$F$41&gt;Voorblad!$K$41,0,IF($U61=0,0,IF($U61&lt;1,1/$U61,IF((EN$56-Voorblad!$F$41)/$U61-SUM($EE61:EM61)=1,1,0))))</f>
        <v>2</v>
      </c>
      <c r="EO61" s="8">
        <f>IF(EO$56-Voorblad!$F$41&gt;Voorblad!$K$41,0,IF($U61=0,0,IF($U61&lt;1,1/$U61,IF((EO$56-Voorblad!$F$41)/$U61-SUM($EE61:EN61)=1,1,0))))</f>
        <v>2</v>
      </c>
      <c r="EP61" s="8">
        <f>IF(EP$56-Voorblad!$F$41&gt;Voorblad!$K$41,0,IF($U61=0,0,IF($U61&lt;1,1/$U61,IF((EP$56-Voorblad!$F$41)/$U61-SUM($EE61:EO61)=1,1,0))))</f>
        <v>2</v>
      </c>
      <c r="EQ61" s="8">
        <f>IF(EQ$56-Voorblad!$F$41&gt;Voorblad!$K$41,0,IF($U61=0,0,IF($U61&lt;1,1/$U61,IF((EQ$56-Voorblad!$F$41)/$U61-SUM($EE61:EP61)=1,1,0))))</f>
        <v>2</v>
      </c>
      <c r="ER61" s="8">
        <f>IF(ER$56-Voorblad!$F$41&gt;Voorblad!$K$41,0,IF($U61=0,0,IF($U61&lt;1,1/$U61,IF((ER$56-Voorblad!$F$41)/$U61-SUM($EE61:EQ61)=1,1,0))))</f>
        <v>2</v>
      </c>
      <c r="ES61" s="8">
        <f>IF(ES$56-Voorblad!$F$41&gt;Voorblad!$K$41,0,IF($U61=0,0,IF($U61&lt;1,1/$U61,IF((ES$56-Voorblad!$F$41)/$U61-SUM($EE61:ER61)=1,1,0))))</f>
        <v>2</v>
      </c>
      <c r="ET61" s="8">
        <f>IF(ET$56-Voorblad!$F$41&gt;Voorblad!$K$41,0,IF($U61=0,0,IF($U61&lt;1,1/$U61,IF((ET$56-Voorblad!$F$41)/$U61-SUM($EE61:ES61)=1,1,0))))</f>
        <v>2</v>
      </c>
      <c r="EU61" s="8">
        <f>IF(EU$56-Voorblad!$F$41&gt;Voorblad!$K$41,0,IF($U61=0,0,IF($U61&lt;1,1/$U61,IF((EU$56-Voorblad!$F$41)/$U61-SUM($EE61:ET61)=1,1,0))))</f>
        <v>2</v>
      </c>
      <c r="EV61" s="8">
        <f>IF(EV$56-Voorblad!$F$41&gt;Voorblad!$K$41,0,IF($U61=0,0,IF($U61&lt;1,1/$U61,IF((EV$56-Voorblad!$F$41)/$U61-SUM($EE61:EU61)=1,1,0))))</f>
        <v>2</v>
      </c>
      <c r="EW61" s="8">
        <f>IF(EW$56-Voorblad!$F$41&gt;Voorblad!$K$41,0,IF($U61=0,0,IF($U61&lt;1,1/$U61,IF((EW$56-Voorblad!$F$41)/$U61-SUM($EE61:EV61)=1,1,0))))</f>
        <v>2</v>
      </c>
      <c r="EX61" s="8">
        <f>IF(EX$56-Voorblad!$F$41&gt;Voorblad!$K$41,0,IF($U61=0,0,IF($U61&lt;1,1/$U61,IF((EX$56-Voorblad!$F$41)/$U61-SUM($EE61:EW61)=1,1,0))))</f>
        <v>2</v>
      </c>
      <c r="EY61" s="8">
        <f>IF(EY$56-Voorblad!$F$41&gt;Voorblad!$K$41,0,IF($U61=0,0,IF($U61&lt;1,1/$U61,IF((EY$56-Voorblad!$F$41)/$U61-SUM($EE61:EX61)=1,1,0))))</f>
        <v>2</v>
      </c>
      <c r="EZ61" s="8">
        <f>IF(EZ$56-Voorblad!$F$41&gt;Voorblad!$K$41,0,IF($U61=0,0,IF($U61&lt;1,1/$U61,IF((EZ$56-Voorblad!$F$41)/$U61-SUM($EE61:EY61)=1,1,0))))</f>
        <v>2</v>
      </c>
      <c r="FA61" s="8">
        <f>IF(FA$56-Voorblad!$F$41&gt;Voorblad!$K$41,0,IF($U61=0,0,IF($U61&lt;1,1/$U61,IF((FA$56-Voorblad!$F$41)/$U61-SUM($EE61:EZ61)=1,1,0))))</f>
        <v>2</v>
      </c>
      <c r="FB61" s="8">
        <f>IF(FB$56-Voorblad!$F$41&gt;Voorblad!$K$41,0,IF($U61=0,0,IF($U61&lt;1,1/$U61,IF((FB$56-Voorblad!$F$41)/$U61-SUM($EE61:FA61)=1,1,0))))</f>
        <v>2</v>
      </c>
      <c r="FC61" s="8">
        <f>IF(FC$56-Voorblad!$F$41&gt;Voorblad!$K$41,0,IF($U61=0,0,IF($U61&lt;1,1/$U61,IF((FC$56-Voorblad!$F$41)/$U61-SUM($EE61:FB61)=1,1,0))))</f>
        <v>2</v>
      </c>
      <c r="FD61" s="8">
        <f>IF(FD$56-Voorblad!$F$41&gt;Voorblad!$K$41,0,IF($U61=0,0,IF($U61&lt;1,1/$U61,IF((FD$56-Voorblad!$F$41)/$U61-SUM($EE61:FC61)=1,1,0))))</f>
        <v>2</v>
      </c>
      <c r="FE61" s="8">
        <f>IF(FE$56-Voorblad!$F$41&gt;Voorblad!$K$41,0,IF($U61=0,0,IF($U61&lt;1,1/$U61,IF((FE$56-Voorblad!$F$41)/$U61-SUM($EE61:FD61)=1,1,0))))</f>
        <v>2</v>
      </c>
      <c r="FF61" s="8">
        <f>IF(FF$56-Voorblad!$F$41&gt;Voorblad!$K$41,0,IF($U61=0,0,IF($U61&lt;1,1/$U61,IF((FF$56-Voorblad!$F$41)/$U61-SUM($EE61:FE61)=1,1,0))))</f>
        <v>2</v>
      </c>
      <c r="FG61" s="8">
        <f>IF(FG$56-Voorblad!$F$41&gt;Voorblad!$K$41,0,IF($U61=0,0,IF($U61&lt;1,1/$U61,IF((FG$56-Voorblad!$F$41)/$U61-SUM($EE61:FF61)=1,1,0))))</f>
        <v>2</v>
      </c>
      <c r="FH61" s="8">
        <f>IF(FH$56-Voorblad!$F$41&gt;Voorblad!$K$41,0,IF($U61=0,0,IF($U61&lt;1,1/$U61,IF((FH$56-Voorblad!$F$41)/$U61-SUM($EE61:FG61)=1,1,0))))</f>
        <v>2</v>
      </c>
      <c r="FI61" s="8">
        <f>IF(FI$56-Voorblad!$F$41&gt;Voorblad!$K$41,0,IF($U61=0,0,IF($U61&lt;1,1/$U61,IF((FI$56-Voorblad!$F$41)/$U61-SUM($EE61:FH61)=1,1,0))))</f>
        <v>2</v>
      </c>
      <c r="FJ61" s="8">
        <f>IF(FJ$56-Voorblad!$F$41&gt;Voorblad!$K$41,0,IF($U61=0,0,IF($U61&lt;1,1/$U61,IF((FJ$56-Voorblad!$F$41)/$U61-SUM($EE61:FI61)=1,1,0))))</f>
        <v>2</v>
      </c>
      <c r="FK61" s="8">
        <f>IF(FK$56-Voorblad!$F$41&gt;Voorblad!$K$41,0,IF($U61=0,0,IF($U61&lt;1,1/$U61,IF((FK$56-Voorblad!$F$41)/$U61-SUM($EE61:FJ61)=1,1,0))))</f>
        <v>2</v>
      </c>
      <c r="FL61" s="8">
        <f>IF(FL$56-Voorblad!$F$41&gt;Voorblad!$K$41,0,IF($U61=0,0,IF($U61&lt;1,1/$U61,IF((FL$56-Voorblad!$F$41)/$U61-SUM($EE61:FK61)=1,1,0))))</f>
        <v>2</v>
      </c>
      <c r="FM61" s="8">
        <f>IF(FM$56-Voorblad!$F$41&gt;Voorblad!$K$41,0,IF($U61=0,0,IF($U61&lt;1,1/$U61,IF((FM$56-Voorblad!$F$41)/$U61-SUM($EE61:FL61)=1,1,0))))</f>
        <v>2</v>
      </c>
      <c r="FN61" s="8">
        <f>IF(FN$56-Voorblad!$F$41&gt;Voorblad!$K$41,0,IF($U61=0,0,IF($U61&lt;1,1/$U61,IF((FN$56-Voorblad!$F$41)/$U61-SUM($EE61:FM61)=1,1,0))))</f>
        <v>2</v>
      </c>
      <c r="FO61" s="8">
        <f>IF(FO$56-Voorblad!$F$41&gt;Voorblad!$K$41,0,IF($U61=0,0,IF($U61&lt;1,1/$U61,IF((FO$56-Voorblad!$F$41)/$U61-SUM($EE61:FN61)=1,1,0))))</f>
        <v>2</v>
      </c>
      <c r="FP61" s="8">
        <f>IF(FP$56-Voorblad!$F$41&gt;Voorblad!$K$41,0,IF($U61=0,0,IF($U61&lt;1,1/$U61,IF((FP$56-Voorblad!$F$41)/$U61-SUM($EE61:FO61)=1,1,0))))</f>
        <v>2</v>
      </c>
      <c r="FQ61" s="8">
        <f>IF(FQ$56-Voorblad!$F$41&gt;Voorblad!$K$41,0,IF($U61=0,0,IF($U61&lt;1,1/$U61,IF((FQ$56-Voorblad!$F$41)/$U61-SUM($EE61:FP61)=1,1,0))))</f>
        <v>2</v>
      </c>
      <c r="FR61" s="8">
        <f>IF(FR$56-Voorblad!$F$41&gt;Voorblad!$K$41,0,IF($U61=0,0,IF($U61&lt;1,1/$U61,IF((FR$56-Voorblad!$F$41)/$U61-SUM($EE61:FQ61)=1,1,0))))</f>
        <v>2</v>
      </c>
      <c r="FS61" s="8">
        <f>IF(FS$56-Voorblad!$F$41&gt;Voorblad!$K$41,0,IF($U61=0,0,IF($U61&lt;1,1/$U61,IF((FS$56-Voorblad!$F$41)/$U61-SUM($EE61:FR61)=1,1,0))))</f>
        <v>2</v>
      </c>
      <c r="FT61" s="8">
        <f>IF(FT$56-Voorblad!$F$41&gt;Voorblad!$K$41,0,IF($U61=0,0,IF($U61&lt;1,1/$U61,IF((FT$56-Voorblad!$F$41)/$U61-SUM($EE61:FS61)=1,1,0))))</f>
        <v>2</v>
      </c>
      <c r="FU61" s="8">
        <f>IF(FU$56-Voorblad!$F$41&gt;Voorblad!$K$41,0,IF($U61=0,0,IF($U61&lt;1,1/$U61,IF((FU$56-Voorblad!$F$41)/$U61-SUM($EE61:FT61)=1,1,0))))</f>
        <v>2</v>
      </c>
      <c r="FV61" s="8">
        <f>IF(FV$56-Voorblad!$F$41&gt;Voorblad!$K$41,0,IF($U61=0,0,IF($U61&lt;1,1/$U61,IF((FV$56-Voorblad!$F$41)/$U61-SUM($EE61:FU61)=1,1,0))))</f>
        <v>2</v>
      </c>
      <c r="FW61" s="8">
        <f>IF(FW$56-Voorblad!$F$41&gt;Voorblad!$K$41,0,IF($U61=0,0,IF($U61&lt;1,1/$U61,IF((FW$56-Voorblad!$F$41)/$U61-SUM($EE61:FV61)=1,1,0))))</f>
        <v>2</v>
      </c>
      <c r="FX61" s="8">
        <f>IF(FX$56-Voorblad!$F$41&gt;Voorblad!$K$41,0,IF($U61=0,0,IF($U61&lt;1,1/$U61,IF((FX$56-Voorblad!$F$41)/$U61-SUM($EE61:FW61)=1,1,0))))</f>
        <v>2</v>
      </c>
      <c r="FY61" s="8">
        <f>IF(FY$56-Voorblad!$F$41&gt;Voorblad!$K$41,0,IF($U61=0,0,IF($U61&lt;1,1/$U61,IF((FY$56-Voorblad!$F$41)/$U61-SUM($EE61:FX61)=1,1,0))))</f>
        <v>2</v>
      </c>
      <c r="FZ61" s="8">
        <f>IF(FZ$56-Voorblad!$F$41&gt;Voorblad!$K$41,0,IF($U61=0,0,IF($U61&lt;1,1/$U61,IF((FZ$56-Voorblad!$F$41)/$U61-SUM($EE61:FY61)=1,1,0))))</f>
        <v>2</v>
      </c>
      <c r="GA61" s="8">
        <f>IF(GA$56-Voorblad!$F$41&gt;Voorblad!$K$41,0,IF($U61=0,0,IF($U61&lt;1,1/$U61,IF((GA$56-Voorblad!$F$41)/$U61-SUM($EE61:FZ61)=1,1,0))))</f>
        <v>2</v>
      </c>
      <c r="GB61" s="8">
        <f>IF(GB$56-Voorblad!$F$41&gt;Voorblad!$K$41,0,IF($U61=0,0,IF($U61&lt;1,1/$U61,IF((GB$56-Voorblad!$F$41)/$U61-SUM($EE61:GA61)=1,1,0))))</f>
        <v>2</v>
      </c>
      <c r="GC61" s="8">
        <f>IF(GC$56-Voorblad!$F$41&gt;Voorblad!$K$41,0,IF($U61=0,0,IF($U61&lt;1,1/$U61,IF((GC$56-Voorblad!$F$41)/$U61-SUM($EE61:GB61)=1,1,0))))</f>
        <v>2</v>
      </c>
      <c r="GD61" s="8">
        <f>IF(GD$56-Voorblad!$F$41&gt;Voorblad!$K$41,0,IF($U61=0,0,IF($U61&lt;1,1/$U61,IF((GD$56-Voorblad!$F$41)/$U61-SUM($EE61:GC61)=1,1,0))))</f>
        <v>2</v>
      </c>
      <c r="GE61" s="8">
        <f>IF(GE$56-Voorblad!$F$41&gt;Voorblad!$K$41,0,IF($U61=0,0,IF($U61&lt;1,1/$U61,IF((GE$56-Voorblad!$F$41)/$U61-SUM($EE61:GD61)=1,1,0))))</f>
        <v>2</v>
      </c>
      <c r="GF61" s="8">
        <f>IF(GF$56-Voorblad!$F$41&gt;Voorblad!$K$41,0,IF($U61=0,0,IF($U61&lt;1,1/$U61,IF((GF$56-Voorblad!$F$41)/$U61-SUM($EE61:GE61)=1,1,0))))</f>
        <v>2</v>
      </c>
      <c r="GG61" s="8">
        <f>IF(GG$56-Voorblad!$F$41&gt;Voorblad!$K$41,0,IF($U61=0,0,IF($U61&lt;1,1/$U61,IF((GG$56-Voorblad!$F$41)/$U61-SUM($EE61:GF61)=1,1,0))))</f>
        <v>2</v>
      </c>
      <c r="GH61" s="8">
        <f>IF(GH$56-Voorblad!$F$41&gt;Voorblad!$K$41,0,IF($U61=0,0,IF($U61&lt;1,1/$U61,IF((GH$56-Voorblad!$F$41)/$U61-SUM($EE61:GG61)=1,1,0))))</f>
        <v>2</v>
      </c>
      <c r="GI61" s="8">
        <f>IF(GI$56-Voorblad!$F$41&gt;Voorblad!$K$41,0,IF($U61=0,0,IF($U61&lt;1,1/$U61,IF((GI$56-Voorblad!$F$41)/$U61-SUM($EE61:GH61)=1,1,0))))</f>
        <v>2</v>
      </c>
      <c r="GJ61" s="8">
        <f>IF(GJ$56-Voorblad!$F$41&gt;Voorblad!$K$41,0,IF($U61=0,0,IF($U61&lt;1,1/$U61,IF((GJ$56-Voorblad!$F$41)/$U61-SUM($EE61:GI61)=1,1,0))))</f>
        <v>2</v>
      </c>
      <c r="GK61" s="8">
        <f>IF(GK$56-Voorblad!$F$41&gt;Voorblad!$K$41,0,IF($U61=0,0,IF($U61&lt;1,1/$U61,IF((GK$56-Voorblad!$F$41)/$U61-SUM($EE61:GJ61)=1,1,0))))</f>
        <v>2</v>
      </c>
      <c r="GL61" s="8">
        <f>IF(GL$56-Voorblad!$F$41&gt;Voorblad!$K$41,0,IF($U61=0,0,IF($U61&lt;1,1/$U61,IF((GL$56-Voorblad!$F$41)/$U61-SUM($EE61:GK61)=1,1,0))))</f>
        <v>2</v>
      </c>
      <c r="GM61" s="8">
        <f>IF(GM$56-Voorblad!$F$41&gt;Voorblad!$K$41,0,IF($U61=0,0,IF($U61&lt;1,1/$U61,IF((GM$56-Voorblad!$F$41)/$U61-SUM($EE61:GL61)=1,1,0))))</f>
        <v>2</v>
      </c>
      <c r="GN61" s="8">
        <f>IF(GN$56-Voorblad!$F$41&gt;Voorblad!$K$41,0,IF($U61=0,0,IF($U61&lt;1,1/$U61,IF((GN$56-Voorblad!$F$41)/$U61-SUM($EE61:GM61)=1,1,0))))</f>
        <v>2</v>
      </c>
      <c r="GO61" s="8">
        <f>IF(GO$56-Voorblad!$F$41&gt;Voorblad!$K$41,0,IF($U61=0,0,IF($U61&lt;1,1/$U61,IF((GO$56-Voorblad!$F$41)/$U61-SUM($EE61:GN61)=1,1,0))))</f>
        <v>2</v>
      </c>
      <c r="GP61" s="8">
        <f>IF(GP$56-Voorblad!$F$41&gt;Voorblad!$K$41,0,IF($U61=0,0,IF($U61&lt;1,1/$U61,IF((GP$56-Voorblad!$F$41)/$U61-SUM($EE61:GO61)=1,1,0))))</f>
        <v>2</v>
      </c>
      <c r="GQ61" s="8">
        <f>IF(GQ$56-Voorblad!$F$41&gt;Voorblad!$K$41,0,IF($U61=0,0,IF($U61&lt;1,1/$U61,IF((GQ$56-Voorblad!$F$41)/$U61-SUM($EE61:GP61)=1,1,0))))</f>
        <v>2</v>
      </c>
      <c r="GR61" s="8">
        <f>IF(GR$56-Voorblad!$F$41&gt;Voorblad!$K$41,0,IF($U61=0,0,IF($U61&lt;1,1/$U61,IF((GR$56-Voorblad!$F$41)/$U61-SUM($EE61:GQ61)=1,1,0))))</f>
        <v>2</v>
      </c>
      <c r="GS61" s="8">
        <f>IF(GS$56-Voorblad!$F$41&gt;Voorblad!$K$41,0,IF($U61=0,0,IF($U61&lt;1,1/$U61,IF((GS$56-Voorblad!$F$41)/$U61-SUM($EE61:GR61)=1,1,0))))</f>
        <v>2</v>
      </c>
      <c r="GT61" s="8">
        <f>IF(GT$56-Voorblad!$F$41&gt;Voorblad!$K$41,0,IF($U61=0,0,IF($U61&lt;1,1/$U61,IF((GT$56-Voorblad!$F$41)/$U61-SUM($EE61:GS61)=1,1,0))))</f>
        <v>2</v>
      </c>
      <c r="GU61" s="8">
        <f>IF(GU$56-Voorblad!$F$41&gt;Voorblad!$K$41,0,IF($U61=0,0,IF($U61&lt;1,1/$U61,IF((GU$56-Voorblad!$F$41)/$U61-SUM($EE61:GT61)=1,1,0))))</f>
        <v>2</v>
      </c>
      <c r="GV61" s="8">
        <f>IF(GV$56-Voorblad!$F$41&gt;Voorblad!$K$41,0,IF($U61=0,0,IF($U61&lt;1,1/$U61,IF((GV$56-Voorblad!$F$41)/$U61-SUM($EE61:GU61)=1,1,0))))</f>
        <v>2</v>
      </c>
      <c r="GW61" s="8">
        <f>IF(GW$56-Voorblad!$F$41&gt;Voorblad!$K$41,0,IF($U61=0,0,IF($U61&lt;1,1/$U61,IF((GW$56-Voorblad!$F$41)/$U61-SUM($EE61:GV61)=1,1,0))))</f>
        <v>2</v>
      </c>
      <c r="GX61" s="8">
        <f>IF(GX$56-Voorblad!$F$41&gt;Voorblad!$K$41,0,IF($U61=0,0,IF($U61&lt;1,1/$U61,IF((GX$56-Voorblad!$F$41)/$U61-SUM($EE61:GW61)=1,1,0))))</f>
        <v>2</v>
      </c>
      <c r="GY61" s="8">
        <f>IF(GY$56-Voorblad!$F$41&gt;Voorblad!$K$41,0,IF($U61=0,0,IF($U61&lt;1,1/$U61,IF((GY$56-Voorblad!$F$41)/$U61-SUM($EE61:GX61)=1,1,0))))</f>
        <v>2</v>
      </c>
      <c r="GZ61" s="8">
        <f>IF(GZ$56-Voorblad!$F$41&gt;Voorblad!$K$41,0,IF($U61=0,0,IF($U61&lt;1,1/$U61,IF((GZ$56-Voorblad!$F$41)/$U61-SUM($EE61:GY61)=1,1,0))))</f>
        <v>2</v>
      </c>
      <c r="HA61" s="8">
        <f>IF(HA$56-Voorblad!$F$41&gt;Voorblad!$K$41,0,IF($U61=0,0,IF($U61&lt;1,1/$U61,IF((HA$56-Voorblad!$F$41)/$U61-SUM($EE61:GZ61)=1,1,0))))</f>
        <v>2</v>
      </c>
      <c r="HB61" s="8">
        <f>IF(HB$56-Voorblad!$F$41&gt;Voorblad!$K$41,0,IF($U61=0,0,IF($U61&lt;1,1/$U61,IF((HB$56-Voorblad!$F$41)/$U61-SUM($EE61:HA61)=1,1,0))))</f>
        <v>0</v>
      </c>
      <c r="HC61" s="8">
        <f>IF(HC$56-Voorblad!$F$41&gt;Voorblad!$K$41,0,IF($U61=0,0,IF($U61&lt;1,1/$U61,IF((HC$56-Voorblad!$F$41)/$U61-SUM($EE61:HB61)=1,1,0))))</f>
        <v>0</v>
      </c>
      <c r="HD61" s="8">
        <f>IF(HD$56-Voorblad!$F$41&gt;Voorblad!$K$41,0,IF($U61=0,0,IF($U61&lt;1,1/$U61,IF((HD$56-Voorblad!$F$41)/$U61-SUM($EE61:HC61)=1,1,0))))</f>
        <v>0</v>
      </c>
      <c r="HE61" s="8">
        <f>IF(HE$56-Voorblad!$F$41&gt;Voorblad!$K$41,0,IF($U61=0,0,IF($U61&lt;1,1/$U61,IF((HE$56-Voorblad!$F$41)/$U61-SUM($EE61:HD61)=1,1,0))))</f>
        <v>0</v>
      </c>
      <c r="HF61" s="8">
        <f>IF(HF$56-Voorblad!$F$41&gt;Voorblad!$K$41,0,IF($U61=0,0,IF($U61&lt;1,1/$U61,IF((HF$56-Voorblad!$F$41)/$U61-SUM($EE61:HE61)=1,1,0))))</f>
        <v>0</v>
      </c>
      <c r="HG61" s="8">
        <f>IF(HG$56-Voorblad!$F$41&gt;Voorblad!$K$41,0,IF($U61=0,0,IF($U61&lt;1,1/$U61,IF((HG$56-Voorblad!$F$41)/$U61-SUM($EE61:HF61)=1,1,0))))</f>
        <v>0</v>
      </c>
      <c r="HH61" s="8">
        <f>IF(HH$56-Voorblad!$F$41&gt;Voorblad!$K$41,0,IF($U61=0,0,IF($U61&lt;1,1/$U61,IF((HH$56-Voorblad!$F$41)/$U61-SUM($EE61:HG61)=1,1,0))))</f>
        <v>0</v>
      </c>
      <c r="HI61" s="8">
        <f>IF(HI$56-Voorblad!$F$41&gt;Voorblad!$K$41,0,IF($U61=0,0,IF($U61&lt;1,1/$U61,IF((HI$56-Voorblad!$F$41)/$U61-SUM($EE61:HH61)=1,1,0))))</f>
        <v>0</v>
      </c>
      <c r="HJ61" s="8">
        <f>IF(HJ$56-Voorblad!$F$41&gt;Voorblad!$K$41,0,IF($U61=0,0,IF($U61&lt;1,1/$U61,IF((HJ$56-Voorblad!$F$41)/$U61-SUM($EE61:HI61)=1,1,0))))</f>
        <v>0</v>
      </c>
      <c r="HK61" s="8">
        <f>IF(HK$56-Voorblad!$F$41&gt;Voorblad!$K$41,0,IF($U61=0,0,IF($U61&lt;1,1/$U61,IF((HK$56-Voorblad!$F$41)/$U61-SUM($EE61:HJ61)=1,1,0))))</f>
        <v>0</v>
      </c>
      <c r="HL61" s="8">
        <f>IF(HL$56-Voorblad!$F$41&gt;Voorblad!$K$41,0,IF($U61=0,0,IF($U61&lt;1,1/$U61,IF((HL$56-Voorblad!$F$41)/$U61-SUM($EE61:HK61)=1,1,0))))</f>
        <v>0</v>
      </c>
      <c r="HM61" s="8">
        <f>IF(HM$56-Voorblad!$F$41&gt;Voorblad!$K$41,0,IF($U61=0,0,IF($U61&lt;1,1/$U61,IF((HM$56-Voorblad!$F$41)/$U61-SUM($EE61:HL61)=1,1,0))))</f>
        <v>0</v>
      </c>
      <c r="HN61" s="8">
        <f>IF(HN$56-Voorblad!$F$41&gt;Voorblad!$K$41,0,IF($U61=0,0,IF($U61&lt;1,1/$U61,IF((HN$56-Voorblad!$F$41)/$U61-SUM($EE61:HM61)=1,1,0))))</f>
        <v>0</v>
      </c>
      <c r="HO61" s="8">
        <f>IF(HO$56-Voorblad!$F$41&gt;Voorblad!$K$41,0,IF($U61=0,0,IF($U61&lt;1,1/$U61,IF((HO$56-Voorblad!$F$41)/$U61-SUM($EE61:HN61)=1,1,0))))</f>
        <v>0</v>
      </c>
      <c r="HP61" s="8">
        <f>IF(HP$56-Voorblad!$F$41&gt;Voorblad!$K$41,0,IF($U61=0,0,IF($U61&lt;1,1/$U61,IF((HP$56-Voorblad!$F$41)/$U61-SUM($EE61:HO61)=1,1,0))))</f>
        <v>0</v>
      </c>
      <c r="HQ61" s="8">
        <f>IF(HQ$56-Voorblad!$F$41&gt;Voorblad!$K$41,0,IF($U61=0,0,IF($U61&lt;1,1/$U61,IF((HQ$56-Voorblad!$F$41)/$U61-SUM($EE61:HP61)=1,1,0))))</f>
        <v>0</v>
      </c>
      <c r="HR61" s="8">
        <f>IF(HR$56-Voorblad!$F$41&gt;Voorblad!$K$41,0,IF($U61=0,0,IF($U61&lt;1,1/$U61,IF((HR$56-Voorblad!$F$41)/$U61-SUM($EE61:HQ61)=1,1,0))))</f>
        <v>0</v>
      </c>
      <c r="HS61" s="8">
        <f>IF(HS$56-Voorblad!$F$41&gt;Voorblad!$K$41,0,IF($U61=0,0,IF($U61&lt;1,1/$U61,IF((HS$56-Voorblad!$F$41)/$U61-SUM($EE61:HR61)=1,1,0))))</f>
        <v>0</v>
      </c>
      <c r="HT61" s="8">
        <f>IF(HT$56-Voorblad!$F$41&gt;Voorblad!$K$41,0,IF($U61=0,0,IF($U61&lt;1,1/$U61,IF((HT$56-Voorblad!$F$41)/$U61-SUM($EE61:HS61)=1,1,0))))</f>
        <v>0</v>
      </c>
      <c r="HU61" s="8">
        <f>IF(HU$56-Voorblad!$F$41&gt;Voorblad!$K$41,0,IF($U61=0,0,IF($U61&lt;1,1/$U61,IF((HU$56-Voorblad!$F$41)/$U61-SUM($EE61:HT61)=1,1,0))))</f>
        <v>0</v>
      </c>
      <c r="HV61" s="8">
        <f>IF(HV$56-Voorblad!$F$41&gt;Voorblad!$K$41,0,IF($U61=0,0,IF($U61&lt;1,1/$U61,IF((HV$56-Voorblad!$F$41)/$U61-SUM($EE61:HU61)=1,1,0))))</f>
        <v>0</v>
      </c>
      <c r="HW61" s="8">
        <f>IF(HW$56-Voorblad!$F$41&gt;Voorblad!$K$41,0,IF($U61=0,0,IF($U61&lt;1,1/$U61,IF((HW$56-Voorblad!$F$41)/$U61-SUM($EE61:HV61)=1,1,0))))</f>
        <v>0</v>
      </c>
      <c r="HX61" s="8">
        <f>IF(HX$56-Voorblad!$F$41&gt;Voorblad!$K$41,0,IF($U61=0,0,IF($U61&lt;1,1/$U61,IF((HX$56-Voorblad!$F$41)/$U61-SUM($EE61:HW61)=1,1,0))))</f>
        <v>0</v>
      </c>
      <c r="HY61" s="8">
        <f>IF(HY$56-Voorblad!$F$41&gt;Voorblad!$K$41,0,IF($U61=0,0,IF($U61&lt;1,1/$U61,IF((HY$56-Voorblad!$F$41)/$U61-SUM($EE61:HX61)=1,1,0))))</f>
        <v>0</v>
      </c>
      <c r="HZ61" s="8">
        <f>IF(HZ$56-Voorblad!$F$41&gt;Voorblad!$K$41,0,IF($U61=0,0,IF($U61&lt;1,1/$U61,IF((HZ$56-Voorblad!$F$41)/$U61-SUM($EE61:HY61)=1,1,0))))</f>
        <v>0</v>
      </c>
      <c r="IA61" s="8">
        <f>IF(IA$56-Voorblad!$F$41&gt;Voorblad!$K$41,0,IF($U61=0,0,IF($U61&lt;1,1/$U61,IF((IA$56-Voorblad!$F$41)/$U61-SUM($EE61:HZ61)=1,1,0))))</f>
        <v>0</v>
      </c>
      <c r="IB61" s="8">
        <f>IF(IB$56-Voorblad!$F$41&gt;Voorblad!$K$41,0,IF($U61=0,0,IF($U61&lt;1,1/$U61,IF((IB$56-Voorblad!$F$41)/$U61-SUM($EE61:IA61)=1,1,0))))</f>
        <v>0</v>
      </c>
    </row>
    <row r="62" spans="2:236" ht="12" hidden="1" customHeight="1" outlineLevel="1" x14ac:dyDescent="0.25">
      <c r="B62" s="1">
        <v>3</v>
      </c>
      <c r="F62" s="1" t="s">
        <v>23</v>
      </c>
      <c r="I62" s="1" t="s">
        <v>277</v>
      </c>
      <c r="K62" s="14" t="s">
        <v>164</v>
      </c>
      <c r="L62" s="14"/>
      <c r="M62" s="14"/>
      <c r="N62" s="3"/>
      <c r="P62" s="1" t="s">
        <v>184</v>
      </c>
      <c r="Q62" s="81">
        <v>0</v>
      </c>
      <c r="R62" s="147" t="s">
        <v>196</v>
      </c>
      <c r="S62" s="14">
        <f>$H$20*1000</f>
        <v>1770</v>
      </c>
      <c r="T62" s="1">
        <f t="shared" si="10"/>
        <v>0</v>
      </c>
      <c r="U62" s="14">
        <v>10</v>
      </c>
      <c r="V62" s="14"/>
      <c r="Y62" s="9">
        <f t="shared" si="11"/>
        <v>0</v>
      </c>
      <c r="Z62" s="82"/>
      <c r="AA62" s="82"/>
      <c r="AC62" s="9">
        <f>$Y62*(Voorblad!$K$44*(1+Voorblad!$K$44)^Voorblad!$K$41)/((1+Voorblad!$K$44)^Voorblad!$K$41-1)</f>
        <v>0</v>
      </c>
      <c r="AE62" s="9">
        <f>EF62*($Q62*$S62)/(1+Voorblad!$K$44)^(AE$56-Voorblad!$F$41)</f>
        <v>0</v>
      </c>
      <c r="AF62" s="9">
        <f>EG62*($Q62*$S62)/(1+Voorblad!$K$44)^(AF$56-Voorblad!$F$41)</f>
        <v>0</v>
      </c>
      <c r="AG62" s="9">
        <f>EH62*($Q62*$S62)/(1+Voorblad!$K$44)^(AG$56-Voorblad!$F$41)</f>
        <v>0</v>
      </c>
      <c r="AH62" s="9">
        <f>EI62*($Q62*$S62)/(1+Voorblad!$K$44)^(AH$56-Voorblad!$F$41)</f>
        <v>0</v>
      </c>
      <c r="AI62" s="9">
        <f>EJ62*($Q62*$S62)/(1+Voorblad!$K$44)^(AI$56-Voorblad!$F$41)</f>
        <v>0</v>
      </c>
      <c r="AJ62" s="9">
        <f>EK62*($Q62*$S62)/(1+Voorblad!$K$44)^(AJ$56-Voorblad!$F$41)</f>
        <v>0</v>
      </c>
      <c r="AK62" s="9">
        <f>EL62*($Q62*$S62)/(1+Voorblad!$K$44)^(AK$56-Voorblad!$F$41)</f>
        <v>0</v>
      </c>
      <c r="AL62" s="9">
        <f>EM62*($Q62*$S62)/(1+Voorblad!$K$44)^(AL$56-Voorblad!$F$41)</f>
        <v>0</v>
      </c>
      <c r="AM62" s="9">
        <f>EN62*($Q62*$S62)/(1+Voorblad!$K$44)^(AM$56-Voorblad!$F$41)</f>
        <v>0</v>
      </c>
      <c r="AN62" s="9">
        <f>EO62*($Q62*$S62)/(1+Voorblad!$K$44)^(AN$56-Voorblad!$F$41)</f>
        <v>0</v>
      </c>
      <c r="AO62" s="9">
        <f>EP62*($Q62*$S62)/(1+Voorblad!$K$44)^(AO$56-Voorblad!$F$41)</f>
        <v>0</v>
      </c>
      <c r="AP62" s="9">
        <f>EQ62*($Q62*$S62)/(1+Voorblad!$K$44)^(AP$56-Voorblad!$F$41)</f>
        <v>0</v>
      </c>
      <c r="AQ62" s="9">
        <f>ER62*($Q62*$S62)/(1+Voorblad!$K$44)^(AQ$56-Voorblad!$F$41)</f>
        <v>0</v>
      </c>
      <c r="AR62" s="9">
        <f>ES62*($Q62*$S62)/(1+Voorblad!$K$44)^(AR$56-Voorblad!$F$41)</f>
        <v>0</v>
      </c>
      <c r="AS62" s="9">
        <f>ET62*($Q62*$S62)/(1+Voorblad!$K$44)^(AS$56-Voorblad!$F$41)</f>
        <v>0</v>
      </c>
      <c r="AT62" s="9">
        <f>EU62*($Q62*$S62)/(1+Voorblad!$K$44)^(AT$56-Voorblad!$F$41)</f>
        <v>0</v>
      </c>
      <c r="AU62" s="9">
        <f>EV62*($Q62*$S62)/(1+Voorblad!$K$44)^(AU$56-Voorblad!$F$41)</f>
        <v>0</v>
      </c>
      <c r="AV62" s="9">
        <f>EW62*($Q62*$S62)/(1+Voorblad!$K$44)^(AV$56-Voorblad!$F$41)</f>
        <v>0</v>
      </c>
      <c r="AW62" s="9">
        <f>EX62*($Q62*$S62)/(1+Voorblad!$K$44)^(AW$56-Voorblad!$F$41)</f>
        <v>0</v>
      </c>
      <c r="AX62" s="9">
        <f>EY62*($Q62*$S62)/(1+Voorblad!$K$44)^(AX$56-Voorblad!$F$41)</f>
        <v>0</v>
      </c>
      <c r="AY62" s="9">
        <f>EZ62*($Q62*$S62)/(1+Voorblad!$K$44)^(AY$56-Voorblad!$F$41)</f>
        <v>0</v>
      </c>
      <c r="AZ62" s="9">
        <f>FA62*($Q62*$S62)/(1+Voorblad!$K$44)^(AZ$56-Voorblad!$F$41)</f>
        <v>0</v>
      </c>
      <c r="BA62" s="9">
        <f>FB62*($Q62*$S62)/(1+Voorblad!$K$44)^(BA$56-Voorblad!$F$41)</f>
        <v>0</v>
      </c>
      <c r="BB62" s="9">
        <f>FC62*($Q62*$S62)/(1+Voorblad!$K$44)^(BB$56-Voorblad!$F$41)</f>
        <v>0</v>
      </c>
      <c r="BC62" s="9">
        <f>FD62*($Q62*$S62)/(1+Voorblad!$K$44)^(BC$56-Voorblad!$F$41)</f>
        <v>0</v>
      </c>
      <c r="BD62" s="9">
        <f>FE62*($Q62*$S62)/(1+Voorblad!$K$44)^(BD$56-Voorblad!$F$41)</f>
        <v>0</v>
      </c>
      <c r="BE62" s="9">
        <f>FF62*($Q62*$S62)/(1+Voorblad!$K$44)^(BE$56-Voorblad!$F$41)</f>
        <v>0</v>
      </c>
      <c r="BF62" s="9">
        <f>FG62*($Q62*$S62)/(1+Voorblad!$K$44)^(BF$56-Voorblad!$F$41)</f>
        <v>0</v>
      </c>
      <c r="BG62" s="9">
        <f>FH62*($Q62*$S62)/(1+Voorblad!$K$44)^(BG$56-Voorblad!$F$41)</f>
        <v>0</v>
      </c>
      <c r="BH62" s="9">
        <f>FI62*($Q62*$S62)/(1+Voorblad!$K$44)^(BH$56-Voorblad!$F$41)</f>
        <v>0</v>
      </c>
      <c r="BI62" s="9">
        <f>FJ62*($Q62*$S62)/(1+Voorblad!$K$44)^(BI$56-Voorblad!$F$41)</f>
        <v>0</v>
      </c>
      <c r="BJ62" s="9">
        <f>FK62*($Q62*$S62)/(1+Voorblad!$K$44)^(BJ$56-Voorblad!$F$41)</f>
        <v>0</v>
      </c>
      <c r="BK62" s="9">
        <f>FL62*($Q62*$S62)/(1+Voorblad!$K$44)^(BK$56-Voorblad!$F$41)</f>
        <v>0</v>
      </c>
      <c r="BL62" s="9">
        <f>FM62*($Q62*$S62)/(1+Voorblad!$K$44)^(BL$56-Voorblad!$F$41)</f>
        <v>0</v>
      </c>
      <c r="BM62" s="9">
        <f>FN62*($Q62*$S62)/(1+Voorblad!$K$44)^(BM$56-Voorblad!$F$41)</f>
        <v>0</v>
      </c>
      <c r="BN62" s="9">
        <f>FO62*($Q62*$S62)/(1+Voorblad!$K$44)^(BN$56-Voorblad!$F$41)</f>
        <v>0</v>
      </c>
      <c r="BO62" s="9">
        <f>FP62*($Q62*$S62)/(1+Voorblad!$K$44)^(BO$56-Voorblad!$F$41)</f>
        <v>0</v>
      </c>
      <c r="BP62" s="9">
        <f>FQ62*($Q62*$S62)/(1+Voorblad!$K$44)^(BP$56-Voorblad!$F$41)</f>
        <v>0</v>
      </c>
      <c r="BQ62" s="9">
        <f>FR62*($Q62*$S62)/(1+Voorblad!$K$44)^(BQ$56-Voorblad!$F$41)</f>
        <v>0</v>
      </c>
      <c r="BR62" s="9">
        <f>FS62*($Q62*$S62)/(1+Voorblad!$K$44)^(BR$56-Voorblad!$F$41)</f>
        <v>0</v>
      </c>
      <c r="BS62" s="9">
        <f>FT62*($Q62*$S62)/(1+Voorblad!$K$44)^(BS$56-Voorblad!$F$41)</f>
        <v>0</v>
      </c>
      <c r="BT62" s="9">
        <f>FU62*($Q62*$S62)/(1+Voorblad!$K$44)^(BT$56-Voorblad!$F$41)</f>
        <v>0</v>
      </c>
      <c r="BU62" s="9">
        <f>FV62*($Q62*$S62)/(1+Voorblad!$K$44)^(BU$56-Voorblad!$F$41)</f>
        <v>0</v>
      </c>
      <c r="BV62" s="9">
        <f>FW62*($Q62*$S62)/(1+Voorblad!$K$44)^(BV$56-Voorblad!$F$41)</f>
        <v>0</v>
      </c>
      <c r="BW62" s="9">
        <f>FX62*($Q62*$S62)/(1+Voorblad!$K$44)^(BW$56-Voorblad!$F$41)</f>
        <v>0</v>
      </c>
      <c r="BX62" s="9">
        <f>FY62*($Q62*$S62)/(1+Voorblad!$K$44)^(BX$56-Voorblad!$F$41)</f>
        <v>0</v>
      </c>
      <c r="BY62" s="9">
        <f>FZ62*($Q62*$S62)/(1+Voorblad!$K$44)^(BY$56-Voorblad!$F$41)</f>
        <v>0</v>
      </c>
      <c r="BZ62" s="9">
        <f>GA62*($Q62*$S62)/(1+Voorblad!$K$44)^(BZ$56-Voorblad!$F$41)</f>
        <v>0</v>
      </c>
      <c r="CA62" s="9">
        <f>GB62*($Q62*$S62)/(1+Voorblad!$K$44)^(CA$56-Voorblad!$F$41)</f>
        <v>0</v>
      </c>
      <c r="CB62" s="9">
        <f>GC62*($Q62*$S62)/(1+Voorblad!$K$44)^(CB$56-Voorblad!$F$41)</f>
        <v>0</v>
      </c>
      <c r="CC62" s="9">
        <f>GD62*($Q62*$S62)/(1+Voorblad!$K$44)^(CC$56-Voorblad!$F$41)</f>
        <v>0</v>
      </c>
      <c r="CD62" s="9">
        <f>GE62*($Q62*$S62)/(1+Voorblad!$K$44)^(CD$56-Voorblad!$F$41)</f>
        <v>0</v>
      </c>
      <c r="CE62" s="9">
        <f>GF62*($Q62*$S62)/(1+Voorblad!$K$44)^(CE$56-Voorblad!$F$41)</f>
        <v>0</v>
      </c>
      <c r="CF62" s="9">
        <f>GG62*($Q62*$S62)/(1+Voorblad!$K$44)^(CF$56-Voorblad!$F$41)</f>
        <v>0</v>
      </c>
      <c r="CG62" s="9">
        <f>GH62*($Q62*$S62)/(1+Voorblad!$K$44)^(CG$56-Voorblad!$F$41)</f>
        <v>0</v>
      </c>
      <c r="CH62" s="9">
        <f>GI62*($Q62*$S62)/(1+Voorblad!$K$44)^(CH$56-Voorblad!$F$41)</f>
        <v>0</v>
      </c>
      <c r="CI62" s="9">
        <f>GJ62*($Q62*$S62)/(1+Voorblad!$K$44)^(CI$56-Voorblad!$F$41)</f>
        <v>0</v>
      </c>
      <c r="CJ62" s="9">
        <f>GK62*($Q62*$S62)/(1+Voorblad!$K$44)^(CJ$56-Voorblad!$F$41)</f>
        <v>0</v>
      </c>
      <c r="CK62" s="9">
        <f>GL62*($Q62*$S62)/(1+Voorblad!$K$44)^(CK$56-Voorblad!$F$41)</f>
        <v>0</v>
      </c>
      <c r="CL62" s="9">
        <f>GM62*($Q62*$S62)/(1+Voorblad!$K$44)^(CL$56-Voorblad!$F$41)</f>
        <v>0</v>
      </c>
      <c r="CM62" s="9">
        <f>GN62*($Q62*$S62)/(1+Voorblad!$K$44)^(CM$56-Voorblad!$F$41)</f>
        <v>0</v>
      </c>
      <c r="CN62" s="9">
        <f>GO62*($Q62*$S62)/(1+Voorblad!$K$44)^(CN$56-Voorblad!$F$41)</f>
        <v>0</v>
      </c>
      <c r="CO62" s="9">
        <f>GP62*($Q62*$S62)/(1+Voorblad!$K$44)^(CO$56-Voorblad!$F$41)</f>
        <v>0</v>
      </c>
      <c r="CP62" s="9">
        <f>GQ62*($Q62*$S62)/(1+Voorblad!$K$44)^(CP$56-Voorblad!$F$41)</f>
        <v>0</v>
      </c>
      <c r="CQ62" s="9">
        <f>GR62*($Q62*$S62)/(1+Voorblad!$K$44)^(CQ$56-Voorblad!$F$41)</f>
        <v>0</v>
      </c>
      <c r="CR62" s="9">
        <f>GS62*($Q62*$S62)/(1+Voorblad!$K$44)^(CR$56-Voorblad!$F$41)</f>
        <v>0</v>
      </c>
      <c r="CS62" s="9">
        <f>GT62*($Q62*$S62)/(1+Voorblad!$K$44)^(CS$56-Voorblad!$F$41)</f>
        <v>0</v>
      </c>
      <c r="CT62" s="9">
        <f>GU62*($Q62*$S62)/(1+Voorblad!$K$44)^(CT$56-Voorblad!$F$41)</f>
        <v>0</v>
      </c>
      <c r="CU62" s="9">
        <f>GV62*($Q62*$S62)/(1+Voorblad!$K$44)^(CU$56-Voorblad!$F$41)</f>
        <v>0</v>
      </c>
      <c r="CV62" s="9">
        <f>GW62*($Q62*$S62)/(1+Voorblad!$K$44)^(CV$56-Voorblad!$F$41)</f>
        <v>0</v>
      </c>
      <c r="CW62" s="9">
        <f>GX62*($Q62*$S62)/(1+Voorblad!$K$44)^(CW$56-Voorblad!$F$41)</f>
        <v>0</v>
      </c>
      <c r="CX62" s="9">
        <f>GY62*($Q62*$S62)/(1+Voorblad!$K$44)^(CX$56-Voorblad!$F$41)</f>
        <v>0</v>
      </c>
      <c r="CY62" s="9">
        <f>GZ62*($Q62*$S62)/(1+Voorblad!$K$44)^(CY$56-Voorblad!$F$41)</f>
        <v>0</v>
      </c>
      <c r="CZ62" s="9">
        <f>HA62*($Q62*$S62)/(1+Voorblad!$K$44)^(CZ$56-Voorblad!$F$41)</f>
        <v>0</v>
      </c>
      <c r="DA62" s="9">
        <f>HB62*($Q62*$S62)/(1+Voorblad!$K$44)^(DA$56-Voorblad!$F$41)</f>
        <v>0</v>
      </c>
      <c r="DB62" s="9">
        <f>HC62*($Q62*$S62)/(1+Voorblad!$K$44)^(DB$56-Voorblad!$F$41)</f>
        <v>0</v>
      </c>
      <c r="DC62" s="9">
        <f>HD62*($Q62*$S62)/(1+Voorblad!$K$44)^(DC$56-Voorblad!$F$41)</f>
        <v>0</v>
      </c>
      <c r="DD62" s="9">
        <f>HE62*($Q62*$S62)/(1+Voorblad!$K$44)^(DD$56-Voorblad!$F$41)</f>
        <v>0</v>
      </c>
      <c r="DE62" s="9">
        <f>HF62*($Q62*$S62)/(1+Voorblad!$K$44)^(DE$56-Voorblad!$F$41)</f>
        <v>0</v>
      </c>
      <c r="DF62" s="9">
        <f>HG62*($Q62*$S62)/(1+Voorblad!$K$44)^(DF$56-Voorblad!$F$41)</f>
        <v>0</v>
      </c>
      <c r="DG62" s="9">
        <f>HH62*($Q62*$S62)/(1+Voorblad!$K$44)^(DG$56-Voorblad!$F$41)</f>
        <v>0</v>
      </c>
      <c r="DH62" s="9">
        <f>HI62*($Q62*$S62)/(1+Voorblad!$K$44)^(DH$56-Voorblad!$F$41)</f>
        <v>0</v>
      </c>
      <c r="DI62" s="9">
        <f>HJ62*($Q62*$S62)/(1+Voorblad!$K$44)^(DI$56-Voorblad!$F$41)</f>
        <v>0</v>
      </c>
      <c r="DJ62" s="9">
        <f>HK62*($Q62*$S62)/(1+Voorblad!$K$44)^(DJ$56-Voorblad!$F$41)</f>
        <v>0</v>
      </c>
      <c r="DK62" s="9">
        <f>HL62*($Q62*$S62)/(1+Voorblad!$K$44)^(DK$56-Voorblad!$F$41)</f>
        <v>0</v>
      </c>
      <c r="DL62" s="9">
        <f>HM62*($Q62*$S62)/(1+Voorblad!$K$44)^(DL$56-Voorblad!$F$41)</f>
        <v>0</v>
      </c>
      <c r="DM62" s="9">
        <f>HN62*($Q62*$S62)/(1+Voorblad!$K$44)^(DM$56-Voorblad!$F$41)</f>
        <v>0</v>
      </c>
      <c r="DN62" s="9">
        <f>HO62*($Q62*$S62)/(1+Voorblad!$K$44)^(DN$56-Voorblad!$F$41)</f>
        <v>0</v>
      </c>
      <c r="DO62" s="9">
        <f>HP62*($Q62*$S62)/(1+Voorblad!$K$44)^(DO$56-Voorblad!$F$41)</f>
        <v>0</v>
      </c>
      <c r="DP62" s="9">
        <f>HQ62*($Q62*$S62)/(1+Voorblad!$K$44)^(DP$56-Voorblad!$F$41)</f>
        <v>0</v>
      </c>
      <c r="DQ62" s="9">
        <f>HR62*($Q62*$S62)/(1+Voorblad!$K$44)^(DQ$56-Voorblad!$F$41)</f>
        <v>0</v>
      </c>
      <c r="DR62" s="9">
        <f>HS62*($Q62*$S62)/(1+Voorblad!$K$44)^(DR$56-Voorblad!$F$41)</f>
        <v>0</v>
      </c>
      <c r="DS62" s="9">
        <f>HT62*($Q62*$S62)/(1+Voorblad!$K$44)^(DS$56-Voorblad!$F$41)</f>
        <v>0</v>
      </c>
      <c r="DT62" s="9">
        <f>HU62*($Q62*$S62)/(1+Voorblad!$K$44)^(DT$56-Voorblad!$F$41)</f>
        <v>0</v>
      </c>
      <c r="DU62" s="9">
        <f>HV62*($Q62*$S62)/(1+Voorblad!$K$44)^(DU$56-Voorblad!$F$41)</f>
        <v>0</v>
      </c>
      <c r="DV62" s="9">
        <f>HW62*($Q62*$S62)/(1+Voorblad!$K$44)^(DV$56-Voorblad!$F$41)</f>
        <v>0</v>
      </c>
      <c r="DW62" s="9">
        <f>HX62*($Q62*$S62)/(1+Voorblad!$K$44)^(DW$56-Voorblad!$F$41)</f>
        <v>0</v>
      </c>
      <c r="DX62" s="9">
        <f>HY62*($Q62*$S62)/(1+Voorblad!$K$44)^(DX$56-Voorblad!$F$41)</f>
        <v>0</v>
      </c>
      <c r="DY62" s="9">
        <f>HZ62*($Q62*$S62)/(1+Voorblad!$K$44)^(DY$56-Voorblad!$F$41)</f>
        <v>0</v>
      </c>
      <c r="DZ62" s="9">
        <f>IA62*($Q62*$S62)/(1+Voorblad!$K$44)^(DZ$56-Voorblad!$F$41)</f>
        <v>0</v>
      </c>
      <c r="EA62" s="9">
        <f>IB62*($Q62*$S62)/(1+Voorblad!$K$44)^(EA$56-Voorblad!$F$41)</f>
        <v>0</v>
      </c>
      <c r="EB62" s="9">
        <f>IC62*($Q62*$S62)/(1+Voorblad!$K$44)^(EB$56-Voorblad!$F$41)</f>
        <v>0</v>
      </c>
      <c r="EE62" s="8">
        <v>0</v>
      </c>
      <c r="EF62" s="8">
        <f>IF(EF$56-Voorblad!$F$41&gt;Voorblad!$K$41,0,IF($U62=0,0,IF($U62&lt;1,1/$U62,IF((EF$56-Voorblad!$F$41)/$U62-SUM($EE62:EE62)=1,1,0))))</f>
        <v>0</v>
      </c>
      <c r="EG62" s="8">
        <f>IF(EG$56-Voorblad!$F$41&gt;Voorblad!$K$41,0,IF($U62=0,0,IF($U62&lt;1,1/$U62,IF((EG$56-Voorblad!$F$41)/$U62-SUM($EE62:EF62)=1,1,0))))</f>
        <v>0</v>
      </c>
      <c r="EH62" s="8">
        <f>IF(EH$56-Voorblad!$F$41&gt;Voorblad!$K$41,0,IF($U62=0,0,IF($U62&lt;1,1/$U62,IF((EH$56-Voorblad!$F$41)/$U62-SUM($EE62:EG62)=1,1,0))))</f>
        <v>0</v>
      </c>
      <c r="EI62" s="8">
        <f>IF(EI$56-Voorblad!$F$41&gt;Voorblad!$K$41,0,IF($U62=0,0,IF($U62&lt;1,1/$U62,IF((EI$56-Voorblad!$F$41)/$U62-SUM($EE62:EH62)=1,1,0))))</f>
        <v>0</v>
      </c>
      <c r="EJ62" s="8">
        <f>IF(EJ$56-Voorblad!$F$41&gt;Voorblad!$K$41,0,IF($U62=0,0,IF($U62&lt;1,1/$U62,IF((EJ$56-Voorblad!$F$41)/$U62-SUM($EE62:EI62)=1,1,0))))</f>
        <v>0</v>
      </c>
      <c r="EK62" s="8">
        <f>IF(EK$56-Voorblad!$F$41&gt;Voorblad!$K$41,0,IF($U62=0,0,IF($U62&lt;1,1/$U62,IF((EK$56-Voorblad!$F$41)/$U62-SUM($EE62:EJ62)=1,1,0))))</f>
        <v>0</v>
      </c>
      <c r="EL62" s="8">
        <f>IF(EL$56-Voorblad!$F$41&gt;Voorblad!$K$41,0,IF($U62=0,0,IF($U62&lt;1,1/$U62,IF((EL$56-Voorblad!$F$41)/$U62-SUM($EE62:EK62)=1,1,0))))</f>
        <v>0</v>
      </c>
      <c r="EM62" s="8">
        <f>IF(EM$56-Voorblad!$F$41&gt;Voorblad!$K$41,0,IF($U62=0,0,IF($U62&lt;1,1/$U62,IF((EM$56-Voorblad!$F$41)/$U62-SUM($EE62:EL62)=1,1,0))))</f>
        <v>0</v>
      </c>
      <c r="EN62" s="8">
        <f>IF(EN$56-Voorblad!$F$41&gt;Voorblad!$K$41,0,IF($U62=0,0,IF($U62&lt;1,1/$U62,IF((EN$56-Voorblad!$F$41)/$U62-SUM($EE62:EM62)=1,1,0))))</f>
        <v>0</v>
      </c>
      <c r="EO62" s="8">
        <f>IF(EO$56-Voorblad!$F$41&gt;Voorblad!$K$41,0,IF($U62=0,0,IF($U62&lt;1,1/$U62,IF((EO$56-Voorblad!$F$41)/$U62-SUM($EE62:EN62)=1,1,0))))</f>
        <v>0</v>
      </c>
      <c r="EP62" s="8">
        <f>IF(EP$56-Voorblad!$F$41&gt;Voorblad!$K$41,0,IF($U62=0,0,IF($U62&lt;1,1/$U62,IF((EP$56-Voorblad!$F$41)/$U62-SUM($EE62:EO62)=1,1,0))))</f>
        <v>1</v>
      </c>
      <c r="EQ62" s="8">
        <f>IF(EQ$56-Voorblad!$F$41&gt;Voorblad!$K$41,0,IF($U62=0,0,IF($U62&lt;1,1/$U62,IF((EQ$56-Voorblad!$F$41)/$U62-SUM($EE62:EP62)=1,1,0))))</f>
        <v>0</v>
      </c>
      <c r="ER62" s="8">
        <f>IF(ER$56-Voorblad!$F$41&gt;Voorblad!$K$41,0,IF($U62=0,0,IF($U62&lt;1,1/$U62,IF((ER$56-Voorblad!$F$41)/$U62-SUM($EE62:EQ62)=1,1,0))))</f>
        <v>0</v>
      </c>
      <c r="ES62" s="8">
        <f>IF(ES$56-Voorblad!$F$41&gt;Voorblad!$K$41,0,IF($U62=0,0,IF($U62&lt;1,1/$U62,IF((ES$56-Voorblad!$F$41)/$U62-SUM($EE62:ER62)=1,1,0))))</f>
        <v>0</v>
      </c>
      <c r="ET62" s="8">
        <f>IF(ET$56-Voorblad!$F$41&gt;Voorblad!$K$41,0,IF($U62=0,0,IF($U62&lt;1,1/$U62,IF((ET$56-Voorblad!$F$41)/$U62-SUM($EE62:ES62)=1,1,0))))</f>
        <v>0</v>
      </c>
      <c r="EU62" s="8">
        <f>IF(EU$56-Voorblad!$F$41&gt;Voorblad!$K$41,0,IF($U62=0,0,IF($U62&lt;1,1/$U62,IF((EU$56-Voorblad!$F$41)/$U62-SUM($EE62:ET62)=1,1,0))))</f>
        <v>0</v>
      </c>
      <c r="EV62" s="8">
        <f>IF(EV$56-Voorblad!$F$41&gt;Voorblad!$K$41,0,IF($U62=0,0,IF($U62&lt;1,1/$U62,IF((EV$56-Voorblad!$F$41)/$U62-SUM($EE62:EU62)=1,1,0))))</f>
        <v>0</v>
      </c>
      <c r="EW62" s="8">
        <f>IF(EW$56-Voorblad!$F$41&gt;Voorblad!$K$41,0,IF($U62=0,0,IF($U62&lt;1,1/$U62,IF((EW$56-Voorblad!$F$41)/$U62-SUM($EE62:EV62)=1,1,0))))</f>
        <v>0</v>
      </c>
      <c r="EX62" s="8">
        <f>IF(EX$56-Voorblad!$F$41&gt;Voorblad!$K$41,0,IF($U62=0,0,IF($U62&lt;1,1/$U62,IF((EX$56-Voorblad!$F$41)/$U62-SUM($EE62:EW62)=1,1,0))))</f>
        <v>0</v>
      </c>
      <c r="EY62" s="8">
        <f>IF(EY$56-Voorblad!$F$41&gt;Voorblad!$K$41,0,IF($U62=0,0,IF($U62&lt;1,1/$U62,IF((EY$56-Voorblad!$F$41)/$U62-SUM($EE62:EX62)=1,1,0))))</f>
        <v>0</v>
      </c>
      <c r="EZ62" s="8">
        <f>IF(EZ$56-Voorblad!$F$41&gt;Voorblad!$K$41,0,IF($U62=0,0,IF($U62&lt;1,1/$U62,IF((EZ$56-Voorblad!$F$41)/$U62-SUM($EE62:EY62)=1,1,0))))</f>
        <v>1</v>
      </c>
      <c r="FA62" s="8">
        <f>IF(FA$56-Voorblad!$F$41&gt;Voorblad!$K$41,0,IF($U62=0,0,IF($U62&lt;1,1/$U62,IF((FA$56-Voorblad!$F$41)/$U62-SUM($EE62:EZ62)=1,1,0))))</f>
        <v>0</v>
      </c>
      <c r="FB62" s="8">
        <f>IF(FB$56-Voorblad!$F$41&gt;Voorblad!$K$41,0,IF($U62=0,0,IF($U62&lt;1,1/$U62,IF((FB$56-Voorblad!$F$41)/$U62-SUM($EE62:FA62)=1,1,0))))</f>
        <v>0</v>
      </c>
      <c r="FC62" s="8">
        <f>IF(FC$56-Voorblad!$F$41&gt;Voorblad!$K$41,0,IF($U62=0,0,IF($U62&lt;1,1/$U62,IF((FC$56-Voorblad!$F$41)/$U62-SUM($EE62:FB62)=1,1,0))))</f>
        <v>0</v>
      </c>
      <c r="FD62" s="8">
        <f>IF(FD$56-Voorblad!$F$41&gt;Voorblad!$K$41,0,IF($U62=0,0,IF($U62&lt;1,1/$U62,IF((FD$56-Voorblad!$F$41)/$U62-SUM($EE62:FC62)=1,1,0))))</f>
        <v>0</v>
      </c>
      <c r="FE62" s="8">
        <f>IF(FE$56-Voorblad!$F$41&gt;Voorblad!$K$41,0,IF($U62=0,0,IF($U62&lt;1,1/$U62,IF((FE$56-Voorblad!$F$41)/$U62-SUM($EE62:FD62)=1,1,0))))</f>
        <v>0</v>
      </c>
      <c r="FF62" s="8">
        <f>IF(FF$56-Voorblad!$F$41&gt;Voorblad!$K$41,0,IF($U62=0,0,IF($U62&lt;1,1/$U62,IF((FF$56-Voorblad!$F$41)/$U62-SUM($EE62:FE62)=1,1,0))))</f>
        <v>0</v>
      </c>
      <c r="FG62" s="8">
        <f>IF(FG$56-Voorblad!$F$41&gt;Voorblad!$K$41,0,IF($U62=0,0,IF($U62&lt;1,1/$U62,IF((FG$56-Voorblad!$F$41)/$U62-SUM($EE62:FF62)=1,1,0))))</f>
        <v>0</v>
      </c>
      <c r="FH62" s="8">
        <f>IF(FH$56-Voorblad!$F$41&gt;Voorblad!$K$41,0,IF($U62=0,0,IF($U62&lt;1,1/$U62,IF((FH$56-Voorblad!$F$41)/$U62-SUM($EE62:FG62)=1,1,0))))</f>
        <v>0</v>
      </c>
      <c r="FI62" s="8">
        <f>IF(FI$56-Voorblad!$F$41&gt;Voorblad!$K$41,0,IF($U62=0,0,IF($U62&lt;1,1/$U62,IF((FI$56-Voorblad!$F$41)/$U62-SUM($EE62:FH62)=1,1,0))))</f>
        <v>0</v>
      </c>
      <c r="FJ62" s="8">
        <f>IF(FJ$56-Voorblad!$F$41&gt;Voorblad!$K$41,0,IF($U62=0,0,IF($U62&lt;1,1/$U62,IF((FJ$56-Voorblad!$F$41)/$U62-SUM($EE62:FI62)=1,1,0))))</f>
        <v>1</v>
      </c>
      <c r="FK62" s="8">
        <f>IF(FK$56-Voorblad!$F$41&gt;Voorblad!$K$41,0,IF($U62=0,0,IF($U62&lt;1,1/$U62,IF((FK$56-Voorblad!$F$41)/$U62-SUM($EE62:FJ62)=1,1,0))))</f>
        <v>0</v>
      </c>
      <c r="FL62" s="8">
        <f>IF(FL$56-Voorblad!$F$41&gt;Voorblad!$K$41,0,IF($U62=0,0,IF($U62&lt;1,1/$U62,IF((FL$56-Voorblad!$F$41)/$U62-SUM($EE62:FK62)=1,1,0))))</f>
        <v>0</v>
      </c>
      <c r="FM62" s="8">
        <f>IF(FM$56-Voorblad!$F$41&gt;Voorblad!$K$41,0,IF($U62=0,0,IF($U62&lt;1,1/$U62,IF((FM$56-Voorblad!$F$41)/$U62-SUM($EE62:FL62)=1,1,0))))</f>
        <v>0</v>
      </c>
      <c r="FN62" s="8">
        <f>IF(FN$56-Voorblad!$F$41&gt;Voorblad!$K$41,0,IF($U62=0,0,IF($U62&lt;1,1/$U62,IF((FN$56-Voorblad!$F$41)/$U62-SUM($EE62:FM62)=1,1,0))))</f>
        <v>0</v>
      </c>
      <c r="FO62" s="8">
        <f>IF(FO$56-Voorblad!$F$41&gt;Voorblad!$K$41,0,IF($U62=0,0,IF($U62&lt;1,1/$U62,IF((FO$56-Voorblad!$F$41)/$U62-SUM($EE62:FN62)=1,1,0))))</f>
        <v>0</v>
      </c>
      <c r="FP62" s="8">
        <f>IF(FP$56-Voorblad!$F$41&gt;Voorblad!$K$41,0,IF($U62=0,0,IF($U62&lt;1,1/$U62,IF((FP$56-Voorblad!$F$41)/$U62-SUM($EE62:FO62)=1,1,0))))</f>
        <v>0</v>
      </c>
      <c r="FQ62" s="8">
        <f>IF(FQ$56-Voorblad!$F$41&gt;Voorblad!$K$41,0,IF($U62=0,0,IF($U62&lt;1,1/$U62,IF((FQ$56-Voorblad!$F$41)/$U62-SUM($EE62:FP62)=1,1,0))))</f>
        <v>0</v>
      </c>
      <c r="FR62" s="8">
        <f>IF(FR$56-Voorblad!$F$41&gt;Voorblad!$K$41,0,IF($U62=0,0,IF($U62&lt;1,1/$U62,IF((FR$56-Voorblad!$F$41)/$U62-SUM($EE62:FQ62)=1,1,0))))</f>
        <v>0</v>
      </c>
      <c r="FS62" s="8">
        <f>IF(FS$56-Voorblad!$F$41&gt;Voorblad!$K$41,0,IF($U62=0,0,IF($U62&lt;1,1/$U62,IF((FS$56-Voorblad!$F$41)/$U62-SUM($EE62:FR62)=1,1,0))))</f>
        <v>0</v>
      </c>
      <c r="FT62" s="8">
        <f>IF(FT$56-Voorblad!$F$41&gt;Voorblad!$K$41,0,IF($U62=0,0,IF($U62&lt;1,1/$U62,IF((FT$56-Voorblad!$F$41)/$U62-SUM($EE62:FS62)=1,1,0))))</f>
        <v>1</v>
      </c>
      <c r="FU62" s="8">
        <f>IF(FU$56-Voorblad!$F$41&gt;Voorblad!$K$41,0,IF($U62=0,0,IF($U62&lt;1,1/$U62,IF((FU$56-Voorblad!$F$41)/$U62-SUM($EE62:FT62)=1,1,0))))</f>
        <v>0</v>
      </c>
      <c r="FV62" s="8">
        <f>IF(FV$56-Voorblad!$F$41&gt;Voorblad!$K$41,0,IF($U62=0,0,IF($U62&lt;1,1/$U62,IF((FV$56-Voorblad!$F$41)/$U62-SUM($EE62:FU62)=1,1,0))))</f>
        <v>0</v>
      </c>
      <c r="FW62" s="8">
        <f>IF(FW$56-Voorblad!$F$41&gt;Voorblad!$K$41,0,IF($U62=0,0,IF($U62&lt;1,1/$U62,IF((FW$56-Voorblad!$F$41)/$U62-SUM($EE62:FV62)=1,1,0))))</f>
        <v>0</v>
      </c>
      <c r="FX62" s="8">
        <f>IF(FX$56-Voorblad!$F$41&gt;Voorblad!$K$41,0,IF($U62=0,0,IF($U62&lt;1,1/$U62,IF((FX$56-Voorblad!$F$41)/$U62-SUM($EE62:FW62)=1,1,0))))</f>
        <v>0</v>
      </c>
      <c r="FY62" s="8">
        <f>IF(FY$56-Voorblad!$F$41&gt;Voorblad!$K$41,0,IF($U62=0,0,IF($U62&lt;1,1/$U62,IF((FY$56-Voorblad!$F$41)/$U62-SUM($EE62:FX62)=1,1,0))))</f>
        <v>0</v>
      </c>
      <c r="FZ62" s="8">
        <f>IF(FZ$56-Voorblad!$F$41&gt;Voorblad!$K$41,0,IF($U62=0,0,IF($U62&lt;1,1/$U62,IF((FZ$56-Voorblad!$F$41)/$U62-SUM($EE62:FY62)=1,1,0))))</f>
        <v>0</v>
      </c>
      <c r="GA62" s="8">
        <f>IF(GA$56-Voorblad!$F$41&gt;Voorblad!$K$41,0,IF($U62=0,0,IF($U62&lt;1,1/$U62,IF((GA$56-Voorblad!$F$41)/$U62-SUM($EE62:FZ62)=1,1,0))))</f>
        <v>0</v>
      </c>
      <c r="GB62" s="8">
        <f>IF(GB$56-Voorblad!$F$41&gt;Voorblad!$K$41,0,IF($U62=0,0,IF($U62&lt;1,1/$U62,IF((GB$56-Voorblad!$F$41)/$U62-SUM($EE62:GA62)=1,1,0))))</f>
        <v>0</v>
      </c>
      <c r="GC62" s="8">
        <f>IF(GC$56-Voorblad!$F$41&gt;Voorblad!$K$41,0,IF($U62=0,0,IF($U62&lt;1,1/$U62,IF((GC$56-Voorblad!$F$41)/$U62-SUM($EE62:GB62)=1,1,0))))</f>
        <v>0</v>
      </c>
      <c r="GD62" s="8">
        <f>IF(GD$56-Voorblad!$F$41&gt;Voorblad!$K$41,0,IF($U62=0,0,IF($U62&lt;1,1/$U62,IF((GD$56-Voorblad!$F$41)/$U62-SUM($EE62:GC62)=1,1,0))))</f>
        <v>1</v>
      </c>
      <c r="GE62" s="8">
        <f>IF(GE$56-Voorblad!$F$41&gt;Voorblad!$K$41,0,IF($U62=0,0,IF($U62&lt;1,1/$U62,IF((GE$56-Voorblad!$F$41)/$U62-SUM($EE62:GD62)=1,1,0))))</f>
        <v>0</v>
      </c>
      <c r="GF62" s="8">
        <f>IF(GF$56-Voorblad!$F$41&gt;Voorblad!$K$41,0,IF($U62=0,0,IF($U62&lt;1,1/$U62,IF((GF$56-Voorblad!$F$41)/$U62-SUM($EE62:GE62)=1,1,0))))</f>
        <v>0</v>
      </c>
      <c r="GG62" s="8">
        <f>IF(GG$56-Voorblad!$F$41&gt;Voorblad!$K$41,0,IF($U62=0,0,IF($U62&lt;1,1/$U62,IF((GG$56-Voorblad!$F$41)/$U62-SUM($EE62:GF62)=1,1,0))))</f>
        <v>0</v>
      </c>
      <c r="GH62" s="8">
        <f>IF(GH$56-Voorblad!$F$41&gt;Voorblad!$K$41,0,IF($U62=0,0,IF($U62&lt;1,1/$U62,IF((GH$56-Voorblad!$F$41)/$U62-SUM($EE62:GG62)=1,1,0))))</f>
        <v>0</v>
      </c>
      <c r="GI62" s="8">
        <f>IF(GI$56-Voorblad!$F$41&gt;Voorblad!$K$41,0,IF($U62=0,0,IF($U62&lt;1,1/$U62,IF((GI$56-Voorblad!$F$41)/$U62-SUM($EE62:GH62)=1,1,0))))</f>
        <v>0</v>
      </c>
      <c r="GJ62" s="8">
        <f>IF(GJ$56-Voorblad!$F$41&gt;Voorblad!$K$41,0,IF($U62=0,0,IF($U62&lt;1,1/$U62,IF((GJ$56-Voorblad!$F$41)/$U62-SUM($EE62:GI62)=1,1,0))))</f>
        <v>0</v>
      </c>
      <c r="GK62" s="8">
        <f>IF(GK$56-Voorblad!$F$41&gt;Voorblad!$K$41,0,IF($U62=0,0,IF($U62&lt;1,1/$U62,IF((GK$56-Voorblad!$F$41)/$U62-SUM($EE62:GJ62)=1,1,0))))</f>
        <v>0</v>
      </c>
      <c r="GL62" s="8">
        <f>IF(GL$56-Voorblad!$F$41&gt;Voorblad!$K$41,0,IF($U62=0,0,IF($U62&lt;1,1/$U62,IF((GL$56-Voorblad!$F$41)/$U62-SUM($EE62:GK62)=1,1,0))))</f>
        <v>0</v>
      </c>
      <c r="GM62" s="8">
        <f>IF(GM$56-Voorblad!$F$41&gt;Voorblad!$K$41,0,IF($U62=0,0,IF($U62&lt;1,1/$U62,IF((GM$56-Voorblad!$F$41)/$U62-SUM($EE62:GL62)=1,1,0))))</f>
        <v>0</v>
      </c>
      <c r="GN62" s="8">
        <f>IF(GN$56-Voorblad!$F$41&gt;Voorblad!$K$41,0,IF($U62=0,0,IF($U62&lt;1,1/$U62,IF((GN$56-Voorblad!$F$41)/$U62-SUM($EE62:GM62)=1,1,0))))</f>
        <v>1</v>
      </c>
      <c r="GO62" s="8">
        <f>IF(GO$56-Voorblad!$F$41&gt;Voorblad!$K$41,0,IF($U62=0,0,IF($U62&lt;1,1/$U62,IF((GO$56-Voorblad!$F$41)/$U62-SUM($EE62:GN62)=1,1,0))))</f>
        <v>0</v>
      </c>
      <c r="GP62" s="8">
        <f>IF(GP$56-Voorblad!$F$41&gt;Voorblad!$K$41,0,IF($U62=0,0,IF($U62&lt;1,1/$U62,IF((GP$56-Voorblad!$F$41)/$U62-SUM($EE62:GO62)=1,1,0))))</f>
        <v>0</v>
      </c>
      <c r="GQ62" s="8">
        <f>IF(GQ$56-Voorblad!$F$41&gt;Voorblad!$K$41,0,IF($U62=0,0,IF($U62&lt;1,1/$U62,IF((GQ$56-Voorblad!$F$41)/$U62-SUM($EE62:GP62)=1,1,0))))</f>
        <v>0</v>
      </c>
      <c r="GR62" s="8">
        <f>IF(GR$56-Voorblad!$F$41&gt;Voorblad!$K$41,0,IF($U62=0,0,IF($U62&lt;1,1/$U62,IF((GR$56-Voorblad!$F$41)/$U62-SUM($EE62:GQ62)=1,1,0))))</f>
        <v>0</v>
      </c>
      <c r="GS62" s="8">
        <f>IF(GS$56-Voorblad!$F$41&gt;Voorblad!$K$41,0,IF($U62=0,0,IF($U62&lt;1,1/$U62,IF((GS$56-Voorblad!$F$41)/$U62-SUM($EE62:GR62)=1,1,0))))</f>
        <v>0</v>
      </c>
      <c r="GT62" s="8">
        <f>IF(GT$56-Voorblad!$F$41&gt;Voorblad!$K$41,0,IF($U62=0,0,IF($U62&lt;1,1/$U62,IF((GT$56-Voorblad!$F$41)/$U62-SUM($EE62:GS62)=1,1,0))))</f>
        <v>0</v>
      </c>
      <c r="GU62" s="8">
        <f>IF(GU$56-Voorblad!$F$41&gt;Voorblad!$K$41,0,IF($U62=0,0,IF($U62&lt;1,1/$U62,IF((GU$56-Voorblad!$F$41)/$U62-SUM($EE62:GT62)=1,1,0))))</f>
        <v>0</v>
      </c>
      <c r="GV62" s="8">
        <f>IF(GV$56-Voorblad!$F$41&gt;Voorblad!$K$41,0,IF($U62=0,0,IF($U62&lt;1,1/$U62,IF((GV$56-Voorblad!$F$41)/$U62-SUM($EE62:GU62)=1,1,0))))</f>
        <v>0</v>
      </c>
      <c r="GW62" s="8">
        <f>IF(GW$56-Voorblad!$F$41&gt;Voorblad!$K$41,0,IF($U62=0,0,IF($U62&lt;1,1/$U62,IF((GW$56-Voorblad!$F$41)/$U62-SUM($EE62:GV62)=1,1,0))))</f>
        <v>0</v>
      </c>
      <c r="GX62" s="8">
        <f>IF(GX$56-Voorblad!$F$41&gt;Voorblad!$K$41,0,IF($U62=0,0,IF($U62&lt;1,1/$U62,IF((GX$56-Voorblad!$F$41)/$U62-SUM($EE62:GW62)=1,1,0))))</f>
        <v>1</v>
      </c>
      <c r="GY62" s="8">
        <f>IF(GY$56-Voorblad!$F$41&gt;Voorblad!$K$41,0,IF($U62=0,0,IF($U62&lt;1,1/$U62,IF((GY$56-Voorblad!$F$41)/$U62-SUM($EE62:GX62)=1,1,0))))</f>
        <v>0</v>
      </c>
      <c r="GZ62" s="8">
        <f>IF(GZ$56-Voorblad!$F$41&gt;Voorblad!$K$41,0,IF($U62=0,0,IF($U62&lt;1,1/$U62,IF((GZ$56-Voorblad!$F$41)/$U62-SUM($EE62:GY62)=1,1,0))))</f>
        <v>0</v>
      </c>
      <c r="HA62" s="8">
        <f>IF(HA$56-Voorblad!$F$41&gt;Voorblad!$K$41,0,IF($U62=0,0,IF($U62&lt;1,1/$U62,IF((HA$56-Voorblad!$F$41)/$U62-SUM($EE62:GZ62)=1,1,0))))</f>
        <v>0</v>
      </c>
      <c r="HB62" s="8">
        <f>IF(HB$56-Voorblad!$F$41&gt;Voorblad!$K$41,0,IF($U62=0,0,IF($U62&lt;1,1/$U62,IF((HB$56-Voorblad!$F$41)/$U62-SUM($EE62:HA62)=1,1,0))))</f>
        <v>0</v>
      </c>
      <c r="HC62" s="8">
        <f>IF(HC$56-Voorblad!$F$41&gt;Voorblad!$K$41,0,IF($U62=0,0,IF($U62&lt;1,1/$U62,IF((HC$56-Voorblad!$F$41)/$U62-SUM($EE62:HB62)=1,1,0))))</f>
        <v>0</v>
      </c>
      <c r="HD62" s="8">
        <f>IF(HD$56-Voorblad!$F$41&gt;Voorblad!$K$41,0,IF($U62=0,0,IF($U62&lt;1,1/$U62,IF((HD$56-Voorblad!$F$41)/$U62-SUM($EE62:HC62)=1,1,0))))</f>
        <v>0</v>
      </c>
      <c r="HE62" s="8">
        <f>IF(HE$56-Voorblad!$F$41&gt;Voorblad!$K$41,0,IF($U62=0,0,IF($U62&lt;1,1/$U62,IF((HE$56-Voorblad!$F$41)/$U62-SUM($EE62:HD62)=1,1,0))))</f>
        <v>0</v>
      </c>
      <c r="HF62" s="8">
        <f>IF(HF$56-Voorblad!$F$41&gt;Voorblad!$K$41,0,IF($U62=0,0,IF($U62&lt;1,1/$U62,IF((HF$56-Voorblad!$F$41)/$U62-SUM($EE62:HE62)=1,1,0))))</f>
        <v>0</v>
      </c>
      <c r="HG62" s="8">
        <f>IF(HG$56-Voorblad!$F$41&gt;Voorblad!$K$41,0,IF($U62=0,0,IF($U62&lt;1,1/$U62,IF((HG$56-Voorblad!$F$41)/$U62-SUM($EE62:HF62)=1,1,0))))</f>
        <v>0</v>
      </c>
      <c r="HH62" s="8">
        <f>IF(HH$56-Voorblad!$F$41&gt;Voorblad!$K$41,0,IF($U62=0,0,IF($U62&lt;1,1/$U62,IF((HH$56-Voorblad!$F$41)/$U62-SUM($EE62:HG62)=1,1,0))))</f>
        <v>0</v>
      </c>
      <c r="HI62" s="8">
        <f>IF(HI$56-Voorblad!$F$41&gt;Voorblad!$K$41,0,IF($U62=0,0,IF($U62&lt;1,1/$U62,IF((HI$56-Voorblad!$F$41)/$U62-SUM($EE62:HH62)=1,1,0))))</f>
        <v>0</v>
      </c>
      <c r="HJ62" s="8">
        <f>IF(HJ$56-Voorblad!$F$41&gt;Voorblad!$K$41,0,IF($U62=0,0,IF($U62&lt;1,1/$U62,IF((HJ$56-Voorblad!$F$41)/$U62-SUM($EE62:HI62)=1,1,0))))</f>
        <v>0</v>
      </c>
      <c r="HK62" s="8">
        <f>IF(HK$56-Voorblad!$F$41&gt;Voorblad!$K$41,0,IF($U62=0,0,IF($U62&lt;1,1/$U62,IF((HK$56-Voorblad!$F$41)/$U62-SUM($EE62:HJ62)=1,1,0))))</f>
        <v>0</v>
      </c>
      <c r="HL62" s="8">
        <f>IF(HL$56-Voorblad!$F$41&gt;Voorblad!$K$41,0,IF($U62=0,0,IF($U62&lt;1,1/$U62,IF((HL$56-Voorblad!$F$41)/$U62-SUM($EE62:HK62)=1,1,0))))</f>
        <v>0</v>
      </c>
      <c r="HM62" s="8">
        <f>IF(HM$56-Voorblad!$F$41&gt;Voorblad!$K$41,0,IF($U62=0,0,IF($U62&lt;1,1/$U62,IF((HM$56-Voorblad!$F$41)/$U62-SUM($EE62:HL62)=1,1,0))))</f>
        <v>0</v>
      </c>
      <c r="HN62" s="8">
        <f>IF(HN$56-Voorblad!$F$41&gt;Voorblad!$K$41,0,IF($U62=0,0,IF($U62&lt;1,1/$U62,IF((HN$56-Voorblad!$F$41)/$U62-SUM($EE62:HM62)=1,1,0))))</f>
        <v>0</v>
      </c>
      <c r="HO62" s="8">
        <f>IF(HO$56-Voorblad!$F$41&gt;Voorblad!$K$41,0,IF($U62=0,0,IF($U62&lt;1,1/$U62,IF((HO$56-Voorblad!$F$41)/$U62-SUM($EE62:HN62)=1,1,0))))</f>
        <v>0</v>
      </c>
      <c r="HP62" s="8">
        <f>IF(HP$56-Voorblad!$F$41&gt;Voorblad!$K$41,0,IF($U62=0,0,IF($U62&lt;1,1/$U62,IF((HP$56-Voorblad!$F$41)/$U62-SUM($EE62:HO62)=1,1,0))))</f>
        <v>0</v>
      </c>
      <c r="HQ62" s="8">
        <f>IF(HQ$56-Voorblad!$F$41&gt;Voorblad!$K$41,0,IF($U62=0,0,IF($U62&lt;1,1/$U62,IF((HQ$56-Voorblad!$F$41)/$U62-SUM($EE62:HP62)=1,1,0))))</f>
        <v>0</v>
      </c>
      <c r="HR62" s="8">
        <f>IF(HR$56-Voorblad!$F$41&gt;Voorblad!$K$41,0,IF($U62=0,0,IF($U62&lt;1,1/$U62,IF((HR$56-Voorblad!$F$41)/$U62-SUM($EE62:HQ62)=1,1,0))))</f>
        <v>0</v>
      </c>
      <c r="HS62" s="8">
        <f>IF(HS$56-Voorblad!$F$41&gt;Voorblad!$K$41,0,IF($U62=0,0,IF($U62&lt;1,1/$U62,IF((HS$56-Voorblad!$F$41)/$U62-SUM($EE62:HR62)=1,1,0))))</f>
        <v>0</v>
      </c>
      <c r="HT62" s="8">
        <f>IF(HT$56-Voorblad!$F$41&gt;Voorblad!$K$41,0,IF($U62=0,0,IF($U62&lt;1,1/$U62,IF((HT$56-Voorblad!$F$41)/$U62-SUM($EE62:HS62)=1,1,0))))</f>
        <v>0</v>
      </c>
      <c r="HU62" s="8">
        <f>IF(HU$56-Voorblad!$F$41&gt;Voorblad!$K$41,0,IF($U62=0,0,IF($U62&lt;1,1/$U62,IF((HU$56-Voorblad!$F$41)/$U62-SUM($EE62:HT62)=1,1,0))))</f>
        <v>0</v>
      </c>
      <c r="HV62" s="8">
        <f>IF(HV$56-Voorblad!$F$41&gt;Voorblad!$K$41,0,IF($U62=0,0,IF($U62&lt;1,1/$U62,IF((HV$56-Voorblad!$F$41)/$U62-SUM($EE62:HU62)=1,1,0))))</f>
        <v>0</v>
      </c>
      <c r="HW62" s="8">
        <f>IF(HW$56-Voorblad!$F$41&gt;Voorblad!$K$41,0,IF($U62=0,0,IF($U62&lt;1,1/$U62,IF((HW$56-Voorblad!$F$41)/$U62-SUM($EE62:HV62)=1,1,0))))</f>
        <v>0</v>
      </c>
      <c r="HX62" s="8">
        <f>IF(HX$56-Voorblad!$F$41&gt;Voorblad!$K$41,0,IF($U62=0,0,IF($U62&lt;1,1/$U62,IF((HX$56-Voorblad!$F$41)/$U62-SUM($EE62:HW62)=1,1,0))))</f>
        <v>0</v>
      </c>
      <c r="HY62" s="8">
        <f>IF(HY$56-Voorblad!$F$41&gt;Voorblad!$K$41,0,IF($U62=0,0,IF($U62&lt;1,1/$U62,IF((HY$56-Voorblad!$F$41)/$U62-SUM($EE62:HX62)=1,1,0))))</f>
        <v>0</v>
      </c>
      <c r="HZ62" s="8">
        <f>IF(HZ$56-Voorblad!$F$41&gt;Voorblad!$K$41,0,IF($U62=0,0,IF($U62&lt;1,1/$U62,IF((HZ$56-Voorblad!$F$41)/$U62-SUM($EE62:HY62)=1,1,0))))</f>
        <v>0</v>
      </c>
      <c r="IA62" s="8">
        <f>IF(IA$56-Voorblad!$F$41&gt;Voorblad!$K$41,0,IF($U62=0,0,IF($U62&lt;1,1/$U62,IF((IA$56-Voorblad!$F$41)/$U62-SUM($EE62:HZ62)=1,1,0))))</f>
        <v>0</v>
      </c>
      <c r="IB62" s="8">
        <f>IF(IB$56-Voorblad!$F$41&gt;Voorblad!$K$41,0,IF($U62=0,0,IF($U62&lt;1,1/$U62,IF((IB$56-Voorblad!$F$41)/$U62-SUM($EE62:IA62)=1,1,0))))</f>
        <v>0</v>
      </c>
    </row>
    <row r="63" spans="2:236" ht="12" hidden="1" customHeight="1" outlineLevel="1" x14ac:dyDescent="0.25">
      <c r="B63" s="1">
        <v>3</v>
      </c>
      <c r="F63" s="1" t="s">
        <v>23</v>
      </c>
      <c r="I63" s="1" t="s">
        <v>277</v>
      </c>
      <c r="K63" s="14" t="s">
        <v>168</v>
      </c>
      <c r="L63" s="14"/>
      <c r="M63" s="14"/>
      <c r="N63" s="3"/>
      <c r="O63" s="1" t="s">
        <v>170</v>
      </c>
      <c r="Q63" s="81">
        <v>0</v>
      </c>
      <c r="R63" s="1" t="s">
        <v>33</v>
      </c>
      <c r="S63" s="14">
        <f>$H$20*5000</f>
        <v>8850</v>
      </c>
      <c r="T63" s="1">
        <f t="shared" si="10"/>
        <v>0</v>
      </c>
      <c r="U63" s="14">
        <v>15</v>
      </c>
      <c r="V63" s="14"/>
      <c r="Y63" s="9">
        <f t="shared" ref="Y63" si="12">SUM(AE63:EB63)</f>
        <v>0</v>
      </c>
      <c r="Z63" s="82"/>
      <c r="AA63" s="82"/>
      <c r="AC63" s="9">
        <f>$Y63*(Voorblad!$K$44*(1+Voorblad!$K$44)^Voorblad!$K$41)/((1+Voorblad!$K$44)^Voorblad!$K$41-1)</f>
        <v>0</v>
      </c>
      <c r="AE63" s="9">
        <f>EF63*($Q63*$S63)/(1+Voorblad!$K$44)^(AE$56-Voorblad!$F$41)</f>
        <v>0</v>
      </c>
      <c r="AF63" s="9">
        <f>EG63*($Q63*$S63)/(1+Voorblad!$K$44)^(AF$56-Voorblad!$F$41)</f>
        <v>0</v>
      </c>
      <c r="AG63" s="9">
        <f>EH63*($Q63*$S63)/(1+Voorblad!$K$44)^(AG$56-Voorblad!$F$41)</f>
        <v>0</v>
      </c>
      <c r="AH63" s="9">
        <f>EI63*($Q63*$S63)/(1+Voorblad!$K$44)^(AH$56-Voorblad!$F$41)</f>
        <v>0</v>
      </c>
      <c r="AI63" s="9">
        <f>EJ63*($Q63*$S63)/(1+Voorblad!$K$44)^(AI$56-Voorblad!$F$41)</f>
        <v>0</v>
      </c>
      <c r="AJ63" s="9">
        <f>EK63*($Q63*$S63)/(1+Voorblad!$K$44)^(AJ$56-Voorblad!$F$41)</f>
        <v>0</v>
      </c>
      <c r="AK63" s="9">
        <f>EL63*($Q63*$S63)/(1+Voorblad!$K$44)^(AK$56-Voorblad!$F$41)</f>
        <v>0</v>
      </c>
      <c r="AL63" s="9">
        <f>EM63*($Q63*$S63)/(1+Voorblad!$K$44)^(AL$56-Voorblad!$F$41)</f>
        <v>0</v>
      </c>
      <c r="AM63" s="9">
        <f>EN63*($Q63*$S63)/(1+Voorblad!$K$44)^(AM$56-Voorblad!$F$41)</f>
        <v>0</v>
      </c>
      <c r="AN63" s="9">
        <f>EO63*($Q63*$S63)/(1+Voorblad!$K$44)^(AN$56-Voorblad!$F$41)</f>
        <v>0</v>
      </c>
      <c r="AO63" s="9">
        <f>EP63*($Q63*$S63)/(1+Voorblad!$K$44)^(AO$56-Voorblad!$F$41)</f>
        <v>0</v>
      </c>
      <c r="AP63" s="9">
        <f>EQ63*($Q63*$S63)/(1+Voorblad!$K$44)^(AP$56-Voorblad!$F$41)</f>
        <v>0</v>
      </c>
      <c r="AQ63" s="9">
        <f>ER63*($Q63*$S63)/(1+Voorblad!$K$44)^(AQ$56-Voorblad!$F$41)</f>
        <v>0</v>
      </c>
      <c r="AR63" s="9">
        <f>ES63*($Q63*$S63)/(1+Voorblad!$K$44)^(AR$56-Voorblad!$F$41)</f>
        <v>0</v>
      </c>
      <c r="AS63" s="9">
        <f>ET63*($Q63*$S63)/(1+Voorblad!$K$44)^(AS$56-Voorblad!$F$41)</f>
        <v>0</v>
      </c>
      <c r="AT63" s="9">
        <f>EU63*($Q63*$S63)/(1+Voorblad!$K$44)^(AT$56-Voorblad!$F$41)</f>
        <v>0</v>
      </c>
      <c r="AU63" s="9">
        <f>EV63*($Q63*$S63)/(1+Voorblad!$K$44)^(AU$56-Voorblad!$F$41)</f>
        <v>0</v>
      </c>
      <c r="AV63" s="9">
        <f>EW63*($Q63*$S63)/(1+Voorblad!$K$44)^(AV$56-Voorblad!$F$41)</f>
        <v>0</v>
      </c>
      <c r="AW63" s="9">
        <f>EX63*($Q63*$S63)/(1+Voorblad!$K$44)^(AW$56-Voorblad!$F$41)</f>
        <v>0</v>
      </c>
      <c r="AX63" s="9">
        <f>EY63*($Q63*$S63)/(1+Voorblad!$K$44)^(AX$56-Voorblad!$F$41)</f>
        <v>0</v>
      </c>
      <c r="AY63" s="9">
        <f>EZ63*($Q63*$S63)/(1+Voorblad!$K$44)^(AY$56-Voorblad!$F$41)</f>
        <v>0</v>
      </c>
      <c r="AZ63" s="9">
        <f>FA63*($Q63*$S63)/(1+Voorblad!$K$44)^(AZ$56-Voorblad!$F$41)</f>
        <v>0</v>
      </c>
      <c r="BA63" s="9">
        <f>FB63*($Q63*$S63)/(1+Voorblad!$K$44)^(BA$56-Voorblad!$F$41)</f>
        <v>0</v>
      </c>
      <c r="BB63" s="9">
        <f>FC63*($Q63*$S63)/(1+Voorblad!$K$44)^(BB$56-Voorblad!$F$41)</f>
        <v>0</v>
      </c>
      <c r="BC63" s="9">
        <f>FD63*($Q63*$S63)/(1+Voorblad!$K$44)^(BC$56-Voorblad!$F$41)</f>
        <v>0</v>
      </c>
      <c r="BD63" s="9">
        <f>FE63*($Q63*$S63)/(1+Voorblad!$K$44)^(BD$56-Voorblad!$F$41)</f>
        <v>0</v>
      </c>
      <c r="BE63" s="9">
        <f>FF63*($Q63*$S63)/(1+Voorblad!$K$44)^(BE$56-Voorblad!$F$41)</f>
        <v>0</v>
      </c>
      <c r="BF63" s="9">
        <f>FG63*($Q63*$S63)/(1+Voorblad!$K$44)^(BF$56-Voorblad!$F$41)</f>
        <v>0</v>
      </c>
      <c r="BG63" s="9">
        <f>FH63*($Q63*$S63)/(1+Voorblad!$K$44)^(BG$56-Voorblad!$F$41)</f>
        <v>0</v>
      </c>
      <c r="BH63" s="9">
        <f>FI63*($Q63*$S63)/(1+Voorblad!$K$44)^(BH$56-Voorblad!$F$41)</f>
        <v>0</v>
      </c>
      <c r="BI63" s="9">
        <f>FJ63*($Q63*$S63)/(1+Voorblad!$K$44)^(BI$56-Voorblad!$F$41)</f>
        <v>0</v>
      </c>
      <c r="BJ63" s="9">
        <f>FK63*($Q63*$S63)/(1+Voorblad!$K$44)^(BJ$56-Voorblad!$F$41)</f>
        <v>0</v>
      </c>
      <c r="BK63" s="9">
        <f>FL63*($Q63*$S63)/(1+Voorblad!$K$44)^(BK$56-Voorblad!$F$41)</f>
        <v>0</v>
      </c>
      <c r="BL63" s="9">
        <f>FM63*($Q63*$S63)/(1+Voorblad!$K$44)^(BL$56-Voorblad!$F$41)</f>
        <v>0</v>
      </c>
      <c r="BM63" s="9">
        <f>FN63*($Q63*$S63)/(1+Voorblad!$K$44)^(BM$56-Voorblad!$F$41)</f>
        <v>0</v>
      </c>
      <c r="BN63" s="9">
        <f>FO63*($Q63*$S63)/(1+Voorblad!$K$44)^(BN$56-Voorblad!$F$41)</f>
        <v>0</v>
      </c>
      <c r="BO63" s="9">
        <f>FP63*($Q63*$S63)/(1+Voorblad!$K$44)^(BO$56-Voorblad!$F$41)</f>
        <v>0</v>
      </c>
      <c r="BP63" s="9">
        <f>FQ63*($Q63*$S63)/(1+Voorblad!$K$44)^(BP$56-Voorblad!$F$41)</f>
        <v>0</v>
      </c>
      <c r="BQ63" s="9">
        <f>FR63*($Q63*$S63)/(1+Voorblad!$K$44)^(BQ$56-Voorblad!$F$41)</f>
        <v>0</v>
      </c>
      <c r="BR63" s="9">
        <f>FS63*($Q63*$S63)/(1+Voorblad!$K$44)^(BR$56-Voorblad!$F$41)</f>
        <v>0</v>
      </c>
      <c r="BS63" s="9">
        <f>FT63*($Q63*$S63)/(1+Voorblad!$K$44)^(BS$56-Voorblad!$F$41)</f>
        <v>0</v>
      </c>
      <c r="BT63" s="9">
        <f>FU63*($Q63*$S63)/(1+Voorblad!$K$44)^(BT$56-Voorblad!$F$41)</f>
        <v>0</v>
      </c>
      <c r="BU63" s="9">
        <f>FV63*($Q63*$S63)/(1+Voorblad!$K$44)^(BU$56-Voorblad!$F$41)</f>
        <v>0</v>
      </c>
      <c r="BV63" s="9">
        <f>FW63*($Q63*$S63)/(1+Voorblad!$K$44)^(BV$56-Voorblad!$F$41)</f>
        <v>0</v>
      </c>
      <c r="BW63" s="9">
        <f>FX63*($Q63*$S63)/(1+Voorblad!$K$44)^(BW$56-Voorblad!$F$41)</f>
        <v>0</v>
      </c>
      <c r="BX63" s="9">
        <f>FY63*($Q63*$S63)/(1+Voorblad!$K$44)^(BX$56-Voorblad!$F$41)</f>
        <v>0</v>
      </c>
      <c r="BY63" s="9">
        <f>FZ63*($Q63*$S63)/(1+Voorblad!$K$44)^(BY$56-Voorblad!$F$41)</f>
        <v>0</v>
      </c>
      <c r="BZ63" s="9">
        <f>GA63*($Q63*$S63)/(1+Voorblad!$K$44)^(BZ$56-Voorblad!$F$41)</f>
        <v>0</v>
      </c>
      <c r="CA63" s="9">
        <f>GB63*($Q63*$S63)/(1+Voorblad!$K$44)^(CA$56-Voorblad!$F$41)</f>
        <v>0</v>
      </c>
      <c r="CB63" s="9">
        <f>GC63*($Q63*$S63)/(1+Voorblad!$K$44)^(CB$56-Voorblad!$F$41)</f>
        <v>0</v>
      </c>
      <c r="CC63" s="9">
        <f>GD63*($Q63*$S63)/(1+Voorblad!$K$44)^(CC$56-Voorblad!$F$41)</f>
        <v>0</v>
      </c>
      <c r="CD63" s="9">
        <f>GE63*($Q63*$S63)/(1+Voorblad!$K$44)^(CD$56-Voorblad!$F$41)</f>
        <v>0</v>
      </c>
      <c r="CE63" s="9">
        <f>GF63*($Q63*$S63)/(1+Voorblad!$K$44)^(CE$56-Voorblad!$F$41)</f>
        <v>0</v>
      </c>
      <c r="CF63" s="9">
        <f>GG63*($Q63*$S63)/(1+Voorblad!$K$44)^(CF$56-Voorblad!$F$41)</f>
        <v>0</v>
      </c>
      <c r="CG63" s="9">
        <f>GH63*($Q63*$S63)/(1+Voorblad!$K$44)^(CG$56-Voorblad!$F$41)</f>
        <v>0</v>
      </c>
      <c r="CH63" s="9">
        <f>GI63*($Q63*$S63)/(1+Voorblad!$K$44)^(CH$56-Voorblad!$F$41)</f>
        <v>0</v>
      </c>
      <c r="CI63" s="9">
        <f>GJ63*($Q63*$S63)/(1+Voorblad!$K$44)^(CI$56-Voorblad!$F$41)</f>
        <v>0</v>
      </c>
      <c r="CJ63" s="9">
        <f>GK63*($Q63*$S63)/(1+Voorblad!$K$44)^(CJ$56-Voorblad!$F$41)</f>
        <v>0</v>
      </c>
      <c r="CK63" s="9">
        <f>GL63*($Q63*$S63)/(1+Voorblad!$K$44)^(CK$56-Voorblad!$F$41)</f>
        <v>0</v>
      </c>
      <c r="CL63" s="9">
        <f>GM63*($Q63*$S63)/(1+Voorblad!$K$44)^(CL$56-Voorblad!$F$41)</f>
        <v>0</v>
      </c>
      <c r="CM63" s="9">
        <f>GN63*($Q63*$S63)/(1+Voorblad!$K$44)^(CM$56-Voorblad!$F$41)</f>
        <v>0</v>
      </c>
      <c r="CN63" s="9">
        <f>GO63*($Q63*$S63)/(1+Voorblad!$K$44)^(CN$56-Voorblad!$F$41)</f>
        <v>0</v>
      </c>
      <c r="CO63" s="9">
        <f>GP63*($Q63*$S63)/(1+Voorblad!$K$44)^(CO$56-Voorblad!$F$41)</f>
        <v>0</v>
      </c>
      <c r="CP63" s="9">
        <f>GQ63*($Q63*$S63)/(1+Voorblad!$K$44)^(CP$56-Voorblad!$F$41)</f>
        <v>0</v>
      </c>
      <c r="CQ63" s="9">
        <f>GR63*($Q63*$S63)/(1+Voorblad!$K$44)^(CQ$56-Voorblad!$F$41)</f>
        <v>0</v>
      </c>
      <c r="CR63" s="9">
        <f>GS63*($Q63*$S63)/(1+Voorblad!$K$44)^(CR$56-Voorblad!$F$41)</f>
        <v>0</v>
      </c>
      <c r="CS63" s="9">
        <f>GT63*($Q63*$S63)/(1+Voorblad!$K$44)^(CS$56-Voorblad!$F$41)</f>
        <v>0</v>
      </c>
      <c r="CT63" s="9">
        <f>GU63*($Q63*$S63)/(1+Voorblad!$K$44)^(CT$56-Voorblad!$F$41)</f>
        <v>0</v>
      </c>
      <c r="CU63" s="9">
        <f>GV63*($Q63*$S63)/(1+Voorblad!$K$44)^(CU$56-Voorblad!$F$41)</f>
        <v>0</v>
      </c>
      <c r="CV63" s="9">
        <f>GW63*($Q63*$S63)/(1+Voorblad!$K$44)^(CV$56-Voorblad!$F$41)</f>
        <v>0</v>
      </c>
      <c r="CW63" s="9">
        <f>GX63*($Q63*$S63)/(1+Voorblad!$K$44)^(CW$56-Voorblad!$F$41)</f>
        <v>0</v>
      </c>
      <c r="CX63" s="9">
        <f>GY63*($Q63*$S63)/(1+Voorblad!$K$44)^(CX$56-Voorblad!$F$41)</f>
        <v>0</v>
      </c>
      <c r="CY63" s="9">
        <f>GZ63*($Q63*$S63)/(1+Voorblad!$K$44)^(CY$56-Voorblad!$F$41)</f>
        <v>0</v>
      </c>
      <c r="CZ63" s="9">
        <f>HA63*($Q63*$S63)/(1+Voorblad!$K$44)^(CZ$56-Voorblad!$F$41)</f>
        <v>0</v>
      </c>
      <c r="DA63" s="9">
        <f>HB63*($Q63*$S63)/(1+Voorblad!$K$44)^(DA$56-Voorblad!$F$41)</f>
        <v>0</v>
      </c>
      <c r="DB63" s="9">
        <f>HC63*($Q63*$S63)/(1+Voorblad!$K$44)^(DB$56-Voorblad!$F$41)</f>
        <v>0</v>
      </c>
      <c r="DC63" s="9">
        <f>HD63*($Q63*$S63)/(1+Voorblad!$K$44)^(DC$56-Voorblad!$F$41)</f>
        <v>0</v>
      </c>
      <c r="DD63" s="9">
        <f>HE63*($Q63*$S63)/(1+Voorblad!$K$44)^(DD$56-Voorblad!$F$41)</f>
        <v>0</v>
      </c>
      <c r="DE63" s="9">
        <f>HF63*($Q63*$S63)/(1+Voorblad!$K$44)^(DE$56-Voorblad!$F$41)</f>
        <v>0</v>
      </c>
      <c r="DF63" s="9">
        <f>HG63*($Q63*$S63)/(1+Voorblad!$K$44)^(DF$56-Voorblad!$F$41)</f>
        <v>0</v>
      </c>
      <c r="DG63" s="9">
        <f>HH63*($Q63*$S63)/(1+Voorblad!$K$44)^(DG$56-Voorblad!$F$41)</f>
        <v>0</v>
      </c>
      <c r="DH63" s="9">
        <f>HI63*($Q63*$S63)/(1+Voorblad!$K$44)^(DH$56-Voorblad!$F$41)</f>
        <v>0</v>
      </c>
      <c r="DI63" s="9">
        <f>HJ63*($Q63*$S63)/(1+Voorblad!$K$44)^(DI$56-Voorblad!$F$41)</f>
        <v>0</v>
      </c>
      <c r="DJ63" s="9">
        <f>HK63*($Q63*$S63)/(1+Voorblad!$K$44)^(DJ$56-Voorblad!$F$41)</f>
        <v>0</v>
      </c>
      <c r="DK63" s="9">
        <f>HL63*($Q63*$S63)/(1+Voorblad!$K$44)^(DK$56-Voorblad!$F$41)</f>
        <v>0</v>
      </c>
      <c r="DL63" s="9">
        <f>HM63*($Q63*$S63)/(1+Voorblad!$K$44)^(DL$56-Voorblad!$F$41)</f>
        <v>0</v>
      </c>
      <c r="DM63" s="9">
        <f>HN63*($Q63*$S63)/(1+Voorblad!$K$44)^(DM$56-Voorblad!$F$41)</f>
        <v>0</v>
      </c>
      <c r="DN63" s="9">
        <f>HO63*($Q63*$S63)/(1+Voorblad!$K$44)^(DN$56-Voorblad!$F$41)</f>
        <v>0</v>
      </c>
      <c r="DO63" s="9">
        <f>HP63*($Q63*$S63)/(1+Voorblad!$K$44)^(DO$56-Voorblad!$F$41)</f>
        <v>0</v>
      </c>
      <c r="DP63" s="9">
        <f>HQ63*($Q63*$S63)/(1+Voorblad!$K$44)^(DP$56-Voorblad!$F$41)</f>
        <v>0</v>
      </c>
      <c r="DQ63" s="9">
        <f>HR63*($Q63*$S63)/(1+Voorblad!$K$44)^(DQ$56-Voorblad!$F$41)</f>
        <v>0</v>
      </c>
      <c r="DR63" s="9">
        <f>HS63*($Q63*$S63)/(1+Voorblad!$K$44)^(DR$56-Voorblad!$F$41)</f>
        <v>0</v>
      </c>
      <c r="DS63" s="9">
        <f>HT63*($Q63*$S63)/(1+Voorblad!$K$44)^(DS$56-Voorblad!$F$41)</f>
        <v>0</v>
      </c>
      <c r="DT63" s="9">
        <f>HU63*($Q63*$S63)/(1+Voorblad!$K$44)^(DT$56-Voorblad!$F$41)</f>
        <v>0</v>
      </c>
      <c r="DU63" s="9">
        <f>HV63*($Q63*$S63)/(1+Voorblad!$K$44)^(DU$56-Voorblad!$F$41)</f>
        <v>0</v>
      </c>
      <c r="DV63" s="9">
        <f>HW63*($Q63*$S63)/(1+Voorblad!$K$44)^(DV$56-Voorblad!$F$41)</f>
        <v>0</v>
      </c>
      <c r="DW63" s="9">
        <f>HX63*($Q63*$S63)/(1+Voorblad!$K$44)^(DW$56-Voorblad!$F$41)</f>
        <v>0</v>
      </c>
      <c r="DX63" s="9">
        <f>HY63*($Q63*$S63)/(1+Voorblad!$K$44)^(DX$56-Voorblad!$F$41)</f>
        <v>0</v>
      </c>
      <c r="DY63" s="9">
        <f>HZ63*($Q63*$S63)/(1+Voorblad!$K$44)^(DY$56-Voorblad!$F$41)</f>
        <v>0</v>
      </c>
      <c r="DZ63" s="9">
        <f>IA63*($Q63*$S63)/(1+Voorblad!$K$44)^(DZ$56-Voorblad!$F$41)</f>
        <v>0</v>
      </c>
      <c r="EA63" s="9">
        <f>IB63*($Q63*$S63)/(1+Voorblad!$K$44)^(EA$56-Voorblad!$F$41)</f>
        <v>0</v>
      </c>
      <c r="EB63" s="9">
        <f>IC63*($Q63*$S63)/(1+Voorblad!$K$44)^(EB$56-Voorblad!$F$41)</f>
        <v>0</v>
      </c>
      <c r="EE63" s="8">
        <v>0</v>
      </c>
      <c r="EF63" s="8">
        <f>IF(EF$56-Voorblad!$F$41&gt;Voorblad!$K$41,0,IF($U63=0,0,IF($U63&lt;1,1/$U63,IF((EF$56-Voorblad!$F$41)/$U63-SUM($EE63:EE63)=1,1,0))))</f>
        <v>0</v>
      </c>
      <c r="EG63" s="8">
        <f>IF(EG$56-Voorblad!$F$41&gt;Voorblad!$K$41,0,IF($U63=0,0,IF($U63&lt;1,1/$U63,IF((EG$56-Voorblad!$F$41)/$U63-SUM($EE63:EF63)=1,1,0))))</f>
        <v>0</v>
      </c>
      <c r="EH63" s="8">
        <f>IF(EH$56-Voorblad!$F$41&gt;Voorblad!$K$41,0,IF($U63=0,0,IF($U63&lt;1,1/$U63,IF((EH$56-Voorblad!$F$41)/$U63-SUM($EE63:EG63)=1,1,0))))</f>
        <v>0</v>
      </c>
      <c r="EI63" s="8">
        <f>IF(EI$56-Voorblad!$F$41&gt;Voorblad!$K$41,0,IF($U63=0,0,IF($U63&lt;1,1/$U63,IF((EI$56-Voorblad!$F$41)/$U63-SUM($EE63:EH63)=1,1,0))))</f>
        <v>0</v>
      </c>
      <c r="EJ63" s="8">
        <f>IF(EJ$56-Voorblad!$F$41&gt;Voorblad!$K$41,0,IF($U63=0,0,IF($U63&lt;1,1/$U63,IF((EJ$56-Voorblad!$F$41)/$U63-SUM($EE63:EI63)=1,1,0))))</f>
        <v>0</v>
      </c>
      <c r="EK63" s="8">
        <f>IF(EK$56-Voorblad!$F$41&gt;Voorblad!$K$41,0,IF($U63=0,0,IF($U63&lt;1,1/$U63,IF((EK$56-Voorblad!$F$41)/$U63-SUM($EE63:EJ63)=1,1,0))))</f>
        <v>0</v>
      </c>
      <c r="EL63" s="8">
        <f>IF(EL$56-Voorblad!$F$41&gt;Voorblad!$K$41,0,IF($U63=0,0,IF($U63&lt;1,1/$U63,IF((EL$56-Voorblad!$F$41)/$U63-SUM($EE63:EK63)=1,1,0))))</f>
        <v>0</v>
      </c>
      <c r="EM63" s="8">
        <f>IF(EM$56-Voorblad!$F$41&gt;Voorblad!$K$41,0,IF($U63=0,0,IF($U63&lt;1,1/$U63,IF((EM$56-Voorblad!$F$41)/$U63-SUM($EE63:EL63)=1,1,0))))</f>
        <v>0</v>
      </c>
      <c r="EN63" s="8">
        <f>IF(EN$56-Voorblad!$F$41&gt;Voorblad!$K$41,0,IF($U63=0,0,IF($U63&lt;1,1/$U63,IF((EN$56-Voorblad!$F$41)/$U63-SUM($EE63:EM63)=1,1,0))))</f>
        <v>0</v>
      </c>
      <c r="EO63" s="8">
        <f>IF(EO$56-Voorblad!$F$41&gt;Voorblad!$K$41,0,IF($U63=0,0,IF($U63&lt;1,1/$U63,IF((EO$56-Voorblad!$F$41)/$U63-SUM($EE63:EN63)=1,1,0))))</f>
        <v>0</v>
      </c>
      <c r="EP63" s="8">
        <f>IF(EP$56-Voorblad!$F$41&gt;Voorblad!$K$41,0,IF($U63=0,0,IF($U63&lt;1,1/$U63,IF((EP$56-Voorblad!$F$41)/$U63-SUM($EE63:EO63)=1,1,0))))</f>
        <v>0</v>
      </c>
      <c r="EQ63" s="8">
        <f>IF(EQ$56-Voorblad!$F$41&gt;Voorblad!$K$41,0,IF($U63=0,0,IF($U63&lt;1,1/$U63,IF((EQ$56-Voorblad!$F$41)/$U63-SUM($EE63:EP63)=1,1,0))))</f>
        <v>0</v>
      </c>
      <c r="ER63" s="8">
        <f>IF(ER$56-Voorblad!$F$41&gt;Voorblad!$K$41,0,IF($U63=0,0,IF($U63&lt;1,1/$U63,IF((ER$56-Voorblad!$F$41)/$U63-SUM($EE63:EQ63)=1,1,0))))</f>
        <v>0</v>
      </c>
      <c r="ES63" s="8">
        <f>IF(ES$56-Voorblad!$F$41&gt;Voorblad!$K$41,0,IF($U63=0,0,IF($U63&lt;1,1/$U63,IF((ES$56-Voorblad!$F$41)/$U63-SUM($EE63:ER63)=1,1,0))))</f>
        <v>0</v>
      </c>
      <c r="ET63" s="8">
        <f>IF(ET$56-Voorblad!$F$41&gt;Voorblad!$K$41,0,IF($U63=0,0,IF($U63&lt;1,1/$U63,IF((ET$56-Voorblad!$F$41)/$U63-SUM($EE63:ES63)=1,1,0))))</f>
        <v>0</v>
      </c>
      <c r="EU63" s="8">
        <f>IF(EU$56-Voorblad!$F$41&gt;Voorblad!$K$41,0,IF($U63=0,0,IF($U63&lt;1,1/$U63,IF((EU$56-Voorblad!$F$41)/$U63-SUM($EE63:ET63)=1,1,0))))</f>
        <v>1</v>
      </c>
      <c r="EV63" s="8">
        <f>IF(EV$56-Voorblad!$F$41&gt;Voorblad!$K$41,0,IF($U63=0,0,IF($U63&lt;1,1/$U63,IF((EV$56-Voorblad!$F$41)/$U63-SUM($EE63:EU63)=1,1,0))))</f>
        <v>0</v>
      </c>
      <c r="EW63" s="8">
        <f>IF(EW$56-Voorblad!$F$41&gt;Voorblad!$K$41,0,IF($U63=0,0,IF($U63&lt;1,1/$U63,IF((EW$56-Voorblad!$F$41)/$U63-SUM($EE63:EV63)=1,1,0))))</f>
        <v>0</v>
      </c>
      <c r="EX63" s="8">
        <f>IF(EX$56-Voorblad!$F$41&gt;Voorblad!$K$41,0,IF($U63=0,0,IF($U63&lt;1,1/$U63,IF((EX$56-Voorblad!$F$41)/$U63-SUM($EE63:EW63)=1,1,0))))</f>
        <v>0</v>
      </c>
      <c r="EY63" s="8">
        <f>IF(EY$56-Voorblad!$F$41&gt;Voorblad!$K$41,0,IF($U63=0,0,IF($U63&lt;1,1/$U63,IF((EY$56-Voorblad!$F$41)/$U63-SUM($EE63:EX63)=1,1,0))))</f>
        <v>0</v>
      </c>
      <c r="EZ63" s="8">
        <f>IF(EZ$56-Voorblad!$F$41&gt;Voorblad!$K$41,0,IF($U63=0,0,IF($U63&lt;1,1/$U63,IF((EZ$56-Voorblad!$F$41)/$U63-SUM($EE63:EY63)=1,1,0))))</f>
        <v>0</v>
      </c>
      <c r="FA63" s="8">
        <f>IF(FA$56-Voorblad!$F$41&gt;Voorblad!$K$41,0,IF($U63=0,0,IF($U63&lt;1,1/$U63,IF((FA$56-Voorblad!$F$41)/$U63-SUM($EE63:EZ63)=1,1,0))))</f>
        <v>0</v>
      </c>
      <c r="FB63" s="8">
        <f>IF(FB$56-Voorblad!$F$41&gt;Voorblad!$K$41,0,IF($U63=0,0,IF($U63&lt;1,1/$U63,IF((FB$56-Voorblad!$F$41)/$U63-SUM($EE63:FA63)=1,1,0))))</f>
        <v>0</v>
      </c>
      <c r="FC63" s="8">
        <f>IF(FC$56-Voorblad!$F$41&gt;Voorblad!$K$41,0,IF($U63=0,0,IF($U63&lt;1,1/$U63,IF((FC$56-Voorblad!$F$41)/$U63-SUM($EE63:FB63)=1,1,0))))</f>
        <v>0</v>
      </c>
      <c r="FD63" s="8">
        <f>IF(FD$56-Voorblad!$F$41&gt;Voorblad!$K$41,0,IF($U63=0,0,IF($U63&lt;1,1/$U63,IF((FD$56-Voorblad!$F$41)/$U63-SUM($EE63:FC63)=1,1,0))))</f>
        <v>0</v>
      </c>
      <c r="FE63" s="8">
        <f>IF(FE$56-Voorblad!$F$41&gt;Voorblad!$K$41,0,IF($U63=0,0,IF($U63&lt;1,1/$U63,IF((FE$56-Voorblad!$F$41)/$U63-SUM($EE63:FD63)=1,1,0))))</f>
        <v>0</v>
      </c>
      <c r="FF63" s="8">
        <f>IF(FF$56-Voorblad!$F$41&gt;Voorblad!$K$41,0,IF($U63=0,0,IF($U63&lt;1,1/$U63,IF((FF$56-Voorblad!$F$41)/$U63-SUM($EE63:FE63)=1,1,0))))</f>
        <v>0</v>
      </c>
      <c r="FG63" s="8">
        <f>IF(FG$56-Voorblad!$F$41&gt;Voorblad!$K$41,0,IF($U63=0,0,IF($U63&lt;1,1/$U63,IF((FG$56-Voorblad!$F$41)/$U63-SUM($EE63:FF63)=1,1,0))))</f>
        <v>0</v>
      </c>
      <c r="FH63" s="8">
        <f>IF(FH$56-Voorblad!$F$41&gt;Voorblad!$K$41,0,IF($U63=0,0,IF($U63&lt;1,1/$U63,IF((FH$56-Voorblad!$F$41)/$U63-SUM($EE63:FG63)=1,1,0))))</f>
        <v>0</v>
      </c>
      <c r="FI63" s="8">
        <f>IF(FI$56-Voorblad!$F$41&gt;Voorblad!$K$41,0,IF($U63=0,0,IF($U63&lt;1,1/$U63,IF((FI$56-Voorblad!$F$41)/$U63-SUM($EE63:FH63)=1,1,0))))</f>
        <v>0</v>
      </c>
      <c r="FJ63" s="8">
        <f>IF(FJ$56-Voorblad!$F$41&gt;Voorblad!$K$41,0,IF($U63=0,0,IF($U63&lt;1,1/$U63,IF((FJ$56-Voorblad!$F$41)/$U63-SUM($EE63:FI63)=1,1,0))))</f>
        <v>1</v>
      </c>
      <c r="FK63" s="8">
        <f>IF(FK$56-Voorblad!$F$41&gt;Voorblad!$K$41,0,IF($U63=0,0,IF($U63&lt;1,1/$U63,IF((FK$56-Voorblad!$F$41)/$U63-SUM($EE63:FJ63)=1,1,0))))</f>
        <v>0</v>
      </c>
      <c r="FL63" s="8">
        <f>IF(FL$56-Voorblad!$F$41&gt;Voorblad!$K$41,0,IF($U63=0,0,IF($U63&lt;1,1/$U63,IF((FL$56-Voorblad!$F$41)/$U63-SUM($EE63:FK63)=1,1,0))))</f>
        <v>0</v>
      </c>
      <c r="FM63" s="8">
        <f>IF(FM$56-Voorblad!$F$41&gt;Voorblad!$K$41,0,IF($U63=0,0,IF($U63&lt;1,1/$U63,IF((FM$56-Voorblad!$F$41)/$U63-SUM($EE63:FL63)=1,1,0))))</f>
        <v>0</v>
      </c>
      <c r="FN63" s="8">
        <f>IF(FN$56-Voorblad!$F$41&gt;Voorblad!$K$41,0,IF($U63=0,0,IF($U63&lt;1,1/$U63,IF((FN$56-Voorblad!$F$41)/$U63-SUM($EE63:FM63)=1,1,0))))</f>
        <v>0</v>
      </c>
      <c r="FO63" s="8">
        <f>IF(FO$56-Voorblad!$F$41&gt;Voorblad!$K$41,0,IF($U63=0,0,IF($U63&lt;1,1/$U63,IF((FO$56-Voorblad!$F$41)/$U63-SUM($EE63:FN63)=1,1,0))))</f>
        <v>0</v>
      </c>
      <c r="FP63" s="8">
        <f>IF(FP$56-Voorblad!$F$41&gt;Voorblad!$K$41,0,IF($U63=0,0,IF($U63&lt;1,1/$U63,IF((FP$56-Voorblad!$F$41)/$U63-SUM($EE63:FO63)=1,1,0))))</f>
        <v>0</v>
      </c>
      <c r="FQ63" s="8">
        <f>IF(FQ$56-Voorblad!$F$41&gt;Voorblad!$K$41,0,IF($U63=0,0,IF($U63&lt;1,1/$U63,IF((FQ$56-Voorblad!$F$41)/$U63-SUM($EE63:FP63)=1,1,0))))</f>
        <v>0</v>
      </c>
      <c r="FR63" s="8">
        <f>IF(FR$56-Voorblad!$F$41&gt;Voorblad!$K$41,0,IF($U63=0,0,IF($U63&lt;1,1/$U63,IF((FR$56-Voorblad!$F$41)/$U63-SUM($EE63:FQ63)=1,1,0))))</f>
        <v>0</v>
      </c>
      <c r="FS63" s="8">
        <f>IF(FS$56-Voorblad!$F$41&gt;Voorblad!$K$41,0,IF($U63=0,0,IF($U63&lt;1,1/$U63,IF((FS$56-Voorblad!$F$41)/$U63-SUM($EE63:FR63)=1,1,0))))</f>
        <v>0</v>
      </c>
      <c r="FT63" s="8">
        <f>IF(FT$56-Voorblad!$F$41&gt;Voorblad!$K$41,0,IF($U63=0,0,IF($U63&lt;1,1/$U63,IF((FT$56-Voorblad!$F$41)/$U63-SUM($EE63:FS63)=1,1,0))))</f>
        <v>0</v>
      </c>
      <c r="FU63" s="8">
        <f>IF(FU$56-Voorblad!$F$41&gt;Voorblad!$K$41,0,IF($U63=0,0,IF($U63&lt;1,1/$U63,IF((FU$56-Voorblad!$F$41)/$U63-SUM($EE63:FT63)=1,1,0))))</f>
        <v>0</v>
      </c>
      <c r="FV63" s="8">
        <f>IF(FV$56-Voorblad!$F$41&gt;Voorblad!$K$41,0,IF($U63=0,0,IF($U63&lt;1,1/$U63,IF((FV$56-Voorblad!$F$41)/$U63-SUM($EE63:FU63)=1,1,0))))</f>
        <v>0</v>
      </c>
      <c r="FW63" s="8">
        <f>IF(FW$56-Voorblad!$F$41&gt;Voorblad!$K$41,0,IF($U63=0,0,IF($U63&lt;1,1/$U63,IF((FW$56-Voorblad!$F$41)/$U63-SUM($EE63:FV63)=1,1,0))))</f>
        <v>0</v>
      </c>
      <c r="FX63" s="8">
        <f>IF(FX$56-Voorblad!$F$41&gt;Voorblad!$K$41,0,IF($U63=0,0,IF($U63&lt;1,1/$U63,IF((FX$56-Voorblad!$F$41)/$U63-SUM($EE63:FW63)=1,1,0))))</f>
        <v>0</v>
      </c>
      <c r="FY63" s="8">
        <f>IF(FY$56-Voorblad!$F$41&gt;Voorblad!$K$41,0,IF($U63=0,0,IF($U63&lt;1,1/$U63,IF((FY$56-Voorblad!$F$41)/$U63-SUM($EE63:FX63)=1,1,0))))</f>
        <v>1</v>
      </c>
      <c r="FZ63" s="8">
        <f>IF(FZ$56-Voorblad!$F$41&gt;Voorblad!$K$41,0,IF($U63=0,0,IF($U63&lt;1,1/$U63,IF((FZ$56-Voorblad!$F$41)/$U63-SUM($EE63:FY63)=1,1,0))))</f>
        <v>0</v>
      </c>
      <c r="GA63" s="8">
        <f>IF(GA$56-Voorblad!$F$41&gt;Voorblad!$K$41,0,IF($U63=0,0,IF($U63&lt;1,1/$U63,IF((GA$56-Voorblad!$F$41)/$U63-SUM($EE63:FZ63)=1,1,0))))</f>
        <v>0</v>
      </c>
      <c r="GB63" s="8">
        <f>IF(GB$56-Voorblad!$F$41&gt;Voorblad!$K$41,0,IF($U63=0,0,IF($U63&lt;1,1/$U63,IF((GB$56-Voorblad!$F$41)/$U63-SUM($EE63:GA63)=1,1,0))))</f>
        <v>0</v>
      </c>
      <c r="GC63" s="8">
        <f>IF(GC$56-Voorblad!$F$41&gt;Voorblad!$K$41,0,IF($U63=0,0,IF($U63&lt;1,1/$U63,IF((GC$56-Voorblad!$F$41)/$U63-SUM($EE63:GB63)=1,1,0))))</f>
        <v>0</v>
      </c>
      <c r="GD63" s="8">
        <f>IF(GD$56-Voorblad!$F$41&gt;Voorblad!$K$41,0,IF($U63=0,0,IF($U63&lt;1,1/$U63,IF((GD$56-Voorblad!$F$41)/$U63-SUM($EE63:GC63)=1,1,0))))</f>
        <v>0</v>
      </c>
      <c r="GE63" s="8">
        <f>IF(GE$56-Voorblad!$F$41&gt;Voorblad!$K$41,0,IF($U63=0,0,IF($U63&lt;1,1/$U63,IF((GE$56-Voorblad!$F$41)/$U63-SUM($EE63:GD63)=1,1,0))))</f>
        <v>0</v>
      </c>
      <c r="GF63" s="8">
        <f>IF(GF$56-Voorblad!$F$41&gt;Voorblad!$K$41,0,IF($U63=0,0,IF($U63&lt;1,1/$U63,IF((GF$56-Voorblad!$F$41)/$U63-SUM($EE63:GE63)=1,1,0))))</f>
        <v>0</v>
      </c>
      <c r="GG63" s="8">
        <f>IF(GG$56-Voorblad!$F$41&gt;Voorblad!$K$41,0,IF($U63=0,0,IF($U63&lt;1,1/$U63,IF((GG$56-Voorblad!$F$41)/$U63-SUM($EE63:GF63)=1,1,0))))</f>
        <v>0</v>
      </c>
      <c r="GH63" s="8">
        <f>IF(GH$56-Voorblad!$F$41&gt;Voorblad!$K$41,0,IF($U63=0,0,IF($U63&lt;1,1/$U63,IF((GH$56-Voorblad!$F$41)/$U63-SUM($EE63:GG63)=1,1,0))))</f>
        <v>0</v>
      </c>
      <c r="GI63" s="8">
        <f>IF(GI$56-Voorblad!$F$41&gt;Voorblad!$K$41,0,IF($U63=0,0,IF($U63&lt;1,1/$U63,IF((GI$56-Voorblad!$F$41)/$U63-SUM($EE63:GH63)=1,1,0))))</f>
        <v>0</v>
      </c>
      <c r="GJ63" s="8">
        <f>IF(GJ$56-Voorblad!$F$41&gt;Voorblad!$K$41,0,IF($U63=0,0,IF($U63&lt;1,1/$U63,IF((GJ$56-Voorblad!$F$41)/$U63-SUM($EE63:GI63)=1,1,0))))</f>
        <v>0</v>
      </c>
      <c r="GK63" s="8">
        <f>IF(GK$56-Voorblad!$F$41&gt;Voorblad!$K$41,0,IF($U63=0,0,IF($U63&lt;1,1/$U63,IF((GK$56-Voorblad!$F$41)/$U63-SUM($EE63:GJ63)=1,1,0))))</f>
        <v>0</v>
      </c>
      <c r="GL63" s="8">
        <f>IF(GL$56-Voorblad!$F$41&gt;Voorblad!$K$41,0,IF($U63=0,0,IF($U63&lt;1,1/$U63,IF((GL$56-Voorblad!$F$41)/$U63-SUM($EE63:GK63)=1,1,0))))</f>
        <v>0</v>
      </c>
      <c r="GM63" s="8">
        <f>IF(GM$56-Voorblad!$F$41&gt;Voorblad!$K$41,0,IF($U63=0,0,IF($U63&lt;1,1/$U63,IF((GM$56-Voorblad!$F$41)/$U63-SUM($EE63:GL63)=1,1,0))))</f>
        <v>0</v>
      </c>
      <c r="GN63" s="8">
        <f>IF(GN$56-Voorblad!$F$41&gt;Voorblad!$K$41,0,IF($U63=0,0,IF($U63&lt;1,1/$U63,IF((GN$56-Voorblad!$F$41)/$U63-SUM($EE63:GM63)=1,1,0))))</f>
        <v>1</v>
      </c>
      <c r="GO63" s="8">
        <f>IF(GO$56-Voorblad!$F$41&gt;Voorblad!$K$41,0,IF($U63=0,0,IF($U63&lt;1,1/$U63,IF((GO$56-Voorblad!$F$41)/$U63-SUM($EE63:GN63)=1,1,0))))</f>
        <v>0</v>
      </c>
      <c r="GP63" s="8">
        <f>IF(GP$56-Voorblad!$F$41&gt;Voorblad!$K$41,0,IF($U63=0,0,IF($U63&lt;1,1/$U63,IF((GP$56-Voorblad!$F$41)/$U63-SUM($EE63:GO63)=1,1,0))))</f>
        <v>0</v>
      </c>
      <c r="GQ63" s="8">
        <f>IF(GQ$56-Voorblad!$F$41&gt;Voorblad!$K$41,0,IF($U63=0,0,IF($U63&lt;1,1/$U63,IF((GQ$56-Voorblad!$F$41)/$U63-SUM($EE63:GP63)=1,1,0))))</f>
        <v>0</v>
      </c>
      <c r="GR63" s="8">
        <f>IF(GR$56-Voorblad!$F$41&gt;Voorblad!$K$41,0,IF($U63=0,0,IF($U63&lt;1,1/$U63,IF((GR$56-Voorblad!$F$41)/$U63-SUM($EE63:GQ63)=1,1,0))))</f>
        <v>0</v>
      </c>
      <c r="GS63" s="8">
        <f>IF(GS$56-Voorblad!$F$41&gt;Voorblad!$K$41,0,IF($U63=0,0,IF($U63&lt;1,1/$U63,IF((GS$56-Voorblad!$F$41)/$U63-SUM($EE63:GR63)=1,1,0))))</f>
        <v>0</v>
      </c>
      <c r="GT63" s="8">
        <f>IF(GT$56-Voorblad!$F$41&gt;Voorblad!$K$41,0,IF($U63=0,0,IF($U63&lt;1,1/$U63,IF((GT$56-Voorblad!$F$41)/$U63-SUM($EE63:GS63)=1,1,0))))</f>
        <v>0</v>
      </c>
      <c r="GU63" s="8">
        <f>IF(GU$56-Voorblad!$F$41&gt;Voorblad!$K$41,0,IF($U63=0,0,IF($U63&lt;1,1/$U63,IF((GU$56-Voorblad!$F$41)/$U63-SUM($EE63:GT63)=1,1,0))))</f>
        <v>0</v>
      </c>
      <c r="GV63" s="8">
        <f>IF(GV$56-Voorblad!$F$41&gt;Voorblad!$K$41,0,IF($U63=0,0,IF($U63&lt;1,1/$U63,IF((GV$56-Voorblad!$F$41)/$U63-SUM($EE63:GU63)=1,1,0))))</f>
        <v>0</v>
      </c>
      <c r="GW63" s="8">
        <f>IF(GW$56-Voorblad!$F$41&gt;Voorblad!$K$41,0,IF($U63=0,0,IF($U63&lt;1,1/$U63,IF((GW$56-Voorblad!$F$41)/$U63-SUM($EE63:GV63)=1,1,0))))</f>
        <v>0</v>
      </c>
      <c r="GX63" s="8">
        <f>IF(GX$56-Voorblad!$F$41&gt;Voorblad!$K$41,0,IF($U63=0,0,IF($U63&lt;1,1/$U63,IF((GX$56-Voorblad!$F$41)/$U63-SUM($EE63:GW63)=1,1,0))))</f>
        <v>0</v>
      </c>
      <c r="GY63" s="8">
        <f>IF(GY$56-Voorblad!$F$41&gt;Voorblad!$K$41,0,IF($U63=0,0,IF($U63&lt;1,1/$U63,IF((GY$56-Voorblad!$F$41)/$U63-SUM($EE63:GX63)=1,1,0))))</f>
        <v>0</v>
      </c>
      <c r="GZ63" s="8">
        <f>IF(GZ$56-Voorblad!$F$41&gt;Voorblad!$K$41,0,IF($U63=0,0,IF($U63&lt;1,1/$U63,IF((GZ$56-Voorblad!$F$41)/$U63-SUM($EE63:GY63)=1,1,0))))</f>
        <v>0</v>
      </c>
      <c r="HA63" s="8">
        <f>IF(HA$56-Voorblad!$F$41&gt;Voorblad!$K$41,0,IF($U63=0,0,IF($U63&lt;1,1/$U63,IF((HA$56-Voorblad!$F$41)/$U63-SUM($EE63:GZ63)=1,1,0))))</f>
        <v>0</v>
      </c>
      <c r="HB63" s="8">
        <f>IF(HB$56-Voorblad!$F$41&gt;Voorblad!$K$41,0,IF($U63=0,0,IF($U63&lt;1,1/$U63,IF((HB$56-Voorblad!$F$41)/$U63-SUM($EE63:HA63)=1,1,0))))</f>
        <v>0</v>
      </c>
      <c r="HC63" s="8">
        <f>IF(HC$56-Voorblad!$F$41&gt;Voorblad!$K$41,0,IF($U63=0,0,IF($U63&lt;1,1/$U63,IF((HC$56-Voorblad!$F$41)/$U63-SUM($EE63:HB63)=1,1,0))))</f>
        <v>0</v>
      </c>
      <c r="HD63" s="8">
        <f>IF(HD$56-Voorblad!$F$41&gt;Voorblad!$K$41,0,IF($U63=0,0,IF($U63&lt;1,1/$U63,IF((HD$56-Voorblad!$F$41)/$U63-SUM($EE63:HC63)=1,1,0))))</f>
        <v>0</v>
      </c>
      <c r="HE63" s="8">
        <f>IF(HE$56-Voorblad!$F$41&gt;Voorblad!$K$41,0,IF($U63=0,0,IF($U63&lt;1,1/$U63,IF((HE$56-Voorblad!$F$41)/$U63-SUM($EE63:HD63)=1,1,0))))</f>
        <v>0</v>
      </c>
      <c r="HF63" s="8">
        <f>IF(HF$56-Voorblad!$F$41&gt;Voorblad!$K$41,0,IF($U63=0,0,IF($U63&lt;1,1/$U63,IF((HF$56-Voorblad!$F$41)/$U63-SUM($EE63:HE63)=1,1,0))))</f>
        <v>0</v>
      </c>
      <c r="HG63" s="8">
        <f>IF(HG$56-Voorblad!$F$41&gt;Voorblad!$K$41,0,IF($U63=0,0,IF($U63&lt;1,1/$U63,IF((HG$56-Voorblad!$F$41)/$U63-SUM($EE63:HF63)=1,1,0))))</f>
        <v>0</v>
      </c>
      <c r="HH63" s="8">
        <f>IF(HH$56-Voorblad!$F$41&gt;Voorblad!$K$41,0,IF($U63=0,0,IF($U63&lt;1,1/$U63,IF((HH$56-Voorblad!$F$41)/$U63-SUM($EE63:HG63)=1,1,0))))</f>
        <v>0</v>
      </c>
      <c r="HI63" s="8">
        <f>IF(HI$56-Voorblad!$F$41&gt;Voorblad!$K$41,0,IF($U63=0,0,IF($U63&lt;1,1/$U63,IF((HI$56-Voorblad!$F$41)/$U63-SUM($EE63:HH63)=1,1,0))))</f>
        <v>0</v>
      </c>
      <c r="HJ63" s="8">
        <f>IF(HJ$56-Voorblad!$F$41&gt;Voorblad!$K$41,0,IF($U63=0,0,IF($U63&lt;1,1/$U63,IF((HJ$56-Voorblad!$F$41)/$U63-SUM($EE63:HI63)=1,1,0))))</f>
        <v>0</v>
      </c>
      <c r="HK63" s="8">
        <f>IF(HK$56-Voorblad!$F$41&gt;Voorblad!$K$41,0,IF($U63=0,0,IF($U63&lt;1,1/$U63,IF((HK$56-Voorblad!$F$41)/$U63-SUM($EE63:HJ63)=1,1,0))))</f>
        <v>0</v>
      </c>
      <c r="HL63" s="8">
        <f>IF(HL$56-Voorblad!$F$41&gt;Voorblad!$K$41,0,IF($U63=0,0,IF($U63&lt;1,1/$U63,IF((HL$56-Voorblad!$F$41)/$U63-SUM($EE63:HK63)=1,1,0))))</f>
        <v>0</v>
      </c>
      <c r="HM63" s="8">
        <f>IF(HM$56-Voorblad!$F$41&gt;Voorblad!$K$41,0,IF($U63=0,0,IF($U63&lt;1,1/$U63,IF((HM$56-Voorblad!$F$41)/$U63-SUM($EE63:HL63)=1,1,0))))</f>
        <v>0</v>
      </c>
      <c r="HN63" s="8">
        <f>IF(HN$56-Voorblad!$F$41&gt;Voorblad!$K$41,0,IF($U63=0,0,IF($U63&lt;1,1/$U63,IF((HN$56-Voorblad!$F$41)/$U63-SUM($EE63:HM63)=1,1,0))))</f>
        <v>0</v>
      </c>
      <c r="HO63" s="8">
        <f>IF(HO$56-Voorblad!$F$41&gt;Voorblad!$K$41,0,IF($U63=0,0,IF($U63&lt;1,1/$U63,IF((HO$56-Voorblad!$F$41)/$U63-SUM($EE63:HN63)=1,1,0))))</f>
        <v>0</v>
      </c>
      <c r="HP63" s="8">
        <f>IF(HP$56-Voorblad!$F$41&gt;Voorblad!$K$41,0,IF($U63=0,0,IF($U63&lt;1,1/$U63,IF((HP$56-Voorblad!$F$41)/$U63-SUM($EE63:HO63)=1,1,0))))</f>
        <v>0</v>
      </c>
      <c r="HQ63" s="8">
        <f>IF(HQ$56-Voorblad!$F$41&gt;Voorblad!$K$41,0,IF($U63=0,0,IF($U63&lt;1,1/$U63,IF((HQ$56-Voorblad!$F$41)/$U63-SUM($EE63:HP63)=1,1,0))))</f>
        <v>0</v>
      </c>
      <c r="HR63" s="8">
        <f>IF(HR$56-Voorblad!$F$41&gt;Voorblad!$K$41,0,IF($U63=0,0,IF($U63&lt;1,1/$U63,IF((HR$56-Voorblad!$F$41)/$U63-SUM($EE63:HQ63)=1,1,0))))</f>
        <v>0</v>
      </c>
      <c r="HS63" s="8">
        <f>IF(HS$56-Voorblad!$F$41&gt;Voorblad!$K$41,0,IF($U63=0,0,IF($U63&lt;1,1/$U63,IF((HS$56-Voorblad!$F$41)/$U63-SUM($EE63:HR63)=1,1,0))))</f>
        <v>0</v>
      </c>
      <c r="HT63" s="8">
        <f>IF(HT$56-Voorblad!$F$41&gt;Voorblad!$K$41,0,IF($U63=0,0,IF($U63&lt;1,1/$U63,IF((HT$56-Voorblad!$F$41)/$U63-SUM($EE63:HS63)=1,1,0))))</f>
        <v>0</v>
      </c>
      <c r="HU63" s="8">
        <f>IF(HU$56-Voorblad!$F$41&gt;Voorblad!$K$41,0,IF($U63=0,0,IF($U63&lt;1,1/$U63,IF((HU$56-Voorblad!$F$41)/$U63-SUM($EE63:HT63)=1,1,0))))</f>
        <v>0</v>
      </c>
      <c r="HV63" s="8">
        <f>IF(HV$56-Voorblad!$F$41&gt;Voorblad!$K$41,0,IF($U63=0,0,IF($U63&lt;1,1/$U63,IF((HV$56-Voorblad!$F$41)/$U63-SUM($EE63:HU63)=1,1,0))))</f>
        <v>0</v>
      </c>
      <c r="HW63" s="8">
        <f>IF(HW$56-Voorblad!$F$41&gt;Voorblad!$K$41,0,IF($U63=0,0,IF($U63&lt;1,1/$U63,IF((HW$56-Voorblad!$F$41)/$U63-SUM($EE63:HV63)=1,1,0))))</f>
        <v>0</v>
      </c>
      <c r="HX63" s="8">
        <f>IF(HX$56-Voorblad!$F$41&gt;Voorblad!$K$41,0,IF($U63=0,0,IF($U63&lt;1,1/$U63,IF((HX$56-Voorblad!$F$41)/$U63-SUM($EE63:HW63)=1,1,0))))</f>
        <v>0</v>
      </c>
      <c r="HY63" s="8">
        <f>IF(HY$56-Voorblad!$F$41&gt;Voorblad!$K$41,0,IF($U63=0,0,IF($U63&lt;1,1/$U63,IF((HY$56-Voorblad!$F$41)/$U63-SUM($EE63:HX63)=1,1,0))))</f>
        <v>0</v>
      </c>
      <c r="HZ63" s="8">
        <f>IF(HZ$56-Voorblad!$F$41&gt;Voorblad!$K$41,0,IF($U63=0,0,IF($U63&lt;1,1/$U63,IF((HZ$56-Voorblad!$F$41)/$U63-SUM($EE63:HY63)=1,1,0))))</f>
        <v>0</v>
      </c>
      <c r="IA63" s="8">
        <f>IF(IA$56-Voorblad!$F$41&gt;Voorblad!$K$41,0,IF($U63=0,0,IF($U63&lt;1,1/$U63,IF((IA$56-Voorblad!$F$41)/$U63-SUM($EE63:HZ63)=1,1,0))))</f>
        <v>0</v>
      </c>
      <c r="IB63" s="8">
        <f>IF(IB$56-Voorblad!$F$41&gt;Voorblad!$K$41,0,IF($U63=0,0,IF($U63&lt;1,1/$U63,IF((IB$56-Voorblad!$F$41)/$U63-SUM($EE63:IA63)=1,1,0))))</f>
        <v>0</v>
      </c>
    </row>
    <row r="64" spans="2:236" ht="12" hidden="1" customHeight="1" outlineLevel="1" x14ac:dyDescent="0.25">
      <c r="B64" s="1">
        <v>3</v>
      </c>
      <c r="F64" s="1" t="s">
        <v>23</v>
      </c>
      <c r="I64" s="1" t="s">
        <v>277</v>
      </c>
      <c r="K64" s="14" t="s">
        <v>203</v>
      </c>
      <c r="L64" s="14"/>
      <c r="M64" s="14"/>
      <c r="N64" s="3"/>
      <c r="O64" s="1" t="s">
        <v>171</v>
      </c>
      <c r="P64" s="1" t="s">
        <v>174</v>
      </c>
      <c r="Q64" s="81">
        <v>0</v>
      </c>
      <c r="R64" s="1" t="s">
        <v>35</v>
      </c>
      <c r="S64" s="14">
        <f>$H$20*2000</f>
        <v>3540</v>
      </c>
      <c r="T64" s="1">
        <f t="shared" si="10"/>
        <v>0</v>
      </c>
      <c r="U64" s="14">
        <v>15</v>
      </c>
      <c r="V64" s="14"/>
      <c r="Y64" s="9">
        <f t="shared" si="11"/>
        <v>0</v>
      </c>
      <c r="Z64" s="82"/>
      <c r="AA64" s="82"/>
      <c r="AC64" s="9">
        <f>$Y64*(Voorblad!$K$44*(1+Voorblad!$K$44)^Voorblad!$K$41)/((1+Voorblad!$K$44)^Voorblad!$K$41-1)</f>
        <v>0</v>
      </c>
      <c r="AE64" s="9">
        <f>EF64*($Q64*$S64)/(1+Voorblad!$K$44)^(AE$56-Voorblad!$F$41)</f>
        <v>0</v>
      </c>
      <c r="AF64" s="9">
        <f>EG64*($Q64*$S64)/(1+Voorblad!$K$44)^(AF$56-Voorblad!$F$41)</f>
        <v>0</v>
      </c>
      <c r="AG64" s="9">
        <f>EH64*($Q64*$S64)/(1+Voorblad!$K$44)^(AG$56-Voorblad!$F$41)</f>
        <v>0</v>
      </c>
      <c r="AH64" s="9">
        <f>EI64*($Q64*$S64)/(1+Voorblad!$K$44)^(AH$56-Voorblad!$F$41)</f>
        <v>0</v>
      </c>
      <c r="AI64" s="9">
        <f>EJ64*($Q64*$S64)/(1+Voorblad!$K$44)^(AI$56-Voorblad!$F$41)</f>
        <v>0</v>
      </c>
      <c r="AJ64" s="9">
        <f>EK64*($Q64*$S64)/(1+Voorblad!$K$44)^(AJ$56-Voorblad!$F$41)</f>
        <v>0</v>
      </c>
      <c r="AK64" s="9">
        <f>EL64*($Q64*$S64)/(1+Voorblad!$K$44)^(AK$56-Voorblad!$F$41)</f>
        <v>0</v>
      </c>
      <c r="AL64" s="9">
        <f>EM64*($Q64*$S64)/(1+Voorblad!$K$44)^(AL$56-Voorblad!$F$41)</f>
        <v>0</v>
      </c>
      <c r="AM64" s="9">
        <f>EN64*($Q64*$S64)/(1+Voorblad!$K$44)^(AM$56-Voorblad!$F$41)</f>
        <v>0</v>
      </c>
      <c r="AN64" s="9">
        <f>EO64*($Q64*$S64)/(1+Voorblad!$K$44)^(AN$56-Voorblad!$F$41)</f>
        <v>0</v>
      </c>
      <c r="AO64" s="9">
        <f>EP64*($Q64*$S64)/(1+Voorblad!$K$44)^(AO$56-Voorblad!$F$41)</f>
        <v>0</v>
      </c>
      <c r="AP64" s="9">
        <f>EQ64*($Q64*$S64)/(1+Voorblad!$K$44)^(AP$56-Voorblad!$F$41)</f>
        <v>0</v>
      </c>
      <c r="AQ64" s="9">
        <f>ER64*($Q64*$S64)/(1+Voorblad!$K$44)^(AQ$56-Voorblad!$F$41)</f>
        <v>0</v>
      </c>
      <c r="AR64" s="9">
        <f>ES64*($Q64*$S64)/(1+Voorblad!$K$44)^(AR$56-Voorblad!$F$41)</f>
        <v>0</v>
      </c>
      <c r="AS64" s="9">
        <f>ET64*($Q64*$S64)/(1+Voorblad!$K$44)^(AS$56-Voorblad!$F$41)</f>
        <v>0</v>
      </c>
      <c r="AT64" s="9">
        <f>EU64*($Q64*$S64)/(1+Voorblad!$K$44)^(AT$56-Voorblad!$F$41)</f>
        <v>0</v>
      </c>
      <c r="AU64" s="9">
        <f>EV64*($Q64*$S64)/(1+Voorblad!$K$44)^(AU$56-Voorblad!$F$41)</f>
        <v>0</v>
      </c>
      <c r="AV64" s="9">
        <f>EW64*($Q64*$S64)/(1+Voorblad!$K$44)^(AV$56-Voorblad!$F$41)</f>
        <v>0</v>
      </c>
      <c r="AW64" s="9">
        <f>EX64*($Q64*$S64)/(1+Voorblad!$K$44)^(AW$56-Voorblad!$F$41)</f>
        <v>0</v>
      </c>
      <c r="AX64" s="9">
        <f>EY64*($Q64*$S64)/(1+Voorblad!$K$44)^(AX$56-Voorblad!$F$41)</f>
        <v>0</v>
      </c>
      <c r="AY64" s="9">
        <f>EZ64*($Q64*$S64)/(1+Voorblad!$K$44)^(AY$56-Voorblad!$F$41)</f>
        <v>0</v>
      </c>
      <c r="AZ64" s="9">
        <f>FA64*($Q64*$S64)/(1+Voorblad!$K$44)^(AZ$56-Voorblad!$F$41)</f>
        <v>0</v>
      </c>
      <c r="BA64" s="9">
        <f>FB64*($Q64*$S64)/(1+Voorblad!$K$44)^(BA$56-Voorblad!$F$41)</f>
        <v>0</v>
      </c>
      <c r="BB64" s="9">
        <f>FC64*($Q64*$S64)/(1+Voorblad!$K$44)^(BB$56-Voorblad!$F$41)</f>
        <v>0</v>
      </c>
      <c r="BC64" s="9">
        <f>FD64*($Q64*$S64)/(1+Voorblad!$K$44)^(BC$56-Voorblad!$F$41)</f>
        <v>0</v>
      </c>
      <c r="BD64" s="9">
        <f>FE64*($Q64*$S64)/(1+Voorblad!$K$44)^(BD$56-Voorblad!$F$41)</f>
        <v>0</v>
      </c>
      <c r="BE64" s="9">
        <f>FF64*($Q64*$S64)/(1+Voorblad!$K$44)^(BE$56-Voorblad!$F$41)</f>
        <v>0</v>
      </c>
      <c r="BF64" s="9">
        <f>FG64*($Q64*$S64)/(1+Voorblad!$K$44)^(BF$56-Voorblad!$F$41)</f>
        <v>0</v>
      </c>
      <c r="BG64" s="9">
        <f>FH64*($Q64*$S64)/(1+Voorblad!$K$44)^(BG$56-Voorblad!$F$41)</f>
        <v>0</v>
      </c>
      <c r="BH64" s="9">
        <f>FI64*($Q64*$S64)/(1+Voorblad!$K$44)^(BH$56-Voorblad!$F$41)</f>
        <v>0</v>
      </c>
      <c r="BI64" s="9">
        <f>FJ64*($Q64*$S64)/(1+Voorblad!$K$44)^(BI$56-Voorblad!$F$41)</f>
        <v>0</v>
      </c>
      <c r="BJ64" s="9">
        <f>FK64*($Q64*$S64)/(1+Voorblad!$K$44)^(BJ$56-Voorblad!$F$41)</f>
        <v>0</v>
      </c>
      <c r="BK64" s="9">
        <f>FL64*($Q64*$S64)/(1+Voorblad!$K$44)^(BK$56-Voorblad!$F$41)</f>
        <v>0</v>
      </c>
      <c r="BL64" s="9">
        <f>FM64*($Q64*$S64)/(1+Voorblad!$K$44)^(BL$56-Voorblad!$F$41)</f>
        <v>0</v>
      </c>
      <c r="BM64" s="9">
        <f>FN64*($Q64*$S64)/(1+Voorblad!$K$44)^(BM$56-Voorblad!$F$41)</f>
        <v>0</v>
      </c>
      <c r="BN64" s="9">
        <f>FO64*($Q64*$S64)/(1+Voorblad!$K$44)^(BN$56-Voorblad!$F$41)</f>
        <v>0</v>
      </c>
      <c r="BO64" s="9">
        <f>FP64*($Q64*$S64)/(1+Voorblad!$K$44)^(BO$56-Voorblad!$F$41)</f>
        <v>0</v>
      </c>
      <c r="BP64" s="9">
        <f>FQ64*($Q64*$S64)/(1+Voorblad!$K$44)^(BP$56-Voorblad!$F$41)</f>
        <v>0</v>
      </c>
      <c r="BQ64" s="9">
        <f>FR64*($Q64*$S64)/(1+Voorblad!$K$44)^(BQ$56-Voorblad!$F$41)</f>
        <v>0</v>
      </c>
      <c r="BR64" s="9">
        <f>FS64*($Q64*$S64)/(1+Voorblad!$K$44)^(BR$56-Voorblad!$F$41)</f>
        <v>0</v>
      </c>
      <c r="BS64" s="9">
        <f>FT64*($Q64*$S64)/(1+Voorblad!$K$44)^(BS$56-Voorblad!$F$41)</f>
        <v>0</v>
      </c>
      <c r="BT64" s="9">
        <f>FU64*($Q64*$S64)/(1+Voorblad!$K$44)^(BT$56-Voorblad!$F$41)</f>
        <v>0</v>
      </c>
      <c r="BU64" s="9">
        <f>FV64*($Q64*$S64)/(1+Voorblad!$K$44)^(BU$56-Voorblad!$F$41)</f>
        <v>0</v>
      </c>
      <c r="BV64" s="9">
        <f>FW64*($Q64*$S64)/(1+Voorblad!$K$44)^(BV$56-Voorblad!$F$41)</f>
        <v>0</v>
      </c>
      <c r="BW64" s="9">
        <f>FX64*($Q64*$S64)/(1+Voorblad!$K$44)^(BW$56-Voorblad!$F$41)</f>
        <v>0</v>
      </c>
      <c r="BX64" s="9">
        <f>FY64*($Q64*$S64)/(1+Voorblad!$K$44)^(BX$56-Voorblad!$F$41)</f>
        <v>0</v>
      </c>
      <c r="BY64" s="9">
        <f>FZ64*($Q64*$S64)/(1+Voorblad!$K$44)^(BY$56-Voorblad!$F$41)</f>
        <v>0</v>
      </c>
      <c r="BZ64" s="9">
        <f>GA64*($Q64*$S64)/(1+Voorblad!$K$44)^(BZ$56-Voorblad!$F$41)</f>
        <v>0</v>
      </c>
      <c r="CA64" s="9">
        <f>GB64*($Q64*$S64)/(1+Voorblad!$K$44)^(CA$56-Voorblad!$F$41)</f>
        <v>0</v>
      </c>
      <c r="CB64" s="9">
        <f>GC64*($Q64*$S64)/(1+Voorblad!$K$44)^(CB$56-Voorblad!$F$41)</f>
        <v>0</v>
      </c>
      <c r="CC64" s="9">
        <f>GD64*($Q64*$S64)/(1+Voorblad!$K$44)^(CC$56-Voorblad!$F$41)</f>
        <v>0</v>
      </c>
      <c r="CD64" s="9">
        <f>GE64*($Q64*$S64)/(1+Voorblad!$K$44)^(CD$56-Voorblad!$F$41)</f>
        <v>0</v>
      </c>
      <c r="CE64" s="9">
        <f>GF64*($Q64*$S64)/(1+Voorblad!$K$44)^(CE$56-Voorblad!$F$41)</f>
        <v>0</v>
      </c>
      <c r="CF64" s="9">
        <f>GG64*($Q64*$S64)/(1+Voorblad!$K$44)^(CF$56-Voorblad!$F$41)</f>
        <v>0</v>
      </c>
      <c r="CG64" s="9">
        <f>GH64*($Q64*$S64)/(1+Voorblad!$K$44)^(CG$56-Voorblad!$F$41)</f>
        <v>0</v>
      </c>
      <c r="CH64" s="9">
        <f>GI64*($Q64*$S64)/(1+Voorblad!$K$44)^(CH$56-Voorblad!$F$41)</f>
        <v>0</v>
      </c>
      <c r="CI64" s="9">
        <f>GJ64*($Q64*$S64)/(1+Voorblad!$K$44)^(CI$56-Voorblad!$F$41)</f>
        <v>0</v>
      </c>
      <c r="CJ64" s="9">
        <f>GK64*($Q64*$S64)/(1+Voorblad!$K$44)^(CJ$56-Voorblad!$F$41)</f>
        <v>0</v>
      </c>
      <c r="CK64" s="9">
        <f>GL64*($Q64*$S64)/(1+Voorblad!$K$44)^(CK$56-Voorblad!$F$41)</f>
        <v>0</v>
      </c>
      <c r="CL64" s="9">
        <f>GM64*($Q64*$S64)/(1+Voorblad!$K$44)^(CL$56-Voorblad!$F$41)</f>
        <v>0</v>
      </c>
      <c r="CM64" s="9">
        <f>GN64*($Q64*$S64)/(1+Voorblad!$K$44)^(CM$56-Voorblad!$F$41)</f>
        <v>0</v>
      </c>
      <c r="CN64" s="9">
        <f>GO64*($Q64*$S64)/(1+Voorblad!$K$44)^(CN$56-Voorblad!$F$41)</f>
        <v>0</v>
      </c>
      <c r="CO64" s="9">
        <f>GP64*($Q64*$S64)/(1+Voorblad!$K$44)^(CO$56-Voorblad!$F$41)</f>
        <v>0</v>
      </c>
      <c r="CP64" s="9">
        <f>GQ64*($Q64*$S64)/(1+Voorblad!$K$44)^(CP$56-Voorblad!$F$41)</f>
        <v>0</v>
      </c>
      <c r="CQ64" s="9">
        <f>GR64*($Q64*$S64)/(1+Voorblad!$K$44)^(CQ$56-Voorblad!$F$41)</f>
        <v>0</v>
      </c>
      <c r="CR64" s="9">
        <f>GS64*($Q64*$S64)/(1+Voorblad!$K$44)^(CR$56-Voorblad!$F$41)</f>
        <v>0</v>
      </c>
      <c r="CS64" s="9">
        <f>GT64*($Q64*$S64)/(1+Voorblad!$K$44)^(CS$56-Voorblad!$F$41)</f>
        <v>0</v>
      </c>
      <c r="CT64" s="9">
        <f>GU64*($Q64*$S64)/(1+Voorblad!$K$44)^(CT$56-Voorblad!$F$41)</f>
        <v>0</v>
      </c>
      <c r="CU64" s="9">
        <f>GV64*($Q64*$S64)/(1+Voorblad!$K$44)^(CU$56-Voorblad!$F$41)</f>
        <v>0</v>
      </c>
      <c r="CV64" s="9">
        <f>GW64*($Q64*$S64)/(1+Voorblad!$K$44)^(CV$56-Voorblad!$F$41)</f>
        <v>0</v>
      </c>
      <c r="CW64" s="9">
        <f>GX64*($Q64*$S64)/(1+Voorblad!$K$44)^(CW$56-Voorblad!$F$41)</f>
        <v>0</v>
      </c>
      <c r="CX64" s="9">
        <f>GY64*($Q64*$S64)/(1+Voorblad!$K$44)^(CX$56-Voorblad!$F$41)</f>
        <v>0</v>
      </c>
      <c r="CY64" s="9">
        <f>GZ64*($Q64*$S64)/(1+Voorblad!$K$44)^(CY$56-Voorblad!$F$41)</f>
        <v>0</v>
      </c>
      <c r="CZ64" s="9">
        <f>HA64*($Q64*$S64)/(1+Voorblad!$K$44)^(CZ$56-Voorblad!$F$41)</f>
        <v>0</v>
      </c>
      <c r="DA64" s="9">
        <f>HB64*($Q64*$S64)/(1+Voorblad!$K$44)^(DA$56-Voorblad!$F$41)</f>
        <v>0</v>
      </c>
      <c r="DB64" s="9">
        <f>HC64*($Q64*$S64)/(1+Voorblad!$K$44)^(DB$56-Voorblad!$F$41)</f>
        <v>0</v>
      </c>
      <c r="DC64" s="9">
        <f>HD64*($Q64*$S64)/(1+Voorblad!$K$44)^(DC$56-Voorblad!$F$41)</f>
        <v>0</v>
      </c>
      <c r="DD64" s="9">
        <f>HE64*($Q64*$S64)/(1+Voorblad!$K$44)^(DD$56-Voorblad!$F$41)</f>
        <v>0</v>
      </c>
      <c r="DE64" s="9">
        <f>HF64*($Q64*$S64)/(1+Voorblad!$K$44)^(DE$56-Voorblad!$F$41)</f>
        <v>0</v>
      </c>
      <c r="DF64" s="9">
        <f>HG64*($Q64*$S64)/(1+Voorblad!$K$44)^(DF$56-Voorblad!$F$41)</f>
        <v>0</v>
      </c>
      <c r="DG64" s="9">
        <f>HH64*($Q64*$S64)/(1+Voorblad!$K$44)^(DG$56-Voorblad!$F$41)</f>
        <v>0</v>
      </c>
      <c r="DH64" s="9">
        <f>HI64*($Q64*$S64)/(1+Voorblad!$K$44)^(DH$56-Voorblad!$F$41)</f>
        <v>0</v>
      </c>
      <c r="DI64" s="9">
        <f>HJ64*($Q64*$S64)/(1+Voorblad!$K$44)^(DI$56-Voorblad!$F$41)</f>
        <v>0</v>
      </c>
      <c r="DJ64" s="9">
        <f>HK64*($Q64*$S64)/(1+Voorblad!$K$44)^(DJ$56-Voorblad!$F$41)</f>
        <v>0</v>
      </c>
      <c r="DK64" s="9">
        <f>HL64*($Q64*$S64)/(1+Voorblad!$K$44)^(DK$56-Voorblad!$F$41)</f>
        <v>0</v>
      </c>
      <c r="DL64" s="9">
        <f>HM64*($Q64*$S64)/(1+Voorblad!$K$44)^(DL$56-Voorblad!$F$41)</f>
        <v>0</v>
      </c>
      <c r="DM64" s="9">
        <f>HN64*($Q64*$S64)/(1+Voorblad!$K$44)^(DM$56-Voorblad!$F$41)</f>
        <v>0</v>
      </c>
      <c r="DN64" s="9">
        <f>HO64*($Q64*$S64)/(1+Voorblad!$K$44)^(DN$56-Voorblad!$F$41)</f>
        <v>0</v>
      </c>
      <c r="DO64" s="9">
        <f>HP64*($Q64*$S64)/(1+Voorblad!$K$44)^(DO$56-Voorblad!$F$41)</f>
        <v>0</v>
      </c>
      <c r="DP64" s="9">
        <f>HQ64*($Q64*$S64)/(1+Voorblad!$K$44)^(DP$56-Voorblad!$F$41)</f>
        <v>0</v>
      </c>
      <c r="DQ64" s="9">
        <f>HR64*($Q64*$S64)/(1+Voorblad!$K$44)^(DQ$56-Voorblad!$F$41)</f>
        <v>0</v>
      </c>
      <c r="DR64" s="9">
        <f>HS64*($Q64*$S64)/(1+Voorblad!$K$44)^(DR$56-Voorblad!$F$41)</f>
        <v>0</v>
      </c>
      <c r="DS64" s="9">
        <f>HT64*($Q64*$S64)/(1+Voorblad!$K$44)^(DS$56-Voorblad!$F$41)</f>
        <v>0</v>
      </c>
      <c r="DT64" s="9">
        <f>HU64*($Q64*$S64)/(1+Voorblad!$K$44)^(DT$56-Voorblad!$F$41)</f>
        <v>0</v>
      </c>
      <c r="DU64" s="9">
        <f>HV64*($Q64*$S64)/(1+Voorblad!$K$44)^(DU$56-Voorblad!$F$41)</f>
        <v>0</v>
      </c>
      <c r="DV64" s="9">
        <f>HW64*($Q64*$S64)/(1+Voorblad!$K$44)^(DV$56-Voorblad!$F$41)</f>
        <v>0</v>
      </c>
      <c r="DW64" s="9">
        <f>HX64*($Q64*$S64)/(1+Voorblad!$K$44)^(DW$56-Voorblad!$F$41)</f>
        <v>0</v>
      </c>
      <c r="DX64" s="9">
        <f>HY64*($Q64*$S64)/(1+Voorblad!$K$44)^(DX$56-Voorblad!$F$41)</f>
        <v>0</v>
      </c>
      <c r="DY64" s="9">
        <f>HZ64*($Q64*$S64)/(1+Voorblad!$K$44)^(DY$56-Voorblad!$F$41)</f>
        <v>0</v>
      </c>
      <c r="DZ64" s="9">
        <f>IA64*($Q64*$S64)/(1+Voorblad!$K$44)^(DZ$56-Voorblad!$F$41)</f>
        <v>0</v>
      </c>
      <c r="EA64" s="9">
        <f>IB64*($Q64*$S64)/(1+Voorblad!$K$44)^(EA$56-Voorblad!$F$41)</f>
        <v>0</v>
      </c>
      <c r="EB64" s="9">
        <f>IC64*($Q64*$S64)/(1+Voorblad!$K$44)^(EB$56-Voorblad!$F$41)</f>
        <v>0</v>
      </c>
      <c r="EE64" s="8">
        <v>0</v>
      </c>
      <c r="EF64" s="8">
        <f>IF(EF$56-Voorblad!$F$41&gt;Voorblad!$K$41,0,IF($U64=0,0,IF($U64&lt;1,1/$U64,IF((EF$56-Voorblad!$F$41)/$U64-SUM($EE64:EE64)=1,1,0))))</f>
        <v>0</v>
      </c>
      <c r="EG64" s="8">
        <f>IF(EG$56-Voorblad!$F$41&gt;Voorblad!$K$41,0,IF($U64=0,0,IF($U64&lt;1,1/$U64,IF((EG$56-Voorblad!$F$41)/$U64-SUM($EE64:EF64)=1,1,0))))</f>
        <v>0</v>
      </c>
      <c r="EH64" s="8">
        <f>IF(EH$56-Voorblad!$F$41&gt;Voorblad!$K$41,0,IF($U64=0,0,IF($U64&lt;1,1/$U64,IF((EH$56-Voorblad!$F$41)/$U64-SUM($EE64:EG64)=1,1,0))))</f>
        <v>0</v>
      </c>
      <c r="EI64" s="8">
        <f>IF(EI$56-Voorblad!$F$41&gt;Voorblad!$K$41,0,IF($U64=0,0,IF($U64&lt;1,1/$U64,IF((EI$56-Voorblad!$F$41)/$U64-SUM($EE64:EH64)=1,1,0))))</f>
        <v>0</v>
      </c>
      <c r="EJ64" s="8">
        <f>IF(EJ$56-Voorblad!$F$41&gt;Voorblad!$K$41,0,IF($U64=0,0,IF($U64&lt;1,1/$U64,IF((EJ$56-Voorblad!$F$41)/$U64-SUM($EE64:EI64)=1,1,0))))</f>
        <v>0</v>
      </c>
      <c r="EK64" s="8">
        <f>IF(EK$56-Voorblad!$F$41&gt;Voorblad!$K$41,0,IF($U64=0,0,IF($U64&lt;1,1/$U64,IF((EK$56-Voorblad!$F$41)/$U64-SUM($EE64:EJ64)=1,1,0))))</f>
        <v>0</v>
      </c>
      <c r="EL64" s="8">
        <f>IF(EL$56-Voorblad!$F$41&gt;Voorblad!$K$41,0,IF($U64=0,0,IF($U64&lt;1,1/$U64,IF((EL$56-Voorblad!$F$41)/$U64-SUM($EE64:EK64)=1,1,0))))</f>
        <v>0</v>
      </c>
      <c r="EM64" s="8">
        <f>IF(EM$56-Voorblad!$F$41&gt;Voorblad!$K$41,0,IF($U64=0,0,IF($U64&lt;1,1/$U64,IF((EM$56-Voorblad!$F$41)/$U64-SUM($EE64:EL64)=1,1,0))))</f>
        <v>0</v>
      </c>
      <c r="EN64" s="8">
        <f>IF(EN$56-Voorblad!$F$41&gt;Voorblad!$K$41,0,IF($U64=0,0,IF($U64&lt;1,1/$U64,IF((EN$56-Voorblad!$F$41)/$U64-SUM($EE64:EM64)=1,1,0))))</f>
        <v>0</v>
      </c>
      <c r="EO64" s="8">
        <f>IF(EO$56-Voorblad!$F$41&gt;Voorblad!$K$41,0,IF($U64=0,0,IF($U64&lt;1,1/$U64,IF((EO$56-Voorblad!$F$41)/$U64-SUM($EE64:EN64)=1,1,0))))</f>
        <v>0</v>
      </c>
      <c r="EP64" s="8">
        <f>IF(EP$56-Voorblad!$F$41&gt;Voorblad!$K$41,0,IF($U64=0,0,IF($U64&lt;1,1/$U64,IF((EP$56-Voorblad!$F$41)/$U64-SUM($EE64:EO64)=1,1,0))))</f>
        <v>0</v>
      </c>
      <c r="EQ64" s="8">
        <f>IF(EQ$56-Voorblad!$F$41&gt;Voorblad!$K$41,0,IF($U64=0,0,IF($U64&lt;1,1/$U64,IF((EQ$56-Voorblad!$F$41)/$U64-SUM($EE64:EP64)=1,1,0))))</f>
        <v>0</v>
      </c>
      <c r="ER64" s="8">
        <f>IF(ER$56-Voorblad!$F$41&gt;Voorblad!$K$41,0,IF($U64=0,0,IF($U64&lt;1,1/$U64,IF((ER$56-Voorblad!$F$41)/$U64-SUM($EE64:EQ64)=1,1,0))))</f>
        <v>0</v>
      </c>
      <c r="ES64" s="8">
        <f>IF(ES$56-Voorblad!$F$41&gt;Voorblad!$K$41,0,IF($U64=0,0,IF($U64&lt;1,1/$U64,IF((ES$56-Voorblad!$F$41)/$U64-SUM($EE64:ER64)=1,1,0))))</f>
        <v>0</v>
      </c>
      <c r="ET64" s="8">
        <f>IF(ET$56-Voorblad!$F$41&gt;Voorblad!$K$41,0,IF($U64=0,0,IF($U64&lt;1,1/$U64,IF((ET$56-Voorblad!$F$41)/$U64-SUM($EE64:ES64)=1,1,0))))</f>
        <v>0</v>
      </c>
      <c r="EU64" s="8">
        <f>IF(EU$56-Voorblad!$F$41&gt;Voorblad!$K$41,0,IF($U64=0,0,IF($U64&lt;1,1/$U64,IF((EU$56-Voorblad!$F$41)/$U64-SUM($EE64:ET64)=1,1,0))))</f>
        <v>1</v>
      </c>
      <c r="EV64" s="8">
        <f>IF(EV$56-Voorblad!$F$41&gt;Voorblad!$K$41,0,IF($U64=0,0,IF($U64&lt;1,1/$U64,IF((EV$56-Voorblad!$F$41)/$U64-SUM($EE64:EU64)=1,1,0))))</f>
        <v>0</v>
      </c>
      <c r="EW64" s="8">
        <f>IF(EW$56-Voorblad!$F$41&gt;Voorblad!$K$41,0,IF($U64=0,0,IF($U64&lt;1,1/$U64,IF((EW$56-Voorblad!$F$41)/$U64-SUM($EE64:EV64)=1,1,0))))</f>
        <v>0</v>
      </c>
      <c r="EX64" s="8">
        <f>IF(EX$56-Voorblad!$F$41&gt;Voorblad!$K$41,0,IF($U64=0,0,IF($U64&lt;1,1/$U64,IF((EX$56-Voorblad!$F$41)/$U64-SUM($EE64:EW64)=1,1,0))))</f>
        <v>0</v>
      </c>
      <c r="EY64" s="8">
        <f>IF(EY$56-Voorblad!$F$41&gt;Voorblad!$K$41,0,IF($U64=0,0,IF($U64&lt;1,1/$U64,IF((EY$56-Voorblad!$F$41)/$U64-SUM($EE64:EX64)=1,1,0))))</f>
        <v>0</v>
      </c>
      <c r="EZ64" s="8">
        <f>IF(EZ$56-Voorblad!$F$41&gt;Voorblad!$K$41,0,IF($U64=0,0,IF($U64&lt;1,1/$U64,IF((EZ$56-Voorblad!$F$41)/$U64-SUM($EE64:EY64)=1,1,0))))</f>
        <v>0</v>
      </c>
      <c r="FA64" s="8">
        <f>IF(FA$56-Voorblad!$F$41&gt;Voorblad!$K$41,0,IF($U64=0,0,IF($U64&lt;1,1/$U64,IF((FA$56-Voorblad!$F$41)/$U64-SUM($EE64:EZ64)=1,1,0))))</f>
        <v>0</v>
      </c>
      <c r="FB64" s="8">
        <f>IF(FB$56-Voorblad!$F$41&gt;Voorblad!$K$41,0,IF($U64=0,0,IF($U64&lt;1,1/$U64,IF((FB$56-Voorblad!$F$41)/$U64-SUM($EE64:FA64)=1,1,0))))</f>
        <v>0</v>
      </c>
      <c r="FC64" s="8">
        <f>IF(FC$56-Voorblad!$F$41&gt;Voorblad!$K$41,0,IF($U64=0,0,IF($U64&lt;1,1/$U64,IF((FC$56-Voorblad!$F$41)/$U64-SUM($EE64:FB64)=1,1,0))))</f>
        <v>0</v>
      </c>
      <c r="FD64" s="8">
        <f>IF(FD$56-Voorblad!$F$41&gt;Voorblad!$K$41,0,IF($U64=0,0,IF($U64&lt;1,1/$U64,IF((FD$56-Voorblad!$F$41)/$U64-SUM($EE64:FC64)=1,1,0))))</f>
        <v>0</v>
      </c>
      <c r="FE64" s="8">
        <f>IF(FE$56-Voorblad!$F$41&gt;Voorblad!$K$41,0,IF($U64=0,0,IF($U64&lt;1,1/$U64,IF((FE$56-Voorblad!$F$41)/$U64-SUM($EE64:FD64)=1,1,0))))</f>
        <v>0</v>
      </c>
      <c r="FF64" s="8">
        <f>IF(FF$56-Voorblad!$F$41&gt;Voorblad!$K$41,0,IF($U64=0,0,IF($U64&lt;1,1/$U64,IF((FF$56-Voorblad!$F$41)/$U64-SUM($EE64:FE64)=1,1,0))))</f>
        <v>0</v>
      </c>
      <c r="FG64" s="8">
        <f>IF(FG$56-Voorblad!$F$41&gt;Voorblad!$K$41,0,IF($U64=0,0,IF($U64&lt;1,1/$U64,IF((FG$56-Voorblad!$F$41)/$U64-SUM($EE64:FF64)=1,1,0))))</f>
        <v>0</v>
      </c>
      <c r="FH64" s="8">
        <f>IF(FH$56-Voorblad!$F$41&gt;Voorblad!$K$41,0,IF($U64=0,0,IF($U64&lt;1,1/$U64,IF((FH$56-Voorblad!$F$41)/$U64-SUM($EE64:FG64)=1,1,0))))</f>
        <v>0</v>
      </c>
      <c r="FI64" s="8">
        <f>IF(FI$56-Voorblad!$F$41&gt;Voorblad!$K$41,0,IF($U64=0,0,IF($U64&lt;1,1/$U64,IF((FI$56-Voorblad!$F$41)/$U64-SUM($EE64:FH64)=1,1,0))))</f>
        <v>0</v>
      </c>
      <c r="FJ64" s="8">
        <f>IF(FJ$56-Voorblad!$F$41&gt;Voorblad!$K$41,0,IF($U64=0,0,IF($U64&lt;1,1/$U64,IF((FJ$56-Voorblad!$F$41)/$U64-SUM($EE64:FI64)=1,1,0))))</f>
        <v>1</v>
      </c>
      <c r="FK64" s="8">
        <f>IF(FK$56-Voorblad!$F$41&gt;Voorblad!$K$41,0,IF($U64=0,0,IF($U64&lt;1,1/$U64,IF((FK$56-Voorblad!$F$41)/$U64-SUM($EE64:FJ64)=1,1,0))))</f>
        <v>0</v>
      </c>
      <c r="FL64" s="8">
        <f>IF(FL$56-Voorblad!$F$41&gt;Voorblad!$K$41,0,IF($U64=0,0,IF($U64&lt;1,1/$U64,IF((FL$56-Voorblad!$F$41)/$U64-SUM($EE64:FK64)=1,1,0))))</f>
        <v>0</v>
      </c>
      <c r="FM64" s="8">
        <f>IF(FM$56-Voorblad!$F$41&gt;Voorblad!$K$41,0,IF($U64=0,0,IF($U64&lt;1,1/$U64,IF((FM$56-Voorblad!$F$41)/$U64-SUM($EE64:FL64)=1,1,0))))</f>
        <v>0</v>
      </c>
      <c r="FN64" s="8">
        <f>IF(FN$56-Voorblad!$F$41&gt;Voorblad!$K$41,0,IF($U64=0,0,IF($U64&lt;1,1/$U64,IF((FN$56-Voorblad!$F$41)/$U64-SUM($EE64:FM64)=1,1,0))))</f>
        <v>0</v>
      </c>
      <c r="FO64" s="8">
        <f>IF(FO$56-Voorblad!$F$41&gt;Voorblad!$K$41,0,IF($U64=0,0,IF($U64&lt;1,1/$U64,IF((FO$56-Voorblad!$F$41)/$U64-SUM($EE64:FN64)=1,1,0))))</f>
        <v>0</v>
      </c>
      <c r="FP64" s="8">
        <f>IF(FP$56-Voorblad!$F$41&gt;Voorblad!$K$41,0,IF($U64=0,0,IF($U64&lt;1,1/$U64,IF((FP$56-Voorblad!$F$41)/$U64-SUM($EE64:FO64)=1,1,0))))</f>
        <v>0</v>
      </c>
      <c r="FQ64" s="8">
        <f>IF(FQ$56-Voorblad!$F$41&gt;Voorblad!$K$41,0,IF($U64=0,0,IF($U64&lt;1,1/$U64,IF((FQ$56-Voorblad!$F$41)/$U64-SUM($EE64:FP64)=1,1,0))))</f>
        <v>0</v>
      </c>
      <c r="FR64" s="8">
        <f>IF(FR$56-Voorblad!$F$41&gt;Voorblad!$K$41,0,IF($U64=0,0,IF($U64&lt;1,1/$U64,IF((FR$56-Voorblad!$F$41)/$U64-SUM($EE64:FQ64)=1,1,0))))</f>
        <v>0</v>
      </c>
      <c r="FS64" s="8">
        <f>IF(FS$56-Voorblad!$F$41&gt;Voorblad!$K$41,0,IF($U64=0,0,IF($U64&lt;1,1/$U64,IF((FS$56-Voorblad!$F$41)/$U64-SUM($EE64:FR64)=1,1,0))))</f>
        <v>0</v>
      </c>
      <c r="FT64" s="8">
        <f>IF(FT$56-Voorblad!$F$41&gt;Voorblad!$K$41,0,IF($U64=0,0,IF($U64&lt;1,1/$U64,IF((FT$56-Voorblad!$F$41)/$U64-SUM($EE64:FS64)=1,1,0))))</f>
        <v>0</v>
      </c>
      <c r="FU64" s="8">
        <f>IF(FU$56-Voorblad!$F$41&gt;Voorblad!$K$41,0,IF($U64=0,0,IF($U64&lt;1,1/$U64,IF((FU$56-Voorblad!$F$41)/$U64-SUM($EE64:FT64)=1,1,0))))</f>
        <v>0</v>
      </c>
      <c r="FV64" s="8">
        <f>IF(FV$56-Voorblad!$F$41&gt;Voorblad!$K$41,0,IF($U64=0,0,IF($U64&lt;1,1/$U64,IF((FV$56-Voorblad!$F$41)/$U64-SUM($EE64:FU64)=1,1,0))))</f>
        <v>0</v>
      </c>
      <c r="FW64" s="8">
        <f>IF(FW$56-Voorblad!$F$41&gt;Voorblad!$K$41,0,IF($U64=0,0,IF($U64&lt;1,1/$U64,IF((FW$56-Voorblad!$F$41)/$U64-SUM($EE64:FV64)=1,1,0))))</f>
        <v>0</v>
      </c>
      <c r="FX64" s="8">
        <f>IF(FX$56-Voorblad!$F$41&gt;Voorblad!$K$41,0,IF($U64=0,0,IF($U64&lt;1,1/$U64,IF((FX$56-Voorblad!$F$41)/$U64-SUM($EE64:FW64)=1,1,0))))</f>
        <v>0</v>
      </c>
      <c r="FY64" s="8">
        <f>IF(FY$56-Voorblad!$F$41&gt;Voorblad!$K$41,0,IF($U64=0,0,IF($U64&lt;1,1/$U64,IF((FY$56-Voorblad!$F$41)/$U64-SUM($EE64:FX64)=1,1,0))))</f>
        <v>1</v>
      </c>
      <c r="FZ64" s="8">
        <f>IF(FZ$56-Voorblad!$F$41&gt;Voorblad!$K$41,0,IF($U64=0,0,IF($U64&lt;1,1/$U64,IF((FZ$56-Voorblad!$F$41)/$U64-SUM($EE64:FY64)=1,1,0))))</f>
        <v>0</v>
      </c>
      <c r="GA64" s="8">
        <f>IF(GA$56-Voorblad!$F$41&gt;Voorblad!$K$41,0,IF($U64=0,0,IF($U64&lt;1,1/$U64,IF((GA$56-Voorblad!$F$41)/$U64-SUM($EE64:FZ64)=1,1,0))))</f>
        <v>0</v>
      </c>
      <c r="GB64" s="8">
        <f>IF(GB$56-Voorblad!$F$41&gt;Voorblad!$K$41,0,IF($U64=0,0,IF($U64&lt;1,1/$U64,IF((GB$56-Voorblad!$F$41)/$U64-SUM($EE64:GA64)=1,1,0))))</f>
        <v>0</v>
      </c>
      <c r="GC64" s="8">
        <f>IF(GC$56-Voorblad!$F$41&gt;Voorblad!$K$41,0,IF($U64=0,0,IF($U64&lt;1,1/$U64,IF((GC$56-Voorblad!$F$41)/$U64-SUM($EE64:GB64)=1,1,0))))</f>
        <v>0</v>
      </c>
      <c r="GD64" s="8">
        <f>IF(GD$56-Voorblad!$F$41&gt;Voorblad!$K$41,0,IF($U64=0,0,IF($U64&lt;1,1/$U64,IF((GD$56-Voorblad!$F$41)/$U64-SUM($EE64:GC64)=1,1,0))))</f>
        <v>0</v>
      </c>
      <c r="GE64" s="8">
        <f>IF(GE$56-Voorblad!$F$41&gt;Voorblad!$K$41,0,IF($U64=0,0,IF($U64&lt;1,1/$U64,IF((GE$56-Voorblad!$F$41)/$U64-SUM($EE64:GD64)=1,1,0))))</f>
        <v>0</v>
      </c>
      <c r="GF64" s="8">
        <f>IF(GF$56-Voorblad!$F$41&gt;Voorblad!$K$41,0,IF($U64=0,0,IF($U64&lt;1,1/$U64,IF((GF$56-Voorblad!$F$41)/$U64-SUM($EE64:GE64)=1,1,0))))</f>
        <v>0</v>
      </c>
      <c r="GG64" s="8">
        <f>IF(GG$56-Voorblad!$F$41&gt;Voorblad!$K$41,0,IF($U64=0,0,IF($U64&lt;1,1/$U64,IF((GG$56-Voorblad!$F$41)/$U64-SUM($EE64:GF64)=1,1,0))))</f>
        <v>0</v>
      </c>
      <c r="GH64" s="8">
        <f>IF(GH$56-Voorblad!$F$41&gt;Voorblad!$K$41,0,IF($U64=0,0,IF($U64&lt;1,1/$U64,IF((GH$56-Voorblad!$F$41)/$U64-SUM($EE64:GG64)=1,1,0))))</f>
        <v>0</v>
      </c>
      <c r="GI64" s="8">
        <f>IF(GI$56-Voorblad!$F$41&gt;Voorblad!$K$41,0,IF($U64=0,0,IF($U64&lt;1,1/$U64,IF((GI$56-Voorblad!$F$41)/$U64-SUM($EE64:GH64)=1,1,0))))</f>
        <v>0</v>
      </c>
      <c r="GJ64" s="8">
        <f>IF(GJ$56-Voorblad!$F$41&gt;Voorblad!$K$41,0,IF($U64=0,0,IF($U64&lt;1,1/$U64,IF((GJ$56-Voorblad!$F$41)/$U64-SUM($EE64:GI64)=1,1,0))))</f>
        <v>0</v>
      </c>
      <c r="GK64" s="8">
        <f>IF(GK$56-Voorblad!$F$41&gt;Voorblad!$K$41,0,IF($U64=0,0,IF($U64&lt;1,1/$U64,IF((GK$56-Voorblad!$F$41)/$U64-SUM($EE64:GJ64)=1,1,0))))</f>
        <v>0</v>
      </c>
      <c r="GL64" s="8">
        <f>IF(GL$56-Voorblad!$F$41&gt;Voorblad!$K$41,0,IF($U64=0,0,IF($U64&lt;1,1/$U64,IF((GL$56-Voorblad!$F$41)/$U64-SUM($EE64:GK64)=1,1,0))))</f>
        <v>0</v>
      </c>
      <c r="GM64" s="8">
        <f>IF(GM$56-Voorblad!$F$41&gt;Voorblad!$K$41,0,IF($U64=0,0,IF($U64&lt;1,1/$U64,IF((GM$56-Voorblad!$F$41)/$U64-SUM($EE64:GL64)=1,1,0))))</f>
        <v>0</v>
      </c>
      <c r="GN64" s="8">
        <f>IF(GN$56-Voorblad!$F$41&gt;Voorblad!$K$41,0,IF($U64=0,0,IF($U64&lt;1,1/$U64,IF((GN$56-Voorblad!$F$41)/$U64-SUM($EE64:GM64)=1,1,0))))</f>
        <v>1</v>
      </c>
      <c r="GO64" s="8">
        <f>IF(GO$56-Voorblad!$F$41&gt;Voorblad!$K$41,0,IF($U64=0,0,IF($U64&lt;1,1/$U64,IF((GO$56-Voorblad!$F$41)/$U64-SUM($EE64:GN64)=1,1,0))))</f>
        <v>0</v>
      </c>
      <c r="GP64" s="8">
        <f>IF(GP$56-Voorblad!$F$41&gt;Voorblad!$K$41,0,IF($U64=0,0,IF($U64&lt;1,1/$U64,IF((GP$56-Voorblad!$F$41)/$U64-SUM($EE64:GO64)=1,1,0))))</f>
        <v>0</v>
      </c>
      <c r="GQ64" s="8">
        <f>IF(GQ$56-Voorblad!$F$41&gt;Voorblad!$K$41,0,IF($U64=0,0,IF($U64&lt;1,1/$U64,IF((GQ$56-Voorblad!$F$41)/$U64-SUM($EE64:GP64)=1,1,0))))</f>
        <v>0</v>
      </c>
      <c r="GR64" s="8">
        <f>IF(GR$56-Voorblad!$F$41&gt;Voorblad!$K$41,0,IF($U64=0,0,IF($U64&lt;1,1/$U64,IF((GR$56-Voorblad!$F$41)/$U64-SUM($EE64:GQ64)=1,1,0))))</f>
        <v>0</v>
      </c>
      <c r="GS64" s="8">
        <f>IF(GS$56-Voorblad!$F$41&gt;Voorblad!$K$41,0,IF($U64=0,0,IF($U64&lt;1,1/$U64,IF((GS$56-Voorblad!$F$41)/$U64-SUM($EE64:GR64)=1,1,0))))</f>
        <v>0</v>
      </c>
      <c r="GT64" s="8">
        <f>IF(GT$56-Voorblad!$F$41&gt;Voorblad!$K$41,0,IF($U64=0,0,IF($U64&lt;1,1/$U64,IF((GT$56-Voorblad!$F$41)/$U64-SUM($EE64:GS64)=1,1,0))))</f>
        <v>0</v>
      </c>
      <c r="GU64" s="8">
        <f>IF(GU$56-Voorblad!$F$41&gt;Voorblad!$K$41,0,IF($U64=0,0,IF($U64&lt;1,1/$U64,IF((GU$56-Voorblad!$F$41)/$U64-SUM($EE64:GT64)=1,1,0))))</f>
        <v>0</v>
      </c>
      <c r="GV64" s="8">
        <f>IF(GV$56-Voorblad!$F$41&gt;Voorblad!$K$41,0,IF($U64=0,0,IF($U64&lt;1,1/$U64,IF((GV$56-Voorblad!$F$41)/$U64-SUM($EE64:GU64)=1,1,0))))</f>
        <v>0</v>
      </c>
      <c r="GW64" s="8">
        <f>IF(GW$56-Voorblad!$F$41&gt;Voorblad!$K$41,0,IF($U64=0,0,IF($U64&lt;1,1/$U64,IF((GW$56-Voorblad!$F$41)/$U64-SUM($EE64:GV64)=1,1,0))))</f>
        <v>0</v>
      </c>
      <c r="GX64" s="8">
        <f>IF(GX$56-Voorblad!$F$41&gt;Voorblad!$K$41,0,IF($U64=0,0,IF($U64&lt;1,1/$U64,IF((GX$56-Voorblad!$F$41)/$U64-SUM($EE64:GW64)=1,1,0))))</f>
        <v>0</v>
      </c>
      <c r="GY64" s="8">
        <f>IF(GY$56-Voorblad!$F$41&gt;Voorblad!$K$41,0,IF($U64=0,0,IF($U64&lt;1,1/$U64,IF((GY$56-Voorblad!$F$41)/$U64-SUM($EE64:GX64)=1,1,0))))</f>
        <v>0</v>
      </c>
      <c r="GZ64" s="8">
        <f>IF(GZ$56-Voorblad!$F$41&gt;Voorblad!$K$41,0,IF($U64=0,0,IF($U64&lt;1,1/$U64,IF((GZ$56-Voorblad!$F$41)/$U64-SUM($EE64:GY64)=1,1,0))))</f>
        <v>0</v>
      </c>
      <c r="HA64" s="8">
        <f>IF(HA$56-Voorblad!$F$41&gt;Voorblad!$K$41,0,IF($U64=0,0,IF($U64&lt;1,1/$U64,IF((HA$56-Voorblad!$F$41)/$U64-SUM($EE64:GZ64)=1,1,0))))</f>
        <v>0</v>
      </c>
      <c r="HB64" s="8">
        <f>IF(HB$56-Voorblad!$F$41&gt;Voorblad!$K$41,0,IF($U64=0,0,IF($U64&lt;1,1/$U64,IF((HB$56-Voorblad!$F$41)/$U64-SUM($EE64:HA64)=1,1,0))))</f>
        <v>0</v>
      </c>
      <c r="HC64" s="8">
        <f>IF(HC$56-Voorblad!$F$41&gt;Voorblad!$K$41,0,IF($U64=0,0,IF($U64&lt;1,1/$U64,IF((HC$56-Voorblad!$F$41)/$U64-SUM($EE64:HB64)=1,1,0))))</f>
        <v>0</v>
      </c>
      <c r="HD64" s="8">
        <f>IF(HD$56-Voorblad!$F$41&gt;Voorblad!$K$41,0,IF($U64=0,0,IF($U64&lt;1,1/$U64,IF((HD$56-Voorblad!$F$41)/$U64-SUM($EE64:HC64)=1,1,0))))</f>
        <v>0</v>
      </c>
      <c r="HE64" s="8">
        <f>IF(HE$56-Voorblad!$F$41&gt;Voorblad!$K$41,0,IF($U64=0,0,IF($U64&lt;1,1/$U64,IF((HE$56-Voorblad!$F$41)/$U64-SUM($EE64:HD64)=1,1,0))))</f>
        <v>0</v>
      </c>
      <c r="HF64" s="8">
        <f>IF(HF$56-Voorblad!$F$41&gt;Voorblad!$K$41,0,IF($U64=0,0,IF($U64&lt;1,1/$U64,IF((HF$56-Voorblad!$F$41)/$U64-SUM($EE64:HE64)=1,1,0))))</f>
        <v>0</v>
      </c>
      <c r="HG64" s="8">
        <f>IF(HG$56-Voorblad!$F$41&gt;Voorblad!$K$41,0,IF($U64=0,0,IF($U64&lt;1,1/$U64,IF((HG$56-Voorblad!$F$41)/$U64-SUM($EE64:HF64)=1,1,0))))</f>
        <v>0</v>
      </c>
      <c r="HH64" s="8">
        <f>IF(HH$56-Voorblad!$F$41&gt;Voorblad!$K$41,0,IF($U64=0,0,IF($U64&lt;1,1/$U64,IF((HH$56-Voorblad!$F$41)/$U64-SUM($EE64:HG64)=1,1,0))))</f>
        <v>0</v>
      </c>
      <c r="HI64" s="8">
        <f>IF(HI$56-Voorblad!$F$41&gt;Voorblad!$K$41,0,IF($U64=0,0,IF($U64&lt;1,1/$U64,IF((HI$56-Voorblad!$F$41)/$U64-SUM($EE64:HH64)=1,1,0))))</f>
        <v>0</v>
      </c>
      <c r="HJ64" s="8">
        <f>IF(HJ$56-Voorblad!$F$41&gt;Voorblad!$K$41,0,IF($U64=0,0,IF($U64&lt;1,1/$U64,IF((HJ$56-Voorblad!$F$41)/$U64-SUM($EE64:HI64)=1,1,0))))</f>
        <v>0</v>
      </c>
      <c r="HK64" s="8">
        <f>IF(HK$56-Voorblad!$F$41&gt;Voorblad!$K$41,0,IF($U64=0,0,IF($U64&lt;1,1/$U64,IF((HK$56-Voorblad!$F$41)/$U64-SUM($EE64:HJ64)=1,1,0))))</f>
        <v>0</v>
      </c>
      <c r="HL64" s="8">
        <f>IF(HL$56-Voorblad!$F$41&gt;Voorblad!$K$41,0,IF($U64=0,0,IF($U64&lt;1,1/$U64,IF((HL$56-Voorblad!$F$41)/$U64-SUM($EE64:HK64)=1,1,0))))</f>
        <v>0</v>
      </c>
      <c r="HM64" s="8">
        <f>IF(HM$56-Voorblad!$F$41&gt;Voorblad!$K$41,0,IF($U64=0,0,IF($U64&lt;1,1/$U64,IF((HM$56-Voorblad!$F$41)/$U64-SUM($EE64:HL64)=1,1,0))))</f>
        <v>0</v>
      </c>
      <c r="HN64" s="8">
        <f>IF(HN$56-Voorblad!$F$41&gt;Voorblad!$K$41,0,IF($U64=0,0,IF($U64&lt;1,1/$U64,IF((HN$56-Voorblad!$F$41)/$U64-SUM($EE64:HM64)=1,1,0))))</f>
        <v>0</v>
      </c>
      <c r="HO64" s="8">
        <f>IF(HO$56-Voorblad!$F$41&gt;Voorblad!$K$41,0,IF($U64=0,0,IF($U64&lt;1,1/$U64,IF((HO$56-Voorblad!$F$41)/$U64-SUM($EE64:HN64)=1,1,0))))</f>
        <v>0</v>
      </c>
      <c r="HP64" s="8">
        <f>IF(HP$56-Voorblad!$F$41&gt;Voorblad!$K$41,0,IF($U64=0,0,IF($U64&lt;1,1/$U64,IF((HP$56-Voorblad!$F$41)/$U64-SUM($EE64:HO64)=1,1,0))))</f>
        <v>0</v>
      </c>
      <c r="HQ64" s="8">
        <f>IF(HQ$56-Voorblad!$F$41&gt;Voorblad!$K$41,0,IF($U64=0,0,IF($U64&lt;1,1/$U64,IF((HQ$56-Voorblad!$F$41)/$U64-SUM($EE64:HP64)=1,1,0))))</f>
        <v>0</v>
      </c>
      <c r="HR64" s="8">
        <f>IF(HR$56-Voorblad!$F$41&gt;Voorblad!$K$41,0,IF($U64=0,0,IF($U64&lt;1,1/$U64,IF((HR$56-Voorblad!$F$41)/$U64-SUM($EE64:HQ64)=1,1,0))))</f>
        <v>0</v>
      </c>
      <c r="HS64" s="8">
        <f>IF(HS$56-Voorblad!$F$41&gt;Voorblad!$K$41,0,IF($U64=0,0,IF($U64&lt;1,1/$U64,IF((HS$56-Voorblad!$F$41)/$U64-SUM($EE64:HR64)=1,1,0))))</f>
        <v>0</v>
      </c>
      <c r="HT64" s="8">
        <f>IF(HT$56-Voorblad!$F$41&gt;Voorblad!$K$41,0,IF($U64=0,0,IF($U64&lt;1,1/$U64,IF((HT$56-Voorblad!$F$41)/$U64-SUM($EE64:HS64)=1,1,0))))</f>
        <v>0</v>
      </c>
      <c r="HU64" s="8">
        <f>IF(HU$56-Voorblad!$F$41&gt;Voorblad!$K$41,0,IF($U64=0,0,IF($U64&lt;1,1/$U64,IF((HU$56-Voorblad!$F$41)/$U64-SUM($EE64:HT64)=1,1,0))))</f>
        <v>0</v>
      </c>
      <c r="HV64" s="8">
        <f>IF(HV$56-Voorblad!$F$41&gt;Voorblad!$K$41,0,IF($U64=0,0,IF($U64&lt;1,1/$U64,IF((HV$56-Voorblad!$F$41)/$U64-SUM($EE64:HU64)=1,1,0))))</f>
        <v>0</v>
      </c>
      <c r="HW64" s="8">
        <f>IF(HW$56-Voorblad!$F$41&gt;Voorblad!$K$41,0,IF($U64=0,0,IF($U64&lt;1,1/$U64,IF((HW$56-Voorblad!$F$41)/$U64-SUM($EE64:HV64)=1,1,0))))</f>
        <v>0</v>
      </c>
      <c r="HX64" s="8">
        <f>IF(HX$56-Voorblad!$F$41&gt;Voorblad!$K$41,0,IF($U64=0,0,IF($U64&lt;1,1/$U64,IF((HX$56-Voorblad!$F$41)/$U64-SUM($EE64:HW64)=1,1,0))))</f>
        <v>0</v>
      </c>
      <c r="HY64" s="8">
        <f>IF(HY$56-Voorblad!$F$41&gt;Voorblad!$K$41,0,IF($U64=0,0,IF($U64&lt;1,1/$U64,IF((HY$56-Voorblad!$F$41)/$U64-SUM($EE64:HX64)=1,1,0))))</f>
        <v>0</v>
      </c>
      <c r="HZ64" s="8">
        <f>IF(HZ$56-Voorblad!$F$41&gt;Voorblad!$K$41,0,IF($U64=0,0,IF($U64&lt;1,1/$U64,IF((HZ$56-Voorblad!$F$41)/$U64-SUM($EE64:HY64)=1,1,0))))</f>
        <v>0</v>
      </c>
      <c r="IA64" s="8">
        <f>IF(IA$56-Voorblad!$F$41&gt;Voorblad!$K$41,0,IF($U64=0,0,IF($U64&lt;1,1/$U64,IF((IA$56-Voorblad!$F$41)/$U64-SUM($EE64:HZ64)=1,1,0))))</f>
        <v>0</v>
      </c>
      <c r="IB64" s="8">
        <f>IF(IB$56-Voorblad!$F$41&gt;Voorblad!$K$41,0,IF($U64=0,0,IF($U64&lt;1,1/$U64,IF((IB$56-Voorblad!$F$41)/$U64-SUM($EE64:IA64)=1,1,0))))</f>
        <v>0</v>
      </c>
    </row>
    <row r="65" spans="2:236" ht="12" hidden="1" customHeight="1" outlineLevel="1" x14ac:dyDescent="0.25">
      <c r="B65" s="1">
        <v>3</v>
      </c>
      <c r="F65" s="1" t="s">
        <v>23</v>
      </c>
      <c r="I65" s="1" t="s">
        <v>277</v>
      </c>
      <c r="K65" s="14" t="s">
        <v>169</v>
      </c>
      <c r="L65" s="14"/>
      <c r="M65" s="14"/>
      <c r="N65" s="3"/>
      <c r="O65" s="1" t="s">
        <v>172</v>
      </c>
      <c r="P65" s="1" t="s">
        <v>175</v>
      </c>
      <c r="Q65" s="81">
        <v>0</v>
      </c>
      <c r="R65" s="1" t="s">
        <v>34</v>
      </c>
      <c r="S65" s="14">
        <f>$H$20*500</f>
        <v>885</v>
      </c>
      <c r="T65" s="1">
        <f t="shared" si="10"/>
        <v>0</v>
      </c>
      <c r="U65" s="14">
        <v>15</v>
      </c>
      <c r="V65" s="14"/>
      <c r="Y65" s="9">
        <f t="shared" ref="Y65" si="13">SUM(AE65:EB65)</f>
        <v>0</v>
      </c>
      <c r="Z65" s="82"/>
      <c r="AA65" s="82"/>
      <c r="AC65" s="9">
        <f>$Y65*(Voorblad!$K$44*(1+Voorblad!$K$44)^Voorblad!$K$41)/((1+Voorblad!$K$44)^Voorblad!$K$41-1)</f>
        <v>0</v>
      </c>
      <c r="AE65" s="9">
        <f>EF65*($Q65*$S65)/(1+Voorblad!$K$44)^(AE$56-Voorblad!$F$41)</f>
        <v>0</v>
      </c>
      <c r="AF65" s="9">
        <f>EG65*($Q65*$S65)/(1+Voorblad!$K$44)^(AF$56-Voorblad!$F$41)</f>
        <v>0</v>
      </c>
      <c r="AG65" s="9">
        <f>EH65*($Q65*$S65)/(1+Voorblad!$K$44)^(AG$56-Voorblad!$F$41)</f>
        <v>0</v>
      </c>
      <c r="AH65" s="9">
        <f>EI65*($Q65*$S65)/(1+Voorblad!$K$44)^(AH$56-Voorblad!$F$41)</f>
        <v>0</v>
      </c>
      <c r="AI65" s="9">
        <f>EJ65*($Q65*$S65)/(1+Voorblad!$K$44)^(AI$56-Voorblad!$F$41)</f>
        <v>0</v>
      </c>
      <c r="AJ65" s="9">
        <f>EK65*($Q65*$S65)/(1+Voorblad!$K$44)^(AJ$56-Voorblad!$F$41)</f>
        <v>0</v>
      </c>
      <c r="AK65" s="9">
        <f>EL65*($Q65*$S65)/(1+Voorblad!$K$44)^(AK$56-Voorblad!$F$41)</f>
        <v>0</v>
      </c>
      <c r="AL65" s="9">
        <f>EM65*($Q65*$S65)/(1+Voorblad!$K$44)^(AL$56-Voorblad!$F$41)</f>
        <v>0</v>
      </c>
      <c r="AM65" s="9">
        <f>EN65*($Q65*$S65)/(1+Voorblad!$K$44)^(AM$56-Voorblad!$F$41)</f>
        <v>0</v>
      </c>
      <c r="AN65" s="9">
        <f>EO65*($Q65*$S65)/(1+Voorblad!$K$44)^(AN$56-Voorblad!$F$41)</f>
        <v>0</v>
      </c>
      <c r="AO65" s="9">
        <f>EP65*($Q65*$S65)/(1+Voorblad!$K$44)^(AO$56-Voorblad!$F$41)</f>
        <v>0</v>
      </c>
      <c r="AP65" s="9">
        <f>EQ65*($Q65*$S65)/(1+Voorblad!$K$44)^(AP$56-Voorblad!$F$41)</f>
        <v>0</v>
      </c>
      <c r="AQ65" s="9">
        <f>ER65*($Q65*$S65)/(1+Voorblad!$K$44)^(AQ$56-Voorblad!$F$41)</f>
        <v>0</v>
      </c>
      <c r="AR65" s="9">
        <f>ES65*($Q65*$S65)/(1+Voorblad!$K$44)^(AR$56-Voorblad!$F$41)</f>
        <v>0</v>
      </c>
      <c r="AS65" s="9">
        <f>ET65*($Q65*$S65)/(1+Voorblad!$K$44)^(AS$56-Voorblad!$F$41)</f>
        <v>0</v>
      </c>
      <c r="AT65" s="9">
        <f>EU65*($Q65*$S65)/(1+Voorblad!$K$44)^(AT$56-Voorblad!$F$41)</f>
        <v>0</v>
      </c>
      <c r="AU65" s="9">
        <f>EV65*($Q65*$S65)/(1+Voorblad!$K$44)^(AU$56-Voorblad!$F$41)</f>
        <v>0</v>
      </c>
      <c r="AV65" s="9">
        <f>EW65*($Q65*$S65)/(1+Voorblad!$K$44)^(AV$56-Voorblad!$F$41)</f>
        <v>0</v>
      </c>
      <c r="AW65" s="9">
        <f>EX65*($Q65*$S65)/(1+Voorblad!$K$44)^(AW$56-Voorblad!$F$41)</f>
        <v>0</v>
      </c>
      <c r="AX65" s="9">
        <f>EY65*($Q65*$S65)/(1+Voorblad!$K$44)^(AX$56-Voorblad!$F$41)</f>
        <v>0</v>
      </c>
      <c r="AY65" s="9">
        <f>EZ65*($Q65*$S65)/(1+Voorblad!$K$44)^(AY$56-Voorblad!$F$41)</f>
        <v>0</v>
      </c>
      <c r="AZ65" s="9">
        <f>FA65*($Q65*$S65)/(1+Voorblad!$K$44)^(AZ$56-Voorblad!$F$41)</f>
        <v>0</v>
      </c>
      <c r="BA65" s="9">
        <f>FB65*($Q65*$S65)/(1+Voorblad!$K$44)^(BA$56-Voorblad!$F$41)</f>
        <v>0</v>
      </c>
      <c r="BB65" s="9">
        <f>FC65*($Q65*$S65)/(1+Voorblad!$K$44)^(BB$56-Voorblad!$F$41)</f>
        <v>0</v>
      </c>
      <c r="BC65" s="9">
        <f>FD65*($Q65*$S65)/(1+Voorblad!$K$44)^(BC$56-Voorblad!$F$41)</f>
        <v>0</v>
      </c>
      <c r="BD65" s="9">
        <f>FE65*($Q65*$S65)/(1+Voorblad!$K$44)^(BD$56-Voorblad!$F$41)</f>
        <v>0</v>
      </c>
      <c r="BE65" s="9">
        <f>FF65*($Q65*$S65)/(1+Voorblad!$K$44)^(BE$56-Voorblad!$F$41)</f>
        <v>0</v>
      </c>
      <c r="BF65" s="9">
        <f>FG65*($Q65*$S65)/(1+Voorblad!$K$44)^(BF$56-Voorblad!$F$41)</f>
        <v>0</v>
      </c>
      <c r="BG65" s="9">
        <f>FH65*($Q65*$S65)/(1+Voorblad!$K$44)^(BG$56-Voorblad!$F$41)</f>
        <v>0</v>
      </c>
      <c r="BH65" s="9">
        <f>FI65*($Q65*$S65)/(1+Voorblad!$K$44)^(BH$56-Voorblad!$F$41)</f>
        <v>0</v>
      </c>
      <c r="BI65" s="9">
        <f>FJ65*($Q65*$S65)/(1+Voorblad!$K$44)^(BI$56-Voorblad!$F$41)</f>
        <v>0</v>
      </c>
      <c r="BJ65" s="9">
        <f>FK65*($Q65*$S65)/(1+Voorblad!$K$44)^(BJ$56-Voorblad!$F$41)</f>
        <v>0</v>
      </c>
      <c r="BK65" s="9">
        <f>FL65*($Q65*$S65)/(1+Voorblad!$K$44)^(BK$56-Voorblad!$F$41)</f>
        <v>0</v>
      </c>
      <c r="BL65" s="9">
        <f>FM65*($Q65*$S65)/(1+Voorblad!$K$44)^(BL$56-Voorblad!$F$41)</f>
        <v>0</v>
      </c>
      <c r="BM65" s="9">
        <f>FN65*($Q65*$S65)/(1+Voorblad!$K$44)^(BM$56-Voorblad!$F$41)</f>
        <v>0</v>
      </c>
      <c r="BN65" s="9">
        <f>FO65*($Q65*$S65)/(1+Voorblad!$K$44)^(BN$56-Voorblad!$F$41)</f>
        <v>0</v>
      </c>
      <c r="BO65" s="9">
        <f>FP65*($Q65*$S65)/(1+Voorblad!$K$44)^(BO$56-Voorblad!$F$41)</f>
        <v>0</v>
      </c>
      <c r="BP65" s="9">
        <f>FQ65*($Q65*$S65)/(1+Voorblad!$K$44)^(BP$56-Voorblad!$F$41)</f>
        <v>0</v>
      </c>
      <c r="BQ65" s="9">
        <f>FR65*($Q65*$S65)/(1+Voorblad!$K$44)^(BQ$56-Voorblad!$F$41)</f>
        <v>0</v>
      </c>
      <c r="BR65" s="9">
        <f>FS65*($Q65*$S65)/(1+Voorblad!$K$44)^(BR$56-Voorblad!$F$41)</f>
        <v>0</v>
      </c>
      <c r="BS65" s="9">
        <f>FT65*($Q65*$S65)/(1+Voorblad!$K$44)^(BS$56-Voorblad!$F$41)</f>
        <v>0</v>
      </c>
      <c r="BT65" s="9">
        <f>FU65*($Q65*$S65)/(1+Voorblad!$K$44)^(BT$56-Voorblad!$F$41)</f>
        <v>0</v>
      </c>
      <c r="BU65" s="9">
        <f>FV65*($Q65*$S65)/(1+Voorblad!$K$44)^(BU$56-Voorblad!$F$41)</f>
        <v>0</v>
      </c>
      <c r="BV65" s="9">
        <f>FW65*($Q65*$S65)/(1+Voorblad!$K$44)^(BV$56-Voorblad!$F$41)</f>
        <v>0</v>
      </c>
      <c r="BW65" s="9">
        <f>FX65*($Q65*$S65)/(1+Voorblad!$K$44)^(BW$56-Voorblad!$F$41)</f>
        <v>0</v>
      </c>
      <c r="BX65" s="9">
        <f>FY65*($Q65*$S65)/(1+Voorblad!$K$44)^(BX$56-Voorblad!$F$41)</f>
        <v>0</v>
      </c>
      <c r="BY65" s="9">
        <f>FZ65*($Q65*$S65)/(1+Voorblad!$K$44)^(BY$56-Voorblad!$F$41)</f>
        <v>0</v>
      </c>
      <c r="BZ65" s="9">
        <f>GA65*($Q65*$S65)/(1+Voorblad!$K$44)^(BZ$56-Voorblad!$F$41)</f>
        <v>0</v>
      </c>
      <c r="CA65" s="9">
        <f>GB65*($Q65*$S65)/(1+Voorblad!$K$44)^(CA$56-Voorblad!$F$41)</f>
        <v>0</v>
      </c>
      <c r="CB65" s="9">
        <f>GC65*($Q65*$S65)/(1+Voorblad!$K$44)^(CB$56-Voorblad!$F$41)</f>
        <v>0</v>
      </c>
      <c r="CC65" s="9">
        <f>GD65*($Q65*$S65)/(1+Voorblad!$K$44)^(CC$56-Voorblad!$F$41)</f>
        <v>0</v>
      </c>
      <c r="CD65" s="9">
        <f>GE65*($Q65*$S65)/(1+Voorblad!$K$44)^(CD$56-Voorblad!$F$41)</f>
        <v>0</v>
      </c>
      <c r="CE65" s="9">
        <f>GF65*($Q65*$S65)/(1+Voorblad!$K$44)^(CE$56-Voorblad!$F$41)</f>
        <v>0</v>
      </c>
      <c r="CF65" s="9">
        <f>GG65*($Q65*$S65)/(1+Voorblad!$K$44)^(CF$56-Voorblad!$F$41)</f>
        <v>0</v>
      </c>
      <c r="CG65" s="9">
        <f>GH65*($Q65*$S65)/(1+Voorblad!$K$44)^(CG$56-Voorblad!$F$41)</f>
        <v>0</v>
      </c>
      <c r="CH65" s="9">
        <f>GI65*($Q65*$S65)/(1+Voorblad!$K$44)^(CH$56-Voorblad!$F$41)</f>
        <v>0</v>
      </c>
      <c r="CI65" s="9">
        <f>GJ65*($Q65*$S65)/(1+Voorblad!$K$44)^(CI$56-Voorblad!$F$41)</f>
        <v>0</v>
      </c>
      <c r="CJ65" s="9">
        <f>GK65*($Q65*$S65)/(1+Voorblad!$K$44)^(CJ$56-Voorblad!$F$41)</f>
        <v>0</v>
      </c>
      <c r="CK65" s="9">
        <f>GL65*($Q65*$S65)/(1+Voorblad!$K$44)^(CK$56-Voorblad!$F$41)</f>
        <v>0</v>
      </c>
      <c r="CL65" s="9">
        <f>GM65*($Q65*$S65)/(1+Voorblad!$K$44)^(CL$56-Voorblad!$F$41)</f>
        <v>0</v>
      </c>
      <c r="CM65" s="9">
        <f>GN65*($Q65*$S65)/(1+Voorblad!$K$44)^(CM$56-Voorblad!$F$41)</f>
        <v>0</v>
      </c>
      <c r="CN65" s="9">
        <f>GO65*($Q65*$S65)/(1+Voorblad!$K$44)^(CN$56-Voorblad!$F$41)</f>
        <v>0</v>
      </c>
      <c r="CO65" s="9">
        <f>GP65*($Q65*$S65)/(1+Voorblad!$K$44)^(CO$56-Voorblad!$F$41)</f>
        <v>0</v>
      </c>
      <c r="CP65" s="9">
        <f>GQ65*($Q65*$S65)/(1+Voorblad!$K$44)^(CP$56-Voorblad!$F$41)</f>
        <v>0</v>
      </c>
      <c r="CQ65" s="9">
        <f>GR65*($Q65*$S65)/(1+Voorblad!$K$44)^(CQ$56-Voorblad!$F$41)</f>
        <v>0</v>
      </c>
      <c r="CR65" s="9">
        <f>GS65*($Q65*$S65)/(1+Voorblad!$K$44)^(CR$56-Voorblad!$F$41)</f>
        <v>0</v>
      </c>
      <c r="CS65" s="9">
        <f>GT65*($Q65*$S65)/(1+Voorblad!$K$44)^(CS$56-Voorblad!$F$41)</f>
        <v>0</v>
      </c>
      <c r="CT65" s="9">
        <f>GU65*($Q65*$S65)/(1+Voorblad!$K$44)^(CT$56-Voorblad!$F$41)</f>
        <v>0</v>
      </c>
      <c r="CU65" s="9">
        <f>GV65*($Q65*$S65)/(1+Voorblad!$K$44)^(CU$56-Voorblad!$F$41)</f>
        <v>0</v>
      </c>
      <c r="CV65" s="9">
        <f>GW65*($Q65*$S65)/(1+Voorblad!$K$44)^(CV$56-Voorblad!$F$41)</f>
        <v>0</v>
      </c>
      <c r="CW65" s="9">
        <f>GX65*($Q65*$S65)/(1+Voorblad!$K$44)^(CW$56-Voorblad!$F$41)</f>
        <v>0</v>
      </c>
      <c r="CX65" s="9">
        <f>GY65*($Q65*$S65)/(1+Voorblad!$K$44)^(CX$56-Voorblad!$F$41)</f>
        <v>0</v>
      </c>
      <c r="CY65" s="9">
        <f>GZ65*($Q65*$S65)/(1+Voorblad!$K$44)^(CY$56-Voorblad!$F$41)</f>
        <v>0</v>
      </c>
      <c r="CZ65" s="9">
        <f>HA65*($Q65*$S65)/(1+Voorblad!$K$44)^(CZ$56-Voorblad!$F$41)</f>
        <v>0</v>
      </c>
      <c r="DA65" s="9">
        <f>HB65*($Q65*$S65)/(1+Voorblad!$K$44)^(DA$56-Voorblad!$F$41)</f>
        <v>0</v>
      </c>
      <c r="DB65" s="9">
        <f>HC65*($Q65*$S65)/(1+Voorblad!$K$44)^(DB$56-Voorblad!$F$41)</f>
        <v>0</v>
      </c>
      <c r="DC65" s="9">
        <f>HD65*($Q65*$S65)/(1+Voorblad!$K$44)^(DC$56-Voorblad!$F$41)</f>
        <v>0</v>
      </c>
      <c r="DD65" s="9">
        <f>HE65*($Q65*$S65)/(1+Voorblad!$K$44)^(DD$56-Voorblad!$F$41)</f>
        <v>0</v>
      </c>
      <c r="DE65" s="9">
        <f>HF65*($Q65*$S65)/(1+Voorblad!$K$44)^(DE$56-Voorblad!$F$41)</f>
        <v>0</v>
      </c>
      <c r="DF65" s="9">
        <f>HG65*($Q65*$S65)/(1+Voorblad!$K$44)^(DF$56-Voorblad!$F$41)</f>
        <v>0</v>
      </c>
      <c r="DG65" s="9">
        <f>HH65*($Q65*$S65)/(1+Voorblad!$K$44)^(DG$56-Voorblad!$F$41)</f>
        <v>0</v>
      </c>
      <c r="DH65" s="9">
        <f>HI65*($Q65*$S65)/(1+Voorblad!$K$44)^(DH$56-Voorblad!$F$41)</f>
        <v>0</v>
      </c>
      <c r="DI65" s="9">
        <f>HJ65*($Q65*$S65)/(1+Voorblad!$K$44)^(DI$56-Voorblad!$F$41)</f>
        <v>0</v>
      </c>
      <c r="DJ65" s="9">
        <f>HK65*($Q65*$S65)/(1+Voorblad!$K$44)^(DJ$56-Voorblad!$F$41)</f>
        <v>0</v>
      </c>
      <c r="DK65" s="9">
        <f>HL65*($Q65*$S65)/(1+Voorblad!$K$44)^(DK$56-Voorblad!$F$41)</f>
        <v>0</v>
      </c>
      <c r="DL65" s="9">
        <f>HM65*($Q65*$S65)/(1+Voorblad!$K$44)^(DL$56-Voorblad!$F$41)</f>
        <v>0</v>
      </c>
      <c r="DM65" s="9">
        <f>HN65*($Q65*$S65)/(1+Voorblad!$K$44)^(DM$56-Voorblad!$F$41)</f>
        <v>0</v>
      </c>
      <c r="DN65" s="9">
        <f>HO65*($Q65*$S65)/(1+Voorblad!$K$44)^(DN$56-Voorblad!$F$41)</f>
        <v>0</v>
      </c>
      <c r="DO65" s="9">
        <f>HP65*($Q65*$S65)/(1+Voorblad!$K$44)^(DO$56-Voorblad!$F$41)</f>
        <v>0</v>
      </c>
      <c r="DP65" s="9">
        <f>HQ65*($Q65*$S65)/(1+Voorblad!$K$44)^(DP$56-Voorblad!$F$41)</f>
        <v>0</v>
      </c>
      <c r="DQ65" s="9">
        <f>HR65*($Q65*$S65)/(1+Voorblad!$K$44)^(DQ$56-Voorblad!$F$41)</f>
        <v>0</v>
      </c>
      <c r="DR65" s="9">
        <f>HS65*($Q65*$S65)/(1+Voorblad!$K$44)^(DR$56-Voorblad!$F$41)</f>
        <v>0</v>
      </c>
      <c r="DS65" s="9">
        <f>HT65*($Q65*$S65)/(1+Voorblad!$K$44)^(DS$56-Voorblad!$F$41)</f>
        <v>0</v>
      </c>
      <c r="DT65" s="9">
        <f>HU65*($Q65*$S65)/(1+Voorblad!$K$44)^(DT$56-Voorblad!$F$41)</f>
        <v>0</v>
      </c>
      <c r="DU65" s="9">
        <f>HV65*($Q65*$S65)/(1+Voorblad!$K$44)^(DU$56-Voorblad!$F$41)</f>
        <v>0</v>
      </c>
      <c r="DV65" s="9">
        <f>HW65*($Q65*$S65)/(1+Voorblad!$K$44)^(DV$56-Voorblad!$F$41)</f>
        <v>0</v>
      </c>
      <c r="DW65" s="9">
        <f>HX65*($Q65*$S65)/(1+Voorblad!$K$44)^(DW$56-Voorblad!$F$41)</f>
        <v>0</v>
      </c>
      <c r="DX65" s="9">
        <f>HY65*($Q65*$S65)/(1+Voorblad!$K$44)^(DX$56-Voorblad!$F$41)</f>
        <v>0</v>
      </c>
      <c r="DY65" s="9">
        <f>HZ65*($Q65*$S65)/(1+Voorblad!$K$44)^(DY$56-Voorblad!$F$41)</f>
        <v>0</v>
      </c>
      <c r="DZ65" s="9">
        <f>IA65*($Q65*$S65)/(1+Voorblad!$K$44)^(DZ$56-Voorblad!$F$41)</f>
        <v>0</v>
      </c>
      <c r="EA65" s="9">
        <f>IB65*($Q65*$S65)/(1+Voorblad!$K$44)^(EA$56-Voorblad!$F$41)</f>
        <v>0</v>
      </c>
      <c r="EB65" s="9">
        <f>IC65*($Q65*$S65)/(1+Voorblad!$K$44)^(EB$56-Voorblad!$F$41)</f>
        <v>0</v>
      </c>
      <c r="EE65" s="8">
        <v>0</v>
      </c>
      <c r="EF65" s="8">
        <f>IF(EF$56-Voorblad!$F$41&gt;Voorblad!$K$41,0,IF($U65=0,0,IF($U65&lt;1,1/$U65,IF((EF$56-Voorblad!$F$41)/$U65-SUM($EE65:EE65)=1,1,0))))</f>
        <v>0</v>
      </c>
      <c r="EG65" s="8">
        <f>IF(EG$56-Voorblad!$F$41&gt;Voorblad!$K$41,0,IF($U65=0,0,IF($U65&lt;1,1/$U65,IF((EG$56-Voorblad!$F$41)/$U65-SUM($EE65:EF65)=1,1,0))))</f>
        <v>0</v>
      </c>
      <c r="EH65" s="8">
        <f>IF(EH$56-Voorblad!$F$41&gt;Voorblad!$K$41,0,IF($U65=0,0,IF($U65&lt;1,1/$U65,IF((EH$56-Voorblad!$F$41)/$U65-SUM($EE65:EG65)=1,1,0))))</f>
        <v>0</v>
      </c>
      <c r="EI65" s="8">
        <f>IF(EI$56-Voorblad!$F$41&gt;Voorblad!$K$41,0,IF($U65=0,0,IF($U65&lt;1,1/$U65,IF((EI$56-Voorblad!$F$41)/$U65-SUM($EE65:EH65)=1,1,0))))</f>
        <v>0</v>
      </c>
      <c r="EJ65" s="8">
        <f>IF(EJ$56-Voorblad!$F$41&gt;Voorblad!$K$41,0,IF($U65=0,0,IF($U65&lt;1,1/$U65,IF((EJ$56-Voorblad!$F$41)/$U65-SUM($EE65:EI65)=1,1,0))))</f>
        <v>0</v>
      </c>
      <c r="EK65" s="8">
        <f>IF(EK$56-Voorblad!$F$41&gt;Voorblad!$K$41,0,IF($U65=0,0,IF($U65&lt;1,1/$U65,IF((EK$56-Voorblad!$F$41)/$U65-SUM($EE65:EJ65)=1,1,0))))</f>
        <v>0</v>
      </c>
      <c r="EL65" s="8">
        <f>IF(EL$56-Voorblad!$F$41&gt;Voorblad!$K$41,0,IF($U65=0,0,IF($U65&lt;1,1/$U65,IF((EL$56-Voorblad!$F$41)/$U65-SUM($EE65:EK65)=1,1,0))))</f>
        <v>0</v>
      </c>
      <c r="EM65" s="8">
        <f>IF(EM$56-Voorblad!$F$41&gt;Voorblad!$K$41,0,IF($U65=0,0,IF($U65&lt;1,1/$U65,IF((EM$56-Voorblad!$F$41)/$U65-SUM($EE65:EL65)=1,1,0))))</f>
        <v>0</v>
      </c>
      <c r="EN65" s="8">
        <f>IF(EN$56-Voorblad!$F$41&gt;Voorblad!$K$41,0,IF($U65=0,0,IF($U65&lt;1,1/$U65,IF((EN$56-Voorblad!$F$41)/$U65-SUM($EE65:EM65)=1,1,0))))</f>
        <v>0</v>
      </c>
      <c r="EO65" s="8">
        <f>IF(EO$56-Voorblad!$F$41&gt;Voorblad!$K$41,0,IF($U65=0,0,IF($U65&lt;1,1/$U65,IF((EO$56-Voorblad!$F$41)/$U65-SUM($EE65:EN65)=1,1,0))))</f>
        <v>0</v>
      </c>
      <c r="EP65" s="8">
        <f>IF(EP$56-Voorblad!$F$41&gt;Voorblad!$K$41,0,IF($U65=0,0,IF($U65&lt;1,1/$U65,IF((EP$56-Voorblad!$F$41)/$U65-SUM($EE65:EO65)=1,1,0))))</f>
        <v>0</v>
      </c>
      <c r="EQ65" s="8">
        <f>IF(EQ$56-Voorblad!$F$41&gt;Voorblad!$K$41,0,IF($U65=0,0,IF($U65&lt;1,1/$U65,IF((EQ$56-Voorblad!$F$41)/$U65-SUM($EE65:EP65)=1,1,0))))</f>
        <v>0</v>
      </c>
      <c r="ER65" s="8">
        <f>IF(ER$56-Voorblad!$F$41&gt;Voorblad!$K$41,0,IF($U65=0,0,IF($U65&lt;1,1/$U65,IF((ER$56-Voorblad!$F$41)/$U65-SUM($EE65:EQ65)=1,1,0))))</f>
        <v>0</v>
      </c>
      <c r="ES65" s="8">
        <f>IF(ES$56-Voorblad!$F$41&gt;Voorblad!$K$41,0,IF($U65=0,0,IF($U65&lt;1,1/$U65,IF((ES$56-Voorblad!$F$41)/$U65-SUM($EE65:ER65)=1,1,0))))</f>
        <v>0</v>
      </c>
      <c r="ET65" s="8">
        <f>IF(ET$56-Voorblad!$F$41&gt;Voorblad!$K$41,0,IF($U65=0,0,IF($U65&lt;1,1/$U65,IF((ET$56-Voorblad!$F$41)/$U65-SUM($EE65:ES65)=1,1,0))))</f>
        <v>0</v>
      </c>
      <c r="EU65" s="8">
        <f>IF(EU$56-Voorblad!$F$41&gt;Voorblad!$K$41,0,IF($U65=0,0,IF($U65&lt;1,1/$U65,IF((EU$56-Voorblad!$F$41)/$U65-SUM($EE65:ET65)=1,1,0))))</f>
        <v>1</v>
      </c>
      <c r="EV65" s="8">
        <f>IF(EV$56-Voorblad!$F$41&gt;Voorblad!$K$41,0,IF($U65=0,0,IF($U65&lt;1,1/$U65,IF((EV$56-Voorblad!$F$41)/$U65-SUM($EE65:EU65)=1,1,0))))</f>
        <v>0</v>
      </c>
      <c r="EW65" s="8">
        <f>IF(EW$56-Voorblad!$F$41&gt;Voorblad!$K$41,0,IF($U65=0,0,IF($U65&lt;1,1/$U65,IF((EW$56-Voorblad!$F$41)/$U65-SUM($EE65:EV65)=1,1,0))))</f>
        <v>0</v>
      </c>
      <c r="EX65" s="8">
        <f>IF(EX$56-Voorblad!$F$41&gt;Voorblad!$K$41,0,IF($U65=0,0,IF($U65&lt;1,1/$U65,IF((EX$56-Voorblad!$F$41)/$U65-SUM($EE65:EW65)=1,1,0))))</f>
        <v>0</v>
      </c>
      <c r="EY65" s="8">
        <f>IF(EY$56-Voorblad!$F$41&gt;Voorblad!$K$41,0,IF($U65=0,0,IF($U65&lt;1,1/$U65,IF((EY$56-Voorblad!$F$41)/$U65-SUM($EE65:EX65)=1,1,0))))</f>
        <v>0</v>
      </c>
      <c r="EZ65" s="8">
        <f>IF(EZ$56-Voorblad!$F$41&gt;Voorblad!$K$41,0,IF($U65=0,0,IF($U65&lt;1,1/$U65,IF((EZ$56-Voorblad!$F$41)/$U65-SUM($EE65:EY65)=1,1,0))))</f>
        <v>0</v>
      </c>
      <c r="FA65" s="8">
        <f>IF(FA$56-Voorblad!$F$41&gt;Voorblad!$K$41,0,IF($U65=0,0,IF($U65&lt;1,1/$U65,IF((FA$56-Voorblad!$F$41)/$U65-SUM($EE65:EZ65)=1,1,0))))</f>
        <v>0</v>
      </c>
      <c r="FB65" s="8">
        <f>IF(FB$56-Voorblad!$F$41&gt;Voorblad!$K$41,0,IF($U65=0,0,IF($U65&lt;1,1/$U65,IF((FB$56-Voorblad!$F$41)/$U65-SUM($EE65:FA65)=1,1,0))))</f>
        <v>0</v>
      </c>
      <c r="FC65" s="8">
        <f>IF(FC$56-Voorblad!$F$41&gt;Voorblad!$K$41,0,IF($U65=0,0,IF($U65&lt;1,1/$U65,IF((FC$56-Voorblad!$F$41)/$U65-SUM($EE65:FB65)=1,1,0))))</f>
        <v>0</v>
      </c>
      <c r="FD65" s="8">
        <f>IF(FD$56-Voorblad!$F$41&gt;Voorblad!$K$41,0,IF($U65=0,0,IF($U65&lt;1,1/$U65,IF((FD$56-Voorblad!$F$41)/$U65-SUM($EE65:FC65)=1,1,0))))</f>
        <v>0</v>
      </c>
      <c r="FE65" s="8">
        <f>IF(FE$56-Voorblad!$F$41&gt;Voorblad!$K$41,0,IF($U65=0,0,IF($U65&lt;1,1/$U65,IF((FE$56-Voorblad!$F$41)/$U65-SUM($EE65:FD65)=1,1,0))))</f>
        <v>0</v>
      </c>
      <c r="FF65" s="8">
        <f>IF(FF$56-Voorblad!$F$41&gt;Voorblad!$K$41,0,IF($U65=0,0,IF($U65&lt;1,1/$U65,IF((FF$56-Voorblad!$F$41)/$U65-SUM($EE65:FE65)=1,1,0))))</f>
        <v>0</v>
      </c>
      <c r="FG65" s="8">
        <f>IF(FG$56-Voorblad!$F$41&gt;Voorblad!$K$41,0,IF($U65=0,0,IF($U65&lt;1,1/$U65,IF((FG$56-Voorblad!$F$41)/$U65-SUM($EE65:FF65)=1,1,0))))</f>
        <v>0</v>
      </c>
      <c r="FH65" s="8">
        <f>IF(FH$56-Voorblad!$F$41&gt;Voorblad!$K$41,0,IF($U65=0,0,IF($U65&lt;1,1/$U65,IF((FH$56-Voorblad!$F$41)/$U65-SUM($EE65:FG65)=1,1,0))))</f>
        <v>0</v>
      </c>
      <c r="FI65" s="8">
        <f>IF(FI$56-Voorblad!$F$41&gt;Voorblad!$K$41,0,IF($U65=0,0,IF($U65&lt;1,1/$U65,IF((FI$56-Voorblad!$F$41)/$U65-SUM($EE65:FH65)=1,1,0))))</f>
        <v>0</v>
      </c>
      <c r="FJ65" s="8">
        <f>IF(FJ$56-Voorblad!$F$41&gt;Voorblad!$K$41,0,IF($U65=0,0,IF($U65&lt;1,1/$U65,IF((FJ$56-Voorblad!$F$41)/$U65-SUM($EE65:FI65)=1,1,0))))</f>
        <v>1</v>
      </c>
      <c r="FK65" s="8">
        <f>IF(FK$56-Voorblad!$F$41&gt;Voorblad!$K$41,0,IF($U65=0,0,IF($U65&lt;1,1/$U65,IF((FK$56-Voorblad!$F$41)/$U65-SUM($EE65:FJ65)=1,1,0))))</f>
        <v>0</v>
      </c>
      <c r="FL65" s="8">
        <f>IF(FL$56-Voorblad!$F$41&gt;Voorblad!$K$41,0,IF($U65=0,0,IF($U65&lt;1,1/$U65,IF((FL$56-Voorblad!$F$41)/$U65-SUM($EE65:FK65)=1,1,0))))</f>
        <v>0</v>
      </c>
      <c r="FM65" s="8">
        <f>IF(FM$56-Voorblad!$F$41&gt;Voorblad!$K$41,0,IF($U65=0,0,IF($U65&lt;1,1/$U65,IF((FM$56-Voorblad!$F$41)/$U65-SUM($EE65:FL65)=1,1,0))))</f>
        <v>0</v>
      </c>
      <c r="FN65" s="8">
        <f>IF(FN$56-Voorblad!$F$41&gt;Voorblad!$K$41,0,IF($U65=0,0,IF($U65&lt;1,1/$U65,IF((FN$56-Voorblad!$F$41)/$U65-SUM($EE65:FM65)=1,1,0))))</f>
        <v>0</v>
      </c>
      <c r="FO65" s="8">
        <f>IF(FO$56-Voorblad!$F$41&gt;Voorblad!$K$41,0,IF($U65=0,0,IF($U65&lt;1,1/$U65,IF((FO$56-Voorblad!$F$41)/$U65-SUM($EE65:FN65)=1,1,0))))</f>
        <v>0</v>
      </c>
      <c r="FP65" s="8">
        <f>IF(FP$56-Voorblad!$F$41&gt;Voorblad!$K$41,0,IF($U65=0,0,IF($U65&lt;1,1/$U65,IF((FP$56-Voorblad!$F$41)/$U65-SUM($EE65:FO65)=1,1,0))))</f>
        <v>0</v>
      </c>
      <c r="FQ65" s="8">
        <f>IF(FQ$56-Voorblad!$F$41&gt;Voorblad!$K$41,0,IF($U65=0,0,IF($U65&lt;1,1/$U65,IF((FQ$56-Voorblad!$F$41)/$U65-SUM($EE65:FP65)=1,1,0))))</f>
        <v>0</v>
      </c>
      <c r="FR65" s="8">
        <f>IF(FR$56-Voorblad!$F$41&gt;Voorblad!$K$41,0,IF($U65=0,0,IF($U65&lt;1,1/$U65,IF((FR$56-Voorblad!$F$41)/$U65-SUM($EE65:FQ65)=1,1,0))))</f>
        <v>0</v>
      </c>
      <c r="FS65" s="8">
        <f>IF(FS$56-Voorblad!$F$41&gt;Voorblad!$K$41,0,IF($U65=0,0,IF($U65&lt;1,1/$U65,IF((FS$56-Voorblad!$F$41)/$U65-SUM($EE65:FR65)=1,1,0))))</f>
        <v>0</v>
      </c>
      <c r="FT65" s="8">
        <f>IF(FT$56-Voorblad!$F$41&gt;Voorblad!$K$41,0,IF($U65=0,0,IF($U65&lt;1,1/$U65,IF((FT$56-Voorblad!$F$41)/$U65-SUM($EE65:FS65)=1,1,0))))</f>
        <v>0</v>
      </c>
      <c r="FU65" s="8">
        <f>IF(FU$56-Voorblad!$F$41&gt;Voorblad!$K$41,0,IF($U65=0,0,IF($U65&lt;1,1/$U65,IF((FU$56-Voorblad!$F$41)/$U65-SUM($EE65:FT65)=1,1,0))))</f>
        <v>0</v>
      </c>
      <c r="FV65" s="8">
        <f>IF(FV$56-Voorblad!$F$41&gt;Voorblad!$K$41,0,IF($U65=0,0,IF($U65&lt;1,1/$U65,IF((FV$56-Voorblad!$F$41)/$U65-SUM($EE65:FU65)=1,1,0))))</f>
        <v>0</v>
      </c>
      <c r="FW65" s="8">
        <f>IF(FW$56-Voorblad!$F$41&gt;Voorblad!$K$41,0,IF($U65=0,0,IF($U65&lt;1,1/$U65,IF((FW$56-Voorblad!$F$41)/$U65-SUM($EE65:FV65)=1,1,0))))</f>
        <v>0</v>
      </c>
      <c r="FX65" s="8">
        <f>IF(FX$56-Voorblad!$F$41&gt;Voorblad!$K$41,0,IF($U65=0,0,IF($U65&lt;1,1/$U65,IF((FX$56-Voorblad!$F$41)/$U65-SUM($EE65:FW65)=1,1,0))))</f>
        <v>0</v>
      </c>
      <c r="FY65" s="8">
        <f>IF(FY$56-Voorblad!$F$41&gt;Voorblad!$K$41,0,IF($U65=0,0,IF($U65&lt;1,1/$U65,IF((FY$56-Voorblad!$F$41)/$U65-SUM($EE65:FX65)=1,1,0))))</f>
        <v>1</v>
      </c>
      <c r="FZ65" s="8">
        <f>IF(FZ$56-Voorblad!$F$41&gt;Voorblad!$K$41,0,IF($U65=0,0,IF($U65&lt;1,1/$U65,IF((FZ$56-Voorblad!$F$41)/$U65-SUM($EE65:FY65)=1,1,0))))</f>
        <v>0</v>
      </c>
      <c r="GA65" s="8">
        <f>IF(GA$56-Voorblad!$F$41&gt;Voorblad!$K$41,0,IF($U65=0,0,IF($U65&lt;1,1/$U65,IF((GA$56-Voorblad!$F$41)/$U65-SUM($EE65:FZ65)=1,1,0))))</f>
        <v>0</v>
      </c>
      <c r="GB65" s="8">
        <f>IF(GB$56-Voorblad!$F$41&gt;Voorblad!$K$41,0,IF($U65=0,0,IF($U65&lt;1,1/$U65,IF((GB$56-Voorblad!$F$41)/$U65-SUM($EE65:GA65)=1,1,0))))</f>
        <v>0</v>
      </c>
      <c r="GC65" s="8">
        <f>IF(GC$56-Voorblad!$F$41&gt;Voorblad!$K$41,0,IF($U65=0,0,IF($U65&lt;1,1/$U65,IF((GC$56-Voorblad!$F$41)/$U65-SUM($EE65:GB65)=1,1,0))))</f>
        <v>0</v>
      </c>
      <c r="GD65" s="8">
        <f>IF(GD$56-Voorblad!$F$41&gt;Voorblad!$K$41,0,IF($U65=0,0,IF($U65&lt;1,1/$U65,IF((GD$56-Voorblad!$F$41)/$U65-SUM($EE65:GC65)=1,1,0))))</f>
        <v>0</v>
      </c>
      <c r="GE65" s="8">
        <f>IF(GE$56-Voorblad!$F$41&gt;Voorblad!$K$41,0,IF($U65=0,0,IF($U65&lt;1,1/$U65,IF((GE$56-Voorblad!$F$41)/$U65-SUM($EE65:GD65)=1,1,0))))</f>
        <v>0</v>
      </c>
      <c r="GF65" s="8">
        <f>IF(GF$56-Voorblad!$F$41&gt;Voorblad!$K$41,0,IF($U65=0,0,IF($U65&lt;1,1/$U65,IF((GF$56-Voorblad!$F$41)/$U65-SUM($EE65:GE65)=1,1,0))))</f>
        <v>0</v>
      </c>
      <c r="GG65" s="8">
        <f>IF(GG$56-Voorblad!$F$41&gt;Voorblad!$K$41,0,IF($U65=0,0,IF($U65&lt;1,1/$U65,IF((GG$56-Voorblad!$F$41)/$U65-SUM($EE65:GF65)=1,1,0))))</f>
        <v>0</v>
      </c>
      <c r="GH65" s="8">
        <f>IF(GH$56-Voorblad!$F$41&gt;Voorblad!$K$41,0,IF($U65=0,0,IF($U65&lt;1,1/$U65,IF((GH$56-Voorblad!$F$41)/$U65-SUM($EE65:GG65)=1,1,0))))</f>
        <v>0</v>
      </c>
      <c r="GI65" s="8">
        <f>IF(GI$56-Voorblad!$F$41&gt;Voorblad!$K$41,0,IF($U65=0,0,IF($U65&lt;1,1/$U65,IF((GI$56-Voorblad!$F$41)/$U65-SUM($EE65:GH65)=1,1,0))))</f>
        <v>0</v>
      </c>
      <c r="GJ65" s="8">
        <f>IF(GJ$56-Voorblad!$F$41&gt;Voorblad!$K$41,0,IF($U65=0,0,IF($U65&lt;1,1/$U65,IF((GJ$56-Voorblad!$F$41)/$U65-SUM($EE65:GI65)=1,1,0))))</f>
        <v>0</v>
      </c>
      <c r="GK65" s="8">
        <f>IF(GK$56-Voorblad!$F$41&gt;Voorblad!$K$41,0,IF($U65=0,0,IF($U65&lt;1,1/$U65,IF((GK$56-Voorblad!$F$41)/$U65-SUM($EE65:GJ65)=1,1,0))))</f>
        <v>0</v>
      </c>
      <c r="GL65" s="8">
        <f>IF(GL$56-Voorblad!$F$41&gt;Voorblad!$K$41,0,IF($U65=0,0,IF($U65&lt;1,1/$U65,IF((GL$56-Voorblad!$F$41)/$U65-SUM($EE65:GK65)=1,1,0))))</f>
        <v>0</v>
      </c>
      <c r="GM65" s="8">
        <f>IF(GM$56-Voorblad!$F$41&gt;Voorblad!$K$41,0,IF($U65=0,0,IF($U65&lt;1,1/$U65,IF((GM$56-Voorblad!$F$41)/$U65-SUM($EE65:GL65)=1,1,0))))</f>
        <v>0</v>
      </c>
      <c r="GN65" s="8">
        <f>IF(GN$56-Voorblad!$F$41&gt;Voorblad!$K$41,0,IF($U65=0,0,IF($U65&lt;1,1/$U65,IF((GN$56-Voorblad!$F$41)/$U65-SUM($EE65:GM65)=1,1,0))))</f>
        <v>1</v>
      </c>
      <c r="GO65" s="8">
        <f>IF(GO$56-Voorblad!$F$41&gt;Voorblad!$K$41,0,IF($U65=0,0,IF($U65&lt;1,1/$U65,IF((GO$56-Voorblad!$F$41)/$U65-SUM($EE65:GN65)=1,1,0))))</f>
        <v>0</v>
      </c>
      <c r="GP65" s="8">
        <f>IF(GP$56-Voorblad!$F$41&gt;Voorblad!$K$41,0,IF($U65=0,0,IF($U65&lt;1,1/$U65,IF((GP$56-Voorblad!$F$41)/$U65-SUM($EE65:GO65)=1,1,0))))</f>
        <v>0</v>
      </c>
      <c r="GQ65" s="8">
        <f>IF(GQ$56-Voorblad!$F$41&gt;Voorblad!$K$41,0,IF($U65=0,0,IF($U65&lt;1,1/$U65,IF((GQ$56-Voorblad!$F$41)/$U65-SUM($EE65:GP65)=1,1,0))))</f>
        <v>0</v>
      </c>
      <c r="GR65" s="8">
        <f>IF(GR$56-Voorblad!$F$41&gt;Voorblad!$K$41,0,IF($U65=0,0,IF($U65&lt;1,1/$U65,IF((GR$56-Voorblad!$F$41)/$U65-SUM($EE65:GQ65)=1,1,0))))</f>
        <v>0</v>
      </c>
      <c r="GS65" s="8">
        <f>IF(GS$56-Voorblad!$F$41&gt;Voorblad!$K$41,0,IF($U65=0,0,IF($U65&lt;1,1/$U65,IF((GS$56-Voorblad!$F$41)/$U65-SUM($EE65:GR65)=1,1,0))))</f>
        <v>0</v>
      </c>
      <c r="GT65" s="8">
        <f>IF(GT$56-Voorblad!$F$41&gt;Voorblad!$K$41,0,IF($U65=0,0,IF($U65&lt;1,1/$U65,IF((GT$56-Voorblad!$F$41)/$U65-SUM($EE65:GS65)=1,1,0))))</f>
        <v>0</v>
      </c>
      <c r="GU65" s="8">
        <f>IF(GU$56-Voorblad!$F$41&gt;Voorblad!$K$41,0,IF($U65=0,0,IF($U65&lt;1,1/$U65,IF((GU$56-Voorblad!$F$41)/$U65-SUM($EE65:GT65)=1,1,0))))</f>
        <v>0</v>
      </c>
      <c r="GV65" s="8">
        <f>IF(GV$56-Voorblad!$F$41&gt;Voorblad!$K$41,0,IF($U65=0,0,IF($U65&lt;1,1/$U65,IF((GV$56-Voorblad!$F$41)/$U65-SUM($EE65:GU65)=1,1,0))))</f>
        <v>0</v>
      </c>
      <c r="GW65" s="8">
        <f>IF(GW$56-Voorblad!$F$41&gt;Voorblad!$K$41,0,IF($U65=0,0,IF($U65&lt;1,1/$U65,IF((GW$56-Voorblad!$F$41)/$U65-SUM($EE65:GV65)=1,1,0))))</f>
        <v>0</v>
      </c>
      <c r="GX65" s="8">
        <f>IF(GX$56-Voorblad!$F$41&gt;Voorblad!$K$41,0,IF($U65=0,0,IF($U65&lt;1,1/$U65,IF((GX$56-Voorblad!$F$41)/$U65-SUM($EE65:GW65)=1,1,0))))</f>
        <v>0</v>
      </c>
      <c r="GY65" s="8">
        <f>IF(GY$56-Voorblad!$F$41&gt;Voorblad!$K$41,0,IF($U65=0,0,IF($U65&lt;1,1/$U65,IF((GY$56-Voorblad!$F$41)/$U65-SUM($EE65:GX65)=1,1,0))))</f>
        <v>0</v>
      </c>
      <c r="GZ65" s="8">
        <f>IF(GZ$56-Voorblad!$F$41&gt;Voorblad!$K$41,0,IF($U65=0,0,IF($U65&lt;1,1/$U65,IF((GZ$56-Voorblad!$F$41)/$U65-SUM($EE65:GY65)=1,1,0))))</f>
        <v>0</v>
      </c>
      <c r="HA65" s="8">
        <f>IF(HA$56-Voorblad!$F$41&gt;Voorblad!$K$41,0,IF($U65=0,0,IF($U65&lt;1,1/$U65,IF((HA$56-Voorblad!$F$41)/$U65-SUM($EE65:GZ65)=1,1,0))))</f>
        <v>0</v>
      </c>
      <c r="HB65" s="8">
        <f>IF(HB$56-Voorblad!$F$41&gt;Voorblad!$K$41,0,IF($U65=0,0,IF($U65&lt;1,1/$U65,IF((HB$56-Voorblad!$F$41)/$U65-SUM($EE65:HA65)=1,1,0))))</f>
        <v>0</v>
      </c>
      <c r="HC65" s="8">
        <f>IF(HC$56-Voorblad!$F$41&gt;Voorblad!$K$41,0,IF($U65=0,0,IF($U65&lt;1,1/$U65,IF((HC$56-Voorblad!$F$41)/$U65-SUM($EE65:HB65)=1,1,0))))</f>
        <v>0</v>
      </c>
      <c r="HD65" s="8">
        <f>IF(HD$56-Voorblad!$F$41&gt;Voorblad!$K$41,0,IF($U65=0,0,IF($U65&lt;1,1/$U65,IF((HD$56-Voorblad!$F$41)/$U65-SUM($EE65:HC65)=1,1,0))))</f>
        <v>0</v>
      </c>
      <c r="HE65" s="8">
        <f>IF(HE$56-Voorblad!$F$41&gt;Voorblad!$K$41,0,IF($U65=0,0,IF($U65&lt;1,1/$U65,IF((HE$56-Voorblad!$F$41)/$U65-SUM($EE65:HD65)=1,1,0))))</f>
        <v>0</v>
      </c>
      <c r="HF65" s="8">
        <f>IF(HF$56-Voorblad!$F$41&gt;Voorblad!$K$41,0,IF($U65=0,0,IF($U65&lt;1,1/$U65,IF((HF$56-Voorblad!$F$41)/$U65-SUM($EE65:HE65)=1,1,0))))</f>
        <v>0</v>
      </c>
      <c r="HG65" s="8">
        <f>IF(HG$56-Voorblad!$F$41&gt;Voorblad!$K$41,0,IF($U65=0,0,IF($U65&lt;1,1/$U65,IF((HG$56-Voorblad!$F$41)/$U65-SUM($EE65:HF65)=1,1,0))))</f>
        <v>0</v>
      </c>
      <c r="HH65" s="8">
        <f>IF(HH$56-Voorblad!$F$41&gt;Voorblad!$K$41,0,IF($U65=0,0,IF($U65&lt;1,1/$U65,IF((HH$56-Voorblad!$F$41)/$U65-SUM($EE65:HG65)=1,1,0))))</f>
        <v>0</v>
      </c>
      <c r="HI65" s="8">
        <f>IF(HI$56-Voorblad!$F$41&gt;Voorblad!$K$41,0,IF($U65=0,0,IF($U65&lt;1,1/$U65,IF((HI$56-Voorblad!$F$41)/$U65-SUM($EE65:HH65)=1,1,0))))</f>
        <v>0</v>
      </c>
      <c r="HJ65" s="8">
        <f>IF(HJ$56-Voorblad!$F$41&gt;Voorblad!$K$41,0,IF($U65=0,0,IF($U65&lt;1,1/$U65,IF((HJ$56-Voorblad!$F$41)/$U65-SUM($EE65:HI65)=1,1,0))))</f>
        <v>0</v>
      </c>
      <c r="HK65" s="8">
        <f>IF(HK$56-Voorblad!$F$41&gt;Voorblad!$K$41,0,IF($U65=0,0,IF($U65&lt;1,1/$U65,IF((HK$56-Voorblad!$F$41)/$U65-SUM($EE65:HJ65)=1,1,0))))</f>
        <v>0</v>
      </c>
      <c r="HL65" s="8">
        <f>IF(HL$56-Voorblad!$F$41&gt;Voorblad!$K$41,0,IF($U65=0,0,IF($U65&lt;1,1/$U65,IF((HL$56-Voorblad!$F$41)/$U65-SUM($EE65:HK65)=1,1,0))))</f>
        <v>0</v>
      </c>
      <c r="HM65" s="8">
        <f>IF(HM$56-Voorblad!$F$41&gt;Voorblad!$K$41,0,IF($U65=0,0,IF($U65&lt;1,1/$U65,IF((HM$56-Voorblad!$F$41)/$U65-SUM($EE65:HL65)=1,1,0))))</f>
        <v>0</v>
      </c>
      <c r="HN65" s="8">
        <f>IF(HN$56-Voorblad!$F$41&gt;Voorblad!$K$41,0,IF($U65=0,0,IF($U65&lt;1,1/$U65,IF((HN$56-Voorblad!$F$41)/$U65-SUM($EE65:HM65)=1,1,0))))</f>
        <v>0</v>
      </c>
      <c r="HO65" s="8">
        <f>IF(HO$56-Voorblad!$F$41&gt;Voorblad!$K$41,0,IF($U65=0,0,IF($U65&lt;1,1/$U65,IF((HO$56-Voorblad!$F$41)/$U65-SUM($EE65:HN65)=1,1,0))))</f>
        <v>0</v>
      </c>
      <c r="HP65" s="8">
        <f>IF(HP$56-Voorblad!$F$41&gt;Voorblad!$K$41,0,IF($U65=0,0,IF($U65&lt;1,1/$U65,IF((HP$56-Voorblad!$F$41)/$U65-SUM($EE65:HO65)=1,1,0))))</f>
        <v>0</v>
      </c>
      <c r="HQ65" s="8">
        <f>IF(HQ$56-Voorblad!$F$41&gt;Voorblad!$K$41,0,IF($U65=0,0,IF($U65&lt;1,1/$U65,IF((HQ$56-Voorblad!$F$41)/$U65-SUM($EE65:HP65)=1,1,0))))</f>
        <v>0</v>
      </c>
      <c r="HR65" s="8">
        <f>IF(HR$56-Voorblad!$F$41&gt;Voorblad!$K$41,0,IF($U65=0,0,IF($U65&lt;1,1/$U65,IF((HR$56-Voorblad!$F$41)/$U65-SUM($EE65:HQ65)=1,1,0))))</f>
        <v>0</v>
      </c>
      <c r="HS65" s="8">
        <f>IF(HS$56-Voorblad!$F$41&gt;Voorblad!$K$41,0,IF($U65=0,0,IF($U65&lt;1,1/$U65,IF((HS$56-Voorblad!$F$41)/$U65-SUM($EE65:HR65)=1,1,0))))</f>
        <v>0</v>
      </c>
      <c r="HT65" s="8">
        <f>IF(HT$56-Voorblad!$F$41&gt;Voorblad!$K$41,0,IF($U65=0,0,IF($U65&lt;1,1/$U65,IF((HT$56-Voorblad!$F$41)/$U65-SUM($EE65:HS65)=1,1,0))))</f>
        <v>0</v>
      </c>
      <c r="HU65" s="8">
        <f>IF(HU$56-Voorblad!$F$41&gt;Voorblad!$K$41,0,IF($U65=0,0,IF($U65&lt;1,1/$U65,IF((HU$56-Voorblad!$F$41)/$U65-SUM($EE65:HT65)=1,1,0))))</f>
        <v>0</v>
      </c>
      <c r="HV65" s="8">
        <f>IF(HV$56-Voorblad!$F$41&gt;Voorblad!$K$41,0,IF($U65=0,0,IF($U65&lt;1,1/$U65,IF((HV$56-Voorblad!$F$41)/$U65-SUM($EE65:HU65)=1,1,0))))</f>
        <v>0</v>
      </c>
      <c r="HW65" s="8">
        <f>IF(HW$56-Voorblad!$F$41&gt;Voorblad!$K$41,0,IF($U65=0,0,IF($U65&lt;1,1/$U65,IF((HW$56-Voorblad!$F$41)/$U65-SUM($EE65:HV65)=1,1,0))))</f>
        <v>0</v>
      </c>
      <c r="HX65" s="8">
        <f>IF(HX$56-Voorblad!$F$41&gt;Voorblad!$K$41,0,IF($U65=0,0,IF($U65&lt;1,1/$U65,IF((HX$56-Voorblad!$F$41)/$U65-SUM($EE65:HW65)=1,1,0))))</f>
        <v>0</v>
      </c>
      <c r="HY65" s="8">
        <f>IF(HY$56-Voorblad!$F$41&gt;Voorblad!$K$41,0,IF($U65=0,0,IF($U65&lt;1,1/$U65,IF((HY$56-Voorblad!$F$41)/$U65-SUM($EE65:HX65)=1,1,0))))</f>
        <v>0</v>
      </c>
      <c r="HZ65" s="8">
        <f>IF(HZ$56-Voorblad!$F$41&gt;Voorblad!$K$41,0,IF($U65=0,0,IF($U65&lt;1,1/$U65,IF((HZ$56-Voorblad!$F$41)/$U65-SUM($EE65:HY65)=1,1,0))))</f>
        <v>0</v>
      </c>
      <c r="IA65" s="8">
        <f>IF(IA$56-Voorblad!$F$41&gt;Voorblad!$K$41,0,IF($U65=0,0,IF($U65&lt;1,1/$U65,IF((IA$56-Voorblad!$F$41)/$U65-SUM($EE65:HZ65)=1,1,0))))</f>
        <v>0</v>
      </c>
      <c r="IB65" s="8">
        <f>IF(IB$56-Voorblad!$F$41&gt;Voorblad!$K$41,0,IF($U65=0,0,IF($U65&lt;1,1/$U65,IF((IB$56-Voorblad!$F$41)/$U65-SUM($EE65:IA65)=1,1,0))))</f>
        <v>0</v>
      </c>
    </row>
    <row r="66" spans="2:236" ht="12" hidden="1" customHeight="1" outlineLevel="1" x14ac:dyDescent="0.25">
      <c r="B66" s="1">
        <v>3</v>
      </c>
      <c r="F66" s="1" t="s">
        <v>23</v>
      </c>
      <c r="I66" s="1" t="s">
        <v>277</v>
      </c>
      <c r="K66" s="14" t="s">
        <v>167</v>
      </c>
      <c r="L66" s="14"/>
      <c r="M66" s="14"/>
      <c r="N66" s="3"/>
      <c r="O66" s="1" t="s">
        <v>172</v>
      </c>
      <c r="P66" s="1" t="s">
        <v>175</v>
      </c>
      <c r="Q66" s="81">
        <v>0</v>
      </c>
      <c r="R66" s="1" t="s">
        <v>34</v>
      </c>
      <c r="S66" s="14">
        <f>$H$20*500</f>
        <v>885</v>
      </c>
      <c r="T66" s="1">
        <f t="shared" si="10"/>
        <v>0</v>
      </c>
      <c r="U66" s="14">
        <v>15</v>
      </c>
      <c r="V66" s="14"/>
      <c r="Y66" s="9">
        <f t="shared" ref="Y66" si="14">SUM(AE66:EB66)</f>
        <v>0</v>
      </c>
      <c r="Z66" s="82"/>
      <c r="AA66" s="82"/>
      <c r="AC66" s="9">
        <f>$Y66*(Voorblad!$K$44*(1+Voorblad!$K$44)^Voorblad!$K$41)/((1+Voorblad!$K$44)^Voorblad!$K$41-1)</f>
        <v>0</v>
      </c>
      <c r="AE66" s="9">
        <f>EF66*($Q66*$S66)/(1+Voorblad!$K$44)^(AE$56-Voorblad!$F$41)</f>
        <v>0</v>
      </c>
      <c r="AF66" s="9">
        <f>EG66*($Q66*$S66)/(1+Voorblad!$K$44)^(AF$56-Voorblad!$F$41)</f>
        <v>0</v>
      </c>
      <c r="AG66" s="9">
        <f>EH66*($Q66*$S66)/(1+Voorblad!$K$44)^(AG$56-Voorblad!$F$41)</f>
        <v>0</v>
      </c>
      <c r="AH66" s="9">
        <f>EI66*($Q66*$S66)/(1+Voorblad!$K$44)^(AH$56-Voorblad!$F$41)</f>
        <v>0</v>
      </c>
      <c r="AI66" s="9">
        <f>EJ66*($Q66*$S66)/(1+Voorblad!$K$44)^(AI$56-Voorblad!$F$41)</f>
        <v>0</v>
      </c>
      <c r="AJ66" s="9">
        <f>EK66*($Q66*$S66)/(1+Voorblad!$K$44)^(AJ$56-Voorblad!$F$41)</f>
        <v>0</v>
      </c>
      <c r="AK66" s="9">
        <f>EL66*($Q66*$S66)/(1+Voorblad!$K$44)^(AK$56-Voorblad!$F$41)</f>
        <v>0</v>
      </c>
      <c r="AL66" s="9">
        <f>EM66*($Q66*$S66)/(1+Voorblad!$K$44)^(AL$56-Voorblad!$F$41)</f>
        <v>0</v>
      </c>
      <c r="AM66" s="9">
        <f>EN66*($Q66*$S66)/(1+Voorblad!$K$44)^(AM$56-Voorblad!$F$41)</f>
        <v>0</v>
      </c>
      <c r="AN66" s="9">
        <f>EO66*($Q66*$S66)/(1+Voorblad!$K$44)^(AN$56-Voorblad!$F$41)</f>
        <v>0</v>
      </c>
      <c r="AO66" s="9">
        <f>EP66*($Q66*$S66)/(1+Voorblad!$K$44)^(AO$56-Voorblad!$F$41)</f>
        <v>0</v>
      </c>
      <c r="AP66" s="9">
        <f>EQ66*($Q66*$S66)/(1+Voorblad!$K$44)^(AP$56-Voorblad!$F$41)</f>
        <v>0</v>
      </c>
      <c r="AQ66" s="9">
        <f>ER66*($Q66*$S66)/(1+Voorblad!$K$44)^(AQ$56-Voorblad!$F$41)</f>
        <v>0</v>
      </c>
      <c r="AR66" s="9">
        <f>ES66*($Q66*$S66)/(1+Voorblad!$K$44)^(AR$56-Voorblad!$F$41)</f>
        <v>0</v>
      </c>
      <c r="AS66" s="9">
        <f>ET66*($Q66*$S66)/(1+Voorblad!$K$44)^(AS$56-Voorblad!$F$41)</f>
        <v>0</v>
      </c>
      <c r="AT66" s="9">
        <f>EU66*($Q66*$S66)/(1+Voorblad!$K$44)^(AT$56-Voorblad!$F$41)</f>
        <v>0</v>
      </c>
      <c r="AU66" s="9">
        <f>EV66*($Q66*$S66)/(1+Voorblad!$K$44)^(AU$56-Voorblad!$F$41)</f>
        <v>0</v>
      </c>
      <c r="AV66" s="9">
        <f>EW66*($Q66*$S66)/(1+Voorblad!$K$44)^(AV$56-Voorblad!$F$41)</f>
        <v>0</v>
      </c>
      <c r="AW66" s="9">
        <f>EX66*($Q66*$S66)/(1+Voorblad!$K$44)^(AW$56-Voorblad!$F$41)</f>
        <v>0</v>
      </c>
      <c r="AX66" s="9">
        <f>EY66*($Q66*$S66)/(1+Voorblad!$K$44)^(AX$56-Voorblad!$F$41)</f>
        <v>0</v>
      </c>
      <c r="AY66" s="9">
        <f>EZ66*($Q66*$S66)/(1+Voorblad!$K$44)^(AY$56-Voorblad!$F$41)</f>
        <v>0</v>
      </c>
      <c r="AZ66" s="9">
        <f>FA66*($Q66*$S66)/(1+Voorblad!$K$44)^(AZ$56-Voorblad!$F$41)</f>
        <v>0</v>
      </c>
      <c r="BA66" s="9">
        <f>FB66*($Q66*$S66)/(1+Voorblad!$K$44)^(BA$56-Voorblad!$F$41)</f>
        <v>0</v>
      </c>
      <c r="BB66" s="9">
        <f>FC66*($Q66*$S66)/(1+Voorblad!$K$44)^(BB$56-Voorblad!$F$41)</f>
        <v>0</v>
      </c>
      <c r="BC66" s="9">
        <f>FD66*($Q66*$S66)/(1+Voorblad!$K$44)^(BC$56-Voorblad!$F$41)</f>
        <v>0</v>
      </c>
      <c r="BD66" s="9">
        <f>FE66*($Q66*$S66)/(1+Voorblad!$K$44)^(BD$56-Voorblad!$F$41)</f>
        <v>0</v>
      </c>
      <c r="BE66" s="9">
        <f>FF66*($Q66*$S66)/(1+Voorblad!$K$44)^(BE$56-Voorblad!$F$41)</f>
        <v>0</v>
      </c>
      <c r="BF66" s="9">
        <f>FG66*($Q66*$S66)/(1+Voorblad!$K$44)^(BF$56-Voorblad!$F$41)</f>
        <v>0</v>
      </c>
      <c r="BG66" s="9">
        <f>FH66*($Q66*$S66)/(1+Voorblad!$K$44)^(BG$56-Voorblad!$F$41)</f>
        <v>0</v>
      </c>
      <c r="BH66" s="9">
        <f>FI66*($Q66*$S66)/(1+Voorblad!$K$44)^(BH$56-Voorblad!$F$41)</f>
        <v>0</v>
      </c>
      <c r="BI66" s="9">
        <f>FJ66*($Q66*$S66)/(1+Voorblad!$K$44)^(BI$56-Voorblad!$F$41)</f>
        <v>0</v>
      </c>
      <c r="BJ66" s="9">
        <f>FK66*($Q66*$S66)/(1+Voorblad!$K$44)^(BJ$56-Voorblad!$F$41)</f>
        <v>0</v>
      </c>
      <c r="BK66" s="9">
        <f>FL66*($Q66*$S66)/(1+Voorblad!$K$44)^(BK$56-Voorblad!$F$41)</f>
        <v>0</v>
      </c>
      <c r="BL66" s="9">
        <f>FM66*($Q66*$S66)/(1+Voorblad!$K$44)^(BL$56-Voorblad!$F$41)</f>
        <v>0</v>
      </c>
      <c r="BM66" s="9">
        <f>FN66*($Q66*$S66)/(1+Voorblad!$K$44)^(BM$56-Voorblad!$F$41)</f>
        <v>0</v>
      </c>
      <c r="BN66" s="9">
        <f>FO66*($Q66*$S66)/(1+Voorblad!$K$44)^(BN$56-Voorblad!$F$41)</f>
        <v>0</v>
      </c>
      <c r="BO66" s="9">
        <f>FP66*($Q66*$S66)/(1+Voorblad!$K$44)^(BO$56-Voorblad!$F$41)</f>
        <v>0</v>
      </c>
      <c r="BP66" s="9">
        <f>FQ66*($Q66*$S66)/(1+Voorblad!$K$44)^(BP$56-Voorblad!$F$41)</f>
        <v>0</v>
      </c>
      <c r="BQ66" s="9">
        <f>FR66*($Q66*$S66)/(1+Voorblad!$K$44)^(BQ$56-Voorblad!$F$41)</f>
        <v>0</v>
      </c>
      <c r="BR66" s="9">
        <f>FS66*($Q66*$S66)/(1+Voorblad!$K$44)^(BR$56-Voorblad!$F$41)</f>
        <v>0</v>
      </c>
      <c r="BS66" s="9">
        <f>FT66*($Q66*$S66)/(1+Voorblad!$K$44)^(BS$56-Voorblad!$F$41)</f>
        <v>0</v>
      </c>
      <c r="BT66" s="9">
        <f>FU66*($Q66*$S66)/(1+Voorblad!$K$44)^(BT$56-Voorblad!$F$41)</f>
        <v>0</v>
      </c>
      <c r="BU66" s="9">
        <f>FV66*($Q66*$S66)/(1+Voorblad!$K$44)^(BU$56-Voorblad!$F$41)</f>
        <v>0</v>
      </c>
      <c r="BV66" s="9">
        <f>FW66*($Q66*$S66)/(1+Voorblad!$K$44)^(BV$56-Voorblad!$F$41)</f>
        <v>0</v>
      </c>
      <c r="BW66" s="9">
        <f>FX66*($Q66*$S66)/(1+Voorblad!$K$44)^(BW$56-Voorblad!$F$41)</f>
        <v>0</v>
      </c>
      <c r="BX66" s="9">
        <f>FY66*($Q66*$S66)/(1+Voorblad!$K$44)^(BX$56-Voorblad!$F$41)</f>
        <v>0</v>
      </c>
      <c r="BY66" s="9">
        <f>FZ66*($Q66*$S66)/(1+Voorblad!$K$44)^(BY$56-Voorblad!$F$41)</f>
        <v>0</v>
      </c>
      <c r="BZ66" s="9">
        <f>GA66*($Q66*$S66)/(1+Voorblad!$K$44)^(BZ$56-Voorblad!$F$41)</f>
        <v>0</v>
      </c>
      <c r="CA66" s="9">
        <f>GB66*($Q66*$S66)/(1+Voorblad!$K$44)^(CA$56-Voorblad!$F$41)</f>
        <v>0</v>
      </c>
      <c r="CB66" s="9">
        <f>GC66*($Q66*$S66)/(1+Voorblad!$K$44)^(CB$56-Voorblad!$F$41)</f>
        <v>0</v>
      </c>
      <c r="CC66" s="9">
        <f>GD66*($Q66*$S66)/(1+Voorblad!$K$44)^(CC$56-Voorblad!$F$41)</f>
        <v>0</v>
      </c>
      <c r="CD66" s="9">
        <f>GE66*($Q66*$S66)/(1+Voorblad!$K$44)^(CD$56-Voorblad!$F$41)</f>
        <v>0</v>
      </c>
      <c r="CE66" s="9">
        <f>GF66*($Q66*$S66)/(1+Voorblad!$K$44)^(CE$56-Voorblad!$F$41)</f>
        <v>0</v>
      </c>
      <c r="CF66" s="9">
        <f>GG66*($Q66*$S66)/(1+Voorblad!$K$44)^(CF$56-Voorblad!$F$41)</f>
        <v>0</v>
      </c>
      <c r="CG66" s="9">
        <f>GH66*($Q66*$S66)/(1+Voorblad!$K$44)^(CG$56-Voorblad!$F$41)</f>
        <v>0</v>
      </c>
      <c r="CH66" s="9">
        <f>GI66*($Q66*$S66)/(1+Voorblad!$K$44)^(CH$56-Voorblad!$F$41)</f>
        <v>0</v>
      </c>
      <c r="CI66" s="9">
        <f>GJ66*($Q66*$S66)/(1+Voorblad!$K$44)^(CI$56-Voorblad!$F$41)</f>
        <v>0</v>
      </c>
      <c r="CJ66" s="9">
        <f>GK66*($Q66*$S66)/(1+Voorblad!$K$44)^(CJ$56-Voorblad!$F$41)</f>
        <v>0</v>
      </c>
      <c r="CK66" s="9">
        <f>GL66*($Q66*$S66)/(1+Voorblad!$K$44)^(CK$56-Voorblad!$F$41)</f>
        <v>0</v>
      </c>
      <c r="CL66" s="9">
        <f>GM66*($Q66*$S66)/(1+Voorblad!$K$44)^(CL$56-Voorblad!$F$41)</f>
        <v>0</v>
      </c>
      <c r="CM66" s="9">
        <f>GN66*($Q66*$S66)/(1+Voorblad!$K$44)^(CM$56-Voorblad!$F$41)</f>
        <v>0</v>
      </c>
      <c r="CN66" s="9">
        <f>GO66*($Q66*$S66)/(1+Voorblad!$K$44)^(CN$56-Voorblad!$F$41)</f>
        <v>0</v>
      </c>
      <c r="CO66" s="9">
        <f>GP66*($Q66*$S66)/(1+Voorblad!$K$44)^(CO$56-Voorblad!$F$41)</f>
        <v>0</v>
      </c>
      <c r="CP66" s="9">
        <f>GQ66*($Q66*$S66)/(1+Voorblad!$K$44)^(CP$56-Voorblad!$F$41)</f>
        <v>0</v>
      </c>
      <c r="CQ66" s="9">
        <f>GR66*($Q66*$S66)/(1+Voorblad!$K$44)^(CQ$56-Voorblad!$F$41)</f>
        <v>0</v>
      </c>
      <c r="CR66" s="9">
        <f>GS66*($Q66*$S66)/(1+Voorblad!$K$44)^(CR$56-Voorblad!$F$41)</f>
        <v>0</v>
      </c>
      <c r="CS66" s="9">
        <f>GT66*($Q66*$S66)/(1+Voorblad!$K$44)^(CS$56-Voorblad!$F$41)</f>
        <v>0</v>
      </c>
      <c r="CT66" s="9">
        <f>GU66*($Q66*$S66)/(1+Voorblad!$K$44)^(CT$56-Voorblad!$F$41)</f>
        <v>0</v>
      </c>
      <c r="CU66" s="9">
        <f>GV66*($Q66*$S66)/(1+Voorblad!$K$44)^(CU$56-Voorblad!$F$41)</f>
        <v>0</v>
      </c>
      <c r="CV66" s="9">
        <f>GW66*($Q66*$S66)/(1+Voorblad!$K$44)^(CV$56-Voorblad!$F$41)</f>
        <v>0</v>
      </c>
      <c r="CW66" s="9">
        <f>GX66*($Q66*$S66)/(1+Voorblad!$K$44)^(CW$56-Voorblad!$F$41)</f>
        <v>0</v>
      </c>
      <c r="CX66" s="9">
        <f>GY66*($Q66*$S66)/(1+Voorblad!$K$44)^(CX$56-Voorblad!$F$41)</f>
        <v>0</v>
      </c>
      <c r="CY66" s="9">
        <f>GZ66*($Q66*$S66)/(1+Voorblad!$K$44)^(CY$56-Voorblad!$F$41)</f>
        <v>0</v>
      </c>
      <c r="CZ66" s="9">
        <f>HA66*($Q66*$S66)/(1+Voorblad!$K$44)^(CZ$56-Voorblad!$F$41)</f>
        <v>0</v>
      </c>
      <c r="DA66" s="9">
        <f>HB66*($Q66*$S66)/(1+Voorblad!$K$44)^(DA$56-Voorblad!$F$41)</f>
        <v>0</v>
      </c>
      <c r="DB66" s="9">
        <f>HC66*($Q66*$S66)/(1+Voorblad!$K$44)^(DB$56-Voorblad!$F$41)</f>
        <v>0</v>
      </c>
      <c r="DC66" s="9">
        <f>HD66*($Q66*$S66)/(1+Voorblad!$K$44)^(DC$56-Voorblad!$F$41)</f>
        <v>0</v>
      </c>
      <c r="DD66" s="9">
        <f>HE66*($Q66*$S66)/(1+Voorblad!$K$44)^(DD$56-Voorblad!$F$41)</f>
        <v>0</v>
      </c>
      <c r="DE66" s="9">
        <f>HF66*($Q66*$S66)/(1+Voorblad!$K$44)^(DE$56-Voorblad!$F$41)</f>
        <v>0</v>
      </c>
      <c r="DF66" s="9">
        <f>HG66*($Q66*$S66)/(1+Voorblad!$K$44)^(DF$56-Voorblad!$F$41)</f>
        <v>0</v>
      </c>
      <c r="DG66" s="9">
        <f>HH66*($Q66*$S66)/(1+Voorblad!$K$44)^(DG$56-Voorblad!$F$41)</f>
        <v>0</v>
      </c>
      <c r="DH66" s="9">
        <f>HI66*($Q66*$S66)/(1+Voorblad!$K$44)^(DH$56-Voorblad!$F$41)</f>
        <v>0</v>
      </c>
      <c r="DI66" s="9">
        <f>HJ66*($Q66*$S66)/(1+Voorblad!$K$44)^(DI$56-Voorblad!$F$41)</f>
        <v>0</v>
      </c>
      <c r="DJ66" s="9">
        <f>HK66*($Q66*$S66)/(1+Voorblad!$K$44)^(DJ$56-Voorblad!$F$41)</f>
        <v>0</v>
      </c>
      <c r="DK66" s="9">
        <f>HL66*($Q66*$S66)/(1+Voorblad!$K$44)^(DK$56-Voorblad!$F$41)</f>
        <v>0</v>
      </c>
      <c r="DL66" s="9">
        <f>HM66*($Q66*$S66)/(1+Voorblad!$K$44)^(DL$56-Voorblad!$F$41)</f>
        <v>0</v>
      </c>
      <c r="DM66" s="9">
        <f>HN66*($Q66*$S66)/(1+Voorblad!$K$44)^(DM$56-Voorblad!$F$41)</f>
        <v>0</v>
      </c>
      <c r="DN66" s="9">
        <f>HO66*($Q66*$S66)/(1+Voorblad!$K$44)^(DN$56-Voorblad!$F$41)</f>
        <v>0</v>
      </c>
      <c r="DO66" s="9">
        <f>HP66*($Q66*$S66)/(1+Voorblad!$K$44)^(DO$56-Voorblad!$F$41)</f>
        <v>0</v>
      </c>
      <c r="DP66" s="9">
        <f>HQ66*($Q66*$S66)/(1+Voorblad!$K$44)^(DP$56-Voorblad!$F$41)</f>
        <v>0</v>
      </c>
      <c r="DQ66" s="9">
        <f>HR66*($Q66*$S66)/(1+Voorblad!$K$44)^(DQ$56-Voorblad!$F$41)</f>
        <v>0</v>
      </c>
      <c r="DR66" s="9">
        <f>HS66*($Q66*$S66)/(1+Voorblad!$K$44)^(DR$56-Voorblad!$F$41)</f>
        <v>0</v>
      </c>
      <c r="DS66" s="9">
        <f>HT66*($Q66*$S66)/(1+Voorblad!$K$44)^(DS$56-Voorblad!$F$41)</f>
        <v>0</v>
      </c>
      <c r="DT66" s="9">
        <f>HU66*($Q66*$S66)/(1+Voorblad!$K$44)^(DT$56-Voorblad!$F$41)</f>
        <v>0</v>
      </c>
      <c r="DU66" s="9">
        <f>HV66*($Q66*$S66)/(1+Voorblad!$K$44)^(DU$56-Voorblad!$F$41)</f>
        <v>0</v>
      </c>
      <c r="DV66" s="9">
        <f>HW66*($Q66*$S66)/(1+Voorblad!$K$44)^(DV$56-Voorblad!$F$41)</f>
        <v>0</v>
      </c>
      <c r="DW66" s="9">
        <f>HX66*($Q66*$S66)/(1+Voorblad!$K$44)^(DW$56-Voorblad!$F$41)</f>
        <v>0</v>
      </c>
      <c r="DX66" s="9">
        <f>HY66*($Q66*$S66)/(1+Voorblad!$K$44)^(DX$56-Voorblad!$F$41)</f>
        <v>0</v>
      </c>
      <c r="DY66" s="9">
        <f>HZ66*($Q66*$S66)/(1+Voorblad!$K$44)^(DY$56-Voorblad!$F$41)</f>
        <v>0</v>
      </c>
      <c r="DZ66" s="9">
        <f>IA66*($Q66*$S66)/(1+Voorblad!$K$44)^(DZ$56-Voorblad!$F$41)</f>
        <v>0</v>
      </c>
      <c r="EA66" s="9">
        <f>IB66*($Q66*$S66)/(1+Voorblad!$K$44)^(EA$56-Voorblad!$F$41)</f>
        <v>0</v>
      </c>
      <c r="EB66" s="9">
        <f>IC66*($Q66*$S66)/(1+Voorblad!$K$44)^(EB$56-Voorblad!$F$41)</f>
        <v>0</v>
      </c>
      <c r="EE66" s="8">
        <v>0</v>
      </c>
      <c r="EF66" s="8">
        <f>IF(EF$56-Voorblad!$F$41&gt;Voorblad!$K$41,0,IF($U66=0,0,IF($U66&lt;1,1/$U66,IF((EF$56-Voorblad!$F$41)/$U66-SUM($EE66:EE66)=1,1,0))))</f>
        <v>0</v>
      </c>
      <c r="EG66" s="8">
        <f>IF(EG$56-Voorblad!$F$41&gt;Voorblad!$K$41,0,IF($U66=0,0,IF($U66&lt;1,1/$U66,IF((EG$56-Voorblad!$F$41)/$U66-SUM($EE66:EF66)=1,1,0))))</f>
        <v>0</v>
      </c>
      <c r="EH66" s="8">
        <f>IF(EH$56-Voorblad!$F$41&gt;Voorblad!$K$41,0,IF($U66=0,0,IF($U66&lt;1,1/$U66,IF((EH$56-Voorblad!$F$41)/$U66-SUM($EE66:EG66)=1,1,0))))</f>
        <v>0</v>
      </c>
      <c r="EI66" s="8">
        <f>IF(EI$56-Voorblad!$F$41&gt;Voorblad!$K$41,0,IF($U66=0,0,IF($U66&lt;1,1/$U66,IF((EI$56-Voorblad!$F$41)/$U66-SUM($EE66:EH66)=1,1,0))))</f>
        <v>0</v>
      </c>
      <c r="EJ66" s="8">
        <f>IF(EJ$56-Voorblad!$F$41&gt;Voorblad!$K$41,0,IF($U66=0,0,IF($U66&lt;1,1/$U66,IF((EJ$56-Voorblad!$F$41)/$U66-SUM($EE66:EI66)=1,1,0))))</f>
        <v>0</v>
      </c>
      <c r="EK66" s="8">
        <f>IF(EK$56-Voorblad!$F$41&gt;Voorblad!$K$41,0,IF($U66=0,0,IF($U66&lt;1,1/$U66,IF((EK$56-Voorblad!$F$41)/$U66-SUM($EE66:EJ66)=1,1,0))))</f>
        <v>0</v>
      </c>
      <c r="EL66" s="8">
        <f>IF(EL$56-Voorblad!$F$41&gt;Voorblad!$K$41,0,IF($U66=0,0,IF($U66&lt;1,1/$U66,IF((EL$56-Voorblad!$F$41)/$U66-SUM($EE66:EK66)=1,1,0))))</f>
        <v>0</v>
      </c>
      <c r="EM66" s="8">
        <f>IF(EM$56-Voorblad!$F$41&gt;Voorblad!$K$41,0,IF($U66=0,0,IF($U66&lt;1,1/$U66,IF((EM$56-Voorblad!$F$41)/$U66-SUM($EE66:EL66)=1,1,0))))</f>
        <v>0</v>
      </c>
      <c r="EN66" s="8">
        <f>IF(EN$56-Voorblad!$F$41&gt;Voorblad!$K$41,0,IF($U66=0,0,IF($U66&lt;1,1/$U66,IF((EN$56-Voorblad!$F$41)/$U66-SUM($EE66:EM66)=1,1,0))))</f>
        <v>0</v>
      </c>
      <c r="EO66" s="8">
        <f>IF(EO$56-Voorblad!$F$41&gt;Voorblad!$K$41,0,IF($U66=0,0,IF($U66&lt;1,1/$U66,IF((EO$56-Voorblad!$F$41)/$U66-SUM($EE66:EN66)=1,1,0))))</f>
        <v>0</v>
      </c>
      <c r="EP66" s="8">
        <f>IF(EP$56-Voorblad!$F$41&gt;Voorblad!$K$41,0,IF($U66=0,0,IF($U66&lt;1,1/$U66,IF((EP$56-Voorblad!$F$41)/$U66-SUM($EE66:EO66)=1,1,0))))</f>
        <v>0</v>
      </c>
      <c r="EQ66" s="8">
        <f>IF(EQ$56-Voorblad!$F$41&gt;Voorblad!$K$41,0,IF($U66=0,0,IF($U66&lt;1,1/$U66,IF((EQ$56-Voorblad!$F$41)/$U66-SUM($EE66:EP66)=1,1,0))))</f>
        <v>0</v>
      </c>
      <c r="ER66" s="8">
        <f>IF(ER$56-Voorblad!$F$41&gt;Voorblad!$K$41,0,IF($U66=0,0,IF($U66&lt;1,1/$U66,IF((ER$56-Voorblad!$F$41)/$U66-SUM($EE66:EQ66)=1,1,0))))</f>
        <v>0</v>
      </c>
      <c r="ES66" s="8">
        <f>IF(ES$56-Voorblad!$F$41&gt;Voorblad!$K$41,0,IF($U66=0,0,IF($U66&lt;1,1/$U66,IF((ES$56-Voorblad!$F$41)/$U66-SUM($EE66:ER66)=1,1,0))))</f>
        <v>0</v>
      </c>
      <c r="ET66" s="8">
        <f>IF(ET$56-Voorblad!$F$41&gt;Voorblad!$K$41,0,IF($U66=0,0,IF($U66&lt;1,1/$U66,IF((ET$56-Voorblad!$F$41)/$U66-SUM($EE66:ES66)=1,1,0))))</f>
        <v>0</v>
      </c>
      <c r="EU66" s="8">
        <f>IF(EU$56-Voorblad!$F$41&gt;Voorblad!$K$41,0,IF($U66=0,0,IF($U66&lt;1,1/$U66,IF((EU$56-Voorblad!$F$41)/$U66-SUM($EE66:ET66)=1,1,0))))</f>
        <v>1</v>
      </c>
      <c r="EV66" s="8">
        <f>IF(EV$56-Voorblad!$F$41&gt;Voorblad!$K$41,0,IF($U66=0,0,IF($U66&lt;1,1/$U66,IF((EV$56-Voorblad!$F$41)/$U66-SUM($EE66:EU66)=1,1,0))))</f>
        <v>0</v>
      </c>
      <c r="EW66" s="8">
        <f>IF(EW$56-Voorblad!$F$41&gt;Voorblad!$K$41,0,IF($U66=0,0,IF($U66&lt;1,1/$U66,IF((EW$56-Voorblad!$F$41)/$U66-SUM($EE66:EV66)=1,1,0))))</f>
        <v>0</v>
      </c>
      <c r="EX66" s="8">
        <f>IF(EX$56-Voorblad!$F$41&gt;Voorblad!$K$41,0,IF($U66=0,0,IF($U66&lt;1,1/$U66,IF((EX$56-Voorblad!$F$41)/$U66-SUM($EE66:EW66)=1,1,0))))</f>
        <v>0</v>
      </c>
      <c r="EY66" s="8">
        <f>IF(EY$56-Voorblad!$F$41&gt;Voorblad!$K$41,0,IF($U66=0,0,IF($U66&lt;1,1/$U66,IF((EY$56-Voorblad!$F$41)/$U66-SUM($EE66:EX66)=1,1,0))))</f>
        <v>0</v>
      </c>
      <c r="EZ66" s="8">
        <f>IF(EZ$56-Voorblad!$F$41&gt;Voorblad!$K$41,0,IF($U66=0,0,IF($U66&lt;1,1/$U66,IF((EZ$56-Voorblad!$F$41)/$U66-SUM($EE66:EY66)=1,1,0))))</f>
        <v>0</v>
      </c>
      <c r="FA66" s="8">
        <f>IF(FA$56-Voorblad!$F$41&gt;Voorblad!$K$41,0,IF($U66=0,0,IF($U66&lt;1,1/$U66,IF((FA$56-Voorblad!$F$41)/$U66-SUM($EE66:EZ66)=1,1,0))))</f>
        <v>0</v>
      </c>
      <c r="FB66" s="8">
        <f>IF(FB$56-Voorblad!$F$41&gt;Voorblad!$K$41,0,IF($U66=0,0,IF($U66&lt;1,1/$U66,IF((FB$56-Voorblad!$F$41)/$U66-SUM($EE66:FA66)=1,1,0))))</f>
        <v>0</v>
      </c>
      <c r="FC66" s="8">
        <f>IF(FC$56-Voorblad!$F$41&gt;Voorblad!$K$41,0,IF($U66=0,0,IF($U66&lt;1,1/$U66,IF((FC$56-Voorblad!$F$41)/$U66-SUM($EE66:FB66)=1,1,0))))</f>
        <v>0</v>
      </c>
      <c r="FD66" s="8">
        <f>IF(FD$56-Voorblad!$F$41&gt;Voorblad!$K$41,0,IF($U66=0,0,IF($U66&lt;1,1/$U66,IF((FD$56-Voorblad!$F$41)/$U66-SUM($EE66:FC66)=1,1,0))))</f>
        <v>0</v>
      </c>
      <c r="FE66" s="8">
        <f>IF(FE$56-Voorblad!$F$41&gt;Voorblad!$K$41,0,IF($U66=0,0,IF($U66&lt;1,1/$U66,IF((FE$56-Voorblad!$F$41)/$U66-SUM($EE66:FD66)=1,1,0))))</f>
        <v>0</v>
      </c>
      <c r="FF66" s="8">
        <f>IF(FF$56-Voorblad!$F$41&gt;Voorblad!$K$41,0,IF($U66=0,0,IF($U66&lt;1,1/$U66,IF((FF$56-Voorblad!$F$41)/$U66-SUM($EE66:FE66)=1,1,0))))</f>
        <v>0</v>
      </c>
      <c r="FG66" s="8">
        <f>IF(FG$56-Voorblad!$F$41&gt;Voorblad!$K$41,0,IF($U66=0,0,IF($U66&lt;1,1/$U66,IF((FG$56-Voorblad!$F$41)/$U66-SUM($EE66:FF66)=1,1,0))))</f>
        <v>0</v>
      </c>
      <c r="FH66" s="8">
        <f>IF(FH$56-Voorblad!$F$41&gt;Voorblad!$K$41,0,IF($U66=0,0,IF($U66&lt;1,1/$U66,IF((FH$56-Voorblad!$F$41)/$U66-SUM($EE66:FG66)=1,1,0))))</f>
        <v>0</v>
      </c>
      <c r="FI66" s="8">
        <f>IF(FI$56-Voorblad!$F$41&gt;Voorblad!$K$41,0,IF($U66=0,0,IF($U66&lt;1,1/$U66,IF((FI$56-Voorblad!$F$41)/$U66-SUM($EE66:FH66)=1,1,0))))</f>
        <v>0</v>
      </c>
      <c r="FJ66" s="8">
        <f>IF(FJ$56-Voorblad!$F$41&gt;Voorblad!$K$41,0,IF($U66=0,0,IF($U66&lt;1,1/$U66,IF((FJ$56-Voorblad!$F$41)/$U66-SUM($EE66:FI66)=1,1,0))))</f>
        <v>1</v>
      </c>
      <c r="FK66" s="8">
        <f>IF(FK$56-Voorblad!$F$41&gt;Voorblad!$K$41,0,IF($U66=0,0,IF($U66&lt;1,1/$U66,IF((FK$56-Voorblad!$F$41)/$U66-SUM($EE66:FJ66)=1,1,0))))</f>
        <v>0</v>
      </c>
      <c r="FL66" s="8">
        <f>IF(FL$56-Voorblad!$F$41&gt;Voorblad!$K$41,0,IF($U66=0,0,IF($U66&lt;1,1/$U66,IF((FL$56-Voorblad!$F$41)/$U66-SUM($EE66:FK66)=1,1,0))))</f>
        <v>0</v>
      </c>
      <c r="FM66" s="8">
        <f>IF(FM$56-Voorblad!$F$41&gt;Voorblad!$K$41,0,IF($U66=0,0,IF($U66&lt;1,1/$U66,IF((FM$56-Voorblad!$F$41)/$U66-SUM($EE66:FL66)=1,1,0))))</f>
        <v>0</v>
      </c>
      <c r="FN66" s="8">
        <f>IF(FN$56-Voorblad!$F$41&gt;Voorblad!$K$41,0,IF($U66=0,0,IF($U66&lt;1,1/$U66,IF((FN$56-Voorblad!$F$41)/$U66-SUM($EE66:FM66)=1,1,0))))</f>
        <v>0</v>
      </c>
      <c r="FO66" s="8">
        <f>IF(FO$56-Voorblad!$F$41&gt;Voorblad!$K$41,0,IF($U66=0,0,IF($U66&lt;1,1/$U66,IF((FO$56-Voorblad!$F$41)/$U66-SUM($EE66:FN66)=1,1,0))))</f>
        <v>0</v>
      </c>
      <c r="FP66" s="8">
        <f>IF(FP$56-Voorblad!$F$41&gt;Voorblad!$K$41,0,IF($U66=0,0,IF($U66&lt;1,1/$U66,IF((FP$56-Voorblad!$F$41)/$U66-SUM($EE66:FO66)=1,1,0))))</f>
        <v>0</v>
      </c>
      <c r="FQ66" s="8">
        <f>IF(FQ$56-Voorblad!$F$41&gt;Voorblad!$K$41,0,IF($U66=0,0,IF($U66&lt;1,1/$U66,IF((FQ$56-Voorblad!$F$41)/$U66-SUM($EE66:FP66)=1,1,0))))</f>
        <v>0</v>
      </c>
      <c r="FR66" s="8">
        <f>IF(FR$56-Voorblad!$F$41&gt;Voorblad!$K$41,0,IF($U66=0,0,IF($U66&lt;1,1/$U66,IF((FR$56-Voorblad!$F$41)/$U66-SUM($EE66:FQ66)=1,1,0))))</f>
        <v>0</v>
      </c>
      <c r="FS66" s="8">
        <f>IF(FS$56-Voorblad!$F$41&gt;Voorblad!$K$41,0,IF($U66=0,0,IF($U66&lt;1,1/$U66,IF((FS$56-Voorblad!$F$41)/$U66-SUM($EE66:FR66)=1,1,0))))</f>
        <v>0</v>
      </c>
      <c r="FT66" s="8">
        <f>IF(FT$56-Voorblad!$F$41&gt;Voorblad!$K$41,0,IF($U66=0,0,IF($U66&lt;1,1/$U66,IF((FT$56-Voorblad!$F$41)/$U66-SUM($EE66:FS66)=1,1,0))))</f>
        <v>0</v>
      </c>
      <c r="FU66" s="8">
        <f>IF(FU$56-Voorblad!$F$41&gt;Voorblad!$K$41,0,IF($U66=0,0,IF($U66&lt;1,1/$U66,IF((FU$56-Voorblad!$F$41)/$U66-SUM($EE66:FT66)=1,1,0))))</f>
        <v>0</v>
      </c>
      <c r="FV66" s="8">
        <f>IF(FV$56-Voorblad!$F$41&gt;Voorblad!$K$41,0,IF($U66=0,0,IF($U66&lt;1,1/$U66,IF((FV$56-Voorblad!$F$41)/$U66-SUM($EE66:FU66)=1,1,0))))</f>
        <v>0</v>
      </c>
      <c r="FW66" s="8">
        <f>IF(FW$56-Voorblad!$F$41&gt;Voorblad!$K$41,0,IF($U66=0,0,IF($U66&lt;1,1/$U66,IF((FW$56-Voorblad!$F$41)/$U66-SUM($EE66:FV66)=1,1,0))))</f>
        <v>0</v>
      </c>
      <c r="FX66" s="8">
        <f>IF(FX$56-Voorblad!$F$41&gt;Voorblad!$K$41,0,IF($U66=0,0,IF($U66&lt;1,1/$U66,IF((FX$56-Voorblad!$F$41)/$U66-SUM($EE66:FW66)=1,1,0))))</f>
        <v>0</v>
      </c>
      <c r="FY66" s="8">
        <f>IF(FY$56-Voorblad!$F$41&gt;Voorblad!$K$41,0,IF($U66=0,0,IF($U66&lt;1,1/$U66,IF((FY$56-Voorblad!$F$41)/$U66-SUM($EE66:FX66)=1,1,0))))</f>
        <v>1</v>
      </c>
      <c r="FZ66" s="8">
        <f>IF(FZ$56-Voorblad!$F$41&gt;Voorblad!$K$41,0,IF($U66=0,0,IF($U66&lt;1,1/$U66,IF((FZ$56-Voorblad!$F$41)/$U66-SUM($EE66:FY66)=1,1,0))))</f>
        <v>0</v>
      </c>
      <c r="GA66" s="8">
        <f>IF(GA$56-Voorblad!$F$41&gt;Voorblad!$K$41,0,IF($U66=0,0,IF($U66&lt;1,1/$U66,IF((GA$56-Voorblad!$F$41)/$U66-SUM($EE66:FZ66)=1,1,0))))</f>
        <v>0</v>
      </c>
      <c r="GB66" s="8">
        <f>IF(GB$56-Voorblad!$F$41&gt;Voorblad!$K$41,0,IF($U66=0,0,IF($U66&lt;1,1/$U66,IF((GB$56-Voorblad!$F$41)/$U66-SUM($EE66:GA66)=1,1,0))))</f>
        <v>0</v>
      </c>
      <c r="GC66" s="8">
        <f>IF(GC$56-Voorblad!$F$41&gt;Voorblad!$K$41,0,IF($U66=0,0,IF($U66&lt;1,1/$U66,IF((GC$56-Voorblad!$F$41)/$U66-SUM($EE66:GB66)=1,1,0))))</f>
        <v>0</v>
      </c>
      <c r="GD66" s="8">
        <f>IF(GD$56-Voorblad!$F$41&gt;Voorblad!$K$41,0,IF($U66=0,0,IF($U66&lt;1,1/$U66,IF((GD$56-Voorblad!$F$41)/$U66-SUM($EE66:GC66)=1,1,0))))</f>
        <v>0</v>
      </c>
      <c r="GE66" s="8">
        <f>IF(GE$56-Voorblad!$F$41&gt;Voorblad!$K$41,0,IF($U66=0,0,IF($U66&lt;1,1/$U66,IF((GE$56-Voorblad!$F$41)/$U66-SUM($EE66:GD66)=1,1,0))))</f>
        <v>0</v>
      </c>
      <c r="GF66" s="8">
        <f>IF(GF$56-Voorblad!$F$41&gt;Voorblad!$K$41,0,IF($U66=0,0,IF($U66&lt;1,1/$U66,IF((GF$56-Voorblad!$F$41)/$U66-SUM($EE66:GE66)=1,1,0))))</f>
        <v>0</v>
      </c>
      <c r="GG66" s="8">
        <f>IF(GG$56-Voorblad!$F$41&gt;Voorblad!$K$41,0,IF($U66=0,0,IF($U66&lt;1,1/$U66,IF((GG$56-Voorblad!$F$41)/$U66-SUM($EE66:GF66)=1,1,0))))</f>
        <v>0</v>
      </c>
      <c r="GH66" s="8">
        <f>IF(GH$56-Voorblad!$F$41&gt;Voorblad!$K$41,0,IF($U66=0,0,IF($U66&lt;1,1/$U66,IF((GH$56-Voorblad!$F$41)/$U66-SUM($EE66:GG66)=1,1,0))))</f>
        <v>0</v>
      </c>
      <c r="GI66" s="8">
        <f>IF(GI$56-Voorblad!$F$41&gt;Voorblad!$K$41,0,IF($U66=0,0,IF($U66&lt;1,1/$U66,IF((GI$56-Voorblad!$F$41)/$U66-SUM($EE66:GH66)=1,1,0))))</f>
        <v>0</v>
      </c>
      <c r="GJ66" s="8">
        <f>IF(GJ$56-Voorblad!$F$41&gt;Voorblad!$K$41,0,IF($U66=0,0,IF($U66&lt;1,1/$U66,IF((GJ$56-Voorblad!$F$41)/$U66-SUM($EE66:GI66)=1,1,0))))</f>
        <v>0</v>
      </c>
      <c r="GK66" s="8">
        <f>IF(GK$56-Voorblad!$F$41&gt;Voorblad!$K$41,0,IF($U66=0,0,IF($U66&lt;1,1/$U66,IF((GK$56-Voorblad!$F$41)/$U66-SUM($EE66:GJ66)=1,1,0))))</f>
        <v>0</v>
      </c>
      <c r="GL66" s="8">
        <f>IF(GL$56-Voorblad!$F$41&gt;Voorblad!$K$41,0,IF($U66=0,0,IF($U66&lt;1,1/$U66,IF((GL$56-Voorblad!$F$41)/$U66-SUM($EE66:GK66)=1,1,0))))</f>
        <v>0</v>
      </c>
      <c r="GM66" s="8">
        <f>IF(GM$56-Voorblad!$F$41&gt;Voorblad!$K$41,0,IF($U66=0,0,IF($U66&lt;1,1/$U66,IF((GM$56-Voorblad!$F$41)/$U66-SUM($EE66:GL66)=1,1,0))))</f>
        <v>0</v>
      </c>
      <c r="GN66" s="8">
        <f>IF(GN$56-Voorblad!$F$41&gt;Voorblad!$K$41,0,IF($U66=0,0,IF($U66&lt;1,1/$U66,IF((GN$56-Voorblad!$F$41)/$U66-SUM($EE66:GM66)=1,1,0))))</f>
        <v>1</v>
      </c>
      <c r="GO66" s="8">
        <f>IF(GO$56-Voorblad!$F$41&gt;Voorblad!$K$41,0,IF($U66=0,0,IF($U66&lt;1,1/$U66,IF((GO$56-Voorblad!$F$41)/$U66-SUM($EE66:GN66)=1,1,0))))</f>
        <v>0</v>
      </c>
      <c r="GP66" s="8">
        <f>IF(GP$56-Voorblad!$F$41&gt;Voorblad!$K$41,0,IF($U66=0,0,IF($U66&lt;1,1/$U66,IF((GP$56-Voorblad!$F$41)/$U66-SUM($EE66:GO66)=1,1,0))))</f>
        <v>0</v>
      </c>
      <c r="GQ66" s="8">
        <f>IF(GQ$56-Voorblad!$F$41&gt;Voorblad!$K$41,0,IF($U66=0,0,IF($U66&lt;1,1/$U66,IF((GQ$56-Voorblad!$F$41)/$U66-SUM($EE66:GP66)=1,1,0))))</f>
        <v>0</v>
      </c>
      <c r="GR66" s="8">
        <f>IF(GR$56-Voorblad!$F$41&gt;Voorblad!$K$41,0,IF($U66=0,0,IF($U66&lt;1,1/$U66,IF((GR$56-Voorblad!$F$41)/$U66-SUM($EE66:GQ66)=1,1,0))))</f>
        <v>0</v>
      </c>
      <c r="GS66" s="8">
        <f>IF(GS$56-Voorblad!$F$41&gt;Voorblad!$K$41,0,IF($U66=0,0,IF($U66&lt;1,1/$U66,IF((GS$56-Voorblad!$F$41)/$U66-SUM($EE66:GR66)=1,1,0))))</f>
        <v>0</v>
      </c>
      <c r="GT66" s="8">
        <f>IF(GT$56-Voorblad!$F$41&gt;Voorblad!$K$41,0,IF($U66=0,0,IF($U66&lt;1,1/$U66,IF((GT$56-Voorblad!$F$41)/$U66-SUM($EE66:GS66)=1,1,0))))</f>
        <v>0</v>
      </c>
      <c r="GU66" s="8">
        <f>IF(GU$56-Voorblad!$F$41&gt;Voorblad!$K$41,0,IF($U66=0,0,IF($U66&lt;1,1/$U66,IF((GU$56-Voorblad!$F$41)/$U66-SUM($EE66:GT66)=1,1,0))))</f>
        <v>0</v>
      </c>
      <c r="GV66" s="8">
        <f>IF(GV$56-Voorblad!$F$41&gt;Voorblad!$K$41,0,IF($U66=0,0,IF($U66&lt;1,1/$U66,IF((GV$56-Voorblad!$F$41)/$U66-SUM($EE66:GU66)=1,1,0))))</f>
        <v>0</v>
      </c>
      <c r="GW66" s="8">
        <f>IF(GW$56-Voorblad!$F$41&gt;Voorblad!$K$41,0,IF($U66=0,0,IF($U66&lt;1,1/$U66,IF((GW$56-Voorblad!$F$41)/$U66-SUM($EE66:GV66)=1,1,0))))</f>
        <v>0</v>
      </c>
      <c r="GX66" s="8">
        <f>IF(GX$56-Voorblad!$F$41&gt;Voorblad!$K$41,0,IF($U66=0,0,IF($U66&lt;1,1/$U66,IF((GX$56-Voorblad!$F$41)/$U66-SUM($EE66:GW66)=1,1,0))))</f>
        <v>0</v>
      </c>
      <c r="GY66" s="8">
        <f>IF(GY$56-Voorblad!$F$41&gt;Voorblad!$K$41,0,IF($U66=0,0,IF($U66&lt;1,1/$U66,IF((GY$56-Voorblad!$F$41)/$U66-SUM($EE66:GX66)=1,1,0))))</f>
        <v>0</v>
      </c>
      <c r="GZ66" s="8">
        <f>IF(GZ$56-Voorblad!$F$41&gt;Voorblad!$K$41,0,IF($U66=0,0,IF($U66&lt;1,1/$U66,IF((GZ$56-Voorblad!$F$41)/$U66-SUM($EE66:GY66)=1,1,0))))</f>
        <v>0</v>
      </c>
      <c r="HA66" s="8">
        <f>IF(HA$56-Voorblad!$F$41&gt;Voorblad!$K$41,0,IF($U66=0,0,IF($U66&lt;1,1/$U66,IF((HA$56-Voorblad!$F$41)/$U66-SUM($EE66:GZ66)=1,1,0))))</f>
        <v>0</v>
      </c>
      <c r="HB66" s="8">
        <f>IF(HB$56-Voorblad!$F$41&gt;Voorblad!$K$41,0,IF($U66=0,0,IF($U66&lt;1,1/$U66,IF((HB$56-Voorblad!$F$41)/$U66-SUM($EE66:HA66)=1,1,0))))</f>
        <v>0</v>
      </c>
      <c r="HC66" s="8">
        <f>IF(HC$56-Voorblad!$F$41&gt;Voorblad!$K$41,0,IF($U66=0,0,IF($U66&lt;1,1/$U66,IF((HC$56-Voorblad!$F$41)/$U66-SUM($EE66:HB66)=1,1,0))))</f>
        <v>0</v>
      </c>
      <c r="HD66" s="8">
        <f>IF(HD$56-Voorblad!$F$41&gt;Voorblad!$K$41,0,IF($U66=0,0,IF($U66&lt;1,1/$U66,IF((HD$56-Voorblad!$F$41)/$U66-SUM($EE66:HC66)=1,1,0))))</f>
        <v>0</v>
      </c>
      <c r="HE66" s="8">
        <f>IF(HE$56-Voorblad!$F$41&gt;Voorblad!$K$41,0,IF($U66=0,0,IF($U66&lt;1,1/$U66,IF((HE$56-Voorblad!$F$41)/$U66-SUM($EE66:HD66)=1,1,0))))</f>
        <v>0</v>
      </c>
      <c r="HF66" s="8">
        <f>IF(HF$56-Voorblad!$F$41&gt;Voorblad!$K$41,0,IF($U66=0,0,IF($U66&lt;1,1/$U66,IF((HF$56-Voorblad!$F$41)/$U66-SUM($EE66:HE66)=1,1,0))))</f>
        <v>0</v>
      </c>
      <c r="HG66" s="8">
        <f>IF(HG$56-Voorblad!$F$41&gt;Voorblad!$K$41,0,IF($U66=0,0,IF($U66&lt;1,1/$U66,IF((HG$56-Voorblad!$F$41)/$U66-SUM($EE66:HF66)=1,1,0))))</f>
        <v>0</v>
      </c>
      <c r="HH66" s="8">
        <f>IF(HH$56-Voorblad!$F$41&gt;Voorblad!$K$41,0,IF($U66=0,0,IF($U66&lt;1,1/$U66,IF((HH$56-Voorblad!$F$41)/$U66-SUM($EE66:HG66)=1,1,0))))</f>
        <v>0</v>
      </c>
      <c r="HI66" s="8">
        <f>IF(HI$56-Voorblad!$F$41&gt;Voorblad!$K$41,0,IF($U66=0,0,IF($U66&lt;1,1/$U66,IF((HI$56-Voorblad!$F$41)/$U66-SUM($EE66:HH66)=1,1,0))))</f>
        <v>0</v>
      </c>
      <c r="HJ66" s="8">
        <f>IF(HJ$56-Voorblad!$F$41&gt;Voorblad!$K$41,0,IF($U66=0,0,IF($U66&lt;1,1/$U66,IF((HJ$56-Voorblad!$F$41)/$U66-SUM($EE66:HI66)=1,1,0))))</f>
        <v>0</v>
      </c>
      <c r="HK66" s="8">
        <f>IF(HK$56-Voorblad!$F$41&gt;Voorblad!$K$41,0,IF($U66=0,0,IF($U66&lt;1,1/$U66,IF((HK$56-Voorblad!$F$41)/$U66-SUM($EE66:HJ66)=1,1,0))))</f>
        <v>0</v>
      </c>
      <c r="HL66" s="8">
        <f>IF(HL$56-Voorblad!$F$41&gt;Voorblad!$K$41,0,IF($U66=0,0,IF($U66&lt;1,1/$U66,IF((HL$56-Voorblad!$F$41)/$U66-SUM($EE66:HK66)=1,1,0))))</f>
        <v>0</v>
      </c>
      <c r="HM66" s="8">
        <f>IF(HM$56-Voorblad!$F$41&gt;Voorblad!$K$41,0,IF($U66=0,0,IF($U66&lt;1,1/$U66,IF((HM$56-Voorblad!$F$41)/$U66-SUM($EE66:HL66)=1,1,0))))</f>
        <v>0</v>
      </c>
      <c r="HN66" s="8">
        <f>IF(HN$56-Voorblad!$F$41&gt;Voorblad!$K$41,0,IF($U66=0,0,IF($U66&lt;1,1/$U66,IF((HN$56-Voorblad!$F$41)/$U66-SUM($EE66:HM66)=1,1,0))))</f>
        <v>0</v>
      </c>
      <c r="HO66" s="8">
        <f>IF(HO$56-Voorblad!$F$41&gt;Voorblad!$K$41,0,IF($U66=0,0,IF($U66&lt;1,1/$U66,IF((HO$56-Voorblad!$F$41)/$U66-SUM($EE66:HN66)=1,1,0))))</f>
        <v>0</v>
      </c>
      <c r="HP66" s="8">
        <f>IF(HP$56-Voorblad!$F$41&gt;Voorblad!$K$41,0,IF($U66=0,0,IF($U66&lt;1,1/$U66,IF((HP$56-Voorblad!$F$41)/$U66-SUM($EE66:HO66)=1,1,0))))</f>
        <v>0</v>
      </c>
      <c r="HQ66" s="8">
        <f>IF(HQ$56-Voorblad!$F$41&gt;Voorblad!$K$41,0,IF($U66=0,0,IF($U66&lt;1,1/$U66,IF((HQ$56-Voorblad!$F$41)/$U66-SUM($EE66:HP66)=1,1,0))))</f>
        <v>0</v>
      </c>
      <c r="HR66" s="8">
        <f>IF(HR$56-Voorblad!$F$41&gt;Voorblad!$K$41,0,IF($U66=0,0,IF($U66&lt;1,1/$U66,IF((HR$56-Voorblad!$F$41)/$U66-SUM($EE66:HQ66)=1,1,0))))</f>
        <v>0</v>
      </c>
      <c r="HS66" s="8">
        <f>IF(HS$56-Voorblad!$F$41&gt;Voorblad!$K$41,0,IF($U66=0,0,IF($U66&lt;1,1/$U66,IF((HS$56-Voorblad!$F$41)/$U66-SUM($EE66:HR66)=1,1,0))))</f>
        <v>0</v>
      </c>
      <c r="HT66" s="8">
        <f>IF(HT$56-Voorblad!$F$41&gt;Voorblad!$K$41,0,IF($U66=0,0,IF($U66&lt;1,1/$U66,IF((HT$56-Voorblad!$F$41)/$U66-SUM($EE66:HS66)=1,1,0))))</f>
        <v>0</v>
      </c>
      <c r="HU66" s="8">
        <f>IF(HU$56-Voorblad!$F$41&gt;Voorblad!$K$41,0,IF($U66=0,0,IF($U66&lt;1,1/$U66,IF((HU$56-Voorblad!$F$41)/$U66-SUM($EE66:HT66)=1,1,0))))</f>
        <v>0</v>
      </c>
      <c r="HV66" s="8">
        <f>IF(HV$56-Voorblad!$F$41&gt;Voorblad!$K$41,0,IF($U66=0,0,IF($U66&lt;1,1/$U66,IF((HV$56-Voorblad!$F$41)/$U66-SUM($EE66:HU66)=1,1,0))))</f>
        <v>0</v>
      </c>
      <c r="HW66" s="8">
        <f>IF(HW$56-Voorblad!$F$41&gt;Voorblad!$K$41,0,IF($U66=0,0,IF($U66&lt;1,1/$U66,IF((HW$56-Voorblad!$F$41)/$U66-SUM($EE66:HV66)=1,1,0))))</f>
        <v>0</v>
      </c>
      <c r="HX66" s="8">
        <f>IF(HX$56-Voorblad!$F$41&gt;Voorblad!$K$41,0,IF($U66=0,0,IF($U66&lt;1,1/$U66,IF((HX$56-Voorblad!$F$41)/$U66-SUM($EE66:HW66)=1,1,0))))</f>
        <v>0</v>
      </c>
      <c r="HY66" s="8">
        <f>IF(HY$56-Voorblad!$F$41&gt;Voorblad!$K$41,0,IF($U66=0,0,IF($U66&lt;1,1/$U66,IF((HY$56-Voorblad!$F$41)/$U66-SUM($EE66:HX66)=1,1,0))))</f>
        <v>0</v>
      </c>
      <c r="HZ66" s="8">
        <f>IF(HZ$56-Voorblad!$F$41&gt;Voorblad!$K$41,0,IF($U66=0,0,IF($U66&lt;1,1/$U66,IF((HZ$56-Voorblad!$F$41)/$U66-SUM($EE66:HY66)=1,1,0))))</f>
        <v>0</v>
      </c>
      <c r="IA66" s="8">
        <f>IF(IA$56-Voorblad!$F$41&gt;Voorblad!$K$41,0,IF($U66=0,0,IF($U66&lt;1,1/$U66,IF((IA$56-Voorblad!$F$41)/$U66-SUM($EE66:HZ66)=1,1,0))))</f>
        <v>0</v>
      </c>
      <c r="IB66" s="8">
        <f>IF(IB$56-Voorblad!$F$41&gt;Voorblad!$K$41,0,IF($U66=0,0,IF($U66&lt;1,1/$U66,IF((IB$56-Voorblad!$F$41)/$U66-SUM($EE66:IA66)=1,1,0))))</f>
        <v>0</v>
      </c>
    </row>
    <row r="67" spans="2:236" ht="12" hidden="1" customHeight="1" outlineLevel="1" x14ac:dyDescent="0.25">
      <c r="B67" s="1">
        <v>3</v>
      </c>
      <c r="F67" s="1" t="s">
        <v>23</v>
      </c>
      <c r="I67" s="1" t="s">
        <v>277</v>
      </c>
      <c r="K67" s="14" t="s">
        <v>189</v>
      </c>
      <c r="L67" s="14"/>
      <c r="M67" s="14"/>
      <c r="N67" s="3"/>
      <c r="O67" s="1" t="s">
        <v>173</v>
      </c>
      <c r="P67" s="1" t="s">
        <v>176</v>
      </c>
      <c r="Q67" s="81">
        <v>0</v>
      </c>
      <c r="R67" s="1" t="s">
        <v>35</v>
      </c>
      <c r="S67" s="14">
        <f>$H$20*500</f>
        <v>885</v>
      </c>
      <c r="T67" s="1">
        <f t="shared" si="10"/>
        <v>0</v>
      </c>
      <c r="U67" s="14">
        <v>15</v>
      </c>
      <c r="V67" s="14"/>
      <c r="Y67" s="9">
        <f t="shared" si="11"/>
        <v>0</v>
      </c>
      <c r="Z67" s="82"/>
      <c r="AA67" s="82"/>
      <c r="AC67" s="9">
        <f>$Y67*(Voorblad!$K$44*(1+Voorblad!$K$44)^Voorblad!$K$41)/((1+Voorblad!$K$44)^Voorblad!$K$41-1)</f>
        <v>0</v>
      </c>
      <c r="AE67" s="9">
        <f>EF67*($Q67*$S67)/(1+Voorblad!$K$44)^(AE$56-Voorblad!$F$41)</f>
        <v>0</v>
      </c>
      <c r="AF67" s="9">
        <f>EG67*($Q67*$S67)/(1+Voorblad!$K$44)^(AF$56-Voorblad!$F$41)</f>
        <v>0</v>
      </c>
      <c r="AG67" s="9">
        <f>EH67*($Q67*$S67)/(1+Voorblad!$K$44)^(AG$56-Voorblad!$F$41)</f>
        <v>0</v>
      </c>
      <c r="AH67" s="9">
        <f>EI67*($Q67*$S67)/(1+Voorblad!$K$44)^(AH$56-Voorblad!$F$41)</f>
        <v>0</v>
      </c>
      <c r="AI67" s="9">
        <f>EJ67*($Q67*$S67)/(1+Voorblad!$K$44)^(AI$56-Voorblad!$F$41)</f>
        <v>0</v>
      </c>
      <c r="AJ67" s="9">
        <f>EK67*($Q67*$S67)/(1+Voorblad!$K$44)^(AJ$56-Voorblad!$F$41)</f>
        <v>0</v>
      </c>
      <c r="AK67" s="9">
        <f>EL67*($Q67*$S67)/(1+Voorblad!$K$44)^(AK$56-Voorblad!$F$41)</f>
        <v>0</v>
      </c>
      <c r="AL67" s="9">
        <f>EM67*($Q67*$S67)/(1+Voorblad!$K$44)^(AL$56-Voorblad!$F$41)</f>
        <v>0</v>
      </c>
      <c r="AM67" s="9">
        <f>EN67*($Q67*$S67)/(1+Voorblad!$K$44)^(AM$56-Voorblad!$F$41)</f>
        <v>0</v>
      </c>
      <c r="AN67" s="9">
        <f>EO67*($Q67*$S67)/(1+Voorblad!$K$44)^(AN$56-Voorblad!$F$41)</f>
        <v>0</v>
      </c>
      <c r="AO67" s="9">
        <f>EP67*($Q67*$S67)/(1+Voorblad!$K$44)^(AO$56-Voorblad!$F$41)</f>
        <v>0</v>
      </c>
      <c r="AP67" s="9">
        <f>EQ67*($Q67*$S67)/(1+Voorblad!$K$44)^(AP$56-Voorblad!$F$41)</f>
        <v>0</v>
      </c>
      <c r="AQ67" s="9">
        <f>ER67*($Q67*$S67)/(1+Voorblad!$K$44)^(AQ$56-Voorblad!$F$41)</f>
        <v>0</v>
      </c>
      <c r="AR67" s="9">
        <f>ES67*($Q67*$S67)/(1+Voorblad!$K$44)^(AR$56-Voorblad!$F$41)</f>
        <v>0</v>
      </c>
      <c r="AS67" s="9">
        <f>ET67*($Q67*$S67)/(1+Voorblad!$K$44)^(AS$56-Voorblad!$F$41)</f>
        <v>0</v>
      </c>
      <c r="AT67" s="9">
        <f>EU67*($Q67*$S67)/(1+Voorblad!$K$44)^(AT$56-Voorblad!$F$41)</f>
        <v>0</v>
      </c>
      <c r="AU67" s="9">
        <f>EV67*($Q67*$S67)/(1+Voorblad!$K$44)^(AU$56-Voorblad!$F$41)</f>
        <v>0</v>
      </c>
      <c r="AV67" s="9">
        <f>EW67*($Q67*$S67)/(1+Voorblad!$K$44)^(AV$56-Voorblad!$F$41)</f>
        <v>0</v>
      </c>
      <c r="AW67" s="9">
        <f>EX67*($Q67*$S67)/(1+Voorblad!$K$44)^(AW$56-Voorblad!$F$41)</f>
        <v>0</v>
      </c>
      <c r="AX67" s="9">
        <f>EY67*($Q67*$S67)/(1+Voorblad!$K$44)^(AX$56-Voorblad!$F$41)</f>
        <v>0</v>
      </c>
      <c r="AY67" s="9">
        <f>EZ67*($Q67*$S67)/(1+Voorblad!$K$44)^(AY$56-Voorblad!$F$41)</f>
        <v>0</v>
      </c>
      <c r="AZ67" s="9">
        <f>FA67*($Q67*$S67)/(1+Voorblad!$K$44)^(AZ$56-Voorblad!$F$41)</f>
        <v>0</v>
      </c>
      <c r="BA67" s="9">
        <f>FB67*($Q67*$S67)/(1+Voorblad!$K$44)^(BA$56-Voorblad!$F$41)</f>
        <v>0</v>
      </c>
      <c r="BB67" s="9">
        <f>FC67*($Q67*$S67)/(1+Voorblad!$K$44)^(BB$56-Voorblad!$F$41)</f>
        <v>0</v>
      </c>
      <c r="BC67" s="9">
        <f>FD67*($Q67*$S67)/(1+Voorblad!$K$44)^(BC$56-Voorblad!$F$41)</f>
        <v>0</v>
      </c>
      <c r="BD67" s="9">
        <f>FE67*($Q67*$S67)/(1+Voorblad!$K$44)^(BD$56-Voorblad!$F$41)</f>
        <v>0</v>
      </c>
      <c r="BE67" s="9">
        <f>FF67*($Q67*$S67)/(1+Voorblad!$K$44)^(BE$56-Voorblad!$F$41)</f>
        <v>0</v>
      </c>
      <c r="BF67" s="9">
        <f>FG67*($Q67*$S67)/(1+Voorblad!$K$44)^(BF$56-Voorblad!$F$41)</f>
        <v>0</v>
      </c>
      <c r="BG67" s="9">
        <f>FH67*($Q67*$S67)/(1+Voorblad!$K$44)^(BG$56-Voorblad!$F$41)</f>
        <v>0</v>
      </c>
      <c r="BH67" s="9">
        <f>FI67*($Q67*$S67)/(1+Voorblad!$K$44)^(BH$56-Voorblad!$F$41)</f>
        <v>0</v>
      </c>
      <c r="BI67" s="9">
        <f>FJ67*($Q67*$S67)/(1+Voorblad!$K$44)^(BI$56-Voorblad!$F$41)</f>
        <v>0</v>
      </c>
      <c r="BJ67" s="9">
        <f>FK67*($Q67*$S67)/(1+Voorblad!$K$44)^(BJ$56-Voorblad!$F$41)</f>
        <v>0</v>
      </c>
      <c r="BK67" s="9">
        <f>FL67*($Q67*$S67)/(1+Voorblad!$K$44)^(BK$56-Voorblad!$F$41)</f>
        <v>0</v>
      </c>
      <c r="BL67" s="9">
        <f>FM67*($Q67*$S67)/(1+Voorblad!$K$44)^(BL$56-Voorblad!$F$41)</f>
        <v>0</v>
      </c>
      <c r="BM67" s="9">
        <f>FN67*($Q67*$S67)/(1+Voorblad!$K$44)^(BM$56-Voorblad!$F$41)</f>
        <v>0</v>
      </c>
      <c r="BN67" s="9">
        <f>FO67*($Q67*$S67)/(1+Voorblad!$K$44)^(BN$56-Voorblad!$F$41)</f>
        <v>0</v>
      </c>
      <c r="BO67" s="9">
        <f>FP67*($Q67*$S67)/(1+Voorblad!$K$44)^(BO$56-Voorblad!$F$41)</f>
        <v>0</v>
      </c>
      <c r="BP67" s="9">
        <f>FQ67*($Q67*$S67)/(1+Voorblad!$K$44)^(BP$56-Voorblad!$F$41)</f>
        <v>0</v>
      </c>
      <c r="BQ67" s="9">
        <f>FR67*($Q67*$S67)/(1+Voorblad!$K$44)^(BQ$56-Voorblad!$F$41)</f>
        <v>0</v>
      </c>
      <c r="BR67" s="9">
        <f>FS67*($Q67*$S67)/(1+Voorblad!$K$44)^(BR$56-Voorblad!$F$41)</f>
        <v>0</v>
      </c>
      <c r="BS67" s="9">
        <f>FT67*($Q67*$S67)/(1+Voorblad!$K$44)^(BS$56-Voorblad!$F$41)</f>
        <v>0</v>
      </c>
      <c r="BT67" s="9">
        <f>FU67*($Q67*$S67)/(1+Voorblad!$K$44)^(BT$56-Voorblad!$F$41)</f>
        <v>0</v>
      </c>
      <c r="BU67" s="9">
        <f>FV67*($Q67*$S67)/(1+Voorblad!$K$44)^(BU$56-Voorblad!$F$41)</f>
        <v>0</v>
      </c>
      <c r="BV67" s="9">
        <f>FW67*($Q67*$S67)/(1+Voorblad!$K$44)^(BV$56-Voorblad!$F$41)</f>
        <v>0</v>
      </c>
      <c r="BW67" s="9">
        <f>FX67*($Q67*$S67)/(1+Voorblad!$K$44)^(BW$56-Voorblad!$F$41)</f>
        <v>0</v>
      </c>
      <c r="BX67" s="9">
        <f>FY67*($Q67*$S67)/(1+Voorblad!$K$44)^(BX$56-Voorblad!$F$41)</f>
        <v>0</v>
      </c>
      <c r="BY67" s="9">
        <f>FZ67*($Q67*$S67)/(1+Voorblad!$K$44)^(BY$56-Voorblad!$F$41)</f>
        <v>0</v>
      </c>
      <c r="BZ67" s="9">
        <f>GA67*($Q67*$S67)/(1+Voorblad!$K$44)^(BZ$56-Voorblad!$F$41)</f>
        <v>0</v>
      </c>
      <c r="CA67" s="9">
        <f>GB67*($Q67*$S67)/(1+Voorblad!$K$44)^(CA$56-Voorblad!$F$41)</f>
        <v>0</v>
      </c>
      <c r="CB67" s="9">
        <f>GC67*($Q67*$S67)/(1+Voorblad!$K$44)^(CB$56-Voorblad!$F$41)</f>
        <v>0</v>
      </c>
      <c r="CC67" s="9">
        <f>GD67*($Q67*$S67)/(1+Voorblad!$K$44)^(CC$56-Voorblad!$F$41)</f>
        <v>0</v>
      </c>
      <c r="CD67" s="9">
        <f>GE67*($Q67*$S67)/(1+Voorblad!$K$44)^(CD$56-Voorblad!$F$41)</f>
        <v>0</v>
      </c>
      <c r="CE67" s="9">
        <f>GF67*($Q67*$S67)/(1+Voorblad!$K$44)^(CE$56-Voorblad!$F$41)</f>
        <v>0</v>
      </c>
      <c r="CF67" s="9">
        <f>GG67*($Q67*$S67)/(1+Voorblad!$K$44)^(CF$56-Voorblad!$F$41)</f>
        <v>0</v>
      </c>
      <c r="CG67" s="9">
        <f>GH67*($Q67*$S67)/(1+Voorblad!$K$44)^(CG$56-Voorblad!$F$41)</f>
        <v>0</v>
      </c>
      <c r="CH67" s="9">
        <f>GI67*($Q67*$S67)/(1+Voorblad!$K$44)^(CH$56-Voorblad!$F$41)</f>
        <v>0</v>
      </c>
      <c r="CI67" s="9">
        <f>GJ67*($Q67*$S67)/(1+Voorblad!$K$44)^(CI$56-Voorblad!$F$41)</f>
        <v>0</v>
      </c>
      <c r="CJ67" s="9">
        <f>GK67*($Q67*$S67)/(1+Voorblad!$K$44)^(CJ$56-Voorblad!$F$41)</f>
        <v>0</v>
      </c>
      <c r="CK67" s="9">
        <f>GL67*($Q67*$S67)/(1+Voorblad!$K$44)^(CK$56-Voorblad!$F$41)</f>
        <v>0</v>
      </c>
      <c r="CL67" s="9">
        <f>GM67*($Q67*$S67)/(1+Voorblad!$K$44)^(CL$56-Voorblad!$F$41)</f>
        <v>0</v>
      </c>
      <c r="CM67" s="9">
        <f>GN67*($Q67*$S67)/(1+Voorblad!$K$44)^(CM$56-Voorblad!$F$41)</f>
        <v>0</v>
      </c>
      <c r="CN67" s="9">
        <f>GO67*($Q67*$S67)/(1+Voorblad!$K$44)^(CN$56-Voorblad!$F$41)</f>
        <v>0</v>
      </c>
      <c r="CO67" s="9">
        <f>GP67*($Q67*$S67)/(1+Voorblad!$K$44)^(CO$56-Voorblad!$F$41)</f>
        <v>0</v>
      </c>
      <c r="CP67" s="9">
        <f>GQ67*($Q67*$S67)/(1+Voorblad!$K$44)^(CP$56-Voorblad!$F$41)</f>
        <v>0</v>
      </c>
      <c r="CQ67" s="9">
        <f>GR67*($Q67*$S67)/(1+Voorblad!$K$44)^(CQ$56-Voorblad!$F$41)</f>
        <v>0</v>
      </c>
      <c r="CR67" s="9">
        <f>GS67*($Q67*$S67)/(1+Voorblad!$K$44)^(CR$56-Voorblad!$F$41)</f>
        <v>0</v>
      </c>
      <c r="CS67" s="9">
        <f>GT67*($Q67*$S67)/(1+Voorblad!$K$44)^(CS$56-Voorblad!$F$41)</f>
        <v>0</v>
      </c>
      <c r="CT67" s="9">
        <f>GU67*($Q67*$S67)/(1+Voorblad!$K$44)^(CT$56-Voorblad!$F$41)</f>
        <v>0</v>
      </c>
      <c r="CU67" s="9">
        <f>GV67*($Q67*$S67)/(1+Voorblad!$K$44)^(CU$56-Voorblad!$F$41)</f>
        <v>0</v>
      </c>
      <c r="CV67" s="9">
        <f>GW67*($Q67*$S67)/(1+Voorblad!$K$44)^(CV$56-Voorblad!$F$41)</f>
        <v>0</v>
      </c>
      <c r="CW67" s="9">
        <f>GX67*($Q67*$S67)/(1+Voorblad!$K$44)^(CW$56-Voorblad!$F$41)</f>
        <v>0</v>
      </c>
      <c r="CX67" s="9">
        <f>GY67*($Q67*$S67)/(1+Voorblad!$K$44)^(CX$56-Voorblad!$F$41)</f>
        <v>0</v>
      </c>
      <c r="CY67" s="9">
        <f>GZ67*($Q67*$S67)/(1+Voorblad!$K$44)^(CY$56-Voorblad!$F$41)</f>
        <v>0</v>
      </c>
      <c r="CZ67" s="9">
        <f>HA67*($Q67*$S67)/(1+Voorblad!$K$44)^(CZ$56-Voorblad!$F$41)</f>
        <v>0</v>
      </c>
      <c r="DA67" s="9">
        <f>HB67*($Q67*$S67)/(1+Voorblad!$K$44)^(DA$56-Voorblad!$F$41)</f>
        <v>0</v>
      </c>
      <c r="DB67" s="9">
        <f>HC67*($Q67*$S67)/(1+Voorblad!$K$44)^(DB$56-Voorblad!$F$41)</f>
        <v>0</v>
      </c>
      <c r="DC67" s="9">
        <f>HD67*($Q67*$S67)/(1+Voorblad!$K$44)^(DC$56-Voorblad!$F$41)</f>
        <v>0</v>
      </c>
      <c r="DD67" s="9">
        <f>HE67*($Q67*$S67)/(1+Voorblad!$K$44)^(DD$56-Voorblad!$F$41)</f>
        <v>0</v>
      </c>
      <c r="DE67" s="9">
        <f>HF67*($Q67*$S67)/(1+Voorblad!$K$44)^(DE$56-Voorblad!$F$41)</f>
        <v>0</v>
      </c>
      <c r="DF67" s="9">
        <f>HG67*($Q67*$S67)/(1+Voorblad!$K$44)^(DF$56-Voorblad!$F$41)</f>
        <v>0</v>
      </c>
      <c r="DG67" s="9">
        <f>HH67*($Q67*$S67)/(1+Voorblad!$K$44)^(DG$56-Voorblad!$F$41)</f>
        <v>0</v>
      </c>
      <c r="DH67" s="9">
        <f>HI67*($Q67*$S67)/(1+Voorblad!$K$44)^(DH$56-Voorblad!$F$41)</f>
        <v>0</v>
      </c>
      <c r="DI67" s="9">
        <f>HJ67*($Q67*$S67)/(1+Voorblad!$K$44)^(DI$56-Voorblad!$F$41)</f>
        <v>0</v>
      </c>
      <c r="DJ67" s="9">
        <f>HK67*($Q67*$S67)/(1+Voorblad!$K$44)^(DJ$56-Voorblad!$F$41)</f>
        <v>0</v>
      </c>
      <c r="DK67" s="9">
        <f>HL67*($Q67*$S67)/(1+Voorblad!$K$44)^(DK$56-Voorblad!$F$41)</f>
        <v>0</v>
      </c>
      <c r="DL67" s="9">
        <f>HM67*($Q67*$S67)/(1+Voorblad!$K$44)^(DL$56-Voorblad!$F$41)</f>
        <v>0</v>
      </c>
      <c r="DM67" s="9">
        <f>HN67*($Q67*$S67)/(1+Voorblad!$K$44)^(DM$56-Voorblad!$F$41)</f>
        <v>0</v>
      </c>
      <c r="DN67" s="9">
        <f>HO67*($Q67*$S67)/(1+Voorblad!$K$44)^(DN$56-Voorblad!$F$41)</f>
        <v>0</v>
      </c>
      <c r="DO67" s="9">
        <f>HP67*($Q67*$S67)/(1+Voorblad!$K$44)^(DO$56-Voorblad!$F$41)</f>
        <v>0</v>
      </c>
      <c r="DP67" s="9">
        <f>HQ67*($Q67*$S67)/(1+Voorblad!$K$44)^(DP$56-Voorblad!$F$41)</f>
        <v>0</v>
      </c>
      <c r="DQ67" s="9">
        <f>HR67*($Q67*$S67)/(1+Voorblad!$K$44)^(DQ$56-Voorblad!$F$41)</f>
        <v>0</v>
      </c>
      <c r="DR67" s="9">
        <f>HS67*($Q67*$S67)/(1+Voorblad!$K$44)^(DR$56-Voorblad!$F$41)</f>
        <v>0</v>
      </c>
      <c r="DS67" s="9">
        <f>HT67*($Q67*$S67)/(1+Voorblad!$K$44)^(DS$56-Voorblad!$F$41)</f>
        <v>0</v>
      </c>
      <c r="DT67" s="9">
        <f>HU67*($Q67*$S67)/(1+Voorblad!$K$44)^(DT$56-Voorblad!$F$41)</f>
        <v>0</v>
      </c>
      <c r="DU67" s="9">
        <f>HV67*($Q67*$S67)/(1+Voorblad!$K$44)^(DU$56-Voorblad!$F$41)</f>
        <v>0</v>
      </c>
      <c r="DV67" s="9">
        <f>HW67*($Q67*$S67)/(1+Voorblad!$K$44)^(DV$56-Voorblad!$F$41)</f>
        <v>0</v>
      </c>
      <c r="DW67" s="9">
        <f>HX67*($Q67*$S67)/(1+Voorblad!$K$44)^(DW$56-Voorblad!$F$41)</f>
        <v>0</v>
      </c>
      <c r="DX67" s="9">
        <f>HY67*($Q67*$S67)/(1+Voorblad!$K$44)^(DX$56-Voorblad!$F$41)</f>
        <v>0</v>
      </c>
      <c r="DY67" s="9">
        <f>HZ67*($Q67*$S67)/(1+Voorblad!$K$44)^(DY$56-Voorblad!$F$41)</f>
        <v>0</v>
      </c>
      <c r="DZ67" s="9">
        <f>IA67*($Q67*$S67)/(1+Voorblad!$K$44)^(DZ$56-Voorblad!$F$41)</f>
        <v>0</v>
      </c>
      <c r="EA67" s="9">
        <f>IB67*($Q67*$S67)/(1+Voorblad!$K$44)^(EA$56-Voorblad!$F$41)</f>
        <v>0</v>
      </c>
      <c r="EB67" s="9">
        <f>IC67*($Q67*$S67)/(1+Voorblad!$K$44)^(EB$56-Voorblad!$F$41)</f>
        <v>0</v>
      </c>
      <c r="EE67" s="8">
        <v>0</v>
      </c>
      <c r="EF67" s="8">
        <f>IF(EF$56-Voorblad!$F$41&gt;Voorblad!$K$41,0,IF($U67=0,0,IF($U67&lt;1,1/$U67,IF((EF$56-Voorblad!$F$41)/$U67-SUM($EE67:EE67)=1,1,0))))</f>
        <v>0</v>
      </c>
      <c r="EG67" s="8">
        <f>IF(EG$56-Voorblad!$F$41&gt;Voorblad!$K$41,0,IF($U67=0,0,IF($U67&lt;1,1/$U67,IF((EG$56-Voorblad!$F$41)/$U67-SUM($EE67:EF67)=1,1,0))))</f>
        <v>0</v>
      </c>
      <c r="EH67" s="8">
        <f>IF(EH$56-Voorblad!$F$41&gt;Voorblad!$K$41,0,IF($U67=0,0,IF($U67&lt;1,1/$U67,IF((EH$56-Voorblad!$F$41)/$U67-SUM($EE67:EG67)=1,1,0))))</f>
        <v>0</v>
      </c>
      <c r="EI67" s="8">
        <f>IF(EI$56-Voorblad!$F$41&gt;Voorblad!$K$41,0,IF($U67=0,0,IF($U67&lt;1,1/$U67,IF((EI$56-Voorblad!$F$41)/$U67-SUM($EE67:EH67)=1,1,0))))</f>
        <v>0</v>
      </c>
      <c r="EJ67" s="8">
        <f>IF(EJ$56-Voorblad!$F$41&gt;Voorblad!$K$41,0,IF($U67=0,0,IF($U67&lt;1,1/$U67,IF((EJ$56-Voorblad!$F$41)/$U67-SUM($EE67:EI67)=1,1,0))))</f>
        <v>0</v>
      </c>
      <c r="EK67" s="8">
        <f>IF(EK$56-Voorblad!$F$41&gt;Voorblad!$K$41,0,IF($U67=0,0,IF($U67&lt;1,1/$U67,IF((EK$56-Voorblad!$F$41)/$U67-SUM($EE67:EJ67)=1,1,0))))</f>
        <v>0</v>
      </c>
      <c r="EL67" s="8">
        <f>IF(EL$56-Voorblad!$F$41&gt;Voorblad!$K$41,0,IF($U67=0,0,IF($U67&lt;1,1/$U67,IF((EL$56-Voorblad!$F$41)/$U67-SUM($EE67:EK67)=1,1,0))))</f>
        <v>0</v>
      </c>
      <c r="EM67" s="8">
        <f>IF(EM$56-Voorblad!$F$41&gt;Voorblad!$K$41,0,IF($U67=0,0,IF($U67&lt;1,1/$U67,IF((EM$56-Voorblad!$F$41)/$U67-SUM($EE67:EL67)=1,1,0))))</f>
        <v>0</v>
      </c>
      <c r="EN67" s="8">
        <f>IF(EN$56-Voorblad!$F$41&gt;Voorblad!$K$41,0,IF($U67=0,0,IF($U67&lt;1,1/$U67,IF((EN$56-Voorblad!$F$41)/$U67-SUM($EE67:EM67)=1,1,0))))</f>
        <v>0</v>
      </c>
      <c r="EO67" s="8">
        <f>IF(EO$56-Voorblad!$F$41&gt;Voorblad!$K$41,0,IF($U67=0,0,IF($U67&lt;1,1/$U67,IF((EO$56-Voorblad!$F$41)/$U67-SUM($EE67:EN67)=1,1,0))))</f>
        <v>0</v>
      </c>
      <c r="EP67" s="8">
        <f>IF(EP$56-Voorblad!$F$41&gt;Voorblad!$K$41,0,IF($U67=0,0,IF($U67&lt;1,1/$U67,IF((EP$56-Voorblad!$F$41)/$U67-SUM($EE67:EO67)=1,1,0))))</f>
        <v>0</v>
      </c>
      <c r="EQ67" s="8">
        <f>IF(EQ$56-Voorblad!$F$41&gt;Voorblad!$K$41,0,IF($U67=0,0,IF($U67&lt;1,1/$U67,IF((EQ$56-Voorblad!$F$41)/$U67-SUM($EE67:EP67)=1,1,0))))</f>
        <v>0</v>
      </c>
      <c r="ER67" s="8">
        <f>IF(ER$56-Voorblad!$F$41&gt;Voorblad!$K$41,0,IF($U67=0,0,IF($U67&lt;1,1/$U67,IF((ER$56-Voorblad!$F$41)/$U67-SUM($EE67:EQ67)=1,1,0))))</f>
        <v>0</v>
      </c>
      <c r="ES67" s="8">
        <f>IF(ES$56-Voorblad!$F$41&gt;Voorblad!$K$41,0,IF($U67=0,0,IF($U67&lt;1,1/$U67,IF((ES$56-Voorblad!$F$41)/$U67-SUM($EE67:ER67)=1,1,0))))</f>
        <v>0</v>
      </c>
      <c r="ET67" s="8">
        <f>IF(ET$56-Voorblad!$F$41&gt;Voorblad!$K$41,0,IF($U67=0,0,IF($U67&lt;1,1/$U67,IF((ET$56-Voorblad!$F$41)/$U67-SUM($EE67:ES67)=1,1,0))))</f>
        <v>0</v>
      </c>
      <c r="EU67" s="8">
        <f>IF(EU$56-Voorblad!$F$41&gt;Voorblad!$K$41,0,IF($U67=0,0,IF($U67&lt;1,1/$U67,IF((EU$56-Voorblad!$F$41)/$U67-SUM($EE67:ET67)=1,1,0))))</f>
        <v>1</v>
      </c>
      <c r="EV67" s="8">
        <f>IF(EV$56-Voorblad!$F$41&gt;Voorblad!$K$41,0,IF($U67=0,0,IF($U67&lt;1,1/$U67,IF((EV$56-Voorblad!$F$41)/$U67-SUM($EE67:EU67)=1,1,0))))</f>
        <v>0</v>
      </c>
      <c r="EW67" s="8">
        <f>IF(EW$56-Voorblad!$F$41&gt;Voorblad!$K$41,0,IF($U67=0,0,IF($U67&lt;1,1/$U67,IF((EW$56-Voorblad!$F$41)/$U67-SUM($EE67:EV67)=1,1,0))))</f>
        <v>0</v>
      </c>
      <c r="EX67" s="8">
        <f>IF(EX$56-Voorblad!$F$41&gt;Voorblad!$K$41,0,IF($U67=0,0,IF($U67&lt;1,1/$U67,IF((EX$56-Voorblad!$F$41)/$U67-SUM($EE67:EW67)=1,1,0))))</f>
        <v>0</v>
      </c>
      <c r="EY67" s="8">
        <f>IF(EY$56-Voorblad!$F$41&gt;Voorblad!$K$41,0,IF($U67=0,0,IF($U67&lt;1,1/$U67,IF((EY$56-Voorblad!$F$41)/$U67-SUM($EE67:EX67)=1,1,0))))</f>
        <v>0</v>
      </c>
      <c r="EZ67" s="8">
        <f>IF(EZ$56-Voorblad!$F$41&gt;Voorblad!$K$41,0,IF($U67=0,0,IF($U67&lt;1,1/$U67,IF((EZ$56-Voorblad!$F$41)/$U67-SUM($EE67:EY67)=1,1,0))))</f>
        <v>0</v>
      </c>
      <c r="FA67" s="8">
        <f>IF(FA$56-Voorblad!$F$41&gt;Voorblad!$K$41,0,IF($U67=0,0,IF($U67&lt;1,1/$U67,IF((FA$56-Voorblad!$F$41)/$U67-SUM($EE67:EZ67)=1,1,0))))</f>
        <v>0</v>
      </c>
      <c r="FB67" s="8">
        <f>IF(FB$56-Voorblad!$F$41&gt;Voorblad!$K$41,0,IF($U67=0,0,IF($U67&lt;1,1/$U67,IF((FB$56-Voorblad!$F$41)/$U67-SUM($EE67:FA67)=1,1,0))))</f>
        <v>0</v>
      </c>
      <c r="FC67" s="8">
        <f>IF(FC$56-Voorblad!$F$41&gt;Voorblad!$K$41,0,IF($U67=0,0,IF($U67&lt;1,1/$U67,IF((FC$56-Voorblad!$F$41)/$U67-SUM($EE67:FB67)=1,1,0))))</f>
        <v>0</v>
      </c>
      <c r="FD67" s="8">
        <f>IF(FD$56-Voorblad!$F$41&gt;Voorblad!$K$41,0,IF($U67=0,0,IF($U67&lt;1,1/$U67,IF((FD$56-Voorblad!$F$41)/$U67-SUM($EE67:FC67)=1,1,0))))</f>
        <v>0</v>
      </c>
      <c r="FE67" s="8">
        <f>IF(FE$56-Voorblad!$F$41&gt;Voorblad!$K$41,0,IF($U67=0,0,IF($U67&lt;1,1/$U67,IF((FE$56-Voorblad!$F$41)/$U67-SUM($EE67:FD67)=1,1,0))))</f>
        <v>0</v>
      </c>
      <c r="FF67" s="8">
        <f>IF(FF$56-Voorblad!$F$41&gt;Voorblad!$K$41,0,IF($U67=0,0,IF($U67&lt;1,1/$U67,IF((FF$56-Voorblad!$F$41)/$U67-SUM($EE67:FE67)=1,1,0))))</f>
        <v>0</v>
      </c>
      <c r="FG67" s="8">
        <f>IF(FG$56-Voorblad!$F$41&gt;Voorblad!$K$41,0,IF($U67=0,0,IF($U67&lt;1,1/$U67,IF((FG$56-Voorblad!$F$41)/$U67-SUM($EE67:FF67)=1,1,0))))</f>
        <v>0</v>
      </c>
      <c r="FH67" s="8">
        <f>IF(FH$56-Voorblad!$F$41&gt;Voorblad!$K$41,0,IF($U67=0,0,IF($U67&lt;1,1/$U67,IF((FH$56-Voorblad!$F$41)/$U67-SUM($EE67:FG67)=1,1,0))))</f>
        <v>0</v>
      </c>
      <c r="FI67" s="8">
        <f>IF(FI$56-Voorblad!$F$41&gt;Voorblad!$K$41,0,IF($U67=0,0,IF($U67&lt;1,1/$U67,IF((FI$56-Voorblad!$F$41)/$U67-SUM($EE67:FH67)=1,1,0))))</f>
        <v>0</v>
      </c>
      <c r="FJ67" s="8">
        <f>IF(FJ$56-Voorblad!$F$41&gt;Voorblad!$K$41,0,IF($U67=0,0,IF($U67&lt;1,1/$U67,IF((FJ$56-Voorblad!$F$41)/$U67-SUM($EE67:FI67)=1,1,0))))</f>
        <v>1</v>
      </c>
      <c r="FK67" s="8">
        <f>IF(FK$56-Voorblad!$F$41&gt;Voorblad!$K$41,0,IF($U67=0,0,IF($U67&lt;1,1/$U67,IF((FK$56-Voorblad!$F$41)/$U67-SUM($EE67:FJ67)=1,1,0))))</f>
        <v>0</v>
      </c>
      <c r="FL67" s="8">
        <f>IF(FL$56-Voorblad!$F$41&gt;Voorblad!$K$41,0,IF($U67=0,0,IF($U67&lt;1,1/$U67,IF((FL$56-Voorblad!$F$41)/$U67-SUM($EE67:FK67)=1,1,0))))</f>
        <v>0</v>
      </c>
      <c r="FM67" s="8">
        <f>IF(FM$56-Voorblad!$F$41&gt;Voorblad!$K$41,0,IF($U67=0,0,IF($U67&lt;1,1/$U67,IF((FM$56-Voorblad!$F$41)/$U67-SUM($EE67:FL67)=1,1,0))))</f>
        <v>0</v>
      </c>
      <c r="FN67" s="8">
        <f>IF(FN$56-Voorblad!$F$41&gt;Voorblad!$K$41,0,IF($U67=0,0,IF($U67&lt;1,1/$U67,IF((FN$56-Voorblad!$F$41)/$U67-SUM($EE67:FM67)=1,1,0))))</f>
        <v>0</v>
      </c>
      <c r="FO67" s="8">
        <f>IF(FO$56-Voorblad!$F$41&gt;Voorblad!$K$41,0,IF($U67=0,0,IF($U67&lt;1,1/$U67,IF((FO$56-Voorblad!$F$41)/$U67-SUM($EE67:FN67)=1,1,0))))</f>
        <v>0</v>
      </c>
      <c r="FP67" s="8">
        <f>IF(FP$56-Voorblad!$F$41&gt;Voorblad!$K$41,0,IF($U67=0,0,IF($U67&lt;1,1/$U67,IF((FP$56-Voorblad!$F$41)/$U67-SUM($EE67:FO67)=1,1,0))))</f>
        <v>0</v>
      </c>
      <c r="FQ67" s="8">
        <f>IF(FQ$56-Voorblad!$F$41&gt;Voorblad!$K$41,0,IF($U67=0,0,IF($U67&lt;1,1/$U67,IF((FQ$56-Voorblad!$F$41)/$U67-SUM($EE67:FP67)=1,1,0))))</f>
        <v>0</v>
      </c>
      <c r="FR67" s="8">
        <f>IF(FR$56-Voorblad!$F$41&gt;Voorblad!$K$41,0,IF($U67=0,0,IF($U67&lt;1,1/$U67,IF((FR$56-Voorblad!$F$41)/$U67-SUM($EE67:FQ67)=1,1,0))))</f>
        <v>0</v>
      </c>
      <c r="FS67" s="8">
        <f>IF(FS$56-Voorblad!$F$41&gt;Voorblad!$K$41,0,IF($U67=0,0,IF($U67&lt;1,1/$U67,IF((FS$56-Voorblad!$F$41)/$U67-SUM($EE67:FR67)=1,1,0))))</f>
        <v>0</v>
      </c>
      <c r="FT67" s="8">
        <f>IF(FT$56-Voorblad!$F$41&gt;Voorblad!$K$41,0,IF($U67=0,0,IF($U67&lt;1,1/$U67,IF((FT$56-Voorblad!$F$41)/$U67-SUM($EE67:FS67)=1,1,0))))</f>
        <v>0</v>
      </c>
      <c r="FU67" s="8">
        <f>IF(FU$56-Voorblad!$F$41&gt;Voorblad!$K$41,0,IF($U67=0,0,IF($U67&lt;1,1/$U67,IF((FU$56-Voorblad!$F$41)/$U67-SUM($EE67:FT67)=1,1,0))))</f>
        <v>0</v>
      </c>
      <c r="FV67" s="8">
        <f>IF(FV$56-Voorblad!$F$41&gt;Voorblad!$K$41,0,IF($U67=0,0,IF($U67&lt;1,1/$U67,IF((FV$56-Voorblad!$F$41)/$U67-SUM($EE67:FU67)=1,1,0))))</f>
        <v>0</v>
      </c>
      <c r="FW67" s="8">
        <f>IF(FW$56-Voorblad!$F$41&gt;Voorblad!$K$41,0,IF($U67=0,0,IF($U67&lt;1,1/$U67,IF((FW$56-Voorblad!$F$41)/$U67-SUM($EE67:FV67)=1,1,0))))</f>
        <v>0</v>
      </c>
      <c r="FX67" s="8">
        <f>IF(FX$56-Voorblad!$F$41&gt;Voorblad!$K$41,0,IF($U67=0,0,IF($U67&lt;1,1/$U67,IF((FX$56-Voorblad!$F$41)/$U67-SUM($EE67:FW67)=1,1,0))))</f>
        <v>0</v>
      </c>
      <c r="FY67" s="8">
        <f>IF(FY$56-Voorblad!$F$41&gt;Voorblad!$K$41,0,IF($U67=0,0,IF($U67&lt;1,1/$U67,IF((FY$56-Voorblad!$F$41)/$U67-SUM($EE67:FX67)=1,1,0))))</f>
        <v>1</v>
      </c>
      <c r="FZ67" s="8">
        <f>IF(FZ$56-Voorblad!$F$41&gt;Voorblad!$K$41,0,IF($U67=0,0,IF($U67&lt;1,1/$U67,IF((FZ$56-Voorblad!$F$41)/$U67-SUM($EE67:FY67)=1,1,0))))</f>
        <v>0</v>
      </c>
      <c r="GA67" s="8">
        <f>IF(GA$56-Voorblad!$F$41&gt;Voorblad!$K$41,0,IF($U67=0,0,IF($U67&lt;1,1/$U67,IF((GA$56-Voorblad!$F$41)/$U67-SUM($EE67:FZ67)=1,1,0))))</f>
        <v>0</v>
      </c>
      <c r="GB67" s="8">
        <f>IF(GB$56-Voorblad!$F$41&gt;Voorblad!$K$41,0,IF($U67=0,0,IF($U67&lt;1,1/$U67,IF((GB$56-Voorblad!$F$41)/$U67-SUM($EE67:GA67)=1,1,0))))</f>
        <v>0</v>
      </c>
      <c r="GC67" s="8">
        <f>IF(GC$56-Voorblad!$F$41&gt;Voorblad!$K$41,0,IF($U67=0,0,IF($U67&lt;1,1/$U67,IF((GC$56-Voorblad!$F$41)/$U67-SUM($EE67:GB67)=1,1,0))))</f>
        <v>0</v>
      </c>
      <c r="GD67" s="8">
        <f>IF(GD$56-Voorblad!$F$41&gt;Voorblad!$K$41,0,IF($U67=0,0,IF($U67&lt;1,1/$U67,IF((GD$56-Voorblad!$F$41)/$U67-SUM($EE67:GC67)=1,1,0))))</f>
        <v>0</v>
      </c>
      <c r="GE67" s="8">
        <f>IF(GE$56-Voorblad!$F$41&gt;Voorblad!$K$41,0,IF($U67=0,0,IF($U67&lt;1,1/$U67,IF((GE$56-Voorblad!$F$41)/$U67-SUM($EE67:GD67)=1,1,0))))</f>
        <v>0</v>
      </c>
      <c r="GF67" s="8">
        <f>IF(GF$56-Voorblad!$F$41&gt;Voorblad!$K$41,0,IF($U67=0,0,IF($U67&lt;1,1/$U67,IF((GF$56-Voorblad!$F$41)/$U67-SUM($EE67:GE67)=1,1,0))))</f>
        <v>0</v>
      </c>
      <c r="GG67" s="8">
        <f>IF(GG$56-Voorblad!$F$41&gt;Voorblad!$K$41,0,IF($U67=0,0,IF($U67&lt;1,1/$U67,IF((GG$56-Voorblad!$F$41)/$U67-SUM($EE67:GF67)=1,1,0))))</f>
        <v>0</v>
      </c>
      <c r="GH67" s="8">
        <f>IF(GH$56-Voorblad!$F$41&gt;Voorblad!$K$41,0,IF($U67=0,0,IF($U67&lt;1,1/$U67,IF((GH$56-Voorblad!$F$41)/$U67-SUM($EE67:GG67)=1,1,0))))</f>
        <v>0</v>
      </c>
      <c r="GI67" s="8">
        <f>IF(GI$56-Voorblad!$F$41&gt;Voorblad!$K$41,0,IF($U67=0,0,IF($U67&lt;1,1/$U67,IF((GI$56-Voorblad!$F$41)/$U67-SUM($EE67:GH67)=1,1,0))))</f>
        <v>0</v>
      </c>
      <c r="GJ67" s="8">
        <f>IF(GJ$56-Voorblad!$F$41&gt;Voorblad!$K$41,0,IF($U67=0,0,IF($U67&lt;1,1/$U67,IF((GJ$56-Voorblad!$F$41)/$U67-SUM($EE67:GI67)=1,1,0))))</f>
        <v>0</v>
      </c>
      <c r="GK67" s="8">
        <f>IF(GK$56-Voorblad!$F$41&gt;Voorblad!$K$41,0,IF($U67=0,0,IF($U67&lt;1,1/$U67,IF((GK$56-Voorblad!$F$41)/$U67-SUM($EE67:GJ67)=1,1,0))))</f>
        <v>0</v>
      </c>
      <c r="GL67" s="8">
        <f>IF(GL$56-Voorblad!$F$41&gt;Voorblad!$K$41,0,IF($U67=0,0,IF($U67&lt;1,1/$U67,IF((GL$56-Voorblad!$F$41)/$U67-SUM($EE67:GK67)=1,1,0))))</f>
        <v>0</v>
      </c>
      <c r="GM67" s="8">
        <f>IF(GM$56-Voorblad!$F$41&gt;Voorblad!$K$41,0,IF($U67=0,0,IF($U67&lt;1,1/$U67,IF((GM$56-Voorblad!$F$41)/$U67-SUM($EE67:GL67)=1,1,0))))</f>
        <v>0</v>
      </c>
      <c r="GN67" s="8">
        <f>IF(GN$56-Voorblad!$F$41&gt;Voorblad!$K$41,0,IF($U67=0,0,IF($U67&lt;1,1/$U67,IF((GN$56-Voorblad!$F$41)/$U67-SUM($EE67:GM67)=1,1,0))))</f>
        <v>1</v>
      </c>
      <c r="GO67" s="8">
        <f>IF(GO$56-Voorblad!$F$41&gt;Voorblad!$K$41,0,IF($U67=0,0,IF($U67&lt;1,1/$U67,IF((GO$56-Voorblad!$F$41)/$U67-SUM($EE67:GN67)=1,1,0))))</f>
        <v>0</v>
      </c>
      <c r="GP67" s="8">
        <f>IF(GP$56-Voorblad!$F$41&gt;Voorblad!$K$41,0,IF($U67=0,0,IF($U67&lt;1,1/$U67,IF((GP$56-Voorblad!$F$41)/$U67-SUM($EE67:GO67)=1,1,0))))</f>
        <v>0</v>
      </c>
      <c r="GQ67" s="8">
        <f>IF(GQ$56-Voorblad!$F$41&gt;Voorblad!$K$41,0,IF($U67=0,0,IF($U67&lt;1,1/$U67,IF((GQ$56-Voorblad!$F$41)/$U67-SUM($EE67:GP67)=1,1,0))))</f>
        <v>0</v>
      </c>
      <c r="GR67" s="8">
        <f>IF(GR$56-Voorblad!$F$41&gt;Voorblad!$K$41,0,IF($U67=0,0,IF($U67&lt;1,1/$U67,IF((GR$56-Voorblad!$F$41)/$U67-SUM($EE67:GQ67)=1,1,0))))</f>
        <v>0</v>
      </c>
      <c r="GS67" s="8">
        <f>IF(GS$56-Voorblad!$F$41&gt;Voorblad!$K$41,0,IF($U67=0,0,IF($U67&lt;1,1/$U67,IF((GS$56-Voorblad!$F$41)/$U67-SUM($EE67:GR67)=1,1,0))))</f>
        <v>0</v>
      </c>
      <c r="GT67" s="8">
        <f>IF(GT$56-Voorblad!$F$41&gt;Voorblad!$K$41,0,IF($U67=0,0,IF($U67&lt;1,1/$U67,IF((GT$56-Voorblad!$F$41)/$U67-SUM($EE67:GS67)=1,1,0))))</f>
        <v>0</v>
      </c>
      <c r="GU67" s="8">
        <f>IF(GU$56-Voorblad!$F$41&gt;Voorblad!$K$41,0,IF($U67=0,0,IF($U67&lt;1,1/$U67,IF((GU$56-Voorblad!$F$41)/$U67-SUM($EE67:GT67)=1,1,0))))</f>
        <v>0</v>
      </c>
      <c r="GV67" s="8">
        <f>IF(GV$56-Voorblad!$F$41&gt;Voorblad!$K$41,0,IF($U67=0,0,IF($U67&lt;1,1/$U67,IF((GV$56-Voorblad!$F$41)/$U67-SUM($EE67:GU67)=1,1,0))))</f>
        <v>0</v>
      </c>
      <c r="GW67" s="8">
        <f>IF(GW$56-Voorblad!$F$41&gt;Voorblad!$K$41,0,IF($U67=0,0,IF($U67&lt;1,1/$U67,IF((GW$56-Voorblad!$F$41)/$U67-SUM($EE67:GV67)=1,1,0))))</f>
        <v>0</v>
      </c>
      <c r="GX67" s="8">
        <f>IF(GX$56-Voorblad!$F$41&gt;Voorblad!$K$41,0,IF($U67=0,0,IF($U67&lt;1,1/$U67,IF((GX$56-Voorblad!$F$41)/$U67-SUM($EE67:GW67)=1,1,0))))</f>
        <v>0</v>
      </c>
      <c r="GY67" s="8">
        <f>IF(GY$56-Voorblad!$F$41&gt;Voorblad!$K$41,0,IF($U67=0,0,IF($U67&lt;1,1/$U67,IF((GY$56-Voorblad!$F$41)/$U67-SUM($EE67:GX67)=1,1,0))))</f>
        <v>0</v>
      </c>
      <c r="GZ67" s="8">
        <f>IF(GZ$56-Voorblad!$F$41&gt;Voorblad!$K$41,0,IF($U67=0,0,IF($U67&lt;1,1/$U67,IF((GZ$56-Voorblad!$F$41)/$U67-SUM($EE67:GY67)=1,1,0))))</f>
        <v>0</v>
      </c>
      <c r="HA67" s="8">
        <f>IF(HA$56-Voorblad!$F$41&gt;Voorblad!$K$41,0,IF($U67=0,0,IF($U67&lt;1,1/$U67,IF((HA$56-Voorblad!$F$41)/$U67-SUM($EE67:GZ67)=1,1,0))))</f>
        <v>0</v>
      </c>
      <c r="HB67" s="8">
        <f>IF(HB$56-Voorblad!$F$41&gt;Voorblad!$K$41,0,IF($U67=0,0,IF($U67&lt;1,1/$U67,IF((HB$56-Voorblad!$F$41)/$U67-SUM($EE67:HA67)=1,1,0))))</f>
        <v>0</v>
      </c>
      <c r="HC67" s="8">
        <f>IF(HC$56-Voorblad!$F$41&gt;Voorblad!$K$41,0,IF($U67=0,0,IF($U67&lt;1,1/$U67,IF((HC$56-Voorblad!$F$41)/$U67-SUM($EE67:HB67)=1,1,0))))</f>
        <v>0</v>
      </c>
      <c r="HD67" s="8">
        <f>IF(HD$56-Voorblad!$F$41&gt;Voorblad!$K$41,0,IF($U67=0,0,IF($U67&lt;1,1/$U67,IF((HD$56-Voorblad!$F$41)/$U67-SUM($EE67:HC67)=1,1,0))))</f>
        <v>0</v>
      </c>
      <c r="HE67" s="8">
        <f>IF(HE$56-Voorblad!$F$41&gt;Voorblad!$K$41,0,IF($U67=0,0,IF($U67&lt;1,1/$U67,IF((HE$56-Voorblad!$F$41)/$U67-SUM($EE67:HD67)=1,1,0))))</f>
        <v>0</v>
      </c>
      <c r="HF67" s="8">
        <f>IF(HF$56-Voorblad!$F$41&gt;Voorblad!$K$41,0,IF($U67=0,0,IF($U67&lt;1,1/$U67,IF((HF$56-Voorblad!$F$41)/$U67-SUM($EE67:HE67)=1,1,0))))</f>
        <v>0</v>
      </c>
      <c r="HG67" s="8">
        <f>IF(HG$56-Voorblad!$F$41&gt;Voorblad!$K$41,0,IF($U67=0,0,IF($U67&lt;1,1/$U67,IF((HG$56-Voorblad!$F$41)/$U67-SUM($EE67:HF67)=1,1,0))))</f>
        <v>0</v>
      </c>
      <c r="HH67" s="8">
        <f>IF(HH$56-Voorblad!$F$41&gt;Voorblad!$K$41,0,IF($U67=0,0,IF($U67&lt;1,1/$U67,IF((HH$56-Voorblad!$F$41)/$U67-SUM($EE67:HG67)=1,1,0))))</f>
        <v>0</v>
      </c>
      <c r="HI67" s="8">
        <f>IF(HI$56-Voorblad!$F$41&gt;Voorblad!$K$41,0,IF($U67=0,0,IF($U67&lt;1,1/$U67,IF((HI$56-Voorblad!$F$41)/$U67-SUM($EE67:HH67)=1,1,0))))</f>
        <v>0</v>
      </c>
      <c r="HJ67" s="8">
        <f>IF(HJ$56-Voorblad!$F$41&gt;Voorblad!$K$41,0,IF($U67=0,0,IF($U67&lt;1,1/$U67,IF((HJ$56-Voorblad!$F$41)/$U67-SUM($EE67:HI67)=1,1,0))))</f>
        <v>0</v>
      </c>
      <c r="HK67" s="8">
        <f>IF(HK$56-Voorblad!$F$41&gt;Voorblad!$K$41,0,IF($U67=0,0,IF($U67&lt;1,1/$U67,IF((HK$56-Voorblad!$F$41)/$U67-SUM($EE67:HJ67)=1,1,0))))</f>
        <v>0</v>
      </c>
      <c r="HL67" s="8">
        <f>IF(HL$56-Voorblad!$F$41&gt;Voorblad!$K$41,0,IF($U67=0,0,IF($U67&lt;1,1/$U67,IF((HL$56-Voorblad!$F$41)/$U67-SUM($EE67:HK67)=1,1,0))))</f>
        <v>0</v>
      </c>
      <c r="HM67" s="8">
        <f>IF(HM$56-Voorblad!$F$41&gt;Voorblad!$K$41,0,IF($U67=0,0,IF($U67&lt;1,1/$U67,IF((HM$56-Voorblad!$F$41)/$U67-SUM($EE67:HL67)=1,1,0))))</f>
        <v>0</v>
      </c>
      <c r="HN67" s="8">
        <f>IF(HN$56-Voorblad!$F$41&gt;Voorblad!$K$41,0,IF($U67=0,0,IF($U67&lt;1,1/$U67,IF((HN$56-Voorblad!$F$41)/$U67-SUM($EE67:HM67)=1,1,0))))</f>
        <v>0</v>
      </c>
      <c r="HO67" s="8">
        <f>IF(HO$56-Voorblad!$F$41&gt;Voorblad!$K$41,0,IF($U67=0,0,IF($U67&lt;1,1/$U67,IF((HO$56-Voorblad!$F$41)/$U67-SUM($EE67:HN67)=1,1,0))))</f>
        <v>0</v>
      </c>
      <c r="HP67" s="8">
        <f>IF(HP$56-Voorblad!$F$41&gt;Voorblad!$K$41,0,IF($U67=0,0,IF($U67&lt;1,1/$U67,IF((HP$56-Voorblad!$F$41)/$U67-SUM($EE67:HO67)=1,1,0))))</f>
        <v>0</v>
      </c>
      <c r="HQ67" s="8">
        <f>IF(HQ$56-Voorblad!$F$41&gt;Voorblad!$K$41,0,IF($U67=0,0,IF($U67&lt;1,1/$U67,IF((HQ$56-Voorblad!$F$41)/$U67-SUM($EE67:HP67)=1,1,0))))</f>
        <v>0</v>
      </c>
      <c r="HR67" s="8">
        <f>IF(HR$56-Voorblad!$F$41&gt;Voorblad!$K$41,0,IF($U67=0,0,IF($U67&lt;1,1/$U67,IF((HR$56-Voorblad!$F$41)/$U67-SUM($EE67:HQ67)=1,1,0))))</f>
        <v>0</v>
      </c>
      <c r="HS67" s="8">
        <f>IF(HS$56-Voorblad!$F$41&gt;Voorblad!$K$41,0,IF($U67=0,0,IF($U67&lt;1,1/$U67,IF((HS$56-Voorblad!$F$41)/$U67-SUM($EE67:HR67)=1,1,0))))</f>
        <v>0</v>
      </c>
      <c r="HT67" s="8">
        <f>IF(HT$56-Voorblad!$F$41&gt;Voorblad!$K$41,0,IF($U67=0,0,IF($U67&lt;1,1/$U67,IF((HT$56-Voorblad!$F$41)/$U67-SUM($EE67:HS67)=1,1,0))))</f>
        <v>0</v>
      </c>
      <c r="HU67" s="8">
        <f>IF(HU$56-Voorblad!$F$41&gt;Voorblad!$K$41,0,IF($U67=0,0,IF($U67&lt;1,1/$U67,IF((HU$56-Voorblad!$F$41)/$U67-SUM($EE67:HT67)=1,1,0))))</f>
        <v>0</v>
      </c>
      <c r="HV67" s="8">
        <f>IF(HV$56-Voorblad!$F$41&gt;Voorblad!$K$41,0,IF($U67=0,0,IF($U67&lt;1,1/$U67,IF((HV$56-Voorblad!$F$41)/$U67-SUM($EE67:HU67)=1,1,0))))</f>
        <v>0</v>
      </c>
      <c r="HW67" s="8">
        <f>IF(HW$56-Voorblad!$F$41&gt;Voorblad!$K$41,0,IF($U67=0,0,IF($U67&lt;1,1/$U67,IF((HW$56-Voorblad!$F$41)/$U67-SUM($EE67:HV67)=1,1,0))))</f>
        <v>0</v>
      </c>
      <c r="HX67" s="8">
        <f>IF(HX$56-Voorblad!$F$41&gt;Voorblad!$K$41,0,IF($U67=0,0,IF($U67&lt;1,1/$U67,IF((HX$56-Voorblad!$F$41)/$U67-SUM($EE67:HW67)=1,1,0))))</f>
        <v>0</v>
      </c>
      <c r="HY67" s="8">
        <f>IF(HY$56-Voorblad!$F$41&gt;Voorblad!$K$41,0,IF($U67=0,0,IF($U67&lt;1,1/$U67,IF((HY$56-Voorblad!$F$41)/$U67-SUM($EE67:HX67)=1,1,0))))</f>
        <v>0</v>
      </c>
      <c r="HZ67" s="8">
        <f>IF(HZ$56-Voorblad!$F$41&gt;Voorblad!$K$41,0,IF($U67=0,0,IF($U67&lt;1,1/$U67,IF((HZ$56-Voorblad!$F$41)/$U67-SUM($EE67:HY67)=1,1,0))))</f>
        <v>0</v>
      </c>
      <c r="IA67" s="8">
        <f>IF(IA$56-Voorblad!$F$41&gt;Voorblad!$K$41,0,IF($U67=0,0,IF($U67&lt;1,1/$U67,IF((IA$56-Voorblad!$F$41)/$U67-SUM($EE67:HZ67)=1,1,0))))</f>
        <v>0</v>
      </c>
      <c r="IB67" s="8">
        <f>IF(IB$56-Voorblad!$F$41&gt;Voorblad!$K$41,0,IF($U67=0,0,IF($U67&lt;1,1/$U67,IF((IB$56-Voorblad!$F$41)/$U67-SUM($EE67:IA67)=1,1,0))))</f>
        <v>0</v>
      </c>
    </row>
    <row r="68" spans="2:236" ht="12" hidden="1" customHeight="1" outlineLevel="1" x14ac:dyDescent="0.25">
      <c r="B68" s="1">
        <v>3</v>
      </c>
      <c r="F68" s="1" t="s">
        <v>23</v>
      </c>
      <c r="I68" s="1" t="s">
        <v>277</v>
      </c>
      <c r="K68" s="14" t="s">
        <v>95</v>
      </c>
      <c r="L68" s="14"/>
      <c r="M68" s="14"/>
      <c r="N68" s="3"/>
      <c r="O68" s="1" t="s">
        <v>178</v>
      </c>
      <c r="P68" s="1" t="s">
        <v>177</v>
      </c>
      <c r="Q68" s="81">
        <v>0</v>
      </c>
      <c r="R68" s="1" t="s">
        <v>35</v>
      </c>
      <c r="S68" s="21">
        <f>$H$20*75</f>
        <v>132.75</v>
      </c>
      <c r="T68" s="1">
        <f t="shared" si="10"/>
        <v>0</v>
      </c>
      <c r="U68" s="14">
        <v>15</v>
      </c>
      <c r="V68" s="14"/>
      <c r="Y68" s="9">
        <f t="shared" ref="Y68:Y73" si="15">SUM(AE68:EB68)</f>
        <v>0</v>
      </c>
      <c r="Z68" s="82"/>
      <c r="AA68" s="82"/>
      <c r="AC68" s="9">
        <f>$Y68*(Voorblad!$K$44*(1+Voorblad!$K$44)^Voorblad!$K$41)/((1+Voorblad!$K$44)^Voorblad!$K$41-1)</f>
        <v>0</v>
      </c>
      <c r="AE68" s="9">
        <f>EF68*($Q68*$S68)/(1+Voorblad!$K$44)^(AE$56-Voorblad!$F$41)</f>
        <v>0</v>
      </c>
      <c r="AF68" s="9">
        <f>EG68*($Q68*$S68)/(1+Voorblad!$K$44)^(AF$56-Voorblad!$F$41)</f>
        <v>0</v>
      </c>
      <c r="AG68" s="9">
        <f>EH68*($Q68*$S68)/(1+Voorblad!$K$44)^(AG$56-Voorblad!$F$41)</f>
        <v>0</v>
      </c>
      <c r="AH68" s="9">
        <f>EI68*($Q68*$S68)/(1+Voorblad!$K$44)^(AH$56-Voorblad!$F$41)</f>
        <v>0</v>
      </c>
      <c r="AI68" s="9">
        <f>EJ68*($Q68*$S68)/(1+Voorblad!$K$44)^(AI$56-Voorblad!$F$41)</f>
        <v>0</v>
      </c>
      <c r="AJ68" s="9">
        <f>EK68*($Q68*$S68)/(1+Voorblad!$K$44)^(AJ$56-Voorblad!$F$41)</f>
        <v>0</v>
      </c>
      <c r="AK68" s="9">
        <f>EL68*($Q68*$S68)/(1+Voorblad!$K$44)^(AK$56-Voorblad!$F$41)</f>
        <v>0</v>
      </c>
      <c r="AL68" s="9">
        <f>EM68*($Q68*$S68)/(1+Voorblad!$K$44)^(AL$56-Voorblad!$F$41)</f>
        <v>0</v>
      </c>
      <c r="AM68" s="9">
        <f>EN68*($Q68*$S68)/(1+Voorblad!$K$44)^(AM$56-Voorblad!$F$41)</f>
        <v>0</v>
      </c>
      <c r="AN68" s="9">
        <f>EO68*($Q68*$S68)/(1+Voorblad!$K$44)^(AN$56-Voorblad!$F$41)</f>
        <v>0</v>
      </c>
      <c r="AO68" s="9">
        <f>EP68*($Q68*$S68)/(1+Voorblad!$K$44)^(AO$56-Voorblad!$F$41)</f>
        <v>0</v>
      </c>
      <c r="AP68" s="9">
        <f>EQ68*($Q68*$S68)/(1+Voorblad!$K$44)^(AP$56-Voorblad!$F$41)</f>
        <v>0</v>
      </c>
      <c r="AQ68" s="9">
        <f>ER68*($Q68*$S68)/(1+Voorblad!$K$44)^(AQ$56-Voorblad!$F$41)</f>
        <v>0</v>
      </c>
      <c r="AR68" s="9">
        <f>ES68*($Q68*$S68)/(1+Voorblad!$K$44)^(AR$56-Voorblad!$F$41)</f>
        <v>0</v>
      </c>
      <c r="AS68" s="9">
        <f>ET68*($Q68*$S68)/(1+Voorblad!$K$44)^(AS$56-Voorblad!$F$41)</f>
        <v>0</v>
      </c>
      <c r="AT68" s="9">
        <f>EU68*($Q68*$S68)/(1+Voorblad!$K$44)^(AT$56-Voorblad!$F$41)</f>
        <v>0</v>
      </c>
      <c r="AU68" s="9">
        <f>EV68*($Q68*$S68)/(1+Voorblad!$K$44)^(AU$56-Voorblad!$F$41)</f>
        <v>0</v>
      </c>
      <c r="AV68" s="9">
        <f>EW68*($Q68*$S68)/(1+Voorblad!$K$44)^(AV$56-Voorblad!$F$41)</f>
        <v>0</v>
      </c>
      <c r="AW68" s="9">
        <f>EX68*($Q68*$S68)/(1+Voorblad!$K$44)^(AW$56-Voorblad!$F$41)</f>
        <v>0</v>
      </c>
      <c r="AX68" s="9">
        <f>EY68*($Q68*$S68)/(1+Voorblad!$K$44)^(AX$56-Voorblad!$F$41)</f>
        <v>0</v>
      </c>
      <c r="AY68" s="9">
        <f>EZ68*($Q68*$S68)/(1+Voorblad!$K$44)^(AY$56-Voorblad!$F$41)</f>
        <v>0</v>
      </c>
      <c r="AZ68" s="9">
        <f>FA68*($Q68*$S68)/(1+Voorblad!$K$44)^(AZ$56-Voorblad!$F$41)</f>
        <v>0</v>
      </c>
      <c r="BA68" s="9">
        <f>FB68*($Q68*$S68)/(1+Voorblad!$K$44)^(BA$56-Voorblad!$F$41)</f>
        <v>0</v>
      </c>
      <c r="BB68" s="9">
        <f>FC68*($Q68*$S68)/(1+Voorblad!$K$44)^(BB$56-Voorblad!$F$41)</f>
        <v>0</v>
      </c>
      <c r="BC68" s="9">
        <f>FD68*($Q68*$S68)/(1+Voorblad!$K$44)^(BC$56-Voorblad!$F$41)</f>
        <v>0</v>
      </c>
      <c r="BD68" s="9">
        <f>FE68*($Q68*$S68)/(1+Voorblad!$K$44)^(BD$56-Voorblad!$F$41)</f>
        <v>0</v>
      </c>
      <c r="BE68" s="9">
        <f>FF68*($Q68*$S68)/(1+Voorblad!$K$44)^(BE$56-Voorblad!$F$41)</f>
        <v>0</v>
      </c>
      <c r="BF68" s="9">
        <f>FG68*($Q68*$S68)/(1+Voorblad!$K$44)^(BF$56-Voorblad!$F$41)</f>
        <v>0</v>
      </c>
      <c r="BG68" s="9">
        <f>FH68*($Q68*$S68)/(1+Voorblad!$K$44)^(BG$56-Voorblad!$F$41)</f>
        <v>0</v>
      </c>
      <c r="BH68" s="9">
        <f>FI68*($Q68*$S68)/(1+Voorblad!$K$44)^(BH$56-Voorblad!$F$41)</f>
        <v>0</v>
      </c>
      <c r="BI68" s="9">
        <f>FJ68*($Q68*$S68)/(1+Voorblad!$K$44)^(BI$56-Voorblad!$F$41)</f>
        <v>0</v>
      </c>
      <c r="BJ68" s="9">
        <f>FK68*($Q68*$S68)/(1+Voorblad!$K$44)^(BJ$56-Voorblad!$F$41)</f>
        <v>0</v>
      </c>
      <c r="BK68" s="9">
        <f>FL68*($Q68*$S68)/(1+Voorblad!$K$44)^(BK$56-Voorblad!$F$41)</f>
        <v>0</v>
      </c>
      <c r="BL68" s="9">
        <f>FM68*($Q68*$S68)/(1+Voorblad!$K$44)^(BL$56-Voorblad!$F$41)</f>
        <v>0</v>
      </c>
      <c r="BM68" s="9">
        <f>FN68*($Q68*$S68)/(1+Voorblad!$K$44)^(BM$56-Voorblad!$F$41)</f>
        <v>0</v>
      </c>
      <c r="BN68" s="9">
        <f>FO68*($Q68*$S68)/(1+Voorblad!$K$44)^(BN$56-Voorblad!$F$41)</f>
        <v>0</v>
      </c>
      <c r="BO68" s="9">
        <f>FP68*($Q68*$S68)/(1+Voorblad!$K$44)^(BO$56-Voorblad!$F$41)</f>
        <v>0</v>
      </c>
      <c r="BP68" s="9">
        <f>FQ68*($Q68*$S68)/(1+Voorblad!$K$44)^(BP$56-Voorblad!$F$41)</f>
        <v>0</v>
      </c>
      <c r="BQ68" s="9">
        <f>FR68*($Q68*$S68)/(1+Voorblad!$K$44)^(BQ$56-Voorblad!$F$41)</f>
        <v>0</v>
      </c>
      <c r="BR68" s="9">
        <f>FS68*($Q68*$S68)/(1+Voorblad!$K$44)^(BR$56-Voorblad!$F$41)</f>
        <v>0</v>
      </c>
      <c r="BS68" s="9">
        <f>FT68*($Q68*$S68)/(1+Voorblad!$K$44)^(BS$56-Voorblad!$F$41)</f>
        <v>0</v>
      </c>
      <c r="BT68" s="9">
        <f>FU68*($Q68*$S68)/(1+Voorblad!$K$44)^(BT$56-Voorblad!$F$41)</f>
        <v>0</v>
      </c>
      <c r="BU68" s="9">
        <f>FV68*($Q68*$S68)/(1+Voorblad!$K$44)^(BU$56-Voorblad!$F$41)</f>
        <v>0</v>
      </c>
      <c r="BV68" s="9">
        <f>FW68*($Q68*$S68)/(1+Voorblad!$K$44)^(BV$56-Voorblad!$F$41)</f>
        <v>0</v>
      </c>
      <c r="BW68" s="9">
        <f>FX68*($Q68*$S68)/(1+Voorblad!$K$44)^(BW$56-Voorblad!$F$41)</f>
        <v>0</v>
      </c>
      <c r="BX68" s="9">
        <f>FY68*($Q68*$S68)/(1+Voorblad!$K$44)^(BX$56-Voorblad!$F$41)</f>
        <v>0</v>
      </c>
      <c r="BY68" s="9">
        <f>FZ68*($Q68*$S68)/(1+Voorblad!$K$44)^(BY$56-Voorblad!$F$41)</f>
        <v>0</v>
      </c>
      <c r="BZ68" s="9">
        <f>GA68*($Q68*$S68)/(1+Voorblad!$K$44)^(BZ$56-Voorblad!$F$41)</f>
        <v>0</v>
      </c>
      <c r="CA68" s="9">
        <f>GB68*($Q68*$S68)/(1+Voorblad!$K$44)^(CA$56-Voorblad!$F$41)</f>
        <v>0</v>
      </c>
      <c r="CB68" s="9">
        <f>GC68*($Q68*$S68)/(1+Voorblad!$K$44)^(CB$56-Voorblad!$F$41)</f>
        <v>0</v>
      </c>
      <c r="CC68" s="9">
        <f>GD68*($Q68*$S68)/(1+Voorblad!$K$44)^(CC$56-Voorblad!$F$41)</f>
        <v>0</v>
      </c>
      <c r="CD68" s="9">
        <f>GE68*($Q68*$S68)/(1+Voorblad!$K$44)^(CD$56-Voorblad!$F$41)</f>
        <v>0</v>
      </c>
      <c r="CE68" s="9">
        <f>GF68*($Q68*$S68)/(1+Voorblad!$K$44)^(CE$56-Voorblad!$F$41)</f>
        <v>0</v>
      </c>
      <c r="CF68" s="9">
        <f>GG68*($Q68*$S68)/(1+Voorblad!$K$44)^(CF$56-Voorblad!$F$41)</f>
        <v>0</v>
      </c>
      <c r="CG68" s="9">
        <f>GH68*($Q68*$S68)/(1+Voorblad!$K$44)^(CG$56-Voorblad!$F$41)</f>
        <v>0</v>
      </c>
      <c r="CH68" s="9">
        <f>GI68*($Q68*$S68)/(1+Voorblad!$K$44)^(CH$56-Voorblad!$F$41)</f>
        <v>0</v>
      </c>
      <c r="CI68" s="9">
        <f>GJ68*($Q68*$S68)/(1+Voorblad!$K$44)^(CI$56-Voorblad!$F$41)</f>
        <v>0</v>
      </c>
      <c r="CJ68" s="9">
        <f>GK68*($Q68*$S68)/(1+Voorblad!$K$44)^(CJ$56-Voorblad!$F$41)</f>
        <v>0</v>
      </c>
      <c r="CK68" s="9">
        <f>GL68*($Q68*$S68)/(1+Voorblad!$K$44)^(CK$56-Voorblad!$F$41)</f>
        <v>0</v>
      </c>
      <c r="CL68" s="9">
        <f>GM68*($Q68*$S68)/(1+Voorblad!$K$44)^(CL$56-Voorblad!$F$41)</f>
        <v>0</v>
      </c>
      <c r="CM68" s="9">
        <f>GN68*($Q68*$S68)/(1+Voorblad!$K$44)^(CM$56-Voorblad!$F$41)</f>
        <v>0</v>
      </c>
      <c r="CN68" s="9">
        <f>GO68*($Q68*$S68)/(1+Voorblad!$K$44)^(CN$56-Voorblad!$F$41)</f>
        <v>0</v>
      </c>
      <c r="CO68" s="9">
        <f>GP68*($Q68*$S68)/(1+Voorblad!$K$44)^(CO$56-Voorblad!$F$41)</f>
        <v>0</v>
      </c>
      <c r="CP68" s="9">
        <f>GQ68*($Q68*$S68)/(1+Voorblad!$K$44)^(CP$56-Voorblad!$F$41)</f>
        <v>0</v>
      </c>
      <c r="CQ68" s="9">
        <f>GR68*($Q68*$S68)/(1+Voorblad!$K$44)^(CQ$56-Voorblad!$F$41)</f>
        <v>0</v>
      </c>
      <c r="CR68" s="9">
        <f>GS68*($Q68*$S68)/(1+Voorblad!$K$44)^(CR$56-Voorblad!$F$41)</f>
        <v>0</v>
      </c>
      <c r="CS68" s="9">
        <f>GT68*($Q68*$S68)/(1+Voorblad!$K$44)^(CS$56-Voorblad!$F$41)</f>
        <v>0</v>
      </c>
      <c r="CT68" s="9">
        <f>GU68*($Q68*$S68)/(1+Voorblad!$K$44)^(CT$56-Voorblad!$F$41)</f>
        <v>0</v>
      </c>
      <c r="CU68" s="9">
        <f>GV68*($Q68*$S68)/(1+Voorblad!$K$44)^(CU$56-Voorblad!$F$41)</f>
        <v>0</v>
      </c>
      <c r="CV68" s="9">
        <f>GW68*($Q68*$S68)/(1+Voorblad!$K$44)^(CV$56-Voorblad!$F$41)</f>
        <v>0</v>
      </c>
      <c r="CW68" s="9">
        <f>GX68*($Q68*$S68)/(1+Voorblad!$K$44)^(CW$56-Voorblad!$F$41)</f>
        <v>0</v>
      </c>
      <c r="CX68" s="9">
        <f>GY68*($Q68*$S68)/(1+Voorblad!$K$44)^(CX$56-Voorblad!$F$41)</f>
        <v>0</v>
      </c>
      <c r="CY68" s="9">
        <f>GZ68*($Q68*$S68)/(1+Voorblad!$K$44)^(CY$56-Voorblad!$F$41)</f>
        <v>0</v>
      </c>
      <c r="CZ68" s="9">
        <f>HA68*($Q68*$S68)/(1+Voorblad!$K$44)^(CZ$56-Voorblad!$F$41)</f>
        <v>0</v>
      </c>
      <c r="DA68" s="9">
        <f>HB68*($Q68*$S68)/(1+Voorblad!$K$44)^(DA$56-Voorblad!$F$41)</f>
        <v>0</v>
      </c>
      <c r="DB68" s="9">
        <f>HC68*($Q68*$S68)/(1+Voorblad!$K$44)^(DB$56-Voorblad!$F$41)</f>
        <v>0</v>
      </c>
      <c r="DC68" s="9">
        <f>HD68*($Q68*$S68)/(1+Voorblad!$K$44)^(DC$56-Voorblad!$F$41)</f>
        <v>0</v>
      </c>
      <c r="DD68" s="9">
        <f>HE68*($Q68*$S68)/(1+Voorblad!$K$44)^(DD$56-Voorblad!$F$41)</f>
        <v>0</v>
      </c>
      <c r="DE68" s="9">
        <f>HF68*($Q68*$S68)/(1+Voorblad!$K$44)^(DE$56-Voorblad!$F$41)</f>
        <v>0</v>
      </c>
      <c r="DF68" s="9">
        <f>HG68*($Q68*$S68)/(1+Voorblad!$K$44)^(DF$56-Voorblad!$F$41)</f>
        <v>0</v>
      </c>
      <c r="DG68" s="9">
        <f>HH68*($Q68*$S68)/(1+Voorblad!$K$44)^(DG$56-Voorblad!$F$41)</f>
        <v>0</v>
      </c>
      <c r="DH68" s="9">
        <f>HI68*($Q68*$S68)/(1+Voorblad!$K$44)^(DH$56-Voorblad!$F$41)</f>
        <v>0</v>
      </c>
      <c r="DI68" s="9">
        <f>HJ68*($Q68*$S68)/(1+Voorblad!$K$44)^(DI$56-Voorblad!$F$41)</f>
        <v>0</v>
      </c>
      <c r="DJ68" s="9">
        <f>HK68*($Q68*$S68)/(1+Voorblad!$K$44)^(DJ$56-Voorblad!$F$41)</f>
        <v>0</v>
      </c>
      <c r="DK68" s="9">
        <f>HL68*($Q68*$S68)/(1+Voorblad!$K$44)^(DK$56-Voorblad!$F$41)</f>
        <v>0</v>
      </c>
      <c r="DL68" s="9">
        <f>HM68*($Q68*$S68)/(1+Voorblad!$K$44)^(DL$56-Voorblad!$F$41)</f>
        <v>0</v>
      </c>
      <c r="DM68" s="9">
        <f>HN68*($Q68*$S68)/(1+Voorblad!$K$44)^(DM$56-Voorblad!$F$41)</f>
        <v>0</v>
      </c>
      <c r="DN68" s="9">
        <f>HO68*($Q68*$S68)/(1+Voorblad!$K$44)^(DN$56-Voorblad!$F$41)</f>
        <v>0</v>
      </c>
      <c r="DO68" s="9">
        <f>HP68*($Q68*$S68)/(1+Voorblad!$K$44)^(DO$56-Voorblad!$F$41)</f>
        <v>0</v>
      </c>
      <c r="DP68" s="9">
        <f>HQ68*($Q68*$S68)/(1+Voorblad!$K$44)^(DP$56-Voorblad!$F$41)</f>
        <v>0</v>
      </c>
      <c r="DQ68" s="9">
        <f>HR68*($Q68*$S68)/(1+Voorblad!$K$44)^(DQ$56-Voorblad!$F$41)</f>
        <v>0</v>
      </c>
      <c r="DR68" s="9">
        <f>HS68*($Q68*$S68)/(1+Voorblad!$K$44)^(DR$56-Voorblad!$F$41)</f>
        <v>0</v>
      </c>
      <c r="DS68" s="9">
        <f>HT68*($Q68*$S68)/(1+Voorblad!$K$44)^(DS$56-Voorblad!$F$41)</f>
        <v>0</v>
      </c>
      <c r="DT68" s="9">
        <f>HU68*($Q68*$S68)/(1+Voorblad!$K$44)^(DT$56-Voorblad!$F$41)</f>
        <v>0</v>
      </c>
      <c r="DU68" s="9">
        <f>HV68*($Q68*$S68)/(1+Voorblad!$K$44)^(DU$56-Voorblad!$F$41)</f>
        <v>0</v>
      </c>
      <c r="DV68" s="9">
        <f>HW68*($Q68*$S68)/(1+Voorblad!$K$44)^(DV$56-Voorblad!$F$41)</f>
        <v>0</v>
      </c>
      <c r="DW68" s="9">
        <f>HX68*($Q68*$S68)/(1+Voorblad!$K$44)^(DW$56-Voorblad!$F$41)</f>
        <v>0</v>
      </c>
      <c r="DX68" s="9">
        <f>HY68*($Q68*$S68)/(1+Voorblad!$K$44)^(DX$56-Voorblad!$F$41)</f>
        <v>0</v>
      </c>
      <c r="DY68" s="9">
        <f>HZ68*($Q68*$S68)/(1+Voorblad!$K$44)^(DY$56-Voorblad!$F$41)</f>
        <v>0</v>
      </c>
      <c r="DZ68" s="9">
        <f>IA68*($Q68*$S68)/(1+Voorblad!$K$44)^(DZ$56-Voorblad!$F$41)</f>
        <v>0</v>
      </c>
      <c r="EA68" s="9">
        <f>IB68*($Q68*$S68)/(1+Voorblad!$K$44)^(EA$56-Voorblad!$F$41)</f>
        <v>0</v>
      </c>
      <c r="EB68" s="9">
        <f>IC68*($Q68*$S68)/(1+Voorblad!$K$44)^(EB$56-Voorblad!$F$41)</f>
        <v>0</v>
      </c>
      <c r="EE68" s="8">
        <v>0</v>
      </c>
      <c r="EF68" s="8">
        <f>IF(EF$56-Voorblad!$F$41&gt;Voorblad!$K$41,0,IF($U68=0,0,IF($U68&lt;1,1/$U68,IF((EF$56-Voorblad!$F$41)/$U68-SUM($EE68:EE68)=1,1,0))))</f>
        <v>0</v>
      </c>
      <c r="EG68" s="8">
        <f>IF(EG$56-Voorblad!$F$41&gt;Voorblad!$K$41,0,IF($U68=0,0,IF($U68&lt;1,1/$U68,IF((EG$56-Voorblad!$F$41)/$U68-SUM($EE68:EF68)=1,1,0))))</f>
        <v>0</v>
      </c>
      <c r="EH68" s="8">
        <f>IF(EH$56-Voorblad!$F$41&gt;Voorblad!$K$41,0,IF($U68=0,0,IF($U68&lt;1,1/$U68,IF((EH$56-Voorblad!$F$41)/$U68-SUM($EE68:EG68)=1,1,0))))</f>
        <v>0</v>
      </c>
      <c r="EI68" s="8">
        <f>IF(EI$56-Voorblad!$F$41&gt;Voorblad!$K$41,0,IF($U68=0,0,IF($U68&lt;1,1/$U68,IF((EI$56-Voorblad!$F$41)/$U68-SUM($EE68:EH68)=1,1,0))))</f>
        <v>0</v>
      </c>
      <c r="EJ68" s="8">
        <f>IF(EJ$56-Voorblad!$F$41&gt;Voorblad!$K$41,0,IF($U68=0,0,IF($U68&lt;1,1/$U68,IF((EJ$56-Voorblad!$F$41)/$U68-SUM($EE68:EI68)=1,1,0))))</f>
        <v>0</v>
      </c>
      <c r="EK68" s="8">
        <f>IF(EK$56-Voorblad!$F$41&gt;Voorblad!$K$41,0,IF($U68=0,0,IF($U68&lt;1,1/$U68,IF((EK$56-Voorblad!$F$41)/$U68-SUM($EE68:EJ68)=1,1,0))))</f>
        <v>0</v>
      </c>
      <c r="EL68" s="8">
        <f>IF(EL$56-Voorblad!$F$41&gt;Voorblad!$K$41,0,IF($U68=0,0,IF($U68&lt;1,1/$U68,IF((EL$56-Voorblad!$F$41)/$U68-SUM($EE68:EK68)=1,1,0))))</f>
        <v>0</v>
      </c>
      <c r="EM68" s="8">
        <f>IF(EM$56-Voorblad!$F$41&gt;Voorblad!$K$41,0,IF($U68=0,0,IF($U68&lt;1,1/$U68,IF((EM$56-Voorblad!$F$41)/$U68-SUM($EE68:EL68)=1,1,0))))</f>
        <v>0</v>
      </c>
      <c r="EN68" s="8">
        <f>IF(EN$56-Voorblad!$F$41&gt;Voorblad!$K$41,0,IF($U68=0,0,IF($U68&lt;1,1/$U68,IF((EN$56-Voorblad!$F$41)/$U68-SUM($EE68:EM68)=1,1,0))))</f>
        <v>0</v>
      </c>
      <c r="EO68" s="8">
        <f>IF(EO$56-Voorblad!$F$41&gt;Voorblad!$K$41,0,IF($U68=0,0,IF($U68&lt;1,1/$U68,IF((EO$56-Voorblad!$F$41)/$U68-SUM($EE68:EN68)=1,1,0))))</f>
        <v>0</v>
      </c>
      <c r="EP68" s="8">
        <f>IF(EP$56-Voorblad!$F$41&gt;Voorblad!$K$41,0,IF($U68=0,0,IF($U68&lt;1,1/$U68,IF((EP$56-Voorblad!$F$41)/$U68-SUM($EE68:EO68)=1,1,0))))</f>
        <v>0</v>
      </c>
      <c r="EQ68" s="8">
        <f>IF(EQ$56-Voorblad!$F$41&gt;Voorblad!$K$41,0,IF($U68=0,0,IF($U68&lt;1,1/$U68,IF((EQ$56-Voorblad!$F$41)/$U68-SUM($EE68:EP68)=1,1,0))))</f>
        <v>0</v>
      </c>
      <c r="ER68" s="8">
        <f>IF(ER$56-Voorblad!$F$41&gt;Voorblad!$K$41,0,IF($U68=0,0,IF($U68&lt;1,1/$U68,IF((ER$56-Voorblad!$F$41)/$U68-SUM($EE68:EQ68)=1,1,0))))</f>
        <v>0</v>
      </c>
      <c r="ES68" s="8">
        <f>IF(ES$56-Voorblad!$F$41&gt;Voorblad!$K$41,0,IF($U68=0,0,IF($U68&lt;1,1/$U68,IF((ES$56-Voorblad!$F$41)/$U68-SUM($EE68:ER68)=1,1,0))))</f>
        <v>0</v>
      </c>
      <c r="ET68" s="8">
        <f>IF(ET$56-Voorblad!$F$41&gt;Voorblad!$K$41,0,IF($U68=0,0,IF($U68&lt;1,1/$U68,IF((ET$56-Voorblad!$F$41)/$U68-SUM($EE68:ES68)=1,1,0))))</f>
        <v>0</v>
      </c>
      <c r="EU68" s="8">
        <f>IF(EU$56-Voorblad!$F$41&gt;Voorblad!$K$41,0,IF($U68=0,0,IF($U68&lt;1,1/$U68,IF((EU$56-Voorblad!$F$41)/$U68-SUM($EE68:ET68)=1,1,0))))</f>
        <v>1</v>
      </c>
      <c r="EV68" s="8">
        <f>IF(EV$56-Voorblad!$F$41&gt;Voorblad!$K$41,0,IF($U68=0,0,IF($U68&lt;1,1/$U68,IF((EV$56-Voorblad!$F$41)/$U68-SUM($EE68:EU68)=1,1,0))))</f>
        <v>0</v>
      </c>
      <c r="EW68" s="8">
        <f>IF(EW$56-Voorblad!$F$41&gt;Voorblad!$K$41,0,IF($U68=0,0,IF($U68&lt;1,1/$U68,IF((EW$56-Voorblad!$F$41)/$U68-SUM($EE68:EV68)=1,1,0))))</f>
        <v>0</v>
      </c>
      <c r="EX68" s="8">
        <f>IF(EX$56-Voorblad!$F$41&gt;Voorblad!$K$41,0,IF($U68=0,0,IF($U68&lt;1,1/$U68,IF((EX$56-Voorblad!$F$41)/$U68-SUM($EE68:EW68)=1,1,0))))</f>
        <v>0</v>
      </c>
      <c r="EY68" s="8">
        <f>IF(EY$56-Voorblad!$F$41&gt;Voorblad!$K$41,0,IF($U68=0,0,IF($U68&lt;1,1/$U68,IF((EY$56-Voorblad!$F$41)/$U68-SUM($EE68:EX68)=1,1,0))))</f>
        <v>0</v>
      </c>
      <c r="EZ68" s="8">
        <f>IF(EZ$56-Voorblad!$F$41&gt;Voorblad!$K$41,0,IF($U68=0,0,IF($U68&lt;1,1/$U68,IF((EZ$56-Voorblad!$F$41)/$U68-SUM($EE68:EY68)=1,1,0))))</f>
        <v>0</v>
      </c>
      <c r="FA68" s="8">
        <f>IF(FA$56-Voorblad!$F$41&gt;Voorblad!$K$41,0,IF($U68=0,0,IF($U68&lt;1,1/$U68,IF((FA$56-Voorblad!$F$41)/$U68-SUM($EE68:EZ68)=1,1,0))))</f>
        <v>0</v>
      </c>
      <c r="FB68" s="8">
        <f>IF(FB$56-Voorblad!$F$41&gt;Voorblad!$K$41,0,IF($U68=0,0,IF($U68&lt;1,1/$U68,IF((FB$56-Voorblad!$F$41)/$U68-SUM($EE68:FA68)=1,1,0))))</f>
        <v>0</v>
      </c>
      <c r="FC68" s="8">
        <f>IF(FC$56-Voorblad!$F$41&gt;Voorblad!$K$41,0,IF($U68=0,0,IF($U68&lt;1,1/$U68,IF((FC$56-Voorblad!$F$41)/$U68-SUM($EE68:FB68)=1,1,0))))</f>
        <v>0</v>
      </c>
      <c r="FD68" s="8">
        <f>IF(FD$56-Voorblad!$F$41&gt;Voorblad!$K$41,0,IF($U68=0,0,IF($U68&lt;1,1/$U68,IF((FD$56-Voorblad!$F$41)/$U68-SUM($EE68:FC68)=1,1,0))))</f>
        <v>0</v>
      </c>
      <c r="FE68" s="8">
        <f>IF(FE$56-Voorblad!$F$41&gt;Voorblad!$K$41,0,IF($U68=0,0,IF($U68&lt;1,1/$U68,IF((FE$56-Voorblad!$F$41)/$U68-SUM($EE68:FD68)=1,1,0))))</f>
        <v>0</v>
      </c>
      <c r="FF68" s="8">
        <f>IF(FF$56-Voorblad!$F$41&gt;Voorblad!$K$41,0,IF($U68=0,0,IF($U68&lt;1,1/$U68,IF((FF$56-Voorblad!$F$41)/$U68-SUM($EE68:FE68)=1,1,0))))</f>
        <v>0</v>
      </c>
      <c r="FG68" s="8">
        <f>IF(FG$56-Voorblad!$F$41&gt;Voorblad!$K$41,0,IF($U68=0,0,IF($U68&lt;1,1/$U68,IF((FG$56-Voorblad!$F$41)/$U68-SUM($EE68:FF68)=1,1,0))))</f>
        <v>0</v>
      </c>
      <c r="FH68" s="8">
        <f>IF(FH$56-Voorblad!$F$41&gt;Voorblad!$K$41,0,IF($U68=0,0,IF($U68&lt;1,1/$U68,IF((FH$56-Voorblad!$F$41)/$U68-SUM($EE68:FG68)=1,1,0))))</f>
        <v>0</v>
      </c>
      <c r="FI68" s="8">
        <f>IF(FI$56-Voorblad!$F$41&gt;Voorblad!$K$41,0,IF($U68=0,0,IF($U68&lt;1,1/$U68,IF((FI$56-Voorblad!$F$41)/$U68-SUM($EE68:FH68)=1,1,0))))</f>
        <v>0</v>
      </c>
      <c r="FJ68" s="8">
        <f>IF(FJ$56-Voorblad!$F$41&gt;Voorblad!$K$41,0,IF($U68=0,0,IF($U68&lt;1,1/$U68,IF((FJ$56-Voorblad!$F$41)/$U68-SUM($EE68:FI68)=1,1,0))))</f>
        <v>1</v>
      </c>
      <c r="FK68" s="8">
        <f>IF(FK$56-Voorblad!$F$41&gt;Voorblad!$K$41,0,IF($U68=0,0,IF($U68&lt;1,1/$U68,IF((FK$56-Voorblad!$F$41)/$U68-SUM($EE68:FJ68)=1,1,0))))</f>
        <v>0</v>
      </c>
      <c r="FL68" s="8">
        <f>IF(FL$56-Voorblad!$F$41&gt;Voorblad!$K$41,0,IF($U68=0,0,IF($U68&lt;1,1/$U68,IF((FL$56-Voorblad!$F$41)/$U68-SUM($EE68:FK68)=1,1,0))))</f>
        <v>0</v>
      </c>
      <c r="FM68" s="8">
        <f>IF(FM$56-Voorblad!$F$41&gt;Voorblad!$K$41,0,IF($U68=0,0,IF($U68&lt;1,1/$U68,IF((FM$56-Voorblad!$F$41)/$U68-SUM($EE68:FL68)=1,1,0))))</f>
        <v>0</v>
      </c>
      <c r="FN68" s="8">
        <f>IF(FN$56-Voorblad!$F$41&gt;Voorblad!$K$41,0,IF($U68=0,0,IF($U68&lt;1,1/$U68,IF((FN$56-Voorblad!$F$41)/$U68-SUM($EE68:FM68)=1,1,0))))</f>
        <v>0</v>
      </c>
      <c r="FO68" s="8">
        <f>IF(FO$56-Voorblad!$F$41&gt;Voorblad!$K$41,0,IF($U68=0,0,IF($U68&lt;1,1/$U68,IF((FO$56-Voorblad!$F$41)/$U68-SUM($EE68:FN68)=1,1,0))))</f>
        <v>0</v>
      </c>
      <c r="FP68" s="8">
        <f>IF(FP$56-Voorblad!$F$41&gt;Voorblad!$K$41,0,IF($U68=0,0,IF($U68&lt;1,1/$U68,IF((FP$56-Voorblad!$F$41)/$U68-SUM($EE68:FO68)=1,1,0))))</f>
        <v>0</v>
      </c>
      <c r="FQ68" s="8">
        <f>IF(FQ$56-Voorblad!$F$41&gt;Voorblad!$K$41,0,IF($U68=0,0,IF($U68&lt;1,1/$U68,IF((FQ$56-Voorblad!$F$41)/$U68-SUM($EE68:FP68)=1,1,0))))</f>
        <v>0</v>
      </c>
      <c r="FR68" s="8">
        <f>IF(FR$56-Voorblad!$F$41&gt;Voorblad!$K$41,0,IF($U68=0,0,IF($U68&lt;1,1/$U68,IF((FR$56-Voorblad!$F$41)/$U68-SUM($EE68:FQ68)=1,1,0))))</f>
        <v>0</v>
      </c>
      <c r="FS68" s="8">
        <f>IF(FS$56-Voorblad!$F$41&gt;Voorblad!$K$41,0,IF($U68=0,0,IF($U68&lt;1,1/$U68,IF((FS$56-Voorblad!$F$41)/$U68-SUM($EE68:FR68)=1,1,0))))</f>
        <v>0</v>
      </c>
      <c r="FT68" s="8">
        <f>IF(FT$56-Voorblad!$F$41&gt;Voorblad!$K$41,0,IF($U68=0,0,IF($U68&lt;1,1/$U68,IF((FT$56-Voorblad!$F$41)/$U68-SUM($EE68:FS68)=1,1,0))))</f>
        <v>0</v>
      </c>
      <c r="FU68" s="8">
        <f>IF(FU$56-Voorblad!$F$41&gt;Voorblad!$K$41,0,IF($U68=0,0,IF($U68&lt;1,1/$U68,IF((FU$56-Voorblad!$F$41)/$U68-SUM($EE68:FT68)=1,1,0))))</f>
        <v>0</v>
      </c>
      <c r="FV68" s="8">
        <f>IF(FV$56-Voorblad!$F$41&gt;Voorblad!$K$41,0,IF($U68=0,0,IF($U68&lt;1,1/$U68,IF((FV$56-Voorblad!$F$41)/$U68-SUM($EE68:FU68)=1,1,0))))</f>
        <v>0</v>
      </c>
      <c r="FW68" s="8">
        <f>IF(FW$56-Voorblad!$F$41&gt;Voorblad!$K$41,0,IF($U68=0,0,IF($U68&lt;1,1/$U68,IF((FW$56-Voorblad!$F$41)/$U68-SUM($EE68:FV68)=1,1,0))))</f>
        <v>0</v>
      </c>
      <c r="FX68" s="8">
        <f>IF(FX$56-Voorblad!$F$41&gt;Voorblad!$K$41,0,IF($U68=0,0,IF($U68&lt;1,1/$U68,IF((FX$56-Voorblad!$F$41)/$U68-SUM($EE68:FW68)=1,1,0))))</f>
        <v>0</v>
      </c>
      <c r="FY68" s="8">
        <f>IF(FY$56-Voorblad!$F$41&gt;Voorblad!$K$41,0,IF($U68=0,0,IF($U68&lt;1,1/$U68,IF((FY$56-Voorblad!$F$41)/$U68-SUM($EE68:FX68)=1,1,0))))</f>
        <v>1</v>
      </c>
      <c r="FZ68" s="8">
        <f>IF(FZ$56-Voorblad!$F$41&gt;Voorblad!$K$41,0,IF($U68=0,0,IF($U68&lt;1,1/$U68,IF((FZ$56-Voorblad!$F$41)/$U68-SUM($EE68:FY68)=1,1,0))))</f>
        <v>0</v>
      </c>
      <c r="GA68" s="8">
        <f>IF(GA$56-Voorblad!$F$41&gt;Voorblad!$K$41,0,IF($U68=0,0,IF($U68&lt;1,1/$U68,IF((GA$56-Voorblad!$F$41)/$U68-SUM($EE68:FZ68)=1,1,0))))</f>
        <v>0</v>
      </c>
      <c r="GB68" s="8">
        <f>IF(GB$56-Voorblad!$F$41&gt;Voorblad!$K$41,0,IF($U68=0,0,IF($U68&lt;1,1/$U68,IF((GB$56-Voorblad!$F$41)/$U68-SUM($EE68:GA68)=1,1,0))))</f>
        <v>0</v>
      </c>
      <c r="GC68" s="8">
        <f>IF(GC$56-Voorblad!$F$41&gt;Voorblad!$K$41,0,IF($U68=0,0,IF($U68&lt;1,1/$U68,IF((GC$56-Voorblad!$F$41)/$U68-SUM($EE68:GB68)=1,1,0))))</f>
        <v>0</v>
      </c>
      <c r="GD68" s="8">
        <f>IF(GD$56-Voorblad!$F$41&gt;Voorblad!$K$41,0,IF($U68=0,0,IF($U68&lt;1,1/$U68,IF((GD$56-Voorblad!$F$41)/$U68-SUM($EE68:GC68)=1,1,0))))</f>
        <v>0</v>
      </c>
      <c r="GE68" s="8">
        <f>IF(GE$56-Voorblad!$F$41&gt;Voorblad!$K$41,0,IF($U68=0,0,IF($U68&lt;1,1/$U68,IF((GE$56-Voorblad!$F$41)/$U68-SUM($EE68:GD68)=1,1,0))))</f>
        <v>0</v>
      </c>
      <c r="GF68" s="8">
        <f>IF(GF$56-Voorblad!$F$41&gt;Voorblad!$K$41,0,IF($U68=0,0,IF($U68&lt;1,1/$U68,IF((GF$56-Voorblad!$F$41)/$U68-SUM($EE68:GE68)=1,1,0))))</f>
        <v>0</v>
      </c>
      <c r="GG68" s="8">
        <f>IF(GG$56-Voorblad!$F$41&gt;Voorblad!$K$41,0,IF($U68=0,0,IF($U68&lt;1,1/$U68,IF((GG$56-Voorblad!$F$41)/$U68-SUM($EE68:GF68)=1,1,0))))</f>
        <v>0</v>
      </c>
      <c r="GH68" s="8">
        <f>IF(GH$56-Voorblad!$F$41&gt;Voorblad!$K$41,0,IF($U68=0,0,IF($U68&lt;1,1/$U68,IF((GH$56-Voorblad!$F$41)/$U68-SUM($EE68:GG68)=1,1,0))))</f>
        <v>0</v>
      </c>
      <c r="GI68" s="8">
        <f>IF(GI$56-Voorblad!$F$41&gt;Voorblad!$K$41,0,IF($U68=0,0,IF($U68&lt;1,1/$U68,IF((GI$56-Voorblad!$F$41)/$U68-SUM($EE68:GH68)=1,1,0))))</f>
        <v>0</v>
      </c>
      <c r="GJ68" s="8">
        <f>IF(GJ$56-Voorblad!$F$41&gt;Voorblad!$K$41,0,IF($U68=0,0,IF($U68&lt;1,1/$U68,IF((GJ$56-Voorblad!$F$41)/$U68-SUM($EE68:GI68)=1,1,0))))</f>
        <v>0</v>
      </c>
      <c r="GK68" s="8">
        <f>IF(GK$56-Voorblad!$F$41&gt;Voorblad!$K$41,0,IF($U68=0,0,IF($U68&lt;1,1/$U68,IF((GK$56-Voorblad!$F$41)/$U68-SUM($EE68:GJ68)=1,1,0))))</f>
        <v>0</v>
      </c>
      <c r="GL68" s="8">
        <f>IF(GL$56-Voorblad!$F$41&gt;Voorblad!$K$41,0,IF($U68=0,0,IF($U68&lt;1,1/$U68,IF((GL$56-Voorblad!$F$41)/$U68-SUM($EE68:GK68)=1,1,0))))</f>
        <v>0</v>
      </c>
      <c r="GM68" s="8">
        <f>IF(GM$56-Voorblad!$F$41&gt;Voorblad!$K$41,0,IF($U68=0,0,IF($U68&lt;1,1/$U68,IF((GM$56-Voorblad!$F$41)/$U68-SUM($EE68:GL68)=1,1,0))))</f>
        <v>0</v>
      </c>
      <c r="GN68" s="8">
        <f>IF(GN$56-Voorblad!$F$41&gt;Voorblad!$K$41,0,IF($U68=0,0,IF($U68&lt;1,1/$U68,IF((GN$56-Voorblad!$F$41)/$U68-SUM($EE68:GM68)=1,1,0))))</f>
        <v>1</v>
      </c>
      <c r="GO68" s="8">
        <f>IF(GO$56-Voorblad!$F$41&gt;Voorblad!$K$41,0,IF($U68=0,0,IF($U68&lt;1,1/$U68,IF((GO$56-Voorblad!$F$41)/$U68-SUM($EE68:GN68)=1,1,0))))</f>
        <v>0</v>
      </c>
      <c r="GP68" s="8">
        <f>IF(GP$56-Voorblad!$F$41&gt;Voorblad!$K$41,0,IF($U68=0,0,IF($U68&lt;1,1/$U68,IF((GP$56-Voorblad!$F$41)/$U68-SUM($EE68:GO68)=1,1,0))))</f>
        <v>0</v>
      </c>
      <c r="GQ68" s="8">
        <f>IF(GQ$56-Voorblad!$F$41&gt;Voorblad!$K$41,0,IF($U68=0,0,IF($U68&lt;1,1/$U68,IF((GQ$56-Voorblad!$F$41)/$U68-SUM($EE68:GP68)=1,1,0))))</f>
        <v>0</v>
      </c>
      <c r="GR68" s="8">
        <f>IF(GR$56-Voorblad!$F$41&gt;Voorblad!$K$41,0,IF($U68=0,0,IF($U68&lt;1,1/$U68,IF((GR$56-Voorblad!$F$41)/$U68-SUM($EE68:GQ68)=1,1,0))))</f>
        <v>0</v>
      </c>
      <c r="GS68" s="8">
        <f>IF(GS$56-Voorblad!$F$41&gt;Voorblad!$K$41,0,IF($U68=0,0,IF($U68&lt;1,1/$U68,IF((GS$56-Voorblad!$F$41)/$U68-SUM($EE68:GR68)=1,1,0))))</f>
        <v>0</v>
      </c>
      <c r="GT68" s="8">
        <f>IF(GT$56-Voorblad!$F$41&gt;Voorblad!$K$41,0,IF($U68=0,0,IF($U68&lt;1,1/$U68,IF((GT$56-Voorblad!$F$41)/$U68-SUM($EE68:GS68)=1,1,0))))</f>
        <v>0</v>
      </c>
      <c r="GU68" s="8">
        <f>IF(GU$56-Voorblad!$F$41&gt;Voorblad!$K$41,0,IF($U68=0,0,IF($U68&lt;1,1/$U68,IF((GU$56-Voorblad!$F$41)/$U68-SUM($EE68:GT68)=1,1,0))))</f>
        <v>0</v>
      </c>
      <c r="GV68" s="8">
        <f>IF(GV$56-Voorblad!$F$41&gt;Voorblad!$K$41,0,IF($U68=0,0,IF($U68&lt;1,1/$U68,IF((GV$56-Voorblad!$F$41)/$U68-SUM($EE68:GU68)=1,1,0))))</f>
        <v>0</v>
      </c>
      <c r="GW68" s="8">
        <f>IF(GW$56-Voorblad!$F$41&gt;Voorblad!$K$41,0,IF($U68=0,0,IF($U68&lt;1,1/$U68,IF((GW$56-Voorblad!$F$41)/$U68-SUM($EE68:GV68)=1,1,0))))</f>
        <v>0</v>
      </c>
      <c r="GX68" s="8">
        <f>IF(GX$56-Voorblad!$F$41&gt;Voorblad!$K$41,0,IF($U68=0,0,IF($U68&lt;1,1/$U68,IF((GX$56-Voorblad!$F$41)/$U68-SUM($EE68:GW68)=1,1,0))))</f>
        <v>0</v>
      </c>
      <c r="GY68" s="8">
        <f>IF(GY$56-Voorblad!$F$41&gt;Voorblad!$K$41,0,IF($U68=0,0,IF($U68&lt;1,1/$U68,IF((GY$56-Voorblad!$F$41)/$U68-SUM($EE68:GX68)=1,1,0))))</f>
        <v>0</v>
      </c>
      <c r="GZ68" s="8">
        <f>IF(GZ$56-Voorblad!$F$41&gt;Voorblad!$K$41,0,IF($U68=0,0,IF($U68&lt;1,1/$U68,IF((GZ$56-Voorblad!$F$41)/$U68-SUM($EE68:GY68)=1,1,0))))</f>
        <v>0</v>
      </c>
      <c r="HA68" s="8">
        <f>IF(HA$56-Voorblad!$F$41&gt;Voorblad!$K$41,0,IF($U68=0,0,IF($U68&lt;1,1/$U68,IF((HA$56-Voorblad!$F$41)/$U68-SUM($EE68:GZ68)=1,1,0))))</f>
        <v>0</v>
      </c>
      <c r="HB68" s="8">
        <f>IF(HB$56-Voorblad!$F$41&gt;Voorblad!$K$41,0,IF($U68=0,0,IF($U68&lt;1,1/$U68,IF((HB$56-Voorblad!$F$41)/$U68-SUM($EE68:HA68)=1,1,0))))</f>
        <v>0</v>
      </c>
      <c r="HC68" s="8">
        <f>IF(HC$56-Voorblad!$F$41&gt;Voorblad!$K$41,0,IF($U68=0,0,IF($U68&lt;1,1/$U68,IF((HC$56-Voorblad!$F$41)/$U68-SUM($EE68:HB68)=1,1,0))))</f>
        <v>0</v>
      </c>
      <c r="HD68" s="8">
        <f>IF(HD$56-Voorblad!$F$41&gt;Voorblad!$K$41,0,IF($U68=0,0,IF($U68&lt;1,1/$U68,IF((HD$56-Voorblad!$F$41)/$U68-SUM($EE68:HC68)=1,1,0))))</f>
        <v>0</v>
      </c>
      <c r="HE68" s="8">
        <f>IF(HE$56-Voorblad!$F$41&gt;Voorblad!$K$41,0,IF($U68=0,0,IF($U68&lt;1,1/$U68,IF((HE$56-Voorblad!$F$41)/$U68-SUM($EE68:HD68)=1,1,0))))</f>
        <v>0</v>
      </c>
      <c r="HF68" s="8">
        <f>IF(HF$56-Voorblad!$F$41&gt;Voorblad!$K$41,0,IF($U68=0,0,IF($U68&lt;1,1/$U68,IF((HF$56-Voorblad!$F$41)/$U68-SUM($EE68:HE68)=1,1,0))))</f>
        <v>0</v>
      </c>
      <c r="HG68" s="8">
        <f>IF(HG$56-Voorblad!$F$41&gt;Voorblad!$K$41,0,IF($U68=0,0,IF($U68&lt;1,1/$U68,IF((HG$56-Voorblad!$F$41)/$U68-SUM($EE68:HF68)=1,1,0))))</f>
        <v>0</v>
      </c>
      <c r="HH68" s="8">
        <f>IF(HH$56-Voorblad!$F$41&gt;Voorblad!$K$41,0,IF($U68=0,0,IF($U68&lt;1,1/$U68,IF((HH$56-Voorblad!$F$41)/$U68-SUM($EE68:HG68)=1,1,0))))</f>
        <v>0</v>
      </c>
      <c r="HI68" s="8">
        <f>IF(HI$56-Voorblad!$F$41&gt;Voorblad!$K$41,0,IF($U68=0,0,IF($U68&lt;1,1/$U68,IF((HI$56-Voorblad!$F$41)/$U68-SUM($EE68:HH68)=1,1,0))))</f>
        <v>0</v>
      </c>
      <c r="HJ68" s="8">
        <f>IF(HJ$56-Voorblad!$F$41&gt;Voorblad!$K$41,0,IF($U68=0,0,IF($U68&lt;1,1/$U68,IF((HJ$56-Voorblad!$F$41)/$U68-SUM($EE68:HI68)=1,1,0))))</f>
        <v>0</v>
      </c>
      <c r="HK68" s="8">
        <f>IF(HK$56-Voorblad!$F$41&gt;Voorblad!$K$41,0,IF($U68=0,0,IF($U68&lt;1,1/$U68,IF((HK$56-Voorblad!$F$41)/$U68-SUM($EE68:HJ68)=1,1,0))))</f>
        <v>0</v>
      </c>
      <c r="HL68" s="8">
        <f>IF(HL$56-Voorblad!$F$41&gt;Voorblad!$K$41,0,IF($U68=0,0,IF($U68&lt;1,1/$U68,IF((HL$56-Voorblad!$F$41)/$U68-SUM($EE68:HK68)=1,1,0))))</f>
        <v>0</v>
      </c>
      <c r="HM68" s="8">
        <f>IF(HM$56-Voorblad!$F$41&gt;Voorblad!$K$41,0,IF($U68=0,0,IF($U68&lt;1,1/$U68,IF((HM$56-Voorblad!$F$41)/$U68-SUM($EE68:HL68)=1,1,0))))</f>
        <v>0</v>
      </c>
      <c r="HN68" s="8">
        <f>IF(HN$56-Voorblad!$F$41&gt;Voorblad!$K$41,0,IF($U68=0,0,IF($U68&lt;1,1/$U68,IF((HN$56-Voorblad!$F$41)/$U68-SUM($EE68:HM68)=1,1,0))))</f>
        <v>0</v>
      </c>
      <c r="HO68" s="8">
        <f>IF(HO$56-Voorblad!$F$41&gt;Voorblad!$K$41,0,IF($U68=0,0,IF($U68&lt;1,1/$U68,IF((HO$56-Voorblad!$F$41)/$U68-SUM($EE68:HN68)=1,1,0))))</f>
        <v>0</v>
      </c>
      <c r="HP68" s="8">
        <f>IF(HP$56-Voorblad!$F$41&gt;Voorblad!$K$41,0,IF($U68=0,0,IF($U68&lt;1,1/$U68,IF((HP$56-Voorblad!$F$41)/$U68-SUM($EE68:HO68)=1,1,0))))</f>
        <v>0</v>
      </c>
      <c r="HQ68" s="8">
        <f>IF(HQ$56-Voorblad!$F$41&gt;Voorblad!$K$41,0,IF($U68=0,0,IF($U68&lt;1,1/$U68,IF((HQ$56-Voorblad!$F$41)/$U68-SUM($EE68:HP68)=1,1,0))))</f>
        <v>0</v>
      </c>
      <c r="HR68" s="8">
        <f>IF(HR$56-Voorblad!$F$41&gt;Voorblad!$K$41,0,IF($U68=0,0,IF($U68&lt;1,1/$U68,IF((HR$56-Voorblad!$F$41)/$U68-SUM($EE68:HQ68)=1,1,0))))</f>
        <v>0</v>
      </c>
      <c r="HS68" s="8">
        <f>IF(HS$56-Voorblad!$F$41&gt;Voorblad!$K$41,0,IF($U68=0,0,IF($U68&lt;1,1/$U68,IF((HS$56-Voorblad!$F$41)/$U68-SUM($EE68:HR68)=1,1,0))))</f>
        <v>0</v>
      </c>
      <c r="HT68" s="8">
        <f>IF(HT$56-Voorblad!$F$41&gt;Voorblad!$K$41,0,IF($U68=0,0,IF($U68&lt;1,1/$U68,IF((HT$56-Voorblad!$F$41)/$U68-SUM($EE68:HS68)=1,1,0))))</f>
        <v>0</v>
      </c>
      <c r="HU68" s="8">
        <f>IF(HU$56-Voorblad!$F$41&gt;Voorblad!$K$41,0,IF($U68=0,0,IF($U68&lt;1,1/$U68,IF((HU$56-Voorblad!$F$41)/$U68-SUM($EE68:HT68)=1,1,0))))</f>
        <v>0</v>
      </c>
      <c r="HV68" s="8">
        <f>IF(HV$56-Voorblad!$F$41&gt;Voorblad!$K$41,0,IF($U68=0,0,IF($U68&lt;1,1/$U68,IF((HV$56-Voorblad!$F$41)/$U68-SUM($EE68:HU68)=1,1,0))))</f>
        <v>0</v>
      </c>
      <c r="HW68" s="8">
        <f>IF(HW$56-Voorblad!$F$41&gt;Voorblad!$K$41,0,IF($U68=0,0,IF($U68&lt;1,1/$U68,IF((HW$56-Voorblad!$F$41)/$U68-SUM($EE68:HV68)=1,1,0))))</f>
        <v>0</v>
      </c>
      <c r="HX68" s="8">
        <f>IF(HX$56-Voorblad!$F$41&gt;Voorblad!$K$41,0,IF($U68=0,0,IF($U68&lt;1,1/$U68,IF((HX$56-Voorblad!$F$41)/$U68-SUM($EE68:HW68)=1,1,0))))</f>
        <v>0</v>
      </c>
      <c r="HY68" s="8">
        <f>IF(HY$56-Voorblad!$F$41&gt;Voorblad!$K$41,0,IF($U68=0,0,IF($U68&lt;1,1/$U68,IF((HY$56-Voorblad!$F$41)/$U68-SUM($EE68:HX68)=1,1,0))))</f>
        <v>0</v>
      </c>
      <c r="HZ68" s="8">
        <f>IF(HZ$56-Voorblad!$F$41&gt;Voorblad!$K$41,0,IF($U68=0,0,IF($U68&lt;1,1/$U68,IF((HZ$56-Voorblad!$F$41)/$U68-SUM($EE68:HY68)=1,1,0))))</f>
        <v>0</v>
      </c>
      <c r="IA68" s="8">
        <f>IF(IA$56-Voorblad!$F$41&gt;Voorblad!$K$41,0,IF($U68=0,0,IF($U68&lt;1,1/$U68,IF((IA$56-Voorblad!$F$41)/$U68-SUM($EE68:HZ68)=1,1,0))))</f>
        <v>0</v>
      </c>
      <c r="IB68" s="8">
        <f>IF(IB$56-Voorblad!$F$41&gt;Voorblad!$K$41,0,IF($U68=0,0,IF($U68&lt;1,1/$U68,IF((IB$56-Voorblad!$F$41)/$U68-SUM($EE68:IA68)=1,1,0))))</f>
        <v>0</v>
      </c>
    </row>
    <row r="69" spans="2:236" ht="12" hidden="1" customHeight="1" outlineLevel="1" x14ac:dyDescent="0.25">
      <c r="B69" s="1">
        <v>3</v>
      </c>
      <c r="F69" s="1" t="s">
        <v>23</v>
      </c>
      <c r="I69" s="1" t="s">
        <v>277</v>
      </c>
      <c r="K69" s="14" t="s">
        <v>53</v>
      </c>
      <c r="L69" s="14"/>
      <c r="M69" s="14"/>
      <c r="N69" s="3"/>
      <c r="O69" s="1" t="s">
        <v>178</v>
      </c>
      <c r="P69" s="1" t="s">
        <v>179</v>
      </c>
      <c r="Q69" s="81">
        <v>0</v>
      </c>
      <c r="R69" s="1" t="s">
        <v>34</v>
      </c>
      <c r="S69" s="14">
        <f>$H$20*2*100</f>
        <v>354</v>
      </c>
      <c r="T69" s="1">
        <f t="shared" si="10"/>
        <v>0</v>
      </c>
      <c r="U69" s="14">
        <v>15</v>
      </c>
      <c r="V69" s="14"/>
      <c r="Y69" s="9">
        <f t="shared" si="15"/>
        <v>0</v>
      </c>
      <c r="Z69" s="82"/>
      <c r="AA69" s="82"/>
      <c r="AC69" s="9">
        <f>$Y69*(Voorblad!$K$44*(1+Voorblad!$K$44)^Voorblad!$K$41)/((1+Voorblad!$K$44)^Voorblad!$K$41-1)</f>
        <v>0</v>
      </c>
      <c r="AE69" s="9">
        <f>EF69*($Q69*$S69)/(1+Voorblad!$K$44)^(AE$56-Voorblad!$F$41)</f>
        <v>0</v>
      </c>
      <c r="AF69" s="9">
        <f>EG69*($Q69*$S69)/(1+Voorblad!$K$44)^(AF$56-Voorblad!$F$41)</f>
        <v>0</v>
      </c>
      <c r="AG69" s="9">
        <f>EH69*($Q69*$S69)/(1+Voorblad!$K$44)^(AG$56-Voorblad!$F$41)</f>
        <v>0</v>
      </c>
      <c r="AH69" s="9">
        <f>EI69*($Q69*$S69)/(1+Voorblad!$K$44)^(AH$56-Voorblad!$F$41)</f>
        <v>0</v>
      </c>
      <c r="AI69" s="9">
        <f>EJ69*($Q69*$S69)/(1+Voorblad!$K$44)^(AI$56-Voorblad!$F$41)</f>
        <v>0</v>
      </c>
      <c r="AJ69" s="9">
        <f>EK69*($Q69*$S69)/(1+Voorblad!$K$44)^(AJ$56-Voorblad!$F$41)</f>
        <v>0</v>
      </c>
      <c r="AK69" s="9">
        <f>EL69*($Q69*$S69)/(1+Voorblad!$K$44)^(AK$56-Voorblad!$F$41)</f>
        <v>0</v>
      </c>
      <c r="AL69" s="9">
        <f>EM69*($Q69*$S69)/(1+Voorblad!$K$44)^(AL$56-Voorblad!$F$41)</f>
        <v>0</v>
      </c>
      <c r="AM69" s="9">
        <f>EN69*($Q69*$S69)/(1+Voorblad!$K$44)^(AM$56-Voorblad!$F$41)</f>
        <v>0</v>
      </c>
      <c r="AN69" s="9">
        <f>EO69*($Q69*$S69)/(1+Voorblad!$K$44)^(AN$56-Voorblad!$F$41)</f>
        <v>0</v>
      </c>
      <c r="AO69" s="9">
        <f>EP69*($Q69*$S69)/(1+Voorblad!$K$44)^(AO$56-Voorblad!$F$41)</f>
        <v>0</v>
      </c>
      <c r="AP69" s="9">
        <f>EQ69*($Q69*$S69)/(1+Voorblad!$K$44)^(AP$56-Voorblad!$F$41)</f>
        <v>0</v>
      </c>
      <c r="AQ69" s="9">
        <f>ER69*($Q69*$S69)/(1+Voorblad!$K$44)^(AQ$56-Voorblad!$F$41)</f>
        <v>0</v>
      </c>
      <c r="AR69" s="9">
        <f>ES69*($Q69*$S69)/(1+Voorblad!$K$44)^(AR$56-Voorblad!$F$41)</f>
        <v>0</v>
      </c>
      <c r="AS69" s="9">
        <f>ET69*($Q69*$S69)/(1+Voorblad!$K$44)^(AS$56-Voorblad!$F$41)</f>
        <v>0</v>
      </c>
      <c r="AT69" s="9">
        <f>EU69*($Q69*$S69)/(1+Voorblad!$K$44)^(AT$56-Voorblad!$F$41)</f>
        <v>0</v>
      </c>
      <c r="AU69" s="9">
        <f>EV69*($Q69*$S69)/(1+Voorblad!$K$44)^(AU$56-Voorblad!$F$41)</f>
        <v>0</v>
      </c>
      <c r="AV69" s="9">
        <f>EW69*($Q69*$S69)/(1+Voorblad!$K$44)^(AV$56-Voorblad!$F$41)</f>
        <v>0</v>
      </c>
      <c r="AW69" s="9">
        <f>EX69*($Q69*$S69)/(1+Voorblad!$K$44)^(AW$56-Voorblad!$F$41)</f>
        <v>0</v>
      </c>
      <c r="AX69" s="9">
        <f>EY69*($Q69*$S69)/(1+Voorblad!$K$44)^(AX$56-Voorblad!$F$41)</f>
        <v>0</v>
      </c>
      <c r="AY69" s="9">
        <f>EZ69*($Q69*$S69)/(1+Voorblad!$K$44)^(AY$56-Voorblad!$F$41)</f>
        <v>0</v>
      </c>
      <c r="AZ69" s="9">
        <f>FA69*($Q69*$S69)/(1+Voorblad!$K$44)^(AZ$56-Voorblad!$F$41)</f>
        <v>0</v>
      </c>
      <c r="BA69" s="9">
        <f>FB69*($Q69*$S69)/(1+Voorblad!$K$44)^(BA$56-Voorblad!$F$41)</f>
        <v>0</v>
      </c>
      <c r="BB69" s="9">
        <f>FC69*($Q69*$S69)/(1+Voorblad!$K$44)^(BB$56-Voorblad!$F$41)</f>
        <v>0</v>
      </c>
      <c r="BC69" s="9">
        <f>FD69*($Q69*$S69)/(1+Voorblad!$K$44)^(BC$56-Voorblad!$F$41)</f>
        <v>0</v>
      </c>
      <c r="BD69" s="9">
        <f>FE69*($Q69*$S69)/(1+Voorblad!$K$44)^(BD$56-Voorblad!$F$41)</f>
        <v>0</v>
      </c>
      <c r="BE69" s="9">
        <f>FF69*($Q69*$S69)/(1+Voorblad!$K$44)^(BE$56-Voorblad!$F$41)</f>
        <v>0</v>
      </c>
      <c r="BF69" s="9">
        <f>FG69*($Q69*$S69)/(1+Voorblad!$K$44)^(BF$56-Voorblad!$F$41)</f>
        <v>0</v>
      </c>
      <c r="BG69" s="9">
        <f>FH69*($Q69*$S69)/(1+Voorblad!$K$44)^(BG$56-Voorblad!$F$41)</f>
        <v>0</v>
      </c>
      <c r="BH69" s="9">
        <f>FI69*($Q69*$S69)/(1+Voorblad!$K$44)^(BH$56-Voorblad!$F$41)</f>
        <v>0</v>
      </c>
      <c r="BI69" s="9">
        <f>FJ69*($Q69*$S69)/(1+Voorblad!$K$44)^(BI$56-Voorblad!$F$41)</f>
        <v>0</v>
      </c>
      <c r="BJ69" s="9">
        <f>FK69*($Q69*$S69)/(1+Voorblad!$K$44)^(BJ$56-Voorblad!$F$41)</f>
        <v>0</v>
      </c>
      <c r="BK69" s="9">
        <f>FL69*($Q69*$S69)/(1+Voorblad!$K$44)^(BK$56-Voorblad!$F$41)</f>
        <v>0</v>
      </c>
      <c r="BL69" s="9">
        <f>FM69*($Q69*$S69)/(1+Voorblad!$K$44)^(BL$56-Voorblad!$F$41)</f>
        <v>0</v>
      </c>
      <c r="BM69" s="9">
        <f>FN69*($Q69*$S69)/(1+Voorblad!$K$44)^(BM$56-Voorblad!$F$41)</f>
        <v>0</v>
      </c>
      <c r="BN69" s="9">
        <f>FO69*($Q69*$S69)/(1+Voorblad!$K$44)^(BN$56-Voorblad!$F$41)</f>
        <v>0</v>
      </c>
      <c r="BO69" s="9">
        <f>FP69*($Q69*$S69)/(1+Voorblad!$K$44)^(BO$56-Voorblad!$F$41)</f>
        <v>0</v>
      </c>
      <c r="BP69" s="9">
        <f>FQ69*($Q69*$S69)/(1+Voorblad!$K$44)^(BP$56-Voorblad!$F$41)</f>
        <v>0</v>
      </c>
      <c r="BQ69" s="9">
        <f>FR69*($Q69*$S69)/(1+Voorblad!$K$44)^(BQ$56-Voorblad!$F$41)</f>
        <v>0</v>
      </c>
      <c r="BR69" s="9">
        <f>FS69*($Q69*$S69)/(1+Voorblad!$K$44)^(BR$56-Voorblad!$F$41)</f>
        <v>0</v>
      </c>
      <c r="BS69" s="9">
        <f>FT69*($Q69*$S69)/(1+Voorblad!$K$44)^(BS$56-Voorblad!$F$41)</f>
        <v>0</v>
      </c>
      <c r="BT69" s="9">
        <f>FU69*($Q69*$S69)/(1+Voorblad!$K$44)^(BT$56-Voorblad!$F$41)</f>
        <v>0</v>
      </c>
      <c r="BU69" s="9">
        <f>FV69*($Q69*$S69)/(1+Voorblad!$K$44)^(BU$56-Voorblad!$F$41)</f>
        <v>0</v>
      </c>
      <c r="BV69" s="9">
        <f>FW69*($Q69*$S69)/(1+Voorblad!$K$44)^(BV$56-Voorblad!$F$41)</f>
        <v>0</v>
      </c>
      <c r="BW69" s="9">
        <f>FX69*($Q69*$S69)/(1+Voorblad!$K$44)^(BW$56-Voorblad!$F$41)</f>
        <v>0</v>
      </c>
      <c r="BX69" s="9">
        <f>FY69*($Q69*$S69)/(1+Voorblad!$K$44)^(BX$56-Voorblad!$F$41)</f>
        <v>0</v>
      </c>
      <c r="BY69" s="9">
        <f>FZ69*($Q69*$S69)/(1+Voorblad!$K$44)^(BY$56-Voorblad!$F$41)</f>
        <v>0</v>
      </c>
      <c r="BZ69" s="9">
        <f>GA69*($Q69*$S69)/(1+Voorblad!$K$44)^(BZ$56-Voorblad!$F$41)</f>
        <v>0</v>
      </c>
      <c r="CA69" s="9">
        <f>GB69*($Q69*$S69)/(1+Voorblad!$K$44)^(CA$56-Voorblad!$F$41)</f>
        <v>0</v>
      </c>
      <c r="CB69" s="9">
        <f>GC69*($Q69*$S69)/(1+Voorblad!$K$44)^(CB$56-Voorblad!$F$41)</f>
        <v>0</v>
      </c>
      <c r="CC69" s="9">
        <f>GD69*($Q69*$S69)/(1+Voorblad!$K$44)^(CC$56-Voorblad!$F$41)</f>
        <v>0</v>
      </c>
      <c r="CD69" s="9">
        <f>GE69*($Q69*$S69)/(1+Voorblad!$K$44)^(CD$56-Voorblad!$F$41)</f>
        <v>0</v>
      </c>
      <c r="CE69" s="9">
        <f>GF69*($Q69*$S69)/(1+Voorblad!$K$44)^(CE$56-Voorblad!$F$41)</f>
        <v>0</v>
      </c>
      <c r="CF69" s="9">
        <f>GG69*($Q69*$S69)/(1+Voorblad!$K$44)^(CF$56-Voorblad!$F$41)</f>
        <v>0</v>
      </c>
      <c r="CG69" s="9">
        <f>GH69*($Q69*$S69)/(1+Voorblad!$K$44)^(CG$56-Voorblad!$F$41)</f>
        <v>0</v>
      </c>
      <c r="CH69" s="9">
        <f>GI69*($Q69*$S69)/(1+Voorblad!$K$44)^(CH$56-Voorblad!$F$41)</f>
        <v>0</v>
      </c>
      <c r="CI69" s="9">
        <f>GJ69*($Q69*$S69)/(1+Voorblad!$K$44)^(CI$56-Voorblad!$F$41)</f>
        <v>0</v>
      </c>
      <c r="CJ69" s="9">
        <f>GK69*($Q69*$S69)/(1+Voorblad!$K$44)^(CJ$56-Voorblad!$F$41)</f>
        <v>0</v>
      </c>
      <c r="CK69" s="9">
        <f>GL69*($Q69*$S69)/(1+Voorblad!$K$44)^(CK$56-Voorblad!$F$41)</f>
        <v>0</v>
      </c>
      <c r="CL69" s="9">
        <f>GM69*($Q69*$S69)/(1+Voorblad!$K$44)^(CL$56-Voorblad!$F$41)</f>
        <v>0</v>
      </c>
      <c r="CM69" s="9">
        <f>GN69*($Q69*$S69)/(1+Voorblad!$K$44)^(CM$56-Voorblad!$F$41)</f>
        <v>0</v>
      </c>
      <c r="CN69" s="9">
        <f>GO69*($Q69*$S69)/(1+Voorblad!$K$44)^(CN$56-Voorblad!$F$41)</f>
        <v>0</v>
      </c>
      <c r="CO69" s="9">
        <f>GP69*($Q69*$S69)/(1+Voorblad!$K$44)^(CO$56-Voorblad!$F$41)</f>
        <v>0</v>
      </c>
      <c r="CP69" s="9">
        <f>GQ69*($Q69*$S69)/(1+Voorblad!$K$44)^(CP$56-Voorblad!$F$41)</f>
        <v>0</v>
      </c>
      <c r="CQ69" s="9">
        <f>GR69*($Q69*$S69)/(1+Voorblad!$K$44)^(CQ$56-Voorblad!$F$41)</f>
        <v>0</v>
      </c>
      <c r="CR69" s="9">
        <f>GS69*($Q69*$S69)/(1+Voorblad!$K$44)^(CR$56-Voorblad!$F$41)</f>
        <v>0</v>
      </c>
      <c r="CS69" s="9">
        <f>GT69*($Q69*$S69)/(1+Voorblad!$K$44)^(CS$56-Voorblad!$F$41)</f>
        <v>0</v>
      </c>
      <c r="CT69" s="9">
        <f>GU69*($Q69*$S69)/(1+Voorblad!$K$44)^(CT$56-Voorblad!$F$41)</f>
        <v>0</v>
      </c>
      <c r="CU69" s="9">
        <f>GV69*($Q69*$S69)/(1+Voorblad!$K$44)^(CU$56-Voorblad!$F$41)</f>
        <v>0</v>
      </c>
      <c r="CV69" s="9">
        <f>GW69*($Q69*$S69)/(1+Voorblad!$K$44)^(CV$56-Voorblad!$F$41)</f>
        <v>0</v>
      </c>
      <c r="CW69" s="9">
        <f>GX69*($Q69*$S69)/(1+Voorblad!$K$44)^(CW$56-Voorblad!$F$41)</f>
        <v>0</v>
      </c>
      <c r="CX69" s="9">
        <f>GY69*($Q69*$S69)/(1+Voorblad!$K$44)^(CX$56-Voorblad!$F$41)</f>
        <v>0</v>
      </c>
      <c r="CY69" s="9">
        <f>GZ69*($Q69*$S69)/(1+Voorblad!$K$44)^(CY$56-Voorblad!$F$41)</f>
        <v>0</v>
      </c>
      <c r="CZ69" s="9">
        <f>HA69*($Q69*$S69)/(1+Voorblad!$K$44)^(CZ$56-Voorblad!$F$41)</f>
        <v>0</v>
      </c>
      <c r="DA69" s="9">
        <f>HB69*($Q69*$S69)/(1+Voorblad!$K$44)^(DA$56-Voorblad!$F$41)</f>
        <v>0</v>
      </c>
      <c r="DB69" s="9">
        <f>HC69*($Q69*$S69)/(1+Voorblad!$K$44)^(DB$56-Voorblad!$F$41)</f>
        <v>0</v>
      </c>
      <c r="DC69" s="9">
        <f>HD69*($Q69*$S69)/(1+Voorblad!$K$44)^(DC$56-Voorblad!$F$41)</f>
        <v>0</v>
      </c>
      <c r="DD69" s="9">
        <f>HE69*($Q69*$S69)/(1+Voorblad!$K$44)^(DD$56-Voorblad!$F$41)</f>
        <v>0</v>
      </c>
      <c r="DE69" s="9">
        <f>HF69*($Q69*$S69)/(1+Voorblad!$K$44)^(DE$56-Voorblad!$F$41)</f>
        <v>0</v>
      </c>
      <c r="DF69" s="9">
        <f>HG69*($Q69*$S69)/(1+Voorblad!$K$44)^(DF$56-Voorblad!$F$41)</f>
        <v>0</v>
      </c>
      <c r="DG69" s="9">
        <f>HH69*($Q69*$S69)/(1+Voorblad!$K$44)^(DG$56-Voorblad!$F$41)</f>
        <v>0</v>
      </c>
      <c r="DH69" s="9">
        <f>HI69*($Q69*$S69)/(1+Voorblad!$K$44)^(DH$56-Voorblad!$F$41)</f>
        <v>0</v>
      </c>
      <c r="DI69" s="9">
        <f>HJ69*($Q69*$S69)/(1+Voorblad!$K$44)^(DI$56-Voorblad!$F$41)</f>
        <v>0</v>
      </c>
      <c r="DJ69" s="9">
        <f>HK69*($Q69*$S69)/(1+Voorblad!$K$44)^(DJ$56-Voorblad!$F$41)</f>
        <v>0</v>
      </c>
      <c r="DK69" s="9">
        <f>HL69*($Q69*$S69)/(1+Voorblad!$K$44)^(DK$56-Voorblad!$F$41)</f>
        <v>0</v>
      </c>
      <c r="DL69" s="9">
        <f>HM69*($Q69*$S69)/(1+Voorblad!$K$44)^(DL$56-Voorblad!$F$41)</f>
        <v>0</v>
      </c>
      <c r="DM69" s="9">
        <f>HN69*($Q69*$S69)/(1+Voorblad!$K$44)^(DM$56-Voorblad!$F$41)</f>
        <v>0</v>
      </c>
      <c r="DN69" s="9">
        <f>HO69*($Q69*$S69)/(1+Voorblad!$K$44)^(DN$56-Voorblad!$F$41)</f>
        <v>0</v>
      </c>
      <c r="DO69" s="9">
        <f>HP69*($Q69*$S69)/(1+Voorblad!$K$44)^(DO$56-Voorblad!$F$41)</f>
        <v>0</v>
      </c>
      <c r="DP69" s="9">
        <f>HQ69*($Q69*$S69)/(1+Voorblad!$K$44)^(DP$56-Voorblad!$F$41)</f>
        <v>0</v>
      </c>
      <c r="DQ69" s="9">
        <f>HR69*($Q69*$S69)/(1+Voorblad!$K$44)^(DQ$56-Voorblad!$F$41)</f>
        <v>0</v>
      </c>
      <c r="DR69" s="9">
        <f>HS69*($Q69*$S69)/(1+Voorblad!$K$44)^(DR$56-Voorblad!$F$41)</f>
        <v>0</v>
      </c>
      <c r="DS69" s="9">
        <f>HT69*($Q69*$S69)/(1+Voorblad!$K$44)^(DS$56-Voorblad!$F$41)</f>
        <v>0</v>
      </c>
      <c r="DT69" s="9">
        <f>HU69*($Q69*$S69)/(1+Voorblad!$K$44)^(DT$56-Voorblad!$F$41)</f>
        <v>0</v>
      </c>
      <c r="DU69" s="9">
        <f>HV69*($Q69*$S69)/(1+Voorblad!$K$44)^(DU$56-Voorblad!$F$41)</f>
        <v>0</v>
      </c>
      <c r="DV69" s="9">
        <f>HW69*($Q69*$S69)/(1+Voorblad!$K$44)^(DV$56-Voorblad!$F$41)</f>
        <v>0</v>
      </c>
      <c r="DW69" s="9">
        <f>HX69*($Q69*$S69)/(1+Voorblad!$K$44)^(DW$56-Voorblad!$F$41)</f>
        <v>0</v>
      </c>
      <c r="DX69" s="9">
        <f>HY69*($Q69*$S69)/(1+Voorblad!$K$44)^(DX$56-Voorblad!$F$41)</f>
        <v>0</v>
      </c>
      <c r="DY69" s="9">
        <f>HZ69*($Q69*$S69)/(1+Voorblad!$K$44)^(DY$56-Voorblad!$F$41)</f>
        <v>0</v>
      </c>
      <c r="DZ69" s="9">
        <f>IA69*($Q69*$S69)/(1+Voorblad!$K$44)^(DZ$56-Voorblad!$F$41)</f>
        <v>0</v>
      </c>
      <c r="EA69" s="9">
        <f>IB69*($Q69*$S69)/(1+Voorblad!$K$44)^(EA$56-Voorblad!$F$41)</f>
        <v>0</v>
      </c>
      <c r="EB69" s="9">
        <f>IC69*($Q69*$S69)/(1+Voorblad!$K$44)^(EB$56-Voorblad!$F$41)</f>
        <v>0</v>
      </c>
      <c r="EE69" s="8">
        <v>0</v>
      </c>
      <c r="EF69" s="8">
        <f>IF(EF$56-Voorblad!$F$41&gt;Voorblad!$K$41,0,IF($U69=0,0,IF($U69&lt;1,1/$U69,IF((EF$56-Voorblad!$F$41)/$U69-SUM($EE69:EE69)=1,1,0))))</f>
        <v>0</v>
      </c>
      <c r="EG69" s="8">
        <f>IF(EG$56-Voorblad!$F$41&gt;Voorblad!$K$41,0,IF($U69=0,0,IF($U69&lt;1,1/$U69,IF((EG$56-Voorblad!$F$41)/$U69-SUM($EE69:EF69)=1,1,0))))</f>
        <v>0</v>
      </c>
      <c r="EH69" s="8">
        <f>IF(EH$56-Voorblad!$F$41&gt;Voorblad!$K$41,0,IF($U69=0,0,IF($U69&lt;1,1/$U69,IF((EH$56-Voorblad!$F$41)/$U69-SUM($EE69:EG69)=1,1,0))))</f>
        <v>0</v>
      </c>
      <c r="EI69" s="8">
        <f>IF(EI$56-Voorblad!$F$41&gt;Voorblad!$K$41,0,IF($U69=0,0,IF($U69&lt;1,1/$U69,IF((EI$56-Voorblad!$F$41)/$U69-SUM($EE69:EH69)=1,1,0))))</f>
        <v>0</v>
      </c>
      <c r="EJ69" s="8">
        <f>IF(EJ$56-Voorblad!$F$41&gt;Voorblad!$K$41,0,IF($U69=0,0,IF($U69&lt;1,1/$U69,IF((EJ$56-Voorblad!$F$41)/$U69-SUM($EE69:EI69)=1,1,0))))</f>
        <v>0</v>
      </c>
      <c r="EK69" s="8">
        <f>IF(EK$56-Voorblad!$F$41&gt;Voorblad!$K$41,0,IF($U69=0,0,IF($U69&lt;1,1/$U69,IF((EK$56-Voorblad!$F$41)/$U69-SUM($EE69:EJ69)=1,1,0))))</f>
        <v>0</v>
      </c>
      <c r="EL69" s="8">
        <f>IF(EL$56-Voorblad!$F$41&gt;Voorblad!$K$41,0,IF($U69=0,0,IF($U69&lt;1,1/$U69,IF((EL$56-Voorblad!$F$41)/$U69-SUM($EE69:EK69)=1,1,0))))</f>
        <v>0</v>
      </c>
      <c r="EM69" s="8">
        <f>IF(EM$56-Voorblad!$F$41&gt;Voorblad!$K$41,0,IF($U69=0,0,IF($U69&lt;1,1/$U69,IF((EM$56-Voorblad!$F$41)/$U69-SUM($EE69:EL69)=1,1,0))))</f>
        <v>0</v>
      </c>
      <c r="EN69" s="8">
        <f>IF(EN$56-Voorblad!$F$41&gt;Voorblad!$K$41,0,IF($U69=0,0,IF($U69&lt;1,1/$U69,IF((EN$56-Voorblad!$F$41)/$U69-SUM($EE69:EM69)=1,1,0))))</f>
        <v>0</v>
      </c>
      <c r="EO69" s="8">
        <f>IF(EO$56-Voorblad!$F$41&gt;Voorblad!$K$41,0,IF($U69=0,0,IF($U69&lt;1,1/$U69,IF((EO$56-Voorblad!$F$41)/$U69-SUM($EE69:EN69)=1,1,0))))</f>
        <v>0</v>
      </c>
      <c r="EP69" s="8">
        <f>IF(EP$56-Voorblad!$F$41&gt;Voorblad!$K$41,0,IF($U69=0,0,IF($U69&lt;1,1/$U69,IF((EP$56-Voorblad!$F$41)/$U69-SUM($EE69:EO69)=1,1,0))))</f>
        <v>0</v>
      </c>
      <c r="EQ69" s="8">
        <f>IF(EQ$56-Voorblad!$F$41&gt;Voorblad!$K$41,0,IF($U69=0,0,IF($U69&lt;1,1/$U69,IF((EQ$56-Voorblad!$F$41)/$U69-SUM($EE69:EP69)=1,1,0))))</f>
        <v>0</v>
      </c>
      <c r="ER69" s="8">
        <f>IF(ER$56-Voorblad!$F$41&gt;Voorblad!$K$41,0,IF($U69=0,0,IF($U69&lt;1,1/$U69,IF((ER$56-Voorblad!$F$41)/$U69-SUM($EE69:EQ69)=1,1,0))))</f>
        <v>0</v>
      </c>
      <c r="ES69" s="8">
        <f>IF(ES$56-Voorblad!$F$41&gt;Voorblad!$K$41,0,IF($U69=0,0,IF($U69&lt;1,1/$U69,IF((ES$56-Voorblad!$F$41)/$U69-SUM($EE69:ER69)=1,1,0))))</f>
        <v>0</v>
      </c>
      <c r="ET69" s="8">
        <f>IF(ET$56-Voorblad!$F$41&gt;Voorblad!$K$41,0,IF($U69=0,0,IF($U69&lt;1,1/$U69,IF((ET$56-Voorblad!$F$41)/$U69-SUM($EE69:ES69)=1,1,0))))</f>
        <v>0</v>
      </c>
      <c r="EU69" s="8">
        <f>IF(EU$56-Voorblad!$F$41&gt;Voorblad!$K$41,0,IF($U69=0,0,IF($U69&lt;1,1/$U69,IF((EU$56-Voorblad!$F$41)/$U69-SUM($EE69:ET69)=1,1,0))))</f>
        <v>1</v>
      </c>
      <c r="EV69" s="8">
        <f>IF(EV$56-Voorblad!$F$41&gt;Voorblad!$K$41,0,IF($U69=0,0,IF($U69&lt;1,1/$U69,IF((EV$56-Voorblad!$F$41)/$U69-SUM($EE69:EU69)=1,1,0))))</f>
        <v>0</v>
      </c>
      <c r="EW69" s="8">
        <f>IF(EW$56-Voorblad!$F$41&gt;Voorblad!$K$41,0,IF($U69=0,0,IF($U69&lt;1,1/$U69,IF((EW$56-Voorblad!$F$41)/$U69-SUM($EE69:EV69)=1,1,0))))</f>
        <v>0</v>
      </c>
      <c r="EX69" s="8">
        <f>IF(EX$56-Voorblad!$F$41&gt;Voorblad!$K$41,0,IF($U69=0,0,IF($U69&lt;1,1/$U69,IF((EX$56-Voorblad!$F$41)/$U69-SUM($EE69:EW69)=1,1,0))))</f>
        <v>0</v>
      </c>
      <c r="EY69" s="8">
        <f>IF(EY$56-Voorblad!$F$41&gt;Voorblad!$K$41,0,IF($U69=0,0,IF($U69&lt;1,1/$U69,IF((EY$56-Voorblad!$F$41)/$U69-SUM($EE69:EX69)=1,1,0))))</f>
        <v>0</v>
      </c>
      <c r="EZ69" s="8">
        <f>IF(EZ$56-Voorblad!$F$41&gt;Voorblad!$K$41,0,IF($U69=0,0,IF($U69&lt;1,1/$U69,IF((EZ$56-Voorblad!$F$41)/$U69-SUM($EE69:EY69)=1,1,0))))</f>
        <v>0</v>
      </c>
      <c r="FA69" s="8">
        <f>IF(FA$56-Voorblad!$F$41&gt;Voorblad!$K$41,0,IF($U69=0,0,IF($U69&lt;1,1/$U69,IF((FA$56-Voorblad!$F$41)/$U69-SUM($EE69:EZ69)=1,1,0))))</f>
        <v>0</v>
      </c>
      <c r="FB69" s="8">
        <f>IF(FB$56-Voorblad!$F$41&gt;Voorblad!$K$41,0,IF($U69=0,0,IF($U69&lt;1,1/$U69,IF((FB$56-Voorblad!$F$41)/$U69-SUM($EE69:FA69)=1,1,0))))</f>
        <v>0</v>
      </c>
      <c r="FC69" s="8">
        <f>IF(FC$56-Voorblad!$F$41&gt;Voorblad!$K$41,0,IF($U69=0,0,IF($U69&lt;1,1/$U69,IF((FC$56-Voorblad!$F$41)/$U69-SUM($EE69:FB69)=1,1,0))))</f>
        <v>0</v>
      </c>
      <c r="FD69" s="8">
        <f>IF(FD$56-Voorblad!$F$41&gt;Voorblad!$K$41,0,IF($U69=0,0,IF($U69&lt;1,1/$U69,IF((FD$56-Voorblad!$F$41)/$U69-SUM($EE69:FC69)=1,1,0))))</f>
        <v>0</v>
      </c>
      <c r="FE69" s="8">
        <f>IF(FE$56-Voorblad!$F$41&gt;Voorblad!$K$41,0,IF($U69=0,0,IF($U69&lt;1,1/$U69,IF((FE$56-Voorblad!$F$41)/$U69-SUM($EE69:FD69)=1,1,0))))</f>
        <v>0</v>
      </c>
      <c r="FF69" s="8">
        <f>IF(FF$56-Voorblad!$F$41&gt;Voorblad!$K$41,0,IF($U69=0,0,IF($U69&lt;1,1/$U69,IF((FF$56-Voorblad!$F$41)/$U69-SUM($EE69:FE69)=1,1,0))))</f>
        <v>0</v>
      </c>
      <c r="FG69" s="8">
        <f>IF(FG$56-Voorblad!$F$41&gt;Voorblad!$K$41,0,IF($U69=0,0,IF($U69&lt;1,1/$U69,IF((FG$56-Voorblad!$F$41)/$U69-SUM($EE69:FF69)=1,1,0))))</f>
        <v>0</v>
      </c>
      <c r="FH69" s="8">
        <f>IF(FH$56-Voorblad!$F$41&gt;Voorblad!$K$41,0,IF($U69=0,0,IF($U69&lt;1,1/$U69,IF((FH$56-Voorblad!$F$41)/$U69-SUM($EE69:FG69)=1,1,0))))</f>
        <v>0</v>
      </c>
      <c r="FI69" s="8">
        <f>IF(FI$56-Voorblad!$F$41&gt;Voorblad!$K$41,0,IF($U69=0,0,IF($U69&lt;1,1/$U69,IF((FI$56-Voorblad!$F$41)/$U69-SUM($EE69:FH69)=1,1,0))))</f>
        <v>0</v>
      </c>
      <c r="FJ69" s="8">
        <f>IF(FJ$56-Voorblad!$F$41&gt;Voorblad!$K$41,0,IF($U69=0,0,IF($U69&lt;1,1/$U69,IF((FJ$56-Voorblad!$F$41)/$U69-SUM($EE69:FI69)=1,1,0))))</f>
        <v>1</v>
      </c>
      <c r="FK69" s="8">
        <f>IF(FK$56-Voorblad!$F$41&gt;Voorblad!$K$41,0,IF($U69=0,0,IF($U69&lt;1,1/$U69,IF((FK$56-Voorblad!$F$41)/$U69-SUM($EE69:FJ69)=1,1,0))))</f>
        <v>0</v>
      </c>
      <c r="FL69" s="8">
        <f>IF(FL$56-Voorblad!$F$41&gt;Voorblad!$K$41,0,IF($U69=0,0,IF($U69&lt;1,1/$U69,IF((FL$56-Voorblad!$F$41)/$U69-SUM($EE69:FK69)=1,1,0))))</f>
        <v>0</v>
      </c>
      <c r="FM69" s="8">
        <f>IF(FM$56-Voorblad!$F$41&gt;Voorblad!$K$41,0,IF($U69=0,0,IF($U69&lt;1,1/$U69,IF((FM$56-Voorblad!$F$41)/$U69-SUM($EE69:FL69)=1,1,0))))</f>
        <v>0</v>
      </c>
      <c r="FN69" s="8">
        <f>IF(FN$56-Voorblad!$F$41&gt;Voorblad!$K$41,0,IF($U69=0,0,IF($U69&lt;1,1/$U69,IF((FN$56-Voorblad!$F$41)/$U69-SUM($EE69:FM69)=1,1,0))))</f>
        <v>0</v>
      </c>
      <c r="FO69" s="8">
        <f>IF(FO$56-Voorblad!$F$41&gt;Voorblad!$K$41,0,IF($U69=0,0,IF($U69&lt;1,1/$U69,IF((FO$56-Voorblad!$F$41)/$U69-SUM($EE69:FN69)=1,1,0))))</f>
        <v>0</v>
      </c>
      <c r="FP69" s="8">
        <f>IF(FP$56-Voorblad!$F$41&gt;Voorblad!$K$41,0,IF($U69=0,0,IF($U69&lt;1,1/$U69,IF((FP$56-Voorblad!$F$41)/$U69-SUM($EE69:FO69)=1,1,0))))</f>
        <v>0</v>
      </c>
      <c r="FQ69" s="8">
        <f>IF(FQ$56-Voorblad!$F$41&gt;Voorblad!$K$41,0,IF($U69=0,0,IF($U69&lt;1,1/$U69,IF((FQ$56-Voorblad!$F$41)/$U69-SUM($EE69:FP69)=1,1,0))))</f>
        <v>0</v>
      </c>
      <c r="FR69" s="8">
        <f>IF(FR$56-Voorblad!$F$41&gt;Voorblad!$K$41,0,IF($U69=0,0,IF($U69&lt;1,1/$U69,IF((FR$56-Voorblad!$F$41)/$U69-SUM($EE69:FQ69)=1,1,0))))</f>
        <v>0</v>
      </c>
      <c r="FS69" s="8">
        <f>IF(FS$56-Voorblad!$F$41&gt;Voorblad!$K$41,0,IF($U69=0,0,IF($U69&lt;1,1/$U69,IF((FS$56-Voorblad!$F$41)/$U69-SUM($EE69:FR69)=1,1,0))))</f>
        <v>0</v>
      </c>
      <c r="FT69" s="8">
        <f>IF(FT$56-Voorblad!$F$41&gt;Voorblad!$K$41,0,IF($U69=0,0,IF($U69&lt;1,1/$U69,IF((FT$56-Voorblad!$F$41)/$U69-SUM($EE69:FS69)=1,1,0))))</f>
        <v>0</v>
      </c>
      <c r="FU69" s="8">
        <f>IF(FU$56-Voorblad!$F$41&gt;Voorblad!$K$41,0,IF($U69=0,0,IF($U69&lt;1,1/$U69,IF((FU$56-Voorblad!$F$41)/$U69-SUM($EE69:FT69)=1,1,0))))</f>
        <v>0</v>
      </c>
      <c r="FV69" s="8">
        <f>IF(FV$56-Voorblad!$F$41&gt;Voorblad!$K$41,0,IF($U69=0,0,IF($U69&lt;1,1/$U69,IF((FV$56-Voorblad!$F$41)/$U69-SUM($EE69:FU69)=1,1,0))))</f>
        <v>0</v>
      </c>
      <c r="FW69" s="8">
        <f>IF(FW$56-Voorblad!$F$41&gt;Voorblad!$K$41,0,IF($U69=0,0,IF($U69&lt;1,1/$U69,IF((FW$56-Voorblad!$F$41)/$U69-SUM($EE69:FV69)=1,1,0))))</f>
        <v>0</v>
      </c>
      <c r="FX69" s="8">
        <f>IF(FX$56-Voorblad!$F$41&gt;Voorblad!$K$41,0,IF($U69=0,0,IF($U69&lt;1,1/$U69,IF((FX$56-Voorblad!$F$41)/$U69-SUM($EE69:FW69)=1,1,0))))</f>
        <v>0</v>
      </c>
      <c r="FY69" s="8">
        <f>IF(FY$56-Voorblad!$F$41&gt;Voorblad!$K$41,0,IF($U69=0,0,IF($U69&lt;1,1/$U69,IF((FY$56-Voorblad!$F$41)/$U69-SUM($EE69:FX69)=1,1,0))))</f>
        <v>1</v>
      </c>
      <c r="FZ69" s="8">
        <f>IF(FZ$56-Voorblad!$F$41&gt;Voorblad!$K$41,0,IF($U69=0,0,IF($U69&lt;1,1/$U69,IF((FZ$56-Voorblad!$F$41)/$U69-SUM($EE69:FY69)=1,1,0))))</f>
        <v>0</v>
      </c>
      <c r="GA69" s="8">
        <f>IF(GA$56-Voorblad!$F$41&gt;Voorblad!$K$41,0,IF($U69=0,0,IF($U69&lt;1,1/$U69,IF((GA$56-Voorblad!$F$41)/$U69-SUM($EE69:FZ69)=1,1,0))))</f>
        <v>0</v>
      </c>
      <c r="GB69" s="8">
        <f>IF(GB$56-Voorblad!$F$41&gt;Voorblad!$K$41,0,IF($U69=0,0,IF($U69&lt;1,1/$U69,IF((GB$56-Voorblad!$F$41)/$U69-SUM($EE69:GA69)=1,1,0))))</f>
        <v>0</v>
      </c>
      <c r="GC69" s="8">
        <f>IF(GC$56-Voorblad!$F$41&gt;Voorblad!$K$41,0,IF($U69=0,0,IF($U69&lt;1,1/$U69,IF((GC$56-Voorblad!$F$41)/$U69-SUM($EE69:GB69)=1,1,0))))</f>
        <v>0</v>
      </c>
      <c r="GD69" s="8">
        <f>IF(GD$56-Voorblad!$F$41&gt;Voorblad!$K$41,0,IF($U69=0,0,IF($U69&lt;1,1/$U69,IF((GD$56-Voorblad!$F$41)/$U69-SUM($EE69:GC69)=1,1,0))))</f>
        <v>0</v>
      </c>
      <c r="GE69" s="8">
        <f>IF(GE$56-Voorblad!$F$41&gt;Voorblad!$K$41,0,IF($U69=0,0,IF($U69&lt;1,1/$U69,IF((GE$56-Voorblad!$F$41)/$U69-SUM($EE69:GD69)=1,1,0))))</f>
        <v>0</v>
      </c>
      <c r="GF69" s="8">
        <f>IF(GF$56-Voorblad!$F$41&gt;Voorblad!$K$41,0,IF($U69=0,0,IF($U69&lt;1,1/$U69,IF((GF$56-Voorblad!$F$41)/$U69-SUM($EE69:GE69)=1,1,0))))</f>
        <v>0</v>
      </c>
      <c r="GG69" s="8">
        <f>IF(GG$56-Voorblad!$F$41&gt;Voorblad!$K$41,0,IF($U69=0,0,IF($U69&lt;1,1/$U69,IF((GG$56-Voorblad!$F$41)/$U69-SUM($EE69:GF69)=1,1,0))))</f>
        <v>0</v>
      </c>
      <c r="GH69" s="8">
        <f>IF(GH$56-Voorblad!$F$41&gt;Voorblad!$K$41,0,IF($U69=0,0,IF($U69&lt;1,1/$U69,IF((GH$56-Voorblad!$F$41)/$U69-SUM($EE69:GG69)=1,1,0))))</f>
        <v>0</v>
      </c>
      <c r="GI69" s="8">
        <f>IF(GI$56-Voorblad!$F$41&gt;Voorblad!$K$41,0,IF($U69=0,0,IF($U69&lt;1,1/$U69,IF((GI$56-Voorblad!$F$41)/$U69-SUM($EE69:GH69)=1,1,0))))</f>
        <v>0</v>
      </c>
      <c r="GJ69" s="8">
        <f>IF(GJ$56-Voorblad!$F$41&gt;Voorblad!$K$41,0,IF($U69=0,0,IF($U69&lt;1,1/$U69,IF((GJ$56-Voorblad!$F$41)/$U69-SUM($EE69:GI69)=1,1,0))))</f>
        <v>0</v>
      </c>
      <c r="GK69" s="8">
        <f>IF(GK$56-Voorblad!$F$41&gt;Voorblad!$K$41,0,IF($U69=0,0,IF($U69&lt;1,1/$U69,IF((GK$56-Voorblad!$F$41)/$U69-SUM($EE69:GJ69)=1,1,0))))</f>
        <v>0</v>
      </c>
      <c r="GL69" s="8">
        <f>IF(GL$56-Voorblad!$F$41&gt;Voorblad!$K$41,0,IF($U69=0,0,IF($U69&lt;1,1/$U69,IF((GL$56-Voorblad!$F$41)/$U69-SUM($EE69:GK69)=1,1,0))))</f>
        <v>0</v>
      </c>
      <c r="GM69" s="8">
        <f>IF(GM$56-Voorblad!$F$41&gt;Voorblad!$K$41,0,IF($U69=0,0,IF($U69&lt;1,1/$U69,IF((GM$56-Voorblad!$F$41)/$U69-SUM($EE69:GL69)=1,1,0))))</f>
        <v>0</v>
      </c>
      <c r="GN69" s="8">
        <f>IF(GN$56-Voorblad!$F$41&gt;Voorblad!$K$41,0,IF($U69=0,0,IF($U69&lt;1,1/$U69,IF((GN$56-Voorblad!$F$41)/$U69-SUM($EE69:GM69)=1,1,0))))</f>
        <v>1</v>
      </c>
      <c r="GO69" s="8">
        <f>IF(GO$56-Voorblad!$F$41&gt;Voorblad!$K$41,0,IF($U69=0,0,IF($U69&lt;1,1/$U69,IF((GO$56-Voorblad!$F$41)/$U69-SUM($EE69:GN69)=1,1,0))))</f>
        <v>0</v>
      </c>
      <c r="GP69" s="8">
        <f>IF(GP$56-Voorblad!$F$41&gt;Voorblad!$K$41,0,IF($U69=0,0,IF($U69&lt;1,1/$U69,IF((GP$56-Voorblad!$F$41)/$U69-SUM($EE69:GO69)=1,1,0))))</f>
        <v>0</v>
      </c>
      <c r="GQ69" s="8">
        <f>IF(GQ$56-Voorblad!$F$41&gt;Voorblad!$K$41,0,IF($U69=0,0,IF($U69&lt;1,1/$U69,IF((GQ$56-Voorblad!$F$41)/$U69-SUM($EE69:GP69)=1,1,0))))</f>
        <v>0</v>
      </c>
      <c r="GR69" s="8">
        <f>IF(GR$56-Voorblad!$F$41&gt;Voorblad!$K$41,0,IF($U69=0,0,IF($U69&lt;1,1/$U69,IF((GR$56-Voorblad!$F$41)/$U69-SUM($EE69:GQ69)=1,1,0))))</f>
        <v>0</v>
      </c>
      <c r="GS69" s="8">
        <f>IF(GS$56-Voorblad!$F$41&gt;Voorblad!$K$41,0,IF($U69=0,0,IF($U69&lt;1,1/$U69,IF((GS$56-Voorblad!$F$41)/$U69-SUM($EE69:GR69)=1,1,0))))</f>
        <v>0</v>
      </c>
      <c r="GT69" s="8">
        <f>IF(GT$56-Voorblad!$F$41&gt;Voorblad!$K$41,0,IF($U69=0,0,IF($U69&lt;1,1/$U69,IF((GT$56-Voorblad!$F$41)/$U69-SUM($EE69:GS69)=1,1,0))))</f>
        <v>0</v>
      </c>
      <c r="GU69" s="8">
        <f>IF(GU$56-Voorblad!$F$41&gt;Voorblad!$K$41,0,IF($U69=0,0,IF($U69&lt;1,1/$U69,IF((GU$56-Voorblad!$F$41)/$U69-SUM($EE69:GT69)=1,1,0))))</f>
        <v>0</v>
      </c>
      <c r="GV69" s="8">
        <f>IF(GV$56-Voorblad!$F$41&gt;Voorblad!$K$41,0,IF($U69=0,0,IF($U69&lt;1,1/$U69,IF((GV$56-Voorblad!$F$41)/$U69-SUM($EE69:GU69)=1,1,0))))</f>
        <v>0</v>
      </c>
      <c r="GW69" s="8">
        <f>IF(GW$56-Voorblad!$F$41&gt;Voorblad!$K$41,0,IF($U69=0,0,IF($U69&lt;1,1/$U69,IF((GW$56-Voorblad!$F$41)/$U69-SUM($EE69:GV69)=1,1,0))))</f>
        <v>0</v>
      </c>
      <c r="GX69" s="8">
        <f>IF(GX$56-Voorblad!$F$41&gt;Voorblad!$K$41,0,IF($U69=0,0,IF($U69&lt;1,1/$U69,IF((GX$56-Voorblad!$F$41)/$U69-SUM($EE69:GW69)=1,1,0))))</f>
        <v>0</v>
      </c>
      <c r="GY69" s="8">
        <f>IF(GY$56-Voorblad!$F$41&gt;Voorblad!$K$41,0,IF($U69=0,0,IF($U69&lt;1,1/$U69,IF((GY$56-Voorblad!$F$41)/$U69-SUM($EE69:GX69)=1,1,0))))</f>
        <v>0</v>
      </c>
      <c r="GZ69" s="8">
        <f>IF(GZ$56-Voorblad!$F$41&gt;Voorblad!$K$41,0,IF($U69=0,0,IF($U69&lt;1,1/$U69,IF((GZ$56-Voorblad!$F$41)/$U69-SUM($EE69:GY69)=1,1,0))))</f>
        <v>0</v>
      </c>
      <c r="HA69" s="8">
        <f>IF(HA$56-Voorblad!$F$41&gt;Voorblad!$K$41,0,IF($U69=0,0,IF($U69&lt;1,1/$U69,IF((HA$56-Voorblad!$F$41)/$U69-SUM($EE69:GZ69)=1,1,0))))</f>
        <v>0</v>
      </c>
      <c r="HB69" s="8">
        <f>IF(HB$56-Voorblad!$F$41&gt;Voorblad!$K$41,0,IF($U69=0,0,IF($U69&lt;1,1/$U69,IF((HB$56-Voorblad!$F$41)/$U69-SUM($EE69:HA69)=1,1,0))))</f>
        <v>0</v>
      </c>
      <c r="HC69" s="8">
        <f>IF(HC$56-Voorblad!$F$41&gt;Voorblad!$K$41,0,IF($U69=0,0,IF($U69&lt;1,1/$U69,IF((HC$56-Voorblad!$F$41)/$U69-SUM($EE69:HB69)=1,1,0))))</f>
        <v>0</v>
      </c>
      <c r="HD69" s="8">
        <f>IF(HD$56-Voorblad!$F$41&gt;Voorblad!$K$41,0,IF($U69=0,0,IF($U69&lt;1,1/$U69,IF((HD$56-Voorblad!$F$41)/$U69-SUM($EE69:HC69)=1,1,0))))</f>
        <v>0</v>
      </c>
      <c r="HE69" s="8">
        <f>IF(HE$56-Voorblad!$F$41&gt;Voorblad!$K$41,0,IF($U69=0,0,IF($U69&lt;1,1/$U69,IF((HE$56-Voorblad!$F$41)/$U69-SUM($EE69:HD69)=1,1,0))))</f>
        <v>0</v>
      </c>
      <c r="HF69" s="8">
        <f>IF(HF$56-Voorblad!$F$41&gt;Voorblad!$K$41,0,IF($U69=0,0,IF($U69&lt;1,1/$U69,IF((HF$56-Voorblad!$F$41)/$U69-SUM($EE69:HE69)=1,1,0))))</f>
        <v>0</v>
      </c>
      <c r="HG69" s="8">
        <f>IF(HG$56-Voorblad!$F$41&gt;Voorblad!$K$41,0,IF($U69=0,0,IF($U69&lt;1,1/$U69,IF((HG$56-Voorblad!$F$41)/$U69-SUM($EE69:HF69)=1,1,0))))</f>
        <v>0</v>
      </c>
      <c r="HH69" s="8">
        <f>IF(HH$56-Voorblad!$F$41&gt;Voorblad!$K$41,0,IF($U69=0,0,IF($U69&lt;1,1/$U69,IF((HH$56-Voorblad!$F$41)/$U69-SUM($EE69:HG69)=1,1,0))))</f>
        <v>0</v>
      </c>
      <c r="HI69" s="8">
        <f>IF(HI$56-Voorblad!$F$41&gt;Voorblad!$K$41,0,IF($U69=0,0,IF($U69&lt;1,1/$U69,IF((HI$56-Voorblad!$F$41)/$U69-SUM($EE69:HH69)=1,1,0))))</f>
        <v>0</v>
      </c>
      <c r="HJ69" s="8">
        <f>IF(HJ$56-Voorblad!$F$41&gt;Voorblad!$K$41,0,IF($U69=0,0,IF($U69&lt;1,1/$U69,IF((HJ$56-Voorblad!$F$41)/$U69-SUM($EE69:HI69)=1,1,0))))</f>
        <v>0</v>
      </c>
      <c r="HK69" s="8">
        <f>IF(HK$56-Voorblad!$F$41&gt;Voorblad!$K$41,0,IF($U69=0,0,IF($U69&lt;1,1/$U69,IF((HK$56-Voorblad!$F$41)/$U69-SUM($EE69:HJ69)=1,1,0))))</f>
        <v>0</v>
      </c>
      <c r="HL69" s="8">
        <f>IF(HL$56-Voorblad!$F$41&gt;Voorblad!$K$41,0,IF($U69=0,0,IF($U69&lt;1,1/$U69,IF((HL$56-Voorblad!$F$41)/$U69-SUM($EE69:HK69)=1,1,0))))</f>
        <v>0</v>
      </c>
      <c r="HM69" s="8">
        <f>IF(HM$56-Voorblad!$F$41&gt;Voorblad!$K$41,0,IF($U69=0,0,IF($U69&lt;1,1/$U69,IF((HM$56-Voorblad!$F$41)/$U69-SUM($EE69:HL69)=1,1,0))))</f>
        <v>0</v>
      </c>
      <c r="HN69" s="8">
        <f>IF(HN$56-Voorblad!$F$41&gt;Voorblad!$K$41,0,IF($U69=0,0,IF($U69&lt;1,1/$U69,IF((HN$56-Voorblad!$F$41)/$U69-SUM($EE69:HM69)=1,1,0))))</f>
        <v>0</v>
      </c>
      <c r="HO69" s="8">
        <f>IF(HO$56-Voorblad!$F$41&gt;Voorblad!$K$41,0,IF($U69=0,0,IF($U69&lt;1,1/$U69,IF((HO$56-Voorblad!$F$41)/$U69-SUM($EE69:HN69)=1,1,0))))</f>
        <v>0</v>
      </c>
      <c r="HP69" s="8">
        <f>IF(HP$56-Voorblad!$F$41&gt;Voorblad!$K$41,0,IF($U69=0,0,IF($U69&lt;1,1/$U69,IF((HP$56-Voorblad!$F$41)/$U69-SUM($EE69:HO69)=1,1,0))))</f>
        <v>0</v>
      </c>
      <c r="HQ69" s="8">
        <f>IF(HQ$56-Voorblad!$F$41&gt;Voorblad!$K$41,0,IF($U69=0,0,IF($U69&lt;1,1/$U69,IF((HQ$56-Voorblad!$F$41)/$U69-SUM($EE69:HP69)=1,1,0))))</f>
        <v>0</v>
      </c>
      <c r="HR69" s="8">
        <f>IF(HR$56-Voorblad!$F$41&gt;Voorblad!$K$41,0,IF($U69=0,0,IF($U69&lt;1,1/$U69,IF((HR$56-Voorblad!$F$41)/$U69-SUM($EE69:HQ69)=1,1,0))))</f>
        <v>0</v>
      </c>
      <c r="HS69" s="8">
        <f>IF(HS$56-Voorblad!$F$41&gt;Voorblad!$K$41,0,IF($U69=0,0,IF($U69&lt;1,1/$U69,IF((HS$56-Voorblad!$F$41)/$U69-SUM($EE69:HR69)=1,1,0))))</f>
        <v>0</v>
      </c>
      <c r="HT69" s="8">
        <f>IF(HT$56-Voorblad!$F$41&gt;Voorblad!$K$41,0,IF($U69=0,0,IF($U69&lt;1,1/$U69,IF((HT$56-Voorblad!$F$41)/$U69-SUM($EE69:HS69)=1,1,0))))</f>
        <v>0</v>
      </c>
      <c r="HU69" s="8">
        <f>IF(HU$56-Voorblad!$F$41&gt;Voorblad!$K$41,0,IF($U69=0,0,IF($U69&lt;1,1/$U69,IF((HU$56-Voorblad!$F$41)/$U69-SUM($EE69:HT69)=1,1,0))))</f>
        <v>0</v>
      </c>
      <c r="HV69" s="8">
        <f>IF(HV$56-Voorblad!$F$41&gt;Voorblad!$K$41,0,IF($U69=0,0,IF($U69&lt;1,1/$U69,IF((HV$56-Voorblad!$F$41)/$U69-SUM($EE69:HU69)=1,1,0))))</f>
        <v>0</v>
      </c>
      <c r="HW69" s="8">
        <f>IF(HW$56-Voorblad!$F$41&gt;Voorblad!$K$41,0,IF($U69=0,0,IF($U69&lt;1,1/$U69,IF((HW$56-Voorblad!$F$41)/$U69-SUM($EE69:HV69)=1,1,0))))</f>
        <v>0</v>
      </c>
      <c r="HX69" s="8">
        <f>IF(HX$56-Voorblad!$F$41&gt;Voorblad!$K$41,0,IF($U69=0,0,IF($U69&lt;1,1/$U69,IF((HX$56-Voorblad!$F$41)/$U69-SUM($EE69:HW69)=1,1,0))))</f>
        <v>0</v>
      </c>
      <c r="HY69" s="8">
        <f>IF(HY$56-Voorblad!$F$41&gt;Voorblad!$K$41,0,IF($U69=0,0,IF($U69&lt;1,1/$U69,IF((HY$56-Voorblad!$F$41)/$U69-SUM($EE69:HX69)=1,1,0))))</f>
        <v>0</v>
      </c>
      <c r="HZ69" s="8">
        <f>IF(HZ$56-Voorblad!$F$41&gt;Voorblad!$K$41,0,IF($U69=0,0,IF($U69&lt;1,1/$U69,IF((HZ$56-Voorblad!$F$41)/$U69-SUM($EE69:HY69)=1,1,0))))</f>
        <v>0</v>
      </c>
      <c r="IA69" s="8">
        <f>IF(IA$56-Voorblad!$F$41&gt;Voorblad!$K$41,0,IF($U69=0,0,IF($U69&lt;1,1/$U69,IF((IA$56-Voorblad!$F$41)/$U69-SUM($EE69:HZ69)=1,1,0))))</f>
        <v>0</v>
      </c>
      <c r="IB69" s="8">
        <f>IF(IB$56-Voorblad!$F$41&gt;Voorblad!$K$41,0,IF($U69=0,0,IF($U69&lt;1,1/$U69,IF((IB$56-Voorblad!$F$41)/$U69-SUM($EE69:IA69)=1,1,0))))</f>
        <v>0</v>
      </c>
    </row>
    <row r="70" spans="2:236" ht="12" hidden="1" customHeight="1" outlineLevel="1" x14ac:dyDescent="0.25">
      <c r="B70" s="1">
        <v>3</v>
      </c>
      <c r="F70" s="1" t="s">
        <v>23</v>
      </c>
      <c r="I70" s="1" t="s">
        <v>277</v>
      </c>
      <c r="K70" s="14" t="s">
        <v>191</v>
      </c>
      <c r="L70" s="14"/>
      <c r="M70" s="14"/>
      <c r="N70" s="3"/>
      <c r="O70" s="1" t="s">
        <v>178</v>
      </c>
      <c r="P70" s="1" t="s">
        <v>180</v>
      </c>
      <c r="Q70" s="81">
        <v>0</v>
      </c>
      <c r="R70" s="1" t="s">
        <v>35</v>
      </c>
      <c r="S70" s="21">
        <f>$H$20*1.5*100</f>
        <v>265.5</v>
      </c>
      <c r="T70" s="1">
        <f t="shared" si="10"/>
        <v>0</v>
      </c>
      <c r="U70" s="14">
        <v>15</v>
      </c>
      <c r="V70" s="14"/>
      <c r="Y70" s="9">
        <f t="shared" si="15"/>
        <v>0</v>
      </c>
      <c r="Z70" s="82"/>
      <c r="AA70" s="82"/>
      <c r="AC70" s="9">
        <f>$Y70*(Voorblad!$K$44*(1+Voorblad!$K$44)^Voorblad!$K$41)/((1+Voorblad!$K$44)^Voorblad!$K$41-1)</f>
        <v>0</v>
      </c>
      <c r="AE70" s="9">
        <f>EF70*($Q70*$S70)/(1+Voorblad!$K$44)^(AE$56-Voorblad!$F$41)</f>
        <v>0</v>
      </c>
      <c r="AF70" s="9">
        <f>EG70*($Q70*$S70)/(1+Voorblad!$K$44)^(AF$56-Voorblad!$F$41)</f>
        <v>0</v>
      </c>
      <c r="AG70" s="9">
        <f>EH70*($Q70*$S70)/(1+Voorblad!$K$44)^(AG$56-Voorblad!$F$41)</f>
        <v>0</v>
      </c>
      <c r="AH70" s="9">
        <f>EI70*($Q70*$S70)/(1+Voorblad!$K$44)^(AH$56-Voorblad!$F$41)</f>
        <v>0</v>
      </c>
      <c r="AI70" s="9">
        <f>EJ70*($Q70*$S70)/(1+Voorblad!$K$44)^(AI$56-Voorblad!$F$41)</f>
        <v>0</v>
      </c>
      <c r="AJ70" s="9">
        <f>EK70*($Q70*$S70)/(1+Voorblad!$K$44)^(AJ$56-Voorblad!$F$41)</f>
        <v>0</v>
      </c>
      <c r="AK70" s="9">
        <f>EL70*($Q70*$S70)/(1+Voorblad!$K$44)^(AK$56-Voorblad!$F$41)</f>
        <v>0</v>
      </c>
      <c r="AL70" s="9">
        <f>EM70*($Q70*$S70)/(1+Voorblad!$K$44)^(AL$56-Voorblad!$F$41)</f>
        <v>0</v>
      </c>
      <c r="AM70" s="9">
        <f>EN70*($Q70*$S70)/(1+Voorblad!$K$44)^(AM$56-Voorblad!$F$41)</f>
        <v>0</v>
      </c>
      <c r="AN70" s="9">
        <f>EO70*($Q70*$S70)/(1+Voorblad!$K$44)^(AN$56-Voorblad!$F$41)</f>
        <v>0</v>
      </c>
      <c r="AO70" s="9">
        <f>EP70*($Q70*$S70)/(1+Voorblad!$K$44)^(AO$56-Voorblad!$F$41)</f>
        <v>0</v>
      </c>
      <c r="AP70" s="9">
        <f>EQ70*($Q70*$S70)/(1+Voorblad!$K$44)^(AP$56-Voorblad!$F$41)</f>
        <v>0</v>
      </c>
      <c r="AQ70" s="9">
        <f>ER70*($Q70*$S70)/(1+Voorblad!$K$44)^(AQ$56-Voorblad!$F$41)</f>
        <v>0</v>
      </c>
      <c r="AR70" s="9">
        <f>ES70*($Q70*$S70)/(1+Voorblad!$K$44)^(AR$56-Voorblad!$F$41)</f>
        <v>0</v>
      </c>
      <c r="AS70" s="9">
        <f>ET70*($Q70*$S70)/(1+Voorblad!$K$44)^(AS$56-Voorblad!$F$41)</f>
        <v>0</v>
      </c>
      <c r="AT70" s="9">
        <f>EU70*($Q70*$S70)/(1+Voorblad!$K$44)^(AT$56-Voorblad!$F$41)</f>
        <v>0</v>
      </c>
      <c r="AU70" s="9">
        <f>EV70*($Q70*$S70)/(1+Voorblad!$K$44)^(AU$56-Voorblad!$F$41)</f>
        <v>0</v>
      </c>
      <c r="AV70" s="9">
        <f>EW70*($Q70*$S70)/(1+Voorblad!$K$44)^(AV$56-Voorblad!$F$41)</f>
        <v>0</v>
      </c>
      <c r="AW70" s="9">
        <f>EX70*($Q70*$S70)/(1+Voorblad!$K$44)^(AW$56-Voorblad!$F$41)</f>
        <v>0</v>
      </c>
      <c r="AX70" s="9">
        <f>EY70*($Q70*$S70)/(1+Voorblad!$K$44)^(AX$56-Voorblad!$F$41)</f>
        <v>0</v>
      </c>
      <c r="AY70" s="9">
        <f>EZ70*($Q70*$S70)/(1+Voorblad!$K$44)^(AY$56-Voorblad!$F$41)</f>
        <v>0</v>
      </c>
      <c r="AZ70" s="9">
        <f>FA70*($Q70*$S70)/(1+Voorblad!$K$44)^(AZ$56-Voorblad!$F$41)</f>
        <v>0</v>
      </c>
      <c r="BA70" s="9">
        <f>FB70*($Q70*$S70)/(1+Voorblad!$K$44)^(BA$56-Voorblad!$F$41)</f>
        <v>0</v>
      </c>
      <c r="BB70" s="9">
        <f>FC70*($Q70*$S70)/(1+Voorblad!$K$44)^(BB$56-Voorblad!$F$41)</f>
        <v>0</v>
      </c>
      <c r="BC70" s="9">
        <f>FD70*($Q70*$S70)/(1+Voorblad!$K$44)^(BC$56-Voorblad!$F$41)</f>
        <v>0</v>
      </c>
      <c r="BD70" s="9">
        <f>FE70*($Q70*$S70)/(1+Voorblad!$K$44)^(BD$56-Voorblad!$F$41)</f>
        <v>0</v>
      </c>
      <c r="BE70" s="9">
        <f>FF70*($Q70*$S70)/(1+Voorblad!$K$44)^(BE$56-Voorblad!$F$41)</f>
        <v>0</v>
      </c>
      <c r="BF70" s="9">
        <f>FG70*($Q70*$S70)/(1+Voorblad!$K$44)^(BF$56-Voorblad!$F$41)</f>
        <v>0</v>
      </c>
      <c r="BG70" s="9">
        <f>FH70*($Q70*$S70)/(1+Voorblad!$K$44)^(BG$56-Voorblad!$F$41)</f>
        <v>0</v>
      </c>
      <c r="BH70" s="9">
        <f>FI70*($Q70*$S70)/(1+Voorblad!$K$44)^(BH$56-Voorblad!$F$41)</f>
        <v>0</v>
      </c>
      <c r="BI70" s="9">
        <f>FJ70*($Q70*$S70)/(1+Voorblad!$K$44)^(BI$56-Voorblad!$F$41)</f>
        <v>0</v>
      </c>
      <c r="BJ70" s="9">
        <f>FK70*($Q70*$S70)/(1+Voorblad!$K$44)^(BJ$56-Voorblad!$F$41)</f>
        <v>0</v>
      </c>
      <c r="BK70" s="9">
        <f>FL70*($Q70*$S70)/(1+Voorblad!$K$44)^(BK$56-Voorblad!$F$41)</f>
        <v>0</v>
      </c>
      <c r="BL70" s="9">
        <f>FM70*($Q70*$S70)/(1+Voorblad!$K$44)^(BL$56-Voorblad!$F$41)</f>
        <v>0</v>
      </c>
      <c r="BM70" s="9">
        <f>FN70*($Q70*$S70)/(1+Voorblad!$K$44)^(BM$56-Voorblad!$F$41)</f>
        <v>0</v>
      </c>
      <c r="BN70" s="9">
        <f>FO70*($Q70*$S70)/(1+Voorblad!$K$44)^(BN$56-Voorblad!$F$41)</f>
        <v>0</v>
      </c>
      <c r="BO70" s="9">
        <f>FP70*($Q70*$S70)/(1+Voorblad!$K$44)^(BO$56-Voorblad!$F$41)</f>
        <v>0</v>
      </c>
      <c r="BP70" s="9">
        <f>FQ70*($Q70*$S70)/(1+Voorblad!$K$44)^(BP$56-Voorblad!$F$41)</f>
        <v>0</v>
      </c>
      <c r="BQ70" s="9">
        <f>FR70*($Q70*$S70)/(1+Voorblad!$K$44)^(BQ$56-Voorblad!$F$41)</f>
        <v>0</v>
      </c>
      <c r="BR70" s="9">
        <f>FS70*($Q70*$S70)/(1+Voorblad!$K$44)^(BR$56-Voorblad!$F$41)</f>
        <v>0</v>
      </c>
      <c r="BS70" s="9">
        <f>FT70*($Q70*$S70)/(1+Voorblad!$K$44)^(BS$56-Voorblad!$F$41)</f>
        <v>0</v>
      </c>
      <c r="BT70" s="9">
        <f>FU70*($Q70*$S70)/(1+Voorblad!$K$44)^(BT$56-Voorblad!$F$41)</f>
        <v>0</v>
      </c>
      <c r="BU70" s="9">
        <f>FV70*($Q70*$S70)/(1+Voorblad!$K$44)^(BU$56-Voorblad!$F$41)</f>
        <v>0</v>
      </c>
      <c r="BV70" s="9">
        <f>FW70*($Q70*$S70)/(1+Voorblad!$K$44)^(BV$56-Voorblad!$F$41)</f>
        <v>0</v>
      </c>
      <c r="BW70" s="9">
        <f>FX70*($Q70*$S70)/(1+Voorblad!$K$44)^(BW$56-Voorblad!$F$41)</f>
        <v>0</v>
      </c>
      <c r="BX70" s="9">
        <f>FY70*($Q70*$S70)/(1+Voorblad!$K$44)^(BX$56-Voorblad!$F$41)</f>
        <v>0</v>
      </c>
      <c r="BY70" s="9">
        <f>FZ70*($Q70*$S70)/(1+Voorblad!$K$44)^(BY$56-Voorblad!$F$41)</f>
        <v>0</v>
      </c>
      <c r="BZ70" s="9">
        <f>GA70*($Q70*$S70)/(1+Voorblad!$K$44)^(BZ$56-Voorblad!$F$41)</f>
        <v>0</v>
      </c>
      <c r="CA70" s="9">
        <f>GB70*($Q70*$S70)/(1+Voorblad!$K$44)^(CA$56-Voorblad!$F$41)</f>
        <v>0</v>
      </c>
      <c r="CB70" s="9">
        <f>GC70*($Q70*$S70)/(1+Voorblad!$K$44)^(CB$56-Voorblad!$F$41)</f>
        <v>0</v>
      </c>
      <c r="CC70" s="9">
        <f>GD70*($Q70*$S70)/(1+Voorblad!$K$44)^(CC$56-Voorblad!$F$41)</f>
        <v>0</v>
      </c>
      <c r="CD70" s="9">
        <f>GE70*($Q70*$S70)/(1+Voorblad!$K$44)^(CD$56-Voorblad!$F$41)</f>
        <v>0</v>
      </c>
      <c r="CE70" s="9">
        <f>GF70*($Q70*$S70)/(1+Voorblad!$K$44)^(CE$56-Voorblad!$F$41)</f>
        <v>0</v>
      </c>
      <c r="CF70" s="9">
        <f>GG70*($Q70*$S70)/(1+Voorblad!$K$44)^(CF$56-Voorblad!$F$41)</f>
        <v>0</v>
      </c>
      <c r="CG70" s="9">
        <f>GH70*($Q70*$S70)/(1+Voorblad!$K$44)^(CG$56-Voorblad!$F$41)</f>
        <v>0</v>
      </c>
      <c r="CH70" s="9">
        <f>GI70*($Q70*$S70)/(1+Voorblad!$K$44)^(CH$56-Voorblad!$F$41)</f>
        <v>0</v>
      </c>
      <c r="CI70" s="9">
        <f>GJ70*($Q70*$S70)/(1+Voorblad!$K$44)^(CI$56-Voorblad!$F$41)</f>
        <v>0</v>
      </c>
      <c r="CJ70" s="9">
        <f>GK70*($Q70*$S70)/(1+Voorblad!$K$44)^(CJ$56-Voorblad!$F$41)</f>
        <v>0</v>
      </c>
      <c r="CK70" s="9">
        <f>GL70*($Q70*$S70)/(1+Voorblad!$K$44)^(CK$56-Voorblad!$F$41)</f>
        <v>0</v>
      </c>
      <c r="CL70" s="9">
        <f>GM70*($Q70*$S70)/(1+Voorblad!$K$44)^(CL$56-Voorblad!$F$41)</f>
        <v>0</v>
      </c>
      <c r="CM70" s="9">
        <f>GN70*($Q70*$S70)/(1+Voorblad!$K$44)^(CM$56-Voorblad!$F$41)</f>
        <v>0</v>
      </c>
      <c r="CN70" s="9">
        <f>GO70*($Q70*$S70)/(1+Voorblad!$K$44)^(CN$56-Voorblad!$F$41)</f>
        <v>0</v>
      </c>
      <c r="CO70" s="9">
        <f>GP70*($Q70*$S70)/(1+Voorblad!$K$44)^(CO$56-Voorblad!$F$41)</f>
        <v>0</v>
      </c>
      <c r="CP70" s="9">
        <f>GQ70*($Q70*$S70)/(1+Voorblad!$K$44)^(CP$56-Voorblad!$F$41)</f>
        <v>0</v>
      </c>
      <c r="CQ70" s="9">
        <f>GR70*($Q70*$S70)/(1+Voorblad!$K$44)^(CQ$56-Voorblad!$F$41)</f>
        <v>0</v>
      </c>
      <c r="CR70" s="9">
        <f>GS70*($Q70*$S70)/(1+Voorblad!$K$44)^(CR$56-Voorblad!$F$41)</f>
        <v>0</v>
      </c>
      <c r="CS70" s="9">
        <f>GT70*($Q70*$S70)/(1+Voorblad!$K$44)^(CS$56-Voorblad!$F$41)</f>
        <v>0</v>
      </c>
      <c r="CT70" s="9">
        <f>GU70*($Q70*$S70)/(1+Voorblad!$K$44)^(CT$56-Voorblad!$F$41)</f>
        <v>0</v>
      </c>
      <c r="CU70" s="9">
        <f>GV70*($Q70*$S70)/(1+Voorblad!$K$44)^(CU$56-Voorblad!$F$41)</f>
        <v>0</v>
      </c>
      <c r="CV70" s="9">
        <f>GW70*($Q70*$S70)/(1+Voorblad!$K$44)^(CV$56-Voorblad!$F$41)</f>
        <v>0</v>
      </c>
      <c r="CW70" s="9">
        <f>GX70*($Q70*$S70)/(1+Voorblad!$K$44)^(CW$56-Voorblad!$F$41)</f>
        <v>0</v>
      </c>
      <c r="CX70" s="9">
        <f>GY70*($Q70*$S70)/(1+Voorblad!$K$44)^(CX$56-Voorblad!$F$41)</f>
        <v>0</v>
      </c>
      <c r="CY70" s="9">
        <f>GZ70*($Q70*$S70)/(1+Voorblad!$K$44)^(CY$56-Voorblad!$F$41)</f>
        <v>0</v>
      </c>
      <c r="CZ70" s="9">
        <f>HA70*($Q70*$S70)/(1+Voorblad!$K$44)^(CZ$56-Voorblad!$F$41)</f>
        <v>0</v>
      </c>
      <c r="DA70" s="9">
        <f>HB70*($Q70*$S70)/(1+Voorblad!$K$44)^(DA$56-Voorblad!$F$41)</f>
        <v>0</v>
      </c>
      <c r="DB70" s="9">
        <f>HC70*($Q70*$S70)/(1+Voorblad!$K$44)^(DB$56-Voorblad!$F$41)</f>
        <v>0</v>
      </c>
      <c r="DC70" s="9">
        <f>HD70*($Q70*$S70)/(1+Voorblad!$K$44)^(DC$56-Voorblad!$F$41)</f>
        <v>0</v>
      </c>
      <c r="DD70" s="9">
        <f>HE70*($Q70*$S70)/(1+Voorblad!$K$44)^(DD$56-Voorblad!$F$41)</f>
        <v>0</v>
      </c>
      <c r="DE70" s="9">
        <f>HF70*($Q70*$S70)/(1+Voorblad!$K$44)^(DE$56-Voorblad!$F$41)</f>
        <v>0</v>
      </c>
      <c r="DF70" s="9">
        <f>HG70*($Q70*$S70)/(1+Voorblad!$K$44)^(DF$56-Voorblad!$F$41)</f>
        <v>0</v>
      </c>
      <c r="DG70" s="9">
        <f>HH70*($Q70*$S70)/(1+Voorblad!$K$44)^(DG$56-Voorblad!$F$41)</f>
        <v>0</v>
      </c>
      <c r="DH70" s="9">
        <f>HI70*($Q70*$S70)/(1+Voorblad!$K$44)^(DH$56-Voorblad!$F$41)</f>
        <v>0</v>
      </c>
      <c r="DI70" s="9">
        <f>HJ70*($Q70*$S70)/(1+Voorblad!$K$44)^(DI$56-Voorblad!$F$41)</f>
        <v>0</v>
      </c>
      <c r="DJ70" s="9">
        <f>HK70*($Q70*$S70)/(1+Voorblad!$K$44)^(DJ$56-Voorblad!$F$41)</f>
        <v>0</v>
      </c>
      <c r="DK70" s="9">
        <f>HL70*($Q70*$S70)/(1+Voorblad!$K$44)^(DK$56-Voorblad!$F$41)</f>
        <v>0</v>
      </c>
      <c r="DL70" s="9">
        <f>HM70*($Q70*$S70)/(1+Voorblad!$K$44)^(DL$56-Voorblad!$F$41)</f>
        <v>0</v>
      </c>
      <c r="DM70" s="9">
        <f>HN70*($Q70*$S70)/(1+Voorblad!$K$44)^(DM$56-Voorblad!$F$41)</f>
        <v>0</v>
      </c>
      <c r="DN70" s="9">
        <f>HO70*($Q70*$S70)/(1+Voorblad!$K$44)^(DN$56-Voorblad!$F$41)</f>
        <v>0</v>
      </c>
      <c r="DO70" s="9">
        <f>HP70*($Q70*$S70)/(1+Voorblad!$K$44)^(DO$56-Voorblad!$F$41)</f>
        <v>0</v>
      </c>
      <c r="DP70" s="9">
        <f>HQ70*($Q70*$S70)/(1+Voorblad!$K$44)^(DP$56-Voorblad!$F$41)</f>
        <v>0</v>
      </c>
      <c r="DQ70" s="9">
        <f>HR70*($Q70*$S70)/(1+Voorblad!$K$44)^(DQ$56-Voorblad!$F$41)</f>
        <v>0</v>
      </c>
      <c r="DR70" s="9">
        <f>HS70*($Q70*$S70)/(1+Voorblad!$K$44)^(DR$56-Voorblad!$F$41)</f>
        <v>0</v>
      </c>
      <c r="DS70" s="9">
        <f>HT70*($Q70*$S70)/(1+Voorblad!$K$44)^(DS$56-Voorblad!$F$41)</f>
        <v>0</v>
      </c>
      <c r="DT70" s="9">
        <f>HU70*($Q70*$S70)/(1+Voorblad!$K$44)^(DT$56-Voorblad!$F$41)</f>
        <v>0</v>
      </c>
      <c r="DU70" s="9">
        <f>HV70*($Q70*$S70)/(1+Voorblad!$K$44)^(DU$56-Voorblad!$F$41)</f>
        <v>0</v>
      </c>
      <c r="DV70" s="9">
        <f>HW70*($Q70*$S70)/(1+Voorblad!$K$44)^(DV$56-Voorblad!$F$41)</f>
        <v>0</v>
      </c>
      <c r="DW70" s="9">
        <f>HX70*($Q70*$S70)/(1+Voorblad!$K$44)^(DW$56-Voorblad!$F$41)</f>
        <v>0</v>
      </c>
      <c r="DX70" s="9">
        <f>HY70*($Q70*$S70)/(1+Voorblad!$K$44)^(DX$56-Voorblad!$F$41)</f>
        <v>0</v>
      </c>
      <c r="DY70" s="9">
        <f>HZ70*($Q70*$S70)/(1+Voorblad!$K$44)^(DY$56-Voorblad!$F$41)</f>
        <v>0</v>
      </c>
      <c r="DZ70" s="9">
        <f>IA70*($Q70*$S70)/(1+Voorblad!$K$44)^(DZ$56-Voorblad!$F$41)</f>
        <v>0</v>
      </c>
      <c r="EA70" s="9">
        <f>IB70*($Q70*$S70)/(1+Voorblad!$K$44)^(EA$56-Voorblad!$F$41)</f>
        <v>0</v>
      </c>
      <c r="EB70" s="9">
        <f>IC70*($Q70*$S70)/(1+Voorblad!$K$44)^(EB$56-Voorblad!$F$41)</f>
        <v>0</v>
      </c>
      <c r="EE70" s="8">
        <v>0</v>
      </c>
      <c r="EF70" s="8">
        <f>IF(EF$56-Voorblad!$F$41&gt;Voorblad!$K$41,0,IF($U70=0,0,IF($U70&lt;1,1/$U70,IF((EF$56-Voorblad!$F$41)/$U70-SUM($EE70:EE70)=1,1,0))))</f>
        <v>0</v>
      </c>
      <c r="EG70" s="8">
        <f>IF(EG$56-Voorblad!$F$41&gt;Voorblad!$K$41,0,IF($U70=0,0,IF($U70&lt;1,1/$U70,IF((EG$56-Voorblad!$F$41)/$U70-SUM($EE70:EF70)=1,1,0))))</f>
        <v>0</v>
      </c>
      <c r="EH70" s="8">
        <f>IF(EH$56-Voorblad!$F$41&gt;Voorblad!$K$41,0,IF($U70=0,0,IF($U70&lt;1,1/$U70,IF((EH$56-Voorblad!$F$41)/$U70-SUM($EE70:EG70)=1,1,0))))</f>
        <v>0</v>
      </c>
      <c r="EI70" s="8">
        <f>IF(EI$56-Voorblad!$F$41&gt;Voorblad!$K$41,0,IF($U70=0,0,IF($U70&lt;1,1/$U70,IF((EI$56-Voorblad!$F$41)/$U70-SUM($EE70:EH70)=1,1,0))))</f>
        <v>0</v>
      </c>
      <c r="EJ70" s="8">
        <f>IF(EJ$56-Voorblad!$F$41&gt;Voorblad!$K$41,0,IF($U70=0,0,IF($U70&lt;1,1/$U70,IF((EJ$56-Voorblad!$F$41)/$U70-SUM($EE70:EI70)=1,1,0))))</f>
        <v>0</v>
      </c>
      <c r="EK70" s="8">
        <f>IF(EK$56-Voorblad!$F$41&gt;Voorblad!$K$41,0,IF($U70=0,0,IF($U70&lt;1,1/$U70,IF((EK$56-Voorblad!$F$41)/$U70-SUM($EE70:EJ70)=1,1,0))))</f>
        <v>0</v>
      </c>
      <c r="EL70" s="8">
        <f>IF(EL$56-Voorblad!$F$41&gt;Voorblad!$K$41,0,IF($U70=0,0,IF($U70&lt;1,1/$U70,IF((EL$56-Voorblad!$F$41)/$U70-SUM($EE70:EK70)=1,1,0))))</f>
        <v>0</v>
      </c>
      <c r="EM70" s="8">
        <f>IF(EM$56-Voorblad!$F$41&gt;Voorblad!$K$41,0,IF($U70=0,0,IF($U70&lt;1,1/$U70,IF((EM$56-Voorblad!$F$41)/$U70-SUM($EE70:EL70)=1,1,0))))</f>
        <v>0</v>
      </c>
      <c r="EN70" s="8">
        <f>IF(EN$56-Voorblad!$F$41&gt;Voorblad!$K$41,0,IF($U70=0,0,IF($U70&lt;1,1/$U70,IF((EN$56-Voorblad!$F$41)/$U70-SUM($EE70:EM70)=1,1,0))))</f>
        <v>0</v>
      </c>
      <c r="EO70" s="8">
        <f>IF(EO$56-Voorblad!$F$41&gt;Voorblad!$K$41,0,IF($U70=0,0,IF($U70&lt;1,1/$U70,IF((EO$56-Voorblad!$F$41)/$U70-SUM($EE70:EN70)=1,1,0))))</f>
        <v>0</v>
      </c>
      <c r="EP70" s="8">
        <f>IF(EP$56-Voorblad!$F$41&gt;Voorblad!$K$41,0,IF($U70=0,0,IF($U70&lt;1,1/$U70,IF((EP$56-Voorblad!$F$41)/$U70-SUM($EE70:EO70)=1,1,0))))</f>
        <v>0</v>
      </c>
      <c r="EQ70" s="8">
        <f>IF(EQ$56-Voorblad!$F$41&gt;Voorblad!$K$41,0,IF($U70=0,0,IF($U70&lt;1,1/$U70,IF((EQ$56-Voorblad!$F$41)/$U70-SUM($EE70:EP70)=1,1,0))))</f>
        <v>0</v>
      </c>
      <c r="ER70" s="8">
        <f>IF(ER$56-Voorblad!$F$41&gt;Voorblad!$K$41,0,IF($U70=0,0,IF($U70&lt;1,1/$U70,IF((ER$56-Voorblad!$F$41)/$U70-SUM($EE70:EQ70)=1,1,0))))</f>
        <v>0</v>
      </c>
      <c r="ES70" s="8">
        <f>IF(ES$56-Voorblad!$F$41&gt;Voorblad!$K$41,0,IF($U70=0,0,IF($U70&lt;1,1/$U70,IF((ES$56-Voorblad!$F$41)/$U70-SUM($EE70:ER70)=1,1,0))))</f>
        <v>0</v>
      </c>
      <c r="ET70" s="8">
        <f>IF(ET$56-Voorblad!$F$41&gt;Voorblad!$K$41,0,IF($U70=0,0,IF($U70&lt;1,1/$U70,IF((ET$56-Voorblad!$F$41)/$U70-SUM($EE70:ES70)=1,1,0))))</f>
        <v>0</v>
      </c>
      <c r="EU70" s="8">
        <f>IF(EU$56-Voorblad!$F$41&gt;Voorblad!$K$41,0,IF($U70=0,0,IF($U70&lt;1,1/$U70,IF((EU$56-Voorblad!$F$41)/$U70-SUM($EE70:ET70)=1,1,0))))</f>
        <v>1</v>
      </c>
      <c r="EV70" s="8">
        <f>IF(EV$56-Voorblad!$F$41&gt;Voorblad!$K$41,0,IF($U70=0,0,IF($U70&lt;1,1/$U70,IF((EV$56-Voorblad!$F$41)/$U70-SUM($EE70:EU70)=1,1,0))))</f>
        <v>0</v>
      </c>
      <c r="EW70" s="8">
        <f>IF(EW$56-Voorblad!$F$41&gt;Voorblad!$K$41,0,IF($U70=0,0,IF($U70&lt;1,1/$U70,IF((EW$56-Voorblad!$F$41)/$U70-SUM($EE70:EV70)=1,1,0))))</f>
        <v>0</v>
      </c>
      <c r="EX70" s="8">
        <f>IF(EX$56-Voorblad!$F$41&gt;Voorblad!$K$41,0,IF($U70=0,0,IF($U70&lt;1,1/$U70,IF((EX$56-Voorblad!$F$41)/$U70-SUM($EE70:EW70)=1,1,0))))</f>
        <v>0</v>
      </c>
      <c r="EY70" s="8">
        <f>IF(EY$56-Voorblad!$F$41&gt;Voorblad!$K$41,0,IF($U70=0,0,IF($U70&lt;1,1/$U70,IF((EY$56-Voorblad!$F$41)/$U70-SUM($EE70:EX70)=1,1,0))))</f>
        <v>0</v>
      </c>
      <c r="EZ70" s="8">
        <f>IF(EZ$56-Voorblad!$F$41&gt;Voorblad!$K$41,0,IF($U70=0,0,IF($U70&lt;1,1/$U70,IF((EZ$56-Voorblad!$F$41)/$U70-SUM($EE70:EY70)=1,1,0))))</f>
        <v>0</v>
      </c>
      <c r="FA70" s="8">
        <f>IF(FA$56-Voorblad!$F$41&gt;Voorblad!$K$41,0,IF($U70=0,0,IF($U70&lt;1,1/$U70,IF((FA$56-Voorblad!$F$41)/$U70-SUM($EE70:EZ70)=1,1,0))))</f>
        <v>0</v>
      </c>
      <c r="FB70" s="8">
        <f>IF(FB$56-Voorblad!$F$41&gt;Voorblad!$K$41,0,IF($U70=0,0,IF($U70&lt;1,1/$U70,IF((FB$56-Voorblad!$F$41)/$U70-SUM($EE70:FA70)=1,1,0))))</f>
        <v>0</v>
      </c>
      <c r="FC70" s="8">
        <f>IF(FC$56-Voorblad!$F$41&gt;Voorblad!$K$41,0,IF($U70=0,0,IF($U70&lt;1,1/$U70,IF((FC$56-Voorblad!$F$41)/$U70-SUM($EE70:FB70)=1,1,0))))</f>
        <v>0</v>
      </c>
      <c r="FD70" s="8">
        <f>IF(FD$56-Voorblad!$F$41&gt;Voorblad!$K$41,0,IF($U70=0,0,IF($U70&lt;1,1/$U70,IF((FD$56-Voorblad!$F$41)/$U70-SUM($EE70:FC70)=1,1,0))))</f>
        <v>0</v>
      </c>
      <c r="FE70" s="8">
        <f>IF(FE$56-Voorblad!$F$41&gt;Voorblad!$K$41,0,IF($U70=0,0,IF($U70&lt;1,1/$U70,IF((FE$56-Voorblad!$F$41)/$U70-SUM($EE70:FD70)=1,1,0))))</f>
        <v>0</v>
      </c>
      <c r="FF70" s="8">
        <f>IF(FF$56-Voorblad!$F$41&gt;Voorblad!$K$41,0,IF($U70=0,0,IF($U70&lt;1,1/$U70,IF((FF$56-Voorblad!$F$41)/$U70-SUM($EE70:FE70)=1,1,0))))</f>
        <v>0</v>
      </c>
      <c r="FG70" s="8">
        <f>IF(FG$56-Voorblad!$F$41&gt;Voorblad!$K$41,0,IF($U70=0,0,IF($U70&lt;1,1/$U70,IF((FG$56-Voorblad!$F$41)/$U70-SUM($EE70:FF70)=1,1,0))))</f>
        <v>0</v>
      </c>
      <c r="FH70" s="8">
        <f>IF(FH$56-Voorblad!$F$41&gt;Voorblad!$K$41,0,IF($U70=0,0,IF($U70&lt;1,1/$U70,IF((FH$56-Voorblad!$F$41)/$U70-SUM($EE70:FG70)=1,1,0))))</f>
        <v>0</v>
      </c>
      <c r="FI70" s="8">
        <f>IF(FI$56-Voorblad!$F$41&gt;Voorblad!$K$41,0,IF($U70=0,0,IF($U70&lt;1,1/$U70,IF((FI$56-Voorblad!$F$41)/$U70-SUM($EE70:FH70)=1,1,0))))</f>
        <v>0</v>
      </c>
      <c r="FJ70" s="8">
        <f>IF(FJ$56-Voorblad!$F$41&gt;Voorblad!$K$41,0,IF($U70=0,0,IF($U70&lt;1,1/$U70,IF((FJ$56-Voorblad!$F$41)/$U70-SUM($EE70:FI70)=1,1,0))))</f>
        <v>1</v>
      </c>
      <c r="FK70" s="8">
        <f>IF(FK$56-Voorblad!$F$41&gt;Voorblad!$K$41,0,IF($U70=0,0,IF($U70&lt;1,1/$U70,IF((FK$56-Voorblad!$F$41)/$U70-SUM($EE70:FJ70)=1,1,0))))</f>
        <v>0</v>
      </c>
      <c r="FL70" s="8">
        <f>IF(FL$56-Voorblad!$F$41&gt;Voorblad!$K$41,0,IF($U70=0,0,IF($U70&lt;1,1/$U70,IF((FL$56-Voorblad!$F$41)/$U70-SUM($EE70:FK70)=1,1,0))))</f>
        <v>0</v>
      </c>
      <c r="FM70" s="8">
        <f>IF(FM$56-Voorblad!$F$41&gt;Voorblad!$K$41,0,IF($U70=0,0,IF($U70&lt;1,1/$U70,IF((FM$56-Voorblad!$F$41)/$U70-SUM($EE70:FL70)=1,1,0))))</f>
        <v>0</v>
      </c>
      <c r="FN70" s="8">
        <f>IF(FN$56-Voorblad!$F$41&gt;Voorblad!$K$41,0,IF($U70=0,0,IF($U70&lt;1,1/$U70,IF((FN$56-Voorblad!$F$41)/$U70-SUM($EE70:FM70)=1,1,0))))</f>
        <v>0</v>
      </c>
      <c r="FO70" s="8">
        <f>IF(FO$56-Voorblad!$F$41&gt;Voorblad!$K$41,0,IF($U70=0,0,IF($U70&lt;1,1/$U70,IF((FO$56-Voorblad!$F$41)/$U70-SUM($EE70:FN70)=1,1,0))))</f>
        <v>0</v>
      </c>
      <c r="FP70" s="8">
        <f>IF(FP$56-Voorblad!$F$41&gt;Voorblad!$K$41,0,IF($U70=0,0,IF($U70&lt;1,1/$U70,IF((FP$56-Voorblad!$F$41)/$U70-SUM($EE70:FO70)=1,1,0))))</f>
        <v>0</v>
      </c>
      <c r="FQ70" s="8">
        <f>IF(FQ$56-Voorblad!$F$41&gt;Voorblad!$K$41,0,IF($U70=0,0,IF($U70&lt;1,1/$U70,IF((FQ$56-Voorblad!$F$41)/$U70-SUM($EE70:FP70)=1,1,0))))</f>
        <v>0</v>
      </c>
      <c r="FR70" s="8">
        <f>IF(FR$56-Voorblad!$F$41&gt;Voorblad!$K$41,0,IF($U70=0,0,IF($U70&lt;1,1/$U70,IF((FR$56-Voorblad!$F$41)/$U70-SUM($EE70:FQ70)=1,1,0))))</f>
        <v>0</v>
      </c>
      <c r="FS70" s="8">
        <f>IF(FS$56-Voorblad!$F$41&gt;Voorblad!$K$41,0,IF($U70=0,0,IF($U70&lt;1,1/$U70,IF((FS$56-Voorblad!$F$41)/$U70-SUM($EE70:FR70)=1,1,0))))</f>
        <v>0</v>
      </c>
      <c r="FT70" s="8">
        <f>IF(FT$56-Voorblad!$F$41&gt;Voorblad!$K$41,0,IF($U70=0,0,IF($U70&lt;1,1/$U70,IF((FT$56-Voorblad!$F$41)/$U70-SUM($EE70:FS70)=1,1,0))))</f>
        <v>0</v>
      </c>
      <c r="FU70" s="8">
        <f>IF(FU$56-Voorblad!$F$41&gt;Voorblad!$K$41,0,IF($U70=0,0,IF($U70&lt;1,1/$U70,IF((FU$56-Voorblad!$F$41)/$U70-SUM($EE70:FT70)=1,1,0))))</f>
        <v>0</v>
      </c>
      <c r="FV70" s="8">
        <f>IF(FV$56-Voorblad!$F$41&gt;Voorblad!$K$41,0,IF($U70=0,0,IF($U70&lt;1,1/$U70,IF((FV$56-Voorblad!$F$41)/$U70-SUM($EE70:FU70)=1,1,0))))</f>
        <v>0</v>
      </c>
      <c r="FW70" s="8">
        <f>IF(FW$56-Voorblad!$F$41&gt;Voorblad!$K$41,0,IF($U70=0,0,IF($U70&lt;1,1/$U70,IF((FW$56-Voorblad!$F$41)/$U70-SUM($EE70:FV70)=1,1,0))))</f>
        <v>0</v>
      </c>
      <c r="FX70" s="8">
        <f>IF(FX$56-Voorblad!$F$41&gt;Voorblad!$K$41,0,IF($U70=0,0,IF($U70&lt;1,1/$U70,IF((FX$56-Voorblad!$F$41)/$U70-SUM($EE70:FW70)=1,1,0))))</f>
        <v>0</v>
      </c>
      <c r="FY70" s="8">
        <f>IF(FY$56-Voorblad!$F$41&gt;Voorblad!$K$41,0,IF($U70=0,0,IF($U70&lt;1,1/$U70,IF((FY$56-Voorblad!$F$41)/$U70-SUM($EE70:FX70)=1,1,0))))</f>
        <v>1</v>
      </c>
      <c r="FZ70" s="8">
        <f>IF(FZ$56-Voorblad!$F$41&gt;Voorblad!$K$41,0,IF($U70=0,0,IF($U70&lt;1,1/$U70,IF((FZ$56-Voorblad!$F$41)/$U70-SUM($EE70:FY70)=1,1,0))))</f>
        <v>0</v>
      </c>
      <c r="GA70" s="8">
        <f>IF(GA$56-Voorblad!$F$41&gt;Voorblad!$K$41,0,IF($U70=0,0,IF($U70&lt;1,1/$U70,IF((GA$56-Voorblad!$F$41)/$U70-SUM($EE70:FZ70)=1,1,0))))</f>
        <v>0</v>
      </c>
      <c r="GB70" s="8">
        <f>IF(GB$56-Voorblad!$F$41&gt;Voorblad!$K$41,0,IF($U70=0,0,IF($U70&lt;1,1/$U70,IF((GB$56-Voorblad!$F$41)/$U70-SUM($EE70:GA70)=1,1,0))))</f>
        <v>0</v>
      </c>
      <c r="GC70" s="8">
        <f>IF(GC$56-Voorblad!$F$41&gt;Voorblad!$K$41,0,IF($U70=0,0,IF($U70&lt;1,1/$U70,IF((GC$56-Voorblad!$F$41)/$U70-SUM($EE70:GB70)=1,1,0))))</f>
        <v>0</v>
      </c>
      <c r="GD70" s="8">
        <f>IF(GD$56-Voorblad!$F$41&gt;Voorblad!$K$41,0,IF($U70=0,0,IF($U70&lt;1,1/$U70,IF((GD$56-Voorblad!$F$41)/$U70-SUM($EE70:GC70)=1,1,0))))</f>
        <v>0</v>
      </c>
      <c r="GE70" s="8">
        <f>IF(GE$56-Voorblad!$F$41&gt;Voorblad!$K$41,0,IF($U70=0,0,IF($U70&lt;1,1/$U70,IF((GE$56-Voorblad!$F$41)/$U70-SUM($EE70:GD70)=1,1,0))))</f>
        <v>0</v>
      </c>
      <c r="GF70" s="8">
        <f>IF(GF$56-Voorblad!$F$41&gt;Voorblad!$K$41,0,IF($U70=0,0,IF($U70&lt;1,1/$U70,IF((GF$56-Voorblad!$F$41)/$U70-SUM($EE70:GE70)=1,1,0))))</f>
        <v>0</v>
      </c>
      <c r="GG70" s="8">
        <f>IF(GG$56-Voorblad!$F$41&gt;Voorblad!$K$41,0,IF($U70=0,0,IF($U70&lt;1,1/$U70,IF((GG$56-Voorblad!$F$41)/$U70-SUM($EE70:GF70)=1,1,0))))</f>
        <v>0</v>
      </c>
      <c r="GH70" s="8">
        <f>IF(GH$56-Voorblad!$F$41&gt;Voorblad!$K$41,0,IF($U70=0,0,IF($U70&lt;1,1/$U70,IF((GH$56-Voorblad!$F$41)/$U70-SUM($EE70:GG70)=1,1,0))))</f>
        <v>0</v>
      </c>
      <c r="GI70" s="8">
        <f>IF(GI$56-Voorblad!$F$41&gt;Voorblad!$K$41,0,IF($U70=0,0,IF($U70&lt;1,1/$U70,IF((GI$56-Voorblad!$F$41)/$U70-SUM($EE70:GH70)=1,1,0))))</f>
        <v>0</v>
      </c>
      <c r="GJ70" s="8">
        <f>IF(GJ$56-Voorblad!$F$41&gt;Voorblad!$K$41,0,IF($U70=0,0,IF($U70&lt;1,1/$U70,IF((GJ$56-Voorblad!$F$41)/$U70-SUM($EE70:GI70)=1,1,0))))</f>
        <v>0</v>
      </c>
      <c r="GK70" s="8">
        <f>IF(GK$56-Voorblad!$F$41&gt;Voorblad!$K$41,0,IF($U70=0,0,IF($U70&lt;1,1/$U70,IF((GK$56-Voorblad!$F$41)/$U70-SUM($EE70:GJ70)=1,1,0))))</f>
        <v>0</v>
      </c>
      <c r="GL70" s="8">
        <f>IF(GL$56-Voorblad!$F$41&gt;Voorblad!$K$41,0,IF($U70=0,0,IF($U70&lt;1,1/$U70,IF((GL$56-Voorblad!$F$41)/$U70-SUM($EE70:GK70)=1,1,0))))</f>
        <v>0</v>
      </c>
      <c r="GM70" s="8">
        <f>IF(GM$56-Voorblad!$F$41&gt;Voorblad!$K$41,0,IF($U70=0,0,IF($U70&lt;1,1/$U70,IF((GM$56-Voorblad!$F$41)/$U70-SUM($EE70:GL70)=1,1,0))))</f>
        <v>0</v>
      </c>
      <c r="GN70" s="8">
        <f>IF(GN$56-Voorblad!$F$41&gt;Voorblad!$K$41,0,IF($U70=0,0,IF($U70&lt;1,1/$U70,IF((GN$56-Voorblad!$F$41)/$U70-SUM($EE70:GM70)=1,1,0))))</f>
        <v>1</v>
      </c>
      <c r="GO70" s="8">
        <f>IF(GO$56-Voorblad!$F$41&gt;Voorblad!$K$41,0,IF($U70=0,0,IF($U70&lt;1,1/$U70,IF((GO$56-Voorblad!$F$41)/$U70-SUM($EE70:GN70)=1,1,0))))</f>
        <v>0</v>
      </c>
      <c r="GP70" s="8">
        <f>IF(GP$56-Voorblad!$F$41&gt;Voorblad!$K$41,0,IF($U70=0,0,IF($U70&lt;1,1/$U70,IF((GP$56-Voorblad!$F$41)/$U70-SUM($EE70:GO70)=1,1,0))))</f>
        <v>0</v>
      </c>
      <c r="GQ70" s="8">
        <f>IF(GQ$56-Voorblad!$F$41&gt;Voorblad!$K$41,0,IF($U70=0,0,IF($U70&lt;1,1/$U70,IF((GQ$56-Voorblad!$F$41)/$U70-SUM($EE70:GP70)=1,1,0))))</f>
        <v>0</v>
      </c>
      <c r="GR70" s="8">
        <f>IF(GR$56-Voorblad!$F$41&gt;Voorblad!$K$41,0,IF($U70=0,0,IF($U70&lt;1,1/$U70,IF((GR$56-Voorblad!$F$41)/$U70-SUM($EE70:GQ70)=1,1,0))))</f>
        <v>0</v>
      </c>
      <c r="GS70" s="8">
        <f>IF(GS$56-Voorblad!$F$41&gt;Voorblad!$K$41,0,IF($U70=0,0,IF($U70&lt;1,1/$U70,IF((GS$56-Voorblad!$F$41)/$U70-SUM($EE70:GR70)=1,1,0))))</f>
        <v>0</v>
      </c>
      <c r="GT70" s="8">
        <f>IF(GT$56-Voorblad!$F$41&gt;Voorblad!$K$41,0,IF($U70=0,0,IF($U70&lt;1,1/$U70,IF((GT$56-Voorblad!$F$41)/$U70-SUM($EE70:GS70)=1,1,0))))</f>
        <v>0</v>
      </c>
      <c r="GU70" s="8">
        <f>IF(GU$56-Voorblad!$F$41&gt;Voorblad!$K$41,0,IF($U70=0,0,IF($U70&lt;1,1/$U70,IF((GU$56-Voorblad!$F$41)/$U70-SUM($EE70:GT70)=1,1,0))))</f>
        <v>0</v>
      </c>
      <c r="GV70" s="8">
        <f>IF(GV$56-Voorblad!$F$41&gt;Voorblad!$K$41,0,IF($U70=0,0,IF($U70&lt;1,1/$U70,IF((GV$56-Voorblad!$F$41)/$U70-SUM($EE70:GU70)=1,1,0))))</f>
        <v>0</v>
      </c>
      <c r="GW70" s="8">
        <f>IF(GW$56-Voorblad!$F$41&gt;Voorblad!$K$41,0,IF($U70=0,0,IF($U70&lt;1,1/$U70,IF((GW$56-Voorblad!$F$41)/$U70-SUM($EE70:GV70)=1,1,0))))</f>
        <v>0</v>
      </c>
      <c r="GX70" s="8">
        <f>IF(GX$56-Voorblad!$F$41&gt;Voorblad!$K$41,0,IF($U70=0,0,IF($U70&lt;1,1/$U70,IF((GX$56-Voorblad!$F$41)/$U70-SUM($EE70:GW70)=1,1,0))))</f>
        <v>0</v>
      </c>
      <c r="GY70" s="8">
        <f>IF(GY$56-Voorblad!$F$41&gt;Voorblad!$K$41,0,IF($U70=0,0,IF($U70&lt;1,1/$U70,IF((GY$56-Voorblad!$F$41)/$U70-SUM($EE70:GX70)=1,1,0))))</f>
        <v>0</v>
      </c>
      <c r="GZ70" s="8">
        <f>IF(GZ$56-Voorblad!$F$41&gt;Voorblad!$K$41,0,IF($U70=0,0,IF($U70&lt;1,1/$U70,IF((GZ$56-Voorblad!$F$41)/$U70-SUM($EE70:GY70)=1,1,0))))</f>
        <v>0</v>
      </c>
      <c r="HA70" s="8">
        <f>IF(HA$56-Voorblad!$F$41&gt;Voorblad!$K$41,0,IF($U70=0,0,IF($U70&lt;1,1/$U70,IF((HA$56-Voorblad!$F$41)/$U70-SUM($EE70:GZ70)=1,1,0))))</f>
        <v>0</v>
      </c>
      <c r="HB70" s="8">
        <f>IF(HB$56-Voorblad!$F$41&gt;Voorblad!$K$41,0,IF($U70=0,0,IF($U70&lt;1,1/$U70,IF((HB$56-Voorblad!$F$41)/$U70-SUM($EE70:HA70)=1,1,0))))</f>
        <v>0</v>
      </c>
      <c r="HC70" s="8">
        <f>IF(HC$56-Voorblad!$F$41&gt;Voorblad!$K$41,0,IF($U70=0,0,IF($U70&lt;1,1/$U70,IF((HC$56-Voorblad!$F$41)/$U70-SUM($EE70:HB70)=1,1,0))))</f>
        <v>0</v>
      </c>
      <c r="HD70" s="8">
        <f>IF(HD$56-Voorblad!$F$41&gt;Voorblad!$K$41,0,IF($U70=0,0,IF($U70&lt;1,1/$U70,IF((HD$56-Voorblad!$F$41)/$U70-SUM($EE70:HC70)=1,1,0))))</f>
        <v>0</v>
      </c>
      <c r="HE70" s="8">
        <f>IF(HE$56-Voorblad!$F$41&gt;Voorblad!$K$41,0,IF($U70=0,0,IF($U70&lt;1,1/$U70,IF((HE$56-Voorblad!$F$41)/$U70-SUM($EE70:HD70)=1,1,0))))</f>
        <v>0</v>
      </c>
      <c r="HF70" s="8">
        <f>IF(HF$56-Voorblad!$F$41&gt;Voorblad!$K$41,0,IF($U70=0,0,IF($U70&lt;1,1/$U70,IF((HF$56-Voorblad!$F$41)/$U70-SUM($EE70:HE70)=1,1,0))))</f>
        <v>0</v>
      </c>
      <c r="HG70" s="8">
        <f>IF(HG$56-Voorblad!$F$41&gt;Voorblad!$K$41,0,IF($U70=0,0,IF($U70&lt;1,1/$U70,IF((HG$56-Voorblad!$F$41)/$U70-SUM($EE70:HF70)=1,1,0))))</f>
        <v>0</v>
      </c>
      <c r="HH70" s="8">
        <f>IF(HH$56-Voorblad!$F$41&gt;Voorblad!$K$41,0,IF($U70=0,0,IF($U70&lt;1,1/$U70,IF((HH$56-Voorblad!$F$41)/$U70-SUM($EE70:HG70)=1,1,0))))</f>
        <v>0</v>
      </c>
      <c r="HI70" s="8">
        <f>IF(HI$56-Voorblad!$F$41&gt;Voorblad!$K$41,0,IF($U70=0,0,IF($U70&lt;1,1/$U70,IF((HI$56-Voorblad!$F$41)/$U70-SUM($EE70:HH70)=1,1,0))))</f>
        <v>0</v>
      </c>
      <c r="HJ70" s="8">
        <f>IF(HJ$56-Voorblad!$F$41&gt;Voorblad!$K$41,0,IF($U70=0,0,IF($U70&lt;1,1/$U70,IF((HJ$56-Voorblad!$F$41)/$U70-SUM($EE70:HI70)=1,1,0))))</f>
        <v>0</v>
      </c>
      <c r="HK70" s="8">
        <f>IF(HK$56-Voorblad!$F$41&gt;Voorblad!$K$41,0,IF($U70=0,0,IF($U70&lt;1,1/$U70,IF((HK$56-Voorblad!$F$41)/$U70-SUM($EE70:HJ70)=1,1,0))))</f>
        <v>0</v>
      </c>
      <c r="HL70" s="8">
        <f>IF(HL$56-Voorblad!$F$41&gt;Voorblad!$K$41,0,IF($U70=0,0,IF($U70&lt;1,1/$U70,IF((HL$56-Voorblad!$F$41)/$U70-SUM($EE70:HK70)=1,1,0))))</f>
        <v>0</v>
      </c>
      <c r="HM70" s="8">
        <f>IF(HM$56-Voorblad!$F$41&gt;Voorblad!$K$41,0,IF($U70=0,0,IF($U70&lt;1,1/$U70,IF((HM$56-Voorblad!$F$41)/$U70-SUM($EE70:HL70)=1,1,0))))</f>
        <v>0</v>
      </c>
      <c r="HN70" s="8">
        <f>IF(HN$56-Voorblad!$F$41&gt;Voorblad!$K$41,0,IF($U70=0,0,IF($U70&lt;1,1/$U70,IF((HN$56-Voorblad!$F$41)/$U70-SUM($EE70:HM70)=1,1,0))))</f>
        <v>0</v>
      </c>
      <c r="HO70" s="8">
        <f>IF(HO$56-Voorblad!$F$41&gt;Voorblad!$K$41,0,IF($U70=0,0,IF($U70&lt;1,1/$U70,IF((HO$56-Voorblad!$F$41)/$U70-SUM($EE70:HN70)=1,1,0))))</f>
        <v>0</v>
      </c>
      <c r="HP70" s="8">
        <f>IF(HP$56-Voorblad!$F$41&gt;Voorblad!$K$41,0,IF($U70=0,0,IF($U70&lt;1,1/$U70,IF((HP$56-Voorblad!$F$41)/$U70-SUM($EE70:HO70)=1,1,0))))</f>
        <v>0</v>
      </c>
      <c r="HQ70" s="8">
        <f>IF(HQ$56-Voorblad!$F$41&gt;Voorblad!$K$41,0,IF($U70=0,0,IF($U70&lt;1,1/$U70,IF((HQ$56-Voorblad!$F$41)/$U70-SUM($EE70:HP70)=1,1,0))))</f>
        <v>0</v>
      </c>
      <c r="HR70" s="8">
        <f>IF(HR$56-Voorblad!$F$41&gt;Voorblad!$K$41,0,IF($U70=0,0,IF($U70&lt;1,1/$U70,IF((HR$56-Voorblad!$F$41)/$U70-SUM($EE70:HQ70)=1,1,0))))</f>
        <v>0</v>
      </c>
      <c r="HS70" s="8">
        <f>IF(HS$56-Voorblad!$F$41&gt;Voorblad!$K$41,0,IF($U70=0,0,IF($U70&lt;1,1/$U70,IF((HS$56-Voorblad!$F$41)/$U70-SUM($EE70:HR70)=1,1,0))))</f>
        <v>0</v>
      </c>
      <c r="HT70" s="8">
        <f>IF(HT$56-Voorblad!$F$41&gt;Voorblad!$K$41,0,IF($U70=0,0,IF($U70&lt;1,1/$U70,IF((HT$56-Voorblad!$F$41)/$U70-SUM($EE70:HS70)=1,1,0))))</f>
        <v>0</v>
      </c>
      <c r="HU70" s="8">
        <f>IF(HU$56-Voorblad!$F$41&gt;Voorblad!$K$41,0,IF($U70=0,0,IF($U70&lt;1,1/$U70,IF((HU$56-Voorblad!$F$41)/$U70-SUM($EE70:HT70)=1,1,0))))</f>
        <v>0</v>
      </c>
      <c r="HV70" s="8">
        <f>IF(HV$56-Voorblad!$F$41&gt;Voorblad!$K$41,0,IF($U70=0,0,IF($U70&lt;1,1/$U70,IF((HV$56-Voorblad!$F$41)/$U70-SUM($EE70:HU70)=1,1,0))))</f>
        <v>0</v>
      </c>
      <c r="HW70" s="8">
        <f>IF(HW$56-Voorblad!$F$41&gt;Voorblad!$K$41,0,IF($U70=0,0,IF($U70&lt;1,1/$U70,IF((HW$56-Voorblad!$F$41)/$U70-SUM($EE70:HV70)=1,1,0))))</f>
        <v>0</v>
      </c>
      <c r="HX70" s="8">
        <f>IF(HX$56-Voorblad!$F$41&gt;Voorblad!$K$41,0,IF($U70=0,0,IF($U70&lt;1,1/$U70,IF((HX$56-Voorblad!$F$41)/$U70-SUM($EE70:HW70)=1,1,0))))</f>
        <v>0</v>
      </c>
      <c r="HY70" s="8">
        <f>IF(HY$56-Voorblad!$F$41&gt;Voorblad!$K$41,0,IF($U70=0,0,IF($U70&lt;1,1/$U70,IF((HY$56-Voorblad!$F$41)/$U70-SUM($EE70:HX70)=1,1,0))))</f>
        <v>0</v>
      </c>
      <c r="HZ70" s="8">
        <f>IF(HZ$56-Voorblad!$F$41&gt;Voorblad!$K$41,0,IF($U70=0,0,IF($U70&lt;1,1/$U70,IF((HZ$56-Voorblad!$F$41)/$U70-SUM($EE70:HY70)=1,1,0))))</f>
        <v>0</v>
      </c>
      <c r="IA70" s="8">
        <f>IF(IA$56-Voorblad!$F$41&gt;Voorblad!$K$41,0,IF($U70=0,0,IF($U70&lt;1,1/$U70,IF((IA$56-Voorblad!$F$41)/$U70-SUM($EE70:HZ70)=1,1,0))))</f>
        <v>0</v>
      </c>
      <c r="IB70" s="8">
        <f>IF(IB$56-Voorblad!$F$41&gt;Voorblad!$K$41,0,IF($U70=0,0,IF($U70&lt;1,1/$U70,IF((IB$56-Voorblad!$F$41)/$U70-SUM($EE70:IA70)=1,1,0))))</f>
        <v>0</v>
      </c>
    </row>
    <row r="71" spans="2:236" ht="12" hidden="1" customHeight="1" outlineLevel="1" x14ac:dyDescent="0.25">
      <c r="B71" s="1">
        <v>3</v>
      </c>
      <c r="F71" s="1" t="s">
        <v>23</v>
      </c>
      <c r="I71" s="1" t="s">
        <v>277</v>
      </c>
      <c r="K71" s="14" t="s">
        <v>154</v>
      </c>
      <c r="L71" s="14"/>
      <c r="M71" s="14"/>
      <c r="N71" s="3"/>
      <c r="O71" s="1" t="s">
        <v>178</v>
      </c>
      <c r="P71" s="1" t="s">
        <v>181</v>
      </c>
      <c r="Q71" s="81">
        <v>0</v>
      </c>
      <c r="R71" s="1" t="s">
        <v>34</v>
      </c>
      <c r="S71" s="14">
        <f>$H$20*100</f>
        <v>177</v>
      </c>
      <c r="T71" s="1">
        <f t="shared" si="10"/>
        <v>0</v>
      </c>
      <c r="U71" s="14">
        <v>15</v>
      </c>
      <c r="V71" s="14"/>
      <c r="Y71" s="9">
        <f t="shared" si="15"/>
        <v>0</v>
      </c>
      <c r="Z71" s="82"/>
      <c r="AA71" s="82"/>
      <c r="AC71" s="9">
        <f>$Y71*(Voorblad!$K$44*(1+Voorblad!$K$44)^Voorblad!$K$41)/((1+Voorblad!$K$44)^Voorblad!$K$41-1)</f>
        <v>0</v>
      </c>
      <c r="AE71" s="9">
        <f>EF71*($Q71*$S71)/(1+Voorblad!$K$44)^(AE$56-Voorblad!$F$41)</f>
        <v>0</v>
      </c>
      <c r="AF71" s="9">
        <f>EG71*($Q71*$S71)/(1+Voorblad!$K$44)^(AF$56-Voorblad!$F$41)</f>
        <v>0</v>
      </c>
      <c r="AG71" s="9">
        <f>EH71*($Q71*$S71)/(1+Voorblad!$K$44)^(AG$56-Voorblad!$F$41)</f>
        <v>0</v>
      </c>
      <c r="AH71" s="9">
        <f>EI71*($Q71*$S71)/(1+Voorblad!$K$44)^(AH$56-Voorblad!$F$41)</f>
        <v>0</v>
      </c>
      <c r="AI71" s="9">
        <f>EJ71*($Q71*$S71)/(1+Voorblad!$K$44)^(AI$56-Voorblad!$F$41)</f>
        <v>0</v>
      </c>
      <c r="AJ71" s="9">
        <f>EK71*($Q71*$S71)/(1+Voorblad!$K$44)^(AJ$56-Voorblad!$F$41)</f>
        <v>0</v>
      </c>
      <c r="AK71" s="9">
        <f>EL71*($Q71*$S71)/(1+Voorblad!$K$44)^(AK$56-Voorblad!$F$41)</f>
        <v>0</v>
      </c>
      <c r="AL71" s="9">
        <f>EM71*($Q71*$S71)/(1+Voorblad!$K$44)^(AL$56-Voorblad!$F$41)</f>
        <v>0</v>
      </c>
      <c r="AM71" s="9">
        <f>EN71*($Q71*$S71)/(1+Voorblad!$K$44)^(AM$56-Voorblad!$F$41)</f>
        <v>0</v>
      </c>
      <c r="AN71" s="9">
        <f>EO71*($Q71*$S71)/(1+Voorblad!$K$44)^(AN$56-Voorblad!$F$41)</f>
        <v>0</v>
      </c>
      <c r="AO71" s="9">
        <f>EP71*($Q71*$S71)/(1+Voorblad!$K$44)^(AO$56-Voorblad!$F$41)</f>
        <v>0</v>
      </c>
      <c r="AP71" s="9">
        <f>EQ71*($Q71*$S71)/(1+Voorblad!$K$44)^(AP$56-Voorblad!$F$41)</f>
        <v>0</v>
      </c>
      <c r="AQ71" s="9">
        <f>ER71*($Q71*$S71)/(1+Voorblad!$K$44)^(AQ$56-Voorblad!$F$41)</f>
        <v>0</v>
      </c>
      <c r="AR71" s="9">
        <f>ES71*($Q71*$S71)/(1+Voorblad!$K$44)^(AR$56-Voorblad!$F$41)</f>
        <v>0</v>
      </c>
      <c r="AS71" s="9">
        <f>ET71*($Q71*$S71)/(1+Voorblad!$K$44)^(AS$56-Voorblad!$F$41)</f>
        <v>0</v>
      </c>
      <c r="AT71" s="9">
        <f>EU71*($Q71*$S71)/(1+Voorblad!$K$44)^(AT$56-Voorblad!$F$41)</f>
        <v>0</v>
      </c>
      <c r="AU71" s="9">
        <f>EV71*($Q71*$S71)/(1+Voorblad!$K$44)^(AU$56-Voorblad!$F$41)</f>
        <v>0</v>
      </c>
      <c r="AV71" s="9">
        <f>EW71*($Q71*$S71)/(1+Voorblad!$K$44)^(AV$56-Voorblad!$F$41)</f>
        <v>0</v>
      </c>
      <c r="AW71" s="9">
        <f>EX71*($Q71*$S71)/(1+Voorblad!$K$44)^(AW$56-Voorblad!$F$41)</f>
        <v>0</v>
      </c>
      <c r="AX71" s="9">
        <f>EY71*($Q71*$S71)/(1+Voorblad!$K$44)^(AX$56-Voorblad!$F$41)</f>
        <v>0</v>
      </c>
      <c r="AY71" s="9">
        <f>EZ71*($Q71*$S71)/(1+Voorblad!$K$44)^(AY$56-Voorblad!$F$41)</f>
        <v>0</v>
      </c>
      <c r="AZ71" s="9">
        <f>FA71*($Q71*$S71)/(1+Voorblad!$K$44)^(AZ$56-Voorblad!$F$41)</f>
        <v>0</v>
      </c>
      <c r="BA71" s="9">
        <f>FB71*($Q71*$S71)/(1+Voorblad!$K$44)^(BA$56-Voorblad!$F$41)</f>
        <v>0</v>
      </c>
      <c r="BB71" s="9">
        <f>FC71*($Q71*$S71)/(1+Voorblad!$K$44)^(BB$56-Voorblad!$F$41)</f>
        <v>0</v>
      </c>
      <c r="BC71" s="9">
        <f>FD71*($Q71*$S71)/(1+Voorblad!$K$44)^(BC$56-Voorblad!$F$41)</f>
        <v>0</v>
      </c>
      <c r="BD71" s="9">
        <f>FE71*($Q71*$S71)/(1+Voorblad!$K$44)^(BD$56-Voorblad!$F$41)</f>
        <v>0</v>
      </c>
      <c r="BE71" s="9">
        <f>FF71*($Q71*$S71)/(1+Voorblad!$K$44)^(BE$56-Voorblad!$F$41)</f>
        <v>0</v>
      </c>
      <c r="BF71" s="9">
        <f>FG71*($Q71*$S71)/(1+Voorblad!$K$44)^(BF$56-Voorblad!$F$41)</f>
        <v>0</v>
      </c>
      <c r="BG71" s="9">
        <f>FH71*($Q71*$S71)/(1+Voorblad!$K$44)^(BG$56-Voorblad!$F$41)</f>
        <v>0</v>
      </c>
      <c r="BH71" s="9">
        <f>FI71*($Q71*$S71)/(1+Voorblad!$K$44)^(BH$56-Voorblad!$F$41)</f>
        <v>0</v>
      </c>
      <c r="BI71" s="9">
        <f>FJ71*($Q71*$S71)/(1+Voorblad!$K$44)^(BI$56-Voorblad!$F$41)</f>
        <v>0</v>
      </c>
      <c r="BJ71" s="9">
        <f>FK71*($Q71*$S71)/(1+Voorblad!$K$44)^(BJ$56-Voorblad!$F$41)</f>
        <v>0</v>
      </c>
      <c r="BK71" s="9">
        <f>FL71*($Q71*$S71)/(1+Voorblad!$K$44)^(BK$56-Voorblad!$F$41)</f>
        <v>0</v>
      </c>
      <c r="BL71" s="9">
        <f>FM71*($Q71*$S71)/(1+Voorblad!$K$44)^(BL$56-Voorblad!$F$41)</f>
        <v>0</v>
      </c>
      <c r="BM71" s="9">
        <f>FN71*($Q71*$S71)/(1+Voorblad!$K$44)^(BM$56-Voorblad!$F$41)</f>
        <v>0</v>
      </c>
      <c r="BN71" s="9">
        <f>FO71*($Q71*$S71)/(1+Voorblad!$K$44)^(BN$56-Voorblad!$F$41)</f>
        <v>0</v>
      </c>
      <c r="BO71" s="9">
        <f>FP71*($Q71*$S71)/(1+Voorblad!$K$44)^(BO$56-Voorblad!$F$41)</f>
        <v>0</v>
      </c>
      <c r="BP71" s="9">
        <f>FQ71*($Q71*$S71)/(1+Voorblad!$K$44)^(BP$56-Voorblad!$F$41)</f>
        <v>0</v>
      </c>
      <c r="BQ71" s="9">
        <f>FR71*($Q71*$S71)/(1+Voorblad!$K$44)^(BQ$56-Voorblad!$F$41)</f>
        <v>0</v>
      </c>
      <c r="BR71" s="9">
        <f>FS71*($Q71*$S71)/(1+Voorblad!$K$44)^(BR$56-Voorblad!$F$41)</f>
        <v>0</v>
      </c>
      <c r="BS71" s="9">
        <f>FT71*($Q71*$S71)/(1+Voorblad!$K$44)^(BS$56-Voorblad!$F$41)</f>
        <v>0</v>
      </c>
      <c r="BT71" s="9">
        <f>FU71*($Q71*$S71)/(1+Voorblad!$K$44)^(BT$56-Voorblad!$F$41)</f>
        <v>0</v>
      </c>
      <c r="BU71" s="9">
        <f>FV71*($Q71*$S71)/(1+Voorblad!$K$44)^(BU$56-Voorblad!$F$41)</f>
        <v>0</v>
      </c>
      <c r="BV71" s="9">
        <f>FW71*($Q71*$S71)/(1+Voorblad!$K$44)^(BV$56-Voorblad!$F$41)</f>
        <v>0</v>
      </c>
      <c r="BW71" s="9">
        <f>FX71*($Q71*$S71)/(1+Voorblad!$K$44)^(BW$56-Voorblad!$F$41)</f>
        <v>0</v>
      </c>
      <c r="BX71" s="9">
        <f>FY71*($Q71*$S71)/(1+Voorblad!$K$44)^(BX$56-Voorblad!$F$41)</f>
        <v>0</v>
      </c>
      <c r="BY71" s="9">
        <f>FZ71*($Q71*$S71)/(1+Voorblad!$K$44)^(BY$56-Voorblad!$F$41)</f>
        <v>0</v>
      </c>
      <c r="BZ71" s="9">
        <f>GA71*($Q71*$S71)/(1+Voorblad!$K$44)^(BZ$56-Voorblad!$F$41)</f>
        <v>0</v>
      </c>
      <c r="CA71" s="9">
        <f>GB71*($Q71*$S71)/(1+Voorblad!$K$44)^(CA$56-Voorblad!$F$41)</f>
        <v>0</v>
      </c>
      <c r="CB71" s="9">
        <f>GC71*($Q71*$S71)/(1+Voorblad!$K$44)^(CB$56-Voorblad!$F$41)</f>
        <v>0</v>
      </c>
      <c r="CC71" s="9">
        <f>GD71*($Q71*$S71)/(1+Voorblad!$K$44)^(CC$56-Voorblad!$F$41)</f>
        <v>0</v>
      </c>
      <c r="CD71" s="9">
        <f>GE71*($Q71*$S71)/(1+Voorblad!$K$44)^(CD$56-Voorblad!$F$41)</f>
        <v>0</v>
      </c>
      <c r="CE71" s="9">
        <f>GF71*($Q71*$S71)/(1+Voorblad!$K$44)^(CE$56-Voorblad!$F$41)</f>
        <v>0</v>
      </c>
      <c r="CF71" s="9">
        <f>GG71*($Q71*$S71)/(1+Voorblad!$K$44)^(CF$56-Voorblad!$F$41)</f>
        <v>0</v>
      </c>
      <c r="CG71" s="9">
        <f>GH71*($Q71*$S71)/(1+Voorblad!$K$44)^(CG$56-Voorblad!$F$41)</f>
        <v>0</v>
      </c>
      <c r="CH71" s="9">
        <f>GI71*($Q71*$S71)/(1+Voorblad!$K$44)^(CH$56-Voorblad!$F$41)</f>
        <v>0</v>
      </c>
      <c r="CI71" s="9">
        <f>GJ71*($Q71*$S71)/(1+Voorblad!$K$44)^(CI$56-Voorblad!$F$41)</f>
        <v>0</v>
      </c>
      <c r="CJ71" s="9">
        <f>GK71*($Q71*$S71)/(1+Voorblad!$K$44)^(CJ$56-Voorblad!$F$41)</f>
        <v>0</v>
      </c>
      <c r="CK71" s="9">
        <f>GL71*($Q71*$S71)/(1+Voorblad!$K$44)^(CK$56-Voorblad!$F$41)</f>
        <v>0</v>
      </c>
      <c r="CL71" s="9">
        <f>GM71*($Q71*$S71)/(1+Voorblad!$K$44)^(CL$56-Voorblad!$F$41)</f>
        <v>0</v>
      </c>
      <c r="CM71" s="9">
        <f>GN71*($Q71*$S71)/(1+Voorblad!$K$44)^(CM$56-Voorblad!$F$41)</f>
        <v>0</v>
      </c>
      <c r="CN71" s="9">
        <f>GO71*($Q71*$S71)/(1+Voorblad!$K$44)^(CN$56-Voorblad!$F$41)</f>
        <v>0</v>
      </c>
      <c r="CO71" s="9">
        <f>GP71*($Q71*$S71)/(1+Voorblad!$K$44)^(CO$56-Voorblad!$F$41)</f>
        <v>0</v>
      </c>
      <c r="CP71" s="9">
        <f>GQ71*($Q71*$S71)/(1+Voorblad!$K$44)^(CP$56-Voorblad!$F$41)</f>
        <v>0</v>
      </c>
      <c r="CQ71" s="9">
        <f>GR71*($Q71*$S71)/(1+Voorblad!$K$44)^(CQ$56-Voorblad!$F$41)</f>
        <v>0</v>
      </c>
      <c r="CR71" s="9">
        <f>GS71*($Q71*$S71)/(1+Voorblad!$K$44)^(CR$56-Voorblad!$F$41)</f>
        <v>0</v>
      </c>
      <c r="CS71" s="9">
        <f>GT71*($Q71*$S71)/(1+Voorblad!$K$44)^(CS$56-Voorblad!$F$41)</f>
        <v>0</v>
      </c>
      <c r="CT71" s="9">
        <f>GU71*($Q71*$S71)/(1+Voorblad!$K$44)^(CT$56-Voorblad!$F$41)</f>
        <v>0</v>
      </c>
      <c r="CU71" s="9">
        <f>GV71*($Q71*$S71)/(1+Voorblad!$K$44)^(CU$56-Voorblad!$F$41)</f>
        <v>0</v>
      </c>
      <c r="CV71" s="9">
        <f>GW71*($Q71*$S71)/(1+Voorblad!$K$44)^(CV$56-Voorblad!$F$41)</f>
        <v>0</v>
      </c>
      <c r="CW71" s="9">
        <f>GX71*($Q71*$S71)/(1+Voorblad!$K$44)^(CW$56-Voorblad!$F$41)</f>
        <v>0</v>
      </c>
      <c r="CX71" s="9">
        <f>GY71*($Q71*$S71)/(1+Voorblad!$K$44)^(CX$56-Voorblad!$F$41)</f>
        <v>0</v>
      </c>
      <c r="CY71" s="9">
        <f>GZ71*($Q71*$S71)/(1+Voorblad!$K$44)^(CY$56-Voorblad!$F$41)</f>
        <v>0</v>
      </c>
      <c r="CZ71" s="9">
        <f>HA71*($Q71*$S71)/(1+Voorblad!$K$44)^(CZ$56-Voorblad!$F$41)</f>
        <v>0</v>
      </c>
      <c r="DA71" s="9">
        <f>HB71*($Q71*$S71)/(1+Voorblad!$K$44)^(DA$56-Voorblad!$F$41)</f>
        <v>0</v>
      </c>
      <c r="DB71" s="9">
        <f>HC71*($Q71*$S71)/(1+Voorblad!$K$44)^(DB$56-Voorblad!$F$41)</f>
        <v>0</v>
      </c>
      <c r="DC71" s="9">
        <f>HD71*($Q71*$S71)/(1+Voorblad!$K$44)^(DC$56-Voorblad!$F$41)</f>
        <v>0</v>
      </c>
      <c r="DD71" s="9">
        <f>HE71*($Q71*$S71)/(1+Voorblad!$K$44)^(DD$56-Voorblad!$F$41)</f>
        <v>0</v>
      </c>
      <c r="DE71" s="9">
        <f>HF71*($Q71*$S71)/(1+Voorblad!$K$44)^(DE$56-Voorblad!$F$41)</f>
        <v>0</v>
      </c>
      <c r="DF71" s="9">
        <f>HG71*($Q71*$S71)/(1+Voorblad!$K$44)^(DF$56-Voorblad!$F$41)</f>
        <v>0</v>
      </c>
      <c r="DG71" s="9">
        <f>HH71*($Q71*$S71)/(1+Voorblad!$K$44)^(DG$56-Voorblad!$F$41)</f>
        <v>0</v>
      </c>
      <c r="DH71" s="9">
        <f>HI71*($Q71*$S71)/(1+Voorblad!$K$44)^(DH$56-Voorblad!$F$41)</f>
        <v>0</v>
      </c>
      <c r="DI71" s="9">
        <f>HJ71*($Q71*$S71)/(1+Voorblad!$K$44)^(DI$56-Voorblad!$F$41)</f>
        <v>0</v>
      </c>
      <c r="DJ71" s="9">
        <f>HK71*($Q71*$S71)/(1+Voorblad!$K$44)^(DJ$56-Voorblad!$F$41)</f>
        <v>0</v>
      </c>
      <c r="DK71" s="9">
        <f>HL71*($Q71*$S71)/(1+Voorblad!$K$44)^(DK$56-Voorblad!$F$41)</f>
        <v>0</v>
      </c>
      <c r="DL71" s="9">
        <f>HM71*($Q71*$S71)/(1+Voorblad!$K$44)^(DL$56-Voorblad!$F$41)</f>
        <v>0</v>
      </c>
      <c r="DM71" s="9">
        <f>HN71*($Q71*$S71)/(1+Voorblad!$K$44)^(DM$56-Voorblad!$F$41)</f>
        <v>0</v>
      </c>
      <c r="DN71" s="9">
        <f>HO71*($Q71*$S71)/(1+Voorblad!$K$44)^(DN$56-Voorblad!$F$41)</f>
        <v>0</v>
      </c>
      <c r="DO71" s="9">
        <f>HP71*($Q71*$S71)/(1+Voorblad!$K$44)^(DO$56-Voorblad!$F$41)</f>
        <v>0</v>
      </c>
      <c r="DP71" s="9">
        <f>HQ71*($Q71*$S71)/(1+Voorblad!$K$44)^(DP$56-Voorblad!$F$41)</f>
        <v>0</v>
      </c>
      <c r="DQ71" s="9">
        <f>HR71*($Q71*$S71)/(1+Voorblad!$K$44)^(DQ$56-Voorblad!$F$41)</f>
        <v>0</v>
      </c>
      <c r="DR71" s="9">
        <f>HS71*($Q71*$S71)/(1+Voorblad!$K$44)^(DR$56-Voorblad!$F$41)</f>
        <v>0</v>
      </c>
      <c r="DS71" s="9">
        <f>HT71*($Q71*$S71)/(1+Voorblad!$K$44)^(DS$56-Voorblad!$F$41)</f>
        <v>0</v>
      </c>
      <c r="DT71" s="9">
        <f>HU71*($Q71*$S71)/(1+Voorblad!$K$44)^(DT$56-Voorblad!$F$41)</f>
        <v>0</v>
      </c>
      <c r="DU71" s="9">
        <f>HV71*($Q71*$S71)/(1+Voorblad!$K$44)^(DU$56-Voorblad!$F$41)</f>
        <v>0</v>
      </c>
      <c r="DV71" s="9">
        <f>HW71*($Q71*$S71)/(1+Voorblad!$K$44)^(DV$56-Voorblad!$F$41)</f>
        <v>0</v>
      </c>
      <c r="DW71" s="9">
        <f>HX71*($Q71*$S71)/(1+Voorblad!$K$44)^(DW$56-Voorblad!$F$41)</f>
        <v>0</v>
      </c>
      <c r="DX71" s="9">
        <f>HY71*($Q71*$S71)/(1+Voorblad!$K$44)^(DX$56-Voorblad!$F$41)</f>
        <v>0</v>
      </c>
      <c r="DY71" s="9">
        <f>HZ71*($Q71*$S71)/(1+Voorblad!$K$44)^(DY$56-Voorblad!$F$41)</f>
        <v>0</v>
      </c>
      <c r="DZ71" s="9">
        <f>IA71*($Q71*$S71)/(1+Voorblad!$K$44)^(DZ$56-Voorblad!$F$41)</f>
        <v>0</v>
      </c>
      <c r="EA71" s="9">
        <f>IB71*($Q71*$S71)/(1+Voorblad!$K$44)^(EA$56-Voorblad!$F$41)</f>
        <v>0</v>
      </c>
      <c r="EB71" s="9">
        <f>IC71*($Q71*$S71)/(1+Voorblad!$K$44)^(EB$56-Voorblad!$F$41)</f>
        <v>0</v>
      </c>
      <c r="EE71" s="8">
        <v>0</v>
      </c>
      <c r="EF71" s="8">
        <f>IF(EF$56-Voorblad!$F$41&gt;Voorblad!$K$41,0,IF($U71=0,0,IF($U71&lt;1,1/$U71,IF((EF$56-Voorblad!$F$41)/$U71-SUM($EE71:EE71)=1,1,0))))</f>
        <v>0</v>
      </c>
      <c r="EG71" s="8">
        <f>IF(EG$56-Voorblad!$F$41&gt;Voorblad!$K$41,0,IF($U71=0,0,IF($U71&lt;1,1/$U71,IF((EG$56-Voorblad!$F$41)/$U71-SUM($EE71:EF71)=1,1,0))))</f>
        <v>0</v>
      </c>
      <c r="EH71" s="8">
        <f>IF(EH$56-Voorblad!$F$41&gt;Voorblad!$K$41,0,IF($U71=0,0,IF($U71&lt;1,1/$U71,IF((EH$56-Voorblad!$F$41)/$U71-SUM($EE71:EG71)=1,1,0))))</f>
        <v>0</v>
      </c>
      <c r="EI71" s="8">
        <f>IF(EI$56-Voorblad!$F$41&gt;Voorblad!$K$41,0,IF($U71=0,0,IF($U71&lt;1,1/$U71,IF((EI$56-Voorblad!$F$41)/$U71-SUM($EE71:EH71)=1,1,0))))</f>
        <v>0</v>
      </c>
      <c r="EJ71" s="8">
        <f>IF(EJ$56-Voorblad!$F$41&gt;Voorblad!$K$41,0,IF($U71=0,0,IF($U71&lt;1,1/$U71,IF((EJ$56-Voorblad!$F$41)/$U71-SUM($EE71:EI71)=1,1,0))))</f>
        <v>0</v>
      </c>
      <c r="EK71" s="8">
        <f>IF(EK$56-Voorblad!$F$41&gt;Voorblad!$K$41,0,IF($U71=0,0,IF($U71&lt;1,1/$U71,IF((EK$56-Voorblad!$F$41)/$U71-SUM($EE71:EJ71)=1,1,0))))</f>
        <v>0</v>
      </c>
      <c r="EL71" s="8">
        <f>IF(EL$56-Voorblad!$F$41&gt;Voorblad!$K$41,0,IF($U71=0,0,IF($U71&lt;1,1/$U71,IF((EL$56-Voorblad!$F$41)/$U71-SUM($EE71:EK71)=1,1,0))))</f>
        <v>0</v>
      </c>
      <c r="EM71" s="8">
        <f>IF(EM$56-Voorblad!$F$41&gt;Voorblad!$K$41,0,IF($U71=0,0,IF($U71&lt;1,1/$U71,IF((EM$56-Voorblad!$F$41)/$U71-SUM($EE71:EL71)=1,1,0))))</f>
        <v>0</v>
      </c>
      <c r="EN71" s="8">
        <f>IF(EN$56-Voorblad!$F$41&gt;Voorblad!$K$41,0,IF($U71=0,0,IF($U71&lt;1,1/$U71,IF((EN$56-Voorblad!$F$41)/$U71-SUM($EE71:EM71)=1,1,0))))</f>
        <v>0</v>
      </c>
      <c r="EO71" s="8">
        <f>IF(EO$56-Voorblad!$F$41&gt;Voorblad!$K$41,0,IF($U71=0,0,IF($U71&lt;1,1/$U71,IF((EO$56-Voorblad!$F$41)/$U71-SUM($EE71:EN71)=1,1,0))))</f>
        <v>0</v>
      </c>
      <c r="EP71" s="8">
        <f>IF(EP$56-Voorblad!$F$41&gt;Voorblad!$K$41,0,IF($U71=0,0,IF($U71&lt;1,1/$U71,IF((EP$56-Voorblad!$F$41)/$U71-SUM($EE71:EO71)=1,1,0))))</f>
        <v>0</v>
      </c>
      <c r="EQ71" s="8">
        <f>IF(EQ$56-Voorblad!$F$41&gt;Voorblad!$K$41,0,IF($U71=0,0,IF($U71&lt;1,1/$U71,IF((EQ$56-Voorblad!$F$41)/$U71-SUM($EE71:EP71)=1,1,0))))</f>
        <v>0</v>
      </c>
      <c r="ER71" s="8">
        <f>IF(ER$56-Voorblad!$F$41&gt;Voorblad!$K$41,0,IF($U71=0,0,IF($U71&lt;1,1/$U71,IF((ER$56-Voorblad!$F$41)/$U71-SUM($EE71:EQ71)=1,1,0))))</f>
        <v>0</v>
      </c>
      <c r="ES71" s="8">
        <f>IF(ES$56-Voorblad!$F$41&gt;Voorblad!$K$41,0,IF($U71=0,0,IF($U71&lt;1,1/$U71,IF((ES$56-Voorblad!$F$41)/$U71-SUM($EE71:ER71)=1,1,0))))</f>
        <v>0</v>
      </c>
      <c r="ET71" s="8">
        <f>IF(ET$56-Voorblad!$F$41&gt;Voorblad!$K$41,0,IF($U71=0,0,IF($U71&lt;1,1/$U71,IF((ET$56-Voorblad!$F$41)/$U71-SUM($EE71:ES71)=1,1,0))))</f>
        <v>0</v>
      </c>
      <c r="EU71" s="8">
        <f>IF(EU$56-Voorblad!$F$41&gt;Voorblad!$K$41,0,IF($U71=0,0,IF($U71&lt;1,1/$U71,IF((EU$56-Voorblad!$F$41)/$U71-SUM($EE71:ET71)=1,1,0))))</f>
        <v>1</v>
      </c>
      <c r="EV71" s="8">
        <f>IF(EV$56-Voorblad!$F$41&gt;Voorblad!$K$41,0,IF($U71=0,0,IF($U71&lt;1,1/$U71,IF((EV$56-Voorblad!$F$41)/$U71-SUM($EE71:EU71)=1,1,0))))</f>
        <v>0</v>
      </c>
      <c r="EW71" s="8">
        <f>IF(EW$56-Voorblad!$F$41&gt;Voorblad!$K$41,0,IF($U71=0,0,IF($U71&lt;1,1/$U71,IF((EW$56-Voorblad!$F$41)/$U71-SUM($EE71:EV71)=1,1,0))))</f>
        <v>0</v>
      </c>
      <c r="EX71" s="8">
        <f>IF(EX$56-Voorblad!$F$41&gt;Voorblad!$K$41,0,IF($U71=0,0,IF($U71&lt;1,1/$U71,IF((EX$56-Voorblad!$F$41)/$U71-SUM($EE71:EW71)=1,1,0))))</f>
        <v>0</v>
      </c>
      <c r="EY71" s="8">
        <f>IF(EY$56-Voorblad!$F$41&gt;Voorblad!$K$41,0,IF($U71=0,0,IF($U71&lt;1,1/$U71,IF((EY$56-Voorblad!$F$41)/$U71-SUM($EE71:EX71)=1,1,0))))</f>
        <v>0</v>
      </c>
      <c r="EZ71" s="8">
        <f>IF(EZ$56-Voorblad!$F$41&gt;Voorblad!$K$41,0,IF($U71=0,0,IF($U71&lt;1,1/$U71,IF((EZ$56-Voorblad!$F$41)/$U71-SUM($EE71:EY71)=1,1,0))))</f>
        <v>0</v>
      </c>
      <c r="FA71" s="8">
        <f>IF(FA$56-Voorblad!$F$41&gt;Voorblad!$K$41,0,IF($U71=0,0,IF($U71&lt;1,1/$U71,IF((FA$56-Voorblad!$F$41)/$U71-SUM($EE71:EZ71)=1,1,0))))</f>
        <v>0</v>
      </c>
      <c r="FB71" s="8">
        <f>IF(FB$56-Voorblad!$F$41&gt;Voorblad!$K$41,0,IF($U71=0,0,IF($U71&lt;1,1/$U71,IF((FB$56-Voorblad!$F$41)/$U71-SUM($EE71:FA71)=1,1,0))))</f>
        <v>0</v>
      </c>
      <c r="FC71" s="8">
        <f>IF(FC$56-Voorblad!$F$41&gt;Voorblad!$K$41,0,IF($U71=0,0,IF($U71&lt;1,1/$U71,IF((FC$56-Voorblad!$F$41)/$U71-SUM($EE71:FB71)=1,1,0))))</f>
        <v>0</v>
      </c>
      <c r="FD71" s="8">
        <f>IF(FD$56-Voorblad!$F$41&gt;Voorblad!$K$41,0,IF($U71=0,0,IF($U71&lt;1,1/$U71,IF((FD$56-Voorblad!$F$41)/$U71-SUM($EE71:FC71)=1,1,0))))</f>
        <v>0</v>
      </c>
      <c r="FE71" s="8">
        <f>IF(FE$56-Voorblad!$F$41&gt;Voorblad!$K$41,0,IF($U71=0,0,IF($U71&lt;1,1/$U71,IF((FE$56-Voorblad!$F$41)/$U71-SUM($EE71:FD71)=1,1,0))))</f>
        <v>0</v>
      </c>
      <c r="FF71" s="8">
        <f>IF(FF$56-Voorblad!$F$41&gt;Voorblad!$K$41,0,IF($U71=0,0,IF($U71&lt;1,1/$U71,IF((FF$56-Voorblad!$F$41)/$U71-SUM($EE71:FE71)=1,1,0))))</f>
        <v>0</v>
      </c>
      <c r="FG71" s="8">
        <f>IF(FG$56-Voorblad!$F$41&gt;Voorblad!$K$41,0,IF($U71=0,0,IF($U71&lt;1,1/$U71,IF((FG$56-Voorblad!$F$41)/$U71-SUM($EE71:FF71)=1,1,0))))</f>
        <v>0</v>
      </c>
      <c r="FH71" s="8">
        <f>IF(FH$56-Voorblad!$F$41&gt;Voorblad!$K$41,0,IF($U71=0,0,IF($U71&lt;1,1/$U71,IF((FH$56-Voorblad!$F$41)/$U71-SUM($EE71:FG71)=1,1,0))))</f>
        <v>0</v>
      </c>
      <c r="FI71" s="8">
        <f>IF(FI$56-Voorblad!$F$41&gt;Voorblad!$K$41,0,IF($U71=0,0,IF($U71&lt;1,1/$U71,IF((FI$56-Voorblad!$F$41)/$U71-SUM($EE71:FH71)=1,1,0))))</f>
        <v>0</v>
      </c>
      <c r="FJ71" s="8">
        <f>IF(FJ$56-Voorblad!$F$41&gt;Voorblad!$K$41,0,IF($U71=0,0,IF($U71&lt;1,1/$U71,IF((FJ$56-Voorblad!$F$41)/$U71-SUM($EE71:FI71)=1,1,0))))</f>
        <v>1</v>
      </c>
      <c r="FK71" s="8">
        <f>IF(FK$56-Voorblad!$F$41&gt;Voorblad!$K$41,0,IF($U71=0,0,IF($U71&lt;1,1/$U71,IF((FK$56-Voorblad!$F$41)/$U71-SUM($EE71:FJ71)=1,1,0))))</f>
        <v>0</v>
      </c>
      <c r="FL71" s="8">
        <f>IF(FL$56-Voorblad!$F$41&gt;Voorblad!$K$41,0,IF($U71=0,0,IF($U71&lt;1,1/$U71,IF((FL$56-Voorblad!$F$41)/$U71-SUM($EE71:FK71)=1,1,0))))</f>
        <v>0</v>
      </c>
      <c r="FM71" s="8">
        <f>IF(FM$56-Voorblad!$F$41&gt;Voorblad!$K$41,0,IF($U71=0,0,IF($U71&lt;1,1/$U71,IF((FM$56-Voorblad!$F$41)/$U71-SUM($EE71:FL71)=1,1,0))))</f>
        <v>0</v>
      </c>
      <c r="FN71" s="8">
        <f>IF(FN$56-Voorblad!$F$41&gt;Voorblad!$K$41,0,IF($U71=0,0,IF($U71&lt;1,1/$U71,IF((FN$56-Voorblad!$F$41)/$U71-SUM($EE71:FM71)=1,1,0))))</f>
        <v>0</v>
      </c>
      <c r="FO71" s="8">
        <f>IF(FO$56-Voorblad!$F$41&gt;Voorblad!$K$41,0,IF($U71=0,0,IF($U71&lt;1,1/$U71,IF((FO$56-Voorblad!$F$41)/$U71-SUM($EE71:FN71)=1,1,0))))</f>
        <v>0</v>
      </c>
      <c r="FP71" s="8">
        <f>IF(FP$56-Voorblad!$F$41&gt;Voorblad!$K$41,0,IF($U71=0,0,IF($U71&lt;1,1/$U71,IF((FP$56-Voorblad!$F$41)/$U71-SUM($EE71:FO71)=1,1,0))))</f>
        <v>0</v>
      </c>
      <c r="FQ71" s="8">
        <f>IF(FQ$56-Voorblad!$F$41&gt;Voorblad!$K$41,0,IF($U71=0,0,IF($U71&lt;1,1/$U71,IF((FQ$56-Voorblad!$F$41)/$U71-SUM($EE71:FP71)=1,1,0))))</f>
        <v>0</v>
      </c>
      <c r="FR71" s="8">
        <f>IF(FR$56-Voorblad!$F$41&gt;Voorblad!$K$41,0,IF($U71=0,0,IF($U71&lt;1,1/$U71,IF((FR$56-Voorblad!$F$41)/$U71-SUM($EE71:FQ71)=1,1,0))))</f>
        <v>0</v>
      </c>
      <c r="FS71" s="8">
        <f>IF(FS$56-Voorblad!$F$41&gt;Voorblad!$K$41,0,IF($U71=0,0,IF($U71&lt;1,1/$U71,IF((FS$56-Voorblad!$F$41)/$U71-SUM($EE71:FR71)=1,1,0))))</f>
        <v>0</v>
      </c>
      <c r="FT71" s="8">
        <f>IF(FT$56-Voorblad!$F$41&gt;Voorblad!$K$41,0,IF($U71=0,0,IF($U71&lt;1,1/$U71,IF((FT$56-Voorblad!$F$41)/$U71-SUM($EE71:FS71)=1,1,0))))</f>
        <v>0</v>
      </c>
      <c r="FU71" s="8">
        <f>IF(FU$56-Voorblad!$F$41&gt;Voorblad!$K$41,0,IF($U71=0,0,IF($U71&lt;1,1/$U71,IF((FU$56-Voorblad!$F$41)/$U71-SUM($EE71:FT71)=1,1,0))))</f>
        <v>0</v>
      </c>
      <c r="FV71" s="8">
        <f>IF(FV$56-Voorblad!$F$41&gt;Voorblad!$K$41,0,IF($U71=0,0,IF($U71&lt;1,1/$U71,IF((FV$56-Voorblad!$F$41)/$U71-SUM($EE71:FU71)=1,1,0))))</f>
        <v>0</v>
      </c>
      <c r="FW71" s="8">
        <f>IF(FW$56-Voorblad!$F$41&gt;Voorblad!$K$41,0,IF($U71=0,0,IF($U71&lt;1,1/$U71,IF((FW$56-Voorblad!$F$41)/$U71-SUM($EE71:FV71)=1,1,0))))</f>
        <v>0</v>
      </c>
      <c r="FX71" s="8">
        <f>IF(FX$56-Voorblad!$F$41&gt;Voorblad!$K$41,0,IF($U71=0,0,IF($U71&lt;1,1/$U71,IF((FX$56-Voorblad!$F$41)/$U71-SUM($EE71:FW71)=1,1,0))))</f>
        <v>0</v>
      </c>
      <c r="FY71" s="8">
        <f>IF(FY$56-Voorblad!$F$41&gt;Voorblad!$K$41,0,IF($U71=0,0,IF($U71&lt;1,1/$U71,IF((FY$56-Voorblad!$F$41)/$U71-SUM($EE71:FX71)=1,1,0))))</f>
        <v>1</v>
      </c>
      <c r="FZ71" s="8">
        <f>IF(FZ$56-Voorblad!$F$41&gt;Voorblad!$K$41,0,IF($U71=0,0,IF($U71&lt;1,1/$U71,IF((FZ$56-Voorblad!$F$41)/$U71-SUM($EE71:FY71)=1,1,0))))</f>
        <v>0</v>
      </c>
      <c r="GA71" s="8">
        <f>IF(GA$56-Voorblad!$F$41&gt;Voorblad!$K$41,0,IF($U71=0,0,IF($U71&lt;1,1/$U71,IF((GA$56-Voorblad!$F$41)/$U71-SUM($EE71:FZ71)=1,1,0))))</f>
        <v>0</v>
      </c>
      <c r="GB71" s="8">
        <f>IF(GB$56-Voorblad!$F$41&gt;Voorblad!$K$41,0,IF($U71=0,0,IF($U71&lt;1,1/$U71,IF((GB$56-Voorblad!$F$41)/$U71-SUM($EE71:GA71)=1,1,0))))</f>
        <v>0</v>
      </c>
      <c r="GC71" s="8">
        <f>IF(GC$56-Voorblad!$F$41&gt;Voorblad!$K$41,0,IF($U71=0,0,IF($U71&lt;1,1/$U71,IF((GC$56-Voorblad!$F$41)/$U71-SUM($EE71:GB71)=1,1,0))))</f>
        <v>0</v>
      </c>
      <c r="GD71" s="8">
        <f>IF(GD$56-Voorblad!$F$41&gt;Voorblad!$K$41,0,IF($U71=0,0,IF($U71&lt;1,1/$U71,IF((GD$56-Voorblad!$F$41)/$U71-SUM($EE71:GC71)=1,1,0))))</f>
        <v>0</v>
      </c>
      <c r="GE71" s="8">
        <f>IF(GE$56-Voorblad!$F$41&gt;Voorblad!$K$41,0,IF($U71=0,0,IF($U71&lt;1,1/$U71,IF((GE$56-Voorblad!$F$41)/$U71-SUM($EE71:GD71)=1,1,0))))</f>
        <v>0</v>
      </c>
      <c r="GF71" s="8">
        <f>IF(GF$56-Voorblad!$F$41&gt;Voorblad!$K$41,0,IF($U71=0,0,IF($U71&lt;1,1/$U71,IF((GF$56-Voorblad!$F$41)/$U71-SUM($EE71:GE71)=1,1,0))))</f>
        <v>0</v>
      </c>
      <c r="GG71" s="8">
        <f>IF(GG$56-Voorblad!$F$41&gt;Voorblad!$K$41,0,IF($U71=0,0,IF($U71&lt;1,1/$U71,IF((GG$56-Voorblad!$F$41)/$U71-SUM($EE71:GF71)=1,1,0))))</f>
        <v>0</v>
      </c>
      <c r="GH71" s="8">
        <f>IF(GH$56-Voorblad!$F$41&gt;Voorblad!$K$41,0,IF($U71=0,0,IF($U71&lt;1,1/$U71,IF((GH$56-Voorblad!$F$41)/$U71-SUM($EE71:GG71)=1,1,0))))</f>
        <v>0</v>
      </c>
      <c r="GI71" s="8">
        <f>IF(GI$56-Voorblad!$F$41&gt;Voorblad!$K$41,0,IF($U71=0,0,IF($U71&lt;1,1/$U71,IF((GI$56-Voorblad!$F$41)/$U71-SUM($EE71:GH71)=1,1,0))))</f>
        <v>0</v>
      </c>
      <c r="GJ71" s="8">
        <f>IF(GJ$56-Voorblad!$F$41&gt;Voorblad!$K$41,0,IF($U71=0,0,IF($U71&lt;1,1/$U71,IF((GJ$56-Voorblad!$F$41)/$U71-SUM($EE71:GI71)=1,1,0))))</f>
        <v>0</v>
      </c>
      <c r="GK71" s="8">
        <f>IF(GK$56-Voorblad!$F$41&gt;Voorblad!$K$41,0,IF($U71=0,0,IF($U71&lt;1,1/$U71,IF((GK$56-Voorblad!$F$41)/$U71-SUM($EE71:GJ71)=1,1,0))))</f>
        <v>0</v>
      </c>
      <c r="GL71" s="8">
        <f>IF(GL$56-Voorblad!$F$41&gt;Voorblad!$K$41,0,IF($U71=0,0,IF($U71&lt;1,1/$U71,IF((GL$56-Voorblad!$F$41)/$U71-SUM($EE71:GK71)=1,1,0))))</f>
        <v>0</v>
      </c>
      <c r="GM71" s="8">
        <f>IF(GM$56-Voorblad!$F$41&gt;Voorblad!$K$41,0,IF($U71=0,0,IF($U71&lt;1,1/$U71,IF((GM$56-Voorblad!$F$41)/$U71-SUM($EE71:GL71)=1,1,0))))</f>
        <v>0</v>
      </c>
      <c r="GN71" s="8">
        <f>IF(GN$56-Voorblad!$F$41&gt;Voorblad!$K$41,0,IF($U71=0,0,IF($U71&lt;1,1/$U71,IF((GN$56-Voorblad!$F$41)/$U71-SUM($EE71:GM71)=1,1,0))))</f>
        <v>1</v>
      </c>
      <c r="GO71" s="8">
        <f>IF(GO$56-Voorblad!$F$41&gt;Voorblad!$K$41,0,IF($U71=0,0,IF($U71&lt;1,1/$U71,IF((GO$56-Voorblad!$F$41)/$U71-SUM($EE71:GN71)=1,1,0))))</f>
        <v>0</v>
      </c>
      <c r="GP71" s="8">
        <f>IF(GP$56-Voorblad!$F$41&gt;Voorblad!$K$41,0,IF($U71=0,0,IF($U71&lt;1,1/$U71,IF((GP$56-Voorblad!$F$41)/$U71-SUM($EE71:GO71)=1,1,0))))</f>
        <v>0</v>
      </c>
      <c r="GQ71" s="8">
        <f>IF(GQ$56-Voorblad!$F$41&gt;Voorblad!$K$41,0,IF($U71=0,0,IF($U71&lt;1,1/$U71,IF((GQ$56-Voorblad!$F$41)/$U71-SUM($EE71:GP71)=1,1,0))))</f>
        <v>0</v>
      </c>
      <c r="GR71" s="8">
        <f>IF(GR$56-Voorblad!$F$41&gt;Voorblad!$K$41,0,IF($U71=0,0,IF($U71&lt;1,1/$U71,IF((GR$56-Voorblad!$F$41)/$U71-SUM($EE71:GQ71)=1,1,0))))</f>
        <v>0</v>
      </c>
      <c r="GS71" s="8">
        <f>IF(GS$56-Voorblad!$F$41&gt;Voorblad!$K$41,0,IF($U71=0,0,IF($U71&lt;1,1/$U71,IF((GS$56-Voorblad!$F$41)/$U71-SUM($EE71:GR71)=1,1,0))))</f>
        <v>0</v>
      </c>
      <c r="GT71" s="8">
        <f>IF(GT$56-Voorblad!$F$41&gt;Voorblad!$K$41,0,IF($U71=0,0,IF($U71&lt;1,1/$U71,IF((GT$56-Voorblad!$F$41)/$U71-SUM($EE71:GS71)=1,1,0))))</f>
        <v>0</v>
      </c>
      <c r="GU71" s="8">
        <f>IF(GU$56-Voorblad!$F$41&gt;Voorblad!$K$41,0,IF($U71=0,0,IF($U71&lt;1,1/$U71,IF((GU$56-Voorblad!$F$41)/$U71-SUM($EE71:GT71)=1,1,0))))</f>
        <v>0</v>
      </c>
      <c r="GV71" s="8">
        <f>IF(GV$56-Voorblad!$F$41&gt;Voorblad!$K$41,0,IF($U71=0,0,IF($U71&lt;1,1/$U71,IF((GV$56-Voorblad!$F$41)/$U71-SUM($EE71:GU71)=1,1,0))))</f>
        <v>0</v>
      </c>
      <c r="GW71" s="8">
        <f>IF(GW$56-Voorblad!$F$41&gt;Voorblad!$K$41,0,IF($U71=0,0,IF($U71&lt;1,1/$U71,IF((GW$56-Voorblad!$F$41)/$U71-SUM($EE71:GV71)=1,1,0))))</f>
        <v>0</v>
      </c>
      <c r="GX71" s="8">
        <f>IF(GX$56-Voorblad!$F$41&gt;Voorblad!$K$41,0,IF($U71=0,0,IF($U71&lt;1,1/$U71,IF((GX$56-Voorblad!$F$41)/$U71-SUM($EE71:GW71)=1,1,0))))</f>
        <v>0</v>
      </c>
      <c r="GY71" s="8">
        <f>IF(GY$56-Voorblad!$F$41&gt;Voorblad!$K$41,0,IF($U71=0,0,IF($U71&lt;1,1/$U71,IF((GY$56-Voorblad!$F$41)/$U71-SUM($EE71:GX71)=1,1,0))))</f>
        <v>0</v>
      </c>
      <c r="GZ71" s="8">
        <f>IF(GZ$56-Voorblad!$F$41&gt;Voorblad!$K$41,0,IF($U71=0,0,IF($U71&lt;1,1/$U71,IF((GZ$56-Voorblad!$F$41)/$U71-SUM($EE71:GY71)=1,1,0))))</f>
        <v>0</v>
      </c>
      <c r="HA71" s="8">
        <f>IF(HA$56-Voorblad!$F$41&gt;Voorblad!$K$41,0,IF($U71=0,0,IF($U71&lt;1,1/$U71,IF((HA$56-Voorblad!$F$41)/$U71-SUM($EE71:GZ71)=1,1,0))))</f>
        <v>0</v>
      </c>
      <c r="HB71" s="8">
        <f>IF(HB$56-Voorblad!$F$41&gt;Voorblad!$K$41,0,IF($U71=0,0,IF($U71&lt;1,1/$U71,IF((HB$56-Voorblad!$F$41)/$U71-SUM($EE71:HA71)=1,1,0))))</f>
        <v>0</v>
      </c>
      <c r="HC71" s="8">
        <f>IF(HC$56-Voorblad!$F$41&gt;Voorblad!$K$41,0,IF($U71=0,0,IF($U71&lt;1,1/$U71,IF((HC$56-Voorblad!$F$41)/$U71-SUM($EE71:HB71)=1,1,0))))</f>
        <v>0</v>
      </c>
      <c r="HD71" s="8">
        <f>IF(HD$56-Voorblad!$F$41&gt;Voorblad!$K$41,0,IF($U71=0,0,IF($U71&lt;1,1/$U71,IF((HD$56-Voorblad!$F$41)/$U71-SUM($EE71:HC71)=1,1,0))))</f>
        <v>0</v>
      </c>
      <c r="HE71" s="8">
        <f>IF(HE$56-Voorblad!$F$41&gt;Voorblad!$K$41,0,IF($U71=0,0,IF($U71&lt;1,1/$U71,IF((HE$56-Voorblad!$F$41)/$U71-SUM($EE71:HD71)=1,1,0))))</f>
        <v>0</v>
      </c>
      <c r="HF71" s="8">
        <f>IF(HF$56-Voorblad!$F$41&gt;Voorblad!$K$41,0,IF($U71=0,0,IF($U71&lt;1,1/$U71,IF((HF$56-Voorblad!$F$41)/$U71-SUM($EE71:HE71)=1,1,0))))</f>
        <v>0</v>
      </c>
      <c r="HG71" s="8">
        <f>IF(HG$56-Voorblad!$F$41&gt;Voorblad!$K$41,0,IF($U71=0,0,IF($U71&lt;1,1/$U71,IF((HG$56-Voorblad!$F$41)/$U71-SUM($EE71:HF71)=1,1,0))))</f>
        <v>0</v>
      </c>
      <c r="HH71" s="8">
        <f>IF(HH$56-Voorblad!$F$41&gt;Voorblad!$K$41,0,IF($U71=0,0,IF($U71&lt;1,1/$U71,IF((HH$56-Voorblad!$F$41)/$U71-SUM($EE71:HG71)=1,1,0))))</f>
        <v>0</v>
      </c>
      <c r="HI71" s="8">
        <f>IF(HI$56-Voorblad!$F$41&gt;Voorblad!$K$41,0,IF($U71=0,0,IF($U71&lt;1,1/$U71,IF((HI$56-Voorblad!$F$41)/$U71-SUM($EE71:HH71)=1,1,0))))</f>
        <v>0</v>
      </c>
      <c r="HJ71" s="8">
        <f>IF(HJ$56-Voorblad!$F$41&gt;Voorblad!$K$41,0,IF($U71=0,0,IF($U71&lt;1,1/$U71,IF((HJ$56-Voorblad!$F$41)/$U71-SUM($EE71:HI71)=1,1,0))))</f>
        <v>0</v>
      </c>
      <c r="HK71" s="8">
        <f>IF(HK$56-Voorblad!$F$41&gt;Voorblad!$K$41,0,IF($U71=0,0,IF($U71&lt;1,1/$U71,IF((HK$56-Voorblad!$F$41)/$U71-SUM($EE71:HJ71)=1,1,0))))</f>
        <v>0</v>
      </c>
      <c r="HL71" s="8">
        <f>IF(HL$56-Voorblad!$F$41&gt;Voorblad!$K$41,0,IF($U71=0,0,IF($U71&lt;1,1/$U71,IF((HL$56-Voorblad!$F$41)/$U71-SUM($EE71:HK71)=1,1,0))))</f>
        <v>0</v>
      </c>
      <c r="HM71" s="8">
        <f>IF(HM$56-Voorblad!$F$41&gt;Voorblad!$K$41,0,IF($U71=0,0,IF($U71&lt;1,1/$U71,IF((HM$56-Voorblad!$F$41)/$U71-SUM($EE71:HL71)=1,1,0))))</f>
        <v>0</v>
      </c>
      <c r="HN71" s="8">
        <f>IF(HN$56-Voorblad!$F$41&gt;Voorblad!$K$41,0,IF($U71=0,0,IF($U71&lt;1,1/$U71,IF((HN$56-Voorblad!$F$41)/$U71-SUM($EE71:HM71)=1,1,0))))</f>
        <v>0</v>
      </c>
      <c r="HO71" s="8">
        <f>IF(HO$56-Voorblad!$F$41&gt;Voorblad!$K$41,0,IF($U71=0,0,IF($U71&lt;1,1/$U71,IF((HO$56-Voorblad!$F$41)/$U71-SUM($EE71:HN71)=1,1,0))))</f>
        <v>0</v>
      </c>
      <c r="HP71" s="8">
        <f>IF(HP$56-Voorblad!$F$41&gt;Voorblad!$K$41,0,IF($U71=0,0,IF($U71&lt;1,1/$U71,IF((HP$56-Voorblad!$F$41)/$U71-SUM($EE71:HO71)=1,1,0))))</f>
        <v>0</v>
      </c>
      <c r="HQ71" s="8">
        <f>IF(HQ$56-Voorblad!$F$41&gt;Voorblad!$K$41,0,IF($U71=0,0,IF($U71&lt;1,1/$U71,IF((HQ$56-Voorblad!$F$41)/$U71-SUM($EE71:HP71)=1,1,0))))</f>
        <v>0</v>
      </c>
      <c r="HR71" s="8">
        <f>IF(HR$56-Voorblad!$F$41&gt;Voorblad!$K$41,0,IF($U71=0,0,IF($U71&lt;1,1/$U71,IF((HR$56-Voorblad!$F$41)/$U71-SUM($EE71:HQ71)=1,1,0))))</f>
        <v>0</v>
      </c>
      <c r="HS71" s="8">
        <f>IF(HS$56-Voorblad!$F$41&gt;Voorblad!$K$41,0,IF($U71=0,0,IF($U71&lt;1,1/$U71,IF((HS$56-Voorblad!$F$41)/$U71-SUM($EE71:HR71)=1,1,0))))</f>
        <v>0</v>
      </c>
      <c r="HT71" s="8">
        <f>IF(HT$56-Voorblad!$F$41&gt;Voorblad!$K$41,0,IF($U71=0,0,IF($U71&lt;1,1/$U71,IF((HT$56-Voorblad!$F$41)/$U71-SUM($EE71:HS71)=1,1,0))))</f>
        <v>0</v>
      </c>
      <c r="HU71" s="8">
        <f>IF(HU$56-Voorblad!$F$41&gt;Voorblad!$K$41,0,IF($U71=0,0,IF($U71&lt;1,1/$U71,IF((HU$56-Voorblad!$F$41)/$U71-SUM($EE71:HT71)=1,1,0))))</f>
        <v>0</v>
      </c>
      <c r="HV71" s="8">
        <f>IF(HV$56-Voorblad!$F$41&gt;Voorblad!$K$41,0,IF($U71=0,0,IF($U71&lt;1,1/$U71,IF((HV$56-Voorblad!$F$41)/$U71-SUM($EE71:HU71)=1,1,0))))</f>
        <v>0</v>
      </c>
      <c r="HW71" s="8">
        <f>IF(HW$56-Voorblad!$F$41&gt;Voorblad!$K$41,0,IF($U71=0,0,IF($U71&lt;1,1/$U71,IF((HW$56-Voorblad!$F$41)/$U71-SUM($EE71:HV71)=1,1,0))))</f>
        <v>0</v>
      </c>
      <c r="HX71" s="8">
        <f>IF(HX$56-Voorblad!$F$41&gt;Voorblad!$K$41,0,IF($U71=0,0,IF($U71&lt;1,1/$U71,IF((HX$56-Voorblad!$F$41)/$U71-SUM($EE71:HW71)=1,1,0))))</f>
        <v>0</v>
      </c>
      <c r="HY71" s="8">
        <f>IF(HY$56-Voorblad!$F$41&gt;Voorblad!$K$41,0,IF($U71=0,0,IF($U71&lt;1,1/$U71,IF((HY$56-Voorblad!$F$41)/$U71-SUM($EE71:HX71)=1,1,0))))</f>
        <v>0</v>
      </c>
      <c r="HZ71" s="8">
        <f>IF(HZ$56-Voorblad!$F$41&gt;Voorblad!$K$41,0,IF($U71=0,0,IF($U71&lt;1,1/$U71,IF((HZ$56-Voorblad!$F$41)/$U71-SUM($EE71:HY71)=1,1,0))))</f>
        <v>0</v>
      </c>
      <c r="IA71" s="8">
        <f>IF(IA$56-Voorblad!$F$41&gt;Voorblad!$K$41,0,IF($U71=0,0,IF($U71&lt;1,1/$U71,IF((IA$56-Voorblad!$F$41)/$U71-SUM($EE71:HZ71)=1,1,0))))</f>
        <v>0</v>
      </c>
      <c r="IB71" s="8">
        <f>IF(IB$56-Voorblad!$F$41&gt;Voorblad!$K$41,0,IF($U71=0,0,IF($U71&lt;1,1/$U71,IF((IB$56-Voorblad!$F$41)/$U71-SUM($EE71:IA71)=1,1,0))))</f>
        <v>0</v>
      </c>
    </row>
    <row r="72" spans="2:236" ht="12" hidden="1" customHeight="1" outlineLevel="1" x14ac:dyDescent="0.25">
      <c r="B72" s="1">
        <v>3</v>
      </c>
      <c r="F72" s="1" t="s">
        <v>23</v>
      </c>
      <c r="I72" s="1" t="s">
        <v>277</v>
      </c>
      <c r="K72" s="14" t="s">
        <v>165</v>
      </c>
      <c r="L72" s="14"/>
      <c r="M72" s="14"/>
      <c r="N72" s="3"/>
      <c r="O72" s="1" t="s">
        <v>178</v>
      </c>
      <c r="P72" s="1" t="s">
        <v>182</v>
      </c>
      <c r="Q72" s="81">
        <v>0</v>
      </c>
      <c r="R72" s="1" t="s">
        <v>34</v>
      </c>
      <c r="S72" s="14">
        <f>$H$20*100</f>
        <v>177</v>
      </c>
      <c r="T72" s="1">
        <f t="shared" si="10"/>
        <v>0</v>
      </c>
      <c r="U72" s="14">
        <v>15</v>
      </c>
      <c r="V72" s="14"/>
      <c r="Y72" s="9">
        <f t="shared" si="15"/>
        <v>0</v>
      </c>
      <c r="Z72" s="82"/>
      <c r="AA72" s="82"/>
      <c r="AC72" s="9">
        <f>$Y72*(Voorblad!$K$44*(1+Voorblad!$K$44)^Voorblad!$K$41)/((1+Voorblad!$K$44)^Voorblad!$K$41-1)</f>
        <v>0</v>
      </c>
      <c r="AE72" s="9">
        <f>EF72*($Q72*$S72)/(1+Voorblad!$K$44)^(AE$56-Voorblad!$F$41)</f>
        <v>0</v>
      </c>
      <c r="AF72" s="9">
        <f>EG72*($Q72*$S72)/(1+Voorblad!$K$44)^(AF$56-Voorblad!$F$41)</f>
        <v>0</v>
      </c>
      <c r="AG72" s="9">
        <f>EH72*($Q72*$S72)/(1+Voorblad!$K$44)^(AG$56-Voorblad!$F$41)</f>
        <v>0</v>
      </c>
      <c r="AH72" s="9">
        <f>EI72*($Q72*$S72)/(1+Voorblad!$K$44)^(AH$56-Voorblad!$F$41)</f>
        <v>0</v>
      </c>
      <c r="AI72" s="9">
        <f>EJ72*($Q72*$S72)/(1+Voorblad!$K$44)^(AI$56-Voorblad!$F$41)</f>
        <v>0</v>
      </c>
      <c r="AJ72" s="9">
        <f>EK72*($Q72*$S72)/(1+Voorblad!$K$44)^(AJ$56-Voorblad!$F$41)</f>
        <v>0</v>
      </c>
      <c r="AK72" s="9">
        <f>EL72*($Q72*$S72)/(1+Voorblad!$K$44)^(AK$56-Voorblad!$F$41)</f>
        <v>0</v>
      </c>
      <c r="AL72" s="9">
        <f>EM72*($Q72*$S72)/(1+Voorblad!$K$44)^(AL$56-Voorblad!$F$41)</f>
        <v>0</v>
      </c>
      <c r="AM72" s="9">
        <f>EN72*($Q72*$S72)/(1+Voorblad!$K$44)^(AM$56-Voorblad!$F$41)</f>
        <v>0</v>
      </c>
      <c r="AN72" s="9">
        <f>EO72*($Q72*$S72)/(1+Voorblad!$K$44)^(AN$56-Voorblad!$F$41)</f>
        <v>0</v>
      </c>
      <c r="AO72" s="9">
        <f>EP72*($Q72*$S72)/(1+Voorblad!$K$44)^(AO$56-Voorblad!$F$41)</f>
        <v>0</v>
      </c>
      <c r="AP72" s="9">
        <f>EQ72*($Q72*$S72)/(1+Voorblad!$K$44)^(AP$56-Voorblad!$F$41)</f>
        <v>0</v>
      </c>
      <c r="AQ72" s="9">
        <f>ER72*($Q72*$S72)/(1+Voorblad!$K$44)^(AQ$56-Voorblad!$F$41)</f>
        <v>0</v>
      </c>
      <c r="AR72" s="9">
        <f>ES72*($Q72*$S72)/(1+Voorblad!$K$44)^(AR$56-Voorblad!$F$41)</f>
        <v>0</v>
      </c>
      <c r="AS72" s="9">
        <f>ET72*($Q72*$S72)/(1+Voorblad!$K$44)^(AS$56-Voorblad!$F$41)</f>
        <v>0</v>
      </c>
      <c r="AT72" s="9">
        <f>EU72*($Q72*$S72)/(1+Voorblad!$K$44)^(AT$56-Voorblad!$F$41)</f>
        <v>0</v>
      </c>
      <c r="AU72" s="9">
        <f>EV72*($Q72*$S72)/(1+Voorblad!$K$44)^(AU$56-Voorblad!$F$41)</f>
        <v>0</v>
      </c>
      <c r="AV72" s="9">
        <f>EW72*($Q72*$S72)/(1+Voorblad!$K$44)^(AV$56-Voorblad!$F$41)</f>
        <v>0</v>
      </c>
      <c r="AW72" s="9">
        <f>EX72*($Q72*$S72)/(1+Voorblad!$K$44)^(AW$56-Voorblad!$F$41)</f>
        <v>0</v>
      </c>
      <c r="AX72" s="9">
        <f>EY72*($Q72*$S72)/(1+Voorblad!$K$44)^(AX$56-Voorblad!$F$41)</f>
        <v>0</v>
      </c>
      <c r="AY72" s="9">
        <f>EZ72*($Q72*$S72)/(1+Voorblad!$K$44)^(AY$56-Voorblad!$F$41)</f>
        <v>0</v>
      </c>
      <c r="AZ72" s="9">
        <f>FA72*($Q72*$S72)/(1+Voorblad!$K$44)^(AZ$56-Voorblad!$F$41)</f>
        <v>0</v>
      </c>
      <c r="BA72" s="9">
        <f>FB72*($Q72*$S72)/(1+Voorblad!$K$44)^(BA$56-Voorblad!$F$41)</f>
        <v>0</v>
      </c>
      <c r="BB72" s="9">
        <f>FC72*($Q72*$S72)/(1+Voorblad!$K$44)^(BB$56-Voorblad!$F$41)</f>
        <v>0</v>
      </c>
      <c r="BC72" s="9">
        <f>FD72*($Q72*$S72)/(1+Voorblad!$K$44)^(BC$56-Voorblad!$F$41)</f>
        <v>0</v>
      </c>
      <c r="BD72" s="9">
        <f>FE72*($Q72*$S72)/(1+Voorblad!$K$44)^(BD$56-Voorblad!$F$41)</f>
        <v>0</v>
      </c>
      <c r="BE72" s="9">
        <f>FF72*($Q72*$S72)/(1+Voorblad!$K$44)^(BE$56-Voorblad!$F$41)</f>
        <v>0</v>
      </c>
      <c r="BF72" s="9">
        <f>FG72*($Q72*$S72)/(1+Voorblad!$K$44)^(BF$56-Voorblad!$F$41)</f>
        <v>0</v>
      </c>
      <c r="BG72" s="9">
        <f>FH72*($Q72*$S72)/(1+Voorblad!$K$44)^(BG$56-Voorblad!$F$41)</f>
        <v>0</v>
      </c>
      <c r="BH72" s="9">
        <f>FI72*($Q72*$S72)/(1+Voorblad!$K$44)^(BH$56-Voorblad!$F$41)</f>
        <v>0</v>
      </c>
      <c r="BI72" s="9">
        <f>FJ72*($Q72*$S72)/(1+Voorblad!$K$44)^(BI$56-Voorblad!$F$41)</f>
        <v>0</v>
      </c>
      <c r="BJ72" s="9">
        <f>FK72*($Q72*$S72)/(1+Voorblad!$K$44)^(BJ$56-Voorblad!$F$41)</f>
        <v>0</v>
      </c>
      <c r="BK72" s="9">
        <f>FL72*($Q72*$S72)/(1+Voorblad!$K$44)^(BK$56-Voorblad!$F$41)</f>
        <v>0</v>
      </c>
      <c r="BL72" s="9">
        <f>FM72*($Q72*$S72)/(1+Voorblad!$K$44)^(BL$56-Voorblad!$F$41)</f>
        <v>0</v>
      </c>
      <c r="BM72" s="9">
        <f>FN72*($Q72*$S72)/(1+Voorblad!$K$44)^(BM$56-Voorblad!$F$41)</f>
        <v>0</v>
      </c>
      <c r="BN72" s="9">
        <f>FO72*($Q72*$S72)/(1+Voorblad!$K$44)^(BN$56-Voorblad!$F$41)</f>
        <v>0</v>
      </c>
      <c r="BO72" s="9">
        <f>FP72*($Q72*$S72)/(1+Voorblad!$K$44)^(BO$56-Voorblad!$F$41)</f>
        <v>0</v>
      </c>
      <c r="BP72" s="9">
        <f>FQ72*($Q72*$S72)/(1+Voorblad!$K$44)^(BP$56-Voorblad!$F$41)</f>
        <v>0</v>
      </c>
      <c r="BQ72" s="9">
        <f>FR72*($Q72*$S72)/(1+Voorblad!$K$44)^(BQ$56-Voorblad!$F$41)</f>
        <v>0</v>
      </c>
      <c r="BR72" s="9">
        <f>FS72*($Q72*$S72)/(1+Voorblad!$K$44)^(BR$56-Voorblad!$F$41)</f>
        <v>0</v>
      </c>
      <c r="BS72" s="9">
        <f>FT72*($Q72*$S72)/(1+Voorblad!$K$44)^(BS$56-Voorblad!$F$41)</f>
        <v>0</v>
      </c>
      <c r="BT72" s="9">
        <f>FU72*($Q72*$S72)/(1+Voorblad!$K$44)^(BT$56-Voorblad!$F$41)</f>
        <v>0</v>
      </c>
      <c r="BU72" s="9">
        <f>FV72*($Q72*$S72)/(1+Voorblad!$K$44)^(BU$56-Voorblad!$F$41)</f>
        <v>0</v>
      </c>
      <c r="BV72" s="9">
        <f>FW72*($Q72*$S72)/(1+Voorblad!$K$44)^(BV$56-Voorblad!$F$41)</f>
        <v>0</v>
      </c>
      <c r="BW72" s="9">
        <f>FX72*($Q72*$S72)/(1+Voorblad!$K$44)^(BW$56-Voorblad!$F$41)</f>
        <v>0</v>
      </c>
      <c r="BX72" s="9">
        <f>FY72*($Q72*$S72)/(1+Voorblad!$K$44)^(BX$56-Voorblad!$F$41)</f>
        <v>0</v>
      </c>
      <c r="BY72" s="9">
        <f>FZ72*($Q72*$S72)/(1+Voorblad!$K$44)^(BY$56-Voorblad!$F$41)</f>
        <v>0</v>
      </c>
      <c r="BZ72" s="9">
        <f>GA72*($Q72*$S72)/(1+Voorblad!$K$44)^(BZ$56-Voorblad!$F$41)</f>
        <v>0</v>
      </c>
      <c r="CA72" s="9">
        <f>GB72*($Q72*$S72)/(1+Voorblad!$K$44)^(CA$56-Voorblad!$F$41)</f>
        <v>0</v>
      </c>
      <c r="CB72" s="9">
        <f>GC72*($Q72*$S72)/(1+Voorblad!$K$44)^(CB$56-Voorblad!$F$41)</f>
        <v>0</v>
      </c>
      <c r="CC72" s="9">
        <f>GD72*($Q72*$S72)/(1+Voorblad!$K$44)^(CC$56-Voorblad!$F$41)</f>
        <v>0</v>
      </c>
      <c r="CD72" s="9">
        <f>GE72*($Q72*$S72)/(1+Voorblad!$K$44)^(CD$56-Voorblad!$F$41)</f>
        <v>0</v>
      </c>
      <c r="CE72" s="9">
        <f>GF72*($Q72*$S72)/(1+Voorblad!$K$44)^(CE$56-Voorblad!$F$41)</f>
        <v>0</v>
      </c>
      <c r="CF72" s="9">
        <f>GG72*($Q72*$S72)/(1+Voorblad!$K$44)^(CF$56-Voorblad!$F$41)</f>
        <v>0</v>
      </c>
      <c r="CG72" s="9">
        <f>GH72*($Q72*$S72)/(1+Voorblad!$K$44)^(CG$56-Voorblad!$F$41)</f>
        <v>0</v>
      </c>
      <c r="CH72" s="9">
        <f>GI72*($Q72*$S72)/(1+Voorblad!$K$44)^(CH$56-Voorblad!$F$41)</f>
        <v>0</v>
      </c>
      <c r="CI72" s="9">
        <f>GJ72*($Q72*$S72)/(1+Voorblad!$K$44)^(CI$56-Voorblad!$F$41)</f>
        <v>0</v>
      </c>
      <c r="CJ72" s="9">
        <f>GK72*($Q72*$S72)/(1+Voorblad!$K$44)^(CJ$56-Voorblad!$F$41)</f>
        <v>0</v>
      </c>
      <c r="CK72" s="9">
        <f>GL72*($Q72*$S72)/(1+Voorblad!$K$44)^(CK$56-Voorblad!$F$41)</f>
        <v>0</v>
      </c>
      <c r="CL72" s="9">
        <f>GM72*($Q72*$S72)/(1+Voorblad!$K$44)^(CL$56-Voorblad!$F$41)</f>
        <v>0</v>
      </c>
      <c r="CM72" s="9">
        <f>GN72*($Q72*$S72)/(1+Voorblad!$K$44)^(CM$56-Voorblad!$F$41)</f>
        <v>0</v>
      </c>
      <c r="CN72" s="9">
        <f>GO72*($Q72*$S72)/(1+Voorblad!$K$44)^(CN$56-Voorblad!$F$41)</f>
        <v>0</v>
      </c>
      <c r="CO72" s="9">
        <f>GP72*($Q72*$S72)/(1+Voorblad!$K$44)^(CO$56-Voorblad!$F$41)</f>
        <v>0</v>
      </c>
      <c r="CP72" s="9">
        <f>GQ72*($Q72*$S72)/(1+Voorblad!$K$44)^(CP$56-Voorblad!$F$41)</f>
        <v>0</v>
      </c>
      <c r="CQ72" s="9">
        <f>GR72*($Q72*$S72)/(1+Voorblad!$K$44)^(CQ$56-Voorblad!$F$41)</f>
        <v>0</v>
      </c>
      <c r="CR72" s="9">
        <f>GS72*($Q72*$S72)/(1+Voorblad!$K$44)^(CR$56-Voorblad!$F$41)</f>
        <v>0</v>
      </c>
      <c r="CS72" s="9">
        <f>GT72*($Q72*$S72)/(1+Voorblad!$K$44)^(CS$56-Voorblad!$F$41)</f>
        <v>0</v>
      </c>
      <c r="CT72" s="9">
        <f>GU72*($Q72*$S72)/(1+Voorblad!$K$44)^(CT$56-Voorblad!$F$41)</f>
        <v>0</v>
      </c>
      <c r="CU72" s="9">
        <f>GV72*($Q72*$S72)/(1+Voorblad!$K$44)^(CU$56-Voorblad!$F$41)</f>
        <v>0</v>
      </c>
      <c r="CV72" s="9">
        <f>GW72*($Q72*$S72)/(1+Voorblad!$K$44)^(CV$56-Voorblad!$F$41)</f>
        <v>0</v>
      </c>
      <c r="CW72" s="9">
        <f>GX72*($Q72*$S72)/(1+Voorblad!$K$44)^(CW$56-Voorblad!$F$41)</f>
        <v>0</v>
      </c>
      <c r="CX72" s="9">
        <f>GY72*($Q72*$S72)/(1+Voorblad!$K$44)^(CX$56-Voorblad!$F$41)</f>
        <v>0</v>
      </c>
      <c r="CY72" s="9">
        <f>GZ72*($Q72*$S72)/(1+Voorblad!$K$44)^(CY$56-Voorblad!$F$41)</f>
        <v>0</v>
      </c>
      <c r="CZ72" s="9">
        <f>HA72*($Q72*$S72)/(1+Voorblad!$K$44)^(CZ$56-Voorblad!$F$41)</f>
        <v>0</v>
      </c>
      <c r="DA72" s="9">
        <f>HB72*($Q72*$S72)/(1+Voorblad!$K$44)^(DA$56-Voorblad!$F$41)</f>
        <v>0</v>
      </c>
      <c r="DB72" s="9">
        <f>HC72*($Q72*$S72)/(1+Voorblad!$K$44)^(DB$56-Voorblad!$F$41)</f>
        <v>0</v>
      </c>
      <c r="DC72" s="9">
        <f>HD72*($Q72*$S72)/(1+Voorblad!$K$44)^(DC$56-Voorblad!$F$41)</f>
        <v>0</v>
      </c>
      <c r="DD72" s="9">
        <f>HE72*($Q72*$S72)/(1+Voorblad!$K$44)^(DD$56-Voorblad!$F$41)</f>
        <v>0</v>
      </c>
      <c r="DE72" s="9">
        <f>HF72*($Q72*$S72)/(1+Voorblad!$K$44)^(DE$56-Voorblad!$F$41)</f>
        <v>0</v>
      </c>
      <c r="DF72" s="9">
        <f>HG72*($Q72*$S72)/(1+Voorblad!$K$44)^(DF$56-Voorblad!$F$41)</f>
        <v>0</v>
      </c>
      <c r="DG72" s="9">
        <f>HH72*($Q72*$S72)/(1+Voorblad!$K$44)^(DG$56-Voorblad!$F$41)</f>
        <v>0</v>
      </c>
      <c r="DH72" s="9">
        <f>HI72*($Q72*$S72)/(1+Voorblad!$K$44)^(DH$56-Voorblad!$F$41)</f>
        <v>0</v>
      </c>
      <c r="DI72" s="9">
        <f>HJ72*($Q72*$S72)/(1+Voorblad!$K$44)^(DI$56-Voorblad!$F$41)</f>
        <v>0</v>
      </c>
      <c r="DJ72" s="9">
        <f>HK72*($Q72*$S72)/(1+Voorblad!$K$44)^(DJ$56-Voorblad!$F$41)</f>
        <v>0</v>
      </c>
      <c r="DK72" s="9">
        <f>HL72*($Q72*$S72)/(1+Voorblad!$K$44)^(DK$56-Voorblad!$F$41)</f>
        <v>0</v>
      </c>
      <c r="DL72" s="9">
        <f>HM72*($Q72*$S72)/(1+Voorblad!$K$44)^(DL$56-Voorblad!$F$41)</f>
        <v>0</v>
      </c>
      <c r="DM72" s="9">
        <f>HN72*($Q72*$S72)/(1+Voorblad!$K$44)^(DM$56-Voorblad!$F$41)</f>
        <v>0</v>
      </c>
      <c r="DN72" s="9">
        <f>HO72*($Q72*$S72)/(1+Voorblad!$K$44)^(DN$56-Voorblad!$F$41)</f>
        <v>0</v>
      </c>
      <c r="DO72" s="9">
        <f>HP72*($Q72*$S72)/(1+Voorblad!$K$44)^(DO$56-Voorblad!$F$41)</f>
        <v>0</v>
      </c>
      <c r="DP72" s="9">
        <f>HQ72*($Q72*$S72)/(1+Voorblad!$K$44)^(DP$56-Voorblad!$F$41)</f>
        <v>0</v>
      </c>
      <c r="DQ72" s="9">
        <f>HR72*($Q72*$S72)/(1+Voorblad!$K$44)^(DQ$56-Voorblad!$F$41)</f>
        <v>0</v>
      </c>
      <c r="DR72" s="9">
        <f>HS72*($Q72*$S72)/(1+Voorblad!$K$44)^(DR$56-Voorblad!$F$41)</f>
        <v>0</v>
      </c>
      <c r="DS72" s="9">
        <f>HT72*($Q72*$S72)/(1+Voorblad!$K$44)^(DS$56-Voorblad!$F$41)</f>
        <v>0</v>
      </c>
      <c r="DT72" s="9">
        <f>HU72*($Q72*$S72)/(1+Voorblad!$K$44)^(DT$56-Voorblad!$F$41)</f>
        <v>0</v>
      </c>
      <c r="DU72" s="9">
        <f>HV72*($Q72*$S72)/(1+Voorblad!$K$44)^(DU$56-Voorblad!$F$41)</f>
        <v>0</v>
      </c>
      <c r="DV72" s="9">
        <f>HW72*($Q72*$S72)/(1+Voorblad!$K$44)^(DV$56-Voorblad!$F$41)</f>
        <v>0</v>
      </c>
      <c r="DW72" s="9">
        <f>HX72*($Q72*$S72)/(1+Voorblad!$K$44)^(DW$56-Voorblad!$F$41)</f>
        <v>0</v>
      </c>
      <c r="DX72" s="9">
        <f>HY72*($Q72*$S72)/(1+Voorblad!$K$44)^(DX$56-Voorblad!$F$41)</f>
        <v>0</v>
      </c>
      <c r="DY72" s="9">
        <f>HZ72*($Q72*$S72)/(1+Voorblad!$K$44)^(DY$56-Voorblad!$F$41)</f>
        <v>0</v>
      </c>
      <c r="DZ72" s="9">
        <f>IA72*($Q72*$S72)/(1+Voorblad!$K$44)^(DZ$56-Voorblad!$F$41)</f>
        <v>0</v>
      </c>
      <c r="EA72" s="9">
        <f>IB72*($Q72*$S72)/(1+Voorblad!$K$44)^(EA$56-Voorblad!$F$41)</f>
        <v>0</v>
      </c>
      <c r="EB72" s="9">
        <f>IC72*($Q72*$S72)/(1+Voorblad!$K$44)^(EB$56-Voorblad!$F$41)</f>
        <v>0</v>
      </c>
      <c r="EE72" s="8">
        <v>0</v>
      </c>
      <c r="EF72" s="8">
        <f>IF(EF$56-Voorblad!$F$41&gt;Voorblad!$K$41,0,IF($U72=0,0,IF($U72&lt;1,1/$U72,IF((EF$56-Voorblad!$F$41)/$U72-SUM($EE72:EE72)=1,1,0))))</f>
        <v>0</v>
      </c>
      <c r="EG72" s="8">
        <f>IF(EG$56-Voorblad!$F$41&gt;Voorblad!$K$41,0,IF($U72=0,0,IF($U72&lt;1,1/$U72,IF((EG$56-Voorblad!$F$41)/$U72-SUM($EE72:EF72)=1,1,0))))</f>
        <v>0</v>
      </c>
      <c r="EH72" s="8">
        <f>IF(EH$56-Voorblad!$F$41&gt;Voorblad!$K$41,0,IF($U72=0,0,IF($U72&lt;1,1/$U72,IF((EH$56-Voorblad!$F$41)/$U72-SUM($EE72:EG72)=1,1,0))))</f>
        <v>0</v>
      </c>
      <c r="EI72" s="8">
        <f>IF(EI$56-Voorblad!$F$41&gt;Voorblad!$K$41,0,IF($U72=0,0,IF($U72&lt;1,1/$U72,IF((EI$56-Voorblad!$F$41)/$U72-SUM($EE72:EH72)=1,1,0))))</f>
        <v>0</v>
      </c>
      <c r="EJ72" s="8">
        <f>IF(EJ$56-Voorblad!$F$41&gt;Voorblad!$K$41,0,IF($U72=0,0,IF($U72&lt;1,1/$U72,IF((EJ$56-Voorblad!$F$41)/$U72-SUM($EE72:EI72)=1,1,0))))</f>
        <v>0</v>
      </c>
      <c r="EK72" s="8">
        <f>IF(EK$56-Voorblad!$F$41&gt;Voorblad!$K$41,0,IF($U72=0,0,IF($U72&lt;1,1/$U72,IF((EK$56-Voorblad!$F$41)/$U72-SUM($EE72:EJ72)=1,1,0))))</f>
        <v>0</v>
      </c>
      <c r="EL72" s="8">
        <f>IF(EL$56-Voorblad!$F$41&gt;Voorblad!$K$41,0,IF($U72=0,0,IF($U72&lt;1,1/$U72,IF((EL$56-Voorblad!$F$41)/$U72-SUM($EE72:EK72)=1,1,0))))</f>
        <v>0</v>
      </c>
      <c r="EM72" s="8">
        <f>IF(EM$56-Voorblad!$F$41&gt;Voorblad!$K$41,0,IF($U72=0,0,IF($U72&lt;1,1/$U72,IF((EM$56-Voorblad!$F$41)/$U72-SUM($EE72:EL72)=1,1,0))))</f>
        <v>0</v>
      </c>
      <c r="EN72" s="8">
        <f>IF(EN$56-Voorblad!$F$41&gt;Voorblad!$K$41,0,IF($U72=0,0,IF($U72&lt;1,1/$U72,IF((EN$56-Voorblad!$F$41)/$U72-SUM($EE72:EM72)=1,1,0))))</f>
        <v>0</v>
      </c>
      <c r="EO72" s="8">
        <f>IF(EO$56-Voorblad!$F$41&gt;Voorblad!$K$41,0,IF($U72=0,0,IF($U72&lt;1,1/$U72,IF((EO$56-Voorblad!$F$41)/$U72-SUM($EE72:EN72)=1,1,0))))</f>
        <v>0</v>
      </c>
      <c r="EP72" s="8">
        <f>IF(EP$56-Voorblad!$F$41&gt;Voorblad!$K$41,0,IF($U72=0,0,IF($U72&lt;1,1/$U72,IF((EP$56-Voorblad!$F$41)/$U72-SUM($EE72:EO72)=1,1,0))))</f>
        <v>0</v>
      </c>
      <c r="EQ72" s="8">
        <f>IF(EQ$56-Voorblad!$F$41&gt;Voorblad!$K$41,0,IF($U72=0,0,IF($U72&lt;1,1/$U72,IF((EQ$56-Voorblad!$F$41)/$U72-SUM($EE72:EP72)=1,1,0))))</f>
        <v>0</v>
      </c>
      <c r="ER72" s="8">
        <f>IF(ER$56-Voorblad!$F$41&gt;Voorblad!$K$41,0,IF($U72=0,0,IF($U72&lt;1,1/$U72,IF((ER$56-Voorblad!$F$41)/$U72-SUM($EE72:EQ72)=1,1,0))))</f>
        <v>0</v>
      </c>
      <c r="ES72" s="8">
        <f>IF(ES$56-Voorblad!$F$41&gt;Voorblad!$K$41,0,IF($U72=0,0,IF($U72&lt;1,1/$U72,IF((ES$56-Voorblad!$F$41)/$U72-SUM($EE72:ER72)=1,1,0))))</f>
        <v>0</v>
      </c>
      <c r="ET72" s="8">
        <f>IF(ET$56-Voorblad!$F$41&gt;Voorblad!$K$41,0,IF($U72=0,0,IF($U72&lt;1,1/$U72,IF((ET$56-Voorblad!$F$41)/$U72-SUM($EE72:ES72)=1,1,0))))</f>
        <v>0</v>
      </c>
      <c r="EU72" s="8">
        <f>IF(EU$56-Voorblad!$F$41&gt;Voorblad!$K$41,0,IF($U72=0,0,IF($U72&lt;1,1/$U72,IF((EU$56-Voorblad!$F$41)/$U72-SUM($EE72:ET72)=1,1,0))))</f>
        <v>1</v>
      </c>
      <c r="EV72" s="8">
        <f>IF(EV$56-Voorblad!$F$41&gt;Voorblad!$K$41,0,IF($U72=0,0,IF($U72&lt;1,1/$U72,IF((EV$56-Voorblad!$F$41)/$U72-SUM($EE72:EU72)=1,1,0))))</f>
        <v>0</v>
      </c>
      <c r="EW72" s="8">
        <f>IF(EW$56-Voorblad!$F$41&gt;Voorblad!$K$41,0,IF($U72=0,0,IF($U72&lt;1,1/$U72,IF((EW$56-Voorblad!$F$41)/$U72-SUM($EE72:EV72)=1,1,0))))</f>
        <v>0</v>
      </c>
      <c r="EX72" s="8">
        <f>IF(EX$56-Voorblad!$F$41&gt;Voorblad!$K$41,0,IF($U72=0,0,IF($U72&lt;1,1/$U72,IF((EX$56-Voorblad!$F$41)/$U72-SUM($EE72:EW72)=1,1,0))))</f>
        <v>0</v>
      </c>
      <c r="EY72" s="8">
        <f>IF(EY$56-Voorblad!$F$41&gt;Voorblad!$K$41,0,IF($U72=0,0,IF($U72&lt;1,1/$U72,IF((EY$56-Voorblad!$F$41)/$U72-SUM($EE72:EX72)=1,1,0))))</f>
        <v>0</v>
      </c>
      <c r="EZ72" s="8">
        <f>IF(EZ$56-Voorblad!$F$41&gt;Voorblad!$K$41,0,IF($U72=0,0,IF($U72&lt;1,1/$U72,IF((EZ$56-Voorblad!$F$41)/$U72-SUM($EE72:EY72)=1,1,0))))</f>
        <v>0</v>
      </c>
      <c r="FA72" s="8">
        <f>IF(FA$56-Voorblad!$F$41&gt;Voorblad!$K$41,0,IF($U72=0,0,IF($U72&lt;1,1/$U72,IF((FA$56-Voorblad!$F$41)/$U72-SUM($EE72:EZ72)=1,1,0))))</f>
        <v>0</v>
      </c>
      <c r="FB72" s="8">
        <f>IF(FB$56-Voorblad!$F$41&gt;Voorblad!$K$41,0,IF($U72=0,0,IF($U72&lt;1,1/$U72,IF((FB$56-Voorblad!$F$41)/$U72-SUM($EE72:FA72)=1,1,0))))</f>
        <v>0</v>
      </c>
      <c r="FC72" s="8">
        <f>IF(FC$56-Voorblad!$F$41&gt;Voorblad!$K$41,0,IF($U72=0,0,IF($U72&lt;1,1/$U72,IF((FC$56-Voorblad!$F$41)/$U72-SUM($EE72:FB72)=1,1,0))))</f>
        <v>0</v>
      </c>
      <c r="FD72" s="8">
        <f>IF(FD$56-Voorblad!$F$41&gt;Voorblad!$K$41,0,IF($U72=0,0,IF($U72&lt;1,1/$U72,IF((FD$56-Voorblad!$F$41)/$U72-SUM($EE72:FC72)=1,1,0))))</f>
        <v>0</v>
      </c>
      <c r="FE72" s="8">
        <f>IF(FE$56-Voorblad!$F$41&gt;Voorblad!$K$41,0,IF($U72=0,0,IF($U72&lt;1,1/$U72,IF((FE$56-Voorblad!$F$41)/$U72-SUM($EE72:FD72)=1,1,0))))</f>
        <v>0</v>
      </c>
      <c r="FF72" s="8">
        <f>IF(FF$56-Voorblad!$F$41&gt;Voorblad!$K$41,0,IF($U72=0,0,IF($U72&lt;1,1/$U72,IF((FF$56-Voorblad!$F$41)/$U72-SUM($EE72:FE72)=1,1,0))))</f>
        <v>0</v>
      </c>
      <c r="FG72" s="8">
        <f>IF(FG$56-Voorblad!$F$41&gt;Voorblad!$K$41,0,IF($U72=0,0,IF($U72&lt;1,1/$U72,IF((FG$56-Voorblad!$F$41)/$U72-SUM($EE72:FF72)=1,1,0))))</f>
        <v>0</v>
      </c>
      <c r="FH72" s="8">
        <f>IF(FH$56-Voorblad!$F$41&gt;Voorblad!$K$41,0,IF($U72=0,0,IF($U72&lt;1,1/$U72,IF((FH$56-Voorblad!$F$41)/$U72-SUM($EE72:FG72)=1,1,0))))</f>
        <v>0</v>
      </c>
      <c r="FI72" s="8">
        <f>IF(FI$56-Voorblad!$F$41&gt;Voorblad!$K$41,0,IF($U72=0,0,IF($U72&lt;1,1/$U72,IF((FI$56-Voorblad!$F$41)/$U72-SUM($EE72:FH72)=1,1,0))))</f>
        <v>0</v>
      </c>
      <c r="FJ72" s="8">
        <f>IF(FJ$56-Voorblad!$F$41&gt;Voorblad!$K$41,0,IF($U72=0,0,IF($U72&lt;1,1/$U72,IF((FJ$56-Voorblad!$F$41)/$U72-SUM($EE72:FI72)=1,1,0))))</f>
        <v>1</v>
      </c>
      <c r="FK72" s="8">
        <f>IF(FK$56-Voorblad!$F$41&gt;Voorblad!$K$41,0,IF($U72=0,0,IF($U72&lt;1,1/$U72,IF((FK$56-Voorblad!$F$41)/$U72-SUM($EE72:FJ72)=1,1,0))))</f>
        <v>0</v>
      </c>
      <c r="FL72" s="8">
        <f>IF(FL$56-Voorblad!$F$41&gt;Voorblad!$K$41,0,IF($U72=0,0,IF($U72&lt;1,1/$U72,IF((FL$56-Voorblad!$F$41)/$U72-SUM($EE72:FK72)=1,1,0))))</f>
        <v>0</v>
      </c>
      <c r="FM72" s="8">
        <f>IF(FM$56-Voorblad!$F$41&gt;Voorblad!$K$41,0,IF($U72=0,0,IF($U72&lt;1,1/$U72,IF((FM$56-Voorblad!$F$41)/$U72-SUM($EE72:FL72)=1,1,0))))</f>
        <v>0</v>
      </c>
      <c r="FN72" s="8">
        <f>IF(FN$56-Voorblad!$F$41&gt;Voorblad!$K$41,0,IF($U72=0,0,IF($U72&lt;1,1/$U72,IF((FN$56-Voorblad!$F$41)/$U72-SUM($EE72:FM72)=1,1,0))))</f>
        <v>0</v>
      </c>
      <c r="FO72" s="8">
        <f>IF(FO$56-Voorblad!$F$41&gt;Voorblad!$K$41,0,IF($U72=0,0,IF($U72&lt;1,1/$U72,IF((FO$56-Voorblad!$F$41)/$U72-SUM($EE72:FN72)=1,1,0))))</f>
        <v>0</v>
      </c>
      <c r="FP72" s="8">
        <f>IF(FP$56-Voorblad!$F$41&gt;Voorblad!$K$41,0,IF($U72=0,0,IF($U72&lt;1,1/$U72,IF((FP$56-Voorblad!$F$41)/$U72-SUM($EE72:FO72)=1,1,0))))</f>
        <v>0</v>
      </c>
      <c r="FQ72" s="8">
        <f>IF(FQ$56-Voorblad!$F$41&gt;Voorblad!$K$41,0,IF($U72=0,0,IF($U72&lt;1,1/$U72,IF((FQ$56-Voorblad!$F$41)/$U72-SUM($EE72:FP72)=1,1,0))))</f>
        <v>0</v>
      </c>
      <c r="FR72" s="8">
        <f>IF(FR$56-Voorblad!$F$41&gt;Voorblad!$K$41,0,IF($U72=0,0,IF($U72&lt;1,1/$U72,IF((FR$56-Voorblad!$F$41)/$U72-SUM($EE72:FQ72)=1,1,0))))</f>
        <v>0</v>
      </c>
      <c r="FS72" s="8">
        <f>IF(FS$56-Voorblad!$F$41&gt;Voorblad!$K$41,0,IF($U72=0,0,IF($U72&lt;1,1/$U72,IF((FS$56-Voorblad!$F$41)/$U72-SUM($EE72:FR72)=1,1,0))))</f>
        <v>0</v>
      </c>
      <c r="FT72" s="8">
        <f>IF(FT$56-Voorblad!$F$41&gt;Voorblad!$K$41,0,IF($U72=0,0,IF($U72&lt;1,1/$U72,IF((FT$56-Voorblad!$F$41)/$U72-SUM($EE72:FS72)=1,1,0))))</f>
        <v>0</v>
      </c>
      <c r="FU72" s="8">
        <f>IF(FU$56-Voorblad!$F$41&gt;Voorblad!$K$41,0,IF($U72=0,0,IF($U72&lt;1,1/$U72,IF((FU$56-Voorblad!$F$41)/$U72-SUM($EE72:FT72)=1,1,0))))</f>
        <v>0</v>
      </c>
      <c r="FV72" s="8">
        <f>IF(FV$56-Voorblad!$F$41&gt;Voorblad!$K$41,0,IF($U72=0,0,IF($U72&lt;1,1/$U72,IF((FV$56-Voorblad!$F$41)/$U72-SUM($EE72:FU72)=1,1,0))))</f>
        <v>0</v>
      </c>
      <c r="FW72" s="8">
        <f>IF(FW$56-Voorblad!$F$41&gt;Voorblad!$K$41,0,IF($U72=0,0,IF($U72&lt;1,1/$U72,IF((FW$56-Voorblad!$F$41)/$U72-SUM($EE72:FV72)=1,1,0))))</f>
        <v>0</v>
      </c>
      <c r="FX72" s="8">
        <f>IF(FX$56-Voorblad!$F$41&gt;Voorblad!$K$41,0,IF($U72=0,0,IF($U72&lt;1,1/$U72,IF((FX$56-Voorblad!$F$41)/$U72-SUM($EE72:FW72)=1,1,0))))</f>
        <v>0</v>
      </c>
      <c r="FY72" s="8">
        <f>IF(FY$56-Voorblad!$F$41&gt;Voorblad!$K$41,0,IF($U72=0,0,IF($U72&lt;1,1/$U72,IF((FY$56-Voorblad!$F$41)/$U72-SUM($EE72:FX72)=1,1,0))))</f>
        <v>1</v>
      </c>
      <c r="FZ72" s="8">
        <f>IF(FZ$56-Voorblad!$F$41&gt;Voorblad!$K$41,0,IF($U72=0,0,IF($U72&lt;1,1/$U72,IF((FZ$56-Voorblad!$F$41)/$U72-SUM($EE72:FY72)=1,1,0))))</f>
        <v>0</v>
      </c>
      <c r="GA72" s="8">
        <f>IF(GA$56-Voorblad!$F$41&gt;Voorblad!$K$41,0,IF($U72=0,0,IF($U72&lt;1,1/$U72,IF((GA$56-Voorblad!$F$41)/$U72-SUM($EE72:FZ72)=1,1,0))))</f>
        <v>0</v>
      </c>
      <c r="GB72" s="8">
        <f>IF(GB$56-Voorblad!$F$41&gt;Voorblad!$K$41,0,IF($U72=0,0,IF($U72&lt;1,1/$U72,IF((GB$56-Voorblad!$F$41)/$U72-SUM($EE72:GA72)=1,1,0))))</f>
        <v>0</v>
      </c>
      <c r="GC72" s="8">
        <f>IF(GC$56-Voorblad!$F$41&gt;Voorblad!$K$41,0,IF($U72=0,0,IF($U72&lt;1,1/$U72,IF((GC$56-Voorblad!$F$41)/$U72-SUM($EE72:GB72)=1,1,0))))</f>
        <v>0</v>
      </c>
      <c r="GD72" s="8">
        <f>IF(GD$56-Voorblad!$F$41&gt;Voorblad!$K$41,0,IF($U72=0,0,IF($U72&lt;1,1/$U72,IF((GD$56-Voorblad!$F$41)/$U72-SUM($EE72:GC72)=1,1,0))))</f>
        <v>0</v>
      </c>
      <c r="GE72" s="8">
        <f>IF(GE$56-Voorblad!$F$41&gt;Voorblad!$K$41,0,IF($U72=0,0,IF($U72&lt;1,1/$U72,IF((GE$56-Voorblad!$F$41)/$U72-SUM($EE72:GD72)=1,1,0))))</f>
        <v>0</v>
      </c>
      <c r="GF72" s="8">
        <f>IF(GF$56-Voorblad!$F$41&gt;Voorblad!$K$41,0,IF($U72=0,0,IF($U72&lt;1,1/$U72,IF((GF$56-Voorblad!$F$41)/$U72-SUM($EE72:GE72)=1,1,0))))</f>
        <v>0</v>
      </c>
      <c r="GG72" s="8">
        <f>IF(GG$56-Voorblad!$F$41&gt;Voorblad!$K$41,0,IF($U72=0,0,IF($U72&lt;1,1/$U72,IF((GG$56-Voorblad!$F$41)/$U72-SUM($EE72:GF72)=1,1,0))))</f>
        <v>0</v>
      </c>
      <c r="GH72" s="8">
        <f>IF(GH$56-Voorblad!$F$41&gt;Voorblad!$K$41,0,IF($U72=0,0,IF($U72&lt;1,1/$U72,IF((GH$56-Voorblad!$F$41)/$U72-SUM($EE72:GG72)=1,1,0))))</f>
        <v>0</v>
      </c>
      <c r="GI72" s="8">
        <f>IF(GI$56-Voorblad!$F$41&gt;Voorblad!$K$41,0,IF($U72=0,0,IF($U72&lt;1,1/$U72,IF((GI$56-Voorblad!$F$41)/$U72-SUM($EE72:GH72)=1,1,0))))</f>
        <v>0</v>
      </c>
      <c r="GJ72" s="8">
        <f>IF(GJ$56-Voorblad!$F$41&gt;Voorblad!$K$41,0,IF($U72=0,0,IF($U72&lt;1,1/$U72,IF((GJ$56-Voorblad!$F$41)/$U72-SUM($EE72:GI72)=1,1,0))))</f>
        <v>0</v>
      </c>
      <c r="GK72" s="8">
        <f>IF(GK$56-Voorblad!$F$41&gt;Voorblad!$K$41,0,IF($U72=0,0,IF($U72&lt;1,1/$U72,IF((GK$56-Voorblad!$F$41)/$U72-SUM($EE72:GJ72)=1,1,0))))</f>
        <v>0</v>
      </c>
      <c r="GL72" s="8">
        <f>IF(GL$56-Voorblad!$F$41&gt;Voorblad!$K$41,0,IF($U72=0,0,IF($U72&lt;1,1/$U72,IF((GL$56-Voorblad!$F$41)/$U72-SUM($EE72:GK72)=1,1,0))))</f>
        <v>0</v>
      </c>
      <c r="GM72" s="8">
        <f>IF(GM$56-Voorblad!$F$41&gt;Voorblad!$K$41,0,IF($U72=0,0,IF($U72&lt;1,1/$U72,IF((GM$56-Voorblad!$F$41)/$U72-SUM($EE72:GL72)=1,1,0))))</f>
        <v>0</v>
      </c>
      <c r="GN72" s="8">
        <f>IF(GN$56-Voorblad!$F$41&gt;Voorblad!$K$41,0,IF($U72=0,0,IF($U72&lt;1,1/$U72,IF((GN$56-Voorblad!$F$41)/$U72-SUM($EE72:GM72)=1,1,0))))</f>
        <v>1</v>
      </c>
      <c r="GO72" s="8">
        <f>IF(GO$56-Voorblad!$F$41&gt;Voorblad!$K$41,0,IF($U72=0,0,IF($U72&lt;1,1/$U72,IF((GO$56-Voorblad!$F$41)/$U72-SUM($EE72:GN72)=1,1,0))))</f>
        <v>0</v>
      </c>
      <c r="GP72" s="8">
        <f>IF(GP$56-Voorblad!$F$41&gt;Voorblad!$K$41,0,IF($U72=0,0,IF($U72&lt;1,1/$U72,IF((GP$56-Voorblad!$F$41)/$U72-SUM($EE72:GO72)=1,1,0))))</f>
        <v>0</v>
      </c>
      <c r="GQ72" s="8">
        <f>IF(GQ$56-Voorblad!$F$41&gt;Voorblad!$K$41,0,IF($U72=0,0,IF($U72&lt;1,1/$U72,IF((GQ$56-Voorblad!$F$41)/$U72-SUM($EE72:GP72)=1,1,0))))</f>
        <v>0</v>
      </c>
      <c r="GR72" s="8">
        <f>IF(GR$56-Voorblad!$F$41&gt;Voorblad!$K$41,0,IF($U72=0,0,IF($U72&lt;1,1/$U72,IF((GR$56-Voorblad!$F$41)/$U72-SUM($EE72:GQ72)=1,1,0))))</f>
        <v>0</v>
      </c>
      <c r="GS72" s="8">
        <f>IF(GS$56-Voorblad!$F$41&gt;Voorblad!$K$41,0,IF($U72=0,0,IF($U72&lt;1,1/$U72,IF((GS$56-Voorblad!$F$41)/$U72-SUM($EE72:GR72)=1,1,0))))</f>
        <v>0</v>
      </c>
      <c r="GT72" s="8">
        <f>IF(GT$56-Voorblad!$F$41&gt;Voorblad!$K$41,0,IF($U72=0,0,IF($U72&lt;1,1/$U72,IF((GT$56-Voorblad!$F$41)/$U72-SUM($EE72:GS72)=1,1,0))))</f>
        <v>0</v>
      </c>
      <c r="GU72" s="8">
        <f>IF(GU$56-Voorblad!$F$41&gt;Voorblad!$K$41,0,IF($U72=0,0,IF($U72&lt;1,1/$U72,IF((GU$56-Voorblad!$F$41)/$U72-SUM($EE72:GT72)=1,1,0))))</f>
        <v>0</v>
      </c>
      <c r="GV72" s="8">
        <f>IF(GV$56-Voorblad!$F$41&gt;Voorblad!$K$41,0,IF($U72=0,0,IF($U72&lt;1,1/$U72,IF((GV$56-Voorblad!$F$41)/$U72-SUM($EE72:GU72)=1,1,0))))</f>
        <v>0</v>
      </c>
      <c r="GW72" s="8">
        <f>IF(GW$56-Voorblad!$F$41&gt;Voorblad!$K$41,0,IF($U72=0,0,IF($U72&lt;1,1/$U72,IF((GW$56-Voorblad!$F$41)/$U72-SUM($EE72:GV72)=1,1,0))))</f>
        <v>0</v>
      </c>
      <c r="GX72" s="8">
        <f>IF(GX$56-Voorblad!$F$41&gt;Voorblad!$K$41,0,IF($U72=0,0,IF($U72&lt;1,1/$U72,IF((GX$56-Voorblad!$F$41)/$U72-SUM($EE72:GW72)=1,1,0))))</f>
        <v>0</v>
      </c>
      <c r="GY72" s="8">
        <f>IF(GY$56-Voorblad!$F$41&gt;Voorblad!$K$41,0,IF($U72=0,0,IF($U72&lt;1,1/$U72,IF((GY$56-Voorblad!$F$41)/$U72-SUM($EE72:GX72)=1,1,0))))</f>
        <v>0</v>
      </c>
      <c r="GZ72" s="8">
        <f>IF(GZ$56-Voorblad!$F$41&gt;Voorblad!$K$41,0,IF($U72=0,0,IF($U72&lt;1,1/$U72,IF((GZ$56-Voorblad!$F$41)/$U72-SUM($EE72:GY72)=1,1,0))))</f>
        <v>0</v>
      </c>
      <c r="HA72" s="8">
        <f>IF(HA$56-Voorblad!$F$41&gt;Voorblad!$K$41,0,IF($U72=0,0,IF($U72&lt;1,1/$U72,IF((HA$56-Voorblad!$F$41)/$U72-SUM($EE72:GZ72)=1,1,0))))</f>
        <v>0</v>
      </c>
      <c r="HB72" s="8">
        <f>IF(HB$56-Voorblad!$F$41&gt;Voorblad!$K$41,0,IF($U72=0,0,IF($U72&lt;1,1/$U72,IF((HB$56-Voorblad!$F$41)/$U72-SUM($EE72:HA72)=1,1,0))))</f>
        <v>0</v>
      </c>
      <c r="HC72" s="8">
        <f>IF(HC$56-Voorblad!$F$41&gt;Voorblad!$K$41,0,IF($U72=0,0,IF($U72&lt;1,1/$U72,IF((HC$56-Voorblad!$F$41)/$U72-SUM($EE72:HB72)=1,1,0))))</f>
        <v>0</v>
      </c>
      <c r="HD72" s="8">
        <f>IF(HD$56-Voorblad!$F$41&gt;Voorblad!$K$41,0,IF($U72=0,0,IF($U72&lt;1,1/$U72,IF((HD$56-Voorblad!$F$41)/$U72-SUM($EE72:HC72)=1,1,0))))</f>
        <v>0</v>
      </c>
      <c r="HE72" s="8">
        <f>IF(HE$56-Voorblad!$F$41&gt;Voorblad!$K$41,0,IF($U72=0,0,IF($U72&lt;1,1/$U72,IF((HE$56-Voorblad!$F$41)/$U72-SUM($EE72:HD72)=1,1,0))))</f>
        <v>0</v>
      </c>
      <c r="HF72" s="8">
        <f>IF(HF$56-Voorblad!$F$41&gt;Voorblad!$K$41,0,IF($U72=0,0,IF($U72&lt;1,1/$U72,IF((HF$56-Voorblad!$F$41)/$U72-SUM($EE72:HE72)=1,1,0))))</f>
        <v>0</v>
      </c>
      <c r="HG72" s="8">
        <f>IF(HG$56-Voorblad!$F$41&gt;Voorblad!$K$41,0,IF($U72=0,0,IF($U72&lt;1,1/$U72,IF((HG$56-Voorblad!$F$41)/$U72-SUM($EE72:HF72)=1,1,0))))</f>
        <v>0</v>
      </c>
      <c r="HH72" s="8">
        <f>IF(HH$56-Voorblad!$F$41&gt;Voorblad!$K$41,0,IF($U72=0,0,IF($U72&lt;1,1/$U72,IF((HH$56-Voorblad!$F$41)/$U72-SUM($EE72:HG72)=1,1,0))))</f>
        <v>0</v>
      </c>
      <c r="HI72" s="8">
        <f>IF(HI$56-Voorblad!$F$41&gt;Voorblad!$K$41,0,IF($U72=0,0,IF($U72&lt;1,1/$U72,IF((HI$56-Voorblad!$F$41)/$U72-SUM($EE72:HH72)=1,1,0))))</f>
        <v>0</v>
      </c>
      <c r="HJ72" s="8">
        <f>IF(HJ$56-Voorblad!$F$41&gt;Voorblad!$K$41,0,IF($U72=0,0,IF($U72&lt;1,1/$U72,IF((HJ$56-Voorblad!$F$41)/$U72-SUM($EE72:HI72)=1,1,0))))</f>
        <v>0</v>
      </c>
      <c r="HK72" s="8">
        <f>IF(HK$56-Voorblad!$F$41&gt;Voorblad!$K$41,0,IF($U72=0,0,IF($U72&lt;1,1/$U72,IF((HK$56-Voorblad!$F$41)/$U72-SUM($EE72:HJ72)=1,1,0))))</f>
        <v>0</v>
      </c>
      <c r="HL72" s="8">
        <f>IF(HL$56-Voorblad!$F$41&gt;Voorblad!$K$41,0,IF($U72=0,0,IF($U72&lt;1,1/$U72,IF((HL$56-Voorblad!$F$41)/$U72-SUM($EE72:HK72)=1,1,0))))</f>
        <v>0</v>
      </c>
      <c r="HM72" s="8">
        <f>IF(HM$56-Voorblad!$F$41&gt;Voorblad!$K$41,0,IF($U72=0,0,IF($U72&lt;1,1/$U72,IF((HM$56-Voorblad!$F$41)/$U72-SUM($EE72:HL72)=1,1,0))))</f>
        <v>0</v>
      </c>
      <c r="HN72" s="8">
        <f>IF(HN$56-Voorblad!$F$41&gt;Voorblad!$K$41,0,IF($U72=0,0,IF($U72&lt;1,1/$U72,IF((HN$56-Voorblad!$F$41)/$U72-SUM($EE72:HM72)=1,1,0))))</f>
        <v>0</v>
      </c>
      <c r="HO72" s="8">
        <f>IF(HO$56-Voorblad!$F$41&gt;Voorblad!$K$41,0,IF($U72=0,0,IF($U72&lt;1,1/$U72,IF((HO$56-Voorblad!$F$41)/$U72-SUM($EE72:HN72)=1,1,0))))</f>
        <v>0</v>
      </c>
      <c r="HP72" s="8">
        <f>IF(HP$56-Voorblad!$F$41&gt;Voorblad!$K$41,0,IF($U72=0,0,IF($U72&lt;1,1/$U72,IF((HP$56-Voorblad!$F$41)/$U72-SUM($EE72:HO72)=1,1,0))))</f>
        <v>0</v>
      </c>
      <c r="HQ72" s="8">
        <f>IF(HQ$56-Voorblad!$F$41&gt;Voorblad!$K$41,0,IF($U72=0,0,IF($U72&lt;1,1/$U72,IF((HQ$56-Voorblad!$F$41)/$U72-SUM($EE72:HP72)=1,1,0))))</f>
        <v>0</v>
      </c>
      <c r="HR72" s="8">
        <f>IF(HR$56-Voorblad!$F$41&gt;Voorblad!$K$41,0,IF($U72=0,0,IF($U72&lt;1,1/$U72,IF((HR$56-Voorblad!$F$41)/$U72-SUM($EE72:HQ72)=1,1,0))))</f>
        <v>0</v>
      </c>
      <c r="HS72" s="8">
        <f>IF(HS$56-Voorblad!$F$41&gt;Voorblad!$K$41,0,IF($U72=0,0,IF($U72&lt;1,1/$U72,IF((HS$56-Voorblad!$F$41)/$U72-SUM($EE72:HR72)=1,1,0))))</f>
        <v>0</v>
      </c>
      <c r="HT72" s="8">
        <f>IF(HT$56-Voorblad!$F$41&gt;Voorblad!$K$41,0,IF($U72=0,0,IF($U72&lt;1,1/$U72,IF((HT$56-Voorblad!$F$41)/$U72-SUM($EE72:HS72)=1,1,0))))</f>
        <v>0</v>
      </c>
      <c r="HU72" s="8">
        <f>IF(HU$56-Voorblad!$F$41&gt;Voorblad!$K$41,0,IF($U72=0,0,IF($U72&lt;1,1/$U72,IF((HU$56-Voorblad!$F$41)/$U72-SUM($EE72:HT72)=1,1,0))))</f>
        <v>0</v>
      </c>
      <c r="HV72" s="8">
        <f>IF(HV$56-Voorblad!$F$41&gt;Voorblad!$K$41,0,IF($U72=0,0,IF($U72&lt;1,1/$U72,IF((HV$56-Voorblad!$F$41)/$U72-SUM($EE72:HU72)=1,1,0))))</f>
        <v>0</v>
      </c>
      <c r="HW72" s="8">
        <f>IF(HW$56-Voorblad!$F$41&gt;Voorblad!$K$41,0,IF($U72=0,0,IF($U72&lt;1,1/$U72,IF((HW$56-Voorblad!$F$41)/$U72-SUM($EE72:HV72)=1,1,0))))</f>
        <v>0</v>
      </c>
      <c r="HX72" s="8">
        <f>IF(HX$56-Voorblad!$F$41&gt;Voorblad!$K$41,0,IF($U72=0,0,IF($U72&lt;1,1/$U72,IF((HX$56-Voorblad!$F$41)/$U72-SUM($EE72:HW72)=1,1,0))))</f>
        <v>0</v>
      </c>
      <c r="HY72" s="8">
        <f>IF(HY$56-Voorblad!$F$41&gt;Voorblad!$K$41,0,IF($U72=0,0,IF($U72&lt;1,1/$U72,IF((HY$56-Voorblad!$F$41)/$U72-SUM($EE72:HX72)=1,1,0))))</f>
        <v>0</v>
      </c>
      <c r="HZ72" s="8">
        <f>IF(HZ$56-Voorblad!$F$41&gt;Voorblad!$K$41,0,IF($U72=0,0,IF($U72&lt;1,1/$U72,IF((HZ$56-Voorblad!$F$41)/$U72-SUM($EE72:HY72)=1,1,0))))</f>
        <v>0</v>
      </c>
      <c r="IA72" s="8">
        <f>IF(IA$56-Voorblad!$F$41&gt;Voorblad!$K$41,0,IF($U72=0,0,IF($U72&lt;1,1/$U72,IF((IA$56-Voorblad!$F$41)/$U72-SUM($EE72:HZ72)=1,1,0))))</f>
        <v>0</v>
      </c>
      <c r="IB72" s="8">
        <f>IF(IB$56-Voorblad!$F$41&gt;Voorblad!$K$41,0,IF($U72=0,0,IF($U72&lt;1,1/$U72,IF((IB$56-Voorblad!$F$41)/$U72-SUM($EE72:IA72)=1,1,0))))</f>
        <v>0</v>
      </c>
    </row>
    <row r="73" spans="2:236" ht="12" hidden="1" customHeight="1" outlineLevel="1" x14ac:dyDescent="0.25">
      <c r="B73" s="1">
        <v>3</v>
      </c>
      <c r="F73" s="1" t="s">
        <v>23</v>
      </c>
      <c r="I73" s="1" t="s">
        <v>277</v>
      </c>
      <c r="K73" s="14" t="s">
        <v>166</v>
      </c>
      <c r="L73" s="14"/>
      <c r="M73" s="14"/>
      <c r="N73" s="3"/>
      <c r="O73" s="1" t="s">
        <v>178</v>
      </c>
      <c r="P73" s="1" t="s">
        <v>183</v>
      </c>
      <c r="Q73" s="81">
        <v>0</v>
      </c>
      <c r="R73" s="1" t="s">
        <v>35</v>
      </c>
      <c r="S73" s="21">
        <f>$H$20*0.6*100</f>
        <v>106.2</v>
      </c>
      <c r="T73" s="1">
        <f t="shared" si="10"/>
        <v>0</v>
      </c>
      <c r="U73" s="14">
        <v>15</v>
      </c>
      <c r="V73" s="14"/>
      <c r="Y73" s="9">
        <f t="shared" si="15"/>
        <v>0</v>
      </c>
      <c r="Z73" s="82"/>
      <c r="AA73" s="82"/>
      <c r="AC73" s="229">
        <f>$Y73*(Voorblad!$K$44*(1+Voorblad!$K$44)^Voorblad!$K$41)/((1+Voorblad!$K$44)^Voorblad!$K$41-1)</f>
        <v>0</v>
      </c>
      <c r="AE73" s="9">
        <f>EF73*($Q73*$S73)/(1+Voorblad!$K$44)^(AE$56-Voorblad!$F$41)</f>
        <v>0</v>
      </c>
      <c r="AF73" s="9">
        <f>EG73*($Q73*$S73)/(1+Voorblad!$K$44)^(AF$56-Voorblad!$F$41)</f>
        <v>0</v>
      </c>
      <c r="AG73" s="9">
        <f>EH73*($Q73*$S73)/(1+Voorblad!$K$44)^(AG$56-Voorblad!$F$41)</f>
        <v>0</v>
      </c>
      <c r="AH73" s="9">
        <f>EI73*($Q73*$S73)/(1+Voorblad!$K$44)^(AH$56-Voorblad!$F$41)</f>
        <v>0</v>
      </c>
      <c r="AI73" s="9">
        <f>EJ73*($Q73*$S73)/(1+Voorblad!$K$44)^(AI$56-Voorblad!$F$41)</f>
        <v>0</v>
      </c>
      <c r="AJ73" s="9">
        <f>EK73*($Q73*$S73)/(1+Voorblad!$K$44)^(AJ$56-Voorblad!$F$41)</f>
        <v>0</v>
      </c>
      <c r="AK73" s="9">
        <f>EL73*($Q73*$S73)/(1+Voorblad!$K$44)^(AK$56-Voorblad!$F$41)</f>
        <v>0</v>
      </c>
      <c r="AL73" s="9">
        <f>EM73*($Q73*$S73)/(1+Voorblad!$K$44)^(AL$56-Voorblad!$F$41)</f>
        <v>0</v>
      </c>
      <c r="AM73" s="9">
        <f>EN73*($Q73*$S73)/(1+Voorblad!$K$44)^(AM$56-Voorblad!$F$41)</f>
        <v>0</v>
      </c>
      <c r="AN73" s="9">
        <f>EO73*($Q73*$S73)/(1+Voorblad!$K$44)^(AN$56-Voorblad!$F$41)</f>
        <v>0</v>
      </c>
      <c r="AO73" s="9">
        <f>EP73*($Q73*$S73)/(1+Voorblad!$K$44)^(AO$56-Voorblad!$F$41)</f>
        <v>0</v>
      </c>
      <c r="AP73" s="9">
        <f>EQ73*($Q73*$S73)/(1+Voorblad!$K$44)^(AP$56-Voorblad!$F$41)</f>
        <v>0</v>
      </c>
      <c r="AQ73" s="9">
        <f>ER73*($Q73*$S73)/(1+Voorblad!$K$44)^(AQ$56-Voorblad!$F$41)</f>
        <v>0</v>
      </c>
      <c r="AR73" s="9">
        <f>ES73*($Q73*$S73)/(1+Voorblad!$K$44)^(AR$56-Voorblad!$F$41)</f>
        <v>0</v>
      </c>
      <c r="AS73" s="9">
        <f>ET73*($Q73*$S73)/(1+Voorblad!$K$44)^(AS$56-Voorblad!$F$41)</f>
        <v>0</v>
      </c>
      <c r="AT73" s="9">
        <f>EU73*($Q73*$S73)/(1+Voorblad!$K$44)^(AT$56-Voorblad!$F$41)</f>
        <v>0</v>
      </c>
      <c r="AU73" s="9">
        <f>EV73*($Q73*$S73)/(1+Voorblad!$K$44)^(AU$56-Voorblad!$F$41)</f>
        <v>0</v>
      </c>
      <c r="AV73" s="9">
        <f>EW73*($Q73*$S73)/(1+Voorblad!$K$44)^(AV$56-Voorblad!$F$41)</f>
        <v>0</v>
      </c>
      <c r="AW73" s="9">
        <f>EX73*($Q73*$S73)/(1+Voorblad!$K$44)^(AW$56-Voorblad!$F$41)</f>
        <v>0</v>
      </c>
      <c r="AX73" s="9">
        <f>EY73*($Q73*$S73)/(1+Voorblad!$K$44)^(AX$56-Voorblad!$F$41)</f>
        <v>0</v>
      </c>
      <c r="AY73" s="9">
        <f>EZ73*($Q73*$S73)/(1+Voorblad!$K$44)^(AY$56-Voorblad!$F$41)</f>
        <v>0</v>
      </c>
      <c r="AZ73" s="9">
        <f>FA73*($Q73*$S73)/(1+Voorblad!$K$44)^(AZ$56-Voorblad!$F$41)</f>
        <v>0</v>
      </c>
      <c r="BA73" s="9">
        <f>FB73*($Q73*$S73)/(1+Voorblad!$K$44)^(BA$56-Voorblad!$F$41)</f>
        <v>0</v>
      </c>
      <c r="BB73" s="9">
        <f>FC73*($Q73*$S73)/(1+Voorblad!$K$44)^(BB$56-Voorblad!$F$41)</f>
        <v>0</v>
      </c>
      <c r="BC73" s="9">
        <f>FD73*($Q73*$S73)/(1+Voorblad!$K$44)^(BC$56-Voorblad!$F$41)</f>
        <v>0</v>
      </c>
      <c r="BD73" s="9">
        <f>FE73*($Q73*$S73)/(1+Voorblad!$K$44)^(BD$56-Voorblad!$F$41)</f>
        <v>0</v>
      </c>
      <c r="BE73" s="9">
        <f>FF73*($Q73*$S73)/(1+Voorblad!$K$44)^(BE$56-Voorblad!$F$41)</f>
        <v>0</v>
      </c>
      <c r="BF73" s="9">
        <f>FG73*($Q73*$S73)/(1+Voorblad!$K$44)^(BF$56-Voorblad!$F$41)</f>
        <v>0</v>
      </c>
      <c r="BG73" s="9">
        <f>FH73*($Q73*$S73)/(1+Voorblad!$K$44)^(BG$56-Voorblad!$F$41)</f>
        <v>0</v>
      </c>
      <c r="BH73" s="9">
        <f>FI73*($Q73*$S73)/(1+Voorblad!$K$44)^(BH$56-Voorblad!$F$41)</f>
        <v>0</v>
      </c>
      <c r="BI73" s="9">
        <f>FJ73*($Q73*$S73)/(1+Voorblad!$K$44)^(BI$56-Voorblad!$F$41)</f>
        <v>0</v>
      </c>
      <c r="BJ73" s="9">
        <f>FK73*($Q73*$S73)/(1+Voorblad!$K$44)^(BJ$56-Voorblad!$F$41)</f>
        <v>0</v>
      </c>
      <c r="BK73" s="9">
        <f>FL73*($Q73*$S73)/(1+Voorblad!$K$44)^(BK$56-Voorblad!$F$41)</f>
        <v>0</v>
      </c>
      <c r="BL73" s="9">
        <f>FM73*($Q73*$S73)/(1+Voorblad!$K$44)^(BL$56-Voorblad!$F$41)</f>
        <v>0</v>
      </c>
      <c r="BM73" s="9">
        <f>FN73*($Q73*$S73)/(1+Voorblad!$K$44)^(BM$56-Voorblad!$F$41)</f>
        <v>0</v>
      </c>
      <c r="BN73" s="9">
        <f>FO73*($Q73*$S73)/(1+Voorblad!$K$44)^(BN$56-Voorblad!$F$41)</f>
        <v>0</v>
      </c>
      <c r="BO73" s="9">
        <f>FP73*($Q73*$S73)/(1+Voorblad!$K$44)^(BO$56-Voorblad!$F$41)</f>
        <v>0</v>
      </c>
      <c r="BP73" s="9">
        <f>FQ73*($Q73*$S73)/(1+Voorblad!$K$44)^(BP$56-Voorblad!$F$41)</f>
        <v>0</v>
      </c>
      <c r="BQ73" s="9">
        <f>FR73*($Q73*$S73)/(1+Voorblad!$K$44)^(BQ$56-Voorblad!$F$41)</f>
        <v>0</v>
      </c>
      <c r="BR73" s="9">
        <f>FS73*($Q73*$S73)/(1+Voorblad!$K$44)^(BR$56-Voorblad!$F$41)</f>
        <v>0</v>
      </c>
      <c r="BS73" s="9">
        <f>FT73*($Q73*$S73)/(1+Voorblad!$K$44)^(BS$56-Voorblad!$F$41)</f>
        <v>0</v>
      </c>
      <c r="BT73" s="9">
        <f>FU73*($Q73*$S73)/(1+Voorblad!$K$44)^(BT$56-Voorblad!$F$41)</f>
        <v>0</v>
      </c>
      <c r="BU73" s="9">
        <f>FV73*($Q73*$S73)/(1+Voorblad!$K$44)^(BU$56-Voorblad!$F$41)</f>
        <v>0</v>
      </c>
      <c r="BV73" s="9">
        <f>FW73*($Q73*$S73)/(1+Voorblad!$K$44)^(BV$56-Voorblad!$F$41)</f>
        <v>0</v>
      </c>
      <c r="BW73" s="9">
        <f>FX73*($Q73*$S73)/(1+Voorblad!$K$44)^(BW$56-Voorblad!$F$41)</f>
        <v>0</v>
      </c>
      <c r="BX73" s="9">
        <f>FY73*($Q73*$S73)/(1+Voorblad!$K$44)^(BX$56-Voorblad!$F$41)</f>
        <v>0</v>
      </c>
      <c r="BY73" s="9">
        <f>FZ73*($Q73*$S73)/(1+Voorblad!$K$44)^(BY$56-Voorblad!$F$41)</f>
        <v>0</v>
      </c>
      <c r="BZ73" s="9">
        <f>GA73*($Q73*$S73)/(1+Voorblad!$K$44)^(BZ$56-Voorblad!$F$41)</f>
        <v>0</v>
      </c>
      <c r="CA73" s="9">
        <f>GB73*($Q73*$S73)/(1+Voorblad!$K$44)^(CA$56-Voorblad!$F$41)</f>
        <v>0</v>
      </c>
      <c r="CB73" s="9">
        <f>GC73*($Q73*$S73)/(1+Voorblad!$K$44)^(CB$56-Voorblad!$F$41)</f>
        <v>0</v>
      </c>
      <c r="CC73" s="9">
        <f>GD73*($Q73*$S73)/(1+Voorblad!$K$44)^(CC$56-Voorblad!$F$41)</f>
        <v>0</v>
      </c>
      <c r="CD73" s="9">
        <f>GE73*($Q73*$S73)/(1+Voorblad!$K$44)^(CD$56-Voorblad!$F$41)</f>
        <v>0</v>
      </c>
      <c r="CE73" s="9">
        <f>GF73*($Q73*$S73)/(1+Voorblad!$K$44)^(CE$56-Voorblad!$F$41)</f>
        <v>0</v>
      </c>
      <c r="CF73" s="9">
        <f>GG73*($Q73*$S73)/(1+Voorblad!$K$44)^(CF$56-Voorblad!$F$41)</f>
        <v>0</v>
      </c>
      <c r="CG73" s="9">
        <f>GH73*($Q73*$S73)/(1+Voorblad!$K$44)^(CG$56-Voorblad!$F$41)</f>
        <v>0</v>
      </c>
      <c r="CH73" s="9">
        <f>GI73*($Q73*$S73)/(1+Voorblad!$K$44)^(CH$56-Voorblad!$F$41)</f>
        <v>0</v>
      </c>
      <c r="CI73" s="9">
        <f>GJ73*($Q73*$S73)/(1+Voorblad!$K$44)^(CI$56-Voorblad!$F$41)</f>
        <v>0</v>
      </c>
      <c r="CJ73" s="9">
        <f>GK73*($Q73*$S73)/(1+Voorblad!$K$44)^(CJ$56-Voorblad!$F$41)</f>
        <v>0</v>
      </c>
      <c r="CK73" s="9">
        <f>GL73*($Q73*$S73)/(1+Voorblad!$K$44)^(CK$56-Voorblad!$F$41)</f>
        <v>0</v>
      </c>
      <c r="CL73" s="9">
        <f>GM73*($Q73*$S73)/(1+Voorblad!$K$44)^(CL$56-Voorblad!$F$41)</f>
        <v>0</v>
      </c>
      <c r="CM73" s="9">
        <f>GN73*($Q73*$S73)/(1+Voorblad!$K$44)^(CM$56-Voorblad!$F$41)</f>
        <v>0</v>
      </c>
      <c r="CN73" s="9">
        <f>GO73*($Q73*$S73)/(1+Voorblad!$K$44)^(CN$56-Voorblad!$F$41)</f>
        <v>0</v>
      </c>
      <c r="CO73" s="9">
        <f>GP73*($Q73*$S73)/(1+Voorblad!$K$44)^(CO$56-Voorblad!$F$41)</f>
        <v>0</v>
      </c>
      <c r="CP73" s="9">
        <f>GQ73*($Q73*$S73)/(1+Voorblad!$K$44)^(CP$56-Voorblad!$F$41)</f>
        <v>0</v>
      </c>
      <c r="CQ73" s="9">
        <f>GR73*($Q73*$S73)/(1+Voorblad!$K$44)^(CQ$56-Voorblad!$F$41)</f>
        <v>0</v>
      </c>
      <c r="CR73" s="9">
        <f>GS73*($Q73*$S73)/(1+Voorblad!$K$44)^(CR$56-Voorblad!$F$41)</f>
        <v>0</v>
      </c>
      <c r="CS73" s="9">
        <f>GT73*($Q73*$S73)/(1+Voorblad!$K$44)^(CS$56-Voorblad!$F$41)</f>
        <v>0</v>
      </c>
      <c r="CT73" s="9">
        <f>GU73*($Q73*$S73)/(1+Voorblad!$K$44)^(CT$56-Voorblad!$F$41)</f>
        <v>0</v>
      </c>
      <c r="CU73" s="9">
        <f>GV73*($Q73*$S73)/(1+Voorblad!$K$44)^(CU$56-Voorblad!$F$41)</f>
        <v>0</v>
      </c>
      <c r="CV73" s="9">
        <f>GW73*($Q73*$S73)/(1+Voorblad!$K$44)^(CV$56-Voorblad!$F$41)</f>
        <v>0</v>
      </c>
      <c r="CW73" s="9">
        <f>GX73*($Q73*$S73)/(1+Voorblad!$K$44)^(CW$56-Voorblad!$F$41)</f>
        <v>0</v>
      </c>
      <c r="CX73" s="9">
        <f>GY73*($Q73*$S73)/(1+Voorblad!$K$44)^(CX$56-Voorblad!$F$41)</f>
        <v>0</v>
      </c>
      <c r="CY73" s="9">
        <f>GZ73*($Q73*$S73)/(1+Voorblad!$K$44)^(CY$56-Voorblad!$F$41)</f>
        <v>0</v>
      </c>
      <c r="CZ73" s="9">
        <f>HA73*($Q73*$S73)/(1+Voorblad!$K$44)^(CZ$56-Voorblad!$F$41)</f>
        <v>0</v>
      </c>
      <c r="DA73" s="9">
        <f>HB73*($Q73*$S73)/(1+Voorblad!$K$44)^(DA$56-Voorblad!$F$41)</f>
        <v>0</v>
      </c>
      <c r="DB73" s="9">
        <f>HC73*($Q73*$S73)/(1+Voorblad!$K$44)^(DB$56-Voorblad!$F$41)</f>
        <v>0</v>
      </c>
      <c r="DC73" s="9">
        <f>HD73*($Q73*$S73)/(1+Voorblad!$K$44)^(DC$56-Voorblad!$F$41)</f>
        <v>0</v>
      </c>
      <c r="DD73" s="9">
        <f>HE73*($Q73*$S73)/(1+Voorblad!$K$44)^(DD$56-Voorblad!$F$41)</f>
        <v>0</v>
      </c>
      <c r="DE73" s="9">
        <f>HF73*($Q73*$S73)/(1+Voorblad!$K$44)^(DE$56-Voorblad!$F$41)</f>
        <v>0</v>
      </c>
      <c r="DF73" s="9">
        <f>HG73*($Q73*$S73)/(1+Voorblad!$K$44)^(DF$56-Voorblad!$F$41)</f>
        <v>0</v>
      </c>
      <c r="DG73" s="9">
        <f>HH73*($Q73*$S73)/(1+Voorblad!$K$44)^(DG$56-Voorblad!$F$41)</f>
        <v>0</v>
      </c>
      <c r="DH73" s="9">
        <f>HI73*($Q73*$S73)/(1+Voorblad!$K$44)^(DH$56-Voorblad!$F$41)</f>
        <v>0</v>
      </c>
      <c r="DI73" s="9">
        <f>HJ73*($Q73*$S73)/(1+Voorblad!$K$44)^(DI$56-Voorblad!$F$41)</f>
        <v>0</v>
      </c>
      <c r="DJ73" s="9">
        <f>HK73*($Q73*$S73)/(1+Voorblad!$K$44)^(DJ$56-Voorblad!$F$41)</f>
        <v>0</v>
      </c>
      <c r="DK73" s="9">
        <f>HL73*($Q73*$S73)/(1+Voorblad!$K$44)^(DK$56-Voorblad!$F$41)</f>
        <v>0</v>
      </c>
      <c r="DL73" s="9">
        <f>HM73*($Q73*$S73)/(1+Voorblad!$K$44)^(DL$56-Voorblad!$F$41)</f>
        <v>0</v>
      </c>
      <c r="DM73" s="9">
        <f>HN73*($Q73*$S73)/(1+Voorblad!$K$44)^(DM$56-Voorblad!$F$41)</f>
        <v>0</v>
      </c>
      <c r="DN73" s="9">
        <f>HO73*($Q73*$S73)/(1+Voorblad!$K$44)^(DN$56-Voorblad!$F$41)</f>
        <v>0</v>
      </c>
      <c r="DO73" s="9">
        <f>HP73*($Q73*$S73)/(1+Voorblad!$K$44)^(DO$56-Voorblad!$F$41)</f>
        <v>0</v>
      </c>
      <c r="DP73" s="9">
        <f>HQ73*($Q73*$S73)/(1+Voorblad!$K$44)^(DP$56-Voorblad!$F$41)</f>
        <v>0</v>
      </c>
      <c r="DQ73" s="9">
        <f>HR73*($Q73*$S73)/(1+Voorblad!$K$44)^(DQ$56-Voorblad!$F$41)</f>
        <v>0</v>
      </c>
      <c r="DR73" s="9">
        <f>HS73*($Q73*$S73)/(1+Voorblad!$K$44)^(DR$56-Voorblad!$F$41)</f>
        <v>0</v>
      </c>
      <c r="DS73" s="9">
        <f>HT73*($Q73*$S73)/(1+Voorblad!$K$44)^(DS$56-Voorblad!$F$41)</f>
        <v>0</v>
      </c>
      <c r="DT73" s="9">
        <f>HU73*($Q73*$S73)/(1+Voorblad!$K$44)^(DT$56-Voorblad!$F$41)</f>
        <v>0</v>
      </c>
      <c r="DU73" s="9">
        <f>HV73*($Q73*$S73)/(1+Voorblad!$K$44)^(DU$56-Voorblad!$F$41)</f>
        <v>0</v>
      </c>
      <c r="DV73" s="9">
        <f>HW73*($Q73*$S73)/(1+Voorblad!$K$44)^(DV$56-Voorblad!$F$41)</f>
        <v>0</v>
      </c>
      <c r="DW73" s="9">
        <f>HX73*($Q73*$S73)/(1+Voorblad!$K$44)^(DW$56-Voorblad!$F$41)</f>
        <v>0</v>
      </c>
      <c r="DX73" s="9">
        <f>HY73*($Q73*$S73)/(1+Voorblad!$K$44)^(DX$56-Voorblad!$F$41)</f>
        <v>0</v>
      </c>
      <c r="DY73" s="9">
        <f>HZ73*($Q73*$S73)/(1+Voorblad!$K$44)^(DY$56-Voorblad!$F$41)</f>
        <v>0</v>
      </c>
      <c r="DZ73" s="9">
        <f>IA73*($Q73*$S73)/(1+Voorblad!$K$44)^(DZ$56-Voorblad!$F$41)</f>
        <v>0</v>
      </c>
      <c r="EA73" s="9">
        <f>IB73*($Q73*$S73)/(1+Voorblad!$K$44)^(EA$56-Voorblad!$F$41)</f>
        <v>0</v>
      </c>
      <c r="EB73" s="9">
        <f>IC73*($Q73*$S73)/(1+Voorblad!$K$44)^(EB$56-Voorblad!$F$41)</f>
        <v>0</v>
      </c>
      <c r="EE73" s="8">
        <v>0</v>
      </c>
      <c r="EF73" s="8">
        <f>IF(EF$56-Voorblad!$F$41&gt;Voorblad!$K$41,0,IF($U73=0,0,IF($U73&lt;1,1/$U73,IF((EF$56-Voorblad!$F$41)/$U73-SUM($EE73:EE73)=1,1,0))))</f>
        <v>0</v>
      </c>
      <c r="EG73" s="8">
        <f>IF(EG$56-Voorblad!$F$41&gt;Voorblad!$K$41,0,IF($U73=0,0,IF($U73&lt;1,1/$U73,IF((EG$56-Voorblad!$F$41)/$U73-SUM($EE73:EF73)=1,1,0))))</f>
        <v>0</v>
      </c>
      <c r="EH73" s="8">
        <f>IF(EH$56-Voorblad!$F$41&gt;Voorblad!$K$41,0,IF($U73=0,0,IF($U73&lt;1,1/$U73,IF((EH$56-Voorblad!$F$41)/$U73-SUM($EE73:EG73)=1,1,0))))</f>
        <v>0</v>
      </c>
      <c r="EI73" s="8">
        <f>IF(EI$56-Voorblad!$F$41&gt;Voorblad!$K$41,0,IF($U73=0,0,IF($U73&lt;1,1/$U73,IF((EI$56-Voorblad!$F$41)/$U73-SUM($EE73:EH73)=1,1,0))))</f>
        <v>0</v>
      </c>
      <c r="EJ73" s="8">
        <f>IF(EJ$56-Voorblad!$F$41&gt;Voorblad!$K$41,0,IF($U73=0,0,IF($U73&lt;1,1/$U73,IF((EJ$56-Voorblad!$F$41)/$U73-SUM($EE73:EI73)=1,1,0))))</f>
        <v>0</v>
      </c>
      <c r="EK73" s="8">
        <f>IF(EK$56-Voorblad!$F$41&gt;Voorblad!$K$41,0,IF($U73=0,0,IF($U73&lt;1,1/$U73,IF((EK$56-Voorblad!$F$41)/$U73-SUM($EE73:EJ73)=1,1,0))))</f>
        <v>0</v>
      </c>
      <c r="EL73" s="8">
        <f>IF(EL$56-Voorblad!$F$41&gt;Voorblad!$K$41,0,IF($U73=0,0,IF($U73&lt;1,1/$U73,IF((EL$56-Voorblad!$F$41)/$U73-SUM($EE73:EK73)=1,1,0))))</f>
        <v>0</v>
      </c>
      <c r="EM73" s="8">
        <f>IF(EM$56-Voorblad!$F$41&gt;Voorblad!$K$41,0,IF($U73=0,0,IF($U73&lt;1,1/$U73,IF((EM$56-Voorblad!$F$41)/$U73-SUM($EE73:EL73)=1,1,0))))</f>
        <v>0</v>
      </c>
      <c r="EN73" s="8">
        <f>IF(EN$56-Voorblad!$F$41&gt;Voorblad!$K$41,0,IF($U73=0,0,IF($U73&lt;1,1/$U73,IF((EN$56-Voorblad!$F$41)/$U73-SUM($EE73:EM73)=1,1,0))))</f>
        <v>0</v>
      </c>
      <c r="EO73" s="8">
        <f>IF(EO$56-Voorblad!$F$41&gt;Voorblad!$K$41,0,IF($U73=0,0,IF($U73&lt;1,1/$U73,IF((EO$56-Voorblad!$F$41)/$U73-SUM($EE73:EN73)=1,1,0))))</f>
        <v>0</v>
      </c>
      <c r="EP73" s="8">
        <f>IF(EP$56-Voorblad!$F$41&gt;Voorblad!$K$41,0,IF($U73=0,0,IF($U73&lt;1,1/$U73,IF((EP$56-Voorblad!$F$41)/$U73-SUM($EE73:EO73)=1,1,0))))</f>
        <v>0</v>
      </c>
      <c r="EQ73" s="8">
        <f>IF(EQ$56-Voorblad!$F$41&gt;Voorblad!$K$41,0,IF($U73=0,0,IF($U73&lt;1,1/$U73,IF((EQ$56-Voorblad!$F$41)/$U73-SUM($EE73:EP73)=1,1,0))))</f>
        <v>0</v>
      </c>
      <c r="ER73" s="8">
        <f>IF(ER$56-Voorblad!$F$41&gt;Voorblad!$K$41,0,IF($U73=0,0,IF($U73&lt;1,1/$U73,IF((ER$56-Voorblad!$F$41)/$U73-SUM($EE73:EQ73)=1,1,0))))</f>
        <v>0</v>
      </c>
      <c r="ES73" s="8">
        <f>IF(ES$56-Voorblad!$F$41&gt;Voorblad!$K$41,0,IF($U73=0,0,IF($U73&lt;1,1/$U73,IF((ES$56-Voorblad!$F$41)/$U73-SUM($EE73:ER73)=1,1,0))))</f>
        <v>0</v>
      </c>
      <c r="ET73" s="8">
        <f>IF(ET$56-Voorblad!$F$41&gt;Voorblad!$K$41,0,IF($U73=0,0,IF($U73&lt;1,1/$U73,IF((ET$56-Voorblad!$F$41)/$U73-SUM($EE73:ES73)=1,1,0))))</f>
        <v>0</v>
      </c>
      <c r="EU73" s="8">
        <f>IF(EU$56-Voorblad!$F$41&gt;Voorblad!$K$41,0,IF($U73=0,0,IF($U73&lt;1,1/$U73,IF((EU$56-Voorblad!$F$41)/$U73-SUM($EE73:ET73)=1,1,0))))</f>
        <v>1</v>
      </c>
      <c r="EV73" s="8">
        <f>IF(EV$56-Voorblad!$F$41&gt;Voorblad!$K$41,0,IF($U73=0,0,IF($U73&lt;1,1/$U73,IF((EV$56-Voorblad!$F$41)/$U73-SUM($EE73:EU73)=1,1,0))))</f>
        <v>0</v>
      </c>
      <c r="EW73" s="8">
        <f>IF(EW$56-Voorblad!$F$41&gt;Voorblad!$K$41,0,IF($U73=0,0,IF($U73&lt;1,1/$U73,IF((EW$56-Voorblad!$F$41)/$U73-SUM($EE73:EV73)=1,1,0))))</f>
        <v>0</v>
      </c>
      <c r="EX73" s="8">
        <f>IF(EX$56-Voorblad!$F$41&gt;Voorblad!$K$41,0,IF($U73=0,0,IF($U73&lt;1,1/$U73,IF((EX$56-Voorblad!$F$41)/$U73-SUM($EE73:EW73)=1,1,0))))</f>
        <v>0</v>
      </c>
      <c r="EY73" s="8">
        <f>IF(EY$56-Voorblad!$F$41&gt;Voorblad!$K$41,0,IF($U73=0,0,IF($U73&lt;1,1/$U73,IF((EY$56-Voorblad!$F$41)/$U73-SUM($EE73:EX73)=1,1,0))))</f>
        <v>0</v>
      </c>
      <c r="EZ73" s="8">
        <f>IF(EZ$56-Voorblad!$F$41&gt;Voorblad!$K$41,0,IF($U73=0,0,IF($U73&lt;1,1/$U73,IF((EZ$56-Voorblad!$F$41)/$U73-SUM($EE73:EY73)=1,1,0))))</f>
        <v>0</v>
      </c>
      <c r="FA73" s="8">
        <f>IF(FA$56-Voorblad!$F$41&gt;Voorblad!$K$41,0,IF($U73=0,0,IF($U73&lt;1,1/$U73,IF((FA$56-Voorblad!$F$41)/$U73-SUM($EE73:EZ73)=1,1,0))))</f>
        <v>0</v>
      </c>
      <c r="FB73" s="8">
        <f>IF(FB$56-Voorblad!$F$41&gt;Voorblad!$K$41,0,IF($U73=0,0,IF($U73&lt;1,1/$U73,IF((FB$56-Voorblad!$F$41)/$U73-SUM($EE73:FA73)=1,1,0))))</f>
        <v>0</v>
      </c>
      <c r="FC73" s="8">
        <f>IF(FC$56-Voorblad!$F$41&gt;Voorblad!$K$41,0,IF($U73=0,0,IF($U73&lt;1,1/$U73,IF((FC$56-Voorblad!$F$41)/$U73-SUM($EE73:FB73)=1,1,0))))</f>
        <v>0</v>
      </c>
      <c r="FD73" s="8">
        <f>IF(FD$56-Voorblad!$F$41&gt;Voorblad!$K$41,0,IF($U73=0,0,IF($U73&lt;1,1/$U73,IF((FD$56-Voorblad!$F$41)/$U73-SUM($EE73:FC73)=1,1,0))))</f>
        <v>0</v>
      </c>
      <c r="FE73" s="8">
        <f>IF(FE$56-Voorblad!$F$41&gt;Voorblad!$K$41,0,IF($U73=0,0,IF($U73&lt;1,1/$U73,IF((FE$56-Voorblad!$F$41)/$U73-SUM($EE73:FD73)=1,1,0))))</f>
        <v>0</v>
      </c>
      <c r="FF73" s="8">
        <f>IF(FF$56-Voorblad!$F$41&gt;Voorblad!$K$41,0,IF($U73=0,0,IF($U73&lt;1,1/$U73,IF((FF$56-Voorblad!$F$41)/$U73-SUM($EE73:FE73)=1,1,0))))</f>
        <v>0</v>
      </c>
      <c r="FG73" s="8">
        <f>IF(FG$56-Voorblad!$F$41&gt;Voorblad!$K$41,0,IF($U73=0,0,IF($U73&lt;1,1/$U73,IF((FG$56-Voorblad!$F$41)/$U73-SUM($EE73:FF73)=1,1,0))))</f>
        <v>0</v>
      </c>
      <c r="FH73" s="8">
        <f>IF(FH$56-Voorblad!$F$41&gt;Voorblad!$K$41,0,IF($U73=0,0,IF($U73&lt;1,1/$U73,IF((FH$56-Voorblad!$F$41)/$U73-SUM($EE73:FG73)=1,1,0))))</f>
        <v>0</v>
      </c>
      <c r="FI73" s="8">
        <f>IF(FI$56-Voorblad!$F$41&gt;Voorblad!$K$41,0,IF($U73=0,0,IF($U73&lt;1,1/$U73,IF((FI$56-Voorblad!$F$41)/$U73-SUM($EE73:FH73)=1,1,0))))</f>
        <v>0</v>
      </c>
      <c r="FJ73" s="8">
        <f>IF(FJ$56-Voorblad!$F$41&gt;Voorblad!$K$41,0,IF($U73=0,0,IF($U73&lt;1,1/$U73,IF((FJ$56-Voorblad!$F$41)/$U73-SUM($EE73:FI73)=1,1,0))))</f>
        <v>1</v>
      </c>
      <c r="FK73" s="8">
        <f>IF(FK$56-Voorblad!$F$41&gt;Voorblad!$K$41,0,IF($U73=0,0,IF($U73&lt;1,1/$U73,IF((FK$56-Voorblad!$F$41)/$U73-SUM($EE73:FJ73)=1,1,0))))</f>
        <v>0</v>
      </c>
      <c r="FL73" s="8">
        <f>IF(FL$56-Voorblad!$F$41&gt;Voorblad!$K$41,0,IF($U73=0,0,IF($U73&lt;1,1/$U73,IF((FL$56-Voorblad!$F$41)/$U73-SUM($EE73:FK73)=1,1,0))))</f>
        <v>0</v>
      </c>
      <c r="FM73" s="8">
        <f>IF(FM$56-Voorblad!$F$41&gt;Voorblad!$K$41,0,IF($U73=0,0,IF($U73&lt;1,1/$U73,IF((FM$56-Voorblad!$F$41)/$U73-SUM($EE73:FL73)=1,1,0))))</f>
        <v>0</v>
      </c>
      <c r="FN73" s="8">
        <f>IF(FN$56-Voorblad!$F$41&gt;Voorblad!$K$41,0,IF($U73=0,0,IF($U73&lt;1,1/$U73,IF((FN$56-Voorblad!$F$41)/$U73-SUM($EE73:FM73)=1,1,0))))</f>
        <v>0</v>
      </c>
      <c r="FO73" s="8">
        <f>IF(FO$56-Voorblad!$F$41&gt;Voorblad!$K$41,0,IF($U73=0,0,IF($U73&lt;1,1/$U73,IF((FO$56-Voorblad!$F$41)/$U73-SUM($EE73:FN73)=1,1,0))))</f>
        <v>0</v>
      </c>
      <c r="FP73" s="8">
        <f>IF(FP$56-Voorblad!$F$41&gt;Voorblad!$K$41,0,IF($U73=0,0,IF($U73&lt;1,1/$U73,IF((FP$56-Voorblad!$F$41)/$U73-SUM($EE73:FO73)=1,1,0))))</f>
        <v>0</v>
      </c>
      <c r="FQ73" s="8">
        <f>IF(FQ$56-Voorblad!$F$41&gt;Voorblad!$K$41,0,IF($U73=0,0,IF($U73&lt;1,1/$U73,IF((FQ$56-Voorblad!$F$41)/$U73-SUM($EE73:FP73)=1,1,0))))</f>
        <v>0</v>
      </c>
      <c r="FR73" s="8">
        <f>IF(FR$56-Voorblad!$F$41&gt;Voorblad!$K$41,0,IF($U73=0,0,IF($U73&lt;1,1/$U73,IF((FR$56-Voorblad!$F$41)/$U73-SUM($EE73:FQ73)=1,1,0))))</f>
        <v>0</v>
      </c>
      <c r="FS73" s="8">
        <f>IF(FS$56-Voorblad!$F$41&gt;Voorblad!$K$41,0,IF($U73=0,0,IF($U73&lt;1,1/$U73,IF((FS$56-Voorblad!$F$41)/$U73-SUM($EE73:FR73)=1,1,0))))</f>
        <v>0</v>
      </c>
      <c r="FT73" s="8">
        <f>IF(FT$56-Voorblad!$F$41&gt;Voorblad!$K$41,0,IF($U73=0,0,IF($U73&lt;1,1/$U73,IF((FT$56-Voorblad!$F$41)/$U73-SUM($EE73:FS73)=1,1,0))))</f>
        <v>0</v>
      </c>
      <c r="FU73" s="8">
        <f>IF(FU$56-Voorblad!$F$41&gt;Voorblad!$K$41,0,IF($U73=0,0,IF($U73&lt;1,1/$U73,IF((FU$56-Voorblad!$F$41)/$U73-SUM($EE73:FT73)=1,1,0))))</f>
        <v>0</v>
      </c>
      <c r="FV73" s="8">
        <f>IF(FV$56-Voorblad!$F$41&gt;Voorblad!$K$41,0,IF($U73=0,0,IF($U73&lt;1,1/$U73,IF((FV$56-Voorblad!$F$41)/$U73-SUM($EE73:FU73)=1,1,0))))</f>
        <v>0</v>
      </c>
      <c r="FW73" s="8">
        <f>IF(FW$56-Voorblad!$F$41&gt;Voorblad!$K$41,0,IF($U73=0,0,IF($U73&lt;1,1/$U73,IF((FW$56-Voorblad!$F$41)/$U73-SUM($EE73:FV73)=1,1,0))))</f>
        <v>0</v>
      </c>
      <c r="FX73" s="8">
        <f>IF(FX$56-Voorblad!$F$41&gt;Voorblad!$K$41,0,IF($U73=0,0,IF($U73&lt;1,1/$U73,IF((FX$56-Voorblad!$F$41)/$U73-SUM($EE73:FW73)=1,1,0))))</f>
        <v>0</v>
      </c>
      <c r="FY73" s="8">
        <f>IF(FY$56-Voorblad!$F$41&gt;Voorblad!$K$41,0,IF($U73=0,0,IF($U73&lt;1,1/$U73,IF((FY$56-Voorblad!$F$41)/$U73-SUM($EE73:FX73)=1,1,0))))</f>
        <v>1</v>
      </c>
      <c r="FZ73" s="8">
        <f>IF(FZ$56-Voorblad!$F$41&gt;Voorblad!$K$41,0,IF($U73=0,0,IF($U73&lt;1,1/$U73,IF((FZ$56-Voorblad!$F$41)/$U73-SUM($EE73:FY73)=1,1,0))))</f>
        <v>0</v>
      </c>
      <c r="GA73" s="8">
        <f>IF(GA$56-Voorblad!$F$41&gt;Voorblad!$K$41,0,IF($U73=0,0,IF($U73&lt;1,1/$U73,IF((GA$56-Voorblad!$F$41)/$U73-SUM($EE73:FZ73)=1,1,0))))</f>
        <v>0</v>
      </c>
      <c r="GB73" s="8">
        <f>IF(GB$56-Voorblad!$F$41&gt;Voorblad!$K$41,0,IF($U73=0,0,IF($U73&lt;1,1/$U73,IF((GB$56-Voorblad!$F$41)/$U73-SUM($EE73:GA73)=1,1,0))))</f>
        <v>0</v>
      </c>
      <c r="GC73" s="8">
        <f>IF(GC$56-Voorblad!$F$41&gt;Voorblad!$K$41,0,IF($U73=0,0,IF($U73&lt;1,1/$U73,IF((GC$56-Voorblad!$F$41)/$U73-SUM($EE73:GB73)=1,1,0))))</f>
        <v>0</v>
      </c>
      <c r="GD73" s="8">
        <f>IF(GD$56-Voorblad!$F$41&gt;Voorblad!$K$41,0,IF($U73=0,0,IF($U73&lt;1,1/$U73,IF((GD$56-Voorblad!$F$41)/$U73-SUM($EE73:GC73)=1,1,0))))</f>
        <v>0</v>
      </c>
      <c r="GE73" s="8">
        <f>IF(GE$56-Voorblad!$F$41&gt;Voorblad!$K$41,0,IF($U73=0,0,IF($U73&lt;1,1/$U73,IF((GE$56-Voorblad!$F$41)/$U73-SUM($EE73:GD73)=1,1,0))))</f>
        <v>0</v>
      </c>
      <c r="GF73" s="8">
        <f>IF(GF$56-Voorblad!$F$41&gt;Voorblad!$K$41,0,IF($U73=0,0,IF($U73&lt;1,1/$U73,IF((GF$56-Voorblad!$F$41)/$U73-SUM($EE73:GE73)=1,1,0))))</f>
        <v>0</v>
      </c>
      <c r="GG73" s="8">
        <f>IF(GG$56-Voorblad!$F$41&gt;Voorblad!$K$41,0,IF($U73=0,0,IF($U73&lt;1,1/$U73,IF((GG$56-Voorblad!$F$41)/$U73-SUM($EE73:GF73)=1,1,0))))</f>
        <v>0</v>
      </c>
      <c r="GH73" s="8">
        <f>IF(GH$56-Voorblad!$F$41&gt;Voorblad!$K$41,0,IF($U73=0,0,IF($U73&lt;1,1/$U73,IF((GH$56-Voorblad!$F$41)/$U73-SUM($EE73:GG73)=1,1,0))))</f>
        <v>0</v>
      </c>
      <c r="GI73" s="8">
        <f>IF(GI$56-Voorblad!$F$41&gt;Voorblad!$K$41,0,IF($U73=0,0,IF($U73&lt;1,1/$U73,IF((GI$56-Voorblad!$F$41)/$U73-SUM($EE73:GH73)=1,1,0))))</f>
        <v>0</v>
      </c>
      <c r="GJ73" s="8">
        <f>IF(GJ$56-Voorblad!$F$41&gt;Voorblad!$K$41,0,IF($U73=0,0,IF($U73&lt;1,1/$U73,IF((GJ$56-Voorblad!$F$41)/$U73-SUM($EE73:GI73)=1,1,0))))</f>
        <v>0</v>
      </c>
      <c r="GK73" s="8">
        <f>IF(GK$56-Voorblad!$F$41&gt;Voorblad!$K$41,0,IF($U73=0,0,IF($U73&lt;1,1/$U73,IF((GK$56-Voorblad!$F$41)/$U73-SUM($EE73:GJ73)=1,1,0))))</f>
        <v>0</v>
      </c>
      <c r="GL73" s="8">
        <f>IF(GL$56-Voorblad!$F$41&gt;Voorblad!$K$41,0,IF($U73=0,0,IF($U73&lt;1,1/$U73,IF((GL$56-Voorblad!$F$41)/$U73-SUM($EE73:GK73)=1,1,0))))</f>
        <v>0</v>
      </c>
      <c r="GM73" s="8">
        <f>IF(GM$56-Voorblad!$F$41&gt;Voorblad!$K$41,0,IF($U73=0,0,IF($U73&lt;1,1/$U73,IF((GM$56-Voorblad!$F$41)/$U73-SUM($EE73:GL73)=1,1,0))))</f>
        <v>0</v>
      </c>
      <c r="GN73" s="8">
        <f>IF(GN$56-Voorblad!$F$41&gt;Voorblad!$K$41,0,IF($U73=0,0,IF($U73&lt;1,1/$U73,IF((GN$56-Voorblad!$F$41)/$U73-SUM($EE73:GM73)=1,1,0))))</f>
        <v>1</v>
      </c>
      <c r="GO73" s="8">
        <f>IF(GO$56-Voorblad!$F$41&gt;Voorblad!$K$41,0,IF($U73=0,0,IF($U73&lt;1,1/$U73,IF((GO$56-Voorblad!$F$41)/$U73-SUM($EE73:GN73)=1,1,0))))</f>
        <v>0</v>
      </c>
      <c r="GP73" s="8">
        <f>IF(GP$56-Voorblad!$F$41&gt;Voorblad!$K$41,0,IF($U73=0,0,IF($U73&lt;1,1/$U73,IF((GP$56-Voorblad!$F$41)/$U73-SUM($EE73:GO73)=1,1,0))))</f>
        <v>0</v>
      </c>
      <c r="GQ73" s="8">
        <f>IF(GQ$56-Voorblad!$F$41&gt;Voorblad!$K$41,0,IF($U73=0,0,IF($U73&lt;1,1/$U73,IF((GQ$56-Voorblad!$F$41)/$U73-SUM($EE73:GP73)=1,1,0))))</f>
        <v>0</v>
      </c>
      <c r="GR73" s="8">
        <f>IF(GR$56-Voorblad!$F$41&gt;Voorblad!$K$41,0,IF($U73=0,0,IF($U73&lt;1,1/$U73,IF((GR$56-Voorblad!$F$41)/$U73-SUM($EE73:GQ73)=1,1,0))))</f>
        <v>0</v>
      </c>
      <c r="GS73" s="8">
        <f>IF(GS$56-Voorblad!$F$41&gt;Voorblad!$K$41,0,IF($U73=0,0,IF($U73&lt;1,1/$U73,IF((GS$56-Voorblad!$F$41)/$U73-SUM($EE73:GR73)=1,1,0))))</f>
        <v>0</v>
      </c>
      <c r="GT73" s="8">
        <f>IF(GT$56-Voorblad!$F$41&gt;Voorblad!$K$41,0,IF($U73=0,0,IF($U73&lt;1,1/$U73,IF((GT$56-Voorblad!$F$41)/$U73-SUM($EE73:GS73)=1,1,0))))</f>
        <v>0</v>
      </c>
      <c r="GU73" s="8">
        <f>IF(GU$56-Voorblad!$F$41&gt;Voorblad!$K$41,0,IF($U73=0,0,IF($U73&lt;1,1/$U73,IF((GU$56-Voorblad!$F$41)/$U73-SUM($EE73:GT73)=1,1,0))))</f>
        <v>0</v>
      </c>
      <c r="GV73" s="8">
        <f>IF(GV$56-Voorblad!$F$41&gt;Voorblad!$K$41,0,IF($U73=0,0,IF($U73&lt;1,1/$U73,IF((GV$56-Voorblad!$F$41)/$U73-SUM($EE73:GU73)=1,1,0))))</f>
        <v>0</v>
      </c>
      <c r="GW73" s="8">
        <f>IF(GW$56-Voorblad!$F$41&gt;Voorblad!$K$41,0,IF($U73=0,0,IF($U73&lt;1,1/$U73,IF((GW$56-Voorblad!$F$41)/$U73-SUM($EE73:GV73)=1,1,0))))</f>
        <v>0</v>
      </c>
      <c r="GX73" s="8">
        <f>IF(GX$56-Voorblad!$F$41&gt;Voorblad!$K$41,0,IF($U73=0,0,IF($U73&lt;1,1/$U73,IF((GX$56-Voorblad!$F$41)/$U73-SUM($EE73:GW73)=1,1,0))))</f>
        <v>0</v>
      </c>
      <c r="GY73" s="8">
        <f>IF(GY$56-Voorblad!$F$41&gt;Voorblad!$K$41,0,IF($U73=0,0,IF($U73&lt;1,1/$U73,IF((GY$56-Voorblad!$F$41)/$U73-SUM($EE73:GX73)=1,1,0))))</f>
        <v>0</v>
      </c>
      <c r="GZ73" s="8">
        <f>IF(GZ$56-Voorblad!$F$41&gt;Voorblad!$K$41,0,IF($U73=0,0,IF($U73&lt;1,1/$U73,IF((GZ$56-Voorblad!$F$41)/$U73-SUM($EE73:GY73)=1,1,0))))</f>
        <v>0</v>
      </c>
      <c r="HA73" s="8">
        <f>IF(HA$56-Voorblad!$F$41&gt;Voorblad!$K$41,0,IF($U73=0,0,IF($U73&lt;1,1/$U73,IF((HA$56-Voorblad!$F$41)/$U73-SUM($EE73:GZ73)=1,1,0))))</f>
        <v>0</v>
      </c>
      <c r="HB73" s="8">
        <f>IF(HB$56-Voorblad!$F$41&gt;Voorblad!$K$41,0,IF($U73=0,0,IF($U73&lt;1,1/$U73,IF((HB$56-Voorblad!$F$41)/$U73-SUM($EE73:HA73)=1,1,0))))</f>
        <v>0</v>
      </c>
      <c r="HC73" s="8">
        <f>IF(HC$56-Voorblad!$F$41&gt;Voorblad!$K$41,0,IF($U73=0,0,IF($U73&lt;1,1/$U73,IF((HC$56-Voorblad!$F$41)/$U73-SUM($EE73:HB73)=1,1,0))))</f>
        <v>0</v>
      </c>
      <c r="HD73" s="8">
        <f>IF(HD$56-Voorblad!$F$41&gt;Voorblad!$K$41,0,IF($U73=0,0,IF($U73&lt;1,1/$U73,IF((HD$56-Voorblad!$F$41)/$U73-SUM($EE73:HC73)=1,1,0))))</f>
        <v>0</v>
      </c>
      <c r="HE73" s="8">
        <f>IF(HE$56-Voorblad!$F$41&gt;Voorblad!$K$41,0,IF($U73=0,0,IF($U73&lt;1,1/$U73,IF((HE$56-Voorblad!$F$41)/$U73-SUM($EE73:HD73)=1,1,0))))</f>
        <v>0</v>
      </c>
      <c r="HF73" s="8">
        <f>IF(HF$56-Voorblad!$F$41&gt;Voorblad!$K$41,0,IF($U73=0,0,IF($U73&lt;1,1/$U73,IF((HF$56-Voorblad!$F$41)/$U73-SUM($EE73:HE73)=1,1,0))))</f>
        <v>0</v>
      </c>
      <c r="HG73" s="8">
        <f>IF(HG$56-Voorblad!$F$41&gt;Voorblad!$K$41,0,IF($U73=0,0,IF($U73&lt;1,1/$U73,IF((HG$56-Voorblad!$F$41)/$U73-SUM($EE73:HF73)=1,1,0))))</f>
        <v>0</v>
      </c>
      <c r="HH73" s="8">
        <f>IF(HH$56-Voorblad!$F$41&gt;Voorblad!$K$41,0,IF($U73=0,0,IF($U73&lt;1,1/$U73,IF((HH$56-Voorblad!$F$41)/$U73-SUM($EE73:HG73)=1,1,0))))</f>
        <v>0</v>
      </c>
      <c r="HI73" s="8">
        <f>IF(HI$56-Voorblad!$F$41&gt;Voorblad!$K$41,0,IF($U73=0,0,IF($U73&lt;1,1/$U73,IF((HI$56-Voorblad!$F$41)/$U73-SUM($EE73:HH73)=1,1,0))))</f>
        <v>0</v>
      </c>
      <c r="HJ73" s="8">
        <f>IF(HJ$56-Voorblad!$F$41&gt;Voorblad!$K$41,0,IF($U73=0,0,IF($U73&lt;1,1/$U73,IF((HJ$56-Voorblad!$F$41)/$U73-SUM($EE73:HI73)=1,1,0))))</f>
        <v>0</v>
      </c>
      <c r="HK73" s="8">
        <f>IF(HK$56-Voorblad!$F$41&gt;Voorblad!$K$41,0,IF($U73=0,0,IF($U73&lt;1,1/$U73,IF((HK$56-Voorblad!$F$41)/$U73-SUM($EE73:HJ73)=1,1,0))))</f>
        <v>0</v>
      </c>
      <c r="HL73" s="8">
        <f>IF(HL$56-Voorblad!$F$41&gt;Voorblad!$K$41,0,IF($U73=0,0,IF($U73&lt;1,1/$U73,IF((HL$56-Voorblad!$F$41)/$U73-SUM($EE73:HK73)=1,1,0))))</f>
        <v>0</v>
      </c>
      <c r="HM73" s="8">
        <f>IF(HM$56-Voorblad!$F$41&gt;Voorblad!$K$41,0,IF($U73=0,0,IF($U73&lt;1,1/$U73,IF((HM$56-Voorblad!$F$41)/$U73-SUM($EE73:HL73)=1,1,0))))</f>
        <v>0</v>
      </c>
      <c r="HN73" s="8">
        <f>IF(HN$56-Voorblad!$F$41&gt;Voorblad!$K$41,0,IF($U73=0,0,IF($U73&lt;1,1/$U73,IF((HN$56-Voorblad!$F$41)/$U73-SUM($EE73:HM73)=1,1,0))))</f>
        <v>0</v>
      </c>
      <c r="HO73" s="8">
        <f>IF(HO$56-Voorblad!$F$41&gt;Voorblad!$K$41,0,IF($U73=0,0,IF($U73&lt;1,1/$U73,IF((HO$56-Voorblad!$F$41)/$U73-SUM($EE73:HN73)=1,1,0))))</f>
        <v>0</v>
      </c>
      <c r="HP73" s="8">
        <f>IF(HP$56-Voorblad!$F$41&gt;Voorblad!$K$41,0,IF($U73=0,0,IF($U73&lt;1,1/$U73,IF((HP$56-Voorblad!$F$41)/$U73-SUM($EE73:HO73)=1,1,0))))</f>
        <v>0</v>
      </c>
      <c r="HQ73" s="8">
        <f>IF(HQ$56-Voorblad!$F$41&gt;Voorblad!$K$41,0,IF($U73=0,0,IF($U73&lt;1,1/$U73,IF((HQ$56-Voorblad!$F$41)/$U73-SUM($EE73:HP73)=1,1,0))))</f>
        <v>0</v>
      </c>
      <c r="HR73" s="8">
        <f>IF(HR$56-Voorblad!$F$41&gt;Voorblad!$K$41,0,IF($U73=0,0,IF($U73&lt;1,1/$U73,IF((HR$56-Voorblad!$F$41)/$U73-SUM($EE73:HQ73)=1,1,0))))</f>
        <v>0</v>
      </c>
      <c r="HS73" s="8">
        <f>IF(HS$56-Voorblad!$F$41&gt;Voorblad!$K$41,0,IF($U73=0,0,IF($U73&lt;1,1/$U73,IF((HS$56-Voorblad!$F$41)/$U73-SUM($EE73:HR73)=1,1,0))))</f>
        <v>0</v>
      </c>
      <c r="HT73" s="8">
        <f>IF(HT$56-Voorblad!$F$41&gt;Voorblad!$K$41,0,IF($U73=0,0,IF($U73&lt;1,1/$U73,IF((HT$56-Voorblad!$F$41)/$U73-SUM($EE73:HS73)=1,1,0))))</f>
        <v>0</v>
      </c>
      <c r="HU73" s="8">
        <f>IF(HU$56-Voorblad!$F$41&gt;Voorblad!$K$41,0,IF($U73=0,0,IF($U73&lt;1,1/$U73,IF((HU$56-Voorblad!$F$41)/$U73-SUM($EE73:HT73)=1,1,0))))</f>
        <v>0</v>
      </c>
      <c r="HV73" s="8">
        <f>IF(HV$56-Voorblad!$F$41&gt;Voorblad!$K$41,0,IF($U73=0,0,IF($U73&lt;1,1/$U73,IF((HV$56-Voorblad!$F$41)/$U73-SUM($EE73:HU73)=1,1,0))))</f>
        <v>0</v>
      </c>
      <c r="HW73" s="8">
        <f>IF(HW$56-Voorblad!$F$41&gt;Voorblad!$K$41,0,IF($U73=0,0,IF($U73&lt;1,1/$U73,IF((HW$56-Voorblad!$F$41)/$U73-SUM($EE73:HV73)=1,1,0))))</f>
        <v>0</v>
      </c>
      <c r="HX73" s="8">
        <f>IF(HX$56-Voorblad!$F$41&gt;Voorblad!$K$41,0,IF($U73=0,0,IF($U73&lt;1,1/$U73,IF((HX$56-Voorblad!$F$41)/$U73-SUM($EE73:HW73)=1,1,0))))</f>
        <v>0</v>
      </c>
      <c r="HY73" s="8">
        <f>IF(HY$56-Voorblad!$F$41&gt;Voorblad!$K$41,0,IF($U73=0,0,IF($U73&lt;1,1/$U73,IF((HY$56-Voorblad!$F$41)/$U73-SUM($EE73:HX73)=1,1,0))))</f>
        <v>0</v>
      </c>
      <c r="HZ73" s="8">
        <f>IF(HZ$56-Voorblad!$F$41&gt;Voorblad!$K$41,0,IF($U73=0,0,IF($U73&lt;1,1/$U73,IF((HZ$56-Voorblad!$F$41)/$U73-SUM($EE73:HY73)=1,1,0))))</f>
        <v>0</v>
      </c>
      <c r="IA73" s="8">
        <f>IF(IA$56-Voorblad!$F$41&gt;Voorblad!$K$41,0,IF($U73=0,0,IF($U73&lt;1,1/$U73,IF((IA$56-Voorblad!$F$41)/$U73-SUM($EE73:HZ73)=1,1,0))))</f>
        <v>0</v>
      </c>
      <c r="IB73" s="8">
        <f>IF(IB$56-Voorblad!$F$41&gt;Voorblad!$K$41,0,IF($U73=0,0,IF($U73&lt;1,1/$U73,IF((IB$56-Voorblad!$F$41)/$U73-SUM($EE73:IA73)=1,1,0))))</f>
        <v>0</v>
      </c>
    </row>
    <row r="74" spans="2:236" hidden="1" outlineLevel="1" x14ac:dyDescent="0.25">
      <c r="B74" s="2" t="s">
        <v>269</v>
      </c>
      <c r="C74" s="2"/>
      <c r="N74" s="3"/>
      <c r="S74" s="14"/>
      <c r="U74" s="14"/>
      <c r="V74" s="14"/>
      <c r="Y74" s="23">
        <f>SUM(Y58:Y73)</f>
        <v>0</v>
      </c>
      <c r="Z74" s="24"/>
      <c r="AA74" s="23">
        <f>SUM(AA58:AA73)</f>
        <v>0</v>
      </c>
      <c r="AC74" s="9">
        <f>$Y74*(Voorblad!$K$44*(1+Voorblad!$K$44)^Voorblad!$K$41)/((1+Voorblad!$K$44)^Voorblad!$K$41-1)</f>
        <v>0</v>
      </c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E74" s="8"/>
      <c r="EF74" s="8"/>
      <c r="EG74" s="8"/>
      <c r="EH74" s="8"/>
      <c r="EI74" s="8"/>
      <c r="EJ74" s="8"/>
      <c r="EK74" s="8"/>
      <c r="EL74" s="8"/>
      <c r="EM74" s="8"/>
      <c r="EN74" s="8"/>
      <c r="EO74" s="8"/>
      <c r="EP74" s="8"/>
      <c r="EQ74" s="8"/>
      <c r="ER74" s="8"/>
      <c r="ES74" s="8"/>
      <c r="ET74" s="8"/>
      <c r="EU74" s="8"/>
      <c r="EV74" s="8"/>
      <c r="EW74" s="8"/>
      <c r="EX74" s="8"/>
      <c r="EY74" s="8"/>
      <c r="EZ74" s="8"/>
      <c r="FA74" s="8"/>
      <c r="FB74" s="8"/>
      <c r="FC74" s="8"/>
      <c r="FD74" s="8"/>
      <c r="FE74" s="8"/>
      <c r="FF74" s="8"/>
      <c r="FG74" s="8"/>
      <c r="FH74" s="8"/>
      <c r="FI74" s="8"/>
      <c r="FJ74" s="8"/>
      <c r="FK74" s="8"/>
      <c r="FL74" s="8"/>
      <c r="FM74" s="8"/>
      <c r="FN74" s="8"/>
      <c r="FO74" s="8"/>
      <c r="FP74" s="8"/>
      <c r="FQ74" s="8"/>
      <c r="FR74" s="8"/>
      <c r="FS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</row>
    <row r="75" spans="2:236" ht="12" hidden="1" customHeight="1" outlineLevel="1" x14ac:dyDescent="0.25">
      <c r="J75" s="150" t="s">
        <v>146</v>
      </c>
      <c r="N75" s="3"/>
      <c r="U75" s="14"/>
      <c r="V75" s="14"/>
      <c r="Y75" s="9"/>
      <c r="Z75" s="9"/>
      <c r="AA75" s="9"/>
      <c r="AC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E75" s="8"/>
      <c r="EF75" s="8"/>
      <c r="EG75" s="8"/>
      <c r="EH75" s="8"/>
      <c r="EI75" s="8"/>
      <c r="EJ75" s="8"/>
      <c r="EK75" s="8"/>
      <c r="EL75" s="8"/>
      <c r="EM75" s="8"/>
      <c r="EN75" s="8"/>
      <c r="EO75" s="8"/>
      <c r="EP75" s="8"/>
      <c r="EQ75" s="8"/>
      <c r="ER75" s="8"/>
      <c r="ES75" s="8"/>
      <c r="ET75" s="8"/>
      <c r="EU75" s="8"/>
      <c r="EV75" s="8"/>
      <c r="EW75" s="8"/>
      <c r="EX75" s="8"/>
      <c r="EY75" s="8"/>
      <c r="EZ75" s="8"/>
      <c r="FA75" s="8"/>
      <c r="FB75" s="8"/>
      <c r="FC75" s="8"/>
      <c r="FD75" s="8"/>
      <c r="FE75" s="8"/>
      <c r="FF75" s="8"/>
      <c r="FG75" s="8"/>
      <c r="FH75" s="8"/>
      <c r="FI75" s="8"/>
      <c r="FJ75" s="8"/>
      <c r="FK75" s="8"/>
      <c r="FL75" s="8"/>
      <c r="FM75" s="8"/>
      <c r="FN75" s="8"/>
      <c r="FO75" s="8"/>
      <c r="FP75" s="8"/>
      <c r="FQ75" s="8"/>
      <c r="FR75" s="8"/>
      <c r="FS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</row>
    <row r="76" spans="2:236" hidden="1" outlineLevel="2" x14ac:dyDescent="0.25">
      <c r="B76" s="1">
        <v>1</v>
      </c>
      <c r="F76" s="1" t="s">
        <v>23</v>
      </c>
      <c r="I76" s="1" t="s">
        <v>193</v>
      </c>
      <c r="K76" s="1" t="s">
        <v>78</v>
      </c>
      <c r="N76" s="3"/>
      <c r="Q76" s="81">
        <v>0</v>
      </c>
      <c r="R76" s="1" t="s">
        <v>34</v>
      </c>
      <c r="S76" s="14">
        <f>H10*715</f>
        <v>1701.6999999999998</v>
      </c>
      <c r="T76" s="1">
        <f t="shared" ref="T76:T94" si="16">Q76*S76</f>
        <v>0</v>
      </c>
      <c r="U76" s="14">
        <v>9</v>
      </c>
      <c r="V76" s="14"/>
      <c r="Y76" s="9">
        <f t="shared" si="11"/>
        <v>0</v>
      </c>
      <c r="Z76" s="82"/>
      <c r="AA76" s="82"/>
      <c r="AC76" s="9">
        <f>$Y76*(Voorblad!$K$44*(1+Voorblad!$K$44)^Voorblad!$K$41)/((1+Voorblad!$K$44)^Voorblad!$K$41-1)</f>
        <v>0</v>
      </c>
      <c r="AE76" s="9">
        <f>EF76*($Q76*$S76)/(1+Voorblad!$K$44)^(AE$56-Voorblad!$F$41)</f>
        <v>0</v>
      </c>
      <c r="AF76" s="9">
        <f>EG76*($Q76*$S76)/(1+Voorblad!$K$44)^(AF$56-Voorblad!$F$41)</f>
        <v>0</v>
      </c>
      <c r="AG76" s="9">
        <f>EH76*($Q76*$S76)/(1+Voorblad!$K$44)^(AG$56-Voorblad!$F$41)</f>
        <v>0</v>
      </c>
      <c r="AH76" s="9">
        <f>EI76*($Q76*$S76)/(1+Voorblad!$K$44)^(AH$56-Voorblad!$F$41)</f>
        <v>0</v>
      </c>
      <c r="AI76" s="9">
        <f>EJ76*($Q76*$S76)/(1+Voorblad!$K$44)^(AI$56-Voorblad!$F$41)</f>
        <v>0</v>
      </c>
      <c r="AJ76" s="9">
        <f>EK76*($Q76*$S76)/(1+Voorblad!$K$44)^(AJ$56-Voorblad!$F$41)</f>
        <v>0</v>
      </c>
      <c r="AK76" s="9">
        <f>EL76*($Q76*$S76)/(1+Voorblad!$K$44)^(AK$56-Voorblad!$F$41)</f>
        <v>0</v>
      </c>
      <c r="AL76" s="9">
        <f>EM76*($Q76*$S76)/(1+Voorblad!$K$44)^(AL$56-Voorblad!$F$41)</f>
        <v>0</v>
      </c>
      <c r="AM76" s="9">
        <f>EN76*($Q76*$S76)/(1+Voorblad!$K$44)^(AM$56-Voorblad!$F$41)</f>
        <v>0</v>
      </c>
      <c r="AN76" s="9">
        <f>EO76*($Q76*$S76)/(1+Voorblad!$K$44)^(AN$56-Voorblad!$F$41)</f>
        <v>0</v>
      </c>
      <c r="AO76" s="9">
        <f>EP76*($Q76*$S76)/(1+Voorblad!$K$44)^(AO$56-Voorblad!$F$41)</f>
        <v>0</v>
      </c>
      <c r="AP76" s="9">
        <f>EQ76*($Q76*$S76)/(1+Voorblad!$K$44)^(AP$56-Voorblad!$F$41)</f>
        <v>0</v>
      </c>
      <c r="AQ76" s="9">
        <f>ER76*($Q76*$S76)/(1+Voorblad!$K$44)^(AQ$56-Voorblad!$F$41)</f>
        <v>0</v>
      </c>
      <c r="AR76" s="9">
        <f>ES76*($Q76*$S76)/(1+Voorblad!$K$44)^(AR$56-Voorblad!$F$41)</f>
        <v>0</v>
      </c>
      <c r="AS76" s="9">
        <f>ET76*($Q76*$S76)/(1+Voorblad!$K$44)^(AS$56-Voorblad!$F$41)</f>
        <v>0</v>
      </c>
      <c r="AT76" s="9">
        <f>EU76*($Q76*$S76)/(1+Voorblad!$K$44)^(AT$56-Voorblad!$F$41)</f>
        <v>0</v>
      </c>
      <c r="AU76" s="9">
        <f>EV76*($Q76*$S76)/(1+Voorblad!$K$44)^(AU$56-Voorblad!$F$41)</f>
        <v>0</v>
      </c>
      <c r="AV76" s="9">
        <f>EW76*($Q76*$S76)/(1+Voorblad!$K$44)^(AV$56-Voorblad!$F$41)</f>
        <v>0</v>
      </c>
      <c r="AW76" s="9">
        <f>EX76*($Q76*$S76)/(1+Voorblad!$K$44)^(AW$56-Voorblad!$F$41)</f>
        <v>0</v>
      </c>
      <c r="AX76" s="9">
        <f>EY76*($Q76*$S76)/(1+Voorblad!$K$44)^(AX$56-Voorblad!$F$41)</f>
        <v>0</v>
      </c>
      <c r="AY76" s="9">
        <f>EZ76*($Q76*$S76)/(1+Voorblad!$K$44)^(AY$56-Voorblad!$F$41)</f>
        <v>0</v>
      </c>
      <c r="AZ76" s="9">
        <f>FA76*($Q76*$S76)/(1+Voorblad!$K$44)^(AZ$56-Voorblad!$F$41)</f>
        <v>0</v>
      </c>
      <c r="BA76" s="9">
        <f>FB76*($Q76*$S76)/(1+Voorblad!$K$44)^(BA$56-Voorblad!$F$41)</f>
        <v>0</v>
      </c>
      <c r="BB76" s="9">
        <f>FC76*($Q76*$S76)/(1+Voorblad!$K$44)^(BB$56-Voorblad!$F$41)</f>
        <v>0</v>
      </c>
      <c r="BC76" s="9">
        <f>FD76*($Q76*$S76)/(1+Voorblad!$K$44)^(BC$56-Voorblad!$F$41)</f>
        <v>0</v>
      </c>
      <c r="BD76" s="9">
        <f>FE76*($Q76*$S76)/(1+Voorblad!$K$44)^(BD$56-Voorblad!$F$41)</f>
        <v>0</v>
      </c>
      <c r="BE76" s="9">
        <f>FF76*($Q76*$S76)/(1+Voorblad!$K$44)^(BE$56-Voorblad!$F$41)</f>
        <v>0</v>
      </c>
      <c r="BF76" s="9">
        <f>FG76*($Q76*$S76)/(1+Voorblad!$K$44)^(BF$56-Voorblad!$F$41)</f>
        <v>0</v>
      </c>
      <c r="BG76" s="9">
        <f>FH76*($Q76*$S76)/(1+Voorblad!$K$44)^(BG$56-Voorblad!$F$41)</f>
        <v>0</v>
      </c>
      <c r="BH76" s="9">
        <f>FI76*($Q76*$S76)/(1+Voorblad!$K$44)^(BH$56-Voorblad!$F$41)</f>
        <v>0</v>
      </c>
      <c r="BI76" s="9">
        <f>FJ76*($Q76*$S76)/(1+Voorblad!$K$44)^(BI$56-Voorblad!$F$41)</f>
        <v>0</v>
      </c>
      <c r="BJ76" s="9">
        <f>FK76*($Q76*$S76)/(1+Voorblad!$K$44)^(BJ$56-Voorblad!$F$41)</f>
        <v>0</v>
      </c>
      <c r="BK76" s="9">
        <f>FL76*($Q76*$S76)/(1+Voorblad!$K$44)^(BK$56-Voorblad!$F$41)</f>
        <v>0</v>
      </c>
      <c r="BL76" s="9">
        <f>FM76*($Q76*$S76)/(1+Voorblad!$K$44)^(BL$56-Voorblad!$F$41)</f>
        <v>0</v>
      </c>
      <c r="BM76" s="9">
        <f>FN76*($Q76*$S76)/(1+Voorblad!$K$44)^(BM$56-Voorblad!$F$41)</f>
        <v>0</v>
      </c>
      <c r="BN76" s="9">
        <f>FO76*($Q76*$S76)/(1+Voorblad!$K$44)^(BN$56-Voorblad!$F$41)</f>
        <v>0</v>
      </c>
      <c r="BO76" s="9">
        <f>FP76*($Q76*$S76)/(1+Voorblad!$K$44)^(BO$56-Voorblad!$F$41)</f>
        <v>0</v>
      </c>
      <c r="BP76" s="9">
        <f>FQ76*($Q76*$S76)/(1+Voorblad!$K$44)^(BP$56-Voorblad!$F$41)</f>
        <v>0</v>
      </c>
      <c r="BQ76" s="9">
        <f>FR76*($Q76*$S76)/(1+Voorblad!$K$44)^(BQ$56-Voorblad!$F$41)</f>
        <v>0</v>
      </c>
      <c r="BR76" s="9">
        <f>FS76*($Q76*$S76)/(1+Voorblad!$K$44)^(BR$56-Voorblad!$F$41)</f>
        <v>0</v>
      </c>
      <c r="BS76" s="9">
        <f>FT76*($Q76*$S76)/(1+Voorblad!$K$44)^(BS$56-Voorblad!$F$41)</f>
        <v>0</v>
      </c>
      <c r="BT76" s="9">
        <f>FU76*($Q76*$S76)/(1+Voorblad!$K$44)^(BT$56-Voorblad!$F$41)</f>
        <v>0</v>
      </c>
      <c r="BU76" s="9">
        <f>FV76*($Q76*$S76)/(1+Voorblad!$K$44)^(BU$56-Voorblad!$F$41)</f>
        <v>0</v>
      </c>
      <c r="BV76" s="9">
        <f>FW76*($Q76*$S76)/(1+Voorblad!$K$44)^(BV$56-Voorblad!$F$41)</f>
        <v>0</v>
      </c>
      <c r="BW76" s="9">
        <f>FX76*($Q76*$S76)/(1+Voorblad!$K$44)^(BW$56-Voorblad!$F$41)</f>
        <v>0</v>
      </c>
      <c r="BX76" s="9">
        <f>FY76*($Q76*$S76)/(1+Voorblad!$K$44)^(BX$56-Voorblad!$F$41)</f>
        <v>0</v>
      </c>
      <c r="BY76" s="9">
        <f>FZ76*($Q76*$S76)/(1+Voorblad!$K$44)^(BY$56-Voorblad!$F$41)</f>
        <v>0</v>
      </c>
      <c r="BZ76" s="9">
        <f>GA76*($Q76*$S76)/(1+Voorblad!$K$44)^(BZ$56-Voorblad!$F$41)</f>
        <v>0</v>
      </c>
      <c r="CA76" s="9">
        <f>GB76*($Q76*$S76)/(1+Voorblad!$K$44)^(CA$56-Voorblad!$F$41)</f>
        <v>0</v>
      </c>
      <c r="CB76" s="9">
        <f>GC76*($Q76*$S76)/(1+Voorblad!$K$44)^(CB$56-Voorblad!$F$41)</f>
        <v>0</v>
      </c>
      <c r="CC76" s="9">
        <f>GD76*($Q76*$S76)/(1+Voorblad!$K$44)^(CC$56-Voorblad!$F$41)</f>
        <v>0</v>
      </c>
      <c r="CD76" s="9">
        <f>GE76*($Q76*$S76)/(1+Voorblad!$K$44)^(CD$56-Voorblad!$F$41)</f>
        <v>0</v>
      </c>
      <c r="CE76" s="9">
        <f>GF76*($Q76*$S76)/(1+Voorblad!$K$44)^(CE$56-Voorblad!$F$41)</f>
        <v>0</v>
      </c>
      <c r="CF76" s="9">
        <f>GG76*($Q76*$S76)/(1+Voorblad!$K$44)^(CF$56-Voorblad!$F$41)</f>
        <v>0</v>
      </c>
      <c r="CG76" s="9">
        <f>GH76*($Q76*$S76)/(1+Voorblad!$K$44)^(CG$56-Voorblad!$F$41)</f>
        <v>0</v>
      </c>
      <c r="CH76" s="9">
        <f>GI76*($Q76*$S76)/(1+Voorblad!$K$44)^(CH$56-Voorblad!$F$41)</f>
        <v>0</v>
      </c>
      <c r="CI76" s="9">
        <f>GJ76*($Q76*$S76)/(1+Voorblad!$K$44)^(CI$56-Voorblad!$F$41)</f>
        <v>0</v>
      </c>
      <c r="CJ76" s="9">
        <f>GK76*($Q76*$S76)/(1+Voorblad!$K$44)^(CJ$56-Voorblad!$F$41)</f>
        <v>0</v>
      </c>
      <c r="CK76" s="9">
        <f>GL76*($Q76*$S76)/(1+Voorblad!$K$44)^(CK$56-Voorblad!$F$41)</f>
        <v>0</v>
      </c>
      <c r="CL76" s="9">
        <f>GM76*($Q76*$S76)/(1+Voorblad!$K$44)^(CL$56-Voorblad!$F$41)</f>
        <v>0</v>
      </c>
      <c r="CM76" s="9">
        <f>GN76*($Q76*$S76)/(1+Voorblad!$K$44)^(CM$56-Voorblad!$F$41)</f>
        <v>0</v>
      </c>
      <c r="CN76" s="9">
        <f>GO76*($Q76*$S76)/(1+Voorblad!$K$44)^(CN$56-Voorblad!$F$41)</f>
        <v>0</v>
      </c>
      <c r="CO76" s="9">
        <f>GP76*($Q76*$S76)/(1+Voorblad!$K$44)^(CO$56-Voorblad!$F$41)</f>
        <v>0</v>
      </c>
      <c r="CP76" s="9">
        <f>GQ76*($Q76*$S76)/(1+Voorblad!$K$44)^(CP$56-Voorblad!$F$41)</f>
        <v>0</v>
      </c>
      <c r="CQ76" s="9">
        <f>GR76*($Q76*$S76)/(1+Voorblad!$K$44)^(CQ$56-Voorblad!$F$41)</f>
        <v>0</v>
      </c>
      <c r="CR76" s="9">
        <f>GS76*($Q76*$S76)/(1+Voorblad!$K$44)^(CR$56-Voorblad!$F$41)</f>
        <v>0</v>
      </c>
      <c r="CS76" s="9">
        <f>GT76*($Q76*$S76)/(1+Voorblad!$K$44)^(CS$56-Voorblad!$F$41)</f>
        <v>0</v>
      </c>
      <c r="CT76" s="9">
        <f>GU76*($Q76*$S76)/(1+Voorblad!$K$44)^(CT$56-Voorblad!$F$41)</f>
        <v>0</v>
      </c>
      <c r="CU76" s="9">
        <f>GV76*($Q76*$S76)/(1+Voorblad!$K$44)^(CU$56-Voorblad!$F$41)</f>
        <v>0</v>
      </c>
      <c r="CV76" s="9">
        <f>GW76*($Q76*$S76)/(1+Voorblad!$K$44)^(CV$56-Voorblad!$F$41)</f>
        <v>0</v>
      </c>
      <c r="CW76" s="9">
        <f>GX76*($Q76*$S76)/(1+Voorblad!$K$44)^(CW$56-Voorblad!$F$41)</f>
        <v>0</v>
      </c>
      <c r="CX76" s="9">
        <f>GY76*($Q76*$S76)/(1+Voorblad!$K$44)^(CX$56-Voorblad!$F$41)</f>
        <v>0</v>
      </c>
      <c r="CY76" s="9">
        <f>GZ76*($Q76*$S76)/(1+Voorblad!$K$44)^(CY$56-Voorblad!$F$41)</f>
        <v>0</v>
      </c>
      <c r="CZ76" s="9">
        <f>HA76*($Q76*$S76)/(1+Voorblad!$K$44)^(CZ$56-Voorblad!$F$41)</f>
        <v>0</v>
      </c>
      <c r="DA76" s="9">
        <f>HB76*($Q76*$S76)/(1+Voorblad!$K$44)^(DA$56-Voorblad!$F$41)</f>
        <v>0</v>
      </c>
      <c r="DB76" s="9">
        <f>HC76*($Q76*$S76)/(1+Voorblad!$K$44)^(DB$56-Voorblad!$F$41)</f>
        <v>0</v>
      </c>
      <c r="DC76" s="9">
        <f>HD76*($Q76*$S76)/(1+Voorblad!$K$44)^(DC$56-Voorblad!$F$41)</f>
        <v>0</v>
      </c>
      <c r="DD76" s="9">
        <f>HE76*($Q76*$S76)/(1+Voorblad!$K$44)^(DD$56-Voorblad!$F$41)</f>
        <v>0</v>
      </c>
      <c r="DE76" s="9">
        <f>HF76*($Q76*$S76)/(1+Voorblad!$K$44)^(DE$56-Voorblad!$F$41)</f>
        <v>0</v>
      </c>
      <c r="DF76" s="9">
        <f>HG76*($Q76*$S76)/(1+Voorblad!$K$44)^(DF$56-Voorblad!$F$41)</f>
        <v>0</v>
      </c>
      <c r="DG76" s="9">
        <f>HH76*($Q76*$S76)/(1+Voorblad!$K$44)^(DG$56-Voorblad!$F$41)</f>
        <v>0</v>
      </c>
      <c r="DH76" s="9">
        <f>HI76*($Q76*$S76)/(1+Voorblad!$K$44)^(DH$56-Voorblad!$F$41)</f>
        <v>0</v>
      </c>
      <c r="DI76" s="9">
        <f>HJ76*($Q76*$S76)/(1+Voorblad!$K$44)^(DI$56-Voorblad!$F$41)</f>
        <v>0</v>
      </c>
      <c r="DJ76" s="9">
        <f>HK76*($Q76*$S76)/(1+Voorblad!$K$44)^(DJ$56-Voorblad!$F$41)</f>
        <v>0</v>
      </c>
      <c r="DK76" s="9">
        <f>HL76*($Q76*$S76)/(1+Voorblad!$K$44)^(DK$56-Voorblad!$F$41)</f>
        <v>0</v>
      </c>
      <c r="DL76" s="9">
        <f>HM76*($Q76*$S76)/(1+Voorblad!$K$44)^(DL$56-Voorblad!$F$41)</f>
        <v>0</v>
      </c>
      <c r="DM76" s="9">
        <f>HN76*($Q76*$S76)/(1+Voorblad!$K$44)^(DM$56-Voorblad!$F$41)</f>
        <v>0</v>
      </c>
      <c r="DN76" s="9">
        <f>HO76*($Q76*$S76)/(1+Voorblad!$K$44)^(DN$56-Voorblad!$F$41)</f>
        <v>0</v>
      </c>
      <c r="DO76" s="9">
        <f>HP76*($Q76*$S76)/(1+Voorblad!$K$44)^(DO$56-Voorblad!$F$41)</f>
        <v>0</v>
      </c>
      <c r="DP76" s="9">
        <f>HQ76*($Q76*$S76)/(1+Voorblad!$K$44)^(DP$56-Voorblad!$F$41)</f>
        <v>0</v>
      </c>
      <c r="DQ76" s="9">
        <f>HR76*($Q76*$S76)/(1+Voorblad!$K$44)^(DQ$56-Voorblad!$F$41)</f>
        <v>0</v>
      </c>
      <c r="DR76" s="9">
        <f>HS76*($Q76*$S76)/(1+Voorblad!$K$44)^(DR$56-Voorblad!$F$41)</f>
        <v>0</v>
      </c>
      <c r="DS76" s="9">
        <f>HT76*($Q76*$S76)/(1+Voorblad!$K$44)^(DS$56-Voorblad!$F$41)</f>
        <v>0</v>
      </c>
      <c r="DT76" s="9">
        <f>HU76*($Q76*$S76)/(1+Voorblad!$K$44)^(DT$56-Voorblad!$F$41)</f>
        <v>0</v>
      </c>
      <c r="DU76" s="9">
        <f>HV76*($Q76*$S76)/(1+Voorblad!$K$44)^(DU$56-Voorblad!$F$41)</f>
        <v>0</v>
      </c>
      <c r="DV76" s="9">
        <f>HW76*($Q76*$S76)/(1+Voorblad!$K$44)^(DV$56-Voorblad!$F$41)</f>
        <v>0</v>
      </c>
      <c r="DW76" s="9">
        <f>HX76*($Q76*$S76)/(1+Voorblad!$K$44)^(DW$56-Voorblad!$F$41)</f>
        <v>0</v>
      </c>
      <c r="DX76" s="9">
        <f>HY76*($Q76*$S76)/(1+Voorblad!$K$44)^(DX$56-Voorblad!$F$41)</f>
        <v>0</v>
      </c>
      <c r="DY76" s="9">
        <f>HZ76*($Q76*$S76)/(1+Voorblad!$K$44)^(DY$56-Voorblad!$F$41)</f>
        <v>0</v>
      </c>
      <c r="DZ76" s="9">
        <f>IA76*($Q76*$S76)/(1+Voorblad!$K$44)^(DZ$56-Voorblad!$F$41)</f>
        <v>0</v>
      </c>
      <c r="EA76" s="9">
        <f>IB76*($Q76*$S76)/(1+Voorblad!$K$44)^(EA$56-Voorblad!$F$41)</f>
        <v>0</v>
      </c>
      <c r="EB76" s="9">
        <f>IC76*($Q76*$S76)/(1+Voorblad!$K$44)^(EB$56-Voorblad!$F$41)</f>
        <v>0</v>
      </c>
      <c r="EE76" s="8">
        <v>0</v>
      </c>
      <c r="EF76" s="8">
        <f>IF(EF$56-Voorblad!$F$41&gt;Voorblad!$K$41,0,IF($U76=0,0,IF($U76&lt;1,1/$U76,IF((EF$56-Voorblad!$F$41)/$U76-SUM($EE76:EE76)=1,1,0))))</f>
        <v>0</v>
      </c>
      <c r="EG76" s="8">
        <f>IF(EG$56-Voorblad!$F$41&gt;Voorblad!$K$41,0,IF($U76=0,0,IF($U76&lt;1,1/$U76,IF((EG$56-Voorblad!$F$41)/$U76-SUM($EE76:EF76)=1,1,0))))</f>
        <v>0</v>
      </c>
      <c r="EH76" s="8">
        <f>IF(EH$56-Voorblad!$F$41&gt;Voorblad!$K$41,0,IF($U76=0,0,IF($U76&lt;1,1/$U76,IF((EH$56-Voorblad!$F$41)/$U76-SUM($EE76:EG76)=1,1,0))))</f>
        <v>0</v>
      </c>
      <c r="EI76" s="8">
        <f>IF(EI$56-Voorblad!$F$41&gt;Voorblad!$K$41,0,IF($U76=0,0,IF($U76&lt;1,1/$U76,IF((EI$56-Voorblad!$F$41)/$U76-SUM($EE76:EH76)=1,1,0))))</f>
        <v>0</v>
      </c>
      <c r="EJ76" s="8">
        <f>IF(EJ$56-Voorblad!$F$41&gt;Voorblad!$K$41,0,IF($U76=0,0,IF($U76&lt;1,1/$U76,IF((EJ$56-Voorblad!$F$41)/$U76-SUM($EE76:EI76)=1,1,0))))</f>
        <v>0</v>
      </c>
      <c r="EK76" s="8">
        <f>IF(EK$56-Voorblad!$F$41&gt;Voorblad!$K$41,0,IF($U76=0,0,IF($U76&lt;1,1/$U76,IF((EK$56-Voorblad!$F$41)/$U76-SUM($EE76:EJ76)=1,1,0))))</f>
        <v>0</v>
      </c>
      <c r="EL76" s="8">
        <f>IF(EL$56-Voorblad!$F$41&gt;Voorblad!$K$41,0,IF($U76=0,0,IF($U76&lt;1,1/$U76,IF((EL$56-Voorblad!$F$41)/$U76-SUM($EE76:EK76)=1,1,0))))</f>
        <v>0</v>
      </c>
      <c r="EM76" s="8">
        <f>IF(EM$56-Voorblad!$F$41&gt;Voorblad!$K$41,0,IF($U76=0,0,IF($U76&lt;1,1/$U76,IF((EM$56-Voorblad!$F$41)/$U76-SUM($EE76:EL76)=1,1,0))))</f>
        <v>0</v>
      </c>
      <c r="EN76" s="8">
        <f>IF(EN$56-Voorblad!$F$41&gt;Voorblad!$K$41,0,IF($U76=0,0,IF($U76&lt;1,1/$U76,IF((EN$56-Voorblad!$F$41)/$U76-SUM($EE76:EM76)=1,1,0))))</f>
        <v>0</v>
      </c>
      <c r="EO76" s="8">
        <f>IF(EO$56-Voorblad!$F$41&gt;Voorblad!$K$41,0,IF($U76=0,0,IF($U76&lt;1,1/$U76,IF((EO$56-Voorblad!$F$41)/$U76-SUM($EE76:EN76)=1,1,0))))</f>
        <v>1</v>
      </c>
      <c r="EP76" s="8">
        <f>IF(EP$56-Voorblad!$F$41&gt;Voorblad!$K$41,0,IF($U76=0,0,IF($U76&lt;1,1/$U76,IF((EP$56-Voorblad!$F$41)/$U76-SUM($EE76:EO76)=1,1,0))))</f>
        <v>0</v>
      </c>
      <c r="EQ76" s="8">
        <f>IF(EQ$56-Voorblad!$F$41&gt;Voorblad!$K$41,0,IF($U76=0,0,IF($U76&lt;1,1/$U76,IF((EQ$56-Voorblad!$F$41)/$U76-SUM($EE76:EP76)=1,1,0))))</f>
        <v>0</v>
      </c>
      <c r="ER76" s="8">
        <f>IF(ER$56-Voorblad!$F$41&gt;Voorblad!$K$41,0,IF($U76=0,0,IF($U76&lt;1,1/$U76,IF((ER$56-Voorblad!$F$41)/$U76-SUM($EE76:EQ76)=1,1,0))))</f>
        <v>0</v>
      </c>
      <c r="ES76" s="8">
        <f>IF(ES$56-Voorblad!$F$41&gt;Voorblad!$K$41,0,IF($U76=0,0,IF($U76&lt;1,1/$U76,IF((ES$56-Voorblad!$F$41)/$U76-SUM($EE76:ER76)=1,1,0))))</f>
        <v>0</v>
      </c>
      <c r="ET76" s="8">
        <f>IF(ET$56-Voorblad!$F$41&gt;Voorblad!$K$41,0,IF($U76=0,0,IF($U76&lt;1,1/$U76,IF((ET$56-Voorblad!$F$41)/$U76-SUM($EE76:ES76)=1,1,0))))</f>
        <v>0</v>
      </c>
      <c r="EU76" s="8">
        <f>IF(EU$56-Voorblad!$F$41&gt;Voorblad!$K$41,0,IF($U76=0,0,IF($U76&lt;1,1/$U76,IF((EU$56-Voorblad!$F$41)/$U76-SUM($EE76:ET76)=1,1,0))))</f>
        <v>0</v>
      </c>
      <c r="EV76" s="8">
        <f>IF(EV$56-Voorblad!$F$41&gt;Voorblad!$K$41,0,IF($U76=0,0,IF($U76&lt;1,1/$U76,IF((EV$56-Voorblad!$F$41)/$U76-SUM($EE76:EU76)=1,1,0))))</f>
        <v>0</v>
      </c>
      <c r="EW76" s="8">
        <f>IF(EW$56-Voorblad!$F$41&gt;Voorblad!$K$41,0,IF($U76=0,0,IF($U76&lt;1,1/$U76,IF((EW$56-Voorblad!$F$41)/$U76-SUM($EE76:EV76)=1,1,0))))</f>
        <v>0</v>
      </c>
      <c r="EX76" s="8">
        <f>IF(EX$56-Voorblad!$F$41&gt;Voorblad!$K$41,0,IF($U76=0,0,IF($U76&lt;1,1/$U76,IF((EX$56-Voorblad!$F$41)/$U76-SUM($EE76:EW76)=1,1,0))))</f>
        <v>1</v>
      </c>
      <c r="EY76" s="8">
        <f>IF(EY$56-Voorblad!$F$41&gt;Voorblad!$K$41,0,IF($U76=0,0,IF($U76&lt;1,1/$U76,IF((EY$56-Voorblad!$F$41)/$U76-SUM($EE76:EX76)=1,1,0))))</f>
        <v>0</v>
      </c>
      <c r="EZ76" s="8">
        <f>IF(EZ$56-Voorblad!$F$41&gt;Voorblad!$K$41,0,IF($U76=0,0,IF($U76&lt;1,1/$U76,IF((EZ$56-Voorblad!$F$41)/$U76-SUM($EE76:EY76)=1,1,0))))</f>
        <v>0</v>
      </c>
      <c r="FA76" s="8">
        <f>IF(FA$56-Voorblad!$F$41&gt;Voorblad!$K$41,0,IF($U76=0,0,IF($U76&lt;1,1/$U76,IF((FA$56-Voorblad!$F$41)/$U76-SUM($EE76:EZ76)=1,1,0))))</f>
        <v>0</v>
      </c>
      <c r="FB76" s="8">
        <f>IF(FB$56-Voorblad!$F$41&gt;Voorblad!$K$41,0,IF($U76=0,0,IF($U76&lt;1,1/$U76,IF((FB$56-Voorblad!$F$41)/$U76-SUM($EE76:FA76)=1,1,0))))</f>
        <v>0</v>
      </c>
      <c r="FC76" s="8">
        <f>IF(FC$56-Voorblad!$F$41&gt;Voorblad!$K$41,0,IF($U76=0,0,IF($U76&lt;1,1/$U76,IF((FC$56-Voorblad!$F$41)/$U76-SUM($EE76:FB76)=1,1,0))))</f>
        <v>0</v>
      </c>
      <c r="FD76" s="8">
        <f>IF(FD$56-Voorblad!$F$41&gt;Voorblad!$K$41,0,IF($U76=0,0,IF($U76&lt;1,1/$U76,IF((FD$56-Voorblad!$F$41)/$U76-SUM($EE76:FC76)=1,1,0))))</f>
        <v>0</v>
      </c>
      <c r="FE76" s="8">
        <f>IF(FE$56-Voorblad!$F$41&gt;Voorblad!$K$41,0,IF($U76=0,0,IF($U76&lt;1,1/$U76,IF((FE$56-Voorblad!$F$41)/$U76-SUM($EE76:FD76)=1,1,0))))</f>
        <v>0</v>
      </c>
      <c r="FF76" s="8">
        <f>IF(FF$56-Voorblad!$F$41&gt;Voorblad!$K$41,0,IF($U76=0,0,IF($U76&lt;1,1/$U76,IF((FF$56-Voorblad!$F$41)/$U76-SUM($EE76:FE76)=1,1,0))))</f>
        <v>0</v>
      </c>
      <c r="FG76" s="8">
        <f>IF(FG$56-Voorblad!$F$41&gt;Voorblad!$K$41,0,IF($U76=0,0,IF($U76&lt;1,1/$U76,IF((FG$56-Voorblad!$F$41)/$U76-SUM($EE76:FF76)=1,1,0))))</f>
        <v>1</v>
      </c>
      <c r="FH76" s="8">
        <f>IF(FH$56-Voorblad!$F$41&gt;Voorblad!$K$41,0,IF($U76=0,0,IF($U76&lt;1,1/$U76,IF((FH$56-Voorblad!$F$41)/$U76-SUM($EE76:FG76)=1,1,0))))</f>
        <v>0</v>
      </c>
      <c r="FI76" s="8">
        <f>IF(FI$56-Voorblad!$F$41&gt;Voorblad!$K$41,0,IF($U76=0,0,IF($U76&lt;1,1/$U76,IF((FI$56-Voorblad!$F$41)/$U76-SUM($EE76:FH76)=1,1,0))))</f>
        <v>0</v>
      </c>
      <c r="FJ76" s="8">
        <f>IF(FJ$56-Voorblad!$F$41&gt;Voorblad!$K$41,0,IF($U76=0,0,IF($U76&lt;1,1/$U76,IF((FJ$56-Voorblad!$F$41)/$U76-SUM($EE76:FI76)=1,1,0))))</f>
        <v>0</v>
      </c>
      <c r="FK76" s="8">
        <f>IF(FK$56-Voorblad!$F$41&gt;Voorblad!$K$41,0,IF($U76=0,0,IF($U76&lt;1,1/$U76,IF((FK$56-Voorblad!$F$41)/$U76-SUM($EE76:FJ76)=1,1,0))))</f>
        <v>0</v>
      </c>
      <c r="FL76" s="8">
        <f>IF(FL$56-Voorblad!$F$41&gt;Voorblad!$K$41,0,IF($U76=0,0,IF($U76&lt;1,1/$U76,IF((FL$56-Voorblad!$F$41)/$U76-SUM($EE76:FK76)=1,1,0))))</f>
        <v>0</v>
      </c>
      <c r="FM76" s="8">
        <f>IF(FM$56-Voorblad!$F$41&gt;Voorblad!$K$41,0,IF($U76=0,0,IF($U76&lt;1,1/$U76,IF((FM$56-Voorblad!$F$41)/$U76-SUM($EE76:FL76)=1,1,0))))</f>
        <v>0</v>
      </c>
      <c r="FN76" s="8">
        <f>IF(FN$56-Voorblad!$F$41&gt;Voorblad!$K$41,0,IF($U76=0,0,IF($U76&lt;1,1/$U76,IF((FN$56-Voorblad!$F$41)/$U76-SUM($EE76:FM76)=1,1,0))))</f>
        <v>0</v>
      </c>
      <c r="FO76" s="8">
        <f>IF(FO$56-Voorblad!$F$41&gt;Voorblad!$K$41,0,IF($U76=0,0,IF($U76&lt;1,1/$U76,IF((FO$56-Voorblad!$F$41)/$U76-SUM($EE76:FN76)=1,1,0))))</f>
        <v>0</v>
      </c>
      <c r="FP76" s="8">
        <f>IF(FP$56-Voorblad!$F$41&gt;Voorblad!$K$41,0,IF($U76=0,0,IF($U76&lt;1,1/$U76,IF((FP$56-Voorblad!$F$41)/$U76-SUM($EE76:FO76)=1,1,0))))</f>
        <v>1</v>
      </c>
      <c r="FQ76" s="8">
        <f>IF(FQ$56-Voorblad!$F$41&gt;Voorblad!$K$41,0,IF($U76=0,0,IF($U76&lt;1,1/$U76,IF((FQ$56-Voorblad!$F$41)/$U76-SUM($EE76:FP76)=1,1,0))))</f>
        <v>0</v>
      </c>
      <c r="FR76" s="8">
        <f>IF(FR$56-Voorblad!$F$41&gt;Voorblad!$K$41,0,IF($U76=0,0,IF($U76&lt;1,1/$U76,IF((FR$56-Voorblad!$F$41)/$U76-SUM($EE76:FQ76)=1,1,0))))</f>
        <v>0</v>
      </c>
      <c r="FS76" s="8">
        <f>IF(FS$56-Voorblad!$F$41&gt;Voorblad!$K$41,0,IF($U76=0,0,IF($U76&lt;1,1/$U76,IF((FS$56-Voorblad!$F$41)/$U76-SUM($EE76:FR76)=1,1,0))))</f>
        <v>0</v>
      </c>
      <c r="FT76" s="8">
        <f>IF(FT$56-Voorblad!$F$41&gt;Voorblad!$K$41,0,IF($U76=0,0,IF($U76&lt;1,1/$U76,IF((FT$56-Voorblad!$F$41)/$U76-SUM($EE76:FS76)=1,1,0))))</f>
        <v>0</v>
      </c>
      <c r="FU76" s="8">
        <f>IF(FU$56-Voorblad!$F$41&gt;Voorblad!$K$41,0,IF($U76=0,0,IF($U76&lt;1,1/$U76,IF((FU$56-Voorblad!$F$41)/$U76-SUM($EE76:FT76)=1,1,0))))</f>
        <v>0</v>
      </c>
      <c r="FV76" s="8">
        <f>IF(FV$56-Voorblad!$F$41&gt;Voorblad!$K$41,0,IF($U76=0,0,IF($U76&lt;1,1/$U76,IF((FV$56-Voorblad!$F$41)/$U76-SUM($EE76:FU76)=1,1,0))))</f>
        <v>0</v>
      </c>
      <c r="FW76" s="8">
        <f>IF(FW$56-Voorblad!$F$41&gt;Voorblad!$K$41,0,IF($U76=0,0,IF($U76&lt;1,1/$U76,IF((FW$56-Voorblad!$F$41)/$U76-SUM($EE76:FV76)=1,1,0))))</f>
        <v>0</v>
      </c>
      <c r="FX76" s="8">
        <f>IF(FX$56-Voorblad!$F$41&gt;Voorblad!$K$41,0,IF($U76=0,0,IF($U76&lt;1,1/$U76,IF((FX$56-Voorblad!$F$41)/$U76-SUM($EE76:FW76)=1,1,0))))</f>
        <v>0</v>
      </c>
      <c r="FY76" s="8">
        <f>IF(FY$56-Voorblad!$F$41&gt;Voorblad!$K$41,0,IF($U76=0,0,IF($U76&lt;1,1/$U76,IF((FY$56-Voorblad!$F$41)/$U76-SUM($EE76:FX76)=1,1,0))))</f>
        <v>1</v>
      </c>
      <c r="FZ76" s="8">
        <f>IF(FZ$56-Voorblad!$F$41&gt;Voorblad!$K$41,0,IF($U76=0,0,IF($U76&lt;1,1/$U76,IF((FZ$56-Voorblad!$F$41)/$U76-SUM($EE76:FY76)=1,1,0))))</f>
        <v>0</v>
      </c>
      <c r="GA76" s="8">
        <f>IF(GA$56-Voorblad!$F$41&gt;Voorblad!$K$41,0,IF($U76=0,0,IF($U76&lt;1,1/$U76,IF((GA$56-Voorblad!$F$41)/$U76-SUM($EE76:FZ76)=1,1,0))))</f>
        <v>0</v>
      </c>
      <c r="GB76" s="8">
        <f>IF(GB$56-Voorblad!$F$41&gt;Voorblad!$K$41,0,IF($U76=0,0,IF($U76&lt;1,1/$U76,IF((GB$56-Voorblad!$F$41)/$U76-SUM($EE76:GA76)=1,1,0))))</f>
        <v>0</v>
      </c>
      <c r="GC76" s="8">
        <f>IF(GC$56-Voorblad!$F$41&gt;Voorblad!$K$41,0,IF($U76=0,0,IF($U76&lt;1,1/$U76,IF((GC$56-Voorblad!$F$41)/$U76-SUM($EE76:GB76)=1,1,0))))</f>
        <v>0</v>
      </c>
      <c r="GD76" s="8">
        <f>IF(GD$56-Voorblad!$F$41&gt;Voorblad!$K$41,0,IF($U76=0,0,IF($U76&lt;1,1/$U76,IF((GD$56-Voorblad!$F$41)/$U76-SUM($EE76:GC76)=1,1,0))))</f>
        <v>0</v>
      </c>
      <c r="GE76" s="8">
        <f>IF(GE$56-Voorblad!$F$41&gt;Voorblad!$K$41,0,IF($U76=0,0,IF($U76&lt;1,1/$U76,IF((GE$56-Voorblad!$F$41)/$U76-SUM($EE76:GD76)=1,1,0))))</f>
        <v>0</v>
      </c>
      <c r="GF76" s="8">
        <f>IF(GF$56-Voorblad!$F$41&gt;Voorblad!$K$41,0,IF($U76=0,0,IF($U76&lt;1,1/$U76,IF((GF$56-Voorblad!$F$41)/$U76-SUM($EE76:GE76)=1,1,0))))</f>
        <v>0</v>
      </c>
      <c r="GG76" s="8">
        <f>IF(GG$56-Voorblad!$F$41&gt;Voorblad!$K$41,0,IF($U76=0,0,IF($U76&lt;1,1/$U76,IF((GG$56-Voorblad!$F$41)/$U76-SUM($EE76:GF76)=1,1,0))))</f>
        <v>0</v>
      </c>
      <c r="GH76" s="8">
        <f>IF(GH$56-Voorblad!$F$41&gt;Voorblad!$K$41,0,IF($U76=0,0,IF($U76&lt;1,1/$U76,IF((GH$56-Voorblad!$F$41)/$U76-SUM($EE76:GG76)=1,1,0))))</f>
        <v>1</v>
      </c>
      <c r="GI76" s="8">
        <f>IF(GI$56-Voorblad!$F$41&gt;Voorblad!$K$41,0,IF($U76=0,0,IF($U76&lt;1,1/$U76,IF((GI$56-Voorblad!$F$41)/$U76-SUM($EE76:GH76)=1,1,0))))</f>
        <v>0</v>
      </c>
      <c r="GJ76" s="8">
        <f>IF(GJ$56-Voorblad!$F$41&gt;Voorblad!$K$41,0,IF($U76=0,0,IF($U76&lt;1,1/$U76,IF((GJ$56-Voorblad!$F$41)/$U76-SUM($EE76:GI76)=1,1,0))))</f>
        <v>0</v>
      </c>
      <c r="GK76" s="8">
        <f>IF(GK$56-Voorblad!$F$41&gt;Voorblad!$K$41,0,IF($U76=0,0,IF($U76&lt;1,1/$U76,IF((GK$56-Voorblad!$F$41)/$U76-SUM($EE76:GJ76)=1,1,0))))</f>
        <v>0</v>
      </c>
      <c r="GL76" s="8">
        <f>IF(GL$56-Voorblad!$F$41&gt;Voorblad!$K$41,0,IF($U76=0,0,IF($U76&lt;1,1/$U76,IF((GL$56-Voorblad!$F$41)/$U76-SUM($EE76:GK76)=1,1,0))))</f>
        <v>0</v>
      </c>
      <c r="GM76" s="8">
        <f>IF(GM$56-Voorblad!$F$41&gt;Voorblad!$K$41,0,IF($U76=0,0,IF($U76&lt;1,1/$U76,IF((GM$56-Voorblad!$F$41)/$U76-SUM($EE76:GL76)=1,1,0))))</f>
        <v>0</v>
      </c>
      <c r="GN76" s="8">
        <f>IF(GN$56-Voorblad!$F$41&gt;Voorblad!$K$41,0,IF($U76=0,0,IF($U76&lt;1,1/$U76,IF((GN$56-Voorblad!$F$41)/$U76-SUM($EE76:GM76)=1,1,0))))</f>
        <v>0</v>
      </c>
      <c r="GO76" s="8">
        <f>IF(GO$56-Voorblad!$F$41&gt;Voorblad!$K$41,0,IF($U76=0,0,IF($U76&lt;1,1/$U76,IF((GO$56-Voorblad!$F$41)/$U76-SUM($EE76:GN76)=1,1,0))))</f>
        <v>0</v>
      </c>
      <c r="GP76" s="8">
        <f>IF(GP$56-Voorblad!$F$41&gt;Voorblad!$K$41,0,IF($U76=0,0,IF($U76&lt;1,1/$U76,IF((GP$56-Voorblad!$F$41)/$U76-SUM($EE76:GO76)=1,1,0))))</f>
        <v>0</v>
      </c>
      <c r="GQ76" s="8">
        <f>IF(GQ$56-Voorblad!$F$41&gt;Voorblad!$K$41,0,IF($U76=0,0,IF($U76&lt;1,1/$U76,IF((GQ$56-Voorblad!$F$41)/$U76-SUM($EE76:GP76)=1,1,0))))</f>
        <v>1</v>
      </c>
      <c r="GR76" s="8">
        <f>IF(GR$56-Voorblad!$F$41&gt;Voorblad!$K$41,0,IF($U76=0,0,IF($U76&lt;1,1/$U76,IF((GR$56-Voorblad!$F$41)/$U76-SUM($EE76:GQ76)=1,1,0))))</f>
        <v>0</v>
      </c>
      <c r="GS76" s="8">
        <f>IF(GS$56-Voorblad!$F$41&gt;Voorblad!$K$41,0,IF($U76=0,0,IF($U76&lt;1,1/$U76,IF((GS$56-Voorblad!$F$41)/$U76-SUM($EE76:GR76)=1,1,0))))</f>
        <v>0</v>
      </c>
      <c r="GT76" s="8">
        <f>IF(GT$56-Voorblad!$F$41&gt;Voorblad!$K$41,0,IF($U76=0,0,IF($U76&lt;1,1/$U76,IF((GT$56-Voorblad!$F$41)/$U76-SUM($EE76:GS76)=1,1,0))))</f>
        <v>0</v>
      </c>
      <c r="GU76" s="8">
        <f>IF(GU$56-Voorblad!$F$41&gt;Voorblad!$K$41,0,IF($U76=0,0,IF($U76&lt;1,1/$U76,IF((GU$56-Voorblad!$F$41)/$U76-SUM($EE76:GT76)=1,1,0))))</f>
        <v>0</v>
      </c>
      <c r="GV76" s="8">
        <f>IF(GV$56-Voorblad!$F$41&gt;Voorblad!$K$41,0,IF($U76=0,0,IF($U76&lt;1,1/$U76,IF((GV$56-Voorblad!$F$41)/$U76-SUM($EE76:GU76)=1,1,0))))</f>
        <v>0</v>
      </c>
      <c r="GW76" s="8">
        <f>IF(GW$56-Voorblad!$F$41&gt;Voorblad!$K$41,0,IF($U76=0,0,IF($U76&lt;1,1/$U76,IF((GW$56-Voorblad!$F$41)/$U76-SUM($EE76:GV76)=1,1,0))))</f>
        <v>0</v>
      </c>
      <c r="GX76" s="8">
        <f>IF(GX$56-Voorblad!$F$41&gt;Voorblad!$K$41,0,IF($U76=0,0,IF($U76&lt;1,1/$U76,IF((GX$56-Voorblad!$F$41)/$U76-SUM($EE76:GW76)=1,1,0))))</f>
        <v>0</v>
      </c>
      <c r="GY76" s="8">
        <f>IF(GY$56-Voorblad!$F$41&gt;Voorblad!$K$41,0,IF($U76=0,0,IF($U76&lt;1,1/$U76,IF((GY$56-Voorblad!$F$41)/$U76-SUM($EE76:GX76)=1,1,0))))</f>
        <v>0</v>
      </c>
      <c r="GZ76" s="8">
        <f>IF(GZ$56-Voorblad!$F$41&gt;Voorblad!$K$41,0,IF($U76=0,0,IF($U76&lt;1,1/$U76,IF((GZ$56-Voorblad!$F$41)/$U76-SUM($EE76:GY76)=1,1,0))))</f>
        <v>1</v>
      </c>
      <c r="HA76" s="8">
        <f>IF(HA$56-Voorblad!$F$41&gt;Voorblad!$K$41,0,IF($U76=0,0,IF($U76&lt;1,1/$U76,IF((HA$56-Voorblad!$F$41)/$U76-SUM($EE76:GZ76)=1,1,0))))</f>
        <v>0</v>
      </c>
      <c r="HB76" s="8">
        <f>IF(HB$56-Voorblad!$F$41&gt;Voorblad!$K$41,0,IF($U76=0,0,IF($U76&lt;1,1/$U76,IF((HB$56-Voorblad!$F$41)/$U76-SUM($EE76:HA76)=1,1,0))))</f>
        <v>0</v>
      </c>
      <c r="HC76" s="8">
        <f>IF(HC$56-Voorblad!$F$41&gt;Voorblad!$K$41,0,IF($U76=0,0,IF($U76&lt;1,1/$U76,IF((HC$56-Voorblad!$F$41)/$U76-SUM($EE76:HB76)=1,1,0))))</f>
        <v>0</v>
      </c>
      <c r="HD76" s="8">
        <f>IF(HD$56-Voorblad!$F$41&gt;Voorblad!$K$41,0,IF($U76=0,0,IF($U76&lt;1,1/$U76,IF((HD$56-Voorblad!$F$41)/$U76-SUM($EE76:HC76)=1,1,0))))</f>
        <v>0</v>
      </c>
      <c r="HE76" s="8">
        <f>IF(HE$56-Voorblad!$F$41&gt;Voorblad!$K$41,0,IF($U76=0,0,IF($U76&lt;1,1/$U76,IF((HE$56-Voorblad!$F$41)/$U76-SUM($EE76:HD76)=1,1,0))))</f>
        <v>0</v>
      </c>
      <c r="HF76" s="8">
        <f>IF(HF$56-Voorblad!$F$41&gt;Voorblad!$K$41,0,IF($U76=0,0,IF($U76&lt;1,1/$U76,IF((HF$56-Voorblad!$F$41)/$U76-SUM($EE76:HE76)=1,1,0))))</f>
        <v>0</v>
      </c>
      <c r="HG76" s="8">
        <f>IF(HG$56-Voorblad!$F$41&gt;Voorblad!$K$41,0,IF($U76=0,0,IF($U76&lt;1,1/$U76,IF((HG$56-Voorblad!$F$41)/$U76-SUM($EE76:HF76)=1,1,0))))</f>
        <v>0</v>
      </c>
      <c r="HH76" s="8">
        <f>IF(HH$56-Voorblad!$F$41&gt;Voorblad!$K$41,0,IF($U76=0,0,IF($U76&lt;1,1/$U76,IF((HH$56-Voorblad!$F$41)/$U76-SUM($EE76:HG76)=1,1,0))))</f>
        <v>0</v>
      </c>
      <c r="HI76" s="8">
        <f>IF(HI$56-Voorblad!$F$41&gt;Voorblad!$K$41,0,IF($U76=0,0,IF($U76&lt;1,1/$U76,IF((HI$56-Voorblad!$F$41)/$U76-SUM($EE76:HH76)=1,1,0))))</f>
        <v>0</v>
      </c>
      <c r="HJ76" s="8">
        <f>IF(HJ$56-Voorblad!$F$41&gt;Voorblad!$K$41,0,IF($U76=0,0,IF($U76&lt;1,1/$U76,IF((HJ$56-Voorblad!$F$41)/$U76-SUM($EE76:HI76)=1,1,0))))</f>
        <v>0</v>
      </c>
      <c r="HK76" s="8">
        <f>IF(HK$56-Voorblad!$F$41&gt;Voorblad!$K$41,0,IF($U76=0,0,IF($U76&lt;1,1/$U76,IF((HK$56-Voorblad!$F$41)/$U76-SUM($EE76:HJ76)=1,1,0))))</f>
        <v>0</v>
      </c>
      <c r="HL76" s="8">
        <f>IF(HL$56-Voorblad!$F$41&gt;Voorblad!$K$41,0,IF($U76=0,0,IF($U76&lt;1,1/$U76,IF((HL$56-Voorblad!$F$41)/$U76-SUM($EE76:HK76)=1,1,0))))</f>
        <v>0</v>
      </c>
      <c r="HM76" s="8">
        <f>IF(HM$56-Voorblad!$F$41&gt;Voorblad!$K$41,0,IF($U76=0,0,IF($U76&lt;1,1/$U76,IF((HM$56-Voorblad!$F$41)/$U76-SUM($EE76:HL76)=1,1,0))))</f>
        <v>0</v>
      </c>
      <c r="HN76" s="8">
        <f>IF(HN$56-Voorblad!$F$41&gt;Voorblad!$K$41,0,IF($U76=0,0,IF($U76&lt;1,1/$U76,IF((HN$56-Voorblad!$F$41)/$U76-SUM($EE76:HM76)=1,1,0))))</f>
        <v>0</v>
      </c>
      <c r="HO76" s="8">
        <f>IF(HO$56-Voorblad!$F$41&gt;Voorblad!$K$41,0,IF($U76=0,0,IF($U76&lt;1,1/$U76,IF((HO$56-Voorblad!$F$41)/$U76-SUM($EE76:HN76)=1,1,0))))</f>
        <v>0</v>
      </c>
      <c r="HP76" s="8">
        <f>IF(HP$56-Voorblad!$F$41&gt;Voorblad!$K$41,0,IF($U76=0,0,IF($U76&lt;1,1/$U76,IF((HP$56-Voorblad!$F$41)/$U76-SUM($EE76:HO76)=1,1,0))))</f>
        <v>0</v>
      </c>
      <c r="HQ76" s="8">
        <f>IF(HQ$56-Voorblad!$F$41&gt;Voorblad!$K$41,0,IF($U76=0,0,IF($U76&lt;1,1/$U76,IF((HQ$56-Voorblad!$F$41)/$U76-SUM($EE76:HP76)=1,1,0))))</f>
        <v>0</v>
      </c>
      <c r="HR76" s="8">
        <f>IF(HR$56-Voorblad!$F$41&gt;Voorblad!$K$41,0,IF($U76=0,0,IF($U76&lt;1,1/$U76,IF((HR$56-Voorblad!$F$41)/$U76-SUM($EE76:HQ76)=1,1,0))))</f>
        <v>0</v>
      </c>
      <c r="HS76" s="8">
        <f>IF(HS$56-Voorblad!$F$41&gt;Voorblad!$K$41,0,IF($U76=0,0,IF($U76&lt;1,1/$U76,IF((HS$56-Voorblad!$F$41)/$U76-SUM($EE76:HR76)=1,1,0))))</f>
        <v>0</v>
      </c>
      <c r="HT76" s="8">
        <f>IF(HT$56-Voorblad!$F$41&gt;Voorblad!$K$41,0,IF($U76=0,0,IF($U76&lt;1,1/$U76,IF((HT$56-Voorblad!$F$41)/$U76-SUM($EE76:HS76)=1,1,0))))</f>
        <v>0</v>
      </c>
      <c r="HU76" s="8">
        <f>IF(HU$56-Voorblad!$F$41&gt;Voorblad!$K$41,0,IF($U76=0,0,IF($U76&lt;1,1/$U76,IF((HU$56-Voorblad!$F$41)/$U76-SUM($EE76:HT76)=1,1,0))))</f>
        <v>0</v>
      </c>
      <c r="HV76" s="8">
        <f>IF(HV$56-Voorblad!$F$41&gt;Voorblad!$K$41,0,IF($U76=0,0,IF($U76&lt;1,1/$U76,IF((HV$56-Voorblad!$F$41)/$U76-SUM($EE76:HU76)=1,1,0))))</f>
        <v>0</v>
      </c>
      <c r="HW76" s="8">
        <f>IF(HW$56-Voorblad!$F$41&gt;Voorblad!$K$41,0,IF($U76=0,0,IF($U76&lt;1,1/$U76,IF((HW$56-Voorblad!$F$41)/$U76-SUM($EE76:HV76)=1,1,0))))</f>
        <v>0</v>
      </c>
      <c r="HX76" s="8">
        <f>IF(HX$56-Voorblad!$F$41&gt;Voorblad!$K$41,0,IF($U76=0,0,IF($U76&lt;1,1/$U76,IF((HX$56-Voorblad!$F$41)/$U76-SUM($EE76:HW76)=1,1,0))))</f>
        <v>0</v>
      </c>
      <c r="HY76" s="8">
        <f>IF(HY$56-Voorblad!$F$41&gt;Voorblad!$K$41,0,IF($U76=0,0,IF($U76&lt;1,1/$U76,IF((HY$56-Voorblad!$F$41)/$U76-SUM($EE76:HX76)=1,1,0))))</f>
        <v>0</v>
      </c>
      <c r="HZ76" s="8">
        <f>IF(HZ$56-Voorblad!$F$41&gt;Voorblad!$K$41,0,IF($U76=0,0,IF($U76&lt;1,1/$U76,IF((HZ$56-Voorblad!$F$41)/$U76-SUM($EE76:HY76)=1,1,0))))</f>
        <v>0</v>
      </c>
      <c r="IA76" s="8">
        <f>IF(IA$56-Voorblad!$F$41&gt;Voorblad!$K$41,0,IF($U76=0,0,IF($U76&lt;1,1/$U76,IF((IA$56-Voorblad!$F$41)/$U76-SUM($EE76:HZ76)=1,1,0))))</f>
        <v>0</v>
      </c>
      <c r="IB76" s="8">
        <f>IF(IB$56-Voorblad!$F$41&gt;Voorblad!$K$41,0,IF($U76=0,0,IF($U76&lt;1,1/$U76,IF((IB$56-Voorblad!$F$41)/$U76-SUM($EE76:IA76)=1,1,0))))</f>
        <v>0</v>
      </c>
    </row>
    <row r="77" spans="2:236" hidden="1" outlineLevel="2" x14ac:dyDescent="0.25">
      <c r="B77" s="1">
        <v>1</v>
      </c>
      <c r="F77" s="1" t="s">
        <v>23</v>
      </c>
      <c r="I77" s="1" t="s">
        <v>193</v>
      </c>
      <c r="K77" s="1" t="s">
        <v>79</v>
      </c>
      <c r="N77" s="3"/>
      <c r="Q77" s="81">
        <v>0</v>
      </c>
      <c r="R77" s="1" t="s">
        <v>34</v>
      </c>
      <c r="S77" s="14">
        <f>H10*1665</f>
        <v>3962.7</v>
      </c>
      <c r="T77" s="1">
        <f t="shared" si="16"/>
        <v>0</v>
      </c>
      <c r="U77" s="14">
        <v>18</v>
      </c>
      <c r="V77" s="14"/>
      <c r="Y77" s="9">
        <f t="shared" si="11"/>
        <v>0</v>
      </c>
      <c r="Z77" s="82"/>
      <c r="AA77" s="82"/>
      <c r="AC77" s="9">
        <f>$Y77*(Voorblad!$K$44*(1+Voorblad!$K$44)^Voorblad!$K$41)/((1+Voorblad!$K$44)^Voorblad!$K$41-1)</f>
        <v>0</v>
      </c>
      <c r="AE77" s="9">
        <f>EF77*($Q77*$S77)/(1+Voorblad!$K$44)^(AE$56-Voorblad!$F$41)</f>
        <v>0</v>
      </c>
      <c r="AF77" s="9">
        <f>EG77*($Q77*$S77)/(1+Voorblad!$K$44)^(AF$56-Voorblad!$F$41)</f>
        <v>0</v>
      </c>
      <c r="AG77" s="9">
        <f>EH77*($Q77*$S77)/(1+Voorblad!$K$44)^(AG$56-Voorblad!$F$41)</f>
        <v>0</v>
      </c>
      <c r="AH77" s="9">
        <f>EI77*($Q77*$S77)/(1+Voorblad!$K$44)^(AH$56-Voorblad!$F$41)</f>
        <v>0</v>
      </c>
      <c r="AI77" s="9">
        <f>EJ77*($Q77*$S77)/(1+Voorblad!$K$44)^(AI$56-Voorblad!$F$41)</f>
        <v>0</v>
      </c>
      <c r="AJ77" s="9">
        <f>EK77*($Q77*$S77)/(1+Voorblad!$K$44)^(AJ$56-Voorblad!$F$41)</f>
        <v>0</v>
      </c>
      <c r="AK77" s="9">
        <f>EL77*($Q77*$S77)/(1+Voorblad!$K$44)^(AK$56-Voorblad!$F$41)</f>
        <v>0</v>
      </c>
      <c r="AL77" s="9">
        <f>EM77*($Q77*$S77)/(1+Voorblad!$K$44)^(AL$56-Voorblad!$F$41)</f>
        <v>0</v>
      </c>
      <c r="AM77" s="9">
        <f>EN77*($Q77*$S77)/(1+Voorblad!$K$44)^(AM$56-Voorblad!$F$41)</f>
        <v>0</v>
      </c>
      <c r="AN77" s="9">
        <f>EO77*($Q77*$S77)/(1+Voorblad!$K$44)^(AN$56-Voorblad!$F$41)</f>
        <v>0</v>
      </c>
      <c r="AO77" s="9">
        <f>EP77*($Q77*$S77)/(1+Voorblad!$K$44)^(AO$56-Voorblad!$F$41)</f>
        <v>0</v>
      </c>
      <c r="AP77" s="9">
        <f>EQ77*($Q77*$S77)/(1+Voorblad!$K$44)^(AP$56-Voorblad!$F$41)</f>
        <v>0</v>
      </c>
      <c r="AQ77" s="9">
        <f>ER77*($Q77*$S77)/(1+Voorblad!$K$44)^(AQ$56-Voorblad!$F$41)</f>
        <v>0</v>
      </c>
      <c r="AR77" s="9">
        <f>ES77*($Q77*$S77)/(1+Voorblad!$K$44)^(AR$56-Voorblad!$F$41)</f>
        <v>0</v>
      </c>
      <c r="AS77" s="9">
        <f>ET77*($Q77*$S77)/(1+Voorblad!$K$44)^(AS$56-Voorblad!$F$41)</f>
        <v>0</v>
      </c>
      <c r="AT77" s="9">
        <f>EU77*($Q77*$S77)/(1+Voorblad!$K$44)^(AT$56-Voorblad!$F$41)</f>
        <v>0</v>
      </c>
      <c r="AU77" s="9">
        <f>EV77*($Q77*$S77)/(1+Voorblad!$K$44)^(AU$56-Voorblad!$F$41)</f>
        <v>0</v>
      </c>
      <c r="AV77" s="9">
        <f>EW77*($Q77*$S77)/(1+Voorblad!$K$44)^(AV$56-Voorblad!$F$41)</f>
        <v>0</v>
      </c>
      <c r="AW77" s="9">
        <f>EX77*($Q77*$S77)/(1+Voorblad!$K$44)^(AW$56-Voorblad!$F$41)</f>
        <v>0</v>
      </c>
      <c r="AX77" s="9">
        <f>EY77*($Q77*$S77)/(1+Voorblad!$K$44)^(AX$56-Voorblad!$F$41)</f>
        <v>0</v>
      </c>
      <c r="AY77" s="9">
        <f>EZ77*($Q77*$S77)/(1+Voorblad!$K$44)^(AY$56-Voorblad!$F$41)</f>
        <v>0</v>
      </c>
      <c r="AZ77" s="9">
        <f>FA77*($Q77*$S77)/(1+Voorblad!$K$44)^(AZ$56-Voorblad!$F$41)</f>
        <v>0</v>
      </c>
      <c r="BA77" s="9">
        <f>FB77*($Q77*$S77)/(1+Voorblad!$K$44)^(BA$56-Voorblad!$F$41)</f>
        <v>0</v>
      </c>
      <c r="BB77" s="9">
        <f>FC77*($Q77*$S77)/(1+Voorblad!$K$44)^(BB$56-Voorblad!$F$41)</f>
        <v>0</v>
      </c>
      <c r="BC77" s="9">
        <f>FD77*($Q77*$S77)/(1+Voorblad!$K$44)^(BC$56-Voorblad!$F$41)</f>
        <v>0</v>
      </c>
      <c r="BD77" s="9">
        <f>FE77*($Q77*$S77)/(1+Voorblad!$K$44)^(BD$56-Voorblad!$F$41)</f>
        <v>0</v>
      </c>
      <c r="BE77" s="9">
        <f>FF77*($Q77*$S77)/(1+Voorblad!$K$44)^(BE$56-Voorblad!$F$41)</f>
        <v>0</v>
      </c>
      <c r="BF77" s="9">
        <f>FG77*($Q77*$S77)/(1+Voorblad!$K$44)^(BF$56-Voorblad!$F$41)</f>
        <v>0</v>
      </c>
      <c r="BG77" s="9">
        <f>FH77*($Q77*$S77)/(1+Voorblad!$K$44)^(BG$56-Voorblad!$F$41)</f>
        <v>0</v>
      </c>
      <c r="BH77" s="9">
        <f>FI77*($Q77*$S77)/(1+Voorblad!$K$44)^(BH$56-Voorblad!$F$41)</f>
        <v>0</v>
      </c>
      <c r="BI77" s="9">
        <f>FJ77*($Q77*$S77)/(1+Voorblad!$K$44)^(BI$56-Voorblad!$F$41)</f>
        <v>0</v>
      </c>
      <c r="BJ77" s="9">
        <f>FK77*($Q77*$S77)/(1+Voorblad!$K$44)^(BJ$56-Voorblad!$F$41)</f>
        <v>0</v>
      </c>
      <c r="BK77" s="9">
        <f>FL77*($Q77*$S77)/(1+Voorblad!$K$44)^(BK$56-Voorblad!$F$41)</f>
        <v>0</v>
      </c>
      <c r="BL77" s="9">
        <f>FM77*($Q77*$S77)/(1+Voorblad!$K$44)^(BL$56-Voorblad!$F$41)</f>
        <v>0</v>
      </c>
      <c r="BM77" s="9">
        <f>FN77*($Q77*$S77)/(1+Voorblad!$K$44)^(BM$56-Voorblad!$F$41)</f>
        <v>0</v>
      </c>
      <c r="BN77" s="9">
        <f>FO77*($Q77*$S77)/(1+Voorblad!$K$44)^(BN$56-Voorblad!$F$41)</f>
        <v>0</v>
      </c>
      <c r="BO77" s="9">
        <f>FP77*($Q77*$S77)/(1+Voorblad!$K$44)^(BO$56-Voorblad!$F$41)</f>
        <v>0</v>
      </c>
      <c r="BP77" s="9">
        <f>FQ77*($Q77*$S77)/(1+Voorblad!$K$44)^(BP$56-Voorblad!$F$41)</f>
        <v>0</v>
      </c>
      <c r="BQ77" s="9">
        <f>FR77*($Q77*$S77)/(1+Voorblad!$K$44)^(BQ$56-Voorblad!$F$41)</f>
        <v>0</v>
      </c>
      <c r="BR77" s="9">
        <f>FS77*($Q77*$S77)/(1+Voorblad!$K$44)^(BR$56-Voorblad!$F$41)</f>
        <v>0</v>
      </c>
      <c r="BS77" s="9">
        <f>FT77*($Q77*$S77)/(1+Voorblad!$K$44)^(BS$56-Voorblad!$F$41)</f>
        <v>0</v>
      </c>
      <c r="BT77" s="9">
        <f>FU77*($Q77*$S77)/(1+Voorblad!$K$44)^(BT$56-Voorblad!$F$41)</f>
        <v>0</v>
      </c>
      <c r="BU77" s="9">
        <f>FV77*($Q77*$S77)/(1+Voorblad!$K$44)^(BU$56-Voorblad!$F$41)</f>
        <v>0</v>
      </c>
      <c r="BV77" s="9">
        <f>FW77*($Q77*$S77)/(1+Voorblad!$K$44)^(BV$56-Voorblad!$F$41)</f>
        <v>0</v>
      </c>
      <c r="BW77" s="9">
        <f>FX77*($Q77*$S77)/(1+Voorblad!$K$44)^(BW$56-Voorblad!$F$41)</f>
        <v>0</v>
      </c>
      <c r="BX77" s="9">
        <f>FY77*($Q77*$S77)/(1+Voorblad!$K$44)^(BX$56-Voorblad!$F$41)</f>
        <v>0</v>
      </c>
      <c r="BY77" s="9">
        <f>FZ77*($Q77*$S77)/(1+Voorblad!$K$44)^(BY$56-Voorblad!$F$41)</f>
        <v>0</v>
      </c>
      <c r="BZ77" s="9">
        <f>GA77*($Q77*$S77)/(1+Voorblad!$K$44)^(BZ$56-Voorblad!$F$41)</f>
        <v>0</v>
      </c>
      <c r="CA77" s="9">
        <f>GB77*($Q77*$S77)/(1+Voorblad!$K$44)^(CA$56-Voorblad!$F$41)</f>
        <v>0</v>
      </c>
      <c r="CB77" s="9">
        <f>GC77*($Q77*$S77)/(1+Voorblad!$K$44)^(CB$56-Voorblad!$F$41)</f>
        <v>0</v>
      </c>
      <c r="CC77" s="9">
        <f>GD77*($Q77*$S77)/(1+Voorblad!$K$44)^(CC$56-Voorblad!$F$41)</f>
        <v>0</v>
      </c>
      <c r="CD77" s="9">
        <f>GE77*($Q77*$S77)/(1+Voorblad!$K$44)^(CD$56-Voorblad!$F$41)</f>
        <v>0</v>
      </c>
      <c r="CE77" s="9">
        <f>GF77*($Q77*$S77)/(1+Voorblad!$K$44)^(CE$56-Voorblad!$F$41)</f>
        <v>0</v>
      </c>
      <c r="CF77" s="9">
        <f>GG77*($Q77*$S77)/(1+Voorblad!$K$44)^(CF$56-Voorblad!$F$41)</f>
        <v>0</v>
      </c>
      <c r="CG77" s="9">
        <f>GH77*($Q77*$S77)/(1+Voorblad!$K$44)^(CG$56-Voorblad!$F$41)</f>
        <v>0</v>
      </c>
      <c r="CH77" s="9">
        <f>GI77*($Q77*$S77)/(1+Voorblad!$K$44)^(CH$56-Voorblad!$F$41)</f>
        <v>0</v>
      </c>
      <c r="CI77" s="9">
        <f>GJ77*($Q77*$S77)/(1+Voorblad!$K$44)^(CI$56-Voorblad!$F$41)</f>
        <v>0</v>
      </c>
      <c r="CJ77" s="9">
        <f>GK77*($Q77*$S77)/(1+Voorblad!$K$44)^(CJ$56-Voorblad!$F$41)</f>
        <v>0</v>
      </c>
      <c r="CK77" s="9">
        <f>GL77*($Q77*$S77)/(1+Voorblad!$K$44)^(CK$56-Voorblad!$F$41)</f>
        <v>0</v>
      </c>
      <c r="CL77" s="9">
        <f>GM77*($Q77*$S77)/(1+Voorblad!$K$44)^(CL$56-Voorblad!$F$41)</f>
        <v>0</v>
      </c>
      <c r="CM77" s="9">
        <f>GN77*($Q77*$S77)/(1+Voorblad!$K$44)^(CM$56-Voorblad!$F$41)</f>
        <v>0</v>
      </c>
      <c r="CN77" s="9">
        <f>GO77*($Q77*$S77)/(1+Voorblad!$K$44)^(CN$56-Voorblad!$F$41)</f>
        <v>0</v>
      </c>
      <c r="CO77" s="9">
        <f>GP77*($Q77*$S77)/(1+Voorblad!$K$44)^(CO$56-Voorblad!$F$41)</f>
        <v>0</v>
      </c>
      <c r="CP77" s="9">
        <f>GQ77*($Q77*$S77)/(1+Voorblad!$K$44)^(CP$56-Voorblad!$F$41)</f>
        <v>0</v>
      </c>
      <c r="CQ77" s="9">
        <f>GR77*($Q77*$S77)/(1+Voorblad!$K$44)^(CQ$56-Voorblad!$F$41)</f>
        <v>0</v>
      </c>
      <c r="CR77" s="9">
        <f>GS77*($Q77*$S77)/(1+Voorblad!$K$44)^(CR$56-Voorblad!$F$41)</f>
        <v>0</v>
      </c>
      <c r="CS77" s="9">
        <f>GT77*($Q77*$S77)/(1+Voorblad!$K$44)^(CS$56-Voorblad!$F$41)</f>
        <v>0</v>
      </c>
      <c r="CT77" s="9">
        <f>GU77*($Q77*$S77)/(1+Voorblad!$K$44)^(CT$56-Voorblad!$F$41)</f>
        <v>0</v>
      </c>
      <c r="CU77" s="9">
        <f>GV77*($Q77*$S77)/(1+Voorblad!$K$44)^(CU$56-Voorblad!$F$41)</f>
        <v>0</v>
      </c>
      <c r="CV77" s="9">
        <f>GW77*($Q77*$S77)/(1+Voorblad!$K$44)^(CV$56-Voorblad!$F$41)</f>
        <v>0</v>
      </c>
      <c r="CW77" s="9">
        <f>GX77*($Q77*$S77)/(1+Voorblad!$K$44)^(CW$56-Voorblad!$F$41)</f>
        <v>0</v>
      </c>
      <c r="CX77" s="9">
        <f>GY77*($Q77*$S77)/(1+Voorblad!$K$44)^(CX$56-Voorblad!$F$41)</f>
        <v>0</v>
      </c>
      <c r="CY77" s="9">
        <f>GZ77*($Q77*$S77)/(1+Voorblad!$K$44)^(CY$56-Voorblad!$F$41)</f>
        <v>0</v>
      </c>
      <c r="CZ77" s="9">
        <f>HA77*($Q77*$S77)/(1+Voorblad!$K$44)^(CZ$56-Voorblad!$F$41)</f>
        <v>0</v>
      </c>
      <c r="DA77" s="9">
        <f>HB77*($Q77*$S77)/(1+Voorblad!$K$44)^(DA$56-Voorblad!$F$41)</f>
        <v>0</v>
      </c>
      <c r="DB77" s="9">
        <f>HC77*($Q77*$S77)/(1+Voorblad!$K$44)^(DB$56-Voorblad!$F$41)</f>
        <v>0</v>
      </c>
      <c r="DC77" s="9">
        <f>HD77*($Q77*$S77)/(1+Voorblad!$K$44)^(DC$56-Voorblad!$F$41)</f>
        <v>0</v>
      </c>
      <c r="DD77" s="9">
        <f>HE77*($Q77*$S77)/(1+Voorblad!$K$44)^(DD$56-Voorblad!$F$41)</f>
        <v>0</v>
      </c>
      <c r="DE77" s="9">
        <f>HF77*($Q77*$S77)/(1+Voorblad!$K$44)^(DE$56-Voorblad!$F$41)</f>
        <v>0</v>
      </c>
      <c r="DF77" s="9">
        <f>HG77*($Q77*$S77)/(1+Voorblad!$K$44)^(DF$56-Voorblad!$F$41)</f>
        <v>0</v>
      </c>
      <c r="DG77" s="9">
        <f>HH77*($Q77*$S77)/(1+Voorblad!$K$44)^(DG$56-Voorblad!$F$41)</f>
        <v>0</v>
      </c>
      <c r="DH77" s="9">
        <f>HI77*($Q77*$S77)/(1+Voorblad!$K$44)^(DH$56-Voorblad!$F$41)</f>
        <v>0</v>
      </c>
      <c r="DI77" s="9">
        <f>HJ77*($Q77*$S77)/(1+Voorblad!$K$44)^(DI$56-Voorblad!$F$41)</f>
        <v>0</v>
      </c>
      <c r="DJ77" s="9">
        <f>HK77*($Q77*$S77)/(1+Voorblad!$K$44)^(DJ$56-Voorblad!$F$41)</f>
        <v>0</v>
      </c>
      <c r="DK77" s="9">
        <f>HL77*($Q77*$S77)/(1+Voorblad!$K$44)^(DK$56-Voorblad!$F$41)</f>
        <v>0</v>
      </c>
      <c r="DL77" s="9">
        <f>HM77*($Q77*$S77)/(1+Voorblad!$K$44)^(DL$56-Voorblad!$F$41)</f>
        <v>0</v>
      </c>
      <c r="DM77" s="9">
        <f>HN77*($Q77*$S77)/(1+Voorblad!$K$44)^(DM$56-Voorblad!$F$41)</f>
        <v>0</v>
      </c>
      <c r="DN77" s="9">
        <f>HO77*($Q77*$S77)/(1+Voorblad!$K$44)^(DN$56-Voorblad!$F$41)</f>
        <v>0</v>
      </c>
      <c r="DO77" s="9">
        <f>HP77*($Q77*$S77)/(1+Voorblad!$K$44)^(DO$56-Voorblad!$F$41)</f>
        <v>0</v>
      </c>
      <c r="DP77" s="9">
        <f>HQ77*($Q77*$S77)/(1+Voorblad!$K$44)^(DP$56-Voorblad!$F$41)</f>
        <v>0</v>
      </c>
      <c r="DQ77" s="9">
        <f>HR77*($Q77*$S77)/(1+Voorblad!$K$44)^(DQ$56-Voorblad!$F$41)</f>
        <v>0</v>
      </c>
      <c r="DR77" s="9">
        <f>HS77*($Q77*$S77)/(1+Voorblad!$K$44)^(DR$56-Voorblad!$F$41)</f>
        <v>0</v>
      </c>
      <c r="DS77" s="9">
        <f>HT77*($Q77*$S77)/(1+Voorblad!$K$44)^(DS$56-Voorblad!$F$41)</f>
        <v>0</v>
      </c>
      <c r="DT77" s="9">
        <f>HU77*($Q77*$S77)/(1+Voorblad!$K$44)^(DT$56-Voorblad!$F$41)</f>
        <v>0</v>
      </c>
      <c r="DU77" s="9">
        <f>HV77*($Q77*$S77)/(1+Voorblad!$K$44)^(DU$56-Voorblad!$F$41)</f>
        <v>0</v>
      </c>
      <c r="DV77" s="9">
        <f>HW77*($Q77*$S77)/(1+Voorblad!$K$44)^(DV$56-Voorblad!$F$41)</f>
        <v>0</v>
      </c>
      <c r="DW77" s="9">
        <f>HX77*($Q77*$S77)/(1+Voorblad!$K$44)^(DW$56-Voorblad!$F$41)</f>
        <v>0</v>
      </c>
      <c r="DX77" s="9">
        <f>HY77*($Q77*$S77)/(1+Voorblad!$K$44)^(DX$56-Voorblad!$F$41)</f>
        <v>0</v>
      </c>
      <c r="DY77" s="9">
        <f>HZ77*($Q77*$S77)/(1+Voorblad!$K$44)^(DY$56-Voorblad!$F$41)</f>
        <v>0</v>
      </c>
      <c r="DZ77" s="9">
        <f>IA77*($Q77*$S77)/(1+Voorblad!$K$44)^(DZ$56-Voorblad!$F$41)</f>
        <v>0</v>
      </c>
      <c r="EA77" s="9">
        <f>IB77*($Q77*$S77)/(1+Voorblad!$K$44)^(EA$56-Voorblad!$F$41)</f>
        <v>0</v>
      </c>
      <c r="EB77" s="9">
        <f>IC77*($Q77*$S77)/(1+Voorblad!$K$44)^(EB$56-Voorblad!$F$41)</f>
        <v>0</v>
      </c>
      <c r="EE77" s="8">
        <v>0</v>
      </c>
      <c r="EF77" s="8">
        <f>IF(EF$56-Voorblad!$F$41&gt;Voorblad!$K$41,0,IF($U77=0,0,IF($U77&lt;1,1/$U77,IF((EF$56-Voorblad!$F$41)/$U77-SUM($EE77:EE77)=1,1,0))))</f>
        <v>0</v>
      </c>
      <c r="EG77" s="8">
        <f>IF(EG$56-Voorblad!$F$41&gt;Voorblad!$K$41,0,IF($U77=0,0,IF($U77&lt;1,1/$U77,IF((EG$56-Voorblad!$F$41)/$U77-SUM($EE77:EF77)=1,1,0))))</f>
        <v>0</v>
      </c>
      <c r="EH77" s="8">
        <f>IF(EH$56-Voorblad!$F$41&gt;Voorblad!$K$41,0,IF($U77=0,0,IF($U77&lt;1,1/$U77,IF((EH$56-Voorblad!$F$41)/$U77-SUM($EE77:EG77)=1,1,0))))</f>
        <v>0</v>
      </c>
      <c r="EI77" s="8">
        <f>IF(EI$56-Voorblad!$F$41&gt;Voorblad!$K$41,0,IF($U77=0,0,IF($U77&lt;1,1/$U77,IF((EI$56-Voorblad!$F$41)/$U77-SUM($EE77:EH77)=1,1,0))))</f>
        <v>0</v>
      </c>
      <c r="EJ77" s="8">
        <f>IF(EJ$56-Voorblad!$F$41&gt;Voorblad!$K$41,0,IF($U77=0,0,IF($U77&lt;1,1/$U77,IF((EJ$56-Voorblad!$F$41)/$U77-SUM($EE77:EI77)=1,1,0))))</f>
        <v>0</v>
      </c>
      <c r="EK77" s="8">
        <f>IF(EK$56-Voorblad!$F$41&gt;Voorblad!$K$41,0,IF($U77=0,0,IF($U77&lt;1,1/$U77,IF((EK$56-Voorblad!$F$41)/$U77-SUM($EE77:EJ77)=1,1,0))))</f>
        <v>0</v>
      </c>
      <c r="EL77" s="8">
        <f>IF(EL$56-Voorblad!$F$41&gt;Voorblad!$K$41,0,IF($U77=0,0,IF($U77&lt;1,1/$U77,IF((EL$56-Voorblad!$F$41)/$U77-SUM($EE77:EK77)=1,1,0))))</f>
        <v>0</v>
      </c>
      <c r="EM77" s="8">
        <f>IF(EM$56-Voorblad!$F$41&gt;Voorblad!$K$41,0,IF($U77=0,0,IF($U77&lt;1,1/$U77,IF((EM$56-Voorblad!$F$41)/$U77-SUM($EE77:EL77)=1,1,0))))</f>
        <v>0</v>
      </c>
      <c r="EN77" s="8">
        <f>IF(EN$56-Voorblad!$F$41&gt;Voorblad!$K$41,0,IF($U77=0,0,IF($U77&lt;1,1/$U77,IF((EN$56-Voorblad!$F$41)/$U77-SUM($EE77:EM77)=1,1,0))))</f>
        <v>0</v>
      </c>
      <c r="EO77" s="8">
        <f>IF(EO$56-Voorblad!$F$41&gt;Voorblad!$K$41,0,IF($U77=0,0,IF($U77&lt;1,1/$U77,IF((EO$56-Voorblad!$F$41)/$U77-SUM($EE77:EN77)=1,1,0))))</f>
        <v>0</v>
      </c>
      <c r="EP77" s="8">
        <f>IF(EP$56-Voorblad!$F$41&gt;Voorblad!$K$41,0,IF($U77=0,0,IF($U77&lt;1,1/$U77,IF((EP$56-Voorblad!$F$41)/$U77-SUM($EE77:EO77)=1,1,0))))</f>
        <v>0</v>
      </c>
      <c r="EQ77" s="8">
        <f>IF(EQ$56-Voorblad!$F$41&gt;Voorblad!$K$41,0,IF($U77=0,0,IF($U77&lt;1,1/$U77,IF((EQ$56-Voorblad!$F$41)/$U77-SUM($EE77:EP77)=1,1,0))))</f>
        <v>0</v>
      </c>
      <c r="ER77" s="8">
        <f>IF(ER$56-Voorblad!$F$41&gt;Voorblad!$K$41,0,IF($U77=0,0,IF($U77&lt;1,1/$U77,IF((ER$56-Voorblad!$F$41)/$U77-SUM($EE77:EQ77)=1,1,0))))</f>
        <v>0</v>
      </c>
      <c r="ES77" s="8">
        <f>IF(ES$56-Voorblad!$F$41&gt;Voorblad!$K$41,0,IF($U77=0,0,IF($U77&lt;1,1/$U77,IF((ES$56-Voorblad!$F$41)/$U77-SUM($EE77:ER77)=1,1,0))))</f>
        <v>0</v>
      </c>
      <c r="ET77" s="8">
        <f>IF(ET$56-Voorblad!$F$41&gt;Voorblad!$K$41,0,IF($U77=0,0,IF($U77&lt;1,1/$U77,IF((ET$56-Voorblad!$F$41)/$U77-SUM($EE77:ES77)=1,1,0))))</f>
        <v>0</v>
      </c>
      <c r="EU77" s="8">
        <f>IF(EU$56-Voorblad!$F$41&gt;Voorblad!$K$41,0,IF($U77=0,0,IF($U77&lt;1,1/$U77,IF((EU$56-Voorblad!$F$41)/$U77-SUM($EE77:ET77)=1,1,0))))</f>
        <v>0</v>
      </c>
      <c r="EV77" s="8">
        <f>IF(EV$56-Voorblad!$F$41&gt;Voorblad!$K$41,0,IF($U77=0,0,IF($U77&lt;1,1/$U77,IF((EV$56-Voorblad!$F$41)/$U77-SUM($EE77:EU77)=1,1,0))))</f>
        <v>0</v>
      </c>
      <c r="EW77" s="8">
        <f>IF(EW$56-Voorblad!$F$41&gt;Voorblad!$K$41,0,IF($U77=0,0,IF($U77&lt;1,1/$U77,IF((EW$56-Voorblad!$F$41)/$U77-SUM($EE77:EV77)=1,1,0))))</f>
        <v>0</v>
      </c>
      <c r="EX77" s="8">
        <f>IF(EX$56-Voorblad!$F$41&gt;Voorblad!$K$41,0,IF($U77=0,0,IF($U77&lt;1,1/$U77,IF((EX$56-Voorblad!$F$41)/$U77-SUM($EE77:EW77)=1,1,0))))</f>
        <v>1</v>
      </c>
      <c r="EY77" s="8">
        <f>IF(EY$56-Voorblad!$F$41&gt;Voorblad!$K$41,0,IF($U77=0,0,IF($U77&lt;1,1/$U77,IF((EY$56-Voorblad!$F$41)/$U77-SUM($EE77:EX77)=1,1,0))))</f>
        <v>0</v>
      </c>
      <c r="EZ77" s="8">
        <f>IF(EZ$56-Voorblad!$F$41&gt;Voorblad!$K$41,0,IF($U77=0,0,IF($U77&lt;1,1/$U77,IF((EZ$56-Voorblad!$F$41)/$U77-SUM($EE77:EY77)=1,1,0))))</f>
        <v>0</v>
      </c>
      <c r="FA77" s="8">
        <f>IF(FA$56-Voorblad!$F$41&gt;Voorblad!$K$41,0,IF($U77=0,0,IF($U77&lt;1,1/$U77,IF((FA$56-Voorblad!$F$41)/$U77-SUM($EE77:EZ77)=1,1,0))))</f>
        <v>0</v>
      </c>
      <c r="FB77" s="8">
        <f>IF(FB$56-Voorblad!$F$41&gt;Voorblad!$K$41,0,IF($U77=0,0,IF($U77&lt;1,1/$U77,IF((FB$56-Voorblad!$F$41)/$U77-SUM($EE77:FA77)=1,1,0))))</f>
        <v>0</v>
      </c>
      <c r="FC77" s="8">
        <f>IF(FC$56-Voorblad!$F$41&gt;Voorblad!$K$41,0,IF($U77=0,0,IF($U77&lt;1,1/$U77,IF((FC$56-Voorblad!$F$41)/$U77-SUM($EE77:FB77)=1,1,0))))</f>
        <v>0</v>
      </c>
      <c r="FD77" s="8">
        <f>IF(FD$56-Voorblad!$F$41&gt;Voorblad!$K$41,0,IF($U77=0,0,IF($U77&lt;1,1/$U77,IF((FD$56-Voorblad!$F$41)/$U77-SUM($EE77:FC77)=1,1,0))))</f>
        <v>0</v>
      </c>
      <c r="FE77" s="8">
        <f>IF(FE$56-Voorblad!$F$41&gt;Voorblad!$K$41,0,IF($U77=0,0,IF($U77&lt;1,1/$U77,IF((FE$56-Voorblad!$F$41)/$U77-SUM($EE77:FD77)=1,1,0))))</f>
        <v>0</v>
      </c>
      <c r="FF77" s="8">
        <f>IF(FF$56-Voorblad!$F$41&gt;Voorblad!$K$41,0,IF($U77=0,0,IF($U77&lt;1,1/$U77,IF((FF$56-Voorblad!$F$41)/$U77-SUM($EE77:FE77)=1,1,0))))</f>
        <v>0</v>
      </c>
      <c r="FG77" s="8">
        <f>IF(FG$56-Voorblad!$F$41&gt;Voorblad!$K$41,0,IF($U77=0,0,IF($U77&lt;1,1/$U77,IF((FG$56-Voorblad!$F$41)/$U77-SUM($EE77:FF77)=1,1,0))))</f>
        <v>0</v>
      </c>
      <c r="FH77" s="8">
        <f>IF(FH$56-Voorblad!$F$41&gt;Voorblad!$K$41,0,IF($U77=0,0,IF($U77&lt;1,1/$U77,IF((FH$56-Voorblad!$F$41)/$U77-SUM($EE77:FG77)=1,1,0))))</f>
        <v>0</v>
      </c>
      <c r="FI77" s="8">
        <f>IF(FI$56-Voorblad!$F$41&gt;Voorblad!$K$41,0,IF($U77=0,0,IF($U77&lt;1,1/$U77,IF((FI$56-Voorblad!$F$41)/$U77-SUM($EE77:FH77)=1,1,0))))</f>
        <v>0</v>
      </c>
      <c r="FJ77" s="8">
        <f>IF(FJ$56-Voorblad!$F$41&gt;Voorblad!$K$41,0,IF($U77=0,0,IF($U77&lt;1,1/$U77,IF((FJ$56-Voorblad!$F$41)/$U77-SUM($EE77:FI77)=1,1,0))))</f>
        <v>0</v>
      </c>
      <c r="FK77" s="8">
        <f>IF(FK$56-Voorblad!$F$41&gt;Voorblad!$K$41,0,IF($U77=0,0,IF($U77&lt;1,1/$U77,IF((FK$56-Voorblad!$F$41)/$U77-SUM($EE77:FJ77)=1,1,0))))</f>
        <v>0</v>
      </c>
      <c r="FL77" s="8">
        <f>IF(FL$56-Voorblad!$F$41&gt;Voorblad!$K$41,0,IF($U77=0,0,IF($U77&lt;1,1/$U77,IF((FL$56-Voorblad!$F$41)/$U77-SUM($EE77:FK77)=1,1,0))))</f>
        <v>0</v>
      </c>
      <c r="FM77" s="8">
        <f>IF(FM$56-Voorblad!$F$41&gt;Voorblad!$K$41,0,IF($U77=0,0,IF($U77&lt;1,1/$U77,IF((FM$56-Voorblad!$F$41)/$U77-SUM($EE77:FL77)=1,1,0))))</f>
        <v>0</v>
      </c>
      <c r="FN77" s="8">
        <f>IF(FN$56-Voorblad!$F$41&gt;Voorblad!$K$41,0,IF($U77=0,0,IF($U77&lt;1,1/$U77,IF((FN$56-Voorblad!$F$41)/$U77-SUM($EE77:FM77)=1,1,0))))</f>
        <v>0</v>
      </c>
      <c r="FO77" s="8">
        <f>IF(FO$56-Voorblad!$F$41&gt;Voorblad!$K$41,0,IF($U77=0,0,IF($U77&lt;1,1/$U77,IF((FO$56-Voorblad!$F$41)/$U77-SUM($EE77:FN77)=1,1,0))))</f>
        <v>0</v>
      </c>
      <c r="FP77" s="8">
        <f>IF(FP$56-Voorblad!$F$41&gt;Voorblad!$K$41,0,IF($U77=0,0,IF($U77&lt;1,1/$U77,IF((FP$56-Voorblad!$F$41)/$U77-SUM($EE77:FO77)=1,1,0))))</f>
        <v>1</v>
      </c>
      <c r="FQ77" s="8">
        <f>IF(FQ$56-Voorblad!$F$41&gt;Voorblad!$K$41,0,IF($U77=0,0,IF($U77&lt;1,1/$U77,IF((FQ$56-Voorblad!$F$41)/$U77-SUM($EE77:FP77)=1,1,0))))</f>
        <v>0</v>
      </c>
      <c r="FR77" s="8">
        <f>IF(FR$56-Voorblad!$F$41&gt;Voorblad!$K$41,0,IF($U77=0,0,IF($U77&lt;1,1/$U77,IF((FR$56-Voorblad!$F$41)/$U77-SUM($EE77:FQ77)=1,1,0))))</f>
        <v>0</v>
      </c>
      <c r="FS77" s="8">
        <f>IF(FS$56-Voorblad!$F$41&gt;Voorblad!$K$41,0,IF($U77=0,0,IF($U77&lt;1,1/$U77,IF((FS$56-Voorblad!$F$41)/$U77-SUM($EE77:FR77)=1,1,0))))</f>
        <v>0</v>
      </c>
      <c r="FT77" s="8">
        <f>IF(FT$56-Voorblad!$F$41&gt;Voorblad!$K$41,0,IF($U77=0,0,IF($U77&lt;1,1/$U77,IF((FT$56-Voorblad!$F$41)/$U77-SUM($EE77:FS77)=1,1,0))))</f>
        <v>0</v>
      </c>
      <c r="FU77" s="8">
        <f>IF(FU$56-Voorblad!$F$41&gt;Voorblad!$K$41,0,IF($U77=0,0,IF($U77&lt;1,1/$U77,IF((FU$56-Voorblad!$F$41)/$U77-SUM($EE77:FT77)=1,1,0))))</f>
        <v>0</v>
      </c>
      <c r="FV77" s="8">
        <f>IF(FV$56-Voorblad!$F$41&gt;Voorblad!$K$41,0,IF($U77=0,0,IF($U77&lt;1,1/$U77,IF((FV$56-Voorblad!$F$41)/$U77-SUM($EE77:FU77)=1,1,0))))</f>
        <v>0</v>
      </c>
      <c r="FW77" s="8">
        <f>IF(FW$56-Voorblad!$F$41&gt;Voorblad!$K$41,0,IF($U77=0,0,IF($U77&lt;1,1/$U77,IF((FW$56-Voorblad!$F$41)/$U77-SUM($EE77:FV77)=1,1,0))))</f>
        <v>0</v>
      </c>
      <c r="FX77" s="8">
        <f>IF(FX$56-Voorblad!$F$41&gt;Voorblad!$K$41,0,IF($U77=0,0,IF($U77&lt;1,1/$U77,IF((FX$56-Voorblad!$F$41)/$U77-SUM($EE77:FW77)=1,1,0))))</f>
        <v>0</v>
      </c>
      <c r="FY77" s="8">
        <f>IF(FY$56-Voorblad!$F$41&gt;Voorblad!$K$41,0,IF($U77=0,0,IF($U77&lt;1,1/$U77,IF((FY$56-Voorblad!$F$41)/$U77-SUM($EE77:FX77)=1,1,0))))</f>
        <v>0</v>
      </c>
      <c r="FZ77" s="8">
        <f>IF(FZ$56-Voorblad!$F$41&gt;Voorblad!$K$41,0,IF($U77=0,0,IF($U77&lt;1,1/$U77,IF((FZ$56-Voorblad!$F$41)/$U77-SUM($EE77:FY77)=1,1,0))))</f>
        <v>0</v>
      </c>
      <c r="GA77" s="8">
        <f>IF(GA$56-Voorblad!$F$41&gt;Voorblad!$K$41,0,IF($U77=0,0,IF($U77&lt;1,1/$U77,IF((GA$56-Voorblad!$F$41)/$U77-SUM($EE77:FZ77)=1,1,0))))</f>
        <v>0</v>
      </c>
      <c r="GB77" s="8">
        <f>IF(GB$56-Voorblad!$F$41&gt;Voorblad!$K$41,0,IF($U77=0,0,IF($U77&lt;1,1/$U77,IF((GB$56-Voorblad!$F$41)/$U77-SUM($EE77:GA77)=1,1,0))))</f>
        <v>0</v>
      </c>
      <c r="GC77" s="8">
        <f>IF(GC$56-Voorblad!$F$41&gt;Voorblad!$K$41,0,IF($U77=0,0,IF($U77&lt;1,1/$U77,IF((GC$56-Voorblad!$F$41)/$U77-SUM($EE77:GB77)=1,1,0))))</f>
        <v>0</v>
      </c>
      <c r="GD77" s="8">
        <f>IF(GD$56-Voorblad!$F$41&gt;Voorblad!$K$41,0,IF($U77=0,0,IF($U77&lt;1,1/$U77,IF((GD$56-Voorblad!$F$41)/$U77-SUM($EE77:GC77)=1,1,0))))</f>
        <v>0</v>
      </c>
      <c r="GE77" s="8">
        <f>IF(GE$56-Voorblad!$F$41&gt;Voorblad!$K$41,0,IF($U77=0,0,IF($U77&lt;1,1/$U77,IF((GE$56-Voorblad!$F$41)/$U77-SUM($EE77:GD77)=1,1,0))))</f>
        <v>0</v>
      </c>
      <c r="GF77" s="8">
        <f>IF(GF$56-Voorblad!$F$41&gt;Voorblad!$K$41,0,IF($U77=0,0,IF($U77&lt;1,1/$U77,IF((GF$56-Voorblad!$F$41)/$U77-SUM($EE77:GE77)=1,1,0))))</f>
        <v>0</v>
      </c>
      <c r="GG77" s="8">
        <f>IF(GG$56-Voorblad!$F$41&gt;Voorblad!$K$41,0,IF($U77=0,0,IF($U77&lt;1,1/$U77,IF((GG$56-Voorblad!$F$41)/$U77-SUM($EE77:GF77)=1,1,0))))</f>
        <v>0</v>
      </c>
      <c r="GH77" s="8">
        <f>IF(GH$56-Voorblad!$F$41&gt;Voorblad!$K$41,0,IF($U77=0,0,IF($U77&lt;1,1/$U77,IF((GH$56-Voorblad!$F$41)/$U77-SUM($EE77:GG77)=1,1,0))))</f>
        <v>1</v>
      </c>
      <c r="GI77" s="8">
        <f>IF(GI$56-Voorblad!$F$41&gt;Voorblad!$K$41,0,IF($U77=0,0,IF($U77&lt;1,1/$U77,IF((GI$56-Voorblad!$F$41)/$U77-SUM($EE77:GH77)=1,1,0))))</f>
        <v>0</v>
      </c>
      <c r="GJ77" s="8">
        <f>IF(GJ$56-Voorblad!$F$41&gt;Voorblad!$K$41,0,IF($U77=0,0,IF($U77&lt;1,1/$U77,IF((GJ$56-Voorblad!$F$41)/$U77-SUM($EE77:GI77)=1,1,0))))</f>
        <v>0</v>
      </c>
      <c r="GK77" s="8">
        <f>IF(GK$56-Voorblad!$F$41&gt;Voorblad!$K$41,0,IF($U77=0,0,IF($U77&lt;1,1/$U77,IF((GK$56-Voorblad!$F$41)/$U77-SUM($EE77:GJ77)=1,1,0))))</f>
        <v>0</v>
      </c>
      <c r="GL77" s="8">
        <f>IF(GL$56-Voorblad!$F$41&gt;Voorblad!$K$41,0,IF($U77=0,0,IF($U77&lt;1,1/$U77,IF((GL$56-Voorblad!$F$41)/$U77-SUM($EE77:GK77)=1,1,0))))</f>
        <v>0</v>
      </c>
      <c r="GM77" s="8">
        <f>IF(GM$56-Voorblad!$F$41&gt;Voorblad!$K$41,0,IF($U77=0,0,IF($U77&lt;1,1/$U77,IF((GM$56-Voorblad!$F$41)/$U77-SUM($EE77:GL77)=1,1,0))))</f>
        <v>0</v>
      </c>
      <c r="GN77" s="8">
        <f>IF(GN$56-Voorblad!$F$41&gt;Voorblad!$K$41,0,IF($U77=0,0,IF($U77&lt;1,1/$U77,IF((GN$56-Voorblad!$F$41)/$U77-SUM($EE77:GM77)=1,1,0))))</f>
        <v>0</v>
      </c>
      <c r="GO77" s="8">
        <f>IF(GO$56-Voorblad!$F$41&gt;Voorblad!$K$41,0,IF($U77=0,0,IF($U77&lt;1,1/$U77,IF((GO$56-Voorblad!$F$41)/$U77-SUM($EE77:GN77)=1,1,0))))</f>
        <v>0</v>
      </c>
      <c r="GP77" s="8">
        <f>IF(GP$56-Voorblad!$F$41&gt;Voorblad!$K$41,0,IF($U77=0,0,IF($U77&lt;1,1/$U77,IF((GP$56-Voorblad!$F$41)/$U77-SUM($EE77:GO77)=1,1,0))))</f>
        <v>0</v>
      </c>
      <c r="GQ77" s="8">
        <f>IF(GQ$56-Voorblad!$F$41&gt;Voorblad!$K$41,0,IF($U77=0,0,IF($U77&lt;1,1/$U77,IF((GQ$56-Voorblad!$F$41)/$U77-SUM($EE77:GP77)=1,1,0))))</f>
        <v>0</v>
      </c>
      <c r="GR77" s="8">
        <f>IF(GR$56-Voorblad!$F$41&gt;Voorblad!$K$41,0,IF($U77=0,0,IF($U77&lt;1,1/$U77,IF((GR$56-Voorblad!$F$41)/$U77-SUM($EE77:GQ77)=1,1,0))))</f>
        <v>0</v>
      </c>
      <c r="GS77" s="8">
        <f>IF(GS$56-Voorblad!$F$41&gt;Voorblad!$K$41,0,IF($U77=0,0,IF($U77&lt;1,1/$U77,IF((GS$56-Voorblad!$F$41)/$U77-SUM($EE77:GR77)=1,1,0))))</f>
        <v>0</v>
      </c>
      <c r="GT77" s="8">
        <f>IF(GT$56-Voorblad!$F$41&gt;Voorblad!$K$41,0,IF($U77=0,0,IF($U77&lt;1,1/$U77,IF((GT$56-Voorblad!$F$41)/$U77-SUM($EE77:GS77)=1,1,0))))</f>
        <v>0</v>
      </c>
      <c r="GU77" s="8">
        <f>IF(GU$56-Voorblad!$F$41&gt;Voorblad!$K$41,0,IF($U77=0,0,IF($U77&lt;1,1/$U77,IF((GU$56-Voorblad!$F$41)/$U77-SUM($EE77:GT77)=1,1,0))))</f>
        <v>0</v>
      </c>
      <c r="GV77" s="8">
        <f>IF(GV$56-Voorblad!$F$41&gt;Voorblad!$K$41,0,IF($U77=0,0,IF($U77&lt;1,1/$U77,IF((GV$56-Voorblad!$F$41)/$U77-SUM($EE77:GU77)=1,1,0))))</f>
        <v>0</v>
      </c>
      <c r="GW77" s="8">
        <f>IF(GW$56-Voorblad!$F$41&gt;Voorblad!$K$41,0,IF($U77=0,0,IF($U77&lt;1,1/$U77,IF((GW$56-Voorblad!$F$41)/$U77-SUM($EE77:GV77)=1,1,0))))</f>
        <v>0</v>
      </c>
      <c r="GX77" s="8">
        <f>IF(GX$56-Voorblad!$F$41&gt;Voorblad!$K$41,0,IF($U77=0,0,IF($U77&lt;1,1/$U77,IF((GX$56-Voorblad!$F$41)/$U77-SUM($EE77:GW77)=1,1,0))))</f>
        <v>0</v>
      </c>
      <c r="GY77" s="8">
        <f>IF(GY$56-Voorblad!$F$41&gt;Voorblad!$K$41,0,IF($U77=0,0,IF($U77&lt;1,1/$U77,IF((GY$56-Voorblad!$F$41)/$U77-SUM($EE77:GX77)=1,1,0))))</f>
        <v>0</v>
      </c>
      <c r="GZ77" s="8">
        <f>IF(GZ$56-Voorblad!$F$41&gt;Voorblad!$K$41,0,IF($U77=0,0,IF($U77&lt;1,1/$U77,IF((GZ$56-Voorblad!$F$41)/$U77-SUM($EE77:GY77)=1,1,0))))</f>
        <v>1</v>
      </c>
      <c r="HA77" s="8">
        <f>IF(HA$56-Voorblad!$F$41&gt;Voorblad!$K$41,0,IF($U77=0,0,IF($U77&lt;1,1/$U77,IF((HA$56-Voorblad!$F$41)/$U77-SUM($EE77:GZ77)=1,1,0))))</f>
        <v>0</v>
      </c>
      <c r="HB77" s="8">
        <f>IF(HB$56-Voorblad!$F$41&gt;Voorblad!$K$41,0,IF($U77=0,0,IF($U77&lt;1,1/$U77,IF((HB$56-Voorblad!$F$41)/$U77-SUM($EE77:HA77)=1,1,0))))</f>
        <v>0</v>
      </c>
      <c r="HC77" s="8">
        <f>IF(HC$56-Voorblad!$F$41&gt;Voorblad!$K$41,0,IF($U77=0,0,IF($U77&lt;1,1/$U77,IF((HC$56-Voorblad!$F$41)/$U77-SUM($EE77:HB77)=1,1,0))))</f>
        <v>0</v>
      </c>
      <c r="HD77" s="8">
        <f>IF(HD$56-Voorblad!$F$41&gt;Voorblad!$K$41,0,IF($U77=0,0,IF($U77&lt;1,1/$U77,IF((HD$56-Voorblad!$F$41)/$U77-SUM($EE77:HC77)=1,1,0))))</f>
        <v>0</v>
      </c>
      <c r="HE77" s="8">
        <f>IF(HE$56-Voorblad!$F$41&gt;Voorblad!$K$41,0,IF($U77=0,0,IF($U77&lt;1,1/$U77,IF((HE$56-Voorblad!$F$41)/$U77-SUM($EE77:HD77)=1,1,0))))</f>
        <v>0</v>
      </c>
      <c r="HF77" s="8">
        <f>IF(HF$56-Voorblad!$F$41&gt;Voorblad!$K$41,0,IF($U77=0,0,IF($U77&lt;1,1/$U77,IF((HF$56-Voorblad!$F$41)/$U77-SUM($EE77:HE77)=1,1,0))))</f>
        <v>0</v>
      </c>
      <c r="HG77" s="8">
        <f>IF(HG$56-Voorblad!$F$41&gt;Voorblad!$K$41,0,IF($U77=0,0,IF($U77&lt;1,1/$U77,IF((HG$56-Voorblad!$F$41)/$U77-SUM($EE77:HF77)=1,1,0))))</f>
        <v>0</v>
      </c>
      <c r="HH77" s="8">
        <f>IF(HH$56-Voorblad!$F$41&gt;Voorblad!$K$41,0,IF($U77=0,0,IF($U77&lt;1,1/$U77,IF((HH$56-Voorblad!$F$41)/$U77-SUM($EE77:HG77)=1,1,0))))</f>
        <v>0</v>
      </c>
      <c r="HI77" s="8">
        <f>IF(HI$56-Voorblad!$F$41&gt;Voorblad!$K$41,0,IF($U77=0,0,IF($U77&lt;1,1/$U77,IF((HI$56-Voorblad!$F$41)/$U77-SUM($EE77:HH77)=1,1,0))))</f>
        <v>0</v>
      </c>
      <c r="HJ77" s="8">
        <f>IF(HJ$56-Voorblad!$F$41&gt;Voorblad!$K$41,0,IF($U77=0,0,IF($U77&lt;1,1/$U77,IF((HJ$56-Voorblad!$F$41)/$U77-SUM($EE77:HI77)=1,1,0))))</f>
        <v>0</v>
      </c>
      <c r="HK77" s="8">
        <f>IF(HK$56-Voorblad!$F$41&gt;Voorblad!$K$41,0,IF($U77=0,0,IF($U77&lt;1,1/$U77,IF((HK$56-Voorblad!$F$41)/$U77-SUM($EE77:HJ77)=1,1,0))))</f>
        <v>0</v>
      </c>
      <c r="HL77" s="8">
        <f>IF(HL$56-Voorblad!$F$41&gt;Voorblad!$K$41,0,IF($U77=0,0,IF($U77&lt;1,1/$U77,IF((HL$56-Voorblad!$F$41)/$U77-SUM($EE77:HK77)=1,1,0))))</f>
        <v>0</v>
      </c>
      <c r="HM77" s="8">
        <f>IF(HM$56-Voorblad!$F$41&gt;Voorblad!$K$41,0,IF($U77=0,0,IF($U77&lt;1,1/$U77,IF((HM$56-Voorblad!$F$41)/$U77-SUM($EE77:HL77)=1,1,0))))</f>
        <v>0</v>
      </c>
      <c r="HN77" s="8">
        <f>IF(HN$56-Voorblad!$F$41&gt;Voorblad!$K$41,0,IF($U77=0,0,IF($U77&lt;1,1/$U77,IF((HN$56-Voorblad!$F$41)/$U77-SUM($EE77:HM77)=1,1,0))))</f>
        <v>0</v>
      </c>
      <c r="HO77" s="8">
        <f>IF(HO$56-Voorblad!$F$41&gt;Voorblad!$K$41,0,IF($U77=0,0,IF($U77&lt;1,1/$U77,IF((HO$56-Voorblad!$F$41)/$U77-SUM($EE77:HN77)=1,1,0))))</f>
        <v>0</v>
      </c>
      <c r="HP77" s="8">
        <f>IF(HP$56-Voorblad!$F$41&gt;Voorblad!$K$41,0,IF($U77=0,0,IF($U77&lt;1,1/$U77,IF((HP$56-Voorblad!$F$41)/$U77-SUM($EE77:HO77)=1,1,0))))</f>
        <v>0</v>
      </c>
      <c r="HQ77" s="8">
        <f>IF(HQ$56-Voorblad!$F$41&gt;Voorblad!$K$41,0,IF($U77=0,0,IF($U77&lt;1,1/$U77,IF((HQ$56-Voorblad!$F$41)/$U77-SUM($EE77:HP77)=1,1,0))))</f>
        <v>0</v>
      </c>
      <c r="HR77" s="8">
        <f>IF(HR$56-Voorblad!$F$41&gt;Voorblad!$K$41,0,IF($U77=0,0,IF($U77&lt;1,1/$U77,IF((HR$56-Voorblad!$F$41)/$U77-SUM($EE77:HQ77)=1,1,0))))</f>
        <v>0</v>
      </c>
      <c r="HS77" s="8">
        <f>IF(HS$56-Voorblad!$F$41&gt;Voorblad!$K$41,0,IF($U77=0,0,IF($U77&lt;1,1/$U77,IF((HS$56-Voorblad!$F$41)/$U77-SUM($EE77:HR77)=1,1,0))))</f>
        <v>0</v>
      </c>
      <c r="HT77" s="8">
        <f>IF(HT$56-Voorblad!$F$41&gt;Voorblad!$K$41,0,IF($U77=0,0,IF($U77&lt;1,1/$U77,IF((HT$56-Voorblad!$F$41)/$U77-SUM($EE77:HS77)=1,1,0))))</f>
        <v>0</v>
      </c>
      <c r="HU77" s="8">
        <f>IF(HU$56-Voorblad!$F$41&gt;Voorblad!$K$41,0,IF($U77=0,0,IF($U77&lt;1,1/$U77,IF((HU$56-Voorblad!$F$41)/$U77-SUM($EE77:HT77)=1,1,0))))</f>
        <v>0</v>
      </c>
      <c r="HV77" s="8">
        <f>IF(HV$56-Voorblad!$F$41&gt;Voorblad!$K$41,0,IF($U77=0,0,IF($U77&lt;1,1/$U77,IF((HV$56-Voorblad!$F$41)/$U77-SUM($EE77:HU77)=1,1,0))))</f>
        <v>0</v>
      </c>
      <c r="HW77" s="8">
        <f>IF(HW$56-Voorblad!$F$41&gt;Voorblad!$K$41,0,IF($U77=0,0,IF($U77&lt;1,1/$U77,IF((HW$56-Voorblad!$F$41)/$U77-SUM($EE77:HV77)=1,1,0))))</f>
        <v>0</v>
      </c>
      <c r="HX77" s="8">
        <f>IF(HX$56-Voorblad!$F$41&gt;Voorblad!$K$41,0,IF($U77=0,0,IF($U77&lt;1,1/$U77,IF((HX$56-Voorblad!$F$41)/$U77-SUM($EE77:HW77)=1,1,0))))</f>
        <v>0</v>
      </c>
      <c r="HY77" s="8">
        <f>IF(HY$56-Voorblad!$F$41&gt;Voorblad!$K$41,0,IF($U77=0,0,IF($U77&lt;1,1/$U77,IF((HY$56-Voorblad!$F$41)/$U77-SUM($EE77:HX77)=1,1,0))))</f>
        <v>0</v>
      </c>
      <c r="HZ77" s="8">
        <f>IF(HZ$56-Voorblad!$F$41&gt;Voorblad!$K$41,0,IF($U77=0,0,IF($U77&lt;1,1/$U77,IF((HZ$56-Voorblad!$F$41)/$U77-SUM($EE77:HY77)=1,1,0))))</f>
        <v>0</v>
      </c>
      <c r="IA77" s="8">
        <f>IF(IA$56-Voorblad!$F$41&gt;Voorblad!$K$41,0,IF($U77=0,0,IF($U77&lt;1,1/$U77,IF((IA$56-Voorblad!$F$41)/$U77-SUM($EE77:HZ77)=1,1,0))))</f>
        <v>0</v>
      </c>
      <c r="IB77" s="8">
        <f>IF(IB$56-Voorblad!$F$41&gt;Voorblad!$K$41,0,IF($U77=0,0,IF($U77&lt;1,1/$U77,IF((IB$56-Voorblad!$F$41)/$U77-SUM($EE77:IA77)=1,1,0))))</f>
        <v>0</v>
      </c>
    </row>
    <row r="78" spans="2:236" hidden="1" outlineLevel="2" x14ac:dyDescent="0.25">
      <c r="B78" s="1">
        <v>1</v>
      </c>
      <c r="F78" s="1" t="s">
        <v>23</v>
      </c>
      <c r="I78" s="1" t="s">
        <v>193</v>
      </c>
      <c r="K78" s="1" t="s">
        <v>80</v>
      </c>
      <c r="N78" s="3"/>
      <c r="Q78" s="81">
        <v>0</v>
      </c>
      <c r="R78" s="1" t="s">
        <v>34</v>
      </c>
      <c r="S78" s="14">
        <f>H10*13300</f>
        <v>31654</v>
      </c>
      <c r="T78" s="1">
        <f t="shared" si="16"/>
        <v>0</v>
      </c>
      <c r="U78" s="14">
        <v>27</v>
      </c>
      <c r="V78" s="14"/>
      <c r="Y78" s="9">
        <f>SUM(AE78:EB78)</f>
        <v>0</v>
      </c>
      <c r="Z78" s="82"/>
      <c r="AA78" s="82"/>
      <c r="AC78" s="9">
        <f>$Y78*(Voorblad!$K$44*(1+Voorblad!$K$44)^Voorblad!$K$41)/((1+Voorblad!$K$44)^Voorblad!$K$41-1)</f>
        <v>0</v>
      </c>
      <c r="AE78" s="9">
        <f>EF78*($Q78*$S78)/(1+Voorblad!$K$44)^(AE$56-Voorblad!$F$41)</f>
        <v>0</v>
      </c>
      <c r="AF78" s="9">
        <f>EG78*($Q78*$S78)/(1+Voorblad!$K$44)^(AF$56-Voorblad!$F$41)</f>
        <v>0</v>
      </c>
      <c r="AG78" s="9">
        <f>EH78*($Q78*$S78)/(1+Voorblad!$K$44)^(AG$56-Voorblad!$F$41)</f>
        <v>0</v>
      </c>
      <c r="AH78" s="9">
        <f>EI78*($Q78*$S78)/(1+Voorblad!$K$44)^(AH$56-Voorblad!$F$41)</f>
        <v>0</v>
      </c>
      <c r="AI78" s="9">
        <f>EJ78*($Q78*$S78)/(1+Voorblad!$K$44)^(AI$56-Voorblad!$F$41)</f>
        <v>0</v>
      </c>
      <c r="AJ78" s="9">
        <f>EK78*($Q78*$S78)/(1+Voorblad!$K$44)^(AJ$56-Voorblad!$F$41)</f>
        <v>0</v>
      </c>
      <c r="AK78" s="9">
        <f>EL78*($Q78*$S78)/(1+Voorblad!$K$44)^(AK$56-Voorblad!$F$41)</f>
        <v>0</v>
      </c>
      <c r="AL78" s="9">
        <f>EM78*($Q78*$S78)/(1+Voorblad!$K$44)^(AL$56-Voorblad!$F$41)</f>
        <v>0</v>
      </c>
      <c r="AM78" s="9">
        <f>EN78*($Q78*$S78)/(1+Voorblad!$K$44)^(AM$56-Voorblad!$F$41)</f>
        <v>0</v>
      </c>
      <c r="AN78" s="9">
        <f>EO78*($Q78*$S78)/(1+Voorblad!$K$44)^(AN$56-Voorblad!$F$41)</f>
        <v>0</v>
      </c>
      <c r="AO78" s="9">
        <f>EP78*($Q78*$S78)/(1+Voorblad!$K$44)^(AO$56-Voorblad!$F$41)</f>
        <v>0</v>
      </c>
      <c r="AP78" s="9">
        <f>EQ78*($Q78*$S78)/(1+Voorblad!$K$44)^(AP$56-Voorblad!$F$41)</f>
        <v>0</v>
      </c>
      <c r="AQ78" s="9">
        <f>ER78*($Q78*$S78)/(1+Voorblad!$K$44)^(AQ$56-Voorblad!$F$41)</f>
        <v>0</v>
      </c>
      <c r="AR78" s="9">
        <f>ES78*($Q78*$S78)/(1+Voorblad!$K$44)^(AR$56-Voorblad!$F$41)</f>
        <v>0</v>
      </c>
      <c r="AS78" s="9">
        <f>ET78*($Q78*$S78)/(1+Voorblad!$K$44)^(AS$56-Voorblad!$F$41)</f>
        <v>0</v>
      </c>
      <c r="AT78" s="9">
        <f>EU78*($Q78*$S78)/(1+Voorblad!$K$44)^(AT$56-Voorblad!$F$41)</f>
        <v>0</v>
      </c>
      <c r="AU78" s="9">
        <f>EV78*($Q78*$S78)/(1+Voorblad!$K$44)^(AU$56-Voorblad!$F$41)</f>
        <v>0</v>
      </c>
      <c r="AV78" s="9">
        <f>EW78*($Q78*$S78)/(1+Voorblad!$K$44)^(AV$56-Voorblad!$F$41)</f>
        <v>0</v>
      </c>
      <c r="AW78" s="9">
        <f>EX78*($Q78*$S78)/(1+Voorblad!$K$44)^(AW$56-Voorblad!$F$41)</f>
        <v>0</v>
      </c>
      <c r="AX78" s="9">
        <f>EY78*($Q78*$S78)/(1+Voorblad!$K$44)^(AX$56-Voorblad!$F$41)</f>
        <v>0</v>
      </c>
      <c r="AY78" s="9">
        <f>EZ78*($Q78*$S78)/(1+Voorblad!$K$44)^(AY$56-Voorblad!$F$41)</f>
        <v>0</v>
      </c>
      <c r="AZ78" s="9">
        <f>FA78*($Q78*$S78)/(1+Voorblad!$K$44)^(AZ$56-Voorblad!$F$41)</f>
        <v>0</v>
      </c>
      <c r="BA78" s="9">
        <f>FB78*($Q78*$S78)/(1+Voorblad!$K$44)^(BA$56-Voorblad!$F$41)</f>
        <v>0</v>
      </c>
      <c r="BB78" s="9">
        <f>FC78*($Q78*$S78)/(1+Voorblad!$K$44)^(BB$56-Voorblad!$F$41)</f>
        <v>0</v>
      </c>
      <c r="BC78" s="9">
        <f>FD78*($Q78*$S78)/(1+Voorblad!$K$44)^(BC$56-Voorblad!$F$41)</f>
        <v>0</v>
      </c>
      <c r="BD78" s="9">
        <f>FE78*($Q78*$S78)/(1+Voorblad!$K$44)^(BD$56-Voorblad!$F$41)</f>
        <v>0</v>
      </c>
      <c r="BE78" s="9">
        <f>FF78*($Q78*$S78)/(1+Voorblad!$K$44)^(BE$56-Voorblad!$F$41)</f>
        <v>0</v>
      </c>
      <c r="BF78" s="9">
        <f>FG78*($Q78*$S78)/(1+Voorblad!$K$44)^(BF$56-Voorblad!$F$41)</f>
        <v>0</v>
      </c>
      <c r="BG78" s="9">
        <f>FH78*($Q78*$S78)/(1+Voorblad!$K$44)^(BG$56-Voorblad!$F$41)</f>
        <v>0</v>
      </c>
      <c r="BH78" s="9">
        <f>FI78*($Q78*$S78)/(1+Voorblad!$K$44)^(BH$56-Voorblad!$F$41)</f>
        <v>0</v>
      </c>
      <c r="BI78" s="9">
        <f>FJ78*($Q78*$S78)/(1+Voorblad!$K$44)^(BI$56-Voorblad!$F$41)</f>
        <v>0</v>
      </c>
      <c r="BJ78" s="9">
        <f>FK78*($Q78*$S78)/(1+Voorblad!$K$44)^(BJ$56-Voorblad!$F$41)</f>
        <v>0</v>
      </c>
      <c r="BK78" s="9">
        <f>FL78*($Q78*$S78)/(1+Voorblad!$K$44)^(BK$56-Voorblad!$F$41)</f>
        <v>0</v>
      </c>
      <c r="BL78" s="9">
        <f>FM78*($Q78*$S78)/(1+Voorblad!$K$44)^(BL$56-Voorblad!$F$41)</f>
        <v>0</v>
      </c>
      <c r="BM78" s="9">
        <f>FN78*($Q78*$S78)/(1+Voorblad!$K$44)^(BM$56-Voorblad!$F$41)</f>
        <v>0</v>
      </c>
      <c r="BN78" s="9">
        <f>FO78*($Q78*$S78)/(1+Voorblad!$K$44)^(BN$56-Voorblad!$F$41)</f>
        <v>0</v>
      </c>
      <c r="BO78" s="9">
        <f>FP78*($Q78*$S78)/(1+Voorblad!$K$44)^(BO$56-Voorblad!$F$41)</f>
        <v>0</v>
      </c>
      <c r="BP78" s="9">
        <f>FQ78*($Q78*$S78)/(1+Voorblad!$K$44)^(BP$56-Voorblad!$F$41)</f>
        <v>0</v>
      </c>
      <c r="BQ78" s="9">
        <f>FR78*($Q78*$S78)/(1+Voorblad!$K$44)^(BQ$56-Voorblad!$F$41)</f>
        <v>0</v>
      </c>
      <c r="BR78" s="9">
        <f>FS78*($Q78*$S78)/(1+Voorblad!$K$44)^(BR$56-Voorblad!$F$41)</f>
        <v>0</v>
      </c>
      <c r="BS78" s="9">
        <f>FT78*($Q78*$S78)/(1+Voorblad!$K$44)^(BS$56-Voorblad!$F$41)</f>
        <v>0</v>
      </c>
      <c r="BT78" s="9">
        <f>FU78*($Q78*$S78)/(1+Voorblad!$K$44)^(BT$56-Voorblad!$F$41)</f>
        <v>0</v>
      </c>
      <c r="BU78" s="9">
        <f>FV78*($Q78*$S78)/(1+Voorblad!$K$44)^(BU$56-Voorblad!$F$41)</f>
        <v>0</v>
      </c>
      <c r="BV78" s="9">
        <f>FW78*($Q78*$S78)/(1+Voorblad!$K$44)^(BV$56-Voorblad!$F$41)</f>
        <v>0</v>
      </c>
      <c r="BW78" s="9">
        <f>FX78*($Q78*$S78)/(1+Voorblad!$K$44)^(BW$56-Voorblad!$F$41)</f>
        <v>0</v>
      </c>
      <c r="BX78" s="9">
        <f>FY78*($Q78*$S78)/(1+Voorblad!$K$44)^(BX$56-Voorblad!$F$41)</f>
        <v>0</v>
      </c>
      <c r="BY78" s="9">
        <f>FZ78*($Q78*$S78)/(1+Voorblad!$K$44)^(BY$56-Voorblad!$F$41)</f>
        <v>0</v>
      </c>
      <c r="BZ78" s="9">
        <f>GA78*($Q78*$S78)/(1+Voorblad!$K$44)^(BZ$56-Voorblad!$F$41)</f>
        <v>0</v>
      </c>
      <c r="CA78" s="9">
        <f>GB78*($Q78*$S78)/(1+Voorblad!$K$44)^(CA$56-Voorblad!$F$41)</f>
        <v>0</v>
      </c>
      <c r="CB78" s="9">
        <f>GC78*($Q78*$S78)/(1+Voorblad!$K$44)^(CB$56-Voorblad!$F$41)</f>
        <v>0</v>
      </c>
      <c r="CC78" s="9">
        <f>GD78*($Q78*$S78)/(1+Voorblad!$K$44)^(CC$56-Voorblad!$F$41)</f>
        <v>0</v>
      </c>
      <c r="CD78" s="9">
        <f>GE78*($Q78*$S78)/(1+Voorblad!$K$44)^(CD$56-Voorblad!$F$41)</f>
        <v>0</v>
      </c>
      <c r="CE78" s="9">
        <f>GF78*($Q78*$S78)/(1+Voorblad!$K$44)^(CE$56-Voorblad!$F$41)</f>
        <v>0</v>
      </c>
      <c r="CF78" s="9">
        <f>GG78*($Q78*$S78)/(1+Voorblad!$K$44)^(CF$56-Voorblad!$F$41)</f>
        <v>0</v>
      </c>
      <c r="CG78" s="9">
        <f>GH78*($Q78*$S78)/(1+Voorblad!$K$44)^(CG$56-Voorblad!$F$41)</f>
        <v>0</v>
      </c>
      <c r="CH78" s="9">
        <f>GI78*($Q78*$S78)/(1+Voorblad!$K$44)^(CH$56-Voorblad!$F$41)</f>
        <v>0</v>
      </c>
      <c r="CI78" s="9">
        <f>GJ78*($Q78*$S78)/(1+Voorblad!$K$44)^(CI$56-Voorblad!$F$41)</f>
        <v>0</v>
      </c>
      <c r="CJ78" s="9">
        <f>GK78*($Q78*$S78)/(1+Voorblad!$K$44)^(CJ$56-Voorblad!$F$41)</f>
        <v>0</v>
      </c>
      <c r="CK78" s="9">
        <f>GL78*($Q78*$S78)/(1+Voorblad!$K$44)^(CK$56-Voorblad!$F$41)</f>
        <v>0</v>
      </c>
      <c r="CL78" s="9">
        <f>GM78*($Q78*$S78)/(1+Voorblad!$K$44)^(CL$56-Voorblad!$F$41)</f>
        <v>0</v>
      </c>
      <c r="CM78" s="9">
        <f>GN78*($Q78*$S78)/(1+Voorblad!$K$44)^(CM$56-Voorblad!$F$41)</f>
        <v>0</v>
      </c>
      <c r="CN78" s="9">
        <f>GO78*($Q78*$S78)/(1+Voorblad!$K$44)^(CN$56-Voorblad!$F$41)</f>
        <v>0</v>
      </c>
      <c r="CO78" s="9">
        <f>GP78*($Q78*$S78)/(1+Voorblad!$K$44)^(CO$56-Voorblad!$F$41)</f>
        <v>0</v>
      </c>
      <c r="CP78" s="9">
        <f>GQ78*($Q78*$S78)/(1+Voorblad!$K$44)^(CP$56-Voorblad!$F$41)</f>
        <v>0</v>
      </c>
      <c r="CQ78" s="9">
        <f>GR78*($Q78*$S78)/(1+Voorblad!$K$44)^(CQ$56-Voorblad!$F$41)</f>
        <v>0</v>
      </c>
      <c r="CR78" s="9">
        <f>GS78*($Q78*$S78)/(1+Voorblad!$K$44)^(CR$56-Voorblad!$F$41)</f>
        <v>0</v>
      </c>
      <c r="CS78" s="9">
        <f>GT78*($Q78*$S78)/(1+Voorblad!$K$44)^(CS$56-Voorblad!$F$41)</f>
        <v>0</v>
      </c>
      <c r="CT78" s="9">
        <f>GU78*($Q78*$S78)/(1+Voorblad!$K$44)^(CT$56-Voorblad!$F$41)</f>
        <v>0</v>
      </c>
      <c r="CU78" s="9">
        <f>GV78*($Q78*$S78)/(1+Voorblad!$K$44)^(CU$56-Voorblad!$F$41)</f>
        <v>0</v>
      </c>
      <c r="CV78" s="9">
        <f>GW78*($Q78*$S78)/(1+Voorblad!$K$44)^(CV$56-Voorblad!$F$41)</f>
        <v>0</v>
      </c>
      <c r="CW78" s="9">
        <f>GX78*($Q78*$S78)/(1+Voorblad!$K$44)^(CW$56-Voorblad!$F$41)</f>
        <v>0</v>
      </c>
      <c r="CX78" s="9">
        <f>GY78*($Q78*$S78)/(1+Voorblad!$K$44)^(CX$56-Voorblad!$F$41)</f>
        <v>0</v>
      </c>
      <c r="CY78" s="9">
        <f>GZ78*($Q78*$S78)/(1+Voorblad!$K$44)^(CY$56-Voorblad!$F$41)</f>
        <v>0</v>
      </c>
      <c r="CZ78" s="9">
        <f>HA78*($Q78*$S78)/(1+Voorblad!$K$44)^(CZ$56-Voorblad!$F$41)</f>
        <v>0</v>
      </c>
      <c r="DA78" s="9">
        <f>HB78*($Q78*$S78)/(1+Voorblad!$K$44)^(DA$56-Voorblad!$F$41)</f>
        <v>0</v>
      </c>
      <c r="DB78" s="9">
        <f>HC78*($Q78*$S78)/(1+Voorblad!$K$44)^(DB$56-Voorblad!$F$41)</f>
        <v>0</v>
      </c>
      <c r="DC78" s="9">
        <f>HD78*($Q78*$S78)/(1+Voorblad!$K$44)^(DC$56-Voorblad!$F$41)</f>
        <v>0</v>
      </c>
      <c r="DD78" s="9">
        <f>HE78*($Q78*$S78)/(1+Voorblad!$K$44)^(DD$56-Voorblad!$F$41)</f>
        <v>0</v>
      </c>
      <c r="DE78" s="9">
        <f>HF78*($Q78*$S78)/(1+Voorblad!$K$44)^(DE$56-Voorblad!$F$41)</f>
        <v>0</v>
      </c>
      <c r="DF78" s="9">
        <f>HG78*($Q78*$S78)/(1+Voorblad!$K$44)^(DF$56-Voorblad!$F$41)</f>
        <v>0</v>
      </c>
      <c r="DG78" s="9">
        <f>HH78*($Q78*$S78)/(1+Voorblad!$K$44)^(DG$56-Voorblad!$F$41)</f>
        <v>0</v>
      </c>
      <c r="DH78" s="9">
        <f>HI78*($Q78*$S78)/(1+Voorblad!$K$44)^(DH$56-Voorblad!$F$41)</f>
        <v>0</v>
      </c>
      <c r="DI78" s="9">
        <f>HJ78*($Q78*$S78)/(1+Voorblad!$K$44)^(DI$56-Voorblad!$F$41)</f>
        <v>0</v>
      </c>
      <c r="DJ78" s="9">
        <f>HK78*($Q78*$S78)/(1+Voorblad!$K$44)^(DJ$56-Voorblad!$F$41)</f>
        <v>0</v>
      </c>
      <c r="DK78" s="9">
        <f>HL78*($Q78*$S78)/(1+Voorblad!$K$44)^(DK$56-Voorblad!$F$41)</f>
        <v>0</v>
      </c>
      <c r="DL78" s="9">
        <f>HM78*($Q78*$S78)/(1+Voorblad!$K$44)^(DL$56-Voorblad!$F$41)</f>
        <v>0</v>
      </c>
      <c r="DM78" s="9">
        <f>HN78*($Q78*$S78)/(1+Voorblad!$K$44)^(DM$56-Voorblad!$F$41)</f>
        <v>0</v>
      </c>
      <c r="DN78" s="9">
        <f>HO78*($Q78*$S78)/(1+Voorblad!$K$44)^(DN$56-Voorblad!$F$41)</f>
        <v>0</v>
      </c>
      <c r="DO78" s="9">
        <f>HP78*($Q78*$S78)/(1+Voorblad!$K$44)^(DO$56-Voorblad!$F$41)</f>
        <v>0</v>
      </c>
      <c r="DP78" s="9">
        <f>HQ78*($Q78*$S78)/(1+Voorblad!$K$44)^(DP$56-Voorblad!$F$41)</f>
        <v>0</v>
      </c>
      <c r="DQ78" s="9">
        <f>HR78*($Q78*$S78)/(1+Voorblad!$K$44)^(DQ$56-Voorblad!$F$41)</f>
        <v>0</v>
      </c>
      <c r="DR78" s="9">
        <f>HS78*($Q78*$S78)/(1+Voorblad!$K$44)^(DR$56-Voorblad!$F$41)</f>
        <v>0</v>
      </c>
      <c r="DS78" s="9">
        <f>HT78*($Q78*$S78)/(1+Voorblad!$K$44)^(DS$56-Voorblad!$F$41)</f>
        <v>0</v>
      </c>
      <c r="DT78" s="9">
        <f>HU78*($Q78*$S78)/(1+Voorblad!$K$44)^(DT$56-Voorblad!$F$41)</f>
        <v>0</v>
      </c>
      <c r="DU78" s="9">
        <f>HV78*($Q78*$S78)/(1+Voorblad!$K$44)^(DU$56-Voorblad!$F$41)</f>
        <v>0</v>
      </c>
      <c r="DV78" s="9">
        <f>HW78*($Q78*$S78)/(1+Voorblad!$K$44)^(DV$56-Voorblad!$F$41)</f>
        <v>0</v>
      </c>
      <c r="DW78" s="9">
        <f>HX78*($Q78*$S78)/(1+Voorblad!$K$44)^(DW$56-Voorblad!$F$41)</f>
        <v>0</v>
      </c>
      <c r="DX78" s="9">
        <f>HY78*($Q78*$S78)/(1+Voorblad!$K$44)^(DX$56-Voorblad!$F$41)</f>
        <v>0</v>
      </c>
      <c r="DY78" s="9">
        <f>HZ78*($Q78*$S78)/(1+Voorblad!$K$44)^(DY$56-Voorblad!$F$41)</f>
        <v>0</v>
      </c>
      <c r="DZ78" s="9">
        <f>IA78*($Q78*$S78)/(1+Voorblad!$K$44)^(DZ$56-Voorblad!$F$41)</f>
        <v>0</v>
      </c>
      <c r="EA78" s="9">
        <f>IB78*($Q78*$S78)/(1+Voorblad!$K$44)^(EA$56-Voorblad!$F$41)</f>
        <v>0</v>
      </c>
      <c r="EB78" s="9">
        <f>IC78*($Q78*$S78)/(1+Voorblad!$K$44)^(EB$56-Voorblad!$F$41)</f>
        <v>0</v>
      </c>
      <c r="EE78" s="8">
        <v>0</v>
      </c>
      <c r="EF78" s="8">
        <f>IF(EF$56-Voorblad!$F$41&gt;Voorblad!$K$41,0,IF($U78=0,0,IF($U78&lt;1,1/$U78,IF((EF$56-Voorblad!$F$41)/$U78-SUM($EE78:EE78)=1,1,0))))</f>
        <v>0</v>
      </c>
      <c r="EG78" s="8">
        <f>IF(EG$56-Voorblad!$F$41&gt;Voorblad!$K$41,0,IF($U78=0,0,IF($U78&lt;1,1/$U78,IF((EG$56-Voorblad!$F$41)/$U78-SUM($EE78:EF78)=1,1,0))))</f>
        <v>0</v>
      </c>
      <c r="EH78" s="8">
        <f>IF(EH$56-Voorblad!$F$41&gt;Voorblad!$K$41,0,IF($U78=0,0,IF($U78&lt;1,1/$U78,IF((EH$56-Voorblad!$F$41)/$U78-SUM($EE78:EG78)=1,1,0))))</f>
        <v>0</v>
      </c>
      <c r="EI78" s="8">
        <f>IF(EI$56-Voorblad!$F$41&gt;Voorblad!$K$41,0,IF($U78=0,0,IF($U78&lt;1,1/$U78,IF((EI$56-Voorblad!$F$41)/$U78-SUM($EE78:EH78)=1,1,0))))</f>
        <v>0</v>
      </c>
      <c r="EJ78" s="8">
        <f>IF(EJ$56-Voorblad!$F$41&gt;Voorblad!$K$41,0,IF($U78=0,0,IF($U78&lt;1,1/$U78,IF((EJ$56-Voorblad!$F$41)/$U78-SUM($EE78:EI78)=1,1,0))))</f>
        <v>0</v>
      </c>
      <c r="EK78" s="8">
        <f>IF(EK$56-Voorblad!$F$41&gt;Voorblad!$K$41,0,IF($U78=0,0,IF($U78&lt;1,1/$U78,IF((EK$56-Voorblad!$F$41)/$U78-SUM($EE78:EJ78)=1,1,0))))</f>
        <v>0</v>
      </c>
      <c r="EL78" s="8">
        <f>IF(EL$56-Voorblad!$F$41&gt;Voorblad!$K$41,0,IF($U78=0,0,IF($U78&lt;1,1/$U78,IF((EL$56-Voorblad!$F$41)/$U78-SUM($EE78:EK78)=1,1,0))))</f>
        <v>0</v>
      </c>
      <c r="EM78" s="8">
        <f>IF(EM$56-Voorblad!$F$41&gt;Voorblad!$K$41,0,IF($U78=0,0,IF($U78&lt;1,1/$U78,IF((EM$56-Voorblad!$F$41)/$U78-SUM($EE78:EL78)=1,1,0))))</f>
        <v>0</v>
      </c>
      <c r="EN78" s="8">
        <f>IF(EN$56-Voorblad!$F$41&gt;Voorblad!$K$41,0,IF($U78=0,0,IF($U78&lt;1,1/$U78,IF((EN$56-Voorblad!$F$41)/$U78-SUM($EE78:EM78)=1,1,0))))</f>
        <v>0</v>
      </c>
      <c r="EO78" s="8">
        <f>IF(EO$56-Voorblad!$F$41&gt;Voorblad!$K$41,0,IF($U78=0,0,IF($U78&lt;1,1/$U78,IF((EO$56-Voorblad!$F$41)/$U78-SUM($EE78:EN78)=1,1,0))))</f>
        <v>0</v>
      </c>
      <c r="EP78" s="8">
        <f>IF(EP$56-Voorblad!$F$41&gt;Voorblad!$K$41,0,IF($U78=0,0,IF($U78&lt;1,1/$U78,IF((EP$56-Voorblad!$F$41)/$U78-SUM($EE78:EO78)=1,1,0))))</f>
        <v>0</v>
      </c>
      <c r="EQ78" s="8">
        <f>IF(EQ$56-Voorblad!$F$41&gt;Voorblad!$K$41,0,IF($U78=0,0,IF($U78&lt;1,1/$U78,IF((EQ$56-Voorblad!$F$41)/$U78-SUM($EE78:EP78)=1,1,0))))</f>
        <v>0</v>
      </c>
      <c r="ER78" s="8">
        <f>IF(ER$56-Voorblad!$F$41&gt;Voorblad!$K$41,0,IF($U78=0,0,IF($U78&lt;1,1/$U78,IF((ER$56-Voorblad!$F$41)/$U78-SUM($EE78:EQ78)=1,1,0))))</f>
        <v>0</v>
      </c>
      <c r="ES78" s="8">
        <f>IF(ES$56-Voorblad!$F$41&gt;Voorblad!$K$41,0,IF($U78=0,0,IF($U78&lt;1,1/$U78,IF((ES$56-Voorblad!$F$41)/$U78-SUM($EE78:ER78)=1,1,0))))</f>
        <v>0</v>
      </c>
      <c r="ET78" s="8">
        <f>IF(ET$56-Voorblad!$F$41&gt;Voorblad!$K$41,0,IF($U78=0,0,IF($U78&lt;1,1/$U78,IF((ET$56-Voorblad!$F$41)/$U78-SUM($EE78:ES78)=1,1,0))))</f>
        <v>0</v>
      </c>
      <c r="EU78" s="8">
        <f>IF(EU$56-Voorblad!$F$41&gt;Voorblad!$K$41,0,IF($U78=0,0,IF($U78&lt;1,1/$U78,IF((EU$56-Voorblad!$F$41)/$U78-SUM($EE78:ET78)=1,1,0))))</f>
        <v>0</v>
      </c>
      <c r="EV78" s="8">
        <f>IF(EV$56-Voorblad!$F$41&gt;Voorblad!$K$41,0,IF($U78=0,0,IF($U78&lt;1,1/$U78,IF((EV$56-Voorblad!$F$41)/$U78-SUM($EE78:EU78)=1,1,0))))</f>
        <v>0</v>
      </c>
      <c r="EW78" s="8">
        <f>IF(EW$56-Voorblad!$F$41&gt;Voorblad!$K$41,0,IF($U78=0,0,IF($U78&lt;1,1/$U78,IF((EW$56-Voorblad!$F$41)/$U78-SUM($EE78:EV78)=1,1,0))))</f>
        <v>0</v>
      </c>
      <c r="EX78" s="8">
        <f>IF(EX$56-Voorblad!$F$41&gt;Voorblad!$K$41,0,IF($U78=0,0,IF($U78&lt;1,1/$U78,IF((EX$56-Voorblad!$F$41)/$U78-SUM($EE78:EW78)=1,1,0))))</f>
        <v>0</v>
      </c>
      <c r="EY78" s="8">
        <f>IF(EY$56-Voorblad!$F$41&gt;Voorblad!$K$41,0,IF($U78=0,0,IF($U78&lt;1,1/$U78,IF((EY$56-Voorblad!$F$41)/$U78-SUM($EE78:EX78)=1,1,0))))</f>
        <v>0</v>
      </c>
      <c r="EZ78" s="8">
        <f>IF(EZ$56-Voorblad!$F$41&gt;Voorblad!$K$41,0,IF($U78=0,0,IF($U78&lt;1,1/$U78,IF((EZ$56-Voorblad!$F$41)/$U78-SUM($EE78:EY78)=1,1,0))))</f>
        <v>0</v>
      </c>
      <c r="FA78" s="8">
        <f>IF(FA$56-Voorblad!$F$41&gt;Voorblad!$K$41,0,IF($U78=0,0,IF($U78&lt;1,1/$U78,IF((FA$56-Voorblad!$F$41)/$U78-SUM($EE78:EZ78)=1,1,0))))</f>
        <v>0</v>
      </c>
      <c r="FB78" s="8">
        <f>IF(FB$56-Voorblad!$F$41&gt;Voorblad!$K$41,0,IF($U78=0,0,IF($U78&lt;1,1/$U78,IF((FB$56-Voorblad!$F$41)/$U78-SUM($EE78:FA78)=1,1,0))))</f>
        <v>0</v>
      </c>
      <c r="FC78" s="8">
        <f>IF(FC$56-Voorblad!$F$41&gt;Voorblad!$K$41,0,IF($U78=0,0,IF($U78&lt;1,1/$U78,IF((FC$56-Voorblad!$F$41)/$U78-SUM($EE78:FB78)=1,1,0))))</f>
        <v>0</v>
      </c>
      <c r="FD78" s="8">
        <f>IF(FD$56-Voorblad!$F$41&gt;Voorblad!$K$41,0,IF($U78=0,0,IF($U78&lt;1,1/$U78,IF((FD$56-Voorblad!$F$41)/$U78-SUM($EE78:FC78)=1,1,0))))</f>
        <v>0</v>
      </c>
      <c r="FE78" s="8">
        <f>IF(FE$56-Voorblad!$F$41&gt;Voorblad!$K$41,0,IF($U78=0,0,IF($U78&lt;1,1/$U78,IF((FE$56-Voorblad!$F$41)/$U78-SUM($EE78:FD78)=1,1,0))))</f>
        <v>0</v>
      </c>
      <c r="FF78" s="8">
        <f>IF(FF$56-Voorblad!$F$41&gt;Voorblad!$K$41,0,IF($U78=0,0,IF($U78&lt;1,1/$U78,IF((FF$56-Voorblad!$F$41)/$U78-SUM($EE78:FE78)=1,1,0))))</f>
        <v>0</v>
      </c>
      <c r="FG78" s="8">
        <f>IF(FG$56-Voorblad!$F$41&gt;Voorblad!$K$41,0,IF($U78=0,0,IF($U78&lt;1,1/$U78,IF((FG$56-Voorblad!$F$41)/$U78-SUM($EE78:FF78)=1,1,0))))</f>
        <v>1</v>
      </c>
      <c r="FH78" s="8">
        <f>IF(FH$56-Voorblad!$F$41&gt;Voorblad!$K$41,0,IF($U78=0,0,IF($U78&lt;1,1/$U78,IF((FH$56-Voorblad!$F$41)/$U78-SUM($EE78:FG78)=1,1,0))))</f>
        <v>0</v>
      </c>
      <c r="FI78" s="8">
        <f>IF(FI$56-Voorblad!$F$41&gt;Voorblad!$K$41,0,IF($U78=0,0,IF($U78&lt;1,1/$U78,IF((FI$56-Voorblad!$F$41)/$U78-SUM($EE78:FH78)=1,1,0))))</f>
        <v>0</v>
      </c>
      <c r="FJ78" s="8">
        <f>IF(FJ$56-Voorblad!$F$41&gt;Voorblad!$K$41,0,IF($U78=0,0,IF($U78&lt;1,1/$U78,IF((FJ$56-Voorblad!$F$41)/$U78-SUM($EE78:FI78)=1,1,0))))</f>
        <v>0</v>
      </c>
      <c r="FK78" s="8">
        <f>IF(FK$56-Voorblad!$F$41&gt;Voorblad!$K$41,0,IF($U78=0,0,IF($U78&lt;1,1/$U78,IF((FK$56-Voorblad!$F$41)/$U78-SUM($EE78:FJ78)=1,1,0))))</f>
        <v>0</v>
      </c>
      <c r="FL78" s="8">
        <f>IF(FL$56-Voorblad!$F$41&gt;Voorblad!$K$41,0,IF($U78=0,0,IF($U78&lt;1,1/$U78,IF((FL$56-Voorblad!$F$41)/$U78-SUM($EE78:FK78)=1,1,0))))</f>
        <v>0</v>
      </c>
      <c r="FM78" s="8">
        <f>IF(FM$56-Voorblad!$F$41&gt;Voorblad!$K$41,0,IF($U78=0,0,IF($U78&lt;1,1/$U78,IF((FM$56-Voorblad!$F$41)/$U78-SUM($EE78:FL78)=1,1,0))))</f>
        <v>0</v>
      </c>
      <c r="FN78" s="8">
        <f>IF(FN$56-Voorblad!$F$41&gt;Voorblad!$K$41,0,IF($U78=0,0,IF($U78&lt;1,1/$U78,IF((FN$56-Voorblad!$F$41)/$U78-SUM($EE78:FM78)=1,1,0))))</f>
        <v>0</v>
      </c>
      <c r="FO78" s="8">
        <f>IF(FO$56-Voorblad!$F$41&gt;Voorblad!$K$41,0,IF($U78=0,0,IF($U78&lt;1,1/$U78,IF((FO$56-Voorblad!$F$41)/$U78-SUM($EE78:FN78)=1,1,0))))</f>
        <v>0</v>
      </c>
      <c r="FP78" s="8">
        <f>IF(FP$56-Voorblad!$F$41&gt;Voorblad!$K$41,0,IF($U78=0,0,IF($U78&lt;1,1/$U78,IF((FP$56-Voorblad!$F$41)/$U78-SUM($EE78:FO78)=1,1,0))))</f>
        <v>0</v>
      </c>
      <c r="FQ78" s="8">
        <f>IF(FQ$56-Voorblad!$F$41&gt;Voorblad!$K$41,0,IF($U78=0,0,IF($U78&lt;1,1/$U78,IF((FQ$56-Voorblad!$F$41)/$U78-SUM($EE78:FP78)=1,1,0))))</f>
        <v>0</v>
      </c>
      <c r="FR78" s="8">
        <f>IF(FR$56-Voorblad!$F$41&gt;Voorblad!$K$41,0,IF($U78=0,0,IF($U78&lt;1,1/$U78,IF((FR$56-Voorblad!$F$41)/$U78-SUM($EE78:FQ78)=1,1,0))))</f>
        <v>0</v>
      </c>
      <c r="FS78" s="8">
        <f>IF(FS$56-Voorblad!$F$41&gt;Voorblad!$K$41,0,IF($U78=0,0,IF($U78&lt;1,1/$U78,IF((FS$56-Voorblad!$F$41)/$U78-SUM($EE78:FR78)=1,1,0))))</f>
        <v>0</v>
      </c>
      <c r="FT78" s="8">
        <f>IF(FT$56-Voorblad!$F$41&gt;Voorblad!$K$41,0,IF($U78=0,0,IF($U78&lt;1,1/$U78,IF((FT$56-Voorblad!$F$41)/$U78-SUM($EE78:FS78)=1,1,0))))</f>
        <v>0</v>
      </c>
      <c r="FU78" s="8">
        <f>IF(FU$56-Voorblad!$F$41&gt;Voorblad!$K$41,0,IF($U78=0,0,IF($U78&lt;1,1/$U78,IF((FU$56-Voorblad!$F$41)/$U78-SUM($EE78:FT78)=1,1,0))))</f>
        <v>0</v>
      </c>
      <c r="FV78" s="8">
        <f>IF(FV$56-Voorblad!$F$41&gt;Voorblad!$K$41,0,IF($U78=0,0,IF($U78&lt;1,1/$U78,IF((FV$56-Voorblad!$F$41)/$U78-SUM($EE78:FU78)=1,1,0))))</f>
        <v>0</v>
      </c>
      <c r="FW78" s="8">
        <f>IF(FW$56-Voorblad!$F$41&gt;Voorblad!$K$41,0,IF($U78=0,0,IF($U78&lt;1,1/$U78,IF((FW$56-Voorblad!$F$41)/$U78-SUM($EE78:FV78)=1,1,0))))</f>
        <v>0</v>
      </c>
      <c r="FX78" s="8">
        <f>IF(FX$56-Voorblad!$F$41&gt;Voorblad!$K$41,0,IF($U78=0,0,IF($U78&lt;1,1/$U78,IF((FX$56-Voorblad!$F$41)/$U78-SUM($EE78:FW78)=1,1,0))))</f>
        <v>0</v>
      </c>
      <c r="FY78" s="8">
        <f>IF(FY$56-Voorblad!$F$41&gt;Voorblad!$K$41,0,IF($U78=0,0,IF($U78&lt;1,1/$U78,IF((FY$56-Voorblad!$F$41)/$U78-SUM($EE78:FX78)=1,1,0))))</f>
        <v>0</v>
      </c>
      <c r="FZ78" s="8">
        <f>IF(FZ$56-Voorblad!$F$41&gt;Voorblad!$K$41,0,IF($U78=0,0,IF($U78&lt;1,1/$U78,IF((FZ$56-Voorblad!$F$41)/$U78-SUM($EE78:FY78)=1,1,0))))</f>
        <v>0</v>
      </c>
      <c r="GA78" s="8">
        <f>IF(GA$56-Voorblad!$F$41&gt;Voorblad!$K$41,0,IF($U78=0,0,IF($U78&lt;1,1/$U78,IF((GA$56-Voorblad!$F$41)/$U78-SUM($EE78:FZ78)=1,1,0))))</f>
        <v>0</v>
      </c>
      <c r="GB78" s="8">
        <f>IF(GB$56-Voorblad!$F$41&gt;Voorblad!$K$41,0,IF($U78=0,0,IF($U78&lt;1,1/$U78,IF((GB$56-Voorblad!$F$41)/$U78-SUM($EE78:GA78)=1,1,0))))</f>
        <v>0</v>
      </c>
      <c r="GC78" s="8">
        <f>IF(GC$56-Voorblad!$F$41&gt;Voorblad!$K$41,0,IF($U78=0,0,IF($U78&lt;1,1/$U78,IF((GC$56-Voorblad!$F$41)/$U78-SUM($EE78:GB78)=1,1,0))))</f>
        <v>0</v>
      </c>
      <c r="GD78" s="8">
        <f>IF(GD$56-Voorblad!$F$41&gt;Voorblad!$K$41,0,IF($U78=0,0,IF($U78&lt;1,1/$U78,IF((GD$56-Voorblad!$F$41)/$U78-SUM($EE78:GC78)=1,1,0))))</f>
        <v>0</v>
      </c>
      <c r="GE78" s="8">
        <f>IF(GE$56-Voorblad!$F$41&gt;Voorblad!$K$41,0,IF($U78=0,0,IF($U78&lt;1,1/$U78,IF((GE$56-Voorblad!$F$41)/$U78-SUM($EE78:GD78)=1,1,0))))</f>
        <v>0</v>
      </c>
      <c r="GF78" s="8">
        <f>IF(GF$56-Voorblad!$F$41&gt;Voorblad!$K$41,0,IF($U78=0,0,IF($U78&lt;1,1/$U78,IF((GF$56-Voorblad!$F$41)/$U78-SUM($EE78:GE78)=1,1,0))))</f>
        <v>0</v>
      </c>
      <c r="GG78" s="8">
        <f>IF(GG$56-Voorblad!$F$41&gt;Voorblad!$K$41,0,IF($U78=0,0,IF($U78&lt;1,1/$U78,IF((GG$56-Voorblad!$F$41)/$U78-SUM($EE78:GF78)=1,1,0))))</f>
        <v>0</v>
      </c>
      <c r="GH78" s="8">
        <f>IF(GH$56-Voorblad!$F$41&gt;Voorblad!$K$41,0,IF($U78=0,0,IF($U78&lt;1,1/$U78,IF((GH$56-Voorblad!$F$41)/$U78-SUM($EE78:GG78)=1,1,0))))</f>
        <v>1</v>
      </c>
      <c r="GI78" s="8">
        <f>IF(GI$56-Voorblad!$F$41&gt;Voorblad!$K$41,0,IF($U78=0,0,IF($U78&lt;1,1/$U78,IF((GI$56-Voorblad!$F$41)/$U78-SUM($EE78:GH78)=1,1,0))))</f>
        <v>0</v>
      </c>
      <c r="GJ78" s="8">
        <f>IF(GJ$56-Voorblad!$F$41&gt;Voorblad!$K$41,0,IF($U78=0,0,IF($U78&lt;1,1/$U78,IF((GJ$56-Voorblad!$F$41)/$U78-SUM($EE78:GI78)=1,1,0))))</f>
        <v>0</v>
      </c>
      <c r="GK78" s="8">
        <f>IF(GK$56-Voorblad!$F$41&gt;Voorblad!$K$41,0,IF($U78=0,0,IF($U78&lt;1,1/$U78,IF((GK$56-Voorblad!$F$41)/$U78-SUM($EE78:GJ78)=1,1,0))))</f>
        <v>0</v>
      </c>
      <c r="GL78" s="8">
        <f>IF(GL$56-Voorblad!$F$41&gt;Voorblad!$K$41,0,IF($U78=0,0,IF($U78&lt;1,1/$U78,IF((GL$56-Voorblad!$F$41)/$U78-SUM($EE78:GK78)=1,1,0))))</f>
        <v>0</v>
      </c>
      <c r="GM78" s="8">
        <f>IF(GM$56-Voorblad!$F$41&gt;Voorblad!$K$41,0,IF($U78=0,0,IF($U78&lt;1,1/$U78,IF((GM$56-Voorblad!$F$41)/$U78-SUM($EE78:GL78)=1,1,0))))</f>
        <v>0</v>
      </c>
      <c r="GN78" s="8">
        <f>IF(GN$56-Voorblad!$F$41&gt;Voorblad!$K$41,0,IF($U78=0,0,IF($U78&lt;1,1/$U78,IF((GN$56-Voorblad!$F$41)/$U78-SUM($EE78:GM78)=1,1,0))))</f>
        <v>0</v>
      </c>
      <c r="GO78" s="8">
        <f>IF(GO$56-Voorblad!$F$41&gt;Voorblad!$K$41,0,IF($U78=0,0,IF($U78&lt;1,1/$U78,IF((GO$56-Voorblad!$F$41)/$U78-SUM($EE78:GN78)=1,1,0))))</f>
        <v>0</v>
      </c>
      <c r="GP78" s="8">
        <f>IF(GP$56-Voorblad!$F$41&gt;Voorblad!$K$41,0,IF($U78=0,0,IF($U78&lt;1,1/$U78,IF((GP$56-Voorblad!$F$41)/$U78-SUM($EE78:GO78)=1,1,0))))</f>
        <v>0</v>
      </c>
      <c r="GQ78" s="8">
        <f>IF(GQ$56-Voorblad!$F$41&gt;Voorblad!$K$41,0,IF($U78=0,0,IF($U78&lt;1,1/$U78,IF((GQ$56-Voorblad!$F$41)/$U78-SUM($EE78:GP78)=1,1,0))))</f>
        <v>0</v>
      </c>
      <c r="GR78" s="8">
        <f>IF(GR$56-Voorblad!$F$41&gt;Voorblad!$K$41,0,IF($U78=0,0,IF($U78&lt;1,1/$U78,IF((GR$56-Voorblad!$F$41)/$U78-SUM($EE78:GQ78)=1,1,0))))</f>
        <v>0</v>
      </c>
      <c r="GS78" s="8">
        <f>IF(GS$56-Voorblad!$F$41&gt;Voorblad!$K$41,0,IF($U78=0,0,IF($U78&lt;1,1/$U78,IF((GS$56-Voorblad!$F$41)/$U78-SUM($EE78:GR78)=1,1,0))))</f>
        <v>0</v>
      </c>
      <c r="GT78" s="8">
        <f>IF(GT$56-Voorblad!$F$41&gt;Voorblad!$K$41,0,IF($U78=0,0,IF($U78&lt;1,1/$U78,IF((GT$56-Voorblad!$F$41)/$U78-SUM($EE78:GS78)=1,1,0))))</f>
        <v>0</v>
      </c>
      <c r="GU78" s="8">
        <f>IF(GU$56-Voorblad!$F$41&gt;Voorblad!$K$41,0,IF($U78=0,0,IF($U78&lt;1,1/$U78,IF((GU$56-Voorblad!$F$41)/$U78-SUM($EE78:GT78)=1,1,0))))</f>
        <v>0</v>
      </c>
      <c r="GV78" s="8">
        <f>IF(GV$56-Voorblad!$F$41&gt;Voorblad!$K$41,0,IF($U78=0,0,IF($U78&lt;1,1/$U78,IF((GV$56-Voorblad!$F$41)/$U78-SUM($EE78:GU78)=1,1,0))))</f>
        <v>0</v>
      </c>
      <c r="GW78" s="8">
        <f>IF(GW$56-Voorblad!$F$41&gt;Voorblad!$K$41,0,IF($U78=0,0,IF($U78&lt;1,1/$U78,IF((GW$56-Voorblad!$F$41)/$U78-SUM($EE78:GV78)=1,1,0))))</f>
        <v>0</v>
      </c>
      <c r="GX78" s="8">
        <f>IF(GX$56-Voorblad!$F$41&gt;Voorblad!$K$41,0,IF($U78=0,0,IF($U78&lt;1,1/$U78,IF((GX$56-Voorblad!$F$41)/$U78-SUM($EE78:GW78)=1,1,0))))</f>
        <v>0</v>
      </c>
      <c r="GY78" s="8">
        <f>IF(GY$56-Voorblad!$F$41&gt;Voorblad!$K$41,0,IF($U78=0,0,IF($U78&lt;1,1/$U78,IF((GY$56-Voorblad!$F$41)/$U78-SUM($EE78:GX78)=1,1,0))))</f>
        <v>0</v>
      </c>
      <c r="GZ78" s="8">
        <f>IF(GZ$56-Voorblad!$F$41&gt;Voorblad!$K$41,0,IF($U78=0,0,IF($U78&lt;1,1/$U78,IF((GZ$56-Voorblad!$F$41)/$U78-SUM($EE78:GY78)=1,1,0))))</f>
        <v>0</v>
      </c>
      <c r="HA78" s="8">
        <f>IF(HA$56-Voorblad!$F$41&gt;Voorblad!$K$41,0,IF($U78=0,0,IF($U78&lt;1,1/$U78,IF((HA$56-Voorblad!$F$41)/$U78-SUM($EE78:GZ78)=1,1,0))))</f>
        <v>0</v>
      </c>
      <c r="HB78" s="8">
        <f>IF(HB$56-Voorblad!$F$41&gt;Voorblad!$K$41,0,IF($U78=0,0,IF($U78&lt;1,1/$U78,IF((HB$56-Voorblad!$F$41)/$U78-SUM($EE78:HA78)=1,1,0))))</f>
        <v>0</v>
      </c>
      <c r="HC78" s="8">
        <f>IF(HC$56-Voorblad!$F$41&gt;Voorblad!$K$41,0,IF($U78=0,0,IF($U78&lt;1,1/$U78,IF((HC$56-Voorblad!$F$41)/$U78-SUM($EE78:HB78)=1,1,0))))</f>
        <v>0</v>
      </c>
      <c r="HD78" s="8">
        <f>IF(HD$56-Voorblad!$F$41&gt;Voorblad!$K$41,0,IF($U78=0,0,IF($U78&lt;1,1/$U78,IF((HD$56-Voorblad!$F$41)/$U78-SUM($EE78:HC78)=1,1,0))))</f>
        <v>0</v>
      </c>
      <c r="HE78" s="8">
        <f>IF(HE$56-Voorblad!$F$41&gt;Voorblad!$K$41,0,IF($U78=0,0,IF($U78&lt;1,1/$U78,IF((HE$56-Voorblad!$F$41)/$U78-SUM($EE78:HD78)=1,1,0))))</f>
        <v>0</v>
      </c>
      <c r="HF78" s="8">
        <f>IF(HF$56-Voorblad!$F$41&gt;Voorblad!$K$41,0,IF($U78=0,0,IF($U78&lt;1,1/$U78,IF((HF$56-Voorblad!$F$41)/$U78-SUM($EE78:HE78)=1,1,0))))</f>
        <v>0</v>
      </c>
      <c r="HG78" s="8">
        <f>IF(HG$56-Voorblad!$F$41&gt;Voorblad!$K$41,0,IF($U78=0,0,IF($U78&lt;1,1/$U78,IF((HG$56-Voorblad!$F$41)/$U78-SUM($EE78:HF78)=1,1,0))))</f>
        <v>0</v>
      </c>
      <c r="HH78" s="8">
        <f>IF(HH$56-Voorblad!$F$41&gt;Voorblad!$K$41,0,IF($U78=0,0,IF($U78&lt;1,1/$U78,IF((HH$56-Voorblad!$F$41)/$U78-SUM($EE78:HG78)=1,1,0))))</f>
        <v>0</v>
      </c>
      <c r="HI78" s="8">
        <f>IF(HI$56-Voorblad!$F$41&gt;Voorblad!$K$41,0,IF($U78=0,0,IF($U78&lt;1,1/$U78,IF((HI$56-Voorblad!$F$41)/$U78-SUM($EE78:HH78)=1,1,0))))</f>
        <v>0</v>
      </c>
      <c r="HJ78" s="8">
        <f>IF(HJ$56-Voorblad!$F$41&gt;Voorblad!$K$41,0,IF($U78=0,0,IF($U78&lt;1,1/$U78,IF((HJ$56-Voorblad!$F$41)/$U78-SUM($EE78:HI78)=1,1,0))))</f>
        <v>0</v>
      </c>
      <c r="HK78" s="8">
        <f>IF(HK$56-Voorblad!$F$41&gt;Voorblad!$K$41,0,IF($U78=0,0,IF($U78&lt;1,1/$U78,IF((HK$56-Voorblad!$F$41)/$U78-SUM($EE78:HJ78)=1,1,0))))</f>
        <v>0</v>
      </c>
      <c r="HL78" s="8">
        <f>IF(HL$56-Voorblad!$F$41&gt;Voorblad!$K$41,0,IF($U78=0,0,IF($U78&lt;1,1/$U78,IF((HL$56-Voorblad!$F$41)/$U78-SUM($EE78:HK78)=1,1,0))))</f>
        <v>0</v>
      </c>
      <c r="HM78" s="8">
        <f>IF(HM$56-Voorblad!$F$41&gt;Voorblad!$K$41,0,IF($U78=0,0,IF($U78&lt;1,1/$U78,IF((HM$56-Voorblad!$F$41)/$U78-SUM($EE78:HL78)=1,1,0))))</f>
        <v>0</v>
      </c>
      <c r="HN78" s="8">
        <f>IF(HN$56-Voorblad!$F$41&gt;Voorblad!$K$41,0,IF($U78=0,0,IF($U78&lt;1,1/$U78,IF((HN$56-Voorblad!$F$41)/$U78-SUM($EE78:HM78)=1,1,0))))</f>
        <v>0</v>
      </c>
      <c r="HO78" s="8">
        <f>IF(HO$56-Voorblad!$F$41&gt;Voorblad!$K$41,0,IF($U78=0,0,IF($U78&lt;1,1/$U78,IF((HO$56-Voorblad!$F$41)/$U78-SUM($EE78:HN78)=1,1,0))))</f>
        <v>0</v>
      </c>
      <c r="HP78" s="8">
        <f>IF(HP$56-Voorblad!$F$41&gt;Voorblad!$K$41,0,IF($U78=0,0,IF($U78&lt;1,1/$U78,IF((HP$56-Voorblad!$F$41)/$U78-SUM($EE78:HO78)=1,1,0))))</f>
        <v>0</v>
      </c>
      <c r="HQ78" s="8">
        <f>IF(HQ$56-Voorblad!$F$41&gt;Voorblad!$K$41,0,IF($U78=0,0,IF($U78&lt;1,1/$U78,IF((HQ$56-Voorblad!$F$41)/$U78-SUM($EE78:HP78)=1,1,0))))</f>
        <v>0</v>
      </c>
      <c r="HR78" s="8">
        <f>IF(HR$56-Voorblad!$F$41&gt;Voorblad!$K$41,0,IF($U78=0,0,IF($U78&lt;1,1/$U78,IF((HR$56-Voorblad!$F$41)/$U78-SUM($EE78:HQ78)=1,1,0))))</f>
        <v>0</v>
      </c>
      <c r="HS78" s="8">
        <f>IF(HS$56-Voorblad!$F$41&gt;Voorblad!$K$41,0,IF($U78=0,0,IF($U78&lt;1,1/$U78,IF((HS$56-Voorblad!$F$41)/$U78-SUM($EE78:HR78)=1,1,0))))</f>
        <v>0</v>
      </c>
      <c r="HT78" s="8">
        <f>IF(HT$56-Voorblad!$F$41&gt;Voorblad!$K$41,0,IF($U78=0,0,IF($U78&lt;1,1/$U78,IF((HT$56-Voorblad!$F$41)/$U78-SUM($EE78:HS78)=1,1,0))))</f>
        <v>0</v>
      </c>
      <c r="HU78" s="8">
        <f>IF(HU$56-Voorblad!$F$41&gt;Voorblad!$K$41,0,IF($U78=0,0,IF($U78&lt;1,1/$U78,IF((HU$56-Voorblad!$F$41)/$U78-SUM($EE78:HT78)=1,1,0))))</f>
        <v>0</v>
      </c>
      <c r="HV78" s="8">
        <f>IF(HV$56-Voorblad!$F$41&gt;Voorblad!$K$41,0,IF($U78=0,0,IF($U78&lt;1,1/$U78,IF((HV$56-Voorblad!$F$41)/$U78-SUM($EE78:HU78)=1,1,0))))</f>
        <v>0</v>
      </c>
      <c r="HW78" s="8">
        <f>IF(HW$56-Voorblad!$F$41&gt;Voorblad!$K$41,0,IF($U78=0,0,IF($U78&lt;1,1/$U78,IF((HW$56-Voorblad!$F$41)/$U78-SUM($EE78:HV78)=1,1,0))))</f>
        <v>0</v>
      </c>
      <c r="HX78" s="8">
        <f>IF(HX$56-Voorblad!$F$41&gt;Voorblad!$K$41,0,IF($U78=0,0,IF($U78&lt;1,1/$U78,IF((HX$56-Voorblad!$F$41)/$U78-SUM($EE78:HW78)=1,1,0))))</f>
        <v>0</v>
      </c>
      <c r="HY78" s="8">
        <f>IF(HY$56-Voorblad!$F$41&gt;Voorblad!$K$41,0,IF($U78=0,0,IF($U78&lt;1,1/$U78,IF((HY$56-Voorblad!$F$41)/$U78-SUM($EE78:HX78)=1,1,0))))</f>
        <v>0</v>
      </c>
      <c r="HZ78" s="8">
        <f>IF(HZ$56-Voorblad!$F$41&gt;Voorblad!$K$41,0,IF($U78=0,0,IF($U78&lt;1,1/$U78,IF((HZ$56-Voorblad!$F$41)/$U78-SUM($EE78:HY78)=1,1,0))))</f>
        <v>0</v>
      </c>
      <c r="IA78" s="8">
        <f>IF(IA$56-Voorblad!$F$41&gt;Voorblad!$K$41,0,IF($U78=0,0,IF($U78&lt;1,1/$U78,IF((IA$56-Voorblad!$F$41)/$U78-SUM($EE78:HZ78)=1,1,0))))</f>
        <v>0</v>
      </c>
      <c r="IB78" s="8">
        <f>IF(IB$56-Voorblad!$F$41&gt;Voorblad!$K$41,0,IF($U78=0,0,IF($U78&lt;1,1/$U78,IF((IB$56-Voorblad!$F$41)/$U78-SUM($EE78:IA78)=1,1,0))))</f>
        <v>0</v>
      </c>
    </row>
    <row r="79" spans="2:236" hidden="1" outlineLevel="2" x14ac:dyDescent="0.25">
      <c r="B79" s="1">
        <v>1</v>
      </c>
      <c r="F79" s="1" t="s">
        <v>23</v>
      </c>
      <c r="I79" s="1" t="s">
        <v>193</v>
      </c>
      <c r="K79" s="1" t="s">
        <v>81</v>
      </c>
      <c r="N79" s="3"/>
      <c r="Q79" s="81">
        <v>0</v>
      </c>
      <c r="R79" s="1" t="s">
        <v>34</v>
      </c>
      <c r="S79" s="14">
        <f>H10*11000</f>
        <v>26180</v>
      </c>
      <c r="T79" s="1">
        <f t="shared" si="16"/>
        <v>0</v>
      </c>
      <c r="U79" s="14">
        <v>27</v>
      </c>
      <c r="V79" s="14"/>
      <c r="Y79" s="9">
        <f>SUM(AE79:EB79)</f>
        <v>0</v>
      </c>
      <c r="Z79" s="82"/>
      <c r="AA79" s="82"/>
      <c r="AC79" s="9">
        <f>$Y79*(Voorblad!$K$44*(1+Voorblad!$K$44)^Voorblad!$K$41)/((1+Voorblad!$K$44)^Voorblad!$K$41-1)</f>
        <v>0</v>
      </c>
      <c r="AE79" s="9">
        <f>EF79*($Q79*$S79)/(1+Voorblad!$K$44)^(AE$56-Voorblad!$F$41)</f>
        <v>0</v>
      </c>
      <c r="AF79" s="9">
        <f>EG79*($Q79*$S79)/(1+Voorblad!$K$44)^(AF$56-Voorblad!$F$41)</f>
        <v>0</v>
      </c>
      <c r="AG79" s="9">
        <f>EH79*($Q79*$S79)/(1+Voorblad!$K$44)^(AG$56-Voorblad!$F$41)</f>
        <v>0</v>
      </c>
      <c r="AH79" s="9">
        <f>EI79*($Q79*$S79)/(1+Voorblad!$K$44)^(AH$56-Voorblad!$F$41)</f>
        <v>0</v>
      </c>
      <c r="AI79" s="9">
        <f>EJ79*($Q79*$S79)/(1+Voorblad!$K$44)^(AI$56-Voorblad!$F$41)</f>
        <v>0</v>
      </c>
      <c r="AJ79" s="9">
        <f>EK79*($Q79*$S79)/(1+Voorblad!$K$44)^(AJ$56-Voorblad!$F$41)</f>
        <v>0</v>
      </c>
      <c r="AK79" s="9">
        <f>EL79*($Q79*$S79)/(1+Voorblad!$K$44)^(AK$56-Voorblad!$F$41)</f>
        <v>0</v>
      </c>
      <c r="AL79" s="9">
        <f>EM79*($Q79*$S79)/(1+Voorblad!$K$44)^(AL$56-Voorblad!$F$41)</f>
        <v>0</v>
      </c>
      <c r="AM79" s="9">
        <f>EN79*($Q79*$S79)/(1+Voorblad!$K$44)^(AM$56-Voorblad!$F$41)</f>
        <v>0</v>
      </c>
      <c r="AN79" s="9">
        <f>EO79*($Q79*$S79)/(1+Voorblad!$K$44)^(AN$56-Voorblad!$F$41)</f>
        <v>0</v>
      </c>
      <c r="AO79" s="9">
        <f>EP79*($Q79*$S79)/(1+Voorblad!$K$44)^(AO$56-Voorblad!$F$41)</f>
        <v>0</v>
      </c>
      <c r="AP79" s="9">
        <f>EQ79*($Q79*$S79)/(1+Voorblad!$K$44)^(AP$56-Voorblad!$F$41)</f>
        <v>0</v>
      </c>
      <c r="AQ79" s="9">
        <f>ER79*($Q79*$S79)/(1+Voorblad!$K$44)^(AQ$56-Voorblad!$F$41)</f>
        <v>0</v>
      </c>
      <c r="AR79" s="9">
        <f>ES79*($Q79*$S79)/(1+Voorblad!$K$44)^(AR$56-Voorblad!$F$41)</f>
        <v>0</v>
      </c>
      <c r="AS79" s="9">
        <f>ET79*($Q79*$S79)/(1+Voorblad!$K$44)^(AS$56-Voorblad!$F$41)</f>
        <v>0</v>
      </c>
      <c r="AT79" s="9">
        <f>EU79*($Q79*$S79)/(1+Voorblad!$K$44)^(AT$56-Voorblad!$F$41)</f>
        <v>0</v>
      </c>
      <c r="AU79" s="9">
        <f>EV79*($Q79*$S79)/(1+Voorblad!$K$44)^(AU$56-Voorblad!$F$41)</f>
        <v>0</v>
      </c>
      <c r="AV79" s="9">
        <f>EW79*($Q79*$S79)/(1+Voorblad!$K$44)^(AV$56-Voorblad!$F$41)</f>
        <v>0</v>
      </c>
      <c r="AW79" s="9">
        <f>EX79*($Q79*$S79)/(1+Voorblad!$K$44)^(AW$56-Voorblad!$F$41)</f>
        <v>0</v>
      </c>
      <c r="AX79" s="9">
        <f>EY79*($Q79*$S79)/(1+Voorblad!$K$44)^(AX$56-Voorblad!$F$41)</f>
        <v>0</v>
      </c>
      <c r="AY79" s="9">
        <f>EZ79*($Q79*$S79)/(1+Voorblad!$K$44)^(AY$56-Voorblad!$F$41)</f>
        <v>0</v>
      </c>
      <c r="AZ79" s="9">
        <f>FA79*($Q79*$S79)/(1+Voorblad!$K$44)^(AZ$56-Voorblad!$F$41)</f>
        <v>0</v>
      </c>
      <c r="BA79" s="9">
        <f>FB79*($Q79*$S79)/(1+Voorblad!$K$44)^(BA$56-Voorblad!$F$41)</f>
        <v>0</v>
      </c>
      <c r="BB79" s="9">
        <f>FC79*($Q79*$S79)/(1+Voorblad!$K$44)^(BB$56-Voorblad!$F$41)</f>
        <v>0</v>
      </c>
      <c r="BC79" s="9">
        <f>FD79*($Q79*$S79)/(1+Voorblad!$K$44)^(BC$56-Voorblad!$F$41)</f>
        <v>0</v>
      </c>
      <c r="BD79" s="9">
        <f>FE79*($Q79*$S79)/(1+Voorblad!$K$44)^(BD$56-Voorblad!$F$41)</f>
        <v>0</v>
      </c>
      <c r="BE79" s="9">
        <f>FF79*($Q79*$S79)/(1+Voorblad!$K$44)^(BE$56-Voorblad!$F$41)</f>
        <v>0</v>
      </c>
      <c r="BF79" s="9">
        <f>FG79*($Q79*$S79)/(1+Voorblad!$K$44)^(BF$56-Voorblad!$F$41)</f>
        <v>0</v>
      </c>
      <c r="BG79" s="9">
        <f>FH79*($Q79*$S79)/(1+Voorblad!$K$44)^(BG$56-Voorblad!$F$41)</f>
        <v>0</v>
      </c>
      <c r="BH79" s="9">
        <f>FI79*($Q79*$S79)/(1+Voorblad!$K$44)^(BH$56-Voorblad!$F$41)</f>
        <v>0</v>
      </c>
      <c r="BI79" s="9">
        <f>FJ79*($Q79*$S79)/(1+Voorblad!$K$44)^(BI$56-Voorblad!$F$41)</f>
        <v>0</v>
      </c>
      <c r="BJ79" s="9">
        <f>FK79*($Q79*$S79)/(1+Voorblad!$K$44)^(BJ$56-Voorblad!$F$41)</f>
        <v>0</v>
      </c>
      <c r="BK79" s="9">
        <f>FL79*($Q79*$S79)/(1+Voorblad!$K$44)^(BK$56-Voorblad!$F$41)</f>
        <v>0</v>
      </c>
      <c r="BL79" s="9">
        <f>FM79*($Q79*$S79)/(1+Voorblad!$K$44)^(BL$56-Voorblad!$F$41)</f>
        <v>0</v>
      </c>
      <c r="BM79" s="9">
        <f>FN79*($Q79*$S79)/(1+Voorblad!$K$44)^(BM$56-Voorblad!$F$41)</f>
        <v>0</v>
      </c>
      <c r="BN79" s="9">
        <f>FO79*($Q79*$S79)/(1+Voorblad!$K$44)^(BN$56-Voorblad!$F$41)</f>
        <v>0</v>
      </c>
      <c r="BO79" s="9">
        <f>FP79*($Q79*$S79)/(1+Voorblad!$K$44)^(BO$56-Voorblad!$F$41)</f>
        <v>0</v>
      </c>
      <c r="BP79" s="9">
        <f>FQ79*($Q79*$S79)/(1+Voorblad!$K$44)^(BP$56-Voorblad!$F$41)</f>
        <v>0</v>
      </c>
      <c r="BQ79" s="9">
        <f>FR79*($Q79*$S79)/(1+Voorblad!$K$44)^(BQ$56-Voorblad!$F$41)</f>
        <v>0</v>
      </c>
      <c r="BR79" s="9">
        <f>FS79*($Q79*$S79)/(1+Voorblad!$K$44)^(BR$56-Voorblad!$F$41)</f>
        <v>0</v>
      </c>
      <c r="BS79" s="9">
        <f>FT79*($Q79*$S79)/(1+Voorblad!$K$44)^(BS$56-Voorblad!$F$41)</f>
        <v>0</v>
      </c>
      <c r="BT79" s="9">
        <f>FU79*($Q79*$S79)/(1+Voorblad!$K$44)^(BT$56-Voorblad!$F$41)</f>
        <v>0</v>
      </c>
      <c r="BU79" s="9">
        <f>FV79*($Q79*$S79)/(1+Voorblad!$K$44)^(BU$56-Voorblad!$F$41)</f>
        <v>0</v>
      </c>
      <c r="BV79" s="9">
        <f>FW79*($Q79*$S79)/(1+Voorblad!$K$44)^(BV$56-Voorblad!$F$41)</f>
        <v>0</v>
      </c>
      <c r="BW79" s="9">
        <f>FX79*($Q79*$S79)/(1+Voorblad!$K$44)^(BW$56-Voorblad!$F$41)</f>
        <v>0</v>
      </c>
      <c r="BX79" s="9">
        <f>FY79*($Q79*$S79)/(1+Voorblad!$K$44)^(BX$56-Voorblad!$F$41)</f>
        <v>0</v>
      </c>
      <c r="BY79" s="9">
        <f>FZ79*($Q79*$S79)/(1+Voorblad!$K$44)^(BY$56-Voorblad!$F$41)</f>
        <v>0</v>
      </c>
      <c r="BZ79" s="9">
        <f>GA79*($Q79*$S79)/(1+Voorblad!$K$44)^(BZ$56-Voorblad!$F$41)</f>
        <v>0</v>
      </c>
      <c r="CA79" s="9">
        <f>GB79*($Q79*$S79)/(1+Voorblad!$K$44)^(CA$56-Voorblad!$F$41)</f>
        <v>0</v>
      </c>
      <c r="CB79" s="9">
        <f>GC79*($Q79*$S79)/(1+Voorblad!$K$44)^(CB$56-Voorblad!$F$41)</f>
        <v>0</v>
      </c>
      <c r="CC79" s="9">
        <f>GD79*($Q79*$S79)/(1+Voorblad!$K$44)^(CC$56-Voorblad!$F$41)</f>
        <v>0</v>
      </c>
      <c r="CD79" s="9">
        <f>GE79*($Q79*$S79)/(1+Voorblad!$K$44)^(CD$56-Voorblad!$F$41)</f>
        <v>0</v>
      </c>
      <c r="CE79" s="9">
        <f>GF79*($Q79*$S79)/(1+Voorblad!$K$44)^(CE$56-Voorblad!$F$41)</f>
        <v>0</v>
      </c>
      <c r="CF79" s="9">
        <f>GG79*($Q79*$S79)/(1+Voorblad!$K$44)^(CF$56-Voorblad!$F$41)</f>
        <v>0</v>
      </c>
      <c r="CG79" s="9">
        <f>GH79*($Q79*$S79)/(1+Voorblad!$K$44)^(CG$56-Voorblad!$F$41)</f>
        <v>0</v>
      </c>
      <c r="CH79" s="9">
        <f>GI79*($Q79*$S79)/(1+Voorblad!$K$44)^(CH$56-Voorblad!$F$41)</f>
        <v>0</v>
      </c>
      <c r="CI79" s="9">
        <f>GJ79*($Q79*$S79)/(1+Voorblad!$K$44)^(CI$56-Voorblad!$F$41)</f>
        <v>0</v>
      </c>
      <c r="CJ79" s="9">
        <f>GK79*($Q79*$S79)/(1+Voorblad!$K$44)^(CJ$56-Voorblad!$F$41)</f>
        <v>0</v>
      </c>
      <c r="CK79" s="9">
        <f>GL79*($Q79*$S79)/(1+Voorblad!$K$44)^(CK$56-Voorblad!$F$41)</f>
        <v>0</v>
      </c>
      <c r="CL79" s="9">
        <f>GM79*($Q79*$S79)/(1+Voorblad!$K$44)^(CL$56-Voorblad!$F$41)</f>
        <v>0</v>
      </c>
      <c r="CM79" s="9">
        <f>GN79*($Q79*$S79)/(1+Voorblad!$K$44)^(CM$56-Voorblad!$F$41)</f>
        <v>0</v>
      </c>
      <c r="CN79" s="9">
        <f>GO79*($Q79*$S79)/(1+Voorblad!$K$44)^(CN$56-Voorblad!$F$41)</f>
        <v>0</v>
      </c>
      <c r="CO79" s="9">
        <f>GP79*($Q79*$S79)/(1+Voorblad!$K$44)^(CO$56-Voorblad!$F$41)</f>
        <v>0</v>
      </c>
      <c r="CP79" s="9">
        <f>GQ79*($Q79*$S79)/(1+Voorblad!$K$44)^(CP$56-Voorblad!$F$41)</f>
        <v>0</v>
      </c>
      <c r="CQ79" s="9">
        <f>GR79*($Q79*$S79)/(1+Voorblad!$K$44)^(CQ$56-Voorblad!$F$41)</f>
        <v>0</v>
      </c>
      <c r="CR79" s="9">
        <f>GS79*($Q79*$S79)/(1+Voorblad!$K$44)^(CR$56-Voorblad!$F$41)</f>
        <v>0</v>
      </c>
      <c r="CS79" s="9">
        <f>GT79*($Q79*$S79)/(1+Voorblad!$K$44)^(CS$56-Voorblad!$F$41)</f>
        <v>0</v>
      </c>
      <c r="CT79" s="9">
        <f>GU79*($Q79*$S79)/(1+Voorblad!$K$44)^(CT$56-Voorblad!$F$41)</f>
        <v>0</v>
      </c>
      <c r="CU79" s="9">
        <f>GV79*($Q79*$S79)/(1+Voorblad!$K$44)^(CU$56-Voorblad!$F$41)</f>
        <v>0</v>
      </c>
      <c r="CV79" s="9">
        <f>GW79*($Q79*$S79)/(1+Voorblad!$K$44)^(CV$56-Voorblad!$F$41)</f>
        <v>0</v>
      </c>
      <c r="CW79" s="9">
        <f>GX79*($Q79*$S79)/(1+Voorblad!$K$44)^(CW$56-Voorblad!$F$41)</f>
        <v>0</v>
      </c>
      <c r="CX79" s="9">
        <f>GY79*($Q79*$S79)/(1+Voorblad!$K$44)^(CX$56-Voorblad!$F$41)</f>
        <v>0</v>
      </c>
      <c r="CY79" s="9">
        <f>GZ79*($Q79*$S79)/(1+Voorblad!$K$44)^(CY$56-Voorblad!$F$41)</f>
        <v>0</v>
      </c>
      <c r="CZ79" s="9">
        <f>HA79*($Q79*$S79)/(1+Voorblad!$K$44)^(CZ$56-Voorblad!$F$41)</f>
        <v>0</v>
      </c>
      <c r="DA79" s="9">
        <f>HB79*($Q79*$S79)/(1+Voorblad!$K$44)^(DA$56-Voorblad!$F$41)</f>
        <v>0</v>
      </c>
      <c r="DB79" s="9">
        <f>HC79*($Q79*$S79)/(1+Voorblad!$K$44)^(DB$56-Voorblad!$F$41)</f>
        <v>0</v>
      </c>
      <c r="DC79" s="9">
        <f>HD79*($Q79*$S79)/(1+Voorblad!$K$44)^(DC$56-Voorblad!$F$41)</f>
        <v>0</v>
      </c>
      <c r="DD79" s="9">
        <f>HE79*($Q79*$S79)/(1+Voorblad!$K$44)^(DD$56-Voorblad!$F$41)</f>
        <v>0</v>
      </c>
      <c r="DE79" s="9">
        <f>HF79*($Q79*$S79)/(1+Voorblad!$K$44)^(DE$56-Voorblad!$F$41)</f>
        <v>0</v>
      </c>
      <c r="DF79" s="9">
        <f>HG79*($Q79*$S79)/(1+Voorblad!$K$44)^(DF$56-Voorblad!$F$41)</f>
        <v>0</v>
      </c>
      <c r="DG79" s="9">
        <f>HH79*($Q79*$S79)/(1+Voorblad!$K$44)^(DG$56-Voorblad!$F$41)</f>
        <v>0</v>
      </c>
      <c r="DH79" s="9">
        <f>HI79*($Q79*$S79)/(1+Voorblad!$K$44)^(DH$56-Voorblad!$F$41)</f>
        <v>0</v>
      </c>
      <c r="DI79" s="9">
        <f>HJ79*($Q79*$S79)/(1+Voorblad!$K$44)^(DI$56-Voorblad!$F$41)</f>
        <v>0</v>
      </c>
      <c r="DJ79" s="9">
        <f>HK79*($Q79*$S79)/(1+Voorblad!$K$44)^(DJ$56-Voorblad!$F$41)</f>
        <v>0</v>
      </c>
      <c r="DK79" s="9">
        <f>HL79*($Q79*$S79)/(1+Voorblad!$K$44)^(DK$56-Voorblad!$F$41)</f>
        <v>0</v>
      </c>
      <c r="DL79" s="9">
        <f>HM79*($Q79*$S79)/(1+Voorblad!$K$44)^(DL$56-Voorblad!$F$41)</f>
        <v>0</v>
      </c>
      <c r="DM79" s="9">
        <f>HN79*($Q79*$S79)/(1+Voorblad!$K$44)^(DM$56-Voorblad!$F$41)</f>
        <v>0</v>
      </c>
      <c r="DN79" s="9">
        <f>HO79*($Q79*$S79)/(1+Voorblad!$K$44)^(DN$56-Voorblad!$F$41)</f>
        <v>0</v>
      </c>
      <c r="DO79" s="9">
        <f>HP79*($Q79*$S79)/(1+Voorblad!$K$44)^(DO$56-Voorblad!$F$41)</f>
        <v>0</v>
      </c>
      <c r="DP79" s="9">
        <f>HQ79*($Q79*$S79)/(1+Voorblad!$K$44)^(DP$56-Voorblad!$F$41)</f>
        <v>0</v>
      </c>
      <c r="DQ79" s="9">
        <f>HR79*($Q79*$S79)/(1+Voorblad!$K$44)^(DQ$56-Voorblad!$F$41)</f>
        <v>0</v>
      </c>
      <c r="DR79" s="9">
        <f>HS79*($Q79*$S79)/(1+Voorblad!$K$44)^(DR$56-Voorblad!$F$41)</f>
        <v>0</v>
      </c>
      <c r="DS79" s="9">
        <f>HT79*($Q79*$S79)/(1+Voorblad!$K$44)^(DS$56-Voorblad!$F$41)</f>
        <v>0</v>
      </c>
      <c r="DT79" s="9">
        <f>HU79*($Q79*$S79)/(1+Voorblad!$K$44)^(DT$56-Voorblad!$F$41)</f>
        <v>0</v>
      </c>
      <c r="DU79" s="9">
        <f>HV79*($Q79*$S79)/(1+Voorblad!$K$44)^(DU$56-Voorblad!$F$41)</f>
        <v>0</v>
      </c>
      <c r="DV79" s="9">
        <f>HW79*($Q79*$S79)/(1+Voorblad!$K$44)^(DV$56-Voorblad!$F$41)</f>
        <v>0</v>
      </c>
      <c r="DW79" s="9">
        <f>HX79*($Q79*$S79)/(1+Voorblad!$K$44)^(DW$56-Voorblad!$F$41)</f>
        <v>0</v>
      </c>
      <c r="DX79" s="9">
        <f>HY79*($Q79*$S79)/(1+Voorblad!$K$44)^(DX$56-Voorblad!$F$41)</f>
        <v>0</v>
      </c>
      <c r="DY79" s="9">
        <f>HZ79*($Q79*$S79)/(1+Voorblad!$K$44)^(DY$56-Voorblad!$F$41)</f>
        <v>0</v>
      </c>
      <c r="DZ79" s="9">
        <f>IA79*($Q79*$S79)/(1+Voorblad!$K$44)^(DZ$56-Voorblad!$F$41)</f>
        <v>0</v>
      </c>
      <c r="EA79" s="9">
        <f>IB79*($Q79*$S79)/(1+Voorblad!$K$44)^(EA$56-Voorblad!$F$41)</f>
        <v>0</v>
      </c>
      <c r="EB79" s="9">
        <f>IC79*($Q79*$S79)/(1+Voorblad!$K$44)^(EB$56-Voorblad!$F$41)</f>
        <v>0</v>
      </c>
      <c r="EE79" s="8">
        <v>0</v>
      </c>
      <c r="EF79" s="8">
        <f>IF(EF$56-Voorblad!$F$41&gt;Voorblad!$K$41,0,IF($U79=0,0,IF($U79&lt;1,1/$U79,IF((EF$56-Voorblad!$F$41)/$U79-SUM($EE79:EE79)=1,1,0))))</f>
        <v>0</v>
      </c>
      <c r="EG79" s="8">
        <f>IF(EG$56-Voorblad!$F$41&gt;Voorblad!$K$41,0,IF($U79=0,0,IF($U79&lt;1,1/$U79,IF((EG$56-Voorblad!$F$41)/$U79-SUM($EE79:EF79)=1,1,0))))</f>
        <v>0</v>
      </c>
      <c r="EH79" s="8">
        <f>IF(EH$56-Voorblad!$F$41&gt;Voorblad!$K$41,0,IF($U79=0,0,IF($U79&lt;1,1/$U79,IF((EH$56-Voorblad!$F$41)/$U79-SUM($EE79:EG79)=1,1,0))))</f>
        <v>0</v>
      </c>
      <c r="EI79" s="8">
        <f>IF(EI$56-Voorblad!$F$41&gt;Voorblad!$K$41,0,IF($U79=0,0,IF($U79&lt;1,1/$U79,IF((EI$56-Voorblad!$F$41)/$U79-SUM($EE79:EH79)=1,1,0))))</f>
        <v>0</v>
      </c>
      <c r="EJ79" s="8">
        <f>IF(EJ$56-Voorblad!$F$41&gt;Voorblad!$K$41,0,IF($U79=0,0,IF($U79&lt;1,1/$U79,IF((EJ$56-Voorblad!$F$41)/$U79-SUM($EE79:EI79)=1,1,0))))</f>
        <v>0</v>
      </c>
      <c r="EK79" s="8">
        <f>IF(EK$56-Voorblad!$F$41&gt;Voorblad!$K$41,0,IF($U79=0,0,IF($U79&lt;1,1/$U79,IF((EK$56-Voorblad!$F$41)/$U79-SUM($EE79:EJ79)=1,1,0))))</f>
        <v>0</v>
      </c>
      <c r="EL79" s="8">
        <f>IF(EL$56-Voorblad!$F$41&gt;Voorblad!$K$41,0,IF($U79=0,0,IF($U79&lt;1,1/$U79,IF((EL$56-Voorblad!$F$41)/$U79-SUM($EE79:EK79)=1,1,0))))</f>
        <v>0</v>
      </c>
      <c r="EM79" s="8">
        <f>IF(EM$56-Voorblad!$F$41&gt;Voorblad!$K$41,0,IF($U79=0,0,IF($U79&lt;1,1/$U79,IF((EM$56-Voorblad!$F$41)/$U79-SUM($EE79:EL79)=1,1,0))))</f>
        <v>0</v>
      </c>
      <c r="EN79" s="8">
        <f>IF(EN$56-Voorblad!$F$41&gt;Voorblad!$K$41,0,IF($U79=0,0,IF($U79&lt;1,1/$U79,IF((EN$56-Voorblad!$F$41)/$U79-SUM($EE79:EM79)=1,1,0))))</f>
        <v>0</v>
      </c>
      <c r="EO79" s="8">
        <f>IF(EO$56-Voorblad!$F$41&gt;Voorblad!$K$41,0,IF($U79=0,0,IF($U79&lt;1,1/$U79,IF((EO$56-Voorblad!$F$41)/$U79-SUM($EE79:EN79)=1,1,0))))</f>
        <v>0</v>
      </c>
      <c r="EP79" s="8">
        <f>IF(EP$56-Voorblad!$F$41&gt;Voorblad!$K$41,0,IF($U79=0,0,IF($U79&lt;1,1/$U79,IF((EP$56-Voorblad!$F$41)/$U79-SUM($EE79:EO79)=1,1,0))))</f>
        <v>0</v>
      </c>
      <c r="EQ79" s="8">
        <f>IF(EQ$56-Voorblad!$F$41&gt;Voorblad!$K$41,0,IF($U79=0,0,IF($U79&lt;1,1/$U79,IF((EQ$56-Voorblad!$F$41)/$U79-SUM($EE79:EP79)=1,1,0))))</f>
        <v>0</v>
      </c>
      <c r="ER79" s="8">
        <f>IF(ER$56-Voorblad!$F$41&gt;Voorblad!$K$41,0,IF($U79=0,0,IF($U79&lt;1,1/$U79,IF((ER$56-Voorblad!$F$41)/$U79-SUM($EE79:EQ79)=1,1,0))))</f>
        <v>0</v>
      </c>
      <c r="ES79" s="8">
        <f>IF(ES$56-Voorblad!$F$41&gt;Voorblad!$K$41,0,IF($U79=0,0,IF($U79&lt;1,1/$U79,IF((ES$56-Voorblad!$F$41)/$U79-SUM($EE79:ER79)=1,1,0))))</f>
        <v>0</v>
      </c>
      <c r="ET79" s="8">
        <f>IF(ET$56-Voorblad!$F$41&gt;Voorblad!$K$41,0,IF($U79=0,0,IF($U79&lt;1,1/$U79,IF((ET$56-Voorblad!$F$41)/$U79-SUM($EE79:ES79)=1,1,0))))</f>
        <v>0</v>
      </c>
      <c r="EU79" s="8">
        <f>IF(EU$56-Voorblad!$F$41&gt;Voorblad!$K$41,0,IF($U79=0,0,IF($U79&lt;1,1/$U79,IF((EU$56-Voorblad!$F$41)/$U79-SUM($EE79:ET79)=1,1,0))))</f>
        <v>0</v>
      </c>
      <c r="EV79" s="8">
        <f>IF(EV$56-Voorblad!$F$41&gt;Voorblad!$K$41,0,IF($U79=0,0,IF($U79&lt;1,1/$U79,IF((EV$56-Voorblad!$F$41)/$U79-SUM($EE79:EU79)=1,1,0))))</f>
        <v>0</v>
      </c>
      <c r="EW79" s="8">
        <f>IF(EW$56-Voorblad!$F$41&gt;Voorblad!$K$41,0,IF($U79=0,0,IF($U79&lt;1,1/$U79,IF((EW$56-Voorblad!$F$41)/$U79-SUM($EE79:EV79)=1,1,0))))</f>
        <v>0</v>
      </c>
      <c r="EX79" s="8">
        <f>IF(EX$56-Voorblad!$F$41&gt;Voorblad!$K$41,0,IF($U79=0,0,IF($U79&lt;1,1/$U79,IF((EX$56-Voorblad!$F$41)/$U79-SUM($EE79:EW79)=1,1,0))))</f>
        <v>0</v>
      </c>
      <c r="EY79" s="8">
        <f>IF(EY$56-Voorblad!$F$41&gt;Voorblad!$K$41,0,IF($U79=0,0,IF($U79&lt;1,1/$U79,IF((EY$56-Voorblad!$F$41)/$U79-SUM($EE79:EX79)=1,1,0))))</f>
        <v>0</v>
      </c>
      <c r="EZ79" s="8">
        <f>IF(EZ$56-Voorblad!$F$41&gt;Voorblad!$K$41,0,IF($U79=0,0,IF($U79&lt;1,1/$U79,IF((EZ$56-Voorblad!$F$41)/$U79-SUM($EE79:EY79)=1,1,0))))</f>
        <v>0</v>
      </c>
      <c r="FA79" s="8">
        <f>IF(FA$56-Voorblad!$F$41&gt;Voorblad!$K$41,0,IF($U79=0,0,IF($U79&lt;1,1/$U79,IF((FA$56-Voorblad!$F$41)/$U79-SUM($EE79:EZ79)=1,1,0))))</f>
        <v>0</v>
      </c>
      <c r="FB79" s="8">
        <f>IF(FB$56-Voorblad!$F$41&gt;Voorblad!$K$41,0,IF($U79=0,0,IF($U79&lt;1,1/$U79,IF((FB$56-Voorblad!$F$41)/$U79-SUM($EE79:FA79)=1,1,0))))</f>
        <v>0</v>
      </c>
      <c r="FC79" s="8">
        <f>IF(FC$56-Voorblad!$F$41&gt;Voorblad!$K$41,0,IF($U79=0,0,IF($U79&lt;1,1/$U79,IF((FC$56-Voorblad!$F$41)/$U79-SUM($EE79:FB79)=1,1,0))))</f>
        <v>0</v>
      </c>
      <c r="FD79" s="8">
        <f>IF(FD$56-Voorblad!$F$41&gt;Voorblad!$K$41,0,IF($U79=0,0,IF($U79&lt;1,1/$U79,IF((FD$56-Voorblad!$F$41)/$U79-SUM($EE79:FC79)=1,1,0))))</f>
        <v>0</v>
      </c>
      <c r="FE79" s="8">
        <f>IF(FE$56-Voorblad!$F$41&gt;Voorblad!$K$41,0,IF($U79=0,0,IF($U79&lt;1,1/$U79,IF((FE$56-Voorblad!$F$41)/$U79-SUM($EE79:FD79)=1,1,0))))</f>
        <v>0</v>
      </c>
      <c r="FF79" s="8">
        <f>IF(FF$56-Voorblad!$F$41&gt;Voorblad!$K$41,0,IF($U79=0,0,IF($U79&lt;1,1/$U79,IF((FF$56-Voorblad!$F$41)/$U79-SUM($EE79:FE79)=1,1,0))))</f>
        <v>0</v>
      </c>
      <c r="FG79" s="8">
        <f>IF(FG$56-Voorblad!$F$41&gt;Voorblad!$K$41,0,IF($U79=0,0,IF($U79&lt;1,1/$U79,IF((FG$56-Voorblad!$F$41)/$U79-SUM($EE79:FF79)=1,1,0))))</f>
        <v>1</v>
      </c>
      <c r="FH79" s="8">
        <f>IF(FH$56-Voorblad!$F$41&gt;Voorblad!$K$41,0,IF($U79=0,0,IF($U79&lt;1,1/$U79,IF((FH$56-Voorblad!$F$41)/$U79-SUM($EE79:FG79)=1,1,0))))</f>
        <v>0</v>
      </c>
      <c r="FI79" s="8">
        <f>IF(FI$56-Voorblad!$F$41&gt;Voorblad!$K$41,0,IF($U79=0,0,IF($U79&lt;1,1/$U79,IF((FI$56-Voorblad!$F$41)/$U79-SUM($EE79:FH79)=1,1,0))))</f>
        <v>0</v>
      </c>
      <c r="FJ79" s="8">
        <f>IF(FJ$56-Voorblad!$F$41&gt;Voorblad!$K$41,0,IF($U79=0,0,IF($U79&lt;1,1/$U79,IF((FJ$56-Voorblad!$F$41)/$U79-SUM($EE79:FI79)=1,1,0))))</f>
        <v>0</v>
      </c>
      <c r="FK79" s="8">
        <f>IF(FK$56-Voorblad!$F$41&gt;Voorblad!$K$41,0,IF($U79=0,0,IF($U79&lt;1,1/$U79,IF((FK$56-Voorblad!$F$41)/$U79-SUM($EE79:FJ79)=1,1,0))))</f>
        <v>0</v>
      </c>
      <c r="FL79" s="8">
        <f>IF(FL$56-Voorblad!$F$41&gt;Voorblad!$K$41,0,IF($U79=0,0,IF($U79&lt;1,1/$U79,IF((FL$56-Voorblad!$F$41)/$U79-SUM($EE79:FK79)=1,1,0))))</f>
        <v>0</v>
      </c>
      <c r="FM79" s="8">
        <f>IF(FM$56-Voorblad!$F$41&gt;Voorblad!$K$41,0,IF($U79=0,0,IF($U79&lt;1,1/$U79,IF((FM$56-Voorblad!$F$41)/$U79-SUM($EE79:FL79)=1,1,0))))</f>
        <v>0</v>
      </c>
      <c r="FN79" s="8">
        <f>IF(FN$56-Voorblad!$F$41&gt;Voorblad!$K$41,0,IF($U79=0,0,IF($U79&lt;1,1/$U79,IF((FN$56-Voorblad!$F$41)/$U79-SUM($EE79:FM79)=1,1,0))))</f>
        <v>0</v>
      </c>
      <c r="FO79" s="8">
        <f>IF(FO$56-Voorblad!$F$41&gt;Voorblad!$K$41,0,IF($U79=0,0,IF($U79&lt;1,1/$U79,IF((FO$56-Voorblad!$F$41)/$U79-SUM($EE79:FN79)=1,1,0))))</f>
        <v>0</v>
      </c>
      <c r="FP79" s="8">
        <f>IF(FP$56-Voorblad!$F$41&gt;Voorblad!$K$41,0,IF($U79=0,0,IF($U79&lt;1,1/$U79,IF((FP$56-Voorblad!$F$41)/$U79-SUM($EE79:FO79)=1,1,0))))</f>
        <v>0</v>
      </c>
      <c r="FQ79" s="8">
        <f>IF(FQ$56-Voorblad!$F$41&gt;Voorblad!$K$41,0,IF($U79=0,0,IF($U79&lt;1,1/$U79,IF((FQ$56-Voorblad!$F$41)/$U79-SUM($EE79:FP79)=1,1,0))))</f>
        <v>0</v>
      </c>
      <c r="FR79" s="8">
        <f>IF(FR$56-Voorblad!$F$41&gt;Voorblad!$K$41,0,IF($U79=0,0,IF($U79&lt;1,1/$U79,IF((FR$56-Voorblad!$F$41)/$U79-SUM($EE79:FQ79)=1,1,0))))</f>
        <v>0</v>
      </c>
      <c r="FS79" s="8">
        <f>IF(FS$56-Voorblad!$F$41&gt;Voorblad!$K$41,0,IF($U79=0,0,IF($U79&lt;1,1/$U79,IF((FS$56-Voorblad!$F$41)/$U79-SUM($EE79:FR79)=1,1,0))))</f>
        <v>0</v>
      </c>
      <c r="FT79" s="8">
        <f>IF(FT$56-Voorblad!$F$41&gt;Voorblad!$K$41,0,IF($U79=0,0,IF($U79&lt;1,1/$U79,IF((FT$56-Voorblad!$F$41)/$U79-SUM($EE79:FS79)=1,1,0))))</f>
        <v>0</v>
      </c>
      <c r="FU79" s="8">
        <f>IF(FU$56-Voorblad!$F$41&gt;Voorblad!$K$41,0,IF($U79=0,0,IF($U79&lt;1,1/$U79,IF((FU$56-Voorblad!$F$41)/$U79-SUM($EE79:FT79)=1,1,0))))</f>
        <v>0</v>
      </c>
      <c r="FV79" s="8">
        <f>IF(FV$56-Voorblad!$F$41&gt;Voorblad!$K$41,0,IF($U79=0,0,IF($U79&lt;1,1/$U79,IF((FV$56-Voorblad!$F$41)/$U79-SUM($EE79:FU79)=1,1,0))))</f>
        <v>0</v>
      </c>
      <c r="FW79" s="8">
        <f>IF(FW$56-Voorblad!$F$41&gt;Voorblad!$K$41,0,IF($U79=0,0,IF($U79&lt;1,1/$U79,IF((FW$56-Voorblad!$F$41)/$U79-SUM($EE79:FV79)=1,1,0))))</f>
        <v>0</v>
      </c>
      <c r="FX79" s="8">
        <f>IF(FX$56-Voorblad!$F$41&gt;Voorblad!$K$41,0,IF($U79=0,0,IF($U79&lt;1,1/$U79,IF((FX$56-Voorblad!$F$41)/$U79-SUM($EE79:FW79)=1,1,0))))</f>
        <v>0</v>
      </c>
      <c r="FY79" s="8">
        <f>IF(FY$56-Voorblad!$F$41&gt;Voorblad!$K$41,0,IF($U79=0,0,IF($U79&lt;1,1/$U79,IF((FY$56-Voorblad!$F$41)/$U79-SUM($EE79:FX79)=1,1,0))))</f>
        <v>0</v>
      </c>
      <c r="FZ79" s="8">
        <f>IF(FZ$56-Voorblad!$F$41&gt;Voorblad!$K$41,0,IF($U79=0,0,IF($U79&lt;1,1/$U79,IF((FZ$56-Voorblad!$F$41)/$U79-SUM($EE79:FY79)=1,1,0))))</f>
        <v>0</v>
      </c>
      <c r="GA79" s="8">
        <f>IF(GA$56-Voorblad!$F$41&gt;Voorblad!$K$41,0,IF($U79=0,0,IF($U79&lt;1,1/$U79,IF((GA$56-Voorblad!$F$41)/$U79-SUM($EE79:FZ79)=1,1,0))))</f>
        <v>0</v>
      </c>
      <c r="GB79" s="8">
        <f>IF(GB$56-Voorblad!$F$41&gt;Voorblad!$K$41,0,IF($U79=0,0,IF($U79&lt;1,1/$U79,IF((GB$56-Voorblad!$F$41)/$U79-SUM($EE79:GA79)=1,1,0))))</f>
        <v>0</v>
      </c>
      <c r="GC79" s="8">
        <f>IF(GC$56-Voorblad!$F$41&gt;Voorblad!$K$41,0,IF($U79=0,0,IF($U79&lt;1,1/$U79,IF((GC$56-Voorblad!$F$41)/$U79-SUM($EE79:GB79)=1,1,0))))</f>
        <v>0</v>
      </c>
      <c r="GD79" s="8">
        <f>IF(GD$56-Voorblad!$F$41&gt;Voorblad!$K$41,0,IF($U79=0,0,IF($U79&lt;1,1/$U79,IF((GD$56-Voorblad!$F$41)/$U79-SUM($EE79:GC79)=1,1,0))))</f>
        <v>0</v>
      </c>
      <c r="GE79" s="8">
        <f>IF(GE$56-Voorblad!$F$41&gt;Voorblad!$K$41,0,IF($U79=0,0,IF($U79&lt;1,1/$U79,IF((GE$56-Voorblad!$F$41)/$U79-SUM($EE79:GD79)=1,1,0))))</f>
        <v>0</v>
      </c>
      <c r="GF79" s="8">
        <f>IF(GF$56-Voorblad!$F$41&gt;Voorblad!$K$41,0,IF($U79=0,0,IF($U79&lt;1,1/$U79,IF((GF$56-Voorblad!$F$41)/$U79-SUM($EE79:GE79)=1,1,0))))</f>
        <v>0</v>
      </c>
      <c r="GG79" s="8">
        <f>IF(GG$56-Voorblad!$F$41&gt;Voorblad!$K$41,0,IF($U79=0,0,IF($U79&lt;1,1/$U79,IF((GG$56-Voorblad!$F$41)/$U79-SUM($EE79:GF79)=1,1,0))))</f>
        <v>0</v>
      </c>
      <c r="GH79" s="8">
        <f>IF(GH$56-Voorblad!$F$41&gt;Voorblad!$K$41,0,IF($U79=0,0,IF($U79&lt;1,1/$U79,IF((GH$56-Voorblad!$F$41)/$U79-SUM($EE79:GG79)=1,1,0))))</f>
        <v>1</v>
      </c>
      <c r="GI79" s="8">
        <f>IF(GI$56-Voorblad!$F$41&gt;Voorblad!$K$41,0,IF($U79=0,0,IF($U79&lt;1,1/$U79,IF((GI$56-Voorblad!$F$41)/$U79-SUM($EE79:GH79)=1,1,0))))</f>
        <v>0</v>
      </c>
      <c r="GJ79" s="8">
        <f>IF(GJ$56-Voorblad!$F$41&gt;Voorblad!$K$41,0,IF($U79=0,0,IF($U79&lt;1,1/$U79,IF((GJ$56-Voorblad!$F$41)/$U79-SUM($EE79:GI79)=1,1,0))))</f>
        <v>0</v>
      </c>
      <c r="GK79" s="8">
        <f>IF(GK$56-Voorblad!$F$41&gt;Voorblad!$K$41,0,IF($U79=0,0,IF($U79&lt;1,1/$U79,IF((GK$56-Voorblad!$F$41)/$U79-SUM($EE79:GJ79)=1,1,0))))</f>
        <v>0</v>
      </c>
      <c r="GL79" s="8">
        <f>IF(GL$56-Voorblad!$F$41&gt;Voorblad!$K$41,0,IF($U79=0,0,IF($U79&lt;1,1/$U79,IF((GL$56-Voorblad!$F$41)/$U79-SUM($EE79:GK79)=1,1,0))))</f>
        <v>0</v>
      </c>
      <c r="GM79" s="8">
        <f>IF(GM$56-Voorblad!$F$41&gt;Voorblad!$K$41,0,IF($U79=0,0,IF($U79&lt;1,1/$U79,IF((GM$56-Voorblad!$F$41)/$U79-SUM($EE79:GL79)=1,1,0))))</f>
        <v>0</v>
      </c>
      <c r="GN79" s="8">
        <f>IF(GN$56-Voorblad!$F$41&gt;Voorblad!$K$41,0,IF($U79=0,0,IF($U79&lt;1,1/$U79,IF((GN$56-Voorblad!$F$41)/$U79-SUM($EE79:GM79)=1,1,0))))</f>
        <v>0</v>
      </c>
      <c r="GO79" s="8">
        <f>IF(GO$56-Voorblad!$F$41&gt;Voorblad!$K$41,0,IF($U79=0,0,IF($U79&lt;1,1/$U79,IF((GO$56-Voorblad!$F$41)/$U79-SUM($EE79:GN79)=1,1,0))))</f>
        <v>0</v>
      </c>
      <c r="GP79" s="8">
        <f>IF(GP$56-Voorblad!$F$41&gt;Voorblad!$K$41,0,IF($U79=0,0,IF($U79&lt;1,1/$U79,IF((GP$56-Voorblad!$F$41)/$U79-SUM($EE79:GO79)=1,1,0))))</f>
        <v>0</v>
      </c>
      <c r="GQ79" s="8">
        <f>IF(GQ$56-Voorblad!$F$41&gt;Voorblad!$K$41,0,IF($U79=0,0,IF($U79&lt;1,1/$U79,IF((GQ$56-Voorblad!$F$41)/$U79-SUM($EE79:GP79)=1,1,0))))</f>
        <v>0</v>
      </c>
      <c r="GR79" s="8">
        <f>IF(GR$56-Voorblad!$F$41&gt;Voorblad!$K$41,0,IF($U79=0,0,IF($U79&lt;1,1/$U79,IF((GR$56-Voorblad!$F$41)/$U79-SUM($EE79:GQ79)=1,1,0))))</f>
        <v>0</v>
      </c>
      <c r="GS79" s="8">
        <f>IF(GS$56-Voorblad!$F$41&gt;Voorblad!$K$41,0,IF($U79=0,0,IF($U79&lt;1,1/$U79,IF((GS$56-Voorblad!$F$41)/$U79-SUM($EE79:GR79)=1,1,0))))</f>
        <v>0</v>
      </c>
      <c r="GT79" s="8">
        <f>IF(GT$56-Voorblad!$F$41&gt;Voorblad!$K$41,0,IF($U79=0,0,IF($U79&lt;1,1/$U79,IF((GT$56-Voorblad!$F$41)/$U79-SUM($EE79:GS79)=1,1,0))))</f>
        <v>0</v>
      </c>
      <c r="GU79" s="8">
        <f>IF(GU$56-Voorblad!$F$41&gt;Voorblad!$K$41,0,IF($U79=0,0,IF($U79&lt;1,1/$U79,IF((GU$56-Voorblad!$F$41)/$U79-SUM($EE79:GT79)=1,1,0))))</f>
        <v>0</v>
      </c>
      <c r="GV79" s="8">
        <f>IF(GV$56-Voorblad!$F$41&gt;Voorblad!$K$41,0,IF($U79=0,0,IF($U79&lt;1,1/$U79,IF((GV$56-Voorblad!$F$41)/$U79-SUM($EE79:GU79)=1,1,0))))</f>
        <v>0</v>
      </c>
      <c r="GW79" s="8">
        <f>IF(GW$56-Voorblad!$F$41&gt;Voorblad!$K$41,0,IF($U79=0,0,IF($U79&lt;1,1/$U79,IF((GW$56-Voorblad!$F$41)/$U79-SUM($EE79:GV79)=1,1,0))))</f>
        <v>0</v>
      </c>
      <c r="GX79" s="8">
        <f>IF(GX$56-Voorblad!$F$41&gt;Voorblad!$K$41,0,IF($U79=0,0,IF($U79&lt;1,1/$U79,IF((GX$56-Voorblad!$F$41)/$U79-SUM($EE79:GW79)=1,1,0))))</f>
        <v>0</v>
      </c>
      <c r="GY79" s="8">
        <f>IF(GY$56-Voorblad!$F$41&gt;Voorblad!$K$41,0,IF($U79=0,0,IF($U79&lt;1,1/$U79,IF((GY$56-Voorblad!$F$41)/$U79-SUM($EE79:GX79)=1,1,0))))</f>
        <v>0</v>
      </c>
      <c r="GZ79" s="8">
        <f>IF(GZ$56-Voorblad!$F$41&gt;Voorblad!$K$41,0,IF($U79=0,0,IF($U79&lt;1,1/$U79,IF((GZ$56-Voorblad!$F$41)/$U79-SUM($EE79:GY79)=1,1,0))))</f>
        <v>0</v>
      </c>
      <c r="HA79" s="8">
        <f>IF(HA$56-Voorblad!$F$41&gt;Voorblad!$K$41,0,IF($U79=0,0,IF($U79&lt;1,1/$U79,IF((HA$56-Voorblad!$F$41)/$U79-SUM($EE79:GZ79)=1,1,0))))</f>
        <v>0</v>
      </c>
      <c r="HB79" s="8">
        <f>IF(HB$56-Voorblad!$F$41&gt;Voorblad!$K$41,0,IF($U79=0,0,IF($U79&lt;1,1/$U79,IF((HB$56-Voorblad!$F$41)/$U79-SUM($EE79:HA79)=1,1,0))))</f>
        <v>0</v>
      </c>
      <c r="HC79" s="8">
        <f>IF(HC$56-Voorblad!$F$41&gt;Voorblad!$K$41,0,IF($U79=0,0,IF($U79&lt;1,1/$U79,IF((HC$56-Voorblad!$F$41)/$U79-SUM($EE79:HB79)=1,1,0))))</f>
        <v>0</v>
      </c>
      <c r="HD79" s="8">
        <f>IF(HD$56-Voorblad!$F$41&gt;Voorblad!$K$41,0,IF($U79=0,0,IF($U79&lt;1,1/$U79,IF((HD$56-Voorblad!$F$41)/$U79-SUM($EE79:HC79)=1,1,0))))</f>
        <v>0</v>
      </c>
      <c r="HE79" s="8">
        <f>IF(HE$56-Voorblad!$F$41&gt;Voorblad!$K$41,0,IF($U79=0,0,IF($U79&lt;1,1/$U79,IF((HE$56-Voorblad!$F$41)/$U79-SUM($EE79:HD79)=1,1,0))))</f>
        <v>0</v>
      </c>
      <c r="HF79" s="8">
        <f>IF(HF$56-Voorblad!$F$41&gt;Voorblad!$K$41,0,IF($U79=0,0,IF($U79&lt;1,1/$U79,IF((HF$56-Voorblad!$F$41)/$U79-SUM($EE79:HE79)=1,1,0))))</f>
        <v>0</v>
      </c>
      <c r="HG79" s="8">
        <f>IF(HG$56-Voorblad!$F$41&gt;Voorblad!$K$41,0,IF($U79=0,0,IF($U79&lt;1,1/$U79,IF((HG$56-Voorblad!$F$41)/$U79-SUM($EE79:HF79)=1,1,0))))</f>
        <v>0</v>
      </c>
      <c r="HH79" s="8">
        <f>IF(HH$56-Voorblad!$F$41&gt;Voorblad!$K$41,0,IF($U79=0,0,IF($U79&lt;1,1/$U79,IF((HH$56-Voorblad!$F$41)/$U79-SUM($EE79:HG79)=1,1,0))))</f>
        <v>0</v>
      </c>
      <c r="HI79" s="8">
        <f>IF(HI$56-Voorblad!$F$41&gt;Voorblad!$K$41,0,IF($U79=0,0,IF($U79&lt;1,1/$U79,IF((HI$56-Voorblad!$F$41)/$U79-SUM($EE79:HH79)=1,1,0))))</f>
        <v>0</v>
      </c>
      <c r="HJ79" s="8">
        <f>IF(HJ$56-Voorblad!$F$41&gt;Voorblad!$K$41,0,IF($U79=0,0,IF($U79&lt;1,1/$U79,IF((HJ$56-Voorblad!$F$41)/$U79-SUM($EE79:HI79)=1,1,0))))</f>
        <v>0</v>
      </c>
      <c r="HK79" s="8">
        <f>IF(HK$56-Voorblad!$F$41&gt;Voorblad!$K$41,0,IF($U79=0,0,IF($U79&lt;1,1/$U79,IF((HK$56-Voorblad!$F$41)/$U79-SUM($EE79:HJ79)=1,1,0))))</f>
        <v>0</v>
      </c>
      <c r="HL79" s="8">
        <f>IF(HL$56-Voorblad!$F$41&gt;Voorblad!$K$41,0,IF($U79=0,0,IF($U79&lt;1,1/$U79,IF((HL$56-Voorblad!$F$41)/$U79-SUM($EE79:HK79)=1,1,0))))</f>
        <v>0</v>
      </c>
      <c r="HM79" s="8">
        <f>IF(HM$56-Voorblad!$F$41&gt;Voorblad!$K$41,0,IF($U79=0,0,IF($U79&lt;1,1/$U79,IF((HM$56-Voorblad!$F$41)/$U79-SUM($EE79:HL79)=1,1,0))))</f>
        <v>0</v>
      </c>
      <c r="HN79" s="8">
        <f>IF(HN$56-Voorblad!$F$41&gt;Voorblad!$K$41,0,IF($U79=0,0,IF($U79&lt;1,1/$U79,IF((HN$56-Voorblad!$F$41)/$U79-SUM($EE79:HM79)=1,1,0))))</f>
        <v>0</v>
      </c>
      <c r="HO79" s="8">
        <f>IF(HO$56-Voorblad!$F$41&gt;Voorblad!$K$41,0,IF($U79=0,0,IF($U79&lt;1,1/$U79,IF((HO$56-Voorblad!$F$41)/$U79-SUM($EE79:HN79)=1,1,0))))</f>
        <v>0</v>
      </c>
      <c r="HP79" s="8">
        <f>IF(HP$56-Voorblad!$F$41&gt;Voorblad!$K$41,0,IF($U79=0,0,IF($U79&lt;1,1/$U79,IF((HP$56-Voorblad!$F$41)/$U79-SUM($EE79:HO79)=1,1,0))))</f>
        <v>0</v>
      </c>
      <c r="HQ79" s="8">
        <f>IF(HQ$56-Voorblad!$F$41&gt;Voorblad!$K$41,0,IF($U79=0,0,IF($U79&lt;1,1/$U79,IF((HQ$56-Voorblad!$F$41)/$U79-SUM($EE79:HP79)=1,1,0))))</f>
        <v>0</v>
      </c>
      <c r="HR79" s="8">
        <f>IF(HR$56-Voorblad!$F$41&gt;Voorblad!$K$41,0,IF($U79=0,0,IF($U79&lt;1,1/$U79,IF((HR$56-Voorblad!$F$41)/$U79-SUM($EE79:HQ79)=1,1,0))))</f>
        <v>0</v>
      </c>
      <c r="HS79" s="8">
        <f>IF(HS$56-Voorblad!$F$41&gt;Voorblad!$K$41,0,IF($U79=0,0,IF($U79&lt;1,1/$U79,IF((HS$56-Voorblad!$F$41)/$U79-SUM($EE79:HR79)=1,1,0))))</f>
        <v>0</v>
      </c>
      <c r="HT79" s="8">
        <f>IF(HT$56-Voorblad!$F$41&gt;Voorblad!$K$41,0,IF($U79=0,0,IF($U79&lt;1,1/$U79,IF((HT$56-Voorblad!$F$41)/$U79-SUM($EE79:HS79)=1,1,0))))</f>
        <v>0</v>
      </c>
      <c r="HU79" s="8">
        <f>IF(HU$56-Voorblad!$F$41&gt;Voorblad!$K$41,0,IF($U79=0,0,IF($U79&lt;1,1/$U79,IF((HU$56-Voorblad!$F$41)/$U79-SUM($EE79:HT79)=1,1,0))))</f>
        <v>0</v>
      </c>
      <c r="HV79" s="8">
        <f>IF(HV$56-Voorblad!$F$41&gt;Voorblad!$K$41,0,IF($U79=0,0,IF($U79&lt;1,1/$U79,IF((HV$56-Voorblad!$F$41)/$U79-SUM($EE79:HU79)=1,1,0))))</f>
        <v>0</v>
      </c>
      <c r="HW79" s="8">
        <f>IF(HW$56-Voorblad!$F$41&gt;Voorblad!$K$41,0,IF($U79=0,0,IF($U79&lt;1,1/$U79,IF((HW$56-Voorblad!$F$41)/$U79-SUM($EE79:HV79)=1,1,0))))</f>
        <v>0</v>
      </c>
      <c r="HX79" s="8">
        <f>IF(HX$56-Voorblad!$F$41&gt;Voorblad!$K$41,0,IF($U79=0,0,IF($U79&lt;1,1/$U79,IF((HX$56-Voorblad!$F$41)/$U79-SUM($EE79:HW79)=1,1,0))))</f>
        <v>0</v>
      </c>
      <c r="HY79" s="8">
        <f>IF(HY$56-Voorblad!$F$41&gt;Voorblad!$K$41,0,IF($U79=0,0,IF($U79&lt;1,1/$U79,IF((HY$56-Voorblad!$F$41)/$U79-SUM($EE79:HX79)=1,1,0))))</f>
        <v>0</v>
      </c>
      <c r="HZ79" s="8">
        <f>IF(HZ$56-Voorblad!$F$41&gt;Voorblad!$K$41,0,IF($U79=0,0,IF($U79&lt;1,1/$U79,IF((HZ$56-Voorblad!$F$41)/$U79-SUM($EE79:HY79)=1,1,0))))</f>
        <v>0</v>
      </c>
      <c r="IA79" s="8">
        <f>IF(IA$56-Voorblad!$F$41&gt;Voorblad!$K$41,0,IF($U79=0,0,IF($U79&lt;1,1/$U79,IF((IA$56-Voorblad!$F$41)/$U79-SUM($EE79:HZ79)=1,1,0))))</f>
        <v>0</v>
      </c>
      <c r="IB79" s="8">
        <f>IF(IB$56-Voorblad!$F$41&gt;Voorblad!$K$41,0,IF($U79=0,0,IF($U79&lt;1,1/$U79,IF((IB$56-Voorblad!$F$41)/$U79-SUM($EE79:IA79)=1,1,0))))</f>
        <v>0</v>
      </c>
    </row>
    <row r="80" spans="2:236" hidden="1" outlineLevel="1" collapsed="1" x14ac:dyDescent="0.25">
      <c r="B80" s="1">
        <v>1</v>
      </c>
      <c r="F80" s="1" t="s">
        <v>23</v>
      </c>
      <c r="I80" s="1" t="s">
        <v>193</v>
      </c>
      <c r="K80" s="1" t="s">
        <v>59</v>
      </c>
      <c r="N80" s="3"/>
      <c r="O80" s="1" t="s">
        <v>187</v>
      </c>
      <c r="P80" s="1" t="s">
        <v>177</v>
      </c>
      <c r="Q80" s="81">
        <v>0</v>
      </c>
      <c r="R80" s="1" t="s">
        <v>35</v>
      </c>
      <c r="S80" s="14">
        <f>$H$10*100</f>
        <v>238</v>
      </c>
      <c r="T80" s="1">
        <f t="shared" si="16"/>
        <v>0</v>
      </c>
      <c r="U80" s="14">
        <v>30</v>
      </c>
      <c r="V80" s="14"/>
      <c r="Y80" s="9">
        <f t="shared" si="11"/>
        <v>0</v>
      </c>
      <c r="Z80" s="82"/>
      <c r="AA80" s="82"/>
      <c r="AC80" s="9">
        <f>$Y80*(Voorblad!$K$44*(1+Voorblad!$K$44)^Voorblad!$K$41)/((1+Voorblad!$K$44)^Voorblad!$K$41-1)</f>
        <v>0</v>
      </c>
      <c r="AE80" s="9">
        <f>EF80*($Q80*$S80)/(1+Voorblad!$K$44)^(AE$56-Voorblad!$F$41)</f>
        <v>0</v>
      </c>
      <c r="AF80" s="9">
        <f>EG80*($Q80*$S80)/(1+Voorblad!$K$44)^(AF$56-Voorblad!$F$41)</f>
        <v>0</v>
      </c>
      <c r="AG80" s="9">
        <f>EH80*($Q80*$S80)/(1+Voorblad!$K$44)^(AG$56-Voorblad!$F$41)</f>
        <v>0</v>
      </c>
      <c r="AH80" s="9">
        <f>EI80*($Q80*$S80)/(1+Voorblad!$K$44)^(AH$56-Voorblad!$F$41)</f>
        <v>0</v>
      </c>
      <c r="AI80" s="9">
        <f>EJ80*($Q80*$S80)/(1+Voorblad!$K$44)^(AI$56-Voorblad!$F$41)</f>
        <v>0</v>
      </c>
      <c r="AJ80" s="9">
        <f>EK80*($Q80*$S80)/(1+Voorblad!$K$44)^(AJ$56-Voorblad!$F$41)</f>
        <v>0</v>
      </c>
      <c r="AK80" s="9">
        <f>EL80*($Q80*$S80)/(1+Voorblad!$K$44)^(AK$56-Voorblad!$F$41)</f>
        <v>0</v>
      </c>
      <c r="AL80" s="9">
        <f>EM80*($Q80*$S80)/(1+Voorblad!$K$44)^(AL$56-Voorblad!$F$41)</f>
        <v>0</v>
      </c>
      <c r="AM80" s="9">
        <f>EN80*($Q80*$S80)/(1+Voorblad!$K$44)^(AM$56-Voorblad!$F$41)</f>
        <v>0</v>
      </c>
      <c r="AN80" s="9">
        <f>EO80*($Q80*$S80)/(1+Voorblad!$K$44)^(AN$56-Voorblad!$F$41)</f>
        <v>0</v>
      </c>
      <c r="AO80" s="9">
        <f>EP80*($Q80*$S80)/(1+Voorblad!$K$44)^(AO$56-Voorblad!$F$41)</f>
        <v>0</v>
      </c>
      <c r="AP80" s="9">
        <f>EQ80*($Q80*$S80)/(1+Voorblad!$K$44)^(AP$56-Voorblad!$F$41)</f>
        <v>0</v>
      </c>
      <c r="AQ80" s="9">
        <f>ER80*($Q80*$S80)/(1+Voorblad!$K$44)^(AQ$56-Voorblad!$F$41)</f>
        <v>0</v>
      </c>
      <c r="AR80" s="9">
        <f>ES80*($Q80*$S80)/(1+Voorblad!$K$44)^(AR$56-Voorblad!$F$41)</f>
        <v>0</v>
      </c>
      <c r="AS80" s="9">
        <f>ET80*($Q80*$S80)/(1+Voorblad!$K$44)^(AS$56-Voorblad!$F$41)</f>
        <v>0</v>
      </c>
      <c r="AT80" s="9">
        <f>EU80*($Q80*$S80)/(1+Voorblad!$K$44)^(AT$56-Voorblad!$F$41)</f>
        <v>0</v>
      </c>
      <c r="AU80" s="9">
        <f>EV80*($Q80*$S80)/(1+Voorblad!$K$44)^(AU$56-Voorblad!$F$41)</f>
        <v>0</v>
      </c>
      <c r="AV80" s="9">
        <f>EW80*($Q80*$S80)/(1+Voorblad!$K$44)^(AV$56-Voorblad!$F$41)</f>
        <v>0</v>
      </c>
      <c r="AW80" s="9">
        <f>EX80*($Q80*$S80)/(1+Voorblad!$K$44)^(AW$56-Voorblad!$F$41)</f>
        <v>0</v>
      </c>
      <c r="AX80" s="9">
        <f>EY80*($Q80*$S80)/(1+Voorblad!$K$44)^(AX$56-Voorblad!$F$41)</f>
        <v>0</v>
      </c>
      <c r="AY80" s="9">
        <f>EZ80*($Q80*$S80)/(1+Voorblad!$K$44)^(AY$56-Voorblad!$F$41)</f>
        <v>0</v>
      </c>
      <c r="AZ80" s="9">
        <f>FA80*($Q80*$S80)/(1+Voorblad!$K$44)^(AZ$56-Voorblad!$F$41)</f>
        <v>0</v>
      </c>
      <c r="BA80" s="9">
        <f>FB80*($Q80*$S80)/(1+Voorblad!$K$44)^(BA$56-Voorblad!$F$41)</f>
        <v>0</v>
      </c>
      <c r="BB80" s="9">
        <f>FC80*($Q80*$S80)/(1+Voorblad!$K$44)^(BB$56-Voorblad!$F$41)</f>
        <v>0</v>
      </c>
      <c r="BC80" s="9">
        <f>FD80*($Q80*$S80)/(1+Voorblad!$K$44)^(BC$56-Voorblad!$F$41)</f>
        <v>0</v>
      </c>
      <c r="BD80" s="9">
        <f>FE80*($Q80*$S80)/(1+Voorblad!$K$44)^(BD$56-Voorblad!$F$41)</f>
        <v>0</v>
      </c>
      <c r="BE80" s="9">
        <f>FF80*($Q80*$S80)/(1+Voorblad!$K$44)^(BE$56-Voorblad!$F$41)</f>
        <v>0</v>
      </c>
      <c r="BF80" s="9">
        <f>FG80*($Q80*$S80)/(1+Voorblad!$K$44)^(BF$56-Voorblad!$F$41)</f>
        <v>0</v>
      </c>
      <c r="BG80" s="9">
        <f>FH80*($Q80*$S80)/(1+Voorblad!$K$44)^(BG$56-Voorblad!$F$41)</f>
        <v>0</v>
      </c>
      <c r="BH80" s="9">
        <f>FI80*($Q80*$S80)/(1+Voorblad!$K$44)^(BH$56-Voorblad!$F$41)</f>
        <v>0</v>
      </c>
      <c r="BI80" s="9">
        <f>FJ80*($Q80*$S80)/(1+Voorblad!$K$44)^(BI$56-Voorblad!$F$41)</f>
        <v>0</v>
      </c>
      <c r="BJ80" s="9">
        <f>FK80*($Q80*$S80)/(1+Voorblad!$K$44)^(BJ$56-Voorblad!$F$41)</f>
        <v>0</v>
      </c>
      <c r="BK80" s="9">
        <f>FL80*($Q80*$S80)/(1+Voorblad!$K$44)^(BK$56-Voorblad!$F$41)</f>
        <v>0</v>
      </c>
      <c r="BL80" s="9">
        <f>FM80*($Q80*$S80)/(1+Voorblad!$K$44)^(BL$56-Voorblad!$F$41)</f>
        <v>0</v>
      </c>
      <c r="BM80" s="9">
        <f>FN80*($Q80*$S80)/(1+Voorblad!$K$44)^(BM$56-Voorblad!$F$41)</f>
        <v>0</v>
      </c>
      <c r="BN80" s="9">
        <f>FO80*($Q80*$S80)/(1+Voorblad!$K$44)^(BN$56-Voorblad!$F$41)</f>
        <v>0</v>
      </c>
      <c r="BO80" s="9">
        <f>FP80*($Q80*$S80)/(1+Voorblad!$K$44)^(BO$56-Voorblad!$F$41)</f>
        <v>0</v>
      </c>
      <c r="BP80" s="9">
        <f>FQ80*($Q80*$S80)/(1+Voorblad!$K$44)^(BP$56-Voorblad!$F$41)</f>
        <v>0</v>
      </c>
      <c r="BQ80" s="9">
        <f>FR80*($Q80*$S80)/(1+Voorblad!$K$44)^(BQ$56-Voorblad!$F$41)</f>
        <v>0</v>
      </c>
      <c r="BR80" s="9">
        <f>FS80*($Q80*$S80)/(1+Voorblad!$K$44)^(BR$56-Voorblad!$F$41)</f>
        <v>0</v>
      </c>
      <c r="BS80" s="9">
        <f>FT80*($Q80*$S80)/(1+Voorblad!$K$44)^(BS$56-Voorblad!$F$41)</f>
        <v>0</v>
      </c>
      <c r="BT80" s="9">
        <f>FU80*($Q80*$S80)/(1+Voorblad!$K$44)^(BT$56-Voorblad!$F$41)</f>
        <v>0</v>
      </c>
      <c r="BU80" s="9">
        <f>FV80*($Q80*$S80)/(1+Voorblad!$K$44)^(BU$56-Voorblad!$F$41)</f>
        <v>0</v>
      </c>
      <c r="BV80" s="9">
        <f>FW80*($Q80*$S80)/(1+Voorblad!$K$44)^(BV$56-Voorblad!$F$41)</f>
        <v>0</v>
      </c>
      <c r="BW80" s="9">
        <f>FX80*($Q80*$S80)/(1+Voorblad!$K$44)^(BW$56-Voorblad!$F$41)</f>
        <v>0</v>
      </c>
      <c r="BX80" s="9">
        <f>FY80*($Q80*$S80)/(1+Voorblad!$K$44)^(BX$56-Voorblad!$F$41)</f>
        <v>0</v>
      </c>
      <c r="BY80" s="9">
        <f>FZ80*($Q80*$S80)/(1+Voorblad!$K$44)^(BY$56-Voorblad!$F$41)</f>
        <v>0</v>
      </c>
      <c r="BZ80" s="9">
        <f>GA80*($Q80*$S80)/(1+Voorblad!$K$44)^(BZ$56-Voorblad!$F$41)</f>
        <v>0</v>
      </c>
      <c r="CA80" s="9">
        <f>GB80*($Q80*$S80)/(1+Voorblad!$K$44)^(CA$56-Voorblad!$F$41)</f>
        <v>0</v>
      </c>
      <c r="CB80" s="9">
        <f>GC80*($Q80*$S80)/(1+Voorblad!$K$44)^(CB$56-Voorblad!$F$41)</f>
        <v>0</v>
      </c>
      <c r="CC80" s="9">
        <f>GD80*($Q80*$S80)/(1+Voorblad!$K$44)^(CC$56-Voorblad!$F$41)</f>
        <v>0</v>
      </c>
      <c r="CD80" s="9">
        <f>GE80*($Q80*$S80)/(1+Voorblad!$K$44)^(CD$56-Voorblad!$F$41)</f>
        <v>0</v>
      </c>
      <c r="CE80" s="9">
        <f>GF80*($Q80*$S80)/(1+Voorblad!$K$44)^(CE$56-Voorblad!$F$41)</f>
        <v>0</v>
      </c>
      <c r="CF80" s="9">
        <f>GG80*($Q80*$S80)/(1+Voorblad!$K$44)^(CF$56-Voorblad!$F$41)</f>
        <v>0</v>
      </c>
      <c r="CG80" s="9">
        <f>GH80*($Q80*$S80)/(1+Voorblad!$K$44)^(CG$56-Voorblad!$F$41)</f>
        <v>0</v>
      </c>
      <c r="CH80" s="9">
        <f>GI80*($Q80*$S80)/(1+Voorblad!$K$44)^(CH$56-Voorblad!$F$41)</f>
        <v>0</v>
      </c>
      <c r="CI80" s="9">
        <f>GJ80*($Q80*$S80)/(1+Voorblad!$K$44)^(CI$56-Voorblad!$F$41)</f>
        <v>0</v>
      </c>
      <c r="CJ80" s="9">
        <f>GK80*($Q80*$S80)/(1+Voorblad!$K$44)^(CJ$56-Voorblad!$F$41)</f>
        <v>0</v>
      </c>
      <c r="CK80" s="9">
        <f>GL80*($Q80*$S80)/(1+Voorblad!$K$44)^(CK$56-Voorblad!$F$41)</f>
        <v>0</v>
      </c>
      <c r="CL80" s="9">
        <f>GM80*($Q80*$S80)/(1+Voorblad!$K$44)^(CL$56-Voorblad!$F$41)</f>
        <v>0</v>
      </c>
      <c r="CM80" s="9">
        <f>GN80*($Q80*$S80)/(1+Voorblad!$K$44)^(CM$56-Voorblad!$F$41)</f>
        <v>0</v>
      </c>
      <c r="CN80" s="9">
        <f>GO80*($Q80*$S80)/(1+Voorblad!$K$44)^(CN$56-Voorblad!$F$41)</f>
        <v>0</v>
      </c>
      <c r="CO80" s="9">
        <f>GP80*($Q80*$S80)/(1+Voorblad!$K$44)^(CO$56-Voorblad!$F$41)</f>
        <v>0</v>
      </c>
      <c r="CP80" s="9">
        <f>GQ80*($Q80*$S80)/(1+Voorblad!$K$44)^(CP$56-Voorblad!$F$41)</f>
        <v>0</v>
      </c>
      <c r="CQ80" s="9">
        <f>GR80*($Q80*$S80)/(1+Voorblad!$K$44)^(CQ$56-Voorblad!$F$41)</f>
        <v>0</v>
      </c>
      <c r="CR80" s="9">
        <f>GS80*($Q80*$S80)/(1+Voorblad!$K$44)^(CR$56-Voorblad!$F$41)</f>
        <v>0</v>
      </c>
      <c r="CS80" s="9">
        <f>GT80*($Q80*$S80)/(1+Voorblad!$K$44)^(CS$56-Voorblad!$F$41)</f>
        <v>0</v>
      </c>
      <c r="CT80" s="9">
        <f>GU80*($Q80*$S80)/(1+Voorblad!$K$44)^(CT$56-Voorblad!$F$41)</f>
        <v>0</v>
      </c>
      <c r="CU80" s="9">
        <f>GV80*($Q80*$S80)/(1+Voorblad!$K$44)^(CU$56-Voorblad!$F$41)</f>
        <v>0</v>
      </c>
      <c r="CV80" s="9">
        <f>GW80*($Q80*$S80)/(1+Voorblad!$K$44)^(CV$56-Voorblad!$F$41)</f>
        <v>0</v>
      </c>
      <c r="CW80" s="9">
        <f>GX80*($Q80*$S80)/(1+Voorblad!$K$44)^(CW$56-Voorblad!$F$41)</f>
        <v>0</v>
      </c>
      <c r="CX80" s="9">
        <f>GY80*($Q80*$S80)/(1+Voorblad!$K$44)^(CX$56-Voorblad!$F$41)</f>
        <v>0</v>
      </c>
      <c r="CY80" s="9">
        <f>GZ80*($Q80*$S80)/(1+Voorblad!$K$44)^(CY$56-Voorblad!$F$41)</f>
        <v>0</v>
      </c>
      <c r="CZ80" s="9">
        <f>HA80*($Q80*$S80)/(1+Voorblad!$K$44)^(CZ$56-Voorblad!$F$41)</f>
        <v>0</v>
      </c>
      <c r="DA80" s="9">
        <f>HB80*($Q80*$S80)/(1+Voorblad!$K$44)^(DA$56-Voorblad!$F$41)</f>
        <v>0</v>
      </c>
      <c r="DB80" s="9">
        <f>HC80*($Q80*$S80)/(1+Voorblad!$K$44)^(DB$56-Voorblad!$F$41)</f>
        <v>0</v>
      </c>
      <c r="DC80" s="9">
        <f>HD80*($Q80*$S80)/(1+Voorblad!$K$44)^(DC$56-Voorblad!$F$41)</f>
        <v>0</v>
      </c>
      <c r="DD80" s="9">
        <f>HE80*($Q80*$S80)/(1+Voorblad!$K$44)^(DD$56-Voorblad!$F$41)</f>
        <v>0</v>
      </c>
      <c r="DE80" s="9">
        <f>HF80*($Q80*$S80)/(1+Voorblad!$K$44)^(DE$56-Voorblad!$F$41)</f>
        <v>0</v>
      </c>
      <c r="DF80" s="9">
        <f>HG80*($Q80*$S80)/(1+Voorblad!$K$44)^(DF$56-Voorblad!$F$41)</f>
        <v>0</v>
      </c>
      <c r="DG80" s="9">
        <f>HH80*($Q80*$S80)/(1+Voorblad!$K$44)^(DG$56-Voorblad!$F$41)</f>
        <v>0</v>
      </c>
      <c r="DH80" s="9">
        <f>HI80*($Q80*$S80)/(1+Voorblad!$K$44)^(DH$56-Voorblad!$F$41)</f>
        <v>0</v>
      </c>
      <c r="DI80" s="9">
        <f>HJ80*($Q80*$S80)/(1+Voorblad!$K$44)^(DI$56-Voorblad!$F$41)</f>
        <v>0</v>
      </c>
      <c r="DJ80" s="9">
        <f>HK80*($Q80*$S80)/(1+Voorblad!$K$44)^(DJ$56-Voorblad!$F$41)</f>
        <v>0</v>
      </c>
      <c r="DK80" s="9">
        <f>HL80*($Q80*$S80)/(1+Voorblad!$K$44)^(DK$56-Voorblad!$F$41)</f>
        <v>0</v>
      </c>
      <c r="DL80" s="9">
        <f>HM80*($Q80*$S80)/(1+Voorblad!$K$44)^(DL$56-Voorblad!$F$41)</f>
        <v>0</v>
      </c>
      <c r="DM80" s="9">
        <f>HN80*($Q80*$S80)/(1+Voorblad!$K$44)^(DM$56-Voorblad!$F$41)</f>
        <v>0</v>
      </c>
      <c r="DN80" s="9">
        <f>HO80*($Q80*$S80)/(1+Voorblad!$K$44)^(DN$56-Voorblad!$F$41)</f>
        <v>0</v>
      </c>
      <c r="DO80" s="9">
        <f>HP80*($Q80*$S80)/(1+Voorblad!$K$44)^(DO$56-Voorblad!$F$41)</f>
        <v>0</v>
      </c>
      <c r="DP80" s="9">
        <f>HQ80*($Q80*$S80)/(1+Voorblad!$K$44)^(DP$56-Voorblad!$F$41)</f>
        <v>0</v>
      </c>
      <c r="DQ80" s="9">
        <f>HR80*($Q80*$S80)/(1+Voorblad!$K$44)^(DQ$56-Voorblad!$F$41)</f>
        <v>0</v>
      </c>
      <c r="DR80" s="9">
        <f>HS80*($Q80*$S80)/(1+Voorblad!$K$44)^(DR$56-Voorblad!$F$41)</f>
        <v>0</v>
      </c>
      <c r="DS80" s="9">
        <f>HT80*($Q80*$S80)/(1+Voorblad!$K$44)^(DS$56-Voorblad!$F$41)</f>
        <v>0</v>
      </c>
      <c r="DT80" s="9">
        <f>HU80*($Q80*$S80)/(1+Voorblad!$K$44)^(DT$56-Voorblad!$F$41)</f>
        <v>0</v>
      </c>
      <c r="DU80" s="9">
        <f>HV80*($Q80*$S80)/(1+Voorblad!$K$44)^(DU$56-Voorblad!$F$41)</f>
        <v>0</v>
      </c>
      <c r="DV80" s="9">
        <f>HW80*($Q80*$S80)/(1+Voorblad!$K$44)^(DV$56-Voorblad!$F$41)</f>
        <v>0</v>
      </c>
      <c r="DW80" s="9">
        <f>HX80*($Q80*$S80)/(1+Voorblad!$K$44)^(DW$56-Voorblad!$F$41)</f>
        <v>0</v>
      </c>
      <c r="DX80" s="9">
        <f>HY80*($Q80*$S80)/(1+Voorblad!$K$44)^(DX$56-Voorblad!$F$41)</f>
        <v>0</v>
      </c>
      <c r="DY80" s="9">
        <f>HZ80*($Q80*$S80)/(1+Voorblad!$K$44)^(DY$56-Voorblad!$F$41)</f>
        <v>0</v>
      </c>
      <c r="DZ80" s="9">
        <f>IA80*($Q80*$S80)/(1+Voorblad!$K$44)^(DZ$56-Voorblad!$F$41)</f>
        <v>0</v>
      </c>
      <c r="EA80" s="9">
        <f>IB80*($Q80*$S80)/(1+Voorblad!$K$44)^(EA$56-Voorblad!$F$41)</f>
        <v>0</v>
      </c>
      <c r="EB80" s="9">
        <f>IC80*($Q80*$S80)/(1+Voorblad!$K$44)^(EB$56-Voorblad!$F$41)</f>
        <v>0</v>
      </c>
      <c r="EE80" s="8">
        <v>0</v>
      </c>
      <c r="EF80" s="8">
        <f>IF(EF$56-Voorblad!$F$41&gt;Voorblad!$K$41,0,IF($U80=0,0,IF($U80&lt;1,1/$U80,IF((EF$56-Voorblad!$F$41)/$U80-SUM($EE80:EE80)=1,1,0))))</f>
        <v>0</v>
      </c>
      <c r="EG80" s="8">
        <f>IF(EG$56-Voorblad!$F$41&gt;Voorblad!$K$41,0,IF($U80=0,0,IF($U80&lt;1,1/$U80,IF((EG$56-Voorblad!$F$41)/$U80-SUM($EE80:EF80)=1,1,0))))</f>
        <v>0</v>
      </c>
      <c r="EH80" s="8">
        <f>IF(EH$56-Voorblad!$F$41&gt;Voorblad!$K$41,0,IF($U80=0,0,IF($U80&lt;1,1/$U80,IF((EH$56-Voorblad!$F$41)/$U80-SUM($EE80:EG80)=1,1,0))))</f>
        <v>0</v>
      </c>
      <c r="EI80" s="8">
        <f>IF(EI$56-Voorblad!$F$41&gt;Voorblad!$K$41,0,IF($U80=0,0,IF($U80&lt;1,1/$U80,IF((EI$56-Voorblad!$F$41)/$U80-SUM($EE80:EH80)=1,1,0))))</f>
        <v>0</v>
      </c>
      <c r="EJ80" s="8">
        <f>IF(EJ$56-Voorblad!$F$41&gt;Voorblad!$K$41,0,IF($U80=0,0,IF($U80&lt;1,1/$U80,IF((EJ$56-Voorblad!$F$41)/$U80-SUM($EE80:EI80)=1,1,0))))</f>
        <v>0</v>
      </c>
      <c r="EK80" s="8">
        <f>IF(EK$56-Voorblad!$F$41&gt;Voorblad!$K$41,0,IF($U80=0,0,IF($U80&lt;1,1/$U80,IF((EK$56-Voorblad!$F$41)/$U80-SUM($EE80:EJ80)=1,1,0))))</f>
        <v>0</v>
      </c>
      <c r="EL80" s="8">
        <f>IF(EL$56-Voorblad!$F$41&gt;Voorblad!$K$41,0,IF($U80=0,0,IF($U80&lt;1,1/$U80,IF((EL$56-Voorblad!$F$41)/$U80-SUM($EE80:EK80)=1,1,0))))</f>
        <v>0</v>
      </c>
      <c r="EM80" s="8">
        <f>IF(EM$56-Voorblad!$F$41&gt;Voorblad!$K$41,0,IF($U80=0,0,IF($U80&lt;1,1/$U80,IF((EM$56-Voorblad!$F$41)/$U80-SUM($EE80:EL80)=1,1,0))))</f>
        <v>0</v>
      </c>
      <c r="EN80" s="8">
        <f>IF(EN$56-Voorblad!$F$41&gt;Voorblad!$K$41,0,IF($U80=0,0,IF($U80&lt;1,1/$U80,IF((EN$56-Voorblad!$F$41)/$U80-SUM($EE80:EM80)=1,1,0))))</f>
        <v>0</v>
      </c>
      <c r="EO80" s="8">
        <f>IF(EO$56-Voorblad!$F$41&gt;Voorblad!$K$41,0,IF($U80=0,0,IF($U80&lt;1,1/$U80,IF((EO$56-Voorblad!$F$41)/$U80-SUM($EE80:EN80)=1,1,0))))</f>
        <v>0</v>
      </c>
      <c r="EP80" s="8">
        <f>IF(EP$56-Voorblad!$F$41&gt;Voorblad!$K$41,0,IF($U80=0,0,IF($U80&lt;1,1/$U80,IF((EP$56-Voorblad!$F$41)/$U80-SUM($EE80:EO80)=1,1,0))))</f>
        <v>0</v>
      </c>
      <c r="EQ80" s="8">
        <f>IF(EQ$56-Voorblad!$F$41&gt;Voorblad!$K$41,0,IF($U80=0,0,IF($U80&lt;1,1/$U80,IF((EQ$56-Voorblad!$F$41)/$U80-SUM($EE80:EP80)=1,1,0))))</f>
        <v>0</v>
      </c>
      <c r="ER80" s="8">
        <f>IF(ER$56-Voorblad!$F$41&gt;Voorblad!$K$41,0,IF($U80=0,0,IF($U80&lt;1,1/$U80,IF((ER$56-Voorblad!$F$41)/$U80-SUM($EE80:EQ80)=1,1,0))))</f>
        <v>0</v>
      </c>
      <c r="ES80" s="8">
        <f>IF(ES$56-Voorblad!$F$41&gt;Voorblad!$K$41,0,IF($U80=0,0,IF($U80&lt;1,1/$U80,IF((ES$56-Voorblad!$F$41)/$U80-SUM($EE80:ER80)=1,1,0))))</f>
        <v>0</v>
      </c>
      <c r="ET80" s="8">
        <f>IF(ET$56-Voorblad!$F$41&gt;Voorblad!$K$41,0,IF($U80=0,0,IF($U80&lt;1,1/$U80,IF((ET$56-Voorblad!$F$41)/$U80-SUM($EE80:ES80)=1,1,0))))</f>
        <v>0</v>
      </c>
      <c r="EU80" s="8">
        <f>IF(EU$56-Voorblad!$F$41&gt;Voorblad!$K$41,0,IF($U80=0,0,IF($U80&lt;1,1/$U80,IF((EU$56-Voorblad!$F$41)/$U80-SUM($EE80:ET80)=1,1,0))))</f>
        <v>0</v>
      </c>
      <c r="EV80" s="8">
        <f>IF(EV$56-Voorblad!$F$41&gt;Voorblad!$K$41,0,IF($U80=0,0,IF($U80&lt;1,1/$U80,IF((EV$56-Voorblad!$F$41)/$U80-SUM($EE80:EU80)=1,1,0))))</f>
        <v>0</v>
      </c>
      <c r="EW80" s="8">
        <f>IF(EW$56-Voorblad!$F$41&gt;Voorblad!$K$41,0,IF($U80=0,0,IF($U80&lt;1,1/$U80,IF((EW$56-Voorblad!$F$41)/$U80-SUM($EE80:EV80)=1,1,0))))</f>
        <v>0</v>
      </c>
      <c r="EX80" s="8">
        <f>IF(EX$56-Voorblad!$F$41&gt;Voorblad!$K$41,0,IF($U80=0,0,IF($U80&lt;1,1/$U80,IF((EX$56-Voorblad!$F$41)/$U80-SUM($EE80:EW80)=1,1,0))))</f>
        <v>0</v>
      </c>
      <c r="EY80" s="8">
        <f>IF(EY$56-Voorblad!$F$41&gt;Voorblad!$K$41,0,IF($U80=0,0,IF($U80&lt;1,1/$U80,IF((EY$56-Voorblad!$F$41)/$U80-SUM($EE80:EX80)=1,1,0))))</f>
        <v>0</v>
      </c>
      <c r="EZ80" s="8">
        <f>IF(EZ$56-Voorblad!$F$41&gt;Voorblad!$K$41,0,IF($U80=0,0,IF($U80&lt;1,1/$U80,IF((EZ$56-Voorblad!$F$41)/$U80-SUM($EE80:EY80)=1,1,0))))</f>
        <v>0</v>
      </c>
      <c r="FA80" s="8">
        <f>IF(FA$56-Voorblad!$F$41&gt;Voorblad!$K$41,0,IF($U80=0,0,IF($U80&lt;1,1/$U80,IF((FA$56-Voorblad!$F$41)/$U80-SUM($EE80:EZ80)=1,1,0))))</f>
        <v>0</v>
      </c>
      <c r="FB80" s="8">
        <f>IF(FB$56-Voorblad!$F$41&gt;Voorblad!$K$41,0,IF($U80=0,0,IF($U80&lt;1,1/$U80,IF((FB$56-Voorblad!$F$41)/$U80-SUM($EE80:FA80)=1,1,0))))</f>
        <v>0</v>
      </c>
      <c r="FC80" s="8">
        <f>IF(FC$56-Voorblad!$F$41&gt;Voorblad!$K$41,0,IF($U80=0,0,IF($U80&lt;1,1/$U80,IF((FC$56-Voorblad!$F$41)/$U80-SUM($EE80:FB80)=1,1,0))))</f>
        <v>0</v>
      </c>
      <c r="FD80" s="8">
        <f>IF(FD$56-Voorblad!$F$41&gt;Voorblad!$K$41,0,IF($U80=0,0,IF($U80&lt;1,1/$U80,IF((FD$56-Voorblad!$F$41)/$U80-SUM($EE80:FC80)=1,1,0))))</f>
        <v>0</v>
      </c>
      <c r="FE80" s="8">
        <f>IF(FE$56-Voorblad!$F$41&gt;Voorblad!$K$41,0,IF($U80=0,0,IF($U80&lt;1,1/$U80,IF((FE$56-Voorblad!$F$41)/$U80-SUM($EE80:FD80)=1,1,0))))</f>
        <v>0</v>
      </c>
      <c r="FF80" s="8">
        <f>IF(FF$56-Voorblad!$F$41&gt;Voorblad!$K$41,0,IF($U80=0,0,IF($U80&lt;1,1/$U80,IF((FF$56-Voorblad!$F$41)/$U80-SUM($EE80:FE80)=1,1,0))))</f>
        <v>0</v>
      </c>
      <c r="FG80" s="8">
        <f>IF(FG$56-Voorblad!$F$41&gt;Voorblad!$K$41,0,IF($U80=0,0,IF($U80&lt;1,1/$U80,IF((FG$56-Voorblad!$F$41)/$U80-SUM($EE80:FF80)=1,1,0))))</f>
        <v>0</v>
      </c>
      <c r="FH80" s="8">
        <f>IF(FH$56-Voorblad!$F$41&gt;Voorblad!$K$41,0,IF($U80=0,0,IF($U80&lt;1,1/$U80,IF((FH$56-Voorblad!$F$41)/$U80-SUM($EE80:FG80)=1,1,0))))</f>
        <v>0</v>
      </c>
      <c r="FI80" s="8">
        <f>IF(FI$56-Voorblad!$F$41&gt;Voorblad!$K$41,0,IF($U80=0,0,IF($U80&lt;1,1/$U80,IF((FI$56-Voorblad!$F$41)/$U80-SUM($EE80:FH80)=1,1,0))))</f>
        <v>0</v>
      </c>
      <c r="FJ80" s="8">
        <f>IF(FJ$56-Voorblad!$F$41&gt;Voorblad!$K$41,0,IF($U80=0,0,IF($U80&lt;1,1/$U80,IF((FJ$56-Voorblad!$F$41)/$U80-SUM($EE80:FI80)=1,1,0))))</f>
        <v>1</v>
      </c>
      <c r="FK80" s="8">
        <f>IF(FK$56-Voorblad!$F$41&gt;Voorblad!$K$41,0,IF($U80=0,0,IF($U80&lt;1,1/$U80,IF((FK$56-Voorblad!$F$41)/$U80-SUM($EE80:FJ80)=1,1,0))))</f>
        <v>0</v>
      </c>
      <c r="FL80" s="8">
        <f>IF(FL$56-Voorblad!$F$41&gt;Voorblad!$K$41,0,IF($U80=0,0,IF($U80&lt;1,1/$U80,IF((FL$56-Voorblad!$F$41)/$U80-SUM($EE80:FK80)=1,1,0))))</f>
        <v>0</v>
      </c>
      <c r="FM80" s="8">
        <f>IF(FM$56-Voorblad!$F$41&gt;Voorblad!$K$41,0,IF($U80=0,0,IF($U80&lt;1,1/$U80,IF((FM$56-Voorblad!$F$41)/$U80-SUM($EE80:FL80)=1,1,0))))</f>
        <v>0</v>
      </c>
      <c r="FN80" s="8">
        <f>IF(FN$56-Voorblad!$F$41&gt;Voorblad!$K$41,0,IF($U80=0,0,IF($U80&lt;1,1/$U80,IF((FN$56-Voorblad!$F$41)/$U80-SUM($EE80:FM80)=1,1,0))))</f>
        <v>0</v>
      </c>
      <c r="FO80" s="8">
        <f>IF(FO$56-Voorblad!$F$41&gt;Voorblad!$K$41,0,IF($U80=0,0,IF($U80&lt;1,1/$U80,IF((FO$56-Voorblad!$F$41)/$U80-SUM($EE80:FN80)=1,1,0))))</f>
        <v>0</v>
      </c>
      <c r="FP80" s="8">
        <f>IF(FP$56-Voorblad!$F$41&gt;Voorblad!$K$41,0,IF($U80=0,0,IF($U80&lt;1,1/$U80,IF((FP$56-Voorblad!$F$41)/$U80-SUM($EE80:FO80)=1,1,0))))</f>
        <v>0</v>
      </c>
      <c r="FQ80" s="8">
        <f>IF(FQ$56-Voorblad!$F$41&gt;Voorblad!$K$41,0,IF($U80=0,0,IF($U80&lt;1,1/$U80,IF((FQ$56-Voorblad!$F$41)/$U80-SUM($EE80:FP80)=1,1,0))))</f>
        <v>0</v>
      </c>
      <c r="FR80" s="8">
        <f>IF(FR$56-Voorblad!$F$41&gt;Voorblad!$K$41,0,IF($U80=0,0,IF($U80&lt;1,1/$U80,IF((FR$56-Voorblad!$F$41)/$U80-SUM($EE80:FQ80)=1,1,0))))</f>
        <v>0</v>
      </c>
      <c r="FS80" s="8">
        <f>IF(FS$56-Voorblad!$F$41&gt;Voorblad!$K$41,0,IF($U80=0,0,IF($U80&lt;1,1/$U80,IF((FS$56-Voorblad!$F$41)/$U80-SUM($EE80:FR80)=1,1,0))))</f>
        <v>0</v>
      </c>
      <c r="FT80" s="8">
        <f>IF(FT$56-Voorblad!$F$41&gt;Voorblad!$K$41,0,IF($U80=0,0,IF($U80&lt;1,1/$U80,IF((FT$56-Voorblad!$F$41)/$U80-SUM($EE80:FS80)=1,1,0))))</f>
        <v>0</v>
      </c>
      <c r="FU80" s="8">
        <f>IF(FU$56-Voorblad!$F$41&gt;Voorblad!$K$41,0,IF($U80=0,0,IF($U80&lt;1,1/$U80,IF((FU$56-Voorblad!$F$41)/$U80-SUM($EE80:FT80)=1,1,0))))</f>
        <v>0</v>
      </c>
      <c r="FV80" s="8">
        <f>IF(FV$56-Voorblad!$F$41&gt;Voorblad!$K$41,0,IF($U80=0,0,IF($U80&lt;1,1/$U80,IF((FV$56-Voorblad!$F$41)/$U80-SUM($EE80:FU80)=1,1,0))))</f>
        <v>0</v>
      </c>
      <c r="FW80" s="8">
        <f>IF(FW$56-Voorblad!$F$41&gt;Voorblad!$K$41,0,IF($U80=0,0,IF($U80&lt;1,1/$U80,IF((FW$56-Voorblad!$F$41)/$U80-SUM($EE80:FV80)=1,1,0))))</f>
        <v>0</v>
      </c>
      <c r="FX80" s="8">
        <f>IF(FX$56-Voorblad!$F$41&gt;Voorblad!$K$41,0,IF($U80=0,0,IF($U80&lt;1,1/$U80,IF((FX$56-Voorblad!$F$41)/$U80-SUM($EE80:FW80)=1,1,0))))</f>
        <v>0</v>
      </c>
      <c r="FY80" s="8">
        <f>IF(FY$56-Voorblad!$F$41&gt;Voorblad!$K$41,0,IF($U80=0,0,IF($U80&lt;1,1/$U80,IF((FY$56-Voorblad!$F$41)/$U80-SUM($EE80:FX80)=1,1,0))))</f>
        <v>0</v>
      </c>
      <c r="FZ80" s="8">
        <f>IF(FZ$56-Voorblad!$F$41&gt;Voorblad!$K$41,0,IF($U80=0,0,IF($U80&lt;1,1/$U80,IF((FZ$56-Voorblad!$F$41)/$U80-SUM($EE80:FY80)=1,1,0))))</f>
        <v>0</v>
      </c>
      <c r="GA80" s="8">
        <f>IF(GA$56-Voorblad!$F$41&gt;Voorblad!$K$41,0,IF($U80=0,0,IF($U80&lt;1,1/$U80,IF((GA$56-Voorblad!$F$41)/$U80-SUM($EE80:FZ80)=1,1,0))))</f>
        <v>0</v>
      </c>
      <c r="GB80" s="8">
        <f>IF(GB$56-Voorblad!$F$41&gt;Voorblad!$K$41,0,IF($U80=0,0,IF($U80&lt;1,1/$U80,IF((GB$56-Voorblad!$F$41)/$U80-SUM($EE80:GA80)=1,1,0))))</f>
        <v>0</v>
      </c>
      <c r="GC80" s="8">
        <f>IF(GC$56-Voorblad!$F$41&gt;Voorblad!$K$41,0,IF($U80=0,0,IF($U80&lt;1,1/$U80,IF((GC$56-Voorblad!$F$41)/$U80-SUM($EE80:GB80)=1,1,0))))</f>
        <v>0</v>
      </c>
      <c r="GD80" s="8">
        <f>IF(GD$56-Voorblad!$F$41&gt;Voorblad!$K$41,0,IF($U80=0,0,IF($U80&lt;1,1/$U80,IF((GD$56-Voorblad!$F$41)/$U80-SUM($EE80:GC80)=1,1,0))))</f>
        <v>0</v>
      </c>
      <c r="GE80" s="8">
        <f>IF(GE$56-Voorblad!$F$41&gt;Voorblad!$K$41,0,IF($U80=0,0,IF($U80&lt;1,1/$U80,IF((GE$56-Voorblad!$F$41)/$U80-SUM($EE80:GD80)=1,1,0))))</f>
        <v>0</v>
      </c>
      <c r="GF80" s="8">
        <f>IF(GF$56-Voorblad!$F$41&gt;Voorblad!$K$41,0,IF($U80=0,0,IF($U80&lt;1,1/$U80,IF((GF$56-Voorblad!$F$41)/$U80-SUM($EE80:GE80)=1,1,0))))</f>
        <v>0</v>
      </c>
      <c r="GG80" s="8">
        <f>IF(GG$56-Voorblad!$F$41&gt;Voorblad!$K$41,0,IF($U80=0,0,IF($U80&lt;1,1/$U80,IF((GG$56-Voorblad!$F$41)/$U80-SUM($EE80:GF80)=1,1,0))))</f>
        <v>0</v>
      </c>
      <c r="GH80" s="8">
        <f>IF(GH$56-Voorblad!$F$41&gt;Voorblad!$K$41,0,IF($U80=0,0,IF($U80&lt;1,1/$U80,IF((GH$56-Voorblad!$F$41)/$U80-SUM($EE80:GG80)=1,1,0))))</f>
        <v>0</v>
      </c>
      <c r="GI80" s="8">
        <f>IF(GI$56-Voorblad!$F$41&gt;Voorblad!$K$41,0,IF($U80=0,0,IF($U80&lt;1,1/$U80,IF((GI$56-Voorblad!$F$41)/$U80-SUM($EE80:GH80)=1,1,0))))</f>
        <v>0</v>
      </c>
      <c r="GJ80" s="8">
        <f>IF(GJ$56-Voorblad!$F$41&gt;Voorblad!$K$41,0,IF($U80=0,0,IF($U80&lt;1,1/$U80,IF((GJ$56-Voorblad!$F$41)/$U80-SUM($EE80:GI80)=1,1,0))))</f>
        <v>0</v>
      </c>
      <c r="GK80" s="8">
        <f>IF(GK$56-Voorblad!$F$41&gt;Voorblad!$K$41,0,IF($U80=0,0,IF($U80&lt;1,1/$U80,IF((GK$56-Voorblad!$F$41)/$U80-SUM($EE80:GJ80)=1,1,0))))</f>
        <v>0</v>
      </c>
      <c r="GL80" s="8">
        <f>IF(GL$56-Voorblad!$F$41&gt;Voorblad!$K$41,0,IF($U80=0,0,IF($U80&lt;1,1/$U80,IF((GL$56-Voorblad!$F$41)/$U80-SUM($EE80:GK80)=1,1,0))))</f>
        <v>0</v>
      </c>
      <c r="GM80" s="8">
        <f>IF(GM$56-Voorblad!$F$41&gt;Voorblad!$K$41,0,IF($U80=0,0,IF($U80&lt;1,1/$U80,IF((GM$56-Voorblad!$F$41)/$U80-SUM($EE80:GL80)=1,1,0))))</f>
        <v>0</v>
      </c>
      <c r="GN80" s="8">
        <f>IF(GN$56-Voorblad!$F$41&gt;Voorblad!$K$41,0,IF($U80=0,0,IF($U80&lt;1,1/$U80,IF((GN$56-Voorblad!$F$41)/$U80-SUM($EE80:GM80)=1,1,0))))</f>
        <v>1</v>
      </c>
      <c r="GO80" s="8">
        <f>IF(GO$56-Voorblad!$F$41&gt;Voorblad!$K$41,0,IF($U80=0,0,IF($U80&lt;1,1/$U80,IF((GO$56-Voorblad!$F$41)/$U80-SUM($EE80:GN80)=1,1,0))))</f>
        <v>0</v>
      </c>
      <c r="GP80" s="8">
        <f>IF(GP$56-Voorblad!$F$41&gt;Voorblad!$K$41,0,IF($U80=0,0,IF($U80&lt;1,1/$U80,IF((GP$56-Voorblad!$F$41)/$U80-SUM($EE80:GO80)=1,1,0))))</f>
        <v>0</v>
      </c>
      <c r="GQ80" s="8">
        <f>IF(GQ$56-Voorblad!$F$41&gt;Voorblad!$K$41,0,IF($U80=0,0,IF($U80&lt;1,1/$U80,IF((GQ$56-Voorblad!$F$41)/$U80-SUM($EE80:GP80)=1,1,0))))</f>
        <v>0</v>
      </c>
      <c r="GR80" s="8">
        <f>IF(GR$56-Voorblad!$F$41&gt;Voorblad!$K$41,0,IF($U80=0,0,IF($U80&lt;1,1/$U80,IF((GR$56-Voorblad!$F$41)/$U80-SUM($EE80:GQ80)=1,1,0))))</f>
        <v>0</v>
      </c>
      <c r="GS80" s="8">
        <f>IF(GS$56-Voorblad!$F$41&gt;Voorblad!$K$41,0,IF($U80=0,0,IF($U80&lt;1,1/$U80,IF((GS$56-Voorblad!$F$41)/$U80-SUM($EE80:GR80)=1,1,0))))</f>
        <v>0</v>
      </c>
      <c r="GT80" s="8">
        <f>IF(GT$56-Voorblad!$F$41&gt;Voorblad!$K$41,0,IF($U80=0,0,IF($U80&lt;1,1/$U80,IF((GT$56-Voorblad!$F$41)/$U80-SUM($EE80:GS80)=1,1,0))))</f>
        <v>0</v>
      </c>
      <c r="GU80" s="8">
        <f>IF(GU$56-Voorblad!$F$41&gt;Voorblad!$K$41,0,IF($U80=0,0,IF($U80&lt;1,1/$U80,IF((GU$56-Voorblad!$F$41)/$U80-SUM($EE80:GT80)=1,1,0))))</f>
        <v>0</v>
      </c>
      <c r="GV80" s="8">
        <f>IF(GV$56-Voorblad!$F$41&gt;Voorblad!$K$41,0,IF($U80=0,0,IF($U80&lt;1,1/$U80,IF((GV$56-Voorblad!$F$41)/$U80-SUM($EE80:GU80)=1,1,0))))</f>
        <v>0</v>
      </c>
      <c r="GW80" s="8">
        <f>IF(GW$56-Voorblad!$F$41&gt;Voorblad!$K$41,0,IF($U80=0,0,IF($U80&lt;1,1/$U80,IF((GW$56-Voorblad!$F$41)/$U80-SUM($EE80:GV80)=1,1,0))))</f>
        <v>0</v>
      </c>
      <c r="GX80" s="8">
        <f>IF(GX$56-Voorblad!$F$41&gt;Voorblad!$K$41,0,IF($U80=0,0,IF($U80&lt;1,1/$U80,IF((GX$56-Voorblad!$F$41)/$U80-SUM($EE80:GW80)=1,1,0))))</f>
        <v>0</v>
      </c>
      <c r="GY80" s="8">
        <f>IF(GY$56-Voorblad!$F$41&gt;Voorblad!$K$41,0,IF($U80=0,0,IF($U80&lt;1,1/$U80,IF((GY$56-Voorblad!$F$41)/$U80-SUM($EE80:GX80)=1,1,0))))</f>
        <v>0</v>
      </c>
      <c r="GZ80" s="8">
        <f>IF(GZ$56-Voorblad!$F$41&gt;Voorblad!$K$41,0,IF($U80=0,0,IF($U80&lt;1,1/$U80,IF((GZ$56-Voorblad!$F$41)/$U80-SUM($EE80:GY80)=1,1,0))))</f>
        <v>0</v>
      </c>
      <c r="HA80" s="8">
        <f>IF(HA$56-Voorblad!$F$41&gt;Voorblad!$K$41,0,IF($U80=0,0,IF($U80&lt;1,1/$U80,IF((HA$56-Voorblad!$F$41)/$U80-SUM($EE80:GZ80)=1,1,0))))</f>
        <v>0</v>
      </c>
      <c r="HB80" s="8">
        <f>IF(HB$56-Voorblad!$F$41&gt;Voorblad!$K$41,0,IF($U80=0,0,IF($U80&lt;1,1/$U80,IF((HB$56-Voorblad!$F$41)/$U80-SUM($EE80:HA80)=1,1,0))))</f>
        <v>0</v>
      </c>
      <c r="HC80" s="8">
        <f>IF(HC$56-Voorblad!$F$41&gt;Voorblad!$K$41,0,IF($U80=0,0,IF($U80&lt;1,1/$U80,IF((HC$56-Voorblad!$F$41)/$U80-SUM($EE80:HB80)=1,1,0))))</f>
        <v>0</v>
      </c>
      <c r="HD80" s="8">
        <f>IF(HD$56-Voorblad!$F$41&gt;Voorblad!$K$41,0,IF($U80=0,0,IF($U80&lt;1,1/$U80,IF((HD$56-Voorblad!$F$41)/$U80-SUM($EE80:HC80)=1,1,0))))</f>
        <v>0</v>
      </c>
      <c r="HE80" s="8">
        <f>IF(HE$56-Voorblad!$F$41&gt;Voorblad!$K$41,0,IF($U80=0,0,IF($U80&lt;1,1/$U80,IF((HE$56-Voorblad!$F$41)/$U80-SUM($EE80:HD80)=1,1,0))))</f>
        <v>0</v>
      </c>
      <c r="HF80" s="8">
        <f>IF(HF$56-Voorblad!$F$41&gt;Voorblad!$K$41,0,IF($U80=0,0,IF($U80&lt;1,1/$U80,IF((HF$56-Voorblad!$F$41)/$U80-SUM($EE80:HE80)=1,1,0))))</f>
        <v>0</v>
      </c>
      <c r="HG80" s="8">
        <f>IF(HG$56-Voorblad!$F$41&gt;Voorblad!$K$41,0,IF($U80=0,0,IF($U80&lt;1,1/$U80,IF((HG$56-Voorblad!$F$41)/$U80-SUM($EE80:HF80)=1,1,0))))</f>
        <v>0</v>
      </c>
      <c r="HH80" s="8">
        <f>IF(HH$56-Voorblad!$F$41&gt;Voorblad!$K$41,0,IF($U80=0,0,IF($U80&lt;1,1/$U80,IF((HH$56-Voorblad!$F$41)/$U80-SUM($EE80:HG80)=1,1,0))))</f>
        <v>0</v>
      </c>
      <c r="HI80" s="8">
        <f>IF(HI$56-Voorblad!$F$41&gt;Voorblad!$K$41,0,IF($U80=0,0,IF($U80&lt;1,1/$U80,IF((HI$56-Voorblad!$F$41)/$U80-SUM($EE80:HH80)=1,1,0))))</f>
        <v>0</v>
      </c>
      <c r="HJ80" s="8">
        <f>IF(HJ$56-Voorblad!$F$41&gt;Voorblad!$K$41,0,IF($U80=0,0,IF($U80&lt;1,1/$U80,IF((HJ$56-Voorblad!$F$41)/$U80-SUM($EE80:HI80)=1,1,0))))</f>
        <v>0</v>
      </c>
      <c r="HK80" s="8">
        <f>IF(HK$56-Voorblad!$F$41&gt;Voorblad!$K$41,0,IF($U80=0,0,IF($U80&lt;1,1/$U80,IF((HK$56-Voorblad!$F$41)/$U80-SUM($EE80:HJ80)=1,1,0))))</f>
        <v>0</v>
      </c>
      <c r="HL80" s="8">
        <f>IF(HL$56-Voorblad!$F$41&gt;Voorblad!$K$41,0,IF($U80=0,0,IF($U80&lt;1,1/$U80,IF((HL$56-Voorblad!$F$41)/$U80-SUM($EE80:HK80)=1,1,0))))</f>
        <v>0</v>
      </c>
      <c r="HM80" s="8">
        <f>IF(HM$56-Voorblad!$F$41&gt;Voorblad!$K$41,0,IF($U80=0,0,IF($U80&lt;1,1/$U80,IF((HM$56-Voorblad!$F$41)/$U80-SUM($EE80:HL80)=1,1,0))))</f>
        <v>0</v>
      </c>
      <c r="HN80" s="8">
        <f>IF(HN$56-Voorblad!$F$41&gt;Voorblad!$K$41,0,IF($U80=0,0,IF($U80&lt;1,1/$U80,IF((HN$56-Voorblad!$F$41)/$U80-SUM($EE80:HM80)=1,1,0))))</f>
        <v>0</v>
      </c>
      <c r="HO80" s="8">
        <f>IF(HO$56-Voorblad!$F$41&gt;Voorblad!$K$41,0,IF($U80=0,0,IF($U80&lt;1,1/$U80,IF((HO$56-Voorblad!$F$41)/$U80-SUM($EE80:HN80)=1,1,0))))</f>
        <v>0</v>
      </c>
      <c r="HP80" s="8">
        <f>IF(HP$56-Voorblad!$F$41&gt;Voorblad!$K$41,0,IF($U80=0,0,IF($U80&lt;1,1/$U80,IF((HP$56-Voorblad!$F$41)/$U80-SUM($EE80:HO80)=1,1,0))))</f>
        <v>0</v>
      </c>
      <c r="HQ80" s="8">
        <f>IF(HQ$56-Voorblad!$F$41&gt;Voorblad!$K$41,0,IF($U80=0,0,IF($U80&lt;1,1/$U80,IF((HQ$56-Voorblad!$F$41)/$U80-SUM($EE80:HP80)=1,1,0))))</f>
        <v>0</v>
      </c>
      <c r="HR80" s="8">
        <f>IF(HR$56-Voorblad!$F$41&gt;Voorblad!$K$41,0,IF($U80=0,0,IF($U80&lt;1,1/$U80,IF((HR$56-Voorblad!$F$41)/$U80-SUM($EE80:HQ80)=1,1,0))))</f>
        <v>0</v>
      </c>
      <c r="HS80" s="8">
        <f>IF(HS$56-Voorblad!$F$41&gt;Voorblad!$K$41,0,IF($U80=0,0,IF($U80&lt;1,1/$U80,IF((HS$56-Voorblad!$F$41)/$U80-SUM($EE80:HR80)=1,1,0))))</f>
        <v>0</v>
      </c>
      <c r="HT80" s="8">
        <f>IF(HT$56-Voorblad!$F$41&gt;Voorblad!$K$41,0,IF($U80=0,0,IF($U80&lt;1,1/$U80,IF((HT$56-Voorblad!$F$41)/$U80-SUM($EE80:HS80)=1,1,0))))</f>
        <v>0</v>
      </c>
      <c r="HU80" s="8">
        <f>IF(HU$56-Voorblad!$F$41&gt;Voorblad!$K$41,0,IF($U80=0,0,IF($U80&lt;1,1/$U80,IF((HU$56-Voorblad!$F$41)/$U80-SUM($EE80:HT80)=1,1,0))))</f>
        <v>0</v>
      </c>
      <c r="HV80" s="8">
        <f>IF(HV$56-Voorblad!$F$41&gt;Voorblad!$K$41,0,IF($U80=0,0,IF($U80&lt;1,1/$U80,IF((HV$56-Voorblad!$F$41)/$U80-SUM($EE80:HU80)=1,1,0))))</f>
        <v>0</v>
      </c>
      <c r="HW80" s="8">
        <f>IF(HW$56-Voorblad!$F$41&gt;Voorblad!$K$41,0,IF($U80=0,0,IF($U80&lt;1,1/$U80,IF((HW$56-Voorblad!$F$41)/$U80-SUM($EE80:HV80)=1,1,0))))</f>
        <v>0</v>
      </c>
      <c r="HX80" s="8">
        <f>IF(HX$56-Voorblad!$F$41&gt;Voorblad!$K$41,0,IF($U80=0,0,IF($U80&lt;1,1/$U80,IF((HX$56-Voorblad!$F$41)/$U80-SUM($EE80:HW80)=1,1,0))))</f>
        <v>0</v>
      </c>
      <c r="HY80" s="8">
        <f>IF(HY$56-Voorblad!$F$41&gt;Voorblad!$K$41,0,IF($U80=0,0,IF($U80&lt;1,1/$U80,IF((HY$56-Voorblad!$F$41)/$U80-SUM($EE80:HX80)=1,1,0))))</f>
        <v>0</v>
      </c>
      <c r="HZ80" s="8">
        <f>IF(HZ$56-Voorblad!$F$41&gt;Voorblad!$K$41,0,IF($U80=0,0,IF($U80&lt;1,1/$U80,IF((HZ$56-Voorblad!$F$41)/$U80-SUM($EE80:HY80)=1,1,0))))</f>
        <v>0</v>
      </c>
      <c r="IA80" s="8">
        <f>IF(IA$56-Voorblad!$F$41&gt;Voorblad!$K$41,0,IF($U80=0,0,IF($U80&lt;1,1/$U80,IF((IA$56-Voorblad!$F$41)/$U80-SUM($EE80:HZ80)=1,1,0))))</f>
        <v>0</v>
      </c>
      <c r="IB80" s="8">
        <f>IF(IB$56-Voorblad!$F$41&gt;Voorblad!$K$41,0,IF($U80=0,0,IF($U80&lt;1,1/$U80,IF((IB$56-Voorblad!$F$41)/$U80-SUM($EE80:IA80)=1,1,0))))</f>
        <v>0</v>
      </c>
    </row>
    <row r="81" spans="2:236" hidden="1" outlineLevel="1" x14ac:dyDescent="0.25">
      <c r="B81" s="1">
        <v>1</v>
      </c>
      <c r="F81" s="1" t="s">
        <v>23</v>
      </c>
      <c r="I81" s="1" t="s">
        <v>193</v>
      </c>
      <c r="K81" s="1" t="s">
        <v>50</v>
      </c>
      <c r="N81" s="3"/>
      <c r="O81" s="1" t="s">
        <v>187</v>
      </c>
      <c r="P81" s="1" t="s">
        <v>179</v>
      </c>
      <c r="Q81" s="81">
        <v>0</v>
      </c>
      <c r="R81" s="1" t="s">
        <v>34</v>
      </c>
      <c r="S81" s="14">
        <f>$H$10*2*125</f>
        <v>595</v>
      </c>
      <c r="T81" s="1">
        <f t="shared" si="16"/>
        <v>0</v>
      </c>
      <c r="U81" s="14">
        <v>30</v>
      </c>
      <c r="V81" s="14"/>
      <c r="Y81" s="9">
        <f t="shared" ref="Y81:Y85" si="17">SUM(AE81:EB81)</f>
        <v>0</v>
      </c>
      <c r="Z81" s="82"/>
      <c r="AA81" s="82"/>
      <c r="AC81" s="9">
        <f>$Y81*(Voorblad!$K$44*(1+Voorblad!$K$44)^Voorblad!$K$41)/((1+Voorblad!$K$44)^Voorblad!$K$41-1)</f>
        <v>0</v>
      </c>
      <c r="AE81" s="9">
        <f>EF81*($Q81*$S81)/(1+Voorblad!$K$44)^(AE$56-Voorblad!$F$41)</f>
        <v>0</v>
      </c>
      <c r="AF81" s="9">
        <f>EG81*($Q81*$S81)/(1+Voorblad!$K$44)^(AF$56-Voorblad!$F$41)</f>
        <v>0</v>
      </c>
      <c r="AG81" s="9">
        <f>EH81*($Q81*$S81)/(1+Voorblad!$K$44)^(AG$56-Voorblad!$F$41)</f>
        <v>0</v>
      </c>
      <c r="AH81" s="9">
        <f>EI81*($Q81*$S81)/(1+Voorblad!$K$44)^(AH$56-Voorblad!$F$41)</f>
        <v>0</v>
      </c>
      <c r="AI81" s="9">
        <f>EJ81*($Q81*$S81)/(1+Voorblad!$K$44)^(AI$56-Voorblad!$F$41)</f>
        <v>0</v>
      </c>
      <c r="AJ81" s="9">
        <f>EK81*($Q81*$S81)/(1+Voorblad!$K$44)^(AJ$56-Voorblad!$F$41)</f>
        <v>0</v>
      </c>
      <c r="AK81" s="9">
        <f>EL81*($Q81*$S81)/(1+Voorblad!$K$44)^(AK$56-Voorblad!$F$41)</f>
        <v>0</v>
      </c>
      <c r="AL81" s="9">
        <f>EM81*($Q81*$S81)/(1+Voorblad!$K$44)^(AL$56-Voorblad!$F$41)</f>
        <v>0</v>
      </c>
      <c r="AM81" s="9">
        <f>EN81*($Q81*$S81)/(1+Voorblad!$K$44)^(AM$56-Voorblad!$F$41)</f>
        <v>0</v>
      </c>
      <c r="AN81" s="9">
        <f>EO81*($Q81*$S81)/(1+Voorblad!$K$44)^(AN$56-Voorblad!$F$41)</f>
        <v>0</v>
      </c>
      <c r="AO81" s="9">
        <f>EP81*($Q81*$S81)/(1+Voorblad!$K$44)^(AO$56-Voorblad!$F$41)</f>
        <v>0</v>
      </c>
      <c r="AP81" s="9">
        <f>EQ81*($Q81*$S81)/(1+Voorblad!$K$44)^(AP$56-Voorblad!$F$41)</f>
        <v>0</v>
      </c>
      <c r="AQ81" s="9">
        <f>ER81*($Q81*$S81)/(1+Voorblad!$K$44)^(AQ$56-Voorblad!$F$41)</f>
        <v>0</v>
      </c>
      <c r="AR81" s="9">
        <f>ES81*($Q81*$S81)/(1+Voorblad!$K$44)^(AR$56-Voorblad!$F$41)</f>
        <v>0</v>
      </c>
      <c r="AS81" s="9">
        <f>ET81*($Q81*$S81)/(1+Voorblad!$K$44)^(AS$56-Voorblad!$F$41)</f>
        <v>0</v>
      </c>
      <c r="AT81" s="9">
        <f>EU81*($Q81*$S81)/(1+Voorblad!$K$44)^(AT$56-Voorblad!$F$41)</f>
        <v>0</v>
      </c>
      <c r="AU81" s="9">
        <f>EV81*($Q81*$S81)/(1+Voorblad!$K$44)^(AU$56-Voorblad!$F$41)</f>
        <v>0</v>
      </c>
      <c r="AV81" s="9">
        <f>EW81*($Q81*$S81)/(1+Voorblad!$K$44)^(AV$56-Voorblad!$F$41)</f>
        <v>0</v>
      </c>
      <c r="AW81" s="9">
        <f>EX81*($Q81*$S81)/(1+Voorblad!$K$44)^(AW$56-Voorblad!$F$41)</f>
        <v>0</v>
      </c>
      <c r="AX81" s="9">
        <f>EY81*($Q81*$S81)/(1+Voorblad!$K$44)^(AX$56-Voorblad!$F$41)</f>
        <v>0</v>
      </c>
      <c r="AY81" s="9">
        <f>EZ81*($Q81*$S81)/(1+Voorblad!$K$44)^(AY$56-Voorblad!$F$41)</f>
        <v>0</v>
      </c>
      <c r="AZ81" s="9">
        <f>FA81*($Q81*$S81)/(1+Voorblad!$K$44)^(AZ$56-Voorblad!$F$41)</f>
        <v>0</v>
      </c>
      <c r="BA81" s="9">
        <f>FB81*($Q81*$S81)/(1+Voorblad!$K$44)^(BA$56-Voorblad!$F$41)</f>
        <v>0</v>
      </c>
      <c r="BB81" s="9">
        <f>FC81*($Q81*$S81)/(1+Voorblad!$K$44)^(BB$56-Voorblad!$F$41)</f>
        <v>0</v>
      </c>
      <c r="BC81" s="9">
        <f>FD81*($Q81*$S81)/(1+Voorblad!$K$44)^(BC$56-Voorblad!$F$41)</f>
        <v>0</v>
      </c>
      <c r="BD81" s="9">
        <f>FE81*($Q81*$S81)/(1+Voorblad!$K$44)^(BD$56-Voorblad!$F$41)</f>
        <v>0</v>
      </c>
      <c r="BE81" s="9">
        <f>FF81*($Q81*$S81)/(1+Voorblad!$K$44)^(BE$56-Voorblad!$F$41)</f>
        <v>0</v>
      </c>
      <c r="BF81" s="9">
        <f>FG81*($Q81*$S81)/(1+Voorblad!$K$44)^(BF$56-Voorblad!$F$41)</f>
        <v>0</v>
      </c>
      <c r="BG81" s="9">
        <f>FH81*($Q81*$S81)/(1+Voorblad!$K$44)^(BG$56-Voorblad!$F$41)</f>
        <v>0</v>
      </c>
      <c r="BH81" s="9">
        <f>FI81*($Q81*$S81)/(1+Voorblad!$K$44)^(BH$56-Voorblad!$F$41)</f>
        <v>0</v>
      </c>
      <c r="BI81" s="9">
        <f>FJ81*($Q81*$S81)/(1+Voorblad!$K$44)^(BI$56-Voorblad!$F$41)</f>
        <v>0</v>
      </c>
      <c r="BJ81" s="9">
        <f>FK81*($Q81*$S81)/(1+Voorblad!$K$44)^(BJ$56-Voorblad!$F$41)</f>
        <v>0</v>
      </c>
      <c r="BK81" s="9">
        <f>FL81*($Q81*$S81)/(1+Voorblad!$K$44)^(BK$56-Voorblad!$F$41)</f>
        <v>0</v>
      </c>
      <c r="BL81" s="9">
        <f>FM81*($Q81*$S81)/(1+Voorblad!$K$44)^(BL$56-Voorblad!$F$41)</f>
        <v>0</v>
      </c>
      <c r="BM81" s="9">
        <f>FN81*($Q81*$S81)/(1+Voorblad!$K$44)^(BM$56-Voorblad!$F$41)</f>
        <v>0</v>
      </c>
      <c r="BN81" s="9">
        <f>FO81*($Q81*$S81)/(1+Voorblad!$K$44)^(BN$56-Voorblad!$F$41)</f>
        <v>0</v>
      </c>
      <c r="BO81" s="9">
        <f>FP81*($Q81*$S81)/(1+Voorblad!$K$44)^(BO$56-Voorblad!$F$41)</f>
        <v>0</v>
      </c>
      <c r="BP81" s="9">
        <f>FQ81*($Q81*$S81)/(1+Voorblad!$K$44)^(BP$56-Voorblad!$F$41)</f>
        <v>0</v>
      </c>
      <c r="BQ81" s="9">
        <f>FR81*($Q81*$S81)/(1+Voorblad!$K$44)^(BQ$56-Voorblad!$F$41)</f>
        <v>0</v>
      </c>
      <c r="BR81" s="9">
        <f>FS81*($Q81*$S81)/(1+Voorblad!$K$44)^(BR$56-Voorblad!$F$41)</f>
        <v>0</v>
      </c>
      <c r="BS81" s="9">
        <f>FT81*($Q81*$S81)/(1+Voorblad!$K$44)^(BS$56-Voorblad!$F$41)</f>
        <v>0</v>
      </c>
      <c r="BT81" s="9">
        <f>FU81*($Q81*$S81)/(1+Voorblad!$K$44)^(BT$56-Voorblad!$F$41)</f>
        <v>0</v>
      </c>
      <c r="BU81" s="9">
        <f>FV81*($Q81*$S81)/(1+Voorblad!$K$44)^(BU$56-Voorblad!$F$41)</f>
        <v>0</v>
      </c>
      <c r="BV81" s="9">
        <f>FW81*($Q81*$S81)/(1+Voorblad!$K$44)^(BV$56-Voorblad!$F$41)</f>
        <v>0</v>
      </c>
      <c r="BW81" s="9">
        <f>FX81*($Q81*$S81)/(1+Voorblad!$K$44)^(BW$56-Voorblad!$F$41)</f>
        <v>0</v>
      </c>
      <c r="BX81" s="9">
        <f>FY81*($Q81*$S81)/(1+Voorblad!$K$44)^(BX$56-Voorblad!$F$41)</f>
        <v>0</v>
      </c>
      <c r="BY81" s="9">
        <f>FZ81*($Q81*$S81)/(1+Voorblad!$K$44)^(BY$56-Voorblad!$F$41)</f>
        <v>0</v>
      </c>
      <c r="BZ81" s="9">
        <f>GA81*($Q81*$S81)/(1+Voorblad!$K$44)^(BZ$56-Voorblad!$F$41)</f>
        <v>0</v>
      </c>
      <c r="CA81" s="9">
        <f>GB81*($Q81*$S81)/(1+Voorblad!$K$44)^(CA$56-Voorblad!$F$41)</f>
        <v>0</v>
      </c>
      <c r="CB81" s="9">
        <f>GC81*($Q81*$S81)/(1+Voorblad!$K$44)^(CB$56-Voorblad!$F$41)</f>
        <v>0</v>
      </c>
      <c r="CC81" s="9">
        <f>GD81*($Q81*$S81)/(1+Voorblad!$K$44)^(CC$56-Voorblad!$F$41)</f>
        <v>0</v>
      </c>
      <c r="CD81" s="9">
        <f>GE81*($Q81*$S81)/(1+Voorblad!$K$44)^(CD$56-Voorblad!$F$41)</f>
        <v>0</v>
      </c>
      <c r="CE81" s="9">
        <f>GF81*($Q81*$S81)/(1+Voorblad!$K$44)^(CE$56-Voorblad!$F$41)</f>
        <v>0</v>
      </c>
      <c r="CF81" s="9">
        <f>GG81*($Q81*$S81)/(1+Voorblad!$K$44)^(CF$56-Voorblad!$F$41)</f>
        <v>0</v>
      </c>
      <c r="CG81" s="9">
        <f>GH81*($Q81*$S81)/(1+Voorblad!$K$44)^(CG$56-Voorblad!$F$41)</f>
        <v>0</v>
      </c>
      <c r="CH81" s="9">
        <f>GI81*($Q81*$S81)/(1+Voorblad!$K$44)^(CH$56-Voorblad!$F$41)</f>
        <v>0</v>
      </c>
      <c r="CI81" s="9">
        <f>GJ81*($Q81*$S81)/(1+Voorblad!$K$44)^(CI$56-Voorblad!$F$41)</f>
        <v>0</v>
      </c>
      <c r="CJ81" s="9">
        <f>GK81*($Q81*$S81)/(1+Voorblad!$K$44)^(CJ$56-Voorblad!$F$41)</f>
        <v>0</v>
      </c>
      <c r="CK81" s="9">
        <f>GL81*($Q81*$S81)/(1+Voorblad!$K$44)^(CK$56-Voorblad!$F$41)</f>
        <v>0</v>
      </c>
      <c r="CL81" s="9">
        <f>GM81*($Q81*$S81)/(1+Voorblad!$K$44)^(CL$56-Voorblad!$F$41)</f>
        <v>0</v>
      </c>
      <c r="CM81" s="9">
        <f>GN81*($Q81*$S81)/(1+Voorblad!$K$44)^(CM$56-Voorblad!$F$41)</f>
        <v>0</v>
      </c>
      <c r="CN81" s="9">
        <f>GO81*($Q81*$S81)/(1+Voorblad!$K$44)^(CN$56-Voorblad!$F$41)</f>
        <v>0</v>
      </c>
      <c r="CO81" s="9">
        <f>GP81*($Q81*$S81)/(1+Voorblad!$K$44)^(CO$56-Voorblad!$F$41)</f>
        <v>0</v>
      </c>
      <c r="CP81" s="9">
        <f>GQ81*($Q81*$S81)/(1+Voorblad!$K$44)^(CP$56-Voorblad!$F$41)</f>
        <v>0</v>
      </c>
      <c r="CQ81" s="9">
        <f>GR81*($Q81*$S81)/(1+Voorblad!$K$44)^(CQ$56-Voorblad!$F$41)</f>
        <v>0</v>
      </c>
      <c r="CR81" s="9">
        <f>GS81*($Q81*$S81)/(1+Voorblad!$K$44)^(CR$56-Voorblad!$F$41)</f>
        <v>0</v>
      </c>
      <c r="CS81" s="9">
        <f>GT81*($Q81*$S81)/(1+Voorblad!$K$44)^(CS$56-Voorblad!$F$41)</f>
        <v>0</v>
      </c>
      <c r="CT81" s="9">
        <f>GU81*($Q81*$S81)/(1+Voorblad!$K$44)^(CT$56-Voorblad!$F$41)</f>
        <v>0</v>
      </c>
      <c r="CU81" s="9">
        <f>GV81*($Q81*$S81)/(1+Voorblad!$K$44)^(CU$56-Voorblad!$F$41)</f>
        <v>0</v>
      </c>
      <c r="CV81" s="9">
        <f>GW81*($Q81*$S81)/(1+Voorblad!$K$44)^(CV$56-Voorblad!$F$41)</f>
        <v>0</v>
      </c>
      <c r="CW81" s="9">
        <f>GX81*($Q81*$S81)/(1+Voorblad!$K$44)^(CW$56-Voorblad!$F$41)</f>
        <v>0</v>
      </c>
      <c r="CX81" s="9">
        <f>GY81*($Q81*$S81)/(1+Voorblad!$K$44)^(CX$56-Voorblad!$F$41)</f>
        <v>0</v>
      </c>
      <c r="CY81" s="9">
        <f>GZ81*($Q81*$S81)/(1+Voorblad!$K$44)^(CY$56-Voorblad!$F$41)</f>
        <v>0</v>
      </c>
      <c r="CZ81" s="9">
        <f>HA81*($Q81*$S81)/(1+Voorblad!$K$44)^(CZ$56-Voorblad!$F$41)</f>
        <v>0</v>
      </c>
      <c r="DA81" s="9">
        <f>HB81*($Q81*$S81)/(1+Voorblad!$K$44)^(DA$56-Voorblad!$F$41)</f>
        <v>0</v>
      </c>
      <c r="DB81" s="9">
        <f>HC81*($Q81*$S81)/(1+Voorblad!$K$44)^(DB$56-Voorblad!$F$41)</f>
        <v>0</v>
      </c>
      <c r="DC81" s="9">
        <f>HD81*($Q81*$S81)/(1+Voorblad!$K$44)^(DC$56-Voorblad!$F$41)</f>
        <v>0</v>
      </c>
      <c r="DD81" s="9">
        <f>HE81*($Q81*$S81)/(1+Voorblad!$K$44)^(DD$56-Voorblad!$F$41)</f>
        <v>0</v>
      </c>
      <c r="DE81" s="9">
        <f>HF81*($Q81*$S81)/(1+Voorblad!$K$44)^(DE$56-Voorblad!$F$41)</f>
        <v>0</v>
      </c>
      <c r="DF81" s="9">
        <f>HG81*($Q81*$S81)/(1+Voorblad!$K$44)^(DF$56-Voorblad!$F$41)</f>
        <v>0</v>
      </c>
      <c r="DG81" s="9">
        <f>HH81*($Q81*$S81)/(1+Voorblad!$K$44)^(DG$56-Voorblad!$F$41)</f>
        <v>0</v>
      </c>
      <c r="DH81" s="9">
        <f>HI81*($Q81*$S81)/(1+Voorblad!$K$44)^(DH$56-Voorblad!$F$41)</f>
        <v>0</v>
      </c>
      <c r="DI81" s="9">
        <f>HJ81*($Q81*$S81)/(1+Voorblad!$K$44)^(DI$56-Voorblad!$F$41)</f>
        <v>0</v>
      </c>
      <c r="DJ81" s="9">
        <f>HK81*($Q81*$S81)/(1+Voorblad!$K$44)^(DJ$56-Voorblad!$F$41)</f>
        <v>0</v>
      </c>
      <c r="DK81" s="9">
        <f>HL81*($Q81*$S81)/(1+Voorblad!$K$44)^(DK$56-Voorblad!$F$41)</f>
        <v>0</v>
      </c>
      <c r="DL81" s="9">
        <f>HM81*($Q81*$S81)/(1+Voorblad!$K$44)^(DL$56-Voorblad!$F$41)</f>
        <v>0</v>
      </c>
      <c r="DM81" s="9">
        <f>HN81*($Q81*$S81)/(1+Voorblad!$K$44)^(DM$56-Voorblad!$F$41)</f>
        <v>0</v>
      </c>
      <c r="DN81" s="9">
        <f>HO81*($Q81*$S81)/(1+Voorblad!$K$44)^(DN$56-Voorblad!$F$41)</f>
        <v>0</v>
      </c>
      <c r="DO81" s="9">
        <f>HP81*($Q81*$S81)/(1+Voorblad!$K$44)^(DO$56-Voorblad!$F$41)</f>
        <v>0</v>
      </c>
      <c r="DP81" s="9">
        <f>HQ81*($Q81*$S81)/(1+Voorblad!$K$44)^(DP$56-Voorblad!$F$41)</f>
        <v>0</v>
      </c>
      <c r="DQ81" s="9">
        <f>HR81*($Q81*$S81)/(1+Voorblad!$K$44)^(DQ$56-Voorblad!$F$41)</f>
        <v>0</v>
      </c>
      <c r="DR81" s="9">
        <f>HS81*($Q81*$S81)/(1+Voorblad!$K$44)^(DR$56-Voorblad!$F$41)</f>
        <v>0</v>
      </c>
      <c r="DS81" s="9">
        <f>HT81*($Q81*$S81)/(1+Voorblad!$K$44)^(DS$56-Voorblad!$F$41)</f>
        <v>0</v>
      </c>
      <c r="DT81" s="9">
        <f>HU81*($Q81*$S81)/(1+Voorblad!$K$44)^(DT$56-Voorblad!$F$41)</f>
        <v>0</v>
      </c>
      <c r="DU81" s="9">
        <f>HV81*($Q81*$S81)/(1+Voorblad!$K$44)^(DU$56-Voorblad!$F$41)</f>
        <v>0</v>
      </c>
      <c r="DV81" s="9">
        <f>HW81*($Q81*$S81)/(1+Voorblad!$K$44)^(DV$56-Voorblad!$F$41)</f>
        <v>0</v>
      </c>
      <c r="DW81" s="9">
        <f>HX81*($Q81*$S81)/(1+Voorblad!$K$44)^(DW$56-Voorblad!$F$41)</f>
        <v>0</v>
      </c>
      <c r="DX81" s="9">
        <f>HY81*($Q81*$S81)/(1+Voorblad!$K$44)^(DX$56-Voorblad!$F$41)</f>
        <v>0</v>
      </c>
      <c r="DY81" s="9">
        <f>HZ81*($Q81*$S81)/(1+Voorblad!$K$44)^(DY$56-Voorblad!$F$41)</f>
        <v>0</v>
      </c>
      <c r="DZ81" s="9">
        <f>IA81*($Q81*$S81)/(1+Voorblad!$K$44)^(DZ$56-Voorblad!$F$41)</f>
        <v>0</v>
      </c>
      <c r="EA81" s="9">
        <f>IB81*($Q81*$S81)/(1+Voorblad!$K$44)^(EA$56-Voorblad!$F$41)</f>
        <v>0</v>
      </c>
      <c r="EB81" s="9">
        <f>IC81*($Q81*$S81)/(1+Voorblad!$K$44)^(EB$56-Voorblad!$F$41)</f>
        <v>0</v>
      </c>
      <c r="EE81" s="8">
        <v>0</v>
      </c>
      <c r="EF81" s="8">
        <f>IF(EF$56-Voorblad!$F$41&gt;Voorblad!$K$41,0,IF($U81=0,0,IF($U81&lt;1,1/$U81,IF((EF$56-Voorblad!$F$41)/$U81-SUM($EE81:EE81)=1,1,0))))</f>
        <v>0</v>
      </c>
      <c r="EG81" s="8">
        <f>IF(EG$56-Voorblad!$F$41&gt;Voorblad!$K$41,0,IF($U81=0,0,IF($U81&lt;1,1/$U81,IF((EG$56-Voorblad!$F$41)/$U81-SUM($EE81:EF81)=1,1,0))))</f>
        <v>0</v>
      </c>
      <c r="EH81" s="8">
        <f>IF(EH$56-Voorblad!$F$41&gt;Voorblad!$K$41,0,IF($U81=0,0,IF($U81&lt;1,1/$U81,IF((EH$56-Voorblad!$F$41)/$U81-SUM($EE81:EG81)=1,1,0))))</f>
        <v>0</v>
      </c>
      <c r="EI81" s="8">
        <f>IF(EI$56-Voorblad!$F$41&gt;Voorblad!$K$41,0,IF($U81=0,0,IF($U81&lt;1,1/$U81,IF((EI$56-Voorblad!$F$41)/$U81-SUM($EE81:EH81)=1,1,0))))</f>
        <v>0</v>
      </c>
      <c r="EJ81" s="8">
        <f>IF(EJ$56-Voorblad!$F$41&gt;Voorblad!$K$41,0,IF($U81=0,0,IF($U81&lt;1,1/$U81,IF((EJ$56-Voorblad!$F$41)/$U81-SUM($EE81:EI81)=1,1,0))))</f>
        <v>0</v>
      </c>
      <c r="EK81" s="8">
        <f>IF(EK$56-Voorblad!$F$41&gt;Voorblad!$K$41,0,IF($U81=0,0,IF($U81&lt;1,1/$U81,IF((EK$56-Voorblad!$F$41)/$U81-SUM($EE81:EJ81)=1,1,0))))</f>
        <v>0</v>
      </c>
      <c r="EL81" s="8">
        <f>IF(EL$56-Voorblad!$F$41&gt;Voorblad!$K$41,0,IF($U81=0,0,IF($U81&lt;1,1/$U81,IF((EL$56-Voorblad!$F$41)/$U81-SUM($EE81:EK81)=1,1,0))))</f>
        <v>0</v>
      </c>
      <c r="EM81" s="8">
        <f>IF(EM$56-Voorblad!$F$41&gt;Voorblad!$K$41,0,IF($U81=0,0,IF($U81&lt;1,1/$U81,IF((EM$56-Voorblad!$F$41)/$U81-SUM($EE81:EL81)=1,1,0))))</f>
        <v>0</v>
      </c>
      <c r="EN81" s="8">
        <f>IF(EN$56-Voorblad!$F$41&gt;Voorblad!$K$41,0,IF($U81=0,0,IF($U81&lt;1,1/$U81,IF((EN$56-Voorblad!$F$41)/$U81-SUM($EE81:EM81)=1,1,0))))</f>
        <v>0</v>
      </c>
      <c r="EO81" s="8">
        <f>IF(EO$56-Voorblad!$F$41&gt;Voorblad!$K$41,0,IF($U81=0,0,IF($U81&lt;1,1/$U81,IF((EO$56-Voorblad!$F$41)/$U81-SUM($EE81:EN81)=1,1,0))))</f>
        <v>0</v>
      </c>
      <c r="EP81" s="8">
        <f>IF(EP$56-Voorblad!$F$41&gt;Voorblad!$K$41,0,IF($U81=0,0,IF($U81&lt;1,1/$U81,IF((EP$56-Voorblad!$F$41)/$U81-SUM($EE81:EO81)=1,1,0))))</f>
        <v>0</v>
      </c>
      <c r="EQ81" s="8">
        <f>IF(EQ$56-Voorblad!$F$41&gt;Voorblad!$K$41,0,IF($U81=0,0,IF($U81&lt;1,1/$U81,IF((EQ$56-Voorblad!$F$41)/$U81-SUM($EE81:EP81)=1,1,0))))</f>
        <v>0</v>
      </c>
      <c r="ER81" s="8">
        <f>IF(ER$56-Voorblad!$F$41&gt;Voorblad!$K$41,0,IF($U81=0,0,IF($U81&lt;1,1/$U81,IF((ER$56-Voorblad!$F$41)/$U81-SUM($EE81:EQ81)=1,1,0))))</f>
        <v>0</v>
      </c>
      <c r="ES81" s="8">
        <f>IF(ES$56-Voorblad!$F$41&gt;Voorblad!$K$41,0,IF($U81=0,0,IF($U81&lt;1,1/$U81,IF((ES$56-Voorblad!$F$41)/$U81-SUM($EE81:ER81)=1,1,0))))</f>
        <v>0</v>
      </c>
      <c r="ET81" s="8">
        <f>IF(ET$56-Voorblad!$F$41&gt;Voorblad!$K$41,0,IF($U81=0,0,IF($U81&lt;1,1/$U81,IF((ET$56-Voorblad!$F$41)/$U81-SUM($EE81:ES81)=1,1,0))))</f>
        <v>0</v>
      </c>
      <c r="EU81" s="8">
        <f>IF(EU$56-Voorblad!$F$41&gt;Voorblad!$K$41,0,IF($U81=0,0,IF($U81&lt;1,1/$U81,IF((EU$56-Voorblad!$F$41)/$U81-SUM($EE81:ET81)=1,1,0))))</f>
        <v>0</v>
      </c>
      <c r="EV81" s="8">
        <f>IF(EV$56-Voorblad!$F$41&gt;Voorblad!$K$41,0,IF($U81=0,0,IF($U81&lt;1,1/$U81,IF((EV$56-Voorblad!$F$41)/$U81-SUM($EE81:EU81)=1,1,0))))</f>
        <v>0</v>
      </c>
      <c r="EW81" s="8">
        <f>IF(EW$56-Voorblad!$F$41&gt;Voorblad!$K$41,0,IF($U81=0,0,IF($U81&lt;1,1/$U81,IF((EW$56-Voorblad!$F$41)/$U81-SUM($EE81:EV81)=1,1,0))))</f>
        <v>0</v>
      </c>
      <c r="EX81" s="8">
        <f>IF(EX$56-Voorblad!$F$41&gt;Voorblad!$K$41,0,IF($U81=0,0,IF($U81&lt;1,1/$U81,IF((EX$56-Voorblad!$F$41)/$U81-SUM($EE81:EW81)=1,1,0))))</f>
        <v>0</v>
      </c>
      <c r="EY81" s="8">
        <f>IF(EY$56-Voorblad!$F$41&gt;Voorblad!$K$41,0,IF($U81=0,0,IF($U81&lt;1,1/$U81,IF((EY$56-Voorblad!$F$41)/$U81-SUM($EE81:EX81)=1,1,0))))</f>
        <v>0</v>
      </c>
      <c r="EZ81" s="8">
        <f>IF(EZ$56-Voorblad!$F$41&gt;Voorblad!$K$41,0,IF($U81=0,0,IF($U81&lt;1,1/$U81,IF((EZ$56-Voorblad!$F$41)/$U81-SUM($EE81:EY81)=1,1,0))))</f>
        <v>0</v>
      </c>
      <c r="FA81" s="8">
        <f>IF(FA$56-Voorblad!$F$41&gt;Voorblad!$K$41,0,IF($U81=0,0,IF($U81&lt;1,1/$U81,IF((FA$56-Voorblad!$F$41)/$U81-SUM($EE81:EZ81)=1,1,0))))</f>
        <v>0</v>
      </c>
      <c r="FB81" s="8">
        <f>IF(FB$56-Voorblad!$F$41&gt;Voorblad!$K$41,0,IF($U81=0,0,IF($U81&lt;1,1/$U81,IF((FB$56-Voorblad!$F$41)/$U81-SUM($EE81:FA81)=1,1,0))))</f>
        <v>0</v>
      </c>
      <c r="FC81" s="8">
        <f>IF(FC$56-Voorblad!$F$41&gt;Voorblad!$K$41,0,IF($U81=0,0,IF($U81&lt;1,1/$U81,IF((FC$56-Voorblad!$F$41)/$U81-SUM($EE81:FB81)=1,1,0))))</f>
        <v>0</v>
      </c>
      <c r="FD81" s="8">
        <f>IF(FD$56-Voorblad!$F$41&gt;Voorblad!$K$41,0,IF($U81=0,0,IF($U81&lt;1,1/$U81,IF((FD$56-Voorblad!$F$41)/$U81-SUM($EE81:FC81)=1,1,0))))</f>
        <v>0</v>
      </c>
      <c r="FE81" s="8">
        <f>IF(FE$56-Voorblad!$F$41&gt;Voorblad!$K$41,0,IF($U81=0,0,IF($U81&lt;1,1/$U81,IF((FE$56-Voorblad!$F$41)/$U81-SUM($EE81:FD81)=1,1,0))))</f>
        <v>0</v>
      </c>
      <c r="FF81" s="8">
        <f>IF(FF$56-Voorblad!$F$41&gt;Voorblad!$K$41,0,IF($U81=0,0,IF($U81&lt;1,1/$U81,IF((FF$56-Voorblad!$F$41)/$U81-SUM($EE81:FE81)=1,1,0))))</f>
        <v>0</v>
      </c>
      <c r="FG81" s="8">
        <f>IF(FG$56-Voorblad!$F$41&gt;Voorblad!$K$41,0,IF($U81=0,0,IF($U81&lt;1,1/$U81,IF((FG$56-Voorblad!$F$41)/$U81-SUM($EE81:FF81)=1,1,0))))</f>
        <v>0</v>
      </c>
      <c r="FH81" s="8">
        <f>IF(FH$56-Voorblad!$F$41&gt;Voorblad!$K$41,0,IF($U81=0,0,IF($U81&lt;1,1/$U81,IF((FH$56-Voorblad!$F$41)/$U81-SUM($EE81:FG81)=1,1,0))))</f>
        <v>0</v>
      </c>
      <c r="FI81" s="8">
        <f>IF(FI$56-Voorblad!$F$41&gt;Voorblad!$K$41,0,IF($U81=0,0,IF($U81&lt;1,1/$U81,IF((FI$56-Voorblad!$F$41)/$U81-SUM($EE81:FH81)=1,1,0))))</f>
        <v>0</v>
      </c>
      <c r="FJ81" s="8">
        <f>IF(FJ$56-Voorblad!$F$41&gt;Voorblad!$K$41,0,IF($U81=0,0,IF($U81&lt;1,1/$U81,IF((FJ$56-Voorblad!$F$41)/$U81-SUM($EE81:FI81)=1,1,0))))</f>
        <v>1</v>
      </c>
      <c r="FK81" s="8">
        <f>IF(FK$56-Voorblad!$F$41&gt;Voorblad!$K$41,0,IF($U81=0,0,IF($U81&lt;1,1/$U81,IF((FK$56-Voorblad!$F$41)/$U81-SUM($EE81:FJ81)=1,1,0))))</f>
        <v>0</v>
      </c>
      <c r="FL81" s="8">
        <f>IF(FL$56-Voorblad!$F$41&gt;Voorblad!$K$41,0,IF($U81=0,0,IF($U81&lt;1,1/$U81,IF((FL$56-Voorblad!$F$41)/$U81-SUM($EE81:FK81)=1,1,0))))</f>
        <v>0</v>
      </c>
      <c r="FM81" s="8">
        <f>IF(FM$56-Voorblad!$F$41&gt;Voorblad!$K$41,0,IF($U81=0,0,IF($U81&lt;1,1/$U81,IF((FM$56-Voorblad!$F$41)/$U81-SUM($EE81:FL81)=1,1,0))))</f>
        <v>0</v>
      </c>
      <c r="FN81" s="8">
        <f>IF(FN$56-Voorblad!$F$41&gt;Voorblad!$K$41,0,IF($U81=0,0,IF($U81&lt;1,1/$U81,IF((FN$56-Voorblad!$F$41)/$U81-SUM($EE81:FM81)=1,1,0))))</f>
        <v>0</v>
      </c>
      <c r="FO81" s="8">
        <f>IF(FO$56-Voorblad!$F$41&gt;Voorblad!$K$41,0,IF($U81=0,0,IF($U81&lt;1,1/$U81,IF((FO$56-Voorblad!$F$41)/$U81-SUM($EE81:FN81)=1,1,0))))</f>
        <v>0</v>
      </c>
      <c r="FP81" s="8">
        <f>IF(FP$56-Voorblad!$F$41&gt;Voorblad!$K$41,0,IF($U81=0,0,IF($U81&lt;1,1/$U81,IF((FP$56-Voorblad!$F$41)/$U81-SUM($EE81:FO81)=1,1,0))))</f>
        <v>0</v>
      </c>
      <c r="FQ81" s="8">
        <f>IF(FQ$56-Voorblad!$F$41&gt;Voorblad!$K$41,0,IF($U81=0,0,IF($U81&lt;1,1/$U81,IF((FQ$56-Voorblad!$F$41)/$U81-SUM($EE81:FP81)=1,1,0))))</f>
        <v>0</v>
      </c>
      <c r="FR81" s="8">
        <f>IF(FR$56-Voorblad!$F$41&gt;Voorblad!$K$41,0,IF($U81=0,0,IF($U81&lt;1,1/$U81,IF((FR$56-Voorblad!$F$41)/$U81-SUM($EE81:FQ81)=1,1,0))))</f>
        <v>0</v>
      </c>
      <c r="FS81" s="8">
        <f>IF(FS$56-Voorblad!$F$41&gt;Voorblad!$K$41,0,IF($U81=0,0,IF($U81&lt;1,1/$U81,IF((FS$56-Voorblad!$F$41)/$U81-SUM($EE81:FR81)=1,1,0))))</f>
        <v>0</v>
      </c>
      <c r="FT81" s="8">
        <f>IF(FT$56-Voorblad!$F$41&gt;Voorblad!$K$41,0,IF($U81=0,0,IF($U81&lt;1,1/$U81,IF((FT$56-Voorblad!$F$41)/$U81-SUM($EE81:FS81)=1,1,0))))</f>
        <v>0</v>
      </c>
      <c r="FU81" s="8">
        <f>IF(FU$56-Voorblad!$F$41&gt;Voorblad!$K$41,0,IF($U81=0,0,IF($U81&lt;1,1/$U81,IF((FU$56-Voorblad!$F$41)/$U81-SUM($EE81:FT81)=1,1,0))))</f>
        <v>0</v>
      </c>
      <c r="FV81" s="8">
        <f>IF(FV$56-Voorblad!$F$41&gt;Voorblad!$K$41,0,IF($U81=0,0,IF($U81&lt;1,1/$U81,IF((FV$56-Voorblad!$F$41)/$U81-SUM($EE81:FU81)=1,1,0))))</f>
        <v>0</v>
      </c>
      <c r="FW81" s="8">
        <f>IF(FW$56-Voorblad!$F$41&gt;Voorblad!$K$41,0,IF($U81=0,0,IF($U81&lt;1,1/$U81,IF((FW$56-Voorblad!$F$41)/$U81-SUM($EE81:FV81)=1,1,0))))</f>
        <v>0</v>
      </c>
      <c r="FX81" s="8">
        <f>IF(FX$56-Voorblad!$F$41&gt;Voorblad!$K$41,0,IF($U81=0,0,IF($U81&lt;1,1/$U81,IF((FX$56-Voorblad!$F$41)/$U81-SUM($EE81:FW81)=1,1,0))))</f>
        <v>0</v>
      </c>
      <c r="FY81" s="8">
        <f>IF(FY$56-Voorblad!$F$41&gt;Voorblad!$K$41,0,IF($U81=0,0,IF($U81&lt;1,1/$U81,IF((FY$56-Voorblad!$F$41)/$U81-SUM($EE81:FX81)=1,1,0))))</f>
        <v>0</v>
      </c>
      <c r="FZ81" s="8">
        <f>IF(FZ$56-Voorblad!$F$41&gt;Voorblad!$K$41,0,IF($U81=0,0,IF($U81&lt;1,1/$U81,IF((FZ$56-Voorblad!$F$41)/$U81-SUM($EE81:FY81)=1,1,0))))</f>
        <v>0</v>
      </c>
      <c r="GA81" s="8">
        <f>IF(GA$56-Voorblad!$F$41&gt;Voorblad!$K$41,0,IF($U81=0,0,IF($U81&lt;1,1/$U81,IF((GA$56-Voorblad!$F$41)/$U81-SUM($EE81:FZ81)=1,1,0))))</f>
        <v>0</v>
      </c>
      <c r="GB81" s="8">
        <f>IF(GB$56-Voorblad!$F$41&gt;Voorblad!$K$41,0,IF($U81=0,0,IF($U81&lt;1,1/$U81,IF((GB$56-Voorblad!$F$41)/$U81-SUM($EE81:GA81)=1,1,0))))</f>
        <v>0</v>
      </c>
      <c r="GC81" s="8">
        <f>IF(GC$56-Voorblad!$F$41&gt;Voorblad!$K$41,0,IF($U81=0,0,IF($U81&lt;1,1/$U81,IF((GC$56-Voorblad!$F$41)/$U81-SUM($EE81:GB81)=1,1,0))))</f>
        <v>0</v>
      </c>
      <c r="GD81" s="8">
        <f>IF(GD$56-Voorblad!$F$41&gt;Voorblad!$K$41,0,IF($U81=0,0,IF($U81&lt;1,1/$U81,IF((GD$56-Voorblad!$F$41)/$U81-SUM($EE81:GC81)=1,1,0))))</f>
        <v>0</v>
      </c>
      <c r="GE81" s="8">
        <f>IF(GE$56-Voorblad!$F$41&gt;Voorblad!$K$41,0,IF($U81=0,0,IF($U81&lt;1,1/$U81,IF((GE$56-Voorblad!$F$41)/$U81-SUM($EE81:GD81)=1,1,0))))</f>
        <v>0</v>
      </c>
      <c r="GF81" s="8">
        <f>IF(GF$56-Voorblad!$F$41&gt;Voorblad!$K$41,0,IF($U81=0,0,IF($U81&lt;1,1/$U81,IF((GF$56-Voorblad!$F$41)/$U81-SUM($EE81:GE81)=1,1,0))))</f>
        <v>0</v>
      </c>
      <c r="GG81" s="8">
        <f>IF(GG$56-Voorblad!$F$41&gt;Voorblad!$K$41,0,IF($U81=0,0,IF($U81&lt;1,1/$U81,IF((GG$56-Voorblad!$F$41)/$U81-SUM($EE81:GF81)=1,1,0))))</f>
        <v>0</v>
      </c>
      <c r="GH81" s="8">
        <f>IF(GH$56-Voorblad!$F$41&gt;Voorblad!$K$41,0,IF($U81=0,0,IF($U81&lt;1,1/$U81,IF((GH$56-Voorblad!$F$41)/$U81-SUM($EE81:GG81)=1,1,0))))</f>
        <v>0</v>
      </c>
      <c r="GI81" s="8">
        <f>IF(GI$56-Voorblad!$F$41&gt;Voorblad!$K$41,0,IF($U81=0,0,IF($U81&lt;1,1/$U81,IF((GI$56-Voorblad!$F$41)/$U81-SUM($EE81:GH81)=1,1,0))))</f>
        <v>0</v>
      </c>
      <c r="GJ81" s="8">
        <f>IF(GJ$56-Voorblad!$F$41&gt;Voorblad!$K$41,0,IF($U81=0,0,IF($U81&lt;1,1/$U81,IF((GJ$56-Voorblad!$F$41)/$U81-SUM($EE81:GI81)=1,1,0))))</f>
        <v>0</v>
      </c>
      <c r="GK81" s="8">
        <f>IF(GK$56-Voorblad!$F$41&gt;Voorblad!$K$41,0,IF($U81=0,0,IF($U81&lt;1,1/$U81,IF((GK$56-Voorblad!$F$41)/$U81-SUM($EE81:GJ81)=1,1,0))))</f>
        <v>0</v>
      </c>
      <c r="GL81" s="8">
        <f>IF(GL$56-Voorblad!$F$41&gt;Voorblad!$K$41,0,IF($U81=0,0,IF($U81&lt;1,1/$U81,IF((GL$56-Voorblad!$F$41)/$U81-SUM($EE81:GK81)=1,1,0))))</f>
        <v>0</v>
      </c>
      <c r="GM81" s="8">
        <f>IF(GM$56-Voorblad!$F$41&gt;Voorblad!$K$41,0,IF($U81=0,0,IF($U81&lt;1,1/$U81,IF((GM$56-Voorblad!$F$41)/$U81-SUM($EE81:GL81)=1,1,0))))</f>
        <v>0</v>
      </c>
      <c r="GN81" s="8">
        <f>IF(GN$56-Voorblad!$F$41&gt;Voorblad!$K$41,0,IF($U81=0,0,IF($U81&lt;1,1/$U81,IF((GN$56-Voorblad!$F$41)/$U81-SUM($EE81:GM81)=1,1,0))))</f>
        <v>1</v>
      </c>
      <c r="GO81" s="8">
        <f>IF(GO$56-Voorblad!$F$41&gt;Voorblad!$K$41,0,IF($U81=0,0,IF($U81&lt;1,1/$U81,IF((GO$56-Voorblad!$F$41)/$U81-SUM($EE81:GN81)=1,1,0))))</f>
        <v>0</v>
      </c>
      <c r="GP81" s="8">
        <f>IF(GP$56-Voorblad!$F$41&gt;Voorblad!$K$41,0,IF($U81=0,0,IF($U81&lt;1,1/$U81,IF((GP$56-Voorblad!$F$41)/$U81-SUM($EE81:GO81)=1,1,0))))</f>
        <v>0</v>
      </c>
      <c r="GQ81" s="8">
        <f>IF(GQ$56-Voorblad!$F$41&gt;Voorblad!$K$41,0,IF($U81=0,0,IF($U81&lt;1,1/$U81,IF((GQ$56-Voorblad!$F$41)/$U81-SUM($EE81:GP81)=1,1,0))))</f>
        <v>0</v>
      </c>
      <c r="GR81" s="8">
        <f>IF(GR$56-Voorblad!$F$41&gt;Voorblad!$K$41,0,IF($U81=0,0,IF($U81&lt;1,1/$U81,IF((GR$56-Voorblad!$F$41)/$U81-SUM($EE81:GQ81)=1,1,0))))</f>
        <v>0</v>
      </c>
      <c r="GS81" s="8">
        <f>IF(GS$56-Voorblad!$F$41&gt;Voorblad!$K$41,0,IF($U81=0,0,IF($U81&lt;1,1/$U81,IF((GS$56-Voorblad!$F$41)/$U81-SUM($EE81:GR81)=1,1,0))))</f>
        <v>0</v>
      </c>
      <c r="GT81" s="8">
        <f>IF(GT$56-Voorblad!$F$41&gt;Voorblad!$K$41,0,IF($U81=0,0,IF($U81&lt;1,1/$U81,IF((GT$56-Voorblad!$F$41)/$U81-SUM($EE81:GS81)=1,1,0))))</f>
        <v>0</v>
      </c>
      <c r="GU81" s="8">
        <f>IF(GU$56-Voorblad!$F$41&gt;Voorblad!$K$41,0,IF($U81=0,0,IF($U81&lt;1,1/$U81,IF((GU$56-Voorblad!$F$41)/$U81-SUM($EE81:GT81)=1,1,0))))</f>
        <v>0</v>
      </c>
      <c r="GV81" s="8">
        <f>IF(GV$56-Voorblad!$F$41&gt;Voorblad!$K$41,0,IF($U81=0,0,IF($U81&lt;1,1/$U81,IF((GV$56-Voorblad!$F$41)/$U81-SUM($EE81:GU81)=1,1,0))))</f>
        <v>0</v>
      </c>
      <c r="GW81" s="8">
        <f>IF(GW$56-Voorblad!$F$41&gt;Voorblad!$K$41,0,IF($U81=0,0,IF($U81&lt;1,1/$U81,IF((GW$56-Voorblad!$F$41)/$U81-SUM($EE81:GV81)=1,1,0))))</f>
        <v>0</v>
      </c>
      <c r="GX81" s="8">
        <f>IF(GX$56-Voorblad!$F$41&gt;Voorblad!$K$41,0,IF($U81=0,0,IF($U81&lt;1,1/$U81,IF((GX$56-Voorblad!$F$41)/$U81-SUM($EE81:GW81)=1,1,0))))</f>
        <v>0</v>
      </c>
      <c r="GY81" s="8">
        <f>IF(GY$56-Voorblad!$F$41&gt;Voorblad!$K$41,0,IF($U81=0,0,IF($U81&lt;1,1/$U81,IF((GY$56-Voorblad!$F$41)/$U81-SUM($EE81:GX81)=1,1,0))))</f>
        <v>0</v>
      </c>
      <c r="GZ81" s="8">
        <f>IF(GZ$56-Voorblad!$F$41&gt;Voorblad!$K$41,0,IF($U81=0,0,IF($U81&lt;1,1/$U81,IF((GZ$56-Voorblad!$F$41)/$U81-SUM($EE81:GY81)=1,1,0))))</f>
        <v>0</v>
      </c>
      <c r="HA81" s="8">
        <f>IF(HA$56-Voorblad!$F$41&gt;Voorblad!$K$41,0,IF($U81=0,0,IF($U81&lt;1,1/$U81,IF((HA$56-Voorblad!$F$41)/$U81-SUM($EE81:GZ81)=1,1,0))))</f>
        <v>0</v>
      </c>
      <c r="HB81" s="8">
        <f>IF(HB$56-Voorblad!$F$41&gt;Voorblad!$K$41,0,IF($U81=0,0,IF($U81&lt;1,1/$U81,IF((HB$56-Voorblad!$F$41)/$U81-SUM($EE81:HA81)=1,1,0))))</f>
        <v>0</v>
      </c>
      <c r="HC81" s="8">
        <f>IF(HC$56-Voorblad!$F$41&gt;Voorblad!$K$41,0,IF($U81=0,0,IF($U81&lt;1,1/$U81,IF((HC$56-Voorblad!$F$41)/$U81-SUM($EE81:HB81)=1,1,0))))</f>
        <v>0</v>
      </c>
      <c r="HD81" s="8">
        <f>IF(HD$56-Voorblad!$F$41&gt;Voorblad!$K$41,0,IF($U81=0,0,IF($U81&lt;1,1/$U81,IF((HD$56-Voorblad!$F$41)/$U81-SUM($EE81:HC81)=1,1,0))))</f>
        <v>0</v>
      </c>
      <c r="HE81" s="8">
        <f>IF(HE$56-Voorblad!$F$41&gt;Voorblad!$K$41,0,IF($U81=0,0,IF($U81&lt;1,1/$U81,IF((HE$56-Voorblad!$F$41)/$U81-SUM($EE81:HD81)=1,1,0))))</f>
        <v>0</v>
      </c>
      <c r="HF81" s="8">
        <f>IF(HF$56-Voorblad!$F$41&gt;Voorblad!$K$41,0,IF($U81=0,0,IF($U81&lt;1,1/$U81,IF((HF$56-Voorblad!$F$41)/$U81-SUM($EE81:HE81)=1,1,0))))</f>
        <v>0</v>
      </c>
      <c r="HG81" s="8">
        <f>IF(HG$56-Voorblad!$F$41&gt;Voorblad!$K$41,0,IF($U81=0,0,IF($U81&lt;1,1/$U81,IF((HG$56-Voorblad!$F$41)/$U81-SUM($EE81:HF81)=1,1,0))))</f>
        <v>0</v>
      </c>
      <c r="HH81" s="8">
        <f>IF(HH$56-Voorblad!$F$41&gt;Voorblad!$K$41,0,IF($U81=0,0,IF($U81&lt;1,1/$U81,IF((HH$56-Voorblad!$F$41)/$U81-SUM($EE81:HG81)=1,1,0))))</f>
        <v>0</v>
      </c>
      <c r="HI81" s="8">
        <f>IF(HI$56-Voorblad!$F$41&gt;Voorblad!$K$41,0,IF($U81=0,0,IF($U81&lt;1,1/$U81,IF((HI$56-Voorblad!$F$41)/$U81-SUM($EE81:HH81)=1,1,0))))</f>
        <v>0</v>
      </c>
      <c r="HJ81" s="8">
        <f>IF(HJ$56-Voorblad!$F$41&gt;Voorblad!$K$41,0,IF($U81=0,0,IF($U81&lt;1,1/$U81,IF((HJ$56-Voorblad!$F$41)/$U81-SUM($EE81:HI81)=1,1,0))))</f>
        <v>0</v>
      </c>
      <c r="HK81" s="8">
        <f>IF(HK$56-Voorblad!$F$41&gt;Voorblad!$K$41,0,IF($U81=0,0,IF($U81&lt;1,1/$U81,IF((HK$56-Voorblad!$F$41)/$U81-SUM($EE81:HJ81)=1,1,0))))</f>
        <v>0</v>
      </c>
      <c r="HL81" s="8">
        <f>IF(HL$56-Voorblad!$F$41&gt;Voorblad!$K$41,0,IF($U81=0,0,IF($U81&lt;1,1/$U81,IF((HL$56-Voorblad!$F$41)/$U81-SUM($EE81:HK81)=1,1,0))))</f>
        <v>0</v>
      </c>
      <c r="HM81" s="8">
        <f>IF(HM$56-Voorblad!$F$41&gt;Voorblad!$K$41,0,IF($U81=0,0,IF($U81&lt;1,1/$U81,IF((HM$56-Voorblad!$F$41)/$U81-SUM($EE81:HL81)=1,1,0))))</f>
        <v>0</v>
      </c>
      <c r="HN81" s="8">
        <f>IF(HN$56-Voorblad!$F$41&gt;Voorblad!$K$41,0,IF($U81=0,0,IF($U81&lt;1,1/$U81,IF((HN$56-Voorblad!$F$41)/$U81-SUM($EE81:HM81)=1,1,0))))</f>
        <v>0</v>
      </c>
      <c r="HO81" s="8">
        <f>IF(HO$56-Voorblad!$F$41&gt;Voorblad!$K$41,0,IF($U81=0,0,IF($U81&lt;1,1/$U81,IF((HO$56-Voorblad!$F$41)/$U81-SUM($EE81:HN81)=1,1,0))))</f>
        <v>0</v>
      </c>
      <c r="HP81" s="8">
        <f>IF(HP$56-Voorblad!$F$41&gt;Voorblad!$K$41,0,IF($U81=0,0,IF($U81&lt;1,1/$U81,IF((HP$56-Voorblad!$F$41)/$U81-SUM($EE81:HO81)=1,1,0))))</f>
        <v>0</v>
      </c>
      <c r="HQ81" s="8">
        <f>IF(HQ$56-Voorblad!$F$41&gt;Voorblad!$K$41,0,IF($U81=0,0,IF($U81&lt;1,1/$U81,IF((HQ$56-Voorblad!$F$41)/$U81-SUM($EE81:HP81)=1,1,0))))</f>
        <v>0</v>
      </c>
      <c r="HR81" s="8">
        <f>IF(HR$56-Voorblad!$F$41&gt;Voorblad!$K$41,0,IF($U81=0,0,IF($U81&lt;1,1/$U81,IF((HR$56-Voorblad!$F$41)/$U81-SUM($EE81:HQ81)=1,1,0))))</f>
        <v>0</v>
      </c>
      <c r="HS81" s="8">
        <f>IF(HS$56-Voorblad!$F$41&gt;Voorblad!$K$41,0,IF($U81=0,0,IF($U81&lt;1,1/$U81,IF((HS$56-Voorblad!$F$41)/$U81-SUM($EE81:HR81)=1,1,0))))</f>
        <v>0</v>
      </c>
      <c r="HT81" s="8">
        <f>IF(HT$56-Voorblad!$F$41&gt;Voorblad!$K$41,0,IF($U81=0,0,IF($U81&lt;1,1/$U81,IF((HT$56-Voorblad!$F$41)/$U81-SUM($EE81:HS81)=1,1,0))))</f>
        <v>0</v>
      </c>
      <c r="HU81" s="8">
        <f>IF(HU$56-Voorblad!$F$41&gt;Voorblad!$K$41,0,IF($U81=0,0,IF($U81&lt;1,1/$U81,IF((HU$56-Voorblad!$F$41)/$U81-SUM($EE81:HT81)=1,1,0))))</f>
        <v>0</v>
      </c>
      <c r="HV81" s="8">
        <f>IF(HV$56-Voorblad!$F$41&gt;Voorblad!$K$41,0,IF($U81=0,0,IF($U81&lt;1,1/$U81,IF((HV$56-Voorblad!$F$41)/$U81-SUM($EE81:HU81)=1,1,0))))</f>
        <v>0</v>
      </c>
      <c r="HW81" s="8">
        <f>IF(HW$56-Voorblad!$F$41&gt;Voorblad!$K$41,0,IF($U81=0,0,IF($U81&lt;1,1/$U81,IF((HW$56-Voorblad!$F$41)/$U81-SUM($EE81:HV81)=1,1,0))))</f>
        <v>0</v>
      </c>
      <c r="HX81" s="8">
        <f>IF(HX$56-Voorblad!$F$41&gt;Voorblad!$K$41,0,IF($U81=0,0,IF($U81&lt;1,1/$U81,IF((HX$56-Voorblad!$F$41)/$U81-SUM($EE81:HW81)=1,1,0))))</f>
        <v>0</v>
      </c>
      <c r="HY81" s="8">
        <f>IF(HY$56-Voorblad!$F$41&gt;Voorblad!$K$41,0,IF($U81=0,0,IF($U81&lt;1,1/$U81,IF((HY$56-Voorblad!$F$41)/$U81-SUM($EE81:HX81)=1,1,0))))</f>
        <v>0</v>
      </c>
      <c r="HZ81" s="8">
        <f>IF(HZ$56-Voorblad!$F$41&gt;Voorblad!$K$41,0,IF($U81=0,0,IF($U81&lt;1,1/$U81,IF((HZ$56-Voorblad!$F$41)/$U81-SUM($EE81:HY81)=1,1,0))))</f>
        <v>0</v>
      </c>
      <c r="IA81" s="8">
        <f>IF(IA$56-Voorblad!$F$41&gt;Voorblad!$K$41,0,IF($U81=0,0,IF($U81&lt;1,1/$U81,IF((IA$56-Voorblad!$F$41)/$U81-SUM($EE81:HZ81)=1,1,0))))</f>
        <v>0</v>
      </c>
      <c r="IB81" s="8">
        <f>IF(IB$56-Voorblad!$F$41&gt;Voorblad!$K$41,0,IF($U81=0,0,IF($U81&lt;1,1/$U81,IF((IB$56-Voorblad!$F$41)/$U81-SUM($EE81:IA81)=1,1,0))))</f>
        <v>0</v>
      </c>
    </row>
    <row r="82" spans="2:236" ht="12" hidden="1" customHeight="1" outlineLevel="1" x14ac:dyDescent="0.25">
      <c r="B82" s="1">
        <v>1</v>
      </c>
      <c r="F82" s="1" t="s">
        <v>23</v>
      </c>
      <c r="I82" s="1" t="s">
        <v>193</v>
      </c>
      <c r="K82" s="14" t="s">
        <v>190</v>
      </c>
      <c r="N82" s="3"/>
      <c r="O82" s="1" t="s">
        <v>187</v>
      </c>
      <c r="P82" s="1" t="s">
        <v>180</v>
      </c>
      <c r="Q82" s="81">
        <v>0</v>
      </c>
      <c r="R82" s="1" t="s">
        <v>35</v>
      </c>
      <c r="S82" s="21">
        <f>$H$10*1.5*125</f>
        <v>446.25</v>
      </c>
      <c r="T82" s="1">
        <f t="shared" si="16"/>
        <v>0</v>
      </c>
      <c r="U82" s="14">
        <v>30</v>
      </c>
      <c r="V82" s="14"/>
      <c r="Y82" s="9">
        <f t="shared" si="17"/>
        <v>0</v>
      </c>
      <c r="Z82" s="82"/>
      <c r="AA82" s="82"/>
      <c r="AC82" s="9">
        <f>$Y82*(Voorblad!$K$44*(1+Voorblad!$K$44)^Voorblad!$K$41)/((1+Voorblad!$K$44)^Voorblad!$K$41-1)</f>
        <v>0</v>
      </c>
      <c r="AE82" s="9">
        <f>EF82*($Q82*$S82)/(1+Voorblad!$K$44)^(AE$56-Voorblad!$F$41)</f>
        <v>0</v>
      </c>
      <c r="AF82" s="9">
        <f>EG82*($Q82*$S82)/(1+Voorblad!$K$44)^(AF$56-Voorblad!$F$41)</f>
        <v>0</v>
      </c>
      <c r="AG82" s="9">
        <f>EH82*($Q82*$S82)/(1+Voorblad!$K$44)^(AG$56-Voorblad!$F$41)</f>
        <v>0</v>
      </c>
      <c r="AH82" s="9">
        <f>EI82*($Q82*$S82)/(1+Voorblad!$K$44)^(AH$56-Voorblad!$F$41)</f>
        <v>0</v>
      </c>
      <c r="AI82" s="9">
        <f>EJ82*($Q82*$S82)/(1+Voorblad!$K$44)^(AI$56-Voorblad!$F$41)</f>
        <v>0</v>
      </c>
      <c r="AJ82" s="9">
        <f>EK82*($Q82*$S82)/(1+Voorblad!$K$44)^(AJ$56-Voorblad!$F$41)</f>
        <v>0</v>
      </c>
      <c r="AK82" s="9">
        <f>EL82*($Q82*$S82)/(1+Voorblad!$K$44)^(AK$56-Voorblad!$F$41)</f>
        <v>0</v>
      </c>
      <c r="AL82" s="9">
        <f>EM82*($Q82*$S82)/(1+Voorblad!$K$44)^(AL$56-Voorblad!$F$41)</f>
        <v>0</v>
      </c>
      <c r="AM82" s="9">
        <f>EN82*($Q82*$S82)/(1+Voorblad!$K$44)^(AM$56-Voorblad!$F$41)</f>
        <v>0</v>
      </c>
      <c r="AN82" s="9">
        <f>EO82*($Q82*$S82)/(1+Voorblad!$K$44)^(AN$56-Voorblad!$F$41)</f>
        <v>0</v>
      </c>
      <c r="AO82" s="9">
        <f>EP82*($Q82*$S82)/(1+Voorblad!$K$44)^(AO$56-Voorblad!$F$41)</f>
        <v>0</v>
      </c>
      <c r="AP82" s="9">
        <f>EQ82*($Q82*$S82)/(1+Voorblad!$K$44)^(AP$56-Voorblad!$F$41)</f>
        <v>0</v>
      </c>
      <c r="AQ82" s="9">
        <f>ER82*($Q82*$S82)/(1+Voorblad!$K$44)^(AQ$56-Voorblad!$F$41)</f>
        <v>0</v>
      </c>
      <c r="AR82" s="9">
        <f>ES82*($Q82*$S82)/(1+Voorblad!$K$44)^(AR$56-Voorblad!$F$41)</f>
        <v>0</v>
      </c>
      <c r="AS82" s="9">
        <f>ET82*($Q82*$S82)/(1+Voorblad!$K$44)^(AS$56-Voorblad!$F$41)</f>
        <v>0</v>
      </c>
      <c r="AT82" s="9">
        <f>EU82*($Q82*$S82)/(1+Voorblad!$K$44)^(AT$56-Voorblad!$F$41)</f>
        <v>0</v>
      </c>
      <c r="AU82" s="9">
        <f>EV82*($Q82*$S82)/(1+Voorblad!$K$44)^(AU$56-Voorblad!$F$41)</f>
        <v>0</v>
      </c>
      <c r="AV82" s="9">
        <f>EW82*($Q82*$S82)/(1+Voorblad!$K$44)^(AV$56-Voorblad!$F$41)</f>
        <v>0</v>
      </c>
      <c r="AW82" s="9">
        <f>EX82*($Q82*$S82)/(1+Voorblad!$K$44)^(AW$56-Voorblad!$F$41)</f>
        <v>0</v>
      </c>
      <c r="AX82" s="9">
        <f>EY82*($Q82*$S82)/(1+Voorblad!$K$44)^(AX$56-Voorblad!$F$41)</f>
        <v>0</v>
      </c>
      <c r="AY82" s="9">
        <f>EZ82*($Q82*$S82)/(1+Voorblad!$K$44)^(AY$56-Voorblad!$F$41)</f>
        <v>0</v>
      </c>
      <c r="AZ82" s="9">
        <f>FA82*($Q82*$S82)/(1+Voorblad!$K$44)^(AZ$56-Voorblad!$F$41)</f>
        <v>0</v>
      </c>
      <c r="BA82" s="9">
        <f>FB82*($Q82*$S82)/(1+Voorblad!$K$44)^(BA$56-Voorblad!$F$41)</f>
        <v>0</v>
      </c>
      <c r="BB82" s="9">
        <f>FC82*($Q82*$S82)/(1+Voorblad!$K$44)^(BB$56-Voorblad!$F$41)</f>
        <v>0</v>
      </c>
      <c r="BC82" s="9">
        <f>FD82*($Q82*$S82)/(1+Voorblad!$K$44)^(BC$56-Voorblad!$F$41)</f>
        <v>0</v>
      </c>
      <c r="BD82" s="9">
        <f>FE82*($Q82*$S82)/(1+Voorblad!$K$44)^(BD$56-Voorblad!$F$41)</f>
        <v>0</v>
      </c>
      <c r="BE82" s="9">
        <f>FF82*($Q82*$S82)/(1+Voorblad!$K$44)^(BE$56-Voorblad!$F$41)</f>
        <v>0</v>
      </c>
      <c r="BF82" s="9">
        <f>FG82*($Q82*$S82)/(1+Voorblad!$K$44)^(BF$56-Voorblad!$F$41)</f>
        <v>0</v>
      </c>
      <c r="BG82" s="9">
        <f>FH82*($Q82*$S82)/(1+Voorblad!$K$44)^(BG$56-Voorblad!$F$41)</f>
        <v>0</v>
      </c>
      <c r="BH82" s="9">
        <f>FI82*($Q82*$S82)/(1+Voorblad!$K$44)^(BH$56-Voorblad!$F$41)</f>
        <v>0</v>
      </c>
      <c r="BI82" s="9">
        <f>FJ82*($Q82*$S82)/(1+Voorblad!$K$44)^(BI$56-Voorblad!$F$41)</f>
        <v>0</v>
      </c>
      <c r="BJ82" s="9">
        <f>FK82*($Q82*$S82)/(1+Voorblad!$K$44)^(BJ$56-Voorblad!$F$41)</f>
        <v>0</v>
      </c>
      <c r="BK82" s="9">
        <f>FL82*($Q82*$S82)/(1+Voorblad!$K$44)^(BK$56-Voorblad!$F$41)</f>
        <v>0</v>
      </c>
      <c r="BL82" s="9">
        <f>FM82*($Q82*$S82)/(1+Voorblad!$K$44)^(BL$56-Voorblad!$F$41)</f>
        <v>0</v>
      </c>
      <c r="BM82" s="9">
        <f>FN82*($Q82*$S82)/(1+Voorblad!$K$44)^(BM$56-Voorblad!$F$41)</f>
        <v>0</v>
      </c>
      <c r="BN82" s="9">
        <f>FO82*($Q82*$S82)/(1+Voorblad!$K$44)^(BN$56-Voorblad!$F$41)</f>
        <v>0</v>
      </c>
      <c r="BO82" s="9">
        <f>FP82*($Q82*$S82)/(1+Voorblad!$K$44)^(BO$56-Voorblad!$F$41)</f>
        <v>0</v>
      </c>
      <c r="BP82" s="9">
        <f>FQ82*($Q82*$S82)/(1+Voorblad!$K$44)^(BP$56-Voorblad!$F$41)</f>
        <v>0</v>
      </c>
      <c r="BQ82" s="9">
        <f>FR82*($Q82*$S82)/(1+Voorblad!$K$44)^(BQ$56-Voorblad!$F$41)</f>
        <v>0</v>
      </c>
      <c r="BR82" s="9">
        <f>FS82*($Q82*$S82)/(1+Voorblad!$K$44)^(BR$56-Voorblad!$F$41)</f>
        <v>0</v>
      </c>
      <c r="BS82" s="9">
        <f>FT82*($Q82*$S82)/(1+Voorblad!$K$44)^(BS$56-Voorblad!$F$41)</f>
        <v>0</v>
      </c>
      <c r="BT82" s="9">
        <f>FU82*($Q82*$S82)/(1+Voorblad!$K$44)^(BT$56-Voorblad!$F$41)</f>
        <v>0</v>
      </c>
      <c r="BU82" s="9">
        <f>FV82*($Q82*$S82)/(1+Voorblad!$K$44)^(BU$56-Voorblad!$F$41)</f>
        <v>0</v>
      </c>
      <c r="BV82" s="9">
        <f>FW82*($Q82*$S82)/(1+Voorblad!$K$44)^(BV$56-Voorblad!$F$41)</f>
        <v>0</v>
      </c>
      <c r="BW82" s="9">
        <f>FX82*($Q82*$S82)/(1+Voorblad!$K$44)^(BW$56-Voorblad!$F$41)</f>
        <v>0</v>
      </c>
      <c r="BX82" s="9">
        <f>FY82*($Q82*$S82)/(1+Voorblad!$K$44)^(BX$56-Voorblad!$F$41)</f>
        <v>0</v>
      </c>
      <c r="BY82" s="9">
        <f>FZ82*($Q82*$S82)/(1+Voorblad!$K$44)^(BY$56-Voorblad!$F$41)</f>
        <v>0</v>
      </c>
      <c r="BZ82" s="9">
        <f>GA82*($Q82*$S82)/(1+Voorblad!$K$44)^(BZ$56-Voorblad!$F$41)</f>
        <v>0</v>
      </c>
      <c r="CA82" s="9">
        <f>GB82*($Q82*$S82)/(1+Voorblad!$K$44)^(CA$56-Voorblad!$F$41)</f>
        <v>0</v>
      </c>
      <c r="CB82" s="9">
        <f>GC82*($Q82*$S82)/(1+Voorblad!$K$44)^(CB$56-Voorblad!$F$41)</f>
        <v>0</v>
      </c>
      <c r="CC82" s="9">
        <f>GD82*($Q82*$S82)/(1+Voorblad!$K$44)^(CC$56-Voorblad!$F$41)</f>
        <v>0</v>
      </c>
      <c r="CD82" s="9">
        <f>GE82*($Q82*$S82)/(1+Voorblad!$K$44)^(CD$56-Voorblad!$F$41)</f>
        <v>0</v>
      </c>
      <c r="CE82" s="9">
        <f>GF82*($Q82*$S82)/(1+Voorblad!$K$44)^(CE$56-Voorblad!$F$41)</f>
        <v>0</v>
      </c>
      <c r="CF82" s="9">
        <f>GG82*($Q82*$S82)/(1+Voorblad!$K$44)^(CF$56-Voorblad!$F$41)</f>
        <v>0</v>
      </c>
      <c r="CG82" s="9">
        <f>GH82*($Q82*$S82)/(1+Voorblad!$K$44)^(CG$56-Voorblad!$F$41)</f>
        <v>0</v>
      </c>
      <c r="CH82" s="9">
        <f>GI82*($Q82*$S82)/(1+Voorblad!$K$44)^(CH$56-Voorblad!$F$41)</f>
        <v>0</v>
      </c>
      <c r="CI82" s="9">
        <f>GJ82*($Q82*$S82)/(1+Voorblad!$K$44)^(CI$56-Voorblad!$F$41)</f>
        <v>0</v>
      </c>
      <c r="CJ82" s="9">
        <f>GK82*($Q82*$S82)/(1+Voorblad!$K$44)^(CJ$56-Voorblad!$F$41)</f>
        <v>0</v>
      </c>
      <c r="CK82" s="9">
        <f>GL82*($Q82*$S82)/(1+Voorblad!$K$44)^(CK$56-Voorblad!$F$41)</f>
        <v>0</v>
      </c>
      <c r="CL82" s="9">
        <f>GM82*($Q82*$S82)/(1+Voorblad!$K$44)^(CL$56-Voorblad!$F$41)</f>
        <v>0</v>
      </c>
      <c r="CM82" s="9">
        <f>GN82*($Q82*$S82)/(1+Voorblad!$K$44)^(CM$56-Voorblad!$F$41)</f>
        <v>0</v>
      </c>
      <c r="CN82" s="9">
        <f>GO82*($Q82*$S82)/(1+Voorblad!$K$44)^(CN$56-Voorblad!$F$41)</f>
        <v>0</v>
      </c>
      <c r="CO82" s="9">
        <f>GP82*($Q82*$S82)/(1+Voorblad!$K$44)^(CO$56-Voorblad!$F$41)</f>
        <v>0</v>
      </c>
      <c r="CP82" s="9">
        <f>GQ82*($Q82*$S82)/(1+Voorblad!$K$44)^(CP$56-Voorblad!$F$41)</f>
        <v>0</v>
      </c>
      <c r="CQ82" s="9">
        <f>GR82*($Q82*$S82)/(1+Voorblad!$K$44)^(CQ$56-Voorblad!$F$41)</f>
        <v>0</v>
      </c>
      <c r="CR82" s="9">
        <f>GS82*($Q82*$S82)/(1+Voorblad!$K$44)^(CR$56-Voorblad!$F$41)</f>
        <v>0</v>
      </c>
      <c r="CS82" s="9">
        <f>GT82*($Q82*$S82)/(1+Voorblad!$K$44)^(CS$56-Voorblad!$F$41)</f>
        <v>0</v>
      </c>
      <c r="CT82" s="9">
        <f>GU82*($Q82*$S82)/(1+Voorblad!$K$44)^(CT$56-Voorblad!$F$41)</f>
        <v>0</v>
      </c>
      <c r="CU82" s="9">
        <f>GV82*($Q82*$S82)/(1+Voorblad!$K$44)^(CU$56-Voorblad!$F$41)</f>
        <v>0</v>
      </c>
      <c r="CV82" s="9">
        <f>GW82*($Q82*$S82)/(1+Voorblad!$K$44)^(CV$56-Voorblad!$F$41)</f>
        <v>0</v>
      </c>
      <c r="CW82" s="9">
        <f>GX82*($Q82*$S82)/(1+Voorblad!$K$44)^(CW$56-Voorblad!$F$41)</f>
        <v>0</v>
      </c>
      <c r="CX82" s="9">
        <f>GY82*($Q82*$S82)/(1+Voorblad!$K$44)^(CX$56-Voorblad!$F$41)</f>
        <v>0</v>
      </c>
      <c r="CY82" s="9">
        <f>GZ82*($Q82*$S82)/(1+Voorblad!$K$44)^(CY$56-Voorblad!$F$41)</f>
        <v>0</v>
      </c>
      <c r="CZ82" s="9">
        <f>HA82*($Q82*$S82)/(1+Voorblad!$K$44)^(CZ$56-Voorblad!$F$41)</f>
        <v>0</v>
      </c>
      <c r="DA82" s="9">
        <f>HB82*($Q82*$S82)/(1+Voorblad!$K$44)^(DA$56-Voorblad!$F$41)</f>
        <v>0</v>
      </c>
      <c r="DB82" s="9">
        <f>HC82*($Q82*$S82)/(1+Voorblad!$K$44)^(DB$56-Voorblad!$F$41)</f>
        <v>0</v>
      </c>
      <c r="DC82" s="9">
        <f>HD82*($Q82*$S82)/(1+Voorblad!$K$44)^(DC$56-Voorblad!$F$41)</f>
        <v>0</v>
      </c>
      <c r="DD82" s="9">
        <f>HE82*($Q82*$S82)/(1+Voorblad!$K$44)^(DD$56-Voorblad!$F$41)</f>
        <v>0</v>
      </c>
      <c r="DE82" s="9">
        <f>HF82*($Q82*$S82)/(1+Voorblad!$K$44)^(DE$56-Voorblad!$F$41)</f>
        <v>0</v>
      </c>
      <c r="DF82" s="9">
        <f>HG82*($Q82*$S82)/(1+Voorblad!$K$44)^(DF$56-Voorblad!$F$41)</f>
        <v>0</v>
      </c>
      <c r="DG82" s="9">
        <f>HH82*($Q82*$S82)/(1+Voorblad!$K$44)^(DG$56-Voorblad!$F$41)</f>
        <v>0</v>
      </c>
      <c r="DH82" s="9">
        <f>HI82*($Q82*$S82)/(1+Voorblad!$K$44)^(DH$56-Voorblad!$F$41)</f>
        <v>0</v>
      </c>
      <c r="DI82" s="9">
        <f>HJ82*($Q82*$S82)/(1+Voorblad!$K$44)^(DI$56-Voorblad!$F$41)</f>
        <v>0</v>
      </c>
      <c r="DJ82" s="9">
        <f>HK82*($Q82*$S82)/(1+Voorblad!$K$44)^(DJ$56-Voorblad!$F$41)</f>
        <v>0</v>
      </c>
      <c r="DK82" s="9">
        <f>HL82*($Q82*$S82)/(1+Voorblad!$K$44)^(DK$56-Voorblad!$F$41)</f>
        <v>0</v>
      </c>
      <c r="DL82" s="9">
        <f>HM82*($Q82*$S82)/(1+Voorblad!$K$44)^(DL$56-Voorblad!$F$41)</f>
        <v>0</v>
      </c>
      <c r="DM82" s="9">
        <f>HN82*($Q82*$S82)/(1+Voorblad!$K$44)^(DM$56-Voorblad!$F$41)</f>
        <v>0</v>
      </c>
      <c r="DN82" s="9">
        <f>HO82*($Q82*$S82)/(1+Voorblad!$K$44)^(DN$56-Voorblad!$F$41)</f>
        <v>0</v>
      </c>
      <c r="DO82" s="9">
        <f>HP82*($Q82*$S82)/(1+Voorblad!$K$44)^(DO$56-Voorblad!$F$41)</f>
        <v>0</v>
      </c>
      <c r="DP82" s="9">
        <f>HQ82*($Q82*$S82)/(1+Voorblad!$K$44)^(DP$56-Voorblad!$F$41)</f>
        <v>0</v>
      </c>
      <c r="DQ82" s="9">
        <f>HR82*($Q82*$S82)/(1+Voorblad!$K$44)^(DQ$56-Voorblad!$F$41)</f>
        <v>0</v>
      </c>
      <c r="DR82" s="9">
        <f>HS82*($Q82*$S82)/(1+Voorblad!$K$44)^(DR$56-Voorblad!$F$41)</f>
        <v>0</v>
      </c>
      <c r="DS82" s="9">
        <f>HT82*($Q82*$S82)/(1+Voorblad!$K$44)^(DS$56-Voorblad!$F$41)</f>
        <v>0</v>
      </c>
      <c r="DT82" s="9">
        <f>HU82*($Q82*$S82)/(1+Voorblad!$K$44)^(DT$56-Voorblad!$F$41)</f>
        <v>0</v>
      </c>
      <c r="DU82" s="9">
        <f>HV82*($Q82*$S82)/(1+Voorblad!$K$44)^(DU$56-Voorblad!$F$41)</f>
        <v>0</v>
      </c>
      <c r="DV82" s="9">
        <f>HW82*($Q82*$S82)/(1+Voorblad!$K$44)^(DV$56-Voorblad!$F$41)</f>
        <v>0</v>
      </c>
      <c r="DW82" s="9">
        <f>HX82*($Q82*$S82)/(1+Voorblad!$K$44)^(DW$56-Voorblad!$F$41)</f>
        <v>0</v>
      </c>
      <c r="DX82" s="9">
        <f>HY82*($Q82*$S82)/(1+Voorblad!$K$44)^(DX$56-Voorblad!$F$41)</f>
        <v>0</v>
      </c>
      <c r="DY82" s="9">
        <f>HZ82*($Q82*$S82)/(1+Voorblad!$K$44)^(DY$56-Voorblad!$F$41)</f>
        <v>0</v>
      </c>
      <c r="DZ82" s="9">
        <f>IA82*($Q82*$S82)/(1+Voorblad!$K$44)^(DZ$56-Voorblad!$F$41)</f>
        <v>0</v>
      </c>
      <c r="EA82" s="9">
        <f>IB82*($Q82*$S82)/(1+Voorblad!$K$44)^(EA$56-Voorblad!$F$41)</f>
        <v>0</v>
      </c>
      <c r="EB82" s="9">
        <f>IC82*($Q82*$S82)/(1+Voorblad!$K$44)^(EB$56-Voorblad!$F$41)</f>
        <v>0</v>
      </c>
      <c r="EE82" s="8">
        <v>0</v>
      </c>
      <c r="EF82" s="8">
        <f>IF(EF$56-Voorblad!$F$41&gt;Voorblad!$K$41,0,IF($U82=0,0,IF($U82&lt;1,1/$U82,IF((EF$56-Voorblad!$F$41)/$U82-SUM($EE82:EE82)=1,1,0))))</f>
        <v>0</v>
      </c>
      <c r="EG82" s="8">
        <f>IF(EG$56-Voorblad!$F$41&gt;Voorblad!$K$41,0,IF($U82=0,0,IF($U82&lt;1,1/$U82,IF((EG$56-Voorblad!$F$41)/$U82-SUM($EE82:EF82)=1,1,0))))</f>
        <v>0</v>
      </c>
      <c r="EH82" s="8">
        <f>IF(EH$56-Voorblad!$F$41&gt;Voorblad!$K$41,0,IF($U82=0,0,IF($U82&lt;1,1/$U82,IF((EH$56-Voorblad!$F$41)/$U82-SUM($EE82:EG82)=1,1,0))))</f>
        <v>0</v>
      </c>
      <c r="EI82" s="8">
        <f>IF(EI$56-Voorblad!$F$41&gt;Voorblad!$K$41,0,IF($U82=0,0,IF($U82&lt;1,1/$U82,IF((EI$56-Voorblad!$F$41)/$U82-SUM($EE82:EH82)=1,1,0))))</f>
        <v>0</v>
      </c>
      <c r="EJ82" s="8">
        <f>IF(EJ$56-Voorblad!$F$41&gt;Voorblad!$K$41,0,IF($U82=0,0,IF($U82&lt;1,1/$U82,IF((EJ$56-Voorblad!$F$41)/$U82-SUM($EE82:EI82)=1,1,0))))</f>
        <v>0</v>
      </c>
      <c r="EK82" s="8">
        <f>IF(EK$56-Voorblad!$F$41&gt;Voorblad!$K$41,0,IF($U82=0,0,IF($U82&lt;1,1/$U82,IF((EK$56-Voorblad!$F$41)/$U82-SUM($EE82:EJ82)=1,1,0))))</f>
        <v>0</v>
      </c>
      <c r="EL82" s="8">
        <f>IF(EL$56-Voorblad!$F$41&gt;Voorblad!$K$41,0,IF($U82=0,0,IF($U82&lt;1,1/$U82,IF((EL$56-Voorblad!$F$41)/$U82-SUM($EE82:EK82)=1,1,0))))</f>
        <v>0</v>
      </c>
      <c r="EM82" s="8">
        <f>IF(EM$56-Voorblad!$F$41&gt;Voorblad!$K$41,0,IF($U82=0,0,IF($U82&lt;1,1/$U82,IF((EM$56-Voorblad!$F$41)/$U82-SUM($EE82:EL82)=1,1,0))))</f>
        <v>0</v>
      </c>
      <c r="EN82" s="8">
        <f>IF(EN$56-Voorblad!$F$41&gt;Voorblad!$K$41,0,IF($U82=0,0,IF($U82&lt;1,1/$U82,IF((EN$56-Voorblad!$F$41)/$U82-SUM($EE82:EM82)=1,1,0))))</f>
        <v>0</v>
      </c>
      <c r="EO82" s="8">
        <f>IF(EO$56-Voorblad!$F$41&gt;Voorblad!$K$41,0,IF($U82=0,0,IF($U82&lt;1,1/$U82,IF((EO$56-Voorblad!$F$41)/$U82-SUM($EE82:EN82)=1,1,0))))</f>
        <v>0</v>
      </c>
      <c r="EP82" s="8">
        <f>IF(EP$56-Voorblad!$F$41&gt;Voorblad!$K$41,0,IF($U82=0,0,IF($U82&lt;1,1/$U82,IF((EP$56-Voorblad!$F$41)/$U82-SUM($EE82:EO82)=1,1,0))))</f>
        <v>0</v>
      </c>
      <c r="EQ82" s="8">
        <f>IF(EQ$56-Voorblad!$F$41&gt;Voorblad!$K$41,0,IF($U82=0,0,IF($U82&lt;1,1/$U82,IF((EQ$56-Voorblad!$F$41)/$U82-SUM($EE82:EP82)=1,1,0))))</f>
        <v>0</v>
      </c>
      <c r="ER82" s="8">
        <f>IF(ER$56-Voorblad!$F$41&gt;Voorblad!$K$41,0,IF($U82=0,0,IF($U82&lt;1,1/$U82,IF((ER$56-Voorblad!$F$41)/$U82-SUM($EE82:EQ82)=1,1,0))))</f>
        <v>0</v>
      </c>
      <c r="ES82" s="8">
        <f>IF(ES$56-Voorblad!$F$41&gt;Voorblad!$K$41,0,IF($U82=0,0,IF($U82&lt;1,1/$U82,IF((ES$56-Voorblad!$F$41)/$U82-SUM($EE82:ER82)=1,1,0))))</f>
        <v>0</v>
      </c>
      <c r="ET82" s="8">
        <f>IF(ET$56-Voorblad!$F$41&gt;Voorblad!$K$41,0,IF($U82=0,0,IF($U82&lt;1,1/$U82,IF((ET$56-Voorblad!$F$41)/$U82-SUM($EE82:ES82)=1,1,0))))</f>
        <v>0</v>
      </c>
      <c r="EU82" s="8">
        <f>IF(EU$56-Voorblad!$F$41&gt;Voorblad!$K$41,0,IF($U82=0,0,IF($U82&lt;1,1/$U82,IF((EU$56-Voorblad!$F$41)/$U82-SUM($EE82:ET82)=1,1,0))))</f>
        <v>0</v>
      </c>
      <c r="EV82" s="8">
        <f>IF(EV$56-Voorblad!$F$41&gt;Voorblad!$K$41,0,IF($U82=0,0,IF($U82&lt;1,1/$U82,IF((EV$56-Voorblad!$F$41)/$U82-SUM($EE82:EU82)=1,1,0))))</f>
        <v>0</v>
      </c>
      <c r="EW82" s="8">
        <f>IF(EW$56-Voorblad!$F$41&gt;Voorblad!$K$41,0,IF($U82=0,0,IF($U82&lt;1,1/$U82,IF((EW$56-Voorblad!$F$41)/$U82-SUM($EE82:EV82)=1,1,0))))</f>
        <v>0</v>
      </c>
      <c r="EX82" s="8">
        <f>IF(EX$56-Voorblad!$F$41&gt;Voorblad!$K$41,0,IF($U82=0,0,IF($U82&lt;1,1/$U82,IF((EX$56-Voorblad!$F$41)/$U82-SUM($EE82:EW82)=1,1,0))))</f>
        <v>0</v>
      </c>
      <c r="EY82" s="8">
        <f>IF(EY$56-Voorblad!$F$41&gt;Voorblad!$K$41,0,IF($U82=0,0,IF($U82&lt;1,1/$U82,IF((EY$56-Voorblad!$F$41)/$U82-SUM($EE82:EX82)=1,1,0))))</f>
        <v>0</v>
      </c>
      <c r="EZ82" s="8">
        <f>IF(EZ$56-Voorblad!$F$41&gt;Voorblad!$K$41,0,IF($U82=0,0,IF($U82&lt;1,1/$U82,IF((EZ$56-Voorblad!$F$41)/$U82-SUM($EE82:EY82)=1,1,0))))</f>
        <v>0</v>
      </c>
      <c r="FA82" s="8">
        <f>IF(FA$56-Voorblad!$F$41&gt;Voorblad!$K$41,0,IF($U82=0,0,IF($U82&lt;1,1/$U82,IF((FA$56-Voorblad!$F$41)/$U82-SUM($EE82:EZ82)=1,1,0))))</f>
        <v>0</v>
      </c>
      <c r="FB82" s="8">
        <f>IF(FB$56-Voorblad!$F$41&gt;Voorblad!$K$41,0,IF($U82=0,0,IF($U82&lt;1,1/$U82,IF((FB$56-Voorblad!$F$41)/$U82-SUM($EE82:FA82)=1,1,0))))</f>
        <v>0</v>
      </c>
      <c r="FC82" s="8">
        <f>IF(FC$56-Voorblad!$F$41&gt;Voorblad!$K$41,0,IF($U82=0,0,IF($U82&lt;1,1/$U82,IF((FC$56-Voorblad!$F$41)/$U82-SUM($EE82:FB82)=1,1,0))))</f>
        <v>0</v>
      </c>
      <c r="FD82" s="8">
        <f>IF(FD$56-Voorblad!$F$41&gt;Voorblad!$K$41,0,IF($U82=0,0,IF($U82&lt;1,1/$U82,IF((FD$56-Voorblad!$F$41)/$U82-SUM($EE82:FC82)=1,1,0))))</f>
        <v>0</v>
      </c>
      <c r="FE82" s="8">
        <f>IF(FE$56-Voorblad!$F$41&gt;Voorblad!$K$41,0,IF($U82=0,0,IF($U82&lt;1,1/$U82,IF((FE$56-Voorblad!$F$41)/$U82-SUM($EE82:FD82)=1,1,0))))</f>
        <v>0</v>
      </c>
      <c r="FF82" s="8">
        <f>IF(FF$56-Voorblad!$F$41&gt;Voorblad!$K$41,0,IF($U82=0,0,IF($U82&lt;1,1/$U82,IF((FF$56-Voorblad!$F$41)/$U82-SUM($EE82:FE82)=1,1,0))))</f>
        <v>0</v>
      </c>
      <c r="FG82" s="8">
        <f>IF(FG$56-Voorblad!$F$41&gt;Voorblad!$K$41,0,IF($U82=0,0,IF($U82&lt;1,1/$U82,IF((FG$56-Voorblad!$F$41)/$U82-SUM($EE82:FF82)=1,1,0))))</f>
        <v>0</v>
      </c>
      <c r="FH82" s="8">
        <f>IF(FH$56-Voorblad!$F$41&gt;Voorblad!$K$41,0,IF($U82=0,0,IF($U82&lt;1,1/$U82,IF((FH$56-Voorblad!$F$41)/$U82-SUM($EE82:FG82)=1,1,0))))</f>
        <v>0</v>
      </c>
      <c r="FI82" s="8">
        <f>IF(FI$56-Voorblad!$F$41&gt;Voorblad!$K$41,0,IF($U82=0,0,IF($U82&lt;1,1/$U82,IF((FI$56-Voorblad!$F$41)/$U82-SUM($EE82:FH82)=1,1,0))))</f>
        <v>0</v>
      </c>
      <c r="FJ82" s="8">
        <f>IF(FJ$56-Voorblad!$F$41&gt;Voorblad!$K$41,0,IF($U82=0,0,IF($U82&lt;1,1/$U82,IF((FJ$56-Voorblad!$F$41)/$U82-SUM($EE82:FI82)=1,1,0))))</f>
        <v>1</v>
      </c>
      <c r="FK82" s="8">
        <f>IF(FK$56-Voorblad!$F$41&gt;Voorblad!$K$41,0,IF($U82=0,0,IF($U82&lt;1,1/$U82,IF((FK$56-Voorblad!$F$41)/$U82-SUM($EE82:FJ82)=1,1,0))))</f>
        <v>0</v>
      </c>
      <c r="FL82" s="8">
        <f>IF(FL$56-Voorblad!$F$41&gt;Voorblad!$K$41,0,IF($U82=0,0,IF($U82&lt;1,1/$U82,IF((FL$56-Voorblad!$F$41)/$U82-SUM($EE82:FK82)=1,1,0))))</f>
        <v>0</v>
      </c>
      <c r="FM82" s="8">
        <f>IF(FM$56-Voorblad!$F$41&gt;Voorblad!$K$41,0,IF($U82=0,0,IF($U82&lt;1,1/$U82,IF((FM$56-Voorblad!$F$41)/$U82-SUM($EE82:FL82)=1,1,0))))</f>
        <v>0</v>
      </c>
      <c r="FN82" s="8">
        <f>IF(FN$56-Voorblad!$F$41&gt;Voorblad!$K$41,0,IF($U82=0,0,IF($U82&lt;1,1/$U82,IF((FN$56-Voorblad!$F$41)/$U82-SUM($EE82:FM82)=1,1,0))))</f>
        <v>0</v>
      </c>
      <c r="FO82" s="8">
        <f>IF(FO$56-Voorblad!$F$41&gt;Voorblad!$K$41,0,IF($U82=0,0,IF($U82&lt;1,1/$U82,IF((FO$56-Voorblad!$F$41)/$U82-SUM($EE82:FN82)=1,1,0))))</f>
        <v>0</v>
      </c>
      <c r="FP82" s="8">
        <f>IF(FP$56-Voorblad!$F$41&gt;Voorblad!$K$41,0,IF($U82=0,0,IF($U82&lt;1,1/$U82,IF((FP$56-Voorblad!$F$41)/$U82-SUM($EE82:FO82)=1,1,0))))</f>
        <v>0</v>
      </c>
      <c r="FQ82" s="8">
        <f>IF(FQ$56-Voorblad!$F$41&gt;Voorblad!$K$41,0,IF($U82=0,0,IF($U82&lt;1,1/$U82,IF((FQ$56-Voorblad!$F$41)/$U82-SUM($EE82:FP82)=1,1,0))))</f>
        <v>0</v>
      </c>
      <c r="FR82" s="8">
        <f>IF(FR$56-Voorblad!$F$41&gt;Voorblad!$K$41,0,IF($U82=0,0,IF($U82&lt;1,1/$U82,IF((FR$56-Voorblad!$F$41)/$U82-SUM($EE82:FQ82)=1,1,0))))</f>
        <v>0</v>
      </c>
      <c r="FS82" s="8">
        <f>IF(FS$56-Voorblad!$F$41&gt;Voorblad!$K$41,0,IF($U82=0,0,IF($U82&lt;1,1/$U82,IF((FS$56-Voorblad!$F$41)/$U82-SUM($EE82:FR82)=1,1,0))))</f>
        <v>0</v>
      </c>
      <c r="FT82" s="8">
        <f>IF(FT$56-Voorblad!$F$41&gt;Voorblad!$K$41,0,IF($U82=0,0,IF($U82&lt;1,1/$U82,IF((FT$56-Voorblad!$F$41)/$U82-SUM($EE82:FS82)=1,1,0))))</f>
        <v>0</v>
      </c>
      <c r="FU82" s="8">
        <f>IF(FU$56-Voorblad!$F$41&gt;Voorblad!$K$41,0,IF($U82=0,0,IF($U82&lt;1,1/$U82,IF((FU$56-Voorblad!$F$41)/$U82-SUM($EE82:FT82)=1,1,0))))</f>
        <v>0</v>
      </c>
      <c r="FV82" s="8">
        <f>IF(FV$56-Voorblad!$F$41&gt;Voorblad!$K$41,0,IF($U82=0,0,IF($U82&lt;1,1/$U82,IF((FV$56-Voorblad!$F$41)/$U82-SUM($EE82:FU82)=1,1,0))))</f>
        <v>0</v>
      </c>
      <c r="FW82" s="8">
        <f>IF(FW$56-Voorblad!$F$41&gt;Voorblad!$K$41,0,IF($U82=0,0,IF($U82&lt;1,1/$U82,IF((FW$56-Voorblad!$F$41)/$U82-SUM($EE82:FV82)=1,1,0))))</f>
        <v>0</v>
      </c>
      <c r="FX82" s="8">
        <f>IF(FX$56-Voorblad!$F$41&gt;Voorblad!$K$41,0,IF($U82=0,0,IF($U82&lt;1,1/$U82,IF((FX$56-Voorblad!$F$41)/$U82-SUM($EE82:FW82)=1,1,0))))</f>
        <v>0</v>
      </c>
      <c r="FY82" s="8">
        <f>IF(FY$56-Voorblad!$F$41&gt;Voorblad!$K$41,0,IF($U82=0,0,IF($U82&lt;1,1/$U82,IF((FY$56-Voorblad!$F$41)/$U82-SUM($EE82:FX82)=1,1,0))))</f>
        <v>0</v>
      </c>
      <c r="FZ82" s="8">
        <f>IF(FZ$56-Voorblad!$F$41&gt;Voorblad!$K$41,0,IF($U82=0,0,IF($U82&lt;1,1/$U82,IF((FZ$56-Voorblad!$F$41)/$U82-SUM($EE82:FY82)=1,1,0))))</f>
        <v>0</v>
      </c>
      <c r="GA82" s="8">
        <f>IF(GA$56-Voorblad!$F$41&gt;Voorblad!$K$41,0,IF($U82=0,0,IF($U82&lt;1,1/$U82,IF((GA$56-Voorblad!$F$41)/$U82-SUM($EE82:FZ82)=1,1,0))))</f>
        <v>0</v>
      </c>
      <c r="GB82" s="8">
        <f>IF(GB$56-Voorblad!$F$41&gt;Voorblad!$K$41,0,IF($U82=0,0,IF($U82&lt;1,1/$U82,IF((GB$56-Voorblad!$F$41)/$U82-SUM($EE82:GA82)=1,1,0))))</f>
        <v>0</v>
      </c>
      <c r="GC82" s="8">
        <f>IF(GC$56-Voorblad!$F$41&gt;Voorblad!$K$41,0,IF($U82=0,0,IF($U82&lt;1,1/$U82,IF((GC$56-Voorblad!$F$41)/$U82-SUM($EE82:GB82)=1,1,0))))</f>
        <v>0</v>
      </c>
      <c r="GD82" s="8">
        <f>IF(GD$56-Voorblad!$F$41&gt;Voorblad!$K$41,0,IF($U82=0,0,IF($U82&lt;1,1/$U82,IF((GD$56-Voorblad!$F$41)/$U82-SUM($EE82:GC82)=1,1,0))))</f>
        <v>0</v>
      </c>
      <c r="GE82" s="8">
        <f>IF(GE$56-Voorblad!$F$41&gt;Voorblad!$K$41,0,IF($U82=0,0,IF($U82&lt;1,1/$U82,IF((GE$56-Voorblad!$F$41)/$U82-SUM($EE82:GD82)=1,1,0))))</f>
        <v>0</v>
      </c>
      <c r="GF82" s="8">
        <f>IF(GF$56-Voorblad!$F$41&gt;Voorblad!$K$41,0,IF($U82=0,0,IF($U82&lt;1,1/$U82,IF((GF$56-Voorblad!$F$41)/$U82-SUM($EE82:GE82)=1,1,0))))</f>
        <v>0</v>
      </c>
      <c r="GG82" s="8">
        <f>IF(GG$56-Voorblad!$F$41&gt;Voorblad!$K$41,0,IF($U82=0,0,IF($U82&lt;1,1/$U82,IF((GG$56-Voorblad!$F$41)/$U82-SUM($EE82:GF82)=1,1,0))))</f>
        <v>0</v>
      </c>
      <c r="GH82" s="8">
        <f>IF(GH$56-Voorblad!$F$41&gt;Voorblad!$K$41,0,IF($U82=0,0,IF($U82&lt;1,1/$U82,IF((GH$56-Voorblad!$F$41)/$U82-SUM($EE82:GG82)=1,1,0))))</f>
        <v>0</v>
      </c>
      <c r="GI82" s="8">
        <f>IF(GI$56-Voorblad!$F$41&gt;Voorblad!$K$41,0,IF($U82=0,0,IF($U82&lt;1,1/$U82,IF((GI$56-Voorblad!$F$41)/$U82-SUM($EE82:GH82)=1,1,0))))</f>
        <v>0</v>
      </c>
      <c r="GJ82" s="8">
        <f>IF(GJ$56-Voorblad!$F$41&gt;Voorblad!$K$41,0,IF($U82=0,0,IF($U82&lt;1,1/$U82,IF((GJ$56-Voorblad!$F$41)/$U82-SUM($EE82:GI82)=1,1,0))))</f>
        <v>0</v>
      </c>
      <c r="GK82" s="8">
        <f>IF(GK$56-Voorblad!$F$41&gt;Voorblad!$K$41,0,IF($U82=0,0,IF($U82&lt;1,1/$U82,IF((GK$56-Voorblad!$F$41)/$U82-SUM($EE82:GJ82)=1,1,0))))</f>
        <v>0</v>
      </c>
      <c r="GL82" s="8">
        <f>IF(GL$56-Voorblad!$F$41&gt;Voorblad!$K$41,0,IF($U82=0,0,IF($U82&lt;1,1/$U82,IF((GL$56-Voorblad!$F$41)/$U82-SUM($EE82:GK82)=1,1,0))))</f>
        <v>0</v>
      </c>
      <c r="GM82" s="8">
        <f>IF(GM$56-Voorblad!$F$41&gt;Voorblad!$K$41,0,IF($U82=0,0,IF($U82&lt;1,1/$U82,IF((GM$56-Voorblad!$F$41)/$U82-SUM($EE82:GL82)=1,1,0))))</f>
        <v>0</v>
      </c>
      <c r="GN82" s="8">
        <f>IF(GN$56-Voorblad!$F$41&gt;Voorblad!$K$41,0,IF($U82=0,0,IF($U82&lt;1,1/$U82,IF((GN$56-Voorblad!$F$41)/$U82-SUM($EE82:GM82)=1,1,0))))</f>
        <v>1</v>
      </c>
      <c r="GO82" s="8">
        <f>IF(GO$56-Voorblad!$F$41&gt;Voorblad!$K$41,0,IF($U82=0,0,IF($U82&lt;1,1/$U82,IF((GO$56-Voorblad!$F$41)/$U82-SUM($EE82:GN82)=1,1,0))))</f>
        <v>0</v>
      </c>
      <c r="GP82" s="8">
        <f>IF(GP$56-Voorblad!$F$41&gt;Voorblad!$K$41,0,IF($U82=0,0,IF($U82&lt;1,1/$U82,IF((GP$56-Voorblad!$F$41)/$U82-SUM($EE82:GO82)=1,1,0))))</f>
        <v>0</v>
      </c>
      <c r="GQ82" s="8">
        <f>IF(GQ$56-Voorblad!$F$41&gt;Voorblad!$K$41,0,IF($U82=0,0,IF($U82&lt;1,1/$U82,IF((GQ$56-Voorblad!$F$41)/$U82-SUM($EE82:GP82)=1,1,0))))</f>
        <v>0</v>
      </c>
      <c r="GR82" s="8">
        <f>IF(GR$56-Voorblad!$F$41&gt;Voorblad!$K$41,0,IF($U82=0,0,IF($U82&lt;1,1/$U82,IF((GR$56-Voorblad!$F$41)/$U82-SUM($EE82:GQ82)=1,1,0))))</f>
        <v>0</v>
      </c>
      <c r="GS82" s="8">
        <f>IF(GS$56-Voorblad!$F$41&gt;Voorblad!$K$41,0,IF($U82=0,0,IF($U82&lt;1,1/$U82,IF((GS$56-Voorblad!$F$41)/$U82-SUM($EE82:GR82)=1,1,0))))</f>
        <v>0</v>
      </c>
      <c r="GT82" s="8">
        <f>IF(GT$56-Voorblad!$F$41&gt;Voorblad!$K$41,0,IF($U82=0,0,IF($U82&lt;1,1/$U82,IF((GT$56-Voorblad!$F$41)/$U82-SUM($EE82:GS82)=1,1,0))))</f>
        <v>0</v>
      </c>
      <c r="GU82" s="8">
        <f>IF(GU$56-Voorblad!$F$41&gt;Voorblad!$K$41,0,IF($U82=0,0,IF($U82&lt;1,1/$U82,IF((GU$56-Voorblad!$F$41)/$U82-SUM($EE82:GT82)=1,1,0))))</f>
        <v>0</v>
      </c>
      <c r="GV82" s="8">
        <f>IF(GV$56-Voorblad!$F$41&gt;Voorblad!$K$41,0,IF($U82=0,0,IF($U82&lt;1,1/$U82,IF((GV$56-Voorblad!$F$41)/$U82-SUM($EE82:GU82)=1,1,0))))</f>
        <v>0</v>
      </c>
      <c r="GW82" s="8">
        <f>IF(GW$56-Voorblad!$F$41&gt;Voorblad!$K$41,0,IF($U82=0,0,IF($U82&lt;1,1/$U82,IF((GW$56-Voorblad!$F$41)/$U82-SUM($EE82:GV82)=1,1,0))))</f>
        <v>0</v>
      </c>
      <c r="GX82" s="8">
        <f>IF(GX$56-Voorblad!$F$41&gt;Voorblad!$K$41,0,IF($U82=0,0,IF($U82&lt;1,1/$U82,IF((GX$56-Voorblad!$F$41)/$U82-SUM($EE82:GW82)=1,1,0))))</f>
        <v>0</v>
      </c>
      <c r="GY82" s="8">
        <f>IF(GY$56-Voorblad!$F$41&gt;Voorblad!$K$41,0,IF($U82=0,0,IF($U82&lt;1,1/$U82,IF((GY$56-Voorblad!$F$41)/$U82-SUM($EE82:GX82)=1,1,0))))</f>
        <v>0</v>
      </c>
      <c r="GZ82" s="8">
        <f>IF(GZ$56-Voorblad!$F$41&gt;Voorblad!$K$41,0,IF($U82=0,0,IF($U82&lt;1,1/$U82,IF((GZ$56-Voorblad!$F$41)/$U82-SUM($EE82:GY82)=1,1,0))))</f>
        <v>0</v>
      </c>
      <c r="HA82" s="8">
        <f>IF(HA$56-Voorblad!$F$41&gt;Voorblad!$K$41,0,IF($U82=0,0,IF($U82&lt;1,1/$U82,IF((HA$56-Voorblad!$F$41)/$U82-SUM($EE82:GZ82)=1,1,0))))</f>
        <v>0</v>
      </c>
      <c r="HB82" s="8">
        <f>IF(HB$56-Voorblad!$F$41&gt;Voorblad!$K$41,0,IF($U82=0,0,IF($U82&lt;1,1/$U82,IF((HB$56-Voorblad!$F$41)/$U82-SUM($EE82:HA82)=1,1,0))))</f>
        <v>0</v>
      </c>
      <c r="HC82" s="8">
        <f>IF(HC$56-Voorblad!$F$41&gt;Voorblad!$K$41,0,IF($U82=0,0,IF($U82&lt;1,1/$U82,IF((HC$56-Voorblad!$F$41)/$U82-SUM($EE82:HB82)=1,1,0))))</f>
        <v>0</v>
      </c>
      <c r="HD82" s="8">
        <f>IF(HD$56-Voorblad!$F$41&gt;Voorblad!$K$41,0,IF($U82=0,0,IF($U82&lt;1,1/$U82,IF((HD$56-Voorblad!$F$41)/$U82-SUM($EE82:HC82)=1,1,0))))</f>
        <v>0</v>
      </c>
      <c r="HE82" s="8">
        <f>IF(HE$56-Voorblad!$F$41&gt;Voorblad!$K$41,0,IF($U82=0,0,IF($U82&lt;1,1/$U82,IF((HE$56-Voorblad!$F$41)/$U82-SUM($EE82:HD82)=1,1,0))))</f>
        <v>0</v>
      </c>
      <c r="HF82" s="8">
        <f>IF(HF$56-Voorblad!$F$41&gt;Voorblad!$K$41,0,IF($U82=0,0,IF($U82&lt;1,1/$U82,IF((HF$56-Voorblad!$F$41)/$U82-SUM($EE82:HE82)=1,1,0))))</f>
        <v>0</v>
      </c>
      <c r="HG82" s="8">
        <f>IF(HG$56-Voorblad!$F$41&gt;Voorblad!$K$41,0,IF($U82=0,0,IF($U82&lt;1,1/$U82,IF((HG$56-Voorblad!$F$41)/$U82-SUM($EE82:HF82)=1,1,0))))</f>
        <v>0</v>
      </c>
      <c r="HH82" s="8">
        <f>IF(HH$56-Voorblad!$F$41&gt;Voorblad!$K$41,0,IF($U82=0,0,IF($U82&lt;1,1/$U82,IF((HH$56-Voorblad!$F$41)/$U82-SUM($EE82:HG82)=1,1,0))))</f>
        <v>0</v>
      </c>
      <c r="HI82" s="8">
        <f>IF(HI$56-Voorblad!$F$41&gt;Voorblad!$K$41,0,IF($U82=0,0,IF($U82&lt;1,1/$U82,IF((HI$56-Voorblad!$F$41)/$U82-SUM($EE82:HH82)=1,1,0))))</f>
        <v>0</v>
      </c>
      <c r="HJ82" s="8">
        <f>IF(HJ$56-Voorblad!$F$41&gt;Voorblad!$K$41,0,IF($U82=0,0,IF($U82&lt;1,1/$U82,IF((HJ$56-Voorblad!$F$41)/$U82-SUM($EE82:HI82)=1,1,0))))</f>
        <v>0</v>
      </c>
      <c r="HK82" s="8">
        <f>IF(HK$56-Voorblad!$F$41&gt;Voorblad!$K$41,0,IF($U82=0,0,IF($U82&lt;1,1/$U82,IF((HK$56-Voorblad!$F$41)/$U82-SUM($EE82:HJ82)=1,1,0))))</f>
        <v>0</v>
      </c>
      <c r="HL82" s="8">
        <f>IF(HL$56-Voorblad!$F$41&gt;Voorblad!$K$41,0,IF($U82=0,0,IF($U82&lt;1,1/$U82,IF((HL$56-Voorblad!$F$41)/$U82-SUM($EE82:HK82)=1,1,0))))</f>
        <v>0</v>
      </c>
      <c r="HM82" s="8">
        <f>IF(HM$56-Voorblad!$F$41&gt;Voorblad!$K$41,0,IF($U82=0,0,IF($U82&lt;1,1/$U82,IF((HM$56-Voorblad!$F$41)/$U82-SUM($EE82:HL82)=1,1,0))))</f>
        <v>0</v>
      </c>
      <c r="HN82" s="8">
        <f>IF(HN$56-Voorblad!$F$41&gt;Voorblad!$K$41,0,IF($U82=0,0,IF($U82&lt;1,1/$U82,IF((HN$56-Voorblad!$F$41)/$U82-SUM($EE82:HM82)=1,1,0))))</f>
        <v>0</v>
      </c>
      <c r="HO82" s="8">
        <f>IF(HO$56-Voorblad!$F$41&gt;Voorblad!$K$41,0,IF($U82=0,0,IF($U82&lt;1,1/$U82,IF((HO$56-Voorblad!$F$41)/$U82-SUM($EE82:HN82)=1,1,0))))</f>
        <v>0</v>
      </c>
      <c r="HP82" s="8">
        <f>IF(HP$56-Voorblad!$F$41&gt;Voorblad!$K$41,0,IF($U82=0,0,IF($U82&lt;1,1/$U82,IF((HP$56-Voorblad!$F$41)/$U82-SUM($EE82:HO82)=1,1,0))))</f>
        <v>0</v>
      </c>
      <c r="HQ82" s="8">
        <f>IF(HQ$56-Voorblad!$F$41&gt;Voorblad!$K$41,0,IF($U82=0,0,IF($U82&lt;1,1/$U82,IF((HQ$56-Voorblad!$F$41)/$U82-SUM($EE82:HP82)=1,1,0))))</f>
        <v>0</v>
      </c>
      <c r="HR82" s="8">
        <f>IF(HR$56-Voorblad!$F$41&gt;Voorblad!$K$41,0,IF($U82=0,0,IF($U82&lt;1,1/$U82,IF((HR$56-Voorblad!$F$41)/$U82-SUM($EE82:HQ82)=1,1,0))))</f>
        <v>0</v>
      </c>
      <c r="HS82" s="8">
        <f>IF(HS$56-Voorblad!$F$41&gt;Voorblad!$K$41,0,IF($U82=0,0,IF($U82&lt;1,1/$U82,IF((HS$56-Voorblad!$F$41)/$U82-SUM($EE82:HR82)=1,1,0))))</f>
        <v>0</v>
      </c>
      <c r="HT82" s="8">
        <f>IF(HT$56-Voorblad!$F$41&gt;Voorblad!$K$41,0,IF($U82=0,0,IF($U82&lt;1,1/$U82,IF((HT$56-Voorblad!$F$41)/$U82-SUM($EE82:HS82)=1,1,0))))</f>
        <v>0</v>
      </c>
      <c r="HU82" s="8">
        <f>IF(HU$56-Voorblad!$F$41&gt;Voorblad!$K$41,0,IF($U82=0,0,IF($U82&lt;1,1/$U82,IF((HU$56-Voorblad!$F$41)/$U82-SUM($EE82:HT82)=1,1,0))))</f>
        <v>0</v>
      </c>
      <c r="HV82" s="8">
        <f>IF(HV$56-Voorblad!$F$41&gt;Voorblad!$K$41,0,IF($U82=0,0,IF($U82&lt;1,1/$U82,IF((HV$56-Voorblad!$F$41)/$U82-SUM($EE82:HU82)=1,1,0))))</f>
        <v>0</v>
      </c>
      <c r="HW82" s="8">
        <f>IF(HW$56-Voorblad!$F$41&gt;Voorblad!$K$41,0,IF($U82=0,0,IF($U82&lt;1,1/$U82,IF((HW$56-Voorblad!$F$41)/$U82-SUM($EE82:HV82)=1,1,0))))</f>
        <v>0</v>
      </c>
      <c r="HX82" s="8">
        <f>IF(HX$56-Voorblad!$F$41&gt;Voorblad!$K$41,0,IF($U82=0,0,IF($U82&lt;1,1/$U82,IF((HX$56-Voorblad!$F$41)/$U82-SUM($EE82:HW82)=1,1,0))))</f>
        <v>0</v>
      </c>
      <c r="HY82" s="8">
        <f>IF(HY$56-Voorblad!$F$41&gt;Voorblad!$K$41,0,IF($U82=0,0,IF($U82&lt;1,1/$U82,IF((HY$56-Voorblad!$F$41)/$U82-SUM($EE82:HX82)=1,1,0))))</f>
        <v>0</v>
      </c>
      <c r="HZ82" s="8">
        <f>IF(HZ$56-Voorblad!$F$41&gt;Voorblad!$K$41,0,IF($U82=0,0,IF($U82&lt;1,1/$U82,IF((HZ$56-Voorblad!$F$41)/$U82-SUM($EE82:HY82)=1,1,0))))</f>
        <v>0</v>
      </c>
      <c r="IA82" s="8">
        <f>IF(IA$56-Voorblad!$F$41&gt;Voorblad!$K$41,0,IF($U82=0,0,IF($U82&lt;1,1/$U82,IF((IA$56-Voorblad!$F$41)/$U82-SUM($EE82:HZ82)=1,1,0))))</f>
        <v>0</v>
      </c>
      <c r="IB82" s="8">
        <f>IF(IB$56-Voorblad!$F$41&gt;Voorblad!$K$41,0,IF($U82=0,0,IF($U82&lt;1,1/$U82,IF((IB$56-Voorblad!$F$41)/$U82-SUM($EE82:IA82)=1,1,0))))</f>
        <v>0</v>
      </c>
    </row>
    <row r="83" spans="2:236" ht="12" hidden="1" customHeight="1" outlineLevel="1" x14ac:dyDescent="0.25">
      <c r="B83" s="1">
        <v>1</v>
      </c>
      <c r="F83" s="1" t="s">
        <v>23</v>
      </c>
      <c r="I83" s="1" t="s">
        <v>193</v>
      </c>
      <c r="K83" s="14" t="s">
        <v>155</v>
      </c>
      <c r="N83" s="3"/>
      <c r="O83" s="1" t="s">
        <v>187</v>
      </c>
      <c r="P83" s="1" t="s">
        <v>181</v>
      </c>
      <c r="Q83" s="81">
        <v>0</v>
      </c>
      <c r="R83" s="1" t="s">
        <v>34</v>
      </c>
      <c r="S83" s="14">
        <f>$H$10*125</f>
        <v>297.5</v>
      </c>
      <c r="T83" s="1">
        <f t="shared" si="16"/>
        <v>0</v>
      </c>
      <c r="U83" s="14">
        <v>30</v>
      </c>
      <c r="V83" s="14"/>
      <c r="Y83" s="9">
        <f t="shared" si="17"/>
        <v>0</v>
      </c>
      <c r="Z83" s="82"/>
      <c r="AA83" s="82"/>
      <c r="AC83" s="9">
        <f>$Y83*(Voorblad!$K$44*(1+Voorblad!$K$44)^Voorblad!$K$41)/((1+Voorblad!$K$44)^Voorblad!$K$41-1)</f>
        <v>0</v>
      </c>
      <c r="AE83" s="9">
        <f>EF83*($Q83*$S83)/(1+Voorblad!$K$44)^(AE$56-Voorblad!$F$41)</f>
        <v>0</v>
      </c>
      <c r="AF83" s="9">
        <f>EG83*($Q83*$S83)/(1+Voorblad!$K$44)^(AF$56-Voorblad!$F$41)</f>
        <v>0</v>
      </c>
      <c r="AG83" s="9">
        <f>EH83*($Q83*$S83)/(1+Voorblad!$K$44)^(AG$56-Voorblad!$F$41)</f>
        <v>0</v>
      </c>
      <c r="AH83" s="9">
        <f>EI83*($Q83*$S83)/(1+Voorblad!$K$44)^(AH$56-Voorblad!$F$41)</f>
        <v>0</v>
      </c>
      <c r="AI83" s="9">
        <f>EJ83*($Q83*$S83)/(1+Voorblad!$K$44)^(AI$56-Voorblad!$F$41)</f>
        <v>0</v>
      </c>
      <c r="AJ83" s="9">
        <f>EK83*($Q83*$S83)/(1+Voorblad!$K$44)^(AJ$56-Voorblad!$F$41)</f>
        <v>0</v>
      </c>
      <c r="AK83" s="9">
        <f>EL83*($Q83*$S83)/(1+Voorblad!$K$44)^(AK$56-Voorblad!$F$41)</f>
        <v>0</v>
      </c>
      <c r="AL83" s="9">
        <f>EM83*($Q83*$S83)/(1+Voorblad!$K$44)^(AL$56-Voorblad!$F$41)</f>
        <v>0</v>
      </c>
      <c r="AM83" s="9">
        <f>EN83*($Q83*$S83)/(1+Voorblad!$K$44)^(AM$56-Voorblad!$F$41)</f>
        <v>0</v>
      </c>
      <c r="AN83" s="9">
        <f>EO83*($Q83*$S83)/(1+Voorblad!$K$44)^(AN$56-Voorblad!$F$41)</f>
        <v>0</v>
      </c>
      <c r="AO83" s="9">
        <f>EP83*($Q83*$S83)/(1+Voorblad!$K$44)^(AO$56-Voorblad!$F$41)</f>
        <v>0</v>
      </c>
      <c r="AP83" s="9">
        <f>EQ83*($Q83*$S83)/(1+Voorblad!$K$44)^(AP$56-Voorblad!$F$41)</f>
        <v>0</v>
      </c>
      <c r="AQ83" s="9">
        <f>ER83*($Q83*$S83)/(1+Voorblad!$K$44)^(AQ$56-Voorblad!$F$41)</f>
        <v>0</v>
      </c>
      <c r="AR83" s="9">
        <f>ES83*($Q83*$S83)/(1+Voorblad!$K$44)^(AR$56-Voorblad!$F$41)</f>
        <v>0</v>
      </c>
      <c r="AS83" s="9">
        <f>ET83*($Q83*$S83)/(1+Voorblad!$K$44)^(AS$56-Voorblad!$F$41)</f>
        <v>0</v>
      </c>
      <c r="AT83" s="9">
        <f>EU83*($Q83*$S83)/(1+Voorblad!$K$44)^(AT$56-Voorblad!$F$41)</f>
        <v>0</v>
      </c>
      <c r="AU83" s="9">
        <f>EV83*($Q83*$S83)/(1+Voorblad!$K$44)^(AU$56-Voorblad!$F$41)</f>
        <v>0</v>
      </c>
      <c r="AV83" s="9">
        <f>EW83*($Q83*$S83)/(1+Voorblad!$K$44)^(AV$56-Voorblad!$F$41)</f>
        <v>0</v>
      </c>
      <c r="AW83" s="9">
        <f>EX83*($Q83*$S83)/(1+Voorblad!$K$44)^(AW$56-Voorblad!$F$41)</f>
        <v>0</v>
      </c>
      <c r="AX83" s="9">
        <f>EY83*($Q83*$S83)/(1+Voorblad!$K$44)^(AX$56-Voorblad!$F$41)</f>
        <v>0</v>
      </c>
      <c r="AY83" s="9">
        <f>EZ83*($Q83*$S83)/(1+Voorblad!$K$44)^(AY$56-Voorblad!$F$41)</f>
        <v>0</v>
      </c>
      <c r="AZ83" s="9">
        <f>FA83*($Q83*$S83)/(1+Voorblad!$K$44)^(AZ$56-Voorblad!$F$41)</f>
        <v>0</v>
      </c>
      <c r="BA83" s="9">
        <f>FB83*($Q83*$S83)/(1+Voorblad!$K$44)^(BA$56-Voorblad!$F$41)</f>
        <v>0</v>
      </c>
      <c r="BB83" s="9">
        <f>FC83*($Q83*$S83)/(1+Voorblad!$K$44)^(BB$56-Voorblad!$F$41)</f>
        <v>0</v>
      </c>
      <c r="BC83" s="9">
        <f>FD83*($Q83*$S83)/(1+Voorblad!$K$44)^(BC$56-Voorblad!$F$41)</f>
        <v>0</v>
      </c>
      <c r="BD83" s="9">
        <f>FE83*($Q83*$S83)/(1+Voorblad!$K$44)^(BD$56-Voorblad!$F$41)</f>
        <v>0</v>
      </c>
      <c r="BE83" s="9">
        <f>FF83*($Q83*$S83)/(1+Voorblad!$K$44)^(BE$56-Voorblad!$F$41)</f>
        <v>0</v>
      </c>
      <c r="BF83" s="9">
        <f>FG83*($Q83*$S83)/(1+Voorblad!$K$44)^(BF$56-Voorblad!$F$41)</f>
        <v>0</v>
      </c>
      <c r="BG83" s="9">
        <f>FH83*($Q83*$S83)/(1+Voorblad!$K$44)^(BG$56-Voorblad!$F$41)</f>
        <v>0</v>
      </c>
      <c r="BH83" s="9">
        <f>FI83*($Q83*$S83)/(1+Voorblad!$K$44)^(BH$56-Voorblad!$F$41)</f>
        <v>0</v>
      </c>
      <c r="BI83" s="9">
        <f>FJ83*($Q83*$S83)/(1+Voorblad!$K$44)^(BI$56-Voorblad!$F$41)</f>
        <v>0</v>
      </c>
      <c r="BJ83" s="9">
        <f>FK83*($Q83*$S83)/(1+Voorblad!$K$44)^(BJ$56-Voorblad!$F$41)</f>
        <v>0</v>
      </c>
      <c r="BK83" s="9">
        <f>FL83*($Q83*$S83)/(1+Voorblad!$K$44)^(BK$56-Voorblad!$F$41)</f>
        <v>0</v>
      </c>
      <c r="BL83" s="9">
        <f>FM83*($Q83*$S83)/(1+Voorblad!$K$44)^(BL$56-Voorblad!$F$41)</f>
        <v>0</v>
      </c>
      <c r="BM83" s="9">
        <f>FN83*($Q83*$S83)/(1+Voorblad!$K$44)^(BM$56-Voorblad!$F$41)</f>
        <v>0</v>
      </c>
      <c r="BN83" s="9">
        <f>FO83*($Q83*$S83)/(1+Voorblad!$K$44)^(BN$56-Voorblad!$F$41)</f>
        <v>0</v>
      </c>
      <c r="BO83" s="9">
        <f>FP83*($Q83*$S83)/(1+Voorblad!$K$44)^(BO$56-Voorblad!$F$41)</f>
        <v>0</v>
      </c>
      <c r="BP83" s="9">
        <f>FQ83*($Q83*$S83)/(1+Voorblad!$K$44)^(BP$56-Voorblad!$F$41)</f>
        <v>0</v>
      </c>
      <c r="BQ83" s="9">
        <f>FR83*($Q83*$S83)/(1+Voorblad!$K$44)^(BQ$56-Voorblad!$F$41)</f>
        <v>0</v>
      </c>
      <c r="BR83" s="9">
        <f>FS83*($Q83*$S83)/(1+Voorblad!$K$44)^(BR$56-Voorblad!$F$41)</f>
        <v>0</v>
      </c>
      <c r="BS83" s="9">
        <f>FT83*($Q83*$S83)/(1+Voorblad!$K$44)^(BS$56-Voorblad!$F$41)</f>
        <v>0</v>
      </c>
      <c r="BT83" s="9">
        <f>FU83*($Q83*$S83)/(1+Voorblad!$K$44)^(BT$56-Voorblad!$F$41)</f>
        <v>0</v>
      </c>
      <c r="BU83" s="9">
        <f>FV83*($Q83*$S83)/(1+Voorblad!$K$44)^(BU$56-Voorblad!$F$41)</f>
        <v>0</v>
      </c>
      <c r="BV83" s="9">
        <f>FW83*($Q83*$S83)/(1+Voorblad!$K$44)^(BV$56-Voorblad!$F$41)</f>
        <v>0</v>
      </c>
      <c r="BW83" s="9">
        <f>FX83*($Q83*$S83)/(1+Voorblad!$K$44)^(BW$56-Voorblad!$F$41)</f>
        <v>0</v>
      </c>
      <c r="BX83" s="9">
        <f>FY83*($Q83*$S83)/(1+Voorblad!$K$44)^(BX$56-Voorblad!$F$41)</f>
        <v>0</v>
      </c>
      <c r="BY83" s="9">
        <f>FZ83*($Q83*$S83)/(1+Voorblad!$K$44)^(BY$56-Voorblad!$F$41)</f>
        <v>0</v>
      </c>
      <c r="BZ83" s="9">
        <f>GA83*($Q83*$S83)/(1+Voorblad!$K$44)^(BZ$56-Voorblad!$F$41)</f>
        <v>0</v>
      </c>
      <c r="CA83" s="9">
        <f>GB83*($Q83*$S83)/(1+Voorblad!$K$44)^(CA$56-Voorblad!$F$41)</f>
        <v>0</v>
      </c>
      <c r="CB83" s="9">
        <f>GC83*($Q83*$S83)/(1+Voorblad!$K$44)^(CB$56-Voorblad!$F$41)</f>
        <v>0</v>
      </c>
      <c r="CC83" s="9">
        <f>GD83*($Q83*$S83)/(1+Voorblad!$K$44)^(CC$56-Voorblad!$F$41)</f>
        <v>0</v>
      </c>
      <c r="CD83" s="9">
        <f>GE83*($Q83*$S83)/(1+Voorblad!$K$44)^(CD$56-Voorblad!$F$41)</f>
        <v>0</v>
      </c>
      <c r="CE83" s="9">
        <f>GF83*($Q83*$S83)/(1+Voorblad!$K$44)^(CE$56-Voorblad!$F$41)</f>
        <v>0</v>
      </c>
      <c r="CF83" s="9">
        <f>GG83*($Q83*$S83)/(1+Voorblad!$K$44)^(CF$56-Voorblad!$F$41)</f>
        <v>0</v>
      </c>
      <c r="CG83" s="9">
        <f>GH83*($Q83*$S83)/(1+Voorblad!$K$44)^(CG$56-Voorblad!$F$41)</f>
        <v>0</v>
      </c>
      <c r="CH83" s="9">
        <f>GI83*($Q83*$S83)/(1+Voorblad!$K$44)^(CH$56-Voorblad!$F$41)</f>
        <v>0</v>
      </c>
      <c r="CI83" s="9">
        <f>GJ83*($Q83*$S83)/(1+Voorblad!$K$44)^(CI$56-Voorblad!$F$41)</f>
        <v>0</v>
      </c>
      <c r="CJ83" s="9">
        <f>GK83*($Q83*$S83)/(1+Voorblad!$K$44)^(CJ$56-Voorblad!$F$41)</f>
        <v>0</v>
      </c>
      <c r="CK83" s="9">
        <f>GL83*($Q83*$S83)/(1+Voorblad!$K$44)^(CK$56-Voorblad!$F$41)</f>
        <v>0</v>
      </c>
      <c r="CL83" s="9">
        <f>GM83*($Q83*$S83)/(1+Voorblad!$K$44)^(CL$56-Voorblad!$F$41)</f>
        <v>0</v>
      </c>
      <c r="CM83" s="9">
        <f>GN83*($Q83*$S83)/(1+Voorblad!$K$44)^(CM$56-Voorblad!$F$41)</f>
        <v>0</v>
      </c>
      <c r="CN83" s="9">
        <f>GO83*($Q83*$S83)/(1+Voorblad!$K$44)^(CN$56-Voorblad!$F$41)</f>
        <v>0</v>
      </c>
      <c r="CO83" s="9">
        <f>GP83*($Q83*$S83)/(1+Voorblad!$K$44)^(CO$56-Voorblad!$F$41)</f>
        <v>0</v>
      </c>
      <c r="CP83" s="9">
        <f>GQ83*($Q83*$S83)/(1+Voorblad!$K$44)^(CP$56-Voorblad!$F$41)</f>
        <v>0</v>
      </c>
      <c r="CQ83" s="9">
        <f>GR83*($Q83*$S83)/(1+Voorblad!$K$44)^(CQ$56-Voorblad!$F$41)</f>
        <v>0</v>
      </c>
      <c r="CR83" s="9">
        <f>GS83*($Q83*$S83)/(1+Voorblad!$K$44)^(CR$56-Voorblad!$F$41)</f>
        <v>0</v>
      </c>
      <c r="CS83" s="9">
        <f>GT83*($Q83*$S83)/(1+Voorblad!$K$44)^(CS$56-Voorblad!$F$41)</f>
        <v>0</v>
      </c>
      <c r="CT83" s="9">
        <f>GU83*($Q83*$S83)/(1+Voorblad!$K$44)^(CT$56-Voorblad!$F$41)</f>
        <v>0</v>
      </c>
      <c r="CU83" s="9">
        <f>GV83*($Q83*$S83)/(1+Voorblad!$K$44)^(CU$56-Voorblad!$F$41)</f>
        <v>0</v>
      </c>
      <c r="CV83" s="9">
        <f>GW83*($Q83*$S83)/(1+Voorblad!$K$44)^(CV$56-Voorblad!$F$41)</f>
        <v>0</v>
      </c>
      <c r="CW83" s="9">
        <f>GX83*($Q83*$S83)/(1+Voorblad!$K$44)^(CW$56-Voorblad!$F$41)</f>
        <v>0</v>
      </c>
      <c r="CX83" s="9">
        <f>GY83*($Q83*$S83)/(1+Voorblad!$K$44)^(CX$56-Voorblad!$F$41)</f>
        <v>0</v>
      </c>
      <c r="CY83" s="9">
        <f>GZ83*($Q83*$S83)/(1+Voorblad!$K$44)^(CY$56-Voorblad!$F$41)</f>
        <v>0</v>
      </c>
      <c r="CZ83" s="9">
        <f>HA83*($Q83*$S83)/(1+Voorblad!$K$44)^(CZ$56-Voorblad!$F$41)</f>
        <v>0</v>
      </c>
      <c r="DA83" s="9">
        <f>HB83*($Q83*$S83)/(1+Voorblad!$K$44)^(DA$56-Voorblad!$F$41)</f>
        <v>0</v>
      </c>
      <c r="DB83" s="9">
        <f>HC83*($Q83*$S83)/(1+Voorblad!$K$44)^(DB$56-Voorblad!$F$41)</f>
        <v>0</v>
      </c>
      <c r="DC83" s="9">
        <f>HD83*($Q83*$S83)/(1+Voorblad!$K$44)^(DC$56-Voorblad!$F$41)</f>
        <v>0</v>
      </c>
      <c r="DD83" s="9">
        <f>HE83*($Q83*$S83)/(1+Voorblad!$K$44)^(DD$56-Voorblad!$F$41)</f>
        <v>0</v>
      </c>
      <c r="DE83" s="9">
        <f>HF83*($Q83*$S83)/(1+Voorblad!$K$44)^(DE$56-Voorblad!$F$41)</f>
        <v>0</v>
      </c>
      <c r="DF83" s="9">
        <f>HG83*($Q83*$S83)/(1+Voorblad!$K$44)^(DF$56-Voorblad!$F$41)</f>
        <v>0</v>
      </c>
      <c r="DG83" s="9">
        <f>HH83*($Q83*$S83)/(1+Voorblad!$K$44)^(DG$56-Voorblad!$F$41)</f>
        <v>0</v>
      </c>
      <c r="DH83" s="9">
        <f>HI83*($Q83*$S83)/(1+Voorblad!$K$44)^(DH$56-Voorblad!$F$41)</f>
        <v>0</v>
      </c>
      <c r="DI83" s="9">
        <f>HJ83*($Q83*$S83)/(1+Voorblad!$K$44)^(DI$56-Voorblad!$F$41)</f>
        <v>0</v>
      </c>
      <c r="DJ83" s="9">
        <f>HK83*($Q83*$S83)/(1+Voorblad!$K$44)^(DJ$56-Voorblad!$F$41)</f>
        <v>0</v>
      </c>
      <c r="DK83" s="9">
        <f>HL83*($Q83*$S83)/(1+Voorblad!$K$44)^(DK$56-Voorblad!$F$41)</f>
        <v>0</v>
      </c>
      <c r="DL83" s="9">
        <f>HM83*($Q83*$S83)/(1+Voorblad!$K$44)^(DL$56-Voorblad!$F$41)</f>
        <v>0</v>
      </c>
      <c r="DM83" s="9">
        <f>HN83*($Q83*$S83)/(1+Voorblad!$K$44)^(DM$56-Voorblad!$F$41)</f>
        <v>0</v>
      </c>
      <c r="DN83" s="9">
        <f>HO83*($Q83*$S83)/(1+Voorblad!$K$44)^(DN$56-Voorblad!$F$41)</f>
        <v>0</v>
      </c>
      <c r="DO83" s="9">
        <f>HP83*($Q83*$S83)/(1+Voorblad!$K$44)^(DO$56-Voorblad!$F$41)</f>
        <v>0</v>
      </c>
      <c r="DP83" s="9">
        <f>HQ83*($Q83*$S83)/(1+Voorblad!$K$44)^(DP$56-Voorblad!$F$41)</f>
        <v>0</v>
      </c>
      <c r="DQ83" s="9">
        <f>HR83*($Q83*$S83)/(1+Voorblad!$K$44)^(DQ$56-Voorblad!$F$41)</f>
        <v>0</v>
      </c>
      <c r="DR83" s="9">
        <f>HS83*($Q83*$S83)/(1+Voorblad!$K$44)^(DR$56-Voorblad!$F$41)</f>
        <v>0</v>
      </c>
      <c r="DS83" s="9">
        <f>HT83*($Q83*$S83)/(1+Voorblad!$K$44)^(DS$56-Voorblad!$F$41)</f>
        <v>0</v>
      </c>
      <c r="DT83" s="9">
        <f>HU83*($Q83*$S83)/(1+Voorblad!$K$44)^(DT$56-Voorblad!$F$41)</f>
        <v>0</v>
      </c>
      <c r="DU83" s="9">
        <f>HV83*($Q83*$S83)/(1+Voorblad!$K$44)^(DU$56-Voorblad!$F$41)</f>
        <v>0</v>
      </c>
      <c r="DV83" s="9">
        <f>HW83*($Q83*$S83)/(1+Voorblad!$K$44)^(DV$56-Voorblad!$F$41)</f>
        <v>0</v>
      </c>
      <c r="DW83" s="9">
        <f>HX83*($Q83*$S83)/(1+Voorblad!$K$44)^(DW$56-Voorblad!$F$41)</f>
        <v>0</v>
      </c>
      <c r="DX83" s="9">
        <f>HY83*($Q83*$S83)/(1+Voorblad!$K$44)^(DX$56-Voorblad!$F$41)</f>
        <v>0</v>
      </c>
      <c r="DY83" s="9">
        <f>HZ83*($Q83*$S83)/(1+Voorblad!$K$44)^(DY$56-Voorblad!$F$41)</f>
        <v>0</v>
      </c>
      <c r="DZ83" s="9">
        <f>IA83*($Q83*$S83)/(1+Voorblad!$K$44)^(DZ$56-Voorblad!$F$41)</f>
        <v>0</v>
      </c>
      <c r="EA83" s="9">
        <f>IB83*($Q83*$S83)/(1+Voorblad!$K$44)^(EA$56-Voorblad!$F$41)</f>
        <v>0</v>
      </c>
      <c r="EB83" s="9">
        <f>IC83*($Q83*$S83)/(1+Voorblad!$K$44)^(EB$56-Voorblad!$F$41)</f>
        <v>0</v>
      </c>
      <c r="EE83" s="8">
        <v>0</v>
      </c>
      <c r="EF83" s="8">
        <f>IF(EF$56-Voorblad!$F$41&gt;Voorblad!$K$41,0,IF($U83=0,0,IF($U83&lt;1,1/$U83,IF((EF$56-Voorblad!$F$41)/$U83-SUM($EE83:EE83)=1,1,0))))</f>
        <v>0</v>
      </c>
      <c r="EG83" s="8">
        <f>IF(EG$56-Voorblad!$F$41&gt;Voorblad!$K$41,0,IF($U83=0,0,IF($U83&lt;1,1/$U83,IF((EG$56-Voorblad!$F$41)/$U83-SUM($EE83:EF83)=1,1,0))))</f>
        <v>0</v>
      </c>
      <c r="EH83" s="8">
        <f>IF(EH$56-Voorblad!$F$41&gt;Voorblad!$K$41,0,IF($U83=0,0,IF($U83&lt;1,1/$U83,IF((EH$56-Voorblad!$F$41)/$U83-SUM($EE83:EG83)=1,1,0))))</f>
        <v>0</v>
      </c>
      <c r="EI83" s="8">
        <f>IF(EI$56-Voorblad!$F$41&gt;Voorblad!$K$41,0,IF($U83=0,0,IF($U83&lt;1,1/$U83,IF((EI$56-Voorblad!$F$41)/$U83-SUM($EE83:EH83)=1,1,0))))</f>
        <v>0</v>
      </c>
      <c r="EJ83" s="8">
        <f>IF(EJ$56-Voorblad!$F$41&gt;Voorblad!$K$41,0,IF($U83=0,0,IF($U83&lt;1,1/$U83,IF((EJ$56-Voorblad!$F$41)/$U83-SUM($EE83:EI83)=1,1,0))))</f>
        <v>0</v>
      </c>
      <c r="EK83" s="8">
        <f>IF(EK$56-Voorblad!$F$41&gt;Voorblad!$K$41,0,IF($U83=0,0,IF($U83&lt;1,1/$U83,IF((EK$56-Voorblad!$F$41)/$U83-SUM($EE83:EJ83)=1,1,0))))</f>
        <v>0</v>
      </c>
      <c r="EL83" s="8">
        <f>IF(EL$56-Voorblad!$F$41&gt;Voorblad!$K$41,0,IF($U83=0,0,IF($U83&lt;1,1/$U83,IF((EL$56-Voorblad!$F$41)/$U83-SUM($EE83:EK83)=1,1,0))))</f>
        <v>0</v>
      </c>
      <c r="EM83" s="8">
        <f>IF(EM$56-Voorblad!$F$41&gt;Voorblad!$K$41,0,IF($U83=0,0,IF($U83&lt;1,1/$U83,IF((EM$56-Voorblad!$F$41)/$U83-SUM($EE83:EL83)=1,1,0))))</f>
        <v>0</v>
      </c>
      <c r="EN83" s="8">
        <f>IF(EN$56-Voorblad!$F$41&gt;Voorblad!$K$41,0,IF($U83=0,0,IF($U83&lt;1,1/$U83,IF((EN$56-Voorblad!$F$41)/$U83-SUM($EE83:EM83)=1,1,0))))</f>
        <v>0</v>
      </c>
      <c r="EO83" s="8">
        <f>IF(EO$56-Voorblad!$F$41&gt;Voorblad!$K$41,0,IF($U83=0,0,IF($U83&lt;1,1/$U83,IF((EO$56-Voorblad!$F$41)/$U83-SUM($EE83:EN83)=1,1,0))))</f>
        <v>0</v>
      </c>
      <c r="EP83" s="8">
        <f>IF(EP$56-Voorblad!$F$41&gt;Voorblad!$K$41,0,IF($U83=0,0,IF($U83&lt;1,1/$U83,IF((EP$56-Voorblad!$F$41)/$U83-SUM($EE83:EO83)=1,1,0))))</f>
        <v>0</v>
      </c>
      <c r="EQ83" s="8">
        <f>IF(EQ$56-Voorblad!$F$41&gt;Voorblad!$K$41,0,IF($U83=0,0,IF($U83&lt;1,1/$U83,IF((EQ$56-Voorblad!$F$41)/$U83-SUM($EE83:EP83)=1,1,0))))</f>
        <v>0</v>
      </c>
      <c r="ER83" s="8">
        <f>IF(ER$56-Voorblad!$F$41&gt;Voorblad!$K$41,0,IF($U83=0,0,IF($U83&lt;1,1/$U83,IF((ER$56-Voorblad!$F$41)/$U83-SUM($EE83:EQ83)=1,1,0))))</f>
        <v>0</v>
      </c>
      <c r="ES83" s="8">
        <f>IF(ES$56-Voorblad!$F$41&gt;Voorblad!$K$41,0,IF($U83=0,0,IF($U83&lt;1,1/$U83,IF((ES$56-Voorblad!$F$41)/$U83-SUM($EE83:ER83)=1,1,0))))</f>
        <v>0</v>
      </c>
      <c r="ET83" s="8">
        <f>IF(ET$56-Voorblad!$F$41&gt;Voorblad!$K$41,0,IF($U83=0,0,IF($U83&lt;1,1/$U83,IF((ET$56-Voorblad!$F$41)/$U83-SUM($EE83:ES83)=1,1,0))))</f>
        <v>0</v>
      </c>
      <c r="EU83" s="8">
        <f>IF(EU$56-Voorblad!$F$41&gt;Voorblad!$K$41,0,IF($U83=0,0,IF($U83&lt;1,1/$U83,IF((EU$56-Voorblad!$F$41)/$U83-SUM($EE83:ET83)=1,1,0))))</f>
        <v>0</v>
      </c>
      <c r="EV83" s="8">
        <f>IF(EV$56-Voorblad!$F$41&gt;Voorblad!$K$41,0,IF($U83=0,0,IF($U83&lt;1,1/$U83,IF((EV$56-Voorblad!$F$41)/$U83-SUM($EE83:EU83)=1,1,0))))</f>
        <v>0</v>
      </c>
      <c r="EW83" s="8">
        <f>IF(EW$56-Voorblad!$F$41&gt;Voorblad!$K$41,0,IF($U83=0,0,IF($U83&lt;1,1/$U83,IF((EW$56-Voorblad!$F$41)/$U83-SUM($EE83:EV83)=1,1,0))))</f>
        <v>0</v>
      </c>
      <c r="EX83" s="8">
        <f>IF(EX$56-Voorblad!$F$41&gt;Voorblad!$K$41,0,IF($U83=0,0,IF($U83&lt;1,1/$U83,IF((EX$56-Voorblad!$F$41)/$U83-SUM($EE83:EW83)=1,1,0))))</f>
        <v>0</v>
      </c>
      <c r="EY83" s="8">
        <f>IF(EY$56-Voorblad!$F$41&gt;Voorblad!$K$41,0,IF($U83=0,0,IF($U83&lt;1,1/$U83,IF((EY$56-Voorblad!$F$41)/$U83-SUM($EE83:EX83)=1,1,0))))</f>
        <v>0</v>
      </c>
      <c r="EZ83" s="8">
        <f>IF(EZ$56-Voorblad!$F$41&gt;Voorblad!$K$41,0,IF($U83=0,0,IF($U83&lt;1,1/$U83,IF((EZ$56-Voorblad!$F$41)/$U83-SUM($EE83:EY83)=1,1,0))))</f>
        <v>0</v>
      </c>
      <c r="FA83" s="8">
        <f>IF(FA$56-Voorblad!$F$41&gt;Voorblad!$K$41,0,IF($U83=0,0,IF($U83&lt;1,1/$U83,IF((FA$56-Voorblad!$F$41)/$U83-SUM($EE83:EZ83)=1,1,0))))</f>
        <v>0</v>
      </c>
      <c r="FB83" s="8">
        <f>IF(FB$56-Voorblad!$F$41&gt;Voorblad!$K$41,0,IF($U83=0,0,IF($U83&lt;1,1/$U83,IF((FB$56-Voorblad!$F$41)/$U83-SUM($EE83:FA83)=1,1,0))))</f>
        <v>0</v>
      </c>
      <c r="FC83" s="8">
        <f>IF(FC$56-Voorblad!$F$41&gt;Voorblad!$K$41,0,IF($U83=0,0,IF($U83&lt;1,1/$U83,IF((FC$56-Voorblad!$F$41)/$U83-SUM($EE83:FB83)=1,1,0))))</f>
        <v>0</v>
      </c>
      <c r="FD83" s="8">
        <f>IF(FD$56-Voorblad!$F$41&gt;Voorblad!$K$41,0,IF($U83=0,0,IF($U83&lt;1,1/$U83,IF((FD$56-Voorblad!$F$41)/$U83-SUM($EE83:FC83)=1,1,0))))</f>
        <v>0</v>
      </c>
      <c r="FE83" s="8">
        <f>IF(FE$56-Voorblad!$F$41&gt;Voorblad!$K$41,0,IF($U83=0,0,IF($U83&lt;1,1/$U83,IF((FE$56-Voorblad!$F$41)/$U83-SUM($EE83:FD83)=1,1,0))))</f>
        <v>0</v>
      </c>
      <c r="FF83" s="8">
        <f>IF(FF$56-Voorblad!$F$41&gt;Voorblad!$K$41,0,IF($U83=0,0,IF($U83&lt;1,1/$U83,IF((FF$56-Voorblad!$F$41)/$U83-SUM($EE83:FE83)=1,1,0))))</f>
        <v>0</v>
      </c>
      <c r="FG83" s="8">
        <f>IF(FG$56-Voorblad!$F$41&gt;Voorblad!$K$41,0,IF($U83=0,0,IF($U83&lt;1,1/$U83,IF((FG$56-Voorblad!$F$41)/$U83-SUM($EE83:FF83)=1,1,0))))</f>
        <v>0</v>
      </c>
      <c r="FH83" s="8">
        <f>IF(FH$56-Voorblad!$F$41&gt;Voorblad!$K$41,0,IF($U83=0,0,IF($U83&lt;1,1/$U83,IF((FH$56-Voorblad!$F$41)/$U83-SUM($EE83:FG83)=1,1,0))))</f>
        <v>0</v>
      </c>
      <c r="FI83" s="8">
        <f>IF(FI$56-Voorblad!$F$41&gt;Voorblad!$K$41,0,IF($U83=0,0,IF($U83&lt;1,1/$U83,IF((FI$56-Voorblad!$F$41)/$U83-SUM($EE83:FH83)=1,1,0))))</f>
        <v>0</v>
      </c>
      <c r="FJ83" s="8">
        <f>IF(FJ$56-Voorblad!$F$41&gt;Voorblad!$K$41,0,IF($U83=0,0,IF($U83&lt;1,1/$U83,IF((FJ$56-Voorblad!$F$41)/$U83-SUM($EE83:FI83)=1,1,0))))</f>
        <v>1</v>
      </c>
      <c r="FK83" s="8">
        <f>IF(FK$56-Voorblad!$F$41&gt;Voorblad!$K$41,0,IF($U83=0,0,IF($U83&lt;1,1/$U83,IF((FK$56-Voorblad!$F$41)/$U83-SUM($EE83:FJ83)=1,1,0))))</f>
        <v>0</v>
      </c>
      <c r="FL83" s="8">
        <f>IF(FL$56-Voorblad!$F$41&gt;Voorblad!$K$41,0,IF($U83=0,0,IF($U83&lt;1,1/$U83,IF((FL$56-Voorblad!$F$41)/$U83-SUM($EE83:FK83)=1,1,0))))</f>
        <v>0</v>
      </c>
      <c r="FM83" s="8">
        <f>IF(FM$56-Voorblad!$F$41&gt;Voorblad!$K$41,0,IF($U83=0,0,IF($U83&lt;1,1/$U83,IF((FM$56-Voorblad!$F$41)/$U83-SUM($EE83:FL83)=1,1,0))))</f>
        <v>0</v>
      </c>
      <c r="FN83" s="8">
        <f>IF(FN$56-Voorblad!$F$41&gt;Voorblad!$K$41,0,IF($U83=0,0,IF($U83&lt;1,1/$U83,IF((FN$56-Voorblad!$F$41)/$U83-SUM($EE83:FM83)=1,1,0))))</f>
        <v>0</v>
      </c>
      <c r="FO83" s="8">
        <f>IF(FO$56-Voorblad!$F$41&gt;Voorblad!$K$41,0,IF($U83=0,0,IF($U83&lt;1,1/$U83,IF((FO$56-Voorblad!$F$41)/$U83-SUM($EE83:FN83)=1,1,0))))</f>
        <v>0</v>
      </c>
      <c r="FP83" s="8">
        <f>IF(FP$56-Voorblad!$F$41&gt;Voorblad!$K$41,0,IF($U83=0,0,IF($U83&lt;1,1/$U83,IF((FP$56-Voorblad!$F$41)/$U83-SUM($EE83:FO83)=1,1,0))))</f>
        <v>0</v>
      </c>
      <c r="FQ83" s="8">
        <f>IF(FQ$56-Voorblad!$F$41&gt;Voorblad!$K$41,0,IF($U83=0,0,IF($U83&lt;1,1/$U83,IF((FQ$56-Voorblad!$F$41)/$U83-SUM($EE83:FP83)=1,1,0))))</f>
        <v>0</v>
      </c>
      <c r="FR83" s="8">
        <f>IF(FR$56-Voorblad!$F$41&gt;Voorblad!$K$41,0,IF($U83=0,0,IF($U83&lt;1,1/$U83,IF((FR$56-Voorblad!$F$41)/$U83-SUM($EE83:FQ83)=1,1,0))))</f>
        <v>0</v>
      </c>
      <c r="FS83" s="8">
        <f>IF(FS$56-Voorblad!$F$41&gt;Voorblad!$K$41,0,IF($U83=0,0,IF($U83&lt;1,1/$U83,IF((FS$56-Voorblad!$F$41)/$U83-SUM($EE83:FR83)=1,1,0))))</f>
        <v>0</v>
      </c>
      <c r="FT83" s="8">
        <f>IF(FT$56-Voorblad!$F$41&gt;Voorblad!$K$41,0,IF($U83=0,0,IF($U83&lt;1,1/$U83,IF((FT$56-Voorblad!$F$41)/$U83-SUM($EE83:FS83)=1,1,0))))</f>
        <v>0</v>
      </c>
      <c r="FU83" s="8">
        <f>IF(FU$56-Voorblad!$F$41&gt;Voorblad!$K$41,0,IF($U83=0,0,IF($U83&lt;1,1/$U83,IF((FU$56-Voorblad!$F$41)/$U83-SUM($EE83:FT83)=1,1,0))))</f>
        <v>0</v>
      </c>
      <c r="FV83" s="8">
        <f>IF(FV$56-Voorblad!$F$41&gt;Voorblad!$K$41,0,IF($U83=0,0,IF($U83&lt;1,1/$U83,IF((FV$56-Voorblad!$F$41)/$U83-SUM($EE83:FU83)=1,1,0))))</f>
        <v>0</v>
      </c>
      <c r="FW83" s="8">
        <f>IF(FW$56-Voorblad!$F$41&gt;Voorblad!$K$41,0,IF($U83=0,0,IF($U83&lt;1,1/$U83,IF((FW$56-Voorblad!$F$41)/$U83-SUM($EE83:FV83)=1,1,0))))</f>
        <v>0</v>
      </c>
      <c r="FX83" s="8">
        <f>IF(FX$56-Voorblad!$F$41&gt;Voorblad!$K$41,0,IF($U83=0,0,IF($U83&lt;1,1/$U83,IF((FX$56-Voorblad!$F$41)/$U83-SUM($EE83:FW83)=1,1,0))))</f>
        <v>0</v>
      </c>
      <c r="FY83" s="8">
        <f>IF(FY$56-Voorblad!$F$41&gt;Voorblad!$K$41,0,IF($U83=0,0,IF($U83&lt;1,1/$U83,IF((FY$56-Voorblad!$F$41)/$U83-SUM($EE83:FX83)=1,1,0))))</f>
        <v>0</v>
      </c>
      <c r="FZ83" s="8">
        <f>IF(FZ$56-Voorblad!$F$41&gt;Voorblad!$K$41,0,IF($U83=0,0,IF($U83&lt;1,1/$U83,IF((FZ$56-Voorblad!$F$41)/$U83-SUM($EE83:FY83)=1,1,0))))</f>
        <v>0</v>
      </c>
      <c r="GA83" s="8">
        <f>IF(GA$56-Voorblad!$F$41&gt;Voorblad!$K$41,0,IF($U83=0,0,IF($U83&lt;1,1/$U83,IF((GA$56-Voorblad!$F$41)/$U83-SUM($EE83:FZ83)=1,1,0))))</f>
        <v>0</v>
      </c>
      <c r="GB83" s="8">
        <f>IF(GB$56-Voorblad!$F$41&gt;Voorblad!$K$41,0,IF($U83=0,0,IF($U83&lt;1,1/$U83,IF((GB$56-Voorblad!$F$41)/$U83-SUM($EE83:GA83)=1,1,0))))</f>
        <v>0</v>
      </c>
      <c r="GC83" s="8">
        <f>IF(GC$56-Voorblad!$F$41&gt;Voorblad!$K$41,0,IF($U83=0,0,IF($U83&lt;1,1/$U83,IF((GC$56-Voorblad!$F$41)/$U83-SUM($EE83:GB83)=1,1,0))))</f>
        <v>0</v>
      </c>
      <c r="GD83" s="8">
        <f>IF(GD$56-Voorblad!$F$41&gt;Voorblad!$K$41,0,IF($U83=0,0,IF($U83&lt;1,1/$U83,IF((GD$56-Voorblad!$F$41)/$U83-SUM($EE83:GC83)=1,1,0))))</f>
        <v>0</v>
      </c>
      <c r="GE83" s="8">
        <f>IF(GE$56-Voorblad!$F$41&gt;Voorblad!$K$41,0,IF($U83=0,0,IF($U83&lt;1,1/$U83,IF((GE$56-Voorblad!$F$41)/$U83-SUM($EE83:GD83)=1,1,0))))</f>
        <v>0</v>
      </c>
      <c r="GF83" s="8">
        <f>IF(GF$56-Voorblad!$F$41&gt;Voorblad!$K$41,0,IF($U83=0,0,IF($U83&lt;1,1/$U83,IF((GF$56-Voorblad!$F$41)/$U83-SUM($EE83:GE83)=1,1,0))))</f>
        <v>0</v>
      </c>
      <c r="GG83" s="8">
        <f>IF(GG$56-Voorblad!$F$41&gt;Voorblad!$K$41,0,IF($U83=0,0,IF($U83&lt;1,1/$U83,IF((GG$56-Voorblad!$F$41)/$U83-SUM($EE83:GF83)=1,1,0))))</f>
        <v>0</v>
      </c>
      <c r="GH83" s="8">
        <f>IF(GH$56-Voorblad!$F$41&gt;Voorblad!$K$41,0,IF($U83=0,0,IF($U83&lt;1,1/$U83,IF((GH$56-Voorblad!$F$41)/$U83-SUM($EE83:GG83)=1,1,0))))</f>
        <v>0</v>
      </c>
      <c r="GI83" s="8">
        <f>IF(GI$56-Voorblad!$F$41&gt;Voorblad!$K$41,0,IF($U83=0,0,IF($U83&lt;1,1/$U83,IF((GI$56-Voorblad!$F$41)/$U83-SUM($EE83:GH83)=1,1,0))))</f>
        <v>0</v>
      </c>
      <c r="GJ83" s="8">
        <f>IF(GJ$56-Voorblad!$F$41&gt;Voorblad!$K$41,0,IF($U83=0,0,IF($U83&lt;1,1/$U83,IF((GJ$56-Voorblad!$F$41)/$U83-SUM($EE83:GI83)=1,1,0))))</f>
        <v>0</v>
      </c>
      <c r="GK83" s="8">
        <f>IF(GK$56-Voorblad!$F$41&gt;Voorblad!$K$41,0,IF($U83=0,0,IF($U83&lt;1,1/$U83,IF((GK$56-Voorblad!$F$41)/$U83-SUM($EE83:GJ83)=1,1,0))))</f>
        <v>0</v>
      </c>
      <c r="GL83" s="8">
        <f>IF(GL$56-Voorblad!$F$41&gt;Voorblad!$K$41,0,IF($U83=0,0,IF($U83&lt;1,1/$U83,IF((GL$56-Voorblad!$F$41)/$U83-SUM($EE83:GK83)=1,1,0))))</f>
        <v>0</v>
      </c>
      <c r="GM83" s="8">
        <f>IF(GM$56-Voorblad!$F$41&gt;Voorblad!$K$41,0,IF($U83=0,0,IF($U83&lt;1,1/$U83,IF((GM$56-Voorblad!$F$41)/$U83-SUM($EE83:GL83)=1,1,0))))</f>
        <v>0</v>
      </c>
      <c r="GN83" s="8">
        <f>IF(GN$56-Voorblad!$F$41&gt;Voorblad!$K$41,0,IF($U83=0,0,IF($U83&lt;1,1/$U83,IF((GN$56-Voorblad!$F$41)/$U83-SUM($EE83:GM83)=1,1,0))))</f>
        <v>1</v>
      </c>
      <c r="GO83" s="8">
        <f>IF(GO$56-Voorblad!$F$41&gt;Voorblad!$K$41,0,IF($U83=0,0,IF($U83&lt;1,1/$U83,IF((GO$56-Voorblad!$F$41)/$U83-SUM($EE83:GN83)=1,1,0))))</f>
        <v>0</v>
      </c>
      <c r="GP83" s="8">
        <f>IF(GP$56-Voorblad!$F$41&gt;Voorblad!$K$41,0,IF($U83=0,0,IF($U83&lt;1,1/$U83,IF((GP$56-Voorblad!$F$41)/$U83-SUM($EE83:GO83)=1,1,0))))</f>
        <v>0</v>
      </c>
      <c r="GQ83" s="8">
        <f>IF(GQ$56-Voorblad!$F$41&gt;Voorblad!$K$41,0,IF($U83=0,0,IF($U83&lt;1,1/$U83,IF((GQ$56-Voorblad!$F$41)/$U83-SUM($EE83:GP83)=1,1,0))))</f>
        <v>0</v>
      </c>
      <c r="GR83" s="8">
        <f>IF(GR$56-Voorblad!$F$41&gt;Voorblad!$K$41,0,IF($U83=0,0,IF($U83&lt;1,1/$U83,IF((GR$56-Voorblad!$F$41)/$U83-SUM($EE83:GQ83)=1,1,0))))</f>
        <v>0</v>
      </c>
      <c r="GS83" s="8">
        <f>IF(GS$56-Voorblad!$F$41&gt;Voorblad!$K$41,0,IF($U83=0,0,IF($U83&lt;1,1/$U83,IF((GS$56-Voorblad!$F$41)/$U83-SUM($EE83:GR83)=1,1,0))))</f>
        <v>0</v>
      </c>
      <c r="GT83" s="8">
        <f>IF(GT$56-Voorblad!$F$41&gt;Voorblad!$K$41,0,IF($U83=0,0,IF($U83&lt;1,1/$U83,IF((GT$56-Voorblad!$F$41)/$U83-SUM($EE83:GS83)=1,1,0))))</f>
        <v>0</v>
      </c>
      <c r="GU83" s="8">
        <f>IF(GU$56-Voorblad!$F$41&gt;Voorblad!$K$41,0,IF($U83=0,0,IF($U83&lt;1,1/$U83,IF((GU$56-Voorblad!$F$41)/$U83-SUM($EE83:GT83)=1,1,0))))</f>
        <v>0</v>
      </c>
      <c r="GV83" s="8">
        <f>IF(GV$56-Voorblad!$F$41&gt;Voorblad!$K$41,0,IF($U83=0,0,IF($U83&lt;1,1/$U83,IF((GV$56-Voorblad!$F$41)/$U83-SUM($EE83:GU83)=1,1,0))))</f>
        <v>0</v>
      </c>
      <c r="GW83" s="8">
        <f>IF(GW$56-Voorblad!$F$41&gt;Voorblad!$K$41,0,IF($U83=0,0,IF($U83&lt;1,1/$U83,IF((GW$56-Voorblad!$F$41)/$U83-SUM($EE83:GV83)=1,1,0))))</f>
        <v>0</v>
      </c>
      <c r="GX83" s="8">
        <f>IF(GX$56-Voorblad!$F$41&gt;Voorblad!$K$41,0,IF($U83=0,0,IF($U83&lt;1,1/$U83,IF((GX$56-Voorblad!$F$41)/$U83-SUM($EE83:GW83)=1,1,0))))</f>
        <v>0</v>
      </c>
      <c r="GY83" s="8">
        <f>IF(GY$56-Voorblad!$F$41&gt;Voorblad!$K$41,0,IF($U83=0,0,IF($U83&lt;1,1/$U83,IF((GY$56-Voorblad!$F$41)/$U83-SUM($EE83:GX83)=1,1,0))))</f>
        <v>0</v>
      </c>
      <c r="GZ83" s="8">
        <f>IF(GZ$56-Voorblad!$F$41&gt;Voorblad!$K$41,0,IF($U83=0,0,IF($U83&lt;1,1/$U83,IF((GZ$56-Voorblad!$F$41)/$U83-SUM($EE83:GY83)=1,1,0))))</f>
        <v>0</v>
      </c>
      <c r="HA83" s="8">
        <f>IF(HA$56-Voorblad!$F$41&gt;Voorblad!$K$41,0,IF($U83=0,0,IF($U83&lt;1,1/$U83,IF((HA$56-Voorblad!$F$41)/$U83-SUM($EE83:GZ83)=1,1,0))))</f>
        <v>0</v>
      </c>
      <c r="HB83" s="8">
        <f>IF(HB$56-Voorblad!$F$41&gt;Voorblad!$K$41,0,IF($U83=0,0,IF($U83&lt;1,1/$U83,IF((HB$56-Voorblad!$F$41)/$U83-SUM($EE83:HA83)=1,1,0))))</f>
        <v>0</v>
      </c>
      <c r="HC83" s="8">
        <f>IF(HC$56-Voorblad!$F$41&gt;Voorblad!$K$41,0,IF($U83=0,0,IF($U83&lt;1,1/$U83,IF((HC$56-Voorblad!$F$41)/$U83-SUM($EE83:HB83)=1,1,0))))</f>
        <v>0</v>
      </c>
      <c r="HD83" s="8">
        <f>IF(HD$56-Voorblad!$F$41&gt;Voorblad!$K$41,0,IF($U83=0,0,IF($U83&lt;1,1/$U83,IF((HD$56-Voorblad!$F$41)/$U83-SUM($EE83:HC83)=1,1,0))))</f>
        <v>0</v>
      </c>
      <c r="HE83" s="8">
        <f>IF(HE$56-Voorblad!$F$41&gt;Voorblad!$K$41,0,IF($U83=0,0,IF($U83&lt;1,1/$U83,IF((HE$56-Voorblad!$F$41)/$U83-SUM($EE83:HD83)=1,1,0))))</f>
        <v>0</v>
      </c>
      <c r="HF83" s="8">
        <f>IF(HF$56-Voorblad!$F$41&gt;Voorblad!$K$41,0,IF($U83=0,0,IF($U83&lt;1,1/$U83,IF((HF$56-Voorblad!$F$41)/$U83-SUM($EE83:HE83)=1,1,0))))</f>
        <v>0</v>
      </c>
      <c r="HG83" s="8">
        <f>IF(HG$56-Voorblad!$F$41&gt;Voorblad!$K$41,0,IF($U83=0,0,IF($U83&lt;1,1/$U83,IF((HG$56-Voorblad!$F$41)/$U83-SUM($EE83:HF83)=1,1,0))))</f>
        <v>0</v>
      </c>
      <c r="HH83" s="8">
        <f>IF(HH$56-Voorblad!$F$41&gt;Voorblad!$K$41,0,IF($U83=0,0,IF($U83&lt;1,1/$U83,IF((HH$56-Voorblad!$F$41)/$U83-SUM($EE83:HG83)=1,1,0))))</f>
        <v>0</v>
      </c>
      <c r="HI83" s="8">
        <f>IF(HI$56-Voorblad!$F$41&gt;Voorblad!$K$41,0,IF($U83=0,0,IF($U83&lt;1,1/$U83,IF((HI$56-Voorblad!$F$41)/$U83-SUM($EE83:HH83)=1,1,0))))</f>
        <v>0</v>
      </c>
      <c r="HJ83" s="8">
        <f>IF(HJ$56-Voorblad!$F$41&gt;Voorblad!$K$41,0,IF($U83=0,0,IF($U83&lt;1,1/$U83,IF((HJ$56-Voorblad!$F$41)/$U83-SUM($EE83:HI83)=1,1,0))))</f>
        <v>0</v>
      </c>
      <c r="HK83" s="8">
        <f>IF(HK$56-Voorblad!$F$41&gt;Voorblad!$K$41,0,IF($U83=0,0,IF($U83&lt;1,1/$U83,IF((HK$56-Voorblad!$F$41)/$U83-SUM($EE83:HJ83)=1,1,0))))</f>
        <v>0</v>
      </c>
      <c r="HL83" s="8">
        <f>IF(HL$56-Voorblad!$F$41&gt;Voorblad!$K$41,0,IF($U83=0,0,IF($U83&lt;1,1/$U83,IF((HL$56-Voorblad!$F$41)/$U83-SUM($EE83:HK83)=1,1,0))))</f>
        <v>0</v>
      </c>
      <c r="HM83" s="8">
        <f>IF(HM$56-Voorblad!$F$41&gt;Voorblad!$K$41,0,IF($U83=0,0,IF($U83&lt;1,1/$U83,IF((HM$56-Voorblad!$F$41)/$U83-SUM($EE83:HL83)=1,1,0))))</f>
        <v>0</v>
      </c>
      <c r="HN83" s="8">
        <f>IF(HN$56-Voorblad!$F$41&gt;Voorblad!$K$41,0,IF($U83=0,0,IF($U83&lt;1,1/$U83,IF((HN$56-Voorblad!$F$41)/$U83-SUM($EE83:HM83)=1,1,0))))</f>
        <v>0</v>
      </c>
      <c r="HO83" s="8">
        <f>IF(HO$56-Voorblad!$F$41&gt;Voorblad!$K$41,0,IF($U83=0,0,IF($U83&lt;1,1/$U83,IF((HO$56-Voorblad!$F$41)/$U83-SUM($EE83:HN83)=1,1,0))))</f>
        <v>0</v>
      </c>
      <c r="HP83" s="8">
        <f>IF(HP$56-Voorblad!$F$41&gt;Voorblad!$K$41,0,IF($U83=0,0,IF($U83&lt;1,1/$U83,IF((HP$56-Voorblad!$F$41)/$U83-SUM($EE83:HO83)=1,1,0))))</f>
        <v>0</v>
      </c>
      <c r="HQ83" s="8">
        <f>IF(HQ$56-Voorblad!$F$41&gt;Voorblad!$K$41,0,IF($U83=0,0,IF($U83&lt;1,1/$U83,IF((HQ$56-Voorblad!$F$41)/$U83-SUM($EE83:HP83)=1,1,0))))</f>
        <v>0</v>
      </c>
      <c r="HR83" s="8">
        <f>IF(HR$56-Voorblad!$F$41&gt;Voorblad!$K$41,0,IF($U83=0,0,IF($U83&lt;1,1/$U83,IF((HR$56-Voorblad!$F$41)/$U83-SUM($EE83:HQ83)=1,1,0))))</f>
        <v>0</v>
      </c>
      <c r="HS83" s="8">
        <f>IF(HS$56-Voorblad!$F$41&gt;Voorblad!$K$41,0,IF($U83=0,0,IF($U83&lt;1,1/$U83,IF((HS$56-Voorblad!$F$41)/$U83-SUM($EE83:HR83)=1,1,0))))</f>
        <v>0</v>
      </c>
      <c r="HT83" s="8">
        <f>IF(HT$56-Voorblad!$F$41&gt;Voorblad!$K$41,0,IF($U83=0,0,IF($U83&lt;1,1/$U83,IF((HT$56-Voorblad!$F$41)/$U83-SUM($EE83:HS83)=1,1,0))))</f>
        <v>0</v>
      </c>
      <c r="HU83" s="8">
        <f>IF(HU$56-Voorblad!$F$41&gt;Voorblad!$K$41,0,IF($U83=0,0,IF($U83&lt;1,1/$U83,IF((HU$56-Voorblad!$F$41)/$U83-SUM($EE83:HT83)=1,1,0))))</f>
        <v>0</v>
      </c>
      <c r="HV83" s="8">
        <f>IF(HV$56-Voorblad!$F$41&gt;Voorblad!$K$41,0,IF($U83=0,0,IF($U83&lt;1,1/$U83,IF((HV$56-Voorblad!$F$41)/$U83-SUM($EE83:HU83)=1,1,0))))</f>
        <v>0</v>
      </c>
      <c r="HW83" s="8">
        <f>IF(HW$56-Voorblad!$F$41&gt;Voorblad!$K$41,0,IF($U83=0,0,IF($U83&lt;1,1/$U83,IF((HW$56-Voorblad!$F$41)/$U83-SUM($EE83:HV83)=1,1,0))))</f>
        <v>0</v>
      </c>
      <c r="HX83" s="8">
        <f>IF(HX$56-Voorblad!$F$41&gt;Voorblad!$K$41,0,IF($U83=0,0,IF($U83&lt;1,1/$U83,IF((HX$56-Voorblad!$F$41)/$U83-SUM($EE83:HW83)=1,1,0))))</f>
        <v>0</v>
      </c>
      <c r="HY83" s="8">
        <f>IF(HY$56-Voorblad!$F$41&gt;Voorblad!$K$41,0,IF($U83=0,0,IF($U83&lt;1,1/$U83,IF((HY$56-Voorblad!$F$41)/$U83-SUM($EE83:HX83)=1,1,0))))</f>
        <v>0</v>
      </c>
      <c r="HZ83" s="8">
        <f>IF(HZ$56-Voorblad!$F$41&gt;Voorblad!$K$41,0,IF($U83=0,0,IF($U83&lt;1,1/$U83,IF((HZ$56-Voorblad!$F$41)/$U83-SUM($EE83:HY83)=1,1,0))))</f>
        <v>0</v>
      </c>
      <c r="IA83" s="8">
        <f>IF(IA$56-Voorblad!$F$41&gt;Voorblad!$K$41,0,IF($U83=0,0,IF($U83&lt;1,1/$U83,IF((IA$56-Voorblad!$F$41)/$U83-SUM($EE83:HZ83)=1,1,0))))</f>
        <v>0</v>
      </c>
      <c r="IB83" s="8">
        <f>IF(IB$56-Voorblad!$F$41&gt;Voorblad!$K$41,0,IF($U83=0,0,IF($U83&lt;1,1/$U83,IF((IB$56-Voorblad!$F$41)/$U83-SUM($EE83:IA83)=1,1,0))))</f>
        <v>0</v>
      </c>
    </row>
    <row r="84" spans="2:236" ht="12" hidden="1" customHeight="1" outlineLevel="1" x14ac:dyDescent="0.25">
      <c r="B84" s="1">
        <v>1</v>
      </c>
      <c r="F84" s="1" t="s">
        <v>23</v>
      </c>
      <c r="I84" s="1" t="s">
        <v>193</v>
      </c>
      <c r="K84" s="14" t="s">
        <v>185</v>
      </c>
      <c r="N84" s="3"/>
      <c r="O84" s="1" t="s">
        <v>187</v>
      </c>
      <c r="P84" s="1" t="s">
        <v>182</v>
      </c>
      <c r="Q84" s="81">
        <v>0</v>
      </c>
      <c r="R84" s="1" t="s">
        <v>34</v>
      </c>
      <c r="S84" s="14">
        <f>$H$10*125</f>
        <v>297.5</v>
      </c>
      <c r="T84" s="1">
        <f t="shared" si="16"/>
        <v>0</v>
      </c>
      <c r="U84" s="14">
        <v>30</v>
      </c>
      <c r="V84" s="14"/>
      <c r="Y84" s="9">
        <f t="shared" si="17"/>
        <v>0</v>
      </c>
      <c r="Z84" s="82"/>
      <c r="AA84" s="82"/>
      <c r="AC84" s="9">
        <f>$Y84*(Voorblad!$K$44*(1+Voorblad!$K$44)^Voorblad!$K$41)/((1+Voorblad!$K$44)^Voorblad!$K$41-1)</f>
        <v>0</v>
      </c>
      <c r="AE84" s="9">
        <f>EF84*($Q84*$S84)/(1+Voorblad!$K$44)^(AE$56-Voorblad!$F$41)</f>
        <v>0</v>
      </c>
      <c r="AF84" s="9">
        <f>EG84*($Q84*$S84)/(1+Voorblad!$K$44)^(AF$56-Voorblad!$F$41)</f>
        <v>0</v>
      </c>
      <c r="AG84" s="9">
        <f>EH84*($Q84*$S84)/(1+Voorblad!$K$44)^(AG$56-Voorblad!$F$41)</f>
        <v>0</v>
      </c>
      <c r="AH84" s="9">
        <f>EI84*($Q84*$S84)/(1+Voorblad!$K$44)^(AH$56-Voorblad!$F$41)</f>
        <v>0</v>
      </c>
      <c r="AI84" s="9">
        <f>EJ84*($Q84*$S84)/(1+Voorblad!$K$44)^(AI$56-Voorblad!$F$41)</f>
        <v>0</v>
      </c>
      <c r="AJ84" s="9">
        <f>EK84*($Q84*$S84)/(1+Voorblad!$K$44)^(AJ$56-Voorblad!$F$41)</f>
        <v>0</v>
      </c>
      <c r="AK84" s="9">
        <f>EL84*($Q84*$S84)/(1+Voorblad!$K$44)^(AK$56-Voorblad!$F$41)</f>
        <v>0</v>
      </c>
      <c r="AL84" s="9">
        <f>EM84*($Q84*$S84)/(1+Voorblad!$K$44)^(AL$56-Voorblad!$F$41)</f>
        <v>0</v>
      </c>
      <c r="AM84" s="9">
        <f>EN84*($Q84*$S84)/(1+Voorblad!$K$44)^(AM$56-Voorblad!$F$41)</f>
        <v>0</v>
      </c>
      <c r="AN84" s="9">
        <f>EO84*($Q84*$S84)/(1+Voorblad!$K$44)^(AN$56-Voorblad!$F$41)</f>
        <v>0</v>
      </c>
      <c r="AO84" s="9">
        <f>EP84*($Q84*$S84)/(1+Voorblad!$K$44)^(AO$56-Voorblad!$F$41)</f>
        <v>0</v>
      </c>
      <c r="AP84" s="9">
        <f>EQ84*($Q84*$S84)/(1+Voorblad!$K$44)^(AP$56-Voorblad!$F$41)</f>
        <v>0</v>
      </c>
      <c r="AQ84" s="9">
        <f>ER84*($Q84*$S84)/(1+Voorblad!$K$44)^(AQ$56-Voorblad!$F$41)</f>
        <v>0</v>
      </c>
      <c r="AR84" s="9">
        <f>ES84*($Q84*$S84)/(1+Voorblad!$K$44)^(AR$56-Voorblad!$F$41)</f>
        <v>0</v>
      </c>
      <c r="AS84" s="9">
        <f>ET84*($Q84*$S84)/(1+Voorblad!$K$44)^(AS$56-Voorblad!$F$41)</f>
        <v>0</v>
      </c>
      <c r="AT84" s="9">
        <f>EU84*($Q84*$S84)/(1+Voorblad!$K$44)^(AT$56-Voorblad!$F$41)</f>
        <v>0</v>
      </c>
      <c r="AU84" s="9">
        <f>EV84*($Q84*$S84)/(1+Voorblad!$K$44)^(AU$56-Voorblad!$F$41)</f>
        <v>0</v>
      </c>
      <c r="AV84" s="9">
        <f>EW84*($Q84*$S84)/(1+Voorblad!$K$44)^(AV$56-Voorblad!$F$41)</f>
        <v>0</v>
      </c>
      <c r="AW84" s="9">
        <f>EX84*($Q84*$S84)/(1+Voorblad!$K$44)^(AW$56-Voorblad!$F$41)</f>
        <v>0</v>
      </c>
      <c r="AX84" s="9">
        <f>EY84*($Q84*$S84)/(1+Voorblad!$K$44)^(AX$56-Voorblad!$F$41)</f>
        <v>0</v>
      </c>
      <c r="AY84" s="9">
        <f>EZ84*($Q84*$S84)/(1+Voorblad!$K$44)^(AY$56-Voorblad!$F$41)</f>
        <v>0</v>
      </c>
      <c r="AZ84" s="9">
        <f>FA84*($Q84*$S84)/(1+Voorblad!$K$44)^(AZ$56-Voorblad!$F$41)</f>
        <v>0</v>
      </c>
      <c r="BA84" s="9">
        <f>FB84*($Q84*$S84)/(1+Voorblad!$K$44)^(BA$56-Voorblad!$F$41)</f>
        <v>0</v>
      </c>
      <c r="BB84" s="9">
        <f>FC84*($Q84*$S84)/(1+Voorblad!$K$44)^(BB$56-Voorblad!$F$41)</f>
        <v>0</v>
      </c>
      <c r="BC84" s="9">
        <f>FD84*($Q84*$S84)/(1+Voorblad!$K$44)^(BC$56-Voorblad!$F$41)</f>
        <v>0</v>
      </c>
      <c r="BD84" s="9">
        <f>FE84*($Q84*$S84)/(1+Voorblad!$K$44)^(BD$56-Voorblad!$F$41)</f>
        <v>0</v>
      </c>
      <c r="BE84" s="9">
        <f>FF84*($Q84*$S84)/(1+Voorblad!$K$44)^(BE$56-Voorblad!$F$41)</f>
        <v>0</v>
      </c>
      <c r="BF84" s="9">
        <f>FG84*($Q84*$S84)/(1+Voorblad!$K$44)^(BF$56-Voorblad!$F$41)</f>
        <v>0</v>
      </c>
      <c r="BG84" s="9">
        <f>FH84*($Q84*$S84)/(1+Voorblad!$K$44)^(BG$56-Voorblad!$F$41)</f>
        <v>0</v>
      </c>
      <c r="BH84" s="9">
        <f>FI84*($Q84*$S84)/(1+Voorblad!$K$44)^(BH$56-Voorblad!$F$41)</f>
        <v>0</v>
      </c>
      <c r="BI84" s="9">
        <f>FJ84*($Q84*$S84)/(1+Voorblad!$K$44)^(BI$56-Voorblad!$F$41)</f>
        <v>0</v>
      </c>
      <c r="BJ84" s="9">
        <f>FK84*($Q84*$S84)/(1+Voorblad!$K$44)^(BJ$56-Voorblad!$F$41)</f>
        <v>0</v>
      </c>
      <c r="BK84" s="9">
        <f>FL84*($Q84*$S84)/(1+Voorblad!$K$44)^(BK$56-Voorblad!$F$41)</f>
        <v>0</v>
      </c>
      <c r="BL84" s="9">
        <f>FM84*($Q84*$S84)/(1+Voorblad!$K$44)^(BL$56-Voorblad!$F$41)</f>
        <v>0</v>
      </c>
      <c r="BM84" s="9">
        <f>FN84*($Q84*$S84)/(1+Voorblad!$K$44)^(BM$56-Voorblad!$F$41)</f>
        <v>0</v>
      </c>
      <c r="BN84" s="9">
        <f>FO84*($Q84*$S84)/(1+Voorblad!$K$44)^(BN$56-Voorblad!$F$41)</f>
        <v>0</v>
      </c>
      <c r="BO84" s="9">
        <f>FP84*($Q84*$S84)/(1+Voorblad!$K$44)^(BO$56-Voorblad!$F$41)</f>
        <v>0</v>
      </c>
      <c r="BP84" s="9">
        <f>FQ84*($Q84*$S84)/(1+Voorblad!$K$44)^(BP$56-Voorblad!$F$41)</f>
        <v>0</v>
      </c>
      <c r="BQ84" s="9">
        <f>FR84*($Q84*$S84)/(1+Voorblad!$K$44)^(BQ$56-Voorblad!$F$41)</f>
        <v>0</v>
      </c>
      <c r="BR84" s="9">
        <f>FS84*($Q84*$S84)/(1+Voorblad!$K$44)^(BR$56-Voorblad!$F$41)</f>
        <v>0</v>
      </c>
      <c r="BS84" s="9">
        <f>FT84*($Q84*$S84)/(1+Voorblad!$K$44)^(BS$56-Voorblad!$F$41)</f>
        <v>0</v>
      </c>
      <c r="BT84" s="9">
        <f>FU84*($Q84*$S84)/(1+Voorblad!$K$44)^(BT$56-Voorblad!$F$41)</f>
        <v>0</v>
      </c>
      <c r="BU84" s="9">
        <f>FV84*($Q84*$S84)/(1+Voorblad!$K$44)^(BU$56-Voorblad!$F$41)</f>
        <v>0</v>
      </c>
      <c r="BV84" s="9">
        <f>FW84*($Q84*$S84)/(1+Voorblad!$K$44)^(BV$56-Voorblad!$F$41)</f>
        <v>0</v>
      </c>
      <c r="BW84" s="9">
        <f>FX84*($Q84*$S84)/(1+Voorblad!$K$44)^(BW$56-Voorblad!$F$41)</f>
        <v>0</v>
      </c>
      <c r="BX84" s="9">
        <f>FY84*($Q84*$S84)/(1+Voorblad!$K$44)^(BX$56-Voorblad!$F$41)</f>
        <v>0</v>
      </c>
      <c r="BY84" s="9">
        <f>FZ84*($Q84*$S84)/(1+Voorblad!$K$44)^(BY$56-Voorblad!$F$41)</f>
        <v>0</v>
      </c>
      <c r="BZ84" s="9">
        <f>GA84*($Q84*$S84)/(1+Voorblad!$K$44)^(BZ$56-Voorblad!$F$41)</f>
        <v>0</v>
      </c>
      <c r="CA84" s="9">
        <f>GB84*($Q84*$S84)/(1+Voorblad!$K$44)^(CA$56-Voorblad!$F$41)</f>
        <v>0</v>
      </c>
      <c r="CB84" s="9">
        <f>GC84*($Q84*$S84)/(1+Voorblad!$K$44)^(CB$56-Voorblad!$F$41)</f>
        <v>0</v>
      </c>
      <c r="CC84" s="9">
        <f>GD84*($Q84*$S84)/(1+Voorblad!$K$44)^(CC$56-Voorblad!$F$41)</f>
        <v>0</v>
      </c>
      <c r="CD84" s="9">
        <f>GE84*($Q84*$S84)/(1+Voorblad!$K$44)^(CD$56-Voorblad!$F$41)</f>
        <v>0</v>
      </c>
      <c r="CE84" s="9">
        <f>GF84*($Q84*$S84)/(1+Voorblad!$K$44)^(CE$56-Voorblad!$F$41)</f>
        <v>0</v>
      </c>
      <c r="CF84" s="9">
        <f>GG84*($Q84*$S84)/(1+Voorblad!$K$44)^(CF$56-Voorblad!$F$41)</f>
        <v>0</v>
      </c>
      <c r="CG84" s="9">
        <f>GH84*($Q84*$S84)/(1+Voorblad!$K$44)^(CG$56-Voorblad!$F$41)</f>
        <v>0</v>
      </c>
      <c r="CH84" s="9">
        <f>GI84*($Q84*$S84)/(1+Voorblad!$K$44)^(CH$56-Voorblad!$F$41)</f>
        <v>0</v>
      </c>
      <c r="CI84" s="9">
        <f>GJ84*($Q84*$S84)/(1+Voorblad!$K$44)^(CI$56-Voorblad!$F$41)</f>
        <v>0</v>
      </c>
      <c r="CJ84" s="9">
        <f>GK84*($Q84*$S84)/(1+Voorblad!$K$44)^(CJ$56-Voorblad!$F$41)</f>
        <v>0</v>
      </c>
      <c r="CK84" s="9">
        <f>GL84*($Q84*$S84)/(1+Voorblad!$K$44)^(CK$56-Voorblad!$F$41)</f>
        <v>0</v>
      </c>
      <c r="CL84" s="9">
        <f>GM84*($Q84*$S84)/(1+Voorblad!$K$44)^(CL$56-Voorblad!$F$41)</f>
        <v>0</v>
      </c>
      <c r="CM84" s="9">
        <f>GN84*($Q84*$S84)/(1+Voorblad!$K$44)^(CM$56-Voorblad!$F$41)</f>
        <v>0</v>
      </c>
      <c r="CN84" s="9">
        <f>GO84*($Q84*$S84)/(1+Voorblad!$K$44)^(CN$56-Voorblad!$F$41)</f>
        <v>0</v>
      </c>
      <c r="CO84" s="9">
        <f>GP84*($Q84*$S84)/(1+Voorblad!$K$44)^(CO$56-Voorblad!$F$41)</f>
        <v>0</v>
      </c>
      <c r="CP84" s="9">
        <f>GQ84*($Q84*$S84)/(1+Voorblad!$K$44)^(CP$56-Voorblad!$F$41)</f>
        <v>0</v>
      </c>
      <c r="CQ84" s="9">
        <f>GR84*($Q84*$S84)/(1+Voorblad!$K$44)^(CQ$56-Voorblad!$F$41)</f>
        <v>0</v>
      </c>
      <c r="CR84" s="9">
        <f>GS84*($Q84*$S84)/(1+Voorblad!$K$44)^(CR$56-Voorblad!$F$41)</f>
        <v>0</v>
      </c>
      <c r="CS84" s="9">
        <f>GT84*($Q84*$S84)/(1+Voorblad!$K$44)^(CS$56-Voorblad!$F$41)</f>
        <v>0</v>
      </c>
      <c r="CT84" s="9">
        <f>GU84*($Q84*$S84)/(1+Voorblad!$K$44)^(CT$56-Voorblad!$F$41)</f>
        <v>0</v>
      </c>
      <c r="CU84" s="9">
        <f>GV84*($Q84*$S84)/(1+Voorblad!$K$44)^(CU$56-Voorblad!$F$41)</f>
        <v>0</v>
      </c>
      <c r="CV84" s="9">
        <f>GW84*($Q84*$S84)/(1+Voorblad!$K$44)^(CV$56-Voorblad!$F$41)</f>
        <v>0</v>
      </c>
      <c r="CW84" s="9">
        <f>GX84*($Q84*$S84)/(1+Voorblad!$K$44)^(CW$56-Voorblad!$F$41)</f>
        <v>0</v>
      </c>
      <c r="CX84" s="9">
        <f>GY84*($Q84*$S84)/(1+Voorblad!$K$44)^(CX$56-Voorblad!$F$41)</f>
        <v>0</v>
      </c>
      <c r="CY84" s="9">
        <f>GZ84*($Q84*$S84)/(1+Voorblad!$K$44)^(CY$56-Voorblad!$F$41)</f>
        <v>0</v>
      </c>
      <c r="CZ84" s="9">
        <f>HA84*($Q84*$S84)/(1+Voorblad!$K$44)^(CZ$56-Voorblad!$F$41)</f>
        <v>0</v>
      </c>
      <c r="DA84" s="9">
        <f>HB84*($Q84*$S84)/(1+Voorblad!$K$44)^(DA$56-Voorblad!$F$41)</f>
        <v>0</v>
      </c>
      <c r="DB84" s="9">
        <f>HC84*($Q84*$S84)/(1+Voorblad!$K$44)^(DB$56-Voorblad!$F$41)</f>
        <v>0</v>
      </c>
      <c r="DC84" s="9">
        <f>HD84*($Q84*$S84)/(1+Voorblad!$K$44)^(DC$56-Voorblad!$F$41)</f>
        <v>0</v>
      </c>
      <c r="DD84" s="9">
        <f>HE84*($Q84*$S84)/(1+Voorblad!$K$44)^(DD$56-Voorblad!$F$41)</f>
        <v>0</v>
      </c>
      <c r="DE84" s="9">
        <f>HF84*($Q84*$S84)/(1+Voorblad!$K$44)^(DE$56-Voorblad!$F$41)</f>
        <v>0</v>
      </c>
      <c r="DF84" s="9">
        <f>HG84*($Q84*$S84)/(1+Voorblad!$K$44)^(DF$56-Voorblad!$F$41)</f>
        <v>0</v>
      </c>
      <c r="DG84" s="9">
        <f>HH84*($Q84*$S84)/(1+Voorblad!$K$44)^(DG$56-Voorblad!$F$41)</f>
        <v>0</v>
      </c>
      <c r="DH84" s="9">
        <f>HI84*($Q84*$S84)/(1+Voorblad!$K$44)^(DH$56-Voorblad!$F$41)</f>
        <v>0</v>
      </c>
      <c r="DI84" s="9">
        <f>HJ84*($Q84*$S84)/(1+Voorblad!$K$44)^(DI$56-Voorblad!$F$41)</f>
        <v>0</v>
      </c>
      <c r="DJ84" s="9">
        <f>HK84*($Q84*$S84)/(1+Voorblad!$K$44)^(DJ$56-Voorblad!$F$41)</f>
        <v>0</v>
      </c>
      <c r="DK84" s="9">
        <f>HL84*($Q84*$S84)/(1+Voorblad!$K$44)^(DK$56-Voorblad!$F$41)</f>
        <v>0</v>
      </c>
      <c r="DL84" s="9">
        <f>HM84*($Q84*$S84)/(1+Voorblad!$K$44)^(DL$56-Voorblad!$F$41)</f>
        <v>0</v>
      </c>
      <c r="DM84" s="9">
        <f>HN84*($Q84*$S84)/(1+Voorblad!$K$44)^(DM$56-Voorblad!$F$41)</f>
        <v>0</v>
      </c>
      <c r="DN84" s="9">
        <f>HO84*($Q84*$S84)/(1+Voorblad!$K$44)^(DN$56-Voorblad!$F$41)</f>
        <v>0</v>
      </c>
      <c r="DO84" s="9">
        <f>HP84*($Q84*$S84)/(1+Voorblad!$K$44)^(DO$56-Voorblad!$F$41)</f>
        <v>0</v>
      </c>
      <c r="DP84" s="9">
        <f>HQ84*($Q84*$S84)/(1+Voorblad!$K$44)^(DP$56-Voorblad!$F$41)</f>
        <v>0</v>
      </c>
      <c r="DQ84" s="9">
        <f>HR84*($Q84*$S84)/(1+Voorblad!$K$44)^(DQ$56-Voorblad!$F$41)</f>
        <v>0</v>
      </c>
      <c r="DR84" s="9">
        <f>HS84*($Q84*$S84)/(1+Voorblad!$K$44)^(DR$56-Voorblad!$F$41)</f>
        <v>0</v>
      </c>
      <c r="DS84" s="9">
        <f>HT84*($Q84*$S84)/(1+Voorblad!$K$44)^(DS$56-Voorblad!$F$41)</f>
        <v>0</v>
      </c>
      <c r="DT84" s="9">
        <f>HU84*($Q84*$S84)/(1+Voorblad!$K$44)^(DT$56-Voorblad!$F$41)</f>
        <v>0</v>
      </c>
      <c r="DU84" s="9">
        <f>HV84*($Q84*$S84)/(1+Voorblad!$K$44)^(DU$56-Voorblad!$F$41)</f>
        <v>0</v>
      </c>
      <c r="DV84" s="9">
        <f>HW84*($Q84*$S84)/(1+Voorblad!$K$44)^(DV$56-Voorblad!$F$41)</f>
        <v>0</v>
      </c>
      <c r="DW84" s="9">
        <f>HX84*($Q84*$S84)/(1+Voorblad!$K$44)^(DW$56-Voorblad!$F$41)</f>
        <v>0</v>
      </c>
      <c r="DX84" s="9">
        <f>HY84*($Q84*$S84)/(1+Voorblad!$K$44)^(DX$56-Voorblad!$F$41)</f>
        <v>0</v>
      </c>
      <c r="DY84" s="9">
        <f>HZ84*($Q84*$S84)/(1+Voorblad!$K$44)^(DY$56-Voorblad!$F$41)</f>
        <v>0</v>
      </c>
      <c r="DZ84" s="9">
        <f>IA84*($Q84*$S84)/(1+Voorblad!$K$44)^(DZ$56-Voorblad!$F$41)</f>
        <v>0</v>
      </c>
      <c r="EA84" s="9">
        <f>IB84*($Q84*$S84)/(1+Voorblad!$K$44)^(EA$56-Voorblad!$F$41)</f>
        <v>0</v>
      </c>
      <c r="EB84" s="9">
        <f>IC84*($Q84*$S84)/(1+Voorblad!$K$44)^(EB$56-Voorblad!$F$41)</f>
        <v>0</v>
      </c>
      <c r="EE84" s="8">
        <v>0</v>
      </c>
      <c r="EF84" s="8">
        <f>IF(EF$56-Voorblad!$F$41&gt;Voorblad!$K$41,0,IF($U84=0,0,IF($U84&lt;1,1/$U84,IF((EF$56-Voorblad!$F$41)/$U84-SUM($EE84:EE84)=1,1,0))))</f>
        <v>0</v>
      </c>
      <c r="EG84" s="8">
        <f>IF(EG$56-Voorblad!$F$41&gt;Voorblad!$K$41,0,IF($U84=0,0,IF($U84&lt;1,1/$U84,IF((EG$56-Voorblad!$F$41)/$U84-SUM($EE84:EF84)=1,1,0))))</f>
        <v>0</v>
      </c>
      <c r="EH84" s="8">
        <f>IF(EH$56-Voorblad!$F$41&gt;Voorblad!$K$41,0,IF($U84=0,0,IF($U84&lt;1,1/$U84,IF((EH$56-Voorblad!$F$41)/$U84-SUM($EE84:EG84)=1,1,0))))</f>
        <v>0</v>
      </c>
      <c r="EI84" s="8">
        <f>IF(EI$56-Voorblad!$F$41&gt;Voorblad!$K$41,0,IF($U84=0,0,IF($U84&lt;1,1/$U84,IF((EI$56-Voorblad!$F$41)/$U84-SUM($EE84:EH84)=1,1,0))))</f>
        <v>0</v>
      </c>
      <c r="EJ84" s="8">
        <f>IF(EJ$56-Voorblad!$F$41&gt;Voorblad!$K$41,0,IF($U84=0,0,IF($U84&lt;1,1/$U84,IF((EJ$56-Voorblad!$F$41)/$U84-SUM($EE84:EI84)=1,1,0))))</f>
        <v>0</v>
      </c>
      <c r="EK84" s="8">
        <f>IF(EK$56-Voorblad!$F$41&gt;Voorblad!$K$41,0,IF($U84=0,0,IF($U84&lt;1,1/$U84,IF((EK$56-Voorblad!$F$41)/$U84-SUM($EE84:EJ84)=1,1,0))))</f>
        <v>0</v>
      </c>
      <c r="EL84" s="8">
        <f>IF(EL$56-Voorblad!$F$41&gt;Voorblad!$K$41,0,IF($U84=0,0,IF($U84&lt;1,1/$U84,IF((EL$56-Voorblad!$F$41)/$U84-SUM($EE84:EK84)=1,1,0))))</f>
        <v>0</v>
      </c>
      <c r="EM84" s="8">
        <f>IF(EM$56-Voorblad!$F$41&gt;Voorblad!$K$41,0,IF($U84=0,0,IF($U84&lt;1,1/$U84,IF((EM$56-Voorblad!$F$41)/$U84-SUM($EE84:EL84)=1,1,0))))</f>
        <v>0</v>
      </c>
      <c r="EN84" s="8">
        <f>IF(EN$56-Voorblad!$F$41&gt;Voorblad!$K$41,0,IF($U84=0,0,IF($U84&lt;1,1/$U84,IF((EN$56-Voorblad!$F$41)/$U84-SUM($EE84:EM84)=1,1,0))))</f>
        <v>0</v>
      </c>
      <c r="EO84" s="8">
        <f>IF(EO$56-Voorblad!$F$41&gt;Voorblad!$K$41,0,IF($U84=0,0,IF($U84&lt;1,1/$U84,IF((EO$56-Voorblad!$F$41)/$U84-SUM($EE84:EN84)=1,1,0))))</f>
        <v>0</v>
      </c>
      <c r="EP84" s="8">
        <f>IF(EP$56-Voorblad!$F$41&gt;Voorblad!$K$41,0,IF($U84=0,0,IF($U84&lt;1,1/$U84,IF((EP$56-Voorblad!$F$41)/$U84-SUM($EE84:EO84)=1,1,0))))</f>
        <v>0</v>
      </c>
      <c r="EQ84" s="8">
        <f>IF(EQ$56-Voorblad!$F$41&gt;Voorblad!$K$41,0,IF($U84=0,0,IF($U84&lt;1,1/$U84,IF((EQ$56-Voorblad!$F$41)/$U84-SUM($EE84:EP84)=1,1,0))))</f>
        <v>0</v>
      </c>
      <c r="ER84" s="8">
        <f>IF(ER$56-Voorblad!$F$41&gt;Voorblad!$K$41,0,IF($U84=0,0,IF($U84&lt;1,1/$U84,IF((ER$56-Voorblad!$F$41)/$U84-SUM($EE84:EQ84)=1,1,0))))</f>
        <v>0</v>
      </c>
      <c r="ES84" s="8">
        <f>IF(ES$56-Voorblad!$F$41&gt;Voorblad!$K$41,0,IF($U84=0,0,IF($U84&lt;1,1/$U84,IF((ES$56-Voorblad!$F$41)/$U84-SUM($EE84:ER84)=1,1,0))))</f>
        <v>0</v>
      </c>
      <c r="ET84" s="8">
        <f>IF(ET$56-Voorblad!$F$41&gt;Voorblad!$K$41,0,IF($U84=0,0,IF($U84&lt;1,1/$U84,IF((ET$56-Voorblad!$F$41)/$U84-SUM($EE84:ES84)=1,1,0))))</f>
        <v>0</v>
      </c>
      <c r="EU84" s="8">
        <f>IF(EU$56-Voorblad!$F$41&gt;Voorblad!$K$41,0,IF($U84=0,0,IF($U84&lt;1,1/$U84,IF((EU$56-Voorblad!$F$41)/$U84-SUM($EE84:ET84)=1,1,0))))</f>
        <v>0</v>
      </c>
      <c r="EV84" s="8">
        <f>IF(EV$56-Voorblad!$F$41&gt;Voorblad!$K$41,0,IF($U84=0,0,IF($U84&lt;1,1/$U84,IF((EV$56-Voorblad!$F$41)/$U84-SUM($EE84:EU84)=1,1,0))))</f>
        <v>0</v>
      </c>
      <c r="EW84" s="8">
        <f>IF(EW$56-Voorblad!$F$41&gt;Voorblad!$K$41,0,IF($U84=0,0,IF($U84&lt;1,1/$U84,IF((EW$56-Voorblad!$F$41)/$U84-SUM($EE84:EV84)=1,1,0))))</f>
        <v>0</v>
      </c>
      <c r="EX84" s="8">
        <f>IF(EX$56-Voorblad!$F$41&gt;Voorblad!$K$41,0,IF($U84=0,0,IF($U84&lt;1,1/$U84,IF((EX$56-Voorblad!$F$41)/$U84-SUM($EE84:EW84)=1,1,0))))</f>
        <v>0</v>
      </c>
      <c r="EY84" s="8">
        <f>IF(EY$56-Voorblad!$F$41&gt;Voorblad!$K$41,0,IF($U84=0,0,IF($U84&lt;1,1/$U84,IF((EY$56-Voorblad!$F$41)/$U84-SUM($EE84:EX84)=1,1,0))))</f>
        <v>0</v>
      </c>
      <c r="EZ84" s="8">
        <f>IF(EZ$56-Voorblad!$F$41&gt;Voorblad!$K$41,0,IF($U84=0,0,IF($U84&lt;1,1/$U84,IF((EZ$56-Voorblad!$F$41)/$U84-SUM($EE84:EY84)=1,1,0))))</f>
        <v>0</v>
      </c>
      <c r="FA84" s="8">
        <f>IF(FA$56-Voorblad!$F$41&gt;Voorblad!$K$41,0,IF($U84=0,0,IF($U84&lt;1,1/$U84,IF((FA$56-Voorblad!$F$41)/$U84-SUM($EE84:EZ84)=1,1,0))))</f>
        <v>0</v>
      </c>
      <c r="FB84" s="8">
        <f>IF(FB$56-Voorblad!$F$41&gt;Voorblad!$K$41,0,IF($U84=0,0,IF($U84&lt;1,1/$U84,IF((FB$56-Voorblad!$F$41)/$U84-SUM($EE84:FA84)=1,1,0))))</f>
        <v>0</v>
      </c>
      <c r="FC84" s="8">
        <f>IF(FC$56-Voorblad!$F$41&gt;Voorblad!$K$41,0,IF($U84=0,0,IF($U84&lt;1,1/$U84,IF((FC$56-Voorblad!$F$41)/$U84-SUM($EE84:FB84)=1,1,0))))</f>
        <v>0</v>
      </c>
      <c r="FD84" s="8">
        <f>IF(FD$56-Voorblad!$F$41&gt;Voorblad!$K$41,0,IF($U84=0,0,IF($U84&lt;1,1/$U84,IF((FD$56-Voorblad!$F$41)/$U84-SUM($EE84:FC84)=1,1,0))))</f>
        <v>0</v>
      </c>
      <c r="FE84" s="8">
        <f>IF(FE$56-Voorblad!$F$41&gt;Voorblad!$K$41,0,IF($U84=0,0,IF($U84&lt;1,1/$U84,IF((FE$56-Voorblad!$F$41)/$U84-SUM($EE84:FD84)=1,1,0))))</f>
        <v>0</v>
      </c>
      <c r="FF84" s="8">
        <f>IF(FF$56-Voorblad!$F$41&gt;Voorblad!$K$41,0,IF($U84=0,0,IF($U84&lt;1,1/$U84,IF((FF$56-Voorblad!$F$41)/$U84-SUM($EE84:FE84)=1,1,0))))</f>
        <v>0</v>
      </c>
      <c r="FG84" s="8">
        <f>IF(FG$56-Voorblad!$F$41&gt;Voorblad!$K$41,0,IF($U84=0,0,IF($U84&lt;1,1/$U84,IF((FG$56-Voorblad!$F$41)/$U84-SUM($EE84:FF84)=1,1,0))))</f>
        <v>0</v>
      </c>
      <c r="FH84" s="8">
        <f>IF(FH$56-Voorblad!$F$41&gt;Voorblad!$K$41,0,IF($U84=0,0,IF($U84&lt;1,1/$U84,IF((FH$56-Voorblad!$F$41)/$U84-SUM($EE84:FG84)=1,1,0))))</f>
        <v>0</v>
      </c>
      <c r="FI84" s="8">
        <f>IF(FI$56-Voorblad!$F$41&gt;Voorblad!$K$41,0,IF($U84=0,0,IF($U84&lt;1,1/$U84,IF((FI$56-Voorblad!$F$41)/$U84-SUM($EE84:FH84)=1,1,0))))</f>
        <v>0</v>
      </c>
      <c r="FJ84" s="8">
        <f>IF(FJ$56-Voorblad!$F$41&gt;Voorblad!$K$41,0,IF($U84=0,0,IF($U84&lt;1,1/$U84,IF((FJ$56-Voorblad!$F$41)/$U84-SUM($EE84:FI84)=1,1,0))))</f>
        <v>1</v>
      </c>
      <c r="FK84" s="8">
        <f>IF(FK$56-Voorblad!$F$41&gt;Voorblad!$K$41,0,IF($U84=0,0,IF($U84&lt;1,1/$U84,IF((FK$56-Voorblad!$F$41)/$U84-SUM($EE84:FJ84)=1,1,0))))</f>
        <v>0</v>
      </c>
      <c r="FL84" s="8">
        <f>IF(FL$56-Voorblad!$F$41&gt;Voorblad!$K$41,0,IF($U84=0,0,IF($U84&lt;1,1/$U84,IF((FL$56-Voorblad!$F$41)/$U84-SUM($EE84:FK84)=1,1,0))))</f>
        <v>0</v>
      </c>
      <c r="FM84" s="8">
        <f>IF(FM$56-Voorblad!$F$41&gt;Voorblad!$K$41,0,IF($U84=0,0,IF($U84&lt;1,1/$U84,IF((FM$56-Voorblad!$F$41)/$U84-SUM($EE84:FL84)=1,1,0))))</f>
        <v>0</v>
      </c>
      <c r="FN84" s="8">
        <f>IF(FN$56-Voorblad!$F$41&gt;Voorblad!$K$41,0,IF($U84=0,0,IF($U84&lt;1,1/$U84,IF((FN$56-Voorblad!$F$41)/$U84-SUM($EE84:FM84)=1,1,0))))</f>
        <v>0</v>
      </c>
      <c r="FO84" s="8">
        <f>IF(FO$56-Voorblad!$F$41&gt;Voorblad!$K$41,0,IF($U84=0,0,IF($U84&lt;1,1/$U84,IF((FO$56-Voorblad!$F$41)/$U84-SUM($EE84:FN84)=1,1,0))))</f>
        <v>0</v>
      </c>
      <c r="FP84" s="8">
        <f>IF(FP$56-Voorblad!$F$41&gt;Voorblad!$K$41,0,IF($U84=0,0,IF($U84&lt;1,1/$U84,IF((FP$56-Voorblad!$F$41)/$U84-SUM($EE84:FO84)=1,1,0))))</f>
        <v>0</v>
      </c>
      <c r="FQ84" s="8">
        <f>IF(FQ$56-Voorblad!$F$41&gt;Voorblad!$K$41,0,IF($U84=0,0,IF($U84&lt;1,1/$U84,IF((FQ$56-Voorblad!$F$41)/$U84-SUM($EE84:FP84)=1,1,0))))</f>
        <v>0</v>
      </c>
      <c r="FR84" s="8">
        <f>IF(FR$56-Voorblad!$F$41&gt;Voorblad!$K$41,0,IF($U84=0,0,IF($U84&lt;1,1/$U84,IF((FR$56-Voorblad!$F$41)/$U84-SUM($EE84:FQ84)=1,1,0))))</f>
        <v>0</v>
      </c>
      <c r="FS84" s="8">
        <f>IF(FS$56-Voorblad!$F$41&gt;Voorblad!$K$41,0,IF($U84=0,0,IF($U84&lt;1,1/$U84,IF((FS$56-Voorblad!$F$41)/$U84-SUM($EE84:FR84)=1,1,0))))</f>
        <v>0</v>
      </c>
      <c r="FT84" s="8">
        <f>IF(FT$56-Voorblad!$F$41&gt;Voorblad!$K$41,0,IF($U84=0,0,IF($U84&lt;1,1/$U84,IF((FT$56-Voorblad!$F$41)/$U84-SUM($EE84:FS84)=1,1,0))))</f>
        <v>0</v>
      </c>
      <c r="FU84" s="8">
        <f>IF(FU$56-Voorblad!$F$41&gt;Voorblad!$K$41,0,IF($U84=0,0,IF($U84&lt;1,1/$U84,IF((FU$56-Voorblad!$F$41)/$U84-SUM($EE84:FT84)=1,1,0))))</f>
        <v>0</v>
      </c>
      <c r="FV84" s="8">
        <f>IF(FV$56-Voorblad!$F$41&gt;Voorblad!$K$41,0,IF($U84=0,0,IF($U84&lt;1,1/$U84,IF((FV$56-Voorblad!$F$41)/$U84-SUM($EE84:FU84)=1,1,0))))</f>
        <v>0</v>
      </c>
      <c r="FW84" s="8">
        <f>IF(FW$56-Voorblad!$F$41&gt;Voorblad!$K$41,0,IF($U84=0,0,IF($U84&lt;1,1/$U84,IF((FW$56-Voorblad!$F$41)/$U84-SUM($EE84:FV84)=1,1,0))))</f>
        <v>0</v>
      </c>
      <c r="FX84" s="8">
        <f>IF(FX$56-Voorblad!$F$41&gt;Voorblad!$K$41,0,IF($U84=0,0,IF($U84&lt;1,1/$U84,IF((FX$56-Voorblad!$F$41)/$U84-SUM($EE84:FW84)=1,1,0))))</f>
        <v>0</v>
      </c>
      <c r="FY84" s="8">
        <f>IF(FY$56-Voorblad!$F$41&gt;Voorblad!$K$41,0,IF($U84=0,0,IF($U84&lt;1,1/$U84,IF((FY$56-Voorblad!$F$41)/$U84-SUM($EE84:FX84)=1,1,0))))</f>
        <v>0</v>
      </c>
      <c r="FZ84" s="8">
        <f>IF(FZ$56-Voorblad!$F$41&gt;Voorblad!$K$41,0,IF($U84=0,0,IF($U84&lt;1,1/$U84,IF((FZ$56-Voorblad!$F$41)/$U84-SUM($EE84:FY84)=1,1,0))))</f>
        <v>0</v>
      </c>
      <c r="GA84" s="8">
        <f>IF(GA$56-Voorblad!$F$41&gt;Voorblad!$K$41,0,IF($U84=0,0,IF($U84&lt;1,1/$U84,IF((GA$56-Voorblad!$F$41)/$U84-SUM($EE84:FZ84)=1,1,0))))</f>
        <v>0</v>
      </c>
      <c r="GB84" s="8">
        <f>IF(GB$56-Voorblad!$F$41&gt;Voorblad!$K$41,0,IF($U84=0,0,IF($U84&lt;1,1/$U84,IF((GB$56-Voorblad!$F$41)/$U84-SUM($EE84:GA84)=1,1,0))))</f>
        <v>0</v>
      </c>
      <c r="GC84" s="8">
        <f>IF(GC$56-Voorblad!$F$41&gt;Voorblad!$K$41,0,IF($U84=0,0,IF($U84&lt;1,1/$U84,IF((GC$56-Voorblad!$F$41)/$U84-SUM($EE84:GB84)=1,1,0))))</f>
        <v>0</v>
      </c>
      <c r="GD84" s="8">
        <f>IF(GD$56-Voorblad!$F$41&gt;Voorblad!$K$41,0,IF($U84=0,0,IF($U84&lt;1,1/$U84,IF((GD$56-Voorblad!$F$41)/$U84-SUM($EE84:GC84)=1,1,0))))</f>
        <v>0</v>
      </c>
      <c r="GE84" s="8">
        <f>IF(GE$56-Voorblad!$F$41&gt;Voorblad!$K$41,0,IF($U84=0,0,IF($U84&lt;1,1/$U84,IF((GE$56-Voorblad!$F$41)/$U84-SUM($EE84:GD84)=1,1,0))))</f>
        <v>0</v>
      </c>
      <c r="GF84" s="8">
        <f>IF(GF$56-Voorblad!$F$41&gt;Voorblad!$K$41,0,IF($U84=0,0,IF($U84&lt;1,1/$U84,IF((GF$56-Voorblad!$F$41)/$U84-SUM($EE84:GE84)=1,1,0))))</f>
        <v>0</v>
      </c>
      <c r="GG84" s="8">
        <f>IF(GG$56-Voorblad!$F$41&gt;Voorblad!$K$41,0,IF($U84=0,0,IF($U84&lt;1,1/$U84,IF((GG$56-Voorblad!$F$41)/$U84-SUM($EE84:GF84)=1,1,0))))</f>
        <v>0</v>
      </c>
      <c r="GH84" s="8">
        <f>IF(GH$56-Voorblad!$F$41&gt;Voorblad!$K$41,0,IF($U84=0,0,IF($U84&lt;1,1/$U84,IF((GH$56-Voorblad!$F$41)/$U84-SUM($EE84:GG84)=1,1,0))))</f>
        <v>0</v>
      </c>
      <c r="GI84" s="8">
        <f>IF(GI$56-Voorblad!$F$41&gt;Voorblad!$K$41,0,IF($U84=0,0,IF($U84&lt;1,1/$U84,IF((GI$56-Voorblad!$F$41)/$U84-SUM($EE84:GH84)=1,1,0))))</f>
        <v>0</v>
      </c>
      <c r="GJ84" s="8">
        <f>IF(GJ$56-Voorblad!$F$41&gt;Voorblad!$K$41,0,IF($U84=0,0,IF($U84&lt;1,1/$U84,IF((GJ$56-Voorblad!$F$41)/$U84-SUM($EE84:GI84)=1,1,0))))</f>
        <v>0</v>
      </c>
      <c r="GK84" s="8">
        <f>IF(GK$56-Voorblad!$F$41&gt;Voorblad!$K$41,0,IF($U84=0,0,IF($U84&lt;1,1/$U84,IF((GK$56-Voorblad!$F$41)/$U84-SUM($EE84:GJ84)=1,1,0))))</f>
        <v>0</v>
      </c>
      <c r="GL84" s="8">
        <f>IF(GL$56-Voorblad!$F$41&gt;Voorblad!$K$41,0,IF($U84=0,0,IF($U84&lt;1,1/$U84,IF((GL$56-Voorblad!$F$41)/$U84-SUM($EE84:GK84)=1,1,0))))</f>
        <v>0</v>
      </c>
      <c r="GM84" s="8">
        <f>IF(GM$56-Voorblad!$F$41&gt;Voorblad!$K$41,0,IF($U84=0,0,IF($U84&lt;1,1/$U84,IF((GM$56-Voorblad!$F$41)/$U84-SUM($EE84:GL84)=1,1,0))))</f>
        <v>0</v>
      </c>
      <c r="GN84" s="8">
        <f>IF(GN$56-Voorblad!$F$41&gt;Voorblad!$K$41,0,IF($U84=0,0,IF($U84&lt;1,1/$U84,IF((GN$56-Voorblad!$F$41)/$U84-SUM($EE84:GM84)=1,1,0))))</f>
        <v>1</v>
      </c>
      <c r="GO84" s="8">
        <f>IF(GO$56-Voorblad!$F$41&gt;Voorblad!$K$41,0,IF($U84=0,0,IF($U84&lt;1,1/$U84,IF((GO$56-Voorblad!$F$41)/$U84-SUM($EE84:GN84)=1,1,0))))</f>
        <v>0</v>
      </c>
      <c r="GP84" s="8">
        <f>IF(GP$56-Voorblad!$F$41&gt;Voorblad!$K$41,0,IF($U84=0,0,IF($U84&lt;1,1/$U84,IF((GP$56-Voorblad!$F$41)/$U84-SUM($EE84:GO84)=1,1,0))))</f>
        <v>0</v>
      </c>
      <c r="GQ84" s="8">
        <f>IF(GQ$56-Voorblad!$F$41&gt;Voorblad!$K$41,0,IF($U84=0,0,IF($U84&lt;1,1/$U84,IF((GQ$56-Voorblad!$F$41)/$U84-SUM($EE84:GP84)=1,1,0))))</f>
        <v>0</v>
      </c>
      <c r="GR84" s="8">
        <f>IF(GR$56-Voorblad!$F$41&gt;Voorblad!$K$41,0,IF($U84=0,0,IF($U84&lt;1,1/$U84,IF((GR$56-Voorblad!$F$41)/$U84-SUM($EE84:GQ84)=1,1,0))))</f>
        <v>0</v>
      </c>
      <c r="GS84" s="8">
        <f>IF(GS$56-Voorblad!$F$41&gt;Voorblad!$K$41,0,IF($U84=0,0,IF($U84&lt;1,1/$U84,IF((GS$56-Voorblad!$F$41)/$U84-SUM($EE84:GR84)=1,1,0))))</f>
        <v>0</v>
      </c>
      <c r="GT84" s="8">
        <f>IF(GT$56-Voorblad!$F$41&gt;Voorblad!$K$41,0,IF($U84=0,0,IF($U84&lt;1,1/$U84,IF((GT$56-Voorblad!$F$41)/$U84-SUM($EE84:GS84)=1,1,0))))</f>
        <v>0</v>
      </c>
      <c r="GU84" s="8">
        <f>IF(GU$56-Voorblad!$F$41&gt;Voorblad!$K$41,0,IF($U84=0,0,IF($U84&lt;1,1/$U84,IF((GU$56-Voorblad!$F$41)/$U84-SUM($EE84:GT84)=1,1,0))))</f>
        <v>0</v>
      </c>
      <c r="GV84" s="8">
        <f>IF(GV$56-Voorblad!$F$41&gt;Voorblad!$K$41,0,IF($U84=0,0,IF($U84&lt;1,1/$U84,IF((GV$56-Voorblad!$F$41)/$U84-SUM($EE84:GU84)=1,1,0))))</f>
        <v>0</v>
      </c>
      <c r="GW84" s="8">
        <f>IF(GW$56-Voorblad!$F$41&gt;Voorblad!$K$41,0,IF($U84=0,0,IF($U84&lt;1,1/$U84,IF((GW$56-Voorblad!$F$41)/$U84-SUM($EE84:GV84)=1,1,0))))</f>
        <v>0</v>
      </c>
      <c r="GX84" s="8">
        <f>IF(GX$56-Voorblad!$F$41&gt;Voorblad!$K$41,0,IF($U84=0,0,IF($U84&lt;1,1/$U84,IF((GX$56-Voorblad!$F$41)/$U84-SUM($EE84:GW84)=1,1,0))))</f>
        <v>0</v>
      </c>
      <c r="GY84" s="8">
        <f>IF(GY$56-Voorblad!$F$41&gt;Voorblad!$K$41,0,IF($U84=0,0,IF($U84&lt;1,1/$U84,IF((GY$56-Voorblad!$F$41)/$U84-SUM($EE84:GX84)=1,1,0))))</f>
        <v>0</v>
      </c>
      <c r="GZ84" s="8">
        <f>IF(GZ$56-Voorblad!$F$41&gt;Voorblad!$K$41,0,IF($U84=0,0,IF($U84&lt;1,1/$U84,IF((GZ$56-Voorblad!$F$41)/$U84-SUM($EE84:GY84)=1,1,0))))</f>
        <v>0</v>
      </c>
      <c r="HA84" s="8">
        <f>IF(HA$56-Voorblad!$F$41&gt;Voorblad!$K$41,0,IF($U84=0,0,IF($U84&lt;1,1/$U84,IF((HA$56-Voorblad!$F$41)/$U84-SUM($EE84:GZ84)=1,1,0))))</f>
        <v>0</v>
      </c>
      <c r="HB84" s="8">
        <f>IF(HB$56-Voorblad!$F$41&gt;Voorblad!$K$41,0,IF($U84=0,0,IF($U84&lt;1,1/$U84,IF((HB$56-Voorblad!$F$41)/$U84-SUM($EE84:HA84)=1,1,0))))</f>
        <v>0</v>
      </c>
      <c r="HC84" s="8">
        <f>IF(HC$56-Voorblad!$F$41&gt;Voorblad!$K$41,0,IF($U84=0,0,IF($U84&lt;1,1/$U84,IF((HC$56-Voorblad!$F$41)/$U84-SUM($EE84:HB84)=1,1,0))))</f>
        <v>0</v>
      </c>
      <c r="HD84" s="8">
        <f>IF(HD$56-Voorblad!$F$41&gt;Voorblad!$K$41,0,IF($U84=0,0,IF($U84&lt;1,1/$U84,IF((HD$56-Voorblad!$F$41)/$U84-SUM($EE84:HC84)=1,1,0))))</f>
        <v>0</v>
      </c>
      <c r="HE84" s="8">
        <f>IF(HE$56-Voorblad!$F$41&gt;Voorblad!$K$41,0,IF($U84=0,0,IF($U84&lt;1,1/$U84,IF((HE$56-Voorblad!$F$41)/$U84-SUM($EE84:HD84)=1,1,0))))</f>
        <v>0</v>
      </c>
      <c r="HF84" s="8">
        <f>IF(HF$56-Voorblad!$F$41&gt;Voorblad!$K$41,0,IF($U84=0,0,IF($U84&lt;1,1/$U84,IF((HF$56-Voorblad!$F$41)/$U84-SUM($EE84:HE84)=1,1,0))))</f>
        <v>0</v>
      </c>
      <c r="HG84" s="8">
        <f>IF(HG$56-Voorblad!$F$41&gt;Voorblad!$K$41,0,IF($U84=0,0,IF($U84&lt;1,1/$U84,IF((HG$56-Voorblad!$F$41)/$U84-SUM($EE84:HF84)=1,1,0))))</f>
        <v>0</v>
      </c>
      <c r="HH84" s="8">
        <f>IF(HH$56-Voorblad!$F$41&gt;Voorblad!$K$41,0,IF($U84=0,0,IF($U84&lt;1,1/$U84,IF((HH$56-Voorblad!$F$41)/$U84-SUM($EE84:HG84)=1,1,0))))</f>
        <v>0</v>
      </c>
      <c r="HI84" s="8">
        <f>IF(HI$56-Voorblad!$F$41&gt;Voorblad!$K$41,0,IF($U84=0,0,IF($U84&lt;1,1/$U84,IF((HI$56-Voorblad!$F$41)/$U84-SUM($EE84:HH84)=1,1,0))))</f>
        <v>0</v>
      </c>
      <c r="HJ84" s="8">
        <f>IF(HJ$56-Voorblad!$F$41&gt;Voorblad!$K$41,0,IF($U84=0,0,IF($U84&lt;1,1/$U84,IF((HJ$56-Voorblad!$F$41)/$U84-SUM($EE84:HI84)=1,1,0))))</f>
        <v>0</v>
      </c>
      <c r="HK84" s="8">
        <f>IF(HK$56-Voorblad!$F$41&gt;Voorblad!$K$41,0,IF($U84=0,0,IF($U84&lt;1,1/$U84,IF((HK$56-Voorblad!$F$41)/$U84-SUM($EE84:HJ84)=1,1,0))))</f>
        <v>0</v>
      </c>
      <c r="HL84" s="8">
        <f>IF(HL$56-Voorblad!$F$41&gt;Voorblad!$K$41,0,IF($U84=0,0,IF($U84&lt;1,1/$U84,IF((HL$56-Voorblad!$F$41)/$U84-SUM($EE84:HK84)=1,1,0))))</f>
        <v>0</v>
      </c>
      <c r="HM84" s="8">
        <f>IF(HM$56-Voorblad!$F$41&gt;Voorblad!$K$41,0,IF($U84=0,0,IF($U84&lt;1,1/$U84,IF((HM$56-Voorblad!$F$41)/$U84-SUM($EE84:HL84)=1,1,0))))</f>
        <v>0</v>
      </c>
      <c r="HN84" s="8">
        <f>IF(HN$56-Voorblad!$F$41&gt;Voorblad!$K$41,0,IF($U84=0,0,IF($U84&lt;1,1/$U84,IF((HN$56-Voorblad!$F$41)/$U84-SUM($EE84:HM84)=1,1,0))))</f>
        <v>0</v>
      </c>
      <c r="HO84" s="8">
        <f>IF(HO$56-Voorblad!$F$41&gt;Voorblad!$K$41,0,IF($U84=0,0,IF($U84&lt;1,1/$U84,IF((HO$56-Voorblad!$F$41)/$U84-SUM($EE84:HN84)=1,1,0))))</f>
        <v>0</v>
      </c>
      <c r="HP84" s="8">
        <f>IF(HP$56-Voorblad!$F$41&gt;Voorblad!$K$41,0,IF($U84=0,0,IF($U84&lt;1,1/$U84,IF((HP$56-Voorblad!$F$41)/$U84-SUM($EE84:HO84)=1,1,0))))</f>
        <v>0</v>
      </c>
      <c r="HQ84" s="8">
        <f>IF(HQ$56-Voorblad!$F$41&gt;Voorblad!$K$41,0,IF($U84=0,0,IF($U84&lt;1,1/$U84,IF((HQ$56-Voorblad!$F$41)/$U84-SUM($EE84:HP84)=1,1,0))))</f>
        <v>0</v>
      </c>
      <c r="HR84" s="8">
        <f>IF(HR$56-Voorblad!$F$41&gt;Voorblad!$K$41,0,IF($U84=0,0,IF($U84&lt;1,1/$U84,IF((HR$56-Voorblad!$F$41)/$U84-SUM($EE84:HQ84)=1,1,0))))</f>
        <v>0</v>
      </c>
      <c r="HS84" s="8">
        <f>IF(HS$56-Voorblad!$F$41&gt;Voorblad!$K$41,0,IF($U84=0,0,IF($U84&lt;1,1/$U84,IF((HS$56-Voorblad!$F$41)/$U84-SUM($EE84:HR84)=1,1,0))))</f>
        <v>0</v>
      </c>
      <c r="HT84" s="8">
        <f>IF(HT$56-Voorblad!$F$41&gt;Voorblad!$K$41,0,IF($U84=0,0,IF($U84&lt;1,1/$U84,IF((HT$56-Voorblad!$F$41)/$U84-SUM($EE84:HS84)=1,1,0))))</f>
        <v>0</v>
      </c>
      <c r="HU84" s="8">
        <f>IF(HU$56-Voorblad!$F$41&gt;Voorblad!$K$41,0,IF($U84=0,0,IF($U84&lt;1,1/$U84,IF((HU$56-Voorblad!$F$41)/$U84-SUM($EE84:HT84)=1,1,0))))</f>
        <v>0</v>
      </c>
      <c r="HV84" s="8">
        <f>IF(HV$56-Voorblad!$F$41&gt;Voorblad!$K$41,0,IF($U84=0,0,IF($U84&lt;1,1/$U84,IF((HV$56-Voorblad!$F$41)/$U84-SUM($EE84:HU84)=1,1,0))))</f>
        <v>0</v>
      </c>
      <c r="HW84" s="8">
        <f>IF(HW$56-Voorblad!$F$41&gt;Voorblad!$K$41,0,IF($U84=0,0,IF($U84&lt;1,1/$U84,IF((HW$56-Voorblad!$F$41)/$U84-SUM($EE84:HV84)=1,1,0))))</f>
        <v>0</v>
      </c>
      <c r="HX84" s="8">
        <f>IF(HX$56-Voorblad!$F$41&gt;Voorblad!$K$41,0,IF($U84=0,0,IF($U84&lt;1,1/$U84,IF((HX$56-Voorblad!$F$41)/$U84-SUM($EE84:HW84)=1,1,0))))</f>
        <v>0</v>
      </c>
      <c r="HY84" s="8">
        <f>IF(HY$56-Voorblad!$F$41&gt;Voorblad!$K$41,0,IF($U84=0,0,IF($U84&lt;1,1/$U84,IF((HY$56-Voorblad!$F$41)/$U84-SUM($EE84:HX84)=1,1,0))))</f>
        <v>0</v>
      </c>
      <c r="HZ84" s="8">
        <f>IF(HZ$56-Voorblad!$F$41&gt;Voorblad!$K$41,0,IF($U84=0,0,IF($U84&lt;1,1/$U84,IF((HZ$56-Voorblad!$F$41)/$U84-SUM($EE84:HY84)=1,1,0))))</f>
        <v>0</v>
      </c>
      <c r="IA84" s="8">
        <f>IF(IA$56-Voorblad!$F$41&gt;Voorblad!$K$41,0,IF($U84=0,0,IF($U84&lt;1,1/$U84,IF((IA$56-Voorblad!$F$41)/$U84-SUM($EE84:HZ84)=1,1,0))))</f>
        <v>0</v>
      </c>
      <c r="IB84" s="8">
        <f>IF(IB$56-Voorblad!$F$41&gt;Voorblad!$K$41,0,IF($U84=0,0,IF($U84&lt;1,1/$U84,IF((IB$56-Voorblad!$F$41)/$U84-SUM($EE84:IA84)=1,1,0))))</f>
        <v>0</v>
      </c>
    </row>
    <row r="85" spans="2:236" ht="12" hidden="1" customHeight="1" outlineLevel="1" x14ac:dyDescent="0.25">
      <c r="B85" s="1">
        <v>1</v>
      </c>
      <c r="F85" s="1" t="s">
        <v>23</v>
      </c>
      <c r="I85" s="1" t="s">
        <v>193</v>
      </c>
      <c r="K85" s="14" t="s">
        <v>186</v>
      </c>
      <c r="N85" s="3"/>
      <c r="O85" s="1" t="s">
        <v>187</v>
      </c>
      <c r="P85" s="1" t="s">
        <v>183</v>
      </c>
      <c r="Q85" s="81">
        <v>0</v>
      </c>
      <c r="R85" s="1" t="s">
        <v>35</v>
      </c>
      <c r="S85" s="14">
        <f>$H$10*0.6*125</f>
        <v>178.5</v>
      </c>
      <c r="T85" s="1">
        <f t="shared" si="16"/>
        <v>0</v>
      </c>
      <c r="U85" s="14">
        <v>30</v>
      </c>
      <c r="V85" s="14"/>
      <c r="Y85" s="9">
        <f t="shared" si="17"/>
        <v>0</v>
      </c>
      <c r="Z85" s="82"/>
      <c r="AA85" s="82"/>
      <c r="AC85" s="9">
        <f>$Y85*(Voorblad!$K$44*(1+Voorblad!$K$44)^Voorblad!$K$41)/((1+Voorblad!$K$44)^Voorblad!$K$41-1)</f>
        <v>0</v>
      </c>
      <c r="AE85" s="9">
        <f>EF85*($Q85*$S85)/(1+Voorblad!$K$44)^(AE$56-Voorblad!$F$41)</f>
        <v>0</v>
      </c>
      <c r="AF85" s="9">
        <f>EG85*($Q85*$S85)/(1+Voorblad!$K$44)^(AF$56-Voorblad!$F$41)</f>
        <v>0</v>
      </c>
      <c r="AG85" s="9">
        <f>EH85*($Q85*$S85)/(1+Voorblad!$K$44)^(AG$56-Voorblad!$F$41)</f>
        <v>0</v>
      </c>
      <c r="AH85" s="9">
        <f>EI85*($Q85*$S85)/(1+Voorblad!$K$44)^(AH$56-Voorblad!$F$41)</f>
        <v>0</v>
      </c>
      <c r="AI85" s="9">
        <f>EJ85*($Q85*$S85)/(1+Voorblad!$K$44)^(AI$56-Voorblad!$F$41)</f>
        <v>0</v>
      </c>
      <c r="AJ85" s="9">
        <f>EK85*($Q85*$S85)/(1+Voorblad!$K$44)^(AJ$56-Voorblad!$F$41)</f>
        <v>0</v>
      </c>
      <c r="AK85" s="9">
        <f>EL85*($Q85*$S85)/(1+Voorblad!$K$44)^(AK$56-Voorblad!$F$41)</f>
        <v>0</v>
      </c>
      <c r="AL85" s="9">
        <f>EM85*($Q85*$S85)/(1+Voorblad!$K$44)^(AL$56-Voorblad!$F$41)</f>
        <v>0</v>
      </c>
      <c r="AM85" s="9">
        <f>EN85*($Q85*$S85)/(1+Voorblad!$K$44)^(AM$56-Voorblad!$F$41)</f>
        <v>0</v>
      </c>
      <c r="AN85" s="9">
        <f>EO85*($Q85*$S85)/(1+Voorblad!$K$44)^(AN$56-Voorblad!$F$41)</f>
        <v>0</v>
      </c>
      <c r="AO85" s="9">
        <f>EP85*($Q85*$S85)/(1+Voorblad!$K$44)^(AO$56-Voorblad!$F$41)</f>
        <v>0</v>
      </c>
      <c r="AP85" s="9">
        <f>EQ85*($Q85*$S85)/(1+Voorblad!$K$44)^(AP$56-Voorblad!$F$41)</f>
        <v>0</v>
      </c>
      <c r="AQ85" s="9">
        <f>ER85*($Q85*$S85)/(1+Voorblad!$K$44)^(AQ$56-Voorblad!$F$41)</f>
        <v>0</v>
      </c>
      <c r="AR85" s="9">
        <f>ES85*($Q85*$S85)/(1+Voorblad!$K$44)^(AR$56-Voorblad!$F$41)</f>
        <v>0</v>
      </c>
      <c r="AS85" s="9">
        <f>ET85*($Q85*$S85)/(1+Voorblad!$K$44)^(AS$56-Voorblad!$F$41)</f>
        <v>0</v>
      </c>
      <c r="AT85" s="9">
        <f>EU85*($Q85*$S85)/(1+Voorblad!$K$44)^(AT$56-Voorblad!$F$41)</f>
        <v>0</v>
      </c>
      <c r="AU85" s="9">
        <f>EV85*($Q85*$S85)/(1+Voorblad!$K$44)^(AU$56-Voorblad!$F$41)</f>
        <v>0</v>
      </c>
      <c r="AV85" s="9">
        <f>EW85*($Q85*$S85)/(1+Voorblad!$K$44)^(AV$56-Voorblad!$F$41)</f>
        <v>0</v>
      </c>
      <c r="AW85" s="9">
        <f>EX85*($Q85*$S85)/(1+Voorblad!$K$44)^(AW$56-Voorblad!$F$41)</f>
        <v>0</v>
      </c>
      <c r="AX85" s="9">
        <f>EY85*($Q85*$S85)/(1+Voorblad!$K$44)^(AX$56-Voorblad!$F$41)</f>
        <v>0</v>
      </c>
      <c r="AY85" s="9">
        <f>EZ85*($Q85*$S85)/(1+Voorblad!$K$44)^(AY$56-Voorblad!$F$41)</f>
        <v>0</v>
      </c>
      <c r="AZ85" s="9">
        <f>FA85*($Q85*$S85)/(1+Voorblad!$K$44)^(AZ$56-Voorblad!$F$41)</f>
        <v>0</v>
      </c>
      <c r="BA85" s="9">
        <f>FB85*($Q85*$S85)/(1+Voorblad!$K$44)^(BA$56-Voorblad!$F$41)</f>
        <v>0</v>
      </c>
      <c r="BB85" s="9">
        <f>FC85*($Q85*$S85)/(1+Voorblad!$K$44)^(BB$56-Voorblad!$F$41)</f>
        <v>0</v>
      </c>
      <c r="BC85" s="9">
        <f>FD85*($Q85*$S85)/(1+Voorblad!$K$44)^(BC$56-Voorblad!$F$41)</f>
        <v>0</v>
      </c>
      <c r="BD85" s="9">
        <f>FE85*($Q85*$S85)/(1+Voorblad!$K$44)^(BD$56-Voorblad!$F$41)</f>
        <v>0</v>
      </c>
      <c r="BE85" s="9">
        <f>FF85*($Q85*$S85)/(1+Voorblad!$K$44)^(BE$56-Voorblad!$F$41)</f>
        <v>0</v>
      </c>
      <c r="BF85" s="9">
        <f>FG85*($Q85*$S85)/(1+Voorblad!$K$44)^(BF$56-Voorblad!$F$41)</f>
        <v>0</v>
      </c>
      <c r="BG85" s="9">
        <f>FH85*($Q85*$S85)/(1+Voorblad!$K$44)^(BG$56-Voorblad!$F$41)</f>
        <v>0</v>
      </c>
      <c r="BH85" s="9">
        <f>FI85*($Q85*$S85)/(1+Voorblad!$K$44)^(BH$56-Voorblad!$F$41)</f>
        <v>0</v>
      </c>
      <c r="BI85" s="9">
        <f>FJ85*($Q85*$S85)/(1+Voorblad!$K$44)^(BI$56-Voorblad!$F$41)</f>
        <v>0</v>
      </c>
      <c r="BJ85" s="9">
        <f>FK85*($Q85*$S85)/(1+Voorblad!$K$44)^(BJ$56-Voorblad!$F$41)</f>
        <v>0</v>
      </c>
      <c r="BK85" s="9">
        <f>FL85*($Q85*$S85)/(1+Voorblad!$K$44)^(BK$56-Voorblad!$F$41)</f>
        <v>0</v>
      </c>
      <c r="BL85" s="9">
        <f>FM85*($Q85*$S85)/(1+Voorblad!$K$44)^(BL$56-Voorblad!$F$41)</f>
        <v>0</v>
      </c>
      <c r="BM85" s="9">
        <f>FN85*($Q85*$S85)/(1+Voorblad!$K$44)^(BM$56-Voorblad!$F$41)</f>
        <v>0</v>
      </c>
      <c r="BN85" s="9">
        <f>FO85*($Q85*$S85)/(1+Voorblad!$K$44)^(BN$56-Voorblad!$F$41)</f>
        <v>0</v>
      </c>
      <c r="BO85" s="9">
        <f>FP85*($Q85*$S85)/(1+Voorblad!$K$44)^(BO$56-Voorblad!$F$41)</f>
        <v>0</v>
      </c>
      <c r="BP85" s="9">
        <f>FQ85*($Q85*$S85)/(1+Voorblad!$K$44)^(BP$56-Voorblad!$F$41)</f>
        <v>0</v>
      </c>
      <c r="BQ85" s="9">
        <f>FR85*($Q85*$S85)/(1+Voorblad!$K$44)^(BQ$56-Voorblad!$F$41)</f>
        <v>0</v>
      </c>
      <c r="BR85" s="9">
        <f>FS85*($Q85*$S85)/(1+Voorblad!$K$44)^(BR$56-Voorblad!$F$41)</f>
        <v>0</v>
      </c>
      <c r="BS85" s="9">
        <f>FT85*($Q85*$S85)/(1+Voorblad!$K$44)^(BS$56-Voorblad!$F$41)</f>
        <v>0</v>
      </c>
      <c r="BT85" s="9">
        <f>FU85*($Q85*$S85)/(1+Voorblad!$K$44)^(BT$56-Voorblad!$F$41)</f>
        <v>0</v>
      </c>
      <c r="BU85" s="9">
        <f>FV85*($Q85*$S85)/(1+Voorblad!$K$44)^(BU$56-Voorblad!$F$41)</f>
        <v>0</v>
      </c>
      <c r="BV85" s="9">
        <f>FW85*($Q85*$S85)/(1+Voorblad!$K$44)^(BV$56-Voorblad!$F$41)</f>
        <v>0</v>
      </c>
      <c r="BW85" s="9">
        <f>FX85*($Q85*$S85)/(1+Voorblad!$K$44)^(BW$56-Voorblad!$F$41)</f>
        <v>0</v>
      </c>
      <c r="BX85" s="9">
        <f>FY85*($Q85*$S85)/(1+Voorblad!$K$44)^(BX$56-Voorblad!$F$41)</f>
        <v>0</v>
      </c>
      <c r="BY85" s="9">
        <f>FZ85*($Q85*$S85)/(1+Voorblad!$K$44)^(BY$56-Voorblad!$F$41)</f>
        <v>0</v>
      </c>
      <c r="BZ85" s="9">
        <f>GA85*($Q85*$S85)/(1+Voorblad!$K$44)^(BZ$56-Voorblad!$F$41)</f>
        <v>0</v>
      </c>
      <c r="CA85" s="9">
        <f>GB85*($Q85*$S85)/(1+Voorblad!$K$44)^(CA$56-Voorblad!$F$41)</f>
        <v>0</v>
      </c>
      <c r="CB85" s="9">
        <f>GC85*($Q85*$S85)/(1+Voorblad!$K$44)^(CB$56-Voorblad!$F$41)</f>
        <v>0</v>
      </c>
      <c r="CC85" s="9">
        <f>GD85*($Q85*$S85)/(1+Voorblad!$K$44)^(CC$56-Voorblad!$F$41)</f>
        <v>0</v>
      </c>
      <c r="CD85" s="9">
        <f>GE85*($Q85*$S85)/(1+Voorblad!$K$44)^(CD$56-Voorblad!$F$41)</f>
        <v>0</v>
      </c>
      <c r="CE85" s="9">
        <f>GF85*($Q85*$S85)/(1+Voorblad!$K$44)^(CE$56-Voorblad!$F$41)</f>
        <v>0</v>
      </c>
      <c r="CF85" s="9">
        <f>GG85*($Q85*$S85)/(1+Voorblad!$K$44)^(CF$56-Voorblad!$F$41)</f>
        <v>0</v>
      </c>
      <c r="CG85" s="9">
        <f>GH85*($Q85*$S85)/(1+Voorblad!$K$44)^(CG$56-Voorblad!$F$41)</f>
        <v>0</v>
      </c>
      <c r="CH85" s="9">
        <f>GI85*($Q85*$S85)/(1+Voorblad!$K$44)^(CH$56-Voorblad!$F$41)</f>
        <v>0</v>
      </c>
      <c r="CI85" s="9">
        <f>GJ85*($Q85*$S85)/(1+Voorblad!$K$44)^(CI$56-Voorblad!$F$41)</f>
        <v>0</v>
      </c>
      <c r="CJ85" s="9">
        <f>GK85*($Q85*$S85)/(1+Voorblad!$K$44)^(CJ$56-Voorblad!$F$41)</f>
        <v>0</v>
      </c>
      <c r="CK85" s="9">
        <f>GL85*($Q85*$S85)/(1+Voorblad!$K$44)^(CK$56-Voorblad!$F$41)</f>
        <v>0</v>
      </c>
      <c r="CL85" s="9">
        <f>GM85*($Q85*$S85)/(1+Voorblad!$K$44)^(CL$56-Voorblad!$F$41)</f>
        <v>0</v>
      </c>
      <c r="CM85" s="9">
        <f>GN85*($Q85*$S85)/(1+Voorblad!$K$44)^(CM$56-Voorblad!$F$41)</f>
        <v>0</v>
      </c>
      <c r="CN85" s="9">
        <f>GO85*($Q85*$S85)/(1+Voorblad!$K$44)^(CN$56-Voorblad!$F$41)</f>
        <v>0</v>
      </c>
      <c r="CO85" s="9">
        <f>GP85*($Q85*$S85)/(1+Voorblad!$K$44)^(CO$56-Voorblad!$F$41)</f>
        <v>0</v>
      </c>
      <c r="CP85" s="9">
        <f>GQ85*($Q85*$S85)/(1+Voorblad!$K$44)^(CP$56-Voorblad!$F$41)</f>
        <v>0</v>
      </c>
      <c r="CQ85" s="9">
        <f>GR85*($Q85*$S85)/(1+Voorblad!$K$44)^(CQ$56-Voorblad!$F$41)</f>
        <v>0</v>
      </c>
      <c r="CR85" s="9">
        <f>GS85*($Q85*$S85)/(1+Voorblad!$K$44)^(CR$56-Voorblad!$F$41)</f>
        <v>0</v>
      </c>
      <c r="CS85" s="9">
        <f>GT85*($Q85*$S85)/(1+Voorblad!$K$44)^(CS$56-Voorblad!$F$41)</f>
        <v>0</v>
      </c>
      <c r="CT85" s="9">
        <f>GU85*($Q85*$S85)/(1+Voorblad!$K$44)^(CT$56-Voorblad!$F$41)</f>
        <v>0</v>
      </c>
      <c r="CU85" s="9">
        <f>GV85*($Q85*$S85)/(1+Voorblad!$K$44)^(CU$56-Voorblad!$F$41)</f>
        <v>0</v>
      </c>
      <c r="CV85" s="9">
        <f>GW85*($Q85*$S85)/(1+Voorblad!$K$44)^(CV$56-Voorblad!$F$41)</f>
        <v>0</v>
      </c>
      <c r="CW85" s="9">
        <f>GX85*($Q85*$S85)/(1+Voorblad!$K$44)^(CW$56-Voorblad!$F$41)</f>
        <v>0</v>
      </c>
      <c r="CX85" s="9">
        <f>GY85*($Q85*$S85)/(1+Voorblad!$K$44)^(CX$56-Voorblad!$F$41)</f>
        <v>0</v>
      </c>
      <c r="CY85" s="9">
        <f>GZ85*($Q85*$S85)/(1+Voorblad!$K$44)^(CY$56-Voorblad!$F$41)</f>
        <v>0</v>
      </c>
      <c r="CZ85" s="9">
        <f>HA85*($Q85*$S85)/(1+Voorblad!$K$44)^(CZ$56-Voorblad!$F$41)</f>
        <v>0</v>
      </c>
      <c r="DA85" s="9">
        <f>HB85*($Q85*$S85)/(1+Voorblad!$K$44)^(DA$56-Voorblad!$F$41)</f>
        <v>0</v>
      </c>
      <c r="DB85" s="9">
        <f>HC85*($Q85*$S85)/(1+Voorblad!$K$44)^(DB$56-Voorblad!$F$41)</f>
        <v>0</v>
      </c>
      <c r="DC85" s="9">
        <f>HD85*($Q85*$S85)/(1+Voorblad!$K$44)^(DC$56-Voorblad!$F$41)</f>
        <v>0</v>
      </c>
      <c r="DD85" s="9">
        <f>HE85*($Q85*$S85)/(1+Voorblad!$K$44)^(DD$56-Voorblad!$F$41)</f>
        <v>0</v>
      </c>
      <c r="DE85" s="9">
        <f>HF85*($Q85*$S85)/(1+Voorblad!$K$44)^(DE$56-Voorblad!$F$41)</f>
        <v>0</v>
      </c>
      <c r="DF85" s="9">
        <f>HG85*($Q85*$S85)/(1+Voorblad!$K$44)^(DF$56-Voorblad!$F$41)</f>
        <v>0</v>
      </c>
      <c r="DG85" s="9">
        <f>HH85*($Q85*$S85)/(1+Voorblad!$K$44)^(DG$56-Voorblad!$F$41)</f>
        <v>0</v>
      </c>
      <c r="DH85" s="9">
        <f>HI85*($Q85*$S85)/(1+Voorblad!$K$44)^(DH$56-Voorblad!$F$41)</f>
        <v>0</v>
      </c>
      <c r="DI85" s="9">
        <f>HJ85*($Q85*$S85)/(1+Voorblad!$K$44)^(DI$56-Voorblad!$F$41)</f>
        <v>0</v>
      </c>
      <c r="DJ85" s="9">
        <f>HK85*($Q85*$S85)/(1+Voorblad!$K$44)^(DJ$56-Voorblad!$F$41)</f>
        <v>0</v>
      </c>
      <c r="DK85" s="9">
        <f>HL85*($Q85*$S85)/(1+Voorblad!$K$44)^(DK$56-Voorblad!$F$41)</f>
        <v>0</v>
      </c>
      <c r="DL85" s="9">
        <f>HM85*($Q85*$S85)/(1+Voorblad!$K$44)^(DL$56-Voorblad!$F$41)</f>
        <v>0</v>
      </c>
      <c r="DM85" s="9">
        <f>HN85*($Q85*$S85)/(1+Voorblad!$K$44)^(DM$56-Voorblad!$F$41)</f>
        <v>0</v>
      </c>
      <c r="DN85" s="9">
        <f>HO85*($Q85*$S85)/(1+Voorblad!$K$44)^(DN$56-Voorblad!$F$41)</f>
        <v>0</v>
      </c>
      <c r="DO85" s="9">
        <f>HP85*($Q85*$S85)/(1+Voorblad!$K$44)^(DO$56-Voorblad!$F$41)</f>
        <v>0</v>
      </c>
      <c r="DP85" s="9">
        <f>HQ85*($Q85*$S85)/(1+Voorblad!$K$44)^(DP$56-Voorblad!$F$41)</f>
        <v>0</v>
      </c>
      <c r="DQ85" s="9">
        <f>HR85*($Q85*$S85)/(1+Voorblad!$K$44)^(DQ$56-Voorblad!$F$41)</f>
        <v>0</v>
      </c>
      <c r="DR85" s="9">
        <f>HS85*($Q85*$S85)/(1+Voorblad!$K$44)^(DR$56-Voorblad!$F$41)</f>
        <v>0</v>
      </c>
      <c r="DS85" s="9">
        <f>HT85*($Q85*$S85)/(1+Voorblad!$K$44)^(DS$56-Voorblad!$F$41)</f>
        <v>0</v>
      </c>
      <c r="DT85" s="9">
        <f>HU85*($Q85*$S85)/(1+Voorblad!$K$44)^(DT$56-Voorblad!$F$41)</f>
        <v>0</v>
      </c>
      <c r="DU85" s="9">
        <f>HV85*($Q85*$S85)/(1+Voorblad!$K$44)^(DU$56-Voorblad!$F$41)</f>
        <v>0</v>
      </c>
      <c r="DV85" s="9">
        <f>HW85*($Q85*$S85)/(1+Voorblad!$K$44)^(DV$56-Voorblad!$F$41)</f>
        <v>0</v>
      </c>
      <c r="DW85" s="9">
        <f>HX85*($Q85*$S85)/(1+Voorblad!$K$44)^(DW$56-Voorblad!$F$41)</f>
        <v>0</v>
      </c>
      <c r="DX85" s="9">
        <f>HY85*($Q85*$S85)/(1+Voorblad!$K$44)^(DX$56-Voorblad!$F$41)</f>
        <v>0</v>
      </c>
      <c r="DY85" s="9">
        <f>HZ85*($Q85*$S85)/(1+Voorblad!$K$44)^(DY$56-Voorblad!$F$41)</f>
        <v>0</v>
      </c>
      <c r="DZ85" s="9">
        <f>IA85*($Q85*$S85)/(1+Voorblad!$K$44)^(DZ$56-Voorblad!$F$41)</f>
        <v>0</v>
      </c>
      <c r="EA85" s="9">
        <f>IB85*($Q85*$S85)/(1+Voorblad!$K$44)^(EA$56-Voorblad!$F$41)</f>
        <v>0</v>
      </c>
      <c r="EB85" s="9">
        <f>IC85*($Q85*$S85)/(1+Voorblad!$K$44)^(EB$56-Voorblad!$F$41)</f>
        <v>0</v>
      </c>
      <c r="EE85" s="8">
        <v>0</v>
      </c>
      <c r="EF85" s="8">
        <f>IF(EF$56-Voorblad!$F$41&gt;Voorblad!$K$41,0,IF($U85=0,0,IF($U85&lt;1,1/$U85,IF((EF$56-Voorblad!$F$41)/$U85-SUM($EE85:EE85)=1,1,0))))</f>
        <v>0</v>
      </c>
      <c r="EG85" s="8">
        <f>IF(EG$56-Voorblad!$F$41&gt;Voorblad!$K$41,0,IF($U85=0,0,IF($U85&lt;1,1/$U85,IF((EG$56-Voorblad!$F$41)/$U85-SUM($EE85:EF85)=1,1,0))))</f>
        <v>0</v>
      </c>
      <c r="EH85" s="8">
        <f>IF(EH$56-Voorblad!$F$41&gt;Voorblad!$K$41,0,IF($U85=0,0,IF($U85&lt;1,1/$U85,IF((EH$56-Voorblad!$F$41)/$U85-SUM($EE85:EG85)=1,1,0))))</f>
        <v>0</v>
      </c>
      <c r="EI85" s="8">
        <f>IF(EI$56-Voorblad!$F$41&gt;Voorblad!$K$41,0,IF($U85=0,0,IF($U85&lt;1,1/$U85,IF((EI$56-Voorblad!$F$41)/$U85-SUM($EE85:EH85)=1,1,0))))</f>
        <v>0</v>
      </c>
      <c r="EJ85" s="8">
        <f>IF(EJ$56-Voorblad!$F$41&gt;Voorblad!$K$41,0,IF($U85=0,0,IF($U85&lt;1,1/$U85,IF((EJ$56-Voorblad!$F$41)/$U85-SUM($EE85:EI85)=1,1,0))))</f>
        <v>0</v>
      </c>
      <c r="EK85" s="8">
        <f>IF(EK$56-Voorblad!$F$41&gt;Voorblad!$K$41,0,IF($U85=0,0,IF($U85&lt;1,1/$U85,IF((EK$56-Voorblad!$F$41)/$U85-SUM($EE85:EJ85)=1,1,0))))</f>
        <v>0</v>
      </c>
      <c r="EL85" s="8">
        <f>IF(EL$56-Voorblad!$F$41&gt;Voorblad!$K$41,0,IF($U85=0,0,IF($U85&lt;1,1/$U85,IF((EL$56-Voorblad!$F$41)/$U85-SUM($EE85:EK85)=1,1,0))))</f>
        <v>0</v>
      </c>
      <c r="EM85" s="8">
        <f>IF(EM$56-Voorblad!$F$41&gt;Voorblad!$K$41,0,IF($U85=0,0,IF($U85&lt;1,1/$U85,IF((EM$56-Voorblad!$F$41)/$U85-SUM($EE85:EL85)=1,1,0))))</f>
        <v>0</v>
      </c>
      <c r="EN85" s="8">
        <f>IF(EN$56-Voorblad!$F$41&gt;Voorblad!$K$41,0,IF($U85=0,0,IF($U85&lt;1,1/$U85,IF((EN$56-Voorblad!$F$41)/$U85-SUM($EE85:EM85)=1,1,0))))</f>
        <v>0</v>
      </c>
      <c r="EO85" s="8">
        <f>IF(EO$56-Voorblad!$F$41&gt;Voorblad!$K$41,0,IF($U85=0,0,IF($U85&lt;1,1/$U85,IF((EO$56-Voorblad!$F$41)/$U85-SUM($EE85:EN85)=1,1,0))))</f>
        <v>0</v>
      </c>
      <c r="EP85" s="8">
        <f>IF(EP$56-Voorblad!$F$41&gt;Voorblad!$K$41,0,IF($U85=0,0,IF($U85&lt;1,1/$U85,IF((EP$56-Voorblad!$F$41)/$U85-SUM($EE85:EO85)=1,1,0))))</f>
        <v>0</v>
      </c>
      <c r="EQ85" s="8">
        <f>IF(EQ$56-Voorblad!$F$41&gt;Voorblad!$K$41,0,IF($U85=0,0,IF($U85&lt;1,1/$U85,IF((EQ$56-Voorblad!$F$41)/$U85-SUM($EE85:EP85)=1,1,0))))</f>
        <v>0</v>
      </c>
      <c r="ER85" s="8">
        <f>IF(ER$56-Voorblad!$F$41&gt;Voorblad!$K$41,0,IF($U85=0,0,IF($U85&lt;1,1/$U85,IF((ER$56-Voorblad!$F$41)/$U85-SUM($EE85:EQ85)=1,1,0))))</f>
        <v>0</v>
      </c>
      <c r="ES85" s="8">
        <f>IF(ES$56-Voorblad!$F$41&gt;Voorblad!$K$41,0,IF($U85=0,0,IF($U85&lt;1,1/$U85,IF((ES$56-Voorblad!$F$41)/$U85-SUM($EE85:ER85)=1,1,0))))</f>
        <v>0</v>
      </c>
      <c r="ET85" s="8">
        <f>IF(ET$56-Voorblad!$F$41&gt;Voorblad!$K$41,0,IF($U85=0,0,IF($U85&lt;1,1/$U85,IF((ET$56-Voorblad!$F$41)/$U85-SUM($EE85:ES85)=1,1,0))))</f>
        <v>0</v>
      </c>
      <c r="EU85" s="8">
        <f>IF(EU$56-Voorblad!$F$41&gt;Voorblad!$K$41,0,IF($U85=0,0,IF($U85&lt;1,1/$U85,IF((EU$56-Voorblad!$F$41)/$U85-SUM($EE85:ET85)=1,1,0))))</f>
        <v>0</v>
      </c>
      <c r="EV85" s="8">
        <f>IF(EV$56-Voorblad!$F$41&gt;Voorblad!$K$41,0,IF($U85=0,0,IF($U85&lt;1,1/$U85,IF((EV$56-Voorblad!$F$41)/$U85-SUM($EE85:EU85)=1,1,0))))</f>
        <v>0</v>
      </c>
      <c r="EW85" s="8">
        <f>IF(EW$56-Voorblad!$F$41&gt;Voorblad!$K$41,0,IF($U85=0,0,IF($U85&lt;1,1/$U85,IF((EW$56-Voorblad!$F$41)/$U85-SUM($EE85:EV85)=1,1,0))))</f>
        <v>0</v>
      </c>
      <c r="EX85" s="8">
        <f>IF(EX$56-Voorblad!$F$41&gt;Voorblad!$K$41,0,IF($U85=0,0,IF($U85&lt;1,1/$U85,IF((EX$56-Voorblad!$F$41)/$U85-SUM($EE85:EW85)=1,1,0))))</f>
        <v>0</v>
      </c>
      <c r="EY85" s="8">
        <f>IF(EY$56-Voorblad!$F$41&gt;Voorblad!$K$41,0,IF($U85=0,0,IF($U85&lt;1,1/$U85,IF((EY$56-Voorblad!$F$41)/$U85-SUM($EE85:EX85)=1,1,0))))</f>
        <v>0</v>
      </c>
      <c r="EZ85" s="8">
        <f>IF(EZ$56-Voorblad!$F$41&gt;Voorblad!$K$41,0,IF($U85=0,0,IF($U85&lt;1,1/$U85,IF((EZ$56-Voorblad!$F$41)/$U85-SUM($EE85:EY85)=1,1,0))))</f>
        <v>0</v>
      </c>
      <c r="FA85" s="8">
        <f>IF(FA$56-Voorblad!$F$41&gt;Voorblad!$K$41,0,IF($U85=0,0,IF($U85&lt;1,1/$U85,IF((FA$56-Voorblad!$F$41)/$U85-SUM($EE85:EZ85)=1,1,0))))</f>
        <v>0</v>
      </c>
      <c r="FB85" s="8">
        <f>IF(FB$56-Voorblad!$F$41&gt;Voorblad!$K$41,0,IF($U85=0,0,IF($U85&lt;1,1/$U85,IF((FB$56-Voorblad!$F$41)/$U85-SUM($EE85:FA85)=1,1,0))))</f>
        <v>0</v>
      </c>
      <c r="FC85" s="8">
        <f>IF(FC$56-Voorblad!$F$41&gt;Voorblad!$K$41,0,IF($U85=0,0,IF($U85&lt;1,1/$U85,IF((FC$56-Voorblad!$F$41)/$U85-SUM($EE85:FB85)=1,1,0))))</f>
        <v>0</v>
      </c>
      <c r="FD85" s="8">
        <f>IF(FD$56-Voorblad!$F$41&gt;Voorblad!$K$41,0,IF($U85=0,0,IF($U85&lt;1,1/$U85,IF((FD$56-Voorblad!$F$41)/$U85-SUM($EE85:FC85)=1,1,0))))</f>
        <v>0</v>
      </c>
      <c r="FE85" s="8">
        <f>IF(FE$56-Voorblad!$F$41&gt;Voorblad!$K$41,0,IF($U85=0,0,IF($U85&lt;1,1/$U85,IF((FE$56-Voorblad!$F$41)/$U85-SUM($EE85:FD85)=1,1,0))))</f>
        <v>0</v>
      </c>
      <c r="FF85" s="8">
        <f>IF(FF$56-Voorblad!$F$41&gt;Voorblad!$K$41,0,IF($U85=0,0,IF($U85&lt;1,1/$U85,IF((FF$56-Voorblad!$F$41)/$U85-SUM($EE85:FE85)=1,1,0))))</f>
        <v>0</v>
      </c>
      <c r="FG85" s="8">
        <f>IF(FG$56-Voorblad!$F$41&gt;Voorblad!$K$41,0,IF($U85=0,0,IF($U85&lt;1,1/$U85,IF((FG$56-Voorblad!$F$41)/$U85-SUM($EE85:FF85)=1,1,0))))</f>
        <v>0</v>
      </c>
      <c r="FH85" s="8">
        <f>IF(FH$56-Voorblad!$F$41&gt;Voorblad!$K$41,0,IF($U85=0,0,IF($U85&lt;1,1/$U85,IF((FH$56-Voorblad!$F$41)/$U85-SUM($EE85:FG85)=1,1,0))))</f>
        <v>0</v>
      </c>
      <c r="FI85" s="8">
        <f>IF(FI$56-Voorblad!$F$41&gt;Voorblad!$K$41,0,IF($U85=0,0,IF($U85&lt;1,1/$U85,IF((FI$56-Voorblad!$F$41)/$U85-SUM($EE85:FH85)=1,1,0))))</f>
        <v>0</v>
      </c>
      <c r="FJ85" s="8">
        <f>IF(FJ$56-Voorblad!$F$41&gt;Voorblad!$K$41,0,IF($U85=0,0,IF($U85&lt;1,1/$U85,IF((FJ$56-Voorblad!$F$41)/$U85-SUM($EE85:FI85)=1,1,0))))</f>
        <v>1</v>
      </c>
      <c r="FK85" s="8">
        <f>IF(FK$56-Voorblad!$F$41&gt;Voorblad!$K$41,0,IF($U85=0,0,IF($U85&lt;1,1/$U85,IF((FK$56-Voorblad!$F$41)/$U85-SUM($EE85:FJ85)=1,1,0))))</f>
        <v>0</v>
      </c>
      <c r="FL85" s="8">
        <f>IF(FL$56-Voorblad!$F$41&gt;Voorblad!$K$41,0,IF($U85=0,0,IF($U85&lt;1,1/$U85,IF((FL$56-Voorblad!$F$41)/$U85-SUM($EE85:FK85)=1,1,0))))</f>
        <v>0</v>
      </c>
      <c r="FM85" s="8">
        <f>IF(FM$56-Voorblad!$F$41&gt;Voorblad!$K$41,0,IF($U85=0,0,IF($U85&lt;1,1/$U85,IF((FM$56-Voorblad!$F$41)/$U85-SUM($EE85:FL85)=1,1,0))))</f>
        <v>0</v>
      </c>
      <c r="FN85" s="8">
        <f>IF(FN$56-Voorblad!$F$41&gt;Voorblad!$K$41,0,IF($U85=0,0,IF($U85&lt;1,1/$U85,IF((FN$56-Voorblad!$F$41)/$U85-SUM($EE85:FM85)=1,1,0))))</f>
        <v>0</v>
      </c>
      <c r="FO85" s="8">
        <f>IF(FO$56-Voorblad!$F$41&gt;Voorblad!$K$41,0,IF($U85=0,0,IF($U85&lt;1,1/$U85,IF((FO$56-Voorblad!$F$41)/$U85-SUM($EE85:FN85)=1,1,0))))</f>
        <v>0</v>
      </c>
      <c r="FP85" s="8">
        <f>IF(FP$56-Voorblad!$F$41&gt;Voorblad!$K$41,0,IF($U85=0,0,IF($U85&lt;1,1/$U85,IF((FP$56-Voorblad!$F$41)/$U85-SUM($EE85:FO85)=1,1,0))))</f>
        <v>0</v>
      </c>
      <c r="FQ85" s="8">
        <f>IF(FQ$56-Voorblad!$F$41&gt;Voorblad!$K$41,0,IF($U85=0,0,IF($U85&lt;1,1/$U85,IF((FQ$56-Voorblad!$F$41)/$U85-SUM($EE85:FP85)=1,1,0))))</f>
        <v>0</v>
      </c>
      <c r="FR85" s="8">
        <f>IF(FR$56-Voorblad!$F$41&gt;Voorblad!$K$41,0,IF($U85=0,0,IF($U85&lt;1,1/$U85,IF((FR$56-Voorblad!$F$41)/$U85-SUM($EE85:FQ85)=1,1,0))))</f>
        <v>0</v>
      </c>
      <c r="FS85" s="8">
        <f>IF(FS$56-Voorblad!$F$41&gt;Voorblad!$K$41,0,IF($U85=0,0,IF($U85&lt;1,1/$U85,IF((FS$56-Voorblad!$F$41)/$U85-SUM($EE85:FR85)=1,1,0))))</f>
        <v>0</v>
      </c>
      <c r="FT85" s="8">
        <f>IF(FT$56-Voorblad!$F$41&gt;Voorblad!$K$41,0,IF($U85=0,0,IF($U85&lt;1,1/$U85,IF((FT$56-Voorblad!$F$41)/$U85-SUM($EE85:FS85)=1,1,0))))</f>
        <v>0</v>
      </c>
      <c r="FU85" s="8">
        <f>IF(FU$56-Voorblad!$F$41&gt;Voorblad!$K$41,0,IF($U85=0,0,IF($U85&lt;1,1/$U85,IF((FU$56-Voorblad!$F$41)/$U85-SUM($EE85:FT85)=1,1,0))))</f>
        <v>0</v>
      </c>
      <c r="FV85" s="8">
        <f>IF(FV$56-Voorblad!$F$41&gt;Voorblad!$K$41,0,IF($U85=0,0,IF($U85&lt;1,1/$U85,IF((FV$56-Voorblad!$F$41)/$U85-SUM($EE85:FU85)=1,1,0))))</f>
        <v>0</v>
      </c>
      <c r="FW85" s="8">
        <f>IF(FW$56-Voorblad!$F$41&gt;Voorblad!$K$41,0,IF($U85=0,0,IF($U85&lt;1,1/$U85,IF((FW$56-Voorblad!$F$41)/$U85-SUM($EE85:FV85)=1,1,0))))</f>
        <v>0</v>
      </c>
      <c r="FX85" s="8">
        <f>IF(FX$56-Voorblad!$F$41&gt;Voorblad!$K$41,0,IF($U85=0,0,IF($U85&lt;1,1/$U85,IF((FX$56-Voorblad!$F$41)/$U85-SUM($EE85:FW85)=1,1,0))))</f>
        <v>0</v>
      </c>
      <c r="FY85" s="8">
        <f>IF(FY$56-Voorblad!$F$41&gt;Voorblad!$K$41,0,IF($U85=0,0,IF($U85&lt;1,1/$U85,IF((FY$56-Voorblad!$F$41)/$U85-SUM($EE85:FX85)=1,1,0))))</f>
        <v>0</v>
      </c>
      <c r="FZ85" s="8">
        <f>IF(FZ$56-Voorblad!$F$41&gt;Voorblad!$K$41,0,IF($U85=0,0,IF($U85&lt;1,1/$U85,IF((FZ$56-Voorblad!$F$41)/$U85-SUM($EE85:FY85)=1,1,0))))</f>
        <v>0</v>
      </c>
      <c r="GA85" s="8">
        <f>IF(GA$56-Voorblad!$F$41&gt;Voorblad!$K$41,0,IF($U85=0,0,IF($U85&lt;1,1/$U85,IF((GA$56-Voorblad!$F$41)/$U85-SUM($EE85:FZ85)=1,1,0))))</f>
        <v>0</v>
      </c>
      <c r="GB85" s="8">
        <f>IF(GB$56-Voorblad!$F$41&gt;Voorblad!$K$41,0,IF($U85=0,0,IF($U85&lt;1,1/$U85,IF((GB$56-Voorblad!$F$41)/$U85-SUM($EE85:GA85)=1,1,0))))</f>
        <v>0</v>
      </c>
      <c r="GC85" s="8">
        <f>IF(GC$56-Voorblad!$F$41&gt;Voorblad!$K$41,0,IF($U85=0,0,IF($U85&lt;1,1/$U85,IF((GC$56-Voorblad!$F$41)/$U85-SUM($EE85:GB85)=1,1,0))))</f>
        <v>0</v>
      </c>
      <c r="GD85" s="8">
        <f>IF(GD$56-Voorblad!$F$41&gt;Voorblad!$K$41,0,IF($U85=0,0,IF($U85&lt;1,1/$U85,IF((GD$56-Voorblad!$F$41)/$U85-SUM($EE85:GC85)=1,1,0))))</f>
        <v>0</v>
      </c>
      <c r="GE85" s="8">
        <f>IF(GE$56-Voorblad!$F$41&gt;Voorblad!$K$41,0,IF($U85=0,0,IF($U85&lt;1,1/$U85,IF((GE$56-Voorblad!$F$41)/$U85-SUM($EE85:GD85)=1,1,0))))</f>
        <v>0</v>
      </c>
      <c r="GF85" s="8">
        <f>IF(GF$56-Voorblad!$F$41&gt;Voorblad!$K$41,0,IF($U85=0,0,IF($U85&lt;1,1/$U85,IF((GF$56-Voorblad!$F$41)/$U85-SUM($EE85:GE85)=1,1,0))))</f>
        <v>0</v>
      </c>
      <c r="GG85" s="8">
        <f>IF(GG$56-Voorblad!$F$41&gt;Voorblad!$K$41,0,IF($U85=0,0,IF($U85&lt;1,1/$U85,IF((GG$56-Voorblad!$F$41)/$U85-SUM($EE85:GF85)=1,1,0))))</f>
        <v>0</v>
      </c>
      <c r="GH85" s="8">
        <f>IF(GH$56-Voorblad!$F$41&gt;Voorblad!$K$41,0,IF($U85=0,0,IF($U85&lt;1,1/$U85,IF((GH$56-Voorblad!$F$41)/$U85-SUM($EE85:GG85)=1,1,0))))</f>
        <v>0</v>
      </c>
      <c r="GI85" s="8">
        <f>IF(GI$56-Voorblad!$F$41&gt;Voorblad!$K$41,0,IF($U85=0,0,IF($U85&lt;1,1/$U85,IF((GI$56-Voorblad!$F$41)/$U85-SUM($EE85:GH85)=1,1,0))))</f>
        <v>0</v>
      </c>
      <c r="GJ85" s="8">
        <f>IF(GJ$56-Voorblad!$F$41&gt;Voorblad!$K$41,0,IF($U85=0,0,IF($U85&lt;1,1/$U85,IF((GJ$56-Voorblad!$F$41)/$U85-SUM($EE85:GI85)=1,1,0))))</f>
        <v>0</v>
      </c>
      <c r="GK85" s="8">
        <f>IF(GK$56-Voorblad!$F$41&gt;Voorblad!$K$41,0,IF($U85=0,0,IF($U85&lt;1,1/$U85,IF((GK$56-Voorblad!$F$41)/$U85-SUM($EE85:GJ85)=1,1,0))))</f>
        <v>0</v>
      </c>
      <c r="GL85" s="8">
        <f>IF(GL$56-Voorblad!$F$41&gt;Voorblad!$K$41,0,IF($U85=0,0,IF($U85&lt;1,1/$U85,IF((GL$56-Voorblad!$F$41)/$U85-SUM($EE85:GK85)=1,1,0))))</f>
        <v>0</v>
      </c>
      <c r="GM85" s="8">
        <f>IF(GM$56-Voorblad!$F$41&gt;Voorblad!$K$41,0,IF($U85=0,0,IF($U85&lt;1,1/$U85,IF((GM$56-Voorblad!$F$41)/$U85-SUM($EE85:GL85)=1,1,0))))</f>
        <v>0</v>
      </c>
      <c r="GN85" s="8">
        <f>IF(GN$56-Voorblad!$F$41&gt;Voorblad!$K$41,0,IF($U85=0,0,IF($U85&lt;1,1/$U85,IF((GN$56-Voorblad!$F$41)/$U85-SUM($EE85:GM85)=1,1,0))))</f>
        <v>1</v>
      </c>
      <c r="GO85" s="8">
        <f>IF(GO$56-Voorblad!$F$41&gt;Voorblad!$K$41,0,IF($U85=0,0,IF($U85&lt;1,1/$U85,IF((GO$56-Voorblad!$F$41)/$U85-SUM($EE85:GN85)=1,1,0))))</f>
        <v>0</v>
      </c>
      <c r="GP85" s="8">
        <f>IF(GP$56-Voorblad!$F$41&gt;Voorblad!$K$41,0,IF($U85=0,0,IF($U85&lt;1,1/$U85,IF((GP$56-Voorblad!$F$41)/$U85-SUM($EE85:GO85)=1,1,0))))</f>
        <v>0</v>
      </c>
      <c r="GQ85" s="8">
        <f>IF(GQ$56-Voorblad!$F$41&gt;Voorblad!$K$41,0,IF($U85=0,0,IF($U85&lt;1,1/$U85,IF((GQ$56-Voorblad!$F$41)/$U85-SUM($EE85:GP85)=1,1,0))))</f>
        <v>0</v>
      </c>
      <c r="GR85" s="8">
        <f>IF(GR$56-Voorblad!$F$41&gt;Voorblad!$K$41,0,IF($U85=0,0,IF($U85&lt;1,1/$U85,IF((GR$56-Voorblad!$F$41)/$U85-SUM($EE85:GQ85)=1,1,0))))</f>
        <v>0</v>
      </c>
      <c r="GS85" s="8">
        <f>IF(GS$56-Voorblad!$F$41&gt;Voorblad!$K$41,0,IF($U85=0,0,IF($U85&lt;1,1/$U85,IF((GS$56-Voorblad!$F$41)/$U85-SUM($EE85:GR85)=1,1,0))))</f>
        <v>0</v>
      </c>
      <c r="GT85" s="8">
        <f>IF(GT$56-Voorblad!$F$41&gt;Voorblad!$K$41,0,IF($U85=0,0,IF($U85&lt;1,1/$U85,IF((GT$56-Voorblad!$F$41)/$U85-SUM($EE85:GS85)=1,1,0))))</f>
        <v>0</v>
      </c>
      <c r="GU85" s="8">
        <f>IF(GU$56-Voorblad!$F$41&gt;Voorblad!$K$41,0,IF($U85=0,0,IF($U85&lt;1,1/$U85,IF((GU$56-Voorblad!$F$41)/$U85-SUM($EE85:GT85)=1,1,0))))</f>
        <v>0</v>
      </c>
      <c r="GV85" s="8">
        <f>IF(GV$56-Voorblad!$F$41&gt;Voorblad!$K$41,0,IF($U85=0,0,IF($U85&lt;1,1/$U85,IF((GV$56-Voorblad!$F$41)/$U85-SUM($EE85:GU85)=1,1,0))))</f>
        <v>0</v>
      </c>
      <c r="GW85" s="8">
        <f>IF(GW$56-Voorblad!$F$41&gt;Voorblad!$K$41,0,IF($U85=0,0,IF($U85&lt;1,1/$U85,IF((GW$56-Voorblad!$F$41)/$U85-SUM($EE85:GV85)=1,1,0))))</f>
        <v>0</v>
      </c>
      <c r="GX85" s="8">
        <f>IF(GX$56-Voorblad!$F$41&gt;Voorblad!$K$41,0,IF($U85=0,0,IF($U85&lt;1,1/$U85,IF((GX$56-Voorblad!$F$41)/$U85-SUM($EE85:GW85)=1,1,0))))</f>
        <v>0</v>
      </c>
      <c r="GY85" s="8">
        <f>IF(GY$56-Voorblad!$F$41&gt;Voorblad!$K$41,0,IF($U85=0,0,IF($U85&lt;1,1/$U85,IF((GY$56-Voorblad!$F$41)/$U85-SUM($EE85:GX85)=1,1,0))))</f>
        <v>0</v>
      </c>
      <c r="GZ85" s="8">
        <f>IF(GZ$56-Voorblad!$F$41&gt;Voorblad!$K$41,0,IF($U85=0,0,IF($U85&lt;1,1/$U85,IF((GZ$56-Voorblad!$F$41)/$U85-SUM($EE85:GY85)=1,1,0))))</f>
        <v>0</v>
      </c>
      <c r="HA85" s="8">
        <f>IF(HA$56-Voorblad!$F$41&gt;Voorblad!$K$41,0,IF($U85=0,0,IF($U85&lt;1,1/$U85,IF((HA$56-Voorblad!$F$41)/$U85-SUM($EE85:GZ85)=1,1,0))))</f>
        <v>0</v>
      </c>
      <c r="HB85" s="8">
        <f>IF(HB$56-Voorblad!$F$41&gt;Voorblad!$K$41,0,IF($U85=0,0,IF($U85&lt;1,1/$U85,IF((HB$56-Voorblad!$F$41)/$U85-SUM($EE85:HA85)=1,1,0))))</f>
        <v>0</v>
      </c>
      <c r="HC85" s="8">
        <f>IF(HC$56-Voorblad!$F$41&gt;Voorblad!$K$41,0,IF($U85=0,0,IF($U85&lt;1,1/$U85,IF((HC$56-Voorblad!$F$41)/$U85-SUM($EE85:HB85)=1,1,0))))</f>
        <v>0</v>
      </c>
      <c r="HD85" s="8">
        <f>IF(HD$56-Voorblad!$F$41&gt;Voorblad!$K$41,0,IF($U85=0,0,IF($U85&lt;1,1/$U85,IF((HD$56-Voorblad!$F$41)/$U85-SUM($EE85:HC85)=1,1,0))))</f>
        <v>0</v>
      </c>
      <c r="HE85" s="8">
        <f>IF(HE$56-Voorblad!$F$41&gt;Voorblad!$K$41,0,IF($U85=0,0,IF($U85&lt;1,1/$U85,IF((HE$56-Voorblad!$F$41)/$U85-SUM($EE85:HD85)=1,1,0))))</f>
        <v>0</v>
      </c>
      <c r="HF85" s="8">
        <f>IF(HF$56-Voorblad!$F$41&gt;Voorblad!$K$41,0,IF($U85=0,0,IF($U85&lt;1,1/$U85,IF((HF$56-Voorblad!$F$41)/$U85-SUM($EE85:HE85)=1,1,0))))</f>
        <v>0</v>
      </c>
      <c r="HG85" s="8">
        <f>IF(HG$56-Voorblad!$F$41&gt;Voorblad!$K$41,0,IF($U85=0,0,IF($U85&lt;1,1/$U85,IF((HG$56-Voorblad!$F$41)/$U85-SUM($EE85:HF85)=1,1,0))))</f>
        <v>0</v>
      </c>
      <c r="HH85" s="8">
        <f>IF(HH$56-Voorblad!$F$41&gt;Voorblad!$K$41,0,IF($U85=0,0,IF($U85&lt;1,1/$U85,IF((HH$56-Voorblad!$F$41)/$U85-SUM($EE85:HG85)=1,1,0))))</f>
        <v>0</v>
      </c>
      <c r="HI85" s="8">
        <f>IF(HI$56-Voorblad!$F$41&gt;Voorblad!$K$41,0,IF($U85=0,0,IF($U85&lt;1,1/$U85,IF((HI$56-Voorblad!$F$41)/$U85-SUM($EE85:HH85)=1,1,0))))</f>
        <v>0</v>
      </c>
      <c r="HJ85" s="8">
        <f>IF(HJ$56-Voorblad!$F$41&gt;Voorblad!$K$41,0,IF($U85=0,0,IF($U85&lt;1,1/$U85,IF((HJ$56-Voorblad!$F$41)/$U85-SUM($EE85:HI85)=1,1,0))))</f>
        <v>0</v>
      </c>
      <c r="HK85" s="8">
        <f>IF(HK$56-Voorblad!$F$41&gt;Voorblad!$K$41,0,IF($U85=0,0,IF($U85&lt;1,1/$U85,IF((HK$56-Voorblad!$F$41)/$U85-SUM($EE85:HJ85)=1,1,0))))</f>
        <v>0</v>
      </c>
      <c r="HL85" s="8">
        <f>IF(HL$56-Voorblad!$F$41&gt;Voorblad!$K$41,0,IF($U85=0,0,IF($U85&lt;1,1/$U85,IF((HL$56-Voorblad!$F$41)/$U85-SUM($EE85:HK85)=1,1,0))))</f>
        <v>0</v>
      </c>
      <c r="HM85" s="8">
        <f>IF(HM$56-Voorblad!$F$41&gt;Voorblad!$K$41,0,IF($U85=0,0,IF($U85&lt;1,1/$U85,IF((HM$56-Voorblad!$F$41)/$U85-SUM($EE85:HL85)=1,1,0))))</f>
        <v>0</v>
      </c>
      <c r="HN85" s="8">
        <f>IF(HN$56-Voorblad!$F$41&gt;Voorblad!$K$41,0,IF($U85=0,0,IF($U85&lt;1,1/$U85,IF((HN$56-Voorblad!$F$41)/$U85-SUM($EE85:HM85)=1,1,0))))</f>
        <v>0</v>
      </c>
      <c r="HO85" s="8">
        <f>IF(HO$56-Voorblad!$F$41&gt;Voorblad!$K$41,0,IF($U85=0,0,IF($U85&lt;1,1/$U85,IF((HO$56-Voorblad!$F$41)/$U85-SUM($EE85:HN85)=1,1,0))))</f>
        <v>0</v>
      </c>
      <c r="HP85" s="8">
        <f>IF(HP$56-Voorblad!$F$41&gt;Voorblad!$K$41,0,IF($U85=0,0,IF($U85&lt;1,1/$U85,IF((HP$56-Voorblad!$F$41)/$U85-SUM($EE85:HO85)=1,1,0))))</f>
        <v>0</v>
      </c>
      <c r="HQ85" s="8">
        <f>IF(HQ$56-Voorblad!$F$41&gt;Voorblad!$K$41,0,IF($U85=0,0,IF($U85&lt;1,1/$U85,IF((HQ$56-Voorblad!$F$41)/$U85-SUM($EE85:HP85)=1,1,0))))</f>
        <v>0</v>
      </c>
      <c r="HR85" s="8">
        <f>IF(HR$56-Voorblad!$F$41&gt;Voorblad!$K$41,0,IF($U85=0,0,IF($U85&lt;1,1/$U85,IF((HR$56-Voorblad!$F$41)/$U85-SUM($EE85:HQ85)=1,1,0))))</f>
        <v>0</v>
      </c>
      <c r="HS85" s="8">
        <f>IF(HS$56-Voorblad!$F$41&gt;Voorblad!$K$41,0,IF($U85=0,0,IF($U85&lt;1,1/$U85,IF((HS$56-Voorblad!$F$41)/$U85-SUM($EE85:HR85)=1,1,0))))</f>
        <v>0</v>
      </c>
      <c r="HT85" s="8">
        <f>IF(HT$56-Voorblad!$F$41&gt;Voorblad!$K$41,0,IF($U85=0,0,IF($U85&lt;1,1/$U85,IF((HT$56-Voorblad!$F$41)/$U85-SUM($EE85:HS85)=1,1,0))))</f>
        <v>0</v>
      </c>
      <c r="HU85" s="8">
        <f>IF(HU$56-Voorblad!$F$41&gt;Voorblad!$K$41,0,IF($U85=0,0,IF($U85&lt;1,1/$U85,IF((HU$56-Voorblad!$F$41)/$U85-SUM($EE85:HT85)=1,1,0))))</f>
        <v>0</v>
      </c>
      <c r="HV85" s="8">
        <f>IF(HV$56-Voorblad!$F$41&gt;Voorblad!$K$41,0,IF($U85=0,0,IF($U85&lt;1,1/$U85,IF((HV$56-Voorblad!$F$41)/$U85-SUM($EE85:HU85)=1,1,0))))</f>
        <v>0</v>
      </c>
      <c r="HW85" s="8">
        <f>IF(HW$56-Voorblad!$F$41&gt;Voorblad!$K$41,0,IF($U85=0,0,IF($U85&lt;1,1/$U85,IF((HW$56-Voorblad!$F$41)/$U85-SUM($EE85:HV85)=1,1,0))))</f>
        <v>0</v>
      </c>
      <c r="HX85" s="8">
        <f>IF(HX$56-Voorblad!$F$41&gt;Voorblad!$K$41,0,IF($U85=0,0,IF($U85&lt;1,1/$U85,IF((HX$56-Voorblad!$F$41)/$U85-SUM($EE85:HW85)=1,1,0))))</f>
        <v>0</v>
      </c>
      <c r="HY85" s="8">
        <f>IF(HY$56-Voorblad!$F$41&gt;Voorblad!$K$41,0,IF($U85=0,0,IF($U85&lt;1,1/$U85,IF((HY$56-Voorblad!$F$41)/$U85-SUM($EE85:HX85)=1,1,0))))</f>
        <v>0</v>
      </c>
      <c r="HZ85" s="8">
        <f>IF(HZ$56-Voorblad!$F$41&gt;Voorblad!$K$41,0,IF($U85=0,0,IF($U85&lt;1,1/$U85,IF((HZ$56-Voorblad!$F$41)/$U85-SUM($EE85:HY85)=1,1,0))))</f>
        <v>0</v>
      </c>
      <c r="IA85" s="8">
        <f>IF(IA$56-Voorblad!$F$41&gt;Voorblad!$K$41,0,IF($U85=0,0,IF($U85&lt;1,1/$U85,IF((IA$56-Voorblad!$F$41)/$U85-SUM($EE85:HZ85)=1,1,0))))</f>
        <v>0</v>
      </c>
      <c r="IB85" s="8">
        <f>IF(IB$56-Voorblad!$F$41&gt;Voorblad!$K$41,0,IF($U85=0,0,IF($U85&lt;1,1/$U85,IF((IB$56-Voorblad!$F$41)/$U85-SUM($EE85:IA85)=1,1,0))))</f>
        <v>0</v>
      </c>
    </row>
    <row r="86" spans="2:236" ht="12" hidden="1" customHeight="1" outlineLevel="1" x14ac:dyDescent="0.25">
      <c r="B86" s="1">
        <v>1</v>
      </c>
      <c r="F86" s="1" t="s">
        <v>23</v>
      </c>
      <c r="I86" s="1" t="s">
        <v>49</v>
      </c>
      <c r="K86" s="14" t="s">
        <v>202</v>
      </c>
      <c r="N86" s="3"/>
      <c r="Q86" s="81">
        <v>0</v>
      </c>
      <c r="R86" s="1" t="s">
        <v>35</v>
      </c>
      <c r="S86" s="14">
        <f>$H$10*2000</f>
        <v>4760</v>
      </c>
      <c r="T86" s="1">
        <f t="shared" si="16"/>
        <v>0</v>
      </c>
      <c r="U86" s="14">
        <v>50</v>
      </c>
      <c r="V86" s="14"/>
      <c r="Y86" s="9">
        <f t="shared" ref="Y86:Y89" si="18">SUM(AE86:EB86)</f>
        <v>0</v>
      </c>
      <c r="Z86" s="82"/>
      <c r="AA86" s="82"/>
      <c r="AC86" s="9">
        <f>$Y86*(Voorblad!$K$44*(1+Voorblad!$K$44)^Voorblad!$K$41)/((1+Voorblad!$K$44)^Voorblad!$K$41-1)</f>
        <v>0</v>
      </c>
      <c r="AE86" s="9">
        <f>EF86*($Q86*$S86)/(1+Voorblad!$K$44)^(AE$56-Voorblad!$F$41)</f>
        <v>0</v>
      </c>
      <c r="AF86" s="9">
        <f>EG86*($Q86*$S86)/(1+Voorblad!$K$44)^(AF$56-Voorblad!$F$41)</f>
        <v>0</v>
      </c>
      <c r="AG86" s="9">
        <f>EH86*($Q86*$S86)/(1+Voorblad!$K$44)^(AG$56-Voorblad!$F$41)</f>
        <v>0</v>
      </c>
      <c r="AH86" s="9">
        <f>EI86*($Q86*$S86)/(1+Voorblad!$K$44)^(AH$56-Voorblad!$F$41)</f>
        <v>0</v>
      </c>
      <c r="AI86" s="9">
        <f>EJ86*($Q86*$S86)/(1+Voorblad!$K$44)^(AI$56-Voorblad!$F$41)</f>
        <v>0</v>
      </c>
      <c r="AJ86" s="9">
        <f>EK86*($Q86*$S86)/(1+Voorblad!$K$44)^(AJ$56-Voorblad!$F$41)</f>
        <v>0</v>
      </c>
      <c r="AK86" s="9">
        <f>EL86*($Q86*$S86)/(1+Voorblad!$K$44)^(AK$56-Voorblad!$F$41)</f>
        <v>0</v>
      </c>
      <c r="AL86" s="9">
        <f>EM86*($Q86*$S86)/(1+Voorblad!$K$44)^(AL$56-Voorblad!$F$41)</f>
        <v>0</v>
      </c>
      <c r="AM86" s="9">
        <f>EN86*($Q86*$S86)/(1+Voorblad!$K$44)^(AM$56-Voorblad!$F$41)</f>
        <v>0</v>
      </c>
      <c r="AN86" s="9">
        <f>EO86*($Q86*$S86)/(1+Voorblad!$K$44)^(AN$56-Voorblad!$F$41)</f>
        <v>0</v>
      </c>
      <c r="AO86" s="9">
        <f>EP86*($Q86*$S86)/(1+Voorblad!$K$44)^(AO$56-Voorblad!$F$41)</f>
        <v>0</v>
      </c>
      <c r="AP86" s="9">
        <f>EQ86*($Q86*$S86)/(1+Voorblad!$K$44)^(AP$56-Voorblad!$F$41)</f>
        <v>0</v>
      </c>
      <c r="AQ86" s="9">
        <f>ER86*($Q86*$S86)/(1+Voorblad!$K$44)^(AQ$56-Voorblad!$F$41)</f>
        <v>0</v>
      </c>
      <c r="AR86" s="9">
        <f>ES86*($Q86*$S86)/(1+Voorblad!$K$44)^(AR$56-Voorblad!$F$41)</f>
        <v>0</v>
      </c>
      <c r="AS86" s="9">
        <f>ET86*($Q86*$S86)/(1+Voorblad!$K$44)^(AS$56-Voorblad!$F$41)</f>
        <v>0</v>
      </c>
      <c r="AT86" s="9">
        <f>EU86*($Q86*$S86)/(1+Voorblad!$K$44)^(AT$56-Voorblad!$F$41)</f>
        <v>0</v>
      </c>
      <c r="AU86" s="9">
        <f>EV86*($Q86*$S86)/(1+Voorblad!$K$44)^(AU$56-Voorblad!$F$41)</f>
        <v>0</v>
      </c>
      <c r="AV86" s="9">
        <f>EW86*($Q86*$S86)/(1+Voorblad!$K$44)^(AV$56-Voorblad!$F$41)</f>
        <v>0</v>
      </c>
      <c r="AW86" s="9">
        <f>EX86*($Q86*$S86)/(1+Voorblad!$K$44)^(AW$56-Voorblad!$F$41)</f>
        <v>0</v>
      </c>
      <c r="AX86" s="9">
        <f>EY86*($Q86*$S86)/(1+Voorblad!$K$44)^(AX$56-Voorblad!$F$41)</f>
        <v>0</v>
      </c>
      <c r="AY86" s="9">
        <f>EZ86*($Q86*$S86)/(1+Voorblad!$K$44)^(AY$56-Voorblad!$F$41)</f>
        <v>0</v>
      </c>
      <c r="AZ86" s="9">
        <f>FA86*($Q86*$S86)/(1+Voorblad!$K$44)^(AZ$56-Voorblad!$F$41)</f>
        <v>0</v>
      </c>
      <c r="BA86" s="9">
        <f>FB86*($Q86*$S86)/(1+Voorblad!$K$44)^(BA$56-Voorblad!$F$41)</f>
        <v>0</v>
      </c>
      <c r="BB86" s="9">
        <f>FC86*($Q86*$S86)/(1+Voorblad!$K$44)^(BB$56-Voorblad!$F$41)</f>
        <v>0</v>
      </c>
      <c r="BC86" s="9">
        <f>FD86*($Q86*$S86)/(1+Voorblad!$K$44)^(BC$56-Voorblad!$F$41)</f>
        <v>0</v>
      </c>
      <c r="BD86" s="9">
        <f>FE86*($Q86*$S86)/(1+Voorblad!$K$44)^(BD$56-Voorblad!$F$41)</f>
        <v>0</v>
      </c>
      <c r="BE86" s="9">
        <f>FF86*($Q86*$S86)/(1+Voorblad!$K$44)^(BE$56-Voorblad!$F$41)</f>
        <v>0</v>
      </c>
      <c r="BF86" s="9">
        <f>FG86*($Q86*$S86)/(1+Voorblad!$K$44)^(BF$56-Voorblad!$F$41)</f>
        <v>0</v>
      </c>
      <c r="BG86" s="9">
        <f>FH86*($Q86*$S86)/(1+Voorblad!$K$44)^(BG$56-Voorblad!$F$41)</f>
        <v>0</v>
      </c>
      <c r="BH86" s="9">
        <f>FI86*($Q86*$S86)/(1+Voorblad!$K$44)^(BH$56-Voorblad!$F$41)</f>
        <v>0</v>
      </c>
      <c r="BI86" s="9">
        <f>FJ86*($Q86*$S86)/(1+Voorblad!$K$44)^(BI$56-Voorblad!$F$41)</f>
        <v>0</v>
      </c>
      <c r="BJ86" s="9">
        <f>FK86*($Q86*$S86)/(1+Voorblad!$K$44)^(BJ$56-Voorblad!$F$41)</f>
        <v>0</v>
      </c>
      <c r="BK86" s="9">
        <f>FL86*($Q86*$S86)/(1+Voorblad!$K$44)^(BK$56-Voorblad!$F$41)</f>
        <v>0</v>
      </c>
      <c r="BL86" s="9">
        <f>FM86*($Q86*$S86)/(1+Voorblad!$K$44)^(BL$56-Voorblad!$F$41)</f>
        <v>0</v>
      </c>
      <c r="BM86" s="9">
        <f>FN86*($Q86*$S86)/(1+Voorblad!$K$44)^(BM$56-Voorblad!$F$41)</f>
        <v>0</v>
      </c>
      <c r="BN86" s="9">
        <f>FO86*($Q86*$S86)/(1+Voorblad!$K$44)^(BN$56-Voorblad!$F$41)</f>
        <v>0</v>
      </c>
      <c r="BO86" s="9">
        <f>FP86*($Q86*$S86)/(1+Voorblad!$K$44)^(BO$56-Voorblad!$F$41)</f>
        <v>0</v>
      </c>
      <c r="BP86" s="9">
        <f>FQ86*($Q86*$S86)/(1+Voorblad!$K$44)^(BP$56-Voorblad!$F$41)</f>
        <v>0</v>
      </c>
      <c r="BQ86" s="9">
        <f>FR86*($Q86*$S86)/(1+Voorblad!$K$44)^(BQ$56-Voorblad!$F$41)</f>
        <v>0</v>
      </c>
      <c r="BR86" s="9">
        <f>FS86*($Q86*$S86)/(1+Voorblad!$K$44)^(BR$56-Voorblad!$F$41)</f>
        <v>0</v>
      </c>
      <c r="BS86" s="9">
        <f>FT86*($Q86*$S86)/(1+Voorblad!$K$44)^(BS$56-Voorblad!$F$41)</f>
        <v>0</v>
      </c>
      <c r="BT86" s="9">
        <f>FU86*($Q86*$S86)/(1+Voorblad!$K$44)^(BT$56-Voorblad!$F$41)</f>
        <v>0</v>
      </c>
      <c r="BU86" s="9">
        <f>FV86*($Q86*$S86)/(1+Voorblad!$K$44)^(BU$56-Voorblad!$F$41)</f>
        <v>0</v>
      </c>
      <c r="BV86" s="9">
        <f>FW86*($Q86*$S86)/(1+Voorblad!$K$44)^(BV$56-Voorblad!$F$41)</f>
        <v>0</v>
      </c>
      <c r="BW86" s="9">
        <f>FX86*($Q86*$S86)/(1+Voorblad!$K$44)^(BW$56-Voorblad!$F$41)</f>
        <v>0</v>
      </c>
      <c r="BX86" s="9">
        <f>FY86*($Q86*$S86)/(1+Voorblad!$K$44)^(BX$56-Voorblad!$F$41)</f>
        <v>0</v>
      </c>
      <c r="BY86" s="9">
        <f>FZ86*($Q86*$S86)/(1+Voorblad!$K$44)^(BY$56-Voorblad!$F$41)</f>
        <v>0</v>
      </c>
      <c r="BZ86" s="9">
        <f>GA86*($Q86*$S86)/(1+Voorblad!$K$44)^(BZ$56-Voorblad!$F$41)</f>
        <v>0</v>
      </c>
      <c r="CA86" s="9">
        <f>GB86*($Q86*$S86)/(1+Voorblad!$K$44)^(CA$56-Voorblad!$F$41)</f>
        <v>0</v>
      </c>
      <c r="CB86" s="9">
        <f>GC86*($Q86*$S86)/(1+Voorblad!$K$44)^(CB$56-Voorblad!$F$41)</f>
        <v>0</v>
      </c>
      <c r="CC86" s="9">
        <f>GD86*($Q86*$S86)/(1+Voorblad!$K$44)^(CC$56-Voorblad!$F$41)</f>
        <v>0</v>
      </c>
      <c r="CD86" s="9">
        <f>GE86*($Q86*$S86)/(1+Voorblad!$K$44)^(CD$56-Voorblad!$F$41)</f>
        <v>0</v>
      </c>
      <c r="CE86" s="9">
        <f>GF86*($Q86*$S86)/(1+Voorblad!$K$44)^(CE$56-Voorblad!$F$41)</f>
        <v>0</v>
      </c>
      <c r="CF86" s="9">
        <f>GG86*($Q86*$S86)/(1+Voorblad!$K$44)^(CF$56-Voorblad!$F$41)</f>
        <v>0</v>
      </c>
      <c r="CG86" s="9">
        <f>GH86*($Q86*$S86)/(1+Voorblad!$K$44)^(CG$56-Voorblad!$F$41)</f>
        <v>0</v>
      </c>
      <c r="CH86" s="9">
        <f>GI86*($Q86*$S86)/(1+Voorblad!$K$44)^(CH$56-Voorblad!$F$41)</f>
        <v>0</v>
      </c>
      <c r="CI86" s="9">
        <f>GJ86*($Q86*$S86)/(1+Voorblad!$K$44)^(CI$56-Voorblad!$F$41)</f>
        <v>0</v>
      </c>
      <c r="CJ86" s="9">
        <f>GK86*($Q86*$S86)/(1+Voorblad!$K$44)^(CJ$56-Voorblad!$F$41)</f>
        <v>0</v>
      </c>
      <c r="CK86" s="9">
        <f>GL86*($Q86*$S86)/(1+Voorblad!$K$44)^(CK$56-Voorblad!$F$41)</f>
        <v>0</v>
      </c>
      <c r="CL86" s="9">
        <f>GM86*($Q86*$S86)/(1+Voorblad!$K$44)^(CL$56-Voorblad!$F$41)</f>
        <v>0</v>
      </c>
      <c r="CM86" s="9">
        <f>GN86*($Q86*$S86)/(1+Voorblad!$K$44)^(CM$56-Voorblad!$F$41)</f>
        <v>0</v>
      </c>
      <c r="CN86" s="9">
        <f>GO86*($Q86*$S86)/(1+Voorblad!$K$44)^(CN$56-Voorblad!$F$41)</f>
        <v>0</v>
      </c>
      <c r="CO86" s="9">
        <f>GP86*($Q86*$S86)/(1+Voorblad!$K$44)^(CO$56-Voorblad!$F$41)</f>
        <v>0</v>
      </c>
      <c r="CP86" s="9">
        <f>GQ86*($Q86*$S86)/(1+Voorblad!$K$44)^(CP$56-Voorblad!$F$41)</f>
        <v>0</v>
      </c>
      <c r="CQ86" s="9">
        <f>GR86*($Q86*$S86)/(1+Voorblad!$K$44)^(CQ$56-Voorblad!$F$41)</f>
        <v>0</v>
      </c>
      <c r="CR86" s="9">
        <f>GS86*($Q86*$S86)/(1+Voorblad!$K$44)^(CR$56-Voorblad!$F$41)</f>
        <v>0</v>
      </c>
      <c r="CS86" s="9">
        <f>GT86*($Q86*$S86)/(1+Voorblad!$K$44)^(CS$56-Voorblad!$F$41)</f>
        <v>0</v>
      </c>
      <c r="CT86" s="9">
        <f>GU86*($Q86*$S86)/(1+Voorblad!$K$44)^(CT$56-Voorblad!$F$41)</f>
        <v>0</v>
      </c>
      <c r="CU86" s="9">
        <f>GV86*($Q86*$S86)/(1+Voorblad!$K$44)^(CU$56-Voorblad!$F$41)</f>
        <v>0</v>
      </c>
      <c r="CV86" s="9">
        <f>GW86*($Q86*$S86)/(1+Voorblad!$K$44)^(CV$56-Voorblad!$F$41)</f>
        <v>0</v>
      </c>
      <c r="CW86" s="9">
        <f>GX86*($Q86*$S86)/(1+Voorblad!$K$44)^(CW$56-Voorblad!$F$41)</f>
        <v>0</v>
      </c>
      <c r="CX86" s="9">
        <f>GY86*($Q86*$S86)/(1+Voorblad!$K$44)^(CX$56-Voorblad!$F$41)</f>
        <v>0</v>
      </c>
      <c r="CY86" s="9">
        <f>GZ86*($Q86*$S86)/(1+Voorblad!$K$44)^(CY$56-Voorblad!$F$41)</f>
        <v>0</v>
      </c>
      <c r="CZ86" s="9">
        <f>HA86*($Q86*$S86)/(1+Voorblad!$K$44)^(CZ$56-Voorblad!$F$41)</f>
        <v>0</v>
      </c>
      <c r="DA86" s="9">
        <f>HB86*($Q86*$S86)/(1+Voorblad!$K$44)^(DA$56-Voorblad!$F$41)</f>
        <v>0</v>
      </c>
      <c r="DB86" s="9">
        <f>HC86*($Q86*$S86)/(1+Voorblad!$K$44)^(DB$56-Voorblad!$F$41)</f>
        <v>0</v>
      </c>
      <c r="DC86" s="9">
        <f>HD86*($Q86*$S86)/(1+Voorblad!$K$44)^(DC$56-Voorblad!$F$41)</f>
        <v>0</v>
      </c>
      <c r="DD86" s="9">
        <f>HE86*($Q86*$S86)/(1+Voorblad!$K$44)^(DD$56-Voorblad!$F$41)</f>
        <v>0</v>
      </c>
      <c r="DE86" s="9">
        <f>HF86*($Q86*$S86)/(1+Voorblad!$K$44)^(DE$56-Voorblad!$F$41)</f>
        <v>0</v>
      </c>
      <c r="DF86" s="9">
        <f>HG86*($Q86*$S86)/(1+Voorblad!$K$44)^(DF$56-Voorblad!$F$41)</f>
        <v>0</v>
      </c>
      <c r="DG86" s="9">
        <f>HH86*($Q86*$S86)/(1+Voorblad!$K$44)^(DG$56-Voorblad!$F$41)</f>
        <v>0</v>
      </c>
      <c r="DH86" s="9">
        <f>HI86*($Q86*$S86)/(1+Voorblad!$K$44)^(DH$56-Voorblad!$F$41)</f>
        <v>0</v>
      </c>
      <c r="DI86" s="9">
        <f>HJ86*($Q86*$S86)/(1+Voorblad!$K$44)^(DI$56-Voorblad!$F$41)</f>
        <v>0</v>
      </c>
      <c r="DJ86" s="9">
        <f>HK86*($Q86*$S86)/(1+Voorblad!$K$44)^(DJ$56-Voorblad!$F$41)</f>
        <v>0</v>
      </c>
      <c r="DK86" s="9">
        <f>HL86*($Q86*$S86)/(1+Voorblad!$K$44)^(DK$56-Voorblad!$F$41)</f>
        <v>0</v>
      </c>
      <c r="DL86" s="9">
        <f>HM86*($Q86*$S86)/(1+Voorblad!$K$44)^(DL$56-Voorblad!$F$41)</f>
        <v>0</v>
      </c>
      <c r="DM86" s="9">
        <f>HN86*($Q86*$S86)/(1+Voorblad!$K$44)^(DM$56-Voorblad!$F$41)</f>
        <v>0</v>
      </c>
      <c r="DN86" s="9">
        <f>HO86*($Q86*$S86)/(1+Voorblad!$K$44)^(DN$56-Voorblad!$F$41)</f>
        <v>0</v>
      </c>
      <c r="DO86" s="9">
        <f>HP86*($Q86*$S86)/(1+Voorblad!$K$44)^(DO$56-Voorblad!$F$41)</f>
        <v>0</v>
      </c>
      <c r="DP86" s="9">
        <f>HQ86*($Q86*$S86)/(1+Voorblad!$K$44)^(DP$56-Voorblad!$F$41)</f>
        <v>0</v>
      </c>
      <c r="DQ86" s="9">
        <f>HR86*($Q86*$S86)/(1+Voorblad!$K$44)^(DQ$56-Voorblad!$F$41)</f>
        <v>0</v>
      </c>
      <c r="DR86" s="9">
        <f>HS86*($Q86*$S86)/(1+Voorblad!$K$44)^(DR$56-Voorblad!$F$41)</f>
        <v>0</v>
      </c>
      <c r="DS86" s="9">
        <f>HT86*($Q86*$S86)/(1+Voorblad!$K$44)^(DS$56-Voorblad!$F$41)</f>
        <v>0</v>
      </c>
      <c r="DT86" s="9">
        <f>HU86*($Q86*$S86)/(1+Voorblad!$K$44)^(DT$56-Voorblad!$F$41)</f>
        <v>0</v>
      </c>
      <c r="DU86" s="9">
        <f>HV86*($Q86*$S86)/(1+Voorblad!$K$44)^(DU$56-Voorblad!$F$41)</f>
        <v>0</v>
      </c>
      <c r="DV86" s="9">
        <f>HW86*($Q86*$S86)/(1+Voorblad!$K$44)^(DV$56-Voorblad!$F$41)</f>
        <v>0</v>
      </c>
      <c r="DW86" s="9">
        <f>HX86*($Q86*$S86)/(1+Voorblad!$K$44)^(DW$56-Voorblad!$F$41)</f>
        <v>0</v>
      </c>
      <c r="DX86" s="9">
        <f>HY86*($Q86*$S86)/(1+Voorblad!$K$44)^(DX$56-Voorblad!$F$41)</f>
        <v>0</v>
      </c>
      <c r="DY86" s="9">
        <f>HZ86*($Q86*$S86)/(1+Voorblad!$K$44)^(DY$56-Voorblad!$F$41)</f>
        <v>0</v>
      </c>
      <c r="DZ86" s="9">
        <f>IA86*($Q86*$S86)/(1+Voorblad!$K$44)^(DZ$56-Voorblad!$F$41)</f>
        <v>0</v>
      </c>
      <c r="EA86" s="9">
        <f>IB86*($Q86*$S86)/(1+Voorblad!$K$44)^(EA$56-Voorblad!$F$41)</f>
        <v>0</v>
      </c>
      <c r="EB86" s="9">
        <f>IC86*($Q86*$S86)/(1+Voorblad!$K$44)^(EB$56-Voorblad!$F$41)</f>
        <v>0</v>
      </c>
      <c r="EE86" s="8">
        <v>0</v>
      </c>
      <c r="EF86" s="8">
        <f>IF(EF$56-Voorblad!$F$41&gt;Voorblad!$K$41,0,IF($U86=0,0,IF($U86&lt;1,1/$U86,IF((EF$56-Voorblad!$F$41)/$U86-SUM($EE86:EE86)=1,1,0))))</f>
        <v>0</v>
      </c>
      <c r="EG86" s="8">
        <f>IF(EG$56-Voorblad!$F$41&gt;Voorblad!$K$41,0,IF($U86=0,0,IF($U86&lt;1,1/$U86,IF((EG$56-Voorblad!$F$41)/$U86-SUM($EE86:EF86)=1,1,0))))</f>
        <v>0</v>
      </c>
      <c r="EH86" s="8">
        <f>IF(EH$56-Voorblad!$F$41&gt;Voorblad!$K$41,0,IF($U86=0,0,IF($U86&lt;1,1/$U86,IF((EH$56-Voorblad!$F$41)/$U86-SUM($EE86:EG86)=1,1,0))))</f>
        <v>0</v>
      </c>
      <c r="EI86" s="8">
        <f>IF(EI$56-Voorblad!$F$41&gt;Voorblad!$K$41,0,IF($U86=0,0,IF($U86&lt;1,1/$U86,IF((EI$56-Voorblad!$F$41)/$U86-SUM($EE86:EH86)=1,1,0))))</f>
        <v>0</v>
      </c>
      <c r="EJ86" s="8">
        <f>IF(EJ$56-Voorblad!$F$41&gt;Voorblad!$K$41,0,IF($U86=0,0,IF($U86&lt;1,1/$U86,IF((EJ$56-Voorblad!$F$41)/$U86-SUM($EE86:EI86)=1,1,0))))</f>
        <v>0</v>
      </c>
      <c r="EK86" s="8">
        <f>IF(EK$56-Voorblad!$F$41&gt;Voorblad!$K$41,0,IF($U86=0,0,IF($U86&lt;1,1/$U86,IF((EK$56-Voorblad!$F$41)/$U86-SUM($EE86:EJ86)=1,1,0))))</f>
        <v>0</v>
      </c>
      <c r="EL86" s="8">
        <f>IF(EL$56-Voorblad!$F$41&gt;Voorblad!$K$41,0,IF($U86=0,0,IF($U86&lt;1,1/$U86,IF((EL$56-Voorblad!$F$41)/$U86-SUM($EE86:EK86)=1,1,0))))</f>
        <v>0</v>
      </c>
      <c r="EM86" s="8">
        <f>IF(EM$56-Voorblad!$F$41&gt;Voorblad!$K$41,0,IF($U86=0,0,IF($U86&lt;1,1/$U86,IF((EM$56-Voorblad!$F$41)/$U86-SUM($EE86:EL86)=1,1,0))))</f>
        <v>0</v>
      </c>
      <c r="EN86" s="8">
        <f>IF(EN$56-Voorblad!$F$41&gt;Voorblad!$K$41,0,IF($U86=0,0,IF($U86&lt;1,1/$U86,IF((EN$56-Voorblad!$F$41)/$U86-SUM($EE86:EM86)=1,1,0))))</f>
        <v>0</v>
      </c>
      <c r="EO86" s="8">
        <f>IF(EO$56-Voorblad!$F$41&gt;Voorblad!$K$41,0,IF($U86=0,0,IF($U86&lt;1,1/$U86,IF((EO$56-Voorblad!$F$41)/$U86-SUM($EE86:EN86)=1,1,0))))</f>
        <v>0</v>
      </c>
      <c r="EP86" s="8">
        <f>IF(EP$56-Voorblad!$F$41&gt;Voorblad!$K$41,0,IF($U86=0,0,IF($U86&lt;1,1/$U86,IF((EP$56-Voorblad!$F$41)/$U86-SUM($EE86:EO86)=1,1,0))))</f>
        <v>0</v>
      </c>
      <c r="EQ86" s="8">
        <f>IF(EQ$56-Voorblad!$F$41&gt;Voorblad!$K$41,0,IF($U86=0,0,IF($U86&lt;1,1/$U86,IF((EQ$56-Voorblad!$F$41)/$U86-SUM($EE86:EP86)=1,1,0))))</f>
        <v>0</v>
      </c>
      <c r="ER86" s="8">
        <f>IF(ER$56-Voorblad!$F$41&gt;Voorblad!$K$41,0,IF($U86=0,0,IF($U86&lt;1,1/$U86,IF((ER$56-Voorblad!$F$41)/$U86-SUM($EE86:EQ86)=1,1,0))))</f>
        <v>0</v>
      </c>
      <c r="ES86" s="8">
        <f>IF(ES$56-Voorblad!$F$41&gt;Voorblad!$K$41,0,IF($U86=0,0,IF($U86&lt;1,1/$U86,IF((ES$56-Voorblad!$F$41)/$U86-SUM($EE86:ER86)=1,1,0))))</f>
        <v>0</v>
      </c>
      <c r="ET86" s="8">
        <f>IF(ET$56-Voorblad!$F$41&gt;Voorblad!$K$41,0,IF($U86=0,0,IF($U86&lt;1,1/$U86,IF((ET$56-Voorblad!$F$41)/$U86-SUM($EE86:ES86)=1,1,0))))</f>
        <v>0</v>
      </c>
      <c r="EU86" s="8">
        <f>IF(EU$56-Voorblad!$F$41&gt;Voorblad!$K$41,0,IF($U86=0,0,IF($U86&lt;1,1/$U86,IF((EU$56-Voorblad!$F$41)/$U86-SUM($EE86:ET86)=1,1,0))))</f>
        <v>0</v>
      </c>
      <c r="EV86" s="8">
        <f>IF(EV$56-Voorblad!$F$41&gt;Voorblad!$K$41,0,IF($U86=0,0,IF($U86&lt;1,1/$U86,IF((EV$56-Voorblad!$F$41)/$U86-SUM($EE86:EU86)=1,1,0))))</f>
        <v>0</v>
      </c>
      <c r="EW86" s="8">
        <f>IF(EW$56-Voorblad!$F$41&gt;Voorblad!$K$41,0,IF($U86=0,0,IF($U86&lt;1,1/$U86,IF((EW$56-Voorblad!$F$41)/$U86-SUM($EE86:EV86)=1,1,0))))</f>
        <v>0</v>
      </c>
      <c r="EX86" s="8">
        <f>IF(EX$56-Voorblad!$F$41&gt;Voorblad!$K$41,0,IF($U86=0,0,IF($U86&lt;1,1/$U86,IF((EX$56-Voorblad!$F$41)/$U86-SUM($EE86:EW86)=1,1,0))))</f>
        <v>0</v>
      </c>
      <c r="EY86" s="8">
        <f>IF(EY$56-Voorblad!$F$41&gt;Voorblad!$K$41,0,IF($U86=0,0,IF($U86&lt;1,1/$U86,IF((EY$56-Voorblad!$F$41)/$U86-SUM($EE86:EX86)=1,1,0))))</f>
        <v>0</v>
      </c>
      <c r="EZ86" s="8">
        <f>IF(EZ$56-Voorblad!$F$41&gt;Voorblad!$K$41,0,IF($U86=0,0,IF($U86&lt;1,1/$U86,IF((EZ$56-Voorblad!$F$41)/$U86-SUM($EE86:EY86)=1,1,0))))</f>
        <v>0</v>
      </c>
      <c r="FA86" s="8">
        <f>IF(FA$56-Voorblad!$F$41&gt;Voorblad!$K$41,0,IF($U86=0,0,IF($U86&lt;1,1/$U86,IF((FA$56-Voorblad!$F$41)/$U86-SUM($EE86:EZ86)=1,1,0))))</f>
        <v>0</v>
      </c>
      <c r="FB86" s="8">
        <f>IF(FB$56-Voorblad!$F$41&gt;Voorblad!$K$41,0,IF($U86=0,0,IF($U86&lt;1,1/$U86,IF((FB$56-Voorblad!$F$41)/$U86-SUM($EE86:FA86)=1,1,0))))</f>
        <v>0</v>
      </c>
      <c r="FC86" s="8">
        <f>IF(FC$56-Voorblad!$F$41&gt;Voorblad!$K$41,0,IF($U86=0,0,IF($U86&lt;1,1/$U86,IF((FC$56-Voorblad!$F$41)/$U86-SUM($EE86:FB86)=1,1,0))))</f>
        <v>0</v>
      </c>
      <c r="FD86" s="8">
        <f>IF(FD$56-Voorblad!$F$41&gt;Voorblad!$K$41,0,IF($U86=0,0,IF($U86&lt;1,1/$U86,IF((FD$56-Voorblad!$F$41)/$U86-SUM($EE86:FC86)=1,1,0))))</f>
        <v>0</v>
      </c>
      <c r="FE86" s="8">
        <f>IF(FE$56-Voorblad!$F$41&gt;Voorblad!$K$41,0,IF($U86=0,0,IF($U86&lt;1,1/$U86,IF((FE$56-Voorblad!$F$41)/$U86-SUM($EE86:FD86)=1,1,0))))</f>
        <v>0</v>
      </c>
      <c r="FF86" s="8">
        <f>IF(FF$56-Voorblad!$F$41&gt;Voorblad!$K$41,0,IF($U86=0,0,IF($U86&lt;1,1/$U86,IF((FF$56-Voorblad!$F$41)/$U86-SUM($EE86:FE86)=1,1,0))))</f>
        <v>0</v>
      </c>
      <c r="FG86" s="8">
        <f>IF(FG$56-Voorblad!$F$41&gt;Voorblad!$K$41,0,IF($U86=0,0,IF($U86&lt;1,1/$U86,IF((FG$56-Voorblad!$F$41)/$U86-SUM($EE86:FF86)=1,1,0))))</f>
        <v>0</v>
      </c>
      <c r="FH86" s="8">
        <f>IF(FH$56-Voorblad!$F$41&gt;Voorblad!$K$41,0,IF($U86=0,0,IF($U86&lt;1,1/$U86,IF((FH$56-Voorblad!$F$41)/$U86-SUM($EE86:FG86)=1,1,0))))</f>
        <v>0</v>
      </c>
      <c r="FI86" s="8">
        <f>IF(FI$56-Voorblad!$F$41&gt;Voorblad!$K$41,0,IF($U86=0,0,IF($U86&lt;1,1/$U86,IF((FI$56-Voorblad!$F$41)/$U86-SUM($EE86:FH86)=1,1,0))))</f>
        <v>0</v>
      </c>
      <c r="FJ86" s="8">
        <f>IF(FJ$56-Voorblad!$F$41&gt;Voorblad!$K$41,0,IF($U86=0,0,IF($U86&lt;1,1/$U86,IF((FJ$56-Voorblad!$F$41)/$U86-SUM($EE86:FI86)=1,1,0))))</f>
        <v>0</v>
      </c>
      <c r="FK86" s="8">
        <f>IF(FK$56-Voorblad!$F$41&gt;Voorblad!$K$41,0,IF($U86=0,0,IF($U86&lt;1,1/$U86,IF((FK$56-Voorblad!$F$41)/$U86-SUM($EE86:FJ86)=1,1,0))))</f>
        <v>0</v>
      </c>
      <c r="FL86" s="8">
        <f>IF(FL$56-Voorblad!$F$41&gt;Voorblad!$K$41,0,IF($U86=0,0,IF($U86&lt;1,1/$U86,IF((FL$56-Voorblad!$F$41)/$U86-SUM($EE86:FK86)=1,1,0))))</f>
        <v>0</v>
      </c>
      <c r="FM86" s="8">
        <f>IF(FM$56-Voorblad!$F$41&gt;Voorblad!$K$41,0,IF($U86=0,0,IF($U86&lt;1,1/$U86,IF((FM$56-Voorblad!$F$41)/$U86-SUM($EE86:FL86)=1,1,0))))</f>
        <v>0</v>
      </c>
      <c r="FN86" s="8">
        <f>IF(FN$56-Voorblad!$F$41&gt;Voorblad!$K$41,0,IF($U86=0,0,IF($U86&lt;1,1/$U86,IF((FN$56-Voorblad!$F$41)/$U86-SUM($EE86:FM86)=1,1,0))))</f>
        <v>0</v>
      </c>
      <c r="FO86" s="8">
        <f>IF(FO$56-Voorblad!$F$41&gt;Voorblad!$K$41,0,IF($U86=0,0,IF($U86&lt;1,1/$U86,IF((FO$56-Voorblad!$F$41)/$U86-SUM($EE86:FN86)=1,1,0))))</f>
        <v>0</v>
      </c>
      <c r="FP86" s="8">
        <f>IF(FP$56-Voorblad!$F$41&gt;Voorblad!$K$41,0,IF($U86=0,0,IF($U86&lt;1,1/$U86,IF((FP$56-Voorblad!$F$41)/$U86-SUM($EE86:FO86)=1,1,0))))</f>
        <v>0</v>
      </c>
      <c r="FQ86" s="8">
        <f>IF(FQ$56-Voorblad!$F$41&gt;Voorblad!$K$41,0,IF($U86=0,0,IF($U86&lt;1,1/$U86,IF((FQ$56-Voorblad!$F$41)/$U86-SUM($EE86:FP86)=1,1,0))))</f>
        <v>0</v>
      </c>
      <c r="FR86" s="8">
        <f>IF(FR$56-Voorblad!$F$41&gt;Voorblad!$K$41,0,IF($U86=0,0,IF($U86&lt;1,1/$U86,IF((FR$56-Voorblad!$F$41)/$U86-SUM($EE86:FQ86)=1,1,0))))</f>
        <v>0</v>
      </c>
      <c r="FS86" s="8">
        <f>IF(FS$56-Voorblad!$F$41&gt;Voorblad!$K$41,0,IF($U86=0,0,IF($U86&lt;1,1/$U86,IF((FS$56-Voorblad!$F$41)/$U86-SUM($EE86:FR86)=1,1,0))))</f>
        <v>0</v>
      </c>
      <c r="FT86" s="8">
        <f>IF(FT$56-Voorblad!$F$41&gt;Voorblad!$K$41,0,IF($U86=0,0,IF($U86&lt;1,1/$U86,IF((FT$56-Voorblad!$F$41)/$U86-SUM($EE86:FS86)=1,1,0))))</f>
        <v>0</v>
      </c>
      <c r="FU86" s="8">
        <f>IF(FU$56-Voorblad!$F$41&gt;Voorblad!$K$41,0,IF($U86=0,0,IF($U86&lt;1,1/$U86,IF((FU$56-Voorblad!$F$41)/$U86-SUM($EE86:FT86)=1,1,0))))</f>
        <v>0</v>
      </c>
      <c r="FV86" s="8">
        <f>IF(FV$56-Voorblad!$F$41&gt;Voorblad!$K$41,0,IF($U86=0,0,IF($U86&lt;1,1/$U86,IF((FV$56-Voorblad!$F$41)/$U86-SUM($EE86:FU86)=1,1,0))))</f>
        <v>0</v>
      </c>
      <c r="FW86" s="8">
        <f>IF(FW$56-Voorblad!$F$41&gt;Voorblad!$K$41,0,IF($U86=0,0,IF($U86&lt;1,1/$U86,IF((FW$56-Voorblad!$F$41)/$U86-SUM($EE86:FV86)=1,1,0))))</f>
        <v>0</v>
      </c>
      <c r="FX86" s="8">
        <f>IF(FX$56-Voorblad!$F$41&gt;Voorblad!$K$41,0,IF($U86=0,0,IF($U86&lt;1,1/$U86,IF((FX$56-Voorblad!$F$41)/$U86-SUM($EE86:FW86)=1,1,0))))</f>
        <v>0</v>
      </c>
      <c r="FY86" s="8">
        <f>IF(FY$56-Voorblad!$F$41&gt;Voorblad!$K$41,0,IF($U86=0,0,IF($U86&lt;1,1/$U86,IF((FY$56-Voorblad!$F$41)/$U86-SUM($EE86:FX86)=1,1,0))))</f>
        <v>0</v>
      </c>
      <c r="FZ86" s="8">
        <f>IF(FZ$56-Voorblad!$F$41&gt;Voorblad!$K$41,0,IF($U86=0,0,IF($U86&lt;1,1/$U86,IF((FZ$56-Voorblad!$F$41)/$U86-SUM($EE86:FY86)=1,1,0))))</f>
        <v>0</v>
      </c>
      <c r="GA86" s="8">
        <f>IF(GA$56-Voorblad!$F$41&gt;Voorblad!$K$41,0,IF($U86=0,0,IF($U86&lt;1,1/$U86,IF((GA$56-Voorblad!$F$41)/$U86-SUM($EE86:FZ86)=1,1,0))))</f>
        <v>0</v>
      </c>
      <c r="GB86" s="8">
        <f>IF(GB$56-Voorblad!$F$41&gt;Voorblad!$K$41,0,IF($U86=0,0,IF($U86&lt;1,1/$U86,IF((GB$56-Voorblad!$F$41)/$U86-SUM($EE86:GA86)=1,1,0))))</f>
        <v>0</v>
      </c>
      <c r="GC86" s="8">
        <f>IF(GC$56-Voorblad!$F$41&gt;Voorblad!$K$41,0,IF($U86=0,0,IF($U86&lt;1,1/$U86,IF((GC$56-Voorblad!$F$41)/$U86-SUM($EE86:GB86)=1,1,0))))</f>
        <v>0</v>
      </c>
      <c r="GD86" s="8">
        <f>IF(GD$56-Voorblad!$F$41&gt;Voorblad!$K$41,0,IF($U86=0,0,IF($U86&lt;1,1/$U86,IF((GD$56-Voorblad!$F$41)/$U86-SUM($EE86:GC86)=1,1,0))))</f>
        <v>1</v>
      </c>
      <c r="GE86" s="8">
        <f>IF(GE$56-Voorblad!$F$41&gt;Voorblad!$K$41,0,IF($U86=0,0,IF($U86&lt;1,1/$U86,IF((GE$56-Voorblad!$F$41)/$U86-SUM($EE86:GD86)=1,1,0))))</f>
        <v>0</v>
      </c>
      <c r="GF86" s="8">
        <f>IF(GF$56-Voorblad!$F$41&gt;Voorblad!$K$41,0,IF($U86=0,0,IF($U86&lt;1,1/$U86,IF((GF$56-Voorblad!$F$41)/$U86-SUM($EE86:GE86)=1,1,0))))</f>
        <v>0</v>
      </c>
      <c r="GG86" s="8">
        <f>IF(GG$56-Voorblad!$F$41&gt;Voorblad!$K$41,0,IF($U86=0,0,IF($U86&lt;1,1/$U86,IF((GG$56-Voorblad!$F$41)/$U86-SUM($EE86:GF86)=1,1,0))))</f>
        <v>0</v>
      </c>
      <c r="GH86" s="8">
        <f>IF(GH$56-Voorblad!$F$41&gt;Voorblad!$K$41,0,IF($U86=0,0,IF($U86&lt;1,1/$U86,IF((GH$56-Voorblad!$F$41)/$U86-SUM($EE86:GG86)=1,1,0))))</f>
        <v>0</v>
      </c>
      <c r="GI86" s="8">
        <f>IF(GI$56-Voorblad!$F$41&gt;Voorblad!$K$41,0,IF($U86=0,0,IF($U86&lt;1,1/$U86,IF((GI$56-Voorblad!$F$41)/$U86-SUM($EE86:GH86)=1,1,0))))</f>
        <v>0</v>
      </c>
      <c r="GJ86" s="8">
        <f>IF(GJ$56-Voorblad!$F$41&gt;Voorblad!$K$41,0,IF($U86=0,0,IF($U86&lt;1,1/$U86,IF((GJ$56-Voorblad!$F$41)/$U86-SUM($EE86:GI86)=1,1,0))))</f>
        <v>0</v>
      </c>
      <c r="GK86" s="8">
        <f>IF(GK$56-Voorblad!$F$41&gt;Voorblad!$K$41,0,IF($U86=0,0,IF($U86&lt;1,1/$U86,IF((GK$56-Voorblad!$F$41)/$U86-SUM($EE86:GJ86)=1,1,0))))</f>
        <v>0</v>
      </c>
      <c r="GL86" s="8">
        <f>IF(GL$56-Voorblad!$F$41&gt;Voorblad!$K$41,0,IF($U86=0,0,IF($U86&lt;1,1/$U86,IF((GL$56-Voorblad!$F$41)/$U86-SUM($EE86:GK86)=1,1,0))))</f>
        <v>0</v>
      </c>
      <c r="GM86" s="8">
        <f>IF(GM$56-Voorblad!$F$41&gt;Voorblad!$K$41,0,IF($U86=0,0,IF($U86&lt;1,1/$U86,IF((GM$56-Voorblad!$F$41)/$U86-SUM($EE86:GL86)=1,1,0))))</f>
        <v>0</v>
      </c>
      <c r="GN86" s="8">
        <f>IF(GN$56-Voorblad!$F$41&gt;Voorblad!$K$41,0,IF($U86=0,0,IF($U86&lt;1,1/$U86,IF((GN$56-Voorblad!$F$41)/$U86-SUM($EE86:GM86)=1,1,0))))</f>
        <v>0</v>
      </c>
      <c r="GO86" s="8">
        <f>IF(GO$56-Voorblad!$F$41&gt;Voorblad!$K$41,0,IF($U86=0,0,IF($U86&lt;1,1/$U86,IF((GO$56-Voorblad!$F$41)/$U86-SUM($EE86:GN86)=1,1,0))))</f>
        <v>0</v>
      </c>
      <c r="GP86" s="8">
        <f>IF(GP$56-Voorblad!$F$41&gt;Voorblad!$K$41,0,IF($U86=0,0,IF($U86&lt;1,1/$U86,IF((GP$56-Voorblad!$F$41)/$U86-SUM($EE86:GO86)=1,1,0))))</f>
        <v>0</v>
      </c>
      <c r="GQ86" s="8">
        <f>IF(GQ$56-Voorblad!$F$41&gt;Voorblad!$K$41,0,IF($U86=0,0,IF($U86&lt;1,1/$U86,IF((GQ$56-Voorblad!$F$41)/$U86-SUM($EE86:GP86)=1,1,0))))</f>
        <v>0</v>
      </c>
      <c r="GR86" s="8">
        <f>IF(GR$56-Voorblad!$F$41&gt;Voorblad!$K$41,0,IF($U86=0,0,IF($U86&lt;1,1/$U86,IF((GR$56-Voorblad!$F$41)/$U86-SUM($EE86:GQ86)=1,1,0))))</f>
        <v>0</v>
      </c>
      <c r="GS86" s="8">
        <f>IF(GS$56-Voorblad!$F$41&gt;Voorblad!$K$41,0,IF($U86=0,0,IF($U86&lt;1,1/$U86,IF((GS$56-Voorblad!$F$41)/$U86-SUM($EE86:GR86)=1,1,0))))</f>
        <v>0</v>
      </c>
      <c r="GT86" s="8">
        <f>IF(GT$56-Voorblad!$F$41&gt;Voorblad!$K$41,0,IF($U86=0,0,IF($U86&lt;1,1/$U86,IF((GT$56-Voorblad!$F$41)/$U86-SUM($EE86:GS86)=1,1,0))))</f>
        <v>0</v>
      </c>
      <c r="GU86" s="8">
        <f>IF(GU$56-Voorblad!$F$41&gt;Voorblad!$K$41,0,IF($U86=0,0,IF($U86&lt;1,1/$U86,IF((GU$56-Voorblad!$F$41)/$U86-SUM($EE86:GT86)=1,1,0))))</f>
        <v>0</v>
      </c>
      <c r="GV86" s="8">
        <f>IF(GV$56-Voorblad!$F$41&gt;Voorblad!$K$41,0,IF($U86=0,0,IF($U86&lt;1,1/$U86,IF((GV$56-Voorblad!$F$41)/$U86-SUM($EE86:GU86)=1,1,0))))</f>
        <v>0</v>
      </c>
      <c r="GW86" s="8">
        <f>IF(GW$56-Voorblad!$F$41&gt;Voorblad!$K$41,0,IF($U86=0,0,IF($U86&lt;1,1/$U86,IF((GW$56-Voorblad!$F$41)/$U86-SUM($EE86:GV86)=1,1,0))))</f>
        <v>0</v>
      </c>
      <c r="GX86" s="8">
        <f>IF(GX$56-Voorblad!$F$41&gt;Voorblad!$K$41,0,IF($U86=0,0,IF($U86&lt;1,1/$U86,IF((GX$56-Voorblad!$F$41)/$U86-SUM($EE86:GW86)=1,1,0))))</f>
        <v>0</v>
      </c>
      <c r="GY86" s="8">
        <f>IF(GY$56-Voorblad!$F$41&gt;Voorblad!$K$41,0,IF($U86=0,0,IF($U86&lt;1,1/$U86,IF((GY$56-Voorblad!$F$41)/$U86-SUM($EE86:GX86)=1,1,0))))</f>
        <v>0</v>
      </c>
      <c r="GZ86" s="8">
        <f>IF(GZ$56-Voorblad!$F$41&gt;Voorblad!$K$41,0,IF($U86=0,0,IF($U86&lt;1,1/$U86,IF((GZ$56-Voorblad!$F$41)/$U86-SUM($EE86:GY86)=1,1,0))))</f>
        <v>0</v>
      </c>
      <c r="HA86" s="8">
        <f>IF(HA$56-Voorblad!$F$41&gt;Voorblad!$K$41,0,IF($U86=0,0,IF($U86&lt;1,1/$U86,IF((HA$56-Voorblad!$F$41)/$U86-SUM($EE86:GZ86)=1,1,0))))</f>
        <v>0</v>
      </c>
      <c r="HB86" s="8">
        <f>IF(HB$56-Voorblad!$F$41&gt;Voorblad!$K$41,0,IF($U86=0,0,IF($U86&lt;1,1/$U86,IF((HB$56-Voorblad!$F$41)/$U86-SUM($EE86:HA86)=1,1,0))))</f>
        <v>0</v>
      </c>
      <c r="HC86" s="8">
        <f>IF(HC$56-Voorblad!$F$41&gt;Voorblad!$K$41,0,IF($U86=0,0,IF($U86&lt;1,1/$U86,IF((HC$56-Voorblad!$F$41)/$U86-SUM($EE86:HB86)=1,1,0))))</f>
        <v>0</v>
      </c>
      <c r="HD86" s="8">
        <f>IF(HD$56-Voorblad!$F$41&gt;Voorblad!$K$41,0,IF($U86=0,0,IF($U86&lt;1,1/$U86,IF((HD$56-Voorblad!$F$41)/$U86-SUM($EE86:HC86)=1,1,0))))</f>
        <v>0</v>
      </c>
      <c r="HE86" s="8">
        <f>IF(HE$56-Voorblad!$F$41&gt;Voorblad!$K$41,0,IF($U86=0,0,IF($U86&lt;1,1/$U86,IF((HE$56-Voorblad!$F$41)/$U86-SUM($EE86:HD86)=1,1,0))))</f>
        <v>0</v>
      </c>
      <c r="HF86" s="8">
        <f>IF(HF$56-Voorblad!$F$41&gt;Voorblad!$K$41,0,IF($U86=0,0,IF($U86&lt;1,1/$U86,IF((HF$56-Voorblad!$F$41)/$U86-SUM($EE86:HE86)=1,1,0))))</f>
        <v>0</v>
      </c>
      <c r="HG86" s="8">
        <f>IF(HG$56-Voorblad!$F$41&gt;Voorblad!$K$41,0,IF($U86=0,0,IF($U86&lt;1,1/$U86,IF((HG$56-Voorblad!$F$41)/$U86-SUM($EE86:HF86)=1,1,0))))</f>
        <v>0</v>
      </c>
      <c r="HH86" s="8">
        <f>IF(HH$56-Voorblad!$F$41&gt;Voorblad!$K$41,0,IF($U86=0,0,IF($U86&lt;1,1/$U86,IF((HH$56-Voorblad!$F$41)/$U86-SUM($EE86:HG86)=1,1,0))))</f>
        <v>0</v>
      </c>
      <c r="HI86" s="8">
        <f>IF(HI$56-Voorblad!$F$41&gt;Voorblad!$K$41,0,IF($U86=0,0,IF($U86&lt;1,1/$U86,IF((HI$56-Voorblad!$F$41)/$U86-SUM($EE86:HH86)=1,1,0))))</f>
        <v>0</v>
      </c>
      <c r="HJ86" s="8">
        <f>IF(HJ$56-Voorblad!$F$41&gt;Voorblad!$K$41,0,IF($U86=0,0,IF($U86&lt;1,1/$U86,IF((HJ$56-Voorblad!$F$41)/$U86-SUM($EE86:HI86)=1,1,0))))</f>
        <v>0</v>
      </c>
      <c r="HK86" s="8">
        <f>IF(HK$56-Voorblad!$F$41&gt;Voorblad!$K$41,0,IF($U86=0,0,IF($U86&lt;1,1/$U86,IF((HK$56-Voorblad!$F$41)/$U86-SUM($EE86:HJ86)=1,1,0))))</f>
        <v>0</v>
      </c>
      <c r="HL86" s="8">
        <f>IF(HL$56-Voorblad!$F$41&gt;Voorblad!$K$41,0,IF($U86=0,0,IF($U86&lt;1,1/$U86,IF((HL$56-Voorblad!$F$41)/$U86-SUM($EE86:HK86)=1,1,0))))</f>
        <v>0</v>
      </c>
      <c r="HM86" s="8">
        <f>IF(HM$56-Voorblad!$F$41&gt;Voorblad!$K$41,0,IF($U86=0,0,IF($U86&lt;1,1/$U86,IF((HM$56-Voorblad!$F$41)/$U86-SUM($EE86:HL86)=1,1,0))))</f>
        <v>0</v>
      </c>
      <c r="HN86" s="8">
        <f>IF(HN$56-Voorblad!$F$41&gt;Voorblad!$K$41,0,IF($U86=0,0,IF($U86&lt;1,1/$U86,IF((HN$56-Voorblad!$F$41)/$U86-SUM($EE86:HM86)=1,1,0))))</f>
        <v>0</v>
      </c>
      <c r="HO86" s="8">
        <f>IF(HO$56-Voorblad!$F$41&gt;Voorblad!$K$41,0,IF($U86=0,0,IF($U86&lt;1,1/$U86,IF((HO$56-Voorblad!$F$41)/$U86-SUM($EE86:HN86)=1,1,0))))</f>
        <v>0</v>
      </c>
      <c r="HP86" s="8">
        <f>IF(HP$56-Voorblad!$F$41&gt;Voorblad!$K$41,0,IF($U86=0,0,IF($U86&lt;1,1/$U86,IF((HP$56-Voorblad!$F$41)/$U86-SUM($EE86:HO86)=1,1,0))))</f>
        <v>0</v>
      </c>
      <c r="HQ86" s="8">
        <f>IF(HQ$56-Voorblad!$F$41&gt;Voorblad!$K$41,0,IF($U86=0,0,IF($U86&lt;1,1/$U86,IF((HQ$56-Voorblad!$F$41)/$U86-SUM($EE86:HP86)=1,1,0))))</f>
        <v>0</v>
      </c>
      <c r="HR86" s="8">
        <f>IF(HR$56-Voorblad!$F$41&gt;Voorblad!$K$41,0,IF($U86=0,0,IF($U86&lt;1,1/$U86,IF((HR$56-Voorblad!$F$41)/$U86-SUM($EE86:HQ86)=1,1,0))))</f>
        <v>0</v>
      </c>
      <c r="HS86" s="8">
        <f>IF(HS$56-Voorblad!$F$41&gt;Voorblad!$K$41,0,IF($U86=0,0,IF($U86&lt;1,1/$U86,IF((HS$56-Voorblad!$F$41)/$U86-SUM($EE86:HR86)=1,1,0))))</f>
        <v>0</v>
      </c>
      <c r="HT86" s="8">
        <f>IF(HT$56-Voorblad!$F$41&gt;Voorblad!$K$41,0,IF($U86=0,0,IF($U86&lt;1,1/$U86,IF((HT$56-Voorblad!$F$41)/$U86-SUM($EE86:HS86)=1,1,0))))</f>
        <v>0</v>
      </c>
      <c r="HU86" s="8">
        <f>IF(HU$56-Voorblad!$F$41&gt;Voorblad!$K$41,0,IF($U86=0,0,IF($U86&lt;1,1/$U86,IF((HU$56-Voorblad!$F$41)/$U86-SUM($EE86:HT86)=1,1,0))))</f>
        <v>0</v>
      </c>
      <c r="HV86" s="8">
        <f>IF(HV$56-Voorblad!$F$41&gt;Voorblad!$K$41,0,IF($U86=0,0,IF($U86&lt;1,1/$U86,IF((HV$56-Voorblad!$F$41)/$U86-SUM($EE86:HU86)=1,1,0))))</f>
        <v>0</v>
      </c>
      <c r="HW86" s="8">
        <f>IF(HW$56-Voorblad!$F$41&gt;Voorblad!$K$41,0,IF($U86=0,0,IF($U86&lt;1,1/$U86,IF((HW$56-Voorblad!$F$41)/$U86-SUM($EE86:HV86)=1,1,0))))</f>
        <v>0</v>
      </c>
      <c r="HX86" s="8">
        <f>IF(HX$56-Voorblad!$F$41&gt;Voorblad!$K$41,0,IF($U86=0,0,IF($U86&lt;1,1/$U86,IF((HX$56-Voorblad!$F$41)/$U86-SUM($EE86:HW86)=1,1,0))))</f>
        <v>0</v>
      </c>
      <c r="HY86" s="8">
        <f>IF(HY$56-Voorblad!$F$41&gt;Voorblad!$K$41,0,IF($U86=0,0,IF($U86&lt;1,1/$U86,IF((HY$56-Voorblad!$F$41)/$U86-SUM($EE86:HX86)=1,1,0))))</f>
        <v>0</v>
      </c>
      <c r="HZ86" s="8">
        <f>IF(HZ$56-Voorblad!$F$41&gt;Voorblad!$K$41,0,IF($U86=0,0,IF($U86&lt;1,1/$U86,IF((HZ$56-Voorblad!$F$41)/$U86-SUM($EE86:HY86)=1,1,0))))</f>
        <v>0</v>
      </c>
      <c r="IA86" s="8">
        <f>IF(IA$56-Voorblad!$F$41&gt;Voorblad!$K$41,0,IF($U86=0,0,IF($U86&lt;1,1/$U86,IF((IA$56-Voorblad!$F$41)/$U86-SUM($EE86:HZ86)=1,1,0))))</f>
        <v>0</v>
      </c>
      <c r="IB86" s="8">
        <f>IF(IB$56-Voorblad!$F$41&gt;Voorblad!$K$41,0,IF($U86=0,0,IF($U86&lt;1,1/$U86,IF((IB$56-Voorblad!$F$41)/$U86-SUM($EE86:IA86)=1,1,0))))</f>
        <v>0</v>
      </c>
    </row>
    <row r="87" spans="2:236" ht="12" hidden="1" customHeight="1" outlineLevel="1" x14ac:dyDescent="0.25">
      <c r="B87" s="1">
        <v>1</v>
      </c>
      <c r="F87" s="1" t="s">
        <v>23</v>
      </c>
      <c r="I87" s="1" t="s">
        <v>49</v>
      </c>
      <c r="K87" s="14" t="s">
        <v>160</v>
      </c>
      <c r="N87" s="3"/>
      <c r="P87" s="14" t="s">
        <v>194</v>
      </c>
      <c r="Q87" s="81">
        <v>0</v>
      </c>
      <c r="R87" s="1" t="s">
        <v>34</v>
      </c>
      <c r="S87" s="14">
        <f>$H$10*400</f>
        <v>952</v>
      </c>
      <c r="T87" s="1">
        <f t="shared" si="16"/>
        <v>0</v>
      </c>
      <c r="U87" s="14">
        <v>50</v>
      </c>
      <c r="V87" s="14"/>
      <c r="Y87" s="9">
        <f t="shared" si="18"/>
        <v>0</v>
      </c>
      <c r="Z87" s="82"/>
      <c r="AA87" s="82"/>
      <c r="AC87" s="9">
        <f>$Y87*(Voorblad!$K$44*(1+Voorblad!$K$44)^Voorblad!$K$41)/((1+Voorblad!$K$44)^Voorblad!$K$41-1)</f>
        <v>0</v>
      </c>
      <c r="AE87" s="9">
        <f>EF87*($Q87*$S87)/(1+Voorblad!$K$44)^(AE$56-Voorblad!$F$41)</f>
        <v>0</v>
      </c>
      <c r="AF87" s="9">
        <f>EG87*($Q87*$S87)/(1+Voorblad!$K$44)^(AF$56-Voorblad!$F$41)</f>
        <v>0</v>
      </c>
      <c r="AG87" s="9">
        <f>EH87*($Q87*$S87)/(1+Voorblad!$K$44)^(AG$56-Voorblad!$F$41)</f>
        <v>0</v>
      </c>
      <c r="AH87" s="9">
        <f>EI87*($Q87*$S87)/(1+Voorblad!$K$44)^(AH$56-Voorblad!$F$41)</f>
        <v>0</v>
      </c>
      <c r="AI87" s="9">
        <f>EJ87*($Q87*$S87)/(1+Voorblad!$K$44)^(AI$56-Voorblad!$F$41)</f>
        <v>0</v>
      </c>
      <c r="AJ87" s="9">
        <f>EK87*($Q87*$S87)/(1+Voorblad!$K$44)^(AJ$56-Voorblad!$F$41)</f>
        <v>0</v>
      </c>
      <c r="AK87" s="9">
        <f>EL87*($Q87*$S87)/(1+Voorblad!$K$44)^(AK$56-Voorblad!$F$41)</f>
        <v>0</v>
      </c>
      <c r="AL87" s="9">
        <f>EM87*($Q87*$S87)/(1+Voorblad!$K$44)^(AL$56-Voorblad!$F$41)</f>
        <v>0</v>
      </c>
      <c r="AM87" s="9">
        <f>EN87*($Q87*$S87)/(1+Voorblad!$K$44)^(AM$56-Voorblad!$F$41)</f>
        <v>0</v>
      </c>
      <c r="AN87" s="9">
        <f>EO87*($Q87*$S87)/(1+Voorblad!$K$44)^(AN$56-Voorblad!$F$41)</f>
        <v>0</v>
      </c>
      <c r="AO87" s="9">
        <f>EP87*($Q87*$S87)/(1+Voorblad!$K$44)^(AO$56-Voorblad!$F$41)</f>
        <v>0</v>
      </c>
      <c r="AP87" s="9">
        <f>EQ87*($Q87*$S87)/(1+Voorblad!$K$44)^(AP$56-Voorblad!$F$41)</f>
        <v>0</v>
      </c>
      <c r="AQ87" s="9">
        <f>ER87*($Q87*$S87)/(1+Voorblad!$K$44)^(AQ$56-Voorblad!$F$41)</f>
        <v>0</v>
      </c>
      <c r="AR87" s="9">
        <f>ES87*($Q87*$S87)/(1+Voorblad!$K$44)^(AR$56-Voorblad!$F$41)</f>
        <v>0</v>
      </c>
      <c r="AS87" s="9">
        <f>ET87*($Q87*$S87)/(1+Voorblad!$K$44)^(AS$56-Voorblad!$F$41)</f>
        <v>0</v>
      </c>
      <c r="AT87" s="9">
        <f>EU87*($Q87*$S87)/(1+Voorblad!$K$44)^(AT$56-Voorblad!$F$41)</f>
        <v>0</v>
      </c>
      <c r="AU87" s="9">
        <f>EV87*($Q87*$S87)/(1+Voorblad!$K$44)^(AU$56-Voorblad!$F$41)</f>
        <v>0</v>
      </c>
      <c r="AV87" s="9">
        <f>EW87*($Q87*$S87)/(1+Voorblad!$K$44)^(AV$56-Voorblad!$F$41)</f>
        <v>0</v>
      </c>
      <c r="AW87" s="9">
        <f>EX87*($Q87*$S87)/(1+Voorblad!$K$44)^(AW$56-Voorblad!$F$41)</f>
        <v>0</v>
      </c>
      <c r="AX87" s="9">
        <f>EY87*($Q87*$S87)/(1+Voorblad!$K$44)^(AX$56-Voorblad!$F$41)</f>
        <v>0</v>
      </c>
      <c r="AY87" s="9">
        <f>EZ87*($Q87*$S87)/(1+Voorblad!$K$44)^(AY$56-Voorblad!$F$41)</f>
        <v>0</v>
      </c>
      <c r="AZ87" s="9">
        <f>FA87*($Q87*$S87)/(1+Voorblad!$K$44)^(AZ$56-Voorblad!$F$41)</f>
        <v>0</v>
      </c>
      <c r="BA87" s="9">
        <f>FB87*($Q87*$S87)/(1+Voorblad!$K$44)^(BA$56-Voorblad!$F$41)</f>
        <v>0</v>
      </c>
      <c r="BB87" s="9">
        <f>FC87*($Q87*$S87)/(1+Voorblad!$K$44)^(BB$56-Voorblad!$F$41)</f>
        <v>0</v>
      </c>
      <c r="BC87" s="9">
        <f>FD87*($Q87*$S87)/(1+Voorblad!$K$44)^(BC$56-Voorblad!$F$41)</f>
        <v>0</v>
      </c>
      <c r="BD87" s="9">
        <f>FE87*($Q87*$S87)/(1+Voorblad!$K$44)^(BD$56-Voorblad!$F$41)</f>
        <v>0</v>
      </c>
      <c r="BE87" s="9">
        <f>FF87*($Q87*$S87)/(1+Voorblad!$K$44)^(BE$56-Voorblad!$F$41)</f>
        <v>0</v>
      </c>
      <c r="BF87" s="9">
        <f>FG87*($Q87*$S87)/(1+Voorblad!$K$44)^(BF$56-Voorblad!$F$41)</f>
        <v>0</v>
      </c>
      <c r="BG87" s="9">
        <f>FH87*($Q87*$S87)/(1+Voorblad!$K$44)^(BG$56-Voorblad!$F$41)</f>
        <v>0</v>
      </c>
      <c r="BH87" s="9">
        <f>FI87*($Q87*$S87)/(1+Voorblad!$K$44)^(BH$56-Voorblad!$F$41)</f>
        <v>0</v>
      </c>
      <c r="BI87" s="9">
        <f>FJ87*($Q87*$S87)/(1+Voorblad!$K$44)^(BI$56-Voorblad!$F$41)</f>
        <v>0</v>
      </c>
      <c r="BJ87" s="9">
        <f>FK87*($Q87*$S87)/(1+Voorblad!$K$44)^(BJ$56-Voorblad!$F$41)</f>
        <v>0</v>
      </c>
      <c r="BK87" s="9">
        <f>FL87*($Q87*$S87)/(1+Voorblad!$K$44)^(BK$56-Voorblad!$F$41)</f>
        <v>0</v>
      </c>
      <c r="BL87" s="9">
        <f>FM87*($Q87*$S87)/(1+Voorblad!$K$44)^(BL$56-Voorblad!$F$41)</f>
        <v>0</v>
      </c>
      <c r="BM87" s="9">
        <f>FN87*($Q87*$S87)/(1+Voorblad!$K$44)^(BM$56-Voorblad!$F$41)</f>
        <v>0</v>
      </c>
      <c r="BN87" s="9">
        <f>FO87*($Q87*$S87)/(1+Voorblad!$K$44)^(BN$56-Voorblad!$F$41)</f>
        <v>0</v>
      </c>
      <c r="BO87" s="9">
        <f>FP87*($Q87*$S87)/(1+Voorblad!$K$44)^(BO$56-Voorblad!$F$41)</f>
        <v>0</v>
      </c>
      <c r="BP87" s="9">
        <f>FQ87*($Q87*$S87)/(1+Voorblad!$K$44)^(BP$56-Voorblad!$F$41)</f>
        <v>0</v>
      </c>
      <c r="BQ87" s="9">
        <f>FR87*($Q87*$S87)/(1+Voorblad!$K$44)^(BQ$56-Voorblad!$F$41)</f>
        <v>0</v>
      </c>
      <c r="BR87" s="9">
        <f>FS87*($Q87*$S87)/(1+Voorblad!$K$44)^(BR$56-Voorblad!$F$41)</f>
        <v>0</v>
      </c>
      <c r="BS87" s="9">
        <f>FT87*($Q87*$S87)/(1+Voorblad!$K$44)^(BS$56-Voorblad!$F$41)</f>
        <v>0</v>
      </c>
      <c r="BT87" s="9">
        <f>FU87*($Q87*$S87)/(1+Voorblad!$K$44)^(BT$56-Voorblad!$F$41)</f>
        <v>0</v>
      </c>
      <c r="BU87" s="9">
        <f>FV87*($Q87*$S87)/(1+Voorblad!$K$44)^(BU$56-Voorblad!$F$41)</f>
        <v>0</v>
      </c>
      <c r="BV87" s="9">
        <f>FW87*($Q87*$S87)/(1+Voorblad!$K$44)^(BV$56-Voorblad!$F$41)</f>
        <v>0</v>
      </c>
      <c r="BW87" s="9">
        <f>FX87*($Q87*$S87)/(1+Voorblad!$K$44)^(BW$56-Voorblad!$F$41)</f>
        <v>0</v>
      </c>
      <c r="BX87" s="9">
        <f>FY87*($Q87*$S87)/(1+Voorblad!$K$44)^(BX$56-Voorblad!$F$41)</f>
        <v>0</v>
      </c>
      <c r="BY87" s="9">
        <f>FZ87*($Q87*$S87)/(1+Voorblad!$K$44)^(BY$56-Voorblad!$F$41)</f>
        <v>0</v>
      </c>
      <c r="BZ87" s="9">
        <f>GA87*($Q87*$S87)/(1+Voorblad!$K$44)^(BZ$56-Voorblad!$F$41)</f>
        <v>0</v>
      </c>
      <c r="CA87" s="9">
        <f>GB87*($Q87*$S87)/(1+Voorblad!$K$44)^(CA$56-Voorblad!$F$41)</f>
        <v>0</v>
      </c>
      <c r="CB87" s="9">
        <f>GC87*($Q87*$S87)/(1+Voorblad!$K$44)^(CB$56-Voorblad!$F$41)</f>
        <v>0</v>
      </c>
      <c r="CC87" s="9">
        <f>GD87*($Q87*$S87)/(1+Voorblad!$K$44)^(CC$56-Voorblad!$F$41)</f>
        <v>0</v>
      </c>
      <c r="CD87" s="9">
        <f>GE87*($Q87*$S87)/(1+Voorblad!$K$44)^(CD$56-Voorblad!$F$41)</f>
        <v>0</v>
      </c>
      <c r="CE87" s="9">
        <f>GF87*($Q87*$S87)/(1+Voorblad!$K$44)^(CE$56-Voorblad!$F$41)</f>
        <v>0</v>
      </c>
      <c r="CF87" s="9">
        <f>GG87*($Q87*$S87)/(1+Voorblad!$K$44)^(CF$56-Voorblad!$F$41)</f>
        <v>0</v>
      </c>
      <c r="CG87" s="9">
        <f>GH87*($Q87*$S87)/(1+Voorblad!$K$44)^(CG$56-Voorblad!$F$41)</f>
        <v>0</v>
      </c>
      <c r="CH87" s="9">
        <f>GI87*($Q87*$S87)/(1+Voorblad!$K$44)^(CH$56-Voorblad!$F$41)</f>
        <v>0</v>
      </c>
      <c r="CI87" s="9">
        <f>GJ87*($Q87*$S87)/(1+Voorblad!$K$44)^(CI$56-Voorblad!$F$41)</f>
        <v>0</v>
      </c>
      <c r="CJ87" s="9">
        <f>GK87*($Q87*$S87)/(1+Voorblad!$K$44)^(CJ$56-Voorblad!$F$41)</f>
        <v>0</v>
      </c>
      <c r="CK87" s="9">
        <f>GL87*($Q87*$S87)/(1+Voorblad!$K$44)^(CK$56-Voorblad!$F$41)</f>
        <v>0</v>
      </c>
      <c r="CL87" s="9">
        <f>GM87*($Q87*$S87)/(1+Voorblad!$K$44)^(CL$56-Voorblad!$F$41)</f>
        <v>0</v>
      </c>
      <c r="CM87" s="9">
        <f>GN87*($Q87*$S87)/(1+Voorblad!$K$44)^(CM$56-Voorblad!$F$41)</f>
        <v>0</v>
      </c>
      <c r="CN87" s="9">
        <f>GO87*($Q87*$S87)/(1+Voorblad!$K$44)^(CN$56-Voorblad!$F$41)</f>
        <v>0</v>
      </c>
      <c r="CO87" s="9">
        <f>GP87*($Q87*$S87)/(1+Voorblad!$K$44)^(CO$56-Voorblad!$F$41)</f>
        <v>0</v>
      </c>
      <c r="CP87" s="9">
        <f>GQ87*($Q87*$S87)/(1+Voorblad!$K$44)^(CP$56-Voorblad!$F$41)</f>
        <v>0</v>
      </c>
      <c r="CQ87" s="9">
        <f>GR87*($Q87*$S87)/(1+Voorblad!$K$44)^(CQ$56-Voorblad!$F$41)</f>
        <v>0</v>
      </c>
      <c r="CR87" s="9">
        <f>GS87*($Q87*$S87)/(1+Voorblad!$K$44)^(CR$56-Voorblad!$F$41)</f>
        <v>0</v>
      </c>
      <c r="CS87" s="9">
        <f>GT87*($Q87*$S87)/(1+Voorblad!$K$44)^(CS$56-Voorblad!$F$41)</f>
        <v>0</v>
      </c>
      <c r="CT87" s="9">
        <f>GU87*($Q87*$S87)/(1+Voorblad!$K$44)^(CT$56-Voorblad!$F$41)</f>
        <v>0</v>
      </c>
      <c r="CU87" s="9">
        <f>GV87*($Q87*$S87)/(1+Voorblad!$K$44)^(CU$56-Voorblad!$F$41)</f>
        <v>0</v>
      </c>
      <c r="CV87" s="9">
        <f>GW87*($Q87*$S87)/(1+Voorblad!$K$44)^(CV$56-Voorblad!$F$41)</f>
        <v>0</v>
      </c>
      <c r="CW87" s="9">
        <f>GX87*($Q87*$S87)/(1+Voorblad!$K$44)^(CW$56-Voorblad!$F$41)</f>
        <v>0</v>
      </c>
      <c r="CX87" s="9">
        <f>GY87*($Q87*$S87)/(1+Voorblad!$K$44)^(CX$56-Voorblad!$F$41)</f>
        <v>0</v>
      </c>
      <c r="CY87" s="9">
        <f>GZ87*($Q87*$S87)/(1+Voorblad!$K$44)^(CY$56-Voorblad!$F$41)</f>
        <v>0</v>
      </c>
      <c r="CZ87" s="9">
        <f>HA87*($Q87*$S87)/(1+Voorblad!$K$44)^(CZ$56-Voorblad!$F$41)</f>
        <v>0</v>
      </c>
      <c r="DA87" s="9">
        <f>HB87*($Q87*$S87)/(1+Voorblad!$K$44)^(DA$56-Voorblad!$F$41)</f>
        <v>0</v>
      </c>
      <c r="DB87" s="9">
        <f>HC87*($Q87*$S87)/(1+Voorblad!$K$44)^(DB$56-Voorblad!$F$41)</f>
        <v>0</v>
      </c>
      <c r="DC87" s="9">
        <f>HD87*($Q87*$S87)/(1+Voorblad!$K$44)^(DC$56-Voorblad!$F$41)</f>
        <v>0</v>
      </c>
      <c r="DD87" s="9">
        <f>HE87*($Q87*$S87)/(1+Voorblad!$K$44)^(DD$56-Voorblad!$F$41)</f>
        <v>0</v>
      </c>
      <c r="DE87" s="9">
        <f>HF87*($Q87*$S87)/(1+Voorblad!$K$44)^(DE$56-Voorblad!$F$41)</f>
        <v>0</v>
      </c>
      <c r="DF87" s="9">
        <f>HG87*($Q87*$S87)/(1+Voorblad!$K$44)^(DF$56-Voorblad!$F$41)</f>
        <v>0</v>
      </c>
      <c r="DG87" s="9">
        <f>HH87*($Q87*$S87)/(1+Voorblad!$K$44)^(DG$56-Voorblad!$F$41)</f>
        <v>0</v>
      </c>
      <c r="DH87" s="9">
        <f>HI87*($Q87*$S87)/(1+Voorblad!$K$44)^(DH$56-Voorblad!$F$41)</f>
        <v>0</v>
      </c>
      <c r="DI87" s="9">
        <f>HJ87*($Q87*$S87)/(1+Voorblad!$K$44)^(DI$56-Voorblad!$F$41)</f>
        <v>0</v>
      </c>
      <c r="DJ87" s="9">
        <f>HK87*($Q87*$S87)/(1+Voorblad!$K$44)^(DJ$56-Voorblad!$F$41)</f>
        <v>0</v>
      </c>
      <c r="DK87" s="9">
        <f>HL87*($Q87*$S87)/(1+Voorblad!$K$44)^(DK$56-Voorblad!$F$41)</f>
        <v>0</v>
      </c>
      <c r="DL87" s="9">
        <f>HM87*($Q87*$S87)/(1+Voorblad!$K$44)^(DL$56-Voorblad!$F$41)</f>
        <v>0</v>
      </c>
      <c r="DM87" s="9">
        <f>HN87*($Q87*$S87)/(1+Voorblad!$K$44)^(DM$56-Voorblad!$F$41)</f>
        <v>0</v>
      </c>
      <c r="DN87" s="9">
        <f>HO87*($Q87*$S87)/(1+Voorblad!$K$44)^(DN$56-Voorblad!$F$41)</f>
        <v>0</v>
      </c>
      <c r="DO87" s="9">
        <f>HP87*($Q87*$S87)/(1+Voorblad!$K$44)^(DO$56-Voorblad!$F$41)</f>
        <v>0</v>
      </c>
      <c r="DP87" s="9">
        <f>HQ87*($Q87*$S87)/(1+Voorblad!$K$44)^(DP$56-Voorblad!$F$41)</f>
        <v>0</v>
      </c>
      <c r="DQ87" s="9">
        <f>HR87*($Q87*$S87)/(1+Voorblad!$K$44)^(DQ$56-Voorblad!$F$41)</f>
        <v>0</v>
      </c>
      <c r="DR87" s="9">
        <f>HS87*($Q87*$S87)/(1+Voorblad!$K$44)^(DR$56-Voorblad!$F$41)</f>
        <v>0</v>
      </c>
      <c r="DS87" s="9">
        <f>HT87*($Q87*$S87)/(1+Voorblad!$K$44)^(DS$56-Voorblad!$F$41)</f>
        <v>0</v>
      </c>
      <c r="DT87" s="9">
        <f>HU87*($Q87*$S87)/(1+Voorblad!$K$44)^(DT$56-Voorblad!$F$41)</f>
        <v>0</v>
      </c>
      <c r="DU87" s="9">
        <f>HV87*($Q87*$S87)/(1+Voorblad!$K$44)^(DU$56-Voorblad!$F$41)</f>
        <v>0</v>
      </c>
      <c r="DV87" s="9">
        <f>HW87*($Q87*$S87)/(1+Voorblad!$K$44)^(DV$56-Voorblad!$F$41)</f>
        <v>0</v>
      </c>
      <c r="DW87" s="9">
        <f>HX87*($Q87*$S87)/(1+Voorblad!$K$44)^(DW$56-Voorblad!$F$41)</f>
        <v>0</v>
      </c>
      <c r="DX87" s="9">
        <f>HY87*($Q87*$S87)/(1+Voorblad!$K$44)^(DX$56-Voorblad!$F$41)</f>
        <v>0</v>
      </c>
      <c r="DY87" s="9">
        <f>HZ87*($Q87*$S87)/(1+Voorblad!$K$44)^(DY$56-Voorblad!$F$41)</f>
        <v>0</v>
      </c>
      <c r="DZ87" s="9">
        <f>IA87*($Q87*$S87)/(1+Voorblad!$K$44)^(DZ$56-Voorblad!$F$41)</f>
        <v>0</v>
      </c>
      <c r="EA87" s="9">
        <f>IB87*($Q87*$S87)/(1+Voorblad!$K$44)^(EA$56-Voorblad!$F$41)</f>
        <v>0</v>
      </c>
      <c r="EB87" s="9">
        <f>IC87*($Q87*$S87)/(1+Voorblad!$K$44)^(EB$56-Voorblad!$F$41)</f>
        <v>0</v>
      </c>
      <c r="EE87" s="8">
        <v>0</v>
      </c>
      <c r="EF87" s="8">
        <f>IF(EF$56-Voorblad!$F$41&gt;Voorblad!$K$41,0,IF($U87=0,0,IF($U87&lt;1,1/$U87,IF((EF$56-Voorblad!$F$41)/$U87-SUM($EE87:EE87)=1,1,0))))</f>
        <v>0</v>
      </c>
      <c r="EG87" s="8">
        <f>IF(EG$56-Voorblad!$F$41&gt;Voorblad!$K$41,0,IF($U87=0,0,IF($U87&lt;1,1/$U87,IF((EG$56-Voorblad!$F$41)/$U87-SUM($EE87:EF87)=1,1,0))))</f>
        <v>0</v>
      </c>
      <c r="EH87" s="8">
        <f>IF(EH$56-Voorblad!$F$41&gt;Voorblad!$K$41,0,IF($U87=0,0,IF($U87&lt;1,1/$U87,IF((EH$56-Voorblad!$F$41)/$U87-SUM($EE87:EG87)=1,1,0))))</f>
        <v>0</v>
      </c>
      <c r="EI87" s="8">
        <f>IF(EI$56-Voorblad!$F$41&gt;Voorblad!$K$41,0,IF($U87=0,0,IF($U87&lt;1,1/$U87,IF((EI$56-Voorblad!$F$41)/$U87-SUM($EE87:EH87)=1,1,0))))</f>
        <v>0</v>
      </c>
      <c r="EJ87" s="8">
        <f>IF(EJ$56-Voorblad!$F$41&gt;Voorblad!$K$41,0,IF($U87=0,0,IF($U87&lt;1,1/$U87,IF((EJ$56-Voorblad!$F$41)/$U87-SUM($EE87:EI87)=1,1,0))))</f>
        <v>0</v>
      </c>
      <c r="EK87" s="8">
        <f>IF(EK$56-Voorblad!$F$41&gt;Voorblad!$K$41,0,IF($U87=0,0,IF($U87&lt;1,1/$U87,IF((EK$56-Voorblad!$F$41)/$U87-SUM($EE87:EJ87)=1,1,0))))</f>
        <v>0</v>
      </c>
      <c r="EL87" s="8">
        <f>IF(EL$56-Voorblad!$F$41&gt;Voorblad!$K$41,0,IF($U87=0,0,IF($U87&lt;1,1/$U87,IF((EL$56-Voorblad!$F$41)/$U87-SUM($EE87:EK87)=1,1,0))))</f>
        <v>0</v>
      </c>
      <c r="EM87" s="8">
        <f>IF(EM$56-Voorblad!$F$41&gt;Voorblad!$K$41,0,IF($U87=0,0,IF($U87&lt;1,1/$U87,IF((EM$56-Voorblad!$F$41)/$U87-SUM($EE87:EL87)=1,1,0))))</f>
        <v>0</v>
      </c>
      <c r="EN87" s="8">
        <f>IF(EN$56-Voorblad!$F$41&gt;Voorblad!$K$41,0,IF($U87=0,0,IF($U87&lt;1,1/$U87,IF((EN$56-Voorblad!$F$41)/$U87-SUM($EE87:EM87)=1,1,0))))</f>
        <v>0</v>
      </c>
      <c r="EO87" s="8">
        <f>IF(EO$56-Voorblad!$F$41&gt;Voorblad!$K$41,0,IF($U87=0,0,IF($U87&lt;1,1/$U87,IF((EO$56-Voorblad!$F$41)/$U87-SUM($EE87:EN87)=1,1,0))))</f>
        <v>0</v>
      </c>
      <c r="EP87" s="8">
        <f>IF(EP$56-Voorblad!$F$41&gt;Voorblad!$K$41,0,IF($U87=0,0,IF($U87&lt;1,1/$U87,IF((EP$56-Voorblad!$F$41)/$U87-SUM($EE87:EO87)=1,1,0))))</f>
        <v>0</v>
      </c>
      <c r="EQ87" s="8">
        <f>IF(EQ$56-Voorblad!$F$41&gt;Voorblad!$K$41,0,IF($U87=0,0,IF($U87&lt;1,1/$U87,IF((EQ$56-Voorblad!$F$41)/$U87-SUM($EE87:EP87)=1,1,0))))</f>
        <v>0</v>
      </c>
      <c r="ER87" s="8">
        <f>IF(ER$56-Voorblad!$F$41&gt;Voorblad!$K$41,0,IF($U87=0,0,IF($U87&lt;1,1/$U87,IF((ER$56-Voorblad!$F$41)/$U87-SUM($EE87:EQ87)=1,1,0))))</f>
        <v>0</v>
      </c>
      <c r="ES87" s="8">
        <f>IF(ES$56-Voorblad!$F$41&gt;Voorblad!$K$41,0,IF($U87=0,0,IF($U87&lt;1,1/$U87,IF((ES$56-Voorblad!$F$41)/$U87-SUM($EE87:ER87)=1,1,0))))</f>
        <v>0</v>
      </c>
      <c r="ET87" s="8">
        <f>IF(ET$56-Voorblad!$F$41&gt;Voorblad!$K$41,0,IF($U87=0,0,IF($U87&lt;1,1/$U87,IF((ET$56-Voorblad!$F$41)/$U87-SUM($EE87:ES87)=1,1,0))))</f>
        <v>0</v>
      </c>
      <c r="EU87" s="8">
        <f>IF(EU$56-Voorblad!$F$41&gt;Voorblad!$K$41,0,IF($U87=0,0,IF($U87&lt;1,1/$U87,IF((EU$56-Voorblad!$F$41)/$U87-SUM($EE87:ET87)=1,1,0))))</f>
        <v>0</v>
      </c>
      <c r="EV87" s="8">
        <f>IF(EV$56-Voorblad!$F$41&gt;Voorblad!$K$41,0,IF($U87=0,0,IF($U87&lt;1,1/$U87,IF((EV$56-Voorblad!$F$41)/$U87-SUM($EE87:EU87)=1,1,0))))</f>
        <v>0</v>
      </c>
      <c r="EW87" s="8">
        <f>IF(EW$56-Voorblad!$F$41&gt;Voorblad!$K$41,0,IF($U87=0,0,IF($U87&lt;1,1/$U87,IF((EW$56-Voorblad!$F$41)/$U87-SUM($EE87:EV87)=1,1,0))))</f>
        <v>0</v>
      </c>
      <c r="EX87" s="8">
        <f>IF(EX$56-Voorblad!$F$41&gt;Voorblad!$K$41,0,IF($U87=0,0,IF($U87&lt;1,1/$U87,IF((EX$56-Voorblad!$F$41)/$U87-SUM($EE87:EW87)=1,1,0))))</f>
        <v>0</v>
      </c>
      <c r="EY87" s="8">
        <f>IF(EY$56-Voorblad!$F$41&gt;Voorblad!$K$41,0,IF($U87=0,0,IF($U87&lt;1,1/$U87,IF((EY$56-Voorblad!$F$41)/$U87-SUM($EE87:EX87)=1,1,0))))</f>
        <v>0</v>
      </c>
      <c r="EZ87" s="8">
        <f>IF(EZ$56-Voorblad!$F$41&gt;Voorblad!$K$41,0,IF($U87=0,0,IF($U87&lt;1,1/$U87,IF((EZ$56-Voorblad!$F$41)/$U87-SUM($EE87:EY87)=1,1,0))))</f>
        <v>0</v>
      </c>
      <c r="FA87" s="8">
        <f>IF(FA$56-Voorblad!$F$41&gt;Voorblad!$K$41,0,IF($U87=0,0,IF($U87&lt;1,1/$U87,IF((FA$56-Voorblad!$F$41)/$U87-SUM($EE87:EZ87)=1,1,0))))</f>
        <v>0</v>
      </c>
      <c r="FB87" s="8">
        <f>IF(FB$56-Voorblad!$F$41&gt;Voorblad!$K$41,0,IF($U87=0,0,IF($U87&lt;1,1/$U87,IF((FB$56-Voorblad!$F$41)/$U87-SUM($EE87:FA87)=1,1,0))))</f>
        <v>0</v>
      </c>
      <c r="FC87" s="8">
        <f>IF(FC$56-Voorblad!$F$41&gt;Voorblad!$K$41,0,IF($U87=0,0,IF($U87&lt;1,1/$U87,IF((FC$56-Voorblad!$F$41)/$U87-SUM($EE87:FB87)=1,1,0))))</f>
        <v>0</v>
      </c>
      <c r="FD87" s="8">
        <f>IF(FD$56-Voorblad!$F$41&gt;Voorblad!$K$41,0,IF($U87=0,0,IF($U87&lt;1,1/$U87,IF((FD$56-Voorblad!$F$41)/$U87-SUM($EE87:FC87)=1,1,0))))</f>
        <v>0</v>
      </c>
      <c r="FE87" s="8">
        <f>IF(FE$56-Voorblad!$F$41&gt;Voorblad!$K$41,0,IF($U87=0,0,IF($U87&lt;1,1/$U87,IF((FE$56-Voorblad!$F$41)/$U87-SUM($EE87:FD87)=1,1,0))))</f>
        <v>0</v>
      </c>
      <c r="FF87" s="8">
        <f>IF(FF$56-Voorblad!$F$41&gt;Voorblad!$K$41,0,IF($U87=0,0,IF($U87&lt;1,1/$U87,IF((FF$56-Voorblad!$F$41)/$U87-SUM($EE87:FE87)=1,1,0))))</f>
        <v>0</v>
      </c>
      <c r="FG87" s="8">
        <f>IF(FG$56-Voorblad!$F$41&gt;Voorblad!$K$41,0,IF($U87=0,0,IF($U87&lt;1,1/$U87,IF((FG$56-Voorblad!$F$41)/$U87-SUM($EE87:FF87)=1,1,0))))</f>
        <v>0</v>
      </c>
      <c r="FH87" s="8">
        <f>IF(FH$56-Voorblad!$F$41&gt;Voorblad!$K$41,0,IF($U87=0,0,IF($U87&lt;1,1/$U87,IF((FH$56-Voorblad!$F$41)/$U87-SUM($EE87:FG87)=1,1,0))))</f>
        <v>0</v>
      </c>
      <c r="FI87" s="8">
        <f>IF(FI$56-Voorblad!$F$41&gt;Voorblad!$K$41,0,IF($U87=0,0,IF($U87&lt;1,1/$U87,IF((FI$56-Voorblad!$F$41)/$U87-SUM($EE87:FH87)=1,1,0))))</f>
        <v>0</v>
      </c>
      <c r="FJ87" s="8">
        <f>IF(FJ$56-Voorblad!$F$41&gt;Voorblad!$K$41,0,IF($U87=0,0,IF($U87&lt;1,1/$U87,IF((FJ$56-Voorblad!$F$41)/$U87-SUM($EE87:FI87)=1,1,0))))</f>
        <v>0</v>
      </c>
      <c r="FK87" s="8">
        <f>IF(FK$56-Voorblad!$F$41&gt;Voorblad!$K$41,0,IF($U87=0,0,IF($U87&lt;1,1/$U87,IF((FK$56-Voorblad!$F$41)/$U87-SUM($EE87:FJ87)=1,1,0))))</f>
        <v>0</v>
      </c>
      <c r="FL87" s="8">
        <f>IF(FL$56-Voorblad!$F$41&gt;Voorblad!$K$41,0,IF($U87=0,0,IF($U87&lt;1,1/$U87,IF((FL$56-Voorblad!$F$41)/$U87-SUM($EE87:FK87)=1,1,0))))</f>
        <v>0</v>
      </c>
      <c r="FM87" s="8">
        <f>IF(FM$56-Voorblad!$F$41&gt;Voorblad!$K$41,0,IF($U87=0,0,IF($U87&lt;1,1/$U87,IF((FM$56-Voorblad!$F$41)/$U87-SUM($EE87:FL87)=1,1,0))))</f>
        <v>0</v>
      </c>
      <c r="FN87" s="8">
        <f>IF(FN$56-Voorblad!$F$41&gt;Voorblad!$K$41,0,IF($U87=0,0,IF($U87&lt;1,1/$U87,IF((FN$56-Voorblad!$F$41)/$U87-SUM($EE87:FM87)=1,1,0))))</f>
        <v>0</v>
      </c>
      <c r="FO87" s="8">
        <f>IF(FO$56-Voorblad!$F$41&gt;Voorblad!$K$41,0,IF($U87=0,0,IF($U87&lt;1,1/$U87,IF((FO$56-Voorblad!$F$41)/$U87-SUM($EE87:FN87)=1,1,0))))</f>
        <v>0</v>
      </c>
      <c r="FP87" s="8">
        <f>IF(FP$56-Voorblad!$F$41&gt;Voorblad!$K$41,0,IF($U87=0,0,IF($U87&lt;1,1/$U87,IF((FP$56-Voorblad!$F$41)/$U87-SUM($EE87:FO87)=1,1,0))))</f>
        <v>0</v>
      </c>
      <c r="FQ87" s="8">
        <f>IF(FQ$56-Voorblad!$F$41&gt;Voorblad!$K$41,0,IF($U87=0,0,IF($U87&lt;1,1/$U87,IF((FQ$56-Voorblad!$F$41)/$U87-SUM($EE87:FP87)=1,1,0))))</f>
        <v>0</v>
      </c>
      <c r="FR87" s="8">
        <f>IF(FR$56-Voorblad!$F$41&gt;Voorblad!$K$41,0,IF($U87=0,0,IF($U87&lt;1,1/$U87,IF((FR$56-Voorblad!$F$41)/$U87-SUM($EE87:FQ87)=1,1,0))))</f>
        <v>0</v>
      </c>
      <c r="FS87" s="8">
        <f>IF(FS$56-Voorblad!$F$41&gt;Voorblad!$K$41,0,IF($U87=0,0,IF($U87&lt;1,1/$U87,IF((FS$56-Voorblad!$F$41)/$U87-SUM($EE87:FR87)=1,1,0))))</f>
        <v>0</v>
      </c>
      <c r="FT87" s="8">
        <f>IF(FT$56-Voorblad!$F$41&gt;Voorblad!$K$41,0,IF($U87=0,0,IF($U87&lt;1,1/$U87,IF((FT$56-Voorblad!$F$41)/$U87-SUM($EE87:FS87)=1,1,0))))</f>
        <v>0</v>
      </c>
      <c r="FU87" s="8">
        <f>IF(FU$56-Voorblad!$F$41&gt;Voorblad!$K$41,0,IF($U87=0,0,IF($U87&lt;1,1/$U87,IF((FU$56-Voorblad!$F$41)/$U87-SUM($EE87:FT87)=1,1,0))))</f>
        <v>0</v>
      </c>
      <c r="FV87" s="8">
        <f>IF(FV$56-Voorblad!$F$41&gt;Voorblad!$K$41,0,IF($U87=0,0,IF($U87&lt;1,1/$U87,IF((FV$56-Voorblad!$F$41)/$U87-SUM($EE87:FU87)=1,1,0))))</f>
        <v>0</v>
      </c>
      <c r="FW87" s="8">
        <f>IF(FW$56-Voorblad!$F$41&gt;Voorblad!$K$41,0,IF($U87=0,0,IF($U87&lt;1,1/$U87,IF((FW$56-Voorblad!$F$41)/$U87-SUM($EE87:FV87)=1,1,0))))</f>
        <v>0</v>
      </c>
      <c r="FX87" s="8">
        <f>IF(FX$56-Voorblad!$F$41&gt;Voorblad!$K$41,0,IF($U87=0,0,IF($U87&lt;1,1/$U87,IF((FX$56-Voorblad!$F$41)/$U87-SUM($EE87:FW87)=1,1,0))))</f>
        <v>0</v>
      </c>
      <c r="FY87" s="8">
        <f>IF(FY$56-Voorblad!$F$41&gt;Voorblad!$K$41,0,IF($U87=0,0,IF($U87&lt;1,1/$U87,IF((FY$56-Voorblad!$F$41)/$U87-SUM($EE87:FX87)=1,1,0))))</f>
        <v>0</v>
      </c>
      <c r="FZ87" s="8">
        <f>IF(FZ$56-Voorblad!$F$41&gt;Voorblad!$K$41,0,IF($U87=0,0,IF($U87&lt;1,1/$U87,IF((FZ$56-Voorblad!$F$41)/$U87-SUM($EE87:FY87)=1,1,0))))</f>
        <v>0</v>
      </c>
      <c r="GA87" s="8">
        <f>IF(GA$56-Voorblad!$F$41&gt;Voorblad!$K$41,0,IF($U87=0,0,IF($U87&lt;1,1/$U87,IF((GA$56-Voorblad!$F$41)/$U87-SUM($EE87:FZ87)=1,1,0))))</f>
        <v>0</v>
      </c>
      <c r="GB87" s="8">
        <f>IF(GB$56-Voorblad!$F$41&gt;Voorblad!$K$41,0,IF($U87=0,0,IF($U87&lt;1,1/$U87,IF((GB$56-Voorblad!$F$41)/$U87-SUM($EE87:GA87)=1,1,0))))</f>
        <v>0</v>
      </c>
      <c r="GC87" s="8">
        <f>IF(GC$56-Voorblad!$F$41&gt;Voorblad!$K$41,0,IF($U87=0,0,IF($U87&lt;1,1/$U87,IF((GC$56-Voorblad!$F$41)/$U87-SUM($EE87:GB87)=1,1,0))))</f>
        <v>0</v>
      </c>
      <c r="GD87" s="8">
        <f>IF(GD$56-Voorblad!$F$41&gt;Voorblad!$K$41,0,IF($U87=0,0,IF($U87&lt;1,1/$U87,IF((GD$56-Voorblad!$F$41)/$U87-SUM($EE87:GC87)=1,1,0))))</f>
        <v>1</v>
      </c>
      <c r="GE87" s="8">
        <f>IF(GE$56-Voorblad!$F$41&gt;Voorblad!$K$41,0,IF($U87=0,0,IF($U87&lt;1,1/$U87,IF((GE$56-Voorblad!$F$41)/$U87-SUM($EE87:GD87)=1,1,0))))</f>
        <v>0</v>
      </c>
      <c r="GF87" s="8">
        <f>IF(GF$56-Voorblad!$F$41&gt;Voorblad!$K$41,0,IF($U87=0,0,IF($U87&lt;1,1/$U87,IF((GF$56-Voorblad!$F$41)/$U87-SUM($EE87:GE87)=1,1,0))))</f>
        <v>0</v>
      </c>
      <c r="GG87" s="8">
        <f>IF(GG$56-Voorblad!$F$41&gt;Voorblad!$K$41,0,IF($U87=0,0,IF($U87&lt;1,1/$U87,IF((GG$56-Voorblad!$F$41)/$U87-SUM($EE87:GF87)=1,1,0))))</f>
        <v>0</v>
      </c>
      <c r="GH87" s="8">
        <f>IF(GH$56-Voorblad!$F$41&gt;Voorblad!$K$41,0,IF($U87=0,0,IF($U87&lt;1,1/$U87,IF((GH$56-Voorblad!$F$41)/$U87-SUM($EE87:GG87)=1,1,0))))</f>
        <v>0</v>
      </c>
      <c r="GI87" s="8">
        <f>IF(GI$56-Voorblad!$F$41&gt;Voorblad!$K$41,0,IF($U87=0,0,IF($U87&lt;1,1/$U87,IF((GI$56-Voorblad!$F$41)/$U87-SUM($EE87:GH87)=1,1,0))))</f>
        <v>0</v>
      </c>
      <c r="GJ87" s="8">
        <f>IF(GJ$56-Voorblad!$F$41&gt;Voorblad!$K$41,0,IF($U87=0,0,IF($U87&lt;1,1/$U87,IF((GJ$56-Voorblad!$F$41)/$U87-SUM($EE87:GI87)=1,1,0))))</f>
        <v>0</v>
      </c>
      <c r="GK87" s="8">
        <f>IF(GK$56-Voorblad!$F$41&gt;Voorblad!$K$41,0,IF($U87=0,0,IF($U87&lt;1,1/$U87,IF((GK$56-Voorblad!$F$41)/$U87-SUM($EE87:GJ87)=1,1,0))))</f>
        <v>0</v>
      </c>
      <c r="GL87" s="8">
        <f>IF(GL$56-Voorblad!$F$41&gt;Voorblad!$K$41,0,IF($U87=0,0,IF($U87&lt;1,1/$U87,IF((GL$56-Voorblad!$F$41)/$U87-SUM($EE87:GK87)=1,1,0))))</f>
        <v>0</v>
      </c>
      <c r="GM87" s="8">
        <f>IF(GM$56-Voorblad!$F$41&gt;Voorblad!$K$41,0,IF($U87=0,0,IF($U87&lt;1,1/$U87,IF((GM$56-Voorblad!$F$41)/$U87-SUM($EE87:GL87)=1,1,0))))</f>
        <v>0</v>
      </c>
      <c r="GN87" s="8">
        <f>IF(GN$56-Voorblad!$F$41&gt;Voorblad!$K$41,0,IF($U87=0,0,IF($U87&lt;1,1/$U87,IF((GN$56-Voorblad!$F$41)/$U87-SUM($EE87:GM87)=1,1,0))))</f>
        <v>0</v>
      </c>
      <c r="GO87" s="8">
        <f>IF(GO$56-Voorblad!$F$41&gt;Voorblad!$K$41,0,IF($U87=0,0,IF($U87&lt;1,1/$U87,IF((GO$56-Voorblad!$F$41)/$U87-SUM($EE87:GN87)=1,1,0))))</f>
        <v>0</v>
      </c>
      <c r="GP87" s="8">
        <f>IF(GP$56-Voorblad!$F$41&gt;Voorblad!$K$41,0,IF($U87=0,0,IF($U87&lt;1,1/$U87,IF((GP$56-Voorblad!$F$41)/$U87-SUM($EE87:GO87)=1,1,0))))</f>
        <v>0</v>
      </c>
      <c r="GQ87" s="8">
        <f>IF(GQ$56-Voorblad!$F$41&gt;Voorblad!$K$41,0,IF($U87=0,0,IF($U87&lt;1,1/$U87,IF((GQ$56-Voorblad!$F$41)/$U87-SUM($EE87:GP87)=1,1,0))))</f>
        <v>0</v>
      </c>
      <c r="GR87" s="8">
        <f>IF(GR$56-Voorblad!$F$41&gt;Voorblad!$K$41,0,IF($U87=0,0,IF($U87&lt;1,1/$U87,IF((GR$56-Voorblad!$F$41)/$U87-SUM($EE87:GQ87)=1,1,0))))</f>
        <v>0</v>
      </c>
      <c r="GS87" s="8">
        <f>IF(GS$56-Voorblad!$F$41&gt;Voorblad!$K$41,0,IF($U87=0,0,IF($U87&lt;1,1/$U87,IF((GS$56-Voorblad!$F$41)/$U87-SUM($EE87:GR87)=1,1,0))))</f>
        <v>0</v>
      </c>
      <c r="GT87" s="8">
        <f>IF(GT$56-Voorblad!$F$41&gt;Voorblad!$K$41,0,IF($U87=0,0,IF($U87&lt;1,1/$U87,IF((GT$56-Voorblad!$F$41)/$U87-SUM($EE87:GS87)=1,1,0))))</f>
        <v>0</v>
      </c>
      <c r="GU87" s="8">
        <f>IF(GU$56-Voorblad!$F$41&gt;Voorblad!$K$41,0,IF($U87=0,0,IF($U87&lt;1,1/$U87,IF((GU$56-Voorblad!$F$41)/$U87-SUM($EE87:GT87)=1,1,0))))</f>
        <v>0</v>
      </c>
      <c r="GV87" s="8">
        <f>IF(GV$56-Voorblad!$F$41&gt;Voorblad!$K$41,0,IF($U87=0,0,IF($U87&lt;1,1/$U87,IF((GV$56-Voorblad!$F$41)/$U87-SUM($EE87:GU87)=1,1,0))))</f>
        <v>0</v>
      </c>
      <c r="GW87" s="8">
        <f>IF(GW$56-Voorblad!$F$41&gt;Voorblad!$K$41,0,IF($U87=0,0,IF($U87&lt;1,1/$U87,IF((GW$56-Voorblad!$F$41)/$U87-SUM($EE87:GV87)=1,1,0))))</f>
        <v>0</v>
      </c>
      <c r="GX87" s="8">
        <f>IF(GX$56-Voorblad!$F$41&gt;Voorblad!$K$41,0,IF($U87=0,0,IF($U87&lt;1,1/$U87,IF((GX$56-Voorblad!$F$41)/$U87-SUM($EE87:GW87)=1,1,0))))</f>
        <v>0</v>
      </c>
      <c r="GY87" s="8">
        <f>IF(GY$56-Voorblad!$F$41&gt;Voorblad!$K$41,0,IF($U87=0,0,IF($U87&lt;1,1/$U87,IF((GY$56-Voorblad!$F$41)/$U87-SUM($EE87:GX87)=1,1,0))))</f>
        <v>0</v>
      </c>
      <c r="GZ87" s="8">
        <f>IF(GZ$56-Voorblad!$F$41&gt;Voorblad!$K$41,0,IF($U87=0,0,IF($U87&lt;1,1/$U87,IF((GZ$56-Voorblad!$F$41)/$U87-SUM($EE87:GY87)=1,1,0))))</f>
        <v>0</v>
      </c>
      <c r="HA87" s="8">
        <f>IF(HA$56-Voorblad!$F$41&gt;Voorblad!$K$41,0,IF($U87=0,0,IF($U87&lt;1,1/$U87,IF((HA$56-Voorblad!$F$41)/$U87-SUM($EE87:GZ87)=1,1,0))))</f>
        <v>0</v>
      </c>
      <c r="HB87" s="8">
        <f>IF(HB$56-Voorblad!$F$41&gt;Voorblad!$K$41,0,IF($U87=0,0,IF($U87&lt;1,1/$U87,IF((HB$56-Voorblad!$F$41)/$U87-SUM($EE87:HA87)=1,1,0))))</f>
        <v>0</v>
      </c>
      <c r="HC87" s="8">
        <f>IF(HC$56-Voorblad!$F$41&gt;Voorblad!$K$41,0,IF($U87=0,0,IF($U87&lt;1,1/$U87,IF((HC$56-Voorblad!$F$41)/$U87-SUM($EE87:HB87)=1,1,0))))</f>
        <v>0</v>
      </c>
      <c r="HD87" s="8">
        <f>IF(HD$56-Voorblad!$F$41&gt;Voorblad!$K$41,0,IF($U87=0,0,IF($U87&lt;1,1/$U87,IF((HD$56-Voorblad!$F$41)/$U87-SUM($EE87:HC87)=1,1,0))))</f>
        <v>0</v>
      </c>
      <c r="HE87" s="8">
        <f>IF(HE$56-Voorblad!$F$41&gt;Voorblad!$K$41,0,IF($U87=0,0,IF($U87&lt;1,1/$U87,IF((HE$56-Voorblad!$F$41)/$U87-SUM($EE87:HD87)=1,1,0))))</f>
        <v>0</v>
      </c>
      <c r="HF87" s="8">
        <f>IF(HF$56-Voorblad!$F$41&gt;Voorblad!$K$41,0,IF($U87=0,0,IF($U87&lt;1,1/$U87,IF((HF$56-Voorblad!$F$41)/$U87-SUM($EE87:HE87)=1,1,0))))</f>
        <v>0</v>
      </c>
      <c r="HG87" s="8">
        <f>IF(HG$56-Voorblad!$F$41&gt;Voorblad!$K$41,0,IF($U87=0,0,IF($U87&lt;1,1/$U87,IF((HG$56-Voorblad!$F$41)/$U87-SUM($EE87:HF87)=1,1,0))))</f>
        <v>0</v>
      </c>
      <c r="HH87" s="8">
        <f>IF(HH$56-Voorblad!$F$41&gt;Voorblad!$K$41,0,IF($U87=0,0,IF($U87&lt;1,1/$U87,IF((HH$56-Voorblad!$F$41)/$U87-SUM($EE87:HG87)=1,1,0))))</f>
        <v>0</v>
      </c>
      <c r="HI87" s="8">
        <f>IF(HI$56-Voorblad!$F$41&gt;Voorblad!$K$41,0,IF($U87=0,0,IF($U87&lt;1,1/$U87,IF((HI$56-Voorblad!$F$41)/$U87-SUM($EE87:HH87)=1,1,0))))</f>
        <v>0</v>
      </c>
      <c r="HJ87" s="8">
        <f>IF(HJ$56-Voorblad!$F$41&gt;Voorblad!$K$41,0,IF($U87=0,0,IF($U87&lt;1,1/$U87,IF((HJ$56-Voorblad!$F$41)/$U87-SUM($EE87:HI87)=1,1,0))))</f>
        <v>0</v>
      </c>
      <c r="HK87" s="8">
        <f>IF(HK$56-Voorblad!$F$41&gt;Voorblad!$K$41,0,IF($U87=0,0,IF($U87&lt;1,1/$U87,IF((HK$56-Voorblad!$F$41)/$U87-SUM($EE87:HJ87)=1,1,0))))</f>
        <v>0</v>
      </c>
      <c r="HL87" s="8">
        <f>IF(HL$56-Voorblad!$F$41&gt;Voorblad!$K$41,0,IF($U87=0,0,IF($U87&lt;1,1/$U87,IF((HL$56-Voorblad!$F$41)/$U87-SUM($EE87:HK87)=1,1,0))))</f>
        <v>0</v>
      </c>
      <c r="HM87" s="8">
        <f>IF(HM$56-Voorblad!$F$41&gt;Voorblad!$K$41,0,IF($U87=0,0,IF($U87&lt;1,1/$U87,IF((HM$56-Voorblad!$F$41)/$U87-SUM($EE87:HL87)=1,1,0))))</f>
        <v>0</v>
      </c>
      <c r="HN87" s="8">
        <f>IF(HN$56-Voorblad!$F$41&gt;Voorblad!$K$41,0,IF($U87=0,0,IF($U87&lt;1,1/$U87,IF((HN$56-Voorblad!$F$41)/$U87-SUM($EE87:HM87)=1,1,0))))</f>
        <v>0</v>
      </c>
      <c r="HO87" s="8">
        <f>IF(HO$56-Voorblad!$F$41&gt;Voorblad!$K$41,0,IF($U87=0,0,IF($U87&lt;1,1/$U87,IF((HO$56-Voorblad!$F$41)/$U87-SUM($EE87:HN87)=1,1,0))))</f>
        <v>0</v>
      </c>
      <c r="HP87" s="8">
        <f>IF(HP$56-Voorblad!$F$41&gt;Voorblad!$K$41,0,IF($U87=0,0,IF($U87&lt;1,1/$U87,IF((HP$56-Voorblad!$F$41)/$U87-SUM($EE87:HO87)=1,1,0))))</f>
        <v>0</v>
      </c>
      <c r="HQ87" s="8">
        <f>IF(HQ$56-Voorblad!$F$41&gt;Voorblad!$K$41,0,IF($U87=0,0,IF($U87&lt;1,1/$U87,IF((HQ$56-Voorblad!$F$41)/$U87-SUM($EE87:HP87)=1,1,0))))</f>
        <v>0</v>
      </c>
      <c r="HR87" s="8">
        <f>IF(HR$56-Voorblad!$F$41&gt;Voorblad!$K$41,0,IF($U87=0,0,IF($U87&lt;1,1/$U87,IF((HR$56-Voorblad!$F$41)/$U87-SUM($EE87:HQ87)=1,1,0))))</f>
        <v>0</v>
      </c>
      <c r="HS87" s="8">
        <f>IF(HS$56-Voorblad!$F$41&gt;Voorblad!$K$41,0,IF($U87=0,0,IF($U87&lt;1,1/$U87,IF((HS$56-Voorblad!$F$41)/$U87-SUM($EE87:HR87)=1,1,0))))</f>
        <v>0</v>
      </c>
      <c r="HT87" s="8">
        <f>IF(HT$56-Voorblad!$F$41&gt;Voorblad!$K$41,0,IF($U87=0,0,IF($U87&lt;1,1/$U87,IF((HT$56-Voorblad!$F$41)/$U87-SUM($EE87:HS87)=1,1,0))))</f>
        <v>0</v>
      </c>
      <c r="HU87" s="8">
        <f>IF(HU$56-Voorblad!$F$41&gt;Voorblad!$K$41,0,IF($U87=0,0,IF($U87&lt;1,1/$U87,IF((HU$56-Voorblad!$F$41)/$U87-SUM($EE87:HT87)=1,1,0))))</f>
        <v>0</v>
      </c>
      <c r="HV87" s="8">
        <f>IF(HV$56-Voorblad!$F$41&gt;Voorblad!$K$41,0,IF($U87=0,0,IF($U87&lt;1,1/$U87,IF((HV$56-Voorblad!$F$41)/$U87-SUM($EE87:HU87)=1,1,0))))</f>
        <v>0</v>
      </c>
      <c r="HW87" s="8">
        <f>IF(HW$56-Voorblad!$F$41&gt;Voorblad!$K$41,0,IF($U87=0,0,IF($U87&lt;1,1/$U87,IF((HW$56-Voorblad!$F$41)/$U87-SUM($EE87:HV87)=1,1,0))))</f>
        <v>0</v>
      </c>
      <c r="HX87" s="8">
        <f>IF(HX$56-Voorblad!$F$41&gt;Voorblad!$K$41,0,IF($U87=0,0,IF($U87&lt;1,1/$U87,IF((HX$56-Voorblad!$F$41)/$U87-SUM($EE87:HW87)=1,1,0))))</f>
        <v>0</v>
      </c>
      <c r="HY87" s="8">
        <f>IF(HY$56-Voorblad!$F$41&gt;Voorblad!$K$41,0,IF($U87=0,0,IF($U87&lt;1,1/$U87,IF((HY$56-Voorblad!$F$41)/$U87-SUM($EE87:HX87)=1,1,0))))</f>
        <v>0</v>
      </c>
      <c r="HZ87" s="8">
        <f>IF(HZ$56-Voorblad!$F$41&gt;Voorblad!$K$41,0,IF($U87=0,0,IF($U87&lt;1,1/$U87,IF((HZ$56-Voorblad!$F$41)/$U87-SUM($EE87:HY87)=1,1,0))))</f>
        <v>0</v>
      </c>
      <c r="IA87" s="8">
        <f>IF(IA$56-Voorblad!$F$41&gt;Voorblad!$K$41,0,IF($U87=0,0,IF($U87&lt;1,1/$U87,IF((IA$56-Voorblad!$F$41)/$U87-SUM($EE87:HZ87)=1,1,0))))</f>
        <v>0</v>
      </c>
      <c r="IB87" s="8">
        <f>IF(IB$56-Voorblad!$F$41&gt;Voorblad!$K$41,0,IF($U87=0,0,IF($U87&lt;1,1/$U87,IF((IB$56-Voorblad!$F$41)/$U87-SUM($EE87:IA87)=1,1,0))))</f>
        <v>0</v>
      </c>
    </row>
    <row r="88" spans="2:236" ht="12" hidden="1" customHeight="1" outlineLevel="1" x14ac:dyDescent="0.25">
      <c r="B88" s="1">
        <v>1</v>
      </c>
      <c r="F88" s="1" t="s">
        <v>23</v>
      </c>
      <c r="I88" s="1" t="s">
        <v>49</v>
      </c>
      <c r="K88" s="14" t="s">
        <v>188</v>
      </c>
      <c r="N88" s="3"/>
      <c r="P88" s="14" t="s">
        <v>194</v>
      </c>
      <c r="Q88" s="81">
        <v>0</v>
      </c>
      <c r="R88" s="1" t="s">
        <v>34</v>
      </c>
      <c r="S88" s="14">
        <f>$H$10*400</f>
        <v>952</v>
      </c>
      <c r="T88" s="1">
        <f t="shared" si="16"/>
        <v>0</v>
      </c>
      <c r="U88" s="14">
        <v>50</v>
      </c>
      <c r="V88" s="14"/>
      <c r="Y88" s="9">
        <f t="shared" si="18"/>
        <v>0</v>
      </c>
      <c r="Z88" s="82"/>
      <c r="AA88" s="82"/>
      <c r="AC88" s="9">
        <f>$Y88*(Voorblad!$K$44*(1+Voorblad!$K$44)^Voorblad!$K$41)/((1+Voorblad!$K$44)^Voorblad!$K$41-1)</f>
        <v>0</v>
      </c>
      <c r="AE88" s="9">
        <f>EF88*($Q88*$S88)/(1+Voorblad!$K$44)^(AE$56-Voorblad!$F$41)</f>
        <v>0</v>
      </c>
      <c r="AF88" s="9">
        <f>EG88*($Q88*$S88)/(1+Voorblad!$K$44)^(AF$56-Voorblad!$F$41)</f>
        <v>0</v>
      </c>
      <c r="AG88" s="9">
        <f>EH88*($Q88*$S88)/(1+Voorblad!$K$44)^(AG$56-Voorblad!$F$41)</f>
        <v>0</v>
      </c>
      <c r="AH88" s="9">
        <f>EI88*($Q88*$S88)/(1+Voorblad!$K$44)^(AH$56-Voorblad!$F$41)</f>
        <v>0</v>
      </c>
      <c r="AI88" s="9">
        <f>EJ88*($Q88*$S88)/(1+Voorblad!$K$44)^(AI$56-Voorblad!$F$41)</f>
        <v>0</v>
      </c>
      <c r="AJ88" s="9">
        <f>EK88*($Q88*$S88)/(1+Voorblad!$K$44)^(AJ$56-Voorblad!$F$41)</f>
        <v>0</v>
      </c>
      <c r="AK88" s="9">
        <f>EL88*($Q88*$S88)/(1+Voorblad!$K$44)^(AK$56-Voorblad!$F$41)</f>
        <v>0</v>
      </c>
      <c r="AL88" s="9">
        <f>EM88*($Q88*$S88)/(1+Voorblad!$K$44)^(AL$56-Voorblad!$F$41)</f>
        <v>0</v>
      </c>
      <c r="AM88" s="9">
        <f>EN88*($Q88*$S88)/(1+Voorblad!$K$44)^(AM$56-Voorblad!$F$41)</f>
        <v>0</v>
      </c>
      <c r="AN88" s="9">
        <f>EO88*($Q88*$S88)/(1+Voorblad!$K$44)^(AN$56-Voorblad!$F$41)</f>
        <v>0</v>
      </c>
      <c r="AO88" s="9">
        <f>EP88*($Q88*$S88)/(1+Voorblad!$K$44)^(AO$56-Voorblad!$F$41)</f>
        <v>0</v>
      </c>
      <c r="AP88" s="9">
        <f>EQ88*($Q88*$S88)/(1+Voorblad!$K$44)^(AP$56-Voorblad!$F$41)</f>
        <v>0</v>
      </c>
      <c r="AQ88" s="9">
        <f>ER88*($Q88*$S88)/(1+Voorblad!$K$44)^(AQ$56-Voorblad!$F$41)</f>
        <v>0</v>
      </c>
      <c r="AR88" s="9">
        <f>ES88*($Q88*$S88)/(1+Voorblad!$K$44)^(AR$56-Voorblad!$F$41)</f>
        <v>0</v>
      </c>
      <c r="AS88" s="9">
        <f>ET88*($Q88*$S88)/(1+Voorblad!$K$44)^(AS$56-Voorblad!$F$41)</f>
        <v>0</v>
      </c>
      <c r="AT88" s="9">
        <f>EU88*($Q88*$S88)/(1+Voorblad!$K$44)^(AT$56-Voorblad!$F$41)</f>
        <v>0</v>
      </c>
      <c r="AU88" s="9">
        <f>EV88*($Q88*$S88)/(1+Voorblad!$K$44)^(AU$56-Voorblad!$F$41)</f>
        <v>0</v>
      </c>
      <c r="AV88" s="9">
        <f>EW88*($Q88*$S88)/(1+Voorblad!$K$44)^(AV$56-Voorblad!$F$41)</f>
        <v>0</v>
      </c>
      <c r="AW88" s="9">
        <f>EX88*($Q88*$S88)/(1+Voorblad!$K$44)^(AW$56-Voorblad!$F$41)</f>
        <v>0</v>
      </c>
      <c r="AX88" s="9">
        <f>EY88*($Q88*$S88)/(1+Voorblad!$K$44)^(AX$56-Voorblad!$F$41)</f>
        <v>0</v>
      </c>
      <c r="AY88" s="9">
        <f>EZ88*($Q88*$S88)/(1+Voorblad!$K$44)^(AY$56-Voorblad!$F$41)</f>
        <v>0</v>
      </c>
      <c r="AZ88" s="9">
        <f>FA88*($Q88*$S88)/(1+Voorblad!$K$44)^(AZ$56-Voorblad!$F$41)</f>
        <v>0</v>
      </c>
      <c r="BA88" s="9">
        <f>FB88*($Q88*$S88)/(1+Voorblad!$K$44)^(BA$56-Voorblad!$F$41)</f>
        <v>0</v>
      </c>
      <c r="BB88" s="9">
        <f>FC88*($Q88*$S88)/(1+Voorblad!$K$44)^(BB$56-Voorblad!$F$41)</f>
        <v>0</v>
      </c>
      <c r="BC88" s="9">
        <f>FD88*($Q88*$S88)/(1+Voorblad!$K$44)^(BC$56-Voorblad!$F$41)</f>
        <v>0</v>
      </c>
      <c r="BD88" s="9">
        <f>FE88*($Q88*$S88)/(1+Voorblad!$K$44)^(BD$56-Voorblad!$F$41)</f>
        <v>0</v>
      </c>
      <c r="BE88" s="9">
        <f>FF88*($Q88*$S88)/(1+Voorblad!$K$44)^(BE$56-Voorblad!$F$41)</f>
        <v>0</v>
      </c>
      <c r="BF88" s="9">
        <f>FG88*($Q88*$S88)/(1+Voorblad!$K$44)^(BF$56-Voorblad!$F$41)</f>
        <v>0</v>
      </c>
      <c r="BG88" s="9">
        <f>FH88*($Q88*$S88)/(1+Voorblad!$K$44)^(BG$56-Voorblad!$F$41)</f>
        <v>0</v>
      </c>
      <c r="BH88" s="9">
        <f>FI88*($Q88*$S88)/(1+Voorblad!$K$44)^(BH$56-Voorblad!$F$41)</f>
        <v>0</v>
      </c>
      <c r="BI88" s="9">
        <f>FJ88*($Q88*$S88)/(1+Voorblad!$K$44)^(BI$56-Voorblad!$F$41)</f>
        <v>0</v>
      </c>
      <c r="BJ88" s="9">
        <f>FK88*($Q88*$S88)/(1+Voorblad!$K$44)^(BJ$56-Voorblad!$F$41)</f>
        <v>0</v>
      </c>
      <c r="BK88" s="9">
        <f>FL88*($Q88*$S88)/(1+Voorblad!$K$44)^(BK$56-Voorblad!$F$41)</f>
        <v>0</v>
      </c>
      <c r="BL88" s="9">
        <f>FM88*($Q88*$S88)/(1+Voorblad!$K$44)^(BL$56-Voorblad!$F$41)</f>
        <v>0</v>
      </c>
      <c r="BM88" s="9">
        <f>FN88*($Q88*$S88)/(1+Voorblad!$K$44)^(BM$56-Voorblad!$F$41)</f>
        <v>0</v>
      </c>
      <c r="BN88" s="9">
        <f>FO88*($Q88*$S88)/(1+Voorblad!$K$44)^(BN$56-Voorblad!$F$41)</f>
        <v>0</v>
      </c>
      <c r="BO88" s="9">
        <f>FP88*($Q88*$S88)/(1+Voorblad!$K$44)^(BO$56-Voorblad!$F$41)</f>
        <v>0</v>
      </c>
      <c r="BP88" s="9">
        <f>FQ88*($Q88*$S88)/(1+Voorblad!$K$44)^(BP$56-Voorblad!$F$41)</f>
        <v>0</v>
      </c>
      <c r="BQ88" s="9">
        <f>FR88*($Q88*$S88)/(1+Voorblad!$K$44)^(BQ$56-Voorblad!$F$41)</f>
        <v>0</v>
      </c>
      <c r="BR88" s="9">
        <f>FS88*($Q88*$S88)/(1+Voorblad!$K$44)^(BR$56-Voorblad!$F$41)</f>
        <v>0</v>
      </c>
      <c r="BS88" s="9">
        <f>FT88*($Q88*$S88)/(1+Voorblad!$K$44)^(BS$56-Voorblad!$F$41)</f>
        <v>0</v>
      </c>
      <c r="BT88" s="9">
        <f>FU88*($Q88*$S88)/(1+Voorblad!$K$44)^(BT$56-Voorblad!$F$41)</f>
        <v>0</v>
      </c>
      <c r="BU88" s="9">
        <f>FV88*($Q88*$S88)/(1+Voorblad!$K$44)^(BU$56-Voorblad!$F$41)</f>
        <v>0</v>
      </c>
      <c r="BV88" s="9">
        <f>FW88*($Q88*$S88)/(1+Voorblad!$K$44)^(BV$56-Voorblad!$F$41)</f>
        <v>0</v>
      </c>
      <c r="BW88" s="9">
        <f>FX88*($Q88*$S88)/(1+Voorblad!$K$44)^(BW$56-Voorblad!$F$41)</f>
        <v>0</v>
      </c>
      <c r="BX88" s="9">
        <f>FY88*($Q88*$S88)/(1+Voorblad!$K$44)^(BX$56-Voorblad!$F$41)</f>
        <v>0</v>
      </c>
      <c r="BY88" s="9">
        <f>FZ88*($Q88*$S88)/(1+Voorblad!$K$44)^(BY$56-Voorblad!$F$41)</f>
        <v>0</v>
      </c>
      <c r="BZ88" s="9">
        <f>GA88*($Q88*$S88)/(1+Voorblad!$K$44)^(BZ$56-Voorblad!$F$41)</f>
        <v>0</v>
      </c>
      <c r="CA88" s="9">
        <f>GB88*($Q88*$S88)/(1+Voorblad!$K$44)^(CA$56-Voorblad!$F$41)</f>
        <v>0</v>
      </c>
      <c r="CB88" s="9">
        <f>GC88*($Q88*$S88)/(1+Voorblad!$K$44)^(CB$56-Voorblad!$F$41)</f>
        <v>0</v>
      </c>
      <c r="CC88" s="9">
        <f>GD88*($Q88*$S88)/(1+Voorblad!$K$44)^(CC$56-Voorblad!$F$41)</f>
        <v>0</v>
      </c>
      <c r="CD88" s="9">
        <f>GE88*($Q88*$S88)/(1+Voorblad!$K$44)^(CD$56-Voorblad!$F$41)</f>
        <v>0</v>
      </c>
      <c r="CE88" s="9">
        <f>GF88*($Q88*$S88)/(1+Voorblad!$K$44)^(CE$56-Voorblad!$F$41)</f>
        <v>0</v>
      </c>
      <c r="CF88" s="9">
        <f>GG88*($Q88*$S88)/(1+Voorblad!$K$44)^(CF$56-Voorblad!$F$41)</f>
        <v>0</v>
      </c>
      <c r="CG88" s="9">
        <f>GH88*($Q88*$S88)/(1+Voorblad!$K$44)^(CG$56-Voorblad!$F$41)</f>
        <v>0</v>
      </c>
      <c r="CH88" s="9">
        <f>GI88*($Q88*$S88)/(1+Voorblad!$K$44)^(CH$56-Voorblad!$F$41)</f>
        <v>0</v>
      </c>
      <c r="CI88" s="9">
        <f>GJ88*($Q88*$S88)/(1+Voorblad!$K$44)^(CI$56-Voorblad!$F$41)</f>
        <v>0</v>
      </c>
      <c r="CJ88" s="9">
        <f>GK88*($Q88*$S88)/(1+Voorblad!$K$44)^(CJ$56-Voorblad!$F$41)</f>
        <v>0</v>
      </c>
      <c r="CK88" s="9">
        <f>GL88*($Q88*$S88)/(1+Voorblad!$K$44)^(CK$56-Voorblad!$F$41)</f>
        <v>0</v>
      </c>
      <c r="CL88" s="9">
        <f>GM88*($Q88*$S88)/(1+Voorblad!$K$44)^(CL$56-Voorblad!$F$41)</f>
        <v>0</v>
      </c>
      <c r="CM88" s="9">
        <f>GN88*($Q88*$S88)/(1+Voorblad!$K$44)^(CM$56-Voorblad!$F$41)</f>
        <v>0</v>
      </c>
      <c r="CN88" s="9">
        <f>GO88*($Q88*$S88)/(1+Voorblad!$K$44)^(CN$56-Voorblad!$F$41)</f>
        <v>0</v>
      </c>
      <c r="CO88" s="9">
        <f>GP88*($Q88*$S88)/(1+Voorblad!$K$44)^(CO$56-Voorblad!$F$41)</f>
        <v>0</v>
      </c>
      <c r="CP88" s="9">
        <f>GQ88*($Q88*$S88)/(1+Voorblad!$K$44)^(CP$56-Voorblad!$F$41)</f>
        <v>0</v>
      </c>
      <c r="CQ88" s="9">
        <f>GR88*($Q88*$S88)/(1+Voorblad!$K$44)^(CQ$56-Voorblad!$F$41)</f>
        <v>0</v>
      </c>
      <c r="CR88" s="9">
        <f>GS88*($Q88*$S88)/(1+Voorblad!$K$44)^(CR$56-Voorblad!$F$41)</f>
        <v>0</v>
      </c>
      <c r="CS88" s="9">
        <f>GT88*($Q88*$S88)/(1+Voorblad!$K$44)^(CS$56-Voorblad!$F$41)</f>
        <v>0</v>
      </c>
      <c r="CT88" s="9">
        <f>GU88*($Q88*$S88)/(1+Voorblad!$K$44)^(CT$56-Voorblad!$F$41)</f>
        <v>0</v>
      </c>
      <c r="CU88" s="9">
        <f>GV88*($Q88*$S88)/(1+Voorblad!$K$44)^(CU$56-Voorblad!$F$41)</f>
        <v>0</v>
      </c>
      <c r="CV88" s="9">
        <f>GW88*($Q88*$S88)/(1+Voorblad!$K$44)^(CV$56-Voorblad!$F$41)</f>
        <v>0</v>
      </c>
      <c r="CW88" s="9">
        <f>GX88*($Q88*$S88)/(1+Voorblad!$K$44)^(CW$56-Voorblad!$F$41)</f>
        <v>0</v>
      </c>
      <c r="CX88" s="9">
        <f>GY88*($Q88*$S88)/(1+Voorblad!$K$44)^(CX$56-Voorblad!$F$41)</f>
        <v>0</v>
      </c>
      <c r="CY88" s="9">
        <f>GZ88*($Q88*$S88)/(1+Voorblad!$K$44)^(CY$56-Voorblad!$F$41)</f>
        <v>0</v>
      </c>
      <c r="CZ88" s="9">
        <f>HA88*($Q88*$S88)/(1+Voorblad!$K$44)^(CZ$56-Voorblad!$F$41)</f>
        <v>0</v>
      </c>
      <c r="DA88" s="9">
        <f>HB88*($Q88*$S88)/(1+Voorblad!$K$44)^(DA$56-Voorblad!$F$41)</f>
        <v>0</v>
      </c>
      <c r="DB88" s="9">
        <f>HC88*($Q88*$S88)/(1+Voorblad!$K$44)^(DB$56-Voorblad!$F$41)</f>
        <v>0</v>
      </c>
      <c r="DC88" s="9">
        <f>HD88*($Q88*$S88)/(1+Voorblad!$K$44)^(DC$56-Voorblad!$F$41)</f>
        <v>0</v>
      </c>
      <c r="DD88" s="9">
        <f>HE88*($Q88*$S88)/(1+Voorblad!$K$44)^(DD$56-Voorblad!$F$41)</f>
        <v>0</v>
      </c>
      <c r="DE88" s="9">
        <f>HF88*($Q88*$S88)/(1+Voorblad!$K$44)^(DE$56-Voorblad!$F$41)</f>
        <v>0</v>
      </c>
      <c r="DF88" s="9">
        <f>HG88*($Q88*$S88)/(1+Voorblad!$K$44)^(DF$56-Voorblad!$F$41)</f>
        <v>0</v>
      </c>
      <c r="DG88" s="9">
        <f>HH88*($Q88*$S88)/(1+Voorblad!$K$44)^(DG$56-Voorblad!$F$41)</f>
        <v>0</v>
      </c>
      <c r="DH88" s="9">
        <f>HI88*($Q88*$S88)/(1+Voorblad!$K$44)^(DH$56-Voorblad!$F$41)</f>
        <v>0</v>
      </c>
      <c r="DI88" s="9">
        <f>HJ88*($Q88*$S88)/(1+Voorblad!$K$44)^(DI$56-Voorblad!$F$41)</f>
        <v>0</v>
      </c>
      <c r="DJ88" s="9">
        <f>HK88*($Q88*$S88)/(1+Voorblad!$K$44)^(DJ$56-Voorblad!$F$41)</f>
        <v>0</v>
      </c>
      <c r="DK88" s="9">
        <f>HL88*($Q88*$S88)/(1+Voorblad!$K$44)^(DK$56-Voorblad!$F$41)</f>
        <v>0</v>
      </c>
      <c r="DL88" s="9">
        <f>HM88*($Q88*$S88)/(1+Voorblad!$K$44)^(DL$56-Voorblad!$F$41)</f>
        <v>0</v>
      </c>
      <c r="DM88" s="9">
        <f>HN88*($Q88*$S88)/(1+Voorblad!$K$44)^(DM$56-Voorblad!$F$41)</f>
        <v>0</v>
      </c>
      <c r="DN88" s="9">
        <f>HO88*($Q88*$S88)/(1+Voorblad!$K$44)^(DN$56-Voorblad!$F$41)</f>
        <v>0</v>
      </c>
      <c r="DO88" s="9">
        <f>HP88*($Q88*$S88)/(1+Voorblad!$K$44)^(DO$56-Voorblad!$F$41)</f>
        <v>0</v>
      </c>
      <c r="DP88" s="9">
        <f>HQ88*($Q88*$S88)/(1+Voorblad!$K$44)^(DP$56-Voorblad!$F$41)</f>
        <v>0</v>
      </c>
      <c r="DQ88" s="9">
        <f>HR88*($Q88*$S88)/(1+Voorblad!$K$44)^(DQ$56-Voorblad!$F$41)</f>
        <v>0</v>
      </c>
      <c r="DR88" s="9">
        <f>HS88*($Q88*$S88)/(1+Voorblad!$K$44)^(DR$56-Voorblad!$F$41)</f>
        <v>0</v>
      </c>
      <c r="DS88" s="9">
        <f>HT88*($Q88*$S88)/(1+Voorblad!$K$44)^(DS$56-Voorblad!$F$41)</f>
        <v>0</v>
      </c>
      <c r="DT88" s="9">
        <f>HU88*($Q88*$S88)/(1+Voorblad!$K$44)^(DT$56-Voorblad!$F$41)</f>
        <v>0</v>
      </c>
      <c r="DU88" s="9">
        <f>HV88*($Q88*$S88)/(1+Voorblad!$K$44)^(DU$56-Voorblad!$F$41)</f>
        <v>0</v>
      </c>
      <c r="DV88" s="9">
        <f>HW88*($Q88*$S88)/(1+Voorblad!$K$44)^(DV$56-Voorblad!$F$41)</f>
        <v>0</v>
      </c>
      <c r="DW88" s="9">
        <f>HX88*($Q88*$S88)/(1+Voorblad!$K$44)^(DW$56-Voorblad!$F$41)</f>
        <v>0</v>
      </c>
      <c r="DX88" s="9">
        <f>HY88*($Q88*$S88)/(1+Voorblad!$K$44)^(DX$56-Voorblad!$F$41)</f>
        <v>0</v>
      </c>
      <c r="DY88" s="9">
        <f>HZ88*($Q88*$S88)/(1+Voorblad!$K$44)^(DY$56-Voorblad!$F$41)</f>
        <v>0</v>
      </c>
      <c r="DZ88" s="9">
        <f>IA88*($Q88*$S88)/(1+Voorblad!$K$44)^(DZ$56-Voorblad!$F$41)</f>
        <v>0</v>
      </c>
      <c r="EA88" s="9">
        <f>IB88*($Q88*$S88)/(1+Voorblad!$K$44)^(EA$56-Voorblad!$F$41)</f>
        <v>0</v>
      </c>
      <c r="EB88" s="9">
        <f>IC88*($Q88*$S88)/(1+Voorblad!$K$44)^(EB$56-Voorblad!$F$41)</f>
        <v>0</v>
      </c>
      <c r="EE88" s="8">
        <v>0</v>
      </c>
      <c r="EF88" s="8">
        <f>IF(EF$56-Voorblad!$F$41&gt;Voorblad!$K$41,0,IF($U88=0,0,IF($U88&lt;1,1/$U88,IF((EF$56-Voorblad!$F$41)/$U88-SUM($EE88:EE88)=1,1,0))))</f>
        <v>0</v>
      </c>
      <c r="EG88" s="8">
        <f>IF(EG$56-Voorblad!$F$41&gt;Voorblad!$K$41,0,IF($U88=0,0,IF($U88&lt;1,1/$U88,IF((EG$56-Voorblad!$F$41)/$U88-SUM($EE88:EF88)=1,1,0))))</f>
        <v>0</v>
      </c>
      <c r="EH88" s="8">
        <f>IF(EH$56-Voorblad!$F$41&gt;Voorblad!$K$41,0,IF($U88=0,0,IF($U88&lt;1,1/$U88,IF((EH$56-Voorblad!$F$41)/$U88-SUM($EE88:EG88)=1,1,0))))</f>
        <v>0</v>
      </c>
      <c r="EI88" s="8">
        <f>IF(EI$56-Voorblad!$F$41&gt;Voorblad!$K$41,0,IF($U88=0,0,IF($U88&lt;1,1/$U88,IF((EI$56-Voorblad!$F$41)/$U88-SUM($EE88:EH88)=1,1,0))))</f>
        <v>0</v>
      </c>
      <c r="EJ88" s="8">
        <f>IF(EJ$56-Voorblad!$F$41&gt;Voorblad!$K$41,0,IF($U88=0,0,IF($U88&lt;1,1/$U88,IF((EJ$56-Voorblad!$F$41)/$U88-SUM($EE88:EI88)=1,1,0))))</f>
        <v>0</v>
      </c>
      <c r="EK88" s="8">
        <f>IF(EK$56-Voorblad!$F$41&gt;Voorblad!$K$41,0,IF($U88=0,0,IF($U88&lt;1,1/$U88,IF((EK$56-Voorblad!$F$41)/$U88-SUM($EE88:EJ88)=1,1,0))))</f>
        <v>0</v>
      </c>
      <c r="EL88" s="8">
        <f>IF(EL$56-Voorblad!$F$41&gt;Voorblad!$K$41,0,IF($U88=0,0,IF($U88&lt;1,1/$U88,IF((EL$56-Voorblad!$F$41)/$U88-SUM($EE88:EK88)=1,1,0))))</f>
        <v>0</v>
      </c>
      <c r="EM88" s="8">
        <f>IF(EM$56-Voorblad!$F$41&gt;Voorblad!$K$41,0,IF($U88=0,0,IF($U88&lt;1,1/$U88,IF((EM$56-Voorblad!$F$41)/$U88-SUM($EE88:EL88)=1,1,0))))</f>
        <v>0</v>
      </c>
      <c r="EN88" s="8">
        <f>IF(EN$56-Voorblad!$F$41&gt;Voorblad!$K$41,0,IF($U88=0,0,IF($U88&lt;1,1/$U88,IF((EN$56-Voorblad!$F$41)/$U88-SUM($EE88:EM88)=1,1,0))))</f>
        <v>0</v>
      </c>
      <c r="EO88" s="8">
        <f>IF(EO$56-Voorblad!$F$41&gt;Voorblad!$K$41,0,IF($U88=0,0,IF($U88&lt;1,1/$U88,IF((EO$56-Voorblad!$F$41)/$U88-SUM($EE88:EN88)=1,1,0))))</f>
        <v>0</v>
      </c>
      <c r="EP88" s="8">
        <f>IF(EP$56-Voorblad!$F$41&gt;Voorblad!$K$41,0,IF($U88=0,0,IF($U88&lt;1,1/$U88,IF((EP$56-Voorblad!$F$41)/$U88-SUM($EE88:EO88)=1,1,0))))</f>
        <v>0</v>
      </c>
      <c r="EQ88" s="8">
        <f>IF(EQ$56-Voorblad!$F$41&gt;Voorblad!$K$41,0,IF($U88=0,0,IF($U88&lt;1,1/$U88,IF((EQ$56-Voorblad!$F$41)/$U88-SUM($EE88:EP88)=1,1,0))))</f>
        <v>0</v>
      </c>
      <c r="ER88" s="8">
        <f>IF(ER$56-Voorblad!$F$41&gt;Voorblad!$K$41,0,IF($U88=0,0,IF($U88&lt;1,1/$U88,IF((ER$56-Voorblad!$F$41)/$U88-SUM($EE88:EQ88)=1,1,0))))</f>
        <v>0</v>
      </c>
      <c r="ES88" s="8">
        <f>IF(ES$56-Voorblad!$F$41&gt;Voorblad!$K$41,0,IF($U88=0,0,IF($U88&lt;1,1/$U88,IF((ES$56-Voorblad!$F$41)/$U88-SUM($EE88:ER88)=1,1,0))))</f>
        <v>0</v>
      </c>
      <c r="ET88" s="8">
        <f>IF(ET$56-Voorblad!$F$41&gt;Voorblad!$K$41,0,IF($U88=0,0,IF($U88&lt;1,1/$U88,IF((ET$56-Voorblad!$F$41)/$U88-SUM($EE88:ES88)=1,1,0))))</f>
        <v>0</v>
      </c>
      <c r="EU88" s="8">
        <f>IF(EU$56-Voorblad!$F$41&gt;Voorblad!$K$41,0,IF($U88=0,0,IF($U88&lt;1,1/$U88,IF((EU$56-Voorblad!$F$41)/$U88-SUM($EE88:ET88)=1,1,0))))</f>
        <v>0</v>
      </c>
      <c r="EV88" s="8">
        <f>IF(EV$56-Voorblad!$F$41&gt;Voorblad!$K$41,0,IF($U88=0,0,IF($U88&lt;1,1/$U88,IF((EV$56-Voorblad!$F$41)/$U88-SUM($EE88:EU88)=1,1,0))))</f>
        <v>0</v>
      </c>
      <c r="EW88" s="8">
        <f>IF(EW$56-Voorblad!$F$41&gt;Voorblad!$K$41,0,IF($U88=0,0,IF($U88&lt;1,1/$U88,IF((EW$56-Voorblad!$F$41)/$U88-SUM($EE88:EV88)=1,1,0))))</f>
        <v>0</v>
      </c>
      <c r="EX88" s="8">
        <f>IF(EX$56-Voorblad!$F$41&gt;Voorblad!$K$41,0,IF($U88=0,0,IF($U88&lt;1,1/$U88,IF((EX$56-Voorblad!$F$41)/$U88-SUM($EE88:EW88)=1,1,0))))</f>
        <v>0</v>
      </c>
      <c r="EY88" s="8">
        <f>IF(EY$56-Voorblad!$F$41&gt;Voorblad!$K$41,0,IF($U88=0,0,IF($U88&lt;1,1/$U88,IF((EY$56-Voorblad!$F$41)/$U88-SUM($EE88:EX88)=1,1,0))))</f>
        <v>0</v>
      </c>
      <c r="EZ88" s="8">
        <f>IF(EZ$56-Voorblad!$F$41&gt;Voorblad!$K$41,0,IF($U88=0,0,IF($U88&lt;1,1/$U88,IF((EZ$56-Voorblad!$F$41)/$U88-SUM($EE88:EY88)=1,1,0))))</f>
        <v>0</v>
      </c>
      <c r="FA88" s="8">
        <f>IF(FA$56-Voorblad!$F$41&gt;Voorblad!$K$41,0,IF($U88=0,0,IF($U88&lt;1,1/$U88,IF((FA$56-Voorblad!$F$41)/$U88-SUM($EE88:EZ88)=1,1,0))))</f>
        <v>0</v>
      </c>
      <c r="FB88" s="8">
        <f>IF(FB$56-Voorblad!$F$41&gt;Voorblad!$K$41,0,IF($U88=0,0,IF($U88&lt;1,1/$U88,IF((FB$56-Voorblad!$F$41)/$U88-SUM($EE88:FA88)=1,1,0))))</f>
        <v>0</v>
      </c>
      <c r="FC88" s="8">
        <f>IF(FC$56-Voorblad!$F$41&gt;Voorblad!$K$41,0,IF($U88=0,0,IF($U88&lt;1,1/$U88,IF((FC$56-Voorblad!$F$41)/$U88-SUM($EE88:FB88)=1,1,0))))</f>
        <v>0</v>
      </c>
      <c r="FD88" s="8">
        <f>IF(FD$56-Voorblad!$F$41&gt;Voorblad!$K$41,0,IF($U88=0,0,IF($U88&lt;1,1/$U88,IF((FD$56-Voorblad!$F$41)/$U88-SUM($EE88:FC88)=1,1,0))))</f>
        <v>0</v>
      </c>
      <c r="FE88" s="8">
        <f>IF(FE$56-Voorblad!$F$41&gt;Voorblad!$K$41,0,IF($U88=0,0,IF($U88&lt;1,1/$U88,IF((FE$56-Voorblad!$F$41)/$U88-SUM($EE88:FD88)=1,1,0))))</f>
        <v>0</v>
      </c>
      <c r="FF88" s="8">
        <f>IF(FF$56-Voorblad!$F$41&gt;Voorblad!$K$41,0,IF($U88=0,0,IF($U88&lt;1,1/$U88,IF((FF$56-Voorblad!$F$41)/$U88-SUM($EE88:FE88)=1,1,0))))</f>
        <v>0</v>
      </c>
      <c r="FG88" s="8">
        <f>IF(FG$56-Voorblad!$F$41&gt;Voorblad!$K$41,0,IF($U88=0,0,IF($U88&lt;1,1/$U88,IF((FG$56-Voorblad!$F$41)/$U88-SUM($EE88:FF88)=1,1,0))))</f>
        <v>0</v>
      </c>
      <c r="FH88" s="8">
        <f>IF(FH$56-Voorblad!$F$41&gt;Voorblad!$K$41,0,IF($U88=0,0,IF($U88&lt;1,1/$U88,IF((FH$56-Voorblad!$F$41)/$U88-SUM($EE88:FG88)=1,1,0))))</f>
        <v>0</v>
      </c>
      <c r="FI88" s="8">
        <f>IF(FI$56-Voorblad!$F$41&gt;Voorblad!$K$41,0,IF($U88=0,0,IF($U88&lt;1,1/$U88,IF((FI$56-Voorblad!$F$41)/$U88-SUM($EE88:FH88)=1,1,0))))</f>
        <v>0</v>
      </c>
      <c r="FJ88" s="8">
        <f>IF(FJ$56-Voorblad!$F$41&gt;Voorblad!$K$41,0,IF($U88=0,0,IF($U88&lt;1,1/$U88,IF((FJ$56-Voorblad!$F$41)/$U88-SUM($EE88:FI88)=1,1,0))))</f>
        <v>0</v>
      </c>
      <c r="FK88" s="8">
        <f>IF(FK$56-Voorblad!$F$41&gt;Voorblad!$K$41,0,IF($U88=0,0,IF($U88&lt;1,1/$U88,IF((FK$56-Voorblad!$F$41)/$U88-SUM($EE88:FJ88)=1,1,0))))</f>
        <v>0</v>
      </c>
      <c r="FL88" s="8">
        <f>IF(FL$56-Voorblad!$F$41&gt;Voorblad!$K$41,0,IF($U88=0,0,IF($U88&lt;1,1/$U88,IF((FL$56-Voorblad!$F$41)/$U88-SUM($EE88:FK88)=1,1,0))))</f>
        <v>0</v>
      </c>
      <c r="FM88" s="8">
        <f>IF(FM$56-Voorblad!$F$41&gt;Voorblad!$K$41,0,IF($U88=0,0,IF($U88&lt;1,1/$U88,IF((FM$56-Voorblad!$F$41)/$U88-SUM($EE88:FL88)=1,1,0))))</f>
        <v>0</v>
      </c>
      <c r="FN88" s="8">
        <f>IF(FN$56-Voorblad!$F$41&gt;Voorblad!$K$41,0,IF($U88=0,0,IF($U88&lt;1,1/$U88,IF((FN$56-Voorblad!$F$41)/$U88-SUM($EE88:FM88)=1,1,0))))</f>
        <v>0</v>
      </c>
      <c r="FO88" s="8">
        <f>IF(FO$56-Voorblad!$F$41&gt;Voorblad!$K$41,0,IF($U88=0,0,IF($U88&lt;1,1/$U88,IF((FO$56-Voorblad!$F$41)/$U88-SUM($EE88:FN88)=1,1,0))))</f>
        <v>0</v>
      </c>
      <c r="FP88" s="8">
        <f>IF(FP$56-Voorblad!$F$41&gt;Voorblad!$K$41,0,IF($U88=0,0,IF($U88&lt;1,1/$U88,IF((FP$56-Voorblad!$F$41)/$U88-SUM($EE88:FO88)=1,1,0))))</f>
        <v>0</v>
      </c>
      <c r="FQ88" s="8">
        <f>IF(FQ$56-Voorblad!$F$41&gt;Voorblad!$K$41,0,IF($U88=0,0,IF($U88&lt;1,1/$U88,IF((FQ$56-Voorblad!$F$41)/$U88-SUM($EE88:FP88)=1,1,0))))</f>
        <v>0</v>
      </c>
      <c r="FR88" s="8">
        <f>IF(FR$56-Voorblad!$F$41&gt;Voorblad!$K$41,0,IF($U88=0,0,IF($U88&lt;1,1/$U88,IF((FR$56-Voorblad!$F$41)/$U88-SUM($EE88:FQ88)=1,1,0))))</f>
        <v>0</v>
      </c>
      <c r="FS88" s="8">
        <f>IF(FS$56-Voorblad!$F$41&gt;Voorblad!$K$41,0,IF($U88=0,0,IF($U88&lt;1,1/$U88,IF((FS$56-Voorblad!$F$41)/$U88-SUM($EE88:FR88)=1,1,0))))</f>
        <v>0</v>
      </c>
      <c r="FT88" s="8">
        <f>IF(FT$56-Voorblad!$F$41&gt;Voorblad!$K$41,0,IF($U88=0,0,IF($U88&lt;1,1/$U88,IF((FT$56-Voorblad!$F$41)/$U88-SUM($EE88:FS88)=1,1,0))))</f>
        <v>0</v>
      </c>
      <c r="FU88" s="8">
        <f>IF(FU$56-Voorblad!$F$41&gt;Voorblad!$K$41,0,IF($U88=0,0,IF($U88&lt;1,1/$U88,IF((FU$56-Voorblad!$F$41)/$U88-SUM($EE88:FT88)=1,1,0))))</f>
        <v>0</v>
      </c>
      <c r="FV88" s="8">
        <f>IF(FV$56-Voorblad!$F$41&gt;Voorblad!$K$41,0,IF($U88=0,0,IF($U88&lt;1,1/$U88,IF((FV$56-Voorblad!$F$41)/$U88-SUM($EE88:FU88)=1,1,0))))</f>
        <v>0</v>
      </c>
      <c r="FW88" s="8">
        <f>IF(FW$56-Voorblad!$F$41&gt;Voorblad!$K$41,0,IF($U88=0,0,IF($U88&lt;1,1/$U88,IF((FW$56-Voorblad!$F$41)/$U88-SUM($EE88:FV88)=1,1,0))))</f>
        <v>0</v>
      </c>
      <c r="FX88" s="8">
        <f>IF(FX$56-Voorblad!$F$41&gt;Voorblad!$K$41,0,IF($U88=0,0,IF($U88&lt;1,1/$U88,IF((FX$56-Voorblad!$F$41)/$U88-SUM($EE88:FW88)=1,1,0))))</f>
        <v>0</v>
      </c>
      <c r="FY88" s="8">
        <f>IF(FY$56-Voorblad!$F$41&gt;Voorblad!$K$41,0,IF($U88=0,0,IF($U88&lt;1,1/$U88,IF((FY$56-Voorblad!$F$41)/$U88-SUM($EE88:FX88)=1,1,0))))</f>
        <v>0</v>
      </c>
      <c r="FZ88" s="8">
        <f>IF(FZ$56-Voorblad!$F$41&gt;Voorblad!$K$41,0,IF($U88=0,0,IF($U88&lt;1,1/$U88,IF((FZ$56-Voorblad!$F$41)/$U88-SUM($EE88:FY88)=1,1,0))))</f>
        <v>0</v>
      </c>
      <c r="GA88" s="8">
        <f>IF(GA$56-Voorblad!$F$41&gt;Voorblad!$K$41,0,IF($U88=0,0,IF($U88&lt;1,1/$U88,IF((GA$56-Voorblad!$F$41)/$U88-SUM($EE88:FZ88)=1,1,0))))</f>
        <v>0</v>
      </c>
      <c r="GB88" s="8">
        <f>IF(GB$56-Voorblad!$F$41&gt;Voorblad!$K$41,0,IF($U88=0,0,IF($U88&lt;1,1/$U88,IF((GB$56-Voorblad!$F$41)/$U88-SUM($EE88:GA88)=1,1,0))))</f>
        <v>0</v>
      </c>
      <c r="GC88" s="8">
        <f>IF(GC$56-Voorblad!$F$41&gt;Voorblad!$K$41,0,IF($U88=0,0,IF($U88&lt;1,1/$U88,IF((GC$56-Voorblad!$F$41)/$U88-SUM($EE88:GB88)=1,1,0))))</f>
        <v>0</v>
      </c>
      <c r="GD88" s="8">
        <f>IF(GD$56-Voorblad!$F$41&gt;Voorblad!$K$41,0,IF($U88=0,0,IF($U88&lt;1,1/$U88,IF((GD$56-Voorblad!$F$41)/$U88-SUM($EE88:GC88)=1,1,0))))</f>
        <v>1</v>
      </c>
      <c r="GE88" s="8">
        <f>IF(GE$56-Voorblad!$F$41&gt;Voorblad!$K$41,0,IF($U88=0,0,IF($U88&lt;1,1/$U88,IF((GE$56-Voorblad!$F$41)/$U88-SUM($EE88:GD88)=1,1,0))))</f>
        <v>0</v>
      </c>
      <c r="GF88" s="8">
        <f>IF(GF$56-Voorblad!$F$41&gt;Voorblad!$K$41,0,IF($U88=0,0,IF($U88&lt;1,1/$U88,IF((GF$56-Voorblad!$F$41)/$U88-SUM($EE88:GE88)=1,1,0))))</f>
        <v>0</v>
      </c>
      <c r="GG88" s="8">
        <f>IF(GG$56-Voorblad!$F$41&gt;Voorblad!$K$41,0,IF($U88=0,0,IF($U88&lt;1,1/$U88,IF((GG$56-Voorblad!$F$41)/$U88-SUM($EE88:GF88)=1,1,0))))</f>
        <v>0</v>
      </c>
      <c r="GH88" s="8">
        <f>IF(GH$56-Voorblad!$F$41&gt;Voorblad!$K$41,0,IF($U88=0,0,IF($U88&lt;1,1/$U88,IF((GH$56-Voorblad!$F$41)/$U88-SUM($EE88:GG88)=1,1,0))))</f>
        <v>0</v>
      </c>
      <c r="GI88" s="8">
        <f>IF(GI$56-Voorblad!$F$41&gt;Voorblad!$K$41,0,IF($U88=0,0,IF($U88&lt;1,1/$U88,IF((GI$56-Voorblad!$F$41)/$U88-SUM($EE88:GH88)=1,1,0))))</f>
        <v>0</v>
      </c>
      <c r="GJ88" s="8">
        <f>IF(GJ$56-Voorblad!$F$41&gt;Voorblad!$K$41,0,IF($U88=0,0,IF($U88&lt;1,1/$U88,IF((GJ$56-Voorblad!$F$41)/$U88-SUM($EE88:GI88)=1,1,0))))</f>
        <v>0</v>
      </c>
      <c r="GK88" s="8">
        <f>IF(GK$56-Voorblad!$F$41&gt;Voorblad!$K$41,0,IF($U88=0,0,IF($U88&lt;1,1/$U88,IF((GK$56-Voorblad!$F$41)/$U88-SUM($EE88:GJ88)=1,1,0))))</f>
        <v>0</v>
      </c>
      <c r="GL88" s="8">
        <f>IF(GL$56-Voorblad!$F$41&gt;Voorblad!$K$41,0,IF($U88=0,0,IF($U88&lt;1,1/$U88,IF((GL$56-Voorblad!$F$41)/$U88-SUM($EE88:GK88)=1,1,0))))</f>
        <v>0</v>
      </c>
      <c r="GM88" s="8">
        <f>IF(GM$56-Voorblad!$F$41&gt;Voorblad!$K$41,0,IF($U88=0,0,IF($U88&lt;1,1/$U88,IF((GM$56-Voorblad!$F$41)/$U88-SUM($EE88:GL88)=1,1,0))))</f>
        <v>0</v>
      </c>
      <c r="GN88" s="8">
        <f>IF(GN$56-Voorblad!$F$41&gt;Voorblad!$K$41,0,IF($U88=0,0,IF($U88&lt;1,1/$U88,IF((GN$56-Voorblad!$F$41)/$U88-SUM($EE88:GM88)=1,1,0))))</f>
        <v>0</v>
      </c>
      <c r="GO88" s="8">
        <f>IF(GO$56-Voorblad!$F$41&gt;Voorblad!$K$41,0,IF($U88=0,0,IF($U88&lt;1,1/$U88,IF((GO$56-Voorblad!$F$41)/$U88-SUM($EE88:GN88)=1,1,0))))</f>
        <v>0</v>
      </c>
      <c r="GP88" s="8">
        <f>IF(GP$56-Voorblad!$F$41&gt;Voorblad!$K$41,0,IF($U88=0,0,IF($U88&lt;1,1/$U88,IF((GP$56-Voorblad!$F$41)/$U88-SUM($EE88:GO88)=1,1,0))))</f>
        <v>0</v>
      </c>
      <c r="GQ88" s="8">
        <f>IF(GQ$56-Voorblad!$F$41&gt;Voorblad!$K$41,0,IF($U88=0,0,IF($U88&lt;1,1/$U88,IF((GQ$56-Voorblad!$F$41)/$U88-SUM($EE88:GP88)=1,1,0))))</f>
        <v>0</v>
      </c>
      <c r="GR88" s="8">
        <f>IF(GR$56-Voorblad!$F$41&gt;Voorblad!$K$41,0,IF($U88=0,0,IF($U88&lt;1,1/$U88,IF((GR$56-Voorblad!$F$41)/$U88-SUM($EE88:GQ88)=1,1,0))))</f>
        <v>0</v>
      </c>
      <c r="GS88" s="8">
        <f>IF(GS$56-Voorblad!$F$41&gt;Voorblad!$K$41,0,IF($U88=0,0,IF($U88&lt;1,1/$U88,IF((GS$56-Voorblad!$F$41)/$U88-SUM($EE88:GR88)=1,1,0))))</f>
        <v>0</v>
      </c>
      <c r="GT88" s="8">
        <f>IF(GT$56-Voorblad!$F$41&gt;Voorblad!$K$41,0,IF($U88=0,0,IF($U88&lt;1,1/$U88,IF((GT$56-Voorblad!$F$41)/$U88-SUM($EE88:GS88)=1,1,0))))</f>
        <v>0</v>
      </c>
      <c r="GU88" s="8">
        <f>IF(GU$56-Voorblad!$F$41&gt;Voorblad!$K$41,0,IF($U88=0,0,IF($U88&lt;1,1/$U88,IF((GU$56-Voorblad!$F$41)/$U88-SUM($EE88:GT88)=1,1,0))))</f>
        <v>0</v>
      </c>
      <c r="GV88" s="8">
        <f>IF(GV$56-Voorblad!$F$41&gt;Voorblad!$K$41,0,IF($U88=0,0,IF($U88&lt;1,1/$U88,IF((GV$56-Voorblad!$F$41)/$U88-SUM($EE88:GU88)=1,1,0))))</f>
        <v>0</v>
      </c>
      <c r="GW88" s="8">
        <f>IF(GW$56-Voorblad!$F$41&gt;Voorblad!$K$41,0,IF($U88=0,0,IF($U88&lt;1,1/$U88,IF((GW$56-Voorblad!$F$41)/$U88-SUM($EE88:GV88)=1,1,0))))</f>
        <v>0</v>
      </c>
      <c r="GX88" s="8">
        <f>IF(GX$56-Voorblad!$F$41&gt;Voorblad!$K$41,0,IF($U88=0,0,IF($U88&lt;1,1/$U88,IF((GX$56-Voorblad!$F$41)/$U88-SUM($EE88:GW88)=1,1,0))))</f>
        <v>0</v>
      </c>
      <c r="GY88" s="8">
        <f>IF(GY$56-Voorblad!$F$41&gt;Voorblad!$K$41,0,IF($U88=0,0,IF($U88&lt;1,1/$U88,IF((GY$56-Voorblad!$F$41)/$U88-SUM($EE88:GX88)=1,1,0))))</f>
        <v>0</v>
      </c>
      <c r="GZ88" s="8">
        <f>IF(GZ$56-Voorblad!$F$41&gt;Voorblad!$K$41,0,IF($U88=0,0,IF($U88&lt;1,1/$U88,IF((GZ$56-Voorblad!$F$41)/$U88-SUM($EE88:GY88)=1,1,0))))</f>
        <v>0</v>
      </c>
      <c r="HA88" s="8">
        <f>IF(HA$56-Voorblad!$F$41&gt;Voorblad!$K$41,0,IF($U88=0,0,IF($U88&lt;1,1/$U88,IF((HA$56-Voorblad!$F$41)/$U88-SUM($EE88:GZ88)=1,1,0))))</f>
        <v>0</v>
      </c>
      <c r="HB88" s="8">
        <f>IF(HB$56-Voorblad!$F$41&gt;Voorblad!$K$41,0,IF($U88=0,0,IF($U88&lt;1,1/$U88,IF((HB$56-Voorblad!$F$41)/$U88-SUM($EE88:HA88)=1,1,0))))</f>
        <v>0</v>
      </c>
      <c r="HC88" s="8">
        <f>IF(HC$56-Voorblad!$F$41&gt;Voorblad!$K$41,0,IF($U88=0,0,IF($U88&lt;1,1/$U88,IF((HC$56-Voorblad!$F$41)/$U88-SUM($EE88:HB88)=1,1,0))))</f>
        <v>0</v>
      </c>
      <c r="HD88" s="8">
        <f>IF(HD$56-Voorblad!$F$41&gt;Voorblad!$K$41,0,IF($U88=0,0,IF($U88&lt;1,1/$U88,IF((HD$56-Voorblad!$F$41)/$U88-SUM($EE88:HC88)=1,1,0))))</f>
        <v>0</v>
      </c>
      <c r="HE88" s="8">
        <f>IF(HE$56-Voorblad!$F$41&gt;Voorblad!$K$41,0,IF($U88=0,0,IF($U88&lt;1,1/$U88,IF((HE$56-Voorblad!$F$41)/$U88-SUM($EE88:HD88)=1,1,0))))</f>
        <v>0</v>
      </c>
      <c r="HF88" s="8">
        <f>IF(HF$56-Voorblad!$F$41&gt;Voorblad!$K$41,0,IF($U88=0,0,IF($U88&lt;1,1/$U88,IF((HF$56-Voorblad!$F$41)/$U88-SUM($EE88:HE88)=1,1,0))))</f>
        <v>0</v>
      </c>
      <c r="HG88" s="8">
        <f>IF(HG$56-Voorblad!$F$41&gt;Voorblad!$K$41,0,IF($U88=0,0,IF($U88&lt;1,1/$U88,IF((HG$56-Voorblad!$F$41)/$U88-SUM($EE88:HF88)=1,1,0))))</f>
        <v>0</v>
      </c>
      <c r="HH88" s="8">
        <f>IF(HH$56-Voorblad!$F$41&gt;Voorblad!$K$41,0,IF($U88=0,0,IF($U88&lt;1,1/$U88,IF((HH$56-Voorblad!$F$41)/$U88-SUM($EE88:HG88)=1,1,0))))</f>
        <v>0</v>
      </c>
      <c r="HI88" s="8">
        <f>IF(HI$56-Voorblad!$F$41&gt;Voorblad!$K$41,0,IF($U88=0,0,IF($U88&lt;1,1/$U88,IF((HI$56-Voorblad!$F$41)/$U88-SUM($EE88:HH88)=1,1,0))))</f>
        <v>0</v>
      </c>
      <c r="HJ88" s="8">
        <f>IF(HJ$56-Voorblad!$F$41&gt;Voorblad!$K$41,0,IF($U88=0,0,IF($U88&lt;1,1/$U88,IF((HJ$56-Voorblad!$F$41)/$U88-SUM($EE88:HI88)=1,1,0))))</f>
        <v>0</v>
      </c>
      <c r="HK88" s="8">
        <f>IF(HK$56-Voorblad!$F$41&gt;Voorblad!$K$41,0,IF($U88=0,0,IF($U88&lt;1,1/$U88,IF((HK$56-Voorblad!$F$41)/$U88-SUM($EE88:HJ88)=1,1,0))))</f>
        <v>0</v>
      </c>
      <c r="HL88" s="8">
        <f>IF(HL$56-Voorblad!$F$41&gt;Voorblad!$K$41,0,IF($U88=0,0,IF($U88&lt;1,1/$U88,IF((HL$56-Voorblad!$F$41)/$U88-SUM($EE88:HK88)=1,1,0))))</f>
        <v>0</v>
      </c>
      <c r="HM88" s="8">
        <f>IF(HM$56-Voorblad!$F$41&gt;Voorblad!$K$41,0,IF($U88=0,0,IF($U88&lt;1,1/$U88,IF((HM$56-Voorblad!$F$41)/$U88-SUM($EE88:HL88)=1,1,0))))</f>
        <v>0</v>
      </c>
      <c r="HN88" s="8">
        <f>IF(HN$56-Voorblad!$F$41&gt;Voorblad!$K$41,0,IF($U88=0,0,IF($U88&lt;1,1/$U88,IF((HN$56-Voorblad!$F$41)/$U88-SUM($EE88:HM88)=1,1,0))))</f>
        <v>0</v>
      </c>
      <c r="HO88" s="8">
        <f>IF(HO$56-Voorblad!$F$41&gt;Voorblad!$K$41,0,IF($U88=0,0,IF($U88&lt;1,1/$U88,IF((HO$56-Voorblad!$F$41)/$U88-SUM($EE88:HN88)=1,1,0))))</f>
        <v>0</v>
      </c>
      <c r="HP88" s="8">
        <f>IF(HP$56-Voorblad!$F$41&gt;Voorblad!$K$41,0,IF($U88=0,0,IF($U88&lt;1,1/$U88,IF((HP$56-Voorblad!$F$41)/$U88-SUM($EE88:HO88)=1,1,0))))</f>
        <v>0</v>
      </c>
      <c r="HQ88" s="8">
        <f>IF(HQ$56-Voorblad!$F$41&gt;Voorblad!$K$41,0,IF($U88=0,0,IF($U88&lt;1,1/$U88,IF((HQ$56-Voorblad!$F$41)/$U88-SUM($EE88:HP88)=1,1,0))))</f>
        <v>0</v>
      </c>
      <c r="HR88" s="8">
        <f>IF(HR$56-Voorblad!$F$41&gt;Voorblad!$K$41,0,IF($U88=0,0,IF($U88&lt;1,1/$U88,IF((HR$56-Voorblad!$F$41)/$U88-SUM($EE88:HQ88)=1,1,0))))</f>
        <v>0</v>
      </c>
      <c r="HS88" s="8">
        <f>IF(HS$56-Voorblad!$F$41&gt;Voorblad!$K$41,0,IF($U88=0,0,IF($U88&lt;1,1/$U88,IF((HS$56-Voorblad!$F$41)/$U88-SUM($EE88:HR88)=1,1,0))))</f>
        <v>0</v>
      </c>
      <c r="HT88" s="8">
        <f>IF(HT$56-Voorblad!$F$41&gt;Voorblad!$K$41,0,IF($U88=0,0,IF($U88&lt;1,1/$U88,IF((HT$56-Voorblad!$F$41)/$U88-SUM($EE88:HS88)=1,1,0))))</f>
        <v>0</v>
      </c>
      <c r="HU88" s="8">
        <f>IF(HU$56-Voorblad!$F$41&gt;Voorblad!$K$41,0,IF($U88=0,0,IF($U88&lt;1,1/$U88,IF((HU$56-Voorblad!$F$41)/$U88-SUM($EE88:HT88)=1,1,0))))</f>
        <v>0</v>
      </c>
      <c r="HV88" s="8">
        <f>IF(HV$56-Voorblad!$F$41&gt;Voorblad!$K$41,0,IF($U88=0,0,IF($U88&lt;1,1/$U88,IF((HV$56-Voorblad!$F$41)/$U88-SUM($EE88:HU88)=1,1,0))))</f>
        <v>0</v>
      </c>
      <c r="HW88" s="8">
        <f>IF(HW$56-Voorblad!$F$41&gt;Voorblad!$K$41,0,IF($U88=0,0,IF($U88&lt;1,1/$U88,IF((HW$56-Voorblad!$F$41)/$U88-SUM($EE88:HV88)=1,1,0))))</f>
        <v>0</v>
      </c>
      <c r="HX88" s="8">
        <f>IF(HX$56-Voorblad!$F$41&gt;Voorblad!$K$41,0,IF($U88=0,0,IF($U88&lt;1,1/$U88,IF((HX$56-Voorblad!$F$41)/$U88-SUM($EE88:HW88)=1,1,0))))</f>
        <v>0</v>
      </c>
      <c r="HY88" s="8">
        <f>IF(HY$56-Voorblad!$F$41&gt;Voorblad!$K$41,0,IF($U88=0,0,IF($U88&lt;1,1/$U88,IF((HY$56-Voorblad!$F$41)/$U88-SUM($EE88:HX88)=1,1,0))))</f>
        <v>0</v>
      </c>
      <c r="HZ88" s="8">
        <f>IF(HZ$56-Voorblad!$F$41&gt;Voorblad!$K$41,0,IF($U88=0,0,IF($U88&lt;1,1/$U88,IF((HZ$56-Voorblad!$F$41)/$U88-SUM($EE88:HY88)=1,1,0))))</f>
        <v>0</v>
      </c>
      <c r="IA88" s="8">
        <f>IF(IA$56-Voorblad!$F$41&gt;Voorblad!$K$41,0,IF($U88=0,0,IF($U88&lt;1,1/$U88,IF((IA$56-Voorblad!$F$41)/$U88-SUM($EE88:HZ88)=1,1,0))))</f>
        <v>0</v>
      </c>
      <c r="IB88" s="8">
        <f>IF(IB$56-Voorblad!$F$41&gt;Voorblad!$K$41,0,IF($U88=0,0,IF($U88&lt;1,1/$U88,IF((IB$56-Voorblad!$F$41)/$U88-SUM($EE88:IA88)=1,1,0))))</f>
        <v>0</v>
      </c>
    </row>
    <row r="89" spans="2:236" ht="12" hidden="1" customHeight="1" outlineLevel="1" x14ac:dyDescent="0.25">
      <c r="B89" s="1">
        <v>1</v>
      </c>
      <c r="F89" s="1" t="s">
        <v>23</v>
      </c>
      <c r="I89" s="1" t="s">
        <v>49</v>
      </c>
      <c r="K89" s="14" t="s">
        <v>192</v>
      </c>
      <c r="N89" s="3"/>
      <c r="P89" s="14" t="s">
        <v>194</v>
      </c>
      <c r="Q89" s="81">
        <v>0</v>
      </c>
      <c r="R89" s="1" t="s">
        <v>35</v>
      </c>
      <c r="S89" s="14">
        <f>$H$10*400</f>
        <v>952</v>
      </c>
      <c r="T89" s="1">
        <f t="shared" si="16"/>
        <v>0</v>
      </c>
      <c r="U89" s="14">
        <v>50</v>
      </c>
      <c r="V89" s="14"/>
      <c r="Y89" s="9">
        <f t="shared" si="18"/>
        <v>0</v>
      </c>
      <c r="Z89" s="82"/>
      <c r="AA89" s="82"/>
      <c r="AC89" s="9">
        <f>$Y89*(Voorblad!$K$44*(1+Voorblad!$K$44)^Voorblad!$K$41)/((1+Voorblad!$K$44)^Voorblad!$K$41-1)</f>
        <v>0</v>
      </c>
      <c r="AE89" s="9">
        <f>EF89*($Q89*$S89)/(1+Voorblad!$K$44)^(AE$56-Voorblad!$F$41)</f>
        <v>0</v>
      </c>
      <c r="AF89" s="9">
        <f>EG89*($Q89*$S89)/(1+Voorblad!$K$44)^(AF$56-Voorblad!$F$41)</f>
        <v>0</v>
      </c>
      <c r="AG89" s="9">
        <f>EH89*($Q89*$S89)/(1+Voorblad!$K$44)^(AG$56-Voorblad!$F$41)</f>
        <v>0</v>
      </c>
      <c r="AH89" s="9">
        <f>EI89*($Q89*$S89)/(1+Voorblad!$K$44)^(AH$56-Voorblad!$F$41)</f>
        <v>0</v>
      </c>
      <c r="AI89" s="9">
        <f>EJ89*($Q89*$S89)/(1+Voorblad!$K$44)^(AI$56-Voorblad!$F$41)</f>
        <v>0</v>
      </c>
      <c r="AJ89" s="9">
        <f>EK89*($Q89*$S89)/(1+Voorblad!$K$44)^(AJ$56-Voorblad!$F$41)</f>
        <v>0</v>
      </c>
      <c r="AK89" s="9">
        <f>EL89*($Q89*$S89)/(1+Voorblad!$K$44)^(AK$56-Voorblad!$F$41)</f>
        <v>0</v>
      </c>
      <c r="AL89" s="9">
        <f>EM89*($Q89*$S89)/(1+Voorblad!$K$44)^(AL$56-Voorblad!$F$41)</f>
        <v>0</v>
      </c>
      <c r="AM89" s="9">
        <f>EN89*($Q89*$S89)/(1+Voorblad!$K$44)^(AM$56-Voorblad!$F$41)</f>
        <v>0</v>
      </c>
      <c r="AN89" s="9">
        <f>EO89*($Q89*$S89)/(1+Voorblad!$K$44)^(AN$56-Voorblad!$F$41)</f>
        <v>0</v>
      </c>
      <c r="AO89" s="9">
        <f>EP89*($Q89*$S89)/(1+Voorblad!$K$44)^(AO$56-Voorblad!$F$41)</f>
        <v>0</v>
      </c>
      <c r="AP89" s="9">
        <f>EQ89*($Q89*$S89)/(1+Voorblad!$K$44)^(AP$56-Voorblad!$F$41)</f>
        <v>0</v>
      </c>
      <c r="AQ89" s="9">
        <f>ER89*($Q89*$S89)/(1+Voorblad!$K$44)^(AQ$56-Voorblad!$F$41)</f>
        <v>0</v>
      </c>
      <c r="AR89" s="9">
        <f>ES89*($Q89*$S89)/(1+Voorblad!$K$44)^(AR$56-Voorblad!$F$41)</f>
        <v>0</v>
      </c>
      <c r="AS89" s="9">
        <f>ET89*($Q89*$S89)/(1+Voorblad!$K$44)^(AS$56-Voorblad!$F$41)</f>
        <v>0</v>
      </c>
      <c r="AT89" s="9">
        <f>EU89*($Q89*$S89)/(1+Voorblad!$K$44)^(AT$56-Voorblad!$F$41)</f>
        <v>0</v>
      </c>
      <c r="AU89" s="9">
        <f>EV89*($Q89*$S89)/(1+Voorblad!$K$44)^(AU$56-Voorblad!$F$41)</f>
        <v>0</v>
      </c>
      <c r="AV89" s="9">
        <f>EW89*($Q89*$S89)/(1+Voorblad!$K$44)^(AV$56-Voorblad!$F$41)</f>
        <v>0</v>
      </c>
      <c r="AW89" s="9">
        <f>EX89*($Q89*$S89)/(1+Voorblad!$K$44)^(AW$56-Voorblad!$F$41)</f>
        <v>0</v>
      </c>
      <c r="AX89" s="9">
        <f>EY89*($Q89*$S89)/(1+Voorblad!$K$44)^(AX$56-Voorblad!$F$41)</f>
        <v>0</v>
      </c>
      <c r="AY89" s="9">
        <f>EZ89*($Q89*$S89)/(1+Voorblad!$K$44)^(AY$56-Voorblad!$F$41)</f>
        <v>0</v>
      </c>
      <c r="AZ89" s="9">
        <f>FA89*($Q89*$S89)/(1+Voorblad!$K$44)^(AZ$56-Voorblad!$F$41)</f>
        <v>0</v>
      </c>
      <c r="BA89" s="9">
        <f>FB89*($Q89*$S89)/(1+Voorblad!$K$44)^(BA$56-Voorblad!$F$41)</f>
        <v>0</v>
      </c>
      <c r="BB89" s="9">
        <f>FC89*($Q89*$S89)/(1+Voorblad!$K$44)^(BB$56-Voorblad!$F$41)</f>
        <v>0</v>
      </c>
      <c r="BC89" s="9">
        <f>FD89*($Q89*$S89)/(1+Voorblad!$K$44)^(BC$56-Voorblad!$F$41)</f>
        <v>0</v>
      </c>
      <c r="BD89" s="9">
        <f>FE89*($Q89*$S89)/(1+Voorblad!$K$44)^(BD$56-Voorblad!$F$41)</f>
        <v>0</v>
      </c>
      <c r="BE89" s="9">
        <f>FF89*($Q89*$S89)/(1+Voorblad!$K$44)^(BE$56-Voorblad!$F$41)</f>
        <v>0</v>
      </c>
      <c r="BF89" s="9">
        <f>FG89*($Q89*$S89)/(1+Voorblad!$K$44)^(BF$56-Voorblad!$F$41)</f>
        <v>0</v>
      </c>
      <c r="BG89" s="9">
        <f>FH89*($Q89*$S89)/(1+Voorblad!$K$44)^(BG$56-Voorblad!$F$41)</f>
        <v>0</v>
      </c>
      <c r="BH89" s="9">
        <f>FI89*($Q89*$S89)/(1+Voorblad!$K$44)^(BH$56-Voorblad!$F$41)</f>
        <v>0</v>
      </c>
      <c r="BI89" s="9">
        <f>FJ89*($Q89*$S89)/(1+Voorblad!$K$44)^(BI$56-Voorblad!$F$41)</f>
        <v>0</v>
      </c>
      <c r="BJ89" s="9">
        <f>FK89*($Q89*$S89)/(1+Voorblad!$K$44)^(BJ$56-Voorblad!$F$41)</f>
        <v>0</v>
      </c>
      <c r="BK89" s="9">
        <f>FL89*($Q89*$S89)/(1+Voorblad!$K$44)^(BK$56-Voorblad!$F$41)</f>
        <v>0</v>
      </c>
      <c r="BL89" s="9">
        <f>FM89*($Q89*$S89)/(1+Voorblad!$K$44)^(BL$56-Voorblad!$F$41)</f>
        <v>0</v>
      </c>
      <c r="BM89" s="9">
        <f>FN89*($Q89*$S89)/(1+Voorblad!$K$44)^(BM$56-Voorblad!$F$41)</f>
        <v>0</v>
      </c>
      <c r="BN89" s="9">
        <f>FO89*($Q89*$S89)/(1+Voorblad!$K$44)^(BN$56-Voorblad!$F$41)</f>
        <v>0</v>
      </c>
      <c r="BO89" s="9">
        <f>FP89*($Q89*$S89)/(1+Voorblad!$K$44)^(BO$56-Voorblad!$F$41)</f>
        <v>0</v>
      </c>
      <c r="BP89" s="9">
        <f>FQ89*($Q89*$S89)/(1+Voorblad!$K$44)^(BP$56-Voorblad!$F$41)</f>
        <v>0</v>
      </c>
      <c r="BQ89" s="9">
        <f>FR89*($Q89*$S89)/(1+Voorblad!$K$44)^(BQ$56-Voorblad!$F$41)</f>
        <v>0</v>
      </c>
      <c r="BR89" s="9">
        <f>FS89*($Q89*$S89)/(1+Voorblad!$K$44)^(BR$56-Voorblad!$F$41)</f>
        <v>0</v>
      </c>
      <c r="BS89" s="9">
        <f>FT89*($Q89*$S89)/(1+Voorblad!$K$44)^(BS$56-Voorblad!$F$41)</f>
        <v>0</v>
      </c>
      <c r="BT89" s="9">
        <f>FU89*($Q89*$S89)/(1+Voorblad!$K$44)^(BT$56-Voorblad!$F$41)</f>
        <v>0</v>
      </c>
      <c r="BU89" s="9">
        <f>FV89*($Q89*$S89)/(1+Voorblad!$K$44)^(BU$56-Voorblad!$F$41)</f>
        <v>0</v>
      </c>
      <c r="BV89" s="9">
        <f>FW89*($Q89*$S89)/(1+Voorblad!$K$44)^(BV$56-Voorblad!$F$41)</f>
        <v>0</v>
      </c>
      <c r="BW89" s="9">
        <f>FX89*($Q89*$S89)/(1+Voorblad!$K$44)^(BW$56-Voorblad!$F$41)</f>
        <v>0</v>
      </c>
      <c r="BX89" s="9">
        <f>FY89*($Q89*$S89)/(1+Voorblad!$K$44)^(BX$56-Voorblad!$F$41)</f>
        <v>0</v>
      </c>
      <c r="BY89" s="9">
        <f>FZ89*($Q89*$S89)/(1+Voorblad!$K$44)^(BY$56-Voorblad!$F$41)</f>
        <v>0</v>
      </c>
      <c r="BZ89" s="9">
        <f>GA89*($Q89*$S89)/(1+Voorblad!$K$44)^(BZ$56-Voorblad!$F$41)</f>
        <v>0</v>
      </c>
      <c r="CA89" s="9">
        <f>GB89*($Q89*$S89)/(1+Voorblad!$K$44)^(CA$56-Voorblad!$F$41)</f>
        <v>0</v>
      </c>
      <c r="CB89" s="9">
        <f>GC89*($Q89*$S89)/(1+Voorblad!$K$44)^(CB$56-Voorblad!$F$41)</f>
        <v>0</v>
      </c>
      <c r="CC89" s="9">
        <f>GD89*($Q89*$S89)/(1+Voorblad!$K$44)^(CC$56-Voorblad!$F$41)</f>
        <v>0</v>
      </c>
      <c r="CD89" s="9">
        <f>GE89*($Q89*$S89)/(1+Voorblad!$K$44)^(CD$56-Voorblad!$F$41)</f>
        <v>0</v>
      </c>
      <c r="CE89" s="9">
        <f>GF89*($Q89*$S89)/(1+Voorblad!$K$44)^(CE$56-Voorblad!$F$41)</f>
        <v>0</v>
      </c>
      <c r="CF89" s="9">
        <f>GG89*($Q89*$S89)/(1+Voorblad!$K$44)^(CF$56-Voorblad!$F$41)</f>
        <v>0</v>
      </c>
      <c r="CG89" s="9">
        <f>GH89*($Q89*$S89)/(1+Voorblad!$K$44)^(CG$56-Voorblad!$F$41)</f>
        <v>0</v>
      </c>
      <c r="CH89" s="9">
        <f>GI89*($Q89*$S89)/(1+Voorblad!$K$44)^(CH$56-Voorblad!$F$41)</f>
        <v>0</v>
      </c>
      <c r="CI89" s="9">
        <f>GJ89*($Q89*$S89)/(1+Voorblad!$K$44)^(CI$56-Voorblad!$F$41)</f>
        <v>0</v>
      </c>
      <c r="CJ89" s="9">
        <f>GK89*($Q89*$S89)/(1+Voorblad!$K$44)^(CJ$56-Voorblad!$F$41)</f>
        <v>0</v>
      </c>
      <c r="CK89" s="9">
        <f>GL89*($Q89*$S89)/(1+Voorblad!$K$44)^(CK$56-Voorblad!$F$41)</f>
        <v>0</v>
      </c>
      <c r="CL89" s="9">
        <f>GM89*($Q89*$S89)/(1+Voorblad!$K$44)^(CL$56-Voorblad!$F$41)</f>
        <v>0</v>
      </c>
      <c r="CM89" s="9">
        <f>GN89*($Q89*$S89)/(1+Voorblad!$K$44)^(CM$56-Voorblad!$F$41)</f>
        <v>0</v>
      </c>
      <c r="CN89" s="9">
        <f>GO89*($Q89*$S89)/(1+Voorblad!$K$44)^(CN$56-Voorblad!$F$41)</f>
        <v>0</v>
      </c>
      <c r="CO89" s="9">
        <f>GP89*($Q89*$S89)/(1+Voorblad!$K$44)^(CO$56-Voorblad!$F$41)</f>
        <v>0</v>
      </c>
      <c r="CP89" s="9">
        <f>GQ89*($Q89*$S89)/(1+Voorblad!$K$44)^(CP$56-Voorblad!$F$41)</f>
        <v>0</v>
      </c>
      <c r="CQ89" s="9">
        <f>GR89*($Q89*$S89)/(1+Voorblad!$K$44)^(CQ$56-Voorblad!$F$41)</f>
        <v>0</v>
      </c>
      <c r="CR89" s="9">
        <f>GS89*($Q89*$S89)/(1+Voorblad!$K$44)^(CR$56-Voorblad!$F$41)</f>
        <v>0</v>
      </c>
      <c r="CS89" s="9">
        <f>GT89*($Q89*$S89)/(1+Voorblad!$K$44)^(CS$56-Voorblad!$F$41)</f>
        <v>0</v>
      </c>
      <c r="CT89" s="9">
        <f>GU89*($Q89*$S89)/(1+Voorblad!$K$44)^(CT$56-Voorblad!$F$41)</f>
        <v>0</v>
      </c>
      <c r="CU89" s="9">
        <f>GV89*($Q89*$S89)/(1+Voorblad!$K$44)^(CU$56-Voorblad!$F$41)</f>
        <v>0</v>
      </c>
      <c r="CV89" s="9">
        <f>GW89*($Q89*$S89)/(1+Voorblad!$K$44)^(CV$56-Voorblad!$F$41)</f>
        <v>0</v>
      </c>
      <c r="CW89" s="9">
        <f>GX89*($Q89*$S89)/(1+Voorblad!$K$44)^(CW$56-Voorblad!$F$41)</f>
        <v>0</v>
      </c>
      <c r="CX89" s="9">
        <f>GY89*($Q89*$S89)/(1+Voorblad!$K$44)^(CX$56-Voorblad!$F$41)</f>
        <v>0</v>
      </c>
      <c r="CY89" s="9">
        <f>GZ89*($Q89*$S89)/(1+Voorblad!$K$44)^(CY$56-Voorblad!$F$41)</f>
        <v>0</v>
      </c>
      <c r="CZ89" s="9">
        <f>HA89*($Q89*$S89)/(1+Voorblad!$K$44)^(CZ$56-Voorblad!$F$41)</f>
        <v>0</v>
      </c>
      <c r="DA89" s="9">
        <f>HB89*($Q89*$S89)/(1+Voorblad!$K$44)^(DA$56-Voorblad!$F$41)</f>
        <v>0</v>
      </c>
      <c r="DB89" s="9">
        <f>HC89*($Q89*$S89)/(1+Voorblad!$K$44)^(DB$56-Voorblad!$F$41)</f>
        <v>0</v>
      </c>
      <c r="DC89" s="9">
        <f>HD89*($Q89*$S89)/(1+Voorblad!$K$44)^(DC$56-Voorblad!$F$41)</f>
        <v>0</v>
      </c>
      <c r="DD89" s="9">
        <f>HE89*($Q89*$S89)/(1+Voorblad!$K$44)^(DD$56-Voorblad!$F$41)</f>
        <v>0</v>
      </c>
      <c r="DE89" s="9">
        <f>HF89*($Q89*$S89)/(1+Voorblad!$K$44)^(DE$56-Voorblad!$F$41)</f>
        <v>0</v>
      </c>
      <c r="DF89" s="9">
        <f>HG89*($Q89*$S89)/(1+Voorblad!$K$44)^(DF$56-Voorblad!$F$41)</f>
        <v>0</v>
      </c>
      <c r="DG89" s="9">
        <f>HH89*($Q89*$S89)/(1+Voorblad!$K$44)^(DG$56-Voorblad!$F$41)</f>
        <v>0</v>
      </c>
      <c r="DH89" s="9">
        <f>HI89*($Q89*$S89)/(1+Voorblad!$K$44)^(DH$56-Voorblad!$F$41)</f>
        <v>0</v>
      </c>
      <c r="DI89" s="9">
        <f>HJ89*($Q89*$S89)/(1+Voorblad!$K$44)^(DI$56-Voorblad!$F$41)</f>
        <v>0</v>
      </c>
      <c r="DJ89" s="9">
        <f>HK89*($Q89*$S89)/(1+Voorblad!$K$44)^(DJ$56-Voorblad!$F$41)</f>
        <v>0</v>
      </c>
      <c r="DK89" s="9">
        <f>HL89*($Q89*$S89)/(1+Voorblad!$K$44)^(DK$56-Voorblad!$F$41)</f>
        <v>0</v>
      </c>
      <c r="DL89" s="9">
        <f>HM89*($Q89*$S89)/(1+Voorblad!$K$44)^(DL$56-Voorblad!$F$41)</f>
        <v>0</v>
      </c>
      <c r="DM89" s="9">
        <f>HN89*($Q89*$S89)/(1+Voorblad!$K$44)^(DM$56-Voorblad!$F$41)</f>
        <v>0</v>
      </c>
      <c r="DN89" s="9">
        <f>HO89*($Q89*$S89)/(1+Voorblad!$K$44)^(DN$56-Voorblad!$F$41)</f>
        <v>0</v>
      </c>
      <c r="DO89" s="9">
        <f>HP89*($Q89*$S89)/(1+Voorblad!$K$44)^(DO$56-Voorblad!$F$41)</f>
        <v>0</v>
      </c>
      <c r="DP89" s="9">
        <f>HQ89*($Q89*$S89)/(1+Voorblad!$K$44)^(DP$56-Voorblad!$F$41)</f>
        <v>0</v>
      </c>
      <c r="DQ89" s="9">
        <f>HR89*($Q89*$S89)/(1+Voorblad!$K$44)^(DQ$56-Voorblad!$F$41)</f>
        <v>0</v>
      </c>
      <c r="DR89" s="9">
        <f>HS89*($Q89*$S89)/(1+Voorblad!$K$44)^(DR$56-Voorblad!$F$41)</f>
        <v>0</v>
      </c>
      <c r="DS89" s="9">
        <f>HT89*($Q89*$S89)/(1+Voorblad!$K$44)^(DS$56-Voorblad!$F$41)</f>
        <v>0</v>
      </c>
      <c r="DT89" s="9">
        <f>HU89*($Q89*$S89)/(1+Voorblad!$K$44)^(DT$56-Voorblad!$F$41)</f>
        <v>0</v>
      </c>
      <c r="DU89" s="9">
        <f>HV89*($Q89*$S89)/(1+Voorblad!$K$44)^(DU$56-Voorblad!$F$41)</f>
        <v>0</v>
      </c>
      <c r="DV89" s="9">
        <f>HW89*($Q89*$S89)/(1+Voorblad!$K$44)^(DV$56-Voorblad!$F$41)</f>
        <v>0</v>
      </c>
      <c r="DW89" s="9">
        <f>HX89*($Q89*$S89)/(1+Voorblad!$K$44)^(DW$56-Voorblad!$F$41)</f>
        <v>0</v>
      </c>
      <c r="DX89" s="9">
        <f>HY89*($Q89*$S89)/(1+Voorblad!$K$44)^(DX$56-Voorblad!$F$41)</f>
        <v>0</v>
      </c>
      <c r="DY89" s="9">
        <f>HZ89*($Q89*$S89)/(1+Voorblad!$K$44)^(DY$56-Voorblad!$F$41)</f>
        <v>0</v>
      </c>
      <c r="DZ89" s="9">
        <f>IA89*($Q89*$S89)/(1+Voorblad!$K$44)^(DZ$56-Voorblad!$F$41)</f>
        <v>0</v>
      </c>
      <c r="EA89" s="9">
        <f>IB89*($Q89*$S89)/(1+Voorblad!$K$44)^(EA$56-Voorblad!$F$41)</f>
        <v>0</v>
      </c>
      <c r="EB89" s="9">
        <f>IC89*($Q89*$S89)/(1+Voorblad!$K$44)^(EB$56-Voorblad!$F$41)</f>
        <v>0</v>
      </c>
      <c r="EE89" s="8">
        <v>0</v>
      </c>
      <c r="EF89" s="8">
        <f>IF(EF$56-Voorblad!$F$41&gt;Voorblad!$K$41,0,IF($U89=0,0,IF($U89&lt;1,1/$U89,IF((EF$56-Voorblad!$F$41)/$U89-SUM($EE89:EE89)=1,1,0))))</f>
        <v>0</v>
      </c>
      <c r="EG89" s="8">
        <f>IF(EG$56-Voorblad!$F$41&gt;Voorblad!$K$41,0,IF($U89=0,0,IF($U89&lt;1,1/$U89,IF((EG$56-Voorblad!$F$41)/$U89-SUM($EE89:EF89)=1,1,0))))</f>
        <v>0</v>
      </c>
      <c r="EH89" s="8">
        <f>IF(EH$56-Voorblad!$F$41&gt;Voorblad!$K$41,0,IF($U89=0,0,IF($U89&lt;1,1/$U89,IF((EH$56-Voorblad!$F$41)/$U89-SUM($EE89:EG89)=1,1,0))))</f>
        <v>0</v>
      </c>
      <c r="EI89" s="8">
        <f>IF(EI$56-Voorblad!$F$41&gt;Voorblad!$K$41,0,IF($U89=0,0,IF($U89&lt;1,1/$U89,IF((EI$56-Voorblad!$F$41)/$U89-SUM($EE89:EH89)=1,1,0))))</f>
        <v>0</v>
      </c>
      <c r="EJ89" s="8">
        <f>IF(EJ$56-Voorblad!$F$41&gt;Voorblad!$K$41,0,IF($U89=0,0,IF($U89&lt;1,1/$U89,IF((EJ$56-Voorblad!$F$41)/$U89-SUM($EE89:EI89)=1,1,0))))</f>
        <v>0</v>
      </c>
      <c r="EK89" s="8">
        <f>IF(EK$56-Voorblad!$F$41&gt;Voorblad!$K$41,0,IF($U89=0,0,IF($U89&lt;1,1/$U89,IF((EK$56-Voorblad!$F$41)/$U89-SUM($EE89:EJ89)=1,1,0))))</f>
        <v>0</v>
      </c>
      <c r="EL89" s="8">
        <f>IF(EL$56-Voorblad!$F$41&gt;Voorblad!$K$41,0,IF($U89=0,0,IF($U89&lt;1,1/$U89,IF((EL$56-Voorblad!$F$41)/$U89-SUM($EE89:EK89)=1,1,0))))</f>
        <v>0</v>
      </c>
      <c r="EM89" s="8">
        <f>IF(EM$56-Voorblad!$F$41&gt;Voorblad!$K$41,0,IF($U89=0,0,IF($U89&lt;1,1/$U89,IF((EM$56-Voorblad!$F$41)/$U89-SUM($EE89:EL89)=1,1,0))))</f>
        <v>0</v>
      </c>
      <c r="EN89" s="8">
        <f>IF(EN$56-Voorblad!$F$41&gt;Voorblad!$K$41,0,IF($U89=0,0,IF($U89&lt;1,1/$U89,IF((EN$56-Voorblad!$F$41)/$U89-SUM($EE89:EM89)=1,1,0))))</f>
        <v>0</v>
      </c>
      <c r="EO89" s="8">
        <f>IF(EO$56-Voorblad!$F$41&gt;Voorblad!$K$41,0,IF($U89=0,0,IF($U89&lt;1,1/$U89,IF((EO$56-Voorblad!$F$41)/$U89-SUM($EE89:EN89)=1,1,0))))</f>
        <v>0</v>
      </c>
      <c r="EP89" s="8">
        <f>IF(EP$56-Voorblad!$F$41&gt;Voorblad!$K$41,0,IF($U89=0,0,IF($U89&lt;1,1/$U89,IF((EP$56-Voorblad!$F$41)/$U89-SUM($EE89:EO89)=1,1,0))))</f>
        <v>0</v>
      </c>
      <c r="EQ89" s="8">
        <f>IF(EQ$56-Voorblad!$F$41&gt;Voorblad!$K$41,0,IF($U89=0,0,IF($U89&lt;1,1/$U89,IF((EQ$56-Voorblad!$F$41)/$U89-SUM($EE89:EP89)=1,1,0))))</f>
        <v>0</v>
      </c>
      <c r="ER89" s="8">
        <f>IF(ER$56-Voorblad!$F$41&gt;Voorblad!$K$41,0,IF($U89=0,0,IF($U89&lt;1,1/$U89,IF((ER$56-Voorblad!$F$41)/$U89-SUM($EE89:EQ89)=1,1,0))))</f>
        <v>0</v>
      </c>
      <c r="ES89" s="8">
        <f>IF(ES$56-Voorblad!$F$41&gt;Voorblad!$K$41,0,IF($U89=0,0,IF($U89&lt;1,1/$U89,IF((ES$56-Voorblad!$F$41)/$U89-SUM($EE89:ER89)=1,1,0))))</f>
        <v>0</v>
      </c>
      <c r="ET89" s="8">
        <f>IF(ET$56-Voorblad!$F$41&gt;Voorblad!$K$41,0,IF($U89=0,0,IF($U89&lt;1,1/$U89,IF((ET$56-Voorblad!$F$41)/$U89-SUM($EE89:ES89)=1,1,0))))</f>
        <v>0</v>
      </c>
      <c r="EU89" s="8">
        <f>IF(EU$56-Voorblad!$F$41&gt;Voorblad!$K$41,0,IF($U89=0,0,IF($U89&lt;1,1/$U89,IF((EU$56-Voorblad!$F$41)/$U89-SUM($EE89:ET89)=1,1,0))))</f>
        <v>0</v>
      </c>
      <c r="EV89" s="8">
        <f>IF(EV$56-Voorblad!$F$41&gt;Voorblad!$K$41,0,IF($U89=0,0,IF($U89&lt;1,1/$U89,IF((EV$56-Voorblad!$F$41)/$U89-SUM($EE89:EU89)=1,1,0))))</f>
        <v>0</v>
      </c>
      <c r="EW89" s="8">
        <f>IF(EW$56-Voorblad!$F$41&gt;Voorblad!$K$41,0,IF($U89=0,0,IF($U89&lt;1,1/$U89,IF((EW$56-Voorblad!$F$41)/$U89-SUM($EE89:EV89)=1,1,0))))</f>
        <v>0</v>
      </c>
      <c r="EX89" s="8">
        <f>IF(EX$56-Voorblad!$F$41&gt;Voorblad!$K$41,0,IF($U89=0,0,IF($U89&lt;1,1/$U89,IF((EX$56-Voorblad!$F$41)/$U89-SUM($EE89:EW89)=1,1,0))))</f>
        <v>0</v>
      </c>
      <c r="EY89" s="8">
        <f>IF(EY$56-Voorblad!$F$41&gt;Voorblad!$K$41,0,IF($U89=0,0,IF($U89&lt;1,1/$U89,IF((EY$56-Voorblad!$F$41)/$U89-SUM($EE89:EX89)=1,1,0))))</f>
        <v>0</v>
      </c>
      <c r="EZ89" s="8">
        <f>IF(EZ$56-Voorblad!$F$41&gt;Voorblad!$K$41,0,IF($U89=0,0,IF($U89&lt;1,1/$U89,IF((EZ$56-Voorblad!$F$41)/$U89-SUM($EE89:EY89)=1,1,0))))</f>
        <v>0</v>
      </c>
      <c r="FA89" s="8">
        <f>IF(FA$56-Voorblad!$F$41&gt;Voorblad!$K$41,0,IF($U89=0,0,IF($U89&lt;1,1/$U89,IF((FA$56-Voorblad!$F$41)/$U89-SUM($EE89:EZ89)=1,1,0))))</f>
        <v>0</v>
      </c>
      <c r="FB89" s="8">
        <f>IF(FB$56-Voorblad!$F$41&gt;Voorblad!$K$41,0,IF($U89=0,0,IF($U89&lt;1,1/$U89,IF((FB$56-Voorblad!$F$41)/$U89-SUM($EE89:FA89)=1,1,0))))</f>
        <v>0</v>
      </c>
      <c r="FC89" s="8">
        <f>IF(FC$56-Voorblad!$F$41&gt;Voorblad!$K$41,0,IF($U89=0,0,IF($U89&lt;1,1/$U89,IF((FC$56-Voorblad!$F$41)/$U89-SUM($EE89:FB89)=1,1,0))))</f>
        <v>0</v>
      </c>
      <c r="FD89" s="8">
        <f>IF(FD$56-Voorblad!$F$41&gt;Voorblad!$K$41,0,IF($U89=0,0,IF($U89&lt;1,1/$U89,IF((FD$56-Voorblad!$F$41)/$U89-SUM($EE89:FC89)=1,1,0))))</f>
        <v>0</v>
      </c>
      <c r="FE89" s="8">
        <f>IF(FE$56-Voorblad!$F$41&gt;Voorblad!$K$41,0,IF($U89=0,0,IF($U89&lt;1,1/$U89,IF((FE$56-Voorblad!$F$41)/$U89-SUM($EE89:FD89)=1,1,0))))</f>
        <v>0</v>
      </c>
      <c r="FF89" s="8">
        <f>IF(FF$56-Voorblad!$F$41&gt;Voorblad!$K$41,0,IF($U89=0,0,IF($U89&lt;1,1/$U89,IF((FF$56-Voorblad!$F$41)/$U89-SUM($EE89:FE89)=1,1,0))))</f>
        <v>0</v>
      </c>
      <c r="FG89" s="8">
        <f>IF(FG$56-Voorblad!$F$41&gt;Voorblad!$K$41,0,IF($U89=0,0,IF($U89&lt;1,1/$U89,IF((FG$56-Voorblad!$F$41)/$U89-SUM($EE89:FF89)=1,1,0))))</f>
        <v>0</v>
      </c>
      <c r="FH89" s="8">
        <f>IF(FH$56-Voorblad!$F$41&gt;Voorblad!$K$41,0,IF($U89=0,0,IF($U89&lt;1,1/$U89,IF((FH$56-Voorblad!$F$41)/$U89-SUM($EE89:FG89)=1,1,0))))</f>
        <v>0</v>
      </c>
      <c r="FI89" s="8">
        <f>IF(FI$56-Voorblad!$F$41&gt;Voorblad!$K$41,0,IF($U89=0,0,IF($U89&lt;1,1/$U89,IF((FI$56-Voorblad!$F$41)/$U89-SUM($EE89:FH89)=1,1,0))))</f>
        <v>0</v>
      </c>
      <c r="FJ89" s="8">
        <f>IF(FJ$56-Voorblad!$F$41&gt;Voorblad!$K$41,0,IF($U89=0,0,IF($U89&lt;1,1/$U89,IF((FJ$56-Voorblad!$F$41)/$U89-SUM($EE89:FI89)=1,1,0))))</f>
        <v>0</v>
      </c>
      <c r="FK89" s="8">
        <f>IF(FK$56-Voorblad!$F$41&gt;Voorblad!$K$41,0,IF($U89=0,0,IF($U89&lt;1,1/$U89,IF((FK$56-Voorblad!$F$41)/$U89-SUM($EE89:FJ89)=1,1,0))))</f>
        <v>0</v>
      </c>
      <c r="FL89" s="8">
        <f>IF(FL$56-Voorblad!$F$41&gt;Voorblad!$K$41,0,IF($U89=0,0,IF($U89&lt;1,1/$U89,IF((FL$56-Voorblad!$F$41)/$U89-SUM($EE89:FK89)=1,1,0))))</f>
        <v>0</v>
      </c>
      <c r="FM89" s="8">
        <f>IF(FM$56-Voorblad!$F$41&gt;Voorblad!$K$41,0,IF($U89=0,0,IF($U89&lt;1,1/$U89,IF((FM$56-Voorblad!$F$41)/$U89-SUM($EE89:FL89)=1,1,0))))</f>
        <v>0</v>
      </c>
      <c r="FN89" s="8">
        <f>IF(FN$56-Voorblad!$F$41&gt;Voorblad!$K$41,0,IF($U89=0,0,IF($U89&lt;1,1/$U89,IF((FN$56-Voorblad!$F$41)/$U89-SUM($EE89:FM89)=1,1,0))))</f>
        <v>0</v>
      </c>
      <c r="FO89" s="8">
        <f>IF(FO$56-Voorblad!$F$41&gt;Voorblad!$K$41,0,IF($U89=0,0,IF($U89&lt;1,1/$U89,IF((FO$56-Voorblad!$F$41)/$U89-SUM($EE89:FN89)=1,1,0))))</f>
        <v>0</v>
      </c>
      <c r="FP89" s="8">
        <f>IF(FP$56-Voorblad!$F$41&gt;Voorblad!$K$41,0,IF($U89=0,0,IF($U89&lt;1,1/$U89,IF((FP$56-Voorblad!$F$41)/$U89-SUM($EE89:FO89)=1,1,0))))</f>
        <v>0</v>
      </c>
      <c r="FQ89" s="8">
        <f>IF(FQ$56-Voorblad!$F$41&gt;Voorblad!$K$41,0,IF($U89=0,0,IF($U89&lt;1,1/$U89,IF((FQ$56-Voorblad!$F$41)/$U89-SUM($EE89:FP89)=1,1,0))))</f>
        <v>0</v>
      </c>
      <c r="FR89" s="8">
        <f>IF(FR$56-Voorblad!$F$41&gt;Voorblad!$K$41,0,IF($U89=0,0,IF($U89&lt;1,1/$U89,IF((FR$56-Voorblad!$F$41)/$U89-SUM($EE89:FQ89)=1,1,0))))</f>
        <v>0</v>
      </c>
      <c r="FS89" s="8">
        <f>IF(FS$56-Voorblad!$F$41&gt;Voorblad!$K$41,0,IF($U89=0,0,IF($U89&lt;1,1/$U89,IF((FS$56-Voorblad!$F$41)/$U89-SUM($EE89:FR89)=1,1,0))))</f>
        <v>0</v>
      </c>
      <c r="FT89" s="8">
        <f>IF(FT$56-Voorblad!$F$41&gt;Voorblad!$K$41,0,IF($U89=0,0,IF($U89&lt;1,1/$U89,IF((FT$56-Voorblad!$F$41)/$U89-SUM($EE89:FS89)=1,1,0))))</f>
        <v>0</v>
      </c>
      <c r="FU89" s="8">
        <f>IF(FU$56-Voorblad!$F$41&gt;Voorblad!$K$41,0,IF($U89=0,0,IF($U89&lt;1,1/$U89,IF((FU$56-Voorblad!$F$41)/$U89-SUM($EE89:FT89)=1,1,0))))</f>
        <v>0</v>
      </c>
      <c r="FV89" s="8">
        <f>IF(FV$56-Voorblad!$F$41&gt;Voorblad!$K$41,0,IF($U89=0,0,IF($U89&lt;1,1/$U89,IF((FV$56-Voorblad!$F$41)/$U89-SUM($EE89:FU89)=1,1,0))))</f>
        <v>0</v>
      </c>
      <c r="FW89" s="8">
        <f>IF(FW$56-Voorblad!$F$41&gt;Voorblad!$K$41,0,IF($U89=0,0,IF($U89&lt;1,1/$U89,IF((FW$56-Voorblad!$F$41)/$U89-SUM($EE89:FV89)=1,1,0))))</f>
        <v>0</v>
      </c>
      <c r="FX89" s="8">
        <f>IF(FX$56-Voorblad!$F$41&gt;Voorblad!$K$41,0,IF($U89=0,0,IF($U89&lt;1,1/$U89,IF((FX$56-Voorblad!$F$41)/$U89-SUM($EE89:FW89)=1,1,0))))</f>
        <v>0</v>
      </c>
      <c r="FY89" s="8">
        <f>IF(FY$56-Voorblad!$F$41&gt;Voorblad!$K$41,0,IF($U89=0,0,IF($U89&lt;1,1/$U89,IF((FY$56-Voorblad!$F$41)/$U89-SUM($EE89:FX89)=1,1,0))))</f>
        <v>0</v>
      </c>
      <c r="FZ89" s="8">
        <f>IF(FZ$56-Voorblad!$F$41&gt;Voorblad!$K$41,0,IF($U89=0,0,IF($U89&lt;1,1/$U89,IF((FZ$56-Voorblad!$F$41)/$U89-SUM($EE89:FY89)=1,1,0))))</f>
        <v>0</v>
      </c>
      <c r="GA89" s="8">
        <f>IF(GA$56-Voorblad!$F$41&gt;Voorblad!$K$41,0,IF($U89=0,0,IF($U89&lt;1,1/$U89,IF((GA$56-Voorblad!$F$41)/$U89-SUM($EE89:FZ89)=1,1,0))))</f>
        <v>0</v>
      </c>
      <c r="GB89" s="8">
        <f>IF(GB$56-Voorblad!$F$41&gt;Voorblad!$K$41,0,IF($U89=0,0,IF($U89&lt;1,1/$U89,IF((GB$56-Voorblad!$F$41)/$U89-SUM($EE89:GA89)=1,1,0))))</f>
        <v>0</v>
      </c>
      <c r="GC89" s="8">
        <f>IF(GC$56-Voorblad!$F$41&gt;Voorblad!$K$41,0,IF($U89=0,0,IF($U89&lt;1,1/$U89,IF((GC$56-Voorblad!$F$41)/$U89-SUM($EE89:GB89)=1,1,0))))</f>
        <v>0</v>
      </c>
      <c r="GD89" s="8">
        <f>IF(GD$56-Voorblad!$F$41&gt;Voorblad!$K$41,0,IF($U89=0,0,IF($U89&lt;1,1/$U89,IF((GD$56-Voorblad!$F$41)/$U89-SUM($EE89:GC89)=1,1,0))))</f>
        <v>1</v>
      </c>
      <c r="GE89" s="8">
        <f>IF(GE$56-Voorblad!$F$41&gt;Voorblad!$K$41,0,IF($U89=0,0,IF($U89&lt;1,1/$U89,IF((GE$56-Voorblad!$F$41)/$U89-SUM($EE89:GD89)=1,1,0))))</f>
        <v>0</v>
      </c>
      <c r="GF89" s="8">
        <f>IF(GF$56-Voorblad!$F$41&gt;Voorblad!$K$41,0,IF($U89=0,0,IF($U89&lt;1,1/$U89,IF((GF$56-Voorblad!$F$41)/$U89-SUM($EE89:GE89)=1,1,0))))</f>
        <v>0</v>
      </c>
      <c r="GG89" s="8">
        <f>IF(GG$56-Voorblad!$F$41&gt;Voorblad!$K$41,0,IF($U89=0,0,IF($U89&lt;1,1/$U89,IF((GG$56-Voorblad!$F$41)/$U89-SUM($EE89:GF89)=1,1,0))))</f>
        <v>0</v>
      </c>
      <c r="GH89" s="8">
        <f>IF(GH$56-Voorblad!$F$41&gt;Voorblad!$K$41,0,IF($U89=0,0,IF($U89&lt;1,1/$U89,IF((GH$56-Voorblad!$F$41)/$U89-SUM($EE89:GG89)=1,1,0))))</f>
        <v>0</v>
      </c>
      <c r="GI89" s="8">
        <f>IF(GI$56-Voorblad!$F$41&gt;Voorblad!$K$41,0,IF($U89=0,0,IF($U89&lt;1,1/$U89,IF((GI$56-Voorblad!$F$41)/$U89-SUM($EE89:GH89)=1,1,0))))</f>
        <v>0</v>
      </c>
      <c r="GJ89" s="8">
        <f>IF(GJ$56-Voorblad!$F$41&gt;Voorblad!$K$41,0,IF($U89=0,0,IF($U89&lt;1,1/$U89,IF((GJ$56-Voorblad!$F$41)/$U89-SUM($EE89:GI89)=1,1,0))))</f>
        <v>0</v>
      </c>
      <c r="GK89" s="8">
        <f>IF(GK$56-Voorblad!$F$41&gt;Voorblad!$K$41,0,IF($U89=0,0,IF($U89&lt;1,1/$U89,IF((GK$56-Voorblad!$F$41)/$U89-SUM($EE89:GJ89)=1,1,0))))</f>
        <v>0</v>
      </c>
      <c r="GL89" s="8">
        <f>IF(GL$56-Voorblad!$F$41&gt;Voorblad!$K$41,0,IF($U89=0,0,IF($U89&lt;1,1/$U89,IF((GL$56-Voorblad!$F$41)/$U89-SUM($EE89:GK89)=1,1,0))))</f>
        <v>0</v>
      </c>
      <c r="GM89" s="8">
        <f>IF(GM$56-Voorblad!$F$41&gt;Voorblad!$K$41,0,IF($U89=0,0,IF($U89&lt;1,1/$U89,IF((GM$56-Voorblad!$F$41)/$U89-SUM($EE89:GL89)=1,1,0))))</f>
        <v>0</v>
      </c>
      <c r="GN89" s="8">
        <f>IF(GN$56-Voorblad!$F$41&gt;Voorblad!$K$41,0,IF($U89=0,0,IF($U89&lt;1,1/$U89,IF((GN$56-Voorblad!$F$41)/$U89-SUM($EE89:GM89)=1,1,0))))</f>
        <v>0</v>
      </c>
      <c r="GO89" s="8">
        <f>IF(GO$56-Voorblad!$F$41&gt;Voorblad!$K$41,0,IF($U89=0,0,IF($U89&lt;1,1/$U89,IF((GO$56-Voorblad!$F$41)/$U89-SUM($EE89:GN89)=1,1,0))))</f>
        <v>0</v>
      </c>
      <c r="GP89" s="8">
        <f>IF(GP$56-Voorblad!$F$41&gt;Voorblad!$K$41,0,IF($U89=0,0,IF($U89&lt;1,1/$U89,IF((GP$56-Voorblad!$F$41)/$U89-SUM($EE89:GO89)=1,1,0))))</f>
        <v>0</v>
      </c>
      <c r="GQ89" s="8">
        <f>IF(GQ$56-Voorblad!$F$41&gt;Voorblad!$K$41,0,IF($U89=0,0,IF($U89&lt;1,1/$U89,IF((GQ$56-Voorblad!$F$41)/$U89-SUM($EE89:GP89)=1,1,0))))</f>
        <v>0</v>
      </c>
      <c r="GR89" s="8">
        <f>IF(GR$56-Voorblad!$F$41&gt;Voorblad!$K$41,0,IF($U89=0,0,IF($U89&lt;1,1/$U89,IF((GR$56-Voorblad!$F$41)/$U89-SUM($EE89:GQ89)=1,1,0))))</f>
        <v>0</v>
      </c>
      <c r="GS89" s="8">
        <f>IF(GS$56-Voorblad!$F$41&gt;Voorblad!$K$41,0,IF($U89=0,0,IF($U89&lt;1,1/$U89,IF((GS$56-Voorblad!$F$41)/$U89-SUM($EE89:GR89)=1,1,0))))</f>
        <v>0</v>
      </c>
      <c r="GT89" s="8">
        <f>IF(GT$56-Voorblad!$F$41&gt;Voorblad!$K$41,0,IF($U89=0,0,IF($U89&lt;1,1/$U89,IF((GT$56-Voorblad!$F$41)/$U89-SUM($EE89:GS89)=1,1,0))))</f>
        <v>0</v>
      </c>
      <c r="GU89" s="8">
        <f>IF(GU$56-Voorblad!$F$41&gt;Voorblad!$K$41,0,IF($U89=0,0,IF($U89&lt;1,1/$U89,IF((GU$56-Voorblad!$F$41)/$U89-SUM($EE89:GT89)=1,1,0))))</f>
        <v>0</v>
      </c>
      <c r="GV89" s="8">
        <f>IF(GV$56-Voorblad!$F$41&gt;Voorblad!$K$41,0,IF($U89=0,0,IF($U89&lt;1,1/$U89,IF((GV$56-Voorblad!$F$41)/$U89-SUM($EE89:GU89)=1,1,0))))</f>
        <v>0</v>
      </c>
      <c r="GW89" s="8">
        <f>IF(GW$56-Voorblad!$F$41&gt;Voorblad!$K$41,0,IF($U89=0,0,IF($U89&lt;1,1/$U89,IF((GW$56-Voorblad!$F$41)/$U89-SUM($EE89:GV89)=1,1,0))))</f>
        <v>0</v>
      </c>
      <c r="GX89" s="8">
        <f>IF(GX$56-Voorblad!$F$41&gt;Voorblad!$K$41,0,IF($U89=0,0,IF($U89&lt;1,1/$U89,IF((GX$56-Voorblad!$F$41)/$U89-SUM($EE89:GW89)=1,1,0))))</f>
        <v>0</v>
      </c>
      <c r="GY89" s="8">
        <f>IF(GY$56-Voorblad!$F$41&gt;Voorblad!$K$41,0,IF($U89=0,0,IF($U89&lt;1,1/$U89,IF((GY$56-Voorblad!$F$41)/$U89-SUM($EE89:GX89)=1,1,0))))</f>
        <v>0</v>
      </c>
      <c r="GZ89" s="8">
        <f>IF(GZ$56-Voorblad!$F$41&gt;Voorblad!$K$41,0,IF($U89=0,0,IF($U89&lt;1,1/$U89,IF((GZ$56-Voorblad!$F$41)/$U89-SUM($EE89:GY89)=1,1,0))))</f>
        <v>0</v>
      </c>
      <c r="HA89" s="8">
        <f>IF(HA$56-Voorblad!$F$41&gt;Voorblad!$K$41,0,IF($U89=0,0,IF($U89&lt;1,1/$U89,IF((HA$56-Voorblad!$F$41)/$U89-SUM($EE89:GZ89)=1,1,0))))</f>
        <v>0</v>
      </c>
      <c r="HB89" s="8">
        <f>IF(HB$56-Voorblad!$F$41&gt;Voorblad!$K$41,0,IF($U89=0,0,IF($U89&lt;1,1/$U89,IF((HB$56-Voorblad!$F$41)/$U89-SUM($EE89:HA89)=1,1,0))))</f>
        <v>0</v>
      </c>
      <c r="HC89" s="8">
        <f>IF(HC$56-Voorblad!$F$41&gt;Voorblad!$K$41,0,IF($U89=0,0,IF($U89&lt;1,1/$U89,IF((HC$56-Voorblad!$F$41)/$U89-SUM($EE89:HB89)=1,1,0))))</f>
        <v>0</v>
      </c>
      <c r="HD89" s="8">
        <f>IF(HD$56-Voorblad!$F$41&gt;Voorblad!$K$41,0,IF($U89=0,0,IF($U89&lt;1,1/$U89,IF((HD$56-Voorblad!$F$41)/$U89-SUM($EE89:HC89)=1,1,0))))</f>
        <v>0</v>
      </c>
      <c r="HE89" s="8">
        <f>IF(HE$56-Voorblad!$F$41&gt;Voorblad!$K$41,0,IF($U89=0,0,IF($U89&lt;1,1/$U89,IF((HE$56-Voorblad!$F$41)/$U89-SUM($EE89:HD89)=1,1,0))))</f>
        <v>0</v>
      </c>
      <c r="HF89" s="8">
        <f>IF(HF$56-Voorblad!$F$41&gt;Voorblad!$K$41,0,IF($U89=0,0,IF($U89&lt;1,1/$U89,IF((HF$56-Voorblad!$F$41)/$U89-SUM($EE89:HE89)=1,1,0))))</f>
        <v>0</v>
      </c>
      <c r="HG89" s="8">
        <f>IF(HG$56-Voorblad!$F$41&gt;Voorblad!$K$41,0,IF($U89=0,0,IF($U89&lt;1,1/$U89,IF((HG$56-Voorblad!$F$41)/$U89-SUM($EE89:HF89)=1,1,0))))</f>
        <v>0</v>
      </c>
      <c r="HH89" s="8">
        <f>IF(HH$56-Voorblad!$F$41&gt;Voorblad!$K$41,0,IF($U89=0,0,IF($U89&lt;1,1/$U89,IF((HH$56-Voorblad!$F$41)/$U89-SUM($EE89:HG89)=1,1,0))))</f>
        <v>0</v>
      </c>
      <c r="HI89" s="8">
        <f>IF(HI$56-Voorblad!$F$41&gt;Voorblad!$K$41,0,IF($U89=0,0,IF($U89&lt;1,1/$U89,IF((HI$56-Voorblad!$F$41)/$U89-SUM($EE89:HH89)=1,1,0))))</f>
        <v>0</v>
      </c>
      <c r="HJ89" s="8">
        <f>IF(HJ$56-Voorblad!$F$41&gt;Voorblad!$K$41,0,IF($U89=0,0,IF($U89&lt;1,1/$U89,IF((HJ$56-Voorblad!$F$41)/$U89-SUM($EE89:HI89)=1,1,0))))</f>
        <v>0</v>
      </c>
      <c r="HK89" s="8">
        <f>IF(HK$56-Voorblad!$F$41&gt;Voorblad!$K$41,0,IF($U89=0,0,IF($U89&lt;1,1/$U89,IF((HK$56-Voorblad!$F$41)/$U89-SUM($EE89:HJ89)=1,1,0))))</f>
        <v>0</v>
      </c>
      <c r="HL89" s="8">
        <f>IF(HL$56-Voorblad!$F$41&gt;Voorblad!$K$41,0,IF($U89=0,0,IF($U89&lt;1,1/$U89,IF((HL$56-Voorblad!$F$41)/$U89-SUM($EE89:HK89)=1,1,0))))</f>
        <v>0</v>
      </c>
      <c r="HM89" s="8">
        <f>IF(HM$56-Voorblad!$F$41&gt;Voorblad!$K$41,0,IF($U89=0,0,IF($U89&lt;1,1/$U89,IF((HM$56-Voorblad!$F$41)/$U89-SUM($EE89:HL89)=1,1,0))))</f>
        <v>0</v>
      </c>
      <c r="HN89" s="8">
        <f>IF(HN$56-Voorblad!$F$41&gt;Voorblad!$K$41,0,IF($U89=0,0,IF($U89&lt;1,1/$U89,IF((HN$56-Voorblad!$F$41)/$U89-SUM($EE89:HM89)=1,1,0))))</f>
        <v>0</v>
      </c>
      <c r="HO89" s="8">
        <f>IF(HO$56-Voorblad!$F$41&gt;Voorblad!$K$41,0,IF($U89=0,0,IF($U89&lt;1,1/$U89,IF((HO$56-Voorblad!$F$41)/$U89-SUM($EE89:HN89)=1,1,0))))</f>
        <v>0</v>
      </c>
      <c r="HP89" s="8">
        <f>IF(HP$56-Voorblad!$F$41&gt;Voorblad!$K$41,0,IF($U89=0,0,IF($U89&lt;1,1/$U89,IF((HP$56-Voorblad!$F$41)/$U89-SUM($EE89:HO89)=1,1,0))))</f>
        <v>0</v>
      </c>
      <c r="HQ89" s="8">
        <f>IF(HQ$56-Voorblad!$F$41&gt;Voorblad!$K$41,0,IF($U89=0,0,IF($U89&lt;1,1/$U89,IF((HQ$56-Voorblad!$F$41)/$U89-SUM($EE89:HP89)=1,1,0))))</f>
        <v>0</v>
      </c>
      <c r="HR89" s="8">
        <f>IF(HR$56-Voorblad!$F$41&gt;Voorblad!$K$41,0,IF($U89=0,0,IF($U89&lt;1,1/$U89,IF((HR$56-Voorblad!$F$41)/$U89-SUM($EE89:HQ89)=1,1,0))))</f>
        <v>0</v>
      </c>
      <c r="HS89" s="8">
        <f>IF(HS$56-Voorblad!$F$41&gt;Voorblad!$K$41,0,IF($U89=0,0,IF($U89&lt;1,1/$U89,IF((HS$56-Voorblad!$F$41)/$U89-SUM($EE89:HR89)=1,1,0))))</f>
        <v>0</v>
      </c>
      <c r="HT89" s="8">
        <f>IF(HT$56-Voorblad!$F$41&gt;Voorblad!$K$41,0,IF($U89=0,0,IF($U89&lt;1,1/$U89,IF((HT$56-Voorblad!$F$41)/$U89-SUM($EE89:HS89)=1,1,0))))</f>
        <v>0</v>
      </c>
      <c r="HU89" s="8">
        <f>IF(HU$56-Voorblad!$F$41&gt;Voorblad!$K$41,0,IF($U89=0,0,IF($U89&lt;1,1/$U89,IF((HU$56-Voorblad!$F$41)/$U89-SUM($EE89:HT89)=1,1,0))))</f>
        <v>0</v>
      </c>
      <c r="HV89" s="8">
        <f>IF(HV$56-Voorblad!$F$41&gt;Voorblad!$K$41,0,IF($U89=0,0,IF($U89&lt;1,1/$U89,IF((HV$56-Voorblad!$F$41)/$U89-SUM($EE89:HU89)=1,1,0))))</f>
        <v>0</v>
      </c>
      <c r="HW89" s="8">
        <f>IF(HW$56-Voorblad!$F$41&gt;Voorblad!$K$41,0,IF($U89=0,0,IF($U89&lt;1,1/$U89,IF((HW$56-Voorblad!$F$41)/$U89-SUM($EE89:HV89)=1,1,0))))</f>
        <v>0</v>
      </c>
      <c r="HX89" s="8">
        <f>IF(HX$56-Voorblad!$F$41&gt;Voorblad!$K$41,0,IF($U89=0,0,IF($U89&lt;1,1/$U89,IF((HX$56-Voorblad!$F$41)/$U89-SUM($EE89:HW89)=1,1,0))))</f>
        <v>0</v>
      </c>
      <c r="HY89" s="8">
        <f>IF(HY$56-Voorblad!$F$41&gt;Voorblad!$K$41,0,IF($U89=0,0,IF($U89&lt;1,1/$U89,IF((HY$56-Voorblad!$F$41)/$U89-SUM($EE89:HX89)=1,1,0))))</f>
        <v>0</v>
      </c>
      <c r="HZ89" s="8">
        <f>IF(HZ$56-Voorblad!$F$41&gt;Voorblad!$K$41,0,IF($U89=0,0,IF($U89&lt;1,1/$U89,IF((HZ$56-Voorblad!$F$41)/$U89-SUM($EE89:HY89)=1,1,0))))</f>
        <v>0</v>
      </c>
      <c r="IA89" s="8">
        <f>IF(IA$56-Voorblad!$F$41&gt;Voorblad!$K$41,0,IF($U89=0,0,IF($U89&lt;1,1/$U89,IF((IA$56-Voorblad!$F$41)/$U89-SUM($EE89:HZ89)=1,1,0))))</f>
        <v>0</v>
      </c>
      <c r="IB89" s="8">
        <f>IF(IB$56-Voorblad!$F$41&gt;Voorblad!$K$41,0,IF($U89=0,0,IF($U89&lt;1,1/$U89,IF((IB$56-Voorblad!$F$41)/$U89-SUM($EE89:IA89)=1,1,0))))</f>
        <v>0</v>
      </c>
    </row>
    <row r="90" spans="2:236" hidden="1" outlineLevel="1" x14ac:dyDescent="0.25">
      <c r="B90" s="1">
        <v>1</v>
      </c>
      <c r="F90" s="1" t="s">
        <v>23</v>
      </c>
      <c r="I90" s="1" t="s">
        <v>49</v>
      </c>
      <c r="K90" s="1" t="s">
        <v>73</v>
      </c>
      <c r="N90" s="3"/>
      <c r="O90" s="1" t="s">
        <v>77</v>
      </c>
      <c r="Q90" s="81">
        <v>0</v>
      </c>
      <c r="R90" s="1" t="s">
        <v>75</v>
      </c>
      <c r="S90" s="14">
        <f>$H$10*1500</f>
        <v>3570</v>
      </c>
      <c r="T90" s="1">
        <f t="shared" si="16"/>
        <v>0</v>
      </c>
      <c r="U90" s="14">
        <v>50</v>
      </c>
      <c r="V90" s="14"/>
      <c r="Y90" s="9">
        <f>SUM(AE90:EB90)</f>
        <v>0</v>
      </c>
      <c r="Z90" s="82"/>
      <c r="AA90" s="82"/>
      <c r="AC90" s="9">
        <f>$Y90*(Voorblad!$K$44*(1+Voorblad!$K$44)^Voorblad!$K$41)/((1+Voorblad!$K$44)^Voorblad!$K$41-1)</f>
        <v>0</v>
      </c>
      <c r="AE90" s="9">
        <f>EF90*($Q90*$S90)/(1+Voorblad!$K$44)^(AE$56-Voorblad!$F$41)</f>
        <v>0</v>
      </c>
      <c r="AF90" s="9">
        <f>EG90*($Q90*$S90)/(1+Voorblad!$K$44)^(AF$56-Voorblad!$F$41)</f>
        <v>0</v>
      </c>
      <c r="AG90" s="9">
        <f>EH90*($Q90*$S90)/(1+Voorblad!$K$44)^(AG$56-Voorblad!$F$41)</f>
        <v>0</v>
      </c>
      <c r="AH90" s="9">
        <f>EI90*($Q90*$S90)/(1+Voorblad!$K$44)^(AH$56-Voorblad!$F$41)</f>
        <v>0</v>
      </c>
      <c r="AI90" s="9">
        <f>EJ90*($Q90*$S90)/(1+Voorblad!$K$44)^(AI$56-Voorblad!$F$41)</f>
        <v>0</v>
      </c>
      <c r="AJ90" s="9">
        <f>EK90*($Q90*$S90)/(1+Voorblad!$K$44)^(AJ$56-Voorblad!$F$41)</f>
        <v>0</v>
      </c>
      <c r="AK90" s="9">
        <f>EL90*($Q90*$S90)/(1+Voorblad!$K$44)^(AK$56-Voorblad!$F$41)</f>
        <v>0</v>
      </c>
      <c r="AL90" s="9">
        <f>EM90*($Q90*$S90)/(1+Voorblad!$K$44)^(AL$56-Voorblad!$F$41)</f>
        <v>0</v>
      </c>
      <c r="AM90" s="9">
        <f>EN90*($Q90*$S90)/(1+Voorblad!$K$44)^(AM$56-Voorblad!$F$41)</f>
        <v>0</v>
      </c>
      <c r="AN90" s="9">
        <f>EO90*($Q90*$S90)/(1+Voorblad!$K$44)^(AN$56-Voorblad!$F$41)</f>
        <v>0</v>
      </c>
      <c r="AO90" s="9">
        <f>EP90*($Q90*$S90)/(1+Voorblad!$K$44)^(AO$56-Voorblad!$F$41)</f>
        <v>0</v>
      </c>
      <c r="AP90" s="9">
        <f>EQ90*($Q90*$S90)/(1+Voorblad!$K$44)^(AP$56-Voorblad!$F$41)</f>
        <v>0</v>
      </c>
      <c r="AQ90" s="9">
        <f>ER90*($Q90*$S90)/(1+Voorblad!$K$44)^(AQ$56-Voorblad!$F$41)</f>
        <v>0</v>
      </c>
      <c r="AR90" s="9">
        <f>ES90*($Q90*$S90)/(1+Voorblad!$K$44)^(AR$56-Voorblad!$F$41)</f>
        <v>0</v>
      </c>
      <c r="AS90" s="9">
        <f>ET90*($Q90*$S90)/(1+Voorblad!$K$44)^(AS$56-Voorblad!$F$41)</f>
        <v>0</v>
      </c>
      <c r="AT90" s="9">
        <f>EU90*($Q90*$S90)/(1+Voorblad!$K$44)^(AT$56-Voorblad!$F$41)</f>
        <v>0</v>
      </c>
      <c r="AU90" s="9">
        <f>EV90*($Q90*$S90)/(1+Voorblad!$K$44)^(AU$56-Voorblad!$F$41)</f>
        <v>0</v>
      </c>
      <c r="AV90" s="9">
        <f>EW90*($Q90*$S90)/(1+Voorblad!$K$44)^(AV$56-Voorblad!$F$41)</f>
        <v>0</v>
      </c>
      <c r="AW90" s="9">
        <f>EX90*($Q90*$S90)/(1+Voorblad!$K$44)^(AW$56-Voorblad!$F$41)</f>
        <v>0</v>
      </c>
      <c r="AX90" s="9">
        <f>EY90*($Q90*$S90)/(1+Voorblad!$K$44)^(AX$56-Voorblad!$F$41)</f>
        <v>0</v>
      </c>
      <c r="AY90" s="9">
        <f>EZ90*($Q90*$S90)/(1+Voorblad!$K$44)^(AY$56-Voorblad!$F$41)</f>
        <v>0</v>
      </c>
      <c r="AZ90" s="9">
        <f>FA90*($Q90*$S90)/(1+Voorblad!$K$44)^(AZ$56-Voorblad!$F$41)</f>
        <v>0</v>
      </c>
      <c r="BA90" s="9">
        <f>FB90*($Q90*$S90)/(1+Voorblad!$K$44)^(BA$56-Voorblad!$F$41)</f>
        <v>0</v>
      </c>
      <c r="BB90" s="9">
        <f>FC90*($Q90*$S90)/(1+Voorblad!$K$44)^(BB$56-Voorblad!$F$41)</f>
        <v>0</v>
      </c>
      <c r="BC90" s="9">
        <f>FD90*($Q90*$S90)/(1+Voorblad!$K$44)^(BC$56-Voorblad!$F$41)</f>
        <v>0</v>
      </c>
      <c r="BD90" s="9">
        <f>FE90*($Q90*$S90)/(1+Voorblad!$K$44)^(BD$56-Voorblad!$F$41)</f>
        <v>0</v>
      </c>
      <c r="BE90" s="9">
        <f>FF90*($Q90*$S90)/(1+Voorblad!$K$44)^(BE$56-Voorblad!$F$41)</f>
        <v>0</v>
      </c>
      <c r="BF90" s="9">
        <f>FG90*($Q90*$S90)/(1+Voorblad!$K$44)^(BF$56-Voorblad!$F$41)</f>
        <v>0</v>
      </c>
      <c r="BG90" s="9">
        <f>FH90*($Q90*$S90)/(1+Voorblad!$K$44)^(BG$56-Voorblad!$F$41)</f>
        <v>0</v>
      </c>
      <c r="BH90" s="9">
        <f>FI90*($Q90*$S90)/(1+Voorblad!$K$44)^(BH$56-Voorblad!$F$41)</f>
        <v>0</v>
      </c>
      <c r="BI90" s="9">
        <f>FJ90*($Q90*$S90)/(1+Voorblad!$K$44)^(BI$56-Voorblad!$F$41)</f>
        <v>0</v>
      </c>
      <c r="BJ90" s="9">
        <f>FK90*($Q90*$S90)/(1+Voorblad!$K$44)^(BJ$56-Voorblad!$F$41)</f>
        <v>0</v>
      </c>
      <c r="BK90" s="9">
        <f>FL90*($Q90*$S90)/(1+Voorblad!$K$44)^(BK$56-Voorblad!$F$41)</f>
        <v>0</v>
      </c>
      <c r="BL90" s="9">
        <f>FM90*($Q90*$S90)/(1+Voorblad!$K$44)^(BL$56-Voorblad!$F$41)</f>
        <v>0</v>
      </c>
      <c r="BM90" s="9">
        <f>FN90*($Q90*$S90)/(1+Voorblad!$K$44)^(BM$56-Voorblad!$F$41)</f>
        <v>0</v>
      </c>
      <c r="BN90" s="9">
        <f>FO90*($Q90*$S90)/(1+Voorblad!$K$44)^(BN$56-Voorblad!$F$41)</f>
        <v>0</v>
      </c>
      <c r="BO90" s="9">
        <f>FP90*($Q90*$S90)/(1+Voorblad!$K$44)^(BO$56-Voorblad!$F$41)</f>
        <v>0</v>
      </c>
      <c r="BP90" s="9">
        <f>FQ90*($Q90*$S90)/(1+Voorblad!$K$44)^(BP$56-Voorblad!$F$41)</f>
        <v>0</v>
      </c>
      <c r="BQ90" s="9">
        <f>FR90*($Q90*$S90)/(1+Voorblad!$K$44)^(BQ$56-Voorblad!$F$41)</f>
        <v>0</v>
      </c>
      <c r="BR90" s="9">
        <f>FS90*($Q90*$S90)/(1+Voorblad!$K$44)^(BR$56-Voorblad!$F$41)</f>
        <v>0</v>
      </c>
      <c r="BS90" s="9">
        <f>FT90*($Q90*$S90)/(1+Voorblad!$K$44)^(BS$56-Voorblad!$F$41)</f>
        <v>0</v>
      </c>
      <c r="BT90" s="9">
        <f>FU90*($Q90*$S90)/(1+Voorblad!$K$44)^(BT$56-Voorblad!$F$41)</f>
        <v>0</v>
      </c>
      <c r="BU90" s="9">
        <f>FV90*($Q90*$S90)/(1+Voorblad!$K$44)^(BU$56-Voorblad!$F$41)</f>
        <v>0</v>
      </c>
      <c r="BV90" s="9">
        <f>FW90*($Q90*$S90)/(1+Voorblad!$K$44)^(BV$56-Voorblad!$F$41)</f>
        <v>0</v>
      </c>
      <c r="BW90" s="9">
        <f>FX90*($Q90*$S90)/(1+Voorblad!$K$44)^(BW$56-Voorblad!$F$41)</f>
        <v>0</v>
      </c>
      <c r="BX90" s="9">
        <f>FY90*($Q90*$S90)/(1+Voorblad!$K$44)^(BX$56-Voorblad!$F$41)</f>
        <v>0</v>
      </c>
      <c r="BY90" s="9">
        <f>FZ90*($Q90*$S90)/(1+Voorblad!$K$44)^(BY$56-Voorblad!$F$41)</f>
        <v>0</v>
      </c>
      <c r="BZ90" s="9">
        <f>GA90*($Q90*$S90)/(1+Voorblad!$K$44)^(BZ$56-Voorblad!$F$41)</f>
        <v>0</v>
      </c>
      <c r="CA90" s="9">
        <f>GB90*($Q90*$S90)/(1+Voorblad!$K$44)^(CA$56-Voorblad!$F$41)</f>
        <v>0</v>
      </c>
      <c r="CB90" s="9">
        <f>GC90*($Q90*$S90)/(1+Voorblad!$K$44)^(CB$56-Voorblad!$F$41)</f>
        <v>0</v>
      </c>
      <c r="CC90" s="9">
        <f>GD90*($Q90*$S90)/(1+Voorblad!$K$44)^(CC$56-Voorblad!$F$41)</f>
        <v>0</v>
      </c>
      <c r="CD90" s="9">
        <f>GE90*($Q90*$S90)/(1+Voorblad!$K$44)^(CD$56-Voorblad!$F$41)</f>
        <v>0</v>
      </c>
      <c r="CE90" s="9">
        <f>GF90*($Q90*$S90)/(1+Voorblad!$K$44)^(CE$56-Voorblad!$F$41)</f>
        <v>0</v>
      </c>
      <c r="CF90" s="9">
        <f>GG90*($Q90*$S90)/(1+Voorblad!$K$44)^(CF$56-Voorblad!$F$41)</f>
        <v>0</v>
      </c>
      <c r="CG90" s="9">
        <f>GH90*($Q90*$S90)/(1+Voorblad!$K$44)^(CG$56-Voorblad!$F$41)</f>
        <v>0</v>
      </c>
      <c r="CH90" s="9">
        <f>GI90*($Q90*$S90)/(1+Voorblad!$K$44)^(CH$56-Voorblad!$F$41)</f>
        <v>0</v>
      </c>
      <c r="CI90" s="9">
        <f>GJ90*($Q90*$S90)/(1+Voorblad!$K$44)^(CI$56-Voorblad!$F$41)</f>
        <v>0</v>
      </c>
      <c r="CJ90" s="9">
        <f>GK90*($Q90*$S90)/(1+Voorblad!$K$44)^(CJ$56-Voorblad!$F$41)</f>
        <v>0</v>
      </c>
      <c r="CK90" s="9">
        <f>GL90*($Q90*$S90)/(1+Voorblad!$K$44)^(CK$56-Voorblad!$F$41)</f>
        <v>0</v>
      </c>
      <c r="CL90" s="9">
        <f>GM90*($Q90*$S90)/(1+Voorblad!$K$44)^(CL$56-Voorblad!$F$41)</f>
        <v>0</v>
      </c>
      <c r="CM90" s="9">
        <f>GN90*($Q90*$S90)/(1+Voorblad!$K$44)^(CM$56-Voorblad!$F$41)</f>
        <v>0</v>
      </c>
      <c r="CN90" s="9">
        <f>GO90*($Q90*$S90)/(1+Voorblad!$K$44)^(CN$56-Voorblad!$F$41)</f>
        <v>0</v>
      </c>
      <c r="CO90" s="9">
        <f>GP90*($Q90*$S90)/(1+Voorblad!$K$44)^(CO$56-Voorblad!$F$41)</f>
        <v>0</v>
      </c>
      <c r="CP90" s="9">
        <f>GQ90*($Q90*$S90)/(1+Voorblad!$K$44)^(CP$56-Voorblad!$F$41)</f>
        <v>0</v>
      </c>
      <c r="CQ90" s="9">
        <f>GR90*($Q90*$S90)/(1+Voorblad!$K$44)^(CQ$56-Voorblad!$F$41)</f>
        <v>0</v>
      </c>
      <c r="CR90" s="9">
        <f>GS90*($Q90*$S90)/(1+Voorblad!$K$44)^(CR$56-Voorblad!$F$41)</f>
        <v>0</v>
      </c>
      <c r="CS90" s="9">
        <f>GT90*($Q90*$S90)/(1+Voorblad!$K$44)^(CS$56-Voorblad!$F$41)</f>
        <v>0</v>
      </c>
      <c r="CT90" s="9">
        <f>GU90*($Q90*$S90)/(1+Voorblad!$K$44)^(CT$56-Voorblad!$F$41)</f>
        <v>0</v>
      </c>
      <c r="CU90" s="9">
        <f>GV90*($Q90*$S90)/(1+Voorblad!$K$44)^(CU$56-Voorblad!$F$41)</f>
        <v>0</v>
      </c>
      <c r="CV90" s="9">
        <f>GW90*($Q90*$S90)/(1+Voorblad!$K$44)^(CV$56-Voorblad!$F$41)</f>
        <v>0</v>
      </c>
      <c r="CW90" s="9">
        <f>GX90*($Q90*$S90)/(1+Voorblad!$K$44)^(CW$56-Voorblad!$F$41)</f>
        <v>0</v>
      </c>
      <c r="CX90" s="9">
        <f>GY90*($Q90*$S90)/(1+Voorblad!$K$44)^(CX$56-Voorblad!$F$41)</f>
        <v>0</v>
      </c>
      <c r="CY90" s="9">
        <f>GZ90*($Q90*$S90)/(1+Voorblad!$K$44)^(CY$56-Voorblad!$F$41)</f>
        <v>0</v>
      </c>
      <c r="CZ90" s="9">
        <f>HA90*($Q90*$S90)/(1+Voorblad!$K$44)^(CZ$56-Voorblad!$F$41)</f>
        <v>0</v>
      </c>
      <c r="DA90" s="9">
        <f>HB90*($Q90*$S90)/(1+Voorblad!$K$44)^(DA$56-Voorblad!$F$41)</f>
        <v>0</v>
      </c>
      <c r="DB90" s="9">
        <f>HC90*($Q90*$S90)/(1+Voorblad!$K$44)^(DB$56-Voorblad!$F$41)</f>
        <v>0</v>
      </c>
      <c r="DC90" s="9">
        <f>HD90*($Q90*$S90)/(1+Voorblad!$K$44)^(DC$56-Voorblad!$F$41)</f>
        <v>0</v>
      </c>
      <c r="DD90" s="9">
        <f>HE90*($Q90*$S90)/(1+Voorblad!$K$44)^(DD$56-Voorblad!$F$41)</f>
        <v>0</v>
      </c>
      <c r="DE90" s="9">
        <f>HF90*($Q90*$S90)/(1+Voorblad!$K$44)^(DE$56-Voorblad!$F$41)</f>
        <v>0</v>
      </c>
      <c r="DF90" s="9">
        <f>HG90*($Q90*$S90)/(1+Voorblad!$K$44)^(DF$56-Voorblad!$F$41)</f>
        <v>0</v>
      </c>
      <c r="DG90" s="9">
        <f>HH90*($Q90*$S90)/(1+Voorblad!$K$44)^(DG$56-Voorblad!$F$41)</f>
        <v>0</v>
      </c>
      <c r="DH90" s="9">
        <f>HI90*($Q90*$S90)/(1+Voorblad!$K$44)^(DH$56-Voorblad!$F$41)</f>
        <v>0</v>
      </c>
      <c r="DI90" s="9">
        <f>HJ90*($Q90*$S90)/(1+Voorblad!$K$44)^(DI$56-Voorblad!$F$41)</f>
        <v>0</v>
      </c>
      <c r="DJ90" s="9">
        <f>HK90*($Q90*$S90)/(1+Voorblad!$K$44)^(DJ$56-Voorblad!$F$41)</f>
        <v>0</v>
      </c>
      <c r="DK90" s="9">
        <f>HL90*($Q90*$S90)/(1+Voorblad!$K$44)^(DK$56-Voorblad!$F$41)</f>
        <v>0</v>
      </c>
      <c r="DL90" s="9">
        <f>HM90*($Q90*$S90)/(1+Voorblad!$K$44)^(DL$56-Voorblad!$F$41)</f>
        <v>0</v>
      </c>
      <c r="DM90" s="9">
        <f>HN90*($Q90*$S90)/(1+Voorblad!$K$44)^(DM$56-Voorblad!$F$41)</f>
        <v>0</v>
      </c>
      <c r="DN90" s="9">
        <f>HO90*($Q90*$S90)/(1+Voorblad!$K$44)^(DN$56-Voorblad!$F$41)</f>
        <v>0</v>
      </c>
      <c r="DO90" s="9">
        <f>HP90*($Q90*$S90)/(1+Voorblad!$K$44)^(DO$56-Voorblad!$F$41)</f>
        <v>0</v>
      </c>
      <c r="DP90" s="9">
        <f>HQ90*($Q90*$S90)/(1+Voorblad!$K$44)^(DP$56-Voorblad!$F$41)</f>
        <v>0</v>
      </c>
      <c r="DQ90" s="9">
        <f>HR90*($Q90*$S90)/(1+Voorblad!$K$44)^(DQ$56-Voorblad!$F$41)</f>
        <v>0</v>
      </c>
      <c r="DR90" s="9">
        <f>HS90*($Q90*$S90)/(1+Voorblad!$K$44)^(DR$56-Voorblad!$F$41)</f>
        <v>0</v>
      </c>
      <c r="DS90" s="9">
        <f>HT90*($Q90*$S90)/(1+Voorblad!$K$44)^(DS$56-Voorblad!$F$41)</f>
        <v>0</v>
      </c>
      <c r="DT90" s="9">
        <f>HU90*($Q90*$S90)/(1+Voorblad!$K$44)^(DT$56-Voorblad!$F$41)</f>
        <v>0</v>
      </c>
      <c r="DU90" s="9">
        <f>HV90*($Q90*$S90)/(1+Voorblad!$K$44)^(DU$56-Voorblad!$F$41)</f>
        <v>0</v>
      </c>
      <c r="DV90" s="9">
        <f>HW90*($Q90*$S90)/(1+Voorblad!$K$44)^(DV$56-Voorblad!$F$41)</f>
        <v>0</v>
      </c>
      <c r="DW90" s="9">
        <f>HX90*($Q90*$S90)/(1+Voorblad!$K$44)^(DW$56-Voorblad!$F$41)</f>
        <v>0</v>
      </c>
      <c r="DX90" s="9">
        <f>HY90*($Q90*$S90)/(1+Voorblad!$K$44)^(DX$56-Voorblad!$F$41)</f>
        <v>0</v>
      </c>
      <c r="DY90" s="9">
        <f>HZ90*($Q90*$S90)/(1+Voorblad!$K$44)^(DY$56-Voorblad!$F$41)</f>
        <v>0</v>
      </c>
      <c r="DZ90" s="9">
        <f>IA90*($Q90*$S90)/(1+Voorblad!$K$44)^(DZ$56-Voorblad!$F$41)</f>
        <v>0</v>
      </c>
      <c r="EA90" s="9">
        <f>IB90*($Q90*$S90)/(1+Voorblad!$K$44)^(EA$56-Voorblad!$F$41)</f>
        <v>0</v>
      </c>
      <c r="EB90" s="9">
        <f>IC90*($Q90*$S90)/(1+Voorblad!$K$44)^(EB$56-Voorblad!$F$41)</f>
        <v>0</v>
      </c>
      <c r="EE90" s="8">
        <v>0</v>
      </c>
      <c r="EF90" s="8">
        <f>IF(EF$56-Voorblad!$F$41&gt;Voorblad!$K$41,0,IF($U90=0,0,IF($U90&lt;1,1/$U90,IF((EF$56-Voorblad!$F$41)/$U90-SUM($EE90:EE90)=1,1,0))))</f>
        <v>0</v>
      </c>
      <c r="EG90" s="8">
        <f>IF(EG$56-Voorblad!$F$41&gt;Voorblad!$K$41,0,IF($U90=0,0,IF($U90&lt;1,1/$U90,IF((EG$56-Voorblad!$F$41)/$U90-SUM($EE90:EF90)=1,1,0))))</f>
        <v>0</v>
      </c>
      <c r="EH90" s="8">
        <f>IF(EH$56-Voorblad!$F$41&gt;Voorblad!$K$41,0,IF($U90=0,0,IF($U90&lt;1,1/$U90,IF((EH$56-Voorblad!$F$41)/$U90-SUM($EE90:EG90)=1,1,0))))</f>
        <v>0</v>
      </c>
      <c r="EI90" s="8">
        <f>IF(EI$56-Voorblad!$F$41&gt;Voorblad!$K$41,0,IF($U90=0,0,IF($U90&lt;1,1/$U90,IF((EI$56-Voorblad!$F$41)/$U90-SUM($EE90:EH90)=1,1,0))))</f>
        <v>0</v>
      </c>
      <c r="EJ90" s="8">
        <f>IF(EJ$56-Voorblad!$F$41&gt;Voorblad!$K$41,0,IF($U90=0,0,IF($U90&lt;1,1/$U90,IF((EJ$56-Voorblad!$F$41)/$U90-SUM($EE90:EI90)=1,1,0))))</f>
        <v>0</v>
      </c>
      <c r="EK90" s="8">
        <f>IF(EK$56-Voorblad!$F$41&gt;Voorblad!$K$41,0,IF($U90=0,0,IF($U90&lt;1,1/$U90,IF((EK$56-Voorblad!$F$41)/$U90-SUM($EE90:EJ90)=1,1,0))))</f>
        <v>0</v>
      </c>
      <c r="EL90" s="8">
        <f>IF(EL$56-Voorblad!$F$41&gt;Voorblad!$K$41,0,IF($U90=0,0,IF($U90&lt;1,1/$U90,IF((EL$56-Voorblad!$F$41)/$U90-SUM($EE90:EK90)=1,1,0))))</f>
        <v>0</v>
      </c>
      <c r="EM90" s="8">
        <f>IF(EM$56-Voorblad!$F$41&gt;Voorblad!$K$41,0,IF($U90=0,0,IF($U90&lt;1,1/$U90,IF((EM$56-Voorblad!$F$41)/$U90-SUM($EE90:EL90)=1,1,0))))</f>
        <v>0</v>
      </c>
      <c r="EN90" s="8">
        <f>IF(EN$56-Voorblad!$F$41&gt;Voorblad!$K$41,0,IF($U90=0,0,IF($U90&lt;1,1/$U90,IF((EN$56-Voorblad!$F$41)/$U90-SUM($EE90:EM90)=1,1,0))))</f>
        <v>0</v>
      </c>
      <c r="EO90" s="8">
        <f>IF(EO$56-Voorblad!$F$41&gt;Voorblad!$K$41,0,IF($U90=0,0,IF($U90&lt;1,1/$U90,IF((EO$56-Voorblad!$F$41)/$U90-SUM($EE90:EN90)=1,1,0))))</f>
        <v>0</v>
      </c>
      <c r="EP90" s="8">
        <f>IF(EP$56-Voorblad!$F$41&gt;Voorblad!$K$41,0,IF($U90=0,0,IF($U90&lt;1,1/$U90,IF((EP$56-Voorblad!$F$41)/$U90-SUM($EE90:EO90)=1,1,0))))</f>
        <v>0</v>
      </c>
      <c r="EQ90" s="8">
        <f>IF(EQ$56-Voorblad!$F$41&gt;Voorblad!$K$41,0,IF($U90=0,0,IF($U90&lt;1,1/$U90,IF((EQ$56-Voorblad!$F$41)/$U90-SUM($EE90:EP90)=1,1,0))))</f>
        <v>0</v>
      </c>
      <c r="ER90" s="8">
        <f>IF(ER$56-Voorblad!$F$41&gt;Voorblad!$K$41,0,IF($U90=0,0,IF($U90&lt;1,1/$U90,IF((ER$56-Voorblad!$F$41)/$U90-SUM($EE90:EQ90)=1,1,0))))</f>
        <v>0</v>
      </c>
      <c r="ES90" s="8">
        <f>IF(ES$56-Voorblad!$F$41&gt;Voorblad!$K$41,0,IF($U90=0,0,IF($U90&lt;1,1/$U90,IF((ES$56-Voorblad!$F$41)/$U90-SUM($EE90:ER90)=1,1,0))))</f>
        <v>0</v>
      </c>
      <c r="ET90" s="8">
        <f>IF(ET$56-Voorblad!$F$41&gt;Voorblad!$K$41,0,IF($U90=0,0,IF($U90&lt;1,1/$U90,IF((ET$56-Voorblad!$F$41)/$U90-SUM($EE90:ES90)=1,1,0))))</f>
        <v>0</v>
      </c>
      <c r="EU90" s="8">
        <f>IF(EU$56-Voorblad!$F$41&gt;Voorblad!$K$41,0,IF($U90=0,0,IF($U90&lt;1,1/$U90,IF((EU$56-Voorblad!$F$41)/$U90-SUM($EE90:ET90)=1,1,0))))</f>
        <v>0</v>
      </c>
      <c r="EV90" s="8">
        <f>IF(EV$56-Voorblad!$F$41&gt;Voorblad!$K$41,0,IF($U90=0,0,IF($U90&lt;1,1/$U90,IF((EV$56-Voorblad!$F$41)/$U90-SUM($EE90:EU90)=1,1,0))))</f>
        <v>0</v>
      </c>
      <c r="EW90" s="8">
        <f>IF(EW$56-Voorblad!$F$41&gt;Voorblad!$K$41,0,IF($U90=0,0,IF($U90&lt;1,1/$U90,IF((EW$56-Voorblad!$F$41)/$U90-SUM($EE90:EV90)=1,1,0))))</f>
        <v>0</v>
      </c>
      <c r="EX90" s="8">
        <f>IF(EX$56-Voorblad!$F$41&gt;Voorblad!$K$41,0,IF($U90=0,0,IF($U90&lt;1,1/$U90,IF((EX$56-Voorblad!$F$41)/$U90-SUM($EE90:EW90)=1,1,0))))</f>
        <v>0</v>
      </c>
      <c r="EY90" s="8">
        <f>IF(EY$56-Voorblad!$F$41&gt;Voorblad!$K$41,0,IF($U90=0,0,IF($U90&lt;1,1/$U90,IF((EY$56-Voorblad!$F$41)/$U90-SUM($EE90:EX90)=1,1,0))))</f>
        <v>0</v>
      </c>
      <c r="EZ90" s="8">
        <f>IF(EZ$56-Voorblad!$F$41&gt;Voorblad!$K$41,0,IF($U90=0,0,IF($U90&lt;1,1/$U90,IF((EZ$56-Voorblad!$F$41)/$U90-SUM($EE90:EY90)=1,1,0))))</f>
        <v>0</v>
      </c>
      <c r="FA90" s="8">
        <f>IF(FA$56-Voorblad!$F$41&gt;Voorblad!$K$41,0,IF($U90=0,0,IF($U90&lt;1,1/$U90,IF((FA$56-Voorblad!$F$41)/$U90-SUM($EE90:EZ90)=1,1,0))))</f>
        <v>0</v>
      </c>
      <c r="FB90" s="8">
        <f>IF(FB$56-Voorblad!$F$41&gt;Voorblad!$K$41,0,IF($U90=0,0,IF($U90&lt;1,1/$U90,IF((FB$56-Voorblad!$F$41)/$U90-SUM($EE90:FA90)=1,1,0))))</f>
        <v>0</v>
      </c>
      <c r="FC90" s="8">
        <f>IF(FC$56-Voorblad!$F$41&gt;Voorblad!$K$41,0,IF($U90=0,0,IF($U90&lt;1,1/$U90,IF((FC$56-Voorblad!$F$41)/$U90-SUM($EE90:FB90)=1,1,0))))</f>
        <v>0</v>
      </c>
      <c r="FD90" s="8">
        <f>IF(FD$56-Voorblad!$F$41&gt;Voorblad!$K$41,0,IF($U90=0,0,IF($U90&lt;1,1/$U90,IF((FD$56-Voorblad!$F$41)/$U90-SUM($EE90:FC90)=1,1,0))))</f>
        <v>0</v>
      </c>
      <c r="FE90" s="8">
        <f>IF(FE$56-Voorblad!$F$41&gt;Voorblad!$K$41,0,IF($U90=0,0,IF($U90&lt;1,1/$U90,IF((FE$56-Voorblad!$F$41)/$U90-SUM($EE90:FD90)=1,1,0))))</f>
        <v>0</v>
      </c>
      <c r="FF90" s="8">
        <f>IF(FF$56-Voorblad!$F$41&gt;Voorblad!$K$41,0,IF($U90=0,0,IF($U90&lt;1,1/$U90,IF((FF$56-Voorblad!$F$41)/$U90-SUM($EE90:FE90)=1,1,0))))</f>
        <v>0</v>
      </c>
      <c r="FG90" s="8">
        <f>IF(FG$56-Voorblad!$F$41&gt;Voorblad!$K$41,0,IF($U90=0,0,IF($U90&lt;1,1/$U90,IF((FG$56-Voorblad!$F$41)/$U90-SUM($EE90:FF90)=1,1,0))))</f>
        <v>0</v>
      </c>
      <c r="FH90" s="8">
        <f>IF(FH$56-Voorblad!$F$41&gt;Voorblad!$K$41,0,IF($U90=0,0,IF($U90&lt;1,1/$U90,IF((FH$56-Voorblad!$F$41)/$U90-SUM($EE90:FG90)=1,1,0))))</f>
        <v>0</v>
      </c>
      <c r="FI90" s="8">
        <f>IF(FI$56-Voorblad!$F$41&gt;Voorblad!$K$41,0,IF($U90=0,0,IF($U90&lt;1,1/$U90,IF((FI$56-Voorblad!$F$41)/$U90-SUM($EE90:FH90)=1,1,0))))</f>
        <v>0</v>
      </c>
      <c r="FJ90" s="8">
        <f>IF(FJ$56-Voorblad!$F$41&gt;Voorblad!$K$41,0,IF($U90=0,0,IF($U90&lt;1,1/$U90,IF((FJ$56-Voorblad!$F$41)/$U90-SUM($EE90:FI90)=1,1,0))))</f>
        <v>0</v>
      </c>
      <c r="FK90" s="8">
        <f>IF(FK$56-Voorblad!$F$41&gt;Voorblad!$K$41,0,IF($U90=0,0,IF($U90&lt;1,1/$U90,IF((FK$56-Voorblad!$F$41)/$U90-SUM($EE90:FJ90)=1,1,0))))</f>
        <v>0</v>
      </c>
      <c r="FL90" s="8">
        <f>IF(FL$56-Voorblad!$F$41&gt;Voorblad!$K$41,0,IF($U90=0,0,IF($U90&lt;1,1/$U90,IF((FL$56-Voorblad!$F$41)/$U90-SUM($EE90:FK90)=1,1,0))))</f>
        <v>0</v>
      </c>
      <c r="FM90" s="8">
        <f>IF(FM$56-Voorblad!$F$41&gt;Voorblad!$K$41,0,IF($U90=0,0,IF($U90&lt;1,1/$U90,IF((FM$56-Voorblad!$F$41)/$U90-SUM($EE90:FL90)=1,1,0))))</f>
        <v>0</v>
      </c>
      <c r="FN90" s="8">
        <f>IF(FN$56-Voorblad!$F$41&gt;Voorblad!$K$41,0,IF($U90=0,0,IF($U90&lt;1,1/$U90,IF((FN$56-Voorblad!$F$41)/$U90-SUM($EE90:FM90)=1,1,0))))</f>
        <v>0</v>
      </c>
      <c r="FO90" s="8">
        <f>IF(FO$56-Voorblad!$F$41&gt;Voorblad!$K$41,0,IF($U90=0,0,IF($U90&lt;1,1/$U90,IF((FO$56-Voorblad!$F$41)/$U90-SUM($EE90:FN90)=1,1,0))))</f>
        <v>0</v>
      </c>
      <c r="FP90" s="8">
        <f>IF(FP$56-Voorblad!$F$41&gt;Voorblad!$K$41,0,IF($U90=0,0,IF($U90&lt;1,1/$U90,IF((FP$56-Voorblad!$F$41)/$U90-SUM($EE90:FO90)=1,1,0))))</f>
        <v>0</v>
      </c>
      <c r="FQ90" s="8">
        <f>IF(FQ$56-Voorblad!$F$41&gt;Voorblad!$K$41,0,IF($U90=0,0,IF($U90&lt;1,1/$U90,IF((FQ$56-Voorblad!$F$41)/$U90-SUM($EE90:FP90)=1,1,0))))</f>
        <v>0</v>
      </c>
      <c r="FR90" s="8">
        <f>IF(FR$56-Voorblad!$F$41&gt;Voorblad!$K$41,0,IF($U90=0,0,IF($U90&lt;1,1/$U90,IF((FR$56-Voorblad!$F$41)/$U90-SUM($EE90:FQ90)=1,1,0))))</f>
        <v>0</v>
      </c>
      <c r="FS90" s="8">
        <f>IF(FS$56-Voorblad!$F$41&gt;Voorblad!$K$41,0,IF($U90=0,0,IF($U90&lt;1,1/$U90,IF((FS$56-Voorblad!$F$41)/$U90-SUM($EE90:FR90)=1,1,0))))</f>
        <v>0</v>
      </c>
      <c r="FT90" s="8">
        <f>IF(FT$56-Voorblad!$F$41&gt;Voorblad!$K$41,0,IF($U90=0,0,IF($U90&lt;1,1/$U90,IF((FT$56-Voorblad!$F$41)/$U90-SUM($EE90:FS90)=1,1,0))))</f>
        <v>0</v>
      </c>
      <c r="FU90" s="8">
        <f>IF(FU$56-Voorblad!$F$41&gt;Voorblad!$K$41,0,IF($U90=0,0,IF($U90&lt;1,1/$U90,IF((FU$56-Voorblad!$F$41)/$U90-SUM($EE90:FT90)=1,1,0))))</f>
        <v>0</v>
      </c>
      <c r="FV90" s="8">
        <f>IF(FV$56-Voorblad!$F$41&gt;Voorblad!$K$41,0,IF($U90=0,0,IF($U90&lt;1,1/$U90,IF((FV$56-Voorblad!$F$41)/$U90-SUM($EE90:FU90)=1,1,0))))</f>
        <v>0</v>
      </c>
      <c r="FW90" s="8">
        <f>IF(FW$56-Voorblad!$F$41&gt;Voorblad!$K$41,0,IF($U90=0,0,IF($U90&lt;1,1/$U90,IF((FW$56-Voorblad!$F$41)/$U90-SUM($EE90:FV90)=1,1,0))))</f>
        <v>0</v>
      </c>
      <c r="FX90" s="8">
        <f>IF(FX$56-Voorblad!$F$41&gt;Voorblad!$K$41,0,IF($U90=0,0,IF($U90&lt;1,1/$U90,IF((FX$56-Voorblad!$F$41)/$U90-SUM($EE90:FW90)=1,1,0))))</f>
        <v>0</v>
      </c>
      <c r="FY90" s="8">
        <f>IF(FY$56-Voorblad!$F$41&gt;Voorblad!$K$41,0,IF($U90=0,0,IF($U90&lt;1,1/$U90,IF((FY$56-Voorblad!$F$41)/$U90-SUM($EE90:FX90)=1,1,0))))</f>
        <v>0</v>
      </c>
      <c r="FZ90" s="8">
        <f>IF(FZ$56-Voorblad!$F$41&gt;Voorblad!$K$41,0,IF($U90=0,0,IF($U90&lt;1,1/$U90,IF((FZ$56-Voorblad!$F$41)/$U90-SUM($EE90:FY90)=1,1,0))))</f>
        <v>0</v>
      </c>
      <c r="GA90" s="8">
        <f>IF(GA$56-Voorblad!$F$41&gt;Voorblad!$K$41,0,IF($U90=0,0,IF($U90&lt;1,1/$U90,IF((GA$56-Voorblad!$F$41)/$U90-SUM($EE90:FZ90)=1,1,0))))</f>
        <v>0</v>
      </c>
      <c r="GB90" s="8">
        <f>IF(GB$56-Voorblad!$F$41&gt;Voorblad!$K$41,0,IF($U90=0,0,IF($U90&lt;1,1/$U90,IF((GB$56-Voorblad!$F$41)/$U90-SUM($EE90:GA90)=1,1,0))))</f>
        <v>0</v>
      </c>
      <c r="GC90" s="8">
        <f>IF(GC$56-Voorblad!$F$41&gt;Voorblad!$K$41,0,IF($U90=0,0,IF($U90&lt;1,1/$U90,IF((GC$56-Voorblad!$F$41)/$U90-SUM($EE90:GB90)=1,1,0))))</f>
        <v>0</v>
      </c>
      <c r="GD90" s="8">
        <f>IF(GD$56-Voorblad!$F$41&gt;Voorblad!$K$41,0,IF($U90=0,0,IF($U90&lt;1,1/$U90,IF((GD$56-Voorblad!$F$41)/$U90-SUM($EE90:GC90)=1,1,0))))</f>
        <v>1</v>
      </c>
      <c r="GE90" s="8">
        <f>IF(GE$56-Voorblad!$F$41&gt;Voorblad!$K$41,0,IF($U90=0,0,IF($U90&lt;1,1/$U90,IF((GE$56-Voorblad!$F$41)/$U90-SUM($EE90:GD90)=1,1,0))))</f>
        <v>0</v>
      </c>
      <c r="GF90" s="8">
        <f>IF(GF$56-Voorblad!$F$41&gt;Voorblad!$K$41,0,IF($U90=0,0,IF($U90&lt;1,1/$U90,IF((GF$56-Voorblad!$F$41)/$U90-SUM($EE90:GE90)=1,1,0))))</f>
        <v>0</v>
      </c>
      <c r="GG90" s="8">
        <f>IF(GG$56-Voorblad!$F$41&gt;Voorblad!$K$41,0,IF($U90=0,0,IF($U90&lt;1,1/$U90,IF((GG$56-Voorblad!$F$41)/$U90-SUM($EE90:GF90)=1,1,0))))</f>
        <v>0</v>
      </c>
      <c r="GH90" s="8">
        <f>IF(GH$56-Voorblad!$F$41&gt;Voorblad!$K$41,0,IF($U90=0,0,IF($U90&lt;1,1/$U90,IF((GH$56-Voorblad!$F$41)/$U90-SUM($EE90:GG90)=1,1,0))))</f>
        <v>0</v>
      </c>
      <c r="GI90" s="8">
        <f>IF(GI$56-Voorblad!$F$41&gt;Voorblad!$K$41,0,IF($U90=0,0,IF($U90&lt;1,1/$U90,IF((GI$56-Voorblad!$F$41)/$U90-SUM($EE90:GH90)=1,1,0))))</f>
        <v>0</v>
      </c>
      <c r="GJ90" s="8">
        <f>IF(GJ$56-Voorblad!$F$41&gt;Voorblad!$K$41,0,IF($U90=0,0,IF($U90&lt;1,1/$U90,IF((GJ$56-Voorblad!$F$41)/$U90-SUM($EE90:GI90)=1,1,0))))</f>
        <v>0</v>
      </c>
      <c r="GK90" s="8">
        <f>IF(GK$56-Voorblad!$F$41&gt;Voorblad!$K$41,0,IF($U90=0,0,IF($U90&lt;1,1/$U90,IF((GK$56-Voorblad!$F$41)/$U90-SUM($EE90:GJ90)=1,1,0))))</f>
        <v>0</v>
      </c>
      <c r="GL90" s="8">
        <f>IF(GL$56-Voorblad!$F$41&gt;Voorblad!$K$41,0,IF($U90=0,0,IF($U90&lt;1,1/$U90,IF((GL$56-Voorblad!$F$41)/$U90-SUM($EE90:GK90)=1,1,0))))</f>
        <v>0</v>
      </c>
      <c r="GM90" s="8">
        <f>IF(GM$56-Voorblad!$F$41&gt;Voorblad!$K$41,0,IF($U90=0,0,IF($U90&lt;1,1/$U90,IF((GM$56-Voorblad!$F$41)/$U90-SUM($EE90:GL90)=1,1,0))))</f>
        <v>0</v>
      </c>
      <c r="GN90" s="8">
        <f>IF(GN$56-Voorblad!$F$41&gt;Voorblad!$K$41,0,IF($U90=0,0,IF($U90&lt;1,1/$U90,IF((GN$56-Voorblad!$F$41)/$U90-SUM($EE90:GM90)=1,1,0))))</f>
        <v>0</v>
      </c>
      <c r="GO90" s="8">
        <f>IF(GO$56-Voorblad!$F$41&gt;Voorblad!$K$41,0,IF($U90=0,0,IF($U90&lt;1,1/$U90,IF((GO$56-Voorblad!$F$41)/$U90-SUM($EE90:GN90)=1,1,0))))</f>
        <v>0</v>
      </c>
      <c r="GP90" s="8">
        <f>IF(GP$56-Voorblad!$F$41&gt;Voorblad!$K$41,0,IF($U90=0,0,IF($U90&lt;1,1/$U90,IF((GP$56-Voorblad!$F$41)/$U90-SUM($EE90:GO90)=1,1,0))))</f>
        <v>0</v>
      </c>
      <c r="GQ90" s="8">
        <f>IF(GQ$56-Voorblad!$F$41&gt;Voorblad!$K$41,0,IF($U90=0,0,IF($U90&lt;1,1/$U90,IF((GQ$56-Voorblad!$F$41)/$U90-SUM($EE90:GP90)=1,1,0))))</f>
        <v>0</v>
      </c>
      <c r="GR90" s="8">
        <f>IF(GR$56-Voorblad!$F$41&gt;Voorblad!$K$41,0,IF($U90=0,0,IF($U90&lt;1,1/$U90,IF((GR$56-Voorblad!$F$41)/$U90-SUM($EE90:GQ90)=1,1,0))))</f>
        <v>0</v>
      </c>
      <c r="GS90" s="8">
        <f>IF(GS$56-Voorblad!$F$41&gt;Voorblad!$K$41,0,IF($U90=0,0,IF($U90&lt;1,1/$U90,IF((GS$56-Voorblad!$F$41)/$U90-SUM($EE90:GR90)=1,1,0))))</f>
        <v>0</v>
      </c>
      <c r="GT90" s="8">
        <f>IF(GT$56-Voorblad!$F$41&gt;Voorblad!$K$41,0,IF($U90=0,0,IF($U90&lt;1,1/$U90,IF((GT$56-Voorblad!$F$41)/$U90-SUM($EE90:GS90)=1,1,0))))</f>
        <v>0</v>
      </c>
      <c r="GU90" s="8">
        <f>IF(GU$56-Voorblad!$F$41&gt;Voorblad!$K$41,0,IF($U90=0,0,IF($U90&lt;1,1/$U90,IF((GU$56-Voorblad!$F$41)/$U90-SUM($EE90:GT90)=1,1,0))))</f>
        <v>0</v>
      </c>
      <c r="GV90" s="8">
        <f>IF(GV$56-Voorblad!$F$41&gt;Voorblad!$K$41,0,IF($U90=0,0,IF($U90&lt;1,1/$U90,IF((GV$56-Voorblad!$F$41)/$U90-SUM($EE90:GU90)=1,1,0))))</f>
        <v>0</v>
      </c>
      <c r="GW90" s="8">
        <f>IF(GW$56-Voorblad!$F$41&gt;Voorblad!$K$41,0,IF($U90=0,0,IF($U90&lt;1,1/$U90,IF((GW$56-Voorblad!$F$41)/$U90-SUM($EE90:GV90)=1,1,0))))</f>
        <v>0</v>
      </c>
      <c r="GX90" s="8">
        <f>IF(GX$56-Voorblad!$F$41&gt;Voorblad!$K$41,0,IF($U90=0,0,IF($U90&lt;1,1/$U90,IF((GX$56-Voorblad!$F$41)/$U90-SUM($EE90:GW90)=1,1,0))))</f>
        <v>0</v>
      </c>
      <c r="GY90" s="8">
        <f>IF(GY$56-Voorblad!$F$41&gt;Voorblad!$K$41,0,IF($U90=0,0,IF($U90&lt;1,1/$U90,IF((GY$56-Voorblad!$F$41)/$U90-SUM($EE90:GX90)=1,1,0))))</f>
        <v>0</v>
      </c>
      <c r="GZ90" s="8">
        <f>IF(GZ$56-Voorblad!$F$41&gt;Voorblad!$K$41,0,IF($U90=0,0,IF($U90&lt;1,1/$U90,IF((GZ$56-Voorblad!$F$41)/$U90-SUM($EE90:GY90)=1,1,0))))</f>
        <v>0</v>
      </c>
      <c r="HA90" s="8">
        <f>IF(HA$56-Voorblad!$F$41&gt;Voorblad!$K$41,0,IF($U90=0,0,IF($U90&lt;1,1/$U90,IF((HA$56-Voorblad!$F$41)/$U90-SUM($EE90:GZ90)=1,1,0))))</f>
        <v>0</v>
      </c>
      <c r="HB90" s="8">
        <f>IF(HB$56-Voorblad!$F$41&gt;Voorblad!$K$41,0,IF($U90=0,0,IF($U90&lt;1,1/$U90,IF((HB$56-Voorblad!$F$41)/$U90-SUM($EE90:HA90)=1,1,0))))</f>
        <v>0</v>
      </c>
      <c r="HC90" s="8">
        <f>IF(HC$56-Voorblad!$F$41&gt;Voorblad!$K$41,0,IF($U90=0,0,IF($U90&lt;1,1/$U90,IF((HC$56-Voorblad!$F$41)/$U90-SUM($EE90:HB90)=1,1,0))))</f>
        <v>0</v>
      </c>
      <c r="HD90" s="8">
        <f>IF(HD$56-Voorblad!$F$41&gt;Voorblad!$K$41,0,IF($U90=0,0,IF($U90&lt;1,1/$U90,IF((HD$56-Voorblad!$F$41)/$U90-SUM($EE90:HC90)=1,1,0))))</f>
        <v>0</v>
      </c>
      <c r="HE90" s="8">
        <f>IF(HE$56-Voorblad!$F$41&gt;Voorblad!$K$41,0,IF($U90=0,0,IF($U90&lt;1,1/$U90,IF((HE$56-Voorblad!$F$41)/$U90-SUM($EE90:HD90)=1,1,0))))</f>
        <v>0</v>
      </c>
      <c r="HF90" s="8">
        <f>IF(HF$56-Voorblad!$F$41&gt;Voorblad!$K$41,0,IF($U90=0,0,IF($U90&lt;1,1/$U90,IF((HF$56-Voorblad!$F$41)/$U90-SUM($EE90:HE90)=1,1,0))))</f>
        <v>0</v>
      </c>
      <c r="HG90" s="8">
        <f>IF(HG$56-Voorblad!$F$41&gt;Voorblad!$K$41,0,IF($U90=0,0,IF($U90&lt;1,1/$U90,IF((HG$56-Voorblad!$F$41)/$U90-SUM($EE90:HF90)=1,1,0))))</f>
        <v>0</v>
      </c>
      <c r="HH90" s="8">
        <f>IF(HH$56-Voorblad!$F$41&gt;Voorblad!$K$41,0,IF($U90=0,0,IF($U90&lt;1,1/$U90,IF((HH$56-Voorblad!$F$41)/$U90-SUM($EE90:HG90)=1,1,0))))</f>
        <v>0</v>
      </c>
      <c r="HI90" s="8">
        <f>IF(HI$56-Voorblad!$F$41&gt;Voorblad!$K$41,0,IF($U90=0,0,IF($U90&lt;1,1/$U90,IF((HI$56-Voorblad!$F$41)/$U90-SUM($EE90:HH90)=1,1,0))))</f>
        <v>0</v>
      </c>
      <c r="HJ90" s="8">
        <f>IF(HJ$56-Voorblad!$F$41&gt;Voorblad!$K$41,0,IF($U90=0,0,IF($U90&lt;1,1/$U90,IF((HJ$56-Voorblad!$F$41)/$U90-SUM($EE90:HI90)=1,1,0))))</f>
        <v>0</v>
      </c>
      <c r="HK90" s="8">
        <f>IF(HK$56-Voorblad!$F$41&gt;Voorblad!$K$41,0,IF($U90=0,0,IF($U90&lt;1,1/$U90,IF((HK$56-Voorblad!$F$41)/$U90-SUM($EE90:HJ90)=1,1,0))))</f>
        <v>0</v>
      </c>
      <c r="HL90" s="8">
        <f>IF(HL$56-Voorblad!$F$41&gt;Voorblad!$K$41,0,IF($U90=0,0,IF($U90&lt;1,1/$U90,IF((HL$56-Voorblad!$F$41)/$U90-SUM($EE90:HK90)=1,1,0))))</f>
        <v>0</v>
      </c>
      <c r="HM90" s="8">
        <f>IF(HM$56-Voorblad!$F$41&gt;Voorblad!$K$41,0,IF($U90=0,0,IF($U90&lt;1,1/$U90,IF((HM$56-Voorblad!$F$41)/$U90-SUM($EE90:HL90)=1,1,0))))</f>
        <v>0</v>
      </c>
      <c r="HN90" s="8">
        <f>IF(HN$56-Voorblad!$F$41&gt;Voorblad!$K$41,0,IF($U90=0,0,IF($U90&lt;1,1/$U90,IF((HN$56-Voorblad!$F$41)/$U90-SUM($EE90:HM90)=1,1,0))))</f>
        <v>0</v>
      </c>
      <c r="HO90" s="8">
        <f>IF(HO$56-Voorblad!$F$41&gt;Voorblad!$K$41,0,IF($U90=0,0,IF($U90&lt;1,1/$U90,IF((HO$56-Voorblad!$F$41)/$U90-SUM($EE90:HN90)=1,1,0))))</f>
        <v>0</v>
      </c>
      <c r="HP90" s="8">
        <f>IF(HP$56-Voorblad!$F$41&gt;Voorblad!$K$41,0,IF($U90=0,0,IF($U90&lt;1,1/$U90,IF((HP$56-Voorblad!$F$41)/$U90-SUM($EE90:HO90)=1,1,0))))</f>
        <v>0</v>
      </c>
      <c r="HQ90" s="8">
        <f>IF(HQ$56-Voorblad!$F$41&gt;Voorblad!$K$41,0,IF($U90=0,0,IF($U90&lt;1,1/$U90,IF((HQ$56-Voorblad!$F$41)/$U90-SUM($EE90:HP90)=1,1,0))))</f>
        <v>0</v>
      </c>
      <c r="HR90" s="8">
        <f>IF(HR$56-Voorblad!$F$41&gt;Voorblad!$K$41,0,IF($U90=0,0,IF($U90&lt;1,1/$U90,IF((HR$56-Voorblad!$F$41)/$U90-SUM($EE90:HQ90)=1,1,0))))</f>
        <v>0</v>
      </c>
      <c r="HS90" s="8">
        <f>IF(HS$56-Voorblad!$F$41&gt;Voorblad!$K$41,0,IF($U90=0,0,IF($U90&lt;1,1/$U90,IF((HS$56-Voorblad!$F$41)/$U90-SUM($EE90:HR90)=1,1,0))))</f>
        <v>0</v>
      </c>
      <c r="HT90" s="8">
        <f>IF(HT$56-Voorblad!$F$41&gt;Voorblad!$K$41,0,IF($U90=0,0,IF($U90&lt;1,1/$U90,IF((HT$56-Voorblad!$F$41)/$U90-SUM($EE90:HS90)=1,1,0))))</f>
        <v>0</v>
      </c>
      <c r="HU90" s="8">
        <f>IF(HU$56-Voorblad!$F$41&gt;Voorblad!$K$41,0,IF($U90=0,0,IF($U90&lt;1,1/$U90,IF((HU$56-Voorblad!$F$41)/$U90-SUM($EE90:HT90)=1,1,0))))</f>
        <v>0</v>
      </c>
      <c r="HV90" s="8">
        <f>IF(HV$56-Voorblad!$F$41&gt;Voorblad!$K$41,0,IF($U90=0,0,IF($U90&lt;1,1/$U90,IF((HV$56-Voorblad!$F$41)/$U90-SUM($EE90:HU90)=1,1,0))))</f>
        <v>0</v>
      </c>
      <c r="HW90" s="8">
        <f>IF(HW$56-Voorblad!$F$41&gt;Voorblad!$K$41,0,IF($U90=0,0,IF($U90&lt;1,1/$U90,IF((HW$56-Voorblad!$F$41)/$U90-SUM($EE90:HV90)=1,1,0))))</f>
        <v>0</v>
      </c>
      <c r="HX90" s="8">
        <f>IF(HX$56-Voorblad!$F$41&gt;Voorblad!$K$41,0,IF($U90=0,0,IF($U90&lt;1,1/$U90,IF((HX$56-Voorblad!$F$41)/$U90-SUM($EE90:HW90)=1,1,0))))</f>
        <v>0</v>
      </c>
      <c r="HY90" s="8">
        <f>IF(HY$56-Voorblad!$F$41&gt;Voorblad!$K$41,0,IF($U90=0,0,IF($U90&lt;1,1/$U90,IF((HY$56-Voorblad!$F$41)/$U90-SUM($EE90:HX90)=1,1,0))))</f>
        <v>0</v>
      </c>
      <c r="HZ90" s="8">
        <f>IF(HZ$56-Voorblad!$F$41&gt;Voorblad!$K$41,0,IF($U90=0,0,IF($U90&lt;1,1/$U90,IF((HZ$56-Voorblad!$F$41)/$U90-SUM($EE90:HY90)=1,1,0))))</f>
        <v>0</v>
      </c>
      <c r="IA90" s="8">
        <f>IF(IA$56-Voorblad!$F$41&gt;Voorblad!$K$41,0,IF($U90=0,0,IF($U90&lt;1,1/$U90,IF((IA$56-Voorblad!$F$41)/$U90-SUM($EE90:HZ90)=1,1,0))))</f>
        <v>0</v>
      </c>
      <c r="IB90" s="8">
        <f>IF(IB$56-Voorblad!$F$41&gt;Voorblad!$K$41,0,IF($U90=0,0,IF($U90&lt;1,1/$U90,IF((IB$56-Voorblad!$F$41)/$U90-SUM($EE90:IA90)=1,1,0))))</f>
        <v>0</v>
      </c>
    </row>
    <row r="91" spans="2:236" hidden="1" outlineLevel="1" x14ac:dyDescent="0.25">
      <c r="B91" s="1">
        <v>1</v>
      </c>
      <c r="F91" s="1" t="s">
        <v>23</v>
      </c>
      <c r="I91" s="1" t="s">
        <v>49</v>
      </c>
      <c r="K91" s="1" t="s">
        <v>74</v>
      </c>
      <c r="N91" s="3"/>
      <c r="O91" s="1" t="s">
        <v>77</v>
      </c>
      <c r="Q91" s="81">
        <v>0</v>
      </c>
      <c r="R91" s="1" t="s">
        <v>75</v>
      </c>
      <c r="S91" s="14">
        <f>$H$10*10000</f>
        <v>23800</v>
      </c>
      <c r="T91" s="1">
        <f t="shared" si="16"/>
        <v>0</v>
      </c>
      <c r="U91" s="14">
        <v>50</v>
      </c>
      <c r="V91" s="14"/>
      <c r="Y91" s="9">
        <f>SUM(AE91:EB91)</f>
        <v>0</v>
      </c>
      <c r="Z91" s="82"/>
      <c r="AA91" s="82"/>
      <c r="AC91" s="9">
        <f>$Y91*(Voorblad!$K$44*(1+Voorblad!$K$44)^Voorblad!$K$41)/((1+Voorblad!$K$44)^Voorblad!$K$41-1)</f>
        <v>0</v>
      </c>
      <c r="AE91" s="9">
        <f>EF91*($Q91*$S91)/(1+Voorblad!$K$44)^(AE$56-Voorblad!$F$41)</f>
        <v>0</v>
      </c>
      <c r="AF91" s="9">
        <f>EG91*($Q91*$S91)/(1+Voorblad!$K$44)^(AF$56-Voorblad!$F$41)</f>
        <v>0</v>
      </c>
      <c r="AG91" s="9">
        <f>EH91*($Q91*$S91)/(1+Voorblad!$K$44)^(AG$56-Voorblad!$F$41)</f>
        <v>0</v>
      </c>
      <c r="AH91" s="9">
        <f>EI91*($Q91*$S91)/(1+Voorblad!$K$44)^(AH$56-Voorblad!$F$41)</f>
        <v>0</v>
      </c>
      <c r="AI91" s="9">
        <f>EJ91*($Q91*$S91)/(1+Voorblad!$K$44)^(AI$56-Voorblad!$F$41)</f>
        <v>0</v>
      </c>
      <c r="AJ91" s="9">
        <f>EK91*($Q91*$S91)/(1+Voorblad!$K$44)^(AJ$56-Voorblad!$F$41)</f>
        <v>0</v>
      </c>
      <c r="AK91" s="9">
        <f>EL91*($Q91*$S91)/(1+Voorblad!$K$44)^(AK$56-Voorblad!$F$41)</f>
        <v>0</v>
      </c>
      <c r="AL91" s="9">
        <f>EM91*($Q91*$S91)/(1+Voorblad!$K$44)^(AL$56-Voorblad!$F$41)</f>
        <v>0</v>
      </c>
      <c r="AM91" s="9">
        <f>EN91*($Q91*$S91)/(1+Voorblad!$K$44)^(AM$56-Voorblad!$F$41)</f>
        <v>0</v>
      </c>
      <c r="AN91" s="9">
        <f>EO91*($Q91*$S91)/(1+Voorblad!$K$44)^(AN$56-Voorblad!$F$41)</f>
        <v>0</v>
      </c>
      <c r="AO91" s="9">
        <f>EP91*($Q91*$S91)/(1+Voorblad!$K$44)^(AO$56-Voorblad!$F$41)</f>
        <v>0</v>
      </c>
      <c r="AP91" s="9">
        <f>EQ91*($Q91*$S91)/(1+Voorblad!$K$44)^(AP$56-Voorblad!$F$41)</f>
        <v>0</v>
      </c>
      <c r="AQ91" s="9">
        <f>ER91*($Q91*$S91)/(1+Voorblad!$K$44)^(AQ$56-Voorblad!$F$41)</f>
        <v>0</v>
      </c>
      <c r="AR91" s="9">
        <f>ES91*($Q91*$S91)/(1+Voorblad!$K$44)^(AR$56-Voorblad!$F$41)</f>
        <v>0</v>
      </c>
      <c r="AS91" s="9">
        <f>ET91*($Q91*$S91)/(1+Voorblad!$K$44)^(AS$56-Voorblad!$F$41)</f>
        <v>0</v>
      </c>
      <c r="AT91" s="9">
        <f>EU91*($Q91*$S91)/(1+Voorblad!$K$44)^(AT$56-Voorblad!$F$41)</f>
        <v>0</v>
      </c>
      <c r="AU91" s="9">
        <f>EV91*($Q91*$S91)/(1+Voorblad!$K$44)^(AU$56-Voorblad!$F$41)</f>
        <v>0</v>
      </c>
      <c r="AV91" s="9">
        <f>EW91*($Q91*$S91)/(1+Voorblad!$K$44)^(AV$56-Voorblad!$F$41)</f>
        <v>0</v>
      </c>
      <c r="AW91" s="9">
        <f>EX91*($Q91*$S91)/(1+Voorblad!$K$44)^(AW$56-Voorblad!$F$41)</f>
        <v>0</v>
      </c>
      <c r="AX91" s="9">
        <f>EY91*($Q91*$S91)/(1+Voorblad!$K$44)^(AX$56-Voorblad!$F$41)</f>
        <v>0</v>
      </c>
      <c r="AY91" s="9">
        <f>EZ91*($Q91*$S91)/(1+Voorblad!$K$44)^(AY$56-Voorblad!$F$41)</f>
        <v>0</v>
      </c>
      <c r="AZ91" s="9">
        <f>FA91*($Q91*$S91)/(1+Voorblad!$K$44)^(AZ$56-Voorblad!$F$41)</f>
        <v>0</v>
      </c>
      <c r="BA91" s="9">
        <f>FB91*($Q91*$S91)/(1+Voorblad!$K$44)^(BA$56-Voorblad!$F$41)</f>
        <v>0</v>
      </c>
      <c r="BB91" s="9">
        <f>FC91*($Q91*$S91)/(1+Voorblad!$K$44)^(BB$56-Voorblad!$F$41)</f>
        <v>0</v>
      </c>
      <c r="BC91" s="9">
        <f>FD91*($Q91*$S91)/(1+Voorblad!$K$44)^(BC$56-Voorblad!$F$41)</f>
        <v>0</v>
      </c>
      <c r="BD91" s="9">
        <f>FE91*($Q91*$S91)/(1+Voorblad!$K$44)^(BD$56-Voorblad!$F$41)</f>
        <v>0</v>
      </c>
      <c r="BE91" s="9">
        <f>FF91*($Q91*$S91)/(1+Voorblad!$K$44)^(BE$56-Voorblad!$F$41)</f>
        <v>0</v>
      </c>
      <c r="BF91" s="9">
        <f>FG91*($Q91*$S91)/(1+Voorblad!$K$44)^(BF$56-Voorblad!$F$41)</f>
        <v>0</v>
      </c>
      <c r="BG91" s="9">
        <f>FH91*($Q91*$S91)/(1+Voorblad!$K$44)^(BG$56-Voorblad!$F$41)</f>
        <v>0</v>
      </c>
      <c r="BH91" s="9">
        <f>FI91*($Q91*$S91)/(1+Voorblad!$K$44)^(BH$56-Voorblad!$F$41)</f>
        <v>0</v>
      </c>
      <c r="BI91" s="9">
        <f>FJ91*($Q91*$S91)/(1+Voorblad!$K$44)^(BI$56-Voorblad!$F$41)</f>
        <v>0</v>
      </c>
      <c r="BJ91" s="9">
        <f>FK91*($Q91*$S91)/(1+Voorblad!$K$44)^(BJ$56-Voorblad!$F$41)</f>
        <v>0</v>
      </c>
      <c r="BK91" s="9">
        <f>FL91*($Q91*$S91)/(1+Voorblad!$K$44)^(BK$56-Voorblad!$F$41)</f>
        <v>0</v>
      </c>
      <c r="BL91" s="9">
        <f>FM91*($Q91*$S91)/(1+Voorblad!$K$44)^(BL$56-Voorblad!$F$41)</f>
        <v>0</v>
      </c>
      <c r="BM91" s="9">
        <f>FN91*($Q91*$S91)/(1+Voorblad!$K$44)^(BM$56-Voorblad!$F$41)</f>
        <v>0</v>
      </c>
      <c r="BN91" s="9">
        <f>FO91*($Q91*$S91)/(1+Voorblad!$K$44)^(BN$56-Voorblad!$F$41)</f>
        <v>0</v>
      </c>
      <c r="BO91" s="9">
        <f>FP91*($Q91*$S91)/(1+Voorblad!$K$44)^(BO$56-Voorblad!$F$41)</f>
        <v>0</v>
      </c>
      <c r="BP91" s="9">
        <f>FQ91*($Q91*$S91)/(1+Voorblad!$K$44)^(BP$56-Voorblad!$F$41)</f>
        <v>0</v>
      </c>
      <c r="BQ91" s="9">
        <f>FR91*($Q91*$S91)/(1+Voorblad!$K$44)^(BQ$56-Voorblad!$F$41)</f>
        <v>0</v>
      </c>
      <c r="BR91" s="9">
        <f>FS91*($Q91*$S91)/(1+Voorblad!$K$44)^(BR$56-Voorblad!$F$41)</f>
        <v>0</v>
      </c>
      <c r="BS91" s="9">
        <f>FT91*($Q91*$S91)/(1+Voorblad!$K$44)^(BS$56-Voorblad!$F$41)</f>
        <v>0</v>
      </c>
      <c r="BT91" s="9">
        <f>FU91*($Q91*$S91)/(1+Voorblad!$K$44)^(BT$56-Voorblad!$F$41)</f>
        <v>0</v>
      </c>
      <c r="BU91" s="9">
        <f>FV91*($Q91*$S91)/(1+Voorblad!$K$44)^(BU$56-Voorblad!$F$41)</f>
        <v>0</v>
      </c>
      <c r="BV91" s="9">
        <f>FW91*($Q91*$S91)/(1+Voorblad!$K$44)^(BV$56-Voorblad!$F$41)</f>
        <v>0</v>
      </c>
      <c r="BW91" s="9">
        <f>FX91*($Q91*$S91)/(1+Voorblad!$K$44)^(BW$56-Voorblad!$F$41)</f>
        <v>0</v>
      </c>
      <c r="BX91" s="9">
        <f>FY91*($Q91*$S91)/(1+Voorblad!$K$44)^(BX$56-Voorblad!$F$41)</f>
        <v>0</v>
      </c>
      <c r="BY91" s="9">
        <f>FZ91*($Q91*$S91)/(1+Voorblad!$K$44)^(BY$56-Voorblad!$F$41)</f>
        <v>0</v>
      </c>
      <c r="BZ91" s="9">
        <f>GA91*($Q91*$S91)/(1+Voorblad!$K$44)^(BZ$56-Voorblad!$F$41)</f>
        <v>0</v>
      </c>
      <c r="CA91" s="9">
        <f>GB91*($Q91*$S91)/(1+Voorblad!$K$44)^(CA$56-Voorblad!$F$41)</f>
        <v>0</v>
      </c>
      <c r="CB91" s="9">
        <f>GC91*($Q91*$S91)/(1+Voorblad!$K$44)^(CB$56-Voorblad!$F$41)</f>
        <v>0</v>
      </c>
      <c r="CC91" s="9">
        <f>GD91*($Q91*$S91)/(1+Voorblad!$K$44)^(CC$56-Voorblad!$F$41)</f>
        <v>0</v>
      </c>
      <c r="CD91" s="9">
        <f>GE91*($Q91*$S91)/(1+Voorblad!$K$44)^(CD$56-Voorblad!$F$41)</f>
        <v>0</v>
      </c>
      <c r="CE91" s="9">
        <f>GF91*($Q91*$S91)/(1+Voorblad!$K$44)^(CE$56-Voorblad!$F$41)</f>
        <v>0</v>
      </c>
      <c r="CF91" s="9">
        <f>GG91*($Q91*$S91)/(1+Voorblad!$K$44)^(CF$56-Voorblad!$F$41)</f>
        <v>0</v>
      </c>
      <c r="CG91" s="9">
        <f>GH91*($Q91*$S91)/(1+Voorblad!$K$44)^(CG$56-Voorblad!$F$41)</f>
        <v>0</v>
      </c>
      <c r="CH91" s="9">
        <f>GI91*($Q91*$S91)/(1+Voorblad!$K$44)^(CH$56-Voorblad!$F$41)</f>
        <v>0</v>
      </c>
      <c r="CI91" s="9">
        <f>GJ91*($Q91*$S91)/(1+Voorblad!$K$44)^(CI$56-Voorblad!$F$41)</f>
        <v>0</v>
      </c>
      <c r="CJ91" s="9">
        <f>GK91*($Q91*$S91)/(1+Voorblad!$K$44)^(CJ$56-Voorblad!$F$41)</f>
        <v>0</v>
      </c>
      <c r="CK91" s="9">
        <f>GL91*($Q91*$S91)/(1+Voorblad!$K$44)^(CK$56-Voorblad!$F$41)</f>
        <v>0</v>
      </c>
      <c r="CL91" s="9">
        <f>GM91*($Q91*$S91)/(1+Voorblad!$K$44)^(CL$56-Voorblad!$F$41)</f>
        <v>0</v>
      </c>
      <c r="CM91" s="9">
        <f>GN91*($Q91*$S91)/(1+Voorblad!$K$44)^(CM$56-Voorblad!$F$41)</f>
        <v>0</v>
      </c>
      <c r="CN91" s="9">
        <f>GO91*($Q91*$S91)/(1+Voorblad!$K$44)^(CN$56-Voorblad!$F$41)</f>
        <v>0</v>
      </c>
      <c r="CO91" s="9">
        <f>GP91*($Q91*$S91)/(1+Voorblad!$K$44)^(CO$56-Voorblad!$F$41)</f>
        <v>0</v>
      </c>
      <c r="CP91" s="9">
        <f>GQ91*($Q91*$S91)/(1+Voorblad!$K$44)^(CP$56-Voorblad!$F$41)</f>
        <v>0</v>
      </c>
      <c r="CQ91" s="9">
        <f>GR91*($Q91*$S91)/(1+Voorblad!$K$44)^(CQ$56-Voorblad!$F$41)</f>
        <v>0</v>
      </c>
      <c r="CR91" s="9">
        <f>GS91*($Q91*$S91)/(1+Voorblad!$K$44)^(CR$56-Voorblad!$F$41)</f>
        <v>0</v>
      </c>
      <c r="CS91" s="9">
        <f>GT91*($Q91*$S91)/(1+Voorblad!$K$44)^(CS$56-Voorblad!$F$41)</f>
        <v>0</v>
      </c>
      <c r="CT91" s="9">
        <f>GU91*($Q91*$S91)/(1+Voorblad!$K$44)^(CT$56-Voorblad!$F$41)</f>
        <v>0</v>
      </c>
      <c r="CU91" s="9">
        <f>GV91*($Q91*$S91)/(1+Voorblad!$K$44)^(CU$56-Voorblad!$F$41)</f>
        <v>0</v>
      </c>
      <c r="CV91" s="9">
        <f>GW91*($Q91*$S91)/(1+Voorblad!$K$44)^(CV$56-Voorblad!$F$41)</f>
        <v>0</v>
      </c>
      <c r="CW91" s="9">
        <f>GX91*($Q91*$S91)/(1+Voorblad!$K$44)^(CW$56-Voorblad!$F$41)</f>
        <v>0</v>
      </c>
      <c r="CX91" s="9">
        <f>GY91*($Q91*$S91)/(1+Voorblad!$K$44)^(CX$56-Voorblad!$F$41)</f>
        <v>0</v>
      </c>
      <c r="CY91" s="9">
        <f>GZ91*($Q91*$S91)/(1+Voorblad!$K$44)^(CY$56-Voorblad!$F$41)</f>
        <v>0</v>
      </c>
      <c r="CZ91" s="9">
        <f>HA91*($Q91*$S91)/(1+Voorblad!$K$44)^(CZ$56-Voorblad!$F$41)</f>
        <v>0</v>
      </c>
      <c r="DA91" s="9">
        <f>HB91*($Q91*$S91)/(1+Voorblad!$K$44)^(DA$56-Voorblad!$F$41)</f>
        <v>0</v>
      </c>
      <c r="DB91" s="9">
        <f>HC91*($Q91*$S91)/(1+Voorblad!$K$44)^(DB$56-Voorblad!$F$41)</f>
        <v>0</v>
      </c>
      <c r="DC91" s="9">
        <f>HD91*($Q91*$S91)/(1+Voorblad!$K$44)^(DC$56-Voorblad!$F$41)</f>
        <v>0</v>
      </c>
      <c r="DD91" s="9">
        <f>HE91*($Q91*$S91)/(1+Voorblad!$K$44)^(DD$56-Voorblad!$F$41)</f>
        <v>0</v>
      </c>
      <c r="DE91" s="9">
        <f>HF91*($Q91*$S91)/(1+Voorblad!$K$44)^(DE$56-Voorblad!$F$41)</f>
        <v>0</v>
      </c>
      <c r="DF91" s="9">
        <f>HG91*($Q91*$S91)/(1+Voorblad!$K$44)^(DF$56-Voorblad!$F$41)</f>
        <v>0</v>
      </c>
      <c r="DG91" s="9">
        <f>HH91*($Q91*$S91)/(1+Voorblad!$K$44)^(DG$56-Voorblad!$F$41)</f>
        <v>0</v>
      </c>
      <c r="DH91" s="9">
        <f>HI91*($Q91*$S91)/(1+Voorblad!$K$44)^(DH$56-Voorblad!$F$41)</f>
        <v>0</v>
      </c>
      <c r="DI91" s="9">
        <f>HJ91*($Q91*$S91)/(1+Voorblad!$K$44)^(DI$56-Voorblad!$F$41)</f>
        <v>0</v>
      </c>
      <c r="DJ91" s="9">
        <f>HK91*($Q91*$S91)/(1+Voorblad!$K$44)^(DJ$56-Voorblad!$F$41)</f>
        <v>0</v>
      </c>
      <c r="DK91" s="9">
        <f>HL91*($Q91*$S91)/(1+Voorblad!$K$44)^(DK$56-Voorblad!$F$41)</f>
        <v>0</v>
      </c>
      <c r="DL91" s="9">
        <f>HM91*($Q91*$S91)/(1+Voorblad!$K$44)^(DL$56-Voorblad!$F$41)</f>
        <v>0</v>
      </c>
      <c r="DM91" s="9">
        <f>HN91*($Q91*$S91)/(1+Voorblad!$K$44)^(DM$56-Voorblad!$F$41)</f>
        <v>0</v>
      </c>
      <c r="DN91" s="9">
        <f>HO91*($Q91*$S91)/(1+Voorblad!$K$44)^(DN$56-Voorblad!$F$41)</f>
        <v>0</v>
      </c>
      <c r="DO91" s="9">
        <f>HP91*($Q91*$S91)/(1+Voorblad!$K$44)^(DO$56-Voorblad!$F$41)</f>
        <v>0</v>
      </c>
      <c r="DP91" s="9">
        <f>HQ91*($Q91*$S91)/(1+Voorblad!$K$44)^(DP$56-Voorblad!$F$41)</f>
        <v>0</v>
      </c>
      <c r="DQ91" s="9">
        <f>HR91*($Q91*$S91)/(1+Voorblad!$K$44)^(DQ$56-Voorblad!$F$41)</f>
        <v>0</v>
      </c>
      <c r="DR91" s="9">
        <f>HS91*($Q91*$S91)/(1+Voorblad!$K$44)^(DR$56-Voorblad!$F$41)</f>
        <v>0</v>
      </c>
      <c r="DS91" s="9">
        <f>HT91*($Q91*$S91)/(1+Voorblad!$K$44)^(DS$56-Voorblad!$F$41)</f>
        <v>0</v>
      </c>
      <c r="DT91" s="9">
        <f>HU91*($Q91*$S91)/(1+Voorblad!$K$44)^(DT$56-Voorblad!$F$41)</f>
        <v>0</v>
      </c>
      <c r="DU91" s="9">
        <f>HV91*($Q91*$S91)/(1+Voorblad!$K$44)^(DU$56-Voorblad!$F$41)</f>
        <v>0</v>
      </c>
      <c r="DV91" s="9">
        <f>HW91*($Q91*$S91)/(1+Voorblad!$K$44)^(DV$56-Voorblad!$F$41)</f>
        <v>0</v>
      </c>
      <c r="DW91" s="9">
        <f>HX91*($Q91*$S91)/(1+Voorblad!$K$44)^(DW$56-Voorblad!$F$41)</f>
        <v>0</v>
      </c>
      <c r="DX91" s="9">
        <f>HY91*($Q91*$S91)/(1+Voorblad!$K$44)^(DX$56-Voorblad!$F$41)</f>
        <v>0</v>
      </c>
      <c r="DY91" s="9">
        <f>HZ91*($Q91*$S91)/(1+Voorblad!$K$44)^(DY$56-Voorblad!$F$41)</f>
        <v>0</v>
      </c>
      <c r="DZ91" s="9">
        <f>IA91*($Q91*$S91)/(1+Voorblad!$K$44)^(DZ$56-Voorblad!$F$41)</f>
        <v>0</v>
      </c>
      <c r="EA91" s="9">
        <f>IB91*($Q91*$S91)/(1+Voorblad!$K$44)^(EA$56-Voorblad!$F$41)</f>
        <v>0</v>
      </c>
      <c r="EB91" s="9">
        <f>IC91*($Q91*$S91)/(1+Voorblad!$K$44)^(EB$56-Voorblad!$F$41)</f>
        <v>0</v>
      </c>
      <c r="EE91" s="8">
        <v>0</v>
      </c>
      <c r="EF91" s="8">
        <f>IF(EF$56-Voorblad!$F$41&gt;Voorblad!$K$41,0,IF($U91=0,0,IF($U91&lt;1,1/$U91,IF((EF$56-Voorblad!$F$41)/$U91-SUM($EE91:EE91)=1,1,0))))</f>
        <v>0</v>
      </c>
      <c r="EG91" s="8">
        <f>IF(EG$56-Voorblad!$F$41&gt;Voorblad!$K$41,0,IF($U91=0,0,IF($U91&lt;1,1/$U91,IF((EG$56-Voorblad!$F$41)/$U91-SUM($EE91:EF91)=1,1,0))))</f>
        <v>0</v>
      </c>
      <c r="EH91" s="8">
        <f>IF(EH$56-Voorblad!$F$41&gt;Voorblad!$K$41,0,IF($U91=0,0,IF($U91&lt;1,1/$U91,IF((EH$56-Voorblad!$F$41)/$U91-SUM($EE91:EG91)=1,1,0))))</f>
        <v>0</v>
      </c>
      <c r="EI91" s="8">
        <f>IF(EI$56-Voorblad!$F$41&gt;Voorblad!$K$41,0,IF($U91=0,0,IF($U91&lt;1,1/$U91,IF((EI$56-Voorblad!$F$41)/$U91-SUM($EE91:EH91)=1,1,0))))</f>
        <v>0</v>
      </c>
      <c r="EJ91" s="8">
        <f>IF(EJ$56-Voorblad!$F$41&gt;Voorblad!$K$41,0,IF($U91=0,0,IF($U91&lt;1,1/$U91,IF((EJ$56-Voorblad!$F$41)/$U91-SUM($EE91:EI91)=1,1,0))))</f>
        <v>0</v>
      </c>
      <c r="EK91" s="8">
        <f>IF(EK$56-Voorblad!$F$41&gt;Voorblad!$K$41,0,IF($U91=0,0,IF($U91&lt;1,1/$U91,IF((EK$56-Voorblad!$F$41)/$U91-SUM($EE91:EJ91)=1,1,0))))</f>
        <v>0</v>
      </c>
      <c r="EL91" s="8">
        <f>IF(EL$56-Voorblad!$F$41&gt;Voorblad!$K$41,0,IF($U91=0,0,IF($U91&lt;1,1/$U91,IF((EL$56-Voorblad!$F$41)/$U91-SUM($EE91:EK91)=1,1,0))))</f>
        <v>0</v>
      </c>
      <c r="EM91" s="8">
        <f>IF(EM$56-Voorblad!$F$41&gt;Voorblad!$K$41,0,IF($U91=0,0,IF($U91&lt;1,1/$U91,IF((EM$56-Voorblad!$F$41)/$U91-SUM($EE91:EL91)=1,1,0))))</f>
        <v>0</v>
      </c>
      <c r="EN91" s="8">
        <f>IF(EN$56-Voorblad!$F$41&gt;Voorblad!$K$41,0,IF($U91=0,0,IF($U91&lt;1,1/$U91,IF((EN$56-Voorblad!$F$41)/$U91-SUM($EE91:EM91)=1,1,0))))</f>
        <v>0</v>
      </c>
      <c r="EO91" s="8">
        <f>IF(EO$56-Voorblad!$F$41&gt;Voorblad!$K$41,0,IF($U91=0,0,IF($U91&lt;1,1/$U91,IF((EO$56-Voorblad!$F$41)/$U91-SUM($EE91:EN91)=1,1,0))))</f>
        <v>0</v>
      </c>
      <c r="EP91" s="8">
        <f>IF(EP$56-Voorblad!$F$41&gt;Voorblad!$K$41,0,IF($U91=0,0,IF($U91&lt;1,1/$U91,IF((EP$56-Voorblad!$F$41)/$U91-SUM($EE91:EO91)=1,1,0))))</f>
        <v>0</v>
      </c>
      <c r="EQ91" s="8">
        <f>IF(EQ$56-Voorblad!$F$41&gt;Voorblad!$K$41,0,IF($U91=0,0,IF($U91&lt;1,1/$U91,IF((EQ$56-Voorblad!$F$41)/$U91-SUM($EE91:EP91)=1,1,0))))</f>
        <v>0</v>
      </c>
      <c r="ER91" s="8">
        <f>IF(ER$56-Voorblad!$F$41&gt;Voorblad!$K$41,0,IF($U91=0,0,IF($U91&lt;1,1/$U91,IF((ER$56-Voorblad!$F$41)/$U91-SUM($EE91:EQ91)=1,1,0))))</f>
        <v>0</v>
      </c>
      <c r="ES91" s="8">
        <f>IF(ES$56-Voorblad!$F$41&gt;Voorblad!$K$41,0,IF($U91=0,0,IF($U91&lt;1,1/$U91,IF((ES$56-Voorblad!$F$41)/$U91-SUM($EE91:ER91)=1,1,0))))</f>
        <v>0</v>
      </c>
      <c r="ET91" s="8">
        <f>IF(ET$56-Voorblad!$F$41&gt;Voorblad!$K$41,0,IF($U91=0,0,IF($U91&lt;1,1/$U91,IF((ET$56-Voorblad!$F$41)/$U91-SUM($EE91:ES91)=1,1,0))))</f>
        <v>0</v>
      </c>
      <c r="EU91" s="8">
        <f>IF(EU$56-Voorblad!$F$41&gt;Voorblad!$K$41,0,IF($U91=0,0,IF($U91&lt;1,1/$U91,IF((EU$56-Voorblad!$F$41)/$U91-SUM($EE91:ET91)=1,1,0))))</f>
        <v>0</v>
      </c>
      <c r="EV91" s="8">
        <f>IF(EV$56-Voorblad!$F$41&gt;Voorblad!$K$41,0,IF($U91=0,0,IF($U91&lt;1,1/$U91,IF((EV$56-Voorblad!$F$41)/$U91-SUM($EE91:EU91)=1,1,0))))</f>
        <v>0</v>
      </c>
      <c r="EW91" s="8">
        <f>IF(EW$56-Voorblad!$F$41&gt;Voorblad!$K$41,0,IF($U91=0,0,IF($U91&lt;1,1/$U91,IF((EW$56-Voorblad!$F$41)/$U91-SUM($EE91:EV91)=1,1,0))))</f>
        <v>0</v>
      </c>
      <c r="EX91" s="8">
        <f>IF(EX$56-Voorblad!$F$41&gt;Voorblad!$K$41,0,IF($U91=0,0,IF($U91&lt;1,1/$U91,IF((EX$56-Voorblad!$F$41)/$U91-SUM($EE91:EW91)=1,1,0))))</f>
        <v>0</v>
      </c>
      <c r="EY91" s="8">
        <f>IF(EY$56-Voorblad!$F$41&gt;Voorblad!$K$41,0,IF($U91=0,0,IF($U91&lt;1,1/$U91,IF((EY$56-Voorblad!$F$41)/$U91-SUM($EE91:EX91)=1,1,0))))</f>
        <v>0</v>
      </c>
      <c r="EZ91" s="8">
        <f>IF(EZ$56-Voorblad!$F$41&gt;Voorblad!$K$41,0,IF($U91=0,0,IF($U91&lt;1,1/$U91,IF((EZ$56-Voorblad!$F$41)/$U91-SUM($EE91:EY91)=1,1,0))))</f>
        <v>0</v>
      </c>
      <c r="FA91" s="8">
        <f>IF(FA$56-Voorblad!$F$41&gt;Voorblad!$K$41,0,IF($U91=0,0,IF($U91&lt;1,1/$U91,IF((FA$56-Voorblad!$F$41)/$U91-SUM($EE91:EZ91)=1,1,0))))</f>
        <v>0</v>
      </c>
      <c r="FB91" s="8">
        <f>IF(FB$56-Voorblad!$F$41&gt;Voorblad!$K$41,0,IF($U91=0,0,IF($U91&lt;1,1/$U91,IF((FB$56-Voorblad!$F$41)/$U91-SUM($EE91:FA91)=1,1,0))))</f>
        <v>0</v>
      </c>
      <c r="FC91" s="8">
        <f>IF(FC$56-Voorblad!$F$41&gt;Voorblad!$K$41,0,IF($U91=0,0,IF($U91&lt;1,1/$U91,IF((FC$56-Voorblad!$F$41)/$U91-SUM($EE91:FB91)=1,1,0))))</f>
        <v>0</v>
      </c>
      <c r="FD91" s="8">
        <f>IF(FD$56-Voorblad!$F$41&gt;Voorblad!$K$41,0,IF($U91=0,0,IF($U91&lt;1,1/$U91,IF((FD$56-Voorblad!$F$41)/$U91-SUM($EE91:FC91)=1,1,0))))</f>
        <v>0</v>
      </c>
      <c r="FE91" s="8">
        <f>IF(FE$56-Voorblad!$F$41&gt;Voorblad!$K$41,0,IF($U91=0,0,IF($U91&lt;1,1/$U91,IF((FE$56-Voorblad!$F$41)/$U91-SUM($EE91:FD91)=1,1,0))))</f>
        <v>0</v>
      </c>
      <c r="FF91" s="8">
        <f>IF(FF$56-Voorblad!$F$41&gt;Voorblad!$K$41,0,IF($U91=0,0,IF($U91&lt;1,1/$U91,IF((FF$56-Voorblad!$F$41)/$U91-SUM($EE91:FE91)=1,1,0))))</f>
        <v>0</v>
      </c>
      <c r="FG91" s="8">
        <f>IF(FG$56-Voorblad!$F$41&gt;Voorblad!$K$41,0,IF($U91=0,0,IF($U91&lt;1,1/$U91,IF((FG$56-Voorblad!$F$41)/$U91-SUM($EE91:FF91)=1,1,0))))</f>
        <v>0</v>
      </c>
      <c r="FH91" s="8">
        <f>IF(FH$56-Voorblad!$F$41&gt;Voorblad!$K$41,0,IF($U91=0,0,IF($U91&lt;1,1/$U91,IF((FH$56-Voorblad!$F$41)/$U91-SUM($EE91:FG91)=1,1,0))))</f>
        <v>0</v>
      </c>
      <c r="FI91" s="8">
        <f>IF(FI$56-Voorblad!$F$41&gt;Voorblad!$K$41,0,IF($U91=0,0,IF($U91&lt;1,1/$U91,IF((FI$56-Voorblad!$F$41)/$U91-SUM($EE91:FH91)=1,1,0))))</f>
        <v>0</v>
      </c>
      <c r="FJ91" s="8">
        <f>IF(FJ$56-Voorblad!$F$41&gt;Voorblad!$K$41,0,IF($U91=0,0,IF($U91&lt;1,1/$U91,IF((FJ$56-Voorblad!$F$41)/$U91-SUM($EE91:FI91)=1,1,0))))</f>
        <v>0</v>
      </c>
      <c r="FK91" s="8">
        <f>IF(FK$56-Voorblad!$F$41&gt;Voorblad!$K$41,0,IF($U91=0,0,IF($U91&lt;1,1/$U91,IF((FK$56-Voorblad!$F$41)/$U91-SUM($EE91:FJ91)=1,1,0))))</f>
        <v>0</v>
      </c>
      <c r="FL91" s="8">
        <f>IF(FL$56-Voorblad!$F$41&gt;Voorblad!$K$41,0,IF($U91=0,0,IF($U91&lt;1,1/$U91,IF((FL$56-Voorblad!$F$41)/$U91-SUM($EE91:FK91)=1,1,0))))</f>
        <v>0</v>
      </c>
      <c r="FM91" s="8">
        <f>IF(FM$56-Voorblad!$F$41&gt;Voorblad!$K$41,0,IF($U91=0,0,IF($U91&lt;1,1/$U91,IF((FM$56-Voorblad!$F$41)/$U91-SUM($EE91:FL91)=1,1,0))))</f>
        <v>0</v>
      </c>
      <c r="FN91" s="8">
        <f>IF(FN$56-Voorblad!$F$41&gt;Voorblad!$K$41,0,IF($U91=0,0,IF($U91&lt;1,1/$U91,IF((FN$56-Voorblad!$F$41)/$U91-SUM($EE91:FM91)=1,1,0))))</f>
        <v>0</v>
      </c>
      <c r="FO91" s="8">
        <f>IF(FO$56-Voorblad!$F$41&gt;Voorblad!$K$41,0,IF($U91=0,0,IF($U91&lt;1,1/$U91,IF((FO$56-Voorblad!$F$41)/$U91-SUM($EE91:FN91)=1,1,0))))</f>
        <v>0</v>
      </c>
      <c r="FP91" s="8">
        <f>IF(FP$56-Voorblad!$F$41&gt;Voorblad!$K$41,0,IF($U91=0,0,IF($U91&lt;1,1/$U91,IF((FP$56-Voorblad!$F$41)/$U91-SUM($EE91:FO91)=1,1,0))))</f>
        <v>0</v>
      </c>
      <c r="FQ91" s="8">
        <f>IF(FQ$56-Voorblad!$F$41&gt;Voorblad!$K$41,0,IF($U91=0,0,IF($U91&lt;1,1/$U91,IF((FQ$56-Voorblad!$F$41)/$U91-SUM($EE91:FP91)=1,1,0))))</f>
        <v>0</v>
      </c>
      <c r="FR91" s="8">
        <f>IF(FR$56-Voorblad!$F$41&gt;Voorblad!$K$41,0,IF($U91=0,0,IF($U91&lt;1,1/$U91,IF((FR$56-Voorblad!$F$41)/$U91-SUM($EE91:FQ91)=1,1,0))))</f>
        <v>0</v>
      </c>
      <c r="FS91" s="8">
        <f>IF(FS$56-Voorblad!$F$41&gt;Voorblad!$K$41,0,IF($U91=0,0,IF($U91&lt;1,1/$U91,IF((FS$56-Voorblad!$F$41)/$U91-SUM($EE91:FR91)=1,1,0))))</f>
        <v>0</v>
      </c>
      <c r="FT91" s="8">
        <f>IF(FT$56-Voorblad!$F$41&gt;Voorblad!$K$41,0,IF($U91=0,0,IF($U91&lt;1,1/$U91,IF((FT$56-Voorblad!$F$41)/$U91-SUM($EE91:FS91)=1,1,0))))</f>
        <v>0</v>
      </c>
      <c r="FU91" s="8">
        <f>IF(FU$56-Voorblad!$F$41&gt;Voorblad!$K$41,0,IF($U91=0,0,IF($U91&lt;1,1/$U91,IF((FU$56-Voorblad!$F$41)/$U91-SUM($EE91:FT91)=1,1,0))))</f>
        <v>0</v>
      </c>
      <c r="FV91" s="8">
        <f>IF(FV$56-Voorblad!$F$41&gt;Voorblad!$K$41,0,IF($U91=0,0,IF($U91&lt;1,1/$U91,IF((FV$56-Voorblad!$F$41)/$U91-SUM($EE91:FU91)=1,1,0))))</f>
        <v>0</v>
      </c>
      <c r="FW91" s="8">
        <f>IF(FW$56-Voorblad!$F$41&gt;Voorblad!$K$41,0,IF($U91=0,0,IF($U91&lt;1,1/$U91,IF((FW$56-Voorblad!$F$41)/$U91-SUM($EE91:FV91)=1,1,0))))</f>
        <v>0</v>
      </c>
      <c r="FX91" s="8">
        <f>IF(FX$56-Voorblad!$F$41&gt;Voorblad!$K$41,0,IF($U91=0,0,IF($U91&lt;1,1/$U91,IF((FX$56-Voorblad!$F$41)/$U91-SUM($EE91:FW91)=1,1,0))))</f>
        <v>0</v>
      </c>
      <c r="FY91" s="8">
        <f>IF(FY$56-Voorblad!$F$41&gt;Voorblad!$K$41,0,IF($U91=0,0,IF($U91&lt;1,1/$U91,IF((FY$56-Voorblad!$F$41)/$U91-SUM($EE91:FX91)=1,1,0))))</f>
        <v>0</v>
      </c>
      <c r="FZ91" s="8">
        <f>IF(FZ$56-Voorblad!$F$41&gt;Voorblad!$K$41,0,IF($U91=0,0,IF($U91&lt;1,1/$U91,IF((FZ$56-Voorblad!$F$41)/$U91-SUM($EE91:FY91)=1,1,0))))</f>
        <v>0</v>
      </c>
      <c r="GA91" s="8">
        <f>IF(GA$56-Voorblad!$F$41&gt;Voorblad!$K$41,0,IF($U91=0,0,IF($U91&lt;1,1/$U91,IF((GA$56-Voorblad!$F$41)/$U91-SUM($EE91:FZ91)=1,1,0))))</f>
        <v>0</v>
      </c>
      <c r="GB91" s="8">
        <f>IF(GB$56-Voorblad!$F$41&gt;Voorblad!$K$41,0,IF($U91=0,0,IF($U91&lt;1,1/$U91,IF((GB$56-Voorblad!$F$41)/$U91-SUM($EE91:GA91)=1,1,0))))</f>
        <v>0</v>
      </c>
      <c r="GC91" s="8">
        <f>IF(GC$56-Voorblad!$F$41&gt;Voorblad!$K$41,0,IF($U91=0,0,IF($U91&lt;1,1/$U91,IF((GC$56-Voorblad!$F$41)/$U91-SUM($EE91:GB91)=1,1,0))))</f>
        <v>0</v>
      </c>
      <c r="GD91" s="8">
        <f>IF(GD$56-Voorblad!$F$41&gt;Voorblad!$K$41,0,IF($U91=0,0,IF($U91&lt;1,1/$U91,IF((GD$56-Voorblad!$F$41)/$U91-SUM($EE91:GC91)=1,1,0))))</f>
        <v>1</v>
      </c>
      <c r="GE91" s="8">
        <f>IF(GE$56-Voorblad!$F$41&gt;Voorblad!$K$41,0,IF($U91=0,0,IF($U91&lt;1,1/$U91,IF((GE$56-Voorblad!$F$41)/$U91-SUM($EE91:GD91)=1,1,0))))</f>
        <v>0</v>
      </c>
      <c r="GF91" s="8">
        <f>IF(GF$56-Voorblad!$F$41&gt;Voorblad!$K$41,0,IF($U91=0,0,IF($U91&lt;1,1/$U91,IF((GF$56-Voorblad!$F$41)/$U91-SUM($EE91:GE91)=1,1,0))))</f>
        <v>0</v>
      </c>
      <c r="GG91" s="8">
        <f>IF(GG$56-Voorblad!$F$41&gt;Voorblad!$K$41,0,IF($U91=0,0,IF($U91&lt;1,1/$U91,IF((GG$56-Voorblad!$F$41)/$U91-SUM($EE91:GF91)=1,1,0))))</f>
        <v>0</v>
      </c>
      <c r="GH91" s="8">
        <f>IF(GH$56-Voorblad!$F$41&gt;Voorblad!$K$41,0,IF($U91=0,0,IF($U91&lt;1,1/$U91,IF((GH$56-Voorblad!$F$41)/$U91-SUM($EE91:GG91)=1,1,0))))</f>
        <v>0</v>
      </c>
      <c r="GI91" s="8">
        <f>IF(GI$56-Voorblad!$F$41&gt;Voorblad!$K$41,0,IF($U91=0,0,IF($U91&lt;1,1/$U91,IF((GI$56-Voorblad!$F$41)/$U91-SUM($EE91:GH91)=1,1,0))))</f>
        <v>0</v>
      </c>
      <c r="GJ91" s="8">
        <f>IF(GJ$56-Voorblad!$F$41&gt;Voorblad!$K$41,0,IF($U91=0,0,IF($U91&lt;1,1/$U91,IF((GJ$56-Voorblad!$F$41)/$U91-SUM($EE91:GI91)=1,1,0))))</f>
        <v>0</v>
      </c>
      <c r="GK91" s="8">
        <f>IF(GK$56-Voorblad!$F$41&gt;Voorblad!$K$41,0,IF($U91=0,0,IF($U91&lt;1,1/$U91,IF((GK$56-Voorblad!$F$41)/$U91-SUM($EE91:GJ91)=1,1,0))))</f>
        <v>0</v>
      </c>
      <c r="GL91" s="8">
        <f>IF(GL$56-Voorblad!$F$41&gt;Voorblad!$K$41,0,IF($U91=0,0,IF($U91&lt;1,1/$U91,IF((GL$56-Voorblad!$F$41)/$U91-SUM($EE91:GK91)=1,1,0))))</f>
        <v>0</v>
      </c>
      <c r="GM91" s="8">
        <f>IF(GM$56-Voorblad!$F$41&gt;Voorblad!$K$41,0,IF($U91=0,0,IF($U91&lt;1,1/$U91,IF((GM$56-Voorblad!$F$41)/$U91-SUM($EE91:GL91)=1,1,0))))</f>
        <v>0</v>
      </c>
      <c r="GN91" s="8">
        <f>IF(GN$56-Voorblad!$F$41&gt;Voorblad!$K$41,0,IF($U91=0,0,IF($U91&lt;1,1/$U91,IF((GN$56-Voorblad!$F$41)/$U91-SUM($EE91:GM91)=1,1,0))))</f>
        <v>0</v>
      </c>
      <c r="GO91" s="8">
        <f>IF(GO$56-Voorblad!$F$41&gt;Voorblad!$K$41,0,IF($U91=0,0,IF($U91&lt;1,1/$U91,IF((GO$56-Voorblad!$F$41)/$U91-SUM($EE91:GN91)=1,1,0))))</f>
        <v>0</v>
      </c>
      <c r="GP91" s="8">
        <f>IF(GP$56-Voorblad!$F$41&gt;Voorblad!$K$41,0,IF($U91=0,0,IF($U91&lt;1,1/$U91,IF((GP$56-Voorblad!$F$41)/$U91-SUM($EE91:GO91)=1,1,0))))</f>
        <v>0</v>
      </c>
      <c r="GQ91" s="8">
        <f>IF(GQ$56-Voorblad!$F$41&gt;Voorblad!$K$41,0,IF($U91=0,0,IF($U91&lt;1,1/$U91,IF((GQ$56-Voorblad!$F$41)/$U91-SUM($EE91:GP91)=1,1,0))))</f>
        <v>0</v>
      </c>
      <c r="GR91" s="8">
        <f>IF(GR$56-Voorblad!$F$41&gt;Voorblad!$K$41,0,IF($U91=0,0,IF($U91&lt;1,1/$U91,IF((GR$56-Voorblad!$F$41)/$U91-SUM($EE91:GQ91)=1,1,0))))</f>
        <v>0</v>
      </c>
      <c r="GS91" s="8">
        <f>IF(GS$56-Voorblad!$F$41&gt;Voorblad!$K$41,0,IF($U91=0,0,IF($U91&lt;1,1/$U91,IF((GS$56-Voorblad!$F$41)/$U91-SUM($EE91:GR91)=1,1,0))))</f>
        <v>0</v>
      </c>
      <c r="GT91" s="8">
        <f>IF(GT$56-Voorblad!$F$41&gt;Voorblad!$K$41,0,IF($U91=0,0,IF($U91&lt;1,1/$U91,IF((GT$56-Voorblad!$F$41)/$U91-SUM($EE91:GS91)=1,1,0))))</f>
        <v>0</v>
      </c>
      <c r="GU91" s="8">
        <f>IF(GU$56-Voorblad!$F$41&gt;Voorblad!$K$41,0,IF($U91=0,0,IF($U91&lt;1,1/$U91,IF((GU$56-Voorblad!$F$41)/$U91-SUM($EE91:GT91)=1,1,0))))</f>
        <v>0</v>
      </c>
      <c r="GV91" s="8">
        <f>IF(GV$56-Voorblad!$F$41&gt;Voorblad!$K$41,0,IF($U91=0,0,IF($U91&lt;1,1/$U91,IF((GV$56-Voorblad!$F$41)/$U91-SUM($EE91:GU91)=1,1,0))))</f>
        <v>0</v>
      </c>
      <c r="GW91" s="8">
        <f>IF(GW$56-Voorblad!$F$41&gt;Voorblad!$K$41,0,IF($U91=0,0,IF($U91&lt;1,1/$U91,IF((GW$56-Voorblad!$F$41)/$U91-SUM($EE91:GV91)=1,1,0))))</f>
        <v>0</v>
      </c>
      <c r="GX91" s="8">
        <f>IF(GX$56-Voorblad!$F$41&gt;Voorblad!$K$41,0,IF($U91=0,0,IF($U91&lt;1,1/$U91,IF((GX$56-Voorblad!$F$41)/$U91-SUM($EE91:GW91)=1,1,0))))</f>
        <v>0</v>
      </c>
      <c r="GY91" s="8">
        <f>IF(GY$56-Voorblad!$F$41&gt;Voorblad!$K$41,0,IF($U91=0,0,IF($U91&lt;1,1/$U91,IF((GY$56-Voorblad!$F$41)/$U91-SUM($EE91:GX91)=1,1,0))))</f>
        <v>0</v>
      </c>
      <c r="GZ91" s="8">
        <f>IF(GZ$56-Voorblad!$F$41&gt;Voorblad!$K$41,0,IF($U91=0,0,IF($U91&lt;1,1/$U91,IF((GZ$56-Voorblad!$F$41)/$U91-SUM($EE91:GY91)=1,1,0))))</f>
        <v>0</v>
      </c>
      <c r="HA91" s="8">
        <f>IF(HA$56-Voorblad!$F$41&gt;Voorblad!$K$41,0,IF($U91=0,0,IF($U91&lt;1,1/$U91,IF((HA$56-Voorblad!$F$41)/$U91-SUM($EE91:GZ91)=1,1,0))))</f>
        <v>0</v>
      </c>
      <c r="HB91" s="8">
        <f>IF(HB$56-Voorblad!$F$41&gt;Voorblad!$K$41,0,IF($U91=0,0,IF($U91&lt;1,1/$U91,IF((HB$56-Voorblad!$F$41)/$U91-SUM($EE91:HA91)=1,1,0))))</f>
        <v>0</v>
      </c>
      <c r="HC91" s="8">
        <f>IF(HC$56-Voorblad!$F$41&gt;Voorblad!$K$41,0,IF($U91=0,0,IF($U91&lt;1,1/$U91,IF((HC$56-Voorblad!$F$41)/$U91-SUM($EE91:HB91)=1,1,0))))</f>
        <v>0</v>
      </c>
      <c r="HD91" s="8">
        <f>IF(HD$56-Voorblad!$F$41&gt;Voorblad!$K$41,0,IF($U91=0,0,IF($U91&lt;1,1/$U91,IF((HD$56-Voorblad!$F$41)/$U91-SUM($EE91:HC91)=1,1,0))))</f>
        <v>0</v>
      </c>
      <c r="HE91" s="8">
        <f>IF(HE$56-Voorblad!$F$41&gt;Voorblad!$K$41,0,IF($U91=0,0,IF($U91&lt;1,1/$U91,IF((HE$56-Voorblad!$F$41)/$U91-SUM($EE91:HD91)=1,1,0))))</f>
        <v>0</v>
      </c>
      <c r="HF91" s="8">
        <f>IF(HF$56-Voorblad!$F$41&gt;Voorblad!$K$41,0,IF($U91=0,0,IF($U91&lt;1,1/$U91,IF((HF$56-Voorblad!$F$41)/$U91-SUM($EE91:HE91)=1,1,0))))</f>
        <v>0</v>
      </c>
      <c r="HG91" s="8">
        <f>IF(HG$56-Voorblad!$F$41&gt;Voorblad!$K$41,0,IF($U91=0,0,IF($U91&lt;1,1/$U91,IF((HG$56-Voorblad!$F$41)/$U91-SUM($EE91:HF91)=1,1,0))))</f>
        <v>0</v>
      </c>
      <c r="HH91" s="8">
        <f>IF(HH$56-Voorblad!$F$41&gt;Voorblad!$K$41,0,IF($U91=0,0,IF($U91&lt;1,1/$U91,IF((HH$56-Voorblad!$F$41)/$U91-SUM($EE91:HG91)=1,1,0))))</f>
        <v>0</v>
      </c>
      <c r="HI91" s="8">
        <f>IF(HI$56-Voorblad!$F$41&gt;Voorblad!$K$41,0,IF($U91=0,0,IF($U91&lt;1,1/$U91,IF((HI$56-Voorblad!$F$41)/$U91-SUM($EE91:HH91)=1,1,0))))</f>
        <v>0</v>
      </c>
      <c r="HJ91" s="8">
        <f>IF(HJ$56-Voorblad!$F$41&gt;Voorblad!$K$41,0,IF($U91=0,0,IF($U91&lt;1,1/$U91,IF((HJ$56-Voorblad!$F$41)/$U91-SUM($EE91:HI91)=1,1,0))))</f>
        <v>0</v>
      </c>
      <c r="HK91" s="8">
        <f>IF(HK$56-Voorblad!$F$41&gt;Voorblad!$K$41,0,IF($U91=0,0,IF($U91&lt;1,1/$U91,IF((HK$56-Voorblad!$F$41)/$U91-SUM($EE91:HJ91)=1,1,0))))</f>
        <v>0</v>
      </c>
      <c r="HL91" s="8">
        <f>IF(HL$56-Voorblad!$F$41&gt;Voorblad!$K$41,0,IF($U91=0,0,IF($U91&lt;1,1/$U91,IF((HL$56-Voorblad!$F$41)/$U91-SUM($EE91:HK91)=1,1,0))))</f>
        <v>0</v>
      </c>
      <c r="HM91" s="8">
        <f>IF(HM$56-Voorblad!$F$41&gt;Voorblad!$K$41,0,IF($U91=0,0,IF($U91&lt;1,1/$U91,IF((HM$56-Voorblad!$F$41)/$U91-SUM($EE91:HL91)=1,1,0))))</f>
        <v>0</v>
      </c>
      <c r="HN91" s="8">
        <f>IF(HN$56-Voorblad!$F$41&gt;Voorblad!$K$41,0,IF($U91=0,0,IF($U91&lt;1,1/$U91,IF((HN$56-Voorblad!$F$41)/$U91-SUM($EE91:HM91)=1,1,0))))</f>
        <v>0</v>
      </c>
      <c r="HO91" s="8">
        <f>IF(HO$56-Voorblad!$F$41&gt;Voorblad!$K$41,0,IF($U91=0,0,IF($U91&lt;1,1/$U91,IF((HO$56-Voorblad!$F$41)/$U91-SUM($EE91:HN91)=1,1,0))))</f>
        <v>0</v>
      </c>
      <c r="HP91" s="8">
        <f>IF(HP$56-Voorblad!$F$41&gt;Voorblad!$K$41,0,IF($U91=0,0,IF($U91&lt;1,1/$U91,IF((HP$56-Voorblad!$F$41)/$U91-SUM($EE91:HO91)=1,1,0))))</f>
        <v>0</v>
      </c>
      <c r="HQ91" s="8">
        <f>IF(HQ$56-Voorblad!$F$41&gt;Voorblad!$K$41,0,IF($U91=0,0,IF($U91&lt;1,1/$U91,IF((HQ$56-Voorblad!$F$41)/$U91-SUM($EE91:HP91)=1,1,0))))</f>
        <v>0</v>
      </c>
      <c r="HR91" s="8">
        <f>IF(HR$56-Voorblad!$F$41&gt;Voorblad!$K$41,0,IF($U91=0,0,IF($U91&lt;1,1/$U91,IF((HR$56-Voorblad!$F$41)/$U91-SUM($EE91:HQ91)=1,1,0))))</f>
        <v>0</v>
      </c>
      <c r="HS91" s="8">
        <f>IF(HS$56-Voorblad!$F$41&gt;Voorblad!$K$41,0,IF($U91=0,0,IF($U91&lt;1,1/$U91,IF((HS$56-Voorblad!$F$41)/$U91-SUM($EE91:HR91)=1,1,0))))</f>
        <v>0</v>
      </c>
      <c r="HT91" s="8">
        <f>IF(HT$56-Voorblad!$F$41&gt;Voorblad!$K$41,0,IF($U91=0,0,IF($U91&lt;1,1/$U91,IF((HT$56-Voorblad!$F$41)/$U91-SUM($EE91:HS91)=1,1,0))))</f>
        <v>0</v>
      </c>
      <c r="HU91" s="8">
        <f>IF(HU$56-Voorblad!$F$41&gt;Voorblad!$K$41,0,IF($U91=0,0,IF($U91&lt;1,1/$U91,IF((HU$56-Voorblad!$F$41)/$U91-SUM($EE91:HT91)=1,1,0))))</f>
        <v>0</v>
      </c>
      <c r="HV91" s="8">
        <f>IF(HV$56-Voorblad!$F$41&gt;Voorblad!$K$41,0,IF($U91=0,0,IF($U91&lt;1,1/$U91,IF((HV$56-Voorblad!$F$41)/$U91-SUM($EE91:HU91)=1,1,0))))</f>
        <v>0</v>
      </c>
      <c r="HW91" s="8">
        <f>IF(HW$56-Voorblad!$F$41&gt;Voorblad!$K$41,0,IF($U91=0,0,IF($U91&lt;1,1/$U91,IF((HW$56-Voorblad!$F$41)/$U91-SUM($EE91:HV91)=1,1,0))))</f>
        <v>0</v>
      </c>
      <c r="HX91" s="8">
        <f>IF(HX$56-Voorblad!$F$41&gt;Voorblad!$K$41,0,IF($U91=0,0,IF($U91&lt;1,1/$U91,IF((HX$56-Voorblad!$F$41)/$U91-SUM($EE91:HW91)=1,1,0))))</f>
        <v>0</v>
      </c>
      <c r="HY91" s="8">
        <f>IF(HY$56-Voorblad!$F$41&gt;Voorblad!$K$41,0,IF($U91=0,0,IF($U91&lt;1,1/$U91,IF((HY$56-Voorblad!$F$41)/$U91-SUM($EE91:HX91)=1,1,0))))</f>
        <v>0</v>
      </c>
      <c r="HZ91" s="8">
        <f>IF(HZ$56-Voorblad!$F$41&gt;Voorblad!$K$41,0,IF($U91=0,0,IF($U91&lt;1,1/$U91,IF((HZ$56-Voorblad!$F$41)/$U91-SUM($EE91:HY91)=1,1,0))))</f>
        <v>0</v>
      </c>
      <c r="IA91" s="8">
        <f>IF(IA$56-Voorblad!$F$41&gt;Voorblad!$K$41,0,IF($U91=0,0,IF($U91&lt;1,1/$U91,IF((IA$56-Voorblad!$F$41)/$U91-SUM($EE91:HZ91)=1,1,0))))</f>
        <v>0</v>
      </c>
      <c r="IB91" s="8">
        <f>IF(IB$56-Voorblad!$F$41&gt;Voorblad!$K$41,0,IF($U91=0,0,IF($U91&lt;1,1/$U91,IF((IB$56-Voorblad!$F$41)/$U91-SUM($EE91:IA91)=1,1,0))))</f>
        <v>0</v>
      </c>
    </row>
    <row r="92" spans="2:236" hidden="1" outlineLevel="1" x14ac:dyDescent="0.25">
      <c r="B92" s="1">
        <v>1</v>
      </c>
      <c r="F92" s="1" t="s">
        <v>23</v>
      </c>
      <c r="I92" s="1" t="s">
        <v>49</v>
      </c>
      <c r="K92" s="1" t="s">
        <v>76</v>
      </c>
      <c r="N92" s="3"/>
      <c r="O92" s="1" t="s">
        <v>77</v>
      </c>
      <c r="Q92" s="81">
        <v>0</v>
      </c>
      <c r="R92" s="1" t="s">
        <v>34</v>
      </c>
      <c r="S92" s="14">
        <f>$H$10*700</f>
        <v>1666</v>
      </c>
      <c r="T92" s="1">
        <f t="shared" si="16"/>
        <v>0</v>
      </c>
      <c r="U92" s="14">
        <v>50</v>
      </c>
      <c r="V92" s="14"/>
      <c r="Y92" s="9">
        <f>SUM(AE92:EB92)</f>
        <v>0</v>
      </c>
      <c r="Z92" s="82"/>
      <c r="AA92" s="82"/>
      <c r="AC92" s="9">
        <f>$Y92*(Voorblad!$K$44*(1+Voorblad!$K$44)^Voorblad!$K$41)/((1+Voorblad!$K$44)^Voorblad!$K$41-1)</f>
        <v>0</v>
      </c>
      <c r="AE92" s="9">
        <f>EF92*($Q92*$S92)/(1+Voorblad!$K$44)^(AE$56-Voorblad!$F$41)</f>
        <v>0</v>
      </c>
      <c r="AF92" s="9">
        <f>EG92*($Q92*$S92)/(1+Voorblad!$K$44)^(AF$56-Voorblad!$F$41)</f>
        <v>0</v>
      </c>
      <c r="AG92" s="9">
        <f>EH92*($Q92*$S92)/(1+Voorblad!$K$44)^(AG$56-Voorblad!$F$41)</f>
        <v>0</v>
      </c>
      <c r="AH92" s="9">
        <f>EI92*($Q92*$S92)/(1+Voorblad!$K$44)^(AH$56-Voorblad!$F$41)</f>
        <v>0</v>
      </c>
      <c r="AI92" s="9">
        <f>EJ92*($Q92*$S92)/(1+Voorblad!$K$44)^(AI$56-Voorblad!$F$41)</f>
        <v>0</v>
      </c>
      <c r="AJ92" s="9">
        <f>EK92*($Q92*$S92)/(1+Voorblad!$K$44)^(AJ$56-Voorblad!$F$41)</f>
        <v>0</v>
      </c>
      <c r="AK92" s="9">
        <f>EL92*($Q92*$S92)/(1+Voorblad!$K$44)^(AK$56-Voorblad!$F$41)</f>
        <v>0</v>
      </c>
      <c r="AL92" s="9">
        <f>EM92*($Q92*$S92)/(1+Voorblad!$K$44)^(AL$56-Voorblad!$F$41)</f>
        <v>0</v>
      </c>
      <c r="AM92" s="9">
        <f>EN92*($Q92*$S92)/(1+Voorblad!$K$44)^(AM$56-Voorblad!$F$41)</f>
        <v>0</v>
      </c>
      <c r="AN92" s="9">
        <f>EO92*($Q92*$S92)/(1+Voorblad!$K$44)^(AN$56-Voorblad!$F$41)</f>
        <v>0</v>
      </c>
      <c r="AO92" s="9">
        <f>EP92*($Q92*$S92)/(1+Voorblad!$K$44)^(AO$56-Voorblad!$F$41)</f>
        <v>0</v>
      </c>
      <c r="AP92" s="9">
        <f>EQ92*($Q92*$S92)/(1+Voorblad!$K$44)^(AP$56-Voorblad!$F$41)</f>
        <v>0</v>
      </c>
      <c r="AQ92" s="9">
        <f>ER92*($Q92*$S92)/(1+Voorblad!$K$44)^(AQ$56-Voorblad!$F$41)</f>
        <v>0</v>
      </c>
      <c r="AR92" s="9">
        <f>ES92*($Q92*$S92)/(1+Voorblad!$K$44)^(AR$56-Voorblad!$F$41)</f>
        <v>0</v>
      </c>
      <c r="AS92" s="9">
        <f>ET92*($Q92*$S92)/(1+Voorblad!$K$44)^(AS$56-Voorblad!$F$41)</f>
        <v>0</v>
      </c>
      <c r="AT92" s="9">
        <f>EU92*($Q92*$S92)/(1+Voorblad!$K$44)^(AT$56-Voorblad!$F$41)</f>
        <v>0</v>
      </c>
      <c r="AU92" s="9">
        <f>EV92*($Q92*$S92)/(1+Voorblad!$K$44)^(AU$56-Voorblad!$F$41)</f>
        <v>0</v>
      </c>
      <c r="AV92" s="9">
        <f>EW92*($Q92*$S92)/(1+Voorblad!$K$44)^(AV$56-Voorblad!$F$41)</f>
        <v>0</v>
      </c>
      <c r="AW92" s="9">
        <f>EX92*($Q92*$S92)/(1+Voorblad!$K$44)^(AW$56-Voorblad!$F$41)</f>
        <v>0</v>
      </c>
      <c r="AX92" s="9">
        <f>EY92*($Q92*$S92)/(1+Voorblad!$K$44)^(AX$56-Voorblad!$F$41)</f>
        <v>0</v>
      </c>
      <c r="AY92" s="9">
        <f>EZ92*($Q92*$S92)/(1+Voorblad!$K$44)^(AY$56-Voorblad!$F$41)</f>
        <v>0</v>
      </c>
      <c r="AZ92" s="9">
        <f>FA92*($Q92*$S92)/(1+Voorblad!$K$44)^(AZ$56-Voorblad!$F$41)</f>
        <v>0</v>
      </c>
      <c r="BA92" s="9">
        <f>FB92*($Q92*$S92)/(1+Voorblad!$K$44)^(BA$56-Voorblad!$F$41)</f>
        <v>0</v>
      </c>
      <c r="BB92" s="9">
        <f>FC92*($Q92*$S92)/(1+Voorblad!$K$44)^(BB$56-Voorblad!$F$41)</f>
        <v>0</v>
      </c>
      <c r="BC92" s="9">
        <f>FD92*($Q92*$S92)/(1+Voorblad!$K$44)^(BC$56-Voorblad!$F$41)</f>
        <v>0</v>
      </c>
      <c r="BD92" s="9">
        <f>FE92*($Q92*$S92)/(1+Voorblad!$K$44)^(BD$56-Voorblad!$F$41)</f>
        <v>0</v>
      </c>
      <c r="BE92" s="9">
        <f>FF92*($Q92*$S92)/(1+Voorblad!$K$44)^(BE$56-Voorblad!$F$41)</f>
        <v>0</v>
      </c>
      <c r="BF92" s="9">
        <f>FG92*($Q92*$S92)/(1+Voorblad!$K$44)^(BF$56-Voorblad!$F$41)</f>
        <v>0</v>
      </c>
      <c r="BG92" s="9">
        <f>FH92*($Q92*$S92)/(1+Voorblad!$K$44)^(BG$56-Voorblad!$F$41)</f>
        <v>0</v>
      </c>
      <c r="BH92" s="9">
        <f>FI92*($Q92*$S92)/(1+Voorblad!$K$44)^(BH$56-Voorblad!$F$41)</f>
        <v>0</v>
      </c>
      <c r="BI92" s="9">
        <f>FJ92*($Q92*$S92)/(1+Voorblad!$K$44)^(BI$56-Voorblad!$F$41)</f>
        <v>0</v>
      </c>
      <c r="BJ92" s="9">
        <f>FK92*($Q92*$S92)/(1+Voorblad!$K$44)^(BJ$56-Voorblad!$F$41)</f>
        <v>0</v>
      </c>
      <c r="BK92" s="9">
        <f>FL92*($Q92*$S92)/(1+Voorblad!$K$44)^(BK$56-Voorblad!$F$41)</f>
        <v>0</v>
      </c>
      <c r="BL92" s="9">
        <f>FM92*($Q92*$S92)/(1+Voorblad!$K$44)^(BL$56-Voorblad!$F$41)</f>
        <v>0</v>
      </c>
      <c r="BM92" s="9">
        <f>FN92*($Q92*$S92)/(1+Voorblad!$K$44)^(BM$56-Voorblad!$F$41)</f>
        <v>0</v>
      </c>
      <c r="BN92" s="9">
        <f>FO92*($Q92*$S92)/(1+Voorblad!$K$44)^(BN$56-Voorblad!$F$41)</f>
        <v>0</v>
      </c>
      <c r="BO92" s="9">
        <f>FP92*($Q92*$S92)/(1+Voorblad!$K$44)^(BO$56-Voorblad!$F$41)</f>
        <v>0</v>
      </c>
      <c r="BP92" s="9">
        <f>FQ92*($Q92*$S92)/(1+Voorblad!$K$44)^(BP$56-Voorblad!$F$41)</f>
        <v>0</v>
      </c>
      <c r="BQ92" s="9">
        <f>FR92*($Q92*$S92)/(1+Voorblad!$K$44)^(BQ$56-Voorblad!$F$41)</f>
        <v>0</v>
      </c>
      <c r="BR92" s="9">
        <f>FS92*($Q92*$S92)/(1+Voorblad!$K$44)^(BR$56-Voorblad!$F$41)</f>
        <v>0</v>
      </c>
      <c r="BS92" s="9">
        <f>FT92*($Q92*$S92)/(1+Voorblad!$K$44)^(BS$56-Voorblad!$F$41)</f>
        <v>0</v>
      </c>
      <c r="BT92" s="9">
        <f>FU92*($Q92*$S92)/(1+Voorblad!$K$44)^(BT$56-Voorblad!$F$41)</f>
        <v>0</v>
      </c>
      <c r="BU92" s="9">
        <f>FV92*($Q92*$S92)/(1+Voorblad!$K$44)^(BU$56-Voorblad!$F$41)</f>
        <v>0</v>
      </c>
      <c r="BV92" s="9">
        <f>FW92*($Q92*$S92)/(1+Voorblad!$K$44)^(BV$56-Voorblad!$F$41)</f>
        <v>0</v>
      </c>
      <c r="BW92" s="9">
        <f>FX92*($Q92*$S92)/(1+Voorblad!$K$44)^(BW$56-Voorblad!$F$41)</f>
        <v>0</v>
      </c>
      <c r="BX92" s="9">
        <f>FY92*($Q92*$S92)/(1+Voorblad!$K$44)^(BX$56-Voorblad!$F$41)</f>
        <v>0</v>
      </c>
      <c r="BY92" s="9">
        <f>FZ92*($Q92*$S92)/(1+Voorblad!$K$44)^(BY$56-Voorblad!$F$41)</f>
        <v>0</v>
      </c>
      <c r="BZ92" s="9">
        <f>GA92*($Q92*$S92)/(1+Voorblad!$K$44)^(BZ$56-Voorblad!$F$41)</f>
        <v>0</v>
      </c>
      <c r="CA92" s="9">
        <f>GB92*($Q92*$S92)/(1+Voorblad!$K$44)^(CA$56-Voorblad!$F$41)</f>
        <v>0</v>
      </c>
      <c r="CB92" s="9">
        <f>GC92*($Q92*$S92)/(1+Voorblad!$K$44)^(CB$56-Voorblad!$F$41)</f>
        <v>0</v>
      </c>
      <c r="CC92" s="9">
        <f>GD92*($Q92*$S92)/(1+Voorblad!$K$44)^(CC$56-Voorblad!$F$41)</f>
        <v>0</v>
      </c>
      <c r="CD92" s="9">
        <f>GE92*($Q92*$S92)/(1+Voorblad!$K$44)^(CD$56-Voorblad!$F$41)</f>
        <v>0</v>
      </c>
      <c r="CE92" s="9">
        <f>GF92*($Q92*$S92)/(1+Voorblad!$K$44)^(CE$56-Voorblad!$F$41)</f>
        <v>0</v>
      </c>
      <c r="CF92" s="9">
        <f>GG92*($Q92*$S92)/(1+Voorblad!$K$44)^(CF$56-Voorblad!$F$41)</f>
        <v>0</v>
      </c>
      <c r="CG92" s="9">
        <f>GH92*($Q92*$S92)/(1+Voorblad!$K$44)^(CG$56-Voorblad!$F$41)</f>
        <v>0</v>
      </c>
      <c r="CH92" s="9">
        <f>GI92*($Q92*$S92)/(1+Voorblad!$K$44)^(CH$56-Voorblad!$F$41)</f>
        <v>0</v>
      </c>
      <c r="CI92" s="9">
        <f>GJ92*($Q92*$S92)/(1+Voorblad!$K$44)^(CI$56-Voorblad!$F$41)</f>
        <v>0</v>
      </c>
      <c r="CJ92" s="9">
        <f>GK92*($Q92*$S92)/(1+Voorblad!$K$44)^(CJ$56-Voorblad!$F$41)</f>
        <v>0</v>
      </c>
      <c r="CK92" s="9">
        <f>GL92*($Q92*$S92)/(1+Voorblad!$K$44)^(CK$56-Voorblad!$F$41)</f>
        <v>0</v>
      </c>
      <c r="CL92" s="9">
        <f>GM92*($Q92*$S92)/(1+Voorblad!$K$44)^(CL$56-Voorblad!$F$41)</f>
        <v>0</v>
      </c>
      <c r="CM92" s="9">
        <f>GN92*($Q92*$S92)/(1+Voorblad!$K$44)^(CM$56-Voorblad!$F$41)</f>
        <v>0</v>
      </c>
      <c r="CN92" s="9">
        <f>GO92*($Q92*$S92)/(1+Voorblad!$K$44)^(CN$56-Voorblad!$F$41)</f>
        <v>0</v>
      </c>
      <c r="CO92" s="9">
        <f>GP92*($Q92*$S92)/(1+Voorblad!$K$44)^(CO$56-Voorblad!$F$41)</f>
        <v>0</v>
      </c>
      <c r="CP92" s="9">
        <f>GQ92*($Q92*$S92)/(1+Voorblad!$K$44)^(CP$56-Voorblad!$F$41)</f>
        <v>0</v>
      </c>
      <c r="CQ92" s="9">
        <f>GR92*($Q92*$S92)/(1+Voorblad!$K$44)^(CQ$56-Voorblad!$F$41)</f>
        <v>0</v>
      </c>
      <c r="CR92" s="9">
        <f>GS92*($Q92*$S92)/(1+Voorblad!$K$44)^(CR$56-Voorblad!$F$41)</f>
        <v>0</v>
      </c>
      <c r="CS92" s="9">
        <f>GT92*($Q92*$S92)/(1+Voorblad!$K$44)^(CS$56-Voorblad!$F$41)</f>
        <v>0</v>
      </c>
      <c r="CT92" s="9">
        <f>GU92*($Q92*$S92)/(1+Voorblad!$K$44)^(CT$56-Voorblad!$F$41)</f>
        <v>0</v>
      </c>
      <c r="CU92" s="9">
        <f>GV92*($Q92*$S92)/(1+Voorblad!$K$44)^(CU$56-Voorblad!$F$41)</f>
        <v>0</v>
      </c>
      <c r="CV92" s="9">
        <f>GW92*($Q92*$S92)/(1+Voorblad!$K$44)^(CV$56-Voorblad!$F$41)</f>
        <v>0</v>
      </c>
      <c r="CW92" s="9">
        <f>GX92*($Q92*$S92)/(1+Voorblad!$K$44)^(CW$56-Voorblad!$F$41)</f>
        <v>0</v>
      </c>
      <c r="CX92" s="9">
        <f>GY92*($Q92*$S92)/(1+Voorblad!$K$44)^(CX$56-Voorblad!$F$41)</f>
        <v>0</v>
      </c>
      <c r="CY92" s="9">
        <f>GZ92*($Q92*$S92)/(1+Voorblad!$K$44)^(CY$56-Voorblad!$F$41)</f>
        <v>0</v>
      </c>
      <c r="CZ92" s="9">
        <f>HA92*($Q92*$S92)/(1+Voorblad!$K$44)^(CZ$56-Voorblad!$F$41)</f>
        <v>0</v>
      </c>
      <c r="DA92" s="9">
        <f>HB92*($Q92*$S92)/(1+Voorblad!$K$44)^(DA$56-Voorblad!$F$41)</f>
        <v>0</v>
      </c>
      <c r="DB92" s="9">
        <f>HC92*($Q92*$S92)/(1+Voorblad!$K$44)^(DB$56-Voorblad!$F$41)</f>
        <v>0</v>
      </c>
      <c r="DC92" s="9">
        <f>HD92*($Q92*$S92)/(1+Voorblad!$K$44)^(DC$56-Voorblad!$F$41)</f>
        <v>0</v>
      </c>
      <c r="DD92" s="9">
        <f>HE92*($Q92*$S92)/(1+Voorblad!$K$44)^(DD$56-Voorblad!$F$41)</f>
        <v>0</v>
      </c>
      <c r="DE92" s="9">
        <f>HF92*($Q92*$S92)/(1+Voorblad!$K$44)^(DE$56-Voorblad!$F$41)</f>
        <v>0</v>
      </c>
      <c r="DF92" s="9">
        <f>HG92*($Q92*$S92)/(1+Voorblad!$K$44)^(DF$56-Voorblad!$F$41)</f>
        <v>0</v>
      </c>
      <c r="DG92" s="9">
        <f>HH92*($Q92*$S92)/(1+Voorblad!$K$44)^(DG$56-Voorblad!$F$41)</f>
        <v>0</v>
      </c>
      <c r="DH92" s="9">
        <f>HI92*($Q92*$S92)/(1+Voorblad!$K$44)^(DH$56-Voorblad!$F$41)</f>
        <v>0</v>
      </c>
      <c r="DI92" s="9">
        <f>HJ92*($Q92*$S92)/(1+Voorblad!$K$44)^(DI$56-Voorblad!$F$41)</f>
        <v>0</v>
      </c>
      <c r="DJ92" s="9">
        <f>HK92*($Q92*$S92)/(1+Voorblad!$K$44)^(DJ$56-Voorblad!$F$41)</f>
        <v>0</v>
      </c>
      <c r="DK92" s="9">
        <f>HL92*($Q92*$S92)/(1+Voorblad!$K$44)^(DK$56-Voorblad!$F$41)</f>
        <v>0</v>
      </c>
      <c r="DL92" s="9">
        <f>HM92*($Q92*$S92)/(1+Voorblad!$K$44)^(DL$56-Voorblad!$F$41)</f>
        <v>0</v>
      </c>
      <c r="DM92" s="9">
        <f>HN92*($Q92*$S92)/(1+Voorblad!$K$44)^(DM$56-Voorblad!$F$41)</f>
        <v>0</v>
      </c>
      <c r="DN92" s="9">
        <f>HO92*($Q92*$S92)/(1+Voorblad!$K$44)^(DN$56-Voorblad!$F$41)</f>
        <v>0</v>
      </c>
      <c r="DO92" s="9">
        <f>HP92*($Q92*$S92)/(1+Voorblad!$K$44)^(DO$56-Voorblad!$F$41)</f>
        <v>0</v>
      </c>
      <c r="DP92" s="9">
        <f>HQ92*($Q92*$S92)/(1+Voorblad!$K$44)^(DP$56-Voorblad!$F$41)</f>
        <v>0</v>
      </c>
      <c r="DQ92" s="9">
        <f>HR92*($Q92*$S92)/(1+Voorblad!$K$44)^(DQ$56-Voorblad!$F$41)</f>
        <v>0</v>
      </c>
      <c r="DR92" s="9">
        <f>HS92*($Q92*$S92)/(1+Voorblad!$K$44)^(DR$56-Voorblad!$F$41)</f>
        <v>0</v>
      </c>
      <c r="DS92" s="9">
        <f>HT92*($Q92*$S92)/(1+Voorblad!$K$44)^(DS$56-Voorblad!$F$41)</f>
        <v>0</v>
      </c>
      <c r="DT92" s="9">
        <f>HU92*($Q92*$S92)/(1+Voorblad!$K$44)^(DT$56-Voorblad!$F$41)</f>
        <v>0</v>
      </c>
      <c r="DU92" s="9">
        <f>HV92*($Q92*$S92)/(1+Voorblad!$K$44)^(DU$56-Voorblad!$F$41)</f>
        <v>0</v>
      </c>
      <c r="DV92" s="9">
        <f>HW92*($Q92*$S92)/(1+Voorblad!$K$44)^(DV$56-Voorblad!$F$41)</f>
        <v>0</v>
      </c>
      <c r="DW92" s="9">
        <f>HX92*($Q92*$S92)/(1+Voorblad!$K$44)^(DW$56-Voorblad!$F$41)</f>
        <v>0</v>
      </c>
      <c r="DX92" s="9">
        <f>HY92*($Q92*$S92)/(1+Voorblad!$K$44)^(DX$56-Voorblad!$F$41)</f>
        <v>0</v>
      </c>
      <c r="DY92" s="9">
        <f>HZ92*($Q92*$S92)/(1+Voorblad!$K$44)^(DY$56-Voorblad!$F$41)</f>
        <v>0</v>
      </c>
      <c r="DZ92" s="9">
        <f>IA92*($Q92*$S92)/(1+Voorblad!$K$44)^(DZ$56-Voorblad!$F$41)</f>
        <v>0</v>
      </c>
      <c r="EA92" s="9">
        <f>IB92*($Q92*$S92)/(1+Voorblad!$K$44)^(EA$56-Voorblad!$F$41)</f>
        <v>0</v>
      </c>
      <c r="EB92" s="9">
        <f>IC92*($Q92*$S92)/(1+Voorblad!$K$44)^(EB$56-Voorblad!$F$41)</f>
        <v>0</v>
      </c>
      <c r="EE92" s="8">
        <v>0</v>
      </c>
      <c r="EF92" s="8">
        <f>IF(EF$56-Voorblad!$F$41&gt;Voorblad!$K$41,0,IF($U92=0,0,IF($U92&lt;1,1/$U92,IF((EF$56-Voorblad!$F$41)/$U92-SUM($EE92:EE92)=1,1,0))))</f>
        <v>0</v>
      </c>
      <c r="EG92" s="8">
        <f>IF(EG$56-Voorblad!$F$41&gt;Voorblad!$K$41,0,IF($U92=0,0,IF($U92&lt;1,1/$U92,IF((EG$56-Voorblad!$F$41)/$U92-SUM($EE92:EF92)=1,1,0))))</f>
        <v>0</v>
      </c>
      <c r="EH92" s="8">
        <f>IF(EH$56-Voorblad!$F$41&gt;Voorblad!$K$41,0,IF($U92=0,0,IF($U92&lt;1,1/$U92,IF((EH$56-Voorblad!$F$41)/$U92-SUM($EE92:EG92)=1,1,0))))</f>
        <v>0</v>
      </c>
      <c r="EI92" s="8">
        <f>IF(EI$56-Voorblad!$F$41&gt;Voorblad!$K$41,0,IF($U92=0,0,IF($U92&lt;1,1/$U92,IF((EI$56-Voorblad!$F$41)/$U92-SUM($EE92:EH92)=1,1,0))))</f>
        <v>0</v>
      </c>
      <c r="EJ92" s="8">
        <f>IF(EJ$56-Voorblad!$F$41&gt;Voorblad!$K$41,0,IF($U92=0,0,IF($U92&lt;1,1/$U92,IF((EJ$56-Voorblad!$F$41)/$U92-SUM($EE92:EI92)=1,1,0))))</f>
        <v>0</v>
      </c>
      <c r="EK92" s="8">
        <f>IF(EK$56-Voorblad!$F$41&gt;Voorblad!$K$41,0,IF($U92=0,0,IF($U92&lt;1,1/$U92,IF((EK$56-Voorblad!$F$41)/$U92-SUM($EE92:EJ92)=1,1,0))))</f>
        <v>0</v>
      </c>
      <c r="EL92" s="8">
        <f>IF(EL$56-Voorblad!$F$41&gt;Voorblad!$K$41,0,IF($U92=0,0,IF($U92&lt;1,1/$U92,IF((EL$56-Voorblad!$F$41)/$U92-SUM($EE92:EK92)=1,1,0))))</f>
        <v>0</v>
      </c>
      <c r="EM92" s="8">
        <f>IF(EM$56-Voorblad!$F$41&gt;Voorblad!$K$41,0,IF($U92=0,0,IF($U92&lt;1,1/$U92,IF((EM$56-Voorblad!$F$41)/$U92-SUM($EE92:EL92)=1,1,0))))</f>
        <v>0</v>
      </c>
      <c r="EN92" s="8">
        <f>IF(EN$56-Voorblad!$F$41&gt;Voorblad!$K$41,0,IF($U92=0,0,IF($U92&lt;1,1/$U92,IF((EN$56-Voorblad!$F$41)/$U92-SUM($EE92:EM92)=1,1,0))))</f>
        <v>0</v>
      </c>
      <c r="EO92" s="8">
        <f>IF(EO$56-Voorblad!$F$41&gt;Voorblad!$K$41,0,IF($U92=0,0,IF($U92&lt;1,1/$U92,IF((EO$56-Voorblad!$F$41)/$U92-SUM($EE92:EN92)=1,1,0))))</f>
        <v>0</v>
      </c>
      <c r="EP92" s="8">
        <f>IF(EP$56-Voorblad!$F$41&gt;Voorblad!$K$41,0,IF($U92=0,0,IF($U92&lt;1,1/$U92,IF((EP$56-Voorblad!$F$41)/$U92-SUM($EE92:EO92)=1,1,0))))</f>
        <v>0</v>
      </c>
      <c r="EQ92" s="8">
        <f>IF(EQ$56-Voorblad!$F$41&gt;Voorblad!$K$41,0,IF($U92=0,0,IF($U92&lt;1,1/$U92,IF((EQ$56-Voorblad!$F$41)/$U92-SUM($EE92:EP92)=1,1,0))))</f>
        <v>0</v>
      </c>
      <c r="ER92" s="8">
        <f>IF(ER$56-Voorblad!$F$41&gt;Voorblad!$K$41,0,IF($U92=0,0,IF($U92&lt;1,1/$U92,IF((ER$56-Voorblad!$F$41)/$U92-SUM($EE92:EQ92)=1,1,0))))</f>
        <v>0</v>
      </c>
      <c r="ES92" s="8">
        <f>IF(ES$56-Voorblad!$F$41&gt;Voorblad!$K$41,0,IF($U92=0,0,IF($U92&lt;1,1/$U92,IF((ES$56-Voorblad!$F$41)/$U92-SUM($EE92:ER92)=1,1,0))))</f>
        <v>0</v>
      </c>
      <c r="ET92" s="8">
        <f>IF(ET$56-Voorblad!$F$41&gt;Voorblad!$K$41,0,IF($U92=0,0,IF($U92&lt;1,1/$U92,IF((ET$56-Voorblad!$F$41)/$U92-SUM($EE92:ES92)=1,1,0))))</f>
        <v>0</v>
      </c>
      <c r="EU92" s="8">
        <f>IF(EU$56-Voorblad!$F$41&gt;Voorblad!$K$41,0,IF($U92=0,0,IF($U92&lt;1,1/$U92,IF((EU$56-Voorblad!$F$41)/$U92-SUM($EE92:ET92)=1,1,0))))</f>
        <v>0</v>
      </c>
      <c r="EV92" s="8">
        <f>IF(EV$56-Voorblad!$F$41&gt;Voorblad!$K$41,0,IF($U92=0,0,IF($U92&lt;1,1/$U92,IF((EV$56-Voorblad!$F$41)/$U92-SUM($EE92:EU92)=1,1,0))))</f>
        <v>0</v>
      </c>
      <c r="EW92" s="8">
        <f>IF(EW$56-Voorblad!$F$41&gt;Voorblad!$K$41,0,IF($U92=0,0,IF($U92&lt;1,1/$U92,IF((EW$56-Voorblad!$F$41)/$U92-SUM($EE92:EV92)=1,1,0))))</f>
        <v>0</v>
      </c>
      <c r="EX92" s="8">
        <f>IF(EX$56-Voorblad!$F$41&gt;Voorblad!$K$41,0,IF($U92=0,0,IF($U92&lt;1,1/$U92,IF((EX$56-Voorblad!$F$41)/$U92-SUM($EE92:EW92)=1,1,0))))</f>
        <v>0</v>
      </c>
      <c r="EY92" s="8">
        <f>IF(EY$56-Voorblad!$F$41&gt;Voorblad!$K$41,0,IF($U92=0,0,IF($U92&lt;1,1/$U92,IF((EY$56-Voorblad!$F$41)/$U92-SUM($EE92:EX92)=1,1,0))))</f>
        <v>0</v>
      </c>
      <c r="EZ92" s="8">
        <f>IF(EZ$56-Voorblad!$F$41&gt;Voorblad!$K$41,0,IF($U92=0,0,IF($U92&lt;1,1/$U92,IF((EZ$56-Voorblad!$F$41)/$U92-SUM($EE92:EY92)=1,1,0))))</f>
        <v>0</v>
      </c>
      <c r="FA92" s="8">
        <f>IF(FA$56-Voorblad!$F$41&gt;Voorblad!$K$41,0,IF($U92=0,0,IF($U92&lt;1,1/$U92,IF((FA$56-Voorblad!$F$41)/$U92-SUM($EE92:EZ92)=1,1,0))))</f>
        <v>0</v>
      </c>
      <c r="FB92" s="8">
        <f>IF(FB$56-Voorblad!$F$41&gt;Voorblad!$K$41,0,IF($U92=0,0,IF($U92&lt;1,1/$U92,IF((FB$56-Voorblad!$F$41)/$U92-SUM($EE92:FA92)=1,1,0))))</f>
        <v>0</v>
      </c>
      <c r="FC92" s="8">
        <f>IF(FC$56-Voorblad!$F$41&gt;Voorblad!$K$41,0,IF($U92=0,0,IF($U92&lt;1,1/$U92,IF((FC$56-Voorblad!$F$41)/$U92-SUM($EE92:FB92)=1,1,0))))</f>
        <v>0</v>
      </c>
      <c r="FD92" s="8">
        <f>IF(FD$56-Voorblad!$F$41&gt;Voorblad!$K$41,0,IF($U92=0,0,IF($U92&lt;1,1/$U92,IF((FD$56-Voorblad!$F$41)/$U92-SUM($EE92:FC92)=1,1,0))))</f>
        <v>0</v>
      </c>
      <c r="FE92" s="8">
        <f>IF(FE$56-Voorblad!$F$41&gt;Voorblad!$K$41,0,IF($U92=0,0,IF($U92&lt;1,1/$U92,IF((FE$56-Voorblad!$F$41)/$U92-SUM($EE92:FD92)=1,1,0))))</f>
        <v>0</v>
      </c>
      <c r="FF92" s="8">
        <f>IF(FF$56-Voorblad!$F$41&gt;Voorblad!$K$41,0,IF($U92=0,0,IF($U92&lt;1,1/$U92,IF((FF$56-Voorblad!$F$41)/$U92-SUM($EE92:FE92)=1,1,0))))</f>
        <v>0</v>
      </c>
      <c r="FG92" s="8">
        <f>IF(FG$56-Voorblad!$F$41&gt;Voorblad!$K$41,0,IF($U92=0,0,IF($U92&lt;1,1/$U92,IF((FG$56-Voorblad!$F$41)/$U92-SUM($EE92:FF92)=1,1,0))))</f>
        <v>0</v>
      </c>
      <c r="FH92" s="8">
        <f>IF(FH$56-Voorblad!$F$41&gt;Voorblad!$K$41,0,IF($U92=0,0,IF($U92&lt;1,1/$U92,IF((FH$56-Voorblad!$F$41)/$U92-SUM($EE92:FG92)=1,1,0))))</f>
        <v>0</v>
      </c>
      <c r="FI92" s="8">
        <f>IF(FI$56-Voorblad!$F$41&gt;Voorblad!$K$41,0,IF($U92=0,0,IF($U92&lt;1,1/$U92,IF((FI$56-Voorblad!$F$41)/$U92-SUM($EE92:FH92)=1,1,0))))</f>
        <v>0</v>
      </c>
      <c r="FJ92" s="8">
        <f>IF(FJ$56-Voorblad!$F$41&gt;Voorblad!$K$41,0,IF($U92=0,0,IF($U92&lt;1,1/$U92,IF((FJ$56-Voorblad!$F$41)/$U92-SUM($EE92:FI92)=1,1,0))))</f>
        <v>0</v>
      </c>
      <c r="FK92" s="8">
        <f>IF(FK$56-Voorblad!$F$41&gt;Voorblad!$K$41,0,IF($U92=0,0,IF($U92&lt;1,1/$U92,IF((FK$56-Voorblad!$F$41)/$U92-SUM($EE92:FJ92)=1,1,0))))</f>
        <v>0</v>
      </c>
      <c r="FL92" s="8">
        <f>IF(FL$56-Voorblad!$F$41&gt;Voorblad!$K$41,0,IF($U92=0,0,IF($U92&lt;1,1/$U92,IF((FL$56-Voorblad!$F$41)/$U92-SUM($EE92:FK92)=1,1,0))))</f>
        <v>0</v>
      </c>
      <c r="FM92" s="8">
        <f>IF(FM$56-Voorblad!$F$41&gt;Voorblad!$K$41,0,IF($U92=0,0,IF($U92&lt;1,1/$U92,IF((FM$56-Voorblad!$F$41)/$U92-SUM($EE92:FL92)=1,1,0))))</f>
        <v>0</v>
      </c>
      <c r="FN92" s="8">
        <f>IF(FN$56-Voorblad!$F$41&gt;Voorblad!$K$41,0,IF($U92=0,0,IF($U92&lt;1,1/$U92,IF((FN$56-Voorblad!$F$41)/$U92-SUM($EE92:FM92)=1,1,0))))</f>
        <v>0</v>
      </c>
      <c r="FO92" s="8">
        <f>IF(FO$56-Voorblad!$F$41&gt;Voorblad!$K$41,0,IF($U92=0,0,IF($U92&lt;1,1/$U92,IF((FO$56-Voorblad!$F$41)/$U92-SUM($EE92:FN92)=1,1,0))))</f>
        <v>0</v>
      </c>
      <c r="FP92" s="8">
        <f>IF(FP$56-Voorblad!$F$41&gt;Voorblad!$K$41,0,IF($U92=0,0,IF($U92&lt;1,1/$U92,IF((FP$56-Voorblad!$F$41)/$U92-SUM($EE92:FO92)=1,1,0))))</f>
        <v>0</v>
      </c>
      <c r="FQ92" s="8">
        <f>IF(FQ$56-Voorblad!$F$41&gt;Voorblad!$K$41,0,IF($U92=0,0,IF($U92&lt;1,1/$U92,IF((FQ$56-Voorblad!$F$41)/$U92-SUM($EE92:FP92)=1,1,0))))</f>
        <v>0</v>
      </c>
      <c r="FR92" s="8">
        <f>IF(FR$56-Voorblad!$F$41&gt;Voorblad!$K$41,0,IF($U92=0,0,IF($U92&lt;1,1/$U92,IF((FR$56-Voorblad!$F$41)/$U92-SUM($EE92:FQ92)=1,1,0))))</f>
        <v>0</v>
      </c>
      <c r="FS92" s="8">
        <f>IF(FS$56-Voorblad!$F$41&gt;Voorblad!$K$41,0,IF($U92=0,0,IF($U92&lt;1,1/$U92,IF((FS$56-Voorblad!$F$41)/$U92-SUM($EE92:FR92)=1,1,0))))</f>
        <v>0</v>
      </c>
      <c r="FT92" s="8">
        <f>IF(FT$56-Voorblad!$F$41&gt;Voorblad!$K$41,0,IF($U92=0,0,IF($U92&lt;1,1/$U92,IF((FT$56-Voorblad!$F$41)/$U92-SUM($EE92:FS92)=1,1,0))))</f>
        <v>0</v>
      </c>
      <c r="FU92" s="8">
        <f>IF(FU$56-Voorblad!$F$41&gt;Voorblad!$K$41,0,IF($U92=0,0,IF($U92&lt;1,1/$U92,IF((FU$56-Voorblad!$F$41)/$U92-SUM($EE92:FT92)=1,1,0))))</f>
        <v>0</v>
      </c>
      <c r="FV92" s="8">
        <f>IF(FV$56-Voorblad!$F$41&gt;Voorblad!$K$41,0,IF($U92=0,0,IF($U92&lt;1,1/$U92,IF((FV$56-Voorblad!$F$41)/$U92-SUM($EE92:FU92)=1,1,0))))</f>
        <v>0</v>
      </c>
      <c r="FW92" s="8">
        <f>IF(FW$56-Voorblad!$F$41&gt;Voorblad!$K$41,0,IF($U92=0,0,IF($U92&lt;1,1/$U92,IF((FW$56-Voorblad!$F$41)/$U92-SUM($EE92:FV92)=1,1,0))))</f>
        <v>0</v>
      </c>
      <c r="FX92" s="8">
        <f>IF(FX$56-Voorblad!$F$41&gt;Voorblad!$K$41,0,IF($U92=0,0,IF($U92&lt;1,1/$U92,IF((FX$56-Voorblad!$F$41)/$U92-SUM($EE92:FW92)=1,1,0))))</f>
        <v>0</v>
      </c>
      <c r="FY92" s="8">
        <f>IF(FY$56-Voorblad!$F$41&gt;Voorblad!$K$41,0,IF($U92=0,0,IF($U92&lt;1,1/$U92,IF((FY$56-Voorblad!$F$41)/$U92-SUM($EE92:FX92)=1,1,0))))</f>
        <v>0</v>
      </c>
      <c r="FZ92" s="8">
        <f>IF(FZ$56-Voorblad!$F$41&gt;Voorblad!$K$41,0,IF($U92=0,0,IF($U92&lt;1,1/$U92,IF((FZ$56-Voorblad!$F$41)/$U92-SUM($EE92:FY92)=1,1,0))))</f>
        <v>0</v>
      </c>
      <c r="GA92" s="8">
        <f>IF(GA$56-Voorblad!$F$41&gt;Voorblad!$K$41,0,IF($U92=0,0,IF($U92&lt;1,1/$U92,IF((GA$56-Voorblad!$F$41)/$U92-SUM($EE92:FZ92)=1,1,0))))</f>
        <v>0</v>
      </c>
      <c r="GB92" s="8">
        <f>IF(GB$56-Voorblad!$F$41&gt;Voorblad!$K$41,0,IF($U92=0,0,IF($U92&lt;1,1/$U92,IF((GB$56-Voorblad!$F$41)/$U92-SUM($EE92:GA92)=1,1,0))))</f>
        <v>0</v>
      </c>
      <c r="GC92" s="8">
        <f>IF(GC$56-Voorblad!$F$41&gt;Voorblad!$K$41,0,IF($U92=0,0,IF($U92&lt;1,1/$U92,IF((GC$56-Voorblad!$F$41)/$U92-SUM($EE92:GB92)=1,1,0))))</f>
        <v>0</v>
      </c>
      <c r="GD92" s="8">
        <f>IF(GD$56-Voorblad!$F$41&gt;Voorblad!$K$41,0,IF($U92=0,0,IF($U92&lt;1,1/$U92,IF((GD$56-Voorblad!$F$41)/$U92-SUM($EE92:GC92)=1,1,0))))</f>
        <v>1</v>
      </c>
      <c r="GE92" s="8">
        <f>IF(GE$56-Voorblad!$F$41&gt;Voorblad!$K$41,0,IF($U92=0,0,IF($U92&lt;1,1/$U92,IF((GE$56-Voorblad!$F$41)/$U92-SUM($EE92:GD92)=1,1,0))))</f>
        <v>0</v>
      </c>
      <c r="GF92" s="8">
        <f>IF(GF$56-Voorblad!$F$41&gt;Voorblad!$K$41,0,IF($U92=0,0,IF($U92&lt;1,1/$U92,IF((GF$56-Voorblad!$F$41)/$U92-SUM($EE92:GE92)=1,1,0))))</f>
        <v>0</v>
      </c>
      <c r="GG92" s="8">
        <f>IF(GG$56-Voorblad!$F$41&gt;Voorblad!$K$41,0,IF($U92=0,0,IF($U92&lt;1,1/$U92,IF((GG$56-Voorblad!$F$41)/$U92-SUM($EE92:GF92)=1,1,0))))</f>
        <v>0</v>
      </c>
      <c r="GH92" s="8">
        <f>IF(GH$56-Voorblad!$F$41&gt;Voorblad!$K$41,0,IF($U92=0,0,IF($U92&lt;1,1/$U92,IF((GH$56-Voorblad!$F$41)/$U92-SUM($EE92:GG92)=1,1,0))))</f>
        <v>0</v>
      </c>
      <c r="GI92" s="8">
        <f>IF(GI$56-Voorblad!$F$41&gt;Voorblad!$K$41,0,IF($U92=0,0,IF($U92&lt;1,1/$U92,IF((GI$56-Voorblad!$F$41)/$U92-SUM($EE92:GH92)=1,1,0))))</f>
        <v>0</v>
      </c>
      <c r="GJ92" s="8">
        <f>IF(GJ$56-Voorblad!$F$41&gt;Voorblad!$K$41,0,IF($U92=0,0,IF($U92&lt;1,1/$U92,IF((GJ$56-Voorblad!$F$41)/$U92-SUM($EE92:GI92)=1,1,0))))</f>
        <v>0</v>
      </c>
      <c r="GK92" s="8">
        <f>IF(GK$56-Voorblad!$F$41&gt;Voorblad!$K$41,0,IF($U92=0,0,IF($U92&lt;1,1/$U92,IF((GK$56-Voorblad!$F$41)/$U92-SUM($EE92:GJ92)=1,1,0))))</f>
        <v>0</v>
      </c>
      <c r="GL92" s="8">
        <f>IF(GL$56-Voorblad!$F$41&gt;Voorblad!$K$41,0,IF($U92=0,0,IF($U92&lt;1,1/$U92,IF((GL$56-Voorblad!$F$41)/$U92-SUM($EE92:GK92)=1,1,0))))</f>
        <v>0</v>
      </c>
      <c r="GM92" s="8">
        <f>IF(GM$56-Voorblad!$F$41&gt;Voorblad!$K$41,0,IF($U92=0,0,IF($U92&lt;1,1/$U92,IF((GM$56-Voorblad!$F$41)/$U92-SUM($EE92:GL92)=1,1,0))))</f>
        <v>0</v>
      </c>
      <c r="GN92" s="8">
        <f>IF(GN$56-Voorblad!$F$41&gt;Voorblad!$K$41,0,IF($U92=0,0,IF($U92&lt;1,1/$U92,IF((GN$56-Voorblad!$F$41)/$U92-SUM($EE92:GM92)=1,1,0))))</f>
        <v>0</v>
      </c>
      <c r="GO92" s="8">
        <f>IF(GO$56-Voorblad!$F$41&gt;Voorblad!$K$41,0,IF($U92=0,0,IF($U92&lt;1,1/$U92,IF((GO$56-Voorblad!$F$41)/$U92-SUM($EE92:GN92)=1,1,0))))</f>
        <v>0</v>
      </c>
      <c r="GP92" s="8">
        <f>IF(GP$56-Voorblad!$F$41&gt;Voorblad!$K$41,0,IF($U92=0,0,IF($U92&lt;1,1/$U92,IF((GP$56-Voorblad!$F$41)/$U92-SUM($EE92:GO92)=1,1,0))))</f>
        <v>0</v>
      </c>
      <c r="GQ92" s="8">
        <f>IF(GQ$56-Voorblad!$F$41&gt;Voorblad!$K$41,0,IF($U92=0,0,IF($U92&lt;1,1/$U92,IF((GQ$56-Voorblad!$F$41)/$U92-SUM($EE92:GP92)=1,1,0))))</f>
        <v>0</v>
      </c>
      <c r="GR92" s="8">
        <f>IF(GR$56-Voorblad!$F$41&gt;Voorblad!$K$41,0,IF($U92=0,0,IF($U92&lt;1,1/$U92,IF((GR$56-Voorblad!$F$41)/$U92-SUM($EE92:GQ92)=1,1,0))))</f>
        <v>0</v>
      </c>
      <c r="GS92" s="8">
        <f>IF(GS$56-Voorblad!$F$41&gt;Voorblad!$K$41,0,IF($U92=0,0,IF($U92&lt;1,1/$U92,IF((GS$56-Voorblad!$F$41)/$U92-SUM($EE92:GR92)=1,1,0))))</f>
        <v>0</v>
      </c>
      <c r="GT92" s="8">
        <f>IF(GT$56-Voorblad!$F$41&gt;Voorblad!$K$41,0,IF($U92=0,0,IF($U92&lt;1,1/$U92,IF((GT$56-Voorblad!$F$41)/$U92-SUM($EE92:GS92)=1,1,0))))</f>
        <v>0</v>
      </c>
      <c r="GU92" s="8">
        <f>IF(GU$56-Voorblad!$F$41&gt;Voorblad!$K$41,0,IF($U92=0,0,IF($U92&lt;1,1/$U92,IF((GU$56-Voorblad!$F$41)/$U92-SUM($EE92:GT92)=1,1,0))))</f>
        <v>0</v>
      </c>
      <c r="GV92" s="8">
        <f>IF(GV$56-Voorblad!$F$41&gt;Voorblad!$K$41,0,IF($U92=0,0,IF($U92&lt;1,1/$U92,IF((GV$56-Voorblad!$F$41)/$U92-SUM($EE92:GU92)=1,1,0))))</f>
        <v>0</v>
      </c>
      <c r="GW92" s="8">
        <f>IF(GW$56-Voorblad!$F$41&gt;Voorblad!$K$41,0,IF($U92=0,0,IF($U92&lt;1,1/$U92,IF((GW$56-Voorblad!$F$41)/$U92-SUM($EE92:GV92)=1,1,0))))</f>
        <v>0</v>
      </c>
      <c r="GX92" s="8">
        <f>IF(GX$56-Voorblad!$F$41&gt;Voorblad!$K$41,0,IF($U92=0,0,IF($U92&lt;1,1/$U92,IF((GX$56-Voorblad!$F$41)/$U92-SUM($EE92:GW92)=1,1,0))))</f>
        <v>0</v>
      </c>
      <c r="GY92" s="8">
        <f>IF(GY$56-Voorblad!$F$41&gt;Voorblad!$K$41,0,IF($U92=0,0,IF($U92&lt;1,1/$U92,IF((GY$56-Voorblad!$F$41)/$U92-SUM($EE92:GX92)=1,1,0))))</f>
        <v>0</v>
      </c>
      <c r="GZ92" s="8">
        <f>IF(GZ$56-Voorblad!$F$41&gt;Voorblad!$K$41,0,IF($U92=0,0,IF($U92&lt;1,1/$U92,IF((GZ$56-Voorblad!$F$41)/$U92-SUM($EE92:GY92)=1,1,0))))</f>
        <v>0</v>
      </c>
      <c r="HA92" s="8">
        <f>IF(HA$56-Voorblad!$F$41&gt;Voorblad!$K$41,0,IF($U92=0,0,IF($U92&lt;1,1/$U92,IF((HA$56-Voorblad!$F$41)/$U92-SUM($EE92:GZ92)=1,1,0))))</f>
        <v>0</v>
      </c>
      <c r="HB92" s="8">
        <f>IF(HB$56-Voorblad!$F$41&gt;Voorblad!$K$41,0,IF($U92=0,0,IF($U92&lt;1,1/$U92,IF((HB$56-Voorblad!$F$41)/$U92-SUM($EE92:HA92)=1,1,0))))</f>
        <v>0</v>
      </c>
      <c r="HC92" s="8">
        <f>IF(HC$56-Voorblad!$F$41&gt;Voorblad!$K$41,0,IF($U92=0,0,IF($U92&lt;1,1/$U92,IF((HC$56-Voorblad!$F$41)/$U92-SUM($EE92:HB92)=1,1,0))))</f>
        <v>0</v>
      </c>
      <c r="HD92" s="8">
        <f>IF(HD$56-Voorblad!$F$41&gt;Voorblad!$K$41,0,IF($U92=0,0,IF($U92&lt;1,1/$U92,IF((HD$56-Voorblad!$F$41)/$U92-SUM($EE92:HC92)=1,1,0))))</f>
        <v>0</v>
      </c>
      <c r="HE92" s="8">
        <f>IF(HE$56-Voorblad!$F$41&gt;Voorblad!$K$41,0,IF($U92=0,0,IF($U92&lt;1,1/$U92,IF((HE$56-Voorblad!$F$41)/$U92-SUM($EE92:HD92)=1,1,0))))</f>
        <v>0</v>
      </c>
      <c r="HF92" s="8">
        <f>IF(HF$56-Voorblad!$F$41&gt;Voorblad!$K$41,0,IF($U92=0,0,IF($U92&lt;1,1/$U92,IF((HF$56-Voorblad!$F$41)/$U92-SUM($EE92:HE92)=1,1,0))))</f>
        <v>0</v>
      </c>
      <c r="HG92" s="8">
        <f>IF(HG$56-Voorblad!$F$41&gt;Voorblad!$K$41,0,IF($U92=0,0,IF($U92&lt;1,1/$U92,IF((HG$56-Voorblad!$F$41)/$U92-SUM($EE92:HF92)=1,1,0))))</f>
        <v>0</v>
      </c>
      <c r="HH92" s="8">
        <f>IF(HH$56-Voorblad!$F$41&gt;Voorblad!$K$41,0,IF($U92=0,0,IF($U92&lt;1,1/$U92,IF((HH$56-Voorblad!$F$41)/$U92-SUM($EE92:HG92)=1,1,0))))</f>
        <v>0</v>
      </c>
      <c r="HI92" s="8">
        <f>IF(HI$56-Voorblad!$F$41&gt;Voorblad!$K$41,0,IF($U92=0,0,IF($U92&lt;1,1/$U92,IF((HI$56-Voorblad!$F$41)/$U92-SUM($EE92:HH92)=1,1,0))))</f>
        <v>0</v>
      </c>
      <c r="HJ92" s="8">
        <f>IF(HJ$56-Voorblad!$F$41&gt;Voorblad!$K$41,0,IF($U92=0,0,IF($U92&lt;1,1/$U92,IF((HJ$56-Voorblad!$F$41)/$U92-SUM($EE92:HI92)=1,1,0))))</f>
        <v>0</v>
      </c>
      <c r="HK92" s="8">
        <f>IF(HK$56-Voorblad!$F$41&gt;Voorblad!$K$41,0,IF($U92=0,0,IF($U92&lt;1,1/$U92,IF((HK$56-Voorblad!$F$41)/$U92-SUM($EE92:HJ92)=1,1,0))))</f>
        <v>0</v>
      </c>
      <c r="HL92" s="8">
        <f>IF(HL$56-Voorblad!$F$41&gt;Voorblad!$K$41,0,IF($U92=0,0,IF($U92&lt;1,1/$U92,IF((HL$56-Voorblad!$F$41)/$U92-SUM($EE92:HK92)=1,1,0))))</f>
        <v>0</v>
      </c>
      <c r="HM92" s="8">
        <f>IF(HM$56-Voorblad!$F$41&gt;Voorblad!$K$41,0,IF($U92=0,0,IF($U92&lt;1,1/$U92,IF((HM$56-Voorblad!$F$41)/$U92-SUM($EE92:HL92)=1,1,0))))</f>
        <v>0</v>
      </c>
      <c r="HN92" s="8">
        <f>IF(HN$56-Voorblad!$F$41&gt;Voorblad!$K$41,0,IF($U92=0,0,IF($U92&lt;1,1/$U92,IF((HN$56-Voorblad!$F$41)/$U92-SUM($EE92:HM92)=1,1,0))))</f>
        <v>0</v>
      </c>
      <c r="HO92" s="8">
        <f>IF(HO$56-Voorblad!$F$41&gt;Voorblad!$K$41,0,IF($U92=0,0,IF($U92&lt;1,1/$U92,IF((HO$56-Voorblad!$F$41)/$U92-SUM($EE92:HN92)=1,1,0))))</f>
        <v>0</v>
      </c>
      <c r="HP92" s="8">
        <f>IF(HP$56-Voorblad!$F$41&gt;Voorblad!$K$41,0,IF($U92=0,0,IF($U92&lt;1,1/$U92,IF((HP$56-Voorblad!$F$41)/$U92-SUM($EE92:HO92)=1,1,0))))</f>
        <v>0</v>
      </c>
      <c r="HQ92" s="8">
        <f>IF(HQ$56-Voorblad!$F$41&gt;Voorblad!$K$41,0,IF($U92=0,0,IF($U92&lt;1,1/$U92,IF((HQ$56-Voorblad!$F$41)/$U92-SUM($EE92:HP92)=1,1,0))))</f>
        <v>0</v>
      </c>
      <c r="HR92" s="8">
        <f>IF(HR$56-Voorblad!$F$41&gt;Voorblad!$K$41,0,IF($U92=0,0,IF($U92&lt;1,1/$U92,IF((HR$56-Voorblad!$F$41)/$U92-SUM($EE92:HQ92)=1,1,0))))</f>
        <v>0</v>
      </c>
      <c r="HS92" s="8">
        <f>IF(HS$56-Voorblad!$F$41&gt;Voorblad!$K$41,0,IF($U92=0,0,IF($U92&lt;1,1/$U92,IF((HS$56-Voorblad!$F$41)/$U92-SUM($EE92:HR92)=1,1,0))))</f>
        <v>0</v>
      </c>
      <c r="HT92" s="8">
        <f>IF(HT$56-Voorblad!$F$41&gt;Voorblad!$K$41,0,IF($U92=0,0,IF($U92&lt;1,1/$U92,IF((HT$56-Voorblad!$F$41)/$U92-SUM($EE92:HS92)=1,1,0))))</f>
        <v>0</v>
      </c>
      <c r="HU92" s="8">
        <f>IF(HU$56-Voorblad!$F$41&gt;Voorblad!$K$41,0,IF($U92=0,0,IF($U92&lt;1,1/$U92,IF((HU$56-Voorblad!$F$41)/$U92-SUM($EE92:HT92)=1,1,0))))</f>
        <v>0</v>
      </c>
      <c r="HV92" s="8">
        <f>IF(HV$56-Voorblad!$F$41&gt;Voorblad!$K$41,0,IF($U92=0,0,IF($U92&lt;1,1/$U92,IF((HV$56-Voorblad!$F$41)/$U92-SUM($EE92:HU92)=1,1,0))))</f>
        <v>0</v>
      </c>
      <c r="HW92" s="8">
        <f>IF(HW$56-Voorblad!$F$41&gt;Voorblad!$K$41,0,IF($U92=0,0,IF($U92&lt;1,1/$U92,IF((HW$56-Voorblad!$F$41)/$U92-SUM($EE92:HV92)=1,1,0))))</f>
        <v>0</v>
      </c>
      <c r="HX92" s="8">
        <f>IF(HX$56-Voorblad!$F$41&gt;Voorblad!$K$41,0,IF($U92=0,0,IF($U92&lt;1,1/$U92,IF((HX$56-Voorblad!$F$41)/$U92-SUM($EE92:HW92)=1,1,0))))</f>
        <v>0</v>
      </c>
      <c r="HY92" s="8">
        <f>IF(HY$56-Voorblad!$F$41&gt;Voorblad!$K$41,0,IF($U92=0,0,IF($U92&lt;1,1/$U92,IF((HY$56-Voorblad!$F$41)/$U92-SUM($EE92:HX92)=1,1,0))))</f>
        <v>0</v>
      </c>
      <c r="HZ92" s="8">
        <f>IF(HZ$56-Voorblad!$F$41&gt;Voorblad!$K$41,0,IF($U92=0,0,IF($U92&lt;1,1/$U92,IF((HZ$56-Voorblad!$F$41)/$U92-SUM($EE92:HY92)=1,1,0))))</f>
        <v>0</v>
      </c>
      <c r="IA92" s="8">
        <f>IF(IA$56-Voorblad!$F$41&gt;Voorblad!$K$41,0,IF($U92=0,0,IF($U92&lt;1,1/$U92,IF((IA$56-Voorblad!$F$41)/$U92-SUM($EE92:HZ92)=1,1,0))))</f>
        <v>0</v>
      </c>
      <c r="IB92" s="8">
        <f>IF(IB$56-Voorblad!$F$41&gt;Voorblad!$K$41,0,IF($U92=0,0,IF($U92&lt;1,1/$U92,IF((IB$56-Voorblad!$F$41)/$U92-SUM($EE92:IA92)=1,1,0))))</f>
        <v>0</v>
      </c>
    </row>
    <row r="93" spans="2:236" hidden="1" outlineLevel="1" x14ac:dyDescent="0.25">
      <c r="B93" s="1">
        <v>1</v>
      </c>
      <c r="F93" s="1" t="s">
        <v>23</v>
      </c>
      <c r="I93" s="1" t="s">
        <v>49</v>
      </c>
      <c r="K93" s="1" t="s">
        <v>135</v>
      </c>
      <c r="N93" s="3"/>
      <c r="O93" s="1" t="s">
        <v>77</v>
      </c>
      <c r="Q93" s="81">
        <v>0</v>
      </c>
      <c r="R93" s="1" t="s">
        <v>34</v>
      </c>
      <c r="S93" s="14">
        <f>$H$10*700</f>
        <v>1666</v>
      </c>
      <c r="T93" s="1">
        <f t="shared" si="16"/>
        <v>0</v>
      </c>
      <c r="U93" s="14">
        <v>50</v>
      </c>
      <c r="V93" s="14"/>
      <c r="Y93" s="9">
        <f>SUM(AE93:EB93)</f>
        <v>0</v>
      </c>
      <c r="Z93" s="82"/>
      <c r="AA93" s="82"/>
      <c r="AC93" s="9">
        <f>$Y93*(Voorblad!$K$44*(1+Voorblad!$K$44)^Voorblad!$K$41)/((1+Voorblad!$K$44)^Voorblad!$K$41-1)</f>
        <v>0</v>
      </c>
      <c r="AE93" s="9">
        <f>EF93*($Q93*$S93)/(1+Voorblad!$K$44)^(AE$56-Voorblad!$F$41)</f>
        <v>0</v>
      </c>
      <c r="AF93" s="9">
        <f>EG93*($Q93*$S93)/(1+Voorblad!$K$44)^(AF$56-Voorblad!$F$41)</f>
        <v>0</v>
      </c>
      <c r="AG93" s="9">
        <f>EH93*($Q93*$S93)/(1+Voorblad!$K$44)^(AG$56-Voorblad!$F$41)</f>
        <v>0</v>
      </c>
      <c r="AH93" s="9">
        <f>EI93*($Q93*$S93)/(1+Voorblad!$K$44)^(AH$56-Voorblad!$F$41)</f>
        <v>0</v>
      </c>
      <c r="AI93" s="9">
        <f>EJ93*($Q93*$S93)/(1+Voorblad!$K$44)^(AI$56-Voorblad!$F$41)</f>
        <v>0</v>
      </c>
      <c r="AJ93" s="9">
        <f>EK93*($Q93*$S93)/(1+Voorblad!$K$44)^(AJ$56-Voorblad!$F$41)</f>
        <v>0</v>
      </c>
      <c r="AK93" s="9">
        <f>EL93*($Q93*$S93)/(1+Voorblad!$K$44)^(AK$56-Voorblad!$F$41)</f>
        <v>0</v>
      </c>
      <c r="AL93" s="9">
        <f>EM93*($Q93*$S93)/(1+Voorblad!$K$44)^(AL$56-Voorblad!$F$41)</f>
        <v>0</v>
      </c>
      <c r="AM93" s="9">
        <f>EN93*($Q93*$S93)/(1+Voorblad!$K$44)^(AM$56-Voorblad!$F$41)</f>
        <v>0</v>
      </c>
      <c r="AN93" s="9">
        <f>EO93*($Q93*$S93)/(1+Voorblad!$K$44)^(AN$56-Voorblad!$F$41)</f>
        <v>0</v>
      </c>
      <c r="AO93" s="9">
        <f>EP93*($Q93*$S93)/(1+Voorblad!$K$44)^(AO$56-Voorblad!$F$41)</f>
        <v>0</v>
      </c>
      <c r="AP93" s="9">
        <f>EQ93*($Q93*$S93)/(1+Voorblad!$K$44)^(AP$56-Voorblad!$F$41)</f>
        <v>0</v>
      </c>
      <c r="AQ93" s="9">
        <f>ER93*($Q93*$S93)/(1+Voorblad!$K$44)^(AQ$56-Voorblad!$F$41)</f>
        <v>0</v>
      </c>
      <c r="AR93" s="9">
        <f>ES93*($Q93*$S93)/(1+Voorblad!$K$44)^(AR$56-Voorblad!$F$41)</f>
        <v>0</v>
      </c>
      <c r="AS93" s="9">
        <f>ET93*($Q93*$S93)/(1+Voorblad!$K$44)^(AS$56-Voorblad!$F$41)</f>
        <v>0</v>
      </c>
      <c r="AT93" s="9">
        <f>EU93*($Q93*$S93)/(1+Voorblad!$K$44)^(AT$56-Voorblad!$F$41)</f>
        <v>0</v>
      </c>
      <c r="AU93" s="9">
        <f>EV93*($Q93*$S93)/(1+Voorblad!$K$44)^(AU$56-Voorblad!$F$41)</f>
        <v>0</v>
      </c>
      <c r="AV93" s="9">
        <f>EW93*($Q93*$S93)/(1+Voorblad!$K$44)^(AV$56-Voorblad!$F$41)</f>
        <v>0</v>
      </c>
      <c r="AW93" s="9">
        <f>EX93*($Q93*$S93)/(1+Voorblad!$K$44)^(AW$56-Voorblad!$F$41)</f>
        <v>0</v>
      </c>
      <c r="AX93" s="9">
        <f>EY93*($Q93*$S93)/(1+Voorblad!$K$44)^(AX$56-Voorblad!$F$41)</f>
        <v>0</v>
      </c>
      <c r="AY93" s="9">
        <f>EZ93*($Q93*$S93)/(1+Voorblad!$K$44)^(AY$56-Voorblad!$F$41)</f>
        <v>0</v>
      </c>
      <c r="AZ93" s="9">
        <f>FA93*($Q93*$S93)/(1+Voorblad!$K$44)^(AZ$56-Voorblad!$F$41)</f>
        <v>0</v>
      </c>
      <c r="BA93" s="9">
        <f>FB93*($Q93*$S93)/(1+Voorblad!$K$44)^(BA$56-Voorblad!$F$41)</f>
        <v>0</v>
      </c>
      <c r="BB93" s="9">
        <f>FC93*($Q93*$S93)/(1+Voorblad!$K$44)^(BB$56-Voorblad!$F$41)</f>
        <v>0</v>
      </c>
      <c r="BC93" s="9">
        <f>FD93*($Q93*$S93)/(1+Voorblad!$K$44)^(BC$56-Voorblad!$F$41)</f>
        <v>0</v>
      </c>
      <c r="BD93" s="9">
        <f>FE93*($Q93*$S93)/(1+Voorblad!$K$44)^(BD$56-Voorblad!$F$41)</f>
        <v>0</v>
      </c>
      <c r="BE93" s="9">
        <f>FF93*($Q93*$S93)/(1+Voorblad!$K$44)^(BE$56-Voorblad!$F$41)</f>
        <v>0</v>
      </c>
      <c r="BF93" s="9">
        <f>FG93*($Q93*$S93)/(1+Voorblad!$K$44)^(BF$56-Voorblad!$F$41)</f>
        <v>0</v>
      </c>
      <c r="BG93" s="9">
        <f>FH93*($Q93*$S93)/(1+Voorblad!$K$44)^(BG$56-Voorblad!$F$41)</f>
        <v>0</v>
      </c>
      <c r="BH93" s="9">
        <f>FI93*($Q93*$S93)/(1+Voorblad!$K$44)^(BH$56-Voorblad!$F$41)</f>
        <v>0</v>
      </c>
      <c r="BI93" s="9">
        <f>FJ93*($Q93*$S93)/(1+Voorblad!$K$44)^(BI$56-Voorblad!$F$41)</f>
        <v>0</v>
      </c>
      <c r="BJ93" s="9">
        <f>FK93*($Q93*$S93)/(1+Voorblad!$K$44)^(BJ$56-Voorblad!$F$41)</f>
        <v>0</v>
      </c>
      <c r="BK93" s="9">
        <f>FL93*($Q93*$S93)/(1+Voorblad!$K$44)^(BK$56-Voorblad!$F$41)</f>
        <v>0</v>
      </c>
      <c r="BL93" s="9">
        <f>FM93*($Q93*$S93)/(1+Voorblad!$K$44)^(BL$56-Voorblad!$F$41)</f>
        <v>0</v>
      </c>
      <c r="BM93" s="9">
        <f>FN93*($Q93*$S93)/(1+Voorblad!$K$44)^(BM$56-Voorblad!$F$41)</f>
        <v>0</v>
      </c>
      <c r="BN93" s="9">
        <f>FO93*($Q93*$S93)/(1+Voorblad!$K$44)^(BN$56-Voorblad!$F$41)</f>
        <v>0</v>
      </c>
      <c r="BO93" s="9">
        <f>FP93*($Q93*$S93)/(1+Voorblad!$K$44)^(BO$56-Voorblad!$F$41)</f>
        <v>0</v>
      </c>
      <c r="BP93" s="9">
        <f>FQ93*($Q93*$S93)/(1+Voorblad!$K$44)^(BP$56-Voorblad!$F$41)</f>
        <v>0</v>
      </c>
      <c r="BQ93" s="9">
        <f>FR93*($Q93*$S93)/(1+Voorblad!$K$44)^(BQ$56-Voorblad!$F$41)</f>
        <v>0</v>
      </c>
      <c r="BR93" s="9">
        <f>FS93*($Q93*$S93)/(1+Voorblad!$K$44)^(BR$56-Voorblad!$F$41)</f>
        <v>0</v>
      </c>
      <c r="BS93" s="9">
        <f>FT93*($Q93*$S93)/(1+Voorblad!$K$44)^(BS$56-Voorblad!$F$41)</f>
        <v>0</v>
      </c>
      <c r="BT93" s="9">
        <f>FU93*($Q93*$S93)/(1+Voorblad!$K$44)^(BT$56-Voorblad!$F$41)</f>
        <v>0</v>
      </c>
      <c r="BU93" s="9">
        <f>FV93*($Q93*$S93)/(1+Voorblad!$K$44)^(BU$56-Voorblad!$F$41)</f>
        <v>0</v>
      </c>
      <c r="BV93" s="9">
        <f>FW93*($Q93*$S93)/(1+Voorblad!$K$44)^(BV$56-Voorblad!$F$41)</f>
        <v>0</v>
      </c>
      <c r="BW93" s="9">
        <f>FX93*($Q93*$S93)/(1+Voorblad!$K$44)^(BW$56-Voorblad!$F$41)</f>
        <v>0</v>
      </c>
      <c r="BX93" s="9">
        <f>FY93*($Q93*$S93)/(1+Voorblad!$K$44)^(BX$56-Voorblad!$F$41)</f>
        <v>0</v>
      </c>
      <c r="BY93" s="9">
        <f>FZ93*($Q93*$S93)/(1+Voorblad!$K$44)^(BY$56-Voorblad!$F$41)</f>
        <v>0</v>
      </c>
      <c r="BZ93" s="9">
        <f>GA93*($Q93*$S93)/(1+Voorblad!$K$44)^(BZ$56-Voorblad!$F$41)</f>
        <v>0</v>
      </c>
      <c r="CA93" s="9">
        <f>GB93*($Q93*$S93)/(1+Voorblad!$K$44)^(CA$56-Voorblad!$F$41)</f>
        <v>0</v>
      </c>
      <c r="CB93" s="9">
        <f>GC93*($Q93*$S93)/(1+Voorblad!$K$44)^(CB$56-Voorblad!$F$41)</f>
        <v>0</v>
      </c>
      <c r="CC93" s="9">
        <f>GD93*($Q93*$S93)/(1+Voorblad!$K$44)^(CC$56-Voorblad!$F$41)</f>
        <v>0</v>
      </c>
      <c r="CD93" s="9">
        <f>GE93*($Q93*$S93)/(1+Voorblad!$K$44)^(CD$56-Voorblad!$F$41)</f>
        <v>0</v>
      </c>
      <c r="CE93" s="9">
        <f>GF93*($Q93*$S93)/(1+Voorblad!$K$44)^(CE$56-Voorblad!$F$41)</f>
        <v>0</v>
      </c>
      <c r="CF93" s="9">
        <f>GG93*($Q93*$S93)/(1+Voorblad!$K$44)^(CF$56-Voorblad!$F$41)</f>
        <v>0</v>
      </c>
      <c r="CG93" s="9">
        <f>GH93*($Q93*$S93)/(1+Voorblad!$K$44)^(CG$56-Voorblad!$F$41)</f>
        <v>0</v>
      </c>
      <c r="CH93" s="9">
        <f>GI93*($Q93*$S93)/(1+Voorblad!$K$44)^(CH$56-Voorblad!$F$41)</f>
        <v>0</v>
      </c>
      <c r="CI93" s="9">
        <f>GJ93*($Q93*$S93)/(1+Voorblad!$K$44)^(CI$56-Voorblad!$F$41)</f>
        <v>0</v>
      </c>
      <c r="CJ93" s="9">
        <f>GK93*($Q93*$S93)/(1+Voorblad!$K$44)^(CJ$56-Voorblad!$F$41)</f>
        <v>0</v>
      </c>
      <c r="CK93" s="9">
        <f>GL93*($Q93*$S93)/(1+Voorblad!$K$44)^(CK$56-Voorblad!$F$41)</f>
        <v>0</v>
      </c>
      <c r="CL93" s="9">
        <f>GM93*($Q93*$S93)/(1+Voorblad!$K$44)^(CL$56-Voorblad!$F$41)</f>
        <v>0</v>
      </c>
      <c r="CM93" s="9">
        <f>GN93*($Q93*$S93)/(1+Voorblad!$K$44)^(CM$56-Voorblad!$F$41)</f>
        <v>0</v>
      </c>
      <c r="CN93" s="9">
        <f>GO93*($Q93*$S93)/(1+Voorblad!$K$44)^(CN$56-Voorblad!$F$41)</f>
        <v>0</v>
      </c>
      <c r="CO93" s="9">
        <f>GP93*($Q93*$S93)/(1+Voorblad!$K$44)^(CO$56-Voorblad!$F$41)</f>
        <v>0</v>
      </c>
      <c r="CP93" s="9">
        <f>GQ93*($Q93*$S93)/(1+Voorblad!$K$44)^(CP$56-Voorblad!$F$41)</f>
        <v>0</v>
      </c>
      <c r="CQ93" s="9">
        <f>GR93*($Q93*$S93)/(1+Voorblad!$K$44)^(CQ$56-Voorblad!$F$41)</f>
        <v>0</v>
      </c>
      <c r="CR93" s="9">
        <f>GS93*($Q93*$S93)/(1+Voorblad!$K$44)^(CR$56-Voorblad!$F$41)</f>
        <v>0</v>
      </c>
      <c r="CS93" s="9">
        <f>GT93*($Q93*$S93)/(1+Voorblad!$K$44)^(CS$56-Voorblad!$F$41)</f>
        <v>0</v>
      </c>
      <c r="CT93" s="9">
        <f>GU93*($Q93*$S93)/(1+Voorblad!$K$44)^(CT$56-Voorblad!$F$41)</f>
        <v>0</v>
      </c>
      <c r="CU93" s="9">
        <f>GV93*($Q93*$S93)/(1+Voorblad!$K$44)^(CU$56-Voorblad!$F$41)</f>
        <v>0</v>
      </c>
      <c r="CV93" s="9">
        <f>GW93*($Q93*$S93)/(1+Voorblad!$K$44)^(CV$56-Voorblad!$F$41)</f>
        <v>0</v>
      </c>
      <c r="CW93" s="9">
        <f>GX93*($Q93*$S93)/(1+Voorblad!$K$44)^(CW$56-Voorblad!$F$41)</f>
        <v>0</v>
      </c>
      <c r="CX93" s="9">
        <f>GY93*($Q93*$S93)/(1+Voorblad!$K$44)^(CX$56-Voorblad!$F$41)</f>
        <v>0</v>
      </c>
      <c r="CY93" s="9">
        <f>GZ93*($Q93*$S93)/(1+Voorblad!$K$44)^(CY$56-Voorblad!$F$41)</f>
        <v>0</v>
      </c>
      <c r="CZ93" s="9">
        <f>HA93*($Q93*$S93)/(1+Voorblad!$K$44)^(CZ$56-Voorblad!$F$41)</f>
        <v>0</v>
      </c>
      <c r="DA93" s="9">
        <f>HB93*($Q93*$S93)/(1+Voorblad!$K$44)^(DA$56-Voorblad!$F$41)</f>
        <v>0</v>
      </c>
      <c r="DB93" s="9">
        <f>HC93*($Q93*$S93)/(1+Voorblad!$K$44)^(DB$56-Voorblad!$F$41)</f>
        <v>0</v>
      </c>
      <c r="DC93" s="9">
        <f>HD93*($Q93*$S93)/(1+Voorblad!$K$44)^(DC$56-Voorblad!$F$41)</f>
        <v>0</v>
      </c>
      <c r="DD93" s="9">
        <f>HE93*($Q93*$S93)/(1+Voorblad!$K$44)^(DD$56-Voorblad!$F$41)</f>
        <v>0</v>
      </c>
      <c r="DE93" s="9">
        <f>HF93*($Q93*$S93)/(1+Voorblad!$K$44)^(DE$56-Voorblad!$F$41)</f>
        <v>0</v>
      </c>
      <c r="DF93" s="9">
        <f>HG93*($Q93*$S93)/(1+Voorblad!$K$44)^(DF$56-Voorblad!$F$41)</f>
        <v>0</v>
      </c>
      <c r="DG93" s="9">
        <f>HH93*($Q93*$S93)/(1+Voorblad!$K$44)^(DG$56-Voorblad!$F$41)</f>
        <v>0</v>
      </c>
      <c r="DH93" s="9">
        <f>HI93*($Q93*$S93)/(1+Voorblad!$K$44)^(DH$56-Voorblad!$F$41)</f>
        <v>0</v>
      </c>
      <c r="DI93" s="9">
        <f>HJ93*($Q93*$S93)/(1+Voorblad!$K$44)^(DI$56-Voorblad!$F$41)</f>
        <v>0</v>
      </c>
      <c r="DJ93" s="9">
        <f>HK93*($Q93*$S93)/(1+Voorblad!$K$44)^(DJ$56-Voorblad!$F$41)</f>
        <v>0</v>
      </c>
      <c r="DK93" s="9">
        <f>HL93*($Q93*$S93)/(1+Voorblad!$K$44)^(DK$56-Voorblad!$F$41)</f>
        <v>0</v>
      </c>
      <c r="DL93" s="9">
        <f>HM93*($Q93*$S93)/(1+Voorblad!$K$44)^(DL$56-Voorblad!$F$41)</f>
        <v>0</v>
      </c>
      <c r="DM93" s="9">
        <f>HN93*($Q93*$S93)/(1+Voorblad!$K$44)^(DM$56-Voorblad!$F$41)</f>
        <v>0</v>
      </c>
      <c r="DN93" s="9">
        <f>HO93*($Q93*$S93)/(1+Voorblad!$K$44)^(DN$56-Voorblad!$F$41)</f>
        <v>0</v>
      </c>
      <c r="DO93" s="9">
        <f>HP93*($Q93*$S93)/(1+Voorblad!$K$44)^(DO$56-Voorblad!$F$41)</f>
        <v>0</v>
      </c>
      <c r="DP93" s="9">
        <f>HQ93*($Q93*$S93)/(1+Voorblad!$K$44)^(DP$56-Voorblad!$F$41)</f>
        <v>0</v>
      </c>
      <c r="DQ93" s="9">
        <f>HR93*($Q93*$S93)/(1+Voorblad!$K$44)^(DQ$56-Voorblad!$F$41)</f>
        <v>0</v>
      </c>
      <c r="DR93" s="9">
        <f>HS93*($Q93*$S93)/(1+Voorblad!$K$44)^(DR$56-Voorblad!$F$41)</f>
        <v>0</v>
      </c>
      <c r="DS93" s="9">
        <f>HT93*($Q93*$S93)/(1+Voorblad!$K$44)^(DS$56-Voorblad!$F$41)</f>
        <v>0</v>
      </c>
      <c r="DT93" s="9">
        <f>HU93*($Q93*$S93)/(1+Voorblad!$K$44)^(DT$56-Voorblad!$F$41)</f>
        <v>0</v>
      </c>
      <c r="DU93" s="9">
        <f>HV93*($Q93*$S93)/(1+Voorblad!$K$44)^(DU$56-Voorblad!$F$41)</f>
        <v>0</v>
      </c>
      <c r="DV93" s="9">
        <f>HW93*($Q93*$S93)/(1+Voorblad!$K$44)^(DV$56-Voorblad!$F$41)</f>
        <v>0</v>
      </c>
      <c r="DW93" s="9">
        <f>HX93*($Q93*$S93)/(1+Voorblad!$K$44)^(DW$56-Voorblad!$F$41)</f>
        <v>0</v>
      </c>
      <c r="DX93" s="9">
        <f>HY93*($Q93*$S93)/(1+Voorblad!$K$44)^(DX$56-Voorblad!$F$41)</f>
        <v>0</v>
      </c>
      <c r="DY93" s="9">
        <f>HZ93*($Q93*$S93)/(1+Voorblad!$K$44)^(DY$56-Voorblad!$F$41)</f>
        <v>0</v>
      </c>
      <c r="DZ93" s="9">
        <f>IA93*($Q93*$S93)/(1+Voorblad!$K$44)^(DZ$56-Voorblad!$F$41)</f>
        <v>0</v>
      </c>
      <c r="EA93" s="9">
        <f>IB93*($Q93*$S93)/(1+Voorblad!$K$44)^(EA$56-Voorblad!$F$41)</f>
        <v>0</v>
      </c>
      <c r="EB93" s="9">
        <f>IC93*($Q93*$S93)/(1+Voorblad!$K$44)^(EB$56-Voorblad!$F$41)</f>
        <v>0</v>
      </c>
      <c r="EE93" s="8">
        <v>0</v>
      </c>
      <c r="EF93" s="8">
        <f>IF(EF$56-Voorblad!$F$41&gt;Voorblad!$K$41,0,IF($U93=0,0,IF($U93&lt;1,1/$U93,IF((EF$56-Voorblad!$F$41)/$U93-SUM($EE93:EE93)=1,1,0))))</f>
        <v>0</v>
      </c>
      <c r="EG93" s="8">
        <f>IF(EG$56-Voorblad!$F$41&gt;Voorblad!$K$41,0,IF($U93=0,0,IF($U93&lt;1,1/$U93,IF((EG$56-Voorblad!$F$41)/$U93-SUM($EE93:EF93)=1,1,0))))</f>
        <v>0</v>
      </c>
      <c r="EH93" s="8">
        <f>IF(EH$56-Voorblad!$F$41&gt;Voorblad!$K$41,0,IF($U93=0,0,IF($U93&lt;1,1/$U93,IF((EH$56-Voorblad!$F$41)/$U93-SUM($EE93:EG93)=1,1,0))))</f>
        <v>0</v>
      </c>
      <c r="EI93" s="8">
        <f>IF(EI$56-Voorblad!$F$41&gt;Voorblad!$K$41,0,IF($U93=0,0,IF($U93&lt;1,1/$U93,IF((EI$56-Voorblad!$F$41)/$U93-SUM($EE93:EH93)=1,1,0))))</f>
        <v>0</v>
      </c>
      <c r="EJ93" s="8">
        <f>IF(EJ$56-Voorblad!$F$41&gt;Voorblad!$K$41,0,IF($U93=0,0,IF($U93&lt;1,1/$U93,IF((EJ$56-Voorblad!$F$41)/$U93-SUM($EE93:EI93)=1,1,0))))</f>
        <v>0</v>
      </c>
      <c r="EK93" s="8">
        <f>IF(EK$56-Voorblad!$F$41&gt;Voorblad!$K$41,0,IF($U93=0,0,IF($U93&lt;1,1/$U93,IF((EK$56-Voorblad!$F$41)/$U93-SUM($EE93:EJ93)=1,1,0))))</f>
        <v>0</v>
      </c>
      <c r="EL93" s="8">
        <f>IF(EL$56-Voorblad!$F$41&gt;Voorblad!$K$41,0,IF($U93=0,0,IF($U93&lt;1,1/$U93,IF((EL$56-Voorblad!$F$41)/$U93-SUM($EE93:EK93)=1,1,0))))</f>
        <v>0</v>
      </c>
      <c r="EM93" s="8">
        <f>IF(EM$56-Voorblad!$F$41&gt;Voorblad!$K$41,0,IF($U93=0,0,IF($U93&lt;1,1/$U93,IF((EM$56-Voorblad!$F$41)/$U93-SUM($EE93:EL93)=1,1,0))))</f>
        <v>0</v>
      </c>
      <c r="EN93" s="8">
        <f>IF(EN$56-Voorblad!$F$41&gt;Voorblad!$K$41,0,IF($U93=0,0,IF($U93&lt;1,1/$U93,IF((EN$56-Voorblad!$F$41)/$U93-SUM($EE93:EM93)=1,1,0))))</f>
        <v>0</v>
      </c>
      <c r="EO93" s="8">
        <f>IF(EO$56-Voorblad!$F$41&gt;Voorblad!$K$41,0,IF($U93=0,0,IF($U93&lt;1,1/$U93,IF((EO$56-Voorblad!$F$41)/$U93-SUM($EE93:EN93)=1,1,0))))</f>
        <v>0</v>
      </c>
      <c r="EP93" s="8">
        <f>IF(EP$56-Voorblad!$F$41&gt;Voorblad!$K$41,0,IF($U93=0,0,IF($U93&lt;1,1/$U93,IF((EP$56-Voorblad!$F$41)/$U93-SUM($EE93:EO93)=1,1,0))))</f>
        <v>0</v>
      </c>
      <c r="EQ93" s="8">
        <f>IF(EQ$56-Voorblad!$F$41&gt;Voorblad!$K$41,0,IF($U93=0,0,IF($U93&lt;1,1/$U93,IF((EQ$56-Voorblad!$F$41)/$U93-SUM($EE93:EP93)=1,1,0))))</f>
        <v>0</v>
      </c>
      <c r="ER93" s="8">
        <f>IF(ER$56-Voorblad!$F$41&gt;Voorblad!$K$41,0,IF($U93=0,0,IF($U93&lt;1,1/$U93,IF((ER$56-Voorblad!$F$41)/$U93-SUM($EE93:EQ93)=1,1,0))))</f>
        <v>0</v>
      </c>
      <c r="ES93" s="8">
        <f>IF(ES$56-Voorblad!$F$41&gt;Voorblad!$K$41,0,IF($U93=0,0,IF($U93&lt;1,1/$U93,IF((ES$56-Voorblad!$F$41)/$U93-SUM($EE93:ER93)=1,1,0))))</f>
        <v>0</v>
      </c>
      <c r="ET93" s="8">
        <f>IF(ET$56-Voorblad!$F$41&gt;Voorblad!$K$41,0,IF($U93=0,0,IF($U93&lt;1,1/$U93,IF((ET$56-Voorblad!$F$41)/$U93-SUM($EE93:ES93)=1,1,0))))</f>
        <v>0</v>
      </c>
      <c r="EU93" s="8">
        <f>IF(EU$56-Voorblad!$F$41&gt;Voorblad!$K$41,0,IF($U93=0,0,IF($U93&lt;1,1/$U93,IF((EU$56-Voorblad!$F$41)/$U93-SUM($EE93:ET93)=1,1,0))))</f>
        <v>0</v>
      </c>
      <c r="EV93" s="8">
        <f>IF(EV$56-Voorblad!$F$41&gt;Voorblad!$K$41,0,IF($U93=0,0,IF($U93&lt;1,1/$U93,IF((EV$56-Voorblad!$F$41)/$U93-SUM($EE93:EU93)=1,1,0))))</f>
        <v>0</v>
      </c>
      <c r="EW93" s="8">
        <f>IF(EW$56-Voorblad!$F$41&gt;Voorblad!$K$41,0,IF($U93=0,0,IF($U93&lt;1,1/$U93,IF((EW$56-Voorblad!$F$41)/$U93-SUM($EE93:EV93)=1,1,0))))</f>
        <v>0</v>
      </c>
      <c r="EX93" s="8">
        <f>IF(EX$56-Voorblad!$F$41&gt;Voorblad!$K$41,0,IF($U93=0,0,IF($U93&lt;1,1/$U93,IF((EX$56-Voorblad!$F$41)/$U93-SUM($EE93:EW93)=1,1,0))))</f>
        <v>0</v>
      </c>
      <c r="EY93" s="8">
        <f>IF(EY$56-Voorblad!$F$41&gt;Voorblad!$K$41,0,IF($U93=0,0,IF($U93&lt;1,1/$U93,IF((EY$56-Voorblad!$F$41)/$U93-SUM($EE93:EX93)=1,1,0))))</f>
        <v>0</v>
      </c>
      <c r="EZ93" s="8">
        <f>IF(EZ$56-Voorblad!$F$41&gt;Voorblad!$K$41,0,IF($U93=0,0,IF($U93&lt;1,1/$U93,IF((EZ$56-Voorblad!$F$41)/$U93-SUM($EE93:EY93)=1,1,0))))</f>
        <v>0</v>
      </c>
      <c r="FA93" s="8">
        <f>IF(FA$56-Voorblad!$F$41&gt;Voorblad!$K$41,0,IF($U93=0,0,IF($U93&lt;1,1/$U93,IF((FA$56-Voorblad!$F$41)/$U93-SUM($EE93:EZ93)=1,1,0))))</f>
        <v>0</v>
      </c>
      <c r="FB93" s="8">
        <f>IF(FB$56-Voorblad!$F$41&gt;Voorblad!$K$41,0,IF($U93=0,0,IF($U93&lt;1,1/$U93,IF((FB$56-Voorblad!$F$41)/$U93-SUM($EE93:FA93)=1,1,0))))</f>
        <v>0</v>
      </c>
      <c r="FC93" s="8">
        <f>IF(FC$56-Voorblad!$F$41&gt;Voorblad!$K$41,0,IF($U93=0,0,IF($U93&lt;1,1/$U93,IF((FC$56-Voorblad!$F$41)/$U93-SUM($EE93:FB93)=1,1,0))))</f>
        <v>0</v>
      </c>
      <c r="FD93" s="8">
        <f>IF(FD$56-Voorblad!$F$41&gt;Voorblad!$K$41,0,IF($U93=0,0,IF($U93&lt;1,1/$U93,IF((FD$56-Voorblad!$F$41)/$U93-SUM($EE93:FC93)=1,1,0))))</f>
        <v>0</v>
      </c>
      <c r="FE93" s="8">
        <f>IF(FE$56-Voorblad!$F$41&gt;Voorblad!$K$41,0,IF($U93=0,0,IF($U93&lt;1,1/$U93,IF((FE$56-Voorblad!$F$41)/$U93-SUM($EE93:FD93)=1,1,0))))</f>
        <v>0</v>
      </c>
      <c r="FF93" s="8">
        <f>IF(FF$56-Voorblad!$F$41&gt;Voorblad!$K$41,0,IF($U93=0,0,IF($U93&lt;1,1/$U93,IF((FF$56-Voorblad!$F$41)/$U93-SUM($EE93:FE93)=1,1,0))))</f>
        <v>0</v>
      </c>
      <c r="FG93" s="8">
        <f>IF(FG$56-Voorblad!$F$41&gt;Voorblad!$K$41,0,IF($U93=0,0,IF($U93&lt;1,1/$U93,IF((FG$56-Voorblad!$F$41)/$U93-SUM($EE93:FF93)=1,1,0))))</f>
        <v>0</v>
      </c>
      <c r="FH93" s="8">
        <f>IF(FH$56-Voorblad!$F$41&gt;Voorblad!$K$41,0,IF($U93=0,0,IF($U93&lt;1,1/$U93,IF((FH$56-Voorblad!$F$41)/$U93-SUM($EE93:FG93)=1,1,0))))</f>
        <v>0</v>
      </c>
      <c r="FI93" s="8">
        <f>IF(FI$56-Voorblad!$F$41&gt;Voorblad!$K$41,0,IF($U93=0,0,IF($U93&lt;1,1/$U93,IF((FI$56-Voorblad!$F$41)/$U93-SUM($EE93:FH93)=1,1,0))))</f>
        <v>0</v>
      </c>
      <c r="FJ93" s="8">
        <f>IF(FJ$56-Voorblad!$F$41&gt;Voorblad!$K$41,0,IF($U93=0,0,IF($U93&lt;1,1/$U93,IF((FJ$56-Voorblad!$F$41)/$U93-SUM($EE93:FI93)=1,1,0))))</f>
        <v>0</v>
      </c>
      <c r="FK93" s="8">
        <f>IF(FK$56-Voorblad!$F$41&gt;Voorblad!$K$41,0,IF($U93=0,0,IF($U93&lt;1,1/$U93,IF((FK$56-Voorblad!$F$41)/$U93-SUM($EE93:FJ93)=1,1,0))))</f>
        <v>0</v>
      </c>
      <c r="FL93" s="8">
        <f>IF(FL$56-Voorblad!$F$41&gt;Voorblad!$K$41,0,IF($U93=0,0,IF($U93&lt;1,1/$U93,IF((FL$56-Voorblad!$F$41)/$U93-SUM($EE93:FK93)=1,1,0))))</f>
        <v>0</v>
      </c>
      <c r="FM93" s="8">
        <f>IF(FM$56-Voorblad!$F$41&gt;Voorblad!$K$41,0,IF($U93=0,0,IF($U93&lt;1,1/$U93,IF((FM$56-Voorblad!$F$41)/$U93-SUM($EE93:FL93)=1,1,0))))</f>
        <v>0</v>
      </c>
      <c r="FN93" s="8">
        <f>IF(FN$56-Voorblad!$F$41&gt;Voorblad!$K$41,0,IF($U93=0,0,IF($U93&lt;1,1/$U93,IF((FN$56-Voorblad!$F$41)/$U93-SUM($EE93:FM93)=1,1,0))))</f>
        <v>0</v>
      </c>
      <c r="FO93" s="8">
        <f>IF(FO$56-Voorblad!$F$41&gt;Voorblad!$K$41,0,IF($U93=0,0,IF($U93&lt;1,1/$U93,IF((FO$56-Voorblad!$F$41)/$U93-SUM($EE93:FN93)=1,1,0))))</f>
        <v>0</v>
      </c>
      <c r="FP93" s="8">
        <f>IF(FP$56-Voorblad!$F$41&gt;Voorblad!$K$41,0,IF($U93=0,0,IF($U93&lt;1,1/$U93,IF((FP$56-Voorblad!$F$41)/$U93-SUM($EE93:FO93)=1,1,0))))</f>
        <v>0</v>
      </c>
      <c r="FQ93" s="8">
        <f>IF(FQ$56-Voorblad!$F$41&gt;Voorblad!$K$41,0,IF($U93=0,0,IF($U93&lt;1,1/$U93,IF((FQ$56-Voorblad!$F$41)/$U93-SUM($EE93:FP93)=1,1,0))))</f>
        <v>0</v>
      </c>
      <c r="FR93" s="8">
        <f>IF(FR$56-Voorblad!$F$41&gt;Voorblad!$K$41,0,IF($U93=0,0,IF($U93&lt;1,1/$U93,IF((FR$56-Voorblad!$F$41)/$U93-SUM($EE93:FQ93)=1,1,0))))</f>
        <v>0</v>
      </c>
      <c r="FS93" s="8">
        <f>IF(FS$56-Voorblad!$F$41&gt;Voorblad!$K$41,0,IF($U93=0,0,IF($U93&lt;1,1/$U93,IF((FS$56-Voorblad!$F$41)/$U93-SUM($EE93:FR93)=1,1,0))))</f>
        <v>0</v>
      </c>
      <c r="FT93" s="8">
        <f>IF(FT$56-Voorblad!$F$41&gt;Voorblad!$K$41,0,IF($U93=0,0,IF($U93&lt;1,1/$U93,IF((FT$56-Voorblad!$F$41)/$U93-SUM($EE93:FS93)=1,1,0))))</f>
        <v>0</v>
      </c>
      <c r="FU93" s="8">
        <f>IF(FU$56-Voorblad!$F$41&gt;Voorblad!$K$41,0,IF($U93=0,0,IF($U93&lt;1,1/$U93,IF((FU$56-Voorblad!$F$41)/$U93-SUM($EE93:FT93)=1,1,0))))</f>
        <v>0</v>
      </c>
      <c r="FV93" s="8">
        <f>IF(FV$56-Voorblad!$F$41&gt;Voorblad!$K$41,0,IF($U93=0,0,IF($U93&lt;1,1/$U93,IF((FV$56-Voorblad!$F$41)/$U93-SUM($EE93:FU93)=1,1,0))))</f>
        <v>0</v>
      </c>
      <c r="FW93" s="8">
        <f>IF(FW$56-Voorblad!$F$41&gt;Voorblad!$K$41,0,IF($U93=0,0,IF($U93&lt;1,1/$U93,IF((FW$56-Voorblad!$F$41)/$U93-SUM($EE93:FV93)=1,1,0))))</f>
        <v>0</v>
      </c>
      <c r="FX93" s="8">
        <f>IF(FX$56-Voorblad!$F$41&gt;Voorblad!$K$41,0,IF($U93=0,0,IF($U93&lt;1,1/$U93,IF((FX$56-Voorblad!$F$41)/$U93-SUM($EE93:FW93)=1,1,0))))</f>
        <v>0</v>
      </c>
      <c r="FY93" s="8">
        <f>IF(FY$56-Voorblad!$F$41&gt;Voorblad!$K$41,0,IF($U93=0,0,IF($U93&lt;1,1/$U93,IF((FY$56-Voorblad!$F$41)/$U93-SUM($EE93:FX93)=1,1,0))))</f>
        <v>0</v>
      </c>
      <c r="FZ93" s="8">
        <f>IF(FZ$56-Voorblad!$F$41&gt;Voorblad!$K$41,0,IF($U93=0,0,IF($U93&lt;1,1/$U93,IF((FZ$56-Voorblad!$F$41)/$U93-SUM($EE93:FY93)=1,1,0))))</f>
        <v>0</v>
      </c>
      <c r="GA93" s="8">
        <f>IF(GA$56-Voorblad!$F$41&gt;Voorblad!$K$41,0,IF($U93=0,0,IF($U93&lt;1,1/$U93,IF((GA$56-Voorblad!$F$41)/$U93-SUM($EE93:FZ93)=1,1,0))))</f>
        <v>0</v>
      </c>
      <c r="GB93" s="8">
        <f>IF(GB$56-Voorblad!$F$41&gt;Voorblad!$K$41,0,IF($U93=0,0,IF($U93&lt;1,1/$U93,IF((GB$56-Voorblad!$F$41)/$U93-SUM($EE93:GA93)=1,1,0))))</f>
        <v>0</v>
      </c>
      <c r="GC93" s="8">
        <f>IF(GC$56-Voorblad!$F$41&gt;Voorblad!$K$41,0,IF($U93=0,0,IF($U93&lt;1,1/$U93,IF((GC$56-Voorblad!$F$41)/$U93-SUM($EE93:GB93)=1,1,0))))</f>
        <v>0</v>
      </c>
      <c r="GD93" s="8">
        <f>IF(GD$56-Voorblad!$F$41&gt;Voorblad!$K$41,0,IF($U93=0,0,IF($U93&lt;1,1/$U93,IF((GD$56-Voorblad!$F$41)/$U93-SUM($EE93:GC93)=1,1,0))))</f>
        <v>1</v>
      </c>
      <c r="GE93" s="8">
        <f>IF(GE$56-Voorblad!$F$41&gt;Voorblad!$K$41,0,IF($U93=0,0,IF($U93&lt;1,1/$U93,IF((GE$56-Voorblad!$F$41)/$U93-SUM($EE93:GD93)=1,1,0))))</f>
        <v>0</v>
      </c>
      <c r="GF93" s="8">
        <f>IF(GF$56-Voorblad!$F$41&gt;Voorblad!$K$41,0,IF($U93=0,0,IF($U93&lt;1,1/$U93,IF((GF$56-Voorblad!$F$41)/$U93-SUM($EE93:GE93)=1,1,0))))</f>
        <v>0</v>
      </c>
      <c r="GG93" s="8">
        <f>IF(GG$56-Voorblad!$F$41&gt;Voorblad!$K$41,0,IF($U93=0,0,IF($U93&lt;1,1/$U93,IF((GG$56-Voorblad!$F$41)/$U93-SUM($EE93:GF93)=1,1,0))))</f>
        <v>0</v>
      </c>
      <c r="GH93" s="8">
        <f>IF(GH$56-Voorblad!$F$41&gt;Voorblad!$K$41,0,IF($U93=0,0,IF($U93&lt;1,1/$U93,IF((GH$56-Voorblad!$F$41)/$U93-SUM($EE93:GG93)=1,1,0))))</f>
        <v>0</v>
      </c>
      <c r="GI93" s="8">
        <f>IF(GI$56-Voorblad!$F$41&gt;Voorblad!$K$41,0,IF($U93=0,0,IF($U93&lt;1,1/$U93,IF((GI$56-Voorblad!$F$41)/$U93-SUM($EE93:GH93)=1,1,0))))</f>
        <v>0</v>
      </c>
      <c r="GJ93" s="8">
        <f>IF(GJ$56-Voorblad!$F$41&gt;Voorblad!$K$41,0,IF($U93=0,0,IF($U93&lt;1,1/$U93,IF((GJ$56-Voorblad!$F$41)/$U93-SUM($EE93:GI93)=1,1,0))))</f>
        <v>0</v>
      </c>
      <c r="GK93" s="8">
        <f>IF(GK$56-Voorblad!$F$41&gt;Voorblad!$K$41,0,IF($U93=0,0,IF($U93&lt;1,1/$U93,IF((GK$56-Voorblad!$F$41)/$U93-SUM($EE93:GJ93)=1,1,0))))</f>
        <v>0</v>
      </c>
      <c r="GL93" s="8">
        <f>IF(GL$56-Voorblad!$F$41&gt;Voorblad!$K$41,0,IF($U93=0,0,IF($U93&lt;1,1/$U93,IF((GL$56-Voorblad!$F$41)/$U93-SUM($EE93:GK93)=1,1,0))))</f>
        <v>0</v>
      </c>
      <c r="GM93" s="8">
        <f>IF(GM$56-Voorblad!$F$41&gt;Voorblad!$K$41,0,IF($U93=0,0,IF($U93&lt;1,1/$U93,IF((GM$56-Voorblad!$F$41)/$U93-SUM($EE93:GL93)=1,1,0))))</f>
        <v>0</v>
      </c>
      <c r="GN93" s="8">
        <f>IF(GN$56-Voorblad!$F$41&gt;Voorblad!$K$41,0,IF($U93=0,0,IF($U93&lt;1,1/$U93,IF((GN$56-Voorblad!$F$41)/$U93-SUM($EE93:GM93)=1,1,0))))</f>
        <v>0</v>
      </c>
      <c r="GO93" s="8">
        <f>IF(GO$56-Voorblad!$F$41&gt;Voorblad!$K$41,0,IF($U93=0,0,IF($U93&lt;1,1/$U93,IF((GO$56-Voorblad!$F$41)/$U93-SUM($EE93:GN93)=1,1,0))))</f>
        <v>0</v>
      </c>
      <c r="GP93" s="8">
        <f>IF(GP$56-Voorblad!$F$41&gt;Voorblad!$K$41,0,IF($U93=0,0,IF($U93&lt;1,1/$U93,IF((GP$56-Voorblad!$F$41)/$U93-SUM($EE93:GO93)=1,1,0))))</f>
        <v>0</v>
      </c>
      <c r="GQ93" s="8">
        <f>IF(GQ$56-Voorblad!$F$41&gt;Voorblad!$K$41,0,IF($U93=0,0,IF($U93&lt;1,1/$U93,IF((GQ$56-Voorblad!$F$41)/$U93-SUM($EE93:GP93)=1,1,0))))</f>
        <v>0</v>
      </c>
      <c r="GR93" s="8">
        <f>IF(GR$56-Voorblad!$F$41&gt;Voorblad!$K$41,0,IF($U93=0,0,IF($U93&lt;1,1/$U93,IF((GR$56-Voorblad!$F$41)/$U93-SUM($EE93:GQ93)=1,1,0))))</f>
        <v>0</v>
      </c>
      <c r="GS93" s="8">
        <f>IF(GS$56-Voorblad!$F$41&gt;Voorblad!$K$41,0,IF($U93=0,0,IF($U93&lt;1,1/$U93,IF((GS$56-Voorblad!$F$41)/$U93-SUM($EE93:GR93)=1,1,0))))</f>
        <v>0</v>
      </c>
      <c r="GT93" s="8">
        <f>IF(GT$56-Voorblad!$F$41&gt;Voorblad!$K$41,0,IF($U93=0,0,IF($U93&lt;1,1/$U93,IF((GT$56-Voorblad!$F$41)/$U93-SUM($EE93:GS93)=1,1,0))))</f>
        <v>0</v>
      </c>
      <c r="GU93" s="8">
        <f>IF(GU$56-Voorblad!$F$41&gt;Voorblad!$K$41,0,IF($U93=0,0,IF($U93&lt;1,1/$U93,IF((GU$56-Voorblad!$F$41)/$U93-SUM($EE93:GT93)=1,1,0))))</f>
        <v>0</v>
      </c>
      <c r="GV93" s="8">
        <f>IF(GV$56-Voorblad!$F$41&gt;Voorblad!$K$41,0,IF($U93=0,0,IF($U93&lt;1,1/$U93,IF((GV$56-Voorblad!$F$41)/$U93-SUM($EE93:GU93)=1,1,0))))</f>
        <v>0</v>
      </c>
      <c r="GW93" s="8">
        <f>IF(GW$56-Voorblad!$F$41&gt;Voorblad!$K$41,0,IF($U93=0,0,IF($U93&lt;1,1/$U93,IF((GW$56-Voorblad!$F$41)/$U93-SUM($EE93:GV93)=1,1,0))))</f>
        <v>0</v>
      </c>
      <c r="GX93" s="8">
        <f>IF(GX$56-Voorblad!$F$41&gt;Voorblad!$K$41,0,IF($U93=0,0,IF($U93&lt;1,1/$U93,IF((GX$56-Voorblad!$F$41)/$U93-SUM($EE93:GW93)=1,1,0))))</f>
        <v>0</v>
      </c>
      <c r="GY93" s="8">
        <f>IF(GY$56-Voorblad!$F$41&gt;Voorblad!$K$41,0,IF($U93=0,0,IF($U93&lt;1,1/$U93,IF((GY$56-Voorblad!$F$41)/$U93-SUM($EE93:GX93)=1,1,0))))</f>
        <v>0</v>
      </c>
      <c r="GZ93" s="8">
        <f>IF(GZ$56-Voorblad!$F$41&gt;Voorblad!$K$41,0,IF($U93=0,0,IF($U93&lt;1,1/$U93,IF((GZ$56-Voorblad!$F$41)/$U93-SUM($EE93:GY93)=1,1,0))))</f>
        <v>0</v>
      </c>
      <c r="HA93" s="8">
        <f>IF(HA$56-Voorblad!$F$41&gt;Voorblad!$K$41,0,IF($U93=0,0,IF($U93&lt;1,1/$U93,IF((HA$56-Voorblad!$F$41)/$U93-SUM($EE93:GZ93)=1,1,0))))</f>
        <v>0</v>
      </c>
      <c r="HB93" s="8">
        <f>IF(HB$56-Voorblad!$F$41&gt;Voorblad!$K$41,0,IF($U93=0,0,IF($U93&lt;1,1/$U93,IF((HB$56-Voorblad!$F$41)/$U93-SUM($EE93:HA93)=1,1,0))))</f>
        <v>0</v>
      </c>
      <c r="HC93" s="8">
        <f>IF(HC$56-Voorblad!$F$41&gt;Voorblad!$K$41,0,IF($U93=0,0,IF($U93&lt;1,1/$U93,IF((HC$56-Voorblad!$F$41)/$U93-SUM($EE93:HB93)=1,1,0))))</f>
        <v>0</v>
      </c>
      <c r="HD93" s="8">
        <f>IF(HD$56-Voorblad!$F$41&gt;Voorblad!$K$41,0,IF($U93=0,0,IF($U93&lt;1,1/$U93,IF((HD$56-Voorblad!$F$41)/$U93-SUM($EE93:HC93)=1,1,0))))</f>
        <v>0</v>
      </c>
      <c r="HE93" s="8">
        <f>IF(HE$56-Voorblad!$F$41&gt;Voorblad!$K$41,0,IF($U93=0,0,IF($U93&lt;1,1/$U93,IF((HE$56-Voorblad!$F$41)/$U93-SUM($EE93:HD93)=1,1,0))))</f>
        <v>0</v>
      </c>
      <c r="HF93" s="8">
        <f>IF(HF$56-Voorblad!$F$41&gt;Voorblad!$K$41,0,IF($U93=0,0,IF($U93&lt;1,1/$U93,IF((HF$56-Voorblad!$F$41)/$U93-SUM($EE93:HE93)=1,1,0))))</f>
        <v>0</v>
      </c>
      <c r="HG93" s="8">
        <f>IF(HG$56-Voorblad!$F$41&gt;Voorblad!$K$41,0,IF($U93=0,0,IF($U93&lt;1,1/$U93,IF((HG$56-Voorblad!$F$41)/$U93-SUM($EE93:HF93)=1,1,0))))</f>
        <v>0</v>
      </c>
      <c r="HH93" s="8">
        <f>IF(HH$56-Voorblad!$F$41&gt;Voorblad!$K$41,0,IF($U93=0,0,IF($U93&lt;1,1/$U93,IF((HH$56-Voorblad!$F$41)/$U93-SUM($EE93:HG93)=1,1,0))))</f>
        <v>0</v>
      </c>
      <c r="HI93" s="8">
        <f>IF(HI$56-Voorblad!$F$41&gt;Voorblad!$K$41,0,IF($U93=0,0,IF($U93&lt;1,1/$U93,IF((HI$56-Voorblad!$F$41)/$U93-SUM($EE93:HH93)=1,1,0))))</f>
        <v>0</v>
      </c>
      <c r="HJ93" s="8">
        <f>IF(HJ$56-Voorblad!$F$41&gt;Voorblad!$K$41,0,IF($U93=0,0,IF($U93&lt;1,1/$U93,IF((HJ$56-Voorblad!$F$41)/$U93-SUM($EE93:HI93)=1,1,0))))</f>
        <v>0</v>
      </c>
      <c r="HK93" s="8">
        <f>IF(HK$56-Voorblad!$F$41&gt;Voorblad!$K$41,0,IF($U93=0,0,IF($U93&lt;1,1/$U93,IF((HK$56-Voorblad!$F$41)/$U93-SUM($EE93:HJ93)=1,1,0))))</f>
        <v>0</v>
      </c>
      <c r="HL93" s="8">
        <f>IF(HL$56-Voorblad!$F$41&gt;Voorblad!$K$41,0,IF($U93=0,0,IF($U93&lt;1,1/$U93,IF((HL$56-Voorblad!$F$41)/$U93-SUM($EE93:HK93)=1,1,0))))</f>
        <v>0</v>
      </c>
      <c r="HM93" s="8">
        <f>IF(HM$56-Voorblad!$F$41&gt;Voorblad!$K$41,0,IF($U93=0,0,IF($U93&lt;1,1/$U93,IF((HM$56-Voorblad!$F$41)/$U93-SUM($EE93:HL93)=1,1,0))))</f>
        <v>0</v>
      </c>
      <c r="HN93" s="8">
        <f>IF(HN$56-Voorblad!$F$41&gt;Voorblad!$K$41,0,IF($U93=0,0,IF($U93&lt;1,1/$U93,IF((HN$56-Voorblad!$F$41)/$U93-SUM($EE93:HM93)=1,1,0))))</f>
        <v>0</v>
      </c>
      <c r="HO93" s="8">
        <f>IF(HO$56-Voorblad!$F$41&gt;Voorblad!$K$41,0,IF($U93=0,0,IF($U93&lt;1,1/$U93,IF((HO$56-Voorblad!$F$41)/$U93-SUM($EE93:HN93)=1,1,0))))</f>
        <v>0</v>
      </c>
      <c r="HP93" s="8">
        <f>IF(HP$56-Voorblad!$F$41&gt;Voorblad!$K$41,0,IF($U93=0,0,IF($U93&lt;1,1/$U93,IF((HP$56-Voorblad!$F$41)/$U93-SUM($EE93:HO93)=1,1,0))))</f>
        <v>0</v>
      </c>
      <c r="HQ93" s="8">
        <f>IF(HQ$56-Voorblad!$F$41&gt;Voorblad!$K$41,0,IF($U93=0,0,IF($U93&lt;1,1/$U93,IF((HQ$56-Voorblad!$F$41)/$U93-SUM($EE93:HP93)=1,1,0))))</f>
        <v>0</v>
      </c>
      <c r="HR93" s="8">
        <f>IF(HR$56-Voorblad!$F$41&gt;Voorblad!$K$41,0,IF($U93=0,0,IF($U93&lt;1,1/$U93,IF((HR$56-Voorblad!$F$41)/$U93-SUM($EE93:HQ93)=1,1,0))))</f>
        <v>0</v>
      </c>
      <c r="HS93" s="8">
        <f>IF(HS$56-Voorblad!$F$41&gt;Voorblad!$K$41,0,IF($U93=0,0,IF($U93&lt;1,1/$U93,IF((HS$56-Voorblad!$F$41)/$U93-SUM($EE93:HR93)=1,1,0))))</f>
        <v>0</v>
      </c>
      <c r="HT93" s="8">
        <f>IF(HT$56-Voorblad!$F$41&gt;Voorblad!$K$41,0,IF($U93=0,0,IF($U93&lt;1,1/$U93,IF((HT$56-Voorblad!$F$41)/$U93-SUM($EE93:HS93)=1,1,0))))</f>
        <v>0</v>
      </c>
      <c r="HU93" s="8">
        <f>IF(HU$56-Voorblad!$F$41&gt;Voorblad!$K$41,0,IF($U93=0,0,IF($U93&lt;1,1/$U93,IF((HU$56-Voorblad!$F$41)/$U93-SUM($EE93:HT93)=1,1,0))))</f>
        <v>0</v>
      </c>
      <c r="HV93" s="8">
        <f>IF(HV$56-Voorblad!$F$41&gt;Voorblad!$K$41,0,IF($U93=0,0,IF($U93&lt;1,1/$U93,IF((HV$56-Voorblad!$F$41)/$U93-SUM($EE93:HU93)=1,1,0))))</f>
        <v>0</v>
      </c>
      <c r="HW93" s="8">
        <f>IF(HW$56-Voorblad!$F$41&gt;Voorblad!$K$41,0,IF($U93=0,0,IF($U93&lt;1,1/$U93,IF((HW$56-Voorblad!$F$41)/$U93-SUM($EE93:HV93)=1,1,0))))</f>
        <v>0</v>
      </c>
      <c r="HX93" s="8">
        <f>IF(HX$56-Voorblad!$F$41&gt;Voorblad!$K$41,0,IF($U93=0,0,IF($U93&lt;1,1/$U93,IF((HX$56-Voorblad!$F$41)/$U93-SUM($EE93:HW93)=1,1,0))))</f>
        <v>0</v>
      </c>
      <c r="HY93" s="8">
        <f>IF(HY$56-Voorblad!$F$41&gt;Voorblad!$K$41,0,IF($U93=0,0,IF($U93&lt;1,1/$U93,IF((HY$56-Voorblad!$F$41)/$U93-SUM($EE93:HX93)=1,1,0))))</f>
        <v>0</v>
      </c>
      <c r="HZ93" s="8">
        <f>IF(HZ$56-Voorblad!$F$41&gt;Voorblad!$K$41,0,IF($U93=0,0,IF($U93&lt;1,1/$U93,IF((HZ$56-Voorblad!$F$41)/$U93-SUM($EE93:HY93)=1,1,0))))</f>
        <v>0</v>
      </c>
      <c r="IA93" s="8">
        <f>IF(IA$56-Voorblad!$F$41&gt;Voorblad!$K$41,0,IF($U93=0,0,IF($U93&lt;1,1/$U93,IF((IA$56-Voorblad!$F$41)/$U93-SUM($EE93:HZ93)=1,1,0))))</f>
        <v>0</v>
      </c>
      <c r="IB93" s="8">
        <f>IF(IB$56-Voorblad!$F$41&gt;Voorblad!$K$41,0,IF($U93=0,0,IF($U93&lt;1,1/$U93,IF((IB$56-Voorblad!$F$41)/$U93-SUM($EE93:IA93)=1,1,0))))</f>
        <v>0</v>
      </c>
    </row>
    <row r="94" spans="2:236" hidden="1" outlineLevel="1" x14ac:dyDescent="0.25">
      <c r="B94" s="1">
        <v>1</v>
      </c>
      <c r="F94" s="1" t="s">
        <v>23</v>
      </c>
      <c r="I94" s="1" t="s">
        <v>48</v>
      </c>
      <c r="K94" s="148" t="s">
        <v>195</v>
      </c>
      <c r="N94" s="3"/>
      <c r="Q94" s="81">
        <v>0</v>
      </c>
      <c r="R94" s="147" t="s">
        <v>196</v>
      </c>
      <c r="S94" s="14">
        <f>$H$10*250</f>
        <v>595</v>
      </c>
      <c r="T94" s="1">
        <f t="shared" si="16"/>
        <v>0</v>
      </c>
      <c r="U94" s="14">
        <v>50</v>
      </c>
      <c r="V94" s="14"/>
      <c r="Y94" s="9">
        <f>SUM(AE94:EB94)</f>
        <v>0</v>
      </c>
      <c r="Z94" s="82"/>
      <c r="AA94" s="82"/>
      <c r="AC94" s="229">
        <f>$Y94*(Voorblad!$K$44*(1+Voorblad!$K$44)^Voorblad!$K$41)/((1+Voorblad!$K$44)^Voorblad!$K$41-1)</f>
        <v>0</v>
      </c>
      <c r="AE94" s="9">
        <f>EF94*($Q94*$S94)/(1+Voorblad!$K$44)^(AE$56-Voorblad!$F$41)</f>
        <v>0</v>
      </c>
      <c r="AF94" s="9">
        <f>EG94*($Q94*$S94)/(1+Voorblad!$K$44)^(AF$56-Voorblad!$F$41)</f>
        <v>0</v>
      </c>
      <c r="AG94" s="9">
        <f>EH94*($Q94*$S94)/(1+Voorblad!$K$44)^(AG$56-Voorblad!$F$41)</f>
        <v>0</v>
      </c>
      <c r="AH94" s="9">
        <f>EI94*($Q94*$S94)/(1+Voorblad!$K$44)^(AH$56-Voorblad!$F$41)</f>
        <v>0</v>
      </c>
      <c r="AI94" s="9">
        <f>EJ94*($Q94*$S94)/(1+Voorblad!$K$44)^(AI$56-Voorblad!$F$41)</f>
        <v>0</v>
      </c>
      <c r="AJ94" s="9">
        <f>EK94*($Q94*$S94)/(1+Voorblad!$K$44)^(AJ$56-Voorblad!$F$41)</f>
        <v>0</v>
      </c>
      <c r="AK94" s="9">
        <f>EL94*($Q94*$S94)/(1+Voorblad!$K$44)^(AK$56-Voorblad!$F$41)</f>
        <v>0</v>
      </c>
      <c r="AL94" s="9">
        <f>EM94*($Q94*$S94)/(1+Voorblad!$K$44)^(AL$56-Voorblad!$F$41)</f>
        <v>0</v>
      </c>
      <c r="AM94" s="9">
        <f>EN94*($Q94*$S94)/(1+Voorblad!$K$44)^(AM$56-Voorblad!$F$41)</f>
        <v>0</v>
      </c>
      <c r="AN94" s="9">
        <f>EO94*($Q94*$S94)/(1+Voorblad!$K$44)^(AN$56-Voorblad!$F$41)</f>
        <v>0</v>
      </c>
      <c r="AO94" s="9">
        <f>EP94*($Q94*$S94)/(1+Voorblad!$K$44)^(AO$56-Voorblad!$F$41)</f>
        <v>0</v>
      </c>
      <c r="AP94" s="9">
        <f>EQ94*($Q94*$S94)/(1+Voorblad!$K$44)^(AP$56-Voorblad!$F$41)</f>
        <v>0</v>
      </c>
      <c r="AQ94" s="9">
        <f>ER94*($Q94*$S94)/(1+Voorblad!$K$44)^(AQ$56-Voorblad!$F$41)</f>
        <v>0</v>
      </c>
      <c r="AR94" s="9">
        <f>ES94*($Q94*$S94)/(1+Voorblad!$K$44)^(AR$56-Voorblad!$F$41)</f>
        <v>0</v>
      </c>
      <c r="AS94" s="9">
        <f>ET94*($Q94*$S94)/(1+Voorblad!$K$44)^(AS$56-Voorblad!$F$41)</f>
        <v>0</v>
      </c>
      <c r="AT94" s="9">
        <f>EU94*($Q94*$S94)/(1+Voorblad!$K$44)^(AT$56-Voorblad!$F$41)</f>
        <v>0</v>
      </c>
      <c r="AU94" s="9">
        <f>EV94*($Q94*$S94)/(1+Voorblad!$K$44)^(AU$56-Voorblad!$F$41)</f>
        <v>0</v>
      </c>
      <c r="AV94" s="9">
        <f>EW94*($Q94*$S94)/(1+Voorblad!$K$44)^(AV$56-Voorblad!$F$41)</f>
        <v>0</v>
      </c>
      <c r="AW94" s="9">
        <f>EX94*($Q94*$S94)/(1+Voorblad!$K$44)^(AW$56-Voorblad!$F$41)</f>
        <v>0</v>
      </c>
      <c r="AX94" s="9">
        <f>EY94*($Q94*$S94)/(1+Voorblad!$K$44)^(AX$56-Voorblad!$F$41)</f>
        <v>0</v>
      </c>
      <c r="AY94" s="9">
        <f>EZ94*($Q94*$S94)/(1+Voorblad!$K$44)^(AY$56-Voorblad!$F$41)</f>
        <v>0</v>
      </c>
      <c r="AZ94" s="9">
        <f>FA94*($Q94*$S94)/(1+Voorblad!$K$44)^(AZ$56-Voorblad!$F$41)</f>
        <v>0</v>
      </c>
      <c r="BA94" s="9">
        <f>FB94*($Q94*$S94)/(1+Voorblad!$K$44)^(BA$56-Voorblad!$F$41)</f>
        <v>0</v>
      </c>
      <c r="BB94" s="9">
        <f>FC94*($Q94*$S94)/(1+Voorblad!$K$44)^(BB$56-Voorblad!$F$41)</f>
        <v>0</v>
      </c>
      <c r="BC94" s="9">
        <f>FD94*($Q94*$S94)/(1+Voorblad!$K$44)^(BC$56-Voorblad!$F$41)</f>
        <v>0</v>
      </c>
      <c r="BD94" s="9">
        <f>FE94*($Q94*$S94)/(1+Voorblad!$K$44)^(BD$56-Voorblad!$F$41)</f>
        <v>0</v>
      </c>
      <c r="BE94" s="9">
        <f>FF94*($Q94*$S94)/(1+Voorblad!$K$44)^(BE$56-Voorblad!$F$41)</f>
        <v>0</v>
      </c>
      <c r="BF94" s="9">
        <f>FG94*($Q94*$S94)/(1+Voorblad!$K$44)^(BF$56-Voorblad!$F$41)</f>
        <v>0</v>
      </c>
      <c r="BG94" s="9">
        <f>FH94*($Q94*$S94)/(1+Voorblad!$K$44)^(BG$56-Voorblad!$F$41)</f>
        <v>0</v>
      </c>
      <c r="BH94" s="9">
        <f>FI94*($Q94*$S94)/(1+Voorblad!$K$44)^(BH$56-Voorblad!$F$41)</f>
        <v>0</v>
      </c>
      <c r="BI94" s="9">
        <f>FJ94*($Q94*$S94)/(1+Voorblad!$K$44)^(BI$56-Voorblad!$F$41)</f>
        <v>0</v>
      </c>
      <c r="BJ94" s="9">
        <f>FK94*($Q94*$S94)/(1+Voorblad!$K$44)^(BJ$56-Voorblad!$F$41)</f>
        <v>0</v>
      </c>
      <c r="BK94" s="9">
        <f>FL94*($Q94*$S94)/(1+Voorblad!$K$44)^(BK$56-Voorblad!$F$41)</f>
        <v>0</v>
      </c>
      <c r="BL94" s="9">
        <f>FM94*($Q94*$S94)/(1+Voorblad!$K$44)^(BL$56-Voorblad!$F$41)</f>
        <v>0</v>
      </c>
      <c r="BM94" s="9">
        <f>FN94*($Q94*$S94)/(1+Voorblad!$K$44)^(BM$56-Voorblad!$F$41)</f>
        <v>0</v>
      </c>
      <c r="BN94" s="9">
        <f>FO94*($Q94*$S94)/(1+Voorblad!$K$44)^(BN$56-Voorblad!$F$41)</f>
        <v>0</v>
      </c>
      <c r="BO94" s="9">
        <f>FP94*($Q94*$S94)/(1+Voorblad!$K$44)^(BO$56-Voorblad!$F$41)</f>
        <v>0</v>
      </c>
      <c r="BP94" s="9">
        <f>FQ94*($Q94*$S94)/(1+Voorblad!$K$44)^(BP$56-Voorblad!$F$41)</f>
        <v>0</v>
      </c>
      <c r="BQ94" s="9">
        <f>FR94*($Q94*$S94)/(1+Voorblad!$K$44)^(BQ$56-Voorblad!$F$41)</f>
        <v>0</v>
      </c>
      <c r="BR94" s="9">
        <f>FS94*($Q94*$S94)/(1+Voorblad!$K$44)^(BR$56-Voorblad!$F$41)</f>
        <v>0</v>
      </c>
      <c r="BS94" s="9">
        <f>FT94*($Q94*$S94)/(1+Voorblad!$K$44)^(BS$56-Voorblad!$F$41)</f>
        <v>0</v>
      </c>
      <c r="BT94" s="9">
        <f>FU94*($Q94*$S94)/(1+Voorblad!$K$44)^(BT$56-Voorblad!$F$41)</f>
        <v>0</v>
      </c>
      <c r="BU94" s="9">
        <f>FV94*($Q94*$S94)/(1+Voorblad!$K$44)^(BU$56-Voorblad!$F$41)</f>
        <v>0</v>
      </c>
      <c r="BV94" s="9">
        <f>FW94*($Q94*$S94)/(1+Voorblad!$K$44)^(BV$56-Voorblad!$F$41)</f>
        <v>0</v>
      </c>
      <c r="BW94" s="9">
        <f>FX94*($Q94*$S94)/(1+Voorblad!$K$44)^(BW$56-Voorblad!$F$41)</f>
        <v>0</v>
      </c>
      <c r="BX94" s="9">
        <f>FY94*($Q94*$S94)/(1+Voorblad!$K$44)^(BX$56-Voorblad!$F$41)</f>
        <v>0</v>
      </c>
      <c r="BY94" s="9">
        <f>FZ94*($Q94*$S94)/(1+Voorblad!$K$44)^(BY$56-Voorblad!$F$41)</f>
        <v>0</v>
      </c>
      <c r="BZ94" s="9">
        <f>GA94*($Q94*$S94)/(1+Voorblad!$K$44)^(BZ$56-Voorblad!$F$41)</f>
        <v>0</v>
      </c>
      <c r="CA94" s="9">
        <f>GB94*($Q94*$S94)/(1+Voorblad!$K$44)^(CA$56-Voorblad!$F$41)</f>
        <v>0</v>
      </c>
      <c r="CB94" s="9">
        <f>GC94*($Q94*$S94)/(1+Voorblad!$K$44)^(CB$56-Voorblad!$F$41)</f>
        <v>0</v>
      </c>
      <c r="CC94" s="9">
        <f>GD94*($Q94*$S94)/(1+Voorblad!$K$44)^(CC$56-Voorblad!$F$41)</f>
        <v>0</v>
      </c>
      <c r="CD94" s="9">
        <f>GE94*($Q94*$S94)/(1+Voorblad!$K$44)^(CD$56-Voorblad!$F$41)</f>
        <v>0</v>
      </c>
      <c r="CE94" s="9">
        <f>GF94*($Q94*$S94)/(1+Voorblad!$K$44)^(CE$56-Voorblad!$F$41)</f>
        <v>0</v>
      </c>
      <c r="CF94" s="9">
        <f>GG94*($Q94*$S94)/(1+Voorblad!$K$44)^(CF$56-Voorblad!$F$41)</f>
        <v>0</v>
      </c>
      <c r="CG94" s="9">
        <f>GH94*($Q94*$S94)/(1+Voorblad!$K$44)^(CG$56-Voorblad!$F$41)</f>
        <v>0</v>
      </c>
      <c r="CH94" s="9">
        <f>GI94*($Q94*$S94)/(1+Voorblad!$K$44)^(CH$56-Voorblad!$F$41)</f>
        <v>0</v>
      </c>
      <c r="CI94" s="9">
        <f>GJ94*($Q94*$S94)/(1+Voorblad!$K$44)^(CI$56-Voorblad!$F$41)</f>
        <v>0</v>
      </c>
      <c r="CJ94" s="9">
        <f>GK94*($Q94*$S94)/(1+Voorblad!$K$44)^(CJ$56-Voorblad!$F$41)</f>
        <v>0</v>
      </c>
      <c r="CK94" s="9">
        <f>GL94*($Q94*$S94)/(1+Voorblad!$K$44)^(CK$56-Voorblad!$F$41)</f>
        <v>0</v>
      </c>
      <c r="CL94" s="9">
        <f>GM94*($Q94*$S94)/(1+Voorblad!$K$44)^(CL$56-Voorblad!$F$41)</f>
        <v>0</v>
      </c>
      <c r="CM94" s="9">
        <f>GN94*($Q94*$S94)/(1+Voorblad!$K$44)^(CM$56-Voorblad!$F$41)</f>
        <v>0</v>
      </c>
      <c r="CN94" s="9">
        <f>GO94*($Q94*$S94)/(1+Voorblad!$K$44)^(CN$56-Voorblad!$F$41)</f>
        <v>0</v>
      </c>
      <c r="CO94" s="9">
        <f>GP94*($Q94*$S94)/(1+Voorblad!$K$44)^(CO$56-Voorblad!$F$41)</f>
        <v>0</v>
      </c>
      <c r="CP94" s="9">
        <f>GQ94*($Q94*$S94)/(1+Voorblad!$K$44)^(CP$56-Voorblad!$F$41)</f>
        <v>0</v>
      </c>
      <c r="CQ94" s="9">
        <f>GR94*($Q94*$S94)/(1+Voorblad!$K$44)^(CQ$56-Voorblad!$F$41)</f>
        <v>0</v>
      </c>
      <c r="CR94" s="9">
        <f>GS94*($Q94*$S94)/(1+Voorblad!$K$44)^(CR$56-Voorblad!$F$41)</f>
        <v>0</v>
      </c>
      <c r="CS94" s="9">
        <f>GT94*($Q94*$S94)/(1+Voorblad!$K$44)^(CS$56-Voorblad!$F$41)</f>
        <v>0</v>
      </c>
      <c r="CT94" s="9">
        <f>GU94*($Q94*$S94)/(1+Voorblad!$K$44)^(CT$56-Voorblad!$F$41)</f>
        <v>0</v>
      </c>
      <c r="CU94" s="9">
        <f>GV94*($Q94*$S94)/(1+Voorblad!$K$44)^(CU$56-Voorblad!$F$41)</f>
        <v>0</v>
      </c>
      <c r="CV94" s="9">
        <f>GW94*($Q94*$S94)/(1+Voorblad!$K$44)^(CV$56-Voorblad!$F$41)</f>
        <v>0</v>
      </c>
      <c r="CW94" s="9">
        <f>GX94*($Q94*$S94)/(1+Voorblad!$K$44)^(CW$56-Voorblad!$F$41)</f>
        <v>0</v>
      </c>
      <c r="CX94" s="9">
        <f>GY94*($Q94*$S94)/(1+Voorblad!$K$44)^(CX$56-Voorblad!$F$41)</f>
        <v>0</v>
      </c>
      <c r="CY94" s="9">
        <f>GZ94*($Q94*$S94)/(1+Voorblad!$K$44)^(CY$56-Voorblad!$F$41)</f>
        <v>0</v>
      </c>
      <c r="CZ94" s="9">
        <f>HA94*($Q94*$S94)/(1+Voorblad!$K$44)^(CZ$56-Voorblad!$F$41)</f>
        <v>0</v>
      </c>
      <c r="DA94" s="9">
        <f>HB94*($Q94*$S94)/(1+Voorblad!$K$44)^(DA$56-Voorblad!$F$41)</f>
        <v>0</v>
      </c>
      <c r="DB94" s="9">
        <f>HC94*($Q94*$S94)/(1+Voorblad!$K$44)^(DB$56-Voorblad!$F$41)</f>
        <v>0</v>
      </c>
      <c r="DC94" s="9">
        <f>HD94*($Q94*$S94)/(1+Voorblad!$K$44)^(DC$56-Voorblad!$F$41)</f>
        <v>0</v>
      </c>
      <c r="DD94" s="9">
        <f>HE94*($Q94*$S94)/(1+Voorblad!$K$44)^(DD$56-Voorblad!$F$41)</f>
        <v>0</v>
      </c>
      <c r="DE94" s="9">
        <f>HF94*($Q94*$S94)/(1+Voorblad!$K$44)^(DE$56-Voorblad!$F$41)</f>
        <v>0</v>
      </c>
      <c r="DF94" s="9">
        <f>HG94*($Q94*$S94)/(1+Voorblad!$K$44)^(DF$56-Voorblad!$F$41)</f>
        <v>0</v>
      </c>
      <c r="DG94" s="9">
        <f>HH94*($Q94*$S94)/(1+Voorblad!$K$44)^(DG$56-Voorblad!$F$41)</f>
        <v>0</v>
      </c>
      <c r="DH94" s="9">
        <f>HI94*($Q94*$S94)/(1+Voorblad!$K$44)^(DH$56-Voorblad!$F$41)</f>
        <v>0</v>
      </c>
      <c r="DI94" s="9">
        <f>HJ94*($Q94*$S94)/(1+Voorblad!$K$44)^(DI$56-Voorblad!$F$41)</f>
        <v>0</v>
      </c>
      <c r="DJ94" s="9">
        <f>HK94*($Q94*$S94)/(1+Voorblad!$K$44)^(DJ$56-Voorblad!$F$41)</f>
        <v>0</v>
      </c>
      <c r="DK94" s="9">
        <f>HL94*($Q94*$S94)/(1+Voorblad!$K$44)^(DK$56-Voorblad!$F$41)</f>
        <v>0</v>
      </c>
      <c r="DL94" s="9">
        <f>HM94*($Q94*$S94)/(1+Voorblad!$K$44)^(DL$56-Voorblad!$F$41)</f>
        <v>0</v>
      </c>
      <c r="DM94" s="9">
        <f>HN94*($Q94*$S94)/(1+Voorblad!$K$44)^(DM$56-Voorblad!$F$41)</f>
        <v>0</v>
      </c>
      <c r="DN94" s="9">
        <f>HO94*($Q94*$S94)/(1+Voorblad!$K$44)^(DN$56-Voorblad!$F$41)</f>
        <v>0</v>
      </c>
      <c r="DO94" s="9">
        <f>HP94*($Q94*$S94)/(1+Voorblad!$K$44)^(DO$56-Voorblad!$F$41)</f>
        <v>0</v>
      </c>
      <c r="DP94" s="9">
        <f>HQ94*($Q94*$S94)/(1+Voorblad!$K$44)^(DP$56-Voorblad!$F$41)</f>
        <v>0</v>
      </c>
      <c r="DQ94" s="9">
        <f>HR94*($Q94*$S94)/(1+Voorblad!$K$44)^(DQ$56-Voorblad!$F$41)</f>
        <v>0</v>
      </c>
      <c r="DR94" s="9">
        <f>HS94*($Q94*$S94)/(1+Voorblad!$K$44)^(DR$56-Voorblad!$F$41)</f>
        <v>0</v>
      </c>
      <c r="DS94" s="9">
        <f>HT94*($Q94*$S94)/(1+Voorblad!$K$44)^(DS$56-Voorblad!$F$41)</f>
        <v>0</v>
      </c>
      <c r="DT94" s="9">
        <f>HU94*($Q94*$S94)/(1+Voorblad!$K$44)^(DT$56-Voorblad!$F$41)</f>
        <v>0</v>
      </c>
      <c r="DU94" s="9">
        <f>HV94*($Q94*$S94)/(1+Voorblad!$K$44)^(DU$56-Voorblad!$F$41)</f>
        <v>0</v>
      </c>
      <c r="DV94" s="9">
        <f>HW94*($Q94*$S94)/(1+Voorblad!$K$44)^(DV$56-Voorblad!$F$41)</f>
        <v>0</v>
      </c>
      <c r="DW94" s="9">
        <f>HX94*($Q94*$S94)/(1+Voorblad!$K$44)^(DW$56-Voorblad!$F$41)</f>
        <v>0</v>
      </c>
      <c r="DX94" s="9">
        <f>HY94*($Q94*$S94)/(1+Voorblad!$K$44)^(DX$56-Voorblad!$F$41)</f>
        <v>0</v>
      </c>
      <c r="DY94" s="9">
        <f>HZ94*($Q94*$S94)/(1+Voorblad!$K$44)^(DY$56-Voorblad!$F$41)</f>
        <v>0</v>
      </c>
      <c r="DZ94" s="9">
        <f>IA94*($Q94*$S94)/(1+Voorblad!$K$44)^(DZ$56-Voorblad!$F$41)</f>
        <v>0</v>
      </c>
      <c r="EA94" s="9">
        <f>IB94*($Q94*$S94)/(1+Voorblad!$K$44)^(EA$56-Voorblad!$F$41)</f>
        <v>0</v>
      </c>
      <c r="EB94" s="9">
        <f>IC94*($Q94*$S94)/(1+Voorblad!$K$44)^(EB$56-Voorblad!$F$41)</f>
        <v>0</v>
      </c>
      <c r="EE94" s="8">
        <v>0</v>
      </c>
      <c r="EF94" s="8">
        <f>IF(EF$56-Voorblad!$F$41&gt;Voorblad!$K$41,0,IF($U94=0,0,IF($U94&lt;1,1/$U94,IF((EF$56-Voorblad!$F$41)/$U94-SUM($EE94:EE94)=1,1,0))))</f>
        <v>0</v>
      </c>
      <c r="EG94" s="8">
        <f>IF(EG$56-Voorblad!$F$41&gt;Voorblad!$K$41,0,IF($U94=0,0,IF($U94&lt;1,1/$U94,IF((EG$56-Voorblad!$F$41)/$U94-SUM($EE94:EF94)=1,1,0))))</f>
        <v>0</v>
      </c>
      <c r="EH94" s="8">
        <f>IF(EH$56-Voorblad!$F$41&gt;Voorblad!$K$41,0,IF($U94=0,0,IF($U94&lt;1,1/$U94,IF((EH$56-Voorblad!$F$41)/$U94-SUM($EE94:EG94)=1,1,0))))</f>
        <v>0</v>
      </c>
      <c r="EI94" s="8">
        <f>IF(EI$56-Voorblad!$F$41&gt;Voorblad!$K$41,0,IF($U94=0,0,IF($U94&lt;1,1/$U94,IF((EI$56-Voorblad!$F$41)/$U94-SUM($EE94:EH94)=1,1,0))))</f>
        <v>0</v>
      </c>
      <c r="EJ94" s="8">
        <f>IF(EJ$56-Voorblad!$F$41&gt;Voorblad!$K$41,0,IF($U94=0,0,IF($U94&lt;1,1/$U94,IF((EJ$56-Voorblad!$F$41)/$U94-SUM($EE94:EI94)=1,1,0))))</f>
        <v>0</v>
      </c>
      <c r="EK94" s="8">
        <f>IF(EK$56-Voorblad!$F$41&gt;Voorblad!$K$41,0,IF($U94=0,0,IF($U94&lt;1,1/$U94,IF((EK$56-Voorblad!$F$41)/$U94-SUM($EE94:EJ94)=1,1,0))))</f>
        <v>0</v>
      </c>
      <c r="EL94" s="8">
        <f>IF(EL$56-Voorblad!$F$41&gt;Voorblad!$K$41,0,IF($U94=0,0,IF($U94&lt;1,1/$U94,IF((EL$56-Voorblad!$F$41)/$U94-SUM($EE94:EK94)=1,1,0))))</f>
        <v>0</v>
      </c>
      <c r="EM94" s="8">
        <f>IF(EM$56-Voorblad!$F$41&gt;Voorblad!$K$41,0,IF($U94=0,0,IF($U94&lt;1,1/$U94,IF((EM$56-Voorblad!$F$41)/$U94-SUM($EE94:EL94)=1,1,0))))</f>
        <v>0</v>
      </c>
      <c r="EN94" s="8">
        <f>IF(EN$56-Voorblad!$F$41&gt;Voorblad!$K$41,0,IF($U94=0,0,IF($U94&lt;1,1/$U94,IF((EN$56-Voorblad!$F$41)/$U94-SUM($EE94:EM94)=1,1,0))))</f>
        <v>0</v>
      </c>
      <c r="EO94" s="8">
        <f>IF(EO$56-Voorblad!$F$41&gt;Voorblad!$K$41,0,IF($U94=0,0,IF($U94&lt;1,1/$U94,IF((EO$56-Voorblad!$F$41)/$U94-SUM($EE94:EN94)=1,1,0))))</f>
        <v>0</v>
      </c>
      <c r="EP94" s="8">
        <f>IF(EP$56-Voorblad!$F$41&gt;Voorblad!$K$41,0,IF($U94=0,0,IF($U94&lt;1,1/$U94,IF((EP$56-Voorblad!$F$41)/$U94-SUM($EE94:EO94)=1,1,0))))</f>
        <v>0</v>
      </c>
      <c r="EQ94" s="8">
        <f>IF(EQ$56-Voorblad!$F$41&gt;Voorblad!$K$41,0,IF($U94=0,0,IF($U94&lt;1,1/$U94,IF((EQ$56-Voorblad!$F$41)/$U94-SUM($EE94:EP94)=1,1,0))))</f>
        <v>0</v>
      </c>
      <c r="ER94" s="8">
        <f>IF(ER$56-Voorblad!$F$41&gt;Voorblad!$K$41,0,IF($U94=0,0,IF($U94&lt;1,1/$U94,IF((ER$56-Voorblad!$F$41)/$U94-SUM($EE94:EQ94)=1,1,0))))</f>
        <v>0</v>
      </c>
      <c r="ES94" s="8">
        <f>IF(ES$56-Voorblad!$F$41&gt;Voorblad!$K$41,0,IF($U94=0,0,IF($U94&lt;1,1/$U94,IF((ES$56-Voorblad!$F$41)/$U94-SUM($EE94:ER94)=1,1,0))))</f>
        <v>0</v>
      </c>
      <c r="ET94" s="8">
        <f>IF(ET$56-Voorblad!$F$41&gt;Voorblad!$K$41,0,IF($U94=0,0,IF($U94&lt;1,1/$U94,IF((ET$56-Voorblad!$F$41)/$U94-SUM($EE94:ES94)=1,1,0))))</f>
        <v>0</v>
      </c>
      <c r="EU94" s="8">
        <f>IF(EU$56-Voorblad!$F$41&gt;Voorblad!$K$41,0,IF($U94=0,0,IF($U94&lt;1,1/$U94,IF((EU$56-Voorblad!$F$41)/$U94-SUM($EE94:ET94)=1,1,0))))</f>
        <v>0</v>
      </c>
      <c r="EV94" s="8">
        <f>IF(EV$56-Voorblad!$F$41&gt;Voorblad!$K$41,0,IF($U94=0,0,IF($U94&lt;1,1/$U94,IF((EV$56-Voorblad!$F$41)/$U94-SUM($EE94:EU94)=1,1,0))))</f>
        <v>0</v>
      </c>
      <c r="EW94" s="8">
        <f>IF(EW$56-Voorblad!$F$41&gt;Voorblad!$K$41,0,IF($U94=0,0,IF($U94&lt;1,1/$U94,IF((EW$56-Voorblad!$F$41)/$U94-SUM($EE94:EV94)=1,1,0))))</f>
        <v>0</v>
      </c>
      <c r="EX94" s="8">
        <f>IF(EX$56-Voorblad!$F$41&gt;Voorblad!$K$41,0,IF($U94=0,0,IF($U94&lt;1,1/$U94,IF((EX$56-Voorblad!$F$41)/$U94-SUM($EE94:EW94)=1,1,0))))</f>
        <v>0</v>
      </c>
      <c r="EY94" s="8">
        <f>IF(EY$56-Voorblad!$F$41&gt;Voorblad!$K$41,0,IF($U94=0,0,IF($U94&lt;1,1/$U94,IF((EY$56-Voorblad!$F$41)/$U94-SUM($EE94:EX94)=1,1,0))))</f>
        <v>0</v>
      </c>
      <c r="EZ94" s="8">
        <f>IF(EZ$56-Voorblad!$F$41&gt;Voorblad!$K$41,0,IF($U94=0,0,IF($U94&lt;1,1/$U94,IF((EZ$56-Voorblad!$F$41)/$U94-SUM($EE94:EY94)=1,1,0))))</f>
        <v>0</v>
      </c>
      <c r="FA94" s="8">
        <f>IF(FA$56-Voorblad!$F$41&gt;Voorblad!$K$41,0,IF($U94=0,0,IF($U94&lt;1,1/$U94,IF((FA$56-Voorblad!$F$41)/$U94-SUM($EE94:EZ94)=1,1,0))))</f>
        <v>0</v>
      </c>
      <c r="FB94" s="8">
        <f>IF(FB$56-Voorblad!$F$41&gt;Voorblad!$K$41,0,IF($U94=0,0,IF($U94&lt;1,1/$U94,IF((FB$56-Voorblad!$F$41)/$U94-SUM($EE94:FA94)=1,1,0))))</f>
        <v>0</v>
      </c>
      <c r="FC94" s="8">
        <f>IF(FC$56-Voorblad!$F$41&gt;Voorblad!$K$41,0,IF($U94=0,0,IF($U94&lt;1,1/$U94,IF((FC$56-Voorblad!$F$41)/$U94-SUM($EE94:FB94)=1,1,0))))</f>
        <v>0</v>
      </c>
      <c r="FD94" s="8">
        <f>IF(FD$56-Voorblad!$F$41&gt;Voorblad!$K$41,0,IF($U94=0,0,IF($U94&lt;1,1/$U94,IF((FD$56-Voorblad!$F$41)/$U94-SUM($EE94:FC94)=1,1,0))))</f>
        <v>0</v>
      </c>
      <c r="FE94" s="8">
        <f>IF(FE$56-Voorblad!$F$41&gt;Voorblad!$K$41,0,IF($U94=0,0,IF($U94&lt;1,1/$U94,IF((FE$56-Voorblad!$F$41)/$U94-SUM($EE94:FD94)=1,1,0))))</f>
        <v>0</v>
      </c>
      <c r="FF94" s="8">
        <f>IF(FF$56-Voorblad!$F$41&gt;Voorblad!$K$41,0,IF($U94=0,0,IF($U94&lt;1,1/$U94,IF((FF$56-Voorblad!$F$41)/$U94-SUM($EE94:FE94)=1,1,0))))</f>
        <v>0</v>
      </c>
      <c r="FG94" s="8">
        <f>IF(FG$56-Voorblad!$F$41&gt;Voorblad!$K$41,0,IF($U94=0,0,IF($U94&lt;1,1/$U94,IF((FG$56-Voorblad!$F$41)/$U94-SUM($EE94:FF94)=1,1,0))))</f>
        <v>0</v>
      </c>
      <c r="FH94" s="8">
        <f>IF(FH$56-Voorblad!$F$41&gt;Voorblad!$K$41,0,IF($U94=0,0,IF($U94&lt;1,1/$U94,IF((FH$56-Voorblad!$F$41)/$U94-SUM($EE94:FG94)=1,1,0))))</f>
        <v>0</v>
      </c>
      <c r="FI94" s="8">
        <f>IF(FI$56-Voorblad!$F$41&gt;Voorblad!$K$41,0,IF($U94=0,0,IF($U94&lt;1,1/$U94,IF((FI$56-Voorblad!$F$41)/$U94-SUM($EE94:FH94)=1,1,0))))</f>
        <v>0</v>
      </c>
      <c r="FJ94" s="8">
        <f>IF(FJ$56-Voorblad!$F$41&gt;Voorblad!$K$41,0,IF($U94=0,0,IF($U94&lt;1,1/$U94,IF((FJ$56-Voorblad!$F$41)/$U94-SUM($EE94:FI94)=1,1,0))))</f>
        <v>0</v>
      </c>
      <c r="FK94" s="8">
        <f>IF(FK$56-Voorblad!$F$41&gt;Voorblad!$K$41,0,IF($U94=0,0,IF($U94&lt;1,1/$U94,IF((FK$56-Voorblad!$F$41)/$U94-SUM($EE94:FJ94)=1,1,0))))</f>
        <v>0</v>
      </c>
      <c r="FL94" s="8">
        <f>IF(FL$56-Voorblad!$F$41&gt;Voorblad!$K$41,0,IF($U94=0,0,IF($U94&lt;1,1/$U94,IF((FL$56-Voorblad!$F$41)/$U94-SUM($EE94:FK94)=1,1,0))))</f>
        <v>0</v>
      </c>
      <c r="FM94" s="8">
        <f>IF(FM$56-Voorblad!$F$41&gt;Voorblad!$K$41,0,IF($U94=0,0,IF($U94&lt;1,1/$U94,IF((FM$56-Voorblad!$F$41)/$U94-SUM($EE94:FL94)=1,1,0))))</f>
        <v>0</v>
      </c>
      <c r="FN94" s="8">
        <f>IF(FN$56-Voorblad!$F$41&gt;Voorblad!$K$41,0,IF($U94=0,0,IF($U94&lt;1,1/$U94,IF((FN$56-Voorblad!$F$41)/$U94-SUM($EE94:FM94)=1,1,0))))</f>
        <v>0</v>
      </c>
      <c r="FO94" s="8">
        <f>IF(FO$56-Voorblad!$F$41&gt;Voorblad!$K$41,0,IF($U94=0,0,IF($U94&lt;1,1/$U94,IF((FO$56-Voorblad!$F$41)/$U94-SUM($EE94:FN94)=1,1,0))))</f>
        <v>0</v>
      </c>
      <c r="FP94" s="8">
        <f>IF(FP$56-Voorblad!$F$41&gt;Voorblad!$K$41,0,IF($U94=0,0,IF($U94&lt;1,1/$U94,IF((FP$56-Voorblad!$F$41)/$U94-SUM($EE94:FO94)=1,1,0))))</f>
        <v>0</v>
      </c>
      <c r="FQ94" s="8">
        <f>IF(FQ$56-Voorblad!$F$41&gt;Voorblad!$K$41,0,IF($U94=0,0,IF($U94&lt;1,1/$U94,IF((FQ$56-Voorblad!$F$41)/$U94-SUM($EE94:FP94)=1,1,0))))</f>
        <v>0</v>
      </c>
      <c r="FR94" s="8">
        <f>IF(FR$56-Voorblad!$F$41&gt;Voorblad!$K$41,0,IF($U94=0,0,IF($U94&lt;1,1/$U94,IF((FR$56-Voorblad!$F$41)/$U94-SUM($EE94:FQ94)=1,1,0))))</f>
        <v>0</v>
      </c>
      <c r="FS94" s="8">
        <f>IF(FS$56-Voorblad!$F$41&gt;Voorblad!$K$41,0,IF($U94=0,0,IF($U94&lt;1,1/$U94,IF((FS$56-Voorblad!$F$41)/$U94-SUM($EE94:FR94)=1,1,0))))</f>
        <v>0</v>
      </c>
      <c r="FT94" s="8">
        <f>IF(FT$56-Voorblad!$F$41&gt;Voorblad!$K$41,0,IF($U94=0,0,IF($U94&lt;1,1/$U94,IF((FT$56-Voorblad!$F$41)/$U94-SUM($EE94:FS94)=1,1,0))))</f>
        <v>0</v>
      </c>
      <c r="FU94" s="8">
        <f>IF(FU$56-Voorblad!$F$41&gt;Voorblad!$K$41,0,IF($U94=0,0,IF($U94&lt;1,1/$U94,IF((FU$56-Voorblad!$F$41)/$U94-SUM($EE94:FT94)=1,1,0))))</f>
        <v>0</v>
      </c>
      <c r="FV94" s="8">
        <f>IF(FV$56-Voorblad!$F$41&gt;Voorblad!$K$41,0,IF($U94=0,0,IF($U94&lt;1,1/$U94,IF((FV$56-Voorblad!$F$41)/$U94-SUM($EE94:FU94)=1,1,0))))</f>
        <v>0</v>
      </c>
      <c r="FW94" s="8">
        <f>IF(FW$56-Voorblad!$F$41&gt;Voorblad!$K$41,0,IF($U94=0,0,IF($U94&lt;1,1/$U94,IF((FW$56-Voorblad!$F$41)/$U94-SUM($EE94:FV94)=1,1,0))))</f>
        <v>0</v>
      </c>
      <c r="FX94" s="8">
        <f>IF(FX$56-Voorblad!$F$41&gt;Voorblad!$K$41,0,IF($U94=0,0,IF($U94&lt;1,1/$U94,IF((FX$56-Voorblad!$F$41)/$U94-SUM($EE94:FW94)=1,1,0))))</f>
        <v>0</v>
      </c>
      <c r="FY94" s="8">
        <f>IF(FY$56-Voorblad!$F$41&gt;Voorblad!$K$41,0,IF($U94=0,0,IF($U94&lt;1,1/$U94,IF((FY$56-Voorblad!$F$41)/$U94-SUM($EE94:FX94)=1,1,0))))</f>
        <v>0</v>
      </c>
      <c r="FZ94" s="8">
        <f>IF(FZ$56-Voorblad!$F$41&gt;Voorblad!$K$41,0,IF($U94=0,0,IF($U94&lt;1,1/$U94,IF((FZ$56-Voorblad!$F$41)/$U94-SUM($EE94:FY94)=1,1,0))))</f>
        <v>0</v>
      </c>
      <c r="GA94" s="8">
        <f>IF(GA$56-Voorblad!$F$41&gt;Voorblad!$K$41,0,IF($U94=0,0,IF($U94&lt;1,1/$U94,IF((GA$56-Voorblad!$F$41)/$U94-SUM($EE94:FZ94)=1,1,0))))</f>
        <v>0</v>
      </c>
      <c r="GB94" s="8">
        <f>IF(GB$56-Voorblad!$F$41&gt;Voorblad!$K$41,0,IF($U94=0,0,IF($U94&lt;1,1/$U94,IF((GB$56-Voorblad!$F$41)/$U94-SUM($EE94:GA94)=1,1,0))))</f>
        <v>0</v>
      </c>
      <c r="GC94" s="8">
        <f>IF(GC$56-Voorblad!$F$41&gt;Voorblad!$K$41,0,IF($U94=0,0,IF($U94&lt;1,1/$U94,IF((GC$56-Voorblad!$F$41)/$U94-SUM($EE94:GB94)=1,1,0))))</f>
        <v>0</v>
      </c>
      <c r="GD94" s="8">
        <f>IF(GD$56-Voorblad!$F$41&gt;Voorblad!$K$41,0,IF($U94=0,0,IF($U94&lt;1,1/$U94,IF((GD$56-Voorblad!$F$41)/$U94-SUM($EE94:GC94)=1,1,0))))</f>
        <v>1</v>
      </c>
      <c r="GE94" s="8">
        <f>IF(GE$56-Voorblad!$F$41&gt;Voorblad!$K$41,0,IF($U94=0,0,IF($U94&lt;1,1/$U94,IF((GE$56-Voorblad!$F$41)/$U94-SUM($EE94:GD94)=1,1,0))))</f>
        <v>0</v>
      </c>
      <c r="GF94" s="8">
        <f>IF(GF$56-Voorblad!$F$41&gt;Voorblad!$K$41,0,IF($U94=0,0,IF($U94&lt;1,1/$U94,IF((GF$56-Voorblad!$F$41)/$U94-SUM($EE94:GE94)=1,1,0))))</f>
        <v>0</v>
      </c>
      <c r="GG94" s="8">
        <f>IF(GG$56-Voorblad!$F$41&gt;Voorblad!$K$41,0,IF($U94=0,0,IF($U94&lt;1,1/$U94,IF((GG$56-Voorblad!$F$41)/$U94-SUM($EE94:GF94)=1,1,0))))</f>
        <v>0</v>
      </c>
      <c r="GH94" s="8">
        <f>IF(GH$56-Voorblad!$F$41&gt;Voorblad!$K$41,0,IF($U94=0,0,IF($U94&lt;1,1/$U94,IF((GH$56-Voorblad!$F$41)/$U94-SUM($EE94:GG94)=1,1,0))))</f>
        <v>0</v>
      </c>
      <c r="GI94" s="8">
        <f>IF(GI$56-Voorblad!$F$41&gt;Voorblad!$K$41,0,IF($U94=0,0,IF($U94&lt;1,1/$U94,IF((GI$56-Voorblad!$F$41)/$U94-SUM($EE94:GH94)=1,1,0))))</f>
        <v>0</v>
      </c>
      <c r="GJ94" s="8">
        <f>IF(GJ$56-Voorblad!$F$41&gt;Voorblad!$K$41,0,IF($U94=0,0,IF($U94&lt;1,1/$U94,IF((GJ$56-Voorblad!$F$41)/$U94-SUM($EE94:GI94)=1,1,0))))</f>
        <v>0</v>
      </c>
      <c r="GK94" s="8">
        <f>IF(GK$56-Voorblad!$F$41&gt;Voorblad!$K$41,0,IF($U94=0,0,IF($U94&lt;1,1/$U94,IF((GK$56-Voorblad!$F$41)/$U94-SUM($EE94:GJ94)=1,1,0))))</f>
        <v>0</v>
      </c>
      <c r="GL94" s="8">
        <f>IF(GL$56-Voorblad!$F$41&gt;Voorblad!$K$41,0,IF($U94=0,0,IF($U94&lt;1,1/$U94,IF((GL$56-Voorblad!$F$41)/$U94-SUM($EE94:GK94)=1,1,0))))</f>
        <v>0</v>
      </c>
      <c r="GM94" s="8">
        <f>IF(GM$56-Voorblad!$F$41&gt;Voorblad!$K$41,0,IF($U94=0,0,IF($U94&lt;1,1/$U94,IF((GM$56-Voorblad!$F$41)/$U94-SUM($EE94:GL94)=1,1,0))))</f>
        <v>0</v>
      </c>
      <c r="GN94" s="8">
        <f>IF(GN$56-Voorblad!$F$41&gt;Voorblad!$K$41,0,IF($U94=0,0,IF($U94&lt;1,1/$U94,IF((GN$56-Voorblad!$F$41)/$U94-SUM($EE94:GM94)=1,1,0))))</f>
        <v>0</v>
      </c>
      <c r="GO94" s="8">
        <f>IF(GO$56-Voorblad!$F$41&gt;Voorblad!$K$41,0,IF($U94=0,0,IF($U94&lt;1,1/$U94,IF((GO$56-Voorblad!$F$41)/$U94-SUM($EE94:GN94)=1,1,0))))</f>
        <v>0</v>
      </c>
      <c r="GP94" s="8">
        <f>IF(GP$56-Voorblad!$F$41&gt;Voorblad!$K$41,0,IF($U94=0,0,IF($U94&lt;1,1/$U94,IF((GP$56-Voorblad!$F$41)/$U94-SUM($EE94:GO94)=1,1,0))))</f>
        <v>0</v>
      </c>
      <c r="GQ94" s="8">
        <f>IF(GQ$56-Voorblad!$F$41&gt;Voorblad!$K$41,0,IF($U94=0,0,IF($U94&lt;1,1/$U94,IF((GQ$56-Voorblad!$F$41)/$U94-SUM($EE94:GP94)=1,1,0))))</f>
        <v>0</v>
      </c>
      <c r="GR94" s="8">
        <f>IF(GR$56-Voorblad!$F$41&gt;Voorblad!$K$41,0,IF($U94=0,0,IF($U94&lt;1,1/$U94,IF((GR$56-Voorblad!$F$41)/$U94-SUM($EE94:GQ94)=1,1,0))))</f>
        <v>0</v>
      </c>
      <c r="GS94" s="8">
        <f>IF(GS$56-Voorblad!$F$41&gt;Voorblad!$K$41,0,IF($U94=0,0,IF($U94&lt;1,1/$U94,IF((GS$56-Voorblad!$F$41)/$U94-SUM($EE94:GR94)=1,1,0))))</f>
        <v>0</v>
      </c>
      <c r="GT94" s="8">
        <f>IF(GT$56-Voorblad!$F$41&gt;Voorblad!$K$41,0,IF($U94=0,0,IF($U94&lt;1,1/$U94,IF((GT$56-Voorblad!$F$41)/$U94-SUM($EE94:GS94)=1,1,0))))</f>
        <v>0</v>
      </c>
      <c r="GU94" s="8">
        <f>IF(GU$56-Voorblad!$F$41&gt;Voorblad!$K$41,0,IF($U94=0,0,IF($U94&lt;1,1/$U94,IF((GU$56-Voorblad!$F$41)/$U94-SUM($EE94:GT94)=1,1,0))))</f>
        <v>0</v>
      </c>
      <c r="GV94" s="8">
        <f>IF(GV$56-Voorblad!$F$41&gt;Voorblad!$K$41,0,IF($U94=0,0,IF($U94&lt;1,1/$U94,IF((GV$56-Voorblad!$F$41)/$U94-SUM($EE94:GU94)=1,1,0))))</f>
        <v>0</v>
      </c>
      <c r="GW94" s="8">
        <f>IF(GW$56-Voorblad!$F$41&gt;Voorblad!$K$41,0,IF($U94=0,0,IF($U94&lt;1,1/$U94,IF((GW$56-Voorblad!$F$41)/$U94-SUM($EE94:GV94)=1,1,0))))</f>
        <v>0</v>
      </c>
      <c r="GX94" s="8">
        <f>IF(GX$56-Voorblad!$F$41&gt;Voorblad!$K$41,0,IF($U94=0,0,IF($U94&lt;1,1/$U94,IF((GX$56-Voorblad!$F$41)/$U94-SUM($EE94:GW94)=1,1,0))))</f>
        <v>0</v>
      </c>
      <c r="GY94" s="8">
        <f>IF(GY$56-Voorblad!$F$41&gt;Voorblad!$K$41,0,IF($U94=0,0,IF($U94&lt;1,1/$U94,IF((GY$56-Voorblad!$F$41)/$U94-SUM($EE94:GX94)=1,1,0))))</f>
        <v>0</v>
      </c>
      <c r="GZ94" s="8">
        <f>IF(GZ$56-Voorblad!$F$41&gt;Voorblad!$K$41,0,IF($U94=0,0,IF($U94&lt;1,1/$U94,IF((GZ$56-Voorblad!$F$41)/$U94-SUM($EE94:GY94)=1,1,0))))</f>
        <v>0</v>
      </c>
      <c r="HA94" s="8">
        <f>IF(HA$56-Voorblad!$F$41&gt;Voorblad!$K$41,0,IF($U94=0,0,IF($U94&lt;1,1/$U94,IF((HA$56-Voorblad!$F$41)/$U94-SUM($EE94:GZ94)=1,1,0))))</f>
        <v>0</v>
      </c>
      <c r="HB94" s="8">
        <f>IF(HB$56-Voorblad!$F$41&gt;Voorblad!$K$41,0,IF($U94=0,0,IF($U94&lt;1,1/$U94,IF((HB$56-Voorblad!$F$41)/$U94-SUM($EE94:HA94)=1,1,0))))</f>
        <v>0</v>
      </c>
      <c r="HC94" s="8">
        <f>IF(HC$56-Voorblad!$F$41&gt;Voorblad!$K$41,0,IF($U94=0,0,IF($U94&lt;1,1/$U94,IF((HC$56-Voorblad!$F$41)/$U94-SUM($EE94:HB94)=1,1,0))))</f>
        <v>0</v>
      </c>
      <c r="HD94" s="8">
        <f>IF(HD$56-Voorblad!$F$41&gt;Voorblad!$K$41,0,IF($U94=0,0,IF($U94&lt;1,1/$U94,IF((HD$56-Voorblad!$F$41)/$U94-SUM($EE94:HC94)=1,1,0))))</f>
        <v>0</v>
      </c>
      <c r="HE94" s="8">
        <f>IF(HE$56-Voorblad!$F$41&gt;Voorblad!$K$41,0,IF($U94=0,0,IF($U94&lt;1,1/$U94,IF((HE$56-Voorblad!$F$41)/$U94-SUM($EE94:HD94)=1,1,0))))</f>
        <v>0</v>
      </c>
      <c r="HF94" s="8">
        <f>IF(HF$56-Voorblad!$F$41&gt;Voorblad!$K$41,0,IF($U94=0,0,IF($U94&lt;1,1/$U94,IF((HF$56-Voorblad!$F$41)/$U94-SUM($EE94:HE94)=1,1,0))))</f>
        <v>0</v>
      </c>
      <c r="HG94" s="8">
        <f>IF(HG$56-Voorblad!$F$41&gt;Voorblad!$K$41,0,IF($U94=0,0,IF($U94&lt;1,1/$U94,IF((HG$56-Voorblad!$F$41)/$U94-SUM($EE94:HF94)=1,1,0))))</f>
        <v>0</v>
      </c>
      <c r="HH94" s="8">
        <f>IF(HH$56-Voorblad!$F$41&gt;Voorblad!$K$41,0,IF($U94=0,0,IF($U94&lt;1,1/$U94,IF((HH$56-Voorblad!$F$41)/$U94-SUM($EE94:HG94)=1,1,0))))</f>
        <v>0</v>
      </c>
      <c r="HI94" s="8">
        <f>IF(HI$56-Voorblad!$F$41&gt;Voorblad!$K$41,0,IF($U94=0,0,IF($U94&lt;1,1/$U94,IF((HI$56-Voorblad!$F$41)/$U94-SUM($EE94:HH94)=1,1,0))))</f>
        <v>0</v>
      </c>
      <c r="HJ94" s="8">
        <f>IF(HJ$56-Voorblad!$F$41&gt;Voorblad!$K$41,0,IF($U94=0,0,IF($U94&lt;1,1/$U94,IF((HJ$56-Voorblad!$F$41)/$U94-SUM($EE94:HI94)=1,1,0))))</f>
        <v>0</v>
      </c>
      <c r="HK94" s="8">
        <f>IF(HK$56-Voorblad!$F$41&gt;Voorblad!$K$41,0,IF($U94=0,0,IF($U94&lt;1,1/$U94,IF((HK$56-Voorblad!$F$41)/$U94-SUM($EE94:HJ94)=1,1,0))))</f>
        <v>0</v>
      </c>
      <c r="HL94" s="8">
        <f>IF(HL$56-Voorblad!$F$41&gt;Voorblad!$K$41,0,IF($U94=0,0,IF($U94&lt;1,1/$U94,IF((HL$56-Voorblad!$F$41)/$U94-SUM($EE94:HK94)=1,1,0))))</f>
        <v>0</v>
      </c>
      <c r="HM94" s="8">
        <f>IF(HM$56-Voorblad!$F$41&gt;Voorblad!$K$41,0,IF($U94=0,0,IF($U94&lt;1,1/$U94,IF((HM$56-Voorblad!$F$41)/$U94-SUM($EE94:HL94)=1,1,0))))</f>
        <v>0</v>
      </c>
      <c r="HN94" s="8">
        <f>IF(HN$56-Voorblad!$F$41&gt;Voorblad!$K$41,0,IF($U94=0,0,IF($U94&lt;1,1/$U94,IF((HN$56-Voorblad!$F$41)/$U94-SUM($EE94:HM94)=1,1,0))))</f>
        <v>0</v>
      </c>
      <c r="HO94" s="8">
        <f>IF(HO$56-Voorblad!$F$41&gt;Voorblad!$K$41,0,IF($U94=0,0,IF($U94&lt;1,1/$U94,IF((HO$56-Voorblad!$F$41)/$U94-SUM($EE94:HN94)=1,1,0))))</f>
        <v>0</v>
      </c>
      <c r="HP94" s="8">
        <f>IF(HP$56-Voorblad!$F$41&gt;Voorblad!$K$41,0,IF($U94=0,0,IF($U94&lt;1,1/$U94,IF((HP$56-Voorblad!$F$41)/$U94-SUM($EE94:HO94)=1,1,0))))</f>
        <v>0</v>
      </c>
      <c r="HQ94" s="8">
        <f>IF(HQ$56-Voorblad!$F$41&gt;Voorblad!$K$41,0,IF($U94=0,0,IF($U94&lt;1,1/$U94,IF((HQ$56-Voorblad!$F$41)/$U94-SUM($EE94:HP94)=1,1,0))))</f>
        <v>0</v>
      </c>
      <c r="HR94" s="8">
        <f>IF(HR$56-Voorblad!$F$41&gt;Voorblad!$K$41,0,IF($U94=0,0,IF($U94&lt;1,1/$U94,IF((HR$56-Voorblad!$F$41)/$U94-SUM($EE94:HQ94)=1,1,0))))</f>
        <v>0</v>
      </c>
      <c r="HS94" s="8">
        <f>IF(HS$56-Voorblad!$F$41&gt;Voorblad!$K$41,0,IF($U94=0,0,IF($U94&lt;1,1/$U94,IF((HS$56-Voorblad!$F$41)/$U94-SUM($EE94:HR94)=1,1,0))))</f>
        <v>0</v>
      </c>
      <c r="HT94" s="8">
        <f>IF(HT$56-Voorblad!$F$41&gt;Voorblad!$K$41,0,IF($U94=0,0,IF($U94&lt;1,1/$U94,IF((HT$56-Voorblad!$F$41)/$U94-SUM($EE94:HS94)=1,1,0))))</f>
        <v>0</v>
      </c>
      <c r="HU94" s="8">
        <f>IF(HU$56-Voorblad!$F$41&gt;Voorblad!$K$41,0,IF($U94=0,0,IF($U94&lt;1,1/$U94,IF((HU$56-Voorblad!$F$41)/$U94-SUM($EE94:HT94)=1,1,0))))</f>
        <v>0</v>
      </c>
      <c r="HV94" s="8">
        <f>IF(HV$56-Voorblad!$F$41&gt;Voorblad!$K$41,0,IF($U94=0,0,IF($U94&lt;1,1/$U94,IF((HV$56-Voorblad!$F$41)/$U94-SUM($EE94:HU94)=1,1,0))))</f>
        <v>0</v>
      </c>
      <c r="HW94" s="8">
        <f>IF(HW$56-Voorblad!$F$41&gt;Voorblad!$K$41,0,IF($U94=0,0,IF($U94&lt;1,1/$U94,IF((HW$56-Voorblad!$F$41)/$U94-SUM($EE94:HV94)=1,1,0))))</f>
        <v>0</v>
      </c>
      <c r="HX94" s="8">
        <f>IF(HX$56-Voorblad!$F$41&gt;Voorblad!$K$41,0,IF($U94=0,0,IF($U94&lt;1,1/$U94,IF((HX$56-Voorblad!$F$41)/$U94-SUM($EE94:HW94)=1,1,0))))</f>
        <v>0</v>
      </c>
      <c r="HY94" s="8">
        <f>IF(HY$56-Voorblad!$F$41&gt;Voorblad!$K$41,0,IF($U94=0,0,IF($U94&lt;1,1/$U94,IF((HY$56-Voorblad!$F$41)/$U94-SUM($EE94:HX94)=1,1,0))))</f>
        <v>0</v>
      </c>
      <c r="HZ94" s="8">
        <f>IF(HZ$56-Voorblad!$F$41&gt;Voorblad!$K$41,0,IF($U94=0,0,IF($U94&lt;1,1/$U94,IF((HZ$56-Voorblad!$F$41)/$U94-SUM($EE94:HY94)=1,1,0))))</f>
        <v>0</v>
      </c>
      <c r="IA94" s="8">
        <f>IF(IA$56-Voorblad!$F$41&gt;Voorblad!$K$41,0,IF($U94=0,0,IF($U94&lt;1,1/$U94,IF((IA$56-Voorblad!$F$41)/$U94-SUM($EE94:HZ94)=1,1,0))))</f>
        <v>0</v>
      </c>
      <c r="IB94" s="8">
        <f>IF(IB$56-Voorblad!$F$41&gt;Voorblad!$K$41,0,IF($U94=0,0,IF($U94&lt;1,1/$U94,IF((IB$56-Voorblad!$F$41)/$U94-SUM($EE94:IA94)=1,1,0))))</f>
        <v>0</v>
      </c>
    </row>
    <row r="95" spans="2:236" hidden="1" outlineLevel="1" x14ac:dyDescent="0.25">
      <c r="B95" s="2" t="s">
        <v>270</v>
      </c>
      <c r="C95" s="2"/>
      <c r="N95" s="3"/>
      <c r="P95" s="6"/>
      <c r="S95" s="14"/>
      <c r="U95" s="14"/>
      <c r="V95" s="14"/>
      <c r="Y95" s="23">
        <f>SUM(Y76:Y94)</f>
        <v>0</v>
      </c>
      <c r="Z95" s="24"/>
      <c r="AA95" s="23">
        <f>SUM(AA76:AA94)</f>
        <v>0</v>
      </c>
      <c r="AC95" s="9">
        <f>$Y95*(Voorblad!$K$44*(1+Voorblad!$K$44)^Voorblad!$K$41)/((1+Voorblad!$K$44)^Voorblad!$K$41-1)</f>
        <v>0</v>
      </c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</row>
    <row r="96" spans="2:236" hidden="1" outlineLevel="1" x14ac:dyDescent="0.25">
      <c r="N96" s="3"/>
      <c r="P96" s="6"/>
      <c r="S96" s="14"/>
      <c r="U96" s="14"/>
      <c r="V96" s="14"/>
      <c r="Y96" s="9"/>
      <c r="Z96" s="9"/>
      <c r="AA96" s="9"/>
      <c r="AC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E96" s="8"/>
      <c r="EF96" s="8"/>
      <c r="EG96" s="8"/>
      <c r="EH96" s="8"/>
      <c r="EI96" s="8"/>
      <c r="EJ96" s="8"/>
      <c r="EK96" s="8"/>
      <c r="EL96" s="8"/>
      <c r="EM96" s="8"/>
      <c r="EN96" s="8"/>
      <c r="EO96" s="8"/>
      <c r="EP96" s="8"/>
      <c r="EQ96" s="8"/>
      <c r="ER96" s="8"/>
      <c r="ES96" s="8"/>
      <c r="ET96" s="8"/>
      <c r="EU96" s="8"/>
      <c r="EV96" s="8"/>
      <c r="EW96" s="8"/>
      <c r="EX96" s="8"/>
      <c r="EY96" s="8"/>
      <c r="EZ96" s="8"/>
      <c r="FA96" s="8"/>
      <c r="FB96" s="8"/>
      <c r="FC96" s="8"/>
      <c r="FD96" s="8"/>
      <c r="FE96" s="8"/>
      <c r="FF96" s="8"/>
      <c r="FG96" s="8"/>
      <c r="FH96" s="8"/>
      <c r="FI96" s="8"/>
      <c r="FJ96" s="8"/>
      <c r="FK96" s="8"/>
      <c r="FL96" s="8"/>
      <c r="FM96" s="8"/>
      <c r="FN96" s="8"/>
      <c r="FO96" s="8"/>
      <c r="FP96" s="8"/>
      <c r="FQ96" s="8"/>
      <c r="FR96" s="8"/>
      <c r="FS96" s="8"/>
      <c r="FT96" s="8"/>
      <c r="FU96" s="8"/>
      <c r="FV96" s="8"/>
      <c r="FW96" s="8"/>
      <c r="FX96" s="8"/>
      <c r="FY96" s="8"/>
      <c r="FZ96" s="8"/>
      <c r="GA96" s="8"/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</row>
    <row r="97" spans="2:236" hidden="1" outlineLevel="1" x14ac:dyDescent="0.25">
      <c r="B97" s="14">
        <v>1</v>
      </c>
      <c r="C97" s="14"/>
      <c r="F97" s="1" t="s">
        <v>26</v>
      </c>
      <c r="I97" s="1" t="s">
        <v>49</v>
      </c>
      <c r="K97" s="1" t="s">
        <v>60</v>
      </c>
      <c r="N97" s="3"/>
      <c r="O97" s="1" t="s">
        <v>57</v>
      </c>
      <c r="Q97" s="81">
        <v>0</v>
      </c>
      <c r="R97" s="81" t="s">
        <v>33</v>
      </c>
      <c r="S97" s="81">
        <v>0</v>
      </c>
      <c r="T97" s="14">
        <f t="shared" ref="T97:T104" si="19">Q97*S97</f>
        <v>0</v>
      </c>
      <c r="U97" s="11">
        <v>1</v>
      </c>
      <c r="V97" s="14">
        <f>Voorblad!F24+100</f>
        <v>2101</v>
      </c>
      <c r="W97" s="9">
        <f>Voorblad!K73</f>
        <v>0</v>
      </c>
      <c r="X97" s="6"/>
      <c r="Y97" s="9">
        <f t="shared" si="11"/>
        <v>0</v>
      </c>
      <c r="Z97" s="82"/>
      <c r="AA97" s="82"/>
      <c r="AC97" s="9">
        <f>$Y97*(Voorblad!$K$44*(1+Voorblad!$K$44)^Voorblad!$K$41)/((1+Voorblad!$K$44)^Voorblad!$K$41-1)</f>
        <v>0</v>
      </c>
      <c r="AE97" s="9">
        <f>IF($W97=AE$56,EF97*($Q97*$S97)/(1+Voorblad!$K$44)^(AE$56-Voorblad!$F$41),0)</f>
        <v>0</v>
      </c>
      <c r="AF97" s="9">
        <f>IF($W97=AF$56,EG97*($Q97*$S97)/(1+Voorblad!$K$44)^(AF$56-Voorblad!$F$41),0)</f>
        <v>0</v>
      </c>
      <c r="AG97" s="9">
        <f>IF($W97=AG$56,EH97*($Q97*$S97)/(1+Voorblad!$K$44)^(AG$56-Voorblad!$F$41),0)</f>
        <v>0</v>
      </c>
      <c r="AH97" s="9">
        <f>IF($W97=AH$56,EI97*($Q97*$S97)/(1+Voorblad!$K$44)^(AH$56-Voorblad!$F$41),0)</f>
        <v>0</v>
      </c>
      <c r="AI97" s="9">
        <f>IF($W97=AI$56,EJ97*($Q97*$S97)/(1+Voorblad!$K$44)^(AI$56-Voorblad!$F$41),0)</f>
        <v>0</v>
      </c>
      <c r="AJ97" s="9">
        <f>IF($W97=AJ$56,EK97*($Q97*$S97)/(1+Voorblad!$K$44)^(AJ$56-Voorblad!$F$41),0)</f>
        <v>0</v>
      </c>
      <c r="AK97" s="9">
        <f>IF($W97=AK$56,EL97*($Q97*$S97)/(1+Voorblad!$K$44)^(AK$56-Voorblad!$F$41),0)</f>
        <v>0</v>
      </c>
      <c r="AL97" s="9">
        <f>IF($W97=AL$56,EM97*($Q97*$S97)/(1+Voorblad!$K$44)^(AL$56-Voorblad!$F$41),0)</f>
        <v>0</v>
      </c>
      <c r="AM97" s="9">
        <f>IF($W97=AM$56,EN97*($Q97*$S97)/(1+Voorblad!$K$44)^(AM$56-Voorblad!$F$41),0)</f>
        <v>0</v>
      </c>
      <c r="AN97" s="9">
        <f>IF($W97=AN$56,EO97*($Q97*$S97)/(1+Voorblad!$K$44)^(AN$56-Voorblad!$F$41),0)</f>
        <v>0</v>
      </c>
      <c r="AO97" s="9">
        <f>IF($W97=AO$56,EP97*($Q97*$S97)/(1+Voorblad!$K$44)^(AO$56-Voorblad!$F$41),0)</f>
        <v>0</v>
      </c>
      <c r="AP97" s="9">
        <f>IF($W97=AP$56,EQ97*($Q97*$S97)/(1+Voorblad!$K$44)^(AP$56-Voorblad!$F$41),0)</f>
        <v>0</v>
      </c>
      <c r="AQ97" s="9">
        <f>IF($W97=AQ$56,ER97*($Q97*$S97)/(1+Voorblad!$K$44)^(AQ$56-Voorblad!$F$41),0)</f>
        <v>0</v>
      </c>
      <c r="AR97" s="9">
        <f>IF($W97=AR$56,ES97*($Q97*$S97)/(1+Voorblad!$K$44)^(AR$56-Voorblad!$F$41),0)</f>
        <v>0</v>
      </c>
      <c r="AS97" s="9">
        <f>IF($W97=AS$56,ET97*($Q97*$S97)/(1+Voorblad!$K$44)^(AS$56-Voorblad!$F$41),0)</f>
        <v>0</v>
      </c>
      <c r="AT97" s="9">
        <f>IF($W97=AT$56,EU97*($Q97*$S97)/(1+Voorblad!$K$44)^(AT$56-Voorblad!$F$41),0)</f>
        <v>0</v>
      </c>
      <c r="AU97" s="9">
        <f>IF($W97=AU$56,EV97*($Q97*$S97)/(1+Voorblad!$K$44)^(AU$56-Voorblad!$F$41),0)</f>
        <v>0</v>
      </c>
      <c r="AV97" s="9">
        <f>IF($W97=AV$56,EW97*($Q97*$S97)/(1+Voorblad!$K$44)^(AV$56-Voorblad!$F$41),0)</f>
        <v>0</v>
      </c>
      <c r="AW97" s="9">
        <f>IF($W97=AW$56,EX97*($Q97*$S97)/(1+Voorblad!$K$44)^(AW$56-Voorblad!$F$41),0)</f>
        <v>0</v>
      </c>
      <c r="AX97" s="9">
        <f>IF($W97=AX$56,EY97*($Q97*$S97)/(1+Voorblad!$K$44)^(AX$56-Voorblad!$F$41),0)</f>
        <v>0</v>
      </c>
      <c r="AY97" s="9">
        <f>IF($W97=AY$56,EZ97*($Q97*$S97)/(1+Voorblad!$K$44)^(AY$56-Voorblad!$F$41),0)</f>
        <v>0</v>
      </c>
      <c r="AZ97" s="9">
        <f>IF($W97=AZ$56,FA97*($Q97*$S97)/(1+Voorblad!$K$44)^(AZ$56-Voorblad!$F$41),0)</f>
        <v>0</v>
      </c>
      <c r="BA97" s="9">
        <f>IF($W97=BA$56,FB97*($Q97*$S97)/(1+Voorblad!$K$44)^(BA$56-Voorblad!$F$41),0)</f>
        <v>0</v>
      </c>
      <c r="BB97" s="9">
        <f>IF($W97=BB$56,FC97*($Q97*$S97)/(1+Voorblad!$K$44)^(BB$56-Voorblad!$F$41),0)</f>
        <v>0</v>
      </c>
      <c r="BC97" s="9">
        <f>IF($W97=BC$56,FD97*($Q97*$S97)/(1+Voorblad!$K$44)^(BC$56-Voorblad!$F$41),0)</f>
        <v>0</v>
      </c>
      <c r="BD97" s="9">
        <f>IF($W97=BD$56,FE97*($Q97*$S97)/(1+Voorblad!$K$44)^(BD$56-Voorblad!$F$41),0)</f>
        <v>0</v>
      </c>
      <c r="BE97" s="9">
        <f>IF($W97=BE$56,FF97*($Q97*$S97)/(1+Voorblad!$K$44)^(BE$56-Voorblad!$F$41),0)</f>
        <v>0</v>
      </c>
      <c r="BF97" s="9">
        <f>IF($W97=BF$56,FG97*($Q97*$S97)/(1+Voorblad!$K$44)^(BF$56-Voorblad!$F$41),0)</f>
        <v>0</v>
      </c>
      <c r="BG97" s="9">
        <f>IF($W97=BG$56,FH97*($Q97*$S97)/(1+Voorblad!$K$44)^(BG$56-Voorblad!$F$41),0)</f>
        <v>0</v>
      </c>
      <c r="BH97" s="9">
        <f>IF($W97=BH$56,FI97*($Q97*$S97)/(1+Voorblad!$K$44)^(BH$56-Voorblad!$F$41),0)</f>
        <v>0</v>
      </c>
      <c r="BI97" s="9">
        <f>IF($W97=BI$56,FJ97*($Q97*$S97)/(1+Voorblad!$K$44)^(BI$56-Voorblad!$F$41),0)</f>
        <v>0</v>
      </c>
      <c r="BJ97" s="9">
        <f>IF($W97=BJ$56,FK97*($Q97*$S97)/(1+Voorblad!$K$44)^(BJ$56-Voorblad!$F$41),0)</f>
        <v>0</v>
      </c>
      <c r="BK97" s="9">
        <f>IF($W97=BK$56,FL97*($Q97*$S97)/(1+Voorblad!$K$44)^(BK$56-Voorblad!$F$41),0)</f>
        <v>0</v>
      </c>
      <c r="BL97" s="9">
        <f>IF($W97=BL$56,FM97*($Q97*$S97)/(1+Voorblad!$K$44)^(BL$56-Voorblad!$F$41),0)</f>
        <v>0</v>
      </c>
      <c r="BM97" s="9">
        <f>IF($W97=BM$56,FN97*($Q97*$S97)/(1+Voorblad!$K$44)^(BM$56-Voorblad!$F$41),0)</f>
        <v>0</v>
      </c>
      <c r="BN97" s="9">
        <f>IF($W97=BN$56,FO97*($Q97*$S97)/(1+Voorblad!$K$44)^(BN$56-Voorblad!$F$41),0)</f>
        <v>0</v>
      </c>
      <c r="BO97" s="9">
        <f>IF($W97=BO$56,FP97*($Q97*$S97)/(1+Voorblad!$K$44)^(BO$56-Voorblad!$F$41),0)</f>
        <v>0</v>
      </c>
      <c r="BP97" s="9">
        <f>IF($W97=BP$56,FQ97*($Q97*$S97)/(1+Voorblad!$K$44)^(BP$56-Voorblad!$F$41),0)</f>
        <v>0</v>
      </c>
      <c r="BQ97" s="9">
        <f>IF($W97=BQ$56,FR97*($Q97*$S97)/(1+Voorblad!$K$44)^(BQ$56-Voorblad!$F$41),0)</f>
        <v>0</v>
      </c>
      <c r="BR97" s="9">
        <f>IF($W97=BR$56,FS97*($Q97*$S97)/(1+Voorblad!$K$44)^(BR$56-Voorblad!$F$41),0)</f>
        <v>0</v>
      </c>
      <c r="BS97" s="9">
        <f>IF($W97=BS$56,FT97*($Q97*$S97)/(1+Voorblad!$K$44)^(BS$56-Voorblad!$F$41),0)</f>
        <v>0</v>
      </c>
      <c r="BT97" s="9">
        <f>IF($W97=BT$56,FU97*($Q97*$S97)/(1+Voorblad!$K$44)^(BT$56-Voorblad!$F$41),0)</f>
        <v>0</v>
      </c>
      <c r="BU97" s="9">
        <f>IF($W97=BU$56,FV97*($Q97*$S97)/(1+Voorblad!$K$44)^(BU$56-Voorblad!$F$41),0)</f>
        <v>0</v>
      </c>
      <c r="BV97" s="9">
        <f>IF($W97=BV$56,FW97*($Q97*$S97)/(1+Voorblad!$K$44)^(BV$56-Voorblad!$F$41),0)</f>
        <v>0</v>
      </c>
      <c r="BW97" s="9">
        <f>IF($W97=BW$56,FX97*($Q97*$S97)/(1+Voorblad!$K$44)^(BW$56-Voorblad!$F$41),0)</f>
        <v>0</v>
      </c>
      <c r="BX97" s="9">
        <f>IF($W97=BX$56,FY97*($Q97*$S97)/(1+Voorblad!$K$44)^(BX$56-Voorblad!$F$41),0)</f>
        <v>0</v>
      </c>
      <c r="BY97" s="9">
        <f>IF($W97=BY$56,FZ97*($Q97*$S97)/(1+Voorblad!$K$44)^(BY$56-Voorblad!$F$41),0)</f>
        <v>0</v>
      </c>
      <c r="BZ97" s="9">
        <f>IF($W97=BZ$56,GA97*($Q97*$S97)/(1+Voorblad!$K$44)^(BZ$56-Voorblad!$F$41),0)</f>
        <v>0</v>
      </c>
      <c r="CA97" s="9">
        <f>IF($W97=CA$56,GB97*($Q97*$S97)/(1+Voorblad!$K$44)^(CA$56-Voorblad!$F$41),0)</f>
        <v>0</v>
      </c>
      <c r="CB97" s="9">
        <f>IF($W97=CB$56,GC97*($Q97*$S97)/(1+Voorblad!$K$44)^(CB$56-Voorblad!$F$41),0)</f>
        <v>0</v>
      </c>
      <c r="CC97" s="9">
        <f>IF($W97=CC$56,GD97*($Q97*$S97)/(1+Voorblad!$K$44)^(CC$56-Voorblad!$F$41),0)</f>
        <v>0</v>
      </c>
      <c r="CD97" s="9">
        <f>IF($W97=CD$56,GE97*($Q97*$S97)/(1+Voorblad!$K$44)^(CD$56-Voorblad!$F$41),0)</f>
        <v>0</v>
      </c>
      <c r="CE97" s="9">
        <f>IF($W97=CE$56,GF97*($Q97*$S97)/(1+Voorblad!$K$44)^(CE$56-Voorblad!$F$41),0)</f>
        <v>0</v>
      </c>
      <c r="CF97" s="9">
        <f>IF($W97=CF$56,GG97*($Q97*$S97)/(1+Voorblad!$K$44)^(CF$56-Voorblad!$F$41),0)</f>
        <v>0</v>
      </c>
      <c r="CG97" s="9">
        <f>IF($W97=CG$56,GH97*($Q97*$S97)/(1+Voorblad!$K$44)^(CG$56-Voorblad!$F$41),0)</f>
        <v>0</v>
      </c>
      <c r="CH97" s="9">
        <f>IF($W97=CH$56,GI97*($Q97*$S97)/(1+Voorblad!$K$44)^(CH$56-Voorblad!$F$41),0)</f>
        <v>0</v>
      </c>
      <c r="CI97" s="9">
        <f>IF($W97=CI$56,GJ97*($Q97*$S97)/(1+Voorblad!$K$44)^(CI$56-Voorblad!$F$41),0)</f>
        <v>0</v>
      </c>
      <c r="CJ97" s="9">
        <f>IF($W97=CJ$56,GK97*($Q97*$S97)/(1+Voorblad!$K$44)^(CJ$56-Voorblad!$F$41),0)</f>
        <v>0</v>
      </c>
      <c r="CK97" s="9">
        <f>IF($W97=CK$56,GL97*($Q97*$S97)/(1+Voorblad!$K$44)^(CK$56-Voorblad!$F$41),0)</f>
        <v>0</v>
      </c>
      <c r="CL97" s="9">
        <f>IF($W97=CL$56,GM97*($Q97*$S97)/(1+Voorblad!$K$44)^(CL$56-Voorblad!$F$41),0)</f>
        <v>0</v>
      </c>
      <c r="CM97" s="9">
        <f>IF($W97=CM$56,GN97*($Q97*$S97)/(1+Voorblad!$K$44)^(CM$56-Voorblad!$F$41),0)</f>
        <v>0</v>
      </c>
      <c r="CN97" s="9">
        <f>IF($W97=CN$56,GO97*($Q97*$S97)/(1+Voorblad!$K$44)^(CN$56-Voorblad!$F$41),0)</f>
        <v>0</v>
      </c>
      <c r="CO97" s="9">
        <f>IF($W97=CO$56,GP97*($Q97*$S97)/(1+Voorblad!$K$44)^(CO$56-Voorblad!$F$41),0)</f>
        <v>0</v>
      </c>
      <c r="CP97" s="9">
        <f>IF($W97=CP$56,GQ97*($Q97*$S97)/(1+Voorblad!$K$44)^(CP$56-Voorblad!$F$41),0)</f>
        <v>0</v>
      </c>
      <c r="CQ97" s="9">
        <f>IF($W97=CQ$56,GR97*($Q97*$S97)/(1+Voorblad!$K$44)^(CQ$56-Voorblad!$F$41),0)</f>
        <v>0</v>
      </c>
      <c r="CR97" s="9">
        <f>IF($W97=CR$56,GS97*($Q97*$S97)/(1+Voorblad!$K$44)^(CR$56-Voorblad!$F$41),0)</f>
        <v>0</v>
      </c>
      <c r="CS97" s="9">
        <f>IF($W97=CS$56,GT97*($Q97*$S97)/(1+Voorblad!$K$44)^(CS$56-Voorblad!$F$41),0)</f>
        <v>0</v>
      </c>
      <c r="CT97" s="9">
        <f>IF($W97=CT$56,GU97*($Q97*$S97)/(1+Voorblad!$K$44)^(CT$56-Voorblad!$F$41),0)</f>
        <v>0</v>
      </c>
      <c r="CU97" s="9">
        <f>IF($W97=CU$56,GV97*($Q97*$S97)/(1+Voorblad!$K$44)^(CU$56-Voorblad!$F$41),0)</f>
        <v>0</v>
      </c>
      <c r="CV97" s="9">
        <f>IF($W97=CV$56,GW97*($Q97*$S97)/(1+Voorblad!$K$44)^(CV$56-Voorblad!$F$41),0)</f>
        <v>0</v>
      </c>
      <c r="CW97" s="9">
        <f>IF($W97=CW$56,GX97*($Q97*$S97)/(1+Voorblad!$K$44)^(CW$56-Voorblad!$F$41),0)</f>
        <v>0</v>
      </c>
      <c r="CX97" s="9">
        <f>IF($W97=CX$56,GY97*($Q97*$S97)/(1+Voorblad!$K$44)^(CX$56-Voorblad!$F$41),0)</f>
        <v>0</v>
      </c>
      <c r="CY97" s="9">
        <f>IF($W97=CY$56,GZ97*($Q97*$S97)/(1+Voorblad!$K$44)^(CY$56-Voorblad!$F$41),0)</f>
        <v>0</v>
      </c>
      <c r="CZ97" s="9">
        <f>IF($W97=CZ$56,HA97*($Q97*$S97)/(1+Voorblad!$K$44)^(CZ$56-Voorblad!$F$41),0)</f>
        <v>0</v>
      </c>
      <c r="DA97" s="9">
        <f>IF($W97=DA$56,HB97*($Q97*$S97)/(1+Voorblad!$K$44)^(DA$56-Voorblad!$F$41),0)</f>
        <v>0</v>
      </c>
      <c r="DB97" s="9">
        <f>IF($W97=DB$56,HC97*($Q97*$S97)/(1+Voorblad!$K$44)^(DB$56-Voorblad!$F$41),0)</f>
        <v>0</v>
      </c>
      <c r="DC97" s="9">
        <f>IF($W97=DC$56,HD97*($Q97*$S97)/(1+Voorblad!$K$44)^(DC$56-Voorblad!$F$41),0)</f>
        <v>0</v>
      </c>
      <c r="DD97" s="9">
        <f>IF($W97=DD$56,HE97*($Q97*$S97)/(1+Voorblad!$K$44)^(DD$56-Voorblad!$F$41),0)</f>
        <v>0</v>
      </c>
      <c r="DE97" s="9">
        <f>IF($W97=DE$56,HF97*($Q97*$S97)/(1+Voorblad!$K$44)^(DE$56-Voorblad!$F$41),0)</f>
        <v>0</v>
      </c>
      <c r="DF97" s="9">
        <f>IF($W97=DF$56,HG97*($Q97*$S97)/(1+Voorblad!$K$44)^(DF$56-Voorblad!$F$41),0)</f>
        <v>0</v>
      </c>
      <c r="DG97" s="9">
        <f>IF($W97=DG$56,HH97*($Q97*$S97)/(1+Voorblad!$K$44)^(DG$56-Voorblad!$F$41),0)</f>
        <v>0</v>
      </c>
      <c r="DH97" s="9">
        <f>IF($W97=DH$56,HI97*($Q97*$S97)/(1+Voorblad!$K$44)^(DH$56-Voorblad!$F$41),0)</f>
        <v>0</v>
      </c>
      <c r="DI97" s="9">
        <f>IF($W97=DI$56,HJ97*($Q97*$S97)/(1+Voorblad!$K$44)^(DI$56-Voorblad!$F$41),0)</f>
        <v>0</v>
      </c>
      <c r="DJ97" s="9">
        <f>IF($W97=DJ$56,HK97*($Q97*$S97)/(1+Voorblad!$K$44)^(DJ$56-Voorblad!$F$41),0)</f>
        <v>0</v>
      </c>
      <c r="DK97" s="9">
        <f>IF($W97=DK$56,HL97*($Q97*$S97)/(1+Voorblad!$K$44)^(DK$56-Voorblad!$F$41),0)</f>
        <v>0</v>
      </c>
      <c r="DL97" s="9">
        <f>IF($W97=DL$56,HM97*($Q97*$S97)/(1+Voorblad!$K$44)^(DL$56-Voorblad!$F$41),0)</f>
        <v>0</v>
      </c>
      <c r="DM97" s="9">
        <f>IF($W97=DM$56,HN97*($Q97*$S97)/(1+Voorblad!$K$44)^(DM$56-Voorblad!$F$41),0)</f>
        <v>0</v>
      </c>
      <c r="DN97" s="9">
        <f>IF($W97=DN$56,HO97*($Q97*$S97)/(1+Voorblad!$K$44)^(DN$56-Voorblad!$F$41),0)</f>
        <v>0</v>
      </c>
      <c r="DO97" s="9">
        <f>IF($W97=DO$56,HP97*($Q97*$S97)/(1+Voorblad!$K$44)^(DO$56-Voorblad!$F$41),0)</f>
        <v>0</v>
      </c>
      <c r="DP97" s="9">
        <f>IF($W97=DP$56,HQ97*($Q97*$S97)/(1+Voorblad!$K$44)^(DP$56-Voorblad!$F$41),0)</f>
        <v>0</v>
      </c>
      <c r="DQ97" s="9">
        <f>IF($W97=DQ$56,HR97*($Q97*$S97)/(1+Voorblad!$K$44)^(DQ$56-Voorblad!$F$41),0)</f>
        <v>0</v>
      </c>
      <c r="DR97" s="9">
        <f>IF($W97=DR$56,HS97*($Q97*$S97)/(1+Voorblad!$K$44)^(DR$56-Voorblad!$F$41),0)</f>
        <v>0</v>
      </c>
      <c r="DS97" s="9">
        <f>IF($W97=DS$56,HT97*($Q97*$S97)/(1+Voorblad!$K$44)^(DS$56-Voorblad!$F$41),0)</f>
        <v>0</v>
      </c>
      <c r="DT97" s="9">
        <f>IF($W97=DT$56,HU97*($Q97*$S97)/(1+Voorblad!$K$44)^(DT$56-Voorblad!$F$41),0)</f>
        <v>0</v>
      </c>
      <c r="DU97" s="9">
        <f>IF($W97=DU$56,HV97*($Q97*$S97)/(1+Voorblad!$K$44)^(DU$56-Voorblad!$F$41),0)</f>
        <v>0</v>
      </c>
      <c r="DV97" s="9">
        <f>IF($W97=DV$56,HW97*($Q97*$S97)/(1+Voorblad!$K$44)^(DV$56-Voorblad!$F$41),0)</f>
        <v>0</v>
      </c>
      <c r="DW97" s="9">
        <f>IF($W97=DW$56,HX97*($Q97*$S97)/(1+Voorblad!$K$44)^(DW$56-Voorblad!$F$41),0)</f>
        <v>0</v>
      </c>
      <c r="DX97" s="9">
        <f>IF($W97=DX$56,HY97*($Q97*$S97)/(1+Voorblad!$K$44)^(DX$56-Voorblad!$F$41),0)</f>
        <v>0</v>
      </c>
      <c r="DY97" s="9">
        <f>IF($W97=DY$56,HZ97*($Q97*$S97)/(1+Voorblad!$K$44)^(DY$56-Voorblad!$F$41),0)</f>
        <v>0</v>
      </c>
      <c r="DZ97" s="9">
        <f>IF($W97=DZ$56,IA97*($Q97*$S97)/(1+Voorblad!$K$44)^(DZ$56-Voorblad!$F$41),0)</f>
        <v>0</v>
      </c>
      <c r="EA97" s="9">
        <f>IF($W97=EA$56,IB97*($Q97*$S97)/(1+Voorblad!$K$44)^(EA$56-Voorblad!$F$41),0)</f>
        <v>0</v>
      </c>
      <c r="EB97" s="9">
        <f>IF($W97=EB$56,IC97*($Q97*$S97)/(1+Voorblad!$K$44)^(EB$56-Voorblad!$F$41),0)</f>
        <v>0</v>
      </c>
      <c r="EE97" s="8">
        <v>0</v>
      </c>
      <c r="EF97" s="8">
        <f>IF(EF$56-Voorblad!$F$41&gt;Voorblad!$K$41,0,IF($U97=0,0,IF($U97&lt;1,1/$U97,IF((EF$56-Voorblad!$F$41)/$U97-SUM($EE97:EE97)=1,1,0))))</f>
        <v>0</v>
      </c>
      <c r="EG97" s="8">
        <f>IF(EG$56-Voorblad!$F$41&gt;Voorblad!$K$41,0,IF($U97=0,0,IF($U97&lt;1,1/$U97,IF((EG$56-Voorblad!$F$41)/$U97-SUM($EE97:EF97)=1,1,0))))</f>
        <v>1</v>
      </c>
      <c r="EH97" s="8">
        <f>IF(EH$56-Voorblad!$F$41&gt;Voorblad!$K$41,0,IF($U97=0,0,IF($U97&lt;1,1/$U97,IF((EH$56-Voorblad!$F$41)/$U97-SUM($EE97:EG97)=1,1,0))))</f>
        <v>1</v>
      </c>
      <c r="EI97" s="8">
        <f>IF(EI$56-Voorblad!$F$41&gt;Voorblad!$K$41,0,IF($U97=0,0,IF($U97&lt;1,1/$U97,IF((EI$56-Voorblad!$F$41)/$U97-SUM($EE97:EH97)=1,1,0))))</f>
        <v>1</v>
      </c>
      <c r="EJ97" s="8">
        <f>IF(EJ$56-Voorblad!$F$41&gt;Voorblad!$K$41,0,IF($U97=0,0,IF($U97&lt;1,1/$U97,IF((EJ$56-Voorblad!$F$41)/$U97-SUM($EE97:EI97)=1,1,0))))</f>
        <v>1</v>
      </c>
      <c r="EK97" s="8">
        <f>IF(EK$56-Voorblad!$F$41&gt;Voorblad!$K$41,0,IF($U97=0,0,IF($U97&lt;1,1/$U97,IF((EK$56-Voorblad!$F$41)/$U97-SUM($EE97:EJ97)=1,1,0))))</f>
        <v>1</v>
      </c>
      <c r="EL97" s="8">
        <f>IF(EL$56-Voorblad!$F$41&gt;Voorblad!$K$41,0,IF($U97=0,0,IF($U97&lt;1,1/$U97,IF((EL$56-Voorblad!$F$41)/$U97-SUM($EE97:EK97)=1,1,0))))</f>
        <v>1</v>
      </c>
      <c r="EM97" s="8">
        <f>IF(EM$56-Voorblad!$F$41&gt;Voorblad!$K$41,0,IF($U97=0,0,IF($U97&lt;1,1/$U97,IF((EM$56-Voorblad!$F$41)/$U97-SUM($EE97:EL97)=1,1,0))))</f>
        <v>1</v>
      </c>
      <c r="EN97" s="8">
        <f>IF(EN$56-Voorblad!$F$41&gt;Voorblad!$K$41,0,IF($U97=0,0,IF($U97&lt;1,1/$U97,IF((EN$56-Voorblad!$F$41)/$U97-SUM($EE97:EM97)=1,1,0))))</f>
        <v>1</v>
      </c>
      <c r="EO97" s="8">
        <f>IF(EO$56-Voorblad!$F$41&gt;Voorblad!$K$41,0,IF($U97=0,0,IF($U97&lt;1,1/$U97,IF((EO$56-Voorblad!$F$41)/$U97-SUM($EE97:EN97)=1,1,0))))</f>
        <v>1</v>
      </c>
      <c r="EP97" s="8">
        <f>IF(EP$56-Voorblad!$F$41&gt;Voorblad!$K$41,0,IF($U97=0,0,IF($U97&lt;1,1/$U97,IF((EP$56-Voorblad!$F$41)/$U97-SUM($EE97:EO97)=1,1,0))))</f>
        <v>1</v>
      </c>
      <c r="EQ97" s="8">
        <f>IF(EQ$56-Voorblad!$F$41&gt;Voorblad!$K$41,0,IF($U97=0,0,IF($U97&lt;1,1/$U97,IF((EQ$56-Voorblad!$F$41)/$U97-SUM($EE97:EP97)=1,1,0))))</f>
        <v>1</v>
      </c>
      <c r="ER97" s="8">
        <f>IF(ER$56-Voorblad!$F$41&gt;Voorblad!$K$41,0,IF($U97=0,0,IF($U97&lt;1,1/$U97,IF((ER$56-Voorblad!$F$41)/$U97-SUM($EE97:EQ97)=1,1,0))))</f>
        <v>1</v>
      </c>
      <c r="ES97" s="8">
        <f>IF(ES$56-Voorblad!$F$41&gt;Voorblad!$K$41,0,IF($U97=0,0,IF($U97&lt;1,1/$U97,IF((ES$56-Voorblad!$F$41)/$U97-SUM($EE97:ER97)=1,1,0))))</f>
        <v>1</v>
      </c>
      <c r="ET97" s="8">
        <f>IF(ET$56-Voorblad!$F$41&gt;Voorblad!$K$41,0,IF($U97=0,0,IF($U97&lt;1,1/$U97,IF((ET$56-Voorblad!$F$41)/$U97-SUM($EE97:ES97)=1,1,0))))</f>
        <v>1</v>
      </c>
      <c r="EU97" s="8">
        <f>IF(EU$56-Voorblad!$F$41&gt;Voorblad!$K$41,0,IF($U97=0,0,IF($U97&lt;1,1/$U97,IF((EU$56-Voorblad!$F$41)/$U97-SUM($EE97:ET97)=1,1,0))))</f>
        <v>1</v>
      </c>
      <c r="EV97" s="8">
        <f>IF(EV$56-Voorblad!$F$41&gt;Voorblad!$K$41,0,IF($U97=0,0,IF($U97&lt;1,1/$U97,IF((EV$56-Voorblad!$F$41)/$U97-SUM($EE97:EU97)=1,1,0))))</f>
        <v>1</v>
      </c>
      <c r="EW97" s="8">
        <f>IF(EW$56-Voorblad!$F$41&gt;Voorblad!$K$41,0,IF($U97=0,0,IF($U97&lt;1,1/$U97,IF((EW$56-Voorblad!$F$41)/$U97-SUM($EE97:EV97)=1,1,0))))</f>
        <v>1</v>
      </c>
      <c r="EX97" s="8">
        <f>IF(EX$56-Voorblad!$F$41&gt;Voorblad!$K$41,0,IF($U97=0,0,IF($U97&lt;1,1/$U97,IF((EX$56-Voorblad!$F$41)/$U97-SUM($EE97:EW97)=1,1,0))))</f>
        <v>1</v>
      </c>
      <c r="EY97" s="8">
        <f>IF(EY$56-Voorblad!$F$41&gt;Voorblad!$K$41,0,IF($U97=0,0,IF($U97&lt;1,1/$U97,IF((EY$56-Voorblad!$F$41)/$U97-SUM($EE97:EX97)=1,1,0))))</f>
        <v>1</v>
      </c>
      <c r="EZ97" s="8">
        <f>IF(EZ$56-Voorblad!$F$41&gt;Voorblad!$K$41,0,IF($U97=0,0,IF($U97&lt;1,1/$U97,IF((EZ$56-Voorblad!$F$41)/$U97-SUM($EE97:EY97)=1,1,0))))</f>
        <v>1</v>
      </c>
      <c r="FA97" s="8">
        <f>IF(FA$56-Voorblad!$F$41&gt;Voorblad!$K$41,0,IF($U97=0,0,IF($U97&lt;1,1/$U97,IF((FA$56-Voorblad!$F$41)/$U97-SUM($EE97:EZ97)=1,1,0))))</f>
        <v>1</v>
      </c>
      <c r="FB97" s="8">
        <f>IF(FB$56-Voorblad!$F$41&gt;Voorblad!$K$41,0,IF($U97=0,0,IF($U97&lt;1,1/$U97,IF((FB$56-Voorblad!$F$41)/$U97-SUM($EE97:FA97)=1,1,0))))</f>
        <v>1</v>
      </c>
      <c r="FC97" s="8">
        <f>IF(FC$56-Voorblad!$F$41&gt;Voorblad!$K$41,0,IF($U97=0,0,IF($U97&lt;1,1/$U97,IF((FC$56-Voorblad!$F$41)/$U97-SUM($EE97:FB97)=1,1,0))))</f>
        <v>1</v>
      </c>
      <c r="FD97" s="8">
        <f>IF(FD$56-Voorblad!$F$41&gt;Voorblad!$K$41,0,IF($U97=0,0,IF($U97&lt;1,1/$U97,IF((FD$56-Voorblad!$F$41)/$U97-SUM($EE97:FC97)=1,1,0))))</f>
        <v>1</v>
      </c>
      <c r="FE97" s="8">
        <f>IF(FE$56-Voorblad!$F$41&gt;Voorblad!$K$41,0,IF($U97=0,0,IF($U97&lt;1,1/$U97,IF((FE$56-Voorblad!$F$41)/$U97-SUM($EE97:FD97)=1,1,0))))</f>
        <v>1</v>
      </c>
      <c r="FF97" s="8">
        <f>IF(FF$56-Voorblad!$F$41&gt;Voorblad!$K$41,0,IF($U97=0,0,IF($U97&lt;1,1/$U97,IF((FF$56-Voorblad!$F$41)/$U97-SUM($EE97:FE97)=1,1,0))))</f>
        <v>1</v>
      </c>
      <c r="FG97" s="8">
        <f>IF(FG$56-Voorblad!$F$41&gt;Voorblad!$K$41,0,IF($U97=0,0,IF($U97&lt;1,1/$U97,IF((FG$56-Voorblad!$F$41)/$U97-SUM($EE97:FF97)=1,1,0))))</f>
        <v>1</v>
      </c>
      <c r="FH97" s="8">
        <f>IF(FH$56-Voorblad!$F$41&gt;Voorblad!$K$41,0,IF($U97=0,0,IF($U97&lt;1,1/$U97,IF((FH$56-Voorblad!$F$41)/$U97-SUM($EE97:FG97)=1,1,0))))</f>
        <v>1</v>
      </c>
      <c r="FI97" s="8">
        <f>IF(FI$56-Voorblad!$F$41&gt;Voorblad!$K$41,0,IF($U97=0,0,IF($U97&lt;1,1/$U97,IF((FI$56-Voorblad!$F$41)/$U97-SUM($EE97:FH97)=1,1,0))))</f>
        <v>1</v>
      </c>
      <c r="FJ97" s="8">
        <f>IF(FJ$56-Voorblad!$F$41&gt;Voorblad!$K$41,0,IF($U97=0,0,IF($U97&lt;1,1/$U97,IF((FJ$56-Voorblad!$F$41)/$U97-SUM($EE97:FI97)=1,1,0))))</f>
        <v>1</v>
      </c>
      <c r="FK97" s="8">
        <f>IF(FK$56-Voorblad!$F$41&gt;Voorblad!$K$41,0,IF($U97=0,0,IF($U97&lt;1,1/$U97,IF((FK$56-Voorblad!$F$41)/$U97-SUM($EE97:FJ97)=1,1,0))))</f>
        <v>1</v>
      </c>
      <c r="FL97" s="8">
        <f>IF(FL$56-Voorblad!$F$41&gt;Voorblad!$K$41,0,IF($U97=0,0,IF($U97&lt;1,1/$U97,IF((FL$56-Voorblad!$F$41)/$U97-SUM($EE97:FK97)=1,1,0))))</f>
        <v>1</v>
      </c>
      <c r="FM97" s="8">
        <f>IF(FM$56-Voorblad!$F$41&gt;Voorblad!$K$41,0,IF($U97=0,0,IF($U97&lt;1,1/$U97,IF((FM$56-Voorblad!$F$41)/$U97-SUM($EE97:FL97)=1,1,0))))</f>
        <v>1</v>
      </c>
      <c r="FN97" s="8">
        <f>IF(FN$56-Voorblad!$F$41&gt;Voorblad!$K$41,0,IF($U97=0,0,IF($U97&lt;1,1/$U97,IF((FN$56-Voorblad!$F$41)/$U97-SUM($EE97:FM97)=1,1,0))))</f>
        <v>1</v>
      </c>
      <c r="FO97" s="8">
        <f>IF(FO$56-Voorblad!$F$41&gt;Voorblad!$K$41,0,IF($U97=0,0,IF($U97&lt;1,1/$U97,IF((FO$56-Voorblad!$F$41)/$U97-SUM($EE97:FN97)=1,1,0))))</f>
        <v>1</v>
      </c>
      <c r="FP97" s="8">
        <f>IF(FP$56-Voorblad!$F$41&gt;Voorblad!$K$41,0,IF($U97=0,0,IF($U97&lt;1,1/$U97,IF((FP$56-Voorblad!$F$41)/$U97-SUM($EE97:FO97)=1,1,0))))</f>
        <v>1</v>
      </c>
      <c r="FQ97" s="8">
        <f>IF(FQ$56-Voorblad!$F$41&gt;Voorblad!$K$41,0,IF($U97=0,0,IF($U97&lt;1,1/$U97,IF((FQ$56-Voorblad!$F$41)/$U97-SUM($EE97:FP97)=1,1,0))))</f>
        <v>1</v>
      </c>
      <c r="FR97" s="8">
        <f>IF(FR$56-Voorblad!$F$41&gt;Voorblad!$K$41,0,IF($U97=0,0,IF($U97&lt;1,1/$U97,IF((FR$56-Voorblad!$F$41)/$U97-SUM($EE97:FQ97)=1,1,0))))</f>
        <v>1</v>
      </c>
      <c r="FS97" s="8">
        <f>IF(FS$56-Voorblad!$F$41&gt;Voorblad!$K$41,0,IF($U97=0,0,IF($U97&lt;1,1/$U97,IF((FS$56-Voorblad!$F$41)/$U97-SUM($EE97:FR97)=1,1,0))))</f>
        <v>1</v>
      </c>
      <c r="FT97" s="8">
        <f>IF(FT$56-Voorblad!$F$41&gt;Voorblad!$K$41,0,IF($U97=0,0,IF($U97&lt;1,1/$U97,IF((FT$56-Voorblad!$F$41)/$U97-SUM($EE97:FS97)=1,1,0))))</f>
        <v>1</v>
      </c>
      <c r="FU97" s="8">
        <f>IF(FU$56-Voorblad!$F$41&gt;Voorblad!$K$41,0,IF($U97=0,0,IF($U97&lt;1,1/$U97,IF((FU$56-Voorblad!$F$41)/$U97-SUM($EE97:FT97)=1,1,0))))</f>
        <v>1</v>
      </c>
      <c r="FV97" s="8">
        <f>IF(FV$56-Voorblad!$F$41&gt;Voorblad!$K$41,0,IF($U97=0,0,IF($U97&lt;1,1/$U97,IF((FV$56-Voorblad!$F$41)/$U97-SUM($EE97:FU97)=1,1,0))))</f>
        <v>1</v>
      </c>
      <c r="FW97" s="8">
        <f>IF(FW$56-Voorblad!$F$41&gt;Voorblad!$K$41,0,IF($U97=0,0,IF($U97&lt;1,1/$U97,IF((FW$56-Voorblad!$F$41)/$U97-SUM($EE97:FV97)=1,1,0))))</f>
        <v>1</v>
      </c>
      <c r="FX97" s="8">
        <f>IF(FX$56-Voorblad!$F$41&gt;Voorblad!$K$41,0,IF($U97=0,0,IF($U97&lt;1,1/$U97,IF((FX$56-Voorblad!$F$41)/$U97-SUM($EE97:FW97)=1,1,0))))</f>
        <v>1</v>
      </c>
      <c r="FY97" s="8">
        <f>IF(FY$56-Voorblad!$F$41&gt;Voorblad!$K$41,0,IF($U97=0,0,IF($U97&lt;1,1/$U97,IF((FY$56-Voorblad!$F$41)/$U97-SUM($EE97:FX97)=1,1,0))))</f>
        <v>1</v>
      </c>
      <c r="FZ97" s="8">
        <f>IF(FZ$56-Voorblad!$F$41&gt;Voorblad!$K$41,0,IF($U97=0,0,IF($U97&lt;1,1/$U97,IF((FZ$56-Voorblad!$F$41)/$U97-SUM($EE97:FY97)=1,1,0))))</f>
        <v>1</v>
      </c>
      <c r="GA97" s="8">
        <f>IF(GA$56-Voorblad!$F$41&gt;Voorblad!$K$41,0,IF($U97=0,0,IF($U97&lt;1,1/$U97,IF((GA$56-Voorblad!$F$41)/$U97-SUM($EE97:FZ97)=1,1,0))))</f>
        <v>1</v>
      </c>
      <c r="GB97" s="8">
        <f>IF(GB$56-Voorblad!$F$41&gt;Voorblad!$K$41,0,IF($U97=0,0,IF($U97&lt;1,1/$U97,IF((GB$56-Voorblad!$F$41)/$U97-SUM($EE97:GA97)=1,1,0))))</f>
        <v>1</v>
      </c>
      <c r="GC97" s="8">
        <f>IF(GC$56-Voorblad!$F$41&gt;Voorblad!$K$41,0,IF($U97=0,0,IF($U97&lt;1,1/$U97,IF((GC$56-Voorblad!$F$41)/$U97-SUM($EE97:GB97)=1,1,0))))</f>
        <v>1</v>
      </c>
      <c r="GD97" s="8">
        <f>IF(GD$56-Voorblad!$F$41&gt;Voorblad!$K$41,0,IF($U97=0,0,IF($U97&lt;1,1/$U97,IF((GD$56-Voorblad!$F$41)/$U97-SUM($EE97:GC97)=1,1,0))))</f>
        <v>1</v>
      </c>
      <c r="GE97" s="8">
        <f>IF(GE$56-Voorblad!$F$41&gt;Voorblad!$K$41,0,IF($U97=0,0,IF($U97&lt;1,1/$U97,IF((GE$56-Voorblad!$F$41)/$U97-SUM($EE97:GD97)=1,1,0))))</f>
        <v>1</v>
      </c>
      <c r="GF97" s="8">
        <f>IF(GF$56-Voorblad!$F$41&gt;Voorblad!$K$41,0,IF($U97=0,0,IF($U97&lt;1,1/$U97,IF((GF$56-Voorblad!$F$41)/$U97-SUM($EE97:GE97)=1,1,0))))</f>
        <v>1</v>
      </c>
      <c r="GG97" s="8">
        <f>IF(GG$56-Voorblad!$F$41&gt;Voorblad!$K$41,0,IF($U97=0,0,IF($U97&lt;1,1/$U97,IF((GG$56-Voorblad!$F$41)/$U97-SUM($EE97:GF97)=1,1,0))))</f>
        <v>1</v>
      </c>
      <c r="GH97" s="8">
        <f>IF(GH$56-Voorblad!$F$41&gt;Voorblad!$K$41,0,IF($U97=0,0,IF($U97&lt;1,1/$U97,IF((GH$56-Voorblad!$F$41)/$U97-SUM($EE97:GG97)=1,1,0))))</f>
        <v>1</v>
      </c>
      <c r="GI97" s="8">
        <f>IF(GI$56-Voorblad!$F$41&gt;Voorblad!$K$41,0,IF($U97=0,0,IF($U97&lt;1,1/$U97,IF((GI$56-Voorblad!$F$41)/$U97-SUM($EE97:GH97)=1,1,0))))</f>
        <v>1</v>
      </c>
      <c r="GJ97" s="8">
        <f>IF(GJ$56-Voorblad!$F$41&gt;Voorblad!$K$41,0,IF($U97=0,0,IF($U97&lt;1,1/$U97,IF((GJ$56-Voorblad!$F$41)/$U97-SUM($EE97:GI97)=1,1,0))))</f>
        <v>1</v>
      </c>
      <c r="GK97" s="8">
        <f>IF(GK$56-Voorblad!$F$41&gt;Voorblad!$K$41,0,IF($U97=0,0,IF($U97&lt;1,1/$U97,IF((GK$56-Voorblad!$F$41)/$U97-SUM($EE97:GJ97)=1,1,0))))</f>
        <v>1</v>
      </c>
      <c r="GL97" s="8">
        <f>IF(GL$56-Voorblad!$F$41&gt;Voorblad!$K$41,0,IF($U97=0,0,IF($U97&lt;1,1/$U97,IF((GL$56-Voorblad!$F$41)/$U97-SUM($EE97:GK97)=1,1,0))))</f>
        <v>1</v>
      </c>
      <c r="GM97" s="8">
        <f>IF(GM$56-Voorblad!$F$41&gt;Voorblad!$K$41,0,IF($U97=0,0,IF($U97&lt;1,1/$U97,IF((GM$56-Voorblad!$F$41)/$U97-SUM($EE97:GL97)=1,1,0))))</f>
        <v>1</v>
      </c>
      <c r="GN97" s="8">
        <f>IF(GN$56-Voorblad!$F$41&gt;Voorblad!$K$41,0,IF($U97=0,0,IF($U97&lt;1,1/$U97,IF((GN$56-Voorblad!$F$41)/$U97-SUM($EE97:GM97)=1,1,0))))</f>
        <v>1</v>
      </c>
      <c r="GO97" s="8">
        <f>IF(GO$56-Voorblad!$F$41&gt;Voorblad!$K$41,0,IF($U97=0,0,IF($U97&lt;1,1/$U97,IF((GO$56-Voorblad!$F$41)/$U97-SUM($EE97:GN97)=1,1,0))))</f>
        <v>1</v>
      </c>
      <c r="GP97" s="8">
        <f>IF(GP$56-Voorblad!$F$41&gt;Voorblad!$K$41,0,IF($U97=0,0,IF($U97&lt;1,1/$U97,IF((GP$56-Voorblad!$F$41)/$U97-SUM($EE97:GO97)=1,1,0))))</f>
        <v>1</v>
      </c>
      <c r="GQ97" s="8">
        <f>IF(GQ$56-Voorblad!$F$41&gt;Voorblad!$K$41,0,IF($U97=0,0,IF($U97&lt;1,1/$U97,IF((GQ$56-Voorblad!$F$41)/$U97-SUM($EE97:GP97)=1,1,0))))</f>
        <v>1</v>
      </c>
      <c r="GR97" s="8">
        <f>IF(GR$56-Voorblad!$F$41&gt;Voorblad!$K$41,0,IF($U97=0,0,IF($U97&lt;1,1/$U97,IF((GR$56-Voorblad!$F$41)/$U97-SUM($EE97:GQ97)=1,1,0))))</f>
        <v>1</v>
      </c>
      <c r="GS97" s="8">
        <f>IF(GS$56-Voorblad!$F$41&gt;Voorblad!$K$41,0,IF($U97=0,0,IF($U97&lt;1,1/$U97,IF((GS$56-Voorblad!$F$41)/$U97-SUM($EE97:GR97)=1,1,0))))</f>
        <v>1</v>
      </c>
      <c r="GT97" s="8">
        <f>IF(GT$56-Voorblad!$F$41&gt;Voorblad!$K$41,0,IF($U97=0,0,IF($U97&lt;1,1/$U97,IF((GT$56-Voorblad!$F$41)/$U97-SUM($EE97:GS97)=1,1,0))))</f>
        <v>1</v>
      </c>
      <c r="GU97" s="8">
        <f>IF(GU$56-Voorblad!$F$41&gt;Voorblad!$K$41,0,IF($U97=0,0,IF($U97&lt;1,1/$U97,IF((GU$56-Voorblad!$F$41)/$U97-SUM($EE97:GT97)=1,1,0))))</f>
        <v>1</v>
      </c>
      <c r="GV97" s="8">
        <f>IF(GV$56-Voorblad!$F$41&gt;Voorblad!$K$41,0,IF($U97=0,0,IF($U97&lt;1,1/$U97,IF((GV$56-Voorblad!$F$41)/$U97-SUM($EE97:GU97)=1,1,0))))</f>
        <v>1</v>
      </c>
      <c r="GW97" s="8">
        <f>IF(GW$56-Voorblad!$F$41&gt;Voorblad!$K$41,0,IF($U97=0,0,IF($U97&lt;1,1/$U97,IF((GW$56-Voorblad!$F$41)/$U97-SUM($EE97:GV97)=1,1,0))))</f>
        <v>1</v>
      </c>
      <c r="GX97" s="8">
        <f>IF(GX$56-Voorblad!$F$41&gt;Voorblad!$K$41,0,IF($U97=0,0,IF($U97&lt;1,1/$U97,IF((GX$56-Voorblad!$F$41)/$U97-SUM($EE97:GW97)=1,1,0))))</f>
        <v>1</v>
      </c>
      <c r="GY97" s="8">
        <f>IF(GY$56-Voorblad!$F$41&gt;Voorblad!$K$41,0,IF($U97=0,0,IF($U97&lt;1,1/$U97,IF((GY$56-Voorblad!$F$41)/$U97-SUM($EE97:GX97)=1,1,0))))</f>
        <v>1</v>
      </c>
      <c r="GZ97" s="8">
        <f>IF(GZ$56-Voorblad!$F$41&gt;Voorblad!$K$41,0,IF($U97=0,0,IF($U97&lt;1,1/$U97,IF((GZ$56-Voorblad!$F$41)/$U97-SUM($EE97:GY97)=1,1,0))))</f>
        <v>1</v>
      </c>
      <c r="HA97" s="8">
        <f>IF(HA$56-Voorblad!$F$41&gt;Voorblad!$K$41,0,IF($U97=0,0,IF($U97&lt;1,1/$U97,IF((HA$56-Voorblad!$F$41)/$U97-SUM($EE97:GZ97)=1,1,0))))</f>
        <v>1</v>
      </c>
      <c r="HB97" s="8">
        <f>IF(HB$56-Voorblad!$F$41&gt;Voorblad!$K$41,0,IF($U97=0,0,IF($U97&lt;1,1/$U97,IF((HB$56-Voorblad!$F$41)/$U97-SUM($EE97:HA97)=1,1,0))))</f>
        <v>0</v>
      </c>
      <c r="HC97" s="8">
        <f>IF(HC$56-Voorblad!$F$41&gt;Voorblad!$K$41,0,IF($U97=0,0,IF($U97&lt;1,1/$U97,IF((HC$56-Voorblad!$F$41)/$U97-SUM($EE97:HB97)=1,1,0))))</f>
        <v>0</v>
      </c>
      <c r="HD97" s="8">
        <f>IF(HD$56-Voorblad!$F$41&gt;Voorblad!$K$41,0,IF($U97=0,0,IF($U97&lt;1,1/$U97,IF((HD$56-Voorblad!$F$41)/$U97-SUM($EE97:HC97)=1,1,0))))</f>
        <v>0</v>
      </c>
      <c r="HE97" s="8">
        <f>IF(HE$56-Voorblad!$F$41&gt;Voorblad!$K$41,0,IF($U97=0,0,IF($U97&lt;1,1/$U97,IF((HE$56-Voorblad!$F$41)/$U97-SUM($EE97:HD97)=1,1,0))))</f>
        <v>0</v>
      </c>
      <c r="HF97" s="8">
        <f>IF(HF$56-Voorblad!$F$41&gt;Voorblad!$K$41,0,IF($U97=0,0,IF($U97&lt;1,1/$U97,IF((HF$56-Voorblad!$F$41)/$U97-SUM($EE97:HE97)=1,1,0))))</f>
        <v>0</v>
      </c>
      <c r="HG97" s="8">
        <f>IF(HG$56-Voorblad!$F$41&gt;Voorblad!$K$41,0,IF($U97=0,0,IF($U97&lt;1,1/$U97,IF((HG$56-Voorblad!$F$41)/$U97-SUM($EE97:HF97)=1,1,0))))</f>
        <v>0</v>
      </c>
      <c r="HH97" s="8">
        <f>IF(HH$56-Voorblad!$F$41&gt;Voorblad!$K$41,0,IF($U97=0,0,IF($U97&lt;1,1/$U97,IF((HH$56-Voorblad!$F$41)/$U97-SUM($EE97:HG97)=1,1,0))))</f>
        <v>0</v>
      </c>
      <c r="HI97" s="8">
        <f>IF(HI$56-Voorblad!$F$41&gt;Voorblad!$K$41,0,IF($U97=0,0,IF($U97&lt;1,1/$U97,IF((HI$56-Voorblad!$F$41)/$U97-SUM($EE97:HH97)=1,1,0))))</f>
        <v>0</v>
      </c>
      <c r="HJ97" s="8">
        <f>IF(HJ$56-Voorblad!$F$41&gt;Voorblad!$K$41,0,IF($U97=0,0,IF($U97&lt;1,1/$U97,IF((HJ$56-Voorblad!$F$41)/$U97-SUM($EE97:HI97)=1,1,0))))</f>
        <v>0</v>
      </c>
      <c r="HK97" s="8">
        <f>IF(HK$56-Voorblad!$F$41&gt;Voorblad!$K$41,0,IF($U97=0,0,IF($U97&lt;1,1/$U97,IF((HK$56-Voorblad!$F$41)/$U97-SUM($EE97:HJ97)=1,1,0))))</f>
        <v>0</v>
      </c>
      <c r="HL97" s="8">
        <f>IF(HL$56-Voorblad!$F$41&gt;Voorblad!$K$41,0,IF($U97=0,0,IF($U97&lt;1,1/$U97,IF((HL$56-Voorblad!$F$41)/$U97-SUM($EE97:HK97)=1,1,0))))</f>
        <v>0</v>
      </c>
      <c r="HM97" s="8">
        <f>IF(HM$56-Voorblad!$F$41&gt;Voorblad!$K$41,0,IF($U97=0,0,IF($U97&lt;1,1/$U97,IF((HM$56-Voorblad!$F$41)/$U97-SUM($EE97:HL97)=1,1,0))))</f>
        <v>0</v>
      </c>
      <c r="HN97" s="8">
        <f>IF(HN$56-Voorblad!$F$41&gt;Voorblad!$K$41,0,IF($U97=0,0,IF($U97&lt;1,1/$U97,IF((HN$56-Voorblad!$F$41)/$U97-SUM($EE97:HM97)=1,1,0))))</f>
        <v>0</v>
      </c>
      <c r="HO97" s="8">
        <f>IF(HO$56-Voorblad!$F$41&gt;Voorblad!$K$41,0,IF($U97=0,0,IF($U97&lt;1,1/$U97,IF((HO$56-Voorblad!$F$41)/$U97-SUM($EE97:HN97)=1,1,0))))</f>
        <v>0</v>
      </c>
      <c r="HP97" s="8">
        <f>IF(HP$56-Voorblad!$F$41&gt;Voorblad!$K$41,0,IF($U97=0,0,IF($U97&lt;1,1/$U97,IF((HP$56-Voorblad!$F$41)/$U97-SUM($EE97:HO97)=1,1,0))))</f>
        <v>0</v>
      </c>
      <c r="HQ97" s="8">
        <f>IF(HQ$56-Voorblad!$F$41&gt;Voorblad!$K$41,0,IF($U97=0,0,IF($U97&lt;1,1/$U97,IF((HQ$56-Voorblad!$F$41)/$U97-SUM($EE97:HP97)=1,1,0))))</f>
        <v>0</v>
      </c>
      <c r="HR97" s="8">
        <f>IF(HR$56-Voorblad!$F$41&gt;Voorblad!$K$41,0,IF($U97=0,0,IF($U97&lt;1,1/$U97,IF((HR$56-Voorblad!$F$41)/$U97-SUM($EE97:HQ97)=1,1,0))))</f>
        <v>0</v>
      </c>
      <c r="HS97" s="8">
        <f>IF(HS$56-Voorblad!$F$41&gt;Voorblad!$K$41,0,IF($U97=0,0,IF($U97&lt;1,1/$U97,IF((HS$56-Voorblad!$F$41)/$U97-SUM($EE97:HR97)=1,1,0))))</f>
        <v>0</v>
      </c>
      <c r="HT97" s="8">
        <f>IF(HT$56-Voorblad!$F$41&gt;Voorblad!$K$41,0,IF($U97=0,0,IF($U97&lt;1,1/$U97,IF((HT$56-Voorblad!$F$41)/$U97-SUM($EE97:HS97)=1,1,0))))</f>
        <v>0</v>
      </c>
      <c r="HU97" s="8">
        <f>IF(HU$56-Voorblad!$F$41&gt;Voorblad!$K$41,0,IF($U97=0,0,IF($U97&lt;1,1/$U97,IF((HU$56-Voorblad!$F$41)/$U97-SUM($EE97:HT97)=1,1,0))))</f>
        <v>0</v>
      </c>
      <c r="HV97" s="8">
        <f>IF(HV$56-Voorblad!$F$41&gt;Voorblad!$K$41,0,IF($U97=0,0,IF($U97&lt;1,1/$U97,IF((HV$56-Voorblad!$F$41)/$U97-SUM($EE97:HU97)=1,1,0))))</f>
        <v>0</v>
      </c>
      <c r="HW97" s="8">
        <f>IF(HW$56-Voorblad!$F$41&gt;Voorblad!$K$41,0,IF($U97=0,0,IF($U97&lt;1,1/$U97,IF((HW$56-Voorblad!$F$41)/$U97-SUM($EE97:HV97)=1,1,0))))</f>
        <v>0</v>
      </c>
      <c r="HX97" s="8">
        <f>IF(HX$56-Voorblad!$F$41&gt;Voorblad!$K$41,0,IF($U97=0,0,IF($U97&lt;1,1/$U97,IF((HX$56-Voorblad!$F$41)/$U97-SUM($EE97:HW97)=1,1,0))))</f>
        <v>0</v>
      </c>
      <c r="HY97" s="8">
        <f>IF(HY$56-Voorblad!$F$41&gt;Voorblad!$K$41,0,IF($U97=0,0,IF($U97&lt;1,1/$U97,IF((HY$56-Voorblad!$F$41)/$U97-SUM($EE97:HX97)=1,1,0))))</f>
        <v>0</v>
      </c>
      <c r="HZ97" s="8">
        <f>IF(HZ$56-Voorblad!$F$41&gt;Voorblad!$K$41,0,IF($U97=0,0,IF($U97&lt;1,1/$U97,IF((HZ$56-Voorblad!$F$41)/$U97-SUM($EE97:HY97)=1,1,0))))</f>
        <v>0</v>
      </c>
      <c r="IA97" s="8">
        <f>IF(IA$56-Voorblad!$F$41&gt;Voorblad!$K$41,0,IF($U97=0,0,IF($U97&lt;1,1/$U97,IF((IA$56-Voorblad!$F$41)/$U97-SUM($EE97:HZ97)=1,1,0))))</f>
        <v>0</v>
      </c>
      <c r="IB97" s="8">
        <f>IF(IB$56-Voorblad!$F$41&gt;Voorblad!$K$41,0,IF($U97=0,0,IF($U97&lt;1,1/$U97,IF((IB$56-Voorblad!$F$41)/$U97-SUM($EE97:IA97)=1,1,0))))</f>
        <v>0</v>
      </c>
    </row>
    <row r="98" spans="2:236" hidden="1" outlineLevel="1" x14ac:dyDescent="0.25">
      <c r="B98" s="14">
        <v>1</v>
      </c>
      <c r="C98" s="14"/>
      <c r="F98" s="1" t="s">
        <v>26</v>
      </c>
      <c r="I98" s="1" t="s">
        <v>49</v>
      </c>
      <c r="K98" s="1" t="s">
        <v>51</v>
      </c>
      <c r="N98" s="3"/>
      <c r="O98" s="1" t="s">
        <v>56</v>
      </c>
      <c r="Q98" s="81">
        <v>0</v>
      </c>
      <c r="R98" s="81" t="s">
        <v>33</v>
      </c>
      <c r="S98" s="81">
        <v>0</v>
      </c>
      <c r="T98" s="14">
        <f t="shared" si="19"/>
        <v>0</v>
      </c>
      <c r="U98" s="11">
        <v>1</v>
      </c>
      <c r="V98" s="14"/>
      <c r="W98" s="81">
        <v>0</v>
      </c>
      <c r="X98" s="6"/>
      <c r="Y98" s="9">
        <f t="shared" si="11"/>
        <v>0</v>
      </c>
      <c r="Z98" s="82"/>
      <c r="AA98" s="82"/>
      <c r="AC98" s="9">
        <f>$Y98*(Voorblad!$K$44*(1+Voorblad!$K$44)^Voorblad!$K$41)/((1+Voorblad!$K$44)^Voorblad!$K$41-1)</f>
        <v>0</v>
      </c>
      <c r="AE98" s="9">
        <f>IF($W98=AE$56,EF98*($Q98*$S98)/(1+Voorblad!$K$44)^(AE$56-Voorblad!$F$41),0)</f>
        <v>0</v>
      </c>
      <c r="AF98" s="9">
        <f>IF($W98=AF$56,EG98*($Q98*$S98)/(1+Voorblad!$K$44)^(AF$56-Voorblad!$F$41),0)</f>
        <v>0</v>
      </c>
      <c r="AG98" s="9">
        <f>IF($W98=AG$56,EH98*($Q98*$S98)/(1+Voorblad!$K$44)^(AG$56-Voorblad!$F$41),0)</f>
        <v>0</v>
      </c>
      <c r="AH98" s="9">
        <f>IF($W98=AH$56,EI98*($Q98*$S98)/(1+Voorblad!$K$44)^(AH$56-Voorblad!$F$41),0)</f>
        <v>0</v>
      </c>
      <c r="AI98" s="9">
        <f>IF($W98=AI$56,EJ98*($Q98*$S98)/(1+Voorblad!$K$44)^(AI$56-Voorblad!$F$41),0)</f>
        <v>0</v>
      </c>
      <c r="AJ98" s="9">
        <f>IF($W98=AJ$56,EK98*($Q98*$S98)/(1+Voorblad!$K$44)^(AJ$56-Voorblad!$F$41),0)</f>
        <v>0</v>
      </c>
      <c r="AK98" s="9">
        <f>IF($W98=AK$56,EL98*($Q98*$S98)/(1+Voorblad!$K$44)^(AK$56-Voorblad!$F$41),0)</f>
        <v>0</v>
      </c>
      <c r="AL98" s="9">
        <f>IF($W98=AL$56,EM98*($Q98*$S98)/(1+Voorblad!$K$44)^(AL$56-Voorblad!$F$41),0)</f>
        <v>0</v>
      </c>
      <c r="AM98" s="9">
        <f>IF($W98=AM$56,EN98*($Q98*$S98)/(1+Voorblad!$K$44)^(AM$56-Voorblad!$F$41),0)</f>
        <v>0</v>
      </c>
      <c r="AN98" s="9">
        <f>IF($W98=AN$56,EO98*($Q98*$S98)/(1+Voorblad!$K$44)^(AN$56-Voorblad!$F$41),0)</f>
        <v>0</v>
      </c>
      <c r="AO98" s="9">
        <f>IF($W98=AO$56,EP98*($Q98*$S98)/(1+Voorblad!$K$44)^(AO$56-Voorblad!$F$41),0)</f>
        <v>0</v>
      </c>
      <c r="AP98" s="9">
        <f>IF($W98=AP$56,EQ98*($Q98*$S98)/(1+Voorblad!$K$44)^(AP$56-Voorblad!$F$41),0)</f>
        <v>0</v>
      </c>
      <c r="AQ98" s="9">
        <f>IF($W98=AQ$56,ER98*($Q98*$S98)/(1+Voorblad!$K$44)^(AQ$56-Voorblad!$F$41),0)</f>
        <v>0</v>
      </c>
      <c r="AR98" s="9">
        <f>IF($W98=AR$56,ES98*($Q98*$S98)/(1+Voorblad!$K$44)^(AR$56-Voorblad!$F$41),0)</f>
        <v>0</v>
      </c>
      <c r="AS98" s="9">
        <f>IF($W98=AS$56,ET98*($Q98*$S98)/(1+Voorblad!$K$44)^(AS$56-Voorblad!$F$41),0)</f>
        <v>0</v>
      </c>
      <c r="AT98" s="9">
        <f>IF($W98=AT$56,EU98*($Q98*$S98)/(1+Voorblad!$K$44)^(AT$56-Voorblad!$F$41),0)</f>
        <v>0</v>
      </c>
      <c r="AU98" s="9">
        <f>IF($W98=AU$56,EV98*($Q98*$S98)/(1+Voorblad!$K$44)^(AU$56-Voorblad!$F$41),0)</f>
        <v>0</v>
      </c>
      <c r="AV98" s="9">
        <f>IF($W98=AV$56,EW98*($Q98*$S98)/(1+Voorblad!$K$44)^(AV$56-Voorblad!$F$41),0)</f>
        <v>0</v>
      </c>
      <c r="AW98" s="9">
        <f>IF($W98=AW$56,EX98*($Q98*$S98)/(1+Voorblad!$K$44)^(AW$56-Voorblad!$F$41),0)</f>
        <v>0</v>
      </c>
      <c r="AX98" s="9">
        <f>IF($W98=AX$56,EY98*($Q98*$S98)/(1+Voorblad!$K$44)^(AX$56-Voorblad!$F$41),0)</f>
        <v>0</v>
      </c>
      <c r="AY98" s="9">
        <f>IF($W98=AY$56,EZ98*($Q98*$S98)/(1+Voorblad!$K$44)^(AY$56-Voorblad!$F$41),0)</f>
        <v>0</v>
      </c>
      <c r="AZ98" s="9">
        <f>IF($W98=AZ$56,FA98*($Q98*$S98)/(1+Voorblad!$K$44)^(AZ$56-Voorblad!$F$41),0)</f>
        <v>0</v>
      </c>
      <c r="BA98" s="9">
        <f>IF($W98=BA$56,FB98*($Q98*$S98)/(1+Voorblad!$K$44)^(BA$56-Voorblad!$F$41),0)</f>
        <v>0</v>
      </c>
      <c r="BB98" s="9">
        <f>IF($W98=BB$56,FC98*($Q98*$S98)/(1+Voorblad!$K$44)^(BB$56-Voorblad!$F$41),0)</f>
        <v>0</v>
      </c>
      <c r="BC98" s="9">
        <f>IF($W98=BC$56,FD98*($Q98*$S98)/(1+Voorblad!$K$44)^(BC$56-Voorblad!$F$41),0)</f>
        <v>0</v>
      </c>
      <c r="BD98" s="9">
        <f>IF($W98=BD$56,FE98*($Q98*$S98)/(1+Voorblad!$K$44)^(BD$56-Voorblad!$F$41),0)</f>
        <v>0</v>
      </c>
      <c r="BE98" s="9">
        <f>IF($W98=BE$56,FF98*($Q98*$S98)/(1+Voorblad!$K$44)^(BE$56-Voorblad!$F$41),0)</f>
        <v>0</v>
      </c>
      <c r="BF98" s="9">
        <f>IF($W98=BF$56,FG98*($Q98*$S98)/(1+Voorblad!$K$44)^(BF$56-Voorblad!$F$41),0)</f>
        <v>0</v>
      </c>
      <c r="BG98" s="9">
        <f>IF($W98=BG$56,FH98*($Q98*$S98)/(1+Voorblad!$K$44)^(BG$56-Voorblad!$F$41),0)</f>
        <v>0</v>
      </c>
      <c r="BH98" s="9">
        <f>IF($W98=BH$56,FI98*($Q98*$S98)/(1+Voorblad!$K$44)^(BH$56-Voorblad!$F$41),0)</f>
        <v>0</v>
      </c>
      <c r="BI98" s="9">
        <f>IF($W98=BI$56,FJ98*($Q98*$S98)/(1+Voorblad!$K$44)^(BI$56-Voorblad!$F$41),0)</f>
        <v>0</v>
      </c>
      <c r="BJ98" s="9">
        <f>IF($W98=BJ$56,FK98*($Q98*$S98)/(1+Voorblad!$K$44)^(BJ$56-Voorblad!$F$41),0)</f>
        <v>0</v>
      </c>
      <c r="BK98" s="9">
        <f>IF($W98=BK$56,FL98*($Q98*$S98)/(1+Voorblad!$K$44)^(BK$56-Voorblad!$F$41),0)</f>
        <v>0</v>
      </c>
      <c r="BL98" s="9">
        <f>IF($W98=BL$56,FM98*($Q98*$S98)/(1+Voorblad!$K$44)^(BL$56-Voorblad!$F$41),0)</f>
        <v>0</v>
      </c>
      <c r="BM98" s="9">
        <f>IF($W98=BM$56,FN98*($Q98*$S98)/(1+Voorblad!$K$44)^(BM$56-Voorblad!$F$41),0)</f>
        <v>0</v>
      </c>
      <c r="BN98" s="9">
        <f>IF($W98=BN$56,FO98*($Q98*$S98)/(1+Voorblad!$K$44)^(BN$56-Voorblad!$F$41),0)</f>
        <v>0</v>
      </c>
      <c r="BO98" s="9">
        <f>IF($W98=BO$56,FP98*($Q98*$S98)/(1+Voorblad!$K$44)^(BO$56-Voorblad!$F$41),0)</f>
        <v>0</v>
      </c>
      <c r="BP98" s="9">
        <f>IF($W98=BP$56,FQ98*($Q98*$S98)/(1+Voorblad!$K$44)^(BP$56-Voorblad!$F$41),0)</f>
        <v>0</v>
      </c>
      <c r="BQ98" s="9">
        <f>IF($W98=BQ$56,FR98*($Q98*$S98)/(1+Voorblad!$K$44)^(BQ$56-Voorblad!$F$41),0)</f>
        <v>0</v>
      </c>
      <c r="BR98" s="9">
        <f>IF($W98=BR$56,FS98*($Q98*$S98)/(1+Voorblad!$K$44)^(BR$56-Voorblad!$F$41),0)</f>
        <v>0</v>
      </c>
      <c r="BS98" s="9">
        <f>IF($W98=BS$56,FT98*($Q98*$S98)/(1+Voorblad!$K$44)^(BS$56-Voorblad!$F$41),0)</f>
        <v>0</v>
      </c>
      <c r="BT98" s="9">
        <f>IF($W98=BT$56,FU98*($Q98*$S98)/(1+Voorblad!$K$44)^(BT$56-Voorblad!$F$41),0)</f>
        <v>0</v>
      </c>
      <c r="BU98" s="9">
        <f>IF($W98=BU$56,FV98*($Q98*$S98)/(1+Voorblad!$K$44)^(BU$56-Voorblad!$F$41),0)</f>
        <v>0</v>
      </c>
      <c r="BV98" s="9">
        <f>IF($W98=BV$56,FW98*($Q98*$S98)/(1+Voorblad!$K$44)^(BV$56-Voorblad!$F$41),0)</f>
        <v>0</v>
      </c>
      <c r="BW98" s="9">
        <f>IF($W98=BW$56,FX98*($Q98*$S98)/(1+Voorblad!$K$44)^(BW$56-Voorblad!$F$41),0)</f>
        <v>0</v>
      </c>
      <c r="BX98" s="9">
        <f>IF($W98=BX$56,FY98*($Q98*$S98)/(1+Voorblad!$K$44)^(BX$56-Voorblad!$F$41),0)</f>
        <v>0</v>
      </c>
      <c r="BY98" s="9">
        <f>IF($W98=BY$56,FZ98*($Q98*$S98)/(1+Voorblad!$K$44)^(BY$56-Voorblad!$F$41),0)</f>
        <v>0</v>
      </c>
      <c r="BZ98" s="9">
        <f>IF($W98=BZ$56,GA98*($Q98*$S98)/(1+Voorblad!$K$44)^(BZ$56-Voorblad!$F$41),0)</f>
        <v>0</v>
      </c>
      <c r="CA98" s="9">
        <f>IF($W98=CA$56,GB98*($Q98*$S98)/(1+Voorblad!$K$44)^(CA$56-Voorblad!$F$41),0)</f>
        <v>0</v>
      </c>
      <c r="CB98" s="9">
        <f>IF($W98=CB$56,GC98*($Q98*$S98)/(1+Voorblad!$K$44)^(CB$56-Voorblad!$F$41),0)</f>
        <v>0</v>
      </c>
      <c r="CC98" s="9">
        <f>IF($W98=CC$56,GD98*($Q98*$S98)/(1+Voorblad!$K$44)^(CC$56-Voorblad!$F$41),0)</f>
        <v>0</v>
      </c>
      <c r="CD98" s="9">
        <f>IF($W98=CD$56,GE98*($Q98*$S98)/(1+Voorblad!$K$44)^(CD$56-Voorblad!$F$41),0)</f>
        <v>0</v>
      </c>
      <c r="CE98" s="9">
        <f>IF($W98=CE$56,GF98*($Q98*$S98)/(1+Voorblad!$K$44)^(CE$56-Voorblad!$F$41),0)</f>
        <v>0</v>
      </c>
      <c r="CF98" s="9">
        <f>IF($W98=CF$56,GG98*($Q98*$S98)/(1+Voorblad!$K$44)^(CF$56-Voorblad!$F$41),0)</f>
        <v>0</v>
      </c>
      <c r="CG98" s="9">
        <f>IF($W98=CG$56,GH98*($Q98*$S98)/(1+Voorblad!$K$44)^(CG$56-Voorblad!$F$41),0)</f>
        <v>0</v>
      </c>
      <c r="CH98" s="9">
        <f>IF($W98=CH$56,GI98*($Q98*$S98)/(1+Voorblad!$K$44)^(CH$56-Voorblad!$F$41),0)</f>
        <v>0</v>
      </c>
      <c r="CI98" s="9">
        <f>IF($W98=CI$56,GJ98*($Q98*$S98)/(1+Voorblad!$K$44)^(CI$56-Voorblad!$F$41),0)</f>
        <v>0</v>
      </c>
      <c r="CJ98" s="9">
        <f>IF($W98=CJ$56,GK98*($Q98*$S98)/(1+Voorblad!$K$44)^(CJ$56-Voorblad!$F$41),0)</f>
        <v>0</v>
      </c>
      <c r="CK98" s="9">
        <f>IF($W98=CK$56,GL98*($Q98*$S98)/(1+Voorblad!$K$44)^(CK$56-Voorblad!$F$41),0)</f>
        <v>0</v>
      </c>
      <c r="CL98" s="9">
        <f>IF($W98=CL$56,GM98*($Q98*$S98)/(1+Voorblad!$K$44)^(CL$56-Voorblad!$F$41),0)</f>
        <v>0</v>
      </c>
      <c r="CM98" s="9">
        <f>IF($W98=CM$56,GN98*($Q98*$S98)/(1+Voorblad!$K$44)^(CM$56-Voorblad!$F$41),0)</f>
        <v>0</v>
      </c>
      <c r="CN98" s="9">
        <f>IF($W98=CN$56,GO98*($Q98*$S98)/(1+Voorblad!$K$44)^(CN$56-Voorblad!$F$41),0)</f>
        <v>0</v>
      </c>
      <c r="CO98" s="9">
        <f>IF($W98=CO$56,GP98*($Q98*$S98)/(1+Voorblad!$K$44)^(CO$56-Voorblad!$F$41),0)</f>
        <v>0</v>
      </c>
      <c r="CP98" s="9">
        <f>IF($W98=CP$56,GQ98*($Q98*$S98)/(1+Voorblad!$K$44)^(CP$56-Voorblad!$F$41),0)</f>
        <v>0</v>
      </c>
      <c r="CQ98" s="9">
        <f>IF($W98=CQ$56,GR98*($Q98*$S98)/(1+Voorblad!$K$44)^(CQ$56-Voorblad!$F$41),0)</f>
        <v>0</v>
      </c>
      <c r="CR98" s="9">
        <f>IF($W98=CR$56,GS98*($Q98*$S98)/(1+Voorblad!$K$44)^(CR$56-Voorblad!$F$41),0)</f>
        <v>0</v>
      </c>
      <c r="CS98" s="9">
        <f>IF($W98=CS$56,GT98*($Q98*$S98)/(1+Voorblad!$K$44)^(CS$56-Voorblad!$F$41),0)</f>
        <v>0</v>
      </c>
      <c r="CT98" s="9">
        <f>IF($W98=CT$56,GU98*($Q98*$S98)/(1+Voorblad!$K$44)^(CT$56-Voorblad!$F$41),0)</f>
        <v>0</v>
      </c>
      <c r="CU98" s="9">
        <f>IF($W98=CU$56,GV98*($Q98*$S98)/(1+Voorblad!$K$44)^(CU$56-Voorblad!$F$41),0)</f>
        <v>0</v>
      </c>
      <c r="CV98" s="9">
        <f>IF($W98=CV$56,GW98*($Q98*$S98)/(1+Voorblad!$K$44)^(CV$56-Voorblad!$F$41),0)</f>
        <v>0</v>
      </c>
      <c r="CW98" s="9">
        <f>IF($W98=CW$56,GX98*($Q98*$S98)/(1+Voorblad!$K$44)^(CW$56-Voorblad!$F$41),0)</f>
        <v>0</v>
      </c>
      <c r="CX98" s="9">
        <f>IF($W98=CX$56,GY98*($Q98*$S98)/(1+Voorblad!$K$44)^(CX$56-Voorblad!$F$41),0)</f>
        <v>0</v>
      </c>
      <c r="CY98" s="9">
        <f>IF($W98=CY$56,GZ98*($Q98*$S98)/(1+Voorblad!$K$44)^(CY$56-Voorblad!$F$41),0)</f>
        <v>0</v>
      </c>
      <c r="CZ98" s="9">
        <f>IF($W98=CZ$56,HA98*($Q98*$S98)/(1+Voorblad!$K$44)^(CZ$56-Voorblad!$F$41),0)</f>
        <v>0</v>
      </c>
      <c r="DA98" s="9">
        <f>IF($W98=DA$56,HB98*($Q98*$S98)/(1+Voorblad!$K$44)^(DA$56-Voorblad!$F$41),0)</f>
        <v>0</v>
      </c>
      <c r="DB98" s="9">
        <f>IF($W98=DB$56,HC98*($Q98*$S98)/(1+Voorblad!$K$44)^(DB$56-Voorblad!$F$41),0)</f>
        <v>0</v>
      </c>
      <c r="DC98" s="9">
        <f>IF($W98=DC$56,HD98*($Q98*$S98)/(1+Voorblad!$K$44)^(DC$56-Voorblad!$F$41),0)</f>
        <v>0</v>
      </c>
      <c r="DD98" s="9">
        <f>IF($W98=DD$56,HE98*($Q98*$S98)/(1+Voorblad!$K$44)^(DD$56-Voorblad!$F$41),0)</f>
        <v>0</v>
      </c>
      <c r="DE98" s="9">
        <f>IF($W98=DE$56,HF98*($Q98*$S98)/(1+Voorblad!$K$44)^(DE$56-Voorblad!$F$41),0)</f>
        <v>0</v>
      </c>
      <c r="DF98" s="9">
        <f>IF($W98=DF$56,HG98*($Q98*$S98)/(1+Voorblad!$K$44)^(DF$56-Voorblad!$F$41),0)</f>
        <v>0</v>
      </c>
      <c r="DG98" s="9">
        <f>IF($W98=DG$56,HH98*($Q98*$S98)/(1+Voorblad!$K$44)^(DG$56-Voorblad!$F$41),0)</f>
        <v>0</v>
      </c>
      <c r="DH98" s="9">
        <f>IF($W98=DH$56,HI98*($Q98*$S98)/(1+Voorblad!$K$44)^(DH$56-Voorblad!$F$41),0)</f>
        <v>0</v>
      </c>
      <c r="DI98" s="9">
        <f>IF($W98=DI$56,HJ98*($Q98*$S98)/(1+Voorblad!$K$44)^(DI$56-Voorblad!$F$41),0)</f>
        <v>0</v>
      </c>
      <c r="DJ98" s="9">
        <f>IF($W98=DJ$56,HK98*($Q98*$S98)/(1+Voorblad!$K$44)^(DJ$56-Voorblad!$F$41),0)</f>
        <v>0</v>
      </c>
      <c r="DK98" s="9">
        <f>IF($W98=DK$56,HL98*($Q98*$S98)/(1+Voorblad!$K$44)^(DK$56-Voorblad!$F$41),0)</f>
        <v>0</v>
      </c>
      <c r="DL98" s="9">
        <f>IF($W98=DL$56,HM98*($Q98*$S98)/(1+Voorblad!$K$44)^(DL$56-Voorblad!$F$41),0)</f>
        <v>0</v>
      </c>
      <c r="DM98" s="9">
        <f>IF($W98=DM$56,HN98*($Q98*$S98)/(1+Voorblad!$K$44)^(DM$56-Voorblad!$F$41),0)</f>
        <v>0</v>
      </c>
      <c r="DN98" s="9">
        <f>IF($W98=DN$56,HO98*($Q98*$S98)/(1+Voorblad!$K$44)^(DN$56-Voorblad!$F$41),0)</f>
        <v>0</v>
      </c>
      <c r="DO98" s="9">
        <f>IF($W98=DO$56,HP98*($Q98*$S98)/(1+Voorblad!$K$44)^(DO$56-Voorblad!$F$41),0)</f>
        <v>0</v>
      </c>
      <c r="DP98" s="9">
        <f>IF($W98=DP$56,HQ98*($Q98*$S98)/(1+Voorblad!$K$44)^(DP$56-Voorblad!$F$41),0)</f>
        <v>0</v>
      </c>
      <c r="DQ98" s="9">
        <f>IF($W98=DQ$56,HR98*($Q98*$S98)/(1+Voorblad!$K$44)^(DQ$56-Voorblad!$F$41),0)</f>
        <v>0</v>
      </c>
      <c r="DR98" s="9">
        <f>IF($W98=DR$56,HS98*($Q98*$S98)/(1+Voorblad!$K$44)^(DR$56-Voorblad!$F$41),0)</f>
        <v>0</v>
      </c>
      <c r="DS98" s="9">
        <f>IF($W98=DS$56,HT98*($Q98*$S98)/(1+Voorblad!$K$44)^(DS$56-Voorblad!$F$41),0)</f>
        <v>0</v>
      </c>
      <c r="DT98" s="9">
        <f>IF($W98=DT$56,HU98*($Q98*$S98)/(1+Voorblad!$K$44)^(DT$56-Voorblad!$F$41),0)</f>
        <v>0</v>
      </c>
      <c r="DU98" s="9">
        <f>IF($W98=DU$56,HV98*($Q98*$S98)/(1+Voorblad!$K$44)^(DU$56-Voorblad!$F$41),0)</f>
        <v>0</v>
      </c>
      <c r="DV98" s="9">
        <f>IF($W98=DV$56,HW98*($Q98*$S98)/(1+Voorblad!$K$44)^(DV$56-Voorblad!$F$41),0)</f>
        <v>0</v>
      </c>
      <c r="DW98" s="9">
        <f>IF($W98=DW$56,HX98*($Q98*$S98)/(1+Voorblad!$K$44)^(DW$56-Voorblad!$F$41),0)</f>
        <v>0</v>
      </c>
      <c r="DX98" s="9">
        <f>IF($W98=DX$56,HY98*($Q98*$S98)/(1+Voorblad!$K$44)^(DX$56-Voorblad!$F$41),0)</f>
        <v>0</v>
      </c>
      <c r="DY98" s="9">
        <f>IF($W98=DY$56,HZ98*($Q98*$S98)/(1+Voorblad!$K$44)^(DY$56-Voorblad!$F$41),0)</f>
        <v>0</v>
      </c>
      <c r="DZ98" s="9">
        <f>IF($W98=DZ$56,IA98*($Q98*$S98)/(1+Voorblad!$K$44)^(DZ$56-Voorblad!$F$41),0)</f>
        <v>0</v>
      </c>
      <c r="EA98" s="9">
        <f>IF($W98=EA$56,IB98*($Q98*$S98)/(1+Voorblad!$K$44)^(EA$56-Voorblad!$F$41),0)</f>
        <v>0</v>
      </c>
      <c r="EB98" s="9">
        <f>IF($W98=EB$56,IC98*($Q98*$S98)/(1+Voorblad!$K$44)^(EB$56-Voorblad!$F$41),0)</f>
        <v>0</v>
      </c>
      <c r="EE98" s="8">
        <v>0</v>
      </c>
      <c r="EF98" s="8">
        <f>IF(EF$56-Voorblad!$F$41&gt;Voorblad!$K$41,0,IF($U98=0,0,IF($U98&lt;1,1/$U98,IF((EF$56-Voorblad!$F$41)/$U98-SUM($EE98:EE98)=1,1,0))))</f>
        <v>0</v>
      </c>
      <c r="EG98" s="8">
        <f>IF(EG$56-Voorblad!$F$41&gt;Voorblad!$K$41,0,IF($U98=0,0,IF($U98&lt;1,1/$U98,IF((EG$56-Voorblad!$F$41)/$U98-SUM($EE98:EF98)=1,1,0))))</f>
        <v>1</v>
      </c>
      <c r="EH98" s="8">
        <f>IF(EH$56-Voorblad!$F$41&gt;Voorblad!$K$41,0,IF($U98=0,0,IF($U98&lt;1,1/$U98,IF((EH$56-Voorblad!$F$41)/$U98-SUM($EE98:EG98)=1,1,0))))</f>
        <v>1</v>
      </c>
      <c r="EI98" s="8">
        <f>IF(EI$56-Voorblad!$F$41&gt;Voorblad!$K$41,0,IF($U98=0,0,IF($U98&lt;1,1/$U98,IF((EI$56-Voorblad!$F$41)/$U98-SUM($EE98:EH98)=1,1,0))))</f>
        <v>1</v>
      </c>
      <c r="EJ98" s="8">
        <f>IF(EJ$56-Voorblad!$F$41&gt;Voorblad!$K$41,0,IF($U98=0,0,IF($U98&lt;1,1/$U98,IF((EJ$56-Voorblad!$F$41)/$U98-SUM($EE98:EI98)=1,1,0))))</f>
        <v>1</v>
      </c>
      <c r="EK98" s="8">
        <f>IF(EK$56-Voorblad!$F$41&gt;Voorblad!$K$41,0,IF($U98=0,0,IF($U98&lt;1,1/$U98,IF((EK$56-Voorblad!$F$41)/$U98-SUM($EE98:EJ98)=1,1,0))))</f>
        <v>1</v>
      </c>
      <c r="EL98" s="8">
        <f>IF(EL$56-Voorblad!$F$41&gt;Voorblad!$K$41,0,IF($U98=0,0,IF($U98&lt;1,1/$U98,IF((EL$56-Voorblad!$F$41)/$U98-SUM($EE98:EK98)=1,1,0))))</f>
        <v>1</v>
      </c>
      <c r="EM98" s="8">
        <f>IF(EM$56-Voorblad!$F$41&gt;Voorblad!$K$41,0,IF($U98=0,0,IF($U98&lt;1,1/$U98,IF((EM$56-Voorblad!$F$41)/$U98-SUM($EE98:EL98)=1,1,0))))</f>
        <v>1</v>
      </c>
      <c r="EN98" s="8">
        <f>IF(EN$56-Voorblad!$F$41&gt;Voorblad!$K$41,0,IF($U98=0,0,IF($U98&lt;1,1/$U98,IF((EN$56-Voorblad!$F$41)/$U98-SUM($EE98:EM98)=1,1,0))))</f>
        <v>1</v>
      </c>
      <c r="EO98" s="8">
        <f>IF(EO$56-Voorblad!$F$41&gt;Voorblad!$K$41,0,IF($U98=0,0,IF($U98&lt;1,1/$U98,IF((EO$56-Voorblad!$F$41)/$U98-SUM($EE98:EN98)=1,1,0))))</f>
        <v>1</v>
      </c>
      <c r="EP98" s="8">
        <f>IF(EP$56-Voorblad!$F$41&gt;Voorblad!$K$41,0,IF($U98=0,0,IF($U98&lt;1,1/$U98,IF((EP$56-Voorblad!$F$41)/$U98-SUM($EE98:EO98)=1,1,0))))</f>
        <v>1</v>
      </c>
      <c r="EQ98" s="8">
        <f>IF(EQ$56-Voorblad!$F$41&gt;Voorblad!$K$41,0,IF($U98=0,0,IF($U98&lt;1,1/$U98,IF((EQ$56-Voorblad!$F$41)/$U98-SUM($EE98:EP98)=1,1,0))))</f>
        <v>1</v>
      </c>
      <c r="ER98" s="8">
        <f>IF(ER$56-Voorblad!$F$41&gt;Voorblad!$K$41,0,IF($U98=0,0,IF($U98&lt;1,1/$U98,IF((ER$56-Voorblad!$F$41)/$U98-SUM($EE98:EQ98)=1,1,0))))</f>
        <v>1</v>
      </c>
      <c r="ES98" s="8">
        <f>IF(ES$56-Voorblad!$F$41&gt;Voorblad!$K$41,0,IF($U98=0,0,IF($U98&lt;1,1/$U98,IF((ES$56-Voorblad!$F$41)/$U98-SUM($EE98:ER98)=1,1,0))))</f>
        <v>1</v>
      </c>
      <c r="ET98" s="8">
        <f>IF(ET$56-Voorblad!$F$41&gt;Voorblad!$K$41,0,IF($U98=0,0,IF($U98&lt;1,1/$U98,IF((ET$56-Voorblad!$F$41)/$U98-SUM($EE98:ES98)=1,1,0))))</f>
        <v>1</v>
      </c>
      <c r="EU98" s="8">
        <f>IF(EU$56-Voorblad!$F$41&gt;Voorblad!$K$41,0,IF($U98=0,0,IF($U98&lt;1,1/$U98,IF((EU$56-Voorblad!$F$41)/$U98-SUM($EE98:ET98)=1,1,0))))</f>
        <v>1</v>
      </c>
      <c r="EV98" s="8">
        <f>IF(EV$56-Voorblad!$F$41&gt;Voorblad!$K$41,0,IF($U98=0,0,IF($U98&lt;1,1/$U98,IF((EV$56-Voorblad!$F$41)/$U98-SUM($EE98:EU98)=1,1,0))))</f>
        <v>1</v>
      </c>
      <c r="EW98" s="8">
        <f>IF(EW$56-Voorblad!$F$41&gt;Voorblad!$K$41,0,IF($U98=0,0,IF($U98&lt;1,1/$U98,IF((EW$56-Voorblad!$F$41)/$U98-SUM($EE98:EV98)=1,1,0))))</f>
        <v>1</v>
      </c>
      <c r="EX98" s="8">
        <f>IF(EX$56-Voorblad!$F$41&gt;Voorblad!$K$41,0,IF($U98=0,0,IF($U98&lt;1,1/$U98,IF((EX$56-Voorblad!$F$41)/$U98-SUM($EE98:EW98)=1,1,0))))</f>
        <v>1</v>
      </c>
      <c r="EY98" s="8">
        <f>IF(EY$56-Voorblad!$F$41&gt;Voorblad!$K$41,0,IF($U98=0,0,IF($U98&lt;1,1/$U98,IF((EY$56-Voorblad!$F$41)/$U98-SUM($EE98:EX98)=1,1,0))))</f>
        <v>1</v>
      </c>
      <c r="EZ98" s="8">
        <f>IF(EZ$56-Voorblad!$F$41&gt;Voorblad!$K$41,0,IF($U98=0,0,IF($U98&lt;1,1/$U98,IF((EZ$56-Voorblad!$F$41)/$U98-SUM($EE98:EY98)=1,1,0))))</f>
        <v>1</v>
      </c>
      <c r="FA98" s="8">
        <f>IF(FA$56-Voorblad!$F$41&gt;Voorblad!$K$41,0,IF($U98=0,0,IF($U98&lt;1,1/$U98,IF((FA$56-Voorblad!$F$41)/$U98-SUM($EE98:EZ98)=1,1,0))))</f>
        <v>1</v>
      </c>
      <c r="FB98" s="8">
        <f>IF(FB$56-Voorblad!$F$41&gt;Voorblad!$K$41,0,IF($U98=0,0,IF($U98&lt;1,1/$U98,IF((FB$56-Voorblad!$F$41)/$U98-SUM($EE98:FA98)=1,1,0))))</f>
        <v>1</v>
      </c>
      <c r="FC98" s="8">
        <f>IF(FC$56-Voorblad!$F$41&gt;Voorblad!$K$41,0,IF($U98=0,0,IF($U98&lt;1,1/$U98,IF((FC$56-Voorblad!$F$41)/$U98-SUM($EE98:FB98)=1,1,0))))</f>
        <v>1</v>
      </c>
      <c r="FD98" s="8">
        <f>IF(FD$56-Voorblad!$F$41&gt;Voorblad!$K$41,0,IF($U98=0,0,IF($U98&lt;1,1/$U98,IF((FD$56-Voorblad!$F$41)/$U98-SUM($EE98:FC98)=1,1,0))))</f>
        <v>1</v>
      </c>
      <c r="FE98" s="8">
        <f>IF(FE$56-Voorblad!$F$41&gt;Voorblad!$K$41,0,IF($U98=0,0,IF($U98&lt;1,1/$U98,IF((FE$56-Voorblad!$F$41)/$U98-SUM($EE98:FD98)=1,1,0))))</f>
        <v>1</v>
      </c>
      <c r="FF98" s="8">
        <f>IF(FF$56-Voorblad!$F$41&gt;Voorblad!$K$41,0,IF($U98=0,0,IF($U98&lt;1,1/$U98,IF((FF$56-Voorblad!$F$41)/$U98-SUM($EE98:FE98)=1,1,0))))</f>
        <v>1</v>
      </c>
      <c r="FG98" s="8">
        <f>IF(FG$56-Voorblad!$F$41&gt;Voorblad!$K$41,0,IF($U98=0,0,IF($U98&lt;1,1/$U98,IF((FG$56-Voorblad!$F$41)/$U98-SUM($EE98:FF98)=1,1,0))))</f>
        <v>1</v>
      </c>
      <c r="FH98" s="8">
        <f>IF(FH$56-Voorblad!$F$41&gt;Voorblad!$K$41,0,IF($U98=0,0,IF($U98&lt;1,1/$U98,IF((FH$56-Voorblad!$F$41)/$U98-SUM($EE98:FG98)=1,1,0))))</f>
        <v>1</v>
      </c>
      <c r="FI98" s="8">
        <f>IF(FI$56-Voorblad!$F$41&gt;Voorblad!$K$41,0,IF($U98=0,0,IF($U98&lt;1,1/$U98,IF((FI$56-Voorblad!$F$41)/$U98-SUM($EE98:FH98)=1,1,0))))</f>
        <v>1</v>
      </c>
      <c r="FJ98" s="8">
        <f>IF(FJ$56-Voorblad!$F$41&gt;Voorblad!$K$41,0,IF($U98=0,0,IF($U98&lt;1,1/$U98,IF((FJ$56-Voorblad!$F$41)/$U98-SUM($EE98:FI98)=1,1,0))))</f>
        <v>1</v>
      </c>
      <c r="FK98" s="8">
        <f>IF(FK$56-Voorblad!$F$41&gt;Voorblad!$K$41,0,IF($U98=0,0,IF($U98&lt;1,1/$U98,IF((FK$56-Voorblad!$F$41)/$U98-SUM($EE98:FJ98)=1,1,0))))</f>
        <v>1</v>
      </c>
      <c r="FL98" s="8">
        <f>IF(FL$56-Voorblad!$F$41&gt;Voorblad!$K$41,0,IF($U98=0,0,IF($U98&lt;1,1/$U98,IF((FL$56-Voorblad!$F$41)/$U98-SUM($EE98:FK98)=1,1,0))))</f>
        <v>1</v>
      </c>
      <c r="FM98" s="8">
        <f>IF(FM$56-Voorblad!$F$41&gt;Voorblad!$K$41,0,IF($U98=0,0,IF($U98&lt;1,1/$U98,IF((FM$56-Voorblad!$F$41)/$U98-SUM($EE98:FL98)=1,1,0))))</f>
        <v>1</v>
      </c>
      <c r="FN98" s="8">
        <f>IF(FN$56-Voorblad!$F$41&gt;Voorblad!$K$41,0,IF($U98=0,0,IF($U98&lt;1,1/$U98,IF((FN$56-Voorblad!$F$41)/$U98-SUM($EE98:FM98)=1,1,0))))</f>
        <v>1</v>
      </c>
      <c r="FO98" s="8">
        <f>IF(FO$56-Voorblad!$F$41&gt;Voorblad!$K$41,0,IF($U98=0,0,IF($U98&lt;1,1/$U98,IF((FO$56-Voorblad!$F$41)/$U98-SUM($EE98:FN98)=1,1,0))))</f>
        <v>1</v>
      </c>
      <c r="FP98" s="8">
        <f>IF(FP$56-Voorblad!$F$41&gt;Voorblad!$K$41,0,IF($U98=0,0,IF($U98&lt;1,1/$U98,IF((FP$56-Voorblad!$F$41)/$U98-SUM($EE98:FO98)=1,1,0))))</f>
        <v>1</v>
      </c>
      <c r="FQ98" s="8">
        <f>IF(FQ$56-Voorblad!$F$41&gt;Voorblad!$K$41,0,IF($U98=0,0,IF($U98&lt;1,1/$U98,IF((FQ$56-Voorblad!$F$41)/$U98-SUM($EE98:FP98)=1,1,0))))</f>
        <v>1</v>
      </c>
      <c r="FR98" s="8">
        <f>IF(FR$56-Voorblad!$F$41&gt;Voorblad!$K$41,0,IF($U98=0,0,IF($U98&lt;1,1/$U98,IF((FR$56-Voorblad!$F$41)/$U98-SUM($EE98:FQ98)=1,1,0))))</f>
        <v>1</v>
      </c>
      <c r="FS98" s="8">
        <f>IF(FS$56-Voorblad!$F$41&gt;Voorblad!$K$41,0,IF($U98=0,0,IF($U98&lt;1,1/$U98,IF((FS$56-Voorblad!$F$41)/$U98-SUM($EE98:FR98)=1,1,0))))</f>
        <v>1</v>
      </c>
      <c r="FT98" s="8">
        <f>IF(FT$56-Voorblad!$F$41&gt;Voorblad!$K$41,0,IF($U98=0,0,IF($U98&lt;1,1/$U98,IF((FT$56-Voorblad!$F$41)/$U98-SUM($EE98:FS98)=1,1,0))))</f>
        <v>1</v>
      </c>
      <c r="FU98" s="8">
        <f>IF(FU$56-Voorblad!$F$41&gt;Voorblad!$K$41,0,IF($U98=0,0,IF($U98&lt;1,1/$U98,IF((FU$56-Voorblad!$F$41)/$U98-SUM($EE98:FT98)=1,1,0))))</f>
        <v>1</v>
      </c>
      <c r="FV98" s="8">
        <f>IF(FV$56-Voorblad!$F$41&gt;Voorblad!$K$41,0,IF($U98=0,0,IF($U98&lt;1,1/$U98,IF((FV$56-Voorblad!$F$41)/$U98-SUM($EE98:FU98)=1,1,0))))</f>
        <v>1</v>
      </c>
      <c r="FW98" s="8">
        <f>IF(FW$56-Voorblad!$F$41&gt;Voorblad!$K$41,0,IF($U98=0,0,IF($U98&lt;1,1/$U98,IF((FW$56-Voorblad!$F$41)/$U98-SUM($EE98:FV98)=1,1,0))))</f>
        <v>1</v>
      </c>
      <c r="FX98" s="8">
        <f>IF(FX$56-Voorblad!$F$41&gt;Voorblad!$K$41,0,IF($U98=0,0,IF($U98&lt;1,1/$U98,IF((FX$56-Voorblad!$F$41)/$U98-SUM($EE98:FW98)=1,1,0))))</f>
        <v>1</v>
      </c>
      <c r="FY98" s="8">
        <f>IF(FY$56-Voorblad!$F$41&gt;Voorblad!$K$41,0,IF($U98=0,0,IF($U98&lt;1,1/$U98,IF((FY$56-Voorblad!$F$41)/$U98-SUM($EE98:FX98)=1,1,0))))</f>
        <v>1</v>
      </c>
      <c r="FZ98" s="8">
        <f>IF(FZ$56-Voorblad!$F$41&gt;Voorblad!$K$41,0,IF($U98=0,0,IF($U98&lt;1,1/$U98,IF((FZ$56-Voorblad!$F$41)/$U98-SUM($EE98:FY98)=1,1,0))))</f>
        <v>1</v>
      </c>
      <c r="GA98" s="8">
        <f>IF(GA$56-Voorblad!$F$41&gt;Voorblad!$K$41,0,IF($U98=0,0,IF($U98&lt;1,1/$U98,IF((GA$56-Voorblad!$F$41)/$U98-SUM($EE98:FZ98)=1,1,0))))</f>
        <v>1</v>
      </c>
      <c r="GB98" s="8">
        <f>IF(GB$56-Voorblad!$F$41&gt;Voorblad!$K$41,0,IF($U98=0,0,IF($U98&lt;1,1/$U98,IF((GB$56-Voorblad!$F$41)/$U98-SUM($EE98:GA98)=1,1,0))))</f>
        <v>1</v>
      </c>
      <c r="GC98" s="8">
        <f>IF(GC$56-Voorblad!$F$41&gt;Voorblad!$K$41,0,IF($U98=0,0,IF($U98&lt;1,1/$U98,IF((GC$56-Voorblad!$F$41)/$U98-SUM($EE98:GB98)=1,1,0))))</f>
        <v>1</v>
      </c>
      <c r="GD98" s="8">
        <f>IF(GD$56-Voorblad!$F$41&gt;Voorblad!$K$41,0,IF($U98=0,0,IF($U98&lt;1,1/$U98,IF((GD$56-Voorblad!$F$41)/$U98-SUM($EE98:GC98)=1,1,0))))</f>
        <v>1</v>
      </c>
      <c r="GE98" s="8">
        <f>IF(GE$56-Voorblad!$F$41&gt;Voorblad!$K$41,0,IF($U98=0,0,IF($U98&lt;1,1/$U98,IF((GE$56-Voorblad!$F$41)/$U98-SUM($EE98:GD98)=1,1,0))))</f>
        <v>1</v>
      </c>
      <c r="GF98" s="8">
        <f>IF(GF$56-Voorblad!$F$41&gt;Voorblad!$K$41,0,IF($U98=0,0,IF($U98&lt;1,1/$U98,IF((GF$56-Voorblad!$F$41)/$U98-SUM($EE98:GE98)=1,1,0))))</f>
        <v>1</v>
      </c>
      <c r="GG98" s="8">
        <f>IF(GG$56-Voorblad!$F$41&gt;Voorblad!$K$41,0,IF($U98=0,0,IF($U98&lt;1,1/$U98,IF((GG$56-Voorblad!$F$41)/$U98-SUM($EE98:GF98)=1,1,0))))</f>
        <v>1</v>
      </c>
      <c r="GH98" s="8">
        <f>IF(GH$56-Voorblad!$F$41&gt;Voorblad!$K$41,0,IF($U98=0,0,IF($U98&lt;1,1/$U98,IF((GH$56-Voorblad!$F$41)/$U98-SUM($EE98:GG98)=1,1,0))))</f>
        <v>1</v>
      </c>
      <c r="GI98" s="8">
        <f>IF(GI$56-Voorblad!$F$41&gt;Voorblad!$K$41,0,IF($U98=0,0,IF($U98&lt;1,1/$U98,IF((GI$56-Voorblad!$F$41)/$U98-SUM($EE98:GH98)=1,1,0))))</f>
        <v>1</v>
      </c>
      <c r="GJ98" s="8">
        <f>IF(GJ$56-Voorblad!$F$41&gt;Voorblad!$K$41,0,IF($U98=0,0,IF($U98&lt;1,1/$U98,IF((GJ$56-Voorblad!$F$41)/$U98-SUM($EE98:GI98)=1,1,0))))</f>
        <v>1</v>
      </c>
      <c r="GK98" s="8">
        <f>IF(GK$56-Voorblad!$F$41&gt;Voorblad!$K$41,0,IF($U98=0,0,IF($U98&lt;1,1/$U98,IF((GK$56-Voorblad!$F$41)/$U98-SUM($EE98:GJ98)=1,1,0))))</f>
        <v>1</v>
      </c>
      <c r="GL98" s="8">
        <f>IF(GL$56-Voorblad!$F$41&gt;Voorblad!$K$41,0,IF($U98=0,0,IF($U98&lt;1,1/$U98,IF((GL$56-Voorblad!$F$41)/$U98-SUM($EE98:GK98)=1,1,0))))</f>
        <v>1</v>
      </c>
      <c r="GM98" s="8">
        <f>IF(GM$56-Voorblad!$F$41&gt;Voorblad!$K$41,0,IF($U98=0,0,IF($U98&lt;1,1/$U98,IF((GM$56-Voorblad!$F$41)/$U98-SUM($EE98:GL98)=1,1,0))))</f>
        <v>1</v>
      </c>
      <c r="GN98" s="8">
        <f>IF(GN$56-Voorblad!$F$41&gt;Voorblad!$K$41,0,IF($U98=0,0,IF($U98&lt;1,1/$U98,IF((GN$56-Voorblad!$F$41)/$U98-SUM($EE98:GM98)=1,1,0))))</f>
        <v>1</v>
      </c>
      <c r="GO98" s="8">
        <f>IF(GO$56-Voorblad!$F$41&gt;Voorblad!$K$41,0,IF($U98=0,0,IF($U98&lt;1,1/$U98,IF((GO$56-Voorblad!$F$41)/$U98-SUM($EE98:GN98)=1,1,0))))</f>
        <v>1</v>
      </c>
      <c r="GP98" s="8">
        <f>IF(GP$56-Voorblad!$F$41&gt;Voorblad!$K$41,0,IF($U98=0,0,IF($U98&lt;1,1/$U98,IF((GP$56-Voorblad!$F$41)/$U98-SUM($EE98:GO98)=1,1,0))))</f>
        <v>1</v>
      </c>
      <c r="GQ98" s="8">
        <f>IF(GQ$56-Voorblad!$F$41&gt;Voorblad!$K$41,0,IF($U98=0,0,IF($U98&lt;1,1/$U98,IF((GQ$56-Voorblad!$F$41)/$U98-SUM($EE98:GP98)=1,1,0))))</f>
        <v>1</v>
      </c>
      <c r="GR98" s="8">
        <f>IF(GR$56-Voorblad!$F$41&gt;Voorblad!$K$41,0,IF($U98=0,0,IF($U98&lt;1,1/$U98,IF((GR$56-Voorblad!$F$41)/$U98-SUM($EE98:GQ98)=1,1,0))))</f>
        <v>1</v>
      </c>
      <c r="GS98" s="8">
        <f>IF(GS$56-Voorblad!$F$41&gt;Voorblad!$K$41,0,IF($U98=0,0,IF($U98&lt;1,1/$U98,IF((GS$56-Voorblad!$F$41)/$U98-SUM($EE98:GR98)=1,1,0))))</f>
        <v>1</v>
      </c>
      <c r="GT98" s="8">
        <f>IF(GT$56-Voorblad!$F$41&gt;Voorblad!$K$41,0,IF($U98=0,0,IF($U98&lt;1,1/$U98,IF((GT$56-Voorblad!$F$41)/$U98-SUM($EE98:GS98)=1,1,0))))</f>
        <v>1</v>
      </c>
      <c r="GU98" s="8">
        <f>IF(GU$56-Voorblad!$F$41&gt;Voorblad!$K$41,0,IF($U98=0,0,IF($U98&lt;1,1/$U98,IF((GU$56-Voorblad!$F$41)/$U98-SUM($EE98:GT98)=1,1,0))))</f>
        <v>1</v>
      </c>
      <c r="GV98" s="8">
        <f>IF(GV$56-Voorblad!$F$41&gt;Voorblad!$K$41,0,IF($U98=0,0,IF($U98&lt;1,1/$U98,IF((GV$56-Voorblad!$F$41)/$U98-SUM($EE98:GU98)=1,1,0))))</f>
        <v>1</v>
      </c>
      <c r="GW98" s="8">
        <f>IF(GW$56-Voorblad!$F$41&gt;Voorblad!$K$41,0,IF($U98=0,0,IF($U98&lt;1,1/$U98,IF((GW$56-Voorblad!$F$41)/$U98-SUM($EE98:GV98)=1,1,0))))</f>
        <v>1</v>
      </c>
      <c r="GX98" s="8">
        <f>IF(GX$56-Voorblad!$F$41&gt;Voorblad!$K$41,0,IF($U98=0,0,IF($U98&lt;1,1/$U98,IF((GX$56-Voorblad!$F$41)/$U98-SUM($EE98:GW98)=1,1,0))))</f>
        <v>1</v>
      </c>
      <c r="GY98" s="8">
        <f>IF(GY$56-Voorblad!$F$41&gt;Voorblad!$K$41,0,IF($U98=0,0,IF($U98&lt;1,1/$U98,IF((GY$56-Voorblad!$F$41)/$U98-SUM($EE98:GX98)=1,1,0))))</f>
        <v>1</v>
      </c>
      <c r="GZ98" s="8">
        <f>IF(GZ$56-Voorblad!$F$41&gt;Voorblad!$K$41,0,IF($U98=0,0,IF($U98&lt;1,1/$U98,IF((GZ$56-Voorblad!$F$41)/$U98-SUM($EE98:GY98)=1,1,0))))</f>
        <v>1</v>
      </c>
      <c r="HA98" s="8">
        <f>IF(HA$56-Voorblad!$F$41&gt;Voorblad!$K$41,0,IF($U98=0,0,IF($U98&lt;1,1/$U98,IF((HA$56-Voorblad!$F$41)/$U98-SUM($EE98:GZ98)=1,1,0))))</f>
        <v>1</v>
      </c>
      <c r="HB98" s="8">
        <f>IF(HB$56-Voorblad!$F$41&gt;Voorblad!$K$41,0,IF($U98=0,0,IF($U98&lt;1,1/$U98,IF((HB$56-Voorblad!$F$41)/$U98-SUM($EE98:HA98)=1,1,0))))</f>
        <v>0</v>
      </c>
      <c r="HC98" s="8">
        <f>IF(HC$56-Voorblad!$F$41&gt;Voorblad!$K$41,0,IF($U98=0,0,IF($U98&lt;1,1/$U98,IF((HC$56-Voorblad!$F$41)/$U98-SUM($EE98:HB98)=1,1,0))))</f>
        <v>0</v>
      </c>
      <c r="HD98" s="8">
        <f>IF(HD$56-Voorblad!$F$41&gt;Voorblad!$K$41,0,IF($U98=0,0,IF($U98&lt;1,1/$U98,IF((HD$56-Voorblad!$F$41)/$U98-SUM($EE98:HC98)=1,1,0))))</f>
        <v>0</v>
      </c>
      <c r="HE98" s="8">
        <f>IF(HE$56-Voorblad!$F$41&gt;Voorblad!$K$41,0,IF($U98=0,0,IF($U98&lt;1,1/$U98,IF((HE$56-Voorblad!$F$41)/$U98-SUM($EE98:HD98)=1,1,0))))</f>
        <v>0</v>
      </c>
      <c r="HF98" s="8">
        <f>IF(HF$56-Voorblad!$F$41&gt;Voorblad!$K$41,0,IF($U98=0,0,IF($U98&lt;1,1/$U98,IF((HF$56-Voorblad!$F$41)/$U98-SUM($EE98:HE98)=1,1,0))))</f>
        <v>0</v>
      </c>
      <c r="HG98" s="8">
        <f>IF(HG$56-Voorblad!$F$41&gt;Voorblad!$K$41,0,IF($U98=0,0,IF($U98&lt;1,1/$U98,IF((HG$56-Voorblad!$F$41)/$U98-SUM($EE98:HF98)=1,1,0))))</f>
        <v>0</v>
      </c>
      <c r="HH98" s="8">
        <f>IF(HH$56-Voorblad!$F$41&gt;Voorblad!$K$41,0,IF($U98=0,0,IF($U98&lt;1,1/$U98,IF((HH$56-Voorblad!$F$41)/$U98-SUM($EE98:HG98)=1,1,0))))</f>
        <v>0</v>
      </c>
      <c r="HI98" s="8">
        <f>IF(HI$56-Voorblad!$F$41&gt;Voorblad!$K$41,0,IF($U98=0,0,IF($U98&lt;1,1/$U98,IF((HI$56-Voorblad!$F$41)/$U98-SUM($EE98:HH98)=1,1,0))))</f>
        <v>0</v>
      </c>
      <c r="HJ98" s="8">
        <f>IF(HJ$56-Voorblad!$F$41&gt;Voorblad!$K$41,0,IF($U98=0,0,IF($U98&lt;1,1/$U98,IF((HJ$56-Voorblad!$F$41)/$U98-SUM($EE98:HI98)=1,1,0))))</f>
        <v>0</v>
      </c>
      <c r="HK98" s="8">
        <f>IF(HK$56-Voorblad!$F$41&gt;Voorblad!$K$41,0,IF($U98=0,0,IF($U98&lt;1,1/$U98,IF((HK$56-Voorblad!$F$41)/$U98-SUM($EE98:HJ98)=1,1,0))))</f>
        <v>0</v>
      </c>
      <c r="HL98" s="8">
        <f>IF(HL$56-Voorblad!$F$41&gt;Voorblad!$K$41,0,IF($U98=0,0,IF($U98&lt;1,1/$U98,IF((HL$56-Voorblad!$F$41)/$U98-SUM($EE98:HK98)=1,1,0))))</f>
        <v>0</v>
      </c>
      <c r="HM98" s="8">
        <f>IF(HM$56-Voorblad!$F$41&gt;Voorblad!$K$41,0,IF($U98=0,0,IF($U98&lt;1,1/$U98,IF((HM$56-Voorblad!$F$41)/$U98-SUM($EE98:HL98)=1,1,0))))</f>
        <v>0</v>
      </c>
      <c r="HN98" s="8">
        <f>IF(HN$56-Voorblad!$F$41&gt;Voorblad!$K$41,0,IF($U98=0,0,IF($U98&lt;1,1/$U98,IF((HN$56-Voorblad!$F$41)/$U98-SUM($EE98:HM98)=1,1,0))))</f>
        <v>0</v>
      </c>
      <c r="HO98" s="8">
        <f>IF(HO$56-Voorblad!$F$41&gt;Voorblad!$K$41,0,IF($U98=0,0,IF($U98&lt;1,1/$U98,IF((HO$56-Voorblad!$F$41)/$U98-SUM($EE98:HN98)=1,1,0))))</f>
        <v>0</v>
      </c>
      <c r="HP98" s="8">
        <f>IF(HP$56-Voorblad!$F$41&gt;Voorblad!$K$41,0,IF($U98=0,0,IF($U98&lt;1,1/$U98,IF((HP$56-Voorblad!$F$41)/$U98-SUM($EE98:HO98)=1,1,0))))</f>
        <v>0</v>
      </c>
      <c r="HQ98" s="8">
        <f>IF(HQ$56-Voorblad!$F$41&gt;Voorblad!$K$41,0,IF($U98=0,0,IF($U98&lt;1,1/$U98,IF((HQ$56-Voorblad!$F$41)/$U98-SUM($EE98:HP98)=1,1,0))))</f>
        <v>0</v>
      </c>
      <c r="HR98" s="8">
        <f>IF(HR$56-Voorblad!$F$41&gt;Voorblad!$K$41,0,IF($U98=0,0,IF($U98&lt;1,1/$U98,IF((HR$56-Voorblad!$F$41)/$U98-SUM($EE98:HQ98)=1,1,0))))</f>
        <v>0</v>
      </c>
      <c r="HS98" s="8">
        <f>IF(HS$56-Voorblad!$F$41&gt;Voorblad!$K$41,0,IF($U98=0,0,IF($U98&lt;1,1/$U98,IF((HS$56-Voorblad!$F$41)/$U98-SUM($EE98:HR98)=1,1,0))))</f>
        <v>0</v>
      </c>
      <c r="HT98" s="8">
        <f>IF(HT$56-Voorblad!$F$41&gt;Voorblad!$K$41,0,IF($U98=0,0,IF($U98&lt;1,1/$U98,IF((HT$56-Voorblad!$F$41)/$U98-SUM($EE98:HS98)=1,1,0))))</f>
        <v>0</v>
      </c>
      <c r="HU98" s="8">
        <f>IF(HU$56-Voorblad!$F$41&gt;Voorblad!$K$41,0,IF($U98=0,0,IF($U98&lt;1,1/$U98,IF((HU$56-Voorblad!$F$41)/$U98-SUM($EE98:HT98)=1,1,0))))</f>
        <v>0</v>
      </c>
      <c r="HV98" s="8">
        <f>IF(HV$56-Voorblad!$F$41&gt;Voorblad!$K$41,0,IF($U98=0,0,IF($U98&lt;1,1/$U98,IF((HV$56-Voorblad!$F$41)/$U98-SUM($EE98:HU98)=1,1,0))))</f>
        <v>0</v>
      </c>
      <c r="HW98" s="8">
        <f>IF(HW$56-Voorblad!$F$41&gt;Voorblad!$K$41,0,IF($U98=0,0,IF($U98&lt;1,1/$U98,IF((HW$56-Voorblad!$F$41)/$U98-SUM($EE98:HV98)=1,1,0))))</f>
        <v>0</v>
      </c>
      <c r="HX98" s="8">
        <f>IF(HX$56-Voorblad!$F$41&gt;Voorblad!$K$41,0,IF($U98=0,0,IF($U98&lt;1,1/$U98,IF((HX$56-Voorblad!$F$41)/$U98-SUM($EE98:HW98)=1,1,0))))</f>
        <v>0</v>
      </c>
      <c r="HY98" s="8">
        <f>IF(HY$56-Voorblad!$F$41&gt;Voorblad!$K$41,0,IF($U98=0,0,IF($U98&lt;1,1/$U98,IF((HY$56-Voorblad!$F$41)/$U98-SUM($EE98:HX98)=1,1,0))))</f>
        <v>0</v>
      </c>
      <c r="HZ98" s="8">
        <f>IF(HZ$56-Voorblad!$F$41&gt;Voorblad!$K$41,0,IF($U98=0,0,IF($U98&lt;1,1/$U98,IF((HZ$56-Voorblad!$F$41)/$U98-SUM($EE98:HY98)=1,1,0))))</f>
        <v>0</v>
      </c>
      <c r="IA98" s="8">
        <f>IF(IA$56-Voorblad!$F$41&gt;Voorblad!$K$41,0,IF($U98=0,0,IF($U98&lt;1,1/$U98,IF((IA$56-Voorblad!$F$41)/$U98-SUM($EE98:HZ98)=1,1,0))))</f>
        <v>0</v>
      </c>
      <c r="IB98" s="8">
        <f>IF(IB$56-Voorblad!$F$41&gt;Voorblad!$K$41,0,IF($U98=0,0,IF($U98&lt;1,1/$U98,IF((IB$56-Voorblad!$F$41)/$U98-SUM($EE98:IA98)=1,1,0))))</f>
        <v>0</v>
      </c>
    </row>
    <row r="99" spans="2:236" hidden="1" outlineLevel="1" x14ac:dyDescent="0.25">
      <c r="B99" s="14">
        <v>1</v>
      </c>
      <c r="C99" s="14"/>
      <c r="F99" s="1" t="s">
        <v>55</v>
      </c>
      <c r="I99" s="1" t="s">
        <v>67</v>
      </c>
      <c r="K99" s="14" t="s">
        <v>153</v>
      </c>
      <c r="N99" s="3"/>
      <c r="O99" s="1" t="s">
        <v>96</v>
      </c>
      <c r="Q99" s="1">
        <f>Q80</f>
        <v>0</v>
      </c>
      <c r="R99" s="1" t="s">
        <v>35</v>
      </c>
      <c r="S99" s="14">
        <f>25%*$S$80</f>
        <v>59.5</v>
      </c>
      <c r="T99" s="14">
        <f t="shared" si="19"/>
        <v>0</v>
      </c>
      <c r="U99" s="11">
        <v>1</v>
      </c>
      <c r="V99" s="14"/>
      <c r="W99" s="81">
        <v>0</v>
      </c>
      <c r="X99" s="6"/>
      <c r="Y99" s="9">
        <f t="shared" si="11"/>
        <v>0</v>
      </c>
      <c r="Z99" s="82"/>
      <c r="AA99" s="82"/>
      <c r="AC99" s="9">
        <f>$Y99*(Voorblad!$K$44*(1+Voorblad!$K$44)^Voorblad!$K$41)/((1+Voorblad!$K$44)^Voorblad!$K$41-1)</f>
        <v>0</v>
      </c>
      <c r="AE99" s="9">
        <f>IF($W99=AE$56,EF99*($Q99*$S99)/(1+Voorblad!$K$44)^(AE$56-Voorblad!$F$41),0)</f>
        <v>0</v>
      </c>
      <c r="AF99" s="9">
        <f>IF($W99=AF$56,EG99*($Q99*$S99)/(1+Voorblad!$K$44)^(AF$56-Voorblad!$F$41),0)</f>
        <v>0</v>
      </c>
      <c r="AG99" s="9">
        <f>IF($W99=AG$56,EH99*($Q99*$S99)/(1+Voorblad!$K$44)^(AG$56-Voorblad!$F$41),0)</f>
        <v>0</v>
      </c>
      <c r="AH99" s="9">
        <f>IF($W99=AH$56,EI99*($Q99*$S99)/(1+Voorblad!$K$44)^(AH$56-Voorblad!$F$41),0)</f>
        <v>0</v>
      </c>
      <c r="AI99" s="9">
        <f>IF($W99=AI$56,EJ99*($Q99*$S99)/(1+Voorblad!$K$44)^(AI$56-Voorblad!$F$41),0)</f>
        <v>0</v>
      </c>
      <c r="AJ99" s="9">
        <f>IF($W99=AJ$56,EK99*($Q99*$S99)/(1+Voorblad!$K$44)^(AJ$56-Voorblad!$F$41),0)</f>
        <v>0</v>
      </c>
      <c r="AK99" s="9">
        <f>IF($W99=AK$56,EL99*($Q99*$S99)/(1+Voorblad!$K$44)^(AK$56-Voorblad!$F$41),0)</f>
        <v>0</v>
      </c>
      <c r="AL99" s="9">
        <f>IF($W99=AL$56,EM99*($Q99*$S99)/(1+Voorblad!$K$44)^(AL$56-Voorblad!$F$41),0)</f>
        <v>0</v>
      </c>
      <c r="AM99" s="9">
        <f>IF($W99=AM$56,EN99*($Q99*$S99)/(1+Voorblad!$K$44)^(AM$56-Voorblad!$F$41),0)</f>
        <v>0</v>
      </c>
      <c r="AN99" s="9">
        <f>IF($W99=AN$56,EO99*($Q99*$S99)/(1+Voorblad!$K$44)^(AN$56-Voorblad!$F$41),0)</f>
        <v>0</v>
      </c>
      <c r="AO99" s="9">
        <f>IF($W99=AO$56,EP99*($Q99*$S99)/(1+Voorblad!$K$44)^(AO$56-Voorblad!$F$41),0)</f>
        <v>0</v>
      </c>
      <c r="AP99" s="9">
        <f>IF($W99=AP$56,EQ99*($Q99*$S99)/(1+Voorblad!$K$44)^(AP$56-Voorblad!$F$41),0)</f>
        <v>0</v>
      </c>
      <c r="AQ99" s="9">
        <f>IF($W99=AQ$56,ER99*($Q99*$S99)/(1+Voorblad!$K$44)^(AQ$56-Voorblad!$F$41),0)</f>
        <v>0</v>
      </c>
      <c r="AR99" s="9">
        <f>IF($W99=AR$56,ES99*($Q99*$S99)/(1+Voorblad!$K$44)^(AR$56-Voorblad!$F$41),0)</f>
        <v>0</v>
      </c>
      <c r="AS99" s="9">
        <f>IF($W99=AS$56,ET99*($Q99*$S99)/(1+Voorblad!$K$44)^(AS$56-Voorblad!$F$41),0)</f>
        <v>0</v>
      </c>
      <c r="AT99" s="9">
        <f>IF($W99=AT$56,EU99*($Q99*$S99)/(1+Voorblad!$K$44)^(AT$56-Voorblad!$F$41),0)</f>
        <v>0</v>
      </c>
      <c r="AU99" s="9">
        <f>IF($W99=AU$56,EV99*($Q99*$S99)/(1+Voorblad!$K$44)^(AU$56-Voorblad!$F$41),0)</f>
        <v>0</v>
      </c>
      <c r="AV99" s="9">
        <f>IF($W99=AV$56,EW99*($Q99*$S99)/(1+Voorblad!$K$44)^(AV$56-Voorblad!$F$41),0)</f>
        <v>0</v>
      </c>
      <c r="AW99" s="9">
        <f>IF($W99=AW$56,EX99*($Q99*$S99)/(1+Voorblad!$K$44)^(AW$56-Voorblad!$F$41),0)</f>
        <v>0</v>
      </c>
      <c r="AX99" s="9">
        <f>IF($W99=AX$56,EY99*($Q99*$S99)/(1+Voorblad!$K$44)^(AX$56-Voorblad!$F$41),0)</f>
        <v>0</v>
      </c>
      <c r="AY99" s="9">
        <f>IF($W99=AY$56,EZ99*($Q99*$S99)/(1+Voorblad!$K$44)^(AY$56-Voorblad!$F$41),0)</f>
        <v>0</v>
      </c>
      <c r="AZ99" s="9">
        <f>IF($W99=AZ$56,FA99*($Q99*$S99)/(1+Voorblad!$K$44)^(AZ$56-Voorblad!$F$41),0)</f>
        <v>0</v>
      </c>
      <c r="BA99" s="9">
        <f>IF($W99=BA$56,FB99*($Q99*$S99)/(1+Voorblad!$K$44)^(BA$56-Voorblad!$F$41),0)</f>
        <v>0</v>
      </c>
      <c r="BB99" s="9">
        <f>IF($W99=BB$56,FC99*($Q99*$S99)/(1+Voorblad!$K$44)^(BB$56-Voorblad!$F$41),0)</f>
        <v>0</v>
      </c>
      <c r="BC99" s="9">
        <f>IF($W99=BC$56,FD99*($Q99*$S99)/(1+Voorblad!$K$44)^(BC$56-Voorblad!$F$41),0)</f>
        <v>0</v>
      </c>
      <c r="BD99" s="9">
        <f>IF($W99=BD$56,FE99*($Q99*$S99)/(1+Voorblad!$K$44)^(BD$56-Voorblad!$F$41),0)</f>
        <v>0</v>
      </c>
      <c r="BE99" s="9">
        <f>IF($W99=BE$56,FF99*($Q99*$S99)/(1+Voorblad!$K$44)^(BE$56-Voorblad!$F$41),0)</f>
        <v>0</v>
      </c>
      <c r="BF99" s="9">
        <f>IF($W99=BF$56,FG99*($Q99*$S99)/(1+Voorblad!$K$44)^(BF$56-Voorblad!$F$41),0)</f>
        <v>0</v>
      </c>
      <c r="BG99" s="9">
        <f>IF($W99=BG$56,FH99*($Q99*$S99)/(1+Voorblad!$K$44)^(BG$56-Voorblad!$F$41),0)</f>
        <v>0</v>
      </c>
      <c r="BH99" s="9">
        <f>IF($W99=BH$56,FI99*($Q99*$S99)/(1+Voorblad!$K$44)^(BH$56-Voorblad!$F$41),0)</f>
        <v>0</v>
      </c>
      <c r="BI99" s="9">
        <f>IF($W99=BI$56,FJ99*($Q99*$S99)/(1+Voorblad!$K$44)^(BI$56-Voorblad!$F$41),0)</f>
        <v>0</v>
      </c>
      <c r="BJ99" s="9">
        <f>IF($W99=BJ$56,FK99*($Q99*$S99)/(1+Voorblad!$K$44)^(BJ$56-Voorblad!$F$41),0)</f>
        <v>0</v>
      </c>
      <c r="BK99" s="9">
        <f>IF($W99=BK$56,FL99*($Q99*$S99)/(1+Voorblad!$K$44)^(BK$56-Voorblad!$F$41),0)</f>
        <v>0</v>
      </c>
      <c r="BL99" s="9">
        <f>IF($W99=BL$56,FM99*($Q99*$S99)/(1+Voorblad!$K$44)^(BL$56-Voorblad!$F$41),0)</f>
        <v>0</v>
      </c>
      <c r="BM99" s="9">
        <f>IF($W99=BM$56,FN99*($Q99*$S99)/(1+Voorblad!$K$44)^(BM$56-Voorblad!$F$41),0)</f>
        <v>0</v>
      </c>
      <c r="BN99" s="9">
        <f>IF($W99=BN$56,FO99*($Q99*$S99)/(1+Voorblad!$K$44)^(BN$56-Voorblad!$F$41),0)</f>
        <v>0</v>
      </c>
      <c r="BO99" s="9">
        <f>IF($W99=BO$56,FP99*($Q99*$S99)/(1+Voorblad!$K$44)^(BO$56-Voorblad!$F$41),0)</f>
        <v>0</v>
      </c>
      <c r="BP99" s="9">
        <f>IF($W99=BP$56,FQ99*($Q99*$S99)/(1+Voorblad!$K$44)^(BP$56-Voorblad!$F$41),0)</f>
        <v>0</v>
      </c>
      <c r="BQ99" s="9">
        <f>IF($W99=BQ$56,FR99*($Q99*$S99)/(1+Voorblad!$K$44)^(BQ$56-Voorblad!$F$41),0)</f>
        <v>0</v>
      </c>
      <c r="BR99" s="9">
        <f>IF($W99=BR$56,FS99*($Q99*$S99)/(1+Voorblad!$K$44)^(BR$56-Voorblad!$F$41),0)</f>
        <v>0</v>
      </c>
      <c r="BS99" s="9">
        <f>IF($W99=BS$56,FT99*($Q99*$S99)/(1+Voorblad!$K$44)^(BS$56-Voorblad!$F$41),0)</f>
        <v>0</v>
      </c>
      <c r="BT99" s="9">
        <f>IF($W99=BT$56,FU99*($Q99*$S99)/(1+Voorblad!$K$44)^(BT$56-Voorblad!$F$41),0)</f>
        <v>0</v>
      </c>
      <c r="BU99" s="9">
        <f>IF($W99=BU$56,FV99*($Q99*$S99)/(1+Voorblad!$K$44)^(BU$56-Voorblad!$F$41),0)</f>
        <v>0</v>
      </c>
      <c r="BV99" s="9">
        <f>IF($W99=BV$56,FW99*($Q99*$S99)/(1+Voorblad!$K$44)^(BV$56-Voorblad!$F$41),0)</f>
        <v>0</v>
      </c>
      <c r="BW99" s="9">
        <f>IF($W99=BW$56,FX99*($Q99*$S99)/(1+Voorblad!$K$44)^(BW$56-Voorblad!$F$41),0)</f>
        <v>0</v>
      </c>
      <c r="BX99" s="9">
        <f>IF($W99=BX$56,FY99*($Q99*$S99)/(1+Voorblad!$K$44)^(BX$56-Voorblad!$F$41),0)</f>
        <v>0</v>
      </c>
      <c r="BY99" s="9">
        <f>IF($W99=BY$56,FZ99*($Q99*$S99)/(1+Voorblad!$K$44)^(BY$56-Voorblad!$F$41),0)</f>
        <v>0</v>
      </c>
      <c r="BZ99" s="9">
        <f>IF($W99=BZ$56,GA99*($Q99*$S99)/(1+Voorblad!$K$44)^(BZ$56-Voorblad!$F$41),0)</f>
        <v>0</v>
      </c>
      <c r="CA99" s="9">
        <f>IF($W99=CA$56,GB99*($Q99*$S99)/(1+Voorblad!$K$44)^(CA$56-Voorblad!$F$41),0)</f>
        <v>0</v>
      </c>
      <c r="CB99" s="9">
        <f>IF($W99=CB$56,GC99*($Q99*$S99)/(1+Voorblad!$K$44)^(CB$56-Voorblad!$F$41),0)</f>
        <v>0</v>
      </c>
      <c r="CC99" s="9">
        <f>IF($W99=CC$56,GD99*($Q99*$S99)/(1+Voorblad!$K$44)^(CC$56-Voorblad!$F$41),0)</f>
        <v>0</v>
      </c>
      <c r="CD99" s="9">
        <f>IF($W99=CD$56,GE99*($Q99*$S99)/(1+Voorblad!$K$44)^(CD$56-Voorblad!$F$41),0)</f>
        <v>0</v>
      </c>
      <c r="CE99" s="9">
        <f>IF($W99=CE$56,GF99*($Q99*$S99)/(1+Voorblad!$K$44)^(CE$56-Voorblad!$F$41),0)</f>
        <v>0</v>
      </c>
      <c r="CF99" s="9">
        <f>IF($W99=CF$56,GG99*($Q99*$S99)/(1+Voorblad!$K$44)^(CF$56-Voorblad!$F$41),0)</f>
        <v>0</v>
      </c>
      <c r="CG99" s="9">
        <f>IF($W99=CG$56,GH99*($Q99*$S99)/(1+Voorblad!$K$44)^(CG$56-Voorblad!$F$41),0)</f>
        <v>0</v>
      </c>
      <c r="CH99" s="9">
        <f>IF($W99=CH$56,GI99*($Q99*$S99)/(1+Voorblad!$K$44)^(CH$56-Voorblad!$F$41),0)</f>
        <v>0</v>
      </c>
      <c r="CI99" s="9">
        <f>IF($W99=CI$56,GJ99*($Q99*$S99)/(1+Voorblad!$K$44)^(CI$56-Voorblad!$F$41),0)</f>
        <v>0</v>
      </c>
      <c r="CJ99" s="9">
        <f>IF($W99=CJ$56,GK99*($Q99*$S99)/(1+Voorblad!$K$44)^(CJ$56-Voorblad!$F$41),0)</f>
        <v>0</v>
      </c>
      <c r="CK99" s="9">
        <f>IF($W99=CK$56,GL99*($Q99*$S99)/(1+Voorblad!$K$44)^(CK$56-Voorblad!$F$41),0)</f>
        <v>0</v>
      </c>
      <c r="CL99" s="9">
        <f>IF($W99=CL$56,GM99*($Q99*$S99)/(1+Voorblad!$K$44)^(CL$56-Voorblad!$F$41),0)</f>
        <v>0</v>
      </c>
      <c r="CM99" s="9">
        <f>IF($W99=CM$56,GN99*($Q99*$S99)/(1+Voorblad!$K$44)^(CM$56-Voorblad!$F$41),0)</f>
        <v>0</v>
      </c>
      <c r="CN99" s="9">
        <f>IF($W99=CN$56,GO99*($Q99*$S99)/(1+Voorblad!$K$44)^(CN$56-Voorblad!$F$41),0)</f>
        <v>0</v>
      </c>
      <c r="CO99" s="9">
        <f>IF($W99=CO$56,GP99*($Q99*$S99)/(1+Voorblad!$K$44)^(CO$56-Voorblad!$F$41),0)</f>
        <v>0</v>
      </c>
      <c r="CP99" s="9">
        <f>IF($W99=CP$56,GQ99*($Q99*$S99)/(1+Voorblad!$K$44)^(CP$56-Voorblad!$F$41),0)</f>
        <v>0</v>
      </c>
      <c r="CQ99" s="9">
        <f>IF($W99=CQ$56,GR99*($Q99*$S99)/(1+Voorblad!$K$44)^(CQ$56-Voorblad!$F$41),0)</f>
        <v>0</v>
      </c>
      <c r="CR99" s="9">
        <f>IF($W99=CR$56,GS99*($Q99*$S99)/(1+Voorblad!$K$44)^(CR$56-Voorblad!$F$41),0)</f>
        <v>0</v>
      </c>
      <c r="CS99" s="9">
        <f>IF($W99=CS$56,GT99*($Q99*$S99)/(1+Voorblad!$K$44)^(CS$56-Voorblad!$F$41),0)</f>
        <v>0</v>
      </c>
      <c r="CT99" s="9">
        <f>IF($W99=CT$56,GU99*($Q99*$S99)/(1+Voorblad!$K$44)^(CT$56-Voorblad!$F$41),0)</f>
        <v>0</v>
      </c>
      <c r="CU99" s="9">
        <f>IF($W99=CU$56,GV99*($Q99*$S99)/(1+Voorblad!$K$44)^(CU$56-Voorblad!$F$41),0)</f>
        <v>0</v>
      </c>
      <c r="CV99" s="9">
        <f>IF($W99=CV$56,GW99*($Q99*$S99)/(1+Voorblad!$K$44)^(CV$56-Voorblad!$F$41),0)</f>
        <v>0</v>
      </c>
      <c r="CW99" s="9">
        <f>IF($W99=CW$56,GX99*($Q99*$S99)/(1+Voorblad!$K$44)^(CW$56-Voorblad!$F$41),0)</f>
        <v>0</v>
      </c>
      <c r="CX99" s="9">
        <f>IF($W99=CX$56,GY99*($Q99*$S99)/(1+Voorblad!$K$44)^(CX$56-Voorblad!$F$41),0)</f>
        <v>0</v>
      </c>
      <c r="CY99" s="9">
        <f>IF($W99=CY$56,GZ99*($Q99*$S99)/(1+Voorblad!$K$44)^(CY$56-Voorblad!$F$41),0)</f>
        <v>0</v>
      </c>
      <c r="CZ99" s="9">
        <f>IF($W99=CZ$56,HA99*($Q99*$S99)/(1+Voorblad!$K$44)^(CZ$56-Voorblad!$F$41),0)</f>
        <v>0</v>
      </c>
      <c r="DA99" s="9">
        <f>IF($W99=DA$56,HB99*($Q99*$S99)/(1+Voorblad!$K$44)^(DA$56-Voorblad!$F$41),0)</f>
        <v>0</v>
      </c>
      <c r="DB99" s="9">
        <f>IF($W99=DB$56,HC99*($Q99*$S99)/(1+Voorblad!$K$44)^(DB$56-Voorblad!$F$41),0)</f>
        <v>0</v>
      </c>
      <c r="DC99" s="9">
        <f>IF($W99=DC$56,HD99*($Q99*$S99)/(1+Voorblad!$K$44)^(DC$56-Voorblad!$F$41),0)</f>
        <v>0</v>
      </c>
      <c r="DD99" s="9">
        <f>IF($W99=DD$56,HE99*($Q99*$S99)/(1+Voorblad!$K$44)^(DD$56-Voorblad!$F$41),0)</f>
        <v>0</v>
      </c>
      <c r="DE99" s="9">
        <f>IF($W99=DE$56,HF99*($Q99*$S99)/(1+Voorblad!$K$44)^(DE$56-Voorblad!$F$41),0)</f>
        <v>0</v>
      </c>
      <c r="DF99" s="9">
        <f>IF($W99=DF$56,HG99*($Q99*$S99)/(1+Voorblad!$K$44)^(DF$56-Voorblad!$F$41),0)</f>
        <v>0</v>
      </c>
      <c r="DG99" s="9">
        <f>IF($W99=DG$56,HH99*($Q99*$S99)/(1+Voorblad!$K$44)^(DG$56-Voorblad!$F$41),0)</f>
        <v>0</v>
      </c>
      <c r="DH99" s="9">
        <f>IF($W99=DH$56,HI99*($Q99*$S99)/(1+Voorblad!$K$44)^(DH$56-Voorblad!$F$41),0)</f>
        <v>0</v>
      </c>
      <c r="DI99" s="9">
        <f>IF($W99=DI$56,HJ99*($Q99*$S99)/(1+Voorblad!$K$44)^(DI$56-Voorblad!$F$41),0)</f>
        <v>0</v>
      </c>
      <c r="DJ99" s="9">
        <f>IF($W99=DJ$56,HK99*($Q99*$S99)/(1+Voorblad!$K$44)^(DJ$56-Voorblad!$F$41),0)</f>
        <v>0</v>
      </c>
      <c r="DK99" s="9">
        <f>IF($W99=DK$56,HL99*($Q99*$S99)/(1+Voorblad!$K$44)^(DK$56-Voorblad!$F$41),0)</f>
        <v>0</v>
      </c>
      <c r="DL99" s="9">
        <f>IF($W99=DL$56,HM99*($Q99*$S99)/(1+Voorblad!$K$44)^(DL$56-Voorblad!$F$41),0)</f>
        <v>0</v>
      </c>
      <c r="DM99" s="9">
        <f>IF($W99=DM$56,HN99*($Q99*$S99)/(1+Voorblad!$K$44)^(DM$56-Voorblad!$F$41),0)</f>
        <v>0</v>
      </c>
      <c r="DN99" s="9">
        <f>IF($W99=DN$56,HO99*($Q99*$S99)/(1+Voorblad!$K$44)^(DN$56-Voorblad!$F$41),0)</f>
        <v>0</v>
      </c>
      <c r="DO99" s="9">
        <f>IF($W99=DO$56,HP99*($Q99*$S99)/(1+Voorblad!$K$44)^(DO$56-Voorblad!$F$41),0)</f>
        <v>0</v>
      </c>
      <c r="DP99" s="9">
        <f>IF($W99=DP$56,HQ99*($Q99*$S99)/(1+Voorblad!$K$44)^(DP$56-Voorblad!$F$41),0)</f>
        <v>0</v>
      </c>
      <c r="DQ99" s="9">
        <f>IF($W99=DQ$56,HR99*($Q99*$S99)/(1+Voorblad!$K$44)^(DQ$56-Voorblad!$F$41),0)</f>
        <v>0</v>
      </c>
      <c r="DR99" s="9">
        <f>IF($W99=DR$56,HS99*($Q99*$S99)/(1+Voorblad!$K$44)^(DR$56-Voorblad!$F$41),0)</f>
        <v>0</v>
      </c>
      <c r="DS99" s="9">
        <f>IF($W99=DS$56,HT99*($Q99*$S99)/(1+Voorblad!$K$44)^(DS$56-Voorblad!$F$41),0)</f>
        <v>0</v>
      </c>
      <c r="DT99" s="9">
        <f>IF($W99=DT$56,HU99*($Q99*$S99)/(1+Voorblad!$K$44)^(DT$56-Voorblad!$F$41),0)</f>
        <v>0</v>
      </c>
      <c r="DU99" s="9">
        <f>IF($W99=DU$56,HV99*($Q99*$S99)/(1+Voorblad!$K$44)^(DU$56-Voorblad!$F$41),0)</f>
        <v>0</v>
      </c>
      <c r="DV99" s="9">
        <f>IF($W99=DV$56,HW99*($Q99*$S99)/(1+Voorblad!$K$44)^(DV$56-Voorblad!$F$41),0)</f>
        <v>0</v>
      </c>
      <c r="DW99" s="9">
        <f>IF($W99=DW$56,HX99*($Q99*$S99)/(1+Voorblad!$K$44)^(DW$56-Voorblad!$F$41),0)</f>
        <v>0</v>
      </c>
      <c r="DX99" s="9">
        <f>IF($W99=DX$56,HY99*($Q99*$S99)/(1+Voorblad!$K$44)^(DX$56-Voorblad!$F$41),0)</f>
        <v>0</v>
      </c>
      <c r="DY99" s="9">
        <f>IF($W99=DY$56,HZ99*($Q99*$S99)/(1+Voorblad!$K$44)^(DY$56-Voorblad!$F$41),0)</f>
        <v>0</v>
      </c>
      <c r="DZ99" s="9">
        <f>IF($W99=DZ$56,IA99*($Q99*$S99)/(1+Voorblad!$K$44)^(DZ$56-Voorblad!$F$41),0)</f>
        <v>0</v>
      </c>
      <c r="EA99" s="9">
        <f>IF($W99=EA$56,IB99*($Q99*$S99)/(1+Voorblad!$K$44)^(EA$56-Voorblad!$F$41),0)</f>
        <v>0</v>
      </c>
      <c r="EB99" s="9">
        <f>IF($W99=EB$56,IC99*($Q99*$S99)/(1+Voorblad!$K$44)^(EB$56-Voorblad!$F$41),0)</f>
        <v>0</v>
      </c>
      <c r="EE99" s="8">
        <v>0</v>
      </c>
      <c r="EF99" s="8">
        <f>IF(EF$56-Voorblad!$F$41&gt;Voorblad!$K$41,0,IF($U99=0,0,IF($U99&lt;1,1/$U99,IF((EF$56-Voorblad!$F$41)/$U99-SUM($EE99:EE99)=1,1,0))))</f>
        <v>0</v>
      </c>
      <c r="EG99" s="8">
        <f>IF(EG$56-Voorblad!$F$41&gt;Voorblad!$K$41,0,IF($U99=0,0,IF($U99&lt;1,1/$U99,IF((EG$56-Voorblad!$F$41)/$U99-SUM($EE99:EF99)=1,1,0))))</f>
        <v>1</v>
      </c>
      <c r="EH99" s="8">
        <f>IF(EH$56-Voorblad!$F$41&gt;Voorblad!$K$41,0,IF($U99=0,0,IF($U99&lt;1,1/$U99,IF((EH$56-Voorblad!$F$41)/$U99-SUM($EE99:EG99)=1,1,0))))</f>
        <v>1</v>
      </c>
      <c r="EI99" s="8">
        <f>IF(EI$56-Voorblad!$F$41&gt;Voorblad!$K$41,0,IF($U99=0,0,IF($U99&lt;1,1/$U99,IF((EI$56-Voorblad!$F$41)/$U99-SUM($EE99:EH99)=1,1,0))))</f>
        <v>1</v>
      </c>
      <c r="EJ99" s="8">
        <f>IF(EJ$56-Voorblad!$F$41&gt;Voorblad!$K$41,0,IF($U99=0,0,IF($U99&lt;1,1/$U99,IF((EJ$56-Voorblad!$F$41)/$U99-SUM($EE99:EI99)=1,1,0))))</f>
        <v>1</v>
      </c>
      <c r="EK99" s="8">
        <f>IF(EK$56-Voorblad!$F$41&gt;Voorblad!$K$41,0,IF($U99=0,0,IF($U99&lt;1,1/$U99,IF((EK$56-Voorblad!$F$41)/$U99-SUM($EE99:EJ99)=1,1,0))))</f>
        <v>1</v>
      </c>
      <c r="EL99" s="8">
        <f>IF(EL$56-Voorblad!$F$41&gt;Voorblad!$K$41,0,IF($U99=0,0,IF($U99&lt;1,1/$U99,IF((EL$56-Voorblad!$F$41)/$U99-SUM($EE99:EK99)=1,1,0))))</f>
        <v>1</v>
      </c>
      <c r="EM99" s="8">
        <f>IF(EM$56-Voorblad!$F$41&gt;Voorblad!$K$41,0,IF($U99=0,0,IF($U99&lt;1,1/$U99,IF((EM$56-Voorblad!$F$41)/$U99-SUM($EE99:EL99)=1,1,0))))</f>
        <v>1</v>
      </c>
      <c r="EN99" s="8">
        <f>IF(EN$56-Voorblad!$F$41&gt;Voorblad!$K$41,0,IF($U99=0,0,IF($U99&lt;1,1/$U99,IF((EN$56-Voorblad!$F$41)/$U99-SUM($EE99:EM99)=1,1,0))))</f>
        <v>1</v>
      </c>
      <c r="EO99" s="8">
        <f>IF(EO$56-Voorblad!$F$41&gt;Voorblad!$K$41,0,IF($U99=0,0,IF($U99&lt;1,1/$U99,IF((EO$56-Voorblad!$F$41)/$U99-SUM($EE99:EN99)=1,1,0))))</f>
        <v>1</v>
      </c>
      <c r="EP99" s="8">
        <f>IF(EP$56-Voorblad!$F$41&gt;Voorblad!$K$41,0,IF($U99=0,0,IF($U99&lt;1,1/$U99,IF((EP$56-Voorblad!$F$41)/$U99-SUM($EE99:EO99)=1,1,0))))</f>
        <v>1</v>
      </c>
      <c r="EQ99" s="8">
        <f>IF(EQ$56-Voorblad!$F$41&gt;Voorblad!$K$41,0,IF($U99=0,0,IF($U99&lt;1,1/$U99,IF((EQ$56-Voorblad!$F$41)/$U99-SUM($EE99:EP99)=1,1,0))))</f>
        <v>1</v>
      </c>
      <c r="ER99" s="8">
        <f>IF(ER$56-Voorblad!$F$41&gt;Voorblad!$K$41,0,IF($U99=0,0,IF($U99&lt;1,1/$U99,IF((ER$56-Voorblad!$F$41)/$U99-SUM($EE99:EQ99)=1,1,0))))</f>
        <v>1</v>
      </c>
      <c r="ES99" s="8">
        <f>IF(ES$56-Voorblad!$F$41&gt;Voorblad!$K$41,0,IF($U99=0,0,IF($U99&lt;1,1/$U99,IF((ES$56-Voorblad!$F$41)/$U99-SUM($EE99:ER99)=1,1,0))))</f>
        <v>1</v>
      </c>
      <c r="ET99" s="8">
        <f>IF(ET$56-Voorblad!$F$41&gt;Voorblad!$K$41,0,IF($U99=0,0,IF($U99&lt;1,1/$U99,IF((ET$56-Voorblad!$F$41)/$U99-SUM($EE99:ES99)=1,1,0))))</f>
        <v>1</v>
      </c>
      <c r="EU99" s="8">
        <f>IF(EU$56-Voorblad!$F$41&gt;Voorblad!$K$41,0,IF($U99=0,0,IF($U99&lt;1,1/$U99,IF((EU$56-Voorblad!$F$41)/$U99-SUM($EE99:ET99)=1,1,0))))</f>
        <v>1</v>
      </c>
      <c r="EV99" s="8">
        <f>IF(EV$56-Voorblad!$F$41&gt;Voorblad!$K$41,0,IF($U99=0,0,IF($U99&lt;1,1/$U99,IF((EV$56-Voorblad!$F$41)/$U99-SUM($EE99:EU99)=1,1,0))))</f>
        <v>1</v>
      </c>
      <c r="EW99" s="8">
        <f>IF(EW$56-Voorblad!$F$41&gt;Voorblad!$K$41,0,IF($U99=0,0,IF($U99&lt;1,1/$U99,IF((EW$56-Voorblad!$F$41)/$U99-SUM($EE99:EV99)=1,1,0))))</f>
        <v>1</v>
      </c>
      <c r="EX99" s="8">
        <f>IF(EX$56-Voorblad!$F$41&gt;Voorblad!$K$41,0,IF($U99=0,0,IF($U99&lt;1,1/$U99,IF((EX$56-Voorblad!$F$41)/$U99-SUM($EE99:EW99)=1,1,0))))</f>
        <v>1</v>
      </c>
      <c r="EY99" s="8">
        <f>IF(EY$56-Voorblad!$F$41&gt;Voorblad!$K$41,0,IF($U99=0,0,IF($U99&lt;1,1/$U99,IF((EY$56-Voorblad!$F$41)/$U99-SUM($EE99:EX99)=1,1,0))))</f>
        <v>1</v>
      </c>
      <c r="EZ99" s="8">
        <f>IF(EZ$56-Voorblad!$F$41&gt;Voorblad!$K$41,0,IF($U99=0,0,IF($U99&lt;1,1/$U99,IF((EZ$56-Voorblad!$F$41)/$U99-SUM($EE99:EY99)=1,1,0))))</f>
        <v>1</v>
      </c>
      <c r="FA99" s="8">
        <f>IF(FA$56-Voorblad!$F$41&gt;Voorblad!$K$41,0,IF($U99=0,0,IF($U99&lt;1,1/$U99,IF((FA$56-Voorblad!$F$41)/$U99-SUM($EE99:EZ99)=1,1,0))))</f>
        <v>1</v>
      </c>
      <c r="FB99" s="8">
        <f>IF(FB$56-Voorblad!$F$41&gt;Voorblad!$K$41,0,IF($U99=0,0,IF($U99&lt;1,1/$U99,IF((FB$56-Voorblad!$F$41)/$U99-SUM($EE99:FA99)=1,1,0))))</f>
        <v>1</v>
      </c>
      <c r="FC99" s="8">
        <f>IF(FC$56-Voorblad!$F$41&gt;Voorblad!$K$41,0,IF($U99=0,0,IF($U99&lt;1,1/$U99,IF((FC$56-Voorblad!$F$41)/$U99-SUM($EE99:FB99)=1,1,0))))</f>
        <v>1</v>
      </c>
      <c r="FD99" s="8">
        <f>IF(FD$56-Voorblad!$F$41&gt;Voorblad!$K$41,0,IF($U99=0,0,IF($U99&lt;1,1/$U99,IF((FD$56-Voorblad!$F$41)/$U99-SUM($EE99:FC99)=1,1,0))))</f>
        <v>1</v>
      </c>
      <c r="FE99" s="8">
        <f>IF(FE$56-Voorblad!$F$41&gt;Voorblad!$K$41,0,IF($U99=0,0,IF($U99&lt;1,1/$U99,IF((FE$56-Voorblad!$F$41)/$U99-SUM($EE99:FD99)=1,1,0))))</f>
        <v>1</v>
      </c>
      <c r="FF99" s="8">
        <f>IF(FF$56-Voorblad!$F$41&gt;Voorblad!$K$41,0,IF($U99=0,0,IF($U99&lt;1,1/$U99,IF((FF$56-Voorblad!$F$41)/$U99-SUM($EE99:FE99)=1,1,0))))</f>
        <v>1</v>
      </c>
      <c r="FG99" s="8">
        <f>IF(FG$56-Voorblad!$F$41&gt;Voorblad!$K$41,0,IF($U99=0,0,IF($U99&lt;1,1/$U99,IF((FG$56-Voorblad!$F$41)/$U99-SUM($EE99:FF99)=1,1,0))))</f>
        <v>1</v>
      </c>
      <c r="FH99" s="8">
        <f>IF(FH$56-Voorblad!$F$41&gt;Voorblad!$K$41,0,IF($U99=0,0,IF($U99&lt;1,1/$U99,IF((FH$56-Voorblad!$F$41)/$U99-SUM($EE99:FG99)=1,1,0))))</f>
        <v>1</v>
      </c>
      <c r="FI99" s="8">
        <f>IF(FI$56-Voorblad!$F$41&gt;Voorblad!$K$41,0,IF($U99=0,0,IF($U99&lt;1,1/$U99,IF((FI$56-Voorblad!$F$41)/$U99-SUM($EE99:FH99)=1,1,0))))</f>
        <v>1</v>
      </c>
      <c r="FJ99" s="8">
        <f>IF(FJ$56-Voorblad!$F$41&gt;Voorblad!$K$41,0,IF($U99=0,0,IF($U99&lt;1,1/$U99,IF((FJ$56-Voorblad!$F$41)/$U99-SUM($EE99:FI99)=1,1,0))))</f>
        <v>1</v>
      </c>
      <c r="FK99" s="8">
        <f>IF(FK$56-Voorblad!$F$41&gt;Voorblad!$K$41,0,IF($U99=0,0,IF($U99&lt;1,1/$U99,IF((FK$56-Voorblad!$F$41)/$U99-SUM($EE99:FJ99)=1,1,0))))</f>
        <v>1</v>
      </c>
      <c r="FL99" s="8">
        <f>IF(FL$56-Voorblad!$F$41&gt;Voorblad!$K$41,0,IF($U99=0,0,IF($U99&lt;1,1/$U99,IF((FL$56-Voorblad!$F$41)/$U99-SUM($EE99:FK99)=1,1,0))))</f>
        <v>1</v>
      </c>
      <c r="FM99" s="8">
        <f>IF(FM$56-Voorblad!$F$41&gt;Voorblad!$K$41,0,IF($U99=0,0,IF($U99&lt;1,1/$U99,IF((FM$56-Voorblad!$F$41)/$U99-SUM($EE99:FL99)=1,1,0))))</f>
        <v>1</v>
      </c>
      <c r="FN99" s="8">
        <f>IF(FN$56-Voorblad!$F$41&gt;Voorblad!$K$41,0,IF($U99=0,0,IF($U99&lt;1,1/$U99,IF((FN$56-Voorblad!$F$41)/$U99-SUM($EE99:FM99)=1,1,0))))</f>
        <v>1</v>
      </c>
      <c r="FO99" s="8">
        <f>IF(FO$56-Voorblad!$F$41&gt;Voorblad!$K$41,0,IF($U99=0,0,IF($U99&lt;1,1/$U99,IF((FO$56-Voorblad!$F$41)/$U99-SUM($EE99:FN99)=1,1,0))))</f>
        <v>1</v>
      </c>
      <c r="FP99" s="8">
        <f>IF(FP$56-Voorblad!$F$41&gt;Voorblad!$K$41,0,IF($U99=0,0,IF($U99&lt;1,1/$U99,IF((FP$56-Voorblad!$F$41)/$U99-SUM($EE99:FO99)=1,1,0))))</f>
        <v>1</v>
      </c>
      <c r="FQ99" s="8">
        <f>IF(FQ$56-Voorblad!$F$41&gt;Voorblad!$K$41,0,IF($U99=0,0,IF($U99&lt;1,1/$U99,IF((FQ$56-Voorblad!$F$41)/$U99-SUM($EE99:FP99)=1,1,0))))</f>
        <v>1</v>
      </c>
      <c r="FR99" s="8">
        <f>IF(FR$56-Voorblad!$F$41&gt;Voorblad!$K$41,0,IF($U99=0,0,IF($U99&lt;1,1/$U99,IF((FR$56-Voorblad!$F$41)/$U99-SUM($EE99:FQ99)=1,1,0))))</f>
        <v>1</v>
      </c>
      <c r="FS99" s="8">
        <f>IF(FS$56-Voorblad!$F$41&gt;Voorblad!$K$41,0,IF($U99=0,0,IF($U99&lt;1,1/$U99,IF((FS$56-Voorblad!$F$41)/$U99-SUM($EE99:FR99)=1,1,0))))</f>
        <v>1</v>
      </c>
      <c r="FT99" s="8">
        <f>IF(FT$56-Voorblad!$F$41&gt;Voorblad!$K$41,0,IF($U99=0,0,IF($U99&lt;1,1/$U99,IF((FT$56-Voorblad!$F$41)/$U99-SUM($EE99:FS99)=1,1,0))))</f>
        <v>1</v>
      </c>
      <c r="FU99" s="8">
        <f>IF(FU$56-Voorblad!$F$41&gt;Voorblad!$K$41,0,IF($U99=0,0,IF($U99&lt;1,1/$U99,IF((FU$56-Voorblad!$F$41)/$U99-SUM($EE99:FT99)=1,1,0))))</f>
        <v>1</v>
      </c>
      <c r="FV99" s="8">
        <f>IF(FV$56-Voorblad!$F$41&gt;Voorblad!$K$41,0,IF($U99=0,0,IF($U99&lt;1,1/$U99,IF((FV$56-Voorblad!$F$41)/$U99-SUM($EE99:FU99)=1,1,0))))</f>
        <v>1</v>
      </c>
      <c r="FW99" s="8">
        <f>IF(FW$56-Voorblad!$F$41&gt;Voorblad!$K$41,0,IF($U99=0,0,IF($U99&lt;1,1/$U99,IF((FW$56-Voorblad!$F$41)/$U99-SUM($EE99:FV99)=1,1,0))))</f>
        <v>1</v>
      </c>
      <c r="FX99" s="8">
        <f>IF(FX$56-Voorblad!$F$41&gt;Voorblad!$K$41,0,IF($U99=0,0,IF($U99&lt;1,1/$U99,IF((FX$56-Voorblad!$F$41)/$U99-SUM($EE99:FW99)=1,1,0))))</f>
        <v>1</v>
      </c>
      <c r="FY99" s="8">
        <f>IF(FY$56-Voorblad!$F$41&gt;Voorblad!$K$41,0,IF($U99=0,0,IF($U99&lt;1,1/$U99,IF((FY$56-Voorblad!$F$41)/$U99-SUM($EE99:FX99)=1,1,0))))</f>
        <v>1</v>
      </c>
      <c r="FZ99" s="8">
        <f>IF(FZ$56-Voorblad!$F$41&gt;Voorblad!$K$41,0,IF($U99=0,0,IF($U99&lt;1,1/$U99,IF((FZ$56-Voorblad!$F$41)/$U99-SUM($EE99:FY99)=1,1,0))))</f>
        <v>1</v>
      </c>
      <c r="GA99" s="8">
        <f>IF(GA$56-Voorblad!$F$41&gt;Voorblad!$K$41,0,IF($U99=0,0,IF($U99&lt;1,1/$U99,IF((GA$56-Voorblad!$F$41)/$U99-SUM($EE99:FZ99)=1,1,0))))</f>
        <v>1</v>
      </c>
      <c r="GB99" s="8">
        <f>IF(GB$56-Voorblad!$F$41&gt;Voorblad!$K$41,0,IF($U99=0,0,IF($U99&lt;1,1/$U99,IF((GB$56-Voorblad!$F$41)/$U99-SUM($EE99:GA99)=1,1,0))))</f>
        <v>1</v>
      </c>
      <c r="GC99" s="8">
        <f>IF(GC$56-Voorblad!$F$41&gt;Voorblad!$K$41,0,IF($U99=0,0,IF($U99&lt;1,1/$U99,IF((GC$56-Voorblad!$F$41)/$U99-SUM($EE99:GB99)=1,1,0))))</f>
        <v>1</v>
      </c>
      <c r="GD99" s="8">
        <f>IF(GD$56-Voorblad!$F$41&gt;Voorblad!$K$41,0,IF($U99=0,0,IF($U99&lt;1,1/$U99,IF((GD$56-Voorblad!$F$41)/$U99-SUM($EE99:GC99)=1,1,0))))</f>
        <v>1</v>
      </c>
      <c r="GE99" s="8">
        <f>IF(GE$56-Voorblad!$F$41&gt;Voorblad!$K$41,0,IF($U99=0,0,IF($U99&lt;1,1/$U99,IF((GE$56-Voorblad!$F$41)/$U99-SUM($EE99:GD99)=1,1,0))))</f>
        <v>1</v>
      </c>
      <c r="GF99" s="8">
        <f>IF(GF$56-Voorblad!$F$41&gt;Voorblad!$K$41,0,IF($U99=0,0,IF($U99&lt;1,1/$U99,IF((GF$56-Voorblad!$F$41)/$U99-SUM($EE99:GE99)=1,1,0))))</f>
        <v>1</v>
      </c>
      <c r="GG99" s="8">
        <f>IF(GG$56-Voorblad!$F$41&gt;Voorblad!$K$41,0,IF($U99=0,0,IF($U99&lt;1,1/$U99,IF((GG$56-Voorblad!$F$41)/$U99-SUM($EE99:GF99)=1,1,0))))</f>
        <v>1</v>
      </c>
      <c r="GH99" s="8">
        <f>IF(GH$56-Voorblad!$F$41&gt;Voorblad!$K$41,0,IF($U99=0,0,IF($U99&lt;1,1/$U99,IF((GH$56-Voorblad!$F$41)/$U99-SUM($EE99:GG99)=1,1,0))))</f>
        <v>1</v>
      </c>
      <c r="GI99" s="8">
        <f>IF(GI$56-Voorblad!$F$41&gt;Voorblad!$K$41,0,IF($U99=0,0,IF($U99&lt;1,1/$U99,IF((GI$56-Voorblad!$F$41)/$U99-SUM($EE99:GH99)=1,1,0))))</f>
        <v>1</v>
      </c>
      <c r="GJ99" s="8">
        <f>IF(GJ$56-Voorblad!$F$41&gt;Voorblad!$K$41,0,IF($U99=0,0,IF($U99&lt;1,1/$U99,IF((GJ$56-Voorblad!$F$41)/$U99-SUM($EE99:GI99)=1,1,0))))</f>
        <v>1</v>
      </c>
      <c r="GK99" s="8">
        <f>IF(GK$56-Voorblad!$F$41&gt;Voorblad!$K$41,0,IF($U99=0,0,IF($U99&lt;1,1/$U99,IF((GK$56-Voorblad!$F$41)/$U99-SUM($EE99:GJ99)=1,1,0))))</f>
        <v>1</v>
      </c>
      <c r="GL99" s="8">
        <f>IF(GL$56-Voorblad!$F$41&gt;Voorblad!$K$41,0,IF($U99=0,0,IF($U99&lt;1,1/$U99,IF((GL$56-Voorblad!$F$41)/$U99-SUM($EE99:GK99)=1,1,0))))</f>
        <v>1</v>
      </c>
      <c r="GM99" s="8">
        <f>IF(GM$56-Voorblad!$F$41&gt;Voorblad!$K$41,0,IF($U99=0,0,IF($U99&lt;1,1/$U99,IF((GM$56-Voorblad!$F$41)/$U99-SUM($EE99:GL99)=1,1,0))))</f>
        <v>1</v>
      </c>
      <c r="GN99" s="8">
        <f>IF(GN$56-Voorblad!$F$41&gt;Voorblad!$K$41,0,IF($U99=0,0,IF($U99&lt;1,1/$U99,IF((GN$56-Voorblad!$F$41)/$U99-SUM($EE99:GM99)=1,1,0))))</f>
        <v>1</v>
      </c>
      <c r="GO99" s="8">
        <f>IF(GO$56-Voorblad!$F$41&gt;Voorblad!$K$41,0,IF($U99=0,0,IF($U99&lt;1,1/$U99,IF((GO$56-Voorblad!$F$41)/$U99-SUM($EE99:GN99)=1,1,0))))</f>
        <v>1</v>
      </c>
      <c r="GP99" s="8">
        <f>IF(GP$56-Voorblad!$F$41&gt;Voorblad!$K$41,0,IF($U99=0,0,IF($U99&lt;1,1/$U99,IF((GP$56-Voorblad!$F$41)/$U99-SUM($EE99:GO99)=1,1,0))))</f>
        <v>1</v>
      </c>
      <c r="GQ99" s="8">
        <f>IF(GQ$56-Voorblad!$F$41&gt;Voorblad!$K$41,0,IF($U99=0,0,IF($U99&lt;1,1/$U99,IF((GQ$56-Voorblad!$F$41)/$U99-SUM($EE99:GP99)=1,1,0))))</f>
        <v>1</v>
      </c>
      <c r="GR99" s="8">
        <f>IF(GR$56-Voorblad!$F$41&gt;Voorblad!$K$41,0,IF($U99=0,0,IF($U99&lt;1,1/$U99,IF((GR$56-Voorblad!$F$41)/$U99-SUM($EE99:GQ99)=1,1,0))))</f>
        <v>1</v>
      </c>
      <c r="GS99" s="8">
        <f>IF(GS$56-Voorblad!$F$41&gt;Voorblad!$K$41,0,IF($U99=0,0,IF($U99&lt;1,1/$U99,IF((GS$56-Voorblad!$F$41)/$U99-SUM($EE99:GR99)=1,1,0))))</f>
        <v>1</v>
      </c>
      <c r="GT99" s="8">
        <f>IF(GT$56-Voorblad!$F$41&gt;Voorblad!$K$41,0,IF($U99=0,0,IF($U99&lt;1,1/$U99,IF((GT$56-Voorblad!$F$41)/$U99-SUM($EE99:GS99)=1,1,0))))</f>
        <v>1</v>
      </c>
      <c r="GU99" s="8">
        <f>IF(GU$56-Voorblad!$F$41&gt;Voorblad!$K$41,0,IF($U99=0,0,IF($U99&lt;1,1/$U99,IF((GU$56-Voorblad!$F$41)/$U99-SUM($EE99:GT99)=1,1,0))))</f>
        <v>1</v>
      </c>
      <c r="GV99" s="8">
        <f>IF(GV$56-Voorblad!$F$41&gt;Voorblad!$K$41,0,IF($U99=0,0,IF($U99&lt;1,1/$U99,IF((GV$56-Voorblad!$F$41)/$U99-SUM($EE99:GU99)=1,1,0))))</f>
        <v>1</v>
      </c>
      <c r="GW99" s="8">
        <f>IF(GW$56-Voorblad!$F$41&gt;Voorblad!$K$41,0,IF($U99=0,0,IF($U99&lt;1,1/$U99,IF((GW$56-Voorblad!$F$41)/$U99-SUM($EE99:GV99)=1,1,0))))</f>
        <v>1</v>
      </c>
      <c r="GX99" s="8">
        <f>IF(GX$56-Voorblad!$F$41&gt;Voorblad!$K$41,0,IF($U99=0,0,IF($U99&lt;1,1/$U99,IF((GX$56-Voorblad!$F$41)/$U99-SUM($EE99:GW99)=1,1,0))))</f>
        <v>1</v>
      </c>
      <c r="GY99" s="8">
        <f>IF(GY$56-Voorblad!$F$41&gt;Voorblad!$K$41,0,IF($U99=0,0,IF($U99&lt;1,1/$U99,IF((GY$56-Voorblad!$F$41)/$U99-SUM($EE99:GX99)=1,1,0))))</f>
        <v>1</v>
      </c>
      <c r="GZ99" s="8">
        <f>IF(GZ$56-Voorblad!$F$41&gt;Voorblad!$K$41,0,IF($U99=0,0,IF($U99&lt;1,1/$U99,IF((GZ$56-Voorblad!$F$41)/$U99-SUM($EE99:GY99)=1,1,0))))</f>
        <v>1</v>
      </c>
      <c r="HA99" s="8">
        <f>IF(HA$56-Voorblad!$F$41&gt;Voorblad!$K$41,0,IF($U99=0,0,IF($U99&lt;1,1/$U99,IF((HA$56-Voorblad!$F$41)/$U99-SUM($EE99:GZ99)=1,1,0))))</f>
        <v>1</v>
      </c>
      <c r="HB99" s="8">
        <f>IF(HB$56-Voorblad!$F$41&gt;Voorblad!$K$41,0,IF($U99=0,0,IF($U99&lt;1,1/$U99,IF((HB$56-Voorblad!$F$41)/$U99-SUM($EE99:HA99)=1,1,0))))</f>
        <v>0</v>
      </c>
      <c r="HC99" s="8">
        <f>IF(HC$56-Voorblad!$F$41&gt;Voorblad!$K$41,0,IF($U99=0,0,IF($U99&lt;1,1/$U99,IF((HC$56-Voorblad!$F$41)/$U99-SUM($EE99:HB99)=1,1,0))))</f>
        <v>0</v>
      </c>
      <c r="HD99" s="8">
        <f>IF(HD$56-Voorblad!$F$41&gt;Voorblad!$K$41,0,IF($U99=0,0,IF($U99&lt;1,1/$U99,IF((HD$56-Voorblad!$F$41)/$U99-SUM($EE99:HC99)=1,1,0))))</f>
        <v>0</v>
      </c>
      <c r="HE99" s="8">
        <f>IF(HE$56-Voorblad!$F$41&gt;Voorblad!$K$41,0,IF($U99=0,0,IF($U99&lt;1,1/$U99,IF((HE$56-Voorblad!$F$41)/$U99-SUM($EE99:HD99)=1,1,0))))</f>
        <v>0</v>
      </c>
      <c r="HF99" s="8">
        <f>IF(HF$56-Voorblad!$F$41&gt;Voorblad!$K$41,0,IF($U99=0,0,IF($U99&lt;1,1/$U99,IF((HF$56-Voorblad!$F$41)/$U99-SUM($EE99:HE99)=1,1,0))))</f>
        <v>0</v>
      </c>
      <c r="HG99" s="8">
        <f>IF(HG$56-Voorblad!$F$41&gt;Voorblad!$K$41,0,IF($U99=0,0,IF($U99&lt;1,1/$U99,IF((HG$56-Voorblad!$F$41)/$U99-SUM($EE99:HF99)=1,1,0))))</f>
        <v>0</v>
      </c>
      <c r="HH99" s="8">
        <f>IF(HH$56-Voorblad!$F$41&gt;Voorblad!$K$41,0,IF($U99=0,0,IF($U99&lt;1,1/$U99,IF((HH$56-Voorblad!$F$41)/$U99-SUM($EE99:HG99)=1,1,0))))</f>
        <v>0</v>
      </c>
      <c r="HI99" s="8">
        <f>IF(HI$56-Voorblad!$F$41&gt;Voorblad!$K$41,0,IF($U99=0,0,IF($U99&lt;1,1/$U99,IF((HI$56-Voorblad!$F$41)/$U99-SUM($EE99:HH99)=1,1,0))))</f>
        <v>0</v>
      </c>
      <c r="HJ99" s="8">
        <f>IF(HJ$56-Voorblad!$F$41&gt;Voorblad!$K$41,0,IF($U99=0,0,IF($U99&lt;1,1/$U99,IF((HJ$56-Voorblad!$F$41)/$U99-SUM($EE99:HI99)=1,1,0))))</f>
        <v>0</v>
      </c>
      <c r="HK99" s="8">
        <f>IF(HK$56-Voorblad!$F$41&gt;Voorblad!$K$41,0,IF($U99=0,0,IF($U99&lt;1,1/$U99,IF((HK$56-Voorblad!$F$41)/$U99-SUM($EE99:HJ99)=1,1,0))))</f>
        <v>0</v>
      </c>
      <c r="HL99" s="8">
        <f>IF(HL$56-Voorblad!$F$41&gt;Voorblad!$K$41,0,IF($U99=0,0,IF($U99&lt;1,1/$U99,IF((HL$56-Voorblad!$F$41)/$U99-SUM($EE99:HK99)=1,1,0))))</f>
        <v>0</v>
      </c>
      <c r="HM99" s="8">
        <f>IF(HM$56-Voorblad!$F$41&gt;Voorblad!$K$41,0,IF($U99=0,0,IF($U99&lt;1,1/$U99,IF((HM$56-Voorblad!$F$41)/$U99-SUM($EE99:HL99)=1,1,0))))</f>
        <v>0</v>
      </c>
      <c r="HN99" s="8">
        <f>IF(HN$56-Voorblad!$F$41&gt;Voorblad!$K$41,0,IF($U99=0,0,IF($U99&lt;1,1/$U99,IF((HN$56-Voorblad!$F$41)/$U99-SUM($EE99:HM99)=1,1,0))))</f>
        <v>0</v>
      </c>
      <c r="HO99" s="8">
        <f>IF(HO$56-Voorblad!$F$41&gt;Voorblad!$K$41,0,IF($U99=0,0,IF($U99&lt;1,1/$U99,IF((HO$56-Voorblad!$F$41)/$U99-SUM($EE99:HN99)=1,1,0))))</f>
        <v>0</v>
      </c>
      <c r="HP99" s="8">
        <f>IF(HP$56-Voorblad!$F$41&gt;Voorblad!$K$41,0,IF($U99=0,0,IF($U99&lt;1,1/$U99,IF((HP$56-Voorblad!$F$41)/$U99-SUM($EE99:HO99)=1,1,0))))</f>
        <v>0</v>
      </c>
      <c r="HQ99" s="8">
        <f>IF(HQ$56-Voorblad!$F$41&gt;Voorblad!$K$41,0,IF($U99=0,0,IF($U99&lt;1,1/$U99,IF((HQ$56-Voorblad!$F$41)/$U99-SUM($EE99:HP99)=1,1,0))))</f>
        <v>0</v>
      </c>
      <c r="HR99" s="8">
        <f>IF(HR$56-Voorblad!$F$41&gt;Voorblad!$K$41,0,IF($U99=0,0,IF($U99&lt;1,1/$U99,IF((HR$56-Voorblad!$F$41)/$U99-SUM($EE99:HQ99)=1,1,0))))</f>
        <v>0</v>
      </c>
      <c r="HS99" s="8">
        <f>IF(HS$56-Voorblad!$F$41&gt;Voorblad!$K$41,0,IF($U99=0,0,IF($U99&lt;1,1/$U99,IF((HS$56-Voorblad!$F$41)/$U99-SUM($EE99:HR99)=1,1,0))))</f>
        <v>0</v>
      </c>
      <c r="HT99" s="8">
        <f>IF(HT$56-Voorblad!$F$41&gt;Voorblad!$K$41,0,IF($U99=0,0,IF($U99&lt;1,1/$U99,IF((HT$56-Voorblad!$F$41)/$U99-SUM($EE99:HS99)=1,1,0))))</f>
        <v>0</v>
      </c>
      <c r="HU99" s="8">
        <f>IF(HU$56-Voorblad!$F$41&gt;Voorblad!$K$41,0,IF($U99=0,0,IF($U99&lt;1,1/$U99,IF((HU$56-Voorblad!$F$41)/$U99-SUM($EE99:HT99)=1,1,0))))</f>
        <v>0</v>
      </c>
      <c r="HV99" s="8">
        <f>IF(HV$56-Voorblad!$F$41&gt;Voorblad!$K$41,0,IF($U99=0,0,IF($U99&lt;1,1/$U99,IF((HV$56-Voorblad!$F$41)/$U99-SUM($EE99:HU99)=1,1,0))))</f>
        <v>0</v>
      </c>
      <c r="HW99" s="8">
        <f>IF(HW$56-Voorblad!$F$41&gt;Voorblad!$K$41,0,IF($U99=0,0,IF($U99&lt;1,1/$U99,IF((HW$56-Voorblad!$F$41)/$U99-SUM($EE99:HV99)=1,1,0))))</f>
        <v>0</v>
      </c>
      <c r="HX99" s="8">
        <f>IF(HX$56-Voorblad!$F$41&gt;Voorblad!$K$41,0,IF($U99=0,0,IF($U99&lt;1,1/$U99,IF((HX$56-Voorblad!$F$41)/$U99-SUM($EE99:HW99)=1,1,0))))</f>
        <v>0</v>
      </c>
      <c r="HY99" s="8">
        <f>IF(HY$56-Voorblad!$F$41&gt;Voorblad!$K$41,0,IF($U99=0,0,IF($U99&lt;1,1/$U99,IF((HY$56-Voorblad!$F$41)/$U99-SUM($EE99:HX99)=1,1,0))))</f>
        <v>0</v>
      </c>
      <c r="HZ99" s="8">
        <f>IF(HZ$56-Voorblad!$F$41&gt;Voorblad!$K$41,0,IF($U99=0,0,IF($U99&lt;1,1/$U99,IF((HZ$56-Voorblad!$F$41)/$U99-SUM($EE99:HY99)=1,1,0))))</f>
        <v>0</v>
      </c>
      <c r="IA99" s="8">
        <f>IF(IA$56-Voorblad!$F$41&gt;Voorblad!$K$41,0,IF($U99=0,0,IF($U99&lt;1,1/$U99,IF((IA$56-Voorblad!$F$41)/$U99-SUM($EE99:HZ99)=1,1,0))))</f>
        <v>0</v>
      </c>
      <c r="IB99" s="8">
        <f>IF(IB$56-Voorblad!$F$41&gt;Voorblad!$K$41,0,IF($U99=0,0,IF($U99&lt;1,1/$U99,IF((IB$56-Voorblad!$F$41)/$U99-SUM($EE99:IA99)=1,1,0))))</f>
        <v>0</v>
      </c>
    </row>
    <row r="100" spans="2:236" hidden="1" outlineLevel="1" x14ac:dyDescent="0.25">
      <c r="B100" s="14">
        <v>1</v>
      </c>
      <c r="C100" s="14"/>
      <c r="F100" s="1" t="s">
        <v>55</v>
      </c>
      <c r="I100" s="1" t="s">
        <v>67</v>
      </c>
      <c r="K100" s="14" t="s">
        <v>156</v>
      </c>
      <c r="N100" s="3"/>
      <c r="O100" s="1" t="s">
        <v>97</v>
      </c>
      <c r="Q100" s="1">
        <f>Q80</f>
        <v>0</v>
      </c>
      <c r="R100" s="1" t="s">
        <v>35</v>
      </c>
      <c r="S100" s="14">
        <f>35%*$S$80</f>
        <v>83.3</v>
      </c>
      <c r="T100" s="14">
        <f t="shared" si="19"/>
        <v>0</v>
      </c>
      <c r="U100" s="11">
        <v>1</v>
      </c>
      <c r="V100" s="14"/>
      <c r="W100" s="81">
        <v>0</v>
      </c>
      <c r="X100" s="6"/>
      <c r="Y100" s="9">
        <f t="shared" si="11"/>
        <v>0</v>
      </c>
      <c r="Z100" s="82"/>
      <c r="AA100" s="82"/>
      <c r="AC100" s="9">
        <f>$Y100*(Voorblad!$K$44*(1+Voorblad!$K$44)^Voorblad!$K$41)/((1+Voorblad!$K$44)^Voorblad!$K$41-1)</f>
        <v>0</v>
      </c>
      <c r="AE100" s="9">
        <f>IF($W100=AE$56,EF100*($Q100*$S100)/(1+Voorblad!$K$44)^(AE$56-Voorblad!$F$41),0)</f>
        <v>0</v>
      </c>
      <c r="AF100" s="9">
        <f>IF($W100=AF$56,EG100*($Q100*$S100)/(1+Voorblad!$K$44)^(AF$56-Voorblad!$F$41),0)</f>
        <v>0</v>
      </c>
      <c r="AG100" s="9">
        <f>IF($W100=AG$56,EH100*($Q100*$S100)/(1+Voorblad!$K$44)^(AG$56-Voorblad!$F$41),0)</f>
        <v>0</v>
      </c>
      <c r="AH100" s="9">
        <f>IF($W100=AH$56,EI100*($Q100*$S100)/(1+Voorblad!$K$44)^(AH$56-Voorblad!$F$41),0)</f>
        <v>0</v>
      </c>
      <c r="AI100" s="9">
        <f>IF($W100=AI$56,EJ100*($Q100*$S100)/(1+Voorblad!$K$44)^(AI$56-Voorblad!$F$41),0)</f>
        <v>0</v>
      </c>
      <c r="AJ100" s="9">
        <f>IF($W100=AJ$56,EK100*($Q100*$S100)/(1+Voorblad!$K$44)^(AJ$56-Voorblad!$F$41),0)</f>
        <v>0</v>
      </c>
      <c r="AK100" s="9">
        <f>IF($W100=AK$56,EL100*($Q100*$S100)/(1+Voorblad!$K$44)^(AK$56-Voorblad!$F$41),0)</f>
        <v>0</v>
      </c>
      <c r="AL100" s="9">
        <f>IF($W100=AL$56,EM100*($Q100*$S100)/(1+Voorblad!$K$44)^(AL$56-Voorblad!$F$41),0)</f>
        <v>0</v>
      </c>
      <c r="AM100" s="9">
        <f>IF($W100=AM$56,EN100*($Q100*$S100)/(1+Voorblad!$K$44)^(AM$56-Voorblad!$F$41),0)</f>
        <v>0</v>
      </c>
      <c r="AN100" s="9">
        <f>IF($W100=AN$56,EO100*($Q100*$S100)/(1+Voorblad!$K$44)^(AN$56-Voorblad!$F$41),0)</f>
        <v>0</v>
      </c>
      <c r="AO100" s="9">
        <f>IF($W100=AO$56,EP100*($Q100*$S100)/(1+Voorblad!$K$44)^(AO$56-Voorblad!$F$41),0)</f>
        <v>0</v>
      </c>
      <c r="AP100" s="9">
        <f>IF($W100=AP$56,EQ100*($Q100*$S100)/(1+Voorblad!$K$44)^(AP$56-Voorblad!$F$41),0)</f>
        <v>0</v>
      </c>
      <c r="AQ100" s="9">
        <f>IF($W100=AQ$56,ER100*($Q100*$S100)/(1+Voorblad!$K$44)^(AQ$56-Voorblad!$F$41),0)</f>
        <v>0</v>
      </c>
      <c r="AR100" s="9">
        <f>IF($W100=AR$56,ES100*($Q100*$S100)/(1+Voorblad!$K$44)^(AR$56-Voorblad!$F$41),0)</f>
        <v>0</v>
      </c>
      <c r="AS100" s="9">
        <f>IF($W100=AS$56,ET100*($Q100*$S100)/(1+Voorblad!$K$44)^(AS$56-Voorblad!$F$41),0)</f>
        <v>0</v>
      </c>
      <c r="AT100" s="9">
        <f>IF($W100=AT$56,EU100*($Q100*$S100)/(1+Voorblad!$K$44)^(AT$56-Voorblad!$F$41),0)</f>
        <v>0</v>
      </c>
      <c r="AU100" s="9">
        <f>IF($W100=AU$56,EV100*($Q100*$S100)/(1+Voorblad!$K$44)^(AU$56-Voorblad!$F$41),0)</f>
        <v>0</v>
      </c>
      <c r="AV100" s="9">
        <f>IF($W100=AV$56,EW100*($Q100*$S100)/(1+Voorblad!$K$44)^(AV$56-Voorblad!$F$41),0)</f>
        <v>0</v>
      </c>
      <c r="AW100" s="9">
        <f>IF($W100=AW$56,EX100*($Q100*$S100)/(1+Voorblad!$K$44)^(AW$56-Voorblad!$F$41),0)</f>
        <v>0</v>
      </c>
      <c r="AX100" s="9">
        <f>IF($W100=AX$56,EY100*($Q100*$S100)/(1+Voorblad!$K$44)^(AX$56-Voorblad!$F$41),0)</f>
        <v>0</v>
      </c>
      <c r="AY100" s="9">
        <f>IF($W100=AY$56,EZ100*($Q100*$S100)/(1+Voorblad!$K$44)^(AY$56-Voorblad!$F$41),0)</f>
        <v>0</v>
      </c>
      <c r="AZ100" s="9">
        <f>IF($W100=AZ$56,FA100*($Q100*$S100)/(1+Voorblad!$K$44)^(AZ$56-Voorblad!$F$41),0)</f>
        <v>0</v>
      </c>
      <c r="BA100" s="9">
        <f>IF($W100=BA$56,FB100*($Q100*$S100)/(1+Voorblad!$K$44)^(BA$56-Voorblad!$F$41),0)</f>
        <v>0</v>
      </c>
      <c r="BB100" s="9">
        <f>IF($W100=BB$56,FC100*($Q100*$S100)/(1+Voorblad!$K$44)^(BB$56-Voorblad!$F$41),0)</f>
        <v>0</v>
      </c>
      <c r="BC100" s="9">
        <f>IF($W100=BC$56,FD100*($Q100*$S100)/(1+Voorblad!$K$44)^(BC$56-Voorblad!$F$41),0)</f>
        <v>0</v>
      </c>
      <c r="BD100" s="9">
        <f>IF($W100=BD$56,FE100*($Q100*$S100)/(1+Voorblad!$K$44)^(BD$56-Voorblad!$F$41),0)</f>
        <v>0</v>
      </c>
      <c r="BE100" s="9">
        <f>IF($W100=BE$56,FF100*($Q100*$S100)/(1+Voorblad!$K$44)^(BE$56-Voorblad!$F$41),0)</f>
        <v>0</v>
      </c>
      <c r="BF100" s="9">
        <f>IF($W100=BF$56,FG100*($Q100*$S100)/(1+Voorblad!$K$44)^(BF$56-Voorblad!$F$41),0)</f>
        <v>0</v>
      </c>
      <c r="BG100" s="9">
        <f>IF($W100=BG$56,FH100*($Q100*$S100)/(1+Voorblad!$K$44)^(BG$56-Voorblad!$F$41),0)</f>
        <v>0</v>
      </c>
      <c r="BH100" s="9">
        <f>IF($W100=BH$56,FI100*($Q100*$S100)/(1+Voorblad!$K$44)^(BH$56-Voorblad!$F$41),0)</f>
        <v>0</v>
      </c>
      <c r="BI100" s="9">
        <f>IF($W100=BI$56,FJ100*($Q100*$S100)/(1+Voorblad!$K$44)^(BI$56-Voorblad!$F$41),0)</f>
        <v>0</v>
      </c>
      <c r="BJ100" s="9">
        <f>IF($W100=BJ$56,FK100*($Q100*$S100)/(1+Voorblad!$K$44)^(BJ$56-Voorblad!$F$41),0)</f>
        <v>0</v>
      </c>
      <c r="BK100" s="9">
        <f>IF($W100=BK$56,FL100*($Q100*$S100)/(1+Voorblad!$K$44)^(BK$56-Voorblad!$F$41),0)</f>
        <v>0</v>
      </c>
      <c r="BL100" s="9">
        <f>IF($W100=BL$56,FM100*($Q100*$S100)/(1+Voorblad!$K$44)^(BL$56-Voorblad!$F$41),0)</f>
        <v>0</v>
      </c>
      <c r="BM100" s="9">
        <f>IF($W100=BM$56,FN100*($Q100*$S100)/(1+Voorblad!$K$44)^(BM$56-Voorblad!$F$41),0)</f>
        <v>0</v>
      </c>
      <c r="BN100" s="9">
        <f>IF($W100=BN$56,FO100*($Q100*$S100)/(1+Voorblad!$K$44)^(BN$56-Voorblad!$F$41),0)</f>
        <v>0</v>
      </c>
      <c r="BO100" s="9">
        <f>IF($W100=BO$56,FP100*($Q100*$S100)/(1+Voorblad!$K$44)^(BO$56-Voorblad!$F$41),0)</f>
        <v>0</v>
      </c>
      <c r="BP100" s="9">
        <f>IF($W100=BP$56,FQ100*($Q100*$S100)/(1+Voorblad!$K$44)^(BP$56-Voorblad!$F$41),0)</f>
        <v>0</v>
      </c>
      <c r="BQ100" s="9">
        <f>IF($W100=BQ$56,FR100*($Q100*$S100)/(1+Voorblad!$K$44)^(BQ$56-Voorblad!$F$41),0)</f>
        <v>0</v>
      </c>
      <c r="BR100" s="9">
        <f>IF($W100=BR$56,FS100*($Q100*$S100)/(1+Voorblad!$K$44)^(BR$56-Voorblad!$F$41),0)</f>
        <v>0</v>
      </c>
      <c r="BS100" s="9">
        <f>IF($W100=BS$56,FT100*($Q100*$S100)/(1+Voorblad!$K$44)^(BS$56-Voorblad!$F$41),0)</f>
        <v>0</v>
      </c>
      <c r="BT100" s="9">
        <f>IF($W100=BT$56,FU100*($Q100*$S100)/(1+Voorblad!$K$44)^(BT$56-Voorblad!$F$41),0)</f>
        <v>0</v>
      </c>
      <c r="BU100" s="9">
        <f>IF($W100=BU$56,FV100*($Q100*$S100)/(1+Voorblad!$K$44)^(BU$56-Voorblad!$F$41),0)</f>
        <v>0</v>
      </c>
      <c r="BV100" s="9">
        <f>IF($W100=BV$56,FW100*($Q100*$S100)/(1+Voorblad!$K$44)^(BV$56-Voorblad!$F$41),0)</f>
        <v>0</v>
      </c>
      <c r="BW100" s="9">
        <f>IF($W100=BW$56,FX100*($Q100*$S100)/(1+Voorblad!$K$44)^(BW$56-Voorblad!$F$41),0)</f>
        <v>0</v>
      </c>
      <c r="BX100" s="9">
        <f>IF($W100=BX$56,FY100*($Q100*$S100)/(1+Voorblad!$K$44)^(BX$56-Voorblad!$F$41),0)</f>
        <v>0</v>
      </c>
      <c r="BY100" s="9">
        <f>IF($W100=BY$56,FZ100*($Q100*$S100)/(1+Voorblad!$K$44)^(BY$56-Voorblad!$F$41),0)</f>
        <v>0</v>
      </c>
      <c r="BZ100" s="9">
        <f>IF($W100=BZ$56,GA100*($Q100*$S100)/(1+Voorblad!$K$44)^(BZ$56-Voorblad!$F$41),0)</f>
        <v>0</v>
      </c>
      <c r="CA100" s="9">
        <f>IF($W100=CA$56,GB100*($Q100*$S100)/(1+Voorblad!$K$44)^(CA$56-Voorblad!$F$41),0)</f>
        <v>0</v>
      </c>
      <c r="CB100" s="9">
        <f>IF($W100=CB$56,GC100*($Q100*$S100)/(1+Voorblad!$K$44)^(CB$56-Voorblad!$F$41),0)</f>
        <v>0</v>
      </c>
      <c r="CC100" s="9">
        <f>IF($W100=CC$56,GD100*($Q100*$S100)/(1+Voorblad!$K$44)^(CC$56-Voorblad!$F$41),0)</f>
        <v>0</v>
      </c>
      <c r="CD100" s="9">
        <f>IF($W100=CD$56,GE100*($Q100*$S100)/(1+Voorblad!$K$44)^(CD$56-Voorblad!$F$41),0)</f>
        <v>0</v>
      </c>
      <c r="CE100" s="9">
        <f>IF($W100=CE$56,GF100*($Q100*$S100)/(1+Voorblad!$K$44)^(CE$56-Voorblad!$F$41),0)</f>
        <v>0</v>
      </c>
      <c r="CF100" s="9">
        <f>IF($W100=CF$56,GG100*($Q100*$S100)/(1+Voorblad!$K$44)^(CF$56-Voorblad!$F$41),0)</f>
        <v>0</v>
      </c>
      <c r="CG100" s="9">
        <f>IF($W100=CG$56,GH100*($Q100*$S100)/(1+Voorblad!$K$44)^(CG$56-Voorblad!$F$41),0)</f>
        <v>0</v>
      </c>
      <c r="CH100" s="9">
        <f>IF($W100=CH$56,GI100*($Q100*$S100)/(1+Voorblad!$K$44)^(CH$56-Voorblad!$F$41),0)</f>
        <v>0</v>
      </c>
      <c r="CI100" s="9">
        <f>IF($W100=CI$56,GJ100*($Q100*$S100)/(1+Voorblad!$K$44)^(CI$56-Voorblad!$F$41),0)</f>
        <v>0</v>
      </c>
      <c r="CJ100" s="9">
        <f>IF($W100=CJ$56,GK100*($Q100*$S100)/(1+Voorblad!$K$44)^(CJ$56-Voorblad!$F$41),0)</f>
        <v>0</v>
      </c>
      <c r="CK100" s="9">
        <f>IF($W100=CK$56,GL100*($Q100*$S100)/(1+Voorblad!$K$44)^(CK$56-Voorblad!$F$41),0)</f>
        <v>0</v>
      </c>
      <c r="CL100" s="9">
        <f>IF($W100=CL$56,GM100*($Q100*$S100)/(1+Voorblad!$K$44)^(CL$56-Voorblad!$F$41),0)</f>
        <v>0</v>
      </c>
      <c r="CM100" s="9">
        <f>IF($W100=CM$56,GN100*($Q100*$S100)/(1+Voorblad!$K$44)^(CM$56-Voorblad!$F$41),0)</f>
        <v>0</v>
      </c>
      <c r="CN100" s="9">
        <f>IF($W100=CN$56,GO100*($Q100*$S100)/(1+Voorblad!$K$44)^(CN$56-Voorblad!$F$41),0)</f>
        <v>0</v>
      </c>
      <c r="CO100" s="9">
        <f>IF($W100=CO$56,GP100*($Q100*$S100)/(1+Voorblad!$K$44)^(CO$56-Voorblad!$F$41),0)</f>
        <v>0</v>
      </c>
      <c r="CP100" s="9">
        <f>IF($W100=CP$56,GQ100*($Q100*$S100)/(1+Voorblad!$K$44)^(CP$56-Voorblad!$F$41),0)</f>
        <v>0</v>
      </c>
      <c r="CQ100" s="9">
        <f>IF($W100=CQ$56,GR100*($Q100*$S100)/(1+Voorblad!$K$44)^(CQ$56-Voorblad!$F$41),0)</f>
        <v>0</v>
      </c>
      <c r="CR100" s="9">
        <f>IF($W100=CR$56,GS100*($Q100*$S100)/(1+Voorblad!$K$44)^(CR$56-Voorblad!$F$41),0)</f>
        <v>0</v>
      </c>
      <c r="CS100" s="9">
        <f>IF($W100=CS$56,GT100*($Q100*$S100)/(1+Voorblad!$K$44)^(CS$56-Voorblad!$F$41),0)</f>
        <v>0</v>
      </c>
      <c r="CT100" s="9">
        <f>IF($W100=CT$56,GU100*($Q100*$S100)/(1+Voorblad!$K$44)^(CT$56-Voorblad!$F$41),0)</f>
        <v>0</v>
      </c>
      <c r="CU100" s="9">
        <f>IF($W100=CU$56,GV100*($Q100*$S100)/(1+Voorblad!$K$44)^(CU$56-Voorblad!$F$41),0)</f>
        <v>0</v>
      </c>
      <c r="CV100" s="9">
        <f>IF($W100=CV$56,GW100*($Q100*$S100)/(1+Voorblad!$K$44)^(CV$56-Voorblad!$F$41),0)</f>
        <v>0</v>
      </c>
      <c r="CW100" s="9">
        <f>IF($W100=CW$56,GX100*($Q100*$S100)/(1+Voorblad!$K$44)^(CW$56-Voorblad!$F$41),0)</f>
        <v>0</v>
      </c>
      <c r="CX100" s="9">
        <f>IF($W100=CX$56,GY100*($Q100*$S100)/(1+Voorblad!$K$44)^(CX$56-Voorblad!$F$41),0)</f>
        <v>0</v>
      </c>
      <c r="CY100" s="9">
        <f>IF($W100=CY$56,GZ100*($Q100*$S100)/(1+Voorblad!$K$44)^(CY$56-Voorblad!$F$41),0)</f>
        <v>0</v>
      </c>
      <c r="CZ100" s="9">
        <f>IF($W100=CZ$56,HA100*($Q100*$S100)/(1+Voorblad!$K$44)^(CZ$56-Voorblad!$F$41),0)</f>
        <v>0</v>
      </c>
      <c r="DA100" s="9">
        <f>IF($W100=DA$56,HB100*($Q100*$S100)/(1+Voorblad!$K$44)^(DA$56-Voorblad!$F$41),0)</f>
        <v>0</v>
      </c>
      <c r="DB100" s="9">
        <f>IF($W100=DB$56,HC100*($Q100*$S100)/(1+Voorblad!$K$44)^(DB$56-Voorblad!$F$41),0)</f>
        <v>0</v>
      </c>
      <c r="DC100" s="9">
        <f>IF($W100=DC$56,HD100*($Q100*$S100)/(1+Voorblad!$K$44)^(DC$56-Voorblad!$F$41),0)</f>
        <v>0</v>
      </c>
      <c r="DD100" s="9">
        <f>IF($W100=DD$56,HE100*($Q100*$S100)/(1+Voorblad!$K$44)^(DD$56-Voorblad!$F$41),0)</f>
        <v>0</v>
      </c>
      <c r="DE100" s="9">
        <f>IF($W100=DE$56,HF100*($Q100*$S100)/(1+Voorblad!$K$44)^(DE$56-Voorblad!$F$41),0)</f>
        <v>0</v>
      </c>
      <c r="DF100" s="9">
        <f>IF($W100=DF$56,HG100*($Q100*$S100)/(1+Voorblad!$K$44)^(DF$56-Voorblad!$F$41),0)</f>
        <v>0</v>
      </c>
      <c r="DG100" s="9">
        <f>IF($W100=DG$56,HH100*($Q100*$S100)/(1+Voorblad!$K$44)^(DG$56-Voorblad!$F$41),0)</f>
        <v>0</v>
      </c>
      <c r="DH100" s="9">
        <f>IF($W100=DH$56,HI100*($Q100*$S100)/(1+Voorblad!$K$44)^(DH$56-Voorblad!$F$41),0)</f>
        <v>0</v>
      </c>
      <c r="DI100" s="9">
        <f>IF($W100=DI$56,HJ100*($Q100*$S100)/(1+Voorblad!$K$44)^(DI$56-Voorblad!$F$41),0)</f>
        <v>0</v>
      </c>
      <c r="DJ100" s="9">
        <f>IF($W100=DJ$56,HK100*($Q100*$S100)/(1+Voorblad!$K$44)^(DJ$56-Voorblad!$F$41),0)</f>
        <v>0</v>
      </c>
      <c r="DK100" s="9">
        <f>IF($W100=DK$56,HL100*($Q100*$S100)/(1+Voorblad!$K$44)^(DK$56-Voorblad!$F$41),0)</f>
        <v>0</v>
      </c>
      <c r="DL100" s="9">
        <f>IF($W100=DL$56,HM100*($Q100*$S100)/(1+Voorblad!$K$44)^(DL$56-Voorblad!$F$41),0)</f>
        <v>0</v>
      </c>
      <c r="DM100" s="9">
        <f>IF($W100=DM$56,HN100*($Q100*$S100)/(1+Voorblad!$K$44)^(DM$56-Voorblad!$F$41),0)</f>
        <v>0</v>
      </c>
      <c r="DN100" s="9">
        <f>IF($W100=DN$56,HO100*($Q100*$S100)/(1+Voorblad!$K$44)^(DN$56-Voorblad!$F$41),0)</f>
        <v>0</v>
      </c>
      <c r="DO100" s="9">
        <f>IF($W100=DO$56,HP100*($Q100*$S100)/(1+Voorblad!$K$44)^(DO$56-Voorblad!$F$41),0)</f>
        <v>0</v>
      </c>
      <c r="DP100" s="9">
        <f>IF($W100=DP$56,HQ100*($Q100*$S100)/(1+Voorblad!$K$44)^(DP$56-Voorblad!$F$41),0)</f>
        <v>0</v>
      </c>
      <c r="DQ100" s="9">
        <f>IF($W100=DQ$56,HR100*($Q100*$S100)/(1+Voorblad!$K$44)^(DQ$56-Voorblad!$F$41),0)</f>
        <v>0</v>
      </c>
      <c r="DR100" s="9">
        <f>IF($W100=DR$56,HS100*($Q100*$S100)/(1+Voorblad!$K$44)^(DR$56-Voorblad!$F$41),0)</f>
        <v>0</v>
      </c>
      <c r="DS100" s="9">
        <f>IF($W100=DS$56,HT100*($Q100*$S100)/(1+Voorblad!$K$44)^(DS$56-Voorblad!$F$41),0)</f>
        <v>0</v>
      </c>
      <c r="DT100" s="9">
        <f>IF($W100=DT$56,HU100*($Q100*$S100)/(1+Voorblad!$K$44)^(DT$56-Voorblad!$F$41),0)</f>
        <v>0</v>
      </c>
      <c r="DU100" s="9">
        <f>IF($W100=DU$56,HV100*($Q100*$S100)/(1+Voorblad!$K$44)^(DU$56-Voorblad!$F$41),0)</f>
        <v>0</v>
      </c>
      <c r="DV100" s="9">
        <f>IF($W100=DV$56,HW100*($Q100*$S100)/(1+Voorblad!$K$44)^(DV$56-Voorblad!$F$41),0)</f>
        <v>0</v>
      </c>
      <c r="DW100" s="9">
        <f>IF($W100=DW$56,HX100*($Q100*$S100)/(1+Voorblad!$K$44)^(DW$56-Voorblad!$F$41),0)</f>
        <v>0</v>
      </c>
      <c r="DX100" s="9">
        <f>IF($W100=DX$56,HY100*($Q100*$S100)/(1+Voorblad!$K$44)^(DX$56-Voorblad!$F$41),0)</f>
        <v>0</v>
      </c>
      <c r="DY100" s="9">
        <f>IF($W100=DY$56,HZ100*($Q100*$S100)/(1+Voorblad!$K$44)^(DY$56-Voorblad!$F$41),0)</f>
        <v>0</v>
      </c>
      <c r="DZ100" s="9">
        <f>IF($W100=DZ$56,IA100*($Q100*$S100)/(1+Voorblad!$K$44)^(DZ$56-Voorblad!$F$41),0)</f>
        <v>0</v>
      </c>
      <c r="EA100" s="9">
        <f>IF($W100=EA$56,IB100*($Q100*$S100)/(1+Voorblad!$K$44)^(EA$56-Voorblad!$F$41),0)</f>
        <v>0</v>
      </c>
      <c r="EB100" s="9">
        <f>IF($W100=EB$56,IC100*($Q100*$S100)/(1+Voorblad!$K$44)^(EB$56-Voorblad!$F$41),0)</f>
        <v>0</v>
      </c>
      <c r="EE100" s="8">
        <v>0</v>
      </c>
      <c r="EF100" s="8">
        <f>IF(EF$56-Voorblad!$F$41&gt;Voorblad!$K$41,0,IF($U100=0,0,IF($U100&lt;1,1/$U100,IF((EF$56-Voorblad!$F$41)/$U100-SUM($EE100:EE100)=1,1,0))))</f>
        <v>0</v>
      </c>
      <c r="EG100" s="8">
        <f>IF(EG$56-Voorblad!$F$41&gt;Voorblad!$K$41,0,IF($U100=0,0,IF($U100&lt;1,1/$U100,IF((EG$56-Voorblad!$F$41)/$U100-SUM($EE100:EF100)=1,1,0))))</f>
        <v>1</v>
      </c>
      <c r="EH100" s="8">
        <f>IF(EH$56-Voorblad!$F$41&gt;Voorblad!$K$41,0,IF($U100=0,0,IF($U100&lt;1,1/$U100,IF((EH$56-Voorblad!$F$41)/$U100-SUM($EE100:EG100)=1,1,0))))</f>
        <v>1</v>
      </c>
      <c r="EI100" s="8">
        <f>IF(EI$56-Voorblad!$F$41&gt;Voorblad!$K$41,0,IF($U100=0,0,IF($U100&lt;1,1/$U100,IF((EI$56-Voorblad!$F$41)/$U100-SUM($EE100:EH100)=1,1,0))))</f>
        <v>1</v>
      </c>
      <c r="EJ100" s="8">
        <f>IF(EJ$56-Voorblad!$F$41&gt;Voorblad!$K$41,0,IF($U100=0,0,IF($U100&lt;1,1/$U100,IF((EJ$56-Voorblad!$F$41)/$U100-SUM($EE100:EI100)=1,1,0))))</f>
        <v>1</v>
      </c>
      <c r="EK100" s="8">
        <f>IF(EK$56-Voorblad!$F$41&gt;Voorblad!$K$41,0,IF($U100=0,0,IF($U100&lt;1,1/$U100,IF((EK$56-Voorblad!$F$41)/$U100-SUM($EE100:EJ100)=1,1,0))))</f>
        <v>1</v>
      </c>
      <c r="EL100" s="8">
        <f>IF(EL$56-Voorblad!$F$41&gt;Voorblad!$K$41,0,IF($U100=0,0,IF($U100&lt;1,1/$U100,IF((EL$56-Voorblad!$F$41)/$U100-SUM($EE100:EK100)=1,1,0))))</f>
        <v>1</v>
      </c>
      <c r="EM100" s="8">
        <f>IF(EM$56-Voorblad!$F$41&gt;Voorblad!$K$41,0,IF($U100=0,0,IF($U100&lt;1,1/$U100,IF((EM$56-Voorblad!$F$41)/$U100-SUM($EE100:EL100)=1,1,0))))</f>
        <v>1</v>
      </c>
      <c r="EN100" s="8">
        <f>IF(EN$56-Voorblad!$F$41&gt;Voorblad!$K$41,0,IF($U100=0,0,IF($U100&lt;1,1/$U100,IF((EN$56-Voorblad!$F$41)/$U100-SUM($EE100:EM100)=1,1,0))))</f>
        <v>1</v>
      </c>
      <c r="EO100" s="8">
        <f>IF(EO$56-Voorblad!$F$41&gt;Voorblad!$K$41,0,IF($U100=0,0,IF($U100&lt;1,1/$U100,IF((EO$56-Voorblad!$F$41)/$U100-SUM($EE100:EN100)=1,1,0))))</f>
        <v>1</v>
      </c>
      <c r="EP100" s="8">
        <f>IF(EP$56-Voorblad!$F$41&gt;Voorblad!$K$41,0,IF($U100=0,0,IF($U100&lt;1,1/$U100,IF((EP$56-Voorblad!$F$41)/$U100-SUM($EE100:EO100)=1,1,0))))</f>
        <v>1</v>
      </c>
      <c r="EQ100" s="8">
        <f>IF(EQ$56-Voorblad!$F$41&gt;Voorblad!$K$41,0,IF($U100=0,0,IF($U100&lt;1,1/$U100,IF((EQ$56-Voorblad!$F$41)/$U100-SUM($EE100:EP100)=1,1,0))))</f>
        <v>1</v>
      </c>
      <c r="ER100" s="8">
        <f>IF(ER$56-Voorblad!$F$41&gt;Voorblad!$K$41,0,IF($U100=0,0,IF($U100&lt;1,1/$U100,IF((ER$56-Voorblad!$F$41)/$U100-SUM($EE100:EQ100)=1,1,0))))</f>
        <v>1</v>
      </c>
      <c r="ES100" s="8">
        <f>IF(ES$56-Voorblad!$F$41&gt;Voorblad!$K$41,0,IF($U100=0,0,IF($U100&lt;1,1/$U100,IF((ES$56-Voorblad!$F$41)/$U100-SUM($EE100:ER100)=1,1,0))))</f>
        <v>1</v>
      </c>
      <c r="ET100" s="8">
        <f>IF(ET$56-Voorblad!$F$41&gt;Voorblad!$K$41,0,IF($U100=0,0,IF($U100&lt;1,1/$U100,IF((ET$56-Voorblad!$F$41)/$U100-SUM($EE100:ES100)=1,1,0))))</f>
        <v>1</v>
      </c>
      <c r="EU100" s="8">
        <f>IF(EU$56-Voorblad!$F$41&gt;Voorblad!$K$41,0,IF($U100=0,0,IF($U100&lt;1,1/$U100,IF((EU$56-Voorblad!$F$41)/$U100-SUM($EE100:ET100)=1,1,0))))</f>
        <v>1</v>
      </c>
      <c r="EV100" s="8">
        <f>IF(EV$56-Voorblad!$F$41&gt;Voorblad!$K$41,0,IF($U100=0,0,IF($U100&lt;1,1/$U100,IF((EV$56-Voorblad!$F$41)/$U100-SUM($EE100:EU100)=1,1,0))))</f>
        <v>1</v>
      </c>
      <c r="EW100" s="8">
        <f>IF(EW$56-Voorblad!$F$41&gt;Voorblad!$K$41,0,IF($U100=0,0,IF($U100&lt;1,1/$U100,IF((EW$56-Voorblad!$F$41)/$U100-SUM($EE100:EV100)=1,1,0))))</f>
        <v>1</v>
      </c>
      <c r="EX100" s="8">
        <f>IF(EX$56-Voorblad!$F$41&gt;Voorblad!$K$41,0,IF($U100=0,0,IF($U100&lt;1,1/$U100,IF((EX$56-Voorblad!$F$41)/$U100-SUM($EE100:EW100)=1,1,0))))</f>
        <v>1</v>
      </c>
      <c r="EY100" s="8">
        <f>IF(EY$56-Voorblad!$F$41&gt;Voorblad!$K$41,0,IF($U100=0,0,IF($U100&lt;1,1/$U100,IF((EY$56-Voorblad!$F$41)/$U100-SUM($EE100:EX100)=1,1,0))))</f>
        <v>1</v>
      </c>
      <c r="EZ100" s="8">
        <f>IF(EZ$56-Voorblad!$F$41&gt;Voorblad!$K$41,0,IF($U100=0,0,IF($U100&lt;1,1/$U100,IF((EZ$56-Voorblad!$F$41)/$U100-SUM($EE100:EY100)=1,1,0))))</f>
        <v>1</v>
      </c>
      <c r="FA100" s="8">
        <f>IF(FA$56-Voorblad!$F$41&gt;Voorblad!$K$41,0,IF($U100=0,0,IF($U100&lt;1,1/$U100,IF((FA$56-Voorblad!$F$41)/$U100-SUM($EE100:EZ100)=1,1,0))))</f>
        <v>1</v>
      </c>
      <c r="FB100" s="8">
        <f>IF(FB$56-Voorblad!$F$41&gt;Voorblad!$K$41,0,IF($U100=0,0,IF($U100&lt;1,1/$U100,IF((FB$56-Voorblad!$F$41)/$U100-SUM($EE100:FA100)=1,1,0))))</f>
        <v>1</v>
      </c>
      <c r="FC100" s="8">
        <f>IF(FC$56-Voorblad!$F$41&gt;Voorblad!$K$41,0,IF($U100=0,0,IF($U100&lt;1,1/$U100,IF((FC$56-Voorblad!$F$41)/$U100-SUM($EE100:FB100)=1,1,0))))</f>
        <v>1</v>
      </c>
      <c r="FD100" s="8">
        <f>IF(FD$56-Voorblad!$F$41&gt;Voorblad!$K$41,0,IF($U100=0,0,IF($U100&lt;1,1/$U100,IF((FD$56-Voorblad!$F$41)/$U100-SUM($EE100:FC100)=1,1,0))))</f>
        <v>1</v>
      </c>
      <c r="FE100" s="8">
        <f>IF(FE$56-Voorblad!$F$41&gt;Voorblad!$K$41,0,IF($U100=0,0,IF($U100&lt;1,1/$U100,IF((FE$56-Voorblad!$F$41)/$U100-SUM($EE100:FD100)=1,1,0))))</f>
        <v>1</v>
      </c>
      <c r="FF100" s="8">
        <f>IF(FF$56-Voorblad!$F$41&gt;Voorblad!$K$41,0,IF($U100=0,0,IF($U100&lt;1,1/$U100,IF((FF$56-Voorblad!$F$41)/$U100-SUM($EE100:FE100)=1,1,0))))</f>
        <v>1</v>
      </c>
      <c r="FG100" s="8">
        <f>IF(FG$56-Voorblad!$F$41&gt;Voorblad!$K$41,0,IF($U100=0,0,IF($U100&lt;1,1/$U100,IF((FG$56-Voorblad!$F$41)/$U100-SUM($EE100:FF100)=1,1,0))))</f>
        <v>1</v>
      </c>
      <c r="FH100" s="8">
        <f>IF(FH$56-Voorblad!$F$41&gt;Voorblad!$K$41,0,IF($U100=0,0,IF($U100&lt;1,1/$U100,IF((FH$56-Voorblad!$F$41)/$U100-SUM($EE100:FG100)=1,1,0))))</f>
        <v>1</v>
      </c>
      <c r="FI100" s="8">
        <f>IF(FI$56-Voorblad!$F$41&gt;Voorblad!$K$41,0,IF($U100=0,0,IF($U100&lt;1,1/$U100,IF((FI$56-Voorblad!$F$41)/$U100-SUM($EE100:FH100)=1,1,0))))</f>
        <v>1</v>
      </c>
      <c r="FJ100" s="8">
        <f>IF(FJ$56-Voorblad!$F$41&gt;Voorblad!$K$41,0,IF($U100=0,0,IF($U100&lt;1,1/$U100,IF((FJ$56-Voorblad!$F$41)/$U100-SUM($EE100:FI100)=1,1,0))))</f>
        <v>1</v>
      </c>
      <c r="FK100" s="8">
        <f>IF(FK$56-Voorblad!$F$41&gt;Voorblad!$K$41,0,IF($U100=0,0,IF($U100&lt;1,1/$U100,IF((FK$56-Voorblad!$F$41)/$U100-SUM($EE100:FJ100)=1,1,0))))</f>
        <v>1</v>
      </c>
      <c r="FL100" s="8">
        <f>IF(FL$56-Voorblad!$F$41&gt;Voorblad!$K$41,0,IF($U100=0,0,IF($U100&lt;1,1/$U100,IF((FL$56-Voorblad!$F$41)/$U100-SUM($EE100:FK100)=1,1,0))))</f>
        <v>1</v>
      </c>
      <c r="FM100" s="8">
        <f>IF(FM$56-Voorblad!$F$41&gt;Voorblad!$K$41,0,IF($U100=0,0,IF($U100&lt;1,1/$U100,IF((FM$56-Voorblad!$F$41)/$U100-SUM($EE100:FL100)=1,1,0))))</f>
        <v>1</v>
      </c>
      <c r="FN100" s="8">
        <f>IF(FN$56-Voorblad!$F$41&gt;Voorblad!$K$41,0,IF($U100=0,0,IF($U100&lt;1,1/$U100,IF((FN$56-Voorblad!$F$41)/$U100-SUM($EE100:FM100)=1,1,0))))</f>
        <v>1</v>
      </c>
      <c r="FO100" s="8">
        <f>IF(FO$56-Voorblad!$F$41&gt;Voorblad!$K$41,0,IF($U100=0,0,IF($U100&lt;1,1/$U100,IF((FO$56-Voorblad!$F$41)/$U100-SUM($EE100:FN100)=1,1,0))))</f>
        <v>1</v>
      </c>
      <c r="FP100" s="8">
        <f>IF(FP$56-Voorblad!$F$41&gt;Voorblad!$K$41,0,IF($U100=0,0,IF($U100&lt;1,1/$U100,IF((FP$56-Voorblad!$F$41)/$U100-SUM($EE100:FO100)=1,1,0))))</f>
        <v>1</v>
      </c>
      <c r="FQ100" s="8">
        <f>IF(FQ$56-Voorblad!$F$41&gt;Voorblad!$K$41,0,IF($U100=0,0,IF($U100&lt;1,1/$U100,IF((FQ$56-Voorblad!$F$41)/$U100-SUM($EE100:FP100)=1,1,0))))</f>
        <v>1</v>
      </c>
      <c r="FR100" s="8">
        <f>IF(FR$56-Voorblad!$F$41&gt;Voorblad!$K$41,0,IF($U100=0,0,IF($U100&lt;1,1/$U100,IF((FR$56-Voorblad!$F$41)/$U100-SUM($EE100:FQ100)=1,1,0))))</f>
        <v>1</v>
      </c>
      <c r="FS100" s="8">
        <f>IF(FS$56-Voorblad!$F$41&gt;Voorblad!$K$41,0,IF($U100=0,0,IF($U100&lt;1,1/$U100,IF((FS$56-Voorblad!$F$41)/$U100-SUM($EE100:FR100)=1,1,0))))</f>
        <v>1</v>
      </c>
      <c r="FT100" s="8">
        <f>IF(FT$56-Voorblad!$F$41&gt;Voorblad!$K$41,0,IF($U100=0,0,IF($U100&lt;1,1/$U100,IF((FT$56-Voorblad!$F$41)/$U100-SUM($EE100:FS100)=1,1,0))))</f>
        <v>1</v>
      </c>
      <c r="FU100" s="8">
        <f>IF(FU$56-Voorblad!$F$41&gt;Voorblad!$K$41,0,IF($U100=0,0,IF($U100&lt;1,1/$U100,IF((FU$56-Voorblad!$F$41)/$U100-SUM($EE100:FT100)=1,1,0))))</f>
        <v>1</v>
      </c>
      <c r="FV100" s="8">
        <f>IF(FV$56-Voorblad!$F$41&gt;Voorblad!$K$41,0,IF($U100=0,0,IF($U100&lt;1,1/$U100,IF((FV$56-Voorblad!$F$41)/$U100-SUM($EE100:FU100)=1,1,0))))</f>
        <v>1</v>
      </c>
      <c r="FW100" s="8">
        <f>IF(FW$56-Voorblad!$F$41&gt;Voorblad!$K$41,0,IF($U100=0,0,IF($U100&lt;1,1/$U100,IF((FW$56-Voorblad!$F$41)/$U100-SUM($EE100:FV100)=1,1,0))))</f>
        <v>1</v>
      </c>
      <c r="FX100" s="8">
        <f>IF(FX$56-Voorblad!$F$41&gt;Voorblad!$K$41,0,IF($U100=0,0,IF($U100&lt;1,1/$U100,IF((FX$56-Voorblad!$F$41)/$U100-SUM($EE100:FW100)=1,1,0))))</f>
        <v>1</v>
      </c>
      <c r="FY100" s="8">
        <f>IF(FY$56-Voorblad!$F$41&gt;Voorblad!$K$41,0,IF($U100=0,0,IF($U100&lt;1,1/$U100,IF((FY$56-Voorblad!$F$41)/$U100-SUM($EE100:FX100)=1,1,0))))</f>
        <v>1</v>
      </c>
      <c r="FZ100" s="8">
        <f>IF(FZ$56-Voorblad!$F$41&gt;Voorblad!$K$41,0,IF($U100=0,0,IF($U100&lt;1,1/$U100,IF((FZ$56-Voorblad!$F$41)/$U100-SUM($EE100:FY100)=1,1,0))))</f>
        <v>1</v>
      </c>
      <c r="GA100" s="8">
        <f>IF(GA$56-Voorblad!$F$41&gt;Voorblad!$K$41,0,IF($U100=0,0,IF($U100&lt;1,1/$U100,IF((GA$56-Voorblad!$F$41)/$U100-SUM($EE100:FZ100)=1,1,0))))</f>
        <v>1</v>
      </c>
      <c r="GB100" s="8">
        <f>IF(GB$56-Voorblad!$F$41&gt;Voorblad!$K$41,0,IF($U100=0,0,IF($U100&lt;1,1/$U100,IF((GB$56-Voorblad!$F$41)/$U100-SUM($EE100:GA100)=1,1,0))))</f>
        <v>1</v>
      </c>
      <c r="GC100" s="8">
        <f>IF(GC$56-Voorblad!$F$41&gt;Voorblad!$K$41,0,IF($U100=0,0,IF($U100&lt;1,1/$U100,IF((GC$56-Voorblad!$F$41)/$U100-SUM($EE100:GB100)=1,1,0))))</f>
        <v>1</v>
      </c>
      <c r="GD100" s="8">
        <f>IF(GD$56-Voorblad!$F$41&gt;Voorblad!$K$41,0,IF($U100=0,0,IF($U100&lt;1,1/$U100,IF((GD$56-Voorblad!$F$41)/$U100-SUM($EE100:GC100)=1,1,0))))</f>
        <v>1</v>
      </c>
      <c r="GE100" s="8">
        <f>IF(GE$56-Voorblad!$F$41&gt;Voorblad!$K$41,0,IF($U100=0,0,IF($U100&lt;1,1/$U100,IF((GE$56-Voorblad!$F$41)/$U100-SUM($EE100:GD100)=1,1,0))))</f>
        <v>1</v>
      </c>
      <c r="GF100" s="8">
        <f>IF(GF$56-Voorblad!$F$41&gt;Voorblad!$K$41,0,IF($U100=0,0,IF($U100&lt;1,1/$U100,IF((GF$56-Voorblad!$F$41)/$U100-SUM($EE100:GE100)=1,1,0))))</f>
        <v>1</v>
      </c>
      <c r="GG100" s="8">
        <f>IF(GG$56-Voorblad!$F$41&gt;Voorblad!$K$41,0,IF($U100=0,0,IF($U100&lt;1,1/$U100,IF((GG$56-Voorblad!$F$41)/$U100-SUM($EE100:GF100)=1,1,0))))</f>
        <v>1</v>
      </c>
      <c r="GH100" s="8">
        <f>IF(GH$56-Voorblad!$F$41&gt;Voorblad!$K$41,0,IF($U100=0,0,IF($U100&lt;1,1/$U100,IF((GH$56-Voorblad!$F$41)/$U100-SUM($EE100:GG100)=1,1,0))))</f>
        <v>1</v>
      </c>
      <c r="GI100" s="8">
        <f>IF(GI$56-Voorblad!$F$41&gt;Voorblad!$K$41,0,IF($U100=0,0,IF($U100&lt;1,1/$U100,IF((GI$56-Voorblad!$F$41)/$U100-SUM($EE100:GH100)=1,1,0))))</f>
        <v>1</v>
      </c>
      <c r="GJ100" s="8">
        <f>IF(GJ$56-Voorblad!$F$41&gt;Voorblad!$K$41,0,IF($U100=0,0,IF($U100&lt;1,1/$U100,IF((GJ$56-Voorblad!$F$41)/$U100-SUM($EE100:GI100)=1,1,0))))</f>
        <v>1</v>
      </c>
      <c r="GK100" s="8">
        <f>IF(GK$56-Voorblad!$F$41&gt;Voorblad!$K$41,0,IF($U100=0,0,IF($U100&lt;1,1/$U100,IF((GK$56-Voorblad!$F$41)/$U100-SUM($EE100:GJ100)=1,1,0))))</f>
        <v>1</v>
      </c>
      <c r="GL100" s="8">
        <f>IF(GL$56-Voorblad!$F$41&gt;Voorblad!$K$41,0,IF($U100=0,0,IF($U100&lt;1,1/$U100,IF((GL$56-Voorblad!$F$41)/$U100-SUM($EE100:GK100)=1,1,0))))</f>
        <v>1</v>
      </c>
      <c r="GM100" s="8">
        <f>IF(GM$56-Voorblad!$F$41&gt;Voorblad!$K$41,0,IF($U100=0,0,IF($U100&lt;1,1/$U100,IF((GM$56-Voorblad!$F$41)/$U100-SUM($EE100:GL100)=1,1,0))))</f>
        <v>1</v>
      </c>
      <c r="GN100" s="8">
        <f>IF(GN$56-Voorblad!$F$41&gt;Voorblad!$K$41,0,IF($U100=0,0,IF($U100&lt;1,1/$U100,IF((GN$56-Voorblad!$F$41)/$U100-SUM($EE100:GM100)=1,1,0))))</f>
        <v>1</v>
      </c>
      <c r="GO100" s="8">
        <f>IF(GO$56-Voorblad!$F$41&gt;Voorblad!$K$41,0,IF($U100=0,0,IF($U100&lt;1,1/$U100,IF((GO$56-Voorblad!$F$41)/$U100-SUM($EE100:GN100)=1,1,0))))</f>
        <v>1</v>
      </c>
      <c r="GP100" s="8">
        <f>IF(GP$56-Voorblad!$F$41&gt;Voorblad!$K$41,0,IF($U100=0,0,IF($U100&lt;1,1/$U100,IF((GP$56-Voorblad!$F$41)/$U100-SUM($EE100:GO100)=1,1,0))))</f>
        <v>1</v>
      </c>
      <c r="GQ100" s="8">
        <f>IF(GQ$56-Voorblad!$F$41&gt;Voorblad!$K$41,0,IF($U100=0,0,IF($U100&lt;1,1/$U100,IF((GQ$56-Voorblad!$F$41)/$U100-SUM($EE100:GP100)=1,1,0))))</f>
        <v>1</v>
      </c>
      <c r="GR100" s="8">
        <f>IF(GR$56-Voorblad!$F$41&gt;Voorblad!$K$41,0,IF($U100=0,0,IF($U100&lt;1,1/$U100,IF((GR$56-Voorblad!$F$41)/$U100-SUM($EE100:GQ100)=1,1,0))))</f>
        <v>1</v>
      </c>
      <c r="GS100" s="8">
        <f>IF(GS$56-Voorblad!$F$41&gt;Voorblad!$K$41,0,IF($U100=0,0,IF($U100&lt;1,1/$U100,IF((GS$56-Voorblad!$F$41)/$U100-SUM($EE100:GR100)=1,1,0))))</f>
        <v>1</v>
      </c>
      <c r="GT100" s="8">
        <f>IF(GT$56-Voorblad!$F$41&gt;Voorblad!$K$41,0,IF($U100=0,0,IF($U100&lt;1,1/$U100,IF((GT$56-Voorblad!$F$41)/$U100-SUM($EE100:GS100)=1,1,0))))</f>
        <v>1</v>
      </c>
      <c r="GU100" s="8">
        <f>IF(GU$56-Voorblad!$F$41&gt;Voorblad!$K$41,0,IF($U100=0,0,IF($U100&lt;1,1/$U100,IF((GU$56-Voorblad!$F$41)/$U100-SUM($EE100:GT100)=1,1,0))))</f>
        <v>1</v>
      </c>
      <c r="GV100" s="8">
        <f>IF(GV$56-Voorblad!$F$41&gt;Voorblad!$K$41,0,IF($U100=0,0,IF($U100&lt;1,1/$U100,IF((GV$56-Voorblad!$F$41)/$U100-SUM($EE100:GU100)=1,1,0))))</f>
        <v>1</v>
      </c>
      <c r="GW100" s="8">
        <f>IF(GW$56-Voorblad!$F$41&gt;Voorblad!$K$41,0,IF($U100=0,0,IF($U100&lt;1,1/$U100,IF((GW$56-Voorblad!$F$41)/$U100-SUM($EE100:GV100)=1,1,0))))</f>
        <v>1</v>
      </c>
      <c r="GX100" s="8">
        <f>IF(GX$56-Voorblad!$F$41&gt;Voorblad!$K$41,0,IF($U100=0,0,IF($U100&lt;1,1/$U100,IF((GX$56-Voorblad!$F$41)/$U100-SUM($EE100:GW100)=1,1,0))))</f>
        <v>1</v>
      </c>
      <c r="GY100" s="8">
        <f>IF(GY$56-Voorblad!$F$41&gt;Voorblad!$K$41,0,IF($U100=0,0,IF($U100&lt;1,1/$U100,IF((GY$56-Voorblad!$F$41)/$U100-SUM($EE100:GX100)=1,1,0))))</f>
        <v>1</v>
      </c>
      <c r="GZ100" s="8">
        <f>IF(GZ$56-Voorblad!$F$41&gt;Voorblad!$K$41,0,IF($U100=0,0,IF($U100&lt;1,1/$U100,IF((GZ$56-Voorblad!$F$41)/$U100-SUM($EE100:GY100)=1,1,0))))</f>
        <v>1</v>
      </c>
      <c r="HA100" s="8">
        <f>IF(HA$56-Voorblad!$F$41&gt;Voorblad!$K$41,0,IF($U100=0,0,IF($U100&lt;1,1/$U100,IF((HA$56-Voorblad!$F$41)/$U100-SUM($EE100:GZ100)=1,1,0))))</f>
        <v>1</v>
      </c>
      <c r="HB100" s="8">
        <f>IF(HB$56-Voorblad!$F$41&gt;Voorblad!$K$41,0,IF($U100=0,0,IF($U100&lt;1,1/$U100,IF((HB$56-Voorblad!$F$41)/$U100-SUM($EE100:HA100)=1,1,0))))</f>
        <v>0</v>
      </c>
      <c r="HC100" s="8">
        <f>IF(HC$56-Voorblad!$F$41&gt;Voorblad!$K$41,0,IF($U100=0,0,IF($U100&lt;1,1/$U100,IF((HC$56-Voorblad!$F$41)/$U100-SUM($EE100:HB100)=1,1,0))))</f>
        <v>0</v>
      </c>
      <c r="HD100" s="8">
        <f>IF(HD$56-Voorblad!$F$41&gt;Voorblad!$K$41,0,IF($U100=0,0,IF($U100&lt;1,1/$U100,IF((HD$56-Voorblad!$F$41)/$U100-SUM($EE100:HC100)=1,1,0))))</f>
        <v>0</v>
      </c>
      <c r="HE100" s="8">
        <f>IF(HE$56-Voorblad!$F$41&gt;Voorblad!$K$41,0,IF($U100=0,0,IF($U100&lt;1,1/$U100,IF((HE$56-Voorblad!$F$41)/$U100-SUM($EE100:HD100)=1,1,0))))</f>
        <v>0</v>
      </c>
      <c r="HF100" s="8">
        <f>IF(HF$56-Voorblad!$F$41&gt;Voorblad!$K$41,0,IF($U100=0,0,IF($U100&lt;1,1/$U100,IF((HF$56-Voorblad!$F$41)/$U100-SUM($EE100:HE100)=1,1,0))))</f>
        <v>0</v>
      </c>
      <c r="HG100" s="8">
        <f>IF(HG$56-Voorblad!$F$41&gt;Voorblad!$K$41,0,IF($U100=0,0,IF($U100&lt;1,1/$U100,IF((HG$56-Voorblad!$F$41)/$U100-SUM($EE100:HF100)=1,1,0))))</f>
        <v>0</v>
      </c>
      <c r="HH100" s="8">
        <f>IF(HH$56-Voorblad!$F$41&gt;Voorblad!$K$41,0,IF($U100=0,0,IF($U100&lt;1,1/$U100,IF((HH$56-Voorblad!$F$41)/$U100-SUM($EE100:HG100)=1,1,0))))</f>
        <v>0</v>
      </c>
      <c r="HI100" s="8">
        <f>IF(HI$56-Voorblad!$F$41&gt;Voorblad!$K$41,0,IF($U100=0,0,IF($U100&lt;1,1/$U100,IF((HI$56-Voorblad!$F$41)/$U100-SUM($EE100:HH100)=1,1,0))))</f>
        <v>0</v>
      </c>
      <c r="HJ100" s="8">
        <f>IF(HJ$56-Voorblad!$F$41&gt;Voorblad!$K$41,0,IF($U100=0,0,IF($U100&lt;1,1/$U100,IF((HJ$56-Voorblad!$F$41)/$U100-SUM($EE100:HI100)=1,1,0))))</f>
        <v>0</v>
      </c>
      <c r="HK100" s="8">
        <f>IF(HK$56-Voorblad!$F$41&gt;Voorblad!$K$41,0,IF($U100=0,0,IF($U100&lt;1,1/$U100,IF((HK$56-Voorblad!$F$41)/$U100-SUM($EE100:HJ100)=1,1,0))))</f>
        <v>0</v>
      </c>
      <c r="HL100" s="8">
        <f>IF(HL$56-Voorblad!$F$41&gt;Voorblad!$K$41,0,IF($U100=0,0,IF($U100&lt;1,1/$U100,IF((HL$56-Voorblad!$F$41)/$U100-SUM($EE100:HK100)=1,1,0))))</f>
        <v>0</v>
      </c>
      <c r="HM100" s="8">
        <f>IF(HM$56-Voorblad!$F$41&gt;Voorblad!$K$41,0,IF($U100=0,0,IF($U100&lt;1,1/$U100,IF((HM$56-Voorblad!$F$41)/$U100-SUM($EE100:HL100)=1,1,0))))</f>
        <v>0</v>
      </c>
      <c r="HN100" s="8">
        <f>IF(HN$56-Voorblad!$F$41&gt;Voorblad!$K$41,0,IF($U100=0,0,IF($U100&lt;1,1/$U100,IF((HN$56-Voorblad!$F$41)/$U100-SUM($EE100:HM100)=1,1,0))))</f>
        <v>0</v>
      </c>
      <c r="HO100" s="8">
        <f>IF(HO$56-Voorblad!$F$41&gt;Voorblad!$K$41,0,IF($U100=0,0,IF($U100&lt;1,1/$U100,IF((HO$56-Voorblad!$F$41)/$U100-SUM($EE100:HN100)=1,1,0))))</f>
        <v>0</v>
      </c>
      <c r="HP100" s="8">
        <f>IF(HP$56-Voorblad!$F$41&gt;Voorblad!$K$41,0,IF($U100=0,0,IF($U100&lt;1,1/$U100,IF((HP$56-Voorblad!$F$41)/$U100-SUM($EE100:HO100)=1,1,0))))</f>
        <v>0</v>
      </c>
      <c r="HQ100" s="8">
        <f>IF(HQ$56-Voorblad!$F$41&gt;Voorblad!$K$41,0,IF($U100=0,0,IF($U100&lt;1,1/$U100,IF((HQ$56-Voorblad!$F$41)/$U100-SUM($EE100:HP100)=1,1,0))))</f>
        <v>0</v>
      </c>
      <c r="HR100" s="8">
        <f>IF(HR$56-Voorblad!$F$41&gt;Voorblad!$K$41,0,IF($U100=0,0,IF($U100&lt;1,1/$U100,IF((HR$56-Voorblad!$F$41)/$U100-SUM($EE100:HQ100)=1,1,0))))</f>
        <v>0</v>
      </c>
      <c r="HS100" s="8">
        <f>IF(HS$56-Voorblad!$F$41&gt;Voorblad!$K$41,0,IF($U100=0,0,IF($U100&lt;1,1/$U100,IF((HS$56-Voorblad!$F$41)/$U100-SUM($EE100:HR100)=1,1,0))))</f>
        <v>0</v>
      </c>
      <c r="HT100" s="8">
        <f>IF(HT$56-Voorblad!$F$41&gt;Voorblad!$K$41,0,IF($U100=0,0,IF($U100&lt;1,1/$U100,IF((HT$56-Voorblad!$F$41)/$U100-SUM($EE100:HS100)=1,1,0))))</f>
        <v>0</v>
      </c>
      <c r="HU100" s="8">
        <f>IF(HU$56-Voorblad!$F$41&gt;Voorblad!$K$41,0,IF($U100=0,0,IF($U100&lt;1,1/$U100,IF((HU$56-Voorblad!$F$41)/$U100-SUM($EE100:HT100)=1,1,0))))</f>
        <v>0</v>
      </c>
      <c r="HV100" s="8">
        <f>IF(HV$56-Voorblad!$F$41&gt;Voorblad!$K$41,0,IF($U100=0,0,IF($U100&lt;1,1/$U100,IF((HV$56-Voorblad!$F$41)/$U100-SUM($EE100:HU100)=1,1,0))))</f>
        <v>0</v>
      </c>
      <c r="HW100" s="8">
        <f>IF(HW$56-Voorblad!$F$41&gt;Voorblad!$K$41,0,IF($U100=0,0,IF($U100&lt;1,1/$U100,IF((HW$56-Voorblad!$F$41)/$U100-SUM($EE100:HV100)=1,1,0))))</f>
        <v>0</v>
      </c>
      <c r="HX100" s="8">
        <f>IF(HX$56-Voorblad!$F$41&gt;Voorblad!$K$41,0,IF($U100=0,0,IF($U100&lt;1,1/$U100,IF((HX$56-Voorblad!$F$41)/$U100-SUM($EE100:HW100)=1,1,0))))</f>
        <v>0</v>
      </c>
      <c r="HY100" s="8">
        <f>IF(HY$56-Voorblad!$F$41&gt;Voorblad!$K$41,0,IF($U100=0,0,IF($U100&lt;1,1/$U100,IF((HY$56-Voorblad!$F$41)/$U100-SUM($EE100:HX100)=1,1,0))))</f>
        <v>0</v>
      </c>
      <c r="HZ100" s="8">
        <f>IF(HZ$56-Voorblad!$F$41&gt;Voorblad!$K$41,0,IF($U100=0,0,IF($U100&lt;1,1/$U100,IF((HZ$56-Voorblad!$F$41)/$U100-SUM($EE100:HY100)=1,1,0))))</f>
        <v>0</v>
      </c>
      <c r="IA100" s="8">
        <f>IF(IA$56-Voorblad!$F$41&gt;Voorblad!$K$41,0,IF($U100=0,0,IF($U100&lt;1,1/$U100,IF((IA$56-Voorblad!$F$41)/$U100-SUM($EE100:HZ100)=1,1,0))))</f>
        <v>0</v>
      </c>
      <c r="IB100" s="8">
        <f>IF(IB$56-Voorblad!$F$41&gt;Voorblad!$K$41,0,IF($U100=0,0,IF($U100&lt;1,1/$U100,IF((IB$56-Voorblad!$F$41)/$U100-SUM($EE100:IA100)=1,1,0))))</f>
        <v>0</v>
      </c>
    </row>
    <row r="101" spans="2:236" hidden="1" outlineLevel="1" x14ac:dyDescent="0.25">
      <c r="B101" s="14">
        <v>1</v>
      </c>
      <c r="C101" s="14"/>
      <c r="F101" s="1" t="s">
        <v>55</v>
      </c>
      <c r="I101" s="1" t="s">
        <v>67</v>
      </c>
      <c r="K101" s="14" t="s">
        <v>157</v>
      </c>
      <c r="N101" s="3"/>
      <c r="O101" s="1" t="s">
        <v>98</v>
      </c>
      <c r="Q101" s="1">
        <f>Q80</f>
        <v>0</v>
      </c>
      <c r="R101" s="1" t="s">
        <v>35</v>
      </c>
      <c r="S101" s="14">
        <f>50%*$S$80</f>
        <v>119</v>
      </c>
      <c r="T101" s="14">
        <f t="shared" si="19"/>
        <v>0</v>
      </c>
      <c r="U101" s="11">
        <v>1</v>
      </c>
      <c r="V101" s="14"/>
      <c r="W101" s="81">
        <v>0</v>
      </c>
      <c r="X101" s="6"/>
      <c r="Y101" s="9">
        <f t="shared" si="11"/>
        <v>0</v>
      </c>
      <c r="Z101" s="82"/>
      <c r="AA101" s="82"/>
      <c r="AC101" s="9">
        <f>$Y101*(Voorblad!$K$44*(1+Voorblad!$K$44)^Voorblad!$K$41)/((1+Voorblad!$K$44)^Voorblad!$K$41-1)</f>
        <v>0</v>
      </c>
      <c r="AE101" s="9">
        <f>IF($W101=AE$56,EF101*($Q101*$S101)/(1+Voorblad!$K$44)^(AE$56-Voorblad!$F$41),0)</f>
        <v>0</v>
      </c>
      <c r="AF101" s="9">
        <f>IF($W101=AF$56,EG101*($Q101*$S101)/(1+Voorblad!$K$44)^(AF$56-Voorblad!$F$41),0)</f>
        <v>0</v>
      </c>
      <c r="AG101" s="9">
        <f>IF($W101=AG$56,EH101*($Q101*$S101)/(1+Voorblad!$K$44)^(AG$56-Voorblad!$F$41),0)</f>
        <v>0</v>
      </c>
      <c r="AH101" s="9">
        <f>IF($W101=AH$56,EI101*($Q101*$S101)/(1+Voorblad!$K$44)^(AH$56-Voorblad!$F$41),0)</f>
        <v>0</v>
      </c>
      <c r="AI101" s="9">
        <f>IF($W101=AI$56,EJ101*($Q101*$S101)/(1+Voorblad!$K$44)^(AI$56-Voorblad!$F$41),0)</f>
        <v>0</v>
      </c>
      <c r="AJ101" s="9">
        <f>IF($W101=AJ$56,EK101*($Q101*$S101)/(1+Voorblad!$K$44)^(AJ$56-Voorblad!$F$41),0)</f>
        <v>0</v>
      </c>
      <c r="AK101" s="9">
        <f>IF($W101=AK$56,EL101*($Q101*$S101)/(1+Voorblad!$K$44)^(AK$56-Voorblad!$F$41),0)</f>
        <v>0</v>
      </c>
      <c r="AL101" s="9">
        <f>IF($W101=AL$56,EM101*($Q101*$S101)/(1+Voorblad!$K$44)^(AL$56-Voorblad!$F$41),0)</f>
        <v>0</v>
      </c>
      <c r="AM101" s="9">
        <f>IF($W101=AM$56,EN101*($Q101*$S101)/(1+Voorblad!$K$44)^(AM$56-Voorblad!$F$41),0)</f>
        <v>0</v>
      </c>
      <c r="AN101" s="9">
        <f>IF($W101=AN$56,EO101*($Q101*$S101)/(1+Voorblad!$K$44)^(AN$56-Voorblad!$F$41),0)</f>
        <v>0</v>
      </c>
      <c r="AO101" s="9">
        <f>IF($W101=AO$56,EP101*($Q101*$S101)/(1+Voorblad!$K$44)^(AO$56-Voorblad!$F$41),0)</f>
        <v>0</v>
      </c>
      <c r="AP101" s="9">
        <f>IF($W101=AP$56,EQ101*($Q101*$S101)/(1+Voorblad!$K$44)^(AP$56-Voorblad!$F$41),0)</f>
        <v>0</v>
      </c>
      <c r="AQ101" s="9">
        <f>IF($W101=AQ$56,ER101*($Q101*$S101)/(1+Voorblad!$K$44)^(AQ$56-Voorblad!$F$41),0)</f>
        <v>0</v>
      </c>
      <c r="AR101" s="9">
        <f>IF($W101=AR$56,ES101*($Q101*$S101)/(1+Voorblad!$K$44)^(AR$56-Voorblad!$F$41),0)</f>
        <v>0</v>
      </c>
      <c r="AS101" s="9">
        <f>IF($W101=AS$56,ET101*($Q101*$S101)/(1+Voorblad!$K$44)^(AS$56-Voorblad!$F$41),0)</f>
        <v>0</v>
      </c>
      <c r="AT101" s="9">
        <f>IF($W101=AT$56,EU101*($Q101*$S101)/(1+Voorblad!$K$44)^(AT$56-Voorblad!$F$41),0)</f>
        <v>0</v>
      </c>
      <c r="AU101" s="9">
        <f>IF($W101=AU$56,EV101*($Q101*$S101)/(1+Voorblad!$K$44)^(AU$56-Voorblad!$F$41),0)</f>
        <v>0</v>
      </c>
      <c r="AV101" s="9">
        <f>IF($W101=AV$56,EW101*($Q101*$S101)/(1+Voorblad!$K$44)^(AV$56-Voorblad!$F$41),0)</f>
        <v>0</v>
      </c>
      <c r="AW101" s="9">
        <f>IF($W101=AW$56,EX101*($Q101*$S101)/(1+Voorblad!$K$44)^(AW$56-Voorblad!$F$41),0)</f>
        <v>0</v>
      </c>
      <c r="AX101" s="9">
        <f>IF($W101=AX$56,EY101*($Q101*$S101)/(1+Voorblad!$K$44)^(AX$56-Voorblad!$F$41),0)</f>
        <v>0</v>
      </c>
      <c r="AY101" s="9">
        <f>IF($W101=AY$56,EZ101*($Q101*$S101)/(1+Voorblad!$K$44)^(AY$56-Voorblad!$F$41),0)</f>
        <v>0</v>
      </c>
      <c r="AZ101" s="9">
        <f>IF($W101=AZ$56,FA101*($Q101*$S101)/(1+Voorblad!$K$44)^(AZ$56-Voorblad!$F$41),0)</f>
        <v>0</v>
      </c>
      <c r="BA101" s="9">
        <f>IF($W101=BA$56,FB101*($Q101*$S101)/(1+Voorblad!$K$44)^(BA$56-Voorblad!$F$41),0)</f>
        <v>0</v>
      </c>
      <c r="BB101" s="9">
        <f>IF($W101=BB$56,FC101*($Q101*$S101)/(1+Voorblad!$K$44)^(BB$56-Voorblad!$F$41),0)</f>
        <v>0</v>
      </c>
      <c r="BC101" s="9">
        <f>IF($W101=BC$56,FD101*($Q101*$S101)/(1+Voorblad!$K$44)^(BC$56-Voorblad!$F$41),0)</f>
        <v>0</v>
      </c>
      <c r="BD101" s="9">
        <f>IF($W101=BD$56,FE101*($Q101*$S101)/(1+Voorblad!$K$44)^(BD$56-Voorblad!$F$41),0)</f>
        <v>0</v>
      </c>
      <c r="BE101" s="9">
        <f>IF($W101=BE$56,FF101*($Q101*$S101)/(1+Voorblad!$K$44)^(BE$56-Voorblad!$F$41),0)</f>
        <v>0</v>
      </c>
      <c r="BF101" s="9">
        <f>IF($W101=BF$56,FG101*($Q101*$S101)/(1+Voorblad!$K$44)^(BF$56-Voorblad!$F$41),0)</f>
        <v>0</v>
      </c>
      <c r="BG101" s="9">
        <f>IF($W101=BG$56,FH101*($Q101*$S101)/(1+Voorblad!$K$44)^(BG$56-Voorblad!$F$41),0)</f>
        <v>0</v>
      </c>
      <c r="BH101" s="9">
        <f>IF($W101=BH$56,FI101*($Q101*$S101)/(1+Voorblad!$K$44)^(BH$56-Voorblad!$F$41),0)</f>
        <v>0</v>
      </c>
      <c r="BI101" s="9">
        <f>IF($W101=BI$56,FJ101*($Q101*$S101)/(1+Voorblad!$K$44)^(BI$56-Voorblad!$F$41),0)</f>
        <v>0</v>
      </c>
      <c r="BJ101" s="9">
        <f>IF($W101=BJ$56,FK101*($Q101*$S101)/(1+Voorblad!$K$44)^(BJ$56-Voorblad!$F$41),0)</f>
        <v>0</v>
      </c>
      <c r="BK101" s="9">
        <f>IF($W101=BK$56,FL101*($Q101*$S101)/(1+Voorblad!$K$44)^(BK$56-Voorblad!$F$41),0)</f>
        <v>0</v>
      </c>
      <c r="BL101" s="9">
        <f>IF($W101=BL$56,FM101*($Q101*$S101)/(1+Voorblad!$K$44)^(BL$56-Voorblad!$F$41),0)</f>
        <v>0</v>
      </c>
      <c r="BM101" s="9">
        <f>IF($W101=BM$56,FN101*($Q101*$S101)/(1+Voorblad!$K$44)^(BM$56-Voorblad!$F$41),0)</f>
        <v>0</v>
      </c>
      <c r="BN101" s="9">
        <f>IF($W101=BN$56,FO101*($Q101*$S101)/(1+Voorblad!$K$44)^(BN$56-Voorblad!$F$41),0)</f>
        <v>0</v>
      </c>
      <c r="BO101" s="9">
        <f>IF($W101=BO$56,FP101*($Q101*$S101)/(1+Voorblad!$K$44)^(BO$56-Voorblad!$F$41),0)</f>
        <v>0</v>
      </c>
      <c r="BP101" s="9">
        <f>IF($W101=BP$56,FQ101*($Q101*$S101)/(1+Voorblad!$K$44)^(BP$56-Voorblad!$F$41),0)</f>
        <v>0</v>
      </c>
      <c r="BQ101" s="9">
        <f>IF($W101=BQ$56,FR101*($Q101*$S101)/(1+Voorblad!$K$44)^(BQ$56-Voorblad!$F$41),0)</f>
        <v>0</v>
      </c>
      <c r="BR101" s="9">
        <f>IF($W101=BR$56,FS101*($Q101*$S101)/(1+Voorblad!$K$44)^(BR$56-Voorblad!$F$41),0)</f>
        <v>0</v>
      </c>
      <c r="BS101" s="9">
        <f>IF($W101=BS$56,FT101*($Q101*$S101)/(1+Voorblad!$K$44)^(BS$56-Voorblad!$F$41),0)</f>
        <v>0</v>
      </c>
      <c r="BT101" s="9">
        <f>IF($W101=BT$56,FU101*($Q101*$S101)/(1+Voorblad!$K$44)^(BT$56-Voorblad!$F$41),0)</f>
        <v>0</v>
      </c>
      <c r="BU101" s="9">
        <f>IF($W101=BU$56,FV101*($Q101*$S101)/(1+Voorblad!$K$44)^(BU$56-Voorblad!$F$41),0)</f>
        <v>0</v>
      </c>
      <c r="BV101" s="9">
        <f>IF($W101=BV$56,FW101*($Q101*$S101)/(1+Voorblad!$K$44)^(BV$56-Voorblad!$F$41),0)</f>
        <v>0</v>
      </c>
      <c r="BW101" s="9">
        <f>IF($W101=BW$56,FX101*($Q101*$S101)/(1+Voorblad!$K$44)^(BW$56-Voorblad!$F$41),0)</f>
        <v>0</v>
      </c>
      <c r="BX101" s="9">
        <f>IF($W101=BX$56,FY101*($Q101*$S101)/(1+Voorblad!$K$44)^(BX$56-Voorblad!$F$41),0)</f>
        <v>0</v>
      </c>
      <c r="BY101" s="9">
        <f>IF($W101=BY$56,FZ101*($Q101*$S101)/(1+Voorblad!$K$44)^(BY$56-Voorblad!$F$41),0)</f>
        <v>0</v>
      </c>
      <c r="BZ101" s="9">
        <f>IF($W101=BZ$56,GA101*($Q101*$S101)/(1+Voorblad!$K$44)^(BZ$56-Voorblad!$F$41),0)</f>
        <v>0</v>
      </c>
      <c r="CA101" s="9">
        <f>IF($W101=CA$56,GB101*($Q101*$S101)/(1+Voorblad!$K$44)^(CA$56-Voorblad!$F$41),0)</f>
        <v>0</v>
      </c>
      <c r="CB101" s="9">
        <f>IF($W101=CB$56,GC101*($Q101*$S101)/(1+Voorblad!$K$44)^(CB$56-Voorblad!$F$41),0)</f>
        <v>0</v>
      </c>
      <c r="CC101" s="9">
        <f>IF($W101=CC$56,GD101*($Q101*$S101)/(1+Voorblad!$K$44)^(CC$56-Voorblad!$F$41),0)</f>
        <v>0</v>
      </c>
      <c r="CD101" s="9">
        <f>IF($W101=CD$56,GE101*($Q101*$S101)/(1+Voorblad!$K$44)^(CD$56-Voorblad!$F$41),0)</f>
        <v>0</v>
      </c>
      <c r="CE101" s="9">
        <f>IF($W101=CE$56,GF101*($Q101*$S101)/(1+Voorblad!$K$44)^(CE$56-Voorblad!$F$41),0)</f>
        <v>0</v>
      </c>
      <c r="CF101" s="9">
        <f>IF($W101=CF$56,GG101*($Q101*$S101)/(1+Voorblad!$K$44)^(CF$56-Voorblad!$F$41),0)</f>
        <v>0</v>
      </c>
      <c r="CG101" s="9">
        <f>IF($W101=CG$56,GH101*($Q101*$S101)/(1+Voorblad!$K$44)^(CG$56-Voorblad!$F$41),0)</f>
        <v>0</v>
      </c>
      <c r="CH101" s="9">
        <f>IF($W101=CH$56,GI101*($Q101*$S101)/(1+Voorblad!$K$44)^(CH$56-Voorblad!$F$41),0)</f>
        <v>0</v>
      </c>
      <c r="CI101" s="9">
        <f>IF($W101=CI$56,GJ101*($Q101*$S101)/(1+Voorblad!$K$44)^(CI$56-Voorblad!$F$41),0)</f>
        <v>0</v>
      </c>
      <c r="CJ101" s="9">
        <f>IF($W101=CJ$56,GK101*($Q101*$S101)/(1+Voorblad!$K$44)^(CJ$56-Voorblad!$F$41),0)</f>
        <v>0</v>
      </c>
      <c r="CK101" s="9">
        <f>IF($W101=CK$56,GL101*($Q101*$S101)/(1+Voorblad!$K$44)^(CK$56-Voorblad!$F$41),0)</f>
        <v>0</v>
      </c>
      <c r="CL101" s="9">
        <f>IF($W101=CL$56,GM101*($Q101*$S101)/(1+Voorblad!$K$44)^(CL$56-Voorblad!$F$41),0)</f>
        <v>0</v>
      </c>
      <c r="CM101" s="9">
        <f>IF($W101=CM$56,GN101*($Q101*$S101)/(1+Voorblad!$K$44)^(CM$56-Voorblad!$F$41),0)</f>
        <v>0</v>
      </c>
      <c r="CN101" s="9">
        <f>IF($W101=CN$56,GO101*($Q101*$S101)/(1+Voorblad!$K$44)^(CN$56-Voorblad!$F$41),0)</f>
        <v>0</v>
      </c>
      <c r="CO101" s="9">
        <f>IF($W101=CO$56,GP101*($Q101*$S101)/(1+Voorblad!$K$44)^(CO$56-Voorblad!$F$41),0)</f>
        <v>0</v>
      </c>
      <c r="CP101" s="9">
        <f>IF($W101=CP$56,GQ101*($Q101*$S101)/(1+Voorblad!$K$44)^(CP$56-Voorblad!$F$41),0)</f>
        <v>0</v>
      </c>
      <c r="CQ101" s="9">
        <f>IF($W101=CQ$56,GR101*($Q101*$S101)/(1+Voorblad!$K$44)^(CQ$56-Voorblad!$F$41),0)</f>
        <v>0</v>
      </c>
      <c r="CR101" s="9">
        <f>IF($W101=CR$56,GS101*($Q101*$S101)/(1+Voorblad!$K$44)^(CR$56-Voorblad!$F$41),0)</f>
        <v>0</v>
      </c>
      <c r="CS101" s="9">
        <f>IF($W101=CS$56,GT101*($Q101*$S101)/(1+Voorblad!$K$44)^(CS$56-Voorblad!$F$41),0)</f>
        <v>0</v>
      </c>
      <c r="CT101" s="9">
        <f>IF($W101=CT$56,GU101*($Q101*$S101)/(1+Voorblad!$K$44)^(CT$56-Voorblad!$F$41),0)</f>
        <v>0</v>
      </c>
      <c r="CU101" s="9">
        <f>IF($W101=CU$56,GV101*($Q101*$S101)/(1+Voorblad!$K$44)^(CU$56-Voorblad!$F$41),0)</f>
        <v>0</v>
      </c>
      <c r="CV101" s="9">
        <f>IF($W101=CV$56,GW101*($Q101*$S101)/(1+Voorblad!$K$44)^(CV$56-Voorblad!$F$41),0)</f>
        <v>0</v>
      </c>
      <c r="CW101" s="9">
        <f>IF($W101=CW$56,GX101*($Q101*$S101)/(1+Voorblad!$K$44)^(CW$56-Voorblad!$F$41),0)</f>
        <v>0</v>
      </c>
      <c r="CX101" s="9">
        <f>IF($W101=CX$56,GY101*($Q101*$S101)/(1+Voorblad!$K$44)^(CX$56-Voorblad!$F$41),0)</f>
        <v>0</v>
      </c>
      <c r="CY101" s="9">
        <f>IF($W101=CY$56,GZ101*($Q101*$S101)/(1+Voorblad!$K$44)^(CY$56-Voorblad!$F$41),0)</f>
        <v>0</v>
      </c>
      <c r="CZ101" s="9">
        <f>IF($W101=CZ$56,HA101*($Q101*$S101)/(1+Voorblad!$K$44)^(CZ$56-Voorblad!$F$41),0)</f>
        <v>0</v>
      </c>
      <c r="DA101" s="9">
        <f>IF($W101=DA$56,HB101*($Q101*$S101)/(1+Voorblad!$K$44)^(DA$56-Voorblad!$F$41),0)</f>
        <v>0</v>
      </c>
      <c r="DB101" s="9">
        <f>IF($W101=DB$56,HC101*($Q101*$S101)/(1+Voorblad!$K$44)^(DB$56-Voorblad!$F$41),0)</f>
        <v>0</v>
      </c>
      <c r="DC101" s="9">
        <f>IF($W101=DC$56,HD101*($Q101*$S101)/(1+Voorblad!$K$44)^(DC$56-Voorblad!$F$41),0)</f>
        <v>0</v>
      </c>
      <c r="DD101" s="9">
        <f>IF($W101=DD$56,HE101*($Q101*$S101)/(1+Voorblad!$K$44)^(DD$56-Voorblad!$F$41),0)</f>
        <v>0</v>
      </c>
      <c r="DE101" s="9">
        <f>IF($W101=DE$56,HF101*($Q101*$S101)/(1+Voorblad!$K$44)^(DE$56-Voorblad!$F$41),0)</f>
        <v>0</v>
      </c>
      <c r="DF101" s="9">
        <f>IF($W101=DF$56,HG101*($Q101*$S101)/(1+Voorblad!$K$44)^(DF$56-Voorblad!$F$41),0)</f>
        <v>0</v>
      </c>
      <c r="DG101" s="9">
        <f>IF($W101=DG$56,HH101*($Q101*$S101)/(1+Voorblad!$K$44)^(DG$56-Voorblad!$F$41),0)</f>
        <v>0</v>
      </c>
      <c r="DH101" s="9">
        <f>IF($W101=DH$56,HI101*($Q101*$S101)/(1+Voorblad!$K$44)^(DH$56-Voorblad!$F$41),0)</f>
        <v>0</v>
      </c>
      <c r="DI101" s="9">
        <f>IF($W101=DI$56,HJ101*($Q101*$S101)/(1+Voorblad!$K$44)^(DI$56-Voorblad!$F$41),0)</f>
        <v>0</v>
      </c>
      <c r="DJ101" s="9">
        <f>IF($W101=DJ$56,HK101*($Q101*$S101)/(1+Voorblad!$K$44)^(DJ$56-Voorblad!$F$41),0)</f>
        <v>0</v>
      </c>
      <c r="DK101" s="9">
        <f>IF($W101=DK$56,HL101*($Q101*$S101)/(1+Voorblad!$K$44)^(DK$56-Voorblad!$F$41),0)</f>
        <v>0</v>
      </c>
      <c r="DL101" s="9">
        <f>IF($W101=DL$56,HM101*($Q101*$S101)/(1+Voorblad!$K$44)^(DL$56-Voorblad!$F$41),0)</f>
        <v>0</v>
      </c>
      <c r="DM101" s="9">
        <f>IF($W101=DM$56,HN101*($Q101*$S101)/(1+Voorblad!$K$44)^(DM$56-Voorblad!$F$41),0)</f>
        <v>0</v>
      </c>
      <c r="DN101" s="9">
        <f>IF($W101=DN$56,HO101*($Q101*$S101)/(1+Voorblad!$K$44)^(DN$56-Voorblad!$F$41),0)</f>
        <v>0</v>
      </c>
      <c r="DO101" s="9">
        <f>IF($W101=DO$56,HP101*($Q101*$S101)/(1+Voorblad!$K$44)^(DO$56-Voorblad!$F$41),0)</f>
        <v>0</v>
      </c>
      <c r="DP101" s="9">
        <f>IF($W101=DP$56,HQ101*($Q101*$S101)/(1+Voorblad!$K$44)^(DP$56-Voorblad!$F$41),0)</f>
        <v>0</v>
      </c>
      <c r="DQ101" s="9">
        <f>IF($W101=DQ$56,HR101*($Q101*$S101)/(1+Voorblad!$K$44)^(DQ$56-Voorblad!$F$41),0)</f>
        <v>0</v>
      </c>
      <c r="DR101" s="9">
        <f>IF($W101=DR$56,HS101*($Q101*$S101)/(1+Voorblad!$K$44)^(DR$56-Voorblad!$F$41),0)</f>
        <v>0</v>
      </c>
      <c r="DS101" s="9">
        <f>IF($W101=DS$56,HT101*($Q101*$S101)/(1+Voorblad!$K$44)^(DS$56-Voorblad!$F$41),0)</f>
        <v>0</v>
      </c>
      <c r="DT101" s="9">
        <f>IF($W101=DT$56,HU101*($Q101*$S101)/(1+Voorblad!$K$44)^(DT$56-Voorblad!$F$41),0)</f>
        <v>0</v>
      </c>
      <c r="DU101" s="9">
        <f>IF($W101=DU$56,HV101*($Q101*$S101)/(1+Voorblad!$K$44)^(DU$56-Voorblad!$F$41),0)</f>
        <v>0</v>
      </c>
      <c r="DV101" s="9">
        <f>IF($W101=DV$56,HW101*($Q101*$S101)/(1+Voorblad!$K$44)^(DV$56-Voorblad!$F$41),0)</f>
        <v>0</v>
      </c>
      <c r="DW101" s="9">
        <f>IF($W101=DW$56,HX101*($Q101*$S101)/(1+Voorblad!$K$44)^(DW$56-Voorblad!$F$41),0)</f>
        <v>0</v>
      </c>
      <c r="DX101" s="9">
        <f>IF($W101=DX$56,HY101*($Q101*$S101)/(1+Voorblad!$K$44)^(DX$56-Voorblad!$F$41),0)</f>
        <v>0</v>
      </c>
      <c r="DY101" s="9">
        <f>IF($W101=DY$56,HZ101*($Q101*$S101)/(1+Voorblad!$K$44)^(DY$56-Voorblad!$F$41),0)</f>
        <v>0</v>
      </c>
      <c r="DZ101" s="9">
        <f>IF($W101=DZ$56,IA101*($Q101*$S101)/(1+Voorblad!$K$44)^(DZ$56-Voorblad!$F$41),0)</f>
        <v>0</v>
      </c>
      <c r="EA101" s="9">
        <f>IF($W101=EA$56,IB101*($Q101*$S101)/(1+Voorblad!$K$44)^(EA$56-Voorblad!$F$41),0)</f>
        <v>0</v>
      </c>
      <c r="EB101" s="9">
        <f>IF($W101=EB$56,IC101*($Q101*$S101)/(1+Voorblad!$K$44)^(EB$56-Voorblad!$F$41),0)</f>
        <v>0</v>
      </c>
      <c r="EE101" s="8">
        <v>0</v>
      </c>
      <c r="EF101" s="8">
        <f>IF(EF$56-Voorblad!$F$41&gt;Voorblad!$K$41,0,IF($U101=0,0,IF($U101&lt;1,1/$U101,IF((EF$56-Voorblad!$F$41)/$U101-SUM($EE101:EE101)=1,1,0))))</f>
        <v>0</v>
      </c>
      <c r="EG101" s="8">
        <f>IF(EG$56-Voorblad!$F$41&gt;Voorblad!$K$41,0,IF($U101=0,0,IF($U101&lt;1,1/$U101,IF((EG$56-Voorblad!$F$41)/$U101-SUM($EE101:EF101)=1,1,0))))</f>
        <v>1</v>
      </c>
      <c r="EH101" s="8">
        <f>IF(EH$56-Voorblad!$F$41&gt;Voorblad!$K$41,0,IF($U101=0,0,IF($U101&lt;1,1/$U101,IF((EH$56-Voorblad!$F$41)/$U101-SUM($EE101:EG101)=1,1,0))))</f>
        <v>1</v>
      </c>
      <c r="EI101" s="8">
        <f>IF(EI$56-Voorblad!$F$41&gt;Voorblad!$K$41,0,IF($U101=0,0,IF($U101&lt;1,1/$U101,IF((EI$56-Voorblad!$F$41)/$U101-SUM($EE101:EH101)=1,1,0))))</f>
        <v>1</v>
      </c>
      <c r="EJ101" s="8">
        <f>IF(EJ$56-Voorblad!$F$41&gt;Voorblad!$K$41,0,IF($U101=0,0,IF($U101&lt;1,1/$U101,IF((EJ$56-Voorblad!$F$41)/$U101-SUM($EE101:EI101)=1,1,0))))</f>
        <v>1</v>
      </c>
      <c r="EK101" s="8">
        <f>IF(EK$56-Voorblad!$F$41&gt;Voorblad!$K$41,0,IF($U101=0,0,IF($U101&lt;1,1/$U101,IF((EK$56-Voorblad!$F$41)/$U101-SUM($EE101:EJ101)=1,1,0))))</f>
        <v>1</v>
      </c>
      <c r="EL101" s="8">
        <f>IF(EL$56-Voorblad!$F$41&gt;Voorblad!$K$41,0,IF($U101=0,0,IF($U101&lt;1,1/$U101,IF((EL$56-Voorblad!$F$41)/$U101-SUM($EE101:EK101)=1,1,0))))</f>
        <v>1</v>
      </c>
      <c r="EM101" s="8">
        <f>IF(EM$56-Voorblad!$F$41&gt;Voorblad!$K$41,0,IF($U101=0,0,IF($U101&lt;1,1/$U101,IF((EM$56-Voorblad!$F$41)/$U101-SUM($EE101:EL101)=1,1,0))))</f>
        <v>1</v>
      </c>
      <c r="EN101" s="8">
        <f>IF(EN$56-Voorblad!$F$41&gt;Voorblad!$K$41,0,IF($U101=0,0,IF($U101&lt;1,1/$U101,IF((EN$56-Voorblad!$F$41)/$U101-SUM($EE101:EM101)=1,1,0))))</f>
        <v>1</v>
      </c>
      <c r="EO101" s="8">
        <f>IF(EO$56-Voorblad!$F$41&gt;Voorblad!$K$41,0,IF($U101=0,0,IF($U101&lt;1,1/$U101,IF((EO$56-Voorblad!$F$41)/$U101-SUM($EE101:EN101)=1,1,0))))</f>
        <v>1</v>
      </c>
      <c r="EP101" s="8">
        <f>IF(EP$56-Voorblad!$F$41&gt;Voorblad!$K$41,0,IF($U101=0,0,IF($U101&lt;1,1/$U101,IF((EP$56-Voorblad!$F$41)/$U101-SUM($EE101:EO101)=1,1,0))))</f>
        <v>1</v>
      </c>
      <c r="EQ101" s="8">
        <f>IF(EQ$56-Voorblad!$F$41&gt;Voorblad!$K$41,0,IF($U101=0,0,IF($U101&lt;1,1/$U101,IF((EQ$56-Voorblad!$F$41)/$U101-SUM($EE101:EP101)=1,1,0))))</f>
        <v>1</v>
      </c>
      <c r="ER101" s="8">
        <f>IF(ER$56-Voorblad!$F$41&gt;Voorblad!$K$41,0,IF($U101=0,0,IF($U101&lt;1,1/$U101,IF((ER$56-Voorblad!$F$41)/$U101-SUM($EE101:EQ101)=1,1,0))))</f>
        <v>1</v>
      </c>
      <c r="ES101" s="8">
        <f>IF(ES$56-Voorblad!$F$41&gt;Voorblad!$K$41,0,IF($U101=0,0,IF($U101&lt;1,1/$U101,IF((ES$56-Voorblad!$F$41)/$U101-SUM($EE101:ER101)=1,1,0))))</f>
        <v>1</v>
      </c>
      <c r="ET101" s="8">
        <f>IF(ET$56-Voorblad!$F$41&gt;Voorblad!$K$41,0,IF($U101=0,0,IF($U101&lt;1,1/$U101,IF((ET$56-Voorblad!$F$41)/$U101-SUM($EE101:ES101)=1,1,0))))</f>
        <v>1</v>
      </c>
      <c r="EU101" s="8">
        <f>IF(EU$56-Voorblad!$F$41&gt;Voorblad!$K$41,0,IF($U101=0,0,IF($U101&lt;1,1/$U101,IF((EU$56-Voorblad!$F$41)/$U101-SUM($EE101:ET101)=1,1,0))))</f>
        <v>1</v>
      </c>
      <c r="EV101" s="8">
        <f>IF(EV$56-Voorblad!$F$41&gt;Voorblad!$K$41,0,IF($U101=0,0,IF($U101&lt;1,1/$U101,IF((EV$56-Voorblad!$F$41)/$U101-SUM($EE101:EU101)=1,1,0))))</f>
        <v>1</v>
      </c>
      <c r="EW101" s="8">
        <f>IF(EW$56-Voorblad!$F$41&gt;Voorblad!$K$41,0,IF($U101=0,0,IF($U101&lt;1,1/$U101,IF((EW$56-Voorblad!$F$41)/$U101-SUM($EE101:EV101)=1,1,0))))</f>
        <v>1</v>
      </c>
      <c r="EX101" s="8">
        <f>IF(EX$56-Voorblad!$F$41&gt;Voorblad!$K$41,0,IF($U101=0,0,IF($U101&lt;1,1/$U101,IF((EX$56-Voorblad!$F$41)/$U101-SUM($EE101:EW101)=1,1,0))))</f>
        <v>1</v>
      </c>
      <c r="EY101" s="8">
        <f>IF(EY$56-Voorblad!$F$41&gt;Voorblad!$K$41,0,IF($U101=0,0,IF($U101&lt;1,1/$U101,IF((EY$56-Voorblad!$F$41)/$U101-SUM($EE101:EX101)=1,1,0))))</f>
        <v>1</v>
      </c>
      <c r="EZ101" s="8">
        <f>IF(EZ$56-Voorblad!$F$41&gt;Voorblad!$K$41,0,IF($U101=0,0,IF($U101&lt;1,1/$U101,IF((EZ$56-Voorblad!$F$41)/$U101-SUM($EE101:EY101)=1,1,0))))</f>
        <v>1</v>
      </c>
      <c r="FA101" s="8">
        <f>IF(FA$56-Voorblad!$F$41&gt;Voorblad!$K$41,0,IF($U101=0,0,IF($U101&lt;1,1/$U101,IF((FA$56-Voorblad!$F$41)/$U101-SUM($EE101:EZ101)=1,1,0))))</f>
        <v>1</v>
      </c>
      <c r="FB101" s="8">
        <f>IF(FB$56-Voorblad!$F$41&gt;Voorblad!$K$41,0,IF($U101=0,0,IF($U101&lt;1,1/$U101,IF((FB$56-Voorblad!$F$41)/$U101-SUM($EE101:FA101)=1,1,0))))</f>
        <v>1</v>
      </c>
      <c r="FC101" s="8">
        <f>IF(FC$56-Voorblad!$F$41&gt;Voorblad!$K$41,0,IF($U101=0,0,IF($U101&lt;1,1/$U101,IF((FC$56-Voorblad!$F$41)/$U101-SUM($EE101:FB101)=1,1,0))))</f>
        <v>1</v>
      </c>
      <c r="FD101" s="8">
        <f>IF(FD$56-Voorblad!$F$41&gt;Voorblad!$K$41,0,IF($U101=0,0,IF($U101&lt;1,1/$U101,IF((FD$56-Voorblad!$F$41)/$U101-SUM($EE101:FC101)=1,1,0))))</f>
        <v>1</v>
      </c>
      <c r="FE101" s="8">
        <f>IF(FE$56-Voorblad!$F$41&gt;Voorblad!$K$41,0,IF($U101=0,0,IF($U101&lt;1,1/$U101,IF((FE$56-Voorblad!$F$41)/$U101-SUM($EE101:FD101)=1,1,0))))</f>
        <v>1</v>
      </c>
      <c r="FF101" s="8">
        <f>IF(FF$56-Voorblad!$F$41&gt;Voorblad!$K$41,0,IF($U101=0,0,IF($U101&lt;1,1/$U101,IF((FF$56-Voorblad!$F$41)/$U101-SUM($EE101:FE101)=1,1,0))))</f>
        <v>1</v>
      </c>
      <c r="FG101" s="8">
        <f>IF(FG$56-Voorblad!$F$41&gt;Voorblad!$K$41,0,IF($U101=0,0,IF($U101&lt;1,1/$U101,IF((FG$56-Voorblad!$F$41)/$U101-SUM($EE101:FF101)=1,1,0))))</f>
        <v>1</v>
      </c>
      <c r="FH101" s="8">
        <f>IF(FH$56-Voorblad!$F$41&gt;Voorblad!$K$41,0,IF($U101=0,0,IF($U101&lt;1,1/$U101,IF((FH$56-Voorblad!$F$41)/$U101-SUM($EE101:FG101)=1,1,0))))</f>
        <v>1</v>
      </c>
      <c r="FI101" s="8">
        <f>IF(FI$56-Voorblad!$F$41&gt;Voorblad!$K$41,0,IF($U101=0,0,IF($U101&lt;1,1/$U101,IF((FI$56-Voorblad!$F$41)/$U101-SUM($EE101:FH101)=1,1,0))))</f>
        <v>1</v>
      </c>
      <c r="FJ101" s="8">
        <f>IF(FJ$56-Voorblad!$F$41&gt;Voorblad!$K$41,0,IF($U101=0,0,IF($U101&lt;1,1/$U101,IF((FJ$56-Voorblad!$F$41)/$U101-SUM($EE101:FI101)=1,1,0))))</f>
        <v>1</v>
      </c>
      <c r="FK101" s="8">
        <f>IF(FK$56-Voorblad!$F$41&gt;Voorblad!$K$41,0,IF($U101=0,0,IF($U101&lt;1,1/$U101,IF((FK$56-Voorblad!$F$41)/$U101-SUM($EE101:FJ101)=1,1,0))))</f>
        <v>1</v>
      </c>
      <c r="FL101" s="8">
        <f>IF(FL$56-Voorblad!$F$41&gt;Voorblad!$K$41,0,IF($U101=0,0,IF($U101&lt;1,1/$U101,IF((FL$56-Voorblad!$F$41)/$U101-SUM($EE101:FK101)=1,1,0))))</f>
        <v>1</v>
      </c>
      <c r="FM101" s="8">
        <f>IF(FM$56-Voorblad!$F$41&gt;Voorblad!$K$41,0,IF($U101=0,0,IF($U101&lt;1,1/$U101,IF((FM$56-Voorblad!$F$41)/$U101-SUM($EE101:FL101)=1,1,0))))</f>
        <v>1</v>
      </c>
      <c r="FN101" s="8">
        <f>IF(FN$56-Voorblad!$F$41&gt;Voorblad!$K$41,0,IF($U101=0,0,IF($U101&lt;1,1/$U101,IF((FN$56-Voorblad!$F$41)/$U101-SUM($EE101:FM101)=1,1,0))))</f>
        <v>1</v>
      </c>
      <c r="FO101" s="8">
        <f>IF(FO$56-Voorblad!$F$41&gt;Voorblad!$K$41,0,IF($U101=0,0,IF($U101&lt;1,1/$U101,IF((FO$56-Voorblad!$F$41)/$U101-SUM($EE101:FN101)=1,1,0))))</f>
        <v>1</v>
      </c>
      <c r="FP101" s="8">
        <f>IF(FP$56-Voorblad!$F$41&gt;Voorblad!$K$41,0,IF($U101=0,0,IF($U101&lt;1,1/$U101,IF((FP$56-Voorblad!$F$41)/$U101-SUM($EE101:FO101)=1,1,0))))</f>
        <v>1</v>
      </c>
      <c r="FQ101" s="8">
        <f>IF(FQ$56-Voorblad!$F$41&gt;Voorblad!$K$41,0,IF($U101=0,0,IF($U101&lt;1,1/$U101,IF((FQ$56-Voorblad!$F$41)/$U101-SUM($EE101:FP101)=1,1,0))))</f>
        <v>1</v>
      </c>
      <c r="FR101" s="8">
        <f>IF(FR$56-Voorblad!$F$41&gt;Voorblad!$K$41,0,IF($U101=0,0,IF($U101&lt;1,1/$U101,IF((FR$56-Voorblad!$F$41)/$U101-SUM($EE101:FQ101)=1,1,0))))</f>
        <v>1</v>
      </c>
      <c r="FS101" s="8">
        <f>IF(FS$56-Voorblad!$F$41&gt;Voorblad!$K$41,0,IF($U101=0,0,IF($U101&lt;1,1/$U101,IF((FS$56-Voorblad!$F$41)/$U101-SUM($EE101:FR101)=1,1,0))))</f>
        <v>1</v>
      </c>
      <c r="FT101" s="8">
        <f>IF(FT$56-Voorblad!$F$41&gt;Voorblad!$K$41,0,IF($U101=0,0,IF($U101&lt;1,1/$U101,IF((FT$56-Voorblad!$F$41)/$U101-SUM($EE101:FS101)=1,1,0))))</f>
        <v>1</v>
      </c>
      <c r="FU101" s="8">
        <f>IF(FU$56-Voorblad!$F$41&gt;Voorblad!$K$41,0,IF($U101=0,0,IF($U101&lt;1,1/$U101,IF((FU$56-Voorblad!$F$41)/$U101-SUM($EE101:FT101)=1,1,0))))</f>
        <v>1</v>
      </c>
      <c r="FV101" s="8">
        <f>IF(FV$56-Voorblad!$F$41&gt;Voorblad!$K$41,0,IF($U101=0,0,IF($U101&lt;1,1/$U101,IF((FV$56-Voorblad!$F$41)/$U101-SUM($EE101:FU101)=1,1,0))))</f>
        <v>1</v>
      </c>
      <c r="FW101" s="8">
        <f>IF(FW$56-Voorblad!$F$41&gt;Voorblad!$K$41,0,IF($U101=0,0,IF($U101&lt;1,1/$U101,IF((FW$56-Voorblad!$F$41)/$U101-SUM($EE101:FV101)=1,1,0))))</f>
        <v>1</v>
      </c>
      <c r="FX101" s="8">
        <f>IF(FX$56-Voorblad!$F$41&gt;Voorblad!$K$41,0,IF($U101=0,0,IF($U101&lt;1,1/$U101,IF((FX$56-Voorblad!$F$41)/$U101-SUM($EE101:FW101)=1,1,0))))</f>
        <v>1</v>
      </c>
      <c r="FY101" s="8">
        <f>IF(FY$56-Voorblad!$F$41&gt;Voorblad!$K$41,0,IF($U101=0,0,IF($U101&lt;1,1/$U101,IF((FY$56-Voorblad!$F$41)/$U101-SUM($EE101:FX101)=1,1,0))))</f>
        <v>1</v>
      </c>
      <c r="FZ101" s="8">
        <f>IF(FZ$56-Voorblad!$F$41&gt;Voorblad!$K$41,0,IF($U101=0,0,IF($U101&lt;1,1/$U101,IF((FZ$56-Voorblad!$F$41)/$U101-SUM($EE101:FY101)=1,1,0))))</f>
        <v>1</v>
      </c>
      <c r="GA101" s="8">
        <f>IF(GA$56-Voorblad!$F$41&gt;Voorblad!$K$41,0,IF($U101=0,0,IF($U101&lt;1,1/$U101,IF((GA$56-Voorblad!$F$41)/$U101-SUM($EE101:FZ101)=1,1,0))))</f>
        <v>1</v>
      </c>
      <c r="GB101" s="8">
        <f>IF(GB$56-Voorblad!$F$41&gt;Voorblad!$K$41,0,IF($U101=0,0,IF($U101&lt;1,1/$U101,IF((GB$56-Voorblad!$F$41)/$U101-SUM($EE101:GA101)=1,1,0))))</f>
        <v>1</v>
      </c>
      <c r="GC101" s="8">
        <f>IF(GC$56-Voorblad!$F$41&gt;Voorblad!$K$41,0,IF($U101=0,0,IF($U101&lt;1,1/$U101,IF((GC$56-Voorblad!$F$41)/$U101-SUM($EE101:GB101)=1,1,0))))</f>
        <v>1</v>
      </c>
      <c r="GD101" s="8">
        <f>IF(GD$56-Voorblad!$F$41&gt;Voorblad!$K$41,0,IF($U101=0,0,IF($U101&lt;1,1/$U101,IF((GD$56-Voorblad!$F$41)/$U101-SUM($EE101:GC101)=1,1,0))))</f>
        <v>1</v>
      </c>
      <c r="GE101" s="8">
        <f>IF(GE$56-Voorblad!$F$41&gt;Voorblad!$K$41,0,IF($U101=0,0,IF($U101&lt;1,1/$U101,IF((GE$56-Voorblad!$F$41)/$U101-SUM($EE101:GD101)=1,1,0))))</f>
        <v>1</v>
      </c>
      <c r="GF101" s="8">
        <f>IF(GF$56-Voorblad!$F$41&gt;Voorblad!$K$41,0,IF($U101=0,0,IF($U101&lt;1,1/$U101,IF((GF$56-Voorblad!$F$41)/$U101-SUM($EE101:GE101)=1,1,0))))</f>
        <v>1</v>
      </c>
      <c r="GG101" s="8">
        <f>IF(GG$56-Voorblad!$F$41&gt;Voorblad!$K$41,0,IF($U101=0,0,IF($U101&lt;1,1/$U101,IF((GG$56-Voorblad!$F$41)/$U101-SUM($EE101:GF101)=1,1,0))))</f>
        <v>1</v>
      </c>
      <c r="GH101" s="8">
        <f>IF(GH$56-Voorblad!$F$41&gt;Voorblad!$K$41,0,IF($U101=0,0,IF($U101&lt;1,1/$U101,IF((GH$56-Voorblad!$F$41)/$U101-SUM($EE101:GG101)=1,1,0))))</f>
        <v>1</v>
      </c>
      <c r="GI101" s="8">
        <f>IF(GI$56-Voorblad!$F$41&gt;Voorblad!$K$41,0,IF($U101=0,0,IF($U101&lt;1,1/$U101,IF((GI$56-Voorblad!$F$41)/$U101-SUM($EE101:GH101)=1,1,0))))</f>
        <v>1</v>
      </c>
      <c r="GJ101" s="8">
        <f>IF(GJ$56-Voorblad!$F$41&gt;Voorblad!$K$41,0,IF($U101=0,0,IF($U101&lt;1,1/$U101,IF((GJ$56-Voorblad!$F$41)/$U101-SUM($EE101:GI101)=1,1,0))))</f>
        <v>1</v>
      </c>
      <c r="GK101" s="8">
        <f>IF(GK$56-Voorblad!$F$41&gt;Voorblad!$K$41,0,IF($U101=0,0,IF($U101&lt;1,1/$U101,IF((GK$56-Voorblad!$F$41)/$U101-SUM($EE101:GJ101)=1,1,0))))</f>
        <v>1</v>
      </c>
      <c r="GL101" s="8">
        <f>IF(GL$56-Voorblad!$F$41&gt;Voorblad!$K$41,0,IF($U101=0,0,IF($U101&lt;1,1/$U101,IF((GL$56-Voorblad!$F$41)/$U101-SUM($EE101:GK101)=1,1,0))))</f>
        <v>1</v>
      </c>
      <c r="GM101" s="8">
        <f>IF(GM$56-Voorblad!$F$41&gt;Voorblad!$K$41,0,IF($U101=0,0,IF($U101&lt;1,1/$U101,IF((GM$56-Voorblad!$F$41)/$U101-SUM($EE101:GL101)=1,1,0))))</f>
        <v>1</v>
      </c>
      <c r="GN101" s="8">
        <f>IF(GN$56-Voorblad!$F$41&gt;Voorblad!$K$41,0,IF($U101=0,0,IF($U101&lt;1,1/$U101,IF((GN$56-Voorblad!$F$41)/$U101-SUM($EE101:GM101)=1,1,0))))</f>
        <v>1</v>
      </c>
      <c r="GO101" s="8">
        <f>IF(GO$56-Voorblad!$F$41&gt;Voorblad!$K$41,0,IF($U101=0,0,IF($U101&lt;1,1/$U101,IF((GO$56-Voorblad!$F$41)/$U101-SUM($EE101:GN101)=1,1,0))))</f>
        <v>1</v>
      </c>
      <c r="GP101" s="8">
        <f>IF(GP$56-Voorblad!$F$41&gt;Voorblad!$K$41,0,IF($U101=0,0,IF($U101&lt;1,1/$U101,IF((GP$56-Voorblad!$F$41)/$U101-SUM($EE101:GO101)=1,1,0))))</f>
        <v>1</v>
      </c>
      <c r="GQ101" s="8">
        <f>IF(GQ$56-Voorblad!$F$41&gt;Voorblad!$K$41,0,IF($U101=0,0,IF($U101&lt;1,1/$U101,IF((GQ$56-Voorblad!$F$41)/$U101-SUM($EE101:GP101)=1,1,0))))</f>
        <v>1</v>
      </c>
      <c r="GR101" s="8">
        <f>IF(GR$56-Voorblad!$F$41&gt;Voorblad!$K$41,0,IF($U101=0,0,IF($U101&lt;1,1/$U101,IF((GR$56-Voorblad!$F$41)/$U101-SUM($EE101:GQ101)=1,1,0))))</f>
        <v>1</v>
      </c>
      <c r="GS101" s="8">
        <f>IF(GS$56-Voorblad!$F$41&gt;Voorblad!$K$41,0,IF($U101=0,0,IF($U101&lt;1,1/$U101,IF((GS$56-Voorblad!$F$41)/$U101-SUM($EE101:GR101)=1,1,0))))</f>
        <v>1</v>
      </c>
      <c r="GT101" s="8">
        <f>IF(GT$56-Voorblad!$F$41&gt;Voorblad!$K$41,0,IF($U101=0,0,IF($U101&lt;1,1/$U101,IF((GT$56-Voorblad!$F$41)/$U101-SUM($EE101:GS101)=1,1,0))))</f>
        <v>1</v>
      </c>
      <c r="GU101" s="8">
        <f>IF(GU$56-Voorblad!$F$41&gt;Voorblad!$K$41,0,IF($U101=0,0,IF($U101&lt;1,1/$U101,IF((GU$56-Voorblad!$F$41)/$U101-SUM($EE101:GT101)=1,1,0))))</f>
        <v>1</v>
      </c>
      <c r="GV101" s="8">
        <f>IF(GV$56-Voorblad!$F$41&gt;Voorblad!$K$41,0,IF($U101=0,0,IF($U101&lt;1,1/$U101,IF((GV$56-Voorblad!$F$41)/$U101-SUM($EE101:GU101)=1,1,0))))</f>
        <v>1</v>
      </c>
      <c r="GW101" s="8">
        <f>IF(GW$56-Voorblad!$F$41&gt;Voorblad!$K$41,0,IF($U101=0,0,IF($U101&lt;1,1/$U101,IF((GW$56-Voorblad!$F$41)/$U101-SUM($EE101:GV101)=1,1,0))))</f>
        <v>1</v>
      </c>
      <c r="GX101" s="8">
        <f>IF(GX$56-Voorblad!$F$41&gt;Voorblad!$K$41,0,IF($U101=0,0,IF($U101&lt;1,1/$U101,IF((GX$56-Voorblad!$F$41)/$U101-SUM($EE101:GW101)=1,1,0))))</f>
        <v>1</v>
      </c>
      <c r="GY101" s="8">
        <f>IF(GY$56-Voorblad!$F$41&gt;Voorblad!$K$41,0,IF($U101=0,0,IF($U101&lt;1,1/$U101,IF((GY$56-Voorblad!$F$41)/$U101-SUM($EE101:GX101)=1,1,0))))</f>
        <v>1</v>
      </c>
      <c r="GZ101" s="8">
        <f>IF(GZ$56-Voorblad!$F$41&gt;Voorblad!$K$41,0,IF($U101=0,0,IF($U101&lt;1,1/$U101,IF((GZ$56-Voorblad!$F$41)/$U101-SUM($EE101:GY101)=1,1,0))))</f>
        <v>1</v>
      </c>
      <c r="HA101" s="8">
        <f>IF(HA$56-Voorblad!$F$41&gt;Voorblad!$K$41,0,IF($U101=0,0,IF($U101&lt;1,1/$U101,IF((HA$56-Voorblad!$F$41)/$U101-SUM($EE101:GZ101)=1,1,0))))</f>
        <v>1</v>
      </c>
      <c r="HB101" s="8">
        <f>IF(HB$56-Voorblad!$F$41&gt;Voorblad!$K$41,0,IF($U101=0,0,IF($U101&lt;1,1/$U101,IF((HB$56-Voorblad!$F$41)/$U101-SUM($EE101:HA101)=1,1,0))))</f>
        <v>0</v>
      </c>
      <c r="HC101" s="8">
        <f>IF(HC$56-Voorblad!$F$41&gt;Voorblad!$K$41,0,IF($U101=0,0,IF($U101&lt;1,1/$U101,IF((HC$56-Voorblad!$F$41)/$U101-SUM($EE101:HB101)=1,1,0))))</f>
        <v>0</v>
      </c>
      <c r="HD101" s="8">
        <f>IF(HD$56-Voorblad!$F$41&gt;Voorblad!$K$41,0,IF($U101=0,0,IF($U101&lt;1,1/$U101,IF((HD$56-Voorblad!$F$41)/$U101-SUM($EE101:HC101)=1,1,0))))</f>
        <v>0</v>
      </c>
      <c r="HE101" s="8">
        <f>IF(HE$56-Voorblad!$F$41&gt;Voorblad!$K$41,0,IF($U101=0,0,IF($U101&lt;1,1/$U101,IF((HE$56-Voorblad!$F$41)/$U101-SUM($EE101:HD101)=1,1,0))))</f>
        <v>0</v>
      </c>
      <c r="HF101" s="8">
        <f>IF(HF$56-Voorblad!$F$41&gt;Voorblad!$K$41,0,IF($U101=0,0,IF($U101&lt;1,1/$U101,IF((HF$56-Voorblad!$F$41)/$U101-SUM($EE101:HE101)=1,1,0))))</f>
        <v>0</v>
      </c>
      <c r="HG101" s="8">
        <f>IF(HG$56-Voorblad!$F$41&gt;Voorblad!$K$41,0,IF($U101=0,0,IF($U101&lt;1,1/$U101,IF((HG$56-Voorblad!$F$41)/$U101-SUM($EE101:HF101)=1,1,0))))</f>
        <v>0</v>
      </c>
      <c r="HH101" s="8">
        <f>IF(HH$56-Voorblad!$F$41&gt;Voorblad!$K$41,0,IF($U101=0,0,IF($U101&lt;1,1/$U101,IF((HH$56-Voorblad!$F$41)/$U101-SUM($EE101:HG101)=1,1,0))))</f>
        <v>0</v>
      </c>
      <c r="HI101" s="8">
        <f>IF(HI$56-Voorblad!$F$41&gt;Voorblad!$K$41,0,IF($U101=0,0,IF($U101&lt;1,1/$U101,IF((HI$56-Voorblad!$F$41)/$U101-SUM($EE101:HH101)=1,1,0))))</f>
        <v>0</v>
      </c>
      <c r="HJ101" s="8">
        <f>IF(HJ$56-Voorblad!$F$41&gt;Voorblad!$K$41,0,IF($U101=0,0,IF($U101&lt;1,1/$U101,IF((HJ$56-Voorblad!$F$41)/$U101-SUM($EE101:HI101)=1,1,0))))</f>
        <v>0</v>
      </c>
      <c r="HK101" s="8">
        <f>IF(HK$56-Voorblad!$F$41&gt;Voorblad!$K$41,0,IF($U101=0,0,IF($U101&lt;1,1/$U101,IF((HK$56-Voorblad!$F$41)/$U101-SUM($EE101:HJ101)=1,1,0))))</f>
        <v>0</v>
      </c>
      <c r="HL101" s="8">
        <f>IF(HL$56-Voorblad!$F$41&gt;Voorblad!$K$41,0,IF($U101=0,0,IF($U101&lt;1,1/$U101,IF((HL$56-Voorblad!$F$41)/$U101-SUM($EE101:HK101)=1,1,0))))</f>
        <v>0</v>
      </c>
      <c r="HM101" s="8">
        <f>IF(HM$56-Voorblad!$F$41&gt;Voorblad!$K$41,0,IF($U101=0,0,IF($U101&lt;1,1/$U101,IF((HM$56-Voorblad!$F$41)/$U101-SUM($EE101:HL101)=1,1,0))))</f>
        <v>0</v>
      </c>
      <c r="HN101" s="8">
        <f>IF(HN$56-Voorblad!$F$41&gt;Voorblad!$K$41,0,IF($U101=0,0,IF($U101&lt;1,1/$U101,IF((HN$56-Voorblad!$F$41)/$U101-SUM($EE101:HM101)=1,1,0))))</f>
        <v>0</v>
      </c>
      <c r="HO101" s="8">
        <f>IF(HO$56-Voorblad!$F$41&gt;Voorblad!$K$41,0,IF($U101=0,0,IF($U101&lt;1,1/$U101,IF((HO$56-Voorblad!$F$41)/$U101-SUM($EE101:HN101)=1,1,0))))</f>
        <v>0</v>
      </c>
      <c r="HP101" s="8">
        <f>IF(HP$56-Voorblad!$F$41&gt;Voorblad!$K$41,0,IF($U101=0,0,IF($U101&lt;1,1/$U101,IF((HP$56-Voorblad!$F$41)/$U101-SUM($EE101:HO101)=1,1,0))))</f>
        <v>0</v>
      </c>
      <c r="HQ101" s="8">
        <f>IF(HQ$56-Voorblad!$F$41&gt;Voorblad!$K$41,0,IF($U101=0,0,IF($U101&lt;1,1/$U101,IF((HQ$56-Voorblad!$F$41)/$U101-SUM($EE101:HP101)=1,1,0))))</f>
        <v>0</v>
      </c>
      <c r="HR101" s="8">
        <f>IF(HR$56-Voorblad!$F$41&gt;Voorblad!$K$41,0,IF($U101=0,0,IF($U101&lt;1,1/$U101,IF((HR$56-Voorblad!$F$41)/$U101-SUM($EE101:HQ101)=1,1,0))))</f>
        <v>0</v>
      </c>
      <c r="HS101" s="8">
        <f>IF(HS$56-Voorblad!$F$41&gt;Voorblad!$K$41,0,IF($U101=0,0,IF($U101&lt;1,1/$U101,IF((HS$56-Voorblad!$F$41)/$U101-SUM($EE101:HR101)=1,1,0))))</f>
        <v>0</v>
      </c>
      <c r="HT101" s="8">
        <f>IF(HT$56-Voorblad!$F$41&gt;Voorblad!$K$41,0,IF($U101=0,0,IF($U101&lt;1,1/$U101,IF((HT$56-Voorblad!$F$41)/$U101-SUM($EE101:HS101)=1,1,0))))</f>
        <v>0</v>
      </c>
      <c r="HU101" s="8">
        <f>IF(HU$56-Voorblad!$F$41&gt;Voorblad!$K$41,0,IF($U101=0,0,IF($U101&lt;1,1/$U101,IF((HU$56-Voorblad!$F$41)/$U101-SUM($EE101:HT101)=1,1,0))))</f>
        <v>0</v>
      </c>
      <c r="HV101" s="8">
        <f>IF(HV$56-Voorblad!$F$41&gt;Voorblad!$K$41,0,IF($U101=0,0,IF($U101&lt;1,1/$U101,IF((HV$56-Voorblad!$F$41)/$U101-SUM($EE101:HU101)=1,1,0))))</f>
        <v>0</v>
      </c>
      <c r="HW101" s="8">
        <f>IF(HW$56-Voorblad!$F$41&gt;Voorblad!$K$41,0,IF($U101=0,0,IF($U101&lt;1,1/$U101,IF((HW$56-Voorblad!$F$41)/$U101-SUM($EE101:HV101)=1,1,0))))</f>
        <v>0</v>
      </c>
      <c r="HX101" s="8">
        <f>IF(HX$56-Voorblad!$F$41&gt;Voorblad!$K$41,0,IF($U101=0,0,IF($U101&lt;1,1/$U101,IF((HX$56-Voorblad!$F$41)/$U101-SUM($EE101:HW101)=1,1,0))))</f>
        <v>0</v>
      </c>
      <c r="HY101" s="8">
        <f>IF(HY$56-Voorblad!$F$41&gt;Voorblad!$K$41,0,IF($U101=0,0,IF($U101&lt;1,1/$U101,IF((HY$56-Voorblad!$F$41)/$U101-SUM($EE101:HX101)=1,1,0))))</f>
        <v>0</v>
      </c>
      <c r="HZ101" s="8">
        <f>IF(HZ$56-Voorblad!$F$41&gt;Voorblad!$K$41,0,IF($U101=0,0,IF($U101&lt;1,1/$U101,IF((HZ$56-Voorblad!$F$41)/$U101-SUM($EE101:HY101)=1,1,0))))</f>
        <v>0</v>
      </c>
      <c r="IA101" s="8">
        <f>IF(IA$56-Voorblad!$F$41&gt;Voorblad!$K$41,0,IF($U101=0,0,IF($U101&lt;1,1/$U101,IF((IA$56-Voorblad!$F$41)/$U101-SUM($EE101:HZ101)=1,1,0))))</f>
        <v>0</v>
      </c>
      <c r="IB101" s="8">
        <f>IF(IB$56-Voorblad!$F$41&gt;Voorblad!$K$41,0,IF($U101=0,0,IF($U101&lt;1,1/$U101,IF((IB$56-Voorblad!$F$41)/$U101-SUM($EE101:IA101)=1,1,0))))</f>
        <v>0</v>
      </c>
    </row>
    <row r="102" spans="2:236" hidden="1" outlineLevel="1" x14ac:dyDescent="0.25">
      <c r="B102" s="14">
        <v>1</v>
      </c>
      <c r="C102" s="14"/>
      <c r="F102" s="1" t="s">
        <v>58</v>
      </c>
      <c r="I102" s="1" t="s">
        <v>66</v>
      </c>
      <c r="K102" s="1" t="s">
        <v>64</v>
      </c>
      <c r="N102" s="3"/>
      <c r="O102" s="1" t="s">
        <v>99</v>
      </c>
      <c r="Q102" s="81">
        <v>0</v>
      </c>
      <c r="R102" s="1" t="s">
        <v>33</v>
      </c>
      <c r="S102" s="14">
        <f>2%*T97</f>
        <v>0</v>
      </c>
      <c r="T102" s="14">
        <f t="shared" si="19"/>
        <v>0</v>
      </c>
      <c r="U102" s="11">
        <v>1</v>
      </c>
      <c r="V102" s="14"/>
      <c r="W102" s="81">
        <v>0</v>
      </c>
      <c r="X102" s="6"/>
      <c r="Y102" s="9">
        <f t="shared" si="11"/>
        <v>0</v>
      </c>
      <c r="Z102" s="82"/>
      <c r="AA102" s="82"/>
      <c r="AC102" s="9">
        <f>$Y102*(Voorblad!$K$44*(1+Voorblad!$K$44)^Voorblad!$K$41)/((1+Voorblad!$K$44)^Voorblad!$K$41-1)</f>
        <v>0</v>
      </c>
      <c r="AE102" s="9">
        <f>IF($W102=AE$56,EF102*($Q102*$S102)/(1+Voorblad!$K$44)^(AE$56-Voorblad!$F$41),0)</f>
        <v>0</v>
      </c>
      <c r="AF102" s="9">
        <f>IF($W102=AF$56,EG102*($Q102*$S102)/(1+Voorblad!$K$44)^(AF$56-Voorblad!$F$41),0)</f>
        <v>0</v>
      </c>
      <c r="AG102" s="9">
        <f>IF($W102=AG$56,EH102*($Q102*$S102)/(1+Voorblad!$K$44)^(AG$56-Voorblad!$F$41),0)</f>
        <v>0</v>
      </c>
      <c r="AH102" s="9">
        <f>IF($W102=AH$56,EI102*($Q102*$S102)/(1+Voorblad!$K$44)^(AH$56-Voorblad!$F$41),0)</f>
        <v>0</v>
      </c>
      <c r="AI102" s="9">
        <f>IF($W102=AI$56,EJ102*($Q102*$S102)/(1+Voorblad!$K$44)^(AI$56-Voorblad!$F$41),0)</f>
        <v>0</v>
      </c>
      <c r="AJ102" s="9">
        <f>IF($W102=AJ$56,EK102*($Q102*$S102)/(1+Voorblad!$K$44)^(AJ$56-Voorblad!$F$41),0)</f>
        <v>0</v>
      </c>
      <c r="AK102" s="9">
        <f>IF($W102=AK$56,EL102*($Q102*$S102)/(1+Voorblad!$K$44)^(AK$56-Voorblad!$F$41),0)</f>
        <v>0</v>
      </c>
      <c r="AL102" s="9">
        <f>IF($W102=AL$56,EM102*($Q102*$S102)/(1+Voorblad!$K$44)^(AL$56-Voorblad!$F$41),0)</f>
        <v>0</v>
      </c>
      <c r="AM102" s="9">
        <f>IF($W102=AM$56,EN102*($Q102*$S102)/(1+Voorblad!$K$44)^(AM$56-Voorblad!$F$41),0)</f>
        <v>0</v>
      </c>
      <c r="AN102" s="9">
        <f>IF($W102=AN$56,EO102*($Q102*$S102)/(1+Voorblad!$K$44)^(AN$56-Voorblad!$F$41),0)</f>
        <v>0</v>
      </c>
      <c r="AO102" s="9">
        <f>IF($W102=AO$56,EP102*($Q102*$S102)/(1+Voorblad!$K$44)^(AO$56-Voorblad!$F$41),0)</f>
        <v>0</v>
      </c>
      <c r="AP102" s="9">
        <f>IF($W102=AP$56,EQ102*($Q102*$S102)/(1+Voorblad!$K$44)^(AP$56-Voorblad!$F$41),0)</f>
        <v>0</v>
      </c>
      <c r="AQ102" s="9">
        <f>IF($W102=AQ$56,ER102*($Q102*$S102)/(1+Voorblad!$K$44)^(AQ$56-Voorblad!$F$41),0)</f>
        <v>0</v>
      </c>
      <c r="AR102" s="9">
        <f>IF($W102=AR$56,ES102*($Q102*$S102)/(1+Voorblad!$K$44)^(AR$56-Voorblad!$F$41),0)</f>
        <v>0</v>
      </c>
      <c r="AS102" s="9">
        <f>IF($W102=AS$56,ET102*($Q102*$S102)/(1+Voorblad!$K$44)^(AS$56-Voorblad!$F$41),0)</f>
        <v>0</v>
      </c>
      <c r="AT102" s="9">
        <f>IF($W102=AT$56,EU102*($Q102*$S102)/(1+Voorblad!$K$44)^(AT$56-Voorblad!$F$41),0)</f>
        <v>0</v>
      </c>
      <c r="AU102" s="9">
        <f>IF($W102=AU$56,EV102*($Q102*$S102)/(1+Voorblad!$K$44)^(AU$56-Voorblad!$F$41),0)</f>
        <v>0</v>
      </c>
      <c r="AV102" s="9">
        <f>IF($W102=AV$56,EW102*($Q102*$S102)/(1+Voorblad!$K$44)^(AV$56-Voorblad!$F$41),0)</f>
        <v>0</v>
      </c>
      <c r="AW102" s="9">
        <f>IF($W102=AW$56,EX102*($Q102*$S102)/(1+Voorblad!$K$44)^(AW$56-Voorblad!$F$41),0)</f>
        <v>0</v>
      </c>
      <c r="AX102" s="9">
        <f>IF($W102=AX$56,EY102*($Q102*$S102)/(1+Voorblad!$K$44)^(AX$56-Voorblad!$F$41),0)</f>
        <v>0</v>
      </c>
      <c r="AY102" s="9">
        <f>IF($W102=AY$56,EZ102*($Q102*$S102)/(1+Voorblad!$K$44)^(AY$56-Voorblad!$F$41),0)</f>
        <v>0</v>
      </c>
      <c r="AZ102" s="9">
        <f>IF($W102=AZ$56,FA102*($Q102*$S102)/(1+Voorblad!$K$44)^(AZ$56-Voorblad!$F$41),0)</f>
        <v>0</v>
      </c>
      <c r="BA102" s="9">
        <f>IF($W102=BA$56,FB102*($Q102*$S102)/(1+Voorblad!$K$44)^(BA$56-Voorblad!$F$41),0)</f>
        <v>0</v>
      </c>
      <c r="BB102" s="9">
        <f>IF($W102=BB$56,FC102*($Q102*$S102)/(1+Voorblad!$K$44)^(BB$56-Voorblad!$F$41),0)</f>
        <v>0</v>
      </c>
      <c r="BC102" s="9">
        <f>IF($W102=BC$56,FD102*($Q102*$S102)/(1+Voorblad!$K$44)^(BC$56-Voorblad!$F$41),0)</f>
        <v>0</v>
      </c>
      <c r="BD102" s="9">
        <f>IF($W102=BD$56,FE102*($Q102*$S102)/(1+Voorblad!$K$44)^(BD$56-Voorblad!$F$41),0)</f>
        <v>0</v>
      </c>
      <c r="BE102" s="9">
        <f>IF($W102=BE$56,FF102*($Q102*$S102)/(1+Voorblad!$K$44)^(BE$56-Voorblad!$F$41),0)</f>
        <v>0</v>
      </c>
      <c r="BF102" s="9">
        <f>IF($W102=BF$56,FG102*($Q102*$S102)/(1+Voorblad!$K$44)^(BF$56-Voorblad!$F$41),0)</f>
        <v>0</v>
      </c>
      <c r="BG102" s="9">
        <f>IF($W102=BG$56,FH102*($Q102*$S102)/(1+Voorblad!$K$44)^(BG$56-Voorblad!$F$41),0)</f>
        <v>0</v>
      </c>
      <c r="BH102" s="9">
        <f>IF($W102=BH$56,FI102*($Q102*$S102)/(1+Voorblad!$K$44)^(BH$56-Voorblad!$F$41),0)</f>
        <v>0</v>
      </c>
      <c r="BI102" s="9">
        <f>IF($W102=BI$56,FJ102*($Q102*$S102)/(1+Voorblad!$K$44)^(BI$56-Voorblad!$F$41),0)</f>
        <v>0</v>
      </c>
      <c r="BJ102" s="9">
        <f>IF($W102=BJ$56,FK102*($Q102*$S102)/(1+Voorblad!$K$44)^(BJ$56-Voorblad!$F$41),0)</f>
        <v>0</v>
      </c>
      <c r="BK102" s="9">
        <f>IF($W102=BK$56,FL102*($Q102*$S102)/(1+Voorblad!$K$44)^(BK$56-Voorblad!$F$41),0)</f>
        <v>0</v>
      </c>
      <c r="BL102" s="9">
        <f>IF($W102=BL$56,FM102*($Q102*$S102)/(1+Voorblad!$K$44)^(BL$56-Voorblad!$F$41),0)</f>
        <v>0</v>
      </c>
      <c r="BM102" s="9">
        <f>IF($W102=BM$56,FN102*($Q102*$S102)/(1+Voorblad!$K$44)^(BM$56-Voorblad!$F$41),0)</f>
        <v>0</v>
      </c>
      <c r="BN102" s="9">
        <f>IF($W102=BN$56,FO102*($Q102*$S102)/(1+Voorblad!$K$44)^(BN$56-Voorblad!$F$41),0)</f>
        <v>0</v>
      </c>
      <c r="BO102" s="9">
        <f>IF($W102=BO$56,FP102*($Q102*$S102)/(1+Voorblad!$K$44)^(BO$56-Voorblad!$F$41),0)</f>
        <v>0</v>
      </c>
      <c r="BP102" s="9">
        <f>IF($W102=BP$56,FQ102*($Q102*$S102)/(1+Voorblad!$K$44)^(BP$56-Voorblad!$F$41),0)</f>
        <v>0</v>
      </c>
      <c r="BQ102" s="9">
        <f>IF($W102=BQ$56,FR102*($Q102*$S102)/(1+Voorblad!$K$44)^(BQ$56-Voorblad!$F$41),0)</f>
        <v>0</v>
      </c>
      <c r="BR102" s="9">
        <f>IF($W102=BR$56,FS102*($Q102*$S102)/(1+Voorblad!$K$44)^(BR$56-Voorblad!$F$41),0)</f>
        <v>0</v>
      </c>
      <c r="BS102" s="9">
        <f>IF($W102=BS$56,FT102*($Q102*$S102)/(1+Voorblad!$K$44)^(BS$56-Voorblad!$F$41),0)</f>
        <v>0</v>
      </c>
      <c r="BT102" s="9">
        <f>IF($W102=BT$56,FU102*($Q102*$S102)/(1+Voorblad!$K$44)^(BT$56-Voorblad!$F$41),0)</f>
        <v>0</v>
      </c>
      <c r="BU102" s="9">
        <f>IF($W102=BU$56,FV102*($Q102*$S102)/(1+Voorblad!$K$44)^(BU$56-Voorblad!$F$41),0)</f>
        <v>0</v>
      </c>
      <c r="BV102" s="9">
        <f>IF($W102=BV$56,FW102*($Q102*$S102)/(1+Voorblad!$K$44)^(BV$56-Voorblad!$F$41),0)</f>
        <v>0</v>
      </c>
      <c r="BW102" s="9">
        <f>IF($W102=BW$56,FX102*($Q102*$S102)/(1+Voorblad!$K$44)^(BW$56-Voorblad!$F$41),0)</f>
        <v>0</v>
      </c>
      <c r="BX102" s="9">
        <f>IF($W102=BX$56,FY102*($Q102*$S102)/(1+Voorblad!$K$44)^(BX$56-Voorblad!$F$41),0)</f>
        <v>0</v>
      </c>
      <c r="BY102" s="9">
        <f>IF($W102=BY$56,FZ102*($Q102*$S102)/(1+Voorblad!$K$44)^(BY$56-Voorblad!$F$41),0)</f>
        <v>0</v>
      </c>
      <c r="BZ102" s="9">
        <f>IF($W102=BZ$56,GA102*($Q102*$S102)/(1+Voorblad!$K$44)^(BZ$56-Voorblad!$F$41),0)</f>
        <v>0</v>
      </c>
      <c r="CA102" s="9">
        <f>IF($W102=CA$56,GB102*($Q102*$S102)/(1+Voorblad!$K$44)^(CA$56-Voorblad!$F$41),0)</f>
        <v>0</v>
      </c>
      <c r="CB102" s="9">
        <f>IF($W102=CB$56,GC102*($Q102*$S102)/(1+Voorblad!$K$44)^(CB$56-Voorblad!$F$41),0)</f>
        <v>0</v>
      </c>
      <c r="CC102" s="9">
        <f>IF($W102=CC$56,GD102*($Q102*$S102)/(1+Voorblad!$K$44)^(CC$56-Voorblad!$F$41),0)</f>
        <v>0</v>
      </c>
      <c r="CD102" s="9">
        <f>IF($W102=CD$56,GE102*($Q102*$S102)/(1+Voorblad!$K$44)^(CD$56-Voorblad!$F$41),0)</f>
        <v>0</v>
      </c>
      <c r="CE102" s="9">
        <f>IF($W102=CE$56,GF102*($Q102*$S102)/(1+Voorblad!$K$44)^(CE$56-Voorblad!$F$41),0)</f>
        <v>0</v>
      </c>
      <c r="CF102" s="9">
        <f>IF($W102=CF$56,GG102*($Q102*$S102)/(1+Voorblad!$K$44)^(CF$56-Voorblad!$F$41),0)</f>
        <v>0</v>
      </c>
      <c r="CG102" s="9">
        <f>IF($W102=CG$56,GH102*($Q102*$S102)/(1+Voorblad!$K$44)^(CG$56-Voorblad!$F$41),0)</f>
        <v>0</v>
      </c>
      <c r="CH102" s="9">
        <f>IF($W102=CH$56,GI102*($Q102*$S102)/(1+Voorblad!$K$44)^(CH$56-Voorblad!$F$41),0)</f>
        <v>0</v>
      </c>
      <c r="CI102" s="9">
        <f>IF($W102=CI$56,GJ102*($Q102*$S102)/(1+Voorblad!$K$44)^(CI$56-Voorblad!$F$41),0)</f>
        <v>0</v>
      </c>
      <c r="CJ102" s="9">
        <f>IF($W102=CJ$56,GK102*($Q102*$S102)/(1+Voorblad!$K$44)^(CJ$56-Voorblad!$F$41),0)</f>
        <v>0</v>
      </c>
      <c r="CK102" s="9">
        <f>IF($W102=CK$56,GL102*($Q102*$S102)/(1+Voorblad!$K$44)^(CK$56-Voorblad!$F$41),0)</f>
        <v>0</v>
      </c>
      <c r="CL102" s="9">
        <f>IF($W102=CL$56,GM102*($Q102*$S102)/(1+Voorblad!$K$44)^(CL$56-Voorblad!$F$41),0)</f>
        <v>0</v>
      </c>
      <c r="CM102" s="9">
        <f>IF($W102=CM$56,GN102*($Q102*$S102)/(1+Voorblad!$K$44)^(CM$56-Voorblad!$F$41),0)</f>
        <v>0</v>
      </c>
      <c r="CN102" s="9">
        <f>IF($W102=CN$56,GO102*($Q102*$S102)/(1+Voorblad!$K$44)^(CN$56-Voorblad!$F$41),0)</f>
        <v>0</v>
      </c>
      <c r="CO102" s="9">
        <f>IF($W102=CO$56,GP102*($Q102*$S102)/(1+Voorblad!$K$44)^(CO$56-Voorblad!$F$41),0)</f>
        <v>0</v>
      </c>
      <c r="CP102" s="9">
        <f>IF($W102=CP$56,GQ102*($Q102*$S102)/(1+Voorblad!$K$44)^(CP$56-Voorblad!$F$41),0)</f>
        <v>0</v>
      </c>
      <c r="CQ102" s="9">
        <f>IF($W102=CQ$56,GR102*($Q102*$S102)/(1+Voorblad!$K$44)^(CQ$56-Voorblad!$F$41),0)</f>
        <v>0</v>
      </c>
      <c r="CR102" s="9">
        <f>IF($W102=CR$56,GS102*($Q102*$S102)/(1+Voorblad!$K$44)^(CR$56-Voorblad!$F$41),0)</f>
        <v>0</v>
      </c>
      <c r="CS102" s="9">
        <f>IF($W102=CS$56,GT102*($Q102*$S102)/(1+Voorblad!$K$44)^(CS$56-Voorblad!$F$41),0)</f>
        <v>0</v>
      </c>
      <c r="CT102" s="9">
        <f>IF($W102=CT$56,GU102*($Q102*$S102)/(1+Voorblad!$K$44)^(CT$56-Voorblad!$F$41),0)</f>
        <v>0</v>
      </c>
      <c r="CU102" s="9">
        <f>IF($W102=CU$56,GV102*($Q102*$S102)/(1+Voorblad!$K$44)^(CU$56-Voorblad!$F$41),0)</f>
        <v>0</v>
      </c>
      <c r="CV102" s="9">
        <f>IF($W102=CV$56,GW102*($Q102*$S102)/(1+Voorblad!$K$44)^(CV$56-Voorblad!$F$41),0)</f>
        <v>0</v>
      </c>
      <c r="CW102" s="9">
        <f>IF($W102=CW$56,GX102*($Q102*$S102)/(1+Voorblad!$K$44)^(CW$56-Voorblad!$F$41),0)</f>
        <v>0</v>
      </c>
      <c r="CX102" s="9">
        <f>IF($W102=CX$56,GY102*($Q102*$S102)/(1+Voorblad!$K$44)^(CX$56-Voorblad!$F$41),0)</f>
        <v>0</v>
      </c>
      <c r="CY102" s="9">
        <f>IF($W102=CY$56,GZ102*($Q102*$S102)/(1+Voorblad!$K$44)^(CY$56-Voorblad!$F$41),0)</f>
        <v>0</v>
      </c>
      <c r="CZ102" s="9">
        <f>IF($W102=CZ$56,HA102*($Q102*$S102)/(1+Voorblad!$K$44)^(CZ$56-Voorblad!$F$41),0)</f>
        <v>0</v>
      </c>
      <c r="DA102" s="9">
        <f>IF($W102=DA$56,HB102*($Q102*$S102)/(1+Voorblad!$K$44)^(DA$56-Voorblad!$F$41),0)</f>
        <v>0</v>
      </c>
      <c r="DB102" s="9">
        <f>IF($W102=DB$56,HC102*($Q102*$S102)/(1+Voorblad!$K$44)^(DB$56-Voorblad!$F$41),0)</f>
        <v>0</v>
      </c>
      <c r="DC102" s="9">
        <f>IF($W102=DC$56,HD102*($Q102*$S102)/(1+Voorblad!$K$44)^(DC$56-Voorblad!$F$41),0)</f>
        <v>0</v>
      </c>
      <c r="DD102" s="9">
        <f>IF($W102=DD$56,HE102*($Q102*$S102)/(1+Voorblad!$K$44)^(DD$56-Voorblad!$F$41),0)</f>
        <v>0</v>
      </c>
      <c r="DE102" s="9">
        <f>IF($W102=DE$56,HF102*($Q102*$S102)/(1+Voorblad!$K$44)^(DE$56-Voorblad!$F$41),0)</f>
        <v>0</v>
      </c>
      <c r="DF102" s="9">
        <f>IF($W102=DF$56,HG102*($Q102*$S102)/(1+Voorblad!$K$44)^(DF$56-Voorblad!$F$41),0)</f>
        <v>0</v>
      </c>
      <c r="DG102" s="9">
        <f>IF($W102=DG$56,HH102*($Q102*$S102)/(1+Voorblad!$K$44)^(DG$56-Voorblad!$F$41),0)</f>
        <v>0</v>
      </c>
      <c r="DH102" s="9">
        <f>IF($W102=DH$56,HI102*($Q102*$S102)/(1+Voorblad!$K$44)^(DH$56-Voorblad!$F$41),0)</f>
        <v>0</v>
      </c>
      <c r="DI102" s="9">
        <f>IF($W102=DI$56,HJ102*($Q102*$S102)/(1+Voorblad!$K$44)^(DI$56-Voorblad!$F$41),0)</f>
        <v>0</v>
      </c>
      <c r="DJ102" s="9">
        <f>IF($W102=DJ$56,HK102*($Q102*$S102)/(1+Voorblad!$K$44)^(DJ$56-Voorblad!$F$41),0)</f>
        <v>0</v>
      </c>
      <c r="DK102" s="9">
        <f>IF($W102=DK$56,HL102*($Q102*$S102)/(1+Voorblad!$K$44)^(DK$56-Voorblad!$F$41),0)</f>
        <v>0</v>
      </c>
      <c r="DL102" s="9">
        <f>IF($W102=DL$56,HM102*($Q102*$S102)/(1+Voorblad!$K$44)^(DL$56-Voorblad!$F$41),0)</f>
        <v>0</v>
      </c>
      <c r="DM102" s="9">
        <f>IF($W102=DM$56,HN102*($Q102*$S102)/(1+Voorblad!$K$44)^(DM$56-Voorblad!$F$41),0)</f>
        <v>0</v>
      </c>
      <c r="DN102" s="9">
        <f>IF($W102=DN$56,HO102*($Q102*$S102)/(1+Voorblad!$K$44)^(DN$56-Voorblad!$F$41),0)</f>
        <v>0</v>
      </c>
      <c r="DO102" s="9">
        <f>IF($W102=DO$56,HP102*($Q102*$S102)/(1+Voorblad!$K$44)^(DO$56-Voorblad!$F$41),0)</f>
        <v>0</v>
      </c>
      <c r="DP102" s="9">
        <f>IF($W102=DP$56,HQ102*($Q102*$S102)/(1+Voorblad!$K$44)^(DP$56-Voorblad!$F$41),0)</f>
        <v>0</v>
      </c>
      <c r="DQ102" s="9">
        <f>IF($W102=DQ$56,HR102*($Q102*$S102)/(1+Voorblad!$K$44)^(DQ$56-Voorblad!$F$41),0)</f>
        <v>0</v>
      </c>
      <c r="DR102" s="9">
        <f>IF($W102=DR$56,HS102*($Q102*$S102)/(1+Voorblad!$K$44)^(DR$56-Voorblad!$F$41),0)</f>
        <v>0</v>
      </c>
      <c r="DS102" s="9">
        <f>IF($W102=DS$56,HT102*($Q102*$S102)/(1+Voorblad!$K$44)^(DS$56-Voorblad!$F$41),0)</f>
        <v>0</v>
      </c>
      <c r="DT102" s="9">
        <f>IF($W102=DT$56,HU102*($Q102*$S102)/(1+Voorblad!$K$44)^(DT$56-Voorblad!$F$41),0)</f>
        <v>0</v>
      </c>
      <c r="DU102" s="9">
        <f>IF($W102=DU$56,HV102*($Q102*$S102)/(1+Voorblad!$K$44)^(DU$56-Voorblad!$F$41),0)</f>
        <v>0</v>
      </c>
      <c r="DV102" s="9">
        <f>IF($W102=DV$56,HW102*($Q102*$S102)/(1+Voorblad!$K$44)^(DV$56-Voorblad!$F$41),0)</f>
        <v>0</v>
      </c>
      <c r="DW102" s="9">
        <f>IF($W102=DW$56,HX102*($Q102*$S102)/(1+Voorblad!$K$44)^(DW$56-Voorblad!$F$41),0)</f>
        <v>0</v>
      </c>
      <c r="DX102" s="9">
        <f>IF($W102=DX$56,HY102*($Q102*$S102)/(1+Voorblad!$K$44)^(DX$56-Voorblad!$F$41),0)</f>
        <v>0</v>
      </c>
      <c r="DY102" s="9">
        <f>IF($W102=DY$56,HZ102*($Q102*$S102)/(1+Voorblad!$K$44)^(DY$56-Voorblad!$F$41),0)</f>
        <v>0</v>
      </c>
      <c r="DZ102" s="9">
        <f>IF($W102=DZ$56,IA102*($Q102*$S102)/(1+Voorblad!$K$44)^(DZ$56-Voorblad!$F$41),0)</f>
        <v>0</v>
      </c>
      <c r="EA102" s="9">
        <f>IF($W102=EA$56,IB102*($Q102*$S102)/(1+Voorblad!$K$44)^(EA$56-Voorblad!$F$41),0)</f>
        <v>0</v>
      </c>
      <c r="EB102" s="9">
        <f>IF($W102=EB$56,IC102*($Q102*$S102)/(1+Voorblad!$K$44)^(EB$56-Voorblad!$F$41),0)</f>
        <v>0</v>
      </c>
      <c r="EE102" s="8">
        <v>0</v>
      </c>
      <c r="EF102" s="8">
        <f>IF(EF$56-Voorblad!$F$41&gt;Voorblad!$K$41,0,IF($U102=0,0,IF($U102&lt;1,1/$U102,IF((EF$56-Voorblad!$F$41)/$U102-SUM($EE102:EE102)=1,1,0))))</f>
        <v>0</v>
      </c>
      <c r="EG102" s="8">
        <f>IF(EG$56-Voorblad!$F$41&gt;Voorblad!$K$41,0,IF($U102=0,0,IF($U102&lt;1,1/$U102,IF((EG$56-Voorblad!$F$41)/$U102-SUM($EE102:EF102)=1,1,0))))</f>
        <v>1</v>
      </c>
      <c r="EH102" s="8">
        <f>IF(EH$56-Voorblad!$F$41&gt;Voorblad!$K$41,0,IF($U102=0,0,IF($U102&lt;1,1/$U102,IF((EH$56-Voorblad!$F$41)/$U102-SUM($EE102:EG102)=1,1,0))))</f>
        <v>1</v>
      </c>
      <c r="EI102" s="8">
        <f>IF(EI$56-Voorblad!$F$41&gt;Voorblad!$K$41,0,IF($U102=0,0,IF($U102&lt;1,1/$U102,IF((EI$56-Voorblad!$F$41)/$U102-SUM($EE102:EH102)=1,1,0))))</f>
        <v>1</v>
      </c>
      <c r="EJ102" s="8">
        <f>IF(EJ$56-Voorblad!$F$41&gt;Voorblad!$K$41,0,IF($U102=0,0,IF($U102&lt;1,1/$U102,IF((EJ$56-Voorblad!$F$41)/$U102-SUM($EE102:EI102)=1,1,0))))</f>
        <v>1</v>
      </c>
      <c r="EK102" s="8">
        <f>IF(EK$56-Voorblad!$F$41&gt;Voorblad!$K$41,0,IF($U102=0,0,IF($U102&lt;1,1/$U102,IF((EK$56-Voorblad!$F$41)/$U102-SUM($EE102:EJ102)=1,1,0))))</f>
        <v>1</v>
      </c>
      <c r="EL102" s="8">
        <f>IF(EL$56-Voorblad!$F$41&gt;Voorblad!$K$41,0,IF($U102=0,0,IF($U102&lt;1,1/$U102,IF((EL$56-Voorblad!$F$41)/$U102-SUM($EE102:EK102)=1,1,0))))</f>
        <v>1</v>
      </c>
      <c r="EM102" s="8">
        <f>IF(EM$56-Voorblad!$F$41&gt;Voorblad!$K$41,0,IF($U102=0,0,IF($U102&lt;1,1/$U102,IF((EM$56-Voorblad!$F$41)/$U102-SUM($EE102:EL102)=1,1,0))))</f>
        <v>1</v>
      </c>
      <c r="EN102" s="8">
        <f>IF(EN$56-Voorblad!$F$41&gt;Voorblad!$K$41,0,IF($U102=0,0,IF($U102&lt;1,1/$U102,IF((EN$56-Voorblad!$F$41)/$U102-SUM($EE102:EM102)=1,1,0))))</f>
        <v>1</v>
      </c>
      <c r="EO102" s="8">
        <f>IF(EO$56-Voorblad!$F$41&gt;Voorblad!$K$41,0,IF($U102=0,0,IF($U102&lt;1,1/$U102,IF((EO$56-Voorblad!$F$41)/$U102-SUM($EE102:EN102)=1,1,0))))</f>
        <v>1</v>
      </c>
      <c r="EP102" s="8">
        <f>IF(EP$56-Voorblad!$F$41&gt;Voorblad!$K$41,0,IF($U102=0,0,IF($U102&lt;1,1/$U102,IF((EP$56-Voorblad!$F$41)/$U102-SUM($EE102:EO102)=1,1,0))))</f>
        <v>1</v>
      </c>
      <c r="EQ102" s="8">
        <f>IF(EQ$56-Voorblad!$F$41&gt;Voorblad!$K$41,0,IF($U102=0,0,IF($U102&lt;1,1/$U102,IF((EQ$56-Voorblad!$F$41)/$U102-SUM($EE102:EP102)=1,1,0))))</f>
        <v>1</v>
      </c>
      <c r="ER102" s="8">
        <f>IF(ER$56-Voorblad!$F$41&gt;Voorblad!$K$41,0,IF($U102=0,0,IF($U102&lt;1,1/$U102,IF((ER$56-Voorblad!$F$41)/$U102-SUM($EE102:EQ102)=1,1,0))))</f>
        <v>1</v>
      </c>
      <c r="ES102" s="8">
        <f>IF(ES$56-Voorblad!$F$41&gt;Voorblad!$K$41,0,IF($U102=0,0,IF($U102&lt;1,1/$U102,IF((ES$56-Voorblad!$F$41)/$U102-SUM($EE102:ER102)=1,1,0))))</f>
        <v>1</v>
      </c>
      <c r="ET102" s="8">
        <f>IF(ET$56-Voorblad!$F$41&gt;Voorblad!$K$41,0,IF($U102=0,0,IF($U102&lt;1,1/$U102,IF((ET$56-Voorblad!$F$41)/$U102-SUM($EE102:ES102)=1,1,0))))</f>
        <v>1</v>
      </c>
      <c r="EU102" s="8">
        <f>IF(EU$56-Voorblad!$F$41&gt;Voorblad!$K$41,0,IF($U102=0,0,IF($U102&lt;1,1/$U102,IF((EU$56-Voorblad!$F$41)/$U102-SUM($EE102:ET102)=1,1,0))))</f>
        <v>1</v>
      </c>
      <c r="EV102" s="8">
        <f>IF(EV$56-Voorblad!$F$41&gt;Voorblad!$K$41,0,IF($U102=0,0,IF($U102&lt;1,1/$U102,IF((EV$56-Voorblad!$F$41)/$U102-SUM($EE102:EU102)=1,1,0))))</f>
        <v>1</v>
      </c>
      <c r="EW102" s="8">
        <f>IF(EW$56-Voorblad!$F$41&gt;Voorblad!$K$41,0,IF($U102=0,0,IF($U102&lt;1,1/$U102,IF((EW$56-Voorblad!$F$41)/$U102-SUM($EE102:EV102)=1,1,0))))</f>
        <v>1</v>
      </c>
      <c r="EX102" s="8">
        <f>IF(EX$56-Voorblad!$F$41&gt;Voorblad!$K$41,0,IF($U102=0,0,IF($U102&lt;1,1/$U102,IF((EX$56-Voorblad!$F$41)/$U102-SUM($EE102:EW102)=1,1,0))))</f>
        <v>1</v>
      </c>
      <c r="EY102" s="8">
        <f>IF(EY$56-Voorblad!$F$41&gt;Voorblad!$K$41,0,IF($U102=0,0,IF($U102&lt;1,1/$U102,IF((EY$56-Voorblad!$F$41)/$U102-SUM($EE102:EX102)=1,1,0))))</f>
        <v>1</v>
      </c>
      <c r="EZ102" s="8">
        <f>IF(EZ$56-Voorblad!$F$41&gt;Voorblad!$K$41,0,IF($U102=0,0,IF($U102&lt;1,1/$U102,IF((EZ$56-Voorblad!$F$41)/$U102-SUM($EE102:EY102)=1,1,0))))</f>
        <v>1</v>
      </c>
      <c r="FA102" s="8">
        <f>IF(FA$56-Voorblad!$F$41&gt;Voorblad!$K$41,0,IF($U102=0,0,IF($U102&lt;1,1/$U102,IF((FA$56-Voorblad!$F$41)/$U102-SUM($EE102:EZ102)=1,1,0))))</f>
        <v>1</v>
      </c>
      <c r="FB102" s="8">
        <f>IF(FB$56-Voorblad!$F$41&gt;Voorblad!$K$41,0,IF($U102=0,0,IF($U102&lt;1,1/$U102,IF((FB$56-Voorblad!$F$41)/$U102-SUM($EE102:FA102)=1,1,0))))</f>
        <v>1</v>
      </c>
      <c r="FC102" s="8">
        <f>IF(FC$56-Voorblad!$F$41&gt;Voorblad!$K$41,0,IF($U102=0,0,IF($U102&lt;1,1/$U102,IF((FC$56-Voorblad!$F$41)/$U102-SUM($EE102:FB102)=1,1,0))))</f>
        <v>1</v>
      </c>
      <c r="FD102" s="8">
        <f>IF(FD$56-Voorblad!$F$41&gt;Voorblad!$K$41,0,IF($U102=0,0,IF($U102&lt;1,1/$U102,IF((FD$56-Voorblad!$F$41)/$U102-SUM($EE102:FC102)=1,1,0))))</f>
        <v>1</v>
      </c>
      <c r="FE102" s="8">
        <f>IF(FE$56-Voorblad!$F$41&gt;Voorblad!$K$41,0,IF($U102=0,0,IF($U102&lt;1,1/$U102,IF((FE$56-Voorblad!$F$41)/$U102-SUM($EE102:FD102)=1,1,0))))</f>
        <v>1</v>
      </c>
      <c r="FF102" s="8">
        <f>IF(FF$56-Voorblad!$F$41&gt;Voorblad!$K$41,0,IF($U102=0,0,IF($U102&lt;1,1/$U102,IF((FF$56-Voorblad!$F$41)/$U102-SUM($EE102:FE102)=1,1,0))))</f>
        <v>1</v>
      </c>
      <c r="FG102" s="8">
        <f>IF(FG$56-Voorblad!$F$41&gt;Voorblad!$K$41,0,IF($U102=0,0,IF($U102&lt;1,1/$U102,IF((FG$56-Voorblad!$F$41)/$U102-SUM($EE102:FF102)=1,1,0))))</f>
        <v>1</v>
      </c>
      <c r="FH102" s="8">
        <f>IF(FH$56-Voorblad!$F$41&gt;Voorblad!$K$41,0,IF($U102=0,0,IF($U102&lt;1,1/$U102,IF((FH$56-Voorblad!$F$41)/$U102-SUM($EE102:FG102)=1,1,0))))</f>
        <v>1</v>
      </c>
      <c r="FI102" s="8">
        <f>IF(FI$56-Voorblad!$F$41&gt;Voorblad!$K$41,0,IF($U102=0,0,IF($U102&lt;1,1/$U102,IF((FI$56-Voorblad!$F$41)/$U102-SUM($EE102:FH102)=1,1,0))))</f>
        <v>1</v>
      </c>
      <c r="FJ102" s="8">
        <f>IF(FJ$56-Voorblad!$F$41&gt;Voorblad!$K$41,0,IF($U102=0,0,IF($U102&lt;1,1/$U102,IF((FJ$56-Voorblad!$F$41)/$U102-SUM($EE102:FI102)=1,1,0))))</f>
        <v>1</v>
      </c>
      <c r="FK102" s="8">
        <f>IF(FK$56-Voorblad!$F$41&gt;Voorblad!$K$41,0,IF($U102=0,0,IF($U102&lt;1,1/$U102,IF((FK$56-Voorblad!$F$41)/$U102-SUM($EE102:FJ102)=1,1,0))))</f>
        <v>1</v>
      </c>
      <c r="FL102" s="8">
        <f>IF(FL$56-Voorblad!$F$41&gt;Voorblad!$K$41,0,IF($U102=0,0,IF($U102&lt;1,1/$U102,IF((FL$56-Voorblad!$F$41)/$U102-SUM($EE102:FK102)=1,1,0))))</f>
        <v>1</v>
      </c>
      <c r="FM102" s="8">
        <f>IF(FM$56-Voorblad!$F$41&gt;Voorblad!$K$41,0,IF($U102=0,0,IF($U102&lt;1,1/$U102,IF((FM$56-Voorblad!$F$41)/$U102-SUM($EE102:FL102)=1,1,0))))</f>
        <v>1</v>
      </c>
      <c r="FN102" s="8">
        <f>IF(FN$56-Voorblad!$F$41&gt;Voorblad!$K$41,0,IF($U102=0,0,IF($U102&lt;1,1/$U102,IF((FN$56-Voorblad!$F$41)/$U102-SUM($EE102:FM102)=1,1,0))))</f>
        <v>1</v>
      </c>
      <c r="FO102" s="8">
        <f>IF(FO$56-Voorblad!$F$41&gt;Voorblad!$K$41,0,IF($U102=0,0,IF($U102&lt;1,1/$U102,IF((FO$56-Voorblad!$F$41)/$U102-SUM($EE102:FN102)=1,1,0))))</f>
        <v>1</v>
      </c>
      <c r="FP102" s="8">
        <f>IF(FP$56-Voorblad!$F$41&gt;Voorblad!$K$41,0,IF($U102=0,0,IF($U102&lt;1,1/$U102,IF((FP$56-Voorblad!$F$41)/$U102-SUM($EE102:FO102)=1,1,0))))</f>
        <v>1</v>
      </c>
      <c r="FQ102" s="8">
        <f>IF(FQ$56-Voorblad!$F$41&gt;Voorblad!$K$41,0,IF($U102=0,0,IF($U102&lt;1,1/$U102,IF((FQ$56-Voorblad!$F$41)/$U102-SUM($EE102:FP102)=1,1,0))))</f>
        <v>1</v>
      </c>
      <c r="FR102" s="8">
        <f>IF(FR$56-Voorblad!$F$41&gt;Voorblad!$K$41,0,IF($U102=0,0,IF($U102&lt;1,1/$U102,IF((FR$56-Voorblad!$F$41)/$U102-SUM($EE102:FQ102)=1,1,0))))</f>
        <v>1</v>
      </c>
      <c r="FS102" s="8">
        <f>IF(FS$56-Voorblad!$F$41&gt;Voorblad!$K$41,0,IF($U102=0,0,IF($U102&lt;1,1/$U102,IF((FS$56-Voorblad!$F$41)/$U102-SUM($EE102:FR102)=1,1,0))))</f>
        <v>1</v>
      </c>
      <c r="FT102" s="8">
        <f>IF(FT$56-Voorblad!$F$41&gt;Voorblad!$K$41,0,IF($U102=0,0,IF($U102&lt;1,1/$U102,IF((FT$56-Voorblad!$F$41)/$U102-SUM($EE102:FS102)=1,1,0))))</f>
        <v>1</v>
      </c>
      <c r="FU102" s="8">
        <f>IF(FU$56-Voorblad!$F$41&gt;Voorblad!$K$41,0,IF($U102=0,0,IF($U102&lt;1,1/$U102,IF((FU$56-Voorblad!$F$41)/$U102-SUM($EE102:FT102)=1,1,0))))</f>
        <v>1</v>
      </c>
      <c r="FV102" s="8">
        <f>IF(FV$56-Voorblad!$F$41&gt;Voorblad!$K$41,0,IF($U102=0,0,IF($U102&lt;1,1/$U102,IF((FV$56-Voorblad!$F$41)/$U102-SUM($EE102:FU102)=1,1,0))))</f>
        <v>1</v>
      </c>
      <c r="FW102" s="8">
        <f>IF(FW$56-Voorblad!$F$41&gt;Voorblad!$K$41,0,IF($U102=0,0,IF($U102&lt;1,1/$U102,IF((FW$56-Voorblad!$F$41)/$U102-SUM($EE102:FV102)=1,1,0))))</f>
        <v>1</v>
      </c>
      <c r="FX102" s="8">
        <f>IF(FX$56-Voorblad!$F$41&gt;Voorblad!$K$41,0,IF($U102=0,0,IF($U102&lt;1,1/$U102,IF((FX$56-Voorblad!$F$41)/$U102-SUM($EE102:FW102)=1,1,0))))</f>
        <v>1</v>
      </c>
      <c r="FY102" s="8">
        <f>IF(FY$56-Voorblad!$F$41&gt;Voorblad!$K$41,0,IF($U102=0,0,IF($U102&lt;1,1/$U102,IF((FY$56-Voorblad!$F$41)/$U102-SUM($EE102:FX102)=1,1,0))))</f>
        <v>1</v>
      </c>
      <c r="FZ102" s="8">
        <f>IF(FZ$56-Voorblad!$F$41&gt;Voorblad!$K$41,0,IF($U102=0,0,IF($U102&lt;1,1/$U102,IF((FZ$56-Voorblad!$F$41)/$U102-SUM($EE102:FY102)=1,1,0))))</f>
        <v>1</v>
      </c>
      <c r="GA102" s="8">
        <f>IF(GA$56-Voorblad!$F$41&gt;Voorblad!$K$41,0,IF($U102=0,0,IF($U102&lt;1,1/$U102,IF((GA$56-Voorblad!$F$41)/$U102-SUM($EE102:FZ102)=1,1,0))))</f>
        <v>1</v>
      </c>
      <c r="GB102" s="8">
        <f>IF(GB$56-Voorblad!$F$41&gt;Voorblad!$K$41,0,IF($U102=0,0,IF($U102&lt;1,1/$U102,IF((GB$56-Voorblad!$F$41)/$U102-SUM($EE102:GA102)=1,1,0))))</f>
        <v>1</v>
      </c>
      <c r="GC102" s="8">
        <f>IF(GC$56-Voorblad!$F$41&gt;Voorblad!$K$41,0,IF($U102=0,0,IF($U102&lt;1,1/$U102,IF((GC$56-Voorblad!$F$41)/$U102-SUM($EE102:GB102)=1,1,0))))</f>
        <v>1</v>
      </c>
      <c r="GD102" s="8">
        <f>IF(GD$56-Voorblad!$F$41&gt;Voorblad!$K$41,0,IF($U102=0,0,IF($U102&lt;1,1/$U102,IF((GD$56-Voorblad!$F$41)/$U102-SUM($EE102:GC102)=1,1,0))))</f>
        <v>1</v>
      </c>
      <c r="GE102" s="8">
        <f>IF(GE$56-Voorblad!$F$41&gt;Voorblad!$K$41,0,IF($U102=0,0,IF($U102&lt;1,1/$U102,IF((GE$56-Voorblad!$F$41)/$U102-SUM($EE102:GD102)=1,1,0))))</f>
        <v>1</v>
      </c>
      <c r="GF102" s="8">
        <f>IF(GF$56-Voorblad!$F$41&gt;Voorblad!$K$41,0,IF($U102=0,0,IF($U102&lt;1,1/$U102,IF((GF$56-Voorblad!$F$41)/$U102-SUM($EE102:GE102)=1,1,0))))</f>
        <v>1</v>
      </c>
      <c r="GG102" s="8">
        <f>IF(GG$56-Voorblad!$F$41&gt;Voorblad!$K$41,0,IF($U102=0,0,IF($U102&lt;1,1/$U102,IF((GG$56-Voorblad!$F$41)/$U102-SUM($EE102:GF102)=1,1,0))))</f>
        <v>1</v>
      </c>
      <c r="GH102" s="8">
        <f>IF(GH$56-Voorblad!$F$41&gt;Voorblad!$K$41,0,IF($U102=0,0,IF($U102&lt;1,1/$U102,IF((GH$56-Voorblad!$F$41)/$U102-SUM($EE102:GG102)=1,1,0))))</f>
        <v>1</v>
      </c>
      <c r="GI102" s="8">
        <f>IF(GI$56-Voorblad!$F$41&gt;Voorblad!$K$41,0,IF($U102=0,0,IF($U102&lt;1,1/$U102,IF((GI$56-Voorblad!$F$41)/$U102-SUM($EE102:GH102)=1,1,0))))</f>
        <v>1</v>
      </c>
      <c r="GJ102" s="8">
        <f>IF(GJ$56-Voorblad!$F$41&gt;Voorblad!$K$41,0,IF($U102=0,0,IF($U102&lt;1,1/$U102,IF((GJ$56-Voorblad!$F$41)/$U102-SUM($EE102:GI102)=1,1,0))))</f>
        <v>1</v>
      </c>
      <c r="GK102" s="8">
        <f>IF(GK$56-Voorblad!$F$41&gt;Voorblad!$K$41,0,IF($U102=0,0,IF($U102&lt;1,1/$U102,IF((GK$56-Voorblad!$F$41)/$U102-SUM($EE102:GJ102)=1,1,0))))</f>
        <v>1</v>
      </c>
      <c r="GL102" s="8">
        <f>IF(GL$56-Voorblad!$F$41&gt;Voorblad!$K$41,0,IF($U102=0,0,IF($U102&lt;1,1/$U102,IF((GL$56-Voorblad!$F$41)/$U102-SUM($EE102:GK102)=1,1,0))))</f>
        <v>1</v>
      </c>
      <c r="GM102" s="8">
        <f>IF(GM$56-Voorblad!$F$41&gt;Voorblad!$K$41,0,IF($U102=0,0,IF($U102&lt;1,1/$U102,IF((GM$56-Voorblad!$F$41)/$U102-SUM($EE102:GL102)=1,1,0))))</f>
        <v>1</v>
      </c>
      <c r="GN102" s="8">
        <f>IF(GN$56-Voorblad!$F$41&gt;Voorblad!$K$41,0,IF($U102=0,0,IF($U102&lt;1,1/$U102,IF((GN$56-Voorblad!$F$41)/$U102-SUM($EE102:GM102)=1,1,0))))</f>
        <v>1</v>
      </c>
      <c r="GO102" s="8">
        <f>IF(GO$56-Voorblad!$F$41&gt;Voorblad!$K$41,0,IF($U102=0,0,IF($U102&lt;1,1/$U102,IF((GO$56-Voorblad!$F$41)/$U102-SUM($EE102:GN102)=1,1,0))))</f>
        <v>1</v>
      </c>
      <c r="GP102" s="8">
        <f>IF(GP$56-Voorblad!$F$41&gt;Voorblad!$K$41,0,IF($U102=0,0,IF($U102&lt;1,1/$U102,IF((GP$56-Voorblad!$F$41)/$U102-SUM($EE102:GO102)=1,1,0))))</f>
        <v>1</v>
      </c>
      <c r="GQ102" s="8">
        <f>IF(GQ$56-Voorblad!$F$41&gt;Voorblad!$K$41,0,IF($U102=0,0,IF($U102&lt;1,1/$U102,IF((GQ$56-Voorblad!$F$41)/$U102-SUM($EE102:GP102)=1,1,0))))</f>
        <v>1</v>
      </c>
      <c r="GR102" s="8">
        <f>IF(GR$56-Voorblad!$F$41&gt;Voorblad!$K$41,0,IF($U102=0,0,IF($U102&lt;1,1/$U102,IF((GR$56-Voorblad!$F$41)/$U102-SUM($EE102:GQ102)=1,1,0))))</f>
        <v>1</v>
      </c>
      <c r="GS102" s="8">
        <f>IF(GS$56-Voorblad!$F$41&gt;Voorblad!$K$41,0,IF($U102=0,0,IF($U102&lt;1,1/$U102,IF((GS$56-Voorblad!$F$41)/$U102-SUM($EE102:GR102)=1,1,0))))</f>
        <v>1</v>
      </c>
      <c r="GT102" s="8">
        <f>IF(GT$56-Voorblad!$F$41&gt;Voorblad!$K$41,0,IF($U102=0,0,IF($U102&lt;1,1/$U102,IF((GT$56-Voorblad!$F$41)/$U102-SUM($EE102:GS102)=1,1,0))))</f>
        <v>1</v>
      </c>
      <c r="GU102" s="8">
        <f>IF(GU$56-Voorblad!$F$41&gt;Voorblad!$K$41,0,IF($U102=0,0,IF($U102&lt;1,1/$U102,IF((GU$56-Voorblad!$F$41)/$U102-SUM($EE102:GT102)=1,1,0))))</f>
        <v>1</v>
      </c>
      <c r="GV102" s="8">
        <f>IF(GV$56-Voorblad!$F$41&gt;Voorblad!$K$41,0,IF($U102=0,0,IF($U102&lt;1,1/$U102,IF((GV$56-Voorblad!$F$41)/$U102-SUM($EE102:GU102)=1,1,0))))</f>
        <v>1</v>
      </c>
      <c r="GW102" s="8">
        <f>IF(GW$56-Voorblad!$F$41&gt;Voorblad!$K$41,0,IF($U102=0,0,IF($U102&lt;1,1/$U102,IF((GW$56-Voorblad!$F$41)/$U102-SUM($EE102:GV102)=1,1,0))))</f>
        <v>1</v>
      </c>
      <c r="GX102" s="8">
        <f>IF(GX$56-Voorblad!$F$41&gt;Voorblad!$K$41,0,IF($U102=0,0,IF($U102&lt;1,1/$U102,IF((GX$56-Voorblad!$F$41)/$U102-SUM($EE102:GW102)=1,1,0))))</f>
        <v>1</v>
      </c>
      <c r="GY102" s="8">
        <f>IF(GY$56-Voorblad!$F$41&gt;Voorblad!$K$41,0,IF($U102=0,0,IF($U102&lt;1,1/$U102,IF((GY$56-Voorblad!$F$41)/$U102-SUM($EE102:GX102)=1,1,0))))</f>
        <v>1</v>
      </c>
      <c r="GZ102" s="8">
        <f>IF(GZ$56-Voorblad!$F$41&gt;Voorblad!$K$41,0,IF($U102=0,0,IF($U102&lt;1,1/$U102,IF((GZ$56-Voorblad!$F$41)/$U102-SUM($EE102:GY102)=1,1,0))))</f>
        <v>1</v>
      </c>
      <c r="HA102" s="8">
        <f>IF(HA$56-Voorblad!$F$41&gt;Voorblad!$K$41,0,IF($U102=0,0,IF($U102&lt;1,1/$U102,IF((HA$56-Voorblad!$F$41)/$U102-SUM($EE102:GZ102)=1,1,0))))</f>
        <v>1</v>
      </c>
      <c r="HB102" s="8">
        <f>IF(HB$56-Voorblad!$F$41&gt;Voorblad!$K$41,0,IF($U102=0,0,IF($U102&lt;1,1/$U102,IF((HB$56-Voorblad!$F$41)/$U102-SUM($EE102:HA102)=1,1,0))))</f>
        <v>0</v>
      </c>
      <c r="HC102" s="8">
        <f>IF(HC$56-Voorblad!$F$41&gt;Voorblad!$K$41,0,IF($U102=0,0,IF($U102&lt;1,1/$U102,IF((HC$56-Voorblad!$F$41)/$U102-SUM($EE102:HB102)=1,1,0))))</f>
        <v>0</v>
      </c>
      <c r="HD102" s="8">
        <f>IF(HD$56-Voorblad!$F$41&gt;Voorblad!$K$41,0,IF($U102=0,0,IF($U102&lt;1,1/$U102,IF((HD$56-Voorblad!$F$41)/$U102-SUM($EE102:HC102)=1,1,0))))</f>
        <v>0</v>
      </c>
      <c r="HE102" s="8">
        <f>IF(HE$56-Voorblad!$F$41&gt;Voorblad!$K$41,0,IF($U102=0,0,IF($U102&lt;1,1/$U102,IF((HE$56-Voorblad!$F$41)/$U102-SUM($EE102:HD102)=1,1,0))))</f>
        <v>0</v>
      </c>
      <c r="HF102" s="8">
        <f>IF(HF$56-Voorblad!$F$41&gt;Voorblad!$K$41,0,IF($U102=0,0,IF($U102&lt;1,1/$U102,IF((HF$56-Voorblad!$F$41)/$U102-SUM($EE102:HE102)=1,1,0))))</f>
        <v>0</v>
      </c>
      <c r="HG102" s="8">
        <f>IF(HG$56-Voorblad!$F$41&gt;Voorblad!$K$41,0,IF($U102=0,0,IF($U102&lt;1,1/$U102,IF((HG$56-Voorblad!$F$41)/$U102-SUM($EE102:HF102)=1,1,0))))</f>
        <v>0</v>
      </c>
      <c r="HH102" s="8">
        <f>IF(HH$56-Voorblad!$F$41&gt;Voorblad!$K$41,0,IF($U102=0,0,IF($U102&lt;1,1/$U102,IF((HH$56-Voorblad!$F$41)/$U102-SUM($EE102:HG102)=1,1,0))))</f>
        <v>0</v>
      </c>
      <c r="HI102" s="8">
        <f>IF(HI$56-Voorblad!$F$41&gt;Voorblad!$K$41,0,IF($U102=0,0,IF($U102&lt;1,1/$U102,IF((HI$56-Voorblad!$F$41)/$U102-SUM($EE102:HH102)=1,1,0))))</f>
        <v>0</v>
      </c>
      <c r="HJ102" s="8">
        <f>IF(HJ$56-Voorblad!$F$41&gt;Voorblad!$K$41,0,IF($U102=0,0,IF($U102&lt;1,1/$U102,IF((HJ$56-Voorblad!$F$41)/$U102-SUM($EE102:HI102)=1,1,0))))</f>
        <v>0</v>
      </c>
      <c r="HK102" s="8">
        <f>IF(HK$56-Voorblad!$F$41&gt;Voorblad!$K$41,0,IF($U102=0,0,IF($U102&lt;1,1/$U102,IF((HK$56-Voorblad!$F$41)/$U102-SUM($EE102:HJ102)=1,1,0))))</f>
        <v>0</v>
      </c>
      <c r="HL102" s="8">
        <f>IF(HL$56-Voorblad!$F$41&gt;Voorblad!$K$41,0,IF($U102=0,0,IF($U102&lt;1,1/$U102,IF((HL$56-Voorblad!$F$41)/$U102-SUM($EE102:HK102)=1,1,0))))</f>
        <v>0</v>
      </c>
      <c r="HM102" s="8">
        <f>IF(HM$56-Voorblad!$F$41&gt;Voorblad!$K$41,0,IF($U102=0,0,IF($U102&lt;1,1/$U102,IF((HM$56-Voorblad!$F$41)/$U102-SUM($EE102:HL102)=1,1,0))))</f>
        <v>0</v>
      </c>
      <c r="HN102" s="8">
        <f>IF(HN$56-Voorblad!$F$41&gt;Voorblad!$K$41,0,IF($U102=0,0,IF($U102&lt;1,1/$U102,IF((HN$56-Voorblad!$F$41)/$U102-SUM($EE102:HM102)=1,1,0))))</f>
        <v>0</v>
      </c>
      <c r="HO102" s="8">
        <f>IF(HO$56-Voorblad!$F$41&gt;Voorblad!$K$41,0,IF($U102=0,0,IF($U102&lt;1,1/$U102,IF((HO$56-Voorblad!$F$41)/$U102-SUM($EE102:HN102)=1,1,0))))</f>
        <v>0</v>
      </c>
      <c r="HP102" s="8">
        <f>IF(HP$56-Voorblad!$F$41&gt;Voorblad!$K$41,0,IF($U102=0,0,IF($U102&lt;1,1/$U102,IF((HP$56-Voorblad!$F$41)/$U102-SUM($EE102:HO102)=1,1,0))))</f>
        <v>0</v>
      </c>
      <c r="HQ102" s="8">
        <f>IF(HQ$56-Voorblad!$F$41&gt;Voorblad!$K$41,0,IF($U102=0,0,IF($U102&lt;1,1/$U102,IF((HQ$56-Voorblad!$F$41)/$U102-SUM($EE102:HP102)=1,1,0))))</f>
        <v>0</v>
      </c>
      <c r="HR102" s="8">
        <f>IF(HR$56-Voorblad!$F$41&gt;Voorblad!$K$41,0,IF($U102=0,0,IF($U102&lt;1,1/$U102,IF((HR$56-Voorblad!$F$41)/$U102-SUM($EE102:HQ102)=1,1,0))))</f>
        <v>0</v>
      </c>
      <c r="HS102" s="8">
        <f>IF(HS$56-Voorblad!$F$41&gt;Voorblad!$K$41,0,IF($U102=0,0,IF($U102&lt;1,1/$U102,IF((HS$56-Voorblad!$F$41)/$U102-SUM($EE102:HR102)=1,1,0))))</f>
        <v>0</v>
      </c>
      <c r="HT102" s="8">
        <f>IF(HT$56-Voorblad!$F$41&gt;Voorblad!$K$41,0,IF($U102=0,0,IF($U102&lt;1,1/$U102,IF((HT$56-Voorblad!$F$41)/$U102-SUM($EE102:HS102)=1,1,0))))</f>
        <v>0</v>
      </c>
      <c r="HU102" s="8">
        <f>IF(HU$56-Voorblad!$F$41&gt;Voorblad!$K$41,0,IF($U102=0,0,IF($U102&lt;1,1/$U102,IF((HU$56-Voorblad!$F$41)/$U102-SUM($EE102:HT102)=1,1,0))))</f>
        <v>0</v>
      </c>
      <c r="HV102" s="8">
        <f>IF(HV$56-Voorblad!$F$41&gt;Voorblad!$K$41,0,IF($U102=0,0,IF($U102&lt;1,1/$U102,IF((HV$56-Voorblad!$F$41)/$U102-SUM($EE102:HU102)=1,1,0))))</f>
        <v>0</v>
      </c>
      <c r="HW102" s="8">
        <f>IF(HW$56-Voorblad!$F$41&gt;Voorblad!$K$41,0,IF($U102=0,0,IF($U102&lt;1,1/$U102,IF((HW$56-Voorblad!$F$41)/$U102-SUM($EE102:HV102)=1,1,0))))</f>
        <v>0</v>
      </c>
      <c r="HX102" s="8">
        <f>IF(HX$56-Voorblad!$F$41&gt;Voorblad!$K$41,0,IF($U102=0,0,IF($U102&lt;1,1/$U102,IF((HX$56-Voorblad!$F$41)/$U102-SUM($EE102:HW102)=1,1,0))))</f>
        <v>0</v>
      </c>
      <c r="HY102" s="8">
        <f>IF(HY$56-Voorblad!$F$41&gt;Voorblad!$K$41,0,IF($U102=0,0,IF($U102&lt;1,1/$U102,IF((HY$56-Voorblad!$F$41)/$U102-SUM($EE102:HX102)=1,1,0))))</f>
        <v>0</v>
      </c>
      <c r="HZ102" s="8">
        <f>IF(HZ$56-Voorblad!$F$41&gt;Voorblad!$K$41,0,IF($U102=0,0,IF($U102&lt;1,1/$U102,IF((HZ$56-Voorblad!$F$41)/$U102-SUM($EE102:HY102)=1,1,0))))</f>
        <v>0</v>
      </c>
      <c r="IA102" s="8">
        <f>IF(IA$56-Voorblad!$F$41&gt;Voorblad!$K$41,0,IF($U102=0,0,IF($U102&lt;1,1/$U102,IF((IA$56-Voorblad!$F$41)/$U102-SUM($EE102:HZ102)=1,1,0))))</f>
        <v>0</v>
      </c>
      <c r="IB102" s="8">
        <f>IF(IB$56-Voorblad!$F$41&gt;Voorblad!$K$41,0,IF($U102=0,0,IF($U102&lt;1,1/$U102,IF((IB$56-Voorblad!$F$41)/$U102-SUM($EE102:IA102)=1,1,0))))</f>
        <v>0</v>
      </c>
    </row>
    <row r="103" spans="2:236" hidden="1" outlineLevel="1" x14ac:dyDescent="0.25">
      <c r="B103" s="14">
        <v>1</v>
      </c>
      <c r="C103" s="14"/>
      <c r="F103" s="1" t="s">
        <v>58</v>
      </c>
      <c r="I103" s="1" t="s">
        <v>66</v>
      </c>
      <c r="K103" s="1" t="s">
        <v>65</v>
      </c>
      <c r="N103" s="3"/>
      <c r="O103" s="1" t="s">
        <v>100</v>
      </c>
      <c r="Q103" s="81">
        <v>0</v>
      </c>
      <c r="R103" s="1" t="s">
        <v>33</v>
      </c>
      <c r="S103" s="14">
        <f>4%*T97</f>
        <v>0</v>
      </c>
      <c r="T103" s="14">
        <f t="shared" si="19"/>
        <v>0</v>
      </c>
      <c r="U103" s="11">
        <v>1</v>
      </c>
      <c r="V103" s="14"/>
      <c r="W103" s="81">
        <v>0</v>
      </c>
      <c r="X103" s="6"/>
      <c r="Y103" s="9">
        <f t="shared" si="11"/>
        <v>0</v>
      </c>
      <c r="Z103" s="82"/>
      <c r="AA103" s="82"/>
      <c r="AC103" s="9">
        <f>$Y103*(Voorblad!$K$44*(1+Voorblad!$K$44)^Voorblad!$K$41)/((1+Voorblad!$K$44)^Voorblad!$K$41-1)</f>
        <v>0</v>
      </c>
      <c r="AE103" s="9">
        <f>IF($W103=AE$56,EF103*($Q103*$S103)/(1+Voorblad!$K$44)^(AE$56-Voorblad!$F$41),0)</f>
        <v>0</v>
      </c>
      <c r="AF103" s="9">
        <f>IF($W103=AF$56,EG103*($Q103*$S103)/(1+Voorblad!$K$44)^(AF$56-Voorblad!$F$41),0)</f>
        <v>0</v>
      </c>
      <c r="AG103" s="9">
        <f>IF($W103=AG$56,EH103*($Q103*$S103)/(1+Voorblad!$K$44)^(AG$56-Voorblad!$F$41),0)</f>
        <v>0</v>
      </c>
      <c r="AH103" s="9">
        <f>IF($W103=AH$56,EI103*($Q103*$S103)/(1+Voorblad!$K$44)^(AH$56-Voorblad!$F$41),0)</f>
        <v>0</v>
      </c>
      <c r="AI103" s="9">
        <f>IF($W103=AI$56,EJ103*($Q103*$S103)/(1+Voorblad!$K$44)^(AI$56-Voorblad!$F$41),0)</f>
        <v>0</v>
      </c>
      <c r="AJ103" s="9">
        <f>IF($W103=AJ$56,EK103*($Q103*$S103)/(1+Voorblad!$K$44)^(AJ$56-Voorblad!$F$41),0)</f>
        <v>0</v>
      </c>
      <c r="AK103" s="9">
        <f>IF($W103=AK$56,EL103*($Q103*$S103)/(1+Voorblad!$K$44)^(AK$56-Voorblad!$F$41),0)</f>
        <v>0</v>
      </c>
      <c r="AL103" s="9">
        <f>IF($W103=AL$56,EM103*($Q103*$S103)/(1+Voorblad!$K$44)^(AL$56-Voorblad!$F$41),0)</f>
        <v>0</v>
      </c>
      <c r="AM103" s="9">
        <f>IF($W103=AM$56,EN103*($Q103*$S103)/(1+Voorblad!$K$44)^(AM$56-Voorblad!$F$41),0)</f>
        <v>0</v>
      </c>
      <c r="AN103" s="9">
        <f>IF($W103=AN$56,EO103*($Q103*$S103)/(1+Voorblad!$K$44)^(AN$56-Voorblad!$F$41),0)</f>
        <v>0</v>
      </c>
      <c r="AO103" s="9">
        <f>IF($W103=AO$56,EP103*($Q103*$S103)/(1+Voorblad!$K$44)^(AO$56-Voorblad!$F$41),0)</f>
        <v>0</v>
      </c>
      <c r="AP103" s="9">
        <f>IF($W103=AP$56,EQ103*($Q103*$S103)/(1+Voorblad!$K$44)^(AP$56-Voorblad!$F$41),0)</f>
        <v>0</v>
      </c>
      <c r="AQ103" s="9">
        <f>IF($W103=AQ$56,ER103*($Q103*$S103)/(1+Voorblad!$K$44)^(AQ$56-Voorblad!$F$41),0)</f>
        <v>0</v>
      </c>
      <c r="AR103" s="9">
        <f>IF($W103=AR$56,ES103*($Q103*$S103)/(1+Voorblad!$K$44)^(AR$56-Voorblad!$F$41),0)</f>
        <v>0</v>
      </c>
      <c r="AS103" s="9">
        <f>IF($W103=AS$56,ET103*($Q103*$S103)/(1+Voorblad!$K$44)^(AS$56-Voorblad!$F$41),0)</f>
        <v>0</v>
      </c>
      <c r="AT103" s="9">
        <f>IF($W103=AT$56,EU103*($Q103*$S103)/(1+Voorblad!$K$44)^(AT$56-Voorblad!$F$41),0)</f>
        <v>0</v>
      </c>
      <c r="AU103" s="9">
        <f>IF($W103=AU$56,EV103*($Q103*$S103)/(1+Voorblad!$K$44)^(AU$56-Voorblad!$F$41),0)</f>
        <v>0</v>
      </c>
      <c r="AV103" s="9">
        <f>IF($W103=AV$56,EW103*($Q103*$S103)/(1+Voorblad!$K$44)^(AV$56-Voorblad!$F$41),0)</f>
        <v>0</v>
      </c>
      <c r="AW103" s="9">
        <f>IF($W103=AW$56,EX103*($Q103*$S103)/(1+Voorblad!$K$44)^(AW$56-Voorblad!$F$41),0)</f>
        <v>0</v>
      </c>
      <c r="AX103" s="9">
        <f>IF($W103=AX$56,EY103*($Q103*$S103)/(1+Voorblad!$K$44)^(AX$56-Voorblad!$F$41),0)</f>
        <v>0</v>
      </c>
      <c r="AY103" s="9">
        <f>IF($W103=AY$56,EZ103*($Q103*$S103)/(1+Voorblad!$K$44)^(AY$56-Voorblad!$F$41),0)</f>
        <v>0</v>
      </c>
      <c r="AZ103" s="9">
        <f>IF($W103=AZ$56,FA103*($Q103*$S103)/(1+Voorblad!$K$44)^(AZ$56-Voorblad!$F$41),0)</f>
        <v>0</v>
      </c>
      <c r="BA103" s="9">
        <f>IF($W103=BA$56,FB103*($Q103*$S103)/(1+Voorblad!$K$44)^(BA$56-Voorblad!$F$41),0)</f>
        <v>0</v>
      </c>
      <c r="BB103" s="9">
        <f>IF($W103=BB$56,FC103*($Q103*$S103)/(1+Voorblad!$K$44)^(BB$56-Voorblad!$F$41),0)</f>
        <v>0</v>
      </c>
      <c r="BC103" s="9">
        <f>IF($W103=BC$56,FD103*($Q103*$S103)/(1+Voorblad!$K$44)^(BC$56-Voorblad!$F$41),0)</f>
        <v>0</v>
      </c>
      <c r="BD103" s="9">
        <f>IF($W103=BD$56,FE103*($Q103*$S103)/(1+Voorblad!$K$44)^(BD$56-Voorblad!$F$41),0)</f>
        <v>0</v>
      </c>
      <c r="BE103" s="9">
        <f>IF($W103=BE$56,FF103*($Q103*$S103)/(1+Voorblad!$K$44)^(BE$56-Voorblad!$F$41),0)</f>
        <v>0</v>
      </c>
      <c r="BF103" s="9">
        <f>IF($W103=BF$56,FG103*($Q103*$S103)/(1+Voorblad!$K$44)^(BF$56-Voorblad!$F$41),0)</f>
        <v>0</v>
      </c>
      <c r="BG103" s="9">
        <f>IF($W103=BG$56,FH103*($Q103*$S103)/(1+Voorblad!$K$44)^(BG$56-Voorblad!$F$41),0)</f>
        <v>0</v>
      </c>
      <c r="BH103" s="9">
        <f>IF($W103=BH$56,FI103*($Q103*$S103)/(1+Voorblad!$K$44)^(BH$56-Voorblad!$F$41),0)</f>
        <v>0</v>
      </c>
      <c r="BI103" s="9">
        <f>IF($W103=BI$56,FJ103*($Q103*$S103)/(1+Voorblad!$K$44)^(BI$56-Voorblad!$F$41),0)</f>
        <v>0</v>
      </c>
      <c r="BJ103" s="9">
        <f>IF($W103=BJ$56,FK103*($Q103*$S103)/(1+Voorblad!$K$44)^(BJ$56-Voorblad!$F$41),0)</f>
        <v>0</v>
      </c>
      <c r="BK103" s="9">
        <f>IF($W103=BK$56,FL103*($Q103*$S103)/(1+Voorblad!$K$44)^(BK$56-Voorblad!$F$41),0)</f>
        <v>0</v>
      </c>
      <c r="BL103" s="9">
        <f>IF($W103=BL$56,FM103*($Q103*$S103)/(1+Voorblad!$K$44)^(BL$56-Voorblad!$F$41),0)</f>
        <v>0</v>
      </c>
      <c r="BM103" s="9">
        <f>IF($W103=BM$56,FN103*($Q103*$S103)/(1+Voorblad!$K$44)^(BM$56-Voorblad!$F$41),0)</f>
        <v>0</v>
      </c>
      <c r="BN103" s="9">
        <f>IF($W103=BN$56,FO103*($Q103*$S103)/(1+Voorblad!$K$44)^(BN$56-Voorblad!$F$41),0)</f>
        <v>0</v>
      </c>
      <c r="BO103" s="9">
        <f>IF($W103=BO$56,FP103*($Q103*$S103)/(1+Voorblad!$K$44)^(BO$56-Voorblad!$F$41),0)</f>
        <v>0</v>
      </c>
      <c r="BP103" s="9">
        <f>IF($W103=BP$56,FQ103*($Q103*$S103)/(1+Voorblad!$K$44)^(BP$56-Voorblad!$F$41),0)</f>
        <v>0</v>
      </c>
      <c r="BQ103" s="9">
        <f>IF($W103=BQ$56,FR103*($Q103*$S103)/(1+Voorblad!$K$44)^(BQ$56-Voorblad!$F$41),0)</f>
        <v>0</v>
      </c>
      <c r="BR103" s="9">
        <f>IF($W103=BR$56,FS103*($Q103*$S103)/(1+Voorblad!$K$44)^(BR$56-Voorblad!$F$41),0)</f>
        <v>0</v>
      </c>
      <c r="BS103" s="9">
        <f>IF($W103=BS$56,FT103*($Q103*$S103)/(1+Voorblad!$K$44)^(BS$56-Voorblad!$F$41),0)</f>
        <v>0</v>
      </c>
      <c r="BT103" s="9">
        <f>IF($W103=BT$56,FU103*($Q103*$S103)/(1+Voorblad!$K$44)^(BT$56-Voorblad!$F$41),0)</f>
        <v>0</v>
      </c>
      <c r="BU103" s="9">
        <f>IF($W103=BU$56,FV103*($Q103*$S103)/(1+Voorblad!$K$44)^(BU$56-Voorblad!$F$41),0)</f>
        <v>0</v>
      </c>
      <c r="BV103" s="9">
        <f>IF($W103=BV$56,FW103*($Q103*$S103)/(1+Voorblad!$K$44)^(BV$56-Voorblad!$F$41),0)</f>
        <v>0</v>
      </c>
      <c r="BW103" s="9">
        <f>IF($W103=BW$56,FX103*($Q103*$S103)/(1+Voorblad!$K$44)^(BW$56-Voorblad!$F$41),0)</f>
        <v>0</v>
      </c>
      <c r="BX103" s="9">
        <f>IF($W103=BX$56,FY103*($Q103*$S103)/(1+Voorblad!$K$44)^(BX$56-Voorblad!$F$41),0)</f>
        <v>0</v>
      </c>
      <c r="BY103" s="9">
        <f>IF($W103=BY$56,FZ103*($Q103*$S103)/(1+Voorblad!$K$44)^(BY$56-Voorblad!$F$41),0)</f>
        <v>0</v>
      </c>
      <c r="BZ103" s="9">
        <f>IF($W103=BZ$56,GA103*($Q103*$S103)/(1+Voorblad!$K$44)^(BZ$56-Voorblad!$F$41),0)</f>
        <v>0</v>
      </c>
      <c r="CA103" s="9">
        <f>IF($W103=CA$56,GB103*($Q103*$S103)/(1+Voorblad!$K$44)^(CA$56-Voorblad!$F$41),0)</f>
        <v>0</v>
      </c>
      <c r="CB103" s="9">
        <f>IF($W103=CB$56,GC103*($Q103*$S103)/(1+Voorblad!$K$44)^(CB$56-Voorblad!$F$41),0)</f>
        <v>0</v>
      </c>
      <c r="CC103" s="9">
        <f>IF($W103=CC$56,GD103*($Q103*$S103)/(1+Voorblad!$K$44)^(CC$56-Voorblad!$F$41),0)</f>
        <v>0</v>
      </c>
      <c r="CD103" s="9">
        <f>IF($W103=CD$56,GE103*($Q103*$S103)/(1+Voorblad!$K$44)^(CD$56-Voorblad!$F$41),0)</f>
        <v>0</v>
      </c>
      <c r="CE103" s="9">
        <f>IF($W103=CE$56,GF103*($Q103*$S103)/(1+Voorblad!$K$44)^(CE$56-Voorblad!$F$41),0)</f>
        <v>0</v>
      </c>
      <c r="CF103" s="9">
        <f>IF($W103=CF$56,GG103*($Q103*$S103)/(1+Voorblad!$K$44)^(CF$56-Voorblad!$F$41),0)</f>
        <v>0</v>
      </c>
      <c r="CG103" s="9">
        <f>IF($W103=CG$56,GH103*($Q103*$S103)/(1+Voorblad!$K$44)^(CG$56-Voorblad!$F$41),0)</f>
        <v>0</v>
      </c>
      <c r="CH103" s="9">
        <f>IF($W103=CH$56,GI103*($Q103*$S103)/(1+Voorblad!$K$44)^(CH$56-Voorblad!$F$41),0)</f>
        <v>0</v>
      </c>
      <c r="CI103" s="9">
        <f>IF($W103=CI$56,GJ103*($Q103*$S103)/(1+Voorblad!$K$44)^(CI$56-Voorblad!$F$41),0)</f>
        <v>0</v>
      </c>
      <c r="CJ103" s="9">
        <f>IF($W103=CJ$56,GK103*($Q103*$S103)/(1+Voorblad!$K$44)^(CJ$56-Voorblad!$F$41),0)</f>
        <v>0</v>
      </c>
      <c r="CK103" s="9">
        <f>IF($W103=CK$56,GL103*($Q103*$S103)/(1+Voorblad!$K$44)^(CK$56-Voorblad!$F$41),0)</f>
        <v>0</v>
      </c>
      <c r="CL103" s="9">
        <f>IF($W103=CL$56,GM103*($Q103*$S103)/(1+Voorblad!$K$44)^(CL$56-Voorblad!$F$41),0)</f>
        <v>0</v>
      </c>
      <c r="CM103" s="9">
        <f>IF($W103=CM$56,GN103*($Q103*$S103)/(1+Voorblad!$K$44)^(CM$56-Voorblad!$F$41),0)</f>
        <v>0</v>
      </c>
      <c r="CN103" s="9">
        <f>IF($W103=CN$56,GO103*($Q103*$S103)/(1+Voorblad!$K$44)^(CN$56-Voorblad!$F$41),0)</f>
        <v>0</v>
      </c>
      <c r="CO103" s="9">
        <f>IF($W103=CO$56,GP103*($Q103*$S103)/(1+Voorblad!$K$44)^(CO$56-Voorblad!$F$41),0)</f>
        <v>0</v>
      </c>
      <c r="CP103" s="9">
        <f>IF($W103=CP$56,GQ103*($Q103*$S103)/(1+Voorblad!$K$44)^(CP$56-Voorblad!$F$41),0)</f>
        <v>0</v>
      </c>
      <c r="CQ103" s="9">
        <f>IF($W103=CQ$56,GR103*($Q103*$S103)/(1+Voorblad!$K$44)^(CQ$56-Voorblad!$F$41),0)</f>
        <v>0</v>
      </c>
      <c r="CR103" s="9">
        <f>IF($W103=CR$56,GS103*($Q103*$S103)/(1+Voorblad!$K$44)^(CR$56-Voorblad!$F$41),0)</f>
        <v>0</v>
      </c>
      <c r="CS103" s="9">
        <f>IF($W103=CS$56,GT103*($Q103*$S103)/(1+Voorblad!$K$44)^(CS$56-Voorblad!$F$41),0)</f>
        <v>0</v>
      </c>
      <c r="CT103" s="9">
        <f>IF($W103=CT$56,GU103*($Q103*$S103)/(1+Voorblad!$K$44)^(CT$56-Voorblad!$F$41),0)</f>
        <v>0</v>
      </c>
      <c r="CU103" s="9">
        <f>IF($W103=CU$56,GV103*($Q103*$S103)/(1+Voorblad!$K$44)^(CU$56-Voorblad!$F$41),0)</f>
        <v>0</v>
      </c>
      <c r="CV103" s="9">
        <f>IF($W103=CV$56,GW103*($Q103*$S103)/(1+Voorblad!$K$44)^(CV$56-Voorblad!$F$41),0)</f>
        <v>0</v>
      </c>
      <c r="CW103" s="9">
        <f>IF($W103=CW$56,GX103*($Q103*$S103)/(1+Voorblad!$K$44)^(CW$56-Voorblad!$F$41),0)</f>
        <v>0</v>
      </c>
      <c r="CX103" s="9">
        <f>IF($W103=CX$56,GY103*($Q103*$S103)/(1+Voorblad!$K$44)^(CX$56-Voorblad!$F$41),0)</f>
        <v>0</v>
      </c>
      <c r="CY103" s="9">
        <f>IF($W103=CY$56,GZ103*($Q103*$S103)/(1+Voorblad!$K$44)^(CY$56-Voorblad!$F$41),0)</f>
        <v>0</v>
      </c>
      <c r="CZ103" s="9">
        <f>IF($W103=CZ$56,HA103*($Q103*$S103)/(1+Voorblad!$K$44)^(CZ$56-Voorblad!$F$41),0)</f>
        <v>0</v>
      </c>
      <c r="DA103" s="9">
        <f>IF($W103=DA$56,HB103*($Q103*$S103)/(1+Voorblad!$K$44)^(DA$56-Voorblad!$F$41),0)</f>
        <v>0</v>
      </c>
      <c r="DB103" s="9">
        <f>IF($W103=DB$56,HC103*($Q103*$S103)/(1+Voorblad!$K$44)^(DB$56-Voorblad!$F$41),0)</f>
        <v>0</v>
      </c>
      <c r="DC103" s="9">
        <f>IF($W103=DC$56,HD103*($Q103*$S103)/(1+Voorblad!$K$44)^(DC$56-Voorblad!$F$41),0)</f>
        <v>0</v>
      </c>
      <c r="DD103" s="9">
        <f>IF($W103=DD$56,HE103*($Q103*$S103)/(1+Voorblad!$K$44)^(DD$56-Voorblad!$F$41),0)</f>
        <v>0</v>
      </c>
      <c r="DE103" s="9">
        <f>IF($W103=DE$56,HF103*($Q103*$S103)/(1+Voorblad!$K$44)^(DE$56-Voorblad!$F$41),0)</f>
        <v>0</v>
      </c>
      <c r="DF103" s="9">
        <f>IF($W103=DF$56,HG103*($Q103*$S103)/(1+Voorblad!$K$44)^(DF$56-Voorblad!$F$41),0)</f>
        <v>0</v>
      </c>
      <c r="DG103" s="9">
        <f>IF($W103=DG$56,HH103*($Q103*$S103)/(1+Voorblad!$K$44)^(DG$56-Voorblad!$F$41),0)</f>
        <v>0</v>
      </c>
      <c r="DH103" s="9">
        <f>IF($W103=DH$56,HI103*($Q103*$S103)/(1+Voorblad!$K$44)^(DH$56-Voorblad!$F$41),0)</f>
        <v>0</v>
      </c>
      <c r="DI103" s="9">
        <f>IF($W103=DI$56,HJ103*($Q103*$S103)/(1+Voorblad!$K$44)^(DI$56-Voorblad!$F$41),0)</f>
        <v>0</v>
      </c>
      <c r="DJ103" s="9">
        <f>IF($W103=DJ$56,HK103*($Q103*$S103)/(1+Voorblad!$K$44)^(DJ$56-Voorblad!$F$41),0)</f>
        <v>0</v>
      </c>
      <c r="DK103" s="9">
        <f>IF($W103=DK$56,HL103*($Q103*$S103)/(1+Voorblad!$K$44)^(DK$56-Voorblad!$F$41),0)</f>
        <v>0</v>
      </c>
      <c r="DL103" s="9">
        <f>IF($W103=DL$56,HM103*($Q103*$S103)/(1+Voorblad!$K$44)^(DL$56-Voorblad!$F$41),0)</f>
        <v>0</v>
      </c>
      <c r="DM103" s="9">
        <f>IF($W103=DM$56,HN103*($Q103*$S103)/(1+Voorblad!$K$44)^(DM$56-Voorblad!$F$41),0)</f>
        <v>0</v>
      </c>
      <c r="DN103" s="9">
        <f>IF($W103=DN$56,HO103*($Q103*$S103)/(1+Voorblad!$K$44)^(DN$56-Voorblad!$F$41),0)</f>
        <v>0</v>
      </c>
      <c r="DO103" s="9">
        <f>IF($W103=DO$56,HP103*($Q103*$S103)/(1+Voorblad!$K$44)^(DO$56-Voorblad!$F$41),0)</f>
        <v>0</v>
      </c>
      <c r="DP103" s="9">
        <f>IF($W103=DP$56,HQ103*($Q103*$S103)/(1+Voorblad!$K$44)^(DP$56-Voorblad!$F$41),0)</f>
        <v>0</v>
      </c>
      <c r="DQ103" s="9">
        <f>IF($W103=DQ$56,HR103*($Q103*$S103)/(1+Voorblad!$K$44)^(DQ$56-Voorblad!$F$41),0)</f>
        <v>0</v>
      </c>
      <c r="DR103" s="9">
        <f>IF($W103=DR$56,HS103*($Q103*$S103)/(1+Voorblad!$K$44)^(DR$56-Voorblad!$F$41),0)</f>
        <v>0</v>
      </c>
      <c r="DS103" s="9">
        <f>IF($W103=DS$56,HT103*($Q103*$S103)/(1+Voorblad!$K$44)^(DS$56-Voorblad!$F$41),0)</f>
        <v>0</v>
      </c>
      <c r="DT103" s="9">
        <f>IF($W103=DT$56,HU103*($Q103*$S103)/(1+Voorblad!$K$44)^(DT$56-Voorblad!$F$41),0)</f>
        <v>0</v>
      </c>
      <c r="DU103" s="9">
        <f>IF($W103=DU$56,HV103*($Q103*$S103)/(1+Voorblad!$K$44)^(DU$56-Voorblad!$F$41),0)</f>
        <v>0</v>
      </c>
      <c r="DV103" s="9">
        <f>IF($W103=DV$56,HW103*($Q103*$S103)/(1+Voorblad!$K$44)^(DV$56-Voorblad!$F$41),0)</f>
        <v>0</v>
      </c>
      <c r="DW103" s="9">
        <f>IF($W103=DW$56,HX103*($Q103*$S103)/(1+Voorblad!$K$44)^(DW$56-Voorblad!$F$41),0)</f>
        <v>0</v>
      </c>
      <c r="DX103" s="9">
        <f>IF($W103=DX$56,HY103*($Q103*$S103)/(1+Voorblad!$K$44)^(DX$56-Voorblad!$F$41),0)</f>
        <v>0</v>
      </c>
      <c r="DY103" s="9">
        <f>IF($W103=DY$56,HZ103*($Q103*$S103)/(1+Voorblad!$K$44)^(DY$56-Voorblad!$F$41),0)</f>
        <v>0</v>
      </c>
      <c r="DZ103" s="9">
        <f>IF($W103=DZ$56,IA103*($Q103*$S103)/(1+Voorblad!$K$44)^(DZ$56-Voorblad!$F$41),0)</f>
        <v>0</v>
      </c>
      <c r="EA103" s="9">
        <f>IF($W103=EA$56,IB103*($Q103*$S103)/(1+Voorblad!$K$44)^(EA$56-Voorblad!$F$41),0)</f>
        <v>0</v>
      </c>
      <c r="EB103" s="9">
        <f>IF($W103=EB$56,IC103*($Q103*$S103)/(1+Voorblad!$K$44)^(EB$56-Voorblad!$F$41),0)</f>
        <v>0</v>
      </c>
      <c r="EE103" s="8">
        <v>0</v>
      </c>
      <c r="EF103" s="8">
        <f>IF(EF$56-Voorblad!$F$41&gt;Voorblad!$K$41,0,IF($U103=0,0,IF($U103&lt;1,1/$U103,IF((EF$56-Voorblad!$F$41)/$U103-SUM($EE103:EE103)=1,1,0))))</f>
        <v>0</v>
      </c>
      <c r="EG103" s="8">
        <f>IF(EG$56-Voorblad!$F$41&gt;Voorblad!$K$41,0,IF($U103=0,0,IF($U103&lt;1,1/$U103,IF((EG$56-Voorblad!$F$41)/$U103-SUM($EE103:EF103)=1,1,0))))</f>
        <v>1</v>
      </c>
      <c r="EH103" s="8">
        <f>IF(EH$56-Voorblad!$F$41&gt;Voorblad!$K$41,0,IF($U103=0,0,IF($U103&lt;1,1/$U103,IF((EH$56-Voorblad!$F$41)/$U103-SUM($EE103:EG103)=1,1,0))))</f>
        <v>1</v>
      </c>
      <c r="EI103" s="8">
        <f>IF(EI$56-Voorblad!$F$41&gt;Voorblad!$K$41,0,IF($U103=0,0,IF($U103&lt;1,1/$U103,IF((EI$56-Voorblad!$F$41)/$U103-SUM($EE103:EH103)=1,1,0))))</f>
        <v>1</v>
      </c>
      <c r="EJ103" s="8">
        <f>IF(EJ$56-Voorblad!$F$41&gt;Voorblad!$K$41,0,IF($U103=0,0,IF($U103&lt;1,1/$U103,IF((EJ$56-Voorblad!$F$41)/$U103-SUM($EE103:EI103)=1,1,0))))</f>
        <v>1</v>
      </c>
      <c r="EK103" s="8">
        <f>IF(EK$56-Voorblad!$F$41&gt;Voorblad!$K$41,0,IF($U103=0,0,IF($U103&lt;1,1/$U103,IF((EK$56-Voorblad!$F$41)/$U103-SUM($EE103:EJ103)=1,1,0))))</f>
        <v>1</v>
      </c>
      <c r="EL103" s="8">
        <f>IF(EL$56-Voorblad!$F$41&gt;Voorblad!$K$41,0,IF($U103=0,0,IF($U103&lt;1,1/$U103,IF((EL$56-Voorblad!$F$41)/$U103-SUM($EE103:EK103)=1,1,0))))</f>
        <v>1</v>
      </c>
      <c r="EM103" s="8">
        <f>IF(EM$56-Voorblad!$F$41&gt;Voorblad!$K$41,0,IF($U103=0,0,IF($U103&lt;1,1/$U103,IF((EM$56-Voorblad!$F$41)/$U103-SUM($EE103:EL103)=1,1,0))))</f>
        <v>1</v>
      </c>
      <c r="EN103" s="8">
        <f>IF(EN$56-Voorblad!$F$41&gt;Voorblad!$K$41,0,IF($U103=0,0,IF($U103&lt;1,1/$U103,IF((EN$56-Voorblad!$F$41)/$U103-SUM($EE103:EM103)=1,1,0))))</f>
        <v>1</v>
      </c>
      <c r="EO103" s="8">
        <f>IF(EO$56-Voorblad!$F$41&gt;Voorblad!$K$41,0,IF($U103=0,0,IF($U103&lt;1,1/$U103,IF((EO$56-Voorblad!$F$41)/$U103-SUM($EE103:EN103)=1,1,0))))</f>
        <v>1</v>
      </c>
      <c r="EP103" s="8">
        <f>IF(EP$56-Voorblad!$F$41&gt;Voorblad!$K$41,0,IF($U103=0,0,IF($U103&lt;1,1/$U103,IF((EP$56-Voorblad!$F$41)/$U103-SUM($EE103:EO103)=1,1,0))))</f>
        <v>1</v>
      </c>
      <c r="EQ103" s="8">
        <f>IF(EQ$56-Voorblad!$F$41&gt;Voorblad!$K$41,0,IF($U103=0,0,IF($U103&lt;1,1/$U103,IF((EQ$56-Voorblad!$F$41)/$U103-SUM($EE103:EP103)=1,1,0))))</f>
        <v>1</v>
      </c>
      <c r="ER103" s="8">
        <f>IF(ER$56-Voorblad!$F$41&gt;Voorblad!$K$41,0,IF($U103=0,0,IF($U103&lt;1,1/$U103,IF((ER$56-Voorblad!$F$41)/$U103-SUM($EE103:EQ103)=1,1,0))))</f>
        <v>1</v>
      </c>
      <c r="ES103" s="8">
        <f>IF(ES$56-Voorblad!$F$41&gt;Voorblad!$K$41,0,IF($U103=0,0,IF($U103&lt;1,1/$U103,IF((ES$56-Voorblad!$F$41)/$U103-SUM($EE103:ER103)=1,1,0))))</f>
        <v>1</v>
      </c>
      <c r="ET103" s="8">
        <f>IF(ET$56-Voorblad!$F$41&gt;Voorblad!$K$41,0,IF($U103=0,0,IF($U103&lt;1,1/$U103,IF((ET$56-Voorblad!$F$41)/$U103-SUM($EE103:ES103)=1,1,0))))</f>
        <v>1</v>
      </c>
      <c r="EU103" s="8">
        <f>IF(EU$56-Voorblad!$F$41&gt;Voorblad!$K$41,0,IF($U103=0,0,IF($U103&lt;1,1/$U103,IF((EU$56-Voorblad!$F$41)/$U103-SUM($EE103:ET103)=1,1,0))))</f>
        <v>1</v>
      </c>
      <c r="EV103" s="8">
        <f>IF(EV$56-Voorblad!$F$41&gt;Voorblad!$K$41,0,IF($U103=0,0,IF($U103&lt;1,1/$U103,IF((EV$56-Voorblad!$F$41)/$U103-SUM($EE103:EU103)=1,1,0))))</f>
        <v>1</v>
      </c>
      <c r="EW103" s="8">
        <f>IF(EW$56-Voorblad!$F$41&gt;Voorblad!$K$41,0,IF($U103=0,0,IF($U103&lt;1,1/$U103,IF((EW$56-Voorblad!$F$41)/$U103-SUM($EE103:EV103)=1,1,0))))</f>
        <v>1</v>
      </c>
      <c r="EX103" s="8">
        <f>IF(EX$56-Voorblad!$F$41&gt;Voorblad!$K$41,0,IF($U103=0,0,IF($U103&lt;1,1/$U103,IF((EX$56-Voorblad!$F$41)/$U103-SUM($EE103:EW103)=1,1,0))))</f>
        <v>1</v>
      </c>
      <c r="EY103" s="8">
        <f>IF(EY$56-Voorblad!$F$41&gt;Voorblad!$K$41,0,IF($U103=0,0,IF($U103&lt;1,1/$U103,IF((EY$56-Voorblad!$F$41)/$U103-SUM($EE103:EX103)=1,1,0))))</f>
        <v>1</v>
      </c>
      <c r="EZ103" s="8">
        <f>IF(EZ$56-Voorblad!$F$41&gt;Voorblad!$K$41,0,IF($U103=0,0,IF($U103&lt;1,1/$U103,IF((EZ$56-Voorblad!$F$41)/$U103-SUM($EE103:EY103)=1,1,0))))</f>
        <v>1</v>
      </c>
      <c r="FA103" s="8">
        <f>IF(FA$56-Voorblad!$F$41&gt;Voorblad!$K$41,0,IF($U103=0,0,IF($U103&lt;1,1/$U103,IF((FA$56-Voorblad!$F$41)/$U103-SUM($EE103:EZ103)=1,1,0))))</f>
        <v>1</v>
      </c>
      <c r="FB103" s="8">
        <f>IF(FB$56-Voorblad!$F$41&gt;Voorblad!$K$41,0,IF($U103=0,0,IF($U103&lt;1,1/$U103,IF((FB$56-Voorblad!$F$41)/$U103-SUM($EE103:FA103)=1,1,0))))</f>
        <v>1</v>
      </c>
      <c r="FC103" s="8">
        <f>IF(FC$56-Voorblad!$F$41&gt;Voorblad!$K$41,0,IF($U103=0,0,IF($U103&lt;1,1/$U103,IF((FC$56-Voorblad!$F$41)/$U103-SUM($EE103:FB103)=1,1,0))))</f>
        <v>1</v>
      </c>
      <c r="FD103" s="8">
        <f>IF(FD$56-Voorblad!$F$41&gt;Voorblad!$K$41,0,IF($U103=0,0,IF($U103&lt;1,1/$U103,IF((FD$56-Voorblad!$F$41)/$U103-SUM($EE103:FC103)=1,1,0))))</f>
        <v>1</v>
      </c>
      <c r="FE103" s="8">
        <f>IF(FE$56-Voorblad!$F$41&gt;Voorblad!$K$41,0,IF($U103=0,0,IF($U103&lt;1,1/$U103,IF((FE$56-Voorblad!$F$41)/$U103-SUM($EE103:FD103)=1,1,0))))</f>
        <v>1</v>
      </c>
      <c r="FF103" s="8">
        <f>IF(FF$56-Voorblad!$F$41&gt;Voorblad!$K$41,0,IF($U103=0,0,IF($U103&lt;1,1/$U103,IF((FF$56-Voorblad!$F$41)/$U103-SUM($EE103:FE103)=1,1,0))))</f>
        <v>1</v>
      </c>
      <c r="FG103" s="8">
        <f>IF(FG$56-Voorblad!$F$41&gt;Voorblad!$K$41,0,IF($U103=0,0,IF($U103&lt;1,1/$U103,IF((FG$56-Voorblad!$F$41)/$U103-SUM($EE103:FF103)=1,1,0))))</f>
        <v>1</v>
      </c>
      <c r="FH103" s="8">
        <f>IF(FH$56-Voorblad!$F$41&gt;Voorblad!$K$41,0,IF($U103=0,0,IF($U103&lt;1,1/$U103,IF((FH$56-Voorblad!$F$41)/$U103-SUM($EE103:FG103)=1,1,0))))</f>
        <v>1</v>
      </c>
      <c r="FI103" s="8">
        <f>IF(FI$56-Voorblad!$F$41&gt;Voorblad!$K$41,0,IF($U103=0,0,IF($U103&lt;1,1/$U103,IF((FI$56-Voorblad!$F$41)/$U103-SUM($EE103:FH103)=1,1,0))))</f>
        <v>1</v>
      </c>
      <c r="FJ103" s="8">
        <f>IF(FJ$56-Voorblad!$F$41&gt;Voorblad!$K$41,0,IF($U103=0,0,IF($U103&lt;1,1/$U103,IF((FJ$56-Voorblad!$F$41)/$U103-SUM($EE103:FI103)=1,1,0))))</f>
        <v>1</v>
      </c>
      <c r="FK103" s="8">
        <f>IF(FK$56-Voorblad!$F$41&gt;Voorblad!$K$41,0,IF($U103=0,0,IF($U103&lt;1,1/$U103,IF((FK$56-Voorblad!$F$41)/$U103-SUM($EE103:FJ103)=1,1,0))))</f>
        <v>1</v>
      </c>
      <c r="FL103" s="8">
        <f>IF(FL$56-Voorblad!$F$41&gt;Voorblad!$K$41,0,IF($U103=0,0,IF($U103&lt;1,1/$U103,IF((FL$56-Voorblad!$F$41)/$U103-SUM($EE103:FK103)=1,1,0))))</f>
        <v>1</v>
      </c>
      <c r="FM103" s="8">
        <f>IF(FM$56-Voorblad!$F$41&gt;Voorblad!$K$41,0,IF($U103=0,0,IF($U103&lt;1,1/$U103,IF((FM$56-Voorblad!$F$41)/$U103-SUM($EE103:FL103)=1,1,0))))</f>
        <v>1</v>
      </c>
      <c r="FN103" s="8">
        <f>IF(FN$56-Voorblad!$F$41&gt;Voorblad!$K$41,0,IF($U103=0,0,IF($U103&lt;1,1/$U103,IF((FN$56-Voorblad!$F$41)/$U103-SUM($EE103:FM103)=1,1,0))))</f>
        <v>1</v>
      </c>
      <c r="FO103" s="8">
        <f>IF(FO$56-Voorblad!$F$41&gt;Voorblad!$K$41,0,IF($U103=0,0,IF($U103&lt;1,1/$U103,IF((FO$56-Voorblad!$F$41)/$U103-SUM($EE103:FN103)=1,1,0))))</f>
        <v>1</v>
      </c>
      <c r="FP103" s="8">
        <f>IF(FP$56-Voorblad!$F$41&gt;Voorblad!$K$41,0,IF($U103=0,0,IF($U103&lt;1,1/$U103,IF((FP$56-Voorblad!$F$41)/$U103-SUM($EE103:FO103)=1,1,0))))</f>
        <v>1</v>
      </c>
      <c r="FQ103" s="8">
        <f>IF(FQ$56-Voorblad!$F$41&gt;Voorblad!$K$41,0,IF($U103=0,0,IF($U103&lt;1,1/$U103,IF((FQ$56-Voorblad!$F$41)/$U103-SUM($EE103:FP103)=1,1,0))))</f>
        <v>1</v>
      </c>
      <c r="FR103" s="8">
        <f>IF(FR$56-Voorblad!$F$41&gt;Voorblad!$K$41,0,IF($U103=0,0,IF($U103&lt;1,1/$U103,IF((FR$56-Voorblad!$F$41)/$U103-SUM($EE103:FQ103)=1,1,0))))</f>
        <v>1</v>
      </c>
      <c r="FS103" s="8">
        <f>IF(FS$56-Voorblad!$F$41&gt;Voorblad!$K$41,0,IF($U103=0,0,IF($U103&lt;1,1/$U103,IF((FS$56-Voorblad!$F$41)/$U103-SUM($EE103:FR103)=1,1,0))))</f>
        <v>1</v>
      </c>
      <c r="FT103" s="8">
        <f>IF(FT$56-Voorblad!$F$41&gt;Voorblad!$K$41,0,IF($U103=0,0,IF($U103&lt;1,1/$U103,IF((FT$56-Voorblad!$F$41)/$U103-SUM($EE103:FS103)=1,1,0))))</f>
        <v>1</v>
      </c>
      <c r="FU103" s="8">
        <f>IF(FU$56-Voorblad!$F$41&gt;Voorblad!$K$41,0,IF($U103=0,0,IF($U103&lt;1,1/$U103,IF((FU$56-Voorblad!$F$41)/$U103-SUM($EE103:FT103)=1,1,0))))</f>
        <v>1</v>
      </c>
      <c r="FV103" s="8">
        <f>IF(FV$56-Voorblad!$F$41&gt;Voorblad!$K$41,0,IF($U103=0,0,IF($U103&lt;1,1/$U103,IF((FV$56-Voorblad!$F$41)/$U103-SUM($EE103:FU103)=1,1,0))))</f>
        <v>1</v>
      </c>
      <c r="FW103" s="8">
        <f>IF(FW$56-Voorblad!$F$41&gt;Voorblad!$K$41,0,IF($U103=0,0,IF($U103&lt;1,1/$U103,IF((FW$56-Voorblad!$F$41)/$U103-SUM($EE103:FV103)=1,1,0))))</f>
        <v>1</v>
      </c>
      <c r="FX103" s="8">
        <f>IF(FX$56-Voorblad!$F$41&gt;Voorblad!$K$41,0,IF($U103=0,0,IF($U103&lt;1,1/$U103,IF((FX$56-Voorblad!$F$41)/$U103-SUM($EE103:FW103)=1,1,0))))</f>
        <v>1</v>
      </c>
      <c r="FY103" s="8">
        <f>IF(FY$56-Voorblad!$F$41&gt;Voorblad!$K$41,0,IF($U103=0,0,IF($U103&lt;1,1/$U103,IF((FY$56-Voorblad!$F$41)/$U103-SUM($EE103:FX103)=1,1,0))))</f>
        <v>1</v>
      </c>
      <c r="FZ103" s="8">
        <f>IF(FZ$56-Voorblad!$F$41&gt;Voorblad!$K$41,0,IF($U103=0,0,IF($U103&lt;1,1/$U103,IF((FZ$56-Voorblad!$F$41)/$U103-SUM($EE103:FY103)=1,1,0))))</f>
        <v>1</v>
      </c>
      <c r="GA103" s="8">
        <f>IF(GA$56-Voorblad!$F$41&gt;Voorblad!$K$41,0,IF($U103=0,0,IF($U103&lt;1,1/$U103,IF((GA$56-Voorblad!$F$41)/$U103-SUM($EE103:FZ103)=1,1,0))))</f>
        <v>1</v>
      </c>
      <c r="GB103" s="8">
        <f>IF(GB$56-Voorblad!$F$41&gt;Voorblad!$K$41,0,IF($U103=0,0,IF($U103&lt;1,1/$U103,IF((GB$56-Voorblad!$F$41)/$U103-SUM($EE103:GA103)=1,1,0))))</f>
        <v>1</v>
      </c>
      <c r="GC103" s="8">
        <f>IF(GC$56-Voorblad!$F$41&gt;Voorblad!$K$41,0,IF($U103=0,0,IF($U103&lt;1,1/$U103,IF((GC$56-Voorblad!$F$41)/$U103-SUM($EE103:GB103)=1,1,0))))</f>
        <v>1</v>
      </c>
      <c r="GD103" s="8">
        <f>IF(GD$56-Voorblad!$F$41&gt;Voorblad!$K$41,0,IF($U103=0,0,IF($U103&lt;1,1/$U103,IF((GD$56-Voorblad!$F$41)/$U103-SUM($EE103:GC103)=1,1,0))))</f>
        <v>1</v>
      </c>
      <c r="GE103" s="8">
        <f>IF(GE$56-Voorblad!$F$41&gt;Voorblad!$K$41,0,IF($U103=0,0,IF($U103&lt;1,1/$U103,IF((GE$56-Voorblad!$F$41)/$U103-SUM($EE103:GD103)=1,1,0))))</f>
        <v>1</v>
      </c>
      <c r="GF103" s="8">
        <f>IF(GF$56-Voorblad!$F$41&gt;Voorblad!$K$41,0,IF($U103=0,0,IF($U103&lt;1,1/$U103,IF((GF$56-Voorblad!$F$41)/$U103-SUM($EE103:GE103)=1,1,0))))</f>
        <v>1</v>
      </c>
      <c r="GG103" s="8">
        <f>IF(GG$56-Voorblad!$F$41&gt;Voorblad!$K$41,0,IF($U103=0,0,IF($U103&lt;1,1/$U103,IF((GG$56-Voorblad!$F$41)/$U103-SUM($EE103:GF103)=1,1,0))))</f>
        <v>1</v>
      </c>
      <c r="GH103" s="8">
        <f>IF(GH$56-Voorblad!$F$41&gt;Voorblad!$K$41,0,IF($U103=0,0,IF($U103&lt;1,1/$U103,IF((GH$56-Voorblad!$F$41)/$U103-SUM($EE103:GG103)=1,1,0))))</f>
        <v>1</v>
      </c>
      <c r="GI103" s="8">
        <f>IF(GI$56-Voorblad!$F$41&gt;Voorblad!$K$41,0,IF($U103=0,0,IF($U103&lt;1,1/$U103,IF((GI$56-Voorblad!$F$41)/$U103-SUM($EE103:GH103)=1,1,0))))</f>
        <v>1</v>
      </c>
      <c r="GJ103" s="8">
        <f>IF(GJ$56-Voorblad!$F$41&gt;Voorblad!$K$41,0,IF($U103=0,0,IF($U103&lt;1,1/$U103,IF((GJ$56-Voorblad!$F$41)/$U103-SUM($EE103:GI103)=1,1,0))))</f>
        <v>1</v>
      </c>
      <c r="GK103" s="8">
        <f>IF(GK$56-Voorblad!$F$41&gt;Voorblad!$K$41,0,IF($U103=0,0,IF($U103&lt;1,1/$U103,IF((GK$56-Voorblad!$F$41)/$U103-SUM($EE103:GJ103)=1,1,0))))</f>
        <v>1</v>
      </c>
      <c r="GL103" s="8">
        <f>IF(GL$56-Voorblad!$F$41&gt;Voorblad!$K$41,0,IF($U103=0,0,IF($U103&lt;1,1/$U103,IF((GL$56-Voorblad!$F$41)/$U103-SUM($EE103:GK103)=1,1,0))))</f>
        <v>1</v>
      </c>
      <c r="GM103" s="8">
        <f>IF(GM$56-Voorblad!$F$41&gt;Voorblad!$K$41,0,IF($U103=0,0,IF($U103&lt;1,1/$U103,IF((GM$56-Voorblad!$F$41)/$U103-SUM($EE103:GL103)=1,1,0))))</f>
        <v>1</v>
      </c>
      <c r="GN103" s="8">
        <f>IF(GN$56-Voorblad!$F$41&gt;Voorblad!$K$41,0,IF($U103=0,0,IF($U103&lt;1,1/$U103,IF((GN$56-Voorblad!$F$41)/$U103-SUM($EE103:GM103)=1,1,0))))</f>
        <v>1</v>
      </c>
      <c r="GO103" s="8">
        <f>IF(GO$56-Voorblad!$F$41&gt;Voorblad!$K$41,0,IF($U103=0,0,IF($U103&lt;1,1/$U103,IF((GO$56-Voorblad!$F$41)/$U103-SUM($EE103:GN103)=1,1,0))))</f>
        <v>1</v>
      </c>
      <c r="GP103" s="8">
        <f>IF(GP$56-Voorblad!$F$41&gt;Voorblad!$K$41,0,IF($U103=0,0,IF($U103&lt;1,1/$U103,IF((GP$56-Voorblad!$F$41)/$U103-SUM($EE103:GO103)=1,1,0))))</f>
        <v>1</v>
      </c>
      <c r="GQ103" s="8">
        <f>IF(GQ$56-Voorblad!$F$41&gt;Voorblad!$K$41,0,IF($U103=0,0,IF($U103&lt;1,1/$U103,IF((GQ$56-Voorblad!$F$41)/$U103-SUM($EE103:GP103)=1,1,0))))</f>
        <v>1</v>
      </c>
      <c r="GR103" s="8">
        <f>IF(GR$56-Voorblad!$F$41&gt;Voorblad!$K$41,0,IF($U103=0,0,IF($U103&lt;1,1/$U103,IF((GR$56-Voorblad!$F$41)/$U103-SUM($EE103:GQ103)=1,1,0))))</f>
        <v>1</v>
      </c>
      <c r="GS103" s="8">
        <f>IF(GS$56-Voorblad!$F$41&gt;Voorblad!$K$41,0,IF($U103=0,0,IF($U103&lt;1,1/$U103,IF((GS$56-Voorblad!$F$41)/$U103-SUM($EE103:GR103)=1,1,0))))</f>
        <v>1</v>
      </c>
      <c r="GT103" s="8">
        <f>IF(GT$56-Voorblad!$F$41&gt;Voorblad!$K$41,0,IF($U103=0,0,IF($U103&lt;1,1/$U103,IF((GT$56-Voorblad!$F$41)/$U103-SUM($EE103:GS103)=1,1,0))))</f>
        <v>1</v>
      </c>
      <c r="GU103" s="8">
        <f>IF(GU$56-Voorblad!$F$41&gt;Voorblad!$K$41,0,IF($U103=0,0,IF($U103&lt;1,1/$U103,IF((GU$56-Voorblad!$F$41)/$U103-SUM($EE103:GT103)=1,1,0))))</f>
        <v>1</v>
      </c>
      <c r="GV103" s="8">
        <f>IF(GV$56-Voorblad!$F$41&gt;Voorblad!$K$41,0,IF($U103=0,0,IF($U103&lt;1,1/$U103,IF((GV$56-Voorblad!$F$41)/$U103-SUM($EE103:GU103)=1,1,0))))</f>
        <v>1</v>
      </c>
      <c r="GW103" s="8">
        <f>IF(GW$56-Voorblad!$F$41&gt;Voorblad!$K$41,0,IF($U103=0,0,IF($U103&lt;1,1/$U103,IF((GW$56-Voorblad!$F$41)/$U103-SUM($EE103:GV103)=1,1,0))))</f>
        <v>1</v>
      </c>
      <c r="GX103" s="8">
        <f>IF(GX$56-Voorblad!$F$41&gt;Voorblad!$K$41,0,IF($U103=0,0,IF($U103&lt;1,1/$U103,IF((GX$56-Voorblad!$F$41)/$U103-SUM($EE103:GW103)=1,1,0))))</f>
        <v>1</v>
      </c>
      <c r="GY103" s="8">
        <f>IF(GY$56-Voorblad!$F$41&gt;Voorblad!$K$41,0,IF($U103=0,0,IF($U103&lt;1,1/$U103,IF((GY$56-Voorblad!$F$41)/$U103-SUM($EE103:GX103)=1,1,0))))</f>
        <v>1</v>
      </c>
      <c r="GZ103" s="8">
        <f>IF(GZ$56-Voorblad!$F$41&gt;Voorblad!$K$41,0,IF($U103=0,0,IF($U103&lt;1,1/$U103,IF((GZ$56-Voorblad!$F$41)/$U103-SUM($EE103:GY103)=1,1,0))))</f>
        <v>1</v>
      </c>
      <c r="HA103" s="8">
        <f>IF(HA$56-Voorblad!$F$41&gt;Voorblad!$K$41,0,IF($U103=0,0,IF($U103&lt;1,1/$U103,IF((HA$56-Voorblad!$F$41)/$U103-SUM($EE103:GZ103)=1,1,0))))</f>
        <v>1</v>
      </c>
      <c r="HB103" s="8">
        <f>IF(HB$56-Voorblad!$F$41&gt;Voorblad!$K$41,0,IF($U103=0,0,IF($U103&lt;1,1/$U103,IF((HB$56-Voorblad!$F$41)/$U103-SUM($EE103:HA103)=1,1,0))))</f>
        <v>0</v>
      </c>
      <c r="HC103" s="8">
        <f>IF(HC$56-Voorblad!$F$41&gt;Voorblad!$K$41,0,IF($U103=0,0,IF($U103&lt;1,1/$U103,IF((HC$56-Voorblad!$F$41)/$U103-SUM($EE103:HB103)=1,1,0))))</f>
        <v>0</v>
      </c>
      <c r="HD103" s="8">
        <f>IF(HD$56-Voorblad!$F$41&gt;Voorblad!$K$41,0,IF($U103=0,0,IF($U103&lt;1,1/$U103,IF((HD$56-Voorblad!$F$41)/$U103-SUM($EE103:HC103)=1,1,0))))</f>
        <v>0</v>
      </c>
      <c r="HE103" s="8">
        <f>IF(HE$56-Voorblad!$F$41&gt;Voorblad!$K$41,0,IF($U103=0,0,IF($U103&lt;1,1/$U103,IF((HE$56-Voorblad!$F$41)/$U103-SUM($EE103:HD103)=1,1,0))))</f>
        <v>0</v>
      </c>
      <c r="HF103" s="8">
        <f>IF(HF$56-Voorblad!$F$41&gt;Voorblad!$K$41,0,IF($U103=0,0,IF($U103&lt;1,1/$U103,IF((HF$56-Voorblad!$F$41)/$U103-SUM($EE103:HE103)=1,1,0))))</f>
        <v>0</v>
      </c>
      <c r="HG103" s="8">
        <f>IF(HG$56-Voorblad!$F$41&gt;Voorblad!$K$41,0,IF($U103=0,0,IF($U103&lt;1,1/$U103,IF((HG$56-Voorblad!$F$41)/$U103-SUM($EE103:HF103)=1,1,0))))</f>
        <v>0</v>
      </c>
      <c r="HH103" s="8">
        <f>IF(HH$56-Voorblad!$F$41&gt;Voorblad!$K$41,0,IF($U103=0,0,IF($U103&lt;1,1/$U103,IF((HH$56-Voorblad!$F$41)/$U103-SUM($EE103:HG103)=1,1,0))))</f>
        <v>0</v>
      </c>
      <c r="HI103" s="8">
        <f>IF(HI$56-Voorblad!$F$41&gt;Voorblad!$K$41,0,IF($U103=0,0,IF($U103&lt;1,1/$U103,IF((HI$56-Voorblad!$F$41)/$U103-SUM($EE103:HH103)=1,1,0))))</f>
        <v>0</v>
      </c>
      <c r="HJ103" s="8">
        <f>IF(HJ$56-Voorblad!$F$41&gt;Voorblad!$K$41,0,IF($U103=0,0,IF($U103&lt;1,1/$U103,IF((HJ$56-Voorblad!$F$41)/$U103-SUM($EE103:HI103)=1,1,0))))</f>
        <v>0</v>
      </c>
      <c r="HK103" s="8">
        <f>IF(HK$56-Voorblad!$F$41&gt;Voorblad!$K$41,0,IF($U103=0,0,IF($U103&lt;1,1/$U103,IF((HK$56-Voorblad!$F$41)/$U103-SUM($EE103:HJ103)=1,1,0))))</f>
        <v>0</v>
      </c>
      <c r="HL103" s="8">
        <f>IF(HL$56-Voorblad!$F$41&gt;Voorblad!$K$41,0,IF($U103=0,0,IF($U103&lt;1,1/$U103,IF((HL$56-Voorblad!$F$41)/$U103-SUM($EE103:HK103)=1,1,0))))</f>
        <v>0</v>
      </c>
      <c r="HM103" s="8">
        <f>IF(HM$56-Voorblad!$F$41&gt;Voorblad!$K$41,0,IF($U103=0,0,IF($U103&lt;1,1/$U103,IF((HM$56-Voorblad!$F$41)/$U103-SUM($EE103:HL103)=1,1,0))))</f>
        <v>0</v>
      </c>
      <c r="HN103" s="8">
        <f>IF(HN$56-Voorblad!$F$41&gt;Voorblad!$K$41,0,IF($U103=0,0,IF($U103&lt;1,1/$U103,IF((HN$56-Voorblad!$F$41)/$U103-SUM($EE103:HM103)=1,1,0))))</f>
        <v>0</v>
      </c>
      <c r="HO103" s="8">
        <f>IF(HO$56-Voorblad!$F$41&gt;Voorblad!$K$41,0,IF($U103=0,0,IF($U103&lt;1,1/$U103,IF((HO$56-Voorblad!$F$41)/$U103-SUM($EE103:HN103)=1,1,0))))</f>
        <v>0</v>
      </c>
      <c r="HP103" s="8">
        <f>IF(HP$56-Voorblad!$F$41&gt;Voorblad!$K$41,0,IF($U103=0,0,IF($U103&lt;1,1/$U103,IF((HP$56-Voorblad!$F$41)/$U103-SUM($EE103:HO103)=1,1,0))))</f>
        <v>0</v>
      </c>
      <c r="HQ103" s="8">
        <f>IF(HQ$56-Voorblad!$F$41&gt;Voorblad!$K$41,0,IF($U103=0,0,IF($U103&lt;1,1/$U103,IF((HQ$56-Voorblad!$F$41)/$U103-SUM($EE103:HP103)=1,1,0))))</f>
        <v>0</v>
      </c>
      <c r="HR103" s="8">
        <f>IF(HR$56-Voorblad!$F$41&gt;Voorblad!$K$41,0,IF($U103=0,0,IF($U103&lt;1,1/$U103,IF((HR$56-Voorblad!$F$41)/$U103-SUM($EE103:HQ103)=1,1,0))))</f>
        <v>0</v>
      </c>
      <c r="HS103" s="8">
        <f>IF(HS$56-Voorblad!$F$41&gt;Voorblad!$K$41,0,IF($U103=0,0,IF($U103&lt;1,1/$U103,IF((HS$56-Voorblad!$F$41)/$U103-SUM($EE103:HR103)=1,1,0))))</f>
        <v>0</v>
      </c>
      <c r="HT103" s="8">
        <f>IF(HT$56-Voorblad!$F$41&gt;Voorblad!$K$41,0,IF($U103=0,0,IF($U103&lt;1,1/$U103,IF((HT$56-Voorblad!$F$41)/$U103-SUM($EE103:HS103)=1,1,0))))</f>
        <v>0</v>
      </c>
      <c r="HU103" s="8">
        <f>IF(HU$56-Voorblad!$F$41&gt;Voorblad!$K$41,0,IF($U103=0,0,IF($U103&lt;1,1/$U103,IF((HU$56-Voorblad!$F$41)/$U103-SUM($EE103:HT103)=1,1,0))))</f>
        <v>0</v>
      </c>
      <c r="HV103" s="8">
        <f>IF(HV$56-Voorblad!$F$41&gt;Voorblad!$K$41,0,IF($U103=0,0,IF($U103&lt;1,1/$U103,IF((HV$56-Voorblad!$F$41)/$U103-SUM($EE103:HU103)=1,1,0))))</f>
        <v>0</v>
      </c>
      <c r="HW103" s="8">
        <f>IF(HW$56-Voorblad!$F$41&gt;Voorblad!$K$41,0,IF($U103=0,0,IF($U103&lt;1,1/$U103,IF((HW$56-Voorblad!$F$41)/$U103-SUM($EE103:HV103)=1,1,0))))</f>
        <v>0</v>
      </c>
      <c r="HX103" s="8">
        <f>IF(HX$56-Voorblad!$F$41&gt;Voorblad!$K$41,0,IF($U103=0,0,IF($U103&lt;1,1/$U103,IF((HX$56-Voorblad!$F$41)/$U103-SUM($EE103:HW103)=1,1,0))))</f>
        <v>0</v>
      </c>
      <c r="HY103" s="8">
        <f>IF(HY$56-Voorblad!$F$41&gt;Voorblad!$K$41,0,IF($U103=0,0,IF($U103&lt;1,1/$U103,IF((HY$56-Voorblad!$F$41)/$U103-SUM($EE103:HX103)=1,1,0))))</f>
        <v>0</v>
      </c>
      <c r="HZ103" s="8">
        <f>IF(HZ$56-Voorblad!$F$41&gt;Voorblad!$K$41,0,IF($U103=0,0,IF($U103&lt;1,1/$U103,IF((HZ$56-Voorblad!$F$41)/$U103-SUM($EE103:HY103)=1,1,0))))</f>
        <v>0</v>
      </c>
      <c r="IA103" s="8">
        <f>IF(IA$56-Voorblad!$F$41&gt;Voorblad!$K$41,0,IF($U103=0,0,IF($U103&lt;1,1/$U103,IF((IA$56-Voorblad!$F$41)/$U103-SUM($EE103:HZ103)=1,1,0))))</f>
        <v>0</v>
      </c>
      <c r="IB103" s="8">
        <f>IF(IB$56-Voorblad!$F$41&gt;Voorblad!$K$41,0,IF($U103=0,0,IF($U103&lt;1,1/$U103,IF((IB$56-Voorblad!$F$41)/$U103-SUM($EE103:IA103)=1,1,0))))</f>
        <v>0</v>
      </c>
    </row>
    <row r="104" spans="2:236" hidden="1" outlineLevel="1" x14ac:dyDescent="0.25">
      <c r="B104" s="14">
        <v>1</v>
      </c>
      <c r="C104" s="14"/>
      <c r="F104" s="1" t="s">
        <v>58</v>
      </c>
      <c r="I104" s="1" t="s">
        <v>66</v>
      </c>
      <c r="K104" s="1" t="s">
        <v>89</v>
      </c>
      <c r="N104" s="3"/>
      <c r="O104" s="1" t="s">
        <v>101</v>
      </c>
      <c r="Q104" s="81">
        <v>0</v>
      </c>
      <c r="R104" s="1" t="s">
        <v>33</v>
      </c>
      <c r="S104" s="14">
        <f>7%*T97</f>
        <v>0</v>
      </c>
      <c r="T104" s="14">
        <f t="shared" si="19"/>
        <v>0</v>
      </c>
      <c r="U104" s="11">
        <v>1</v>
      </c>
      <c r="V104" s="14"/>
      <c r="W104" s="81">
        <v>0</v>
      </c>
      <c r="X104" s="6"/>
      <c r="Y104" s="9">
        <f t="shared" si="11"/>
        <v>0</v>
      </c>
      <c r="Z104" s="82"/>
      <c r="AA104" s="82"/>
      <c r="AC104" s="229">
        <f>$Y104*(Voorblad!$K$44*(1+Voorblad!$K$44)^Voorblad!$K$41)/((1+Voorblad!$K$44)^Voorblad!$K$41-1)</f>
        <v>0</v>
      </c>
      <c r="AE104" s="9">
        <f>IF($W104=AE$56,EF104*($Q104*$S104)/(1+Voorblad!$K$44)^(AE$56-Voorblad!$F$41),0)</f>
        <v>0</v>
      </c>
      <c r="AF104" s="9">
        <f>IF($W104=AF$56,EG104*($Q104*$S104)/(1+Voorblad!$K$44)^(AF$56-Voorblad!$F$41),0)</f>
        <v>0</v>
      </c>
      <c r="AG104" s="9">
        <f>IF($W104=AG$56,EH104*($Q104*$S104)/(1+Voorblad!$K$44)^(AG$56-Voorblad!$F$41),0)</f>
        <v>0</v>
      </c>
      <c r="AH104" s="9">
        <f>IF($W104=AH$56,EI104*($Q104*$S104)/(1+Voorblad!$K$44)^(AH$56-Voorblad!$F$41),0)</f>
        <v>0</v>
      </c>
      <c r="AI104" s="9">
        <f>IF($W104=AI$56,EJ104*($Q104*$S104)/(1+Voorblad!$K$44)^(AI$56-Voorblad!$F$41),0)</f>
        <v>0</v>
      </c>
      <c r="AJ104" s="9">
        <f>IF($W104=AJ$56,EK104*($Q104*$S104)/(1+Voorblad!$K$44)^(AJ$56-Voorblad!$F$41),0)</f>
        <v>0</v>
      </c>
      <c r="AK104" s="9">
        <f>IF($W104=AK$56,EL104*($Q104*$S104)/(1+Voorblad!$K$44)^(AK$56-Voorblad!$F$41),0)</f>
        <v>0</v>
      </c>
      <c r="AL104" s="9">
        <f>IF($W104=AL$56,EM104*($Q104*$S104)/(1+Voorblad!$K$44)^(AL$56-Voorblad!$F$41),0)</f>
        <v>0</v>
      </c>
      <c r="AM104" s="9">
        <f>IF($W104=AM$56,EN104*($Q104*$S104)/(1+Voorblad!$K$44)^(AM$56-Voorblad!$F$41),0)</f>
        <v>0</v>
      </c>
      <c r="AN104" s="9">
        <f>IF($W104=AN$56,EO104*($Q104*$S104)/(1+Voorblad!$K$44)^(AN$56-Voorblad!$F$41),0)</f>
        <v>0</v>
      </c>
      <c r="AO104" s="9">
        <f>IF($W104=AO$56,EP104*($Q104*$S104)/(1+Voorblad!$K$44)^(AO$56-Voorblad!$F$41),0)</f>
        <v>0</v>
      </c>
      <c r="AP104" s="9">
        <f>IF($W104=AP$56,EQ104*($Q104*$S104)/(1+Voorblad!$K$44)^(AP$56-Voorblad!$F$41),0)</f>
        <v>0</v>
      </c>
      <c r="AQ104" s="9">
        <f>IF($W104=AQ$56,ER104*($Q104*$S104)/(1+Voorblad!$K$44)^(AQ$56-Voorblad!$F$41),0)</f>
        <v>0</v>
      </c>
      <c r="AR104" s="9">
        <f>IF($W104=AR$56,ES104*($Q104*$S104)/(1+Voorblad!$K$44)^(AR$56-Voorblad!$F$41),0)</f>
        <v>0</v>
      </c>
      <c r="AS104" s="9">
        <f>IF($W104=AS$56,ET104*($Q104*$S104)/(1+Voorblad!$K$44)^(AS$56-Voorblad!$F$41),0)</f>
        <v>0</v>
      </c>
      <c r="AT104" s="9">
        <f>IF($W104=AT$56,EU104*($Q104*$S104)/(1+Voorblad!$K$44)^(AT$56-Voorblad!$F$41),0)</f>
        <v>0</v>
      </c>
      <c r="AU104" s="9">
        <f>IF($W104=AU$56,EV104*($Q104*$S104)/(1+Voorblad!$K$44)^(AU$56-Voorblad!$F$41),0)</f>
        <v>0</v>
      </c>
      <c r="AV104" s="9">
        <f>IF($W104=AV$56,EW104*($Q104*$S104)/(1+Voorblad!$K$44)^(AV$56-Voorblad!$F$41),0)</f>
        <v>0</v>
      </c>
      <c r="AW104" s="9">
        <f>IF($W104=AW$56,EX104*($Q104*$S104)/(1+Voorblad!$K$44)^(AW$56-Voorblad!$F$41),0)</f>
        <v>0</v>
      </c>
      <c r="AX104" s="9">
        <f>IF($W104=AX$56,EY104*($Q104*$S104)/(1+Voorblad!$K$44)^(AX$56-Voorblad!$F$41),0)</f>
        <v>0</v>
      </c>
      <c r="AY104" s="9">
        <f>IF($W104=AY$56,EZ104*($Q104*$S104)/(1+Voorblad!$K$44)^(AY$56-Voorblad!$F$41),0)</f>
        <v>0</v>
      </c>
      <c r="AZ104" s="9">
        <f>IF($W104=AZ$56,FA104*($Q104*$S104)/(1+Voorblad!$K$44)^(AZ$56-Voorblad!$F$41),0)</f>
        <v>0</v>
      </c>
      <c r="BA104" s="9">
        <f>IF($W104=BA$56,FB104*($Q104*$S104)/(1+Voorblad!$K$44)^(BA$56-Voorblad!$F$41),0)</f>
        <v>0</v>
      </c>
      <c r="BB104" s="9">
        <f>IF($W104=BB$56,FC104*($Q104*$S104)/(1+Voorblad!$K$44)^(BB$56-Voorblad!$F$41),0)</f>
        <v>0</v>
      </c>
      <c r="BC104" s="9">
        <f>IF($W104=BC$56,FD104*($Q104*$S104)/(1+Voorblad!$K$44)^(BC$56-Voorblad!$F$41),0)</f>
        <v>0</v>
      </c>
      <c r="BD104" s="9">
        <f>IF($W104=BD$56,FE104*($Q104*$S104)/(1+Voorblad!$K$44)^(BD$56-Voorblad!$F$41),0)</f>
        <v>0</v>
      </c>
      <c r="BE104" s="9">
        <f>IF($W104=BE$56,FF104*($Q104*$S104)/(1+Voorblad!$K$44)^(BE$56-Voorblad!$F$41),0)</f>
        <v>0</v>
      </c>
      <c r="BF104" s="9">
        <f>IF($W104=BF$56,FG104*($Q104*$S104)/(1+Voorblad!$K$44)^(BF$56-Voorblad!$F$41),0)</f>
        <v>0</v>
      </c>
      <c r="BG104" s="9">
        <f>IF($W104=BG$56,FH104*($Q104*$S104)/(1+Voorblad!$K$44)^(BG$56-Voorblad!$F$41),0)</f>
        <v>0</v>
      </c>
      <c r="BH104" s="9">
        <f>IF($W104=BH$56,FI104*($Q104*$S104)/(1+Voorblad!$K$44)^(BH$56-Voorblad!$F$41),0)</f>
        <v>0</v>
      </c>
      <c r="BI104" s="9">
        <f>IF($W104=BI$56,FJ104*($Q104*$S104)/(1+Voorblad!$K$44)^(BI$56-Voorblad!$F$41),0)</f>
        <v>0</v>
      </c>
      <c r="BJ104" s="9">
        <f>IF($W104=BJ$56,FK104*($Q104*$S104)/(1+Voorblad!$K$44)^(BJ$56-Voorblad!$F$41),0)</f>
        <v>0</v>
      </c>
      <c r="BK104" s="9">
        <f>IF($W104=BK$56,FL104*($Q104*$S104)/(1+Voorblad!$K$44)^(BK$56-Voorblad!$F$41),0)</f>
        <v>0</v>
      </c>
      <c r="BL104" s="9">
        <f>IF($W104=BL$56,FM104*($Q104*$S104)/(1+Voorblad!$K$44)^(BL$56-Voorblad!$F$41),0)</f>
        <v>0</v>
      </c>
      <c r="BM104" s="9">
        <f>IF($W104=BM$56,FN104*($Q104*$S104)/(1+Voorblad!$K$44)^(BM$56-Voorblad!$F$41),0)</f>
        <v>0</v>
      </c>
      <c r="BN104" s="9">
        <f>IF($W104=BN$56,FO104*($Q104*$S104)/(1+Voorblad!$K$44)^(BN$56-Voorblad!$F$41),0)</f>
        <v>0</v>
      </c>
      <c r="BO104" s="9">
        <f>IF($W104=BO$56,FP104*($Q104*$S104)/(1+Voorblad!$K$44)^(BO$56-Voorblad!$F$41),0)</f>
        <v>0</v>
      </c>
      <c r="BP104" s="9">
        <f>IF($W104=BP$56,FQ104*($Q104*$S104)/(1+Voorblad!$K$44)^(BP$56-Voorblad!$F$41),0)</f>
        <v>0</v>
      </c>
      <c r="BQ104" s="9">
        <f>IF($W104=BQ$56,FR104*($Q104*$S104)/(1+Voorblad!$K$44)^(BQ$56-Voorblad!$F$41),0)</f>
        <v>0</v>
      </c>
      <c r="BR104" s="9">
        <f>IF($W104=BR$56,FS104*($Q104*$S104)/(1+Voorblad!$K$44)^(BR$56-Voorblad!$F$41),0)</f>
        <v>0</v>
      </c>
      <c r="BS104" s="9">
        <f>IF($W104=BS$56,FT104*($Q104*$S104)/(1+Voorblad!$K$44)^(BS$56-Voorblad!$F$41),0)</f>
        <v>0</v>
      </c>
      <c r="BT104" s="9">
        <f>IF($W104=BT$56,FU104*($Q104*$S104)/(1+Voorblad!$K$44)^(BT$56-Voorblad!$F$41),0)</f>
        <v>0</v>
      </c>
      <c r="BU104" s="9">
        <f>IF($W104=BU$56,FV104*($Q104*$S104)/(1+Voorblad!$K$44)^(BU$56-Voorblad!$F$41),0)</f>
        <v>0</v>
      </c>
      <c r="BV104" s="9">
        <f>IF($W104=BV$56,FW104*($Q104*$S104)/(1+Voorblad!$K$44)^(BV$56-Voorblad!$F$41),0)</f>
        <v>0</v>
      </c>
      <c r="BW104" s="9">
        <f>IF($W104=BW$56,FX104*($Q104*$S104)/(1+Voorblad!$K$44)^(BW$56-Voorblad!$F$41),0)</f>
        <v>0</v>
      </c>
      <c r="BX104" s="9">
        <f>IF($W104=BX$56,FY104*($Q104*$S104)/(1+Voorblad!$K$44)^(BX$56-Voorblad!$F$41),0)</f>
        <v>0</v>
      </c>
      <c r="BY104" s="9">
        <f>IF($W104=BY$56,FZ104*($Q104*$S104)/(1+Voorblad!$K$44)^(BY$56-Voorblad!$F$41),0)</f>
        <v>0</v>
      </c>
      <c r="BZ104" s="9">
        <f>IF($W104=BZ$56,GA104*($Q104*$S104)/(1+Voorblad!$K$44)^(BZ$56-Voorblad!$F$41),0)</f>
        <v>0</v>
      </c>
      <c r="CA104" s="9">
        <f>IF($W104=CA$56,GB104*($Q104*$S104)/(1+Voorblad!$K$44)^(CA$56-Voorblad!$F$41),0)</f>
        <v>0</v>
      </c>
      <c r="CB104" s="9">
        <f>IF($W104=CB$56,GC104*($Q104*$S104)/(1+Voorblad!$K$44)^(CB$56-Voorblad!$F$41),0)</f>
        <v>0</v>
      </c>
      <c r="CC104" s="9">
        <f>IF($W104=CC$56,GD104*($Q104*$S104)/(1+Voorblad!$K$44)^(CC$56-Voorblad!$F$41),0)</f>
        <v>0</v>
      </c>
      <c r="CD104" s="9">
        <f>IF($W104=CD$56,GE104*($Q104*$S104)/(1+Voorblad!$K$44)^(CD$56-Voorblad!$F$41),0)</f>
        <v>0</v>
      </c>
      <c r="CE104" s="9">
        <f>IF($W104=CE$56,GF104*($Q104*$S104)/(1+Voorblad!$K$44)^(CE$56-Voorblad!$F$41),0)</f>
        <v>0</v>
      </c>
      <c r="CF104" s="9">
        <f>IF($W104=CF$56,GG104*($Q104*$S104)/(1+Voorblad!$K$44)^(CF$56-Voorblad!$F$41),0)</f>
        <v>0</v>
      </c>
      <c r="CG104" s="9">
        <f>IF($W104=CG$56,GH104*($Q104*$S104)/(1+Voorblad!$K$44)^(CG$56-Voorblad!$F$41),0)</f>
        <v>0</v>
      </c>
      <c r="CH104" s="9">
        <f>IF($W104=CH$56,GI104*($Q104*$S104)/(1+Voorblad!$K$44)^(CH$56-Voorblad!$F$41),0)</f>
        <v>0</v>
      </c>
      <c r="CI104" s="9">
        <f>IF($W104=CI$56,GJ104*($Q104*$S104)/(1+Voorblad!$K$44)^(CI$56-Voorblad!$F$41),0)</f>
        <v>0</v>
      </c>
      <c r="CJ104" s="9">
        <f>IF($W104=CJ$56,GK104*($Q104*$S104)/(1+Voorblad!$K$44)^(CJ$56-Voorblad!$F$41),0)</f>
        <v>0</v>
      </c>
      <c r="CK104" s="9">
        <f>IF($W104=CK$56,GL104*($Q104*$S104)/(1+Voorblad!$K$44)^(CK$56-Voorblad!$F$41),0)</f>
        <v>0</v>
      </c>
      <c r="CL104" s="9">
        <f>IF($W104=CL$56,GM104*($Q104*$S104)/(1+Voorblad!$K$44)^(CL$56-Voorblad!$F$41),0)</f>
        <v>0</v>
      </c>
      <c r="CM104" s="9">
        <f>IF($W104=CM$56,GN104*($Q104*$S104)/(1+Voorblad!$K$44)^(CM$56-Voorblad!$F$41),0)</f>
        <v>0</v>
      </c>
      <c r="CN104" s="9">
        <f>IF($W104=CN$56,GO104*($Q104*$S104)/(1+Voorblad!$K$44)^(CN$56-Voorblad!$F$41),0)</f>
        <v>0</v>
      </c>
      <c r="CO104" s="9">
        <f>IF($W104=CO$56,GP104*($Q104*$S104)/(1+Voorblad!$K$44)^(CO$56-Voorblad!$F$41),0)</f>
        <v>0</v>
      </c>
      <c r="CP104" s="9">
        <f>IF($W104=CP$56,GQ104*($Q104*$S104)/(1+Voorblad!$K$44)^(CP$56-Voorblad!$F$41),0)</f>
        <v>0</v>
      </c>
      <c r="CQ104" s="9">
        <f>IF($W104=CQ$56,GR104*($Q104*$S104)/(1+Voorblad!$K$44)^(CQ$56-Voorblad!$F$41),0)</f>
        <v>0</v>
      </c>
      <c r="CR104" s="9">
        <f>IF($W104=CR$56,GS104*($Q104*$S104)/(1+Voorblad!$K$44)^(CR$56-Voorblad!$F$41),0)</f>
        <v>0</v>
      </c>
      <c r="CS104" s="9">
        <f>IF($W104=CS$56,GT104*($Q104*$S104)/(1+Voorblad!$K$44)^(CS$56-Voorblad!$F$41),0)</f>
        <v>0</v>
      </c>
      <c r="CT104" s="9">
        <f>IF($W104=CT$56,GU104*($Q104*$S104)/(1+Voorblad!$K$44)^(CT$56-Voorblad!$F$41),0)</f>
        <v>0</v>
      </c>
      <c r="CU104" s="9">
        <f>IF($W104=CU$56,GV104*($Q104*$S104)/(1+Voorblad!$K$44)^(CU$56-Voorblad!$F$41),0)</f>
        <v>0</v>
      </c>
      <c r="CV104" s="9">
        <f>IF($W104=CV$56,GW104*($Q104*$S104)/(1+Voorblad!$K$44)^(CV$56-Voorblad!$F$41),0)</f>
        <v>0</v>
      </c>
      <c r="CW104" s="9">
        <f>IF($W104=CW$56,GX104*($Q104*$S104)/(1+Voorblad!$K$44)^(CW$56-Voorblad!$F$41),0)</f>
        <v>0</v>
      </c>
      <c r="CX104" s="9">
        <f>IF($W104=CX$56,GY104*($Q104*$S104)/(1+Voorblad!$K$44)^(CX$56-Voorblad!$F$41),0)</f>
        <v>0</v>
      </c>
      <c r="CY104" s="9">
        <f>IF($W104=CY$56,GZ104*($Q104*$S104)/(1+Voorblad!$K$44)^(CY$56-Voorblad!$F$41),0)</f>
        <v>0</v>
      </c>
      <c r="CZ104" s="9">
        <f>IF($W104=CZ$56,HA104*($Q104*$S104)/(1+Voorblad!$K$44)^(CZ$56-Voorblad!$F$41),0)</f>
        <v>0</v>
      </c>
      <c r="DA104" s="9">
        <f>IF($W104=DA$56,HB104*($Q104*$S104)/(1+Voorblad!$K$44)^(DA$56-Voorblad!$F$41),0)</f>
        <v>0</v>
      </c>
      <c r="DB104" s="9">
        <f>IF($W104=DB$56,HC104*($Q104*$S104)/(1+Voorblad!$K$44)^(DB$56-Voorblad!$F$41),0)</f>
        <v>0</v>
      </c>
      <c r="DC104" s="9">
        <f>IF($W104=DC$56,HD104*($Q104*$S104)/(1+Voorblad!$K$44)^(DC$56-Voorblad!$F$41),0)</f>
        <v>0</v>
      </c>
      <c r="DD104" s="9">
        <f>IF($W104=DD$56,HE104*($Q104*$S104)/(1+Voorblad!$K$44)^(DD$56-Voorblad!$F$41),0)</f>
        <v>0</v>
      </c>
      <c r="DE104" s="9">
        <f>IF($W104=DE$56,HF104*($Q104*$S104)/(1+Voorblad!$K$44)^(DE$56-Voorblad!$F$41),0)</f>
        <v>0</v>
      </c>
      <c r="DF104" s="9">
        <f>IF($W104=DF$56,HG104*($Q104*$S104)/(1+Voorblad!$K$44)^(DF$56-Voorblad!$F$41),0)</f>
        <v>0</v>
      </c>
      <c r="DG104" s="9">
        <f>IF($W104=DG$56,HH104*($Q104*$S104)/(1+Voorblad!$K$44)^(DG$56-Voorblad!$F$41),0)</f>
        <v>0</v>
      </c>
      <c r="DH104" s="9">
        <f>IF($W104=DH$56,HI104*($Q104*$S104)/(1+Voorblad!$K$44)^(DH$56-Voorblad!$F$41),0)</f>
        <v>0</v>
      </c>
      <c r="DI104" s="9">
        <f>IF($W104=DI$56,HJ104*($Q104*$S104)/(1+Voorblad!$K$44)^(DI$56-Voorblad!$F$41),0)</f>
        <v>0</v>
      </c>
      <c r="DJ104" s="9">
        <f>IF($W104=DJ$56,HK104*($Q104*$S104)/(1+Voorblad!$K$44)^(DJ$56-Voorblad!$F$41),0)</f>
        <v>0</v>
      </c>
      <c r="DK104" s="9">
        <f>IF($W104=DK$56,HL104*($Q104*$S104)/(1+Voorblad!$K$44)^(DK$56-Voorblad!$F$41),0)</f>
        <v>0</v>
      </c>
      <c r="DL104" s="9">
        <f>IF($W104=DL$56,HM104*($Q104*$S104)/(1+Voorblad!$K$44)^(DL$56-Voorblad!$F$41),0)</f>
        <v>0</v>
      </c>
      <c r="DM104" s="9">
        <f>IF($W104=DM$56,HN104*($Q104*$S104)/(1+Voorblad!$K$44)^(DM$56-Voorblad!$F$41),0)</f>
        <v>0</v>
      </c>
      <c r="DN104" s="9">
        <f>IF($W104=DN$56,HO104*($Q104*$S104)/(1+Voorblad!$K$44)^(DN$56-Voorblad!$F$41),0)</f>
        <v>0</v>
      </c>
      <c r="DO104" s="9">
        <f>IF($W104=DO$56,HP104*($Q104*$S104)/(1+Voorblad!$K$44)^(DO$56-Voorblad!$F$41),0)</f>
        <v>0</v>
      </c>
      <c r="DP104" s="9">
        <f>IF($W104=DP$56,HQ104*($Q104*$S104)/(1+Voorblad!$K$44)^(DP$56-Voorblad!$F$41),0)</f>
        <v>0</v>
      </c>
      <c r="DQ104" s="9">
        <f>IF($W104=DQ$56,HR104*($Q104*$S104)/(1+Voorblad!$K$44)^(DQ$56-Voorblad!$F$41),0)</f>
        <v>0</v>
      </c>
      <c r="DR104" s="9">
        <f>IF($W104=DR$56,HS104*($Q104*$S104)/(1+Voorblad!$K$44)^(DR$56-Voorblad!$F$41),0)</f>
        <v>0</v>
      </c>
      <c r="DS104" s="9">
        <f>IF($W104=DS$56,HT104*($Q104*$S104)/(1+Voorblad!$K$44)^(DS$56-Voorblad!$F$41),0)</f>
        <v>0</v>
      </c>
      <c r="DT104" s="9">
        <f>IF($W104=DT$56,HU104*($Q104*$S104)/(1+Voorblad!$K$44)^(DT$56-Voorblad!$F$41),0)</f>
        <v>0</v>
      </c>
      <c r="DU104" s="9">
        <f>IF($W104=DU$56,HV104*($Q104*$S104)/(1+Voorblad!$K$44)^(DU$56-Voorblad!$F$41),0)</f>
        <v>0</v>
      </c>
      <c r="DV104" s="9">
        <f>IF($W104=DV$56,HW104*($Q104*$S104)/(1+Voorblad!$K$44)^(DV$56-Voorblad!$F$41),0)</f>
        <v>0</v>
      </c>
      <c r="DW104" s="9">
        <f>IF($W104=DW$56,HX104*($Q104*$S104)/(1+Voorblad!$K$44)^(DW$56-Voorblad!$F$41),0)</f>
        <v>0</v>
      </c>
      <c r="DX104" s="9">
        <f>IF($W104=DX$56,HY104*($Q104*$S104)/(1+Voorblad!$K$44)^(DX$56-Voorblad!$F$41),0)</f>
        <v>0</v>
      </c>
      <c r="DY104" s="9">
        <f>IF($W104=DY$56,HZ104*($Q104*$S104)/(1+Voorblad!$K$44)^(DY$56-Voorblad!$F$41),0)</f>
        <v>0</v>
      </c>
      <c r="DZ104" s="9">
        <f>IF($W104=DZ$56,IA104*($Q104*$S104)/(1+Voorblad!$K$44)^(DZ$56-Voorblad!$F$41),0)</f>
        <v>0</v>
      </c>
      <c r="EA104" s="9">
        <f>IF($W104=EA$56,IB104*($Q104*$S104)/(1+Voorblad!$K$44)^(EA$56-Voorblad!$F$41),0)</f>
        <v>0</v>
      </c>
      <c r="EB104" s="9">
        <f>IF($W104=EB$56,IC104*($Q104*$S104)/(1+Voorblad!$K$44)^(EB$56-Voorblad!$F$41),0)</f>
        <v>0</v>
      </c>
      <c r="EE104" s="8">
        <v>0</v>
      </c>
      <c r="EF104" s="8">
        <f>IF(EF$56-Voorblad!$F$41&gt;Voorblad!$K$41,0,IF($U104=0,0,IF($U104&lt;1,1/$U104,IF((EF$56-Voorblad!$F$41)/$U104-SUM($EE104:EE104)=1,1,0))))</f>
        <v>0</v>
      </c>
      <c r="EG104" s="8">
        <f>IF(EG$56-Voorblad!$F$41&gt;Voorblad!$K$41,0,IF($U104=0,0,IF($U104&lt;1,1/$U104,IF((EG$56-Voorblad!$F$41)/$U104-SUM($EE104:EF104)=1,1,0))))</f>
        <v>1</v>
      </c>
      <c r="EH104" s="8">
        <f>IF(EH$56-Voorblad!$F$41&gt;Voorblad!$K$41,0,IF($U104=0,0,IF($U104&lt;1,1/$U104,IF((EH$56-Voorblad!$F$41)/$U104-SUM($EE104:EG104)=1,1,0))))</f>
        <v>1</v>
      </c>
      <c r="EI104" s="8">
        <f>IF(EI$56-Voorblad!$F$41&gt;Voorblad!$K$41,0,IF($U104=0,0,IF($U104&lt;1,1/$U104,IF((EI$56-Voorblad!$F$41)/$U104-SUM($EE104:EH104)=1,1,0))))</f>
        <v>1</v>
      </c>
      <c r="EJ104" s="8">
        <f>IF(EJ$56-Voorblad!$F$41&gt;Voorblad!$K$41,0,IF($U104=0,0,IF($U104&lt;1,1/$U104,IF((EJ$56-Voorblad!$F$41)/$U104-SUM($EE104:EI104)=1,1,0))))</f>
        <v>1</v>
      </c>
      <c r="EK104" s="8">
        <f>IF(EK$56-Voorblad!$F$41&gt;Voorblad!$K$41,0,IF($U104=0,0,IF($U104&lt;1,1/$U104,IF((EK$56-Voorblad!$F$41)/$U104-SUM($EE104:EJ104)=1,1,0))))</f>
        <v>1</v>
      </c>
      <c r="EL104" s="8">
        <f>IF(EL$56-Voorblad!$F$41&gt;Voorblad!$K$41,0,IF($U104=0,0,IF($U104&lt;1,1/$U104,IF((EL$56-Voorblad!$F$41)/$U104-SUM($EE104:EK104)=1,1,0))))</f>
        <v>1</v>
      </c>
      <c r="EM104" s="8">
        <f>IF(EM$56-Voorblad!$F$41&gt;Voorblad!$K$41,0,IF($U104=0,0,IF($U104&lt;1,1/$U104,IF((EM$56-Voorblad!$F$41)/$U104-SUM($EE104:EL104)=1,1,0))))</f>
        <v>1</v>
      </c>
      <c r="EN104" s="8">
        <f>IF(EN$56-Voorblad!$F$41&gt;Voorblad!$K$41,0,IF($U104=0,0,IF($U104&lt;1,1/$U104,IF((EN$56-Voorblad!$F$41)/$U104-SUM($EE104:EM104)=1,1,0))))</f>
        <v>1</v>
      </c>
      <c r="EO104" s="8">
        <f>IF(EO$56-Voorblad!$F$41&gt;Voorblad!$K$41,0,IF($U104=0,0,IF($U104&lt;1,1/$U104,IF((EO$56-Voorblad!$F$41)/$U104-SUM($EE104:EN104)=1,1,0))))</f>
        <v>1</v>
      </c>
      <c r="EP104" s="8">
        <f>IF(EP$56-Voorblad!$F$41&gt;Voorblad!$K$41,0,IF($U104=0,0,IF($U104&lt;1,1/$U104,IF((EP$56-Voorblad!$F$41)/$U104-SUM($EE104:EO104)=1,1,0))))</f>
        <v>1</v>
      </c>
      <c r="EQ104" s="8">
        <f>IF(EQ$56-Voorblad!$F$41&gt;Voorblad!$K$41,0,IF($U104=0,0,IF($U104&lt;1,1/$U104,IF((EQ$56-Voorblad!$F$41)/$U104-SUM($EE104:EP104)=1,1,0))))</f>
        <v>1</v>
      </c>
      <c r="ER104" s="8">
        <f>IF(ER$56-Voorblad!$F$41&gt;Voorblad!$K$41,0,IF($U104=0,0,IF($U104&lt;1,1/$U104,IF((ER$56-Voorblad!$F$41)/$U104-SUM($EE104:EQ104)=1,1,0))))</f>
        <v>1</v>
      </c>
      <c r="ES104" s="8">
        <f>IF(ES$56-Voorblad!$F$41&gt;Voorblad!$K$41,0,IF($U104=0,0,IF($U104&lt;1,1/$U104,IF((ES$56-Voorblad!$F$41)/$U104-SUM($EE104:ER104)=1,1,0))))</f>
        <v>1</v>
      </c>
      <c r="ET104" s="8">
        <f>IF(ET$56-Voorblad!$F$41&gt;Voorblad!$K$41,0,IF($U104=0,0,IF($U104&lt;1,1/$U104,IF((ET$56-Voorblad!$F$41)/$U104-SUM($EE104:ES104)=1,1,0))))</f>
        <v>1</v>
      </c>
      <c r="EU104" s="8">
        <f>IF(EU$56-Voorblad!$F$41&gt;Voorblad!$K$41,0,IF($U104=0,0,IF($U104&lt;1,1/$U104,IF((EU$56-Voorblad!$F$41)/$U104-SUM($EE104:ET104)=1,1,0))))</f>
        <v>1</v>
      </c>
      <c r="EV104" s="8">
        <f>IF(EV$56-Voorblad!$F$41&gt;Voorblad!$K$41,0,IF($U104=0,0,IF($U104&lt;1,1/$U104,IF((EV$56-Voorblad!$F$41)/$U104-SUM($EE104:EU104)=1,1,0))))</f>
        <v>1</v>
      </c>
      <c r="EW104" s="8">
        <f>IF(EW$56-Voorblad!$F$41&gt;Voorblad!$K$41,0,IF($U104=0,0,IF($U104&lt;1,1/$U104,IF((EW$56-Voorblad!$F$41)/$U104-SUM($EE104:EV104)=1,1,0))))</f>
        <v>1</v>
      </c>
      <c r="EX104" s="8">
        <f>IF(EX$56-Voorblad!$F$41&gt;Voorblad!$K$41,0,IF($U104=0,0,IF($U104&lt;1,1/$U104,IF((EX$56-Voorblad!$F$41)/$U104-SUM($EE104:EW104)=1,1,0))))</f>
        <v>1</v>
      </c>
      <c r="EY104" s="8">
        <f>IF(EY$56-Voorblad!$F$41&gt;Voorblad!$K$41,0,IF($U104=0,0,IF($U104&lt;1,1/$U104,IF((EY$56-Voorblad!$F$41)/$U104-SUM($EE104:EX104)=1,1,0))))</f>
        <v>1</v>
      </c>
      <c r="EZ104" s="8">
        <f>IF(EZ$56-Voorblad!$F$41&gt;Voorblad!$K$41,0,IF($U104=0,0,IF($U104&lt;1,1/$U104,IF((EZ$56-Voorblad!$F$41)/$U104-SUM($EE104:EY104)=1,1,0))))</f>
        <v>1</v>
      </c>
      <c r="FA104" s="8">
        <f>IF(FA$56-Voorblad!$F$41&gt;Voorblad!$K$41,0,IF($U104=0,0,IF($U104&lt;1,1/$U104,IF((FA$56-Voorblad!$F$41)/$U104-SUM($EE104:EZ104)=1,1,0))))</f>
        <v>1</v>
      </c>
      <c r="FB104" s="8">
        <f>IF(FB$56-Voorblad!$F$41&gt;Voorblad!$K$41,0,IF($U104=0,0,IF($U104&lt;1,1/$U104,IF((FB$56-Voorblad!$F$41)/$U104-SUM($EE104:FA104)=1,1,0))))</f>
        <v>1</v>
      </c>
      <c r="FC104" s="8">
        <f>IF(FC$56-Voorblad!$F$41&gt;Voorblad!$K$41,0,IF($U104=0,0,IF($U104&lt;1,1/$U104,IF((FC$56-Voorblad!$F$41)/$U104-SUM($EE104:FB104)=1,1,0))))</f>
        <v>1</v>
      </c>
      <c r="FD104" s="8">
        <f>IF(FD$56-Voorblad!$F$41&gt;Voorblad!$K$41,0,IF($U104=0,0,IF($U104&lt;1,1/$U104,IF((FD$56-Voorblad!$F$41)/$U104-SUM($EE104:FC104)=1,1,0))))</f>
        <v>1</v>
      </c>
      <c r="FE104" s="8">
        <f>IF(FE$56-Voorblad!$F$41&gt;Voorblad!$K$41,0,IF($U104=0,0,IF($U104&lt;1,1/$U104,IF((FE$56-Voorblad!$F$41)/$U104-SUM($EE104:FD104)=1,1,0))))</f>
        <v>1</v>
      </c>
      <c r="FF104" s="8">
        <f>IF(FF$56-Voorblad!$F$41&gt;Voorblad!$K$41,0,IF($U104=0,0,IF($U104&lt;1,1/$U104,IF((FF$56-Voorblad!$F$41)/$U104-SUM($EE104:FE104)=1,1,0))))</f>
        <v>1</v>
      </c>
      <c r="FG104" s="8">
        <f>IF(FG$56-Voorblad!$F$41&gt;Voorblad!$K$41,0,IF($U104=0,0,IF($U104&lt;1,1/$U104,IF((FG$56-Voorblad!$F$41)/$U104-SUM($EE104:FF104)=1,1,0))))</f>
        <v>1</v>
      </c>
      <c r="FH104" s="8">
        <f>IF(FH$56-Voorblad!$F$41&gt;Voorblad!$K$41,0,IF($U104=0,0,IF($U104&lt;1,1/$U104,IF((FH$56-Voorblad!$F$41)/$U104-SUM($EE104:FG104)=1,1,0))))</f>
        <v>1</v>
      </c>
      <c r="FI104" s="8">
        <f>IF(FI$56-Voorblad!$F$41&gt;Voorblad!$K$41,0,IF($U104=0,0,IF($U104&lt;1,1/$U104,IF((FI$56-Voorblad!$F$41)/$U104-SUM($EE104:FH104)=1,1,0))))</f>
        <v>1</v>
      </c>
      <c r="FJ104" s="8">
        <f>IF(FJ$56-Voorblad!$F$41&gt;Voorblad!$K$41,0,IF($U104=0,0,IF($U104&lt;1,1/$U104,IF((FJ$56-Voorblad!$F$41)/$U104-SUM($EE104:FI104)=1,1,0))))</f>
        <v>1</v>
      </c>
      <c r="FK104" s="8">
        <f>IF(FK$56-Voorblad!$F$41&gt;Voorblad!$K$41,0,IF($U104=0,0,IF($U104&lt;1,1/$U104,IF((FK$56-Voorblad!$F$41)/$U104-SUM($EE104:FJ104)=1,1,0))))</f>
        <v>1</v>
      </c>
      <c r="FL104" s="8">
        <f>IF(FL$56-Voorblad!$F$41&gt;Voorblad!$K$41,0,IF($U104=0,0,IF($U104&lt;1,1/$U104,IF((FL$56-Voorblad!$F$41)/$U104-SUM($EE104:FK104)=1,1,0))))</f>
        <v>1</v>
      </c>
      <c r="FM104" s="8">
        <f>IF(FM$56-Voorblad!$F$41&gt;Voorblad!$K$41,0,IF($U104=0,0,IF($U104&lt;1,1/$U104,IF((FM$56-Voorblad!$F$41)/$U104-SUM($EE104:FL104)=1,1,0))))</f>
        <v>1</v>
      </c>
      <c r="FN104" s="8">
        <f>IF(FN$56-Voorblad!$F$41&gt;Voorblad!$K$41,0,IF($U104=0,0,IF($U104&lt;1,1/$U104,IF((FN$56-Voorblad!$F$41)/$U104-SUM($EE104:FM104)=1,1,0))))</f>
        <v>1</v>
      </c>
      <c r="FO104" s="8">
        <f>IF(FO$56-Voorblad!$F$41&gt;Voorblad!$K$41,0,IF($U104=0,0,IF($U104&lt;1,1/$U104,IF((FO$56-Voorblad!$F$41)/$U104-SUM($EE104:FN104)=1,1,0))))</f>
        <v>1</v>
      </c>
      <c r="FP104" s="8">
        <f>IF(FP$56-Voorblad!$F$41&gt;Voorblad!$K$41,0,IF($U104=0,0,IF($U104&lt;1,1/$U104,IF((FP$56-Voorblad!$F$41)/$U104-SUM($EE104:FO104)=1,1,0))))</f>
        <v>1</v>
      </c>
      <c r="FQ104" s="8">
        <f>IF(FQ$56-Voorblad!$F$41&gt;Voorblad!$K$41,0,IF($U104=0,0,IF($U104&lt;1,1/$U104,IF((FQ$56-Voorblad!$F$41)/$U104-SUM($EE104:FP104)=1,1,0))))</f>
        <v>1</v>
      </c>
      <c r="FR104" s="8">
        <f>IF(FR$56-Voorblad!$F$41&gt;Voorblad!$K$41,0,IF($U104=0,0,IF($U104&lt;1,1/$U104,IF((FR$56-Voorblad!$F$41)/$U104-SUM($EE104:FQ104)=1,1,0))))</f>
        <v>1</v>
      </c>
      <c r="FS104" s="8">
        <f>IF(FS$56-Voorblad!$F$41&gt;Voorblad!$K$41,0,IF($U104=0,0,IF($U104&lt;1,1/$U104,IF((FS$56-Voorblad!$F$41)/$U104-SUM($EE104:FR104)=1,1,0))))</f>
        <v>1</v>
      </c>
      <c r="FT104" s="8">
        <f>IF(FT$56-Voorblad!$F$41&gt;Voorblad!$K$41,0,IF($U104=0,0,IF($U104&lt;1,1/$U104,IF((FT$56-Voorblad!$F$41)/$U104-SUM($EE104:FS104)=1,1,0))))</f>
        <v>1</v>
      </c>
      <c r="FU104" s="8">
        <f>IF(FU$56-Voorblad!$F$41&gt;Voorblad!$K$41,0,IF($U104=0,0,IF($U104&lt;1,1/$U104,IF((FU$56-Voorblad!$F$41)/$U104-SUM($EE104:FT104)=1,1,0))))</f>
        <v>1</v>
      </c>
      <c r="FV104" s="8">
        <f>IF(FV$56-Voorblad!$F$41&gt;Voorblad!$K$41,0,IF($U104=0,0,IF($U104&lt;1,1/$U104,IF((FV$56-Voorblad!$F$41)/$U104-SUM($EE104:FU104)=1,1,0))))</f>
        <v>1</v>
      </c>
      <c r="FW104" s="8">
        <f>IF(FW$56-Voorblad!$F$41&gt;Voorblad!$K$41,0,IF($U104=0,0,IF($U104&lt;1,1/$U104,IF((FW$56-Voorblad!$F$41)/$U104-SUM($EE104:FV104)=1,1,0))))</f>
        <v>1</v>
      </c>
      <c r="FX104" s="8">
        <f>IF(FX$56-Voorblad!$F$41&gt;Voorblad!$K$41,0,IF($U104=0,0,IF($U104&lt;1,1/$U104,IF((FX$56-Voorblad!$F$41)/$U104-SUM($EE104:FW104)=1,1,0))))</f>
        <v>1</v>
      </c>
      <c r="FY104" s="8">
        <f>IF(FY$56-Voorblad!$F$41&gt;Voorblad!$K$41,0,IF($U104=0,0,IF($U104&lt;1,1/$U104,IF((FY$56-Voorblad!$F$41)/$U104-SUM($EE104:FX104)=1,1,0))))</f>
        <v>1</v>
      </c>
      <c r="FZ104" s="8">
        <f>IF(FZ$56-Voorblad!$F$41&gt;Voorblad!$K$41,0,IF($U104=0,0,IF($U104&lt;1,1/$U104,IF((FZ$56-Voorblad!$F$41)/$U104-SUM($EE104:FY104)=1,1,0))))</f>
        <v>1</v>
      </c>
      <c r="GA104" s="8">
        <f>IF(GA$56-Voorblad!$F$41&gt;Voorblad!$K$41,0,IF($U104=0,0,IF($U104&lt;1,1/$U104,IF((GA$56-Voorblad!$F$41)/$U104-SUM($EE104:FZ104)=1,1,0))))</f>
        <v>1</v>
      </c>
      <c r="GB104" s="8">
        <f>IF(GB$56-Voorblad!$F$41&gt;Voorblad!$K$41,0,IF($U104=0,0,IF($U104&lt;1,1/$U104,IF((GB$56-Voorblad!$F$41)/$U104-SUM($EE104:GA104)=1,1,0))))</f>
        <v>1</v>
      </c>
      <c r="GC104" s="8">
        <f>IF(GC$56-Voorblad!$F$41&gt;Voorblad!$K$41,0,IF($U104=0,0,IF($U104&lt;1,1/$U104,IF((GC$56-Voorblad!$F$41)/$U104-SUM($EE104:GB104)=1,1,0))))</f>
        <v>1</v>
      </c>
      <c r="GD104" s="8">
        <f>IF(GD$56-Voorblad!$F$41&gt;Voorblad!$K$41,0,IF($U104=0,0,IF($U104&lt;1,1/$U104,IF((GD$56-Voorblad!$F$41)/$U104-SUM($EE104:GC104)=1,1,0))))</f>
        <v>1</v>
      </c>
      <c r="GE104" s="8">
        <f>IF(GE$56-Voorblad!$F$41&gt;Voorblad!$K$41,0,IF($U104=0,0,IF($U104&lt;1,1/$U104,IF((GE$56-Voorblad!$F$41)/$U104-SUM($EE104:GD104)=1,1,0))))</f>
        <v>1</v>
      </c>
      <c r="GF104" s="8">
        <f>IF(GF$56-Voorblad!$F$41&gt;Voorblad!$K$41,0,IF($U104=0,0,IF($U104&lt;1,1/$U104,IF((GF$56-Voorblad!$F$41)/$U104-SUM($EE104:GE104)=1,1,0))))</f>
        <v>1</v>
      </c>
      <c r="GG104" s="8">
        <f>IF(GG$56-Voorblad!$F$41&gt;Voorblad!$K$41,0,IF($U104=0,0,IF($U104&lt;1,1/$U104,IF((GG$56-Voorblad!$F$41)/$U104-SUM($EE104:GF104)=1,1,0))))</f>
        <v>1</v>
      </c>
      <c r="GH104" s="8">
        <f>IF(GH$56-Voorblad!$F$41&gt;Voorblad!$K$41,0,IF($U104=0,0,IF($U104&lt;1,1/$U104,IF((GH$56-Voorblad!$F$41)/$U104-SUM($EE104:GG104)=1,1,0))))</f>
        <v>1</v>
      </c>
      <c r="GI104" s="8">
        <f>IF(GI$56-Voorblad!$F$41&gt;Voorblad!$K$41,0,IF($U104=0,0,IF($U104&lt;1,1/$U104,IF((GI$56-Voorblad!$F$41)/$U104-SUM($EE104:GH104)=1,1,0))))</f>
        <v>1</v>
      </c>
      <c r="GJ104" s="8">
        <f>IF(GJ$56-Voorblad!$F$41&gt;Voorblad!$K$41,0,IF($U104=0,0,IF($U104&lt;1,1/$U104,IF((GJ$56-Voorblad!$F$41)/$U104-SUM($EE104:GI104)=1,1,0))))</f>
        <v>1</v>
      </c>
      <c r="GK104" s="8">
        <f>IF(GK$56-Voorblad!$F$41&gt;Voorblad!$K$41,0,IF($U104=0,0,IF($U104&lt;1,1/$U104,IF((GK$56-Voorblad!$F$41)/$U104-SUM($EE104:GJ104)=1,1,0))))</f>
        <v>1</v>
      </c>
      <c r="GL104" s="8">
        <f>IF(GL$56-Voorblad!$F$41&gt;Voorblad!$K$41,0,IF($U104=0,0,IF($U104&lt;1,1/$U104,IF((GL$56-Voorblad!$F$41)/$U104-SUM($EE104:GK104)=1,1,0))))</f>
        <v>1</v>
      </c>
      <c r="GM104" s="8">
        <f>IF(GM$56-Voorblad!$F$41&gt;Voorblad!$K$41,0,IF($U104=0,0,IF($U104&lt;1,1/$U104,IF((GM$56-Voorblad!$F$41)/$U104-SUM($EE104:GL104)=1,1,0))))</f>
        <v>1</v>
      </c>
      <c r="GN104" s="8">
        <f>IF(GN$56-Voorblad!$F$41&gt;Voorblad!$K$41,0,IF($U104=0,0,IF($U104&lt;1,1/$U104,IF((GN$56-Voorblad!$F$41)/$U104-SUM($EE104:GM104)=1,1,0))))</f>
        <v>1</v>
      </c>
      <c r="GO104" s="8">
        <f>IF(GO$56-Voorblad!$F$41&gt;Voorblad!$K$41,0,IF($U104=0,0,IF($U104&lt;1,1/$U104,IF((GO$56-Voorblad!$F$41)/$U104-SUM($EE104:GN104)=1,1,0))))</f>
        <v>1</v>
      </c>
      <c r="GP104" s="8">
        <f>IF(GP$56-Voorblad!$F$41&gt;Voorblad!$K$41,0,IF($U104=0,0,IF($U104&lt;1,1/$U104,IF((GP$56-Voorblad!$F$41)/$U104-SUM($EE104:GO104)=1,1,0))))</f>
        <v>1</v>
      </c>
      <c r="GQ104" s="8">
        <f>IF(GQ$56-Voorblad!$F$41&gt;Voorblad!$K$41,0,IF($U104=0,0,IF($U104&lt;1,1/$U104,IF((GQ$56-Voorblad!$F$41)/$U104-SUM($EE104:GP104)=1,1,0))))</f>
        <v>1</v>
      </c>
      <c r="GR104" s="8">
        <f>IF(GR$56-Voorblad!$F$41&gt;Voorblad!$K$41,0,IF($U104=0,0,IF($U104&lt;1,1/$U104,IF((GR$56-Voorblad!$F$41)/$U104-SUM($EE104:GQ104)=1,1,0))))</f>
        <v>1</v>
      </c>
      <c r="GS104" s="8">
        <f>IF(GS$56-Voorblad!$F$41&gt;Voorblad!$K$41,0,IF($U104=0,0,IF($U104&lt;1,1/$U104,IF((GS$56-Voorblad!$F$41)/$U104-SUM($EE104:GR104)=1,1,0))))</f>
        <v>1</v>
      </c>
      <c r="GT104" s="8">
        <f>IF(GT$56-Voorblad!$F$41&gt;Voorblad!$K$41,0,IF($U104=0,0,IF($U104&lt;1,1/$U104,IF((GT$56-Voorblad!$F$41)/$U104-SUM($EE104:GS104)=1,1,0))))</f>
        <v>1</v>
      </c>
      <c r="GU104" s="8">
        <f>IF(GU$56-Voorblad!$F$41&gt;Voorblad!$K$41,0,IF($U104=0,0,IF($U104&lt;1,1/$U104,IF((GU$56-Voorblad!$F$41)/$U104-SUM($EE104:GT104)=1,1,0))))</f>
        <v>1</v>
      </c>
      <c r="GV104" s="8">
        <f>IF(GV$56-Voorblad!$F$41&gt;Voorblad!$K$41,0,IF($U104=0,0,IF($U104&lt;1,1/$U104,IF((GV$56-Voorblad!$F$41)/$U104-SUM($EE104:GU104)=1,1,0))))</f>
        <v>1</v>
      </c>
      <c r="GW104" s="8">
        <f>IF(GW$56-Voorblad!$F$41&gt;Voorblad!$K$41,0,IF($U104=0,0,IF($U104&lt;1,1/$U104,IF((GW$56-Voorblad!$F$41)/$U104-SUM($EE104:GV104)=1,1,0))))</f>
        <v>1</v>
      </c>
      <c r="GX104" s="8">
        <f>IF(GX$56-Voorblad!$F$41&gt;Voorblad!$K$41,0,IF($U104=0,0,IF($U104&lt;1,1/$U104,IF((GX$56-Voorblad!$F$41)/$U104-SUM($EE104:GW104)=1,1,0))))</f>
        <v>1</v>
      </c>
      <c r="GY104" s="8">
        <f>IF(GY$56-Voorblad!$F$41&gt;Voorblad!$K$41,0,IF($U104=0,0,IF($U104&lt;1,1/$U104,IF((GY$56-Voorblad!$F$41)/$U104-SUM($EE104:GX104)=1,1,0))))</f>
        <v>1</v>
      </c>
      <c r="GZ104" s="8">
        <f>IF(GZ$56-Voorblad!$F$41&gt;Voorblad!$K$41,0,IF($U104=0,0,IF($U104&lt;1,1/$U104,IF((GZ$56-Voorblad!$F$41)/$U104-SUM($EE104:GY104)=1,1,0))))</f>
        <v>1</v>
      </c>
      <c r="HA104" s="8">
        <f>IF(HA$56-Voorblad!$F$41&gt;Voorblad!$K$41,0,IF($U104=0,0,IF($U104&lt;1,1/$U104,IF((HA$56-Voorblad!$F$41)/$U104-SUM($EE104:GZ104)=1,1,0))))</f>
        <v>1</v>
      </c>
      <c r="HB104" s="8">
        <f>IF(HB$56-Voorblad!$F$41&gt;Voorblad!$K$41,0,IF($U104=0,0,IF($U104&lt;1,1/$U104,IF((HB$56-Voorblad!$F$41)/$U104-SUM($EE104:HA104)=1,1,0))))</f>
        <v>0</v>
      </c>
      <c r="HC104" s="8">
        <f>IF(HC$56-Voorblad!$F$41&gt;Voorblad!$K$41,0,IF($U104=0,0,IF($U104&lt;1,1/$U104,IF((HC$56-Voorblad!$F$41)/$U104-SUM($EE104:HB104)=1,1,0))))</f>
        <v>0</v>
      </c>
      <c r="HD104" s="8">
        <f>IF(HD$56-Voorblad!$F$41&gt;Voorblad!$K$41,0,IF($U104=0,0,IF($U104&lt;1,1/$U104,IF((HD$56-Voorblad!$F$41)/$U104-SUM($EE104:HC104)=1,1,0))))</f>
        <v>0</v>
      </c>
      <c r="HE104" s="8">
        <f>IF(HE$56-Voorblad!$F$41&gt;Voorblad!$K$41,0,IF($U104=0,0,IF($U104&lt;1,1/$U104,IF((HE$56-Voorblad!$F$41)/$U104-SUM($EE104:HD104)=1,1,0))))</f>
        <v>0</v>
      </c>
      <c r="HF104" s="8">
        <f>IF(HF$56-Voorblad!$F$41&gt;Voorblad!$K$41,0,IF($U104=0,0,IF($U104&lt;1,1/$U104,IF((HF$56-Voorblad!$F$41)/$U104-SUM($EE104:HE104)=1,1,0))))</f>
        <v>0</v>
      </c>
      <c r="HG104" s="8">
        <f>IF(HG$56-Voorblad!$F$41&gt;Voorblad!$K$41,0,IF($U104=0,0,IF($U104&lt;1,1/$U104,IF((HG$56-Voorblad!$F$41)/$U104-SUM($EE104:HF104)=1,1,0))))</f>
        <v>0</v>
      </c>
      <c r="HH104" s="8">
        <f>IF(HH$56-Voorblad!$F$41&gt;Voorblad!$K$41,0,IF($U104=0,0,IF($U104&lt;1,1/$U104,IF((HH$56-Voorblad!$F$41)/$U104-SUM($EE104:HG104)=1,1,0))))</f>
        <v>0</v>
      </c>
      <c r="HI104" s="8">
        <f>IF(HI$56-Voorblad!$F$41&gt;Voorblad!$K$41,0,IF($U104=0,0,IF($U104&lt;1,1/$U104,IF((HI$56-Voorblad!$F$41)/$U104-SUM($EE104:HH104)=1,1,0))))</f>
        <v>0</v>
      </c>
      <c r="HJ104" s="8">
        <f>IF(HJ$56-Voorblad!$F$41&gt;Voorblad!$K$41,0,IF($U104=0,0,IF($U104&lt;1,1/$U104,IF((HJ$56-Voorblad!$F$41)/$U104-SUM($EE104:HI104)=1,1,0))))</f>
        <v>0</v>
      </c>
      <c r="HK104" s="8">
        <f>IF(HK$56-Voorblad!$F$41&gt;Voorblad!$K$41,0,IF($U104=0,0,IF($U104&lt;1,1/$U104,IF((HK$56-Voorblad!$F$41)/$U104-SUM($EE104:HJ104)=1,1,0))))</f>
        <v>0</v>
      </c>
      <c r="HL104" s="8">
        <f>IF(HL$56-Voorblad!$F$41&gt;Voorblad!$K$41,0,IF($U104=0,0,IF($U104&lt;1,1/$U104,IF((HL$56-Voorblad!$F$41)/$U104-SUM($EE104:HK104)=1,1,0))))</f>
        <v>0</v>
      </c>
      <c r="HM104" s="8">
        <f>IF(HM$56-Voorblad!$F$41&gt;Voorblad!$K$41,0,IF($U104=0,0,IF($U104&lt;1,1/$U104,IF((HM$56-Voorblad!$F$41)/$U104-SUM($EE104:HL104)=1,1,0))))</f>
        <v>0</v>
      </c>
      <c r="HN104" s="8">
        <f>IF(HN$56-Voorblad!$F$41&gt;Voorblad!$K$41,0,IF($U104=0,0,IF($U104&lt;1,1/$U104,IF((HN$56-Voorblad!$F$41)/$U104-SUM($EE104:HM104)=1,1,0))))</f>
        <v>0</v>
      </c>
      <c r="HO104" s="8">
        <f>IF(HO$56-Voorblad!$F$41&gt;Voorblad!$K$41,0,IF($U104=0,0,IF($U104&lt;1,1/$U104,IF((HO$56-Voorblad!$F$41)/$U104-SUM($EE104:HN104)=1,1,0))))</f>
        <v>0</v>
      </c>
      <c r="HP104" s="8">
        <f>IF(HP$56-Voorblad!$F$41&gt;Voorblad!$K$41,0,IF($U104=0,0,IF($U104&lt;1,1/$U104,IF((HP$56-Voorblad!$F$41)/$U104-SUM($EE104:HO104)=1,1,0))))</f>
        <v>0</v>
      </c>
      <c r="HQ104" s="8">
        <f>IF(HQ$56-Voorblad!$F$41&gt;Voorblad!$K$41,0,IF($U104=0,0,IF($U104&lt;1,1/$U104,IF((HQ$56-Voorblad!$F$41)/$U104-SUM($EE104:HP104)=1,1,0))))</f>
        <v>0</v>
      </c>
      <c r="HR104" s="8">
        <f>IF(HR$56-Voorblad!$F$41&gt;Voorblad!$K$41,0,IF($U104=0,0,IF($U104&lt;1,1/$U104,IF((HR$56-Voorblad!$F$41)/$U104-SUM($EE104:HQ104)=1,1,0))))</f>
        <v>0</v>
      </c>
      <c r="HS104" s="8">
        <f>IF(HS$56-Voorblad!$F$41&gt;Voorblad!$K$41,0,IF($U104=0,0,IF($U104&lt;1,1/$U104,IF((HS$56-Voorblad!$F$41)/$U104-SUM($EE104:HR104)=1,1,0))))</f>
        <v>0</v>
      </c>
      <c r="HT104" s="8">
        <f>IF(HT$56-Voorblad!$F$41&gt;Voorblad!$K$41,0,IF($U104=0,0,IF($U104&lt;1,1/$U104,IF((HT$56-Voorblad!$F$41)/$U104-SUM($EE104:HS104)=1,1,0))))</f>
        <v>0</v>
      </c>
      <c r="HU104" s="8">
        <f>IF(HU$56-Voorblad!$F$41&gt;Voorblad!$K$41,0,IF($U104=0,0,IF($U104&lt;1,1/$U104,IF((HU$56-Voorblad!$F$41)/$U104-SUM($EE104:HT104)=1,1,0))))</f>
        <v>0</v>
      </c>
      <c r="HV104" s="8">
        <f>IF(HV$56-Voorblad!$F$41&gt;Voorblad!$K$41,0,IF($U104=0,0,IF($U104&lt;1,1/$U104,IF((HV$56-Voorblad!$F$41)/$U104-SUM($EE104:HU104)=1,1,0))))</f>
        <v>0</v>
      </c>
      <c r="HW104" s="8">
        <f>IF(HW$56-Voorblad!$F$41&gt;Voorblad!$K$41,0,IF($U104=0,0,IF($U104&lt;1,1/$U104,IF((HW$56-Voorblad!$F$41)/$U104-SUM($EE104:HV104)=1,1,0))))</f>
        <v>0</v>
      </c>
      <c r="HX104" s="8">
        <f>IF(HX$56-Voorblad!$F$41&gt;Voorblad!$K$41,0,IF($U104=0,0,IF($U104&lt;1,1/$U104,IF((HX$56-Voorblad!$F$41)/$U104-SUM($EE104:HW104)=1,1,0))))</f>
        <v>0</v>
      </c>
      <c r="HY104" s="8">
        <f>IF(HY$56-Voorblad!$F$41&gt;Voorblad!$K$41,0,IF($U104=0,0,IF($U104&lt;1,1/$U104,IF((HY$56-Voorblad!$F$41)/$U104-SUM($EE104:HX104)=1,1,0))))</f>
        <v>0</v>
      </c>
      <c r="HZ104" s="8">
        <f>IF(HZ$56-Voorblad!$F$41&gt;Voorblad!$K$41,0,IF($U104=0,0,IF($U104&lt;1,1/$U104,IF((HZ$56-Voorblad!$F$41)/$U104-SUM($EE104:HY104)=1,1,0))))</f>
        <v>0</v>
      </c>
      <c r="IA104" s="8">
        <f>IF(IA$56-Voorblad!$F$41&gt;Voorblad!$K$41,0,IF($U104=0,0,IF($U104&lt;1,1/$U104,IF((IA$56-Voorblad!$F$41)/$U104-SUM($EE104:HZ104)=1,1,0))))</f>
        <v>0</v>
      </c>
      <c r="IB104" s="8">
        <f>IF(IB$56-Voorblad!$F$41&gt;Voorblad!$K$41,0,IF($U104=0,0,IF($U104&lt;1,1/$U104,IF((IB$56-Voorblad!$F$41)/$U104-SUM($EE104:IA104)=1,1,0))))</f>
        <v>0</v>
      </c>
    </row>
    <row r="105" spans="2:236" hidden="1" outlineLevel="1" x14ac:dyDescent="0.25">
      <c r="B105" s="2" t="s">
        <v>271</v>
      </c>
      <c r="C105" s="2"/>
      <c r="E105" s="6"/>
      <c r="F105" s="6"/>
      <c r="G105" s="6"/>
      <c r="H105" s="6"/>
      <c r="I105" s="6"/>
      <c r="J105" s="6"/>
      <c r="K105" s="6"/>
      <c r="L105" s="6"/>
      <c r="M105" s="6"/>
      <c r="N105" s="3"/>
      <c r="R105" s="14"/>
      <c r="S105" s="14"/>
      <c r="T105" s="26">
        <f>SUM(T97:T104)</f>
        <v>0</v>
      </c>
      <c r="U105" s="14"/>
      <c r="V105" s="14"/>
      <c r="W105" s="14"/>
      <c r="X105" s="6"/>
      <c r="Y105" s="23">
        <f>SUM(Y97:Y104)</f>
        <v>0</v>
      </c>
      <c r="Z105" s="24"/>
      <c r="AA105" s="23">
        <f>SUM(AA97:AA104)</f>
        <v>0</v>
      </c>
      <c r="AC105" s="9">
        <f>$Y105*(Voorblad!$K$44*(1+Voorblad!$K$44)^Voorblad!$K$41)/((1+Voorblad!$K$44)^Voorblad!$K$41-1)</f>
        <v>0</v>
      </c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E105" s="8"/>
      <c r="EF105" s="8"/>
      <c r="EG105" s="8"/>
      <c r="EH105" s="8"/>
      <c r="EI105" s="8"/>
      <c r="EJ105" s="8"/>
      <c r="EK105" s="8"/>
      <c r="EL105" s="8"/>
      <c r="EM105" s="8"/>
      <c r="EN105" s="8"/>
      <c r="EO105" s="8"/>
      <c r="EP105" s="8"/>
      <c r="EQ105" s="8"/>
      <c r="ER105" s="8"/>
      <c r="ES105" s="8"/>
      <c r="ET105" s="8"/>
      <c r="EU105" s="8"/>
      <c r="EV105" s="8"/>
      <c r="EW105" s="8"/>
      <c r="EX105" s="8"/>
      <c r="EY105" s="8"/>
      <c r="EZ105" s="8"/>
      <c r="FA105" s="8"/>
      <c r="FB105" s="8"/>
      <c r="FC105" s="8"/>
      <c r="FD105" s="8"/>
      <c r="FE105" s="8"/>
      <c r="FF105" s="8"/>
      <c r="FG105" s="8"/>
      <c r="FH105" s="8"/>
      <c r="FI105" s="8"/>
      <c r="FJ105" s="8"/>
      <c r="FK105" s="8"/>
      <c r="FL105" s="8"/>
      <c r="FM105" s="8"/>
      <c r="FN105" s="8"/>
      <c r="FO105" s="8"/>
      <c r="FP105" s="8"/>
      <c r="FQ105" s="8"/>
      <c r="FR105" s="8"/>
      <c r="FS105" s="8"/>
      <c r="FT105" s="8"/>
      <c r="FU105" s="8"/>
      <c r="FV105" s="8"/>
      <c r="FW105" s="8"/>
      <c r="FX105" s="8"/>
      <c r="FY105" s="8"/>
      <c r="FZ105" s="8"/>
      <c r="GA105" s="8"/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</row>
    <row r="106" spans="2:236" collapsed="1" x14ac:dyDescent="0.25">
      <c r="B106" s="14"/>
      <c r="C106" s="14"/>
      <c r="D106" s="14"/>
      <c r="E106" s="6"/>
      <c r="F106" s="6"/>
      <c r="G106" s="6"/>
      <c r="H106" s="6"/>
      <c r="I106" s="6"/>
      <c r="J106" s="6"/>
      <c r="K106" s="6"/>
      <c r="L106" s="6"/>
      <c r="M106" s="6"/>
      <c r="N106" s="3"/>
      <c r="R106" s="14"/>
      <c r="S106" s="14"/>
      <c r="T106" s="14"/>
      <c r="U106" s="14"/>
      <c r="V106" s="14"/>
      <c r="W106" s="14"/>
      <c r="X106" s="6"/>
      <c r="Y106" s="6"/>
      <c r="Z106" s="6"/>
      <c r="AA106" s="6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E106" s="8"/>
      <c r="EF106" s="8"/>
      <c r="EG106" s="8"/>
      <c r="EH106" s="8"/>
      <c r="EI106" s="8"/>
      <c r="EJ106" s="8"/>
      <c r="EK106" s="8"/>
      <c r="EL106" s="8"/>
      <c r="EM106" s="8"/>
      <c r="EN106" s="8"/>
      <c r="EO106" s="8"/>
      <c r="EP106" s="8"/>
      <c r="EQ106" s="8"/>
      <c r="ER106" s="8"/>
      <c r="ES106" s="8"/>
      <c r="ET106" s="8"/>
      <c r="EU106" s="8"/>
      <c r="EV106" s="8"/>
      <c r="EW106" s="8"/>
      <c r="EX106" s="8"/>
      <c r="EY106" s="8"/>
      <c r="EZ106" s="8"/>
      <c r="FA106" s="8"/>
      <c r="FB106" s="8"/>
      <c r="FC106" s="8"/>
      <c r="FD106" s="8"/>
      <c r="FE106" s="8"/>
      <c r="FF106" s="8"/>
      <c r="FG106" s="8"/>
      <c r="FH106" s="8"/>
      <c r="FI106" s="8"/>
      <c r="FJ106" s="8"/>
      <c r="FK106" s="8"/>
      <c r="FL106" s="8"/>
      <c r="FM106" s="8"/>
      <c r="FN106" s="8"/>
      <c r="FO106" s="8"/>
      <c r="FP106" s="8"/>
      <c r="FQ106" s="8"/>
      <c r="FR106" s="8"/>
      <c r="FS106" s="8"/>
      <c r="FT106" s="8"/>
      <c r="FU106" s="8"/>
      <c r="FV106" s="8"/>
      <c r="FW106" s="8"/>
      <c r="FX106" s="8"/>
      <c r="FY106" s="8"/>
      <c r="FZ106" s="8"/>
      <c r="GA106" s="8"/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</row>
    <row r="107" spans="2:236" x14ac:dyDescent="0.25">
      <c r="B107" s="14"/>
      <c r="C107" s="14"/>
      <c r="D107" s="14"/>
      <c r="E107" s="6"/>
      <c r="F107" s="6"/>
      <c r="G107" s="6"/>
      <c r="H107" s="6"/>
      <c r="I107" s="6"/>
      <c r="J107" s="6"/>
      <c r="K107" s="6"/>
      <c r="L107" s="6"/>
      <c r="M107" s="6"/>
      <c r="N107" s="3"/>
      <c r="R107" s="14"/>
      <c r="S107" s="14"/>
      <c r="T107" s="14"/>
      <c r="U107" s="14"/>
      <c r="V107" s="14"/>
      <c r="W107" s="14"/>
      <c r="X107" s="6"/>
      <c r="Y107" s="6"/>
      <c r="Z107" s="6"/>
      <c r="AA107" s="6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E107" s="8"/>
      <c r="EF107" s="8"/>
      <c r="EG107" s="8"/>
      <c r="EH107" s="8"/>
      <c r="EI107" s="8"/>
      <c r="EJ107" s="8"/>
      <c r="EK107" s="8"/>
      <c r="EL107" s="8"/>
      <c r="EM107" s="8"/>
      <c r="EN107" s="8"/>
      <c r="EO107" s="8"/>
      <c r="EP107" s="8"/>
      <c r="EQ107" s="8"/>
      <c r="ER107" s="8"/>
      <c r="ES107" s="8"/>
      <c r="ET107" s="8"/>
      <c r="EU107" s="8"/>
      <c r="EV107" s="8"/>
      <c r="EW107" s="8"/>
      <c r="EX107" s="8"/>
      <c r="EY107" s="8"/>
      <c r="EZ107" s="8"/>
      <c r="FA107" s="8"/>
      <c r="FB107" s="8"/>
      <c r="FC107" s="8"/>
      <c r="FD107" s="8"/>
      <c r="FE107" s="8"/>
      <c r="FF107" s="8"/>
      <c r="FG107" s="8"/>
      <c r="FH107" s="8"/>
      <c r="FI107" s="8"/>
      <c r="FJ107" s="8"/>
      <c r="FK107" s="8"/>
      <c r="FL107" s="8"/>
      <c r="FM107" s="8"/>
      <c r="FN107" s="8"/>
      <c r="FO107" s="8"/>
      <c r="FP107" s="8"/>
      <c r="FQ107" s="8"/>
      <c r="FR107" s="8"/>
      <c r="FS107" s="8"/>
      <c r="FT107" s="8"/>
      <c r="FU107" s="8"/>
      <c r="FV107" s="8"/>
      <c r="FW107" s="8"/>
      <c r="FX107" s="8"/>
      <c r="FY107" s="8"/>
      <c r="FZ107" s="8"/>
      <c r="GA107" s="8"/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</row>
    <row r="108" spans="2:236" ht="12" customHeight="1" x14ac:dyDescent="0.3">
      <c r="B108" s="19" t="s">
        <v>43</v>
      </c>
      <c r="C108" s="19"/>
      <c r="K108" s="8"/>
      <c r="L108" s="8"/>
      <c r="M108" s="8"/>
      <c r="N108" s="3"/>
      <c r="O108" s="8"/>
      <c r="P108" s="8"/>
      <c r="Q108" s="8"/>
      <c r="S108" s="14"/>
      <c r="T108" s="14"/>
      <c r="U108" s="8"/>
      <c r="V108" s="14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E108" s="8"/>
      <c r="EF108" s="8"/>
      <c r="EG108" s="8"/>
      <c r="EH108" s="8"/>
      <c r="EI108" s="8"/>
      <c r="EJ108" s="8"/>
      <c r="EK108" s="8"/>
      <c r="EL108" s="8"/>
      <c r="EM108" s="8"/>
      <c r="EN108" s="8"/>
      <c r="EO108" s="8"/>
      <c r="EP108" s="8"/>
      <c r="EQ108" s="8"/>
      <c r="ER108" s="8"/>
      <c r="ES108" s="8"/>
      <c r="ET108" s="8"/>
      <c r="EU108" s="8"/>
      <c r="EV108" s="8"/>
      <c r="EW108" s="8"/>
      <c r="EX108" s="8"/>
      <c r="EY108" s="8"/>
      <c r="EZ108" s="8"/>
      <c r="FA108" s="8"/>
      <c r="FB108" s="8"/>
      <c r="FC108" s="8"/>
      <c r="FD108" s="8"/>
      <c r="FE108" s="8"/>
      <c r="FF108" s="8"/>
      <c r="FG108" s="8"/>
      <c r="FH108" s="8"/>
      <c r="FI108" s="8"/>
      <c r="FJ108" s="8"/>
      <c r="FK108" s="8"/>
      <c r="FL108" s="8"/>
      <c r="FM108" s="8"/>
      <c r="FN108" s="8"/>
      <c r="FO108" s="8"/>
      <c r="FP108" s="8"/>
      <c r="FQ108" s="8"/>
      <c r="FR108" s="8"/>
      <c r="FS108" s="8"/>
      <c r="FT108" s="8"/>
      <c r="FU108" s="8"/>
      <c r="FV108" s="8"/>
      <c r="FW108" s="8"/>
      <c r="FX108" s="8"/>
      <c r="FY108" s="8"/>
      <c r="FZ108" s="8"/>
      <c r="GA108" s="8"/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</row>
    <row r="109" spans="2:236" ht="12" customHeight="1" outlineLevel="1" x14ac:dyDescent="0.25">
      <c r="B109" s="1">
        <v>3</v>
      </c>
      <c r="F109" s="1" t="s">
        <v>23</v>
      </c>
      <c r="I109" s="1" t="s">
        <v>276</v>
      </c>
      <c r="K109" s="1" t="s">
        <v>86</v>
      </c>
      <c r="P109" s="8"/>
      <c r="Q109" s="81">
        <v>1</v>
      </c>
      <c r="R109" s="1" t="s">
        <v>33</v>
      </c>
      <c r="S109" s="14">
        <f>$H$20*500</f>
        <v>885</v>
      </c>
      <c r="T109" s="9">
        <f t="shared" ref="T109:T124" si="20">Q109*S109</f>
        <v>885</v>
      </c>
      <c r="U109" s="14">
        <v>5</v>
      </c>
      <c r="V109" s="14"/>
      <c r="Y109" s="9">
        <f t="shared" ref="Y109:Y153" si="21">SUM(AE109:EB109)</f>
        <v>5538.9619080568518</v>
      </c>
      <c r="Z109" s="82"/>
      <c r="AA109" s="82"/>
      <c r="AC109" s="9">
        <f>$Y109*(Voorblad!$K$44*(1+Voorblad!$K$44)^Voorblad!$K$41)/((1+Voorblad!$K$44)^Voorblad!$K$41-1)</f>
        <v>165.81258814202764</v>
      </c>
      <c r="AE109" s="9">
        <f>EF109*($Q109*$S109)/(1+Voorblad!$K$44)^(AE$56-Voorblad!$F$41)</f>
        <v>0</v>
      </c>
      <c r="AF109" s="9">
        <f>EG109*($Q109*$S109)/(1+Voorblad!$K$44)^(AF$56-Voorblad!$F$41)</f>
        <v>0</v>
      </c>
      <c r="AG109" s="9">
        <f>EH109*($Q109*$S109)/(1+Voorblad!$K$44)^(AG$56-Voorblad!$F$41)</f>
        <v>0</v>
      </c>
      <c r="AH109" s="9">
        <f>EI109*($Q109*$S109)/(1+Voorblad!$K$44)^(AH$56-Voorblad!$F$41)</f>
        <v>0</v>
      </c>
      <c r="AI109" s="9">
        <f>EJ109*($Q109*$S109)/(1+Voorblad!$K$44)^(AI$56-Voorblad!$F$41)</f>
        <v>0</v>
      </c>
      <c r="AJ109" s="9">
        <f>EK109*($Q109*$S109)/(1+Voorblad!$K$44)^(AJ$56-Voorblad!$F$41)</f>
        <v>782.21104453442274</v>
      </c>
      <c r="AK109" s="9">
        <f>EL109*($Q109*$S109)/(1+Voorblad!$K$44)^(AK$56-Voorblad!$F$41)</f>
        <v>0</v>
      </c>
      <c r="AL109" s="9">
        <f>EM109*($Q109*$S109)/(1+Voorblad!$K$44)^(AL$56-Voorblad!$F$41)</f>
        <v>0</v>
      </c>
      <c r="AM109" s="9">
        <f>EN109*($Q109*$S109)/(1+Voorblad!$K$44)^(AM$56-Voorblad!$F$41)</f>
        <v>0</v>
      </c>
      <c r="AN109" s="9">
        <f>EO109*($Q109*$S109)/(1+Voorblad!$K$44)^(AN$56-Voorblad!$F$41)</f>
        <v>0</v>
      </c>
      <c r="AO109" s="9">
        <f>EP109*($Q109*$S109)/(1+Voorblad!$K$44)^(AO$56-Voorblad!$F$41)</f>
        <v>691.36058552726843</v>
      </c>
      <c r="AP109" s="9">
        <f>EQ109*($Q109*$S109)/(1+Voorblad!$K$44)^(AP$56-Voorblad!$F$41)</f>
        <v>0</v>
      </c>
      <c r="AQ109" s="9">
        <f>ER109*($Q109*$S109)/(1+Voorblad!$K$44)^(AQ$56-Voorblad!$F$41)</f>
        <v>0</v>
      </c>
      <c r="AR109" s="9">
        <f>ES109*($Q109*$S109)/(1+Voorblad!$K$44)^(AR$56-Voorblad!$F$41)</f>
        <v>0</v>
      </c>
      <c r="AS109" s="9">
        <f>ET109*($Q109*$S109)/(1+Voorblad!$K$44)^(AS$56-Voorblad!$F$41)</f>
        <v>0</v>
      </c>
      <c r="AT109" s="9">
        <f>EU109*($Q109*$S109)/(1+Voorblad!$K$44)^(AT$56-Voorblad!$F$41)</f>
        <v>611.0620178025024</v>
      </c>
      <c r="AU109" s="9">
        <f>EV109*($Q109*$S109)/(1+Voorblad!$K$44)^(AU$56-Voorblad!$F$41)</f>
        <v>0</v>
      </c>
      <c r="AV109" s="9">
        <f>EW109*($Q109*$S109)/(1+Voorblad!$K$44)^(AV$56-Voorblad!$F$41)</f>
        <v>0</v>
      </c>
      <c r="AW109" s="9">
        <f>EX109*($Q109*$S109)/(1+Voorblad!$K$44)^(AW$56-Voorblad!$F$41)</f>
        <v>0</v>
      </c>
      <c r="AX109" s="9">
        <f>EY109*($Q109*$S109)/(1+Voorblad!$K$44)^(AX$56-Voorblad!$F$41)</f>
        <v>0</v>
      </c>
      <c r="AY109" s="9">
        <f>EZ109*($Q109*$S109)/(1+Voorblad!$K$44)^(AY$56-Voorblad!$F$41)</f>
        <v>540.08978443006492</v>
      </c>
      <c r="AZ109" s="9">
        <f>FA109*($Q109*$S109)/(1+Voorblad!$K$44)^(AZ$56-Voorblad!$F$41)</f>
        <v>0</v>
      </c>
      <c r="BA109" s="9">
        <f>FB109*($Q109*$S109)/(1+Voorblad!$K$44)^(BA$56-Voorblad!$F$41)</f>
        <v>0</v>
      </c>
      <c r="BB109" s="9">
        <f>FC109*($Q109*$S109)/(1+Voorblad!$K$44)^(BB$56-Voorblad!$F$41)</f>
        <v>0</v>
      </c>
      <c r="BC109" s="9">
        <f>FD109*($Q109*$S109)/(1+Voorblad!$K$44)^(BC$56-Voorblad!$F$41)</f>
        <v>0</v>
      </c>
      <c r="BD109" s="9">
        <f>FE109*($Q109*$S109)/(1+Voorblad!$K$44)^(BD$56-Voorblad!$F$41)</f>
        <v>477.36067166261267</v>
      </c>
      <c r="BE109" s="9">
        <f>FF109*($Q109*$S109)/(1+Voorblad!$K$44)^(BE$56-Voorblad!$F$41)</f>
        <v>0</v>
      </c>
      <c r="BF109" s="9">
        <f>FG109*($Q109*$S109)/(1+Voorblad!$K$44)^(BF$56-Voorblad!$F$41)</f>
        <v>0</v>
      </c>
      <c r="BG109" s="9">
        <f>FH109*($Q109*$S109)/(1+Voorblad!$K$44)^(BG$56-Voorblad!$F$41)</f>
        <v>0</v>
      </c>
      <c r="BH109" s="9">
        <f>FI109*($Q109*$S109)/(1+Voorblad!$K$44)^(BH$56-Voorblad!$F$41)</f>
        <v>0</v>
      </c>
      <c r="BI109" s="9">
        <f>FJ109*($Q109*$S109)/(1+Voorblad!$K$44)^(BI$56-Voorblad!$F$41)</f>
        <v>421.9172763851592</v>
      </c>
      <c r="BJ109" s="9">
        <f>FK109*($Q109*$S109)/(1+Voorblad!$K$44)^(BJ$56-Voorblad!$F$41)</f>
        <v>0</v>
      </c>
      <c r="BK109" s="9">
        <f>FL109*($Q109*$S109)/(1+Voorblad!$K$44)^(BK$56-Voorblad!$F$41)</f>
        <v>0</v>
      </c>
      <c r="BL109" s="9">
        <f>FM109*($Q109*$S109)/(1+Voorblad!$K$44)^(BL$56-Voorblad!$F$41)</f>
        <v>0</v>
      </c>
      <c r="BM109" s="9">
        <f>FN109*($Q109*$S109)/(1+Voorblad!$K$44)^(BM$56-Voorblad!$F$41)</f>
        <v>0</v>
      </c>
      <c r="BN109" s="9">
        <f>FO109*($Q109*$S109)/(1+Voorblad!$K$44)^(BN$56-Voorblad!$F$41)</f>
        <v>372.9133937495526</v>
      </c>
      <c r="BO109" s="9">
        <f>FP109*($Q109*$S109)/(1+Voorblad!$K$44)^(BO$56-Voorblad!$F$41)</f>
        <v>0</v>
      </c>
      <c r="BP109" s="9">
        <f>FQ109*($Q109*$S109)/(1+Voorblad!$K$44)^(BP$56-Voorblad!$F$41)</f>
        <v>0</v>
      </c>
      <c r="BQ109" s="9">
        <f>FR109*($Q109*$S109)/(1+Voorblad!$K$44)^(BQ$56-Voorblad!$F$41)</f>
        <v>0</v>
      </c>
      <c r="BR109" s="9">
        <f>FS109*($Q109*$S109)/(1+Voorblad!$K$44)^(BR$56-Voorblad!$F$41)</f>
        <v>0</v>
      </c>
      <c r="BS109" s="9">
        <f>FT109*($Q109*$S109)/(1+Voorblad!$K$44)^(BS$56-Voorblad!$F$41)</f>
        <v>329.60110197255818</v>
      </c>
      <c r="BT109" s="9">
        <f>FU109*($Q109*$S109)/(1+Voorblad!$K$44)^(BT$56-Voorblad!$F$41)</f>
        <v>0</v>
      </c>
      <c r="BU109" s="9">
        <f>FV109*($Q109*$S109)/(1+Voorblad!$K$44)^(BU$56-Voorblad!$F$41)</f>
        <v>0</v>
      </c>
      <c r="BV109" s="9">
        <f>FW109*($Q109*$S109)/(1+Voorblad!$K$44)^(BV$56-Voorblad!$F$41)</f>
        <v>0</v>
      </c>
      <c r="BW109" s="9">
        <f>FX109*($Q109*$S109)/(1+Voorblad!$K$44)^(BW$56-Voorblad!$F$41)</f>
        <v>0</v>
      </c>
      <c r="BX109" s="9">
        <f>FY109*($Q109*$S109)/(1+Voorblad!$K$44)^(BX$56-Voorblad!$F$41)</f>
        <v>291.3193471792672</v>
      </c>
      <c r="BY109" s="9">
        <f>FZ109*($Q109*$S109)/(1+Voorblad!$K$44)^(BY$56-Voorblad!$F$41)</f>
        <v>0</v>
      </c>
      <c r="BZ109" s="9">
        <f>GA109*($Q109*$S109)/(1+Voorblad!$K$44)^(BZ$56-Voorblad!$F$41)</f>
        <v>0</v>
      </c>
      <c r="CA109" s="9">
        <f>GB109*($Q109*$S109)/(1+Voorblad!$K$44)^(CA$56-Voorblad!$F$41)</f>
        <v>0</v>
      </c>
      <c r="CB109" s="9">
        <f>GC109*($Q109*$S109)/(1+Voorblad!$K$44)^(CB$56-Voorblad!$F$41)</f>
        <v>0</v>
      </c>
      <c r="CC109" s="9">
        <f>GD109*($Q109*$S109)/(1+Voorblad!$K$44)^(CC$56-Voorblad!$F$41)</f>
        <v>257.48385406800077</v>
      </c>
      <c r="CD109" s="9">
        <f>GE109*($Q109*$S109)/(1+Voorblad!$K$44)^(CD$56-Voorblad!$F$41)</f>
        <v>0</v>
      </c>
      <c r="CE109" s="9">
        <f>GF109*($Q109*$S109)/(1+Voorblad!$K$44)^(CE$56-Voorblad!$F$41)</f>
        <v>0</v>
      </c>
      <c r="CF109" s="9">
        <f>GG109*($Q109*$S109)/(1+Voorblad!$K$44)^(CF$56-Voorblad!$F$41)</f>
        <v>0</v>
      </c>
      <c r="CG109" s="9">
        <f>GH109*($Q109*$S109)/(1+Voorblad!$K$44)^(CG$56-Voorblad!$F$41)</f>
        <v>0</v>
      </c>
      <c r="CH109" s="9">
        <f>GI109*($Q109*$S109)/(1+Voorblad!$K$44)^(CH$56-Voorblad!$F$41)</f>
        <v>227.57820840822569</v>
      </c>
      <c r="CI109" s="9">
        <f>GJ109*($Q109*$S109)/(1+Voorblad!$K$44)^(CI$56-Voorblad!$F$41)</f>
        <v>0</v>
      </c>
      <c r="CJ109" s="9">
        <f>GK109*($Q109*$S109)/(1+Voorblad!$K$44)^(CJ$56-Voorblad!$F$41)</f>
        <v>0</v>
      </c>
      <c r="CK109" s="9">
        <f>GL109*($Q109*$S109)/(1+Voorblad!$K$44)^(CK$56-Voorblad!$F$41)</f>
        <v>0</v>
      </c>
      <c r="CL109" s="9">
        <f>GM109*($Q109*$S109)/(1+Voorblad!$K$44)^(CL$56-Voorblad!$F$41)</f>
        <v>0</v>
      </c>
      <c r="CM109" s="9">
        <f>GN109*($Q109*$S109)/(1+Voorblad!$K$44)^(CM$56-Voorblad!$F$41)</f>
        <v>201.14597526810255</v>
      </c>
      <c r="CN109" s="9">
        <f>GO109*($Q109*$S109)/(1+Voorblad!$K$44)^(CN$56-Voorblad!$F$41)</f>
        <v>0</v>
      </c>
      <c r="CO109" s="9">
        <f>GP109*($Q109*$S109)/(1+Voorblad!$K$44)^(CO$56-Voorblad!$F$41)</f>
        <v>0</v>
      </c>
      <c r="CP109" s="9">
        <f>GQ109*($Q109*$S109)/(1+Voorblad!$K$44)^(CP$56-Voorblad!$F$41)</f>
        <v>0</v>
      </c>
      <c r="CQ109" s="9">
        <f>GR109*($Q109*$S109)/(1+Voorblad!$K$44)^(CQ$56-Voorblad!$F$41)</f>
        <v>0</v>
      </c>
      <c r="CR109" s="9">
        <f>GS109*($Q109*$S109)/(1+Voorblad!$K$44)^(CR$56-Voorblad!$F$41)</f>
        <v>177.78373267611033</v>
      </c>
      <c r="CS109" s="9">
        <f>GT109*($Q109*$S109)/(1+Voorblad!$K$44)^(CS$56-Voorblad!$F$41)</f>
        <v>0</v>
      </c>
      <c r="CT109" s="9">
        <f>GU109*($Q109*$S109)/(1+Voorblad!$K$44)^(CT$56-Voorblad!$F$41)</f>
        <v>0</v>
      </c>
      <c r="CU109" s="9">
        <f>GV109*($Q109*$S109)/(1+Voorblad!$K$44)^(CU$56-Voorblad!$F$41)</f>
        <v>0</v>
      </c>
      <c r="CV109" s="9">
        <f>GW109*($Q109*$S109)/(1+Voorblad!$K$44)^(CV$56-Voorblad!$F$41)</f>
        <v>0</v>
      </c>
      <c r="CW109" s="9">
        <f>GX109*($Q109*$S109)/(1+Voorblad!$K$44)^(CW$56-Voorblad!$F$41)</f>
        <v>157.13491439300432</v>
      </c>
      <c r="CX109" s="9">
        <f>GY109*($Q109*$S109)/(1+Voorblad!$K$44)^(CX$56-Voorblad!$F$41)</f>
        <v>0</v>
      </c>
      <c r="CY109" s="9">
        <f>GZ109*($Q109*$S109)/(1+Voorblad!$K$44)^(CY$56-Voorblad!$F$41)</f>
        <v>0</v>
      </c>
      <c r="CZ109" s="9">
        <f>HA109*($Q109*$S109)/(1+Voorblad!$K$44)^(CZ$56-Voorblad!$F$41)</f>
        <v>0</v>
      </c>
      <c r="DA109" s="9">
        <f>HB109*($Q109*$S109)/(1+Voorblad!$K$44)^(DA$56-Voorblad!$F$41)</f>
        <v>0</v>
      </c>
      <c r="DB109" s="9">
        <f>HC109*($Q109*$S109)/(1+Voorblad!$K$44)^(DB$56-Voorblad!$F$41)</f>
        <v>0</v>
      </c>
      <c r="DC109" s="9">
        <f>HD109*($Q109*$S109)/(1+Voorblad!$K$44)^(DC$56-Voorblad!$F$41)</f>
        <v>0</v>
      </c>
      <c r="DD109" s="9">
        <f>HE109*($Q109*$S109)/(1+Voorblad!$K$44)^(DD$56-Voorblad!$F$41)</f>
        <v>0</v>
      </c>
      <c r="DE109" s="9">
        <f>HF109*($Q109*$S109)/(1+Voorblad!$K$44)^(DE$56-Voorblad!$F$41)</f>
        <v>0</v>
      </c>
      <c r="DF109" s="9">
        <f>HG109*($Q109*$S109)/(1+Voorblad!$K$44)^(DF$56-Voorblad!$F$41)</f>
        <v>0</v>
      </c>
      <c r="DG109" s="9">
        <f>HH109*($Q109*$S109)/(1+Voorblad!$K$44)^(DG$56-Voorblad!$F$41)</f>
        <v>0</v>
      </c>
      <c r="DH109" s="9">
        <f>HI109*($Q109*$S109)/(1+Voorblad!$K$44)^(DH$56-Voorblad!$F$41)</f>
        <v>0</v>
      </c>
      <c r="DI109" s="9">
        <f>HJ109*($Q109*$S109)/(1+Voorblad!$K$44)^(DI$56-Voorblad!$F$41)</f>
        <v>0</v>
      </c>
      <c r="DJ109" s="9">
        <f>HK109*($Q109*$S109)/(1+Voorblad!$K$44)^(DJ$56-Voorblad!$F$41)</f>
        <v>0</v>
      </c>
      <c r="DK109" s="9">
        <f>HL109*($Q109*$S109)/(1+Voorblad!$K$44)^(DK$56-Voorblad!$F$41)</f>
        <v>0</v>
      </c>
      <c r="DL109" s="9">
        <f>HM109*($Q109*$S109)/(1+Voorblad!$K$44)^(DL$56-Voorblad!$F$41)</f>
        <v>0</v>
      </c>
      <c r="DM109" s="9">
        <f>HN109*($Q109*$S109)/(1+Voorblad!$K$44)^(DM$56-Voorblad!$F$41)</f>
        <v>0</v>
      </c>
      <c r="DN109" s="9">
        <f>HO109*($Q109*$S109)/(1+Voorblad!$K$44)^(DN$56-Voorblad!$F$41)</f>
        <v>0</v>
      </c>
      <c r="DO109" s="9">
        <f>HP109*($Q109*$S109)/(1+Voorblad!$K$44)^(DO$56-Voorblad!$F$41)</f>
        <v>0</v>
      </c>
      <c r="DP109" s="9">
        <f>HQ109*($Q109*$S109)/(1+Voorblad!$K$44)^(DP$56-Voorblad!$F$41)</f>
        <v>0</v>
      </c>
      <c r="DQ109" s="9">
        <f>HR109*($Q109*$S109)/(1+Voorblad!$K$44)^(DQ$56-Voorblad!$F$41)</f>
        <v>0</v>
      </c>
      <c r="DR109" s="9">
        <f>HS109*($Q109*$S109)/(1+Voorblad!$K$44)^(DR$56-Voorblad!$F$41)</f>
        <v>0</v>
      </c>
      <c r="DS109" s="9">
        <f>HT109*($Q109*$S109)/(1+Voorblad!$K$44)^(DS$56-Voorblad!$F$41)</f>
        <v>0</v>
      </c>
      <c r="DT109" s="9">
        <f>HU109*($Q109*$S109)/(1+Voorblad!$K$44)^(DT$56-Voorblad!$F$41)</f>
        <v>0</v>
      </c>
      <c r="DU109" s="9">
        <f>HV109*($Q109*$S109)/(1+Voorblad!$K$44)^(DU$56-Voorblad!$F$41)</f>
        <v>0</v>
      </c>
      <c r="DV109" s="9">
        <f>HW109*($Q109*$S109)/(1+Voorblad!$K$44)^(DV$56-Voorblad!$F$41)</f>
        <v>0</v>
      </c>
      <c r="DW109" s="9">
        <f>HX109*($Q109*$S109)/(1+Voorblad!$K$44)^(DW$56-Voorblad!$F$41)</f>
        <v>0</v>
      </c>
      <c r="DX109" s="9">
        <f>HY109*($Q109*$S109)/(1+Voorblad!$K$44)^(DX$56-Voorblad!$F$41)</f>
        <v>0</v>
      </c>
      <c r="DY109" s="9">
        <f>HZ109*($Q109*$S109)/(1+Voorblad!$K$44)^(DY$56-Voorblad!$F$41)</f>
        <v>0</v>
      </c>
      <c r="DZ109" s="9">
        <f>IA109*($Q109*$S109)/(1+Voorblad!$K$44)^(DZ$56-Voorblad!$F$41)</f>
        <v>0</v>
      </c>
      <c r="EA109" s="9">
        <f>IB109*($Q109*$S109)/(1+Voorblad!$K$44)^(EA$56-Voorblad!$F$41)</f>
        <v>0</v>
      </c>
      <c r="EB109" s="9">
        <f>IC109*($Q109*$S109)/(1+Voorblad!$K$44)^(EB$56-Voorblad!$F$41)</f>
        <v>0</v>
      </c>
      <c r="EE109" s="8">
        <v>0</v>
      </c>
      <c r="EF109" s="8">
        <f>IF(EF$56-Voorblad!$F$41&gt;Voorblad!$K$41,0,IF($U109=0,0,IF($U109&lt;1,1/$U109,IF((EF$56-Voorblad!$F$41)/$U109-SUM($EE109:EE109)=1,1,0))))</f>
        <v>0</v>
      </c>
      <c r="EG109" s="8">
        <f>IF(EG$56-Voorblad!$F$41&gt;Voorblad!$K$41,0,IF($U109=0,0,IF($U109&lt;1,1/$U109,IF((EG$56-Voorblad!$F$41)/$U109-SUM($EE109:EF109)=1,1,0))))</f>
        <v>0</v>
      </c>
      <c r="EH109" s="8">
        <f>IF(EH$56-Voorblad!$F$41&gt;Voorblad!$K$41,0,IF($U109=0,0,IF($U109&lt;1,1/$U109,IF((EH$56-Voorblad!$F$41)/$U109-SUM($EE109:EG109)=1,1,0))))</f>
        <v>0</v>
      </c>
      <c r="EI109" s="8">
        <f>IF(EI$56-Voorblad!$F$41&gt;Voorblad!$K$41,0,IF($U109=0,0,IF($U109&lt;1,1/$U109,IF((EI$56-Voorblad!$F$41)/$U109-SUM($EE109:EH109)=1,1,0))))</f>
        <v>0</v>
      </c>
      <c r="EJ109" s="8">
        <f>IF(EJ$56-Voorblad!$F$41&gt;Voorblad!$K$41,0,IF($U109=0,0,IF($U109&lt;1,1/$U109,IF((EJ$56-Voorblad!$F$41)/$U109-SUM($EE109:EI109)=1,1,0))))</f>
        <v>0</v>
      </c>
      <c r="EK109" s="8">
        <f>IF(EK$56-Voorblad!$F$41&gt;Voorblad!$K$41,0,IF($U109=0,0,IF($U109&lt;1,1/$U109,IF((EK$56-Voorblad!$F$41)/$U109-SUM($EE109:EJ109)=1,1,0))))</f>
        <v>1</v>
      </c>
      <c r="EL109" s="8">
        <f>IF(EL$56-Voorblad!$F$41&gt;Voorblad!$K$41,0,IF($U109=0,0,IF($U109&lt;1,1/$U109,IF((EL$56-Voorblad!$F$41)/$U109-SUM($EE109:EK109)=1,1,0))))</f>
        <v>0</v>
      </c>
      <c r="EM109" s="8">
        <f>IF(EM$56-Voorblad!$F$41&gt;Voorblad!$K$41,0,IF($U109=0,0,IF($U109&lt;1,1/$U109,IF((EM$56-Voorblad!$F$41)/$U109-SUM($EE109:EL109)=1,1,0))))</f>
        <v>0</v>
      </c>
      <c r="EN109" s="8">
        <f>IF(EN$56-Voorblad!$F$41&gt;Voorblad!$K$41,0,IF($U109=0,0,IF($U109&lt;1,1/$U109,IF((EN$56-Voorblad!$F$41)/$U109-SUM($EE109:EM109)=1,1,0))))</f>
        <v>0</v>
      </c>
      <c r="EO109" s="8">
        <f>IF(EO$56-Voorblad!$F$41&gt;Voorblad!$K$41,0,IF($U109=0,0,IF($U109&lt;1,1/$U109,IF((EO$56-Voorblad!$F$41)/$U109-SUM($EE109:EN109)=1,1,0))))</f>
        <v>0</v>
      </c>
      <c r="EP109" s="8">
        <f>IF(EP$56-Voorblad!$F$41&gt;Voorblad!$K$41,0,IF($U109=0,0,IF($U109&lt;1,1/$U109,IF((EP$56-Voorblad!$F$41)/$U109-SUM($EE109:EO109)=1,1,0))))</f>
        <v>1</v>
      </c>
      <c r="EQ109" s="8">
        <f>IF(EQ$56-Voorblad!$F$41&gt;Voorblad!$K$41,0,IF($U109=0,0,IF($U109&lt;1,1/$U109,IF((EQ$56-Voorblad!$F$41)/$U109-SUM($EE109:EP109)=1,1,0))))</f>
        <v>0</v>
      </c>
      <c r="ER109" s="8">
        <f>IF(ER$56-Voorblad!$F$41&gt;Voorblad!$K$41,0,IF($U109=0,0,IF($U109&lt;1,1/$U109,IF((ER$56-Voorblad!$F$41)/$U109-SUM($EE109:EQ109)=1,1,0))))</f>
        <v>0</v>
      </c>
      <c r="ES109" s="8">
        <f>IF(ES$56-Voorblad!$F$41&gt;Voorblad!$K$41,0,IF($U109=0,0,IF($U109&lt;1,1/$U109,IF((ES$56-Voorblad!$F$41)/$U109-SUM($EE109:ER109)=1,1,0))))</f>
        <v>0</v>
      </c>
      <c r="ET109" s="8">
        <f>IF(ET$56-Voorblad!$F$41&gt;Voorblad!$K$41,0,IF($U109=0,0,IF($U109&lt;1,1/$U109,IF((ET$56-Voorblad!$F$41)/$U109-SUM($EE109:ES109)=1,1,0))))</f>
        <v>0</v>
      </c>
      <c r="EU109" s="8">
        <f>IF(EU$56-Voorblad!$F$41&gt;Voorblad!$K$41,0,IF($U109=0,0,IF($U109&lt;1,1/$U109,IF((EU$56-Voorblad!$F$41)/$U109-SUM($EE109:ET109)=1,1,0))))</f>
        <v>1</v>
      </c>
      <c r="EV109" s="8">
        <f>IF(EV$56-Voorblad!$F$41&gt;Voorblad!$K$41,0,IF($U109=0,0,IF($U109&lt;1,1/$U109,IF((EV$56-Voorblad!$F$41)/$U109-SUM($EE109:EU109)=1,1,0))))</f>
        <v>0</v>
      </c>
      <c r="EW109" s="8">
        <f>IF(EW$56-Voorblad!$F$41&gt;Voorblad!$K$41,0,IF($U109=0,0,IF($U109&lt;1,1/$U109,IF((EW$56-Voorblad!$F$41)/$U109-SUM($EE109:EV109)=1,1,0))))</f>
        <v>0</v>
      </c>
      <c r="EX109" s="8">
        <f>IF(EX$56-Voorblad!$F$41&gt;Voorblad!$K$41,0,IF($U109=0,0,IF($U109&lt;1,1/$U109,IF((EX$56-Voorblad!$F$41)/$U109-SUM($EE109:EW109)=1,1,0))))</f>
        <v>0</v>
      </c>
      <c r="EY109" s="8">
        <f>IF(EY$56-Voorblad!$F$41&gt;Voorblad!$K$41,0,IF($U109=0,0,IF($U109&lt;1,1/$U109,IF((EY$56-Voorblad!$F$41)/$U109-SUM($EE109:EX109)=1,1,0))))</f>
        <v>0</v>
      </c>
      <c r="EZ109" s="8">
        <f>IF(EZ$56-Voorblad!$F$41&gt;Voorblad!$K$41,0,IF($U109=0,0,IF($U109&lt;1,1/$U109,IF((EZ$56-Voorblad!$F$41)/$U109-SUM($EE109:EY109)=1,1,0))))</f>
        <v>1</v>
      </c>
      <c r="FA109" s="8">
        <f>IF(FA$56-Voorblad!$F$41&gt;Voorblad!$K$41,0,IF($U109=0,0,IF($U109&lt;1,1/$U109,IF((FA$56-Voorblad!$F$41)/$U109-SUM($EE109:EZ109)=1,1,0))))</f>
        <v>0</v>
      </c>
      <c r="FB109" s="8">
        <f>IF(FB$56-Voorblad!$F$41&gt;Voorblad!$K$41,0,IF($U109=0,0,IF($U109&lt;1,1/$U109,IF((FB$56-Voorblad!$F$41)/$U109-SUM($EE109:FA109)=1,1,0))))</f>
        <v>0</v>
      </c>
      <c r="FC109" s="8">
        <f>IF(FC$56-Voorblad!$F$41&gt;Voorblad!$K$41,0,IF($U109=0,0,IF($U109&lt;1,1/$U109,IF((FC$56-Voorblad!$F$41)/$U109-SUM($EE109:FB109)=1,1,0))))</f>
        <v>0</v>
      </c>
      <c r="FD109" s="8">
        <f>IF(FD$56-Voorblad!$F$41&gt;Voorblad!$K$41,0,IF($U109=0,0,IF($U109&lt;1,1/$U109,IF((FD$56-Voorblad!$F$41)/$U109-SUM($EE109:FC109)=1,1,0))))</f>
        <v>0</v>
      </c>
      <c r="FE109" s="8">
        <f>IF(FE$56-Voorblad!$F$41&gt;Voorblad!$K$41,0,IF($U109=0,0,IF($U109&lt;1,1/$U109,IF((FE$56-Voorblad!$F$41)/$U109-SUM($EE109:FD109)=1,1,0))))</f>
        <v>1</v>
      </c>
      <c r="FF109" s="8">
        <f>IF(FF$56-Voorblad!$F$41&gt;Voorblad!$K$41,0,IF($U109=0,0,IF($U109&lt;1,1/$U109,IF((FF$56-Voorblad!$F$41)/$U109-SUM($EE109:FE109)=1,1,0))))</f>
        <v>0</v>
      </c>
      <c r="FG109" s="8">
        <f>IF(FG$56-Voorblad!$F$41&gt;Voorblad!$K$41,0,IF($U109=0,0,IF($U109&lt;1,1/$U109,IF((FG$56-Voorblad!$F$41)/$U109-SUM($EE109:FF109)=1,1,0))))</f>
        <v>0</v>
      </c>
      <c r="FH109" s="8">
        <f>IF(FH$56-Voorblad!$F$41&gt;Voorblad!$K$41,0,IF($U109=0,0,IF($U109&lt;1,1/$U109,IF((FH$56-Voorblad!$F$41)/$U109-SUM($EE109:FG109)=1,1,0))))</f>
        <v>0</v>
      </c>
      <c r="FI109" s="8">
        <f>IF(FI$56-Voorblad!$F$41&gt;Voorblad!$K$41,0,IF($U109=0,0,IF($U109&lt;1,1/$U109,IF((FI$56-Voorblad!$F$41)/$U109-SUM($EE109:FH109)=1,1,0))))</f>
        <v>0</v>
      </c>
      <c r="FJ109" s="8">
        <f>IF(FJ$56-Voorblad!$F$41&gt;Voorblad!$K$41,0,IF($U109=0,0,IF($U109&lt;1,1/$U109,IF((FJ$56-Voorblad!$F$41)/$U109-SUM($EE109:FI109)=1,1,0))))</f>
        <v>1</v>
      </c>
      <c r="FK109" s="8">
        <f>IF(FK$56-Voorblad!$F$41&gt;Voorblad!$K$41,0,IF($U109=0,0,IF($U109&lt;1,1/$U109,IF((FK$56-Voorblad!$F$41)/$U109-SUM($EE109:FJ109)=1,1,0))))</f>
        <v>0</v>
      </c>
      <c r="FL109" s="8">
        <f>IF(FL$56-Voorblad!$F$41&gt;Voorblad!$K$41,0,IF($U109=0,0,IF($U109&lt;1,1/$U109,IF((FL$56-Voorblad!$F$41)/$U109-SUM($EE109:FK109)=1,1,0))))</f>
        <v>0</v>
      </c>
      <c r="FM109" s="8">
        <f>IF(FM$56-Voorblad!$F$41&gt;Voorblad!$K$41,0,IF($U109=0,0,IF($U109&lt;1,1/$U109,IF((FM$56-Voorblad!$F$41)/$U109-SUM($EE109:FL109)=1,1,0))))</f>
        <v>0</v>
      </c>
      <c r="FN109" s="8">
        <f>IF(FN$56-Voorblad!$F$41&gt;Voorblad!$K$41,0,IF($U109=0,0,IF($U109&lt;1,1/$U109,IF((FN$56-Voorblad!$F$41)/$U109-SUM($EE109:FM109)=1,1,0))))</f>
        <v>0</v>
      </c>
      <c r="FO109" s="8">
        <f>IF(FO$56-Voorblad!$F$41&gt;Voorblad!$K$41,0,IF($U109=0,0,IF($U109&lt;1,1/$U109,IF((FO$56-Voorblad!$F$41)/$U109-SUM($EE109:FN109)=1,1,0))))</f>
        <v>1</v>
      </c>
      <c r="FP109" s="8">
        <f>IF(FP$56-Voorblad!$F$41&gt;Voorblad!$K$41,0,IF($U109=0,0,IF($U109&lt;1,1/$U109,IF((FP$56-Voorblad!$F$41)/$U109-SUM($EE109:FO109)=1,1,0))))</f>
        <v>0</v>
      </c>
      <c r="FQ109" s="8">
        <f>IF(FQ$56-Voorblad!$F$41&gt;Voorblad!$K$41,0,IF($U109=0,0,IF($U109&lt;1,1/$U109,IF((FQ$56-Voorblad!$F$41)/$U109-SUM($EE109:FP109)=1,1,0))))</f>
        <v>0</v>
      </c>
      <c r="FR109" s="8">
        <f>IF(FR$56-Voorblad!$F$41&gt;Voorblad!$K$41,0,IF($U109=0,0,IF($U109&lt;1,1/$U109,IF((FR$56-Voorblad!$F$41)/$U109-SUM($EE109:FQ109)=1,1,0))))</f>
        <v>0</v>
      </c>
      <c r="FS109" s="8">
        <f>IF(FS$56-Voorblad!$F$41&gt;Voorblad!$K$41,0,IF($U109=0,0,IF($U109&lt;1,1/$U109,IF((FS$56-Voorblad!$F$41)/$U109-SUM($EE109:FR109)=1,1,0))))</f>
        <v>0</v>
      </c>
      <c r="FT109" s="8">
        <f>IF(FT$56-Voorblad!$F$41&gt;Voorblad!$K$41,0,IF($U109=0,0,IF($U109&lt;1,1/$U109,IF((FT$56-Voorblad!$F$41)/$U109-SUM($EE109:FS109)=1,1,0))))</f>
        <v>1</v>
      </c>
      <c r="FU109" s="8">
        <f>IF(FU$56-Voorblad!$F$41&gt;Voorblad!$K$41,0,IF($U109=0,0,IF($U109&lt;1,1/$U109,IF((FU$56-Voorblad!$F$41)/$U109-SUM($EE109:FT109)=1,1,0))))</f>
        <v>0</v>
      </c>
      <c r="FV109" s="8">
        <f>IF(FV$56-Voorblad!$F$41&gt;Voorblad!$K$41,0,IF($U109=0,0,IF($U109&lt;1,1/$U109,IF((FV$56-Voorblad!$F$41)/$U109-SUM($EE109:FU109)=1,1,0))))</f>
        <v>0</v>
      </c>
      <c r="FW109" s="8">
        <f>IF(FW$56-Voorblad!$F$41&gt;Voorblad!$K$41,0,IF($U109=0,0,IF($U109&lt;1,1/$U109,IF((FW$56-Voorblad!$F$41)/$U109-SUM($EE109:FV109)=1,1,0))))</f>
        <v>0</v>
      </c>
      <c r="FX109" s="8">
        <f>IF(FX$56-Voorblad!$F$41&gt;Voorblad!$K$41,0,IF($U109=0,0,IF($U109&lt;1,1/$U109,IF((FX$56-Voorblad!$F$41)/$U109-SUM($EE109:FW109)=1,1,0))))</f>
        <v>0</v>
      </c>
      <c r="FY109" s="8">
        <f>IF(FY$56-Voorblad!$F$41&gt;Voorblad!$K$41,0,IF($U109=0,0,IF($U109&lt;1,1/$U109,IF((FY$56-Voorblad!$F$41)/$U109-SUM($EE109:FX109)=1,1,0))))</f>
        <v>1</v>
      </c>
      <c r="FZ109" s="8">
        <f>IF(FZ$56-Voorblad!$F$41&gt;Voorblad!$K$41,0,IF($U109=0,0,IF($U109&lt;1,1/$U109,IF((FZ$56-Voorblad!$F$41)/$U109-SUM($EE109:FY109)=1,1,0))))</f>
        <v>0</v>
      </c>
      <c r="GA109" s="8">
        <f>IF(GA$56-Voorblad!$F$41&gt;Voorblad!$K$41,0,IF($U109=0,0,IF($U109&lt;1,1/$U109,IF((GA$56-Voorblad!$F$41)/$U109-SUM($EE109:FZ109)=1,1,0))))</f>
        <v>0</v>
      </c>
      <c r="GB109" s="8">
        <f>IF(GB$56-Voorblad!$F$41&gt;Voorblad!$K$41,0,IF($U109=0,0,IF($U109&lt;1,1/$U109,IF((GB$56-Voorblad!$F$41)/$U109-SUM($EE109:GA109)=1,1,0))))</f>
        <v>0</v>
      </c>
      <c r="GC109" s="8">
        <f>IF(GC$56-Voorblad!$F$41&gt;Voorblad!$K$41,0,IF($U109=0,0,IF($U109&lt;1,1/$U109,IF((GC$56-Voorblad!$F$41)/$U109-SUM($EE109:GB109)=1,1,0))))</f>
        <v>0</v>
      </c>
      <c r="GD109" s="8">
        <f>IF(GD$56-Voorblad!$F$41&gt;Voorblad!$K$41,0,IF($U109=0,0,IF($U109&lt;1,1/$U109,IF((GD$56-Voorblad!$F$41)/$U109-SUM($EE109:GC109)=1,1,0))))</f>
        <v>1</v>
      </c>
      <c r="GE109" s="8">
        <f>IF(GE$56-Voorblad!$F$41&gt;Voorblad!$K$41,0,IF($U109=0,0,IF($U109&lt;1,1/$U109,IF((GE$56-Voorblad!$F$41)/$U109-SUM($EE109:GD109)=1,1,0))))</f>
        <v>0</v>
      </c>
      <c r="GF109" s="8">
        <f>IF(GF$56-Voorblad!$F$41&gt;Voorblad!$K$41,0,IF($U109=0,0,IF($U109&lt;1,1/$U109,IF((GF$56-Voorblad!$F$41)/$U109-SUM($EE109:GE109)=1,1,0))))</f>
        <v>0</v>
      </c>
      <c r="GG109" s="8">
        <f>IF(GG$56-Voorblad!$F$41&gt;Voorblad!$K$41,0,IF($U109=0,0,IF($U109&lt;1,1/$U109,IF((GG$56-Voorblad!$F$41)/$U109-SUM($EE109:GF109)=1,1,0))))</f>
        <v>0</v>
      </c>
      <c r="GH109" s="8">
        <f>IF(GH$56-Voorblad!$F$41&gt;Voorblad!$K$41,0,IF($U109=0,0,IF($U109&lt;1,1/$U109,IF((GH$56-Voorblad!$F$41)/$U109-SUM($EE109:GG109)=1,1,0))))</f>
        <v>0</v>
      </c>
      <c r="GI109" s="8">
        <f>IF(GI$56-Voorblad!$F$41&gt;Voorblad!$K$41,0,IF($U109=0,0,IF($U109&lt;1,1/$U109,IF((GI$56-Voorblad!$F$41)/$U109-SUM($EE109:GH109)=1,1,0))))</f>
        <v>1</v>
      </c>
      <c r="GJ109" s="8">
        <f>IF(GJ$56-Voorblad!$F$41&gt;Voorblad!$K$41,0,IF($U109=0,0,IF($U109&lt;1,1/$U109,IF((GJ$56-Voorblad!$F$41)/$U109-SUM($EE109:GI109)=1,1,0))))</f>
        <v>0</v>
      </c>
      <c r="GK109" s="8">
        <f>IF(GK$56-Voorblad!$F$41&gt;Voorblad!$K$41,0,IF($U109=0,0,IF($U109&lt;1,1/$U109,IF((GK$56-Voorblad!$F$41)/$U109-SUM($EE109:GJ109)=1,1,0))))</f>
        <v>0</v>
      </c>
      <c r="GL109" s="8">
        <f>IF(GL$56-Voorblad!$F$41&gt;Voorblad!$K$41,0,IF($U109=0,0,IF($U109&lt;1,1/$U109,IF((GL$56-Voorblad!$F$41)/$U109-SUM($EE109:GK109)=1,1,0))))</f>
        <v>0</v>
      </c>
      <c r="GM109" s="8">
        <f>IF(GM$56-Voorblad!$F$41&gt;Voorblad!$K$41,0,IF($U109=0,0,IF($U109&lt;1,1/$U109,IF((GM$56-Voorblad!$F$41)/$U109-SUM($EE109:GL109)=1,1,0))))</f>
        <v>0</v>
      </c>
      <c r="GN109" s="8">
        <f>IF(GN$56-Voorblad!$F$41&gt;Voorblad!$K$41,0,IF($U109=0,0,IF($U109&lt;1,1/$U109,IF((GN$56-Voorblad!$F$41)/$U109-SUM($EE109:GM109)=1,1,0))))</f>
        <v>1</v>
      </c>
      <c r="GO109" s="8">
        <f>IF(GO$56-Voorblad!$F$41&gt;Voorblad!$K$41,0,IF($U109=0,0,IF($U109&lt;1,1/$U109,IF((GO$56-Voorblad!$F$41)/$U109-SUM($EE109:GN109)=1,1,0))))</f>
        <v>0</v>
      </c>
      <c r="GP109" s="8">
        <f>IF(GP$56-Voorblad!$F$41&gt;Voorblad!$K$41,0,IF($U109=0,0,IF($U109&lt;1,1/$U109,IF((GP$56-Voorblad!$F$41)/$U109-SUM($EE109:GO109)=1,1,0))))</f>
        <v>0</v>
      </c>
      <c r="GQ109" s="8">
        <f>IF(GQ$56-Voorblad!$F$41&gt;Voorblad!$K$41,0,IF($U109=0,0,IF($U109&lt;1,1/$U109,IF((GQ$56-Voorblad!$F$41)/$U109-SUM($EE109:GP109)=1,1,0))))</f>
        <v>0</v>
      </c>
      <c r="GR109" s="8">
        <f>IF(GR$56-Voorblad!$F$41&gt;Voorblad!$K$41,0,IF($U109=0,0,IF($U109&lt;1,1/$U109,IF((GR$56-Voorblad!$F$41)/$U109-SUM($EE109:GQ109)=1,1,0))))</f>
        <v>0</v>
      </c>
      <c r="GS109" s="8">
        <f>IF(GS$56-Voorblad!$F$41&gt;Voorblad!$K$41,0,IF($U109=0,0,IF($U109&lt;1,1/$U109,IF((GS$56-Voorblad!$F$41)/$U109-SUM($EE109:GR109)=1,1,0))))</f>
        <v>1</v>
      </c>
      <c r="GT109" s="8">
        <f>IF(GT$56-Voorblad!$F$41&gt;Voorblad!$K$41,0,IF($U109=0,0,IF($U109&lt;1,1/$U109,IF((GT$56-Voorblad!$F$41)/$U109-SUM($EE109:GS109)=1,1,0))))</f>
        <v>0</v>
      </c>
      <c r="GU109" s="8">
        <f>IF(GU$56-Voorblad!$F$41&gt;Voorblad!$K$41,0,IF($U109=0,0,IF($U109&lt;1,1/$U109,IF((GU$56-Voorblad!$F$41)/$U109-SUM($EE109:GT109)=1,1,0))))</f>
        <v>0</v>
      </c>
      <c r="GV109" s="8">
        <f>IF(GV$56-Voorblad!$F$41&gt;Voorblad!$K$41,0,IF($U109=0,0,IF($U109&lt;1,1/$U109,IF((GV$56-Voorblad!$F$41)/$U109-SUM($EE109:GU109)=1,1,0))))</f>
        <v>0</v>
      </c>
      <c r="GW109" s="8">
        <f>IF(GW$56-Voorblad!$F$41&gt;Voorblad!$K$41,0,IF($U109=0,0,IF($U109&lt;1,1/$U109,IF((GW$56-Voorblad!$F$41)/$U109-SUM($EE109:GV109)=1,1,0))))</f>
        <v>0</v>
      </c>
      <c r="GX109" s="8">
        <f>IF(GX$56-Voorblad!$F$41&gt;Voorblad!$K$41,0,IF($U109=0,0,IF($U109&lt;1,1/$U109,IF((GX$56-Voorblad!$F$41)/$U109-SUM($EE109:GW109)=1,1,0))))</f>
        <v>1</v>
      </c>
      <c r="GY109" s="8">
        <f>IF(GY$56-Voorblad!$F$41&gt;Voorblad!$K$41,0,IF($U109=0,0,IF($U109&lt;1,1/$U109,IF((GY$56-Voorblad!$F$41)/$U109-SUM($EE109:GX109)=1,1,0))))</f>
        <v>0</v>
      </c>
      <c r="GZ109" s="8">
        <f>IF(GZ$56-Voorblad!$F$41&gt;Voorblad!$K$41,0,IF($U109=0,0,IF($U109&lt;1,1/$U109,IF((GZ$56-Voorblad!$F$41)/$U109-SUM($EE109:GY109)=1,1,0))))</f>
        <v>0</v>
      </c>
      <c r="HA109" s="8">
        <f>IF(HA$56-Voorblad!$F$41&gt;Voorblad!$K$41,0,IF($U109=0,0,IF($U109&lt;1,1/$U109,IF((HA$56-Voorblad!$F$41)/$U109-SUM($EE109:GZ109)=1,1,0))))</f>
        <v>0</v>
      </c>
      <c r="HB109" s="8">
        <f>IF(HB$56-Voorblad!$F$41&gt;Voorblad!$K$41,0,IF($U109=0,0,IF($U109&lt;1,1/$U109,IF((HB$56-Voorblad!$F$41)/$U109-SUM($EE109:HA109)=1,1,0))))</f>
        <v>0</v>
      </c>
      <c r="HC109" s="8">
        <f>IF(HC$56-Voorblad!$F$41&gt;Voorblad!$K$41,0,IF($U109=0,0,IF($U109&lt;1,1/$U109,IF((HC$56-Voorblad!$F$41)/$U109-SUM($EE109:HB109)=1,1,0))))</f>
        <v>0</v>
      </c>
      <c r="HD109" s="8">
        <f>IF(HD$56-Voorblad!$F$41&gt;Voorblad!$K$41,0,IF($U109=0,0,IF($U109&lt;1,1/$U109,IF((HD$56-Voorblad!$F$41)/$U109-SUM($EE109:HC109)=1,1,0))))</f>
        <v>0</v>
      </c>
      <c r="HE109" s="8">
        <f>IF(HE$56-Voorblad!$F$41&gt;Voorblad!$K$41,0,IF($U109=0,0,IF($U109&lt;1,1/$U109,IF((HE$56-Voorblad!$F$41)/$U109-SUM($EE109:HD109)=1,1,0))))</f>
        <v>0</v>
      </c>
      <c r="HF109" s="8">
        <f>IF(HF$56-Voorblad!$F$41&gt;Voorblad!$K$41,0,IF($U109=0,0,IF($U109&lt;1,1/$U109,IF((HF$56-Voorblad!$F$41)/$U109-SUM($EE109:HE109)=1,1,0))))</f>
        <v>0</v>
      </c>
      <c r="HG109" s="8">
        <f>IF(HG$56-Voorblad!$F$41&gt;Voorblad!$K$41,0,IF($U109=0,0,IF($U109&lt;1,1/$U109,IF((HG$56-Voorblad!$F$41)/$U109-SUM($EE109:HF109)=1,1,0))))</f>
        <v>0</v>
      </c>
      <c r="HH109" s="8">
        <f>IF(HH$56-Voorblad!$F$41&gt;Voorblad!$K$41,0,IF($U109=0,0,IF($U109&lt;1,1/$U109,IF((HH$56-Voorblad!$F$41)/$U109-SUM($EE109:HG109)=1,1,0))))</f>
        <v>0</v>
      </c>
      <c r="HI109" s="8">
        <f>IF(HI$56-Voorblad!$F$41&gt;Voorblad!$K$41,0,IF($U109=0,0,IF($U109&lt;1,1/$U109,IF((HI$56-Voorblad!$F$41)/$U109-SUM($EE109:HH109)=1,1,0))))</f>
        <v>0</v>
      </c>
      <c r="HJ109" s="8">
        <f>IF(HJ$56-Voorblad!$F$41&gt;Voorblad!$K$41,0,IF($U109=0,0,IF($U109&lt;1,1/$U109,IF((HJ$56-Voorblad!$F$41)/$U109-SUM($EE109:HI109)=1,1,0))))</f>
        <v>0</v>
      </c>
      <c r="HK109" s="8">
        <f>IF(HK$56-Voorblad!$F$41&gt;Voorblad!$K$41,0,IF($U109=0,0,IF($U109&lt;1,1/$U109,IF((HK$56-Voorblad!$F$41)/$U109-SUM($EE109:HJ109)=1,1,0))))</f>
        <v>0</v>
      </c>
      <c r="HL109" s="8">
        <f>IF(HL$56-Voorblad!$F$41&gt;Voorblad!$K$41,0,IF($U109=0,0,IF($U109&lt;1,1/$U109,IF((HL$56-Voorblad!$F$41)/$U109-SUM($EE109:HK109)=1,1,0))))</f>
        <v>0</v>
      </c>
      <c r="HM109" s="8">
        <f>IF(HM$56-Voorblad!$F$41&gt;Voorblad!$K$41,0,IF($U109=0,0,IF($U109&lt;1,1/$U109,IF((HM$56-Voorblad!$F$41)/$U109-SUM($EE109:HL109)=1,1,0))))</f>
        <v>0</v>
      </c>
      <c r="HN109" s="8">
        <f>IF(HN$56-Voorblad!$F$41&gt;Voorblad!$K$41,0,IF($U109=0,0,IF($U109&lt;1,1/$U109,IF((HN$56-Voorblad!$F$41)/$U109-SUM($EE109:HM109)=1,1,0))))</f>
        <v>0</v>
      </c>
      <c r="HO109" s="8">
        <f>IF(HO$56-Voorblad!$F$41&gt;Voorblad!$K$41,0,IF($U109=0,0,IF($U109&lt;1,1/$U109,IF((HO$56-Voorblad!$F$41)/$U109-SUM($EE109:HN109)=1,1,0))))</f>
        <v>0</v>
      </c>
      <c r="HP109" s="8">
        <f>IF(HP$56-Voorblad!$F$41&gt;Voorblad!$K$41,0,IF($U109=0,0,IF($U109&lt;1,1/$U109,IF((HP$56-Voorblad!$F$41)/$U109-SUM($EE109:HO109)=1,1,0))))</f>
        <v>0</v>
      </c>
      <c r="HQ109" s="8">
        <f>IF(HQ$56-Voorblad!$F$41&gt;Voorblad!$K$41,0,IF($U109=0,0,IF($U109&lt;1,1/$U109,IF((HQ$56-Voorblad!$F$41)/$U109-SUM($EE109:HP109)=1,1,0))))</f>
        <v>0</v>
      </c>
      <c r="HR109" s="8">
        <f>IF(HR$56-Voorblad!$F$41&gt;Voorblad!$K$41,0,IF($U109=0,0,IF($U109&lt;1,1/$U109,IF((HR$56-Voorblad!$F$41)/$U109-SUM($EE109:HQ109)=1,1,0))))</f>
        <v>0</v>
      </c>
      <c r="HS109" s="8">
        <f>IF(HS$56-Voorblad!$F$41&gt;Voorblad!$K$41,0,IF($U109=0,0,IF($U109&lt;1,1/$U109,IF((HS$56-Voorblad!$F$41)/$U109-SUM($EE109:HR109)=1,1,0))))</f>
        <v>0</v>
      </c>
      <c r="HT109" s="8">
        <f>IF(HT$56-Voorblad!$F$41&gt;Voorblad!$K$41,0,IF($U109=0,0,IF($U109&lt;1,1/$U109,IF((HT$56-Voorblad!$F$41)/$U109-SUM($EE109:HS109)=1,1,0))))</f>
        <v>0</v>
      </c>
      <c r="HU109" s="8">
        <f>IF(HU$56-Voorblad!$F$41&gt;Voorblad!$K$41,0,IF($U109=0,0,IF($U109&lt;1,1/$U109,IF((HU$56-Voorblad!$F$41)/$U109-SUM($EE109:HT109)=1,1,0))))</f>
        <v>0</v>
      </c>
      <c r="HV109" s="8">
        <f>IF(HV$56-Voorblad!$F$41&gt;Voorblad!$K$41,0,IF($U109=0,0,IF($U109&lt;1,1/$U109,IF((HV$56-Voorblad!$F$41)/$U109-SUM($EE109:HU109)=1,1,0))))</f>
        <v>0</v>
      </c>
      <c r="HW109" s="8">
        <f>IF(HW$56-Voorblad!$F$41&gt;Voorblad!$K$41,0,IF($U109=0,0,IF($U109&lt;1,1/$U109,IF((HW$56-Voorblad!$F$41)/$U109-SUM($EE109:HV109)=1,1,0))))</f>
        <v>0</v>
      </c>
      <c r="HX109" s="8">
        <f>IF(HX$56-Voorblad!$F$41&gt;Voorblad!$K$41,0,IF($U109=0,0,IF($U109&lt;1,1/$U109,IF((HX$56-Voorblad!$F$41)/$U109-SUM($EE109:HW109)=1,1,0))))</f>
        <v>0</v>
      </c>
      <c r="HY109" s="8">
        <f>IF(HY$56-Voorblad!$F$41&gt;Voorblad!$K$41,0,IF($U109=0,0,IF($U109&lt;1,1/$U109,IF((HY$56-Voorblad!$F$41)/$U109-SUM($EE109:HX109)=1,1,0))))</f>
        <v>0</v>
      </c>
      <c r="HZ109" s="8">
        <f>IF(HZ$56-Voorblad!$F$41&gt;Voorblad!$K$41,0,IF($U109=0,0,IF($U109&lt;1,1/$U109,IF((HZ$56-Voorblad!$F$41)/$U109-SUM($EE109:HY109)=1,1,0))))</f>
        <v>0</v>
      </c>
      <c r="IA109" s="8">
        <f>IF(IA$56-Voorblad!$F$41&gt;Voorblad!$K$41,0,IF($U109=0,0,IF($U109&lt;1,1/$U109,IF((IA$56-Voorblad!$F$41)/$U109-SUM($EE109:HZ109)=1,1,0))))</f>
        <v>0</v>
      </c>
      <c r="IB109" s="8">
        <f>IF(IB$56-Voorblad!$F$41&gt;Voorblad!$K$41,0,IF($U109=0,0,IF($U109&lt;1,1/$U109,IF((IB$56-Voorblad!$F$41)/$U109-SUM($EE109:IA109)=1,1,0))))</f>
        <v>0</v>
      </c>
    </row>
    <row r="110" spans="2:236" ht="12" customHeight="1" outlineLevel="1" x14ac:dyDescent="0.25">
      <c r="B110" s="1">
        <v>3</v>
      </c>
      <c r="F110" s="1" t="s">
        <v>23</v>
      </c>
      <c r="I110" s="1" t="s">
        <v>277</v>
      </c>
      <c r="K110" s="1" t="s">
        <v>113</v>
      </c>
      <c r="O110" s="1" t="s">
        <v>226</v>
      </c>
      <c r="P110" s="14" t="s">
        <v>227</v>
      </c>
      <c r="Q110" s="83">
        <f>50%*(((2*8.43*8.02)+(2*(8.43+8.02)*0.675))+((4*15.9*1.705)+(4*(15.9+1.705)*1.675)))</f>
        <v>191.90809999999999</v>
      </c>
      <c r="R110" s="1" t="s">
        <v>35</v>
      </c>
      <c r="S110" s="21">
        <f>$H$20*15</f>
        <v>26.55</v>
      </c>
      <c r="T110" s="9">
        <f t="shared" si="20"/>
        <v>5095.1600550000003</v>
      </c>
      <c r="U110" s="14">
        <v>10</v>
      </c>
      <c r="V110" s="14"/>
      <c r="Y110" s="9">
        <f t="shared" si="21"/>
        <v>14961.540205936788</v>
      </c>
      <c r="Z110" s="82"/>
      <c r="AA110" s="82"/>
      <c r="AC110" s="9">
        <f>$Y110*(Voorblad!$K$44*(1+Voorblad!$K$44)^Voorblad!$K$41)/((1+Voorblad!$K$44)^Voorblad!$K$41-1)</f>
        <v>447.8838716202128</v>
      </c>
      <c r="AE110" s="9">
        <f>EF110*($Q110*$S110)/(1+Voorblad!$K$44)^(AE$56-Voorblad!$F$41)</f>
        <v>0</v>
      </c>
      <c r="AF110" s="9">
        <f>EG110*($Q110*$S110)/(1+Voorblad!$K$44)^(AF$56-Voorblad!$F$41)</f>
        <v>0</v>
      </c>
      <c r="AG110" s="9">
        <f>EH110*($Q110*$S110)/(1+Voorblad!$K$44)^(AG$56-Voorblad!$F$41)</f>
        <v>0</v>
      </c>
      <c r="AH110" s="9">
        <f>EI110*($Q110*$S110)/(1+Voorblad!$K$44)^(AH$56-Voorblad!$F$41)</f>
        <v>0</v>
      </c>
      <c r="AI110" s="9">
        <f>EJ110*($Q110*$S110)/(1+Voorblad!$K$44)^(AI$56-Voorblad!$F$41)</f>
        <v>0</v>
      </c>
      <c r="AJ110" s="9">
        <f>EK110*($Q110*$S110)/(1+Voorblad!$K$44)^(AJ$56-Voorblad!$F$41)</f>
        <v>0</v>
      </c>
      <c r="AK110" s="9">
        <f>EL110*($Q110*$S110)/(1+Voorblad!$K$44)^(AK$56-Voorblad!$F$41)</f>
        <v>0</v>
      </c>
      <c r="AL110" s="9">
        <f>EM110*($Q110*$S110)/(1+Voorblad!$K$44)^(AL$56-Voorblad!$F$41)</f>
        <v>0</v>
      </c>
      <c r="AM110" s="9">
        <f>EN110*($Q110*$S110)/(1+Voorblad!$K$44)^(AM$56-Voorblad!$F$41)</f>
        <v>0</v>
      </c>
      <c r="AN110" s="9">
        <f>EO110*($Q110*$S110)/(1+Voorblad!$K$44)^(AN$56-Voorblad!$F$41)</f>
        <v>0</v>
      </c>
      <c r="AO110" s="9">
        <f>EP110*($Q110*$S110)/(1+Voorblad!$K$44)^(AO$56-Voorblad!$F$41)</f>
        <v>3980.3308915027678</v>
      </c>
      <c r="AP110" s="9">
        <f>EQ110*($Q110*$S110)/(1+Voorblad!$K$44)^(AP$56-Voorblad!$F$41)</f>
        <v>0</v>
      </c>
      <c r="AQ110" s="9">
        <f>ER110*($Q110*$S110)/(1+Voorblad!$K$44)^(AQ$56-Voorblad!$F$41)</f>
        <v>0</v>
      </c>
      <c r="AR110" s="9">
        <f>ES110*($Q110*$S110)/(1+Voorblad!$K$44)^(AR$56-Voorblad!$F$41)</f>
        <v>0</v>
      </c>
      <c r="AS110" s="9">
        <f>ET110*($Q110*$S110)/(1+Voorblad!$K$44)^(AS$56-Voorblad!$F$41)</f>
        <v>0</v>
      </c>
      <c r="AT110" s="9">
        <f>EU110*($Q110*$S110)/(1+Voorblad!$K$44)^(AT$56-Voorblad!$F$41)</f>
        <v>0</v>
      </c>
      <c r="AU110" s="9">
        <f>EV110*($Q110*$S110)/(1+Voorblad!$K$44)^(AU$56-Voorblad!$F$41)</f>
        <v>0</v>
      </c>
      <c r="AV110" s="9">
        <f>EW110*($Q110*$S110)/(1+Voorblad!$K$44)^(AV$56-Voorblad!$F$41)</f>
        <v>0</v>
      </c>
      <c r="AW110" s="9">
        <f>EX110*($Q110*$S110)/(1+Voorblad!$K$44)^(AW$56-Voorblad!$F$41)</f>
        <v>0</v>
      </c>
      <c r="AX110" s="9">
        <f>EY110*($Q110*$S110)/(1+Voorblad!$K$44)^(AX$56-Voorblad!$F$41)</f>
        <v>0</v>
      </c>
      <c r="AY110" s="9">
        <f>EZ110*($Q110*$S110)/(1+Voorblad!$K$44)^(AY$56-Voorblad!$F$41)</f>
        <v>3109.4281307814999</v>
      </c>
      <c r="AZ110" s="9">
        <f>FA110*($Q110*$S110)/(1+Voorblad!$K$44)^(AZ$56-Voorblad!$F$41)</f>
        <v>0</v>
      </c>
      <c r="BA110" s="9">
        <f>FB110*($Q110*$S110)/(1+Voorblad!$K$44)^(BA$56-Voorblad!$F$41)</f>
        <v>0</v>
      </c>
      <c r="BB110" s="9">
        <f>FC110*($Q110*$S110)/(1+Voorblad!$K$44)^(BB$56-Voorblad!$F$41)</f>
        <v>0</v>
      </c>
      <c r="BC110" s="9">
        <f>FD110*($Q110*$S110)/(1+Voorblad!$K$44)^(BC$56-Voorblad!$F$41)</f>
        <v>0</v>
      </c>
      <c r="BD110" s="9">
        <f>FE110*($Q110*$S110)/(1+Voorblad!$K$44)^(BD$56-Voorblad!$F$41)</f>
        <v>0</v>
      </c>
      <c r="BE110" s="9">
        <f>FF110*($Q110*$S110)/(1+Voorblad!$K$44)^(BE$56-Voorblad!$F$41)</f>
        <v>0</v>
      </c>
      <c r="BF110" s="9">
        <f>FG110*($Q110*$S110)/(1+Voorblad!$K$44)^(BF$56-Voorblad!$F$41)</f>
        <v>0</v>
      </c>
      <c r="BG110" s="9">
        <f>FH110*($Q110*$S110)/(1+Voorblad!$K$44)^(BG$56-Voorblad!$F$41)</f>
        <v>0</v>
      </c>
      <c r="BH110" s="9">
        <f>FI110*($Q110*$S110)/(1+Voorblad!$K$44)^(BH$56-Voorblad!$F$41)</f>
        <v>0</v>
      </c>
      <c r="BI110" s="9">
        <f>FJ110*($Q110*$S110)/(1+Voorblad!$K$44)^(BI$56-Voorblad!$F$41)</f>
        <v>2429.0802860475233</v>
      </c>
      <c r="BJ110" s="9">
        <f>FK110*($Q110*$S110)/(1+Voorblad!$K$44)^(BJ$56-Voorblad!$F$41)</f>
        <v>0</v>
      </c>
      <c r="BK110" s="9">
        <f>FL110*($Q110*$S110)/(1+Voorblad!$K$44)^(BK$56-Voorblad!$F$41)</f>
        <v>0</v>
      </c>
      <c r="BL110" s="9">
        <f>FM110*($Q110*$S110)/(1+Voorblad!$K$44)^(BL$56-Voorblad!$F$41)</f>
        <v>0</v>
      </c>
      <c r="BM110" s="9">
        <f>FN110*($Q110*$S110)/(1+Voorblad!$K$44)^(BM$56-Voorblad!$F$41)</f>
        <v>0</v>
      </c>
      <c r="BN110" s="9">
        <f>FO110*($Q110*$S110)/(1+Voorblad!$K$44)^(BN$56-Voorblad!$F$41)</f>
        <v>0</v>
      </c>
      <c r="BO110" s="9">
        <f>FP110*($Q110*$S110)/(1+Voorblad!$K$44)^(BO$56-Voorblad!$F$41)</f>
        <v>0</v>
      </c>
      <c r="BP110" s="9">
        <f>FQ110*($Q110*$S110)/(1+Voorblad!$K$44)^(BP$56-Voorblad!$F$41)</f>
        <v>0</v>
      </c>
      <c r="BQ110" s="9">
        <f>FR110*($Q110*$S110)/(1+Voorblad!$K$44)^(BQ$56-Voorblad!$F$41)</f>
        <v>0</v>
      </c>
      <c r="BR110" s="9">
        <f>FS110*($Q110*$S110)/(1+Voorblad!$K$44)^(BR$56-Voorblad!$F$41)</f>
        <v>0</v>
      </c>
      <c r="BS110" s="9">
        <f>FT110*($Q110*$S110)/(1+Voorblad!$K$44)^(BS$56-Voorblad!$F$41)</f>
        <v>1897.5936371237967</v>
      </c>
      <c r="BT110" s="9">
        <f>FU110*($Q110*$S110)/(1+Voorblad!$K$44)^(BT$56-Voorblad!$F$41)</f>
        <v>0</v>
      </c>
      <c r="BU110" s="9">
        <f>FV110*($Q110*$S110)/(1+Voorblad!$K$44)^(BU$56-Voorblad!$F$41)</f>
        <v>0</v>
      </c>
      <c r="BV110" s="9">
        <f>FW110*($Q110*$S110)/(1+Voorblad!$K$44)^(BV$56-Voorblad!$F$41)</f>
        <v>0</v>
      </c>
      <c r="BW110" s="9">
        <f>FX110*($Q110*$S110)/(1+Voorblad!$K$44)^(BW$56-Voorblad!$F$41)</f>
        <v>0</v>
      </c>
      <c r="BX110" s="9">
        <f>FY110*($Q110*$S110)/(1+Voorblad!$K$44)^(BX$56-Voorblad!$F$41)</f>
        <v>0</v>
      </c>
      <c r="BY110" s="9">
        <f>FZ110*($Q110*$S110)/(1+Voorblad!$K$44)^(BY$56-Voorblad!$F$41)</f>
        <v>0</v>
      </c>
      <c r="BZ110" s="9">
        <f>GA110*($Q110*$S110)/(1+Voorblad!$K$44)^(BZ$56-Voorblad!$F$41)</f>
        <v>0</v>
      </c>
      <c r="CA110" s="9">
        <f>GB110*($Q110*$S110)/(1+Voorblad!$K$44)^(CA$56-Voorblad!$F$41)</f>
        <v>0</v>
      </c>
      <c r="CB110" s="9">
        <f>GC110*($Q110*$S110)/(1+Voorblad!$K$44)^(CB$56-Voorblad!$F$41)</f>
        <v>0</v>
      </c>
      <c r="CC110" s="9">
        <f>GD110*($Q110*$S110)/(1+Voorblad!$K$44)^(CC$56-Voorblad!$F$41)</f>
        <v>1482.397116446019</v>
      </c>
      <c r="CD110" s="9">
        <f>GE110*($Q110*$S110)/(1+Voorblad!$K$44)^(CD$56-Voorblad!$F$41)</f>
        <v>0</v>
      </c>
      <c r="CE110" s="9">
        <f>GF110*($Q110*$S110)/(1+Voorblad!$K$44)^(CE$56-Voorblad!$F$41)</f>
        <v>0</v>
      </c>
      <c r="CF110" s="9">
        <f>GG110*($Q110*$S110)/(1+Voorblad!$K$44)^(CF$56-Voorblad!$F$41)</f>
        <v>0</v>
      </c>
      <c r="CG110" s="9">
        <f>GH110*($Q110*$S110)/(1+Voorblad!$K$44)^(CG$56-Voorblad!$F$41)</f>
        <v>0</v>
      </c>
      <c r="CH110" s="9">
        <f>GI110*($Q110*$S110)/(1+Voorblad!$K$44)^(CH$56-Voorblad!$F$41)</f>
        <v>0</v>
      </c>
      <c r="CI110" s="9">
        <f>GJ110*($Q110*$S110)/(1+Voorblad!$K$44)^(CI$56-Voorblad!$F$41)</f>
        <v>0</v>
      </c>
      <c r="CJ110" s="9">
        <f>GK110*($Q110*$S110)/(1+Voorblad!$K$44)^(CJ$56-Voorblad!$F$41)</f>
        <v>0</v>
      </c>
      <c r="CK110" s="9">
        <f>GL110*($Q110*$S110)/(1+Voorblad!$K$44)^(CK$56-Voorblad!$F$41)</f>
        <v>0</v>
      </c>
      <c r="CL110" s="9">
        <f>GM110*($Q110*$S110)/(1+Voorblad!$K$44)^(CL$56-Voorblad!$F$41)</f>
        <v>0</v>
      </c>
      <c r="CM110" s="9">
        <f>GN110*($Q110*$S110)/(1+Voorblad!$K$44)^(CM$56-Voorblad!$F$41)</f>
        <v>1158.0462580904566</v>
      </c>
      <c r="CN110" s="9">
        <f>GO110*($Q110*$S110)/(1+Voorblad!$K$44)^(CN$56-Voorblad!$F$41)</f>
        <v>0</v>
      </c>
      <c r="CO110" s="9">
        <f>GP110*($Q110*$S110)/(1+Voorblad!$K$44)^(CO$56-Voorblad!$F$41)</f>
        <v>0</v>
      </c>
      <c r="CP110" s="9">
        <f>GQ110*($Q110*$S110)/(1+Voorblad!$K$44)^(CP$56-Voorblad!$F$41)</f>
        <v>0</v>
      </c>
      <c r="CQ110" s="9">
        <f>GR110*($Q110*$S110)/(1+Voorblad!$K$44)^(CQ$56-Voorblad!$F$41)</f>
        <v>0</v>
      </c>
      <c r="CR110" s="9">
        <f>GS110*($Q110*$S110)/(1+Voorblad!$K$44)^(CR$56-Voorblad!$F$41)</f>
        <v>0</v>
      </c>
      <c r="CS110" s="9">
        <f>GT110*($Q110*$S110)/(1+Voorblad!$K$44)^(CS$56-Voorblad!$F$41)</f>
        <v>0</v>
      </c>
      <c r="CT110" s="9">
        <f>GU110*($Q110*$S110)/(1+Voorblad!$K$44)^(CT$56-Voorblad!$F$41)</f>
        <v>0</v>
      </c>
      <c r="CU110" s="9">
        <f>GV110*($Q110*$S110)/(1+Voorblad!$K$44)^(CU$56-Voorblad!$F$41)</f>
        <v>0</v>
      </c>
      <c r="CV110" s="9">
        <f>GW110*($Q110*$S110)/(1+Voorblad!$K$44)^(CV$56-Voorblad!$F$41)</f>
        <v>0</v>
      </c>
      <c r="CW110" s="9">
        <f>GX110*($Q110*$S110)/(1+Voorblad!$K$44)^(CW$56-Voorblad!$F$41)</f>
        <v>904.66388594472346</v>
      </c>
      <c r="CX110" s="9">
        <f>GY110*($Q110*$S110)/(1+Voorblad!$K$44)^(CX$56-Voorblad!$F$41)</f>
        <v>0</v>
      </c>
      <c r="CY110" s="9">
        <f>GZ110*($Q110*$S110)/(1+Voorblad!$K$44)^(CY$56-Voorblad!$F$41)</f>
        <v>0</v>
      </c>
      <c r="CZ110" s="9">
        <f>HA110*($Q110*$S110)/(1+Voorblad!$K$44)^(CZ$56-Voorblad!$F$41)</f>
        <v>0</v>
      </c>
      <c r="DA110" s="9">
        <f>HB110*($Q110*$S110)/(1+Voorblad!$K$44)^(DA$56-Voorblad!$F$41)</f>
        <v>0</v>
      </c>
      <c r="DB110" s="9">
        <f>HC110*($Q110*$S110)/(1+Voorblad!$K$44)^(DB$56-Voorblad!$F$41)</f>
        <v>0</v>
      </c>
      <c r="DC110" s="9">
        <f>HD110*($Q110*$S110)/(1+Voorblad!$K$44)^(DC$56-Voorblad!$F$41)</f>
        <v>0</v>
      </c>
      <c r="DD110" s="9">
        <f>HE110*($Q110*$S110)/(1+Voorblad!$K$44)^(DD$56-Voorblad!$F$41)</f>
        <v>0</v>
      </c>
      <c r="DE110" s="9">
        <f>HF110*($Q110*$S110)/(1+Voorblad!$K$44)^(DE$56-Voorblad!$F$41)</f>
        <v>0</v>
      </c>
      <c r="DF110" s="9">
        <f>HG110*($Q110*$S110)/(1+Voorblad!$K$44)^(DF$56-Voorblad!$F$41)</f>
        <v>0</v>
      </c>
      <c r="DG110" s="9">
        <f>HH110*($Q110*$S110)/(1+Voorblad!$K$44)^(DG$56-Voorblad!$F$41)</f>
        <v>0</v>
      </c>
      <c r="DH110" s="9">
        <f>HI110*($Q110*$S110)/(1+Voorblad!$K$44)^(DH$56-Voorblad!$F$41)</f>
        <v>0</v>
      </c>
      <c r="DI110" s="9">
        <f>HJ110*($Q110*$S110)/(1+Voorblad!$K$44)^(DI$56-Voorblad!$F$41)</f>
        <v>0</v>
      </c>
      <c r="DJ110" s="9">
        <f>HK110*($Q110*$S110)/(1+Voorblad!$K$44)^(DJ$56-Voorblad!$F$41)</f>
        <v>0</v>
      </c>
      <c r="DK110" s="9">
        <f>HL110*($Q110*$S110)/(1+Voorblad!$K$44)^(DK$56-Voorblad!$F$41)</f>
        <v>0</v>
      </c>
      <c r="DL110" s="9">
        <f>HM110*($Q110*$S110)/(1+Voorblad!$K$44)^(DL$56-Voorblad!$F$41)</f>
        <v>0</v>
      </c>
      <c r="DM110" s="9">
        <f>HN110*($Q110*$S110)/(1+Voorblad!$K$44)^(DM$56-Voorblad!$F$41)</f>
        <v>0</v>
      </c>
      <c r="DN110" s="9">
        <f>HO110*($Q110*$S110)/(1+Voorblad!$K$44)^(DN$56-Voorblad!$F$41)</f>
        <v>0</v>
      </c>
      <c r="DO110" s="9">
        <f>HP110*($Q110*$S110)/(1+Voorblad!$K$44)^(DO$56-Voorblad!$F$41)</f>
        <v>0</v>
      </c>
      <c r="DP110" s="9">
        <f>HQ110*($Q110*$S110)/(1+Voorblad!$K$44)^(DP$56-Voorblad!$F$41)</f>
        <v>0</v>
      </c>
      <c r="DQ110" s="9">
        <f>HR110*($Q110*$S110)/(1+Voorblad!$K$44)^(DQ$56-Voorblad!$F$41)</f>
        <v>0</v>
      </c>
      <c r="DR110" s="9">
        <f>HS110*($Q110*$S110)/(1+Voorblad!$K$44)^(DR$56-Voorblad!$F$41)</f>
        <v>0</v>
      </c>
      <c r="DS110" s="9">
        <f>HT110*($Q110*$S110)/(1+Voorblad!$K$44)^(DS$56-Voorblad!$F$41)</f>
        <v>0</v>
      </c>
      <c r="DT110" s="9">
        <f>HU110*($Q110*$S110)/(1+Voorblad!$K$44)^(DT$56-Voorblad!$F$41)</f>
        <v>0</v>
      </c>
      <c r="DU110" s="9">
        <f>HV110*($Q110*$S110)/(1+Voorblad!$K$44)^(DU$56-Voorblad!$F$41)</f>
        <v>0</v>
      </c>
      <c r="DV110" s="9">
        <f>HW110*($Q110*$S110)/(1+Voorblad!$K$44)^(DV$56-Voorblad!$F$41)</f>
        <v>0</v>
      </c>
      <c r="DW110" s="9">
        <f>HX110*($Q110*$S110)/(1+Voorblad!$K$44)^(DW$56-Voorblad!$F$41)</f>
        <v>0</v>
      </c>
      <c r="DX110" s="9">
        <f>HY110*($Q110*$S110)/(1+Voorblad!$K$44)^(DX$56-Voorblad!$F$41)</f>
        <v>0</v>
      </c>
      <c r="DY110" s="9">
        <f>HZ110*($Q110*$S110)/(1+Voorblad!$K$44)^(DY$56-Voorblad!$F$41)</f>
        <v>0</v>
      </c>
      <c r="DZ110" s="9">
        <f>IA110*($Q110*$S110)/(1+Voorblad!$K$44)^(DZ$56-Voorblad!$F$41)</f>
        <v>0</v>
      </c>
      <c r="EA110" s="9">
        <f>IB110*($Q110*$S110)/(1+Voorblad!$K$44)^(EA$56-Voorblad!$F$41)</f>
        <v>0</v>
      </c>
      <c r="EB110" s="9">
        <f>IC110*($Q110*$S110)/(1+Voorblad!$K$44)^(EB$56-Voorblad!$F$41)</f>
        <v>0</v>
      </c>
      <c r="EE110" s="8">
        <v>0</v>
      </c>
      <c r="EF110" s="8">
        <f>IF(EF$56-Voorblad!$F$41&gt;Voorblad!$K$41,0,IF($U110=0,0,IF($U110&lt;1,1/$U110,IF((EF$56-Voorblad!$F$41)/$U110-SUM($EE110:EE110)=1,1,0))))</f>
        <v>0</v>
      </c>
      <c r="EG110" s="8">
        <f>IF(EG$56-Voorblad!$F$41&gt;Voorblad!$K$41,0,IF($U110=0,0,IF($U110&lt;1,1/$U110,IF((EG$56-Voorblad!$F$41)/$U110-SUM($EE110:EF110)=1,1,0))))</f>
        <v>0</v>
      </c>
      <c r="EH110" s="8">
        <f>IF(EH$56-Voorblad!$F$41&gt;Voorblad!$K$41,0,IF($U110=0,0,IF($U110&lt;1,1/$U110,IF((EH$56-Voorblad!$F$41)/$U110-SUM($EE110:EG110)=1,1,0))))</f>
        <v>0</v>
      </c>
      <c r="EI110" s="8">
        <f>IF(EI$56-Voorblad!$F$41&gt;Voorblad!$K$41,0,IF($U110=0,0,IF($U110&lt;1,1/$U110,IF((EI$56-Voorblad!$F$41)/$U110-SUM($EE110:EH110)=1,1,0))))</f>
        <v>0</v>
      </c>
      <c r="EJ110" s="8">
        <f>IF(EJ$56-Voorblad!$F$41&gt;Voorblad!$K$41,0,IF($U110=0,0,IF($U110&lt;1,1/$U110,IF((EJ$56-Voorblad!$F$41)/$U110-SUM($EE110:EI110)=1,1,0))))</f>
        <v>0</v>
      </c>
      <c r="EK110" s="8">
        <f>IF(EK$56-Voorblad!$F$41&gt;Voorblad!$K$41,0,IF($U110=0,0,IF($U110&lt;1,1/$U110,IF((EK$56-Voorblad!$F$41)/$U110-SUM($EE110:EJ110)=1,1,0))))</f>
        <v>0</v>
      </c>
      <c r="EL110" s="8">
        <f>IF(EL$56-Voorblad!$F$41&gt;Voorblad!$K$41,0,IF($U110=0,0,IF($U110&lt;1,1/$U110,IF((EL$56-Voorblad!$F$41)/$U110-SUM($EE110:EK110)=1,1,0))))</f>
        <v>0</v>
      </c>
      <c r="EM110" s="8">
        <f>IF(EM$56-Voorblad!$F$41&gt;Voorblad!$K$41,0,IF($U110=0,0,IF($U110&lt;1,1/$U110,IF((EM$56-Voorblad!$F$41)/$U110-SUM($EE110:EL110)=1,1,0))))</f>
        <v>0</v>
      </c>
      <c r="EN110" s="8">
        <f>IF(EN$56-Voorblad!$F$41&gt;Voorblad!$K$41,0,IF($U110=0,0,IF($U110&lt;1,1/$U110,IF((EN$56-Voorblad!$F$41)/$U110-SUM($EE110:EM110)=1,1,0))))</f>
        <v>0</v>
      </c>
      <c r="EO110" s="8">
        <f>IF(EO$56-Voorblad!$F$41&gt;Voorblad!$K$41,0,IF($U110=0,0,IF($U110&lt;1,1/$U110,IF((EO$56-Voorblad!$F$41)/$U110-SUM($EE110:EN110)=1,1,0))))</f>
        <v>0</v>
      </c>
      <c r="EP110" s="8">
        <f>IF(EP$56-Voorblad!$F$41&gt;Voorblad!$K$41,0,IF($U110=0,0,IF($U110&lt;1,1/$U110,IF((EP$56-Voorblad!$F$41)/$U110-SUM($EE110:EO110)=1,1,0))))</f>
        <v>1</v>
      </c>
      <c r="EQ110" s="8">
        <f>IF(EQ$56-Voorblad!$F$41&gt;Voorblad!$K$41,0,IF($U110=0,0,IF($U110&lt;1,1/$U110,IF((EQ$56-Voorblad!$F$41)/$U110-SUM($EE110:EP110)=1,1,0))))</f>
        <v>0</v>
      </c>
      <c r="ER110" s="8">
        <f>IF(ER$56-Voorblad!$F$41&gt;Voorblad!$K$41,0,IF($U110=0,0,IF($U110&lt;1,1/$U110,IF((ER$56-Voorblad!$F$41)/$U110-SUM($EE110:EQ110)=1,1,0))))</f>
        <v>0</v>
      </c>
      <c r="ES110" s="8">
        <f>IF(ES$56-Voorblad!$F$41&gt;Voorblad!$K$41,0,IF($U110=0,0,IF($U110&lt;1,1/$U110,IF((ES$56-Voorblad!$F$41)/$U110-SUM($EE110:ER110)=1,1,0))))</f>
        <v>0</v>
      </c>
      <c r="ET110" s="8">
        <f>IF(ET$56-Voorblad!$F$41&gt;Voorblad!$K$41,0,IF($U110=0,0,IF($U110&lt;1,1/$U110,IF((ET$56-Voorblad!$F$41)/$U110-SUM($EE110:ES110)=1,1,0))))</f>
        <v>0</v>
      </c>
      <c r="EU110" s="8">
        <f>IF(EU$56-Voorblad!$F$41&gt;Voorblad!$K$41,0,IF($U110=0,0,IF($U110&lt;1,1/$U110,IF((EU$56-Voorblad!$F$41)/$U110-SUM($EE110:ET110)=1,1,0))))</f>
        <v>0</v>
      </c>
      <c r="EV110" s="8">
        <f>IF(EV$56-Voorblad!$F$41&gt;Voorblad!$K$41,0,IF($U110=0,0,IF($U110&lt;1,1/$U110,IF((EV$56-Voorblad!$F$41)/$U110-SUM($EE110:EU110)=1,1,0))))</f>
        <v>0</v>
      </c>
      <c r="EW110" s="8">
        <f>IF(EW$56-Voorblad!$F$41&gt;Voorblad!$K$41,0,IF($U110=0,0,IF($U110&lt;1,1/$U110,IF((EW$56-Voorblad!$F$41)/$U110-SUM($EE110:EV110)=1,1,0))))</f>
        <v>0</v>
      </c>
      <c r="EX110" s="8">
        <f>IF(EX$56-Voorblad!$F$41&gt;Voorblad!$K$41,0,IF($U110=0,0,IF($U110&lt;1,1/$U110,IF((EX$56-Voorblad!$F$41)/$U110-SUM($EE110:EW110)=1,1,0))))</f>
        <v>0</v>
      </c>
      <c r="EY110" s="8">
        <f>IF(EY$56-Voorblad!$F$41&gt;Voorblad!$K$41,0,IF($U110=0,0,IF($U110&lt;1,1/$U110,IF((EY$56-Voorblad!$F$41)/$U110-SUM($EE110:EX110)=1,1,0))))</f>
        <v>0</v>
      </c>
      <c r="EZ110" s="8">
        <f>IF(EZ$56-Voorblad!$F$41&gt;Voorblad!$K$41,0,IF($U110=0,0,IF($U110&lt;1,1/$U110,IF((EZ$56-Voorblad!$F$41)/$U110-SUM($EE110:EY110)=1,1,0))))</f>
        <v>1</v>
      </c>
      <c r="FA110" s="8">
        <f>IF(FA$56-Voorblad!$F$41&gt;Voorblad!$K$41,0,IF($U110=0,0,IF($U110&lt;1,1/$U110,IF((FA$56-Voorblad!$F$41)/$U110-SUM($EE110:EZ110)=1,1,0))))</f>
        <v>0</v>
      </c>
      <c r="FB110" s="8">
        <f>IF(FB$56-Voorblad!$F$41&gt;Voorblad!$K$41,0,IF($U110=0,0,IF($U110&lt;1,1/$U110,IF((FB$56-Voorblad!$F$41)/$U110-SUM($EE110:FA110)=1,1,0))))</f>
        <v>0</v>
      </c>
      <c r="FC110" s="8">
        <f>IF(FC$56-Voorblad!$F$41&gt;Voorblad!$K$41,0,IF($U110=0,0,IF($U110&lt;1,1/$U110,IF((FC$56-Voorblad!$F$41)/$U110-SUM($EE110:FB110)=1,1,0))))</f>
        <v>0</v>
      </c>
      <c r="FD110" s="8">
        <f>IF(FD$56-Voorblad!$F$41&gt;Voorblad!$K$41,0,IF($U110=0,0,IF($U110&lt;1,1/$U110,IF((FD$56-Voorblad!$F$41)/$U110-SUM($EE110:FC110)=1,1,0))))</f>
        <v>0</v>
      </c>
      <c r="FE110" s="8">
        <f>IF(FE$56-Voorblad!$F$41&gt;Voorblad!$K$41,0,IF($U110=0,0,IF($U110&lt;1,1/$U110,IF((FE$56-Voorblad!$F$41)/$U110-SUM($EE110:FD110)=1,1,0))))</f>
        <v>0</v>
      </c>
      <c r="FF110" s="8">
        <f>IF(FF$56-Voorblad!$F$41&gt;Voorblad!$K$41,0,IF($U110=0,0,IF($U110&lt;1,1/$U110,IF((FF$56-Voorblad!$F$41)/$U110-SUM($EE110:FE110)=1,1,0))))</f>
        <v>0</v>
      </c>
      <c r="FG110" s="8">
        <f>IF(FG$56-Voorblad!$F$41&gt;Voorblad!$K$41,0,IF($U110=0,0,IF($U110&lt;1,1/$U110,IF((FG$56-Voorblad!$F$41)/$U110-SUM($EE110:FF110)=1,1,0))))</f>
        <v>0</v>
      </c>
      <c r="FH110" s="8">
        <f>IF(FH$56-Voorblad!$F$41&gt;Voorblad!$K$41,0,IF($U110=0,0,IF($U110&lt;1,1/$U110,IF((FH$56-Voorblad!$F$41)/$U110-SUM($EE110:FG110)=1,1,0))))</f>
        <v>0</v>
      </c>
      <c r="FI110" s="8">
        <f>IF(FI$56-Voorblad!$F$41&gt;Voorblad!$K$41,0,IF($U110=0,0,IF($U110&lt;1,1/$U110,IF((FI$56-Voorblad!$F$41)/$U110-SUM($EE110:FH110)=1,1,0))))</f>
        <v>0</v>
      </c>
      <c r="FJ110" s="8">
        <f>IF(FJ$56-Voorblad!$F$41&gt;Voorblad!$K$41,0,IF($U110=0,0,IF($U110&lt;1,1/$U110,IF((FJ$56-Voorblad!$F$41)/$U110-SUM($EE110:FI110)=1,1,0))))</f>
        <v>1</v>
      </c>
      <c r="FK110" s="8">
        <f>IF(FK$56-Voorblad!$F$41&gt;Voorblad!$K$41,0,IF($U110=0,0,IF($U110&lt;1,1/$U110,IF((FK$56-Voorblad!$F$41)/$U110-SUM($EE110:FJ110)=1,1,0))))</f>
        <v>0</v>
      </c>
      <c r="FL110" s="8">
        <f>IF(FL$56-Voorblad!$F$41&gt;Voorblad!$K$41,0,IF($U110=0,0,IF($U110&lt;1,1/$U110,IF((FL$56-Voorblad!$F$41)/$U110-SUM($EE110:FK110)=1,1,0))))</f>
        <v>0</v>
      </c>
      <c r="FM110" s="8">
        <f>IF(FM$56-Voorblad!$F$41&gt;Voorblad!$K$41,0,IF($U110=0,0,IF($U110&lt;1,1/$U110,IF((FM$56-Voorblad!$F$41)/$U110-SUM($EE110:FL110)=1,1,0))))</f>
        <v>0</v>
      </c>
      <c r="FN110" s="8">
        <f>IF(FN$56-Voorblad!$F$41&gt;Voorblad!$K$41,0,IF($U110=0,0,IF($U110&lt;1,1/$U110,IF((FN$56-Voorblad!$F$41)/$U110-SUM($EE110:FM110)=1,1,0))))</f>
        <v>0</v>
      </c>
      <c r="FO110" s="8">
        <f>IF(FO$56-Voorblad!$F$41&gt;Voorblad!$K$41,0,IF($U110=0,0,IF($U110&lt;1,1/$U110,IF((FO$56-Voorblad!$F$41)/$U110-SUM($EE110:FN110)=1,1,0))))</f>
        <v>0</v>
      </c>
      <c r="FP110" s="8">
        <f>IF(FP$56-Voorblad!$F$41&gt;Voorblad!$K$41,0,IF($U110=0,0,IF($U110&lt;1,1/$U110,IF((FP$56-Voorblad!$F$41)/$U110-SUM($EE110:FO110)=1,1,0))))</f>
        <v>0</v>
      </c>
      <c r="FQ110" s="8">
        <f>IF(FQ$56-Voorblad!$F$41&gt;Voorblad!$K$41,0,IF($U110=0,0,IF($U110&lt;1,1/$U110,IF((FQ$56-Voorblad!$F$41)/$U110-SUM($EE110:FP110)=1,1,0))))</f>
        <v>0</v>
      </c>
      <c r="FR110" s="8">
        <f>IF(FR$56-Voorblad!$F$41&gt;Voorblad!$K$41,0,IF($U110=0,0,IF($U110&lt;1,1/$U110,IF((FR$56-Voorblad!$F$41)/$U110-SUM($EE110:FQ110)=1,1,0))))</f>
        <v>0</v>
      </c>
      <c r="FS110" s="8">
        <f>IF(FS$56-Voorblad!$F$41&gt;Voorblad!$K$41,0,IF($U110=0,0,IF($U110&lt;1,1/$U110,IF((FS$56-Voorblad!$F$41)/$U110-SUM($EE110:FR110)=1,1,0))))</f>
        <v>0</v>
      </c>
      <c r="FT110" s="8">
        <f>IF(FT$56-Voorblad!$F$41&gt;Voorblad!$K$41,0,IF($U110=0,0,IF($U110&lt;1,1/$U110,IF((FT$56-Voorblad!$F$41)/$U110-SUM($EE110:FS110)=1,1,0))))</f>
        <v>1</v>
      </c>
      <c r="FU110" s="8">
        <f>IF(FU$56-Voorblad!$F$41&gt;Voorblad!$K$41,0,IF($U110=0,0,IF($U110&lt;1,1/$U110,IF((FU$56-Voorblad!$F$41)/$U110-SUM($EE110:FT110)=1,1,0))))</f>
        <v>0</v>
      </c>
      <c r="FV110" s="8">
        <f>IF(FV$56-Voorblad!$F$41&gt;Voorblad!$K$41,0,IF($U110=0,0,IF($U110&lt;1,1/$U110,IF((FV$56-Voorblad!$F$41)/$U110-SUM($EE110:FU110)=1,1,0))))</f>
        <v>0</v>
      </c>
      <c r="FW110" s="8">
        <f>IF(FW$56-Voorblad!$F$41&gt;Voorblad!$K$41,0,IF($U110=0,0,IF($U110&lt;1,1/$U110,IF((FW$56-Voorblad!$F$41)/$U110-SUM($EE110:FV110)=1,1,0))))</f>
        <v>0</v>
      </c>
      <c r="FX110" s="8">
        <f>IF(FX$56-Voorblad!$F$41&gt;Voorblad!$K$41,0,IF($U110=0,0,IF($U110&lt;1,1/$U110,IF((FX$56-Voorblad!$F$41)/$U110-SUM($EE110:FW110)=1,1,0))))</f>
        <v>0</v>
      </c>
      <c r="FY110" s="8">
        <f>IF(FY$56-Voorblad!$F$41&gt;Voorblad!$K$41,0,IF($U110=0,0,IF($U110&lt;1,1/$U110,IF((FY$56-Voorblad!$F$41)/$U110-SUM($EE110:FX110)=1,1,0))))</f>
        <v>0</v>
      </c>
      <c r="FZ110" s="8">
        <f>IF(FZ$56-Voorblad!$F$41&gt;Voorblad!$K$41,0,IF($U110=0,0,IF($U110&lt;1,1/$U110,IF((FZ$56-Voorblad!$F$41)/$U110-SUM($EE110:FY110)=1,1,0))))</f>
        <v>0</v>
      </c>
      <c r="GA110" s="8">
        <f>IF(GA$56-Voorblad!$F$41&gt;Voorblad!$K$41,0,IF($U110=0,0,IF($U110&lt;1,1/$U110,IF((GA$56-Voorblad!$F$41)/$U110-SUM($EE110:FZ110)=1,1,0))))</f>
        <v>0</v>
      </c>
      <c r="GB110" s="8">
        <f>IF(GB$56-Voorblad!$F$41&gt;Voorblad!$K$41,0,IF($U110=0,0,IF($U110&lt;1,1/$U110,IF((GB$56-Voorblad!$F$41)/$U110-SUM($EE110:GA110)=1,1,0))))</f>
        <v>0</v>
      </c>
      <c r="GC110" s="8">
        <f>IF(GC$56-Voorblad!$F$41&gt;Voorblad!$K$41,0,IF($U110=0,0,IF($U110&lt;1,1/$U110,IF((GC$56-Voorblad!$F$41)/$U110-SUM($EE110:GB110)=1,1,0))))</f>
        <v>0</v>
      </c>
      <c r="GD110" s="8">
        <f>IF(GD$56-Voorblad!$F$41&gt;Voorblad!$K$41,0,IF($U110=0,0,IF($U110&lt;1,1/$U110,IF((GD$56-Voorblad!$F$41)/$U110-SUM($EE110:GC110)=1,1,0))))</f>
        <v>1</v>
      </c>
      <c r="GE110" s="8">
        <f>IF(GE$56-Voorblad!$F$41&gt;Voorblad!$K$41,0,IF($U110=0,0,IF($U110&lt;1,1/$U110,IF((GE$56-Voorblad!$F$41)/$U110-SUM($EE110:GD110)=1,1,0))))</f>
        <v>0</v>
      </c>
      <c r="GF110" s="8">
        <f>IF(GF$56-Voorblad!$F$41&gt;Voorblad!$K$41,0,IF($U110=0,0,IF($U110&lt;1,1/$U110,IF((GF$56-Voorblad!$F$41)/$U110-SUM($EE110:GE110)=1,1,0))))</f>
        <v>0</v>
      </c>
      <c r="GG110" s="8">
        <f>IF(GG$56-Voorblad!$F$41&gt;Voorblad!$K$41,0,IF($U110=0,0,IF($U110&lt;1,1/$U110,IF((GG$56-Voorblad!$F$41)/$U110-SUM($EE110:GF110)=1,1,0))))</f>
        <v>0</v>
      </c>
      <c r="GH110" s="8">
        <f>IF(GH$56-Voorblad!$F$41&gt;Voorblad!$K$41,0,IF($U110=0,0,IF($U110&lt;1,1/$U110,IF((GH$56-Voorblad!$F$41)/$U110-SUM($EE110:GG110)=1,1,0))))</f>
        <v>0</v>
      </c>
      <c r="GI110" s="8">
        <f>IF(GI$56-Voorblad!$F$41&gt;Voorblad!$K$41,0,IF($U110=0,0,IF($U110&lt;1,1/$U110,IF((GI$56-Voorblad!$F$41)/$U110-SUM($EE110:GH110)=1,1,0))))</f>
        <v>0</v>
      </c>
      <c r="GJ110" s="8">
        <f>IF(GJ$56-Voorblad!$F$41&gt;Voorblad!$K$41,0,IF($U110=0,0,IF($U110&lt;1,1/$U110,IF((GJ$56-Voorblad!$F$41)/$U110-SUM($EE110:GI110)=1,1,0))))</f>
        <v>0</v>
      </c>
      <c r="GK110" s="8">
        <f>IF(GK$56-Voorblad!$F$41&gt;Voorblad!$K$41,0,IF($U110=0,0,IF($U110&lt;1,1/$U110,IF((GK$56-Voorblad!$F$41)/$U110-SUM($EE110:GJ110)=1,1,0))))</f>
        <v>0</v>
      </c>
      <c r="GL110" s="8">
        <f>IF(GL$56-Voorblad!$F$41&gt;Voorblad!$K$41,0,IF($U110=0,0,IF($U110&lt;1,1/$U110,IF((GL$56-Voorblad!$F$41)/$U110-SUM($EE110:GK110)=1,1,0))))</f>
        <v>0</v>
      </c>
      <c r="GM110" s="8">
        <f>IF(GM$56-Voorblad!$F$41&gt;Voorblad!$K$41,0,IF($U110=0,0,IF($U110&lt;1,1/$U110,IF((GM$56-Voorblad!$F$41)/$U110-SUM($EE110:GL110)=1,1,0))))</f>
        <v>0</v>
      </c>
      <c r="GN110" s="8">
        <f>IF(GN$56-Voorblad!$F$41&gt;Voorblad!$K$41,0,IF($U110=0,0,IF($U110&lt;1,1/$U110,IF((GN$56-Voorblad!$F$41)/$U110-SUM($EE110:GM110)=1,1,0))))</f>
        <v>1</v>
      </c>
      <c r="GO110" s="8">
        <f>IF(GO$56-Voorblad!$F$41&gt;Voorblad!$K$41,0,IF($U110=0,0,IF($U110&lt;1,1/$U110,IF((GO$56-Voorblad!$F$41)/$U110-SUM($EE110:GN110)=1,1,0))))</f>
        <v>0</v>
      </c>
      <c r="GP110" s="8">
        <f>IF(GP$56-Voorblad!$F$41&gt;Voorblad!$K$41,0,IF($U110=0,0,IF($U110&lt;1,1/$U110,IF((GP$56-Voorblad!$F$41)/$U110-SUM($EE110:GO110)=1,1,0))))</f>
        <v>0</v>
      </c>
      <c r="GQ110" s="8">
        <f>IF(GQ$56-Voorblad!$F$41&gt;Voorblad!$K$41,0,IF($U110=0,0,IF($U110&lt;1,1/$U110,IF((GQ$56-Voorblad!$F$41)/$U110-SUM($EE110:GP110)=1,1,0))))</f>
        <v>0</v>
      </c>
      <c r="GR110" s="8">
        <f>IF(GR$56-Voorblad!$F$41&gt;Voorblad!$K$41,0,IF($U110=0,0,IF($U110&lt;1,1/$U110,IF((GR$56-Voorblad!$F$41)/$U110-SUM($EE110:GQ110)=1,1,0))))</f>
        <v>0</v>
      </c>
      <c r="GS110" s="8">
        <f>IF(GS$56-Voorblad!$F$41&gt;Voorblad!$K$41,0,IF($U110=0,0,IF($U110&lt;1,1/$U110,IF((GS$56-Voorblad!$F$41)/$U110-SUM($EE110:GR110)=1,1,0))))</f>
        <v>0</v>
      </c>
      <c r="GT110" s="8">
        <f>IF(GT$56-Voorblad!$F$41&gt;Voorblad!$K$41,0,IF($U110=0,0,IF($U110&lt;1,1/$U110,IF((GT$56-Voorblad!$F$41)/$U110-SUM($EE110:GS110)=1,1,0))))</f>
        <v>0</v>
      </c>
      <c r="GU110" s="8">
        <f>IF(GU$56-Voorblad!$F$41&gt;Voorblad!$K$41,0,IF($U110=0,0,IF($U110&lt;1,1/$U110,IF((GU$56-Voorblad!$F$41)/$U110-SUM($EE110:GT110)=1,1,0))))</f>
        <v>0</v>
      </c>
      <c r="GV110" s="8">
        <f>IF(GV$56-Voorblad!$F$41&gt;Voorblad!$K$41,0,IF($U110=0,0,IF($U110&lt;1,1/$U110,IF((GV$56-Voorblad!$F$41)/$U110-SUM($EE110:GU110)=1,1,0))))</f>
        <v>0</v>
      </c>
      <c r="GW110" s="8">
        <f>IF(GW$56-Voorblad!$F$41&gt;Voorblad!$K$41,0,IF($U110=0,0,IF($U110&lt;1,1/$U110,IF((GW$56-Voorblad!$F$41)/$U110-SUM($EE110:GV110)=1,1,0))))</f>
        <v>0</v>
      </c>
      <c r="GX110" s="8">
        <f>IF(GX$56-Voorblad!$F$41&gt;Voorblad!$K$41,0,IF($U110=0,0,IF($U110&lt;1,1/$U110,IF((GX$56-Voorblad!$F$41)/$U110-SUM($EE110:GW110)=1,1,0))))</f>
        <v>1</v>
      </c>
      <c r="GY110" s="8">
        <f>IF(GY$56-Voorblad!$F$41&gt;Voorblad!$K$41,0,IF($U110=0,0,IF($U110&lt;1,1/$U110,IF((GY$56-Voorblad!$F$41)/$U110-SUM($EE110:GX110)=1,1,0))))</f>
        <v>0</v>
      </c>
      <c r="GZ110" s="8">
        <f>IF(GZ$56-Voorblad!$F$41&gt;Voorblad!$K$41,0,IF($U110=0,0,IF($U110&lt;1,1/$U110,IF((GZ$56-Voorblad!$F$41)/$U110-SUM($EE110:GY110)=1,1,0))))</f>
        <v>0</v>
      </c>
      <c r="HA110" s="8">
        <f>IF(HA$56-Voorblad!$F$41&gt;Voorblad!$K$41,0,IF($U110=0,0,IF($U110&lt;1,1/$U110,IF((HA$56-Voorblad!$F$41)/$U110-SUM($EE110:GZ110)=1,1,0))))</f>
        <v>0</v>
      </c>
      <c r="HB110" s="8">
        <f>IF(HB$56-Voorblad!$F$41&gt;Voorblad!$K$41,0,IF($U110=0,0,IF($U110&lt;1,1/$U110,IF((HB$56-Voorblad!$F$41)/$U110-SUM($EE110:HA110)=1,1,0))))</f>
        <v>0</v>
      </c>
      <c r="HC110" s="8">
        <f>IF(HC$56-Voorblad!$F$41&gt;Voorblad!$K$41,0,IF($U110=0,0,IF($U110&lt;1,1/$U110,IF((HC$56-Voorblad!$F$41)/$U110-SUM($EE110:HB110)=1,1,0))))</f>
        <v>0</v>
      </c>
      <c r="HD110" s="8">
        <f>IF(HD$56-Voorblad!$F$41&gt;Voorblad!$K$41,0,IF($U110=0,0,IF($U110&lt;1,1/$U110,IF((HD$56-Voorblad!$F$41)/$U110-SUM($EE110:HC110)=1,1,0))))</f>
        <v>0</v>
      </c>
      <c r="HE110" s="8">
        <f>IF(HE$56-Voorblad!$F$41&gt;Voorblad!$K$41,0,IF($U110=0,0,IF($U110&lt;1,1/$U110,IF((HE$56-Voorblad!$F$41)/$U110-SUM($EE110:HD110)=1,1,0))))</f>
        <v>0</v>
      </c>
      <c r="HF110" s="8">
        <f>IF(HF$56-Voorblad!$F$41&gt;Voorblad!$K$41,0,IF($U110=0,0,IF($U110&lt;1,1/$U110,IF((HF$56-Voorblad!$F$41)/$U110-SUM($EE110:HE110)=1,1,0))))</f>
        <v>0</v>
      </c>
      <c r="HG110" s="8">
        <f>IF(HG$56-Voorblad!$F$41&gt;Voorblad!$K$41,0,IF($U110=0,0,IF($U110&lt;1,1/$U110,IF((HG$56-Voorblad!$F$41)/$U110-SUM($EE110:HF110)=1,1,0))))</f>
        <v>0</v>
      </c>
      <c r="HH110" s="8">
        <f>IF(HH$56-Voorblad!$F$41&gt;Voorblad!$K$41,0,IF($U110=0,0,IF($U110&lt;1,1/$U110,IF((HH$56-Voorblad!$F$41)/$U110-SUM($EE110:HG110)=1,1,0))))</f>
        <v>0</v>
      </c>
      <c r="HI110" s="8">
        <f>IF(HI$56-Voorblad!$F$41&gt;Voorblad!$K$41,0,IF($U110=0,0,IF($U110&lt;1,1/$U110,IF((HI$56-Voorblad!$F$41)/$U110-SUM($EE110:HH110)=1,1,0))))</f>
        <v>0</v>
      </c>
      <c r="HJ110" s="8">
        <f>IF(HJ$56-Voorblad!$F$41&gt;Voorblad!$K$41,0,IF($U110=0,0,IF($U110&lt;1,1/$U110,IF((HJ$56-Voorblad!$F$41)/$U110-SUM($EE110:HI110)=1,1,0))))</f>
        <v>0</v>
      </c>
      <c r="HK110" s="8">
        <f>IF(HK$56-Voorblad!$F$41&gt;Voorblad!$K$41,0,IF($U110=0,0,IF($U110&lt;1,1/$U110,IF((HK$56-Voorblad!$F$41)/$U110-SUM($EE110:HJ110)=1,1,0))))</f>
        <v>0</v>
      </c>
      <c r="HL110" s="8">
        <f>IF(HL$56-Voorblad!$F$41&gt;Voorblad!$K$41,0,IF($U110=0,0,IF($U110&lt;1,1/$U110,IF((HL$56-Voorblad!$F$41)/$U110-SUM($EE110:HK110)=1,1,0))))</f>
        <v>0</v>
      </c>
      <c r="HM110" s="8">
        <f>IF(HM$56-Voorblad!$F$41&gt;Voorblad!$K$41,0,IF($U110=0,0,IF($U110&lt;1,1/$U110,IF((HM$56-Voorblad!$F$41)/$U110-SUM($EE110:HL110)=1,1,0))))</f>
        <v>0</v>
      </c>
      <c r="HN110" s="8">
        <f>IF(HN$56-Voorblad!$F$41&gt;Voorblad!$K$41,0,IF($U110=0,0,IF($U110&lt;1,1/$U110,IF((HN$56-Voorblad!$F$41)/$U110-SUM($EE110:HM110)=1,1,0))))</f>
        <v>0</v>
      </c>
      <c r="HO110" s="8">
        <f>IF(HO$56-Voorblad!$F$41&gt;Voorblad!$K$41,0,IF($U110=0,0,IF($U110&lt;1,1/$U110,IF((HO$56-Voorblad!$F$41)/$U110-SUM($EE110:HN110)=1,1,0))))</f>
        <v>0</v>
      </c>
      <c r="HP110" s="8">
        <f>IF(HP$56-Voorblad!$F$41&gt;Voorblad!$K$41,0,IF($U110=0,0,IF($U110&lt;1,1/$U110,IF((HP$56-Voorblad!$F$41)/$U110-SUM($EE110:HO110)=1,1,0))))</f>
        <v>0</v>
      </c>
      <c r="HQ110" s="8">
        <f>IF(HQ$56-Voorblad!$F$41&gt;Voorblad!$K$41,0,IF($U110=0,0,IF($U110&lt;1,1/$U110,IF((HQ$56-Voorblad!$F$41)/$U110-SUM($EE110:HP110)=1,1,0))))</f>
        <v>0</v>
      </c>
      <c r="HR110" s="8">
        <f>IF(HR$56-Voorblad!$F$41&gt;Voorblad!$K$41,0,IF($U110=0,0,IF($U110&lt;1,1/$U110,IF((HR$56-Voorblad!$F$41)/$U110-SUM($EE110:HQ110)=1,1,0))))</f>
        <v>0</v>
      </c>
      <c r="HS110" s="8">
        <f>IF(HS$56-Voorblad!$F$41&gt;Voorblad!$K$41,0,IF($U110=0,0,IF($U110&lt;1,1/$U110,IF((HS$56-Voorblad!$F$41)/$U110-SUM($EE110:HR110)=1,1,0))))</f>
        <v>0</v>
      </c>
      <c r="HT110" s="8">
        <f>IF(HT$56-Voorblad!$F$41&gt;Voorblad!$K$41,0,IF($U110=0,0,IF($U110&lt;1,1/$U110,IF((HT$56-Voorblad!$F$41)/$U110-SUM($EE110:HS110)=1,1,0))))</f>
        <v>0</v>
      </c>
      <c r="HU110" s="8">
        <f>IF(HU$56-Voorblad!$F$41&gt;Voorblad!$K$41,0,IF($U110=0,0,IF($U110&lt;1,1/$U110,IF((HU$56-Voorblad!$F$41)/$U110-SUM($EE110:HT110)=1,1,0))))</f>
        <v>0</v>
      </c>
      <c r="HV110" s="8">
        <f>IF(HV$56-Voorblad!$F$41&gt;Voorblad!$K$41,0,IF($U110=0,0,IF($U110&lt;1,1/$U110,IF((HV$56-Voorblad!$F$41)/$U110-SUM($EE110:HU110)=1,1,0))))</f>
        <v>0</v>
      </c>
      <c r="HW110" s="8">
        <f>IF(HW$56-Voorblad!$F$41&gt;Voorblad!$K$41,0,IF($U110=0,0,IF($U110&lt;1,1/$U110,IF((HW$56-Voorblad!$F$41)/$U110-SUM($EE110:HV110)=1,1,0))))</f>
        <v>0</v>
      </c>
      <c r="HX110" s="8">
        <f>IF(HX$56-Voorblad!$F$41&gt;Voorblad!$K$41,0,IF($U110=0,0,IF($U110&lt;1,1/$U110,IF((HX$56-Voorblad!$F$41)/$U110-SUM($EE110:HW110)=1,1,0))))</f>
        <v>0</v>
      </c>
      <c r="HY110" s="8">
        <f>IF(HY$56-Voorblad!$F$41&gt;Voorblad!$K$41,0,IF($U110=0,0,IF($U110&lt;1,1/$U110,IF((HY$56-Voorblad!$F$41)/$U110-SUM($EE110:HX110)=1,1,0))))</f>
        <v>0</v>
      </c>
      <c r="HZ110" s="8">
        <f>IF(HZ$56-Voorblad!$F$41&gt;Voorblad!$K$41,0,IF($U110=0,0,IF($U110&lt;1,1/$U110,IF((HZ$56-Voorblad!$F$41)/$U110-SUM($EE110:HY110)=1,1,0))))</f>
        <v>0</v>
      </c>
      <c r="IA110" s="8">
        <f>IF(IA$56-Voorblad!$F$41&gt;Voorblad!$K$41,0,IF($U110=0,0,IF($U110&lt;1,1/$U110,IF((IA$56-Voorblad!$F$41)/$U110-SUM($EE110:HZ110)=1,1,0))))</f>
        <v>0</v>
      </c>
      <c r="IB110" s="8">
        <f>IF(IB$56-Voorblad!$F$41&gt;Voorblad!$K$41,0,IF($U110=0,0,IF($U110&lt;1,1/$U110,IF((IB$56-Voorblad!$F$41)/$U110-SUM($EE110:IA110)=1,1,0))))</f>
        <v>0</v>
      </c>
    </row>
    <row r="111" spans="2:236" ht="12" customHeight="1" outlineLevel="1" x14ac:dyDescent="0.25">
      <c r="B111" s="1">
        <v>3</v>
      </c>
      <c r="F111" s="1" t="s">
        <v>23</v>
      </c>
      <c r="I111" s="1" t="s">
        <v>277</v>
      </c>
      <c r="K111" s="1" t="s">
        <v>84</v>
      </c>
      <c r="P111" s="8"/>
      <c r="Q111" s="83">
        <f>25%*(((2*8.43*8.02)+(2*(8.43+8.02)*0.675))+((4*15.9*1.705)+(4*(15.9+1.705)*1.675)))</f>
        <v>95.954049999999995</v>
      </c>
      <c r="R111" s="1" t="s">
        <v>35</v>
      </c>
      <c r="S111" s="21">
        <f>$H$20*20</f>
        <v>35.4</v>
      </c>
      <c r="T111" s="9">
        <f t="shared" si="20"/>
        <v>3396.7733699999999</v>
      </c>
      <c r="U111" s="14">
        <v>10</v>
      </c>
      <c r="V111" s="14"/>
      <c r="Y111" s="9">
        <f t="shared" si="21"/>
        <v>9974.3601372911908</v>
      </c>
      <c r="Z111" s="82"/>
      <c r="AA111" s="82"/>
      <c r="AC111" s="9">
        <f>$Y111*(Voorblad!$K$44*(1+Voorblad!$K$44)^Voorblad!$K$41)/((1+Voorblad!$K$44)^Voorblad!$K$41-1)</f>
        <v>298.5892477468085</v>
      </c>
      <c r="AE111" s="9">
        <f>EF111*($Q111*$S111)/(1+Voorblad!$K$44)^(AE$56-Voorblad!$F$41)</f>
        <v>0</v>
      </c>
      <c r="AF111" s="9">
        <f>EG111*($Q111*$S111)/(1+Voorblad!$K$44)^(AF$56-Voorblad!$F$41)</f>
        <v>0</v>
      </c>
      <c r="AG111" s="9">
        <f>EH111*($Q111*$S111)/(1+Voorblad!$K$44)^(AG$56-Voorblad!$F$41)</f>
        <v>0</v>
      </c>
      <c r="AH111" s="9">
        <f>EI111*($Q111*$S111)/(1+Voorblad!$K$44)^(AH$56-Voorblad!$F$41)</f>
        <v>0</v>
      </c>
      <c r="AI111" s="9">
        <f>EJ111*($Q111*$S111)/(1+Voorblad!$K$44)^(AI$56-Voorblad!$F$41)</f>
        <v>0</v>
      </c>
      <c r="AJ111" s="9">
        <f>EK111*($Q111*$S111)/(1+Voorblad!$K$44)^(AJ$56-Voorblad!$F$41)</f>
        <v>0</v>
      </c>
      <c r="AK111" s="9">
        <f>EL111*($Q111*$S111)/(1+Voorblad!$K$44)^(AK$56-Voorblad!$F$41)</f>
        <v>0</v>
      </c>
      <c r="AL111" s="9">
        <f>EM111*($Q111*$S111)/(1+Voorblad!$K$44)^(AL$56-Voorblad!$F$41)</f>
        <v>0</v>
      </c>
      <c r="AM111" s="9">
        <f>EN111*($Q111*$S111)/(1+Voorblad!$K$44)^(AM$56-Voorblad!$F$41)</f>
        <v>0</v>
      </c>
      <c r="AN111" s="9">
        <f>EO111*($Q111*$S111)/(1+Voorblad!$K$44)^(AN$56-Voorblad!$F$41)</f>
        <v>0</v>
      </c>
      <c r="AO111" s="9">
        <f>EP111*($Q111*$S111)/(1+Voorblad!$K$44)^(AO$56-Voorblad!$F$41)</f>
        <v>2653.5539276685117</v>
      </c>
      <c r="AP111" s="9">
        <f>EQ111*($Q111*$S111)/(1+Voorblad!$K$44)^(AP$56-Voorblad!$F$41)</f>
        <v>0</v>
      </c>
      <c r="AQ111" s="9">
        <f>ER111*($Q111*$S111)/(1+Voorblad!$K$44)^(AQ$56-Voorblad!$F$41)</f>
        <v>0</v>
      </c>
      <c r="AR111" s="9">
        <f>ES111*($Q111*$S111)/(1+Voorblad!$K$44)^(AR$56-Voorblad!$F$41)</f>
        <v>0</v>
      </c>
      <c r="AS111" s="9">
        <f>ET111*($Q111*$S111)/(1+Voorblad!$K$44)^(AS$56-Voorblad!$F$41)</f>
        <v>0</v>
      </c>
      <c r="AT111" s="9">
        <f>EU111*($Q111*$S111)/(1+Voorblad!$K$44)^(AT$56-Voorblad!$F$41)</f>
        <v>0</v>
      </c>
      <c r="AU111" s="9">
        <f>EV111*($Q111*$S111)/(1+Voorblad!$K$44)^(AU$56-Voorblad!$F$41)</f>
        <v>0</v>
      </c>
      <c r="AV111" s="9">
        <f>EW111*($Q111*$S111)/(1+Voorblad!$K$44)^(AV$56-Voorblad!$F$41)</f>
        <v>0</v>
      </c>
      <c r="AW111" s="9">
        <f>EX111*($Q111*$S111)/(1+Voorblad!$K$44)^(AW$56-Voorblad!$F$41)</f>
        <v>0</v>
      </c>
      <c r="AX111" s="9">
        <f>EY111*($Q111*$S111)/(1+Voorblad!$K$44)^(AX$56-Voorblad!$F$41)</f>
        <v>0</v>
      </c>
      <c r="AY111" s="9">
        <f>EZ111*($Q111*$S111)/(1+Voorblad!$K$44)^(AY$56-Voorblad!$F$41)</f>
        <v>2072.9520871876666</v>
      </c>
      <c r="AZ111" s="9">
        <f>FA111*($Q111*$S111)/(1+Voorblad!$K$44)^(AZ$56-Voorblad!$F$41)</f>
        <v>0</v>
      </c>
      <c r="BA111" s="9">
        <f>FB111*($Q111*$S111)/(1+Voorblad!$K$44)^(BA$56-Voorblad!$F$41)</f>
        <v>0</v>
      </c>
      <c r="BB111" s="9">
        <f>FC111*($Q111*$S111)/(1+Voorblad!$K$44)^(BB$56-Voorblad!$F$41)</f>
        <v>0</v>
      </c>
      <c r="BC111" s="9">
        <f>FD111*($Q111*$S111)/(1+Voorblad!$K$44)^(BC$56-Voorblad!$F$41)</f>
        <v>0</v>
      </c>
      <c r="BD111" s="9">
        <f>FE111*($Q111*$S111)/(1+Voorblad!$K$44)^(BD$56-Voorblad!$F$41)</f>
        <v>0</v>
      </c>
      <c r="BE111" s="9">
        <f>FF111*($Q111*$S111)/(1+Voorblad!$K$44)^(BE$56-Voorblad!$F$41)</f>
        <v>0</v>
      </c>
      <c r="BF111" s="9">
        <f>FG111*($Q111*$S111)/(1+Voorblad!$K$44)^(BF$56-Voorblad!$F$41)</f>
        <v>0</v>
      </c>
      <c r="BG111" s="9">
        <f>FH111*($Q111*$S111)/(1+Voorblad!$K$44)^(BG$56-Voorblad!$F$41)</f>
        <v>0</v>
      </c>
      <c r="BH111" s="9">
        <f>FI111*($Q111*$S111)/(1+Voorblad!$K$44)^(BH$56-Voorblad!$F$41)</f>
        <v>0</v>
      </c>
      <c r="BI111" s="9">
        <f>FJ111*($Q111*$S111)/(1+Voorblad!$K$44)^(BI$56-Voorblad!$F$41)</f>
        <v>1619.3868573650152</v>
      </c>
      <c r="BJ111" s="9">
        <f>FK111*($Q111*$S111)/(1+Voorblad!$K$44)^(BJ$56-Voorblad!$F$41)</f>
        <v>0</v>
      </c>
      <c r="BK111" s="9">
        <f>FL111*($Q111*$S111)/(1+Voorblad!$K$44)^(BK$56-Voorblad!$F$41)</f>
        <v>0</v>
      </c>
      <c r="BL111" s="9">
        <f>FM111*($Q111*$S111)/(1+Voorblad!$K$44)^(BL$56-Voorblad!$F$41)</f>
        <v>0</v>
      </c>
      <c r="BM111" s="9">
        <f>FN111*($Q111*$S111)/(1+Voorblad!$K$44)^(BM$56-Voorblad!$F$41)</f>
        <v>0</v>
      </c>
      <c r="BN111" s="9">
        <f>FO111*($Q111*$S111)/(1+Voorblad!$K$44)^(BN$56-Voorblad!$F$41)</f>
        <v>0</v>
      </c>
      <c r="BO111" s="9">
        <f>FP111*($Q111*$S111)/(1+Voorblad!$K$44)^(BO$56-Voorblad!$F$41)</f>
        <v>0</v>
      </c>
      <c r="BP111" s="9">
        <f>FQ111*($Q111*$S111)/(1+Voorblad!$K$44)^(BP$56-Voorblad!$F$41)</f>
        <v>0</v>
      </c>
      <c r="BQ111" s="9">
        <f>FR111*($Q111*$S111)/(1+Voorblad!$K$44)^(BQ$56-Voorblad!$F$41)</f>
        <v>0</v>
      </c>
      <c r="BR111" s="9">
        <f>FS111*($Q111*$S111)/(1+Voorblad!$K$44)^(BR$56-Voorblad!$F$41)</f>
        <v>0</v>
      </c>
      <c r="BS111" s="9">
        <f>FT111*($Q111*$S111)/(1+Voorblad!$K$44)^(BS$56-Voorblad!$F$41)</f>
        <v>1265.0624247491978</v>
      </c>
      <c r="BT111" s="9">
        <f>FU111*($Q111*$S111)/(1+Voorblad!$K$44)^(BT$56-Voorblad!$F$41)</f>
        <v>0</v>
      </c>
      <c r="BU111" s="9">
        <f>FV111*($Q111*$S111)/(1+Voorblad!$K$44)^(BU$56-Voorblad!$F$41)</f>
        <v>0</v>
      </c>
      <c r="BV111" s="9">
        <f>FW111*($Q111*$S111)/(1+Voorblad!$K$44)^(BV$56-Voorblad!$F$41)</f>
        <v>0</v>
      </c>
      <c r="BW111" s="9">
        <f>FX111*($Q111*$S111)/(1+Voorblad!$K$44)^(BW$56-Voorblad!$F$41)</f>
        <v>0</v>
      </c>
      <c r="BX111" s="9">
        <f>FY111*($Q111*$S111)/(1+Voorblad!$K$44)^(BX$56-Voorblad!$F$41)</f>
        <v>0</v>
      </c>
      <c r="BY111" s="9">
        <f>FZ111*($Q111*$S111)/(1+Voorblad!$K$44)^(BY$56-Voorblad!$F$41)</f>
        <v>0</v>
      </c>
      <c r="BZ111" s="9">
        <f>GA111*($Q111*$S111)/(1+Voorblad!$K$44)^(BZ$56-Voorblad!$F$41)</f>
        <v>0</v>
      </c>
      <c r="CA111" s="9">
        <f>GB111*($Q111*$S111)/(1+Voorblad!$K$44)^(CA$56-Voorblad!$F$41)</f>
        <v>0</v>
      </c>
      <c r="CB111" s="9">
        <f>GC111*($Q111*$S111)/(1+Voorblad!$K$44)^(CB$56-Voorblad!$F$41)</f>
        <v>0</v>
      </c>
      <c r="CC111" s="9">
        <f>GD111*($Q111*$S111)/(1+Voorblad!$K$44)^(CC$56-Voorblad!$F$41)</f>
        <v>988.26474429734594</v>
      </c>
      <c r="CD111" s="9">
        <f>GE111*($Q111*$S111)/(1+Voorblad!$K$44)^(CD$56-Voorblad!$F$41)</f>
        <v>0</v>
      </c>
      <c r="CE111" s="9">
        <f>GF111*($Q111*$S111)/(1+Voorblad!$K$44)^(CE$56-Voorblad!$F$41)</f>
        <v>0</v>
      </c>
      <c r="CF111" s="9">
        <f>GG111*($Q111*$S111)/(1+Voorblad!$K$44)^(CF$56-Voorblad!$F$41)</f>
        <v>0</v>
      </c>
      <c r="CG111" s="9">
        <f>GH111*($Q111*$S111)/(1+Voorblad!$K$44)^(CG$56-Voorblad!$F$41)</f>
        <v>0</v>
      </c>
      <c r="CH111" s="9">
        <f>GI111*($Q111*$S111)/(1+Voorblad!$K$44)^(CH$56-Voorblad!$F$41)</f>
        <v>0</v>
      </c>
      <c r="CI111" s="9">
        <f>GJ111*($Q111*$S111)/(1+Voorblad!$K$44)^(CI$56-Voorblad!$F$41)</f>
        <v>0</v>
      </c>
      <c r="CJ111" s="9">
        <f>GK111*($Q111*$S111)/(1+Voorblad!$K$44)^(CJ$56-Voorblad!$F$41)</f>
        <v>0</v>
      </c>
      <c r="CK111" s="9">
        <f>GL111*($Q111*$S111)/(1+Voorblad!$K$44)^(CK$56-Voorblad!$F$41)</f>
        <v>0</v>
      </c>
      <c r="CL111" s="9">
        <f>GM111*($Q111*$S111)/(1+Voorblad!$K$44)^(CL$56-Voorblad!$F$41)</f>
        <v>0</v>
      </c>
      <c r="CM111" s="9">
        <f>GN111*($Q111*$S111)/(1+Voorblad!$K$44)^(CM$56-Voorblad!$F$41)</f>
        <v>772.03083872697096</v>
      </c>
      <c r="CN111" s="9">
        <f>GO111*($Q111*$S111)/(1+Voorblad!$K$44)^(CN$56-Voorblad!$F$41)</f>
        <v>0</v>
      </c>
      <c r="CO111" s="9">
        <f>GP111*($Q111*$S111)/(1+Voorblad!$K$44)^(CO$56-Voorblad!$F$41)</f>
        <v>0</v>
      </c>
      <c r="CP111" s="9">
        <f>GQ111*($Q111*$S111)/(1+Voorblad!$K$44)^(CP$56-Voorblad!$F$41)</f>
        <v>0</v>
      </c>
      <c r="CQ111" s="9">
        <f>GR111*($Q111*$S111)/(1+Voorblad!$K$44)^(CQ$56-Voorblad!$F$41)</f>
        <v>0</v>
      </c>
      <c r="CR111" s="9">
        <f>GS111*($Q111*$S111)/(1+Voorblad!$K$44)^(CR$56-Voorblad!$F$41)</f>
        <v>0</v>
      </c>
      <c r="CS111" s="9">
        <f>GT111*($Q111*$S111)/(1+Voorblad!$K$44)^(CS$56-Voorblad!$F$41)</f>
        <v>0</v>
      </c>
      <c r="CT111" s="9">
        <f>GU111*($Q111*$S111)/(1+Voorblad!$K$44)^(CT$56-Voorblad!$F$41)</f>
        <v>0</v>
      </c>
      <c r="CU111" s="9">
        <f>GV111*($Q111*$S111)/(1+Voorblad!$K$44)^(CU$56-Voorblad!$F$41)</f>
        <v>0</v>
      </c>
      <c r="CV111" s="9">
        <f>GW111*($Q111*$S111)/(1+Voorblad!$K$44)^(CV$56-Voorblad!$F$41)</f>
        <v>0</v>
      </c>
      <c r="CW111" s="9">
        <f>GX111*($Q111*$S111)/(1+Voorblad!$K$44)^(CW$56-Voorblad!$F$41)</f>
        <v>603.10925729648227</v>
      </c>
      <c r="CX111" s="9">
        <f>GY111*($Q111*$S111)/(1+Voorblad!$K$44)^(CX$56-Voorblad!$F$41)</f>
        <v>0</v>
      </c>
      <c r="CY111" s="9">
        <f>GZ111*($Q111*$S111)/(1+Voorblad!$K$44)^(CY$56-Voorblad!$F$41)</f>
        <v>0</v>
      </c>
      <c r="CZ111" s="9">
        <f>HA111*($Q111*$S111)/(1+Voorblad!$K$44)^(CZ$56-Voorblad!$F$41)</f>
        <v>0</v>
      </c>
      <c r="DA111" s="9">
        <f>HB111*($Q111*$S111)/(1+Voorblad!$K$44)^(DA$56-Voorblad!$F$41)</f>
        <v>0</v>
      </c>
      <c r="DB111" s="9">
        <f>HC111*($Q111*$S111)/(1+Voorblad!$K$44)^(DB$56-Voorblad!$F$41)</f>
        <v>0</v>
      </c>
      <c r="DC111" s="9">
        <f>HD111*($Q111*$S111)/(1+Voorblad!$K$44)^(DC$56-Voorblad!$F$41)</f>
        <v>0</v>
      </c>
      <c r="DD111" s="9">
        <f>HE111*($Q111*$S111)/(1+Voorblad!$K$44)^(DD$56-Voorblad!$F$41)</f>
        <v>0</v>
      </c>
      <c r="DE111" s="9">
        <f>HF111*($Q111*$S111)/(1+Voorblad!$K$44)^(DE$56-Voorblad!$F$41)</f>
        <v>0</v>
      </c>
      <c r="DF111" s="9">
        <f>HG111*($Q111*$S111)/(1+Voorblad!$K$44)^(DF$56-Voorblad!$F$41)</f>
        <v>0</v>
      </c>
      <c r="DG111" s="9">
        <f>HH111*($Q111*$S111)/(1+Voorblad!$K$44)^(DG$56-Voorblad!$F$41)</f>
        <v>0</v>
      </c>
      <c r="DH111" s="9">
        <f>HI111*($Q111*$S111)/(1+Voorblad!$K$44)^(DH$56-Voorblad!$F$41)</f>
        <v>0</v>
      </c>
      <c r="DI111" s="9">
        <f>HJ111*($Q111*$S111)/(1+Voorblad!$K$44)^(DI$56-Voorblad!$F$41)</f>
        <v>0</v>
      </c>
      <c r="DJ111" s="9">
        <f>HK111*($Q111*$S111)/(1+Voorblad!$K$44)^(DJ$56-Voorblad!$F$41)</f>
        <v>0</v>
      </c>
      <c r="DK111" s="9">
        <f>HL111*($Q111*$S111)/(1+Voorblad!$K$44)^(DK$56-Voorblad!$F$41)</f>
        <v>0</v>
      </c>
      <c r="DL111" s="9">
        <f>HM111*($Q111*$S111)/(1+Voorblad!$K$44)^(DL$56-Voorblad!$F$41)</f>
        <v>0</v>
      </c>
      <c r="DM111" s="9">
        <f>HN111*($Q111*$S111)/(1+Voorblad!$K$44)^(DM$56-Voorblad!$F$41)</f>
        <v>0</v>
      </c>
      <c r="DN111" s="9">
        <f>HO111*($Q111*$S111)/(1+Voorblad!$K$44)^(DN$56-Voorblad!$F$41)</f>
        <v>0</v>
      </c>
      <c r="DO111" s="9">
        <f>HP111*($Q111*$S111)/(1+Voorblad!$K$44)^(DO$56-Voorblad!$F$41)</f>
        <v>0</v>
      </c>
      <c r="DP111" s="9">
        <f>HQ111*($Q111*$S111)/(1+Voorblad!$K$44)^(DP$56-Voorblad!$F$41)</f>
        <v>0</v>
      </c>
      <c r="DQ111" s="9">
        <f>HR111*($Q111*$S111)/(1+Voorblad!$K$44)^(DQ$56-Voorblad!$F$41)</f>
        <v>0</v>
      </c>
      <c r="DR111" s="9">
        <f>HS111*($Q111*$S111)/(1+Voorblad!$K$44)^(DR$56-Voorblad!$F$41)</f>
        <v>0</v>
      </c>
      <c r="DS111" s="9">
        <f>HT111*($Q111*$S111)/(1+Voorblad!$K$44)^(DS$56-Voorblad!$F$41)</f>
        <v>0</v>
      </c>
      <c r="DT111" s="9">
        <f>HU111*($Q111*$S111)/(1+Voorblad!$K$44)^(DT$56-Voorblad!$F$41)</f>
        <v>0</v>
      </c>
      <c r="DU111" s="9">
        <f>HV111*($Q111*$S111)/(1+Voorblad!$K$44)^(DU$56-Voorblad!$F$41)</f>
        <v>0</v>
      </c>
      <c r="DV111" s="9">
        <f>HW111*($Q111*$S111)/(1+Voorblad!$K$44)^(DV$56-Voorblad!$F$41)</f>
        <v>0</v>
      </c>
      <c r="DW111" s="9">
        <f>HX111*($Q111*$S111)/(1+Voorblad!$K$44)^(DW$56-Voorblad!$F$41)</f>
        <v>0</v>
      </c>
      <c r="DX111" s="9">
        <f>HY111*($Q111*$S111)/(1+Voorblad!$K$44)^(DX$56-Voorblad!$F$41)</f>
        <v>0</v>
      </c>
      <c r="DY111" s="9">
        <f>HZ111*($Q111*$S111)/(1+Voorblad!$K$44)^(DY$56-Voorblad!$F$41)</f>
        <v>0</v>
      </c>
      <c r="DZ111" s="9">
        <f>IA111*($Q111*$S111)/(1+Voorblad!$K$44)^(DZ$56-Voorblad!$F$41)</f>
        <v>0</v>
      </c>
      <c r="EA111" s="9">
        <f>IB111*($Q111*$S111)/(1+Voorblad!$K$44)^(EA$56-Voorblad!$F$41)</f>
        <v>0</v>
      </c>
      <c r="EB111" s="9">
        <f>IC111*($Q111*$S111)/(1+Voorblad!$K$44)^(EB$56-Voorblad!$F$41)</f>
        <v>0</v>
      </c>
      <c r="EE111" s="8">
        <v>0</v>
      </c>
      <c r="EF111" s="8">
        <f>IF(EF$56-Voorblad!$F$41&gt;Voorblad!$K$41,0,IF($U111=0,0,IF($U111&lt;1,1/$U111,IF((EF$56-Voorblad!$F$41)/$U111-SUM($EE111:EE111)=1,1,0))))</f>
        <v>0</v>
      </c>
      <c r="EG111" s="8">
        <f>IF(EG$56-Voorblad!$F$41&gt;Voorblad!$K$41,0,IF($U111=0,0,IF($U111&lt;1,1/$U111,IF((EG$56-Voorblad!$F$41)/$U111-SUM($EE111:EF111)=1,1,0))))</f>
        <v>0</v>
      </c>
      <c r="EH111" s="8">
        <f>IF(EH$56-Voorblad!$F$41&gt;Voorblad!$K$41,0,IF($U111=0,0,IF($U111&lt;1,1/$U111,IF((EH$56-Voorblad!$F$41)/$U111-SUM($EE111:EG111)=1,1,0))))</f>
        <v>0</v>
      </c>
      <c r="EI111" s="8">
        <f>IF(EI$56-Voorblad!$F$41&gt;Voorblad!$K$41,0,IF($U111=0,0,IF($U111&lt;1,1/$U111,IF((EI$56-Voorblad!$F$41)/$U111-SUM($EE111:EH111)=1,1,0))))</f>
        <v>0</v>
      </c>
      <c r="EJ111" s="8">
        <f>IF(EJ$56-Voorblad!$F$41&gt;Voorblad!$K$41,0,IF($U111=0,0,IF($U111&lt;1,1/$U111,IF((EJ$56-Voorblad!$F$41)/$U111-SUM($EE111:EI111)=1,1,0))))</f>
        <v>0</v>
      </c>
      <c r="EK111" s="8">
        <f>IF(EK$56-Voorblad!$F$41&gt;Voorblad!$K$41,0,IF($U111=0,0,IF($U111&lt;1,1/$U111,IF((EK$56-Voorblad!$F$41)/$U111-SUM($EE111:EJ111)=1,1,0))))</f>
        <v>0</v>
      </c>
      <c r="EL111" s="8">
        <f>IF(EL$56-Voorblad!$F$41&gt;Voorblad!$K$41,0,IF($U111=0,0,IF($U111&lt;1,1/$U111,IF((EL$56-Voorblad!$F$41)/$U111-SUM($EE111:EK111)=1,1,0))))</f>
        <v>0</v>
      </c>
      <c r="EM111" s="8">
        <f>IF(EM$56-Voorblad!$F$41&gt;Voorblad!$K$41,0,IF($U111=0,0,IF($U111&lt;1,1/$U111,IF((EM$56-Voorblad!$F$41)/$U111-SUM($EE111:EL111)=1,1,0))))</f>
        <v>0</v>
      </c>
      <c r="EN111" s="8">
        <f>IF(EN$56-Voorblad!$F$41&gt;Voorblad!$K$41,0,IF($U111=0,0,IF($U111&lt;1,1/$U111,IF((EN$56-Voorblad!$F$41)/$U111-SUM($EE111:EM111)=1,1,0))))</f>
        <v>0</v>
      </c>
      <c r="EO111" s="8">
        <f>IF(EO$56-Voorblad!$F$41&gt;Voorblad!$K$41,0,IF($U111=0,0,IF($U111&lt;1,1/$U111,IF((EO$56-Voorblad!$F$41)/$U111-SUM($EE111:EN111)=1,1,0))))</f>
        <v>0</v>
      </c>
      <c r="EP111" s="8">
        <f>IF(EP$56-Voorblad!$F$41&gt;Voorblad!$K$41,0,IF($U111=0,0,IF($U111&lt;1,1/$U111,IF((EP$56-Voorblad!$F$41)/$U111-SUM($EE111:EO111)=1,1,0))))</f>
        <v>1</v>
      </c>
      <c r="EQ111" s="8">
        <f>IF(EQ$56-Voorblad!$F$41&gt;Voorblad!$K$41,0,IF($U111=0,0,IF($U111&lt;1,1/$U111,IF((EQ$56-Voorblad!$F$41)/$U111-SUM($EE111:EP111)=1,1,0))))</f>
        <v>0</v>
      </c>
      <c r="ER111" s="8">
        <f>IF(ER$56-Voorblad!$F$41&gt;Voorblad!$K$41,0,IF($U111=0,0,IF($U111&lt;1,1/$U111,IF((ER$56-Voorblad!$F$41)/$U111-SUM($EE111:EQ111)=1,1,0))))</f>
        <v>0</v>
      </c>
      <c r="ES111" s="8">
        <f>IF(ES$56-Voorblad!$F$41&gt;Voorblad!$K$41,0,IF($U111=0,0,IF($U111&lt;1,1/$U111,IF((ES$56-Voorblad!$F$41)/$U111-SUM($EE111:ER111)=1,1,0))))</f>
        <v>0</v>
      </c>
      <c r="ET111" s="8">
        <f>IF(ET$56-Voorblad!$F$41&gt;Voorblad!$K$41,0,IF($U111=0,0,IF($U111&lt;1,1/$U111,IF((ET$56-Voorblad!$F$41)/$U111-SUM($EE111:ES111)=1,1,0))))</f>
        <v>0</v>
      </c>
      <c r="EU111" s="8">
        <f>IF(EU$56-Voorblad!$F$41&gt;Voorblad!$K$41,0,IF($U111=0,0,IF($U111&lt;1,1/$U111,IF((EU$56-Voorblad!$F$41)/$U111-SUM($EE111:ET111)=1,1,0))))</f>
        <v>0</v>
      </c>
      <c r="EV111" s="8">
        <f>IF(EV$56-Voorblad!$F$41&gt;Voorblad!$K$41,0,IF($U111=0,0,IF($U111&lt;1,1/$U111,IF((EV$56-Voorblad!$F$41)/$U111-SUM($EE111:EU111)=1,1,0))))</f>
        <v>0</v>
      </c>
      <c r="EW111" s="8">
        <f>IF(EW$56-Voorblad!$F$41&gt;Voorblad!$K$41,0,IF($U111=0,0,IF($U111&lt;1,1/$U111,IF((EW$56-Voorblad!$F$41)/$U111-SUM($EE111:EV111)=1,1,0))))</f>
        <v>0</v>
      </c>
      <c r="EX111" s="8">
        <f>IF(EX$56-Voorblad!$F$41&gt;Voorblad!$K$41,0,IF($U111=0,0,IF($U111&lt;1,1/$U111,IF((EX$56-Voorblad!$F$41)/$U111-SUM($EE111:EW111)=1,1,0))))</f>
        <v>0</v>
      </c>
      <c r="EY111" s="8">
        <f>IF(EY$56-Voorblad!$F$41&gt;Voorblad!$K$41,0,IF($U111=0,0,IF($U111&lt;1,1/$U111,IF((EY$56-Voorblad!$F$41)/$U111-SUM($EE111:EX111)=1,1,0))))</f>
        <v>0</v>
      </c>
      <c r="EZ111" s="8">
        <f>IF(EZ$56-Voorblad!$F$41&gt;Voorblad!$K$41,0,IF($U111=0,0,IF($U111&lt;1,1/$U111,IF((EZ$56-Voorblad!$F$41)/$U111-SUM($EE111:EY111)=1,1,0))))</f>
        <v>1</v>
      </c>
      <c r="FA111" s="8">
        <f>IF(FA$56-Voorblad!$F$41&gt;Voorblad!$K$41,0,IF($U111=0,0,IF($U111&lt;1,1/$U111,IF((FA$56-Voorblad!$F$41)/$U111-SUM($EE111:EZ111)=1,1,0))))</f>
        <v>0</v>
      </c>
      <c r="FB111" s="8">
        <f>IF(FB$56-Voorblad!$F$41&gt;Voorblad!$K$41,0,IF($U111=0,0,IF($U111&lt;1,1/$U111,IF((FB$56-Voorblad!$F$41)/$U111-SUM($EE111:FA111)=1,1,0))))</f>
        <v>0</v>
      </c>
      <c r="FC111" s="8">
        <f>IF(FC$56-Voorblad!$F$41&gt;Voorblad!$K$41,0,IF($U111=0,0,IF($U111&lt;1,1/$U111,IF((FC$56-Voorblad!$F$41)/$U111-SUM($EE111:FB111)=1,1,0))))</f>
        <v>0</v>
      </c>
      <c r="FD111" s="8">
        <f>IF(FD$56-Voorblad!$F$41&gt;Voorblad!$K$41,0,IF($U111=0,0,IF($U111&lt;1,1/$U111,IF((FD$56-Voorblad!$F$41)/$U111-SUM($EE111:FC111)=1,1,0))))</f>
        <v>0</v>
      </c>
      <c r="FE111" s="8">
        <f>IF(FE$56-Voorblad!$F$41&gt;Voorblad!$K$41,0,IF($U111=0,0,IF($U111&lt;1,1/$U111,IF((FE$56-Voorblad!$F$41)/$U111-SUM($EE111:FD111)=1,1,0))))</f>
        <v>0</v>
      </c>
      <c r="FF111" s="8">
        <f>IF(FF$56-Voorblad!$F$41&gt;Voorblad!$K$41,0,IF($U111=0,0,IF($U111&lt;1,1/$U111,IF((FF$56-Voorblad!$F$41)/$U111-SUM($EE111:FE111)=1,1,0))))</f>
        <v>0</v>
      </c>
      <c r="FG111" s="8">
        <f>IF(FG$56-Voorblad!$F$41&gt;Voorblad!$K$41,0,IF($U111=0,0,IF($U111&lt;1,1/$U111,IF((FG$56-Voorblad!$F$41)/$U111-SUM($EE111:FF111)=1,1,0))))</f>
        <v>0</v>
      </c>
      <c r="FH111" s="8">
        <f>IF(FH$56-Voorblad!$F$41&gt;Voorblad!$K$41,0,IF($U111=0,0,IF($U111&lt;1,1/$U111,IF((FH$56-Voorblad!$F$41)/$U111-SUM($EE111:FG111)=1,1,0))))</f>
        <v>0</v>
      </c>
      <c r="FI111" s="8">
        <f>IF(FI$56-Voorblad!$F$41&gt;Voorblad!$K$41,0,IF($U111=0,0,IF($U111&lt;1,1/$U111,IF((FI$56-Voorblad!$F$41)/$U111-SUM($EE111:FH111)=1,1,0))))</f>
        <v>0</v>
      </c>
      <c r="FJ111" s="8">
        <f>IF(FJ$56-Voorblad!$F$41&gt;Voorblad!$K$41,0,IF($U111=0,0,IF($U111&lt;1,1/$U111,IF((FJ$56-Voorblad!$F$41)/$U111-SUM($EE111:FI111)=1,1,0))))</f>
        <v>1</v>
      </c>
      <c r="FK111" s="8">
        <f>IF(FK$56-Voorblad!$F$41&gt;Voorblad!$K$41,0,IF($U111=0,0,IF($U111&lt;1,1/$U111,IF((FK$56-Voorblad!$F$41)/$U111-SUM($EE111:FJ111)=1,1,0))))</f>
        <v>0</v>
      </c>
      <c r="FL111" s="8">
        <f>IF(FL$56-Voorblad!$F$41&gt;Voorblad!$K$41,0,IF($U111=0,0,IF($U111&lt;1,1/$U111,IF((FL$56-Voorblad!$F$41)/$U111-SUM($EE111:FK111)=1,1,0))))</f>
        <v>0</v>
      </c>
      <c r="FM111" s="8">
        <f>IF(FM$56-Voorblad!$F$41&gt;Voorblad!$K$41,0,IF($U111=0,0,IF($U111&lt;1,1/$U111,IF((FM$56-Voorblad!$F$41)/$U111-SUM($EE111:FL111)=1,1,0))))</f>
        <v>0</v>
      </c>
      <c r="FN111" s="8">
        <f>IF(FN$56-Voorblad!$F$41&gt;Voorblad!$K$41,0,IF($U111=0,0,IF($U111&lt;1,1/$U111,IF((FN$56-Voorblad!$F$41)/$U111-SUM($EE111:FM111)=1,1,0))))</f>
        <v>0</v>
      </c>
      <c r="FO111" s="8">
        <f>IF(FO$56-Voorblad!$F$41&gt;Voorblad!$K$41,0,IF($U111=0,0,IF($U111&lt;1,1/$U111,IF((FO$56-Voorblad!$F$41)/$U111-SUM($EE111:FN111)=1,1,0))))</f>
        <v>0</v>
      </c>
      <c r="FP111" s="8">
        <f>IF(FP$56-Voorblad!$F$41&gt;Voorblad!$K$41,0,IF($U111=0,0,IF($U111&lt;1,1/$U111,IF((FP$56-Voorblad!$F$41)/$U111-SUM($EE111:FO111)=1,1,0))))</f>
        <v>0</v>
      </c>
      <c r="FQ111" s="8">
        <f>IF(FQ$56-Voorblad!$F$41&gt;Voorblad!$K$41,0,IF($U111=0,0,IF($U111&lt;1,1/$U111,IF((FQ$56-Voorblad!$F$41)/$U111-SUM($EE111:FP111)=1,1,0))))</f>
        <v>0</v>
      </c>
      <c r="FR111" s="8">
        <f>IF(FR$56-Voorblad!$F$41&gt;Voorblad!$K$41,0,IF($U111=0,0,IF($U111&lt;1,1/$U111,IF((FR$56-Voorblad!$F$41)/$U111-SUM($EE111:FQ111)=1,1,0))))</f>
        <v>0</v>
      </c>
      <c r="FS111" s="8">
        <f>IF(FS$56-Voorblad!$F$41&gt;Voorblad!$K$41,0,IF($U111=0,0,IF($U111&lt;1,1/$U111,IF((FS$56-Voorblad!$F$41)/$U111-SUM($EE111:FR111)=1,1,0))))</f>
        <v>0</v>
      </c>
      <c r="FT111" s="8">
        <f>IF(FT$56-Voorblad!$F$41&gt;Voorblad!$K$41,0,IF($U111=0,0,IF($U111&lt;1,1/$U111,IF((FT$56-Voorblad!$F$41)/$U111-SUM($EE111:FS111)=1,1,0))))</f>
        <v>1</v>
      </c>
      <c r="FU111" s="8">
        <f>IF(FU$56-Voorblad!$F$41&gt;Voorblad!$K$41,0,IF($U111=0,0,IF($U111&lt;1,1/$U111,IF((FU$56-Voorblad!$F$41)/$U111-SUM($EE111:FT111)=1,1,0))))</f>
        <v>0</v>
      </c>
      <c r="FV111" s="8">
        <f>IF(FV$56-Voorblad!$F$41&gt;Voorblad!$K$41,0,IF($U111=0,0,IF($U111&lt;1,1/$U111,IF((FV$56-Voorblad!$F$41)/$U111-SUM($EE111:FU111)=1,1,0))))</f>
        <v>0</v>
      </c>
      <c r="FW111" s="8">
        <f>IF(FW$56-Voorblad!$F$41&gt;Voorblad!$K$41,0,IF($U111=0,0,IF($U111&lt;1,1/$U111,IF((FW$56-Voorblad!$F$41)/$U111-SUM($EE111:FV111)=1,1,0))))</f>
        <v>0</v>
      </c>
      <c r="FX111" s="8">
        <f>IF(FX$56-Voorblad!$F$41&gt;Voorblad!$K$41,0,IF($U111=0,0,IF($U111&lt;1,1/$U111,IF((FX$56-Voorblad!$F$41)/$U111-SUM($EE111:FW111)=1,1,0))))</f>
        <v>0</v>
      </c>
      <c r="FY111" s="8">
        <f>IF(FY$56-Voorblad!$F$41&gt;Voorblad!$K$41,0,IF($U111=0,0,IF($U111&lt;1,1/$U111,IF((FY$56-Voorblad!$F$41)/$U111-SUM($EE111:FX111)=1,1,0))))</f>
        <v>0</v>
      </c>
      <c r="FZ111" s="8">
        <f>IF(FZ$56-Voorblad!$F$41&gt;Voorblad!$K$41,0,IF($U111=0,0,IF($U111&lt;1,1/$U111,IF((FZ$56-Voorblad!$F$41)/$U111-SUM($EE111:FY111)=1,1,0))))</f>
        <v>0</v>
      </c>
      <c r="GA111" s="8">
        <f>IF(GA$56-Voorblad!$F$41&gt;Voorblad!$K$41,0,IF($U111=0,0,IF($U111&lt;1,1/$U111,IF((GA$56-Voorblad!$F$41)/$U111-SUM($EE111:FZ111)=1,1,0))))</f>
        <v>0</v>
      </c>
      <c r="GB111" s="8">
        <f>IF(GB$56-Voorblad!$F$41&gt;Voorblad!$K$41,0,IF($U111=0,0,IF($U111&lt;1,1/$U111,IF((GB$56-Voorblad!$F$41)/$U111-SUM($EE111:GA111)=1,1,0))))</f>
        <v>0</v>
      </c>
      <c r="GC111" s="8">
        <f>IF(GC$56-Voorblad!$F$41&gt;Voorblad!$K$41,0,IF($U111=0,0,IF($U111&lt;1,1/$U111,IF((GC$56-Voorblad!$F$41)/$U111-SUM($EE111:GB111)=1,1,0))))</f>
        <v>0</v>
      </c>
      <c r="GD111" s="8">
        <f>IF(GD$56-Voorblad!$F$41&gt;Voorblad!$K$41,0,IF($U111=0,0,IF($U111&lt;1,1/$U111,IF((GD$56-Voorblad!$F$41)/$U111-SUM($EE111:GC111)=1,1,0))))</f>
        <v>1</v>
      </c>
      <c r="GE111" s="8">
        <f>IF(GE$56-Voorblad!$F$41&gt;Voorblad!$K$41,0,IF($U111=0,0,IF($U111&lt;1,1/$U111,IF((GE$56-Voorblad!$F$41)/$U111-SUM($EE111:GD111)=1,1,0))))</f>
        <v>0</v>
      </c>
      <c r="GF111" s="8">
        <f>IF(GF$56-Voorblad!$F$41&gt;Voorblad!$K$41,0,IF($U111=0,0,IF($U111&lt;1,1/$U111,IF((GF$56-Voorblad!$F$41)/$U111-SUM($EE111:GE111)=1,1,0))))</f>
        <v>0</v>
      </c>
      <c r="GG111" s="8">
        <f>IF(GG$56-Voorblad!$F$41&gt;Voorblad!$K$41,0,IF($U111=0,0,IF($U111&lt;1,1/$U111,IF((GG$56-Voorblad!$F$41)/$U111-SUM($EE111:GF111)=1,1,0))))</f>
        <v>0</v>
      </c>
      <c r="GH111" s="8">
        <f>IF(GH$56-Voorblad!$F$41&gt;Voorblad!$K$41,0,IF($U111=0,0,IF($U111&lt;1,1/$U111,IF((GH$56-Voorblad!$F$41)/$U111-SUM($EE111:GG111)=1,1,0))))</f>
        <v>0</v>
      </c>
      <c r="GI111" s="8">
        <f>IF(GI$56-Voorblad!$F$41&gt;Voorblad!$K$41,0,IF($U111=0,0,IF($U111&lt;1,1/$U111,IF((GI$56-Voorblad!$F$41)/$U111-SUM($EE111:GH111)=1,1,0))))</f>
        <v>0</v>
      </c>
      <c r="GJ111" s="8">
        <f>IF(GJ$56-Voorblad!$F$41&gt;Voorblad!$K$41,0,IF($U111=0,0,IF($U111&lt;1,1/$U111,IF((GJ$56-Voorblad!$F$41)/$U111-SUM($EE111:GI111)=1,1,0))))</f>
        <v>0</v>
      </c>
      <c r="GK111" s="8">
        <f>IF(GK$56-Voorblad!$F$41&gt;Voorblad!$K$41,0,IF($U111=0,0,IF($U111&lt;1,1/$U111,IF((GK$56-Voorblad!$F$41)/$U111-SUM($EE111:GJ111)=1,1,0))))</f>
        <v>0</v>
      </c>
      <c r="GL111" s="8">
        <f>IF(GL$56-Voorblad!$F$41&gt;Voorblad!$K$41,0,IF($U111=0,0,IF($U111&lt;1,1/$U111,IF((GL$56-Voorblad!$F$41)/$U111-SUM($EE111:GK111)=1,1,0))))</f>
        <v>0</v>
      </c>
      <c r="GM111" s="8">
        <f>IF(GM$56-Voorblad!$F$41&gt;Voorblad!$K$41,0,IF($U111=0,0,IF($U111&lt;1,1/$U111,IF((GM$56-Voorblad!$F$41)/$U111-SUM($EE111:GL111)=1,1,0))))</f>
        <v>0</v>
      </c>
      <c r="GN111" s="8">
        <f>IF(GN$56-Voorblad!$F$41&gt;Voorblad!$K$41,0,IF($U111=0,0,IF($U111&lt;1,1/$U111,IF((GN$56-Voorblad!$F$41)/$U111-SUM($EE111:GM111)=1,1,0))))</f>
        <v>1</v>
      </c>
      <c r="GO111" s="8">
        <f>IF(GO$56-Voorblad!$F$41&gt;Voorblad!$K$41,0,IF($U111=0,0,IF($U111&lt;1,1/$U111,IF((GO$56-Voorblad!$F$41)/$U111-SUM($EE111:GN111)=1,1,0))))</f>
        <v>0</v>
      </c>
      <c r="GP111" s="8">
        <f>IF(GP$56-Voorblad!$F$41&gt;Voorblad!$K$41,0,IF($U111=0,0,IF($U111&lt;1,1/$U111,IF((GP$56-Voorblad!$F$41)/$U111-SUM($EE111:GO111)=1,1,0))))</f>
        <v>0</v>
      </c>
      <c r="GQ111" s="8">
        <f>IF(GQ$56-Voorblad!$F$41&gt;Voorblad!$K$41,0,IF($U111=0,0,IF($U111&lt;1,1/$U111,IF((GQ$56-Voorblad!$F$41)/$U111-SUM($EE111:GP111)=1,1,0))))</f>
        <v>0</v>
      </c>
      <c r="GR111" s="8">
        <f>IF(GR$56-Voorblad!$F$41&gt;Voorblad!$K$41,0,IF($U111=0,0,IF($U111&lt;1,1/$U111,IF((GR$56-Voorblad!$F$41)/$U111-SUM($EE111:GQ111)=1,1,0))))</f>
        <v>0</v>
      </c>
      <c r="GS111" s="8">
        <f>IF(GS$56-Voorblad!$F$41&gt;Voorblad!$K$41,0,IF($U111=0,0,IF($U111&lt;1,1/$U111,IF((GS$56-Voorblad!$F$41)/$U111-SUM($EE111:GR111)=1,1,0))))</f>
        <v>0</v>
      </c>
      <c r="GT111" s="8">
        <f>IF(GT$56-Voorblad!$F$41&gt;Voorblad!$K$41,0,IF($U111=0,0,IF($U111&lt;1,1/$U111,IF((GT$56-Voorblad!$F$41)/$U111-SUM($EE111:GS111)=1,1,0))))</f>
        <v>0</v>
      </c>
      <c r="GU111" s="8">
        <f>IF(GU$56-Voorblad!$F$41&gt;Voorblad!$K$41,0,IF($U111=0,0,IF($U111&lt;1,1/$U111,IF((GU$56-Voorblad!$F$41)/$U111-SUM($EE111:GT111)=1,1,0))))</f>
        <v>0</v>
      </c>
      <c r="GV111" s="8">
        <f>IF(GV$56-Voorblad!$F$41&gt;Voorblad!$K$41,0,IF($U111=0,0,IF($U111&lt;1,1/$U111,IF((GV$56-Voorblad!$F$41)/$U111-SUM($EE111:GU111)=1,1,0))))</f>
        <v>0</v>
      </c>
      <c r="GW111" s="8">
        <f>IF(GW$56-Voorblad!$F$41&gt;Voorblad!$K$41,0,IF($U111=0,0,IF($U111&lt;1,1/$U111,IF((GW$56-Voorblad!$F$41)/$U111-SUM($EE111:GV111)=1,1,0))))</f>
        <v>0</v>
      </c>
      <c r="GX111" s="8">
        <f>IF(GX$56-Voorblad!$F$41&gt;Voorblad!$K$41,0,IF($U111=0,0,IF($U111&lt;1,1/$U111,IF((GX$56-Voorblad!$F$41)/$U111-SUM($EE111:GW111)=1,1,0))))</f>
        <v>1</v>
      </c>
      <c r="GY111" s="8">
        <f>IF(GY$56-Voorblad!$F$41&gt;Voorblad!$K$41,0,IF($U111=0,0,IF($U111&lt;1,1/$U111,IF((GY$56-Voorblad!$F$41)/$U111-SUM($EE111:GX111)=1,1,0))))</f>
        <v>0</v>
      </c>
      <c r="GZ111" s="8">
        <f>IF(GZ$56-Voorblad!$F$41&gt;Voorblad!$K$41,0,IF($U111=0,0,IF($U111&lt;1,1/$U111,IF((GZ$56-Voorblad!$F$41)/$U111-SUM($EE111:GY111)=1,1,0))))</f>
        <v>0</v>
      </c>
      <c r="HA111" s="8">
        <f>IF(HA$56-Voorblad!$F$41&gt;Voorblad!$K$41,0,IF($U111=0,0,IF($U111&lt;1,1/$U111,IF((HA$56-Voorblad!$F$41)/$U111-SUM($EE111:GZ111)=1,1,0))))</f>
        <v>0</v>
      </c>
      <c r="HB111" s="8">
        <f>IF(HB$56-Voorblad!$F$41&gt;Voorblad!$K$41,0,IF($U111=0,0,IF($U111&lt;1,1/$U111,IF((HB$56-Voorblad!$F$41)/$U111-SUM($EE111:HA111)=1,1,0))))</f>
        <v>0</v>
      </c>
      <c r="HC111" s="8">
        <f>IF(HC$56-Voorblad!$F$41&gt;Voorblad!$K$41,0,IF($U111=0,0,IF($U111&lt;1,1/$U111,IF((HC$56-Voorblad!$F$41)/$U111-SUM($EE111:HB111)=1,1,0))))</f>
        <v>0</v>
      </c>
      <c r="HD111" s="8">
        <f>IF(HD$56-Voorblad!$F$41&gt;Voorblad!$K$41,0,IF($U111=0,0,IF($U111&lt;1,1/$U111,IF((HD$56-Voorblad!$F$41)/$U111-SUM($EE111:HC111)=1,1,0))))</f>
        <v>0</v>
      </c>
      <c r="HE111" s="8">
        <f>IF(HE$56-Voorblad!$F$41&gt;Voorblad!$K$41,0,IF($U111=0,0,IF($U111&lt;1,1/$U111,IF((HE$56-Voorblad!$F$41)/$U111-SUM($EE111:HD111)=1,1,0))))</f>
        <v>0</v>
      </c>
      <c r="HF111" s="8">
        <f>IF(HF$56-Voorblad!$F$41&gt;Voorblad!$K$41,0,IF($U111=0,0,IF($U111&lt;1,1/$U111,IF((HF$56-Voorblad!$F$41)/$U111-SUM($EE111:HE111)=1,1,0))))</f>
        <v>0</v>
      </c>
      <c r="HG111" s="8">
        <f>IF(HG$56-Voorblad!$F$41&gt;Voorblad!$K$41,0,IF($U111=0,0,IF($U111&lt;1,1/$U111,IF((HG$56-Voorblad!$F$41)/$U111-SUM($EE111:HF111)=1,1,0))))</f>
        <v>0</v>
      </c>
      <c r="HH111" s="8">
        <f>IF(HH$56-Voorblad!$F$41&gt;Voorblad!$K$41,0,IF($U111=0,0,IF($U111&lt;1,1/$U111,IF((HH$56-Voorblad!$F$41)/$U111-SUM($EE111:HG111)=1,1,0))))</f>
        <v>0</v>
      </c>
      <c r="HI111" s="8">
        <f>IF(HI$56-Voorblad!$F$41&gt;Voorblad!$K$41,0,IF($U111=0,0,IF($U111&lt;1,1/$U111,IF((HI$56-Voorblad!$F$41)/$U111-SUM($EE111:HH111)=1,1,0))))</f>
        <v>0</v>
      </c>
      <c r="HJ111" s="8">
        <f>IF(HJ$56-Voorblad!$F$41&gt;Voorblad!$K$41,0,IF($U111=0,0,IF($U111&lt;1,1/$U111,IF((HJ$56-Voorblad!$F$41)/$U111-SUM($EE111:HI111)=1,1,0))))</f>
        <v>0</v>
      </c>
      <c r="HK111" s="8">
        <f>IF(HK$56-Voorblad!$F$41&gt;Voorblad!$K$41,0,IF($U111=0,0,IF($U111&lt;1,1/$U111,IF((HK$56-Voorblad!$F$41)/$U111-SUM($EE111:HJ111)=1,1,0))))</f>
        <v>0</v>
      </c>
      <c r="HL111" s="8">
        <f>IF(HL$56-Voorblad!$F$41&gt;Voorblad!$K$41,0,IF($U111=0,0,IF($U111&lt;1,1/$U111,IF((HL$56-Voorblad!$F$41)/$U111-SUM($EE111:HK111)=1,1,0))))</f>
        <v>0</v>
      </c>
      <c r="HM111" s="8">
        <f>IF(HM$56-Voorblad!$F$41&gt;Voorblad!$K$41,0,IF($U111=0,0,IF($U111&lt;1,1/$U111,IF((HM$56-Voorblad!$F$41)/$U111-SUM($EE111:HL111)=1,1,0))))</f>
        <v>0</v>
      </c>
      <c r="HN111" s="8">
        <f>IF(HN$56-Voorblad!$F$41&gt;Voorblad!$K$41,0,IF($U111=0,0,IF($U111&lt;1,1/$U111,IF((HN$56-Voorblad!$F$41)/$U111-SUM($EE111:HM111)=1,1,0))))</f>
        <v>0</v>
      </c>
      <c r="HO111" s="8">
        <f>IF(HO$56-Voorblad!$F$41&gt;Voorblad!$K$41,0,IF($U111=0,0,IF($U111&lt;1,1/$U111,IF((HO$56-Voorblad!$F$41)/$U111-SUM($EE111:HN111)=1,1,0))))</f>
        <v>0</v>
      </c>
      <c r="HP111" s="8">
        <f>IF(HP$56-Voorblad!$F$41&gt;Voorblad!$K$41,0,IF($U111=0,0,IF($U111&lt;1,1/$U111,IF((HP$56-Voorblad!$F$41)/$U111-SUM($EE111:HO111)=1,1,0))))</f>
        <v>0</v>
      </c>
      <c r="HQ111" s="8">
        <f>IF(HQ$56-Voorblad!$F$41&gt;Voorblad!$K$41,0,IF($U111=0,0,IF($U111&lt;1,1/$U111,IF((HQ$56-Voorblad!$F$41)/$U111-SUM($EE111:HP111)=1,1,0))))</f>
        <v>0</v>
      </c>
      <c r="HR111" s="8">
        <f>IF(HR$56-Voorblad!$F$41&gt;Voorblad!$K$41,0,IF($U111=0,0,IF($U111&lt;1,1/$U111,IF((HR$56-Voorblad!$F$41)/$U111-SUM($EE111:HQ111)=1,1,0))))</f>
        <v>0</v>
      </c>
      <c r="HS111" s="8">
        <f>IF(HS$56-Voorblad!$F$41&gt;Voorblad!$K$41,0,IF($U111=0,0,IF($U111&lt;1,1/$U111,IF((HS$56-Voorblad!$F$41)/$U111-SUM($EE111:HR111)=1,1,0))))</f>
        <v>0</v>
      </c>
      <c r="HT111" s="8">
        <f>IF(HT$56-Voorblad!$F$41&gt;Voorblad!$K$41,0,IF($U111=0,0,IF($U111&lt;1,1/$U111,IF((HT$56-Voorblad!$F$41)/$U111-SUM($EE111:HS111)=1,1,0))))</f>
        <v>0</v>
      </c>
      <c r="HU111" s="8">
        <f>IF(HU$56-Voorblad!$F$41&gt;Voorblad!$K$41,0,IF($U111=0,0,IF($U111&lt;1,1/$U111,IF((HU$56-Voorblad!$F$41)/$U111-SUM($EE111:HT111)=1,1,0))))</f>
        <v>0</v>
      </c>
      <c r="HV111" s="8">
        <f>IF(HV$56-Voorblad!$F$41&gt;Voorblad!$K$41,0,IF($U111=0,0,IF($U111&lt;1,1/$U111,IF((HV$56-Voorblad!$F$41)/$U111-SUM($EE111:HU111)=1,1,0))))</f>
        <v>0</v>
      </c>
      <c r="HW111" s="8">
        <f>IF(HW$56-Voorblad!$F$41&gt;Voorblad!$K$41,0,IF($U111=0,0,IF($U111&lt;1,1/$U111,IF((HW$56-Voorblad!$F$41)/$U111-SUM($EE111:HV111)=1,1,0))))</f>
        <v>0</v>
      </c>
      <c r="HX111" s="8">
        <f>IF(HX$56-Voorblad!$F$41&gt;Voorblad!$K$41,0,IF($U111=0,0,IF($U111&lt;1,1/$U111,IF((HX$56-Voorblad!$F$41)/$U111-SUM($EE111:HW111)=1,1,0))))</f>
        <v>0</v>
      </c>
      <c r="HY111" s="8">
        <f>IF(HY$56-Voorblad!$F$41&gt;Voorblad!$K$41,0,IF($U111=0,0,IF($U111&lt;1,1/$U111,IF((HY$56-Voorblad!$F$41)/$U111-SUM($EE111:HX111)=1,1,0))))</f>
        <v>0</v>
      </c>
      <c r="HZ111" s="8">
        <f>IF(HZ$56-Voorblad!$F$41&gt;Voorblad!$K$41,0,IF($U111=0,0,IF($U111&lt;1,1/$U111,IF((HZ$56-Voorblad!$F$41)/$U111-SUM($EE111:HY111)=1,1,0))))</f>
        <v>0</v>
      </c>
      <c r="IA111" s="8">
        <f>IF(IA$56-Voorblad!$F$41&gt;Voorblad!$K$41,0,IF($U111=0,0,IF($U111&lt;1,1/$U111,IF((IA$56-Voorblad!$F$41)/$U111-SUM($EE111:HZ111)=1,1,0))))</f>
        <v>0</v>
      </c>
      <c r="IB111" s="8">
        <f>IF(IB$56-Voorblad!$F$41&gt;Voorblad!$K$41,0,IF($U111=0,0,IF($U111&lt;1,1/$U111,IF((IB$56-Voorblad!$F$41)/$U111-SUM($EE111:IA111)=1,1,0))))</f>
        <v>0</v>
      </c>
    </row>
    <row r="112" spans="2:236" ht="12" customHeight="1" outlineLevel="1" x14ac:dyDescent="0.25">
      <c r="B112" s="1">
        <v>3</v>
      </c>
      <c r="F112" s="1" t="s">
        <v>23</v>
      </c>
      <c r="I112" s="1" t="s">
        <v>277</v>
      </c>
      <c r="K112" s="1" t="s">
        <v>145</v>
      </c>
      <c r="Q112" s="81">
        <v>0</v>
      </c>
      <c r="R112" s="1" t="s">
        <v>34</v>
      </c>
      <c r="S112" s="21">
        <f>$H$20*15</f>
        <v>26.55</v>
      </c>
      <c r="T112" s="1">
        <f t="shared" si="20"/>
        <v>0</v>
      </c>
      <c r="U112" s="14">
        <v>0.5</v>
      </c>
      <c r="V112" s="14"/>
      <c r="Y112" s="9">
        <f>SUM(AE112:EB112)</f>
        <v>0</v>
      </c>
      <c r="Z112" s="82"/>
      <c r="AA112" s="82"/>
      <c r="AC112" s="9">
        <f>$Y112*(Voorblad!$K$44*(1+Voorblad!$K$44)^Voorblad!$K$41)/((1+Voorblad!$K$44)^Voorblad!$K$41-1)</f>
        <v>0</v>
      </c>
      <c r="AE112" s="9">
        <f>EF112*($Q112*$S112)/(1+Voorblad!$K$44)^(AE$56-Voorblad!$F$41)</f>
        <v>0</v>
      </c>
      <c r="AF112" s="9">
        <f>EG112*($Q112*$S112)/(1+Voorblad!$K$44)^(AF$56-Voorblad!$F$41)</f>
        <v>0</v>
      </c>
      <c r="AG112" s="9">
        <f>EH112*($Q112*$S112)/(1+Voorblad!$K$44)^(AG$56-Voorblad!$F$41)</f>
        <v>0</v>
      </c>
      <c r="AH112" s="9">
        <f>EI112*($Q112*$S112)/(1+Voorblad!$K$44)^(AH$56-Voorblad!$F$41)</f>
        <v>0</v>
      </c>
      <c r="AI112" s="9">
        <f>EJ112*($Q112*$S112)/(1+Voorblad!$K$44)^(AI$56-Voorblad!$F$41)</f>
        <v>0</v>
      </c>
      <c r="AJ112" s="9">
        <f>EK112*($Q112*$S112)/(1+Voorblad!$K$44)^(AJ$56-Voorblad!$F$41)</f>
        <v>0</v>
      </c>
      <c r="AK112" s="9">
        <f>EL112*($Q112*$S112)/(1+Voorblad!$K$44)^(AK$56-Voorblad!$F$41)</f>
        <v>0</v>
      </c>
      <c r="AL112" s="9">
        <f>EM112*($Q112*$S112)/(1+Voorblad!$K$44)^(AL$56-Voorblad!$F$41)</f>
        <v>0</v>
      </c>
      <c r="AM112" s="9">
        <f>EN112*($Q112*$S112)/(1+Voorblad!$K$44)^(AM$56-Voorblad!$F$41)</f>
        <v>0</v>
      </c>
      <c r="AN112" s="9">
        <f>EO112*($Q112*$S112)/(1+Voorblad!$K$44)^(AN$56-Voorblad!$F$41)</f>
        <v>0</v>
      </c>
      <c r="AO112" s="9">
        <f>EP112*($Q112*$S112)/(1+Voorblad!$K$44)^(AO$56-Voorblad!$F$41)</f>
        <v>0</v>
      </c>
      <c r="AP112" s="9">
        <f>EQ112*($Q112*$S112)/(1+Voorblad!$K$44)^(AP$56-Voorblad!$F$41)</f>
        <v>0</v>
      </c>
      <c r="AQ112" s="9">
        <f>ER112*($Q112*$S112)/(1+Voorblad!$K$44)^(AQ$56-Voorblad!$F$41)</f>
        <v>0</v>
      </c>
      <c r="AR112" s="9">
        <f>ES112*($Q112*$S112)/(1+Voorblad!$K$44)^(AR$56-Voorblad!$F$41)</f>
        <v>0</v>
      </c>
      <c r="AS112" s="9">
        <f>ET112*($Q112*$S112)/(1+Voorblad!$K$44)^(AS$56-Voorblad!$F$41)</f>
        <v>0</v>
      </c>
      <c r="AT112" s="9">
        <f>EU112*($Q112*$S112)/(1+Voorblad!$K$44)^(AT$56-Voorblad!$F$41)</f>
        <v>0</v>
      </c>
      <c r="AU112" s="9">
        <f>EV112*($Q112*$S112)/(1+Voorblad!$K$44)^(AU$56-Voorblad!$F$41)</f>
        <v>0</v>
      </c>
      <c r="AV112" s="9">
        <f>EW112*($Q112*$S112)/(1+Voorblad!$K$44)^(AV$56-Voorblad!$F$41)</f>
        <v>0</v>
      </c>
      <c r="AW112" s="9">
        <f>EX112*($Q112*$S112)/(1+Voorblad!$K$44)^(AW$56-Voorblad!$F$41)</f>
        <v>0</v>
      </c>
      <c r="AX112" s="9">
        <f>EY112*($Q112*$S112)/(1+Voorblad!$K$44)^(AX$56-Voorblad!$F$41)</f>
        <v>0</v>
      </c>
      <c r="AY112" s="9">
        <f>EZ112*($Q112*$S112)/(1+Voorblad!$K$44)^(AY$56-Voorblad!$F$41)</f>
        <v>0</v>
      </c>
      <c r="AZ112" s="9">
        <f>FA112*($Q112*$S112)/(1+Voorblad!$K$44)^(AZ$56-Voorblad!$F$41)</f>
        <v>0</v>
      </c>
      <c r="BA112" s="9">
        <f>FB112*($Q112*$S112)/(1+Voorblad!$K$44)^(BA$56-Voorblad!$F$41)</f>
        <v>0</v>
      </c>
      <c r="BB112" s="9">
        <f>FC112*($Q112*$S112)/(1+Voorblad!$K$44)^(BB$56-Voorblad!$F$41)</f>
        <v>0</v>
      </c>
      <c r="BC112" s="9">
        <f>FD112*($Q112*$S112)/(1+Voorblad!$K$44)^(BC$56-Voorblad!$F$41)</f>
        <v>0</v>
      </c>
      <c r="BD112" s="9">
        <f>FE112*($Q112*$S112)/(1+Voorblad!$K$44)^(BD$56-Voorblad!$F$41)</f>
        <v>0</v>
      </c>
      <c r="BE112" s="9">
        <f>FF112*($Q112*$S112)/(1+Voorblad!$K$44)^(BE$56-Voorblad!$F$41)</f>
        <v>0</v>
      </c>
      <c r="BF112" s="9">
        <f>FG112*($Q112*$S112)/(1+Voorblad!$K$44)^(BF$56-Voorblad!$F$41)</f>
        <v>0</v>
      </c>
      <c r="BG112" s="9">
        <f>FH112*($Q112*$S112)/(1+Voorblad!$K$44)^(BG$56-Voorblad!$F$41)</f>
        <v>0</v>
      </c>
      <c r="BH112" s="9">
        <f>FI112*($Q112*$S112)/(1+Voorblad!$K$44)^(BH$56-Voorblad!$F$41)</f>
        <v>0</v>
      </c>
      <c r="BI112" s="9">
        <f>FJ112*($Q112*$S112)/(1+Voorblad!$K$44)^(BI$56-Voorblad!$F$41)</f>
        <v>0</v>
      </c>
      <c r="BJ112" s="9">
        <f>FK112*($Q112*$S112)/(1+Voorblad!$K$44)^(BJ$56-Voorblad!$F$41)</f>
        <v>0</v>
      </c>
      <c r="BK112" s="9">
        <f>FL112*($Q112*$S112)/(1+Voorblad!$K$44)^(BK$56-Voorblad!$F$41)</f>
        <v>0</v>
      </c>
      <c r="BL112" s="9">
        <f>FM112*($Q112*$S112)/(1+Voorblad!$K$44)^(BL$56-Voorblad!$F$41)</f>
        <v>0</v>
      </c>
      <c r="BM112" s="9">
        <f>FN112*($Q112*$S112)/(1+Voorblad!$K$44)^(BM$56-Voorblad!$F$41)</f>
        <v>0</v>
      </c>
      <c r="BN112" s="9">
        <f>FO112*($Q112*$S112)/(1+Voorblad!$K$44)^(BN$56-Voorblad!$F$41)</f>
        <v>0</v>
      </c>
      <c r="BO112" s="9">
        <f>FP112*($Q112*$S112)/(1+Voorblad!$K$44)^(BO$56-Voorblad!$F$41)</f>
        <v>0</v>
      </c>
      <c r="BP112" s="9">
        <f>FQ112*($Q112*$S112)/(1+Voorblad!$K$44)^(BP$56-Voorblad!$F$41)</f>
        <v>0</v>
      </c>
      <c r="BQ112" s="9">
        <f>FR112*($Q112*$S112)/(1+Voorblad!$K$44)^(BQ$56-Voorblad!$F$41)</f>
        <v>0</v>
      </c>
      <c r="BR112" s="9">
        <f>FS112*($Q112*$S112)/(1+Voorblad!$K$44)^(BR$56-Voorblad!$F$41)</f>
        <v>0</v>
      </c>
      <c r="BS112" s="9">
        <f>FT112*($Q112*$S112)/(1+Voorblad!$K$44)^(BS$56-Voorblad!$F$41)</f>
        <v>0</v>
      </c>
      <c r="BT112" s="9">
        <f>FU112*($Q112*$S112)/(1+Voorblad!$K$44)^(BT$56-Voorblad!$F$41)</f>
        <v>0</v>
      </c>
      <c r="BU112" s="9">
        <f>FV112*($Q112*$S112)/(1+Voorblad!$K$44)^(BU$56-Voorblad!$F$41)</f>
        <v>0</v>
      </c>
      <c r="BV112" s="9">
        <f>FW112*($Q112*$S112)/(1+Voorblad!$K$44)^(BV$56-Voorblad!$F$41)</f>
        <v>0</v>
      </c>
      <c r="BW112" s="9">
        <f>FX112*($Q112*$S112)/(1+Voorblad!$K$44)^(BW$56-Voorblad!$F$41)</f>
        <v>0</v>
      </c>
      <c r="BX112" s="9">
        <f>FY112*($Q112*$S112)/(1+Voorblad!$K$44)^(BX$56-Voorblad!$F$41)</f>
        <v>0</v>
      </c>
      <c r="BY112" s="9">
        <f>FZ112*($Q112*$S112)/(1+Voorblad!$K$44)^(BY$56-Voorblad!$F$41)</f>
        <v>0</v>
      </c>
      <c r="BZ112" s="9">
        <f>GA112*($Q112*$S112)/(1+Voorblad!$K$44)^(BZ$56-Voorblad!$F$41)</f>
        <v>0</v>
      </c>
      <c r="CA112" s="9">
        <f>GB112*($Q112*$S112)/(1+Voorblad!$K$44)^(CA$56-Voorblad!$F$41)</f>
        <v>0</v>
      </c>
      <c r="CB112" s="9">
        <f>GC112*($Q112*$S112)/(1+Voorblad!$K$44)^(CB$56-Voorblad!$F$41)</f>
        <v>0</v>
      </c>
      <c r="CC112" s="9">
        <f>GD112*($Q112*$S112)/(1+Voorblad!$K$44)^(CC$56-Voorblad!$F$41)</f>
        <v>0</v>
      </c>
      <c r="CD112" s="9">
        <f>GE112*($Q112*$S112)/(1+Voorblad!$K$44)^(CD$56-Voorblad!$F$41)</f>
        <v>0</v>
      </c>
      <c r="CE112" s="9">
        <f>GF112*($Q112*$S112)/(1+Voorblad!$K$44)^(CE$56-Voorblad!$F$41)</f>
        <v>0</v>
      </c>
      <c r="CF112" s="9">
        <f>GG112*($Q112*$S112)/(1+Voorblad!$K$44)^(CF$56-Voorblad!$F$41)</f>
        <v>0</v>
      </c>
      <c r="CG112" s="9">
        <f>GH112*($Q112*$S112)/(1+Voorblad!$K$44)^(CG$56-Voorblad!$F$41)</f>
        <v>0</v>
      </c>
      <c r="CH112" s="9">
        <f>GI112*($Q112*$S112)/(1+Voorblad!$K$44)^(CH$56-Voorblad!$F$41)</f>
        <v>0</v>
      </c>
      <c r="CI112" s="9">
        <f>GJ112*($Q112*$S112)/(1+Voorblad!$K$44)^(CI$56-Voorblad!$F$41)</f>
        <v>0</v>
      </c>
      <c r="CJ112" s="9">
        <f>GK112*($Q112*$S112)/(1+Voorblad!$K$44)^(CJ$56-Voorblad!$F$41)</f>
        <v>0</v>
      </c>
      <c r="CK112" s="9">
        <f>GL112*($Q112*$S112)/(1+Voorblad!$K$44)^(CK$56-Voorblad!$F$41)</f>
        <v>0</v>
      </c>
      <c r="CL112" s="9">
        <f>GM112*($Q112*$S112)/(1+Voorblad!$K$44)^(CL$56-Voorblad!$F$41)</f>
        <v>0</v>
      </c>
      <c r="CM112" s="9">
        <f>GN112*($Q112*$S112)/(1+Voorblad!$K$44)^(CM$56-Voorblad!$F$41)</f>
        <v>0</v>
      </c>
      <c r="CN112" s="9">
        <f>GO112*($Q112*$S112)/(1+Voorblad!$K$44)^(CN$56-Voorblad!$F$41)</f>
        <v>0</v>
      </c>
      <c r="CO112" s="9">
        <f>GP112*($Q112*$S112)/(1+Voorblad!$K$44)^(CO$56-Voorblad!$F$41)</f>
        <v>0</v>
      </c>
      <c r="CP112" s="9">
        <f>GQ112*($Q112*$S112)/(1+Voorblad!$K$44)^(CP$56-Voorblad!$F$41)</f>
        <v>0</v>
      </c>
      <c r="CQ112" s="9">
        <f>GR112*($Q112*$S112)/(1+Voorblad!$K$44)^(CQ$56-Voorblad!$F$41)</f>
        <v>0</v>
      </c>
      <c r="CR112" s="9">
        <f>GS112*($Q112*$S112)/(1+Voorblad!$K$44)^(CR$56-Voorblad!$F$41)</f>
        <v>0</v>
      </c>
      <c r="CS112" s="9">
        <f>GT112*($Q112*$S112)/(1+Voorblad!$K$44)^(CS$56-Voorblad!$F$41)</f>
        <v>0</v>
      </c>
      <c r="CT112" s="9">
        <f>GU112*($Q112*$S112)/(1+Voorblad!$K$44)^(CT$56-Voorblad!$F$41)</f>
        <v>0</v>
      </c>
      <c r="CU112" s="9">
        <f>GV112*($Q112*$S112)/(1+Voorblad!$K$44)^(CU$56-Voorblad!$F$41)</f>
        <v>0</v>
      </c>
      <c r="CV112" s="9">
        <f>GW112*($Q112*$S112)/(1+Voorblad!$K$44)^(CV$56-Voorblad!$F$41)</f>
        <v>0</v>
      </c>
      <c r="CW112" s="9">
        <f>GX112*($Q112*$S112)/(1+Voorblad!$K$44)^(CW$56-Voorblad!$F$41)</f>
        <v>0</v>
      </c>
      <c r="CX112" s="9">
        <f>GY112*($Q112*$S112)/(1+Voorblad!$K$44)^(CX$56-Voorblad!$F$41)</f>
        <v>0</v>
      </c>
      <c r="CY112" s="9">
        <f>GZ112*($Q112*$S112)/(1+Voorblad!$K$44)^(CY$56-Voorblad!$F$41)</f>
        <v>0</v>
      </c>
      <c r="CZ112" s="9">
        <f>HA112*($Q112*$S112)/(1+Voorblad!$K$44)^(CZ$56-Voorblad!$F$41)</f>
        <v>0</v>
      </c>
      <c r="DA112" s="9">
        <f>HB112*($Q112*$S112)/(1+Voorblad!$K$44)^(DA$56-Voorblad!$F$41)</f>
        <v>0</v>
      </c>
      <c r="DB112" s="9">
        <f>HC112*($Q112*$S112)/(1+Voorblad!$K$44)^(DB$56-Voorblad!$F$41)</f>
        <v>0</v>
      </c>
      <c r="DC112" s="9">
        <f>HD112*($Q112*$S112)/(1+Voorblad!$K$44)^(DC$56-Voorblad!$F$41)</f>
        <v>0</v>
      </c>
      <c r="DD112" s="9">
        <f>HE112*($Q112*$S112)/(1+Voorblad!$K$44)^(DD$56-Voorblad!$F$41)</f>
        <v>0</v>
      </c>
      <c r="DE112" s="9">
        <f>HF112*($Q112*$S112)/(1+Voorblad!$K$44)^(DE$56-Voorblad!$F$41)</f>
        <v>0</v>
      </c>
      <c r="DF112" s="9">
        <f>HG112*($Q112*$S112)/(1+Voorblad!$K$44)^(DF$56-Voorblad!$F$41)</f>
        <v>0</v>
      </c>
      <c r="DG112" s="9">
        <f>HH112*($Q112*$S112)/(1+Voorblad!$K$44)^(DG$56-Voorblad!$F$41)</f>
        <v>0</v>
      </c>
      <c r="DH112" s="9">
        <f>HI112*($Q112*$S112)/(1+Voorblad!$K$44)^(DH$56-Voorblad!$F$41)</f>
        <v>0</v>
      </c>
      <c r="DI112" s="9">
        <f>HJ112*($Q112*$S112)/(1+Voorblad!$K$44)^(DI$56-Voorblad!$F$41)</f>
        <v>0</v>
      </c>
      <c r="DJ112" s="9">
        <f>HK112*($Q112*$S112)/(1+Voorblad!$K$44)^(DJ$56-Voorblad!$F$41)</f>
        <v>0</v>
      </c>
      <c r="DK112" s="9">
        <f>HL112*($Q112*$S112)/(1+Voorblad!$K$44)^(DK$56-Voorblad!$F$41)</f>
        <v>0</v>
      </c>
      <c r="DL112" s="9">
        <f>HM112*($Q112*$S112)/(1+Voorblad!$K$44)^(DL$56-Voorblad!$F$41)</f>
        <v>0</v>
      </c>
      <c r="DM112" s="9">
        <f>HN112*($Q112*$S112)/(1+Voorblad!$K$44)^(DM$56-Voorblad!$F$41)</f>
        <v>0</v>
      </c>
      <c r="DN112" s="9">
        <f>HO112*($Q112*$S112)/(1+Voorblad!$K$44)^(DN$56-Voorblad!$F$41)</f>
        <v>0</v>
      </c>
      <c r="DO112" s="9">
        <f>HP112*($Q112*$S112)/(1+Voorblad!$K$44)^(DO$56-Voorblad!$F$41)</f>
        <v>0</v>
      </c>
      <c r="DP112" s="9">
        <f>HQ112*($Q112*$S112)/(1+Voorblad!$K$44)^(DP$56-Voorblad!$F$41)</f>
        <v>0</v>
      </c>
      <c r="DQ112" s="9">
        <f>HR112*($Q112*$S112)/(1+Voorblad!$K$44)^(DQ$56-Voorblad!$F$41)</f>
        <v>0</v>
      </c>
      <c r="DR112" s="9">
        <f>HS112*($Q112*$S112)/(1+Voorblad!$K$44)^(DR$56-Voorblad!$F$41)</f>
        <v>0</v>
      </c>
      <c r="DS112" s="9">
        <f>HT112*($Q112*$S112)/(1+Voorblad!$K$44)^(DS$56-Voorblad!$F$41)</f>
        <v>0</v>
      </c>
      <c r="DT112" s="9">
        <f>HU112*($Q112*$S112)/(1+Voorblad!$K$44)^(DT$56-Voorblad!$F$41)</f>
        <v>0</v>
      </c>
      <c r="DU112" s="9">
        <f>HV112*($Q112*$S112)/(1+Voorblad!$K$44)^(DU$56-Voorblad!$F$41)</f>
        <v>0</v>
      </c>
      <c r="DV112" s="9">
        <f>HW112*($Q112*$S112)/(1+Voorblad!$K$44)^(DV$56-Voorblad!$F$41)</f>
        <v>0</v>
      </c>
      <c r="DW112" s="9">
        <f>HX112*($Q112*$S112)/(1+Voorblad!$K$44)^(DW$56-Voorblad!$F$41)</f>
        <v>0</v>
      </c>
      <c r="DX112" s="9">
        <f>HY112*($Q112*$S112)/(1+Voorblad!$K$44)^(DX$56-Voorblad!$F$41)</f>
        <v>0</v>
      </c>
      <c r="DY112" s="9">
        <f>HZ112*($Q112*$S112)/(1+Voorblad!$K$44)^(DY$56-Voorblad!$F$41)</f>
        <v>0</v>
      </c>
      <c r="DZ112" s="9">
        <f>IA112*($Q112*$S112)/(1+Voorblad!$K$44)^(DZ$56-Voorblad!$F$41)</f>
        <v>0</v>
      </c>
      <c r="EA112" s="9">
        <f>IB112*($Q112*$S112)/(1+Voorblad!$K$44)^(EA$56-Voorblad!$F$41)</f>
        <v>0</v>
      </c>
      <c r="EB112" s="9">
        <f>IC112*($Q112*$S112)/(1+Voorblad!$K$44)^(EB$56-Voorblad!$F$41)</f>
        <v>0</v>
      </c>
      <c r="EE112" s="8">
        <v>0</v>
      </c>
      <c r="EF112" s="8">
        <f>IF(EF$56-Voorblad!$F$41&gt;Voorblad!$K$41,0,IF($U112=0,0,IF($U112&lt;1,1/$U112,IF((EF$56-Voorblad!$F$41)/$U112-SUM($EE112:EE112)=1,1,0))))</f>
        <v>2</v>
      </c>
      <c r="EG112" s="8">
        <f>IF(EG$56-Voorblad!$F$41&gt;Voorblad!$K$41,0,IF($U112=0,0,IF($U112&lt;1,1/$U112,IF((EG$56-Voorblad!$F$41)/$U112-SUM($EE112:EF112)=1,1,0))))</f>
        <v>2</v>
      </c>
      <c r="EH112" s="8">
        <f>IF(EH$56-Voorblad!$F$41&gt;Voorblad!$K$41,0,IF($U112=0,0,IF($U112&lt;1,1/$U112,IF((EH$56-Voorblad!$F$41)/$U112-SUM($EE112:EG112)=1,1,0))))</f>
        <v>2</v>
      </c>
      <c r="EI112" s="8">
        <f>IF(EI$56-Voorblad!$F$41&gt;Voorblad!$K$41,0,IF($U112=0,0,IF($U112&lt;1,1/$U112,IF((EI$56-Voorblad!$F$41)/$U112-SUM($EE112:EH112)=1,1,0))))</f>
        <v>2</v>
      </c>
      <c r="EJ112" s="8">
        <f>IF(EJ$56-Voorblad!$F$41&gt;Voorblad!$K$41,0,IF($U112=0,0,IF($U112&lt;1,1/$U112,IF((EJ$56-Voorblad!$F$41)/$U112-SUM($EE112:EI112)=1,1,0))))</f>
        <v>2</v>
      </c>
      <c r="EK112" s="8">
        <f>IF(EK$56-Voorblad!$F$41&gt;Voorblad!$K$41,0,IF($U112=0,0,IF($U112&lt;1,1/$U112,IF((EK$56-Voorblad!$F$41)/$U112-SUM($EE112:EJ112)=1,1,0))))</f>
        <v>2</v>
      </c>
      <c r="EL112" s="8">
        <f>IF(EL$56-Voorblad!$F$41&gt;Voorblad!$K$41,0,IF($U112=0,0,IF($U112&lt;1,1/$U112,IF((EL$56-Voorblad!$F$41)/$U112-SUM($EE112:EK112)=1,1,0))))</f>
        <v>2</v>
      </c>
      <c r="EM112" s="8">
        <f>IF(EM$56-Voorblad!$F$41&gt;Voorblad!$K$41,0,IF($U112=0,0,IF($U112&lt;1,1/$U112,IF((EM$56-Voorblad!$F$41)/$U112-SUM($EE112:EL112)=1,1,0))))</f>
        <v>2</v>
      </c>
      <c r="EN112" s="8">
        <f>IF(EN$56-Voorblad!$F$41&gt;Voorblad!$K$41,0,IF($U112=0,0,IF($U112&lt;1,1/$U112,IF((EN$56-Voorblad!$F$41)/$U112-SUM($EE112:EM112)=1,1,0))))</f>
        <v>2</v>
      </c>
      <c r="EO112" s="8">
        <f>IF(EO$56-Voorblad!$F$41&gt;Voorblad!$K$41,0,IF($U112=0,0,IF($U112&lt;1,1/$U112,IF((EO$56-Voorblad!$F$41)/$U112-SUM($EE112:EN112)=1,1,0))))</f>
        <v>2</v>
      </c>
      <c r="EP112" s="8">
        <f>IF(EP$56-Voorblad!$F$41&gt;Voorblad!$K$41,0,IF($U112=0,0,IF($U112&lt;1,1/$U112,IF((EP$56-Voorblad!$F$41)/$U112-SUM($EE112:EO112)=1,1,0))))</f>
        <v>2</v>
      </c>
      <c r="EQ112" s="8">
        <f>IF(EQ$56-Voorblad!$F$41&gt;Voorblad!$K$41,0,IF($U112=0,0,IF($U112&lt;1,1/$U112,IF((EQ$56-Voorblad!$F$41)/$U112-SUM($EE112:EP112)=1,1,0))))</f>
        <v>2</v>
      </c>
      <c r="ER112" s="8">
        <f>IF(ER$56-Voorblad!$F$41&gt;Voorblad!$K$41,0,IF($U112=0,0,IF($U112&lt;1,1/$U112,IF((ER$56-Voorblad!$F$41)/$U112-SUM($EE112:EQ112)=1,1,0))))</f>
        <v>2</v>
      </c>
      <c r="ES112" s="8">
        <f>IF(ES$56-Voorblad!$F$41&gt;Voorblad!$K$41,0,IF($U112=0,0,IF($U112&lt;1,1/$U112,IF((ES$56-Voorblad!$F$41)/$U112-SUM($EE112:ER112)=1,1,0))))</f>
        <v>2</v>
      </c>
      <c r="ET112" s="8">
        <f>IF(ET$56-Voorblad!$F$41&gt;Voorblad!$K$41,0,IF($U112=0,0,IF($U112&lt;1,1/$U112,IF((ET$56-Voorblad!$F$41)/$U112-SUM($EE112:ES112)=1,1,0))))</f>
        <v>2</v>
      </c>
      <c r="EU112" s="8">
        <f>IF(EU$56-Voorblad!$F$41&gt;Voorblad!$K$41,0,IF($U112=0,0,IF($U112&lt;1,1/$U112,IF((EU$56-Voorblad!$F$41)/$U112-SUM($EE112:ET112)=1,1,0))))</f>
        <v>2</v>
      </c>
      <c r="EV112" s="8">
        <f>IF(EV$56-Voorblad!$F$41&gt;Voorblad!$K$41,0,IF($U112=0,0,IF($U112&lt;1,1/$U112,IF((EV$56-Voorblad!$F$41)/$U112-SUM($EE112:EU112)=1,1,0))))</f>
        <v>2</v>
      </c>
      <c r="EW112" s="8">
        <f>IF(EW$56-Voorblad!$F$41&gt;Voorblad!$K$41,0,IF($U112=0,0,IF($U112&lt;1,1/$U112,IF((EW$56-Voorblad!$F$41)/$U112-SUM($EE112:EV112)=1,1,0))))</f>
        <v>2</v>
      </c>
      <c r="EX112" s="8">
        <f>IF(EX$56-Voorblad!$F$41&gt;Voorblad!$K$41,0,IF($U112=0,0,IF($U112&lt;1,1/$U112,IF((EX$56-Voorblad!$F$41)/$U112-SUM($EE112:EW112)=1,1,0))))</f>
        <v>2</v>
      </c>
      <c r="EY112" s="8">
        <f>IF(EY$56-Voorblad!$F$41&gt;Voorblad!$K$41,0,IF($U112=0,0,IF($U112&lt;1,1/$U112,IF((EY$56-Voorblad!$F$41)/$U112-SUM($EE112:EX112)=1,1,0))))</f>
        <v>2</v>
      </c>
      <c r="EZ112" s="8">
        <f>IF(EZ$56-Voorblad!$F$41&gt;Voorblad!$K$41,0,IF($U112=0,0,IF($U112&lt;1,1/$U112,IF((EZ$56-Voorblad!$F$41)/$U112-SUM($EE112:EY112)=1,1,0))))</f>
        <v>2</v>
      </c>
      <c r="FA112" s="8">
        <f>IF(FA$56-Voorblad!$F$41&gt;Voorblad!$K$41,0,IF($U112=0,0,IF($U112&lt;1,1/$U112,IF((FA$56-Voorblad!$F$41)/$U112-SUM($EE112:EZ112)=1,1,0))))</f>
        <v>2</v>
      </c>
      <c r="FB112" s="8">
        <f>IF(FB$56-Voorblad!$F$41&gt;Voorblad!$K$41,0,IF($U112=0,0,IF($U112&lt;1,1/$U112,IF((FB$56-Voorblad!$F$41)/$U112-SUM($EE112:FA112)=1,1,0))))</f>
        <v>2</v>
      </c>
      <c r="FC112" s="8">
        <f>IF(FC$56-Voorblad!$F$41&gt;Voorblad!$K$41,0,IF($U112=0,0,IF($U112&lt;1,1/$U112,IF((FC$56-Voorblad!$F$41)/$U112-SUM($EE112:FB112)=1,1,0))))</f>
        <v>2</v>
      </c>
      <c r="FD112" s="8">
        <f>IF(FD$56-Voorblad!$F$41&gt;Voorblad!$K$41,0,IF($U112=0,0,IF($U112&lt;1,1/$U112,IF((FD$56-Voorblad!$F$41)/$U112-SUM($EE112:FC112)=1,1,0))))</f>
        <v>2</v>
      </c>
      <c r="FE112" s="8">
        <f>IF(FE$56-Voorblad!$F$41&gt;Voorblad!$K$41,0,IF($U112=0,0,IF($U112&lt;1,1/$U112,IF((FE$56-Voorblad!$F$41)/$U112-SUM($EE112:FD112)=1,1,0))))</f>
        <v>2</v>
      </c>
      <c r="FF112" s="8">
        <f>IF(FF$56-Voorblad!$F$41&gt;Voorblad!$K$41,0,IF($U112=0,0,IF($U112&lt;1,1/$U112,IF((FF$56-Voorblad!$F$41)/$U112-SUM($EE112:FE112)=1,1,0))))</f>
        <v>2</v>
      </c>
      <c r="FG112" s="8">
        <f>IF(FG$56-Voorblad!$F$41&gt;Voorblad!$K$41,0,IF($U112=0,0,IF($U112&lt;1,1/$U112,IF((FG$56-Voorblad!$F$41)/$U112-SUM($EE112:FF112)=1,1,0))))</f>
        <v>2</v>
      </c>
      <c r="FH112" s="8">
        <f>IF(FH$56-Voorblad!$F$41&gt;Voorblad!$K$41,0,IF($U112=0,0,IF($U112&lt;1,1/$U112,IF((FH$56-Voorblad!$F$41)/$U112-SUM($EE112:FG112)=1,1,0))))</f>
        <v>2</v>
      </c>
      <c r="FI112" s="8">
        <f>IF(FI$56-Voorblad!$F$41&gt;Voorblad!$K$41,0,IF($U112=0,0,IF($U112&lt;1,1/$U112,IF((FI$56-Voorblad!$F$41)/$U112-SUM($EE112:FH112)=1,1,0))))</f>
        <v>2</v>
      </c>
      <c r="FJ112" s="8">
        <f>IF(FJ$56-Voorblad!$F$41&gt;Voorblad!$K$41,0,IF($U112=0,0,IF($U112&lt;1,1/$U112,IF((FJ$56-Voorblad!$F$41)/$U112-SUM($EE112:FI112)=1,1,0))))</f>
        <v>2</v>
      </c>
      <c r="FK112" s="8">
        <f>IF(FK$56-Voorblad!$F$41&gt;Voorblad!$K$41,0,IF($U112=0,0,IF($U112&lt;1,1/$U112,IF((FK$56-Voorblad!$F$41)/$U112-SUM($EE112:FJ112)=1,1,0))))</f>
        <v>2</v>
      </c>
      <c r="FL112" s="8">
        <f>IF(FL$56-Voorblad!$F$41&gt;Voorblad!$K$41,0,IF($U112=0,0,IF($U112&lt;1,1/$U112,IF((FL$56-Voorblad!$F$41)/$U112-SUM($EE112:FK112)=1,1,0))))</f>
        <v>2</v>
      </c>
      <c r="FM112" s="8">
        <f>IF(FM$56-Voorblad!$F$41&gt;Voorblad!$K$41,0,IF($U112=0,0,IF($U112&lt;1,1/$U112,IF((FM$56-Voorblad!$F$41)/$U112-SUM($EE112:FL112)=1,1,0))))</f>
        <v>2</v>
      </c>
      <c r="FN112" s="8">
        <f>IF(FN$56-Voorblad!$F$41&gt;Voorblad!$K$41,0,IF($U112=0,0,IF($U112&lt;1,1/$U112,IF((FN$56-Voorblad!$F$41)/$U112-SUM($EE112:FM112)=1,1,0))))</f>
        <v>2</v>
      </c>
      <c r="FO112" s="8">
        <f>IF(FO$56-Voorblad!$F$41&gt;Voorblad!$K$41,0,IF($U112=0,0,IF($U112&lt;1,1/$U112,IF((FO$56-Voorblad!$F$41)/$U112-SUM($EE112:FN112)=1,1,0))))</f>
        <v>2</v>
      </c>
      <c r="FP112" s="8">
        <f>IF(FP$56-Voorblad!$F$41&gt;Voorblad!$K$41,0,IF($U112=0,0,IF($U112&lt;1,1/$U112,IF((FP$56-Voorblad!$F$41)/$U112-SUM($EE112:FO112)=1,1,0))))</f>
        <v>2</v>
      </c>
      <c r="FQ112" s="8">
        <f>IF(FQ$56-Voorblad!$F$41&gt;Voorblad!$K$41,0,IF($U112=0,0,IF($U112&lt;1,1/$U112,IF((FQ$56-Voorblad!$F$41)/$U112-SUM($EE112:FP112)=1,1,0))))</f>
        <v>2</v>
      </c>
      <c r="FR112" s="8">
        <f>IF(FR$56-Voorblad!$F$41&gt;Voorblad!$K$41,0,IF($U112=0,0,IF($U112&lt;1,1/$U112,IF((FR$56-Voorblad!$F$41)/$U112-SUM($EE112:FQ112)=1,1,0))))</f>
        <v>2</v>
      </c>
      <c r="FS112" s="8">
        <f>IF(FS$56-Voorblad!$F$41&gt;Voorblad!$K$41,0,IF($U112=0,0,IF($U112&lt;1,1/$U112,IF((FS$56-Voorblad!$F$41)/$U112-SUM($EE112:FR112)=1,1,0))))</f>
        <v>2</v>
      </c>
      <c r="FT112" s="8">
        <f>IF(FT$56-Voorblad!$F$41&gt;Voorblad!$K$41,0,IF($U112=0,0,IF($U112&lt;1,1/$U112,IF((FT$56-Voorblad!$F$41)/$U112-SUM($EE112:FS112)=1,1,0))))</f>
        <v>2</v>
      </c>
      <c r="FU112" s="8">
        <f>IF(FU$56-Voorblad!$F$41&gt;Voorblad!$K$41,0,IF($U112=0,0,IF($U112&lt;1,1/$U112,IF((FU$56-Voorblad!$F$41)/$U112-SUM($EE112:FT112)=1,1,0))))</f>
        <v>2</v>
      </c>
      <c r="FV112" s="8">
        <f>IF(FV$56-Voorblad!$F$41&gt;Voorblad!$K$41,0,IF($U112=0,0,IF($U112&lt;1,1/$U112,IF((FV$56-Voorblad!$F$41)/$U112-SUM($EE112:FU112)=1,1,0))))</f>
        <v>2</v>
      </c>
      <c r="FW112" s="8">
        <f>IF(FW$56-Voorblad!$F$41&gt;Voorblad!$K$41,0,IF($U112=0,0,IF($U112&lt;1,1/$U112,IF((FW$56-Voorblad!$F$41)/$U112-SUM($EE112:FV112)=1,1,0))))</f>
        <v>2</v>
      </c>
      <c r="FX112" s="8">
        <f>IF(FX$56-Voorblad!$F$41&gt;Voorblad!$K$41,0,IF($U112=0,0,IF($U112&lt;1,1/$U112,IF((FX$56-Voorblad!$F$41)/$U112-SUM($EE112:FW112)=1,1,0))))</f>
        <v>2</v>
      </c>
      <c r="FY112" s="8">
        <f>IF(FY$56-Voorblad!$F$41&gt;Voorblad!$K$41,0,IF($U112=0,0,IF($U112&lt;1,1/$U112,IF((FY$56-Voorblad!$F$41)/$U112-SUM($EE112:FX112)=1,1,0))))</f>
        <v>2</v>
      </c>
      <c r="FZ112" s="8">
        <f>IF(FZ$56-Voorblad!$F$41&gt;Voorblad!$K$41,0,IF($U112=0,0,IF($U112&lt;1,1/$U112,IF((FZ$56-Voorblad!$F$41)/$U112-SUM($EE112:FY112)=1,1,0))))</f>
        <v>2</v>
      </c>
      <c r="GA112" s="8">
        <f>IF(GA$56-Voorblad!$F$41&gt;Voorblad!$K$41,0,IF($U112=0,0,IF($U112&lt;1,1/$U112,IF((GA$56-Voorblad!$F$41)/$U112-SUM($EE112:FZ112)=1,1,0))))</f>
        <v>2</v>
      </c>
      <c r="GB112" s="8">
        <f>IF(GB$56-Voorblad!$F$41&gt;Voorblad!$K$41,0,IF($U112=0,0,IF($U112&lt;1,1/$U112,IF((GB$56-Voorblad!$F$41)/$U112-SUM($EE112:GA112)=1,1,0))))</f>
        <v>2</v>
      </c>
      <c r="GC112" s="8">
        <f>IF(GC$56-Voorblad!$F$41&gt;Voorblad!$K$41,0,IF($U112=0,0,IF($U112&lt;1,1/$U112,IF((GC$56-Voorblad!$F$41)/$U112-SUM($EE112:GB112)=1,1,0))))</f>
        <v>2</v>
      </c>
      <c r="GD112" s="8">
        <f>IF(GD$56-Voorblad!$F$41&gt;Voorblad!$K$41,0,IF($U112=0,0,IF($U112&lt;1,1/$U112,IF((GD$56-Voorblad!$F$41)/$U112-SUM($EE112:GC112)=1,1,0))))</f>
        <v>2</v>
      </c>
      <c r="GE112" s="8">
        <f>IF(GE$56-Voorblad!$F$41&gt;Voorblad!$K$41,0,IF($U112=0,0,IF($U112&lt;1,1/$U112,IF((GE$56-Voorblad!$F$41)/$U112-SUM($EE112:GD112)=1,1,0))))</f>
        <v>2</v>
      </c>
      <c r="GF112" s="8">
        <f>IF(GF$56-Voorblad!$F$41&gt;Voorblad!$K$41,0,IF($U112=0,0,IF($U112&lt;1,1/$U112,IF((GF$56-Voorblad!$F$41)/$U112-SUM($EE112:GE112)=1,1,0))))</f>
        <v>2</v>
      </c>
      <c r="GG112" s="8">
        <f>IF(GG$56-Voorblad!$F$41&gt;Voorblad!$K$41,0,IF($U112=0,0,IF($U112&lt;1,1/$U112,IF((GG$56-Voorblad!$F$41)/$U112-SUM($EE112:GF112)=1,1,0))))</f>
        <v>2</v>
      </c>
      <c r="GH112" s="8">
        <f>IF(GH$56-Voorblad!$F$41&gt;Voorblad!$K$41,0,IF($U112=0,0,IF($U112&lt;1,1/$U112,IF((GH$56-Voorblad!$F$41)/$U112-SUM($EE112:GG112)=1,1,0))))</f>
        <v>2</v>
      </c>
      <c r="GI112" s="8">
        <f>IF(GI$56-Voorblad!$F$41&gt;Voorblad!$K$41,0,IF($U112=0,0,IF($U112&lt;1,1/$U112,IF((GI$56-Voorblad!$F$41)/$U112-SUM($EE112:GH112)=1,1,0))))</f>
        <v>2</v>
      </c>
      <c r="GJ112" s="8">
        <f>IF(GJ$56-Voorblad!$F$41&gt;Voorblad!$K$41,0,IF($U112=0,0,IF($U112&lt;1,1/$U112,IF((GJ$56-Voorblad!$F$41)/$U112-SUM($EE112:GI112)=1,1,0))))</f>
        <v>2</v>
      </c>
      <c r="GK112" s="8">
        <f>IF(GK$56-Voorblad!$F$41&gt;Voorblad!$K$41,0,IF($U112=0,0,IF($U112&lt;1,1/$U112,IF((GK$56-Voorblad!$F$41)/$U112-SUM($EE112:GJ112)=1,1,0))))</f>
        <v>2</v>
      </c>
      <c r="GL112" s="8">
        <f>IF(GL$56-Voorblad!$F$41&gt;Voorblad!$K$41,0,IF($U112=0,0,IF($U112&lt;1,1/$U112,IF((GL$56-Voorblad!$F$41)/$U112-SUM($EE112:GK112)=1,1,0))))</f>
        <v>2</v>
      </c>
      <c r="GM112" s="8">
        <f>IF(GM$56-Voorblad!$F$41&gt;Voorblad!$K$41,0,IF($U112=0,0,IF($U112&lt;1,1/$U112,IF((GM$56-Voorblad!$F$41)/$U112-SUM($EE112:GL112)=1,1,0))))</f>
        <v>2</v>
      </c>
      <c r="GN112" s="8">
        <f>IF(GN$56-Voorblad!$F$41&gt;Voorblad!$K$41,0,IF($U112=0,0,IF($U112&lt;1,1/$U112,IF((GN$56-Voorblad!$F$41)/$U112-SUM($EE112:GM112)=1,1,0))))</f>
        <v>2</v>
      </c>
      <c r="GO112" s="8">
        <f>IF(GO$56-Voorblad!$F$41&gt;Voorblad!$K$41,0,IF($U112=0,0,IF($U112&lt;1,1/$U112,IF((GO$56-Voorblad!$F$41)/$U112-SUM($EE112:GN112)=1,1,0))))</f>
        <v>2</v>
      </c>
      <c r="GP112" s="8">
        <f>IF(GP$56-Voorblad!$F$41&gt;Voorblad!$K$41,0,IF($U112=0,0,IF($U112&lt;1,1/$U112,IF((GP$56-Voorblad!$F$41)/$U112-SUM($EE112:GO112)=1,1,0))))</f>
        <v>2</v>
      </c>
      <c r="GQ112" s="8">
        <f>IF(GQ$56-Voorblad!$F$41&gt;Voorblad!$K$41,0,IF($U112=0,0,IF($U112&lt;1,1/$U112,IF((GQ$56-Voorblad!$F$41)/$U112-SUM($EE112:GP112)=1,1,0))))</f>
        <v>2</v>
      </c>
      <c r="GR112" s="8">
        <f>IF(GR$56-Voorblad!$F$41&gt;Voorblad!$K$41,0,IF($U112=0,0,IF($U112&lt;1,1/$U112,IF((GR$56-Voorblad!$F$41)/$U112-SUM($EE112:GQ112)=1,1,0))))</f>
        <v>2</v>
      </c>
      <c r="GS112" s="8">
        <f>IF(GS$56-Voorblad!$F$41&gt;Voorblad!$K$41,0,IF($U112=0,0,IF($U112&lt;1,1/$U112,IF((GS$56-Voorblad!$F$41)/$U112-SUM($EE112:GR112)=1,1,0))))</f>
        <v>2</v>
      </c>
      <c r="GT112" s="8">
        <f>IF(GT$56-Voorblad!$F$41&gt;Voorblad!$K$41,0,IF($U112=0,0,IF($U112&lt;1,1/$U112,IF((GT$56-Voorblad!$F$41)/$U112-SUM($EE112:GS112)=1,1,0))))</f>
        <v>2</v>
      </c>
      <c r="GU112" s="8">
        <f>IF(GU$56-Voorblad!$F$41&gt;Voorblad!$K$41,0,IF($U112=0,0,IF($U112&lt;1,1/$U112,IF((GU$56-Voorblad!$F$41)/$U112-SUM($EE112:GT112)=1,1,0))))</f>
        <v>2</v>
      </c>
      <c r="GV112" s="8">
        <f>IF(GV$56-Voorblad!$F$41&gt;Voorblad!$K$41,0,IF($U112=0,0,IF($U112&lt;1,1/$U112,IF((GV$56-Voorblad!$F$41)/$U112-SUM($EE112:GU112)=1,1,0))))</f>
        <v>2</v>
      </c>
      <c r="GW112" s="8">
        <f>IF(GW$56-Voorblad!$F$41&gt;Voorblad!$K$41,0,IF($U112=0,0,IF($U112&lt;1,1/$U112,IF((GW$56-Voorblad!$F$41)/$U112-SUM($EE112:GV112)=1,1,0))))</f>
        <v>2</v>
      </c>
      <c r="GX112" s="8">
        <f>IF(GX$56-Voorblad!$F$41&gt;Voorblad!$K$41,0,IF($U112=0,0,IF($U112&lt;1,1/$U112,IF((GX$56-Voorblad!$F$41)/$U112-SUM($EE112:GW112)=1,1,0))))</f>
        <v>2</v>
      </c>
      <c r="GY112" s="8">
        <f>IF(GY$56-Voorblad!$F$41&gt;Voorblad!$K$41,0,IF($U112=0,0,IF($U112&lt;1,1/$U112,IF((GY$56-Voorblad!$F$41)/$U112-SUM($EE112:GX112)=1,1,0))))</f>
        <v>2</v>
      </c>
      <c r="GZ112" s="8">
        <f>IF(GZ$56-Voorblad!$F$41&gt;Voorblad!$K$41,0,IF($U112=0,0,IF($U112&lt;1,1/$U112,IF((GZ$56-Voorblad!$F$41)/$U112-SUM($EE112:GY112)=1,1,0))))</f>
        <v>2</v>
      </c>
      <c r="HA112" s="8">
        <f>IF(HA$56-Voorblad!$F$41&gt;Voorblad!$K$41,0,IF($U112=0,0,IF($U112&lt;1,1/$U112,IF((HA$56-Voorblad!$F$41)/$U112-SUM($EE112:GZ112)=1,1,0))))</f>
        <v>2</v>
      </c>
      <c r="HB112" s="8">
        <f>IF(HB$56-Voorblad!$F$41&gt;Voorblad!$K$41,0,IF($U112=0,0,IF($U112&lt;1,1/$U112,IF((HB$56-Voorblad!$F$41)/$U112-SUM($EE112:HA112)=1,1,0))))</f>
        <v>0</v>
      </c>
      <c r="HC112" s="8">
        <f>IF(HC$56-Voorblad!$F$41&gt;Voorblad!$K$41,0,IF($U112=0,0,IF($U112&lt;1,1/$U112,IF((HC$56-Voorblad!$F$41)/$U112-SUM($EE112:HB112)=1,1,0))))</f>
        <v>0</v>
      </c>
      <c r="HD112" s="8">
        <f>IF(HD$56-Voorblad!$F$41&gt;Voorblad!$K$41,0,IF($U112=0,0,IF($U112&lt;1,1/$U112,IF((HD$56-Voorblad!$F$41)/$U112-SUM($EE112:HC112)=1,1,0))))</f>
        <v>0</v>
      </c>
      <c r="HE112" s="8">
        <f>IF(HE$56-Voorblad!$F$41&gt;Voorblad!$K$41,0,IF($U112=0,0,IF($U112&lt;1,1/$U112,IF((HE$56-Voorblad!$F$41)/$U112-SUM($EE112:HD112)=1,1,0))))</f>
        <v>0</v>
      </c>
      <c r="HF112" s="8">
        <f>IF(HF$56-Voorblad!$F$41&gt;Voorblad!$K$41,0,IF($U112=0,0,IF($U112&lt;1,1/$U112,IF((HF$56-Voorblad!$F$41)/$U112-SUM($EE112:HE112)=1,1,0))))</f>
        <v>0</v>
      </c>
      <c r="HG112" s="8">
        <f>IF(HG$56-Voorblad!$F$41&gt;Voorblad!$K$41,0,IF($U112=0,0,IF($U112&lt;1,1/$U112,IF((HG$56-Voorblad!$F$41)/$U112-SUM($EE112:HF112)=1,1,0))))</f>
        <v>0</v>
      </c>
      <c r="HH112" s="8">
        <f>IF(HH$56-Voorblad!$F$41&gt;Voorblad!$K$41,0,IF($U112=0,0,IF($U112&lt;1,1/$U112,IF((HH$56-Voorblad!$F$41)/$U112-SUM($EE112:HG112)=1,1,0))))</f>
        <v>0</v>
      </c>
      <c r="HI112" s="8">
        <f>IF(HI$56-Voorblad!$F$41&gt;Voorblad!$K$41,0,IF($U112=0,0,IF($U112&lt;1,1/$U112,IF((HI$56-Voorblad!$F$41)/$U112-SUM($EE112:HH112)=1,1,0))))</f>
        <v>0</v>
      </c>
      <c r="HJ112" s="8">
        <f>IF(HJ$56-Voorblad!$F$41&gt;Voorblad!$K$41,0,IF($U112=0,0,IF($U112&lt;1,1/$U112,IF((HJ$56-Voorblad!$F$41)/$U112-SUM($EE112:HI112)=1,1,0))))</f>
        <v>0</v>
      </c>
      <c r="HK112" s="8">
        <f>IF(HK$56-Voorblad!$F$41&gt;Voorblad!$K$41,0,IF($U112=0,0,IF($U112&lt;1,1/$U112,IF((HK$56-Voorblad!$F$41)/$U112-SUM($EE112:HJ112)=1,1,0))))</f>
        <v>0</v>
      </c>
      <c r="HL112" s="8">
        <f>IF(HL$56-Voorblad!$F$41&gt;Voorblad!$K$41,0,IF($U112=0,0,IF($U112&lt;1,1/$U112,IF((HL$56-Voorblad!$F$41)/$U112-SUM($EE112:HK112)=1,1,0))))</f>
        <v>0</v>
      </c>
      <c r="HM112" s="8">
        <f>IF(HM$56-Voorblad!$F$41&gt;Voorblad!$K$41,0,IF($U112=0,0,IF($U112&lt;1,1/$U112,IF((HM$56-Voorblad!$F$41)/$U112-SUM($EE112:HL112)=1,1,0))))</f>
        <v>0</v>
      </c>
      <c r="HN112" s="8">
        <f>IF(HN$56-Voorblad!$F$41&gt;Voorblad!$K$41,0,IF($U112=0,0,IF($U112&lt;1,1/$U112,IF((HN$56-Voorblad!$F$41)/$U112-SUM($EE112:HM112)=1,1,0))))</f>
        <v>0</v>
      </c>
      <c r="HO112" s="8">
        <f>IF(HO$56-Voorblad!$F$41&gt;Voorblad!$K$41,0,IF($U112=0,0,IF($U112&lt;1,1/$U112,IF((HO$56-Voorblad!$F$41)/$U112-SUM($EE112:HN112)=1,1,0))))</f>
        <v>0</v>
      </c>
      <c r="HP112" s="8">
        <f>IF(HP$56-Voorblad!$F$41&gt;Voorblad!$K$41,0,IF($U112=0,0,IF($U112&lt;1,1/$U112,IF((HP$56-Voorblad!$F$41)/$U112-SUM($EE112:HO112)=1,1,0))))</f>
        <v>0</v>
      </c>
      <c r="HQ112" s="8">
        <f>IF(HQ$56-Voorblad!$F$41&gt;Voorblad!$K$41,0,IF($U112=0,0,IF($U112&lt;1,1/$U112,IF((HQ$56-Voorblad!$F$41)/$U112-SUM($EE112:HP112)=1,1,0))))</f>
        <v>0</v>
      </c>
      <c r="HR112" s="8">
        <f>IF(HR$56-Voorblad!$F$41&gt;Voorblad!$K$41,0,IF($U112=0,0,IF($U112&lt;1,1/$U112,IF((HR$56-Voorblad!$F$41)/$U112-SUM($EE112:HQ112)=1,1,0))))</f>
        <v>0</v>
      </c>
      <c r="HS112" s="8">
        <f>IF(HS$56-Voorblad!$F$41&gt;Voorblad!$K$41,0,IF($U112=0,0,IF($U112&lt;1,1/$U112,IF((HS$56-Voorblad!$F$41)/$U112-SUM($EE112:HR112)=1,1,0))))</f>
        <v>0</v>
      </c>
      <c r="HT112" s="8">
        <f>IF(HT$56-Voorblad!$F$41&gt;Voorblad!$K$41,0,IF($U112=0,0,IF($U112&lt;1,1/$U112,IF((HT$56-Voorblad!$F$41)/$U112-SUM($EE112:HS112)=1,1,0))))</f>
        <v>0</v>
      </c>
      <c r="HU112" s="8">
        <f>IF(HU$56-Voorblad!$F$41&gt;Voorblad!$K$41,0,IF($U112=0,0,IF($U112&lt;1,1/$U112,IF((HU$56-Voorblad!$F$41)/$U112-SUM($EE112:HT112)=1,1,0))))</f>
        <v>0</v>
      </c>
      <c r="HV112" s="8">
        <f>IF(HV$56-Voorblad!$F$41&gt;Voorblad!$K$41,0,IF($U112=0,0,IF($U112&lt;1,1/$U112,IF((HV$56-Voorblad!$F$41)/$U112-SUM($EE112:HU112)=1,1,0))))</f>
        <v>0</v>
      </c>
      <c r="HW112" s="8">
        <f>IF(HW$56-Voorblad!$F$41&gt;Voorblad!$K$41,0,IF($U112=0,0,IF($U112&lt;1,1/$U112,IF((HW$56-Voorblad!$F$41)/$U112-SUM($EE112:HV112)=1,1,0))))</f>
        <v>0</v>
      </c>
      <c r="HX112" s="8">
        <f>IF(HX$56-Voorblad!$F$41&gt;Voorblad!$K$41,0,IF($U112=0,0,IF($U112&lt;1,1/$U112,IF((HX$56-Voorblad!$F$41)/$U112-SUM($EE112:HW112)=1,1,0))))</f>
        <v>0</v>
      </c>
      <c r="HY112" s="8">
        <f>IF(HY$56-Voorblad!$F$41&gt;Voorblad!$K$41,0,IF($U112=0,0,IF($U112&lt;1,1/$U112,IF((HY$56-Voorblad!$F$41)/$U112-SUM($EE112:HX112)=1,1,0))))</f>
        <v>0</v>
      </c>
      <c r="HZ112" s="8">
        <f>IF(HZ$56-Voorblad!$F$41&gt;Voorblad!$K$41,0,IF($U112=0,0,IF($U112&lt;1,1/$U112,IF((HZ$56-Voorblad!$F$41)/$U112-SUM($EE112:HY112)=1,1,0))))</f>
        <v>0</v>
      </c>
      <c r="IA112" s="8">
        <f>IF(IA$56-Voorblad!$F$41&gt;Voorblad!$K$41,0,IF($U112=0,0,IF($U112&lt;1,1/$U112,IF((IA$56-Voorblad!$F$41)/$U112-SUM($EE112:HZ112)=1,1,0))))</f>
        <v>0</v>
      </c>
      <c r="IB112" s="8">
        <f>IF(IB$56-Voorblad!$F$41&gt;Voorblad!$K$41,0,IF($U112=0,0,IF($U112&lt;1,1/$U112,IF((IB$56-Voorblad!$F$41)/$U112-SUM($EE112:IA112)=1,1,0))))</f>
        <v>0</v>
      </c>
    </row>
    <row r="113" spans="2:236" ht="12" customHeight="1" outlineLevel="1" x14ac:dyDescent="0.25">
      <c r="B113" s="1">
        <v>3</v>
      </c>
      <c r="F113" s="1" t="s">
        <v>23</v>
      </c>
      <c r="I113" s="1" t="s">
        <v>277</v>
      </c>
      <c r="K113" s="1" t="s">
        <v>159</v>
      </c>
      <c r="P113" s="1" t="s">
        <v>184</v>
      </c>
      <c r="Q113" s="83">
        <f>2*15.9</f>
        <v>31.8</v>
      </c>
      <c r="R113" s="147" t="s">
        <v>196</v>
      </c>
      <c r="S113" s="21">
        <f>$H$20*350</f>
        <v>619.5</v>
      </c>
      <c r="T113" s="9">
        <f t="shared" si="20"/>
        <v>19700.100000000002</v>
      </c>
      <c r="U113" s="14">
        <v>15</v>
      </c>
      <c r="V113" s="14"/>
      <c r="Y113" s="9">
        <f>SUM(AE113:EB113)</f>
        <v>33956.397166295799</v>
      </c>
      <c r="Z113" s="82"/>
      <c r="AA113" s="82"/>
      <c r="AC113" s="9">
        <f>$Y113*(Voorblad!$K$44*(1+Voorblad!$K$44)^Voorblad!$K$41)/((1+Voorblad!$K$44)^Voorblad!$K$41-1)</f>
        <v>1016.5078207041406</v>
      </c>
      <c r="AE113" s="9">
        <f>EF113*($Q113*$S113)/(1+Voorblad!$K$44)^(AE$56-Voorblad!$F$41)</f>
        <v>0</v>
      </c>
      <c r="AF113" s="9">
        <f>EG113*($Q113*$S113)/(1+Voorblad!$K$44)^(AF$56-Voorblad!$F$41)</f>
        <v>0</v>
      </c>
      <c r="AG113" s="9">
        <f>EH113*($Q113*$S113)/(1+Voorblad!$K$44)^(AG$56-Voorblad!$F$41)</f>
        <v>0</v>
      </c>
      <c r="AH113" s="9">
        <f>EI113*($Q113*$S113)/(1+Voorblad!$K$44)^(AH$56-Voorblad!$F$41)</f>
        <v>0</v>
      </c>
      <c r="AI113" s="9">
        <f>EJ113*($Q113*$S113)/(1+Voorblad!$K$44)^(AI$56-Voorblad!$F$41)</f>
        <v>0</v>
      </c>
      <c r="AJ113" s="9">
        <f>EK113*($Q113*$S113)/(1+Voorblad!$K$44)^(AJ$56-Voorblad!$F$41)</f>
        <v>0</v>
      </c>
      <c r="AK113" s="9">
        <f>EL113*($Q113*$S113)/(1+Voorblad!$K$44)^(AK$56-Voorblad!$F$41)</f>
        <v>0</v>
      </c>
      <c r="AL113" s="9">
        <f>EM113*($Q113*$S113)/(1+Voorblad!$K$44)^(AL$56-Voorblad!$F$41)</f>
        <v>0</v>
      </c>
      <c r="AM113" s="9">
        <f>EN113*($Q113*$S113)/(1+Voorblad!$K$44)^(AM$56-Voorblad!$F$41)</f>
        <v>0</v>
      </c>
      <c r="AN113" s="9">
        <f>EO113*($Q113*$S113)/(1+Voorblad!$K$44)^(AN$56-Voorblad!$F$41)</f>
        <v>0</v>
      </c>
      <c r="AO113" s="9">
        <f>EP113*($Q113*$S113)/(1+Voorblad!$K$44)^(AO$56-Voorblad!$F$41)</f>
        <v>0</v>
      </c>
      <c r="AP113" s="9">
        <f>EQ113*($Q113*$S113)/(1+Voorblad!$K$44)^(AP$56-Voorblad!$F$41)</f>
        <v>0</v>
      </c>
      <c r="AQ113" s="9">
        <f>ER113*($Q113*$S113)/(1+Voorblad!$K$44)^(AQ$56-Voorblad!$F$41)</f>
        <v>0</v>
      </c>
      <c r="AR113" s="9">
        <f>ES113*($Q113*$S113)/(1+Voorblad!$K$44)^(AR$56-Voorblad!$F$41)</f>
        <v>0</v>
      </c>
      <c r="AS113" s="9">
        <f>ET113*($Q113*$S113)/(1+Voorblad!$K$44)^(AS$56-Voorblad!$F$41)</f>
        <v>0</v>
      </c>
      <c r="AT113" s="9">
        <f>EU113*($Q113*$S113)/(1+Voorblad!$K$44)^(AT$56-Voorblad!$F$41)</f>
        <v>13602.240516283706</v>
      </c>
      <c r="AU113" s="9">
        <f>EV113*($Q113*$S113)/(1+Voorblad!$K$44)^(AU$56-Voorblad!$F$41)</f>
        <v>0</v>
      </c>
      <c r="AV113" s="9">
        <f>EW113*($Q113*$S113)/(1+Voorblad!$K$44)^(AV$56-Voorblad!$F$41)</f>
        <v>0</v>
      </c>
      <c r="AW113" s="9">
        <f>EX113*($Q113*$S113)/(1+Voorblad!$K$44)^(AW$56-Voorblad!$F$41)</f>
        <v>0</v>
      </c>
      <c r="AX113" s="9">
        <f>EY113*($Q113*$S113)/(1+Voorblad!$K$44)^(AX$56-Voorblad!$F$41)</f>
        <v>0</v>
      </c>
      <c r="AY113" s="9">
        <f>EZ113*($Q113*$S113)/(1+Voorblad!$K$44)^(AY$56-Voorblad!$F$41)</f>
        <v>0</v>
      </c>
      <c r="AZ113" s="9">
        <f>FA113*($Q113*$S113)/(1+Voorblad!$K$44)^(AZ$56-Voorblad!$F$41)</f>
        <v>0</v>
      </c>
      <c r="BA113" s="9">
        <f>FB113*($Q113*$S113)/(1+Voorblad!$K$44)^(BA$56-Voorblad!$F$41)</f>
        <v>0</v>
      </c>
      <c r="BB113" s="9">
        <f>FC113*($Q113*$S113)/(1+Voorblad!$K$44)^(BB$56-Voorblad!$F$41)</f>
        <v>0</v>
      </c>
      <c r="BC113" s="9">
        <f>FD113*($Q113*$S113)/(1+Voorblad!$K$44)^(BC$56-Voorblad!$F$41)</f>
        <v>0</v>
      </c>
      <c r="BD113" s="9">
        <f>FE113*($Q113*$S113)/(1+Voorblad!$K$44)^(BD$56-Voorblad!$F$41)</f>
        <v>0</v>
      </c>
      <c r="BE113" s="9">
        <f>FF113*($Q113*$S113)/(1+Voorblad!$K$44)^(BE$56-Voorblad!$F$41)</f>
        <v>0</v>
      </c>
      <c r="BF113" s="9">
        <f>FG113*($Q113*$S113)/(1+Voorblad!$K$44)^(BF$56-Voorblad!$F$41)</f>
        <v>0</v>
      </c>
      <c r="BG113" s="9">
        <f>FH113*($Q113*$S113)/(1+Voorblad!$K$44)^(BG$56-Voorblad!$F$41)</f>
        <v>0</v>
      </c>
      <c r="BH113" s="9">
        <f>FI113*($Q113*$S113)/(1+Voorblad!$K$44)^(BH$56-Voorblad!$F$41)</f>
        <v>0</v>
      </c>
      <c r="BI113" s="9">
        <f>FJ113*($Q113*$S113)/(1+Voorblad!$K$44)^(BI$56-Voorblad!$F$41)</f>
        <v>9391.8785723336441</v>
      </c>
      <c r="BJ113" s="9">
        <f>FK113*($Q113*$S113)/(1+Voorblad!$K$44)^(BJ$56-Voorblad!$F$41)</f>
        <v>0</v>
      </c>
      <c r="BK113" s="9">
        <f>FL113*($Q113*$S113)/(1+Voorblad!$K$44)^(BK$56-Voorblad!$F$41)</f>
        <v>0</v>
      </c>
      <c r="BL113" s="9">
        <f>FM113*($Q113*$S113)/(1+Voorblad!$K$44)^(BL$56-Voorblad!$F$41)</f>
        <v>0</v>
      </c>
      <c r="BM113" s="9">
        <f>FN113*($Q113*$S113)/(1+Voorblad!$K$44)^(BM$56-Voorblad!$F$41)</f>
        <v>0</v>
      </c>
      <c r="BN113" s="9">
        <f>FO113*($Q113*$S113)/(1+Voorblad!$K$44)^(BN$56-Voorblad!$F$41)</f>
        <v>0</v>
      </c>
      <c r="BO113" s="9">
        <f>FP113*($Q113*$S113)/(1+Voorblad!$K$44)^(BO$56-Voorblad!$F$41)</f>
        <v>0</v>
      </c>
      <c r="BP113" s="9">
        <f>FQ113*($Q113*$S113)/(1+Voorblad!$K$44)^(BP$56-Voorblad!$F$41)</f>
        <v>0</v>
      </c>
      <c r="BQ113" s="9">
        <f>FR113*($Q113*$S113)/(1+Voorblad!$K$44)^(BQ$56-Voorblad!$F$41)</f>
        <v>0</v>
      </c>
      <c r="BR113" s="9">
        <f>FS113*($Q113*$S113)/(1+Voorblad!$K$44)^(BR$56-Voorblad!$F$41)</f>
        <v>0</v>
      </c>
      <c r="BS113" s="9">
        <f>FT113*($Q113*$S113)/(1+Voorblad!$K$44)^(BS$56-Voorblad!$F$41)</f>
        <v>0</v>
      </c>
      <c r="BT113" s="9">
        <f>FU113*($Q113*$S113)/(1+Voorblad!$K$44)^(BT$56-Voorblad!$F$41)</f>
        <v>0</v>
      </c>
      <c r="BU113" s="9">
        <f>FV113*($Q113*$S113)/(1+Voorblad!$K$44)^(BU$56-Voorblad!$F$41)</f>
        <v>0</v>
      </c>
      <c r="BV113" s="9">
        <f>FW113*($Q113*$S113)/(1+Voorblad!$K$44)^(BV$56-Voorblad!$F$41)</f>
        <v>0</v>
      </c>
      <c r="BW113" s="9">
        <f>FX113*($Q113*$S113)/(1+Voorblad!$K$44)^(BW$56-Voorblad!$F$41)</f>
        <v>0</v>
      </c>
      <c r="BX113" s="9">
        <f>FY113*($Q113*$S113)/(1+Voorblad!$K$44)^(BX$56-Voorblad!$F$41)</f>
        <v>6484.7686682104877</v>
      </c>
      <c r="BY113" s="9">
        <f>FZ113*($Q113*$S113)/(1+Voorblad!$K$44)^(BY$56-Voorblad!$F$41)</f>
        <v>0</v>
      </c>
      <c r="BZ113" s="9">
        <f>GA113*($Q113*$S113)/(1+Voorblad!$K$44)^(BZ$56-Voorblad!$F$41)</f>
        <v>0</v>
      </c>
      <c r="CA113" s="9">
        <f>GB113*($Q113*$S113)/(1+Voorblad!$K$44)^(CA$56-Voorblad!$F$41)</f>
        <v>0</v>
      </c>
      <c r="CB113" s="9">
        <f>GC113*($Q113*$S113)/(1+Voorblad!$K$44)^(CB$56-Voorblad!$F$41)</f>
        <v>0</v>
      </c>
      <c r="CC113" s="9">
        <f>GD113*($Q113*$S113)/(1+Voorblad!$K$44)^(CC$56-Voorblad!$F$41)</f>
        <v>0</v>
      </c>
      <c r="CD113" s="9">
        <f>GE113*($Q113*$S113)/(1+Voorblad!$K$44)^(CD$56-Voorblad!$F$41)</f>
        <v>0</v>
      </c>
      <c r="CE113" s="9">
        <f>GF113*($Q113*$S113)/(1+Voorblad!$K$44)^(CE$56-Voorblad!$F$41)</f>
        <v>0</v>
      </c>
      <c r="CF113" s="9">
        <f>GG113*($Q113*$S113)/(1+Voorblad!$K$44)^(CF$56-Voorblad!$F$41)</f>
        <v>0</v>
      </c>
      <c r="CG113" s="9">
        <f>GH113*($Q113*$S113)/(1+Voorblad!$K$44)^(CG$56-Voorblad!$F$41)</f>
        <v>0</v>
      </c>
      <c r="CH113" s="9">
        <f>GI113*($Q113*$S113)/(1+Voorblad!$K$44)^(CH$56-Voorblad!$F$41)</f>
        <v>0</v>
      </c>
      <c r="CI113" s="9">
        <f>GJ113*($Q113*$S113)/(1+Voorblad!$K$44)^(CI$56-Voorblad!$F$41)</f>
        <v>0</v>
      </c>
      <c r="CJ113" s="9">
        <f>GK113*($Q113*$S113)/(1+Voorblad!$K$44)^(CJ$56-Voorblad!$F$41)</f>
        <v>0</v>
      </c>
      <c r="CK113" s="9">
        <f>GL113*($Q113*$S113)/(1+Voorblad!$K$44)^(CK$56-Voorblad!$F$41)</f>
        <v>0</v>
      </c>
      <c r="CL113" s="9">
        <f>GM113*($Q113*$S113)/(1+Voorblad!$K$44)^(CL$56-Voorblad!$F$41)</f>
        <v>0</v>
      </c>
      <c r="CM113" s="9">
        <f>GN113*($Q113*$S113)/(1+Voorblad!$K$44)^(CM$56-Voorblad!$F$41)</f>
        <v>4477.5094094679635</v>
      </c>
      <c r="CN113" s="9">
        <f>GO113*($Q113*$S113)/(1+Voorblad!$K$44)^(CN$56-Voorblad!$F$41)</f>
        <v>0</v>
      </c>
      <c r="CO113" s="9">
        <f>GP113*($Q113*$S113)/(1+Voorblad!$K$44)^(CO$56-Voorblad!$F$41)</f>
        <v>0</v>
      </c>
      <c r="CP113" s="9">
        <f>GQ113*($Q113*$S113)/(1+Voorblad!$K$44)^(CP$56-Voorblad!$F$41)</f>
        <v>0</v>
      </c>
      <c r="CQ113" s="9">
        <f>GR113*($Q113*$S113)/(1+Voorblad!$K$44)^(CQ$56-Voorblad!$F$41)</f>
        <v>0</v>
      </c>
      <c r="CR113" s="9">
        <f>GS113*($Q113*$S113)/(1+Voorblad!$K$44)^(CR$56-Voorblad!$F$41)</f>
        <v>0</v>
      </c>
      <c r="CS113" s="9">
        <f>GT113*($Q113*$S113)/(1+Voorblad!$K$44)^(CS$56-Voorblad!$F$41)</f>
        <v>0</v>
      </c>
      <c r="CT113" s="9">
        <f>GU113*($Q113*$S113)/(1+Voorblad!$K$44)^(CT$56-Voorblad!$F$41)</f>
        <v>0</v>
      </c>
      <c r="CU113" s="9">
        <f>GV113*($Q113*$S113)/(1+Voorblad!$K$44)^(CU$56-Voorblad!$F$41)</f>
        <v>0</v>
      </c>
      <c r="CV113" s="9">
        <f>GW113*($Q113*$S113)/(1+Voorblad!$K$44)^(CV$56-Voorblad!$F$41)</f>
        <v>0</v>
      </c>
      <c r="CW113" s="9">
        <f>GX113*($Q113*$S113)/(1+Voorblad!$K$44)^(CW$56-Voorblad!$F$41)</f>
        <v>0</v>
      </c>
      <c r="CX113" s="9">
        <f>GY113*($Q113*$S113)/(1+Voorblad!$K$44)^(CX$56-Voorblad!$F$41)</f>
        <v>0</v>
      </c>
      <c r="CY113" s="9">
        <f>GZ113*($Q113*$S113)/(1+Voorblad!$K$44)^(CY$56-Voorblad!$F$41)</f>
        <v>0</v>
      </c>
      <c r="CZ113" s="9">
        <f>HA113*($Q113*$S113)/(1+Voorblad!$K$44)^(CZ$56-Voorblad!$F$41)</f>
        <v>0</v>
      </c>
      <c r="DA113" s="9">
        <f>HB113*($Q113*$S113)/(1+Voorblad!$K$44)^(DA$56-Voorblad!$F$41)</f>
        <v>0</v>
      </c>
      <c r="DB113" s="9">
        <f>HC113*($Q113*$S113)/(1+Voorblad!$K$44)^(DB$56-Voorblad!$F$41)</f>
        <v>0</v>
      </c>
      <c r="DC113" s="9">
        <f>HD113*($Q113*$S113)/(1+Voorblad!$K$44)^(DC$56-Voorblad!$F$41)</f>
        <v>0</v>
      </c>
      <c r="DD113" s="9">
        <f>HE113*($Q113*$S113)/(1+Voorblad!$K$44)^(DD$56-Voorblad!$F$41)</f>
        <v>0</v>
      </c>
      <c r="DE113" s="9">
        <f>HF113*($Q113*$S113)/(1+Voorblad!$K$44)^(DE$56-Voorblad!$F$41)</f>
        <v>0</v>
      </c>
      <c r="DF113" s="9">
        <f>HG113*($Q113*$S113)/(1+Voorblad!$K$44)^(DF$56-Voorblad!$F$41)</f>
        <v>0</v>
      </c>
      <c r="DG113" s="9">
        <f>HH113*($Q113*$S113)/(1+Voorblad!$K$44)^(DG$56-Voorblad!$F$41)</f>
        <v>0</v>
      </c>
      <c r="DH113" s="9">
        <f>HI113*($Q113*$S113)/(1+Voorblad!$K$44)^(DH$56-Voorblad!$F$41)</f>
        <v>0</v>
      </c>
      <c r="DI113" s="9">
        <f>HJ113*($Q113*$S113)/(1+Voorblad!$K$44)^(DI$56-Voorblad!$F$41)</f>
        <v>0</v>
      </c>
      <c r="DJ113" s="9">
        <f>HK113*($Q113*$S113)/(1+Voorblad!$K$44)^(DJ$56-Voorblad!$F$41)</f>
        <v>0</v>
      </c>
      <c r="DK113" s="9">
        <f>HL113*($Q113*$S113)/(1+Voorblad!$K$44)^(DK$56-Voorblad!$F$41)</f>
        <v>0</v>
      </c>
      <c r="DL113" s="9">
        <f>HM113*($Q113*$S113)/(1+Voorblad!$K$44)^(DL$56-Voorblad!$F$41)</f>
        <v>0</v>
      </c>
      <c r="DM113" s="9">
        <f>HN113*($Q113*$S113)/(1+Voorblad!$K$44)^(DM$56-Voorblad!$F$41)</f>
        <v>0</v>
      </c>
      <c r="DN113" s="9">
        <f>HO113*($Q113*$S113)/(1+Voorblad!$K$44)^(DN$56-Voorblad!$F$41)</f>
        <v>0</v>
      </c>
      <c r="DO113" s="9">
        <f>HP113*($Q113*$S113)/(1+Voorblad!$K$44)^(DO$56-Voorblad!$F$41)</f>
        <v>0</v>
      </c>
      <c r="DP113" s="9">
        <f>HQ113*($Q113*$S113)/(1+Voorblad!$K$44)^(DP$56-Voorblad!$F$41)</f>
        <v>0</v>
      </c>
      <c r="DQ113" s="9">
        <f>HR113*($Q113*$S113)/(1+Voorblad!$K$44)^(DQ$56-Voorblad!$F$41)</f>
        <v>0</v>
      </c>
      <c r="DR113" s="9">
        <f>HS113*($Q113*$S113)/(1+Voorblad!$K$44)^(DR$56-Voorblad!$F$41)</f>
        <v>0</v>
      </c>
      <c r="DS113" s="9">
        <f>HT113*($Q113*$S113)/(1+Voorblad!$K$44)^(DS$56-Voorblad!$F$41)</f>
        <v>0</v>
      </c>
      <c r="DT113" s="9">
        <f>HU113*($Q113*$S113)/(1+Voorblad!$K$44)^(DT$56-Voorblad!$F$41)</f>
        <v>0</v>
      </c>
      <c r="DU113" s="9">
        <f>HV113*($Q113*$S113)/(1+Voorblad!$K$44)^(DU$56-Voorblad!$F$41)</f>
        <v>0</v>
      </c>
      <c r="DV113" s="9">
        <f>HW113*($Q113*$S113)/(1+Voorblad!$K$44)^(DV$56-Voorblad!$F$41)</f>
        <v>0</v>
      </c>
      <c r="DW113" s="9">
        <f>HX113*($Q113*$S113)/(1+Voorblad!$K$44)^(DW$56-Voorblad!$F$41)</f>
        <v>0</v>
      </c>
      <c r="DX113" s="9">
        <f>HY113*($Q113*$S113)/(1+Voorblad!$K$44)^(DX$56-Voorblad!$F$41)</f>
        <v>0</v>
      </c>
      <c r="DY113" s="9">
        <f>HZ113*($Q113*$S113)/(1+Voorblad!$K$44)^(DY$56-Voorblad!$F$41)</f>
        <v>0</v>
      </c>
      <c r="DZ113" s="9">
        <f>IA113*($Q113*$S113)/(1+Voorblad!$K$44)^(DZ$56-Voorblad!$F$41)</f>
        <v>0</v>
      </c>
      <c r="EA113" s="9">
        <f>IB113*($Q113*$S113)/(1+Voorblad!$K$44)^(EA$56-Voorblad!$F$41)</f>
        <v>0</v>
      </c>
      <c r="EB113" s="9">
        <f>IC113*($Q113*$S113)/(1+Voorblad!$K$44)^(EB$56-Voorblad!$F$41)</f>
        <v>0</v>
      </c>
      <c r="EE113" s="8">
        <v>0</v>
      </c>
      <c r="EF113" s="8">
        <f>IF(EF$56-Voorblad!$F$41&gt;Voorblad!$K$41,0,IF($U113=0,0,IF($U113&lt;1,1/$U113,IF((EF$56-Voorblad!$F$41)/$U113-SUM($EE113:EE113)=1,1,0))))</f>
        <v>0</v>
      </c>
      <c r="EG113" s="8">
        <f>IF(EG$56-Voorblad!$F$41&gt;Voorblad!$K$41,0,IF($U113=0,0,IF($U113&lt;1,1/$U113,IF((EG$56-Voorblad!$F$41)/$U113-SUM($EE113:EF113)=1,1,0))))</f>
        <v>0</v>
      </c>
      <c r="EH113" s="8">
        <f>IF(EH$56-Voorblad!$F$41&gt;Voorblad!$K$41,0,IF($U113=0,0,IF($U113&lt;1,1/$U113,IF((EH$56-Voorblad!$F$41)/$U113-SUM($EE113:EG113)=1,1,0))))</f>
        <v>0</v>
      </c>
      <c r="EI113" s="8">
        <f>IF(EI$56-Voorblad!$F$41&gt;Voorblad!$K$41,0,IF($U113=0,0,IF($U113&lt;1,1/$U113,IF((EI$56-Voorblad!$F$41)/$U113-SUM($EE113:EH113)=1,1,0))))</f>
        <v>0</v>
      </c>
      <c r="EJ113" s="8">
        <f>IF(EJ$56-Voorblad!$F$41&gt;Voorblad!$K$41,0,IF($U113=0,0,IF($U113&lt;1,1/$U113,IF((EJ$56-Voorblad!$F$41)/$U113-SUM($EE113:EI113)=1,1,0))))</f>
        <v>0</v>
      </c>
      <c r="EK113" s="8">
        <f>IF(EK$56-Voorblad!$F$41&gt;Voorblad!$K$41,0,IF($U113=0,0,IF($U113&lt;1,1/$U113,IF((EK$56-Voorblad!$F$41)/$U113-SUM($EE113:EJ113)=1,1,0))))</f>
        <v>0</v>
      </c>
      <c r="EL113" s="8">
        <f>IF(EL$56-Voorblad!$F$41&gt;Voorblad!$K$41,0,IF($U113=0,0,IF($U113&lt;1,1/$U113,IF((EL$56-Voorblad!$F$41)/$U113-SUM($EE113:EK113)=1,1,0))))</f>
        <v>0</v>
      </c>
      <c r="EM113" s="8">
        <f>IF(EM$56-Voorblad!$F$41&gt;Voorblad!$K$41,0,IF($U113=0,0,IF($U113&lt;1,1/$U113,IF((EM$56-Voorblad!$F$41)/$U113-SUM($EE113:EL113)=1,1,0))))</f>
        <v>0</v>
      </c>
      <c r="EN113" s="8">
        <f>IF(EN$56-Voorblad!$F$41&gt;Voorblad!$K$41,0,IF($U113=0,0,IF($U113&lt;1,1/$U113,IF((EN$56-Voorblad!$F$41)/$U113-SUM($EE113:EM113)=1,1,0))))</f>
        <v>0</v>
      </c>
      <c r="EO113" s="8">
        <f>IF(EO$56-Voorblad!$F$41&gt;Voorblad!$K$41,0,IF($U113=0,0,IF($U113&lt;1,1/$U113,IF((EO$56-Voorblad!$F$41)/$U113-SUM($EE113:EN113)=1,1,0))))</f>
        <v>0</v>
      </c>
      <c r="EP113" s="8">
        <f>IF(EP$56-Voorblad!$F$41&gt;Voorblad!$K$41,0,IF($U113=0,0,IF($U113&lt;1,1/$U113,IF((EP$56-Voorblad!$F$41)/$U113-SUM($EE113:EO113)=1,1,0))))</f>
        <v>0</v>
      </c>
      <c r="EQ113" s="8">
        <f>IF(EQ$56-Voorblad!$F$41&gt;Voorblad!$K$41,0,IF($U113=0,0,IF($U113&lt;1,1/$U113,IF((EQ$56-Voorblad!$F$41)/$U113-SUM($EE113:EP113)=1,1,0))))</f>
        <v>0</v>
      </c>
      <c r="ER113" s="8">
        <f>IF(ER$56-Voorblad!$F$41&gt;Voorblad!$K$41,0,IF($U113=0,0,IF($U113&lt;1,1/$U113,IF((ER$56-Voorblad!$F$41)/$U113-SUM($EE113:EQ113)=1,1,0))))</f>
        <v>0</v>
      </c>
      <c r="ES113" s="8">
        <f>IF(ES$56-Voorblad!$F$41&gt;Voorblad!$K$41,0,IF($U113=0,0,IF($U113&lt;1,1/$U113,IF((ES$56-Voorblad!$F$41)/$U113-SUM($EE113:ER113)=1,1,0))))</f>
        <v>0</v>
      </c>
      <c r="ET113" s="8">
        <f>IF(ET$56-Voorblad!$F$41&gt;Voorblad!$K$41,0,IF($U113=0,0,IF($U113&lt;1,1/$U113,IF((ET$56-Voorblad!$F$41)/$U113-SUM($EE113:ES113)=1,1,0))))</f>
        <v>0</v>
      </c>
      <c r="EU113" s="8">
        <f>IF(EU$56-Voorblad!$F$41&gt;Voorblad!$K$41,0,IF($U113=0,0,IF($U113&lt;1,1/$U113,IF((EU$56-Voorblad!$F$41)/$U113-SUM($EE113:ET113)=1,1,0))))</f>
        <v>1</v>
      </c>
      <c r="EV113" s="8">
        <f>IF(EV$56-Voorblad!$F$41&gt;Voorblad!$K$41,0,IF($U113=0,0,IF($U113&lt;1,1/$U113,IF((EV$56-Voorblad!$F$41)/$U113-SUM($EE113:EU113)=1,1,0))))</f>
        <v>0</v>
      </c>
      <c r="EW113" s="8">
        <f>IF(EW$56-Voorblad!$F$41&gt;Voorblad!$K$41,0,IF($U113=0,0,IF($U113&lt;1,1/$U113,IF((EW$56-Voorblad!$F$41)/$U113-SUM($EE113:EV113)=1,1,0))))</f>
        <v>0</v>
      </c>
      <c r="EX113" s="8">
        <f>IF(EX$56-Voorblad!$F$41&gt;Voorblad!$K$41,0,IF($U113=0,0,IF($U113&lt;1,1/$U113,IF((EX$56-Voorblad!$F$41)/$U113-SUM($EE113:EW113)=1,1,0))))</f>
        <v>0</v>
      </c>
      <c r="EY113" s="8">
        <f>IF(EY$56-Voorblad!$F$41&gt;Voorblad!$K$41,0,IF($U113=0,0,IF($U113&lt;1,1/$U113,IF((EY$56-Voorblad!$F$41)/$U113-SUM($EE113:EX113)=1,1,0))))</f>
        <v>0</v>
      </c>
      <c r="EZ113" s="8">
        <f>IF(EZ$56-Voorblad!$F$41&gt;Voorblad!$K$41,0,IF($U113=0,0,IF($U113&lt;1,1/$U113,IF((EZ$56-Voorblad!$F$41)/$U113-SUM($EE113:EY113)=1,1,0))))</f>
        <v>0</v>
      </c>
      <c r="FA113" s="8">
        <f>IF(FA$56-Voorblad!$F$41&gt;Voorblad!$K$41,0,IF($U113=0,0,IF($U113&lt;1,1/$U113,IF((FA$56-Voorblad!$F$41)/$U113-SUM($EE113:EZ113)=1,1,0))))</f>
        <v>0</v>
      </c>
      <c r="FB113" s="8">
        <f>IF(FB$56-Voorblad!$F$41&gt;Voorblad!$K$41,0,IF($U113=0,0,IF($U113&lt;1,1/$U113,IF((FB$56-Voorblad!$F$41)/$U113-SUM($EE113:FA113)=1,1,0))))</f>
        <v>0</v>
      </c>
      <c r="FC113" s="8">
        <f>IF(FC$56-Voorblad!$F$41&gt;Voorblad!$K$41,0,IF($U113=0,0,IF($U113&lt;1,1/$U113,IF((FC$56-Voorblad!$F$41)/$U113-SUM($EE113:FB113)=1,1,0))))</f>
        <v>0</v>
      </c>
      <c r="FD113" s="8">
        <f>IF(FD$56-Voorblad!$F$41&gt;Voorblad!$K$41,0,IF($U113=0,0,IF($U113&lt;1,1/$U113,IF((FD$56-Voorblad!$F$41)/$U113-SUM($EE113:FC113)=1,1,0))))</f>
        <v>0</v>
      </c>
      <c r="FE113" s="8">
        <f>IF(FE$56-Voorblad!$F$41&gt;Voorblad!$K$41,0,IF($U113=0,0,IF($U113&lt;1,1/$U113,IF((FE$56-Voorblad!$F$41)/$U113-SUM($EE113:FD113)=1,1,0))))</f>
        <v>0</v>
      </c>
      <c r="FF113" s="8">
        <f>IF(FF$56-Voorblad!$F$41&gt;Voorblad!$K$41,0,IF($U113=0,0,IF($U113&lt;1,1/$U113,IF((FF$56-Voorblad!$F$41)/$U113-SUM($EE113:FE113)=1,1,0))))</f>
        <v>0</v>
      </c>
      <c r="FG113" s="8">
        <f>IF(FG$56-Voorblad!$F$41&gt;Voorblad!$K$41,0,IF($U113=0,0,IF($U113&lt;1,1/$U113,IF((FG$56-Voorblad!$F$41)/$U113-SUM($EE113:FF113)=1,1,0))))</f>
        <v>0</v>
      </c>
      <c r="FH113" s="8">
        <f>IF(FH$56-Voorblad!$F$41&gt;Voorblad!$K$41,0,IF($U113=0,0,IF($U113&lt;1,1/$U113,IF((FH$56-Voorblad!$F$41)/$U113-SUM($EE113:FG113)=1,1,0))))</f>
        <v>0</v>
      </c>
      <c r="FI113" s="8">
        <f>IF(FI$56-Voorblad!$F$41&gt;Voorblad!$K$41,0,IF($U113=0,0,IF($U113&lt;1,1/$U113,IF((FI$56-Voorblad!$F$41)/$U113-SUM($EE113:FH113)=1,1,0))))</f>
        <v>0</v>
      </c>
      <c r="FJ113" s="8">
        <f>IF(FJ$56-Voorblad!$F$41&gt;Voorblad!$K$41,0,IF($U113=0,0,IF($U113&lt;1,1/$U113,IF((FJ$56-Voorblad!$F$41)/$U113-SUM($EE113:FI113)=1,1,0))))</f>
        <v>1</v>
      </c>
      <c r="FK113" s="8">
        <f>IF(FK$56-Voorblad!$F$41&gt;Voorblad!$K$41,0,IF($U113=0,0,IF($U113&lt;1,1/$U113,IF((FK$56-Voorblad!$F$41)/$U113-SUM($EE113:FJ113)=1,1,0))))</f>
        <v>0</v>
      </c>
      <c r="FL113" s="8">
        <f>IF(FL$56-Voorblad!$F$41&gt;Voorblad!$K$41,0,IF($U113=0,0,IF($U113&lt;1,1/$U113,IF((FL$56-Voorblad!$F$41)/$U113-SUM($EE113:FK113)=1,1,0))))</f>
        <v>0</v>
      </c>
      <c r="FM113" s="8">
        <f>IF(FM$56-Voorblad!$F$41&gt;Voorblad!$K$41,0,IF($U113=0,0,IF($U113&lt;1,1/$U113,IF((FM$56-Voorblad!$F$41)/$U113-SUM($EE113:FL113)=1,1,0))))</f>
        <v>0</v>
      </c>
      <c r="FN113" s="8">
        <f>IF(FN$56-Voorblad!$F$41&gt;Voorblad!$K$41,0,IF($U113=0,0,IF($U113&lt;1,1/$U113,IF((FN$56-Voorblad!$F$41)/$U113-SUM($EE113:FM113)=1,1,0))))</f>
        <v>0</v>
      </c>
      <c r="FO113" s="8">
        <f>IF(FO$56-Voorblad!$F$41&gt;Voorblad!$K$41,0,IF($U113=0,0,IF($U113&lt;1,1/$U113,IF((FO$56-Voorblad!$F$41)/$U113-SUM($EE113:FN113)=1,1,0))))</f>
        <v>0</v>
      </c>
      <c r="FP113" s="8">
        <f>IF(FP$56-Voorblad!$F$41&gt;Voorblad!$K$41,0,IF($U113=0,0,IF($U113&lt;1,1/$U113,IF((FP$56-Voorblad!$F$41)/$U113-SUM($EE113:FO113)=1,1,0))))</f>
        <v>0</v>
      </c>
      <c r="FQ113" s="8">
        <f>IF(FQ$56-Voorblad!$F$41&gt;Voorblad!$K$41,0,IF($U113=0,0,IF($U113&lt;1,1/$U113,IF((FQ$56-Voorblad!$F$41)/$U113-SUM($EE113:FP113)=1,1,0))))</f>
        <v>0</v>
      </c>
      <c r="FR113" s="8">
        <f>IF(FR$56-Voorblad!$F$41&gt;Voorblad!$K$41,0,IF($U113=0,0,IF($U113&lt;1,1/$U113,IF((FR$56-Voorblad!$F$41)/$U113-SUM($EE113:FQ113)=1,1,0))))</f>
        <v>0</v>
      </c>
      <c r="FS113" s="8">
        <f>IF(FS$56-Voorblad!$F$41&gt;Voorblad!$K$41,0,IF($U113=0,0,IF($U113&lt;1,1/$U113,IF((FS$56-Voorblad!$F$41)/$U113-SUM($EE113:FR113)=1,1,0))))</f>
        <v>0</v>
      </c>
      <c r="FT113" s="8">
        <f>IF(FT$56-Voorblad!$F$41&gt;Voorblad!$K$41,0,IF($U113=0,0,IF($U113&lt;1,1/$U113,IF((FT$56-Voorblad!$F$41)/$U113-SUM($EE113:FS113)=1,1,0))))</f>
        <v>0</v>
      </c>
      <c r="FU113" s="8">
        <f>IF(FU$56-Voorblad!$F$41&gt;Voorblad!$K$41,0,IF($U113=0,0,IF($U113&lt;1,1/$U113,IF((FU$56-Voorblad!$F$41)/$U113-SUM($EE113:FT113)=1,1,0))))</f>
        <v>0</v>
      </c>
      <c r="FV113" s="8">
        <f>IF(FV$56-Voorblad!$F$41&gt;Voorblad!$K$41,0,IF($U113=0,0,IF($U113&lt;1,1/$U113,IF((FV$56-Voorblad!$F$41)/$U113-SUM($EE113:FU113)=1,1,0))))</f>
        <v>0</v>
      </c>
      <c r="FW113" s="8">
        <f>IF(FW$56-Voorblad!$F$41&gt;Voorblad!$K$41,0,IF($U113=0,0,IF($U113&lt;1,1/$U113,IF((FW$56-Voorblad!$F$41)/$U113-SUM($EE113:FV113)=1,1,0))))</f>
        <v>0</v>
      </c>
      <c r="FX113" s="8">
        <f>IF(FX$56-Voorblad!$F$41&gt;Voorblad!$K$41,0,IF($U113=0,0,IF($U113&lt;1,1/$U113,IF((FX$56-Voorblad!$F$41)/$U113-SUM($EE113:FW113)=1,1,0))))</f>
        <v>0</v>
      </c>
      <c r="FY113" s="8">
        <f>IF(FY$56-Voorblad!$F$41&gt;Voorblad!$K$41,0,IF($U113=0,0,IF($U113&lt;1,1/$U113,IF((FY$56-Voorblad!$F$41)/$U113-SUM($EE113:FX113)=1,1,0))))</f>
        <v>1</v>
      </c>
      <c r="FZ113" s="8">
        <f>IF(FZ$56-Voorblad!$F$41&gt;Voorblad!$K$41,0,IF($U113=0,0,IF($U113&lt;1,1/$U113,IF((FZ$56-Voorblad!$F$41)/$U113-SUM($EE113:FY113)=1,1,0))))</f>
        <v>0</v>
      </c>
      <c r="GA113" s="8">
        <f>IF(GA$56-Voorblad!$F$41&gt;Voorblad!$K$41,0,IF($U113=0,0,IF($U113&lt;1,1/$U113,IF((GA$56-Voorblad!$F$41)/$U113-SUM($EE113:FZ113)=1,1,0))))</f>
        <v>0</v>
      </c>
      <c r="GB113" s="8">
        <f>IF(GB$56-Voorblad!$F$41&gt;Voorblad!$K$41,0,IF($U113=0,0,IF($U113&lt;1,1/$U113,IF((GB$56-Voorblad!$F$41)/$U113-SUM($EE113:GA113)=1,1,0))))</f>
        <v>0</v>
      </c>
      <c r="GC113" s="8">
        <f>IF(GC$56-Voorblad!$F$41&gt;Voorblad!$K$41,0,IF($U113=0,0,IF($U113&lt;1,1/$U113,IF((GC$56-Voorblad!$F$41)/$U113-SUM($EE113:GB113)=1,1,0))))</f>
        <v>0</v>
      </c>
      <c r="GD113" s="8">
        <f>IF(GD$56-Voorblad!$F$41&gt;Voorblad!$K$41,0,IF($U113=0,0,IF($U113&lt;1,1/$U113,IF((GD$56-Voorblad!$F$41)/$U113-SUM($EE113:GC113)=1,1,0))))</f>
        <v>0</v>
      </c>
      <c r="GE113" s="8">
        <f>IF(GE$56-Voorblad!$F$41&gt;Voorblad!$K$41,0,IF($U113=0,0,IF($U113&lt;1,1/$U113,IF((GE$56-Voorblad!$F$41)/$U113-SUM($EE113:GD113)=1,1,0))))</f>
        <v>0</v>
      </c>
      <c r="GF113" s="8">
        <f>IF(GF$56-Voorblad!$F$41&gt;Voorblad!$K$41,0,IF($U113=0,0,IF($U113&lt;1,1/$U113,IF((GF$56-Voorblad!$F$41)/$U113-SUM($EE113:GE113)=1,1,0))))</f>
        <v>0</v>
      </c>
      <c r="GG113" s="8">
        <f>IF(GG$56-Voorblad!$F$41&gt;Voorblad!$K$41,0,IF($U113=0,0,IF($U113&lt;1,1/$U113,IF((GG$56-Voorblad!$F$41)/$U113-SUM($EE113:GF113)=1,1,0))))</f>
        <v>0</v>
      </c>
      <c r="GH113" s="8">
        <f>IF(GH$56-Voorblad!$F$41&gt;Voorblad!$K$41,0,IF($U113=0,0,IF($U113&lt;1,1/$U113,IF((GH$56-Voorblad!$F$41)/$U113-SUM($EE113:GG113)=1,1,0))))</f>
        <v>0</v>
      </c>
      <c r="GI113" s="8">
        <f>IF(GI$56-Voorblad!$F$41&gt;Voorblad!$K$41,0,IF($U113=0,0,IF($U113&lt;1,1/$U113,IF((GI$56-Voorblad!$F$41)/$U113-SUM($EE113:GH113)=1,1,0))))</f>
        <v>0</v>
      </c>
      <c r="GJ113" s="8">
        <f>IF(GJ$56-Voorblad!$F$41&gt;Voorblad!$K$41,0,IF($U113=0,0,IF($U113&lt;1,1/$U113,IF((GJ$56-Voorblad!$F$41)/$U113-SUM($EE113:GI113)=1,1,0))))</f>
        <v>0</v>
      </c>
      <c r="GK113" s="8">
        <f>IF(GK$56-Voorblad!$F$41&gt;Voorblad!$K$41,0,IF($U113=0,0,IF($U113&lt;1,1/$U113,IF((GK$56-Voorblad!$F$41)/$U113-SUM($EE113:GJ113)=1,1,0))))</f>
        <v>0</v>
      </c>
      <c r="GL113" s="8">
        <f>IF(GL$56-Voorblad!$F$41&gt;Voorblad!$K$41,0,IF($U113=0,0,IF($U113&lt;1,1/$U113,IF((GL$56-Voorblad!$F$41)/$U113-SUM($EE113:GK113)=1,1,0))))</f>
        <v>0</v>
      </c>
      <c r="GM113" s="8">
        <f>IF(GM$56-Voorblad!$F$41&gt;Voorblad!$K$41,0,IF($U113=0,0,IF($U113&lt;1,1/$U113,IF((GM$56-Voorblad!$F$41)/$U113-SUM($EE113:GL113)=1,1,0))))</f>
        <v>0</v>
      </c>
      <c r="GN113" s="8">
        <f>IF(GN$56-Voorblad!$F$41&gt;Voorblad!$K$41,0,IF($U113=0,0,IF($U113&lt;1,1/$U113,IF((GN$56-Voorblad!$F$41)/$U113-SUM($EE113:GM113)=1,1,0))))</f>
        <v>1</v>
      </c>
      <c r="GO113" s="8">
        <f>IF(GO$56-Voorblad!$F$41&gt;Voorblad!$K$41,0,IF($U113=0,0,IF($U113&lt;1,1/$U113,IF((GO$56-Voorblad!$F$41)/$U113-SUM($EE113:GN113)=1,1,0))))</f>
        <v>0</v>
      </c>
      <c r="GP113" s="8">
        <f>IF(GP$56-Voorblad!$F$41&gt;Voorblad!$K$41,0,IF($U113=0,0,IF($U113&lt;1,1/$U113,IF((GP$56-Voorblad!$F$41)/$U113-SUM($EE113:GO113)=1,1,0))))</f>
        <v>0</v>
      </c>
      <c r="GQ113" s="8">
        <f>IF(GQ$56-Voorblad!$F$41&gt;Voorblad!$K$41,0,IF($U113=0,0,IF($U113&lt;1,1/$U113,IF((GQ$56-Voorblad!$F$41)/$U113-SUM($EE113:GP113)=1,1,0))))</f>
        <v>0</v>
      </c>
      <c r="GR113" s="8">
        <f>IF(GR$56-Voorblad!$F$41&gt;Voorblad!$K$41,0,IF($U113=0,0,IF($U113&lt;1,1/$U113,IF((GR$56-Voorblad!$F$41)/$U113-SUM($EE113:GQ113)=1,1,0))))</f>
        <v>0</v>
      </c>
      <c r="GS113" s="8">
        <f>IF(GS$56-Voorblad!$F$41&gt;Voorblad!$K$41,0,IF($U113=0,0,IF($U113&lt;1,1/$U113,IF((GS$56-Voorblad!$F$41)/$U113-SUM($EE113:GR113)=1,1,0))))</f>
        <v>0</v>
      </c>
      <c r="GT113" s="8">
        <f>IF(GT$56-Voorblad!$F$41&gt;Voorblad!$K$41,0,IF($U113=0,0,IF($U113&lt;1,1/$U113,IF((GT$56-Voorblad!$F$41)/$U113-SUM($EE113:GS113)=1,1,0))))</f>
        <v>0</v>
      </c>
      <c r="GU113" s="8">
        <f>IF(GU$56-Voorblad!$F$41&gt;Voorblad!$K$41,0,IF($U113=0,0,IF($U113&lt;1,1/$U113,IF((GU$56-Voorblad!$F$41)/$U113-SUM($EE113:GT113)=1,1,0))))</f>
        <v>0</v>
      </c>
      <c r="GV113" s="8">
        <f>IF(GV$56-Voorblad!$F$41&gt;Voorblad!$K$41,0,IF($U113=0,0,IF($U113&lt;1,1/$U113,IF((GV$56-Voorblad!$F$41)/$U113-SUM($EE113:GU113)=1,1,0))))</f>
        <v>0</v>
      </c>
      <c r="GW113" s="8">
        <f>IF(GW$56-Voorblad!$F$41&gt;Voorblad!$K$41,0,IF($U113=0,0,IF($U113&lt;1,1/$U113,IF((GW$56-Voorblad!$F$41)/$U113-SUM($EE113:GV113)=1,1,0))))</f>
        <v>0</v>
      </c>
      <c r="GX113" s="8">
        <f>IF(GX$56-Voorblad!$F$41&gt;Voorblad!$K$41,0,IF($U113=0,0,IF($U113&lt;1,1/$U113,IF((GX$56-Voorblad!$F$41)/$U113-SUM($EE113:GW113)=1,1,0))))</f>
        <v>0</v>
      </c>
      <c r="GY113" s="8">
        <f>IF(GY$56-Voorblad!$F$41&gt;Voorblad!$K$41,0,IF($U113=0,0,IF($U113&lt;1,1/$U113,IF((GY$56-Voorblad!$F$41)/$U113-SUM($EE113:GX113)=1,1,0))))</f>
        <v>0</v>
      </c>
      <c r="GZ113" s="8">
        <f>IF(GZ$56-Voorblad!$F$41&gt;Voorblad!$K$41,0,IF($U113=0,0,IF($U113&lt;1,1/$U113,IF((GZ$56-Voorblad!$F$41)/$U113-SUM($EE113:GY113)=1,1,0))))</f>
        <v>0</v>
      </c>
      <c r="HA113" s="8">
        <f>IF(HA$56-Voorblad!$F$41&gt;Voorblad!$K$41,0,IF($U113=0,0,IF($U113&lt;1,1/$U113,IF((HA$56-Voorblad!$F$41)/$U113-SUM($EE113:GZ113)=1,1,0))))</f>
        <v>0</v>
      </c>
      <c r="HB113" s="8">
        <f>IF(HB$56-Voorblad!$F$41&gt;Voorblad!$K$41,0,IF($U113=0,0,IF($U113&lt;1,1/$U113,IF((HB$56-Voorblad!$F$41)/$U113-SUM($EE113:HA113)=1,1,0))))</f>
        <v>0</v>
      </c>
      <c r="HC113" s="8">
        <f>IF(HC$56-Voorblad!$F$41&gt;Voorblad!$K$41,0,IF($U113=0,0,IF($U113&lt;1,1/$U113,IF((HC$56-Voorblad!$F$41)/$U113-SUM($EE113:HB113)=1,1,0))))</f>
        <v>0</v>
      </c>
      <c r="HD113" s="8">
        <f>IF(HD$56-Voorblad!$F$41&gt;Voorblad!$K$41,0,IF($U113=0,0,IF($U113&lt;1,1/$U113,IF((HD$56-Voorblad!$F$41)/$U113-SUM($EE113:HC113)=1,1,0))))</f>
        <v>0</v>
      </c>
      <c r="HE113" s="8">
        <f>IF(HE$56-Voorblad!$F$41&gt;Voorblad!$K$41,0,IF($U113=0,0,IF($U113&lt;1,1/$U113,IF((HE$56-Voorblad!$F$41)/$U113-SUM($EE113:HD113)=1,1,0))))</f>
        <v>0</v>
      </c>
      <c r="HF113" s="8">
        <f>IF(HF$56-Voorblad!$F$41&gt;Voorblad!$K$41,0,IF($U113=0,0,IF($U113&lt;1,1/$U113,IF((HF$56-Voorblad!$F$41)/$U113-SUM($EE113:HE113)=1,1,0))))</f>
        <v>0</v>
      </c>
      <c r="HG113" s="8">
        <f>IF(HG$56-Voorblad!$F$41&gt;Voorblad!$K$41,0,IF($U113=0,0,IF($U113&lt;1,1/$U113,IF((HG$56-Voorblad!$F$41)/$U113-SUM($EE113:HF113)=1,1,0))))</f>
        <v>0</v>
      </c>
      <c r="HH113" s="8">
        <f>IF(HH$56-Voorblad!$F$41&gt;Voorblad!$K$41,0,IF($U113=0,0,IF($U113&lt;1,1/$U113,IF((HH$56-Voorblad!$F$41)/$U113-SUM($EE113:HG113)=1,1,0))))</f>
        <v>0</v>
      </c>
      <c r="HI113" s="8">
        <f>IF(HI$56-Voorblad!$F$41&gt;Voorblad!$K$41,0,IF($U113=0,0,IF($U113&lt;1,1/$U113,IF((HI$56-Voorblad!$F$41)/$U113-SUM($EE113:HH113)=1,1,0))))</f>
        <v>0</v>
      </c>
      <c r="HJ113" s="8">
        <f>IF(HJ$56-Voorblad!$F$41&gt;Voorblad!$K$41,0,IF($U113=0,0,IF($U113&lt;1,1/$U113,IF((HJ$56-Voorblad!$F$41)/$U113-SUM($EE113:HI113)=1,1,0))))</f>
        <v>0</v>
      </c>
      <c r="HK113" s="8">
        <f>IF(HK$56-Voorblad!$F$41&gt;Voorblad!$K$41,0,IF($U113=0,0,IF($U113&lt;1,1/$U113,IF((HK$56-Voorblad!$F$41)/$U113-SUM($EE113:HJ113)=1,1,0))))</f>
        <v>0</v>
      </c>
      <c r="HL113" s="8">
        <f>IF(HL$56-Voorblad!$F$41&gt;Voorblad!$K$41,0,IF($U113=0,0,IF($U113&lt;1,1/$U113,IF((HL$56-Voorblad!$F$41)/$U113-SUM($EE113:HK113)=1,1,0))))</f>
        <v>0</v>
      </c>
      <c r="HM113" s="8">
        <f>IF(HM$56-Voorblad!$F$41&gt;Voorblad!$K$41,0,IF($U113=0,0,IF($U113&lt;1,1/$U113,IF((HM$56-Voorblad!$F$41)/$U113-SUM($EE113:HL113)=1,1,0))))</f>
        <v>0</v>
      </c>
      <c r="HN113" s="8">
        <f>IF(HN$56-Voorblad!$F$41&gt;Voorblad!$K$41,0,IF($U113=0,0,IF($U113&lt;1,1/$U113,IF((HN$56-Voorblad!$F$41)/$U113-SUM($EE113:HM113)=1,1,0))))</f>
        <v>0</v>
      </c>
      <c r="HO113" s="8">
        <f>IF(HO$56-Voorblad!$F$41&gt;Voorblad!$K$41,0,IF($U113=0,0,IF($U113&lt;1,1/$U113,IF((HO$56-Voorblad!$F$41)/$U113-SUM($EE113:HN113)=1,1,0))))</f>
        <v>0</v>
      </c>
      <c r="HP113" s="8">
        <f>IF(HP$56-Voorblad!$F$41&gt;Voorblad!$K$41,0,IF($U113=0,0,IF($U113&lt;1,1/$U113,IF((HP$56-Voorblad!$F$41)/$U113-SUM($EE113:HO113)=1,1,0))))</f>
        <v>0</v>
      </c>
      <c r="HQ113" s="8">
        <f>IF(HQ$56-Voorblad!$F$41&gt;Voorblad!$K$41,0,IF($U113=0,0,IF($U113&lt;1,1/$U113,IF((HQ$56-Voorblad!$F$41)/$U113-SUM($EE113:HP113)=1,1,0))))</f>
        <v>0</v>
      </c>
      <c r="HR113" s="8">
        <f>IF(HR$56-Voorblad!$F$41&gt;Voorblad!$K$41,0,IF($U113=0,0,IF($U113&lt;1,1/$U113,IF((HR$56-Voorblad!$F$41)/$U113-SUM($EE113:HQ113)=1,1,0))))</f>
        <v>0</v>
      </c>
      <c r="HS113" s="8">
        <f>IF(HS$56-Voorblad!$F$41&gt;Voorblad!$K$41,0,IF($U113=0,0,IF($U113&lt;1,1/$U113,IF((HS$56-Voorblad!$F$41)/$U113-SUM($EE113:HR113)=1,1,0))))</f>
        <v>0</v>
      </c>
      <c r="HT113" s="8">
        <f>IF(HT$56-Voorblad!$F$41&gt;Voorblad!$K$41,0,IF($U113=0,0,IF($U113&lt;1,1/$U113,IF((HT$56-Voorblad!$F$41)/$U113-SUM($EE113:HS113)=1,1,0))))</f>
        <v>0</v>
      </c>
      <c r="HU113" s="8">
        <f>IF(HU$56-Voorblad!$F$41&gt;Voorblad!$K$41,0,IF($U113=0,0,IF($U113&lt;1,1/$U113,IF((HU$56-Voorblad!$F$41)/$U113-SUM($EE113:HT113)=1,1,0))))</f>
        <v>0</v>
      </c>
      <c r="HV113" s="8">
        <f>IF(HV$56-Voorblad!$F$41&gt;Voorblad!$K$41,0,IF($U113=0,0,IF($U113&lt;1,1/$U113,IF((HV$56-Voorblad!$F$41)/$U113-SUM($EE113:HU113)=1,1,0))))</f>
        <v>0</v>
      </c>
      <c r="HW113" s="8">
        <f>IF(HW$56-Voorblad!$F$41&gt;Voorblad!$K$41,0,IF($U113=0,0,IF($U113&lt;1,1/$U113,IF((HW$56-Voorblad!$F$41)/$U113-SUM($EE113:HV113)=1,1,0))))</f>
        <v>0</v>
      </c>
      <c r="HX113" s="8">
        <f>IF(HX$56-Voorblad!$F$41&gt;Voorblad!$K$41,0,IF($U113=0,0,IF($U113&lt;1,1/$U113,IF((HX$56-Voorblad!$F$41)/$U113-SUM($EE113:HW113)=1,1,0))))</f>
        <v>0</v>
      </c>
      <c r="HY113" s="8">
        <f>IF(HY$56-Voorblad!$F$41&gt;Voorblad!$K$41,0,IF($U113=0,0,IF($U113&lt;1,1/$U113,IF((HY$56-Voorblad!$F$41)/$U113-SUM($EE113:HX113)=1,1,0))))</f>
        <v>0</v>
      </c>
      <c r="HZ113" s="8">
        <f>IF(HZ$56-Voorblad!$F$41&gt;Voorblad!$K$41,0,IF($U113=0,0,IF($U113&lt;1,1/$U113,IF((HZ$56-Voorblad!$F$41)/$U113-SUM($EE113:HY113)=1,1,0))))</f>
        <v>0</v>
      </c>
      <c r="IA113" s="8">
        <f>IF(IA$56-Voorblad!$F$41&gt;Voorblad!$K$41,0,IF($U113=0,0,IF($U113&lt;1,1/$U113,IF((IA$56-Voorblad!$F$41)/$U113-SUM($EE113:HZ113)=1,1,0))))</f>
        <v>0</v>
      </c>
      <c r="IB113" s="8">
        <f>IF(IB$56-Voorblad!$F$41&gt;Voorblad!$K$41,0,IF($U113=0,0,IF($U113&lt;1,1/$U113,IF((IB$56-Voorblad!$F$41)/$U113-SUM($EE113:IA113)=1,1,0))))</f>
        <v>0</v>
      </c>
    </row>
    <row r="114" spans="2:236" ht="12" customHeight="1" outlineLevel="1" x14ac:dyDescent="0.25">
      <c r="B114" s="1">
        <v>3</v>
      </c>
      <c r="F114" s="1" t="s">
        <v>23</v>
      </c>
      <c r="I114" s="1" t="s">
        <v>277</v>
      </c>
      <c r="K114" s="14" t="s">
        <v>168</v>
      </c>
      <c r="L114" s="14"/>
      <c r="M114" s="14"/>
      <c r="O114" s="1" t="s">
        <v>170</v>
      </c>
      <c r="Q114" s="81">
        <v>0</v>
      </c>
      <c r="R114" s="1" t="s">
        <v>33</v>
      </c>
      <c r="S114" s="14">
        <f>$H$20*5000</f>
        <v>8850</v>
      </c>
      <c r="T114" s="1">
        <f t="shared" si="20"/>
        <v>0</v>
      </c>
      <c r="U114" s="14">
        <v>15</v>
      </c>
      <c r="V114" s="14"/>
      <c r="Y114" s="9">
        <f t="shared" ref="Y114:Y119" si="22">SUM(AE114:EB114)</f>
        <v>0</v>
      </c>
      <c r="Z114" s="82"/>
      <c r="AA114" s="82"/>
      <c r="AC114" s="9">
        <f>$Y114*(Voorblad!$K$44*(1+Voorblad!$K$44)^Voorblad!$K$41)/((1+Voorblad!$K$44)^Voorblad!$K$41-1)</f>
        <v>0</v>
      </c>
      <c r="AE114" s="9">
        <f>EF114*($Q114*$S114)/(1+Voorblad!$K$44)^(AE$56-Voorblad!$F$41)</f>
        <v>0</v>
      </c>
      <c r="AF114" s="9">
        <f>EG114*($Q114*$S114)/(1+Voorblad!$K$44)^(AF$56-Voorblad!$F$41)</f>
        <v>0</v>
      </c>
      <c r="AG114" s="9">
        <f>EH114*($Q114*$S114)/(1+Voorblad!$K$44)^(AG$56-Voorblad!$F$41)</f>
        <v>0</v>
      </c>
      <c r="AH114" s="9">
        <f>EI114*($Q114*$S114)/(1+Voorblad!$K$44)^(AH$56-Voorblad!$F$41)</f>
        <v>0</v>
      </c>
      <c r="AI114" s="9">
        <f>EJ114*($Q114*$S114)/(1+Voorblad!$K$44)^(AI$56-Voorblad!$F$41)</f>
        <v>0</v>
      </c>
      <c r="AJ114" s="9">
        <f>EK114*($Q114*$S114)/(1+Voorblad!$K$44)^(AJ$56-Voorblad!$F$41)</f>
        <v>0</v>
      </c>
      <c r="AK114" s="9">
        <f>EL114*($Q114*$S114)/(1+Voorblad!$K$44)^(AK$56-Voorblad!$F$41)</f>
        <v>0</v>
      </c>
      <c r="AL114" s="9">
        <f>EM114*($Q114*$S114)/(1+Voorblad!$K$44)^(AL$56-Voorblad!$F$41)</f>
        <v>0</v>
      </c>
      <c r="AM114" s="9">
        <f>EN114*($Q114*$S114)/(1+Voorblad!$K$44)^(AM$56-Voorblad!$F$41)</f>
        <v>0</v>
      </c>
      <c r="AN114" s="9">
        <f>EO114*($Q114*$S114)/(1+Voorblad!$K$44)^(AN$56-Voorblad!$F$41)</f>
        <v>0</v>
      </c>
      <c r="AO114" s="9">
        <f>EP114*($Q114*$S114)/(1+Voorblad!$K$44)^(AO$56-Voorblad!$F$41)</f>
        <v>0</v>
      </c>
      <c r="AP114" s="9">
        <f>EQ114*($Q114*$S114)/(1+Voorblad!$K$44)^(AP$56-Voorblad!$F$41)</f>
        <v>0</v>
      </c>
      <c r="AQ114" s="9">
        <f>ER114*($Q114*$S114)/(1+Voorblad!$K$44)^(AQ$56-Voorblad!$F$41)</f>
        <v>0</v>
      </c>
      <c r="AR114" s="9">
        <f>ES114*($Q114*$S114)/(1+Voorblad!$K$44)^(AR$56-Voorblad!$F$41)</f>
        <v>0</v>
      </c>
      <c r="AS114" s="9">
        <f>ET114*($Q114*$S114)/(1+Voorblad!$K$44)^(AS$56-Voorblad!$F$41)</f>
        <v>0</v>
      </c>
      <c r="AT114" s="9">
        <f>EU114*($Q114*$S114)/(1+Voorblad!$K$44)^(AT$56-Voorblad!$F$41)</f>
        <v>0</v>
      </c>
      <c r="AU114" s="9">
        <f>EV114*($Q114*$S114)/(1+Voorblad!$K$44)^(AU$56-Voorblad!$F$41)</f>
        <v>0</v>
      </c>
      <c r="AV114" s="9">
        <f>EW114*($Q114*$S114)/(1+Voorblad!$K$44)^(AV$56-Voorblad!$F$41)</f>
        <v>0</v>
      </c>
      <c r="AW114" s="9">
        <f>EX114*($Q114*$S114)/(1+Voorblad!$K$44)^(AW$56-Voorblad!$F$41)</f>
        <v>0</v>
      </c>
      <c r="AX114" s="9">
        <f>EY114*($Q114*$S114)/(1+Voorblad!$K$44)^(AX$56-Voorblad!$F$41)</f>
        <v>0</v>
      </c>
      <c r="AY114" s="9">
        <f>EZ114*($Q114*$S114)/(1+Voorblad!$K$44)^(AY$56-Voorblad!$F$41)</f>
        <v>0</v>
      </c>
      <c r="AZ114" s="9">
        <f>FA114*($Q114*$S114)/(1+Voorblad!$K$44)^(AZ$56-Voorblad!$F$41)</f>
        <v>0</v>
      </c>
      <c r="BA114" s="9">
        <f>FB114*($Q114*$S114)/(1+Voorblad!$K$44)^(BA$56-Voorblad!$F$41)</f>
        <v>0</v>
      </c>
      <c r="BB114" s="9">
        <f>FC114*($Q114*$S114)/(1+Voorblad!$K$44)^(BB$56-Voorblad!$F$41)</f>
        <v>0</v>
      </c>
      <c r="BC114" s="9">
        <f>FD114*($Q114*$S114)/(1+Voorblad!$K$44)^(BC$56-Voorblad!$F$41)</f>
        <v>0</v>
      </c>
      <c r="BD114" s="9">
        <f>FE114*($Q114*$S114)/(1+Voorblad!$K$44)^(BD$56-Voorblad!$F$41)</f>
        <v>0</v>
      </c>
      <c r="BE114" s="9">
        <f>FF114*($Q114*$S114)/(1+Voorblad!$K$44)^(BE$56-Voorblad!$F$41)</f>
        <v>0</v>
      </c>
      <c r="BF114" s="9">
        <f>FG114*($Q114*$S114)/(1+Voorblad!$K$44)^(BF$56-Voorblad!$F$41)</f>
        <v>0</v>
      </c>
      <c r="BG114" s="9">
        <f>FH114*($Q114*$S114)/(1+Voorblad!$K$44)^(BG$56-Voorblad!$F$41)</f>
        <v>0</v>
      </c>
      <c r="BH114" s="9">
        <f>FI114*($Q114*$S114)/(1+Voorblad!$K$44)^(BH$56-Voorblad!$F$41)</f>
        <v>0</v>
      </c>
      <c r="BI114" s="9">
        <f>FJ114*($Q114*$S114)/(1+Voorblad!$K$44)^(BI$56-Voorblad!$F$41)</f>
        <v>0</v>
      </c>
      <c r="BJ114" s="9">
        <f>FK114*($Q114*$S114)/(1+Voorblad!$K$44)^(BJ$56-Voorblad!$F$41)</f>
        <v>0</v>
      </c>
      <c r="BK114" s="9">
        <f>FL114*($Q114*$S114)/(1+Voorblad!$K$44)^(BK$56-Voorblad!$F$41)</f>
        <v>0</v>
      </c>
      <c r="BL114" s="9">
        <f>FM114*($Q114*$S114)/(1+Voorblad!$K$44)^(BL$56-Voorblad!$F$41)</f>
        <v>0</v>
      </c>
      <c r="BM114" s="9">
        <f>FN114*($Q114*$S114)/(1+Voorblad!$K$44)^(BM$56-Voorblad!$F$41)</f>
        <v>0</v>
      </c>
      <c r="BN114" s="9">
        <f>FO114*($Q114*$S114)/(1+Voorblad!$K$44)^(BN$56-Voorblad!$F$41)</f>
        <v>0</v>
      </c>
      <c r="BO114" s="9">
        <f>FP114*($Q114*$S114)/(1+Voorblad!$K$44)^(BO$56-Voorblad!$F$41)</f>
        <v>0</v>
      </c>
      <c r="BP114" s="9">
        <f>FQ114*($Q114*$S114)/(1+Voorblad!$K$44)^(BP$56-Voorblad!$F$41)</f>
        <v>0</v>
      </c>
      <c r="BQ114" s="9">
        <f>FR114*($Q114*$S114)/(1+Voorblad!$K$44)^(BQ$56-Voorblad!$F$41)</f>
        <v>0</v>
      </c>
      <c r="BR114" s="9">
        <f>FS114*($Q114*$S114)/(1+Voorblad!$K$44)^(BR$56-Voorblad!$F$41)</f>
        <v>0</v>
      </c>
      <c r="BS114" s="9">
        <f>FT114*($Q114*$S114)/(1+Voorblad!$K$44)^(BS$56-Voorblad!$F$41)</f>
        <v>0</v>
      </c>
      <c r="BT114" s="9">
        <f>FU114*($Q114*$S114)/(1+Voorblad!$K$44)^(BT$56-Voorblad!$F$41)</f>
        <v>0</v>
      </c>
      <c r="BU114" s="9">
        <f>FV114*($Q114*$S114)/(1+Voorblad!$K$44)^(BU$56-Voorblad!$F$41)</f>
        <v>0</v>
      </c>
      <c r="BV114" s="9">
        <f>FW114*($Q114*$S114)/(1+Voorblad!$K$44)^(BV$56-Voorblad!$F$41)</f>
        <v>0</v>
      </c>
      <c r="BW114" s="9">
        <f>FX114*($Q114*$S114)/(1+Voorblad!$K$44)^(BW$56-Voorblad!$F$41)</f>
        <v>0</v>
      </c>
      <c r="BX114" s="9">
        <f>FY114*($Q114*$S114)/(1+Voorblad!$K$44)^(BX$56-Voorblad!$F$41)</f>
        <v>0</v>
      </c>
      <c r="BY114" s="9">
        <f>FZ114*($Q114*$S114)/(1+Voorblad!$K$44)^(BY$56-Voorblad!$F$41)</f>
        <v>0</v>
      </c>
      <c r="BZ114" s="9">
        <f>GA114*($Q114*$S114)/(1+Voorblad!$K$44)^(BZ$56-Voorblad!$F$41)</f>
        <v>0</v>
      </c>
      <c r="CA114" s="9">
        <f>GB114*($Q114*$S114)/(1+Voorblad!$K$44)^(CA$56-Voorblad!$F$41)</f>
        <v>0</v>
      </c>
      <c r="CB114" s="9">
        <f>GC114*($Q114*$S114)/(1+Voorblad!$K$44)^(CB$56-Voorblad!$F$41)</f>
        <v>0</v>
      </c>
      <c r="CC114" s="9">
        <f>GD114*($Q114*$S114)/(1+Voorblad!$K$44)^(CC$56-Voorblad!$F$41)</f>
        <v>0</v>
      </c>
      <c r="CD114" s="9">
        <f>GE114*($Q114*$S114)/(1+Voorblad!$K$44)^(CD$56-Voorblad!$F$41)</f>
        <v>0</v>
      </c>
      <c r="CE114" s="9">
        <f>GF114*($Q114*$S114)/(1+Voorblad!$K$44)^(CE$56-Voorblad!$F$41)</f>
        <v>0</v>
      </c>
      <c r="CF114" s="9">
        <f>GG114*($Q114*$S114)/(1+Voorblad!$K$44)^(CF$56-Voorblad!$F$41)</f>
        <v>0</v>
      </c>
      <c r="CG114" s="9">
        <f>GH114*($Q114*$S114)/(1+Voorblad!$K$44)^(CG$56-Voorblad!$F$41)</f>
        <v>0</v>
      </c>
      <c r="CH114" s="9">
        <f>GI114*($Q114*$S114)/(1+Voorblad!$K$44)^(CH$56-Voorblad!$F$41)</f>
        <v>0</v>
      </c>
      <c r="CI114" s="9">
        <f>GJ114*($Q114*$S114)/(1+Voorblad!$K$44)^(CI$56-Voorblad!$F$41)</f>
        <v>0</v>
      </c>
      <c r="CJ114" s="9">
        <f>GK114*($Q114*$S114)/(1+Voorblad!$K$44)^(CJ$56-Voorblad!$F$41)</f>
        <v>0</v>
      </c>
      <c r="CK114" s="9">
        <f>GL114*($Q114*$S114)/(1+Voorblad!$K$44)^(CK$56-Voorblad!$F$41)</f>
        <v>0</v>
      </c>
      <c r="CL114" s="9">
        <f>GM114*($Q114*$S114)/(1+Voorblad!$K$44)^(CL$56-Voorblad!$F$41)</f>
        <v>0</v>
      </c>
      <c r="CM114" s="9">
        <f>GN114*($Q114*$S114)/(1+Voorblad!$K$44)^(CM$56-Voorblad!$F$41)</f>
        <v>0</v>
      </c>
      <c r="CN114" s="9">
        <f>GO114*($Q114*$S114)/(1+Voorblad!$K$44)^(CN$56-Voorblad!$F$41)</f>
        <v>0</v>
      </c>
      <c r="CO114" s="9">
        <f>GP114*($Q114*$S114)/(1+Voorblad!$K$44)^(CO$56-Voorblad!$F$41)</f>
        <v>0</v>
      </c>
      <c r="CP114" s="9">
        <f>GQ114*($Q114*$S114)/(1+Voorblad!$K$44)^(CP$56-Voorblad!$F$41)</f>
        <v>0</v>
      </c>
      <c r="CQ114" s="9">
        <f>GR114*($Q114*$S114)/(1+Voorblad!$K$44)^(CQ$56-Voorblad!$F$41)</f>
        <v>0</v>
      </c>
      <c r="CR114" s="9">
        <f>GS114*($Q114*$S114)/(1+Voorblad!$K$44)^(CR$56-Voorblad!$F$41)</f>
        <v>0</v>
      </c>
      <c r="CS114" s="9">
        <f>GT114*($Q114*$S114)/(1+Voorblad!$K$44)^(CS$56-Voorblad!$F$41)</f>
        <v>0</v>
      </c>
      <c r="CT114" s="9">
        <f>GU114*($Q114*$S114)/(1+Voorblad!$K$44)^(CT$56-Voorblad!$F$41)</f>
        <v>0</v>
      </c>
      <c r="CU114" s="9">
        <f>GV114*($Q114*$S114)/(1+Voorblad!$K$44)^(CU$56-Voorblad!$F$41)</f>
        <v>0</v>
      </c>
      <c r="CV114" s="9">
        <f>GW114*($Q114*$S114)/(1+Voorblad!$K$44)^(CV$56-Voorblad!$F$41)</f>
        <v>0</v>
      </c>
      <c r="CW114" s="9">
        <f>GX114*($Q114*$S114)/(1+Voorblad!$K$44)^(CW$56-Voorblad!$F$41)</f>
        <v>0</v>
      </c>
      <c r="CX114" s="9">
        <f>GY114*($Q114*$S114)/(1+Voorblad!$K$44)^(CX$56-Voorblad!$F$41)</f>
        <v>0</v>
      </c>
      <c r="CY114" s="9">
        <f>GZ114*($Q114*$S114)/(1+Voorblad!$K$44)^(CY$56-Voorblad!$F$41)</f>
        <v>0</v>
      </c>
      <c r="CZ114" s="9">
        <f>HA114*($Q114*$S114)/(1+Voorblad!$K$44)^(CZ$56-Voorblad!$F$41)</f>
        <v>0</v>
      </c>
      <c r="DA114" s="9">
        <f>HB114*($Q114*$S114)/(1+Voorblad!$K$44)^(DA$56-Voorblad!$F$41)</f>
        <v>0</v>
      </c>
      <c r="DB114" s="9">
        <f>HC114*($Q114*$S114)/(1+Voorblad!$K$44)^(DB$56-Voorblad!$F$41)</f>
        <v>0</v>
      </c>
      <c r="DC114" s="9">
        <f>HD114*($Q114*$S114)/(1+Voorblad!$K$44)^(DC$56-Voorblad!$F$41)</f>
        <v>0</v>
      </c>
      <c r="DD114" s="9">
        <f>HE114*($Q114*$S114)/(1+Voorblad!$K$44)^(DD$56-Voorblad!$F$41)</f>
        <v>0</v>
      </c>
      <c r="DE114" s="9">
        <f>HF114*($Q114*$S114)/(1+Voorblad!$K$44)^(DE$56-Voorblad!$F$41)</f>
        <v>0</v>
      </c>
      <c r="DF114" s="9">
        <f>HG114*($Q114*$S114)/(1+Voorblad!$K$44)^(DF$56-Voorblad!$F$41)</f>
        <v>0</v>
      </c>
      <c r="DG114" s="9">
        <f>HH114*($Q114*$S114)/(1+Voorblad!$K$44)^(DG$56-Voorblad!$F$41)</f>
        <v>0</v>
      </c>
      <c r="DH114" s="9">
        <f>HI114*($Q114*$S114)/(1+Voorblad!$K$44)^(DH$56-Voorblad!$F$41)</f>
        <v>0</v>
      </c>
      <c r="DI114" s="9">
        <f>HJ114*($Q114*$S114)/(1+Voorblad!$K$44)^(DI$56-Voorblad!$F$41)</f>
        <v>0</v>
      </c>
      <c r="DJ114" s="9">
        <f>HK114*($Q114*$S114)/(1+Voorblad!$K$44)^(DJ$56-Voorblad!$F$41)</f>
        <v>0</v>
      </c>
      <c r="DK114" s="9">
        <f>HL114*($Q114*$S114)/(1+Voorblad!$K$44)^(DK$56-Voorblad!$F$41)</f>
        <v>0</v>
      </c>
      <c r="DL114" s="9">
        <f>HM114*($Q114*$S114)/(1+Voorblad!$K$44)^(DL$56-Voorblad!$F$41)</f>
        <v>0</v>
      </c>
      <c r="DM114" s="9">
        <f>HN114*($Q114*$S114)/(1+Voorblad!$K$44)^(DM$56-Voorblad!$F$41)</f>
        <v>0</v>
      </c>
      <c r="DN114" s="9">
        <f>HO114*($Q114*$S114)/(1+Voorblad!$K$44)^(DN$56-Voorblad!$F$41)</f>
        <v>0</v>
      </c>
      <c r="DO114" s="9">
        <f>HP114*($Q114*$S114)/(1+Voorblad!$K$44)^(DO$56-Voorblad!$F$41)</f>
        <v>0</v>
      </c>
      <c r="DP114" s="9">
        <f>HQ114*($Q114*$S114)/(1+Voorblad!$K$44)^(DP$56-Voorblad!$F$41)</f>
        <v>0</v>
      </c>
      <c r="DQ114" s="9">
        <f>HR114*($Q114*$S114)/(1+Voorblad!$K$44)^(DQ$56-Voorblad!$F$41)</f>
        <v>0</v>
      </c>
      <c r="DR114" s="9">
        <f>HS114*($Q114*$S114)/(1+Voorblad!$K$44)^(DR$56-Voorblad!$F$41)</f>
        <v>0</v>
      </c>
      <c r="DS114" s="9">
        <f>HT114*($Q114*$S114)/(1+Voorblad!$K$44)^(DS$56-Voorblad!$F$41)</f>
        <v>0</v>
      </c>
      <c r="DT114" s="9">
        <f>HU114*($Q114*$S114)/(1+Voorblad!$K$44)^(DT$56-Voorblad!$F$41)</f>
        <v>0</v>
      </c>
      <c r="DU114" s="9">
        <f>HV114*($Q114*$S114)/(1+Voorblad!$K$44)^(DU$56-Voorblad!$F$41)</f>
        <v>0</v>
      </c>
      <c r="DV114" s="9">
        <f>HW114*($Q114*$S114)/(1+Voorblad!$K$44)^(DV$56-Voorblad!$F$41)</f>
        <v>0</v>
      </c>
      <c r="DW114" s="9">
        <f>HX114*($Q114*$S114)/(1+Voorblad!$K$44)^(DW$56-Voorblad!$F$41)</f>
        <v>0</v>
      </c>
      <c r="DX114" s="9">
        <f>HY114*($Q114*$S114)/(1+Voorblad!$K$44)^(DX$56-Voorblad!$F$41)</f>
        <v>0</v>
      </c>
      <c r="DY114" s="9">
        <f>HZ114*($Q114*$S114)/(1+Voorblad!$K$44)^(DY$56-Voorblad!$F$41)</f>
        <v>0</v>
      </c>
      <c r="DZ114" s="9">
        <f>IA114*($Q114*$S114)/(1+Voorblad!$K$44)^(DZ$56-Voorblad!$F$41)</f>
        <v>0</v>
      </c>
      <c r="EA114" s="9">
        <f>IB114*($Q114*$S114)/(1+Voorblad!$K$44)^(EA$56-Voorblad!$F$41)</f>
        <v>0</v>
      </c>
      <c r="EB114" s="9">
        <f>IC114*($Q114*$S114)/(1+Voorblad!$K$44)^(EB$56-Voorblad!$F$41)</f>
        <v>0</v>
      </c>
      <c r="EE114" s="8">
        <v>0</v>
      </c>
      <c r="EF114" s="8">
        <f>IF(EF$56-Voorblad!$F$41&gt;Voorblad!$K$41,0,IF($U114=0,0,IF($U114&lt;1,1/$U114,IF((EF$56-Voorblad!$F$41)/$U114-SUM($EE114:EE114)=1,1,0))))</f>
        <v>0</v>
      </c>
      <c r="EG114" s="8">
        <f>IF(EG$56-Voorblad!$F$41&gt;Voorblad!$K$41,0,IF($U114=0,0,IF($U114&lt;1,1/$U114,IF((EG$56-Voorblad!$F$41)/$U114-SUM($EE114:EF114)=1,1,0))))</f>
        <v>0</v>
      </c>
      <c r="EH114" s="8">
        <f>IF(EH$56-Voorblad!$F$41&gt;Voorblad!$K$41,0,IF($U114=0,0,IF($U114&lt;1,1/$U114,IF((EH$56-Voorblad!$F$41)/$U114-SUM($EE114:EG114)=1,1,0))))</f>
        <v>0</v>
      </c>
      <c r="EI114" s="8">
        <f>IF(EI$56-Voorblad!$F$41&gt;Voorblad!$K$41,0,IF($U114=0,0,IF($U114&lt;1,1/$U114,IF((EI$56-Voorblad!$F$41)/$U114-SUM($EE114:EH114)=1,1,0))))</f>
        <v>0</v>
      </c>
      <c r="EJ114" s="8">
        <f>IF(EJ$56-Voorblad!$F$41&gt;Voorblad!$K$41,0,IF($U114=0,0,IF($U114&lt;1,1/$U114,IF((EJ$56-Voorblad!$F$41)/$U114-SUM($EE114:EI114)=1,1,0))))</f>
        <v>0</v>
      </c>
      <c r="EK114" s="8">
        <f>IF(EK$56-Voorblad!$F$41&gt;Voorblad!$K$41,0,IF($U114=0,0,IF($U114&lt;1,1/$U114,IF((EK$56-Voorblad!$F$41)/$U114-SUM($EE114:EJ114)=1,1,0))))</f>
        <v>0</v>
      </c>
      <c r="EL114" s="8">
        <f>IF(EL$56-Voorblad!$F$41&gt;Voorblad!$K$41,0,IF($U114=0,0,IF($U114&lt;1,1/$U114,IF((EL$56-Voorblad!$F$41)/$U114-SUM($EE114:EK114)=1,1,0))))</f>
        <v>0</v>
      </c>
      <c r="EM114" s="8">
        <f>IF(EM$56-Voorblad!$F$41&gt;Voorblad!$K$41,0,IF($U114=0,0,IF($U114&lt;1,1/$U114,IF((EM$56-Voorblad!$F$41)/$U114-SUM($EE114:EL114)=1,1,0))))</f>
        <v>0</v>
      </c>
      <c r="EN114" s="8">
        <f>IF(EN$56-Voorblad!$F$41&gt;Voorblad!$K$41,0,IF($U114=0,0,IF($U114&lt;1,1/$U114,IF((EN$56-Voorblad!$F$41)/$U114-SUM($EE114:EM114)=1,1,0))))</f>
        <v>0</v>
      </c>
      <c r="EO114" s="8">
        <f>IF(EO$56-Voorblad!$F$41&gt;Voorblad!$K$41,0,IF($U114=0,0,IF($U114&lt;1,1/$U114,IF((EO$56-Voorblad!$F$41)/$U114-SUM($EE114:EN114)=1,1,0))))</f>
        <v>0</v>
      </c>
      <c r="EP114" s="8">
        <f>IF(EP$56-Voorblad!$F$41&gt;Voorblad!$K$41,0,IF($U114=0,0,IF($U114&lt;1,1/$U114,IF((EP$56-Voorblad!$F$41)/$U114-SUM($EE114:EO114)=1,1,0))))</f>
        <v>0</v>
      </c>
      <c r="EQ114" s="8">
        <f>IF(EQ$56-Voorblad!$F$41&gt;Voorblad!$K$41,0,IF($U114=0,0,IF($U114&lt;1,1/$U114,IF((EQ$56-Voorblad!$F$41)/$U114-SUM($EE114:EP114)=1,1,0))))</f>
        <v>0</v>
      </c>
      <c r="ER114" s="8">
        <f>IF(ER$56-Voorblad!$F$41&gt;Voorblad!$K$41,0,IF($U114=0,0,IF($U114&lt;1,1/$U114,IF((ER$56-Voorblad!$F$41)/$U114-SUM($EE114:EQ114)=1,1,0))))</f>
        <v>0</v>
      </c>
      <c r="ES114" s="8">
        <f>IF(ES$56-Voorblad!$F$41&gt;Voorblad!$K$41,0,IF($U114=0,0,IF($U114&lt;1,1/$U114,IF((ES$56-Voorblad!$F$41)/$U114-SUM($EE114:ER114)=1,1,0))))</f>
        <v>0</v>
      </c>
      <c r="ET114" s="8">
        <f>IF(ET$56-Voorblad!$F$41&gt;Voorblad!$K$41,0,IF($U114=0,0,IF($U114&lt;1,1/$U114,IF((ET$56-Voorblad!$F$41)/$U114-SUM($EE114:ES114)=1,1,0))))</f>
        <v>0</v>
      </c>
      <c r="EU114" s="8">
        <f>IF(EU$56-Voorblad!$F$41&gt;Voorblad!$K$41,0,IF($U114=0,0,IF($U114&lt;1,1/$U114,IF((EU$56-Voorblad!$F$41)/$U114-SUM($EE114:ET114)=1,1,0))))</f>
        <v>1</v>
      </c>
      <c r="EV114" s="8">
        <f>IF(EV$56-Voorblad!$F$41&gt;Voorblad!$K$41,0,IF($U114=0,0,IF($U114&lt;1,1/$U114,IF((EV$56-Voorblad!$F$41)/$U114-SUM($EE114:EU114)=1,1,0))))</f>
        <v>0</v>
      </c>
      <c r="EW114" s="8">
        <f>IF(EW$56-Voorblad!$F$41&gt;Voorblad!$K$41,0,IF($U114=0,0,IF($U114&lt;1,1/$U114,IF((EW$56-Voorblad!$F$41)/$U114-SUM($EE114:EV114)=1,1,0))))</f>
        <v>0</v>
      </c>
      <c r="EX114" s="8">
        <f>IF(EX$56-Voorblad!$F$41&gt;Voorblad!$K$41,0,IF($U114=0,0,IF($U114&lt;1,1/$U114,IF((EX$56-Voorblad!$F$41)/$U114-SUM($EE114:EW114)=1,1,0))))</f>
        <v>0</v>
      </c>
      <c r="EY114" s="8">
        <f>IF(EY$56-Voorblad!$F$41&gt;Voorblad!$K$41,0,IF($U114=0,0,IF($U114&lt;1,1/$U114,IF((EY$56-Voorblad!$F$41)/$U114-SUM($EE114:EX114)=1,1,0))))</f>
        <v>0</v>
      </c>
      <c r="EZ114" s="8">
        <f>IF(EZ$56-Voorblad!$F$41&gt;Voorblad!$K$41,0,IF($U114=0,0,IF($U114&lt;1,1/$U114,IF((EZ$56-Voorblad!$F$41)/$U114-SUM($EE114:EY114)=1,1,0))))</f>
        <v>0</v>
      </c>
      <c r="FA114" s="8">
        <f>IF(FA$56-Voorblad!$F$41&gt;Voorblad!$K$41,0,IF($U114=0,0,IF($U114&lt;1,1/$U114,IF((FA$56-Voorblad!$F$41)/$U114-SUM($EE114:EZ114)=1,1,0))))</f>
        <v>0</v>
      </c>
      <c r="FB114" s="8">
        <f>IF(FB$56-Voorblad!$F$41&gt;Voorblad!$K$41,0,IF($U114=0,0,IF($U114&lt;1,1/$U114,IF((FB$56-Voorblad!$F$41)/$U114-SUM($EE114:FA114)=1,1,0))))</f>
        <v>0</v>
      </c>
      <c r="FC114" s="8">
        <f>IF(FC$56-Voorblad!$F$41&gt;Voorblad!$K$41,0,IF($U114=0,0,IF($U114&lt;1,1/$U114,IF((FC$56-Voorblad!$F$41)/$U114-SUM($EE114:FB114)=1,1,0))))</f>
        <v>0</v>
      </c>
      <c r="FD114" s="8">
        <f>IF(FD$56-Voorblad!$F$41&gt;Voorblad!$K$41,0,IF($U114=0,0,IF($U114&lt;1,1/$U114,IF((FD$56-Voorblad!$F$41)/$U114-SUM($EE114:FC114)=1,1,0))))</f>
        <v>0</v>
      </c>
      <c r="FE114" s="8">
        <f>IF(FE$56-Voorblad!$F$41&gt;Voorblad!$K$41,0,IF($U114=0,0,IF($U114&lt;1,1/$U114,IF((FE$56-Voorblad!$F$41)/$U114-SUM($EE114:FD114)=1,1,0))))</f>
        <v>0</v>
      </c>
      <c r="FF114" s="8">
        <f>IF(FF$56-Voorblad!$F$41&gt;Voorblad!$K$41,0,IF($U114=0,0,IF($U114&lt;1,1/$U114,IF((FF$56-Voorblad!$F$41)/$U114-SUM($EE114:FE114)=1,1,0))))</f>
        <v>0</v>
      </c>
      <c r="FG114" s="8">
        <f>IF(FG$56-Voorblad!$F$41&gt;Voorblad!$K$41,0,IF($U114=0,0,IF($U114&lt;1,1/$U114,IF((FG$56-Voorblad!$F$41)/$U114-SUM($EE114:FF114)=1,1,0))))</f>
        <v>0</v>
      </c>
      <c r="FH114" s="8">
        <f>IF(FH$56-Voorblad!$F$41&gt;Voorblad!$K$41,0,IF($U114=0,0,IF($U114&lt;1,1/$U114,IF((FH$56-Voorblad!$F$41)/$U114-SUM($EE114:FG114)=1,1,0))))</f>
        <v>0</v>
      </c>
      <c r="FI114" s="8">
        <f>IF(FI$56-Voorblad!$F$41&gt;Voorblad!$K$41,0,IF($U114=0,0,IF($U114&lt;1,1/$U114,IF((FI$56-Voorblad!$F$41)/$U114-SUM($EE114:FH114)=1,1,0))))</f>
        <v>0</v>
      </c>
      <c r="FJ114" s="8">
        <f>IF(FJ$56-Voorblad!$F$41&gt;Voorblad!$K$41,0,IF($U114=0,0,IF($U114&lt;1,1/$U114,IF((FJ$56-Voorblad!$F$41)/$U114-SUM($EE114:FI114)=1,1,0))))</f>
        <v>1</v>
      </c>
      <c r="FK114" s="8">
        <f>IF(FK$56-Voorblad!$F$41&gt;Voorblad!$K$41,0,IF($U114=0,0,IF($U114&lt;1,1/$U114,IF((FK$56-Voorblad!$F$41)/$U114-SUM($EE114:FJ114)=1,1,0))))</f>
        <v>0</v>
      </c>
      <c r="FL114" s="8">
        <f>IF(FL$56-Voorblad!$F$41&gt;Voorblad!$K$41,0,IF($U114=0,0,IF($U114&lt;1,1/$U114,IF((FL$56-Voorblad!$F$41)/$U114-SUM($EE114:FK114)=1,1,0))))</f>
        <v>0</v>
      </c>
      <c r="FM114" s="8">
        <f>IF(FM$56-Voorblad!$F$41&gt;Voorblad!$K$41,0,IF($U114=0,0,IF($U114&lt;1,1/$U114,IF((FM$56-Voorblad!$F$41)/$U114-SUM($EE114:FL114)=1,1,0))))</f>
        <v>0</v>
      </c>
      <c r="FN114" s="8">
        <f>IF(FN$56-Voorblad!$F$41&gt;Voorblad!$K$41,0,IF($U114=0,0,IF($U114&lt;1,1/$U114,IF((FN$56-Voorblad!$F$41)/$U114-SUM($EE114:FM114)=1,1,0))))</f>
        <v>0</v>
      </c>
      <c r="FO114" s="8">
        <f>IF(FO$56-Voorblad!$F$41&gt;Voorblad!$K$41,0,IF($U114=0,0,IF($U114&lt;1,1/$U114,IF((FO$56-Voorblad!$F$41)/$U114-SUM($EE114:FN114)=1,1,0))))</f>
        <v>0</v>
      </c>
      <c r="FP114" s="8">
        <f>IF(FP$56-Voorblad!$F$41&gt;Voorblad!$K$41,0,IF($U114=0,0,IF($U114&lt;1,1/$U114,IF((FP$56-Voorblad!$F$41)/$U114-SUM($EE114:FO114)=1,1,0))))</f>
        <v>0</v>
      </c>
      <c r="FQ114" s="8">
        <f>IF(FQ$56-Voorblad!$F$41&gt;Voorblad!$K$41,0,IF($U114=0,0,IF($U114&lt;1,1/$U114,IF((FQ$56-Voorblad!$F$41)/$U114-SUM($EE114:FP114)=1,1,0))))</f>
        <v>0</v>
      </c>
      <c r="FR114" s="8">
        <f>IF(FR$56-Voorblad!$F$41&gt;Voorblad!$K$41,0,IF($U114=0,0,IF($U114&lt;1,1/$U114,IF((FR$56-Voorblad!$F$41)/$U114-SUM($EE114:FQ114)=1,1,0))))</f>
        <v>0</v>
      </c>
      <c r="FS114" s="8">
        <f>IF(FS$56-Voorblad!$F$41&gt;Voorblad!$K$41,0,IF($U114=0,0,IF($U114&lt;1,1/$U114,IF((FS$56-Voorblad!$F$41)/$U114-SUM($EE114:FR114)=1,1,0))))</f>
        <v>0</v>
      </c>
      <c r="FT114" s="8">
        <f>IF(FT$56-Voorblad!$F$41&gt;Voorblad!$K$41,0,IF($U114=0,0,IF($U114&lt;1,1/$U114,IF((FT$56-Voorblad!$F$41)/$U114-SUM($EE114:FS114)=1,1,0))))</f>
        <v>0</v>
      </c>
      <c r="FU114" s="8">
        <f>IF(FU$56-Voorblad!$F$41&gt;Voorblad!$K$41,0,IF($U114=0,0,IF($U114&lt;1,1/$U114,IF((FU$56-Voorblad!$F$41)/$U114-SUM($EE114:FT114)=1,1,0))))</f>
        <v>0</v>
      </c>
      <c r="FV114" s="8">
        <f>IF(FV$56-Voorblad!$F$41&gt;Voorblad!$K$41,0,IF($U114=0,0,IF($U114&lt;1,1/$U114,IF((FV$56-Voorblad!$F$41)/$U114-SUM($EE114:FU114)=1,1,0))))</f>
        <v>0</v>
      </c>
      <c r="FW114" s="8">
        <f>IF(FW$56-Voorblad!$F$41&gt;Voorblad!$K$41,0,IF($U114=0,0,IF($U114&lt;1,1/$U114,IF((FW$56-Voorblad!$F$41)/$U114-SUM($EE114:FV114)=1,1,0))))</f>
        <v>0</v>
      </c>
      <c r="FX114" s="8">
        <f>IF(FX$56-Voorblad!$F$41&gt;Voorblad!$K$41,0,IF($U114=0,0,IF($U114&lt;1,1/$U114,IF((FX$56-Voorblad!$F$41)/$U114-SUM($EE114:FW114)=1,1,0))))</f>
        <v>0</v>
      </c>
      <c r="FY114" s="8">
        <f>IF(FY$56-Voorblad!$F$41&gt;Voorblad!$K$41,0,IF($U114=0,0,IF($U114&lt;1,1/$U114,IF((FY$56-Voorblad!$F$41)/$U114-SUM($EE114:FX114)=1,1,0))))</f>
        <v>1</v>
      </c>
      <c r="FZ114" s="8">
        <f>IF(FZ$56-Voorblad!$F$41&gt;Voorblad!$K$41,0,IF($U114=0,0,IF($U114&lt;1,1/$U114,IF((FZ$56-Voorblad!$F$41)/$U114-SUM($EE114:FY114)=1,1,0))))</f>
        <v>0</v>
      </c>
      <c r="GA114" s="8">
        <f>IF(GA$56-Voorblad!$F$41&gt;Voorblad!$K$41,0,IF($U114=0,0,IF($U114&lt;1,1/$U114,IF((GA$56-Voorblad!$F$41)/$U114-SUM($EE114:FZ114)=1,1,0))))</f>
        <v>0</v>
      </c>
      <c r="GB114" s="8">
        <f>IF(GB$56-Voorblad!$F$41&gt;Voorblad!$K$41,0,IF($U114=0,0,IF($U114&lt;1,1/$U114,IF((GB$56-Voorblad!$F$41)/$U114-SUM($EE114:GA114)=1,1,0))))</f>
        <v>0</v>
      </c>
      <c r="GC114" s="8">
        <f>IF(GC$56-Voorblad!$F$41&gt;Voorblad!$K$41,0,IF($U114=0,0,IF($U114&lt;1,1/$U114,IF((GC$56-Voorblad!$F$41)/$U114-SUM($EE114:GB114)=1,1,0))))</f>
        <v>0</v>
      </c>
      <c r="GD114" s="8">
        <f>IF(GD$56-Voorblad!$F$41&gt;Voorblad!$K$41,0,IF($U114=0,0,IF($U114&lt;1,1/$U114,IF((GD$56-Voorblad!$F$41)/$U114-SUM($EE114:GC114)=1,1,0))))</f>
        <v>0</v>
      </c>
      <c r="GE114" s="8">
        <f>IF(GE$56-Voorblad!$F$41&gt;Voorblad!$K$41,0,IF($U114=0,0,IF($U114&lt;1,1/$U114,IF((GE$56-Voorblad!$F$41)/$U114-SUM($EE114:GD114)=1,1,0))))</f>
        <v>0</v>
      </c>
      <c r="GF114" s="8">
        <f>IF(GF$56-Voorblad!$F$41&gt;Voorblad!$K$41,0,IF($U114=0,0,IF($U114&lt;1,1/$U114,IF((GF$56-Voorblad!$F$41)/$U114-SUM($EE114:GE114)=1,1,0))))</f>
        <v>0</v>
      </c>
      <c r="GG114" s="8">
        <f>IF(GG$56-Voorblad!$F$41&gt;Voorblad!$K$41,0,IF($U114=0,0,IF($U114&lt;1,1/$U114,IF((GG$56-Voorblad!$F$41)/$U114-SUM($EE114:GF114)=1,1,0))))</f>
        <v>0</v>
      </c>
      <c r="GH114" s="8">
        <f>IF(GH$56-Voorblad!$F$41&gt;Voorblad!$K$41,0,IF($U114=0,0,IF($U114&lt;1,1/$U114,IF((GH$56-Voorblad!$F$41)/$U114-SUM($EE114:GG114)=1,1,0))))</f>
        <v>0</v>
      </c>
      <c r="GI114" s="8">
        <f>IF(GI$56-Voorblad!$F$41&gt;Voorblad!$K$41,0,IF($U114=0,0,IF($U114&lt;1,1/$U114,IF((GI$56-Voorblad!$F$41)/$U114-SUM($EE114:GH114)=1,1,0))))</f>
        <v>0</v>
      </c>
      <c r="GJ114" s="8">
        <f>IF(GJ$56-Voorblad!$F$41&gt;Voorblad!$K$41,0,IF($U114=0,0,IF($U114&lt;1,1/$U114,IF((GJ$56-Voorblad!$F$41)/$U114-SUM($EE114:GI114)=1,1,0))))</f>
        <v>0</v>
      </c>
      <c r="GK114" s="8">
        <f>IF(GK$56-Voorblad!$F$41&gt;Voorblad!$K$41,0,IF($U114=0,0,IF($U114&lt;1,1/$U114,IF((GK$56-Voorblad!$F$41)/$U114-SUM($EE114:GJ114)=1,1,0))))</f>
        <v>0</v>
      </c>
      <c r="GL114" s="8">
        <f>IF(GL$56-Voorblad!$F$41&gt;Voorblad!$K$41,0,IF($U114=0,0,IF($U114&lt;1,1/$U114,IF((GL$56-Voorblad!$F$41)/$U114-SUM($EE114:GK114)=1,1,0))))</f>
        <v>0</v>
      </c>
      <c r="GM114" s="8">
        <f>IF(GM$56-Voorblad!$F$41&gt;Voorblad!$K$41,0,IF($U114=0,0,IF($U114&lt;1,1/$U114,IF((GM$56-Voorblad!$F$41)/$U114-SUM($EE114:GL114)=1,1,0))))</f>
        <v>0</v>
      </c>
      <c r="GN114" s="8">
        <f>IF(GN$56-Voorblad!$F$41&gt;Voorblad!$K$41,0,IF($U114=0,0,IF($U114&lt;1,1/$U114,IF((GN$56-Voorblad!$F$41)/$U114-SUM($EE114:GM114)=1,1,0))))</f>
        <v>1</v>
      </c>
      <c r="GO114" s="8">
        <f>IF(GO$56-Voorblad!$F$41&gt;Voorblad!$K$41,0,IF($U114=0,0,IF($U114&lt;1,1/$U114,IF((GO$56-Voorblad!$F$41)/$U114-SUM($EE114:GN114)=1,1,0))))</f>
        <v>0</v>
      </c>
      <c r="GP114" s="8">
        <f>IF(GP$56-Voorblad!$F$41&gt;Voorblad!$K$41,0,IF($U114=0,0,IF($U114&lt;1,1/$U114,IF((GP$56-Voorblad!$F$41)/$U114-SUM($EE114:GO114)=1,1,0))))</f>
        <v>0</v>
      </c>
      <c r="GQ114" s="8">
        <f>IF(GQ$56-Voorblad!$F$41&gt;Voorblad!$K$41,0,IF($U114=0,0,IF($U114&lt;1,1/$U114,IF((GQ$56-Voorblad!$F$41)/$U114-SUM($EE114:GP114)=1,1,0))))</f>
        <v>0</v>
      </c>
      <c r="GR114" s="8">
        <f>IF(GR$56-Voorblad!$F$41&gt;Voorblad!$K$41,0,IF($U114=0,0,IF($U114&lt;1,1/$U114,IF((GR$56-Voorblad!$F$41)/$U114-SUM($EE114:GQ114)=1,1,0))))</f>
        <v>0</v>
      </c>
      <c r="GS114" s="8">
        <f>IF(GS$56-Voorblad!$F$41&gt;Voorblad!$K$41,0,IF($U114=0,0,IF($U114&lt;1,1/$U114,IF((GS$56-Voorblad!$F$41)/$U114-SUM($EE114:GR114)=1,1,0))))</f>
        <v>0</v>
      </c>
      <c r="GT114" s="8">
        <f>IF(GT$56-Voorblad!$F$41&gt;Voorblad!$K$41,0,IF($U114=0,0,IF($U114&lt;1,1/$U114,IF((GT$56-Voorblad!$F$41)/$U114-SUM($EE114:GS114)=1,1,0))))</f>
        <v>0</v>
      </c>
      <c r="GU114" s="8">
        <f>IF(GU$56-Voorblad!$F$41&gt;Voorblad!$K$41,0,IF($U114=0,0,IF($U114&lt;1,1/$U114,IF((GU$56-Voorblad!$F$41)/$U114-SUM($EE114:GT114)=1,1,0))))</f>
        <v>0</v>
      </c>
      <c r="GV114" s="8">
        <f>IF(GV$56-Voorblad!$F$41&gt;Voorblad!$K$41,0,IF($U114=0,0,IF($U114&lt;1,1/$U114,IF((GV$56-Voorblad!$F$41)/$U114-SUM($EE114:GU114)=1,1,0))))</f>
        <v>0</v>
      </c>
      <c r="GW114" s="8">
        <f>IF(GW$56-Voorblad!$F$41&gt;Voorblad!$K$41,0,IF($U114=0,0,IF($U114&lt;1,1/$U114,IF((GW$56-Voorblad!$F$41)/$U114-SUM($EE114:GV114)=1,1,0))))</f>
        <v>0</v>
      </c>
      <c r="GX114" s="8">
        <f>IF(GX$56-Voorblad!$F$41&gt;Voorblad!$K$41,0,IF($U114=0,0,IF($U114&lt;1,1/$U114,IF((GX$56-Voorblad!$F$41)/$U114-SUM($EE114:GW114)=1,1,0))))</f>
        <v>0</v>
      </c>
      <c r="GY114" s="8">
        <f>IF(GY$56-Voorblad!$F$41&gt;Voorblad!$K$41,0,IF($U114=0,0,IF($U114&lt;1,1/$U114,IF((GY$56-Voorblad!$F$41)/$U114-SUM($EE114:GX114)=1,1,0))))</f>
        <v>0</v>
      </c>
      <c r="GZ114" s="8">
        <f>IF(GZ$56-Voorblad!$F$41&gt;Voorblad!$K$41,0,IF($U114=0,0,IF($U114&lt;1,1/$U114,IF((GZ$56-Voorblad!$F$41)/$U114-SUM($EE114:GY114)=1,1,0))))</f>
        <v>0</v>
      </c>
      <c r="HA114" s="8">
        <f>IF(HA$56-Voorblad!$F$41&gt;Voorblad!$K$41,0,IF($U114=0,0,IF($U114&lt;1,1/$U114,IF((HA$56-Voorblad!$F$41)/$U114-SUM($EE114:GZ114)=1,1,0))))</f>
        <v>0</v>
      </c>
      <c r="HB114" s="8">
        <f>IF(HB$56-Voorblad!$F$41&gt;Voorblad!$K$41,0,IF($U114=0,0,IF($U114&lt;1,1/$U114,IF((HB$56-Voorblad!$F$41)/$U114-SUM($EE114:HA114)=1,1,0))))</f>
        <v>0</v>
      </c>
      <c r="HC114" s="8">
        <f>IF(HC$56-Voorblad!$F$41&gt;Voorblad!$K$41,0,IF($U114=0,0,IF($U114&lt;1,1/$U114,IF((HC$56-Voorblad!$F$41)/$U114-SUM($EE114:HB114)=1,1,0))))</f>
        <v>0</v>
      </c>
      <c r="HD114" s="8">
        <f>IF(HD$56-Voorblad!$F$41&gt;Voorblad!$K$41,0,IF($U114=0,0,IF($U114&lt;1,1/$U114,IF((HD$56-Voorblad!$F$41)/$U114-SUM($EE114:HC114)=1,1,0))))</f>
        <v>0</v>
      </c>
      <c r="HE114" s="8">
        <f>IF(HE$56-Voorblad!$F$41&gt;Voorblad!$K$41,0,IF($U114=0,0,IF($U114&lt;1,1/$U114,IF((HE$56-Voorblad!$F$41)/$U114-SUM($EE114:HD114)=1,1,0))))</f>
        <v>0</v>
      </c>
      <c r="HF114" s="8">
        <f>IF(HF$56-Voorblad!$F$41&gt;Voorblad!$K$41,0,IF($U114=0,0,IF($U114&lt;1,1/$U114,IF((HF$56-Voorblad!$F$41)/$U114-SUM($EE114:HE114)=1,1,0))))</f>
        <v>0</v>
      </c>
      <c r="HG114" s="8">
        <f>IF(HG$56-Voorblad!$F$41&gt;Voorblad!$K$41,0,IF($U114=0,0,IF($U114&lt;1,1/$U114,IF((HG$56-Voorblad!$F$41)/$U114-SUM($EE114:HF114)=1,1,0))))</f>
        <v>0</v>
      </c>
      <c r="HH114" s="8">
        <f>IF(HH$56-Voorblad!$F$41&gt;Voorblad!$K$41,0,IF($U114=0,0,IF($U114&lt;1,1/$U114,IF((HH$56-Voorblad!$F$41)/$U114-SUM($EE114:HG114)=1,1,0))))</f>
        <v>0</v>
      </c>
      <c r="HI114" s="8">
        <f>IF(HI$56-Voorblad!$F$41&gt;Voorblad!$K$41,0,IF($U114=0,0,IF($U114&lt;1,1/$U114,IF((HI$56-Voorblad!$F$41)/$U114-SUM($EE114:HH114)=1,1,0))))</f>
        <v>0</v>
      </c>
      <c r="HJ114" s="8">
        <f>IF(HJ$56-Voorblad!$F$41&gt;Voorblad!$K$41,0,IF($U114=0,0,IF($U114&lt;1,1/$U114,IF((HJ$56-Voorblad!$F$41)/$U114-SUM($EE114:HI114)=1,1,0))))</f>
        <v>0</v>
      </c>
      <c r="HK114" s="8">
        <f>IF(HK$56-Voorblad!$F$41&gt;Voorblad!$K$41,0,IF($U114=0,0,IF($U114&lt;1,1/$U114,IF((HK$56-Voorblad!$F$41)/$U114-SUM($EE114:HJ114)=1,1,0))))</f>
        <v>0</v>
      </c>
      <c r="HL114" s="8">
        <f>IF(HL$56-Voorblad!$F$41&gt;Voorblad!$K$41,0,IF($U114=0,0,IF($U114&lt;1,1/$U114,IF((HL$56-Voorblad!$F$41)/$U114-SUM($EE114:HK114)=1,1,0))))</f>
        <v>0</v>
      </c>
      <c r="HM114" s="8">
        <f>IF(HM$56-Voorblad!$F$41&gt;Voorblad!$K$41,0,IF($U114=0,0,IF($U114&lt;1,1/$U114,IF((HM$56-Voorblad!$F$41)/$U114-SUM($EE114:HL114)=1,1,0))))</f>
        <v>0</v>
      </c>
      <c r="HN114" s="8">
        <f>IF(HN$56-Voorblad!$F$41&gt;Voorblad!$K$41,0,IF($U114=0,0,IF($U114&lt;1,1/$U114,IF((HN$56-Voorblad!$F$41)/$U114-SUM($EE114:HM114)=1,1,0))))</f>
        <v>0</v>
      </c>
      <c r="HO114" s="8">
        <f>IF(HO$56-Voorblad!$F$41&gt;Voorblad!$K$41,0,IF($U114=0,0,IF($U114&lt;1,1/$U114,IF((HO$56-Voorblad!$F$41)/$U114-SUM($EE114:HN114)=1,1,0))))</f>
        <v>0</v>
      </c>
      <c r="HP114" s="8">
        <f>IF(HP$56-Voorblad!$F$41&gt;Voorblad!$K$41,0,IF($U114=0,0,IF($U114&lt;1,1/$U114,IF((HP$56-Voorblad!$F$41)/$U114-SUM($EE114:HO114)=1,1,0))))</f>
        <v>0</v>
      </c>
      <c r="HQ114" s="8">
        <f>IF(HQ$56-Voorblad!$F$41&gt;Voorblad!$K$41,0,IF($U114=0,0,IF($U114&lt;1,1/$U114,IF((HQ$56-Voorblad!$F$41)/$U114-SUM($EE114:HP114)=1,1,0))))</f>
        <v>0</v>
      </c>
      <c r="HR114" s="8">
        <f>IF(HR$56-Voorblad!$F$41&gt;Voorblad!$K$41,0,IF($U114=0,0,IF($U114&lt;1,1/$U114,IF((HR$56-Voorblad!$F$41)/$U114-SUM($EE114:HQ114)=1,1,0))))</f>
        <v>0</v>
      </c>
      <c r="HS114" s="8">
        <f>IF(HS$56-Voorblad!$F$41&gt;Voorblad!$K$41,0,IF($U114=0,0,IF($U114&lt;1,1/$U114,IF((HS$56-Voorblad!$F$41)/$U114-SUM($EE114:HR114)=1,1,0))))</f>
        <v>0</v>
      </c>
      <c r="HT114" s="8">
        <f>IF(HT$56-Voorblad!$F$41&gt;Voorblad!$K$41,0,IF($U114=0,0,IF($U114&lt;1,1/$U114,IF((HT$56-Voorblad!$F$41)/$U114-SUM($EE114:HS114)=1,1,0))))</f>
        <v>0</v>
      </c>
      <c r="HU114" s="8">
        <f>IF(HU$56-Voorblad!$F$41&gt;Voorblad!$K$41,0,IF($U114=0,0,IF($U114&lt;1,1/$U114,IF((HU$56-Voorblad!$F$41)/$U114-SUM($EE114:HT114)=1,1,0))))</f>
        <v>0</v>
      </c>
      <c r="HV114" s="8">
        <f>IF(HV$56-Voorblad!$F$41&gt;Voorblad!$K$41,0,IF($U114=0,0,IF($U114&lt;1,1/$U114,IF((HV$56-Voorblad!$F$41)/$U114-SUM($EE114:HU114)=1,1,0))))</f>
        <v>0</v>
      </c>
      <c r="HW114" s="8">
        <f>IF(HW$56-Voorblad!$F$41&gt;Voorblad!$K$41,0,IF($U114=0,0,IF($U114&lt;1,1/$U114,IF((HW$56-Voorblad!$F$41)/$U114-SUM($EE114:HV114)=1,1,0))))</f>
        <v>0</v>
      </c>
      <c r="HX114" s="8">
        <f>IF(HX$56-Voorblad!$F$41&gt;Voorblad!$K$41,0,IF($U114=0,0,IF($U114&lt;1,1/$U114,IF((HX$56-Voorblad!$F$41)/$U114-SUM($EE114:HW114)=1,1,0))))</f>
        <v>0</v>
      </c>
      <c r="HY114" s="8">
        <f>IF(HY$56-Voorblad!$F$41&gt;Voorblad!$K$41,0,IF($U114=0,0,IF($U114&lt;1,1/$U114,IF((HY$56-Voorblad!$F$41)/$U114-SUM($EE114:HX114)=1,1,0))))</f>
        <v>0</v>
      </c>
      <c r="HZ114" s="8">
        <f>IF(HZ$56-Voorblad!$F$41&gt;Voorblad!$K$41,0,IF($U114=0,0,IF($U114&lt;1,1/$U114,IF((HZ$56-Voorblad!$F$41)/$U114-SUM($EE114:HY114)=1,1,0))))</f>
        <v>0</v>
      </c>
      <c r="IA114" s="8">
        <f>IF(IA$56-Voorblad!$F$41&gt;Voorblad!$K$41,0,IF($U114=0,0,IF($U114&lt;1,1/$U114,IF((IA$56-Voorblad!$F$41)/$U114-SUM($EE114:HZ114)=1,1,0))))</f>
        <v>0</v>
      </c>
      <c r="IB114" s="8">
        <f>IF(IB$56-Voorblad!$F$41&gt;Voorblad!$K$41,0,IF($U114=0,0,IF($U114&lt;1,1/$U114,IF((IB$56-Voorblad!$F$41)/$U114-SUM($EE114:IA114)=1,1,0))))</f>
        <v>0</v>
      </c>
    </row>
    <row r="115" spans="2:236" s="14" customFormat="1" ht="12" customHeight="1" outlineLevel="1" x14ac:dyDescent="0.25">
      <c r="B115" s="14">
        <v>3</v>
      </c>
      <c r="F115" s="14" t="s">
        <v>23</v>
      </c>
      <c r="I115" s="1" t="s">
        <v>277</v>
      </c>
      <c r="K115" s="14" t="s">
        <v>162</v>
      </c>
      <c r="O115" s="14" t="s">
        <v>158</v>
      </c>
      <c r="P115" s="14" t="s">
        <v>199</v>
      </c>
      <c r="Q115" s="84">
        <f>2.5%*2*15.9</f>
        <v>0.79500000000000004</v>
      </c>
      <c r="R115" s="14" t="s">
        <v>34</v>
      </c>
      <c r="S115" s="21">
        <f>$H$20*1000</f>
        <v>1770</v>
      </c>
      <c r="T115" s="21">
        <f t="shared" si="20"/>
        <v>1407.15</v>
      </c>
      <c r="U115" s="14">
        <v>15</v>
      </c>
      <c r="Y115" s="21">
        <f t="shared" si="22"/>
        <v>2425.4569404497006</v>
      </c>
      <c r="Z115" s="149"/>
      <c r="AA115" s="149"/>
      <c r="AC115" s="9">
        <f>$Y115*(Voorblad!$K$44*(1+Voorblad!$K$44)^Voorblad!$K$41)/((1+Voorblad!$K$44)^Voorblad!$K$41-1)</f>
        <v>72.607701478867213</v>
      </c>
      <c r="AE115" s="21">
        <f>EF115*($Q115*$S115)/(1+Voorblad!$K$44)^(AE$56-Voorblad!$F$41)</f>
        <v>0</v>
      </c>
      <c r="AF115" s="21">
        <f>EG115*($Q115*$S115)/(1+Voorblad!$K$44)^(AF$56-Voorblad!$F$41)</f>
        <v>0</v>
      </c>
      <c r="AG115" s="21">
        <f>EH115*($Q115*$S115)/(1+Voorblad!$K$44)^(AG$56-Voorblad!$F$41)</f>
        <v>0</v>
      </c>
      <c r="AH115" s="21">
        <f>EI115*($Q115*$S115)/(1+Voorblad!$K$44)^(AH$56-Voorblad!$F$41)</f>
        <v>0</v>
      </c>
      <c r="AI115" s="21">
        <f>EJ115*($Q115*$S115)/(1+Voorblad!$K$44)^(AI$56-Voorblad!$F$41)</f>
        <v>0</v>
      </c>
      <c r="AJ115" s="21">
        <f>EK115*($Q115*$S115)/(1+Voorblad!$K$44)^(AJ$56-Voorblad!$F$41)</f>
        <v>0</v>
      </c>
      <c r="AK115" s="21">
        <f>EL115*($Q115*$S115)/(1+Voorblad!$K$44)^(AK$56-Voorblad!$F$41)</f>
        <v>0</v>
      </c>
      <c r="AL115" s="21">
        <f>EM115*($Q115*$S115)/(1+Voorblad!$K$44)^(AL$56-Voorblad!$F$41)</f>
        <v>0</v>
      </c>
      <c r="AM115" s="21">
        <f>EN115*($Q115*$S115)/(1+Voorblad!$K$44)^(AM$56-Voorblad!$F$41)</f>
        <v>0</v>
      </c>
      <c r="AN115" s="21">
        <f>EO115*($Q115*$S115)/(1+Voorblad!$K$44)^(AN$56-Voorblad!$F$41)</f>
        <v>0</v>
      </c>
      <c r="AO115" s="21">
        <f>EP115*($Q115*$S115)/(1+Voorblad!$K$44)^(AO$56-Voorblad!$F$41)</f>
        <v>0</v>
      </c>
      <c r="AP115" s="21">
        <f>EQ115*($Q115*$S115)/(1+Voorblad!$K$44)^(AP$56-Voorblad!$F$41)</f>
        <v>0</v>
      </c>
      <c r="AQ115" s="21">
        <f>ER115*($Q115*$S115)/(1+Voorblad!$K$44)^(AQ$56-Voorblad!$F$41)</f>
        <v>0</v>
      </c>
      <c r="AR115" s="21">
        <f>ES115*($Q115*$S115)/(1+Voorblad!$K$44)^(AR$56-Voorblad!$F$41)</f>
        <v>0</v>
      </c>
      <c r="AS115" s="21">
        <f>ET115*($Q115*$S115)/(1+Voorblad!$K$44)^(AS$56-Voorblad!$F$41)</f>
        <v>0</v>
      </c>
      <c r="AT115" s="21">
        <f>EU115*($Q115*$S115)/(1+Voorblad!$K$44)^(AT$56-Voorblad!$F$41)</f>
        <v>971.58860830597894</v>
      </c>
      <c r="AU115" s="21">
        <f>EV115*($Q115*$S115)/(1+Voorblad!$K$44)^(AU$56-Voorblad!$F$41)</f>
        <v>0</v>
      </c>
      <c r="AV115" s="21">
        <f>EW115*($Q115*$S115)/(1+Voorblad!$K$44)^(AV$56-Voorblad!$F$41)</f>
        <v>0</v>
      </c>
      <c r="AW115" s="21">
        <f>EX115*($Q115*$S115)/(1+Voorblad!$K$44)^(AW$56-Voorblad!$F$41)</f>
        <v>0</v>
      </c>
      <c r="AX115" s="21">
        <f>EY115*($Q115*$S115)/(1+Voorblad!$K$44)^(AX$56-Voorblad!$F$41)</f>
        <v>0</v>
      </c>
      <c r="AY115" s="21">
        <f>EZ115*($Q115*$S115)/(1+Voorblad!$K$44)^(AY$56-Voorblad!$F$41)</f>
        <v>0</v>
      </c>
      <c r="AZ115" s="21">
        <f>FA115*($Q115*$S115)/(1+Voorblad!$K$44)^(AZ$56-Voorblad!$F$41)</f>
        <v>0</v>
      </c>
      <c r="BA115" s="21">
        <f>FB115*($Q115*$S115)/(1+Voorblad!$K$44)^(BA$56-Voorblad!$F$41)</f>
        <v>0</v>
      </c>
      <c r="BB115" s="21">
        <f>FC115*($Q115*$S115)/(1+Voorblad!$K$44)^(BB$56-Voorblad!$F$41)</f>
        <v>0</v>
      </c>
      <c r="BC115" s="21">
        <f>FD115*($Q115*$S115)/(1+Voorblad!$K$44)^(BC$56-Voorblad!$F$41)</f>
        <v>0</v>
      </c>
      <c r="BD115" s="21">
        <f>FE115*($Q115*$S115)/(1+Voorblad!$K$44)^(BD$56-Voorblad!$F$41)</f>
        <v>0</v>
      </c>
      <c r="BE115" s="21">
        <f>FF115*($Q115*$S115)/(1+Voorblad!$K$44)^(BE$56-Voorblad!$F$41)</f>
        <v>0</v>
      </c>
      <c r="BF115" s="21">
        <f>FG115*($Q115*$S115)/(1+Voorblad!$K$44)^(BF$56-Voorblad!$F$41)</f>
        <v>0</v>
      </c>
      <c r="BG115" s="21">
        <f>FH115*($Q115*$S115)/(1+Voorblad!$K$44)^(BG$56-Voorblad!$F$41)</f>
        <v>0</v>
      </c>
      <c r="BH115" s="21">
        <f>FI115*($Q115*$S115)/(1+Voorblad!$K$44)^(BH$56-Voorblad!$F$41)</f>
        <v>0</v>
      </c>
      <c r="BI115" s="21">
        <f>FJ115*($Q115*$S115)/(1+Voorblad!$K$44)^(BI$56-Voorblad!$F$41)</f>
        <v>670.84846945240315</v>
      </c>
      <c r="BJ115" s="21">
        <f>FK115*($Q115*$S115)/(1+Voorblad!$K$44)^(BJ$56-Voorblad!$F$41)</f>
        <v>0</v>
      </c>
      <c r="BK115" s="21">
        <f>FL115*($Q115*$S115)/(1+Voorblad!$K$44)^(BK$56-Voorblad!$F$41)</f>
        <v>0</v>
      </c>
      <c r="BL115" s="21">
        <f>FM115*($Q115*$S115)/(1+Voorblad!$K$44)^(BL$56-Voorblad!$F$41)</f>
        <v>0</v>
      </c>
      <c r="BM115" s="21">
        <f>FN115*($Q115*$S115)/(1+Voorblad!$K$44)^(BM$56-Voorblad!$F$41)</f>
        <v>0</v>
      </c>
      <c r="BN115" s="21">
        <f>FO115*($Q115*$S115)/(1+Voorblad!$K$44)^(BN$56-Voorblad!$F$41)</f>
        <v>0</v>
      </c>
      <c r="BO115" s="21">
        <f>FP115*($Q115*$S115)/(1+Voorblad!$K$44)^(BO$56-Voorblad!$F$41)</f>
        <v>0</v>
      </c>
      <c r="BP115" s="21">
        <f>FQ115*($Q115*$S115)/(1+Voorblad!$K$44)^(BP$56-Voorblad!$F$41)</f>
        <v>0</v>
      </c>
      <c r="BQ115" s="21">
        <f>FR115*($Q115*$S115)/(1+Voorblad!$K$44)^(BQ$56-Voorblad!$F$41)</f>
        <v>0</v>
      </c>
      <c r="BR115" s="21">
        <f>FS115*($Q115*$S115)/(1+Voorblad!$K$44)^(BR$56-Voorblad!$F$41)</f>
        <v>0</v>
      </c>
      <c r="BS115" s="21">
        <f>FT115*($Q115*$S115)/(1+Voorblad!$K$44)^(BS$56-Voorblad!$F$41)</f>
        <v>0</v>
      </c>
      <c r="BT115" s="21">
        <f>FU115*($Q115*$S115)/(1+Voorblad!$K$44)^(BT$56-Voorblad!$F$41)</f>
        <v>0</v>
      </c>
      <c r="BU115" s="21">
        <f>FV115*($Q115*$S115)/(1+Voorblad!$K$44)^(BU$56-Voorblad!$F$41)</f>
        <v>0</v>
      </c>
      <c r="BV115" s="21">
        <f>FW115*($Q115*$S115)/(1+Voorblad!$K$44)^(BV$56-Voorblad!$F$41)</f>
        <v>0</v>
      </c>
      <c r="BW115" s="21">
        <f>FX115*($Q115*$S115)/(1+Voorblad!$K$44)^(BW$56-Voorblad!$F$41)</f>
        <v>0</v>
      </c>
      <c r="BX115" s="21">
        <f>FY115*($Q115*$S115)/(1+Voorblad!$K$44)^(BX$56-Voorblad!$F$41)</f>
        <v>463.19776201503487</v>
      </c>
      <c r="BY115" s="21">
        <f>FZ115*($Q115*$S115)/(1+Voorblad!$K$44)^(BY$56-Voorblad!$F$41)</f>
        <v>0</v>
      </c>
      <c r="BZ115" s="21">
        <f>GA115*($Q115*$S115)/(1+Voorblad!$K$44)^(BZ$56-Voorblad!$F$41)</f>
        <v>0</v>
      </c>
      <c r="CA115" s="21">
        <f>GB115*($Q115*$S115)/(1+Voorblad!$K$44)^(CA$56-Voorblad!$F$41)</f>
        <v>0</v>
      </c>
      <c r="CB115" s="21">
        <f>GC115*($Q115*$S115)/(1+Voorblad!$K$44)^(CB$56-Voorblad!$F$41)</f>
        <v>0</v>
      </c>
      <c r="CC115" s="21">
        <f>GD115*($Q115*$S115)/(1+Voorblad!$K$44)^(CC$56-Voorblad!$F$41)</f>
        <v>0</v>
      </c>
      <c r="CD115" s="21">
        <f>GE115*($Q115*$S115)/(1+Voorblad!$K$44)^(CD$56-Voorblad!$F$41)</f>
        <v>0</v>
      </c>
      <c r="CE115" s="21">
        <f>GF115*($Q115*$S115)/(1+Voorblad!$K$44)^(CE$56-Voorblad!$F$41)</f>
        <v>0</v>
      </c>
      <c r="CF115" s="21">
        <f>GG115*($Q115*$S115)/(1+Voorblad!$K$44)^(CF$56-Voorblad!$F$41)</f>
        <v>0</v>
      </c>
      <c r="CG115" s="21">
        <f>GH115*($Q115*$S115)/(1+Voorblad!$K$44)^(CG$56-Voorblad!$F$41)</f>
        <v>0</v>
      </c>
      <c r="CH115" s="21">
        <f>GI115*($Q115*$S115)/(1+Voorblad!$K$44)^(CH$56-Voorblad!$F$41)</f>
        <v>0</v>
      </c>
      <c r="CI115" s="21">
        <f>GJ115*($Q115*$S115)/(1+Voorblad!$K$44)^(CI$56-Voorblad!$F$41)</f>
        <v>0</v>
      </c>
      <c r="CJ115" s="21">
        <f>GK115*($Q115*$S115)/(1+Voorblad!$K$44)^(CJ$56-Voorblad!$F$41)</f>
        <v>0</v>
      </c>
      <c r="CK115" s="21">
        <f>GL115*($Q115*$S115)/(1+Voorblad!$K$44)^(CK$56-Voorblad!$F$41)</f>
        <v>0</v>
      </c>
      <c r="CL115" s="21">
        <f>GM115*($Q115*$S115)/(1+Voorblad!$K$44)^(CL$56-Voorblad!$F$41)</f>
        <v>0</v>
      </c>
      <c r="CM115" s="21">
        <f>GN115*($Q115*$S115)/(1+Voorblad!$K$44)^(CM$56-Voorblad!$F$41)</f>
        <v>319.82210067628307</v>
      </c>
      <c r="CN115" s="21">
        <f>GO115*($Q115*$S115)/(1+Voorblad!$K$44)^(CN$56-Voorblad!$F$41)</f>
        <v>0</v>
      </c>
      <c r="CO115" s="21">
        <f>GP115*($Q115*$S115)/(1+Voorblad!$K$44)^(CO$56-Voorblad!$F$41)</f>
        <v>0</v>
      </c>
      <c r="CP115" s="21">
        <f>GQ115*($Q115*$S115)/(1+Voorblad!$K$44)^(CP$56-Voorblad!$F$41)</f>
        <v>0</v>
      </c>
      <c r="CQ115" s="21">
        <f>GR115*($Q115*$S115)/(1+Voorblad!$K$44)^(CQ$56-Voorblad!$F$41)</f>
        <v>0</v>
      </c>
      <c r="CR115" s="21">
        <f>GS115*($Q115*$S115)/(1+Voorblad!$K$44)^(CR$56-Voorblad!$F$41)</f>
        <v>0</v>
      </c>
      <c r="CS115" s="21">
        <f>GT115*($Q115*$S115)/(1+Voorblad!$K$44)^(CS$56-Voorblad!$F$41)</f>
        <v>0</v>
      </c>
      <c r="CT115" s="21">
        <f>GU115*($Q115*$S115)/(1+Voorblad!$K$44)^(CT$56-Voorblad!$F$41)</f>
        <v>0</v>
      </c>
      <c r="CU115" s="21">
        <f>GV115*($Q115*$S115)/(1+Voorblad!$K$44)^(CU$56-Voorblad!$F$41)</f>
        <v>0</v>
      </c>
      <c r="CV115" s="21">
        <f>GW115*($Q115*$S115)/(1+Voorblad!$K$44)^(CV$56-Voorblad!$F$41)</f>
        <v>0</v>
      </c>
      <c r="CW115" s="21">
        <f>GX115*($Q115*$S115)/(1+Voorblad!$K$44)^(CW$56-Voorblad!$F$41)</f>
        <v>0</v>
      </c>
      <c r="CX115" s="21">
        <f>GY115*($Q115*$S115)/(1+Voorblad!$K$44)^(CX$56-Voorblad!$F$41)</f>
        <v>0</v>
      </c>
      <c r="CY115" s="21">
        <f>GZ115*($Q115*$S115)/(1+Voorblad!$K$44)^(CY$56-Voorblad!$F$41)</f>
        <v>0</v>
      </c>
      <c r="CZ115" s="21">
        <f>HA115*($Q115*$S115)/(1+Voorblad!$K$44)^(CZ$56-Voorblad!$F$41)</f>
        <v>0</v>
      </c>
      <c r="DA115" s="21">
        <f>HB115*($Q115*$S115)/(1+Voorblad!$K$44)^(DA$56-Voorblad!$F$41)</f>
        <v>0</v>
      </c>
      <c r="DB115" s="21">
        <f>HC115*($Q115*$S115)/(1+Voorblad!$K$44)^(DB$56-Voorblad!$F$41)</f>
        <v>0</v>
      </c>
      <c r="DC115" s="21">
        <f>HD115*($Q115*$S115)/(1+Voorblad!$K$44)^(DC$56-Voorblad!$F$41)</f>
        <v>0</v>
      </c>
      <c r="DD115" s="21">
        <f>HE115*($Q115*$S115)/(1+Voorblad!$K$44)^(DD$56-Voorblad!$F$41)</f>
        <v>0</v>
      </c>
      <c r="DE115" s="21">
        <f>HF115*($Q115*$S115)/(1+Voorblad!$K$44)^(DE$56-Voorblad!$F$41)</f>
        <v>0</v>
      </c>
      <c r="DF115" s="21">
        <f>HG115*($Q115*$S115)/(1+Voorblad!$K$44)^(DF$56-Voorblad!$F$41)</f>
        <v>0</v>
      </c>
      <c r="DG115" s="21">
        <f>HH115*($Q115*$S115)/(1+Voorblad!$K$44)^(DG$56-Voorblad!$F$41)</f>
        <v>0</v>
      </c>
      <c r="DH115" s="21">
        <f>HI115*($Q115*$S115)/(1+Voorblad!$K$44)^(DH$56-Voorblad!$F$41)</f>
        <v>0</v>
      </c>
      <c r="DI115" s="21">
        <f>HJ115*($Q115*$S115)/(1+Voorblad!$K$44)^(DI$56-Voorblad!$F$41)</f>
        <v>0</v>
      </c>
      <c r="DJ115" s="21">
        <f>HK115*($Q115*$S115)/(1+Voorblad!$K$44)^(DJ$56-Voorblad!$F$41)</f>
        <v>0</v>
      </c>
      <c r="DK115" s="21">
        <f>HL115*($Q115*$S115)/(1+Voorblad!$K$44)^(DK$56-Voorblad!$F$41)</f>
        <v>0</v>
      </c>
      <c r="DL115" s="21">
        <f>HM115*($Q115*$S115)/(1+Voorblad!$K$44)^(DL$56-Voorblad!$F$41)</f>
        <v>0</v>
      </c>
      <c r="DM115" s="21">
        <f>HN115*($Q115*$S115)/(1+Voorblad!$K$44)^(DM$56-Voorblad!$F$41)</f>
        <v>0</v>
      </c>
      <c r="DN115" s="21">
        <f>HO115*($Q115*$S115)/(1+Voorblad!$K$44)^(DN$56-Voorblad!$F$41)</f>
        <v>0</v>
      </c>
      <c r="DO115" s="21">
        <f>HP115*($Q115*$S115)/(1+Voorblad!$K$44)^(DO$56-Voorblad!$F$41)</f>
        <v>0</v>
      </c>
      <c r="DP115" s="21">
        <f>HQ115*($Q115*$S115)/(1+Voorblad!$K$44)^(DP$56-Voorblad!$F$41)</f>
        <v>0</v>
      </c>
      <c r="DQ115" s="21">
        <f>HR115*($Q115*$S115)/(1+Voorblad!$K$44)^(DQ$56-Voorblad!$F$41)</f>
        <v>0</v>
      </c>
      <c r="DR115" s="21">
        <f>HS115*($Q115*$S115)/(1+Voorblad!$K$44)^(DR$56-Voorblad!$F$41)</f>
        <v>0</v>
      </c>
      <c r="DS115" s="21">
        <f>HT115*($Q115*$S115)/(1+Voorblad!$K$44)^(DS$56-Voorblad!$F$41)</f>
        <v>0</v>
      </c>
      <c r="DT115" s="21">
        <f>HU115*($Q115*$S115)/(1+Voorblad!$K$44)^(DT$56-Voorblad!$F$41)</f>
        <v>0</v>
      </c>
      <c r="DU115" s="21">
        <f>HV115*($Q115*$S115)/(1+Voorblad!$K$44)^(DU$56-Voorblad!$F$41)</f>
        <v>0</v>
      </c>
      <c r="DV115" s="21">
        <f>HW115*($Q115*$S115)/(1+Voorblad!$K$44)^(DV$56-Voorblad!$F$41)</f>
        <v>0</v>
      </c>
      <c r="DW115" s="21">
        <f>HX115*($Q115*$S115)/(1+Voorblad!$K$44)^(DW$56-Voorblad!$F$41)</f>
        <v>0</v>
      </c>
      <c r="DX115" s="21">
        <f>HY115*($Q115*$S115)/(1+Voorblad!$K$44)^(DX$56-Voorblad!$F$41)</f>
        <v>0</v>
      </c>
      <c r="DY115" s="21">
        <f>HZ115*($Q115*$S115)/(1+Voorblad!$K$44)^(DY$56-Voorblad!$F$41)</f>
        <v>0</v>
      </c>
      <c r="DZ115" s="21">
        <f>IA115*($Q115*$S115)/(1+Voorblad!$K$44)^(DZ$56-Voorblad!$F$41)</f>
        <v>0</v>
      </c>
      <c r="EA115" s="21">
        <f>IB115*($Q115*$S115)/(1+Voorblad!$K$44)^(EA$56-Voorblad!$F$41)</f>
        <v>0</v>
      </c>
      <c r="EB115" s="21">
        <f>IC115*($Q115*$S115)/(1+Voorblad!$K$44)^(EB$56-Voorblad!$F$41)</f>
        <v>0</v>
      </c>
      <c r="EE115" s="14">
        <v>0</v>
      </c>
      <c r="EF115" s="14">
        <f>IF(EF$56-Voorblad!$F$41&gt;Voorblad!$K$41,0,IF($U115=0,0,IF($U115&lt;1,1/$U115,IF((EF$56-Voorblad!$F$41)/$U115-SUM($EE115:EE115)=1,1,0))))</f>
        <v>0</v>
      </c>
      <c r="EG115" s="14">
        <f>IF(EG$56-Voorblad!$F$41&gt;Voorblad!$K$41,0,IF($U115=0,0,IF($U115&lt;1,1/$U115,IF((EG$56-Voorblad!$F$41)/$U115-SUM($EE115:EF115)=1,1,0))))</f>
        <v>0</v>
      </c>
      <c r="EH115" s="14">
        <f>IF(EH$56-Voorblad!$F$41&gt;Voorblad!$K$41,0,IF($U115=0,0,IF($U115&lt;1,1/$U115,IF((EH$56-Voorblad!$F$41)/$U115-SUM($EE115:EG115)=1,1,0))))</f>
        <v>0</v>
      </c>
      <c r="EI115" s="14">
        <f>IF(EI$56-Voorblad!$F$41&gt;Voorblad!$K$41,0,IF($U115=0,0,IF($U115&lt;1,1/$U115,IF((EI$56-Voorblad!$F$41)/$U115-SUM($EE115:EH115)=1,1,0))))</f>
        <v>0</v>
      </c>
      <c r="EJ115" s="14">
        <f>IF(EJ$56-Voorblad!$F$41&gt;Voorblad!$K$41,0,IF($U115=0,0,IF($U115&lt;1,1/$U115,IF((EJ$56-Voorblad!$F$41)/$U115-SUM($EE115:EI115)=1,1,0))))</f>
        <v>0</v>
      </c>
      <c r="EK115" s="14">
        <f>IF(EK$56-Voorblad!$F$41&gt;Voorblad!$K$41,0,IF($U115=0,0,IF($U115&lt;1,1/$U115,IF((EK$56-Voorblad!$F$41)/$U115-SUM($EE115:EJ115)=1,1,0))))</f>
        <v>0</v>
      </c>
      <c r="EL115" s="14">
        <f>IF(EL$56-Voorblad!$F$41&gt;Voorblad!$K$41,0,IF($U115=0,0,IF($U115&lt;1,1/$U115,IF((EL$56-Voorblad!$F$41)/$U115-SUM($EE115:EK115)=1,1,0))))</f>
        <v>0</v>
      </c>
      <c r="EM115" s="14">
        <f>IF(EM$56-Voorblad!$F$41&gt;Voorblad!$K$41,0,IF($U115=0,0,IF($U115&lt;1,1/$U115,IF((EM$56-Voorblad!$F$41)/$U115-SUM($EE115:EL115)=1,1,0))))</f>
        <v>0</v>
      </c>
      <c r="EN115" s="14">
        <f>IF(EN$56-Voorblad!$F$41&gt;Voorblad!$K$41,0,IF($U115=0,0,IF($U115&lt;1,1/$U115,IF((EN$56-Voorblad!$F$41)/$U115-SUM($EE115:EM115)=1,1,0))))</f>
        <v>0</v>
      </c>
      <c r="EO115" s="14">
        <f>IF(EO$56-Voorblad!$F$41&gt;Voorblad!$K$41,0,IF($U115=0,0,IF($U115&lt;1,1/$U115,IF((EO$56-Voorblad!$F$41)/$U115-SUM($EE115:EN115)=1,1,0))))</f>
        <v>0</v>
      </c>
      <c r="EP115" s="14">
        <f>IF(EP$56-Voorblad!$F$41&gt;Voorblad!$K$41,0,IF($U115=0,0,IF($U115&lt;1,1/$U115,IF((EP$56-Voorblad!$F$41)/$U115-SUM($EE115:EO115)=1,1,0))))</f>
        <v>0</v>
      </c>
      <c r="EQ115" s="14">
        <f>IF(EQ$56-Voorblad!$F$41&gt;Voorblad!$K$41,0,IF($U115=0,0,IF($U115&lt;1,1/$U115,IF((EQ$56-Voorblad!$F$41)/$U115-SUM($EE115:EP115)=1,1,0))))</f>
        <v>0</v>
      </c>
      <c r="ER115" s="14">
        <f>IF(ER$56-Voorblad!$F$41&gt;Voorblad!$K$41,0,IF($U115=0,0,IF($U115&lt;1,1/$U115,IF((ER$56-Voorblad!$F$41)/$U115-SUM($EE115:EQ115)=1,1,0))))</f>
        <v>0</v>
      </c>
      <c r="ES115" s="14">
        <f>IF(ES$56-Voorblad!$F$41&gt;Voorblad!$K$41,0,IF($U115=0,0,IF($U115&lt;1,1/$U115,IF((ES$56-Voorblad!$F$41)/$U115-SUM($EE115:ER115)=1,1,0))))</f>
        <v>0</v>
      </c>
      <c r="ET115" s="14">
        <f>IF(ET$56-Voorblad!$F$41&gt;Voorblad!$K$41,0,IF($U115=0,0,IF($U115&lt;1,1/$U115,IF((ET$56-Voorblad!$F$41)/$U115-SUM($EE115:ES115)=1,1,0))))</f>
        <v>0</v>
      </c>
      <c r="EU115" s="14">
        <f>IF(EU$56-Voorblad!$F$41&gt;Voorblad!$K$41,0,IF($U115=0,0,IF($U115&lt;1,1/$U115,IF((EU$56-Voorblad!$F$41)/$U115-SUM($EE115:ET115)=1,1,0))))</f>
        <v>1</v>
      </c>
      <c r="EV115" s="14">
        <f>IF(EV$56-Voorblad!$F$41&gt;Voorblad!$K$41,0,IF($U115=0,0,IF($U115&lt;1,1/$U115,IF((EV$56-Voorblad!$F$41)/$U115-SUM($EE115:EU115)=1,1,0))))</f>
        <v>0</v>
      </c>
      <c r="EW115" s="14">
        <f>IF(EW$56-Voorblad!$F$41&gt;Voorblad!$K$41,0,IF($U115=0,0,IF($U115&lt;1,1/$U115,IF((EW$56-Voorblad!$F$41)/$U115-SUM($EE115:EV115)=1,1,0))))</f>
        <v>0</v>
      </c>
      <c r="EX115" s="14">
        <f>IF(EX$56-Voorblad!$F$41&gt;Voorblad!$K$41,0,IF($U115=0,0,IF($U115&lt;1,1/$U115,IF((EX$56-Voorblad!$F$41)/$U115-SUM($EE115:EW115)=1,1,0))))</f>
        <v>0</v>
      </c>
      <c r="EY115" s="14">
        <f>IF(EY$56-Voorblad!$F$41&gt;Voorblad!$K$41,0,IF($U115=0,0,IF($U115&lt;1,1/$U115,IF((EY$56-Voorblad!$F$41)/$U115-SUM($EE115:EX115)=1,1,0))))</f>
        <v>0</v>
      </c>
      <c r="EZ115" s="14">
        <f>IF(EZ$56-Voorblad!$F$41&gt;Voorblad!$K$41,0,IF($U115=0,0,IF($U115&lt;1,1/$U115,IF((EZ$56-Voorblad!$F$41)/$U115-SUM($EE115:EY115)=1,1,0))))</f>
        <v>0</v>
      </c>
      <c r="FA115" s="14">
        <f>IF(FA$56-Voorblad!$F$41&gt;Voorblad!$K$41,0,IF($U115=0,0,IF($U115&lt;1,1/$U115,IF((FA$56-Voorblad!$F$41)/$U115-SUM($EE115:EZ115)=1,1,0))))</f>
        <v>0</v>
      </c>
      <c r="FB115" s="14">
        <f>IF(FB$56-Voorblad!$F$41&gt;Voorblad!$K$41,0,IF($U115=0,0,IF($U115&lt;1,1/$U115,IF((FB$56-Voorblad!$F$41)/$U115-SUM($EE115:FA115)=1,1,0))))</f>
        <v>0</v>
      </c>
      <c r="FC115" s="14">
        <f>IF(FC$56-Voorblad!$F$41&gt;Voorblad!$K$41,0,IF($U115=0,0,IF($U115&lt;1,1/$U115,IF((FC$56-Voorblad!$F$41)/$U115-SUM($EE115:FB115)=1,1,0))))</f>
        <v>0</v>
      </c>
      <c r="FD115" s="14">
        <f>IF(FD$56-Voorblad!$F$41&gt;Voorblad!$K$41,0,IF($U115=0,0,IF($U115&lt;1,1/$U115,IF((FD$56-Voorblad!$F$41)/$U115-SUM($EE115:FC115)=1,1,0))))</f>
        <v>0</v>
      </c>
      <c r="FE115" s="14">
        <f>IF(FE$56-Voorblad!$F$41&gt;Voorblad!$K$41,0,IF($U115=0,0,IF($U115&lt;1,1/$U115,IF((FE$56-Voorblad!$F$41)/$U115-SUM($EE115:FD115)=1,1,0))))</f>
        <v>0</v>
      </c>
      <c r="FF115" s="14">
        <f>IF(FF$56-Voorblad!$F$41&gt;Voorblad!$K$41,0,IF($U115=0,0,IF($U115&lt;1,1/$U115,IF((FF$56-Voorblad!$F$41)/$U115-SUM($EE115:FE115)=1,1,0))))</f>
        <v>0</v>
      </c>
      <c r="FG115" s="14">
        <f>IF(FG$56-Voorblad!$F$41&gt;Voorblad!$K$41,0,IF($U115=0,0,IF($U115&lt;1,1/$U115,IF((FG$56-Voorblad!$F$41)/$U115-SUM($EE115:FF115)=1,1,0))))</f>
        <v>0</v>
      </c>
      <c r="FH115" s="14">
        <f>IF(FH$56-Voorblad!$F$41&gt;Voorblad!$K$41,0,IF($U115=0,0,IF($U115&lt;1,1/$U115,IF((FH$56-Voorblad!$F$41)/$U115-SUM($EE115:FG115)=1,1,0))))</f>
        <v>0</v>
      </c>
      <c r="FI115" s="14">
        <f>IF(FI$56-Voorblad!$F$41&gt;Voorblad!$K$41,0,IF($U115=0,0,IF($U115&lt;1,1/$U115,IF((FI$56-Voorblad!$F$41)/$U115-SUM($EE115:FH115)=1,1,0))))</f>
        <v>0</v>
      </c>
      <c r="FJ115" s="14">
        <f>IF(FJ$56-Voorblad!$F$41&gt;Voorblad!$K$41,0,IF($U115=0,0,IF($U115&lt;1,1/$U115,IF((FJ$56-Voorblad!$F$41)/$U115-SUM($EE115:FI115)=1,1,0))))</f>
        <v>1</v>
      </c>
      <c r="FK115" s="14">
        <f>IF(FK$56-Voorblad!$F$41&gt;Voorblad!$K$41,0,IF($U115=0,0,IF($U115&lt;1,1/$U115,IF((FK$56-Voorblad!$F$41)/$U115-SUM($EE115:FJ115)=1,1,0))))</f>
        <v>0</v>
      </c>
      <c r="FL115" s="14">
        <f>IF(FL$56-Voorblad!$F$41&gt;Voorblad!$K$41,0,IF($U115=0,0,IF($U115&lt;1,1/$U115,IF((FL$56-Voorblad!$F$41)/$U115-SUM($EE115:FK115)=1,1,0))))</f>
        <v>0</v>
      </c>
      <c r="FM115" s="14">
        <f>IF(FM$56-Voorblad!$F$41&gt;Voorblad!$K$41,0,IF($U115=0,0,IF($U115&lt;1,1/$U115,IF((FM$56-Voorblad!$F$41)/$U115-SUM($EE115:FL115)=1,1,0))))</f>
        <v>0</v>
      </c>
      <c r="FN115" s="14">
        <f>IF(FN$56-Voorblad!$F$41&gt;Voorblad!$K$41,0,IF($U115=0,0,IF($U115&lt;1,1/$U115,IF((FN$56-Voorblad!$F$41)/$U115-SUM($EE115:FM115)=1,1,0))))</f>
        <v>0</v>
      </c>
      <c r="FO115" s="14">
        <f>IF(FO$56-Voorblad!$F$41&gt;Voorblad!$K$41,0,IF($U115=0,0,IF($U115&lt;1,1/$U115,IF((FO$56-Voorblad!$F$41)/$U115-SUM($EE115:FN115)=1,1,0))))</f>
        <v>0</v>
      </c>
      <c r="FP115" s="14">
        <f>IF(FP$56-Voorblad!$F$41&gt;Voorblad!$K$41,0,IF($U115=0,0,IF($U115&lt;1,1/$U115,IF((FP$56-Voorblad!$F$41)/$U115-SUM($EE115:FO115)=1,1,0))))</f>
        <v>0</v>
      </c>
      <c r="FQ115" s="14">
        <f>IF(FQ$56-Voorblad!$F$41&gt;Voorblad!$K$41,0,IF($U115=0,0,IF($U115&lt;1,1/$U115,IF((FQ$56-Voorblad!$F$41)/$U115-SUM($EE115:FP115)=1,1,0))))</f>
        <v>0</v>
      </c>
      <c r="FR115" s="14">
        <f>IF(FR$56-Voorblad!$F$41&gt;Voorblad!$K$41,0,IF($U115=0,0,IF($U115&lt;1,1/$U115,IF((FR$56-Voorblad!$F$41)/$U115-SUM($EE115:FQ115)=1,1,0))))</f>
        <v>0</v>
      </c>
      <c r="FS115" s="14">
        <f>IF(FS$56-Voorblad!$F$41&gt;Voorblad!$K$41,0,IF($U115=0,0,IF($U115&lt;1,1/$U115,IF((FS$56-Voorblad!$F$41)/$U115-SUM($EE115:FR115)=1,1,0))))</f>
        <v>0</v>
      </c>
      <c r="FT115" s="14">
        <f>IF(FT$56-Voorblad!$F$41&gt;Voorblad!$K$41,0,IF($U115=0,0,IF($U115&lt;1,1/$U115,IF((FT$56-Voorblad!$F$41)/$U115-SUM($EE115:FS115)=1,1,0))))</f>
        <v>0</v>
      </c>
      <c r="FU115" s="14">
        <f>IF(FU$56-Voorblad!$F$41&gt;Voorblad!$K$41,0,IF($U115=0,0,IF($U115&lt;1,1/$U115,IF((FU$56-Voorblad!$F$41)/$U115-SUM($EE115:FT115)=1,1,0))))</f>
        <v>0</v>
      </c>
      <c r="FV115" s="14">
        <f>IF(FV$56-Voorblad!$F$41&gt;Voorblad!$K$41,0,IF($U115=0,0,IF($U115&lt;1,1/$U115,IF((FV$56-Voorblad!$F$41)/$U115-SUM($EE115:FU115)=1,1,0))))</f>
        <v>0</v>
      </c>
      <c r="FW115" s="14">
        <f>IF(FW$56-Voorblad!$F$41&gt;Voorblad!$K$41,0,IF($U115=0,0,IF($U115&lt;1,1/$U115,IF((FW$56-Voorblad!$F$41)/$U115-SUM($EE115:FV115)=1,1,0))))</f>
        <v>0</v>
      </c>
      <c r="FX115" s="14">
        <f>IF(FX$56-Voorblad!$F$41&gt;Voorblad!$K$41,0,IF($U115=0,0,IF($U115&lt;1,1/$U115,IF((FX$56-Voorblad!$F$41)/$U115-SUM($EE115:FW115)=1,1,0))))</f>
        <v>0</v>
      </c>
      <c r="FY115" s="14">
        <f>IF(FY$56-Voorblad!$F$41&gt;Voorblad!$K$41,0,IF($U115=0,0,IF($U115&lt;1,1/$U115,IF((FY$56-Voorblad!$F$41)/$U115-SUM($EE115:FX115)=1,1,0))))</f>
        <v>1</v>
      </c>
      <c r="FZ115" s="14">
        <f>IF(FZ$56-Voorblad!$F$41&gt;Voorblad!$K$41,0,IF($U115=0,0,IF($U115&lt;1,1/$U115,IF((FZ$56-Voorblad!$F$41)/$U115-SUM($EE115:FY115)=1,1,0))))</f>
        <v>0</v>
      </c>
      <c r="GA115" s="14">
        <f>IF(GA$56-Voorblad!$F$41&gt;Voorblad!$K$41,0,IF($U115=0,0,IF($U115&lt;1,1/$U115,IF((GA$56-Voorblad!$F$41)/$U115-SUM($EE115:FZ115)=1,1,0))))</f>
        <v>0</v>
      </c>
      <c r="GB115" s="14">
        <f>IF(GB$56-Voorblad!$F$41&gt;Voorblad!$K$41,0,IF($U115=0,0,IF($U115&lt;1,1/$U115,IF((GB$56-Voorblad!$F$41)/$U115-SUM($EE115:GA115)=1,1,0))))</f>
        <v>0</v>
      </c>
      <c r="GC115" s="14">
        <f>IF(GC$56-Voorblad!$F$41&gt;Voorblad!$K$41,0,IF($U115=0,0,IF($U115&lt;1,1/$U115,IF((GC$56-Voorblad!$F$41)/$U115-SUM($EE115:GB115)=1,1,0))))</f>
        <v>0</v>
      </c>
      <c r="GD115" s="14">
        <f>IF(GD$56-Voorblad!$F$41&gt;Voorblad!$K$41,0,IF($U115=0,0,IF($U115&lt;1,1/$U115,IF((GD$56-Voorblad!$F$41)/$U115-SUM($EE115:GC115)=1,1,0))))</f>
        <v>0</v>
      </c>
      <c r="GE115" s="14">
        <f>IF(GE$56-Voorblad!$F$41&gt;Voorblad!$K$41,0,IF($U115=0,0,IF($U115&lt;1,1/$U115,IF((GE$56-Voorblad!$F$41)/$U115-SUM($EE115:GD115)=1,1,0))))</f>
        <v>0</v>
      </c>
      <c r="GF115" s="14">
        <f>IF(GF$56-Voorblad!$F$41&gt;Voorblad!$K$41,0,IF($U115=0,0,IF($U115&lt;1,1/$U115,IF((GF$56-Voorblad!$F$41)/$U115-SUM($EE115:GE115)=1,1,0))))</f>
        <v>0</v>
      </c>
      <c r="GG115" s="14">
        <f>IF(GG$56-Voorblad!$F$41&gt;Voorblad!$K$41,0,IF($U115=0,0,IF($U115&lt;1,1/$U115,IF((GG$56-Voorblad!$F$41)/$U115-SUM($EE115:GF115)=1,1,0))))</f>
        <v>0</v>
      </c>
      <c r="GH115" s="14">
        <f>IF(GH$56-Voorblad!$F$41&gt;Voorblad!$K$41,0,IF($U115=0,0,IF($U115&lt;1,1/$U115,IF((GH$56-Voorblad!$F$41)/$U115-SUM($EE115:GG115)=1,1,0))))</f>
        <v>0</v>
      </c>
      <c r="GI115" s="14">
        <f>IF(GI$56-Voorblad!$F$41&gt;Voorblad!$K$41,0,IF($U115=0,0,IF($U115&lt;1,1/$U115,IF((GI$56-Voorblad!$F$41)/$U115-SUM($EE115:GH115)=1,1,0))))</f>
        <v>0</v>
      </c>
      <c r="GJ115" s="14">
        <f>IF(GJ$56-Voorblad!$F$41&gt;Voorblad!$K$41,0,IF($U115=0,0,IF($U115&lt;1,1/$U115,IF((GJ$56-Voorblad!$F$41)/$U115-SUM($EE115:GI115)=1,1,0))))</f>
        <v>0</v>
      </c>
      <c r="GK115" s="14">
        <f>IF(GK$56-Voorblad!$F$41&gt;Voorblad!$K$41,0,IF($U115=0,0,IF($U115&lt;1,1/$U115,IF((GK$56-Voorblad!$F$41)/$U115-SUM($EE115:GJ115)=1,1,0))))</f>
        <v>0</v>
      </c>
      <c r="GL115" s="14">
        <f>IF(GL$56-Voorblad!$F$41&gt;Voorblad!$K$41,0,IF($U115=0,0,IF($U115&lt;1,1/$U115,IF((GL$56-Voorblad!$F$41)/$U115-SUM($EE115:GK115)=1,1,0))))</f>
        <v>0</v>
      </c>
      <c r="GM115" s="14">
        <f>IF(GM$56-Voorblad!$F$41&gt;Voorblad!$K$41,0,IF($U115=0,0,IF($U115&lt;1,1/$U115,IF((GM$56-Voorblad!$F$41)/$U115-SUM($EE115:GL115)=1,1,0))))</f>
        <v>0</v>
      </c>
      <c r="GN115" s="14">
        <f>IF(GN$56-Voorblad!$F$41&gt;Voorblad!$K$41,0,IF($U115=0,0,IF($U115&lt;1,1/$U115,IF((GN$56-Voorblad!$F$41)/$U115-SUM($EE115:GM115)=1,1,0))))</f>
        <v>1</v>
      </c>
      <c r="GO115" s="14">
        <f>IF(GO$56-Voorblad!$F$41&gt;Voorblad!$K$41,0,IF($U115=0,0,IF($U115&lt;1,1/$U115,IF((GO$56-Voorblad!$F$41)/$U115-SUM($EE115:GN115)=1,1,0))))</f>
        <v>0</v>
      </c>
      <c r="GP115" s="14">
        <f>IF(GP$56-Voorblad!$F$41&gt;Voorblad!$K$41,0,IF($U115=0,0,IF($U115&lt;1,1/$U115,IF((GP$56-Voorblad!$F$41)/$U115-SUM($EE115:GO115)=1,1,0))))</f>
        <v>0</v>
      </c>
      <c r="GQ115" s="14">
        <f>IF(GQ$56-Voorblad!$F$41&gt;Voorblad!$K$41,0,IF($U115=0,0,IF($U115&lt;1,1/$U115,IF((GQ$56-Voorblad!$F$41)/$U115-SUM($EE115:GP115)=1,1,0))))</f>
        <v>0</v>
      </c>
      <c r="GR115" s="14">
        <f>IF(GR$56-Voorblad!$F$41&gt;Voorblad!$K$41,0,IF($U115=0,0,IF($U115&lt;1,1/$U115,IF((GR$56-Voorblad!$F$41)/$U115-SUM($EE115:GQ115)=1,1,0))))</f>
        <v>0</v>
      </c>
      <c r="GS115" s="14">
        <f>IF(GS$56-Voorblad!$F$41&gt;Voorblad!$K$41,0,IF($U115=0,0,IF($U115&lt;1,1/$U115,IF((GS$56-Voorblad!$F$41)/$U115-SUM($EE115:GR115)=1,1,0))))</f>
        <v>0</v>
      </c>
      <c r="GT115" s="14">
        <f>IF(GT$56-Voorblad!$F$41&gt;Voorblad!$K$41,0,IF($U115=0,0,IF($U115&lt;1,1/$U115,IF((GT$56-Voorblad!$F$41)/$U115-SUM($EE115:GS115)=1,1,0))))</f>
        <v>0</v>
      </c>
      <c r="GU115" s="14">
        <f>IF(GU$56-Voorblad!$F$41&gt;Voorblad!$K$41,0,IF($U115=0,0,IF($U115&lt;1,1/$U115,IF((GU$56-Voorblad!$F$41)/$U115-SUM($EE115:GT115)=1,1,0))))</f>
        <v>0</v>
      </c>
      <c r="GV115" s="14">
        <f>IF(GV$56-Voorblad!$F$41&gt;Voorblad!$K$41,0,IF($U115=0,0,IF($U115&lt;1,1/$U115,IF((GV$56-Voorblad!$F$41)/$U115-SUM($EE115:GU115)=1,1,0))))</f>
        <v>0</v>
      </c>
      <c r="GW115" s="14">
        <f>IF(GW$56-Voorblad!$F$41&gt;Voorblad!$K$41,0,IF($U115=0,0,IF($U115&lt;1,1/$U115,IF((GW$56-Voorblad!$F$41)/$U115-SUM($EE115:GV115)=1,1,0))))</f>
        <v>0</v>
      </c>
      <c r="GX115" s="14">
        <f>IF(GX$56-Voorblad!$F$41&gt;Voorblad!$K$41,0,IF($U115=0,0,IF($U115&lt;1,1/$U115,IF((GX$56-Voorblad!$F$41)/$U115-SUM($EE115:GW115)=1,1,0))))</f>
        <v>0</v>
      </c>
      <c r="GY115" s="14">
        <f>IF(GY$56-Voorblad!$F$41&gt;Voorblad!$K$41,0,IF($U115=0,0,IF($U115&lt;1,1/$U115,IF((GY$56-Voorblad!$F$41)/$U115-SUM($EE115:GX115)=1,1,0))))</f>
        <v>0</v>
      </c>
      <c r="GZ115" s="14">
        <f>IF(GZ$56-Voorblad!$F$41&gt;Voorblad!$K$41,0,IF($U115=0,0,IF($U115&lt;1,1/$U115,IF((GZ$56-Voorblad!$F$41)/$U115-SUM($EE115:GY115)=1,1,0))))</f>
        <v>0</v>
      </c>
      <c r="HA115" s="14">
        <f>IF(HA$56-Voorblad!$F$41&gt;Voorblad!$K$41,0,IF($U115=0,0,IF($U115&lt;1,1/$U115,IF((HA$56-Voorblad!$F$41)/$U115-SUM($EE115:GZ115)=1,1,0))))</f>
        <v>0</v>
      </c>
      <c r="HB115" s="14">
        <f>IF(HB$56-Voorblad!$F$41&gt;Voorblad!$K$41,0,IF($U115=0,0,IF($U115&lt;1,1/$U115,IF((HB$56-Voorblad!$F$41)/$U115-SUM($EE115:HA115)=1,1,0))))</f>
        <v>0</v>
      </c>
      <c r="HC115" s="14">
        <f>IF(HC$56-Voorblad!$F$41&gt;Voorblad!$K$41,0,IF($U115=0,0,IF($U115&lt;1,1/$U115,IF((HC$56-Voorblad!$F$41)/$U115-SUM($EE115:HB115)=1,1,0))))</f>
        <v>0</v>
      </c>
      <c r="HD115" s="14">
        <f>IF(HD$56-Voorblad!$F$41&gt;Voorblad!$K$41,0,IF($U115=0,0,IF($U115&lt;1,1/$U115,IF((HD$56-Voorblad!$F$41)/$U115-SUM($EE115:HC115)=1,1,0))))</f>
        <v>0</v>
      </c>
      <c r="HE115" s="14">
        <f>IF(HE$56-Voorblad!$F$41&gt;Voorblad!$K$41,0,IF($U115=0,0,IF($U115&lt;1,1/$U115,IF((HE$56-Voorblad!$F$41)/$U115-SUM($EE115:HD115)=1,1,0))))</f>
        <v>0</v>
      </c>
      <c r="HF115" s="14">
        <f>IF(HF$56-Voorblad!$F$41&gt;Voorblad!$K$41,0,IF($U115=0,0,IF($U115&lt;1,1/$U115,IF((HF$56-Voorblad!$F$41)/$U115-SUM($EE115:HE115)=1,1,0))))</f>
        <v>0</v>
      </c>
      <c r="HG115" s="14">
        <f>IF(HG$56-Voorblad!$F$41&gt;Voorblad!$K$41,0,IF($U115=0,0,IF($U115&lt;1,1/$U115,IF((HG$56-Voorblad!$F$41)/$U115-SUM($EE115:HF115)=1,1,0))))</f>
        <v>0</v>
      </c>
      <c r="HH115" s="14">
        <f>IF(HH$56-Voorblad!$F$41&gt;Voorblad!$K$41,0,IF($U115=0,0,IF($U115&lt;1,1/$U115,IF((HH$56-Voorblad!$F$41)/$U115-SUM($EE115:HG115)=1,1,0))))</f>
        <v>0</v>
      </c>
      <c r="HI115" s="14">
        <f>IF(HI$56-Voorblad!$F$41&gt;Voorblad!$K$41,0,IF($U115=0,0,IF($U115&lt;1,1/$U115,IF((HI$56-Voorblad!$F$41)/$U115-SUM($EE115:HH115)=1,1,0))))</f>
        <v>0</v>
      </c>
      <c r="HJ115" s="14">
        <f>IF(HJ$56-Voorblad!$F$41&gt;Voorblad!$K$41,0,IF($U115=0,0,IF($U115&lt;1,1/$U115,IF((HJ$56-Voorblad!$F$41)/$U115-SUM($EE115:HI115)=1,1,0))))</f>
        <v>0</v>
      </c>
      <c r="HK115" s="14">
        <f>IF(HK$56-Voorblad!$F$41&gt;Voorblad!$K$41,0,IF($U115=0,0,IF($U115&lt;1,1/$U115,IF((HK$56-Voorblad!$F$41)/$U115-SUM($EE115:HJ115)=1,1,0))))</f>
        <v>0</v>
      </c>
      <c r="HL115" s="14">
        <f>IF(HL$56-Voorblad!$F$41&gt;Voorblad!$K$41,0,IF($U115=0,0,IF($U115&lt;1,1/$U115,IF((HL$56-Voorblad!$F$41)/$U115-SUM($EE115:HK115)=1,1,0))))</f>
        <v>0</v>
      </c>
      <c r="HM115" s="14">
        <f>IF(HM$56-Voorblad!$F$41&gt;Voorblad!$K$41,0,IF($U115=0,0,IF($U115&lt;1,1/$U115,IF((HM$56-Voorblad!$F$41)/$U115-SUM($EE115:HL115)=1,1,0))))</f>
        <v>0</v>
      </c>
      <c r="HN115" s="14">
        <f>IF(HN$56-Voorblad!$F$41&gt;Voorblad!$K$41,0,IF($U115=0,0,IF($U115&lt;1,1/$U115,IF((HN$56-Voorblad!$F$41)/$U115-SUM($EE115:HM115)=1,1,0))))</f>
        <v>0</v>
      </c>
      <c r="HO115" s="14">
        <f>IF(HO$56-Voorblad!$F$41&gt;Voorblad!$K$41,0,IF($U115=0,0,IF($U115&lt;1,1/$U115,IF((HO$56-Voorblad!$F$41)/$U115-SUM($EE115:HN115)=1,1,0))))</f>
        <v>0</v>
      </c>
      <c r="HP115" s="14">
        <f>IF(HP$56-Voorblad!$F$41&gt;Voorblad!$K$41,0,IF($U115=0,0,IF($U115&lt;1,1/$U115,IF((HP$56-Voorblad!$F$41)/$U115-SUM($EE115:HO115)=1,1,0))))</f>
        <v>0</v>
      </c>
      <c r="HQ115" s="14">
        <f>IF(HQ$56-Voorblad!$F$41&gt;Voorblad!$K$41,0,IF($U115=0,0,IF($U115&lt;1,1/$U115,IF((HQ$56-Voorblad!$F$41)/$U115-SUM($EE115:HP115)=1,1,0))))</f>
        <v>0</v>
      </c>
      <c r="HR115" s="14">
        <f>IF(HR$56-Voorblad!$F$41&gt;Voorblad!$K$41,0,IF($U115=0,0,IF($U115&lt;1,1/$U115,IF((HR$56-Voorblad!$F$41)/$U115-SUM($EE115:HQ115)=1,1,0))))</f>
        <v>0</v>
      </c>
      <c r="HS115" s="14">
        <f>IF(HS$56-Voorblad!$F$41&gt;Voorblad!$K$41,0,IF($U115=0,0,IF($U115&lt;1,1/$U115,IF((HS$56-Voorblad!$F$41)/$U115-SUM($EE115:HR115)=1,1,0))))</f>
        <v>0</v>
      </c>
      <c r="HT115" s="14">
        <f>IF(HT$56-Voorblad!$F$41&gt;Voorblad!$K$41,0,IF($U115=0,0,IF($U115&lt;1,1/$U115,IF((HT$56-Voorblad!$F$41)/$U115-SUM($EE115:HS115)=1,1,0))))</f>
        <v>0</v>
      </c>
      <c r="HU115" s="14">
        <f>IF(HU$56-Voorblad!$F$41&gt;Voorblad!$K$41,0,IF($U115=0,0,IF($U115&lt;1,1/$U115,IF((HU$56-Voorblad!$F$41)/$U115-SUM($EE115:HT115)=1,1,0))))</f>
        <v>0</v>
      </c>
      <c r="HV115" s="14">
        <f>IF(HV$56-Voorblad!$F$41&gt;Voorblad!$K$41,0,IF($U115=0,0,IF($U115&lt;1,1/$U115,IF((HV$56-Voorblad!$F$41)/$U115-SUM($EE115:HU115)=1,1,0))))</f>
        <v>0</v>
      </c>
      <c r="HW115" s="14">
        <f>IF(HW$56-Voorblad!$F$41&gt;Voorblad!$K$41,0,IF($U115=0,0,IF($U115&lt;1,1/$U115,IF((HW$56-Voorblad!$F$41)/$U115-SUM($EE115:HV115)=1,1,0))))</f>
        <v>0</v>
      </c>
      <c r="HX115" s="14">
        <f>IF(HX$56-Voorblad!$F$41&gt;Voorblad!$K$41,0,IF($U115=0,0,IF($U115&lt;1,1/$U115,IF((HX$56-Voorblad!$F$41)/$U115-SUM($EE115:HW115)=1,1,0))))</f>
        <v>0</v>
      </c>
      <c r="HY115" s="14">
        <f>IF(HY$56-Voorblad!$F$41&gt;Voorblad!$K$41,0,IF($U115=0,0,IF($U115&lt;1,1/$U115,IF((HY$56-Voorblad!$F$41)/$U115-SUM($EE115:HX115)=1,1,0))))</f>
        <v>0</v>
      </c>
      <c r="HZ115" s="14">
        <f>IF(HZ$56-Voorblad!$F$41&gt;Voorblad!$K$41,0,IF($U115=0,0,IF($U115&lt;1,1/$U115,IF((HZ$56-Voorblad!$F$41)/$U115-SUM($EE115:HY115)=1,1,0))))</f>
        <v>0</v>
      </c>
      <c r="IA115" s="14">
        <f>IF(IA$56-Voorblad!$F$41&gt;Voorblad!$K$41,0,IF($U115=0,0,IF($U115&lt;1,1/$U115,IF((IA$56-Voorblad!$F$41)/$U115-SUM($EE115:HZ115)=1,1,0))))</f>
        <v>0</v>
      </c>
      <c r="IB115" s="14">
        <f>IF(IB$56-Voorblad!$F$41&gt;Voorblad!$K$41,0,IF($U115=0,0,IF($U115&lt;1,1/$U115,IF((IB$56-Voorblad!$F$41)/$U115-SUM($EE115:IA115)=1,1,0))))</f>
        <v>0</v>
      </c>
    </row>
    <row r="116" spans="2:236" ht="12" customHeight="1" outlineLevel="1" x14ac:dyDescent="0.25">
      <c r="B116" s="1">
        <v>3</v>
      </c>
      <c r="F116" s="1" t="s">
        <v>23</v>
      </c>
      <c r="I116" s="1" t="s">
        <v>277</v>
      </c>
      <c r="K116" s="14" t="s">
        <v>197</v>
      </c>
      <c r="L116" s="14"/>
      <c r="M116" s="14"/>
      <c r="O116" s="1" t="s">
        <v>171</v>
      </c>
      <c r="P116" s="1" t="s">
        <v>174</v>
      </c>
      <c r="Q116" s="81">
        <v>0</v>
      </c>
      <c r="R116" s="1" t="s">
        <v>35</v>
      </c>
      <c r="S116" s="14">
        <f>$H$20*2000</f>
        <v>3540</v>
      </c>
      <c r="T116" s="1">
        <f t="shared" si="20"/>
        <v>0</v>
      </c>
      <c r="U116" s="14">
        <v>15</v>
      </c>
      <c r="V116" s="14"/>
      <c r="Y116" s="9">
        <f t="shared" si="22"/>
        <v>0</v>
      </c>
      <c r="Z116" s="82"/>
      <c r="AA116" s="82"/>
      <c r="AC116" s="9">
        <f>$Y116*(Voorblad!$K$44*(1+Voorblad!$K$44)^Voorblad!$K$41)/((1+Voorblad!$K$44)^Voorblad!$K$41-1)</f>
        <v>0</v>
      </c>
      <c r="AE116" s="9">
        <f>EF116*($Q116*$S116)/(1+Voorblad!$K$44)^(AE$56-Voorblad!$F$41)</f>
        <v>0</v>
      </c>
      <c r="AF116" s="9">
        <f>EG116*($Q116*$S116)/(1+Voorblad!$K$44)^(AF$56-Voorblad!$F$41)</f>
        <v>0</v>
      </c>
      <c r="AG116" s="9">
        <f>EH116*($Q116*$S116)/(1+Voorblad!$K$44)^(AG$56-Voorblad!$F$41)</f>
        <v>0</v>
      </c>
      <c r="AH116" s="9">
        <f>EI116*($Q116*$S116)/(1+Voorblad!$K$44)^(AH$56-Voorblad!$F$41)</f>
        <v>0</v>
      </c>
      <c r="AI116" s="9">
        <f>EJ116*($Q116*$S116)/(1+Voorblad!$K$44)^(AI$56-Voorblad!$F$41)</f>
        <v>0</v>
      </c>
      <c r="AJ116" s="9">
        <f>EK116*($Q116*$S116)/(1+Voorblad!$K$44)^(AJ$56-Voorblad!$F$41)</f>
        <v>0</v>
      </c>
      <c r="AK116" s="9">
        <f>EL116*($Q116*$S116)/(1+Voorblad!$K$44)^(AK$56-Voorblad!$F$41)</f>
        <v>0</v>
      </c>
      <c r="AL116" s="9">
        <f>EM116*($Q116*$S116)/(1+Voorblad!$K$44)^(AL$56-Voorblad!$F$41)</f>
        <v>0</v>
      </c>
      <c r="AM116" s="9">
        <f>EN116*($Q116*$S116)/(1+Voorblad!$K$44)^(AM$56-Voorblad!$F$41)</f>
        <v>0</v>
      </c>
      <c r="AN116" s="9">
        <f>EO116*($Q116*$S116)/(1+Voorblad!$K$44)^(AN$56-Voorblad!$F$41)</f>
        <v>0</v>
      </c>
      <c r="AO116" s="9">
        <f>EP116*($Q116*$S116)/(1+Voorblad!$K$44)^(AO$56-Voorblad!$F$41)</f>
        <v>0</v>
      </c>
      <c r="AP116" s="9">
        <f>EQ116*($Q116*$S116)/(1+Voorblad!$K$44)^(AP$56-Voorblad!$F$41)</f>
        <v>0</v>
      </c>
      <c r="AQ116" s="9">
        <f>ER116*($Q116*$S116)/(1+Voorblad!$K$44)^(AQ$56-Voorblad!$F$41)</f>
        <v>0</v>
      </c>
      <c r="AR116" s="9">
        <f>ES116*($Q116*$S116)/(1+Voorblad!$K$44)^(AR$56-Voorblad!$F$41)</f>
        <v>0</v>
      </c>
      <c r="AS116" s="9">
        <f>ET116*($Q116*$S116)/(1+Voorblad!$K$44)^(AS$56-Voorblad!$F$41)</f>
        <v>0</v>
      </c>
      <c r="AT116" s="9">
        <f>EU116*($Q116*$S116)/(1+Voorblad!$K$44)^(AT$56-Voorblad!$F$41)</f>
        <v>0</v>
      </c>
      <c r="AU116" s="9">
        <f>EV116*($Q116*$S116)/(1+Voorblad!$K$44)^(AU$56-Voorblad!$F$41)</f>
        <v>0</v>
      </c>
      <c r="AV116" s="9">
        <f>EW116*($Q116*$S116)/(1+Voorblad!$K$44)^(AV$56-Voorblad!$F$41)</f>
        <v>0</v>
      </c>
      <c r="AW116" s="9">
        <f>EX116*($Q116*$S116)/(1+Voorblad!$K$44)^(AW$56-Voorblad!$F$41)</f>
        <v>0</v>
      </c>
      <c r="AX116" s="9">
        <f>EY116*($Q116*$S116)/(1+Voorblad!$K$44)^(AX$56-Voorblad!$F$41)</f>
        <v>0</v>
      </c>
      <c r="AY116" s="9">
        <f>EZ116*($Q116*$S116)/(1+Voorblad!$K$44)^(AY$56-Voorblad!$F$41)</f>
        <v>0</v>
      </c>
      <c r="AZ116" s="9">
        <f>FA116*($Q116*$S116)/(1+Voorblad!$K$44)^(AZ$56-Voorblad!$F$41)</f>
        <v>0</v>
      </c>
      <c r="BA116" s="9">
        <f>FB116*($Q116*$S116)/(1+Voorblad!$K$44)^(BA$56-Voorblad!$F$41)</f>
        <v>0</v>
      </c>
      <c r="BB116" s="9">
        <f>FC116*($Q116*$S116)/(1+Voorblad!$K$44)^(BB$56-Voorblad!$F$41)</f>
        <v>0</v>
      </c>
      <c r="BC116" s="9">
        <f>FD116*($Q116*$S116)/(1+Voorblad!$K$44)^(BC$56-Voorblad!$F$41)</f>
        <v>0</v>
      </c>
      <c r="BD116" s="9">
        <f>FE116*($Q116*$S116)/(1+Voorblad!$K$44)^(BD$56-Voorblad!$F$41)</f>
        <v>0</v>
      </c>
      <c r="BE116" s="9">
        <f>FF116*($Q116*$S116)/(1+Voorblad!$K$44)^(BE$56-Voorblad!$F$41)</f>
        <v>0</v>
      </c>
      <c r="BF116" s="9">
        <f>FG116*($Q116*$S116)/(1+Voorblad!$K$44)^(BF$56-Voorblad!$F$41)</f>
        <v>0</v>
      </c>
      <c r="BG116" s="9">
        <f>FH116*($Q116*$S116)/(1+Voorblad!$K$44)^(BG$56-Voorblad!$F$41)</f>
        <v>0</v>
      </c>
      <c r="BH116" s="9">
        <f>FI116*($Q116*$S116)/(1+Voorblad!$K$44)^(BH$56-Voorblad!$F$41)</f>
        <v>0</v>
      </c>
      <c r="BI116" s="9">
        <f>FJ116*($Q116*$S116)/(1+Voorblad!$K$44)^(BI$56-Voorblad!$F$41)</f>
        <v>0</v>
      </c>
      <c r="BJ116" s="9">
        <f>FK116*($Q116*$S116)/(1+Voorblad!$K$44)^(BJ$56-Voorblad!$F$41)</f>
        <v>0</v>
      </c>
      <c r="BK116" s="9">
        <f>FL116*($Q116*$S116)/(1+Voorblad!$K$44)^(BK$56-Voorblad!$F$41)</f>
        <v>0</v>
      </c>
      <c r="BL116" s="9">
        <f>FM116*($Q116*$S116)/(1+Voorblad!$K$44)^(BL$56-Voorblad!$F$41)</f>
        <v>0</v>
      </c>
      <c r="BM116" s="9">
        <f>FN116*($Q116*$S116)/(1+Voorblad!$K$44)^(BM$56-Voorblad!$F$41)</f>
        <v>0</v>
      </c>
      <c r="BN116" s="9">
        <f>FO116*($Q116*$S116)/(1+Voorblad!$K$44)^(BN$56-Voorblad!$F$41)</f>
        <v>0</v>
      </c>
      <c r="BO116" s="9">
        <f>FP116*($Q116*$S116)/(1+Voorblad!$K$44)^(BO$56-Voorblad!$F$41)</f>
        <v>0</v>
      </c>
      <c r="BP116" s="9">
        <f>FQ116*($Q116*$S116)/(1+Voorblad!$K$44)^(BP$56-Voorblad!$F$41)</f>
        <v>0</v>
      </c>
      <c r="BQ116" s="9">
        <f>FR116*($Q116*$S116)/(1+Voorblad!$K$44)^(BQ$56-Voorblad!$F$41)</f>
        <v>0</v>
      </c>
      <c r="BR116" s="9">
        <f>FS116*($Q116*$S116)/(1+Voorblad!$K$44)^(BR$56-Voorblad!$F$41)</f>
        <v>0</v>
      </c>
      <c r="BS116" s="9">
        <f>FT116*($Q116*$S116)/(1+Voorblad!$K$44)^(BS$56-Voorblad!$F$41)</f>
        <v>0</v>
      </c>
      <c r="BT116" s="9">
        <f>FU116*($Q116*$S116)/(1+Voorblad!$K$44)^(BT$56-Voorblad!$F$41)</f>
        <v>0</v>
      </c>
      <c r="BU116" s="9">
        <f>FV116*($Q116*$S116)/(1+Voorblad!$K$44)^(BU$56-Voorblad!$F$41)</f>
        <v>0</v>
      </c>
      <c r="BV116" s="9">
        <f>FW116*($Q116*$S116)/(1+Voorblad!$K$44)^(BV$56-Voorblad!$F$41)</f>
        <v>0</v>
      </c>
      <c r="BW116" s="9">
        <f>FX116*($Q116*$S116)/(1+Voorblad!$K$44)^(BW$56-Voorblad!$F$41)</f>
        <v>0</v>
      </c>
      <c r="BX116" s="9">
        <f>FY116*($Q116*$S116)/(1+Voorblad!$K$44)^(BX$56-Voorblad!$F$41)</f>
        <v>0</v>
      </c>
      <c r="BY116" s="9">
        <f>FZ116*($Q116*$S116)/(1+Voorblad!$K$44)^(BY$56-Voorblad!$F$41)</f>
        <v>0</v>
      </c>
      <c r="BZ116" s="9">
        <f>GA116*($Q116*$S116)/(1+Voorblad!$K$44)^(BZ$56-Voorblad!$F$41)</f>
        <v>0</v>
      </c>
      <c r="CA116" s="9">
        <f>GB116*($Q116*$S116)/(1+Voorblad!$K$44)^(CA$56-Voorblad!$F$41)</f>
        <v>0</v>
      </c>
      <c r="CB116" s="9">
        <f>GC116*($Q116*$S116)/(1+Voorblad!$K$44)^(CB$56-Voorblad!$F$41)</f>
        <v>0</v>
      </c>
      <c r="CC116" s="9">
        <f>GD116*($Q116*$S116)/(1+Voorblad!$K$44)^(CC$56-Voorblad!$F$41)</f>
        <v>0</v>
      </c>
      <c r="CD116" s="9">
        <f>GE116*($Q116*$S116)/(1+Voorblad!$K$44)^(CD$56-Voorblad!$F$41)</f>
        <v>0</v>
      </c>
      <c r="CE116" s="9">
        <f>GF116*($Q116*$S116)/(1+Voorblad!$K$44)^(CE$56-Voorblad!$F$41)</f>
        <v>0</v>
      </c>
      <c r="CF116" s="9">
        <f>GG116*($Q116*$S116)/(1+Voorblad!$K$44)^(CF$56-Voorblad!$F$41)</f>
        <v>0</v>
      </c>
      <c r="CG116" s="9">
        <f>GH116*($Q116*$S116)/(1+Voorblad!$K$44)^(CG$56-Voorblad!$F$41)</f>
        <v>0</v>
      </c>
      <c r="CH116" s="9">
        <f>GI116*($Q116*$S116)/(1+Voorblad!$K$44)^(CH$56-Voorblad!$F$41)</f>
        <v>0</v>
      </c>
      <c r="CI116" s="9">
        <f>GJ116*($Q116*$S116)/(1+Voorblad!$K$44)^(CI$56-Voorblad!$F$41)</f>
        <v>0</v>
      </c>
      <c r="CJ116" s="9">
        <f>GK116*($Q116*$S116)/(1+Voorblad!$K$44)^(CJ$56-Voorblad!$F$41)</f>
        <v>0</v>
      </c>
      <c r="CK116" s="9">
        <f>GL116*($Q116*$S116)/(1+Voorblad!$K$44)^(CK$56-Voorblad!$F$41)</f>
        <v>0</v>
      </c>
      <c r="CL116" s="9">
        <f>GM116*($Q116*$S116)/(1+Voorblad!$K$44)^(CL$56-Voorblad!$F$41)</f>
        <v>0</v>
      </c>
      <c r="CM116" s="9">
        <f>GN116*($Q116*$S116)/(1+Voorblad!$K$44)^(CM$56-Voorblad!$F$41)</f>
        <v>0</v>
      </c>
      <c r="CN116" s="9">
        <f>GO116*($Q116*$S116)/(1+Voorblad!$K$44)^(CN$56-Voorblad!$F$41)</f>
        <v>0</v>
      </c>
      <c r="CO116" s="9">
        <f>GP116*($Q116*$S116)/(1+Voorblad!$K$44)^(CO$56-Voorblad!$F$41)</f>
        <v>0</v>
      </c>
      <c r="CP116" s="9">
        <f>GQ116*($Q116*$S116)/(1+Voorblad!$K$44)^(CP$56-Voorblad!$F$41)</f>
        <v>0</v>
      </c>
      <c r="CQ116" s="9">
        <f>GR116*($Q116*$S116)/(1+Voorblad!$K$44)^(CQ$56-Voorblad!$F$41)</f>
        <v>0</v>
      </c>
      <c r="CR116" s="9">
        <f>GS116*($Q116*$S116)/(1+Voorblad!$K$44)^(CR$56-Voorblad!$F$41)</f>
        <v>0</v>
      </c>
      <c r="CS116" s="9">
        <f>GT116*($Q116*$S116)/(1+Voorblad!$K$44)^(CS$56-Voorblad!$F$41)</f>
        <v>0</v>
      </c>
      <c r="CT116" s="9">
        <f>GU116*($Q116*$S116)/(1+Voorblad!$K$44)^(CT$56-Voorblad!$F$41)</f>
        <v>0</v>
      </c>
      <c r="CU116" s="9">
        <f>GV116*($Q116*$S116)/(1+Voorblad!$K$44)^(CU$56-Voorblad!$F$41)</f>
        <v>0</v>
      </c>
      <c r="CV116" s="9">
        <f>GW116*($Q116*$S116)/(1+Voorblad!$K$44)^(CV$56-Voorblad!$F$41)</f>
        <v>0</v>
      </c>
      <c r="CW116" s="9">
        <f>GX116*($Q116*$S116)/(1+Voorblad!$K$44)^(CW$56-Voorblad!$F$41)</f>
        <v>0</v>
      </c>
      <c r="CX116" s="9">
        <f>GY116*($Q116*$S116)/(1+Voorblad!$K$44)^(CX$56-Voorblad!$F$41)</f>
        <v>0</v>
      </c>
      <c r="CY116" s="9">
        <f>GZ116*($Q116*$S116)/(1+Voorblad!$K$44)^(CY$56-Voorblad!$F$41)</f>
        <v>0</v>
      </c>
      <c r="CZ116" s="9">
        <f>HA116*($Q116*$S116)/(1+Voorblad!$K$44)^(CZ$56-Voorblad!$F$41)</f>
        <v>0</v>
      </c>
      <c r="DA116" s="9">
        <f>HB116*($Q116*$S116)/(1+Voorblad!$K$44)^(DA$56-Voorblad!$F$41)</f>
        <v>0</v>
      </c>
      <c r="DB116" s="9">
        <f>HC116*($Q116*$S116)/(1+Voorblad!$K$44)^(DB$56-Voorblad!$F$41)</f>
        <v>0</v>
      </c>
      <c r="DC116" s="9">
        <f>HD116*($Q116*$S116)/(1+Voorblad!$K$44)^(DC$56-Voorblad!$F$41)</f>
        <v>0</v>
      </c>
      <c r="DD116" s="9">
        <f>HE116*($Q116*$S116)/(1+Voorblad!$K$44)^(DD$56-Voorblad!$F$41)</f>
        <v>0</v>
      </c>
      <c r="DE116" s="9">
        <f>HF116*($Q116*$S116)/(1+Voorblad!$K$44)^(DE$56-Voorblad!$F$41)</f>
        <v>0</v>
      </c>
      <c r="DF116" s="9">
        <f>HG116*($Q116*$S116)/(1+Voorblad!$K$44)^(DF$56-Voorblad!$F$41)</f>
        <v>0</v>
      </c>
      <c r="DG116" s="9">
        <f>HH116*($Q116*$S116)/(1+Voorblad!$K$44)^(DG$56-Voorblad!$F$41)</f>
        <v>0</v>
      </c>
      <c r="DH116" s="9">
        <f>HI116*($Q116*$S116)/(1+Voorblad!$K$44)^(DH$56-Voorblad!$F$41)</f>
        <v>0</v>
      </c>
      <c r="DI116" s="9">
        <f>HJ116*($Q116*$S116)/(1+Voorblad!$K$44)^(DI$56-Voorblad!$F$41)</f>
        <v>0</v>
      </c>
      <c r="DJ116" s="9">
        <f>HK116*($Q116*$S116)/(1+Voorblad!$K$44)^(DJ$56-Voorblad!$F$41)</f>
        <v>0</v>
      </c>
      <c r="DK116" s="9">
        <f>HL116*($Q116*$S116)/(1+Voorblad!$K$44)^(DK$56-Voorblad!$F$41)</f>
        <v>0</v>
      </c>
      <c r="DL116" s="9">
        <f>HM116*($Q116*$S116)/(1+Voorblad!$K$44)^(DL$56-Voorblad!$F$41)</f>
        <v>0</v>
      </c>
      <c r="DM116" s="9">
        <f>HN116*($Q116*$S116)/(1+Voorblad!$K$44)^(DM$56-Voorblad!$F$41)</f>
        <v>0</v>
      </c>
      <c r="DN116" s="9">
        <f>HO116*($Q116*$S116)/(1+Voorblad!$K$44)^(DN$56-Voorblad!$F$41)</f>
        <v>0</v>
      </c>
      <c r="DO116" s="9">
        <f>HP116*($Q116*$S116)/(1+Voorblad!$K$44)^(DO$56-Voorblad!$F$41)</f>
        <v>0</v>
      </c>
      <c r="DP116" s="9">
        <f>HQ116*($Q116*$S116)/(1+Voorblad!$K$44)^(DP$56-Voorblad!$F$41)</f>
        <v>0</v>
      </c>
      <c r="DQ116" s="9">
        <f>HR116*($Q116*$S116)/(1+Voorblad!$K$44)^(DQ$56-Voorblad!$F$41)</f>
        <v>0</v>
      </c>
      <c r="DR116" s="9">
        <f>HS116*($Q116*$S116)/(1+Voorblad!$K$44)^(DR$56-Voorblad!$F$41)</f>
        <v>0</v>
      </c>
      <c r="DS116" s="9">
        <f>HT116*($Q116*$S116)/(1+Voorblad!$K$44)^(DS$56-Voorblad!$F$41)</f>
        <v>0</v>
      </c>
      <c r="DT116" s="9">
        <f>HU116*($Q116*$S116)/(1+Voorblad!$K$44)^(DT$56-Voorblad!$F$41)</f>
        <v>0</v>
      </c>
      <c r="DU116" s="9">
        <f>HV116*($Q116*$S116)/(1+Voorblad!$K$44)^(DU$56-Voorblad!$F$41)</f>
        <v>0</v>
      </c>
      <c r="DV116" s="9">
        <f>HW116*($Q116*$S116)/(1+Voorblad!$K$44)^(DV$56-Voorblad!$F$41)</f>
        <v>0</v>
      </c>
      <c r="DW116" s="9">
        <f>HX116*($Q116*$S116)/(1+Voorblad!$K$44)^(DW$56-Voorblad!$F$41)</f>
        <v>0</v>
      </c>
      <c r="DX116" s="9">
        <f>HY116*($Q116*$S116)/(1+Voorblad!$K$44)^(DX$56-Voorblad!$F$41)</f>
        <v>0</v>
      </c>
      <c r="DY116" s="9">
        <f>HZ116*($Q116*$S116)/(1+Voorblad!$K$44)^(DY$56-Voorblad!$F$41)</f>
        <v>0</v>
      </c>
      <c r="DZ116" s="9">
        <f>IA116*($Q116*$S116)/(1+Voorblad!$K$44)^(DZ$56-Voorblad!$F$41)</f>
        <v>0</v>
      </c>
      <c r="EA116" s="9">
        <f>IB116*($Q116*$S116)/(1+Voorblad!$K$44)^(EA$56-Voorblad!$F$41)</f>
        <v>0</v>
      </c>
      <c r="EB116" s="9">
        <f>IC116*($Q116*$S116)/(1+Voorblad!$K$44)^(EB$56-Voorblad!$F$41)</f>
        <v>0</v>
      </c>
      <c r="EE116" s="8">
        <v>0</v>
      </c>
      <c r="EF116" s="8">
        <f>IF(EF$56-Voorblad!$F$41&gt;Voorblad!$K$41,0,IF($U116=0,0,IF($U116&lt;1,1/$U116,IF((EF$56-Voorblad!$F$41)/$U116-SUM($EE116:EE116)=1,1,0))))</f>
        <v>0</v>
      </c>
      <c r="EG116" s="8">
        <f>IF(EG$56-Voorblad!$F$41&gt;Voorblad!$K$41,0,IF($U116=0,0,IF($U116&lt;1,1/$U116,IF((EG$56-Voorblad!$F$41)/$U116-SUM($EE116:EF116)=1,1,0))))</f>
        <v>0</v>
      </c>
      <c r="EH116" s="8">
        <f>IF(EH$56-Voorblad!$F$41&gt;Voorblad!$K$41,0,IF($U116=0,0,IF($U116&lt;1,1/$U116,IF((EH$56-Voorblad!$F$41)/$U116-SUM($EE116:EG116)=1,1,0))))</f>
        <v>0</v>
      </c>
      <c r="EI116" s="8">
        <f>IF(EI$56-Voorblad!$F$41&gt;Voorblad!$K$41,0,IF($U116=0,0,IF($U116&lt;1,1/$U116,IF((EI$56-Voorblad!$F$41)/$U116-SUM($EE116:EH116)=1,1,0))))</f>
        <v>0</v>
      </c>
      <c r="EJ116" s="8">
        <f>IF(EJ$56-Voorblad!$F$41&gt;Voorblad!$K$41,0,IF($U116=0,0,IF($U116&lt;1,1/$U116,IF((EJ$56-Voorblad!$F$41)/$U116-SUM($EE116:EI116)=1,1,0))))</f>
        <v>0</v>
      </c>
      <c r="EK116" s="8">
        <f>IF(EK$56-Voorblad!$F$41&gt;Voorblad!$K$41,0,IF($U116=0,0,IF($U116&lt;1,1/$U116,IF((EK$56-Voorblad!$F$41)/$U116-SUM($EE116:EJ116)=1,1,0))))</f>
        <v>0</v>
      </c>
      <c r="EL116" s="8">
        <f>IF(EL$56-Voorblad!$F$41&gt;Voorblad!$K$41,0,IF($U116=0,0,IF($U116&lt;1,1/$U116,IF((EL$56-Voorblad!$F$41)/$U116-SUM($EE116:EK116)=1,1,0))))</f>
        <v>0</v>
      </c>
      <c r="EM116" s="8">
        <f>IF(EM$56-Voorblad!$F$41&gt;Voorblad!$K$41,0,IF($U116=0,0,IF($U116&lt;1,1/$U116,IF((EM$56-Voorblad!$F$41)/$U116-SUM($EE116:EL116)=1,1,0))))</f>
        <v>0</v>
      </c>
      <c r="EN116" s="8">
        <f>IF(EN$56-Voorblad!$F$41&gt;Voorblad!$K$41,0,IF($U116=0,0,IF($U116&lt;1,1/$U116,IF((EN$56-Voorblad!$F$41)/$U116-SUM($EE116:EM116)=1,1,0))))</f>
        <v>0</v>
      </c>
      <c r="EO116" s="8">
        <f>IF(EO$56-Voorblad!$F$41&gt;Voorblad!$K$41,0,IF($U116=0,0,IF($U116&lt;1,1/$U116,IF((EO$56-Voorblad!$F$41)/$U116-SUM($EE116:EN116)=1,1,0))))</f>
        <v>0</v>
      </c>
      <c r="EP116" s="8">
        <f>IF(EP$56-Voorblad!$F$41&gt;Voorblad!$K$41,0,IF($U116=0,0,IF($U116&lt;1,1/$U116,IF((EP$56-Voorblad!$F$41)/$U116-SUM($EE116:EO116)=1,1,0))))</f>
        <v>0</v>
      </c>
      <c r="EQ116" s="8">
        <f>IF(EQ$56-Voorblad!$F$41&gt;Voorblad!$K$41,0,IF($U116=0,0,IF($U116&lt;1,1/$U116,IF((EQ$56-Voorblad!$F$41)/$U116-SUM($EE116:EP116)=1,1,0))))</f>
        <v>0</v>
      </c>
      <c r="ER116" s="8">
        <f>IF(ER$56-Voorblad!$F$41&gt;Voorblad!$K$41,0,IF($U116=0,0,IF($U116&lt;1,1/$U116,IF((ER$56-Voorblad!$F$41)/$U116-SUM($EE116:EQ116)=1,1,0))))</f>
        <v>0</v>
      </c>
      <c r="ES116" s="8">
        <f>IF(ES$56-Voorblad!$F$41&gt;Voorblad!$K$41,0,IF($U116=0,0,IF($U116&lt;1,1/$U116,IF((ES$56-Voorblad!$F$41)/$U116-SUM($EE116:ER116)=1,1,0))))</f>
        <v>0</v>
      </c>
      <c r="ET116" s="8">
        <f>IF(ET$56-Voorblad!$F$41&gt;Voorblad!$K$41,0,IF($U116=0,0,IF($U116&lt;1,1/$U116,IF((ET$56-Voorblad!$F$41)/$U116-SUM($EE116:ES116)=1,1,0))))</f>
        <v>0</v>
      </c>
      <c r="EU116" s="8">
        <f>IF(EU$56-Voorblad!$F$41&gt;Voorblad!$K$41,0,IF($U116=0,0,IF($U116&lt;1,1/$U116,IF((EU$56-Voorblad!$F$41)/$U116-SUM($EE116:ET116)=1,1,0))))</f>
        <v>1</v>
      </c>
      <c r="EV116" s="8">
        <f>IF(EV$56-Voorblad!$F$41&gt;Voorblad!$K$41,0,IF($U116=0,0,IF($U116&lt;1,1/$U116,IF((EV$56-Voorblad!$F$41)/$U116-SUM($EE116:EU116)=1,1,0))))</f>
        <v>0</v>
      </c>
      <c r="EW116" s="8">
        <f>IF(EW$56-Voorblad!$F$41&gt;Voorblad!$K$41,0,IF($U116=0,0,IF($U116&lt;1,1/$U116,IF((EW$56-Voorblad!$F$41)/$U116-SUM($EE116:EV116)=1,1,0))))</f>
        <v>0</v>
      </c>
      <c r="EX116" s="8">
        <f>IF(EX$56-Voorblad!$F$41&gt;Voorblad!$K$41,0,IF($U116=0,0,IF($U116&lt;1,1/$U116,IF((EX$56-Voorblad!$F$41)/$U116-SUM($EE116:EW116)=1,1,0))))</f>
        <v>0</v>
      </c>
      <c r="EY116" s="8">
        <f>IF(EY$56-Voorblad!$F$41&gt;Voorblad!$K$41,0,IF($U116=0,0,IF($U116&lt;1,1/$U116,IF((EY$56-Voorblad!$F$41)/$U116-SUM($EE116:EX116)=1,1,0))))</f>
        <v>0</v>
      </c>
      <c r="EZ116" s="8">
        <f>IF(EZ$56-Voorblad!$F$41&gt;Voorblad!$K$41,0,IF($U116=0,0,IF($U116&lt;1,1/$U116,IF((EZ$56-Voorblad!$F$41)/$U116-SUM($EE116:EY116)=1,1,0))))</f>
        <v>0</v>
      </c>
      <c r="FA116" s="8">
        <f>IF(FA$56-Voorblad!$F$41&gt;Voorblad!$K$41,0,IF($U116=0,0,IF($U116&lt;1,1/$U116,IF((FA$56-Voorblad!$F$41)/$U116-SUM($EE116:EZ116)=1,1,0))))</f>
        <v>0</v>
      </c>
      <c r="FB116" s="8">
        <f>IF(FB$56-Voorblad!$F$41&gt;Voorblad!$K$41,0,IF($U116=0,0,IF($U116&lt;1,1/$U116,IF((FB$56-Voorblad!$F$41)/$U116-SUM($EE116:FA116)=1,1,0))))</f>
        <v>0</v>
      </c>
      <c r="FC116" s="8">
        <f>IF(FC$56-Voorblad!$F$41&gt;Voorblad!$K$41,0,IF($U116=0,0,IF($U116&lt;1,1/$U116,IF((FC$56-Voorblad!$F$41)/$U116-SUM($EE116:FB116)=1,1,0))))</f>
        <v>0</v>
      </c>
      <c r="FD116" s="8">
        <f>IF(FD$56-Voorblad!$F$41&gt;Voorblad!$K$41,0,IF($U116=0,0,IF($U116&lt;1,1/$U116,IF((FD$56-Voorblad!$F$41)/$U116-SUM($EE116:FC116)=1,1,0))))</f>
        <v>0</v>
      </c>
      <c r="FE116" s="8">
        <f>IF(FE$56-Voorblad!$F$41&gt;Voorblad!$K$41,0,IF($U116=0,0,IF($U116&lt;1,1/$U116,IF((FE$56-Voorblad!$F$41)/$U116-SUM($EE116:FD116)=1,1,0))))</f>
        <v>0</v>
      </c>
      <c r="FF116" s="8">
        <f>IF(FF$56-Voorblad!$F$41&gt;Voorblad!$K$41,0,IF($U116=0,0,IF($U116&lt;1,1/$U116,IF((FF$56-Voorblad!$F$41)/$U116-SUM($EE116:FE116)=1,1,0))))</f>
        <v>0</v>
      </c>
      <c r="FG116" s="8">
        <f>IF(FG$56-Voorblad!$F$41&gt;Voorblad!$K$41,0,IF($U116=0,0,IF($U116&lt;1,1/$U116,IF((FG$56-Voorblad!$F$41)/$U116-SUM($EE116:FF116)=1,1,0))))</f>
        <v>0</v>
      </c>
      <c r="FH116" s="8">
        <f>IF(FH$56-Voorblad!$F$41&gt;Voorblad!$K$41,0,IF($U116=0,0,IF($U116&lt;1,1/$U116,IF((FH$56-Voorblad!$F$41)/$U116-SUM($EE116:FG116)=1,1,0))))</f>
        <v>0</v>
      </c>
      <c r="FI116" s="8">
        <f>IF(FI$56-Voorblad!$F$41&gt;Voorblad!$K$41,0,IF($U116=0,0,IF($U116&lt;1,1/$U116,IF((FI$56-Voorblad!$F$41)/$U116-SUM($EE116:FH116)=1,1,0))))</f>
        <v>0</v>
      </c>
      <c r="FJ116" s="8">
        <f>IF(FJ$56-Voorblad!$F$41&gt;Voorblad!$K$41,0,IF($U116=0,0,IF($U116&lt;1,1/$U116,IF((FJ$56-Voorblad!$F$41)/$U116-SUM($EE116:FI116)=1,1,0))))</f>
        <v>1</v>
      </c>
      <c r="FK116" s="8">
        <f>IF(FK$56-Voorblad!$F$41&gt;Voorblad!$K$41,0,IF($U116=0,0,IF($U116&lt;1,1/$U116,IF((FK$56-Voorblad!$F$41)/$U116-SUM($EE116:FJ116)=1,1,0))))</f>
        <v>0</v>
      </c>
      <c r="FL116" s="8">
        <f>IF(FL$56-Voorblad!$F$41&gt;Voorblad!$K$41,0,IF($U116=0,0,IF($U116&lt;1,1/$U116,IF((FL$56-Voorblad!$F$41)/$U116-SUM($EE116:FK116)=1,1,0))))</f>
        <v>0</v>
      </c>
      <c r="FM116" s="8">
        <f>IF(FM$56-Voorblad!$F$41&gt;Voorblad!$K$41,0,IF($U116=0,0,IF($U116&lt;1,1/$U116,IF((FM$56-Voorblad!$F$41)/$U116-SUM($EE116:FL116)=1,1,0))))</f>
        <v>0</v>
      </c>
      <c r="FN116" s="8">
        <f>IF(FN$56-Voorblad!$F$41&gt;Voorblad!$K$41,0,IF($U116=0,0,IF($U116&lt;1,1/$U116,IF((FN$56-Voorblad!$F$41)/$U116-SUM($EE116:FM116)=1,1,0))))</f>
        <v>0</v>
      </c>
      <c r="FO116" s="8">
        <f>IF(FO$56-Voorblad!$F$41&gt;Voorblad!$K$41,0,IF($U116=0,0,IF($U116&lt;1,1/$U116,IF((FO$56-Voorblad!$F$41)/$U116-SUM($EE116:FN116)=1,1,0))))</f>
        <v>0</v>
      </c>
      <c r="FP116" s="8">
        <f>IF(FP$56-Voorblad!$F$41&gt;Voorblad!$K$41,0,IF($U116=0,0,IF($U116&lt;1,1/$U116,IF((FP$56-Voorblad!$F$41)/$U116-SUM($EE116:FO116)=1,1,0))))</f>
        <v>0</v>
      </c>
      <c r="FQ116" s="8">
        <f>IF(FQ$56-Voorblad!$F$41&gt;Voorblad!$K$41,0,IF($U116=0,0,IF($U116&lt;1,1/$U116,IF((FQ$56-Voorblad!$F$41)/$U116-SUM($EE116:FP116)=1,1,0))))</f>
        <v>0</v>
      </c>
      <c r="FR116" s="8">
        <f>IF(FR$56-Voorblad!$F$41&gt;Voorblad!$K$41,0,IF($U116=0,0,IF($U116&lt;1,1/$U116,IF((FR$56-Voorblad!$F$41)/$U116-SUM($EE116:FQ116)=1,1,0))))</f>
        <v>0</v>
      </c>
      <c r="FS116" s="8">
        <f>IF(FS$56-Voorblad!$F$41&gt;Voorblad!$K$41,0,IF($U116=0,0,IF($U116&lt;1,1/$U116,IF((FS$56-Voorblad!$F$41)/$U116-SUM($EE116:FR116)=1,1,0))))</f>
        <v>0</v>
      </c>
      <c r="FT116" s="8">
        <f>IF(FT$56-Voorblad!$F$41&gt;Voorblad!$K$41,0,IF($U116=0,0,IF($U116&lt;1,1/$U116,IF((FT$56-Voorblad!$F$41)/$U116-SUM($EE116:FS116)=1,1,0))))</f>
        <v>0</v>
      </c>
      <c r="FU116" s="8">
        <f>IF(FU$56-Voorblad!$F$41&gt;Voorblad!$K$41,0,IF($U116=0,0,IF($U116&lt;1,1/$U116,IF((FU$56-Voorblad!$F$41)/$U116-SUM($EE116:FT116)=1,1,0))))</f>
        <v>0</v>
      </c>
      <c r="FV116" s="8">
        <f>IF(FV$56-Voorblad!$F$41&gt;Voorblad!$K$41,0,IF($U116=0,0,IF($U116&lt;1,1/$U116,IF((FV$56-Voorblad!$F$41)/$U116-SUM($EE116:FU116)=1,1,0))))</f>
        <v>0</v>
      </c>
      <c r="FW116" s="8">
        <f>IF(FW$56-Voorblad!$F$41&gt;Voorblad!$K$41,0,IF($U116=0,0,IF($U116&lt;1,1/$U116,IF((FW$56-Voorblad!$F$41)/$U116-SUM($EE116:FV116)=1,1,0))))</f>
        <v>0</v>
      </c>
      <c r="FX116" s="8">
        <f>IF(FX$56-Voorblad!$F$41&gt;Voorblad!$K$41,0,IF($U116=0,0,IF($U116&lt;1,1/$U116,IF((FX$56-Voorblad!$F$41)/$U116-SUM($EE116:FW116)=1,1,0))))</f>
        <v>0</v>
      </c>
      <c r="FY116" s="8">
        <f>IF(FY$56-Voorblad!$F$41&gt;Voorblad!$K$41,0,IF($U116=0,0,IF($U116&lt;1,1/$U116,IF((FY$56-Voorblad!$F$41)/$U116-SUM($EE116:FX116)=1,1,0))))</f>
        <v>1</v>
      </c>
      <c r="FZ116" s="8">
        <f>IF(FZ$56-Voorblad!$F$41&gt;Voorblad!$K$41,0,IF($U116=0,0,IF($U116&lt;1,1/$U116,IF((FZ$56-Voorblad!$F$41)/$U116-SUM($EE116:FY116)=1,1,0))))</f>
        <v>0</v>
      </c>
      <c r="GA116" s="8">
        <f>IF(GA$56-Voorblad!$F$41&gt;Voorblad!$K$41,0,IF($U116=0,0,IF($U116&lt;1,1/$U116,IF((GA$56-Voorblad!$F$41)/$U116-SUM($EE116:FZ116)=1,1,0))))</f>
        <v>0</v>
      </c>
      <c r="GB116" s="8">
        <f>IF(GB$56-Voorblad!$F$41&gt;Voorblad!$K$41,0,IF($U116=0,0,IF($U116&lt;1,1/$U116,IF((GB$56-Voorblad!$F$41)/$U116-SUM($EE116:GA116)=1,1,0))))</f>
        <v>0</v>
      </c>
      <c r="GC116" s="8">
        <f>IF(GC$56-Voorblad!$F$41&gt;Voorblad!$K$41,0,IF($U116=0,0,IF($U116&lt;1,1/$U116,IF((GC$56-Voorblad!$F$41)/$U116-SUM($EE116:GB116)=1,1,0))))</f>
        <v>0</v>
      </c>
      <c r="GD116" s="8">
        <f>IF(GD$56-Voorblad!$F$41&gt;Voorblad!$K$41,0,IF($U116=0,0,IF($U116&lt;1,1/$U116,IF((GD$56-Voorblad!$F$41)/$U116-SUM($EE116:GC116)=1,1,0))))</f>
        <v>0</v>
      </c>
      <c r="GE116" s="8">
        <f>IF(GE$56-Voorblad!$F$41&gt;Voorblad!$K$41,0,IF($U116=0,0,IF($U116&lt;1,1/$U116,IF((GE$56-Voorblad!$F$41)/$U116-SUM($EE116:GD116)=1,1,0))))</f>
        <v>0</v>
      </c>
      <c r="GF116" s="8">
        <f>IF(GF$56-Voorblad!$F$41&gt;Voorblad!$K$41,0,IF($U116=0,0,IF($U116&lt;1,1/$U116,IF((GF$56-Voorblad!$F$41)/$U116-SUM($EE116:GE116)=1,1,0))))</f>
        <v>0</v>
      </c>
      <c r="GG116" s="8">
        <f>IF(GG$56-Voorblad!$F$41&gt;Voorblad!$K$41,0,IF($U116=0,0,IF($U116&lt;1,1/$U116,IF((GG$56-Voorblad!$F$41)/$U116-SUM($EE116:GF116)=1,1,0))))</f>
        <v>0</v>
      </c>
      <c r="GH116" s="8">
        <f>IF(GH$56-Voorblad!$F$41&gt;Voorblad!$K$41,0,IF($U116=0,0,IF($U116&lt;1,1/$U116,IF((GH$56-Voorblad!$F$41)/$U116-SUM($EE116:GG116)=1,1,0))))</f>
        <v>0</v>
      </c>
      <c r="GI116" s="8">
        <f>IF(GI$56-Voorblad!$F$41&gt;Voorblad!$K$41,0,IF($U116=0,0,IF($U116&lt;1,1/$U116,IF((GI$56-Voorblad!$F$41)/$U116-SUM($EE116:GH116)=1,1,0))))</f>
        <v>0</v>
      </c>
      <c r="GJ116" s="8">
        <f>IF(GJ$56-Voorblad!$F$41&gt;Voorblad!$K$41,0,IF($U116=0,0,IF($U116&lt;1,1/$U116,IF((GJ$56-Voorblad!$F$41)/$U116-SUM($EE116:GI116)=1,1,0))))</f>
        <v>0</v>
      </c>
      <c r="GK116" s="8">
        <f>IF(GK$56-Voorblad!$F$41&gt;Voorblad!$K$41,0,IF($U116=0,0,IF($U116&lt;1,1/$U116,IF((GK$56-Voorblad!$F$41)/$U116-SUM($EE116:GJ116)=1,1,0))))</f>
        <v>0</v>
      </c>
      <c r="GL116" s="8">
        <f>IF(GL$56-Voorblad!$F$41&gt;Voorblad!$K$41,0,IF($U116=0,0,IF($U116&lt;1,1/$U116,IF((GL$56-Voorblad!$F$41)/$U116-SUM($EE116:GK116)=1,1,0))))</f>
        <v>0</v>
      </c>
      <c r="GM116" s="8">
        <f>IF(GM$56-Voorblad!$F$41&gt;Voorblad!$K$41,0,IF($U116=0,0,IF($U116&lt;1,1/$U116,IF((GM$56-Voorblad!$F$41)/$U116-SUM($EE116:GL116)=1,1,0))))</f>
        <v>0</v>
      </c>
      <c r="GN116" s="8">
        <f>IF(GN$56-Voorblad!$F$41&gt;Voorblad!$K$41,0,IF($U116=0,0,IF($U116&lt;1,1/$U116,IF((GN$56-Voorblad!$F$41)/$U116-SUM($EE116:GM116)=1,1,0))))</f>
        <v>1</v>
      </c>
      <c r="GO116" s="8">
        <f>IF(GO$56-Voorblad!$F$41&gt;Voorblad!$K$41,0,IF($U116=0,0,IF($U116&lt;1,1/$U116,IF((GO$56-Voorblad!$F$41)/$U116-SUM($EE116:GN116)=1,1,0))))</f>
        <v>0</v>
      </c>
      <c r="GP116" s="8">
        <f>IF(GP$56-Voorblad!$F$41&gt;Voorblad!$K$41,0,IF($U116=0,0,IF($U116&lt;1,1/$U116,IF((GP$56-Voorblad!$F$41)/$U116-SUM($EE116:GO116)=1,1,0))))</f>
        <v>0</v>
      </c>
      <c r="GQ116" s="8">
        <f>IF(GQ$56-Voorblad!$F$41&gt;Voorblad!$K$41,0,IF($U116=0,0,IF($U116&lt;1,1/$U116,IF((GQ$56-Voorblad!$F$41)/$U116-SUM($EE116:GP116)=1,1,0))))</f>
        <v>0</v>
      </c>
      <c r="GR116" s="8">
        <f>IF(GR$56-Voorblad!$F$41&gt;Voorblad!$K$41,0,IF($U116=0,0,IF($U116&lt;1,1/$U116,IF((GR$56-Voorblad!$F$41)/$U116-SUM($EE116:GQ116)=1,1,0))))</f>
        <v>0</v>
      </c>
      <c r="GS116" s="8">
        <f>IF(GS$56-Voorblad!$F$41&gt;Voorblad!$K$41,0,IF($U116=0,0,IF($U116&lt;1,1/$U116,IF((GS$56-Voorblad!$F$41)/$U116-SUM($EE116:GR116)=1,1,0))))</f>
        <v>0</v>
      </c>
      <c r="GT116" s="8">
        <f>IF(GT$56-Voorblad!$F$41&gt;Voorblad!$K$41,0,IF($U116=0,0,IF($U116&lt;1,1/$U116,IF((GT$56-Voorblad!$F$41)/$U116-SUM($EE116:GS116)=1,1,0))))</f>
        <v>0</v>
      </c>
      <c r="GU116" s="8">
        <f>IF(GU$56-Voorblad!$F$41&gt;Voorblad!$K$41,0,IF($U116=0,0,IF($U116&lt;1,1/$U116,IF((GU$56-Voorblad!$F$41)/$U116-SUM($EE116:GT116)=1,1,0))))</f>
        <v>0</v>
      </c>
      <c r="GV116" s="8">
        <f>IF(GV$56-Voorblad!$F$41&gt;Voorblad!$K$41,0,IF($U116=0,0,IF($U116&lt;1,1/$U116,IF((GV$56-Voorblad!$F$41)/$U116-SUM($EE116:GU116)=1,1,0))))</f>
        <v>0</v>
      </c>
      <c r="GW116" s="8">
        <f>IF(GW$56-Voorblad!$F$41&gt;Voorblad!$K$41,0,IF($U116=0,0,IF($U116&lt;1,1/$U116,IF((GW$56-Voorblad!$F$41)/$U116-SUM($EE116:GV116)=1,1,0))))</f>
        <v>0</v>
      </c>
      <c r="GX116" s="8">
        <f>IF(GX$56-Voorblad!$F$41&gt;Voorblad!$K$41,0,IF($U116=0,0,IF($U116&lt;1,1/$U116,IF((GX$56-Voorblad!$F$41)/$U116-SUM($EE116:GW116)=1,1,0))))</f>
        <v>0</v>
      </c>
      <c r="GY116" s="8">
        <f>IF(GY$56-Voorblad!$F$41&gt;Voorblad!$K$41,0,IF($U116=0,0,IF($U116&lt;1,1/$U116,IF((GY$56-Voorblad!$F$41)/$U116-SUM($EE116:GX116)=1,1,0))))</f>
        <v>0</v>
      </c>
      <c r="GZ116" s="8">
        <f>IF(GZ$56-Voorblad!$F$41&gt;Voorblad!$K$41,0,IF($U116=0,0,IF($U116&lt;1,1/$U116,IF((GZ$56-Voorblad!$F$41)/$U116-SUM($EE116:GY116)=1,1,0))))</f>
        <v>0</v>
      </c>
      <c r="HA116" s="8">
        <f>IF(HA$56-Voorblad!$F$41&gt;Voorblad!$K$41,0,IF($U116=0,0,IF($U116&lt;1,1/$U116,IF((HA$56-Voorblad!$F$41)/$U116-SUM($EE116:GZ116)=1,1,0))))</f>
        <v>0</v>
      </c>
      <c r="HB116" s="8">
        <f>IF(HB$56-Voorblad!$F$41&gt;Voorblad!$K$41,0,IF($U116=0,0,IF($U116&lt;1,1/$U116,IF((HB$56-Voorblad!$F$41)/$U116-SUM($EE116:HA116)=1,1,0))))</f>
        <v>0</v>
      </c>
      <c r="HC116" s="8">
        <f>IF(HC$56-Voorblad!$F$41&gt;Voorblad!$K$41,0,IF($U116=0,0,IF($U116&lt;1,1/$U116,IF((HC$56-Voorblad!$F$41)/$U116-SUM($EE116:HB116)=1,1,0))))</f>
        <v>0</v>
      </c>
      <c r="HD116" s="8">
        <f>IF(HD$56-Voorblad!$F$41&gt;Voorblad!$K$41,0,IF($U116=0,0,IF($U116&lt;1,1/$U116,IF((HD$56-Voorblad!$F$41)/$U116-SUM($EE116:HC116)=1,1,0))))</f>
        <v>0</v>
      </c>
      <c r="HE116" s="8">
        <f>IF(HE$56-Voorblad!$F$41&gt;Voorblad!$K$41,0,IF($U116=0,0,IF($U116&lt;1,1/$U116,IF((HE$56-Voorblad!$F$41)/$U116-SUM($EE116:HD116)=1,1,0))))</f>
        <v>0</v>
      </c>
      <c r="HF116" s="8">
        <f>IF(HF$56-Voorblad!$F$41&gt;Voorblad!$K$41,0,IF($U116=0,0,IF($U116&lt;1,1/$U116,IF((HF$56-Voorblad!$F$41)/$U116-SUM($EE116:HE116)=1,1,0))))</f>
        <v>0</v>
      </c>
      <c r="HG116" s="8">
        <f>IF(HG$56-Voorblad!$F$41&gt;Voorblad!$K$41,0,IF($U116=0,0,IF($U116&lt;1,1/$U116,IF((HG$56-Voorblad!$F$41)/$U116-SUM($EE116:HF116)=1,1,0))))</f>
        <v>0</v>
      </c>
      <c r="HH116" s="8">
        <f>IF(HH$56-Voorblad!$F$41&gt;Voorblad!$K$41,0,IF($U116=0,0,IF($U116&lt;1,1/$U116,IF((HH$56-Voorblad!$F$41)/$U116-SUM($EE116:HG116)=1,1,0))))</f>
        <v>0</v>
      </c>
      <c r="HI116" s="8">
        <f>IF(HI$56-Voorblad!$F$41&gt;Voorblad!$K$41,0,IF($U116=0,0,IF($U116&lt;1,1/$U116,IF((HI$56-Voorblad!$F$41)/$U116-SUM($EE116:HH116)=1,1,0))))</f>
        <v>0</v>
      </c>
      <c r="HJ116" s="8">
        <f>IF(HJ$56-Voorblad!$F$41&gt;Voorblad!$K$41,0,IF($U116=0,0,IF($U116&lt;1,1/$U116,IF((HJ$56-Voorblad!$F$41)/$U116-SUM($EE116:HI116)=1,1,0))))</f>
        <v>0</v>
      </c>
      <c r="HK116" s="8">
        <f>IF(HK$56-Voorblad!$F$41&gt;Voorblad!$K$41,0,IF($U116=0,0,IF($U116&lt;1,1/$U116,IF((HK$56-Voorblad!$F$41)/$U116-SUM($EE116:HJ116)=1,1,0))))</f>
        <v>0</v>
      </c>
      <c r="HL116" s="8">
        <f>IF(HL$56-Voorblad!$F$41&gt;Voorblad!$K$41,0,IF($U116=0,0,IF($U116&lt;1,1/$U116,IF((HL$56-Voorblad!$F$41)/$U116-SUM($EE116:HK116)=1,1,0))))</f>
        <v>0</v>
      </c>
      <c r="HM116" s="8">
        <f>IF(HM$56-Voorblad!$F$41&gt;Voorblad!$K$41,0,IF($U116=0,0,IF($U116&lt;1,1/$U116,IF((HM$56-Voorblad!$F$41)/$U116-SUM($EE116:HL116)=1,1,0))))</f>
        <v>0</v>
      </c>
      <c r="HN116" s="8">
        <f>IF(HN$56-Voorblad!$F$41&gt;Voorblad!$K$41,0,IF($U116=0,0,IF($U116&lt;1,1/$U116,IF((HN$56-Voorblad!$F$41)/$U116-SUM($EE116:HM116)=1,1,0))))</f>
        <v>0</v>
      </c>
      <c r="HO116" s="8">
        <f>IF(HO$56-Voorblad!$F$41&gt;Voorblad!$K$41,0,IF($U116=0,0,IF($U116&lt;1,1/$U116,IF((HO$56-Voorblad!$F$41)/$U116-SUM($EE116:HN116)=1,1,0))))</f>
        <v>0</v>
      </c>
      <c r="HP116" s="8">
        <f>IF(HP$56-Voorblad!$F$41&gt;Voorblad!$K$41,0,IF($U116=0,0,IF($U116&lt;1,1/$U116,IF((HP$56-Voorblad!$F$41)/$U116-SUM($EE116:HO116)=1,1,0))))</f>
        <v>0</v>
      </c>
      <c r="HQ116" s="8">
        <f>IF(HQ$56-Voorblad!$F$41&gt;Voorblad!$K$41,0,IF($U116=0,0,IF($U116&lt;1,1/$U116,IF((HQ$56-Voorblad!$F$41)/$U116-SUM($EE116:HP116)=1,1,0))))</f>
        <v>0</v>
      </c>
      <c r="HR116" s="8">
        <f>IF(HR$56-Voorblad!$F$41&gt;Voorblad!$K$41,0,IF($U116=0,0,IF($U116&lt;1,1/$U116,IF((HR$56-Voorblad!$F$41)/$U116-SUM($EE116:HQ116)=1,1,0))))</f>
        <v>0</v>
      </c>
      <c r="HS116" s="8">
        <f>IF(HS$56-Voorblad!$F$41&gt;Voorblad!$K$41,0,IF($U116=0,0,IF($U116&lt;1,1/$U116,IF((HS$56-Voorblad!$F$41)/$U116-SUM($EE116:HR116)=1,1,0))))</f>
        <v>0</v>
      </c>
      <c r="HT116" s="8">
        <f>IF(HT$56-Voorblad!$F$41&gt;Voorblad!$K$41,0,IF($U116=0,0,IF($U116&lt;1,1/$U116,IF((HT$56-Voorblad!$F$41)/$U116-SUM($EE116:HS116)=1,1,0))))</f>
        <v>0</v>
      </c>
      <c r="HU116" s="8">
        <f>IF(HU$56-Voorblad!$F$41&gt;Voorblad!$K$41,0,IF($U116=0,0,IF($U116&lt;1,1/$U116,IF((HU$56-Voorblad!$F$41)/$U116-SUM($EE116:HT116)=1,1,0))))</f>
        <v>0</v>
      </c>
      <c r="HV116" s="8">
        <f>IF(HV$56-Voorblad!$F$41&gt;Voorblad!$K$41,0,IF($U116=0,0,IF($U116&lt;1,1/$U116,IF((HV$56-Voorblad!$F$41)/$U116-SUM($EE116:HU116)=1,1,0))))</f>
        <v>0</v>
      </c>
      <c r="HW116" s="8">
        <f>IF(HW$56-Voorblad!$F$41&gt;Voorblad!$K$41,0,IF($U116=0,0,IF($U116&lt;1,1/$U116,IF((HW$56-Voorblad!$F$41)/$U116-SUM($EE116:HV116)=1,1,0))))</f>
        <v>0</v>
      </c>
      <c r="HX116" s="8">
        <f>IF(HX$56-Voorblad!$F$41&gt;Voorblad!$K$41,0,IF($U116=0,0,IF($U116&lt;1,1/$U116,IF((HX$56-Voorblad!$F$41)/$U116-SUM($EE116:HW116)=1,1,0))))</f>
        <v>0</v>
      </c>
      <c r="HY116" s="8">
        <f>IF(HY$56-Voorblad!$F$41&gt;Voorblad!$K$41,0,IF($U116=0,0,IF($U116&lt;1,1/$U116,IF((HY$56-Voorblad!$F$41)/$U116-SUM($EE116:HX116)=1,1,0))))</f>
        <v>0</v>
      </c>
      <c r="HZ116" s="8">
        <f>IF(HZ$56-Voorblad!$F$41&gt;Voorblad!$K$41,0,IF($U116=0,0,IF($U116&lt;1,1/$U116,IF((HZ$56-Voorblad!$F$41)/$U116-SUM($EE116:HY116)=1,1,0))))</f>
        <v>0</v>
      </c>
      <c r="IA116" s="8">
        <f>IF(IA$56-Voorblad!$F$41&gt;Voorblad!$K$41,0,IF($U116=0,0,IF($U116&lt;1,1/$U116,IF((IA$56-Voorblad!$F$41)/$U116-SUM($EE116:HZ116)=1,1,0))))</f>
        <v>0</v>
      </c>
      <c r="IB116" s="8">
        <f>IF(IB$56-Voorblad!$F$41&gt;Voorblad!$K$41,0,IF($U116=0,0,IF($U116&lt;1,1/$U116,IF((IB$56-Voorblad!$F$41)/$U116-SUM($EE116:IA116)=1,1,0))))</f>
        <v>0</v>
      </c>
    </row>
    <row r="117" spans="2:236" ht="12" customHeight="1" outlineLevel="1" x14ac:dyDescent="0.25">
      <c r="B117" s="1">
        <v>3</v>
      </c>
      <c r="F117" s="1" t="s">
        <v>23</v>
      </c>
      <c r="I117" s="1" t="s">
        <v>277</v>
      </c>
      <c r="K117" s="14" t="s">
        <v>198</v>
      </c>
      <c r="L117" s="14"/>
      <c r="M117" s="14"/>
      <c r="O117" s="1" t="s">
        <v>172</v>
      </c>
      <c r="P117" s="1" t="s">
        <v>175</v>
      </c>
      <c r="Q117" s="83">
        <f>2.5%*2*15.9</f>
        <v>0.79500000000000004</v>
      </c>
      <c r="R117" s="1" t="s">
        <v>34</v>
      </c>
      <c r="S117" s="14">
        <f>$H$20*500</f>
        <v>885</v>
      </c>
      <c r="T117" s="9">
        <f t="shared" si="20"/>
        <v>703.57500000000005</v>
      </c>
      <c r="U117" s="14">
        <v>15</v>
      </c>
      <c r="V117" s="14"/>
      <c r="Y117" s="9">
        <f t="shared" si="22"/>
        <v>1212.7284702248503</v>
      </c>
      <c r="Z117" s="82"/>
      <c r="AA117" s="82"/>
      <c r="AC117" s="9">
        <f>$Y117*(Voorblad!$K$44*(1+Voorblad!$K$44)^Voorblad!$K$41)/((1+Voorblad!$K$44)^Voorblad!$K$41-1)</f>
        <v>36.303850739433607</v>
      </c>
      <c r="AE117" s="9">
        <f>EF117*($Q117*$S117)/(1+Voorblad!$K$44)^(AE$56-Voorblad!$F$41)</f>
        <v>0</v>
      </c>
      <c r="AF117" s="9">
        <f>EG117*($Q117*$S117)/(1+Voorblad!$K$44)^(AF$56-Voorblad!$F$41)</f>
        <v>0</v>
      </c>
      <c r="AG117" s="9">
        <f>EH117*($Q117*$S117)/(1+Voorblad!$K$44)^(AG$56-Voorblad!$F$41)</f>
        <v>0</v>
      </c>
      <c r="AH117" s="9">
        <f>EI117*($Q117*$S117)/(1+Voorblad!$K$44)^(AH$56-Voorblad!$F$41)</f>
        <v>0</v>
      </c>
      <c r="AI117" s="9">
        <f>EJ117*($Q117*$S117)/(1+Voorblad!$K$44)^(AI$56-Voorblad!$F$41)</f>
        <v>0</v>
      </c>
      <c r="AJ117" s="9">
        <f>EK117*($Q117*$S117)/(1+Voorblad!$K$44)^(AJ$56-Voorblad!$F$41)</f>
        <v>0</v>
      </c>
      <c r="AK117" s="9">
        <f>EL117*($Q117*$S117)/(1+Voorblad!$K$44)^(AK$56-Voorblad!$F$41)</f>
        <v>0</v>
      </c>
      <c r="AL117" s="9">
        <f>EM117*($Q117*$S117)/(1+Voorblad!$K$44)^(AL$56-Voorblad!$F$41)</f>
        <v>0</v>
      </c>
      <c r="AM117" s="9">
        <f>EN117*($Q117*$S117)/(1+Voorblad!$K$44)^(AM$56-Voorblad!$F$41)</f>
        <v>0</v>
      </c>
      <c r="AN117" s="9">
        <f>EO117*($Q117*$S117)/(1+Voorblad!$K$44)^(AN$56-Voorblad!$F$41)</f>
        <v>0</v>
      </c>
      <c r="AO117" s="9">
        <f>EP117*($Q117*$S117)/(1+Voorblad!$K$44)^(AO$56-Voorblad!$F$41)</f>
        <v>0</v>
      </c>
      <c r="AP117" s="9">
        <f>EQ117*($Q117*$S117)/(1+Voorblad!$K$44)^(AP$56-Voorblad!$F$41)</f>
        <v>0</v>
      </c>
      <c r="AQ117" s="9">
        <f>ER117*($Q117*$S117)/(1+Voorblad!$K$44)^(AQ$56-Voorblad!$F$41)</f>
        <v>0</v>
      </c>
      <c r="AR117" s="9">
        <f>ES117*($Q117*$S117)/(1+Voorblad!$K$44)^(AR$56-Voorblad!$F$41)</f>
        <v>0</v>
      </c>
      <c r="AS117" s="9">
        <f>ET117*($Q117*$S117)/(1+Voorblad!$K$44)^(AS$56-Voorblad!$F$41)</f>
        <v>0</v>
      </c>
      <c r="AT117" s="9">
        <f>EU117*($Q117*$S117)/(1+Voorblad!$K$44)^(AT$56-Voorblad!$F$41)</f>
        <v>485.79430415298947</v>
      </c>
      <c r="AU117" s="9">
        <f>EV117*($Q117*$S117)/(1+Voorblad!$K$44)^(AU$56-Voorblad!$F$41)</f>
        <v>0</v>
      </c>
      <c r="AV117" s="9">
        <f>EW117*($Q117*$S117)/(1+Voorblad!$K$44)^(AV$56-Voorblad!$F$41)</f>
        <v>0</v>
      </c>
      <c r="AW117" s="9">
        <f>EX117*($Q117*$S117)/(1+Voorblad!$K$44)^(AW$56-Voorblad!$F$41)</f>
        <v>0</v>
      </c>
      <c r="AX117" s="9">
        <f>EY117*($Q117*$S117)/(1+Voorblad!$K$44)^(AX$56-Voorblad!$F$41)</f>
        <v>0</v>
      </c>
      <c r="AY117" s="9">
        <f>EZ117*($Q117*$S117)/(1+Voorblad!$K$44)^(AY$56-Voorblad!$F$41)</f>
        <v>0</v>
      </c>
      <c r="AZ117" s="9">
        <f>FA117*($Q117*$S117)/(1+Voorblad!$K$44)^(AZ$56-Voorblad!$F$41)</f>
        <v>0</v>
      </c>
      <c r="BA117" s="9">
        <f>FB117*($Q117*$S117)/(1+Voorblad!$K$44)^(BA$56-Voorblad!$F$41)</f>
        <v>0</v>
      </c>
      <c r="BB117" s="9">
        <f>FC117*($Q117*$S117)/(1+Voorblad!$K$44)^(BB$56-Voorblad!$F$41)</f>
        <v>0</v>
      </c>
      <c r="BC117" s="9">
        <f>FD117*($Q117*$S117)/(1+Voorblad!$K$44)^(BC$56-Voorblad!$F$41)</f>
        <v>0</v>
      </c>
      <c r="BD117" s="9">
        <f>FE117*($Q117*$S117)/(1+Voorblad!$K$44)^(BD$56-Voorblad!$F$41)</f>
        <v>0</v>
      </c>
      <c r="BE117" s="9">
        <f>FF117*($Q117*$S117)/(1+Voorblad!$K$44)^(BE$56-Voorblad!$F$41)</f>
        <v>0</v>
      </c>
      <c r="BF117" s="9">
        <f>FG117*($Q117*$S117)/(1+Voorblad!$K$44)^(BF$56-Voorblad!$F$41)</f>
        <v>0</v>
      </c>
      <c r="BG117" s="9">
        <f>FH117*($Q117*$S117)/(1+Voorblad!$K$44)^(BG$56-Voorblad!$F$41)</f>
        <v>0</v>
      </c>
      <c r="BH117" s="9">
        <f>FI117*($Q117*$S117)/(1+Voorblad!$K$44)^(BH$56-Voorblad!$F$41)</f>
        <v>0</v>
      </c>
      <c r="BI117" s="9">
        <f>FJ117*($Q117*$S117)/(1+Voorblad!$K$44)^(BI$56-Voorblad!$F$41)</f>
        <v>335.42423472620158</v>
      </c>
      <c r="BJ117" s="9">
        <f>FK117*($Q117*$S117)/(1+Voorblad!$K$44)^(BJ$56-Voorblad!$F$41)</f>
        <v>0</v>
      </c>
      <c r="BK117" s="9">
        <f>FL117*($Q117*$S117)/(1+Voorblad!$K$44)^(BK$56-Voorblad!$F$41)</f>
        <v>0</v>
      </c>
      <c r="BL117" s="9">
        <f>FM117*($Q117*$S117)/(1+Voorblad!$K$44)^(BL$56-Voorblad!$F$41)</f>
        <v>0</v>
      </c>
      <c r="BM117" s="9">
        <f>FN117*($Q117*$S117)/(1+Voorblad!$K$44)^(BM$56-Voorblad!$F$41)</f>
        <v>0</v>
      </c>
      <c r="BN117" s="9">
        <f>FO117*($Q117*$S117)/(1+Voorblad!$K$44)^(BN$56-Voorblad!$F$41)</f>
        <v>0</v>
      </c>
      <c r="BO117" s="9">
        <f>FP117*($Q117*$S117)/(1+Voorblad!$K$44)^(BO$56-Voorblad!$F$41)</f>
        <v>0</v>
      </c>
      <c r="BP117" s="9">
        <f>FQ117*($Q117*$S117)/(1+Voorblad!$K$44)^(BP$56-Voorblad!$F$41)</f>
        <v>0</v>
      </c>
      <c r="BQ117" s="9">
        <f>FR117*($Q117*$S117)/(1+Voorblad!$K$44)^(BQ$56-Voorblad!$F$41)</f>
        <v>0</v>
      </c>
      <c r="BR117" s="9">
        <f>FS117*($Q117*$S117)/(1+Voorblad!$K$44)^(BR$56-Voorblad!$F$41)</f>
        <v>0</v>
      </c>
      <c r="BS117" s="9">
        <f>FT117*($Q117*$S117)/(1+Voorblad!$K$44)^(BS$56-Voorblad!$F$41)</f>
        <v>0</v>
      </c>
      <c r="BT117" s="9">
        <f>FU117*($Q117*$S117)/(1+Voorblad!$K$44)^(BT$56-Voorblad!$F$41)</f>
        <v>0</v>
      </c>
      <c r="BU117" s="9">
        <f>FV117*($Q117*$S117)/(1+Voorblad!$K$44)^(BU$56-Voorblad!$F$41)</f>
        <v>0</v>
      </c>
      <c r="BV117" s="9">
        <f>FW117*($Q117*$S117)/(1+Voorblad!$K$44)^(BV$56-Voorblad!$F$41)</f>
        <v>0</v>
      </c>
      <c r="BW117" s="9">
        <f>FX117*($Q117*$S117)/(1+Voorblad!$K$44)^(BW$56-Voorblad!$F$41)</f>
        <v>0</v>
      </c>
      <c r="BX117" s="9">
        <f>FY117*($Q117*$S117)/(1+Voorblad!$K$44)^(BX$56-Voorblad!$F$41)</f>
        <v>231.59888100751743</v>
      </c>
      <c r="BY117" s="9">
        <f>FZ117*($Q117*$S117)/(1+Voorblad!$K$44)^(BY$56-Voorblad!$F$41)</f>
        <v>0</v>
      </c>
      <c r="BZ117" s="9">
        <f>GA117*($Q117*$S117)/(1+Voorblad!$K$44)^(BZ$56-Voorblad!$F$41)</f>
        <v>0</v>
      </c>
      <c r="CA117" s="9">
        <f>GB117*($Q117*$S117)/(1+Voorblad!$K$44)^(CA$56-Voorblad!$F$41)</f>
        <v>0</v>
      </c>
      <c r="CB117" s="9">
        <f>GC117*($Q117*$S117)/(1+Voorblad!$K$44)^(CB$56-Voorblad!$F$41)</f>
        <v>0</v>
      </c>
      <c r="CC117" s="9">
        <f>GD117*($Q117*$S117)/(1+Voorblad!$K$44)^(CC$56-Voorblad!$F$41)</f>
        <v>0</v>
      </c>
      <c r="CD117" s="9">
        <f>GE117*($Q117*$S117)/(1+Voorblad!$K$44)^(CD$56-Voorblad!$F$41)</f>
        <v>0</v>
      </c>
      <c r="CE117" s="9">
        <f>GF117*($Q117*$S117)/(1+Voorblad!$K$44)^(CE$56-Voorblad!$F$41)</f>
        <v>0</v>
      </c>
      <c r="CF117" s="9">
        <f>GG117*($Q117*$S117)/(1+Voorblad!$K$44)^(CF$56-Voorblad!$F$41)</f>
        <v>0</v>
      </c>
      <c r="CG117" s="9">
        <f>GH117*($Q117*$S117)/(1+Voorblad!$K$44)^(CG$56-Voorblad!$F$41)</f>
        <v>0</v>
      </c>
      <c r="CH117" s="9">
        <f>GI117*($Q117*$S117)/(1+Voorblad!$K$44)^(CH$56-Voorblad!$F$41)</f>
        <v>0</v>
      </c>
      <c r="CI117" s="9">
        <f>GJ117*($Q117*$S117)/(1+Voorblad!$K$44)^(CI$56-Voorblad!$F$41)</f>
        <v>0</v>
      </c>
      <c r="CJ117" s="9">
        <f>GK117*($Q117*$S117)/(1+Voorblad!$K$44)^(CJ$56-Voorblad!$F$41)</f>
        <v>0</v>
      </c>
      <c r="CK117" s="9">
        <f>GL117*($Q117*$S117)/(1+Voorblad!$K$44)^(CK$56-Voorblad!$F$41)</f>
        <v>0</v>
      </c>
      <c r="CL117" s="9">
        <f>GM117*($Q117*$S117)/(1+Voorblad!$K$44)^(CL$56-Voorblad!$F$41)</f>
        <v>0</v>
      </c>
      <c r="CM117" s="9">
        <f>GN117*($Q117*$S117)/(1+Voorblad!$K$44)^(CM$56-Voorblad!$F$41)</f>
        <v>159.91105033814154</v>
      </c>
      <c r="CN117" s="9">
        <f>GO117*($Q117*$S117)/(1+Voorblad!$K$44)^(CN$56-Voorblad!$F$41)</f>
        <v>0</v>
      </c>
      <c r="CO117" s="9">
        <f>GP117*($Q117*$S117)/(1+Voorblad!$K$44)^(CO$56-Voorblad!$F$41)</f>
        <v>0</v>
      </c>
      <c r="CP117" s="9">
        <f>GQ117*($Q117*$S117)/(1+Voorblad!$K$44)^(CP$56-Voorblad!$F$41)</f>
        <v>0</v>
      </c>
      <c r="CQ117" s="9">
        <f>GR117*($Q117*$S117)/(1+Voorblad!$K$44)^(CQ$56-Voorblad!$F$41)</f>
        <v>0</v>
      </c>
      <c r="CR117" s="9">
        <f>GS117*($Q117*$S117)/(1+Voorblad!$K$44)^(CR$56-Voorblad!$F$41)</f>
        <v>0</v>
      </c>
      <c r="CS117" s="9">
        <f>GT117*($Q117*$S117)/(1+Voorblad!$K$44)^(CS$56-Voorblad!$F$41)</f>
        <v>0</v>
      </c>
      <c r="CT117" s="9">
        <f>GU117*($Q117*$S117)/(1+Voorblad!$K$44)^(CT$56-Voorblad!$F$41)</f>
        <v>0</v>
      </c>
      <c r="CU117" s="9">
        <f>GV117*($Q117*$S117)/(1+Voorblad!$K$44)^(CU$56-Voorblad!$F$41)</f>
        <v>0</v>
      </c>
      <c r="CV117" s="9">
        <f>GW117*($Q117*$S117)/(1+Voorblad!$K$44)^(CV$56-Voorblad!$F$41)</f>
        <v>0</v>
      </c>
      <c r="CW117" s="9">
        <f>GX117*($Q117*$S117)/(1+Voorblad!$K$44)^(CW$56-Voorblad!$F$41)</f>
        <v>0</v>
      </c>
      <c r="CX117" s="9">
        <f>GY117*($Q117*$S117)/(1+Voorblad!$K$44)^(CX$56-Voorblad!$F$41)</f>
        <v>0</v>
      </c>
      <c r="CY117" s="9">
        <f>GZ117*($Q117*$S117)/(1+Voorblad!$K$44)^(CY$56-Voorblad!$F$41)</f>
        <v>0</v>
      </c>
      <c r="CZ117" s="9">
        <f>HA117*($Q117*$S117)/(1+Voorblad!$K$44)^(CZ$56-Voorblad!$F$41)</f>
        <v>0</v>
      </c>
      <c r="DA117" s="9">
        <f>HB117*($Q117*$S117)/(1+Voorblad!$K$44)^(DA$56-Voorblad!$F$41)</f>
        <v>0</v>
      </c>
      <c r="DB117" s="9">
        <f>HC117*($Q117*$S117)/(1+Voorblad!$K$44)^(DB$56-Voorblad!$F$41)</f>
        <v>0</v>
      </c>
      <c r="DC117" s="9">
        <f>HD117*($Q117*$S117)/(1+Voorblad!$K$44)^(DC$56-Voorblad!$F$41)</f>
        <v>0</v>
      </c>
      <c r="DD117" s="9">
        <f>HE117*($Q117*$S117)/(1+Voorblad!$K$44)^(DD$56-Voorblad!$F$41)</f>
        <v>0</v>
      </c>
      <c r="DE117" s="9">
        <f>HF117*($Q117*$S117)/(1+Voorblad!$K$44)^(DE$56-Voorblad!$F$41)</f>
        <v>0</v>
      </c>
      <c r="DF117" s="9">
        <f>HG117*($Q117*$S117)/(1+Voorblad!$K$44)^(DF$56-Voorblad!$F$41)</f>
        <v>0</v>
      </c>
      <c r="DG117" s="9">
        <f>HH117*($Q117*$S117)/(1+Voorblad!$K$44)^(DG$56-Voorblad!$F$41)</f>
        <v>0</v>
      </c>
      <c r="DH117" s="9">
        <f>HI117*($Q117*$S117)/(1+Voorblad!$K$44)^(DH$56-Voorblad!$F$41)</f>
        <v>0</v>
      </c>
      <c r="DI117" s="9">
        <f>HJ117*($Q117*$S117)/(1+Voorblad!$K$44)^(DI$56-Voorblad!$F$41)</f>
        <v>0</v>
      </c>
      <c r="DJ117" s="9">
        <f>HK117*($Q117*$S117)/(1+Voorblad!$K$44)^(DJ$56-Voorblad!$F$41)</f>
        <v>0</v>
      </c>
      <c r="DK117" s="9">
        <f>HL117*($Q117*$S117)/(1+Voorblad!$K$44)^(DK$56-Voorblad!$F$41)</f>
        <v>0</v>
      </c>
      <c r="DL117" s="9">
        <f>HM117*($Q117*$S117)/(1+Voorblad!$K$44)^(DL$56-Voorblad!$F$41)</f>
        <v>0</v>
      </c>
      <c r="DM117" s="9">
        <f>HN117*($Q117*$S117)/(1+Voorblad!$K$44)^(DM$56-Voorblad!$F$41)</f>
        <v>0</v>
      </c>
      <c r="DN117" s="9">
        <f>HO117*($Q117*$S117)/(1+Voorblad!$K$44)^(DN$56-Voorblad!$F$41)</f>
        <v>0</v>
      </c>
      <c r="DO117" s="9">
        <f>HP117*($Q117*$S117)/(1+Voorblad!$K$44)^(DO$56-Voorblad!$F$41)</f>
        <v>0</v>
      </c>
      <c r="DP117" s="9">
        <f>HQ117*($Q117*$S117)/(1+Voorblad!$K$44)^(DP$56-Voorblad!$F$41)</f>
        <v>0</v>
      </c>
      <c r="DQ117" s="9">
        <f>HR117*($Q117*$S117)/(1+Voorblad!$K$44)^(DQ$56-Voorblad!$F$41)</f>
        <v>0</v>
      </c>
      <c r="DR117" s="9">
        <f>HS117*($Q117*$S117)/(1+Voorblad!$K$44)^(DR$56-Voorblad!$F$41)</f>
        <v>0</v>
      </c>
      <c r="DS117" s="9">
        <f>HT117*($Q117*$S117)/(1+Voorblad!$K$44)^(DS$56-Voorblad!$F$41)</f>
        <v>0</v>
      </c>
      <c r="DT117" s="9">
        <f>HU117*($Q117*$S117)/(1+Voorblad!$K$44)^(DT$56-Voorblad!$F$41)</f>
        <v>0</v>
      </c>
      <c r="DU117" s="9">
        <f>HV117*($Q117*$S117)/(1+Voorblad!$K$44)^(DU$56-Voorblad!$F$41)</f>
        <v>0</v>
      </c>
      <c r="DV117" s="9">
        <f>HW117*($Q117*$S117)/(1+Voorblad!$K$44)^(DV$56-Voorblad!$F$41)</f>
        <v>0</v>
      </c>
      <c r="DW117" s="9">
        <f>HX117*($Q117*$S117)/(1+Voorblad!$K$44)^(DW$56-Voorblad!$F$41)</f>
        <v>0</v>
      </c>
      <c r="DX117" s="9">
        <f>HY117*($Q117*$S117)/(1+Voorblad!$K$44)^(DX$56-Voorblad!$F$41)</f>
        <v>0</v>
      </c>
      <c r="DY117" s="9">
        <f>HZ117*($Q117*$S117)/(1+Voorblad!$K$44)^(DY$56-Voorblad!$F$41)</f>
        <v>0</v>
      </c>
      <c r="DZ117" s="9">
        <f>IA117*($Q117*$S117)/(1+Voorblad!$K$44)^(DZ$56-Voorblad!$F$41)</f>
        <v>0</v>
      </c>
      <c r="EA117" s="9">
        <f>IB117*($Q117*$S117)/(1+Voorblad!$K$44)^(EA$56-Voorblad!$F$41)</f>
        <v>0</v>
      </c>
      <c r="EB117" s="9">
        <f>IC117*($Q117*$S117)/(1+Voorblad!$K$44)^(EB$56-Voorblad!$F$41)</f>
        <v>0</v>
      </c>
      <c r="EE117" s="8">
        <v>0</v>
      </c>
      <c r="EF117" s="8">
        <f>IF(EF$56-Voorblad!$F$41&gt;Voorblad!$K$41,0,IF($U117=0,0,IF($U117&lt;1,1/$U117,IF((EF$56-Voorblad!$F$41)/$U117-SUM($EE117:EE117)=1,1,0))))</f>
        <v>0</v>
      </c>
      <c r="EG117" s="8">
        <f>IF(EG$56-Voorblad!$F$41&gt;Voorblad!$K$41,0,IF($U117=0,0,IF($U117&lt;1,1/$U117,IF((EG$56-Voorblad!$F$41)/$U117-SUM($EE117:EF117)=1,1,0))))</f>
        <v>0</v>
      </c>
      <c r="EH117" s="8">
        <f>IF(EH$56-Voorblad!$F$41&gt;Voorblad!$K$41,0,IF($U117=0,0,IF($U117&lt;1,1/$U117,IF((EH$56-Voorblad!$F$41)/$U117-SUM($EE117:EG117)=1,1,0))))</f>
        <v>0</v>
      </c>
      <c r="EI117" s="8">
        <f>IF(EI$56-Voorblad!$F$41&gt;Voorblad!$K$41,0,IF($U117=0,0,IF($U117&lt;1,1/$U117,IF((EI$56-Voorblad!$F$41)/$U117-SUM($EE117:EH117)=1,1,0))))</f>
        <v>0</v>
      </c>
      <c r="EJ117" s="8">
        <f>IF(EJ$56-Voorblad!$F$41&gt;Voorblad!$K$41,0,IF($U117=0,0,IF($U117&lt;1,1/$U117,IF((EJ$56-Voorblad!$F$41)/$U117-SUM($EE117:EI117)=1,1,0))))</f>
        <v>0</v>
      </c>
      <c r="EK117" s="8">
        <f>IF(EK$56-Voorblad!$F$41&gt;Voorblad!$K$41,0,IF($U117=0,0,IF($U117&lt;1,1/$U117,IF((EK$56-Voorblad!$F$41)/$U117-SUM($EE117:EJ117)=1,1,0))))</f>
        <v>0</v>
      </c>
      <c r="EL117" s="8">
        <f>IF(EL$56-Voorblad!$F$41&gt;Voorblad!$K$41,0,IF($U117=0,0,IF($U117&lt;1,1/$U117,IF((EL$56-Voorblad!$F$41)/$U117-SUM($EE117:EK117)=1,1,0))))</f>
        <v>0</v>
      </c>
      <c r="EM117" s="8">
        <f>IF(EM$56-Voorblad!$F$41&gt;Voorblad!$K$41,0,IF($U117=0,0,IF($U117&lt;1,1/$U117,IF((EM$56-Voorblad!$F$41)/$U117-SUM($EE117:EL117)=1,1,0))))</f>
        <v>0</v>
      </c>
      <c r="EN117" s="8">
        <f>IF(EN$56-Voorblad!$F$41&gt;Voorblad!$K$41,0,IF($U117=0,0,IF($U117&lt;1,1/$U117,IF((EN$56-Voorblad!$F$41)/$U117-SUM($EE117:EM117)=1,1,0))))</f>
        <v>0</v>
      </c>
      <c r="EO117" s="8">
        <f>IF(EO$56-Voorblad!$F$41&gt;Voorblad!$K$41,0,IF($U117=0,0,IF($U117&lt;1,1/$U117,IF((EO$56-Voorblad!$F$41)/$U117-SUM($EE117:EN117)=1,1,0))))</f>
        <v>0</v>
      </c>
      <c r="EP117" s="8">
        <f>IF(EP$56-Voorblad!$F$41&gt;Voorblad!$K$41,0,IF($U117=0,0,IF($U117&lt;1,1/$U117,IF((EP$56-Voorblad!$F$41)/$U117-SUM($EE117:EO117)=1,1,0))))</f>
        <v>0</v>
      </c>
      <c r="EQ117" s="8">
        <f>IF(EQ$56-Voorblad!$F$41&gt;Voorblad!$K$41,0,IF($U117=0,0,IF($U117&lt;1,1/$U117,IF((EQ$56-Voorblad!$F$41)/$U117-SUM($EE117:EP117)=1,1,0))))</f>
        <v>0</v>
      </c>
      <c r="ER117" s="8">
        <f>IF(ER$56-Voorblad!$F$41&gt;Voorblad!$K$41,0,IF($U117=0,0,IF($U117&lt;1,1/$U117,IF((ER$56-Voorblad!$F$41)/$U117-SUM($EE117:EQ117)=1,1,0))))</f>
        <v>0</v>
      </c>
      <c r="ES117" s="8">
        <f>IF(ES$56-Voorblad!$F$41&gt;Voorblad!$K$41,0,IF($U117=0,0,IF($U117&lt;1,1/$U117,IF((ES$56-Voorblad!$F$41)/$U117-SUM($EE117:ER117)=1,1,0))))</f>
        <v>0</v>
      </c>
      <c r="ET117" s="8">
        <f>IF(ET$56-Voorblad!$F$41&gt;Voorblad!$K$41,0,IF($U117=0,0,IF($U117&lt;1,1/$U117,IF((ET$56-Voorblad!$F$41)/$U117-SUM($EE117:ES117)=1,1,0))))</f>
        <v>0</v>
      </c>
      <c r="EU117" s="8">
        <f>IF(EU$56-Voorblad!$F$41&gt;Voorblad!$K$41,0,IF($U117=0,0,IF($U117&lt;1,1/$U117,IF((EU$56-Voorblad!$F$41)/$U117-SUM($EE117:ET117)=1,1,0))))</f>
        <v>1</v>
      </c>
      <c r="EV117" s="8">
        <f>IF(EV$56-Voorblad!$F$41&gt;Voorblad!$K$41,0,IF($U117=0,0,IF($U117&lt;1,1/$U117,IF((EV$56-Voorblad!$F$41)/$U117-SUM($EE117:EU117)=1,1,0))))</f>
        <v>0</v>
      </c>
      <c r="EW117" s="8">
        <f>IF(EW$56-Voorblad!$F$41&gt;Voorblad!$K$41,0,IF($U117=0,0,IF($U117&lt;1,1/$U117,IF((EW$56-Voorblad!$F$41)/$U117-SUM($EE117:EV117)=1,1,0))))</f>
        <v>0</v>
      </c>
      <c r="EX117" s="8">
        <f>IF(EX$56-Voorblad!$F$41&gt;Voorblad!$K$41,0,IF($U117=0,0,IF($U117&lt;1,1/$U117,IF((EX$56-Voorblad!$F$41)/$U117-SUM($EE117:EW117)=1,1,0))))</f>
        <v>0</v>
      </c>
      <c r="EY117" s="8">
        <f>IF(EY$56-Voorblad!$F$41&gt;Voorblad!$K$41,0,IF($U117=0,0,IF($U117&lt;1,1/$U117,IF((EY$56-Voorblad!$F$41)/$U117-SUM($EE117:EX117)=1,1,0))))</f>
        <v>0</v>
      </c>
      <c r="EZ117" s="8">
        <f>IF(EZ$56-Voorblad!$F$41&gt;Voorblad!$K$41,0,IF($U117=0,0,IF($U117&lt;1,1/$U117,IF((EZ$56-Voorblad!$F$41)/$U117-SUM($EE117:EY117)=1,1,0))))</f>
        <v>0</v>
      </c>
      <c r="FA117" s="8">
        <f>IF(FA$56-Voorblad!$F$41&gt;Voorblad!$K$41,0,IF($U117=0,0,IF($U117&lt;1,1/$U117,IF((FA$56-Voorblad!$F$41)/$U117-SUM($EE117:EZ117)=1,1,0))))</f>
        <v>0</v>
      </c>
      <c r="FB117" s="8">
        <f>IF(FB$56-Voorblad!$F$41&gt;Voorblad!$K$41,0,IF($U117=0,0,IF($U117&lt;1,1/$U117,IF((FB$56-Voorblad!$F$41)/$U117-SUM($EE117:FA117)=1,1,0))))</f>
        <v>0</v>
      </c>
      <c r="FC117" s="8">
        <f>IF(FC$56-Voorblad!$F$41&gt;Voorblad!$K$41,0,IF($U117=0,0,IF($U117&lt;1,1/$U117,IF((FC$56-Voorblad!$F$41)/$U117-SUM($EE117:FB117)=1,1,0))))</f>
        <v>0</v>
      </c>
      <c r="FD117" s="8">
        <f>IF(FD$56-Voorblad!$F$41&gt;Voorblad!$K$41,0,IF($U117=0,0,IF($U117&lt;1,1/$U117,IF((FD$56-Voorblad!$F$41)/$U117-SUM($EE117:FC117)=1,1,0))))</f>
        <v>0</v>
      </c>
      <c r="FE117" s="8">
        <f>IF(FE$56-Voorblad!$F$41&gt;Voorblad!$K$41,0,IF($U117=0,0,IF($U117&lt;1,1/$U117,IF((FE$56-Voorblad!$F$41)/$U117-SUM($EE117:FD117)=1,1,0))))</f>
        <v>0</v>
      </c>
      <c r="FF117" s="8">
        <f>IF(FF$56-Voorblad!$F$41&gt;Voorblad!$K$41,0,IF($U117=0,0,IF($U117&lt;1,1/$U117,IF((FF$56-Voorblad!$F$41)/$U117-SUM($EE117:FE117)=1,1,0))))</f>
        <v>0</v>
      </c>
      <c r="FG117" s="8">
        <f>IF(FG$56-Voorblad!$F$41&gt;Voorblad!$K$41,0,IF($U117=0,0,IF($U117&lt;1,1/$U117,IF((FG$56-Voorblad!$F$41)/$U117-SUM($EE117:FF117)=1,1,0))))</f>
        <v>0</v>
      </c>
      <c r="FH117" s="8">
        <f>IF(FH$56-Voorblad!$F$41&gt;Voorblad!$K$41,0,IF($U117=0,0,IF($U117&lt;1,1/$U117,IF((FH$56-Voorblad!$F$41)/$U117-SUM($EE117:FG117)=1,1,0))))</f>
        <v>0</v>
      </c>
      <c r="FI117" s="8">
        <f>IF(FI$56-Voorblad!$F$41&gt;Voorblad!$K$41,0,IF($U117=0,0,IF($U117&lt;1,1/$U117,IF((FI$56-Voorblad!$F$41)/$U117-SUM($EE117:FH117)=1,1,0))))</f>
        <v>0</v>
      </c>
      <c r="FJ117" s="8">
        <f>IF(FJ$56-Voorblad!$F$41&gt;Voorblad!$K$41,0,IF($U117=0,0,IF($U117&lt;1,1/$U117,IF((FJ$56-Voorblad!$F$41)/$U117-SUM($EE117:FI117)=1,1,0))))</f>
        <v>1</v>
      </c>
      <c r="FK117" s="8">
        <f>IF(FK$56-Voorblad!$F$41&gt;Voorblad!$K$41,0,IF($U117=0,0,IF($U117&lt;1,1/$U117,IF((FK$56-Voorblad!$F$41)/$U117-SUM($EE117:FJ117)=1,1,0))))</f>
        <v>0</v>
      </c>
      <c r="FL117" s="8">
        <f>IF(FL$56-Voorblad!$F$41&gt;Voorblad!$K$41,0,IF($U117=0,0,IF($U117&lt;1,1/$U117,IF((FL$56-Voorblad!$F$41)/$U117-SUM($EE117:FK117)=1,1,0))))</f>
        <v>0</v>
      </c>
      <c r="FM117" s="8">
        <f>IF(FM$56-Voorblad!$F$41&gt;Voorblad!$K$41,0,IF($U117=0,0,IF($U117&lt;1,1/$U117,IF((FM$56-Voorblad!$F$41)/$U117-SUM($EE117:FL117)=1,1,0))))</f>
        <v>0</v>
      </c>
      <c r="FN117" s="8">
        <f>IF(FN$56-Voorblad!$F$41&gt;Voorblad!$K$41,0,IF($U117=0,0,IF($U117&lt;1,1/$U117,IF((FN$56-Voorblad!$F$41)/$U117-SUM($EE117:FM117)=1,1,0))))</f>
        <v>0</v>
      </c>
      <c r="FO117" s="8">
        <f>IF(FO$56-Voorblad!$F$41&gt;Voorblad!$K$41,0,IF($U117=0,0,IF($U117&lt;1,1/$U117,IF((FO$56-Voorblad!$F$41)/$U117-SUM($EE117:FN117)=1,1,0))))</f>
        <v>0</v>
      </c>
      <c r="FP117" s="8">
        <f>IF(FP$56-Voorblad!$F$41&gt;Voorblad!$K$41,0,IF($U117=0,0,IF($U117&lt;1,1/$U117,IF((FP$56-Voorblad!$F$41)/$U117-SUM($EE117:FO117)=1,1,0))))</f>
        <v>0</v>
      </c>
      <c r="FQ117" s="8">
        <f>IF(FQ$56-Voorblad!$F$41&gt;Voorblad!$K$41,0,IF($U117=0,0,IF($U117&lt;1,1/$U117,IF((FQ$56-Voorblad!$F$41)/$U117-SUM($EE117:FP117)=1,1,0))))</f>
        <v>0</v>
      </c>
      <c r="FR117" s="8">
        <f>IF(FR$56-Voorblad!$F$41&gt;Voorblad!$K$41,0,IF($U117=0,0,IF($U117&lt;1,1/$U117,IF((FR$56-Voorblad!$F$41)/$U117-SUM($EE117:FQ117)=1,1,0))))</f>
        <v>0</v>
      </c>
      <c r="FS117" s="8">
        <f>IF(FS$56-Voorblad!$F$41&gt;Voorblad!$K$41,0,IF($U117=0,0,IF($U117&lt;1,1/$U117,IF((FS$56-Voorblad!$F$41)/$U117-SUM($EE117:FR117)=1,1,0))))</f>
        <v>0</v>
      </c>
      <c r="FT117" s="8">
        <f>IF(FT$56-Voorblad!$F$41&gt;Voorblad!$K$41,0,IF($U117=0,0,IF($U117&lt;1,1/$U117,IF((FT$56-Voorblad!$F$41)/$U117-SUM($EE117:FS117)=1,1,0))))</f>
        <v>0</v>
      </c>
      <c r="FU117" s="8">
        <f>IF(FU$56-Voorblad!$F$41&gt;Voorblad!$K$41,0,IF($U117=0,0,IF($U117&lt;1,1/$U117,IF((FU$56-Voorblad!$F$41)/$U117-SUM($EE117:FT117)=1,1,0))))</f>
        <v>0</v>
      </c>
      <c r="FV117" s="8">
        <f>IF(FV$56-Voorblad!$F$41&gt;Voorblad!$K$41,0,IF($U117=0,0,IF($U117&lt;1,1/$U117,IF((FV$56-Voorblad!$F$41)/$U117-SUM($EE117:FU117)=1,1,0))))</f>
        <v>0</v>
      </c>
      <c r="FW117" s="8">
        <f>IF(FW$56-Voorblad!$F$41&gt;Voorblad!$K$41,0,IF($U117=0,0,IF($U117&lt;1,1/$U117,IF((FW$56-Voorblad!$F$41)/$U117-SUM($EE117:FV117)=1,1,0))))</f>
        <v>0</v>
      </c>
      <c r="FX117" s="8">
        <f>IF(FX$56-Voorblad!$F$41&gt;Voorblad!$K$41,0,IF($U117=0,0,IF($U117&lt;1,1/$U117,IF((FX$56-Voorblad!$F$41)/$U117-SUM($EE117:FW117)=1,1,0))))</f>
        <v>0</v>
      </c>
      <c r="FY117" s="8">
        <f>IF(FY$56-Voorblad!$F$41&gt;Voorblad!$K$41,0,IF($U117=0,0,IF($U117&lt;1,1/$U117,IF((FY$56-Voorblad!$F$41)/$U117-SUM($EE117:FX117)=1,1,0))))</f>
        <v>1</v>
      </c>
      <c r="FZ117" s="8">
        <f>IF(FZ$56-Voorblad!$F$41&gt;Voorblad!$K$41,0,IF($U117=0,0,IF($U117&lt;1,1/$U117,IF((FZ$56-Voorblad!$F$41)/$U117-SUM($EE117:FY117)=1,1,0))))</f>
        <v>0</v>
      </c>
      <c r="GA117" s="8">
        <f>IF(GA$56-Voorblad!$F$41&gt;Voorblad!$K$41,0,IF($U117=0,0,IF($U117&lt;1,1/$U117,IF((GA$56-Voorblad!$F$41)/$U117-SUM($EE117:FZ117)=1,1,0))))</f>
        <v>0</v>
      </c>
      <c r="GB117" s="8">
        <f>IF(GB$56-Voorblad!$F$41&gt;Voorblad!$K$41,0,IF($U117=0,0,IF($U117&lt;1,1/$U117,IF((GB$56-Voorblad!$F$41)/$U117-SUM($EE117:GA117)=1,1,0))))</f>
        <v>0</v>
      </c>
      <c r="GC117" s="8">
        <f>IF(GC$56-Voorblad!$F$41&gt;Voorblad!$K$41,0,IF($U117=0,0,IF($U117&lt;1,1/$U117,IF((GC$56-Voorblad!$F$41)/$U117-SUM($EE117:GB117)=1,1,0))))</f>
        <v>0</v>
      </c>
      <c r="GD117" s="8">
        <f>IF(GD$56-Voorblad!$F$41&gt;Voorblad!$K$41,0,IF($U117=0,0,IF($U117&lt;1,1/$U117,IF((GD$56-Voorblad!$F$41)/$U117-SUM($EE117:GC117)=1,1,0))))</f>
        <v>0</v>
      </c>
      <c r="GE117" s="8">
        <f>IF(GE$56-Voorblad!$F$41&gt;Voorblad!$K$41,0,IF($U117=0,0,IF($U117&lt;1,1/$U117,IF((GE$56-Voorblad!$F$41)/$U117-SUM($EE117:GD117)=1,1,0))))</f>
        <v>0</v>
      </c>
      <c r="GF117" s="8">
        <f>IF(GF$56-Voorblad!$F$41&gt;Voorblad!$K$41,0,IF($U117=0,0,IF($U117&lt;1,1/$U117,IF((GF$56-Voorblad!$F$41)/$U117-SUM($EE117:GE117)=1,1,0))))</f>
        <v>0</v>
      </c>
      <c r="GG117" s="8">
        <f>IF(GG$56-Voorblad!$F$41&gt;Voorblad!$K$41,0,IF($U117=0,0,IF($U117&lt;1,1/$U117,IF((GG$56-Voorblad!$F$41)/$U117-SUM($EE117:GF117)=1,1,0))))</f>
        <v>0</v>
      </c>
      <c r="GH117" s="8">
        <f>IF(GH$56-Voorblad!$F$41&gt;Voorblad!$K$41,0,IF($U117=0,0,IF($U117&lt;1,1/$U117,IF((GH$56-Voorblad!$F$41)/$U117-SUM($EE117:GG117)=1,1,0))))</f>
        <v>0</v>
      </c>
      <c r="GI117" s="8">
        <f>IF(GI$56-Voorblad!$F$41&gt;Voorblad!$K$41,0,IF($U117=0,0,IF($U117&lt;1,1/$U117,IF((GI$56-Voorblad!$F$41)/$U117-SUM($EE117:GH117)=1,1,0))))</f>
        <v>0</v>
      </c>
      <c r="GJ117" s="8">
        <f>IF(GJ$56-Voorblad!$F$41&gt;Voorblad!$K$41,0,IF($U117=0,0,IF($U117&lt;1,1/$U117,IF((GJ$56-Voorblad!$F$41)/$U117-SUM($EE117:GI117)=1,1,0))))</f>
        <v>0</v>
      </c>
      <c r="GK117" s="8">
        <f>IF(GK$56-Voorblad!$F$41&gt;Voorblad!$K$41,0,IF($U117=0,0,IF($U117&lt;1,1/$U117,IF((GK$56-Voorblad!$F$41)/$U117-SUM($EE117:GJ117)=1,1,0))))</f>
        <v>0</v>
      </c>
      <c r="GL117" s="8">
        <f>IF(GL$56-Voorblad!$F$41&gt;Voorblad!$K$41,0,IF($U117=0,0,IF($U117&lt;1,1/$U117,IF((GL$56-Voorblad!$F$41)/$U117-SUM($EE117:GK117)=1,1,0))))</f>
        <v>0</v>
      </c>
      <c r="GM117" s="8">
        <f>IF(GM$56-Voorblad!$F$41&gt;Voorblad!$K$41,0,IF($U117=0,0,IF($U117&lt;1,1/$U117,IF((GM$56-Voorblad!$F$41)/$U117-SUM($EE117:GL117)=1,1,0))))</f>
        <v>0</v>
      </c>
      <c r="GN117" s="8">
        <f>IF(GN$56-Voorblad!$F$41&gt;Voorblad!$K$41,0,IF($U117=0,0,IF($U117&lt;1,1/$U117,IF((GN$56-Voorblad!$F$41)/$U117-SUM($EE117:GM117)=1,1,0))))</f>
        <v>1</v>
      </c>
      <c r="GO117" s="8">
        <f>IF(GO$56-Voorblad!$F$41&gt;Voorblad!$K$41,0,IF($U117=0,0,IF($U117&lt;1,1/$U117,IF((GO$56-Voorblad!$F$41)/$U117-SUM($EE117:GN117)=1,1,0))))</f>
        <v>0</v>
      </c>
      <c r="GP117" s="8">
        <f>IF(GP$56-Voorblad!$F$41&gt;Voorblad!$K$41,0,IF($U117=0,0,IF($U117&lt;1,1/$U117,IF((GP$56-Voorblad!$F$41)/$U117-SUM($EE117:GO117)=1,1,0))))</f>
        <v>0</v>
      </c>
      <c r="GQ117" s="8">
        <f>IF(GQ$56-Voorblad!$F$41&gt;Voorblad!$K$41,0,IF($U117=0,0,IF($U117&lt;1,1/$U117,IF((GQ$56-Voorblad!$F$41)/$U117-SUM($EE117:GP117)=1,1,0))))</f>
        <v>0</v>
      </c>
      <c r="GR117" s="8">
        <f>IF(GR$56-Voorblad!$F$41&gt;Voorblad!$K$41,0,IF($U117=0,0,IF($U117&lt;1,1/$U117,IF((GR$56-Voorblad!$F$41)/$U117-SUM($EE117:GQ117)=1,1,0))))</f>
        <v>0</v>
      </c>
      <c r="GS117" s="8">
        <f>IF(GS$56-Voorblad!$F$41&gt;Voorblad!$K$41,0,IF($U117=0,0,IF($U117&lt;1,1/$U117,IF((GS$56-Voorblad!$F$41)/$U117-SUM($EE117:GR117)=1,1,0))))</f>
        <v>0</v>
      </c>
      <c r="GT117" s="8">
        <f>IF(GT$56-Voorblad!$F$41&gt;Voorblad!$K$41,0,IF($U117=0,0,IF($U117&lt;1,1/$U117,IF((GT$56-Voorblad!$F$41)/$U117-SUM($EE117:GS117)=1,1,0))))</f>
        <v>0</v>
      </c>
      <c r="GU117" s="8">
        <f>IF(GU$56-Voorblad!$F$41&gt;Voorblad!$K$41,0,IF($U117=0,0,IF($U117&lt;1,1/$U117,IF((GU$56-Voorblad!$F$41)/$U117-SUM($EE117:GT117)=1,1,0))))</f>
        <v>0</v>
      </c>
      <c r="GV117" s="8">
        <f>IF(GV$56-Voorblad!$F$41&gt;Voorblad!$K$41,0,IF($U117=0,0,IF($U117&lt;1,1/$U117,IF((GV$56-Voorblad!$F$41)/$U117-SUM($EE117:GU117)=1,1,0))))</f>
        <v>0</v>
      </c>
      <c r="GW117" s="8">
        <f>IF(GW$56-Voorblad!$F$41&gt;Voorblad!$K$41,0,IF($U117=0,0,IF($U117&lt;1,1/$U117,IF((GW$56-Voorblad!$F$41)/$U117-SUM($EE117:GV117)=1,1,0))))</f>
        <v>0</v>
      </c>
      <c r="GX117" s="8">
        <f>IF(GX$56-Voorblad!$F$41&gt;Voorblad!$K$41,0,IF($U117=0,0,IF($U117&lt;1,1/$U117,IF((GX$56-Voorblad!$F$41)/$U117-SUM($EE117:GW117)=1,1,0))))</f>
        <v>0</v>
      </c>
      <c r="GY117" s="8">
        <f>IF(GY$56-Voorblad!$F$41&gt;Voorblad!$K$41,0,IF($U117=0,0,IF($U117&lt;1,1/$U117,IF((GY$56-Voorblad!$F$41)/$U117-SUM($EE117:GX117)=1,1,0))))</f>
        <v>0</v>
      </c>
      <c r="GZ117" s="8">
        <f>IF(GZ$56-Voorblad!$F$41&gt;Voorblad!$K$41,0,IF($U117=0,0,IF($U117&lt;1,1/$U117,IF((GZ$56-Voorblad!$F$41)/$U117-SUM($EE117:GY117)=1,1,0))))</f>
        <v>0</v>
      </c>
      <c r="HA117" s="8">
        <f>IF(HA$56-Voorblad!$F$41&gt;Voorblad!$K$41,0,IF($U117=0,0,IF($U117&lt;1,1/$U117,IF((HA$56-Voorblad!$F$41)/$U117-SUM($EE117:GZ117)=1,1,0))))</f>
        <v>0</v>
      </c>
      <c r="HB117" s="8">
        <f>IF(HB$56-Voorblad!$F$41&gt;Voorblad!$K$41,0,IF($U117=0,0,IF($U117&lt;1,1/$U117,IF((HB$56-Voorblad!$F$41)/$U117-SUM($EE117:HA117)=1,1,0))))</f>
        <v>0</v>
      </c>
      <c r="HC117" s="8">
        <f>IF(HC$56-Voorblad!$F$41&gt;Voorblad!$K$41,0,IF($U117=0,0,IF($U117&lt;1,1/$U117,IF((HC$56-Voorblad!$F$41)/$U117-SUM($EE117:HB117)=1,1,0))))</f>
        <v>0</v>
      </c>
      <c r="HD117" s="8">
        <f>IF(HD$56-Voorblad!$F$41&gt;Voorblad!$K$41,0,IF($U117=0,0,IF($U117&lt;1,1/$U117,IF((HD$56-Voorblad!$F$41)/$U117-SUM($EE117:HC117)=1,1,0))))</f>
        <v>0</v>
      </c>
      <c r="HE117" s="8">
        <f>IF(HE$56-Voorblad!$F$41&gt;Voorblad!$K$41,0,IF($U117=0,0,IF($U117&lt;1,1/$U117,IF((HE$56-Voorblad!$F$41)/$U117-SUM($EE117:HD117)=1,1,0))))</f>
        <v>0</v>
      </c>
      <c r="HF117" s="8">
        <f>IF(HF$56-Voorblad!$F$41&gt;Voorblad!$K$41,0,IF($U117=0,0,IF($U117&lt;1,1/$U117,IF((HF$56-Voorblad!$F$41)/$U117-SUM($EE117:HE117)=1,1,0))))</f>
        <v>0</v>
      </c>
      <c r="HG117" s="8">
        <f>IF(HG$56-Voorblad!$F$41&gt;Voorblad!$K$41,0,IF($U117=0,0,IF($U117&lt;1,1/$U117,IF((HG$56-Voorblad!$F$41)/$U117-SUM($EE117:HF117)=1,1,0))))</f>
        <v>0</v>
      </c>
      <c r="HH117" s="8">
        <f>IF(HH$56-Voorblad!$F$41&gt;Voorblad!$K$41,0,IF($U117=0,0,IF($U117&lt;1,1/$U117,IF((HH$56-Voorblad!$F$41)/$U117-SUM($EE117:HG117)=1,1,0))))</f>
        <v>0</v>
      </c>
      <c r="HI117" s="8">
        <f>IF(HI$56-Voorblad!$F$41&gt;Voorblad!$K$41,0,IF($U117=0,0,IF($U117&lt;1,1/$U117,IF((HI$56-Voorblad!$F$41)/$U117-SUM($EE117:HH117)=1,1,0))))</f>
        <v>0</v>
      </c>
      <c r="HJ117" s="8">
        <f>IF(HJ$56-Voorblad!$F$41&gt;Voorblad!$K$41,0,IF($U117=0,0,IF($U117&lt;1,1/$U117,IF((HJ$56-Voorblad!$F$41)/$U117-SUM($EE117:HI117)=1,1,0))))</f>
        <v>0</v>
      </c>
      <c r="HK117" s="8">
        <f>IF(HK$56-Voorblad!$F$41&gt;Voorblad!$K$41,0,IF($U117=0,0,IF($U117&lt;1,1/$U117,IF((HK$56-Voorblad!$F$41)/$U117-SUM($EE117:HJ117)=1,1,0))))</f>
        <v>0</v>
      </c>
      <c r="HL117" s="8">
        <f>IF(HL$56-Voorblad!$F$41&gt;Voorblad!$K$41,0,IF($U117=0,0,IF($U117&lt;1,1/$U117,IF((HL$56-Voorblad!$F$41)/$U117-SUM($EE117:HK117)=1,1,0))))</f>
        <v>0</v>
      </c>
      <c r="HM117" s="8">
        <f>IF(HM$56-Voorblad!$F$41&gt;Voorblad!$K$41,0,IF($U117=0,0,IF($U117&lt;1,1/$U117,IF((HM$56-Voorblad!$F$41)/$U117-SUM($EE117:HL117)=1,1,0))))</f>
        <v>0</v>
      </c>
      <c r="HN117" s="8">
        <f>IF(HN$56-Voorblad!$F$41&gt;Voorblad!$K$41,0,IF($U117=0,0,IF($U117&lt;1,1/$U117,IF((HN$56-Voorblad!$F$41)/$U117-SUM($EE117:HM117)=1,1,0))))</f>
        <v>0</v>
      </c>
      <c r="HO117" s="8">
        <f>IF(HO$56-Voorblad!$F$41&gt;Voorblad!$K$41,0,IF($U117=0,0,IF($U117&lt;1,1/$U117,IF((HO$56-Voorblad!$F$41)/$U117-SUM($EE117:HN117)=1,1,0))))</f>
        <v>0</v>
      </c>
      <c r="HP117" s="8">
        <f>IF(HP$56-Voorblad!$F$41&gt;Voorblad!$K$41,0,IF($U117=0,0,IF($U117&lt;1,1/$U117,IF((HP$56-Voorblad!$F$41)/$U117-SUM($EE117:HO117)=1,1,0))))</f>
        <v>0</v>
      </c>
      <c r="HQ117" s="8">
        <f>IF(HQ$56-Voorblad!$F$41&gt;Voorblad!$K$41,0,IF($U117=0,0,IF($U117&lt;1,1/$U117,IF((HQ$56-Voorblad!$F$41)/$U117-SUM($EE117:HP117)=1,1,0))))</f>
        <v>0</v>
      </c>
      <c r="HR117" s="8">
        <f>IF(HR$56-Voorblad!$F$41&gt;Voorblad!$K$41,0,IF($U117=0,0,IF($U117&lt;1,1/$U117,IF((HR$56-Voorblad!$F$41)/$U117-SUM($EE117:HQ117)=1,1,0))))</f>
        <v>0</v>
      </c>
      <c r="HS117" s="8">
        <f>IF(HS$56-Voorblad!$F$41&gt;Voorblad!$K$41,0,IF($U117=0,0,IF($U117&lt;1,1/$U117,IF((HS$56-Voorblad!$F$41)/$U117-SUM($EE117:HR117)=1,1,0))))</f>
        <v>0</v>
      </c>
      <c r="HT117" s="8">
        <f>IF(HT$56-Voorblad!$F$41&gt;Voorblad!$K$41,0,IF($U117=0,0,IF($U117&lt;1,1/$U117,IF((HT$56-Voorblad!$F$41)/$U117-SUM($EE117:HS117)=1,1,0))))</f>
        <v>0</v>
      </c>
      <c r="HU117" s="8">
        <f>IF(HU$56-Voorblad!$F$41&gt;Voorblad!$K$41,0,IF($U117=0,0,IF($U117&lt;1,1/$U117,IF((HU$56-Voorblad!$F$41)/$U117-SUM($EE117:HT117)=1,1,0))))</f>
        <v>0</v>
      </c>
      <c r="HV117" s="8">
        <f>IF(HV$56-Voorblad!$F$41&gt;Voorblad!$K$41,0,IF($U117=0,0,IF($U117&lt;1,1/$U117,IF((HV$56-Voorblad!$F$41)/$U117-SUM($EE117:HU117)=1,1,0))))</f>
        <v>0</v>
      </c>
      <c r="HW117" s="8">
        <f>IF(HW$56-Voorblad!$F$41&gt;Voorblad!$K$41,0,IF($U117=0,0,IF($U117&lt;1,1/$U117,IF((HW$56-Voorblad!$F$41)/$U117-SUM($EE117:HV117)=1,1,0))))</f>
        <v>0</v>
      </c>
      <c r="HX117" s="8">
        <f>IF(HX$56-Voorblad!$F$41&gt;Voorblad!$K$41,0,IF($U117=0,0,IF($U117&lt;1,1/$U117,IF((HX$56-Voorblad!$F$41)/$U117-SUM($EE117:HW117)=1,1,0))))</f>
        <v>0</v>
      </c>
      <c r="HY117" s="8">
        <f>IF(HY$56-Voorblad!$F$41&gt;Voorblad!$K$41,0,IF($U117=0,0,IF($U117&lt;1,1/$U117,IF((HY$56-Voorblad!$F$41)/$U117-SUM($EE117:HX117)=1,1,0))))</f>
        <v>0</v>
      </c>
      <c r="HZ117" s="8">
        <f>IF(HZ$56-Voorblad!$F$41&gt;Voorblad!$K$41,0,IF($U117=0,0,IF($U117&lt;1,1/$U117,IF((HZ$56-Voorblad!$F$41)/$U117-SUM($EE117:HY117)=1,1,0))))</f>
        <v>0</v>
      </c>
      <c r="IA117" s="8">
        <f>IF(IA$56-Voorblad!$F$41&gt;Voorblad!$K$41,0,IF($U117=0,0,IF($U117&lt;1,1/$U117,IF((IA$56-Voorblad!$F$41)/$U117-SUM($EE117:HZ117)=1,1,0))))</f>
        <v>0</v>
      </c>
      <c r="IB117" s="8">
        <f>IF(IB$56-Voorblad!$F$41&gt;Voorblad!$K$41,0,IF($U117=0,0,IF($U117&lt;1,1/$U117,IF((IB$56-Voorblad!$F$41)/$U117-SUM($EE117:IA117)=1,1,0))))</f>
        <v>0</v>
      </c>
    </row>
    <row r="118" spans="2:236" ht="12" customHeight="1" outlineLevel="1" x14ac:dyDescent="0.25">
      <c r="B118" s="1">
        <v>3</v>
      </c>
      <c r="F118" s="1" t="s">
        <v>23</v>
      </c>
      <c r="I118" s="1" t="s">
        <v>277</v>
      </c>
      <c r="K118" s="14" t="s">
        <v>211</v>
      </c>
      <c r="L118" s="14"/>
      <c r="M118" s="14"/>
      <c r="O118" s="1" t="s">
        <v>172</v>
      </c>
      <c r="P118" s="1" t="s">
        <v>175</v>
      </c>
      <c r="Q118" s="81">
        <v>0</v>
      </c>
      <c r="R118" s="1" t="s">
        <v>34</v>
      </c>
      <c r="S118" s="14">
        <f>$H$20*500</f>
        <v>885</v>
      </c>
      <c r="T118" s="1">
        <f t="shared" si="20"/>
        <v>0</v>
      </c>
      <c r="U118" s="14">
        <v>15</v>
      </c>
      <c r="V118" s="14"/>
      <c r="Y118" s="9">
        <f t="shared" si="22"/>
        <v>0</v>
      </c>
      <c r="Z118" s="82"/>
      <c r="AA118" s="82"/>
      <c r="AC118" s="9">
        <f>$Y118*(Voorblad!$K$44*(1+Voorblad!$K$44)^Voorblad!$K$41)/((1+Voorblad!$K$44)^Voorblad!$K$41-1)</f>
        <v>0</v>
      </c>
      <c r="AE118" s="9">
        <f>EF118*($Q118*$S118)/(1+Voorblad!$K$44)^(AE$56-Voorblad!$F$41)</f>
        <v>0</v>
      </c>
      <c r="AF118" s="9">
        <f>EG118*($Q118*$S118)/(1+Voorblad!$K$44)^(AF$56-Voorblad!$F$41)</f>
        <v>0</v>
      </c>
      <c r="AG118" s="9">
        <f>EH118*($Q118*$S118)/(1+Voorblad!$K$44)^(AG$56-Voorblad!$F$41)</f>
        <v>0</v>
      </c>
      <c r="AH118" s="9">
        <f>EI118*($Q118*$S118)/(1+Voorblad!$K$44)^(AH$56-Voorblad!$F$41)</f>
        <v>0</v>
      </c>
      <c r="AI118" s="9">
        <f>EJ118*($Q118*$S118)/(1+Voorblad!$K$44)^(AI$56-Voorblad!$F$41)</f>
        <v>0</v>
      </c>
      <c r="AJ118" s="9">
        <f>EK118*($Q118*$S118)/(1+Voorblad!$K$44)^(AJ$56-Voorblad!$F$41)</f>
        <v>0</v>
      </c>
      <c r="AK118" s="9">
        <f>EL118*($Q118*$S118)/(1+Voorblad!$K$44)^(AK$56-Voorblad!$F$41)</f>
        <v>0</v>
      </c>
      <c r="AL118" s="9">
        <f>EM118*($Q118*$S118)/(1+Voorblad!$K$44)^(AL$56-Voorblad!$F$41)</f>
        <v>0</v>
      </c>
      <c r="AM118" s="9">
        <f>EN118*($Q118*$S118)/(1+Voorblad!$K$44)^(AM$56-Voorblad!$F$41)</f>
        <v>0</v>
      </c>
      <c r="AN118" s="9">
        <f>EO118*($Q118*$S118)/(1+Voorblad!$K$44)^(AN$56-Voorblad!$F$41)</f>
        <v>0</v>
      </c>
      <c r="AO118" s="9">
        <f>EP118*($Q118*$S118)/(1+Voorblad!$K$44)^(AO$56-Voorblad!$F$41)</f>
        <v>0</v>
      </c>
      <c r="AP118" s="9">
        <f>EQ118*($Q118*$S118)/(1+Voorblad!$K$44)^(AP$56-Voorblad!$F$41)</f>
        <v>0</v>
      </c>
      <c r="AQ118" s="9">
        <f>ER118*($Q118*$S118)/(1+Voorblad!$K$44)^(AQ$56-Voorblad!$F$41)</f>
        <v>0</v>
      </c>
      <c r="AR118" s="9">
        <f>ES118*($Q118*$S118)/(1+Voorblad!$K$44)^(AR$56-Voorblad!$F$41)</f>
        <v>0</v>
      </c>
      <c r="AS118" s="9">
        <f>ET118*($Q118*$S118)/(1+Voorblad!$K$44)^(AS$56-Voorblad!$F$41)</f>
        <v>0</v>
      </c>
      <c r="AT118" s="9">
        <f>EU118*($Q118*$S118)/(1+Voorblad!$K$44)^(AT$56-Voorblad!$F$41)</f>
        <v>0</v>
      </c>
      <c r="AU118" s="9">
        <f>EV118*($Q118*$S118)/(1+Voorblad!$K$44)^(AU$56-Voorblad!$F$41)</f>
        <v>0</v>
      </c>
      <c r="AV118" s="9">
        <f>EW118*($Q118*$S118)/(1+Voorblad!$K$44)^(AV$56-Voorblad!$F$41)</f>
        <v>0</v>
      </c>
      <c r="AW118" s="9">
        <f>EX118*($Q118*$S118)/(1+Voorblad!$K$44)^(AW$56-Voorblad!$F$41)</f>
        <v>0</v>
      </c>
      <c r="AX118" s="9">
        <f>EY118*($Q118*$S118)/(1+Voorblad!$K$44)^(AX$56-Voorblad!$F$41)</f>
        <v>0</v>
      </c>
      <c r="AY118" s="9">
        <f>EZ118*($Q118*$S118)/(1+Voorblad!$K$44)^(AY$56-Voorblad!$F$41)</f>
        <v>0</v>
      </c>
      <c r="AZ118" s="9">
        <f>FA118*($Q118*$S118)/(1+Voorblad!$K$44)^(AZ$56-Voorblad!$F$41)</f>
        <v>0</v>
      </c>
      <c r="BA118" s="9">
        <f>FB118*($Q118*$S118)/(1+Voorblad!$K$44)^(BA$56-Voorblad!$F$41)</f>
        <v>0</v>
      </c>
      <c r="BB118" s="9">
        <f>FC118*($Q118*$S118)/(1+Voorblad!$K$44)^(BB$56-Voorblad!$F$41)</f>
        <v>0</v>
      </c>
      <c r="BC118" s="9">
        <f>FD118*($Q118*$S118)/(1+Voorblad!$K$44)^(BC$56-Voorblad!$F$41)</f>
        <v>0</v>
      </c>
      <c r="BD118" s="9">
        <f>FE118*($Q118*$S118)/(1+Voorblad!$K$44)^(BD$56-Voorblad!$F$41)</f>
        <v>0</v>
      </c>
      <c r="BE118" s="9">
        <f>FF118*($Q118*$S118)/(1+Voorblad!$K$44)^(BE$56-Voorblad!$F$41)</f>
        <v>0</v>
      </c>
      <c r="BF118" s="9">
        <f>FG118*($Q118*$S118)/(1+Voorblad!$K$44)^(BF$56-Voorblad!$F$41)</f>
        <v>0</v>
      </c>
      <c r="BG118" s="9">
        <f>FH118*($Q118*$S118)/(1+Voorblad!$K$44)^(BG$56-Voorblad!$F$41)</f>
        <v>0</v>
      </c>
      <c r="BH118" s="9">
        <f>FI118*($Q118*$S118)/(1+Voorblad!$K$44)^(BH$56-Voorblad!$F$41)</f>
        <v>0</v>
      </c>
      <c r="BI118" s="9">
        <f>FJ118*($Q118*$S118)/(1+Voorblad!$K$44)^(BI$56-Voorblad!$F$41)</f>
        <v>0</v>
      </c>
      <c r="BJ118" s="9">
        <f>FK118*($Q118*$S118)/(1+Voorblad!$K$44)^(BJ$56-Voorblad!$F$41)</f>
        <v>0</v>
      </c>
      <c r="BK118" s="9">
        <f>FL118*($Q118*$S118)/(1+Voorblad!$K$44)^(BK$56-Voorblad!$F$41)</f>
        <v>0</v>
      </c>
      <c r="BL118" s="9">
        <f>FM118*($Q118*$S118)/(1+Voorblad!$K$44)^(BL$56-Voorblad!$F$41)</f>
        <v>0</v>
      </c>
      <c r="BM118" s="9">
        <f>FN118*($Q118*$S118)/(1+Voorblad!$K$44)^(BM$56-Voorblad!$F$41)</f>
        <v>0</v>
      </c>
      <c r="BN118" s="9">
        <f>FO118*($Q118*$S118)/(1+Voorblad!$K$44)^(BN$56-Voorblad!$F$41)</f>
        <v>0</v>
      </c>
      <c r="BO118" s="9">
        <f>FP118*($Q118*$S118)/(1+Voorblad!$K$44)^(BO$56-Voorblad!$F$41)</f>
        <v>0</v>
      </c>
      <c r="BP118" s="9">
        <f>FQ118*($Q118*$S118)/(1+Voorblad!$K$44)^(BP$56-Voorblad!$F$41)</f>
        <v>0</v>
      </c>
      <c r="BQ118" s="9">
        <f>FR118*($Q118*$S118)/(1+Voorblad!$K$44)^(BQ$56-Voorblad!$F$41)</f>
        <v>0</v>
      </c>
      <c r="BR118" s="9">
        <f>FS118*($Q118*$S118)/(1+Voorblad!$K$44)^(BR$56-Voorblad!$F$41)</f>
        <v>0</v>
      </c>
      <c r="BS118" s="9">
        <f>FT118*($Q118*$S118)/(1+Voorblad!$K$44)^(BS$56-Voorblad!$F$41)</f>
        <v>0</v>
      </c>
      <c r="BT118" s="9">
        <f>FU118*($Q118*$S118)/(1+Voorblad!$K$44)^(BT$56-Voorblad!$F$41)</f>
        <v>0</v>
      </c>
      <c r="BU118" s="9">
        <f>FV118*($Q118*$S118)/(1+Voorblad!$K$44)^(BU$56-Voorblad!$F$41)</f>
        <v>0</v>
      </c>
      <c r="BV118" s="9">
        <f>FW118*($Q118*$S118)/(1+Voorblad!$K$44)^(BV$56-Voorblad!$F$41)</f>
        <v>0</v>
      </c>
      <c r="BW118" s="9">
        <f>FX118*($Q118*$S118)/(1+Voorblad!$K$44)^(BW$56-Voorblad!$F$41)</f>
        <v>0</v>
      </c>
      <c r="BX118" s="9">
        <f>FY118*($Q118*$S118)/(1+Voorblad!$K$44)^(BX$56-Voorblad!$F$41)</f>
        <v>0</v>
      </c>
      <c r="BY118" s="9">
        <f>FZ118*($Q118*$S118)/(1+Voorblad!$K$44)^(BY$56-Voorblad!$F$41)</f>
        <v>0</v>
      </c>
      <c r="BZ118" s="9">
        <f>GA118*($Q118*$S118)/(1+Voorblad!$K$44)^(BZ$56-Voorblad!$F$41)</f>
        <v>0</v>
      </c>
      <c r="CA118" s="9">
        <f>GB118*($Q118*$S118)/(1+Voorblad!$K$44)^(CA$56-Voorblad!$F$41)</f>
        <v>0</v>
      </c>
      <c r="CB118" s="9">
        <f>GC118*($Q118*$S118)/(1+Voorblad!$K$44)^(CB$56-Voorblad!$F$41)</f>
        <v>0</v>
      </c>
      <c r="CC118" s="9">
        <f>GD118*($Q118*$S118)/(1+Voorblad!$K$44)^(CC$56-Voorblad!$F$41)</f>
        <v>0</v>
      </c>
      <c r="CD118" s="9">
        <f>GE118*($Q118*$S118)/(1+Voorblad!$K$44)^(CD$56-Voorblad!$F$41)</f>
        <v>0</v>
      </c>
      <c r="CE118" s="9">
        <f>GF118*($Q118*$S118)/(1+Voorblad!$K$44)^(CE$56-Voorblad!$F$41)</f>
        <v>0</v>
      </c>
      <c r="CF118" s="9">
        <f>GG118*($Q118*$S118)/(1+Voorblad!$K$44)^(CF$56-Voorblad!$F$41)</f>
        <v>0</v>
      </c>
      <c r="CG118" s="9">
        <f>GH118*($Q118*$S118)/(1+Voorblad!$K$44)^(CG$56-Voorblad!$F$41)</f>
        <v>0</v>
      </c>
      <c r="CH118" s="9">
        <f>GI118*($Q118*$S118)/(1+Voorblad!$K$44)^(CH$56-Voorblad!$F$41)</f>
        <v>0</v>
      </c>
      <c r="CI118" s="9">
        <f>GJ118*($Q118*$S118)/(1+Voorblad!$K$44)^(CI$56-Voorblad!$F$41)</f>
        <v>0</v>
      </c>
      <c r="CJ118" s="9">
        <f>GK118*($Q118*$S118)/(1+Voorblad!$K$44)^(CJ$56-Voorblad!$F$41)</f>
        <v>0</v>
      </c>
      <c r="CK118" s="9">
        <f>GL118*($Q118*$S118)/(1+Voorblad!$K$44)^(CK$56-Voorblad!$F$41)</f>
        <v>0</v>
      </c>
      <c r="CL118" s="9">
        <f>GM118*($Q118*$S118)/(1+Voorblad!$K$44)^(CL$56-Voorblad!$F$41)</f>
        <v>0</v>
      </c>
      <c r="CM118" s="9">
        <f>GN118*($Q118*$S118)/(1+Voorblad!$K$44)^(CM$56-Voorblad!$F$41)</f>
        <v>0</v>
      </c>
      <c r="CN118" s="9">
        <f>GO118*($Q118*$S118)/(1+Voorblad!$K$44)^(CN$56-Voorblad!$F$41)</f>
        <v>0</v>
      </c>
      <c r="CO118" s="9">
        <f>GP118*($Q118*$S118)/(1+Voorblad!$K$44)^(CO$56-Voorblad!$F$41)</f>
        <v>0</v>
      </c>
      <c r="CP118" s="9">
        <f>GQ118*($Q118*$S118)/(1+Voorblad!$K$44)^(CP$56-Voorblad!$F$41)</f>
        <v>0</v>
      </c>
      <c r="CQ118" s="9">
        <f>GR118*($Q118*$S118)/(1+Voorblad!$K$44)^(CQ$56-Voorblad!$F$41)</f>
        <v>0</v>
      </c>
      <c r="CR118" s="9">
        <f>GS118*($Q118*$S118)/(1+Voorblad!$K$44)^(CR$56-Voorblad!$F$41)</f>
        <v>0</v>
      </c>
      <c r="CS118" s="9">
        <f>GT118*($Q118*$S118)/(1+Voorblad!$K$44)^(CS$56-Voorblad!$F$41)</f>
        <v>0</v>
      </c>
      <c r="CT118" s="9">
        <f>GU118*($Q118*$S118)/(1+Voorblad!$K$44)^(CT$56-Voorblad!$F$41)</f>
        <v>0</v>
      </c>
      <c r="CU118" s="9">
        <f>GV118*($Q118*$S118)/(1+Voorblad!$K$44)^(CU$56-Voorblad!$F$41)</f>
        <v>0</v>
      </c>
      <c r="CV118" s="9">
        <f>GW118*($Q118*$S118)/(1+Voorblad!$K$44)^(CV$56-Voorblad!$F$41)</f>
        <v>0</v>
      </c>
      <c r="CW118" s="9">
        <f>GX118*($Q118*$S118)/(1+Voorblad!$K$44)^(CW$56-Voorblad!$F$41)</f>
        <v>0</v>
      </c>
      <c r="CX118" s="9">
        <f>GY118*($Q118*$S118)/(1+Voorblad!$K$44)^(CX$56-Voorblad!$F$41)</f>
        <v>0</v>
      </c>
      <c r="CY118" s="9">
        <f>GZ118*($Q118*$S118)/(1+Voorblad!$K$44)^(CY$56-Voorblad!$F$41)</f>
        <v>0</v>
      </c>
      <c r="CZ118" s="9">
        <f>HA118*($Q118*$S118)/(1+Voorblad!$K$44)^(CZ$56-Voorblad!$F$41)</f>
        <v>0</v>
      </c>
      <c r="DA118" s="9">
        <f>HB118*($Q118*$S118)/(1+Voorblad!$K$44)^(DA$56-Voorblad!$F$41)</f>
        <v>0</v>
      </c>
      <c r="DB118" s="9">
        <f>HC118*($Q118*$S118)/(1+Voorblad!$K$44)^(DB$56-Voorblad!$F$41)</f>
        <v>0</v>
      </c>
      <c r="DC118" s="9">
        <f>HD118*($Q118*$S118)/(1+Voorblad!$K$44)^(DC$56-Voorblad!$F$41)</f>
        <v>0</v>
      </c>
      <c r="DD118" s="9">
        <f>HE118*($Q118*$S118)/(1+Voorblad!$K$44)^(DD$56-Voorblad!$F$41)</f>
        <v>0</v>
      </c>
      <c r="DE118" s="9">
        <f>HF118*($Q118*$S118)/(1+Voorblad!$K$44)^(DE$56-Voorblad!$F$41)</f>
        <v>0</v>
      </c>
      <c r="DF118" s="9">
        <f>HG118*($Q118*$S118)/(1+Voorblad!$K$44)^(DF$56-Voorblad!$F$41)</f>
        <v>0</v>
      </c>
      <c r="DG118" s="9">
        <f>HH118*($Q118*$S118)/(1+Voorblad!$K$44)^(DG$56-Voorblad!$F$41)</f>
        <v>0</v>
      </c>
      <c r="DH118" s="9">
        <f>HI118*($Q118*$S118)/(1+Voorblad!$K$44)^(DH$56-Voorblad!$F$41)</f>
        <v>0</v>
      </c>
      <c r="DI118" s="9">
        <f>HJ118*($Q118*$S118)/(1+Voorblad!$K$44)^(DI$56-Voorblad!$F$41)</f>
        <v>0</v>
      </c>
      <c r="DJ118" s="9">
        <f>HK118*($Q118*$S118)/(1+Voorblad!$K$44)^(DJ$56-Voorblad!$F$41)</f>
        <v>0</v>
      </c>
      <c r="DK118" s="9">
        <f>HL118*($Q118*$S118)/(1+Voorblad!$K$44)^(DK$56-Voorblad!$F$41)</f>
        <v>0</v>
      </c>
      <c r="DL118" s="9">
        <f>HM118*($Q118*$S118)/(1+Voorblad!$K$44)^(DL$56-Voorblad!$F$41)</f>
        <v>0</v>
      </c>
      <c r="DM118" s="9">
        <f>HN118*($Q118*$S118)/(1+Voorblad!$K$44)^(DM$56-Voorblad!$F$41)</f>
        <v>0</v>
      </c>
      <c r="DN118" s="9">
        <f>HO118*($Q118*$S118)/(1+Voorblad!$K$44)^(DN$56-Voorblad!$F$41)</f>
        <v>0</v>
      </c>
      <c r="DO118" s="9">
        <f>HP118*($Q118*$S118)/(1+Voorblad!$K$44)^(DO$56-Voorblad!$F$41)</f>
        <v>0</v>
      </c>
      <c r="DP118" s="9">
        <f>HQ118*($Q118*$S118)/(1+Voorblad!$K$44)^(DP$56-Voorblad!$F$41)</f>
        <v>0</v>
      </c>
      <c r="DQ118" s="9">
        <f>HR118*($Q118*$S118)/(1+Voorblad!$K$44)^(DQ$56-Voorblad!$F$41)</f>
        <v>0</v>
      </c>
      <c r="DR118" s="9">
        <f>HS118*($Q118*$S118)/(1+Voorblad!$K$44)^(DR$56-Voorblad!$F$41)</f>
        <v>0</v>
      </c>
      <c r="DS118" s="9">
        <f>HT118*($Q118*$S118)/(1+Voorblad!$K$44)^(DS$56-Voorblad!$F$41)</f>
        <v>0</v>
      </c>
      <c r="DT118" s="9">
        <f>HU118*($Q118*$S118)/(1+Voorblad!$K$44)^(DT$56-Voorblad!$F$41)</f>
        <v>0</v>
      </c>
      <c r="DU118" s="9">
        <f>HV118*($Q118*$S118)/(1+Voorblad!$K$44)^(DU$56-Voorblad!$F$41)</f>
        <v>0</v>
      </c>
      <c r="DV118" s="9">
        <f>HW118*($Q118*$S118)/(1+Voorblad!$K$44)^(DV$56-Voorblad!$F$41)</f>
        <v>0</v>
      </c>
      <c r="DW118" s="9">
        <f>HX118*($Q118*$S118)/(1+Voorblad!$K$44)^(DW$56-Voorblad!$F$41)</f>
        <v>0</v>
      </c>
      <c r="DX118" s="9">
        <f>HY118*($Q118*$S118)/(1+Voorblad!$K$44)^(DX$56-Voorblad!$F$41)</f>
        <v>0</v>
      </c>
      <c r="DY118" s="9">
        <f>HZ118*($Q118*$S118)/(1+Voorblad!$K$44)^(DY$56-Voorblad!$F$41)</f>
        <v>0</v>
      </c>
      <c r="DZ118" s="9">
        <f>IA118*($Q118*$S118)/(1+Voorblad!$K$44)^(DZ$56-Voorblad!$F$41)</f>
        <v>0</v>
      </c>
      <c r="EA118" s="9">
        <f>IB118*($Q118*$S118)/(1+Voorblad!$K$44)^(EA$56-Voorblad!$F$41)</f>
        <v>0</v>
      </c>
      <c r="EB118" s="9">
        <f>IC118*($Q118*$S118)/(1+Voorblad!$K$44)^(EB$56-Voorblad!$F$41)</f>
        <v>0</v>
      </c>
      <c r="EE118" s="8">
        <v>0</v>
      </c>
      <c r="EF118" s="8">
        <f>IF(EF$56-Voorblad!$F$41&gt;Voorblad!$K$41,0,IF($U118=0,0,IF($U118&lt;1,1/$U118,IF((EF$56-Voorblad!$F$41)/$U118-SUM($EE118:EE118)=1,1,0))))</f>
        <v>0</v>
      </c>
      <c r="EG118" s="8">
        <f>IF(EG$56-Voorblad!$F$41&gt;Voorblad!$K$41,0,IF($U118=0,0,IF($U118&lt;1,1/$U118,IF((EG$56-Voorblad!$F$41)/$U118-SUM($EE118:EF118)=1,1,0))))</f>
        <v>0</v>
      </c>
      <c r="EH118" s="8">
        <f>IF(EH$56-Voorblad!$F$41&gt;Voorblad!$K$41,0,IF($U118=0,0,IF($U118&lt;1,1/$U118,IF((EH$56-Voorblad!$F$41)/$U118-SUM($EE118:EG118)=1,1,0))))</f>
        <v>0</v>
      </c>
      <c r="EI118" s="8">
        <f>IF(EI$56-Voorblad!$F$41&gt;Voorblad!$K$41,0,IF($U118=0,0,IF($U118&lt;1,1/$U118,IF((EI$56-Voorblad!$F$41)/$U118-SUM($EE118:EH118)=1,1,0))))</f>
        <v>0</v>
      </c>
      <c r="EJ118" s="8">
        <f>IF(EJ$56-Voorblad!$F$41&gt;Voorblad!$K$41,0,IF($U118=0,0,IF($U118&lt;1,1/$U118,IF((EJ$56-Voorblad!$F$41)/$U118-SUM($EE118:EI118)=1,1,0))))</f>
        <v>0</v>
      </c>
      <c r="EK118" s="8">
        <f>IF(EK$56-Voorblad!$F$41&gt;Voorblad!$K$41,0,IF($U118=0,0,IF($U118&lt;1,1/$U118,IF((EK$56-Voorblad!$F$41)/$U118-SUM($EE118:EJ118)=1,1,0))))</f>
        <v>0</v>
      </c>
      <c r="EL118" s="8">
        <f>IF(EL$56-Voorblad!$F$41&gt;Voorblad!$K$41,0,IF($U118=0,0,IF($U118&lt;1,1/$U118,IF((EL$56-Voorblad!$F$41)/$U118-SUM($EE118:EK118)=1,1,0))))</f>
        <v>0</v>
      </c>
      <c r="EM118" s="8">
        <f>IF(EM$56-Voorblad!$F$41&gt;Voorblad!$K$41,0,IF($U118=0,0,IF($U118&lt;1,1/$U118,IF((EM$56-Voorblad!$F$41)/$U118-SUM($EE118:EL118)=1,1,0))))</f>
        <v>0</v>
      </c>
      <c r="EN118" s="8">
        <f>IF(EN$56-Voorblad!$F$41&gt;Voorblad!$K$41,0,IF($U118=0,0,IF($U118&lt;1,1/$U118,IF((EN$56-Voorblad!$F$41)/$U118-SUM($EE118:EM118)=1,1,0))))</f>
        <v>0</v>
      </c>
      <c r="EO118" s="8">
        <f>IF(EO$56-Voorblad!$F$41&gt;Voorblad!$K$41,0,IF($U118=0,0,IF($U118&lt;1,1/$U118,IF((EO$56-Voorblad!$F$41)/$U118-SUM($EE118:EN118)=1,1,0))))</f>
        <v>0</v>
      </c>
      <c r="EP118" s="8">
        <f>IF(EP$56-Voorblad!$F$41&gt;Voorblad!$K$41,0,IF($U118=0,0,IF($U118&lt;1,1/$U118,IF((EP$56-Voorblad!$F$41)/$U118-SUM($EE118:EO118)=1,1,0))))</f>
        <v>0</v>
      </c>
      <c r="EQ118" s="8">
        <f>IF(EQ$56-Voorblad!$F$41&gt;Voorblad!$K$41,0,IF($U118=0,0,IF($U118&lt;1,1/$U118,IF((EQ$56-Voorblad!$F$41)/$U118-SUM($EE118:EP118)=1,1,0))))</f>
        <v>0</v>
      </c>
      <c r="ER118" s="8">
        <f>IF(ER$56-Voorblad!$F$41&gt;Voorblad!$K$41,0,IF($U118=0,0,IF($U118&lt;1,1/$U118,IF((ER$56-Voorblad!$F$41)/$U118-SUM($EE118:EQ118)=1,1,0))))</f>
        <v>0</v>
      </c>
      <c r="ES118" s="8">
        <f>IF(ES$56-Voorblad!$F$41&gt;Voorblad!$K$41,0,IF($U118=0,0,IF($U118&lt;1,1/$U118,IF((ES$56-Voorblad!$F$41)/$U118-SUM($EE118:ER118)=1,1,0))))</f>
        <v>0</v>
      </c>
      <c r="ET118" s="8">
        <f>IF(ET$56-Voorblad!$F$41&gt;Voorblad!$K$41,0,IF($U118=0,0,IF($U118&lt;1,1/$U118,IF((ET$56-Voorblad!$F$41)/$U118-SUM($EE118:ES118)=1,1,0))))</f>
        <v>0</v>
      </c>
      <c r="EU118" s="8">
        <f>IF(EU$56-Voorblad!$F$41&gt;Voorblad!$K$41,0,IF($U118=0,0,IF($U118&lt;1,1/$U118,IF((EU$56-Voorblad!$F$41)/$U118-SUM($EE118:ET118)=1,1,0))))</f>
        <v>1</v>
      </c>
      <c r="EV118" s="8">
        <f>IF(EV$56-Voorblad!$F$41&gt;Voorblad!$K$41,0,IF($U118=0,0,IF($U118&lt;1,1/$U118,IF((EV$56-Voorblad!$F$41)/$U118-SUM($EE118:EU118)=1,1,0))))</f>
        <v>0</v>
      </c>
      <c r="EW118" s="8">
        <f>IF(EW$56-Voorblad!$F$41&gt;Voorblad!$K$41,0,IF($U118=0,0,IF($U118&lt;1,1/$U118,IF((EW$56-Voorblad!$F$41)/$U118-SUM($EE118:EV118)=1,1,0))))</f>
        <v>0</v>
      </c>
      <c r="EX118" s="8">
        <f>IF(EX$56-Voorblad!$F$41&gt;Voorblad!$K$41,0,IF($U118=0,0,IF($U118&lt;1,1/$U118,IF((EX$56-Voorblad!$F$41)/$U118-SUM($EE118:EW118)=1,1,0))))</f>
        <v>0</v>
      </c>
      <c r="EY118" s="8">
        <f>IF(EY$56-Voorblad!$F$41&gt;Voorblad!$K$41,0,IF($U118=0,0,IF($U118&lt;1,1/$U118,IF((EY$56-Voorblad!$F$41)/$U118-SUM($EE118:EX118)=1,1,0))))</f>
        <v>0</v>
      </c>
      <c r="EZ118" s="8">
        <f>IF(EZ$56-Voorblad!$F$41&gt;Voorblad!$K$41,0,IF($U118=0,0,IF($U118&lt;1,1/$U118,IF((EZ$56-Voorblad!$F$41)/$U118-SUM($EE118:EY118)=1,1,0))))</f>
        <v>0</v>
      </c>
      <c r="FA118" s="8">
        <f>IF(FA$56-Voorblad!$F$41&gt;Voorblad!$K$41,0,IF($U118=0,0,IF($U118&lt;1,1/$U118,IF((FA$56-Voorblad!$F$41)/$U118-SUM($EE118:EZ118)=1,1,0))))</f>
        <v>0</v>
      </c>
      <c r="FB118" s="8">
        <f>IF(FB$56-Voorblad!$F$41&gt;Voorblad!$K$41,0,IF($U118=0,0,IF($U118&lt;1,1/$U118,IF((FB$56-Voorblad!$F$41)/$U118-SUM($EE118:FA118)=1,1,0))))</f>
        <v>0</v>
      </c>
      <c r="FC118" s="8">
        <f>IF(FC$56-Voorblad!$F$41&gt;Voorblad!$K$41,0,IF($U118=0,0,IF($U118&lt;1,1/$U118,IF((FC$56-Voorblad!$F$41)/$U118-SUM($EE118:FB118)=1,1,0))))</f>
        <v>0</v>
      </c>
      <c r="FD118" s="8">
        <f>IF(FD$56-Voorblad!$F$41&gt;Voorblad!$K$41,0,IF($U118=0,0,IF($U118&lt;1,1/$U118,IF((FD$56-Voorblad!$F$41)/$U118-SUM($EE118:FC118)=1,1,0))))</f>
        <v>0</v>
      </c>
      <c r="FE118" s="8">
        <f>IF(FE$56-Voorblad!$F$41&gt;Voorblad!$K$41,0,IF($U118=0,0,IF($U118&lt;1,1/$U118,IF((FE$56-Voorblad!$F$41)/$U118-SUM($EE118:FD118)=1,1,0))))</f>
        <v>0</v>
      </c>
      <c r="FF118" s="8">
        <f>IF(FF$56-Voorblad!$F$41&gt;Voorblad!$K$41,0,IF($U118=0,0,IF($U118&lt;1,1/$U118,IF((FF$56-Voorblad!$F$41)/$U118-SUM($EE118:FE118)=1,1,0))))</f>
        <v>0</v>
      </c>
      <c r="FG118" s="8">
        <f>IF(FG$56-Voorblad!$F$41&gt;Voorblad!$K$41,0,IF($U118=0,0,IF($U118&lt;1,1/$U118,IF((FG$56-Voorblad!$F$41)/$U118-SUM($EE118:FF118)=1,1,0))))</f>
        <v>0</v>
      </c>
      <c r="FH118" s="8">
        <f>IF(FH$56-Voorblad!$F$41&gt;Voorblad!$K$41,0,IF($U118=0,0,IF($U118&lt;1,1/$U118,IF((FH$56-Voorblad!$F$41)/$U118-SUM($EE118:FG118)=1,1,0))))</f>
        <v>0</v>
      </c>
      <c r="FI118" s="8">
        <f>IF(FI$56-Voorblad!$F$41&gt;Voorblad!$K$41,0,IF($U118=0,0,IF($U118&lt;1,1/$U118,IF((FI$56-Voorblad!$F$41)/$U118-SUM($EE118:FH118)=1,1,0))))</f>
        <v>0</v>
      </c>
      <c r="FJ118" s="8">
        <f>IF(FJ$56-Voorblad!$F$41&gt;Voorblad!$K$41,0,IF($U118=0,0,IF($U118&lt;1,1/$U118,IF((FJ$56-Voorblad!$F$41)/$U118-SUM($EE118:FI118)=1,1,0))))</f>
        <v>1</v>
      </c>
      <c r="FK118" s="8">
        <f>IF(FK$56-Voorblad!$F$41&gt;Voorblad!$K$41,0,IF($U118=0,0,IF($U118&lt;1,1/$U118,IF((FK$56-Voorblad!$F$41)/$U118-SUM($EE118:FJ118)=1,1,0))))</f>
        <v>0</v>
      </c>
      <c r="FL118" s="8">
        <f>IF(FL$56-Voorblad!$F$41&gt;Voorblad!$K$41,0,IF($U118=0,0,IF($U118&lt;1,1/$U118,IF((FL$56-Voorblad!$F$41)/$U118-SUM($EE118:FK118)=1,1,0))))</f>
        <v>0</v>
      </c>
      <c r="FM118" s="8">
        <f>IF(FM$56-Voorblad!$F$41&gt;Voorblad!$K$41,0,IF($U118=0,0,IF($U118&lt;1,1/$U118,IF((FM$56-Voorblad!$F$41)/$U118-SUM($EE118:FL118)=1,1,0))))</f>
        <v>0</v>
      </c>
      <c r="FN118" s="8">
        <f>IF(FN$56-Voorblad!$F$41&gt;Voorblad!$K$41,0,IF($U118=0,0,IF($U118&lt;1,1/$U118,IF((FN$56-Voorblad!$F$41)/$U118-SUM($EE118:FM118)=1,1,0))))</f>
        <v>0</v>
      </c>
      <c r="FO118" s="8">
        <f>IF(FO$56-Voorblad!$F$41&gt;Voorblad!$K$41,0,IF($U118=0,0,IF($U118&lt;1,1/$U118,IF((FO$56-Voorblad!$F$41)/$U118-SUM($EE118:FN118)=1,1,0))))</f>
        <v>0</v>
      </c>
      <c r="FP118" s="8">
        <f>IF(FP$56-Voorblad!$F$41&gt;Voorblad!$K$41,0,IF($U118=0,0,IF($U118&lt;1,1/$U118,IF((FP$56-Voorblad!$F$41)/$U118-SUM($EE118:FO118)=1,1,0))))</f>
        <v>0</v>
      </c>
      <c r="FQ118" s="8">
        <f>IF(FQ$56-Voorblad!$F$41&gt;Voorblad!$K$41,0,IF($U118=0,0,IF($U118&lt;1,1/$U118,IF((FQ$56-Voorblad!$F$41)/$U118-SUM($EE118:FP118)=1,1,0))))</f>
        <v>0</v>
      </c>
      <c r="FR118" s="8">
        <f>IF(FR$56-Voorblad!$F$41&gt;Voorblad!$K$41,0,IF($U118=0,0,IF($U118&lt;1,1/$U118,IF((FR$56-Voorblad!$F$41)/$U118-SUM($EE118:FQ118)=1,1,0))))</f>
        <v>0</v>
      </c>
      <c r="FS118" s="8">
        <f>IF(FS$56-Voorblad!$F$41&gt;Voorblad!$K$41,0,IF($U118=0,0,IF($U118&lt;1,1/$U118,IF((FS$56-Voorblad!$F$41)/$U118-SUM($EE118:FR118)=1,1,0))))</f>
        <v>0</v>
      </c>
      <c r="FT118" s="8">
        <f>IF(FT$56-Voorblad!$F$41&gt;Voorblad!$K$41,0,IF($U118=0,0,IF($U118&lt;1,1/$U118,IF((FT$56-Voorblad!$F$41)/$U118-SUM($EE118:FS118)=1,1,0))))</f>
        <v>0</v>
      </c>
      <c r="FU118" s="8">
        <f>IF(FU$56-Voorblad!$F$41&gt;Voorblad!$K$41,0,IF($U118=0,0,IF($U118&lt;1,1/$U118,IF((FU$56-Voorblad!$F$41)/$U118-SUM($EE118:FT118)=1,1,0))))</f>
        <v>0</v>
      </c>
      <c r="FV118" s="8">
        <f>IF(FV$56-Voorblad!$F$41&gt;Voorblad!$K$41,0,IF($U118=0,0,IF($U118&lt;1,1/$U118,IF((FV$56-Voorblad!$F$41)/$U118-SUM($EE118:FU118)=1,1,0))))</f>
        <v>0</v>
      </c>
      <c r="FW118" s="8">
        <f>IF(FW$56-Voorblad!$F$41&gt;Voorblad!$K$41,0,IF($U118=0,0,IF($U118&lt;1,1/$U118,IF((FW$56-Voorblad!$F$41)/$U118-SUM($EE118:FV118)=1,1,0))))</f>
        <v>0</v>
      </c>
      <c r="FX118" s="8">
        <f>IF(FX$56-Voorblad!$F$41&gt;Voorblad!$K$41,0,IF($U118=0,0,IF($U118&lt;1,1/$U118,IF((FX$56-Voorblad!$F$41)/$U118-SUM($EE118:FW118)=1,1,0))))</f>
        <v>0</v>
      </c>
      <c r="FY118" s="8">
        <f>IF(FY$56-Voorblad!$F$41&gt;Voorblad!$K$41,0,IF($U118=0,0,IF($U118&lt;1,1/$U118,IF((FY$56-Voorblad!$F$41)/$U118-SUM($EE118:FX118)=1,1,0))))</f>
        <v>1</v>
      </c>
      <c r="FZ118" s="8">
        <f>IF(FZ$56-Voorblad!$F$41&gt;Voorblad!$K$41,0,IF($U118=0,0,IF($U118&lt;1,1/$U118,IF((FZ$56-Voorblad!$F$41)/$U118-SUM($EE118:FY118)=1,1,0))))</f>
        <v>0</v>
      </c>
      <c r="GA118" s="8">
        <f>IF(GA$56-Voorblad!$F$41&gt;Voorblad!$K$41,0,IF($U118=0,0,IF($U118&lt;1,1/$U118,IF((GA$56-Voorblad!$F$41)/$U118-SUM($EE118:FZ118)=1,1,0))))</f>
        <v>0</v>
      </c>
      <c r="GB118" s="8">
        <f>IF(GB$56-Voorblad!$F$41&gt;Voorblad!$K$41,0,IF($U118=0,0,IF($U118&lt;1,1/$U118,IF((GB$56-Voorblad!$F$41)/$U118-SUM($EE118:GA118)=1,1,0))))</f>
        <v>0</v>
      </c>
      <c r="GC118" s="8">
        <f>IF(GC$56-Voorblad!$F$41&gt;Voorblad!$K$41,0,IF($U118=0,0,IF($U118&lt;1,1/$U118,IF((GC$56-Voorblad!$F$41)/$U118-SUM($EE118:GB118)=1,1,0))))</f>
        <v>0</v>
      </c>
      <c r="GD118" s="8">
        <f>IF(GD$56-Voorblad!$F$41&gt;Voorblad!$K$41,0,IF($U118=0,0,IF($U118&lt;1,1/$U118,IF((GD$56-Voorblad!$F$41)/$U118-SUM($EE118:GC118)=1,1,0))))</f>
        <v>0</v>
      </c>
      <c r="GE118" s="8">
        <f>IF(GE$56-Voorblad!$F$41&gt;Voorblad!$K$41,0,IF($U118=0,0,IF($U118&lt;1,1/$U118,IF((GE$56-Voorblad!$F$41)/$U118-SUM($EE118:GD118)=1,1,0))))</f>
        <v>0</v>
      </c>
      <c r="GF118" s="8">
        <f>IF(GF$56-Voorblad!$F$41&gt;Voorblad!$K$41,0,IF($U118=0,0,IF($U118&lt;1,1/$U118,IF((GF$56-Voorblad!$F$41)/$U118-SUM($EE118:GE118)=1,1,0))))</f>
        <v>0</v>
      </c>
      <c r="GG118" s="8">
        <f>IF(GG$56-Voorblad!$F$41&gt;Voorblad!$K$41,0,IF($U118=0,0,IF($U118&lt;1,1/$U118,IF((GG$56-Voorblad!$F$41)/$U118-SUM($EE118:GF118)=1,1,0))))</f>
        <v>0</v>
      </c>
      <c r="GH118" s="8">
        <f>IF(GH$56-Voorblad!$F$41&gt;Voorblad!$K$41,0,IF($U118=0,0,IF($U118&lt;1,1/$U118,IF((GH$56-Voorblad!$F$41)/$U118-SUM($EE118:GG118)=1,1,0))))</f>
        <v>0</v>
      </c>
      <c r="GI118" s="8">
        <f>IF(GI$56-Voorblad!$F$41&gt;Voorblad!$K$41,0,IF($U118=0,0,IF($U118&lt;1,1/$U118,IF((GI$56-Voorblad!$F$41)/$U118-SUM($EE118:GH118)=1,1,0))))</f>
        <v>0</v>
      </c>
      <c r="GJ118" s="8">
        <f>IF(GJ$56-Voorblad!$F$41&gt;Voorblad!$K$41,0,IF($U118=0,0,IF($U118&lt;1,1/$U118,IF((GJ$56-Voorblad!$F$41)/$U118-SUM($EE118:GI118)=1,1,0))))</f>
        <v>0</v>
      </c>
      <c r="GK118" s="8">
        <f>IF(GK$56-Voorblad!$F$41&gt;Voorblad!$K$41,0,IF($U118=0,0,IF($U118&lt;1,1/$U118,IF((GK$56-Voorblad!$F$41)/$U118-SUM($EE118:GJ118)=1,1,0))))</f>
        <v>0</v>
      </c>
      <c r="GL118" s="8">
        <f>IF(GL$56-Voorblad!$F$41&gt;Voorblad!$K$41,0,IF($U118=0,0,IF($U118&lt;1,1/$U118,IF((GL$56-Voorblad!$F$41)/$U118-SUM($EE118:GK118)=1,1,0))))</f>
        <v>0</v>
      </c>
      <c r="GM118" s="8">
        <f>IF(GM$56-Voorblad!$F$41&gt;Voorblad!$K$41,0,IF($U118=0,0,IF($U118&lt;1,1/$U118,IF((GM$56-Voorblad!$F$41)/$U118-SUM($EE118:GL118)=1,1,0))))</f>
        <v>0</v>
      </c>
      <c r="GN118" s="8">
        <f>IF(GN$56-Voorblad!$F$41&gt;Voorblad!$K$41,0,IF($U118=0,0,IF($U118&lt;1,1/$U118,IF((GN$56-Voorblad!$F$41)/$U118-SUM($EE118:GM118)=1,1,0))))</f>
        <v>1</v>
      </c>
      <c r="GO118" s="8">
        <f>IF(GO$56-Voorblad!$F$41&gt;Voorblad!$K$41,0,IF($U118=0,0,IF($U118&lt;1,1/$U118,IF((GO$56-Voorblad!$F$41)/$U118-SUM($EE118:GN118)=1,1,0))))</f>
        <v>0</v>
      </c>
      <c r="GP118" s="8">
        <f>IF(GP$56-Voorblad!$F$41&gt;Voorblad!$K$41,0,IF($U118=0,0,IF($U118&lt;1,1/$U118,IF((GP$56-Voorblad!$F$41)/$U118-SUM($EE118:GO118)=1,1,0))))</f>
        <v>0</v>
      </c>
      <c r="GQ118" s="8">
        <f>IF(GQ$56-Voorblad!$F$41&gt;Voorblad!$K$41,0,IF($U118=0,0,IF($U118&lt;1,1/$U118,IF((GQ$56-Voorblad!$F$41)/$U118-SUM($EE118:GP118)=1,1,0))))</f>
        <v>0</v>
      </c>
      <c r="GR118" s="8">
        <f>IF(GR$56-Voorblad!$F$41&gt;Voorblad!$K$41,0,IF($U118=0,0,IF($U118&lt;1,1/$U118,IF((GR$56-Voorblad!$F$41)/$U118-SUM($EE118:GQ118)=1,1,0))))</f>
        <v>0</v>
      </c>
      <c r="GS118" s="8">
        <f>IF(GS$56-Voorblad!$F$41&gt;Voorblad!$K$41,0,IF($U118=0,0,IF($U118&lt;1,1/$U118,IF((GS$56-Voorblad!$F$41)/$U118-SUM($EE118:GR118)=1,1,0))))</f>
        <v>0</v>
      </c>
      <c r="GT118" s="8">
        <f>IF(GT$56-Voorblad!$F$41&gt;Voorblad!$K$41,0,IF($U118=0,0,IF($U118&lt;1,1/$U118,IF((GT$56-Voorblad!$F$41)/$U118-SUM($EE118:GS118)=1,1,0))))</f>
        <v>0</v>
      </c>
      <c r="GU118" s="8">
        <f>IF(GU$56-Voorblad!$F$41&gt;Voorblad!$K$41,0,IF($U118=0,0,IF($U118&lt;1,1/$U118,IF((GU$56-Voorblad!$F$41)/$U118-SUM($EE118:GT118)=1,1,0))))</f>
        <v>0</v>
      </c>
      <c r="GV118" s="8">
        <f>IF(GV$56-Voorblad!$F$41&gt;Voorblad!$K$41,0,IF($U118=0,0,IF($U118&lt;1,1/$U118,IF((GV$56-Voorblad!$F$41)/$U118-SUM($EE118:GU118)=1,1,0))))</f>
        <v>0</v>
      </c>
      <c r="GW118" s="8">
        <f>IF(GW$56-Voorblad!$F$41&gt;Voorblad!$K$41,0,IF($U118=0,0,IF($U118&lt;1,1/$U118,IF((GW$56-Voorblad!$F$41)/$U118-SUM($EE118:GV118)=1,1,0))))</f>
        <v>0</v>
      </c>
      <c r="GX118" s="8">
        <f>IF(GX$56-Voorblad!$F$41&gt;Voorblad!$K$41,0,IF($U118=0,0,IF($U118&lt;1,1/$U118,IF((GX$56-Voorblad!$F$41)/$U118-SUM($EE118:GW118)=1,1,0))))</f>
        <v>0</v>
      </c>
      <c r="GY118" s="8">
        <f>IF(GY$56-Voorblad!$F$41&gt;Voorblad!$K$41,0,IF($U118=0,0,IF($U118&lt;1,1/$U118,IF((GY$56-Voorblad!$F$41)/$U118-SUM($EE118:GX118)=1,1,0))))</f>
        <v>0</v>
      </c>
      <c r="GZ118" s="8">
        <f>IF(GZ$56-Voorblad!$F$41&gt;Voorblad!$K$41,0,IF($U118=0,0,IF($U118&lt;1,1/$U118,IF((GZ$56-Voorblad!$F$41)/$U118-SUM($EE118:GY118)=1,1,0))))</f>
        <v>0</v>
      </c>
      <c r="HA118" s="8">
        <f>IF(HA$56-Voorblad!$F$41&gt;Voorblad!$K$41,0,IF($U118=0,0,IF($U118&lt;1,1/$U118,IF((HA$56-Voorblad!$F$41)/$U118-SUM($EE118:GZ118)=1,1,0))))</f>
        <v>0</v>
      </c>
      <c r="HB118" s="8">
        <f>IF(HB$56-Voorblad!$F$41&gt;Voorblad!$K$41,0,IF($U118=0,0,IF($U118&lt;1,1/$U118,IF((HB$56-Voorblad!$F$41)/$U118-SUM($EE118:HA118)=1,1,0))))</f>
        <v>0</v>
      </c>
      <c r="HC118" s="8">
        <f>IF(HC$56-Voorblad!$F$41&gt;Voorblad!$K$41,0,IF($U118=0,0,IF($U118&lt;1,1/$U118,IF((HC$56-Voorblad!$F$41)/$U118-SUM($EE118:HB118)=1,1,0))))</f>
        <v>0</v>
      </c>
      <c r="HD118" s="8">
        <f>IF(HD$56-Voorblad!$F$41&gt;Voorblad!$K$41,0,IF($U118=0,0,IF($U118&lt;1,1/$U118,IF((HD$56-Voorblad!$F$41)/$U118-SUM($EE118:HC118)=1,1,0))))</f>
        <v>0</v>
      </c>
      <c r="HE118" s="8">
        <f>IF(HE$56-Voorblad!$F$41&gt;Voorblad!$K$41,0,IF($U118=0,0,IF($U118&lt;1,1/$U118,IF((HE$56-Voorblad!$F$41)/$U118-SUM($EE118:HD118)=1,1,0))))</f>
        <v>0</v>
      </c>
      <c r="HF118" s="8">
        <f>IF(HF$56-Voorblad!$F$41&gt;Voorblad!$K$41,0,IF($U118=0,0,IF($U118&lt;1,1/$U118,IF((HF$56-Voorblad!$F$41)/$U118-SUM($EE118:HE118)=1,1,0))))</f>
        <v>0</v>
      </c>
      <c r="HG118" s="8">
        <f>IF(HG$56-Voorblad!$F$41&gt;Voorblad!$K$41,0,IF($U118=0,0,IF($U118&lt;1,1/$U118,IF((HG$56-Voorblad!$F$41)/$U118-SUM($EE118:HF118)=1,1,0))))</f>
        <v>0</v>
      </c>
      <c r="HH118" s="8">
        <f>IF(HH$56-Voorblad!$F$41&gt;Voorblad!$K$41,0,IF($U118=0,0,IF($U118&lt;1,1/$U118,IF((HH$56-Voorblad!$F$41)/$U118-SUM($EE118:HG118)=1,1,0))))</f>
        <v>0</v>
      </c>
      <c r="HI118" s="8">
        <f>IF(HI$56-Voorblad!$F$41&gt;Voorblad!$K$41,0,IF($U118=0,0,IF($U118&lt;1,1/$U118,IF((HI$56-Voorblad!$F$41)/$U118-SUM($EE118:HH118)=1,1,0))))</f>
        <v>0</v>
      </c>
      <c r="HJ118" s="8">
        <f>IF(HJ$56-Voorblad!$F$41&gt;Voorblad!$K$41,0,IF($U118=0,0,IF($U118&lt;1,1/$U118,IF((HJ$56-Voorblad!$F$41)/$U118-SUM($EE118:HI118)=1,1,0))))</f>
        <v>0</v>
      </c>
      <c r="HK118" s="8">
        <f>IF(HK$56-Voorblad!$F$41&gt;Voorblad!$K$41,0,IF($U118=0,0,IF($U118&lt;1,1/$U118,IF((HK$56-Voorblad!$F$41)/$U118-SUM($EE118:HJ118)=1,1,0))))</f>
        <v>0</v>
      </c>
      <c r="HL118" s="8">
        <f>IF(HL$56-Voorblad!$F$41&gt;Voorblad!$K$41,0,IF($U118=0,0,IF($U118&lt;1,1/$U118,IF((HL$56-Voorblad!$F$41)/$U118-SUM($EE118:HK118)=1,1,0))))</f>
        <v>0</v>
      </c>
      <c r="HM118" s="8">
        <f>IF(HM$56-Voorblad!$F$41&gt;Voorblad!$K$41,0,IF($U118=0,0,IF($U118&lt;1,1/$U118,IF((HM$56-Voorblad!$F$41)/$U118-SUM($EE118:HL118)=1,1,0))))</f>
        <v>0</v>
      </c>
      <c r="HN118" s="8">
        <f>IF(HN$56-Voorblad!$F$41&gt;Voorblad!$K$41,0,IF($U118=0,0,IF($U118&lt;1,1/$U118,IF((HN$56-Voorblad!$F$41)/$U118-SUM($EE118:HM118)=1,1,0))))</f>
        <v>0</v>
      </c>
      <c r="HO118" s="8">
        <f>IF(HO$56-Voorblad!$F$41&gt;Voorblad!$K$41,0,IF($U118=0,0,IF($U118&lt;1,1/$U118,IF((HO$56-Voorblad!$F$41)/$U118-SUM($EE118:HN118)=1,1,0))))</f>
        <v>0</v>
      </c>
      <c r="HP118" s="8">
        <f>IF(HP$56-Voorblad!$F$41&gt;Voorblad!$K$41,0,IF($U118=0,0,IF($U118&lt;1,1/$U118,IF((HP$56-Voorblad!$F$41)/$U118-SUM($EE118:HO118)=1,1,0))))</f>
        <v>0</v>
      </c>
      <c r="HQ118" s="8">
        <f>IF(HQ$56-Voorblad!$F$41&gt;Voorblad!$K$41,0,IF($U118=0,0,IF($U118&lt;1,1/$U118,IF((HQ$56-Voorblad!$F$41)/$U118-SUM($EE118:HP118)=1,1,0))))</f>
        <v>0</v>
      </c>
      <c r="HR118" s="8">
        <f>IF(HR$56-Voorblad!$F$41&gt;Voorblad!$K$41,0,IF($U118=0,0,IF($U118&lt;1,1/$U118,IF((HR$56-Voorblad!$F$41)/$U118-SUM($EE118:HQ118)=1,1,0))))</f>
        <v>0</v>
      </c>
      <c r="HS118" s="8">
        <f>IF(HS$56-Voorblad!$F$41&gt;Voorblad!$K$41,0,IF($U118=0,0,IF($U118&lt;1,1/$U118,IF((HS$56-Voorblad!$F$41)/$U118-SUM($EE118:HR118)=1,1,0))))</f>
        <v>0</v>
      </c>
      <c r="HT118" s="8">
        <f>IF(HT$56-Voorblad!$F$41&gt;Voorblad!$K$41,0,IF($U118=0,0,IF($U118&lt;1,1/$U118,IF((HT$56-Voorblad!$F$41)/$U118-SUM($EE118:HS118)=1,1,0))))</f>
        <v>0</v>
      </c>
      <c r="HU118" s="8">
        <f>IF(HU$56-Voorblad!$F$41&gt;Voorblad!$K$41,0,IF($U118=0,0,IF($U118&lt;1,1/$U118,IF((HU$56-Voorblad!$F$41)/$U118-SUM($EE118:HT118)=1,1,0))))</f>
        <v>0</v>
      </c>
      <c r="HV118" s="8">
        <f>IF(HV$56-Voorblad!$F$41&gt;Voorblad!$K$41,0,IF($U118=0,0,IF($U118&lt;1,1/$U118,IF((HV$56-Voorblad!$F$41)/$U118-SUM($EE118:HU118)=1,1,0))))</f>
        <v>0</v>
      </c>
      <c r="HW118" s="8">
        <f>IF(HW$56-Voorblad!$F$41&gt;Voorblad!$K$41,0,IF($U118=0,0,IF($U118&lt;1,1/$U118,IF((HW$56-Voorblad!$F$41)/$U118-SUM($EE118:HV118)=1,1,0))))</f>
        <v>0</v>
      </c>
      <c r="HX118" s="8">
        <f>IF(HX$56-Voorblad!$F$41&gt;Voorblad!$K$41,0,IF($U118=0,0,IF($U118&lt;1,1/$U118,IF((HX$56-Voorblad!$F$41)/$U118-SUM($EE118:HW118)=1,1,0))))</f>
        <v>0</v>
      </c>
      <c r="HY118" s="8">
        <f>IF(HY$56-Voorblad!$F$41&gt;Voorblad!$K$41,0,IF($U118=0,0,IF($U118&lt;1,1/$U118,IF((HY$56-Voorblad!$F$41)/$U118-SUM($EE118:HX118)=1,1,0))))</f>
        <v>0</v>
      </c>
      <c r="HZ118" s="8">
        <f>IF(HZ$56-Voorblad!$F$41&gt;Voorblad!$K$41,0,IF($U118=0,0,IF($U118&lt;1,1/$U118,IF((HZ$56-Voorblad!$F$41)/$U118-SUM($EE118:HY118)=1,1,0))))</f>
        <v>0</v>
      </c>
      <c r="IA118" s="8">
        <f>IF(IA$56-Voorblad!$F$41&gt;Voorblad!$K$41,0,IF($U118=0,0,IF($U118&lt;1,1/$U118,IF((IA$56-Voorblad!$F$41)/$U118-SUM($EE118:HZ118)=1,1,0))))</f>
        <v>0</v>
      </c>
      <c r="IB118" s="8">
        <f>IF(IB$56-Voorblad!$F$41&gt;Voorblad!$K$41,0,IF($U118=0,0,IF($U118&lt;1,1/$U118,IF((IB$56-Voorblad!$F$41)/$U118-SUM($EE118:IA118)=1,1,0))))</f>
        <v>0</v>
      </c>
    </row>
    <row r="119" spans="2:236" ht="12" customHeight="1" outlineLevel="1" x14ac:dyDescent="0.25">
      <c r="B119" s="1">
        <v>3</v>
      </c>
      <c r="F119" s="1" t="s">
        <v>23</v>
      </c>
      <c r="I119" s="1" t="s">
        <v>277</v>
      </c>
      <c r="K119" s="14" t="s">
        <v>189</v>
      </c>
      <c r="L119" s="14"/>
      <c r="M119" s="14"/>
      <c r="O119" s="1" t="s">
        <v>173</v>
      </c>
      <c r="P119" s="1" t="s">
        <v>176</v>
      </c>
      <c r="Q119" s="81">
        <v>0</v>
      </c>
      <c r="R119" s="1" t="s">
        <v>35</v>
      </c>
      <c r="S119" s="14">
        <f>$H$20*500</f>
        <v>885</v>
      </c>
      <c r="T119" s="9">
        <f t="shared" si="20"/>
        <v>0</v>
      </c>
      <c r="U119" s="14">
        <v>15</v>
      </c>
      <c r="V119" s="14"/>
      <c r="Y119" s="9">
        <f t="shared" si="22"/>
        <v>0</v>
      </c>
      <c r="Z119" s="82"/>
      <c r="AA119" s="82"/>
      <c r="AC119" s="9">
        <f>$Y119*(Voorblad!$K$44*(1+Voorblad!$K$44)^Voorblad!$K$41)/((1+Voorblad!$K$44)^Voorblad!$K$41-1)</f>
        <v>0</v>
      </c>
      <c r="AE119" s="9">
        <f>EF119*($Q119*$S119)/(1+Voorblad!$K$44)^(AE$56-Voorblad!$F$41)</f>
        <v>0</v>
      </c>
      <c r="AF119" s="9">
        <f>EG119*($Q119*$S119)/(1+Voorblad!$K$44)^(AF$56-Voorblad!$F$41)</f>
        <v>0</v>
      </c>
      <c r="AG119" s="9">
        <f>EH119*($Q119*$S119)/(1+Voorblad!$K$44)^(AG$56-Voorblad!$F$41)</f>
        <v>0</v>
      </c>
      <c r="AH119" s="9">
        <f>EI119*($Q119*$S119)/(1+Voorblad!$K$44)^(AH$56-Voorblad!$F$41)</f>
        <v>0</v>
      </c>
      <c r="AI119" s="9">
        <f>EJ119*($Q119*$S119)/(1+Voorblad!$K$44)^(AI$56-Voorblad!$F$41)</f>
        <v>0</v>
      </c>
      <c r="AJ119" s="9">
        <f>EK119*($Q119*$S119)/(1+Voorblad!$K$44)^(AJ$56-Voorblad!$F$41)</f>
        <v>0</v>
      </c>
      <c r="AK119" s="9">
        <f>EL119*($Q119*$S119)/(1+Voorblad!$K$44)^(AK$56-Voorblad!$F$41)</f>
        <v>0</v>
      </c>
      <c r="AL119" s="9">
        <f>EM119*($Q119*$S119)/(1+Voorblad!$K$44)^(AL$56-Voorblad!$F$41)</f>
        <v>0</v>
      </c>
      <c r="AM119" s="9">
        <f>EN119*($Q119*$S119)/(1+Voorblad!$K$44)^(AM$56-Voorblad!$F$41)</f>
        <v>0</v>
      </c>
      <c r="AN119" s="9">
        <f>EO119*($Q119*$S119)/(1+Voorblad!$K$44)^(AN$56-Voorblad!$F$41)</f>
        <v>0</v>
      </c>
      <c r="AO119" s="9">
        <f>EP119*($Q119*$S119)/(1+Voorblad!$K$44)^(AO$56-Voorblad!$F$41)</f>
        <v>0</v>
      </c>
      <c r="AP119" s="9">
        <f>EQ119*($Q119*$S119)/(1+Voorblad!$K$44)^(AP$56-Voorblad!$F$41)</f>
        <v>0</v>
      </c>
      <c r="AQ119" s="9">
        <f>ER119*($Q119*$S119)/(1+Voorblad!$K$44)^(AQ$56-Voorblad!$F$41)</f>
        <v>0</v>
      </c>
      <c r="AR119" s="9">
        <f>ES119*($Q119*$S119)/(1+Voorblad!$K$44)^(AR$56-Voorblad!$F$41)</f>
        <v>0</v>
      </c>
      <c r="AS119" s="9">
        <f>ET119*($Q119*$S119)/(1+Voorblad!$K$44)^(AS$56-Voorblad!$F$41)</f>
        <v>0</v>
      </c>
      <c r="AT119" s="9">
        <f>EU119*($Q119*$S119)/(1+Voorblad!$K$44)^(AT$56-Voorblad!$F$41)</f>
        <v>0</v>
      </c>
      <c r="AU119" s="9">
        <f>EV119*($Q119*$S119)/(1+Voorblad!$K$44)^(AU$56-Voorblad!$F$41)</f>
        <v>0</v>
      </c>
      <c r="AV119" s="9">
        <f>EW119*($Q119*$S119)/(1+Voorblad!$K$44)^(AV$56-Voorblad!$F$41)</f>
        <v>0</v>
      </c>
      <c r="AW119" s="9">
        <f>EX119*($Q119*$S119)/(1+Voorblad!$K$44)^(AW$56-Voorblad!$F$41)</f>
        <v>0</v>
      </c>
      <c r="AX119" s="9">
        <f>EY119*($Q119*$S119)/(1+Voorblad!$K$44)^(AX$56-Voorblad!$F$41)</f>
        <v>0</v>
      </c>
      <c r="AY119" s="9">
        <f>EZ119*($Q119*$S119)/(1+Voorblad!$K$44)^(AY$56-Voorblad!$F$41)</f>
        <v>0</v>
      </c>
      <c r="AZ119" s="9">
        <f>FA119*($Q119*$S119)/(1+Voorblad!$K$44)^(AZ$56-Voorblad!$F$41)</f>
        <v>0</v>
      </c>
      <c r="BA119" s="9">
        <f>FB119*($Q119*$S119)/(1+Voorblad!$K$44)^(BA$56-Voorblad!$F$41)</f>
        <v>0</v>
      </c>
      <c r="BB119" s="9">
        <f>FC119*($Q119*$S119)/(1+Voorblad!$K$44)^(BB$56-Voorblad!$F$41)</f>
        <v>0</v>
      </c>
      <c r="BC119" s="9">
        <f>FD119*($Q119*$S119)/(1+Voorblad!$K$44)^(BC$56-Voorblad!$F$41)</f>
        <v>0</v>
      </c>
      <c r="BD119" s="9">
        <f>FE119*($Q119*$S119)/(1+Voorblad!$K$44)^(BD$56-Voorblad!$F$41)</f>
        <v>0</v>
      </c>
      <c r="BE119" s="9">
        <f>FF119*($Q119*$S119)/(1+Voorblad!$K$44)^(BE$56-Voorblad!$F$41)</f>
        <v>0</v>
      </c>
      <c r="BF119" s="9">
        <f>FG119*($Q119*$S119)/(1+Voorblad!$K$44)^(BF$56-Voorblad!$F$41)</f>
        <v>0</v>
      </c>
      <c r="BG119" s="9">
        <f>FH119*($Q119*$S119)/(1+Voorblad!$K$44)^(BG$56-Voorblad!$F$41)</f>
        <v>0</v>
      </c>
      <c r="BH119" s="9">
        <f>FI119*($Q119*$S119)/(1+Voorblad!$K$44)^(BH$56-Voorblad!$F$41)</f>
        <v>0</v>
      </c>
      <c r="BI119" s="9">
        <f>FJ119*($Q119*$S119)/(1+Voorblad!$K$44)^(BI$56-Voorblad!$F$41)</f>
        <v>0</v>
      </c>
      <c r="BJ119" s="9">
        <f>FK119*($Q119*$S119)/(1+Voorblad!$K$44)^(BJ$56-Voorblad!$F$41)</f>
        <v>0</v>
      </c>
      <c r="BK119" s="9">
        <f>FL119*($Q119*$S119)/(1+Voorblad!$K$44)^(BK$56-Voorblad!$F$41)</f>
        <v>0</v>
      </c>
      <c r="BL119" s="9">
        <f>FM119*($Q119*$S119)/(1+Voorblad!$K$44)^(BL$56-Voorblad!$F$41)</f>
        <v>0</v>
      </c>
      <c r="BM119" s="9">
        <f>FN119*($Q119*$S119)/(1+Voorblad!$K$44)^(BM$56-Voorblad!$F$41)</f>
        <v>0</v>
      </c>
      <c r="BN119" s="9">
        <f>FO119*($Q119*$S119)/(1+Voorblad!$K$44)^(BN$56-Voorblad!$F$41)</f>
        <v>0</v>
      </c>
      <c r="BO119" s="9">
        <f>FP119*($Q119*$S119)/(1+Voorblad!$K$44)^(BO$56-Voorblad!$F$41)</f>
        <v>0</v>
      </c>
      <c r="BP119" s="9">
        <f>FQ119*($Q119*$S119)/(1+Voorblad!$K$44)^(BP$56-Voorblad!$F$41)</f>
        <v>0</v>
      </c>
      <c r="BQ119" s="9">
        <f>FR119*($Q119*$S119)/(1+Voorblad!$K$44)^(BQ$56-Voorblad!$F$41)</f>
        <v>0</v>
      </c>
      <c r="BR119" s="9">
        <f>FS119*($Q119*$S119)/(1+Voorblad!$K$44)^(BR$56-Voorblad!$F$41)</f>
        <v>0</v>
      </c>
      <c r="BS119" s="9">
        <f>FT119*($Q119*$S119)/(1+Voorblad!$K$44)^(BS$56-Voorblad!$F$41)</f>
        <v>0</v>
      </c>
      <c r="BT119" s="9">
        <f>FU119*($Q119*$S119)/(1+Voorblad!$K$44)^(BT$56-Voorblad!$F$41)</f>
        <v>0</v>
      </c>
      <c r="BU119" s="9">
        <f>FV119*($Q119*$S119)/(1+Voorblad!$K$44)^(BU$56-Voorblad!$F$41)</f>
        <v>0</v>
      </c>
      <c r="BV119" s="9">
        <f>FW119*($Q119*$S119)/(1+Voorblad!$K$44)^(BV$56-Voorblad!$F$41)</f>
        <v>0</v>
      </c>
      <c r="BW119" s="9">
        <f>FX119*($Q119*$S119)/(1+Voorblad!$K$44)^(BW$56-Voorblad!$F$41)</f>
        <v>0</v>
      </c>
      <c r="BX119" s="9">
        <f>FY119*($Q119*$S119)/(1+Voorblad!$K$44)^(BX$56-Voorblad!$F$41)</f>
        <v>0</v>
      </c>
      <c r="BY119" s="9">
        <f>FZ119*($Q119*$S119)/(1+Voorblad!$K$44)^(BY$56-Voorblad!$F$41)</f>
        <v>0</v>
      </c>
      <c r="BZ119" s="9">
        <f>GA119*($Q119*$S119)/(1+Voorblad!$K$44)^(BZ$56-Voorblad!$F$41)</f>
        <v>0</v>
      </c>
      <c r="CA119" s="9">
        <f>GB119*($Q119*$S119)/(1+Voorblad!$K$44)^(CA$56-Voorblad!$F$41)</f>
        <v>0</v>
      </c>
      <c r="CB119" s="9">
        <f>GC119*($Q119*$S119)/(1+Voorblad!$K$44)^(CB$56-Voorblad!$F$41)</f>
        <v>0</v>
      </c>
      <c r="CC119" s="9">
        <f>GD119*($Q119*$S119)/(1+Voorblad!$K$44)^(CC$56-Voorblad!$F$41)</f>
        <v>0</v>
      </c>
      <c r="CD119" s="9">
        <f>GE119*($Q119*$S119)/(1+Voorblad!$K$44)^(CD$56-Voorblad!$F$41)</f>
        <v>0</v>
      </c>
      <c r="CE119" s="9">
        <f>GF119*($Q119*$S119)/(1+Voorblad!$K$44)^(CE$56-Voorblad!$F$41)</f>
        <v>0</v>
      </c>
      <c r="CF119" s="9">
        <f>GG119*($Q119*$S119)/(1+Voorblad!$K$44)^(CF$56-Voorblad!$F$41)</f>
        <v>0</v>
      </c>
      <c r="CG119" s="9">
        <f>GH119*($Q119*$S119)/(1+Voorblad!$K$44)^(CG$56-Voorblad!$F$41)</f>
        <v>0</v>
      </c>
      <c r="CH119" s="9">
        <f>GI119*($Q119*$S119)/(1+Voorblad!$K$44)^(CH$56-Voorblad!$F$41)</f>
        <v>0</v>
      </c>
      <c r="CI119" s="9">
        <f>GJ119*($Q119*$S119)/(1+Voorblad!$K$44)^(CI$56-Voorblad!$F$41)</f>
        <v>0</v>
      </c>
      <c r="CJ119" s="9">
        <f>GK119*($Q119*$S119)/(1+Voorblad!$K$44)^(CJ$56-Voorblad!$F$41)</f>
        <v>0</v>
      </c>
      <c r="CK119" s="9">
        <f>GL119*($Q119*$S119)/(1+Voorblad!$K$44)^(CK$56-Voorblad!$F$41)</f>
        <v>0</v>
      </c>
      <c r="CL119" s="9">
        <f>GM119*($Q119*$S119)/(1+Voorblad!$K$44)^(CL$56-Voorblad!$F$41)</f>
        <v>0</v>
      </c>
      <c r="CM119" s="9">
        <f>GN119*($Q119*$S119)/(1+Voorblad!$K$44)^(CM$56-Voorblad!$F$41)</f>
        <v>0</v>
      </c>
      <c r="CN119" s="9">
        <f>GO119*($Q119*$S119)/(1+Voorblad!$K$44)^(CN$56-Voorblad!$F$41)</f>
        <v>0</v>
      </c>
      <c r="CO119" s="9">
        <f>GP119*($Q119*$S119)/(1+Voorblad!$K$44)^(CO$56-Voorblad!$F$41)</f>
        <v>0</v>
      </c>
      <c r="CP119" s="9">
        <f>GQ119*($Q119*$S119)/(1+Voorblad!$K$44)^(CP$56-Voorblad!$F$41)</f>
        <v>0</v>
      </c>
      <c r="CQ119" s="9">
        <f>GR119*($Q119*$S119)/(1+Voorblad!$K$44)^(CQ$56-Voorblad!$F$41)</f>
        <v>0</v>
      </c>
      <c r="CR119" s="9">
        <f>GS119*($Q119*$S119)/(1+Voorblad!$K$44)^(CR$56-Voorblad!$F$41)</f>
        <v>0</v>
      </c>
      <c r="CS119" s="9">
        <f>GT119*($Q119*$S119)/(1+Voorblad!$K$44)^(CS$56-Voorblad!$F$41)</f>
        <v>0</v>
      </c>
      <c r="CT119" s="9">
        <f>GU119*($Q119*$S119)/(1+Voorblad!$K$44)^(CT$56-Voorblad!$F$41)</f>
        <v>0</v>
      </c>
      <c r="CU119" s="9">
        <f>GV119*($Q119*$S119)/(1+Voorblad!$K$44)^(CU$56-Voorblad!$F$41)</f>
        <v>0</v>
      </c>
      <c r="CV119" s="9">
        <f>GW119*($Q119*$S119)/(1+Voorblad!$K$44)^(CV$56-Voorblad!$F$41)</f>
        <v>0</v>
      </c>
      <c r="CW119" s="9">
        <f>GX119*($Q119*$S119)/(1+Voorblad!$K$44)^(CW$56-Voorblad!$F$41)</f>
        <v>0</v>
      </c>
      <c r="CX119" s="9">
        <f>GY119*($Q119*$S119)/(1+Voorblad!$K$44)^(CX$56-Voorblad!$F$41)</f>
        <v>0</v>
      </c>
      <c r="CY119" s="9">
        <f>GZ119*($Q119*$S119)/(1+Voorblad!$K$44)^(CY$56-Voorblad!$F$41)</f>
        <v>0</v>
      </c>
      <c r="CZ119" s="9">
        <f>HA119*($Q119*$S119)/(1+Voorblad!$K$44)^(CZ$56-Voorblad!$F$41)</f>
        <v>0</v>
      </c>
      <c r="DA119" s="9">
        <f>HB119*($Q119*$S119)/(1+Voorblad!$K$44)^(DA$56-Voorblad!$F$41)</f>
        <v>0</v>
      </c>
      <c r="DB119" s="9">
        <f>HC119*($Q119*$S119)/(1+Voorblad!$K$44)^(DB$56-Voorblad!$F$41)</f>
        <v>0</v>
      </c>
      <c r="DC119" s="9">
        <f>HD119*($Q119*$S119)/(1+Voorblad!$K$44)^(DC$56-Voorblad!$F$41)</f>
        <v>0</v>
      </c>
      <c r="DD119" s="9">
        <f>HE119*($Q119*$S119)/(1+Voorblad!$K$44)^(DD$56-Voorblad!$F$41)</f>
        <v>0</v>
      </c>
      <c r="DE119" s="9">
        <f>HF119*($Q119*$S119)/(1+Voorblad!$K$44)^(DE$56-Voorblad!$F$41)</f>
        <v>0</v>
      </c>
      <c r="DF119" s="9">
        <f>HG119*($Q119*$S119)/(1+Voorblad!$K$44)^(DF$56-Voorblad!$F$41)</f>
        <v>0</v>
      </c>
      <c r="DG119" s="9">
        <f>HH119*($Q119*$S119)/(1+Voorblad!$K$44)^(DG$56-Voorblad!$F$41)</f>
        <v>0</v>
      </c>
      <c r="DH119" s="9">
        <f>HI119*($Q119*$S119)/(1+Voorblad!$K$44)^(DH$56-Voorblad!$F$41)</f>
        <v>0</v>
      </c>
      <c r="DI119" s="9">
        <f>HJ119*($Q119*$S119)/(1+Voorblad!$K$44)^(DI$56-Voorblad!$F$41)</f>
        <v>0</v>
      </c>
      <c r="DJ119" s="9">
        <f>HK119*($Q119*$S119)/(1+Voorblad!$K$44)^(DJ$56-Voorblad!$F$41)</f>
        <v>0</v>
      </c>
      <c r="DK119" s="9">
        <f>HL119*($Q119*$S119)/(1+Voorblad!$K$44)^(DK$56-Voorblad!$F$41)</f>
        <v>0</v>
      </c>
      <c r="DL119" s="9">
        <f>HM119*($Q119*$S119)/(1+Voorblad!$K$44)^(DL$56-Voorblad!$F$41)</f>
        <v>0</v>
      </c>
      <c r="DM119" s="9">
        <f>HN119*($Q119*$S119)/(1+Voorblad!$K$44)^(DM$56-Voorblad!$F$41)</f>
        <v>0</v>
      </c>
      <c r="DN119" s="9">
        <f>HO119*($Q119*$S119)/(1+Voorblad!$K$44)^(DN$56-Voorblad!$F$41)</f>
        <v>0</v>
      </c>
      <c r="DO119" s="9">
        <f>HP119*($Q119*$S119)/(1+Voorblad!$K$44)^(DO$56-Voorblad!$F$41)</f>
        <v>0</v>
      </c>
      <c r="DP119" s="9">
        <f>HQ119*($Q119*$S119)/(1+Voorblad!$K$44)^(DP$56-Voorblad!$F$41)</f>
        <v>0</v>
      </c>
      <c r="DQ119" s="9">
        <f>HR119*($Q119*$S119)/(1+Voorblad!$K$44)^(DQ$56-Voorblad!$F$41)</f>
        <v>0</v>
      </c>
      <c r="DR119" s="9">
        <f>HS119*($Q119*$S119)/(1+Voorblad!$K$44)^(DR$56-Voorblad!$F$41)</f>
        <v>0</v>
      </c>
      <c r="DS119" s="9">
        <f>HT119*($Q119*$S119)/(1+Voorblad!$K$44)^(DS$56-Voorblad!$F$41)</f>
        <v>0</v>
      </c>
      <c r="DT119" s="9">
        <f>HU119*($Q119*$S119)/(1+Voorblad!$K$44)^(DT$56-Voorblad!$F$41)</f>
        <v>0</v>
      </c>
      <c r="DU119" s="9">
        <f>HV119*($Q119*$S119)/(1+Voorblad!$K$44)^(DU$56-Voorblad!$F$41)</f>
        <v>0</v>
      </c>
      <c r="DV119" s="9">
        <f>HW119*($Q119*$S119)/(1+Voorblad!$K$44)^(DV$56-Voorblad!$F$41)</f>
        <v>0</v>
      </c>
      <c r="DW119" s="9">
        <f>HX119*($Q119*$S119)/(1+Voorblad!$K$44)^(DW$56-Voorblad!$F$41)</f>
        <v>0</v>
      </c>
      <c r="DX119" s="9">
        <f>HY119*($Q119*$S119)/(1+Voorblad!$K$44)^(DX$56-Voorblad!$F$41)</f>
        <v>0</v>
      </c>
      <c r="DY119" s="9">
        <f>HZ119*($Q119*$S119)/(1+Voorblad!$K$44)^(DY$56-Voorblad!$F$41)</f>
        <v>0</v>
      </c>
      <c r="DZ119" s="9">
        <f>IA119*($Q119*$S119)/(1+Voorblad!$K$44)^(DZ$56-Voorblad!$F$41)</f>
        <v>0</v>
      </c>
      <c r="EA119" s="9">
        <f>IB119*($Q119*$S119)/(1+Voorblad!$K$44)^(EA$56-Voorblad!$F$41)</f>
        <v>0</v>
      </c>
      <c r="EB119" s="9">
        <f>IC119*($Q119*$S119)/(1+Voorblad!$K$44)^(EB$56-Voorblad!$F$41)</f>
        <v>0</v>
      </c>
      <c r="EE119" s="8">
        <v>0</v>
      </c>
      <c r="EF119" s="8">
        <f>IF(EF$56-Voorblad!$F$41&gt;Voorblad!$K$41,0,IF($U119=0,0,IF($U119&lt;1,1/$U119,IF((EF$56-Voorblad!$F$41)/$U119-SUM($EE119:EE119)=1,1,0))))</f>
        <v>0</v>
      </c>
      <c r="EG119" s="8">
        <f>IF(EG$56-Voorblad!$F$41&gt;Voorblad!$K$41,0,IF($U119=0,0,IF($U119&lt;1,1/$U119,IF((EG$56-Voorblad!$F$41)/$U119-SUM($EE119:EF119)=1,1,0))))</f>
        <v>0</v>
      </c>
      <c r="EH119" s="8">
        <f>IF(EH$56-Voorblad!$F$41&gt;Voorblad!$K$41,0,IF($U119=0,0,IF($U119&lt;1,1/$U119,IF((EH$56-Voorblad!$F$41)/$U119-SUM($EE119:EG119)=1,1,0))))</f>
        <v>0</v>
      </c>
      <c r="EI119" s="8">
        <f>IF(EI$56-Voorblad!$F$41&gt;Voorblad!$K$41,0,IF($U119=0,0,IF($U119&lt;1,1/$U119,IF((EI$56-Voorblad!$F$41)/$U119-SUM($EE119:EH119)=1,1,0))))</f>
        <v>0</v>
      </c>
      <c r="EJ119" s="8">
        <f>IF(EJ$56-Voorblad!$F$41&gt;Voorblad!$K$41,0,IF($U119=0,0,IF($U119&lt;1,1/$U119,IF((EJ$56-Voorblad!$F$41)/$U119-SUM($EE119:EI119)=1,1,0))))</f>
        <v>0</v>
      </c>
      <c r="EK119" s="8">
        <f>IF(EK$56-Voorblad!$F$41&gt;Voorblad!$K$41,0,IF($U119=0,0,IF($U119&lt;1,1/$U119,IF((EK$56-Voorblad!$F$41)/$U119-SUM($EE119:EJ119)=1,1,0))))</f>
        <v>0</v>
      </c>
      <c r="EL119" s="8">
        <f>IF(EL$56-Voorblad!$F$41&gt;Voorblad!$K$41,0,IF($U119=0,0,IF($U119&lt;1,1/$U119,IF((EL$56-Voorblad!$F$41)/$U119-SUM($EE119:EK119)=1,1,0))))</f>
        <v>0</v>
      </c>
      <c r="EM119" s="8">
        <f>IF(EM$56-Voorblad!$F$41&gt;Voorblad!$K$41,0,IF($U119=0,0,IF($U119&lt;1,1/$U119,IF((EM$56-Voorblad!$F$41)/$U119-SUM($EE119:EL119)=1,1,0))))</f>
        <v>0</v>
      </c>
      <c r="EN119" s="8">
        <f>IF(EN$56-Voorblad!$F$41&gt;Voorblad!$K$41,0,IF($U119=0,0,IF($U119&lt;1,1/$U119,IF((EN$56-Voorblad!$F$41)/$U119-SUM($EE119:EM119)=1,1,0))))</f>
        <v>0</v>
      </c>
      <c r="EO119" s="8">
        <f>IF(EO$56-Voorblad!$F$41&gt;Voorblad!$K$41,0,IF($U119=0,0,IF($U119&lt;1,1/$U119,IF((EO$56-Voorblad!$F$41)/$U119-SUM($EE119:EN119)=1,1,0))))</f>
        <v>0</v>
      </c>
      <c r="EP119" s="8">
        <f>IF(EP$56-Voorblad!$F$41&gt;Voorblad!$K$41,0,IF($U119=0,0,IF($U119&lt;1,1/$U119,IF((EP$56-Voorblad!$F$41)/$U119-SUM($EE119:EO119)=1,1,0))))</f>
        <v>0</v>
      </c>
      <c r="EQ119" s="8">
        <f>IF(EQ$56-Voorblad!$F$41&gt;Voorblad!$K$41,0,IF($U119=0,0,IF($U119&lt;1,1/$U119,IF((EQ$56-Voorblad!$F$41)/$U119-SUM($EE119:EP119)=1,1,0))))</f>
        <v>0</v>
      </c>
      <c r="ER119" s="8">
        <f>IF(ER$56-Voorblad!$F$41&gt;Voorblad!$K$41,0,IF($U119=0,0,IF($U119&lt;1,1/$U119,IF((ER$56-Voorblad!$F$41)/$U119-SUM($EE119:EQ119)=1,1,0))))</f>
        <v>0</v>
      </c>
      <c r="ES119" s="8">
        <f>IF(ES$56-Voorblad!$F$41&gt;Voorblad!$K$41,0,IF($U119=0,0,IF($U119&lt;1,1/$U119,IF((ES$56-Voorblad!$F$41)/$U119-SUM($EE119:ER119)=1,1,0))))</f>
        <v>0</v>
      </c>
      <c r="ET119" s="8">
        <f>IF(ET$56-Voorblad!$F$41&gt;Voorblad!$K$41,0,IF($U119=0,0,IF($U119&lt;1,1/$U119,IF((ET$56-Voorblad!$F$41)/$U119-SUM($EE119:ES119)=1,1,0))))</f>
        <v>0</v>
      </c>
      <c r="EU119" s="8">
        <f>IF(EU$56-Voorblad!$F$41&gt;Voorblad!$K$41,0,IF($U119=0,0,IF($U119&lt;1,1/$U119,IF((EU$56-Voorblad!$F$41)/$U119-SUM($EE119:ET119)=1,1,0))))</f>
        <v>1</v>
      </c>
      <c r="EV119" s="8">
        <f>IF(EV$56-Voorblad!$F$41&gt;Voorblad!$K$41,0,IF($U119=0,0,IF($U119&lt;1,1/$U119,IF((EV$56-Voorblad!$F$41)/$U119-SUM($EE119:EU119)=1,1,0))))</f>
        <v>0</v>
      </c>
      <c r="EW119" s="8">
        <f>IF(EW$56-Voorblad!$F$41&gt;Voorblad!$K$41,0,IF($U119=0,0,IF($U119&lt;1,1/$U119,IF((EW$56-Voorblad!$F$41)/$U119-SUM($EE119:EV119)=1,1,0))))</f>
        <v>0</v>
      </c>
      <c r="EX119" s="8">
        <f>IF(EX$56-Voorblad!$F$41&gt;Voorblad!$K$41,0,IF($U119=0,0,IF($U119&lt;1,1/$U119,IF((EX$56-Voorblad!$F$41)/$U119-SUM($EE119:EW119)=1,1,0))))</f>
        <v>0</v>
      </c>
      <c r="EY119" s="8">
        <f>IF(EY$56-Voorblad!$F$41&gt;Voorblad!$K$41,0,IF($U119=0,0,IF($U119&lt;1,1/$U119,IF((EY$56-Voorblad!$F$41)/$U119-SUM($EE119:EX119)=1,1,0))))</f>
        <v>0</v>
      </c>
      <c r="EZ119" s="8">
        <f>IF(EZ$56-Voorblad!$F$41&gt;Voorblad!$K$41,0,IF($U119=0,0,IF($U119&lt;1,1/$U119,IF((EZ$56-Voorblad!$F$41)/$U119-SUM($EE119:EY119)=1,1,0))))</f>
        <v>0</v>
      </c>
      <c r="FA119" s="8">
        <f>IF(FA$56-Voorblad!$F$41&gt;Voorblad!$K$41,0,IF($U119=0,0,IF($U119&lt;1,1/$U119,IF((FA$56-Voorblad!$F$41)/$U119-SUM($EE119:EZ119)=1,1,0))))</f>
        <v>0</v>
      </c>
      <c r="FB119" s="8">
        <f>IF(FB$56-Voorblad!$F$41&gt;Voorblad!$K$41,0,IF($U119=0,0,IF($U119&lt;1,1/$U119,IF((FB$56-Voorblad!$F$41)/$U119-SUM($EE119:FA119)=1,1,0))))</f>
        <v>0</v>
      </c>
      <c r="FC119" s="8">
        <f>IF(FC$56-Voorblad!$F$41&gt;Voorblad!$K$41,0,IF($U119=0,0,IF($U119&lt;1,1/$U119,IF((FC$56-Voorblad!$F$41)/$U119-SUM($EE119:FB119)=1,1,0))))</f>
        <v>0</v>
      </c>
      <c r="FD119" s="8">
        <f>IF(FD$56-Voorblad!$F$41&gt;Voorblad!$K$41,0,IF($U119=0,0,IF($U119&lt;1,1/$U119,IF((FD$56-Voorblad!$F$41)/$U119-SUM($EE119:FC119)=1,1,0))))</f>
        <v>0</v>
      </c>
      <c r="FE119" s="8">
        <f>IF(FE$56-Voorblad!$F$41&gt;Voorblad!$K$41,0,IF($U119=0,0,IF($U119&lt;1,1/$U119,IF((FE$56-Voorblad!$F$41)/$U119-SUM($EE119:FD119)=1,1,0))))</f>
        <v>0</v>
      </c>
      <c r="FF119" s="8">
        <f>IF(FF$56-Voorblad!$F$41&gt;Voorblad!$K$41,0,IF($U119=0,0,IF($U119&lt;1,1/$U119,IF((FF$56-Voorblad!$F$41)/$U119-SUM($EE119:FE119)=1,1,0))))</f>
        <v>0</v>
      </c>
      <c r="FG119" s="8">
        <f>IF(FG$56-Voorblad!$F$41&gt;Voorblad!$K$41,0,IF($U119=0,0,IF($U119&lt;1,1/$U119,IF((FG$56-Voorblad!$F$41)/$U119-SUM($EE119:FF119)=1,1,0))))</f>
        <v>0</v>
      </c>
      <c r="FH119" s="8">
        <f>IF(FH$56-Voorblad!$F$41&gt;Voorblad!$K$41,0,IF($U119=0,0,IF($U119&lt;1,1/$U119,IF((FH$56-Voorblad!$F$41)/$U119-SUM($EE119:FG119)=1,1,0))))</f>
        <v>0</v>
      </c>
      <c r="FI119" s="8">
        <f>IF(FI$56-Voorblad!$F$41&gt;Voorblad!$K$41,0,IF($U119=0,0,IF($U119&lt;1,1/$U119,IF((FI$56-Voorblad!$F$41)/$U119-SUM($EE119:FH119)=1,1,0))))</f>
        <v>0</v>
      </c>
      <c r="FJ119" s="8">
        <f>IF(FJ$56-Voorblad!$F$41&gt;Voorblad!$K$41,0,IF($U119=0,0,IF($U119&lt;1,1/$U119,IF((FJ$56-Voorblad!$F$41)/$U119-SUM($EE119:FI119)=1,1,0))))</f>
        <v>1</v>
      </c>
      <c r="FK119" s="8">
        <f>IF(FK$56-Voorblad!$F$41&gt;Voorblad!$K$41,0,IF($U119=0,0,IF($U119&lt;1,1/$U119,IF((FK$56-Voorblad!$F$41)/$U119-SUM($EE119:FJ119)=1,1,0))))</f>
        <v>0</v>
      </c>
      <c r="FL119" s="8">
        <f>IF(FL$56-Voorblad!$F$41&gt;Voorblad!$K$41,0,IF($U119=0,0,IF($U119&lt;1,1/$U119,IF((FL$56-Voorblad!$F$41)/$U119-SUM($EE119:FK119)=1,1,0))))</f>
        <v>0</v>
      </c>
      <c r="FM119" s="8">
        <f>IF(FM$56-Voorblad!$F$41&gt;Voorblad!$K$41,0,IF($U119=0,0,IF($U119&lt;1,1/$U119,IF((FM$56-Voorblad!$F$41)/$U119-SUM($EE119:FL119)=1,1,0))))</f>
        <v>0</v>
      </c>
      <c r="FN119" s="8">
        <f>IF(FN$56-Voorblad!$F$41&gt;Voorblad!$K$41,0,IF($U119=0,0,IF($U119&lt;1,1/$U119,IF((FN$56-Voorblad!$F$41)/$U119-SUM($EE119:FM119)=1,1,0))))</f>
        <v>0</v>
      </c>
      <c r="FO119" s="8">
        <f>IF(FO$56-Voorblad!$F$41&gt;Voorblad!$K$41,0,IF($U119=0,0,IF($U119&lt;1,1/$U119,IF((FO$56-Voorblad!$F$41)/$U119-SUM($EE119:FN119)=1,1,0))))</f>
        <v>0</v>
      </c>
      <c r="FP119" s="8">
        <f>IF(FP$56-Voorblad!$F$41&gt;Voorblad!$K$41,0,IF($U119=0,0,IF($U119&lt;1,1/$U119,IF((FP$56-Voorblad!$F$41)/$U119-SUM($EE119:FO119)=1,1,0))))</f>
        <v>0</v>
      </c>
      <c r="FQ119" s="8">
        <f>IF(FQ$56-Voorblad!$F$41&gt;Voorblad!$K$41,0,IF($U119=0,0,IF($U119&lt;1,1/$U119,IF((FQ$56-Voorblad!$F$41)/$U119-SUM($EE119:FP119)=1,1,0))))</f>
        <v>0</v>
      </c>
      <c r="FR119" s="8">
        <f>IF(FR$56-Voorblad!$F$41&gt;Voorblad!$K$41,0,IF($U119=0,0,IF($U119&lt;1,1/$U119,IF((FR$56-Voorblad!$F$41)/$U119-SUM($EE119:FQ119)=1,1,0))))</f>
        <v>0</v>
      </c>
      <c r="FS119" s="8">
        <f>IF(FS$56-Voorblad!$F$41&gt;Voorblad!$K$41,0,IF($U119=0,0,IF($U119&lt;1,1/$U119,IF((FS$56-Voorblad!$F$41)/$U119-SUM($EE119:FR119)=1,1,0))))</f>
        <v>0</v>
      </c>
      <c r="FT119" s="8">
        <f>IF(FT$56-Voorblad!$F$41&gt;Voorblad!$K$41,0,IF($U119=0,0,IF($U119&lt;1,1/$U119,IF((FT$56-Voorblad!$F$41)/$U119-SUM($EE119:FS119)=1,1,0))))</f>
        <v>0</v>
      </c>
      <c r="FU119" s="8">
        <f>IF(FU$56-Voorblad!$F$41&gt;Voorblad!$K$41,0,IF($U119=0,0,IF($U119&lt;1,1/$U119,IF((FU$56-Voorblad!$F$41)/$U119-SUM($EE119:FT119)=1,1,0))))</f>
        <v>0</v>
      </c>
      <c r="FV119" s="8">
        <f>IF(FV$56-Voorblad!$F$41&gt;Voorblad!$K$41,0,IF($U119=0,0,IF($U119&lt;1,1/$U119,IF((FV$56-Voorblad!$F$41)/$U119-SUM($EE119:FU119)=1,1,0))))</f>
        <v>0</v>
      </c>
      <c r="FW119" s="8">
        <f>IF(FW$56-Voorblad!$F$41&gt;Voorblad!$K$41,0,IF($U119=0,0,IF($U119&lt;1,1/$U119,IF((FW$56-Voorblad!$F$41)/$U119-SUM($EE119:FV119)=1,1,0))))</f>
        <v>0</v>
      </c>
      <c r="FX119" s="8">
        <f>IF(FX$56-Voorblad!$F$41&gt;Voorblad!$K$41,0,IF($U119=0,0,IF($U119&lt;1,1/$U119,IF((FX$56-Voorblad!$F$41)/$U119-SUM($EE119:FW119)=1,1,0))))</f>
        <v>0</v>
      </c>
      <c r="FY119" s="8">
        <f>IF(FY$56-Voorblad!$F$41&gt;Voorblad!$K$41,0,IF($U119=0,0,IF($U119&lt;1,1/$U119,IF((FY$56-Voorblad!$F$41)/$U119-SUM($EE119:FX119)=1,1,0))))</f>
        <v>1</v>
      </c>
      <c r="FZ119" s="8">
        <f>IF(FZ$56-Voorblad!$F$41&gt;Voorblad!$K$41,0,IF($U119=0,0,IF($U119&lt;1,1/$U119,IF((FZ$56-Voorblad!$F$41)/$U119-SUM($EE119:FY119)=1,1,0))))</f>
        <v>0</v>
      </c>
      <c r="GA119" s="8">
        <f>IF(GA$56-Voorblad!$F$41&gt;Voorblad!$K$41,0,IF($U119=0,0,IF($U119&lt;1,1/$U119,IF((GA$56-Voorblad!$F$41)/$U119-SUM($EE119:FZ119)=1,1,0))))</f>
        <v>0</v>
      </c>
      <c r="GB119" s="8">
        <f>IF(GB$56-Voorblad!$F$41&gt;Voorblad!$K$41,0,IF($U119=0,0,IF($U119&lt;1,1/$U119,IF((GB$56-Voorblad!$F$41)/$U119-SUM($EE119:GA119)=1,1,0))))</f>
        <v>0</v>
      </c>
      <c r="GC119" s="8">
        <f>IF(GC$56-Voorblad!$F$41&gt;Voorblad!$K$41,0,IF($U119=0,0,IF($U119&lt;1,1/$U119,IF((GC$56-Voorblad!$F$41)/$U119-SUM($EE119:GB119)=1,1,0))))</f>
        <v>0</v>
      </c>
      <c r="GD119" s="8">
        <f>IF(GD$56-Voorblad!$F$41&gt;Voorblad!$K$41,0,IF($U119=0,0,IF($U119&lt;1,1/$U119,IF((GD$56-Voorblad!$F$41)/$U119-SUM($EE119:GC119)=1,1,0))))</f>
        <v>0</v>
      </c>
      <c r="GE119" s="8">
        <f>IF(GE$56-Voorblad!$F$41&gt;Voorblad!$K$41,0,IF($U119=0,0,IF($U119&lt;1,1/$U119,IF((GE$56-Voorblad!$F$41)/$U119-SUM($EE119:GD119)=1,1,0))))</f>
        <v>0</v>
      </c>
      <c r="GF119" s="8">
        <f>IF(GF$56-Voorblad!$F$41&gt;Voorblad!$K$41,0,IF($U119=0,0,IF($U119&lt;1,1/$U119,IF((GF$56-Voorblad!$F$41)/$U119-SUM($EE119:GE119)=1,1,0))))</f>
        <v>0</v>
      </c>
      <c r="GG119" s="8">
        <f>IF(GG$56-Voorblad!$F$41&gt;Voorblad!$K$41,0,IF($U119=0,0,IF($U119&lt;1,1/$U119,IF((GG$56-Voorblad!$F$41)/$U119-SUM($EE119:GF119)=1,1,0))))</f>
        <v>0</v>
      </c>
      <c r="GH119" s="8">
        <f>IF(GH$56-Voorblad!$F$41&gt;Voorblad!$K$41,0,IF($U119=0,0,IF($U119&lt;1,1/$U119,IF((GH$56-Voorblad!$F$41)/$U119-SUM($EE119:GG119)=1,1,0))))</f>
        <v>0</v>
      </c>
      <c r="GI119" s="8">
        <f>IF(GI$56-Voorblad!$F$41&gt;Voorblad!$K$41,0,IF($U119=0,0,IF($U119&lt;1,1/$U119,IF((GI$56-Voorblad!$F$41)/$U119-SUM($EE119:GH119)=1,1,0))))</f>
        <v>0</v>
      </c>
      <c r="GJ119" s="8">
        <f>IF(GJ$56-Voorblad!$F$41&gt;Voorblad!$K$41,0,IF($U119=0,0,IF($U119&lt;1,1/$U119,IF((GJ$56-Voorblad!$F$41)/$U119-SUM($EE119:GI119)=1,1,0))))</f>
        <v>0</v>
      </c>
      <c r="GK119" s="8">
        <f>IF(GK$56-Voorblad!$F$41&gt;Voorblad!$K$41,0,IF($U119=0,0,IF($U119&lt;1,1/$U119,IF((GK$56-Voorblad!$F$41)/$U119-SUM($EE119:GJ119)=1,1,0))))</f>
        <v>0</v>
      </c>
      <c r="GL119" s="8">
        <f>IF(GL$56-Voorblad!$F$41&gt;Voorblad!$K$41,0,IF($U119=0,0,IF($U119&lt;1,1/$U119,IF((GL$56-Voorblad!$F$41)/$U119-SUM($EE119:GK119)=1,1,0))))</f>
        <v>0</v>
      </c>
      <c r="GM119" s="8">
        <f>IF(GM$56-Voorblad!$F$41&gt;Voorblad!$K$41,0,IF($U119=0,0,IF($U119&lt;1,1/$U119,IF((GM$56-Voorblad!$F$41)/$U119-SUM($EE119:GL119)=1,1,0))))</f>
        <v>0</v>
      </c>
      <c r="GN119" s="8">
        <f>IF(GN$56-Voorblad!$F$41&gt;Voorblad!$K$41,0,IF($U119=0,0,IF($U119&lt;1,1/$U119,IF((GN$56-Voorblad!$F$41)/$U119-SUM($EE119:GM119)=1,1,0))))</f>
        <v>1</v>
      </c>
      <c r="GO119" s="8">
        <f>IF(GO$56-Voorblad!$F$41&gt;Voorblad!$K$41,0,IF($U119=0,0,IF($U119&lt;1,1/$U119,IF((GO$56-Voorblad!$F$41)/$U119-SUM($EE119:GN119)=1,1,0))))</f>
        <v>0</v>
      </c>
      <c r="GP119" s="8">
        <f>IF(GP$56-Voorblad!$F$41&gt;Voorblad!$K$41,0,IF($U119=0,0,IF($U119&lt;1,1/$U119,IF((GP$56-Voorblad!$F$41)/$U119-SUM($EE119:GO119)=1,1,0))))</f>
        <v>0</v>
      </c>
      <c r="GQ119" s="8">
        <f>IF(GQ$56-Voorblad!$F$41&gt;Voorblad!$K$41,0,IF($U119=0,0,IF($U119&lt;1,1/$U119,IF((GQ$56-Voorblad!$F$41)/$U119-SUM($EE119:GP119)=1,1,0))))</f>
        <v>0</v>
      </c>
      <c r="GR119" s="8">
        <f>IF(GR$56-Voorblad!$F$41&gt;Voorblad!$K$41,0,IF($U119=0,0,IF($U119&lt;1,1/$U119,IF((GR$56-Voorblad!$F$41)/$U119-SUM($EE119:GQ119)=1,1,0))))</f>
        <v>0</v>
      </c>
      <c r="GS119" s="8">
        <f>IF(GS$56-Voorblad!$F$41&gt;Voorblad!$K$41,0,IF($U119=0,0,IF($U119&lt;1,1/$U119,IF((GS$56-Voorblad!$F$41)/$U119-SUM($EE119:GR119)=1,1,0))))</f>
        <v>0</v>
      </c>
      <c r="GT119" s="8">
        <f>IF(GT$56-Voorblad!$F$41&gt;Voorblad!$K$41,0,IF($U119=0,0,IF($U119&lt;1,1/$U119,IF((GT$56-Voorblad!$F$41)/$U119-SUM($EE119:GS119)=1,1,0))))</f>
        <v>0</v>
      </c>
      <c r="GU119" s="8">
        <f>IF(GU$56-Voorblad!$F$41&gt;Voorblad!$K$41,0,IF($U119=0,0,IF($U119&lt;1,1/$U119,IF((GU$56-Voorblad!$F$41)/$U119-SUM($EE119:GT119)=1,1,0))))</f>
        <v>0</v>
      </c>
      <c r="GV119" s="8">
        <f>IF(GV$56-Voorblad!$F$41&gt;Voorblad!$K$41,0,IF($U119=0,0,IF($U119&lt;1,1/$U119,IF((GV$56-Voorblad!$F$41)/$U119-SUM($EE119:GU119)=1,1,0))))</f>
        <v>0</v>
      </c>
      <c r="GW119" s="8">
        <f>IF(GW$56-Voorblad!$F$41&gt;Voorblad!$K$41,0,IF($U119=0,0,IF($U119&lt;1,1/$U119,IF((GW$56-Voorblad!$F$41)/$U119-SUM($EE119:GV119)=1,1,0))))</f>
        <v>0</v>
      </c>
      <c r="GX119" s="8">
        <f>IF(GX$56-Voorblad!$F$41&gt;Voorblad!$K$41,0,IF($U119=0,0,IF($U119&lt;1,1/$U119,IF((GX$56-Voorblad!$F$41)/$U119-SUM($EE119:GW119)=1,1,0))))</f>
        <v>0</v>
      </c>
      <c r="GY119" s="8">
        <f>IF(GY$56-Voorblad!$F$41&gt;Voorblad!$K$41,0,IF($U119=0,0,IF($U119&lt;1,1/$U119,IF((GY$56-Voorblad!$F$41)/$U119-SUM($EE119:GX119)=1,1,0))))</f>
        <v>0</v>
      </c>
      <c r="GZ119" s="8">
        <f>IF(GZ$56-Voorblad!$F$41&gt;Voorblad!$K$41,0,IF($U119=0,0,IF($U119&lt;1,1/$U119,IF((GZ$56-Voorblad!$F$41)/$U119-SUM($EE119:GY119)=1,1,0))))</f>
        <v>0</v>
      </c>
      <c r="HA119" s="8">
        <f>IF(HA$56-Voorblad!$F$41&gt;Voorblad!$K$41,0,IF($U119=0,0,IF($U119&lt;1,1/$U119,IF((HA$56-Voorblad!$F$41)/$U119-SUM($EE119:GZ119)=1,1,0))))</f>
        <v>0</v>
      </c>
      <c r="HB119" s="8">
        <f>IF(HB$56-Voorblad!$F$41&gt;Voorblad!$K$41,0,IF($U119=0,0,IF($U119&lt;1,1/$U119,IF((HB$56-Voorblad!$F$41)/$U119-SUM($EE119:HA119)=1,1,0))))</f>
        <v>0</v>
      </c>
      <c r="HC119" s="8">
        <f>IF(HC$56-Voorblad!$F$41&gt;Voorblad!$K$41,0,IF($U119=0,0,IF($U119&lt;1,1/$U119,IF((HC$56-Voorblad!$F$41)/$U119-SUM($EE119:HB119)=1,1,0))))</f>
        <v>0</v>
      </c>
      <c r="HD119" s="8">
        <f>IF(HD$56-Voorblad!$F$41&gt;Voorblad!$K$41,0,IF($U119=0,0,IF($U119&lt;1,1/$U119,IF((HD$56-Voorblad!$F$41)/$U119-SUM($EE119:HC119)=1,1,0))))</f>
        <v>0</v>
      </c>
      <c r="HE119" s="8">
        <f>IF(HE$56-Voorblad!$F$41&gt;Voorblad!$K$41,0,IF($U119=0,0,IF($U119&lt;1,1/$U119,IF((HE$56-Voorblad!$F$41)/$U119-SUM($EE119:HD119)=1,1,0))))</f>
        <v>0</v>
      </c>
      <c r="HF119" s="8">
        <f>IF(HF$56-Voorblad!$F$41&gt;Voorblad!$K$41,0,IF($U119=0,0,IF($U119&lt;1,1/$U119,IF((HF$56-Voorblad!$F$41)/$U119-SUM($EE119:HE119)=1,1,0))))</f>
        <v>0</v>
      </c>
      <c r="HG119" s="8">
        <f>IF(HG$56-Voorblad!$F$41&gt;Voorblad!$K$41,0,IF($U119=0,0,IF($U119&lt;1,1/$U119,IF((HG$56-Voorblad!$F$41)/$U119-SUM($EE119:HF119)=1,1,0))))</f>
        <v>0</v>
      </c>
      <c r="HH119" s="8">
        <f>IF(HH$56-Voorblad!$F$41&gt;Voorblad!$K$41,0,IF($U119=0,0,IF($U119&lt;1,1/$U119,IF((HH$56-Voorblad!$F$41)/$U119-SUM($EE119:HG119)=1,1,0))))</f>
        <v>0</v>
      </c>
      <c r="HI119" s="8">
        <f>IF(HI$56-Voorblad!$F$41&gt;Voorblad!$K$41,0,IF($U119=0,0,IF($U119&lt;1,1/$U119,IF((HI$56-Voorblad!$F$41)/$U119-SUM($EE119:HH119)=1,1,0))))</f>
        <v>0</v>
      </c>
      <c r="HJ119" s="8">
        <f>IF(HJ$56-Voorblad!$F$41&gt;Voorblad!$K$41,0,IF($U119=0,0,IF($U119&lt;1,1/$U119,IF((HJ$56-Voorblad!$F$41)/$U119-SUM($EE119:HI119)=1,1,0))))</f>
        <v>0</v>
      </c>
      <c r="HK119" s="8">
        <f>IF(HK$56-Voorblad!$F$41&gt;Voorblad!$K$41,0,IF($U119=0,0,IF($U119&lt;1,1/$U119,IF((HK$56-Voorblad!$F$41)/$U119-SUM($EE119:HJ119)=1,1,0))))</f>
        <v>0</v>
      </c>
      <c r="HL119" s="8">
        <f>IF(HL$56-Voorblad!$F$41&gt;Voorblad!$K$41,0,IF($U119=0,0,IF($U119&lt;1,1/$U119,IF((HL$56-Voorblad!$F$41)/$U119-SUM($EE119:HK119)=1,1,0))))</f>
        <v>0</v>
      </c>
      <c r="HM119" s="8">
        <f>IF(HM$56-Voorblad!$F$41&gt;Voorblad!$K$41,0,IF($U119=0,0,IF($U119&lt;1,1/$U119,IF((HM$56-Voorblad!$F$41)/$U119-SUM($EE119:HL119)=1,1,0))))</f>
        <v>0</v>
      </c>
      <c r="HN119" s="8">
        <f>IF(HN$56-Voorblad!$F$41&gt;Voorblad!$K$41,0,IF($U119=0,0,IF($U119&lt;1,1/$U119,IF((HN$56-Voorblad!$F$41)/$U119-SUM($EE119:HM119)=1,1,0))))</f>
        <v>0</v>
      </c>
      <c r="HO119" s="8">
        <f>IF(HO$56-Voorblad!$F$41&gt;Voorblad!$K$41,0,IF($U119=0,0,IF($U119&lt;1,1/$U119,IF((HO$56-Voorblad!$F$41)/$U119-SUM($EE119:HN119)=1,1,0))))</f>
        <v>0</v>
      </c>
      <c r="HP119" s="8">
        <f>IF(HP$56-Voorblad!$F$41&gt;Voorblad!$K$41,0,IF($U119=0,0,IF($U119&lt;1,1/$U119,IF((HP$56-Voorblad!$F$41)/$U119-SUM($EE119:HO119)=1,1,0))))</f>
        <v>0</v>
      </c>
      <c r="HQ119" s="8">
        <f>IF(HQ$56-Voorblad!$F$41&gt;Voorblad!$K$41,0,IF($U119=0,0,IF($U119&lt;1,1/$U119,IF((HQ$56-Voorblad!$F$41)/$U119-SUM($EE119:HP119)=1,1,0))))</f>
        <v>0</v>
      </c>
      <c r="HR119" s="8">
        <f>IF(HR$56-Voorblad!$F$41&gt;Voorblad!$K$41,0,IF($U119=0,0,IF($U119&lt;1,1/$U119,IF((HR$56-Voorblad!$F$41)/$U119-SUM($EE119:HQ119)=1,1,0))))</f>
        <v>0</v>
      </c>
      <c r="HS119" s="8">
        <f>IF(HS$56-Voorblad!$F$41&gt;Voorblad!$K$41,0,IF($U119=0,0,IF($U119&lt;1,1/$U119,IF((HS$56-Voorblad!$F$41)/$U119-SUM($EE119:HR119)=1,1,0))))</f>
        <v>0</v>
      </c>
      <c r="HT119" s="8">
        <f>IF(HT$56-Voorblad!$F$41&gt;Voorblad!$K$41,0,IF($U119=0,0,IF($U119&lt;1,1/$U119,IF((HT$56-Voorblad!$F$41)/$U119-SUM($EE119:HS119)=1,1,0))))</f>
        <v>0</v>
      </c>
      <c r="HU119" s="8">
        <f>IF(HU$56-Voorblad!$F$41&gt;Voorblad!$K$41,0,IF($U119=0,0,IF($U119&lt;1,1/$U119,IF((HU$56-Voorblad!$F$41)/$U119-SUM($EE119:HT119)=1,1,0))))</f>
        <v>0</v>
      </c>
      <c r="HV119" s="8">
        <f>IF(HV$56-Voorblad!$F$41&gt;Voorblad!$K$41,0,IF($U119=0,0,IF($U119&lt;1,1/$U119,IF((HV$56-Voorblad!$F$41)/$U119-SUM($EE119:HU119)=1,1,0))))</f>
        <v>0</v>
      </c>
      <c r="HW119" s="8">
        <f>IF(HW$56-Voorblad!$F$41&gt;Voorblad!$K$41,0,IF($U119=0,0,IF($U119&lt;1,1/$U119,IF((HW$56-Voorblad!$F$41)/$U119-SUM($EE119:HV119)=1,1,0))))</f>
        <v>0</v>
      </c>
      <c r="HX119" s="8">
        <f>IF(HX$56-Voorblad!$F$41&gt;Voorblad!$K$41,0,IF($U119=0,0,IF($U119&lt;1,1/$U119,IF((HX$56-Voorblad!$F$41)/$U119-SUM($EE119:HW119)=1,1,0))))</f>
        <v>0</v>
      </c>
      <c r="HY119" s="8">
        <f>IF(HY$56-Voorblad!$F$41&gt;Voorblad!$K$41,0,IF($U119=0,0,IF($U119&lt;1,1/$U119,IF((HY$56-Voorblad!$F$41)/$U119-SUM($EE119:HX119)=1,1,0))))</f>
        <v>0</v>
      </c>
      <c r="HZ119" s="8">
        <f>IF(HZ$56-Voorblad!$F$41&gt;Voorblad!$K$41,0,IF($U119=0,0,IF($U119&lt;1,1/$U119,IF((HZ$56-Voorblad!$F$41)/$U119-SUM($EE119:HY119)=1,1,0))))</f>
        <v>0</v>
      </c>
      <c r="IA119" s="8">
        <f>IF(IA$56-Voorblad!$F$41&gt;Voorblad!$K$41,0,IF($U119=0,0,IF($U119&lt;1,1/$U119,IF((IA$56-Voorblad!$F$41)/$U119-SUM($EE119:HZ119)=1,1,0))))</f>
        <v>0</v>
      </c>
      <c r="IB119" s="8">
        <f>IF(IB$56-Voorblad!$F$41&gt;Voorblad!$K$41,0,IF($U119=0,0,IF($U119&lt;1,1/$U119,IF((IB$56-Voorblad!$F$41)/$U119-SUM($EE119:IA119)=1,1,0))))</f>
        <v>0</v>
      </c>
    </row>
    <row r="120" spans="2:236" ht="12" customHeight="1" outlineLevel="1" x14ac:dyDescent="0.25">
      <c r="B120" s="1">
        <v>3</v>
      </c>
      <c r="F120" s="1" t="s">
        <v>23</v>
      </c>
      <c r="I120" s="1" t="s">
        <v>277</v>
      </c>
      <c r="K120" s="1" t="s">
        <v>206</v>
      </c>
      <c r="O120" s="1" t="s">
        <v>178</v>
      </c>
      <c r="P120" s="1" t="s">
        <v>179</v>
      </c>
      <c r="Q120" s="81">
        <v>0</v>
      </c>
      <c r="R120" s="1" t="s">
        <v>34</v>
      </c>
      <c r="S120" s="14">
        <f>$H$20*2*100</f>
        <v>354</v>
      </c>
      <c r="T120" s="9">
        <f t="shared" si="20"/>
        <v>0</v>
      </c>
      <c r="U120" s="14">
        <v>15</v>
      </c>
      <c r="V120" s="14"/>
      <c r="Y120" s="9">
        <f>SUM(AE120:EB120)</f>
        <v>0</v>
      </c>
      <c r="Z120" s="82"/>
      <c r="AA120" s="82"/>
      <c r="AC120" s="9">
        <f>$Y120*(Voorblad!$K$44*(1+Voorblad!$K$44)^Voorblad!$K$41)/((1+Voorblad!$K$44)^Voorblad!$K$41-1)</f>
        <v>0</v>
      </c>
      <c r="AE120" s="9">
        <f>EF120*($Q120*$S120)/(1+Voorblad!$K$44)^(AE$56-Voorblad!$F$41)</f>
        <v>0</v>
      </c>
      <c r="AF120" s="9">
        <f>EG120*($Q120*$S120)/(1+Voorblad!$K$44)^(AF$56-Voorblad!$F$41)</f>
        <v>0</v>
      </c>
      <c r="AG120" s="9">
        <f>EH120*($Q120*$S120)/(1+Voorblad!$K$44)^(AG$56-Voorblad!$F$41)</f>
        <v>0</v>
      </c>
      <c r="AH120" s="9">
        <f>EI120*($Q120*$S120)/(1+Voorblad!$K$44)^(AH$56-Voorblad!$F$41)</f>
        <v>0</v>
      </c>
      <c r="AI120" s="9">
        <f>EJ120*($Q120*$S120)/(1+Voorblad!$K$44)^(AI$56-Voorblad!$F$41)</f>
        <v>0</v>
      </c>
      <c r="AJ120" s="9">
        <f>EK120*($Q120*$S120)/(1+Voorblad!$K$44)^(AJ$56-Voorblad!$F$41)</f>
        <v>0</v>
      </c>
      <c r="AK120" s="9">
        <f>EL120*($Q120*$S120)/(1+Voorblad!$K$44)^(AK$56-Voorblad!$F$41)</f>
        <v>0</v>
      </c>
      <c r="AL120" s="9">
        <f>EM120*($Q120*$S120)/(1+Voorblad!$K$44)^(AL$56-Voorblad!$F$41)</f>
        <v>0</v>
      </c>
      <c r="AM120" s="9">
        <f>EN120*($Q120*$S120)/(1+Voorblad!$K$44)^(AM$56-Voorblad!$F$41)</f>
        <v>0</v>
      </c>
      <c r="AN120" s="9">
        <f>EO120*($Q120*$S120)/(1+Voorblad!$K$44)^(AN$56-Voorblad!$F$41)</f>
        <v>0</v>
      </c>
      <c r="AO120" s="9">
        <f>EP120*($Q120*$S120)/(1+Voorblad!$K$44)^(AO$56-Voorblad!$F$41)</f>
        <v>0</v>
      </c>
      <c r="AP120" s="9">
        <f>EQ120*($Q120*$S120)/(1+Voorblad!$K$44)^(AP$56-Voorblad!$F$41)</f>
        <v>0</v>
      </c>
      <c r="AQ120" s="9">
        <f>ER120*($Q120*$S120)/(1+Voorblad!$K$44)^(AQ$56-Voorblad!$F$41)</f>
        <v>0</v>
      </c>
      <c r="AR120" s="9">
        <f>ES120*($Q120*$S120)/(1+Voorblad!$K$44)^(AR$56-Voorblad!$F$41)</f>
        <v>0</v>
      </c>
      <c r="AS120" s="9">
        <f>ET120*($Q120*$S120)/(1+Voorblad!$K$44)^(AS$56-Voorblad!$F$41)</f>
        <v>0</v>
      </c>
      <c r="AT120" s="9">
        <f>EU120*($Q120*$S120)/(1+Voorblad!$K$44)^(AT$56-Voorblad!$F$41)</f>
        <v>0</v>
      </c>
      <c r="AU120" s="9">
        <f>EV120*($Q120*$S120)/(1+Voorblad!$K$44)^(AU$56-Voorblad!$F$41)</f>
        <v>0</v>
      </c>
      <c r="AV120" s="9">
        <f>EW120*($Q120*$S120)/(1+Voorblad!$K$44)^(AV$56-Voorblad!$F$41)</f>
        <v>0</v>
      </c>
      <c r="AW120" s="9">
        <f>EX120*($Q120*$S120)/(1+Voorblad!$K$44)^(AW$56-Voorblad!$F$41)</f>
        <v>0</v>
      </c>
      <c r="AX120" s="9">
        <f>EY120*($Q120*$S120)/(1+Voorblad!$K$44)^(AX$56-Voorblad!$F$41)</f>
        <v>0</v>
      </c>
      <c r="AY120" s="9">
        <f>EZ120*($Q120*$S120)/(1+Voorblad!$K$44)^(AY$56-Voorblad!$F$41)</f>
        <v>0</v>
      </c>
      <c r="AZ120" s="9">
        <f>FA120*($Q120*$S120)/(1+Voorblad!$K$44)^(AZ$56-Voorblad!$F$41)</f>
        <v>0</v>
      </c>
      <c r="BA120" s="9">
        <f>FB120*($Q120*$S120)/(1+Voorblad!$K$44)^(BA$56-Voorblad!$F$41)</f>
        <v>0</v>
      </c>
      <c r="BB120" s="9">
        <f>FC120*($Q120*$S120)/(1+Voorblad!$K$44)^(BB$56-Voorblad!$F$41)</f>
        <v>0</v>
      </c>
      <c r="BC120" s="9">
        <f>FD120*($Q120*$S120)/(1+Voorblad!$K$44)^(BC$56-Voorblad!$F$41)</f>
        <v>0</v>
      </c>
      <c r="BD120" s="9">
        <f>FE120*($Q120*$S120)/(1+Voorblad!$K$44)^(BD$56-Voorblad!$F$41)</f>
        <v>0</v>
      </c>
      <c r="BE120" s="9">
        <f>FF120*($Q120*$S120)/(1+Voorblad!$K$44)^(BE$56-Voorblad!$F$41)</f>
        <v>0</v>
      </c>
      <c r="BF120" s="9">
        <f>FG120*($Q120*$S120)/(1+Voorblad!$K$44)^(BF$56-Voorblad!$F$41)</f>
        <v>0</v>
      </c>
      <c r="BG120" s="9">
        <f>FH120*($Q120*$S120)/(1+Voorblad!$K$44)^(BG$56-Voorblad!$F$41)</f>
        <v>0</v>
      </c>
      <c r="BH120" s="9">
        <f>FI120*($Q120*$S120)/(1+Voorblad!$K$44)^(BH$56-Voorblad!$F$41)</f>
        <v>0</v>
      </c>
      <c r="BI120" s="9">
        <f>FJ120*($Q120*$S120)/(1+Voorblad!$K$44)^(BI$56-Voorblad!$F$41)</f>
        <v>0</v>
      </c>
      <c r="BJ120" s="9">
        <f>FK120*($Q120*$S120)/(1+Voorblad!$K$44)^(BJ$56-Voorblad!$F$41)</f>
        <v>0</v>
      </c>
      <c r="BK120" s="9">
        <f>FL120*($Q120*$S120)/(1+Voorblad!$K$44)^(BK$56-Voorblad!$F$41)</f>
        <v>0</v>
      </c>
      <c r="BL120" s="9">
        <f>FM120*($Q120*$S120)/(1+Voorblad!$K$44)^(BL$56-Voorblad!$F$41)</f>
        <v>0</v>
      </c>
      <c r="BM120" s="9">
        <f>FN120*($Q120*$S120)/(1+Voorblad!$K$44)^(BM$56-Voorblad!$F$41)</f>
        <v>0</v>
      </c>
      <c r="BN120" s="9">
        <f>FO120*($Q120*$S120)/(1+Voorblad!$K$44)^(BN$56-Voorblad!$F$41)</f>
        <v>0</v>
      </c>
      <c r="BO120" s="9">
        <f>FP120*($Q120*$S120)/(1+Voorblad!$K$44)^(BO$56-Voorblad!$F$41)</f>
        <v>0</v>
      </c>
      <c r="BP120" s="9">
        <f>FQ120*($Q120*$S120)/(1+Voorblad!$K$44)^(BP$56-Voorblad!$F$41)</f>
        <v>0</v>
      </c>
      <c r="BQ120" s="9">
        <f>FR120*($Q120*$S120)/(1+Voorblad!$K$44)^(BQ$56-Voorblad!$F$41)</f>
        <v>0</v>
      </c>
      <c r="BR120" s="9">
        <f>FS120*($Q120*$S120)/(1+Voorblad!$K$44)^(BR$56-Voorblad!$F$41)</f>
        <v>0</v>
      </c>
      <c r="BS120" s="9">
        <f>FT120*($Q120*$S120)/(1+Voorblad!$K$44)^(BS$56-Voorblad!$F$41)</f>
        <v>0</v>
      </c>
      <c r="BT120" s="9">
        <f>FU120*($Q120*$S120)/(1+Voorblad!$K$44)^(BT$56-Voorblad!$F$41)</f>
        <v>0</v>
      </c>
      <c r="BU120" s="9">
        <f>FV120*($Q120*$S120)/(1+Voorblad!$K$44)^(BU$56-Voorblad!$F$41)</f>
        <v>0</v>
      </c>
      <c r="BV120" s="9">
        <f>FW120*($Q120*$S120)/(1+Voorblad!$K$44)^(BV$56-Voorblad!$F$41)</f>
        <v>0</v>
      </c>
      <c r="BW120" s="9">
        <f>FX120*($Q120*$S120)/(1+Voorblad!$K$44)^(BW$56-Voorblad!$F$41)</f>
        <v>0</v>
      </c>
      <c r="BX120" s="9">
        <f>FY120*($Q120*$S120)/(1+Voorblad!$K$44)^(BX$56-Voorblad!$F$41)</f>
        <v>0</v>
      </c>
      <c r="BY120" s="9">
        <f>FZ120*($Q120*$S120)/(1+Voorblad!$K$44)^(BY$56-Voorblad!$F$41)</f>
        <v>0</v>
      </c>
      <c r="BZ120" s="9">
        <f>GA120*($Q120*$S120)/(1+Voorblad!$K$44)^(BZ$56-Voorblad!$F$41)</f>
        <v>0</v>
      </c>
      <c r="CA120" s="9">
        <f>GB120*($Q120*$S120)/(1+Voorblad!$K$44)^(CA$56-Voorblad!$F$41)</f>
        <v>0</v>
      </c>
      <c r="CB120" s="9">
        <f>GC120*($Q120*$S120)/(1+Voorblad!$K$44)^(CB$56-Voorblad!$F$41)</f>
        <v>0</v>
      </c>
      <c r="CC120" s="9">
        <f>GD120*($Q120*$S120)/(1+Voorblad!$K$44)^(CC$56-Voorblad!$F$41)</f>
        <v>0</v>
      </c>
      <c r="CD120" s="9">
        <f>GE120*($Q120*$S120)/(1+Voorblad!$K$44)^(CD$56-Voorblad!$F$41)</f>
        <v>0</v>
      </c>
      <c r="CE120" s="9">
        <f>GF120*($Q120*$S120)/(1+Voorblad!$K$44)^(CE$56-Voorblad!$F$41)</f>
        <v>0</v>
      </c>
      <c r="CF120" s="9">
        <f>GG120*($Q120*$S120)/(1+Voorblad!$K$44)^(CF$56-Voorblad!$F$41)</f>
        <v>0</v>
      </c>
      <c r="CG120" s="9">
        <f>GH120*($Q120*$S120)/(1+Voorblad!$K$44)^(CG$56-Voorblad!$F$41)</f>
        <v>0</v>
      </c>
      <c r="CH120" s="9">
        <f>GI120*($Q120*$S120)/(1+Voorblad!$K$44)^(CH$56-Voorblad!$F$41)</f>
        <v>0</v>
      </c>
      <c r="CI120" s="9">
        <f>GJ120*($Q120*$S120)/(1+Voorblad!$K$44)^(CI$56-Voorblad!$F$41)</f>
        <v>0</v>
      </c>
      <c r="CJ120" s="9">
        <f>GK120*($Q120*$S120)/(1+Voorblad!$K$44)^(CJ$56-Voorblad!$F$41)</f>
        <v>0</v>
      </c>
      <c r="CK120" s="9">
        <f>GL120*($Q120*$S120)/(1+Voorblad!$K$44)^(CK$56-Voorblad!$F$41)</f>
        <v>0</v>
      </c>
      <c r="CL120" s="9">
        <f>GM120*($Q120*$S120)/(1+Voorblad!$K$44)^(CL$56-Voorblad!$F$41)</f>
        <v>0</v>
      </c>
      <c r="CM120" s="9">
        <f>GN120*($Q120*$S120)/(1+Voorblad!$K$44)^(CM$56-Voorblad!$F$41)</f>
        <v>0</v>
      </c>
      <c r="CN120" s="9">
        <f>GO120*($Q120*$S120)/(1+Voorblad!$K$44)^(CN$56-Voorblad!$F$41)</f>
        <v>0</v>
      </c>
      <c r="CO120" s="9">
        <f>GP120*($Q120*$S120)/(1+Voorblad!$K$44)^(CO$56-Voorblad!$F$41)</f>
        <v>0</v>
      </c>
      <c r="CP120" s="9">
        <f>GQ120*($Q120*$S120)/(1+Voorblad!$K$44)^(CP$56-Voorblad!$F$41)</f>
        <v>0</v>
      </c>
      <c r="CQ120" s="9">
        <f>GR120*($Q120*$S120)/(1+Voorblad!$K$44)^(CQ$56-Voorblad!$F$41)</f>
        <v>0</v>
      </c>
      <c r="CR120" s="9">
        <f>GS120*($Q120*$S120)/(1+Voorblad!$K$44)^(CR$56-Voorblad!$F$41)</f>
        <v>0</v>
      </c>
      <c r="CS120" s="9">
        <f>GT120*($Q120*$S120)/(1+Voorblad!$K$44)^(CS$56-Voorblad!$F$41)</f>
        <v>0</v>
      </c>
      <c r="CT120" s="9">
        <f>GU120*($Q120*$S120)/(1+Voorblad!$K$44)^(CT$56-Voorblad!$F$41)</f>
        <v>0</v>
      </c>
      <c r="CU120" s="9">
        <f>GV120*($Q120*$S120)/(1+Voorblad!$K$44)^(CU$56-Voorblad!$F$41)</f>
        <v>0</v>
      </c>
      <c r="CV120" s="9">
        <f>GW120*($Q120*$S120)/(1+Voorblad!$K$44)^(CV$56-Voorblad!$F$41)</f>
        <v>0</v>
      </c>
      <c r="CW120" s="9">
        <f>GX120*($Q120*$S120)/(1+Voorblad!$K$44)^(CW$56-Voorblad!$F$41)</f>
        <v>0</v>
      </c>
      <c r="CX120" s="9">
        <f>GY120*($Q120*$S120)/(1+Voorblad!$K$44)^(CX$56-Voorblad!$F$41)</f>
        <v>0</v>
      </c>
      <c r="CY120" s="9">
        <f>GZ120*($Q120*$S120)/(1+Voorblad!$K$44)^(CY$56-Voorblad!$F$41)</f>
        <v>0</v>
      </c>
      <c r="CZ120" s="9">
        <f>HA120*($Q120*$S120)/(1+Voorblad!$K$44)^(CZ$56-Voorblad!$F$41)</f>
        <v>0</v>
      </c>
      <c r="DA120" s="9">
        <f>HB120*($Q120*$S120)/(1+Voorblad!$K$44)^(DA$56-Voorblad!$F$41)</f>
        <v>0</v>
      </c>
      <c r="DB120" s="9">
        <f>HC120*($Q120*$S120)/(1+Voorblad!$K$44)^(DB$56-Voorblad!$F$41)</f>
        <v>0</v>
      </c>
      <c r="DC120" s="9">
        <f>HD120*($Q120*$S120)/(1+Voorblad!$K$44)^(DC$56-Voorblad!$F$41)</f>
        <v>0</v>
      </c>
      <c r="DD120" s="9">
        <f>HE120*($Q120*$S120)/(1+Voorblad!$K$44)^(DD$56-Voorblad!$F$41)</f>
        <v>0</v>
      </c>
      <c r="DE120" s="9">
        <f>HF120*($Q120*$S120)/(1+Voorblad!$K$44)^(DE$56-Voorblad!$F$41)</f>
        <v>0</v>
      </c>
      <c r="DF120" s="9">
        <f>HG120*($Q120*$S120)/(1+Voorblad!$K$44)^(DF$56-Voorblad!$F$41)</f>
        <v>0</v>
      </c>
      <c r="DG120" s="9">
        <f>HH120*($Q120*$S120)/(1+Voorblad!$K$44)^(DG$56-Voorblad!$F$41)</f>
        <v>0</v>
      </c>
      <c r="DH120" s="9">
        <f>HI120*($Q120*$S120)/(1+Voorblad!$K$44)^(DH$56-Voorblad!$F$41)</f>
        <v>0</v>
      </c>
      <c r="DI120" s="9">
        <f>HJ120*($Q120*$S120)/(1+Voorblad!$K$44)^(DI$56-Voorblad!$F$41)</f>
        <v>0</v>
      </c>
      <c r="DJ120" s="9">
        <f>HK120*($Q120*$S120)/(1+Voorblad!$K$44)^(DJ$56-Voorblad!$F$41)</f>
        <v>0</v>
      </c>
      <c r="DK120" s="9">
        <f>HL120*($Q120*$S120)/(1+Voorblad!$K$44)^(DK$56-Voorblad!$F$41)</f>
        <v>0</v>
      </c>
      <c r="DL120" s="9">
        <f>HM120*($Q120*$S120)/(1+Voorblad!$K$44)^(DL$56-Voorblad!$F$41)</f>
        <v>0</v>
      </c>
      <c r="DM120" s="9">
        <f>HN120*($Q120*$S120)/(1+Voorblad!$K$44)^(DM$56-Voorblad!$F$41)</f>
        <v>0</v>
      </c>
      <c r="DN120" s="9">
        <f>HO120*($Q120*$S120)/(1+Voorblad!$K$44)^(DN$56-Voorblad!$F$41)</f>
        <v>0</v>
      </c>
      <c r="DO120" s="9">
        <f>HP120*($Q120*$S120)/(1+Voorblad!$K$44)^(DO$56-Voorblad!$F$41)</f>
        <v>0</v>
      </c>
      <c r="DP120" s="9">
        <f>HQ120*($Q120*$S120)/(1+Voorblad!$K$44)^(DP$56-Voorblad!$F$41)</f>
        <v>0</v>
      </c>
      <c r="DQ120" s="9">
        <f>HR120*($Q120*$S120)/(1+Voorblad!$K$44)^(DQ$56-Voorblad!$F$41)</f>
        <v>0</v>
      </c>
      <c r="DR120" s="9">
        <f>HS120*($Q120*$S120)/(1+Voorblad!$K$44)^(DR$56-Voorblad!$F$41)</f>
        <v>0</v>
      </c>
      <c r="DS120" s="9">
        <f>HT120*($Q120*$S120)/(1+Voorblad!$K$44)^(DS$56-Voorblad!$F$41)</f>
        <v>0</v>
      </c>
      <c r="DT120" s="9">
        <f>HU120*($Q120*$S120)/(1+Voorblad!$K$44)^(DT$56-Voorblad!$F$41)</f>
        <v>0</v>
      </c>
      <c r="DU120" s="9">
        <f>HV120*($Q120*$S120)/(1+Voorblad!$K$44)^(DU$56-Voorblad!$F$41)</f>
        <v>0</v>
      </c>
      <c r="DV120" s="9">
        <f>HW120*($Q120*$S120)/(1+Voorblad!$K$44)^(DV$56-Voorblad!$F$41)</f>
        <v>0</v>
      </c>
      <c r="DW120" s="9">
        <f>HX120*($Q120*$S120)/(1+Voorblad!$K$44)^(DW$56-Voorblad!$F$41)</f>
        <v>0</v>
      </c>
      <c r="DX120" s="9">
        <f>HY120*($Q120*$S120)/(1+Voorblad!$K$44)^(DX$56-Voorblad!$F$41)</f>
        <v>0</v>
      </c>
      <c r="DY120" s="9">
        <f>HZ120*($Q120*$S120)/(1+Voorblad!$K$44)^(DY$56-Voorblad!$F$41)</f>
        <v>0</v>
      </c>
      <c r="DZ120" s="9">
        <f>IA120*($Q120*$S120)/(1+Voorblad!$K$44)^(DZ$56-Voorblad!$F$41)</f>
        <v>0</v>
      </c>
      <c r="EA120" s="9">
        <f>IB120*($Q120*$S120)/(1+Voorblad!$K$44)^(EA$56-Voorblad!$F$41)</f>
        <v>0</v>
      </c>
      <c r="EB120" s="9">
        <f>IC120*($Q120*$S120)/(1+Voorblad!$K$44)^(EB$56-Voorblad!$F$41)</f>
        <v>0</v>
      </c>
      <c r="EE120" s="8">
        <v>0</v>
      </c>
      <c r="EF120" s="8">
        <f>IF(EF$56-Voorblad!$F$41&gt;Voorblad!$K$41,0,IF($U120=0,0,IF($U120&lt;1,1/$U120,IF((EF$56-Voorblad!$F$41)/$U120-SUM($EE120:EE120)=1,1,0))))</f>
        <v>0</v>
      </c>
      <c r="EG120" s="8">
        <f>IF(EG$56-Voorblad!$F$41&gt;Voorblad!$K$41,0,IF($U120=0,0,IF($U120&lt;1,1/$U120,IF((EG$56-Voorblad!$F$41)/$U120-SUM($EE120:EF120)=1,1,0))))</f>
        <v>0</v>
      </c>
      <c r="EH120" s="8">
        <f>IF(EH$56-Voorblad!$F$41&gt;Voorblad!$K$41,0,IF($U120=0,0,IF($U120&lt;1,1/$U120,IF((EH$56-Voorblad!$F$41)/$U120-SUM($EE120:EG120)=1,1,0))))</f>
        <v>0</v>
      </c>
      <c r="EI120" s="8">
        <f>IF(EI$56-Voorblad!$F$41&gt;Voorblad!$K$41,0,IF($U120=0,0,IF($U120&lt;1,1/$U120,IF((EI$56-Voorblad!$F$41)/$U120-SUM($EE120:EH120)=1,1,0))))</f>
        <v>0</v>
      </c>
      <c r="EJ120" s="8">
        <f>IF(EJ$56-Voorblad!$F$41&gt;Voorblad!$K$41,0,IF($U120=0,0,IF($U120&lt;1,1/$U120,IF((EJ$56-Voorblad!$F$41)/$U120-SUM($EE120:EI120)=1,1,0))))</f>
        <v>0</v>
      </c>
      <c r="EK120" s="8">
        <f>IF(EK$56-Voorblad!$F$41&gt;Voorblad!$K$41,0,IF($U120=0,0,IF($U120&lt;1,1/$U120,IF((EK$56-Voorblad!$F$41)/$U120-SUM($EE120:EJ120)=1,1,0))))</f>
        <v>0</v>
      </c>
      <c r="EL120" s="8">
        <f>IF(EL$56-Voorblad!$F$41&gt;Voorblad!$K$41,0,IF($U120=0,0,IF($U120&lt;1,1/$U120,IF((EL$56-Voorblad!$F$41)/$U120-SUM($EE120:EK120)=1,1,0))))</f>
        <v>0</v>
      </c>
      <c r="EM120" s="8">
        <f>IF(EM$56-Voorblad!$F$41&gt;Voorblad!$K$41,0,IF($U120=0,0,IF($U120&lt;1,1/$U120,IF((EM$56-Voorblad!$F$41)/$U120-SUM($EE120:EL120)=1,1,0))))</f>
        <v>0</v>
      </c>
      <c r="EN120" s="8">
        <f>IF(EN$56-Voorblad!$F$41&gt;Voorblad!$K$41,0,IF($U120=0,0,IF($U120&lt;1,1/$U120,IF((EN$56-Voorblad!$F$41)/$U120-SUM($EE120:EM120)=1,1,0))))</f>
        <v>0</v>
      </c>
      <c r="EO120" s="8">
        <f>IF(EO$56-Voorblad!$F$41&gt;Voorblad!$K$41,0,IF($U120=0,0,IF($U120&lt;1,1/$U120,IF((EO$56-Voorblad!$F$41)/$U120-SUM($EE120:EN120)=1,1,0))))</f>
        <v>0</v>
      </c>
      <c r="EP120" s="8">
        <f>IF(EP$56-Voorblad!$F$41&gt;Voorblad!$K$41,0,IF($U120=0,0,IF($U120&lt;1,1/$U120,IF((EP$56-Voorblad!$F$41)/$U120-SUM($EE120:EO120)=1,1,0))))</f>
        <v>0</v>
      </c>
      <c r="EQ120" s="8">
        <f>IF(EQ$56-Voorblad!$F$41&gt;Voorblad!$K$41,0,IF($U120=0,0,IF($U120&lt;1,1/$U120,IF((EQ$56-Voorblad!$F$41)/$U120-SUM($EE120:EP120)=1,1,0))))</f>
        <v>0</v>
      </c>
      <c r="ER120" s="8">
        <f>IF(ER$56-Voorblad!$F$41&gt;Voorblad!$K$41,0,IF($U120=0,0,IF($U120&lt;1,1/$U120,IF((ER$56-Voorblad!$F$41)/$U120-SUM($EE120:EQ120)=1,1,0))))</f>
        <v>0</v>
      </c>
      <c r="ES120" s="8">
        <f>IF(ES$56-Voorblad!$F$41&gt;Voorblad!$K$41,0,IF($U120=0,0,IF($U120&lt;1,1/$U120,IF((ES$56-Voorblad!$F$41)/$U120-SUM($EE120:ER120)=1,1,0))))</f>
        <v>0</v>
      </c>
      <c r="ET120" s="8">
        <f>IF(ET$56-Voorblad!$F$41&gt;Voorblad!$K$41,0,IF($U120=0,0,IF($U120&lt;1,1/$U120,IF((ET$56-Voorblad!$F$41)/$U120-SUM($EE120:ES120)=1,1,0))))</f>
        <v>0</v>
      </c>
      <c r="EU120" s="8">
        <f>IF(EU$56-Voorblad!$F$41&gt;Voorblad!$K$41,0,IF($U120=0,0,IF($U120&lt;1,1/$U120,IF((EU$56-Voorblad!$F$41)/$U120-SUM($EE120:ET120)=1,1,0))))</f>
        <v>1</v>
      </c>
      <c r="EV120" s="8">
        <f>IF(EV$56-Voorblad!$F$41&gt;Voorblad!$K$41,0,IF($U120=0,0,IF($U120&lt;1,1/$U120,IF((EV$56-Voorblad!$F$41)/$U120-SUM($EE120:EU120)=1,1,0))))</f>
        <v>0</v>
      </c>
      <c r="EW120" s="8">
        <f>IF(EW$56-Voorblad!$F$41&gt;Voorblad!$K$41,0,IF($U120=0,0,IF($U120&lt;1,1/$U120,IF((EW$56-Voorblad!$F$41)/$U120-SUM($EE120:EV120)=1,1,0))))</f>
        <v>0</v>
      </c>
      <c r="EX120" s="8">
        <f>IF(EX$56-Voorblad!$F$41&gt;Voorblad!$K$41,0,IF($U120=0,0,IF($U120&lt;1,1/$U120,IF((EX$56-Voorblad!$F$41)/$U120-SUM($EE120:EW120)=1,1,0))))</f>
        <v>0</v>
      </c>
      <c r="EY120" s="8">
        <f>IF(EY$56-Voorblad!$F$41&gt;Voorblad!$K$41,0,IF($U120=0,0,IF($U120&lt;1,1/$U120,IF((EY$56-Voorblad!$F$41)/$U120-SUM($EE120:EX120)=1,1,0))))</f>
        <v>0</v>
      </c>
      <c r="EZ120" s="8">
        <f>IF(EZ$56-Voorblad!$F$41&gt;Voorblad!$K$41,0,IF($U120=0,0,IF($U120&lt;1,1/$U120,IF((EZ$56-Voorblad!$F$41)/$U120-SUM($EE120:EY120)=1,1,0))))</f>
        <v>0</v>
      </c>
      <c r="FA120" s="8">
        <f>IF(FA$56-Voorblad!$F$41&gt;Voorblad!$K$41,0,IF($U120=0,0,IF($U120&lt;1,1/$U120,IF((FA$56-Voorblad!$F$41)/$U120-SUM($EE120:EZ120)=1,1,0))))</f>
        <v>0</v>
      </c>
      <c r="FB120" s="8">
        <f>IF(FB$56-Voorblad!$F$41&gt;Voorblad!$K$41,0,IF($U120=0,0,IF($U120&lt;1,1/$U120,IF((FB$56-Voorblad!$F$41)/$U120-SUM($EE120:FA120)=1,1,0))))</f>
        <v>0</v>
      </c>
      <c r="FC120" s="8">
        <f>IF(FC$56-Voorblad!$F$41&gt;Voorblad!$K$41,0,IF($U120=0,0,IF($U120&lt;1,1/$U120,IF((FC$56-Voorblad!$F$41)/$U120-SUM($EE120:FB120)=1,1,0))))</f>
        <v>0</v>
      </c>
      <c r="FD120" s="8">
        <f>IF(FD$56-Voorblad!$F$41&gt;Voorblad!$K$41,0,IF($U120=0,0,IF($U120&lt;1,1/$U120,IF((FD$56-Voorblad!$F$41)/$U120-SUM($EE120:FC120)=1,1,0))))</f>
        <v>0</v>
      </c>
      <c r="FE120" s="8">
        <f>IF(FE$56-Voorblad!$F$41&gt;Voorblad!$K$41,0,IF($U120=0,0,IF($U120&lt;1,1/$U120,IF((FE$56-Voorblad!$F$41)/$U120-SUM($EE120:FD120)=1,1,0))))</f>
        <v>0</v>
      </c>
      <c r="FF120" s="8">
        <f>IF(FF$56-Voorblad!$F$41&gt;Voorblad!$K$41,0,IF($U120=0,0,IF($U120&lt;1,1/$U120,IF((FF$56-Voorblad!$F$41)/$U120-SUM($EE120:FE120)=1,1,0))))</f>
        <v>0</v>
      </c>
      <c r="FG120" s="8">
        <f>IF(FG$56-Voorblad!$F$41&gt;Voorblad!$K$41,0,IF($U120=0,0,IF($U120&lt;1,1/$U120,IF((FG$56-Voorblad!$F$41)/$U120-SUM($EE120:FF120)=1,1,0))))</f>
        <v>0</v>
      </c>
      <c r="FH120" s="8">
        <f>IF(FH$56-Voorblad!$F$41&gt;Voorblad!$K$41,0,IF($U120=0,0,IF($U120&lt;1,1/$U120,IF((FH$56-Voorblad!$F$41)/$U120-SUM($EE120:FG120)=1,1,0))))</f>
        <v>0</v>
      </c>
      <c r="FI120" s="8">
        <f>IF(FI$56-Voorblad!$F$41&gt;Voorblad!$K$41,0,IF($U120=0,0,IF($U120&lt;1,1/$U120,IF((FI$56-Voorblad!$F$41)/$U120-SUM($EE120:FH120)=1,1,0))))</f>
        <v>0</v>
      </c>
      <c r="FJ120" s="8">
        <f>IF(FJ$56-Voorblad!$F$41&gt;Voorblad!$K$41,0,IF($U120=0,0,IF($U120&lt;1,1/$U120,IF((FJ$56-Voorblad!$F$41)/$U120-SUM($EE120:FI120)=1,1,0))))</f>
        <v>1</v>
      </c>
      <c r="FK120" s="8">
        <f>IF(FK$56-Voorblad!$F$41&gt;Voorblad!$K$41,0,IF($U120=0,0,IF($U120&lt;1,1/$U120,IF((FK$56-Voorblad!$F$41)/$U120-SUM($EE120:FJ120)=1,1,0))))</f>
        <v>0</v>
      </c>
      <c r="FL120" s="8">
        <f>IF(FL$56-Voorblad!$F$41&gt;Voorblad!$K$41,0,IF($U120=0,0,IF($U120&lt;1,1/$U120,IF((FL$56-Voorblad!$F$41)/$U120-SUM($EE120:FK120)=1,1,0))))</f>
        <v>0</v>
      </c>
      <c r="FM120" s="8">
        <f>IF(FM$56-Voorblad!$F$41&gt;Voorblad!$K$41,0,IF($U120=0,0,IF($U120&lt;1,1/$U120,IF((FM$56-Voorblad!$F$41)/$U120-SUM($EE120:FL120)=1,1,0))))</f>
        <v>0</v>
      </c>
      <c r="FN120" s="8">
        <f>IF(FN$56-Voorblad!$F$41&gt;Voorblad!$K$41,0,IF($U120=0,0,IF($U120&lt;1,1/$U120,IF((FN$56-Voorblad!$F$41)/$U120-SUM($EE120:FM120)=1,1,0))))</f>
        <v>0</v>
      </c>
      <c r="FO120" s="8">
        <f>IF(FO$56-Voorblad!$F$41&gt;Voorblad!$K$41,0,IF($U120=0,0,IF($U120&lt;1,1/$U120,IF((FO$56-Voorblad!$F$41)/$U120-SUM($EE120:FN120)=1,1,0))))</f>
        <v>0</v>
      </c>
      <c r="FP120" s="8">
        <f>IF(FP$56-Voorblad!$F$41&gt;Voorblad!$K$41,0,IF($U120=0,0,IF($U120&lt;1,1/$U120,IF((FP$56-Voorblad!$F$41)/$U120-SUM($EE120:FO120)=1,1,0))))</f>
        <v>0</v>
      </c>
      <c r="FQ120" s="8">
        <f>IF(FQ$56-Voorblad!$F$41&gt;Voorblad!$K$41,0,IF($U120=0,0,IF($U120&lt;1,1/$U120,IF((FQ$56-Voorblad!$F$41)/$U120-SUM($EE120:FP120)=1,1,0))))</f>
        <v>0</v>
      </c>
      <c r="FR120" s="8">
        <f>IF(FR$56-Voorblad!$F$41&gt;Voorblad!$K$41,0,IF($U120=0,0,IF($U120&lt;1,1/$U120,IF((FR$56-Voorblad!$F$41)/$U120-SUM($EE120:FQ120)=1,1,0))))</f>
        <v>0</v>
      </c>
      <c r="FS120" s="8">
        <f>IF(FS$56-Voorblad!$F$41&gt;Voorblad!$K$41,0,IF($U120=0,0,IF($U120&lt;1,1/$U120,IF((FS$56-Voorblad!$F$41)/$U120-SUM($EE120:FR120)=1,1,0))))</f>
        <v>0</v>
      </c>
      <c r="FT120" s="8">
        <f>IF(FT$56-Voorblad!$F$41&gt;Voorblad!$K$41,0,IF($U120=0,0,IF($U120&lt;1,1/$U120,IF((FT$56-Voorblad!$F$41)/$U120-SUM($EE120:FS120)=1,1,0))))</f>
        <v>0</v>
      </c>
      <c r="FU120" s="8">
        <f>IF(FU$56-Voorblad!$F$41&gt;Voorblad!$K$41,0,IF($U120=0,0,IF($U120&lt;1,1/$U120,IF((FU$56-Voorblad!$F$41)/$U120-SUM($EE120:FT120)=1,1,0))))</f>
        <v>0</v>
      </c>
      <c r="FV120" s="8">
        <f>IF(FV$56-Voorblad!$F$41&gt;Voorblad!$K$41,0,IF($U120=0,0,IF($U120&lt;1,1/$U120,IF((FV$56-Voorblad!$F$41)/$U120-SUM($EE120:FU120)=1,1,0))))</f>
        <v>0</v>
      </c>
      <c r="FW120" s="8">
        <f>IF(FW$56-Voorblad!$F$41&gt;Voorblad!$K$41,0,IF($U120=0,0,IF($U120&lt;1,1/$U120,IF((FW$56-Voorblad!$F$41)/$U120-SUM($EE120:FV120)=1,1,0))))</f>
        <v>0</v>
      </c>
      <c r="FX120" s="8">
        <f>IF(FX$56-Voorblad!$F$41&gt;Voorblad!$K$41,0,IF($U120=0,0,IF($U120&lt;1,1/$U120,IF((FX$56-Voorblad!$F$41)/$U120-SUM($EE120:FW120)=1,1,0))))</f>
        <v>0</v>
      </c>
      <c r="FY120" s="8">
        <f>IF(FY$56-Voorblad!$F$41&gt;Voorblad!$K$41,0,IF($U120=0,0,IF($U120&lt;1,1/$U120,IF((FY$56-Voorblad!$F$41)/$U120-SUM($EE120:FX120)=1,1,0))))</f>
        <v>1</v>
      </c>
      <c r="FZ120" s="8">
        <f>IF(FZ$56-Voorblad!$F$41&gt;Voorblad!$K$41,0,IF($U120=0,0,IF($U120&lt;1,1/$U120,IF((FZ$56-Voorblad!$F$41)/$U120-SUM($EE120:FY120)=1,1,0))))</f>
        <v>0</v>
      </c>
      <c r="GA120" s="8">
        <f>IF(GA$56-Voorblad!$F$41&gt;Voorblad!$K$41,0,IF($U120=0,0,IF($U120&lt;1,1/$U120,IF((GA$56-Voorblad!$F$41)/$U120-SUM($EE120:FZ120)=1,1,0))))</f>
        <v>0</v>
      </c>
      <c r="GB120" s="8">
        <f>IF(GB$56-Voorblad!$F$41&gt;Voorblad!$K$41,0,IF($U120=0,0,IF($U120&lt;1,1/$U120,IF((GB$56-Voorblad!$F$41)/$U120-SUM($EE120:GA120)=1,1,0))))</f>
        <v>0</v>
      </c>
      <c r="GC120" s="8">
        <f>IF(GC$56-Voorblad!$F$41&gt;Voorblad!$K$41,0,IF($U120=0,0,IF($U120&lt;1,1/$U120,IF((GC$56-Voorblad!$F$41)/$U120-SUM($EE120:GB120)=1,1,0))))</f>
        <v>0</v>
      </c>
      <c r="GD120" s="8">
        <f>IF(GD$56-Voorblad!$F$41&gt;Voorblad!$K$41,0,IF($U120=0,0,IF($U120&lt;1,1/$U120,IF((GD$56-Voorblad!$F$41)/$U120-SUM($EE120:GC120)=1,1,0))))</f>
        <v>0</v>
      </c>
      <c r="GE120" s="8">
        <f>IF(GE$56-Voorblad!$F$41&gt;Voorblad!$K$41,0,IF($U120=0,0,IF($U120&lt;1,1/$U120,IF((GE$56-Voorblad!$F$41)/$U120-SUM($EE120:GD120)=1,1,0))))</f>
        <v>0</v>
      </c>
      <c r="GF120" s="8">
        <f>IF(GF$56-Voorblad!$F$41&gt;Voorblad!$K$41,0,IF($U120=0,0,IF($U120&lt;1,1/$U120,IF((GF$56-Voorblad!$F$41)/$U120-SUM($EE120:GE120)=1,1,0))))</f>
        <v>0</v>
      </c>
      <c r="GG120" s="8">
        <f>IF(GG$56-Voorblad!$F$41&gt;Voorblad!$K$41,0,IF($U120=0,0,IF($U120&lt;1,1/$U120,IF((GG$56-Voorblad!$F$41)/$U120-SUM($EE120:GF120)=1,1,0))))</f>
        <v>0</v>
      </c>
      <c r="GH120" s="8">
        <f>IF(GH$56-Voorblad!$F$41&gt;Voorblad!$K$41,0,IF($U120=0,0,IF($U120&lt;1,1/$U120,IF((GH$56-Voorblad!$F$41)/$U120-SUM($EE120:GG120)=1,1,0))))</f>
        <v>0</v>
      </c>
      <c r="GI120" s="8">
        <f>IF(GI$56-Voorblad!$F$41&gt;Voorblad!$K$41,0,IF($U120=0,0,IF($U120&lt;1,1/$U120,IF((GI$56-Voorblad!$F$41)/$U120-SUM($EE120:GH120)=1,1,0))))</f>
        <v>0</v>
      </c>
      <c r="GJ120" s="8">
        <f>IF(GJ$56-Voorblad!$F$41&gt;Voorblad!$K$41,0,IF($U120=0,0,IF($U120&lt;1,1/$U120,IF((GJ$56-Voorblad!$F$41)/$U120-SUM($EE120:GI120)=1,1,0))))</f>
        <v>0</v>
      </c>
      <c r="GK120" s="8">
        <f>IF(GK$56-Voorblad!$F$41&gt;Voorblad!$K$41,0,IF($U120=0,0,IF($U120&lt;1,1/$U120,IF((GK$56-Voorblad!$F$41)/$U120-SUM($EE120:GJ120)=1,1,0))))</f>
        <v>0</v>
      </c>
      <c r="GL120" s="8">
        <f>IF(GL$56-Voorblad!$F$41&gt;Voorblad!$K$41,0,IF($U120=0,0,IF($U120&lt;1,1/$U120,IF((GL$56-Voorblad!$F$41)/$U120-SUM($EE120:GK120)=1,1,0))))</f>
        <v>0</v>
      </c>
      <c r="GM120" s="8">
        <f>IF(GM$56-Voorblad!$F$41&gt;Voorblad!$K$41,0,IF($U120=0,0,IF($U120&lt;1,1/$U120,IF((GM$56-Voorblad!$F$41)/$U120-SUM($EE120:GL120)=1,1,0))))</f>
        <v>0</v>
      </c>
      <c r="GN120" s="8">
        <f>IF(GN$56-Voorblad!$F$41&gt;Voorblad!$K$41,0,IF($U120=0,0,IF($U120&lt;1,1/$U120,IF((GN$56-Voorblad!$F$41)/$U120-SUM($EE120:GM120)=1,1,0))))</f>
        <v>1</v>
      </c>
      <c r="GO120" s="8">
        <f>IF(GO$56-Voorblad!$F$41&gt;Voorblad!$K$41,0,IF($U120=0,0,IF($U120&lt;1,1/$U120,IF((GO$56-Voorblad!$F$41)/$U120-SUM($EE120:GN120)=1,1,0))))</f>
        <v>0</v>
      </c>
      <c r="GP120" s="8">
        <f>IF(GP$56-Voorblad!$F$41&gt;Voorblad!$K$41,0,IF($U120=0,0,IF($U120&lt;1,1/$U120,IF((GP$56-Voorblad!$F$41)/$U120-SUM($EE120:GO120)=1,1,0))))</f>
        <v>0</v>
      </c>
      <c r="GQ120" s="8">
        <f>IF(GQ$56-Voorblad!$F$41&gt;Voorblad!$K$41,0,IF($U120=0,0,IF($U120&lt;1,1/$U120,IF((GQ$56-Voorblad!$F$41)/$U120-SUM($EE120:GP120)=1,1,0))))</f>
        <v>0</v>
      </c>
      <c r="GR120" s="8">
        <f>IF(GR$56-Voorblad!$F$41&gt;Voorblad!$K$41,0,IF($U120=0,0,IF($U120&lt;1,1/$U120,IF((GR$56-Voorblad!$F$41)/$U120-SUM($EE120:GQ120)=1,1,0))))</f>
        <v>0</v>
      </c>
      <c r="GS120" s="8">
        <f>IF(GS$56-Voorblad!$F$41&gt;Voorblad!$K$41,0,IF($U120=0,0,IF($U120&lt;1,1/$U120,IF((GS$56-Voorblad!$F$41)/$U120-SUM($EE120:GR120)=1,1,0))))</f>
        <v>0</v>
      </c>
      <c r="GT120" s="8">
        <f>IF(GT$56-Voorblad!$F$41&gt;Voorblad!$K$41,0,IF($U120=0,0,IF($U120&lt;1,1/$U120,IF((GT$56-Voorblad!$F$41)/$U120-SUM($EE120:GS120)=1,1,0))))</f>
        <v>0</v>
      </c>
      <c r="GU120" s="8">
        <f>IF(GU$56-Voorblad!$F$41&gt;Voorblad!$K$41,0,IF($U120=0,0,IF($U120&lt;1,1/$U120,IF((GU$56-Voorblad!$F$41)/$U120-SUM($EE120:GT120)=1,1,0))))</f>
        <v>0</v>
      </c>
      <c r="GV120" s="8">
        <f>IF(GV$56-Voorblad!$F$41&gt;Voorblad!$K$41,0,IF($U120=0,0,IF($U120&lt;1,1/$U120,IF((GV$56-Voorblad!$F$41)/$U120-SUM($EE120:GU120)=1,1,0))))</f>
        <v>0</v>
      </c>
      <c r="GW120" s="8">
        <f>IF(GW$56-Voorblad!$F$41&gt;Voorblad!$K$41,0,IF($U120=0,0,IF($U120&lt;1,1/$U120,IF((GW$56-Voorblad!$F$41)/$U120-SUM($EE120:GV120)=1,1,0))))</f>
        <v>0</v>
      </c>
      <c r="GX120" s="8">
        <f>IF(GX$56-Voorblad!$F$41&gt;Voorblad!$K$41,0,IF($U120=0,0,IF($U120&lt;1,1/$U120,IF((GX$56-Voorblad!$F$41)/$U120-SUM($EE120:GW120)=1,1,0))))</f>
        <v>0</v>
      </c>
      <c r="GY120" s="8">
        <f>IF(GY$56-Voorblad!$F$41&gt;Voorblad!$K$41,0,IF($U120=0,0,IF($U120&lt;1,1/$U120,IF((GY$56-Voorblad!$F$41)/$U120-SUM($EE120:GX120)=1,1,0))))</f>
        <v>0</v>
      </c>
      <c r="GZ120" s="8">
        <f>IF(GZ$56-Voorblad!$F$41&gt;Voorblad!$K$41,0,IF($U120=0,0,IF($U120&lt;1,1/$U120,IF((GZ$56-Voorblad!$F$41)/$U120-SUM($EE120:GY120)=1,1,0))))</f>
        <v>0</v>
      </c>
      <c r="HA120" s="8">
        <f>IF(HA$56-Voorblad!$F$41&gt;Voorblad!$K$41,0,IF($U120=0,0,IF($U120&lt;1,1/$U120,IF((HA$56-Voorblad!$F$41)/$U120-SUM($EE120:GZ120)=1,1,0))))</f>
        <v>0</v>
      </c>
      <c r="HB120" s="8">
        <f>IF(HB$56-Voorblad!$F$41&gt;Voorblad!$K$41,0,IF($U120=0,0,IF($U120&lt;1,1/$U120,IF((HB$56-Voorblad!$F$41)/$U120-SUM($EE120:HA120)=1,1,0))))</f>
        <v>0</v>
      </c>
      <c r="HC120" s="8">
        <f>IF(HC$56-Voorblad!$F$41&gt;Voorblad!$K$41,0,IF($U120=0,0,IF($U120&lt;1,1/$U120,IF((HC$56-Voorblad!$F$41)/$U120-SUM($EE120:HB120)=1,1,0))))</f>
        <v>0</v>
      </c>
      <c r="HD120" s="8">
        <f>IF(HD$56-Voorblad!$F$41&gt;Voorblad!$K$41,0,IF($U120=0,0,IF($U120&lt;1,1/$U120,IF((HD$56-Voorblad!$F$41)/$U120-SUM($EE120:HC120)=1,1,0))))</f>
        <v>0</v>
      </c>
      <c r="HE120" s="8">
        <f>IF(HE$56-Voorblad!$F$41&gt;Voorblad!$K$41,0,IF($U120=0,0,IF($U120&lt;1,1/$U120,IF((HE$56-Voorblad!$F$41)/$U120-SUM($EE120:HD120)=1,1,0))))</f>
        <v>0</v>
      </c>
      <c r="HF120" s="8">
        <f>IF(HF$56-Voorblad!$F$41&gt;Voorblad!$K$41,0,IF($U120=0,0,IF($U120&lt;1,1/$U120,IF((HF$56-Voorblad!$F$41)/$U120-SUM($EE120:HE120)=1,1,0))))</f>
        <v>0</v>
      </c>
      <c r="HG120" s="8">
        <f>IF(HG$56-Voorblad!$F$41&gt;Voorblad!$K$41,0,IF($U120=0,0,IF($U120&lt;1,1/$U120,IF((HG$56-Voorblad!$F$41)/$U120-SUM($EE120:HF120)=1,1,0))))</f>
        <v>0</v>
      </c>
      <c r="HH120" s="8">
        <f>IF(HH$56-Voorblad!$F$41&gt;Voorblad!$K$41,0,IF($U120=0,0,IF($U120&lt;1,1/$U120,IF((HH$56-Voorblad!$F$41)/$U120-SUM($EE120:HG120)=1,1,0))))</f>
        <v>0</v>
      </c>
      <c r="HI120" s="8">
        <f>IF(HI$56-Voorblad!$F$41&gt;Voorblad!$K$41,0,IF($U120=0,0,IF($U120&lt;1,1/$U120,IF((HI$56-Voorblad!$F$41)/$U120-SUM($EE120:HH120)=1,1,0))))</f>
        <v>0</v>
      </c>
      <c r="HJ120" s="8">
        <f>IF(HJ$56-Voorblad!$F$41&gt;Voorblad!$K$41,0,IF($U120=0,0,IF($U120&lt;1,1/$U120,IF((HJ$56-Voorblad!$F$41)/$U120-SUM($EE120:HI120)=1,1,0))))</f>
        <v>0</v>
      </c>
      <c r="HK120" s="8">
        <f>IF(HK$56-Voorblad!$F$41&gt;Voorblad!$K$41,0,IF($U120=0,0,IF($U120&lt;1,1/$U120,IF((HK$56-Voorblad!$F$41)/$U120-SUM($EE120:HJ120)=1,1,0))))</f>
        <v>0</v>
      </c>
      <c r="HL120" s="8">
        <f>IF(HL$56-Voorblad!$F$41&gt;Voorblad!$K$41,0,IF($U120=0,0,IF($U120&lt;1,1/$U120,IF((HL$56-Voorblad!$F$41)/$U120-SUM($EE120:HK120)=1,1,0))))</f>
        <v>0</v>
      </c>
      <c r="HM120" s="8">
        <f>IF(HM$56-Voorblad!$F$41&gt;Voorblad!$K$41,0,IF($U120=0,0,IF($U120&lt;1,1/$U120,IF((HM$56-Voorblad!$F$41)/$U120-SUM($EE120:HL120)=1,1,0))))</f>
        <v>0</v>
      </c>
      <c r="HN120" s="8">
        <f>IF(HN$56-Voorblad!$F$41&gt;Voorblad!$K$41,0,IF($U120=0,0,IF($U120&lt;1,1/$U120,IF((HN$56-Voorblad!$F$41)/$U120-SUM($EE120:HM120)=1,1,0))))</f>
        <v>0</v>
      </c>
      <c r="HO120" s="8">
        <f>IF(HO$56-Voorblad!$F$41&gt;Voorblad!$K$41,0,IF($U120=0,0,IF($U120&lt;1,1/$U120,IF((HO$56-Voorblad!$F$41)/$U120-SUM($EE120:HN120)=1,1,0))))</f>
        <v>0</v>
      </c>
      <c r="HP120" s="8">
        <f>IF(HP$56-Voorblad!$F$41&gt;Voorblad!$K$41,0,IF($U120=0,0,IF($U120&lt;1,1/$U120,IF((HP$56-Voorblad!$F$41)/$U120-SUM($EE120:HO120)=1,1,0))))</f>
        <v>0</v>
      </c>
      <c r="HQ120" s="8">
        <f>IF(HQ$56-Voorblad!$F$41&gt;Voorblad!$K$41,0,IF($U120=0,0,IF($U120&lt;1,1/$U120,IF((HQ$56-Voorblad!$F$41)/$U120-SUM($EE120:HP120)=1,1,0))))</f>
        <v>0</v>
      </c>
      <c r="HR120" s="8">
        <f>IF(HR$56-Voorblad!$F$41&gt;Voorblad!$K$41,0,IF($U120=0,0,IF($U120&lt;1,1/$U120,IF((HR$56-Voorblad!$F$41)/$U120-SUM($EE120:HQ120)=1,1,0))))</f>
        <v>0</v>
      </c>
      <c r="HS120" s="8">
        <f>IF(HS$56-Voorblad!$F$41&gt;Voorblad!$K$41,0,IF($U120=0,0,IF($U120&lt;1,1/$U120,IF((HS$56-Voorblad!$F$41)/$U120-SUM($EE120:HR120)=1,1,0))))</f>
        <v>0</v>
      </c>
      <c r="HT120" s="8">
        <f>IF(HT$56-Voorblad!$F$41&gt;Voorblad!$K$41,0,IF($U120=0,0,IF($U120&lt;1,1/$U120,IF((HT$56-Voorblad!$F$41)/$U120-SUM($EE120:HS120)=1,1,0))))</f>
        <v>0</v>
      </c>
      <c r="HU120" s="8">
        <f>IF(HU$56-Voorblad!$F$41&gt;Voorblad!$K$41,0,IF($U120=0,0,IF($U120&lt;1,1/$U120,IF((HU$56-Voorblad!$F$41)/$U120-SUM($EE120:HT120)=1,1,0))))</f>
        <v>0</v>
      </c>
      <c r="HV120" s="8">
        <f>IF(HV$56-Voorblad!$F$41&gt;Voorblad!$K$41,0,IF($U120=0,0,IF($U120&lt;1,1/$U120,IF((HV$56-Voorblad!$F$41)/$U120-SUM($EE120:HU120)=1,1,0))))</f>
        <v>0</v>
      </c>
      <c r="HW120" s="8">
        <f>IF(HW$56-Voorblad!$F$41&gt;Voorblad!$K$41,0,IF($U120=0,0,IF($U120&lt;1,1/$U120,IF((HW$56-Voorblad!$F$41)/$U120-SUM($EE120:HV120)=1,1,0))))</f>
        <v>0</v>
      </c>
      <c r="HX120" s="8">
        <f>IF(HX$56-Voorblad!$F$41&gt;Voorblad!$K$41,0,IF($U120=0,0,IF($U120&lt;1,1/$U120,IF((HX$56-Voorblad!$F$41)/$U120-SUM($EE120:HW120)=1,1,0))))</f>
        <v>0</v>
      </c>
      <c r="HY120" s="8">
        <f>IF(HY$56-Voorblad!$F$41&gt;Voorblad!$K$41,0,IF($U120=0,0,IF($U120&lt;1,1/$U120,IF((HY$56-Voorblad!$F$41)/$U120-SUM($EE120:HX120)=1,1,0))))</f>
        <v>0</v>
      </c>
      <c r="HZ120" s="8">
        <f>IF(HZ$56-Voorblad!$F$41&gt;Voorblad!$K$41,0,IF($U120=0,0,IF($U120&lt;1,1/$U120,IF((HZ$56-Voorblad!$F$41)/$U120-SUM($EE120:HY120)=1,1,0))))</f>
        <v>0</v>
      </c>
      <c r="IA120" s="8">
        <f>IF(IA$56-Voorblad!$F$41&gt;Voorblad!$K$41,0,IF($U120=0,0,IF($U120&lt;1,1/$U120,IF((IA$56-Voorblad!$F$41)/$U120-SUM($EE120:HZ120)=1,1,0))))</f>
        <v>0</v>
      </c>
      <c r="IB120" s="8">
        <f>IF(IB$56-Voorblad!$F$41&gt;Voorblad!$K$41,0,IF($U120=0,0,IF($U120&lt;1,1/$U120,IF((IB$56-Voorblad!$F$41)/$U120-SUM($EE120:IA120)=1,1,0))))</f>
        <v>0</v>
      </c>
    </row>
    <row r="121" spans="2:236" ht="12" customHeight="1" outlineLevel="1" x14ac:dyDescent="0.25">
      <c r="B121" s="1">
        <v>3</v>
      </c>
      <c r="F121" s="1" t="s">
        <v>23</v>
      </c>
      <c r="I121" s="1" t="s">
        <v>277</v>
      </c>
      <c r="K121" s="14" t="s">
        <v>205</v>
      </c>
      <c r="L121" s="14"/>
      <c r="M121" s="14"/>
      <c r="O121" s="1" t="s">
        <v>178</v>
      </c>
      <c r="P121" s="1" t="s">
        <v>180</v>
      </c>
      <c r="Q121" s="81">
        <v>0</v>
      </c>
      <c r="R121" s="1" t="s">
        <v>35</v>
      </c>
      <c r="S121" s="21">
        <f>$H$20*1.5*100</f>
        <v>265.5</v>
      </c>
      <c r="T121" s="1">
        <f t="shared" si="20"/>
        <v>0</v>
      </c>
      <c r="U121" s="14">
        <v>15</v>
      </c>
      <c r="V121" s="14"/>
      <c r="Y121" s="9">
        <f t="shared" ref="Y121:Y124" si="23">SUM(AE121:EB121)</f>
        <v>0</v>
      </c>
      <c r="Z121" s="82"/>
      <c r="AA121" s="82"/>
      <c r="AC121" s="9">
        <f>$Y121*(Voorblad!$K$44*(1+Voorblad!$K$44)^Voorblad!$K$41)/((1+Voorblad!$K$44)^Voorblad!$K$41-1)</f>
        <v>0</v>
      </c>
      <c r="AE121" s="9">
        <f>EF121*($Q121*$S121)/(1+Voorblad!$K$44)^(AE$56-Voorblad!$F$41)</f>
        <v>0</v>
      </c>
      <c r="AF121" s="9">
        <f>EG121*($Q121*$S121)/(1+Voorblad!$K$44)^(AF$56-Voorblad!$F$41)</f>
        <v>0</v>
      </c>
      <c r="AG121" s="9">
        <f>EH121*($Q121*$S121)/(1+Voorblad!$K$44)^(AG$56-Voorblad!$F$41)</f>
        <v>0</v>
      </c>
      <c r="AH121" s="9">
        <f>EI121*($Q121*$S121)/(1+Voorblad!$K$44)^(AH$56-Voorblad!$F$41)</f>
        <v>0</v>
      </c>
      <c r="AI121" s="9">
        <f>EJ121*($Q121*$S121)/(1+Voorblad!$K$44)^(AI$56-Voorblad!$F$41)</f>
        <v>0</v>
      </c>
      <c r="AJ121" s="9">
        <f>EK121*($Q121*$S121)/(1+Voorblad!$K$44)^(AJ$56-Voorblad!$F$41)</f>
        <v>0</v>
      </c>
      <c r="AK121" s="9">
        <f>EL121*($Q121*$S121)/(1+Voorblad!$K$44)^(AK$56-Voorblad!$F$41)</f>
        <v>0</v>
      </c>
      <c r="AL121" s="9">
        <f>EM121*($Q121*$S121)/(1+Voorblad!$K$44)^(AL$56-Voorblad!$F$41)</f>
        <v>0</v>
      </c>
      <c r="AM121" s="9">
        <f>EN121*($Q121*$S121)/(1+Voorblad!$K$44)^(AM$56-Voorblad!$F$41)</f>
        <v>0</v>
      </c>
      <c r="AN121" s="9">
        <f>EO121*($Q121*$S121)/(1+Voorblad!$K$44)^(AN$56-Voorblad!$F$41)</f>
        <v>0</v>
      </c>
      <c r="AO121" s="9">
        <f>EP121*($Q121*$S121)/(1+Voorblad!$K$44)^(AO$56-Voorblad!$F$41)</f>
        <v>0</v>
      </c>
      <c r="AP121" s="9">
        <f>EQ121*($Q121*$S121)/(1+Voorblad!$K$44)^(AP$56-Voorblad!$F$41)</f>
        <v>0</v>
      </c>
      <c r="AQ121" s="9">
        <f>ER121*($Q121*$S121)/(1+Voorblad!$K$44)^(AQ$56-Voorblad!$F$41)</f>
        <v>0</v>
      </c>
      <c r="AR121" s="9">
        <f>ES121*($Q121*$S121)/(1+Voorblad!$K$44)^(AR$56-Voorblad!$F$41)</f>
        <v>0</v>
      </c>
      <c r="AS121" s="9">
        <f>ET121*($Q121*$S121)/(1+Voorblad!$K$44)^(AS$56-Voorblad!$F$41)</f>
        <v>0</v>
      </c>
      <c r="AT121" s="9">
        <f>EU121*($Q121*$S121)/(1+Voorblad!$K$44)^(AT$56-Voorblad!$F$41)</f>
        <v>0</v>
      </c>
      <c r="AU121" s="9">
        <f>EV121*($Q121*$S121)/(1+Voorblad!$K$44)^(AU$56-Voorblad!$F$41)</f>
        <v>0</v>
      </c>
      <c r="AV121" s="9">
        <f>EW121*($Q121*$S121)/(1+Voorblad!$K$44)^(AV$56-Voorblad!$F$41)</f>
        <v>0</v>
      </c>
      <c r="AW121" s="9">
        <f>EX121*($Q121*$S121)/(1+Voorblad!$K$44)^(AW$56-Voorblad!$F$41)</f>
        <v>0</v>
      </c>
      <c r="AX121" s="9">
        <f>EY121*($Q121*$S121)/(1+Voorblad!$K$44)^(AX$56-Voorblad!$F$41)</f>
        <v>0</v>
      </c>
      <c r="AY121" s="9">
        <f>EZ121*($Q121*$S121)/(1+Voorblad!$K$44)^(AY$56-Voorblad!$F$41)</f>
        <v>0</v>
      </c>
      <c r="AZ121" s="9">
        <f>FA121*($Q121*$S121)/(1+Voorblad!$K$44)^(AZ$56-Voorblad!$F$41)</f>
        <v>0</v>
      </c>
      <c r="BA121" s="9">
        <f>FB121*($Q121*$S121)/(1+Voorblad!$K$44)^(BA$56-Voorblad!$F$41)</f>
        <v>0</v>
      </c>
      <c r="BB121" s="9">
        <f>FC121*($Q121*$S121)/(1+Voorblad!$K$44)^(BB$56-Voorblad!$F$41)</f>
        <v>0</v>
      </c>
      <c r="BC121" s="9">
        <f>FD121*($Q121*$S121)/(1+Voorblad!$K$44)^(BC$56-Voorblad!$F$41)</f>
        <v>0</v>
      </c>
      <c r="BD121" s="9">
        <f>FE121*($Q121*$S121)/(1+Voorblad!$K$44)^(BD$56-Voorblad!$F$41)</f>
        <v>0</v>
      </c>
      <c r="BE121" s="9">
        <f>FF121*($Q121*$S121)/(1+Voorblad!$K$44)^(BE$56-Voorblad!$F$41)</f>
        <v>0</v>
      </c>
      <c r="BF121" s="9">
        <f>FG121*($Q121*$S121)/(1+Voorblad!$K$44)^(BF$56-Voorblad!$F$41)</f>
        <v>0</v>
      </c>
      <c r="BG121" s="9">
        <f>FH121*($Q121*$S121)/(1+Voorblad!$K$44)^(BG$56-Voorblad!$F$41)</f>
        <v>0</v>
      </c>
      <c r="BH121" s="9">
        <f>FI121*($Q121*$S121)/(1+Voorblad!$K$44)^(BH$56-Voorblad!$F$41)</f>
        <v>0</v>
      </c>
      <c r="BI121" s="9">
        <f>FJ121*($Q121*$S121)/(1+Voorblad!$K$44)^(BI$56-Voorblad!$F$41)</f>
        <v>0</v>
      </c>
      <c r="BJ121" s="9">
        <f>FK121*($Q121*$S121)/(1+Voorblad!$K$44)^(BJ$56-Voorblad!$F$41)</f>
        <v>0</v>
      </c>
      <c r="BK121" s="9">
        <f>FL121*($Q121*$S121)/(1+Voorblad!$K$44)^(BK$56-Voorblad!$F$41)</f>
        <v>0</v>
      </c>
      <c r="BL121" s="9">
        <f>FM121*($Q121*$S121)/(1+Voorblad!$K$44)^(BL$56-Voorblad!$F$41)</f>
        <v>0</v>
      </c>
      <c r="BM121" s="9">
        <f>FN121*($Q121*$S121)/(1+Voorblad!$K$44)^(BM$56-Voorblad!$F$41)</f>
        <v>0</v>
      </c>
      <c r="BN121" s="9">
        <f>FO121*($Q121*$S121)/(1+Voorblad!$K$44)^(BN$56-Voorblad!$F$41)</f>
        <v>0</v>
      </c>
      <c r="BO121" s="9">
        <f>FP121*($Q121*$S121)/(1+Voorblad!$K$44)^(BO$56-Voorblad!$F$41)</f>
        <v>0</v>
      </c>
      <c r="BP121" s="9">
        <f>FQ121*($Q121*$S121)/(1+Voorblad!$K$44)^(BP$56-Voorblad!$F$41)</f>
        <v>0</v>
      </c>
      <c r="BQ121" s="9">
        <f>FR121*($Q121*$S121)/(1+Voorblad!$K$44)^(BQ$56-Voorblad!$F$41)</f>
        <v>0</v>
      </c>
      <c r="BR121" s="9">
        <f>FS121*($Q121*$S121)/(1+Voorblad!$K$44)^(BR$56-Voorblad!$F$41)</f>
        <v>0</v>
      </c>
      <c r="BS121" s="9">
        <f>FT121*($Q121*$S121)/(1+Voorblad!$K$44)^(BS$56-Voorblad!$F$41)</f>
        <v>0</v>
      </c>
      <c r="BT121" s="9">
        <f>FU121*($Q121*$S121)/(1+Voorblad!$K$44)^(BT$56-Voorblad!$F$41)</f>
        <v>0</v>
      </c>
      <c r="BU121" s="9">
        <f>FV121*($Q121*$S121)/(1+Voorblad!$K$44)^(BU$56-Voorblad!$F$41)</f>
        <v>0</v>
      </c>
      <c r="BV121" s="9">
        <f>FW121*($Q121*$S121)/(1+Voorblad!$K$44)^(BV$56-Voorblad!$F$41)</f>
        <v>0</v>
      </c>
      <c r="BW121" s="9">
        <f>FX121*($Q121*$S121)/(1+Voorblad!$K$44)^(BW$56-Voorblad!$F$41)</f>
        <v>0</v>
      </c>
      <c r="BX121" s="9">
        <f>FY121*($Q121*$S121)/(1+Voorblad!$K$44)^(BX$56-Voorblad!$F$41)</f>
        <v>0</v>
      </c>
      <c r="BY121" s="9">
        <f>FZ121*($Q121*$S121)/(1+Voorblad!$K$44)^(BY$56-Voorblad!$F$41)</f>
        <v>0</v>
      </c>
      <c r="BZ121" s="9">
        <f>GA121*($Q121*$S121)/(1+Voorblad!$K$44)^(BZ$56-Voorblad!$F$41)</f>
        <v>0</v>
      </c>
      <c r="CA121" s="9">
        <f>GB121*($Q121*$S121)/(1+Voorblad!$K$44)^(CA$56-Voorblad!$F$41)</f>
        <v>0</v>
      </c>
      <c r="CB121" s="9">
        <f>GC121*($Q121*$S121)/(1+Voorblad!$K$44)^(CB$56-Voorblad!$F$41)</f>
        <v>0</v>
      </c>
      <c r="CC121" s="9">
        <f>GD121*($Q121*$S121)/(1+Voorblad!$K$44)^(CC$56-Voorblad!$F$41)</f>
        <v>0</v>
      </c>
      <c r="CD121" s="9">
        <f>GE121*($Q121*$S121)/(1+Voorblad!$K$44)^(CD$56-Voorblad!$F$41)</f>
        <v>0</v>
      </c>
      <c r="CE121" s="9">
        <f>GF121*($Q121*$S121)/(1+Voorblad!$K$44)^(CE$56-Voorblad!$F$41)</f>
        <v>0</v>
      </c>
      <c r="CF121" s="9">
        <f>GG121*($Q121*$S121)/(1+Voorblad!$K$44)^(CF$56-Voorblad!$F$41)</f>
        <v>0</v>
      </c>
      <c r="CG121" s="9">
        <f>GH121*($Q121*$S121)/(1+Voorblad!$K$44)^(CG$56-Voorblad!$F$41)</f>
        <v>0</v>
      </c>
      <c r="CH121" s="9">
        <f>GI121*($Q121*$S121)/(1+Voorblad!$K$44)^(CH$56-Voorblad!$F$41)</f>
        <v>0</v>
      </c>
      <c r="CI121" s="9">
        <f>GJ121*($Q121*$S121)/(1+Voorblad!$K$44)^(CI$56-Voorblad!$F$41)</f>
        <v>0</v>
      </c>
      <c r="CJ121" s="9">
        <f>GK121*($Q121*$S121)/(1+Voorblad!$K$44)^(CJ$56-Voorblad!$F$41)</f>
        <v>0</v>
      </c>
      <c r="CK121" s="9">
        <f>GL121*($Q121*$S121)/(1+Voorblad!$K$44)^(CK$56-Voorblad!$F$41)</f>
        <v>0</v>
      </c>
      <c r="CL121" s="9">
        <f>GM121*($Q121*$S121)/(1+Voorblad!$K$44)^(CL$56-Voorblad!$F$41)</f>
        <v>0</v>
      </c>
      <c r="CM121" s="9">
        <f>GN121*($Q121*$S121)/(1+Voorblad!$K$44)^(CM$56-Voorblad!$F$41)</f>
        <v>0</v>
      </c>
      <c r="CN121" s="9">
        <f>GO121*($Q121*$S121)/(1+Voorblad!$K$44)^(CN$56-Voorblad!$F$41)</f>
        <v>0</v>
      </c>
      <c r="CO121" s="9">
        <f>GP121*($Q121*$S121)/(1+Voorblad!$K$44)^(CO$56-Voorblad!$F$41)</f>
        <v>0</v>
      </c>
      <c r="CP121" s="9">
        <f>GQ121*($Q121*$S121)/(1+Voorblad!$K$44)^(CP$56-Voorblad!$F$41)</f>
        <v>0</v>
      </c>
      <c r="CQ121" s="9">
        <f>GR121*($Q121*$S121)/(1+Voorblad!$K$44)^(CQ$56-Voorblad!$F$41)</f>
        <v>0</v>
      </c>
      <c r="CR121" s="9">
        <f>GS121*($Q121*$S121)/(1+Voorblad!$K$44)^(CR$56-Voorblad!$F$41)</f>
        <v>0</v>
      </c>
      <c r="CS121" s="9">
        <f>GT121*($Q121*$S121)/(1+Voorblad!$K$44)^(CS$56-Voorblad!$F$41)</f>
        <v>0</v>
      </c>
      <c r="CT121" s="9">
        <f>GU121*($Q121*$S121)/(1+Voorblad!$K$44)^(CT$56-Voorblad!$F$41)</f>
        <v>0</v>
      </c>
      <c r="CU121" s="9">
        <f>GV121*($Q121*$S121)/(1+Voorblad!$K$44)^(CU$56-Voorblad!$F$41)</f>
        <v>0</v>
      </c>
      <c r="CV121" s="9">
        <f>GW121*($Q121*$S121)/(1+Voorblad!$K$44)^(CV$56-Voorblad!$F$41)</f>
        <v>0</v>
      </c>
      <c r="CW121" s="9">
        <f>GX121*($Q121*$S121)/(1+Voorblad!$K$44)^(CW$56-Voorblad!$F$41)</f>
        <v>0</v>
      </c>
      <c r="CX121" s="9">
        <f>GY121*($Q121*$S121)/(1+Voorblad!$K$44)^(CX$56-Voorblad!$F$41)</f>
        <v>0</v>
      </c>
      <c r="CY121" s="9">
        <f>GZ121*($Q121*$S121)/(1+Voorblad!$K$44)^(CY$56-Voorblad!$F$41)</f>
        <v>0</v>
      </c>
      <c r="CZ121" s="9">
        <f>HA121*($Q121*$S121)/(1+Voorblad!$K$44)^(CZ$56-Voorblad!$F$41)</f>
        <v>0</v>
      </c>
      <c r="DA121" s="9">
        <f>HB121*($Q121*$S121)/(1+Voorblad!$K$44)^(DA$56-Voorblad!$F$41)</f>
        <v>0</v>
      </c>
      <c r="DB121" s="9">
        <f>HC121*($Q121*$S121)/(1+Voorblad!$K$44)^(DB$56-Voorblad!$F$41)</f>
        <v>0</v>
      </c>
      <c r="DC121" s="9">
        <f>HD121*($Q121*$S121)/(1+Voorblad!$K$44)^(DC$56-Voorblad!$F$41)</f>
        <v>0</v>
      </c>
      <c r="DD121" s="9">
        <f>HE121*($Q121*$S121)/(1+Voorblad!$K$44)^(DD$56-Voorblad!$F$41)</f>
        <v>0</v>
      </c>
      <c r="DE121" s="9">
        <f>HF121*($Q121*$S121)/(1+Voorblad!$K$44)^(DE$56-Voorblad!$F$41)</f>
        <v>0</v>
      </c>
      <c r="DF121" s="9">
        <f>HG121*($Q121*$S121)/(1+Voorblad!$K$44)^(DF$56-Voorblad!$F$41)</f>
        <v>0</v>
      </c>
      <c r="DG121" s="9">
        <f>HH121*($Q121*$S121)/(1+Voorblad!$K$44)^(DG$56-Voorblad!$F$41)</f>
        <v>0</v>
      </c>
      <c r="DH121" s="9">
        <f>HI121*($Q121*$S121)/(1+Voorblad!$K$44)^(DH$56-Voorblad!$F$41)</f>
        <v>0</v>
      </c>
      <c r="DI121" s="9">
        <f>HJ121*($Q121*$S121)/(1+Voorblad!$K$44)^(DI$56-Voorblad!$F$41)</f>
        <v>0</v>
      </c>
      <c r="DJ121" s="9">
        <f>HK121*($Q121*$S121)/(1+Voorblad!$K$44)^(DJ$56-Voorblad!$F$41)</f>
        <v>0</v>
      </c>
      <c r="DK121" s="9">
        <f>HL121*($Q121*$S121)/(1+Voorblad!$K$44)^(DK$56-Voorblad!$F$41)</f>
        <v>0</v>
      </c>
      <c r="DL121" s="9">
        <f>HM121*($Q121*$S121)/(1+Voorblad!$K$44)^(DL$56-Voorblad!$F$41)</f>
        <v>0</v>
      </c>
      <c r="DM121" s="9">
        <f>HN121*($Q121*$S121)/(1+Voorblad!$K$44)^(DM$56-Voorblad!$F$41)</f>
        <v>0</v>
      </c>
      <c r="DN121" s="9">
        <f>HO121*($Q121*$S121)/(1+Voorblad!$K$44)^(DN$56-Voorblad!$F$41)</f>
        <v>0</v>
      </c>
      <c r="DO121" s="9">
        <f>HP121*($Q121*$S121)/(1+Voorblad!$K$44)^(DO$56-Voorblad!$F$41)</f>
        <v>0</v>
      </c>
      <c r="DP121" s="9">
        <f>HQ121*($Q121*$S121)/(1+Voorblad!$K$44)^(DP$56-Voorblad!$F$41)</f>
        <v>0</v>
      </c>
      <c r="DQ121" s="9">
        <f>HR121*($Q121*$S121)/(1+Voorblad!$K$44)^(DQ$56-Voorblad!$F$41)</f>
        <v>0</v>
      </c>
      <c r="DR121" s="9">
        <f>HS121*($Q121*$S121)/(1+Voorblad!$K$44)^(DR$56-Voorblad!$F$41)</f>
        <v>0</v>
      </c>
      <c r="DS121" s="9">
        <f>HT121*($Q121*$S121)/(1+Voorblad!$K$44)^(DS$56-Voorblad!$F$41)</f>
        <v>0</v>
      </c>
      <c r="DT121" s="9">
        <f>HU121*($Q121*$S121)/(1+Voorblad!$K$44)^(DT$56-Voorblad!$F$41)</f>
        <v>0</v>
      </c>
      <c r="DU121" s="9">
        <f>HV121*($Q121*$S121)/(1+Voorblad!$K$44)^(DU$56-Voorblad!$F$41)</f>
        <v>0</v>
      </c>
      <c r="DV121" s="9">
        <f>HW121*($Q121*$S121)/(1+Voorblad!$K$44)^(DV$56-Voorblad!$F$41)</f>
        <v>0</v>
      </c>
      <c r="DW121" s="9">
        <f>HX121*($Q121*$S121)/(1+Voorblad!$K$44)^(DW$56-Voorblad!$F$41)</f>
        <v>0</v>
      </c>
      <c r="DX121" s="9">
        <f>HY121*($Q121*$S121)/(1+Voorblad!$K$44)^(DX$56-Voorblad!$F$41)</f>
        <v>0</v>
      </c>
      <c r="DY121" s="9">
        <f>HZ121*($Q121*$S121)/(1+Voorblad!$K$44)^(DY$56-Voorblad!$F$41)</f>
        <v>0</v>
      </c>
      <c r="DZ121" s="9">
        <f>IA121*($Q121*$S121)/(1+Voorblad!$K$44)^(DZ$56-Voorblad!$F$41)</f>
        <v>0</v>
      </c>
      <c r="EA121" s="9">
        <f>IB121*($Q121*$S121)/(1+Voorblad!$K$44)^(EA$56-Voorblad!$F$41)</f>
        <v>0</v>
      </c>
      <c r="EB121" s="9">
        <f>IC121*($Q121*$S121)/(1+Voorblad!$K$44)^(EB$56-Voorblad!$F$41)</f>
        <v>0</v>
      </c>
      <c r="EE121" s="8">
        <v>0</v>
      </c>
      <c r="EF121" s="8">
        <f>IF(EF$56-Voorblad!$F$41&gt;Voorblad!$K$41,0,IF($U121=0,0,IF($U121&lt;1,1/$U121,IF((EF$56-Voorblad!$F$41)/$U121-SUM($EE121:EE121)=1,1,0))))</f>
        <v>0</v>
      </c>
      <c r="EG121" s="8">
        <f>IF(EG$56-Voorblad!$F$41&gt;Voorblad!$K$41,0,IF($U121=0,0,IF($U121&lt;1,1/$U121,IF((EG$56-Voorblad!$F$41)/$U121-SUM($EE121:EF121)=1,1,0))))</f>
        <v>0</v>
      </c>
      <c r="EH121" s="8">
        <f>IF(EH$56-Voorblad!$F$41&gt;Voorblad!$K$41,0,IF($U121=0,0,IF($U121&lt;1,1/$U121,IF((EH$56-Voorblad!$F$41)/$U121-SUM($EE121:EG121)=1,1,0))))</f>
        <v>0</v>
      </c>
      <c r="EI121" s="8">
        <f>IF(EI$56-Voorblad!$F$41&gt;Voorblad!$K$41,0,IF($U121=0,0,IF($U121&lt;1,1/$U121,IF((EI$56-Voorblad!$F$41)/$U121-SUM($EE121:EH121)=1,1,0))))</f>
        <v>0</v>
      </c>
      <c r="EJ121" s="8">
        <f>IF(EJ$56-Voorblad!$F$41&gt;Voorblad!$K$41,0,IF($U121=0,0,IF($U121&lt;1,1/$U121,IF((EJ$56-Voorblad!$F$41)/$U121-SUM($EE121:EI121)=1,1,0))))</f>
        <v>0</v>
      </c>
      <c r="EK121" s="8">
        <f>IF(EK$56-Voorblad!$F$41&gt;Voorblad!$K$41,0,IF($U121=0,0,IF($U121&lt;1,1/$U121,IF((EK$56-Voorblad!$F$41)/$U121-SUM($EE121:EJ121)=1,1,0))))</f>
        <v>0</v>
      </c>
      <c r="EL121" s="8">
        <f>IF(EL$56-Voorblad!$F$41&gt;Voorblad!$K$41,0,IF($U121=0,0,IF($U121&lt;1,1/$U121,IF((EL$56-Voorblad!$F$41)/$U121-SUM($EE121:EK121)=1,1,0))))</f>
        <v>0</v>
      </c>
      <c r="EM121" s="8">
        <f>IF(EM$56-Voorblad!$F$41&gt;Voorblad!$K$41,0,IF($U121=0,0,IF($U121&lt;1,1/$U121,IF((EM$56-Voorblad!$F$41)/$U121-SUM($EE121:EL121)=1,1,0))))</f>
        <v>0</v>
      </c>
      <c r="EN121" s="8">
        <f>IF(EN$56-Voorblad!$F$41&gt;Voorblad!$K$41,0,IF($U121=0,0,IF($U121&lt;1,1/$U121,IF((EN$56-Voorblad!$F$41)/$U121-SUM($EE121:EM121)=1,1,0))))</f>
        <v>0</v>
      </c>
      <c r="EO121" s="8">
        <f>IF(EO$56-Voorblad!$F$41&gt;Voorblad!$K$41,0,IF($U121=0,0,IF($U121&lt;1,1/$U121,IF((EO$56-Voorblad!$F$41)/$U121-SUM($EE121:EN121)=1,1,0))))</f>
        <v>0</v>
      </c>
      <c r="EP121" s="8">
        <f>IF(EP$56-Voorblad!$F$41&gt;Voorblad!$K$41,0,IF($U121=0,0,IF($U121&lt;1,1/$U121,IF((EP$56-Voorblad!$F$41)/$U121-SUM($EE121:EO121)=1,1,0))))</f>
        <v>0</v>
      </c>
      <c r="EQ121" s="8">
        <f>IF(EQ$56-Voorblad!$F$41&gt;Voorblad!$K$41,0,IF($U121=0,0,IF($U121&lt;1,1/$U121,IF((EQ$56-Voorblad!$F$41)/$U121-SUM($EE121:EP121)=1,1,0))))</f>
        <v>0</v>
      </c>
      <c r="ER121" s="8">
        <f>IF(ER$56-Voorblad!$F$41&gt;Voorblad!$K$41,0,IF($U121=0,0,IF($U121&lt;1,1/$U121,IF((ER$56-Voorblad!$F$41)/$U121-SUM($EE121:EQ121)=1,1,0))))</f>
        <v>0</v>
      </c>
      <c r="ES121" s="8">
        <f>IF(ES$56-Voorblad!$F$41&gt;Voorblad!$K$41,0,IF($U121=0,0,IF($U121&lt;1,1/$U121,IF((ES$56-Voorblad!$F$41)/$U121-SUM($EE121:ER121)=1,1,0))))</f>
        <v>0</v>
      </c>
      <c r="ET121" s="8">
        <f>IF(ET$56-Voorblad!$F$41&gt;Voorblad!$K$41,0,IF($U121=0,0,IF($U121&lt;1,1/$U121,IF((ET$56-Voorblad!$F$41)/$U121-SUM($EE121:ES121)=1,1,0))))</f>
        <v>0</v>
      </c>
      <c r="EU121" s="8">
        <f>IF(EU$56-Voorblad!$F$41&gt;Voorblad!$K$41,0,IF($U121=0,0,IF($U121&lt;1,1/$U121,IF((EU$56-Voorblad!$F$41)/$U121-SUM($EE121:ET121)=1,1,0))))</f>
        <v>1</v>
      </c>
      <c r="EV121" s="8">
        <f>IF(EV$56-Voorblad!$F$41&gt;Voorblad!$K$41,0,IF($U121=0,0,IF($U121&lt;1,1/$U121,IF((EV$56-Voorblad!$F$41)/$U121-SUM($EE121:EU121)=1,1,0))))</f>
        <v>0</v>
      </c>
      <c r="EW121" s="8">
        <f>IF(EW$56-Voorblad!$F$41&gt;Voorblad!$K$41,0,IF($U121=0,0,IF($U121&lt;1,1/$U121,IF((EW$56-Voorblad!$F$41)/$U121-SUM($EE121:EV121)=1,1,0))))</f>
        <v>0</v>
      </c>
      <c r="EX121" s="8">
        <f>IF(EX$56-Voorblad!$F$41&gt;Voorblad!$K$41,0,IF($U121=0,0,IF($U121&lt;1,1/$U121,IF((EX$56-Voorblad!$F$41)/$U121-SUM($EE121:EW121)=1,1,0))))</f>
        <v>0</v>
      </c>
      <c r="EY121" s="8">
        <f>IF(EY$56-Voorblad!$F$41&gt;Voorblad!$K$41,0,IF($U121=0,0,IF($U121&lt;1,1/$U121,IF((EY$56-Voorblad!$F$41)/$U121-SUM($EE121:EX121)=1,1,0))))</f>
        <v>0</v>
      </c>
      <c r="EZ121" s="8">
        <f>IF(EZ$56-Voorblad!$F$41&gt;Voorblad!$K$41,0,IF($U121=0,0,IF($U121&lt;1,1/$U121,IF((EZ$56-Voorblad!$F$41)/$U121-SUM($EE121:EY121)=1,1,0))))</f>
        <v>0</v>
      </c>
      <c r="FA121" s="8">
        <f>IF(FA$56-Voorblad!$F$41&gt;Voorblad!$K$41,0,IF($U121=0,0,IF($U121&lt;1,1/$U121,IF((FA$56-Voorblad!$F$41)/$U121-SUM($EE121:EZ121)=1,1,0))))</f>
        <v>0</v>
      </c>
      <c r="FB121" s="8">
        <f>IF(FB$56-Voorblad!$F$41&gt;Voorblad!$K$41,0,IF($U121=0,0,IF($U121&lt;1,1/$U121,IF((FB$56-Voorblad!$F$41)/$U121-SUM($EE121:FA121)=1,1,0))))</f>
        <v>0</v>
      </c>
      <c r="FC121" s="8">
        <f>IF(FC$56-Voorblad!$F$41&gt;Voorblad!$K$41,0,IF($U121=0,0,IF($U121&lt;1,1/$U121,IF((FC$56-Voorblad!$F$41)/$U121-SUM($EE121:FB121)=1,1,0))))</f>
        <v>0</v>
      </c>
      <c r="FD121" s="8">
        <f>IF(FD$56-Voorblad!$F$41&gt;Voorblad!$K$41,0,IF($U121=0,0,IF($U121&lt;1,1/$U121,IF((FD$56-Voorblad!$F$41)/$U121-SUM($EE121:FC121)=1,1,0))))</f>
        <v>0</v>
      </c>
      <c r="FE121" s="8">
        <f>IF(FE$56-Voorblad!$F$41&gt;Voorblad!$K$41,0,IF($U121=0,0,IF($U121&lt;1,1/$U121,IF((FE$56-Voorblad!$F$41)/$U121-SUM($EE121:FD121)=1,1,0))))</f>
        <v>0</v>
      </c>
      <c r="FF121" s="8">
        <f>IF(FF$56-Voorblad!$F$41&gt;Voorblad!$K$41,0,IF($U121=0,0,IF($U121&lt;1,1/$U121,IF((FF$56-Voorblad!$F$41)/$U121-SUM($EE121:FE121)=1,1,0))))</f>
        <v>0</v>
      </c>
      <c r="FG121" s="8">
        <f>IF(FG$56-Voorblad!$F$41&gt;Voorblad!$K$41,0,IF($U121=0,0,IF($U121&lt;1,1/$U121,IF((FG$56-Voorblad!$F$41)/$U121-SUM($EE121:FF121)=1,1,0))))</f>
        <v>0</v>
      </c>
      <c r="FH121" s="8">
        <f>IF(FH$56-Voorblad!$F$41&gt;Voorblad!$K$41,0,IF($U121=0,0,IF($U121&lt;1,1/$U121,IF((FH$56-Voorblad!$F$41)/$U121-SUM($EE121:FG121)=1,1,0))))</f>
        <v>0</v>
      </c>
      <c r="FI121" s="8">
        <f>IF(FI$56-Voorblad!$F$41&gt;Voorblad!$K$41,0,IF($U121=0,0,IF($U121&lt;1,1/$U121,IF((FI$56-Voorblad!$F$41)/$U121-SUM($EE121:FH121)=1,1,0))))</f>
        <v>0</v>
      </c>
      <c r="FJ121" s="8">
        <f>IF(FJ$56-Voorblad!$F$41&gt;Voorblad!$K$41,0,IF($U121=0,0,IF($U121&lt;1,1/$U121,IF((FJ$56-Voorblad!$F$41)/$U121-SUM($EE121:FI121)=1,1,0))))</f>
        <v>1</v>
      </c>
      <c r="FK121" s="8">
        <f>IF(FK$56-Voorblad!$F$41&gt;Voorblad!$K$41,0,IF($U121=0,0,IF($U121&lt;1,1/$U121,IF((FK$56-Voorblad!$F$41)/$U121-SUM($EE121:FJ121)=1,1,0))))</f>
        <v>0</v>
      </c>
      <c r="FL121" s="8">
        <f>IF(FL$56-Voorblad!$F$41&gt;Voorblad!$K$41,0,IF($U121=0,0,IF($U121&lt;1,1/$U121,IF((FL$56-Voorblad!$F$41)/$U121-SUM($EE121:FK121)=1,1,0))))</f>
        <v>0</v>
      </c>
      <c r="FM121" s="8">
        <f>IF(FM$56-Voorblad!$F$41&gt;Voorblad!$K$41,0,IF($U121=0,0,IF($U121&lt;1,1/$U121,IF((FM$56-Voorblad!$F$41)/$U121-SUM($EE121:FL121)=1,1,0))))</f>
        <v>0</v>
      </c>
      <c r="FN121" s="8">
        <f>IF(FN$56-Voorblad!$F$41&gt;Voorblad!$K$41,0,IF($U121=0,0,IF($U121&lt;1,1/$U121,IF((FN$56-Voorblad!$F$41)/$U121-SUM($EE121:FM121)=1,1,0))))</f>
        <v>0</v>
      </c>
      <c r="FO121" s="8">
        <f>IF(FO$56-Voorblad!$F$41&gt;Voorblad!$K$41,0,IF($U121=0,0,IF($U121&lt;1,1/$U121,IF((FO$56-Voorblad!$F$41)/$U121-SUM($EE121:FN121)=1,1,0))))</f>
        <v>0</v>
      </c>
      <c r="FP121" s="8">
        <f>IF(FP$56-Voorblad!$F$41&gt;Voorblad!$K$41,0,IF($U121=0,0,IF($U121&lt;1,1/$U121,IF((FP$56-Voorblad!$F$41)/$U121-SUM($EE121:FO121)=1,1,0))))</f>
        <v>0</v>
      </c>
      <c r="FQ121" s="8">
        <f>IF(FQ$56-Voorblad!$F$41&gt;Voorblad!$K$41,0,IF($U121=0,0,IF($U121&lt;1,1/$U121,IF((FQ$56-Voorblad!$F$41)/$U121-SUM($EE121:FP121)=1,1,0))))</f>
        <v>0</v>
      </c>
      <c r="FR121" s="8">
        <f>IF(FR$56-Voorblad!$F$41&gt;Voorblad!$K$41,0,IF($U121=0,0,IF($U121&lt;1,1/$U121,IF((FR$56-Voorblad!$F$41)/$U121-SUM($EE121:FQ121)=1,1,0))))</f>
        <v>0</v>
      </c>
      <c r="FS121" s="8">
        <f>IF(FS$56-Voorblad!$F$41&gt;Voorblad!$K$41,0,IF($U121=0,0,IF($U121&lt;1,1/$U121,IF((FS$56-Voorblad!$F$41)/$U121-SUM($EE121:FR121)=1,1,0))))</f>
        <v>0</v>
      </c>
      <c r="FT121" s="8">
        <f>IF(FT$56-Voorblad!$F$41&gt;Voorblad!$K$41,0,IF($U121=0,0,IF($U121&lt;1,1/$U121,IF((FT$56-Voorblad!$F$41)/$U121-SUM($EE121:FS121)=1,1,0))))</f>
        <v>0</v>
      </c>
      <c r="FU121" s="8">
        <f>IF(FU$56-Voorblad!$F$41&gt;Voorblad!$K$41,0,IF($U121=0,0,IF($U121&lt;1,1/$U121,IF((FU$56-Voorblad!$F$41)/$U121-SUM($EE121:FT121)=1,1,0))))</f>
        <v>0</v>
      </c>
      <c r="FV121" s="8">
        <f>IF(FV$56-Voorblad!$F$41&gt;Voorblad!$K$41,0,IF($U121=0,0,IF($U121&lt;1,1/$U121,IF((FV$56-Voorblad!$F$41)/$U121-SUM($EE121:FU121)=1,1,0))))</f>
        <v>0</v>
      </c>
      <c r="FW121" s="8">
        <f>IF(FW$56-Voorblad!$F$41&gt;Voorblad!$K$41,0,IF($U121=0,0,IF($U121&lt;1,1/$U121,IF((FW$56-Voorblad!$F$41)/$U121-SUM($EE121:FV121)=1,1,0))))</f>
        <v>0</v>
      </c>
      <c r="FX121" s="8">
        <f>IF(FX$56-Voorblad!$F$41&gt;Voorblad!$K$41,0,IF($U121=0,0,IF($U121&lt;1,1/$U121,IF((FX$56-Voorblad!$F$41)/$U121-SUM($EE121:FW121)=1,1,0))))</f>
        <v>0</v>
      </c>
      <c r="FY121" s="8">
        <f>IF(FY$56-Voorblad!$F$41&gt;Voorblad!$K$41,0,IF($U121=0,0,IF($U121&lt;1,1/$U121,IF((FY$56-Voorblad!$F$41)/$U121-SUM($EE121:FX121)=1,1,0))))</f>
        <v>1</v>
      </c>
      <c r="FZ121" s="8">
        <f>IF(FZ$56-Voorblad!$F$41&gt;Voorblad!$K$41,0,IF($U121=0,0,IF($U121&lt;1,1/$U121,IF((FZ$56-Voorblad!$F$41)/$U121-SUM($EE121:FY121)=1,1,0))))</f>
        <v>0</v>
      </c>
      <c r="GA121" s="8">
        <f>IF(GA$56-Voorblad!$F$41&gt;Voorblad!$K$41,0,IF($U121=0,0,IF($U121&lt;1,1/$U121,IF((GA$56-Voorblad!$F$41)/$U121-SUM($EE121:FZ121)=1,1,0))))</f>
        <v>0</v>
      </c>
      <c r="GB121" s="8">
        <f>IF(GB$56-Voorblad!$F$41&gt;Voorblad!$K$41,0,IF($U121=0,0,IF($U121&lt;1,1/$U121,IF((GB$56-Voorblad!$F$41)/$U121-SUM($EE121:GA121)=1,1,0))))</f>
        <v>0</v>
      </c>
      <c r="GC121" s="8">
        <f>IF(GC$56-Voorblad!$F$41&gt;Voorblad!$K$41,0,IF($U121=0,0,IF($U121&lt;1,1/$U121,IF((GC$56-Voorblad!$F$41)/$U121-SUM($EE121:GB121)=1,1,0))))</f>
        <v>0</v>
      </c>
      <c r="GD121" s="8">
        <f>IF(GD$56-Voorblad!$F$41&gt;Voorblad!$K$41,0,IF($U121=0,0,IF($U121&lt;1,1/$U121,IF((GD$56-Voorblad!$F$41)/$U121-SUM($EE121:GC121)=1,1,0))))</f>
        <v>0</v>
      </c>
      <c r="GE121" s="8">
        <f>IF(GE$56-Voorblad!$F$41&gt;Voorblad!$K$41,0,IF($U121=0,0,IF($U121&lt;1,1/$U121,IF((GE$56-Voorblad!$F$41)/$U121-SUM($EE121:GD121)=1,1,0))))</f>
        <v>0</v>
      </c>
      <c r="GF121" s="8">
        <f>IF(GF$56-Voorblad!$F$41&gt;Voorblad!$K$41,0,IF($U121=0,0,IF($U121&lt;1,1/$U121,IF((GF$56-Voorblad!$F$41)/$U121-SUM($EE121:GE121)=1,1,0))))</f>
        <v>0</v>
      </c>
      <c r="GG121" s="8">
        <f>IF(GG$56-Voorblad!$F$41&gt;Voorblad!$K$41,0,IF($U121=0,0,IF($U121&lt;1,1/$U121,IF((GG$56-Voorblad!$F$41)/$U121-SUM($EE121:GF121)=1,1,0))))</f>
        <v>0</v>
      </c>
      <c r="GH121" s="8">
        <f>IF(GH$56-Voorblad!$F$41&gt;Voorblad!$K$41,0,IF($U121=0,0,IF($U121&lt;1,1/$U121,IF((GH$56-Voorblad!$F$41)/$U121-SUM($EE121:GG121)=1,1,0))))</f>
        <v>0</v>
      </c>
      <c r="GI121" s="8">
        <f>IF(GI$56-Voorblad!$F$41&gt;Voorblad!$K$41,0,IF($U121=0,0,IF($U121&lt;1,1/$U121,IF((GI$56-Voorblad!$F$41)/$U121-SUM($EE121:GH121)=1,1,0))))</f>
        <v>0</v>
      </c>
      <c r="GJ121" s="8">
        <f>IF(GJ$56-Voorblad!$F$41&gt;Voorblad!$K$41,0,IF($U121=0,0,IF($U121&lt;1,1/$U121,IF((GJ$56-Voorblad!$F$41)/$U121-SUM($EE121:GI121)=1,1,0))))</f>
        <v>0</v>
      </c>
      <c r="GK121" s="8">
        <f>IF(GK$56-Voorblad!$F$41&gt;Voorblad!$K$41,0,IF($U121=0,0,IF($U121&lt;1,1/$U121,IF((GK$56-Voorblad!$F$41)/$U121-SUM($EE121:GJ121)=1,1,0))))</f>
        <v>0</v>
      </c>
      <c r="GL121" s="8">
        <f>IF(GL$56-Voorblad!$F$41&gt;Voorblad!$K$41,0,IF($U121=0,0,IF($U121&lt;1,1/$U121,IF((GL$56-Voorblad!$F$41)/$U121-SUM($EE121:GK121)=1,1,0))))</f>
        <v>0</v>
      </c>
      <c r="GM121" s="8">
        <f>IF(GM$56-Voorblad!$F$41&gt;Voorblad!$K$41,0,IF($U121=0,0,IF($U121&lt;1,1/$U121,IF((GM$56-Voorblad!$F$41)/$U121-SUM($EE121:GL121)=1,1,0))))</f>
        <v>0</v>
      </c>
      <c r="GN121" s="8">
        <f>IF(GN$56-Voorblad!$F$41&gt;Voorblad!$K$41,0,IF($U121=0,0,IF($U121&lt;1,1/$U121,IF((GN$56-Voorblad!$F$41)/$U121-SUM($EE121:GM121)=1,1,0))))</f>
        <v>1</v>
      </c>
      <c r="GO121" s="8">
        <f>IF(GO$56-Voorblad!$F$41&gt;Voorblad!$K$41,0,IF($U121=0,0,IF($U121&lt;1,1/$U121,IF((GO$56-Voorblad!$F$41)/$U121-SUM($EE121:GN121)=1,1,0))))</f>
        <v>0</v>
      </c>
      <c r="GP121" s="8">
        <f>IF(GP$56-Voorblad!$F$41&gt;Voorblad!$K$41,0,IF($U121=0,0,IF($U121&lt;1,1/$U121,IF((GP$56-Voorblad!$F$41)/$U121-SUM($EE121:GO121)=1,1,0))))</f>
        <v>0</v>
      </c>
      <c r="GQ121" s="8">
        <f>IF(GQ$56-Voorblad!$F$41&gt;Voorblad!$K$41,0,IF($U121=0,0,IF($U121&lt;1,1/$U121,IF((GQ$56-Voorblad!$F$41)/$U121-SUM($EE121:GP121)=1,1,0))))</f>
        <v>0</v>
      </c>
      <c r="GR121" s="8">
        <f>IF(GR$56-Voorblad!$F$41&gt;Voorblad!$K$41,0,IF($U121=0,0,IF($U121&lt;1,1/$U121,IF((GR$56-Voorblad!$F$41)/$U121-SUM($EE121:GQ121)=1,1,0))))</f>
        <v>0</v>
      </c>
      <c r="GS121" s="8">
        <f>IF(GS$56-Voorblad!$F$41&gt;Voorblad!$K$41,0,IF($U121=0,0,IF($U121&lt;1,1/$U121,IF((GS$56-Voorblad!$F$41)/$U121-SUM($EE121:GR121)=1,1,0))))</f>
        <v>0</v>
      </c>
      <c r="GT121" s="8">
        <f>IF(GT$56-Voorblad!$F$41&gt;Voorblad!$K$41,0,IF($U121=0,0,IF($U121&lt;1,1/$U121,IF((GT$56-Voorblad!$F$41)/$U121-SUM($EE121:GS121)=1,1,0))))</f>
        <v>0</v>
      </c>
      <c r="GU121" s="8">
        <f>IF(GU$56-Voorblad!$F$41&gt;Voorblad!$K$41,0,IF($U121=0,0,IF($U121&lt;1,1/$U121,IF((GU$56-Voorblad!$F$41)/$U121-SUM($EE121:GT121)=1,1,0))))</f>
        <v>0</v>
      </c>
      <c r="GV121" s="8">
        <f>IF(GV$56-Voorblad!$F$41&gt;Voorblad!$K$41,0,IF($U121=0,0,IF($U121&lt;1,1/$U121,IF((GV$56-Voorblad!$F$41)/$U121-SUM($EE121:GU121)=1,1,0))))</f>
        <v>0</v>
      </c>
      <c r="GW121" s="8">
        <f>IF(GW$56-Voorblad!$F$41&gt;Voorblad!$K$41,0,IF($U121=0,0,IF($U121&lt;1,1/$U121,IF((GW$56-Voorblad!$F$41)/$U121-SUM($EE121:GV121)=1,1,0))))</f>
        <v>0</v>
      </c>
      <c r="GX121" s="8">
        <f>IF(GX$56-Voorblad!$F$41&gt;Voorblad!$K$41,0,IF($U121=0,0,IF($U121&lt;1,1/$U121,IF((GX$56-Voorblad!$F$41)/$U121-SUM($EE121:GW121)=1,1,0))))</f>
        <v>0</v>
      </c>
      <c r="GY121" s="8">
        <f>IF(GY$56-Voorblad!$F$41&gt;Voorblad!$K$41,0,IF($U121=0,0,IF($U121&lt;1,1/$U121,IF((GY$56-Voorblad!$F$41)/$U121-SUM($EE121:GX121)=1,1,0))))</f>
        <v>0</v>
      </c>
      <c r="GZ121" s="8">
        <f>IF(GZ$56-Voorblad!$F$41&gt;Voorblad!$K$41,0,IF($U121=0,0,IF($U121&lt;1,1/$U121,IF((GZ$56-Voorblad!$F$41)/$U121-SUM($EE121:GY121)=1,1,0))))</f>
        <v>0</v>
      </c>
      <c r="HA121" s="8">
        <f>IF(HA$56-Voorblad!$F$41&gt;Voorblad!$K$41,0,IF($U121=0,0,IF($U121&lt;1,1/$U121,IF((HA$56-Voorblad!$F$41)/$U121-SUM($EE121:GZ121)=1,1,0))))</f>
        <v>0</v>
      </c>
      <c r="HB121" s="8">
        <f>IF(HB$56-Voorblad!$F$41&gt;Voorblad!$K$41,0,IF($U121=0,0,IF($U121&lt;1,1/$U121,IF((HB$56-Voorblad!$F$41)/$U121-SUM($EE121:HA121)=1,1,0))))</f>
        <v>0</v>
      </c>
      <c r="HC121" s="8">
        <f>IF(HC$56-Voorblad!$F$41&gt;Voorblad!$K$41,0,IF($U121=0,0,IF($U121&lt;1,1/$U121,IF((HC$56-Voorblad!$F$41)/$U121-SUM($EE121:HB121)=1,1,0))))</f>
        <v>0</v>
      </c>
      <c r="HD121" s="8">
        <f>IF(HD$56-Voorblad!$F$41&gt;Voorblad!$K$41,0,IF($U121=0,0,IF($U121&lt;1,1/$U121,IF((HD$56-Voorblad!$F$41)/$U121-SUM($EE121:HC121)=1,1,0))))</f>
        <v>0</v>
      </c>
      <c r="HE121" s="8">
        <f>IF(HE$56-Voorblad!$F$41&gt;Voorblad!$K$41,0,IF($U121=0,0,IF($U121&lt;1,1/$U121,IF((HE$56-Voorblad!$F$41)/$U121-SUM($EE121:HD121)=1,1,0))))</f>
        <v>0</v>
      </c>
      <c r="HF121" s="8">
        <f>IF(HF$56-Voorblad!$F$41&gt;Voorblad!$K$41,0,IF($U121=0,0,IF($U121&lt;1,1/$U121,IF((HF$56-Voorblad!$F$41)/$U121-SUM($EE121:HE121)=1,1,0))))</f>
        <v>0</v>
      </c>
      <c r="HG121" s="8">
        <f>IF(HG$56-Voorblad!$F$41&gt;Voorblad!$K$41,0,IF($U121=0,0,IF($U121&lt;1,1/$U121,IF((HG$56-Voorblad!$F$41)/$U121-SUM($EE121:HF121)=1,1,0))))</f>
        <v>0</v>
      </c>
      <c r="HH121" s="8">
        <f>IF(HH$56-Voorblad!$F$41&gt;Voorblad!$K$41,0,IF($U121=0,0,IF($U121&lt;1,1/$U121,IF((HH$56-Voorblad!$F$41)/$U121-SUM($EE121:HG121)=1,1,0))))</f>
        <v>0</v>
      </c>
      <c r="HI121" s="8">
        <f>IF(HI$56-Voorblad!$F$41&gt;Voorblad!$K$41,0,IF($U121=0,0,IF($U121&lt;1,1/$U121,IF((HI$56-Voorblad!$F$41)/$U121-SUM($EE121:HH121)=1,1,0))))</f>
        <v>0</v>
      </c>
      <c r="HJ121" s="8">
        <f>IF(HJ$56-Voorblad!$F$41&gt;Voorblad!$K$41,0,IF($U121=0,0,IF($U121&lt;1,1/$U121,IF((HJ$56-Voorblad!$F$41)/$U121-SUM($EE121:HI121)=1,1,0))))</f>
        <v>0</v>
      </c>
      <c r="HK121" s="8">
        <f>IF(HK$56-Voorblad!$F$41&gt;Voorblad!$K$41,0,IF($U121=0,0,IF($U121&lt;1,1/$U121,IF((HK$56-Voorblad!$F$41)/$U121-SUM($EE121:HJ121)=1,1,0))))</f>
        <v>0</v>
      </c>
      <c r="HL121" s="8">
        <f>IF(HL$56-Voorblad!$F$41&gt;Voorblad!$K$41,0,IF($U121=0,0,IF($U121&lt;1,1/$U121,IF((HL$56-Voorblad!$F$41)/$U121-SUM($EE121:HK121)=1,1,0))))</f>
        <v>0</v>
      </c>
      <c r="HM121" s="8">
        <f>IF(HM$56-Voorblad!$F$41&gt;Voorblad!$K$41,0,IF($U121=0,0,IF($U121&lt;1,1/$U121,IF((HM$56-Voorblad!$F$41)/$U121-SUM($EE121:HL121)=1,1,0))))</f>
        <v>0</v>
      </c>
      <c r="HN121" s="8">
        <f>IF(HN$56-Voorblad!$F$41&gt;Voorblad!$K$41,0,IF($U121=0,0,IF($U121&lt;1,1/$U121,IF((HN$56-Voorblad!$F$41)/$U121-SUM($EE121:HM121)=1,1,0))))</f>
        <v>0</v>
      </c>
      <c r="HO121" s="8">
        <f>IF(HO$56-Voorblad!$F$41&gt;Voorblad!$K$41,0,IF($U121=0,0,IF($U121&lt;1,1/$U121,IF((HO$56-Voorblad!$F$41)/$U121-SUM($EE121:HN121)=1,1,0))))</f>
        <v>0</v>
      </c>
      <c r="HP121" s="8">
        <f>IF(HP$56-Voorblad!$F$41&gt;Voorblad!$K$41,0,IF($U121=0,0,IF($U121&lt;1,1/$U121,IF((HP$56-Voorblad!$F$41)/$U121-SUM($EE121:HO121)=1,1,0))))</f>
        <v>0</v>
      </c>
      <c r="HQ121" s="8">
        <f>IF(HQ$56-Voorblad!$F$41&gt;Voorblad!$K$41,0,IF($U121=0,0,IF($U121&lt;1,1/$U121,IF((HQ$56-Voorblad!$F$41)/$U121-SUM($EE121:HP121)=1,1,0))))</f>
        <v>0</v>
      </c>
      <c r="HR121" s="8">
        <f>IF(HR$56-Voorblad!$F$41&gt;Voorblad!$K$41,0,IF($U121=0,0,IF($U121&lt;1,1/$U121,IF((HR$56-Voorblad!$F$41)/$U121-SUM($EE121:HQ121)=1,1,0))))</f>
        <v>0</v>
      </c>
      <c r="HS121" s="8">
        <f>IF(HS$56-Voorblad!$F$41&gt;Voorblad!$K$41,0,IF($U121=0,0,IF($U121&lt;1,1/$U121,IF((HS$56-Voorblad!$F$41)/$U121-SUM($EE121:HR121)=1,1,0))))</f>
        <v>0</v>
      </c>
      <c r="HT121" s="8">
        <f>IF(HT$56-Voorblad!$F$41&gt;Voorblad!$K$41,0,IF($U121=0,0,IF($U121&lt;1,1/$U121,IF((HT$56-Voorblad!$F$41)/$U121-SUM($EE121:HS121)=1,1,0))))</f>
        <v>0</v>
      </c>
      <c r="HU121" s="8">
        <f>IF(HU$56-Voorblad!$F$41&gt;Voorblad!$K$41,0,IF($U121=0,0,IF($U121&lt;1,1/$U121,IF((HU$56-Voorblad!$F$41)/$U121-SUM($EE121:HT121)=1,1,0))))</f>
        <v>0</v>
      </c>
      <c r="HV121" s="8">
        <f>IF(HV$56-Voorblad!$F$41&gt;Voorblad!$K$41,0,IF($U121=0,0,IF($U121&lt;1,1/$U121,IF((HV$56-Voorblad!$F$41)/$U121-SUM($EE121:HU121)=1,1,0))))</f>
        <v>0</v>
      </c>
      <c r="HW121" s="8">
        <f>IF(HW$56-Voorblad!$F$41&gt;Voorblad!$K$41,0,IF($U121=0,0,IF($U121&lt;1,1/$U121,IF((HW$56-Voorblad!$F$41)/$U121-SUM($EE121:HV121)=1,1,0))))</f>
        <v>0</v>
      </c>
      <c r="HX121" s="8">
        <f>IF(HX$56-Voorblad!$F$41&gt;Voorblad!$K$41,0,IF($U121=0,0,IF($U121&lt;1,1/$U121,IF((HX$56-Voorblad!$F$41)/$U121-SUM($EE121:HW121)=1,1,0))))</f>
        <v>0</v>
      </c>
      <c r="HY121" s="8">
        <f>IF(HY$56-Voorblad!$F$41&gt;Voorblad!$K$41,0,IF($U121=0,0,IF($U121&lt;1,1/$U121,IF((HY$56-Voorblad!$F$41)/$U121-SUM($EE121:HX121)=1,1,0))))</f>
        <v>0</v>
      </c>
      <c r="HZ121" s="8">
        <f>IF(HZ$56-Voorblad!$F$41&gt;Voorblad!$K$41,0,IF($U121=0,0,IF($U121&lt;1,1/$U121,IF((HZ$56-Voorblad!$F$41)/$U121-SUM($EE121:HY121)=1,1,0))))</f>
        <v>0</v>
      </c>
      <c r="IA121" s="8">
        <f>IF(IA$56-Voorblad!$F$41&gt;Voorblad!$K$41,0,IF($U121=0,0,IF($U121&lt;1,1/$U121,IF((IA$56-Voorblad!$F$41)/$U121-SUM($EE121:HZ121)=1,1,0))))</f>
        <v>0</v>
      </c>
      <c r="IB121" s="8">
        <f>IF(IB$56-Voorblad!$F$41&gt;Voorblad!$K$41,0,IF($U121=0,0,IF($U121&lt;1,1/$U121,IF((IB$56-Voorblad!$F$41)/$U121-SUM($EE121:IA121)=1,1,0))))</f>
        <v>0</v>
      </c>
    </row>
    <row r="122" spans="2:236" ht="12" customHeight="1" outlineLevel="1" x14ac:dyDescent="0.25">
      <c r="B122" s="1">
        <v>3</v>
      </c>
      <c r="F122" s="1" t="s">
        <v>23</v>
      </c>
      <c r="I122" s="1" t="s">
        <v>277</v>
      </c>
      <c r="K122" s="14" t="s">
        <v>201</v>
      </c>
      <c r="L122" s="14"/>
      <c r="M122" s="14"/>
      <c r="O122" s="1" t="s">
        <v>178</v>
      </c>
      <c r="P122" s="1" t="s">
        <v>181</v>
      </c>
      <c r="Q122" s="83">
        <f>2*15.9</f>
        <v>31.8</v>
      </c>
      <c r="R122" s="1" t="s">
        <v>34</v>
      </c>
      <c r="S122" s="14">
        <f>$H$20*100</f>
        <v>177</v>
      </c>
      <c r="T122" s="9">
        <f t="shared" si="20"/>
        <v>5628.6</v>
      </c>
      <c r="U122" s="14">
        <v>15</v>
      </c>
      <c r="V122" s="14"/>
      <c r="Y122" s="9">
        <f t="shared" si="23"/>
        <v>9701.8277617988024</v>
      </c>
      <c r="Z122" s="82"/>
      <c r="AA122" s="82"/>
      <c r="AC122" s="9">
        <f>$Y122*(Voorblad!$K$44*(1+Voorblad!$K$44)^Voorblad!$K$41)/((1+Voorblad!$K$44)^Voorblad!$K$41-1)</f>
        <v>290.43080591546885</v>
      </c>
      <c r="AE122" s="9">
        <f>EF122*($Q122*$S122)/(1+Voorblad!$K$44)^(AE$56-Voorblad!$F$41)</f>
        <v>0</v>
      </c>
      <c r="AF122" s="9">
        <f>EG122*($Q122*$S122)/(1+Voorblad!$K$44)^(AF$56-Voorblad!$F$41)</f>
        <v>0</v>
      </c>
      <c r="AG122" s="9">
        <f>EH122*($Q122*$S122)/(1+Voorblad!$K$44)^(AG$56-Voorblad!$F$41)</f>
        <v>0</v>
      </c>
      <c r="AH122" s="9">
        <f>EI122*($Q122*$S122)/(1+Voorblad!$K$44)^(AH$56-Voorblad!$F$41)</f>
        <v>0</v>
      </c>
      <c r="AI122" s="9">
        <f>EJ122*($Q122*$S122)/(1+Voorblad!$K$44)^(AI$56-Voorblad!$F$41)</f>
        <v>0</v>
      </c>
      <c r="AJ122" s="9">
        <f>EK122*($Q122*$S122)/(1+Voorblad!$K$44)^(AJ$56-Voorblad!$F$41)</f>
        <v>0</v>
      </c>
      <c r="AK122" s="9">
        <f>EL122*($Q122*$S122)/(1+Voorblad!$K$44)^(AK$56-Voorblad!$F$41)</f>
        <v>0</v>
      </c>
      <c r="AL122" s="9">
        <f>EM122*($Q122*$S122)/(1+Voorblad!$K$44)^(AL$56-Voorblad!$F$41)</f>
        <v>0</v>
      </c>
      <c r="AM122" s="9">
        <f>EN122*($Q122*$S122)/(1+Voorblad!$K$44)^(AM$56-Voorblad!$F$41)</f>
        <v>0</v>
      </c>
      <c r="AN122" s="9">
        <f>EO122*($Q122*$S122)/(1+Voorblad!$K$44)^(AN$56-Voorblad!$F$41)</f>
        <v>0</v>
      </c>
      <c r="AO122" s="9">
        <f>EP122*($Q122*$S122)/(1+Voorblad!$K$44)^(AO$56-Voorblad!$F$41)</f>
        <v>0</v>
      </c>
      <c r="AP122" s="9">
        <f>EQ122*($Q122*$S122)/(1+Voorblad!$K$44)^(AP$56-Voorblad!$F$41)</f>
        <v>0</v>
      </c>
      <c r="AQ122" s="9">
        <f>ER122*($Q122*$S122)/(1+Voorblad!$K$44)^(AQ$56-Voorblad!$F$41)</f>
        <v>0</v>
      </c>
      <c r="AR122" s="9">
        <f>ES122*($Q122*$S122)/(1+Voorblad!$K$44)^(AR$56-Voorblad!$F$41)</f>
        <v>0</v>
      </c>
      <c r="AS122" s="9">
        <f>ET122*($Q122*$S122)/(1+Voorblad!$K$44)^(AS$56-Voorblad!$F$41)</f>
        <v>0</v>
      </c>
      <c r="AT122" s="9">
        <f>EU122*($Q122*$S122)/(1+Voorblad!$K$44)^(AT$56-Voorblad!$F$41)</f>
        <v>3886.3544332239157</v>
      </c>
      <c r="AU122" s="9">
        <f>EV122*($Q122*$S122)/(1+Voorblad!$K$44)^(AU$56-Voorblad!$F$41)</f>
        <v>0</v>
      </c>
      <c r="AV122" s="9">
        <f>EW122*($Q122*$S122)/(1+Voorblad!$K$44)^(AV$56-Voorblad!$F$41)</f>
        <v>0</v>
      </c>
      <c r="AW122" s="9">
        <f>EX122*($Q122*$S122)/(1+Voorblad!$K$44)^(AW$56-Voorblad!$F$41)</f>
        <v>0</v>
      </c>
      <c r="AX122" s="9">
        <f>EY122*($Q122*$S122)/(1+Voorblad!$K$44)^(AX$56-Voorblad!$F$41)</f>
        <v>0</v>
      </c>
      <c r="AY122" s="9">
        <f>EZ122*($Q122*$S122)/(1+Voorblad!$K$44)^(AY$56-Voorblad!$F$41)</f>
        <v>0</v>
      </c>
      <c r="AZ122" s="9">
        <f>FA122*($Q122*$S122)/(1+Voorblad!$K$44)^(AZ$56-Voorblad!$F$41)</f>
        <v>0</v>
      </c>
      <c r="BA122" s="9">
        <f>FB122*($Q122*$S122)/(1+Voorblad!$K$44)^(BA$56-Voorblad!$F$41)</f>
        <v>0</v>
      </c>
      <c r="BB122" s="9">
        <f>FC122*($Q122*$S122)/(1+Voorblad!$K$44)^(BB$56-Voorblad!$F$41)</f>
        <v>0</v>
      </c>
      <c r="BC122" s="9">
        <f>FD122*($Q122*$S122)/(1+Voorblad!$K$44)^(BC$56-Voorblad!$F$41)</f>
        <v>0</v>
      </c>
      <c r="BD122" s="9">
        <f>FE122*($Q122*$S122)/(1+Voorblad!$K$44)^(BD$56-Voorblad!$F$41)</f>
        <v>0</v>
      </c>
      <c r="BE122" s="9">
        <f>FF122*($Q122*$S122)/(1+Voorblad!$K$44)^(BE$56-Voorblad!$F$41)</f>
        <v>0</v>
      </c>
      <c r="BF122" s="9">
        <f>FG122*($Q122*$S122)/(1+Voorblad!$K$44)^(BF$56-Voorblad!$F$41)</f>
        <v>0</v>
      </c>
      <c r="BG122" s="9">
        <f>FH122*($Q122*$S122)/(1+Voorblad!$K$44)^(BG$56-Voorblad!$F$41)</f>
        <v>0</v>
      </c>
      <c r="BH122" s="9">
        <f>FI122*($Q122*$S122)/(1+Voorblad!$K$44)^(BH$56-Voorblad!$F$41)</f>
        <v>0</v>
      </c>
      <c r="BI122" s="9">
        <f>FJ122*($Q122*$S122)/(1+Voorblad!$K$44)^(BI$56-Voorblad!$F$41)</f>
        <v>2683.3938778096126</v>
      </c>
      <c r="BJ122" s="9">
        <f>FK122*($Q122*$S122)/(1+Voorblad!$K$44)^(BJ$56-Voorblad!$F$41)</f>
        <v>0</v>
      </c>
      <c r="BK122" s="9">
        <f>FL122*($Q122*$S122)/(1+Voorblad!$K$44)^(BK$56-Voorblad!$F$41)</f>
        <v>0</v>
      </c>
      <c r="BL122" s="9">
        <f>FM122*($Q122*$S122)/(1+Voorblad!$K$44)^(BL$56-Voorblad!$F$41)</f>
        <v>0</v>
      </c>
      <c r="BM122" s="9">
        <f>FN122*($Q122*$S122)/(1+Voorblad!$K$44)^(BM$56-Voorblad!$F$41)</f>
        <v>0</v>
      </c>
      <c r="BN122" s="9">
        <f>FO122*($Q122*$S122)/(1+Voorblad!$K$44)^(BN$56-Voorblad!$F$41)</f>
        <v>0</v>
      </c>
      <c r="BO122" s="9">
        <f>FP122*($Q122*$S122)/(1+Voorblad!$K$44)^(BO$56-Voorblad!$F$41)</f>
        <v>0</v>
      </c>
      <c r="BP122" s="9">
        <f>FQ122*($Q122*$S122)/(1+Voorblad!$K$44)^(BP$56-Voorblad!$F$41)</f>
        <v>0</v>
      </c>
      <c r="BQ122" s="9">
        <f>FR122*($Q122*$S122)/(1+Voorblad!$K$44)^(BQ$56-Voorblad!$F$41)</f>
        <v>0</v>
      </c>
      <c r="BR122" s="9">
        <f>FS122*($Q122*$S122)/(1+Voorblad!$K$44)^(BR$56-Voorblad!$F$41)</f>
        <v>0</v>
      </c>
      <c r="BS122" s="9">
        <f>FT122*($Q122*$S122)/(1+Voorblad!$K$44)^(BS$56-Voorblad!$F$41)</f>
        <v>0</v>
      </c>
      <c r="BT122" s="9">
        <f>FU122*($Q122*$S122)/(1+Voorblad!$K$44)^(BT$56-Voorblad!$F$41)</f>
        <v>0</v>
      </c>
      <c r="BU122" s="9">
        <f>FV122*($Q122*$S122)/(1+Voorblad!$K$44)^(BU$56-Voorblad!$F$41)</f>
        <v>0</v>
      </c>
      <c r="BV122" s="9">
        <f>FW122*($Q122*$S122)/(1+Voorblad!$K$44)^(BV$56-Voorblad!$F$41)</f>
        <v>0</v>
      </c>
      <c r="BW122" s="9">
        <f>FX122*($Q122*$S122)/(1+Voorblad!$K$44)^(BW$56-Voorblad!$F$41)</f>
        <v>0</v>
      </c>
      <c r="BX122" s="9">
        <f>FY122*($Q122*$S122)/(1+Voorblad!$K$44)^(BX$56-Voorblad!$F$41)</f>
        <v>1852.7910480601395</v>
      </c>
      <c r="BY122" s="9">
        <f>FZ122*($Q122*$S122)/(1+Voorblad!$K$44)^(BY$56-Voorblad!$F$41)</f>
        <v>0</v>
      </c>
      <c r="BZ122" s="9">
        <f>GA122*($Q122*$S122)/(1+Voorblad!$K$44)^(BZ$56-Voorblad!$F$41)</f>
        <v>0</v>
      </c>
      <c r="CA122" s="9">
        <f>GB122*($Q122*$S122)/(1+Voorblad!$K$44)^(CA$56-Voorblad!$F$41)</f>
        <v>0</v>
      </c>
      <c r="CB122" s="9">
        <f>GC122*($Q122*$S122)/(1+Voorblad!$K$44)^(CB$56-Voorblad!$F$41)</f>
        <v>0</v>
      </c>
      <c r="CC122" s="9">
        <f>GD122*($Q122*$S122)/(1+Voorblad!$K$44)^(CC$56-Voorblad!$F$41)</f>
        <v>0</v>
      </c>
      <c r="CD122" s="9">
        <f>GE122*($Q122*$S122)/(1+Voorblad!$K$44)^(CD$56-Voorblad!$F$41)</f>
        <v>0</v>
      </c>
      <c r="CE122" s="9">
        <f>GF122*($Q122*$S122)/(1+Voorblad!$K$44)^(CE$56-Voorblad!$F$41)</f>
        <v>0</v>
      </c>
      <c r="CF122" s="9">
        <f>GG122*($Q122*$S122)/(1+Voorblad!$K$44)^(CF$56-Voorblad!$F$41)</f>
        <v>0</v>
      </c>
      <c r="CG122" s="9">
        <f>GH122*($Q122*$S122)/(1+Voorblad!$K$44)^(CG$56-Voorblad!$F$41)</f>
        <v>0</v>
      </c>
      <c r="CH122" s="9">
        <f>GI122*($Q122*$S122)/(1+Voorblad!$K$44)^(CH$56-Voorblad!$F$41)</f>
        <v>0</v>
      </c>
      <c r="CI122" s="9">
        <f>GJ122*($Q122*$S122)/(1+Voorblad!$K$44)^(CI$56-Voorblad!$F$41)</f>
        <v>0</v>
      </c>
      <c r="CJ122" s="9">
        <f>GK122*($Q122*$S122)/(1+Voorblad!$K$44)^(CJ$56-Voorblad!$F$41)</f>
        <v>0</v>
      </c>
      <c r="CK122" s="9">
        <f>GL122*($Q122*$S122)/(1+Voorblad!$K$44)^(CK$56-Voorblad!$F$41)</f>
        <v>0</v>
      </c>
      <c r="CL122" s="9">
        <f>GM122*($Q122*$S122)/(1+Voorblad!$K$44)^(CL$56-Voorblad!$F$41)</f>
        <v>0</v>
      </c>
      <c r="CM122" s="9">
        <f>GN122*($Q122*$S122)/(1+Voorblad!$K$44)^(CM$56-Voorblad!$F$41)</f>
        <v>1279.2884027051323</v>
      </c>
      <c r="CN122" s="9">
        <f>GO122*($Q122*$S122)/(1+Voorblad!$K$44)^(CN$56-Voorblad!$F$41)</f>
        <v>0</v>
      </c>
      <c r="CO122" s="9">
        <f>GP122*($Q122*$S122)/(1+Voorblad!$K$44)^(CO$56-Voorblad!$F$41)</f>
        <v>0</v>
      </c>
      <c r="CP122" s="9">
        <f>GQ122*($Q122*$S122)/(1+Voorblad!$K$44)^(CP$56-Voorblad!$F$41)</f>
        <v>0</v>
      </c>
      <c r="CQ122" s="9">
        <f>GR122*($Q122*$S122)/(1+Voorblad!$K$44)^(CQ$56-Voorblad!$F$41)</f>
        <v>0</v>
      </c>
      <c r="CR122" s="9">
        <f>GS122*($Q122*$S122)/(1+Voorblad!$K$44)^(CR$56-Voorblad!$F$41)</f>
        <v>0</v>
      </c>
      <c r="CS122" s="9">
        <f>GT122*($Q122*$S122)/(1+Voorblad!$K$44)^(CS$56-Voorblad!$F$41)</f>
        <v>0</v>
      </c>
      <c r="CT122" s="9">
        <f>GU122*($Q122*$S122)/(1+Voorblad!$K$44)^(CT$56-Voorblad!$F$41)</f>
        <v>0</v>
      </c>
      <c r="CU122" s="9">
        <f>GV122*($Q122*$S122)/(1+Voorblad!$K$44)^(CU$56-Voorblad!$F$41)</f>
        <v>0</v>
      </c>
      <c r="CV122" s="9">
        <f>GW122*($Q122*$S122)/(1+Voorblad!$K$44)^(CV$56-Voorblad!$F$41)</f>
        <v>0</v>
      </c>
      <c r="CW122" s="9">
        <f>GX122*($Q122*$S122)/(1+Voorblad!$K$44)^(CW$56-Voorblad!$F$41)</f>
        <v>0</v>
      </c>
      <c r="CX122" s="9">
        <f>GY122*($Q122*$S122)/(1+Voorblad!$K$44)^(CX$56-Voorblad!$F$41)</f>
        <v>0</v>
      </c>
      <c r="CY122" s="9">
        <f>GZ122*($Q122*$S122)/(1+Voorblad!$K$44)^(CY$56-Voorblad!$F$41)</f>
        <v>0</v>
      </c>
      <c r="CZ122" s="9">
        <f>HA122*($Q122*$S122)/(1+Voorblad!$K$44)^(CZ$56-Voorblad!$F$41)</f>
        <v>0</v>
      </c>
      <c r="DA122" s="9">
        <f>HB122*($Q122*$S122)/(1+Voorblad!$K$44)^(DA$56-Voorblad!$F$41)</f>
        <v>0</v>
      </c>
      <c r="DB122" s="9">
        <f>HC122*($Q122*$S122)/(1+Voorblad!$K$44)^(DB$56-Voorblad!$F$41)</f>
        <v>0</v>
      </c>
      <c r="DC122" s="9">
        <f>HD122*($Q122*$S122)/(1+Voorblad!$K$44)^(DC$56-Voorblad!$F$41)</f>
        <v>0</v>
      </c>
      <c r="DD122" s="9">
        <f>HE122*($Q122*$S122)/(1+Voorblad!$K$44)^(DD$56-Voorblad!$F$41)</f>
        <v>0</v>
      </c>
      <c r="DE122" s="9">
        <f>HF122*($Q122*$S122)/(1+Voorblad!$K$44)^(DE$56-Voorblad!$F$41)</f>
        <v>0</v>
      </c>
      <c r="DF122" s="9">
        <f>HG122*($Q122*$S122)/(1+Voorblad!$K$44)^(DF$56-Voorblad!$F$41)</f>
        <v>0</v>
      </c>
      <c r="DG122" s="9">
        <f>HH122*($Q122*$S122)/(1+Voorblad!$K$44)^(DG$56-Voorblad!$F$41)</f>
        <v>0</v>
      </c>
      <c r="DH122" s="9">
        <f>HI122*($Q122*$S122)/(1+Voorblad!$K$44)^(DH$56-Voorblad!$F$41)</f>
        <v>0</v>
      </c>
      <c r="DI122" s="9">
        <f>HJ122*($Q122*$S122)/(1+Voorblad!$K$44)^(DI$56-Voorblad!$F$41)</f>
        <v>0</v>
      </c>
      <c r="DJ122" s="9">
        <f>HK122*($Q122*$S122)/(1+Voorblad!$K$44)^(DJ$56-Voorblad!$F$41)</f>
        <v>0</v>
      </c>
      <c r="DK122" s="9">
        <f>HL122*($Q122*$S122)/(1+Voorblad!$K$44)^(DK$56-Voorblad!$F$41)</f>
        <v>0</v>
      </c>
      <c r="DL122" s="9">
        <f>HM122*($Q122*$S122)/(1+Voorblad!$K$44)^(DL$56-Voorblad!$F$41)</f>
        <v>0</v>
      </c>
      <c r="DM122" s="9">
        <f>HN122*($Q122*$S122)/(1+Voorblad!$K$44)^(DM$56-Voorblad!$F$41)</f>
        <v>0</v>
      </c>
      <c r="DN122" s="9">
        <f>HO122*($Q122*$S122)/(1+Voorblad!$K$44)^(DN$56-Voorblad!$F$41)</f>
        <v>0</v>
      </c>
      <c r="DO122" s="9">
        <f>HP122*($Q122*$S122)/(1+Voorblad!$K$44)^(DO$56-Voorblad!$F$41)</f>
        <v>0</v>
      </c>
      <c r="DP122" s="9">
        <f>HQ122*($Q122*$S122)/(1+Voorblad!$K$44)^(DP$56-Voorblad!$F$41)</f>
        <v>0</v>
      </c>
      <c r="DQ122" s="9">
        <f>HR122*($Q122*$S122)/(1+Voorblad!$K$44)^(DQ$56-Voorblad!$F$41)</f>
        <v>0</v>
      </c>
      <c r="DR122" s="9">
        <f>HS122*($Q122*$S122)/(1+Voorblad!$K$44)^(DR$56-Voorblad!$F$41)</f>
        <v>0</v>
      </c>
      <c r="DS122" s="9">
        <f>HT122*($Q122*$S122)/(1+Voorblad!$K$44)^(DS$56-Voorblad!$F$41)</f>
        <v>0</v>
      </c>
      <c r="DT122" s="9">
        <f>HU122*($Q122*$S122)/(1+Voorblad!$K$44)^(DT$56-Voorblad!$F$41)</f>
        <v>0</v>
      </c>
      <c r="DU122" s="9">
        <f>HV122*($Q122*$S122)/(1+Voorblad!$K$44)^(DU$56-Voorblad!$F$41)</f>
        <v>0</v>
      </c>
      <c r="DV122" s="9">
        <f>HW122*($Q122*$S122)/(1+Voorblad!$K$44)^(DV$56-Voorblad!$F$41)</f>
        <v>0</v>
      </c>
      <c r="DW122" s="9">
        <f>HX122*($Q122*$S122)/(1+Voorblad!$K$44)^(DW$56-Voorblad!$F$41)</f>
        <v>0</v>
      </c>
      <c r="DX122" s="9">
        <f>HY122*($Q122*$S122)/(1+Voorblad!$K$44)^(DX$56-Voorblad!$F$41)</f>
        <v>0</v>
      </c>
      <c r="DY122" s="9">
        <f>HZ122*($Q122*$S122)/(1+Voorblad!$K$44)^(DY$56-Voorblad!$F$41)</f>
        <v>0</v>
      </c>
      <c r="DZ122" s="9">
        <f>IA122*($Q122*$S122)/(1+Voorblad!$K$44)^(DZ$56-Voorblad!$F$41)</f>
        <v>0</v>
      </c>
      <c r="EA122" s="9">
        <f>IB122*($Q122*$S122)/(1+Voorblad!$K$44)^(EA$56-Voorblad!$F$41)</f>
        <v>0</v>
      </c>
      <c r="EB122" s="9">
        <f>IC122*($Q122*$S122)/(1+Voorblad!$K$44)^(EB$56-Voorblad!$F$41)</f>
        <v>0</v>
      </c>
      <c r="EE122" s="8">
        <v>0</v>
      </c>
      <c r="EF122" s="8">
        <f>IF(EF$56-Voorblad!$F$41&gt;Voorblad!$K$41,0,IF($U122=0,0,IF($U122&lt;1,1/$U122,IF((EF$56-Voorblad!$F$41)/$U122-SUM($EE122:EE122)=1,1,0))))</f>
        <v>0</v>
      </c>
      <c r="EG122" s="8">
        <f>IF(EG$56-Voorblad!$F$41&gt;Voorblad!$K$41,0,IF($U122=0,0,IF($U122&lt;1,1/$U122,IF((EG$56-Voorblad!$F$41)/$U122-SUM($EE122:EF122)=1,1,0))))</f>
        <v>0</v>
      </c>
      <c r="EH122" s="8">
        <f>IF(EH$56-Voorblad!$F$41&gt;Voorblad!$K$41,0,IF($U122=0,0,IF($U122&lt;1,1/$U122,IF((EH$56-Voorblad!$F$41)/$U122-SUM($EE122:EG122)=1,1,0))))</f>
        <v>0</v>
      </c>
      <c r="EI122" s="8">
        <f>IF(EI$56-Voorblad!$F$41&gt;Voorblad!$K$41,0,IF($U122=0,0,IF($U122&lt;1,1/$U122,IF((EI$56-Voorblad!$F$41)/$U122-SUM($EE122:EH122)=1,1,0))))</f>
        <v>0</v>
      </c>
      <c r="EJ122" s="8">
        <f>IF(EJ$56-Voorblad!$F$41&gt;Voorblad!$K$41,0,IF($U122=0,0,IF($U122&lt;1,1/$U122,IF((EJ$56-Voorblad!$F$41)/$U122-SUM($EE122:EI122)=1,1,0))))</f>
        <v>0</v>
      </c>
      <c r="EK122" s="8">
        <f>IF(EK$56-Voorblad!$F$41&gt;Voorblad!$K$41,0,IF($U122=0,0,IF($U122&lt;1,1/$U122,IF((EK$56-Voorblad!$F$41)/$U122-SUM($EE122:EJ122)=1,1,0))))</f>
        <v>0</v>
      </c>
      <c r="EL122" s="8">
        <f>IF(EL$56-Voorblad!$F$41&gt;Voorblad!$K$41,0,IF($U122=0,0,IF($U122&lt;1,1/$U122,IF((EL$56-Voorblad!$F$41)/$U122-SUM($EE122:EK122)=1,1,0))))</f>
        <v>0</v>
      </c>
      <c r="EM122" s="8">
        <f>IF(EM$56-Voorblad!$F$41&gt;Voorblad!$K$41,0,IF($U122=0,0,IF($U122&lt;1,1/$U122,IF((EM$56-Voorblad!$F$41)/$U122-SUM($EE122:EL122)=1,1,0))))</f>
        <v>0</v>
      </c>
      <c r="EN122" s="8">
        <f>IF(EN$56-Voorblad!$F$41&gt;Voorblad!$K$41,0,IF($U122=0,0,IF($U122&lt;1,1/$U122,IF((EN$56-Voorblad!$F$41)/$U122-SUM($EE122:EM122)=1,1,0))))</f>
        <v>0</v>
      </c>
      <c r="EO122" s="8">
        <f>IF(EO$56-Voorblad!$F$41&gt;Voorblad!$K$41,0,IF($U122=0,0,IF($U122&lt;1,1/$U122,IF((EO$56-Voorblad!$F$41)/$U122-SUM($EE122:EN122)=1,1,0))))</f>
        <v>0</v>
      </c>
      <c r="EP122" s="8">
        <f>IF(EP$56-Voorblad!$F$41&gt;Voorblad!$K$41,0,IF($U122=0,0,IF($U122&lt;1,1/$U122,IF((EP$56-Voorblad!$F$41)/$U122-SUM($EE122:EO122)=1,1,0))))</f>
        <v>0</v>
      </c>
      <c r="EQ122" s="8">
        <f>IF(EQ$56-Voorblad!$F$41&gt;Voorblad!$K$41,0,IF($U122=0,0,IF($U122&lt;1,1/$U122,IF((EQ$56-Voorblad!$F$41)/$U122-SUM($EE122:EP122)=1,1,0))))</f>
        <v>0</v>
      </c>
      <c r="ER122" s="8">
        <f>IF(ER$56-Voorblad!$F$41&gt;Voorblad!$K$41,0,IF($U122=0,0,IF($U122&lt;1,1/$U122,IF((ER$56-Voorblad!$F$41)/$U122-SUM($EE122:EQ122)=1,1,0))))</f>
        <v>0</v>
      </c>
      <c r="ES122" s="8">
        <f>IF(ES$56-Voorblad!$F$41&gt;Voorblad!$K$41,0,IF($U122=0,0,IF($U122&lt;1,1/$U122,IF((ES$56-Voorblad!$F$41)/$U122-SUM($EE122:ER122)=1,1,0))))</f>
        <v>0</v>
      </c>
      <c r="ET122" s="8">
        <f>IF(ET$56-Voorblad!$F$41&gt;Voorblad!$K$41,0,IF($U122=0,0,IF($U122&lt;1,1/$U122,IF((ET$56-Voorblad!$F$41)/$U122-SUM($EE122:ES122)=1,1,0))))</f>
        <v>0</v>
      </c>
      <c r="EU122" s="8">
        <f>IF(EU$56-Voorblad!$F$41&gt;Voorblad!$K$41,0,IF($U122=0,0,IF($U122&lt;1,1/$U122,IF((EU$56-Voorblad!$F$41)/$U122-SUM($EE122:ET122)=1,1,0))))</f>
        <v>1</v>
      </c>
      <c r="EV122" s="8">
        <f>IF(EV$56-Voorblad!$F$41&gt;Voorblad!$K$41,0,IF($U122=0,0,IF($U122&lt;1,1/$U122,IF((EV$56-Voorblad!$F$41)/$U122-SUM($EE122:EU122)=1,1,0))))</f>
        <v>0</v>
      </c>
      <c r="EW122" s="8">
        <f>IF(EW$56-Voorblad!$F$41&gt;Voorblad!$K$41,0,IF($U122=0,0,IF($U122&lt;1,1/$U122,IF((EW$56-Voorblad!$F$41)/$U122-SUM($EE122:EV122)=1,1,0))))</f>
        <v>0</v>
      </c>
      <c r="EX122" s="8">
        <f>IF(EX$56-Voorblad!$F$41&gt;Voorblad!$K$41,0,IF($U122=0,0,IF($U122&lt;1,1/$U122,IF((EX$56-Voorblad!$F$41)/$U122-SUM($EE122:EW122)=1,1,0))))</f>
        <v>0</v>
      </c>
      <c r="EY122" s="8">
        <f>IF(EY$56-Voorblad!$F$41&gt;Voorblad!$K$41,0,IF($U122=0,0,IF($U122&lt;1,1/$U122,IF((EY$56-Voorblad!$F$41)/$U122-SUM($EE122:EX122)=1,1,0))))</f>
        <v>0</v>
      </c>
      <c r="EZ122" s="8">
        <f>IF(EZ$56-Voorblad!$F$41&gt;Voorblad!$K$41,0,IF($U122=0,0,IF($U122&lt;1,1/$U122,IF((EZ$56-Voorblad!$F$41)/$U122-SUM($EE122:EY122)=1,1,0))))</f>
        <v>0</v>
      </c>
      <c r="FA122" s="8">
        <f>IF(FA$56-Voorblad!$F$41&gt;Voorblad!$K$41,0,IF($U122=0,0,IF($U122&lt;1,1/$U122,IF((FA$56-Voorblad!$F$41)/$U122-SUM($EE122:EZ122)=1,1,0))))</f>
        <v>0</v>
      </c>
      <c r="FB122" s="8">
        <f>IF(FB$56-Voorblad!$F$41&gt;Voorblad!$K$41,0,IF($U122=0,0,IF($U122&lt;1,1/$U122,IF((FB$56-Voorblad!$F$41)/$U122-SUM($EE122:FA122)=1,1,0))))</f>
        <v>0</v>
      </c>
      <c r="FC122" s="8">
        <f>IF(FC$56-Voorblad!$F$41&gt;Voorblad!$K$41,0,IF($U122=0,0,IF($U122&lt;1,1/$U122,IF((FC$56-Voorblad!$F$41)/$U122-SUM($EE122:FB122)=1,1,0))))</f>
        <v>0</v>
      </c>
      <c r="FD122" s="8">
        <f>IF(FD$56-Voorblad!$F$41&gt;Voorblad!$K$41,0,IF($U122=0,0,IF($U122&lt;1,1/$U122,IF((FD$56-Voorblad!$F$41)/$U122-SUM($EE122:FC122)=1,1,0))))</f>
        <v>0</v>
      </c>
      <c r="FE122" s="8">
        <f>IF(FE$56-Voorblad!$F$41&gt;Voorblad!$K$41,0,IF($U122=0,0,IF($U122&lt;1,1/$U122,IF((FE$56-Voorblad!$F$41)/$U122-SUM($EE122:FD122)=1,1,0))))</f>
        <v>0</v>
      </c>
      <c r="FF122" s="8">
        <f>IF(FF$56-Voorblad!$F$41&gt;Voorblad!$K$41,0,IF($U122=0,0,IF($U122&lt;1,1/$U122,IF((FF$56-Voorblad!$F$41)/$U122-SUM($EE122:FE122)=1,1,0))))</f>
        <v>0</v>
      </c>
      <c r="FG122" s="8">
        <f>IF(FG$56-Voorblad!$F$41&gt;Voorblad!$K$41,0,IF($U122=0,0,IF($U122&lt;1,1/$U122,IF((FG$56-Voorblad!$F$41)/$U122-SUM($EE122:FF122)=1,1,0))))</f>
        <v>0</v>
      </c>
      <c r="FH122" s="8">
        <f>IF(FH$56-Voorblad!$F$41&gt;Voorblad!$K$41,0,IF($U122=0,0,IF($U122&lt;1,1/$U122,IF((FH$56-Voorblad!$F$41)/$U122-SUM($EE122:FG122)=1,1,0))))</f>
        <v>0</v>
      </c>
      <c r="FI122" s="8">
        <f>IF(FI$56-Voorblad!$F$41&gt;Voorblad!$K$41,0,IF($U122=0,0,IF($U122&lt;1,1/$U122,IF((FI$56-Voorblad!$F$41)/$U122-SUM($EE122:FH122)=1,1,0))))</f>
        <v>0</v>
      </c>
      <c r="FJ122" s="8">
        <f>IF(FJ$56-Voorblad!$F$41&gt;Voorblad!$K$41,0,IF($U122=0,0,IF($U122&lt;1,1/$U122,IF((FJ$56-Voorblad!$F$41)/$U122-SUM($EE122:FI122)=1,1,0))))</f>
        <v>1</v>
      </c>
      <c r="FK122" s="8">
        <f>IF(FK$56-Voorblad!$F$41&gt;Voorblad!$K$41,0,IF($U122=0,0,IF($U122&lt;1,1/$U122,IF((FK$56-Voorblad!$F$41)/$U122-SUM($EE122:FJ122)=1,1,0))))</f>
        <v>0</v>
      </c>
      <c r="FL122" s="8">
        <f>IF(FL$56-Voorblad!$F$41&gt;Voorblad!$K$41,0,IF($U122=0,0,IF($U122&lt;1,1/$U122,IF((FL$56-Voorblad!$F$41)/$U122-SUM($EE122:FK122)=1,1,0))))</f>
        <v>0</v>
      </c>
      <c r="FM122" s="8">
        <f>IF(FM$56-Voorblad!$F$41&gt;Voorblad!$K$41,0,IF($U122=0,0,IF($U122&lt;1,1/$U122,IF((FM$56-Voorblad!$F$41)/$U122-SUM($EE122:FL122)=1,1,0))))</f>
        <v>0</v>
      </c>
      <c r="FN122" s="8">
        <f>IF(FN$56-Voorblad!$F$41&gt;Voorblad!$K$41,0,IF($U122=0,0,IF($U122&lt;1,1/$U122,IF((FN$56-Voorblad!$F$41)/$U122-SUM($EE122:FM122)=1,1,0))))</f>
        <v>0</v>
      </c>
      <c r="FO122" s="8">
        <f>IF(FO$56-Voorblad!$F$41&gt;Voorblad!$K$41,0,IF($U122=0,0,IF($U122&lt;1,1/$U122,IF((FO$56-Voorblad!$F$41)/$U122-SUM($EE122:FN122)=1,1,0))))</f>
        <v>0</v>
      </c>
      <c r="FP122" s="8">
        <f>IF(FP$56-Voorblad!$F$41&gt;Voorblad!$K$41,0,IF($U122=0,0,IF($U122&lt;1,1/$U122,IF((FP$56-Voorblad!$F$41)/$U122-SUM($EE122:FO122)=1,1,0))))</f>
        <v>0</v>
      </c>
      <c r="FQ122" s="8">
        <f>IF(FQ$56-Voorblad!$F$41&gt;Voorblad!$K$41,0,IF($U122=0,0,IF($U122&lt;1,1/$U122,IF((FQ$56-Voorblad!$F$41)/$U122-SUM($EE122:FP122)=1,1,0))))</f>
        <v>0</v>
      </c>
      <c r="FR122" s="8">
        <f>IF(FR$56-Voorblad!$F$41&gt;Voorblad!$K$41,0,IF($U122=0,0,IF($U122&lt;1,1/$U122,IF((FR$56-Voorblad!$F$41)/$U122-SUM($EE122:FQ122)=1,1,0))))</f>
        <v>0</v>
      </c>
      <c r="FS122" s="8">
        <f>IF(FS$56-Voorblad!$F$41&gt;Voorblad!$K$41,0,IF($U122=0,0,IF($U122&lt;1,1/$U122,IF((FS$56-Voorblad!$F$41)/$U122-SUM($EE122:FR122)=1,1,0))))</f>
        <v>0</v>
      </c>
      <c r="FT122" s="8">
        <f>IF(FT$56-Voorblad!$F$41&gt;Voorblad!$K$41,0,IF($U122=0,0,IF($U122&lt;1,1/$U122,IF((FT$56-Voorblad!$F$41)/$U122-SUM($EE122:FS122)=1,1,0))))</f>
        <v>0</v>
      </c>
      <c r="FU122" s="8">
        <f>IF(FU$56-Voorblad!$F$41&gt;Voorblad!$K$41,0,IF($U122=0,0,IF($U122&lt;1,1/$U122,IF((FU$56-Voorblad!$F$41)/$U122-SUM($EE122:FT122)=1,1,0))))</f>
        <v>0</v>
      </c>
      <c r="FV122" s="8">
        <f>IF(FV$56-Voorblad!$F$41&gt;Voorblad!$K$41,0,IF($U122=0,0,IF($U122&lt;1,1/$U122,IF((FV$56-Voorblad!$F$41)/$U122-SUM($EE122:FU122)=1,1,0))))</f>
        <v>0</v>
      </c>
      <c r="FW122" s="8">
        <f>IF(FW$56-Voorblad!$F$41&gt;Voorblad!$K$41,0,IF($U122=0,0,IF($U122&lt;1,1/$U122,IF((FW$56-Voorblad!$F$41)/$U122-SUM($EE122:FV122)=1,1,0))))</f>
        <v>0</v>
      </c>
      <c r="FX122" s="8">
        <f>IF(FX$56-Voorblad!$F$41&gt;Voorblad!$K$41,0,IF($U122=0,0,IF($U122&lt;1,1/$U122,IF((FX$56-Voorblad!$F$41)/$U122-SUM($EE122:FW122)=1,1,0))))</f>
        <v>0</v>
      </c>
      <c r="FY122" s="8">
        <f>IF(FY$56-Voorblad!$F$41&gt;Voorblad!$K$41,0,IF($U122=0,0,IF($U122&lt;1,1/$U122,IF((FY$56-Voorblad!$F$41)/$U122-SUM($EE122:FX122)=1,1,0))))</f>
        <v>1</v>
      </c>
      <c r="FZ122" s="8">
        <f>IF(FZ$56-Voorblad!$F$41&gt;Voorblad!$K$41,0,IF($U122=0,0,IF($U122&lt;1,1/$U122,IF((FZ$56-Voorblad!$F$41)/$U122-SUM($EE122:FY122)=1,1,0))))</f>
        <v>0</v>
      </c>
      <c r="GA122" s="8">
        <f>IF(GA$56-Voorblad!$F$41&gt;Voorblad!$K$41,0,IF($U122=0,0,IF($U122&lt;1,1/$U122,IF((GA$56-Voorblad!$F$41)/$U122-SUM($EE122:FZ122)=1,1,0))))</f>
        <v>0</v>
      </c>
      <c r="GB122" s="8">
        <f>IF(GB$56-Voorblad!$F$41&gt;Voorblad!$K$41,0,IF($U122=0,0,IF($U122&lt;1,1/$U122,IF((GB$56-Voorblad!$F$41)/$U122-SUM($EE122:GA122)=1,1,0))))</f>
        <v>0</v>
      </c>
      <c r="GC122" s="8">
        <f>IF(GC$56-Voorblad!$F$41&gt;Voorblad!$K$41,0,IF($U122=0,0,IF($U122&lt;1,1/$U122,IF((GC$56-Voorblad!$F$41)/$U122-SUM($EE122:GB122)=1,1,0))))</f>
        <v>0</v>
      </c>
      <c r="GD122" s="8">
        <f>IF(GD$56-Voorblad!$F$41&gt;Voorblad!$K$41,0,IF($U122=0,0,IF($U122&lt;1,1/$U122,IF((GD$56-Voorblad!$F$41)/$U122-SUM($EE122:GC122)=1,1,0))))</f>
        <v>0</v>
      </c>
      <c r="GE122" s="8">
        <f>IF(GE$56-Voorblad!$F$41&gt;Voorblad!$K$41,0,IF($U122=0,0,IF($U122&lt;1,1/$U122,IF((GE$56-Voorblad!$F$41)/$U122-SUM($EE122:GD122)=1,1,0))))</f>
        <v>0</v>
      </c>
      <c r="GF122" s="8">
        <f>IF(GF$56-Voorblad!$F$41&gt;Voorblad!$K$41,0,IF($U122=0,0,IF($U122&lt;1,1/$U122,IF((GF$56-Voorblad!$F$41)/$U122-SUM($EE122:GE122)=1,1,0))))</f>
        <v>0</v>
      </c>
      <c r="GG122" s="8">
        <f>IF(GG$56-Voorblad!$F$41&gt;Voorblad!$K$41,0,IF($U122=0,0,IF($U122&lt;1,1/$U122,IF((GG$56-Voorblad!$F$41)/$U122-SUM($EE122:GF122)=1,1,0))))</f>
        <v>0</v>
      </c>
      <c r="GH122" s="8">
        <f>IF(GH$56-Voorblad!$F$41&gt;Voorblad!$K$41,0,IF($U122=0,0,IF($U122&lt;1,1/$U122,IF((GH$56-Voorblad!$F$41)/$U122-SUM($EE122:GG122)=1,1,0))))</f>
        <v>0</v>
      </c>
      <c r="GI122" s="8">
        <f>IF(GI$56-Voorblad!$F$41&gt;Voorblad!$K$41,0,IF($U122=0,0,IF($U122&lt;1,1/$U122,IF((GI$56-Voorblad!$F$41)/$U122-SUM($EE122:GH122)=1,1,0))))</f>
        <v>0</v>
      </c>
      <c r="GJ122" s="8">
        <f>IF(GJ$56-Voorblad!$F$41&gt;Voorblad!$K$41,0,IF($U122=0,0,IF($U122&lt;1,1/$U122,IF((GJ$56-Voorblad!$F$41)/$U122-SUM($EE122:GI122)=1,1,0))))</f>
        <v>0</v>
      </c>
      <c r="GK122" s="8">
        <f>IF(GK$56-Voorblad!$F$41&gt;Voorblad!$K$41,0,IF($U122=0,0,IF($U122&lt;1,1/$U122,IF((GK$56-Voorblad!$F$41)/$U122-SUM($EE122:GJ122)=1,1,0))))</f>
        <v>0</v>
      </c>
      <c r="GL122" s="8">
        <f>IF(GL$56-Voorblad!$F$41&gt;Voorblad!$K$41,0,IF($U122=0,0,IF($U122&lt;1,1/$U122,IF((GL$56-Voorblad!$F$41)/$U122-SUM($EE122:GK122)=1,1,0))))</f>
        <v>0</v>
      </c>
      <c r="GM122" s="8">
        <f>IF(GM$56-Voorblad!$F$41&gt;Voorblad!$K$41,0,IF($U122=0,0,IF($U122&lt;1,1/$U122,IF((GM$56-Voorblad!$F$41)/$U122-SUM($EE122:GL122)=1,1,0))))</f>
        <v>0</v>
      </c>
      <c r="GN122" s="8">
        <f>IF(GN$56-Voorblad!$F$41&gt;Voorblad!$K$41,0,IF($U122=0,0,IF($U122&lt;1,1/$U122,IF((GN$56-Voorblad!$F$41)/$U122-SUM($EE122:GM122)=1,1,0))))</f>
        <v>1</v>
      </c>
      <c r="GO122" s="8">
        <f>IF(GO$56-Voorblad!$F$41&gt;Voorblad!$K$41,0,IF($U122=0,0,IF($U122&lt;1,1/$U122,IF((GO$56-Voorblad!$F$41)/$U122-SUM($EE122:GN122)=1,1,0))))</f>
        <v>0</v>
      </c>
      <c r="GP122" s="8">
        <f>IF(GP$56-Voorblad!$F$41&gt;Voorblad!$K$41,0,IF($U122=0,0,IF($U122&lt;1,1/$U122,IF((GP$56-Voorblad!$F$41)/$U122-SUM($EE122:GO122)=1,1,0))))</f>
        <v>0</v>
      </c>
      <c r="GQ122" s="8">
        <f>IF(GQ$56-Voorblad!$F$41&gt;Voorblad!$K$41,0,IF($U122=0,0,IF($U122&lt;1,1/$U122,IF((GQ$56-Voorblad!$F$41)/$U122-SUM($EE122:GP122)=1,1,0))))</f>
        <v>0</v>
      </c>
      <c r="GR122" s="8">
        <f>IF(GR$56-Voorblad!$F$41&gt;Voorblad!$K$41,0,IF($U122=0,0,IF($U122&lt;1,1/$U122,IF((GR$56-Voorblad!$F$41)/$U122-SUM($EE122:GQ122)=1,1,0))))</f>
        <v>0</v>
      </c>
      <c r="GS122" s="8">
        <f>IF(GS$56-Voorblad!$F$41&gt;Voorblad!$K$41,0,IF($U122=0,0,IF($U122&lt;1,1/$U122,IF((GS$56-Voorblad!$F$41)/$U122-SUM($EE122:GR122)=1,1,0))))</f>
        <v>0</v>
      </c>
      <c r="GT122" s="8">
        <f>IF(GT$56-Voorblad!$F$41&gt;Voorblad!$K$41,0,IF($U122=0,0,IF($U122&lt;1,1/$U122,IF((GT$56-Voorblad!$F$41)/$U122-SUM($EE122:GS122)=1,1,0))))</f>
        <v>0</v>
      </c>
      <c r="GU122" s="8">
        <f>IF(GU$56-Voorblad!$F$41&gt;Voorblad!$K$41,0,IF($U122=0,0,IF($U122&lt;1,1/$U122,IF((GU$56-Voorblad!$F$41)/$U122-SUM($EE122:GT122)=1,1,0))))</f>
        <v>0</v>
      </c>
      <c r="GV122" s="8">
        <f>IF(GV$56-Voorblad!$F$41&gt;Voorblad!$K$41,0,IF($U122=0,0,IF($U122&lt;1,1/$U122,IF((GV$56-Voorblad!$F$41)/$U122-SUM($EE122:GU122)=1,1,0))))</f>
        <v>0</v>
      </c>
      <c r="GW122" s="8">
        <f>IF(GW$56-Voorblad!$F$41&gt;Voorblad!$K$41,0,IF($U122=0,0,IF($U122&lt;1,1/$U122,IF((GW$56-Voorblad!$F$41)/$U122-SUM($EE122:GV122)=1,1,0))))</f>
        <v>0</v>
      </c>
      <c r="GX122" s="8">
        <f>IF(GX$56-Voorblad!$F$41&gt;Voorblad!$K$41,0,IF($U122=0,0,IF($U122&lt;1,1/$U122,IF((GX$56-Voorblad!$F$41)/$U122-SUM($EE122:GW122)=1,1,0))))</f>
        <v>0</v>
      </c>
      <c r="GY122" s="8">
        <f>IF(GY$56-Voorblad!$F$41&gt;Voorblad!$K$41,0,IF($U122=0,0,IF($U122&lt;1,1/$U122,IF((GY$56-Voorblad!$F$41)/$U122-SUM($EE122:GX122)=1,1,0))))</f>
        <v>0</v>
      </c>
      <c r="GZ122" s="8">
        <f>IF(GZ$56-Voorblad!$F$41&gt;Voorblad!$K$41,0,IF($U122=0,0,IF($U122&lt;1,1/$U122,IF((GZ$56-Voorblad!$F$41)/$U122-SUM($EE122:GY122)=1,1,0))))</f>
        <v>0</v>
      </c>
      <c r="HA122" s="8">
        <f>IF(HA$56-Voorblad!$F$41&gt;Voorblad!$K$41,0,IF($U122=0,0,IF($U122&lt;1,1/$U122,IF((HA$56-Voorblad!$F$41)/$U122-SUM($EE122:GZ122)=1,1,0))))</f>
        <v>0</v>
      </c>
      <c r="HB122" s="8">
        <f>IF(HB$56-Voorblad!$F$41&gt;Voorblad!$K$41,0,IF($U122=0,0,IF($U122&lt;1,1/$U122,IF((HB$56-Voorblad!$F$41)/$U122-SUM($EE122:HA122)=1,1,0))))</f>
        <v>0</v>
      </c>
      <c r="HC122" s="8">
        <f>IF(HC$56-Voorblad!$F$41&gt;Voorblad!$K$41,0,IF($U122=0,0,IF($U122&lt;1,1/$U122,IF((HC$56-Voorblad!$F$41)/$U122-SUM($EE122:HB122)=1,1,0))))</f>
        <v>0</v>
      </c>
      <c r="HD122" s="8">
        <f>IF(HD$56-Voorblad!$F$41&gt;Voorblad!$K$41,0,IF($U122=0,0,IF($U122&lt;1,1/$U122,IF((HD$56-Voorblad!$F$41)/$U122-SUM($EE122:HC122)=1,1,0))))</f>
        <v>0</v>
      </c>
      <c r="HE122" s="8">
        <f>IF(HE$56-Voorblad!$F$41&gt;Voorblad!$K$41,0,IF($U122=0,0,IF($U122&lt;1,1/$U122,IF((HE$56-Voorblad!$F$41)/$U122-SUM($EE122:HD122)=1,1,0))))</f>
        <v>0</v>
      </c>
      <c r="HF122" s="8">
        <f>IF(HF$56-Voorblad!$F$41&gt;Voorblad!$K$41,0,IF($U122=0,0,IF($U122&lt;1,1/$U122,IF((HF$56-Voorblad!$F$41)/$U122-SUM($EE122:HE122)=1,1,0))))</f>
        <v>0</v>
      </c>
      <c r="HG122" s="8">
        <f>IF(HG$56-Voorblad!$F$41&gt;Voorblad!$K$41,0,IF($U122=0,0,IF($U122&lt;1,1/$U122,IF((HG$56-Voorblad!$F$41)/$U122-SUM($EE122:HF122)=1,1,0))))</f>
        <v>0</v>
      </c>
      <c r="HH122" s="8">
        <f>IF(HH$56-Voorblad!$F$41&gt;Voorblad!$K$41,0,IF($U122=0,0,IF($U122&lt;1,1/$U122,IF((HH$56-Voorblad!$F$41)/$U122-SUM($EE122:HG122)=1,1,0))))</f>
        <v>0</v>
      </c>
      <c r="HI122" s="8">
        <f>IF(HI$56-Voorblad!$F$41&gt;Voorblad!$K$41,0,IF($U122=0,0,IF($U122&lt;1,1/$U122,IF((HI$56-Voorblad!$F$41)/$U122-SUM($EE122:HH122)=1,1,0))))</f>
        <v>0</v>
      </c>
      <c r="HJ122" s="8">
        <f>IF(HJ$56-Voorblad!$F$41&gt;Voorblad!$K$41,0,IF($U122=0,0,IF($U122&lt;1,1/$U122,IF((HJ$56-Voorblad!$F$41)/$U122-SUM($EE122:HI122)=1,1,0))))</f>
        <v>0</v>
      </c>
      <c r="HK122" s="8">
        <f>IF(HK$56-Voorblad!$F$41&gt;Voorblad!$K$41,0,IF($U122=0,0,IF($U122&lt;1,1/$U122,IF((HK$56-Voorblad!$F$41)/$U122-SUM($EE122:HJ122)=1,1,0))))</f>
        <v>0</v>
      </c>
      <c r="HL122" s="8">
        <f>IF(HL$56-Voorblad!$F$41&gt;Voorblad!$K$41,0,IF($U122=0,0,IF($U122&lt;1,1/$U122,IF((HL$56-Voorblad!$F$41)/$U122-SUM($EE122:HK122)=1,1,0))))</f>
        <v>0</v>
      </c>
      <c r="HM122" s="8">
        <f>IF(HM$56-Voorblad!$F$41&gt;Voorblad!$K$41,0,IF($U122=0,0,IF($U122&lt;1,1/$U122,IF((HM$56-Voorblad!$F$41)/$U122-SUM($EE122:HL122)=1,1,0))))</f>
        <v>0</v>
      </c>
      <c r="HN122" s="8">
        <f>IF(HN$56-Voorblad!$F$41&gt;Voorblad!$K$41,0,IF($U122=0,0,IF($U122&lt;1,1/$U122,IF((HN$56-Voorblad!$F$41)/$U122-SUM($EE122:HM122)=1,1,0))))</f>
        <v>0</v>
      </c>
      <c r="HO122" s="8">
        <f>IF(HO$56-Voorblad!$F$41&gt;Voorblad!$K$41,0,IF($U122=0,0,IF($U122&lt;1,1/$U122,IF((HO$56-Voorblad!$F$41)/$U122-SUM($EE122:HN122)=1,1,0))))</f>
        <v>0</v>
      </c>
      <c r="HP122" s="8">
        <f>IF(HP$56-Voorblad!$F$41&gt;Voorblad!$K$41,0,IF($U122=0,0,IF($U122&lt;1,1/$U122,IF((HP$56-Voorblad!$F$41)/$U122-SUM($EE122:HO122)=1,1,0))))</f>
        <v>0</v>
      </c>
      <c r="HQ122" s="8">
        <f>IF(HQ$56-Voorblad!$F$41&gt;Voorblad!$K$41,0,IF($U122=0,0,IF($U122&lt;1,1/$U122,IF((HQ$56-Voorblad!$F$41)/$U122-SUM($EE122:HP122)=1,1,0))))</f>
        <v>0</v>
      </c>
      <c r="HR122" s="8">
        <f>IF(HR$56-Voorblad!$F$41&gt;Voorblad!$K$41,0,IF($U122=0,0,IF($U122&lt;1,1/$U122,IF((HR$56-Voorblad!$F$41)/$U122-SUM($EE122:HQ122)=1,1,0))))</f>
        <v>0</v>
      </c>
      <c r="HS122" s="8">
        <f>IF(HS$56-Voorblad!$F$41&gt;Voorblad!$K$41,0,IF($U122=0,0,IF($U122&lt;1,1/$U122,IF((HS$56-Voorblad!$F$41)/$U122-SUM($EE122:HR122)=1,1,0))))</f>
        <v>0</v>
      </c>
      <c r="HT122" s="8">
        <f>IF(HT$56-Voorblad!$F$41&gt;Voorblad!$K$41,0,IF($U122=0,0,IF($U122&lt;1,1/$U122,IF((HT$56-Voorblad!$F$41)/$U122-SUM($EE122:HS122)=1,1,0))))</f>
        <v>0</v>
      </c>
      <c r="HU122" s="8">
        <f>IF(HU$56-Voorblad!$F$41&gt;Voorblad!$K$41,0,IF($U122=0,0,IF($U122&lt;1,1/$U122,IF((HU$56-Voorblad!$F$41)/$U122-SUM($EE122:HT122)=1,1,0))))</f>
        <v>0</v>
      </c>
      <c r="HV122" s="8">
        <f>IF(HV$56-Voorblad!$F$41&gt;Voorblad!$K$41,0,IF($U122=0,0,IF($U122&lt;1,1/$U122,IF((HV$56-Voorblad!$F$41)/$U122-SUM($EE122:HU122)=1,1,0))))</f>
        <v>0</v>
      </c>
      <c r="HW122" s="8">
        <f>IF(HW$56-Voorblad!$F$41&gt;Voorblad!$K$41,0,IF($U122=0,0,IF($U122&lt;1,1/$U122,IF((HW$56-Voorblad!$F$41)/$U122-SUM($EE122:HV122)=1,1,0))))</f>
        <v>0</v>
      </c>
      <c r="HX122" s="8">
        <f>IF(HX$56-Voorblad!$F$41&gt;Voorblad!$K$41,0,IF($U122=0,0,IF($U122&lt;1,1/$U122,IF((HX$56-Voorblad!$F$41)/$U122-SUM($EE122:HW122)=1,1,0))))</f>
        <v>0</v>
      </c>
      <c r="HY122" s="8">
        <f>IF(HY$56-Voorblad!$F$41&gt;Voorblad!$K$41,0,IF($U122=0,0,IF($U122&lt;1,1/$U122,IF((HY$56-Voorblad!$F$41)/$U122-SUM($EE122:HX122)=1,1,0))))</f>
        <v>0</v>
      </c>
      <c r="HZ122" s="8">
        <f>IF(HZ$56-Voorblad!$F$41&gt;Voorblad!$K$41,0,IF($U122=0,0,IF($U122&lt;1,1/$U122,IF((HZ$56-Voorblad!$F$41)/$U122-SUM($EE122:HY122)=1,1,0))))</f>
        <v>0</v>
      </c>
      <c r="IA122" s="8">
        <f>IF(IA$56-Voorblad!$F$41&gt;Voorblad!$K$41,0,IF($U122=0,0,IF($U122&lt;1,1/$U122,IF((IA$56-Voorblad!$F$41)/$U122-SUM($EE122:HZ122)=1,1,0))))</f>
        <v>0</v>
      </c>
      <c r="IB122" s="8">
        <f>IF(IB$56-Voorblad!$F$41&gt;Voorblad!$K$41,0,IF($U122=0,0,IF($U122&lt;1,1/$U122,IF((IB$56-Voorblad!$F$41)/$U122-SUM($EE122:IA122)=1,1,0))))</f>
        <v>0</v>
      </c>
    </row>
    <row r="123" spans="2:236" ht="12" customHeight="1" outlineLevel="1" x14ac:dyDescent="0.25">
      <c r="B123" s="1">
        <v>3</v>
      </c>
      <c r="F123" s="1" t="s">
        <v>23</v>
      </c>
      <c r="I123" s="1" t="s">
        <v>277</v>
      </c>
      <c r="K123" s="14" t="s">
        <v>200</v>
      </c>
      <c r="L123" s="14"/>
      <c r="M123" s="14"/>
      <c r="O123" s="1" t="s">
        <v>178</v>
      </c>
      <c r="P123" s="1" t="s">
        <v>182</v>
      </c>
      <c r="Q123" s="81">
        <v>0</v>
      </c>
      <c r="R123" s="1" t="s">
        <v>34</v>
      </c>
      <c r="S123" s="14">
        <f>$H$20*100</f>
        <v>177</v>
      </c>
      <c r="T123" s="1">
        <f t="shared" si="20"/>
        <v>0</v>
      </c>
      <c r="U123" s="14">
        <v>15</v>
      </c>
      <c r="V123" s="14"/>
      <c r="Y123" s="9">
        <f t="shared" si="23"/>
        <v>0</v>
      </c>
      <c r="Z123" s="82"/>
      <c r="AA123" s="82"/>
      <c r="AC123" s="9">
        <f>$Y123*(Voorblad!$K$44*(1+Voorblad!$K$44)^Voorblad!$K$41)/((1+Voorblad!$K$44)^Voorblad!$K$41-1)</f>
        <v>0</v>
      </c>
      <c r="AE123" s="9">
        <f>EF123*($Q123*$S123)/(1+Voorblad!$K$44)^(AE$56-Voorblad!$F$41)</f>
        <v>0</v>
      </c>
      <c r="AF123" s="9">
        <f>EG123*($Q123*$S123)/(1+Voorblad!$K$44)^(AF$56-Voorblad!$F$41)</f>
        <v>0</v>
      </c>
      <c r="AG123" s="9">
        <f>EH123*($Q123*$S123)/(1+Voorblad!$K$44)^(AG$56-Voorblad!$F$41)</f>
        <v>0</v>
      </c>
      <c r="AH123" s="9">
        <f>EI123*($Q123*$S123)/(1+Voorblad!$K$44)^(AH$56-Voorblad!$F$41)</f>
        <v>0</v>
      </c>
      <c r="AI123" s="9">
        <f>EJ123*($Q123*$S123)/(1+Voorblad!$K$44)^(AI$56-Voorblad!$F$41)</f>
        <v>0</v>
      </c>
      <c r="AJ123" s="9">
        <f>EK123*($Q123*$S123)/(1+Voorblad!$K$44)^(AJ$56-Voorblad!$F$41)</f>
        <v>0</v>
      </c>
      <c r="AK123" s="9">
        <f>EL123*($Q123*$S123)/(1+Voorblad!$K$44)^(AK$56-Voorblad!$F$41)</f>
        <v>0</v>
      </c>
      <c r="AL123" s="9">
        <f>EM123*($Q123*$S123)/(1+Voorblad!$K$44)^(AL$56-Voorblad!$F$41)</f>
        <v>0</v>
      </c>
      <c r="AM123" s="9">
        <f>EN123*($Q123*$S123)/(1+Voorblad!$K$44)^(AM$56-Voorblad!$F$41)</f>
        <v>0</v>
      </c>
      <c r="AN123" s="9">
        <f>EO123*($Q123*$S123)/(1+Voorblad!$K$44)^(AN$56-Voorblad!$F$41)</f>
        <v>0</v>
      </c>
      <c r="AO123" s="9">
        <f>EP123*($Q123*$S123)/(1+Voorblad!$K$44)^(AO$56-Voorblad!$F$41)</f>
        <v>0</v>
      </c>
      <c r="AP123" s="9">
        <f>EQ123*($Q123*$S123)/(1+Voorblad!$K$44)^(AP$56-Voorblad!$F$41)</f>
        <v>0</v>
      </c>
      <c r="AQ123" s="9">
        <f>ER123*($Q123*$S123)/(1+Voorblad!$K$44)^(AQ$56-Voorblad!$F$41)</f>
        <v>0</v>
      </c>
      <c r="AR123" s="9">
        <f>ES123*($Q123*$S123)/(1+Voorblad!$K$44)^(AR$56-Voorblad!$F$41)</f>
        <v>0</v>
      </c>
      <c r="AS123" s="9">
        <f>ET123*($Q123*$S123)/(1+Voorblad!$K$44)^(AS$56-Voorblad!$F$41)</f>
        <v>0</v>
      </c>
      <c r="AT123" s="9">
        <f>EU123*($Q123*$S123)/(1+Voorblad!$K$44)^(AT$56-Voorblad!$F$41)</f>
        <v>0</v>
      </c>
      <c r="AU123" s="9">
        <f>EV123*($Q123*$S123)/(1+Voorblad!$K$44)^(AU$56-Voorblad!$F$41)</f>
        <v>0</v>
      </c>
      <c r="AV123" s="9">
        <f>EW123*($Q123*$S123)/(1+Voorblad!$K$44)^(AV$56-Voorblad!$F$41)</f>
        <v>0</v>
      </c>
      <c r="AW123" s="9">
        <f>EX123*($Q123*$S123)/(1+Voorblad!$K$44)^(AW$56-Voorblad!$F$41)</f>
        <v>0</v>
      </c>
      <c r="AX123" s="9">
        <f>EY123*($Q123*$S123)/(1+Voorblad!$K$44)^(AX$56-Voorblad!$F$41)</f>
        <v>0</v>
      </c>
      <c r="AY123" s="9">
        <f>EZ123*($Q123*$S123)/(1+Voorblad!$K$44)^(AY$56-Voorblad!$F$41)</f>
        <v>0</v>
      </c>
      <c r="AZ123" s="9">
        <f>FA123*($Q123*$S123)/(1+Voorblad!$K$44)^(AZ$56-Voorblad!$F$41)</f>
        <v>0</v>
      </c>
      <c r="BA123" s="9">
        <f>FB123*($Q123*$S123)/(1+Voorblad!$K$44)^(BA$56-Voorblad!$F$41)</f>
        <v>0</v>
      </c>
      <c r="BB123" s="9">
        <f>FC123*($Q123*$S123)/(1+Voorblad!$K$44)^(BB$56-Voorblad!$F$41)</f>
        <v>0</v>
      </c>
      <c r="BC123" s="9">
        <f>FD123*($Q123*$S123)/(1+Voorblad!$K$44)^(BC$56-Voorblad!$F$41)</f>
        <v>0</v>
      </c>
      <c r="BD123" s="9">
        <f>FE123*($Q123*$S123)/(1+Voorblad!$K$44)^(BD$56-Voorblad!$F$41)</f>
        <v>0</v>
      </c>
      <c r="BE123" s="9">
        <f>FF123*($Q123*$S123)/(1+Voorblad!$K$44)^(BE$56-Voorblad!$F$41)</f>
        <v>0</v>
      </c>
      <c r="BF123" s="9">
        <f>FG123*($Q123*$S123)/(1+Voorblad!$K$44)^(BF$56-Voorblad!$F$41)</f>
        <v>0</v>
      </c>
      <c r="BG123" s="9">
        <f>FH123*($Q123*$S123)/(1+Voorblad!$K$44)^(BG$56-Voorblad!$F$41)</f>
        <v>0</v>
      </c>
      <c r="BH123" s="9">
        <f>FI123*($Q123*$S123)/(1+Voorblad!$K$44)^(BH$56-Voorblad!$F$41)</f>
        <v>0</v>
      </c>
      <c r="BI123" s="9">
        <f>FJ123*($Q123*$S123)/(1+Voorblad!$K$44)^(BI$56-Voorblad!$F$41)</f>
        <v>0</v>
      </c>
      <c r="BJ123" s="9">
        <f>FK123*($Q123*$S123)/(1+Voorblad!$K$44)^(BJ$56-Voorblad!$F$41)</f>
        <v>0</v>
      </c>
      <c r="BK123" s="9">
        <f>FL123*($Q123*$S123)/(1+Voorblad!$K$44)^(BK$56-Voorblad!$F$41)</f>
        <v>0</v>
      </c>
      <c r="BL123" s="9">
        <f>FM123*($Q123*$S123)/(1+Voorblad!$K$44)^(BL$56-Voorblad!$F$41)</f>
        <v>0</v>
      </c>
      <c r="BM123" s="9">
        <f>FN123*($Q123*$S123)/(1+Voorblad!$K$44)^(BM$56-Voorblad!$F$41)</f>
        <v>0</v>
      </c>
      <c r="BN123" s="9">
        <f>FO123*($Q123*$S123)/(1+Voorblad!$K$44)^(BN$56-Voorblad!$F$41)</f>
        <v>0</v>
      </c>
      <c r="BO123" s="9">
        <f>FP123*($Q123*$S123)/(1+Voorblad!$K$44)^(BO$56-Voorblad!$F$41)</f>
        <v>0</v>
      </c>
      <c r="BP123" s="9">
        <f>FQ123*($Q123*$S123)/(1+Voorblad!$K$44)^(BP$56-Voorblad!$F$41)</f>
        <v>0</v>
      </c>
      <c r="BQ123" s="9">
        <f>FR123*($Q123*$S123)/(1+Voorblad!$K$44)^(BQ$56-Voorblad!$F$41)</f>
        <v>0</v>
      </c>
      <c r="BR123" s="9">
        <f>FS123*($Q123*$S123)/(1+Voorblad!$K$44)^(BR$56-Voorblad!$F$41)</f>
        <v>0</v>
      </c>
      <c r="BS123" s="9">
        <f>FT123*($Q123*$S123)/(1+Voorblad!$K$44)^(BS$56-Voorblad!$F$41)</f>
        <v>0</v>
      </c>
      <c r="BT123" s="9">
        <f>FU123*($Q123*$S123)/(1+Voorblad!$K$44)^(BT$56-Voorblad!$F$41)</f>
        <v>0</v>
      </c>
      <c r="BU123" s="9">
        <f>FV123*($Q123*$S123)/(1+Voorblad!$K$44)^(BU$56-Voorblad!$F$41)</f>
        <v>0</v>
      </c>
      <c r="BV123" s="9">
        <f>FW123*($Q123*$S123)/(1+Voorblad!$K$44)^(BV$56-Voorblad!$F$41)</f>
        <v>0</v>
      </c>
      <c r="BW123" s="9">
        <f>FX123*($Q123*$S123)/(1+Voorblad!$K$44)^(BW$56-Voorblad!$F$41)</f>
        <v>0</v>
      </c>
      <c r="BX123" s="9">
        <f>FY123*($Q123*$S123)/(1+Voorblad!$K$44)^(BX$56-Voorblad!$F$41)</f>
        <v>0</v>
      </c>
      <c r="BY123" s="9">
        <f>FZ123*($Q123*$S123)/(1+Voorblad!$K$44)^(BY$56-Voorblad!$F$41)</f>
        <v>0</v>
      </c>
      <c r="BZ123" s="9">
        <f>GA123*($Q123*$S123)/(1+Voorblad!$K$44)^(BZ$56-Voorblad!$F$41)</f>
        <v>0</v>
      </c>
      <c r="CA123" s="9">
        <f>GB123*($Q123*$S123)/(1+Voorblad!$K$44)^(CA$56-Voorblad!$F$41)</f>
        <v>0</v>
      </c>
      <c r="CB123" s="9">
        <f>GC123*($Q123*$S123)/(1+Voorblad!$K$44)^(CB$56-Voorblad!$F$41)</f>
        <v>0</v>
      </c>
      <c r="CC123" s="9">
        <f>GD123*($Q123*$S123)/(1+Voorblad!$K$44)^(CC$56-Voorblad!$F$41)</f>
        <v>0</v>
      </c>
      <c r="CD123" s="9">
        <f>GE123*($Q123*$S123)/(1+Voorblad!$K$44)^(CD$56-Voorblad!$F$41)</f>
        <v>0</v>
      </c>
      <c r="CE123" s="9">
        <f>GF123*($Q123*$S123)/(1+Voorblad!$K$44)^(CE$56-Voorblad!$F$41)</f>
        <v>0</v>
      </c>
      <c r="CF123" s="9">
        <f>GG123*($Q123*$S123)/(1+Voorblad!$K$44)^(CF$56-Voorblad!$F$41)</f>
        <v>0</v>
      </c>
      <c r="CG123" s="9">
        <f>GH123*($Q123*$S123)/(1+Voorblad!$K$44)^(CG$56-Voorblad!$F$41)</f>
        <v>0</v>
      </c>
      <c r="CH123" s="9">
        <f>GI123*($Q123*$S123)/(1+Voorblad!$K$44)^(CH$56-Voorblad!$F$41)</f>
        <v>0</v>
      </c>
      <c r="CI123" s="9">
        <f>GJ123*($Q123*$S123)/(1+Voorblad!$K$44)^(CI$56-Voorblad!$F$41)</f>
        <v>0</v>
      </c>
      <c r="CJ123" s="9">
        <f>GK123*($Q123*$S123)/(1+Voorblad!$K$44)^(CJ$56-Voorblad!$F$41)</f>
        <v>0</v>
      </c>
      <c r="CK123" s="9">
        <f>GL123*($Q123*$S123)/(1+Voorblad!$K$44)^(CK$56-Voorblad!$F$41)</f>
        <v>0</v>
      </c>
      <c r="CL123" s="9">
        <f>GM123*($Q123*$S123)/(1+Voorblad!$K$44)^(CL$56-Voorblad!$F$41)</f>
        <v>0</v>
      </c>
      <c r="CM123" s="9">
        <f>GN123*($Q123*$S123)/(1+Voorblad!$K$44)^(CM$56-Voorblad!$F$41)</f>
        <v>0</v>
      </c>
      <c r="CN123" s="9">
        <f>GO123*($Q123*$S123)/(1+Voorblad!$K$44)^(CN$56-Voorblad!$F$41)</f>
        <v>0</v>
      </c>
      <c r="CO123" s="9">
        <f>GP123*($Q123*$S123)/(1+Voorblad!$K$44)^(CO$56-Voorblad!$F$41)</f>
        <v>0</v>
      </c>
      <c r="CP123" s="9">
        <f>GQ123*($Q123*$S123)/(1+Voorblad!$K$44)^(CP$56-Voorblad!$F$41)</f>
        <v>0</v>
      </c>
      <c r="CQ123" s="9">
        <f>GR123*($Q123*$S123)/(1+Voorblad!$K$44)^(CQ$56-Voorblad!$F$41)</f>
        <v>0</v>
      </c>
      <c r="CR123" s="9">
        <f>GS123*($Q123*$S123)/(1+Voorblad!$K$44)^(CR$56-Voorblad!$F$41)</f>
        <v>0</v>
      </c>
      <c r="CS123" s="9">
        <f>GT123*($Q123*$S123)/(1+Voorblad!$K$44)^(CS$56-Voorblad!$F$41)</f>
        <v>0</v>
      </c>
      <c r="CT123" s="9">
        <f>GU123*($Q123*$S123)/(1+Voorblad!$K$44)^(CT$56-Voorblad!$F$41)</f>
        <v>0</v>
      </c>
      <c r="CU123" s="9">
        <f>GV123*($Q123*$S123)/(1+Voorblad!$K$44)^(CU$56-Voorblad!$F$41)</f>
        <v>0</v>
      </c>
      <c r="CV123" s="9">
        <f>GW123*($Q123*$S123)/(1+Voorblad!$K$44)^(CV$56-Voorblad!$F$41)</f>
        <v>0</v>
      </c>
      <c r="CW123" s="9">
        <f>GX123*($Q123*$S123)/(1+Voorblad!$K$44)^(CW$56-Voorblad!$F$41)</f>
        <v>0</v>
      </c>
      <c r="CX123" s="9">
        <f>GY123*($Q123*$S123)/(1+Voorblad!$K$44)^(CX$56-Voorblad!$F$41)</f>
        <v>0</v>
      </c>
      <c r="CY123" s="9">
        <f>GZ123*($Q123*$S123)/(1+Voorblad!$K$44)^(CY$56-Voorblad!$F$41)</f>
        <v>0</v>
      </c>
      <c r="CZ123" s="9">
        <f>HA123*($Q123*$S123)/(1+Voorblad!$K$44)^(CZ$56-Voorblad!$F$41)</f>
        <v>0</v>
      </c>
      <c r="DA123" s="9">
        <f>HB123*($Q123*$S123)/(1+Voorblad!$K$44)^(DA$56-Voorblad!$F$41)</f>
        <v>0</v>
      </c>
      <c r="DB123" s="9">
        <f>HC123*($Q123*$S123)/(1+Voorblad!$K$44)^(DB$56-Voorblad!$F$41)</f>
        <v>0</v>
      </c>
      <c r="DC123" s="9">
        <f>HD123*($Q123*$S123)/(1+Voorblad!$K$44)^(DC$56-Voorblad!$F$41)</f>
        <v>0</v>
      </c>
      <c r="DD123" s="9">
        <f>HE123*($Q123*$S123)/(1+Voorblad!$K$44)^(DD$56-Voorblad!$F$41)</f>
        <v>0</v>
      </c>
      <c r="DE123" s="9">
        <f>HF123*($Q123*$S123)/(1+Voorblad!$K$44)^(DE$56-Voorblad!$F$41)</f>
        <v>0</v>
      </c>
      <c r="DF123" s="9">
        <f>HG123*($Q123*$S123)/(1+Voorblad!$K$44)^(DF$56-Voorblad!$F$41)</f>
        <v>0</v>
      </c>
      <c r="DG123" s="9">
        <f>HH123*($Q123*$S123)/(1+Voorblad!$K$44)^(DG$56-Voorblad!$F$41)</f>
        <v>0</v>
      </c>
      <c r="DH123" s="9">
        <f>HI123*($Q123*$S123)/(1+Voorblad!$K$44)^(DH$56-Voorblad!$F$41)</f>
        <v>0</v>
      </c>
      <c r="DI123" s="9">
        <f>HJ123*($Q123*$S123)/(1+Voorblad!$K$44)^(DI$56-Voorblad!$F$41)</f>
        <v>0</v>
      </c>
      <c r="DJ123" s="9">
        <f>HK123*($Q123*$S123)/(1+Voorblad!$K$44)^(DJ$56-Voorblad!$F$41)</f>
        <v>0</v>
      </c>
      <c r="DK123" s="9">
        <f>HL123*($Q123*$S123)/(1+Voorblad!$K$44)^(DK$56-Voorblad!$F$41)</f>
        <v>0</v>
      </c>
      <c r="DL123" s="9">
        <f>HM123*($Q123*$S123)/(1+Voorblad!$K$44)^(DL$56-Voorblad!$F$41)</f>
        <v>0</v>
      </c>
      <c r="DM123" s="9">
        <f>HN123*($Q123*$S123)/(1+Voorblad!$K$44)^(DM$56-Voorblad!$F$41)</f>
        <v>0</v>
      </c>
      <c r="DN123" s="9">
        <f>HO123*($Q123*$S123)/(1+Voorblad!$K$44)^(DN$56-Voorblad!$F$41)</f>
        <v>0</v>
      </c>
      <c r="DO123" s="9">
        <f>HP123*($Q123*$S123)/(1+Voorblad!$K$44)^(DO$56-Voorblad!$F$41)</f>
        <v>0</v>
      </c>
      <c r="DP123" s="9">
        <f>HQ123*($Q123*$S123)/(1+Voorblad!$K$44)^(DP$56-Voorblad!$F$41)</f>
        <v>0</v>
      </c>
      <c r="DQ123" s="9">
        <f>HR123*($Q123*$S123)/(1+Voorblad!$K$44)^(DQ$56-Voorblad!$F$41)</f>
        <v>0</v>
      </c>
      <c r="DR123" s="9">
        <f>HS123*($Q123*$S123)/(1+Voorblad!$K$44)^(DR$56-Voorblad!$F$41)</f>
        <v>0</v>
      </c>
      <c r="DS123" s="9">
        <f>HT123*($Q123*$S123)/(1+Voorblad!$K$44)^(DS$56-Voorblad!$F$41)</f>
        <v>0</v>
      </c>
      <c r="DT123" s="9">
        <f>HU123*($Q123*$S123)/(1+Voorblad!$K$44)^(DT$56-Voorblad!$F$41)</f>
        <v>0</v>
      </c>
      <c r="DU123" s="9">
        <f>HV123*($Q123*$S123)/(1+Voorblad!$K$44)^(DU$56-Voorblad!$F$41)</f>
        <v>0</v>
      </c>
      <c r="DV123" s="9">
        <f>HW123*($Q123*$S123)/(1+Voorblad!$K$44)^(DV$56-Voorblad!$F$41)</f>
        <v>0</v>
      </c>
      <c r="DW123" s="9">
        <f>HX123*($Q123*$S123)/(1+Voorblad!$K$44)^(DW$56-Voorblad!$F$41)</f>
        <v>0</v>
      </c>
      <c r="DX123" s="9">
        <f>HY123*($Q123*$S123)/(1+Voorblad!$K$44)^(DX$56-Voorblad!$F$41)</f>
        <v>0</v>
      </c>
      <c r="DY123" s="9">
        <f>HZ123*($Q123*$S123)/(1+Voorblad!$K$44)^(DY$56-Voorblad!$F$41)</f>
        <v>0</v>
      </c>
      <c r="DZ123" s="9">
        <f>IA123*($Q123*$S123)/(1+Voorblad!$K$44)^(DZ$56-Voorblad!$F$41)</f>
        <v>0</v>
      </c>
      <c r="EA123" s="9">
        <f>IB123*($Q123*$S123)/(1+Voorblad!$K$44)^(EA$56-Voorblad!$F$41)</f>
        <v>0</v>
      </c>
      <c r="EB123" s="9">
        <f>IC123*($Q123*$S123)/(1+Voorblad!$K$44)^(EB$56-Voorblad!$F$41)</f>
        <v>0</v>
      </c>
      <c r="EE123" s="8">
        <v>0</v>
      </c>
      <c r="EF123" s="8">
        <f>IF(EF$56-Voorblad!$F$41&gt;Voorblad!$K$41,0,IF($U123=0,0,IF($U123&lt;1,1/$U123,IF((EF$56-Voorblad!$F$41)/$U123-SUM($EE123:EE123)=1,1,0))))</f>
        <v>0</v>
      </c>
      <c r="EG123" s="8">
        <f>IF(EG$56-Voorblad!$F$41&gt;Voorblad!$K$41,0,IF($U123=0,0,IF($U123&lt;1,1/$U123,IF((EG$56-Voorblad!$F$41)/$U123-SUM($EE123:EF123)=1,1,0))))</f>
        <v>0</v>
      </c>
      <c r="EH123" s="8">
        <f>IF(EH$56-Voorblad!$F$41&gt;Voorblad!$K$41,0,IF($U123=0,0,IF($U123&lt;1,1/$U123,IF((EH$56-Voorblad!$F$41)/$U123-SUM($EE123:EG123)=1,1,0))))</f>
        <v>0</v>
      </c>
      <c r="EI123" s="8">
        <f>IF(EI$56-Voorblad!$F$41&gt;Voorblad!$K$41,0,IF($U123=0,0,IF($U123&lt;1,1/$U123,IF((EI$56-Voorblad!$F$41)/$U123-SUM($EE123:EH123)=1,1,0))))</f>
        <v>0</v>
      </c>
      <c r="EJ123" s="8">
        <f>IF(EJ$56-Voorblad!$F$41&gt;Voorblad!$K$41,0,IF($U123=0,0,IF($U123&lt;1,1/$U123,IF((EJ$56-Voorblad!$F$41)/$U123-SUM($EE123:EI123)=1,1,0))))</f>
        <v>0</v>
      </c>
      <c r="EK123" s="8">
        <f>IF(EK$56-Voorblad!$F$41&gt;Voorblad!$K$41,0,IF($U123=0,0,IF($U123&lt;1,1/$U123,IF((EK$56-Voorblad!$F$41)/$U123-SUM($EE123:EJ123)=1,1,0))))</f>
        <v>0</v>
      </c>
      <c r="EL123" s="8">
        <f>IF(EL$56-Voorblad!$F$41&gt;Voorblad!$K$41,0,IF($U123=0,0,IF($U123&lt;1,1/$U123,IF((EL$56-Voorblad!$F$41)/$U123-SUM($EE123:EK123)=1,1,0))))</f>
        <v>0</v>
      </c>
      <c r="EM123" s="8">
        <f>IF(EM$56-Voorblad!$F$41&gt;Voorblad!$K$41,0,IF($U123=0,0,IF($U123&lt;1,1/$U123,IF((EM$56-Voorblad!$F$41)/$U123-SUM($EE123:EL123)=1,1,0))))</f>
        <v>0</v>
      </c>
      <c r="EN123" s="8">
        <f>IF(EN$56-Voorblad!$F$41&gt;Voorblad!$K$41,0,IF($U123=0,0,IF($U123&lt;1,1/$U123,IF((EN$56-Voorblad!$F$41)/$U123-SUM($EE123:EM123)=1,1,0))))</f>
        <v>0</v>
      </c>
      <c r="EO123" s="8">
        <f>IF(EO$56-Voorblad!$F$41&gt;Voorblad!$K$41,0,IF($U123=0,0,IF($U123&lt;1,1/$U123,IF((EO$56-Voorblad!$F$41)/$U123-SUM($EE123:EN123)=1,1,0))))</f>
        <v>0</v>
      </c>
      <c r="EP123" s="8">
        <f>IF(EP$56-Voorblad!$F$41&gt;Voorblad!$K$41,0,IF($U123=0,0,IF($U123&lt;1,1/$U123,IF((EP$56-Voorblad!$F$41)/$U123-SUM($EE123:EO123)=1,1,0))))</f>
        <v>0</v>
      </c>
      <c r="EQ123" s="8">
        <f>IF(EQ$56-Voorblad!$F$41&gt;Voorblad!$K$41,0,IF($U123=0,0,IF($U123&lt;1,1/$U123,IF((EQ$56-Voorblad!$F$41)/$U123-SUM($EE123:EP123)=1,1,0))))</f>
        <v>0</v>
      </c>
      <c r="ER123" s="8">
        <f>IF(ER$56-Voorblad!$F$41&gt;Voorblad!$K$41,0,IF($U123=0,0,IF($U123&lt;1,1/$U123,IF((ER$56-Voorblad!$F$41)/$U123-SUM($EE123:EQ123)=1,1,0))))</f>
        <v>0</v>
      </c>
      <c r="ES123" s="8">
        <f>IF(ES$56-Voorblad!$F$41&gt;Voorblad!$K$41,0,IF($U123=0,0,IF($U123&lt;1,1/$U123,IF((ES$56-Voorblad!$F$41)/$U123-SUM($EE123:ER123)=1,1,0))))</f>
        <v>0</v>
      </c>
      <c r="ET123" s="8">
        <f>IF(ET$56-Voorblad!$F$41&gt;Voorblad!$K$41,0,IF($U123=0,0,IF($U123&lt;1,1/$U123,IF((ET$56-Voorblad!$F$41)/$U123-SUM($EE123:ES123)=1,1,0))))</f>
        <v>0</v>
      </c>
      <c r="EU123" s="8">
        <f>IF(EU$56-Voorblad!$F$41&gt;Voorblad!$K$41,0,IF($U123=0,0,IF($U123&lt;1,1/$U123,IF((EU$56-Voorblad!$F$41)/$U123-SUM($EE123:ET123)=1,1,0))))</f>
        <v>1</v>
      </c>
      <c r="EV123" s="8">
        <f>IF(EV$56-Voorblad!$F$41&gt;Voorblad!$K$41,0,IF($U123=0,0,IF($U123&lt;1,1/$U123,IF((EV$56-Voorblad!$F$41)/$U123-SUM($EE123:EU123)=1,1,0))))</f>
        <v>0</v>
      </c>
      <c r="EW123" s="8">
        <f>IF(EW$56-Voorblad!$F$41&gt;Voorblad!$K$41,0,IF($U123=0,0,IF($U123&lt;1,1/$U123,IF((EW$56-Voorblad!$F$41)/$U123-SUM($EE123:EV123)=1,1,0))))</f>
        <v>0</v>
      </c>
      <c r="EX123" s="8">
        <f>IF(EX$56-Voorblad!$F$41&gt;Voorblad!$K$41,0,IF($U123=0,0,IF($U123&lt;1,1/$U123,IF((EX$56-Voorblad!$F$41)/$U123-SUM($EE123:EW123)=1,1,0))))</f>
        <v>0</v>
      </c>
      <c r="EY123" s="8">
        <f>IF(EY$56-Voorblad!$F$41&gt;Voorblad!$K$41,0,IF($U123=0,0,IF($U123&lt;1,1/$U123,IF((EY$56-Voorblad!$F$41)/$U123-SUM($EE123:EX123)=1,1,0))))</f>
        <v>0</v>
      </c>
      <c r="EZ123" s="8">
        <f>IF(EZ$56-Voorblad!$F$41&gt;Voorblad!$K$41,0,IF($U123=0,0,IF($U123&lt;1,1/$U123,IF((EZ$56-Voorblad!$F$41)/$U123-SUM($EE123:EY123)=1,1,0))))</f>
        <v>0</v>
      </c>
      <c r="FA123" s="8">
        <f>IF(FA$56-Voorblad!$F$41&gt;Voorblad!$K$41,0,IF($U123=0,0,IF($U123&lt;1,1/$U123,IF((FA$56-Voorblad!$F$41)/$U123-SUM($EE123:EZ123)=1,1,0))))</f>
        <v>0</v>
      </c>
      <c r="FB123" s="8">
        <f>IF(FB$56-Voorblad!$F$41&gt;Voorblad!$K$41,0,IF($U123=0,0,IF($U123&lt;1,1/$U123,IF((FB$56-Voorblad!$F$41)/$U123-SUM($EE123:FA123)=1,1,0))))</f>
        <v>0</v>
      </c>
      <c r="FC123" s="8">
        <f>IF(FC$56-Voorblad!$F$41&gt;Voorblad!$K$41,0,IF($U123=0,0,IF($U123&lt;1,1/$U123,IF((FC$56-Voorblad!$F$41)/$U123-SUM($EE123:FB123)=1,1,0))))</f>
        <v>0</v>
      </c>
      <c r="FD123" s="8">
        <f>IF(FD$56-Voorblad!$F$41&gt;Voorblad!$K$41,0,IF($U123=0,0,IF($U123&lt;1,1/$U123,IF((FD$56-Voorblad!$F$41)/$U123-SUM($EE123:FC123)=1,1,0))))</f>
        <v>0</v>
      </c>
      <c r="FE123" s="8">
        <f>IF(FE$56-Voorblad!$F$41&gt;Voorblad!$K$41,0,IF($U123=0,0,IF($U123&lt;1,1/$U123,IF((FE$56-Voorblad!$F$41)/$U123-SUM($EE123:FD123)=1,1,0))))</f>
        <v>0</v>
      </c>
      <c r="FF123" s="8">
        <f>IF(FF$56-Voorblad!$F$41&gt;Voorblad!$K$41,0,IF($U123=0,0,IF($U123&lt;1,1/$U123,IF((FF$56-Voorblad!$F$41)/$U123-SUM($EE123:FE123)=1,1,0))))</f>
        <v>0</v>
      </c>
      <c r="FG123" s="8">
        <f>IF(FG$56-Voorblad!$F$41&gt;Voorblad!$K$41,0,IF($U123=0,0,IF($U123&lt;1,1/$U123,IF((FG$56-Voorblad!$F$41)/$U123-SUM($EE123:FF123)=1,1,0))))</f>
        <v>0</v>
      </c>
      <c r="FH123" s="8">
        <f>IF(FH$56-Voorblad!$F$41&gt;Voorblad!$K$41,0,IF($U123=0,0,IF($U123&lt;1,1/$U123,IF((FH$56-Voorblad!$F$41)/$U123-SUM($EE123:FG123)=1,1,0))))</f>
        <v>0</v>
      </c>
      <c r="FI123" s="8">
        <f>IF(FI$56-Voorblad!$F$41&gt;Voorblad!$K$41,0,IF($U123=0,0,IF($U123&lt;1,1/$U123,IF((FI$56-Voorblad!$F$41)/$U123-SUM($EE123:FH123)=1,1,0))))</f>
        <v>0</v>
      </c>
      <c r="FJ123" s="8">
        <f>IF(FJ$56-Voorblad!$F$41&gt;Voorblad!$K$41,0,IF($U123=0,0,IF($U123&lt;1,1/$U123,IF((FJ$56-Voorblad!$F$41)/$U123-SUM($EE123:FI123)=1,1,0))))</f>
        <v>1</v>
      </c>
      <c r="FK123" s="8">
        <f>IF(FK$56-Voorblad!$F$41&gt;Voorblad!$K$41,0,IF($U123=0,0,IF($U123&lt;1,1/$U123,IF((FK$56-Voorblad!$F$41)/$U123-SUM($EE123:FJ123)=1,1,0))))</f>
        <v>0</v>
      </c>
      <c r="FL123" s="8">
        <f>IF(FL$56-Voorblad!$F$41&gt;Voorblad!$K$41,0,IF($U123=0,0,IF($U123&lt;1,1/$U123,IF((FL$56-Voorblad!$F$41)/$U123-SUM($EE123:FK123)=1,1,0))))</f>
        <v>0</v>
      </c>
      <c r="FM123" s="8">
        <f>IF(FM$56-Voorblad!$F$41&gt;Voorblad!$K$41,0,IF($U123=0,0,IF($U123&lt;1,1/$U123,IF((FM$56-Voorblad!$F$41)/$U123-SUM($EE123:FL123)=1,1,0))))</f>
        <v>0</v>
      </c>
      <c r="FN123" s="8">
        <f>IF(FN$56-Voorblad!$F$41&gt;Voorblad!$K$41,0,IF($U123=0,0,IF($U123&lt;1,1/$U123,IF((FN$56-Voorblad!$F$41)/$U123-SUM($EE123:FM123)=1,1,0))))</f>
        <v>0</v>
      </c>
      <c r="FO123" s="8">
        <f>IF(FO$56-Voorblad!$F$41&gt;Voorblad!$K$41,0,IF($U123=0,0,IF($U123&lt;1,1/$U123,IF((FO$56-Voorblad!$F$41)/$U123-SUM($EE123:FN123)=1,1,0))))</f>
        <v>0</v>
      </c>
      <c r="FP123" s="8">
        <f>IF(FP$56-Voorblad!$F$41&gt;Voorblad!$K$41,0,IF($U123=0,0,IF($U123&lt;1,1/$U123,IF((FP$56-Voorblad!$F$41)/$U123-SUM($EE123:FO123)=1,1,0))))</f>
        <v>0</v>
      </c>
      <c r="FQ123" s="8">
        <f>IF(FQ$56-Voorblad!$F$41&gt;Voorblad!$K$41,0,IF($U123=0,0,IF($U123&lt;1,1/$U123,IF((FQ$56-Voorblad!$F$41)/$U123-SUM($EE123:FP123)=1,1,0))))</f>
        <v>0</v>
      </c>
      <c r="FR123" s="8">
        <f>IF(FR$56-Voorblad!$F$41&gt;Voorblad!$K$41,0,IF($U123=0,0,IF($U123&lt;1,1/$U123,IF((FR$56-Voorblad!$F$41)/$U123-SUM($EE123:FQ123)=1,1,0))))</f>
        <v>0</v>
      </c>
      <c r="FS123" s="8">
        <f>IF(FS$56-Voorblad!$F$41&gt;Voorblad!$K$41,0,IF($U123=0,0,IF($U123&lt;1,1/$U123,IF((FS$56-Voorblad!$F$41)/$U123-SUM($EE123:FR123)=1,1,0))))</f>
        <v>0</v>
      </c>
      <c r="FT123" s="8">
        <f>IF(FT$56-Voorblad!$F$41&gt;Voorblad!$K$41,0,IF($U123=0,0,IF($U123&lt;1,1/$U123,IF((FT$56-Voorblad!$F$41)/$U123-SUM($EE123:FS123)=1,1,0))))</f>
        <v>0</v>
      </c>
      <c r="FU123" s="8">
        <f>IF(FU$56-Voorblad!$F$41&gt;Voorblad!$K$41,0,IF($U123=0,0,IF($U123&lt;1,1/$U123,IF((FU$56-Voorblad!$F$41)/$U123-SUM($EE123:FT123)=1,1,0))))</f>
        <v>0</v>
      </c>
      <c r="FV123" s="8">
        <f>IF(FV$56-Voorblad!$F$41&gt;Voorblad!$K$41,0,IF($U123=0,0,IF($U123&lt;1,1/$U123,IF((FV$56-Voorblad!$F$41)/$U123-SUM($EE123:FU123)=1,1,0))))</f>
        <v>0</v>
      </c>
      <c r="FW123" s="8">
        <f>IF(FW$56-Voorblad!$F$41&gt;Voorblad!$K$41,0,IF($U123=0,0,IF($U123&lt;1,1/$U123,IF((FW$56-Voorblad!$F$41)/$U123-SUM($EE123:FV123)=1,1,0))))</f>
        <v>0</v>
      </c>
      <c r="FX123" s="8">
        <f>IF(FX$56-Voorblad!$F$41&gt;Voorblad!$K$41,0,IF($U123=0,0,IF($U123&lt;1,1/$U123,IF((FX$56-Voorblad!$F$41)/$U123-SUM($EE123:FW123)=1,1,0))))</f>
        <v>0</v>
      </c>
      <c r="FY123" s="8">
        <f>IF(FY$56-Voorblad!$F$41&gt;Voorblad!$K$41,0,IF($U123=0,0,IF($U123&lt;1,1/$U123,IF((FY$56-Voorblad!$F$41)/$U123-SUM($EE123:FX123)=1,1,0))))</f>
        <v>1</v>
      </c>
      <c r="FZ123" s="8">
        <f>IF(FZ$56-Voorblad!$F$41&gt;Voorblad!$K$41,0,IF($U123=0,0,IF($U123&lt;1,1/$U123,IF((FZ$56-Voorblad!$F$41)/$U123-SUM($EE123:FY123)=1,1,0))))</f>
        <v>0</v>
      </c>
      <c r="GA123" s="8">
        <f>IF(GA$56-Voorblad!$F$41&gt;Voorblad!$K$41,0,IF($U123=0,0,IF($U123&lt;1,1/$U123,IF((GA$56-Voorblad!$F$41)/$U123-SUM($EE123:FZ123)=1,1,0))))</f>
        <v>0</v>
      </c>
      <c r="GB123" s="8">
        <f>IF(GB$56-Voorblad!$F$41&gt;Voorblad!$K$41,0,IF($U123=0,0,IF($U123&lt;1,1/$U123,IF((GB$56-Voorblad!$F$41)/$U123-SUM($EE123:GA123)=1,1,0))))</f>
        <v>0</v>
      </c>
      <c r="GC123" s="8">
        <f>IF(GC$56-Voorblad!$F$41&gt;Voorblad!$K$41,0,IF($U123=0,0,IF($U123&lt;1,1/$U123,IF((GC$56-Voorblad!$F$41)/$U123-SUM($EE123:GB123)=1,1,0))))</f>
        <v>0</v>
      </c>
      <c r="GD123" s="8">
        <f>IF(GD$56-Voorblad!$F$41&gt;Voorblad!$K$41,0,IF($U123=0,0,IF($U123&lt;1,1/$U123,IF((GD$56-Voorblad!$F$41)/$U123-SUM($EE123:GC123)=1,1,0))))</f>
        <v>0</v>
      </c>
      <c r="GE123" s="8">
        <f>IF(GE$56-Voorblad!$F$41&gt;Voorblad!$K$41,0,IF($U123=0,0,IF($U123&lt;1,1/$U123,IF((GE$56-Voorblad!$F$41)/$U123-SUM($EE123:GD123)=1,1,0))))</f>
        <v>0</v>
      </c>
      <c r="GF123" s="8">
        <f>IF(GF$56-Voorblad!$F$41&gt;Voorblad!$K$41,0,IF($U123=0,0,IF($U123&lt;1,1/$U123,IF((GF$56-Voorblad!$F$41)/$U123-SUM($EE123:GE123)=1,1,0))))</f>
        <v>0</v>
      </c>
      <c r="GG123" s="8">
        <f>IF(GG$56-Voorblad!$F$41&gt;Voorblad!$K$41,0,IF($U123=0,0,IF($U123&lt;1,1/$U123,IF((GG$56-Voorblad!$F$41)/$U123-SUM($EE123:GF123)=1,1,0))))</f>
        <v>0</v>
      </c>
      <c r="GH123" s="8">
        <f>IF(GH$56-Voorblad!$F$41&gt;Voorblad!$K$41,0,IF($U123=0,0,IF($U123&lt;1,1/$U123,IF((GH$56-Voorblad!$F$41)/$U123-SUM($EE123:GG123)=1,1,0))))</f>
        <v>0</v>
      </c>
      <c r="GI123" s="8">
        <f>IF(GI$56-Voorblad!$F$41&gt;Voorblad!$K$41,0,IF($U123=0,0,IF($U123&lt;1,1/$U123,IF((GI$56-Voorblad!$F$41)/$U123-SUM($EE123:GH123)=1,1,0))))</f>
        <v>0</v>
      </c>
      <c r="GJ123" s="8">
        <f>IF(GJ$56-Voorblad!$F$41&gt;Voorblad!$K$41,0,IF($U123=0,0,IF($U123&lt;1,1/$U123,IF((GJ$56-Voorblad!$F$41)/$U123-SUM($EE123:GI123)=1,1,0))))</f>
        <v>0</v>
      </c>
      <c r="GK123" s="8">
        <f>IF(GK$56-Voorblad!$F$41&gt;Voorblad!$K$41,0,IF($U123=0,0,IF($U123&lt;1,1/$U123,IF((GK$56-Voorblad!$F$41)/$U123-SUM($EE123:GJ123)=1,1,0))))</f>
        <v>0</v>
      </c>
      <c r="GL123" s="8">
        <f>IF(GL$56-Voorblad!$F$41&gt;Voorblad!$K$41,0,IF($U123=0,0,IF($U123&lt;1,1/$U123,IF((GL$56-Voorblad!$F$41)/$U123-SUM($EE123:GK123)=1,1,0))))</f>
        <v>0</v>
      </c>
      <c r="GM123" s="8">
        <f>IF(GM$56-Voorblad!$F$41&gt;Voorblad!$K$41,0,IF($U123=0,0,IF($U123&lt;1,1/$U123,IF((GM$56-Voorblad!$F$41)/$U123-SUM($EE123:GL123)=1,1,0))))</f>
        <v>0</v>
      </c>
      <c r="GN123" s="8">
        <f>IF(GN$56-Voorblad!$F$41&gt;Voorblad!$K$41,0,IF($U123=0,0,IF($U123&lt;1,1/$U123,IF((GN$56-Voorblad!$F$41)/$U123-SUM($EE123:GM123)=1,1,0))))</f>
        <v>1</v>
      </c>
      <c r="GO123" s="8">
        <f>IF(GO$56-Voorblad!$F$41&gt;Voorblad!$K$41,0,IF($U123=0,0,IF($U123&lt;1,1/$U123,IF((GO$56-Voorblad!$F$41)/$U123-SUM($EE123:GN123)=1,1,0))))</f>
        <v>0</v>
      </c>
      <c r="GP123" s="8">
        <f>IF(GP$56-Voorblad!$F$41&gt;Voorblad!$K$41,0,IF($U123=0,0,IF($U123&lt;1,1/$U123,IF((GP$56-Voorblad!$F$41)/$U123-SUM($EE123:GO123)=1,1,0))))</f>
        <v>0</v>
      </c>
      <c r="GQ123" s="8">
        <f>IF(GQ$56-Voorblad!$F$41&gt;Voorblad!$K$41,0,IF($U123=0,0,IF($U123&lt;1,1/$U123,IF((GQ$56-Voorblad!$F$41)/$U123-SUM($EE123:GP123)=1,1,0))))</f>
        <v>0</v>
      </c>
      <c r="GR123" s="8">
        <f>IF(GR$56-Voorblad!$F$41&gt;Voorblad!$K$41,0,IF($U123=0,0,IF($U123&lt;1,1/$U123,IF((GR$56-Voorblad!$F$41)/$U123-SUM($EE123:GQ123)=1,1,0))))</f>
        <v>0</v>
      </c>
      <c r="GS123" s="8">
        <f>IF(GS$56-Voorblad!$F$41&gt;Voorblad!$K$41,0,IF($U123=0,0,IF($U123&lt;1,1/$U123,IF((GS$56-Voorblad!$F$41)/$U123-SUM($EE123:GR123)=1,1,0))))</f>
        <v>0</v>
      </c>
      <c r="GT123" s="8">
        <f>IF(GT$56-Voorblad!$F$41&gt;Voorblad!$K$41,0,IF($U123=0,0,IF($U123&lt;1,1/$U123,IF((GT$56-Voorblad!$F$41)/$U123-SUM($EE123:GS123)=1,1,0))))</f>
        <v>0</v>
      </c>
      <c r="GU123" s="8">
        <f>IF(GU$56-Voorblad!$F$41&gt;Voorblad!$K$41,0,IF($U123=0,0,IF($U123&lt;1,1/$U123,IF((GU$56-Voorblad!$F$41)/$U123-SUM($EE123:GT123)=1,1,0))))</f>
        <v>0</v>
      </c>
      <c r="GV123" s="8">
        <f>IF(GV$56-Voorblad!$F$41&gt;Voorblad!$K$41,0,IF($U123=0,0,IF($U123&lt;1,1/$U123,IF((GV$56-Voorblad!$F$41)/$U123-SUM($EE123:GU123)=1,1,0))))</f>
        <v>0</v>
      </c>
      <c r="GW123" s="8">
        <f>IF(GW$56-Voorblad!$F$41&gt;Voorblad!$K$41,0,IF($U123=0,0,IF($U123&lt;1,1/$U123,IF((GW$56-Voorblad!$F$41)/$U123-SUM($EE123:GV123)=1,1,0))))</f>
        <v>0</v>
      </c>
      <c r="GX123" s="8">
        <f>IF(GX$56-Voorblad!$F$41&gt;Voorblad!$K$41,0,IF($U123=0,0,IF($U123&lt;1,1/$U123,IF((GX$56-Voorblad!$F$41)/$U123-SUM($EE123:GW123)=1,1,0))))</f>
        <v>0</v>
      </c>
      <c r="GY123" s="8">
        <f>IF(GY$56-Voorblad!$F$41&gt;Voorblad!$K$41,0,IF($U123=0,0,IF($U123&lt;1,1/$U123,IF((GY$56-Voorblad!$F$41)/$U123-SUM($EE123:GX123)=1,1,0))))</f>
        <v>0</v>
      </c>
      <c r="GZ123" s="8">
        <f>IF(GZ$56-Voorblad!$F$41&gt;Voorblad!$K$41,0,IF($U123=0,0,IF($U123&lt;1,1/$U123,IF((GZ$56-Voorblad!$F$41)/$U123-SUM($EE123:GY123)=1,1,0))))</f>
        <v>0</v>
      </c>
      <c r="HA123" s="8">
        <f>IF(HA$56-Voorblad!$F$41&gt;Voorblad!$K$41,0,IF($U123=0,0,IF($U123&lt;1,1/$U123,IF((HA$56-Voorblad!$F$41)/$U123-SUM($EE123:GZ123)=1,1,0))))</f>
        <v>0</v>
      </c>
      <c r="HB123" s="8">
        <f>IF(HB$56-Voorblad!$F$41&gt;Voorblad!$K$41,0,IF($U123=0,0,IF($U123&lt;1,1/$U123,IF((HB$56-Voorblad!$F$41)/$U123-SUM($EE123:HA123)=1,1,0))))</f>
        <v>0</v>
      </c>
      <c r="HC123" s="8">
        <f>IF(HC$56-Voorblad!$F$41&gt;Voorblad!$K$41,0,IF($U123=0,0,IF($U123&lt;1,1/$U123,IF((HC$56-Voorblad!$F$41)/$U123-SUM($EE123:HB123)=1,1,0))))</f>
        <v>0</v>
      </c>
      <c r="HD123" s="8">
        <f>IF(HD$56-Voorblad!$F$41&gt;Voorblad!$K$41,0,IF($U123=0,0,IF($U123&lt;1,1/$U123,IF((HD$56-Voorblad!$F$41)/$U123-SUM($EE123:HC123)=1,1,0))))</f>
        <v>0</v>
      </c>
      <c r="HE123" s="8">
        <f>IF(HE$56-Voorblad!$F$41&gt;Voorblad!$K$41,0,IF($U123=0,0,IF($U123&lt;1,1/$U123,IF((HE$56-Voorblad!$F$41)/$U123-SUM($EE123:HD123)=1,1,0))))</f>
        <v>0</v>
      </c>
      <c r="HF123" s="8">
        <f>IF(HF$56-Voorblad!$F$41&gt;Voorblad!$K$41,0,IF($U123=0,0,IF($U123&lt;1,1/$U123,IF((HF$56-Voorblad!$F$41)/$U123-SUM($EE123:HE123)=1,1,0))))</f>
        <v>0</v>
      </c>
      <c r="HG123" s="8">
        <f>IF(HG$56-Voorblad!$F$41&gt;Voorblad!$K$41,0,IF($U123=0,0,IF($U123&lt;1,1/$U123,IF((HG$56-Voorblad!$F$41)/$U123-SUM($EE123:HF123)=1,1,0))))</f>
        <v>0</v>
      </c>
      <c r="HH123" s="8">
        <f>IF(HH$56-Voorblad!$F$41&gt;Voorblad!$K$41,0,IF($U123=0,0,IF($U123&lt;1,1/$U123,IF((HH$56-Voorblad!$F$41)/$U123-SUM($EE123:HG123)=1,1,0))))</f>
        <v>0</v>
      </c>
      <c r="HI123" s="8">
        <f>IF(HI$56-Voorblad!$F$41&gt;Voorblad!$K$41,0,IF($U123=0,0,IF($U123&lt;1,1/$U123,IF((HI$56-Voorblad!$F$41)/$U123-SUM($EE123:HH123)=1,1,0))))</f>
        <v>0</v>
      </c>
      <c r="HJ123" s="8">
        <f>IF(HJ$56-Voorblad!$F$41&gt;Voorblad!$K$41,0,IF($U123=0,0,IF($U123&lt;1,1/$U123,IF((HJ$56-Voorblad!$F$41)/$U123-SUM($EE123:HI123)=1,1,0))))</f>
        <v>0</v>
      </c>
      <c r="HK123" s="8">
        <f>IF(HK$56-Voorblad!$F$41&gt;Voorblad!$K$41,0,IF($U123=0,0,IF($U123&lt;1,1/$U123,IF((HK$56-Voorblad!$F$41)/$U123-SUM($EE123:HJ123)=1,1,0))))</f>
        <v>0</v>
      </c>
      <c r="HL123" s="8">
        <f>IF(HL$56-Voorblad!$F$41&gt;Voorblad!$K$41,0,IF($U123=0,0,IF($U123&lt;1,1/$U123,IF((HL$56-Voorblad!$F$41)/$U123-SUM($EE123:HK123)=1,1,0))))</f>
        <v>0</v>
      </c>
      <c r="HM123" s="8">
        <f>IF(HM$56-Voorblad!$F$41&gt;Voorblad!$K$41,0,IF($U123=0,0,IF($U123&lt;1,1/$U123,IF((HM$56-Voorblad!$F$41)/$U123-SUM($EE123:HL123)=1,1,0))))</f>
        <v>0</v>
      </c>
      <c r="HN123" s="8">
        <f>IF(HN$56-Voorblad!$F$41&gt;Voorblad!$K$41,0,IF($U123=0,0,IF($U123&lt;1,1/$U123,IF((HN$56-Voorblad!$F$41)/$U123-SUM($EE123:HM123)=1,1,0))))</f>
        <v>0</v>
      </c>
      <c r="HO123" s="8">
        <f>IF(HO$56-Voorblad!$F$41&gt;Voorblad!$K$41,0,IF($U123=0,0,IF($U123&lt;1,1/$U123,IF((HO$56-Voorblad!$F$41)/$U123-SUM($EE123:HN123)=1,1,0))))</f>
        <v>0</v>
      </c>
      <c r="HP123" s="8">
        <f>IF(HP$56-Voorblad!$F$41&gt;Voorblad!$K$41,0,IF($U123=0,0,IF($U123&lt;1,1/$U123,IF((HP$56-Voorblad!$F$41)/$U123-SUM($EE123:HO123)=1,1,0))))</f>
        <v>0</v>
      </c>
      <c r="HQ123" s="8">
        <f>IF(HQ$56-Voorblad!$F$41&gt;Voorblad!$K$41,0,IF($U123=0,0,IF($U123&lt;1,1/$U123,IF((HQ$56-Voorblad!$F$41)/$U123-SUM($EE123:HP123)=1,1,0))))</f>
        <v>0</v>
      </c>
      <c r="HR123" s="8">
        <f>IF(HR$56-Voorblad!$F$41&gt;Voorblad!$K$41,0,IF($U123=0,0,IF($U123&lt;1,1/$U123,IF((HR$56-Voorblad!$F$41)/$U123-SUM($EE123:HQ123)=1,1,0))))</f>
        <v>0</v>
      </c>
      <c r="HS123" s="8">
        <f>IF(HS$56-Voorblad!$F$41&gt;Voorblad!$K$41,0,IF($U123=0,0,IF($U123&lt;1,1/$U123,IF((HS$56-Voorblad!$F$41)/$U123-SUM($EE123:HR123)=1,1,0))))</f>
        <v>0</v>
      </c>
      <c r="HT123" s="8">
        <f>IF(HT$56-Voorblad!$F$41&gt;Voorblad!$K$41,0,IF($U123=0,0,IF($U123&lt;1,1/$U123,IF((HT$56-Voorblad!$F$41)/$U123-SUM($EE123:HS123)=1,1,0))))</f>
        <v>0</v>
      </c>
      <c r="HU123" s="8">
        <f>IF(HU$56-Voorblad!$F$41&gt;Voorblad!$K$41,0,IF($U123=0,0,IF($U123&lt;1,1/$U123,IF((HU$56-Voorblad!$F$41)/$U123-SUM($EE123:HT123)=1,1,0))))</f>
        <v>0</v>
      </c>
      <c r="HV123" s="8">
        <f>IF(HV$56-Voorblad!$F$41&gt;Voorblad!$K$41,0,IF($U123=0,0,IF($U123&lt;1,1/$U123,IF((HV$56-Voorblad!$F$41)/$U123-SUM($EE123:HU123)=1,1,0))))</f>
        <v>0</v>
      </c>
      <c r="HW123" s="8">
        <f>IF(HW$56-Voorblad!$F$41&gt;Voorblad!$K$41,0,IF($U123=0,0,IF($U123&lt;1,1/$U123,IF((HW$56-Voorblad!$F$41)/$U123-SUM($EE123:HV123)=1,1,0))))</f>
        <v>0</v>
      </c>
      <c r="HX123" s="8">
        <f>IF(HX$56-Voorblad!$F$41&gt;Voorblad!$K$41,0,IF($U123=0,0,IF($U123&lt;1,1/$U123,IF((HX$56-Voorblad!$F$41)/$U123-SUM($EE123:HW123)=1,1,0))))</f>
        <v>0</v>
      </c>
      <c r="HY123" s="8">
        <f>IF(HY$56-Voorblad!$F$41&gt;Voorblad!$K$41,0,IF($U123=0,0,IF($U123&lt;1,1/$U123,IF((HY$56-Voorblad!$F$41)/$U123-SUM($EE123:HX123)=1,1,0))))</f>
        <v>0</v>
      </c>
      <c r="HZ123" s="8">
        <f>IF(HZ$56-Voorblad!$F$41&gt;Voorblad!$K$41,0,IF($U123=0,0,IF($U123&lt;1,1/$U123,IF((HZ$56-Voorblad!$F$41)/$U123-SUM($EE123:HY123)=1,1,0))))</f>
        <v>0</v>
      </c>
      <c r="IA123" s="8">
        <f>IF(IA$56-Voorblad!$F$41&gt;Voorblad!$K$41,0,IF($U123=0,0,IF($U123&lt;1,1/$U123,IF((IA$56-Voorblad!$F$41)/$U123-SUM($EE123:HZ123)=1,1,0))))</f>
        <v>0</v>
      </c>
      <c r="IB123" s="8">
        <f>IF(IB$56-Voorblad!$F$41&gt;Voorblad!$K$41,0,IF($U123=0,0,IF($U123&lt;1,1/$U123,IF((IB$56-Voorblad!$F$41)/$U123-SUM($EE123:IA123)=1,1,0))))</f>
        <v>0</v>
      </c>
    </row>
    <row r="124" spans="2:236" ht="12" customHeight="1" outlineLevel="1" x14ac:dyDescent="0.25">
      <c r="B124" s="1">
        <v>3</v>
      </c>
      <c r="F124" s="1" t="s">
        <v>23</v>
      </c>
      <c r="I124" s="1" t="s">
        <v>277</v>
      </c>
      <c r="K124" s="14" t="s">
        <v>207</v>
      </c>
      <c r="L124" s="14"/>
      <c r="M124" s="14"/>
      <c r="O124" s="1" t="s">
        <v>178</v>
      </c>
      <c r="P124" s="1" t="s">
        <v>183</v>
      </c>
      <c r="Q124" s="81">
        <v>0</v>
      </c>
      <c r="R124" s="1" t="s">
        <v>35</v>
      </c>
      <c r="S124" s="21">
        <f>$H$20*0.6*100</f>
        <v>106.2</v>
      </c>
      <c r="T124" s="9">
        <f t="shared" si="20"/>
        <v>0</v>
      </c>
      <c r="U124" s="14">
        <v>15</v>
      </c>
      <c r="V124" s="14"/>
      <c r="Y124" s="9">
        <f t="shared" si="23"/>
        <v>0</v>
      </c>
      <c r="Z124" s="82"/>
      <c r="AA124" s="82"/>
      <c r="AC124" s="229">
        <f>$Y124*(Voorblad!$K$44*(1+Voorblad!$K$44)^Voorblad!$K$41)/((1+Voorblad!$K$44)^Voorblad!$K$41-1)</f>
        <v>0</v>
      </c>
      <c r="AE124" s="9">
        <f>EF124*($Q124*$S124)/(1+Voorblad!$K$44)^(AE$56-Voorblad!$F$41)</f>
        <v>0</v>
      </c>
      <c r="AF124" s="9">
        <f>EG124*($Q124*$S124)/(1+Voorblad!$K$44)^(AF$56-Voorblad!$F$41)</f>
        <v>0</v>
      </c>
      <c r="AG124" s="9">
        <f>EH124*($Q124*$S124)/(1+Voorblad!$K$44)^(AG$56-Voorblad!$F$41)</f>
        <v>0</v>
      </c>
      <c r="AH124" s="9">
        <f>EI124*($Q124*$S124)/(1+Voorblad!$K$44)^(AH$56-Voorblad!$F$41)</f>
        <v>0</v>
      </c>
      <c r="AI124" s="9">
        <f>EJ124*($Q124*$S124)/(1+Voorblad!$K$44)^(AI$56-Voorblad!$F$41)</f>
        <v>0</v>
      </c>
      <c r="AJ124" s="9">
        <f>EK124*($Q124*$S124)/(1+Voorblad!$K$44)^(AJ$56-Voorblad!$F$41)</f>
        <v>0</v>
      </c>
      <c r="AK124" s="9">
        <f>EL124*($Q124*$S124)/(1+Voorblad!$K$44)^(AK$56-Voorblad!$F$41)</f>
        <v>0</v>
      </c>
      <c r="AL124" s="9">
        <f>EM124*($Q124*$S124)/(1+Voorblad!$K$44)^(AL$56-Voorblad!$F$41)</f>
        <v>0</v>
      </c>
      <c r="AM124" s="9">
        <f>EN124*($Q124*$S124)/(1+Voorblad!$K$44)^(AM$56-Voorblad!$F$41)</f>
        <v>0</v>
      </c>
      <c r="AN124" s="9">
        <f>EO124*($Q124*$S124)/(1+Voorblad!$K$44)^(AN$56-Voorblad!$F$41)</f>
        <v>0</v>
      </c>
      <c r="AO124" s="9">
        <f>EP124*($Q124*$S124)/(1+Voorblad!$K$44)^(AO$56-Voorblad!$F$41)</f>
        <v>0</v>
      </c>
      <c r="AP124" s="9">
        <f>EQ124*($Q124*$S124)/(1+Voorblad!$K$44)^(AP$56-Voorblad!$F$41)</f>
        <v>0</v>
      </c>
      <c r="AQ124" s="9">
        <f>ER124*($Q124*$S124)/(1+Voorblad!$K$44)^(AQ$56-Voorblad!$F$41)</f>
        <v>0</v>
      </c>
      <c r="AR124" s="9">
        <f>ES124*($Q124*$S124)/(1+Voorblad!$K$44)^(AR$56-Voorblad!$F$41)</f>
        <v>0</v>
      </c>
      <c r="AS124" s="9">
        <f>ET124*($Q124*$S124)/(1+Voorblad!$K$44)^(AS$56-Voorblad!$F$41)</f>
        <v>0</v>
      </c>
      <c r="AT124" s="9">
        <f>EU124*($Q124*$S124)/(1+Voorblad!$K$44)^(AT$56-Voorblad!$F$41)</f>
        <v>0</v>
      </c>
      <c r="AU124" s="9">
        <f>EV124*($Q124*$S124)/(1+Voorblad!$K$44)^(AU$56-Voorblad!$F$41)</f>
        <v>0</v>
      </c>
      <c r="AV124" s="9">
        <f>EW124*($Q124*$S124)/(1+Voorblad!$K$44)^(AV$56-Voorblad!$F$41)</f>
        <v>0</v>
      </c>
      <c r="AW124" s="9">
        <f>EX124*($Q124*$S124)/(1+Voorblad!$K$44)^(AW$56-Voorblad!$F$41)</f>
        <v>0</v>
      </c>
      <c r="AX124" s="9">
        <f>EY124*($Q124*$S124)/(1+Voorblad!$K$44)^(AX$56-Voorblad!$F$41)</f>
        <v>0</v>
      </c>
      <c r="AY124" s="9">
        <f>EZ124*($Q124*$S124)/(1+Voorblad!$K$44)^(AY$56-Voorblad!$F$41)</f>
        <v>0</v>
      </c>
      <c r="AZ124" s="9">
        <f>FA124*($Q124*$S124)/(1+Voorblad!$K$44)^(AZ$56-Voorblad!$F$41)</f>
        <v>0</v>
      </c>
      <c r="BA124" s="9">
        <f>FB124*($Q124*$S124)/(1+Voorblad!$K$44)^(BA$56-Voorblad!$F$41)</f>
        <v>0</v>
      </c>
      <c r="BB124" s="9">
        <f>FC124*($Q124*$S124)/(1+Voorblad!$K$44)^(BB$56-Voorblad!$F$41)</f>
        <v>0</v>
      </c>
      <c r="BC124" s="9">
        <f>FD124*($Q124*$S124)/(1+Voorblad!$K$44)^(BC$56-Voorblad!$F$41)</f>
        <v>0</v>
      </c>
      <c r="BD124" s="9">
        <f>FE124*($Q124*$S124)/(1+Voorblad!$K$44)^(BD$56-Voorblad!$F$41)</f>
        <v>0</v>
      </c>
      <c r="BE124" s="9">
        <f>FF124*($Q124*$S124)/(1+Voorblad!$K$44)^(BE$56-Voorblad!$F$41)</f>
        <v>0</v>
      </c>
      <c r="BF124" s="9">
        <f>FG124*($Q124*$S124)/(1+Voorblad!$K$44)^(BF$56-Voorblad!$F$41)</f>
        <v>0</v>
      </c>
      <c r="BG124" s="9">
        <f>FH124*($Q124*$S124)/(1+Voorblad!$K$44)^(BG$56-Voorblad!$F$41)</f>
        <v>0</v>
      </c>
      <c r="BH124" s="9">
        <f>FI124*($Q124*$S124)/(1+Voorblad!$K$44)^(BH$56-Voorblad!$F$41)</f>
        <v>0</v>
      </c>
      <c r="BI124" s="9">
        <f>FJ124*($Q124*$S124)/(1+Voorblad!$K$44)^(BI$56-Voorblad!$F$41)</f>
        <v>0</v>
      </c>
      <c r="BJ124" s="9">
        <f>FK124*($Q124*$S124)/(1+Voorblad!$K$44)^(BJ$56-Voorblad!$F$41)</f>
        <v>0</v>
      </c>
      <c r="BK124" s="9">
        <f>FL124*($Q124*$S124)/(1+Voorblad!$K$44)^(BK$56-Voorblad!$F$41)</f>
        <v>0</v>
      </c>
      <c r="BL124" s="9">
        <f>FM124*($Q124*$S124)/(1+Voorblad!$K$44)^(BL$56-Voorblad!$F$41)</f>
        <v>0</v>
      </c>
      <c r="BM124" s="9">
        <f>FN124*($Q124*$S124)/(1+Voorblad!$K$44)^(BM$56-Voorblad!$F$41)</f>
        <v>0</v>
      </c>
      <c r="BN124" s="9">
        <f>FO124*($Q124*$S124)/(1+Voorblad!$K$44)^(BN$56-Voorblad!$F$41)</f>
        <v>0</v>
      </c>
      <c r="BO124" s="9">
        <f>FP124*($Q124*$S124)/(1+Voorblad!$K$44)^(BO$56-Voorblad!$F$41)</f>
        <v>0</v>
      </c>
      <c r="BP124" s="9">
        <f>FQ124*($Q124*$S124)/(1+Voorblad!$K$44)^(BP$56-Voorblad!$F$41)</f>
        <v>0</v>
      </c>
      <c r="BQ124" s="9">
        <f>FR124*($Q124*$S124)/(1+Voorblad!$K$44)^(BQ$56-Voorblad!$F$41)</f>
        <v>0</v>
      </c>
      <c r="BR124" s="9">
        <f>FS124*($Q124*$S124)/(1+Voorblad!$K$44)^(BR$56-Voorblad!$F$41)</f>
        <v>0</v>
      </c>
      <c r="BS124" s="9">
        <f>FT124*($Q124*$S124)/(1+Voorblad!$K$44)^(BS$56-Voorblad!$F$41)</f>
        <v>0</v>
      </c>
      <c r="BT124" s="9">
        <f>FU124*($Q124*$S124)/(1+Voorblad!$K$44)^(BT$56-Voorblad!$F$41)</f>
        <v>0</v>
      </c>
      <c r="BU124" s="9">
        <f>FV124*($Q124*$S124)/(1+Voorblad!$K$44)^(BU$56-Voorblad!$F$41)</f>
        <v>0</v>
      </c>
      <c r="BV124" s="9">
        <f>FW124*($Q124*$S124)/(1+Voorblad!$K$44)^(BV$56-Voorblad!$F$41)</f>
        <v>0</v>
      </c>
      <c r="BW124" s="9">
        <f>FX124*($Q124*$S124)/(1+Voorblad!$K$44)^(BW$56-Voorblad!$F$41)</f>
        <v>0</v>
      </c>
      <c r="BX124" s="9">
        <f>FY124*($Q124*$S124)/(1+Voorblad!$K$44)^(BX$56-Voorblad!$F$41)</f>
        <v>0</v>
      </c>
      <c r="BY124" s="9">
        <f>FZ124*($Q124*$S124)/(1+Voorblad!$K$44)^(BY$56-Voorblad!$F$41)</f>
        <v>0</v>
      </c>
      <c r="BZ124" s="9">
        <f>GA124*($Q124*$S124)/(1+Voorblad!$K$44)^(BZ$56-Voorblad!$F$41)</f>
        <v>0</v>
      </c>
      <c r="CA124" s="9">
        <f>GB124*($Q124*$S124)/(1+Voorblad!$K$44)^(CA$56-Voorblad!$F$41)</f>
        <v>0</v>
      </c>
      <c r="CB124" s="9">
        <f>GC124*($Q124*$S124)/(1+Voorblad!$K$44)^(CB$56-Voorblad!$F$41)</f>
        <v>0</v>
      </c>
      <c r="CC124" s="9">
        <f>GD124*($Q124*$S124)/(1+Voorblad!$K$44)^(CC$56-Voorblad!$F$41)</f>
        <v>0</v>
      </c>
      <c r="CD124" s="9">
        <f>GE124*($Q124*$S124)/(1+Voorblad!$K$44)^(CD$56-Voorblad!$F$41)</f>
        <v>0</v>
      </c>
      <c r="CE124" s="9">
        <f>GF124*($Q124*$S124)/(1+Voorblad!$K$44)^(CE$56-Voorblad!$F$41)</f>
        <v>0</v>
      </c>
      <c r="CF124" s="9">
        <f>GG124*($Q124*$S124)/(1+Voorblad!$K$44)^(CF$56-Voorblad!$F$41)</f>
        <v>0</v>
      </c>
      <c r="CG124" s="9">
        <f>GH124*($Q124*$S124)/(1+Voorblad!$K$44)^(CG$56-Voorblad!$F$41)</f>
        <v>0</v>
      </c>
      <c r="CH124" s="9">
        <f>GI124*($Q124*$S124)/(1+Voorblad!$K$44)^(CH$56-Voorblad!$F$41)</f>
        <v>0</v>
      </c>
      <c r="CI124" s="9">
        <f>GJ124*($Q124*$S124)/(1+Voorblad!$K$44)^(CI$56-Voorblad!$F$41)</f>
        <v>0</v>
      </c>
      <c r="CJ124" s="9">
        <f>GK124*($Q124*$S124)/(1+Voorblad!$K$44)^(CJ$56-Voorblad!$F$41)</f>
        <v>0</v>
      </c>
      <c r="CK124" s="9">
        <f>GL124*($Q124*$S124)/(1+Voorblad!$K$44)^(CK$56-Voorblad!$F$41)</f>
        <v>0</v>
      </c>
      <c r="CL124" s="9">
        <f>GM124*($Q124*$S124)/(1+Voorblad!$K$44)^(CL$56-Voorblad!$F$41)</f>
        <v>0</v>
      </c>
      <c r="CM124" s="9">
        <f>GN124*($Q124*$S124)/(1+Voorblad!$K$44)^(CM$56-Voorblad!$F$41)</f>
        <v>0</v>
      </c>
      <c r="CN124" s="9">
        <f>GO124*($Q124*$S124)/(1+Voorblad!$K$44)^(CN$56-Voorblad!$F$41)</f>
        <v>0</v>
      </c>
      <c r="CO124" s="9">
        <f>GP124*($Q124*$S124)/(1+Voorblad!$K$44)^(CO$56-Voorblad!$F$41)</f>
        <v>0</v>
      </c>
      <c r="CP124" s="9">
        <f>GQ124*($Q124*$S124)/(1+Voorblad!$K$44)^(CP$56-Voorblad!$F$41)</f>
        <v>0</v>
      </c>
      <c r="CQ124" s="9">
        <f>GR124*($Q124*$S124)/(1+Voorblad!$K$44)^(CQ$56-Voorblad!$F$41)</f>
        <v>0</v>
      </c>
      <c r="CR124" s="9">
        <f>GS124*($Q124*$S124)/(1+Voorblad!$K$44)^(CR$56-Voorblad!$F$41)</f>
        <v>0</v>
      </c>
      <c r="CS124" s="9">
        <f>GT124*($Q124*$S124)/(1+Voorblad!$K$44)^(CS$56-Voorblad!$F$41)</f>
        <v>0</v>
      </c>
      <c r="CT124" s="9">
        <f>GU124*($Q124*$S124)/(1+Voorblad!$K$44)^(CT$56-Voorblad!$F$41)</f>
        <v>0</v>
      </c>
      <c r="CU124" s="9">
        <f>GV124*($Q124*$S124)/(1+Voorblad!$K$44)^(CU$56-Voorblad!$F$41)</f>
        <v>0</v>
      </c>
      <c r="CV124" s="9">
        <f>GW124*($Q124*$S124)/(1+Voorblad!$K$44)^(CV$56-Voorblad!$F$41)</f>
        <v>0</v>
      </c>
      <c r="CW124" s="9">
        <f>GX124*($Q124*$S124)/(1+Voorblad!$K$44)^(CW$56-Voorblad!$F$41)</f>
        <v>0</v>
      </c>
      <c r="CX124" s="9">
        <f>GY124*($Q124*$S124)/(1+Voorblad!$K$44)^(CX$56-Voorblad!$F$41)</f>
        <v>0</v>
      </c>
      <c r="CY124" s="9">
        <f>GZ124*($Q124*$S124)/(1+Voorblad!$K$44)^(CY$56-Voorblad!$F$41)</f>
        <v>0</v>
      </c>
      <c r="CZ124" s="9">
        <f>HA124*($Q124*$S124)/(1+Voorblad!$K$44)^(CZ$56-Voorblad!$F$41)</f>
        <v>0</v>
      </c>
      <c r="DA124" s="9">
        <f>HB124*($Q124*$S124)/(1+Voorblad!$K$44)^(DA$56-Voorblad!$F$41)</f>
        <v>0</v>
      </c>
      <c r="DB124" s="9">
        <f>HC124*($Q124*$S124)/(1+Voorblad!$K$44)^(DB$56-Voorblad!$F$41)</f>
        <v>0</v>
      </c>
      <c r="DC124" s="9">
        <f>HD124*($Q124*$S124)/(1+Voorblad!$K$44)^(DC$56-Voorblad!$F$41)</f>
        <v>0</v>
      </c>
      <c r="DD124" s="9">
        <f>HE124*($Q124*$S124)/(1+Voorblad!$K$44)^(DD$56-Voorblad!$F$41)</f>
        <v>0</v>
      </c>
      <c r="DE124" s="9">
        <f>HF124*($Q124*$S124)/(1+Voorblad!$K$44)^(DE$56-Voorblad!$F$41)</f>
        <v>0</v>
      </c>
      <c r="DF124" s="9">
        <f>HG124*($Q124*$S124)/(1+Voorblad!$K$44)^(DF$56-Voorblad!$F$41)</f>
        <v>0</v>
      </c>
      <c r="DG124" s="9">
        <f>HH124*($Q124*$S124)/(1+Voorblad!$K$44)^(DG$56-Voorblad!$F$41)</f>
        <v>0</v>
      </c>
      <c r="DH124" s="9">
        <f>HI124*($Q124*$S124)/(1+Voorblad!$K$44)^(DH$56-Voorblad!$F$41)</f>
        <v>0</v>
      </c>
      <c r="DI124" s="9">
        <f>HJ124*($Q124*$S124)/(1+Voorblad!$K$44)^(DI$56-Voorblad!$F$41)</f>
        <v>0</v>
      </c>
      <c r="DJ124" s="9">
        <f>HK124*($Q124*$S124)/(1+Voorblad!$K$44)^(DJ$56-Voorblad!$F$41)</f>
        <v>0</v>
      </c>
      <c r="DK124" s="9">
        <f>HL124*($Q124*$S124)/(1+Voorblad!$K$44)^(DK$56-Voorblad!$F$41)</f>
        <v>0</v>
      </c>
      <c r="DL124" s="9">
        <f>HM124*($Q124*$S124)/(1+Voorblad!$K$44)^(DL$56-Voorblad!$F$41)</f>
        <v>0</v>
      </c>
      <c r="DM124" s="9">
        <f>HN124*($Q124*$S124)/(1+Voorblad!$K$44)^(DM$56-Voorblad!$F$41)</f>
        <v>0</v>
      </c>
      <c r="DN124" s="9">
        <f>HO124*($Q124*$S124)/(1+Voorblad!$K$44)^(DN$56-Voorblad!$F$41)</f>
        <v>0</v>
      </c>
      <c r="DO124" s="9">
        <f>HP124*($Q124*$S124)/(1+Voorblad!$K$44)^(DO$56-Voorblad!$F$41)</f>
        <v>0</v>
      </c>
      <c r="DP124" s="9">
        <f>HQ124*($Q124*$S124)/(1+Voorblad!$K$44)^(DP$56-Voorblad!$F$41)</f>
        <v>0</v>
      </c>
      <c r="DQ124" s="9">
        <f>HR124*($Q124*$S124)/(1+Voorblad!$K$44)^(DQ$56-Voorblad!$F$41)</f>
        <v>0</v>
      </c>
      <c r="DR124" s="9">
        <f>HS124*($Q124*$S124)/(1+Voorblad!$K$44)^(DR$56-Voorblad!$F$41)</f>
        <v>0</v>
      </c>
      <c r="DS124" s="9">
        <f>HT124*($Q124*$S124)/(1+Voorblad!$K$44)^(DS$56-Voorblad!$F$41)</f>
        <v>0</v>
      </c>
      <c r="DT124" s="9">
        <f>HU124*($Q124*$S124)/(1+Voorblad!$K$44)^(DT$56-Voorblad!$F$41)</f>
        <v>0</v>
      </c>
      <c r="DU124" s="9">
        <f>HV124*($Q124*$S124)/(1+Voorblad!$K$44)^(DU$56-Voorblad!$F$41)</f>
        <v>0</v>
      </c>
      <c r="DV124" s="9">
        <f>HW124*($Q124*$S124)/(1+Voorblad!$K$44)^(DV$56-Voorblad!$F$41)</f>
        <v>0</v>
      </c>
      <c r="DW124" s="9">
        <f>HX124*($Q124*$S124)/(1+Voorblad!$K$44)^(DW$56-Voorblad!$F$41)</f>
        <v>0</v>
      </c>
      <c r="DX124" s="9">
        <f>HY124*($Q124*$S124)/(1+Voorblad!$K$44)^(DX$56-Voorblad!$F$41)</f>
        <v>0</v>
      </c>
      <c r="DY124" s="9">
        <f>HZ124*($Q124*$S124)/(1+Voorblad!$K$44)^(DY$56-Voorblad!$F$41)</f>
        <v>0</v>
      </c>
      <c r="DZ124" s="9">
        <f>IA124*($Q124*$S124)/(1+Voorblad!$K$44)^(DZ$56-Voorblad!$F$41)</f>
        <v>0</v>
      </c>
      <c r="EA124" s="9">
        <f>IB124*($Q124*$S124)/(1+Voorblad!$K$44)^(EA$56-Voorblad!$F$41)</f>
        <v>0</v>
      </c>
      <c r="EB124" s="9">
        <f>IC124*($Q124*$S124)/(1+Voorblad!$K$44)^(EB$56-Voorblad!$F$41)</f>
        <v>0</v>
      </c>
      <c r="EE124" s="8">
        <v>0</v>
      </c>
      <c r="EF124" s="8">
        <f>IF(EF$56-Voorblad!$F$41&gt;Voorblad!$K$41,0,IF($U124=0,0,IF($U124&lt;1,1/$U124,IF((EF$56-Voorblad!$F$41)/$U124-SUM($EE124:EE124)=1,1,0))))</f>
        <v>0</v>
      </c>
      <c r="EG124" s="8">
        <f>IF(EG$56-Voorblad!$F$41&gt;Voorblad!$K$41,0,IF($U124=0,0,IF($U124&lt;1,1/$U124,IF((EG$56-Voorblad!$F$41)/$U124-SUM($EE124:EF124)=1,1,0))))</f>
        <v>0</v>
      </c>
      <c r="EH124" s="8">
        <f>IF(EH$56-Voorblad!$F$41&gt;Voorblad!$K$41,0,IF($U124=0,0,IF($U124&lt;1,1/$U124,IF((EH$56-Voorblad!$F$41)/$U124-SUM($EE124:EG124)=1,1,0))))</f>
        <v>0</v>
      </c>
      <c r="EI124" s="8">
        <f>IF(EI$56-Voorblad!$F$41&gt;Voorblad!$K$41,0,IF($U124=0,0,IF($U124&lt;1,1/$U124,IF((EI$56-Voorblad!$F$41)/$U124-SUM($EE124:EH124)=1,1,0))))</f>
        <v>0</v>
      </c>
      <c r="EJ124" s="8">
        <f>IF(EJ$56-Voorblad!$F$41&gt;Voorblad!$K$41,0,IF($U124=0,0,IF($U124&lt;1,1/$U124,IF((EJ$56-Voorblad!$F$41)/$U124-SUM($EE124:EI124)=1,1,0))))</f>
        <v>0</v>
      </c>
      <c r="EK124" s="8">
        <f>IF(EK$56-Voorblad!$F$41&gt;Voorblad!$K$41,0,IF($U124=0,0,IF($U124&lt;1,1/$U124,IF((EK$56-Voorblad!$F$41)/$U124-SUM($EE124:EJ124)=1,1,0))))</f>
        <v>0</v>
      </c>
      <c r="EL124" s="8">
        <f>IF(EL$56-Voorblad!$F$41&gt;Voorblad!$K$41,0,IF($U124=0,0,IF($U124&lt;1,1/$U124,IF((EL$56-Voorblad!$F$41)/$U124-SUM($EE124:EK124)=1,1,0))))</f>
        <v>0</v>
      </c>
      <c r="EM124" s="8">
        <f>IF(EM$56-Voorblad!$F$41&gt;Voorblad!$K$41,0,IF($U124=0,0,IF($U124&lt;1,1/$U124,IF((EM$56-Voorblad!$F$41)/$U124-SUM($EE124:EL124)=1,1,0))))</f>
        <v>0</v>
      </c>
      <c r="EN124" s="8">
        <f>IF(EN$56-Voorblad!$F$41&gt;Voorblad!$K$41,0,IF($U124=0,0,IF($U124&lt;1,1/$U124,IF((EN$56-Voorblad!$F$41)/$U124-SUM($EE124:EM124)=1,1,0))))</f>
        <v>0</v>
      </c>
      <c r="EO124" s="8">
        <f>IF(EO$56-Voorblad!$F$41&gt;Voorblad!$K$41,0,IF($U124=0,0,IF($U124&lt;1,1/$U124,IF((EO$56-Voorblad!$F$41)/$U124-SUM($EE124:EN124)=1,1,0))))</f>
        <v>0</v>
      </c>
      <c r="EP124" s="8">
        <f>IF(EP$56-Voorblad!$F$41&gt;Voorblad!$K$41,0,IF($U124=0,0,IF($U124&lt;1,1/$U124,IF((EP$56-Voorblad!$F$41)/$U124-SUM($EE124:EO124)=1,1,0))))</f>
        <v>0</v>
      </c>
      <c r="EQ124" s="8">
        <f>IF(EQ$56-Voorblad!$F$41&gt;Voorblad!$K$41,0,IF($U124=0,0,IF($U124&lt;1,1/$U124,IF((EQ$56-Voorblad!$F$41)/$U124-SUM($EE124:EP124)=1,1,0))))</f>
        <v>0</v>
      </c>
      <c r="ER124" s="8">
        <f>IF(ER$56-Voorblad!$F$41&gt;Voorblad!$K$41,0,IF($U124=0,0,IF($U124&lt;1,1/$U124,IF((ER$56-Voorblad!$F$41)/$U124-SUM($EE124:EQ124)=1,1,0))))</f>
        <v>0</v>
      </c>
      <c r="ES124" s="8">
        <f>IF(ES$56-Voorblad!$F$41&gt;Voorblad!$K$41,0,IF($U124=0,0,IF($U124&lt;1,1/$U124,IF((ES$56-Voorblad!$F$41)/$U124-SUM($EE124:ER124)=1,1,0))))</f>
        <v>0</v>
      </c>
      <c r="ET124" s="8">
        <f>IF(ET$56-Voorblad!$F$41&gt;Voorblad!$K$41,0,IF($U124=0,0,IF($U124&lt;1,1/$U124,IF((ET$56-Voorblad!$F$41)/$U124-SUM($EE124:ES124)=1,1,0))))</f>
        <v>0</v>
      </c>
      <c r="EU124" s="8">
        <f>IF(EU$56-Voorblad!$F$41&gt;Voorblad!$K$41,0,IF($U124=0,0,IF($U124&lt;1,1/$U124,IF((EU$56-Voorblad!$F$41)/$U124-SUM($EE124:ET124)=1,1,0))))</f>
        <v>1</v>
      </c>
      <c r="EV124" s="8">
        <f>IF(EV$56-Voorblad!$F$41&gt;Voorblad!$K$41,0,IF($U124=0,0,IF($U124&lt;1,1/$U124,IF((EV$56-Voorblad!$F$41)/$U124-SUM($EE124:EU124)=1,1,0))))</f>
        <v>0</v>
      </c>
      <c r="EW124" s="8">
        <f>IF(EW$56-Voorblad!$F$41&gt;Voorblad!$K$41,0,IF($U124=0,0,IF($U124&lt;1,1/$U124,IF((EW$56-Voorblad!$F$41)/$U124-SUM($EE124:EV124)=1,1,0))))</f>
        <v>0</v>
      </c>
      <c r="EX124" s="8">
        <f>IF(EX$56-Voorblad!$F$41&gt;Voorblad!$K$41,0,IF($U124=0,0,IF($U124&lt;1,1/$U124,IF((EX$56-Voorblad!$F$41)/$U124-SUM($EE124:EW124)=1,1,0))))</f>
        <v>0</v>
      </c>
      <c r="EY124" s="8">
        <f>IF(EY$56-Voorblad!$F$41&gt;Voorblad!$K$41,0,IF($U124=0,0,IF($U124&lt;1,1/$U124,IF((EY$56-Voorblad!$F$41)/$U124-SUM($EE124:EX124)=1,1,0))))</f>
        <v>0</v>
      </c>
      <c r="EZ124" s="8">
        <f>IF(EZ$56-Voorblad!$F$41&gt;Voorblad!$K$41,0,IF($U124=0,0,IF($U124&lt;1,1/$U124,IF((EZ$56-Voorblad!$F$41)/$U124-SUM($EE124:EY124)=1,1,0))))</f>
        <v>0</v>
      </c>
      <c r="FA124" s="8">
        <f>IF(FA$56-Voorblad!$F$41&gt;Voorblad!$K$41,0,IF($U124=0,0,IF($U124&lt;1,1/$U124,IF((FA$56-Voorblad!$F$41)/$U124-SUM($EE124:EZ124)=1,1,0))))</f>
        <v>0</v>
      </c>
      <c r="FB124" s="8">
        <f>IF(FB$56-Voorblad!$F$41&gt;Voorblad!$K$41,0,IF($U124=0,0,IF($U124&lt;1,1/$U124,IF((FB$56-Voorblad!$F$41)/$U124-SUM($EE124:FA124)=1,1,0))))</f>
        <v>0</v>
      </c>
      <c r="FC124" s="8">
        <f>IF(FC$56-Voorblad!$F$41&gt;Voorblad!$K$41,0,IF($U124=0,0,IF($U124&lt;1,1/$U124,IF((FC$56-Voorblad!$F$41)/$U124-SUM($EE124:FB124)=1,1,0))))</f>
        <v>0</v>
      </c>
      <c r="FD124" s="8">
        <f>IF(FD$56-Voorblad!$F$41&gt;Voorblad!$K$41,0,IF($U124=0,0,IF($U124&lt;1,1/$U124,IF((FD$56-Voorblad!$F$41)/$U124-SUM($EE124:FC124)=1,1,0))))</f>
        <v>0</v>
      </c>
      <c r="FE124" s="8">
        <f>IF(FE$56-Voorblad!$F$41&gt;Voorblad!$K$41,0,IF($U124=0,0,IF($U124&lt;1,1/$U124,IF((FE$56-Voorblad!$F$41)/$U124-SUM($EE124:FD124)=1,1,0))))</f>
        <v>0</v>
      </c>
      <c r="FF124" s="8">
        <f>IF(FF$56-Voorblad!$F$41&gt;Voorblad!$K$41,0,IF($U124=0,0,IF($U124&lt;1,1/$U124,IF((FF$56-Voorblad!$F$41)/$U124-SUM($EE124:FE124)=1,1,0))))</f>
        <v>0</v>
      </c>
      <c r="FG124" s="8">
        <f>IF(FG$56-Voorblad!$F$41&gt;Voorblad!$K$41,0,IF($U124=0,0,IF($U124&lt;1,1/$U124,IF((FG$56-Voorblad!$F$41)/$U124-SUM($EE124:FF124)=1,1,0))))</f>
        <v>0</v>
      </c>
      <c r="FH124" s="8">
        <f>IF(FH$56-Voorblad!$F$41&gt;Voorblad!$K$41,0,IF($U124=0,0,IF($U124&lt;1,1/$U124,IF((FH$56-Voorblad!$F$41)/$U124-SUM($EE124:FG124)=1,1,0))))</f>
        <v>0</v>
      </c>
      <c r="FI124" s="8">
        <f>IF(FI$56-Voorblad!$F$41&gt;Voorblad!$K$41,0,IF($U124=0,0,IF($U124&lt;1,1/$U124,IF((FI$56-Voorblad!$F$41)/$U124-SUM($EE124:FH124)=1,1,0))))</f>
        <v>0</v>
      </c>
      <c r="FJ124" s="8">
        <f>IF(FJ$56-Voorblad!$F$41&gt;Voorblad!$K$41,0,IF($U124=0,0,IF($U124&lt;1,1/$U124,IF((FJ$56-Voorblad!$F$41)/$U124-SUM($EE124:FI124)=1,1,0))))</f>
        <v>1</v>
      </c>
      <c r="FK124" s="8">
        <f>IF(FK$56-Voorblad!$F$41&gt;Voorblad!$K$41,0,IF($U124=0,0,IF($U124&lt;1,1/$U124,IF((FK$56-Voorblad!$F$41)/$U124-SUM($EE124:FJ124)=1,1,0))))</f>
        <v>0</v>
      </c>
      <c r="FL124" s="8">
        <f>IF(FL$56-Voorblad!$F$41&gt;Voorblad!$K$41,0,IF($U124=0,0,IF($U124&lt;1,1/$U124,IF((FL$56-Voorblad!$F$41)/$U124-SUM($EE124:FK124)=1,1,0))))</f>
        <v>0</v>
      </c>
      <c r="FM124" s="8">
        <f>IF(FM$56-Voorblad!$F$41&gt;Voorblad!$K$41,0,IF($U124=0,0,IF($U124&lt;1,1/$U124,IF((FM$56-Voorblad!$F$41)/$U124-SUM($EE124:FL124)=1,1,0))))</f>
        <v>0</v>
      </c>
      <c r="FN124" s="8">
        <f>IF(FN$56-Voorblad!$F$41&gt;Voorblad!$K$41,0,IF($U124=0,0,IF($U124&lt;1,1/$U124,IF((FN$56-Voorblad!$F$41)/$U124-SUM($EE124:FM124)=1,1,0))))</f>
        <v>0</v>
      </c>
      <c r="FO124" s="8">
        <f>IF(FO$56-Voorblad!$F$41&gt;Voorblad!$K$41,0,IF($U124=0,0,IF($U124&lt;1,1/$U124,IF((FO$56-Voorblad!$F$41)/$U124-SUM($EE124:FN124)=1,1,0))))</f>
        <v>0</v>
      </c>
      <c r="FP124" s="8">
        <f>IF(FP$56-Voorblad!$F$41&gt;Voorblad!$K$41,0,IF($U124=0,0,IF($U124&lt;1,1/$U124,IF((FP$56-Voorblad!$F$41)/$U124-SUM($EE124:FO124)=1,1,0))))</f>
        <v>0</v>
      </c>
      <c r="FQ124" s="8">
        <f>IF(FQ$56-Voorblad!$F$41&gt;Voorblad!$K$41,0,IF($U124=0,0,IF($U124&lt;1,1/$U124,IF((FQ$56-Voorblad!$F$41)/$U124-SUM($EE124:FP124)=1,1,0))))</f>
        <v>0</v>
      </c>
      <c r="FR124" s="8">
        <f>IF(FR$56-Voorblad!$F$41&gt;Voorblad!$K$41,0,IF($U124=0,0,IF($U124&lt;1,1/$U124,IF((FR$56-Voorblad!$F$41)/$U124-SUM($EE124:FQ124)=1,1,0))))</f>
        <v>0</v>
      </c>
      <c r="FS124" s="8">
        <f>IF(FS$56-Voorblad!$F$41&gt;Voorblad!$K$41,0,IF($U124=0,0,IF($U124&lt;1,1/$U124,IF((FS$56-Voorblad!$F$41)/$U124-SUM($EE124:FR124)=1,1,0))))</f>
        <v>0</v>
      </c>
      <c r="FT124" s="8">
        <f>IF(FT$56-Voorblad!$F$41&gt;Voorblad!$K$41,0,IF($U124=0,0,IF($U124&lt;1,1/$U124,IF((FT$56-Voorblad!$F$41)/$U124-SUM($EE124:FS124)=1,1,0))))</f>
        <v>0</v>
      </c>
      <c r="FU124" s="8">
        <f>IF(FU$56-Voorblad!$F$41&gt;Voorblad!$K$41,0,IF($U124=0,0,IF($U124&lt;1,1/$U124,IF((FU$56-Voorblad!$F$41)/$U124-SUM($EE124:FT124)=1,1,0))))</f>
        <v>0</v>
      </c>
      <c r="FV124" s="8">
        <f>IF(FV$56-Voorblad!$F$41&gt;Voorblad!$K$41,0,IF($U124=0,0,IF($U124&lt;1,1/$U124,IF((FV$56-Voorblad!$F$41)/$U124-SUM($EE124:FU124)=1,1,0))))</f>
        <v>0</v>
      </c>
      <c r="FW124" s="8">
        <f>IF(FW$56-Voorblad!$F$41&gt;Voorblad!$K$41,0,IF($U124=0,0,IF($U124&lt;1,1/$U124,IF((FW$56-Voorblad!$F$41)/$U124-SUM($EE124:FV124)=1,1,0))))</f>
        <v>0</v>
      </c>
      <c r="FX124" s="8">
        <f>IF(FX$56-Voorblad!$F$41&gt;Voorblad!$K$41,0,IF($U124=0,0,IF($U124&lt;1,1/$U124,IF((FX$56-Voorblad!$F$41)/$U124-SUM($EE124:FW124)=1,1,0))))</f>
        <v>0</v>
      </c>
      <c r="FY124" s="8">
        <f>IF(FY$56-Voorblad!$F$41&gt;Voorblad!$K$41,0,IF($U124=0,0,IF($U124&lt;1,1/$U124,IF((FY$56-Voorblad!$F$41)/$U124-SUM($EE124:FX124)=1,1,0))))</f>
        <v>1</v>
      </c>
      <c r="FZ124" s="8">
        <f>IF(FZ$56-Voorblad!$F$41&gt;Voorblad!$K$41,0,IF($U124=0,0,IF($U124&lt;1,1/$U124,IF((FZ$56-Voorblad!$F$41)/$U124-SUM($EE124:FY124)=1,1,0))))</f>
        <v>0</v>
      </c>
      <c r="GA124" s="8">
        <f>IF(GA$56-Voorblad!$F$41&gt;Voorblad!$K$41,0,IF($U124=0,0,IF($U124&lt;1,1/$U124,IF((GA$56-Voorblad!$F$41)/$U124-SUM($EE124:FZ124)=1,1,0))))</f>
        <v>0</v>
      </c>
      <c r="GB124" s="8">
        <f>IF(GB$56-Voorblad!$F$41&gt;Voorblad!$K$41,0,IF($U124=0,0,IF($U124&lt;1,1/$U124,IF((GB$56-Voorblad!$F$41)/$U124-SUM($EE124:GA124)=1,1,0))))</f>
        <v>0</v>
      </c>
      <c r="GC124" s="8">
        <f>IF(GC$56-Voorblad!$F$41&gt;Voorblad!$K$41,0,IF($U124=0,0,IF($U124&lt;1,1/$U124,IF((GC$56-Voorblad!$F$41)/$U124-SUM($EE124:GB124)=1,1,0))))</f>
        <v>0</v>
      </c>
      <c r="GD124" s="8">
        <f>IF(GD$56-Voorblad!$F$41&gt;Voorblad!$K$41,0,IF($U124=0,0,IF($U124&lt;1,1/$U124,IF((GD$56-Voorblad!$F$41)/$U124-SUM($EE124:GC124)=1,1,0))))</f>
        <v>0</v>
      </c>
      <c r="GE124" s="8">
        <f>IF(GE$56-Voorblad!$F$41&gt;Voorblad!$K$41,0,IF($U124=0,0,IF($U124&lt;1,1/$U124,IF((GE$56-Voorblad!$F$41)/$U124-SUM($EE124:GD124)=1,1,0))))</f>
        <v>0</v>
      </c>
      <c r="GF124" s="8">
        <f>IF(GF$56-Voorblad!$F$41&gt;Voorblad!$K$41,0,IF($U124=0,0,IF($U124&lt;1,1/$U124,IF((GF$56-Voorblad!$F$41)/$U124-SUM($EE124:GE124)=1,1,0))))</f>
        <v>0</v>
      </c>
      <c r="GG124" s="8">
        <f>IF(GG$56-Voorblad!$F$41&gt;Voorblad!$K$41,0,IF($U124=0,0,IF($U124&lt;1,1/$U124,IF((GG$56-Voorblad!$F$41)/$U124-SUM($EE124:GF124)=1,1,0))))</f>
        <v>0</v>
      </c>
      <c r="GH124" s="8">
        <f>IF(GH$56-Voorblad!$F$41&gt;Voorblad!$K$41,0,IF($U124=0,0,IF($U124&lt;1,1/$U124,IF((GH$56-Voorblad!$F$41)/$U124-SUM($EE124:GG124)=1,1,0))))</f>
        <v>0</v>
      </c>
      <c r="GI124" s="8">
        <f>IF(GI$56-Voorblad!$F$41&gt;Voorblad!$K$41,0,IF($U124=0,0,IF($U124&lt;1,1/$U124,IF((GI$56-Voorblad!$F$41)/$U124-SUM($EE124:GH124)=1,1,0))))</f>
        <v>0</v>
      </c>
      <c r="GJ124" s="8">
        <f>IF(GJ$56-Voorblad!$F$41&gt;Voorblad!$K$41,0,IF($U124=0,0,IF($U124&lt;1,1/$U124,IF((GJ$56-Voorblad!$F$41)/$U124-SUM($EE124:GI124)=1,1,0))))</f>
        <v>0</v>
      </c>
      <c r="GK124" s="8">
        <f>IF(GK$56-Voorblad!$F$41&gt;Voorblad!$K$41,0,IF($U124=0,0,IF($U124&lt;1,1/$U124,IF((GK$56-Voorblad!$F$41)/$U124-SUM($EE124:GJ124)=1,1,0))))</f>
        <v>0</v>
      </c>
      <c r="GL124" s="8">
        <f>IF(GL$56-Voorblad!$F$41&gt;Voorblad!$K$41,0,IF($U124=0,0,IF($U124&lt;1,1/$U124,IF((GL$56-Voorblad!$F$41)/$U124-SUM($EE124:GK124)=1,1,0))))</f>
        <v>0</v>
      </c>
      <c r="GM124" s="8">
        <f>IF(GM$56-Voorblad!$F$41&gt;Voorblad!$K$41,0,IF($U124=0,0,IF($U124&lt;1,1/$U124,IF((GM$56-Voorblad!$F$41)/$U124-SUM($EE124:GL124)=1,1,0))))</f>
        <v>0</v>
      </c>
      <c r="GN124" s="8">
        <f>IF(GN$56-Voorblad!$F$41&gt;Voorblad!$K$41,0,IF($U124=0,0,IF($U124&lt;1,1/$U124,IF((GN$56-Voorblad!$F$41)/$U124-SUM($EE124:GM124)=1,1,0))))</f>
        <v>1</v>
      </c>
      <c r="GO124" s="8">
        <f>IF(GO$56-Voorblad!$F$41&gt;Voorblad!$K$41,0,IF($U124=0,0,IF($U124&lt;1,1/$U124,IF((GO$56-Voorblad!$F$41)/$U124-SUM($EE124:GN124)=1,1,0))))</f>
        <v>0</v>
      </c>
      <c r="GP124" s="8">
        <f>IF(GP$56-Voorblad!$F$41&gt;Voorblad!$K$41,0,IF($U124=0,0,IF($U124&lt;1,1/$U124,IF((GP$56-Voorblad!$F$41)/$U124-SUM($EE124:GO124)=1,1,0))))</f>
        <v>0</v>
      </c>
      <c r="GQ124" s="8">
        <f>IF(GQ$56-Voorblad!$F$41&gt;Voorblad!$K$41,0,IF($U124=0,0,IF($U124&lt;1,1/$U124,IF((GQ$56-Voorblad!$F$41)/$U124-SUM($EE124:GP124)=1,1,0))))</f>
        <v>0</v>
      </c>
      <c r="GR124" s="8">
        <f>IF(GR$56-Voorblad!$F$41&gt;Voorblad!$K$41,0,IF($U124=0,0,IF($U124&lt;1,1/$U124,IF((GR$56-Voorblad!$F$41)/$U124-SUM($EE124:GQ124)=1,1,0))))</f>
        <v>0</v>
      </c>
      <c r="GS124" s="8">
        <f>IF(GS$56-Voorblad!$F$41&gt;Voorblad!$K$41,0,IF($U124=0,0,IF($U124&lt;1,1/$U124,IF((GS$56-Voorblad!$F$41)/$U124-SUM($EE124:GR124)=1,1,0))))</f>
        <v>0</v>
      </c>
      <c r="GT124" s="8">
        <f>IF(GT$56-Voorblad!$F$41&gt;Voorblad!$K$41,0,IF($U124=0,0,IF($U124&lt;1,1/$U124,IF((GT$56-Voorblad!$F$41)/$U124-SUM($EE124:GS124)=1,1,0))))</f>
        <v>0</v>
      </c>
      <c r="GU124" s="8">
        <f>IF(GU$56-Voorblad!$F$41&gt;Voorblad!$K$41,0,IF($U124=0,0,IF($U124&lt;1,1/$U124,IF((GU$56-Voorblad!$F$41)/$U124-SUM($EE124:GT124)=1,1,0))))</f>
        <v>0</v>
      </c>
      <c r="GV124" s="8">
        <f>IF(GV$56-Voorblad!$F$41&gt;Voorblad!$K$41,0,IF($U124=0,0,IF($U124&lt;1,1/$U124,IF((GV$56-Voorblad!$F$41)/$U124-SUM($EE124:GU124)=1,1,0))))</f>
        <v>0</v>
      </c>
      <c r="GW124" s="8">
        <f>IF(GW$56-Voorblad!$F$41&gt;Voorblad!$K$41,0,IF($U124=0,0,IF($U124&lt;1,1/$U124,IF((GW$56-Voorblad!$F$41)/$U124-SUM($EE124:GV124)=1,1,0))))</f>
        <v>0</v>
      </c>
      <c r="GX124" s="8">
        <f>IF(GX$56-Voorblad!$F$41&gt;Voorblad!$K$41,0,IF($U124=0,0,IF($U124&lt;1,1/$U124,IF((GX$56-Voorblad!$F$41)/$U124-SUM($EE124:GW124)=1,1,0))))</f>
        <v>0</v>
      </c>
      <c r="GY124" s="8">
        <f>IF(GY$56-Voorblad!$F$41&gt;Voorblad!$K$41,0,IF($U124=0,0,IF($U124&lt;1,1/$U124,IF((GY$56-Voorblad!$F$41)/$U124-SUM($EE124:GX124)=1,1,0))))</f>
        <v>0</v>
      </c>
      <c r="GZ124" s="8">
        <f>IF(GZ$56-Voorblad!$F$41&gt;Voorblad!$K$41,0,IF($U124=0,0,IF($U124&lt;1,1/$U124,IF((GZ$56-Voorblad!$F$41)/$U124-SUM($EE124:GY124)=1,1,0))))</f>
        <v>0</v>
      </c>
      <c r="HA124" s="8">
        <f>IF(HA$56-Voorblad!$F$41&gt;Voorblad!$K$41,0,IF($U124=0,0,IF($U124&lt;1,1/$U124,IF((HA$56-Voorblad!$F$41)/$U124-SUM($EE124:GZ124)=1,1,0))))</f>
        <v>0</v>
      </c>
      <c r="HB124" s="8">
        <f>IF(HB$56-Voorblad!$F$41&gt;Voorblad!$K$41,0,IF($U124=0,0,IF($U124&lt;1,1/$U124,IF((HB$56-Voorblad!$F$41)/$U124-SUM($EE124:HA124)=1,1,0))))</f>
        <v>0</v>
      </c>
      <c r="HC124" s="8">
        <f>IF(HC$56-Voorblad!$F$41&gt;Voorblad!$K$41,0,IF($U124=0,0,IF($U124&lt;1,1/$U124,IF((HC$56-Voorblad!$F$41)/$U124-SUM($EE124:HB124)=1,1,0))))</f>
        <v>0</v>
      </c>
      <c r="HD124" s="8">
        <f>IF(HD$56-Voorblad!$F$41&gt;Voorblad!$K$41,0,IF($U124=0,0,IF($U124&lt;1,1/$U124,IF((HD$56-Voorblad!$F$41)/$U124-SUM($EE124:HC124)=1,1,0))))</f>
        <v>0</v>
      </c>
      <c r="HE124" s="8">
        <f>IF(HE$56-Voorblad!$F$41&gt;Voorblad!$K$41,0,IF($U124=0,0,IF($U124&lt;1,1/$U124,IF((HE$56-Voorblad!$F$41)/$U124-SUM($EE124:HD124)=1,1,0))))</f>
        <v>0</v>
      </c>
      <c r="HF124" s="8">
        <f>IF(HF$56-Voorblad!$F$41&gt;Voorblad!$K$41,0,IF($U124=0,0,IF($U124&lt;1,1/$U124,IF((HF$56-Voorblad!$F$41)/$U124-SUM($EE124:HE124)=1,1,0))))</f>
        <v>0</v>
      </c>
      <c r="HG124" s="8">
        <f>IF(HG$56-Voorblad!$F$41&gt;Voorblad!$K$41,0,IF($U124=0,0,IF($U124&lt;1,1/$U124,IF((HG$56-Voorblad!$F$41)/$U124-SUM($EE124:HF124)=1,1,0))))</f>
        <v>0</v>
      </c>
      <c r="HH124" s="8">
        <f>IF(HH$56-Voorblad!$F$41&gt;Voorblad!$K$41,0,IF($U124=0,0,IF($U124&lt;1,1/$U124,IF((HH$56-Voorblad!$F$41)/$U124-SUM($EE124:HG124)=1,1,0))))</f>
        <v>0</v>
      </c>
      <c r="HI124" s="8">
        <f>IF(HI$56-Voorblad!$F$41&gt;Voorblad!$K$41,0,IF($U124=0,0,IF($U124&lt;1,1/$U124,IF((HI$56-Voorblad!$F$41)/$U124-SUM($EE124:HH124)=1,1,0))))</f>
        <v>0</v>
      </c>
      <c r="HJ124" s="8">
        <f>IF(HJ$56-Voorblad!$F$41&gt;Voorblad!$K$41,0,IF($U124=0,0,IF($U124&lt;1,1/$U124,IF((HJ$56-Voorblad!$F$41)/$U124-SUM($EE124:HI124)=1,1,0))))</f>
        <v>0</v>
      </c>
      <c r="HK124" s="8">
        <f>IF(HK$56-Voorblad!$F$41&gt;Voorblad!$K$41,0,IF($U124=0,0,IF($U124&lt;1,1/$U124,IF((HK$56-Voorblad!$F$41)/$U124-SUM($EE124:HJ124)=1,1,0))))</f>
        <v>0</v>
      </c>
      <c r="HL124" s="8">
        <f>IF(HL$56-Voorblad!$F$41&gt;Voorblad!$K$41,0,IF($U124=0,0,IF($U124&lt;1,1/$U124,IF((HL$56-Voorblad!$F$41)/$U124-SUM($EE124:HK124)=1,1,0))))</f>
        <v>0</v>
      </c>
      <c r="HM124" s="8">
        <f>IF(HM$56-Voorblad!$F$41&gt;Voorblad!$K$41,0,IF($U124=0,0,IF($U124&lt;1,1/$U124,IF((HM$56-Voorblad!$F$41)/$U124-SUM($EE124:HL124)=1,1,0))))</f>
        <v>0</v>
      </c>
      <c r="HN124" s="8">
        <f>IF(HN$56-Voorblad!$F$41&gt;Voorblad!$K$41,0,IF($U124=0,0,IF($U124&lt;1,1/$U124,IF((HN$56-Voorblad!$F$41)/$U124-SUM($EE124:HM124)=1,1,0))))</f>
        <v>0</v>
      </c>
      <c r="HO124" s="8">
        <f>IF(HO$56-Voorblad!$F$41&gt;Voorblad!$K$41,0,IF($U124=0,0,IF($U124&lt;1,1/$U124,IF((HO$56-Voorblad!$F$41)/$U124-SUM($EE124:HN124)=1,1,0))))</f>
        <v>0</v>
      </c>
      <c r="HP124" s="8">
        <f>IF(HP$56-Voorblad!$F$41&gt;Voorblad!$K$41,0,IF($U124=0,0,IF($U124&lt;1,1/$U124,IF((HP$56-Voorblad!$F$41)/$U124-SUM($EE124:HO124)=1,1,0))))</f>
        <v>0</v>
      </c>
      <c r="HQ124" s="8">
        <f>IF(HQ$56-Voorblad!$F$41&gt;Voorblad!$K$41,0,IF($U124=0,0,IF($U124&lt;1,1/$U124,IF((HQ$56-Voorblad!$F$41)/$U124-SUM($EE124:HP124)=1,1,0))))</f>
        <v>0</v>
      </c>
      <c r="HR124" s="8">
        <f>IF(HR$56-Voorblad!$F$41&gt;Voorblad!$K$41,0,IF($U124=0,0,IF($U124&lt;1,1/$U124,IF((HR$56-Voorblad!$F$41)/$U124-SUM($EE124:HQ124)=1,1,0))))</f>
        <v>0</v>
      </c>
      <c r="HS124" s="8">
        <f>IF(HS$56-Voorblad!$F$41&gt;Voorblad!$K$41,0,IF($U124=0,0,IF($U124&lt;1,1/$U124,IF((HS$56-Voorblad!$F$41)/$U124-SUM($EE124:HR124)=1,1,0))))</f>
        <v>0</v>
      </c>
      <c r="HT124" s="8">
        <f>IF(HT$56-Voorblad!$F$41&gt;Voorblad!$K$41,0,IF($U124=0,0,IF($U124&lt;1,1/$U124,IF((HT$56-Voorblad!$F$41)/$U124-SUM($EE124:HS124)=1,1,0))))</f>
        <v>0</v>
      </c>
      <c r="HU124" s="8">
        <f>IF(HU$56-Voorblad!$F$41&gt;Voorblad!$K$41,0,IF($U124=0,0,IF($U124&lt;1,1/$U124,IF((HU$56-Voorblad!$F$41)/$U124-SUM($EE124:HT124)=1,1,0))))</f>
        <v>0</v>
      </c>
      <c r="HV124" s="8">
        <f>IF(HV$56-Voorblad!$F$41&gt;Voorblad!$K$41,0,IF($U124=0,0,IF($U124&lt;1,1/$U124,IF((HV$56-Voorblad!$F$41)/$U124-SUM($EE124:HU124)=1,1,0))))</f>
        <v>0</v>
      </c>
      <c r="HW124" s="8">
        <f>IF(HW$56-Voorblad!$F$41&gt;Voorblad!$K$41,0,IF($U124=0,0,IF($U124&lt;1,1/$U124,IF((HW$56-Voorblad!$F$41)/$U124-SUM($EE124:HV124)=1,1,0))))</f>
        <v>0</v>
      </c>
      <c r="HX124" s="8">
        <f>IF(HX$56-Voorblad!$F$41&gt;Voorblad!$K$41,0,IF($U124=0,0,IF($U124&lt;1,1/$U124,IF((HX$56-Voorblad!$F$41)/$U124-SUM($EE124:HW124)=1,1,0))))</f>
        <v>0</v>
      </c>
      <c r="HY124" s="8">
        <f>IF(HY$56-Voorblad!$F$41&gt;Voorblad!$K$41,0,IF($U124=0,0,IF($U124&lt;1,1/$U124,IF((HY$56-Voorblad!$F$41)/$U124-SUM($EE124:HX124)=1,1,0))))</f>
        <v>0</v>
      </c>
      <c r="HZ124" s="8">
        <f>IF(HZ$56-Voorblad!$F$41&gt;Voorblad!$K$41,0,IF($U124=0,0,IF($U124&lt;1,1/$U124,IF((HZ$56-Voorblad!$F$41)/$U124-SUM($EE124:HY124)=1,1,0))))</f>
        <v>0</v>
      </c>
      <c r="IA124" s="8">
        <f>IF(IA$56-Voorblad!$F$41&gt;Voorblad!$K$41,0,IF($U124=0,0,IF($U124&lt;1,1/$U124,IF((IA$56-Voorblad!$F$41)/$U124-SUM($EE124:HZ124)=1,1,0))))</f>
        <v>0</v>
      </c>
      <c r="IB124" s="8">
        <f>IF(IB$56-Voorblad!$F$41&gt;Voorblad!$K$41,0,IF($U124=0,0,IF($U124&lt;1,1/$U124,IF((IB$56-Voorblad!$F$41)/$U124-SUM($EE124:IA124)=1,1,0))))</f>
        <v>0</v>
      </c>
    </row>
    <row r="125" spans="2:236" outlineLevel="1" x14ac:dyDescent="0.25">
      <c r="B125" s="2" t="s">
        <v>269</v>
      </c>
      <c r="C125" s="2"/>
      <c r="S125" s="14"/>
      <c r="U125" s="14"/>
      <c r="V125" s="14"/>
      <c r="Y125" s="23">
        <f>SUM(Y109:Y124)</f>
        <v>77771.272590053981</v>
      </c>
      <c r="Z125" s="24"/>
      <c r="AA125" s="23">
        <f>SUM(AA109:AA124)</f>
        <v>0</v>
      </c>
      <c r="AC125" s="9">
        <f>$Y125*(Voorblad!$K$44*(1+Voorblad!$K$44)^Voorblad!$K$41)/((1+Voorblad!$K$44)^Voorblad!$K$41-1)</f>
        <v>2328.1358863469591</v>
      </c>
      <c r="AE125" s="23">
        <f t="shared" ref="AE125:BA125" si="24">SUM(AE109:AE124)</f>
        <v>0</v>
      </c>
      <c r="AF125" s="23">
        <f t="shared" si="24"/>
        <v>0</v>
      </c>
      <c r="AG125" s="23">
        <f t="shared" si="24"/>
        <v>0</v>
      </c>
      <c r="AH125" s="23">
        <f t="shared" si="24"/>
        <v>0</v>
      </c>
      <c r="AI125" s="23">
        <f t="shared" si="24"/>
        <v>0</v>
      </c>
      <c r="AJ125" s="23">
        <f t="shared" si="24"/>
        <v>782.21104453442274</v>
      </c>
      <c r="AK125" s="23">
        <f t="shared" si="24"/>
        <v>0</v>
      </c>
      <c r="AL125" s="23">
        <f t="shared" si="24"/>
        <v>0</v>
      </c>
      <c r="AM125" s="23">
        <f t="shared" si="24"/>
        <v>0</v>
      </c>
      <c r="AN125" s="23">
        <f t="shared" si="24"/>
        <v>0</v>
      </c>
      <c r="AO125" s="23">
        <f t="shared" si="24"/>
        <v>7325.2454046985476</v>
      </c>
      <c r="AP125" s="23">
        <f t="shared" si="24"/>
        <v>0</v>
      </c>
      <c r="AQ125" s="23">
        <f t="shared" si="24"/>
        <v>0</v>
      </c>
      <c r="AR125" s="23">
        <f t="shared" si="24"/>
        <v>0</v>
      </c>
      <c r="AS125" s="23">
        <f t="shared" si="24"/>
        <v>0</v>
      </c>
      <c r="AT125" s="23">
        <f t="shared" si="24"/>
        <v>19557.03987976909</v>
      </c>
      <c r="AU125" s="23">
        <f t="shared" si="24"/>
        <v>0</v>
      </c>
      <c r="AV125" s="23">
        <f t="shared" si="24"/>
        <v>0</v>
      </c>
      <c r="AW125" s="23">
        <f t="shared" si="24"/>
        <v>0</v>
      </c>
      <c r="AX125" s="23">
        <f t="shared" si="24"/>
        <v>0</v>
      </c>
      <c r="AY125" s="23">
        <f t="shared" si="24"/>
        <v>5722.4700023992318</v>
      </c>
      <c r="AZ125" s="23">
        <f t="shared" si="24"/>
        <v>0</v>
      </c>
      <c r="BA125" s="23">
        <f t="shared" si="24"/>
        <v>0</v>
      </c>
      <c r="BB125" s="23">
        <f t="shared" ref="BB125" si="25">SUM(BB109:BB124)</f>
        <v>0</v>
      </c>
      <c r="BC125" s="23">
        <f t="shared" ref="BC125" si="26">SUM(BC109:BC124)</f>
        <v>0</v>
      </c>
      <c r="BD125" s="23">
        <f t="shared" ref="BD125" si="27">SUM(BD109:BD124)</f>
        <v>477.36067166261267</v>
      </c>
      <c r="BE125" s="23">
        <f t="shared" ref="BE125" si="28">SUM(BE109:BE124)</f>
        <v>0</v>
      </c>
      <c r="BF125" s="23">
        <f t="shared" ref="BF125" si="29">SUM(BF109:BF124)</f>
        <v>0</v>
      </c>
      <c r="BG125" s="23">
        <f t="shared" ref="BG125" si="30">SUM(BG109:BG124)</f>
        <v>0</v>
      </c>
      <c r="BH125" s="23">
        <f t="shared" ref="BH125" si="31">SUM(BH109:BH124)</f>
        <v>0</v>
      </c>
      <c r="BI125" s="23">
        <f t="shared" ref="BI125" si="32">SUM(BI109:BI124)</f>
        <v>17551.92957411956</v>
      </c>
      <c r="BJ125" s="23">
        <f t="shared" ref="BJ125" si="33">SUM(BJ109:BJ124)</f>
        <v>0</v>
      </c>
      <c r="BK125" s="23">
        <f t="shared" ref="BK125" si="34">SUM(BK109:BK124)</f>
        <v>0</v>
      </c>
      <c r="BL125" s="23">
        <f t="shared" ref="BL125" si="35">SUM(BL109:BL124)</f>
        <v>0</v>
      </c>
      <c r="BM125" s="23">
        <f t="shared" ref="BM125" si="36">SUM(BM109:BM124)</f>
        <v>0</v>
      </c>
      <c r="BN125" s="23">
        <f t="shared" ref="BN125" si="37">SUM(BN109:BN124)</f>
        <v>372.9133937495526</v>
      </c>
      <c r="BO125" s="23">
        <f t="shared" ref="BO125" si="38">SUM(BO109:BO124)</f>
        <v>0</v>
      </c>
      <c r="BP125" s="23">
        <f t="shared" ref="BP125" si="39">SUM(BP109:BP124)</f>
        <v>0</v>
      </c>
      <c r="BQ125" s="23">
        <f t="shared" ref="BQ125" si="40">SUM(BQ109:BQ124)</f>
        <v>0</v>
      </c>
      <c r="BR125" s="23">
        <f t="shared" ref="BR125" si="41">SUM(BR109:BR124)</f>
        <v>0</v>
      </c>
      <c r="BS125" s="23">
        <f t="shared" ref="BS125" si="42">SUM(BS109:BS124)</f>
        <v>3492.2571638455529</v>
      </c>
      <c r="BT125" s="23">
        <f t="shared" ref="BT125" si="43">SUM(BT109:BT124)</f>
        <v>0</v>
      </c>
      <c r="BU125" s="23">
        <f t="shared" ref="BU125" si="44">SUM(BU109:BU124)</f>
        <v>0</v>
      </c>
      <c r="BV125" s="23">
        <f t="shared" ref="BV125" si="45">SUM(BV109:BV124)</f>
        <v>0</v>
      </c>
      <c r="BW125" s="23">
        <f t="shared" ref="BW125" si="46">SUM(BW109:BW124)</f>
        <v>0</v>
      </c>
      <c r="BX125" s="23">
        <f t="shared" ref="BX125" si="47">SUM(BX109:BX124)</f>
        <v>9323.6757064724479</v>
      </c>
      <c r="BY125" s="23">
        <f t="shared" ref="BY125" si="48">SUM(BY109:BY124)</f>
        <v>0</v>
      </c>
      <c r="BZ125" s="23">
        <f t="shared" ref="BZ125" si="49">SUM(BZ109:BZ124)</f>
        <v>0</v>
      </c>
      <c r="CA125" s="23">
        <f t="shared" ref="CA125" si="50">SUM(CA109:CA124)</f>
        <v>0</v>
      </c>
      <c r="CB125" s="23">
        <f t="shared" ref="CB125" si="51">SUM(CB109:CB124)</f>
        <v>0</v>
      </c>
      <c r="CC125" s="23">
        <f t="shared" ref="CC125" si="52">SUM(CC109:CC124)</f>
        <v>2728.1457148113659</v>
      </c>
      <c r="CD125" s="23">
        <f t="shared" ref="CD125" si="53">SUM(CD109:CD124)</f>
        <v>0</v>
      </c>
      <c r="CE125" s="23">
        <f t="shared" ref="CE125" si="54">SUM(CE109:CE124)</f>
        <v>0</v>
      </c>
      <c r="CF125" s="23">
        <f t="shared" ref="CF125" si="55">SUM(CF109:CF124)</f>
        <v>0</v>
      </c>
      <c r="CG125" s="23">
        <f t="shared" ref="CG125" si="56">SUM(CG109:CG124)</f>
        <v>0</v>
      </c>
      <c r="CH125" s="23">
        <f t="shared" ref="CH125" si="57">SUM(CH109:CH124)</f>
        <v>227.57820840822569</v>
      </c>
      <c r="CI125" s="23">
        <f t="shared" ref="CI125" si="58">SUM(CI109:CI124)</f>
        <v>0</v>
      </c>
      <c r="CJ125" s="23">
        <f t="shared" ref="CJ125" si="59">SUM(CJ109:CJ124)</f>
        <v>0</v>
      </c>
      <c r="CK125" s="23">
        <f t="shared" ref="CK125" si="60">SUM(CK109:CK124)</f>
        <v>0</v>
      </c>
      <c r="CL125" s="23">
        <f t="shared" ref="CL125" si="61">SUM(CL109:CL124)</f>
        <v>0</v>
      </c>
      <c r="CM125" s="23">
        <f t="shared" ref="CM125" si="62">SUM(CM109:CM124)</f>
        <v>8367.7540352730502</v>
      </c>
      <c r="CN125" s="23">
        <f t="shared" ref="CN125" si="63">SUM(CN109:CN124)</f>
        <v>0</v>
      </c>
      <c r="CO125" s="23">
        <f t="shared" ref="CO125" si="64">SUM(CO109:CO124)</f>
        <v>0</v>
      </c>
      <c r="CP125" s="23">
        <f t="shared" ref="CP125" si="65">SUM(CP109:CP124)</f>
        <v>0</v>
      </c>
      <c r="CQ125" s="23">
        <f t="shared" ref="CQ125" si="66">SUM(CQ109:CQ124)</f>
        <v>0</v>
      </c>
      <c r="CR125" s="23">
        <f t="shared" ref="CR125" si="67">SUM(CR109:CR124)</f>
        <v>177.78373267611033</v>
      </c>
      <c r="CS125" s="23">
        <f t="shared" ref="CS125" si="68">SUM(CS109:CS124)</f>
        <v>0</v>
      </c>
      <c r="CT125" s="23">
        <f t="shared" ref="CT125" si="69">SUM(CT109:CT124)</f>
        <v>0</v>
      </c>
      <c r="CU125" s="23">
        <f t="shared" ref="CU125" si="70">SUM(CU109:CU124)</f>
        <v>0</v>
      </c>
      <c r="CV125" s="23">
        <f t="shared" ref="CV125" si="71">SUM(CV109:CV124)</f>
        <v>0</v>
      </c>
      <c r="CW125" s="23">
        <f t="shared" ref="CW125" si="72">SUM(CW109:CW124)</f>
        <v>1664.9080576342099</v>
      </c>
      <c r="CX125" s="23">
        <f t="shared" ref="CX125" si="73">SUM(CX109:CX124)</f>
        <v>0</v>
      </c>
      <c r="CY125" s="23">
        <f t="shared" ref="CY125" si="74">SUM(CY109:CY124)</f>
        <v>0</v>
      </c>
      <c r="CZ125" s="23">
        <f t="shared" ref="CZ125" si="75">SUM(CZ109:CZ124)</f>
        <v>0</v>
      </c>
      <c r="DA125" s="23">
        <f t="shared" ref="DA125" si="76">SUM(DA109:DA124)</f>
        <v>0</v>
      </c>
      <c r="DB125" s="23">
        <f t="shared" ref="DB125" si="77">SUM(DB109:DB124)</f>
        <v>0</v>
      </c>
      <c r="DC125" s="23">
        <f t="shared" ref="DC125" si="78">SUM(DC109:DC124)</f>
        <v>0</v>
      </c>
      <c r="DD125" s="23">
        <f t="shared" ref="DD125" si="79">SUM(DD109:DD124)</f>
        <v>0</v>
      </c>
      <c r="DE125" s="23">
        <f t="shared" ref="DE125" si="80">SUM(DE109:DE124)</f>
        <v>0</v>
      </c>
      <c r="DF125" s="23">
        <f t="shared" ref="DF125" si="81">SUM(DF109:DF124)</f>
        <v>0</v>
      </c>
      <c r="DG125" s="23">
        <f t="shared" ref="DG125" si="82">SUM(DG109:DG124)</f>
        <v>0</v>
      </c>
      <c r="DH125" s="23">
        <f t="shared" ref="DH125" si="83">SUM(DH109:DH124)</f>
        <v>0</v>
      </c>
      <c r="DI125" s="23">
        <f t="shared" ref="DI125" si="84">SUM(DI109:DI124)</f>
        <v>0</v>
      </c>
      <c r="DJ125" s="23">
        <f t="shared" ref="DJ125" si="85">SUM(DJ109:DJ124)</f>
        <v>0</v>
      </c>
      <c r="DK125" s="23">
        <f t="shared" ref="DK125" si="86">SUM(DK109:DK124)</f>
        <v>0</v>
      </c>
      <c r="DL125" s="23">
        <f t="shared" ref="DL125" si="87">SUM(DL109:DL124)</f>
        <v>0</v>
      </c>
      <c r="DM125" s="23">
        <f t="shared" ref="DM125" si="88">SUM(DM109:DM124)</f>
        <v>0</v>
      </c>
      <c r="DN125" s="23">
        <f t="shared" ref="DN125" si="89">SUM(DN109:DN124)</f>
        <v>0</v>
      </c>
      <c r="DO125" s="23">
        <f t="shared" ref="DO125" si="90">SUM(DO109:DO124)</f>
        <v>0</v>
      </c>
      <c r="DP125" s="23">
        <f t="shared" ref="DP125" si="91">SUM(DP109:DP124)</f>
        <v>0</v>
      </c>
      <c r="DQ125" s="23">
        <f t="shared" ref="DQ125" si="92">SUM(DQ109:DQ124)</f>
        <v>0</v>
      </c>
      <c r="DR125" s="23">
        <f t="shared" ref="DR125" si="93">SUM(DR109:DR124)</f>
        <v>0</v>
      </c>
      <c r="DS125" s="23">
        <f t="shared" ref="DS125" si="94">SUM(DS109:DS124)</f>
        <v>0</v>
      </c>
      <c r="DT125" s="23">
        <f t="shared" ref="DT125" si="95">SUM(DT109:DT124)</f>
        <v>0</v>
      </c>
      <c r="DU125" s="23">
        <f t="shared" ref="DU125" si="96">SUM(DU109:DU124)</f>
        <v>0</v>
      </c>
      <c r="DV125" s="23">
        <f t="shared" ref="DV125" si="97">SUM(DV109:DV124)</f>
        <v>0</v>
      </c>
      <c r="DW125" s="23">
        <f t="shared" ref="DW125" si="98">SUM(DW109:DW124)</f>
        <v>0</v>
      </c>
      <c r="DX125" s="23">
        <f t="shared" ref="DX125" si="99">SUM(DX109:DX124)</f>
        <v>0</v>
      </c>
      <c r="DY125" s="23">
        <f t="shared" ref="DY125" si="100">SUM(DY109:DY124)</f>
        <v>0</v>
      </c>
      <c r="DZ125" s="23">
        <f t="shared" ref="DZ125" si="101">SUM(DZ109:DZ124)</f>
        <v>0</v>
      </c>
      <c r="EA125" s="23">
        <f t="shared" ref="EA125" si="102">SUM(EA109:EA124)</f>
        <v>0</v>
      </c>
      <c r="EB125" s="23">
        <f t="shared" ref="EB125" si="103">SUM(EB109:EB124)</f>
        <v>0</v>
      </c>
      <c r="EE125" s="8"/>
      <c r="EF125" s="8"/>
      <c r="EG125" s="8"/>
      <c r="EH125" s="8"/>
      <c r="EI125" s="8"/>
      <c r="EJ125" s="8"/>
      <c r="EK125" s="8"/>
      <c r="EL125" s="8"/>
      <c r="EM125" s="8"/>
      <c r="EN125" s="8"/>
      <c r="EO125" s="8"/>
      <c r="EP125" s="8"/>
      <c r="EQ125" s="8"/>
      <c r="ER125" s="8"/>
      <c r="ES125" s="8"/>
      <c r="ET125" s="8"/>
      <c r="EU125" s="8"/>
      <c r="EV125" s="8"/>
      <c r="EW125" s="8"/>
      <c r="EX125" s="8"/>
      <c r="EY125" s="8"/>
      <c r="EZ125" s="8"/>
      <c r="FA125" s="8"/>
      <c r="FB125" s="8"/>
      <c r="FC125" s="8"/>
      <c r="FD125" s="8"/>
      <c r="FE125" s="8"/>
      <c r="FF125" s="8"/>
      <c r="FG125" s="8"/>
      <c r="FH125" s="8"/>
      <c r="FI125" s="8"/>
      <c r="FJ125" s="8"/>
      <c r="FK125" s="8"/>
      <c r="FL125" s="8"/>
      <c r="FM125" s="8"/>
      <c r="FN125" s="8"/>
      <c r="FO125" s="8"/>
      <c r="FP125" s="8"/>
      <c r="FQ125" s="8"/>
      <c r="FR125" s="8"/>
      <c r="FS125" s="8"/>
      <c r="FT125" s="8"/>
      <c r="FU125" s="8"/>
      <c r="FV125" s="8"/>
      <c r="FW125" s="8"/>
      <c r="FX125" s="8"/>
      <c r="FY125" s="8"/>
      <c r="FZ125" s="8"/>
      <c r="GA125" s="8"/>
      <c r="GB125" s="8"/>
      <c r="GC125" s="8"/>
      <c r="GD125" s="8"/>
      <c r="GE125" s="8"/>
      <c r="GF125" s="8"/>
      <c r="GG125" s="8"/>
      <c r="GH125" s="8"/>
      <c r="GI125" s="8"/>
      <c r="GJ125" s="8"/>
      <c r="GK125" s="8"/>
      <c r="GL125" s="8"/>
      <c r="GM125" s="8"/>
      <c r="GN125" s="8"/>
      <c r="GO125" s="8"/>
      <c r="GP125" s="8"/>
      <c r="GQ125" s="8"/>
      <c r="GR125" s="8"/>
      <c r="GS125" s="8"/>
      <c r="GT125" s="8"/>
      <c r="GU125" s="8"/>
      <c r="GV125" s="8"/>
      <c r="GW125" s="8"/>
      <c r="GX125" s="8"/>
      <c r="GY125" s="8"/>
      <c r="GZ125" s="8"/>
      <c r="HA125" s="8"/>
      <c r="HB125" s="8"/>
      <c r="HC125" s="8"/>
      <c r="HD125" s="8"/>
      <c r="HE125" s="8"/>
      <c r="HF125" s="8"/>
      <c r="HG125" s="8"/>
      <c r="HH125" s="8"/>
      <c r="HI125" s="8"/>
      <c r="HJ125" s="8"/>
      <c r="HK125" s="8"/>
      <c r="HL125" s="8"/>
      <c r="HM125" s="8"/>
      <c r="HN125" s="8"/>
      <c r="HO125" s="8"/>
      <c r="HP125" s="8"/>
      <c r="HQ125" s="8"/>
      <c r="HR125" s="8"/>
      <c r="HS125" s="8"/>
      <c r="HT125" s="8"/>
      <c r="HU125" s="8"/>
      <c r="HV125" s="8"/>
      <c r="HW125" s="8"/>
      <c r="HX125" s="8"/>
      <c r="HY125" s="8"/>
      <c r="HZ125" s="8"/>
      <c r="IA125" s="8"/>
      <c r="IB125" s="8"/>
    </row>
    <row r="126" spans="2:236" ht="12" customHeight="1" outlineLevel="1" x14ac:dyDescent="0.25">
      <c r="J126" s="150" t="s">
        <v>146</v>
      </c>
      <c r="S126" s="14"/>
      <c r="U126" s="14"/>
      <c r="V126" s="14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E126" s="8"/>
      <c r="EF126" s="8"/>
      <c r="EG126" s="8"/>
      <c r="EH126" s="8"/>
      <c r="EI126" s="8"/>
      <c r="EJ126" s="8"/>
      <c r="EK126" s="8"/>
      <c r="EL126" s="8"/>
      <c r="EM126" s="8"/>
      <c r="EN126" s="8"/>
      <c r="EO126" s="8"/>
      <c r="EP126" s="8"/>
      <c r="EQ126" s="8"/>
      <c r="ER126" s="8"/>
      <c r="ES126" s="8"/>
      <c r="ET126" s="8"/>
      <c r="EU126" s="8"/>
      <c r="EV126" s="8"/>
      <c r="EW126" s="8"/>
      <c r="EX126" s="8"/>
      <c r="EY126" s="8"/>
      <c r="EZ126" s="8"/>
      <c r="FA126" s="8"/>
      <c r="FB126" s="8"/>
      <c r="FC126" s="8"/>
      <c r="FD126" s="8"/>
      <c r="FE126" s="8"/>
      <c r="FF126" s="8"/>
      <c r="FG126" s="8"/>
      <c r="FH126" s="8"/>
      <c r="FI126" s="8"/>
      <c r="FJ126" s="8"/>
      <c r="FK126" s="8"/>
      <c r="FL126" s="8"/>
      <c r="FM126" s="8"/>
      <c r="FN126" s="8"/>
      <c r="FO126" s="8"/>
      <c r="FP126" s="8"/>
      <c r="FQ126" s="8"/>
      <c r="FR126" s="8"/>
      <c r="FS126" s="8"/>
      <c r="FT126" s="8"/>
      <c r="FU126" s="8"/>
      <c r="FV126" s="8"/>
      <c r="FW126" s="8"/>
      <c r="FX126" s="8"/>
      <c r="FY126" s="8"/>
      <c r="FZ126" s="8"/>
      <c r="GA126" s="8"/>
      <c r="GB126" s="8"/>
      <c r="GC126" s="8"/>
      <c r="GD126" s="8"/>
      <c r="GE126" s="8"/>
      <c r="GF126" s="8"/>
      <c r="GG126" s="8"/>
      <c r="GH126" s="8"/>
      <c r="GI126" s="8"/>
      <c r="GJ126" s="8"/>
      <c r="GK126" s="8"/>
      <c r="GL126" s="8"/>
      <c r="GM126" s="8"/>
      <c r="GN126" s="8"/>
      <c r="GO126" s="8"/>
      <c r="GP126" s="8"/>
      <c r="GQ126" s="8"/>
      <c r="GR126" s="8"/>
      <c r="GS126" s="8"/>
      <c r="GT126" s="8"/>
      <c r="GU126" s="8"/>
      <c r="GV126" s="8"/>
      <c r="GW126" s="8"/>
      <c r="GX126" s="8"/>
      <c r="GY126" s="8"/>
      <c r="GZ126" s="8"/>
      <c r="HA126" s="8"/>
      <c r="HB126" s="8"/>
      <c r="HC126" s="8"/>
      <c r="HD126" s="8"/>
      <c r="HE126" s="8"/>
      <c r="HF126" s="8"/>
      <c r="HG126" s="8"/>
      <c r="HH126" s="8"/>
      <c r="HI126" s="8"/>
      <c r="HJ126" s="8"/>
      <c r="HK126" s="8"/>
      <c r="HL126" s="8"/>
      <c r="HM126" s="8"/>
      <c r="HN126" s="8"/>
      <c r="HO126" s="8"/>
      <c r="HP126" s="8"/>
      <c r="HQ126" s="8"/>
      <c r="HR126" s="8"/>
      <c r="HS126" s="8"/>
      <c r="HT126" s="8"/>
      <c r="HU126" s="8"/>
      <c r="HV126" s="8"/>
      <c r="HW126" s="8"/>
      <c r="HX126" s="8"/>
      <c r="HY126" s="8"/>
      <c r="HZ126" s="8"/>
      <c r="IA126" s="8"/>
      <c r="IB126" s="8"/>
    </row>
    <row r="127" spans="2:236" hidden="1" outlineLevel="2" x14ac:dyDescent="0.25">
      <c r="B127" s="1">
        <v>1</v>
      </c>
      <c r="D127" s="1" t="s">
        <v>29</v>
      </c>
      <c r="F127" s="1" t="s">
        <v>23</v>
      </c>
      <c r="I127" s="1" t="s">
        <v>49</v>
      </c>
      <c r="K127" s="1" t="s">
        <v>78</v>
      </c>
      <c r="Q127" s="81">
        <v>0</v>
      </c>
      <c r="R127" s="1" t="s">
        <v>34</v>
      </c>
      <c r="S127" s="14">
        <f>S126*715</f>
        <v>0</v>
      </c>
      <c r="T127" s="9">
        <f t="shared" ref="T127:T146" si="104">Q127*S127</f>
        <v>0</v>
      </c>
      <c r="U127" s="14">
        <v>9</v>
      </c>
      <c r="V127" s="14"/>
      <c r="Y127" s="9">
        <f>SUM(AE127:EB127)</f>
        <v>0</v>
      </c>
      <c r="Z127" s="82"/>
      <c r="AA127" s="82"/>
      <c r="AC127" s="9">
        <f>$Y127*(Voorblad!$K$44*(1+Voorblad!$K$44)^Voorblad!$K$41)/((1+Voorblad!$K$44)^Voorblad!$K$41-1)</f>
        <v>0</v>
      </c>
      <c r="AE127" s="9">
        <f>EF127*($Q127*$S127)/(1+Voorblad!$K$44)^(AE$56-Voorblad!$F$41)</f>
        <v>0</v>
      </c>
      <c r="AF127" s="9">
        <f>EG127*($Q127*$S127)/(1+Voorblad!$K$44)^(AF$56-Voorblad!$F$41)</f>
        <v>0</v>
      </c>
      <c r="AG127" s="9">
        <f>EH127*($Q127*$S127)/(1+Voorblad!$K$44)^(AG$56-Voorblad!$F$41)</f>
        <v>0</v>
      </c>
      <c r="AH127" s="9">
        <f>EI127*($Q127*$S127)/(1+Voorblad!$K$44)^(AH$56-Voorblad!$F$41)</f>
        <v>0</v>
      </c>
      <c r="AI127" s="9">
        <f>EJ127*($Q127*$S127)/(1+Voorblad!$K$44)^(AI$56-Voorblad!$F$41)</f>
        <v>0</v>
      </c>
      <c r="AJ127" s="9">
        <f>EK127*($Q127*$S127)/(1+Voorblad!$K$44)^(AJ$56-Voorblad!$F$41)</f>
        <v>0</v>
      </c>
      <c r="AK127" s="9">
        <f>EL127*($Q127*$S127)/(1+Voorblad!$K$44)^(AK$56-Voorblad!$F$41)</f>
        <v>0</v>
      </c>
      <c r="AL127" s="9">
        <f>EM127*($Q127*$S127)/(1+Voorblad!$K$44)^(AL$56-Voorblad!$F$41)</f>
        <v>0</v>
      </c>
      <c r="AM127" s="9">
        <f>EN127*($Q127*$S127)/(1+Voorblad!$K$44)^(AM$56-Voorblad!$F$41)</f>
        <v>0</v>
      </c>
      <c r="AN127" s="9">
        <f>EO127*($Q127*$S127)/(1+Voorblad!$K$44)^(AN$56-Voorblad!$F$41)</f>
        <v>0</v>
      </c>
      <c r="AO127" s="9">
        <f>EP127*($Q127*$S127)/(1+Voorblad!$K$44)^(AO$56-Voorblad!$F$41)</f>
        <v>0</v>
      </c>
      <c r="AP127" s="9">
        <f>EQ127*($Q127*$S127)/(1+Voorblad!$K$44)^(AP$56-Voorblad!$F$41)</f>
        <v>0</v>
      </c>
      <c r="AQ127" s="9">
        <f>ER127*($Q127*$S127)/(1+Voorblad!$K$44)^(AQ$56-Voorblad!$F$41)</f>
        <v>0</v>
      </c>
      <c r="AR127" s="9">
        <f>ES127*($Q127*$S127)/(1+Voorblad!$K$44)^(AR$56-Voorblad!$F$41)</f>
        <v>0</v>
      </c>
      <c r="AS127" s="9">
        <f>ET127*($Q127*$S127)/(1+Voorblad!$K$44)^(AS$56-Voorblad!$F$41)</f>
        <v>0</v>
      </c>
      <c r="AT127" s="9">
        <f>EU127*($Q127*$S127)/(1+Voorblad!$K$44)^(AT$56-Voorblad!$F$41)</f>
        <v>0</v>
      </c>
      <c r="AU127" s="9">
        <f>EV127*($Q127*$S127)/(1+Voorblad!$K$44)^(AU$56-Voorblad!$F$41)</f>
        <v>0</v>
      </c>
      <c r="AV127" s="9">
        <f>EW127*($Q127*$S127)/(1+Voorblad!$K$44)^(AV$56-Voorblad!$F$41)</f>
        <v>0</v>
      </c>
      <c r="AW127" s="9">
        <f>EX127*($Q127*$S127)/(1+Voorblad!$K$44)^(AW$56-Voorblad!$F$41)</f>
        <v>0</v>
      </c>
      <c r="AX127" s="9">
        <f>EY127*($Q127*$S127)/(1+Voorblad!$K$44)^(AX$56-Voorblad!$F$41)</f>
        <v>0</v>
      </c>
      <c r="AY127" s="9">
        <f>EZ127*($Q127*$S127)/(1+Voorblad!$K$44)^(AY$56-Voorblad!$F$41)</f>
        <v>0</v>
      </c>
      <c r="AZ127" s="9">
        <f>FA127*($Q127*$S127)/(1+Voorblad!$K$44)^(AZ$56-Voorblad!$F$41)</f>
        <v>0</v>
      </c>
      <c r="BA127" s="9">
        <f>FB127*($Q127*$S127)/(1+Voorblad!$K$44)^(BA$56-Voorblad!$F$41)</f>
        <v>0</v>
      </c>
      <c r="BB127" s="9">
        <f>FC127*($Q127*$S127)/(1+Voorblad!$K$44)^(BB$56-Voorblad!$F$41)</f>
        <v>0</v>
      </c>
      <c r="BC127" s="9">
        <f>FD127*($Q127*$S127)/(1+Voorblad!$K$44)^(BC$56-Voorblad!$F$41)</f>
        <v>0</v>
      </c>
      <c r="BD127" s="9">
        <f>FE127*($Q127*$S127)/(1+Voorblad!$K$44)^(BD$56-Voorblad!$F$41)</f>
        <v>0</v>
      </c>
      <c r="BE127" s="9">
        <f>FF127*($Q127*$S127)/(1+Voorblad!$K$44)^(BE$56-Voorblad!$F$41)</f>
        <v>0</v>
      </c>
      <c r="BF127" s="9">
        <f>FG127*($Q127*$S127)/(1+Voorblad!$K$44)^(BF$56-Voorblad!$F$41)</f>
        <v>0</v>
      </c>
      <c r="BG127" s="9">
        <f>FH127*($Q127*$S127)/(1+Voorblad!$K$44)^(BG$56-Voorblad!$F$41)</f>
        <v>0</v>
      </c>
      <c r="BH127" s="9">
        <f>FI127*($Q127*$S127)/(1+Voorblad!$K$44)^(BH$56-Voorblad!$F$41)</f>
        <v>0</v>
      </c>
      <c r="BI127" s="9">
        <f>FJ127*($Q127*$S127)/(1+Voorblad!$K$44)^(BI$56-Voorblad!$F$41)</f>
        <v>0</v>
      </c>
      <c r="BJ127" s="9">
        <f>FK127*($Q127*$S127)/(1+Voorblad!$K$44)^(BJ$56-Voorblad!$F$41)</f>
        <v>0</v>
      </c>
      <c r="BK127" s="9">
        <f>FL127*($Q127*$S127)/(1+Voorblad!$K$44)^(BK$56-Voorblad!$F$41)</f>
        <v>0</v>
      </c>
      <c r="BL127" s="9">
        <f>FM127*($Q127*$S127)/(1+Voorblad!$K$44)^(BL$56-Voorblad!$F$41)</f>
        <v>0</v>
      </c>
      <c r="BM127" s="9">
        <f>FN127*($Q127*$S127)/(1+Voorblad!$K$44)^(BM$56-Voorblad!$F$41)</f>
        <v>0</v>
      </c>
      <c r="BN127" s="9">
        <f>FO127*($Q127*$S127)/(1+Voorblad!$K$44)^(BN$56-Voorblad!$F$41)</f>
        <v>0</v>
      </c>
      <c r="BO127" s="9">
        <f>FP127*($Q127*$S127)/(1+Voorblad!$K$44)^(BO$56-Voorblad!$F$41)</f>
        <v>0</v>
      </c>
      <c r="BP127" s="9">
        <f>FQ127*($Q127*$S127)/(1+Voorblad!$K$44)^(BP$56-Voorblad!$F$41)</f>
        <v>0</v>
      </c>
      <c r="BQ127" s="9">
        <f>FR127*($Q127*$S127)/(1+Voorblad!$K$44)^(BQ$56-Voorblad!$F$41)</f>
        <v>0</v>
      </c>
      <c r="BR127" s="9">
        <f>FS127*($Q127*$S127)/(1+Voorblad!$K$44)^(BR$56-Voorblad!$F$41)</f>
        <v>0</v>
      </c>
      <c r="BS127" s="9">
        <f>FT127*($Q127*$S127)/(1+Voorblad!$K$44)^(BS$56-Voorblad!$F$41)</f>
        <v>0</v>
      </c>
      <c r="BT127" s="9">
        <f>FU127*($Q127*$S127)/(1+Voorblad!$K$44)^(BT$56-Voorblad!$F$41)</f>
        <v>0</v>
      </c>
      <c r="BU127" s="9">
        <f>FV127*($Q127*$S127)/(1+Voorblad!$K$44)^(BU$56-Voorblad!$F$41)</f>
        <v>0</v>
      </c>
      <c r="BV127" s="9">
        <f>FW127*($Q127*$S127)/(1+Voorblad!$K$44)^(BV$56-Voorblad!$F$41)</f>
        <v>0</v>
      </c>
      <c r="BW127" s="9">
        <f>FX127*($Q127*$S127)/(1+Voorblad!$K$44)^(BW$56-Voorblad!$F$41)</f>
        <v>0</v>
      </c>
      <c r="BX127" s="9">
        <f>FY127*($Q127*$S127)/(1+Voorblad!$K$44)^(BX$56-Voorblad!$F$41)</f>
        <v>0</v>
      </c>
      <c r="BY127" s="9">
        <f>FZ127*($Q127*$S127)/(1+Voorblad!$K$44)^(BY$56-Voorblad!$F$41)</f>
        <v>0</v>
      </c>
      <c r="BZ127" s="9">
        <f>GA127*($Q127*$S127)/(1+Voorblad!$K$44)^(BZ$56-Voorblad!$F$41)</f>
        <v>0</v>
      </c>
      <c r="CA127" s="9">
        <f>GB127*($Q127*$S127)/(1+Voorblad!$K$44)^(CA$56-Voorblad!$F$41)</f>
        <v>0</v>
      </c>
      <c r="CB127" s="9">
        <f>GC127*($Q127*$S127)/(1+Voorblad!$K$44)^(CB$56-Voorblad!$F$41)</f>
        <v>0</v>
      </c>
      <c r="CC127" s="9">
        <f>GD127*($Q127*$S127)/(1+Voorblad!$K$44)^(CC$56-Voorblad!$F$41)</f>
        <v>0</v>
      </c>
      <c r="CD127" s="9">
        <f>GE127*($Q127*$S127)/(1+Voorblad!$K$44)^(CD$56-Voorblad!$F$41)</f>
        <v>0</v>
      </c>
      <c r="CE127" s="9">
        <f>GF127*($Q127*$S127)/(1+Voorblad!$K$44)^(CE$56-Voorblad!$F$41)</f>
        <v>0</v>
      </c>
      <c r="CF127" s="9">
        <f>GG127*($Q127*$S127)/(1+Voorblad!$K$44)^(CF$56-Voorblad!$F$41)</f>
        <v>0</v>
      </c>
      <c r="CG127" s="9">
        <f>GH127*($Q127*$S127)/(1+Voorblad!$K$44)^(CG$56-Voorblad!$F$41)</f>
        <v>0</v>
      </c>
      <c r="CH127" s="9">
        <f>GI127*($Q127*$S127)/(1+Voorblad!$K$44)^(CH$56-Voorblad!$F$41)</f>
        <v>0</v>
      </c>
      <c r="CI127" s="9">
        <f>GJ127*($Q127*$S127)/(1+Voorblad!$K$44)^(CI$56-Voorblad!$F$41)</f>
        <v>0</v>
      </c>
      <c r="CJ127" s="9">
        <f>GK127*($Q127*$S127)/(1+Voorblad!$K$44)^(CJ$56-Voorblad!$F$41)</f>
        <v>0</v>
      </c>
      <c r="CK127" s="9">
        <f>GL127*($Q127*$S127)/(1+Voorblad!$K$44)^(CK$56-Voorblad!$F$41)</f>
        <v>0</v>
      </c>
      <c r="CL127" s="9">
        <f>GM127*($Q127*$S127)/(1+Voorblad!$K$44)^(CL$56-Voorblad!$F$41)</f>
        <v>0</v>
      </c>
      <c r="CM127" s="9">
        <f>GN127*($Q127*$S127)/(1+Voorblad!$K$44)^(CM$56-Voorblad!$F$41)</f>
        <v>0</v>
      </c>
      <c r="CN127" s="9">
        <f>GO127*($Q127*$S127)/(1+Voorblad!$K$44)^(CN$56-Voorblad!$F$41)</f>
        <v>0</v>
      </c>
      <c r="CO127" s="9">
        <f>GP127*($Q127*$S127)/(1+Voorblad!$K$44)^(CO$56-Voorblad!$F$41)</f>
        <v>0</v>
      </c>
      <c r="CP127" s="9">
        <f>GQ127*($Q127*$S127)/(1+Voorblad!$K$44)^(CP$56-Voorblad!$F$41)</f>
        <v>0</v>
      </c>
      <c r="CQ127" s="9">
        <f>GR127*($Q127*$S127)/(1+Voorblad!$K$44)^(CQ$56-Voorblad!$F$41)</f>
        <v>0</v>
      </c>
      <c r="CR127" s="9">
        <f>GS127*($Q127*$S127)/(1+Voorblad!$K$44)^(CR$56-Voorblad!$F$41)</f>
        <v>0</v>
      </c>
      <c r="CS127" s="9">
        <f>GT127*($Q127*$S127)/(1+Voorblad!$K$44)^(CS$56-Voorblad!$F$41)</f>
        <v>0</v>
      </c>
      <c r="CT127" s="9">
        <f>GU127*($Q127*$S127)/(1+Voorblad!$K$44)^(CT$56-Voorblad!$F$41)</f>
        <v>0</v>
      </c>
      <c r="CU127" s="9">
        <f>GV127*($Q127*$S127)/(1+Voorblad!$K$44)^(CU$56-Voorblad!$F$41)</f>
        <v>0</v>
      </c>
      <c r="CV127" s="9">
        <f>GW127*($Q127*$S127)/(1+Voorblad!$K$44)^(CV$56-Voorblad!$F$41)</f>
        <v>0</v>
      </c>
      <c r="CW127" s="9">
        <f>GX127*($Q127*$S127)/(1+Voorblad!$K$44)^(CW$56-Voorblad!$F$41)</f>
        <v>0</v>
      </c>
      <c r="CX127" s="9">
        <f>GY127*($Q127*$S127)/(1+Voorblad!$K$44)^(CX$56-Voorblad!$F$41)</f>
        <v>0</v>
      </c>
      <c r="CY127" s="9">
        <f>GZ127*($Q127*$S127)/(1+Voorblad!$K$44)^(CY$56-Voorblad!$F$41)</f>
        <v>0</v>
      </c>
      <c r="CZ127" s="9">
        <f>HA127*($Q127*$S127)/(1+Voorblad!$K$44)^(CZ$56-Voorblad!$F$41)</f>
        <v>0</v>
      </c>
      <c r="DA127" s="9">
        <f>HB127*($Q127*$S127)/(1+Voorblad!$K$44)^(DA$56-Voorblad!$F$41)</f>
        <v>0</v>
      </c>
      <c r="DB127" s="9">
        <f>HC127*($Q127*$S127)/(1+Voorblad!$K$44)^(DB$56-Voorblad!$F$41)</f>
        <v>0</v>
      </c>
      <c r="DC127" s="9">
        <f>HD127*($Q127*$S127)/(1+Voorblad!$K$44)^(DC$56-Voorblad!$F$41)</f>
        <v>0</v>
      </c>
      <c r="DD127" s="9">
        <f>HE127*($Q127*$S127)/(1+Voorblad!$K$44)^(DD$56-Voorblad!$F$41)</f>
        <v>0</v>
      </c>
      <c r="DE127" s="9">
        <f>HF127*($Q127*$S127)/(1+Voorblad!$K$44)^(DE$56-Voorblad!$F$41)</f>
        <v>0</v>
      </c>
      <c r="DF127" s="9">
        <f>HG127*($Q127*$S127)/(1+Voorblad!$K$44)^(DF$56-Voorblad!$F$41)</f>
        <v>0</v>
      </c>
      <c r="DG127" s="9">
        <f>HH127*($Q127*$S127)/(1+Voorblad!$K$44)^(DG$56-Voorblad!$F$41)</f>
        <v>0</v>
      </c>
      <c r="DH127" s="9">
        <f>HI127*($Q127*$S127)/(1+Voorblad!$K$44)^(DH$56-Voorblad!$F$41)</f>
        <v>0</v>
      </c>
      <c r="DI127" s="9">
        <f>HJ127*($Q127*$S127)/(1+Voorblad!$K$44)^(DI$56-Voorblad!$F$41)</f>
        <v>0</v>
      </c>
      <c r="DJ127" s="9">
        <f>HK127*($Q127*$S127)/(1+Voorblad!$K$44)^(DJ$56-Voorblad!$F$41)</f>
        <v>0</v>
      </c>
      <c r="DK127" s="9">
        <f>HL127*($Q127*$S127)/(1+Voorblad!$K$44)^(DK$56-Voorblad!$F$41)</f>
        <v>0</v>
      </c>
      <c r="DL127" s="9">
        <f>HM127*($Q127*$S127)/(1+Voorblad!$K$44)^(DL$56-Voorblad!$F$41)</f>
        <v>0</v>
      </c>
      <c r="DM127" s="9">
        <f>HN127*($Q127*$S127)/(1+Voorblad!$K$44)^(DM$56-Voorblad!$F$41)</f>
        <v>0</v>
      </c>
      <c r="DN127" s="9">
        <f>HO127*($Q127*$S127)/(1+Voorblad!$K$44)^(DN$56-Voorblad!$F$41)</f>
        <v>0</v>
      </c>
      <c r="DO127" s="9">
        <f>HP127*($Q127*$S127)/(1+Voorblad!$K$44)^(DO$56-Voorblad!$F$41)</f>
        <v>0</v>
      </c>
      <c r="DP127" s="9">
        <f>HQ127*($Q127*$S127)/(1+Voorblad!$K$44)^(DP$56-Voorblad!$F$41)</f>
        <v>0</v>
      </c>
      <c r="DQ127" s="9">
        <f>HR127*($Q127*$S127)/(1+Voorblad!$K$44)^(DQ$56-Voorblad!$F$41)</f>
        <v>0</v>
      </c>
      <c r="DR127" s="9">
        <f>HS127*($Q127*$S127)/(1+Voorblad!$K$44)^(DR$56-Voorblad!$F$41)</f>
        <v>0</v>
      </c>
      <c r="DS127" s="9">
        <f>HT127*($Q127*$S127)/(1+Voorblad!$K$44)^(DS$56-Voorblad!$F$41)</f>
        <v>0</v>
      </c>
      <c r="DT127" s="9">
        <f>HU127*($Q127*$S127)/(1+Voorblad!$K$44)^(DT$56-Voorblad!$F$41)</f>
        <v>0</v>
      </c>
      <c r="DU127" s="9">
        <f>HV127*($Q127*$S127)/(1+Voorblad!$K$44)^(DU$56-Voorblad!$F$41)</f>
        <v>0</v>
      </c>
      <c r="DV127" s="9">
        <f>HW127*($Q127*$S127)/(1+Voorblad!$K$44)^(DV$56-Voorblad!$F$41)</f>
        <v>0</v>
      </c>
      <c r="DW127" s="9">
        <f>HX127*($Q127*$S127)/(1+Voorblad!$K$44)^(DW$56-Voorblad!$F$41)</f>
        <v>0</v>
      </c>
      <c r="DX127" s="9">
        <f>HY127*($Q127*$S127)/(1+Voorblad!$K$44)^(DX$56-Voorblad!$F$41)</f>
        <v>0</v>
      </c>
      <c r="DY127" s="9">
        <f>HZ127*($Q127*$S127)/(1+Voorblad!$K$44)^(DY$56-Voorblad!$F$41)</f>
        <v>0</v>
      </c>
      <c r="DZ127" s="9">
        <f>IA127*($Q127*$S127)/(1+Voorblad!$K$44)^(DZ$56-Voorblad!$F$41)</f>
        <v>0</v>
      </c>
      <c r="EA127" s="9">
        <f>IB127*($Q127*$S127)/(1+Voorblad!$K$44)^(EA$56-Voorblad!$F$41)</f>
        <v>0</v>
      </c>
      <c r="EB127" s="9">
        <f>IC127*($Q127*$S127)/(1+Voorblad!$K$44)^(EB$56-Voorblad!$F$41)</f>
        <v>0</v>
      </c>
      <c r="EE127" s="8">
        <v>0</v>
      </c>
      <c r="EF127" s="8">
        <f>IF(EF$56-Voorblad!$F$41&gt;Voorblad!$K$41,0,IF($U127=0,0,IF($U127&lt;1,1/$U127,IF((EF$56-Voorblad!$F$41)/$U127-SUM($EE127:EE127)=1,1,0))))</f>
        <v>0</v>
      </c>
      <c r="EG127" s="8">
        <f>IF(EG$56-Voorblad!$F$41&gt;Voorblad!$K$41,0,IF($U127=0,0,IF($U127&lt;1,1/$U127,IF((EG$56-Voorblad!$F$41)/$U127-SUM($EE127:EF127)=1,1,0))))</f>
        <v>0</v>
      </c>
      <c r="EH127" s="8">
        <f>IF(EH$56-Voorblad!$F$41&gt;Voorblad!$K$41,0,IF($U127=0,0,IF($U127&lt;1,1/$U127,IF((EH$56-Voorblad!$F$41)/$U127-SUM($EE127:EG127)=1,1,0))))</f>
        <v>0</v>
      </c>
      <c r="EI127" s="8">
        <f>IF(EI$56-Voorblad!$F$41&gt;Voorblad!$K$41,0,IF($U127=0,0,IF($U127&lt;1,1/$U127,IF((EI$56-Voorblad!$F$41)/$U127-SUM($EE127:EH127)=1,1,0))))</f>
        <v>0</v>
      </c>
      <c r="EJ127" s="8">
        <f>IF(EJ$56-Voorblad!$F$41&gt;Voorblad!$K$41,0,IF($U127=0,0,IF($U127&lt;1,1/$U127,IF((EJ$56-Voorblad!$F$41)/$U127-SUM($EE127:EI127)=1,1,0))))</f>
        <v>0</v>
      </c>
      <c r="EK127" s="8">
        <f>IF(EK$56-Voorblad!$F$41&gt;Voorblad!$K$41,0,IF($U127=0,0,IF($U127&lt;1,1/$U127,IF((EK$56-Voorblad!$F$41)/$U127-SUM($EE127:EJ127)=1,1,0))))</f>
        <v>0</v>
      </c>
      <c r="EL127" s="8">
        <f>IF(EL$56-Voorblad!$F$41&gt;Voorblad!$K$41,0,IF($U127=0,0,IF($U127&lt;1,1/$U127,IF((EL$56-Voorblad!$F$41)/$U127-SUM($EE127:EK127)=1,1,0))))</f>
        <v>0</v>
      </c>
      <c r="EM127" s="8">
        <f>IF(EM$56-Voorblad!$F$41&gt;Voorblad!$K$41,0,IF($U127=0,0,IF($U127&lt;1,1/$U127,IF((EM$56-Voorblad!$F$41)/$U127-SUM($EE127:EL127)=1,1,0))))</f>
        <v>0</v>
      </c>
      <c r="EN127" s="8">
        <f>IF(EN$56-Voorblad!$F$41&gt;Voorblad!$K$41,0,IF($U127=0,0,IF($U127&lt;1,1/$U127,IF((EN$56-Voorblad!$F$41)/$U127-SUM($EE127:EM127)=1,1,0))))</f>
        <v>0</v>
      </c>
      <c r="EO127" s="8">
        <f>IF(EO$56-Voorblad!$F$41&gt;Voorblad!$K$41,0,IF($U127=0,0,IF($U127&lt;1,1/$U127,IF((EO$56-Voorblad!$F$41)/$U127-SUM($EE127:EN127)=1,1,0))))</f>
        <v>1</v>
      </c>
      <c r="EP127" s="8">
        <f>IF(EP$56-Voorblad!$F$41&gt;Voorblad!$K$41,0,IF($U127=0,0,IF($U127&lt;1,1/$U127,IF((EP$56-Voorblad!$F$41)/$U127-SUM($EE127:EO127)=1,1,0))))</f>
        <v>0</v>
      </c>
      <c r="EQ127" s="8">
        <f>IF(EQ$56-Voorblad!$F$41&gt;Voorblad!$K$41,0,IF($U127=0,0,IF($U127&lt;1,1/$U127,IF((EQ$56-Voorblad!$F$41)/$U127-SUM($EE127:EP127)=1,1,0))))</f>
        <v>0</v>
      </c>
      <c r="ER127" s="8">
        <f>IF(ER$56-Voorblad!$F$41&gt;Voorblad!$K$41,0,IF($U127=0,0,IF($U127&lt;1,1/$U127,IF((ER$56-Voorblad!$F$41)/$U127-SUM($EE127:EQ127)=1,1,0))))</f>
        <v>0</v>
      </c>
      <c r="ES127" s="8">
        <f>IF(ES$56-Voorblad!$F$41&gt;Voorblad!$K$41,0,IF($U127=0,0,IF($U127&lt;1,1/$U127,IF((ES$56-Voorblad!$F$41)/$U127-SUM($EE127:ER127)=1,1,0))))</f>
        <v>0</v>
      </c>
      <c r="ET127" s="8">
        <f>IF(ET$56-Voorblad!$F$41&gt;Voorblad!$K$41,0,IF($U127=0,0,IF($U127&lt;1,1/$U127,IF((ET$56-Voorblad!$F$41)/$U127-SUM($EE127:ES127)=1,1,0))))</f>
        <v>0</v>
      </c>
      <c r="EU127" s="8">
        <f>IF(EU$56-Voorblad!$F$41&gt;Voorblad!$K$41,0,IF($U127=0,0,IF($U127&lt;1,1/$U127,IF((EU$56-Voorblad!$F$41)/$U127-SUM($EE127:ET127)=1,1,0))))</f>
        <v>0</v>
      </c>
      <c r="EV127" s="8">
        <f>IF(EV$56-Voorblad!$F$41&gt;Voorblad!$K$41,0,IF($U127=0,0,IF($U127&lt;1,1/$U127,IF((EV$56-Voorblad!$F$41)/$U127-SUM($EE127:EU127)=1,1,0))))</f>
        <v>0</v>
      </c>
      <c r="EW127" s="8">
        <f>IF(EW$56-Voorblad!$F$41&gt;Voorblad!$K$41,0,IF($U127=0,0,IF($U127&lt;1,1/$U127,IF((EW$56-Voorblad!$F$41)/$U127-SUM($EE127:EV127)=1,1,0))))</f>
        <v>0</v>
      </c>
      <c r="EX127" s="8">
        <f>IF(EX$56-Voorblad!$F$41&gt;Voorblad!$K$41,0,IF($U127=0,0,IF($U127&lt;1,1/$U127,IF((EX$56-Voorblad!$F$41)/$U127-SUM($EE127:EW127)=1,1,0))))</f>
        <v>1</v>
      </c>
      <c r="EY127" s="8">
        <f>IF(EY$56-Voorblad!$F$41&gt;Voorblad!$K$41,0,IF($U127=0,0,IF($U127&lt;1,1/$U127,IF((EY$56-Voorblad!$F$41)/$U127-SUM($EE127:EX127)=1,1,0))))</f>
        <v>0</v>
      </c>
      <c r="EZ127" s="8">
        <f>IF(EZ$56-Voorblad!$F$41&gt;Voorblad!$K$41,0,IF($U127=0,0,IF($U127&lt;1,1/$U127,IF((EZ$56-Voorblad!$F$41)/$U127-SUM($EE127:EY127)=1,1,0))))</f>
        <v>0</v>
      </c>
      <c r="FA127" s="8">
        <f>IF(FA$56-Voorblad!$F$41&gt;Voorblad!$K$41,0,IF($U127=0,0,IF($U127&lt;1,1/$U127,IF((FA$56-Voorblad!$F$41)/$U127-SUM($EE127:EZ127)=1,1,0))))</f>
        <v>0</v>
      </c>
      <c r="FB127" s="8">
        <f>IF(FB$56-Voorblad!$F$41&gt;Voorblad!$K$41,0,IF($U127=0,0,IF($U127&lt;1,1/$U127,IF((FB$56-Voorblad!$F$41)/$U127-SUM($EE127:FA127)=1,1,0))))</f>
        <v>0</v>
      </c>
      <c r="FC127" s="8">
        <f>IF(FC$56-Voorblad!$F$41&gt;Voorblad!$K$41,0,IF($U127=0,0,IF($U127&lt;1,1/$U127,IF((FC$56-Voorblad!$F$41)/$U127-SUM($EE127:FB127)=1,1,0))))</f>
        <v>0</v>
      </c>
      <c r="FD127" s="8">
        <f>IF(FD$56-Voorblad!$F$41&gt;Voorblad!$K$41,0,IF($U127=0,0,IF($U127&lt;1,1/$U127,IF((FD$56-Voorblad!$F$41)/$U127-SUM($EE127:FC127)=1,1,0))))</f>
        <v>0</v>
      </c>
      <c r="FE127" s="8">
        <f>IF(FE$56-Voorblad!$F$41&gt;Voorblad!$K$41,0,IF($U127=0,0,IF($U127&lt;1,1/$U127,IF((FE$56-Voorblad!$F$41)/$U127-SUM($EE127:FD127)=1,1,0))))</f>
        <v>0</v>
      </c>
      <c r="FF127" s="8">
        <f>IF(FF$56-Voorblad!$F$41&gt;Voorblad!$K$41,0,IF($U127=0,0,IF($U127&lt;1,1/$U127,IF((FF$56-Voorblad!$F$41)/$U127-SUM($EE127:FE127)=1,1,0))))</f>
        <v>0</v>
      </c>
      <c r="FG127" s="8">
        <f>IF(FG$56-Voorblad!$F$41&gt;Voorblad!$K$41,0,IF($U127=0,0,IF($U127&lt;1,1/$U127,IF((FG$56-Voorblad!$F$41)/$U127-SUM($EE127:FF127)=1,1,0))))</f>
        <v>1</v>
      </c>
      <c r="FH127" s="8">
        <f>IF(FH$56-Voorblad!$F$41&gt;Voorblad!$K$41,0,IF($U127=0,0,IF($U127&lt;1,1/$U127,IF((FH$56-Voorblad!$F$41)/$U127-SUM($EE127:FG127)=1,1,0))))</f>
        <v>0</v>
      </c>
      <c r="FI127" s="8">
        <f>IF(FI$56-Voorblad!$F$41&gt;Voorblad!$K$41,0,IF($U127=0,0,IF($U127&lt;1,1/$U127,IF((FI$56-Voorblad!$F$41)/$U127-SUM($EE127:FH127)=1,1,0))))</f>
        <v>0</v>
      </c>
      <c r="FJ127" s="8">
        <f>IF(FJ$56-Voorblad!$F$41&gt;Voorblad!$K$41,0,IF($U127=0,0,IF($U127&lt;1,1/$U127,IF((FJ$56-Voorblad!$F$41)/$U127-SUM($EE127:FI127)=1,1,0))))</f>
        <v>0</v>
      </c>
      <c r="FK127" s="8">
        <f>IF(FK$56-Voorblad!$F$41&gt;Voorblad!$K$41,0,IF($U127=0,0,IF($U127&lt;1,1/$U127,IF((FK$56-Voorblad!$F$41)/$U127-SUM($EE127:FJ127)=1,1,0))))</f>
        <v>0</v>
      </c>
      <c r="FL127" s="8">
        <f>IF(FL$56-Voorblad!$F$41&gt;Voorblad!$K$41,0,IF($U127=0,0,IF($U127&lt;1,1/$U127,IF((FL$56-Voorblad!$F$41)/$U127-SUM($EE127:FK127)=1,1,0))))</f>
        <v>0</v>
      </c>
      <c r="FM127" s="8">
        <f>IF(FM$56-Voorblad!$F$41&gt;Voorblad!$K$41,0,IF($U127=0,0,IF($U127&lt;1,1/$U127,IF((FM$56-Voorblad!$F$41)/$U127-SUM($EE127:FL127)=1,1,0))))</f>
        <v>0</v>
      </c>
      <c r="FN127" s="8">
        <f>IF(FN$56-Voorblad!$F$41&gt;Voorblad!$K$41,0,IF($U127=0,0,IF($U127&lt;1,1/$U127,IF((FN$56-Voorblad!$F$41)/$U127-SUM($EE127:FM127)=1,1,0))))</f>
        <v>0</v>
      </c>
      <c r="FO127" s="8">
        <f>IF(FO$56-Voorblad!$F$41&gt;Voorblad!$K$41,0,IF($U127=0,0,IF($U127&lt;1,1/$U127,IF((FO$56-Voorblad!$F$41)/$U127-SUM($EE127:FN127)=1,1,0))))</f>
        <v>0</v>
      </c>
      <c r="FP127" s="8">
        <f>IF(FP$56-Voorblad!$F$41&gt;Voorblad!$K$41,0,IF($U127=0,0,IF($U127&lt;1,1/$U127,IF((FP$56-Voorblad!$F$41)/$U127-SUM($EE127:FO127)=1,1,0))))</f>
        <v>1</v>
      </c>
      <c r="FQ127" s="8">
        <f>IF(FQ$56-Voorblad!$F$41&gt;Voorblad!$K$41,0,IF($U127=0,0,IF($U127&lt;1,1/$U127,IF((FQ$56-Voorblad!$F$41)/$U127-SUM($EE127:FP127)=1,1,0))))</f>
        <v>0</v>
      </c>
      <c r="FR127" s="8">
        <f>IF(FR$56-Voorblad!$F$41&gt;Voorblad!$K$41,0,IF($U127=0,0,IF($U127&lt;1,1/$U127,IF((FR$56-Voorblad!$F$41)/$U127-SUM($EE127:FQ127)=1,1,0))))</f>
        <v>0</v>
      </c>
      <c r="FS127" s="8">
        <f>IF(FS$56-Voorblad!$F$41&gt;Voorblad!$K$41,0,IF($U127=0,0,IF($U127&lt;1,1/$U127,IF((FS$56-Voorblad!$F$41)/$U127-SUM($EE127:FR127)=1,1,0))))</f>
        <v>0</v>
      </c>
      <c r="FT127" s="8">
        <f>IF(FT$56-Voorblad!$F$41&gt;Voorblad!$K$41,0,IF($U127=0,0,IF($U127&lt;1,1/$U127,IF((FT$56-Voorblad!$F$41)/$U127-SUM($EE127:FS127)=1,1,0))))</f>
        <v>0</v>
      </c>
      <c r="FU127" s="8">
        <f>IF(FU$56-Voorblad!$F$41&gt;Voorblad!$K$41,0,IF($U127=0,0,IF($U127&lt;1,1/$U127,IF((FU$56-Voorblad!$F$41)/$U127-SUM($EE127:FT127)=1,1,0))))</f>
        <v>0</v>
      </c>
      <c r="FV127" s="8">
        <f>IF(FV$56-Voorblad!$F$41&gt;Voorblad!$K$41,0,IF($U127=0,0,IF($U127&lt;1,1/$U127,IF((FV$56-Voorblad!$F$41)/$U127-SUM($EE127:FU127)=1,1,0))))</f>
        <v>0</v>
      </c>
      <c r="FW127" s="8">
        <f>IF(FW$56-Voorblad!$F$41&gt;Voorblad!$K$41,0,IF($U127=0,0,IF($U127&lt;1,1/$U127,IF((FW$56-Voorblad!$F$41)/$U127-SUM($EE127:FV127)=1,1,0))))</f>
        <v>0</v>
      </c>
      <c r="FX127" s="8">
        <f>IF(FX$56-Voorblad!$F$41&gt;Voorblad!$K$41,0,IF($U127=0,0,IF($U127&lt;1,1/$U127,IF((FX$56-Voorblad!$F$41)/$U127-SUM($EE127:FW127)=1,1,0))))</f>
        <v>0</v>
      </c>
      <c r="FY127" s="8">
        <f>IF(FY$56-Voorblad!$F$41&gt;Voorblad!$K$41,0,IF($U127=0,0,IF($U127&lt;1,1/$U127,IF((FY$56-Voorblad!$F$41)/$U127-SUM($EE127:FX127)=1,1,0))))</f>
        <v>1</v>
      </c>
      <c r="FZ127" s="8">
        <f>IF(FZ$56-Voorblad!$F$41&gt;Voorblad!$K$41,0,IF($U127=0,0,IF($U127&lt;1,1/$U127,IF((FZ$56-Voorblad!$F$41)/$U127-SUM($EE127:FY127)=1,1,0))))</f>
        <v>0</v>
      </c>
      <c r="GA127" s="8">
        <f>IF(GA$56-Voorblad!$F$41&gt;Voorblad!$K$41,0,IF($U127=0,0,IF($U127&lt;1,1/$U127,IF((GA$56-Voorblad!$F$41)/$U127-SUM($EE127:FZ127)=1,1,0))))</f>
        <v>0</v>
      </c>
      <c r="GB127" s="8">
        <f>IF(GB$56-Voorblad!$F$41&gt;Voorblad!$K$41,0,IF($U127=0,0,IF($U127&lt;1,1/$U127,IF((GB$56-Voorblad!$F$41)/$U127-SUM($EE127:GA127)=1,1,0))))</f>
        <v>0</v>
      </c>
      <c r="GC127" s="8">
        <f>IF(GC$56-Voorblad!$F$41&gt;Voorblad!$K$41,0,IF($U127=0,0,IF($U127&lt;1,1/$U127,IF((GC$56-Voorblad!$F$41)/$U127-SUM($EE127:GB127)=1,1,0))))</f>
        <v>0</v>
      </c>
      <c r="GD127" s="8">
        <f>IF(GD$56-Voorblad!$F$41&gt;Voorblad!$K$41,0,IF($U127=0,0,IF($U127&lt;1,1/$U127,IF((GD$56-Voorblad!$F$41)/$U127-SUM($EE127:GC127)=1,1,0))))</f>
        <v>0</v>
      </c>
      <c r="GE127" s="8">
        <f>IF(GE$56-Voorblad!$F$41&gt;Voorblad!$K$41,0,IF($U127=0,0,IF($U127&lt;1,1/$U127,IF((GE$56-Voorblad!$F$41)/$U127-SUM($EE127:GD127)=1,1,0))))</f>
        <v>0</v>
      </c>
      <c r="GF127" s="8">
        <f>IF(GF$56-Voorblad!$F$41&gt;Voorblad!$K$41,0,IF($U127=0,0,IF($U127&lt;1,1/$U127,IF((GF$56-Voorblad!$F$41)/$U127-SUM($EE127:GE127)=1,1,0))))</f>
        <v>0</v>
      </c>
      <c r="GG127" s="8">
        <f>IF(GG$56-Voorblad!$F$41&gt;Voorblad!$K$41,0,IF($U127=0,0,IF($U127&lt;1,1/$U127,IF((GG$56-Voorblad!$F$41)/$U127-SUM($EE127:GF127)=1,1,0))))</f>
        <v>0</v>
      </c>
      <c r="GH127" s="8">
        <f>IF(GH$56-Voorblad!$F$41&gt;Voorblad!$K$41,0,IF($U127=0,0,IF($U127&lt;1,1/$U127,IF((GH$56-Voorblad!$F$41)/$U127-SUM($EE127:GG127)=1,1,0))))</f>
        <v>1</v>
      </c>
      <c r="GI127" s="8">
        <f>IF(GI$56-Voorblad!$F$41&gt;Voorblad!$K$41,0,IF($U127=0,0,IF($U127&lt;1,1/$U127,IF((GI$56-Voorblad!$F$41)/$U127-SUM($EE127:GH127)=1,1,0))))</f>
        <v>0</v>
      </c>
      <c r="GJ127" s="8">
        <f>IF(GJ$56-Voorblad!$F$41&gt;Voorblad!$K$41,0,IF($U127=0,0,IF($U127&lt;1,1/$U127,IF((GJ$56-Voorblad!$F$41)/$U127-SUM($EE127:GI127)=1,1,0))))</f>
        <v>0</v>
      </c>
      <c r="GK127" s="8">
        <f>IF(GK$56-Voorblad!$F$41&gt;Voorblad!$K$41,0,IF($U127=0,0,IF($U127&lt;1,1/$U127,IF((GK$56-Voorblad!$F$41)/$U127-SUM($EE127:GJ127)=1,1,0))))</f>
        <v>0</v>
      </c>
      <c r="GL127" s="8">
        <f>IF(GL$56-Voorblad!$F$41&gt;Voorblad!$K$41,0,IF($U127=0,0,IF($U127&lt;1,1/$U127,IF((GL$56-Voorblad!$F$41)/$U127-SUM($EE127:GK127)=1,1,0))))</f>
        <v>0</v>
      </c>
      <c r="GM127" s="8">
        <f>IF(GM$56-Voorblad!$F$41&gt;Voorblad!$K$41,0,IF($U127=0,0,IF($U127&lt;1,1/$U127,IF((GM$56-Voorblad!$F$41)/$U127-SUM($EE127:GL127)=1,1,0))))</f>
        <v>0</v>
      </c>
      <c r="GN127" s="8">
        <f>IF(GN$56-Voorblad!$F$41&gt;Voorblad!$K$41,0,IF($U127=0,0,IF($U127&lt;1,1/$U127,IF((GN$56-Voorblad!$F$41)/$U127-SUM($EE127:GM127)=1,1,0))))</f>
        <v>0</v>
      </c>
      <c r="GO127" s="8">
        <f>IF(GO$56-Voorblad!$F$41&gt;Voorblad!$K$41,0,IF($U127=0,0,IF($U127&lt;1,1/$U127,IF((GO$56-Voorblad!$F$41)/$U127-SUM($EE127:GN127)=1,1,0))))</f>
        <v>0</v>
      </c>
      <c r="GP127" s="8">
        <f>IF(GP$56-Voorblad!$F$41&gt;Voorblad!$K$41,0,IF($U127=0,0,IF($U127&lt;1,1/$U127,IF((GP$56-Voorblad!$F$41)/$U127-SUM($EE127:GO127)=1,1,0))))</f>
        <v>0</v>
      </c>
      <c r="GQ127" s="8">
        <f>IF(GQ$56-Voorblad!$F$41&gt;Voorblad!$K$41,0,IF($U127=0,0,IF($U127&lt;1,1/$U127,IF((GQ$56-Voorblad!$F$41)/$U127-SUM($EE127:GP127)=1,1,0))))</f>
        <v>1</v>
      </c>
      <c r="GR127" s="8">
        <f>IF(GR$56-Voorblad!$F$41&gt;Voorblad!$K$41,0,IF($U127=0,0,IF($U127&lt;1,1/$U127,IF((GR$56-Voorblad!$F$41)/$U127-SUM($EE127:GQ127)=1,1,0))))</f>
        <v>0</v>
      </c>
      <c r="GS127" s="8">
        <f>IF(GS$56-Voorblad!$F$41&gt;Voorblad!$K$41,0,IF($U127=0,0,IF($U127&lt;1,1/$U127,IF((GS$56-Voorblad!$F$41)/$U127-SUM($EE127:GR127)=1,1,0))))</f>
        <v>0</v>
      </c>
      <c r="GT127" s="8">
        <f>IF(GT$56-Voorblad!$F$41&gt;Voorblad!$K$41,0,IF($U127=0,0,IF($U127&lt;1,1/$U127,IF((GT$56-Voorblad!$F$41)/$U127-SUM($EE127:GS127)=1,1,0))))</f>
        <v>0</v>
      </c>
      <c r="GU127" s="8">
        <f>IF(GU$56-Voorblad!$F$41&gt;Voorblad!$K$41,0,IF($U127=0,0,IF($U127&lt;1,1/$U127,IF((GU$56-Voorblad!$F$41)/$U127-SUM($EE127:GT127)=1,1,0))))</f>
        <v>0</v>
      </c>
      <c r="GV127" s="8">
        <f>IF(GV$56-Voorblad!$F$41&gt;Voorblad!$K$41,0,IF($U127=0,0,IF($U127&lt;1,1/$U127,IF((GV$56-Voorblad!$F$41)/$U127-SUM($EE127:GU127)=1,1,0))))</f>
        <v>0</v>
      </c>
      <c r="GW127" s="8">
        <f>IF(GW$56-Voorblad!$F$41&gt;Voorblad!$K$41,0,IF($U127=0,0,IF($U127&lt;1,1/$U127,IF((GW$56-Voorblad!$F$41)/$U127-SUM($EE127:GV127)=1,1,0))))</f>
        <v>0</v>
      </c>
      <c r="GX127" s="8">
        <f>IF(GX$56-Voorblad!$F$41&gt;Voorblad!$K$41,0,IF($U127=0,0,IF($U127&lt;1,1/$U127,IF((GX$56-Voorblad!$F$41)/$U127-SUM($EE127:GW127)=1,1,0))))</f>
        <v>0</v>
      </c>
      <c r="GY127" s="8">
        <f>IF(GY$56-Voorblad!$F$41&gt;Voorblad!$K$41,0,IF($U127=0,0,IF($U127&lt;1,1/$U127,IF((GY$56-Voorblad!$F$41)/$U127-SUM($EE127:GX127)=1,1,0))))</f>
        <v>0</v>
      </c>
      <c r="GZ127" s="8">
        <f>IF(GZ$56-Voorblad!$F$41&gt;Voorblad!$K$41,0,IF($U127=0,0,IF($U127&lt;1,1/$U127,IF((GZ$56-Voorblad!$F$41)/$U127-SUM($EE127:GY127)=1,1,0))))</f>
        <v>1</v>
      </c>
      <c r="HA127" s="8">
        <f>IF(HA$56-Voorblad!$F$41&gt;Voorblad!$K$41,0,IF($U127=0,0,IF($U127&lt;1,1/$U127,IF((HA$56-Voorblad!$F$41)/$U127-SUM($EE127:GZ127)=1,1,0))))</f>
        <v>0</v>
      </c>
      <c r="HB127" s="8">
        <f>IF(HB$56-Voorblad!$F$41&gt;Voorblad!$K$41,0,IF($U127=0,0,IF($U127&lt;1,1/$U127,IF((HB$56-Voorblad!$F$41)/$U127-SUM($EE127:HA127)=1,1,0))))</f>
        <v>0</v>
      </c>
      <c r="HC127" s="8">
        <f>IF(HC$56-Voorblad!$F$41&gt;Voorblad!$K$41,0,IF($U127=0,0,IF($U127&lt;1,1/$U127,IF((HC$56-Voorblad!$F$41)/$U127-SUM($EE127:HB127)=1,1,0))))</f>
        <v>0</v>
      </c>
      <c r="HD127" s="8">
        <f>IF(HD$56-Voorblad!$F$41&gt;Voorblad!$K$41,0,IF($U127=0,0,IF($U127&lt;1,1/$U127,IF((HD$56-Voorblad!$F$41)/$U127-SUM($EE127:HC127)=1,1,0))))</f>
        <v>0</v>
      </c>
      <c r="HE127" s="8">
        <f>IF(HE$56-Voorblad!$F$41&gt;Voorblad!$K$41,0,IF($U127=0,0,IF($U127&lt;1,1/$U127,IF((HE$56-Voorblad!$F$41)/$U127-SUM($EE127:HD127)=1,1,0))))</f>
        <v>0</v>
      </c>
      <c r="HF127" s="8">
        <f>IF(HF$56-Voorblad!$F$41&gt;Voorblad!$K$41,0,IF($U127=0,0,IF($U127&lt;1,1/$U127,IF((HF$56-Voorblad!$F$41)/$U127-SUM($EE127:HE127)=1,1,0))))</f>
        <v>0</v>
      </c>
      <c r="HG127" s="8">
        <f>IF(HG$56-Voorblad!$F$41&gt;Voorblad!$K$41,0,IF($U127=0,0,IF($U127&lt;1,1/$U127,IF((HG$56-Voorblad!$F$41)/$U127-SUM($EE127:HF127)=1,1,0))))</f>
        <v>0</v>
      </c>
      <c r="HH127" s="8">
        <f>IF(HH$56-Voorblad!$F$41&gt;Voorblad!$K$41,0,IF($U127=0,0,IF($U127&lt;1,1/$U127,IF((HH$56-Voorblad!$F$41)/$U127-SUM($EE127:HG127)=1,1,0))))</f>
        <v>0</v>
      </c>
      <c r="HI127" s="8">
        <f>IF(HI$56-Voorblad!$F$41&gt;Voorblad!$K$41,0,IF($U127=0,0,IF($U127&lt;1,1/$U127,IF((HI$56-Voorblad!$F$41)/$U127-SUM($EE127:HH127)=1,1,0))))</f>
        <v>0</v>
      </c>
      <c r="HJ127" s="8">
        <f>IF(HJ$56-Voorblad!$F$41&gt;Voorblad!$K$41,0,IF($U127=0,0,IF($U127&lt;1,1/$U127,IF((HJ$56-Voorblad!$F$41)/$U127-SUM($EE127:HI127)=1,1,0))))</f>
        <v>0</v>
      </c>
      <c r="HK127" s="8">
        <f>IF(HK$56-Voorblad!$F$41&gt;Voorblad!$K$41,0,IF($U127=0,0,IF($U127&lt;1,1/$U127,IF((HK$56-Voorblad!$F$41)/$U127-SUM($EE127:HJ127)=1,1,0))))</f>
        <v>0</v>
      </c>
      <c r="HL127" s="8">
        <f>IF(HL$56-Voorblad!$F$41&gt;Voorblad!$K$41,0,IF($U127=0,0,IF($U127&lt;1,1/$U127,IF((HL$56-Voorblad!$F$41)/$U127-SUM($EE127:HK127)=1,1,0))))</f>
        <v>0</v>
      </c>
      <c r="HM127" s="8">
        <f>IF(HM$56-Voorblad!$F$41&gt;Voorblad!$K$41,0,IF($U127=0,0,IF($U127&lt;1,1/$U127,IF((HM$56-Voorblad!$F$41)/$U127-SUM($EE127:HL127)=1,1,0))))</f>
        <v>0</v>
      </c>
      <c r="HN127" s="8">
        <f>IF(HN$56-Voorblad!$F$41&gt;Voorblad!$K$41,0,IF($U127=0,0,IF($U127&lt;1,1/$U127,IF((HN$56-Voorblad!$F$41)/$U127-SUM($EE127:HM127)=1,1,0))))</f>
        <v>0</v>
      </c>
      <c r="HO127" s="8">
        <f>IF(HO$56-Voorblad!$F$41&gt;Voorblad!$K$41,0,IF($U127=0,0,IF($U127&lt;1,1/$U127,IF((HO$56-Voorblad!$F$41)/$U127-SUM($EE127:HN127)=1,1,0))))</f>
        <v>0</v>
      </c>
      <c r="HP127" s="8">
        <f>IF(HP$56-Voorblad!$F$41&gt;Voorblad!$K$41,0,IF($U127=0,0,IF($U127&lt;1,1/$U127,IF((HP$56-Voorblad!$F$41)/$U127-SUM($EE127:HO127)=1,1,0))))</f>
        <v>0</v>
      </c>
      <c r="HQ127" s="8">
        <f>IF(HQ$56-Voorblad!$F$41&gt;Voorblad!$K$41,0,IF($U127=0,0,IF($U127&lt;1,1/$U127,IF((HQ$56-Voorblad!$F$41)/$U127-SUM($EE127:HP127)=1,1,0))))</f>
        <v>0</v>
      </c>
      <c r="HR127" s="8">
        <f>IF(HR$56-Voorblad!$F$41&gt;Voorblad!$K$41,0,IF($U127=0,0,IF($U127&lt;1,1/$U127,IF((HR$56-Voorblad!$F$41)/$U127-SUM($EE127:HQ127)=1,1,0))))</f>
        <v>0</v>
      </c>
      <c r="HS127" s="8">
        <f>IF(HS$56-Voorblad!$F$41&gt;Voorblad!$K$41,0,IF($U127=0,0,IF($U127&lt;1,1/$U127,IF((HS$56-Voorblad!$F$41)/$U127-SUM($EE127:HR127)=1,1,0))))</f>
        <v>0</v>
      </c>
      <c r="HT127" s="8">
        <f>IF(HT$56-Voorblad!$F$41&gt;Voorblad!$K$41,0,IF($U127=0,0,IF($U127&lt;1,1/$U127,IF((HT$56-Voorblad!$F$41)/$U127-SUM($EE127:HS127)=1,1,0))))</f>
        <v>0</v>
      </c>
      <c r="HU127" s="8">
        <f>IF(HU$56-Voorblad!$F$41&gt;Voorblad!$K$41,0,IF($U127=0,0,IF($U127&lt;1,1/$U127,IF((HU$56-Voorblad!$F$41)/$U127-SUM($EE127:HT127)=1,1,0))))</f>
        <v>0</v>
      </c>
      <c r="HV127" s="8">
        <f>IF(HV$56-Voorblad!$F$41&gt;Voorblad!$K$41,0,IF($U127=0,0,IF($U127&lt;1,1/$U127,IF((HV$56-Voorblad!$F$41)/$U127-SUM($EE127:HU127)=1,1,0))))</f>
        <v>0</v>
      </c>
      <c r="HW127" s="8">
        <f>IF(HW$56-Voorblad!$F$41&gt;Voorblad!$K$41,0,IF($U127=0,0,IF($U127&lt;1,1/$U127,IF((HW$56-Voorblad!$F$41)/$U127-SUM($EE127:HV127)=1,1,0))))</f>
        <v>0</v>
      </c>
      <c r="HX127" s="8">
        <f>IF(HX$56-Voorblad!$F$41&gt;Voorblad!$K$41,0,IF($U127=0,0,IF($U127&lt;1,1/$U127,IF((HX$56-Voorblad!$F$41)/$U127-SUM($EE127:HW127)=1,1,0))))</f>
        <v>0</v>
      </c>
      <c r="HY127" s="8">
        <f>IF(HY$56-Voorblad!$F$41&gt;Voorblad!$K$41,0,IF($U127=0,0,IF($U127&lt;1,1/$U127,IF((HY$56-Voorblad!$F$41)/$U127-SUM($EE127:HX127)=1,1,0))))</f>
        <v>0</v>
      </c>
      <c r="HZ127" s="8">
        <f>IF(HZ$56-Voorblad!$F$41&gt;Voorblad!$K$41,0,IF($U127=0,0,IF($U127&lt;1,1/$U127,IF((HZ$56-Voorblad!$F$41)/$U127-SUM($EE127:HY127)=1,1,0))))</f>
        <v>0</v>
      </c>
      <c r="IA127" s="8">
        <f>IF(IA$56-Voorblad!$F$41&gt;Voorblad!$K$41,0,IF($U127=0,0,IF($U127&lt;1,1/$U127,IF((IA$56-Voorblad!$F$41)/$U127-SUM($EE127:HZ127)=1,1,0))))</f>
        <v>0</v>
      </c>
      <c r="IB127" s="8">
        <f>IF(IB$56-Voorblad!$F$41&gt;Voorblad!$K$41,0,IF($U127=0,0,IF($U127&lt;1,1/$U127,IF((IB$56-Voorblad!$F$41)/$U127-SUM($EE127:IA127)=1,1,0))))</f>
        <v>0</v>
      </c>
    </row>
    <row r="128" spans="2:236" hidden="1" outlineLevel="2" x14ac:dyDescent="0.25">
      <c r="B128" s="1">
        <v>1</v>
      </c>
      <c r="D128" s="1" t="s">
        <v>29</v>
      </c>
      <c r="F128" s="1" t="s">
        <v>23</v>
      </c>
      <c r="I128" s="1" t="s">
        <v>49</v>
      </c>
      <c r="K128" s="1" t="s">
        <v>79</v>
      </c>
      <c r="Q128" s="81">
        <v>0</v>
      </c>
      <c r="R128" s="1" t="s">
        <v>34</v>
      </c>
      <c r="S128" s="14">
        <f>S126*1665</f>
        <v>0</v>
      </c>
      <c r="T128" s="9">
        <f t="shared" si="104"/>
        <v>0</v>
      </c>
      <c r="U128" s="14">
        <v>18</v>
      </c>
      <c r="V128" s="14"/>
      <c r="Y128" s="9">
        <f>SUM(AE128:EB128)</f>
        <v>0</v>
      </c>
      <c r="Z128" s="82"/>
      <c r="AA128" s="82"/>
      <c r="AC128" s="9">
        <f>$Y128*(Voorblad!$K$44*(1+Voorblad!$K$44)^Voorblad!$K$41)/((1+Voorblad!$K$44)^Voorblad!$K$41-1)</f>
        <v>0</v>
      </c>
      <c r="AE128" s="9">
        <f>EF128*($Q128*$S128)/(1+Voorblad!$K$44)^(AE$56-Voorblad!$F$41)</f>
        <v>0</v>
      </c>
      <c r="AF128" s="9">
        <f>EG128*($Q128*$S128)/(1+Voorblad!$K$44)^(AF$56-Voorblad!$F$41)</f>
        <v>0</v>
      </c>
      <c r="AG128" s="9">
        <f>EH128*($Q128*$S128)/(1+Voorblad!$K$44)^(AG$56-Voorblad!$F$41)</f>
        <v>0</v>
      </c>
      <c r="AH128" s="9">
        <f>EI128*($Q128*$S128)/(1+Voorblad!$K$44)^(AH$56-Voorblad!$F$41)</f>
        <v>0</v>
      </c>
      <c r="AI128" s="9">
        <f>EJ128*($Q128*$S128)/(1+Voorblad!$K$44)^(AI$56-Voorblad!$F$41)</f>
        <v>0</v>
      </c>
      <c r="AJ128" s="9">
        <f>EK128*($Q128*$S128)/(1+Voorblad!$K$44)^(AJ$56-Voorblad!$F$41)</f>
        <v>0</v>
      </c>
      <c r="AK128" s="9">
        <f>EL128*($Q128*$S128)/(1+Voorblad!$K$44)^(AK$56-Voorblad!$F$41)</f>
        <v>0</v>
      </c>
      <c r="AL128" s="9">
        <f>EM128*($Q128*$S128)/(1+Voorblad!$K$44)^(AL$56-Voorblad!$F$41)</f>
        <v>0</v>
      </c>
      <c r="AM128" s="9">
        <f>EN128*($Q128*$S128)/(1+Voorblad!$K$44)^(AM$56-Voorblad!$F$41)</f>
        <v>0</v>
      </c>
      <c r="AN128" s="9">
        <f>EO128*($Q128*$S128)/(1+Voorblad!$K$44)^(AN$56-Voorblad!$F$41)</f>
        <v>0</v>
      </c>
      <c r="AO128" s="9">
        <f>EP128*($Q128*$S128)/(1+Voorblad!$K$44)^(AO$56-Voorblad!$F$41)</f>
        <v>0</v>
      </c>
      <c r="AP128" s="9">
        <f>EQ128*($Q128*$S128)/(1+Voorblad!$K$44)^(AP$56-Voorblad!$F$41)</f>
        <v>0</v>
      </c>
      <c r="AQ128" s="9">
        <f>ER128*($Q128*$S128)/(1+Voorblad!$K$44)^(AQ$56-Voorblad!$F$41)</f>
        <v>0</v>
      </c>
      <c r="AR128" s="9">
        <f>ES128*($Q128*$S128)/(1+Voorblad!$K$44)^(AR$56-Voorblad!$F$41)</f>
        <v>0</v>
      </c>
      <c r="AS128" s="9">
        <f>ET128*($Q128*$S128)/(1+Voorblad!$K$44)^(AS$56-Voorblad!$F$41)</f>
        <v>0</v>
      </c>
      <c r="AT128" s="9">
        <f>EU128*($Q128*$S128)/(1+Voorblad!$K$44)^(AT$56-Voorblad!$F$41)</f>
        <v>0</v>
      </c>
      <c r="AU128" s="9">
        <f>EV128*($Q128*$S128)/(1+Voorblad!$K$44)^(AU$56-Voorblad!$F$41)</f>
        <v>0</v>
      </c>
      <c r="AV128" s="9">
        <f>EW128*($Q128*$S128)/(1+Voorblad!$K$44)^(AV$56-Voorblad!$F$41)</f>
        <v>0</v>
      </c>
      <c r="AW128" s="9">
        <f>EX128*($Q128*$S128)/(1+Voorblad!$K$44)^(AW$56-Voorblad!$F$41)</f>
        <v>0</v>
      </c>
      <c r="AX128" s="9">
        <f>EY128*($Q128*$S128)/(1+Voorblad!$K$44)^(AX$56-Voorblad!$F$41)</f>
        <v>0</v>
      </c>
      <c r="AY128" s="9">
        <f>EZ128*($Q128*$S128)/(1+Voorblad!$K$44)^(AY$56-Voorblad!$F$41)</f>
        <v>0</v>
      </c>
      <c r="AZ128" s="9">
        <f>FA128*($Q128*$S128)/(1+Voorblad!$K$44)^(AZ$56-Voorblad!$F$41)</f>
        <v>0</v>
      </c>
      <c r="BA128" s="9">
        <f>FB128*($Q128*$S128)/(1+Voorblad!$K$44)^(BA$56-Voorblad!$F$41)</f>
        <v>0</v>
      </c>
      <c r="BB128" s="9">
        <f>FC128*($Q128*$S128)/(1+Voorblad!$K$44)^(BB$56-Voorblad!$F$41)</f>
        <v>0</v>
      </c>
      <c r="BC128" s="9">
        <f>FD128*($Q128*$S128)/(1+Voorblad!$K$44)^(BC$56-Voorblad!$F$41)</f>
        <v>0</v>
      </c>
      <c r="BD128" s="9">
        <f>FE128*($Q128*$S128)/(1+Voorblad!$K$44)^(BD$56-Voorblad!$F$41)</f>
        <v>0</v>
      </c>
      <c r="BE128" s="9">
        <f>FF128*($Q128*$S128)/(1+Voorblad!$K$44)^(BE$56-Voorblad!$F$41)</f>
        <v>0</v>
      </c>
      <c r="BF128" s="9">
        <f>FG128*($Q128*$S128)/(1+Voorblad!$K$44)^(BF$56-Voorblad!$F$41)</f>
        <v>0</v>
      </c>
      <c r="BG128" s="9">
        <f>FH128*($Q128*$S128)/(1+Voorblad!$K$44)^(BG$56-Voorblad!$F$41)</f>
        <v>0</v>
      </c>
      <c r="BH128" s="9">
        <f>FI128*($Q128*$S128)/(1+Voorblad!$K$44)^(BH$56-Voorblad!$F$41)</f>
        <v>0</v>
      </c>
      <c r="BI128" s="9">
        <f>FJ128*($Q128*$S128)/(1+Voorblad!$K$44)^(BI$56-Voorblad!$F$41)</f>
        <v>0</v>
      </c>
      <c r="BJ128" s="9">
        <f>FK128*($Q128*$S128)/(1+Voorblad!$K$44)^(BJ$56-Voorblad!$F$41)</f>
        <v>0</v>
      </c>
      <c r="BK128" s="9">
        <f>FL128*($Q128*$S128)/(1+Voorblad!$K$44)^(BK$56-Voorblad!$F$41)</f>
        <v>0</v>
      </c>
      <c r="BL128" s="9">
        <f>FM128*($Q128*$S128)/(1+Voorblad!$K$44)^(BL$56-Voorblad!$F$41)</f>
        <v>0</v>
      </c>
      <c r="BM128" s="9">
        <f>FN128*($Q128*$S128)/(1+Voorblad!$K$44)^(BM$56-Voorblad!$F$41)</f>
        <v>0</v>
      </c>
      <c r="BN128" s="9">
        <f>FO128*($Q128*$S128)/(1+Voorblad!$K$44)^(BN$56-Voorblad!$F$41)</f>
        <v>0</v>
      </c>
      <c r="BO128" s="9">
        <f>FP128*($Q128*$S128)/(1+Voorblad!$K$44)^(BO$56-Voorblad!$F$41)</f>
        <v>0</v>
      </c>
      <c r="BP128" s="9">
        <f>FQ128*($Q128*$S128)/(1+Voorblad!$K$44)^(BP$56-Voorblad!$F$41)</f>
        <v>0</v>
      </c>
      <c r="BQ128" s="9">
        <f>FR128*($Q128*$S128)/(1+Voorblad!$K$44)^(BQ$56-Voorblad!$F$41)</f>
        <v>0</v>
      </c>
      <c r="BR128" s="9">
        <f>FS128*($Q128*$S128)/(1+Voorblad!$K$44)^(BR$56-Voorblad!$F$41)</f>
        <v>0</v>
      </c>
      <c r="BS128" s="9">
        <f>FT128*($Q128*$S128)/(1+Voorblad!$K$44)^(BS$56-Voorblad!$F$41)</f>
        <v>0</v>
      </c>
      <c r="BT128" s="9">
        <f>FU128*($Q128*$S128)/(1+Voorblad!$K$44)^(BT$56-Voorblad!$F$41)</f>
        <v>0</v>
      </c>
      <c r="BU128" s="9">
        <f>FV128*($Q128*$S128)/(1+Voorblad!$K$44)^(BU$56-Voorblad!$F$41)</f>
        <v>0</v>
      </c>
      <c r="BV128" s="9">
        <f>FW128*($Q128*$S128)/(1+Voorblad!$K$44)^(BV$56-Voorblad!$F$41)</f>
        <v>0</v>
      </c>
      <c r="BW128" s="9">
        <f>FX128*($Q128*$S128)/(1+Voorblad!$K$44)^(BW$56-Voorblad!$F$41)</f>
        <v>0</v>
      </c>
      <c r="BX128" s="9">
        <f>FY128*($Q128*$S128)/(1+Voorblad!$K$44)^(BX$56-Voorblad!$F$41)</f>
        <v>0</v>
      </c>
      <c r="BY128" s="9">
        <f>FZ128*($Q128*$S128)/(1+Voorblad!$K$44)^(BY$56-Voorblad!$F$41)</f>
        <v>0</v>
      </c>
      <c r="BZ128" s="9">
        <f>GA128*($Q128*$S128)/(1+Voorblad!$K$44)^(BZ$56-Voorblad!$F$41)</f>
        <v>0</v>
      </c>
      <c r="CA128" s="9">
        <f>GB128*($Q128*$S128)/(1+Voorblad!$K$44)^(CA$56-Voorblad!$F$41)</f>
        <v>0</v>
      </c>
      <c r="CB128" s="9">
        <f>GC128*($Q128*$S128)/(1+Voorblad!$K$44)^(CB$56-Voorblad!$F$41)</f>
        <v>0</v>
      </c>
      <c r="CC128" s="9">
        <f>GD128*($Q128*$S128)/(1+Voorblad!$K$44)^(CC$56-Voorblad!$F$41)</f>
        <v>0</v>
      </c>
      <c r="CD128" s="9">
        <f>GE128*($Q128*$S128)/(1+Voorblad!$K$44)^(CD$56-Voorblad!$F$41)</f>
        <v>0</v>
      </c>
      <c r="CE128" s="9">
        <f>GF128*($Q128*$S128)/(1+Voorblad!$K$44)^(CE$56-Voorblad!$F$41)</f>
        <v>0</v>
      </c>
      <c r="CF128" s="9">
        <f>GG128*($Q128*$S128)/(1+Voorblad!$K$44)^(CF$56-Voorblad!$F$41)</f>
        <v>0</v>
      </c>
      <c r="CG128" s="9">
        <f>GH128*($Q128*$S128)/(1+Voorblad!$K$44)^(CG$56-Voorblad!$F$41)</f>
        <v>0</v>
      </c>
      <c r="CH128" s="9">
        <f>GI128*($Q128*$S128)/(1+Voorblad!$K$44)^(CH$56-Voorblad!$F$41)</f>
        <v>0</v>
      </c>
      <c r="CI128" s="9">
        <f>GJ128*($Q128*$S128)/(1+Voorblad!$K$44)^(CI$56-Voorblad!$F$41)</f>
        <v>0</v>
      </c>
      <c r="CJ128" s="9">
        <f>GK128*($Q128*$S128)/(1+Voorblad!$K$44)^(CJ$56-Voorblad!$F$41)</f>
        <v>0</v>
      </c>
      <c r="CK128" s="9">
        <f>GL128*($Q128*$S128)/(1+Voorblad!$K$44)^(CK$56-Voorblad!$F$41)</f>
        <v>0</v>
      </c>
      <c r="CL128" s="9">
        <f>GM128*($Q128*$S128)/(1+Voorblad!$K$44)^(CL$56-Voorblad!$F$41)</f>
        <v>0</v>
      </c>
      <c r="CM128" s="9">
        <f>GN128*($Q128*$S128)/(1+Voorblad!$K$44)^(CM$56-Voorblad!$F$41)</f>
        <v>0</v>
      </c>
      <c r="CN128" s="9">
        <f>GO128*($Q128*$S128)/(1+Voorblad!$K$44)^(CN$56-Voorblad!$F$41)</f>
        <v>0</v>
      </c>
      <c r="CO128" s="9">
        <f>GP128*($Q128*$S128)/(1+Voorblad!$K$44)^(CO$56-Voorblad!$F$41)</f>
        <v>0</v>
      </c>
      <c r="CP128" s="9">
        <f>GQ128*($Q128*$S128)/(1+Voorblad!$K$44)^(CP$56-Voorblad!$F$41)</f>
        <v>0</v>
      </c>
      <c r="CQ128" s="9">
        <f>GR128*($Q128*$S128)/(1+Voorblad!$K$44)^(CQ$56-Voorblad!$F$41)</f>
        <v>0</v>
      </c>
      <c r="CR128" s="9">
        <f>GS128*($Q128*$S128)/(1+Voorblad!$K$44)^(CR$56-Voorblad!$F$41)</f>
        <v>0</v>
      </c>
      <c r="CS128" s="9">
        <f>GT128*($Q128*$S128)/(1+Voorblad!$K$44)^(CS$56-Voorblad!$F$41)</f>
        <v>0</v>
      </c>
      <c r="CT128" s="9">
        <f>GU128*($Q128*$S128)/(1+Voorblad!$K$44)^(CT$56-Voorblad!$F$41)</f>
        <v>0</v>
      </c>
      <c r="CU128" s="9">
        <f>GV128*($Q128*$S128)/(1+Voorblad!$K$44)^(CU$56-Voorblad!$F$41)</f>
        <v>0</v>
      </c>
      <c r="CV128" s="9">
        <f>GW128*($Q128*$S128)/(1+Voorblad!$K$44)^(CV$56-Voorblad!$F$41)</f>
        <v>0</v>
      </c>
      <c r="CW128" s="9">
        <f>GX128*($Q128*$S128)/(1+Voorblad!$K$44)^(CW$56-Voorblad!$F$41)</f>
        <v>0</v>
      </c>
      <c r="CX128" s="9">
        <f>GY128*($Q128*$S128)/(1+Voorblad!$K$44)^(CX$56-Voorblad!$F$41)</f>
        <v>0</v>
      </c>
      <c r="CY128" s="9">
        <f>GZ128*($Q128*$S128)/(1+Voorblad!$K$44)^(CY$56-Voorblad!$F$41)</f>
        <v>0</v>
      </c>
      <c r="CZ128" s="9">
        <f>HA128*($Q128*$S128)/(1+Voorblad!$K$44)^(CZ$56-Voorblad!$F$41)</f>
        <v>0</v>
      </c>
      <c r="DA128" s="9">
        <f>HB128*($Q128*$S128)/(1+Voorblad!$K$44)^(DA$56-Voorblad!$F$41)</f>
        <v>0</v>
      </c>
      <c r="DB128" s="9">
        <f>HC128*($Q128*$S128)/(1+Voorblad!$K$44)^(DB$56-Voorblad!$F$41)</f>
        <v>0</v>
      </c>
      <c r="DC128" s="9">
        <f>HD128*($Q128*$S128)/(1+Voorblad!$K$44)^(DC$56-Voorblad!$F$41)</f>
        <v>0</v>
      </c>
      <c r="DD128" s="9">
        <f>HE128*($Q128*$S128)/(1+Voorblad!$K$44)^(DD$56-Voorblad!$F$41)</f>
        <v>0</v>
      </c>
      <c r="DE128" s="9">
        <f>HF128*($Q128*$S128)/(1+Voorblad!$K$44)^(DE$56-Voorblad!$F$41)</f>
        <v>0</v>
      </c>
      <c r="DF128" s="9">
        <f>HG128*($Q128*$S128)/(1+Voorblad!$K$44)^(DF$56-Voorblad!$F$41)</f>
        <v>0</v>
      </c>
      <c r="DG128" s="9">
        <f>HH128*($Q128*$S128)/(1+Voorblad!$K$44)^(DG$56-Voorblad!$F$41)</f>
        <v>0</v>
      </c>
      <c r="DH128" s="9">
        <f>HI128*($Q128*$S128)/(1+Voorblad!$K$44)^(DH$56-Voorblad!$F$41)</f>
        <v>0</v>
      </c>
      <c r="DI128" s="9">
        <f>HJ128*($Q128*$S128)/(1+Voorblad!$K$44)^(DI$56-Voorblad!$F$41)</f>
        <v>0</v>
      </c>
      <c r="DJ128" s="9">
        <f>HK128*($Q128*$S128)/(1+Voorblad!$K$44)^(DJ$56-Voorblad!$F$41)</f>
        <v>0</v>
      </c>
      <c r="DK128" s="9">
        <f>HL128*($Q128*$S128)/(1+Voorblad!$K$44)^(DK$56-Voorblad!$F$41)</f>
        <v>0</v>
      </c>
      <c r="DL128" s="9">
        <f>HM128*($Q128*$S128)/(1+Voorblad!$K$44)^(DL$56-Voorblad!$F$41)</f>
        <v>0</v>
      </c>
      <c r="DM128" s="9">
        <f>HN128*($Q128*$S128)/(1+Voorblad!$K$44)^(DM$56-Voorblad!$F$41)</f>
        <v>0</v>
      </c>
      <c r="DN128" s="9">
        <f>HO128*($Q128*$S128)/(1+Voorblad!$K$44)^(DN$56-Voorblad!$F$41)</f>
        <v>0</v>
      </c>
      <c r="DO128" s="9">
        <f>HP128*($Q128*$S128)/(1+Voorblad!$K$44)^(DO$56-Voorblad!$F$41)</f>
        <v>0</v>
      </c>
      <c r="DP128" s="9">
        <f>HQ128*($Q128*$S128)/(1+Voorblad!$K$44)^(DP$56-Voorblad!$F$41)</f>
        <v>0</v>
      </c>
      <c r="DQ128" s="9">
        <f>HR128*($Q128*$S128)/(1+Voorblad!$K$44)^(DQ$56-Voorblad!$F$41)</f>
        <v>0</v>
      </c>
      <c r="DR128" s="9">
        <f>HS128*($Q128*$S128)/(1+Voorblad!$K$44)^(DR$56-Voorblad!$F$41)</f>
        <v>0</v>
      </c>
      <c r="DS128" s="9">
        <f>HT128*($Q128*$S128)/(1+Voorblad!$K$44)^(DS$56-Voorblad!$F$41)</f>
        <v>0</v>
      </c>
      <c r="DT128" s="9">
        <f>HU128*($Q128*$S128)/(1+Voorblad!$K$44)^(DT$56-Voorblad!$F$41)</f>
        <v>0</v>
      </c>
      <c r="DU128" s="9">
        <f>HV128*($Q128*$S128)/(1+Voorblad!$K$44)^(DU$56-Voorblad!$F$41)</f>
        <v>0</v>
      </c>
      <c r="DV128" s="9">
        <f>HW128*($Q128*$S128)/(1+Voorblad!$K$44)^(DV$56-Voorblad!$F$41)</f>
        <v>0</v>
      </c>
      <c r="DW128" s="9">
        <f>HX128*($Q128*$S128)/(1+Voorblad!$K$44)^(DW$56-Voorblad!$F$41)</f>
        <v>0</v>
      </c>
      <c r="DX128" s="9">
        <f>HY128*($Q128*$S128)/(1+Voorblad!$K$44)^(DX$56-Voorblad!$F$41)</f>
        <v>0</v>
      </c>
      <c r="DY128" s="9">
        <f>HZ128*($Q128*$S128)/(1+Voorblad!$K$44)^(DY$56-Voorblad!$F$41)</f>
        <v>0</v>
      </c>
      <c r="DZ128" s="9">
        <f>IA128*($Q128*$S128)/(1+Voorblad!$K$44)^(DZ$56-Voorblad!$F$41)</f>
        <v>0</v>
      </c>
      <c r="EA128" s="9">
        <f>IB128*($Q128*$S128)/(1+Voorblad!$K$44)^(EA$56-Voorblad!$F$41)</f>
        <v>0</v>
      </c>
      <c r="EB128" s="9">
        <f>IC128*($Q128*$S128)/(1+Voorblad!$K$44)^(EB$56-Voorblad!$F$41)</f>
        <v>0</v>
      </c>
      <c r="EE128" s="8">
        <v>0</v>
      </c>
      <c r="EF128" s="8">
        <f>IF(EF$56-Voorblad!$F$41&gt;Voorblad!$K$41,0,IF($U128=0,0,IF($U128&lt;1,1/$U128,IF((EF$56-Voorblad!$F$41)/$U128-SUM($EE128:EE128)=1,1,0))))</f>
        <v>0</v>
      </c>
      <c r="EG128" s="8">
        <f>IF(EG$56-Voorblad!$F$41&gt;Voorblad!$K$41,0,IF($U128=0,0,IF($U128&lt;1,1/$U128,IF((EG$56-Voorblad!$F$41)/$U128-SUM($EE128:EF128)=1,1,0))))</f>
        <v>0</v>
      </c>
      <c r="EH128" s="8">
        <f>IF(EH$56-Voorblad!$F$41&gt;Voorblad!$K$41,0,IF($U128=0,0,IF($U128&lt;1,1/$U128,IF((EH$56-Voorblad!$F$41)/$U128-SUM($EE128:EG128)=1,1,0))))</f>
        <v>0</v>
      </c>
      <c r="EI128" s="8">
        <f>IF(EI$56-Voorblad!$F$41&gt;Voorblad!$K$41,0,IF($U128=0,0,IF($U128&lt;1,1/$U128,IF((EI$56-Voorblad!$F$41)/$U128-SUM($EE128:EH128)=1,1,0))))</f>
        <v>0</v>
      </c>
      <c r="EJ128" s="8">
        <f>IF(EJ$56-Voorblad!$F$41&gt;Voorblad!$K$41,0,IF($U128=0,0,IF($U128&lt;1,1/$U128,IF((EJ$56-Voorblad!$F$41)/$U128-SUM($EE128:EI128)=1,1,0))))</f>
        <v>0</v>
      </c>
      <c r="EK128" s="8">
        <f>IF(EK$56-Voorblad!$F$41&gt;Voorblad!$K$41,0,IF($U128=0,0,IF($U128&lt;1,1/$U128,IF((EK$56-Voorblad!$F$41)/$U128-SUM($EE128:EJ128)=1,1,0))))</f>
        <v>0</v>
      </c>
      <c r="EL128" s="8">
        <f>IF(EL$56-Voorblad!$F$41&gt;Voorblad!$K$41,0,IF($U128=0,0,IF($U128&lt;1,1/$U128,IF((EL$56-Voorblad!$F$41)/$U128-SUM($EE128:EK128)=1,1,0))))</f>
        <v>0</v>
      </c>
      <c r="EM128" s="8">
        <f>IF(EM$56-Voorblad!$F$41&gt;Voorblad!$K$41,0,IF($U128=0,0,IF($U128&lt;1,1/$U128,IF((EM$56-Voorblad!$F$41)/$U128-SUM($EE128:EL128)=1,1,0))))</f>
        <v>0</v>
      </c>
      <c r="EN128" s="8">
        <f>IF(EN$56-Voorblad!$F$41&gt;Voorblad!$K$41,0,IF($U128=0,0,IF($U128&lt;1,1/$U128,IF((EN$56-Voorblad!$F$41)/$U128-SUM($EE128:EM128)=1,1,0))))</f>
        <v>0</v>
      </c>
      <c r="EO128" s="8">
        <f>IF(EO$56-Voorblad!$F$41&gt;Voorblad!$K$41,0,IF($U128=0,0,IF($U128&lt;1,1/$U128,IF((EO$56-Voorblad!$F$41)/$U128-SUM($EE128:EN128)=1,1,0))))</f>
        <v>0</v>
      </c>
      <c r="EP128" s="8">
        <f>IF(EP$56-Voorblad!$F$41&gt;Voorblad!$K$41,0,IF($U128=0,0,IF($U128&lt;1,1/$U128,IF((EP$56-Voorblad!$F$41)/$U128-SUM($EE128:EO128)=1,1,0))))</f>
        <v>0</v>
      </c>
      <c r="EQ128" s="8">
        <f>IF(EQ$56-Voorblad!$F$41&gt;Voorblad!$K$41,0,IF($U128=0,0,IF($U128&lt;1,1/$U128,IF((EQ$56-Voorblad!$F$41)/$U128-SUM($EE128:EP128)=1,1,0))))</f>
        <v>0</v>
      </c>
      <c r="ER128" s="8">
        <f>IF(ER$56-Voorblad!$F$41&gt;Voorblad!$K$41,0,IF($U128=0,0,IF($U128&lt;1,1/$U128,IF((ER$56-Voorblad!$F$41)/$U128-SUM($EE128:EQ128)=1,1,0))))</f>
        <v>0</v>
      </c>
      <c r="ES128" s="8">
        <f>IF(ES$56-Voorblad!$F$41&gt;Voorblad!$K$41,0,IF($U128=0,0,IF($U128&lt;1,1/$U128,IF((ES$56-Voorblad!$F$41)/$U128-SUM($EE128:ER128)=1,1,0))))</f>
        <v>0</v>
      </c>
      <c r="ET128" s="8">
        <f>IF(ET$56-Voorblad!$F$41&gt;Voorblad!$K$41,0,IF($U128=0,0,IF($U128&lt;1,1/$U128,IF((ET$56-Voorblad!$F$41)/$U128-SUM($EE128:ES128)=1,1,0))))</f>
        <v>0</v>
      </c>
      <c r="EU128" s="8">
        <f>IF(EU$56-Voorblad!$F$41&gt;Voorblad!$K$41,0,IF($U128=0,0,IF($U128&lt;1,1/$U128,IF((EU$56-Voorblad!$F$41)/$U128-SUM($EE128:ET128)=1,1,0))))</f>
        <v>0</v>
      </c>
      <c r="EV128" s="8">
        <f>IF(EV$56-Voorblad!$F$41&gt;Voorblad!$K$41,0,IF($U128=0,0,IF($U128&lt;1,1/$U128,IF((EV$56-Voorblad!$F$41)/$U128-SUM($EE128:EU128)=1,1,0))))</f>
        <v>0</v>
      </c>
      <c r="EW128" s="8">
        <f>IF(EW$56-Voorblad!$F$41&gt;Voorblad!$K$41,0,IF($U128=0,0,IF($U128&lt;1,1/$U128,IF((EW$56-Voorblad!$F$41)/$U128-SUM($EE128:EV128)=1,1,0))))</f>
        <v>0</v>
      </c>
      <c r="EX128" s="8">
        <f>IF(EX$56-Voorblad!$F$41&gt;Voorblad!$K$41,0,IF($U128=0,0,IF($U128&lt;1,1/$U128,IF((EX$56-Voorblad!$F$41)/$U128-SUM($EE128:EW128)=1,1,0))))</f>
        <v>1</v>
      </c>
      <c r="EY128" s="8">
        <f>IF(EY$56-Voorblad!$F$41&gt;Voorblad!$K$41,0,IF($U128=0,0,IF($U128&lt;1,1/$U128,IF((EY$56-Voorblad!$F$41)/$U128-SUM($EE128:EX128)=1,1,0))))</f>
        <v>0</v>
      </c>
      <c r="EZ128" s="8">
        <f>IF(EZ$56-Voorblad!$F$41&gt;Voorblad!$K$41,0,IF($U128=0,0,IF($U128&lt;1,1/$U128,IF((EZ$56-Voorblad!$F$41)/$U128-SUM($EE128:EY128)=1,1,0))))</f>
        <v>0</v>
      </c>
      <c r="FA128" s="8">
        <f>IF(FA$56-Voorblad!$F$41&gt;Voorblad!$K$41,0,IF($U128=0,0,IF($U128&lt;1,1/$U128,IF((FA$56-Voorblad!$F$41)/$U128-SUM($EE128:EZ128)=1,1,0))))</f>
        <v>0</v>
      </c>
      <c r="FB128" s="8">
        <f>IF(FB$56-Voorblad!$F$41&gt;Voorblad!$K$41,0,IF($U128=0,0,IF($U128&lt;1,1/$U128,IF((FB$56-Voorblad!$F$41)/$U128-SUM($EE128:FA128)=1,1,0))))</f>
        <v>0</v>
      </c>
      <c r="FC128" s="8">
        <f>IF(FC$56-Voorblad!$F$41&gt;Voorblad!$K$41,0,IF($U128=0,0,IF($U128&lt;1,1/$U128,IF((FC$56-Voorblad!$F$41)/$U128-SUM($EE128:FB128)=1,1,0))))</f>
        <v>0</v>
      </c>
      <c r="FD128" s="8">
        <f>IF(FD$56-Voorblad!$F$41&gt;Voorblad!$K$41,0,IF($U128=0,0,IF($U128&lt;1,1/$U128,IF((FD$56-Voorblad!$F$41)/$U128-SUM($EE128:FC128)=1,1,0))))</f>
        <v>0</v>
      </c>
      <c r="FE128" s="8">
        <f>IF(FE$56-Voorblad!$F$41&gt;Voorblad!$K$41,0,IF($U128=0,0,IF($U128&lt;1,1/$U128,IF((FE$56-Voorblad!$F$41)/$U128-SUM($EE128:FD128)=1,1,0))))</f>
        <v>0</v>
      </c>
      <c r="FF128" s="8">
        <f>IF(FF$56-Voorblad!$F$41&gt;Voorblad!$K$41,0,IF($U128=0,0,IF($U128&lt;1,1/$U128,IF((FF$56-Voorblad!$F$41)/$U128-SUM($EE128:FE128)=1,1,0))))</f>
        <v>0</v>
      </c>
      <c r="FG128" s="8">
        <f>IF(FG$56-Voorblad!$F$41&gt;Voorblad!$K$41,0,IF($U128=0,0,IF($U128&lt;1,1/$U128,IF((FG$56-Voorblad!$F$41)/$U128-SUM($EE128:FF128)=1,1,0))))</f>
        <v>0</v>
      </c>
      <c r="FH128" s="8">
        <f>IF(FH$56-Voorblad!$F$41&gt;Voorblad!$K$41,0,IF($U128=0,0,IF($U128&lt;1,1/$U128,IF((FH$56-Voorblad!$F$41)/$U128-SUM($EE128:FG128)=1,1,0))))</f>
        <v>0</v>
      </c>
      <c r="FI128" s="8">
        <f>IF(FI$56-Voorblad!$F$41&gt;Voorblad!$K$41,0,IF($U128=0,0,IF($U128&lt;1,1/$U128,IF((FI$56-Voorblad!$F$41)/$U128-SUM($EE128:FH128)=1,1,0))))</f>
        <v>0</v>
      </c>
      <c r="FJ128" s="8">
        <f>IF(FJ$56-Voorblad!$F$41&gt;Voorblad!$K$41,0,IF($U128=0,0,IF($U128&lt;1,1/$U128,IF((FJ$56-Voorblad!$F$41)/$U128-SUM($EE128:FI128)=1,1,0))))</f>
        <v>0</v>
      </c>
      <c r="FK128" s="8">
        <f>IF(FK$56-Voorblad!$F$41&gt;Voorblad!$K$41,0,IF($U128=0,0,IF($U128&lt;1,1/$U128,IF((FK$56-Voorblad!$F$41)/$U128-SUM($EE128:FJ128)=1,1,0))))</f>
        <v>0</v>
      </c>
      <c r="FL128" s="8">
        <f>IF(FL$56-Voorblad!$F$41&gt;Voorblad!$K$41,0,IF($U128=0,0,IF($U128&lt;1,1/$U128,IF((FL$56-Voorblad!$F$41)/$U128-SUM($EE128:FK128)=1,1,0))))</f>
        <v>0</v>
      </c>
      <c r="FM128" s="8">
        <f>IF(FM$56-Voorblad!$F$41&gt;Voorblad!$K$41,0,IF($U128=0,0,IF($U128&lt;1,1/$U128,IF((FM$56-Voorblad!$F$41)/$U128-SUM($EE128:FL128)=1,1,0))))</f>
        <v>0</v>
      </c>
      <c r="FN128" s="8">
        <f>IF(FN$56-Voorblad!$F$41&gt;Voorblad!$K$41,0,IF($U128=0,0,IF($U128&lt;1,1/$U128,IF((FN$56-Voorblad!$F$41)/$U128-SUM($EE128:FM128)=1,1,0))))</f>
        <v>0</v>
      </c>
      <c r="FO128" s="8">
        <f>IF(FO$56-Voorblad!$F$41&gt;Voorblad!$K$41,0,IF($U128=0,0,IF($U128&lt;1,1/$U128,IF((FO$56-Voorblad!$F$41)/$U128-SUM($EE128:FN128)=1,1,0))))</f>
        <v>0</v>
      </c>
      <c r="FP128" s="8">
        <f>IF(FP$56-Voorblad!$F$41&gt;Voorblad!$K$41,0,IF($U128=0,0,IF($U128&lt;1,1/$U128,IF((FP$56-Voorblad!$F$41)/$U128-SUM($EE128:FO128)=1,1,0))))</f>
        <v>1</v>
      </c>
      <c r="FQ128" s="8">
        <f>IF(FQ$56-Voorblad!$F$41&gt;Voorblad!$K$41,0,IF($U128=0,0,IF($U128&lt;1,1/$U128,IF((FQ$56-Voorblad!$F$41)/$U128-SUM($EE128:FP128)=1,1,0))))</f>
        <v>0</v>
      </c>
      <c r="FR128" s="8">
        <f>IF(FR$56-Voorblad!$F$41&gt;Voorblad!$K$41,0,IF($U128=0,0,IF($U128&lt;1,1/$U128,IF((FR$56-Voorblad!$F$41)/$U128-SUM($EE128:FQ128)=1,1,0))))</f>
        <v>0</v>
      </c>
      <c r="FS128" s="8">
        <f>IF(FS$56-Voorblad!$F$41&gt;Voorblad!$K$41,0,IF($U128=0,0,IF($U128&lt;1,1/$U128,IF((FS$56-Voorblad!$F$41)/$U128-SUM($EE128:FR128)=1,1,0))))</f>
        <v>0</v>
      </c>
      <c r="FT128" s="8">
        <f>IF(FT$56-Voorblad!$F$41&gt;Voorblad!$K$41,0,IF($U128=0,0,IF($U128&lt;1,1/$U128,IF((FT$56-Voorblad!$F$41)/$U128-SUM($EE128:FS128)=1,1,0))))</f>
        <v>0</v>
      </c>
      <c r="FU128" s="8">
        <f>IF(FU$56-Voorblad!$F$41&gt;Voorblad!$K$41,0,IF($U128=0,0,IF($U128&lt;1,1/$U128,IF((FU$56-Voorblad!$F$41)/$U128-SUM($EE128:FT128)=1,1,0))))</f>
        <v>0</v>
      </c>
      <c r="FV128" s="8">
        <f>IF(FV$56-Voorblad!$F$41&gt;Voorblad!$K$41,0,IF($U128=0,0,IF($U128&lt;1,1/$U128,IF((FV$56-Voorblad!$F$41)/$U128-SUM($EE128:FU128)=1,1,0))))</f>
        <v>0</v>
      </c>
      <c r="FW128" s="8">
        <f>IF(FW$56-Voorblad!$F$41&gt;Voorblad!$K$41,0,IF($U128=0,0,IF($U128&lt;1,1/$U128,IF((FW$56-Voorblad!$F$41)/$U128-SUM($EE128:FV128)=1,1,0))))</f>
        <v>0</v>
      </c>
      <c r="FX128" s="8">
        <f>IF(FX$56-Voorblad!$F$41&gt;Voorblad!$K$41,0,IF($U128=0,0,IF($U128&lt;1,1/$U128,IF((FX$56-Voorblad!$F$41)/$U128-SUM($EE128:FW128)=1,1,0))))</f>
        <v>0</v>
      </c>
      <c r="FY128" s="8">
        <f>IF(FY$56-Voorblad!$F$41&gt;Voorblad!$K$41,0,IF($U128=0,0,IF($U128&lt;1,1/$U128,IF((FY$56-Voorblad!$F$41)/$U128-SUM($EE128:FX128)=1,1,0))))</f>
        <v>0</v>
      </c>
      <c r="FZ128" s="8">
        <f>IF(FZ$56-Voorblad!$F$41&gt;Voorblad!$K$41,0,IF($U128=0,0,IF($U128&lt;1,1/$U128,IF((FZ$56-Voorblad!$F$41)/$U128-SUM($EE128:FY128)=1,1,0))))</f>
        <v>0</v>
      </c>
      <c r="GA128" s="8">
        <f>IF(GA$56-Voorblad!$F$41&gt;Voorblad!$K$41,0,IF($U128=0,0,IF($U128&lt;1,1/$U128,IF((GA$56-Voorblad!$F$41)/$U128-SUM($EE128:FZ128)=1,1,0))))</f>
        <v>0</v>
      </c>
      <c r="GB128" s="8">
        <f>IF(GB$56-Voorblad!$F$41&gt;Voorblad!$K$41,0,IF($U128=0,0,IF($U128&lt;1,1/$U128,IF((GB$56-Voorblad!$F$41)/$U128-SUM($EE128:GA128)=1,1,0))))</f>
        <v>0</v>
      </c>
      <c r="GC128" s="8">
        <f>IF(GC$56-Voorblad!$F$41&gt;Voorblad!$K$41,0,IF($U128=0,0,IF($U128&lt;1,1/$U128,IF((GC$56-Voorblad!$F$41)/$U128-SUM($EE128:GB128)=1,1,0))))</f>
        <v>0</v>
      </c>
      <c r="GD128" s="8">
        <f>IF(GD$56-Voorblad!$F$41&gt;Voorblad!$K$41,0,IF($U128=0,0,IF($U128&lt;1,1/$U128,IF((GD$56-Voorblad!$F$41)/$U128-SUM($EE128:GC128)=1,1,0))))</f>
        <v>0</v>
      </c>
      <c r="GE128" s="8">
        <f>IF(GE$56-Voorblad!$F$41&gt;Voorblad!$K$41,0,IF($U128=0,0,IF($U128&lt;1,1/$U128,IF((GE$56-Voorblad!$F$41)/$U128-SUM($EE128:GD128)=1,1,0))))</f>
        <v>0</v>
      </c>
      <c r="GF128" s="8">
        <f>IF(GF$56-Voorblad!$F$41&gt;Voorblad!$K$41,0,IF($U128=0,0,IF($U128&lt;1,1/$U128,IF((GF$56-Voorblad!$F$41)/$U128-SUM($EE128:GE128)=1,1,0))))</f>
        <v>0</v>
      </c>
      <c r="GG128" s="8">
        <f>IF(GG$56-Voorblad!$F$41&gt;Voorblad!$K$41,0,IF($U128=0,0,IF($U128&lt;1,1/$U128,IF((GG$56-Voorblad!$F$41)/$U128-SUM($EE128:GF128)=1,1,0))))</f>
        <v>0</v>
      </c>
      <c r="GH128" s="8">
        <f>IF(GH$56-Voorblad!$F$41&gt;Voorblad!$K$41,0,IF($U128=0,0,IF($U128&lt;1,1/$U128,IF((GH$56-Voorblad!$F$41)/$U128-SUM($EE128:GG128)=1,1,0))))</f>
        <v>1</v>
      </c>
      <c r="GI128" s="8">
        <f>IF(GI$56-Voorblad!$F$41&gt;Voorblad!$K$41,0,IF($U128=0,0,IF($U128&lt;1,1/$U128,IF((GI$56-Voorblad!$F$41)/$U128-SUM($EE128:GH128)=1,1,0))))</f>
        <v>0</v>
      </c>
      <c r="GJ128" s="8">
        <f>IF(GJ$56-Voorblad!$F$41&gt;Voorblad!$K$41,0,IF($U128=0,0,IF($U128&lt;1,1/$U128,IF((GJ$56-Voorblad!$F$41)/$U128-SUM($EE128:GI128)=1,1,0))))</f>
        <v>0</v>
      </c>
      <c r="GK128" s="8">
        <f>IF(GK$56-Voorblad!$F$41&gt;Voorblad!$K$41,0,IF($U128=0,0,IF($U128&lt;1,1/$U128,IF((GK$56-Voorblad!$F$41)/$U128-SUM($EE128:GJ128)=1,1,0))))</f>
        <v>0</v>
      </c>
      <c r="GL128" s="8">
        <f>IF(GL$56-Voorblad!$F$41&gt;Voorblad!$K$41,0,IF($U128=0,0,IF($U128&lt;1,1/$U128,IF((GL$56-Voorblad!$F$41)/$U128-SUM($EE128:GK128)=1,1,0))))</f>
        <v>0</v>
      </c>
      <c r="GM128" s="8">
        <f>IF(GM$56-Voorblad!$F$41&gt;Voorblad!$K$41,0,IF($U128=0,0,IF($U128&lt;1,1/$U128,IF((GM$56-Voorblad!$F$41)/$U128-SUM($EE128:GL128)=1,1,0))))</f>
        <v>0</v>
      </c>
      <c r="GN128" s="8">
        <f>IF(GN$56-Voorblad!$F$41&gt;Voorblad!$K$41,0,IF($U128=0,0,IF($U128&lt;1,1/$U128,IF((GN$56-Voorblad!$F$41)/$U128-SUM($EE128:GM128)=1,1,0))))</f>
        <v>0</v>
      </c>
      <c r="GO128" s="8">
        <f>IF(GO$56-Voorblad!$F$41&gt;Voorblad!$K$41,0,IF($U128=0,0,IF($U128&lt;1,1/$U128,IF((GO$56-Voorblad!$F$41)/$U128-SUM($EE128:GN128)=1,1,0))))</f>
        <v>0</v>
      </c>
      <c r="GP128" s="8">
        <f>IF(GP$56-Voorblad!$F$41&gt;Voorblad!$K$41,0,IF($U128=0,0,IF($U128&lt;1,1/$U128,IF((GP$56-Voorblad!$F$41)/$U128-SUM($EE128:GO128)=1,1,0))))</f>
        <v>0</v>
      </c>
      <c r="GQ128" s="8">
        <f>IF(GQ$56-Voorblad!$F$41&gt;Voorblad!$K$41,0,IF($U128=0,0,IF($U128&lt;1,1/$U128,IF((GQ$56-Voorblad!$F$41)/$U128-SUM($EE128:GP128)=1,1,0))))</f>
        <v>0</v>
      </c>
      <c r="GR128" s="8">
        <f>IF(GR$56-Voorblad!$F$41&gt;Voorblad!$K$41,0,IF($U128=0,0,IF($U128&lt;1,1/$U128,IF((GR$56-Voorblad!$F$41)/$U128-SUM($EE128:GQ128)=1,1,0))))</f>
        <v>0</v>
      </c>
      <c r="GS128" s="8">
        <f>IF(GS$56-Voorblad!$F$41&gt;Voorblad!$K$41,0,IF($U128=0,0,IF($U128&lt;1,1/$U128,IF((GS$56-Voorblad!$F$41)/$U128-SUM($EE128:GR128)=1,1,0))))</f>
        <v>0</v>
      </c>
      <c r="GT128" s="8">
        <f>IF(GT$56-Voorblad!$F$41&gt;Voorblad!$K$41,0,IF($U128=0,0,IF($U128&lt;1,1/$U128,IF((GT$56-Voorblad!$F$41)/$U128-SUM($EE128:GS128)=1,1,0))))</f>
        <v>0</v>
      </c>
      <c r="GU128" s="8">
        <f>IF(GU$56-Voorblad!$F$41&gt;Voorblad!$K$41,0,IF($U128=0,0,IF($U128&lt;1,1/$U128,IF((GU$56-Voorblad!$F$41)/$U128-SUM($EE128:GT128)=1,1,0))))</f>
        <v>0</v>
      </c>
      <c r="GV128" s="8">
        <f>IF(GV$56-Voorblad!$F$41&gt;Voorblad!$K$41,0,IF($U128=0,0,IF($U128&lt;1,1/$U128,IF((GV$56-Voorblad!$F$41)/$U128-SUM($EE128:GU128)=1,1,0))))</f>
        <v>0</v>
      </c>
      <c r="GW128" s="8">
        <f>IF(GW$56-Voorblad!$F$41&gt;Voorblad!$K$41,0,IF($U128=0,0,IF($U128&lt;1,1/$U128,IF((GW$56-Voorblad!$F$41)/$U128-SUM($EE128:GV128)=1,1,0))))</f>
        <v>0</v>
      </c>
      <c r="GX128" s="8">
        <f>IF(GX$56-Voorblad!$F$41&gt;Voorblad!$K$41,0,IF($U128=0,0,IF($U128&lt;1,1/$U128,IF((GX$56-Voorblad!$F$41)/$U128-SUM($EE128:GW128)=1,1,0))))</f>
        <v>0</v>
      </c>
      <c r="GY128" s="8">
        <f>IF(GY$56-Voorblad!$F$41&gt;Voorblad!$K$41,0,IF($U128=0,0,IF($U128&lt;1,1/$U128,IF((GY$56-Voorblad!$F$41)/$U128-SUM($EE128:GX128)=1,1,0))))</f>
        <v>0</v>
      </c>
      <c r="GZ128" s="8">
        <f>IF(GZ$56-Voorblad!$F$41&gt;Voorblad!$K$41,0,IF($U128=0,0,IF($U128&lt;1,1/$U128,IF((GZ$56-Voorblad!$F$41)/$U128-SUM($EE128:GY128)=1,1,0))))</f>
        <v>1</v>
      </c>
      <c r="HA128" s="8">
        <f>IF(HA$56-Voorblad!$F$41&gt;Voorblad!$K$41,0,IF($U128=0,0,IF($U128&lt;1,1/$U128,IF((HA$56-Voorblad!$F$41)/$U128-SUM($EE128:GZ128)=1,1,0))))</f>
        <v>0</v>
      </c>
      <c r="HB128" s="8">
        <f>IF(HB$56-Voorblad!$F$41&gt;Voorblad!$K$41,0,IF($U128=0,0,IF($U128&lt;1,1/$U128,IF((HB$56-Voorblad!$F$41)/$U128-SUM($EE128:HA128)=1,1,0))))</f>
        <v>0</v>
      </c>
      <c r="HC128" s="8">
        <f>IF(HC$56-Voorblad!$F$41&gt;Voorblad!$K$41,0,IF($U128=0,0,IF($U128&lt;1,1/$U128,IF((HC$56-Voorblad!$F$41)/$U128-SUM($EE128:HB128)=1,1,0))))</f>
        <v>0</v>
      </c>
      <c r="HD128" s="8">
        <f>IF(HD$56-Voorblad!$F$41&gt;Voorblad!$K$41,0,IF($U128=0,0,IF($U128&lt;1,1/$U128,IF((HD$56-Voorblad!$F$41)/$U128-SUM($EE128:HC128)=1,1,0))))</f>
        <v>0</v>
      </c>
      <c r="HE128" s="8">
        <f>IF(HE$56-Voorblad!$F$41&gt;Voorblad!$K$41,0,IF($U128=0,0,IF($U128&lt;1,1/$U128,IF((HE$56-Voorblad!$F$41)/$U128-SUM($EE128:HD128)=1,1,0))))</f>
        <v>0</v>
      </c>
      <c r="HF128" s="8">
        <f>IF(HF$56-Voorblad!$F$41&gt;Voorblad!$K$41,0,IF($U128=0,0,IF($U128&lt;1,1/$U128,IF((HF$56-Voorblad!$F$41)/$U128-SUM($EE128:HE128)=1,1,0))))</f>
        <v>0</v>
      </c>
      <c r="HG128" s="8">
        <f>IF(HG$56-Voorblad!$F$41&gt;Voorblad!$K$41,0,IF($U128=0,0,IF($U128&lt;1,1/$U128,IF((HG$56-Voorblad!$F$41)/$U128-SUM($EE128:HF128)=1,1,0))))</f>
        <v>0</v>
      </c>
      <c r="HH128" s="8">
        <f>IF(HH$56-Voorblad!$F$41&gt;Voorblad!$K$41,0,IF($U128=0,0,IF($U128&lt;1,1/$U128,IF((HH$56-Voorblad!$F$41)/$U128-SUM($EE128:HG128)=1,1,0))))</f>
        <v>0</v>
      </c>
      <c r="HI128" s="8">
        <f>IF(HI$56-Voorblad!$F$41&gt;Voorblad!$K$41,0,IF($U128=0,0,IF($U128&lt;1,1/$U128,IF((HI$56-Voorblad!$F$41)/$U128-SUM($EE128:HH128)=1,1,0))))</f>
        <v>0</v>
      </c>
      <c r="HJ128" s="8">
        <f>IF(HJ$56-Voorblad!$F$41&gt;Voorblad!$K$41,0,IF($U128=0,0,IF($U128&lt;1,1/$U128,IF((HJ$56-Voorblad!$F$41)/$U128-SUM($EE128:HI128)=1,1,0))))</f>
        <v>0</v>
      </c>
      <c r="HK128" s="8">
        <f>IF(HK$56-Voorblad!$F$41&gt;Voorblad!$K$41,0,IF($U128=0,0,IF($U128&lt;1,1/$U128,IF((HK$56-Voorblad!$F$41)/$U128-SUM($EE128:HJ128)=1,1,0))))</f>
        <v>0</v>
      </c>
      <c r="HL128" s="8">
        <f>IF(HL$56-Voorblad!$F$41&gt;Voorblad!$K$41,0,IF($U128=0,0,IF($U128&lt;1,1/$U128,IF((HL$56-Voorblad!$F$41)/$U128-SUM($EE128:HK128)=1,1,0))))</f>
        <v>0</v>
      </c>
      <c r="HM128" s="8">
        <f>IF(HM$56-Voorblad!$F$41&gt;Voorblad!$K$41,0,IF($U128=0,0,IF($U128&lt;1,1/$U128,IF((HM$56-Voorblad!$F$41)/$U128-SUM($EE128:HL128)=1,1,0))))</f>
        <v>0</v>
      </c>
      <c r="HN128" s="8">
        <f>IF(HN$56-Voorblad!$F$41&gt;Voorblad!$K$41,0,IF($U128=0,0,IF($U128&lt;1,1/$U128,IF((HN$56-Voorblad!$F$41)/$U128-SUM($EE128:HM128)=1,1,0))))</f>
        <v>0</v>
      </c>
      <c r="HO128" s="8">
        <f>IF(HO$56-Voorblad!$F$41&gt;Voorblad!$K$41,0,IF($U128=0,0,IF($U128&lt;1,1/$U128,IF((HO$56-Voorblad!$F$41)/$U128-SUM($EE128:HN128)=1,1,0))))</f>
        <v>0</v>
      </c>
      <c r="HP128" s="8">
        <f>IF(HP$56-Voorblad!$F$41&gt;Voorblad!$K$41,0,IF($U128=0,0,IF($U128&lt;1,1/$U128,IF((HP$56-Voorblad!$F$41)/$U128-SUM($EE128:HO128)=1,1,0))))</f>
        <v>0</v>
      </c>
      <c r="HQ128" s="8">
        <f>IF(HQ$56-Voorblad!$F$41&gt;Voorblad!$K$41,0,IF($U128=0,0,IF($U128&lt;1,1/$U128,IF((HQ$56-Voorblad!$F$41)/$U128-SUM($EE128:HP128)=1,1,0))))</f>
        <v>0</v>
      </c>
      <c r="HR128" s="8">
        <f>IF(HR$56-Voorblad!$F$41&gt;Voorblad!$K$41,0,IF($U128=0,0,IF($U128&lt;1,1/$U128,IF((HR$56-Voorblad!$F$41)/$U128-SUM($EE128:HQ128)=1,1,0))))</f>
        <v>0</v>
      </c>
      <c r="HS128" s="8">
        <f>IF(HS$56-Voorblad!$F$41&gt;Voorblad!$K$41,0,IF($U128=0,0,IF($U128&lt;1,1/$U128,IF((HS$56-Voorblad!$F$41)/$U128-SUM($EE128:HR128)=1,1,0))))</f>
        <v>0</v>
      </c>
      <c r="HT128" s="8">
        <f>IF(HT$56-Voorblad!$F$41&gt;Voorblad!$K$41,0,IF($U128=0,0,IF($U128&lt;1,1/$U128,IF((HT$56-Voorblad!$F$41)/$U128-SUM($EE128:HS128)=1,1,0))))</f>
        <v>0</v>
      </c>
      <c r="HU128" s="8">
        <f>IF(HU$56-Voorblad!$F$41&gt;Voorblad!$K$41,0,IF($U128=0,0,IF($U128&lt;1,1/$U128,IF((HU$56-Voorblad!$F$41)/$U128-SUM($EE128:HT128)=1,1,0))))</f>
        <v>0</v>
      </c>
      <c r="HV128" s="8">
        <f>IF(HV$56-Voorblad!$F$41&gt;Voorblad!$K$41,0,IF($U128=0,0,IF($U128&lt;1,1/$U128,IF((HV$56-Voorblad!$F$41)/$U128-SUM($EE128:HU128)=1,1,0))))</f>
        <v>0</v>
      </c>
      <c r="HW128" s="8">
        <f>IF(HW$56-Voorblad!$F$41&gt;Voorblad!$K$41,0,IF($U128=0,0,IF($U128&lt;1,1/$U128,IF((HW$56-Voorblad!$F$41)/$U128-SUM($EE128:HV128)=1,1,0))))</f>
        <v>0</v>
      </c>
      <c r="HX128" s="8">
        <f>IF(HX$56-Voorblad!$F$41&gt;Voorblad!$K$41,0,IF($U128=0,0,IF($U128&lt;1,1/$U128,IF((HX$56-Voorblad!$F$41)/$U128-SUM($EE128:HW128)=1,1,0))))</f>
        <v>0</v>
      </c>
      <c r="HY128" s="8">
        <f>IF(HY$56-Voorblad!$F$41&gt;Voorblad!$K$41,0,IF($U128=0,0,IF($U128&lt;1,1/$U128,IF((HY$56-Voorblad!$F$41)/$U128-SUM($EE128:HX128)=1,1,0))))</f>
        <v>0</v>
      </c>
      <c r="HZ128" s="8">
        <f>IF(HZ$56-Voorblad!$F$41&gt;Voorblad!$K$41,0,IF($U128=0,0,IF($U128&lt;1,1/$U128,IF((HZ$56-Voorblad!$F$41)/$U128-SUM($EE128:HY128)=1,1,0))))</f>
        <v>0</v>
      </c>
      <c r="IA128" s="8">
        <f>IF(IA$56-Voorblad!$F$41&gt;Voorblad!$K$41,0,IF($U128=0,0,IF($U128&lt;1,1/$U128,IF((IA$56-Voorblad!$F$41)/$U128-SUM($EE128:HZ128)=1,1,0))))</f>
        <v>0</v>
      </c>
      <c r="IB128" s="8">
        <f>IF(IB$56-Voorblad!$F$41&gt;Voorblad!$K$41,0,IF($U128=0,0,IF($U128&lt;1,1/$U128,IF((IB$56-Voorblad!$F$41)/$U128-SUM($EE128:IA128)=1,1,0))))</f>
        <v>0</v>
      </c>
    </row>
    <row r="129" spans="2:236" hidden="1" outlineLevel="2" x14ac:dyDescent="0.25">
      <c r="B129" s="1">
        <v>1</v>
      </c>
      <c r="D129" s="1" t="s">
        <v>29</v>
      </c>
      <c r="F129" s="1" t="s">
        <v>23</v>
      </c>
      <c r="I129" s="1" t="s">
        <v>49</v>
      </c>
      <c r="K129" s="1" t="s">
        <v>80</v>
      </c>
      <c r="Q129" s="81">
        <v>0</v>
      </c>
      <c r="R129" s="1" t="s">
        <v>34</v>
      </c>
      <c r="S129" s="14">
        <f>S126*13300</f>
        <v>0</v>
      </c>
      <c r="T129" s="9">
        <f t="shared" si="104"/>
        <v>0</v>
      </c>
      <c r="U129" s="14">
        <v>27</v>
      </c>
      <c r="V129" s="14"/>
      <c r="Y129" s="9">
        <f>SUM(AE129:EB129)</f>
        <v>0</v>
      </c>
      <c r="Z129" s="82"/>
      <c r="AA129" s="82"/>
      <c r="AC129" s="9">
        <f>$Y129*(Voorblad!$K$44*(1+Voorblad!$K$44)^Voorblad!$K$41)/((1+Voorblad!$K$44)^Voorblad!$K$41-1)</f>
        <v>0</v>
      </c>
      <c r="AE129" s="9">
        <f>EF129*($Q129*$S129)/(1+Voorblad!$K$44)^(AE$56-Voorblad!$F$41)</f>
        <v>0</v>
      </c>
      <c r="AF129" s="9">
        <f>EG129*($Q129*$S129)/(1+Voorblad!$K$44)^(AF$56-Voorblad!$F$41)</f>
        <v>0</v>
      </c>
      <c r="AG129" s="9">
        <f>EH129*($Q129*$S129)/(1+Voorblad!$K$44)^(AG$56-Voorblad!$F$41)</f>
        <v>0</v>
      </c>
      <c r="AH129" s="9">
        <f>EI129*($Q129*$S129)/(1+Voorblad!$K$44)^(AH$56-Voorblad!$F$41)</f>
        <v>0</v>
      </c>
      <c r="AI129" s="9">
        <f>EJ129*($Q129*$S129)/(1+Voorblad!$K$44)^(AI$56-Voorblad!$F$41)</f>
        <v>0</v>
      </c>
      <c r="AJ129" s="9">
        <f>EK129*($Q129*$S129)/(1+Voorblad!$K$44)^(AJ$56-Voorblad!$F$41)</f>
        <v>0</v>
      </c>
      <c r="AK129" s="9">
        <f>EL129*($Q129*$S129)/(1+Voorblad!$K$44)^(AK$56-Voorblad!$F$41)</f>
        <v>0</v>
      </c>
      <c r="AL129" s="9">
        <f>EM129*($Q129*$S129)/(1+Voorblad!$K$44)^(AL$56-Voorblad!$F$41)</f>
        <v>0</v>
      </c>
      <c r="AM129" s="9">
        <f>EN129*($Q129*$S129)/(1+Voorblad!$K$44)^(AM$56-Voorblad!$F$41)</f>
        <v>0</v>
      </c>
      <c r="AN129" s="9">
        <f>EO129*($Q129*$S129)/(1+Voorblad!$K$44)^(AN$56-Voorblad!$F$41)</f>
        <v>0</v>
      </c>
      <c r="AO129" s="9">
        <f>EP129*($Q129*$S129)/(1+Voorblad!$K$44)^(AO$56-Voorblad!$F$41)</f>
        <v>0</v>
      </c>
      <c r="AP129" s="9">
        <f>EQ129*($Q129*$S129)/(1+Voorblad!$K$44)^(AP$56-Voorblad!$F$41)</f>
        <v>0</v>
      </c>
      <c r="AQ129" s="9">
        <f>ER129*($Q129*$S129)/(1+Voorblad!$K$44)^(AQ$56-Voorblad!$F$41)</f>
        <v>0</v>
      </c>
      <c r="AR129" s="9">
        <f>ES129*($Q129*$S129)/(1+Voorblad!$K$44)^(AR$56-Voorblad!$F$41)</f>
        <v>0</v>
      </c>
      <c r="AS129" s="9">
        <f>ET129*($Q129*$S129)/(1+Voorblad!$K$44)^(AS$56-Voorblad!$F$41)</f>
        <v>0</v>
      </c>
      <c r="AT129" s="9">
        <f>EU129*($Q129*$S129)/(1+Voorblad!$K$44)^(AT$56-Voorblad!$F$41)</f>
        <v>0</v>
      </c>
      <c r="AU129" s="9">
        <f>EV129*($Q129*$S129)/(1+Voorblad!$K$44)^(AU$56-Voorblad!$F$41)</f>
        <v>0</v>
      </c>
      <c r="AV129" s="9">
        <f>EW129*($Q129*$S129)/(1+Voorblad!$K$44)^(AV$56-Voorblad!$F$41)</f>
        <v>0</v>
      </c>
      <c r="AW129" s="9">
        <f>EX129*($Q129*$S129)/(1+Voorblad!$K$44)^(AW$56-Voorblad!$F$41)</f>
        <v>0</v>
      </c>
      <c r="AX129" s="9">
        <f>EY129*($Q129*$S129)/(1+Voorblad!$K$44)^(AX$56-Voorblad!$F$41)</f>
        <v>0</v>
      </c>
      <c r="AY129" s="9">
        <f>EZ129*($Q129*$S129)/(1+Voorblad!$K$44)^(AY$56-Voorblad!$F$41)</f>
        <v>0</v>
      </c>
      <c r="AZ129" s="9">
        <f>FA129*($Q129*$S129)/(1+Voorblad!$K$44)^(AZ$56-Voorblad!$F$41)</f>
        <v>0</v>
      </c>
      <c r="BA129" s="9">
        <f>FB129*($Q129*$S129)/(1+Voorblad!$K$44)^(BA$56-Voorblad!$F$41)</f>
        <v>0</v>
      </c>
      <c r="BB129" s="9">
        <f>FC129*($Q129*$S129)/(1+Voorblad!$K$44)^(BB$56-Voorblad!$F$41)</f>
        <v>0</v>
      </c>
      <c r="BC129" s="9">
        <f>FD129*($Q129*$S129)/(1+Voorblad!$K$44)^(BC$56-Voorblad!$F$41)</f>
        <v>0</v>
      </c>
      <c r="BD129" s="9">
        <f>FE129*($Q129*$S129)/(1+Voorblad!$K$44)^(BD$56-Voorblad!$F$41)</f>
        <v>0</v>
      </c>
      <c r="BE129" s="9">
        <f>FF129*($Q129*$S129)/(1+Voorblad!$K$44)^(BE$56-Voorblad!$F$41)</f>
        <v>0</v>
      </c>
      <c r="BF129" s="9">
        <f>FG129*($Q129*$S129)/(1+Voorblad!$K$44)^(BF$56-Voorblad!$F$41)</f>
        <v>0</v>
      </c>
      <c r="BG129" s="9">
        <f>FH129*($Q129*$S129)/(1+Voorblad!$K$44)^(BG$56-Voorblad!$F$41)</f>
        <v>0</v>
      </c>
      <c r="BH129" s="9">
        <f>FI129*($Q129*$S129)/(1+Voorblad!$K$44)^(BH$56-Voorblad!$F$41)</f>
        <v>0</v>
      </c>
      <c r="BI129" s="9">
        <f>FJ129*($Q129*$S129)/(1+Voorblad!$K$44)^(BI$56-Voorblad!$F$41)</f>
        <v>0</v>
      </c>
      <c r="BJ129" s="9">
        <f>FK129*($Q129*$S129)/(1+Voorblad!$K$44)^(BJ$56-Voorblad!$F$41)</f>
        <v>0</v>
      </c>
      <c r="BK129" s="9">
        <f>FL129*($Q129*$S129)/(1+Voorblad!$K$44)^(BK$56-Voorblad!$F$41)</f>
        <v>0</v>
      </c>
      <c r="BL129" s="9">
        <f>FM129*($Q129*$S129)/(1+Voorblad!$K$44)^(BL$56-Voorblad!$F$41)</f>
        <v>0</v>
      </c>
      <c r="BM129" s="9">
        <f>FN129*($Q129*$S129)/(1+Voorblad!$K$44)^(BM$56-Voorblad!$F$41)</f>
        <v>0</v>
      </c>
      <c r="BN129" s="9">
        <f>FO129*($Q129*$S129)/(1+Voorblad!$K$44)^(BN$56-Voorblad!$F$41)</f>
        <v>0</v>
      </c>
      <c r="BO129" s="9">
        <f>FP129*($Q129*$S129)/(1+Voorblad!$K$44)^(BO$56-Voorblad!$F$41)</f>
        <v>0</v>
      </c>
      <c r="BP129" s="9">
        <f>FQ129*($Q129*$S129)/(1+Voorblad!$K$44)^(BP$56-Voorblad!$F$41)</f>
        <v>0</v>
      </c>
      <c r="BQ129" s="9">
        <f>FR129*($Q129*$S129)/(1+Voorblad!$K$44)^(BQ$56-Voorblad!$F$41)</f>
        <v>0</v>
      </c>
      <c r="BR129" s="9">
        <f>FS129*($Q129*$S129)/(1+Voorblad!$K$44)^(BR$56-Voorblad!$F$41)</f>
        <v>0</v>
      </c>
      <c r="BS129" s="9">
        <f>FT129*($Q129*$S129)/(1+Voorblad!$K$44)^(BS$56-Voorblad!$F$41)</f>
        <v>0</v>
      </c>
      <c r="BT129" s="9">
        <f>FU129*($Q129*$S129)/(1+Voorblad!$K$44)^(BT$56-Voorblad!$F$41)</f>
        <v>0</v>
      </c>
      <c r="BU129" s="9">
        <f>FV129*($Q129*$S129)/(1+Voorblad!$K$44)^(BU$56-Voorblad!$F$41)</f>
        <v>0</v>
      </c>
      <c r="BV129" s="9">
        <f>FW129*($Q129*$S129)/(1+Voorblad!$K$44)^(BV$56-Voorblad!$F$41)</f>
        <v>0</v>
      </c>
      <c r="BW129" s="9">
        <f>FX129*($Q129*$S129)/(1+Voorblad!$K$44)^(BW$56-Voorblad!$F$41)</f>
        <v>0</v>
      </c>
      <c r="BX129" s="9">
        <f>FY129*($Q129*$S129)/(1+Voorblad!$K$44)^(BX$56-Voorblad!$F$41)</f>
        <v>0</v>
      </c>
      <c r="BY129" s="9">
        <f>FZ129*($Q129*$S129)/(1+Voorblad!$K$44)^(BY$56-Voorblad!$F$41)</f>
        <v>0</v>
      </c>
      <c r="BZ129" s="9">
        <f>GA129*($Q129*$S129)/(1+Voorblad!$K$44)^(BZ$56-Voorblad!$F$41)</f>
        <v>0</v>
      </c>
      <c r="CA129" s="9">
        <f>GB129*($Q129*$S129)/(1+Voorblad!$K$44)^(CA$56-Voorblad!$F$41)</f>
        <v>0</v>
      </c>
      <c r="CB129" s="9">
        <f>GC129*($Q129*$S129)/(1+Voorblad!$K$44)^(CB$56-Voorblad!$F$41)</f>
        <v>0</v>
      </c>
      <c r="CC129" s="9">
        <f>GD129*($Q129*$S129)/(1+Voorblad!$K$44)^(CC$56-Voorblad!$F$41)</f>
        <v>0</v>
      </c>
      <c r="CD129" s="9">
        <f>GE129*($Q129*$S129)/(1+Voorblad!$K$44)^(CD$56-Voorblad!$F$41)</f>
        <v>0</v>
      </c>
      <c r="CE129" s="9">
        <f>GF129*($Q129*$S129)/(1+Voorblad!$K$44)^(CE$56-Voorblad!$F$41)</f>
        <v>0</v>
      </c>
      <c r="CF129" s="9">
        <f>GG129*($Q129*$S129)/(1+Voorblad!$K$44)^(CF$56-Voorblad!$F$41)</f>
        <v>0</v>
      </c>
      <c r="CG129" s="9">
        <f>GH129*($Q129*$S129)/(1+Voorblad!$K$44)^(CG$56-Voorblad!$F$41)</f>
        <v>0</v>
      </c>
      <c r="CH129" s="9">
        <f>GI129*($Q129*$S129)/(1+Voorblad!$K$44)^(CH$56-Voorblad!$F$41)</f>
        <v>0</v>
      </c>
      <c r="CI129" s="9">
        <f>GJ129*($Q129*$S129)/(1+Voorblad!$K$44)^(CI$56-Voorblad!$F$41)</f>
        <v>0</v>
      </c>
      <c r="CJ129" s="9">
        <f>GK129*($Q129*$S129)/(1+Voorblad!$K$44)^(CJ$56-Voorblad!$F$41)</f>
        <v>0</v>
      </c>
      <c r="CK129" s="9">
        <f>GL129*($Q129*$S129)/(1+Voorblad!$K$44)^(CK$56-Voorblad!$F$41)</f>
        <v>0</v>
      </c>
      <c r="CL129" s="9">
        <f>GM129*($Q129*$S129)/(1+Voorblad!$K$44)^(CL$56-Voorblad!$F$41)</f>
        <v>0</v>
      </c>
      <c r="CM129" s="9">
        <f>GN129*($Q129*$S129)/(1+Voorblad!$K$44)^(CM$56-Voorblad!$F$41)</f>
        <v>0</v>
      </c>
      <c r="CN129" s="9">
        <f>GO129*($Q129*$S129)/(1+Voorblad!$K$44)^(CN$56-Voorblad!$F$41)</f>
        <v>0</v>
      </c>
      <c r="CO129" s="9">
        <f>GP129*($Q129*$S129)/(1+Voorblad!$K$44)^(CO$56-Voorblad!$F$41)</f>
        <v>0</v>
      </c>
      <c r="CP129" s="9">
        <f>GQ129*($Q129*$S129)/(1+Voorblad!$K$44)^(CP$56-Voorblad!$F$41)</f>
        <v>0</v>
      </c>
      <c r="CQ129" s="9">
        <f>GR129*($Q129*$S129)/(1+Voorblad!$K$44)^(CQ$56-Voorblad!$F$41)</f>
        <v>0</v>
      </c>
      <c r="CR129" s="9">
        <f>GS129*($Q129*$S129)/(1+Voorblad!$K$44)^(CR$56-Voorblad!$F$41)</f>
        <v>0</v>
      </c>
      <c r="CS129" s="9">
        <f>GT129*($Q129*$S129)/(1+Voorblad!$K$44)^(CS$56-Voorblad!$F$41)</f>
        <v>0</v>
      </c>
      <c r="CT129" s="9">
        <f>GU129*($Q129*$S129)/(1+Voorblad!$K$44)^(CT$56-Voorblad!$F$41)</f>
        <v>0</v>
      </c>
      <c r="CU129" s="9">
        <f>GV129*($Q129*$S129)/(1+Voorblad!$K$44)^(CU$56-Voorblad!$F$41)</f>
        <v>0</v>
      </c>
      <c r="CV129" s="9">
        <f>GW129*($Q129*$S129)/(1+Voorblad!$K$44)^(CV$56-Voorblad!$F$41)</f>
        <v>0</v>
      </c>
      <c r="CW129" s="9">
        <f>GX129*($Q129*$S129)/(1+Voorblad!$K$44)^(CW$56-Voorblad!$F$41)</f>
        <v>0</v>
      </c>
      <c r="CX129" s="9">
        <f>GY129*($Q129*$S129)/(1+Voorblad!$K$44)^(CX$56-Voorblad!$F$41)</f>
        <v>0</v>
      </c>
      <c r="CY129" s="9">
        <f>GZ129*($Q129*$S129)/(1+Voorblad!$K$44)^(CY$56-Voorblad!$F$41)</f>
        <v>0</v>
      </c>
      <c r="CZ129" s="9">
        <f>HA129*($Q129*$S129)/(1+Voorblad!$K$44)^(CZ$56-Voorblad!$F$41)</f>
        <v>0</v>
      </c>
      <c r="DA129" s="9">
        <f>HB129*($Q129*$S129)/(1+Voorblad!$K$44)^(DA$56-Voorblad!$F$41)</f>
        <v>0</v>
      </c>
      <c r="DB129" s="9">
        <f>HC129*($Q129*$S129)/(1+Voorblad!$K$44)^(DB$56-Voorblad!$F$41)</f>
        <v>0</v>
      </c>
      <c r="DC129" s="9">
        <f>HD129*($Q129*$S129)/(1+Voorblad!$K$44)^(DC$56-Voorblad!$F$41)</f>
        <v>0</v>
      </c>
      <c r="DD129" s="9">
        <f>HE129*($Q129*$S129)/(1+Voorblad!$K$44)^(DD$56-Voorblad!$F$41)</f>
        <v>0</v>
      </c>
      <c r="DE129" s="9">
        <f>HF129*($Q129*$S129)/(1+Voorblad!$K$44)^(DE$56-Voorblad!$F$41)</f>
        <v>0</v>
      </c>
      <c r="DF129" s="9">
        <f>HG129*($Q129*$S129)/(1+Voorblad!$K$44)^(DF$56-Voorblad!$F$41)</f>
        <v>0</v>
      </c>
      <c r="DG129" s="9">
        <f>HH129*($Q129*$S129)/(1+Voorblad!$K$44)^(DG$56-Voorblad!$F$41)</f>
        <v>0</v>
      </c>
      <c r="DH129" s="9">
        <f>HI129*($Q129*$S129)/(1+Voorblad!$K$44)^(DH$56-Voorblad!$F$41)</f>
        <v>0</v>
      </c>
      <c r="DI129" s="9">
        <f>HJ129*($Q129*$S129)/(1+Voorblad!$K$44)^(DI$56-Voorblad!$F$41)</f>
        <v>0</v>
      </c>
      <c r="DJ129" s="9">
        <f>HK129*($Q129*$S129)/(1+Voorblad!$K$44)^(DJ$56-Voorblad!$F$41)</f>
        <v>0</v>
      </c>
      <c r="DK129" s="9">
        <f>HL129*($Q129*$S129)/(1+Voorblad!$K$44)^(DK$56-Voorblad!$F$41)</f>
        <v>0</v>
      </c>
      <c r="DL129" s="9">
        <f>HM129*($Q129*$S129)/(1+Voorblad!$K$44)^(DL$56-Voorblad!$F$41)</f>
        <v>0</v>
      </c>
      <c r="DM129" s="9">
        <f>HN129*($Q129*$S129)/(1+Voorblad!$K$44)^(DM$56-Voorblad!$F$41)</f>
        <v>0</v>
      </c>
      <c r="DN129" s="9">
        <f>HO129*($Q129*$S129)/(1+Voorblad!$K$44)^(DN$56-Voorblad!$F$41)</f>
        <v>0</v>
      </c>
      <c r="DO129" s="9">
        <f>HP129*($Q129*$S129)/(1+Voorblad!$K$44)^(DO$56-Voorblad!$F$41)</f>
        <v>0</v>
      </c>
      <c r="DP129" s="9">
        <f>HQ129*($Q129*$S129)/(1+Voorblad!$K$44)^(DP$56-Voorblad!$F$41)</f>
        <v>0</v>
      </c>
      <c r="DQ129" s="9">
        <f>HR129*($Q129*$S129)/(1+Voorblad!$K$44)^(DQ$56-Voorblad!$F$41)</f>
        <v>0</v>
      </c>
      <c r="DR129" s="9">
        <f>HS129*($Q129*$S129)/(1+Voorblad!$K$44)^(DR$56-Voorblad!$F$41)</f>
        <v>0</v>
      </c>
      <c r="DS129" s="9">
        <f>HT129*($Q129*$S129)/(1+Voorblad!$K$44)^(DS$56-Voorblad!$F$41)</f>
        <v>0</v>
      </c>
      <c r="DT129" s="9">
        <f>HU129*($Q129*$S129)/(1+Voorblad!$K$44)^(DT$56-Voorblad!$F$41)</f>
        <v>0</v>
      </c>
      <c r="DU129" s="9">
        <f>HV129*($Q129*$S129)/(1+Voorblad!$K$44)^(DU$56-Voorblad!$F$41)</f>
        <v>0</v>
      </c>
      <c r="DV129" s="9">
        <f>HW129*($Q129*$S129)/(1+Voorblad!$K$44)^(DV$56-Voorblad!$F$41)</f>
        <v>0</v>
      </c>
      <c r="DW129" s="9">
        <f>HX129*($Q129*$S129)/(1+Voorblad!$K$44)^(DW$56-Voorblad!$F$41)</f>
        <v>0</v>
      </c>
      <c r="DX129" s="9">
        <f>HY129*($Q129*$S129)/(1+Voorblad!$K$44)^(DX$56-Voorblad!$F$41)</f>
        <v>0</v>
      </c>
      <c r="DY129" s="9">
        <f>HZ129*($Q129*$S129)/(1+Voorblad!$K$44)^(DY$56-Voorblad!$F$41)</f>
        <v>0</v>
      </c>
      <c r="DZ129" s="9">
        <f>IA129*($Q129*$S129)/(1+Voorblad!$K$44)^(DZ$56-Voorblad!$F$41)</f>
        <v>0</v>
      </c>
      <c r="EA129" s="9">
        <f>IB129*($Q129*$S129)/(1+Voorblad!$K$44)^(EA$56-Voorblad!$F$41)</f>
        <v>0</v>
      </c>
      <c r="EB129" s="9">
        <f>IC129*($Q129*$S129)/(1+Voorblad!$K$44)^(EB$56-Voorblad!$F$41)</f>
        <v>0</v>
      </c>
      <c r="EE129" s="8">
        <v>0</v>
      </c>
      <c r="EF129" s="8">
        <f>IF(EF$56-Voorblad!$F$41&gt;Voorblad!$K$41,0,IF($U129=0,0,IF($U129&lt;1,1/$U129,IF((EF$56-Voorblad!$F$41)/$U129-SUM($EE129:EE129)=1,1,0))))</f>
        <v>0</v>
      </c>
      <c r="EG129" s="8">
        <f>IF(EG$56-Voorblad!$F$41&gt;Voorblad!$K$41,0,IF($U129=0,0,IF($U129&lt;1,1/$U129,IF((EG$56-Voorblad!$F$41)/$U129-SUM($EE129:EF129)=1,1,0))))</f>
        <v>0</v>
      </c>
      <c r="EH129" s="8">
        <f>IF(EH$56-Voorblad!$F$41&gt;Voorblad!$K$41,0,IF($U129=0,0,IF($U129&lt;1,1/$U129,IF((EH$56-Voorblad!$F$41)/$U129-SUM($EE129:EG129)=1,1,0))))</f>
        <v>0</v>
      </c>
      <c r="EI129" s="8">
        <f>IF(EI$56-Voorblad!$F$41&gt;Voorblad!$K$41,0,IF($U129=0,0,IF($U129&lt;1,1/$U129,IF((EI$56-Voorblad!$F$41)/$U129-SUM($EE129:EH129)=1,1,0))))</f>
        <v>0</v>
      </c>
      <c r="EJ129" s="8">
        <f>IF(EJ$56-Voorblad!$F$41&gt;Voorblad!$K$41,0,IF($U129=0,0,IF($U129&lt;1,1/$U129,IF((EJ$56-Voorblad!$F$41)/$U129-SUM($EE129:EI129)=1,1,0))))</f>
        <v>0</v>
      </c>
      <c r="EK129" s="8">
        <f>IF(EK$56-Voorblad!$F$41&gt;Voorblad!$K$41,0,IF($U129=0,0,IF($U129&lt;1,1/$U129,IF((EK$56-Voorblad!$F$41)/$U129-SUM($EE129:EJ129)=1,1,0))))</f>
        <v>0</v>
      </c>
      <c r="EL129" s="8">
        <f>IF(EL$56-Voorblad!$F$41&gt;Voorblad!$K$41,0,IF($U129=0,0,IF($U129&lt;1,1/$U129,IF((EL$56-Voorblad!$F$41)/$U129-SUM($EE129:EK129)=1,1,0))))</f>
        <v>0</v>
      </c>
      <c r="EM129" s="8">
        <f>IF(EM$56-Voorblad!$F$41&gt;Voorblad!$K$41,0,IF($U129=0,0,IF($U129&lt;1,1/$U129,IF((EM$56-Voorblad!$F$41)/$U129-SUM($EE129:EL129)=1,1,0))))</f>
        <v>0</v>
      </c>
      <c r="EN129" s="8">
        <f>IF(EN$56-Voorblad!$F$41&gt;Voorblad!$K$41,0,IF($U129=0,0,IF($U129&lt;1,1/$U129,IF((EN$56-Voorblad!$F$41)/$U129-SUM($EE129:EM129)=1,1,0))))</f>
        <v>0</v>
      </c>
      <c r="EO129" s="8">
        <f>IF(EO$56-Voorblad!$F$41&gt;Voorblad!$K$41,0,IF($U129=0,0,IF($U129&lt;1,1/$U129,IF((EO$56-Voorblad!$F$41)/$U129-SUM($EE129:EN129)=1,1,0))))</f>
        <v>0</v>
      </c>
      <c r="EP129" s="8">
        <f>IF(EP$56-Voorblad!$F$41&gt;Voorblad!$K$41,0,IF($U129=0,0,IF($U129&lt;1,1/$U129,IF((EP$56-Voorblad!$F$41)/$U129-SUM($EE129:EO129)=1,1,0))))</f>
        <v>0</v>
      </c>
      <c r="EQ129" s="8">
        <f>IF(EQ$56-Voorblad!$F$41&gt;Voorblad!$K$41,0,IF($U129=0,0,IF($U129&lt;1,1/$U129,IF((EQ$56-Voorblad!$F$41)/$U129-SUM($EE129:EP129)=1,1,0))))</f>
        <v>0</v>
      </c>
      <c r="ER129" s="8">
        <f>IF(ER$56-Voorblad!$F$41&gt;Voorblad!$K$41,0,IF($U129=0,0,IF($U129&lt;1,1/$U129,IF((ER$56-Voorblad!$F$41)/$U129-SUM($EE129:EQ129)=1,1,0))))</f>
        <v>0</v>
      </c>
      <c r="ES129" s="8">
        <f>IF(ES$56-Voorblad!$F$41&gt;Voorblad!$K$41,0,IF($U129=0,0,IF($U129&lt;1,1/$U129,IF((ES$56-Voorblad!$F$41)/$U129-SUM($EE129:ER129)=1,1,0))))</f>
        <v>0</v>
      </c>
      <c r="ET129" s="8">
        <f>IF(ET$56-Voorblad!$F$41&gt;Voorblad!$K$41,0,IF($U129=0,0,IF($U129&lt;1,1/$U129,IF((ET$56-Voorblad!$F$41)/$U129-SUM($EE129:ES129)=1,1,0))))</f>
        <v>0</v>
      </c>
      <c r="EU129" s="8">
        <f>IF(EU$56-Voorblad!$F$41&gt;Voorblad!$K$41,0,IF($U129=0,0,IF($U129&lt;1,1/$U129,IF((EU$56-Voorblad!$F$41)/$U129-SUM($EE129:ET129)=1,1,0))))</f>
        <v>0</v>
      </c>
      <c r="EV129" s="8">
        <f>IF(EV$56-Voorblad!$F$41&gt;Voorblad!$K$41,0,IF($U129=0,0,IF($U129&lt;1,1/$U129,IF((EV$56-Voorblad!$F$41)/$U129-SUM($EE129:EU129)=1,1,0))))</f>
        <v>0</v>
      </c>
      <c r="EW129" s="8">
        <f>IF(EW$56-Voorblad!$F$41&gt;Voorblad!$K$41,0,IF($U129=0,0,IF($U129&lt;1,1/$U129,IF((EW$56-Voorblad!$F$41)/$U129-SUM($EE129:EV129)=1,1,0))))</f>
        <v>0</v>
      </c>
      <c r="EX129" s="8">
        <f>IF(EX$56-Voorblad!$F$41&gt;Voorblad!$K$41,0,IF($U129=0,0,IF($U129&lt;1,1/$U129,IF((EX$56-Voorblad!$F$41)/$U129-SUM($EE129:EW129)=1,1,0))))</f>
        <v>0</v>
      </c>
      <c r="EY129" s="8">
        <f>IF(EY$56-Voorblad!$F$41&gt;Voorblad!$K$41,0,IF($U129=0,0,IF($U129&lt;1,1/$U129,IF((EY$56-Voorblad!$F$41)/$U129-SUM($EE129:EX129)=1,1,0))))</f>
        <v>0</v>
      </c>
      <c r="EZ129" s="8">
        <f>IF(EZ$56-Voorblad!$F$41&gt;Voorblad!$K$41,0,IF($U129=0,0,IF($U129&lt;1,1/$U129,IF((EZ$56-Voorblad!$F$41)/$U129-SUM($EE129:EY129)=1,1,0))))</f>
        <v>0</v>
      </c>
      <c r="FA129" s="8">
        <f>IF(FA$56-Voorblad!$F$41&gt;Voorblad!$K$41,0,IF($U129=0,0,IF($U129&lt;1,1/$U129,IF((FA$56-Voorblad!$F$41)/$U129-SUM($EE129:EZ129)=1,1,0))))</f>
        <v>0</v>
      </c>
      <c r="FB129" s="8">
        <f>IF(FB$56-Voorblad!$F$41&gt;Voorblad!$K$41,0,IF($U129=0,0,IF($U129&lt;1,1/$U129,IF((FB$56-Voorblad!$F$41)/$U129-SUM($EE129:FA129)=1,1,0))))</f>
        <v>0</v>
      </c>
      <c r="FC129" s="8">
        <f>IF(FC$56-Voorblad!$F$41&gt;Voorblad!$K$41,0,IF($U129=0,0,IF($U129&lt;1,1/$U129,IF((FC$56-Voorblad!$F$41)/$U129-SUM($EE129:FB129)=1,1,0))))</f>
        <v>0</v>
      </c>
      <c r="FD129" s="8">
        <f>IF(FD$56-Voorblad!$F$41&gt;Voorblad!$K$41,0,IF($U129=0,0,IF($U129&lt;1,1/$U129,IF((FD$56-Voorblad!$F$41)/$U129-SUM($EE129:FC129)=1,1,0))))</f>
        <v>0</v>
      </c>
      <c r="FE129" s="8">
        <f>IF(FE$56-Voorblad!$F$41&gt;Voorblad!$K$41,0,IF($U129=0,0,IF($U129&lt;1,1/$U129,IF((FE$56-Voorblad!$F$41)/$U129-SUM($EE129:FD129)=1,1,0))))</f>
        <v>0</v>
      </c>
      <c r="FF129" s="8">
        <f>IF(FF$56-Voorblad!$F$41&gt;Voorblad!$K$41,0,IF($U129=0,0,IF($U129&lt;1,1/$U129,IF((FF$56-Voorblad!$F$41)/$U129-SUM($EE129:FE129)=1,1,0))))</f>
        <v>0</v>
      </c>
      <c r="FG129" s="8">
        <f>IF(FG$56-Voorblad!$F$41&gt;Voorblad!$K$41,0,IF($U129=0,0,IF($U129&lt;1,1/$U129,IF((FG$56-Voorblad!$F$41)/$U129-SUM($EE129:FF129)=1,1,0))))</f>
        <v>1</v>
      </c>
      <c r="FH129" s="8">
        <f>IF(FH$56-Voorblad!$F$41&gt;Voorblad!$K$41,0,IF($U129=0,0,IF($U129&lt;1,1/$U129,IF((FH$56-Voorblad!$F$41)/$U129-SUM($EE129:FG129)=1,1,0))))</f>
        <v>0</v>
      </c>
      <c r="FI129" s="8">
        <f>IF(FI$56-Voorblad!$F$41&gt;Voorblad!$K$41,0,IF($U129=0,0,IF($U129&lt;1,1/$U129,IF((FI$56-Voorblad!$F$41)/$U129-SUM($EE129:FH129)=1,1,0))))</f>
        <v>0</v>
      </c>
      <c r="FJ129" s="8">
        <f>IF(FJ$56-Voorblad!$F$41&gt;Voorblad!$K$41,0,IF($U129=0,0,IF($U129&lt;1,1/$U129,IF((FJ$56-Voorblad!$F$41)/$U129-SUM($EE129:FI129)=1,1,0))))</f>
        <v>0</v>
      </c>
      <c r="FK129" s="8">
        <f>IF(FK$56-Voorblad!$F$41&gt;Voorblad!$K$41,0,IF($U129=0,0,IF($U129&lt;1,1/$U129,IF((FK$56-Voorblad!$F$41)/$U129-SUM($EE129:FJ129)=1,1,0))))</f>
        <v>0</v>
      </c>
      <c r="FL129" s="8">
        <f>IF(FL$56-Voorblad!$F$41&gt;Voorblad!$K$41,0,IF($U129=0,0,IF($U129&lt;1,1/$U129,IF((FL$56-Voorblad!$F$41)/$U129-SUM($EE129:FK129)=1,1,0))))</f>
        <v>0</v>
      </c>
      <c r="FM129" s="8">
        <f>IF(FM$56-Voorblad!$F$41&gt;Voorblad!$K$41,0,IF($U129=0,0,IF($U129&lt;1,1/$U129,IF((FM$56-Voorblad!$F$41)/$U129-SUM($EE129:FL129)=1,1,0))))</f>
        <v>0</v>
      </c>
      <c r="FN129" s="8">
        <f>IF(FN$56-Voorblad!$F$41&gt;Voorblad!$K$41,0,IF($U129=0,0,IF($U129&lt;1,1/$U129,IF((FN$56-Voorblad!$F$41)/$U129-SUM($EE129:FM129)=1,1,0))))</f>
        <v>0</v>
      </c>
      <c r="FO129" s="8">
        <f>IF(FO$56-Voorblad!$F$41&gt;Voorblad!$K$41,0,IF($U129=0,0,IF($U129&lt;1,1/$U129,IF((FO$56-Voorblad!$F$41)/$U129-SUM($EE129:FN129)=1,1,0))))</f>
        <v>0</v>
      </c>
      <c r="FP129" s="8">
        <f>IF(FP$56-Voorblad!$F$41&gt;Voorblad!$K$41,0,IF($U129=0,0,IF($U129&lt;1,1/$U129,IF((FP$56-Voorblad!$F$41)/$U129-SUM($EE129:FO129)=1,1,0))))</f>
        <v>0</v>
      </c>
      <c r="FQ129" s="8">
        <f>IF(FQ$56-Voorblad!$F$41&gt;Voorblad!$K$41,0,IF($U129=0,0,IF($U129&lt;1,1/$U129,IF((FQ$56-Voorblad!$F$41)/$U129-SUM($EE129:FP129)=1,1,0))))</f>
        <v>0</v>
      </c>
      <c r="FR129" s="8">
        <f>IF(FR$56-Voorblad!$F$41&gt;Voorblad!$K$41,0,IF($U129=0,0,IF($U129&lt;1,1/$U129,IF((FR$56-Voorblad!$F$41)/$U129-SUM($EE129:FQ129)=1,1,0))))</f>
        <v>0</v>
      </c>
      <c r="FS129" s="8">
        <f>IF(FS$56-Voorblad!$F$41&gt;Voorblad!$K$41,0,IF($U129=0,0,IF($U129&lt;1,1/$U129,IF((FS$56-Voorblad!$F$41)/$U129-SUM($EE129:FR129)=1,1,0))))</f>
        <v>0</v>
      </c>
      <c r="FT129" s="8">
        <f>IF(FT$56-Voorblad!$F$41&gt;Voorblad!$K$41,0,IF($U129=0,0,IF($U129&lt;1,1/$U129,IF((FT$56-Voorblad!$F$41)/$U129-SUM($EE129:FS129)=1,1,0))))</f>
        <v>0</v>
      </c>
      <c r="FU129" s="8">
        <f>IF(FU$56-Voorblad!$F$41&gt;Voorblad!$K$41,0,IF($U129=0,0,IF($U129&lt;1,1/$U129,IF((FU$56-Voorblad!$F$41)/$U129-SUM($EE129:FT129)=1,1,0))))</f>
        <v>0</v>
      </c>
      <c r="FV129" s="8">
        <f>IF(FV$56-Voorblad!$F$41&gt;Voorblad!$K$41,0,IF($U129=0,0,IF($U129&lt;1,1/$U129,IF((FV$56-Voorblad!$F$41)/$U129-SUM($EE129:FU129)=1,1,0))))</f>
        <v>0</v>
      </c>
      <c r="FW129" s="8">
        <f>IF(FW$56-Voorblad!$F$41&gt;Voorblad!$K$41,0,IF($U129=0,0,IF($U129&lt;1,1/$U129,IF((FW$56-Voorblad!$F$41)/$U129-SUM($EE129:FV129)=1,1,0))))</f>
        <v>0</v>
      </c>
      <c r="FX129" s="8">
        <f>IF(FX$56-Voorblad!$F$41&gt;Voorblad!$K$41,0,IF($U129=0,0,IF($U129&lt;1,1/$U129,IF((FX$56-Voorblad!$F$41)/$U129-SUM($EE129:FW129)=1,1,0))))</f>
        <v>0</v>
      </c>
      <c r="FY129" s="8">
        <f>IF(FY$56-Voorblad!$F$41&gt;Voorblad!$K$41,0,IF($U129=0,0,IF($U129&lt;1,1/$U129,IF((FY$56-Voorblad!$F$41)/$U129-SUM($EE129:FX129)=1,1,0))))</f>
        <v>0</v>
      </c>
      <c r="FZ129" s="8">
        <f>IF(FZ$56-Voorblad!$F$41&gt;Voorblad!$K$41,0,IF($U129=0,0,IF($U129&lt;1,1/$U129,IF((FZ$56-Voorblad!$F$41)/$U129-SUM($EE129:FY129)=1,1,0))))</f>
        <v>0</v>
      </c>
      <c r="GA129" s="8">
        <f>IF(GA$56-Voorblad!$F$41&gt;Voorblad!$K$41,0,IF($U129=0,0,IF($U129&lt;1,1/$U129,IF((GA$56-Voorblad!$F$41)/$U129-SUM($EE129:FZ129)=1,1,0))))</f>
        <v>0</v>
      </c>
      <c r="GB129" s="8">
        <f>IF(GB$56-Voorblad!$F$41&gt;Voorblad!$K$41,0,IF($U129=0,0,IF($U129&lt;1,1/$U129,IF((GB$56-Voorblad!$F$41)/$U129-SUM($EE129:GA129)=1,1,0))))</f>
        <v>0</v>
      </c>
      <c r="GC129" s="8">
        <f>IF(GC$56-Voorblad!$F$41&gt;Voorblad!$K$41,0,IF($U129=0,0,IF($U129&lt;1,1/$U129,IF((GC$56-Voorblad!$F$41)/$U129-SUM($EE129:GB129)=1,1,0))))</f>
        <v>0</v>
      </c>
      <c r="GD129" s="8">
        <f>IF(GD$56-Voorblad!$F$41&gt;Voorblad!$K$41,0,IF($U129=0,0,IF($U129&lt;1,1/$U129,IF((GD$56-Voorblad!$F$41)/$U129-SUM($EE129:GC129)=1,1,0))))</f>
        <v>0</v>
      </c>
      <c r="GE129" s="8">
        <f>IF(GE$56-Voorblad!$F$41&gt;Voorblad!$K$41,0,IF($U129=0,0,IF($U129&lt;1,1/$U129,IF((GE$56-Voorblad!$F$41)/$U129-SUM($EE129:GD129)=1,1,0))))</f>
        <v>0</v>
      </c>
      <c r="GF129" s="8">
        <f>IF(GF$56-Voorblad!$F$41&gt;Voorblad!$K$41,0,IF($U129=0,0,IF($U129&lt;1,1/$U129,IF((GF$56-Voorblad!$F$41)/$U129-SUM($EE129:GE129)=1,1,0))))</f>
        <v>0</v>
      </c>
      <c r="GG129" s="8">
        <f>IF(GG$56-Voorblad!$F$41&gt;Voorblad!$K$41,0,IF($U129=0,0,IF($U129&lt;1,1/$U129,IF((GG$56-Voorblad!$F$41)/$U129-SUM($EE129:GF129)=1,1,0))))</f>
        <v>0</v>
      </c>
      <c r="GH129" s="8">
        <f>IF(GH$56-Voorblad!$F$41&gt;Voorblad!$K$41,0,IF($U129=0,0,IF($U129&lt;1,1/$U129,IF((GH$56-Voorblad!$F$41)/$U129-SUM($EE129:GG129)=1,1,0))))</f>
        <v>1</v>
      </c>
      <c r="GI129" s="8">
        <f>IF(GI$56-Voorblad!$F$41&gt;Voorblad!$K$41,0,IF($U129=0,0,IF($U129&lt;1,1/$U129,IF((GI$56-Voorblad!$F$41)/$U129-SUM($EE129:GH129)=1,1,0))))</f>
        <v>0</v>
      </c>
      <c r="GJ129" s="8">
        <f>IF(GJ$56-Voorblad!$F$41&gt;Voorblad!$K$41,0,IF($U129=0,0,IF($U129&lt;1,1/$U129,IF((GJ$56-Voorblad!$F$41)/$U129-SUM($EE129:GI129)=1,1,0))))</f>
        <v>0</v>
      </c>
      <c r="GK129" s="8">
        <f>IF(GK$56-Voorblad!$F$41&gt;Voorblad!$K$41,0,IF($U129=0,0,IF($U129&lt;1,1/$U129,IF((GK$56-Voorblad!$F$41)/$U129-SUM($EE129:GJ129)=1,1,0))))</f>
        <v>0</v>
      </c>
      <c r="GL129" s="8">
        <f>IF(GL$56-Voorblad!$F$41&gt;Voorblad!$K$41,0,IF($U129=0,0,IF($U129&lt;1,1/$U129,IF((GL$56-Voorblad!$F$41)/$U129-SUM($EE129:GK129)=1,1,0))))</f>
        <v>0</v>
      </c>
      <c r="GM129" s="8">
        <f>IF(GM$56-Voorblad!$F$41&gt;Voorblad!$K$41,0,IF($U129=0,0,IF($U129&lt;1,1/$U129,IF((GM$56-Voorblad!$F$41)/$U129-SUM($EE129:GL129)=1,1,0))))</f>
        <v>0</v>
      </c>
      <c r="GN129" s="8">
        <f>IF(GN$56-Voorblad!$F$41&gt;Voorblad!$K$41,0,IF($U129=0,0,IF($U129&lt;1,1/$U129,IF((GN$56-Voorblad!$F$41)/$U129-SUM($EE129:GM129)=1,1,0))))</f>
        <v>0</v>
      </c>
      <c r="GO129" s="8">
        <f>IF(GO$56-Voorblad!$F$41&gt;Voorblad!$K$41,0,IF($U129=0,0,IF($U129&lt;1,1/$U129,IF((GO$56-Voorblad!$F$41)/$U129-SUM($EE129:GN129)=1,1,0))))</f>
        <v>0</v>
      </c>
      <c r="GP129" s="8">
        <f>IF(GP$56-Voorblad!$F$41&gt;Voorblad!$K$41,0,IF($U129=0,0,IF($U129&lt;1,1/$U129,IF((GP$56-Voorblad!$F$41)/$U129-SUM($EE129:GO129)=1,1,0))))</f>
        <v>0</v>
      </c>
      <c r="GQ129" s="8">
        <f>IF(GQ$56-Voorblad!$F$41&gt;Voorblad!$K$41,0,IF($U129=0,0,IF($U129&lt;1,1/$U129,IF((GQ$56-Voorblad!$F$41)/$U129-SUM($EE129:GP129)=1,1,0))))</f>
        <v>0</v>
      </c>
      <c r="GR129" s="8">
        <f>IF(GR$56-Voorblad!$F$41&gt;Voorblad!$K$41,0,IF($U129=0,0,IF($U129&lt;1,1/$U129,IF((GR$56-Voorblad!$F$41)/$U129-SUM($EE129:GQ129)=1,1,0))))</f>
        <v>0</v>
      </c>
      <c r="GS129" s="8">
        <f>IF(GS$56-Voorblad!$F$41&gt;Voorblad!$K$41,0,IF($U129=0,0,IF($U129&lt;1,1/$U129,IF((GS$56-Voorblad!$F$41)/$U129-SUM($EE129:GR129)=1,1,0))))</f>
        <v>0</v>
      </c>
      <c r="GT129" s="8">
        <f>IF(GT$56-Voorblad!$F$41&gt;Voorblad!$K$41,0,IF($U129=0,0,IF($U129&lt;1,1/$U129,IF((GT$56-Voorblad!$F$41)/$U129-SUM($EE129:GS129)=1,1,0))))</f>
        <v>0</v>
      </c>
      <c r="GU129" s="8">
        <f>IF(GU$56-Voorblad!$F$41&gt;Voorblad!$K$41,0,IF($U129=0,0,IF($U129&lt;1,1/$U129,IF((GU$56-Voorblad!$F$41)/$U129-SUM($EE129:GT129)=1,1,0))))</f>
        <v>0</v>
      </c>
      <c r="GV129" s="8">
        <f>IF(GV$56-Voorblad!$F$41&gt;Voorblad!$K$41,0,IF($U129=0,0,IF($U129&lt;1,1/$U129,IF((GV$56-Voorblad!$F$41)/$U129-SUM($EE129:GU129)=1,1,0))))</f>
        <v>0</v>
      </c>
      <c r="GW129" s="8">
        <f>IF(GW$56-Voorblad!$F$41&gt;Voorblad!$K$41,0,IF($U129=0,0,IF($U129&lt;1,1/$U129,IF((GW$56-Voorblad!$F$41)/$U129-SUM($EE129:GV129)=1,1,0))))</f>
        <v>0</v>
      </c>
      <c r="GX129" s="8">
        <f>IF(GX$56-Voorblad!$F$41&gt;Voorblad!$K$41,0,IF($U129=0,0,IF($U129&lt;1,1/$U129,IF((GX$56-Voorblad!$F$41)/$U129-SUM($EE129:GW129)=1,1,0))))</f>
        <v>0</v>
      </c>
      <c r="GY129" s="8">
        <f>IF(GY$56-Voorblad!$F$41&gt;Voorblad!$K$41,0,IF($U129=0,0,IF($U129&lt;1,1/$U129,IF((GY$56-Voorblad!$F$41)/$U129-SUM($EE129:GX129)=1,1,0))))</f>
        <v>0</v>
      </c>
      <c r="GZ129" s="8">
        <f>IF(GZ$56-Voorblad!$F$41&gt;Voorblad!$K$41,0,IF($U129=0,0,IF($U129&lt;1,1/$U129,IF((GZ$56-Voorblad!$F$41)/$U129-SUM($EE129:GY129)=1,1,0))))</f>
        <v>0</v>
      </c>
      <c r="HA129" s="8">
        <f>IF(HA$56-Voorblad!$F$41&gt;Voorblad!$K$41,0,IF($U129=0,0,IF($U129&lt;1,1/$U129,IF((HA$56-Voorblad!$F$41)/$U129-SUM($EE129:GZ129)=1,1,0))))</f>
        <v>0</v>
      </c>
      <c r="HB129" s="8">
        <f>IF(HB$56-Voorblad!$F$41&gt;Voorblad!$K$41,0,IF($U129=0,0,IF($U129&lt;1,1/$U129,IF((HB$56-Voorblad!$F$41)/$U129-SUM($EE129:HA129)=1,1,0))))</f>
        <v>0</v>
      </c>
      <c r="HC129" s="8">
        <f>IF(HC$56-Voorblad!$F$41&gt;Voorblad!$K$41,0,IF($U129=0,0,IF($U129&lt;1,1/$U129,IF((HC$56-Voorblad!$F$41)/$U129-SUM($EE129:HB129)=1,1,0))))</f>
        <v>0</v>
      </c>
      <c r="HD129" s="8">
        <f>IF(HD$56-Voorblad!$F$41&gt;Voorblad!$K$41,0,IF($U129=0,0,IF($U129&lt;1,1/$U129,IF((HD$56-Voorblad!$F$41)/$U129-SUM($EE129:HC129)=1,1,0))))</f>
        <v>0</v>
      </c>
      <c r="HE129" s="8">
        <f>IF(HE$56-Voorblad!$F$41&gt;Voorblad!$K$41,0,IF($U129=0,0,IF($U129&lt;1,1/$U129,IF((HE$56-Voorblad!$F$41)/$U129-SUM($EE129:HD129)=1,1,0))))</f>
        <v>0</v>
      </c>
      <c r="HF129" s="8">
        <f>IF(HF$56-Voorblad!$F$41&gt;Voorblad!$K$41,0,IF($U129=0,0,IF($U129&lt;1,1/$U129,IF((HF$56-Voorblad!$F$41)/$U129-SUM($EE129:HE129)=1,1,0))))</f>
        <v>0</v>
      </c>
      <c r="HG129" s="8">
        <f>IF(HG$56-Voorblad!$F$41&gt;Voorblad!$K$41,0,IF($U129=0,0,IF($U129&lt;1,1/$U129,IF((HG$56-Voorblad!$F$41)/$U129-SUM($EE129:HF129)=1,1,0))))</f>
        <v>0</v>
      </c>
      <c r="HH129" s="8">
        <f>IF(HH$56-Voorblad!$F$41&gt;Voorblad!$K$41,0,IF($U129=0,0,IF($U129&lt;1,1/$U129,IF((HH$56-Voorblad!$F$41)/$U129-SUM($EE129:HG129)=1,1,0))))</f>
        <v>0</v>
      </c>
      <c r="HI129" s="8">
        <f>IF(HI$56-Voorblad!$F$41&gt;Voorblad!$K$41,0,IF($U129=0,0,IF($U129&lt;1,1/$U129,IF((HI$56-Voorblad!$F$41)/$U129-SUM($EE129:HH129)=1,1,0))))</f>
        <v>0</v>
      </c>
      <c r="HJ129" s="8">
        <f>IF(HJ$56-Voorblad!$F$41&gt;Voorblad!$K$41,0,IF($U129=0,0,IF($U129&lt;1,1/$U129,IF((HJ$56-Voorblad!$F$41)/$U129-SUM($EE129:HI129)=1,1,0))))</f>
        <v>0</v>
      </c>
      <c r="HK129" s="8">
        <f>IF(HK$56-Voorblad!$F$41&gt;Voorblad!$K$41,0,IF($U129=0,0,IF($U129&lt;1,1/$U129,IF((HK$56-Voorblad!$F$41)/$U129-SUM($EE129:HJ129)=1,1,0))))</f>
        <v>0</v>
      </c>
      <c r="HL129" s="8">
        <f>IF(HL$56-Voorblad!$F$41&gt;Voorblad!$K$41,0,IF($U129=0,0,IF($U129&lt;1,1/$U129,IF((HL$56-Voorblad!$F$41)/$U129-SUM($EE129:HK129)=1,1,0))))</f>
        <v>0</v>
      </c>
      <c r="HM129" s="8">
        <f>IF(HM$56-Voorblad!$F$41&gt;Voorblad!$K$41,0,IF($U129=0,0,IF($U129&lt;1,1/$U129,IF((HM$56-Voorblad!$F$41)/$U129-SUM($EE129:HL129)=1,1,0))))</f>
        <v>0</v>
      </c>
      <c r="HN129" s="8">
        <f>IF(HN$56-Voorblad!$F$41&gt;Voorblad!$K$41,0,IF($U129=0,0,IF($U129&lt;1,1/$U129,IF((HN$56-Voorblad!$F$41)/$U129-SUM($EE129:HM129)=1,1,0))))</f>
        <v>0</v>
      </c>
      <c r="HO129" s="8">
        <f>IF(HO$56-Voorblad!$F$41&gt;Voorblad!$K$41,0,IF($U129=0,0,IF($U129&lt;1,1/$U129,IF((HO$56-Voorblad!$F$41)/$U129-SUM($EE129:HN129)=1,1,0))))</f>
        <v>0</v>
      </c>
      <c r="HP129" s="8">
        <f>IF(HP$56-Voorblad!$F$41&gt;Voorblad!$K$41,0,IF($U129=0,0,IF($U129&lt;1,1/$U129,IF((HP$56-Voorblad!$F$41)/$U129-SUM($EE129:HO129)=1,1,0))))</f>
        <v>0</v>
      </c>
      <c r="HQ129" s="8">
        <f>IF(HQ$56-Voorblad!$F$41&gt;Voorblad!$K$41,0,IF($U129=0,0,IF($U129&lt;1,1/$U129,IF((HQ$56-Voorblad!$F$41)/$U129-SUM($EE129:HP129)=1,1,0))))</f>
        <v>0</v>
      </c>
      <c r="HR129" s="8">
        <f>IF(HR$56-Voorblad!$F$41&gt;Voorblad!$K$41,0,IF($U129=0,0,IF($U129&lt;1,1/$U129,IF((HR$56-Voorblad!$F$41)/$U129-SUM($EE129:HQ129)=1,1,0))))</f>
        <v>0</v>
      </c>
      <c r="HS129" s="8">
        <f>IF(HS$56-Voorblad!$F$41&gt;Voorblad!$K$41,0,IF($U129=0,0,IF($U129&lt;1,1/$U129,IF((HS$56-Voorblad!$F$41)/$U129-SUM($EE129:HR129)=1,1,0))))</f>
        <v>0</v>
      </c>
      <c r="HT129" s="8">
        <f>IF(HT$56-Voorblad!$F$41&gt;Voorblad!$K$41,0,IF($U129=0,0,IF($U129&lt;1,1/$U129,IF((HT$56-Voorblad!$F$41)/$U129-SUM($EE129:HS129)=1,1,0))))</f>
        <v>0</v>
      </c>
      <c r="HU129" s="8">
        <f>IF(HU$56-Voorblad!$F$41&gt;Voorblad!$K$41,0,IF($U129=0,0,IF($U129&lt;1,1/$U129,IF((HU$56-Voorblad!$F$41)/$U129-SUM($EE129:HT129)=1,1,0))))</f>
        <v>0</v>
      </c>
      <c r="HV129" s="8">
        <f>IF(HV$56-Voorblad!$F$41&gt;Voorblad!$K$41,0,IF($U129=0,0,IF($U129&lt;1,1/$U129,IF((HV$56-Voorblad!$F$41)/$U129-SUM($EE129:HU129)=1,1,0))))</f>
        <v>0</v>
      </c>
      <c r="HW129" s="8">
        <f>IF(HW$56-Voorblad!$F$41&gt;Voorblad!$K$41,0,IF($U129=0,0,IF($U129&lt;1,1/$U129,IF((HW$56-Voorblad!$F$41)/$U129-SUM($EE129:HV129)=1,1,0))))</f>
        <v>0</v>
      </c>
      <c r="HX129" s="8">
        <f>IF(HX$56-Voorblad!$F$41&gt;Voorblad!$K$41,0,IF($U129=0,0,IF($U129&lt;1,1/$U129,IF((HX$56-Voorblad!$F$41)/$U129-SUM($EE129:HW129)=1,1,0))))</f>
        <v>0</v>
      </c>
      <c r="HY129" s="8">
        <f>IF(HY$56-Voorblad!$F$41&gt;Voorblad!$K$41,0,IF($U129=0,0,IF($U129&lt;1,1/$U129,IF((HY$56-Voorblad!$F$41)/$U129-SUM($EE129:HX129)=1,1,0))))</f>
        <v>0</v>
      </c>
      <c r="HZ129" s="8">
        <f>IF(HZ$56-Voorblad!$F$41&gt;Voorblad!$K$41,0,IF($U129=0,0,IF($U129&lt;1,1/$U129,IF((HZ$56-Voorblad!$F$41)/$U129-SUM($EE129:HY129)=1,1,0))))</f>
        <v>0</v>
      </c>
      <c r="IA129" s="8">
        <f>IF(IA$56-Voorblad!$F$41&gt;Voorblad!$K$41,0,IF($U129=0,0,IF($U129&lt;1,1/$U129,IF((IA$56-Voorblad!$F$41)/$U129-SUM($EE129:HZ129)=1,1,0))))</f>
        <v>0</v>
      </c>
      <c r="IB129" s="8">
        <f>IF(IB$56-Voorblad!$F$41&gt;Voorblad!$K$41,0,IF($U129=0,0,IF($U129&lt;1,1/$U129,IF((IB$56-Voorblad!$F$41)/$U129-SUM($EE129:IA129)=1,1,0))))</f>
        <v>0</v>
      </c>
    </row>
    <row r="130" spans="2:236" hidden="1" outlineLevel="2" x14ac:dyDescent="0.25">
      <c r="B130" s="1">
        <v>1</v>
      </c>
      <c r="D130" s="1" t="s">
        <v>29</v>
      </c>
      <c r="F130" s="1" t="s">
        <v>23</v>
      </c>
      <c r="I130" s="1" t="s">
        <v>49</v>
      </c>
      <c r="K130" s="1" t="s">
        <v>81</v>
      </c>
      <c r="Q130" s="81">
        <v>0</v>
      </c>
      <c r="R130" s="1" t="s">
        <v>34</v>
      </c>
      <c r="S130" s="14">
        <f>S126*11000</f>
        <v>0</v>
      </c>
      <c r="T130" s="9">
        <f t="shared" si="104"/>
        <v>0</v>
      </c>
      <c r="U130" s="14">
        <v>27</v>
      </c>
      <c r="V130" s="14"/>
      <c r="Y130" s="9">
        <f>SUM(AE130:EB130)</f>
        <v>0</v>
      </c>
      <c r="Z130" s="82"/>
      <c r="AA130" s="82"/>
      <c r="AC130" s="9">
        <f>$Y130*(Voorblad!$K$44*(1+Voorblad!$K$44)^Voorblad!$K$41)/((1+Voorblad!$K$44)^Voorblad!$K$41-1)</f>
        <v>0</v>
      </c>
      <c r="AE130" s="9">
        <f>EF130*($Q130*$S130)/(1+Voorblad!$K$44)^(AE$56-Voorblad!$F$41)</f>
        <v>0</v>
      </c>
      <c r="AF130" s="9">
        <f>EG130*($Q130*$S130)/(1+Voorblad!$K$44)^(AF$56-Voorblad!$F$41)</f>
        <v>0</v>
      </c>
      <c r="AG130" s="9">
        <f>EH130*($Q130*$S130)/(1+Voorblad!$K$44)^(AG$56-Voorblad!$F$41)</f>
        <v>0</v>
      </c>
      <c r="AH130" s="9">
        <f>EI130*($Q130*$S130)/(1+Voorblad!$K$44)^(AH$56-Voorblad!$F$41)</f>
        <v>0</v>
      </c>
      <c r="AI130" s="9">
        <f>EJ130*($Q130*$S130)/(1+Voorblad!$K$44)^(AI$56-Voorblad!$F$41)</f>
        <v>0</v>
      </c>
      <c r="AJ130" s="9">
        <f>EK130*($Q130*$S130)/(1+Voorblad!$K$44)^(AJ$56-Voorblad!$F$41)</f>
        <v>0</v>
      </c>
      <c r="AK130" s="9">
        <f>EL130*($Q130*$S130)/(1+Voorblad!$K$44)^(AK$56-Voorblad!$F$41)</f>
        <v>0</v>
      </c>
      <c r="AL130" s="9">
        <f>EM130*($Q130*$S130)/(1+Voorblad!$K$44)^(AL$56-Voorblad!$F$41)</f>
        <v>0</v>
      </c>
      <c r="AM130" s="9">
        <f>EN130*($Q130*$S130)/(1+Voorblad!$K$44)^(AM$56-Voorblad!$F$41)</f>
        <v>0</v>
      </c>
      <c r="AN130" s="9">
        <f>EO130*($Q130*$S130)/(1+Voorblad!$K$44)^(AN$56-Voorblad!$F$41)</f>
        <v>0</v>
      </c>
      <c r="AO130" s="9">
        <f>EP130*($Q130*$S130)/(1+Voorblad!$K$44)^(AO$56-Voorblad!$F$41)</f>
        <v>0</v>
      </c>
      <c r="AP130" s="9">
        <f>EQ130*($Q130*$S130)/(1+Voorblad!$K$44)^(AP$56-Voorblad!$F$41)</f>
        <v>0</v>
      </c>
      <c r="AQ130" s="9">
        <f>ER130*($Q130*$S130)/(1+Voorblad!$K$44)^(AQ$56-Voorblad!$F$41)</f>
        <v>0</v>
      </c>
      <c r="AR130" s="9">
        <f>ES130*($Q130*$S130)/(1+Voorblad!$K$44)^(AR$56-Voorblad!$F$41)</f>
        <v>0</v>
      </c>
      <c r="AS130" s="9">
        <f>ET130*($Q130*$S130)/(1+Voorblad!$K$44)^(AS$56-Voorblad!$F$41)</f>
        <v>0</v>
      </c>
      <c r="AT130" s="9">
        <f>EU130*($Q130*$S130)/(1+Voorblad!$K$44)^(AT$56-Voorblad!$F$41)</f>
        <v>0</v>
      </c>
      <c r="AU130" s="9">
        <f>EV130*($Q130*$S130)/(1+Voorblad!$K$44)^(AU$56-Voorblad!$F$41)</f>
        <v>0</v>
      </c>
      <c r="AV130" s="9">
        <f>EW130*($Q130*$S130)/(1+Voorblad!$K$44)^(AV$56-Voorblad!$F$41)</f>
        <v>0</v>
      </c>
      <c r="AW130" s="9">
        <f>EX130*($Q130*$S130)/(1+Voorblad!$K$44)^(AW$56-Voorblad!$F$41)</f>
        <v>0</v>
      </c>
      <c r="AX130" s="9">
        <f>EY130*($Q130*$S130)/(1+Voorblad!$K$44)^(AX$56-Voorblad!$F$41)</f>
        <v>0</v>
      </c>
      <c r="AY130" s="9">
        <f>EZ130*($Q130*$S130)/(1+Voorblad!$K$44)^(AY$56-Voorblad!$F$41)</f>
        <v>0</v>
      </c>
      <c r="AZ130" s="9">
        <f>FA130*($Q130*$S130)/(1+Voorblad!$K$44)^(AZ$56-Voorblad!$F$41)</f>
        <v>0</v>
      </c>
      <c r="BA130" s="9">
        <f>FB130*($Q130*$S130)/(1+Voorblad!$K$44)^(BA$56-Voorblad!$F$41)</f>
        <v>0</v>
      </c>
      <c r="BB130" s="9">
        <f>FC130*($Q130*$S130)/(1+Voorblad!$K$44)^(BB$56-Voorblad!$F$41)</f>
        <v>0</v>
      </c>
      <c r="BC130" s="9">
        <f>FD130*($Q130*$S130)/(1+Voorblad!$K$44)^(BC$56-Voorblad!$F$41)</f>
        <v>0</v>
      </c>
      <c r="BD130" s="9">
        <f>FE130*($Q130*$S130)/(1+Voorblad!$K$44)^(BD$56-Voorblad!$F$41)</f>
        <v>0</v>
      </c>
      <c r="BE130" s="9">
        <f>FF130*($Q130*$S130)/(1+Voorblad!$K$44)^(BE$56-Voorblad!$F$41)</f>
        <v>0</v>
      </c>
      <c r="BF130" s="9">
        <f>FG130*($Q130*$S130)/(1+Voorblad!$K$44)^(BF$56-Voorblad!$F$41)</f>
        <v>0</v>
      </c>
      <c r="BG130" s="9">
        <f>FH130*($Q130*$S130)/(1+Voorblad!$K$44)^(BG$56-Voorblad!$F$41)</f>
        <v>0</v>
      </c>
      <c r="BH130" s="9">
        <f>FI130*($Q130*$S130)/(1+Voorblad!$K$44)^(BH$56-Voorblad!$F$41)</f>
        <v>0</v>
      </c>
      <c r="BI130" s="9">
        <f>FJ130*($Q130*$S130)/(1+Voorblad!$K$44)^(BI$56-Voorblad!$F$41)</f>
        <v>0</v>
      </c>
      <c r="BJ130" s="9">
        <f>FK130*($Q130*$S130)/(1+Voorblad!$K$44)^(BJ$56-Voorblad!$F$41)</f>
        <v>0</v>
      </c>
      <c r="BK130" s="9">
        <f>FL130*($Q130*$S130)/(1+Voorblad!$K$44)^(BK$56-Voorblad!$F$41)</f>
        <v>0</v>
      </c>
      <c r="BL130" s="9">
        <f>FM130*($Q130*$S130)/(1+Voorblad!$K$44)^(BL$56-Voorblad!$F$41)</f>
        <v>0</v>
      </c>
      <c r="BM130" s="9">
        <f>FN130*($Q130*$S130)/(1+Voorblad!$K$44)^(BM$56-Voorblad!$F$41)</f>
        <v>0</v>
      </c>
      <c r="BN130" s="9">
        <f>FO130*($Q130*$S130)/(1+Voorblad!$K$44)^(BN$56-Voorblad!$F$41)</f>
        <v>0</v>
      </c>
      <c r="BO130" s="9">
        <f>FP130*($Q130*$S130)/(1+Voorblad!$K$44)^(BO$56-Voorblad!$F$41)</f>
        <v>0</v>
      </c>
      <c r="BP130" s="9">
        <f>FQ130*($Q130*$S130)/(1+Voorblad!$K$44)^(BP$56-Voorblad!$F$41)</f>
        <v>0</v>
      </c>
      <c r="BQ130" s="9">
        <f>FR130*($Q130*$S130)/(1+Voorblad!$K$44)^(BQ$56-Voorblad!$F$41)</f>
        <v>0</v>
      </c>
      <c r="BR130" s="9">
        <f>FS130*($Q130*$S130)/(1+Voorblad!$K$44)^(BR$56-Voorblad!$F$41)</f>
        <v>0</v>
      </c>
      <c r="BS130" s="9">
        <f>FT130*($Q130*$S130)/(1+Voorblad!$K$44)^(BS$56-Voorblad!$F$41)</f>
        <v>0</v>
      </c>
      <c r="BT130" s="9">
        <f>FU130*($Q130*$S130)/(1+Voorblad!$K$44)^(BT$56-Voorblad!$F$41)</f>
        <v>0</v>
      </c>
      <c r="BU130" s="9">
        <f>FV130*($Q130*$S130)/(1+Voorblad!$K$44)^(BU$56-Voorblad!$F$41)</f>
        <v>0</v>
      </c>
      <c r="BV130" s="9">
        <f>FW130*($Q130*$S130)/(1+Voorblad!$K$44)^(BV$56-Voorblad!$F$41)</f>
        <v>0</v>
      </c>
      <c r="BW130" s="9">
        <f>FX130*($Q130*$S130)/(1+Voorblad!$K$44)^(BW$56-Voorblad!$F$41)</f>
        <v>0</v>
      </c>
      <c r="BX130" s="9">
        <f>FY130*($Q130*$S130)/(1+Voorblad!$K$44)^(BX$56-Voorblad!$F$41)</f>
        <v>0</v>
      </c>
      <c r="BY130" s="9">
        <f>FZ130*($Q130*$S130)/(1+Voorblad!$K$44)^(BY$56-Voorblad!$F$41)</f>
        <v>0</v>
      </c>
      <c r="BZ130" s="9">
        <f>GA130*($Q130*$S130)/(1+Voorblad!$K$44)^(BZ$56-Voorblad!$F$41)</f>
        <v>0</v>
      </c>
      <c r="CA130" s="9">
        <f>GB130*($Q130*$S130)/(1+Voorblad!$K$44)^(CA$56-Voorblad!$F$41)</f>
        <v>0</v>
      </c>
      <c r="CB130" s="9">
        <f>GC130*($Q130*$S130)/(1+Voorblad!$K$44)^(CB$56-Voorblad!$F$41)</f>
        <v>0</v>
      </c>
      <c r="CC130" s="9">
        <f>GD130*($Q130*$S130)/(1+Voorblad!$K$44)^(CC$56-Voorblad!$F$41)</f>
        <v>0</v>
      </c>
      <c r="CD130" s="9">
        <f>GE130*($Q130*$S130)/(1+Voorblad!$K$44)^(CD$56-Voorblad!$F$41)</f>
        <v>0</v>
      </c>
      <c r="CE130" s="9">
        <f>GF130*($Q130*$S130)/(1+Voorblad!$K$44)^(CE$56-Voorblad!$F$41)</f>
        <v>0</v>
      </c>
      <c r="CF130" s="9">
        <f>GG130*($Q130*$S130)/(1+Voorblad!$K$44)^(CF$56-Voorblad!$F$41)</f>
        <v>0</v>
      </c>
      <c r="CG130" s="9">
        <f>GH130*($Q130*$S130)/(1+Voorblad!$K$44)^(CG$56-Voorblad!$F$41)</f>
        <v>0</v>
      </c>
      <c r="CH130" s="9">
        <f>GI130*($Q130*$S130)/(1+Voorblad!$K$44)^(CH$56-Voorblad!$F$41)</f>
        <v>0</v>
      </c>
      <c r="CI130" s="9">
        <f>GJ130*($Q130*$S130)/(1+Voorblad!$K$44)^(CI$56-Voorblad!$F$41)</f>
        <v>0</v>
      </c>
      <c r="CJ130" s="9">
        <f>GK130*($Q130*$S130)/(1+Voorblad!$K$44)^(CJ$56-Voorblad!$F$41)</f>
        <v>0</v>
      </c>
      <c r="CK130" s="9">
        <f>GL130*($Q130*$S130)/(1+Voorblad!$K$44)^(CK$56-Voorblad!$F$41)</f>
        <v>0</v>
      </c>
      <c r="CL130" s="9">
        <f>GM130*($Q130*$S130)/(1+Voorblad!$K$44)^(CL$56-Voorblad!$F$41)</f>
        <v>0</v>
      </c>
      <c r="CM130" s="9">
        <f>GN130*($Q130*$S130)/(1+Voorblad!$K$44)^(CM$56-Voorblad!$F$41)</f>
        <v>0</v>
      </c>
      <c r="CN130" s="9">
        <f>GO130*($Q130*$S130)/(1+Voorblad!$K$44)^(CN$56-Voorblad!$F$41)</f>
        <v>0</v>
      </c>
      <c r="CO130" s="9">
        <f>GP130*($Q130*$S130)/(1+Voorblad!$K$44)^(CO$56-Voorblad!$F$41)</f>
        <v>0</v>
      </c>
      <c r="CP130" s="9">
        <f>GQ130*($Q130*$S130)/(1+Voorblad!$K$44)^(CP$56-Voorblad!$F$41)</f>
        <v>0</v>
      </c>
      <c r="CQ130" s="9">
        <f>GR130*($Q130*$S130)/(1+Voorblad!$K$44)^(CQ$56-Voorblad!$F$41)</f>
        <v>0</v>
      </c>
      <c r="CR130" s="9">
        <f>GS130*($Q130*$S130)/(1+Voorblad!$K$44)^(CR$56-Voorblad!$F$41)</f>
        <v>0</v>
      </c>
      <c r="CS130" s="9">
        <f>GT130*($Q130*$S130)/(1+Voorblad!$K$44)^(CS$56-Voorblad!$F$41)</f>
        <v>0</v>
      </c>
      <c r="CT130" s="9">
        <f>GU130*($Q130*$S130)/(1+Voorblad!$K$44)^(CT$56-Voorblad!$F$41)</f>
        <v>0</v>
      </c>
      <c r="CU130" s="9">
        <f>GV130*($Q130*$S130)/(1+Voorblad!$K$44)^(CU$56-Voorblad!$F$41)</f>
        <v>0</v>
      </c>
      <c r="CV130" s="9">
        <f>GW130*($Q130*$S130)/(1+Voorblad!$K$44)^(CV$56-Voorblad!$F$41)</f>
        <v>0</v>
      </c>
      <c r="CW130" s="9">
        <f>GX130*($Q130*$S130)/(1+Voorblad!$K$44)^(CW$56-Voorblad!$F$41)</f>
        <v>0</v>
      </c>
      <c r="CX130" s="9">
        <f>GY130*($Q130*$S130)/(1+Voorblad!$K$44)^(CX$56-Voorblad!$F$41)</f>
        <v>0</v>
      </c>
      <c r="CY130" s="9">
        <f>GZ130*($Q130*$S130)/(1+Voorblad!$K$44)^(CY$56-Voorblad!$F$41)</f>
        <v>0</v>
      </c>
      <c r="CZ130" s="9">
        <f>HA130*($Q130*$S130)/(1+Voorblad!$K$44)^(CZ$56-Voorblad!$F$41)</f>
        <v>0</v>
      </c>
      <c r="DA130" s="9">
        <f>HB130*($Q130*$S130)/(1+Voorblad!$K$44)^(DA$56-Voorblad!$F$41)</f>
        <v>0</v>
      </c>
      <c r="DB130" s="9">
        <f>HC130*($Q130*$S130)/(1+Voorblad!$K$44)^(DB$56-Voorblad!$F$41)</f>
        <v>0</v>
      </c>
      <c r="DC130" s="9">
        <f>HD130*($Q130*$S130)/(1+Voorblad!$K$44)^(DC$56-Voorblad!$F$41)</f>
        <v>0</v>
      </c>
      <c r="DD130" s="9">
        <f>HE130*($Q130*$S130)/(1+Voorblad!$K$44)^(DD$56-Voorblad!$F$41)</f>
        <v>0</v>
      </c>
      <c r="DE130" s="9">
        <f>HF130*($Q130*$S130)/(1+Voorblad!$K$44)^(DE$56-Voorblad!$F$41)</f>
        <v>0</v>
      </c>
      <c r="DF130" s="9">
        <f>HG130*($Q130*$S130)/(1+Voorblad!$K$44)^(DF$56-Voorblad!$F$41)</f>
        <v>0</v>
      </c>
      <c r="DG130" s="9">
        <f>HH130*($Q130*$S130)/(1+Voorblad!$K$44)^(DG$56-Voorblad!$F$41)</f>
        <v>0</v>
      </c>
      <c r="DH130" s="9">
        <f>HI130*($Q130*$S130)/(1+Voorblad!$K$44)^(DH$56-Voorblad!$F$41)</f>
        <v>0</v>
      </c>
      <c r="DI130" s="9">
        <f>HJ130*($Q130*$S130)/(1+Voorblad!$K$44)^(DI$56-Voorblad!$F$41)</f>
        <v>0</v>
      </c>
      <c r="DJ130" s="9">
        <f>HK130*($Q130*$S130)/(1+Voorblad!$K$44)^(DJ$56-Voorblad!$F$41)</f>
        <v>0</v>
      </c>
      <c r="DK130" s="9">
        <f>HL130*($Q130*$S130)/(1+Voorblad!$K$44)^(DK$56-Voorblad!$F$41)</f>
        <v>0</v>
      </c>
      <c r="DL130" s="9">
        <f>HM130*($Q130*$S130)/(1+Voorblad!$K$44)^(DL$56-Voorblad!$F$41)</f>
        <v>0</v>
      </c>
      <c r="DM130" s="9">
        <f>HN130*($Q130*$S130)/(1+Voorblad!$K$44)^(DM$56-Voorblad!$F$41)</f>
        <v>0</v>
      </c>
      <c r="DN130" s="9">
        <f>HO130*($Q130*$S130)/(1+Voorblad!$K$44)^(DN$56-Voorblad!$F$41)</f>
        <v>0</v>
      </c>
      <c r="DO130" s="9">
        <f>HP130*($Q130*$S130)/(1+Voorblad!$K$44)^(DO$56-Voorblad!$F$41)</f>
        <v>0</v>
      </c>
      <c r="DP130" s="9">
        <f>HQ130*($Q130*$S130)/(1+Voorblad!$K$44)^(DP$56-Voorblad!$F$41)</f>
        <v>0</v>
      </c>
      <c r="DQ130" s="9">
        <f>HR130*($Q130*$S130)/(1+Voorblad!$K$44)^(DQ$56-Voorblad!$F$41)</f>
        <v>0</v>
      </c>
      <c r="DR130" s="9">
        <f>HS130*($Q130*$S130)/(1+Voorblad!$K$44)^(DR$56-Voorblad!$F$41)</f>
        <v>0</v>
      </c>
      <c r="DS130" s="9">
        <f>HT130*($Q130*$S130)/(1+Voorblad!$K$44)^(DS$56-Voorblad!$F$41)</f>
        <v>0</v>
      </c>
      <c r="DT130" s="9">
        <f>HU130*($Q130*$S130)/(1+Voorblad!$K$44)^(DT$56-Voorblad!$F$41)</f>
        <v>0</v>
      </c>
      <c r="DU130" s="9">
        <f>HV130*($Q130*$S130)/(1+Voorblad!$K$44)^(DU$56-Voorblad!$F$41)</f>
        <v>0</v>
      </c>
      <c r="DV130" s="9">
        <f>HW130*($Q130*$S130)/(1+Voorblad!$K$44)^(DV$56-Voorblad!$F$41)</f>
        <v>0</v>
      </c>
      <c r="DW130" s="9">
        <f>HX130*($Q130*$S130)/(1+Voorblad!$K$44)^(DW$56-Voorblad!$F$41)</f>
        <v>0</v>
      </c>
      <c r="DX130" s="9">
        <f>HY130*($Q130*$S130)/(1+Voorblad!$K$44)^(DX$56-Voorblad!$F$41)</f>
        <v>0</v>
      </c>
      <c r="DY130" s="9">
        <f>HZ130*($Q130*$S130)/(1+Voorblad!$K$44)^(DY$56-Voorblad!$F$41)</f>
        <v>0</v>
      </c>
      <c r="DZ130" s="9">
        <f>IA130*($Q130*$S130)/(1+Voorblad!$K$44)^(DZ$56-Voorblad!$F$41)</f>
        <v>0</v>
      </c>
      <c r="EA130" s="9">
        <f>IB130*($Q130*$S130)/(1+Voorblad!$K$44)^(EA$56-Voorblad!$F$41)</f>
        <v>0</v>
      </c>
      <c r="EB130" s="9">
        <f>IC130*($Q130*$S130)/(1+Voorblad!$K$44)^(EB$56-Voorblad!$F$41)</f>
        <v>0</v>
      </c>
      <c r="EE130" s="8">
        <v>0</v>
      </c>
      <c r="EF130" s="8">
        <f>IF(EF$56-Voorblad!$F$41&gt;Voorblad!$K$41,0,IF($U130=0,0,IF($U130&lt;1,1/$U130,IF((EF$56-Voorblad!$F$41)/$U130-SUM($EE130:EE130)=1,1,0))))</f>
        <v>0</v>
      </c>
      <c r="EG130" s="8">
        <f>IF(EG$56-Voorblad!$F$41&gt;Voorblad!$K$41,0,IF($U130=0,0,IF($U130&lt;1,1/$U130,IF((EG$56-Voorblad!$F$41)/$U130-SUM($EE130:EF130)=1,1,0))))</f>
        <v>0</v>
      </c>
      <c r="EH130" s="8">
        <f>IF(EH$56-Voorblad!$F$41&gt;Voorblad!$K$41,0,IF($U130=0,0,IF($U130&lt;1,1/$U130,IF((EH$56-Voorblad!$F$41)/$U130-SUM($EE130:EG130)=1,1,0))))</f>
        <v>0</v>
      </c>
      <c r="EI130" s="8">
        <f>IF(EI$56-Voorblad!$F$41&gt;Voorblad!$K$41,0,IF($U130=0,0,IF($U130&lt;1,1/$U130,IF((EI$56-Voorblad!$F$41)/$U130-SUM($EE130:EH130)=1,1,0))))</f>
        <v>0</v>
      </c>
      <c r="EJ130" s="8">
        <f>IF(EJ$56-Voorblad!$F$41&gt;Voorblad!$K$41,0,IF($U130=0,0,IF($U130&lt;1,1/$U130,IF((EJ$56-Voorblad!$F$41)/$U130-SUM($EE130:EI130)=1,1,0))))</f>
        <v>0</v>
      </c>
      <c r="EK130" s="8">
        <f>IF(EK$56-Voorblad!$F$41&gt;Voorblad!$K$41,0,IF($U130=0,0,IF($U130&lt;1,1/$U130,IF((EK$56-Voorblad!$F$41)/$U130-SUM($EE130:EJ130)=1,1,0))))</f>
        <v>0</v>
      </c>
      <c r="EL130" s="8">
        <f>IF(EL$56-Voorblad!$F$41&gt;Voorblad!$K$41,0,IF($U130=0,0,IF($U130&lt;1,1/$U130,IF((EL$56-Voorblad!$F$41)/$U130-SUM($EE130:EK130)=1,1,0))))</f>
        <v>0</v>
      </c>
      <c r="EM130" s="8">
        <f>IF(EM$56-Voorblad!$F$41&gt;Voorblad!$K$41,0,IF($U130=0,0,IF($U130&lt;1,1/$U130,IF((EM$56-Voorblad!$F$41)/$U130-SUM($EE130:EL130)=1,1,0))))</f>
        <v>0</v>
      </c>
      <c r="EN130" s="8">
        <f>IF(EN$56-Voorblad!$F$41&gt;Voorblad!$K$41,0,IF($U130=0,0,IF($U130&lt;1,1/$U130,IF((EN$56-Voorblad!$F$41)/$U130-SUM($EE130:EM130)=1,1,0))))</f>
        <v>0</v>
      </c>
      <c r="EO130" s="8">
        <f>IF(EO$56-Voorblad!$F$41&gt;Voorblad!$K$41,0,IF($U130=0,0,IF($U130&lt;1,1/$U130,IF((EO$56-Voorblad!$F$41)/$U130-SUM($EE130:EN130)=1,1,0))))</f>
        <v>0</v>
      </c>
      <c r="EP130" s="8">
        <f>IF(EP$56-Voorblad!$F$41&gt;Voorblad!$K$41,0,IF($U130=0,0,IF($U130&lt;1,1/$U130,IF((EP$56-Voorblad!$F$41)/$U130-SUM($EE130:EO130)=1,1,0))))</f>
        <v>0</v>
      </c>
      <c r="EQ130" s="8">
        <f>IF(EQ$56-Voorblad!$F$41&gt;Voorblad!$K$41,0,IF($U130=0,0,IF($U130&lt;1,1/$U130,IF((EQ$56-Voorblad!$F$41)/$U130-SUM($EE130:EP130)=1,1,0))))</f>
        <v>0</v>
      </c>
      <c r="ER130" s="8">
        <f>IF(ER$56-Voorblad!$F$41&gt;Voorblad!$K$41,0,IF($U130=0,0,IF($U130&lt;1,1/$U130,IF((ER$56-Voorblad!$F$41)/$U130-SUM($EE130:EQ130)=1,1,0))))</f>
        <v>0</v>
      </c>
      <c r="ES130" s="8">
        <f>IF(ES$56-Voorblad!$F$41&gt;Voorblad!$K$41,0,IF($U130=0,0,IF($U130&lt;1,1/$U130,IF((ES$56-Voorblad!$F$41)/$U130-SUM($EE130:ER130)=1,1,0))))</f>
        <v>0</v>
      </c>
      <c r="ET130" s="8">
        <f>IF(ET$56-Voorblad!$F$41&gt;Voorblad!$K$41,0,IF($U130=0,0,IF($U130&lt;1,1/$U130,IF((ET$56-Voorblad!$F$41)/$U130-SUM($EE130:ES130)=1,1,0))))</f>
        <v>0</v>
      </c>
      <c r="EU130" s="8">
        <f>IF(EU$56-Voorblad!$F$41&gt;Voorblad!$K$41,0,IF($U130=0,0,IF($U130&lt;1,1/$U130,IF((EU$56-Voorblad!$F$41)/$U130-SUM($EE130:ET130)=1,1,0))))</f>
        <v>0</v>
      </c>
      <c r="EV130" s="8">
        <f>IF(EV$56-Voorblad!$F$41&gt;Voorblad!$K$41,0,IF($U130=0,0,IF($U130&lt;1,1/$U130,IF((EV$56-Voorblad!$F$41)/$U130-SUM($EE130:EU130)=1,1,0))))</f>
        <v>0</v>
      </c>
      <c r="EW130" s="8">
        <f>IF(EW$56-Voorblad!$F$41&gt;Voorblad!$K$41,0,IF($U130=0,0,IF($U130&lt;1,1/$U130,IF((EW$56-Voorblad!$F$41)/$U130-SUM($EE130:EV130)=1,1,0))))</f>
        <v>0</v>
      </c>
      <c r="EX130" s="8">
        <f>IF(EX$56-Voorblad!$F$41&gt;Voorblad!$K$41,0,IF($U130=0,0,IF($U130&lt;1,1/$U130,IF((EX$56-Voorblad!$F$41)/$U130-SUM($EE130:EW130)=1,1,0))))</f>
        <v>0</v>
      </c>
      <c r="EY130" s="8">
        <f>IF(EY$56-Voorblad!$F$41&gt;Voorblad!$K$41,0,IF($U130=0,0,IF($U130&lt;1,1/$U130,IF((EY$56-Voorblad!$F$41)/$U130-SUM($EE130:EX130)=1,1,0))))</f>
        <v>0</v>
      </c>
      <c r="EZ130" s="8">
        <f>IF(EZ$56-Voorblad!$F$41&gt;Voorblad!$K$41,0,IF($U130=0,0,IF($U130&lt;1,1/$U130,IF((EZ$56-Voorblad!$F$41)/$U130-SUM($EE130:EY130)=1,1,0))))</f>
        <v>0</v>
      </c>
      <c r="FA130" s="8">
        <f>IF(FA$56-Voorblad!$F$41&gt;Voorblad!$K$41,0,IF($U130=0,0,IF($U130&lt;1,1/$U130,IF((FA$56-Voorblad!$F$41)/$U130-SUM($EE130:EZ130)=1,1,0))))</f>
        <v>0</v>
      </c>
      <c r="FB130" s="8">
        <f>IF(FB$56-Voorblad!$F$41&gt;Voorblad!$K$41,0,IF($U130=0,0,IF($U130&lt;1,1/$U130,IF((FB$56-Voorblad!$F$41)/$U130-SUM($EE130:FA130)=1,1,0))))</f>
        <v>0</v>
      </c>
      <c r="FC130" s="8">
        <f>IF(FC$56-Voorblad!$F$41&gt;Voorblad!$K$41,0,IF($U130=0,0,IF($U130&lt;1,1/$U130,IF((FC$56-Voorblad!$F$41)/$U130-SUM($EE130:FB130)=1,1,0))))</f>
        <v>0</v>
      </c>
      <c r="FD130" s="8">
        <f>IF(FD$56-Voorblad!$F$41&gt;Voorblad!$K$41,0,IF($U130=0,0,IF($U130&lt;1,1/$U130,IF((FD$56-Voorblad!$F$41)/$U130-SUM($EE130:FC130)=1,1,0))))</f>
        <v>0</v>
      </c>
      <c r="FE130" s="8">
        <f>IF(FE$56-Voorblad!$F$41&gt;Voorblad!$K$41,0,IF($U130=0,0,IF($U130&lt;1,1/$U130,IF((FE$56-Voorblad!$F$41)/$U130-SUM($EE130:FD130)=1,1,0))))</f>
        <v>0</v>
      </c>
      <c r="FF130" s="8">
        <f>IF(FF$56-Voorblad!$F$41&gt;Voorblad!$K$41,0,IF($U130=0,0,IF($U130&lt;1,1/$U130,IF((FF$56-Voorblad!$F$41)/$U130-SUM($EE130:FE130)=1,1,0))))</f>
        <v>0</v>
      </c>
      <c r="FG130" s="8">
        <f>IF(FG$56-Voorblad!$F$41&gt;Voorblad!$K$41,0,IF($U130=0,0,IF($U130&lt;1,1/$U130,IF((FG$56-Voorblad!$F$41)/$U130-SUM($EE130:FF130)=1,1,0))))</f>
        <v>1</v>
      </c>
      <c r="FH130" s="8">
        <f>IF(FH$56-Voorblad!$F$41&gt;Voorblad!$K$41,0,IF($U130=0,0,IF($U130&lt;1,1/$U130,IF((FH$56-Voorblad!$F$41)/$U130-SUM($EE130:FG130)=1,1,0))))</f>
        <v>0</v>
      </c>
      <c r="FI130" s="8">
        <f>IF(FI$56-Voorblad!$F$41&gt;Voorblad!$K$41,0,IF($U130=0,0,IF($U130&lt;1,1/$U130,IF((FI$56-Voorblad!$F$41)/$U130-SUM($EE130:FH130)=1,1,0))))</f>
        <v>0</v>
      </c>
      <c r="FJ130" s="8">
        <f>IF(FJ$56-Voorblad!$F$41&gt;Voorblad!$K$41,0,IF($U130=0,0,IF($U130&lt;1,1/$U130,IF((FJ$56-Voorblad!$F$41)/$U130-SUM($EE130:FI130)=1,1,0))))</f>
        <v>0</v>
      </c>
      <c r="FK130" s="8">
        <f>IF(FK$56-Voorblad!$F$41&gt;Voorblad!$K$41,0,IF($U130=0,0,IF($U130&lt;1,1/$U130,IF((FK$56-Voorblad!$F$41)/$U130-SUM($EE130:FJ130)=1,1,0))))</f>
        <v>0</v>
      </c>
      <c r="FL130" s="8">
        <f>IF(FL$56-Voorblad!$F$41&gt;Voorblad!$K$41,0,IF($U130=0,0,IF($U130&lt;1,1/$U130,IF((FL$56-Voorblad!$F$41)/$U130-SUM($EE130:FK130)=1,1,0))))</f>
        <v>0</v>
      </c>
      <c r="FM130" s="8">
        <f>IF(FM$56-Voorblad!$F$41&gt;Voorblad!$K$41,0,IF($U130=0,0,IF($U130&lt;1,1/$U130,IF((FM$56-Voorblad!$F$41)/$U130-SUM($EE130:FL130)=1,1,0))))</f>
        <v>0</v>
      </c>
      <c r="FN130" s="8">
        <f>IF(FN$56-Voorblad!$F$41&gt;Voorblad!$K$41,0,IF($U130=0,0,IF($U130&lt;1,1/$U130,IF((FN$56-Voorblad!$F$41)/$U130-SUM($EE130:FM130)=1,1,0))))</f>
        <v>0</v>
      </c>
      <c r="FO130" s="8">
        <f>IF(FO$56-Voorblad!$F$41&gt;Voorblad!$K$41,0,IF($U130=0,0,IF($U130&lt;1,1/$U130,IF((FO$56-Voorblad!$F$41)/$U130-SUM($EE130:FN130)=1,1,0))))</f>
        <v>0</v>
      </c>
      <c r="FP130" s="8">
        <f>IF(FP$56-Voorblad!$F$41&gt;Voorblad!$K$41,0,IF($U130=0,0,IF($U130&lt;1,1/$U130,IF((FP$56-Voorblad!$F$41)/$U130-SUM($EE130:FO130)=1,1,0))))</f>
        <v>0</v>
      </c>
      <c r="FQ130" s="8">
        <f>IF(FQ$56-Voorblad!$F$41&gt;Voorblad!$K$41,0,IF($U130=0,0,IF($U130&lt;1,1/$U130,IF((FQ$56-Voorblad!$F$41)/$U130-SUM($EE130:FP130)=1,1,0))))</f>
        <v>0</v>
      </c>
      <c r="FR130" s="8">
        <f>IF(FR$56-Voorblad!$F$41&gt;Voorblad!$K$41,0,IF($U130=0,0,IF($U130&lt;1,1/$U130,IF((FR$56-Voorblad!$F$41)/$U130-SUM($EE130:FQ130)=1,1,0))))</f>
        <v>0</v>
      </c>
      <c r="FS130" s="8">
        <f>IF(FS$56-Voorblad!$F$41&gt;Voorblad!$K$41,0,IF($U130=0,0,IF($U130&lt;1,1/$U130,IF((FS$56-Voorblad!$F$41)/$U130-SUM($EE130:FR130)=1,1,0))))</f>
        <v>0</v>
      </c>
      <c r="FT130" s="8">
        <f>IF(FT$56-Voorblad!$F$41&gt;Voorblad!$K$41,0,IF($U130=0,0,IF($U130&lt;1,1/$U130,IF((FT$56-Voorblad!$F$41)/$U130-SUM($EE130:FS130)=1,1,0))))</f>
        <v>0</v>
      </c>
      <c r="FU130" s="8">
        <f>IF(FU$56-Voorblad!$F$41&gt;Voorblad!$K$41,0,IF($U130=0,0,IF($U130&lt;1,1/$U130,IF((FU$56-Voorblad!$F$41)/$U130-SUM($EE130:FT130)=1,1,0))))</f>
        <v>0</v>
      </c>
      <c r="FV130" s="8">
        <f>IF(FV$56-Voorblad!$F$41&gt;Voorblad!$K$41,0,IF($U130=0,0,IF($U130&lt;1,1/$U130,IF((FV$56-Voorblad!$F$41)/$U130-SUM($EE130:FU130)=1,1,0))))</f>
        <v>0</v>
      </c>
      <c r="FW130" s="8">
        <f>IF(FW$56-Voorblad!$F$41&gt;Voorblad!$K$41,0,IF($U130=0,0,IF($U130&lt;1,1/$U130,IF((FW$56-Voorblad!$F$41)/$U130-SUM($EE130:FV130)=1,1,0))))</f>
        <v>0</v>
      </c>
      <c r="FX130" s="8">
        <f>IF(FX$56-Voorblad!$F$41&gt;Voorblad!$K$41,0,IF($U130=0,0,IF($U130&lt;1,1/$U130,IF((FX$56-Voorblad!$F$41)/$U130-SUM($EE130:FW130)=1,1,0))))</f>
        <v>0</v>
      </c>
      <c r="FY130" s="8">
        <f>IF(FY$56-Voorblad!$F$41&gt;Voorblad!$K$41,0,IF($U130=0,0,IF($U130&lt;1,1/$U130,IF((FY$56-Voorblad!$F$41)/$U130-SUM($EE130:FX130)=1,1,0))))</f>
        <v>0</v>
      </c>
      <c r="FZ130" s="8">
        <f>IF(FZ$56-Voorblad!$F$41&gt;Voorblad!$K$41,0,IF($U130=0,0,IF($U130&lt;1,1/$U130,IF((FZ$56-Voorblad!$F$41)/$U130-SUM($EE130:FY130)=1,1,0))))</f>
        <v>0</v>
      </c>
      <c r="GA130" s="8">
        <f>IF(GA$56-Voorblad!$F$41&gt;Voorblad!$K$41,0,IF($U130=0,0,IF($U130&lt;1,1/$U130,IF((GA$56-Voorblad!$F$41)/$U130-SUM($EE130:FZ130)=1,1,0))))</f>
        <v>0</v>
      </c>
      <c r="GB130" s="8">
        <f>IF(GB$56-Voorblad!$F$41&gt;Voorblad!$K$41,0,IF($U130=0,0,IF($U130&lt;1,1/$U130,IF((GB$56-Voorblad!$F$41)/$U130-SUM($EE130:GA130)=1,1,0))))</f>
        <v>0</v>
      </c>
      <c r="GC130" s="8">
        <f>IF(GC$56-Voorblad!$F$41&gt;Voorblad!$K$41,0,IF($U130=0,0,IF($U130&lt;1,1/$U130,IF((GC$56-Voorblad!$F$41)/$U130-SUM($EE130:GB130)=1,1,0))))</f>
        <v>0</v>
      </c>
      <c r="GD130" s="8">
        <f>IF(GD$56-Voorblad!$F$41&gt;Voorblad!$K$41,0,IF($U130=0,0,IF($U130&lt;1,1/$U130,IF((GD$56-Voorblad!$F$41)/$U130-SUM($EE130:GC130)=1,1,0))))</f>
        <v>0</v>
      </c>
      <c r="GE130" s="8">
        <f>IF(GE$56-Voorblad!$F$41&gt;Voorblad!$K$41,0,IF($U130=0,0,IF($U130&lt;1,1/$U130,IF((GE$56-Voorblad!$F$41)/$U130-SUM($EE130:GD130)=1,1,0))))</f>
        <v>0</v>
      </c>
      <c r="GF130" s="8">
        <f>IF(GF$56-Voorblad!$F$41&gt;Voorblad!$K$41,0,IF($U130=0,0,IF($U130&lt;1,1/$U130,IF((GF$56-Voorblad!$F$41)/$U130-SUM($EE130:GE130)=1,1,0))))</f>
        <v>0</v>
      </c>
      <c r="GG130" s="8">
        <f>IF(GG$56-Voorblad!$F$41&gt;Voorblad!$K$41,0,IF($U130=0,0,IF($U130&lt;1,1/$U130,IF((GG$56-Voorblad!$F$41)/$U130-SUM($EE130:GF130)=1,1,0))))</f>
        <v>0</v>
      </c>
      <c r="GH130" s="8">
        <f>IF(GH$56-Voorblad!$F$41&gt;Voorblad!$K$41,0,IF($U130=0,0,IF($U130&lt;1,1/$U130,IF((GH$56-Voorblad!$F$41)/$U130-SUM($EE130:GG130)=1,1,0))))</f>
        <v>1</v>
      </c>
      <c r="GI130" s="8">
        <f>IF(GI$56-Voorblad!$F$41&gt;Voorblad!$K$41,0,IF($U130=0,0,IF($U130&lt;1,1/$U130,IF((GI$56-Voorblad!$F$41)/$U130-SUM($EE130:GH130)=1,1,0))))</f>
        <v>0</v>
      </c>
      <c r="GJ130" s="8">
        <f>IF(GJ$56-Voorblad!$F$41&gt;Voorblad!$K$41,0,IF($U130=0,0,IF($U130&lt;1,1/$U130,IF((GJ$56-Voorblad!$F$41)/$U130-SUM($EE130:GI130)=1,1,0))))</f>
        <v>0</v>
      </c>
      <c r="GK130" s="8">
        <f>IF(GK$56-Voorblad!$F$41&gt;Voorblad!$K$41,0,IF($U130=0,0,IF($U130&lt;1,1/$U130,IF((GK$56-Voorblad!$F$41)/$U130-SUM($EE130:GJ130)=1,1,0))))</f>
        <v>0</v>
      </c>
      <c r="GL130" s="8">
        <f>IF(GL$56-Voorblad!$F$41&gt;Voorblad!$K$41,0,IF($U130=0,0,IF($U130&lt;1,1/$U130,IF((GL$56-Voorblad!$F$41)/$U130-SUM($EE130:GK130)=1,1,0))))</f>
        <v>0</v>
      </c>
      <c r="GM130" s="8">
        <f>IF(GM$56-Voorblad!$F$41&gt;Voorblad!$K$41,0,IF($U130=0,0,IF($U130&lt;1,1/$U130,IF((GM$56-Voorblad!$F$41)/$U130-SUM($EE130:GL130)=1,1,0))))</f>
        <v>0</v>
      </c>
      <c r="GN130" s="8">
        <f>IF(GN$56-Voorblad!$F$41&gt;Voorblad!$K$41,0,IF($U130=0,0,IF($U130&lt;1,1/$U130,IF((GN$56-Voorblad!$F$41)/$U130-SUM($EE130:GM130)=1,1,0))))</f>
        <v>0</v>
      </c>
      <c r="GO130" s="8">
        <f>IF(GO$56-Voorblad!$F$41&gt;Voorblad!$K$41,0,IF($U130=0,0,IF($U130&lt;1,1/$U130,IF((GO$56-Voorblad!$F$41)/$U130-SUM($EE130:GN130)=1,1,0))))</f>
        <v>0</v>
      </c>
      <c r="GP130" s="8">
        <f>IF(GP$56-Voorblad!$F$41&gt;Voorblad!$K$41,0,IF($U130=0,0,IF($U130&lt;1,1/$U130,IF((GP$56-Voorblad!$F$41)/$U130-SUM($EE130:GO130)=1,1,0))))</f>
        <v>0</v>
      </c>
      <c r="GQ130" s="8">
        <f>IF(GQ$56-Voorblad!$F$41&gt;Voorblad!$K$41,0,IF($U130=0,0,IF($U130&lt;1,1/$U130,IF((GQ$56-Voorblad!$F$41)/$U130-SUM($EE130:GP130)=1,1,0))))</f>
        <v>0</v>
      </c>
      <c r="GR130" s="8">
        <f>IF(GR$56-Voorblad!$F$41&gt;Voorblad!$K$41,0,IF($U130=0,0,IF($U130&lt;1,1/$U130,IF((GR$56-Voorblad!$F$41)/$U130-SUM($EE130:GQ130)=1,1,0))))</f>
        <v>0</v>
      </c>
      <c r="GS130" s="8">
        <f>IF(GS$56-Voorblad!$F$41&gt;Voorblad!$K$41,0,IF($U130=0,0,IF($U130&lt;1,1/$U130,IF((GS$56-Voorblad!$F$41)/$U130-SUM($EE130:GR130)=1,1,0))))</f>
        <v>0</v>
      </c>
      <c r="GT130" s="8">
        <f>IF(GT$56-Voorblad!$F$41&gt;Voorblad!$K$41,0,IF($U130=0,0,IF($U130&lt;1,1/$U130,IF((GT$56-Voorblad!$F$41)/$U130-SUM($EE130:GS130)=1,1,0))))</f>
        <v>0</v>
      </c>
      <c r="GU130" s="8">
        <f>IF(GU$56-Voorblad!$F$41&gt;Voorblad!$K$41,0,IF($U130=0,0,IF($U130&lt;1,1/$U130,IF((GU$56-Voorblad!$F$41)/$U130-SUM($EE130:GT130)=1,1,0))))</f>
        <v>0</v>
      </c>
      <c r="GV130" s="8">
        <f>IF(GV$56-Voorblad!$F$41&gt;Voorblad!$K$41,0,IF($U130=0,0,IF($U130&lt;1,1/$U130,IF((GV$56-Voorblad!$F$41)/$U130-SUM($EE130:GU130)=1,1,0))))</f>
        <v>0</v>
      </c>
      <c r="GW130" s="8">
        <f>IF(GW$56-Voorblad!$F$41&gt;Voorblad!$K$41,0,IF($U130=0,0,IF($U130&lt;1,1/$U130,IF((GW$56-Voorblad!$F$41)/$U130-SUM($EE130:GV130)=1,1,0))))</f>
        <v>0</v>
      </c>
      <c r="GX130" s="8">
        <f>IF(GX$56-Voorblad!$F$41&gt;Voorblad!$K$41,0,IF($U130=0,0,IF($U130&lt;1,1/$U130,IF((GX$56-Voorblad!$F$41)/$U130-SUM($EE130:GW130)=1,1,0))))</f>
        <v>0</v>
      </c>
      <c r="GY130" s="8">
        <f>IF(GY$56-Voorblad!$F$41&gt;Voorblad!$K$41,0,IF($U130=0,0,IF($U130&lt;1,1/$U130,IF((GY$56-Voorblad!$F$41)/$U130-SUM($EE130:GX130)=1,1,0))))</f>
        <v>0</v>
      </c>
      <c r="GZ130" s="8">
        <f>IF(GZ$56-Voorblad!$F$41&gt;Voorblad!$K$41,0,IF($U130=0,0,IF($U130&lt;1,1/$U130,IF((GZ$56-Voorblad!$F$41)/$U130-SUM($EE130:GY130)=1,1,0))))</f>
        <v>0</v>
      </c>
      <c r="HA130" s="8">
        <f>IF(HA$56-Voorblad!$F$41&gt;Voorblad!$K$41,0,IF($U130=0,0,IF($U130&lt;1,1/$U130,IF((HA$56-Voorblad!$F$41)/$U130-SUM($EE130:GZ130)=1,1,0))))</f>
        <v>0</v>
      </c>
      <c r="HB130" s="8">
        <f>IF(HB$56-Voorblad!$F$41&gt;Voorblad!$K$41,0,IF($U130=0,0,IF($U130&lt;1,1/$U130,IF((HB$56-Voorblad!$F$41)/$U130-SUM($EE130:HA130)=1,1,0))))</f>
        <v>0</v>
      </c>
      <c r="HC130" s="8">
        <f>IF(HC$56-Voorblad!$F$41&gt;Voorblad!$K$41,0,IF($U130=0,0,IF($U130&lt;1,1/$U130,IF((HC$56-Voorblad!$F$41)/$U130-SUM($EE130:HB130)=1,1,0))))</f>
        <v>0</v>
      </c>
      <c r="HD130" s="8">
        <f>IF(HD$56-Voorblad!$F$41&gt;Voorblad!$K$41,0,IF($U130=0,0,IF($U130&lt;1,1/$U130,IF((HD$56-Voorblad!$F$41)/$U130-SUM($EE130:HC130)=1,1,0))))</f>
        <v>0</v>
      </c>
      <c r="HE130" s="8">
        <f>IF(HE$56-Voorblad!$F$41&gt;Voorblad!$K$41,0,IF($U130=0,0,IF($U130&lt;1,1/$U130,IF((HE$56-Voorblad!$F$41)/$U130-SUM($EE130:HD130)=1,1,0))))</f>
        <v>0</v>
      </c>
      <c r="HF130" s="8">
        <f>IF(HF$56-Voorblad!$F$41&gt;Voorblad!$K$41,0,IF($U130=0,0,IF($U130&lt;1,1/$U130,IF((HF$56-Voorblad!$F$41)/$U130-SUM($EE130:HE130)=1,1,0))))</f>
        <v>0</v>
      </c>
      <c r="HG130" s="8">
        <f>IF(HG$56-Voorblad!$F$41&gt;Voorblad!$K$41,0,IF($U130=0,0,IF($U130&lt;1,1/$U130,IF((HG$56-Voorblad!$F$41)/$U130-SUM($EE130:HF130)=1,1,0))))</f>
        <v>0</v>
      </c>
      <c r="HH130" s="8">
        <f>IF(HH$56-Voorblad!$F$41&gt;Voorblad!$K$41,0,IF($U130=0,0,IF($U130&lt;1,1/$U130,IF((HH$56-Voorblad!$F$41)/$U130-SUM($EE130:HG130)=1,1,0))))</f>
        <v>0</v>
      </c>
      <c r="HI130" s="8">
        <f>IF(HI$56-Voorblad!$F$41&gt;Voorblad!$K$41,0,IF($U130=0,0,IF($U130&lt;1,1/$U130,IF((HI$56-Voorblad!$F$41)/$U130-SUM($EE130:HH130)=1,1,0))))</f>
        <v>0</v>
      </c>
      <c r="HJ130" s="8">
        <f>IF(HJ$56-Voorblad!$F$41&gt;Voorblad!$K$41,0,IF($U130=0,0,IF($U130&lt;1,1/$U130,IF((HJ$56-Voorblad!$F$41)/$U130-SUM($EE130:HI130)=1,1,0))))</f>
        <v>0</v>
      </c>
      <c r="HK130" s="8">
        <f>IF(HK$56-Voorblad!$F$41&gt;Voorblad!$K$41,0,IF($U130=0,0,IF($U130&lt;1,1/$U130,IF((HK$56-Voorblad!$F$41)/$U130-SUM($EE130:HJ130)=1,1,0))))</f>
        <v>0</v>
      </c>
      <c r="HL130" s="8">
        <f>IF(HL$56-Voorblad!$F$41&gt;Voorblad!$K$41,0,IF($U130=0,0,IF($U130&lt;1,1/$U130,IF((HL$56-Voorblad!$F$41)/$U130-SUM($EE130:HK130)=1,1,0))))</f>
        <v>0</v>
      </c>
      <c r="HM130" s="8">
        <f>IF(HM$56-Voorblad!$F$41&gt;Voorblad!$K$41,0,IF($U130=0,0,IF($U130&lt;1,1/$U130,IF((HM$56-Voorblad!$F$41)/$U130-SUM($EE130:HL130)=1,1,0))))</f>
        <v>0</v>
      </c>
      <c r="HN130" s="8">
        <f>IF(HN$56-Voorblad!$F$41&gt;Voorblad!$K$41,0,IF($U130=0,0,IF($U130&lt;1,1/$U130,IF((HN$56-Voorblad!$F$41)/$U130-SUM($EE130:HM130)=1,1,0))))</f>
        <v>0</v>
      </c>
      <c r="HO130" s="8">
        <f>IF(HO$56-Voorblad!$F$41&gt;Voorblad!$K$41,0,IF($U130=0,0,IF($U130&lt;1,1/$U130,IF((HO$56-Voorblad!$F$41)/$U130-SUM($EE130:HN130)=1,1,0))))</f>
        <v>0</v>
      </c>
      <c r="HP130" s="8">
        <f>IF(HP$56-Voorblad!$F$41&gt;Voorblad!$K$41,0,IF($U130=0,0,IF($U130&lt;1,1/$U130,IF((HP$56-Voorblad!$F$41)/$U130-SUM($EE130:HO130)=1,1,0))))</f>
        <v>0</v>
      </c>
      <c r="HQ130" s="8">
        <f>IF(HQ$56-Voorblad!$F$41&gt;Voorblad!$K$41,0,IF($U130=0,0,IF($U130&lt;1,1/$U130,IF((HQ$56-Voorblad!$F$41)/$U130-SUM($EE130:HP130)=1,1,0))))</f>
        <v>0</v>
      </c>
      <c r="HR130" s="8">
        <f>IF(HR$56-Voorblad!$F$41&gt;Voorblad!$K$41,0,IF($U130=0,0,IF($U130&lt;1,1/$U130,IF((HR$56-Voorblad!$F$41)/$U130-SUM($EE130:HQ130)=1,1,0))))</f>
        <v>0</v>
      </c>
      <c r="HS130" s="8">
        <f>IF(HS$56-Voorblad!$F$41&gt;Voorblad!$K$41,0,IF($U130=0,0,IF($U130&lt;1,1/$U130,IF((HS$56-Voorblad!$F$41)/$U130-SUM($EE130:HR130)=1,1,0))))</f>
        <v>0</v>
      </c>
      <c r="HT130" s="8">
        <f>IF(HT$56-Voorblad!$F$41&gt;Voorblad!$K$41,0,IF($U130=0,0,IF($U130&lt;1,1/$U130,IF((HT$56-Voorblad!$F$41)/$U130-SUM($EE130:HS130)=1,1,0))))</f>
        <v>0</v>
      </c>
      <c r="HU130" s="8">
        <f>IF(HU$56-Voorblad!$F$41&gt;Voorblad!$K$41,0,IF($U130=0,0,IF($U130&lt;1,1/$U130,IF((HU$56-Voorblad!$F$41)/$U130-SUM($EE130:HT130)=1,1,0))))</f>
        <v>0</v>
      </c>
      <c r="HV130" s="8">
        <f>IF(HV$56-Voorblad!$F$41&gt;Voorblad!$K$41,0,IF($U130=0,0,IF($U130&lt;1,1/$U130,IF((HV$56-Voorblad!$F$41)/$U130-SUM($EE130:HU130)=1,1,0))))</f>
        <v>0</v>
      </c>
      <c r="HW130" s="8">
        <f>IF(HW$56-Voorblad!$F$41&gt;Voorblad!$K$41,0,IF($U130=0,0,IF($U130&lt;1,1/$U130,IF((HW$56-Voorblad!$F$41)/$U130-SUM($EE130:HV130)=1,1,0))))</f>
        <v>0</v>
      </c>
      <c r="HX130" s="8">
        <f>IF(HX$56-Voorblad!$F$41&gt;Voorblad!$K$41,0,IF($U130=0,0,IF($U130&lt;1,1/$U130,IF((HX$56-Voorblad!$F$41)/$U130-SUM($EE130:HW130)=1,1,0))))</f>
        <v>0</v>
      </c>
      <c r="HY130" s="8">
        <f>IF(HY$56-Voorblad!$F$41&gt;Voorblad!$K$41,0,IF($U130=0,0,IF($U130&lt;1,1/$U130,IF((HY$56-Voorblad!$F$41)/$U130-SUM($EE130:HX130)=1,1,0))))</f>
        <v>0</v>
      </c>
      <c r="HZ130" s="8">
        <f>IF(HZ$56-Voorblad!$F$41&gt;Voorblad!$K$41,0,IF($U130=0,0,IF($U130&lt;1,1/$U130,IF((HZ$56-Voorblad!$F$41)/$U130-SUM($EE130:HY130)=1,1,0))))</f>
        <v>0</v>
      </c>
      <c r="IA130" s="8">
        <f>IF(IA$56-Voorblad!$F$41&gt;Voorblad!$K$41,0,IF($U130=0,0,IF($U130&lt;1,1/$U130,IF((IA$56-Voorblad!$F$41)/$U130-SUM($EE130:HZ130)=1,1,0))))</f>
        <v>0</v>
      </c>
      <c r="IB130" s="8">
        <f>IF(IB$56-Voorblad!$F$41&gt;Voorblad!$K$41,0,IF($U130=0,0,IF($U130&lt;1,1/$U130,IF((IB$56-Voorblad!$F$41)/$U130-SUM($EE130:IA130)=1,1,0))))</f>
        <v>0</v>
      </c>
    </row>
    <row r="131" spans="2:236" outlineLevel="1" collapsed="1" x14ac:dyDescent="0.25">
      <c r="B131" s="1">
        <v>1</v>
      </c>
      <c r="F131" s="1" t="s">
        <v>23</v>
      </c>
      <c r="I131" s="1" t="s">
        <v>193</v>
      </c>
      <c r="K131" s="1" t="s">
        <v>212</v>
      </c>
      <c r="O131" s="1" t="s">
        <v>187</v>
      </c>
      <c r="P131" s="1" t="s">
        <v>179</v>
      </c>
      <c r="Q131" s="81">
        <v>0</v>
      </c>
      <c r="R131" s="1" t="s">
        <v>34</v>
      </c>
      <c r="S131" s="14">
        <f>$H$10*2*125</f>
        <v>595</v>
      </c>
      <c r="T131" s="9">
        <f t="shared" si="104"/>
        <v>0</v>
      </c>
      <c r="U131" s="14">
        <v>30</v>
      </c>
      <c r="V131" s="14"/>
      <c r="Y131" s="9">
        <f t="shared" ref="Y131" si="105">SUM(AE131:EB131)</f>
        <v>0</v>
      </c>
      <c r="Z131" s="82"/>
      <c r="AA131" s="82"/>
      <c r="AC131" s="9">
        <f>$Y131*(Voorblad!$K$44*(1+Voorblad!$K$44)^Voorblad!$K$41)/((1+Voorblad!$K$44)^Voorblad!$K$41-1)</f>
        <v>0</v>
      </c>
      <c r="AE131" s="9">
        <f>EF131*($Q131*$S131)/(1+Voorblad!$K$44)^(AE$56-Voorblad!$F$41)</f>
        <v>0</v>
      </c>
      <c r="AF131" s="9">
        <f>EG131*($Q131*$S131)/(1+Voorblad!$K$44)^(AF$56-Voorblad!$F$41)</f>
        <v>0</v>
      </c>
      <c r="AG131" s="9">
        <f>EH131*($Q131*$S131)/(1+Voorblad!$K$44)^(AG$56-Voorblad!$F$41)</f>
        <v>0</v>
      </c>
      <c r="AH131" s="9">
        <f>EI131*($Q131*$S131)/(1+Voorblad!$K$44)^(AH$56-Voorblad!$F$41)</f>
        <v>0</v>
      </c>
      <c r="AI131" s="9">
        <f>EJ131*($Q131*$S131)/(1+Voorblad!$K$44)^(AI$56-Voorblad!$F$41)</f>
        <v>0</v>
      </c>
      <c r="AJ131" s="9">
        <f>EK131*($Q131*$S131)/(1+Voorblad!$K$44)^(AJ$56-Voorblad!$F$41)</f>
        <v>0</v>
      </c>
      <c r="AK131" s="9">
        <f>EL131*($Q131*$S131)/(1+Voorblad!$K$44)^(AK$56-Voorblad!$F$41)</f>
        <v>0</v>
      </c>
      <c r="AL131" s="9">
        <f>EM131*($Q131*$S131)/(1+Voorblad!$K$44)^(AL$56-Voorblad!$F$41)</f>
        <v>0</v>
      </c>
      <c r="AM131" s="9">
        <f>EN131*($Q131*$S131)/(1+Voorblad!$K$44)^(AM$56-Voorblad!$F$41)</f>
        <v>0</v>
      </c>
      <c r="AN131" s="9">
        <f>EO131*($Q131*$S131)/(1+Voorblad!$K$44)^(AN$56-Voorblad!$F$41)</f>
        <v>0</v>
      </c>
      <c r="AO131" s="9">
        <f>EP131*($Q131*$S131)/(1+Voorblad!$K$44)^(AO$56-Voorblad!$F$41)</f>
        <v>0</v>
      </c>
      <c r="AP131" s="9">
        <f>EQ131*($Q131*$S131)/(1+Voorblad!$K$44)^(AP$56-Voorblad!$F$41)</f>
        <v>0</v>
      </c>
      <c r="AQ131" s="9">
        <f>ER131*($Q131*$S131)/(1+Voorblad!$K$44)^(AQ$56-Voorblad!$F$41)</f>
        <v>0</v>
      </c>
      <c r="AR131" s="9">
        <f>ES131*($Q131*$S131)/(1+Voorblad!$K$44)^(AR$56-Voorblad!$F$41)</f>
        <v>0</v>
      </c>
      <c r="AS131" s="9">
        <f>ET131*($Q131*$S131)/(1+Voorblad!$K$44)^(AS$56-Voorblad!$F$41)</f>
        <v>0</v>
      </c>
      <c r="AT131" s="9">
        <f>EU131*($Q131*$S131)/(1+Voorblad!$K$44)^(AT$56-Voorblad!$F$41)</f>
        <v>0</v>
      </c>
      <c r="AU131" s="9">
        <f>EV131*($Q131*$S131)/(1+Voorblad!$K$44)^(AU$56-Voorblad!$F$41)</f>
        <v>0</v>
      </c>
      <c r="AV131" s="9">
        <f>EW131*($Q131*$S131)/(1+Voorblad!$K$44)^(AV$56-Voorblad!$F$41)</f>
        <v>0</v>
      </c>
      <c r="AW131" s="9">
        <f>EX131*($Q131*$S131)/(1+Voorblad!$K$44)^(AW$56-Voorblad!$F$41)</f>
        <v>0</v>
      </c>
      <c r="AX131" s="9">
        <f>EY131*($Q131*$S131)/(1+Voorblad!$K$44)^(AX$56-Voorblad!$F$41)</f>
        <v>0</v>
      </c>
      <c r="AY131" s="9">
        <f>EZ131*($Q131*$S131)/(1+Voorblad!$K$44)^(AY$56-Voorblad!$F$41)</f>
        <v>0</v>
      </c>
      <c r="AZ131" s="9">
        <f>FA131*($Q131*$S131)/(1+Voorblad!$K$44)^(AZ$56-Voorblad!$F$41)</f>
        <v>0</v>
      </c>
      <c r="BA131" s="9">
        <f>FB131*($Q131*$S131)/(1+Voorblad!$K$44)^(BA$56-Voorblad!$F$41)</f>
        <v>0</v>
      </c>
      <c r="BB131" s="9">
        <f>FC131*($Q131*$S131)/(1+Voorblad!$K$44)^(BB$56-Voorblad!$F$41)</f>
        <v>0</v>
      </c>
      <c r="BC131" s="9">
        <f>FD131*($Q131*$S131)/(1+Voorblad!$K$44)^(BC$56-Voorblad!$F$41)</f>
        <v>0</v>
      </c>
      <c r="BD131" s="9">
        <f>FE131*($Q131*$S131)/(1+Voorblad!$K$44)^(BD$56-Voorblad!$F$41)</f>
        <v>0</v>
      </c>
      <c r="BE131" s="9">
        <f>FF131*($Q131*$S131)/(1+Voorblad!$K$44)^(BE$56-Voorblad!$F$41)</f>
        <v>0</v>
      </c>
      <c r="BF131" s="9">
        <f>FG131*($Q131*$S131)/(1+Voorblad!$K$44)^(BF$56-Voorblad!$F$41)</f>
        <v>0</v>
      </c>
      <c r="BG131" s="9">
        <f>FH131*($Q131*$S131)/(1+Voorblad!$K$44)^(BG$56-Voorblad!$F$41)</f>
        <v>0</v>
      </c>
      <c r="BH131" s="9">
        <f>FI131*($Q131*$S131)/(1+Voorblad!$K$44)^(BH$56-Voorblad!$F$41)</f>
        <v>0</v>
      </c>
      <c r="BI131" s="9">
        <f>FJ131*($Q131*$S131)/(1+Voorblad!$K$44)^(BI$56-Voorblad!$F$41)</f>
        <v>0</v>
      </c>
      <c r="BJ131" s="9">
        <f>FK131*($Q131*$S131)/(1+Voorblad!$K$44)^(BJ$56-Voorblad!$F$41)</f>
        <v>0</v>
      </c>
      <c r="BK131" s="9">
        <f>FL131*($Q131*$S131)/(1+Voorblad!$K$44)^(BK$56-Voorblad!$F$41)</f>
        <v>0</v>
      </c>
      <c r="BL131" s="9">
        <f>FM131*($Q131*$S131)/(1+Voorblad!$K$44)^(BL$56-Voorblad!$F$41)</f>
        <v>0</v>
      </c>
      <c r="BM131" s="9">
        <f>FN131*($Q131*$S131)/(1+Voorblad!$K$44)^(BM$56-Voorblad!$F$41)</f>
        <v>0</v>
      </c>
      <c r="BN131" s="9">
        <f>FO131*($Q131*$S131)/(1+Voorblad!$K$44)^(BN$56-Voorblad!$F$41)</f>
        <v>0</v>
      </c>
      <c r="BO131" s="9">
        <f>FP131*($Q131*$S131)/(1+Voorblad!$K$44)^(BO$56-Voorblad!$F$41)</f>
        <v>0</v>
      </c>
      <c r="BP131" s="9">
        <f>FQ131*($Q131*$S131)/(1+Voorblad!$K$44)^(BP$56-Voorblad!$F$41)</f>
        <v>0</v>
      </c>
      <c r="BQ131" s="9">
        <f>FR131*($Q131*$S131)/(1+Voorblad!$K$44)^(BQ$56-Voorblad!$F$41)</f>
        <v>0</v>
      </c>
      <c r="BR131" s="9">
        <f>FS131*($Q131*$S131)/(1+Voorblad!$K$44)^(BR$56-Voorblad!$F$41)</f>
        <v>0</v>
      </c>
      <c r="BS131" s="9">
        <f>FT131*($Q131*$S131)/(1+Voorblad!$K$44)^(BS$56-Voorblad!$F$41)</f>
        <v>0</v>
      </c>
      <c r="BT131" s="9">
        <f>FU131*($Q131*$S131)/(1+Voorblad!$K$44)^(BT$56-Voorblad!$F$41)</f>
        <v>0</v>
      </c>
      <c r="BU131" s="9">
        <f>FV131*($Q131*$S131)/(1+Voorblad!$K$44)^(BU$56-Voorblad!$F$41)</f>
        <v>0</v>
      </c>
      <c r="BV131" s="9">
        <f>FW131*($Q131*$S131)/(1+Voorblad!$K$44)^(BV$56-Voorblad!$F$41)</f>
        <v>0</v>
      </c>
      <c r="BW131" s="9">
        <f>FX131*($Q131*$S131)/(1+Voorblad!$K$44)^(BW$56-Voorblad!$F$41)</f>
        <v>0</v>
      </c>
      <c r="BX131" s="9">
        <f>FY131*($Q131*$S131)/(1+Voorblad!$K$44)^(BX$56-Voorblad!$F$41)</f>
        <v>0</v>
      </c>
      <c r="BY131" s="9">
        <f>FZ131*($Q131*$S131)/(1+Voorblad!$K$44)^(BY$56-Voorblad!$F$41)</f>
        <v>0</v>
      </c>
      <c r="BZ131" s="9">
        <f>GA131*($Q131*$S131)/(1+Voorblad!$K$44)^(BZ$56-Voorblad!$F$41)</f>
        <v>0</v>
      </c>
      <c r="CA131" s="9">
        <f>GB131*($Q131*$S131)/(1+Voorblad!$K$44)^(CA$56-Voorblad!$F$41)</f>
        <v>0</v>
      </c>
      <c r="CB131" s="9">
        <f>GC131*($Q131*$S131)/(1+Voorblad!$K$44)^(CB$56-Voorblad!$F$41)</f>
        <v>0</v>
      </c>
      <c r="CC131" s="9">
        <f>GD131*($Q131*$S131)/(1+Voorblad!$K$44)^(CC$56-Voorblad!$F$41)</f>
        <v>0</v>
      </c>
      <c r="CD131" s="9">
        <f>GE131*($Q131*$S131)/(1+Voorblad!$K$44)^(CD$56-Voorblad!$F$41)</f>
        <v>0</v>
      </c>
      <c r="CE131" s="9">
        <f>GF131*($Q131*$S131)/(1+Voorblad!$K$44)^(CE$56-Voorblad!$F$41)</f>
        <v>0</v>
      </c>
      <c r="CF131" s="9">
        <f>GG131*($Q131*$S131)/(1+Voorblad!$K$44)^(CF$56-Voorblad!$F$41)</f>
        <v>0</v>
      </c>
      <c r="CG131" s="9">
        <f>GH131*($Q131*$S131)/(1+Voorblad!$K$44)^(CG$56-Voorblad!$F$41)</f>
        <v>0</v>
      </c>
      <c r="CH131" s="9">
        <f>GI131*($Q131*$S131)/(1+Voorblad!$K$44)^(CH$56-Voorblad!$F$41)</f>
        <v>0</v>
      </c>
      <c r="CI131" s="9">
        <f>GJ131*($Q131*$S131)/(1+Voorblad!$K$44)^(CI$56-Voorblad!$F$41)</f>
        <v>0</v>
      </c>
      <c r="CJ131" s="9">
        <f>GK131*($Q131*$S131)/(1+Voorblad!$K$44)^(CJ$56-Voorblad!$F$41)</f>
        <v>0</v>
      </c>
      <c r="CK131" s="9">
        <f>GL131*($Q131*$S131)/(1+Voorblad!$K$44)^(CK$56-Voorblad!$F$41)</f>
        <v>0</v>
      </c>
      <c r="CL131" s="9">
        <f>GM131*($Q131*$S131)/(1+Voorblad!$K$44)^(CL$56-Voorblad!$F$41)</f>
        <v>0</v>
      </c>
      <c r="CM131" s="9">
        <f>GN131*($Q131*$S131)/(1+Voorblad!$K$44)^(CM$56-Voorblad!$F$41)</f>
        <v>0</v>
      </c>
      <c r="CN131" s="9">
        <f>GO131*($Q131*$S131)/(1+Voorblad!$K$44)^(CN$56-Voorblad!$F$41)</f>
        <v>0</v>
      </c>
      <c r="CO131" s="9">
        <f>GP131*($Q131*$S131)/(1+Voorblad!$K$44)^(CO$56-Voorblad!$F$41)</f>
        <v>0</v>
      </c>
      <c r="CP131" s="9">
        <f>GQ131*($Q131*$S131)/(1+Voorblad!$K$44)^(CP$56-Voorblad!$F$41)</f>
        <v>0</v>
      </c>
      <c r="CQ131" s="9">
        <f>GR131*($Q131*$S131)/(1+Voorblad!$K$44)^(CQ$56-Voorblad!$F$41)</f>
        <v>0</v>
      </c>
      <c r="CR131" s="9">
        <f>GS131*($Q131*$S131)/(1+Voorblad!$K$44)^(CR$56-Voorblad!$F$41)</f>
        <v>0</v>
      </c>
      <c r="CS131" s="9">
        <f>GT131*($Q131*$S131)/(1+Voorblad!$K$44)^(CS$56-Voorblad!$F$41)</f>
        <v>0</v>
      </c>
      <c r="CT131" s="9">
        <f>GU131*($Q131*$S131)/(1+Voorblad!$K$44)^(CT$56-Voorblad!$F$41)</f>
        <v>0</v>
      </c>
      <c r="CU131" s="9">
        <f>GV131*($Q131*$S131)/(1+Voorblad!$K$44)^(CU$56-Voorblad!$F$41)</f>
        <v>0</v>
      </c>
      <c r="CV131" s="9">
        <f>GW131*($Q131*$S131)/(1+Voorblad!$K$44)^(CV$56-Voorblad!$F$41)</f>
        <v>0</v>
      </c>
      <c r="CW131" s="9">
        <f>GX131*($Q131*$S131)/(1+Voorblad!$K$44)^(CW$56-Voorblad!$F$41)</f>
        <v>0</v>
      </c>
      <c r="CX131" s="9">
        <f>GY131*($Q131*$S131)/(1+Voorblad!$K$44)^(CX$56-Voorblad!$F$41)</f>
        <v>0</v>
      </c>
      <c r="CY131" s="9">
        <f>GZ131*($Q131*$S131)/(1+Voorblad!$K$44)^(CY$56-Voorblad!$F$41)</f>
        <v>0</v>
      </c>
      <c r="CZ131" s="9">
        <f>HA131*($Q131*$S131)/(1+Voorblad!$K$44)^(CZ$56-Voorblad!$F$41)</f>
        <v>0</v>
      </c>
      <c r="DA131" s="9">
        <f>HB131*($Q131*$S131)/(1+Voorblad!$K$44)^(DA$56-Voorblad!$F$41)</f>
        <v>0</v>
      </c>
      <c r="DB131" s="9">
        <f>HC131*($Q131*$S131)/(1+Voorblad!$K$44)^(DB$56-Voorblad!$F$41)</f>
        <v>0</v>
      </c>
      <c r="DC131" s="9">
        <f>HD131*($Q131*$S131)/(1+Voorblad!$K$44)^(DC$56-Voorblad!$F$41)</f>
        <v>0</v>
      </c>
      <c r="DD131" s="9">
        <f>HE131*($Q131*$S131)/(1+Voorblad!$K$44)^(DD$56-Voorblad!$F$41)</f>
        <v>0</v>
      </c>
      <c r="DE131" s="9">
        <f>HF131*($Q131*$S131)/(1+Voorblad!$K$44)^(DE$56-Voorblad!$F$41)</f>
        <v>0</v>
      </c>
      <c r="DF131" s="9">
        <f>HG131*($Q131*$S131)/(1+Voorblad!$K$44)^(DF$56-Voorblad!$F$41)</f>
        <v>0</v>
      </c>
      <c r="DG131" s="9">
        <f>HH131*($Q131*$S131)/(1+Voorblad!$K$44)^(DG$56-Voorblad!$F$41)</f>
        <v>0</v>
      </c>
      <c r="DH131" s="9">
        <f>HI131*($Q131*$S131)/(1+Voorblad!$K$44)^(DH$56-Voorblad!$F$41)</f>
        <v>0</v>
      </c>
      <c r="DI131" s="9">
        <f>HJ131*($Q131*$S131)/(1+Voorblad!$K$44)^(DI$56-Voorblad!$F$41)</f>
        <v>0</v>
      </c>
      <c r="DJ131" s="9">
        <f>HK131*($Q131*$S131)/(1+Voorblad!$K$44)^(DJ$56-Voorblad!$F$41)</f>
        <v>0</v>
      </c>
      <c r="DK131" s="9">
        <f>HL131*($Q131*$S131)/(1+Voorblad!$K$44)^(DK$56-Voorblad!$F$41)</f>
        <v>0</v>
      </c>
      <c r="DL131" s="9">
        <f>HM131*($Q131*$S131)/(1+Voorblad!$K$44)^(DL$56-Voorblad!$F$41)</f>
        <v>0</v>
      </c>
      <c r="DM131" s="9">
        <f>HN131*($Q131*$S131)/(1+Voorblad!$K$44)^(DM$56-Voorblad!$F$41)</f>
        <v>0</v>
      </c>
      <c r="DN131" s="9">
        <f>HO131*($Q131*$S131)/(1+Voorblad!$K$44)^(DN$56-Voorblad!$F$41)</f>
        <v>0</v>
      </c>
      <c r="DO131" s="9">
        <f>HP131*($Q131*$S131)/(1+Voorblad!$K$44)^(DO$56-Voorblad!$F$41)</f>
        <v>0</v>
      </c>
      <c r="DP131" s="9">
        <f>HQ131*($Q131*$S131)/(1+Voorblad!$K$44)^(DP$56-Voorblad!$F$41)</f>
        <v>0</v>
      </c>
      <c r="DQ131" s="9">
        <f>HR131*($Q131*$S131)/(1+Voorblad!$K$44)^(DQ$56-Voorblad!$F$41)</f>
        <v>0</v>
      </c>
      <c r="DR131" s="9">
        <f>HS131*($Q131*$S131)/(1+Voorblad!$K$44)^(DR$56-Voorblad!$F$41)</f>
        <v>0</v>
      </c>
      <c r="DS131" s="9">
        <f>HT131*($Q131*$S131)/(1+Voorblad!$K$44)^(DS$56-Voorblad!$F$41)</f>
        <v>0</v>
      </c>
      <c r="DT131" s="9">
        <f>HU131*($Q131*$S131)/(1+Voorblad!$K$44)^(DT$56-Voorblad!$F$41)</f>
        <v>0</v>
      </c>
      <c r="DU131" s="9">
        <f>HV131*($Q131*$S131)/(1+Voorblad!$K$44)^(DU$56-Voorblad!$F$41)</f>
        <v>0</v>
      </c>
      <c r="DV131" s="9">
        <f>HW131*($Q131*$S131)/(1+Voorblad!$K$44)^(DV$56-Voorblad!$F$41)</f>
        <v>0</v>
      </c>
      <c r="DW131" s="9">
        <f>HX131*($Q131*$S131)/(1+Voorblad!$K$44)^(DW$56-Voorblad!$F$41)</f>
        <v>0</v>
      </c>
      <c r="DX131" s="9">
        <f>HY131*($Q131*$S131)/(1+Voorblad!$K$44)^(DX$56-Voorblad!$F$41)</f>
        <v>0</v>
      </c>
      <c r="DY131" s="9">
        <f>HZ131*($Q131*$S131)/(1+Voorblad!$K$44)^(DY$56-Voorblad!$F$41)</f>
        <v>0</v>
      </c>
      <c r="DZ131" s="9">
        <f>IA131*($Q131*$S131)/(1+Voorblad!$K$44)^(DZ$56-Voorblad!$F$41)</f>
        <v>0</v>
      </c>
      <c r="EA131" s="9">
        <f>IB131*($Q131*$S131)/(1+Voorblad!$K$44)^(EA$56-Voorblad!$F$41)</f>
        <v>0</v>
      </c>
      <c r="EB131" s="9">
        <f>IC131*($Q131*$S131)/(1+Voorblad!$K$44)^(EB$56-Voorblad!$F$41)</f>
        <v>0</v>
      </c>
      <c r="EE131" s="8">
        <v>0</v>
      </c>
      <c r="EF131" s="8">
        <f>IF(EF$56-Voorblad!$F$41&gt;Voorblad!$K$41,0,IF($U131=0,0,IF($U131&lt;1,1/$U131,IF((EF$56-Voorblad!$F$41)/$U131-SUM($EE131:EE131)=1,1,0))))</f>
        <v>0</v>
      </c>
      <c r="EG131" s="8">
        <f>IF(EG$56-Voorblad!$F$41&gt;Voorblad!$K$41,0,IF($U131=0,0,IF($U131&lt;1,1/$U131,IF((EG$56-Voorblad!$F$41)/$U131-SUM($EE131:EF131)=1,1,0))))</f>
        <v>0</v>
      </c>
      <c r="EH131" s="8">
        <f>IF(EH$56-Voorblad!$F$41&gt;Voorblad!$K$41,0,IF($U131=0,0,IF($U131&lt;1,1/$U131,IF((EH$56-Voorblad!$F$41)/$U131-SUM($EE131:EG131)=1,1,0))))</f>
        <v>0</v>
      </c>
      <c r="EI131" s="8">
        <f>IF(EI$56-Voorblad!$F$41&gt;Voorblad!$K$41,0,IF($U131=0,0,IF($U131&lt;1,1/$U131,IF((EI$56-Voorblad!$F$41)/$U131-SUM($EE131:EH131)=1,1,0))))</f>
        <v>0</v>
      </c>
      <c r="EJ131" s="8">
        <f>IF(EJ$56-Voorblad!$F$41&gt;Voorblad!$K$41,0,IF($U131=0,0,IF($U131&lt;1,1/$U131,IF((EJ$56-Voorblad!$F$41)/$U131-SUM($EE131:EI131)=1,1,0))))</f>
        <v>0</v>
      </c>
      <c r="EK131" s="8">
        <f>IF(EK$56-Voorblad!$F$41&gt;Voorblad!$K$41,0,IF($U131=0,0,IF($U131&lt;1,1/$U131,IF((EK$56-Voorblad!$F$41)/$U131-SUM($EE131:EJ131)=1,1,0))))</f>
        <v>0</v>
      </c>
      <c r="EL131" s="8">
        <f>IF(EL$56-Voorblad!$F$41&gt;Voorblad!$K$41,0,IF($U131=0,0,IF($U131&lt;1,1/$U131,IF((EL$56-Voorblad!$F$41)/$U131-SUM($EE131:EK131)=1,1,0))))</f>
        <v>0</v>
      </c>
      <c r="EM131" s="8">
        <f>IF(EM$56-Voorblad!$F$41&gt;Voorblad!$K$41,0,IF($U131=0,0,IF($U131&lt;1,1/$U131,IF((EM$56-Voorblad!$F$41)/$U131-SUM($EE131:EL131)=1,1,0))))</f>
        <v>0</v>
      </c>
      <c r="EN131" s="8">
        <f>IF(EN$56-Voorblad!$F$41&gt;Voorblad!$K$41,0,IF($U131=0,0,IF($U131&lt;1,1/$U131,IF((EN$56-Voorblad!$F$41)/$U131-SUM($EE131:EM131)=1,1,0))))</f>
        <v>0</v>
      </c>
      <c r="EO131" s="8">
        <f>IF(EO$56-Voorblad!$F$41&gt;Voorblad!$K$41,0,IF($U131=0,0,IF($U131&lt;1,1/$U131,IF((EO$56-Voorblad!$F$41)/$U131-SUM($EE131:EN131)=1,1,0))))</f>
        <v>0</v>
      </c>
      <c r="EP131" s="8">
        <f>IF(EP$56-Voorblad!$F$41&gt;Voorblad!$K$41,0,IF($U131=0,0,IF($U131&lt;1,1/$U131,IF((EP$56-Voorblad!$F$41)/$U131-SUM($EE131:EO131)=1,1,0))))</f>
        <v>0</v>
      </c>
      <c r="EQ131" s="8">
        <f>IF(EQ$56-Voorblad!$F$41&gt;Voorblad!$K$41,0,IF($U131=0,0,IF($U131&lt;1,1/$U131,IF((EQ$56-Voorblad!$F$41)/$U131-SUM($EE131:EP131)=1,1,0))))</f>
        <v>0</v>
      </c>
      <c r="ER131" s="8">
        <f>IF(ER$56-Voorblad!$F$41&gt;Voorblad!$K$41,0,IF($U131=0,0,IF($U131&lt;1,1/$U131,IF((ER$56-Voorblad!$F$41)/$U131-SUM($EE131:EQ131)=1,1,0))))</f>
        <v>0</v>
      </c>
      <c r="ES131" s="8">
        <f>IF(ES$56-Voorblad!$F$41&gt;Voorblad!$K$41,0,IF($U131=0,0,IF($U131&lt;1,1/$U131,IF((ES$56-Voorblad!$F$41)/$U131-SUM($EE131:ER131)=1,1,0))))</f>
        <v>0</v>
      </c>
      <c r="ET131" s="8">
        <f>IF(ET$56-Voorblad!$F$41&gt;Voorblad!$K$41,0,IF($U131=0,0,IF($U131&lt;1,1/$U131,IF((ET$56-Voorblad!$F$41)/$U131-SUM($EE131:ES131)=1,1,0))))</f>
        <v>0</v>
      </c>
      <c r="EU131" s="8">
        <f>IF(EU$56-Voorblad!$F$41&gt;Voorblad!$K$41,0,IF($U131=0,0,IF($U131&lt;1,1/$U131,IF((EU$56-Voorblad!$F$41)/$U131-SUM($EE131:ET131)=1,1,0))))</f>
        <v>0</v>
      </c>
      <c r="EV131" s="8">
        <f>IF(EV$56-Voorblad!$F$41&gt;Voorblad!$K$41,0,IF($U131=0,0,IF($U131&lt;1,1/$U131,IF((EV$56-Voorblad!$F$41)/$U131-SUM($EE131:EU131)=1,1,0))))</f>
        <v>0</v>
      </c>
      <c r="EW131" s="8">
        <f>IF(EW$56-Voorblad!$F$41&gt;Voorblad!$K$41,0,IF($U131=0,0,IF($U131&lt;1,1/$U131,IF((EW$56-Voorblad!$F$41)/$U131-SUM($EE131:EV131)=1,1,0))))</f>
        <v>0</v>
      </c>
      <c r="EX131" s="8">
        <f>IF(EX$56-Voorblad!$F$41&gt;Voorblad!$K$41,0,IF($U131=0,0,IF($U131&lt;1,1/$U131,IF((EX$56-Voorblad!$F$41)/$U131-SUM($EE131:EW131)=1,1,0))))</f>
        <v>0</v>
      </c>
      <c r="EY131" s="8">
        <f>IF(EY$56-Voorblad!$F$41&gt;Voorblad!$K$41,0,IF($U131=0,0,IF($U131&lt;1,1/$U131,IF((EY$56-Voorblad!$F$41)/$U131-SUM($EE131:EX131)=1,1,0))))</f>
        <v>0</v>
      </c>
      <c r="EZ131" s="8">
        <f>IF(EZ$56-Voorblad!$F$41&gt;Voorblad!$K$41,0,IF($U131=0,0,IF($U131&lt;1,1/$U131,IF((EZ$56-Voorblad!$F$41)/$U131-SUM($EE131:EY131)=1,1,0))))</f>
        <v>0</v>
      </c>
      <c r="FA131" s="8">
        <f>IF(FA$56-Voorblad!$F$41&gt;Voorblad!$K$41,0,IF($U131=0,0,IF($U131&lt;1,1/$U131,IF((FA$56-Voorblad!$F$41)/$U131-SUM($EE131:EZ131)=1,1,0))))</f>
        <v>0</v>
      </c>
      <c r="FB131" s="8">
        <f>IF(FB$56-Voorblad!$F$41&gt;Voorblad!$K$41,0,IF($U131=0,0,IF($U131&lt;1,1/$U131,IF((FB$56-Voorblad!$F$41)/$U131-SUM($EE131:FA131)=1,1,0))))</f>
        <v>0</v>
      </c>
      <c r="FC131" s="8">
        <f>IF(FC$56-Voorblad!$F$41&gt;Voorblad!$K$41,0,IF($U131=0,0,IF($U131&lt;1,1/$U131,IF((FC$56-Voorblad!$F$41)/$U131-SUM($EE131:FB131)=1,1,0))))</f>
        <v>0</v>
      </c>
      <c r="FD131" s="8">
        <f>IF(FD$56-Voorblad!$F$41&gt;Voorblad!$K$41,0,IF($U131=0,0,IF($U131&lt;1,1/$U131,IF((FD$56-Voorblad!$F$41)/$U131-SUM($EE131:FC131)=1,1,0))))</f>
        <v>0</v>
      </c>
      <c r="FE131" s="8">
        <f>IF(FE$56-Voorblad!$F$41&gt;Voorblad!$K$41,0,IF($U131=0,0,IF($U131&lt;1,1/$U131,IF((FE$56-Voorblad!$F$41)/$U131-SUM($EE131:FD131)=1,1,0))))</f>
        <v>0</v>
      </c>
      <c r="FF131" s="8">
        <f>IF(FF$56-Voorblad!$F$41&gt;Voorblad!$K$41,0,IF($U131=0,0,IF($U131&lt;1,1/$U131,IF((FF$56-Voorblad!$F$41)/$U131-SUM($EE131:FE131)=1,1,0))))</f>
        <v>0</v>
      </c>
      <c r="FG131" s="8">
        <f>IF(FG$56-Voorblad!$F$41&gt;Voorblad!$K$41,0,IF($U131=0,0,IF($U131&lt;1,1/$U131,IF((FG$56-Voorblad!$F$41)/$U131-SUM($EE131:FF131)=1,1,0))))</f>
        <v>0</v>
      </c>
      <c r="FH131" s="8">
        <f>IF(FH$56-Voorblad!$F$41&gt;Voorblad!$K$41,0,IF($U131=0,0,IF($U131&lt;1,1/$U131,IF((FH$56-Voorblad!$F$41)/$U131-SUM($EE131:FG131)=1,1,0))))</f>
        <v>0</v>
      </c>
      <c r="FI131" s="8">
        <f>IF(FI$56-Voorblad!$F$41&gt;Voorblad!$K$41,0,IF($U131=0,0,IF($U131&lt;1,1/$U131,IF((FI$56-Voorblad!$F$41)/$U131-SUM($EE131:FH131)=1,1,0))))</f>
        <v>0</v>
      </c>
      <c r="FJ131" s="8">
        <f>IF(FJ$56-Voorblad!$F$41&gt;Voorblad!$K$41,0,IF($U131=0,0,IF($U131&lt;1,1/$U131,IF((FJ$56-Voorblad!$F$41)/$U131-SUM($EE131:FI131)=1,1,0))))</f>
        <v>1</v>
      </c>
      <c r="FK131" s="8">
        <f>IF(FK$56-Voorblad!$F$41&gt;Voorblad!$K$41,0,IF($U131=0,0,IF($U131&lt;1,1/$U131,IF((FK$56-Voorblad!$F$41)/$U131-SUM($EE131:FJ131)=1,1,0))))</f>
        <v>0</v>
      </c>
      <c r="FL131" s="8">
        <f>IF(FL$56-Voorblad!$F$41&gt;Voorblad!$K$41,0,IF($U131=0,0,IF($U131&lt;1,1/$U131,IF((FL$56-Voorblad!$F$41)/$U131-SUM($EE131:FK131)=1,1,0))))</f>
        <v>0</v>
      </c>
      <c r="FM131" s="8">
        <f>IF(FM$56-Voorblad!$F$41&gt;Voorblad!$K$41,0,IF($U131=0,0,IF($U131&lt;1,1/$U131,IF((FM$56-Voorblad!$F$41)/$U131-SUM($EE131:FL131)=1,1,0))))</f>
        <v>0</v>
      </c>
      <c r="FN131" s="8">
        <f>IF(FN$56-Voorblad!$F$41&gt;Voorblad!$K$41,0,IF($U131=0,0,IF($U131&lt;1,1/$U131,IF((FN$56-Voorblad!$F$41)/$U131-SUM($EE131:FM131)=1,1,0))))</f>
        <v>0</v>
      </c>
      <c r="FO131" s="8">
        <f>IF(FO$56-Voorblad!$F$41&gt;Voorblad!$K$41,0,IF($U131=0,0,IF($U131&lt;1,1/$U131,IF((FO$56-Voorblad!$F$41)/$U131-SUM($EE131:FN131)=1,1,0))))</f>
        <v>0</v>
      </c>
      <c r="FP131" s="8">
        <f>IF(FP$56-Voorblad!$F$41&gt;Voorblad!$K$41,0,IF($U131=0,0,IF($U131&lt;1,1/$U131,IF((FP$56-Voorblad!$F$41)/$U131-SUM($EE131:FO131)=1,1,0))))</f>
        <v>0</v>
      </c>
      <c r="FQ131" s="8">
        <f>IF(FQ$56-Voorblad!$F$41&gt;Voorblad!$K$41,0,IF($U131=0,0,IF($U131&lt;1,1/$U131,IF((FQ$56-Voorblad!$F$41)/$U131-SUM($EE131:FP131)=1,1,0))))</f>
        <v>0</v>
      </c>
      <c r="FR131" s="8">
        <f>IF(FR$56-Voorblad!$F$41&gt;Voorblad!$K$41,0,IF($U131=0,0,IF($U131&lt;1,1/$U131,IF((FR$56-Voorblad!$F$41)/$U131-SUM($EE131:FQ131)=1,1,0))))</f>
        <v>0</v>
      </c>
      <c r="FS131" s="8">
        <f>IF(FS$56-Voorblad!$F$41&gt;Voorblad!$K$41,0,IF($U131=0,0,IF($U131&lt;1,1/$U131,IF((FS$56-Voorblad!$F$41)/$U131-SUM($EE131:FR131)=1,1,0))))</f>
        <v>0</v>
      </c>
      <c r="FT131" s="8">
        <f>IF(FT$56-Voorblad!$F$41&gt;Voorblad!$K$41,0,IF($U131=0,0,IF($U131&lt;1,1/$U131,IF((FT$56-Voorblad!$F$41)/$U131-SUM($EE131:FS131)=1,1,0))))</f>
        <v>0</v>
      </c>
      <c r="FU131" s="8">
        <f>IF(FU$56-Voorblad!$F$41&gt;Voorblad!$K$41,0,IF($U131=0,0,IF($U131&lt;1,1/$U131,IF((FU$56-Voorblad!$F$41)/$U131-SUM($EE131:FT131)=1,1,0))))</f>
        <v>0</v>
      </c>
      <c r="FV131" s="8">
        <f>IF(FV$56-Voorblad!$F$41&gt;Voorblad!$K$41,0,IF($U131=0,0,IF($U131&lt;1,1/$U131,IF((FV$56-Voorblad!$F$41)/$U131-SUM($EE131:FU131)=1,1,0))))</f>
        <v>0</v>
      </c>
      <c r="FW131" s="8">
        <f>IF(FW$56-Voorblad!$F$41&gt;Voorblad!$K$41,0,IF($U131=0,0,IF($U131&lt;1,1/$U131,IF((FW$56-Voorblad!$F$41)/$U131-SUM($EE131:FV131)=1,1,0))))</f>
        <v>0</v>
      </c>
      <c r="FX131" s="8">
        <f>IF(FX$56-Voorblad!$F$41&gt;Voorblad!$K$41,0,IF($U131=0,0,IF($U131&lt;1,1/$U131,IF((FX$56-Voorblad!$F$41)/$U131-SUM($EE131:FW131)=1,1,0))))</f>
        <v>0</v>
      </c>
      <c r="FY131" s="8">
        <f>IF(FY$56-Voorblad!$F$41&gt;Voorblad!$K$41,0,IF($U131=0,0,IF($U131&lt;1,1/$U131,IF((FY$56-Voorblad!$F$41)/$U131-SUM($EE131:FX131)=1,1,0))))</f>
        <v>0</v>
      </c>
      <c r="FZ131" s="8">
        <f>IF(FZ$56-Voorblad!$F$41&gt;Voorblad!$K$41,0,IF($U131=0,0,IF($U131&lt;1,1/$U131,IF((FZ$56-Voorblad!$F$41)/$U131-SUM($EE131:FY131)=1,1,0))))</f>
        <v>0</v>
      </c>
      <c r="GA131" s="8">
        <f>IF(GA$56-Voorblad!$F$41&gt;Voorblad!$K$41,0,IF($U131=0,0,IF($U131&lt;1,1/$U131,IF((GA$56-Voorblad!$F$41)/$U131-SUM($EE131:FZ131)=1,1,0))))</f>
        <v>0</v>
      </c>
      <c r="GB131" s="8">
        <f>IF(GB$56-Voorblad!$F$41&gt;Voorblad!$K$41,0,IF($U131=0,0,IF($U131&lt;1,1/$U131,IF((GB$56-Voorblad!$F$41)/$U131-SUM($EE131:GA131)=1,1,0))))</f>
        <v>0</v>
      </c>
      <c r="GC131" s="8">
        <f>IF(GC$56-Voorblad!$F$41&gt;Voorblad!$K$41,0,IF($U131=0,0,IF($U131&lt;1,1/$U131,IF((GC$56-Voorblad!$F$41)/$U131-SUM($EE131:GB131)=1,1,0))))</f>
        <v>0</v>
      </c>
      <c r="GD131" s="8">
        <f>IF(GD$56-Voorblad!$F$41&gt;Voorblad!$K$41,0,IF($U131=0,0,IF($U131&lt;1,1/$U131,IF((GD$56-Voorblad!$F$41)/$U131-SUM($EE131:GC131)=1,1,0))))</f>
        <v>0</v>
      </c>
      <c r="GE131" s="8">
        <f>IF(GE$56-Voorblad!$F$41&gt;Voorblad!$K$41,0,IF($U131=0,0,IF($U131&lt;1,1/$U131,IF((GE$56-Voorblad!$F$41)/$U131-SUM($EE131:GD131)=1,1,0))))</f>
        <v>0</v>
      </c>
      <c r="GF131" s="8">
        <f>IF(GF$56-Voorblad!$F$41&gt;Voorblad!$K$41,0,IF($U131=0,0,IF($U131&lt;1,1/$U131,IF((GF$56-Voorblad!$F$41)/$U131-SUM($EE131:GE131)=1,1,0))))</f>
        <v>0</v>
      </c>
      <c r="GG131" s="8">
        <f>IF(GG$56-Voorblad!$F$41&gt;Voorblad!$K$41,0,IF($U131=0,0,IF($U131&lt;1,1/$U131,IF((GG$56-Voorblad!$F$41)/$U131-SUM($EE131:GF131)=1,1,0))))</f>
        <v>0</v>
      </c>
      <c r="GH131" s="8">
        <f>IF(GH$56-Voorblad!$F$41&gt;Voorblad!$K$41,0,IF($U131=0,0,IF($U131&lt;1,1/$U131,IF((GH$56-Voorblad!$F$41)/$U131-SUM($EE131:GG131)=1,1,0))))</f>
        <v>0</v>
      </c>
      <c r="GI131" s="8">
        <f>IF(GI$56-Voorblad!$F$41&gt;Voorblad!$K$41,0,IF($U131=0,0,IF($U131&lt;1,1/$U131,IF((GI$56-Voorblad!$F$41)/$U131-SUM($EE131:GH131)=1,1,0))))</f>
        <v>0</v>
      </c>
      <c r="GJ131" s="8">
        <f>IF(GJ$56-Voorblad!$F$41&gt;Voorblad!$K$41,0,IF($U131=0,0,IF($U131&lt;1,1/$U131,IF((GJ$56-Voorblad!$F$41)/$U131-SUM($EE131:GI131)=1,1,0))))</f>
        <v>0</v>
      </c>
      <c r="GK131" s="8">
        <f>IF(GK$56-Voorblad!$F$41&gt;Voorblad!$K$41,0,IF($U131=0,0,IF($U131&lt;1,1/$U131,IF((GK$56-Voorblad!$F$41)/$U131-SUM($EE131:GJ131)=1,1,0))))</f>
        <v>0</v>
      </c>
      <c r="GL131" s="8">
        <f>IF(GL$56-Voorblad!$F$41&gt;Voorblad!$K$41,0,IF($U131=0,0,IF($U131&lt;1,1/$U131,IF((GL$56-Voorblad!$F$41)/$U131-SUM($EE131:GK131)=1,1,0))))</f>
        <v>0</v>
      </c>
      <c r="GM131" s="8">
        <f>IF(GM$56-Voorblad!$F$41&gt;Voorblad!$K$41,0,IF($U131=0,0,IF($U131&lt;1,1/$U131,IF((GM$56-Voorblad!$F$41)/$U131-SUM($EE131:GL131)=1,1,0))))</f>
        <v>0</v>
      </c>
      <c r="GN131" s="8">
        <f>IF(GN$56-Voorblad!$F$41&gt;Voorblad!$K$41,0,IF($U131=0,0,IF($U131&lt;1,1/$U131,IF((GN$56-Voorblad!$F$41)/$U131-SUM($EE131:GM131)=1,1,0))))</f>
        <v>1</v>
      </c>
      <c r="GO131" s="8">
        <f>IF(GO$56-Voorblad!$F$41&gt;Voorblad!$K$41,0,IF($U131=0,0,IF($U131&lt;1,1/$U131,IF((GO$56-Voorblad!$F$41)/$U131-SUM($EE131:GN131)=1,1,0))))</f>
        <v>0</v>
      </c>
      <c r="GP131" s="8">
        <f>IF(GP$56-Voorblad!$F$41&gt;Voorblad!$K$41,0,IF($U131=0,0,IF($U131&lt;1,1/$U131,IF((GP$56-Voorblad!$F$41)/$U131-SUM($EE131:GO131)=1,1,0))))</f>
        <v>0</v>
      </c>
      <c r="GQ131" s="8">
        <f>IF(GQ$56-Voorblad!$F$41&gt;Voorblad!$K$41,0,IF($U131=0,0,IF($U131&lt;1,1/$U131,IF((GQ$56-Voorblad!$F$41)/$U131-SUM($EE131:GP131)=1,1,0))))</f>
        <v>0</v>
      </c>
      <c r="GR131" s="8">
        <f>IF(GR$56-Voorblad!$F$41&gt;Voorblad!$K$41,0,IF($U131=0,0,IF($U131&lt;1,1/$U131,IF((GR$56-Voorblad!$F$41)/$U131-SUM($EE131:GQ131)=1,1,0))))</f>
        <v>0</v>
      </c>
      <c r="GS131" s="8">
        <f>IF(GS$56-Voorblad!$F$41&gt;Voorblad!$K$41,0,IF($U131=0,0,IF($U131&lt;1,1/$U131,IF((GS$56-Voorblad!$F$41)/$U131-SUM($EE131:GR131)=1,1,0))))</f>
        <v>0</v>
      </c>
      <c r="GT131" s="8">
        <f>IF(GT$56-Voorblad!$F$41&gt;Voorblad!$K$41,0,IF($U131=0,0,IF($U131&lt;1,1/$U131,IF((GT$56-Voorblad!$F$41)/$U131-SUM($EE131:GS131)=1,1,0))))</f>
        <v>0</v>
      </c>
      <c r="GU131" s="8">
        <f>IF(GU$56-Voorblad!$F$41&gt;Voorblad!$K$41,0,IF($U131=0,0,IF($U131&lt;1,1/$U131,IF((GU$56-Voorblad!$F$41)/$U131-SUM($EE131:GT131)=1,1,0))))</f>
        <v>0</v>
      </c>
      <c r="GV131" s="8">
        <f>IF(GV$56-Voorblad!$F$41&gt;Voorblad!$K$41,0,IF($U131=0,0,IF($U131&lt;1,1/$U131,IF((GV$56-Voorblad!$F$41)/$U131-SUM($EE131:GU131)=1,1,0))))</f>
        <v>0</v>
      </c>
      <c r="GW131" s="8">
        <f>IF(GW$56-Voorblad!$F$41&gt;Voorblad!$K$41,0,IF($U131=0,0,IF($U131&lt;1,1/$U131,IF((GW$56-Voorblad!$F$41)/$U131-SUM($EE131:GV131)=1,1,0))))</f>
        <v>0</v>
      </c>
      <c r="GX131" s="8">
        <f>IF(GX$56-Voorblad!$F$41&gt;Voorblad!$K$41,0,IF($U131=0,0,IF($U131&lt;1,1/$U131,IF((GX$56-Voorblad!$F$41)/$U131-SUM($EE131:GW131)=1,1,0))))</f>
        <v>0</v>
      </c>
      <c r="GY131" s="8">
        <f>IF(GY$56-Voorblad!$F$41&gt;Voorblad!$K$41,0,IF($U131=0,0,IF($U131&lt;1,1/$U131,IF((GY$56-Voorblad!$F$41)/$U131-SUM($EE131:GX131)=1,1,0))))</f>
        <v>0</v>
      </c>
      <c r="GZ131" s="8">
        <f>IF(GZ$56-Voorblad!$F$41&gt;Voorblad!$K$41,0,IF($U131=0,0,IF($U131&lt;1,1/$U131,IF((GZ$56-Voorblad!$F$41)/$U131-SUM($EE131:GY131)=1,1,0))))</f>
        <v>0</v>
      </c>
      <c r="HA131" s="8">
        <f>IF(HA$56-Voorblad!$F$41&gt;Voorblad!$K$41,0,IF($U131=0,0,IF($U131&lt;1,1/$U131,IF((HA$56-Voorblad!$F$41)/$U131-SUM($EE131:GZ131)=1,1,0))))</f>
        <v>0</v>
      </c>
      <c r="HB131" s="8">
        <f>IF(HB$56-Voorblad!$F$41&gt;Voorblad!$K$41,0,IF($U131=0,0,IF($U131&lt;1,1/$U131,IF((HB$56-Voorblad!$F$41)/$U131-SUM($EE131:HA131)=1,1,0))))</f>
        <v>0</v>
      </c>
      <c r="HC131" s="8">
        <f>IF(HC$56-Voorblad!$F$41&gt;Voorblad!$K$41,0,IF($U131=0,0,IF($U131&lt;1,1/$U131,IF((HC$56-Voorblad!$F$41)/$U131-SUM($EE131:HB131)=1,1,0))))</f>
        <v>0</v>
      </c>
      <c r="HD131" s="8">
        <f>IF(HD$56-Voorblad!$F$41&gt;Voorblad!$K$41,0,IF($U131=0,0,IF($U131&lt;1,1/$U131,IF((HD$56-Voorblad!$F$41)/$U131-SUM($EE131:HC131)=1,1,0))))</f>
        <v>0</v>
      </c>
      <c r="HE131" s="8">
        <f>IF(HE$56-Voorblad!$F$41&gt;Voorblad!$K$41,0,IF($U131=0,0,IF($U131&lt;1,1/$U131,IF((HE$56-Voorblad!$F$41)/$U131-SUM($EE131:HD131)=1,1,0))))</f>
        <v>0</v>
      </c>
      <c r="HF131" s="8">
        <f>IF(HF$56-Voorblad!$F$41&gt;Voorblad!$K$41,0,IF($U131=0,0,IF($U131&lt;1,1/$U131,IF((HF$56-Voorblad!$F$41)/$U131-SUM($EE131:HE131)=1,1,0))))</f>
        <v>0</v>
      </c>
      <c r="HG131" s="8">
        <f>IF(HG$56-Voorblad!$F$41&gt;Voorblad!$K$41,0,IF($U131=0,0,IF($U131&lt;1,1/$U131,IF((HG$56-Voorblad!$F$41)/$U131-SUM($EE131:HF131)=1,1,0))))</f>
        <v>0</v>
      </c>
      <c r="HH131" s="8">
        <f>IF(HH$56-Voorblad!$F$41&gt;Voorblad!$K$41,0,IF($U131=0,0,IF($U131&lt;1,1/$U131,IF((HH$56-Voorblad!$F$41)/$U131-SUM($EE131:HG131)=1,1,0))))</f>
        <v>0</v>
      </c>
      <c r="HI131" s="8">
        <f>IF(HI$56-Voorblad!$F$41&gt;Voorblad!$K$41,0,IF($U131=0,0,IF($U131&lt;1,1/$U131,IF((HI$56-Voorblad!$F$41)/$U131-SUM($EE131:HH131)=1,1,0))))</f>
        <v>0</v>
      </c>
      <c r="HJ131" s="8">
        <f>IF(HJ$56-Voorblad!$F$41&gt;Voorblad!$K$41,0,IF($U131=0,0,IF($U131&lt;1,1/$U131,IF((HJ$56-Voorblad!$F$41)/$U131-SUM($EE131:HI131)=1,1,0))))</f>
        <v>0</v>
      </c>
      <c r="HK131" s="8">
        <f>IF(HK$56-Voorblad!$F$41&gt;Voorblad!$K$41,0,IF($U131=0,0,IF($U131&lt;1,1/$U131,IF((HK$56-Voorblad!$F$41)/$U131-SUM($EE131:HJ131)=1,1,0))))</f>
        <v>0</v>
      </c>
      <c r="HL131" s="8">
        <f>IF(HL$56-Voorblad!$F$41&gt;Voorblad!$K$41,0,IF($U131=0,0,IF($U131&lt;1,1/$U131,IF((HL$56-Voorblad!$F$41)/$U131-SUM($EE131:HK131)=1,1,0))))</f>
        <v>0</v>
      </c>
      <c r="HM131" s="8">
        <f>IF(HM$56-Voorblad!$F$41&gt;Voorblad!$K$41,0,IF($U131=0,0,IF($U131&lt;1,1/$U131,IF((HM$56-Voorblad!$F$41)/$U131-SUM($EE131:HL131)=1,1,0))))</f>
        <v>0</v>
      </c>
      <c r="HN131" s="8">
        <f>IF(HN$56-Voorblad!$F$41&gt;Voorblad!$K$41,0,IF($U131=0,0,IF($U131&lt;1,1/$U131,IF((HN$56-Voorblad!$F$41)/$U131-SUM($EE131:HM131)=1,1,0))))</f>
        <v>0</v>
      </c>
      <c r="HO131" s="8">
        <f>IF(HO$56-Voorblad!$F$41&gt;Voorblad!$K$41,0,IF($U131=0,0,IF($U131&lt;1,1/$U131,IF((HO$56-Voorblad!$F$41)/$U131-SUM($EE131:HN131)=1,1,0))))</f>
        <v>0</v>
      </c>
      <c r="HP131" s="8">
        <f>IF(HP$56-Voorblad!$F$41&gt;Voorblad!$K$41,0,IF($U131=0,0,IF($U131&lt;1,1/$U131,IF((HP$56-Voorblad!$F$41)/$U131-SUM($EE131:HO131)=1,1,0))))</f>
        <v>0</v>
      </c>
      <c r="HQ131" s="8">
        <f>IF(HQ$56-Voorblad!$F$41&gt;Voorblad!$K$41,0,IF($U131=0,0,IF($U131&lt;1,1/$U131,IF((HQ$56-Voorblad!$F$41)/$U131-SUM($EE131:HP131)=1,1,0))))</f>
        <v>0</v>
      </c>
      <c r="HR131" s="8">
        <f>IF(HR$56-Voorblad!$F$41&gt;Voorblad!$K$41,0,IF($U131=0,0,IF($U131&lt;1,1/$U131,IF((HR$56-Voorblad!$F$41)/$U131-SUM($EE131:HQ131)=1,1,0))))</f>
        <v>0</v>
      </c>
      <c r="HS131" s="8">
        <f>IF(HS$56-Voorblad!$F$41&gt;Voorblad!$K$41,0,IF($U131=0,0,IF($U131&lt;1,1/$U131,IF((HS$56-Voorblad!$F$41)/$U131-SUM($EE131:HR131)=1,1,0))))</f>
        <v>0</v>
      </c>
      <c r="HT131" s="8">
        <f>IF(HT$56-Voorblad!$F$41&gt;Voorblad!$K$41,0,IF($U131=0,0,IF($U131&lt;1,1/$U131,IF((HT$56-Voorblad!$F$41)/$U131-SUM($EE131:HS131)=1,1,0))))</f>
        <v>0</v>
      </c>
      <c r="HU131" s="8">
        <f>IF(HU$56-Voorblad!$F$41&gt;Voorblad!$K$41,0,IF($U131=0,0,IF($U131&lt;1,1/$U131,IF((HU$56-Voorblad!$F$41)/$U131-SUM($EE131:HT131)=1,1,0))))</f>
        <v>0</v>
      </c>
      <c r="HV131" s="8">
        <f>IF(HV$56-Voorblad!$F$41&gt;Voorblad!$K$41,0,IF($U131=0,0,IF($U131&lt;1,1/$U131,IF((HV$56-Voorblad!$F$41)/$U131-SUM($EE131:HU131)=1,1,0))))</f>
        <v>0</v>
      </c>
      <c r="HW131" s="8">
        <f>IF(HW$56-Voorblad!$F$41&gt;Voorblad!$K$41,0,IF($U131=0,0,IF($U131&lt;1,1/$U131,IF((HW$56-Voorblad!$F$41)/$U131-SUM($EE131:HV131)=1,1,0))))</f>
        <v>0</v>
      </c>
      <c r="HX131" s="8">
        <f>IF(HX$56-Voorblad!$F$41&gt;Voorblad!$K$41,0,IF($U131=0,0,IF($U131&lt;1,1/$U131,IF((HX$56-Voorblad!$F$41)/$U131-SUM($EE131:HW131)=1,1,0))))</f>
        <v>0</v>
      </c>
      <c r="HY131" s="8">
        <f>IF(HY$56-Voorblad!$F$41&gt;Voorblad!$K$41,0,IF($U131=0,0,IF($U131&lt;1,1/$U131,IF((HY$56-Voorblad!$F$41)/$U131-SUM($EE131:HX131)=1,1,0))))</f>
        <v>0</v>
      </c>
      <c r="HZ131" s="8">
        <f>IF(HZ$56-Voorblad!$F$41&gt;Voorblad!$K$41,0,IF($U131=0,0,IF($U131&lt;1,1/$U131,IF((HZ$56-Voorblad!$F$41)/$U131-SUM($EE131:HY131)=1,1,0))))</f>
        <v>0</v>
      </c>
      <c r="IA131" s="8">
        <f>IF(IA$56-Voorblad!$F$41&gt;Voorblad!$K$41,0,IF($U131=0,0,IF($U131&lt;1,1/$U131,IF((IA$56-Voorblad!$F$41)/$U131-SUM($EE131:HZ131)=1,1,0))))</f>
        <v>0</v>
      </c>
      <c r="IB131" s="8">
        <f>IF(IB$56-Voorblad!$F$41&gt;Voorblad!$K$41,0,IF($U131=0,0,IF($U131&lt;1,1/$U131,IF((IB$56-Voorblad!$F$41)/$U131-SUM($EE131:IA131)=1,1,0))))</f>
        <v>0</v>
      </c>
    </row>
    <row r="132" spans="2:236" ht="12" customHeight="1" outlineLevel="1" x14ac:dyDescent="0.25">
      <c r="B132" s="1">
        <v>1</v>
      </c>
      <c r="F132" s="1" t="s">
        <v>23</v>
      </c>
      <c r="I132" s="1" t="s">
        <v>193</v>
      </c>
      <c r="K132" s="14" t="s">
        <v>213</v>
      </c>
      <c r="O132" s="1" t="s">
        <v>187</v>
      </c>
      <c r="P132" s="1" t="s">
        <v>180</v>
      </c>
      <c r="Q132" s="81">
        <v>0</v>
      </c>
      <c r="R132" s="1" t="s">
        <v>35</v>
      </c>
      <c r="S132" s="21">
        <f>$H$10*1.5*125</f>
        <v>446.25</v>
      </c>
      <c r="T132" s="1">
        <f t="shared" si="104"/>
        <v>0</v>
      </c>
      <c r="U132" s="14">
        <v>30</v>
      </c>
      <c r="V132" s="14"/>
      <c r="Y132" s="9">
        <f t="shared" ref="Y132" si="106">SUM(AE132:EB132)</f>
        <v>0</v>
      </c>
      <c r="Z132" s="82"/>
      <c r="AA132" s="82"/>
      <c r="AC132" s="9">
        <f>$Y132*(Voorblad!$K$44*(1+Voorblad!$K$44)^Voorblad!$K$41)/((1+Voorblad!$K$44)^Voorblad!$K$41-1)</f>
        <v>0</v>
      </c>
      <c r="AE132" s="9">
        <f>EF132*($Q132*$S132)/(1+Voorblad!$K$44)^(AE$56-Voorblad!$F$41)</f>
        <v>0</v>
      </c>
      <c r="AF132" s="9">
        <f>EG132*($Q132*$S132)/(1+Voorblad!$K$44)^(AF$56-Voorblad!$F$41)</f>
        <v>0</v>
      </c>
      <c r="AG132" s="9">
        <f>EH132*($Q132*$S132)/(1+Voorblad!$K$44)^(AG$56-Voorblad!$F$41)</f>
        <v>0</v>
      </c>
      <c r="AH132" s="9">
        <f>EI132*($Q132*$S132)/(1+Voorblad!$K$44)^(AH$56-Voorblad!$F$41)</f>
        <v>0</v>
      </c>
      <c r="AI132" s="9">
        <f>EJ132*($Q132*$S132)/(1+Voorblad!$K$44)^(AI$56-Voorblad!$F$41)</f>
        <v>0</v>
      </c>
      <c r="AJ132" s="9">
        <f>EK132*($Q132*$S132)/(1+Voorblad!$K$44)^(AJ$56-Voorblad!$F$41)</f>
        <v>0</v>
      </c>
      <c r="AK132" s="9">
        <f>EL132*($Q132*$S132)/(1+Voorblad!$K$44)^(AK$56-Voorblad!$F$41)</f>
        <v>0</v>
      </c>
      <c r="AL132" s="9">
        <f>EM132*($Q132*$S132)/(1+Voorblad!$K$44)^(AL$56-Voorblad!$F$41)</f>
        <v>0</v>
      </c>
      <c r="AM132" s="9">
        <f>EN132*($Q132*$S132)/(1+Voorblad!$K$44)^(AM$56-Voorblad!$F$41)</f>
        <v>0</v>
      </c>
      <c r="AN132" s="9">
        <f>EO132*($Q132*$S132)/(1+Voorblad!$K$44)^(AN$56-Voorblad!$F$41)</f>
        <v>0</v>
      </c>
      <c r="AO132" s="9">
        <f>EP132*($Q132*$S132)/(1+Voorblad!$K$44)^(AO$56-Voorblad!$F$41)</f>
        <v>0</v>
      </c>
      <c r="AP132" s="9">
        <f>EQ132*($Q132*$S132)/(1+Voorblad!$K$44)^(AP$56-Voorblad!$F$41)</f>
        <v>0</v>
      </c>
      <c r="AQ132" s="9">
        <f>ER132*($Q132*$S132)/(1+Voorblad!$K$44)^(AQ$56-Voorblad!$F$41)</f>
        <v>0</v>
      </c>
      <c r="AR132" s="9">
        <f>ES132*($Q132*$S132)/(1+Voorblad!$K$44)^(AR$56-Voorblad!$F$41)</f>
        <v>0</v>
      </c>
      <c r="AS132" s="9">
        <f>ET132*($Q132*$S132)/(1+Voorblad!$K$44)^(AS$56-Voorblad!$F$41)</f>
        <v>0</v>
      </c>
      <c r="AT132" s="9">
        <f>EU132*($Q132*$S132)/(1+Voorblad!$K$44)^(AT$56-Voorblad!$F$41)</f>
        <v>0</v>
      </c>
      <c r="AU132" s="9">
        <f>EV132*($Q132*$S132)/(1+Voorblad!$K$44)^(AU$56-Voorblad!$F$41)</f>
        <v>0</v>
      </c>
      <c r="AV132" s="9">
        <f>EW132*($Q132*$S132)/(1+Voorblad!$K$44)^(AV$56-Voorblad!$F$41)</f>
        <v>0</v>
      </c>
      <c r="AW132" s="9">
        <f>EX132*($Q132*$S132)/(1+Voorblad!$K$44)^(AW$56-Voorblad!$F$41)</f>
        <v>0</v>
      </c>
      <c r="AX132" s="9">
        <f>EY132*($Q132*$S132)/(1+Voorblad!$K$44)^(AX$56-Voorblad!$F$41)</f>
        <v>0</v>
      </c>
      <c r="AY132" s="9">
        <f>EZ132*($Q132*$S132)/(1+Voorblad!$K$44)^(AY$56-Voorblad!$F$41)</f>
        <v>0</v>
      </c>
      <c r="AZ132" s="9">
        <f>FA132*($Q132*$S132)/(1+Voorblad!$K$44)^(AZ$56-Voorblad!$F$41)</f>
        <v>0</v>
      </c>
      <c r="BA132" s="9">
        <f>FB132*($Q132*$S132)/(1+Voorblad!$K$44)^(BA$56-Voorblad!$F$41)</f>
        <v>0</v>
      </c>
      <c r="BB132" s="9">
        <f>FC132*($Q132*$S132)/(1+Voorblad!$K$44)^(BB$56-Voorblad!$F$41)</f>
        <v>0</v>
      </c>
      <c r="BC132" s="9">
        <f>FD132*($Q132*$S132)/(1+Voorblad!$K$44)^(BC$56-Voorblad!$F$41)</f>
        <v>0</v>
      </c>
      <c r="BD132" s="9">
        <f>FE132*($Q132*$S132)/(1+Voorblad!$K$44)^(BD$56-Voorblad!$F$41)</f>
        <v>0</v>
      </c>
      <c r="BE132" s="9">
        <f>FF132*($Q132*$S132)/(1+Voorblad!$K$44)^(BE$56-Voorblad!$F$41)</f>
        <v>0</v>
      </c>
      <c r="BF132" s="9">
        <f>FG132*($Q132*$S132)/(1+Voorblad!$K$44)^(BF$56-Voorblad!$F$41)</f>
        <v>0</v>
      </c>
      <c r="BG132" s="9">
        <f>FH132*($Q132*$S132)/(1+Voorblad!$K$44)^(BG$56-Voorblad!$F$41)</f>
        <v>0</v>
      </c>
      <c r="BH132" s="9">
        <f>FI132*($Q132*$S132)/(1+Voorblad!$K$44)^(BH$56-Voorblad!$F$41)</f>
        <v>0</v>
      </c>
      <c r="BI132" s="9">
        <f>FJ132*($Q132*$S132)/(1+Voorblad!$K$44)^(BI$56-Voorblad!$F$41)</f>
        <v>0</v>
      </c>
      <c r="BJ132" s="9">
        <f>FK132*($Q132*$S132)/(1+Voorblad!$K$44)^(BJ$56-Voorblad!$F$41)</f>
        <v>0</v>
      </c>
      <c r="BK132" s="9">
        <f>FL132*($Q132*$S132)/(1+Voorblad!$K$44)^(BK$56-Voorblad!$F$41)</f>
        <v>0</v>
      </c>
      <c r="BL132" s="9">
        <f>FM132*($Q132*$S132)/(1+Voorblad!$K$44)^(BL$56-Voorblad!$F$41)</f>
        <v>0</v>
      </c>
      <c r="BM132" s="9">
        <f>FN132*($Q132*$S132)/(1+Voorblad!$K$44)^(BM$56-Voorblad!$F$41)</f>
        <v>0</v>
      </c>
      <c r="BN132" s="9">
        <f>FO132*($Q132*$S132)/(1+Voorblad!$K$44)^(BN$56-Voorblad!$F$41)</f>
        <v>0</v>
      </c>
      <c r="BO132" s="9">
        <f>FP132*($Q132*$S132)/(1+Voorblad!$K$44)^(BO$56-Voorblad!$F$41)</f>
        <v>0</v>
      </c>
      <c r="BP132" s="9">
        <f>FQ132*($Q132*$S132)/(1+Voorblad!$K$44)^(BP$56-Voorblad!$F$41)</f>
        <v>0</v>
      </c>
      <c r="BQ132" s="9">
        <f>FR132*($Q132*$S132)/(1+Voorblad!$K$44)^(BQ$56-Voorblad!$F$41)</f>
        <v>0</v>
      </c>
      <c r="BR132" s="9">
        <f>FS132*($Q132*$S132)/(1+Voorblad!$K$44)^(BR$56-Voorblad!$F$41)</f>
        <v>0</v>
      </c>
      <c r="BS132" s="9">
        <f>FT132*($Q132*$S132)/(1+Voorblad!$K$44)^(BS$56-Voorblad!$F$41)</f>
        <v>0</v>
      </c>
      <c r="BT132" s="9">
        <f>FU132*($Q132*$S132)/(1+Voorblad!$K$44)^(BT$56-Voorblad!$F$41)</f>
        <v>0</v>
      </c>
      <c r="BU132" s="9">
        <f>FV132*($Q132*$S132)/(1+Voorblad!$K$44)^(BU$56-Voorblad!$F$41)</f>
        <v>0</v>
      </c>
      <c r="BV132" s="9">
        <f>FW132*($Q132*$S132)/(1+Voorblad!$K$44)^(BV$56-Voorblad!$F$41)</f>
        <v>0</v>
      </c>
      <c r="BW132" s="9">
        <f>FX132*($Q132*$S132)/(1+Voorblad!$K$44)^(BW$56-Voorblad!$F$41)</f>
        <v>0</v>
      </c>
      <c r="BX132" s="9">
        <f>FY132*($Q132*$S132)/(1+Voorblad!$K$44)^(BX$56-Voorblad!$F$41)</f>
        <v>0</v>
      </c>
      <c r="BY132" s="9">
        <f>FZ132*($Q132*$S132)/(1+Voorblad!$K$44)^(BY$56-Voorblad!$F$41)</f>
        <v>0</v>
      </c>
      <c r="BZ132" s="9">
        <f>GA132*($Q132*$S132)/(1+Voorblad!$K$44)^(BZ$56-Voorblad!$F$41)</f>
        <v>0</v>
      </c>
      <c r="CA132" s="9">
        <f>GB132*($Q132*$S132)/(1+Voorblad!$K$44)^(CA$56-Voorblad!$F$41)</f>
        <v>0</v>
      </c>
      <c r="CB132" s="9">
        <f>GC132*($Q132*$S132)/(1+Voorblad!$K$44)^(CB$56-Voorblad!$F$41)</f>
        <v>0</v>
      </c>
      <c r="CC132" s="9">
        <f>GD132*($Q132*$S132)/(1+Voorblad!$K$44)^(CC$56-Voorblad!$F$41)</f>
        <v>0</v>
      </c>
      <c r="CD132" s="9">
        <f>GE132*($Q132*$S132)/(1+Voorblad!$K$44)^(CD$56-Voorblad!$F$41)</f>
        <v>0</v>
      </c>
      <c r="CE132" s="9">
        <f>GF132*($Q132*$S132)/(1+Voorblad!$K$44)^(CE$56-Voorblad!$F$41)</f>
        <v>0</v>
      </c>
      <c r="CF132" s="9">
        <f>GG132*($Q132*$S132)/(1+Voorblad!$K$44)^(CF$56-Voorblad!$F$41)</f>
        <v>0</v>
      </c>
      <c r="CG132" s="9">
        <f>GH132*($Q132*$S132)/(1+Voorblad!$K$44)^(CG$56-Voorblad!$F$41)</f>
        <v>0</v>
      </c>
      <c r="CH132" s="9">
        <f>GI132*($Q132*$S132)/(1+Voorblad!$K$44)^(CH$56-Voorblad!$F$41)</f>
        <v>0</v>
      </c>
      <c r="CI132" s="9">
        <f>GJ132*($Q132*$S132)/(1+Voorblad!$K$44)^(CI$56-Voorblad!$F$41)</f>
        <v>0</v>
      </c>
      <c r="CJ132" s="9">
        <f>GK132*($Q132*$S132)/(1+Voorblad!$K$44)^(CJ$56-Voorblad!$F$41)</f>
        <v>0</v>
      </c>
      <c r="CK132" s="9">
        <f>GL132*($Q132*$S132)/(1+Voorblad!$K$44)^(CK$56-Voorblad!$F$41)</f>
        <v>0</v>
      </c>
      <c r="CL132" s="9">
        <f>GM132*($Q132*$S132)/(1+Voorblad!$K$44)^(CL$56-Voorblad!$F$41)</f>
        <v>0</v>
      </c>
      <c r="CM132" s="9">
        <f>GN132*($Q132*$S132)/(1+Voorblad!$K$44)^(CM$56-Voorblad!$F$41)</f>
        <v>0</v>
      </c>
      <c r="CN132" s="9">
        <f>GO132*($Q132*$S132)/(1+Voorblad!$K$44)^(CN$56-Voorblad!$F$41)</f>
        <v>0</v>
      </c>
      <c r="CO132" s="9">
        <f>GP132*($Q132*$S132)/(1+Voorblad!$K$44)^(CO$56-Voorblad!$F$41)</f>
        <v>0</v>
      </c>
      <c r="CP132" s="9">
        <f>GQ132*($Q132*$S132)/(1+Voorblad!$K$44)^(CP$56-Voorblad!$F$41)</f>
        <v>0</v>
      </c>
      <c r="CQ132" s="9">
        <f>GR132*($Q132*$S132)/(1+Voorblad!$K$44)^(CQ$56-Voorblad!$F$41)</f>
        <v>0</v>
      </c>
      <c r="CR132" s="9">
        <f>GS132*($Q132*$S132)/(1+Voorblad!$K$44)^(CR$56-Voorblad!$F$41)</f>
        <v>0</v>
      </c>
      <c r="CS132" s="9">
        <f>GT132*($Q132*$S132)/(1+Voorblad!$K$44)^(CS$56-Voorblad!$F$41)</f>
        <v>0</v>
      </c>
      <c r="CT132" s="9">
        <f>GU132*($Q132*$S132)/(1+Voorblad!$K$44)^(CT$56-Voorblad!$F$41)</f>
        <v>0</v>
      </c>
      <c r="CU132" s="9">
        <f>GV132*($Q132*$S132)/(1+Voorblad!$K$44)^(CU$56-Voorblad!$F$41)</f>
        <v>0</v>
      </c>
      <c r="CV132" s="9">
        <f>GW132*($Q132*$S132)/(1+Voorblad!$K$44)^(CV$56-Voorblad!$F$41)</f>
        <v>0</v>
      </c>
      <c r="CW132" s="9">
        <f>GX132*($Q132*$S132)/(1+Voorblad!$K$44)^(CW$56-Voorblad!$F$41)</f>
        <v>0</v>
      </c>
      <c r="CX132" s="9">
        <f>GY132*($Q132*$S132)/(1+Voorblad!$K$44)^(CX$56-Voorblad!$F$41)</f>
        <v>0</v>
      </c>
      <c r="CY132" s="9">
        <f>GZ132*($Q132*$S132)/(1+Voorblad!$K$44)^(CY$56-Voorblad!$F$41)</f>
        <v>0</v>
      </c>
      <c r="CZ132" s="9">
        <f>HA132*($Q132*$S132)/(1+Voorblad!$K$44)^(CZ$56-Voorblad!$F$41)</f>
        <v>0</v>
      </c>
      <c r="DA132" s="9">
        <f>HB132*($Q132*$S132)/(1+Voorblad!$K$44)^(DA$56-Voorblad!$F$41)</f>
        <v>0</v>
      </c>
      <c r="DB132" s="9">
        <f>HC132*($Q132*$S132)/(1+Voorblad!$K$44)^(DB$56-Voorblad!$F$41)</f>
        <v>0</v>
      </c>
      <c r="DC132" s="9">
        <f>HD132*($Q132*$S132)/(1+Voorblad!$K$44)^(DC$56-Voorblad!$F$41)</f>
        <v>0</v>
      </c>
      <c r="DD132" s="9">
        <f>HE132*($Q132*$S132)/(1+Voorblad!$K$44)^(DD$56-Voorblad!$F$41)</f>
        <v>0</v>
      </c>
      <c r="DE132" s="9">
        <f>HF132*($Q132*$S132)/(1+Voorblad!$K$44)^(DE$56-Voorblad!$F$41)</f>
        <v>0</v>
      </c>
      <c r="DF132" s="9">
        <f>HG132*($Q132*$S132)/(1+Voorblad!$K$44)^(DF$56-Voorblad!$F$41)</f>
        <v>0</v>
      </c>
      <c r="DG132" s="9">
        <f>HH132*($Q132*$S132)/(1+Voorblad!$K$44)^(DG$56-Voorblad!$F$41)</f>
        <v>0</v>
      </c>
      <c r="DH132" s="9">
        <f>HI132*($Q132*$S132)/(1+Voorblad!$K$44)^(DH$56-Voorblad!$F$41)</f>
        <v>0</v>
      </c>
      <c r="DI132" s="9">
        <f>HJ132*($Q132*$S132)/(1+Voorblad!$K$44)^(DI$56-Voorblad!$F$41)</f>
        <v>0</v>
      </c>
      <c r="DJ132" s="9">
        <f>HK132*($Q132*$S132)/(1+Voorblad!$K$44)^(DJ$56-Voorblad!$F$41)</f>
        <v>0</v>
      </c>
      <c r="DK132" s="9">
        <f>HL132*($Q132*$S132)/(1+Voorblad!$K$44)^(DK$56-Voorblad!$F$41)</f>
        <v>0</v>
      </c>
      <c r="DL132" s="9">
        <f>HM132*($Q132*$S132)/(1+Voorblad!$K$44)^(DL$56-Voorblad!$F$41)</f>
        <v>0</v>
      </c>
      <c r="DM132" s="9">
        <f>HN132*($Q132*$S132)/(1+Voorblad!$K$44)^(DM$56-Voorblad!$F$41)</f>
        <v>0</v>
      </c>
      <c r="DN132" s="9">
        <f>HO132*($Q132*$S132)/(1+Voorblad!$K$44)^(DN$56-Voorblad!$F$41)</f>
        <v>0</v>
      </c>
      <c r="DO132" s="9">
        <f>HP132*($Q132*$S132)/(1+Voorblad!$K$44)^(DO$56-Voorblad!$F$41)</f>
        <v>0</v>
      </c>
      <c r="DP132" s="9">
        <f>HQ132*($Q132*$S132)/(1+Voorblad!$K$44)^(DP$56-Voorblad!$F$41)</f>
        <v>0</v>
      </c>
      <c r="DQ132" s="9">
        <f>HR132*($Q132*$S132)/(1+Voorblad!$K$44)^(DQ$56-Voorblad!$F$41)</f>
        <v>0</v>
      </c>
      <c r="DR132" s="9">
        <f>HS132*($Q132*$S132)/(1+Voorblad!$K$44)^(DR$56-Voorblad!$F$41)</f>
        <v>0</v>
      </c>
      <c r="DS132" s="9">
        <f>HT132*($Q132*$S132)/(1+Voorblad!$K$44)^(DS$56-Voorblad!$F$41)</f>
        <v>0</v>
      </c>
      <c r="DT132" s="9">
        <f>HU132*($Q132*$S132)/(1+Voorblad!$K$44)^(DT$56-Voorblad!$F$41)</f>
        <v>0</v>
      </c>
      <c r="DU132" s="9">
        <f>HV132*($Q132*$S132)/(1+Voorblad!$K$44)^(DU$56-Voorblad!$F$41)</f>
        <v>0</v>
      </c>
      <c r="DV132" s="9">
        <f>HW132*($Q132*$S132)/(1+Voorblad!$K$44)^(DV$56-Voorblad!$F$41)</f>
        <v>0</v>
      </c>
      <c r="DW132" s="9">
        <f>HX132*($Q132*$S132)/(1+Voorblad!$K$44)^(DW$56-Voorblad!$F$41)</f>
        <v>0</v>
      </c>
      <c r="DX132" s="9">
        <f>HY132*($Q132*$S132)/(1+Voorblad!$K$44)^(DX$56-Voorblad!$F$41)</f>
        <v>0</v>
      </c>
      <c r="DY132" s="9">
        <f>HZ132*($Q132*$S132)/(1+Voorblad!$K$44)^(DY$56-Voorblad!$F$41)</f>
        <v>0</v>
      </c>
      <c r="DZ132" s="9">
        <f>IA132*($Q132*$S132)/(1+Voorblad!$K$44)^(DZ$56-Voorblad!$F$41)</f>
        <v>0</v>
      </c>
      <c r="EA132" s="9">
        <f>IB132*($Q132*$S132)/(1+Voorblad!$K$44)^(EA$56-Voorblad!$F$41)</f>
        <v>0</v>
      </c>
      <c r="EB132" s="9">
        <f>IC132*($Q132*$S132)/(1+Voorblad!$K$44)^(EB$56-Voorblad!$F$41)</f>
        <v>0</v>
      </c>
      <c r="EE132" s="8">
        <v>0</v>
      </c>
      <c r="EF132" s="8">
        <f>IF(EF$56-Voorblad!$F$41&gt;Voorblad!$K$41,0,IF($U132=0,0,IF($U132&lt;1,1/$U132,IF((EF$56-Voorblad!$F$41)/$U132-SUM($EE132:EE132)=1,1,0))))</f>
        <v>0</v>
      </c>
      <c r="EG132" s="8">
        <f>IF(EG$56-Voorblad!$F$41&gt;Voorblad!$K$41,0,IF($U132=0,0,IF($U132&lt;1,1/$U132,IF((EG$56-Voorblad!$F$41)/$U132-SUM($EE132:EF132)=1,1,0))))</f>
        <v>0</v>
      </c>
      <c r="EH132" s="8">
        <f>IF(EH$56-Voorblad!$F$41&gt;Voorblad!$K$41,0,IF($U132=0,0,IF($U132&lt;1,1/$U132,IF((EH$56-Voorblad!$F$41)/$U132-SUM($EE132:EG132)=1,1,0))))</f>
        <v>0</v>
      </c>
      <c r="EI132" s="8">
        <f>IF(EI$56-Voorblad!$F$41&gt;Voorblad!$K$41,0,IF($U132=0,0,IF($U132&lt;1,1/$U132,IF((EI$56-Voorblad!$F$41)/$U132-SUM($EE132:EH132)=1,1,0))))</f>
        <v>0</v>
      </c>
      <c r="EJ132" s="8">
        <f>IF(EJ$56-Voorblad!$F$41&gt;Voorblad!$K$41,0,IF($U132=0,0,IF($U132&lt;1,1/$U132,IF((EJ$56-Voorblad!$F$41)/$U132-SUM($EE132:EI132)=1,1,0))))</f>
        <v>0</v>
      </c>
      <c r="EK132" s="8">
        <f>IF(EK$56-Voorblad!$F$41&gt;Voorblad!$K$41,0,IF($U132=0,0,IF($U132&lt;1,1/$U132,IF((EK$56-Voorblad!$F$41)/$U132-SUM($EE132:EJ132)=1,1,0))))</f>
        <v>0</v>
      </c>
      <c r="EL132" s="8">
        <f>IF(EL$56-Voorblad!$F$41&gt;Voorblad!$K$41,0,IF($U132=0,0,IF($U132&lt;1,1/$U132,IF((EL$56-Voorblad!$F$41)/$U132-SUM($EE132:EK132)=1,1,0))))</f>
        <v>0</v>
      </c>
      <c r="EM132" s="8">
        <f>IF(EM$56-Voorblad!$F$41&gt;Voorblad!$K$41,0,IF($U132=0,0,IF($U132&lt;1,1/$U132,IF((EM$56-Voorblad!$F$41)/$U132-SUM($EE132:EL132)=1,1,0))))</f>
        <v>0</v>
      </c>
      <c r="EN132" s="8">
        <f>IF(EN$56-Voorblad!$F$41&gt;Voorblad!$K$41,0,IF($U132=0,0,IF($U132&lt;1,1/$U132,IF((EN$56-Voorblad!$F$41)/$U132-SUM($EE132:EM132)=1,1,0))))</f>
        <v>0</v>
      </c>
      <c r="EO132" s="8">
        <f>IF(EO$56-Voorblad!$F$41&gt;Voorblad!$K$41,0,IF($U132=0,0,IF($U132&lt;1,1/$U132,IF((EO$56-Voorblad!$F$41)/$U132-SUM($EE132:EN132)=1,1,0))))</f>
        <v>0</v>
      </c>
      <c r="EP132" s="8">
        <f>IF(EP$56-Voorblad!$F$41&gt;Voorblad!$K$41,0,IF($U132=0,0,IF($U132&lt;1,1/$U132,IF((EP$56-Voorblad!$F$41)/$U132-SUM($EE132:EO132)=1,1,0))))</f>
        <v>0</v>
      </c>
      <c r="EQ132" s="8">
        <f>IF(EQ$56-Voorblad!$F$41&gt;Voorblad!$K$41,0,IF($U132=0,0,IF($U132&lt;1,1/$U132,IF((EQ$56-Voorblad!$F$41)/$U132-SUM($EE132:EP132)=1,1,0))))</f>
        <v>0</v>
      </c>
      <c r="ER132" s="8">
        <f>IF(ER$56-Voorblad!$F$41&gt;Voorblad!$K$41,0,IF($U132=0,0,IF($U132&lt;1,1/$U132,IF((ER$56-Voorblad!$F$41)/$U132-SUM($EE132:EQ132)=1,1,0))))</f>
        <v>0</v>
      </c>
      <c r="ES132" s="8">
        <f>IF(ES$56-Voorblad!$F$41&gt;Voorblad!$K$41,0,IF($U132=0,0,IF($U132&lt;1,1/$U132,IF((ES$56-Voorblad!$F$41)/$U132-SUM($EE132:ER132)=1,1,0))))</f>
        <v>0</v>
      </c>
      <c r="ET132" s="8">
        <f>IF(ET$56-Voorblad!$F$41&gt;Voorblad!$K$41,0,IF($U132=0,0,IF($U132&lt;1,1/$U132,IF((ET$56-Voorblad!$F$41)/$U132-SUM($EE132:ES132)=1,1,0))))</f>
        <v>0</v>
      </c>
      <c r="EU132" s="8">
        <f>IF(EU$56-Voorblad!$F$41&gt;Voorblad!$K$41,0,IF($U132=0,0,IF($U132&lt;1,1/$U132,IF((EU$56-Voorblad!$F$41)/$U132-SUM($EE132:ET132)=1,1,0))))</f>
        <v>0</v>
      </c>
      <c r="EV132" s="8">
        <f>IF(EV$56-Voorblad!$F$41&gt;Voorblad!$K$41,0,IF($U132=0,0,IF($U132&lt;1,1/$U132,IF((EV$56-Voorblad!$F$41)/$U132-SUM($EE132:EU132)=1,1,0))))</f>
        <v>0</v>
      </c>
      <c r="EW132" s="8">
        <f>IF(EW$56-Voorblad!$F$41&gt;Voorblad!$K$41,0,IF($U132=0,0,IF($U132&lt;1,1/$U132,IF((EW$56-Voorblad!$F$41)/$U132-SUM($EE132:EV132)=1,1,0))))</f>
        <v>0</v>
      </c>
      <c r="EX132" s="8">
        <f>IF(EX$56-Voorblad!$F$41&gt;Voorblad!$K$41,0,IF($U132=0,0,IF($U132&lt;1,1/$U132,IF((EX$56-Voorblad!$F$41)/$U132-SUM($EE132:EW132)=1,1,0))))</f>
        <v>0</v>
      </c>
      <c r="EY132" s="8">
        <f>IF(EY$56-Voorblad!$F$41&gt;Voorblad!$K$41,0,IF($U132=0,0,IF($U132&lt;1,1/$U132,IF((EY$56-Voorblad!$F$41)/$U132-SUM($EE132:EX132)=1,1,0))))</f>
        <v>0</v>
      </c>
      <c r="EZ132" s="8">
        <f>IF(EZ$56-Voorblad!$F$41&gt;Voorblad!$K$41,0,IF($U132=0,0,IF($U132&lt;1,1/$U132,IF((EZ$56-Voorblad!$F$41)/$U132-SUM($EE132:EY132)=1,1,0))))</f>
        <v>0</v>
      </c>
      <c r="FA132" s="8">
        <f>IF(FA$56-Voorblad!$F$41&gt;Voorblad!$K$41,0,IF($U132=0,0,IF($U132&lt;1,1/$U132,IF((FA$56-Voorblad!$F$41)/$U132-SUM($EE132:EZ132)=1,1,0))))</f>
        <v>0</v>
      </c>
      <c r="FB132" s="8">
        <f>IF(FB$56-Voorblad!$F$41&gt;Voorblad!$K$41,0,IF($U132=0,0,IF($U132&lt;1,1/$U132,IF((FB$56-Voorblad!$F$41)/$U132-SUM($EE132:FA132)=1,1,0))))</f>
        <v>0</v>
      </c>
      <c r="FC132" s="8">
        <f>IF(FC$56-Voorblad!$F$41&gt;Voorblad!$K$41,0,IF($U132=0,0,IF($U132&lt;1,1/$U132,IF((FC$56-Voorblad!$F$41)/$U132-SUM($EE132:FB132)=1,1,0))))</f>
        <v>0</v>
      </c>
      <c r="FD132" s="8">
        <f>IF(FD$56-Voorblad!$F$41&gt;Voorblad!$K$41,0,IF($U132=0,0,IF($U132&lt;1,1/$U132,IF((FD$56-Voorblad!$F$41)/$U132-SUM($EE132:FC132)=1,1,0))))</f>
        <v>0</v>
      </c>
      <c r="FE132" s="8">
        <f>IF(FE$56-Voorblad!$F$41&gt;Voorblad!$K$41,0,IF($U132=0,0,IF($U132&lt;1,1/$U132,IF((FE$56-Voorblad!$F$41)/$U132-SUM($EE132:FD132)=1,1,0))))</f>
        <v>0</v>
      </c>
      <c r="FF132" s="8">
        <f>IF(FF$56-Voorblad!$F$41&gt;Voorblad!$K$41,0,IF($U132=0,0,IF($U132&lt;1,1/$U132,IF((FF$56-Voorblad!$F$41)/$U132-SUM($EE132:FE132)=1,1,0))))</f>
        <v>0</v>
      </c>
      <c r="FG132" s="8">
        <f>IF(FG$56-Voorblad!$F$41&gt;Voorblad!$K$41,0,IF($U132=0,0,IF($U132&lt;1,1/$U132,IF((FG$56-Voorblad!$F$41)/$U132-SUM($EE132:FF132)=1,1,0))))</f>
        <v>0</v>
      </c>
      <c r="FH132" s="8">
        <f>IF(FH$56-Voorblad!$F$41&gt;Voorblad!$K$41,0,IF($U132=0,0,IF($U132&lt;1,1/$U132,IF((FH$56-Voorblad!$F$41)/$U132-SUM($EE132:FG132)=1,1,0))))</f>
        <v>0</v>
      </c>
      <c r="FI132" s="8">
        <f>IF(FI$56-Voorblad!$F$41&gt;Voorblad!$K$41,0,IF($U132=0,0,IF($U132&lt;1,1/$U132,IF((FI$56-Voorblad!$F$41)/$U132-SUM($EE132:FH132)=1,1,0))))</f>
        <v>0</v>
      </c>
      <c r="FJ132" s="8">
        <f>IF(FJ$56-Voorblad!$F$41&gt;Voorblad!$K$41,0,IF($U132=0,0,IF($U132&lt;1,1/$U132,IF((FJ$56-Voorblad!$F$41)/$U132-SUM($EE132:FI132)=1,1,0))))</f>
        <v>1</v>
      </c>
      <c r="FK132" s="8">
        <f>IF(FK$56-Voorblad!$F$41&gt;Voorblad!$K$41,0,IF($U132=0,0,IF($U132&lt;1,1/$U132,IF((FK$56-Voorblad!$F$41)/$U132-SUM($EE132:FJ132)=1,1,0))))</f>
        <v>0</v>
      </c>
      <c r="FL132" s="8">
        <f>IF(FL$56-Voorblad!$F$41&gt;Voorblad!$K$41,0,IF($U132=0,0,IF($U132&lt;1,1/$U132,IF((FL$56-Voorblad!$F$41)/$U132-SUM($EE132:FK132)=1,1,0))))</f>
        <v>0</v>
      </c>
      <c r="FM132" s="8">
        <f>IF(FM$56-Voorblad!$F$41&gt;Voorblad!$K$41,0,IF($U132=0,0,IF($U132&lt;1,1/$U132,IF((FM$56-Voorblad!$F$41)/$U132-SUM($EE132:FL132)=1,1,0))))</f>
        <v>0</v>
      </c>
      <c r="FN132" s="8">
        <f>IF(FN$56-Voorblad!$F$41&gt;Voorblad!$K$41,0,IF($U132=0,0,IF($U132&lt;1,1/$U132,IF((FN$56-Voorblad!$F$41)/$U132-SUM($EE132:FM132)=1,1,0))))</f>
        <v>0</v>
      </c>
      <c r="FO132" s="8">
        <f>IF(FO$56-Voorblad!$F$41&gt;Voorblad!$K$41,0,IF($U132=0,0,IF($U132&lt;1,1/$U132,IF((FO$56-Voorblad!$F$41)/$U132-SUM($EE132:FN132)=1,1,0))))</f>
        <v>0</v>
      </c>
      <c r="FP132" s="8">
        <f>IF(FP$56-Voorblad!$F$41&gt;Voorblad!$K$41,0,IF($U132=0,0,IF($U132&lt;1,1/$U132,IF((FP$56-Voorblad!$F$41)/$U132-SUM($EE132:FO132)=1,1,0))))</f>
        <v>0</v>
      </c>
      <c r="FQ132" s="8">
        <f>IF(FQ$56-Voorblad!$F$41&gt;Voorblad!$K$41,0,IF($U132=0,0,IF($U132&lt;1,1/$U132,IF((FQ$56-Voorblad!$F$41)/$U132-SUM($EE132:FP132)=1,1,0))))</f>
        <v>0</v>
      </c>
      <c r="FR132" s="8">
        <f>IF(FR$56-Voorblad!$F$41&gt;Voorblad!$K$41,0,IF($U132=0,0,IF($U132&lt;1,1/$U132,IF((FR$56-Voorblad!$F$41)/$U132-SUM($EE132:FQ132)=1,1,0))))</f>
        <v>0</v>
      </c>
      <c r="FS132" s="8">
        <f>IF(FS$56-Voorblad!$F$41&gt;Voorblad!$K$41,0,IF($U132=0,0,IF($U132&lt;1,1/$U132,IF((FS$56-Voorblad!$F$41)/$U132-SUM($EE132:FR132)=1,1,0))))</f>
        <v>0</v>
      </c>
      <c r="FT132" s="8">
        <f>IF(FT$56-Voorblad!$F$41&gt;Voorblad!$K$41,0,IF($U132=0,0,IF($U132&lt;1,1/$U132,IF((FT$56-Voorblad!$F$41)/$U132-SUM($EE132:FS132)=1,1,0))))</f>
        <v>0</v>
      </c>
      <c r="FU132" s="8">
        <f>IF(FU$56-Voorblad!$F$41&gt;Voorblad!$K$41,0,IF($U132=0,0,IF($U132&lt;1,1/$U132,IF((FU$56-Voorblad!$F$41)/$U132-SUM($EE132:FT132)=1,1,0))))</f>
        <v>0</v>
      </c>
      <c r="FV132" s="8">
        <f>IF(FV$56-Voorblad!$F$41&gt;Voorblad!$K$41,0,IF($U132=0,0,IF($U132&lt;1,1/$U132,IF((FV$56-Voorblad!$F$41)/$U132-SUM($EE132:FU132)=1,1,0))))</f>
        <v>0</v>
      </c>
      <c r="FW132" s="8">
        <f>IF(FW$56-Voorblad!$F$41&gt;Voorblad!$K$41,0,IF($U132=0,0,IF($U132&lt;1,1/$U132,IF((FW$56-Voorblad!$F$41)/$U132-SUM($EE132:FV132)=1,1,0))))</f>
        <v>0</v>
      </c>
      <c r="FX132" s="8">
        <f>IF(FX$56-Voorblad!$F$41&gt;Voorblad!$K$41,0,IF($U132=0,0,IF($U132&lt;1,1/$U132,IF((FX$56-Voorblad!$F$41)/$U132-SUM($EE132:FW132)=1,1,0))))</f>
        <v>0</v>
      </c>
      <c r="FY132" s="8">
        <f>IF(FY$56-Voorblad!$F$41&gt;Voorblad!$K$41,0,IF($U132=0,0,IF($U132&lt;1,1/$U132,IF((FY$56-Voorblad!$F$41)/$U132-SUM($EE132:FX132)=1,1,0))))</f>
        <v>0</v>
      </c>
      <c r="FZ132" s="8">
        <f>IF(FZ$56-Voorblad!$F$41&gt;Voorblad!$K$41,0,IF($U132=0,0,IF($U132&lt;1,1/$U132,IF((FZ$56-Voorblad!$F$41)/$U132-SUM($EE132:FY132)=1,1,0))))</f>
        <v>0</v>
      </c>
      <c r="GA132" s="8">
        <f>IF(GA$56-Voorblad!$F$41&gt;Voorblad!$K$41,0,IF($U132=0,0,IF($U132&lt;1,1/$U132,IF((GA$56-Voorblad!$F$41)/$U132-SUM($EE132:FZ132)=1,1,0))))</f>
        <v>0</v>
      </c>
      <c r="GB132" s="8">
        <f>IF(GB$56-Voorblad!$F$41&gt;Voorblad!$K$41,0,IF($U132=0,0,IF($U132&lt;1,1/$U132,IF((GB$56-Voorblad!$F$41)/$U132-SUM($EE132:GA132)=1,1,0))))</f>
        <v>0</v>
      </c>
      <c r="GC132" s="8">
        <f>IF(GC$56-Voorblad!$F$41&gt;Voorblad!$K$41,0,IF($U132=0,0,IF($U132&lt;1,1/$U132,IF((GC$56-Voorblad!$F$41)/$U132-SUM($EE132:GB132)=1,1,0))))</f>
        <v>0</v>
      </c>
      <c r="GD132" s="8">
        <f>IF(GD$56-Voorblad!$F$41&gt;Voorblad!$K$41,0,IF($U132=0,0,IF($U132&lt;1,1/$U132,IF((GD$56-Voorblad!$F$41)/$U132-SUM($EE132:GC132)=1,1,0))))</f>
        <v>0</v>
      </c>
      <c r="GE132" s="8">
        <f>IF(GE$56-Voorblad!$F$41&gt;Voorblad!$K$41,0,IF($U132=0,0,IF($U132&lt;1,1/$U132,IF((GE$56-Voorblad!$F$41)/$U132-SUM($EE132:GD132)=1,1,0))))</f>
        <v>0</v>
      </c>
      <c r="GF132" s="8">
        <f>IF(GF$56-Voorblad!$F$41&gt;Voorblad!$K$41,0,IF($U132=0,0,IF($U132&lt;1,1/$U132,IF((GF$56-Voorblad!$F$41)/$U132-SUM($EE132:GE132)=1,1,0))))</f>
        <v>0</v>
      </c>
      <c r="GG132" s="8">
        <f>IF(GG$56-Voorblad!$F$41&gt;Voorblad!$K$41,0,IF($U132=0,0,IF($U132&lt;1,1/$U132,IF((GG$56-Voorblad!$F$41)/$U132-SUM($EE132:GF132)=1,1,0))))</f>
        <v>0</v>
      </c>
      <c r="GH132" s="8">
        <f>IF(GH$56-Voorblad!$F$41&gt;Voorblad!$K$41,0,IF($U132=0,0,IF($U132&lt;1,1/$U132,IF((GH$56-Voorblad!$F$41)/$U132-SUM($EE132:GG132)=1,1,0))))</f>
        <v>0</v>
      </c>
      <c r="GI132" s="8">
        <f>IF(GI$56-Voorblad!$F$41&gt;Voorblad!$K$41,0,IF($U132=0,0,IF($U132&lt;1,1/$U132,IF((GI$56-Voorblad!$F$41)/$U132-SUM($EE132:GH132)=1,1,0))))</f>
        <v>0</v>
      </c>
      <c r="GJ132" s="8">
        <f>IF(GJ$56-Voorblad!$F$41&gt;Voorblad!$K$41,0,IF($U132=0,0,IF($U132&lt;1,1/$U132,IF((GJ$56-Voorblad!$F$41)/$U132-SUM($EE132:GI132)=1,1,0))))</f>
        <v>0</v>
      </c>
      <c r="GK132" s="8">
        <f>IF(GK$56-Voorblad!$F$41&gt;Voorblad!$K$41,0,IF($U132=0,0,IF($U132&lt;1,1/$U132,IF((GK$56-Voorblad!$F$41)/$U132-SUM($EE132:GJ132)=1,1,0))))</f>
        <v>0</v>
      </c>
      <c r="GL132" s="8">
        <f>IF(GL$56-Voorblad!$F$41&gt;Voorblad!$K$41,0,IF($U132=0,0,IF($U132&lt;1,1/$U132,IF((GL$56-Voorblad!$F$41)/$U132-SUM($EE132:GK132)=1,1,0))))</f>
        <v>0</v>
      </c>
      <c r="GM132" s="8">
        <f>IF(GM$56-Voorblad!$F$41&gt;Voorblad!$K$41,0,IF($U132=0,0,IF($U132&lt;1,1/$U132,IF((GM$56-Voorblad!$F$41)/$U132-SUM($EE132:GL132)=1,1,0))))</f>
        <v>0</v>
      </c>
      <c r="GN132" s="8">
        <f>IF(GN$56-Voorblad!$F$41&gt;Voorblad!$K$41,0,IF($U132=0,0,IF($U132&lt;1,1/$U132,IF((GN$56-Voorblad!$F$41)/$U132-SUM($EE132:GM132)=1,1,0))))</f>
        <v>1</v>
      </c>
      <c r="GO132" s="8">
        <f>IF(GO$56-Voorblad!$F$41&gt;Voorblad!$K$41,0,IF($U132=0,0,IF($U132&lt;1,1/$U132,IF((GO$56-Voorblad!$F$41)/$U132-SUM($EE132:GN132)=1,1,0))))</f>
        <v>0</v>
      </c>
      <c r="GP132" s="8">
        <f>IF(GP$56-Voorblad!$F$41&gt;Voorblad!$K$41,0,IF($U132=0,0,IF($U132&lt;1,1/$U132,IF((GP$56-Voorblad!$F$41)/$U132-SUM($EE132:GO132)=1,1,0))))</f>
        <v>0</v>
      </c>
      <c r="GQ132" s="8">
        <f>IF(GQ$56-Voorblad!$F$41&gt;Voorblad!$K$41,0,IF($U132=0,0,IF($U132&lt;1,1/$U132,IF((GQ$56-Voorblad!$F$41)/$U132-SUM($EE132:GP132)=1,1,0))))</f>
        <v>0</v>
      </c>
      <c r="GR132" s="8">
        <f>IF(GR$56-Voorblad!$F$41&gt;Voorblad!$K$41,0,IF($U132=0,0,IF($U132&lt;1,1/$U132,IF((GR$56-Voorblad!$F$41)/$U132-SUM($EE132:GQ132)=1,1,0))))</f>
        <v>0</v>
      </c>
      <c r="GS132" s="8">
        <f>IF(GS$56-Voorblad!$F$41&gt;Voorblad!$K$41,0,IF($U132=0,0,IF($U132&lt;1,1/$U132,IF((GS$56-Voorblad!$F$41)/$U132-SUM($EE132:GR132)=1,1,0))))</f>
        <v>0</v>
      </c>
      <c r="GT132" s="8">
        <f>IF(GT$56-Voorblad!$F$41&gt;Voorblad!$K$41,0,IF($U132=0,0,IF($U132&lt;1,1/$U132,IF((GT$56-Voorblad!$F$41)/$U132-SUM($EE132:GS132)=1,1,0))))</f>
        <v>0</v>
      </c>
      <c r="GU132" s="8">
        <f>IF(GU$56-Voorblad!$F$41&gt;Voorblad!$K$41,0,IF($U132=0,0,IF($U132&lt;1,1/$U132,IF((GU$56-Voorblad!$F$41)/$U132-SUM($EE132:GT132)=1,1,0))))</f>
        <v>0</v>
      </c>
      <c r="GV132" s="8">
        <f>IF(GV$56-Voorblad!$F$41&gt;Voorblad!$K$41,0,IF($U132=0,0,IF($U132&lt;1,1/$U132,IF((GV$56-Voorblad!$F$41)/$U132-SUM($EE132:GU132)=1,1,0))))</f>
        <v>0</v>
      </c>
      <c r="GW132" s="8">
        <f>IF(GW$56-Voorblad!$F$41&gt;Voorblad!$K$41,0,IF($U132=0,0,IF($U132&lt;1,1/$U132,IF((GW$56-Voorblad!$F$41)/$U132-SUM($EE132:GV132)=1,1,0))))</f>
        <v>0</v>
      </c>
      <c r="GX132" s="8">
        <f>IF(GX$56-Voorblad!$F$41&gt;Voorblad!$K$41,0,IF($U132=0,0,IF($U132&lt;1,1/$U132,IF((GX$56-Voorblad!$F$41)/$U132-SUM($EE132:GW132)=1,1,0))))</f>
        <v>0</v>
      </c>
      <c r="GY132" s="8">
        <f>IF(GY$56-Voorblad!$F$41&gt;Voorblad!$K$41,0,IF($U132=0,0,IF($U132&lt;1,1/$U132,IF((GY$56-Voorblad!$F$41)/$U132-SUM($EE132:GX132)=1,1,0))))</f>
        <v>0</v>
      </c>
      <c r="GZ132" s="8">
        <f>IF(GZ$56-Voorblad!$F$41&gt;Voorblad!$K$41,0,IF($U132=0,0,IF($U132&lt;1,1/$U132,IF((GZ$56-Voorblad!$F$41)/$U132-SUM($EE132:GY132)=1,1,0))))</f>
        <v>0</v>
      </c>
      <c r="HA132" s="8">
        <f>IF(HA$56-Voorblad!$F$41&gt;Voorblad!$K$41,0,IF($U132=0,0,IF($U132&lt;1,1/$U132,IF((HA$56-Voorblad!$F$41)/$U132-SUM($EE132:GZ132)=1,1,0))))</f>
        <v>0</v>
      </c>
      <c r="HB132" s="8">
        <f>IF(HB$56-Voorblad!$F$41&gt;Voorblad!$K$41,0,IF($U132=0,0,IF($U132&lt;1,1/$U132,IF((HB$56-Voorblad!$F$41)/$U132-SUM($EE132:HA132)=1,1,0))))</f>
        <v>0</v>
      </c>
      <c r="HC132" s="8">
        <f>IF(HC$56-Voorblad!$F$41&gt;Voorblad!$K$41,0,IF($U132=0,0,IF($U132&lt;1,1/$U132,IF((HC$56-Voorblad!$F$41)/$U132-SUM($EE132:HB132)=1,1,0))))</f>
        <v>0</v>
      </c>
      <c r="HD132" s="8">
        <f>IF(HD$56-Voorblad!$F$41&gt;Voorblad!$K$41,0,IF($U132=0,0,IF($U132&lt;1,1/$U132,IF((HD$56-Voorblad!$F$41)/$U132-SUM($EE132:HC132)=1,1,0))))</f>
        <v>0</v>
      </c>
      <c r="HE132" s="8">
        <f>IF(HE$56-Voorblad!$F$41&gt;Voorblad!$K$41,0,IF($U132=0,0,IF($U132&lt;1,1/$U132,IF((HE$56-Voorblad!$F$41)/$U132-SUM($EE132:HD132)=1,1,0))))</f>
        <v>0</v>
      </c>
      <c r="HF132" s="8">
        <f>IF(HF$56-Voorblad!$F$41&gt;Voorblad!$K$41,0,IF($U132=0,0,IF($U132&lt;1,1/$U132,IF((HF$56-Voorblad!$F$41)/$U132-SUM($EE132:HE132)=1,1,0))))</f>
        <v>0</v>
      </c>
      <c r="HG132" s="8">
        <f>IF(HG$56-Voorblad!$F$41&gt;Voorblad!$K$41,0,IF($U132=0,0,IF($U132&lt;1,1/$U132,IF((HG$56-Voorblad!$F$41)/$U132-SUM($EE132:HF132)=1,1,0))))</f>
        <v>0</v>
      </c>
      <c r="HH132" s="8">
        <f>IF(HH$56-Voorblad!$F$41&gt;Voorblad!$K$41,0,IF($U132=0,0,IF($U132&lt;1,1/$U132,IF((HH$56-Voorblad!$F$41)/$U132-SUM($EE132:HG132)=1,1,0))))</f>
        <v>0</v>
      </c>
      <c r="HI132" s="8">
        <f>IF(HI$56-Voorblad!$F$41&gt;Voorblad!$K$41,0,IF($U132=0,0,IF($U132&lt;1,1/$U132,IF((HI$56-Voorblad!$F$41)/$U132-SUM($EE132:HH132)=1,1,0))))</f>
        <v>0</v>
      </c>
      <c r="HJ132" s="8">
        <f>IF(HJ$56-Voorblad!$F$41&gt;Voorblad!$K$41,0,IF($U132=0,0,IF($U132&lt;1,1/$U132,IF((HJ$56-Voorblad!$F$41)/$U132-SUM($EE132:HI132)=1,1,0))))</f>
        <v>0</v>
      </c>
      <c r="HK132" s="8">
        <f>IF(HK$56-Voorblad!$F$41&gt;Voorblad!$K$41,0,IF($U132=0,0,IF($U132&lt;1,1/$U132,IF((HK$56-Voorblad!$F$41)/$U132-SUM($EE132:HJ132)=1,1,0))))</f>
        <v>0</v>
      </c>
      <c r="HL132" s="8">
        <f>IF(HL$56-Voorblad!$F$41&gt;Voorblad!$K$41,0,IF($U132=0,0,IF($U132&lt;1,1/$U132,IF((HL$56-Voorblad!$F$41)/$U132-SUM($EE132:HK132)=1,1,0))))</f>
        <v>0</v>
      </c>
      <c r="HM132" s="8">
        <f>IF(HM$56-Voorblad!$F$41&gt;Voorblad!$K$41,0,IF($U132=0,0,IF($U132&lt;1,1/$U132,IF((HM$56-Voorblad!$F$41)/$U132-SUM($EE132:HL132)=1,1,0))))</f>
        <v>0</v>
      </c>
      <c r="HN132" s="8">
        <f>IF(HN$56-Voorblad!$F$41&gt;Voorblad!$K$41,0,IF($U132=0,0,IF($U132&lt;1,1/$U132,IF((HN$56-Voorblad!$F$41)/$U132-SUM($EE132:HM132)=1,1,0))))</f>
        <v>0</v>
      </c>
      <c r="HO132" s="8">
        <f>IF(HO$56-Voorblad!$F$41&gt;Voorblad!$K$41,0,IF($U132=0,0,IF($U132&lt;1,1/$U132,IF((HO$56-Voorblad!$F$41)/$U132-SUM($EE132:HN132)=1,1,0))))</f>
        <v>0</v>
      </c>
      <c r="HP132" s="8">
        <f>IF(HP$56-Voorblad!$F$41&gt;Voorblad!$K$41,0,IF($U132=0,0,IF($U132&lt;1,1/$U132,IF((HP$56-Voorblad!$F$41)/$U132-SUM($EE132:HO132)=1,1,0))))</f>
        <v>0</v>
      </c>
      <c r="HQ132" s="8">
        <f>IF(HQ$56-Voorblad!$F$41&gt;Voorblad!$K$41,0,IF($U132=0,0,IF($U132&lt;1,1/$U132,IF((HQ$56-Voorblad!$F$41)/$U132-SUM($EE132:HP132)=1,1,0))))</f>
        <v>0</v>
      </c>
      <c r="HR132" s="8">
        <f>IF(HR$56-Voorblad!$F$41&gt;Voorblad!$K$41,0,IF($U132=0,0,IF($U132&lt;1,1/$U132,IF((HR$56-Voorblad!$F$41)/$U132-SUM($EE132:HQ132)=1,1,0))))</f>
        <v>0</v>
      </c>
      <c r="HS132" s="8">
        <f>IF(HS$56-Voorblad!$F$41&gt;Voorblad!$K$41,0,IF($U132=0,0,IF($U132&lt;1,1/$U132,IF((HS$56-Voorblad!$F$41)/$U132-SUM($EE132:HR132)=1,1,0))))</f>
        <v>0</v>
      </c>
      <c r="HT132" s="8">
        <f>IF(HT$56-Voorblad!$F$41&gt;Voorblad!$K$41,0,IF($U132=0,0,IF($U132&lt;1,1/$U132,IF((HT$56-Voorblad!$F$41)/$U132-SUM($EE132:HS132)=1,1,0))))</f>
        <v>0</v>
      </c>
      <c r="HU132" s="8">
        <f>IF(HU$56-Voorblad!$F$41&gt;Voorblad!$K$41,0,IF($U132=0,0,IF($U132&lt;1,1/$U132,IF((HU$56-Voorblad!$F$41)/$U132-SUM($EE132:HT132)=1,1,0))))</f>
        <v>0</v>
      </c>
      <c r="HV132" s="8">
        <f>IF(HV$56-Voorblad!$F$41&gt;Voorblad!$K$41,0,IF($U132=0,0,IF($U132&lt;1,1/$U132,IF((HV$56-Voorblad!$F$41)/$U132-SUM($EE132:HU132)=1,1,0))))</f>
        <v>0</v>
      </c>
      <c r="HW132" s="8">
        <f>IF(HW$56-Voorblad!$F$41&gt;Voorblad!$K$41,0,IF($U132=0,0,IF($U132&lt;1,1/$U132,IF((HW$56-Voorblad!$F$41)/$U132-SUM($EE132:HV132)=1,1,0))))</f>
        <v>0</v>
      </c>
      <c r="HX132" s="8">
        <f>IF(HX$56-Voorblad!$F$41&gt;Voorblad!$K$41,0,IF($U132=0,0,IF($U132&lt;1,1/$U132,IF((HX$56-Voorblad!$F$41)/$U132-SUM($EE132:HW132)=1,1,0))))</f>
        <v>0</v>
      </c>
      <c r="HY132" s="8">
        <f>IF(HY$56-Voorblad!$F$41&gt;Voorblad!$K$41,0,IF($U132=0,0,IF($U132&lt;1,1/$U132,IF((HY$56-Voorblad!$F$41)/$U132-SUM($EE132:HX132)=1,1,0))))</f>
        <v>0</v>
      </c>
      <c r="HZ132" s="8">
        <f>IF(HZ$56-Voorblad!$F$41&gt;Voorblad!$K$41,0,IF($U132=0,0,IF($U132&lt;1,1/$U132,IF((HZ$56-Voorblad!$F$41)/$U132-SUM($EE132:HY132)=1,1,0))))</f>
        <v>0</v>
      </c>
      <c r="IA132" s="8">
        <f>IF(IA$56-Voorblad!$F$41&gt;Voorblad!$K$41,0,IF($U132=0,0,IF($U132&lt;1,1/$U132,IF((IA$56-Voorblad!$F$41)/$U132-SUM($EE132:HZ132)=1,1,0))))</f>
        <v>0</v>
      </c>
      <c r="IB132" s="8">
        <f>IF(IB$56-Voorblad!$F$41&gt;Voorblad!$K$41,0,IF($U132=0,0,IF($U132&lt;1,1/$U132,IF((IB$56-Voorblad!$F$41)/$U132-SUM($EE132:IA132)=1,1,0))))</f>
        <v>0</v>
      </c>
    </row>
    <row r="133" spans="2:236" outlineLevel="1" x14ac:dyDescent="0.25">
      <c r="B133" s="1">
        <v>1</v>
      </c>
      <c r="F133" s="1" t="s">
        <v>23</v>
      </c>
      <c r="I133" s="1" t="s">
        <v>193</v>
      </c>
      <c r="K133" s="1" t="s">
        <v>209</v>
      </c>
      <c r="O133" s="1" t="s">
        <v>187</v>
      </c>
      <c r="P133" s="1" t="s">
        <v>181</v>
      </c>
      <c r="Q133" s="81">
        <f>2*15.9</f>
        <v>31.8</v>
      </c>
      <c r="R133" s="1" t="s">
        <v>34</v>
      </c>
      <c r="S133" s="21">
        <f>$H$10*125</f>
        <v>297.5</v>
      </c>
      <c r="T133" s="9">
        <f t="shared" si="104"/>
        <v>9460.5</v>
      </c>
      <c r="U133" s="14">
        <v>30</v>
      </c>
      <c r="V133" s="14"/>
      <c r="Y133" s="9">
        <f t="shared" si="21"/>
        <v>6660.44055623241</v>
      </c>
      <c r="Z133" s="82"/>
      <c r="AA133" s="82"/>
      <c r="AC133" s="9">
        <f>$Y133*(Voorblad!$K$44*(1+Voorblad!$K$44)^Voorblad!$K$41)/((1+Voorblad!$K$44)^Voorblad!$K$41-1)</f>
        <v>199.3848134591083</v>
      </c>
      <c r="AE133" s="9">
        <f>EF133*($Q133*$S133)/(1+Voorblad!$K$44)^(AE$56-Voorblad!$F$41)</f>
        <v>0</v>
      </c>
      <c r="AF133" s="9">
        <f>EG133*($Q133*$S133)/(1+Voorblad!$K$44)^(AF$56-Voorblad!$F$41)</f>
        <v>0</v>
      </c>
      <c r="AG133" s="9">
        <f>EH133*($Q133*$S133)/(1+Voorblad!$K$44)^(AG$56-Voorblad!$F$41)</f>
        <v>0</v>
      </c>
      <c r="AH133" s="9">
        <f>EI133*($Q133*$S133)/(1+Voorblad!$K$44)^(AH$56-Voorblad!$F$41)</f>
        <v>0</v>
      </c>
      <c r="AI133" s="9">
        <f>EJ133*($Q133*$S133)/(1+Voorblad!$K$44)^(AI$56-Voorblad!$F$41)</f>
        <v>0</v>
      </c>
      <c r="AJ133" s="9">
        <f>EK133*($Q133*$S133)/(1+Voorblad!$K$44)^(AJ$56-Voorblad!$F$41)</f>
        <v>0</v>
      </c>
      <c r="AK133" s="9">
        <f>EL133*($Q133*$S133)/(1+Voorblad!$K$44)^(AK$56-Voorblad!$F$41)</f>
        <v>0</v>
      </c>
      <c r="AL133" s="9">
        <f>EM133*($Q133*$S133)/(1+Voorblad!$K$44)^(AL$56-Voorblad!$F$41)</f>
        <v>0</v>
      </c>
      <c r="AM133" s="9">
        <f>EN133*($Q133*$S133)/(1+Voorblad!$K$44)^(AM$56-Voorblad!$F$41)</f>
        <v>0</v>
      </c>
      <c r="AN133" s="9">
        <f>EO133*($Q133*$S133)/(1+Voorblad!$K$44)^(AN$56-Voorblad!$F$41)</f>
        <v>0</v>
      </c>
      <c r="AO133" s="9">
        <f>EP133*($Q133*$S133)/(1+Voorblad!$K$44)^(AO$56-Voorblad!$F$41)</f>
        <v>0</v>
      </c>
      <c r="AP133" s="9">
        <f>EQ133*($Q133*$S133)/(1+Voorblad!$K$44)^(AP$56-Voorblad!$F$41)</f>
        <v>0</v>
      </c>
      <c r="AQ133" s="9">
        <f>ER133*($Q133*$S133)/(1+Voorblad!$K$44)^(AQ$56-Voorblad!$F$41)</f>
        <v>0</v>
      </c>
      <c r="AR133" s="9">
        <f>ES133*($Q133*$S133)/(1+Voorblad!$K$44)^(AR$56-Voorblad!$F$41)</f>
        <v>0</v>
      </c>
      <c r="AS133" s="9">
        <f>ET133*($Q133*$S133)/(1+Voorblad!$K$44)^(AS$56-Voorblad!$F$41)</f>
        <v>0</v>
      </c>
      <c r="AT133" s="9">
        <f>EU133*($Q133*$S133)/(1+Voorblad!$K$44)^(AT$56-Voorblad!$F$41)</f>
        <v>0</v>
      </c>
      <c r="AU133" s="9">
        <f>EV133*($Q133*$S133)/(1+Voorblad!$K$44)^(AU$56-Voorblad!$F$41)</f>
        <v>0</v>
      </c>
      <c r="AV133" s="9">
        <f>EW133*($Q133*$S133)/(1+Voorblad!$K$44)^(AV$56-Voorblad!$F$41)</f>
        <v>0</v>
      </c>
      <c r="AW133" s="9">
        <f>EX133*($Q133*$S133)/(1+Voorblad!$K$44)^(AW$56-Voorblad!$F$41)</f>
        <v>0</v>
      </c>
      <c r="AX133" s="9">
        <f>EY133*($Q133*$S133)/(1+Voorblad!$K$44)^(AX$56-Voorblad!$F$41)</f>
        <v>0</v>
      </c>
      <c r="AY133" s="9">
        <f>EZ133*($Q133*$S133)/(1+Voorblad!$K$44)^(AY$56-Voorblad!$F$41)</f>
        <v>0</v>
      </c>
      <c r="AZ133" s="9">
        <f>FA133*($Q133*$S133)/(1+Voorblad!$K$44)^(AZ$56-Voorblad!$F$41)</f>
        <v>0</v>
      </c>
      <c r="BA133" s="9">
        <f>FB133*($Q133*$S133)/(1+Voorblad!$K$44)^(BA$56-Voorblad!$F$41)</f>
        <v>0</v>
      </c>
      <c r="BB133" s="9">
        <f>FC133*($Q133*$S133)/(1+Voorblad!$K$44)^(BB$56-Voorblad!$F$41)</f>
        <v>0</v>
      </c>
      <c r="BC133" s="9">
        <f>FD133*($Q133*$S133)/(1+Voorblad!$K$44)^(BC$56-Voorblad!$F$41)</f>
        <v>0</v>
      </c>
      <c r="BD133" s="9">
        <f>FE133*($Q133*$S133)/(1+Voorblad!$K$44)^(BD$56-Voorblad!$F$41)</f>
        <v>0</v>
      </c>
      <c r="BE133" s="9">
        <f>FF133*($Q133*$S133)/(1+Voorblad!$K$44)^(BE$56-Voorblad!$F$41)</f>
        <v>0</v>
      </c>
      <c r="BF133" s="9">
        <f>FG133*($Q133*$S133)/(1+Voorblad!$K$44)^(BF$56-Voorblad!$F$41)</f>
        <v>0</v>
      </c>
      <c r="BG133" s="9">
        <f>FH133*($Q133*$S133)/(1+Voorblad!$K$44)^(BG$56-Voorblad!$F$41)</f>
        <v>0</v>
      </c>
      <c r="BH133" s="9">
        <f>FI133*($Q133*$S133)/(1+Voorblad!$K$44)^(BH$56-Voorblad!$F$41)</f>
        <v>0</v>
      </c>
      <c r="BI133" s="9">
        <f>FJ133*($Q133*$S133)/(1+Voorblad!$K$44)^(BI$56-Voorblad!$F$41)</f>
        <v>4510.2241731545746</v>
      </c>
      <c r="BJ133" s="9">
        <f>FK133*($Q133*$S133)/(1+Voorblad!$K$44)^(BJ$56-Voorblad!$F$41)</f>
        <v>0</v>
      </c>
      <c r="BK133" s="9">
        <f>FL133*($Q133*$S133)/(1+Voorblad!$K$44)^(BK$56-Voorblad!$F$41)</f>
        <v>0</v>
      </c>
      <c r="BL133" s="9">
        <f>FM133*($Q133*$S133)/(1+Voorblad!$K$44)^(BL$56-Voorblad!$F$41)</f>
        <v>0</v>
      </c>
      <c r="BM133" s="9">
        <f>FN133*($Q133*$S133)/(1+Voorblad!$K$44)^(BM$56-Voorblad!$F$41)</f>
        <v>0</v>
      </c>
      <c r="BN133" s="9">
        <f>FO133*($Q133*$S133)/(1+Voorblad!$K$44)^(BN$56-Voorblad!$F$41)</f>
        <v>0</v>
      </c>
      <c r="BO133" s="9">
        <f>FP133*($Q133*$S133)/(1+Voorblad!$K$44)^(BO$56-Voorblad!$F$41)</f>
        <v>0</v>
      </c>
      <c r="BP133" s="9">
        <f>FQ133*($Q133*$S133)/(1+Voorblad!$K$44)^(BP$56-Voorblad!$F$41)</f>
        <v>0</v>
      </c>
      <c r="BQ133" s="9">
        <f>FR133*($Q133*$S133)/(1+Voorblad!$K$44)^(BQ$56-Voorblad!$F$41)</f>
        <v>0</v>
      </c>
      <c r="BR133" s="9">
        <f>FS133*($Q133*$S133)/(1+Voorblad!$K$44)^(BR$56-Voorblad!$F$41)</f>
        <v>0</v>
      </c>
      <c r="BS133" s="9">
        <f>FT133*($Q133*$S133)/(1+Voorblad!$K$44)^(BS$56-Voorblad!$F$41)</f>
        <v>0</v>
      </c>
      <c r="BT133" s="9">
        <f>FU133*($Q133*$S133)/(1+Voorblad!$K$44)^(BT$56-Voorblad!$F$41)</f>
        <v>0</v>
      </c>
      <c r="BU133" s="9">
        <f>FV133*($Q133*$S133)/(1+Voorblad!$K$44)^(BU$56-Voorblad!$F$41)</f>
        <v>0</v>
      </c>
      <c r="BV133" s="9">
        <f>FW133*($Q133*$S133)/(1+Voorblad!$K$44)^(BV$56-Voorblad!$F$41)</f>
        <v>0</v>
      </c>
      <c r="BW133" s="9">
        <f>FX133*($Q133*$S133)/(1+Voorblad!$K$44)^(BW$56-Voorblad!$F$41)</f>
        <v>0</v>
      </c>
      <c r="BX133" s="9">
        <f>FY133*($Q133*$S133)/(1+Voorblad!$K$44)^(BX$56-Voorblad!$F$41)</f>
        <v>0</v>
      </c>
      <c r="BY133" s="9">
        <f>FZ133*($Q133*$S133)/(1+Voorblad!$K$44)^(BY$56-Voorblad!$F$41)</f>
        <v>0</v>
      </c>
      <c r="BZ133" s="9">
        <f>GA133*($Q133*$S133)/(1+Voorblad!$K$44)^(BZ$56-Voorblad!$F$41)</f>
        <v>0</v>
      </c>
      <c r="CA133" s="9">
        <f>GB133*($Q133*$S133)/(1+Voorblad!$K$44)^(CA$56-Voorblad!$F$41)</f>
        <v>0</v>
      </c>
      <c r="CB133" s="9">
        <f>GC133*($Q133*$S133)/(1+Voorblad!$K$44)^(CB$56-Voorblad!$F$41)</f>
        <v>0</v>
      </c>
      <c r="CC133" s="9">
        <f>GD133*($Q133*$S133)/(1+Voorblad!$K$44)^(CC$56-Voorblad!$F$41)</f>
        <v>0</v>
      </c>
      <c r="CD133" s="9">
        <f>GE133*($Q133*$S133)/(1+Voorblad!$K$44)^(CD$56-Voorblad!$F$41)</f>
        <v>0</v>
      </c>
      <c r="CE133" s="9">
        <f>GF133*($Q133*$S133)/(1+Voorblad!$K$44)^(CE$56-Voorblad!$F$41)</f>
        <v>0</v>
      </c>
      <c r="CF133" s="9">
        <f>GG133*($Q133*$S133)/(1+Voorblad!$K$44)^(CF$56-Voorblad!$F$41)</f>
        <v>0</v>
      </c>
      <c r="CG133" s="9">
        <f>GH133*($Q133*$S133)/(1+Voorblad!$K$44)^(CG$56-Voorblad!$F$41)</f>
        <v>0</v>
      </c>
      <c r="CH133" s="9">
        <f>GI133*($Q133*$S133)/(1+Voorblad!$K$44)^(CH$56-Voorblad!$F$41)</f>
        <v>0</v>
      </c>
      <c r="CI133" s="9">
        <f>GJ133*($Q133*$S133)/(1+Voorblad!$K$44)^(CI$56-Voorblad!$F$41)</f>
        <v>0</v>
      </c>
      <c r="CJ133" s="9">
        <f>GK133*($Q133*$S133)/(1+Voorblad!$K$44)^(CJ$56-Voorblad!$F$41)</f>
        <v>0</v>
      </c>
      <c r="CK133" s="9">
        <f>GL133*($Q133*$S133)/(1+Voorblad!$K$44)^(CK$56-Voorblad!$F$41)</f>
        <v>0</v>
      </c>
      <c r="CL133" s="9">
        <f>GM133*($Q133*$S133)/(1+Voorblad!$K$44)^(CL$56-Voorblad!$F$41)</f>
        <v>0</v>
      </c>
      <c r="CM133" s="9">
        <f>GN133*($Q133*$S133)/(1+Voorblad!$K$44)^(CM$56-Voorblad!$F$41)</f>
        <v>2150.2163830778354</v>
      </c>
      <c r="CN133" s="9">
        <f>GO133*($Q133*$S133)/(1+Voorblad!$K$44)^(CN$56-Voorblad!$F$41)</f>
        <v>0</v>
      </c>
      <c r="CO133" s="9">
        <f>GP133*($Q133*$S133)/(1+Voorblad!$K$44)^(CO$56-Voorblad!$F$41)</f>
        <v>0</v>
      </c>
      <c r="CP133" s="9">
        <f>GQ133*($Q133*$S133)/(1+Voorblad!$K$44)^(CP$56-Voorblad!$F$41)</f>
        <v>0</v>
      </c>
      <c r="CQ133" s="9">
        <f>GR133*($Q133*$S133)/(1+Voorblad!$K$44)^(CQ$56-Voorblad!$F$41)</f>
        <v>0</v>
      </c>
      <c r="CR133" s="9">
        <f>GS133*($Q133*$S133)/(1+Voorblad!$K$44)^(CR$56-Voorblad!$F$41)</f>
        <v>0</v>
      </c>
      <c r="CS133" s="9">
        <f>GT133*($Q133*$S133)/(1+Voorblad!$K$44)^(CS$56-Voorblad!$F$41)</f>
        <v>0</v>
      </c>
      <c r="CT133" s="9">
        <f>GU133*($Q133*$S133)/(1+Voorblad!$K$44)^(CT$56-Voorblad!$F$41)</f>
        <v>0</v>
      </c>
      <c r="CU133" s="9">
        <f>GV133*($Q133*$S133)/(1+Voorblad!$K$44)^(CU$56-Voorblad!$F$41)</f>
        <v>0</v>
      </c>
      <c r="CV133" s="9">
        <f>GW133*($Q133*$S133)/(1+Voorblad!$K$44)^(CV$56-Voorblad!$F$41)</f>
        <v>0</v>
      </c>
      <c r="CW133" s="9">
        <f>GX133*($Q133*$S133)/(1+Voorblad!$K$44)^(CW$56-Voorblad!$F$41)</f>
        <v>0</v>
      </c>
      <c r="CX133" s="9">
        <f>GY133*($Q133*$S133)/(1+Voorblad!$K$44)^(CX$56-Voorblad!$F$41)</f>
        <v>0</v>
      </c>
      <c r="CY133" s="9">
        <f>GZ133*($Q133*$S133)/(1+Voorblad!$K$44)^(CY$56-Voorblad!$F$41)</f>
        <v>0</v>
      </c>
      <c r="CZ133" s="9">
        <f>HA133*($Q133*$S133)/(1+Voorblad!$K$44)^(CZ$56-Voorblad!$F$41)</f>
        <v>0</v>
      </c>
      <c r="DA133" s="9">
        <f>HB133*($Q133*$S133)/(1+Voorblad!$K$44)^(DA$56-Voorblad!$F$41)</f>
        <v>0</v>
      </c>
      <c r="DB133" s="9">
        <f>HC133*($Q133*$S133)/(1+Voorblad!$K$44)^(DB$56-Voorblad!$F$41)</f>
        <v>0</v>
      </c>
      <c r="DC133" s="9">
        <f>HD133*($Q133*$S133)/(1+Voorblad!$K$44)^(DC$56-Voorblad!$F$41)</f>
        <v>0</v>
      </c>
      <c r="DD133" s="9">
        <f>HE133*($Q133*$S133)/(1+Voorblad!$K$44)^(DD$56-Voorblad!$F$41)</f>
        <v>0</v>
      </c>
      <c r="DE133" s="9">
        <f>HF133*($Q133*$S133)/(1+Voorblad!$K$44)^(DE$56-Voorblad!$F$41)</f>
        <v>0</v>
      </c>
      <c r="DF133" s="9">
        <f>HG133*($Q133*$S133)/(1+Voorblad!$K$44)^(DF$56-Voorblad!$F$41)</f>
        <v>0</v>
      </c>
      <c r="DG133" s="9">
        <f>HH133*($Q133*$S133)/(1+Voorblad!$K$44)^(DG$56-Voorblad!$F$41)</f>
        <v>0</v>
      </c>
      <c r="DH133" s="9">
        <f>HI133*($Q133*$S133)/(1+Voorblad!$K$44)^(DH$56-Voorblad!$F$41)</f>
        <v>0</v>
      </c>
      <c r="DI133" s="9">
        <f>HJ133*($Q133*$S133)/(1+Voorblad!$K$44)^(DI$56-Voorblad!$F$41)</f>
        <v>0</v>
      </c>
      <c r="DJ133" s="9">
        <f>HK133*($Q133*$S133)/(1+Voorblad!$K$44)^(DJ$56-Voorblad!$F$41)</f>
        <v>0</v>
      </c>
      <c r="DK133" s="9">
        <f>HL133*($Q133*$S133)/(1+Voorblad!$K$44)^(DK$56-Voorblad!$F$41)</f>
        <v>0</v>
      </c>
      <c r="DL133" s="9">
        <f>HM133*($Q133*$S133)/(1+Voorblad!$K$44)^(DL$56-Voorblad!$F$41)</f>
        <v>0</v>
      </c>
      <c r="DM133" s="9">
        <f>HN133*($Q133*$S133)/(1+Voorblad!$K$44)^(DM$56-Voorblad!$F$41)</f>
        <v>0</v>
      </c>
      <c r="DN133" s="9">
        <f>HO133*($Q133*$S133)/(1+Voorblad!$K$44)^(DN$56-Voorblad!$F$41)</f>
        <v>0</v>
      </c>
      <c r="DO133" s="9">
        <f>HP133*($Q133*$S133)/(1+Voorblad!$K$44)^(DO$56-Voorblad!$F$41)</f>
        <v>0</v>
      </c>
      <c r="DP133" s="9">
        <f>HQ133*($Q133*$S133)/(1+Voorblad!$K$44)^(DP$56-Voorblad!$F$41)</f>
        <v>0</v>
      </c>
      <c r="DQ133" s="9">
        <f>HR133*($Q133*$S133)/(1+Voorblad!$K$44)^(DQ$56-Voorblad!$F$41)</f>
        <v>0</v>
      </c>
      <c r="DR133" s="9">
        <f>HS133*($Q133*$S133)/(1+Voorblad!$K$44)^(DR$56-Voorblad!$F$41)</f>
        <v>0</v>
      </c>
      <c r="DS133" s="9">
        <f>HT133*($Q133*$S133)/(1+Voorblad!$K$44)^(DS$56-Voorblad!$F$41)</f>
        <v>0</v>
      </c>
      <c r="DT133" s="9">
        <f>HU133*($Q133*$S133)/(1+Voorblad!$K$44)^(DT$56-Voorblad!$F$41)</f>
        <v>0</v>
      </c>
      <c r="DU133" s="9">
        <f>HV133*($Q133*$S133)/(1+Voorblad!$K$44)^(DU$56-Voorblad!$F$41)</f>
        <v>0</v>
      </c>
      <c r="DV133" s="9">
        <f>HW133*($Q133*$S133)/(1+Voorblad!$K$44)^(DV$56-Voorblad!$F$41)</f>
        <v>0</v>
      </c>
      <c r="DW133" s="9">
        <f>HX133*($Q133*$S133)/(1+Voorblad!$K$44)^(DW$56-Voorblad!$F$41)</f>
        <v>0</v>
      </c>
      <c r="DX133" s="9">
        <f>HY133*($Q133*$S133)/(1+Voorblad!$K$44)^(DX$56-Voorblad!$F$41)</f>
        <v>0</v>
      </c>
      <c r="DY133" s="9">
        <f>HZ133*($Q133*$S133)/(1+Voorblad!$K$44)^(DY$56-Voorblad!$F$41)</f>
        <v>0</v>
      </c>
      <c r="DZ133" s="9">
        <f>IA133*($Q133*$S133)/(1+Voorblad!$K$44)^(DZ$56-Voorblad!$F$41)</f>
        <v>0</v>
      </c>
      <c r="EA133" s="9">
        <f>IB133*($Q133*$S133)/(1+Voorblad!$K$44)^(EA$56-Voorblad!$F$41)</f>
        <v>0</v>
      </c>
      <c r="EB133" s="9">
        <f>IC133*($Q133*$S133)/(1+Voorblad!$K$44)^(EB$56-Voorblad!$F$41)</f>
        <v>0</v>
      </c>
      <c r="EE133" s="8">
        <v>0</v>
      </c>
      <c r="EF133" s="8">
        <f>IF(EF$56-Voorblad!$F$41&gt;Voorblad!$K$41,0,IF($U133=0,0,IF($U133&lt;1,1/$U133,IF((EF$56-Voorblad!$F$41)/$U133-SUM($EE133:EE133)=1,1,0))))</f>
        <v>0</v>
      </c>
      <c r="EG133" s="8">
        <f>IF(EG$56-Voorblad!$F$41&gt;Voorblad!$K$41,0,IF($U133=0,0,IF($U133&lt;1,1/$U133,IF((EG$56-Voorblad!$F$41)/$U133-SUM($EE133:EF133)=1,1,0))))</f>
        <v>0</v>
      </c>
      <c r="EH133" s="8">
        <f>IF(EH$56-Voorblad!$F$41&gt;Voorblad!$K$41,0,IF($U133=0,0,IF($U133&lt;1,1/$U133,IF((EH$56-Voorblad!$F$41)/$U133-SUM($EE133:EG133)=1,1,0))))</f>
        <v>0</v>
      </c>
      <c r="EI133" s="8">
        <f>IF(EI$56-Voorblad!$F$41&gt;Voorblad!$K$41,0,IF($U133=0,0,IF($U133&lt;1,1/$U133,IF((EI$56-Voorblad!$F$41)/$U133-SUM($EE133:EH133)=1,1,0))))</f>
        <v>0</v>
      </c>
      <c r="EJ133" s="8">
        <f>IF(EJ$56-Voorblad!$F$41&gt;Voorblad!$K$41,0,IF($U133=0,0,IF($U133&lt;1,1/$U133,IF((EJ$56-Voorblad!$F$41)/$U133-SUM($EE133:EI133)=1,1,0))))</f>
        <v>0</v>
      </c>
      <c r="EK133" s="8">
        <f>IF(EK$56-Voorblad!$F$41&gt;Voorblad!$K$41,0,IF($U133=0,0,IF($U133&lt;1,1/$U133,IF((EK$56-Voorblad!$F$41)/$U133-SUM($EE133:EJ133)=1,1,0))))</f>
        <v>0</v>
      </c>
      <c r="EL133" s="8">
        <f>IF(EL$56-Voorblad!$F$41&gt;Voorblad!$K$41,0,IF($U133=0,0,IF($U133&lt;1,1/$U133,IF((EL$56-Voorblad!$F$41)/$U133-SUM($EE133:EK133)=1,1,0))))</f>
        <v>0</v>
      </c>
      <c r="EM133" s="8">
        <f>IF(EM$56-Voorblad!$F$41&gt;Voorblad!$K$41,0,IF($U133=0,0,IF($U133&lt;1,1/$U133,IF((EM$56-Voorblad!$F$41)/$U133-SUM($EE133:EL133)=1,1,0))))</f>
        <v>0</v>
      </c>
      <c r="EN133" s="8">
        <f>IF(EN$56-Voorblad!$F$41&gt;Voorblad!$K$41,0,IF($U133=0,0,IF($U133&lt;1,1/$U133,IF((EN$56-Voorblad!$F$41)/$U133-SUM($EE133:EM133)=1,1,0))))</f>
        <v>0</v>
      </c>
      <c r="EO133" s="8">
        <f>IF(EO$56-Voorblad!$F$41&gt;Voorblad!$K$41,0,IF($U133=0,0,IF($U133&lt;1,1/$U133,IF((EO$56-Voorblad!$F$41)/$U133-SUM($EE133:EN133)=1,1,0))))</f>
        <v>0</v>
      </c>
      <c r="EP133" s="8">
        <f>IF(EP$56-Voorblad!$F$41&gt;Voorblad!$K$41,0,IF($U133=0,0,IF($U133&lt;1,1/$U133,IF((EP$56-Voorblad!$F$41)/$U133-SUM($EE133:EO133)=1,1,0))))</f>
        <v>0</v>
      </c>
      <c r="EQ133" s="8">
        <f>IF(EQ$56-Voorblad!$F$41&gt;Voorblad!$K$41,0,IF($U133=0,0,IF($U133&lt;1,1/$U133,IF((EQ$56-Voorblad!$F$41)/$U133-SUM($EE133:EP133)=1,1,0))))</f>
        <v>0</v>
      </c>
      <c r="ER133" s="8">
        <f>IF(ER$56-Voorblad!$F$41&gt;Voorblad!$K$41,0,IF($U133=0,0,IF($U133&lt;1,1/$U133,IF((ER$56-Voorblad!$F$41)/$U133-SUM($EE133:EQ133)=1,1,0))))</f>
        <v>0</v>
      </c>
      <c r="ES133" s="8">
        <f>IF(ES$56-Voorblad!$F$41&gt;Voorblad!$K$41,0,IF($U133=0,0,IF($U133&lt;1,1/$U133,IF((ES$56-Voorblad!$F$41)/$U133-SUM($EE133:ER133)=1,1,0))))</f>
        <v>0</v>
      </c>
      <c r="ET133" s="8">
        <f>IF(ET$56-Voorblad!$F$41&gt;Voorblad!$K$41,0,IF($U133=0,0,IF($U133&lt;1,1/$U133,IF((ET$56-Voorblad!$F$41)/$U133-SUM($EE133:ES133)=1,1,0))))</f>
        <v>0</v>
      </c>
      <c r="EU133" s="8">
        <f>IF(EU$56-Voorblad!$F$41&gt;Voorblad!$K$41,0,IF($U133=0,0,IF($U133&lt;1,1/$U133,IF((EU$56-Voorblad!$F$41)/$U133-SUM($EE133:ET133)=1,1,0))))</f>
        <v>0</v>
      </c>
      <c r="EV133" s="8">
        <f>IF(EV$56-Voorblad!$F$41&gt;Voorblad!$K$41,0,IF($U133=0,0,IF($U133&lt;1,1/$U133,IF((EV$56-Voorblad!$F$41)/$U133-SUM($EE133:EU133)=1,1,0))))</f>
        <v>0</v>
      </c>
      <c r="EW133" s="8">
        <f>IF(EW$56-Voorblad!$F$41&gt;Voorblad!$K$41,0,IF($U133=0,0,IF($U133&lt;1,1/$U133,IF((EW$56-Voorblad!$F$41)/$U133-SUM($EE133:EV133)=1,1,0))))</f>
        <v>0</v>
      </c>
      <c r="EX133" s="8">
        <f>IF(EX$56-Voorblad!$F$41&gt;Voorblad!$K$41,0,IF($U133=0,0,IF($U133&lt;1,1/$U133,IF((EX$56-Voorblad!$F$41)/$U133-SUM($EE133:EW133)=1,1,0))))</f>
        <v>0</v>
      </c>
      <c r="EY133" s="8">
        <f>IF(EY$56-Voorblad!$F$41&gt;Voorblad!$K$41,0,IF($U133=0,0,IF($U133&lt;1,1/$U133,IF((EY$56-Voorblad!$F$41)/$U133-SUM($EE133:EX133)=1,1,0))))</f>
        <v>0</v>
      </c>
      <c r="EZ133" s="8">
        <f>IF(EZ$56-Voorblad!$F$41&gt;Voorblad!$K$41,0,IF($U133=0,0,IF($U133&lt;1,1/$U133,IF((EZ$56-Voorblad!$F$41)/$U133-SUM($EE133:EY133)=1,1,0))))</f>
        <v>0</v>
      </c>
      <c r="FA133" s="8">
        <f>IF(FA$56-Voorblad!$F$41&gt;Voorblad!$K$41,0,IF($U133=0,0,IF($U133&lt;1,1/$U133,IF((FA$56-Voorblad!$F$41)/$U133-SUM($EE133:EZ133)=1,1,0))))</f>
        <v>0</v>
      </c>
      <c r="FB133" s="8">
        <f>IF(FB$56-Voorblad!$F$41&gt;Voorblad!$K$41,0,IF($U133=0,0,IF($U133&lt;1,1/$U133,IF((FB$56-Voorblad!$F$41)/$U133-SUM($EE133:FA133)=1,1,0))))</f>
        <v>0</v>
      </c>
      <c r="FC133" s="8">
        <f>IF(FC$56-Voorblad!$F$41&gt;Voorblad!$K$41,0,IF($U133=0,0,IF($U133&lt;1,1/$U133,IF((FC$56-Voorblad!$F$41)/$U133-SUM($EE133:FB133)=1,1,0))))</f>
        <v>0</v>
      </c>
      <c r="FD133" s="8">
        <f>IF(FD$56-Voorblad!$F$41&gt;Voorblad!$K$41,0,IF($U133=0,0,IF($U133&lt;1,1/$U133,IF((FD$56-Voorblad!$F$41)/$U133-SUM($EE133:FC133)=1,1,0))))</f>
        <v>0</v>
      </c>
      <c r="FE133" s="8">
        <f>IF(FE$56-Voorblad!$F$41&gt;Voorblad!$K$41,0,IF($U133=0,0,IF($U133&lt;1,1/$U133,IF((FE$56-Voorblad!$F$41)/$U133-SUM($EE133:FD133)=1,1,0))))</f>
        <v>0</v>
      </c>
      <c r="FF133" s="8">
        <f>IF(FF$56-Voorblad!$F$41&gt;Voorblad!$K$41,0,IF($U133=0,0,IF($U133&lt;1,1/$U133,IF((FF$56-Voorblad!$F$41)/$U133-SUM($EE133:FE133)=1,1,0))))</f>
        <v>0</v>
      </c>
      <c r="FG133" s="8">
        <f>IF(FG$56-Voorblad!$F$41&gt;Voorblad!$K$41,0,IF($U133=0,0,IF($U133&lt;1,1/$U133,IF((FG$56-Voorblad!$F$41)/$U133-SUM($EE133:FF133)=1,1,0))))</f>
        <v>0</v>
      </c>
      <c r="FH133" s="8">
        <f>IF(FH$56-Voorblad!$F$41&gt;Voorblad!$K$41,0,IF($U133=0,0,IF($U133&lt;1,1/$U133,IF((FH$56-Voorblad!$F$41)/$U133-SUM($EE133:FG133)=1,1,0))))</f>
        <v>0</v>
      </c>
      <c r="FI133" s="8">
        <f>IF(FI$56-Voorblad!$F$41&gt;Voorblad!$K$41,0,IF($U133=0,0,IF($U133&lt;1,1/$U133,IF((FI$56-Voorblad!$F$41)/$U133-SUM($EE133:FH133)=1,1,0))))</f>
        <v>0</v>
      </c>
      <c r="FJ133" s="8">
        <f>IF(FJ$56-Voorblad!$F$41&gt;Voorblad!$K$41,0,IF($U133=0,0,IF($U133&lt;1,1/$U133,IF((FJ$56-Voorblad!$F$41)/$U133-SUM($EE133:FI133)=1,1,0))))</f>
        <v>1</v>
      </c>
      <c r="FK133" s="8">
        <f>IF(FK$56-Voorblad!$F$41&gt;Voorblad!$K$41,0,IF($U133=0,0,IF($U133&lt;1,1/$U133,IF((FK$56-Voorblad!$F$41)/$U133-SUM($EE133:FJ133)=1,1,0))))</f>
        <v>0</v>
      </c>
      <c r="FL133" s="8">
        <f>IF(FL$56-Voorblad!$F$41&gt;Voorblad!$K$41,0,IF($U133=0,0,IF($U133&lt;1,1/$U133,IF((FL$56-Voorblad!$F$41)/$U133-SUM($EE133:FK133)=1,1,0))))</f>
        <v>0</v>
      </c>
      <c r="FM133" s="8">
        <f>IF(FM$56-Voorblad!$F$41&gt;Voorblad!$K$41,0,IF($U133=0,0,IF($U133&lt;1,1/$U133,IF((FM$56-Voorblad!$F$41)/$U133-SUM($EE133:FL133)=1,1,0))))</f>
        <v>0</v>
      </c>
      <c r="FN133" s="8">
        <f>IF(FN$56-Voorblad!$F$41&gt;Voorblad!$K$41,0,IF($U133=0,0,IF($U133&lt;1,1/$U133,IF((FN$56-Voorblad!$F$41)/$U133-SUM($EE133:FM133)=1,1,0))))</f>
        <v>0</v>
      </c>
      <c r="FO133" s="8">
        <f>IF(FO$56-Voorblad!$F$41&gt;Voorblad!$K$41,0,IF($U133=0,0,IF($U133&lt;1,1/$U133,IF((FO$56-Voorblad!$F$41)/$U133-SUM($EE133:FN133)=1,1,0))))</f>
        <v>0</v>
      </c>
      <c r="FP133" s="8">
        <f>IF(FP$56-Voorblad!$F$41&gt;Voorblad!$K$41,0,IF($U133=0,0,IF($U133&lt;1,1/$U133,IF((FP$56-Voorblad!$F$41)/$U133-SUM($EE133:FO133)=1,1,0))))</f>
        <v>0</v>
      </c>
      <c r="FQ133" s="8">
        <f>IF(FQ$56-Voorblad!$F$41&gt;Voorblad!$K$41,0,IF($U133=0,0,IF($U133&lt;1,1/$U133,IF((FQ$56-Voorblad!$F$41)/$U133-SUM($EE133:FP133)=1,1,0))))</f>
        <v>0</v>
      </c>
      <c r="FR133" s="8">
        <f>IF(FR$56-Voorblad!$F$41&gt;Voorblad!$K$41,0,IF($U133=0,0,IF($U133&lt;1,1/$U133,IF((FR$56-Voorblad!$F$41)/$U133-SUM($EE133:FQ133)=1,1,0))))</f>
        <v>0</v>
      </c>
      <c r="FS133" s="8">
        <f>IF(FS$56-Voorblad!$F$41&gt;Voorblad!$K$41,0,IF($U133=0,0,IF($U133&lt;1,1/$U133,IF((FS$56-Voorblad!$F$41)/$U133-SUM($EE133:FR133)=1,1,0))))</f>
        <v>0</v>
      </c>
      <c r="FT133" s="8">
        <f>IF(FT$56-Voorblad!$F$41&gt;Voorblad!$K$41,0,IF($U133=0,0,IF($U133&lt;1,1/$U133,IF((FT$56-Voorblad!$F$41)/$U133-SUM($EE133:FS133)=1,1,0))))</f>
        <v>0</v>
      </c>
      <c r="FU133" s="8">
        <f>IF(FU$56-Voorblad!$F$41&gt;Voorblad!$K$41,0,IF($U133=0,0,IF($U133&lt;1,1/$U133,IF((FU$56-Voorblad!$F$41)/$U133-SUM($EE133:FT133)=1,1,0))))</f>
        <v>0</v>
      </c>
      <c r="FV133" s="8">
        <f>IF(FV$56-Voorblad!$F$41&gt;Voorblad!$K$41,0,IF($U133=0,0,IF($U133&lt;1,1/$U133,IF((FV$56-Voorblad!$F$41)/$U133-SUM($EE133:FU133)=1,1,0))))</f>
        <v>0</v>
      </c>
      <c r="FW133" s="8">
        <f>IF(FW$56-Voorblad!$F$41&gt;Voorblad!$K$41,0,IF($U133=0,0,IF($U133&lt;1,1/$U133,IF((FW$56-Voorblad!$F$41)/$U133-SUM($EE133:FV133)=1,1,0))))</f>
        <v>0</v>
      </c>
      <c r="FX133" s="8">
        <f>IF(FX$56-Voorblad!$F$41&gt;Voorblad!$K$41,0,IF($U133=0,0,IF($U133&lt;1,1/$U133,IF((FX$56-Voorblad!$F$41)/$U133-SUM($EE133:FW133)=1,1,0))))</f>
        <v>0</v>
      </c>
      <c r="FY133" s="8">
        <f>IF(FY$56-Voorblad!$F$41&gt;Voorblad!$K$41,0,IF($U133=0,0,IF($U133&lt;1,1/$U133,IF((FY$56-Voorblad!$F$41)/$U133-SUM($EE133:FX133)=1,1,0))))</f>
        <v>0</v>
      </c>
      <c r="FZ133" s="8">
        <f>IF(FZ$56-Voorblad!$F$41&gt;Voorblad!$K$41,0,IF($U133=0,0,IF($U133&lt;1,1/$U133,IF((FZ$56-Voorblad!$F$41)/$U133-SUM($EE133:FY133)=1,1,0))))</f>
        <v>0</v>
      </c>
      <c r="GA133" s="8">
        <f>IF(GA$56-Voorblad!$F$41&gt;Voorblad!$K$41,0,IF($U133=0,0,IF($U133&lt;1,1/$U133,IF((GA$56-Voorblad!$F$41)/$U133-SUM($EE133:FZ133)=1,1,0))))</f>
        <v>0</v>
      </c>
      <c r="GB133" s="8">
        <f>IF(GB$56-Voorblad!$F$41&gt;Voorblad!$K$41,0,IF($U133=0,0,IF($U133&lt;1,1/$U133,IF((GB$56-Voorblad!$F$41)/$U133-SUM($EE133:GA133)=1,1,0))))</f>
        <v>0</v>
      </c>
      <c r="GC133" s="8">
        <f>IF(GC$56-Voorblad!$F$41&gt;Voorblad!$K$41,0,IF($U133=0,0,IF($U133&lt;1,1/$U133,IF((GC$56-Voorblad!$F$41)/$U133-SUM($EE133:GB133)=1,1,0))))</f>
        <v>0</v>
      </c>
      <c r="GD133" s="8">
        <f>IF(GD$56-Voorblad!$F$41&gt;Voorblad!$K$41,0,IF($U133=0,0,IF($U133&lt;1,1/$U133,IF((GD$56-Voorblad!$F$41)/$U133-SUM($EE133:GC133)=1,1,0))))</f>
        <v>0</v>
      </c>
      <c r="GE133" s="8">
        <f>IF(GE$56-Voorblad!$F$41&gt;Voorblad!$K$41,0,IF($U133=0,0,IF($U133&lt;1,1/$U133,IF((GE$56-Voorblad!$F$41)/$U133-SUM($EE133:GD133)=1,1,0))))</f>
        <v>0</v>
      </c>
      <c r="GF133" s="8">
        <f>IF(GF$56-Voorblad!$F$41&gt;Voorblad!$K$41,0,IF($U133=0,0,IF($U133&lt;1,1/$U133,IF((GF$56-Voorblad!$F$41)/$U133-SUM($EE133:GE133)=1,1,0))))</f>
        <v>0</v>
      </c>
      <c r="GG133" s="8">
        <f>IF(GG$56-Voorblad!$F$41&gt;Voorblad!$K$41,0,IF($U133=0,0,IF($U133&lt;1,1/$U133,IF((GG$56-Voorblad!$F$41)/$U133-SUM($EE133:GF133)=1,1,0))))</f>
        <v>0</v>
      </c>
      <c r="GH133" s="8">
        <f>IF(GH$56-Voorblad!$F$41&gt;Voorblad!$K$41,0,IF($U133=0,0,IF($U133&lt;1,1/$U133,IF((GH$56-Voorblad!$F$41)/$U133-SUM($EE133:GG133)=1,1,0))))</f>
        <v>0</v>
      </c>
      <c r="GI133" s="8">
        <f>IF(GI$56-Voorblad!$F$41&gt;Voorblad!$K$41,0,IF($U133=0,0,IF($U133&lt;1,1/$U133,IF((GI$56-Voorblad!$F$41)/$U133-SUM($EE133:GH133)=1,1,0))))</f>
        <v>0</v>
      </c>
      <c r="GJ133" s="8">
        <f>IF(GJ$56-Voorblad!$F$41&gt;Voorblad!$K$41,0,IF($U133=0,0,IF($U133&lt;1,1/$U133,IF((GJ$56-Voorblad!$F$41)/$U133-SUM($EE133:GI133)=1,1,0))))</f>
        <v>0</v>
      </c>
      <c r="GK133" s="8">
        <f>IF(GK$56-Voorblad!$F$41&gt;Voorblad!$K$41,0,IF($U133=0,0,IF($U133&lt;1,1/$U133,IF((GK$56-Voorblad!$F$41)/$U133-SUM($EE133:GJ133)=1,1,0))))</f>
        <v>0</v>
      </c>
      <c r="GL133" s="8">
        <f>IF(GL$56-Voorblad!$F$41&gt;Voorblad!$K$41,0,IF($U133=0,0,IF($U133&lt;1,1/$U133,IF((GL$56-Voorblad!$F$41)/$U133-SUM($EE133:GK133)=1,1,0))))</f>
        <v>0</v>
      </c>
      <c r="GM133" s="8">
        <f>IF(GM$56-Voorblad!$F$41&gt;Voorblad!$K$41,0,IF($U133=0,0,IF($U133&lt;1,1/$U133,IF((GM$56-Voorblad!$F$41)/$U133-SUM($EE133:GL133)=1,1,0))))</f>
        <v>0</v>
      </c>
      <c r="GN133" s="8">
        <f>IF(GN$56-Voorblad!$F$41&gt;Voorblad!$K$41,0,IF($U133=0,0,IF($U133&lt;1,1/$U133,IF((GN$56-Voorblad!$F$41)/$U133-SUM($EE133:GM133)=1,1,0))))</f>
        <v>1</v>
      </c>
      <c r="GO133" s="8">
        <f>IF(GO$56-Voorblad!$F$41&gt;Voorblad!$K$41,0,IF($U133=0,0,IF($U133&lt;1,1/$U133,IF((GO$56-Voorblad!$F$41)/$U133-SUM($EE133:GN133)=1,1,0))))</f>
        <v>0</v>
      </c>
      <c r="GP133" s="8">
        <f>IF(GP$56-Voorblad!$F$41&gt;Voorblad!$K$41,0,IF($U133=0,0,IF($U133&lt;1,1/$U133,IF((GP$56-Voorblad!$F$41)/$U133-SUM($EE133:GO133)=1,1,0))))</f>
        <v>0</v>
      </c>
      <c r="GQ133" s="8">
        <f>IF(GQ$56-Voorblad!$F$41&gt;Voorblad!$K$41,0,IF($U133=0,0,IF($U133&lt;1,1/$U133,IF((GQ$56-Voorblad!$F$41)/$U133-SUM($EE133:GP133)=1,1,0))))</f>
        <v>0</v>
      </c>
      <c r="GR133" s="8">
        <f>IF(GR$56-Voorblad!$F$41&gt;Voorblad!$K$41,0,IF($U133=0,0,IF($U133&lt;1,1/$U133,IF((GR$56-Voorblad!$F$41)/$U133-SUM($EE133:GQ133)=1,1,0))))</f>
        <v>0</v>
      </c>
      <c r="GS133" s="8">
        <f>IF(GS$56-Voorblad!$F$41&gt;Voorblad!$K$41,0,IF($U133=0,0,IF($U133&lt;1,1/$U133,IF((GS$56-Voorblad!$F$41)/$U133-SUM($EE133:GR133)=1,1,0))))</f>
        <v>0</v>
      </c>
      <c r="GT133" s="8">
        <f>IF(GT$56-Voorblad!$F$41&gt;Voorblad!$K$41,0,IF($U133=0,0,IF($U133&lt;1,1/$U133,IF((GT$56-Voorblad!$F$41)/$U133-SUM($EE133:GS133)=1,1,0))))</f>
        <v>0</v>
      </c>
      <c r="GU133" s="8">
        <f>IF(GU$56-Voorblad!$F$41&gt;Voorblad!$K$41,0,IF($U133=0,0,IF($U133&lt;1,1/$U133,IF((GU$56-Voorblad!$F$41)/$U133-SUM($EE133:GT133)=1,1,0))))</f>
        <v>0</v>
      </c>
      <c r="GV133" s="8">
        <f>IF(GV$56-Voorblad!$F$41&gt;Voorblad!$K$41,0,IF($U133=0,0,IF($U133&lt;1,1/$U133,IF((GV$56-Voorblad!$F$41)/$U133-SUM($EE133:GU133)=1,1,0))))</f>
        <v>0</v>
      </c>
      <c r="GW133" s="8">
        <f>IF(GW$56-Voorblad!$F$41&gt;Voorblad!$K$41,0,IF($U133=0,0,IF($U133&lt;1,1/$U133,IF((GW$56-Voorblad!$F$41)/$U133-SUM($EE133:GV133)=1,1,0))))</f>
        <v>0</v>
      </c>
      <c r="GX133" s="8">
        <f>IF(GX$56-Voorblad!$F$41&gt;Voorblad!$K$41,0,IF($U133=0,0,IF($U133&lt;1,1/$U133,IF((GX$56-Voorblad!$F$41)/$U133-SUM($EE133:GW133)=1,1,0))))</f>
        <v>0</v>
      </c>
      <c r="GY133" s="8">
        <f>IF(GY$56-Voorblad!$F$41&gt;Voorblad!$K$41,0,IF($U133=0,0,IF($U133&lt;1,1/$U133,IF((GY$56-Voorblad!$F$41)/$U133-SUM($EE133:GX133)=1,1,0))))</f>
        <v>0</v>
      </c>
      <c r="GZ133" s="8">
        <f>IF(GZ$56-Voorblad!$F$41&gt;Voorblad!$K$41,0,IF($U133=0,0,IF($U133&lt;1,1/$U133,IF((GZ$56-Voorblad!$F$41)/$U133-SUM($EE133:GY133)=1,1,0))))</f>
        <v>0</v>
      </c>
      <c r="HA133" s="8">
        <f>IF(HA$56-Voorblad!$F$41&gt;Voorblad!$K$41,0,IF($U133=0,0,IF($U133&lt;1,1/$U133,IF((HA$56-Voorblad!$F$41)/$U133-SUM($EE133:GZ133)=1,1,0))))</f>
        <v>0</v>
      </c>
      <c r="HB133" s="8">
        <f>IF(HB$56-Voorblad!$F$41&gt;Voorblad!$K$41,0,IF($U133=0,0,IF($U133&lt;1,1/$U133,IF((HB$56-Voorblad!$F$41)/$U133-SUM($EE133:HA133)=1,1,0))))</f>
        <v>0</v>
      </c>
      <c r="HC133" s="8">
        <f>IF(HC$56-Voorblad!$F$41&gt;Voorblad!$K$41,0,IF($U133=0,0,IF($U133&lt;1,1/$U133,IF((HC$56-Voorblad!$F$41)/$U133-SUM($EE133:HB133)=1,1,0))))</f>
        <v>0</v>
      </c>
      <c r="HD133" s="8">
        <f>IF(HD$56-Voorblad!$F$41&gt;Voorblad!$K$41,0,IF($U133=0,0,IF($U133&lt;1,1/$U133,IF((HD$56-Voorblad!$F$41)/$U133-SUM($EE133:HC133)=1,1,0))))</f>
        <v>0</v>
      </c>
      <c r="HE133" s="8">
        <f>IF(HE$56-Voorblad!$F$41&gt;Voorblad!$K$41,0,IF($U133=0,0,IF($U133&lt;1,1/$U133,IF((HE$56-Voorblad!$F$41)/$U133-SUM($EE133:HD133)=1,1,0))))</f>
        <v>0</v>
      </c>
      <c r="HF133" s="8">
        <f>IF(HF$56-Voorblad!$F$41&gt;Voorblad!$K$41,0,IF($U133=0,0,IF($U133&lt;1,1/$U133,IF((HF$56-Voorblad!$F$41)/$U133-SUM($EE133:HE133)=1,1,0))))</f>
        <v>0</v>
      </c>
      <c r="HG133" s="8">
        <f>IF(HG$56-Voorblad!$F$41&gt;Voorblad!$K$41,0,IF($U133=0,0,IF($U133&lt;1,1/$U133,IF((HG$56-Voorblad!$F$41)/$U133-SUM($EE133:HF133)=1,1,0))))</f>
        <v>0</v>
      </c>
      <c r="HH133" s="8">
        <f>IF(HH$56-Voorblad!$F$41&gt;Voorblad!$K$41,0,IF($U133=0,0,IF($U133&lt;1,1/$U133,IF((HH$56-Voorblad!$F$41)/$U133-SUM($EE133:HG133)=1,1,0))))</f>
        <v>0</v>
      </c>
      <c r="HI133" s="8">
        <f>IF(HI$56-Voorblad!$F$41&gt;Voorblad!$K$41,0,IF($U133=0,0,IF($U133&lt;1,1/$U133,IF((HI$56-Voorblad!$F$41)/$U133-SUM($EE133:HH133)=1,1,0))))</f>
        <v>0</v>
      </c>
      <c r="HJ133" s="8">
        <f>IF(HJ$56-Voorblad!$F$41&gt;Voorblad!$K$41,0,IF($U133=0,0,IF($U133&lt;1,1/$U133,IF((HJ$56-Voorblad!$F$41)/$U133-SUM($EE133:HI133)=1,1,0))))</f>
        <v>0</v>
      </c>
      <c r="HK133" s="8">
        <f>IF(HK$56-Voorblad!$F$41&gt;Voorblad!$K$41,0,IF($U133=0,0,IF($U133&lt;1,1/$U133,IF((HK$56-Voorblad!$F$41)/$U133-SUM($EE133:HJ133)=1,1,0))))</f>
        <v>0</v>
      </c>
      <c r="HL133" s="8">
        <f>IF(HL$56-Voorblad!$F$41&gt;Voorblad!$K$41,0,IF($U133=0,0,IF($U133&lt;1,1/$U133,IF((HL$56-Voorblad!$F$41)/$U133-SUM($EE133:HK133)=1,1,0))))</f>
        <v>0</v>
      </c>
      <c r="HM133" s="8">
        <f>IF(HM$56-Voorblad!$F$41&gt;Voorblad!$K$41,0,IF($U133=0,0,IF($U133&lt;1,1/$U133,IF((HM$56-Voorblad!$F$41)/$U133-SUM($EE133:HL133)=1,1,0))))</f>
        <v>0</v>
      </c>
      <c r="HN133" s="8">
        <f>IF(HN$56-Voorblad!$F$41&gt;Voorblad!$K$41,0,IF($U133=0,0,IF($U133&lt;1,1/$U133,IF((HN$56-Voorblad!$F$41)/$U133-SUM($EE133:HM133)=1,1,0))))</f>
        <v>0</v>
      </c>
      <c r="HO133" s="8">
        <f>IF(HO$56-Voorblad!$F$41&gt;Voorblad!$K$41,0,IF($U133=0,0,IF($U133&lt;1,1/$U133,IF((HO$56-Voorblad!$F$41)/$U133-SUM($EE133:HN133)=1,1,0))))</f>
        <v>0</v>
      </c>
      <c r="HP133" s="8">
        <f>IF(HP$56-Voorblad!$F$41&gt;Voorblad!$K$41,0,IF($U133=0,0,IF($U133&lt;1,1/$U133,IF((HP$56-Voorblad!$F$41)/$U133-SUM($EE133:HO133)=1,1,0))))</f>
        <v>0</v>
      </c>
      <c r="HQ133" s="8">
        <f>IF(HQ$56-Voorblad!$F$41&gt;Voorblad!$K$41,0,IF($U133=0,0,IF($U133&lt;1,1/$U133,IF((HQ$56-Voorblad!$F$41)/$U133-SUM($EE133:HP133)=1,1,0))))</f>
        <v>0</v>
      </c>
      <c r="HR133" s="8">
        <f>IF(HR$56-Voorblad!$F$41&gt;Voorblad!$K$41,0,IF($U133=0,0,IF($U133&lt;1,1/$U133,IF((HR$56-Voorblad!$F$41)/$U133-SUM($EE133:HQ133)=1,1,0))))</f>
        <v>0</v>
      </c>
      <c r="HS133" s="8">
        <f>IF(HS$56-Voorblad!$F$41&gt;Voorblad!$K$41,0,IF($U133=0,0,IF($U133&lt;1,1/$U133,IF((HS$56-Voorblad!$F$41)/$U133-SUM($EE133:HR133)=1,1,0))))</f>
        <v>0</v>
      </c>
      <c r="HT133" s="8">
        <f>IF(HT$56-Voorblad!$F$41&gt;Voorblad!$K$41,0,IF($U133=0,0,IF($U133&lt;1,1/$U133,IF((HT$56-Voorblad!$F$41)/$U133-SUM($EE133:HS133)=1,1,0))))</f>
        <v>0</v>
      </c>
      <c r="HU133" s="8">
        <f>IF(HU$56-Voorblad!$F$41&gt;Voorblad!$K$41,0,IF($U133=0,0,IF($U133&lt;1,1/$U133,IF((HU$56-Voorblad!$F$41)/$U133-SUM($EE133:HT133)=1,1,0))))</f>
        <v>0</v>
      </c>
      <c r="HV133" s="8">
        <f>IF(HV$56-Voorblad!$F$41&gt;Voorblad!$K$41,0,IF($U133=0,0,IF($U133&lt;1,1/$U133,IF((HV$56-Voorblad!$F$41)/$U133-SUM($EE133:HU133)=1,1,0))))</f>
        <v>0</v>
      </c>
      <c r="HW133" s="8">
        <f>IF(HW$56-Voorblad!$F$41&gt;Voorblad!$K$41,0,IF($U133=0,0,IF($U133&lt;1,1/$U133,IF((HW$56-Voorblad!$F$41)/$U133-SUM($EE133:HV133)=1,1,0))))</f>
        <v>0</v>
      </c>
      <c r="HX133" s="8">
        <f>IF(HX$56-Voorblad!$F$41&gt;Voorblad!$K$41,0,IF($U133=0,0,IF($U133&lt;1,1/$U133,IF((HX$56-Voorblad!$F$41)/$U133-SUM($EE133:HW133)=1,1,0))))</f>
        <v>0</v>
      </c>
      <c r="HY133" s="8">
        <f>IF(HY$56-Voorblad!$F$41&gt;Voorblad!$K$41,0,IF($U133=0,0,IF($U133&lt;1,1/$U133,IF((HY$56-Voorblad!$F$41)/$U133-SUM($EE133:HX133)=1,1,0))))</f>
        <v>0</v>
      </c>
      <c r="HZ133" s="8">
        <f>IF(HZ$56-Voorblad!$F$41&gt;Voorblad!$K$41,0,IF($U133=0,0,IF($U133&lt;1,1/$U133,IF((HZ$56-Voorblad!$F$41)/$U133-SUM($EE133:HY133)=1,1,0))))</f>
        <v>0</v>
      </c>
      <c r="IA133" s="8">
        <f>IF(IA$56-Voorblad!$F$41&gt;Voorblad!$K$41,0,IF($U133=0,0,IF($U133&lt;1,1/$U133,IF((IA$56-Voorblad!$F$41)/$U133-SUM($EE133:HZ133)=1,1,0))))</f>
        <v>0</v>
      </c>
      <c r="IB133" s="8">
        <f>IF(IB$56-Voorblad!$F$41&gt;Voorblad!$K$41,0,IF($U133=0,0,IF($U133&lt;1,1/$U133,IF((IB$56-Voorblad!$F$41)/$U133-SUM($EE133:IA133)=1,1,0))))</f>
        <v>0</v>
      </c>
    </row>
    <row r="134" spans="2:236" ht="12" customHeight="1" outlineLevel="1" x14ac:dyDescent="0.25">
      <c r="B134" s="1">
        <v>1</v>
      </c>
      <c r="F134" s="1" t="s">
        <v>23</v>
      </c>
      <c r="I134" s="1" t="s">
        <v>193</v>
      </c>
      <c r="K134" s="14" t="s">
        <v>210</v>
      </c>
      <c r="O134" s="1" t="s">
        <v>187</v>
      </c>
      <c r="P134" s="1" t="s">
        <v>182</v>
      </c>
      <c r="Q134" s="81">
        <v>0</v>
      </c>
      <c r="R134" s="1" t="s">
        <v>34</v>
      </c>
      <c r="S134" s="21">
        <f>$H$10*125</f>
        <v>297.5</v>
      </c>
      <c r="T134" s="1">
        <f t="shared" si="104"/>
        <v>0</v>
      </c>
      <c r="U134" s="14">
        <v>30</v>
      </c>
      <c r="V134" s="14"/>
      <c r="Y134" s="9">
        <f t="shared" ref="Y134:Y141" si="107">SUM(AE134:EB134)</f>
        <v>0</v>
      </c>
      <c r="Z134" s="82"/>
      <c r="AA134" s="82"/>
      <c r="AC134" s="9">
        <f>$Y134*(Voorblad!$K$44*(1+Voorblad!$K$44)^Voorblad!$K$41)/((1+Voorblad!$K$44)^Voorblad!$K$41-1)</f>
        <v>0</v>
      </c>
      <c r="AE134" s="9">
        <f>EF134*($Q134*$S134)/(1+Voorblad!$K$44)^(AE$56-Voorblad!$F$41)</f>
        <v>0</v>
      </c>
      <c r="AF134" s="9">
        <f>EG134*($Q134*$S134)/(1+Voorblad!$K$44)^(AF$56-Voorblad!$F$41)</f>
        <v>0</v>
      </c>
      <c r="AG134" s="9">
        <f>EH134*($Q134*$S134)/(1+Voorblad!$K$44)^(AG$56-Voorblad!$F$41)</f>
        <v>0</v>
      </c>
      <c r="AH134" s="9">
        <f>EI134*($Q134*$S134)/(1+Voorblad!$K$44)^(AH$56-Voorblad!$F$41)</f>
        <v>0</v>
      </c>
      <c r="AI134" s="9">
        <f>EJ134*($Q134*$S134)/(1+Voorblad!$K$44)^(AI$56-Voorblad!$F$41)</f>
        <v>0</v>
      </c>
      <c r="AJ134" s="9">
        <f>EK134*($Q134*$S134)/(1+Voorblad!$K$44)^(AJ$56-Voorblad!$F$41)</f>
        <v>0</v>
      </c>
      <c r="AK134" s="9">
        <f>EL134*($Q134*$S134)/(1+Voorblad!$K$44)^(AK$56-Voorblad!$F$41)</f>
        <v>0</v>
      </c>
      <c r="AL134" s="9">
        <f>EM134*($Q134*$S134)/(1+Voorblad!$K$44)^(AL$56-Voorblad!$F$41)</f>
        <v>0</v>
      </c>
      <c r="AM134" s="9">
        <f>EN134*($Q134*$S134)/(1+Voorblad!$K$44)^(AM$56-Voorblad!$F$41)</f>
        <v>0</v>
      </c>
      <c r="AN134" s="9">
        <f>EO134*($Q134*$S134)/(1+Voorblad!$K$44)^(AN$56-Voorblad!$F$41)</f>
        <v>0</v>
      </c>
      <c r="AO134" s="9">
        <f>EP134*($Q134*$S134)/(1+Voorblad!$K$44)^(AO$56-Voorblad!$F$41)</f>
        <v>0</v>
      </c>
      <c r="AP134" s="9">
        <f>EQ134*($Q134*$S134)/(1+Voorblad!$K$44)^(AP$56-Voorblad!$F$41)</f>
        <v>0</v>
      </c>
      <c r="AQ134" s="9">
        <f>ER134*($Q134*$S134)/(1+Voorblad!$K$44)^(AQ$56-Voorblad!$F$41)</f>
        <v>0</v>
      </c>
      <c r="AR134" s="9">
        <f>ES134*($Q134*$S134)/(1+Voorblad!$K$44)^(AR$56-Voorblad!$F$41)</f>
        <v>0</v>
      </c>
      <c r="AS134" s="9">
        <f>ET134*($Q134*$S134)/(1+Voorblad!$K$44)^(AS$56-Voorblad!$F$41)</f>
        <v>0</v>
      </c>
      <c r="AT134" s="9">
        <f>EU134*($Q134*$S134)/(1+Voorblad!$K$44)^(AT$56-Voorblad!$F$41)</f>
        <v>0</v>
      </c>
      <c r="AU134" s="9">
        <f>EV134*($Q134*$S134)/(1+Voorblad!$K$44)^(AU$56-Voorblad!$F$41)</f>
        <v>0</v>
      </c>
      <c r="AV134" s="9">
        <f>EW134*($Q134*$S134)/(1+Voorblad!$K$44)^(AV$56-Voorblad!$F$41)</f>
        <v>0</v>
      </c>
      <c r="AW134" s="9">
        <f>EX134*($Q134*$S134)/(1+Voorblad!$K$44)^(AW$56-Voorblad!$F$41)</f>
        <v>0</v>
      </c>
      <c r="AX134" s="9">
        <f>EY134*($Q134*$S134)/(1+Voorblad!$K$44)^(AX$56-Voorblad!$F$41)</f>
        <v>0</v>
      </c>
      <c r="AY134" s="9">
        <f>EZ134*($Q134*$S134)/(1+Voorblad!$K$44)^(AY$56-Voorblad!$F$41)</f>
        <v>0</v>
      </c>
      <c r="AZ134" s="9">
        <f>FA134*($Q134*$S134)/(1+Voorblad!$K$44)^(AZ$56-Voorblad!$F$41)</f>
        <v>0</v>
      </c>
      <c r="BA134" s="9">
        <f>FB134*($Q134*$S134)/(1+Voorblad!$K$44)^(BA$56-Voorblad!$F$41)</f>
        <v>0</v>
      </c>
      <c r="BB134" s="9">
        <f>FC134*($Q134*$S134)/(1+Voorblad!$K$44)^(BB$56-Voorblad!$F$41)</f>
        <v>0</v>
      </c>
      <c r="BC134" s="9">
        <f>FD134*($Q134*$S134)/(1+Voorblad!$K$44)^(BC$56-Voorblad!$F$41)</f>
        <v>0</v>
      </c>
      <c r="BD134" s="9">
        <f>FE134*($Q134*$S134)/(1+Voorblad!$K$44)^(BD$56-Voorblad!$F$41)</f>
        <v>0</v>
      </c>
      <c r="BE134" s="9">
        <f>FF134*($Q134*$S134)/(1+Voorblad!$K$44)^(BE$56-Voorblad!$F$41)</f>
        <v>0</v>
      </c>
      <c r="BF134" s="9">
        <f>FG134*($Q134*$S134)/(1+Voorblad!$K$44)^(BF$56-Voorblad!$F$41)</f>
        <v>0</v>
      </c>
      <c r="BG134" s="9">
        <f>FH134*($Q134*$S134)/(1+Voorblad!$K$44)^(BG$56-Voorblad!$F$41)</f>
        <v>0</v>
      </c>
      <c r="BH134" s="9">
        <f>FI134*($Q134*$S134)/(1+Voorblad!$K$44)^(BH$56-Voorblad!$F$41)</f>
        <v>0</v>
      </c>
      <c r="BI134" s="9">
        <f>FJ134*($Q134*$S134)/(1+Voorblad!$K$44)^(BI$56-Voorblad!$F$41)</f>
        <v>0</v>
      </c>
      <c r="BJ134" s="9">
        <f>FK134*($Q134*$S134)/(1+Voorblad!$K$44)^(BJ$56-Voorblad!$F$41)</f>
        <v>0</v>
      </c>
      <c r="BK134" s="9">
        <f>FL134*($Q134*$S134)/(1+Voorblad!$K$44)^(BK$56-Voorblad!$F$41)</f>
        <v>0</v>
      </c>
      <c r="BL134" s="9">
        <f>FM134*($Q134*$S134)/(1+Voorblad!$K$44)^(BL$56-Voorblad!$F$41)</f>
        <v>0</v>
      </c>
      <c r="BM134" s="9">
        <f>FN134*($Q134*$S134)/(1+Voorblad!$K$44)^(BM$56-Voorblad!$F$41)</f>
        <v>0</v>
      </c>
      <c r="BN134" s="9">
        <f>FO134*($Q134*$S134)/(1+Voorblad!$K$44)^(BN$56-Voorblad!$F$41)</f>
        <v>0</v>
      </c>
      <c r="BO134" s="9">
        <f>FP134*($Q134*$S134)/(1+Voorblad!$K$44)^(BO$56-Voorblad!$F$41)</f>
        <v>0</v>
      </c>
      <c r="BP134" s="9">
        <f>FQ134*($Q134*$S134)/(1+Voorblad!$K$44)^(BP$56-Voorblad!$F$41)</f>
        <v>0</v>
      </c>
      <c r="BQ134" s="9">
        <f>FR134*($Q134*$S134)/(1+Voorblad!$K$44)^(BQ$56-Voorblad!$F$41)</f>
        <v>0</v>
      </c>
      <c r="BR134" s="9">
        <f>FS134*($Q134*$S134)/(1+Voorblad!$K$44)^(BR$56-Voorblad!$F$41)</f>
        <v>0</v>
      </c>
      <c r="BS134" s="9">
        <f>FT134*($Q134*$S134)/(1+Voorblad!$K$44)^(BS$56-Voorblad!$F$41)</f>
        <v>0</v>
      </c>
      <c r="BT134" s="9">
        <f>FU134*($Q134*$S134)/(1+Voorblad!$K$44)^(BT$56-Voorblad!$F$41)</f>
        <v>0</v>
      </c>
      <c r="BU134" s="9">
        <f>FV134*($Q134*$S134)/(1+Voorblad!$K$44)^(BU$56-Voorblad!$F$41)</f>
        <v>0</v>
      </c>
      <c r="BV134" s="9">
        <f>FW134*($Q134*$S134)/(1+Voorblad!$K$44)^(BV$56-Voorblad!$F$41)</f>
        <v>0</v>
      </c>
      <c r="BW134" s="9">
        <f>FX134*($Q134*$S134)/(1+Voorblad!$K$44)^(BW$56-Voorblad!$F$41)</f>
        <v>0</v>
      </c>
      <c r="BX134" s="9">
        <f>FY134*($Q134*$S134)/(1+Voorblad!$K$44)^(BX$56-Voorblad!$F$41)</f>
        <v>0</v>
      </c>
      <c r="BY134" s="9">
        <f>FZ134*($Q134*$S134)/(1+Voorblad!$K$44)^(BY$56-Voorblad!$F$41)</f>
        <v>0</v>
      </c>
      <c r="BZ134" s="9">
        <f>GA134*($Q134*$S134)/(1+Voorblad!$K$44)^(BZ$56-Voorblad!$F$41)</f>
        <v>0</v>
      </c>
      <c r="CA134" s="9">
        <f>GB134*($Q134*$S134)/(1+Voorblad!$K$44)^(CA$56-Voorblad!$F$41)</f>
        <v>0</v>
      </c>
      <c r="CB134" s="9">
        <f>GC134*($Q134*$S134)/(1+Voorblad!$K$44)^(CB$56-Voorblad!$F$41)</f>
        <v>0</v>
      </c>
      <c r="CC134" s="9">
        <f>GD134*($Q134*$S134)/(1+Voorblad!$K$44)^(CC$56-Voorblad!$F$41)</f>
        <v>0</v>
      </c>
      <c r="CD134" s="9">
        <f>GE134*($Q134*$S134)/(1+Voorblad!$K$44)^(CD$56-Voorblad!$F$41)</f>
        <v>0</v>
      </c>
      <c r="CE134" s="9">
        <f>GF134*($Q134*$S134)/(1+Voorblad!$K$44)^(CE$56-Voorblad!$F$41)</f>
        <v>0</v>
      </c>
      <c r="CF134" s="9">
        <f>GG134*($Q134*$S134)/(1+Voorblad!$K$44)^(CF$56-Voorblad!$F$41)</f>
        <v>0</v>
      </c>
      <c r="CG134" s="9">
        <f>GH134*($Q134*$S134)/(1+Voorblad!$K$44)^(CG$56-Voorblad!$F$41)</f>
        <v>0</v>
      </c>
      <c r="CH134" s="9">
        <f>GI134*($Q134*$S134)/(1+Voorblad!$K$44)^(CH$56-Voorblad!$F$41)</f>
        <v>0</v>
      </c>
      <c r="CI134" s="9">
        <f>GJ134*($Q134*$S134)/(1+Voorblad!$K$44)^(CI$56-Voorblad!$F$41)</f>
        <v>0</v>
      </c>
      <c r="CJ134" s="9">
        <f>GK134*($Q134*$S134)/(1+Voorblad!$K$44)^(CJ$56-Voorblad!$F$41)</f>
        <v>0</v>
      </c>
      <c r="CK134" s="9">
        <f>GL134*($Q134*$S134)/(1+Voorblad!$K$44)^(CK$56-Voorblad!$F$41)</f>
        <v>0</v>
      </c>
      <c r="CL134" s="9">
        <f>GM134*($Q134*$S134)/(1+Voorblad!$K$44)^(CL$56-Voorblad!$F$41)</f>
        <v>0</v>
      </c>
      <c r="CM134" s="9">
        <f>GN134*($Q134*$S134)/(1+Voorblad!$K$44)^(CM$56-Voorblad!$F$41)</f>
        <v>0</v>
      </c>
      <c r="CN134" s="9">
        <f>GO134*($Q134*$S134)/(1+Voorblad!$K$44)^(CN$56-Voorblad!$F$41)</f>
        <v>0</v>
      </c>
      <c r="CO134" s="9">
        <f>GP134*($Q134*$S134)/(1+Voorblad!$K$44)^(CO$56-Voorblad!$F$41)</f>
        <v>0</v>
      </c>
      <c r="CP134" s="9">
        <f>GQ134*($Q134*$S134)/(1+Voorblad!$K$44)^(CP$56-Voorblad!$F$41)</f>
        <v>0</v>
      </c>
      <c r="CQ134" s="9">
        <f>GR134*($Q134*$S134)/(1+Voorblad!$K$44)^(CQ$56-Voorblad!$F$41)</f>
        <v>0</v>
      </c>
      <c r="CR134" s="9">
        <f>GS134*($Q134*$S134)/(1+Voorblad!$K$44)^(CR$56-Voorblad!$F$41)</f>
        <v>0</v>
      </c>
      <c r="CS134" s="9">
        <f>GT134*($Q134*$S134)/(1+Voorblad!$K$44)^(CS$56-Voorblad!$F$41)</f>
        <v>0</v>
      </c>
      <c r="CT134" s="9">
        <f>GU134*($Q134*$S134)/(1+Voorblad!$K$44)^(CT$56-Voorblad!$F$41)</f>
        <v>0</v>
      </c>
      <c r="CU134" s="9">
        <f>GV134*($Q134*$S134)/(1+Voorblad!$K$44)^(CU$56-Voorblad!$F$41)</f>
        <v>0</v>
      </c>
      <c r="CV134" s="9">
        <f>GW134*($Q134*$S134)/(1+Voorblad!$K$44)^(CV$56-Voorblad!$F$41)</f>
        <v>0</v>
      </c>
      <c r="CW134" s="9">
        <f>GX134*($Q134*$S134)/(1+Voorblad!$K$44)^(CW$56-Voorblad!$F$41)</f>
        <v>0</v>
      </c>
      <c r="CX134" s="9">
        <f>GY134*($Q134*$S134)/(1+Voorblad!$K$44)^(CX$56-Voorblad!$F$41)</f>
        <v>0</v>
      </c>
      <c r="CY134" s="9">
        <f>GZ134*($Q134*$S134)/(1+Voorblad!$K$44)^(CY$56-Voorblad!$F$41)</f>
        <v>0</v>
      </c>
      <c r="CZ134" s="9">
        <f>HA134*($Q134*$S134)/(1+Voorblad!$K$44)^(CZ$56-Voorblad!$F$41)</f>
        <v>0</v>
      </c>
      <c r="DA134" s="9">
        <f>HB134*($Q134*$S134)/(1+Voorblad!$K$44)^(DA$56-Voorblad!$F$41)</f>
        <v>0</v>
      </c>
      <c r="DB134" s="9">
        <f>HC134*($Q134*$S134)/(1+Voorblad!$K$44)^(DB$56-Voorblad!$F$41)</f>
        <v>0</v>
      </c>
      <c r="DC134" s="9">
        <f>HD134*($Q134*$S134)/(1+Voorblad!$K$44)^(DC$56-Voorblad!$F$41)</f>
        <v>0</v>
      </c>
      <c r="DD134" s="9">
        <f>HE134*($Q134*$S134)/(1+Voorblad!$K$44)^(DD$56-Voorblad!$F$41)</f>
        <v>0</v>
      </c>
      <c r="DE134" s="9">
        <f>HF134*($Q134*$S134)/(1+Voorblad!$K$44)^(DE$56-Voorblad!$F$41)</f>
        <v>0</v>
      </c>
      <c r="DF134" s="9">
        <f>HG134*($Q134*$S134)/(1+Voorblad!$K$44)^(DF$56-Voorblad!$F$41)</f>
        <v>0</v>
      </c>
      <c r="DG134" s="9">
        <f>HH134*($Q134*$S134)/(1+Voorblad!$K$44)^(DG$56-Voorblad!$F$41)</f>
        <v>0</v>
      </c>
      <c r="DH134" s="9">
        <f>HI134*($Q134*$S134)/(1+Voorblad!$K$44)^(DH$56-Voorblad!$F$41)</f>
        <v>0</v>
      </c>
      <c r="DI134" s="9">
        <f>HJ134*($Q134*$S134)/(1+Voorblad!$K$44)^(DI$56-Voorblad!$F$41)</f>
        <v>0</v>
      </c>
      <c r="DJ134" s="9">
        <f>HK134*($Q134*$S134)/(1+Voorblad!$K$44)^(DJ$56-Voorblad!$F$41)</f>
        <v>0</v>
      </c>
      <c r="DK134" s="9">
        <f>HL134*($Q134*$S134)/(1+Voorblad!$K$44)^(DK$56-Voorblad!$F$41)</f>
        <v>0</v>
      </c>
      <c r="DL134" s="9">
        <f>HM134*($Q134*$S134)/(1+Voorblad!$K$44)^(DL$56-Voorblad!$F$41)</f>
        <v>0</v>
      </c>
      <c r="DM134" s="9">
        <f>HN134*($Q134*$S134)/(1+Voorblad!$K$44)^(DM$56-Voorblad!$F$41)</f>
        <v>0</v>
      </c>
      <c r="DN134" s="9">
        <f>HO134*($Q134*$S134)/(1+Voorblad!$K$44)^(DN$56-Voorblad!$F$41)</f>
        <v>0</v>
      </c>
      <c r="DO134" s="9">
        <f>HP134*($Q134*$S134)/(1+Voorblad!$K$44)^(DO$56-Voorblad!$F$41)</f>
        <v>0</v>
      </c>
      <c r="DP134" s="9">
        <f>HQ134*($Q134*$S134)/(1+Voorblad!$K$44)^(DP$56-Voorblad!$F$41)</f>
        <v>0</v>
      </c>
      <c r="DQ134" s="9">
        <f>HR134*($Q134*$S134)/(1+Voorblad!$K$44)^(DQ$56-Voorblad!$F$41)</f>
        <v>0</v>
      </c>
      <c r="DR134" s="9">
        <f>HS134*($Q134*$S134)/(1+Voorblad!$K$44)^(DR$56-Voorblad!$F$41)</f>
        <v>0</v>
      </c>
      <c r="DS134" s="9">
        <f>HT134*($Q134*$S134)/(1+Voorblad!$K$44)^(DS$56-Voorblad!$F$41)</f>
        <v>0</v>
      </c>
      <c r="DT134" s="9">
        <f>HU134*($Q134*$S134)/(1+Voorblad!$K$44)^(DT$56-Voorblad!$F$41)</f>
        <v>0</v>
      </c>
      <c r="DU134" s="9">
        <f>HV134*($Q134*$S134)/(1+Voorblad!$K$44)^(DU$56-Voorblad!$F$41)</f>
        <v>0</v>
      </c>
      <c r="DV134" s="9">
        <f>HW134*($Q134*$S134)/(1+Voorblad!$K$44)^(DV$56-Voorblad!$F$41)</f>
        <v>0</v>
      </c>
      <c r="DW134" s="9">
        <f>HX134*($Q134*$S134)/(1+Voorblad!$K$44)^(DW$56-Voorblad!$F$41)</f>
        <v>0</v>
      </c>
      <c r="DX134" s="9">
        <f>HY134*($Q134*$S134)/(1+Voorblad!$K$44)^(DX$56-Voorblad!$F$41)</f>
        <v>0</v>
      </c>
      <c r="DY134" s="9">
        <f>HZ134*($Q134*$S134)/(1+Voorblad!$K$44)^(DY$56-Voorblad!$F$41)</f>
        <v>0</v>
      </c>
      <c r="DZ134" s="9">
        <f>IA134*($Q134*$S134)/(1+Voorblad!$K$44)^(DZ$56-Voorblad!$F$41)</f>
        <v>0</v>
      </c>
      <c r="EA134" s="9">
        <f>IB134*($Q134*$S134)/(1+Voorblad!$K$44)^(EA$56-Voorblad!$F$41)</f>
        <v>0</v>
      </c>
      <c r="EB134" s="9">
        <f>IC134*($Q134*$S134)/(1+Voorblad!$K$44)^(EB$56-Voorblad!$F$41)</f>
        <v>0</v>
      </c>
      <c r="EE134" s="8">
        <v>0</v>
      </c>
      <c r="EF134" s="8">
        <f>IF(EF$56-Voorblad!$F$41&gt;Voorblad!$K$41,0,IF($U134=0,0,IF($U134&lt;1,1/$U134,IF((EF$56-Voorblad!$F$41)/$U134-SUM($EE134:EE134)=1,1,0))))</f>
        <v>0</v>
      </c>
      <c r="EG134" s="8">
        <f>IF(EG$56-Voorblad!$F$41&gt;Voorblad!$K$41,0,IF($U134=0,0,IF($U134&lt;1,1/$U134,IF((EG$56-Voorblad!$F$41)/$U134-SUM($EE134:EF134)=1,1,0))))</f>
        <v>0</v>
      </c>
      <c r="EH134" s="8">
        <f>IF(EH$56-Voorblad!$F$41&gt;Voorblad!$K$41,0,IF($U134=0,0,IF($U134&lt;1,1/$U134,IF((EH$56-Voorblad!$F$41)/$U134-SUM($EE134:EG134)=1,1,0))))</f>
        <v>0</v>
      </c>
      <c r="EI134" s="8">
        <f>IF(EI$56-Voorblad!$F$41&gt;Voorblad!$K$41,0,IF($U134=0,0,IF($U134&lt;1,1/$U134,IF((EI$56-Voorblad!$F$41)/$U134-SUM($EE134:EH134)=1,1,0))))</f>
        <v>0</v>
      </c>
      <c r="EJ134" s="8">
        <f>IF(EJ$56-Voorblad!$F$41&gt;Voorblad!$K$41,0,IF($U134=0,0,IF($U134&lt;1,1/$U134,IF((EJ$56-Voorblad!$F$41)/$U134-SUM($EE134:EI134)=1,1,0))))</f>
        <v>0</v>
      </c>
      <c r="EK134" s="8">
        <f>IF(EK$56-Voorblad!$F$41&gt;Voorblad!$K$41,0,IF($U134=0,0,IF($U134&lt;1,1/$U134,IF((EK$56-Voorblad!$F$41)/$U134-SUM($EE134:EJ134)=1,1,0))))</f>
        <v>0</v>
      </c>
      <c r="EL134" s="8">
        <f>IF(EL$56-Voorblad!$F$41&gt;Voorblad!$K$41,0,IF($U134=0,0,IF($U134&lt;1,1/$U134,IF((EL$56-Voorblad!$F$41)/$U134-SUM($EE134:EK134)=1,1,0))))</f>
        <v>0</v>
      </c>
      <c r="EM134" s="8">
        <f>IF(EM$56-Voorblad!$F$41&gt;Voorblad!$K$41,0,IF($U134=0,0,IF($U134&lt;1,1/$U134,IF((EM$56-Voorblad!$F$41)/$U134-SUM($EE134:EL134)=1,1,0))))</f>
        <v>0</v>
      </c>
      <c r="EN134" s="8">
        <f>IF(EN$56-Voorblad!$F$41&gt;Voorblad!$K$41,0,IF($U134=0,0,IF($U134&lt;1,1/$U134,IF((EN$56-Voorblad!$F$41)/$U134-SUM($EE134:EM134)=1,1,0))))</f>
        <v>0</v>
      </c>
      <c r="EO134" s="8">
        <f>IF(EO$56-Voorblad!$F$41&gt;Voorblad!$K$41,0,IF($U134=0,0,IF($U134&lt;1,1/$U134,IF((EO$56-Voorblad!$F$41)/$U134-SUM($EE134:EN134)=1,1,0))))</f>
        <v>0</v>
      </c>
      <c r="EP134" s="8">
        <f>IF(EP$56-Voorblad!$F$41&gt;Voorblad!$K$41,0,IF($U134=0,0,IF($U134&lt;1,1/$U134,IF((EP$56-Voorblad!$F$41)/$U134-SUM($EE134:EO134)=1,1,0))))</f>
        <v>0</v>
      </c>
      <c r="EQ134" s="8">
        <f>IF(EQ$56-Voorblad!$F$41&gt;Voorblad!$K$41,0,IF($U134=0,0,IF($U134&lt;1,1/$U134,IF((EQ$56-Voorblad!$F$41)/$U134-SUM($EE134:EP134)=1,1,0))))</f>
        <v>0</v>
      </c>
      <c r="ER134" s="8">
        <f>IF(ER$56-Voorblad!$F$41&gt;Voorblad!$K$41,0,IF($U134=0,0,IF($U134&lt;1,1/$U134,IF((ER$56-Voorblad!$F$41)/$U134-SUM($EE134:EQ134)=1,1,0))))</f>
        <v>0</v>
      </c>
      <c r="ES134" s="8">
        <f>IF(ES$56-Voorblad!$F$41&gt;Voorblad!$K$41,0,IF($U134=0,0,IF($U134&lt;1,1/$U134,IF((ES$56-Voorblad!$F$41)/$U134-SUM($EE134:ER134)=1,1,0))))</f>
        <v>0</v>
      </c>
      <c r="ET134" s="8">
        <f>IF(ET$56-Voorblad!$F$41&gt;Voorblad!$K$41,0,IF($U134=0,0,IF($U134&lt;1,1/$U134,IF((ET$56-Voorblad!$F$41)/$U134-SUM($EE134:ES134)=1,1,0))))</f>
        <v>0</v>
      </c>
      <c r="EU134" s="8">
        <f>IF(EU$56-Voorblad!$F$41&gt;Voorblad!$K$41,0,IF($U134=0,0,IF($U134&lt;1,1/$U134,IF((EU$56-Voorblad!$F$41)/$U134-SUM($EE134:ET134)=1,1,0))))</f>
        <v>0</v>
      </c>
      <c r="EV134" s="8">
        <f>IF(EV$56-Voorblad!$F$41&gt;Voorblad!$K$41,0,IF($U134=0,0,IF($U134&lt;1,1/$U134,IF((EV$56-Voorblad!$F$41)/$U134-SUM($EE134:EU134)=1,1,0))))</f>
        <v>0</v>
      </c>
      <c r="EW134" s="8">
        <f>IF(EW$56-Voorblad!$F$41&gt;Voorblad!$K$41,0,IF($U134=0,0,IF($U134&lt;1,1/$U134,IF((EW$56-Voorblad!$F$41)/$U134-SUM($EE134:EV134)=1,1,0))))</f>
        <v>0</v>
      </c>
      <c r="EX134" s="8">
        <f>IF(EX$56-Voorblad!$F$41&gt;Voorblad!$K$41,0,IF($U134=0,0,IF($U134&lt;1,1/$U134,IF((EX$56-Voorblad!$F$41)/$U134-SUM($EE134:EW134)=1,1,0))))</f>
        <v>0</v>
      </c>
      <c r="EY134" s="8">
        <f>IF(EY$56-Voorblad!$F$41&gt;Voorblad!$K$41,0,IF($U134=0,0,IF($U134&lt;1,1/$U134,IF((EY$56-Voorblad!$F$41)/$U134-SUM($EE134:EX134)=1,1,0))))</f>
        <v>0</v>
      </c>
      <c r="EZ134" s="8">
        <f>IF(EZ$56-Voorblad!$F$41&gt;Voorblad!$K$41,0,IF($U134=0,0,IF($U134&lt;1,1/$U134,IF((EZ$56-Voorblad!$F$41)/$U134-SUM($EE134:EY134)=1,1,0))))</f>
        <v>0</v>
      </c>
      <c r="FA134" s="8">
        <f>IF(FA$56-Voorblad!$F$41&gt;Voorblad!$K$41,0,IF($U134=0,0,IF($U134&lt;1,1/$U134,IF((FA$56-Voorblad!$F$41)/$U134-SUM($EE134:EZ134)=1,1,0))))</f>
        <v>0</v>
      </c>
      <c r="FB134" s="8">
        <f>IF(FB$56-Voorblad!$F$41&gt;Voorblad!$K$41,0,IF($U134=0,0,IF($U134&lt;1,1/$U134,IF((FB$56-Voorblad!$F$41)/$U134-SUM($EE134:FA134)=1,1,0))))</f>
        <v>0</v>
      </c>
      <c r="FC134" s="8">
        <f>IF(FC$56-Voorblad!$F$41&gt;Voorblad!$K$41,0,IF($U134=0,0,IF($U134&lt;1,1/$U134,IF((FC$56-Voorblad!$F$41)/$U134-SUM($EE134:FB134)=1,1,0))))</f>
        <v>0</v>
      </c>
      <c r="FD134" s="8">
        <f>IF(FD$56-Voorblad!$F$41&gt;Voorblad!$K$41,0,IF($U134=0,0,IF($U134&lt;1,1/$U134,IF((FD$56-Voorblad!$F$41)/$U134-SUM($EE134:FC134)=1,1,0))))</f>
        <v>0</v>
      </c>
      <c r="FE134" s="8">
        <f>IF(FE$56-Voorblad!$F$41&gt;Voorblad!$K$41,0,IF($U134=0,0,IF($U134&lt;1,1/$U134,IF((FE$56-Voorblad!$F$41)/$U134-SUM($EE134:FD134)=1,1,0))))</f>
        <v>0</v>
      </c>
      <c r="FF134" s="8">
        <f>IF(FF$56-Voorblad!$F$41&gt;Voorblad!$K$41,0,IF($U134=0,0,IF($U134&lt;1,1/$U134,IF((FF$56-Voorblad!$F$41)/$U134-SUM($EE134:FE134)=1,1,0))))</f>
        <v>0</v>
      </c>
      <c r="FG134" s="8">
        <f>IF(FG$56-Voorblad!$F$41&gt;Voorblad!$K$41,0,IF($U134=0,0,IF($U134&lt;1,1/$U134,IF((FG$56-Voorblad!$F$41)/$U134-SUM($EE134:FF134)=1,1,0))))</f>
        <v>0</v>
      </c>
      <c r="FH134" s="8">
        <f>IF(FH$56-Voorblad!$F$41&gt;Voorblad!$K$41,0,IF($U134=0,0,IF($U134&lt;1,1/$U134,IF((FH$56-Voorblad!$F$41)/$U134-SUM($EE134:FG134)=1,1,0))))</f>
        <v>0</v>
      </c>
      <c r="FI134" s="8">
        <f>IF(FI$56-Voorblad!$F$41&gt;Voorblad!$K$41,0,IF($U134=0,0,IF($U134&lt;1,1/$U134,IF((FI$56-Voorblad!$F$41)/$U134-SUM($EE134:FH134)=1,1,0))))</f>
        <v>0</v>
      </c>
      <c r="FJ134" s="8">
        <f>IF(FJ$56-Voorblad!$F$41&gt;Voorblad!$K$41,0,IF($U134=0,0,IF($U134&lt;1,1/$U134,IF((FJ$56-Voorblad!$F$41)/$U134-SUM($EE134:FI134)=1,1,0))))</f>
        <v>1</v>
      </c>
      <c r="FK134" s="8">
        <f>IF(FK$56-Voorblad!$F$41&gt;Voorblad!$K$41,0,IF($U134=0,0,IF($U134&lt;1,1/$U134,IF((FK$56-Voorblad!$F$41)/$U134-SUM($EE134:FJ134)=1,1,0))))</f>
        <v>0</v>
      </c>
      <c r="FL134" s="8">
        <f>IF(FL$56-Voorblad!$F$41&gt;Voorblad!$K$41,0,IF($U134=0,0,IF($U134&lt;1,1/$U134,IF((FL$56-Voorblad!$F$41)/$U134-SUM($EE134:FK134)=1,1,0))))</f>
        <v>0</v>
      </c>
      <c r="FM134" s="8">
        <f>IF(FM$56-Voorblad!$F$41&gt;Voorblad!$K$41,0,IF($U134=0,0,IF($U134&lt;1,1/$U134,IF((FM$56-Voorblad!$F$41)/$U134-SUM($EE134:FL134)=1,1,0))))</f>
        <v>0</v>
      </c>
      <c r="FN134" s="8">
        <f>IF(FN$56-Voorblad!$F$41&gt;Voorblad!$K$41,0,IF($U134=0,0,IF($U134&lt;1,1/$U134,IF((FN$56-Voorblad!$F$41)/$U134-SUM($EE134:FM134)=1,1,0))))</f>
        <v>0</v>
      </c>
      <c r="FO134" s="8">
        <f>IF(FO$56-Voorblad!$F$41&gt;Voorblad!$K$41,0,IF($U134=0,0,IF($U134&lt;1,1/$U134,IF((FO$56-Voorblad!$F$41)/$U134-SUM($EE134:FN134)=1,1,0))))</f>
        <v>0</v>
      </c>
      <c r="FP134" s="8">
        <f>IF(FP$56-Voorblad!$F$41&gt;Voorblad!$K$41,0,IF($U134=0,0,IF($U134&lt;1,1/$U134,IF((FP$56-Voorblad!$F$41)/$U134-SUM($EE134:FO134)=1,1,0))))</f>
        <v>0</v>
      </c>
      <c r="FQ134" s="8">
        <f>IF(FQ$56-Voorblad!$F$41&gt;Voorblad!$K$41,0,IF($U134=0,0,IF($U134&lt;1,1/$U134,IF((FQ$56-Voorblad!$F$41)/$U134-SUM($EE134:FP134)=1,1,0))))</f>
        <v>0</v>
      </c>
      <c r="FR134" s="8">
        <f>IF(FR$56-Voorblad!$F$41&gt;Voorblad!$K$41,0,IF($U134=0,0,IF($U134&lt;1,1/$U134,IF((FR$56-Voorblad!$F$41)/$U134-SUM($EE134:FQ134)=1,1,0))))</f>
        <v>0</v>
      </c>
      <c r="FS134" s="8">
        <f>IF(FS$56-Voorblad!$F$41&gt;Voorblad!$K$41,0,IF($U134=0,0,IF($U134&lt;1,1/$U134,IF((FS$56-Voorblad!$F$41)/$U134-SUM($EE134:FR134)=1,1,0))))</f>
        <v>0</v>
      </c>
      <c r="FT134" s="8">
        <f>IF(FT$56-Voorblad!$F$41&gt;Voorblad!$K$41,0,IF($U134=0,0,IF($U134&lt;1,1/$U134,IF((FT$56-Voorblad!$F$41)/$U134-SUM($EE134:FS134)=1,1,0))))</f>
        <v>0</v>
      </c>
      <c r="FU134" s="8">
        <f>IF(FU$56-Voorblad!$F$41&gt;Voorblad!$K$41,0,IF($U134=0,0,IF($U134&lt;1,1/$U134,IF((FU$56-Voorblad!$F$41)/$U134-SUM($EE134:FT134)=1,1,0))))</f>
        <v>0</v>
      </c>
      <c r="FV134" s="8">
        <f>IF(FV$56-Voorblad!$F$41&gt;Voorblad!$K$41,0,IF($U134=0,0,IF($U134&lt;1,1/$U134,IF((FV$56-Voorblad!$F$41)/$U134-SUM($EE134:FU134)=1,1,0))))</f>
        <v>0</v>
      </c>
      <c r="FW134" s="8">
        <f>IF(FW$56-Voorblad!$F$41&gt;Voorblad!$K$41,0,IF($U134=0,0,IF($U134&lt;1,1/$U134,IF((FW$56-Voorblad!$F$41)/$U134-SUM($EE134:FV134)=1,1,0))))</f>
        <v>0</v>
      </c>
      <c r="FX134" s="8">
        <f>IF(FX$56-Voorblad!$F$41&gt;Voorblad!$K$41,0,IF($U134=0,0,IF($U134&lt;1,1/$U134,IF((FX$56-Voorblad!$F$41)/$U134-SUM($EE134:FW134)=1,1,0))))</f>
        <v>0</v>
      </c>
      <c r="FY134" s="8">
        <f>IF(FY$56-Voorblad!$F$41&gt;Voorblad!$K$41,0,IF($U134=0,0,IF($U134&lt;1,1/$U134,IF((FY$56-Voorblad!$F$41)/$U134-SUM($EE134:FX134)=1,1,0))))</f>
        <v>0</v>
      </c>
      <c r="FZ134" s="8">
        <f>IF(FZ$56-Voorblad!$F$41&gt;Voorblad!$K$41,0,IF($U134=0,0,IF($U134&lt;1,1/$U134,IF((FZ$56-Voorblad!$F$41)/$U134-SUM($EE134:FY134)=1,1,0))))</f>
        <v>0</v>
      </c>
      <c r="GA134" s="8">
        <f>IF(GA$56-Voorblad!$F$41&gt;Voorblad!$K$41,0,IF($U134=0,0,IF($U134&lt;1,1/$U134,IF((GA$56-Voorblad!$F$41)/$U134-SUM($EE134:FZ134)=1,1,0))))</f>
        <v>0</v>
      </c>
      <c r="GB134" s="8">
        <f>IF(GB$56-Voorblad!$F$41&gt;Voorblad!$K$41,0,IF($U134=0,0,IF($U134&lt;1,1/$U134,IF((GB$56-Voorblad!$F$41)/$U134-SUM($EE134:GA134)=1,1,0))))</f>
        <v>0</v>
      </c>
      <c r="GC134" s="8">
        <f>IF(GC$56-Voorblad!$F$41&gt;Voorblad!$K$41,0,IF($U134=0,0,IF($U134&lt;1,1/$U134,IF((GC$56-Voorblad!$F$41)/$U134-SUM($EE134:GB134)=1,1,0))))</f>
        <v>0</v>
      </c>
      <c r="GD134" s="8">
        <f>IF(GD$56-Voorblad!$F$41&gt;Voorblad!$K$41,0,IF($U134=0,0,IF($U134&lt;1,1/$U134,IF((GD$56-Voorblad!$F$41)/$U134-SUM($EE134:GC134)=1,1,0))))</f>
        <v>0</v>
      </c>
      <c r="GE134" s="8">
        <f>IF(GE$56-Voorblad!$F$41&gt;Voorblad!$K$41,0,IF($U134=0,0,IF($U134&lt;1,1/$U134,IF((GE$56-Voorblad!$F$41)/$U134-SUM($EE134:GD134)=1,1,0))))</f>
        <v>0</v>
      </c>
      <c r="GF134" s="8">
        <f>IF(GF$56-Voorblad!$F$41&gt;Voorblad!$K$41,0,IF($U134=0,0,IF($U134&lt;1,1/$U134,IF((GF$56-Voorblad!$F$41)/$U134-SUM($EE134:GE134)=1,1,0))))</f>
        <v>0</v>
      </c>
      <c r="GG134" s="8">
        <f>IF(GG$56-Voorblad!$F$41&gt;Voorblad!$K$41,0,IF($U134=0,0,IF($U134&lt;1,1/$U134,IF((GG$56-Voorblad!$F$41)/$U134-SUM($EE134:GF134)=1,1,0))))</f>
        <v>0</v>
      </c>
      <c r="GH134" s="8">
        <f>IF(GH$56-Voorblad!$F$41&gt;Voorblad!$K$41,0,IF($U134=0,0,IF($U134&lt;1,1/$U134,IF((GH$56-Voorblad!$F$41)/$U134-SUM($EE134:GG134)=1,1,0))))</f>
        <v>0</v>
      </c>
      <c r="GI134" s="8">
        <f>IF(GI$56-Voorblad!$F$41&gt;Voorblad!$K$41,0,IF($U134=0,0,IF($U134&lt;1,1/$U134,IF((GI$56-Voorblad!$F$41)/$U134-SUM($EE134:GH134)=1,1,0))))</f>
        <v>0</v>
      </c>
      <c r="GJ134" s="8">
        <f>IF(GJ$56-Voorblad!$F$41&gt;Voorblad!$K$41,0,IF($U134=0,0,IF($U134&lt;1,1/$U134,IF((GJ$56-Voorblad!$F$41)/$U134-SUM($EE134:GI134)=1,1,0))))</f>
        <v>0</v>
      </c>
      <c r="GK134" s="8">
        <f>IF(GK$56-Voorblad!$F$41&gt;Voorblad!$K$41,0,IF($U134=0,0,IF($U134&lt;1,1/$U134,IF((GK$56-Voorblad!$F$41)/$U134-SUM($EE134:GJ134)=1,1,0))))</f>
        <v>0</v>
      </c>
      <c r="GL134" s="8">
        <f>IF(GL$56-Voorblad!$F$41&gt;Voorblad!$K$41,0,IF($U134=0,0,IF($U134&lt;1,1/$U134,IF((GL$56-Voorblad!$F$41)/$U134-SUM($EE134:GK134)=1,1,0))))</f>
        <v>0</v>
      </c>
      <c r="GM134" s="8">
        <f>IF(GM$56-Voorblad!$F$41&gt;Voorblad!$K$41,0,IF($U134=0,0,IF($U134&lt;1,1/$U134,IF((GM$56-Voorblad!$F$41)/$U134-SUM($EE134:GL134)=1,1,0))))</f>
        <v>0</v>
      </c>
      <c r="GN134" s="8">
        <f>IF(GN$56-Voorblad!$F$41&gt;Voorblad!$K$41,0,IF($U134=0,0,IF($U134&lt;1,1/$U134,IF((GN$56-Voorblad!$F$41)/$U134-SUM($EE134:GM134)=1,1,0))))</f>
        <v>1</v>
      </c>
      <c r="GO134" s="8">
        <f>IF(GO$56-Voorblad!$F$41&gt;Voorblad!$K$41,0,IF($U134=0,0,IF($U134&lt;1,1/$U134,IF((GO$56-Voorblad!$F$41)/$U134-SUM($EE134:GN134)=1,1,0))))</f>
        <v>0</v>
      </c>
      <c r="GP134" s="8">
        <f>IF(GP$56-Voorblad!$F$41&gt;Voorblad!$K$41,0,IF($U134=0,0,IF($U134&lt;1,1/$U134,IF((GP$56-Voorblad!$F$41)/$U134-SUM($EE134:GO134)=1,1,0))))</f>
        <v>0</v>
      </c>
      <c r="GQ134" s="8">
        <f>IF(GQ$56-Voorblad!$F$41&gt;Voorblad!$K$41,0,IF($U134=0,0,IF($U134&lt;1,1/$U134,IF((GQ$56-Voorblad!$F$41)/$U134-SUM($EE134:GP134)=1,1,0))))</f>
        <v>0</v>
      </c>
      <c r="GR134" s="8">
        <f>IF(GR$56-Voorblad!$F$41&gt;Voorblad!$K$41,0,IF($U134=0,0,IF($U134&lt;1,1/$U134,IF((GR$56-Voorblad!$F$41)/$U134-SUM($EE134:GQ134)=1,1,0))))</f>
        <v>0</v>
      </c>
      <c r="GS134" s="8">
        <f>IF(GS$56-Voorblad!$F$41&gt;Voorblad!$K$41,0,IF($U134=0,0,IF($U134&lt;1,1/$U134,IF((GS$56-Voorblad!$F$41)/$U134-SUM($EE134:GR134)=1,1,0))))</f>
        <v>0</v>
      </c>
      <c r="GT134" s="8">
        <f>IF(GT$56-Voorblad!$F$41&gt;Voorblad!$K$41,0,IF($U134=0,0,IF($U134&lt;1,1/$U134,IF((GT$56-Voorblad!$F$41)/$U134-SUM($EE134:GS134)=1,1,0))))</f>
        <v>0</v>
      </c>
      <c r="GU134" s="8">
        <f>IF(GU$56-Voorblad!$F$41&gt;Voorblad!$K$41,0,IF($U134=0,0,IF($U134&lt;1,1/$U134,IF((GU$56-Voorblad!$F$41)/$U134-SUM($EE134:GT134)=1,1,0))))</f>
        <v>0</v>
      </c>
      <c r="GV134" s="8">
        <f>IF(GV$56-Voorblad!$F$41&gt;Voorblad!$K$41,0,IF($U134=0,0,IF($U134&lt;1,1/$U134,IF((GV$56-Voorblad!$F$41)/$U134-SUM($EE134:GU134)=1,1,0))))</f>
        <v>0</v>
      </c>
      <c r="GW134" s="8">
        <f>IF(GW$56-Voorblad!$F$41&gt;Voorblad!$K$41,0,IF($U134=0,0,IF($U134&lt;1,1/$U134,IF((GW$56-Voorblad!$F$41)/$U134-SUM($EE134:GV134)=1,1,0))))</f>
        <v>0</v>
      </c>
      <c r="GX134" s="8">
        <f>IF(GX$56-Voorblad!$F$41&gt;Voorblad!$K$41,0,IF($U134=0,0,IF($U134&lt;1,1/$U134,IF((GX$56-Voorblad!$F$41)/$U134-SUM($EE134:GW134)=1,1,0))))</f>
        <v>0</v>
      </c>
      <c r="GY134" s="8">
        <f>IF(GY$56-Voorblad!$F$41&gt;Voorblad!$K$41,0,IF($U134=0,0,IF($U134&lt;1,1/$U134,IF((GY$56-Voorblad!$F$41)/$U134-SUM($EE134:GX134)=1,1,0))))</f>
        <v>0</v>
      </c>
      <c r="GZ134" s="8">
        <f>IF(GZ$56-Voorblad!$F$41&gt;Voorblad!$K$41,0,IF($U134=0,0,IF($U134&lt;1,1/$U134,IF((GZ$56-Voorblad!$F$41)/$U134-SUM($EE134:GY134)=1,1,0))))</f>
        <v>0</v>
      </c>
      <c r="HA134" s="8">
        <f>IF(HA$56-Voorblad!$F$41&gt;Voorblad!$K$41,0,IF($U134=0,0,IF($U134&lt;1,1/$U134,IF((HA$56-Voorblad!$F$41)/$U134-SUM($EE134:GZ134)=1,1,0))))</f>
        <v>0</v>
      </c>
      <c r="HB134" s="8">
        <f>IF(HB$56-Voorblad!$F$41&gt;Voorblad!$K$41,0,IF($U134=0,0,IF($U134&lt;1,1/$U134,IF((HB$56-Voorblad!$F$41)/$U134-SUM($EE134:HA134)=1,1,0))))</f>
        <v>0</v>
      </c>
      <c r="HC134" s="8">
        <f>IF(HC$56-Voorblad!$F$41&gt;Voorblad!$K$41,0,IF($U134=0,0,IF($U134&lt;1,1/$U134,IF((HC$56-Voorblad!$F$41)/$U134-SUM($EE134:HB134)=1,1,0))))</f>
        <v>0</v>
      </c>
      <c r="HD134" s="8">
        <f>IF(HD$56-Voorblad!$F$41&gt;Voorblad!$K$41,0,IF($U134=0,0,IF($U134&lt;1,1/$U134,IF((HD$56-Voorblad!$F$41)/$U134-SUM($EE134:HC134)=1,1,0))))</f>
        <v>0</v>
      </c>
      <c r="HE134" s="8">
        <f>IF(HE$56-Voorblad!$F$41&gt;Voorblad!$K$41,0,IF($U134=0,0,IF($U134&lt;1,1/$U134,IF((HE$56-Voorblad!$F$41)/$U134-SUM($EE134:HD134)=1,1,0))))</f>
        <v>0</v>
      </c>
      <c r="HF134" s="8">
        <f>IF(HF$56-Voorblad!$F$41&gt;Voorblad!$K$41,0,IF($U134=0,0,IF($U134&lt;1,1/$U134,IF((HF$56-Voorblad!$F$41)/$U134-SUM($EE134:HE134)=1,1,0))))</f>
        <v>0</v>
      </c>
      <c r="HG134" s="8">
        <f>IF(HG$56-Voorblad!$F$41&gt;Voorblad!$K$41,0,IF($U134=0,0,IF($U134&lt;1,1/$U134,IF((HG$56-Voorblad!$F$41)/$U134-SUM($EE134:HF134)=1,1,0))))</f>
        <v>0</v>
      </c>
      <c r="HH134" s="8">
        <f>IF(HH$56-Voorblad!$F$41&gt;Voorblad!$K$41,0,IF($U134=0,0,IF($U134&lt;1,1/$U134,IF((HH$56-Voorblad!$F$41)/$U134-SUM($EE134:HG134)=1,1,0))))</f>
        <v>0</v>
      </c>
      <c r="HI134" s="8">
        <f>IF(HI$56-Voorblad!$F$41&gt;Voorblad!$K$41,0,IF($U134=0,0,IF($U134&lt;1,1/$U134,IF((HI$56-Voorblad!$F$41)/$U134-SUM($EE134:HH134)=1,1,0))))</f>
        <v>0</v>
      </c>
      <c r="HJ134" s="8">
        <f>IF(HJ$56-Voorblad!$F$41&gt;Voorblad!$K$41,0,IF($U134=0,0,IF($U134&lt;1,1/$U134,IF((HJ$56-Voorblad!$F$41)/$U134-SUM($EE134:HI134)=1,1,0))))</f>
        <v>0</v>
      </c>
      <c r="HK134" s="8">
        <f>IF(HK$56-Voorblad!$F$41&gt;Voorblad!$K$41,0,IF($U134=0,0,IF($U134&lt;1,1/$U134,IF((HK$56-Voorblad!$F$41)/$U134-SUM($EE134:HJ134)=1,1,0))))</f>
        <v>0</v>
      </c>
      <c r="HL134" s="8">
        <f>IF(HL$56-Voorblad!$F$41&gt;Voorblad!$K$41,0,IF($U134=0,0,IF($U134&lt;1,1/$U134,IF((HL$56-Voorblad!$F$41)/$U134-SUM($EE134:HK134)=1,1,0))))</f>
        <v>0</v>
      </c>
      <c r="HM134" s="8">
        <f>IF(HM$56-Voorblad!$F$41&gt;Voorblad!$K$41,0,IF($U134=0,0,IF($U134&lt;1,1/$U134,IF((HM$56-Voorblad!$F$41)/$U134-SUM($EE134:HL134)=1,1,0))))</f>
        <v>0</v>
      </c>
      <c r="HN134" s="8">
        <f>IF(HN$56-Voorblad!$F$41&gt;Voorblad!$K$41,0,IF($U134=0,0,IF($U134&lt;1,1/$U134,IF((HN$56-Voorblad!$F$41)/$U134-SUM($EE134:HM134)=1,1,0))))</f>
        <v>0</v>
      </c>
      <c r="HO134" s="8">
        <f>IF(HO$56-Voorblad!$F$41&gt;Voorblad!$K$41,0,IF($U134=0,0,IF($U134&lt;1,1/$U134,IF((HO$56-Voorblad!$F$41)/$U134-SUM($EE134:HN134)=1,1,0))))</f>
        <v>0</v>
      </c>
      <c r="HP134" s="8">
        <f>IF(HP$56-Voorblad!$F$41&gt;Voorblad!$K$41,0,IF($U134=0,0,IF($U134&lt;1,1/$U134,IF((HP$56-Voorblad!$F$41)/$U134-SUM($EE134:HO134)=1,1,0))))</f>
        <v>0</v>
      </c>
      <c r="HQ134" s="8">
        <f>IF(HQ$56-Voorblad!$F$41&gt;Voorblad!$K$41,0,IF($U134=0,0,IF($U134&lt;1,1/$U134,IF((HQ$56-Voorblad!$F$41)/$U134-SUM($EE134:HP134)=1,1,0))))</f>
        <v>0</v>
      </c>
      <c r="HR134" s="8">
        <f>IF(HR$56-Voorblad!$F$41&gt;Voorblad!$K$41,0,IF($U134=0,0,IF($U134&lt;1,1/$U134,IF((HR$56-Voorblad!$F$41)/$U134-SUM($EE134:HQ134)=1,1,0))))</f>
        <v>0</v>
      </c>
      <c r="HS134" s="8">
        <f>IF(HS$56-Voorblad!$F$41&gt;Voorblad!$K$41,0,IF($U134=0,0,IF($U134&lt;1,1/$U134,IF((HS$56-Voorblad!$F$41)/$U134-SUM($EE134:HR134)=1,1,0))))</f>
        <v>0</v>
      </c>
      <c r="HT134" s="8">
        <f>IF(HT$56-Voorblad!$F$41&gt;Voorblad!$K$41,0,IF($U134=0,0,IF($U134&lt;1,1/$U134,IF((HT$56-Voorblad!$F$41)/$U134-SUM($EE134:HS134)=1,1,0))))</f>
        <v>0</v>
      </c>
      <c r="HU134" s="8">
        <f>IF(HU$56-Voorblad!$F$41&gt;Voorblad!$K$41,0,IF($U134=0,0,IF($U134&lt;1,1/$U134,IF((HU$56-Voorblad!$F$41)/$U134-SUM($EE134:HT134)=1,1,0))))</f>
        <v>0</v>
      </c>
      <c r="HV134" s="8">
        <f>IF(HV$56-Voorblad!$F$41&gt;Voorblad!$K$41,0,IF($U134=0,0,IF($U134&lt;1,1/$U134,IF((HV$56-Voorblad!$F$41)/$U134-SUM($EE134:HU134)=1,1,0))))</f>
        <v>0</v>
      </c>
      <c r="HW134" s="8">
        <f>IF(HW$56-Voorblad!$F$41&gt;Voorblad!$K$41,0,IF($U134=0,0,IF($U134&lt;1,1/$U134,IF((HW$56-Voorblad!$F$41)/$U134-SUM($EE134:HV134)=1,1,0))))</f>
        <v>0</v>
      </c>
      <c r="HX134" s="8">
        <f>IF(HX$56-Voorblad!$F$41&gt;Voorblad!$K$41,0,IF($U134=0,0,IF($U134&lt;1,1/$U134,IF((HX$56-Voorblad!$F$41)/$U134-SUM($EE134:HW134)=1,1,0))))</f>
        <v>0</v>
      </c>
      <c r="HY134" s="8">
        <f>IF(HY$56-Voorblad!$F$41&gt;Voorblad!$K$41,0,IF($U134=0,0,IF($U134&lt;1,1/$U134,IF((HY$56-Voorblad!$F$41)/$U134-SUM($EE134:HX134)=1,1,0))))</f>
        <v>0</v>
      </c>
      <c r="HZ134" s="8">
        <f>IF(HZ$56-Voorblad!$F$41&gt;Voorblad!$K$41,0,IF($U134=0,0,IF($U134&lt;1,1/$U134,IF((HZ$56-Voorblad!$F$41)/$U134-SUM($EE134:HY134)=1,1,0))))</f>
        <v>0</v>
      </c>
      <c r="IA134" s="8">
        <f>IF(IA$56-Voorblad!$F$41&gt;Voorblad!$K$41,0,IF($U134=0,0,IF($U134&lt;1,1/$U134,IF((IA$56-Voorblad!$F$41)/$U134-SUM($EE134:HZ134)=1,1,0))))</f>
        <v>0</v>
      </c>
      <c r="IB134" s="8">
        <f>IF(IB$56-Voorblad!$F$41&gt;Voorblad!$K$41,0,IF($U134=0,0,IF($U134&lt;1,1/$U134,IF((IB$56-Voorblad!$F$41)/$U134-SUM($EE134:IA134)=1,1,0))))</f>
        <v>0</v>
      </c>
    </row>
    <row r="135" spans="2:236" ht="12" customHeight="1" outlineLevel="1" x14ac:dyDescent="0.25">
      <c r="B135" s="1">
        <v>1</v>
      </c>
      <c r="F135" s="1" t="s">
        <v>23</v>
      </c>
      <c r="I135" s="1" t="s">
        <v>193</v>
      </c>
      <c r="K135" s="14" t="s">
        <v>208</v>
      </c>
      <c r="O135" s="1" t="s">
        <v>187</v>
      </c>
      <c r="P135" s="1" t="s">
        <v>183</v>
      </c>
      <c r="Q135" s="81">
        <v>0</v>
      </c>
      <c r="R135" s="1" t="s">
        <v>35</v>
      </c>
      <c r="S135" s="21">
        <f>$H$10*0.6*125</f>
        <v>178.5</v>
      </c>
      <c r="T135" s="9">
        <f t="shared" si="104"/>
        <v>0</v>
      </c>
      <c r="U135" s="14">
        <v>30</v>
      </c>
      <c r="V135" s="14"/>
      <c r="Y135" s="9">
        <f t="shared" si="107"/>
        <v>0</v>
      </c>
      <c r="Z135" s="82"/>
      <c r="AA135" s="82"/>
      <c r="AC135" s="9">
        <f>$Y135*(Voorblad!$K$44*(1+Voorblad!$K$44)^Voorblad!$K$41)/((1+Voorblad!$K$44)^Voorblad!$K$41-1)</f>
        <v>0</v>
      </c>
      <c r="AE135" s="9">
        <f>EF135*($Q135*$S135)/(1+Voorblad!$K$44)^(AE$56-Voorblad!$F$41)</f>
        <v>0</v>
      </c>
      <c r="AF135" s="9">
        <f>EG135*($Q135*$S135)/(1+Voorblad!$K$44)^(AF$56-Voorblad!$F$41)</f>
        <v>0</v>
      </c>
      <c r="AG135" s="9">
        <f>EH135*($Q135*$S135)/(1+Voorblad!$K$44)^(AG$56-Voorblad!$F$41)</f>
        <v>0</v>
      </c>
      <c r="AH135" s="9">
        <f>EI135*($Q135*$S135)/(1+Voorblad!$K$44)^(AH$56-Voorblad!$F$41)</f>
        <v>0</v>
      </c>
      <c r="AI135" s="9">
        <f>EJ135*($Q135*$S135)/(1+Voorblad!$K$44)^(AI$56-Voorblad!$F$41)</f>
        <v>0</v>
      </c>
      <c r="AJ135" s="9">
        <f>EK135*($Q135*$S135)/(1+Voorblad!$K$44)^(AJ$56-Voorblad!$F$41)</f>
        <v>0</v>
      </c>
      <c r="AK135" s="9">
        <f>EL135*($Q135*$S135)/(1+Voorblad!$K$44)^(AK$56-Voorblad!$F$41)</f>
        <v>0</v>
      </c>
      <c r="AL135" s="9">
        <f>EM135*($Q135*$S135)/(1+Voorblad!$K$44)^(AL$56-Voorblad!$F$41)</f>
        <v>0</v>
      </c>
      <c r="AM135" s="9">
        <f>EN135*($Q135*$S135)/(1+Voorblad!$K$44)^(AM$56-Voorblad!$F$41)</f>
        <v>0</v>
      </c>
      <c r="AN135" s="9">
        <f>EO135*($Q135*$S135)/(1+Voorblad!$K$44)^(AN$56-Voorblad!$F$41)</f>
        <v>0</v>
      </c>
      <c r="AO135" s="9">
        <f>EP135*($Q135*$S135)/(1+Voorblad!$K$44)^(AO$56-Voorblad!$F$41)</f>
        <v>0</v>
      </c>
      <c r="AP135" s="9">
        <f>EQ135*($Q135*$S135)/(1+Voorblad!$K$44)^(AP$56-Voorblad!$F$41)</f>
        <v>0</v>
      </c>
      <c r="AQ135" s="9">
        <f>ER135*($Q135*$S135)/(1+Voorblad!$K$44)^(AQ$56-Voorblad!$F$41)</f>
        <v>0</v>
      </c>
      <c r="AR135" s="9">
        <f>ES135*($Q135*$S135)/(1+Voorblad!$K$44)^(AR$56-Voorblad!$F$41)</f>
        <v>0</v>
      </c>
      <c r="AS135" s="9">
        <f>ET135*($Q135*$S135)/(1+Voorblad!$K$44)^(AS$56-Voorblad!$F$41)</f>
        <v>0</v>
      </c>
      <c r="AT135" s="9">
        <f>EU135*($Q135*$S135)/(1+Voorblad!$K$44)^(AT$56-Voorblad!$F$41)</f>
        <v>0</v>
      </c>
      <c r="AU135" s="9">
        <f>EV135*($Q135*$S135)/(1+Voorblad!$K$44)^(AU$56-Voorblad!$F$41)</f>
        <v>0</v>
      </c>
      <c r="AV135" s="9">
        <f>EW135*($Q135*$S135)/(1+Voorblad!$K$44)^(AV$56-Voorblad!$F$41)</f>
        <v>0</v>
      </c>
      <c r="AW135" s="9">
        <f>EX135*($Q135*$S135)/(1+Voorblad!$K$44)^(AW$56-Voorblad!$F$41)</f>
        <v>0</v>
      </c>
      <c r="AX135" s="9">
        <f>EY135*($Q135*$S135)/(1+Voorblad!$K$44)^(AX$56-Voorblad!$F$41)</f>
        <v>0</v>
      </c>
      <c r="AY135" s="9">
        <f>EZ135*($Q135*$S135)/(1+Voorblad!$K$44)^(AY$56-Voorblad!$F$41)</f>
        <v>0</v>
      </c>
      <c r="AZ135" s="9">
        <f>FA135*($Q135*$S135)/(1+Voorblad!$K$44)^(AZ$56-Voorblad!$F$41)</f>
        <v>0</v>
      </c>
      <c r="BA135" s="9">
        <f>FB135*($Q135*$S135)/(1+Voorblad!$K$44)^(BA$56-Voorblad!$F$41)</f>
        <v>0</v>
      </c>
      <c r="BB135" s="9">
        <f>FC135*($Q135*$S135)/(1+Voorblad!$K$44)^(BB$56-Voorblad!$F$41)</f>
        <v>0</v>
      </c>
      <c r="BC135" s="9">
        <f>FD135*($Q135*$S135)/(1+Voorblad!$K$44)^(BC$56-Voorblad!$F$41)</f>
        <v>0</v>
      </c>
      <c r="BD135" s="9">
        <f>FE135*($Q135*$S135)/(1+Voorblad!$K$44)^(BD$56-Voorblad!$F$41)</f>
        <v>0</v>
      </c>
      <c r="BE135" s="9">
        <f>FF135*($Q135*$S135)/(1+Voorblad!$K$44)^(BE$56-Voorblad!$F$41)</f>
        <v>0</v>
      </c>
      <c r="BF135" s="9">
        <f>FG135*($Q135*$S135)/(1+Voorblad!$K$44)^(BF$56-Voorblad!$F$41)</f>
        <v>0</v>
      </c>
      <c r="BG135" s="9">
        <f>FH135*($Q135*$S135)/(1+Voorblad!$K$44)^(BG$56-Voorblad!$F$41)</f>
        <v>0</v>
      </c>
      <c r="BH135" s="9">
        <f>FI135*($Q135*$S135)/(1+Voorblad!$K$44)^(BH$56-Voorblad!$F$41)</f>
        <v>0</v>
      </c>
      <c r="BI135" s="9">
        <f>FJ135*($Q135*$S135)/(1+Voorblad!$K$44)^(BI$56-Voorblad!$F$41)</f>
        <v>0</v>
      </c>
      <c r="BJ135" s="9">
        <f>FK135*($Q135*$S135)/(1+Voorblad!$K$44)^(BJ$56-Voorblad!$F$41)</f>
        <v>0</v>
      </c>
      <c r="BK135" s="9">
        <f>FL135*($Q135*$S135)/(1+Voorblad!$K$44)^(BK$56-Voorblad!$F$41)</f>
        <v>0</v>
      </c>
      <c r="BL135" s="9">
        <f>FM135*($Q135*$S135)/(1+Voorblad!$K$44)^(BL$56-Voorblad!$F$41)</f>
        <v>0</v>
      </c>
      <c r="BM135" s="9">
        <f>FN135*($Q135*$S135)/(1+Voorblad!$K$44)^(BM$56-Voorblad!$F$41)</f>
        <v>0</v>
      </c>
      <c r="BN135" s="9">
        <f>FO135*($Q135*$S135)/(1+Voorblad!$K$44)^(BN$56-Voorblad!$F$41)</f>
        <v>0</v>
      </c>
      <c r="BO135" s="9">
        <f>FP135*($Q135*$S135)/(1+Voorblad!$K$44)^(BO$56-Voorblad!$F$41)</f>
        <v>0</v>
      </c>
      <c r="BP135" s="9">
        <f>FQ135*($Q135*$S135)/(1+Voorblad!$K$44)^(BP$56-Voorblad!$F$41)</f>
        <v>0</v>
      </c>
      <c r="BQ135" s="9">
        <f>FR135*($Q135*$S135)/(1+Voorblad!$K$44)^(BQ$56-Voorblad!$F$41)</f>
        <v>0</v>
      </c>
      <c r="BR135" s="9">
        <f>FS135*($Q135*$S135)/(1+Voorblad!$K$44)^(BR$56-Voorblad!$F$41)</f>
        <v>0</v>
      </c>
      <c r="BS135" s="9">
        <f>FT135*($Q135*$S135)/(1+Voorblad!$K$44)^(BS$56-Voorblad!$F$41)</f>
        <v>0</v>
      </c>
      <c r="BT135" s="9">
        <f>FU135*($Q135*$S135)/(1+Voorblad!$K$44)^(BT$56-Voorblad!$F$41)</f>
        <v>0</v>
      </c>
      <c r="BU135" s="9">
        <f>FV135*($Q135*$S135)/(1+Voorblad!$K$44)^(BU$56-Voorblad!$F$41)</f>
        <v>0</v>
      </c>
      <c r="BV135" s="9">
        <f>FW135*($Q135*$S135)/(1+Voorblad!$K$44)^(BV$56-Voorblad!$F$41)</f>
        <v>0</v>
      </c>
      <c r="BW135" s="9">
        <f>FX135*($Q135*$S135)/(1+Voorblad!$K$44)^(BW$56-Voorblad!$F$41)</f>
        <v>0</v>
      </c>
      <c r="BX135" s="9">
        <f>FY135*($Q135*$S135)/(1+Voorblad!$K$44)^(BX$56-Voorblad!$F$41)</f>
        <v>0</v>
      </c>
      <c r="BY135" s="9">
        <f>FZ135*($Q135*$S135)/(1+Voorblad!$K$44)^(BY$56-Voorblad!$F$41)</f>
        <v>0</v>
      </c>
      <c r="BZ135" s="9">
        <f>GA135*($Q135*$S135)/(1+Voorblad!$K$44)^(BZ$56-Voorblad!$F$41)</f>
        <v>0</v>
      </c>
      <c r="CA135" s="9">
        <f>GB135*($Q135*$S135)/(1+Voorblad!$K$44)^(CA$56-Voorblad!$F$41)</f>
        <v>0</v>
      </c>
      <c r="CB135" s="9">
        <f>GC135*($Q135*$S135)/(1+Voorblad!$K$44)^(CB$56-Voorblad!$F$41)</f>
        <v>0</v>
      </c>
      <c r="CC135" s="9">
        <f>GD135*($Q135*$S135)/(1+Voorblad!$K$44)^(CC$56-Voorblad!$F$41)</f>
        <v>0</v>
      </c>
      <c r="CD135" s="9">
        <f>GE135*($Q135*$S135)/(1+Voorblad!$K$44)^(CD$56-Voorblad!$F$41)</f>
        <v>0</v>
      </c>
      <c r="CE135" s="9">
        <f>GF135*($Q135*$S135)/(1+Voorblad!$K$44)^(CE$56-Voorblad!$F$41)</f>
        <v>0</v>
      </c>
      <c r="CF135" s="9">
        <f>GG135*($Q135*$S135)/(1+Voorblad!$K$44)^(CF$56-Voorblad!$F$41)</f>
        <v>0</v>
      </c>
      <c r="CG135" s="9">
        <f>GH135*($Q135*$S135)/(1+Voorblad!$K$44)^(CG$56-Voorblad!$F$41)</f>
        <v>0</v>
      </c>
      <c r="CH135" s="9">
        <f>GI135*($Q135*$S135)/(1+Voorblad!$K$44)^(CH$56-Voorblad!$F$41)</f>
        <v>0</v>
      </c>
      <c r="CI135" s="9">
        <f>GJ135*($Q135*$S135)/(1+Voorblad!$K$44)^(CI$56-Voorblad!$F$41)</f>
        <v>0</v>
      </c>
      <c r="CJ135" s="9">
        <f>GK135*($Q135*$S135)/(1+Voorblad!$K$44)^(CJ$56-Voorblad!$F$41)</f>
        <v>0</v>
      </c>
      <c r="CK135" s="9">
        <f>GL135*($Q135*$S135)/(1+Voorblad!$K$44)^(CK$56-Voorblad!$F$41)</f>
        <v>0</v>
      </c>
      <c r="CL135" s="9">
        <f>GM135*($Q135*$S135)/(1+Voorblad!$K$44)^(CL$56-Voorblad!$F$41)</f>
        <v>0</v>
      </c>
      <c r="CM135" s="9">
        <f>GN135*($Q135*$S135)/(1+Voorblad!$K$44)^(CM$56-Voorblad!$F$41)</f>
        <v>0</v>
      </c>
      <c r="CN135" s="9">
        <f>GO135*($Q135*$S135)/(1+Voorblad!$K$44)^(CN$56-Voorblad!$F$41)</f>
        <v>0</v>
      </c>
      <c r="CO135" s="9">
        <f>GP135*($Q135*$S135)/(1+Voorblad!$K$44)^(CO$56-Voorblad!$F$41)</f>
        <v>0</v>
      </c>
      <c r="CP135" s="9">
        <f>GQ135*($Q135*$S135)/(1+Voorblad!$K$44)^(CP$56-Voorblad!$F$41)</f>
        <v>0</v>
      </c>
      <c r="CQ135" s="9">
        <f>GR135*($Q135*$S135)/(1+Voorblad!$K$44)^(CQ$56-Voorblad!$F$41)</f>
        <v>0</v>
      </c>
      <c r="CR135" s="9">
        <f>GS135*($Q135*$S135)/(1+Voorblad!$K$44)^(CR$56-Voorblad!$F$41)</f>
        <v>0</v>
      </c>
      <c r="CS135" s="9">
        <f>GT135*($Q135*$S135)/(1+Voorblad!$K$44)^(CS$56-Voorblad!$F$41)</f>
        <v>0</v>
      </c>
      <c r="CT135" s="9">
        <f>GU135*($Q135*$S135)/(1+Voorblad!$K$44)^(CT$56-Voorblad!$F$41)</f>
        <v>0</v>
      </c>
      <c r="CU135" s="9">
        <f>GV135*($Q135*$S135)/(1+Voorblad!$K$44)^(CU$56-Voorblad!$F$41)</f>
        <v>0</v>
      </c>
      <c r="CV135" s="9">
        <f>GW135*($Q135*$S135)/(1+Voorblad!$K$44)^(CV$56-Voorblad!$F$41)</f>
        <v>0</v>
      </c>
      <c r="CW135" s="9">
        <f>GX135*($Q135*$S135)/(1+Voorblad!$K$44)^(CW$56-Voorblad!$F$41)</f>
        <v>0</v>
      </c>
      <c r="CX135" s="9">
        <f>GY135*($Q135*$S135)/(1+Voorblad!$K$44)^(CX$56-Voorblad!$F$41)</f>
        <v>0</v>
      </c>
      <c r="CY135" s="9">
        <f>GZ135*($Q135*$S135)/(1+Voorblad!$K$44)^(CY$56-Voorblad!$F$41)</f>
        <v>0</v>
      </c>
      <c r="CZ135" s="9">
        <f>HA135*($Q135*$S135)/(1+Voorblad!$K$44)^(CZ$56-Voorblad!$F$41)</f>
        <v>0</v>
      </c>
      <c r="DA135" s="9">
        <f>HB135*($Q135*$S135)/(1+Voorblad!$K$44)^(DA$56-Voorblad!$F$41)</f>
        <v>0</v>
      </c>
      <c r="DB135" s="9">
        <f>HC135*($Q135*$S135)/(1+Voorblad!$K$44)^(DB$56-Voorblad!$F$41)</f>
        <v>0</v>
      </c>
      <c r="DC135" s="9">
        <f>HD135*($Q135*$S135)/(1+Voorblad!$K$44)^(DC$56-Voorblad!$F$41)</f>
        <v>0</v>
      </c>
      <c r="DD135" s="9">
        <f>HE135*($Q135*$S135)/(1+Voorblad!$K$44)^(DD$56-Voorblad!$F$41)</f>
        <v>0</v>
      </c>
      <c r="DE135" s="9">
        <f>HF135*($Q135*$S135)/(1+Voorblad!$K$44)^(DE$56-Voorblad!$F$41)</f>
        <v>0</v>
      </c>
      <c r="DF135" s="9">
        <f>HG135*($Q135*$S135)/(1+Voorblad!$K$44)^(DF$56-Voorblad!$F$41)</f>
        <v>0</v>
      </c>
      <c r="DG135" s="9">
        <f>HH135*($Q135*$S135)/(1+Voorblad!$K$44)^(DG$56-Voorblad!$F$41)</f>
        <v>0</v>
      </c>
      <c r="DH135" s="9">
        <f>HI135*($Q135*$S135)/(1+Voorblad!$K$44)^(DH$56-Voorblad!$F$41)</f>
        <v>0</v>
      </c>
      <c r="DI135" s="9">
        <f>HJ135*($Q135*$S135)/(1+Voorblad!$K$44)^(DI$56-Voorblad!$F$41)</f>
        <v>0</v>
      </c>
      <c r="DJ135" s="9">
        <f>HK135*($Q135*$S135)/(1+Voorblad!$K$44)^(DJ$56-Voorblad!$F$41)</f>
        <v>0</v>
      </c>
      <c r="DK135" s="9">
        <f>HL135*($Q135*$S135)/(1+Voorblad!$K$44)^(DK$56-Voorblad!$F$41)</f>
        <v>0</v>
      </c>
      <c r="DL135" s="9">
        <f>HM135*($Q135*$S135)/(1+Voorblad!$K$44)^(DL$56-Voorblad!$F$41)</f>
        <v>0</v>
      </c>
      <c r="DM135" s="9">
        <f>HN135*($Q135*$S135)/(1+Voorblad!$K$44)^(DM$56-Voorblad!$F$41)</f>
        <v>0</v>
      </c>
      <c r="DN135" s="9">
        <f>HO135*($Q135*$S135)/(1+Voorblad!$K$44)^(DN$56-Voorblad!$F$41)</f>
        <v>0</v>
      </c>
      <c r="DO135" s="9">
        <f>HP135*($Q135*$S135)/(1+Voorblad!$K$44)^(DO$56-Voorblad!$F$41)</f>
        <v>0</v>
      </c>
      <c r="DP135" s="9">
        <f>HQ135*($Q135*$S135)/(1+Voorblad!$K$44)^(DP$56-Voorblad!$F$41)</f>
        <v>0</v>
      </c>
      <c r="DQ135" s="9">
        <f>HR135*($Q135*$S135)/(1+Voorblad!$K$44)^(DQ$56-Voorblad!$F$41)</f>
        <v>0</v>
      </c>
      <c r="DR135" s="9">
        <f>HS135*($Q135*$S135)/(1+Voorblad!$K$44)^(DR$56-Voorblad!$F$41)</f>
        <v>0</v>
      </c>
      <c r="DS135" s="9">
        <f>HT135*($Q135*$S135)/(1+Voorblad!$K$44)^(DS$56-Voorblad!$F$41)</f>
        <v>0</v>
      </c>
      <c r="DT135" s="9">
        <f>HU135*($Q135*$S135)/(1+Voorblad!$K$44)^(DT$56-Voorblad!$F$41)</f>
        <v>0</v>
      </c>
      <c r="DU135" s="9">
        <f>HV135*($Q135*$S135)/(1+Voorblad!$K$44)^(DU$56-Voorblad!$F$41)</f>
        <v>0</v>
      </c>
      <c r="DV135" s="9">
        <f>HW135*($Q135*$S135)/(1+Voorblad!$K$44)^(DV$56-Voorblad!$F$41)</f>
        <v>0</v>
      </c>
      <c r="DW135" s="9">
        <f>HX135*($Q135*$S135)/(1+Voorblad!$K$44)^(DW$56-Voorblad!$F$41)</f>
        <v>0</v>
      </c>
      <c r="DX135" s="9">
        <f>HY135*($Q135*$S135)/(1+Voorblad!$K$44)^(DX$56-Voorblad!$F$41)</f>
        <v>0</v>
      </c>
      <c r="DY135" s="9">
        <f>HZ135*($Q135*$S135)/(1+Voorblad!$K$44)^(DY$56-Voorblad!$F$41)</f>
        <v>0</v>
      </c>
      <c r="DZ135" s="9">
        <f>IA135*($Q135*$S135)/(1+Voorblad!$K$44)^(DZ$56-Voorblad!$F$41)</f>
        <v>0</v>
      </c>
      <c r="EA135" s="9">
        <f>IB135*($Q135*$S135)/(1+Voorblad!$K$44)^(EA$56-Voorblad!$F$41)</f>
        <v>0</v>
      </c>
      <c r="EB135" s="9">
        <f>IC135*($Q135*$S135)/(1+Voorblad!$K$44)^(EB$56-Voorblad!$F$41)</f>
        <v>0</v>
      </c>
      <c r="EE135" s="8">
        <v>0</v>
      </c>
      <c r="EF135" s="8">
        <f>IF(EF$56-Voorblad!$F$41&gt;Voorblad!$K$41,0,IF($U135=0,0,IF($U135&lt;1,1/$U135,IF((EF$56-Voorblad!$F$41)/$U135-SUM($EE135:EE135)=1,1,0))))</f>
        <v>0</v>
      </c>
      <c r="EG135" s="8">
        <f>IF(EG$56-Voorblad!$F$41&gt;Voorblad!$K$41,0,IF($U135=0,0,IF($U135&lt;1,1/$U135,IF((EG$56-Voorblad!$F$41)/$U135-SUM($EE135:EF135)=1,1,0))))</f>
        <v>0</v>
      </c>
      <c r="EH135" s="8">
        <f>IF(EH$56-Voorblad!$F$41&gt;Voorblad!$K$41,0,IF($U135=0,0,IF($U135&lt;1,1/$U135,IF((EH$56-Voorblad!$F$41)/$U135-SUM($EE135:EG135)=1,1,0))))</f>
        <v>0</v>
      </c>
      <c r="EI135" s="8">
        <f>IF(EI$56-Voorblad!$F$41&gt;Voorblad!$K$41,0,IF($U135=0,0,IF($U135&lt;1,1/$U135,IF((EI$56-Voorblad!$F$41)/$U135-SUM($EE135:EH135)=1,1,0))))</f>
        <v>0</v>
      </c>
      <c r="EJ135" s="8">
        <f>IF(EJ$56-Voorblad!$F$41&gt;Voorblad!$K$41,0,IF($U135=0,0,IF($U135&lt;1,1/$U135,IF((EJ$56-Voorblad!$F$41)/$U135-SUM($EE135:EI135)=1,1,0))))</f>
        <v>0</v>
      </c>
      <c r="EK135" s="8">
        <f>IF(EK$56-Voorblad!$F$41&gt;Voorblad!$K$41,0,IF($U135=0,0,IF($U135&lt;1,1/$U135,IF((EK$56-Voorblad!$F$41)/$U135-SUM($EE135:EJ135)=1,1,0))))</f>
        <v>0</v>
      </c>
      <c r="EL135" s="8">
        <f>IF(EL$56-Voorblad!$F$41&gt;Voorblad!$K$41,0,IF($U135=0,0,IF($U135&lt;1,1/$U135,IF((EL$56-Voorblad!$F$41)/$U135-SUM($EE135:EK135)=1,1,0))))</f>
        <v>0</v>
      </c>
      <c r="EM135" s="8">
        <f>IF(EM$56-Voorblad!$F$41&gt;Voorblad!$K$41,0,IF($U135=0,0,IF($U135&lt;1,1/$U135,IF((EM$56-Voorblad!$F$41)/$U135-SUM($EE135:EL135)=1,1,0))))</f>
        <v>0</v>
      </c>
      <c r="EN135" s="8">
        <f>IF(EN$56-Voorblad!$F$41&gt;Voorblad!$K$41,0,IF($U135=0,0,IF($U135&lt;1,1/$U135,IF((EN$56-Voorblad!$F$41)/$U135-SUM($EE135:EM135)=1,1,0))))</f>
        <v>0</v>
      </c>
      <c r="EO135" s="8">
        <f>IF(EO$56-Voorblad!$F$41&gt;Voorblad!$K$41,0,IF($U135=0,0,IF($U135&lt;1,1/$U135,IF((EO$56-Voorblad!$F$41)/$U135-SUM($EE135:EN135)=1,1,0))))</f>
        <v>0</v>
      </c>
      <c r="EP135" s="8">
        <f>IF(EP$56-Voorblad!$F$41&gt;Voorblad!$K$41,0,IF($U135=0,0,IF($U135&lt;1,1/$U135,IF((EP$56-Voorblad!$F$41)/$U135-SUM($EE135:EO135)=1,1,0))))</f>
        <v>0</v>
      </c>
      <c r="EQ135" s="8">
        <f>IF(EQ$56-Voorblad!$F$41&gt;Voorblad!$K$41,0,IF($U135=0,0,IF($U135&lt;1,1/$U135,IF((EQ$56-Voorblad!$F$41)/$U135-SUM($EE135:EP135)=1,1,0))))</f>
        <v>0</v>
      </c>
      <c r="ER135" s="8">
        <f>IF(ER$56-Voorblad!$F$41&gt;Voorblad!$K$41,0,IF($U135=0,0,IF($U135&lt;1,1/$U135,IF((ER$56-Voorblad!$F$41)/$U135-SUM($EE135:EQ135)=1,1,0))))</f>
        <v>0</v>
      </c>
      <c r="ES135" s="8">
        <f>IF(ES$56-Voorblad!$F$41&gt;Voorblad!$K$41,0,IF($U135=0,0,IF($U135&lt;1,1/$U135,IF((ES$56-Voorblad!$F$41)/$U135-SUM($EE135:ER135)=1,1,0))))</f>
        <v>0</v>
      </c>
      <c r="ET135" s="8">
        <f>IF(ET$56-Voorblad!$F$41&gt;Voorblad!$K$41,0,IF($U135=0,0,IF($U135&lt;1,1/$U135,IF((ET$56-Voorblad!$F$41)/$U135-SUM($EE135:ES135)=1,1,0))))</f>
        <v>0</v>
      </c>
      <c r="EU135" s="8">
        <f>IF(EU$56-Voorblad!$F$41&gt;Voorblad!$K$41,0,IF($U135=0,0,IF($U135&lt;1,1/$U135,IF((EU$56-Voorblad!$F$41)/$U135-SUM($EE135:ET135)=1,1,0))))</f>
        <v>0</v>
      </c>
      <c r="EV135" s="8">
        <f>IF(EV$56-Voorblad!$F$41&gt;Voorblad!$K$41,0,IF($U135=0,0,IF($U135&lt;1,1/$U135,IF((EV$56-Voorblad!$F$41)/$U135-SUM($EE135:EU135)=1,1,0))))</f>
        <v>0</v>
      </c>
      <c r="EW135" s="8">
        <f>IF(EW$56-Voorblad!$F$41&gt;Voorblad!$K$41,0,IF($U135=0,0,IF($U135&lt;1,1/$U135,IF((EW$56-Voorblad!$F$41)/$U135-SUM($EE135:EV135)=1,1,0))))</f>
        <v>0</v>
      </c>
      <c r="EX135" s="8">
        <f>IF(EX$56-Voorblad!$F$41&gt;Voorblad!$K$41,0,IF($U135=0,0,IF($U135&lt;1,1/$U135,IF((EX$56-Voorblad!$F$41)/$U135-SUM($EE135:EW135)=1,1,0))))</f>
        <v>0</v>
      </c>
      <c r="EY135" s="8">
        <f>IF(EY$56-Voorblad!$F$41&gt;Voorblad!$K$41,0,IF($U135=0,0,IF($U135&lt;1,1/$U135,IF((EY$56-Voorblad!$F$41)/$U135-SUM($EE135:EX135)=1,1,0))))</f>
        <v>0</v>
      </c>
      <c r="EZ135" s="8">
        <f>IF(EZ$56-Voorblad!$F$41&gt;Voorblad!$K$41,0,IF($U135=0,0,IF($U135&lt;1,1/$U135,IF((EZ$56-Voorblad!$F$41)/$U135-SUM($EE135:EY135)=1,1,0))))</f>
        <v>0</v>
      </c>
      <c r="FA135" s="8">
        <f>IF(FA$56-Voorblad!$F$41&gt;Voorblad!$K$41,0,IF($U135=0,0,IF($U135&lt;1,1/$U135,IF((FA$56-Voorblad!$F$41)/$U135-SUM($EE135:EZ135)=1,1,0))))</f>
        <v>0</v>
      </c>
      <c r="FB135" s="8">
        <f>IF(FB$56-Voorblad!$F$41&gt;Voorblad!$K$41,0,IF($U135=0,0,IF($U135&lt;1,1/$U135,IF((FB$56-Voorblad!$F$41)/$U135-SUM($EE135:FA135)=1,1,0))))</f>
        <v>0</v>
      </c>
      <c r="FC135" s="8">
        <f>IF(FC$56-Voorblad!$F$41&gt;Voorblad!$K$41,0,IF($U135=0,0,IF($U135&lt;1,1/$U135,IF((FC$56-Voorblad!$F$41)/$U135-SUM($EE135:FB135)=1,1,0))))</f>
        <v>0</v>
      </c>
      <c r="FD135" s="8">
        <f>IF(FD$56-Voorblad!$F$41&gt;Voorblad!$K$41,0,IF($U135=0,0,IF($U135&lt;1,1/$U135,IF((FD$56-Voorblad!$F$41)/$U135-SUM($EE135:FC135)=1,1,0))))</f>
        <v>0</v>
      </c>
      <c r="FE135" s="8">
        <f>IF(FE$56-Voorblad!$F$41&gt;Voorblad!$K$41,0,IF($U135=0,0,IF($U135&lt;1,1/$U135,IF((FE$56-Voorblad!$F$41)/$U135-SUM($EE135:FD135)=1,1,0))))</f>
        <v>0</v>
      </c>
      <c r="FF135" s="8">
        <f>IF(FF$56-Voorblad!$F$41&gt;Voorblad!$K$41,0,IF($U135=0,0,IF($U135&lt;1,1/$U135,IF((FF$56-Voorblad!$F$41)/$U135-SUM($EE135:FE135)=1,1,0))))</f>
        <v>0</v>
      </c>
      <c r="FG135" s="8">
        <f>IF(FG$56-Voorblad!$F$41&gt;Voorblad!$K$41,0,IF($U135=0,0,IF($U135&lt;1,1/$U135,IF((FG$56-Voorblad!$F$41)/$U135-SUM($EE135:FF135)=1,1,0))))</f>
        <v>0</v>
      </c>
      <c r="FH135" s="8">
        <f>IF(FH$56-Voorblad!$F$41&gt;Voorblad!$K$41,0,IF($U135=0,0,IF($U135&lt;1,1/$U135,IF((FH$56-Voorblad!$F$41)/$U135-SUM($EE135:FG135)=1,1,0))))</f>
        <v>0</v>
      </c>
      <c r="FI135" s="8">
        <f>IF(FI$56-Voorblad!$F$41&gt;Voorblad!$K$41,0,IF($U135=0,0,IF($U135&lt;1,1/$U135,IF((FI$56-Voorblad!$F$41)/$U135-SUM($EE135:FH135)=1,1,0))))</f>
        <v>0</v>
      </c>
      <c r="FJ135" s="8">
        <f>IF(FJ$56-Voorblad!$F$41&gt;Voorblad!$K$41,0,IF($U135=0,0,IF($U135&lt;1,1/$U135,IF((FJ$56-Voorblad!$F$41)/$U135-SUM($EE135:FI135)=1,1,0))))</f>
        <v>1</v>
      </c>
      <c r="FK135" s="8">
        <f>IF(FK$56-Voorblad!$F$41&gt;Voorblad!$K$41,0,IF($U135=0,0,IF($U135&lt;1,1/$U135,IF((FK$56-Voorblad!$F$41)/$U135-SUM($EE135:FJ135)=1,1,0))))</f>
        <v>0</v>
      </c>
      <c r="FL135" s="8">
        <f>IF(FL$56-Voorblad!$F$41&gt;Voorblad!$K$41,0,IF($U135=0,0,IF($U135&lt;1,1/$U135,IF((FL$56-Voorblad!$F$41)/$U135-SUM($EE135:FK135)=1,1,0))))</f>
        <v>0</v>
      </c>
      <c r="FM135" s="8">
        <f>IF(FM$56-Voorblad!$F$41&gt;Voorblad!$K$41,0,IF($U135=0,0,IF($U135&lt;1,1/$U135,IF((FM$56-Voorblad!$F$41)/$U135-SUM($EE135:FL135)=1,1,0))))</f>
        <v>0</v>
      </c>
      <c r="FN135" s="8">
        <f>IF(FN$56-Voorblad!$F$41&gt;Voorblad!$K$41,0,IF($U135=0,0,IF($U135&lt;1,1/$U135,IF((FN$56-Voorblad!$F$41)/$U135-SUM($EE135:FM135)=1,1,0))))</f>
        <v>0</v>
      </c>
      <c r="FO135" s="8">
        <f>IF(FO$56-Voorblad!$F$41&gt;Voorblad!$K$41,0,IF($U135=0,0,IF($U135&lt;1,1/$U135,IF((FO$56-Voorblad!$F$41)/$U135-SUM($EE135:FN135)=1,1,0))))</f>
        <v>0</v>
      </c>
      <c r="FP135" s="8">
        <f>IF(FP$56-Voorblad!$F$41&gt;Voorblad!$K$41,0,IF($U135=0,0,IF($U135&lt;1,1/$U135,IF((FP$56-Voorblad!$F$41)/$U135-SUM($EE135:FO135)=1,1,0))))</f>
        <v>0</v>
      </c>
      <c r="FQ135" s="8">
        <f>IF(FQ$56-Voorblad!$F$41&gt;Voorblad!$K$41,0,IF($U135=0,0,IF($U135&lt;1,1/$U135,IF((FQ$56-Voorblad!$F$41)/$U135-SUM($EE135:FP135)=1,1,0))))</f>
        <v>0</v>
      </c>
      <c r="FR135" s="8">
        <f>IF(FR$56-Voorblad!$F$41&gt;Voorblad!$K$41,0,IF($U135=0,0,IF($U135&lt;1,1/$U135,IF((FR$56-Voorblad!$F$41)/$U135-SUM($EE135:FQ135)=1,1,0))))</f>
        <v>0</v>
      </c>
      <c r="FS135" s="8">
        <f>IF(FS$56-Voorblad!$F$41&gt;Voorblad!$K$41,0,IF($U135=0,0,IF($U135&lt;1,1/$U135,IF((FS$56-Voorblad!$F$41)/$U135-SUM($EE135:FR135)=1,1,0))))</f>
        <v>0</v>
      </c>
      <c r="FT135" s="8">
        <f>IF(FT$56-Voorblad!$F$41&gt;Voorblad!$K$41,0,IF($U135=0,0,IF($U135&lt;1,1/$U135,IF((FT$56-Voorblad!$F$41)/$U135-SUM($EE135:FS135)=1,1,0))))</f>
        <v>0</v>
      </c>
      <c r="FU135" s="8">
        <f>IF(FU$56-Voorblad!$F$41&gt;Voorblad!$K$41,0,IF($U135=0,0,IF($U135&lt;1,1/$U135,IF((FU$56-Voorblad!$F$41)/$U135-SUM($EE135:FT135)=1,1,0))))</f>
        <v>0</v>
      </c>
      <c r="FV135" s="8">
        <f>IF(FV$56-Voorblad!$F$41&gt;Voorblad!$K$41,0,IF($U135=0,0,IF($U135&lt;1,1/$U135,IF((FV$56-Voorblad!$F$41)/$U135-SUM($EE135:FU135)=1,1,0))))</f>
        <v>0</v>
      </c>
      <c r="FW135" s="8">
        <f>IF(FW$56-Voorblad!$F$41&gt;Voorblad!$K$41,0,IF($U135=0,0,IF($U135&lt;1,1/$U135,IF((FW$56-Voorblad!$F$41)/$U135-SUM($EE135:FV135)=1,1,0))))</f>
        <v>0</v>
      </c>
      <c r="FX135" s="8">
        <f>IF(FX$56-Voorblad!$F$41&gt;Voorblad!$K$41,0,IF($U135=0,0,IF($U135&lt;1,1/$U135,IF((FX$56-Voorblad!$F$41)/$U135-SUM($EE135:FW135)=1,1,0))))</f>
        <v>0</v>
      </c>
      <c r="FY135" s="8">
        <f>IF(FY$56-Voorblad!$F$41&gt;Voorblad!$K$41,0,IF($U135=0,0,IF($U135&lt;1,1/$U135,IF((FY$56-Voorblad!$F$41)/$U135-SUM($EE135:FX135)=1,1,0))))</f>
        <v>0</v>
      </c>
      <c r="FZ135" s="8">
        <f>IF(FZ$56-Voorblad!$F$41&gt;Voorblad!$K$41,0,IF($U135=0,0,IF($U135&lt;1,1/$U135,IF((FZ$56-Voorblad!$F$41)/$U135-SUM($EE135:FY135)=1,1,0))))</f>
        <v>0</v>
      </c>
      <c r="GA135" s="8">
        <f>IF(GA$56-Voorblad!$F$41&gt;Voorblad!$K$41,0,IF($U135=0,0,IF($U135&lt;1,1/$U135,IF((GA$56-Voorblad!$F$41)/$U135-SUM($EE135:FZ135)=1,1,0))))</f>
        <v>0</v>
      </c>
      <c r="GB135" s="8">
        <f>IF(GB$56-Voorblad!$F$41&gt;Voorblad!$K$41,0,IF($U135=0,0,IF($U135&lt;1,1/$U135,IF((GB$56-Voorblad!$F$41)/$U135-SUM($EE135:GA135)=1,1,0))))</f>
        <v>0</v>
      </c>
      <c r="GC135" s="8">
        <f>IF(GC$56-Voorblad!$F$41&gt;Voorblad!$K$41,0,IF($U135=0,0,IF($U135&lt;1,1/$U135,IF((GC$56-Voorblad!$F$41)/$U135-SUM($EE135:GB135)=1,1,0))))</f>
        <v>0</v>
      </c>
      <c r="GD135" s="8">
        <f>IF(GD$56-Voorblad!$F$41&gt;Voorblad!$K$41,0,IF($U135=0,0,IF($U135&lt;1,1/$U135,IF((GD$56-Voorblad!$F$41)/$U135-SUM($EE135:GC135)=1,1,0))))</f>
        <v>0</v>
      </c>
      <c r="GE135" s="8">
        <f>IF(GE$56-Voorblad!$F$41&gt;Voorblad!$K$41,0,IF($U135=0,0,IF($U135&lt;1,1/$U135,IF((GE$56-Voorblad!$F$41)/$U135-SUM($EE135:GD135)=1,1,0))))</f>
        <v>0</v>
      </c>
      <c r="GF135" s="8">
        <f>IF(GF$56-Voorblad!$F$41&gt;Voorblad!$K$41,0,IF($U135=0,0,IF($U135&lt;1,1/$U135,IF((GF$56-Voorblad!$F$41)/$U135-SUM($EE135:GE135)=1,1,0))))</f>
        <v>0</v>
      </c>
      <c r="GG135" s="8">
        <f>IF(GG$56-Voorblad!$F$41&gt;Voorblad!$K$41,0,IF($U135=0,0,IF($U135&lt;1,1/$U135,IF((GG$56-Voorblad!$F$41)/$U135-SUM($EE135:GF135)=1,1,0))))</f>
        <v>0</v>
      </c>
      <c r="GH135" s="8">
        <f>IF(GH$56-Voorblad!$F$41&gt;Voorblad!$K$41,0,IF($U135=0,0,IF($U135&lt;1,1/$U135,IF((GH$56-Voorblad!$F$41)/$U135-SUM($EE135:GG135)=1,1,0))))</f>
        <v>0</v>
      </c>
      <c r="GI135" s="8">
        <f>IF(GI$56-Voorblad!$F$41&gt;Voorblad!$K$41,0,IF($U135=0,0,IF($U135&lt;1,1/$U135,IF((GI$56-Voorblad!$F$41)/$U135-SUM($EE135:GH135)=1,1,0))))</f>
        <v>0</v>
      </c>
      <c r="GJ135" s="8">
        <f>IF(GJ$56-Voorblad!$F$41&gt;Voorblad!$K$41,0,IF($U135=0,0,IF($U135&lt;1,1/$U135,IF((GJ$56-Voorblad!$F$41)/$U135-SUM($EE135:GI135)=1,1,0))))</f>
        <v>0</v>
      </c>
      <c r="GK135" s="8">
        <f>IF(GK$56-Voorblad!$F$41&gt;Voorblad!$K$41,0,IF($U135=0,0,IF($U135&lt;1,1/$U135,IF((GK$56-Voorblad!$F$41)/$U135-SUM($EE135:GJ135)=1,1,0))))</f>
        <v>0</v>
      </c>
      <c r="GL135" s="8">
        <f>IF(GL$56-Voorblad!$F$41&gt;Voorblad!$K$41,0,IF($U135=0,0,IF($U135&lt;1,1/$U135,IF((GL$56-Voorblad!$F$41)/$U135-SUM($EE135:GK135)=1,1,0))))</f>
        <v>0</v>
      </c>
      <c r="GM135" s="8">
        <f>IF(GM$56-Voorblad!$F$41&gt;Voorblad!$K$41,0,IF($U135=0,0,IF($U135&lt;1,1/$U135,IF((GM$56-Voorblad!$F$41)/$U135-SUM($EE135:GL135)=1,1,0))))</f>
        <v>0</v>
      </c>
      <c r="GN135" s="8">
        <f>IF(GN$56-Voorblad!$F$41&gt;Voorblad!$K$41,0,IF($U135=0,0,IF($U135&lt;1,1/$U135,IF((GN$56-Voorblad!$F$41)/$U135-SUM($EE135:GM135)=1,1,0))))</f>
        <v>1</v>
      </c>
      <c r="GO135" s="8">
        <f>IF(GO$56-Voorblad!$F$41&gt;Voorblad!$K$41,0,IF($U135=0,0,IF($U135&lt;1,1/$U135,IF((GO$56-Voorblad!$F$41)/$U135-SUM($EE135:GN135)=1,1,0))))</f>
        <v>0</v>
      </c>
      <c r="GP135" s="8">
        <f>IF(GP$56-Voorblad!$F$41&gt;Voorblad!$K$41,0,IF($U135=0,0,IF($U135&lt;1,1/$U135,IF((GP$56-Voorblad!$F$41)/$U135-SUM($EE135:GO135)=1,1,0))))</f>
        <v>0</v>
      </c>
      <c r="GQ135" s="8">
        <f>IF(GQ$56-Voorblad!$F$41&gt;Voorblad!$K$41,0,IF($U135=0,0,IF($U135&lt;1,1/$U135,IF((GQ$56-Voorblad!$F$41)/$U135-SUM($EE135:GP135)=1,1,0))))</f>
        <v>0</v>
      </c>
      <c r="GR135" s="8">
        <f>IF(GR$56-Voorblad!$F$41&gt;Voorblad!$K$41,0,IF($U135=0,0,IF($U135&lt;1,1/$U135,IF((GR$56-Voorblad!$F$41)/$U135-SUM($EE135:GQ135)=1,1,0))))</f>
        <v>0</v>
      </c>
      <c r="GS135" s="8">
        <f>IF(GS$56-Voorblad!$F$41&gt;Voorblad!$K$41,0,IF($U135=0,0,IF($U135&lt;1,1/$U135,IF((GS$56-Voorblad!$F$41)/$U135-SUM($EE135:GR135)=1,1,0))))</f>
        <v>0</v>
      </c>
      <c r="GT135" s="8">
        <f>IF(GT$56-Voorblad!$F$41&gt;Voorblad!$K$41,0,IF($U135=0,0,IF($U135&lt;1,1/$U135,IF((GT$56-Voorblad!$F$41)/$U135-SUM($EE135:GS135)=1,1,0))))</f>
        <v>0</v>
      </c>
      <c r="GU135" s="8">
        <f>IF(GU$56-Voorblad!$F$41&gt;Voorblad!$K$41,0,IF($U135=0,0,IF($U135&lt;1,1/$U135,IF((GU$56-Voorblad!$F$41)/$U135-SUM($EE135:GT135)=1,1,0))))</f>
        <v>0</v>
      </c>
      <c r="GV135" s="8">
        <f>IF(GV$56-Voorblad!$F$41&gt;Voorblad!$K$41,0,IF($U135=0,0,IF($U135&lt;1,1/$U135,IF((GV$56-Voorblad!$F$41)/$U135-SUM($EE135:GU135)=1,1,0))))</f>
        <v>0</v>
      </c>
      <c r="GW135" s="8">
        <f>IF(GW$56-Voorblad!$F$41&gt;Voorblad!$K$41,0,IF($U135=0,0,IF($U135&lt;1,1/$U135,IF((GW$56-Voorblad!$F$41)/$U135-SUM($EE135:GV135)=1,1,0))))</f>
        <v>0</v>
      </c>
      <c r="GX135" s="8">
        <f>IF(GX$56-Voorblad!$F$41&gt;Voorblad!$K$41,0,IF($U135=0,0,IF($U135&lt;1,1/$U135,IF((GX$56-Voorblad!$F$41)/$U135-SUM($EE135:GW135)=1,1,0))))</f>
        <v>0</v>
      </c>
      <c r="GY135" s="8">
        <f>IF(GY$56-Voorblad!$F$41&gt;Voorblad!$K$41,0,IF($U135=0,0,IF($U135&lt;1,1/$U135,IF((GY$56-Voorblad!$F$41)/$U135-SUM($EE135:GX135)=1,1,0))))</f>
        <v>0</v>
      </c>
      <c r="GZ135" s="8">
        <f>IF(GZ$56-Voorblad!$F$41&gt;Voorblad!$K$41,0,IF($U135=0,0,IF($U135&lt;1,1/$U135,IF((GZ$56-Voorblad!$F$41)/$U135-SUM($EE135:GY135)=1,1,0))))</f>
        <v>0</v>
      </c>
      <c r="HA135" s="8">
        <f>IF(HA$56-Voorblad!$F$41&gt;Voorblad!$K$41,0,IF($U135=0,0,IF($U135&lt;1,1/$U135,IF((HA$56-Voorblad!$F$41)/$U135-SUM($EE135:GZ135)=1,1,0))))</f>
        <v>0</v>
      </c>
      <c r="HB135" s="8">
        <f>IF(HB$56-Voorblad!$F$41&gt;Voorblad!$K$41,0,IF($U135=0,0,IF($U135&lt;1,1/$U135,IF((HB$56-Voorblad!$F$41)/$U135-SUM($EE135:HA135)=1,1,0))))</f>
        <v>0</v>
      </c>
      <c r="HC135" s="8">
        <f>IF(HC$56-Voorblad!$F$41&gt;Voorblad!$K$41,0,IF($U135=0,0,IF($U135&lt;1,1/$U135,IF((HC$56-Voorblad!$F$41)/$U135-SUM($EE135:HB135)=1,1,0))))</f>
        <v>0</v>
      </c>
      <c r="HD135" s="8">
        <f>IF(HD$56-Voorblad!$F$41&gt;Voorblad!$K$41,0,IF($U135=0,0,IF($U135&lt;1,1/$U135,IF((HD$56-Voorblad!$F$41)/$U135-SUM($EE135:HC135)=1,1,0))))</f>
        <v>0</v>
      </c>
      <c r="HE135" s="8">
        <f>IF(HE$56-Voorblad!$F$41&gt;Voorblad!$K$41,0,IF($U135=0,0,IF($U135&lt;1,1/$U135,IF((HE$56-Voorblad!$F$41)/$U135-SUM($EE135:HD135)=1,1,0))))</f>
        <v>0</v>
      </c>
      <c r="HF135" s="8">
        <f>IF(HF$56-Voorblad!$F$41&gt;Voorblad!$K$41,0,IF($U135=0,0,IF($U135&lt;1,1/$U135,IF((HF$56-Voorblad!$F$41)/$U135-SUM($EE135:HE135)=1,1,0))))</f>
        <v>0</v>
      </c>
      <c r="HG135" s="8">
        <f>IF(HG$56-Voorblad!$F$41&gt;Voorblad!$K$41,0,IF($U135=0,0,IF($U135&lt;1,1/$U135,IF((HG$56-Voorblad!$F$41)/$U135-SUM($EE135:HF135)=1,1,0))))</f>
        <v>0</v>
      </c>
      <c r="HH135" s="8">
        <f>IF(HH$56-Voorblad!$F$41&gt;Voorblad!$K$41,0,IF($U135=0,0,IF($U135&lt;1,1/$U135,IF((HH$56-Voorblad!$F$41)/$U135-SUM($EE135:HG135)=1,1,0))))</f>
        <v>0</v>
      </c>
      <c r="HI135" s="8">
        <f>IF(HI$56-Voorblad!$F$41&gt;Voorblad!$K$41,0,IF($U135=0,0,IF($U135&lt;1,1/$U135,IF((HI$56-Voorblad!$F$41)/$U135-SUM($EE135:HH135)=1,1,0))))</f>
        <v>0</v>
      </c>
      <c r="HJ135" s="8">
        <f>IF(HJ$56-Voorblad!$F$41&gt;Voorblad!$K$41,0,IF($U135=0,0,IF($U135&lt;1,1/$U135,IF((HJ$56-Voorblad!$F$41)/$U135-SUM($EE135:HI135)=1,1,0))))</f>
        <v>0</v>
      </c>
      <c r="HK135" s="8">
        <f>IF(HK$56-Voorblad!$F$41&gt;Voorblad!$K$41,0,IF($U135=0,0,IF($U135&lt;1,1/$U135,IF((HK$56-Voorblad!$F$41)/$U135-SUM($EE135:HJ135)=1,1,0))))</f>
        <v>0</v>
      </c>
      <c r="HL135" s="8">
        <f>IF(HL$56-Voorblad!$F$41&gt;Voorblad!$K$41,0,IF($U135=0,0,IF($U135&lt;1,1/$U135,IF((HL$56-Voorblad!$F$41)/$U135-SUM($EE135:HK135)=1,1,0))))</f>
        <v>0</v>
      </c>
      <c r="HM135" s="8">
        <f>IF(HM$56-Voorblad!$F$41&gt;Voorblad!$K$41,0,IF($U135=0,0,IF($U135&lt;1,1/$U135,IF((HM$56-Voorblad!$F$41)/$U135-SUM($EE135:HL135)=1,1,0))))</f>
        <v>0</v>
      </c>
      <c r="HN135" s="8">
        <f>IF(HN$56-Voorblad!$F$41&gt;Voorblad!$K$41,0,IF($U135=0,0,IF($U135&lt;1,1/$U135,IF((HN$56-Voorblad!$F$41)/$U135-SUM($EE135:HM135)=1,1,0))))</f>
        <v>0</v>
      </c>
      <c r="HO135" s="8">
        <f>IF(HO$56-Voorblad!$F$41&gt;Voorblad!$K$41,0,IF($U135=0,0,IF($U135&lt;1,1/$U135,IF((HO$56-Voorblad!$F$41)/$U135-SUM($EE135:HN135)=1,1,0))))</f>
        <v>0</v>
      </c>
      <c r="HP135" s="8">
        <f>IF(HP$56-Voorblad!$F$41&gt;Voorblad!$K$41,0,IF($U135=0,0,IF($U135&lt;1,1/$U135,IF((HP$56-Voorblad!$F$41)/$U135-SUM($EE135:HO135)=1,1,0))))</f>
        <v>0</v>
      </c>
      <c r="HQ135" s="8">
        <f>IF(HQ$56-Voorblad!$F$41&gt;Voorblad!$K$41,0,IF($U135=0,0,IF($U135&lt;1,1/$U135,IF((HQ$56-Voorblad!$F$41)/$U135-SUM($EE135:HP135)=1,1,0))))</f>
        <v>0</v>
      </c>
      <c r="HR135" s="8">
        <f>IF(HR$56-Voorblad!$F$41&gt;Voorblad!$K$41,0,IF($U135=0,0,IF($U135&lt;1,1/$U135,IF((HR$56-Voorblad!$F$41)/$U135-SUM($EE135:HQ135)=1,1,0))))</f>
        <v>0</v>
      </c>
      <c r="HS135" s="8">
        <f>IF(HS$56-Voorblad!$F$41&gt;Voorblad!$K$41,0,IF($U135=0,0,IF($U135&lt;1,1/$U135,IF((HS$56-Voorblad!$F$41)/$U135-SUM($EE135:HR135)=1,1,0))))</f>
        <v>0</v>
      </c>
      <c r="HT135" s="8">
        <f>IF(HT$56-Voorblad!$F$41&gt;Voorblad!$K$41,0,IF($U135=0,0,IF($U135&lt;1,1/$U135,IF((HT$56-Voorblad!$F$41)/$U135-SUM($EE135:HS135)=1,1,0))))</f>
        <v>0</v>
      </c>
      <c r="HU135" s="8">
        <f>IF(HU$56-Voorblad!$F$41&gt;Voorblad!$K$41,0,IF($U135=0,0,IF($U135&lt;1,1/$U135,IF((HU$56-Voorblad!$F$41)/$U135-SUM($EE135:HT135)=1,1,0))))</f>
        <v>0</v>
      </c>
      <c r="HV135" s="8">
        <f>IF(HV$56-Voorblad!$F$41&gt;Voorblad!$K$41,0,IF($U135=0,0,IF($U135&lt;1,1/$U135,IF((HV$56-Voorblad!$F$41)/$U135-SUM($EE135:HU135)=1,1,0))))</f>
        <v>0</v>
      </c>
      <c r="HW135" s="8">
        <f>IF(HW$56-Voorblad!$F$41&gt;Voorblad!$K$41,0,IF($U135=0,0,IF($U135&lt;1,1/$U135,IF((HW$56-Voorblad!$F$41)/$U135-SUM($EE135:HV135)=1,1,0))))</f>
        <v>0</v>
      </c>
      <c r="HX135" s="8">
        <f>IF(HX$56-Voorblad!$F$41&gt;Voorblad!$K$41,0,IF($U135=0,0,IF($U135&lt;1,1/$U135,IF((HX$56-Voorblad!$F$41)/$U135-SUM($EE135:HW135)=1,1,0))))</f>
        <v>0</v>
      </c>
      <c r="HY135" s="8">
        <f>IF(HY$56-Voorblad!$F$41&gt;Voorblad!$K$41,0,IF($U135=0,0,IF($U135&lt;1,1/$U135,IF((HY$56-Voorblad!$F$41)/$U135-SUM($EE135:HX135)=1,1,0))))</f>
        <v>0</v>
      </c>
      <c r="HZ135" s="8">
        <f>IF(HZ$56-Voorblad!$F$41&gt;Voorblad!$K$41,0,IF($U135=0,0,IF($U135&lt;1,1/$U135,IF((HZ$56-Voorblad!$F$41)/$U135-SUM($EE135:HY135)=1,1,0))))</f>
        <v>0</v>
      </c>
      <c r="IA135" s="8">
        <f>IF(IA$56-Voorblad!$F$41&gt;Voorblad!$K$41,0,IF($U135=0,0,IF($U135&lt;1,1/$U135,IF((IA$56-Voorblad!$F$41)/$U135-SUM($EE135:HZ135)=1,1,0))))</f>
        <v>0</v>
      </c>
      <c r="IB135" s="8">
        <f>IF(IB$56-Voorblad!$F$41&gt;Voorblad!$K$41,0,IF($U135=0,0,IF($U135&lt;1,1/$U135,IF((IB$56-Voorblad!$F$41)/$U135-SUM($EE135:IA135)=1,1,0))))</f>
        <v>0</v>
      </c>
    </row>
    <row r="136" spans="2:236" ht="12" customHeight="1" outlineLevel="1" x14ac:dyDescent="0.25">
      <c r="B136" s="1">
        <v>1</v>
      </c>
      <c r="F136" s="1" t="s">
        <v>23</v>
      </c>
      <c r="I136" s="1" t="s">
        <v>48</v>
      </c>
      <c r="K136" s="1" t="s">
        <v>61</v>
      </c>
      <c r="P136" s="1" t="s">
        <v>184</v>
      </c>
      <c r="Q136" s="83">
        <f>2*15.9</f>
        <v>31.8</v>
      </c>
      <c r="R136" s="147" t="s">
        <v>196</v>
      </c>
      <c r="S136" s="14">
        <f>$H$10*500</f>
        <v>1190</v>
      </c>
      <c r="T136" s="9">
        <f t="shared" si="104"/>
        <v>37842</v>
      </c>
      <c r="U136" s="14">
        <v>50</v>
      </c>
      <c r="V136" s="14"/>
      <c r="Y136" s="9">
        <f>SUM(AE136:EB136)</f>
        <v>11009.835034622922</v>
      </c>
      <c r="Z136" s="82"/>
      <c r="AA136" s="82"/>
      <c r="AC136" s="9">
        <f>$Y136*(Voorblad!$K$44*(1+Voorblad!$K$44)^Voorblad!$K$41)/((1+Voorblad!$K$44)^Voorblad!$K$41-1)</f>
        <v>329.58689234749284</v>
      </c>
      <c r="AE136" s="9">
        <f>EF136*($Q136*$S136)/(1+Voorblad!$K$44)^(AE$56-Voorblad!$F$41)</f>
        <v>0</v>
      </c>
      <c r="AF136" s="9">
        <f>EG136*($Q136*$S136)/(1+Voorblad!$K$44)^(AF$56-Voorblad!$F$41)</f>
        <v>0</v>
      </c>
      <c r="AG136" s="9">
        <f>EH136*($Q136*$S136)/(1+Voorblad!$K$44)^(AG$56-Voorblad!$F$41)</f>
        <v>0</v>
      </c>
      <c r="AH136" s="9">
        <f>EI136*($Q136*$S136)/(1+Voorblad!$K$44)^(AH$56-Voorblad!$F$41)</f>
        <v>0</v>
      </c>
      <c r="AI136" s="9">
        <f>EJ136*($Q136*$S136)/(1+Voorblad!$K$44)^(AI$56-Voorblad!$F$41)</f>
        <v>0</v>
      </c>
      <c r="AJ136" s="9">
        <f>EK136*($Q136*$S136)/(1+Voorblad!$K$44)^(AJ$56-Voorblad!$F$41)</f>
        <v>0</v>
      </c>
      <c r="AK136" s="9">
        <f>EL136*($Q136*$S136)/(1+Voorblad!$K$44)^(AK$56-Voorblad!$F$41)</f>
        <v>0</v>
      </c>
      <c r="AL136" s="9">
        <f>EM136*($Q136*$S136)/(1+Voorblad!$K$44)^(AL$56-Voorblad!$F$41)</f>
        <v>0</v>
      </c>
      <c r="AM136" s="9">
        <f>EN136*($Q136*$S136)/(1+Voorblad!$K$44)^(AM$56-Voorblad!$F$41)</f>
        <v>0</v>
      </c>
      <c r="AN136" s="9">
        <f>EO136*($Q136*$S136)/(1+Voorblad!$K$44)^(AN$56-Voorblad!$F$41)</f>
        <v>0</v>
      </c>
      <c r="AO136" s="9">
        <f>EP136*($Q136*$S136)/(1+Voorblad!$K$44)^(AO$56-Voorblad!$F$41)</f>
        <v>0</v>
      </c>
      <c r="AP136" s="9">
        <f>EQ136*($Q136*$S136)/(1+Voorblad!$K$44)^(AP$56-Voorblad!$F$41)</f>
        <v>0</v>
      </c>
      <c r="AQ136" s="9">
        <f>ER136*($Q136*$S136)/(1+Voorblad!$K$44)^(AQ$56-Voorblad!$F$41)</f>
        <v>0</v>
      </c>
      <c r="AR136" s="9">
        <f>ES136*($Q136*$S136)/(1+Voorblad!$K$44)^(AR$56-Voorblad!$F$41)</f>
        <v>0</v>
      </c>
      <c r="AS136" s="9">
        <f>ET136*($Q136*$S136)/(1+Voorblad!$K$44)^(AS$56-Voorblad!$F$41)</f>
        <v>0</v>
      </c>
      <c r="AT136" s="9">
        <f>EU136*($Q136*$S136)/(1+Voorblad!$K$44)^(AT$56-Voorblad!$F$41)</f>
        <v>0</v>
      </c>
      <c r="AU136" s="9">
        <f>EV136*($Q136*$S136)/(1+Voorblad!$K$44)^(AU$56-Voorblad!$F$41)</f>
        <v>0</v>
      </c>
      <c r="AV136" s="9">
        <f>EW136*($Q136*$S136)/(1+Voorblad!$K$44)^(AV$56-Voorblad!$F$41)</f>
        <v>0</v>
      </c>
      <c r="AW136" s="9">
        <f>EX136*($Q136*$S136)/(1+Voorblad!$K$44)^(AW$56-Voorblad!$F$41)</f>
        <v>0</v>
      </c>
      <c r="AX136" s="9">
        <f>EY136*($Q136*$S136)/(1+Voorblad!$K$44)^(AX$56-Voorblad!$F$41)</f>
        <v>0</v>
      </c>
      <c r="AY136" s="9">
        <f>EZ136*($Q136*$S136)/(1+Voorblad!$K$44)^(AY$56-Voorblad!$F$41)</f>
        <v>0</v>
      </c>
      <c r="AZ136" s="9">
        <f>FA136*($Q136*$S136)/(1+Voorblad!$K$44)^(AZ$56-Voorblad!$F$41)</f>
        <v>0</v>
      </c>
      <c r="BA136" s="9">
        <f>FB136*($Q136*$S136)/(1+Voorblad!$K$44)^(BA$56-Voorblad!$F$41)</f>
        <v>0</v>
      </c>
      <c r="BB136" s="9">
        <f>FC136*($Q136*$S136)/(1+Voorblad!$K$44)^(BB$56-Voorblad!$F$41)</f>
        <v>0</v>
      </c>
      <c r="BC136" s="9">
        <f>FD136*($Q136*$S136)/(1+Voorblad!$K$44)^(BC$56-Voorblad!$F$41)</f>
        <v>0</v>
      </c>
      <c r="BD136" s="9">
        <f>FE136*($Q136*$S136)/(1+Voorblad!$K$44)^(BD$56-Voorblad!$F$41)</f>
        <v>0</v>
      </c>
      <c r="BE136" s="9">
        <f>FF136*($Q136*$S136)/(1+Voorblad!$K$44)^(BE$56-Voorblad!$F$41)</f>
        <v>0</v>
      </c>
      <c r="BF136" s="9">
        <f>FG136*($Q136*$S136)/(1+Voorblad!$K$44)^(BF$56-Voorblad!$F$41)</f>
        <v>0</v>
      </c>
      <c r="BG136" s="9">
        <f>FH136*($Q136*$S136)/(1+Voorblad!$K$44)^(BG$56-Voorblad!$F$41)</f>
        <v>0</v>
      </c>
      <c r="BH136" s="9">
        <f>FI136*($Q136*$S136)/(1+Voorblad!$K$44)^(BH$56-Voorblad!$F$41)</f>
        <v>0</v>
      </c>
      <c r="BI136" s="9">
        <f>FJ136*($Q136*$S136)/(1+Voorblad!$K$44)^(BI$56-Voorblad!$F$41)</f>
        <v>0</v>
      </c>
      <c r="BJ136" s="9">
        <f>FK136*($Q136*$S136)/(1+Voorblad!$K$44)^(BJ$56-Voorblad!$F$41)</f>
        <v>0</v>
      </c>
      <c r="BK136" s="9">
        <f>FL136*($Q136*$S136)/(1+Voorblad!$K$44)^(BK$56-Voorblad!$F$41)</f>
        <v>0</v>
      </c>
      <c r="BL136" s="9">
        <f>FM136*($Q136*$S136)/(1+Voorblad!$K$44)^(BL$56-Voorblad!$F$41)</f>
        <v>0</v>
      </c>
      <c r="BM136" s="9">
        <f>FN136*($Q136*$S136)/(1+Voorblad!$K$44)^(BM$56-Voorblad!$F$41)</f>
        <v>0</v>
      </c>
      <c r="BN136" s="9">
        <f>FO136*($Q136*$S136)/(1+Voorblad!$K$44)^(BN$56-Voorblad!$F$41)</f>
        <v>0</v>
      </c>
      <c r="BO136" s="9">
        <f>FP136*($Q136*$S136)/(1+Voorblad!$K$44)^(BO$56-Voorblad!$F$41)</f>
        <v>0</v>
      </c>
      <c r="BP136" s="9">
        <f>FQ136*($Q136*$S136)/(1+Voorblad!$K$44)^(BP$56-Voorblad!$F$41)</f>
        <v>0</v>
      </c>
      <c r="BQ136" s="9">
        <f>FR136*($Q136*$S136)/(1+Voorblad!$K$44)^(BQ$56-Voorblad!$F$41)</f>
        <v>0</v>
      </c>
      <c r="BR136" s="9">
        <f>FS136*($Q136*$S136)/(1+Voorblad!$K$44)^(BR$56-Voorblad!$F$41)</f>
        <v>0</v>
      </c>
      <c r="BS136" s="9">
        <f>FT136*($Q136*$S136)/(1+Voorblad!$K$44)^(BS$56-Voorblad!$F$41)</f>
        <v>0</v>
      </c>
      <c r="BT136" s="9">
        <f>FU136*($Q136*$S136)/(1+Voorblad!$K$44)^(BT$56-Voorblad!$F$41)</f>
        <v>0</v>
      </c>
      <c r="BU136" s="9">
        <f>FV136*($Q136*$S136)/(1+Voorblad!$K$44)^(BU$56-Voorblad!$F$41)</f>
        <v>0</v>
      </c>
      <c r="BV136" s="9">
        <f>FW136*($Q136*$S136)/(1+Voorblad!$K$44)^(BV$56-Voorblad!$F$41)</f>
        <v>0</v>
      </c>
      <c r="BW136" s="9">
        <f>FX136*($Q136*$S136)/(1+Voorblad!$K$44)^(BW$56-Voorblad!$F$41)</f>
        <v>0</v>
      </c>
      <c r="BX136" s="9">
        <f>FY136*($Q136*$S136)/(1+Voorblad!$K$44)^(BX$56-Voorblad!$F$41)</f>
        <v>0</v>
      </c>
      <c r="BY136" s="9">
        <f>FZ136*($Q136*$S136)/(1+Voorblad!$K$44)^(BY$56-Voorblad!$F$41)</f>
        <v>0</v>
      </c>
      <c r="BZ136" s="9">
        <f>GA136*($Q136*$S136)/(1+Voorblad!$K$44)^(BZ$56-Voorblad!$F$41)</f>
        <v>0</v>
      </c>
      <c r="CA136" s="9">
        <f>GB136*($Q136*$S136)/(1+Voorblad!$K$44)^(CA$56-Voorblad!$F$41)</f>
        <v>0</v>
      </c>
      <c r="CB136" s="9">
        <f>GC136*($Q136*$S136)/(1+Voorblad!$K$44)^(CB$56-Voorblad!$F$41)</f>
        <v>0</v>
      </c>
      <c r="CC136" s="9">
        <f>GD136*($Q136*$S136)/(1+Voorblad!$K$44)^(CC$56-Voorblad!$F$41)</f>
        <v>11009.835034622922</v>
      </c>
      <c r="CD136" s="9">
        <f>GE136*($Q136*$S136)/(1+Voorblad!$K$44)^(CD$56-Voorblad!$F$41)</f>
        <v>0</v>
      </c>
      <c r="CE136" s="9">
        <f>GF136*($Q136*$S136)/(1+Voorblad!$K$44)^(CE$56-Voorblad!$F$41)</f>
        <v>0</v>
      </c>
      <c r="CF136" s="9">
        <f>GG136*($Q136*$S136)/(1+Voorblad!$K$44)^(CF$56-Voorblad!$F$41)</f>
        <v>0</v>
      </c>
      <c r="CG136" s="9">
        <f>GH136*($Q136*$S136)/(1+Voorblad!$K$44)^(CG$56-Voorblad!$F$41)</f>
        <v>0</v>
      </c>
      <c r="CH136" s="9">
        <f>GI136*($Q136*$S136)/(1+Voorblad!$K$44)^(CH$56-Voorblad!$F$41)</f>
        <v>0</v>
      </c>
      <c r="CI136" s="9">
        <f>GJ136*($Q136*$S136)/(1+Voorblad!$K$44)^(CI$56-Voorblad!$F$41)</f>
        <v>0</v>
      </c>
      <c r="CJ136" s="9">
        <f>GK136*($Q136*$S136)/(1+Voorblad!$K$44)^(CJ$56-Voorblad!$F$41)</f>
        <v>0</v>
      </c>
      <c r="CK136" s="9">
        <f>GL136*($Q136*$S136)/(1+Voorblad!$K$44)^(CK$56-Voorblad!$F$41)</f>
        <v>0</v>
      </c>
      <c r="CL136" s="9">
        <f>GM136*($Q136*$S136)/(1+Voorblad!$K$44)^(CL$56-Voorblad!$F$41)</f>
        <v>0</v>
      </c>
      <c r="CM136" s="9">
        <f>GN136*($Q136*$S136)/(1+Voorblad!$K$44)^(CM$56-Voorblad!$F$41)</f>
        <v>0</v>
      </c>
      <c r="CN136" s="9">
        <f>GO136*($Q136*$S136)/(1+Voorblad!$K$44)^(CN$56-Voorblad!$F$41)</f>
        <v>0</v>
      </c>
      <c r="CO136" s="9">
        <f>GP136*($Q136*$S136)/(1+Voorblad!$K$44)^(CO$56-Voorblad!$F$41)</f>
        <v>0</v>
      </c>
      <c r="CP136" s="9">
        <f>GQ136*($Q136*$S136)/(1+Voorblad!$K$44)^(CP$56-Voorblad!$F$41)</f>
        <v>0</v>
      </c>
      <c r="CQ136" s="9">
        <f>GR136*($Q136*$S136)/(1+Voorblad!$K$44)^(CQ$56-Voorblad!$F$41)</f>
        <v>0</v>
      </c>
      <c r="CR136" s="9">
        <f>GS136*($Q136*$S136)/(1+Voorblad!$K$44)^(CR$56-Voorblad!$F$41)</f>
        <v>0</v>
      </c>
      <c r="CS136" s="9">
        <f>GT136*($Q136*$S136)/(1+Voorblad!$K$44)^(CS$56-Voorblad!$F$41)</f>
        <v>0</v>
      </c>
      <c r="CT136" s="9">
        <f>GU136*($Q136*$S136)/(1+Voorblad!$K$44)^(CT$56-Voorblad!$F$41)</f>
        <v>0</v>
      </c>
      <c r="CU136" s="9">
        <f>GV136*($Q136*$S136)/(1+Voorblad!$K$44)^(CU$56-Voorblad!$F$41)</f>
        <v>0</v>
      </c>
      <c r="CV136" s="9">
        <f>GW136*($Q136*$S136)/(1+Voorblad!$K$44)^(CV$56-Voorblad!$F$41)</f>
        <v>0</v>
      </c>
      <c r="CW136" s="9">
        <f>GX136*($Q136*$S136)/(1+Voorblad!$K$44)^(CW$56-Voorblad!$F$41)</f>
        <v>0</v>
      </c>
      <c r="CX136" s="9">
        <f>GY136*($Q136*$S136)/(1+Voorblad!$K$44)^(CX$56-Voorblad!$F$41)</f>
        <v>0</v>
      </c>
      <c r="CY136" s="9">
        <f>GZ136*($Q136*$S136)/(1+Voorblad!$K$44)^(CY$56-Voorblad!$F$41)</f>
        <v>0</v>
      </c>
      <c r="CZ136" s="9">
        <f>HA136*($Q136*$S136)/(1+Voorblad!$K$44)^(CZ$56-Voorblad!$F$41)</f>
        <v>0</v>
      </c>
      <c r="DA136" s="9">
        <f>HB136*($Q136*$S136)/(1+Voorblad!$K$44)^(DA$56-Voorblad!$F$41)</f>
        <v>0</v>
      </c>
      <c r="DB136" s="9">
        <f>HC136*($Q136*$S136)/(1+Voorblad!$K$44)^(DB$56-Voorblad!$F$41)</f>
        <v>0</v>
      </c>
      <c r="DC136" s="9">
        <f>HD136*($Q136*$S136)/(1+Voorblad!$K$44)^(DC$56-Voorblad!$F$41)</f>
        <v>0</v>
      </c>
      <c r="DD136" s="9">
        <f>HE136*($Q136*$S136)/(1+Voorblad!$K$44)^(DD$56-Voorblad!$F$41)</f>
        <v>0</v>
      </c>
      <c r="DE136" s="9">
        <f>HF136*($Q136*$S136)/(1+Voorblad!$K$44)^(DE$56-Voorblad!$F$41)</f>
        <v>0</v>
      </c>
      <c r="DF136" s="9">
        <f>HG136*($Q136*$S136)/(1+Voorblad!$K$44)^(DF$56-Voorblad!$F$41)</f>
        <v>0</v>
      </c>
      <c r="DG136" s="9">
        <f>HH136*($Q136*$S136)/(1+Voorblad!$K$44)^(DG$56-Voorblad!$F$41)</f>
        <v>0</v>
      </c>
      <c r="DH136" s="9">
        <f>HI136*($Q136*$S136)/(1+Voorblad!$K$44)^(DH$56-Voorblad!$F$41)</f>
        <v>0</v>
      </c>
      <c r="DI136" s="9">
        <f>HJ136*($Q136*$S136)/(1+Voorblad!$K$44)^(DI$56-Voorblad!$F$41)</f>
        <v>0</v>
      </c>
      <c r="DJ136" s="9">
        <f>HK136*($Q136*$S136)/(1+Voorblad!$K$44)^(DJ$56-Voorblad!$F$41)</f>
        <v>0</v>
      </c>
      <c r="DK136" s="9">
        <f>HL136*($Q136*$S136)/(1+Voorblad!$K$44)^(DK$56-Voorblad!$F$41)</f>
        <v>0</v>
      </c>
      <c r="DL136" s="9">
        <f>HM136*($Q136*$S136)/(1+Voorblad!$K$44)^(DL$56-Voorblad!$F$41)</f>
        <v>0</v>
      </c>
      <c r="DM136" s="9">
        <f>HN136*($Q136*$S136)/(1+Voorblad!$K$44)^(DM$56-Voorblad!$F$41)</f>
        <v>0</v>
      </c>
      <c r="DN136" s="9">
        <f>HO136*($Q136*$S136)/(1+Voorblad!$K$44)^(DN$56-Voorblad!$F$41)</f>
        <v>0</v>
      </c>
      <c r="DO136" s="9">
        <f>HP136*($Q136*$S136)/(1+Voorblad!$K$44)^(DO$56-Voorblad!$F$41)</f>
        <v>0</v>
      </c>
      <c r="DP136" s="9">
        <f>HQ136*($Q136*$S136)/(1+Voorblad!$K$44)^(DP$56-Voorblad!$F$41)</f>
        <v>0</v>
      </c>
      <c r="DQ136" s="9">
        <f>HR136*($Q136*$S136)/(1+Voorblad!$K$44)^(DQ$56-Voorblad!$F$41)</f>
        <v>0</v>
      </c>
      <c r="DR136" s="9">
        <f>HS136*($Q136*$S136)/(1+Voorblad!$K$44)^(DR$56-Voorblad!$F$41)</f>
        <v>0</v>
      </c>
      <c r="DS136" s="9">
        <f>HT136*($Q136*$S136)/(1+Voorblad!$K$44)^(DS$56-Voorblad!$F$41)</f>
        <v>0</v>
      </c>
      <c r="DT136" s="9">
        <f>HU136*($Q136*$S136)/(1+Voorblad!$K$44)^(DT$56-Voorblad!$F$41)</f>
        <v>0</v>
      </c>
      <c r="DU136" s="9">
        <f>HV136*($Q136*$S136)/(1+Voorblad!$K$44)^(DU$56-Voorblad!$F$41)</f>
        <v>0</v>
      </c>
      <c r="DV136" s="9">
        <f>HW136*($Q136*$S136)/(1+Voorblad!$K$44)^(DV$56-Voorblad!$F$41)</f>
        <v>0</v>
      </c>
      <c r="DW136" s="9">
        <f>HX136*($Q136*$S136)/(1+Voorblad!$K$44)^(DW$56-Voorblad!$F$41)</f>
        <v>0</v>
      </c>
      <c r="DX136" s="9">
        <f>HY136*($Q136*$S136)/(1+Voorblad!$K$44)^(DX$56-Voorblad!$F$41)</f>
        <v>0</v>
      </c>
      <c r="DY136" s="9">
        <f>HZ136*($Q136*$S136)/(1+Voorblad!$K$44)^(DY$56-Voorblad!$F$41)</f>
        <v>0</v>
      </c>
      <c r="DZ136" s="9">
        <f>IA136*($Q136*$S136)/(1+Voorblad!$K$44)^(DZ$56-Voorblad!$F$41)</f>
        <v>0</v>
      </c>
      <c r="EA136" s="9">
        <f>IB136*($Q136*$S136)/(1+Voorblad!$K$44)^(EA$56-Voorblad!$F$41)</f>
        <v>0</v>
      </c>
      <c r="EB136" s="9">
        <f>IC136*($Q136*$S136)/(1+Voorblad!$K$44)^(EB$56-Voorblad!$F$41)</f>
        <v>0</v>
      </c>
      <c r="EE136" s="8">
        <v>0</v>
      </c>
      <c r="EF136" s="8">
        <f>IF(EF$56-Voorblad!$F$41&gt;Voorblad!$K$41,0,IF($U136=0,0,IF($U136&lt;1,1/$U136,IF((EF$56-Voorblad!$F$41)/$U136-SUM($EE136:EE136)=1,1,0))))</f>
        <v>0</v>
      </c>
      <c r="EG136" s="8">
        <f>IF(EG$56-Voorblad!$F$41&gt;Voorblad!$K$41,0,IF($U136=0,0,IF($U136&lt;1,1/$U136,IF((EG$56-Voorblad!$F$41)/$U136-SUM($EE136:EF136)=1,1,0))))</f>
        <v>0</v>
      </c>
      <c r="EH136" s="8">
        <f>IF(EH$56-Voorblad!$F$41&gt;Voorblad!$K$41,0,IF($U136=0,0,IF($U136&lt;1,1/$U136,IF((EH$56-Voorblad!$F$41)/$U136-SUM($EE136:EG136)=1,1,0))))</f>
        <v>0</v>
      </c>
      <c r="EI136" s="8">
        <f>IF(EI$56-Voorblad!$F$41&gt;Voorblad!$K$41,0,IF($U136=0,0,IF($U136&lt;1,1/$U136,IF((EI$56-Voorblad!$F$41)/$U136-SUM($EE136:EH136)=1,1,0))))</f>
        <v>0</v>
      </c>
      <c r="EJ136" s="8">
        <f>IF(EJ$56-Voorblad!$F$41&gt;Voorblad!$K$41,0,IF($U136=0,0,IF($U136&lt;1,1/$U136,IF((EJ$56-Voorblad!$F$41)/$U136-SUM($EE136:EI136)=1,1,0))))</f>
        <v>0</v>
      </c>
      <c r="EK136" s="8">
        <f>IF(EK$56-Voorblad!$F$41&gt;Voorblad!$K$41,0,IF($U136=0,0,IF($U136&lt;1,1/$U136,IF((EK$56-Voorblad!$F$41)/$U136-SUM($EE136:EJ136)=1,1,0))))</f>
        <v>0</v>
      </c>
      <c r="EL136" s="8">
        <f>IF(EL$56-Voorblad!$F$41&gt;Voorblad!$K$41,0,IF($U136=0,0,IF($U136&lt;1,1/$U136,IF((EL$56-Voorblad!$F$41)/$U136-SUM($EE136:EK136)=1,1,0))))</f>
        <v>0</v>
      </c>
      <c r="EM136" s="8">
        <f>IF(EM$56-Voorblad!$F$41&gt;Voorblad!$K$41,0,IF($U136=0,0,IF($U136&lt;1,1/$U136,IF((EM$56-Voorblad!$F$41)/$U136-SUM($EE136:EL136)=1,1,0))))</f>
        <v>0</v>
      </c>
      <c r="EN136" s="8">
        <f>IF(EN$56-Voorblad!$F$41&gt;Voorblad!$K$41,0,IF($U136=0,0,IF($U136&lt;1,1/$U136,IF((EN$56-Voorblad!$F$41)/$U136-SUM($EE136:EM136)=1,1,0))))</f>
        <v>0</v>
      </c>
      <c r="EO136" s="8">
        <f>IF(EO$56-Voorblad!$F$41&gt;Voorblad!$K$41,0,IF($U136=0,0,IF($U136&lt;1,1/$U136,IF((EO$56-Voorblad!$F$41)/$U136-SUM($EE136:EN136)=1,1,0))))</f>
        <v>0</v>
      </c>
      <c r="EP136" s="8">
        <f>IF(EP$56-Voorblad!$F$41&gt;Voorblad!$K$41,0,IF($U136=0,0,IF($U136&lt;1,1/$U136,IF((EP$56-Voorblad!$F$41)/$U136-SUM($EE136:EO136)=1,1,0))))</f>
        <v>0</v>
      </c>
      <c r="EQ136" s="8">
        <f>IF(EQ$56-Voorblad!$F$41&gt;Voorblad!$K$41,0,IF($U136=0,0,IF($U136&lt;1,1/$U136,IF((EQ$56-Voorblad!$F$41)/$U136-SUM($EE136:EP136)=1,1,0))))</f>
        <v>0</v>
      </c>
      <c r="ER136" s="8">
        <f>IF(ER$56-Voorblad!$F$41&gt;Voorblad!$K$41,0,IF($U136=0,0,IF($U136&lt;1,1/$U136,IF((ER$56-Voorblad!$F$41)/$U136-SUM($EE136:EQ136)=1,1,0))))</f>
        <v>0</v>
      </c>
      <c r="ES136" s="8">
        <f>IF(ES$56-Voorblad!$F$41&gt;Voorblad!$K$41,0,IF($U136=0,0,IF($U136&lt;1,1/$U136,IF((ES$56-Voorblad!$F$41)/$U136-SUM($EE136:ER136)=1,1,0))))</f>
        <v>0</v>
      </c>
      <c r="ET136" s="8">
        <f>IF(ET$56-Voorblad!$F$41&gt;Voorblad!$K$41,0,IF($U136=0,0,IF($U136&lt;1,1/$U136,IF((ET$56-Voorblad!$F$41)/$U136-SUM($EE136:ES136)=1,1,0))))</f>
        <v>0</v>
      </c>
      <c r="EU136" s="8">
        <f>IF(EU$56-Voorblad!$F$41&gt;Voorblad!$K$41,0,IF($U136=0,0,IF($U136&lt;1,1/$U136,IF((EU$56-Voorblad!$F$41)/$U136-SUM($EE136:ET136)=1,1,0))))</f>
        <v>0</v>
      </c>
      <c r="EV136" s="8">
        <f>IF(EV$56-Voorblad!$F$41&gt;Voorblad!$K$41,0,IF($U136=0,0,IF($U136&lt;1,1/$U136,IF((EV$56-Voorblad!$F$41)/$U136-SUM($EE136:EU136)=1,1,0))))</f>
        <v>0</v>
      </c>
      <c r="EW136" s="8">
        <f>IF(EW$56-Voorblad!$F$41&gt;Voorblad!$K$41,0,IF($U136=0,0,IF($U136&lt;1,1/$U136,IF((EW$56-Voorblad!$F$41)/$U136-SUM($EE136:EV136)=1,1,0))))</f>
        <v>0</v>
      </c>
      <c r="EX136" s="8">
        <f>IF(EX$56-Voorblad!$F$41&gt;Voorblad!$K$41,0,IF($U136=0,0,IF($U136&lt;1,1/$U136,IF((EX$56-Voorblad!$F$41)/$U136-SUM($EE136:EW136)=1,1,0))))</f>
        <v>0</v>
      </c>
      <c r="EY136" s="8">
        <f>IF(EY$56-Voorblad!$F$41&gt;Voorblad!$K$41,0,IF($U136=0,0,IF($U136&lt;1,1/$U136,IF((EY$56-Voorblad!$F$41)/$U136-SUM($EE136:EX136)=1,1,0))))</f>
        <v>0</v>
      </c>
      <c r="EZ136" s="8">
        <f>IF(EZ$56-Voorblad!$F$41&gt;Voorblad!$K$41,0,IF($U136=0,0,IF($U136&lt;1,1/$U136,IF((EZ$56-Voorblad!$F$41)/$U136-SUM($EE136:EY136)=1,1,0))))</f>
        <v>0</v>
      </c>
      <c r="FA136" s="8">
        <f>IF(FA$56-Voorblad!$F$41&gt;Voorblad!$K$41,0,IF($U136=0,0,IF($U136&lt;1,1/$U136,IF((FA$56-Voorblad!$F$41)/$U136-SUM($EE136:EZ136)=1,1,0))))</f>
        <v>0</v>
      </c>
      <c r="FB136" s="8">
        <f>IF(FB$56-Voorblad!$F$41&gt;Voorblad!$K$41,0,IF($U136=0,0,IF($U136&lt;1,1/$U136,IF((FB$56-Voorblad!$F$41)/$U136-SUM($EE136:FA136)=1,1,0))))</f>
        <v>0</v>
      </c>
      <c r="FC136" s="8">
        <f>IF(FC$56-Voorblad!$F$41&gt;Voorblad!$K$41,0,IF($U136=0,0,IF($U136&lt;1,1/$U136,IF((FC$56-Voorblad!$F$41)/$U136-SUM($EE136:FB136)=1,1,0))))</f>
        <v>0</v>
      </c>
      <c r="FD136" s="8">
        <f>IF(FD$56-Voorblad!$F$41&gt;Voorblad!$K$41,0,IF($U136=0,0,IF($U136&lt;1,1/$U136,IF((FD$56-Voorblad!$F$41)/$U136-SUM($EE136:FC136)=1,1,0))))</f>
        <v>0</v>
      </c>
      <c r="FE136" s="8">
        <f>IF(FE$56-Voorblad!$F$41&gt;Voorblad!$K$41,0,IF($U136=0,0,IF($U136&lt;1,1/$U136,IF((FE$56-Voorblad!$F$41)/$U136-SUM($EE136:FD136)=1,1,0))))</f>
        <v>0</v>
      </c>
      <c r="FF136" s="8">
        <f>IF(FF$56-Voorblad!$F$41&gt;Voorblad!$K$41,0,IF($U136=0,0,IF($U136&lt;1,1/$U136,IF((FF$56-Voorblad!$F$41)/$U136-SUM($EE136:FE136)=1,1,0))))</f>
        <v>0</v>
      </c>
      <c r="FG136" s="8">
        <f>IF(FG$56-Voorblad!$F$41&gt;Voorblad!$K$41,0,IF($U136=0,0,IF($U136&lt;1,1/$U136,IF((FG$56-Voorblad!$F$41)/$U136-SUM($EE136:FF136)=1,1,0))))</f>
        <v>0</v>
      </c>
      <c r="FH136" s="8">
        <f>IF(FH$56-Voorblad!$F$41&gt;Voorblad!$K$41,0,IF($U136=0,0,IF($U136&lt;1,1/$U136,IF((FH$56-Voorblad!$F$41)/$U136-SUM($EE136:FG136)=1,1,0))))</f>
        <v>0</v>
      </c>
      <c r="FI136" s="8">
        <f>IF(FI$56-Voorblad!$F$41&gt;Voorblad!$K$41,0,IF($U136=0,0,IF($U136&lt;1,1/$U136,IF((FI$56-Voorblad!$F$41)/$U136-SUM($EE136:FH136)=1,1,0))))</f>
        <v>0</v>
      </c>
      <c r="FJ136" s="8">
        <f>IF(FJ$56-Voorblad!$F$41&gt;Voorblad!$K$41,0,IF($U136=0,0,IF($U136&lt;1,1/$U136,IF((FJ$56-Voorblad!$F$41)/$U136-SUM($EE136:FI136)=1,1,0))))</f>
        <v>0</v>
      </c>
      <c r="FK136" s="8">
        <f>IF(FK$56-Voorblad!$F$41&gt;Voorblad!$K$41,0,IF($U136=0,0,IF($U136&lt;1,1/$U136,IF((FK$56-Voorblad!$F$41)/$U136-SUM($EE136:FJ136)=1,1,0))))</f>
        <v>0</v>
      </c>
      <c r="FL136" s="8">
        <f>IF(FL$56-Voorblad!$F$41&gt;Voorblad!$K$41,0,IF($U136=0,0,IF($U136&lt;1,1/$U136,IF((FL$56-Voorblad!$F$41)/$U136-SUM($EE136:FK136)=1,1,0))))</f>
        <v>0</v>
      </c>
      <c r="FM136" s="8">
        <f>IF(FM$56-Voorblad!$F$41&gt;Voorblad!$K$41,0,IF($U136=0,0,IF($U136&lt;1,1/$U136,IF((FM$56-Voorblad!$F$41)/$U136-SUM($EE136:FL136)=1,1,0))))</f>
        <v>0</v>
      </c>
      <c r="FN136" s="8">
        <f>IF(FN$56-Voorblad!$F$41&gt;Voorblad!$K$41,0,IF($U136=0,0,IF($U136&lt;1,1/$U136,IF((FN$56-Voorblad!$F$41)/$U136-SUM($EE136:FM136)=1,1,0))))</f>
        <v>0</v>
      </c>
      <c r="FO136" s="8">
        <f>IF(FO$56-Voorblad!$F$41&gt;Voorblad!$K$41,0,IF($U136=0,0,IF($U136&lt;1,1/$U136,IF((FO$56-Voorblad!$F$41)/$U136-SUM($EE136:FN136)=1,1,0))))</f>
        <v>0</v>
      </c>
      <c r="FP136" s="8">
        <f>IF(FP$56-Voorblad!$F$41&gt;Voorblad!$K$41,0,IF($U136=0,0,IF($U136&lt;1,1/$U136,IF((FP$56-Voorblad!$F$41)/$U136-SUM($EE136:FO136)=1,1,0))))</f>
        <v>0</v>
      </c>
      <c r="FQ136" s="8">
        <f>IF(FQ$56-Voorblad!$F$41&gt;Voorblad!$K$41,0,IF($U136=0,0,IF($U136&lt;1,1/$U136,IF((FQ$56-Voorblad!$F$41)/$U136-SUM($EE136:FP136)=1,1,0))))</f>
        <v>0</v>
      </c>
      <c r="FR136" s="8">
        <f>IF(FR$56-Voorblad!$F$41&gt;Voorblad!$K$41,0,IF($U136=0,0,IF($U136&lt;1,1/$U136,IF((FR$56-Voorblad!$F$41)/$U136-SUM($EE136:FQ136)=1,1,0))))</f>
        <v>0</v>
      </c>
      <c r="FS136" s="8">
        <f>IF(FS$56-Voorblad!$F$41&gt;Voorblad!$K$41,0,IF($U136=0,0,IF($U136&lt;1,1/$U136,IF((FS$56-Voorblad!$F$41)/$U136-SUM($EE136:FR136)=1,1,0))))</f>
        <v>0</v>
      </c>
      <c r="FT136" s="8">
        <f>IF(FT$56-Voorblad!$F$41&gt;Voorblad!$K$41,0,IF($U136=0,0,IF($U136&lt;1,1/$U136,IF((FT$56-Voorblad!$F$41)/$U136-SUM($EE136:FS136)=1,1,0))))</f>
        <v>0</v>
      </c>
      <c r="FU136" s="8">
        <f>IF(FU$56-Voorblad!$F$41&gt;Voorblad!$K$41,0,IF($U136=0,0,IF($U136&lt;1,1/$U136,IF((FU$56-Voorblad!$F$41)/$U136-SUM($EE136:FT136)=1,1,0))))</f>
        <v>0</v>
      </c>
      <c r="FV136" s="8">
        <f>IF(FV$56-Voorblad!$F$41&gt;Voorblad!$K$41,0,IF($U136=0,0,IF($U136&lt;1,1/$U136,IF((FV$56-Voorblad!$F$41)/$U136-SUM($EE136:FU136)=1,1,0))))</f>
        <v>0</v>
      </c>
      <c r="FW136" s="8">
        <f>IF(FW$56-Voorblad!$F$41&gt;Voorblad!$K$41,0,IF($U136=0,0,IF($U136&lt;1,1/$U136,IF((FW$56-Voorblad!$F$41)/$U136-SUM($EE136:FV136)=1,1,0))))</f>
        <v>0</v>
      </c>
      <c r="FX136" s="8">
        <f>IF(FX$56-Voorblad!$F$41&gt;Voorblad!$K$41,0,IF($U136=0,0,IF($U136&lt;1,1/$U136,IF((FX$56-Voorblad!$F$41)/$U136-SUM($EE136:FW136)=1,1,0))))</f>
        <v>0</v>
      </c>
      <c r="FY136" s="8">
        <f>IF(FY$56-Voorblad!$F$41&gt;Voorblad!$K$41,0,IF($U136=0,0,IF($U136&lt;1,1/$U136,IF((FY$56-Voorblad!$F$41)/$U136-SUM($EE136:FX136)=1,1,0))))</f>
        <v>0</v>
      </c>
      <c r="FZ136" s="8">
        <f>IF(FZ$56-Voorblad!$F$41&gt;Voorblad!$K$41,0,IF($U136=0,0,IF($U136&lt;1,1/$U136,IF((FZ$56-Voorblad!$F$41)/$U136-SUM($EE136:FY136)=1,1,0))))</f>
        <v>0</v>
      </c>
      <c r="GA136" s="8">
        <f>IF(GA$56-Voorblad!$F$41&gt;Voorblad!$K$41,0,IF($U136=0,0,IF($U136&lt;1,1/$U136,IF((GA$56-Voorblad!$F$41)/$U136-SUM($EE136:FZ136)=1,1,0))))</f>
        <v>0</v>
      </c>
      <c r="GB136" s="8">
        <f>IF(GB$56-Voorblad!$F$41&gt;Voorblad!$K$41,0,IF($U136=0,0,IF($U136&lt;1,1/$U136,IF((GB$56-Voorblad!$F$41)/$U136-SUM($EE136:GA136)=1,1,0))))</f>
        <v>0</v>
      </c>
      <c r="GC136" s="8">
        <f>IF(GC$56-Voorblad!$F$41&gt;Voorblad!$K$41,0,IF($U136=0,0,IF($U136&lt;1,1/$U136,IF((GC$56-Voorblad!$F$41)/$U136-SUM($EE136:GB136)=1,1,0))))</f>
        <v>0</v>
      </c>
      <c r="GD136" s="8">
        <f>IF(GD$56-Voorblad!$F$41&gt;Voorblad!$K$41,0,IF($U136=0,0,IF($U136&lt;1,1/$U136,IF((GD$56-Voorblad!$F$41)/$U136-SUM($EE136:GC136)=1,1,0))))</f>
        <v>1</v>
      </c>
      <c r="GE136" s="8">
        <f>IF(GE$56-Voorblad!$F$41&gt;Voorblad!$K$41,0,IF($U136=0,0,IF($U136&lt;1,1/$U136,IF((GE$56-Voorblad!$F$41)/$U136-SUM($EE136:GD136)=1,1,0))))</f>
        <v>0</v>
      </c>
      <c r="GF136" s="8">
        <f>IF(GF$56-Voorblad!$F$41&gt;Voorblad!$K$41,0,IF($U136=0,0,IF($U136&lt;1,1/$U136,IF((GF$56-Voorblad!$F$41)/$U136-SUM($EE136:GE136)=1,1,0))))</f>
        <v>0</v>
      </c>
      <c r="GG136" s="8">
        <f>IF(GG$56-Voorblad!$F$41&gt;Voorblad!$K$41,0,IF($U136=0,0,IF($U136&lt;1,1/$U136,IF((GG$56-Voorblad!$F$41)/$U136-SUM($EE136:GF136)=1,1,0))))</f>
        <v>0</v>
      </c>
      <c r="GH136" s="8">
        <f>IF(GH$56-Voorblad!$F$41&gt;Voorblad!$K$41,0,IF($U136=0,0,IF($U136&lt;1,1/$U136,IF((GH$56-Voorblad!$F$41)/$U136-SUM($EE136:GG136)=1,1,0))))</f>
        <v>0</v>
      </c>
      <c r="GI136" s="8">
        <f>IF(GI$56-Voorblad!$F$41&gt;Voorblad!$K$41,0,IF($U136=0,0,IF($U136&lt;1,1/$U136,IF((GI$56-Voorblad!$F$41)/$U136-SUM($EE136:GH136)=1,1,0))))</f>
        <v>0</v>
      </c>
      <c r="GJ136" s="8">
        <f>IF(GJ$56-Voorblad!$F$41&gt;Voorblad!$K$41,0,IF($U136=0,0,IF($U136&lt;1,1/$U136,IF((GJ$56-Voorblad!$F$41)/$U136-SUM($EE136:GI136)=1,1,0))))</f>
        <v>0</v>
      </c>
      <c r="GK136" s="8">
        <f>IF(GK$56-Voorblad!$F$41&gt;Voorblad!$K$41,0,IF($U136=0,0,IF($U136&lt;1,1/$U136,IF((GK$56-Voorblad!$F$41)/$U136-SUM($EE136:GJ136)=1,1,0))))</f>
        <v>0</v>
      </c>
      <c r="GL136" s="8">
        <f>IF(GL$56-Voorblad!$F$41&gt;Voorblad!$K$41,0,IF($U136=0,0,IF($U136&lt;1,1/$U136,IF((GL$56-Voorblad!$F$41)/$U136-SUM($EE136:GK136)=1,1,0))))</f>
        <v>0</v>
      </c>
      <c r="GM136" s="8">
        <f>IF(GM$56-Voorblad!$F$41&gt;Voorblad!$K$41,0,IF($U136=0,0,IF($U136&lt;1,1/$U136,IF((GM$56-Voorblad!$F$41)/$U136-SUM($EE136:GL136)=1,1,0))))</f>
        <v>0</v>
      </c>
      <c r="GN136" s="8">
        <f>IF(GN$56-Voorblad!$F$41&gt;Voorblad!$K$41,0,IF($U136=0,0,IF($U136&lt;1,1/$U136,IF((GN$56-Voorblad!$F$41)/$U136-SUM($EE136:GM136)=1,1,0))))</f>
        <v>0</v>
      </c>
      <c r="GO136" s="8">
        <f>IF(GO$56-Voorblad!$F$41&gt;Voorblad!$K$41,0,IF($U136=0,0,IF($U136&lt;1,1/$U136,IF((GO$56-Voorblad!$F$41)/$U136-SUM($EE136:GN136)=1,1,0))))</f>
        <v>0</v>
      </c>
      <c r="GP136" s="8">
        <f>IF(GP$56-Voorblad!$F$41&gt;Voorblad!$K$41,0,IF($U136=0,0,IF($U136&lt;1,1/$U136,IF((GP$56-Voorblad!$F$41)/$U136-SUM($EE136:GO136)=1,1,0))))</f>
        <v>0</v>
      </c>
      <c r="GQ136" s="8">
        <f>IF(GQ$56-Voorblad!$F$41&gt;Voorblad!$K$41,0,IF($U136=0,0,IF($U136&lt;1,1/$U136,IF((GQ$56-Voorblad!$F$41)/$U136-SUM($EE136:GP136)=1,1,0))))</f>
        <v>0</v>
      </c>
      <c r="GR136" s="8">
        <f>IF(GR$56-Voorblad!$F$41&gt;Voorblad!$K$41,0,IF($U136=0,0,IF($U136&lt;1,1/$U136,IF((GR$56-Voorblad!$F$41)/$U136-SUM($EE136:GQ136)=1,1,0))))</f>
        <v>0</v>
      </c>
      <c r="GS136" s="8">
        <f>IF(GS$56-Voorblad!$F$41&gt;Voorblad!$K$41,0,IF($U136=0,0,IF($U136&lt;1,1/$U136,IF((GS$56-Voorblad!$F$41)/$U136-SUM($EE136:GR136)=1,1,0))))</f>
        <v>0</v>
      </c>
      <c r="GT136" s="8">
        <f>IF(GT$56-Voorblad!$F$41&gt;Voorblad!$K$41,0,IF($U136=0,0,IF($U136&lt;1,1/$U136,IF((GT$56-Voorblad!$F$41)/$U136-SUM($EE136:GS136)=1,1,0))))</f>
        <v>0</v>
      </c>
      <c r="GU136" s="8">
        <f>IF(GU$56-Voorblad!$F$41&gt;Voorblad!$K$41,0,IF($U136=0,0,IF($U136&lt;1,1/$U136,IF((GU$56-Voorblad!$F$41)/$U136-SUM($EE136:GT136)=1,1,0))))</f>
        <v>0</v>
      </c>
      <c r="GV136" s="8">
        <f>IF(GV$56-Voorblad!$F$41&gt;Voorblad!$K$41,0,IF($U136=0,0,IF($U136&lt;1,1/$U136,IF((GV$56-Voorblad!$F$41)/$U136-SUM($EE136:GU136)=1,1,0))))</f>
        <v>0</v>
      </c>
      <c r="GW136" s="8">
        <f>IF(GW$56-Voorblad!$F$41&gt;Voorblad!$K$41,0,IF($U136=0,0,IF($U136&lt;1,1/$U136,IF((GW$56-Voorblad!$F$41)/$U136-SUM($EE136:GV136)=1,1,0))))</f>
        <v>0</v>
      </c>
      <c r="GX136" s="8">
        <f>IF(GX$56-Voorblad!$F$41&gt;Voorblad!$K$41,0,IF($U136=0,0,IF($U136&lt;1,1/$U136,IF((GX$56-Voorblad!$F$41)/$U136-SUM($EE136:GW136)=1,1,0))))</f>
        <v>0</v>
      </c>
      <c r="GY136" s="8">
        <f>IF(GY$56-Voorblad!$F$41&gt;Voorblad!$K$41,0,IF($U136=0,0,IF($U136&lt;1,1/$U136,IF((GY$56-Voorblad!$F$41)/$U136-SUM($EE136:GX136)=1,1,0))))</f>
        <v>0</v>
      </c>
      <c r="GZ136" s="8">
        <f>IF(GZ$56-Voorblad!$F$41&gt;Voorblad!$K$41,0,IF($U136=0,0,IF($U136&lt;1,1/$U136,IF((GZ$56-Voorblad!$F$41)/$U136-SUM($EE136:GY136)=1,1,0))))</f>
        <v>0</v>
      </c>
      <c r="HA136" s="8">
        <f>IF(HA$56-Voorblad!$F$41&gt;Voorblad!$K$41,0,IF($U136=0,0,IF($U136&lt;1,1/$U136,IF((HA$56-Voorblad!$F$41)/$U136-SUM($EE136:GZ136)=1,1,0))))</f>
        <v>0</v>
      </c>
      <c r="HB136" s="8">
        <f>IF(HB$56-Voorblad!$F$41&gt;Voorblad!$K$41,0,IF($U136=0,0,IF($U136&lt;1,1/$U136,IF((HB$56-Voorblad!$F$41)/$U136-SUM($EE136:HA136)=1,1,0))))</f>
        <v>0</v>
      </c>
      <c r="HC136" s="8">
        <f>IF(HC$56-Voorblad!$F$41&gt;Voorblad!$K$41,0,IF($U136=0,0,IF($U136&lt;1,1/$U136,IF((HC$56-Voorblad!$F$41)/$U136-SUM($EE136:HB136)=1,1,0))))</f>
        <v>0</v>
      </c>
      <c r="HD136" s="8">
        <f>IF(HD$56-Voorblad!$F$41&gt;Voorblad!$K$41,0,IF($U136=0,0,IF($U136&lt;1,1/$U136,IF((HD$56-Voorblad!$F$41)/$U136-SUM($EE136:HC136)=1,1,0))))</f>
        <v>0</v>
      </c>
      <c r="HE136" s="8">
        <f>IF(HE$56-Voorblad!$F$41&gt;Voorblad!$K$41,0,IF($U136=0,0,IF($U136&lt;1,1/$U136,IF((HE$56-Voorblad!$F$41)/$U136-SUM($EE136:HD136)=1,1,0))))</f>
        <v>0</v>
      </c>
      <c r="HF136" s="8">
        <f>IF(HF$56-Voorblad!$F$41&gt;Voorblad!$K$41,0,IF($U136=0,0,IF($U136&lt;1,1/$U136,IF((HF$56-Voorblad!$F$41)/$U136-SUM($EE136:HE136)=1,1,0))))</f>
        <v>0</v>
      </c>
      <c r="HG136" s="8">
        <f>IF(HG$56-Voorblad!$F$41&gt;Voorblad!$K$41,0,IF($U136=0,0,IF($U136&lt;1,1/$U136,IF((HG$56-Voorblad!$F$41)/$U136-SUM($EE136:HF136)=1,1,0))))</f>
        <v>0</v>
      </c>
      <c r="HH136" s="8">
        <f>IF(HH$56-Voorblad!$F$41&gt;Voorblad!$K$41,0,IF($U136=0,0,IF($U136&lt;1,1/$U136,IF((HH$56-Voorblad!$F$41)/$U136-SUM($EE136:HG136)=1,1,0))))</f>
        <v>0</v>
      </c>
      <c r="HI136" s="8">
        <f>IF(HI$56-Voorblad!$F$41&gt;Voorblad!$K$41,0,IF($U136=0,0,IF($U136&lt;1,1/$U136,IF((HI$56-Voorblad!$F$41)/$U136-SUM($EE136:HH136)=1,1,0))))</f>
        <v>0</v>
      </c>
      <c r="HJ136" s="8">
        <f>IF(HJ$56-Voorblad!$F$41&gt;Voorblad!$K$41,0,IF($U136=0,0,IF($U136&lt;1,1/$U136,IF((HJ$56-Voorblad!$F$41)/$U136-SUM($EE136:HI136)=1,1,0))))</f>
        <v>0</v>
      </c>
      <c r="HK136" s="8">
        <f>IF(HK$56-Voorblad!$F$41&gt;Voorblad!$K$41,0,IF($U136=0,0,IF($U136&lt;1,1/$U136,IF((HK$56-Voorblad!$F$41)/$U136-SUM($EE136:HJ136)=1,1,0))))</f>
        <v>0</v>
      </c>
      <c r="HL136" s="8">
        <f>IF(HL$56-Voorblad!$F$41&gt;Voorblad!$K$41,0,IF($U136=0,0,IF($U136&lt;1,1/$U136,IF((HL$56-Voorblad!$F$41)/$U136-SUM($EE136:HK136)=1,1,0))))</f>
        <v>0</v>
      </c>
      <c r="HM136" s="8">
        <f>IF(HM$56-Voorblad!$F$41&gt;Voorblad!$K$41,0,IF($U136=0,0,IF($U136&lt;1,1/$U136,IF((HM$56-Voorblad!$F$41)/$U136-SUM($EE136:HL136)=1,1,0))))</f>
        <v>0</v>
      </c>
      <c r="HN136" s="8">
        <f>IF(HN$56-Voorblad!$F$41&gt;Voorblad!$K$41,0,IF($U136=0,0,IF($U136&lt;1,1/$U136,IF((HN$56-Voorblad!$F$41)/$U136-SUM($EE136:HM136)=1,1,0))))</f>
        <v>0</v>
      </c>
      <c r="HO136" s="8">
        <f>IF(HO$56-Voorblad!$F$41&gt;Voorblad!$K$41,0,IF($U136=0,0,IF($U136&lt;1,1/$U136,IF((HO$56-Voorblad!$F$41)/$U136-SUM($EE136:HN136)=1,1,0))))</f>
        <v>0</v>
      </c>
      <c r="HP136" s="8">
        <f>IF(HP$56-Voorblad!$F$41&gt;Voorblad!$K$41,0,IF($U136=0,0,IF($U136&lt;1,1/$U136,IF((HP$56-Voorblad!$F$41)/$U136-SUM($EE136:HO136)=1,1,0))))</f>
        <v>0</v>
      </c>
      <c r="HQ136" s="8">
        <f>IF(HQ$56-Voorblad!$F$41&gt;Voorblad!$K$41,0,IF($U136=0,0,IF($U136&lt;1,1/$U136,IF((HQ$56-Voorblad!$F$41)/$U136-SUM($EE136:HP136)=1,1,0))))</f>
        <v>0</v>
      </c>
      <c r="HR136" s="8">
        <f>IF(HR$56-Voorblad!$F$41&gt;Voorblad!$K$41,0,IF($U136=0,0,IF($U136&lt;1,1/$U136,IF((HR$56-Voorblad!$F$41)/$U136-SUM($EE136:HQ136)=1,1,0))))</f>
        <v>0</v>
      </c>
      <c r="HS136" s="8">
        <f>IF(HS$56-Voorblad!$F$41&gt;Voorblad!$K$41,0,IF($U136=0,0,IF($U136&lt;1,1/$U136,IF((HS$56-Voorblad!$F$41)/$U136-SUM($EE136:HR136)=1,1,0))))</f>
        <v>0</v>
      </c>
      <c r="HT136" s="8">
        <f>IF(HT$56-Voorblad!$F$41&gt;Voorblad!$K$41,0,IF($U136=0,0,IF($U136&lt;1,1/$U136,IF((HT$56-Voorblad!$F$41)/$U136-SUM($EE136:HS136)=1,1,0))))</f>
        <v>0</v>
      </c>
      <c r="HU136" s="8">
        <f>IF(HU$56-Voorblad!$F$41&gt;Voorblad!$K$41,0,IF($U136=0,0,IF($U136&lt;1,1/$U136,IF((HU$56-Voorblad!$F$41)/$U136-SUM($EE136:HT136)=1,1,0))))</f>
        <v>0</v>
      </c>
      <c r="HV136" s="8">
        <f>IF(HV$56-Voorblad!$F$41&gt;Voorblad!$K$41,0,IF($U136=0,0,IF($U136&lt;1,1/$U136,IF((HV$56-Voorblad!$F$41)/$U136-SUM($EE136:HU136)=1,1,0))))</f>
        <v>0</v>
      </c>
      <c r="HW136" s="8">
        <f>IF(HW$56-Voorblad!$F$41&gt;Voorblad!$K$41,0,IF($U136=0,0,IF($U136&lt;1,1/$U136,IF((HW$56-Voorblad!$F$41)/$U136-SUM($EE136:HV136)=1,1,0))))</f>
        <v>0</v>
      </c>
      <c r="HX136" s="8">
        <f>IF(HX$56-Voorblad!$F$41&gt;Voorblad!$K$41,0,IF($U136=0,0,IF($U136&lt;1,1/$U136,IF((HX$56-Voorblad!$F$41)/$U136-SUM($EE136:HW136)=1,1,0))))</f>
        <v>0</v>
      </c>
      <c r="HY136" s="8">
        <f>IF(HY$56-Voorblad!$F$41&gt;Voorblad!$K$41,0,IF($U136=0,0,IF($U136&lt;1,1/$U136,IF((HY$56-Voorblad!$F$41)/$U136-SUM($EE136:HX136)=1,1,0))))</f>
        <v>0</v>
      </c>
      <c r="HZ136" s="8">
        <f>IF(HZ$56-Voorblad!$F$41&gt;Voorblad!$K$41,0,IF($U136=0,0,IF($U136&lt;1,1/$U136,IF((HZ$56-Voorblad!$F$41)/$U136-SUM($EE136:HY136)=1,1,0))))</f>
        <v>0</v>
      </c>
      <c r="IA136" s="8">
        <f>IF(IA$56-Voorblad!$F$41&gt;Voorblad!$K$41,0,IF($U136=0,0,IF($U136&lt;1,1/$U136,IF((IA$56-Voorblad!$F$41)/$U136-SUM($EE136:HZ136)=1,1,0))))</f>
        <v>0</v>
      </c>
      <c r="IB136" s="8">
        <f>IF(IB$56-Voorblad!$F$41&gt;Voorblad!$K$41,0,IF($U136=0,0,IF($U136&lt;1,1/$U136,IF((IB$56-Voorblad!$F$41)/$U136-SUM($EE136:IA136)=1,1,0))))</f>
        <v>0</v>
      </c>
    </row>
    <row r="137" spans="2:236" s="14" customFormat="1" ht="12" customHeight="1" outlineLevel="1" x14ac:dyDescent="0.25">
      <c r="B137" s="1">
        <v>1</v>
      </c>
      <c r="C137" s="1"/>
      <c r="F137" s="14" t="s">
        <v>23</v>
      </c>
      <c r="I137" s="14" t="s">
        <v>48</v>
      </c>
      <c r="J137" s="1"/>
      <c r="K137" s="14" t="s">
        <v>161</v>
      </c>
      <c r="O137" s="14" t="s">
        <v>214</v>
      </c>
      <c r="P137" s="14" t="s">
        <v>217</v>
      </c>
      <c r="Q137" s="84">
        <f>7.5%*2*15.9</f>
        <v>2.3849999999999998</v>
      </c>
      <c r="R137" s="14" t="s">
        <v>34</v>
      </c>
      <c r="S137" s="21">
        <f>$H$10*1000</f>
        <v>2380</v>
      </c>
      <c r="T137" s="21">
        <f t="shared" si="104"/>
        <v>5676.2999999999993</v>
      </c>
      <c r="U137" s="14">
        <v>50</v>
      </c>
      <c r="Y137" s="21">
        <f t="shared" ref="Y137" si="108">SUM(AE137:EB137)</f>
        <v>1651.475255193438</v>
      </c>
      <c r="Z137" s="149"/>
      <c r="AA137" s="149"/>
      <c r="AC137" s="9">
        <f>$Y137*(Voorblad!$K$44*(1+Voorblad!$K$44)^Voorblad!$K$41)/((1+Voorblad!$K$44)^Voorblad!$K$41-1)</f>
        <v>49.438033852123915</v>
      </c>
      <c r="AE137" s="21">
        <f>EF137*($Q137*$S137)/(1+Voorblad!$K$44)^(AE$56-Voorblad!$F$41)</f>
        <v>0</v>
      </c>
      <c r="AF137" s="21">
        <f>EG137*($Q137*$S137)/(1+Voorblad!$K$44)^(AF$56-Voorblad!$F$41)</f>
        <v>0</v>
      </c>
      <c r="AG137" s="21">
        <f>EH137*($Q137*$S137)/(1+Voorblad!$K$44)^(AG$56-Voorblad!$F$41)</f>
        <v>0</v>
      </c>
      <c r="AH137" s="21">
        <f>EI137*($Q137*$S137)/(1+Voorblad!$K$44)^(AH$56-Voorblad!$F$41)</f>
        <v>0</v>
      </c>
      <c r="AI137" s="21">
        <f>EJ137*($Q137*$S137)/(1+Voorblad!$K$44)^(AI$56-Voorblad!$F$41)</f>
        <v>0</v>
      </c>
      <c r="AJ137" s="21">
        <f>EK137*($Q137*$S137)/(1+Voorblad!$K$44)^(AJ$56-Voorblad!$F$41)</f>
        <v>0</v>
      </c>
      <c r="AK137" s="21">
        <f>EL137*($Q137*$S137)/(1+Voorblad!$K$44)^(AK$56-Voorblad!$F$41)</f>
        <v>0</v>
      </c>
      <c r="AL137" s="21">
        <f>EM137*($Q137*$S137)/(1+Voorblad!$K$44)^(AL$56-Voorblad!$F$41)</f>
        <v>0</v>
      </c>
      <c r="AM137" s="21">
        <f>EN137*($Q137*$S137)/(1+Voorblad!$K$44)^(AM$56-Voorblad!$F$41)</f>
        <v>0</v>
      </c>
      <c r="AN137" s="21">
        <f>EO137*($Q137*$S137)/(1+Voorblad!$K$44)^(AN$56-Voorblad!$F$41)</f>
        <v>0</v>
      </c>
      <c r="AO137" s="21">
        <f>EP137*($Q137*$S137)/(1+Voorblad!$K$44)^(AO$56-Voorblad!$F$41)</f>
        <v>0</v>
      </c>
      <c r="AP137" s="21">
        <f>EQ137*($Q137*$S137)/(1+Voorblad!$K$44)^(AP$56-Voorblad!$F$41)</f>
        <v>0</v>
      </c>
      <c r="AQ137" s="21">
        <f>ER137*($Q137*$S137)/(1+Voorblad!$K$44)^(AQ$56-Voorblad!$F$41)</f>
        <v>0</v>
      </c>
      <c r="AR137" s="21">
        <f>ES137*($Q137*$S137)/(1+Voorblad!$K$44)^(AR$56-Voorblad!$F$41)</f>
        <v>0</v>
      </c>
      <c r="AS137" s="21">
        <f>ET137*($Q137*$S137)/(1+Voorblad!$K$44)^(AS$56-Voorblad!$F$41)</f>
        <v>0</v>
      </c>
      <c r="AT137" s="21">
        <f>EU137*($Q137*$S137)/(1+Voorblad!$K$44)^(AT$56-Voorblad!$F$41)</f>
        <v>0</v>
      </c>
      <c r="AU137" s="21">
        <f>EV137*($Q137*$S137)/(1+Voorblad!$K$44)^(AU$56-Voorblad!$F$41)</f>
        <v>0</v>
      </c>
      <c r="AV137" s="21">
        <f>EW137*($Q137*$S137)/(1+Voorblad!$K$44)^(AV$56-Voorblad!$F$41)</f>
        <v>0</v>
      </c>
      <c r="AW137" s="21">
        <f>EX137*($Q137*$S137)/(1+Voorblad!$K$44)^(AW$56-Voorblad!$F$41)</f>
        <v>0</v>
      </c>
      <c r="AX137" s="21">
        <f>EY137*($Q137*$S137)/(1+Voorblad!$K$44)^(AX$56-Voorblad!$F$41)</f>
        <v>0</v>
      </c>
      <c r="AY137" s="21">
        <f>EZ137*($Q137*$S137)/(1+Voorblad!$K$44)^(AY$56-Voorblad!$F$41)</f>
        <v>0</v>
      </c>
      <c r="AZ137" s="21">
        <f>FA137*($Q137*$S137)/(1+Voorblad!$K$44)^(AZ$56-Voorblad!$F$41)</f>
        <v>0</v>
      </c>
      <c r="BA137" s="21">
        <f>FB137*($Q137*$S137)/(1+Voorblad!$K$44)^(BA$56-Voorblad!$F$41)</f>
        <v>0</v>
      </c>
      <c r="BB137" s="21">
        <f>FC137*($Q137*$S137)/(1+Voorblad!$K$44)^(BB$56-Voorblad!$F$41)</f>
        <v>0</v>
      </c>
      <c r="BC137" s="21">
        <f>FD137*($Q137*$S137)/(1+Voorblad!$K$44)^(BC$56-Voorblad!$F$41)</f>
        <v>0</v>
      </c>
      <c r="BD137" s="21">
        <f>FE137*($Q137*$S137)/(1+Voorblad!$K$44)^(BD$56-Voorblad!$F$41)</f>
        <v>0</v>
      </c>
      <c r="BE137" s="21">
        <f>FF137*($Q137*$S137)/(1+Voorblad!$K$44)^(BE$56-Voorblad!$F$41)</f>
        <v>0</v>
      </c>
      <c r="BF137" s="21">
        <f>FG137*($Q137*$S137)/(1+Voorblad!$K$44)^(BF$56-Voorblad!$F$41)</f>
        <v>0</v>
      </c>
      <c r="BG137" s="21">
        <f>FH137*($Q137*$S137)/(1+Voorblad!$K$44)^(BG$56-Voorblad!$F$41)</f>
        <v>0</v>
      </c>
      <c r="BH137" s="21">
        <f>FI137*($Q137*$S137)/(1+Voorblad!$K$44)^(BH$56-Voorblad!$F$41)</f>
        <v>0</v>
      </c>
      <c r="BI137" s="21">
        <f>FJ137*($Q137*$S137)/(1+Voorblad!$K$44)^(BI$56-Voorblad!$F$41)</f>
        <v>0</v>
      </c>
      <c r="BJ137" s="21">
        <f>FK137*($Q137*$S137)/(1+Voorblad!$K$44)^(BJ$56-Voorblad!$F$41)</f>
        <v>0</v>
      </c>
      <c r="BK137" s="21">
        <f>FL137*($Q137*$S137)/(1+Voorblad!$K$44)^(BK$56-Voorblad!$F$41)</f>
        <v>0</v>
      </c>
      <c r="BL137" s="21">
        <f>FM137*($Q137*$S137)/(1+Voorblad!$K$44)^(BL$56-Voorblad!$F$41)</f>
        <v>0</v>
      </c>
      <c r="BM137" s="21">
        <f>FN137*($Q137*$S137)/(1+Voorblad!$K$44)^(BM$56-Voorblad!$F$41)</f>
        <v>0</v>
      </c>
      <c r="BN137" s="21">
        <f>FO137*($Q137*$S137)/(1+Voorblad!$K$44)^(BN$56-Voorblad!$F$41)</f>
        <v>0</v>
      </c>
      <c r="BO137" s="21">
        <f>FP137*($Q137*$S137)/(1+Voorblad!$K$44)^(BO$56-Voorblad!$F$41)</f>
        <v>0</v>
      </c>
      <c r="BP137" s="21">
        <f>FQ137*($Q137*$S137)/(1+Voorblad!$K$44)^(BP$56-Voorblad!$F$41)</f>
        <v>0</v>
      </c>
      <c r="BQ137" s="21">
        <f>FR137*($Q137*$S137)/(1+Voorblad!$K$44)^(BQ$56-Voorblad!$F$41)</f>
        <v>0</v>
      </c>
      <c r="BR137" s="21">
        <f>FS137*($Q137*$S137)/(1+Voorblad!$K$44)^(BR$56-Voorblad!$F$41)</f>
        <v>0</v>
      </c>
      <c r="BS137" s="21">
        <f>FT137*($Q137*$S137)/(1+Voorblad!$K$44)^(BS$56-Voorblad!$F$41)</f>
        <v>0</v>
      </c>
      <c r="BT137" s="21">
        <f>FU137*($Q137*$S137)/(1+Voorblad!$K$44)^(BT$56-Voorblad!$F$41)</f>
        <v>0</v>
      </c>
      <c r="BU137" s="21">
        <f>FV137*($Q137*$S137)/(1+Voorblad!$K$44)^(BU$56-Voorblad!$F$41)</f>
        <v>0</v>
      </c>
      <c r="BV137" s="21">
        <f>FW137*($Q137*$S137)/(1+Voorblad!$K$44)^(BV$56-Voorblad!$F$41)</f>
        <v>0</v>
      </c>
      <c r="BW137" s="21">
        <f>FX137*($Q137*$S137)/(1+Voorblad!$K$44)^(BW$56-Voorblad!$F$41)</f>
        <v>0</v>
      </c>
      <c r="BX137" s="21">
        <f>FY137*($Q137*$S137)/(1+Voorblad!$K$44)^(BX$56-Voorblad!$F$41)</f>
        <v>0</v>
      </c>
      <c r="BY137" s="21">
        <f>FZ137*($Q137*$S137)/(1+Voorblad!$K$44)^(BY$56-Voorblad!$F$41)</f>
        <v>0</v>
      </c>
      <c r="BZ137" s="21">
        <f>GA137*($Q137*$S137)/(1+Voorblad!$K$44)^(BZ$56-Voorblad!$F$41)</f>
        <v>0</v>
      </c>
      <c r="CA137" s="21">
        <f>GB137*($Q137*$S137)/(1+Voorblad!$K$44)^(CA$56-Voorblad!$F$41)</f>
        <v>0</v>
      </c>
      <c r="CB137" s="21">
        <f>GC137*($Q137*$S137)/(1+Voorblad!$K$44)^(CB$56-Voorblad!$F$41)</f>
        <v>0</v>
      </c>
      <c r="CC137" s="21">
        <f>GD137*($Q137*$S137)/(1+Voorblad!$K$44)^(CC$56-Voorblad!$F$41)</f>
        <v>1651.475255193438</v>
      </c>
      <c r="CD137" s="21">
        <f>GE137*($Q137*$S137)/(1+Voorblad!$K$44)^(CD$56-Voorblad!$F$41)</f>
        <v>0</v>
      </c>
      <c r="CE137" s="21">
        <f>GF137*($Q137*$S137)/(1+Voorblad!$K$44)^(CE$56-Voorblad!$F$41)</f>
        <v>0</v>
      </c>
      <c r="CF137" s="21">
        <f>GG137*($Q137*$S137)/(1+Voorblad!$K$44)^(CF$56-Voorblad!$F$41)</f>
        <v>0</v>
      </c>
      <c r="CG137" s="21">
        <f>GH137*($Q137*$S137)/(1+Voorblad!$K$44)^(CG$56-Voorblad!$F$41)</f>
        <v>0</v>
      </c>
      <c r="CH137" s="21">
        <f>GI137*($Q137*$S137)/(1+Voorblad!$K$44)^(CH$56-Voorblad!$F$41)</f>
        <v>0</v>
      </c>
      <c r="CI137" s="21">
        <f>GJ137*($Q137*$S137)/(1+Voorblad!$K$44)^(CI$56-Voorblad!$F$41)</f>
        <v>0</v>
      </c>
      <c r="CJ137" s="21">
        <f>GK137*($Q137*$S137)/(1+Voorblad!$K$44)^(CJ$56-Voorblad!$F$41)</f>
        <v>0</v>
      </c>
      <c r="CK137" s="21">
        <f>GL137*($Q137*$S137)/(1+Voorblad!$K$44)^(CK$56-Voorblad!$F$41)</f>
        <v>0</v>
      </c>
      <c r="CL137" s="21">
        <f>GM137*($Q137*$S137)/(1+Voorblad!$K$44)^(CL$56-Voorblad!$F$41)</f>
        <v>0</v>
      </c>
      <c r="CM137" s="21">
        <f>GN137*($Q137*$S137)/(1+Voorblad!$K$44)^(CM$56-Voorblad!$F$41)</f>
        <v>0</v>
      </c>
      <c r="CN137" s="21">
        <f>GO137*($Q137*$S137)/(1+Voorblad!$K$44)^(CN$56-Voorblad!$F$41)</f>
        <v>0</v>
      </c>
      <c r="CO137" s="21">
        <f>GP137*($Q137*$S137)/(1+Voorblad!$K$44)^(CO$56-Voorblad!$F$41)</f>
        <v>0</v>
      </c>
      <c r="CP137" s="21">
        <f>GQ137*($Q137*$S137)/(1+Voorblad!$K$44)^(CP$56-Voorblad!$F$41)</f>
        <v>0</v>
      </c>
      <c r="CQ137" s="21">
        <f>GR137*($Q137*$S137)/(1+Voorblad!$K$44)^(CQ$56-Voorblad!$F$41)</f>
        <v>0</v>
      </c>
      <c r="CR137" s="21">
        <f>GS137*($Q137*$S137)/(1+Voorblad!$K$44)^(CR$56-Voorblad!$F$41)</f>
        <v>0</v>
      </c>
      <c r="CS137" s="21">
        <f>GT137*($Q137*$S137)/(1+Voorblad!$K$44)^(CS$56-Voorblad!$F$41)</f>
        <v>0</v>
      </c>
      <c r="CT137" s="21">
        <f>GU137*($Q137*$S137)/(1+Voorblad!$K$44)^(CT$56-Voorblad!$F$41)</f>
        <v>0</v>
      </c>
      <c r="CU137" s="21">
        <f>GV137*($Q137*$S137)/(1+Voorblad!$K$44)^(CU$56-Voorblad!$F$41)</f>
        <v>0</v>
      </c>
      <c r="CV137" s="21">
        <f>GW137*($Q137*$S137)/(1+Voorblad!$K$44)^(CV$56-Voorblad!$F$41)</f>
        <v>0</v>
      </c>
      <c r="CW137" s="21">
        <f>GX137*($Q137*$S137)/(1+Voorblad!$K$44)^(CW$56-Voorblad!$F$41)</f>
        <v>0</v>
      </c>
      <c r="CX137" s="21">
        <f>GY137*($Q137*$S137)/(1+Voorblad!$K$44)^(CX$56-Voorblad!$F$41)</f>
        <v>0</v>
      </c>
      <c r="CY137" s="21">
        <f>GZ137*($Q137*$S137)/(1+Voorblad!$K$44)^(CY$56-Voorblad!$F$41)</f>
        <v>0</v>
      </c>
      <c r="CZ137" s="21">
        <f>HA137*($Q137*$S137)/(1+Voorblad!$K$44)^(CZ$56-Voorblad!$F$41)</f>
        <v>0</v>
      </c>
      <c r="DA137" s="21">
        <f>HB137*($Q137*$S137)/(1+Voorblad!$K$44)^(DA$56-Voorblad!$F$41)</f>
        <v>0</v>
      </c>
      <c r="DB137" s="21">
        <f>HC137*($Q137*$S137)/(1+Voorblad!$K$44)^(DB$56-Voorblad!$F$41)</f>
        <v>0</v>
      </c>
      <c r="DC137" s="21">
        <f>HD137*($Q137*$S137)/(1+Voorblad!$K$44)^(DC$56-Voorblad!$F$41)</f>
        <v>0</v>
      </c>
      <c r="DD137" s="21">
        <f>HE137*($Q137*$S137)/(1+Voorblad!$K$44)^(DD$56-Voorblad!$F$41)</f>
        <v>0</v>
      </c>
      <c r="DE137" s="21">
        <f>HF137*($Q137*$S137)/(1+Voorblad!$K$44)^(DE$56-Voorblad!$F$41)</f>
        <v>0</v>
      </c>
      <c r="DF137" s="21">
        <f>HG137*($Q137*$S137)/(1+Voorblad!$K$44)^(DF$56-Voorblad!$F$41)</f>
        <v>0</v>
      </c>
      <c r="DG137" s="21">
        <f>HH137*($Q137*$S137)/(1+Voorblad!$K$44)^(DG$56-Voorblad!$F$41)</f>
        <v>0</v>
      </c>
      <c r="DH137" s="21">
        <f>HI137*($Q137*$S137)/(1+Voorblad!$K$44)^(DH$56-Voorblad!$F$41)</f>
        <v>0</v>
      </c>
      <c r="DI137" s="21">
        <f>HJ137*($Q137*$S137)/(1+Voorblad!$K$44)^(DI$56-Voorblad!$F$41)</f>
        <v>0</v>
      </c>
      <c r="DJ137" s="21">
        <f>HK137*($Q137*$S137)/(1+Voorblad!$K$44)^(DJ$56-Voorblad!$F$41)</f>
        <v>0</v>
      </c>
      <c r="DK137" s="21">
        <f>HL137*($Q137*$S137)/(1+Voorblad!$K$44)^(DK$56-Voorblad!$F$41)</f>
        <v>0</v>
      </c>
      <c r="DL137" s="21">
        <f>HM137*($Q137*$S137)/(1+Voorblad!$K$44)^(DL$56-Voorblad!$F$41)</f>
        <v>0</v>
      </c>
      <c r="DM137" s="21">
        <f>HN137*($Q137*$S137)/(1+Voorblad!$K$44)^(DM$56-Voorblad!$F$41)</f>
        <v>0</v>
      </c>
      <c r="DN137" s="21">
        <f>HO137*($Q137*$S137)/(1+Voorblad!$K$44)^(DN$56-Voorblad!$F$41)</f>
        <v>0</v>
      </c>
      <c r="DO137" s="21">
        <f>HP137*($Q137*$S137)/(1+Voorblad!$K$44)^(DO$56-Voorblad!$F$41)</f>
        <v>0</v>
      </c>
      <c r="DP137" s="21">
        <f>HQ137*($Q137*$S137)/(1+Voorblad!$K$44)^(DP$56-Voorblad!$F$41)</f>
        <v>0</v>
      </c>
      <c r="DQ137" s="21">
        <f>HR137*($Q137*$S137)/(1+Voorblad!$K$44)^(DQ$56-Voorblad!$F$41)</f>
        <v>0</v>
      </c>
      <c r="DR137" s="21">
        <f>HS137*($Q137*$S137)/(1+Voorblad!$K$44)^(DR$56-Voorblad!$F$41)</f>
        <v>0</v>
      </c>
      <c r="DS137" s="21">
        <f>HT137*($Q137*$S137)/(1+Voorblad!$K$44)^(DS$56-Voorblad!$F$41)</f>
        <v>0</v>
      </c>
      <c r="DT137" s="21">
        <f>HU137*($Q137*$S137)/(1+Voorblad!$K$44)^(DT$56-Voorblad!$F$41)</f>
        <v>0</v>
      </c>
      <c r="DU137" s="21">
        <f>HV137*($Q137*$S137)/(1+Voorblad!$K$44)^(DU$56-Voorblad!$F$41)</f>
        <v>0</v>
      </c>
      <c r="DV137" s="21">
        <f>HW137*($Q137*$S137)/(1+Voorblad!$K$44)^(DV$56-Voorblad!$F$41)</f>
        <v>0</v>
      </c>
      <c r="DW137" s="21">
        <f>HX137*($Q137*$S137)/(1+Voorblad!$K$44)^(DW$56-Voorblad!$F$41)</f>
        <v>0</v>
      </c>
      <c r="DX137" s="21">
        <f>HY137*($Q137*$S137)/(1+Voorblad!$K$44)^(DX$56-Voorblad!$F$41)</f>
        <v>0</v>
      </c>
      <c r="DY137" s="21">
        <f>HZ137*($Q137*$S137)/(1+Voorblad!$K$44)^(DY$56-Voorblad!$F$41)</f>
        <v>0</v>
      </c>
      <c r="DZ137" s="21">
        <f>IA137*($Q137*$S137)/(1+Voorblad!$K$44)^(DZ$56-Voorblad!$F$41)</f>
        <v>0</v>
      </c>
      <c r="EA137" s="21">
        <f>IB137*($Q137*$S137)/(1+Voorblad!$K$44)^(EA$56-Voorblad!$F$41)</f>
        <v>0</v>
      </c>
      <c r="EB137" s="21">
        <f>IC137*($Q137*$S137)/(1+Voorblad!$K$44)^(EB$56-Voorblad!$F$41)</f>
        <v>0</v>
      </c>
      <c r="EE137" s="14">
        <v>0</v>
      </c>
      <c r="EF137" s="14">
        <f>IF(EF$56-Voorblad!$F$41&gt;Voorblad!$K$41,0,IF($U137=0,0,IF($U137&lt;1,1/$U137,IF((EF$56-Voorblad!$F$41)/$U137-SUM($EE137:EE137)=1,1,0))))</f>
        <v>0</v>
      </c>
      <c r="EG137" s="14">
        <f>IF(EG$56-Voorblad!$F$41&gt;Voorblad!$K$41,0,IF($U137=0,0,IF($U137&lt;1,1/$U137,IF((EG$56-Voorblad!$F$41)/$U137-SUM($EE137:EF137)=1,1,0))))</f>
        <v>0</v>
      </c>
      <c r="EH137" s="14">
        <f>IF(EH$56-Voorblad!$F$41&gt;Voorblad!$K$41,0,IF($U137=0,0,IF($U137&lt;1,1/$U137,IF((EH$56-Voorblad!$F$41)/$U137-SUM($EE137:EG137)=1,1,0))))</f>
        <v>0</v>
      </c>
      <c r="EI137" s="14">
        <f>IF(EI$56-Voorblad!$F$41&gt;Voorblad!$K$41,0,IF($U137=0,0,IF($U137&lt;1,1/$U137,IF((EI$56-Voorblad!$F$41)/$U137-SUM($EE137:EH137)=1,1,0))))</f>
        <v>0</v>
      </c>
      <c r="EJ137" s="14">
        <f>IF(EJ$56-Voorblad!$F$41&gt;Voorblad!$K$41,0,IF($U137=0,0,IF($U137&lt;1,1/$U137,IF((EJ$56-Voorblad!$F$41)/$U137-SUM($EE137:EI137)=1,1,0))))</f>
        <v>0</v>
      </c>
      <c r="EK137" s="14">
        <f>IF(EK$56-Voorblad!$F$41&gt;Voorblad!$K$41,0,IF($U137=0,0,IF($U137&lt;1,1/$U137,IF((EK$56-Voorblad!$F$41)/$U137-SUM($EE137:EJ137)=1,1,0))))</f>
        <v>0</v>
      </c>
      <c r="EL137" s="14">
        <f>IF(EL$56-Voorblad!$F$41&gt;Voorblad!$K$41,0,IF($U137=0,0,IF($U137&lt;1,1/$U137,IF((EL$56-Voorblad!$F$41)/$U137-SUM($EE137:EK137)=1,1,0))))</f>
        <v>0</v>
      </c>
      <c r="EM137" s="14">
        <f>IF(EM$56-Voorblad!$F$41&gt;Voorblad!$K$41,0,IF($U137=0,0,IF($U137&lt;1,1/$U137,IF((EM$56-Voorblad!$F$41)/$U137-SUM($EE137:EL137)=1,1,0))))</f>
        <v>0</v>
      </c>
      <c r="EN137" s="14">
        <f>IF(EN$56-Voorblad!$F$41&gt;Voorblad!$K$41,0,IF($U137=0,0,IF($U137&lt;1,1/$U137,IF((EN$56-Voorblad!$F$41)/$U137-SUM($EE137:EM137)=1,1,0))))</f>
        <v>0</v>
      </c>
      <c r="EO137" s="14">
        <f>IF(EO$56-Voorblad!$F$41&gt;Voorblad!$K$41,0,IF($U137=0,0,IF($U137&lt;1,1/$U137,IF((EO$56-Voorblad!$F$41)/$U137-SUM($EE137:EN137)=1,1,0))))</f>
        <v>0</v>
      </c>
      <c r="EP137" s="14">
        <f>IF(EP$56-Voorblad!$F$41&gt;Voorblad!$K$41,0,IF($U137=0,0,IF($U137&lt;1,1/$U137,IF((EP$56-Voorblad!$F$41)/$U137-SUM($EE137:EO137)=1,1,0))))</f>
        <v>0</v>
      </c>
      <c r="EQ137" s="14">
        <f>IF(EQ$56-Voorblad!$F$41&gt;Voorblad!$K$41,0,IF($U137=0,0,IF($U137&lt;1,1/$U137,IF((EQ$56-Voorblad!$F$41)/$U137-SUM($EE137:EP137)=1,1,0))))</f>
        <v>0</v>
      </c>
      <c r="ER137" s="14">
        <f>IF(ER$56-Voorblad!$F$41&gt;Voorblad!$K$41,0,IF($U137=0,0,IF($U137&lt;1,1/$U137,IF((ER$56-Voorblad!$F$41)/$U137-SUM($EE137:EQ137)=1,1,0))))</f>
        <v>0</v>
      </c>
      <c r="ES137" s="14">
        <f>IF(ES$56-Voorblad!$F$41&gt;Voorblad!$K$41,0,IF($U137=0,0,IF($U137&lt;1,1/$U137,IF((ES$56-Voorblad!$F$41)/$U137-SUM($EE137:ER137)=1,1,0))))</f>
        <v>0</v>
      </c>
      <c r="ET137" s="14">
        <f>IF(ET$56-Voorblad!$F$41&gt;Voorblad!$K$41,0,IF($U137=0,0,IF($U137&lt;1,1/$U137,IF((ET$56-Voorblad!$F$41)/$U137-SUM($EE137:ES137)=1,1,0))))</f>
        <v>0</v>
      </c>
      <c r="EU137" s="14">
        <f>IF(EU$56-Voorblad!$F$41&gt;Voorblad!$K$41,0,IF($U137=0,0,IF($U137&lt;1,1/$U137,IF((EU$56-Voorblad!$F$41)/$U137-SUM($EE137:ET137)=1,1,0))))</f>
        <v>0</v>
      </c>
      <c r="EV137" s="14">
        <f>IF(EV$56-Voorblad!$F$41&gt;Voorblad!$K$41,0,IF($U137=0,0,IF($U137&lt;1,1/$U137,IF((EV$56-Voorblad!$F$41)/$U137-SUM($EE137:EU137)=1,1,0))))</f>
        <v>0</v>
      </c>
      <c r="EW137" s="14">
        <f>IF(EW$56-Voorblad!$F$41&gt;Voorblad!$K$41,0,IF($U137=0,0,IF($U137&lt;1,1/$U137,IF((EW$56-Voorblad!$F$41)/$U137-SUM($EE137:EV137)=1,1,0))))</f>
        <v>0</v>
      </c>
      <c r="EX137" s="14">
        <f>IF(EX$56-Voorblad!$F$41&gt;Voorblad!$K$41,0,IF($U137=0,0,IF($U137&lt;1,1/$U137,IF((EX$56-Voorblad!$F$41)/$U137-SUM($EE137:EW137)=1,1,0))))</f>
        <v>0</v>
      </c>
      <c r="EY137" s="14">
        <f>IF(EY$56-Voorblad!$F$41&gt;Voorblad!$K$41,0,IF($U137=0,0,IF($U137&lt;1,1/$U137,IF((EY$56-Voorblad!$F$41)/$U137-SUM($EE137:EX137)=1,1,0))))</f>
        <v>0</v>
      </c>
      <c r="EZ137" s="14">
        <f>IF(EZ$56-Voorblad!$F$41&gt;Voorblad!$K$41,0,IF($U137=0,0,IF($U137&lt;1,1/$U137,IF((EZ$56-Voorblad!$F$41)/$U137-SUM($EE137:EY137)=1,1,0))))</f>
        <v>0</v>
      </c>
      <c r="FA137" s="14">
        <f>IF(FA$56-Voorblad!$F$41&gt;Voorblad!$K$41,0,IF($U137=0,0,IF($U137&lt;1,1/$U137,IF((FA$56-Voorblad!$F$41)/$U137-SUM($EE137:EZ137)=1,1,0))))</f>
        <v>0</v>
      </c>
      <c r="FB137" s="14">
        <f>IF(FB$56-Voorblad!$F$41&gt;Voorblad!$K$41,0,IF($U137=0,0,IF($U137&lt;1,1/$U137,IF((FB$56-Voorblad!$F$41)/$U137-SUM($EE137:FA137)=1,1,0))))</f>
        <v>0</v>
      </c>
      <c r="FC137" s="14">
        <f>IF(FC$56-Voorblad!$F$41&gt;Voorblad!$K$41,0,IF($U137=0,0,IF($U137&lt;1,1/$U137,IF((FC$56-Voorblad!$F$41)/$U137-SUM($EE137:FB137)=1,1,0))))</f>
        <v>0</v>
      </c>
      <c r="FD137" s="14">
        <f>IF(FD$56-Voorblad!$F$41&gt;Voorblad!$K$41,0,IF($U137=0,0,IF($U137&lt;1,1/$U137,IF((FD$56-Voorblad!$F$41)/$U137-SUM($EE137:FC137)=1,1,0))))</f>
        <v>0</v>
      </c>
      <c r="FE137" s="14">
        <f>IF(FE$56-Voorblad!$F$41&gt;Voorblad!$K$41,0,IF($U137=0,0,IF($U137&lt;1,1/$U137,IF((FE$56-Voorblad!$F$41)/$U137-SUM($EE137:FD137)=1,1,0))))</f>
        <v>0</v>
      </c>
      <c r="FF137" s="14">
        <f>IF(FF$56-Voorblad!$F$41&gt;Voorblad!$K$41,0,IF($U137=0,0,IF($U137&lt;1,1/$U137,IF((FF$56-Voorblad!$F$41)/$U137-SUM($EE137:FE137)=1,1,0))))</f>
        <v>0</v>
      </c>
      <c r="FG137" s="14">
        <f>IF(FG$56-Voorblad!$F$41&gt;Voorblad!$K$41,0,IF($U137=0,0,IF($U137&lt;1,1/$U137,IF((FG$56-Voorblad!$F$41)/$U137-SUM($EE137:FF137)=1,1,0))))</f>
        <v>0</v>
      </c>
      <c r="FH137" s="14">
        <f>IF(FH$56-Voorblad!$F$41&gt;Voorblad!$K$41,0,IF($U137=0,0,IF($U137&lt;1,1/$U137,IF((FH$56-Voorblad!$F$41)/$U137-SUM($EE137:FG137)=1,1,0))))</f>
        <v>0</v>
      </c>
      <c r="FI137" s="14">
        <f>IF(FI$56-Voorblad!$F$41&gt;Voorblad!$K$41,0,IF($U137=0,0,IF($U137&lt;1,1/$U137,IF((FI$56-Voorblad!$F$41)/$U137-SUM($EE137:FH137)=1,1,0))))</f>
        <v>0</v>
      </c>
      <c r="FJ137" s="14">
        <f>IF(FJ$56-Voorblad!$F$41&gt;Voorblad!$K$41,0,IF($U137=0,0,IF($U137&lt;1,1/$U137,IF((FJ$56-Voorblad!$F$41)/$U137-SUM($EE137:FI137)=1,1,0))))</f>
        <v>0</v>
      </c>
      <c r="FK137" s="14">
        <f>IF(FK$56-Voorblad!$F$41&gt;Voorblad!$K$41,0,IF($U137=0,0,IF($U137&lt;1,1/$U137,IF((FK$56-Voorblad!$F$41)/$U137-SUM($EE137:FJ137)=1,1,0))))</f>
        <v>0</v>
      </c>
      <c r="FL137" s="14">
        <f>IF(FL$56-Voorblad!$F$41&gt;Voorblad!$K$41,0,IF($U137=0,0,IF($U137&lt;1,1/$U137,IF((FL$56-Voorblad!$F$41)/$U137-SUM($EE137:FK137)=1,1,0))))</f>
        <v>0</v>
      </c>
      <c r="FM137" s="14">
        <f>IF(FM$56-Voorblad!$F$41&gt;Voorblad!$K$41,0,IF($U137=0,0,IF($U137&lt;1,1/$U137,IF((FM$56-Voorblad!$F$41)/$U137-SUM($EE137:FL137)=1,1,0))))</f>
        <v>0</v>
      </c>
      <c r="FN137" s="14">
        <f>IF(FN$56-Voorblad!$F$41&gt;Voorblad!$K$41,0,IF($U137=0,0,IF($U137&lt;1,1/$U137,IF((FN$56-Voorblad!$F$41)/$U137-SUM($EE137:FM137)=1,1,0))))</f>
        <v>0</v>
      </c>
      <c r="FO137" s="14">
        <f>IF(FO$56-Voorblad!$F$41&gt;Voorblad!$K$41,0,IF($U137=0,0,IF($U137&lt;1,1/$U137,IF((FO$56-Voorblad!$F$41)/$U137-SUM($EE137:FN137)=1,1,0))))</f>
        <v>0</v>
      </c>
      <c r="FP137" s="14">
        <f>IF(FP$56-Voorblad!$F$41&gt;Voorblad!$K$41,0,IF($U137=0,0,IF($U137&lt;1,1/$U137,IF((FP$56-Voorblad!$F$41)/$U137-SUM($EE137:FO137)=1,1,0))))</f>
        <v>0</v>
      </c>
      <c r="FQ137" s="14">
        <f>IF(FQ$56-Voorblad!$F$41&gt;Voorblad!$K$41,0,IF($U137=0,0,IF($U137&lt;1,1/$U137,IF((FQ$56-Voorblad!$F$41)/$U137-SUM($EE137:FP137)=1,1,0))))</f>
        <v>0</v>
      </c>
      <c r="FR137" s="14">
        <f>IF(FR$56-Voorblad!$F$41&gt;Voorblad!$K$41,0,IF($U137=0,0,IF($U137&lt;1,1/$U137,IF((FR$56-Voorblad!$F$41)/$U137-SUM($EE137:FQ137)=1,1,0))))</f>
        <v>0</v>
      </c>
      <c r="FS137" s="14">
        <f>IF(FS$56-Voorblad!$F$41&gt;Voorblad!$K$41,0,IF($U137=0,0,IF($U137&lt;1,1/$U137,IF((FS$56-Voorblad!$F$41)/$U137-SUM($EE137:FR137)=1,1,0))))</f>
        <v>0</v>
      </c>
      <c r="FT137" s="14">
        <f>IF(FT$56-Voorblad!$F$41&gt;Voorblad!$K$41,0,IF($U137=0,0,IF($U137&lt;1,1/$U137,IF((FT$56-Voorblad!$F$41)/$U137-SUM($EE137:FS137)=1,1,0))))</f>
        <v>0</v>
      </c>
      <c r="FU137" s="14">
        <f>IF(FU$56-Voorblad!$F$41&gt;Voorblad!$K$41,0,IF($U137=0,0,IF($U137&lt;1,1/$U137,IF((FU$56-Voorblad!$F$41)/$U137-SUM($EE137:FT137)=1,1,0))))</f>
        <v>0</v>
      </c>
      <c r="FV137" s="14">
        <f>IF(FV$56-Voorblad!$F$41&gt;Voorblad!$K$41,0,IF($U137=0,0,IF($U137&lt;1,1/$U137,IF((FV$56-Voorblad!$F$41)/$U137-SUM($EE137:FU137)=1,1,0))))</f>
        <v>0</v>
      </c>
      <c r="FW137" s="14">
        <f>IF(FW$56-Voorblad!$F$41&gt;Voorblad!$K$41,0,IF($U137=0,0,IF($U137&lt;1,1/$U137,IF((FW$56-Voorblad!$F$41)/$U137-SUM($EE137:FV137)=1,1,0))))</f>
        <v>0</v>
      </c>
      <c r="FX137" s="14">
        <f>IF(FX$56-Voorblad!$F$41&gt;Voorblad!$K$41,0,IF($U137=0,0,IF($U137&lt;1,1/$U137,IF((FX$56-Voorblad!$F$41)/$U137-SUM($EE137:FW137)=1,1,0))))</f>
        <v>0</v>
      </c>
      <c r="FY137" s="14">
        <f>IF(FY$56-Voorblad!$F$41&gt;Voorblad!$K$41,0,IF($U137=0,0,IF($U137&lt;1,1/$U137,IF((FY$56-Voorblad!$F$41)/$U137-SUM($EE137:FX137)=1,1,0))))</f>
        <v>0</v>
      </c>
      <c r="FZ137" s="14">
        <f>IF(FZ$56-Voorblad!$F$41&gt;Voorblad!$K$41,0,IF($U137=0,0,IF($U137&lt;1,1/$U137,IF((FZ$56-Voorblad!$F$41)/$U137-SUM($EE137:FY137)=1,1,0))))</f>
        <v>0</v>
      </c>
      <c r="GA137" s="14">
        <f>IF(GA$56-Voorblad!$F$41&gt;Voorblad!$K$41,0,IF($U137=0,0,IF($U137&lt;1,1/$U137,IF((GA$56-Voorblad!$F$41)/$U137-SUM($EE137:FZ137)=1,1,0))))</f>
        <v>0</v>
      </c>
      <c r="GB137" s="14">
        <f>IF(GB$56-Voorblad!$F$41&gt;Voorblad!$K$41,0,IF($U137=0,0,IF($U137&lt;1,1/$U137,IF((GB$56-Voorblad!$F$41)/$U137-SUM($EE137:GA137)=1,1,0))))</f>
        <v>0</v>
      </c>
      <c r="GC137" s="14">
        <f>IF(GC$56-Voorblad!$F$41&gt;Voorblad!$K$41,0,IF($U137=0,0,IF($U137&lt;1,1/$U137,IF((GC$56-Voorblad!$F$41)/$U137-SUM($EE137:GB137)=1,1,0))))</f>
        <v>0</v>
      </c>
      <c r="GD137" s="14">
        <f>IF(GD$56-Voorblad!$F$41&gt;Voorblad!$K$41,0,IF($U137=0,0,IF($U137&lt;1,1/$U137,IF((GD$56-Voorblad!$F$41)/$U137-SUM($EE137:GC137)=1,1,0))))</f>
        <v>1</v>
      </c>
      <c r="GE137" s="14">
        <f>IF(GE$56-Voorblad!$F$41&gt;Voorblad!$K$41,0,IF($U137=0,0,IF($U137&lt;1,1/$U137,IF((GE$56-Voorblad!$F$41)/$U137-SUM($EE137:GD137)=1,1,0))))</f>
        <v>0</v>
      </c>
      <c r="GF137" s="14">
        <f>IF(GF$56-Voorblad!$F$41&gt;Voorblad!$K$41,0,IF($U137=0,0,IF($U137&lt;1,1/$U137,IF((GF$56-Voorblad!$F$41)/$U137-SUM($EE137:GE137)=1,1,0))))</f>
        <v>0</v>
      </c>
      <c r="GG137" s="14">
        <f>IF(GG$56-Voorblad!$F$41&gt;Voorblad!$K$41,0,IF($U137=0,0,IF($U137&lt;1,1/$U137,IF((GG$56-Voorblad!$F$41)/$U137-SUM($EE137:GF137)=1,1,0))))</f>
        <v>0</v>
      </c>
      <c r="GH137" s="14">
        <f>IF(GH$56-Voorblad!$F$41&gt;Voorblad!$K$41,0,IF($U137=0,0,IF($U137&lt;1,1/$U137,IF((GH$56-Voorblad!$F$41)/$U137-SUM($EE137:GG137)=1,1,0))))</f>
        <v>0</v>
      </c>
      <c r="GI137" s="14">
        <f>IF(GI$56-Voorblad!$F$41&gt;Voorblad!$K$41,0,IF($U137=0,0,IF($U137&lt;1,1/$U137,IF((GI$56-Voorblad!$F$41)/$U137-SUM($EE137:GH137)=1,1,0))))</f>
        <v>0</v>
      </c>
      <c r="GJ137" s="14">
        <f>IF(GJ$56-Voorblad!$F$41&gt;Voorblad!$K$41,0,IF($U137=0,0,IF($U137&lt;1,1/$U137,IF((GJ$56-Voorblad!$F$41)/$U137-SUM($EE137:GI137)=1,1,0))))</f>
        <v>0</v>
      </c>
      <c r="GK137" s="14">
        <f>IF(GK$56-Voorblad!$F$41&gt;Voorblad!$K$41,0,IF($U137=0,0,IF($U137&lt;1,1/$U137,IF((GK$56-Voorblad!$F$41)/$U137-SUM($EE137:GJ137)=1,1,0))))</f>
        <v>0</v>
      </c>
      <c r="GL137" s="14">
        <f>IF(GL$56-Voorblad!$F$41&gt;Voorblad!$K$41,0,IF($U137=0,0,IF($U137&lt;1,1/$U137,IF((GL$56-Voorblad!$F$41)/$U137-SUM($EE137:GK137)=1,1,0))))</f>
        <v>0</v>
      </c>
      <c r="GM137" s="14">
        <f>IF(GM$56-Voorblad!$F$41&gt;Voorblad!$K$41,0,IF($U137=0,0,IF($U137&lt;1,1/$U137,IF((GM$56-Voorblad!$F$41)/$U137-SUM($EE137:GL137)=1,1,0))))</f>
        <v>0</v>
      </c>
      <c r="GN137" s="14">
        <f>IF(GN$56-Voorblad!$F$41&gt;Voorblad!$K$41,0,IF($U137=0,0,IF($U137&lt;1,1/$U137,IF((GN$56-Voorblad!$F$41)/$U137-SUM($EE137:GM137)=1,1,0))))</f>
        <v>0</v>
      </c>
      <c r="GO137" s="14">
        <f>IF(GO$56-Voorblad!$F$41&gt;Voorblad!$K$41,0,IF($U137=0,0,IF($U137&lt;1,1/$U137,IF((GO$56-Voorblad!$F$41)/$U137-SUM($EE137:GN137)=1,1,0))))</f>
        <v>0</v>
      </c>
      <c r="GP137" s="14">
        <f>IF(GP$56-Voorblad!$F$41&gt;Voorblad!$K$41,0,IF($U137=0,0,IF($U137&lt;1,1/$U137,IF((GP$56-Voorblad!$F$41)/$U137-SUM($EE137:GO137)=1,1,0))))</f>
        <v>0</v>
      </c>
      <c r="GQ137" s="14">
        <f>IF(GQ$56-Voorblad!$F$41&gt;Voorblad!$K$41,0,IF($U137=0,0,IF($U137&lt;1,1/$U137,IF((GQ$56-Voorblad!$F$41)/$U137-SUM($EE137:GP137)=1,1,0))))</f>
        <v>0</v>
      </c>
      <c r="GR137" s="14">
        <f>IF(GR$56-Voorblad!$F$41&gt;Voorblad!$K$41,0,IF($U137=0,0,IF($U137&lt;1,1/$U137,IF((GR$56-Voorblad!$F$41)/$U137-SUM($EE137:GQ137)=1,1,0))))</f>
        <v>0</v>
      </c>
      <c r="GS137" s="14">
        <f>IF(GS$56-Voorblad!$F$41&gt;Voorblad!$K$41,0,IF($U137=0,0,IF($U137&lt;1,1/$U137,IF((GS$56-Voorblad!$F$41)/$U137-SUM($EE137:GR137)=1,1,0))))</f>
        <v>0</v>
      </c>
      <c r="GT137" s="14">
        <f>IF(GT$56-Voorblad!$F$41&gt;Voorblad!$K$41,0,IF($U137=0,0,IF($U137&lt;1,1/$U137,IF((GT$56-Voorblad!$F$41)/$U137-SUM($EE137:GS137)=1,1,0))))</f>
        <v>0</v>
      </c>
      <c r="GU137" s="14">
        <f>IF(GU$56-Voorblad!$F$41&gt;Voorblad!$K$41,0,IF($U137=0,0,IF($U137&lt;1,1/$U137,IF((GU$56-Voorblad!$F$41)/$U137-SUM($EE137:GT137)=1,1,0))))</f>
        <v>0</v>
      </c>
      <c r="GV137" s="14">
        <f>IF(GV$56-Voorblad!$F$41&gt;Voorblad!$K$41,0,IF($U137=0,0,IF($U137&lt;1,1/$U137,IF((GV$56-Voorblad!$F$41)/$U137-SUM($EE137:GU137)=1,1,0))))</f>
        <v>0</v>
      </c>
      <c r="GW137" s="14">
        <f>IF(GW$56-Voorblad!$F$41&gt;Voorblad!$K$41,0,IF($U137=0,0,IF($U137&lt;1,1/$U137,IF((GW$56-Voorblad!$F$41)/$U137-SUM($EE137:GV137)=1,1,0))))</f>
        <v>0</v>
      </c>
      <c r="GX137" s="14">
        <f>IF(GX$56-Voorblad!$F$41&gt;Voorblad!$K$41,0,IF($U137=0,0,IF($U137&lt;1,1/$U137,IF((GX$56-Voorblad!$F$41)/$U137-SUM($EE137:GW137)=1,1,0))))</f>
        <v>0</v>
      </c>
      <c r="GY137" s="14">
        <f>IF(GY$56-Voorblad!$F$41&gt;Voorblad!$K$41,0,IF($U137=0,0,IF($U137&lt;1,1/$U137,IF((GY$56-Voorblad!$F$41)/$U137-SUM($EE137:GX137)=1,1,0))))</f>
        <v>0</v>
      </c>
      <c r="GZ137" s="14">
        <f>IF(GZ$56-Voorblad!$F$41&gt;Voorblad!$K$41,0,IF($U137=0,0,IF($U137&lt;1,1/$U137,IF((GZ$56-Voorblad!$F$41)/$U137-SUM($EE137:GY137)=1,1,0))))</f>
        <v>0</v>
      </c>
      <c r="HA137" s="14">
        <f>IF(HA$56-Voorblad!$F$41&gt;Voorblad!$K$41,0,IF($U137=0,0,IF($U137&lt;1,1/$U137,IF((HA$56-Voorblad!$F$41)/$U137-SUM($EE137:GZ137)=1,1,0))))</f>
        <v>0</v>
      </c>
      <c r="HB137" s="14">
        <f>IF(HB$56-Voorblad!$F$41&gt;Voorblad!$K$41,0,IF($U137=0,0,IF($U137&lt;1,1/$U137,IF((HB$56-Voorblad!$F$41)/$U137-SUM($EE137:HA137)=1,1,0))))</f>
        <v>0</v>
      </c>
      <c r="HC137" s="14">
        <f>IF(HC$56-Voorblad!$F$41&gt;Voorblad!$K$41,0,IF($U137=0,0,IF($U137&lt;1,1/$U137,IF((HC$56-Voorblad!$F$41)/$U137-SUM($EE137:HB137)=1,1,0))))</f>
        <v>0</v>
      </c>
      <c r="HD137" s="14">
        <f>IF(HD$56-Voorblad!$F$41&gt;Voorblad!$K$41,0,IF($U137=0,0,IF($U137&lt;1,1/$U137,IF((HD$56-Voorblad!$F$41)/$U137-SUM($EE137:HC137)=1,1,0))))</f>
        <v>0</v>
      </c>
      <c r="HE137" s="14">
        <f>IF(HE$56-Voorblad!$F$41&gt;Voorblad!$K$41,0,IF($U137=0,0,IF($U137&lt;1,1/$U137,IF((HE$56-Voorblad!$F$41)/$U137-SUM($EE137:HD137)=1,1,0))))</f>
        <v>0</v>
      </c>
      <c r="HF137" s="14">
        <f>IF(HF$56-Voorblad!$F$41&gt;Voorblad!$K$41,0,IF($U137=0,0,IF($U137&lt;1,1/$U137,IF((HF$56-Voorblad!$F$41)/$U137-SUM($EE137:HE137)=1,1,0))))</f>
        <v>0</v>
      </c>
      <c r="HG137" s="14">
        <f>IF(HG$56-Voorblad!$F$41&gt;Voorblad!$K$41,0,IF($U137=0,0,IF($U137&lt;1,1/$U137,IF((HG$56-Voorblad!$F$41)/$U137-SUM($EE137:HF137)=1,1,0))))</f>
        <v>0</v>
      </c>
      <c r="HH137" s="14">
        <f>IF(HH$56-Voorblad!$F$41&gt;Voorblad!$K$41,0,IF($U137=0,0,IF($U137&lt;1,1/$U137,IF((HH$56-Voorblad!$F$41)/$U137-SUM($EE137:HG137)=1,1,0))))</f>
        <v>0</v>
      </c>
      <c r="HI137" s="14">
        <f>IF(HI$56-Voorblad!$F$41&gt;Voorblad!$K$41,0,IF($U137=0,0,IF($U137&lt;1,1/$U137,IF((HI$56-Voorblad!$F$41)/$U137-SUM($EE137:HH137)=1,1,0))))</f>
        <v>0</v>
      </c>
      <c r="HJ137" s="14">
        <f>IF(HJ$56-Voorblad!$F$41&gt;Voorblad!$K$41,0,IF($U137=0,0,IF($U137&lt;1,1/$U137,IF((HJ$56-Voorblad!$F$41)/$U137-SUM($EE137:HI137)=1,1,0))))</f>
        <v>0</v>
      </c>
      <c r="HK137" s="14">
        <f>IF(HK$56-Voorblad!$F$41&gt;Voorblad!$K$41,0,IF($U137=0,0,IF($U137&lt;1,1/$U137,IF((HK$56-Voorblad!$F$41)/$U137-SUM($EE137:HJ137)=1,1,0))))</f>
        <v>0</v>
      </c>
      <c r="HL137" s="14">
        <f>IF(HL$56-Voorblad!$F$41&gt;Voorblad!$K$41,0,IF($U137=0,0,IF($U137&lt;1,1/$U137,IF((HL$56-Voorblad!$F$41)/$U137-SUM($EE137:HK137)=1,1,0))))</f>
        <v>0</v>
      </c>
      <c r="HM137" s="14">
        <f>IF(HM$56-Voorblad!$F$41&gt;Voorblad!$K$41,0,IF($U137=0,0,IF($U137&lt;1,1/$U137,IF((HM$56-Voorblad!$F$41)/$U137-SUM($EE137:HL137)=1,1,0))))</f>
        <v>0</v>
      </c>
      <c r="HN137" s="14">
        <f>IF(HN$56-Voorblad!$F$41&gt;Voorblad!$K$41,0,IF($U137=0,0,IF($U137&lt;1,1/$U137,IF((HN$56-Voorblad!$F$41)/$U137-SUM($EE137:HM137)=1,1,0))))</f>
        <v>0</v>
      </c>
      <c r="HO137" s="14">
        <f>IF(HO$56-Voorblad!$F$41&gt;Voorblad!$K$41,0,IF($U137=0,0,IF($U137&lt;1,1/$U137,IF((HO$56-Voorblad!$F$41)/$U137-SUM($EE137:HN137)=1,1,0))))</f>
        <v>0</v>
      </c>
      <c r="HP137" s="14">
        <f>IF(HP$56-Voorblad!$F$41&gt;Voorblad!$K$41,0,IF($U137=0,0,IF($U137&lt;1,1/$U137,IF((HP$56-Voorblad!$F$41)/$U137-SUM($EE137:HO137)=1,1,0))))</f>
        <v>0</v>
      </c>
      <c r="HQ137" s="14">
        <f>IF(HQ$56-Voorblad!$F$41&gt;Voorblad!$K$41,0,IF($U137=0,0,IF($U137&lt;1,1/$U137,IF((HQ$56-Voorblad!$F$41)/$U137-SUM($EE137:HP137)=1,1,0))))</f>
        <v>0</v>
      </c>
      <c r="HR137" s="14">
        <f>IF(HR$56-Voorblad!$F$41&gt;Voorblad!$K$41,0,IF($U137=0,0,IF($U137&lt;1,1/$U137,IF((HR$56-Voorblad!$F$41)/$U137-SUM($EE137:HQ137)=1,1,0))))</f>
        <v>0</v>
      </c>
      <c r="HS137" s="14">
        <f>IF(HS$56-Voorblad!$F$41&gt;Voorblad!$K$41,0,IF($U137=0,0,IF($U137&lt;1,1/$U137,IF((HS$56-Voorblad!$F$41)/$U137-SUM($EE137:HR137)=1,1,0))))</f>
        <v>0</v>
      </c>
      <c r="HT137" s="14">
        <f>IF(HT$56-Voorblad!$F$41&gt;Voorblad!$K$41,0,IF($U137=0,0,IF($U137&lt;1,1/$U137,IF((HT$56-Voorblad!$F$41)/$U137-SUM($EE137:HS137)=1,1,0))))</f>
        <v>0</v>
      </c>
      <c r="HU137" s="14">
        <f>IF(HU$56-Voorblad!$F$41&gt;Voorblad!$K$41,0,IF($U137=0,0,IF($U137&lt;1,1/$U137,IF((HU$56-Voorblad!$F$41)/$U137-SUM($EE137:HT137)=1,1,0))))</f>
        <v>0</v>
      </c>
      <c r="HV137" s="14">
        <f>IF(HV$56-Voorblad!$F$41&gt;Voorblad!$K$41,0,IF($U137=0,0,IF($U137&lt;1,1/$U137,IF((HV$56-Voorblad!$F$41)/$U137-SUM($EE137:HU137)=1,1,0))))</f>
        <v>0</v>
      </c>
      <c r="HW137" s="14">
        <f>IF(HW$56-Voorblad!$F$41&gt;Voorblad!$K$41,0,IF($U137=0,0,IF($U137&lt;1,1/$U137,IF((HW$56-Voorblad!$F$41)/$U137-SUM($EE137:HV137)=1,1,0))))</f>
        <v>0</v>
      </c>
      <c r="HX137" s="14">
        <f>IF(HX$56-Voorblad!$F$41&gt;Voorblad!$K$41,0,IF($U137=0,0,IF($U137&lt;1,1/$U137,IF((HX$56-Voorblad!$F$41)/$U137-SUM($EE137:HW137)=1,1,0))))</f>
        <v>0</v>
      </c>
      <c r="HY137" s="14">
        <f>IF(HY$56-Voorblad!$F$41&gt;Voorblad!$K$41,0,IF($U137=0,0,IF($U137&lt;1,1/$U137,IF((HY$56-Voorblad!$F$41)/$U137-SUM($EE137:HX137)=1,1,0))))</f>
        <v>0</v>
      </c>
      <c r="HZ137" s="14">
        <f>IF(HZ$56-Voorblad!$F$41&gt;Voorblad!$K$41,0,IF($U137=0,0,IF($U137&lt;1,1/$U137,IF((HZ$56-Voorblad!$F$41)/$U137-SUM($EE137:HY137)=1,1,0))))</f>
        <v>0</v>
      </c>
      <c r="IA137" s="14">
        <f>IF(IA$56-Voorblad!$F$41&gt;Voorblad!$K$41,0,IF($U137=0,0,IF($U137&lt;1,1/$U137,IF((IA$56-Voorblad!$F$41)/$U137-SUM($EE137:HZ137)=1,1,0))))</f>
        <v>0</v>
      </c>
      <c r="IB137" s="14">
        <f>IF(IB$56-Voorblad!$F$41&gt;Voorblad!$K$41,0,IF($U137=0,0,IF($U137&lt;1,1/$U137,IF((IB$56-Voorblad!$F$41)/$U137-SUM($EE137:IA137)=1,1,0))))</f>
        <v>0</v>
      </c>
    </row>
    <row r="138" spans="2:236" ht="12" customHeight="1" outlineLevel="1" x14ac:dyDescent="0.25">
      <c r="B138" s="1">
        <v>1</v>
      </c>
      <c r="F138" s="1" t="s">
        <v>23</v>
      </c>
      <c r="I138" s="1" t="s">
        <v>49</v>
      </c>
      <c r="K138" s="14" t="s">
        <v>204</v>
      </c>
      <c r="Q138" s="81">
        <v>0</v>
      </c>
      <c r="R138" s="1" t="s">
        <v>35</v>
      </c>
      <c r="S138" s="14">
        <f>$H$10*2000</f>
        <v>4760</v>
      </c>
      <c r="T138" s="1">
        <f t="shared" si="104"/>
        <v>0</v>
      </c>
      <c r="U138" s="14">
        <v>50</v>
      </c>
      <c r="V138" s="14"/>
      <c r="Y138" s="9">
        <f t="shared" si="107"/>
        <v>0</v>
      </c>
      <c r="Z138" s="82"/>
      <c r="AA138" s="82"/>
      <c r="AC138" s="9">
        <f>$Y138*(Voorblad!$K$44*(1+Voorblad!$K$44)^Voorblad!$K$41)/((1+Voorblad!$K$44)^Voorblad!$K$41-1)</f>
        <v>0</v>
      </c>
      <c r="AE138" s="9">
        <f>EF138*($Q138*$S138)/(1+Voorblad!$K$44)^(AE$56-Voorblad!$F$41)</f>
        <v>0</v>
      </c>
      <c r="AF138" s="9">
        <f>EG138*($Q138*$S138)/(1+Voorblad!$K$44)^(AF$56-Voorblad!$F$41)</f>
        <v>0</v>
      </c>
      <c r="AG138" s="9">
        <f>EH138*($Q138*$S138)/(1+Voorblad!$K$44)^(AG$56-Voorblad!$F$41)</f>
        <v>0</v>
      </c>
      <c r="AH138" s="9">
        <f>EI138*($Q138*$S138)/(1+Voorblad!$K$44)^(AH$56-Voorblad!$F$41)</f>
        <v>0</v>
      </c>
      <c r="AI138" s="9">
        <f>EJ138*($Q138*$S138)/(1+Voorblad!$K$44)^(AI$56-Voorblad!$F$41)</f>
        <v>0</v>
      </c>
      <c r="AJ138" s="9">
        <f>EK138*($Q138*$S138)/(1+Voorblad!$K$44)^(AJ$56-Voorblad!$F$41)</f>
        <v>0</v>
      </c>
      <c r="AK138" s="9">
        <f>EL138*($Q138*$S138)/(1+Voorblad!$K$44)^(AK$56-Voorblad!$F$41)</f>
        <v>0</v>
      </c>
      <c r="AL138" s="9">
        <f>EM138*($Q138*$S138)/(1+Voorblad!$K$44)^(AL$56-Voorblad!$F$41)</f>
        <v>0</v>
      </c>
      <c r="AM138" s="9">
        <f>EN138*($Q138*$S138)/(1+Voorblad!$K$44)^(AM$56-Voorblad!$F$41)</f>
        <v>0</v>
      </c>
      <c r="AN138" s="9">
        <f>EO138*($Q138*$S138)/(1+Voorblad!$K$44)^(AN$56-Voorblad!$F$41)</f>
        <v>0</v>
      </c>
      <c r="AO138" s="9">
        <f>EP138*($Q138*$S138)/(1+Voorblad!$K$44)^(AO$56-Voorblad!$F$41)</f>
        <v>0</v>
      </c>
      <c r="AP138" s="9">
        <f>EQ138*($Q138*$S138)/(1+Voorblad!$K$44)^(AP$56-Voorblad!$F$41)</f>
        <v>0</v>
      </c>
      <c r="AQ138" s="9">
        <f>ER138*($Q138*$S138)/(1+Voorblad!$K$44)^(AQ$56-Voorblad!$F$41)</f>
        <v>0</v>
      </c>
      <c r="AR138" s="9">
        <f>ES138*($Q138*$S138)/(1+Voorblad!$K$44)^(AR$56-Voorblad!$F$41)</f>
        <v>0</v>
      </c>
      <c r="AS138" s="9">
        <f>ET138*($Q138*$S138)/(1+Voorblad!$K$44)^(AS$56-Voorblad!$F$41)</f>
        <v>0</v>
      </c>
      <c r="AT138" s="9">
        <f>EU138*($Q138*$S138)/(1+Voorblad!$K$44)^(AT$56-Voorblad!$F$41)</f>
        <v>0</v>
      </c>
      <c r="AU138" s="9">
        <f>EV138*($Q138*$S138)/(1+Voorblad!$K$44)^(AU$56-Voorblad!$F$41)</f>
        <v>0</v>
      </c>
      <c r="AV138" s="9">
        <f>EW138*($Q138*$S138)/(1+Voorblad!$K$44)^(AV$56-Voorblad!$F$41)</f>
        <v>0</v>
      </c>
      <c r="AW138" s="9">
        <f>EX138*($Q138*$S138)/(1+Voorblad!$K$44)^(AW$56-Voorblad!$F$41)</f>
        <v>0</v>
      </c>
      <c r="AX138" s="9">
        <f>EY138*($Q138*$S138)/(1+Voorblad!$K$44)^(AX$56-Voorblad!$F$41)</f>
        <v>0</v>
      </c>
      <c r="AY138" s="9">
        <f>EZ138*($Q138*$S138)/(1+Voorblad!$K$44)^(AY$56-Voorblad!$F$41)</f>
        <v>0</v>
      </c>
      <c r="AZ138" s="9">
        <f>FA138*($Q138*$S138)/(1+Voorblad!$K$44)^(AZ$56-Voorblad!$F$41)</f>
        <v>0</v>
      </c>
      <c r="BA138" s="9">
        <f>FB138*($Q138*$S138)/(1+Voorblad!$K$44)^(BA$56-Voorblad!$F$41)</f>
        <v>0</v>
      </c>
      <c r="BB138" s="9">
        <f>FC138*($Q138*$S138)/(1+Voorblad!$K$44)^(BB$56-Voorblad!$F$41)</f>
        <v>0</v>
      </c>
      <c r="BC138" s="9">
        <f>FD138*($Q138*$S138)/(1+Voorblad!$K$44)^(BC$56-Voorblad!$F$41)</f>
        <v>0</v>
      </c>
      <c r="BD138" s="9">
        <f>FE138*($Q138*$S138)/(1+Voorblad!$K$44)^(BD$56-Voorblad!$F$41)</f>
        <v>0</v>
      </c>
      <c r="BE138" s="9">
        <f>FF138*($Q138*$S138)/(1+Voorblad!$K$44)^(BE$56-Voorblad!$F$41)</f>
        <v>0</v>
      </c>
      <c r="BF138" s="9">
        <f>FG138*($Q138*$S138)/(1+Voorblad!$K$44)^(BF$56-Voorblad!$F$41)</f>
        <v>0</v>
      </c>
      <c r="BG138" s="9">
        <f>FH138*($Q138*$S138)/(1+Voorblad!$K$44)^(BG$56-Voorblad!$F$41)</f>
        <v>0</v>
      </c>
      <c r="BH138" s="9">
        <f>FI138*($Q138*$S138)/(1+Voorblad!$K$44)^(BH$56-Voorblad!$F$41)</f>
        <v>0</v>
      </c>
      <c r="BI138" s="9">
        <f>FJ138*($Q138*$S138)/(1+Voorblad!$K$44)^(BI$56-Voorblad!$F$41)</f>
        <v>0</v>
      </c>
      <c r="BJ138" s="9">
        <f>FK138*($Q138*$S138)/(1+Voorblad!$K$44)^(BJ$56-Voorblad!$F$41)</f>
        <v>0</v>
      </c>
      <c r="BK138" s="9">
        <f>FL138*($Q138*$S138)/(1+Voorblad!$K$44)^(BK$56-Voorblad!$F$41)</f>
        <v>0</v>
      </c>
      <c r="BL138" s="9">
        <f>FM138*($Q138*$S138)/(1+Voorblad!$K$44)^(BL$56-Voorblad!$F$41)</f>
        <v>0</v>
      </c>
      <c r="BM138" s="9">
        <f>FN138*($Q138*$S138)/(1+Voorblad!$K$44)^(BM$56-Voorblad!$F$41)</f>
        <v>0</v>
      </c>
      <c r="BN138" s="9">
        <f>FO138*($Q138*$S138)/(1+Voorblad!$K$44)^(BN$56-Voorblad!$F$41)</f>
        <v>0</v>
      </c>
      <c r="BO138" s="9">
        <f>FP138*($Q138*$S138)/(1+Voorblad!$K$44)^(BO$56-Voorblad!$F$41)</f>
        <v>0</v>
      </c>
      <c r="BP138" s="9">
        <f>FQ138*($Q138*$S138)/(1+Voorblad!$K$44)^(BP$56-Voorblad!$F$41)</f>
        <v>0</v>
      </c>
      <c r="BQ138" s="9">
        <f>FR138*($Q138*$S138)/(1+Voorblad!$K$44)^(BQ$56-Voorblad!$F$41)</f>
        <v>0</v>
      </c>
      <c r="BR138" s="9">
        <f>FS138*($Q138*$S138)/(1+Voorblad!$K$44)^(BR$56-Voorblad!$F$41)</f>
        <v>0</v>
      </c>
      <c r="BS138" s="9">
        <f>FT138*($Q138*$S138)/(1+Voorblad!$K$44)^(BS$56-Voorblad!$F$41)</f>
        <v>0</v>
      </c>
      <c r="BT138" s="9">
        <f>FU138*($Q138*$S138)/(1+Voorblad!$K$44)^(BT$56-Voorblad!$F$41)</f>
        <v>0</v>
      </c>
      <c r="BU138" s="9">
        <f>FV138*($Q138*$S138)/(1+Voorblad!$K$44)^(BU$56-Voorblad!$F$41)</f>
        <v>0</v>
      </c>
      <c r="BV138" s="9">
        <f>FW138*($Q138*$S138)/(1+Voorblad!$K$44)^(BV$56-Voorblad!$F$41)</f>
        <v>0</v>
      </c>
      <c r="BW138" s="9">
        <f>FX138*($Q138*$S138)/(1+Voorblad!$K$44)^(BW$56-Voorblad!$F$41)</f>
        <v>0</v>
      </c>
      <c r="BX138" s="9">
        <f>FY138*($Q138*$S138)/(1+Voorblad!$K$44)^(BX$56-Voorblad!$F$41)</f>
        <v>0</v>
      </c>
      <c r="BY138" s="9">
        <f>FZ138*($Q138*$S138)/(1+Voorblad!$K$44)^(BY$56-Voorblad!$F$41)</f>
        <v>0</v>
      </c>
      <c r="BZ138" s="9">
        <f>GA138*($Q138*$S138)/(1+Voorblad!$K$44)^(BZ$56-Voorblad!$F$41)</f>
        <v>0</v>
      </c>
      <c r="CA138" s="9">
        <f>GB138*($Q138*$S138)/(1+Voorblad!$K$44)^(CA$56-Voorblad!$F$41)</f>
        <v>0</v>
      </c>
      <c r="CB138" s="9">
        <f>GC138*($Q138*$S138)/(1+Voorblad!$K$44)^(CB$56-Voorblad!$F$41)</f>
        <v>0</v>
      </c>
      <c r="CC138" s="9">
        <f>GD138*($Q138*$S138)/(1+Voorblad!$K$44)^(CC$56-Voorblad!$F$41)</f>
        <v>0</v>
      </c>
      <c r="CD138" s="9">
        <f>GE138*($Q138*$S138)/(1+Voorblad!$K$44)^(CD$56-Voorblad!$F$41)</f>
        <v>0</v>
      </c>
      <c r="CE138" s="9">
        <f>GF138*($Q138*$S138)/(1+Voorblad!$K$44)^(CE$56-Voorblad!$F$41)</f>
        <v>0</v>
      </c>
      <c r="CF138" s="9">
        <f>GG138*($Q138*$S138)/(1+Voorblad!$K$44)^(CF$56-Voorblad!$F$41)</f>
        <v>0</v>
      </c>
      <c r="CG138" s="9">
        <f>GH138*($Q138*$S138)/(1+Voorblad!$K$44)^(CG$56-Voorblad!$F$41)</f>
        <v>0</v>
      </c>
      <c r="CH138" s="9">
        <f>GI138*($Q138*$S138)/(1+Voorblad!$K$44)^(CH$56-Voorblad!$F$41)</f>
        <v>0</v>
      </c>
      <c r="CI138" s="9">
        <f>GJ138*($Q138*$S138)/(1+Voorblad!$K$44)^(CI$56-Voorblad!$F$41)</f>
        <v>0</v>
      </c>
      <c r="CJ138" s="9">
        <f>GK138*($Q138*$S138)/(1+Voorblad!$K$44)^(CJ$56-Voorblad!$F$41)</f>
        <v>0</v>
      </c>
      <c r="CK138" s="9">
        <f>GL138*($Q138*$S138)/(1+Voorblad!$K$44)^(CK$56-Voorblad!$F$41)</f>
        <v>0</v>
      </c>
      <c r="CL138" s="9">
        <f>GM138*($Q138*$S138)/(1+Voorblad!$K$44)^(CL$56-Voorblad!$F$41)</f>
        <v>0</v>
      </c>
      <c r="CM138" s="9">
        <f>GN138*($Q138*$S138)/(1+Voorblad!$K$44)^(CM$56-Voorblad!$F$41)</f>
        <v>0</v>
      </c>
      <c r="CN138" s="9">
        <f>GO138*($Q138*$S138)/(1+Voorblad!$K$44)^(CN$56-Voorblad!$F$41)</f>
        <v>0</v>
      </c>
      <c r="CO138" s="9">
        <f>GP138*($Q138*$S138)/(1+Voorblad!$K$44)^(CO$56-Voorblad!$F$41)</f>
        <v>0</v>
      </c>
      <c r="CP138" s="9">
        <f>GQ138*($Q138*$S138)/(1+Voorblad!$K$44)^(CP$56-Voorblad!$F$41)</f>
        <v>0</v>
      </c>
      <c r="CQ138" s="9">
        <f>GR138*($Q138*$S138)/(1+Voorblad!$K$44)^(CQ$56-Voorblad!$F$41)</f>
        <v>0</v>
      </c>
      <c r="CR138" s="9">
        <f>GS138*($Q138*$S138)/(1+Voorblad!$K$44)^(CR$56-Voorblad!$F$41)</f>
        <v>0</v>
      </c>
      <c r="CS138" s="9">
        <f>GT138*($Q138*$S138)/(1+Voorblad!$K$44)^(CS$56-Voorblad!$F$41)</f>
        <v>0</v>
      </c>
      <c r="CT138" s="9">
        <f>GU138*($Q138*$S138)/(1+Voorblad!$K$44)^(CT$56-Voorblad!$F$41)</f>
        <v>0</v>
      </c>
      <c r="CU138" s="9">
        <f>GV138*($Q138*$S138)/(1+Voorblad!$K$44)^(CU$56-Voorblad!$F$41)</f>
        <v>0</v>
      </c>
      <c r="CV138" s="9">
        <f>GW138*($Q138*$S138)/(1+Voorblad!$K$44)^(CV$56-Voorblad!$F$41)</f>
        <v>0</v>
      </c>
      <c r="CW138" s="9">
        <f>GX138*($Q138*$S138)/(1+Voorblad!$K$44)^(CW$56-Voorblad!$F$41)</f>
        <v>0</v>
      </c>
      <c r="CX138" s="9">
        <f>GY138*($Q138*$S138)/(1+Voorblad!$K$44)^(CX$56-Voorblad!$F$41)</f>
        <v>0</v>
      </c>
      <c r="CY138" s="9">
        <f>GZ138*($Q138*$S138)/(1+Voorblad!$K$44)^(CY$56-Voorblad!$F$41)</f>
        <v>0</v>
      </c>
      <c r="CZ138" s="9">
        <f>HA138*($Q138*$S138)/(1+Voorblad!$K$44)^(CZ$56-Voorblad!$F$41)</f>
        <v>0</v>
      </c>
      <c r="DA138" s="9">
        <f>HB138*($Q138*$S138)/(1+Voorblad!$K$44)^(DA$56-Voorblad!$F$41)</f>
        <v>0</v>
      </c>
      <c r="DB138" s="9">
        <f>HC138*($Q138*$S138)/(1+Voorblad!$K$44)^(DB$56-Voorblad!$F$41)</f>
        <v>0</v>
      </c>
      <c r="DC138" s="9">
        <f>HD138*($Q138*$S138)/(1+Voorblad!$K$44)^(DC$56-Voorblad!$F$41)</f>
        <v>0</v>
      </c>
      <c r="DD138" s="9">
        <f>HE138*($Q138*$S138)/(1+Voorblad!$K$44)^(DD$56-Voorblad!$F$41)</f>
        <v>0</v>
      </c>
      <c r="DE138" s="9">
        <f>HF138*($Q138*$S138)/(1+Voorblad!$K$44)^(DE$56-Voorblad!$F$41)</f>
        <v>0</v>
      </c>
      <c r="DF138" s="9">
        <f>HG138*($Q138*$S138)/(1+Voorblad!$K$44)^(DF$56-Voorblad!$F$41)</f>
        <v>0</v>
      </c>
      <c r="DG138" s="9">
        <f>HH138*($Q138*$S138)/(1+Voorblad!$K$44)^(DG$56-Voorblad!$F$41)</f>
        <v>0</v>
      </c>
      <c r="DH138" s="9">
        <f>HI138*($Q138*$S138)/(1+Voorblad!$K$44)^(DH$56-Voorblad!$F$41)</f>
        <v>0</v>
      </c>
      <c r="DI138" s="9">
        <f>HJ138*($Q138*$S138)/(1+Voorblad!$K$44)^(DI$56-Voorblad!$F$41)</f>
        <v>0</v>
      </c>
      <c r="DJ138" s="9">
        <f>HK138*($Q138*$S138)/(1+Voorblad!$K$44)^(DJ$56-Voorblad!$F$41)</f>
        <v>0</v>
      </c>
      <c r="DK138" s="9">
        <f>HL138*($Q138*$S138)/(1+Voorblad!$K$44)^(DK$56-Voorblad!$F$41)</f>
        <v>0</v>
      </c>
      <c r="DL138" s="9">
        <f>HM138*($Q138*$S138)/(1+Voorblad!$K$44)^(DL$56-Voorblad!$F$41)</f>
        <v>0</v>
      </c>
      <c r="DM138" s="9">
        <f>HN138*($Q138*$S138)/(1+Voorblad!$K$44)^(DM$56-Voorblad!$F$41)</f>
        <v>0</v>
      </c>
      <c r="DN138" s="9">
        <f>HO138*($Q138*$S138)/(1+Voorblad!$K$44)^(DN$56-Voorblad!$F$41)</f>
        <v>0</v>
      </c>
      <c r="DO138" s="9">
        <f>HP138*($Q138*$S138)/(1+Voorblad!$K$44)^(DO$56-Voorblad!$F$41)</f>
        <v>0</v>
      </c>
      <c r="DP138" s="9">
        <f>HQ138*($Q138*$S138)/(1+Voorblad!$K$44)^(DP$56-Voorblad!$F$41)</f>
        <v>0</v>
      </c>
      <c r="DQ138" s="9">
        <f>HR138*($Q138*$S138)/(1+Voorblad!$K$44)^(DQ$56-Voorblad!$F$41)</f>
        <v>0</v>
      </c>
      <c r="DR138" s="9">
        <f>HS138*($Q138*$S138)/(1+Voorblad!$K$44)^(DR$56-Voorblad!$F$41)</f>
        <v>0</v>
      </c>
      <c r="DS138" s="9">
        <f>HT138*($Q138*$S138)/(1+Voorblad!$K$44)^(DS$56-Voorblad!$F$41)</f>
        <v>0</v>
      </c>
      <c r="DT138" s="9">
        <f>HU138*($Q138*$S138)/(1+Voorblad!$K$44)^(DT$56-Voorblad!$F$41)</f>
        <v>0</v>
      </c>
      <c r="DU138" s="9">
        <f>HV138*($Q138*$S138)/(1+Voorblad!$K$44)^(DU$56-Voorblad!$F$41)</f>
        <v>0</v>
      </c>
      <c r="DV138" s="9">
        <f>HW138*($Q138*$S138)/(1+Voorblad!$K$44)^(DV$56-Voorblad!$F$41)</f>
        <v>0</v>
      </c>
      <c r="DW138" s="9">
        <f>HX138*($Q138*$S138)/(1+Voorblad!$K$44)^(DW$56-Voorblad!$F$41)</f>
        <v>0</v>
      </c>
      <c r="DX138" s="9">
        <f>HY138*($Q138*$S138)/(1+Voorblad!$K$44)^(DX$56-Voorblad!$F$41)</f>
        <v>0</v>
      </c>
      <c r="DY138" s="9">
        <f>HZ138*($Q138*$S138)/(1+Voorblad!$K$44)^(DY$56-Voorblad!$F$41)</f>
        <v>0</v>
      </c>
      <c r="DZ138" s="9">
        <f>IA138*($Q138*$S138)/(1+Voorblad!$K$44)^(DZ$56-Voorblad!$F$41)</f>
        <v>0</v>
      </c>
      <c r="EA138" s="9">
        <f>IB138*($Q138*$S138)/(1+Voorblad!$K$44)^(EA$56-Voorblad!$F$41)</f>
        <v>0</v>
      </c>
      <c r="EB138" s="9">
        <f>IC138*($Q138*$S138)/(1+Voorblad!$K$44)^(EB$56-Voorblad!$F$41)</f>
        <v>0</v>
      </c>
      <c r="EE138" s="8">
        <v>0</v>
      </c>
      <c r="EF138" s="8">
        <f>IF(EF$56-Voorblad!$F$41&gt;Voorblad!$K$41,0,IF($U138=0,0,IF($U138&lt;1,1/$U138,IF((EF$56-Voorblad!$F$41)/$U138-SUM($EE138:EE138)=1,1,0))))</f>
        <v>0</v>
      </c>
      <c r="EG138" s="8">
        <f>IF(EG$56-Voorblad!$F$41&gt;Voorblad!$K$41,0,IF($U138=0,0,IF($U138&lt;1,1/$U138,IF((EG$56-Voorblad!$F$41)/$U138-SUM($EE138:EF138)=1,1,0))))</f>
        <v>0</v>
      </c>
      <c r="EH138" s="8">
        <f>IF(EH$56-Voorblad!$F$41&gt;Voorblad!$K$41,0,IF($U138=0,0,IF($U138&lt;1,1/$U138,IF((EH$56-Voorblad!$F$41)/$U138-SUM($EE138:EG138)=1,1,0))))</f>
        <v>0</v>
      </c>
      <c r="EI138" s="8">
        <f>IF(EI$56-Voorblad!$F$41&gt;Voorblad!$K$41,0,IF($U138=0,0,IF($U138&lt;1,1/$U138,IF((EI$56-Voorblad!$F$41)/$U138-SUM($EE138:EH138)=1,1,0))))</f>
        <v>0</v>
      </c>
      <c r="EJ138" s="8">
        <f>IF(EJ$56-Voorblad!$F$41&gt;Voorblad!$K$41,0,IF($U138=0,0,IF($U138&lt;1,1/$U138,IF((EJ$56-Voorblad!$F$41)/$U138-SUM($EE138:EI138)=1,1,0))))</f>
        <v>0</v>
      </c>
      <c r="EK138" s="8">
        <f>IF(EK$56-Voorblad!$F$41&gt;Voorblad!$K$41,0,IF($U138=0,0,IF($U138&lt;1,1/$U138,IF((EK$56-Voorblad!$F$41)/$U138-SUM($EE138:EJ138)=1,1,0))))</f>
        <v>0</v>
      </c>
      <c r="EL138" s="8">
        <f>IF(EL$56-Voorblad!$F$41&gt;Voorblad!$K$41,0,IF($U138=0,0,IF($U138&lt;1,1/$U138,IF((EL$56-Voorblad!$F$41)/$U138-SUM($EE138:EK138)=1,1,0))))</f>
        <v>0</v>
      </c>
      <c r="EM138" s="8">
        <f>IF(EM$56-Voorblad!$F$41&gt;Voorblad!$K$41,0,IF($U138=0,0,IF($U138&lt;1,1/$U138,IF((EM$56-Voorblad!$F$41)/$U138-SUM($EE138:EL138)=1,1,0))))</f>
        <v>0</v>
      </c>
      <c r="EN138" s="8">
        <f>IF(EN$56-Voorblad!$F$41&gt;Voorblad!$K$41,0,IF($U138=0,0,IF($U138&lt;1,1/$U138,IF((EN$56-Voorblad!$F$41)/$U138-SUM($EE138:EM138)=1,1,0))))</f>
        <v>0</v>
      </c>
      <c r="EO138" s="8">
        <f>IF(EO$56-Voorblad!$F$41&gt;Voorblad!$K$41,0,IF($U138=0,0,IF($U138&lt;1,1/$U138,IF((EO$56-Voorblad!$F$41)/$U138-SUM($EE138:EN138)=1,1,0))))</f>
        <v>0</v>
      </c>
      <c r="EP138" s="8">
        <f>IF(EP$56-Voorblad!$F$41&gt;Voorblad!$K$41,0,IF($U138=0,0,IF($U138&lt;1,1/$U138,IF((EP$56-Voorblad!$F$41)/$U138-SUM($EE138:EO138)=1,1,0))))</f>
        <v>0</v>
      </c>
      <c r="EQ138" s="8">
        <f>IF(EQ$56-Voorblad!$F$41&gt;Voorblad!$K$41,0,IF($U138=0,0,IF($U138&lt;1,1/$U138,IF((EQ$56-Voorblad!$F$41)/$U138-SUM($EE138:EP138)=1,1,0))))</f>
        <v>0</v>
      </c>
      <c r="ER138" s="8">
        <f>IF(ER$56-Voorblad!$F$41&gt;Voorblad!$K$41,0,IF($U138=0,0,IF($U138&lt;1,1/$U138,IF((ER$56-Voorblad!$F$41)/$U138-SUM($EE138:EQ138)=1,1,0))))</f>
        <v>0</v>
      </c>
      <c r="ES138" s="8">
        <f>IF(ES$56-Voorblad!$F$41&gt;Voorblad!$K$41,0,IF($U138=0,0,IF($U138&lt;1,1/$U138,IF((ES$56-Voorblad!$F$41)/$U138-SUM($EE138:ER138)=1,1,0))))</f>
        <v>0</v>
      </c>
      <c r="ET138" s="8">
        <f>IF(ET$56-Voorblad!$F$41&gt;Voorblad!$K$41,0,IF($U138=0,0,IF($U138&lt;1,1/$U138,IF((ET$56-Voorblad!$F$41)/$U138-SUM($EE138:ES138)=1,1,0))))</f>
        <v>0</v>
      </c>
      <c r="EU138" s="8">
        <f>IF(EU$56-Voorblad!$F$41&gt;Voorblad!$K$41,0,IF($U138=0,0,IF($U138&lt;1,1/$U138,IF((EU$56-Voorblad!$F$41)/$U138-SUM($EE138:ET138)=1,1,0))))</f>
        <v>0</v>
      </c>
      <c r="EV138" s="8">
        <f>IF(EV$56-Voorblad!$F$41&gt;Voorblad!$K$41,0,IF($U138=0,0,IF($U138&lt;1,1/$U138,IF((EV$56-Voorblad!$F$41)/$U138-SUM($EE138:EU138)=1,1,0))))</f>
        <v>0</v>
      </c>
      <c r="EW138" s="8">
        <f>IF(EW$56-Voorblad!$F$41&gt;Voorblad!$K$41,0,IF($U138=0,0,IF($U138&lt;1,1/$U138,IF((EW$56-Voorblad!$F$41)/$U138-SUM($EE138:EV138)=1,1,0))))</f>
        <v>0</v>
      </c>
      <c r="EX138" s="8">
        <f>IF(EX$56-Voorblad!$F$41&gt;Voorblad!$K$41,0,IF($U138=0,0,IF($U138&lt;1,1/$U138,IF((EX$56-Voorblad!$F$41)/$U138-SUM($EE138:EW138)=1,1,0))))</f>
        <v>0</v>
      </c>
      <c r="EY138" s="8">
        <f>IF(EY$56-Voorblad!$F$41&gt;Voorblad!$K$41,0,IF($U138=0,0,IF($U138&lt;1,1/$U138,IF((EY$56-Voorblad!$F$41)/$U138-SUM($EE138:EX138)=1,1,0))))</f>
        <v>0</v>
      </c>
      <c r="EZ138" s="8">
        <f>IF(EZ$56-Voorblad!$F$41&gt;Voorblad!$K$41,0,IF($U138=0,0,IF($U138&lt;1,1/$U138,IF((EZ$56-Voorblad!$F$41)/$U138-SUM($EE138:EY138)=1,1,0))))</f>
        <v>0</v>
      </c>
      <c r="FA138" s="8">
        <f>IF(FA$56-Voorblad!$F$41&gt;Voorblad!$K$41,0,IF($U138=0,0,IF($U138&lt;1,1/$U138,IF((FA$56-Voorblad!$F$41)/$U138-SUM($EE138:EZ138)=1,1,0))))</f>
        <v>0</v>
      </c>
      <c r="FB138" s="8">
        <f>IF(FB$56-Voorblad!$F$41&gt;Voorblad!$K$41,0,IF($U138=0,0,IF($U138&lt;1,1/$U138,IF((FB$56-Voorblad!$F$41)/$U138-SUM($EE138:FA138)=1,1,0))))</f>
        <v>0</v>
      </c>
      <c r="FC138" s="8">
        <f>IF(FC$56-Voorblad!$F$41&gt;Voorblad!$K$41,0,IF($U138=0,0,IF($U138&lt;1,1/$U138,IF((FC$56-Voorblad!$F$41)/$U138-SUM($EE138:FB138)=1,1,0))))</f>
        <v>0</v>
      </c>
      <c r="FD138" s="8">
        <f>IF(FD$56-Voorblad!$F$41&gt;Voorblad!$K$41,0,IF($U138=0,0,IF($U138&lt;1,1/$U138,IF((FD$56-Voorblad!$F$41)/$U138-SUM($EE138:FC138)=1,1,0))))</f>
        <v>0</v>
      </c>
      <c r="FE138" s="8">
        <f>IF(FE$56-Voorblad!$F$41&gt;Voorblad!$K$41,0,IF($U138=0,0,IF($U138&lt;1,1/$U138,IF((FE$56-Voorblad!$F$41)/$U138-SUM($EE138:FD138)=1,1,0))))</f>
        <v>0</v>
      </c>
      <c r="FF138" s="8">
        <f>IF(FF$56-Voorblad!$F$41&gt;Voorblad!$K$41,0,IF($U138=0,0,IF($U138&lt;1,1/$U138,IF((FF$56-Voorblad!$F$41)/$U138-SUM($EE138:FE138)=1,1,0))))</f>
        <v>0</v>
      </c>
      <c r="FG138" s="8">
        <f>IF(FG$56-Voorblad!$F$41&gt;Voorblad!$K$41,0,IF($U138=0,0,IF($U138&lt;1,1/$U138,IF((FG$56-Voorblad!$F$41)/$U138-SUM($EE138:FF138)=1,1,0))))</f>
        <v>0</v>
      </c>
      <c r="FH138" s="8">
        <f>IF(FH$56-Voorblad!$F$41&gt;Voorblad!$K$41,0,IF($U138=0,0,IF($U138&lt;1,1/$U138,IF((FH$56-Voorblad!$F$41)/$U138-SUM($EE138:FG138)=1,1,0))))</f>
        <v>0</v>
      </c>
      <c r="FI138" s="8">
        <f>IF(FI$56-Voorblad!$F$41&gt;Voorblad!$K$41,0,IF($U138=0,0,IF($U138&lt;1,1/$U138,IF((FI$56-Voorblad!$F$41)/$U138-SUM($EE138:FH138)=1,1,0))))</f>
        <v>0</v>
      </c>
      <c r="FJ138" s="8">
        <f>IF(FJ$56-Voorblad!$F$41&gt;Voorblad!$K$41,0,IF($U138=0,0,IF($U138&lt;1,1/$U138,IF((FJ$56-Voorblad!$F$41)/$U138-SUM($EE138:FI138)=1,1,0))))</f>
        <v>0</v>
      </c>
      <c r="FK138" s="8">
        <f>IF(FK$56-Voorblad!$F$41&gt;Voorblad!$K$41,0,IF($U138=0,0,IF($U138&lt;1,1/$U138,IF((FK$56-Voorblad!$F$41)/$U138-SUM($EE138:FJ138)=1,1,0))))</f>
        <v>0</v>
      </c>
      <c r="FL138" s="8">
        <f>IF(FL$56-Voorblad!$F$41&gt;Voorblad!$K$41,0,IF($U138=0,0,IF($U138&lt;1,1/$U138,IF((FL$56-Voorblad!$F$41)/$U138-SUM($EE138:FK138)=1,1,0))))</f>
        <v>0</v>
      </c>
      <c r="FM138" s="8">
        <f>IF(FM$56-Voorblad!$F$41&gt;Voorblad!$K$41,0,IF($U138=0,0,IF($U138&lt;1,1/$U138,IF((FM$56-Voorblad!$F$41)/$U138-SUM($EE138:FL138)=1,1,0))))</f>
        <v>0</v>
      </c>
      <c r="FN138" s="8">
        <f>IF(FN$56-Voorblad!$F$41&gt;Voorblad!$K$41,0,IF($U138=0,0,IF($U138&lt;1,1/$U138,IF((FN$56-Voorblad!$F$41)/$U138-SUM($EE138:FM138)=1,1,0))))</f>
        <v>0</v>
      </c>
      <c r="FO138" s="8">
        <f>IF(FO$56-Voorblad!$F$41&gt;Voorblad!$K$41,0,IF($U138=0,0,IF($U138&lt;1,1/$U138,IF((FO$56-Voorblad!$F$41)/$U138-SUM($EE138:FN138)=1,1,0))))</f>
        <v>0</v>
      </c>
      <c r="FP138" s="8">
        <f>IF(FP$56-Voorblad!$F$41&gt;Voorblad!$K$41,0,IF($U138=0,0,IF($U138&lt;1,1/$U138,IF((FP$56-Voorblad!$F$41)/$U138-SUM($EE138:FO138)=1,1,0))))</f>
        <v>0</v>
      </c>
      <c r="FQ138" s="8">
        <f>IF(FQ$56-Voorblad!$F$41&gt;Voorblad!$K$41,0,IF($U138=0,0,IF($U138&lt;1,1/$U138,IF((FQ$56-Voorblad!$F$41)/$U138-SUM($EE138:FP138)=1,1,0))))</f>
        <v>0</v>
      </c>
      <c r="FR138" s="8">
        <f>IF(FR$56-Voorblad!$F$41&gt;Voorblad!$K$41,0,IF($U138=0,0,IF($U138&lt;1,1/$U138,IF((FR$56-Voorblad!$F$41)/$U138-SUM($EE138:FQ138)=1,1,0))))</f>
        <v>0</v>
      </c>
      <c r="FS138" s="8">
        <f>IF(FS$56-Voorblad!$F$41&gt;Voorblad!$K$41,0,IF($U138=0,0,IF($U138&lt;1,1/$U138,IF((FS$56-Voorblad!$F$41)/$U138-SUM($EE138:FR138)=1,1,0))))</f>
        <v>0</v>
      </c>
      <c r="FT138" s="8">
        <f>IF(FT$56-Voorblad!$F$41&gt;Voorblad!$K$41,0,IF($U138=0,0,IF($U138&lt;1,1/$U138,IF((FT$56-Voorblad!$F$41)/$U138-SUM($EE138:FS138)=1,1,0))))</f>
        <v>0</v>
      </c>
      <c r="FU138" s="8">
        <f>IF(FU$56-Voorblad!$F$41&gt;Voorblad!$K$41,0,IF($U138=0,0,IF($U138&lt;1,1/$U138,IF((FU$56-Voorblad!$F$41)/$U138-SUM($EE138:FT138)=1,1,0))))</f>
        <v>0</v>
      </c>
      <c r="FV138" s="8">
        <f>IF(FV$56-Voorblad!$F$41&gt;Voorblad!$K$41,0,IF($U138=0,0,IF($U138&lt;1,1/$U138,IF((FV$56-Voorblad!$F$41)/$U138-SUM($EE138:FU138)=1,1,0))))</f>
        <v>0</v>
      </c>
      <c r="FW138" s="8">
        <f>IF(FW$56-Voorblad!$F$41&gt;Voorblad!$K$41,0,IF($U138=0,0,IF($U138&lt;1,1/$U138,IF((FW$56-Voorblad!$F$41)/$U138-SUM($EE138:FV138)=1,1,0))))</f>
        <v>0</v>
      </c>
      <c r="FX138" s="8">
        <f>IF(FX$56-Voorblad!$F$41&gt;Voorblad!$K$41,0,IF($U138=0,0,IF($U138&lt;1,1/$U138,IF((FX$56-Voorblad!$F$41)/$U138-SUM($EE138:FW138)=1,1,0))))</f>
        <v>0</v>
      </c>
      <c r="FY138" s="8">
        <f>IF(FY$56-Voorblad!$F$41&gt;Voorblad!$K$41,0,IF($U138=0,0,IF($U138&lt;1,1/$U138,IF((FY$56-Voorblad!$F$41)/$U138-SUM($EE138:FX138)=1,1,0))))</f>
        <v>0</v>
      </c>
      <c r="FZ138" s="8">
        <f>IF(FZ$56-Voorblad!$F$41&gt;Voorblad!$K$41,0,IF($U138=0,0,IF($U138&lt;1,1/$U138,IF((FZ$56-Voorblad!$F$41)/$U138-SUM($EE138:FY138)=1,1,0))))</f>
        <v>0</v>
      </c>
      <c r="GA138" s="8">
        <f>IF(GA$56-Voorblad!$F$41&gt;Voorblad!$K$41,0,IF($U138=0,0,IF($U138&lt;1,1/$U138,IF((GA$56-Voorblad!$F$41)/$U138-SUM($EE138:FZ138)=1,1,0))))</f>
        <v>0</v>
      </c>
      <c r="GB138" s="8">
        <f>IF(GB$56-Voorblad!$F$41&gt;Voorblad!$K$41,0,IF($U138=0,0,IF($U138&lt;1,1/$U138,IF((GB$56-Voorblad!$F$41)/$U138-SUM($EE138:GA138)=1,1,0))))</f>
        <v>0</v>
      </c>
      <c r="GC138" s="8">
        <f>IF(GC$56-Voorblad!$F$41&gt;Voorblad!$K$41,0,IF($U138=0,0,IF($U138&lt;1,1/$U138,IF((GC$56-Voorblad!$F$41)/$U138-SUM($EE138:GB138)=1,1,0))))</f>
        <v>0</v>
      </c>
      <c r="GD138" s="8">
        <f>IF(GD$56-Voorblad!$F$41&gt;Voorblad!$K$41,0,IF($U138=0,0,IF($U138&lt;1,1/$U138,IF((GD$56-Voorblad!$F$41)/$U138-SUM($EE138:GC138)=1,1,0))))</f>
        <v>1</v>
      </c>
      <c r="GE138" s="8">
        <f>IF(GE$56-Voorblad!$F$41&gt;Voorblad!$K$41,0,IF($U138=0,0,IF($U138&lt;1,1/$U138,IF((GE$56-Voorblad!$F$41)/$U138-SUM($EE138:GD138)=1,1,0))))</f>
        <v>0</v>
      </c>
      <c r="GF138" s="8">
        <f>IF(GF$56-Voorblad!$F$41&gt;Voorblad!$K$41,0,IF($U138=0,0,IF($U138&lt;1,1/$U138,IF((GF$56-Voorblad!$F$41)/$U138-SUM($EE138:GE138)=1,1,0))))</f>
        <v>0</v>
      </c>
      <c r="GG138" s="8">
        <f>IF(GG$56-Voorblad!$F$41&gt;Voorblad!$K$41,0,IF($U138=0,0,IF($U138&lt;1,1/$U138,IF((GG$56-Voorblad!$F$41)/$U138-SUM($EE138:GF138)=1,1,0))))</f>
        <v>0</v>
      </c>
      <c r="GH138" s="8">
        <f>IF(GH$56-Voorblad!$F$41&gt;Voorblad!$K$41,0,IF($U138=0,0,IF($U138&lt;1,1/$U138,IF((GH$56-Voorblad!$F$41)/$U138-SUM($EE138:GG138)=1,1,0))))</f>
        <v>0</v>
      </c>
      <c r="GI138" s="8">
        <f>IF(GI$56-Voorblad!$F$41&gt;Voorblad!$K$41,0,IF($U138=0,0,IF($U138&lt;1,1/$U138,IF((GI$56-Voorblad!$F$41)/$U138-SUM($EE138:GH138)=1,1,0))))</f>
        <v>0</v>
      </c>
      <c r="GJ138" s="8">
        <f>IF(GJ$56-Voorblad!$F$41&gt;Voorblad!$K$41,0,IF($U138=0,0,IF($U138&lt;1,1/$U138,IF((GJ$56-Voorblad!$F$41)/$U138-SUM($EE138:GI138)=1,1,0))))</f>
        <v>0</v>
      </c>
      <c r="GK138" s="8">
        <f>IF(GK$56-Voorblad!$F$41&gt;Voorblad!$K$41,0,IF($U138=0,0,IF($U138&lt;1,1/$U138,IF((GK$56-Voorblad!$F$41)/$U138-SUM($EE138:GJ138)=1,1,0))))</f>
        <v>0</v>
      </c>
      <c r="GL138" s="8">
        <f>IF(GL$56-Voorblad!$F$41&gt;Voorblad!$K$41,0,IF($U138=0,0,IF($U138&lt;1,1/$U138,IF((GL$56-Voorblad!$F$41)/$U138-SUM($EE138:GK138)=1,1,0))))</f>
        <v>0</v>
      </c>
      <c r="GM138" s="8">
        <f>IF(GM$56-Voorblad!$F$41&gt;Voorblad!$K$41,0,IF($U138=0,0,IF($U138&lt;1,1/$U138,IF((GM$56-Voorblad!$F$41)/$U138-SUM($EE138:GL138)=1,1,0))))</f>
        <v>0</v>
      </c>
      <c r="GN138" s="8">
        <f>IF(GN$56-Voorblad!$F$41&gt;Voorblad!$K$41,0,IF($U138=0,0,IF($U138&lt;1,1/$U138,IF((GN$56-Voorblad!$F$41)/$U138-SUM($EE138:GM138)=1,1,0))))</f>
        <v>0</v>
      </c>
      <c r="GO138" s="8">
        <f>IF(GO$56-Voorblad!$F$41&gt;Voorblad!$K$41,0,IF($U138=0,0,IF($U138&lt;1,1/$U138,IF((GO$56-Voorblad!$F$41)/$U138-SUM($EE138:GN138)=1,1,0))))</f>
        <v>0</v>
      </c>
      <c r="GP138" s="8">
        <f>IF(GP$56-Voorblad!$F$41&gt;Voorblad!$K$41,0,IF($U138=0,0,IF($U138&lt;1,1/$U138,IF((GP$56-Voorblad!$F$41)/$U138-SUM($EE138:GO138)=1,1,0))))</f>
        <v>0</v>
      </c>
      <c r="GQ138" s="8">
        <f>IF(GQ$56-Voorblad!$F$41&gt;Voorblad!$K$41,0,IF($U138=0,0,IF($U138&lt;1,1/$U138,IF((GQ$56-Voorblad!$F$41)/$U138-SUM($EE138:GP138)=1,1,0))))</f>
        <v>0</v>
      </c>
      <c r="GR138" s="8">
        <f>IF(GR$56-Voorblad!$F$41&gt;Voorblad!$K$41,0,IF($U138=0,0,IF($U138&lt;1,1/$U138,IF((GR$56-Voorblad!$F$41)/$U138-SUM($EE138:GQ138)=1,1,0))))</f>
        <v>0</v>
      </c>
      <c r="GS138" s="8">
        <f>IF(GS$56-Voorblad!$F$41&gt;Voorblad!$K$41,0,IF($U138=0,0,IF($U138&lt;1,1/$U138,IF((GS$56-Voorblad!$F$41)/$U138-SUM($EE138:GR138)=1,1,0))))</f>
        <v>0</v>
      </c>
      <c r="GT138" s="8">
        <f>IF(GT$56-Voorblad!$F$41&gt;Voorblad!$K$41,0,IF($U138=0,0,IF($U138&lt;1,1/$U138,IF((GT$56-Voorblad!$F$41)/$U138-SUM($EE138:GS138)=1,1,0))))</f>
        <v>0</v>
      </c>
      <c r="GU138" s="8">
        <f>IF(GU$56-Voorblad!$F$41&gt;Voorblad!$K$41,0,IF($U138=0,0,IF($U138&lt;1,1/$U138,IF((GU$56-Voorblad!$F$41)/$U138-SUM($EE138:GT138)=1,1,0))))</f>
        <v>0</v>
      </c>
      <c r="GV138" s="8">
        <f>IF(GV$56-Voorblad!$F$41&gt;Voorblad!$K$41,0,IF($U138=0,0,IF($U138&lt;1,1/$U138,IF((GV$56-Voorblad!$F$41)/$U138-SUM($EE138:GU138)=1,1,0))))</f>
        <v>0</v>
      </c>
      <c r="GW138" s="8">
        <f>IF(GW$56-Voorblad!$F$41&gt;Voorblad!$K$41,0,IF($U138=0,0,IF($U138&lt;1,1/$U138,IF((GW$56-Voorblad!$F$41)/$U138-SUM($EE138:GV138)=1,1,0))))</f>
        <v>0</v>
      </c>
      <c r="GX138" s="8">
        <f>IF(GX$56-Voorblad!$F$41&gt;Voorblad!$K$41,0,IF($U138=0,0,IF($U138&lt;1,1/$U138,IF((GX$56-Voorblad!$F$41)/$U138-SUM($EE138:GW138)=1,1,0))))</f>
        <v>0</v>
      </c>
      <c r="GY138" s="8">
        <f>IF(GY$56-Voorblad!$F$41&gt;Voorblad!$K$41,0,IF($U138=0,0,IF($U138&lt;1,1/$U138,IF((GY$56-Voorblad!$F$41)/$U138-SUM($EE138:GX138)=1,1,0))))</f>
        <v>0</v>
      </c>
      <c r="GZ138" s="8">
        <f>IF(GZ$56-Voorblad!$F$41&gt;Voorblad!$K$41,0,IF($U138=0,0,IF($U138&lt;1,1/$U138,IF((GZ$56-Voorblad!$F$41)/$U138-SUM($EE138:GY138)=1,1,0))))</f>
        <v>0</v>
      </c>
      <c r="HA138" s="8">
        <f>IF(HA$56-Voorblad!$F$41&gt;Voorblad!$K$41,0,IF($U138=0,0,IF($U138&lt;1,1/$U138,IF((HA$56-Voorblad!$F$41)/$U138-SUM($EE138:GZ138)=1,1,0))))</f>
        <v>0</v>
      </c>
      <c r="HB138" s="8">
        <f>IF(HB$56-Voorblad!$F$41&gt;Voorblad!$K$41,0,IF($U138=0,0,IF($U138&lt;1,1/$U138,IF((HB$56-Voorblad!$F$41)/$U138-SUM($EE138:HA138)=1,1,0))))</f>
        <v>0</v>
      </c>
      <c r="HC138" s="8">
        <f>IF(HC$56-Voorblad!$F$41&gt;Voorblad!$K$41,0,IF($U138=0,0,IF($U138&lt;1,1/$U138,IF((HC$56-Voorblad!$F$41)/$U138-SUM($EE138:HB138)=1,1,0))))</f>
        <v>0</v>
      </c>
      <c r="HD138" s="8">
        <f>IF(HD$56-Voorblad!$F$41&gt;Voorblad!$K$41,0,IF($U138=0,0,IF($U138&lt;1,1/$U138,IF((HD$56-Voorblad!$F$41)/$U138-SUM($EE138:HC138)=1,1,0))))</f>
        <v>0</v>
      </c>
      <c r="HE138" s="8">
        <f>IF(HE$56-Voorblad!$F$41&gt;Voorblad!$K$41,0,IF($U138=0,0,IF($U138&lt;1,1/$U138,IF((HE$56-Voorblad!$F$41)/$U138-SUM($EE138:HD138)=1,1,0))))</f>
        <v>0</v>
      </c>
      <c r="HF138" s="8">
        <f>IF(HF$56-Voorblad!$F$41&gt;Voorblad!$K$41,0,IF($U138=0,0,IF($U138&lt;1,1/$U138,IF((HF$56-Voorblad!$F$41)/$U138-SUM($EE138:HE138)=1,1,0))))</f>
        <v>0</v>
      </c>
      <c r="HG138" s="8">
        <f>IF(HG$56-Voorblad!$F$41&gt;Voorblad!$K$41,0,IF($U138=0,0,IF($U138&lt;1,1/$U138,IF((HG$56-Voorblad!$F$41)/$U138-SUM($EE138:HF138)=1,1,0))))</f>
        <v>0</v>
      </c>
      <c r="HH138" s="8">
        <f>IF(HH$56-Voorblad!$F$41&gt;Voorblad!$K$41,0,IF($U138=0,0,IF($U138&lt;1,1/$U138,IF((HH$56-Voorblad!$F$41)/$U138-SUM($EE138:HG138)=1,1,0))))</f>
        <v>0</v>
      </c>
      <c r="HI138" s="8">
        <f>IF(HI$56-Voorblad!$F$41&gt;Voorblad!$K$41,0,IF($U138=0,0,IF($U138&lt;1,1/$U138,IF((HI$56-Voorblad!$F$41)/$U138-SUM($EE138:HH138)=1,1,0))))</f>
        <v>0</v>
      </c>
      <c r="HJ138" s="8">
        <f>IF(HJ$56-Voorblad!$F$41&gt;Voorblad!$K$41,0,IF($U138=0,0,IF($U138&lt;1,1/$U138,IF((HJ$56-Voorblad!$F$41)/$U138-SUM($EE138:HI138)=1,1,0))))</f>
        <v>0</v>
      </c>
      <c r="HK138" s="8">
        <f>IF(HK$56-Voorblad!$F$41&gt;Voorblad!$K$41,0,IF($U138=0,0,IF($U138&lt;1,1/$U138,IF((HK$56-Voorblad!$F$41)/$U138-SUM($EE138:HJ138)=1,1,0))))</f>
        <v>0</v>
      </c>
      <c r="HL138" s="8">
        <f>IF(HL$56-Voorblad!$F$41&gt;Voorblad!$K$41,0,IF($U138=0,0,IF($U138&lt;1,1/$U138,IF((HL$56-Voorblad!$F$41)/$U138-SUM($EE138:HK138)=1,1,0))))</f>
        <v>0</v>
      </c>
      <c r="HM138" s="8">
        <f>IF(HM$56-Voorblad!$F$41&gt;Voorblad!$K$41,0,IF($U138=0,0,IF($U138&lt;1,1/$U138,IF((HM$56-Voorblad!$F$41)/$U138-SUM($EE138:HL138)=1,1,0))))</f>
        <v>0</v>
      </c>
      <c r="HN138" s="8">
        <f>IF(HN$56-Voorblad!$F$41&gt;Voorblad!$K$41,0,IF($U138=0,0,IF($U138&lt;1,1/$U138,IF((HN$56-Voorblad!$F$41)/$U138-SUM($EE138:HM138)=1,1,0))))</f>
        <v>0</v>
      </c>
      <c r="HO138" s="8">
        <f>IF(HO$56-Voorblad!$F$41&gt;Voorblad!$K$41,0,IF($U138=0,0,IF($U138&lt;1,1/$U138,IF((HO$56-Voorblad!$F$41)/$U138-SUM($EE138:HN138)=1,1,0))))</f>
        <v>0</v>
      </c>
      <c r="HP138" s="8">
        <f>IF(HP$56-Voorblad!$F$41&gt;Voorblad!$K$41,0,IF($U138=0,0,IF($U138&lt;1,1/$U138,IF((HP$56-Voorblad!$F$41)/$U138-SUM($EE138:HO138)=1,1,0))))</f>
        <v>0</v>
      </c>
      <c r="HQ138" s="8">
        <f>IF(HQ$56-Voorblad!$F$41&gt;Voorblad!$K$41,0,IF($U138=0,0,IF($U138&lt;1,1/$U138,IF((HQ$56-Voorblad!$F$41)/$U138-SUM($EE138:HP138)=1,1,0))))</f>
        <v>0</v>
      </c>
      <c r="HR138" s="8">
        <f>IF(HR$56-Voorblad!$F$41&gt;Voorblad!$K$41,0,IF($U138=0,0,IF($U138&lt;1,1/$U138,IF((HR$56-Voorblad!$F$41)/$U138-SUM($EE138:HQ138)=1,1,0))))</f>
        <v>0</v>
      </c>
      <c r="HS138" s="8">
        <f>IF(HS$56-Voorblad!$F$41&gt;Voorblad!$K$41,0,IF($U138=0,0,IF($U138&lt;1,1/$U138,IF((HS$56-Voorblad!$F$41)/$U138-SUM($EE138:HR138)=1,1,0))))</f>
        <v>0</v>
      </c>
      <c r="HT138" s="8">
        <f>IF(HT$56-Voorblad!$F$41&gt;Voorblad!$K$41,0,IF($U138=0,0,IF($U138&lt;1,1/$U138,IF((HT$56-Voorblad!$F$41)/$U138-SUM($EE138:HS138)=1,1,0))))</f>
        <v>0</v>
      </c>
      <c r="HU138" s="8">
        <f>IF(HU$56-Voorblad!$F$41&gt;Voorblad!$K$41,0,IF($U138=0,0,IF($U138&lt;1,1/$U138,IF((HU$56-Voorblad!$F$41)/$U138-SUM($EE138:HT138)=1,1,0))))</f>
        <v>0</v>
      </c>
      <c r="HV138" s="8">
        <f>IF(HV$56-Voorblad!$F$41&gt;Voorblad!$K$41,0,IF($U138=0,0,IF($U138&lt;1,1/$U138,IF((HV$56-Voorblad!$F$41)/$U138-SUM($EE138:HU138)=1,1,0))))</f>
        <v>0</v>
      </c>
      <c r="HW138" s="8">
        <f>IF(HW$56-Voorblad!$F$41&gt;Voorblad!$K$41,0,IF($U138=0,0,IF($U138&lt;1,1/$U138,IF((HW$56-Voorblad!$F$41)/$U138-SUM($EE138:HV138)=1,1,0))))</f>
        <v>0</v>
      </c>
      <c r="HX138" s="8">
        <f>IF(HX$56-Voorblad!$F$41&gt;Voorblad!$K$41,0,IF($U138=0,0,IF($U138&lt;1,1/$U138,IF((HX$56-Voorblad!$F$41)/$U138-SUM($EE138:HW138)=1,1,0))))</f>
        <v>0</v>
      </c>
      <c r="HY138" s="8">
        <f>IF(HY$56-Voorblad!$F$41&gt;Voorblad!$K$41,0,IF($U138=0,0,IF($U138&lt;1,1/$U138,IF((HY$56-Voorblad!$F$41)/$U138-SUM($EE138:HX138)=1,1,0))))</f>
        <v>0</v>
      </c>
      <c r="HZ138" s="8">
        <f>IF(HZ$56-Voorblad!$F$41&gt;Voorblad!$K$41,0,IF($U138=0,0,IF($U138&lt;1,1/$U138,IF((HZ$56-Voorblad!$F$41)/$U138-SUM($EE138:HY138)=1,1,0))))</f>
        <v>0</v>
      </c>
      <c r="IA138" s="8">
        <f>IF(IA$56-Voorblad!$F$41&gt;Voorblad!$K$41,0,IF($U138=0,0,IF($U138&lt;1,1/$U138,IF((IA$56-Voorblad!$F$41)/$U138-SUM($EE138:HZ138)=1,1,0))))</f>
        <v>0</v>
      </c>
      <c r="IB138" s="8">
        <f>IF(IB$56-Voorblad!$F$41&gt;Voorblad!$K$41,0,IF($U138=0,0,IF($U138&lt;1,1/$U138,IF((IB$56-Voorblad!$F$41)/$U138-SUM($EE138:IA138)=1,1,0))))</f>
        <v>0</v>
      </c>
    </row>
    <row r="139" spans="2:236" ht="12" customHeight="1" outlineLevel="1" x14ac:dyDescent="0.25">
      <c r="B139" s="1">
        <v>1</v>
      </c>
      <c r="F139" s="1" t="s">
        <v>23</v>
      </c>
      <c r="I139" s="1" t="s">
        <v>49</v>
      </c>
      <c r="K139" s="14" t="s">
        <v>160</v>
      </c>
      <c r="P139" s="14" t="s">
        <v>194</v>
      </c>
      <c r="Q139" s="81">
        <f>2*15.9</f>
        <v>31.8</v>
      </c>
      <c r="R139" s="1" t="s">
        <v>34</v>
      </c>
      <c r="S139" s="14">
        <f>$H$10*400</f>
        <v>952</v>
      </c>
      <c r="T139" s="9">
        <f t="shared" si="104"/>
        <v>30273.600000000002</v>
      </c>
      <c r="U139" s="14">
        <v>50</v>
      </c>
      <c r="V139" s="14"/>
      <c r="Y139" s="9">
        <f t="shared" si="107"/>
        <v>8807.8680276983378</v>
      </c>
      <c r="Z139" s="82"/>
      <c r="AA139" s="82"/>
      <c r="AC139" s="9">
        <f>$Y139*(Voorblad!$K$44*(1+Voorblad!$K$44)^Voorblad!$K$41)/((1+Voorblad!$K$44)^Voorblad!$K$41-1)</f>
        <v>263.66951387799423</v>
      </c>
      <c r="AE139" s="9">
        <f>EF139*($Q139*$S139)/(1+Voorblad!$K$44)^(AE$56-Voorblad!$F$41)</f>
        <v>0</v>
      </c>
      <c r="AF139" s="9">
        <f>EG139*($Q139*$S139)/(1+Voorblad!$K$44)^(AF$56-Voorblad!$F$41)</f>
        <v>0</v>
      </c>
      <c r="AG139" s="9">
        <f>EH139*($Q139*$S139)/(1+Voorblad!$K$44)^(AG$56-Voorblad!$F$41)</f>
        <v>0</v>
      </c>
      <c r="AH139" s="9">
        <f>EI139*($Q139*$S139)/(1+Voorblad!$K$44)^(AH$56-Voorblad!$F$41)</f>
        <v>0</v>
      </c>
      <c r="AI139" s="9">
        <f>EJ139*($Q139*$S139)/(1+Voorblad!$K$44)^(AI$56-Voorblad!$F$41)</f>
        <v>0</v>
      </c>
      <c r="AJ139" s="9">
        <f>EK139*($Q139*$S139)/(1+Voorblad!$K$44)^(AJ$56-Voorblad!$F$41)</f>
        <v>0</v>
      </c>
      <c r="AK139" s="9">
        <f>EL139*($Q139*$S139)/(1+Voorblad!$K$44)^(AK$56-Voorblad!$F$41)</f>
        <v>0</v>
      </c>
      <c r="AL139" s="9">
        <f>EM139*($Q139*$S139)/(1+Voorblad!$K$44)^(AL$56-Voorblad!$F$41)</f>
        <v>0</v>
      </c>
      <c r="AM139" s="9">
        <f>EN139*($Q139*$S139)/(1+Voorblad!$K$44)^(AM$56-Voorblad!$F$41)</f>
        <v>0</v>
      </c>
      <c r="AN139" s="9">
        <f>EO139*($Q139*$S139)/(1+Voorblad!$K$44)^(AN$56-Voorblad!$F$41)</f>
        <v>0</v>
      </c>
      <c r="AO139" s="9">
        <f>EP139*($Q139*$S139)/(1+Voorblad!$K$44)^(AO$56-Voorblad!$F$41)</f>
        <v>0</v>
      </c>
      <c r="AP139" s="9">
        <f>EQ139*($Q139*$S139)/(1+Voorblad!$K$44)^(AP$56-Voorblad!$F$41)</f>
        <v>0</v>
      </c>
      <c r="AQ139" s="9">
        <f>ER139*($Q139*$S139)/(1+Voorblad!$K$44)^(AQ$56-Voorblad!$F$41)</f>
        <v>0</v>
      </c>
      <c r="AR139" s="9">
        <f>ES139*($Q139*$S139)/(1+Voorblad!$K$44)^(AR$56-Voorblad!$F$41)</f>
        <v>0</v>
      </c>
      <c r="AS139" s="9">
        <f>ET139*($Q139*$S139)/(1+Voorblad!$K$44)^(AS$56-Voorblad!$F$41)</f>
        <v>0</v>
      </c>
      <c r="AT139" s="9">
        <f>EU139*($Q139*$S139)/(1+Voorblad!$K$44)^(AT$56-Voorblad!$F$41)</f>
        <v>0</v>
      </c>
      <c r="AU139" s="9">
        <f>EV139*($Q139*$S139)/(1+Voorblad!$K$44)^(AU$56-Voorblad!$F$41)</f>
        <v>0</v>
      </c>
      <c r="AV139" s="9">
        <f>EW139*($Q139*$S139)/(1+Voorblad!$K$44)^(AV$56-Voorblad!$F$41)</f>
        <v>0</v>
      </c>
      <c r="AW139" s="9">
        <f>EX139*($Q139*$S139)/(1+Voorblad!$K$44)^(AW$56-Voorblad!$F$41)</f>
        <v>0</v>
      </c>
      <c r="AX139" s="9">
        <f>EY139*($Q139*$S139)/(1+Voorblad!$K$44)^(AX$56-Voorblad!$F$41)</f>
        <v>0</v>
      </c>
      <c r="AY139" s="9">
        <f>EZ139*($Q139*$S139)/(1+Voorblad!$K$44)^(AY$56-Voorblad!$F$41)</f>
        <v>0</v>
      </c>
      <c r="AZ139" s="9">
        <f>FA139*($Q139*$S139)/(1+Voorblad!$K$44)^(AZ$56-Voorblad!$F$41)</f>
        <v>0</v>
      </c>
      <c r="BA139" s="9">
        <f>FB139*($Q139*$S139)/(1+Voorblad!$K$44)^(BA$56-Voorblad!$F$41)</f>
        <v>0</v>
      </c>
      <c r="BB139" s="9">
        <f>FC139*($Q139*$S139)/(1+Voorblad!$K$44)^(BB$56-Voorblad!$F$41)</f>
        <v>0</v>
      </c>
      <c r="BC139" s="9">
        <f>FD139*($Q139*$S139)/(1+Voorblad!$K$44)^(BC$56-Voorblad!$F$41)</f>
        <v>0</v>
      </c>
      <c r="BD139" s="9">
        <f>FE139*($Q139*$S139)/(1+Voorblad!$K$44)^(BD$56-Voorblad!$F$41)</f>
        <v>0</v>
      </c>
      <c r="BE139" s="9">
        <f>FF139*($Q139*$S139)/(1+Voorblad!$K$44)^(BE$56-Voorblad!$F$41)</f>
        <v>0</v>
      </c>
      <c r="BF139" s="9">
        <f>FG139*($Q139*$S139)/(1+Voorblad!$K$44)^(BF$56-Voorblad!$F$41)</f>
        <v>0</v>
      </c>
      <c r="BG139" s="9">
        <f>FH139*($Q139*$S139)/(1+Voorblad!$K$44)^(BG$56-Voorblad!$F$41)</f>
        <v>0</v>
      </c>
      <c r="BH139" s="9">
        <f>FI139*($Q139*$S139)/(1+Voorblad!$K$44)^(BH$56-Voorblad!$F$41)</f>
        <v>0</v>
      </c>
      <c r="BI139" s="9">
        <f>FJ139*($Q139*$S139)/(1+Voorblad!$K$44)^(BI$56-Voorblad!$F$41)</f>
        <v>0</v>
      </c>
      <c r="BJ139" s="9">
        <f>FK139*($Q139*$S139)/(1+Voorblad!$K$44)^(BJ$56-Voorblad!$F$41)</f>
        <v>0</v>
      </c>
      <c r="BK139" s="9">
        <f>FL139*($Q139*$S139)/(1+Voorblad!$K$44)^(BK$56-Voorblad!$F$41)</f>
        <v>0</v>
      </c>
      <c r="BL139" s="9">
        <f>FM139*($Q139*$S139)/(1+Voorblad!$K$44)^(BL$56-Voorblad!$F$41)</f>
        <v>0</v>
      </c>
      <c r="BM139" s="9">
        <f>FN139*($Q139*$S139)/(1+Voorblad!$K$44)^(BM$56-Voorblad!$F$41)</f>
        <v>0</v>
      </c>
      <c r="BN139" s="9">
        <f>FO139*($Q139*$S139)/(1+Voorblad!$K$44)^(BN$56-Voorblad!$F$41)</f>
        <v>0</v>
      </c>
      <c r="BO139" s="9">
        <f>FP139*($Q139*$S139)/(1+Voorblad!$K$44)^(BO$56-Voorblad!$F$41)</f>
        <v>0</v>
      </c>
      <c r="BP139" s="9">
        <f>FQ139*($Q139*$S139)/(1+Voorblad!$K$44)^(BP$56-Voorblad!$F$41)</f>
        <v>0</v>
      </c>
      <c r="BQ139" s="9">
        <f>FR139*($Q139*$S139)/(1+Voorblad!$K$44)^(BQ$56-Voorblad!$F$41)</f>
        <v>0</v>
      </c>
      <c r="BR139" s="9">
        <f>FS139*($Q139*$S139)/(1+Voorblad!$K$44)^(BR$56-Voorblad!$F$41)</f>
        <v>0</v>
      </c>
      <c r="BS139" s="9">
        <f>FT139*($Q139*$S139)/(1+Voorblad!$K$44)^(BS$56-Voorblad!$F$41)</f>
        <v>0</v>
      </c>
      <c r="BT139" s="9">
        <f>FU139*($Q139*$S139)/(1+Voorblad!$K$44)^(BT$56-Voorblad!$F$41)</f>
        <v>0</v>
      </c>
      <c r="BU139" s="9">
        <f>FV139*($Q139*$S139)/(1+Voorblad!$K$44)^(BU$56-Voorblad!$F$41)</f>
        <v>0</v>
      </c>
      <c r="BV139" s="9">
        <f>FW139*($Q139*$S139)/(1+Voorblad!$K$44)^(BV$56-Voorblad!$F$41)</f>
        <v>0</v>
      </c>
      <c r="BW139" s="9">
        <f>FX139*($Q139*$S139)/(1+Voorblad!$K$44)^(BW$56-Voorblad!$F$41)</f>
        <v>0</v>
      </c>
      <c r="BX139" s="9">
        <f>FY139*($Q139*$S139)/(1+Voorblad!$K$44)^(BX$56-Voorblad!$F$41)</f>
        <v>0</v>
      </c>
      <c r="BY139" s="9">
        <f>FZ139*($Q139*$S139)/(1+Voorblad!$K$44)^(BY$56-Voorblad!$F$41)</f>
        <v>0</v>
      </c>
      <c r="BZ139" s="9">
        <f>GA139*($Q139*$S139)/(1+Voorblad!$K$44)^(BZ$56-Voorblad!$F$41)</f>
        <v>0</v>
      </c>
      <c r="CA139" s="9">
        <f>GB139*($Q139*$S139)/(1+Voorblad!$K$44)^(CA$56-Voorblad!$F$41)</f>
        <v>0</v>
      </c>
      <c r="CB139" s="9">
        <f>GC139*($Q139*$S139)/(1+Voorblad!$K$44)^(CB$56-Voorblad!$F$41)</f>
        <v>0</v>
      </c>
      <c r="CC139" s="9">
        <f>GD139*($Q139*$S139)/(1+Voorblad!$K$44)^(CC$56-Voorblad!$F$41)</f>
        <v>8807.8680276983378</v>
      </c>
      <c r="CD139" s="9">
        <f>GE139*($Q139*$S139)/(1+Voorblad!$K$44)^(CD$56-Voorblad!$F$41)</f>
        <v>0</v>
      </c>
      <c r="CE139" s="9">
        <f>GF139*($Q139*$S139)/(1+Voorblad!$K$44)^(CE$56-Voorblad!$F$41)</f>
        <v>0</v>
      </c>
      <c r="CF139" s="9">
        <f>GG139*($Q139*$S139)/(1+Voorblad!$K$44)^(CF$56-Voorblad!$F$41)</f>
        <v>0</v>
      </c>
      <c r="CG139" s="9">
        <f>GH139*($Q139*$S139)/(1+Voorblad!$K$44)^(CG$56-Voorblad!$F$41)</f>
        <v>0</v>
      </c>
      <c r="CH139" s="9">
        <f>GI139*($Q139*$S139)/(1+Voorblad!$K$44)^(CH$56-Voorblad!$F$41)</f>
        <v>0</v>
      </c>
      <c r="CI139" s="9">
        <f>GJ139*($Q139*$S139)/(1+Voorblad!$K$44)^(CI$56-Voorblad!$F$41)</f>
        <v>0</v>
      </c>
      <c r="CJ139" s="9">
        <f>GK139*($Q139*$S139)/(1+Voorblad!$K$44)^(CJ$56-Voorblad!$F$41)</f>
        <v>0</v>
      </c>
      <c r="CK139" s="9">
        <f>GL139*($Q139*$S139)/(1+Voorblad!$K$44)^(CK$56-Voorblad!$F$41)</f>
        <v>0</v>
      </c>
      <c r="CL139" s="9">
        <f>GM139*($Q139*$S139)/(1+Voorblad!$K$44)^(CL$56-Voorblad!$F$41)</f>
        <v>0</v>
      </c>
      <c r="CM139" s="9">
        <f>GN139*($Q139*$S139)/(1+Voorblad!$K$44)^(CM$56-Voorblad!$F$41)</f>
        <v>0</v>
      </c>
      <c r="CN139" s="9">
        <f>GO139*($Q139*$S139)/(1+Voorblad!$K$44)^(CN$56-Voorblad!$F$41)</f>
        <v>0</v>
      </c>
      <c r="CO139" s="9">
        <f>GP139*($Q139*$S139)/(1+Voorblad!$K$44)^(CO$56-Voorblad!$F$41)</f>
        <v>0</v>
      </c>
      <c r="CP139" s="9">
        <f>GQ139*($Q139*$S139)/(1+Voorblad!$K$44)^(CP$56-Voorblad!$F$41)</f>
        <v>0</v>
      </c>
      <c r="CQ139" s="9">
        <f>GR139*($Q139*$S139)/(1+Voorblad!$K$44)^(CQ$56-Voorblad!$F$41)</f>
        <v>0</v>
      </c>
      <c r="CR139" s="9">
        <f>GS139*($Q139*$S139)/(1+Voorblad!$K$44)^(CR$56-Voorblad!$F$41)</f>
        <v>0</v>
      </c>
      <c r="CS139" s="9">
        <f>GT139*($Q139*$S139)/(1+Voorblad!$K$44)^(CS$56-Voorblad!$F$41)</f>
        <v>0</v>
      </c>
      <c r="CT139" s="9">
        <f>GU139*($Q139*$S139)/(1+Voorblad!$K$44)^(CT$56-Voorblad!$F$41)</f>
        <v>0</v>
      </c>
      <c r="CU139" s="9">
        <f>GV139*($Q139*$S139)/(1+Voorblad!$K$44)^(CU$56-Voorblad!$F$41)</f>
        <v>0</v>
      </c>
      <c r="CV139" s="9">
        <f>GW139*($Q139*$S139)/(1+Voorblad!$K$44)^(CV$56-Voorblad!$F$41)</f>
        <v>0</v>
      </c>
      <c r="CW139" s="9">
        <f>GX139*($Q139*$S139)/(1+Voorblad!$K$44)^(CW$56-Voorblad!$F$41)</f>
        <v>0</v>
      </c>
      <c r="CX139" s="9">
        <f>GY139*($Q139*$S139)/(1+Voorblad!$K$44)^(CX$56-Voorblad!$F$41)</f>
        <v>0</v>
      </c>
      <c r="CY139" s="9">
        <f>GZ139*($Q139*$S139)/(1+Voorblad!$K$44)^(CY$56-Voorblad!$F$41)</f>
        <v>0</v>
      </c>
      <c r="CZ139" s="9">
        <f>HA139*($Q139*$S139)/(1+Voorblad!$K$44)^(CZ$56-Voorblad!$F$41)</f>
        <v>0</v>
      </c>
      <c r="DA139" s="9">
        <f>HB139*($Q139*$S139)/(1+Voorblad!$K$44)^(DA$56-Voorblad!$F$41)</f>
        <v>0</v>
      </c>
      <c r="DB139" s="9">
        <f>HC139*($Q139*$S139)/(1+Voorblad!$K$44)^(DB$56-Voorblad!$F$41)</f>
        <v>0</v>
      </c>
      <c r="DC139" s="9">
        <f>HD139*($Q139*$S139)/(1+Voorblad!$K$44)^(DC$56-Voorblad!$F$41)</f>
        <v>0</v>
      </c>
      <c r="DD139" s="9">
        <f>HE139*($Q139*$S139)/(1+Voorblad!$K$44)^(DD$56-Voorblad!$F$41)</f>
        <v>0</v>
      </c>
      <c r="DE139" s="9">
        <f>HF139*($Q139*$S139)/(1+Voorblad!$K$44)^(DE$56-Voorblad!$F$41)</f>
        <v>0</v>
      </c>
      <c r="DF139" s="9">
        <f>HG139*($Q139*$S139)/(1+Voorblad!$K$44)^(DF$56-Voorblad!$F$41)</f>
        <v>0</v>
      </c>
      <c r="DG139" s="9">
        <f>HH139*($Q139*$S139)/(1+Voorblad!$K$44)^(DG$56-Voorblad!$F$41)</f>
        <v>0</v>
      </c>
      <c r="DH139" s="9">
        <f>HI139*($Q139*$S139)/(1+Voorblad!$K$44)^(DH$56-Voorblad!$F$41)</f>
        <v>0</v>
      </c>
      <c r="DI139" s="9">
        <f>HJ139*($Q139*$S139)/(1+Voorblad!$K$44)^(DI$56-Voorblad!$F$41)</f>
        <v>0</v>
      </c>
      <c r="DJ139" s="9">
        <f>HK139*($Q139*$S139)/(1+Voorblad!$K$44)^(DJ$56-Voorblad!$F$41)</f>
        <v>0</v>
      </c>
      <c r="DK139" s="9">
        <f>HL139*($Q139*$S139)/(1+Voorblad!$K$44)^(DK$56-Voorblad!$F$41)</f>
        <v>0</v>
      </c>
      <c r="DL139" s="9">
        <f>HM139*($Q139*$S139)/(1+Voorblad!$K$44)^(DL$56-Voorblad!$F$41)</f>
        <v>0</v>
      </c>
      <c r="DM139" s="9">
        <f>HN139*($Q139*$S139)/(1+Voorblad!$K$44)^(DM$56-Voorblad!$F$41)</f>
        <v>0</v>
      </c>
      <c r="DN139" s="9">
        <f>HO139*($Q139*$S139)/(1+Voorblad!$K$44)^(DN$56-Voorblad!$F$41)</f>
        <v>0</v>
      </c>
      <c r="DO139" s="9">
        <f>HP139*($Q139*$S139)/(1+Voorblad!$K$44)^(DO$56-Voorblad!$F$41)</f>
        <v>0</v>
      </c>
      <c r="DP139" s="9">
        <f>HQ139*($Q139*$S139)/(1+Voorblad!$K$44)^(DP$56-Voorblad!$F$41)</f>
        <v>0</v>
      </c>
      <c r="DQ139" s="9">
        <f>HR139*($Q139*$S139)/(1+Voorblad!$K$44)^(DQ$56-Voorblad!$F$41)</f>
        <v>0</v>
      </c>
      <c r="DR139" s="9">
        <f>HS139*($Q139*$S139)/(1+Voorblad!$K$44)^(DR$56-Voorblad!$F$41)</f>
        <v>0</v>
      </c>
      <c r="DS139" s="9">
        <f>HT139*($Q139*$S139)/(1+Voorblad!$K$44)^(DS$56-Voorblad!$F$41)</f>
        <v>0</v>
      </c>
      <c r="DT139" s="9">
        <f>HU139*($Q139*$S139)/(1+Voorblad!$K$44)^(DT$56-Voorblad!$F$41)</f>
        <v>0</v>
      </c>
      <c r="DU139" s="9">
        <f>HV139*($Q139*$S139)/(1+Voorblad!$K$44)^(DU$56-Voorblad!$F$41)</f>
        <v>0</v>
      </c>
      <c r="DV139" s="9">
        <f>HW139*($Q139*$S139)/(1+Voorblad!$K$44)^(DV$56-Voorblad!$F$41)</f>
        <v>0</v>
      </c>
      <c r="DW139" s="9">
        <f>HX139*($Q139*$S139)/(1+Voorblad!$K$44)^(DW$56-Voorblad!$F$41)</f>
        <v>0</v>
      </c>
      <c r="DX139" s="9">
        <f>HY139*($Q139*$S139)/(1+Voorblad!$K$44)^(DX$56-Voorblad!$F$41)</f>
        <v>0</v>
      </c>
      <c r="DY139" s="9">
        <f>HZ139*($Q139*$S139)/(1+Voorblad!$K$44)^(DY$56-Voorblad!$F$41)</f>
        <v>0</v>
      </c>
      <c r="DZ139" s="9">
        <f>IA139*($Q139*$S139)/(1+Voorblad!$K$44)^(DZ$56-Voorblad!$F$41)</f>
        <v>0</v>
      </c>
      <c r="EA139" s="9">
        <f>IB139*($Q139*$S139)/(1+Voorblad!$K$44)^(EA$56-Voorblad!$F$41)</f>
        <v>0</v>
      </c>
      <c r="EB139" s="9">
        <f>IC139*($Q139*$S139)/(1+Voorblad!$K$44)^(EB$56-Voorblad!$F$41)</f>
        <v>0</v>
      </c>
      <c r="EE139" s="8">
        <v>0</v>
      </c>
      <c r="EF139" s="8">
        <f>IF(EF$56-Voorblad!$F$41&gt;Voorblad!$K$41,0,IF($U139=0,0,IF($U139&lt;1,1/$U139,IF((EF$56-Voorblad!$F$41)/$U139-SUM($EE139:EE139)=1,1,0))))</f>
        <v>0</v>
      </c>
      <c r="EG139" s="8">
        <f>IF(EG$56-Voorblad!$F$41&gt;Voorblad!$K$41,0,IF($U139=0,0,IF($U139&lt;1,1/$U139,IF((EG$56-Voorblad!$F$41)/$U139-SUM($EE139:EF139)=1,1,0))))</f>
        <v>0</v>
      </c>
      <c r="EH139" s="8">
        <f>IF(EH$56-Voorblad!$F$41&gt;Voorblad!$K$41,0,IF($U139=0,0,IF($U139&lt;1,1/$U139,IF((EH$56-Voorblad!$F$41)/$U139-SUM($EE139:EG139)=1,1,0))))</f>
        <v>0</v>
      </c>
      <c r="EI139" s="8">
        <f>IF(EI$56-Voorblad!$F$41&gt;Voorblad!$K$41,0,IF($U139=0,0,IF($U139&lt;1,1/$U139,IF((EI$56-Voorblad!$F$41)/$U139-SUM($EE139:EH139)=1,1,0))))</f>
        <v>0</v>
      </c>
      <c r="EJ139" s="8">
        <f>IF(EJ$56-Voorblad!$F$41&gt;Voorblad!$K$41,0,IF($U139=0,0,IF($U139&lt;1,1/$U139,IF((EJ$56-Voorblad!$F$41)/$U139-SUM($EE139:EI139)=1,1,0))))</f>
        <v>0</v>
      </c>
      <c r="EK139" s="8">
        <f>IF(EK$56-Voorblad!$F$41&gt;Voorblad!$K$41,0,IF($U139=0,0,IF($U139&lt;1,1/$U139,IF((EK$56-Voorblad!$F$41)/$U139-SUM($EE139:EJ139)=1,1,0))))</f>
        <v>0</v>
      </c>
      <c r="EL139" s="8">
        <f>IF(EL$56-Voorblad!$F$41&gt;Voorblad!$K$41,0,IF($U139=0,0,IF($U139&lt;1,1/$U139,IF((EL$56-Voorblad!$F$41)/$U139-SUM($EE139:EK139)=1,1,0))))</f>
        <v>0</v>
      </c>
      <c r="EM139" s="8">
        <f>IF(EM$56-Voorblad!$F$41&gt;Voorblad!$K$41,0,IF($U139=0,0,IF($U139&lt;1,1/$U139,IF((EM$56-Voorblad!$F$41)/$U139-SUM($EE139:EL139)=1,1,0))))</f>
        <v>0</v>
      </c>
      <c r="EN139" s="8">
        <f>IF(EN$56-Voorblad!$F$41&gt;Voorblad!$K$41,0,IF($U139=0,0,IF($U139&lt;1,1/$U139,IF((EN$56-Voorblad!$F$41)/$U139-SUM($EE139:EM139)=1,1,0))))</f>
        <v>0</v>
      </c>
      <c r="EO139" s="8">
        <f>IF(EO$56-Voorblad!$F$41&gt;Voorblad!$K$41,0,IF($U139=0,0,IF($U139&lt;1,1/$U139,IF((EO$56-Voorblad!$F$41)/$U139-SUM($EE139:EN139)=1,1,0))))</f>
        <v>0</v>
      </c>
      <c r="EP139" s="8">
        <f>IF(EP$56-Voorblad!$F$41&gt;Voorblad!$K$41,0,IF($U139=0,0,IF($U139&lt;1,1/$U139,IF((EP$56-Voorblad!$F$41)/$U139-SUM($EE139:EO139)=1,1,0))))</f>
        <v>0</v>
      </c>
      <c r="EQ139" s="8">
        <f>IF(EQ$56-Voorblad!$F$41&gt;Voorblad!$K$41,0,IF($U139=0,0,IF($U139&lt;1,1/$U139,IF((EQ$56-Voorblad!$F$41)/$U139-SUM($EE139:EP139)=1,1,0))))</f>
        <v>0</v>
      </c>
      <c r="ER139" s="8">
        <f>IF(ER$56-Voorblad!$F$41&gt;Voorblad!$K$41,0,IF($U139=0,0,IF($U139&lt;1,1/$U139,IF((ER$56-Voorblad!$F$41)/$U139-SUM($EE139:EQ139)=1,1,0))))</f>
        <v>0</v>
      </c>
      <c r="ES139" s="8">
        <f>IF(ES$56-Voorblad!$F$41&gt;Voorblad!$K$41,0,IF($U139=0,0,IF($U139&lt;1,1/$U139,IF((ES$56-Voorblad!$F$41)/$U139-SUM($EE139:ER139)=1,1,0))))</f>
        <v>0</v>
      </c>
      <c r="ET139" s="8">
        <f>IF(ET$56-Voorblad!$F$41&gt;Voorblad!$K$41,0,IF($U139=0,0,IF($U139&lt;1,1/$U139,IF((ET$56-Voorblad!$F$41)/$U139-SUM($EE139:ES139)=1,1,0))))</f>
        <v>0</v>
      </c>
      <c r="EU139" s="8">
        <f>IF(EU$56-Voorblad!$F$41&gt;Voorblad!$K$41,0,IF($U139=0,0,IF($U139&lt;1,1/$U139,IF((EU$56-Voorblad!$F$41)/$U139-SUM($EE139:ET139)=1,1,0))))</f>
        <v>0</v>
      </c>
      <c r="EV139" s="8">
        <f>IF(EV$56-Voorblad!$F$41&gt;Voorblad!$K$41,0,IF($U139=0,0,IF($U139&lt;1,1/$U139,IF((EV$56-Voorblad!$F$41)/$U139-SUM($EE139:EU139)=1,1,0))))</f>
        <v>0</v>
      </c>
      <c r="EW139" s="8">
        <f>IF(EW$56-Voorblad!$F$41&gt;Voorblad!$K$41,0,IF($U139=0,0,IF($U139&lt;1,1/$U139,IF((EW$56-Voorblad!$F$41)/$U139-SUM($EE139:EV139)=1,1,0))))</f>
        <v>0</v>
      </c>
      <c r="EX139" s="8">
        <f>IF(EX$56-Voorblad!$F$41&gt;Voorblad!$K$41,0,IF($U139=0,0,IF($U139&lt;1,1/$U139,IF((EX$56-Voorblad!$F$41)/$U139-SUM($EE139:EW139)=1,1,0))))</f>
        <v>0</v>
      </c>
      <c r="EY139" s="8">
        <f>IF(EY$56-Voorblad!$F$41&gt;Voorblad!$K$41,0,IF($U139=0,0,IF($U139&lt;1,1/$U139,IF((EY$56-Voorblad!$F$41)/$U139-SUM($EE139:EX139)=1,1,0))))</f>
        <v>0</v>
      </c>
      <c r="EZ139" s="8">
        <f>IF(EZ$56-Voorblad!$F$41&gt;Voorblad!$K$41,0,IF($U139=0,0,IF($U139&lt;1,1/$U139,IF((EZ$56-Voorblad!$F$41)/$U139-SUM($EE139:EY139)=1,1,0))))</f>
        <v>0</v>
      </c>
      <c r="FA139" s="8">
        <f>IF(FA$56-Voorblad!$F$41&gt;Voorblad!$K$41,0,IF($U139=0,0,IF($U139&lt;1,1/$U139,IF((FA$56-Voorblad!$F$41)/$U139-SUM($EE139:EZ139)=1,1,0))))</f>
        <v>0</v>
      </c>
      <c r="FB139" s="8">
        <f>IF(FB$56-Voorblad!$F$41&gt;Voorblad!$K$41,0,IF($U139=0,0,IF($U139&lt;1,1/$U139,IF((FB$56-Voorblad!$F$41)/$U139-SUM($EE139:FA139)=1,1,0))))</f>
        <v>0</v>
      </c>
      <c r="FC139" s="8">
        <f>IF(FC$56-Voorblad!$F$41&gt;Voorblad!$K$41,0,IF($U139=0,0,IF($U139&lt;1,1/$U139,IF((FC$56-Voorblad!$F$41)/$U139-SUM($EE139:FB139)=1,1,0))))</f>
        <v>0</v>
      </c>
      <c r="FD139" s="8">
        <f>IF(FD$56-Voorblad!$F$41&gt;Voorblad!$K$41,0,IF($U139=0,0,IF($U139&lt;1,1/$U139,IF((FD$56-Voorblad!$F$41)/$U139-SUM($EE139:FC139)=1,1,0))))</f>
        <v>0</v>
      </c>
      <c r="FE139" s="8">
        <f>IF(FE$56-Voorblad!$F$41&gt;Voorblad!$K$41,0,IF($U139=0,0,IF($U139&lt;1,1/$U139,IF((FE$56-Voorblad!$F$41)/$U139-SUM($EE139:FD139)=1,1,0))))</f>
        <v>0</v>
      </c>
      <c r="FF139" s="8">
        <f>IF(FF$56-Voorblad!$F$41&gt;Voorblad!$K$41,0,IF($U139=0,0,IF($U139&lt;1,1/$U139,IF((FF$56-Voorblad!$F$41)/$U139-SUM($EE139:FE139)=1,1,0))))</f>
        <v>0</v>
      </c>
      <c r="FG139" s="8">
        <f>IF(FG$56-Voorblad!$F$41&gt;Voorblad!$K$41,0,IF($U139=0,0,IF($U139&lt;1,1/$U139,IF((FG$56-Voorblad!$F$41)/$U139-SUM($EE139:FF139)=1,1,0))))</f>
        <v>0</v>
      </c>
      <c r="FH139" s="8">
        <f>IF(FH$56-Voorblad!$F$41&gt;Voorblad!$K$41,0,IF($U139=0,0,IF($U139&lt;1,1/$U139,IF((FH$56-Voorblad!$F$41)/$U139-SUM($EE139:FG139)=1,1,0))))</f>
        <v>0</v>
      </c>
      <c r="FI139" s="8">
        <f>IF(FI$56-Voorblad!$F$41&gt;Voorblad!$K$41,0,IF($U139=0,0,IF($U139&lt;1,1/$U139,IF((FI$56-Voorblad!$F$41)/$U139-SUM($EE139:FH139)=1,1,0))))</f>
        <v>0</v>
      </c>
      <c r="FJ139" s="8">
        <f>IF(FJ$56-Voorblad!$F$41&gt;Voorblad!$K$41,0,IF($U139=0,0,IF($U139&lt;1,1/$U139,IF((FJ$56-Voorblad!$F$41)/$U139-SUM($EE139:FI139)=1,1,0))))</f>
        <v>0</v>
      </c>
      <c r="FK139" s="8">
        <f>IF(FK$56-Voorblad!$F$41&gt;Voorblad!$K$41,0,IF($U139=0,0,IF($U139&lt;1,1/$U139,IF((FK$56-Voorblad!$F$41)/$U139-SUM($EE139:FJ139)=1,1,0))))</f>
        <v>0</v>
      </c>
      <c r="FL139" s="8">
        <f>IF(FL$56-Voorblad!$F$41&gt;Voorblad!$K$41,0,IF($U139=0,0,IF($U139&lt;1,1/$U139,IF((FL$56-Voorblad!$F$41)/$U139-SUM($EE139:FK139)=1,1,0))))</f>
        <v>0</v>
      </c>
      <c r="FM139" s="8">
        <f>IF(FM$56-Voorblad!$F$41&gt;Voorblad!$K$41,0,IF($U139=0,0,IF($U139&lt;1,1/$U139,IF((FM$56-Voorblad!$F$41)/$U139-SUM($EE139:FL139)=1,1,0))))</f>
        <v>0</v>
      </c>
      <c r="FN139" s="8">
        <f>IF(FN$56-Voorblad!$F$41&gt;Voorblad!$K$41,0,IF($U139=0,0,IF($U139&lt;1,1/$U139,IF((FN$56-Voorblad!$F$41)/$U139-SUM($EE139:FM139)=1,1,0))))</f>
        <v>0</v>
      </c>
      <c r="FO139" s="8">
        <f>IF(FO$56-Voorblad!$F$41&gt;Voorblad!$K$41,0,IF($U139=0,0,IF($U139&lt;1,1/$U139,IF((FO$56-Voorblad!$F$41)/$U139-SUM($EE139:FN139)=1,1,0))))</f>
        <v>0</v>
      </c>
      <c r="FP139" s="8">
        <f>IF(FP$56-Voorblad!$F$41&gt;Voorblad!$K$41,0,IF($U139=0,0,IF($U139&lt;1,1/$U139,IF((FP$56-Voorblad!$F$41)/$U139-SUM($EE139:FO139)=1,1,0))))</f>
        <v>0</v>
      </c>
      <c r="FQ139" s="8">
        <f>IF(FQ$56-Voorblad!$F$41&gt;Voorblad!$K$41,0,IF($U139=0,0,IF($U139&lt;1,1/$U139,IF((FQ$56-Voorblad!$F$41)/$U139-SUM($EE139:FP139)=1,1,0))))</f>
        <v>0</v>
      </c>
      <c r="FR139" s="8">
        <f>IF(FR$56-Voorblad!$F$41&gt;Voorblad!$K$41,0,IF($U139=0,0,IF($U139&lt;1,1/$U139,IF((FR$56-Voorblad!$F$41)/$U139-SUM($EE139:FQ139)=1,1,0))))</f>
        <v>0</v>
      </c>
      <c r="FS139" s="8">
        <f>IF(FS$56-Voorblad!$F$41&gt;Voorblad!$K$41,0,IF($U139=0,0,IF($U139&lt;1,1/$U139,IF((FS$56-Voorblad!$F$41)/$U139-SUM($EE139:FR139)=1,1,0))))</f>
        <v>0</v>
      </c>
      <c r="FT139" s="8">
        <f>IF(FT$56-Voorblad!$F$41&gt;Voorblad!$K$41,0,IF($U139=0,0,IF($U139&lt;1,1/$U139,IF((FT$56-Voorblad!$F$41)/$U139-SUM($EE139:FS139)=1,1,0))))</f>
        <v>0</v>
      </c>
      <c r="FU139" s="8">
        <f>IF(FU$56-Voorblad!$F$41&gt;Voorblad!$K$41,0,IF($U139=0,0,IF($U139&lt;1,1/$U139,IF((FU$56-Voorblad!$F$41)/$U139-SUM($EE139:FT139)=1,1,0))))</f>
        <v>0</v>
      </c>
      <c r="FV139" s="8">
        <f>IF(FV$56-Voorblad!$F$41&gt;Voorblad!$K$41,0,IF($U139=0,0,IF($U139&lt;1,1/$U139,IF((FV$56-Voorblad!$F$41)/$U139-SUM($EE139:FU139)=1,1,0))))</f>
        <v>0</v>
      </c>
      <c r="FW139" s="8">
        <f>IF(FW$56-Voorblad!$F$41&gt;Voorblad!$K$41,0,IF($U139=0,0,IF($U139&lt;1,1/$U139,IF((FW$56-Voorblad!$F$41)/$U139-SUM($EE139:FV139)=1,1,0))))</f>
        <v>0</v>
      </c>
      <c r="FX139" s="8">
        <f>IF(FX$56-Voorblad!$F$41&gt;Voorblad!$K$41,0,IF($U139=0,0,IF($U139&lt;1,1/$U139,IF((FX$56-Voorblad!$F$41)/$U139-SUM($EE139:FW139)=1,1,0))))</f>
        <v>0</v>
      </c>
      <c r="FY139" s="8">
        <f>IF(FY$56-Voorblad!$F$41&gt;Voorblad!$K$41,0,IF($U139=0,0,IF($U139&lt;1,1/$U139,IF((FY$56-Voorblad!$F$41)/$U139-SUM($EE139:FX139)=1,1,0))))</f>
        <v>0</v>
      </c>
      <c r="FZ139" s="8">
        <f>IF(FZ$56-Voorblad!$F$41&gt;Voorblad!$K$41,0,IF($U139=0,0,IF($U139&lt;1,1/$U139,IF((FZ$56-Voorblad!$F$41)/$U139-SUM($EE139:FY139)=1,1,0))))</f>
        <v>0</v>
      </c>
      <c r="GA139" s="8">
        <f>IF(GA$56-Voorblad!$F$41&gt;Voorblad!$K$41,0,IF($U139=0,0,IF($U139&lt;1,1/$U139,IF((GA$56-Voorblad!$F$41)/$U139-SUM($EE139:FZ139)=1,1,0))))</f>
        <v>0</v>
      </c>
      <c r="GB139" s="8">
        <f>IF(GB$56-Voorblad!$F$41&gt;Voorblad!$K$41,0,IF($U139=0,0,IF($U139&lt;1,1/$U139,IF((GB$56-Voorblad!$F$41)/$U139-SUM($EE139:GA139)=1,1,0))))</f>
        <v>0</v>
      </c>
      <c r="GC139" s="8">
        <f>IF(GC$56-Voorblad!$F$41&gt;Voorblad!$K$41,0,IF($U139=0,0,IF($U139&lt;1,1/$U139,IF((GC$56-Voorblad!$F$41)/$U139-SUM($EE139:GB139)=1,1,0))))</f>
        <v>0</v>
      </c>
      <c r="GD139" s="8">
        <f>IF(GD$56-Voorblad!$F$41&gt;Voorblad!$K$41,0,IF($U139=0,0,IF($U139&lt;1,1/$U139,IF((GD$56-Voorblad!$F$41)/$U139-SUM($EE139:GC139)=1,1,0))))</f>
        <v>1</v>
      </c>
      <c r="GE139" s="8">
        <f>IF(GE$56-Voorblad!$F$41&gt;Voorblad!$K$41,0,IF($U139=0,0,IF($U139&lt;1,1/$U139,IF((GE$56-Voorblad!$F$41)/$U139-SUM($EE139:GD139)=1,1,0))))</f>
        <v>0</v>
      </c>
      <c r="GF139" s="8">
        <f>IF(GF$56-Voorblad!$F$41&gt;Voorblad!$K$41,0,IF($U139=0,0,IF($U139&lt;1,1/$U139,IF((GF$56-Voorblad!$F$41)/$U139-SUM($EE139:GE139)=1,1,0))))</f>
        <v>0</v>
      </c>
      <c r="GG139" s="8">
        <f>IF(GG$56-Voorblad!$F$41&gt;Voorblad!$K$41,0,IF($U139=0,0,IF($U139&lt;1,1/$U139,IF((GG$56-Voorblad!$F$41)/$U139-SUM($EE139:GF139)=1,1,0))))</f>
        <v>0</v>
      </c>
      <c r="GH139" s="8">
        <f>IF(GH$56-Voorblad!$F$41&gt;Voorblad!$K$41,0,IF($U139=0,0,IF($U139&lt;1,1/$U139,IF((GH$56-Voorblad!$F$41)/$U139-SUM($EE139:GG139)=1,1,0))))</f>
        <v>0</v>
      </c>
      <c r="GI139" s="8">
        <f>IF(GI$56-Voorblad!$F$41&gt;Voorblad!$K$41,0,IF($U139=0,0,IF($U139&lt;1,1/$U139,IF((GI$56-Voorblad!$F$41)/$U139-SUM($EE139:GH139)=1,1,0))))</f>
        <v>0</v>
      </c>
      <c r="GJ139" s="8">
        <f>IF(GJ$56-Voorblad!$F$41&gt;Voorblad!$K$41,0,IF($U139=0,0,IF($U139&lt;1,1/$U139,IF((GJ$56-Voorblad!$F$41)/$U139-SUM($EE139:GI139)=1,1,0))))</f>
        <v>0</v>
      </c>
      <c r="GK139" s="8">
        <f>IF(GK$56-Voorblad!$F$41&gt;Voorblad!$K$41,0,IF($U139=0,0,IF($U139&lt;1,1/$U139,IF((GK$56-Voorblad!$F$41)/$U139-SUM($EE139:GJ139)=1,1,0))))</f>
        <v>0</v>
      </c>
      <c r="GL139" s="8">
        <f>IF(GL$56-Voorblad!$F$41&gt;Voorblad!$K$41,0,IF($U139=0,0,IF($U139&lt;1,1/$U139,IF((GL$56-Voorblad!$F$41)/$U139-SUM($EE139:GK139)=1,1,0))))</f>
        <v>0</v>
      </c>
      <c r="GM139" s="8">
        <f>IF(GM$56-Voorblad!$F$41&gt;Voorblad!$K$41,0,IF($U139=0,0,IF($U139&lt;1,1/$U139,IF((GM$56-Voorblad!$F$41)/$U139-SUM($EE139:GL139)=1,1,0))))</f>
        <v>0</v>
      </c>
      <c r="GN139" s="8">
        <f>IF(GN$56-Voorblad!$F$41&gt;Voorblad!$K$41,0,IF($U139=0,0,IF($U139&lt;1,1/$U139,IF((GN$56-Voorblad!$F$41)/$U139-SUM($EE139:GM139)=1,1,0))))</f>
        <v>0</v>
      </c>
      <c r="GO139" s="8">
        <f>IF(GO$56-Voorblad!$F$41&gt;Voorblad!$K$41,0,IF($U139=0,0,IF($U139&lt;1,1/$U139,IF((GO$56-Voorblad!$F$41)/$U139-SUM($EE139:GN139)=1,1,0))))</f>
        <v>0</v>
      </c>
      <c r="GP139" s="8">
        <f>IF(GP$56-Voorblad!$F$41&gt;Voorblad!$K$41,0,IF($U139=0,0,IF($U139&lt;1,1/$U139,IF((GP$56-Voorblad!$F$41)/$U139-SUM($EE139:GO139)=1,1,0))))</f>
        <v>0</v>
      </c>
      <c r="GQ139" s="8">
        <f>IF(GQ$56-Voorblad!$F$41&gt;Voorblad!$K$41,0,IF($U139=0,0,IF($U139&lt;1,1/$U139,IF((GQ$56-Voorblad!$F$41)/$U139-SUM($EE139:GP139)=1,1,0))))</f>
        <v>0</v>
      </c>
      <c r="GR139" s="8">
        <f>IF(GR$56-Voorblad!$F$41&gt;Voorblad!$K$41,0,IF($U139=0,0,IF($U139&lt;1,1/$U139,IF((GR$56-Voorblad!$F$41)/$U139-SUM($EE139:GQ139)=1,1,0))))</f>
        <v>0</v>
      </c>
      <c r="GS139" s="8">
        <f>IF(GS$56-Voorblad!$F$41&gt;Voorblad!$K$41,0,IF($U139=0,0,IF($U139&lt;1,1/$U139,IF((GS$56-Voorblad!$F$41)/$U139-SUM($EE139:GR139)=1,1,0))))</f>
        <v>0</v>
      </c>
      <c r="GT139" s="8">
        <f>IF(GT$56-Voorblad!$F$41&gt;Voorblad!$K$41,0,IF($U139=0,0,IF($U139&lt;1,1/$U139,IF((GT$56-Voorblad!$F$41)/$U139-SUM($EE139:GS139)=1,1,0))))</f>
        <v>0</v>
      </c>
      <c r="GU139" s="8">
        <f>IF(GU$56-Voorblad!$F$41&gt;Voorblad!$K$41,0,IF($U139=0,0,IF($U139&lt;1,1/$U139,IF((GU$56-Voorblad!$F$41)/$U139-SUM($EE139:GT139)=1,1,0))))</f>
        <v>0</v>
      </c>
      <c r="GV139" s="8">
        <f>IF(GV$56-Voorblad!$F$41&gt;Voorblad!$K$41,0,IF($U139=0,0,IF($U139&lt;1,1/$U139,IF((GV$56-Voorblad!$F$41)/$U139-SUM($EE139:GU139)=1,1,0))))</f>
        <v>0</v>
      </c>
      <c r="GW139" s="8">
        <f>IF(GW$56-Voorblad!$F$41&gt;Voorblad!$K$41,0,IF($U139=0,0,IF($U139&lt;1,1/$U139,IF((GW$56-Voorblad!$F$41)/$U139-SUM($EE139:GV139)=1,1,0))))</f>
        <v>0</v>
      </c>
      <c r="GX139" s="8">
        <f>IF(GX$56-Voorblad!$F$41&gt;Voorblad!$K$41,0,IF($U139=0,0,IF($U139&lt;1,1/$U139,IF((GX$56-Voorblad!$F$41)/$U139-SUM($EE139:GW139)=1,1,0))))</f>
        <v>0</v>
      </c>
      <c r="GY139" s="8">
        <f>IF(GY$56-Voorblad!$F$41&gt;Voorblad!$K$41,0,IF($U139=0,0,IF($U139&lt;1,1/$U139,IF((GY$56-Voorblad!$F$41)/$U139-SUM($EE139:GX139)=1,1,0))))</f>
        <v>0</v>
      </c>
      <c r="GZ139" s="8">
        <f>IF(GZ$56-Voorblad!$F$41&gt;Voorblad!$K$41,0,IF($U139=0,0,IF($U139&lt;1,1/$U139,IF((GZ$56-Voorblad!$F$41)/$U139-SUM($EE139:GY139)=1,1,0))))</f>
        <v>0</v>
      </c>
      <c r="HA139" s="8">
        <f>IF(HA$56-Voorblad!$F$41&gt;Voorblad!$K$41,0,IF($U139=0,0,IF($U139&lt;1,1/$U139,IF((HA$56-Voorblad!$F$41)/$U139-SUM($EE139:GZ139)=1,1,0))))</f>
        <v>0</v>
      </c>
      <c r="HB139" s="8">
        <f>IF(HB$56-Voorblad!$F$41&gt;Voorblad!$K$41,0,IF($U139=0,0,IF($U139&lt;1,1/$U139,IF((HB$56-Voorblad!$F$41)/$U139-SUM($EE139:HA139)=1,1,0))))</f>
        <v>0</v>
      </c>
      <c r="HC139" s="8">
        <f>IF(HC$56-Voorblad!$F$41&gt;Voorblad!$K$41,0,IF($U139=0,0,IF($U139&lt;1,1/$U139,IF((HC$56-Voorblad!$F$41)/$U139-SUM($EE139:HB139)=1,1,0))))</f>
        <v>0</v>
      </c>
      <c r="HD139" s="8">
        <f>IF(HD$56-Voorblad!$F$41&gt;Voorblad!$K$41,0,IF($U139=0,0,IF($U139&lt;1,1/$U139,IF((HD$56-Voorblad!$F$41)/$U139-SUM($EE139:HC139)=1,1,0))))</f>
        <v>0</v>
      </c>
      <c r="HE139" s="8">
        <f>IF(HE$56-Voorblad!$F$41&gt;Voorblad!$K$41,0,IF($U139=0,0,IF($U139&lt;1,1/$U139,IF((HE$56-Voorblad!$F$41)/$U139-SUM($EE139:HD139)=1,1,0))))</f>
        <v>0</v>
      </c>
      <c r="HF139" s="8">
        <f>IF(HF$56-Voorblad!$F$41&gt;Voorblad!$K$41,0,IF($U139=0,0,IF($U139&lt;1,1/$U139,IF((HF$56-Voorblad!$F$41)/$U139-SUM($EE139:HE139)=1,1,0))))</f>
        <v>0</v>
      </c>
      <c r="HG139" s="8">
        <f>IF(HG$56-Voorblad!$F$41&gt;Voorblad!$K$41,0,IF($U139=0,0,IF($U139&lt;1,1/$U139,IF((HG$56-Voorblad!$F$41)/$U139-SUM($EE139:HF139)=1,1,0))))</f>
        <v>0</v>
      </c>
      <c r="HH139" s="8">
        <f>IF(HH$56-Voorblad!$F$41&gt;Voorblad!$K$41,0,IF($U139=0,0,IF($U139&lt;1,1/$U139,IF((HH$56-Voorblad!$F$41)/$U139-SUM($EE139:HG139)=1,1,0))))</f>
        <v>0</v>
      </c>
      <c r="HI139" s="8">
        <f>IF(HI$56-Voorblad!$F$41&gt;Voorblad!$K$41,0,IF($U139=0,0,IF($U139&lt;1,1/$U139,IF((HI$56-Voorblad!$F$41)/$U139-SUM($EE139:HH139)=1,1,0))))</f>
        <v>0</v>
      </c>
      <c r="HJ139" s="8">
        <f>IF(HJ$56-Voorblad!$F$41&gt;Voorblad!$K$41,0,IF($U139=0,0,IF($U139&lt;1,1/$U139,IF((HJ$56-Voorblad!$F$41)/$U139-SUM($EE139:HI139)=1,1,0))))</f>
        <v>0</v>
      </c>
      <c r="HK139" s="8">
        <f>IF(HK$56-Voorblad!$F$41&gt;Voorblad!$K$41,0,IF($U139=0,0,IF($U139&lt;1,1/$U139,IF((HK$56-Voorblad!$F$41)/$U139-SUM($EE139:HJ139)=1,1,0))))</f>
        <v>0</v>
      </c>
      <c r="HL139" s="8">
        <f>IF(HL$56-Voorblad!$F$41&gt;Voorblad!$K$41,0,IF($U139=0,0,IF($U139&lt;1,1/$U139,IF((HL$56-Voorblad!$F$41)/$U139-SUM($EE139:HK139)=1,1,0))))</f>
        <v>0</v>
      </c>
      <c r="HM139" s="8">
        <f>IF(HM$56-Voorblad!$F$41&gt;Voorblad!$K$41,0,IF($U139=0,0,IF($U139&lt;1,1/$U139,IF((HM$56-Voorblad!$F$41)/$U139-SUM($EE139:HL139)=1,1,0))))</f>
        <v>0</v>
      </c>
      <c r="HN139" s="8">
        <f>IF(HN$56-Voorblad!$F$41&gt;Voorblad!$K$41,0,IF($U139=0,0,IF($U139&lt;1,1/$U139,IF((HN$56-Voorblad!$F$41)/$U139-SUM($EE139:HM139)=1,1,0))))</f>
        <v>0</v>
      </c>
      <c r="HO139" s="8">
        <f>IF(HO$56-Voorblad!$F$41&gt;Voorblad!$K$41,0,IF($U139=0,0,IF($U139&lt;1,1/$U139,IF((HO$56-Voorblad!$F$41)/$U139-SUM($EE139:HN139)=1,1,0))))</f>
        <v>0</v>
      </c>
      <c r="HP139" s="8">
        <f>IF(HP$56-Voorblad!$F$41&gt;Voorblad!$K$41,0,IF($U139=0,0,IF($U139&lt;1,1/$U139,IF((HP$56-Voorblad!$F$41)/$U139-SUM($EE139:HO139)=1,1,0))))</f>
        <v>0</v>
      </c>
      <c r="HQ139" s="8">
        <f>IF(HQ$56-Voorblad!$F$41&gt;Voorblad!$K$41,0,IF($U139=0,0,IF($U139&lt;1,1/$U139,IF((HQ$56-Voorblad!$F$41)/$U139-SUM($EE139:HP139)=1,1,0))))</f>
        <v>0</v>
      </c>
      <c r="HR139" s="8">
        <f>IF(HR$56-Voorblad!$F$41&gt;Voorblad!$K$41,0,IF($U139=0,0,IF($U139&lt;1,1/$U139,IF((HR$56-Voorblad!$F$41)/$U139-SUM($EE139:HQ139)=1,1,0))))</f>
        <v>0</v>
      </c>
      <c r="HS139" s="8">
        <f>IF(HS$56-Voorblad!$F$41&gt;Voorblad!$K$41,0,IF($U139=0,0,IF($U139&lt;1,1/$U139,IF((HS$56-Voorblad!$F$41)/$U139-SUM($EE139:HR139)=1,1,0))))</f>
        <v>0</v>
      </c>
      <c r="HT139" s="8">
        <f>IF(HT$56-Voorblad!$F$41&gt;Voorblad!$K$41,0,IF($U139=0,0,IF($U139&lt;1,1/$U139,IF((HT$56-Voorblad!$F$41)/$U139-SUM($EE139:HS139)=1,1,0))))</f>
        <v>0</v>
      </c>
      <c r="HU139" s="8">
        <f>IF(HU$56-Voorblad!$F$41&gt;Voorblad!$K$41,0,IF($U139=0,0,IF($U139&lt;1,1/$U139,IF((HU$56-Voorblad!$F$41)/$U139-SUM($EE139:HT139)=1,1,0))))</f>
        <v>0</v>
      </c>
      <c r="HV139" s="8">
        <f>IF(HV$56-Voorblad!$F$41&gt;Voorblad!$K$41,0,IF($U139=0,0,IF($U139&lt;1,1/$U139,IF((HV$56-Voorblad!$F$41)/$U139-SUM($EE139:HU139)=1,1,0))))</f>
        <v>0</v>
      </c>
      <c r="HW139" s="8">
        <f>IF(HW$56-Voorblad!$F$41&gt;Voorblad!$K$41,0,IF($U139=0,0,IF($U139&lt;1,1/$U139,IF((HW$56-Voorblad!$F$41)/$U139-SUM($EE139:HV139)=1,1,0))))</f>
        <v>0</v>
      </c>
      <c r="HX139" s="8">
        <f>IF(HX$56-Voorblad!$F$41&gt;Voorblad!$K$41,0,IF($U139=0,0,IF($U139&lt;1,1/$U139,IF((HX$56-Voorblad!$F$41)/$U139-SUM($EE139:HW139)=1,1,0))))</f>
        <v>0</v>
      </c>
      <c r="HY139" s="8">
        <f>IF(HY$56-Voorblad!$F$41&gt;Voorblad!$K$41,0,IF($U139=0,0,IF($U139&lt;1,1/$U139,IF((HY$56-Voorblad!$F$41)/$U139-SUM($EE139:HX139)=1,1,0))))</f>
        <v>0</v>
      </c>
      <c r="HZ139" s="8">
        <f>IF(HZ$56-Voorblad!$F$41&gt;Voorblad!$K$41,0,IF($U139=0,0,IF($U139&lt;1,1/$U139,IF((HZ$56-Voorblad!$F$41)/$U139-SUM($EE139:HY139)=1,1,0))))</f>
        <v>0</v>
      </c>
      <c r="IA139" s="8">
        <f>IF(IA$56-Voorblad!$F$41&gt;Voorblad!$K$41,0,IF($U139=0,0,IF($U139&lt;1,1/$U139,IF((IA$56-Voorblad!$F$41)/$U139-SUM($EE139:HZ139)=1,1,0))))</f>
        <v>0</v>
      </c>
      <c r="IB139" s="8">
        <f>IF(IB$56-Voorblad!$F$41&gt;Voorblad!$K$41,0,IF($U139=0,0,IF($U139&lt;1,1/$U139,IF((IB$56-Voorblad!$F$41)/$U139-SUM($EE139:IA139)=1,1,0))))</f>
        <v>0</v>
      </c>
    </row>
    <row r="140" spans="2:236" ht="12" customHeight="1" outlineLevel="1" x14ac:dyDescent="0.25">
      <c r="B140" s="1">
        <v>1</v>
      </c>
      <c r="F140" s="1" t="s">
        <v>23</v>
      </c>
      <c r="I140" s="1" t="s">
        <v>49</v>
      </c>
      <c r="K140" s="14" t="s">
        <v>188</v>
      </c>
      <c r="P140" s="14" t="s">
        <v>194</v>
      </c>
      <c r="Q140" s="81">
        <v>0</v>
      </c>
      <c r="R140" s="1" t="s">
        <v>34</v>
      </c>
      <c r="S140" s="14">
        <f>$H$10*400</f>
        <v>952</v>
      </c>
      <c r="T140" s="9">
        <f t="shared" si="104"/>
        <v>0</v>
      </c>
      <c r="U140" s="14">
        <v>50</v>
      </c>
      <c r="V140" s="14"/>
      <c r="Y140" s="9">
        <f t="shared" si="107"/>
        <v>0</v>
      </c>
      <c r="Z140" s="82"/>
      <c r="AA140" s="82"/>
      <c r="AC140" s="9">
        <f>$Y140*(Voorblad!$K$44*(1+Voorblad!$K$44)^Voorblad!$K$41)/((1+Voorblad!$K$44)^Voorblad!$K$41-1)</f>
        <v>0</v>
      </c>
      <c r="AE140" s="9">
        <f>EF140*($Q140*$S140)/(1+Voorblad!$K$44)^(AE$56-Voorblad!$F$41)</f>
        <v>0</v>
      </c>
      <c r="AF140" s="9">
        <f>EG140*($Q140*$S140)/(1+Voorblad!$K$44)^(AF$56-Voorblad!$F$41)</f>
        <v>0</v>
      </c>
      <c r="AG140" s="9">
        <f>EH140*($Q140*$S140)/(1+Voorblad!$K$44)^(AG$56-Voorblad!$F$41)</f>
        <v>0</v>
      </c>
      <c r="AH140" s="9">
        <f>EI140*($Q140*$S140)/(1+Voorblad!$K$44)^(AH$56-Voorblad!$F$41)</f>
        <v>0</v>
      </c>
      <c r="AI140" s="9">
        <f>EJ140*($Q140*$S140)/(1+Voorblad!$K$44)^(AI$56-Voorblad!$F$41)</f>
        <v>0</v>
      </c>
      <c r="AJ140" s="9">
        <f>EK140*($Q140*$S140)/(1+Voorblad!$K$44)^(AJ$56-Voorblad!$F$41)</f>
        <v>0</v>
      </c>
      <c r="AK140" s="9">
        <f>EL140*($Q140*$S140)/(1+Voorblad!$K$44)^(AK$56-Voorblad!$F$41)</f>
        <v>0</v>
      </c>
      <c r="AL140" s="9">
        <f>EM140*($Q140*$S140)/(1+Voorblad!$K$44)^(AL$56-Voorblad!$F$41)</f>
        <v>0</v>
      </c>
      <c r="AM140" s="9">
        <f>EN140*($Q140*$S140)/(1+Voorblad!$K$44)^(AM$56-Voorblad!$F$41)</f>
        <v>0</v>
      </c>
      <c r="AN140" s="9">
        <f>EO140*($Q140*$S140)/(1+Voorblad!$K$44)^(AN$56-Voorblad!$F$41)</f>
        <v>0</v>
      </c>
      <c r="AO140" s="9">
        <f>EP140*($Q140*$S140)/(1+Voorblad!$K$44)^(AO$56-Voorblad!$F$41)</f>
        <v>0</v>
      </c>
      <c r="AP140" s="9">
        <f>EQ140*($Q140*$S140)/(1+Voorblad!$K$44)^(AP$56-Voorblad!$F$41)</f>
        <v>0</v>
      </c>
      <c r="AQ140" s="9">
        <f>ER140*($Q140*$S140)/(1+Voorblad!$K$44)^(AQ$56-Voorblad!$F$41)</f>
        <v>0</v>
      </c>
      <c r="AR140" s="9">
        <f>ES140*($Q140*$S140)/(1+Voorblad!$K$44)^(AR$56-Voorblad!$F$41)</f>
        <v>0</v>
      </c>
      <c r="AS140" s="9">
        <f>ET140*($Q140*$S140)/(1+Voorblad!$K$44)^(AS$56-Voorblad!$F$41)</f>
        <v>0</v>
      </c>
      <c r="AT140" s="9">
        <f>EU140*($Q140*$S140)/(1+Voorblad!$K$44)^(AT$56-Voorblad!$F$41)</f>
        <v>0</v>
      </c>
      <c r="AU140" s="9">
        <f>EV140*($Q140*$S140)/(1+Voorblad!$K$44)^(AU$56-Voorblad!$F$41)</f>
        <v>0</v>
      </c>
      <c r="AV140" s="9">
        <f>EW140*($Q140*$S140)/(1+Voorblad!$K$44)^(AV$56-Voorblad!$F$41)</f>
        <v>0</v>
      </c>
      <c r="AW140" s="9">
        <f>EX140*($Q140*$S140)/(1+Voorblad!$K$44)^(AW$56-Voorblad!$F$41)</f>
        <v>0</v>
      </c>
      <c r="AX140" s="9">
        <f>EY140*($Q140*$S140)/(1+Voorblad!$K$44)^(AX$56-Voorblad!$F$41)</f>
        <v>0</v>
      </c>
      <c r="AY140" s="9">
        <f>EZ140*($Q140*$S140)/(1+Voorblad!$K$44)^(AY$56-Voorblad!$F$41)</f>
        <v>0</v>
      </c>
      <c r="AZ140" s="9">
        <f>FA140*($Q140*$S140)/(1+Voorblad!$K$44)^(AZ$56-Voorblad!$F$41)</f>
        <v>0</v>
      </c>
      <c r="BA140" s="9">
        <f>FB140*($Q140*$S140)/(1+Voorblad!$K$44)^(BA$56-Voorblad!$F$41)</f>
        <v>0</v>
      </c>
      <c r="BB140" s="9">
        <f>FC140*($Q140*$S140)/(1+Voorblad!$K$44)^(BB$56-Voorblad!$F$41)</f>
        <v>0</v>
      </c>
      <c r="BC140" s="9">
        <f>FD140*($Q140*$S140)/(1+Voorblad!$K$44)^(BC$56-Voorblad!$F$41)</f>
        <v>0</v>
      </c>
      <c r="BD140" s="9">
        <f>FE140*($Q140*$S140)/(1+Voorblad!$K$44)^(BD$56-Voorblad!$F$41)</f>
        <v>0</v>
      </c>
      <c r="BE140" s="9">
        <f>FF140*($Q140*$S140)/(1+Voorblad!$K$44)^(BE$56-Voorblad!$F$41)</f>
        <v>0</v>
      </c>
      <c r="BF140" s="9">
        <f>FG140*($Q140*$S140)/(1+Voorblad!$K$44)^(BF$56-Voorblad!$F$41)</f>
        <v>0</v>
      </c>
      <c r="BG140" s="9">
        <f>FH140*($Q140*$S140)/(1+Voorblad!$K$44)^(BG$56-Voorblad!$F$41)</f>
        <v>0</v>
      </c>
      <c r="BH140" s="9">
        <f>FI140*($Q140*$S140)/(1+Voorblad!$K$44)^(BH$56-Voorblad!$F$41)</f>
        <v>0</v>
      </c>
      <c r="BI140" s="9">
        <f>FJ140*($Q140*$S140)/(1+Voorblad!$K$44)^(BI$56-Voorblad!$F$41)</f>
        <v>0</v>
      </c>
      <c r="BJ140" s="9">
        <f>FK140*($Q140*$S140)/(1+Voorblad!$K$44)^(BJ$56-Voorblad!$F$41)</f>
        <v>0</v>
      </c>
      <c r="BK140" s="9">
        <f>FL140*($Q140*$S140)/(1+Voorblad!$K$44)^(BK$56-Voorblad!$F$41)</f>
        <v>0</v>
      </c>
      <c r="BL140" s="9">
        <f>FM140*($Q140*$S140)/(1+Voorblad!$K$44)^(BL$56-Voorblad!$F$41)</f>
        <v>0</v>
      </c>
      <c r="BM140" s="9">
        <f>FN140*($Q140*$S140)/(1+Voorblad!$K$44)^(BM$56-Voorblad!$F$41)</f>
        <v>0</v>
      </c>
      <c r="BN140" s="9">
        <f>FO140*($Q140*$S140)/(1+Voorblad!$K$44)^(BN$56-Voorblad!$F$41)</f>
        <v>0</v>
      </c>
      <c r="BO140" s="9">
        <f>FP140*($Q140*$S140)/(1+Voorblad!$K$44)^(BO$56-Voorblad!$F$41)</f>
        <v>0</v>
      </c>
      <c r="BP140" s="9">
        <f>FQ140*($Q140*$S140)/(1+Voorblad!$K$44)^(BP$56-Voorblad!$F$41)</f>
        <v>0</v>
      </c>
      <c r="BQ140" s="9">
        <f>FR140*($Q140*$S140)/(1+Voorblad!$K$44)^(BQ$56-Voorblad!$F$41)</f>
        <v>0</v>
      </c>
      <c r="BR140" s="9">
        <f>FS140*($Q140*$S140)/(1+Voorblad!$K$44)^(BR$56-Voorblad!$F$41)</f>
        <v>0</v>
      </c>
      <c r="BS140" s="9">
        <f>FT140*($Q140*$S140)/(1+Voorblad!$K$44)^(BS$56-Voorblad!$F$41)</f>
        <v>0</v>
      </c>
      <c r="BT140" s="9">
        <f>FU140*($Q140*$S140)/(1+Voorblad!$K$44)^(BT$56-Voorblad!$F$41)</f>
        <v>0</v>
      </c>
      <c r="BU140" s="9">
        <f>FV140*($Q140*$S140)/(1+Voorblad!$K$44)^(BU$56-Voorblad!$F$41)</f>
        <v>0</v>
      </c>
      <c r="BV140" s="9">
        <f>FW140*($Q140*$S140)/(1+Voorblad!$K$44)^(BV$56-Voorblad!$F$41)</f>
        <v>0</v>
      </c>
      <c r="BW140" s="9">
        <f>FX140*($Q140*$S140)/(1+Voorblad!$K$44)^(BW$56-Voorblad!$F$41)</f>
        <v>0</v>
      </c>
      <c r="BX140" s="9">
        <f>FY140*($Q140*$S140)/(1+Voorblad!$K$44)^(BX$56-Voorblad!$F$41)</f>
        <v>0</v>
      </c>
      <c r="BY140" s="9">
        <f>FZ140*($Q140*$S140)/(1+Voorblad!$K$44)^(BY$56-Voorblad!$F$41)</f>
        <v>0</v>
      </c>
      <c r="BZ140" s="9">
        <f>GA140*($Q140*$S140)/(1+Voorblad!$K$44)^(BZ$56-Voorblad!$F$41)</f>
        <v>0</v>
      </c>
      <c r="CA140" s="9">
        <f>GB140*($Q140*$S140)/(1+Voorblad!$K$44)^(CA$56-Voorblad!$F$41)</f>
        <v>0</v>
      </c>
      <c r="CB140" s="9">
        <f>GC140*($Q140*$S140)/(1+Voorblad!$K$44)^(CB$56-Voorblad!$F$41)</f>
        <v>0</v>
      </c>
      <c r="CC140" s="9">
        <f>GD140*($Q140*$S140)/(1+Voorblad!$K$44)^(CC$56-Voorblad!$F$41)</f>
        <v>0</v>
      </c>
      <c r="CD140" s="9">
        <f>GE140*($Q140*$S140)/(1+Voorblad!$K$44)^(CD$56-Voorblad!$F$41)</f>
        <v>0</v>
      </c>
      <c r="CE140" s="9">
        <f>GF140*($Q140*$S140)/(1+Voorblad!$K$44)^(CE$56-Voorblad!$F$41)</f>
        <v>0</v>
      </c>
      <c r="CF140" s="9">
        <f>GG140*($Q140*$S140)/(1+Voorblad!$K$44)^(CF$56-Voorblad!$F$41)</f>
        <v>0</v>
      </c>
      <c r="CG140" s="9">
        <f>GH140*($Q140*$S140)/(1+Voorblad!$K$44)^(CG$56-Voorblad!$F$41)</f>
        <v>0</v>
      </c>
      <c r="CH140" s="9">
        <f>GI140*($Q140*$S140)/(1+Voorblad!$K$44)^(CH$56-Voorblad!$F$41)</f>
        <v>0</v>
      </c>
      <c r="CI140" s="9">
        <f>GJ140*($Q140*$S140)/(1+Voorblad!$K$44)^(CI$56-Voorblad!$F$41)</f>
        <v>0</v>
      </c>
      <c r="CJ140" s="9">
        <f>GK140*($Q140*$S140)/(1+Voorblad!$K$44)^(CJ$56-Voorblad!$F$41)</f>
        <v>0</v>
      </c>
      <c r="CK140" s="9">
        <f>GL140*($Q140*$S140)/(1+Voorblad!$K$44)^(CK$56-Voorblad!$F$41)</f>
        <v>0</v>
      </c>
      <c r="CL140" s="9">
        <f>GM140*($Q140*$S140)/(1+Voorblad!$K$44)^(CL$56-Voorblad!$F$41)</f>
        <v>0</v>
      </c>
      <c r="CM140" s="9">
        <f>GN140*($Q140*$S140)/(1+Voorblad!$K$44)^(CM$56-Voorblad!$F$41)</f>
        <v>0</v>
      </c>
      <c r="CN140" s="9">
        <f>GO140*($Q140*$S140)/(1+Voorblad!$K$44)^(CN$56-Voorblad!$F$41)</f>
        <v>0</v>
      </c>
      <c r="CO140" s="9">
        <f>GP140*($Q140*$S140)/(1+Voorblad!$K$44)^(CO$56-Voorblad!$F$41)</f>
        <v>0</v>
      </c>
      <c r="CP140" s="9">
        <f>GQ140*($Q140*$S140)/(1+Voorblad!$K$44)^(CP$56-Voorblad!$F$41)</f>
        <v>0</v>
      </c>
      <c r="CQ140" s="9">
        <f>GR140*($Q140*$S140)/(1+Voorblad!$K$44)^(CQ$56-Voorblad!$F$41)</f>
        <v>0</v>
      </c>
      <c r="CR140" s="9">
        <f>GS140*($Q140*$S140)/(1+Voorblad!$K$44)^(CR$56-Voorblad!$F$41)</f>
        <v>0</v>
      </c>
      <c r="CS140" s="9">
        <f>GT140*($Q140*$S140)/(1+Voorblad!$K$44)^(CS$56-Voorblad!$F$41)</f>
        <v>0</v>
      </c>
      <c r="CT140" s="9">
        <f>GU140*($Q140*$S140)/(1+Voorblad!$K$44)^(CT$56-Voorblad!$F$41)</f>
        <v>0</v>
      </c>
      <c r="CU140" s="9">
        <f>GV140*($Q140*$S140)/(1+Voorblad!$K$44)^(CU$56-Voorblad!$F$41)</f>
        <v>0</v>
      </c>
      <c r="CV140" s="9">
        <f>GW140*($Q140*$S140)/(1+Voorblad!$K$44)^(CV$56-Voorblad!$F$41)</f>
        <v>0</v>
      </c>
      <c r="CW140" s="9">
        <f>GX140*($Q140*$S140)/(1+Voorblad!$K$44)^(CW$56-Voorblad!$F$41)</f>
        <v>0</v>
      </c>
      <c r="CX140" s="9">
        <f>GY140*($Q140*$S140)/(1+Voorblad!$K$44)^(CX$56-Voorblad!$F$41)</f>
        <v>0</v>
      </c>
      <c r="CY140" s="9">
        <f>GZ140*($Q140*$S140)/(1+Voorblad!$K$44)^(CY$56-Voorblad!$F$41)</f>
        <v>0</v>
      </c>
      <c r="CZ140" s="9">
        <f>HA140*($Q140*$S140)/(1+Voorblad!$K$44)^(CZ$56-Voorblad!$F$41)</f>
        <v>0</v>
      </c>
      <c r="DA140" s="9">
        <f>HB140*($Q140*$S140)/(1+Voorblad!$K$44)^(DA$56-Voorblad!$F$41)</f>
        <v>0</v>
      </c>
      <c r="DB140" s="9">
        <f>HC140*($Q140*$S140)/(1+Voorblad!$K$44)^(DB$56-Voorblad!$F$41)</f>
        <v>0</v>
      </c>
      <c r="DC140" s="9">
        <f>HD140*($Q140*$S140)/(1+Voorblad!$K$44)^(DC$56-Voorblad!$F$41)</f>
        <v>0</v>
      </c>
      <c r="DD140" s="9">
        <f>HE140*($Q140*$S140)/(1+Voorblad!$K$44)^(DD$56-Voorblad!$F$41)</f>
        <v>0</v>
      </c>
      <c r="DE140" s="9">
        <f>HF140*($Q140*$S140)/(1+Voorblad!$K$44)^(DE$56-Voorblad!$F$41)</f>
        <v>0</v>
      </c>
      <c r="DF140" s="9">
        <f>HG140*($Q140*$S140)/(1+Voorblad!$K$44)^(DF$56-Voorblad!$F$41)</f>
        <v>0</v>
      </c>
      <c r="DG140" s="9">
        <f>HH140*($Q140*$S140)/(1+Voorblad!$K$44)^(DG$56-Voorblad!$F$41)</f>
        <v>0</v>
      </c>
      <c r="DH140" s="9">
        <f>HI140*($Q140*$S140)/(1+Voorblad!$K$44)^(DH$56-Voorblad!$F$41)</f>
        <v>0</v>
      </c>
      <c r="DI140" s="9">
        <f>HJ140*($Q140*$S140)/(1+Voorblad!$K$44)^(DI$56-Voorblad!$F$41)</f>
        <v>0</v>
      </c>
      <c r="DJ140" s="9">
        <f>HK140*($Q140*$S140)/(1+Voorblad!$K$44)^(DJ$56-Voorblad!$F$41)</f>
        <v>0</v>
      </c>
      <c r="DK140" s="9">
        <f>HL140*($Q140*$S140)/(1+Voorblad!$K$44)^(DK$56-Voorblad!$F$41)</f>
        <v>0</v>
      </c>
      <c r="DL140" s="9">
        <f>HM140*($Q140*$S140)/(1+Voorblad!$K$44)^(DL$56-Voorblad!$F$41)</f>
        <v>0</v>
      </c>
      <c r="DM140" s="9">
        <f>HN140*($Q140*$S140)/(1+Voorblad!$K$44)^(DM$56-Voorblad!$F$41)</f>
        <v>0</v>
      </c>
      <c r="DN140" s="9">
        <f>HO140*($Q140*$S140)/(1+Voorblad!$K$44)^(DN$56-Voorblad!$F$41)</f>
        <v>0</v>
      </c>
      <c r="DO140" s="9">
        <f>HP140*($Q140*$S140)/(1+Voorblad!$K$44)^(DO$56-Voorblad!$F$41)</f>
        <v>0</v>
      </c>
      <c r="DP140" s="9">
        <f>HQ140*($Q140*$S140)/(1+Voorblad!$K$44)^(DP$56-Voorblad!$F$41)</f>
        <v>0</v>
      </c>
      <c r="DQ140" s="9">
        <f>HR140*($Q140*$S140)/(1+Voorblad!$K$44)^(DQ$56-Voorblad!$F$41)</f>
        <v>0</v>
      </c>
      <c r="DR140" s="9">
        <f>HS140*($Q140*$S140)/(1+Voorblad!$K$44)^(DR$56-Voorblad!$F$41)</f>
        <v>0</v>
      </c>
      <c r="DS140" s="9">
        <f>HT140*($Q140*$S140)/(1+Voorblad!$K$44)^(DS$56-Voorblad!$F$41)</f>
        <v>0</v>
      </c>
      <c r="DT140" s="9">
        <f>HU140*($Q140*$S140)/(1+Voorblad!$K$44)^(DT$56-Voorblad!$F$41)</f>
        <v>0</v>
      </c>
      <c r="DU140" s="9">
        <f>HV140*($Q140*$S140)/(1+Voorblad!$K$44)^(DU$56-Voorblad!$F$41)</f>
        <v>0</v>
      </c>
      <c r="DV140" s="9">
        <f>HW140*($Q140*$S140)/(1+Voorblad!$K$44)^(DV$56-Voorblad!$F$41)</f>
        <v>0</v>
      </c>
      <c r="DW140" s="9">
        <f>HX140*($Q140*$S140)/(1+Voorblad!$K$44)^(DW$56-Voorblad!$F$41)</f>
        <v>0</v>
      </c>
      <c r="DX140" s="9">
        <f>HY140*($Q140*$S140)/(1+Voorblad!$K$44)^(DX$56-Voorblad!$F$41)</f>
        <v>0</v>
      </c>
      <c r="DY140" s="9">
        <f>HZ140*($Q140*$S140)/(1+Voorblad!$K$44)^(DY$56-Voorblad!$F$41)</f>
        <v>0</v>
      </c>
      <c r="DZ140" s="9">
        <f>IA140*($Q140*$S140)/(1+Voorblad!$K$44)^(DZ$56-Voorblad!$F$41)</f>
        <v>0</v>
      </c>
      <c r="EA140" s="9">
        <f>IB140*($Q140*$S140)/(1+Voorblad!$K$44)^(EA$56-Voorblad!$F$41)</f>
        <v>0</v>
      </c>
      <c r="EB140" s="9">
        <f>IC140*($Q140*$S140)/(1+Voorblad!$K$44)^(EB$56-Voorblad!$F$41)</f>
        <v>0</v>
      </c>
      <c r="EE140" s="8">
        <v>0</v>
      </c>
      <c r="EF140" s="8">
        <f>IF(EF$56-Voorblad!$F$41&gt;Voorblad!$K$41,0,IF($U140=0,0,IF($U140&lt;1,1/$U140,IF((EF$56-Voorblad!$F$41)/$U140-SUM($EE140:EE140)=1,1,0))))</f>
        <v>0</v>
      </c>
      <c r="EG140" s="8">
        <f>IF(EG$56-Voorblad!$F$41&gt;Voorblad!$K$41,0,IF($U140=0,0,IF($U140&lt;1,1/$U140,IF((EG$56-Voorblad!$F$41)/$U140-SUM($EE140:EF140)=1,1,0))))</f>
        <v>0</v>
      </c>
      <c r="EH140" s="8">
        <f>IF(EH$56-Voorblad!$F$41&gt;Voorblad!$K$41,0,IF($U140=0,0,IF($U140&lt;1,1/$U140,IF((EH$56-Voorblad!$F$41)/$U140-SUM($EE140:EG140)=1,1,0))))</f>
        <v>0</v>
      </c>
      <c r="EI140" s="8">
        <f>IF(EI$56-Voorblad!$F$41&gt;Voorblad!$K$41,0,IF($U140=0,0,IF($U140&lt;1,1/$U140,IF((EI$56-Voorblad!$F$41)/$U140-SUM($EE140:EH140)=1,1,0))))</f>
        <v>0</v>
      </c>
      <c r="EJ140" s="8">
        <f>IF(EJ$56-Voorblad!$F$41&gt;Voorblad!$K$41,0,IF($U140=0,0,IF($U140&lt;1,1/$U140,IF((EJ$56-Voorblad!$F$41)/$U140-SUM($EE140:EI140)=1,1,0))))</f>
        <v>0</v>
      </c>
      <c r="EK140" s="8">
        <f>IF(EK$56-Voorblad!$F$41&gt;Voorblad!$K$41,0,IF($U140=0,0,IF($U140&lt;1,1/$U140,IF((EK$56-Voorblad!$F$41)/$U140-SUM($EE140:EJ140)=1,1,0))))</f>
        <v>0</v>
      </c>
      <c r="EL140" s="8">
        <f>IF(EL$56-Voorblad!$F$41&gt;Voorblad!$K$41,0,IF($U140=0,0,IF($U140&lt;1,1/$U140,IF((EL$56-Voorblad!$F$41)/$U140-SUM($EE140:EK140)=1,1,0))))</f>
        <v>0</v>
      </c>
      <c r="EM140" s="8">
        <f>IF(EM$56-Voorblad!$F$41&gt;Voorblad!$K$41,0,IF($U140=0,0,IF($U140&lt;1,1/$U140,IF((EM$56-Voorblad!$F$41)/$U140-SUM($EE140:EL140)=1,1,0))))</f>
        <v>0</v>
      </c>
      <c r="EN140" s="8">
        <f>IF(EN$56-Voorblad!$F$41&gt;Voorblad!$K$41,0,IF($U140=0,0,IF($U140&lt;1,1/$U140,IF((EN$56-Voorblad!$F$41)/$U140-SUM($EE140:EM140)=1,1,0))))</f>
        <v>0</v>
      </c>
      <c r="EO140" s="8">
        <f>IF(EO$56-Voorblad!$F$41&gt;Voorblad!$K$41,0,IF($U140=0,0,IF($U140&lt;1,1/$U140,IF((EO$56-Voorblad!$F$41)/$U140-SUM($EE140:EN140)=1,1,0))))</f>
        <v>0</v>
      </c>
      <c r="EP140" s="8">
        <f>IF(EP$56-Voorblad!$F$41&gt;Voorblad!$K$41,0,IF($U140=0,0,IF($U140&lt;1,1/$U140,IF((EP$56-Voorblad!$F$41)/$U140-SUM($EE140:EO140)=1,1,0))))</f>
        <v>0</v>
      </c>
      <c r="EQ140" s="8">
        <f>IF(EQ$56-Voorblad!$F$41&gt;Voorblad!$K$41,0,IF($U140=0,0,IF($U140&lt;1,1/$U140,IF((EQ$56-Voorblad!$F$41)/$U140-SUM($EE140:EP140)=1,1,0))))</f>
        <v>0</v>
      </c>
      <c r="ER140" s="8">
        <f>IF(ER$56-Voorblad!$F$41&gt;Voorblad!$K$41,0,IF($U140=0,0,IF($U140&lt;1,1/$U140,IF((ER$56-Voorblad!$F$41)/$U140-SUM($EE140:EQ140)=1,1,0))))</f>
        <v>0</v>
      </c>
      <c r="ES140" s="8">
        <f>IF(ES$56-Voorblad!$F$41&gt;Voorblad!$K$41,0,IF($U140=0,0,IF($U140&lt;1,1/$U140,IF((ES$56-Voorblad!$F$41)/$U140-SUM($EE140:ER140)=1,1,0))))</f>
        <v>0</v>
      </c>
      <c r="ET140" s="8">
        <f>IF(ET$56-Voorblad!$F$41&gt;Voorblad!$K$41,0,IF($U140=0,0,IF($U140&lt;1,1/$U140,IF((ET$56-Voorblad!$F$41)/$U140-SUM($EE140:ES140)=1,1,0))))</f>
        <v>0</v>
      </c>
      <c r="EU140" s="8">
        <f>IF(EU$56-Voorblad!$F$41&gt;Voorblad!$K$41,0,IF($U140=0,0,IF($U140&lt;1,1/$U140,IF((EU$56-Voorblad!$F$41)/$U140-SUM($EE140:ET140)=1,1,0))))</f>
        <v>0</v>
      </c>
      <c r="EV140" s="8">
        <f>IF(EV$56-Voorblad!$F$41&gt;Voorblad!$K$41,0,IF($U140=0,0,IF($U140&lt;1,1/$U140,IF((EV$56-Voorblad!$F$41)/$U140-SUM($EE140:EU140)=1,1,0))))</f>
        <v>0</v>
      </c>
      <c r="EW140" s="8">
        <f>IF(EW$56-Voorblad!$F$41&gt;Voorblad!$K$41,0,IF($U140=0,0,IF($U140&lt;1,1/$U140,IF((EW$56-Voorblad!$F$41)/$U140-SUM($EE140:EV140)=1,1,0))))</f>
        <v>0</v>
      </c>
      <c r="EX140" s="8">
        <f>IF(EX$56-Voorblad!$F$41&gt;Voorblad!$K$41,0,IF($U140=0,0,IF($U140&lt;1,1/$U140,IF((EX$56-Voorblad!$F$41)/$U140-SUM($EE140:EW140)=1,1,0))))</f>
        <v>0</v>
      </c>
      <c r="EY140" s="8">
        <f>IF(EY$56-Voorblad!$F$41&gt;Voorblad!$K$41,0,IF($U140=0,0,IF($U140&lt;1,1/$U140,IF((EY$56-Voorblad!$F$41)/$U140-SUM($EE140:EX140)=1,1,0))))</f>
        <v>0</v>
      </c>
      <c r="EZ140" s="8">
        <f>IF(EZ$56-Voorblad!$F$41&gt;Voorblad!$K$41,0,IF($U140=0,0,IF($U140&lt;1,1/$U140,IF((EZ$56-Voorblad!$F$41)/$U140-SUM($EE140:EY140)=1,1,0))))</f>
        <v>0</v>
      </c>
      <c r="FA140" s="8">
        <f>IF(FA$56-Voorblad!$F$41&gt;Voorblad!$K$41,0,IF($U140=0,0,IF($U140&lt;1,1/$U140,IF((FA$56-Voorblad!$F$41)/$U140-SUM($EE140:EZ140)=1,1,0))))</f>
        <v>0</v>
      </c>
      <c r="FB140" s="8">
        <f>IF(FB$56-Voorblad!$F$41&gt;Voorblad!$K$41,0,IF($U140=0,0,IF($U140&lt;1,1/$U140,IF((FB$56-Voorblad!$F$41)/$U140-SUM($EE140:FA140)=1,1,0))))</f>
        <v>0</v>
      </c>
      <c r="FC140" s="8">
        <f>IF(FC$56-Voorblad!$F$41&gt;Voorblad!$K$41,0,IF($U140=0,0,IF($U140&lt;1,1/$U140,IF((FC$56-Voorblad!$F$41)/$U140-SUM($EE140:FB140)=1,1,0))))</f>
        <v>0</v>
      </c>
      <c r="FD140" s="8">
        <f>IF(FD$56-Voorblad!$F$41&gt;Voorblad!$K$41,0,IF($U140=0,0,IF($U140&lt;1,1/$U140,IF((FD$56-Voorblad!$F$41)/$U140-SUM($EE140:FC140)=1,1,0))))</f>
        <v>0</v>
      </c>
      <c r="FE140" s="8">
        <f>IF(FE$56-Voorblad!$F$41&gt;Voorblad!$K$41,0,IF($U140=0,0,IF($U140&lt;1,1/$U140,IF((FE$56-Voorblad!$F$41)/$U140-SUM($EE140:FD140)=1,1,0))))</f>
        <v>0</v>
      </c>
      <c r="FF140" s="8">
        <f>IF(FF$56-Voorblad!$F$41&gt;Voorblad!$K$41,0,IF($U140=0,0,IF($U140&lt;1,1/$U140,IF((FF$56-Voorblad!$F$41)/$U140-SUM($EE140:FE140)=1,1,0))))</f>
        <v>0</v>
      </c>
      <c r="FG140" s="8">
        <f>IF(FG$56-Voorblad!$F$41&gt;Voorblad!$K$41,0,IF($U140=0,0,IF($U140&lt;1,1/$U140,IF((FG$56-Voorblad!$F$41)/$U140-SUM($EE140:FF140)=1,1,0))))</f>
        <v>0</v>
      </c>
      <c r="FH140" s="8">
        <f>IF(FH$56-Voorblad!$F$41&gt;Voorblad!$K$41,0,IF($U140=0,0,IF($U140&lt;1,1/$U140,IF((FH$56-Voorblad!$F$41)/$U140-SUM($EE140:FG140)=1,1,0))))</f>
        <v>0</v>
      </c>
      <c r="FI140" s="8">
        <f>IF(FI$56-Voorblad!$F$41&gt;Voorblad!$K$41,0,IF($U140=0,0,IF($U140&lt;1,1/$U140,IF((FI$56-Voorblad!$F$41)/$U140-SUM($EE140:FH140)=1,1,0))))</f>
        <v>0</v>
      </c>
      <c r="FJ140" s="8">
        <f>IF(FJ$56-Voorblad!$F$41&gt;Voorblad!$K$41,0,IF($U140=0,0,IF($U140&lt;1,1/$U140,IF((FJ$56-Voorblad!$F$41)/$U140-SUM($EE140:FI140)=1,1,0))))</f>
        <v>0</v>
      </c>
      <c r="FK140" s="8">
        <f>IF(FK$56-Voorblad!$F$41&gt;Voorblad!$K$41,0,IF($U140=0,0,IF($U140&lt;1,1/$U140,IF((FK$56-Voorblad!$F$41)/$U140-SUM($EE140:FJ140)=1,1,0))))</f>
        <v>0</v>
      </c>
      <c r="FL140" s="8">
        <f>IF(FL$56-Voorblad!$F$41&gt;Voorblad!$K$41,0,IF($U140=0,0,IF($U140&lt;1,1/$U140,IF((FL$56-Voorblad!$F$41)/$U140-SUM($EE140:FK140)=1,1,0))))</f>
        <v>0</v>
      </c>
      <c r="FM140" s="8">
        <f>IF(FM$56-Voorblad!$F$41&gt;Voorblad!$K$41,0,IF($U140=0,0,IF($U140&lt;1,1/$U140,IF((FM$56-Voorblad!$F$41)/$U140-SUM($EE140:FL140)=1,1,0))))</f>
        <v>0</v>
      </c>
      <c r="FN140" s="8">
        <f>IF(FN$56-Voorblad!$F$41&gt;Voorblad!$K$41,0,IF($U140=0,0,IF($U140&lt;1,1/$U140,IF((FN$56-Voorblad!$F$41)/$U140-SUM($EE140:FM140)=1,1,0))))</f>
        <v>0</v>
      </c>
      <c r="FO140" s="8">
        <f>IF(FO$56-Voorblad!$F$41&gt;Voorblad!$K$41,0,IF($U140=0,0,IF($U140&lt;1,1/$U140,IF((FO$56-Voorblad!$F$41)/$U140-SUM($EE140:FN140)=1,1,0))))</f>
        <v>0</v>
      </c>
      <c r="FP140" s="8">
        <f>IF(FP$56-Voorblad!$F$41&gt;Voorblad!$K$41,0,IF($U140=0,0,IF($U140&lt;1,1/$U140,IF((FP$56-Voorblad!$F$41)/$U140-SUM($EE140:FO140)=1,1,0))))</f>
        <v>0</v>
      </c>
      <c r="FQ140" s="8">
        <f>IF(FQ$56-Voorblad!$F$41&gt;Voorblad!$K$41,0,IF($U140=0,0,IF($U140&lt;1,1/$U140,IF((FQ$56-Voorblad!$F$41)/$U140-SUM($EE140:FP140)=1,1,0))))</f>
        <v>0</v>
      </c>
      <c r="FR140" s="8">
        <f>IF(FR$56-Voorblad!$F$41&gt;Voorblad!$K$41,0,IF($U140=0,0,IF($U140&lt;1,1/$U140,IF((FR$56-Voorblad!$F$41)/$U140-SUM($EE140:FQ140)=1,1,0))))</f>
        <v>0</v>
      </c>
      <c r="FS140" s="8">
        <f>IF(FS$56-Voorblad!$F$41&gt;Voorblad!$K$41,0,IF($U140=0,0,IF($U140&lt;1,1/$U140,IF((FS$56-Voorblad!$F$41)/$U140-SUM($EE140:FR140)=1,1,0))))</f>
        <v>0</v>
      </c>
      <c r="FT140" s="8">
        <f>IF(FT$56-Voorblad!$F$41&gt;Voorblad!$K$41,0,IF($U140=0,0,IF($U140&lt;1,1/$U140,IF((FT$56-Voorblad!$F$41)/$U140-SUM($EE140:FS140)=1,1,0))))</f>
        <v>0</v>
      </c>
      <c r="FU140" s="8">
        <f>IF(FU$56-Voorblad!$F$41&gt;Voorblad!$K$41,0,IF($U140=0,0,IF($U140&lt;1,1/$U140,IF((FU$56-Voorblad!$F$41)/$U140-SUM($EE140:FT140)=1,1,0))))</f>
        <v>0</v>
      </c>
      <c r="FV140" s="8">
        <f>IF(FV$56-Voorblad!$F$41&gt;Voorblad!$K$41,0,IF($U140=0,0,IF($U140&lt;1,1/$U140,IF((FV$56-Voorblad!$F$41)/$U140-SUM($EE140:FU140)=1,1,0))))</f>
        <v>0</v>
      </c>
      <c r="FW140" s="8">
        <f>IF(FW$56-Voorblad!$F$41&gt;Voorblad!$K$41,0,IF($U140=0,0,IF($U140&lt;1,1/$U140,IF((FW$56-Voorblad!$F$41)/$U140-SUM($EE140:FV140)=1,1,0))))</f>
        <v>0</v>
      </c>
      <c r="FX140" s="8">
        <f>IF(FX$56-Voorblad!$F$41&gt;Voorblad!$K$41,0,IF($U140=0,0,IF($U140&lt;1,1/$U140,IF((FX$56-Voorblad!$F$41)/$U140-SUM($EE140:FW140)=1,1,0))))</f>
        <v>0</v>
      </c>
      <c r="FY140" s="8">
        <f>IF(FY$56-Voorblad!$F$41&gt;Voorblad!$K$41,0,IF($U140=0,0,IF($U140&lt;1,1/$U140,IF((FY$56-Voorblad!$F$41)/$U140-SUM($EE140:FX140)=1,1,0))))</f>
        <v>0</v>
      </c>
      <c r="FZ140" s="8">
        <f>IF(FZ$56-Voorblad!$F$41&gt;Voorblad!$K$41,0,IF($U140=0,0,IF($U140&lt;1,1/$U140,IF((FZ$56-Voorblad!$F$41)/$U140-SUM($EE140:FY140)=1,1,0))))</f>
        <v>0</v>
      </c>
      <c r="GA140" s="8">
        <f>IF(GA$56-Voorblad!$F$41&gt;Voorblad!$K$41,0,IF($U140=0,0,IF($U140&lt;1,1/$U140,IF((GA$56-Voorblad!$F$41)/$U140-SUM($EE140:FZ140)=1,1,0))))</f>
        <v>0</v>
      </c>
      <c r="GB140" s="8">
        <f>IF(GB$56-Voorblad!$F$41&gt;Voorblad!$K$41,0,IF($U140=0,0,IF($U140&lt;1,1/$U140,IF((GB$56-Voorblad!$F$41)/$U140-SUM($EE140:GA140)=1,1,0))))</f>
        <v>0</v>
      </c>
      <c r="GC140" s="8">
        <f>IF(GC$56-Voorblad!$F$41&gt;Voorblad!$K$41,0,IF($U140=0,0,IF($U140&lt;1,1/$U140,IF((GC$56-Voorblad!$F$41)/$U140-SUM($EE140:GB140)=1,1,0))))</f>
        <v>0</v>
      </c>
      <c r="GD140" s="8">
        <f>IF(GD$56-Voorblad!$F$41&gt;Voorblad!$K$41,0,IF($U140=0,0,IF($U140&lt;1,1/$U140,IF((GD$56-Voorblad!$F$41)/$U140-SUM($EE140:GC140)=1,1,0))))</f>
        <v>1</v>
      </c>
      <c r="GE140" s="8">
        <f>IF(GE$56-Voorblad!$F$41&gt;Voorblad!$K$41,0,IF($U140=0,0,IF($U140&lt;1,1/$U140,IF((GE$56-Voorblad!$F$41)/$U140-SUM($EE140:GD140)=1,1,0))))</f>
        <v>0</v>
      </c>
      <c r="GF140" s="8">
        <f>IF(GF$56-Voorblad!$F$41&gt;Voorblad!$K$41,0,IF($U140=0,0,IF($U140&lt;1,1/$U140,IF((GF$56-Voorblad!$F$41)/$U140-SUM($EE140:GE140)=1,1,0))))</f>
        <v>0</v>
      </c>
      <c r="GG140" s="8">
        <f>IF(GG$56-Voorblad!$F$41&gt;Voorblad!$K$41,0,IF($U140=0,0,IF($U140&lt;1,1/$U140,IF((GG$56-Voorblad!$F$41)/$U140-SUM($EE140:GF140)=1,1,0))))</f>
        <v>0</v>
      </c>
      <c r="GH140" s="8">
        <f>IF(GH$56-Voorblad!$F$41&gt;Voorblad!$K$41,0,IF($U140=0,0,IF($U140&lt;1,1/$U140,IF((GH$56-Voorblad!$F$41)/$U140-SUM($EE140:GG140)=1,1,0))))</f>
        <v>0</v>
      </c>
      <c r="GI140" s="8">
        <f>IF(GI$56-Voorblad!$F$41&gt;Voorblad!$K$41,0,IF($U140=0,0,IF($U140&lt;1,1/$U140,IF((GI$56-Voorblad!$F$41)/$U140-SUM($EE140:GH140)=1,1,0))))</f>
        <v>0</v>
      </c>
      <c r="GJ140" s="8">
        <f>IF(GJ$56-Voorblad!$F$41&gt;Voorblad!$K$41,0,IF($U140=0,0,IF($U140&lt;1,1/$U140,IF((GJ$56-Voorblad!$F$41)/$U140-SUM($EE140:GI140)=1,1,0))))</f>
        <v>0</v>
      </c>
      <c r="GK140" s="8">
        <f>IF(GK$56-Voorblad!$F$41&gt;Voorblad!$K$41,0,IF($U140=0,0,IF($U140&lt;1,1/$U140,IF((GK$56-Voorblad!$F$41)/$U140-SUM($EE140:GJ140)=1,1,0))))</f>
        <v>0</v>
      </c>
      <c r="GL140" s="8">
        <f>IF(GL$56-Voorblad!$F$41&gt;Voorblad!$K$41,0,IF($U140=0,0,IF($U140&lt;1,1/$U140,IF((GL$56-Voorblad!$F$41)/$U140-SUM($EE140:GK140)=1,1,0))))</f>
        <v>0</v>
      </c>
      <c r="GM140" s="8">
        <f>IF(GM$56-Voorblad!$F$41&gt;Voorblad!$K$41,0,IF($U140=0,0,IF($U140&lt;1,1/$U140,IF((GM$56-Voorblad!$F$41)/$U140-SUM($EE140:GL140)=1,1,0))))</f>
        <v>0</v>
      </c>
      <c r="GN140" s="8">
        <f>IF(GN$56-Voorblad!$F$41&gt;Voorblad!$K$41,0,IF($U140=0,0,IF($U140&lt;1,1/$U140,IF((GN$56-Voorblad!$F$41)/$U140-SUM($EE140:GM140)=1,1,0))))</f>
        <v>0</v>
      </c>
      <c r="GO140" s="8">
        <f>IF(GO$56-Voorblad!$F$41&gt;Voorblad!$K$41,0,IF($U140=0,0,IF($U140&lt;1,1/$U140,IF((GO$56-Voorblad!$F$41)/$U140-SUM($EE140:GN140)=1,1,0))))</f>
        <v>0</v>
      </c>
      <c r="GP140" s="8">
        <f>IF(GP$56-Voorblad!$F$41&gt;Voorblad!$K$41,0,IF($U140=0,0,IF($U140&lt;1,1/$U140,IF((GP$56-Voorblad!$F$41)/$U140-SUM($EE140:GO140)=1,1,0))))</f>
        <v>0</v>
      </c>
      <c r="GQ140" s="8">
        <f>IF(GQ$56-Voorblad!$F$41&gt;Voorblad!$K$41,0,IF($U140=0,0,IF($U140&lt;1,1/$U140,IF((GQ$56-Voorblad!$F$41)/$U140-SUM($EE140:GP140)=1,1,0))))</f>
        <v>0</v>
      </c>
      <c r="GR140" s="8">
        <f>IF(GR$56-Voorblad!$F$41&gt;Voorblad!$K$41,0,IF($U140=0,0,IF($U140&lt;1,1/$U140,IF((GR$56-Voorblad!$F$41)/$U140-SUM($EE140:GQ140)=1,1,0))))</f>
        <v>0</v>
      </c>
      <c r="GS140" s="8">
        <f>IF(GS$56-Voorblad!$F$41&gt;Voorblad!$K$41,0,IF($U140=0,0,IF($U140&lt;1,1/$U140,IF((GS$56-Voorblad!$F$41)/$U140-SUM($EE140:GR140)=1,1,0))))</f>
        <v>0</v>
      </c>
      <c r="GT140" s="8">
        <f>IF(GT$56-Voorblad!$F$41&gt;Voorblad!$K$41,0,IF($U140=0,0,IF($U140&lt;1,1/$U140,IF((GT$56-Voorblad!$F$41)/$U140-SUM($EE140:GS140)=1,1,0))))</f>
        <v>0</v>
      </c>
      <c r="GU140" s="8">
        <f>IF(GU$56-Voorblad!$F$41&gt;Voorblad!$K$41,0,IF($U140=0,0,IF($U140&lt;1,1/$U140,IF((GU$56-Voorblad!$F$41)/$U140-SUM($EE140:GT140)=1,1,0))))</f>
        <v>0</v>
      </c>
      <c r="GV140" s="8">
        <f>IF(GV$56-Voorblad!$F$41&gt;Voorblad!$K$41,0,IF($U140=0,0,IF($U140&lt;1,1/$U140,IF((GV$56-Voorblad!$F$41)/$U140-SUM($EE140:GU140)=1,1,0))))</f>
        <v>0</v>
      </c>
      <c r="GW140" s="8">
        <f>IF(GW$56-Voorblad!$F$41&gt;Voorblad!$K$41,0,IF($U140=0,0,IF($U140&lt;1,1/$U140,IF((GW$56-Voorblad!$F$41)/$U140-SUM($EE140:GV140)=1,1,0))))</f>
        <v>0</v>
      </c>
      <c r="GX140" s="8">
        <f>IF(GX$56-Voorblad!$F$41&gt;Voorblad!$K$41,0,IF($U140=0,0,IF($U140&lt;1,1/$U140,IF((GX$56-Voorblad!$F$41)/$U140-SUM($EE140:GW140)=1,1,0))))</f>
        <v>0</v>
      </c>
      <c r="GY140" s="8">
        <f>IF(GY$56-Voorblad!$F$41&gt;Voorblad!$K$41,0,IF($U140=0,0,IF($U140&lt;1,1/$U140,IF((GY$56-Voorblad!$F$41)/$U140-SUM($EE140:GX140)=1,1,0))))</f>
        <v>0</v>
      </c>
      <c r="GZ140" s="8">
        <f>IF(GZ$56-Voorblad!$F$41&gt;Voorblad!$K$41,0,IF($U140=0,0,IF($U140&lt;1,1/$U140,IF((GZ$56-Voorblad!$F$41)/$U140-SUM($EE140:GY140)=1,1,0))))</f>
        <v>0</v>
      </c>
      <c r="HA140" s="8">
        <f>IF(HA$56-Voorblad!$F$41&gt;Voorblad!$K$41,0,IF($U140=0,0,IF($U140&lt;1,1/$U140,IF((HA$56-Voorblad!$F$41)/$U140-SUM($EE140:GZ140)=1,1,0))))</f>
        <v>0</v>
      </c>
      <c r="HB140" s="8">
        <f>IF(HB$56-Voorblad!$F$41&gt;Voorblad!$K$41,0,IF($U140=0,0,IF($U140&lt;1,1/$U140,IF((HB$56-Voorblad!$F$41)/$U140-SUM($EE140:HA140)=1,1,0))))</f>
        <v>0</v>
      </c>
      <c r="HC140" s="8">
        <f>IF(HC$56-Voorblad!$F$41&gt;Voorblad!$K$41,0,IF($U140=0,0,IF($U140&lt;1,1/$U140,IF((HC$56-Voorblad!$F$41)/$U140-SUM($EE140:HB140)=1,1,0))))</f>
        <v>0</v>
      </c>
      <c r="HD140" s="8">
        <f>IF(HD$56-Voorblad!$F$41&gt;Voorblad!$K$41,0,IF($U140=0,0,IF($U140&lt;1,1/$U140,IF((HD$56-Voorblad!$F$41)/$U140-SUM($EE140:HC140)=1,1,0))))</f>
        <v>0</v>
      </c>
      <c r="HE140" s="8">
        <f>IF(HE$56-Voorblad!$F$41&gt;Voorblad!$K$41,0,IF($U140=0,0,IF($U140&lt;1,1/$U140,IF((HE$56-Voorblad!$F$41)/$U140-SUM($EE140:HD140)=1,1,0))))</f>
        <v>0</v>
      </c>
      <c r="HF140" s="8">
        <f>IF(HF$56-Voorblad!$F$41&gt;Voorblad!$K$41,0,IF($U140=0,0,IF($U140&lt;1,1/$U140,IF((HF$56-Voorblad!$F$41)/$U140-SUM($EE140:HE140)=1,1,0))))</f>
        <v>0</v>
      </c>
      <c r="HG140" s="8">
        <f>IF(HG$56-Voorblad!$F$41&gt;Voorblad!$K$41,0,IF($U140=0,0,IF($U140&lt;1,1/$U140,IF((HG$56-Voorblad!$F$41)/$U140-SUM($EE140:HF140)=1,1,0))))</f>
        <v>0</v>
      </c>
      <c r="HH140" s="8">
        <f>IF(HH$56-Voorblad!$F$41&gt;Voorblad!$K$41,0,IF($U140=0,0,IF($U140&lt;1,1/$U140,IF((HH$56-Voorblad!$F$41)/$U140-SUM($EE140:HG140)=1,1,0))))</f>
        <v>0</v>
      </c>
      <c r="HI140" s="8">
        <f>IF(HI$56-Voorblad!$F$41&gt;Voorblad!$K$41,0,IF($U140=0,0,IF($U140&lt;1,1/$U140,IF((HI$56-Voorblad!$F$41)/$U140-SUM($EE140:HH140)=1,1,0))))</f>
        <v>0</v>
      </c>
      <c r="HJ140" s="8">
        <f>IF(HJ$56-Voorblad!$F$41&gt;Voorblad!$K$41,0,IF($U140=0,0,IF($U140&lt;1,1/$U140,IF((HJ$56-Voorblad!$F$41)/$U140-SUM($EE140:HI140)=1,1,0))))</f>
        <v>0</v>
      </c>
      <c r="HK140" s="8">
        <f>IF(HK$56-Voorblad!$F$41&gt;Voorblad!$K$41,0,IF($U140=0,0,IF($U140&lt;1,1/$U140,IF((HK$56-Voorblad!$F$41)/$U140-SUM($EE140:HJ140)=1,1,0))))</f>
        <v>0</v>
      </c>
      <c r="HL140" s="8">
        <f>IF(HL$56-Voorblad!$F$41&gt;Voorblad!$K$41,0,IF($U140=0,0,IF($U140&lt;1,1/$U140,IF((HL$56-Voorblad!$F$41)/$U140-SUM($EE140:HK140)=1,1,0))))</f>
        <v>0</v>
      </c>
      <c r="HM140" s="8">
        <f>IF(HM$56-Voorblad!$F$41&gt;Voorblad!$K$41,0,IF($U140=0,0,IF($U140&lt;1,1/$U140,IF((HM$56-Voorblad!$F$41)/$U140-SUM($EE140:HL140)=1,1,0))))</f>
        <v>0</v>
      </c>
      <c r="HN140" s="8">
        <f>IF(HN$56-Voorblad!$F$41&gt;Voorblad!$K$41,0,IF($U140=0,0,IF($U140&lt;1,1/$U140,IF((HN$56-Voorblad!$F$41)/$U140-SUM($EE140:HM140)=1,1,0))))</f>
        <v>0</v>
      </c>
      <c r="HO140" s="8">
        <f>IF(HO$56-Voorblad!$F$41&gt;Voorblad!$K$41,0,IF($U140=0,0,IF($U140&lt;1,1/$U140,IF((HO$56-Voorblad!$F$41)/$U140-SUM($EE140:HN140)=1,1,0))))</f>
        <v>0</v>
      </c>
      <c r="HP140" s="8">
        <f>IF(HP$56-Voorblad!$F$41&gt;Voorblad!$K$41,0,IF($U140=0,0,IF($U140&lt;1,1/$U140,IF((HP$56-Voorblad!$F$41)/$U140-SUM($EE140:HO140)=1,1,0))))</f>
        <v>0</v>
      </c>
      <c r="HQ140" s="8">
        <f>IF(HQ$56-Voorblad!$F$41&gt;Voorblad!$K$41,0,IF($U140=0,0,IF($U140&lt;1,1/$U140,IF((HQ$56-Voorblad!$F$41)/$U140-SUM($EE140:HP140)=1,1,0))))</f>
        <v>0</v>
      </c>
      <c r="HR140" s="8">
        <f>IF(HR$56-Voorblad!$F$41&gt;Voorblad!$K$41,0,IF($U140=0,0,IF($U140&lt;1,1/$U140,IF((HR$56-Voorblad!$F$41)/$U140-SUM($EE140:HQ140)=1,1,0))))</f>
        <v>0</v>
      </c>
      <c r="HS140" s="8">
        <f>IF(HS$56-Voorblad!$F$41&gt;Voorblad!$K$41,0,IF($U140=0,0,IF($U140&lt;1,1/$U140,IF((HS$56-Voorblad!$F$41)/$U140-SUM($EE140:HR140)=1,1,0))))</f>
        <v>0</v>
      </c>
      <c r="HT140" s="8">
        <f>IF(HT$56-Voorblad!$F$41&gt;Voorblad!$K$41,0,IF($U140=0,0,IF($U140&lt;1,1/$U140,IF((HT$56-Voorblad!$F$41)/$U140-SUM($EE140:HS140)=1,1,0))))</f>
        <v>0</v>
      </c>
      <c r="HU140" s="8">
        <f>IF(HU$56-Voorblad!$F$41&gt;Voorblad!$K$41,0,IF($U140=0,0,IF($U140&lt;1,1/$U140,IF((HU$56-Voorblad!$F$41)/$U140-SUM($EE140:HT140)=1,1,0))))</f>
        <v>0</v>
      </c>
      <c r="HV140" s="8">
        <f>IF(HV$56-Voorblad!$F$41&gt;Voorblad!$K$41,0,IF($U140=0,0,IF($U140&lt;1,1/$U140,IF((HV$56-Voorblad!$F$41)/$U140-SUM($EE140:HU140)=1,1,0))))</f>
        <v>0</v>
      </c>
      <c r="HW140" s="8">
        <f>IF(HW$56-Voorblad!$F$41&gt;Voorblad!$K$41,0,IF($U140=0,0,IF($U140&lt;1,1/$U140,IF((HW$56-Voorblad!$F$41)/$U140-SUM($EE140:HV140)=1,1,0))))</f>
        <v>0</v>
      </c>
      <c r="HX140" s="8">
        <f>IF(HX$56-Voorblad!$F$41&gt;Voorblad!$K$41,0,IF($U140=0,0,IF($U140&lt;1,1/$U140,IF((HX$56-Voorblad!$F$41)/$U140-SUM($EE140:HW140)=1,1,0))))</f>
        <v>0</v>
      </c>
      <c r="HY140" s="8">
        <f>IF(HY$56-Voorblad!$F$41&gt;Voorblad!$K$41,0,IF($U140=0,0,IF($U140&lt;1,1/$U140,IF((HY$56-Voorblad!$F$41)/$U140-SUM($EE140:HX140)=1,1,0))))</f>
        <v>0</v>
      </c>
      <c r="HZ140" s="8">
        <f>IF(HZ$56-Voorblad!$F$41&gt;Voorblad!$K$41,0,IF($U140=0,0,IF($U140&lt;1,1/$U140,IF((HZ$56-Voorblad!$F$41)/$U140-SUM($EE140:HY140)=1,1,0))))</f>
        <v>0</v>
      </c>
      <c r="IA140" s="8">
        <f>IF(IA$56-Voorblad!$F$41&gt;Voorblad!$K$41,0,IF($U140=0,0,IF($U140&lt;1,1/$U140,IF((IA$56-Voorblad!$F$41)/$U140-SUM($EE140:HZ140)=1,1,0))))</f>
        <v>0</v>
      </c>
      <c r="IB140" s="8">
        <f>IF(IB$56-Voorblad!$F$41&gt;Voorblad!$K$41,0,IF($U140=0,0,IF($U140&lt;1,1/$U140,IF((IB$56-Voorblad!$F$41)/$U140-SUM($EE140:IA140)=1,1,0))))</f>
        <v>0</v>
      </c>
    </row>
    <row r="141" spans="2:236" ht="12" customHeight="1" outlineLevel="1" x14ac:dyDescent="0.25">
      <c r="B141" s="1">
        <v>1</v>
      </c>
      <c r="F141" s="1" t="s">
        <v>23</v>
      </c>
      <c r="I141" s="1" t="s">
        <v>49</v>
      </c>
      <c r="K141" s="14" t="s">
        <v>192</v>
      </c>
      <c r="P141" s="14" t="s">
        <v>194</v>
      </c>
      <c r="Q141" s="81">
        <v>0</v>
      </c>
      <c r="R141" s="1" t="s">
        <v>35</v>
      </c>
      <c r="S141" s="14">
        <f>$H$10*400</f>
        <v>952</v>
      </c>
      <c r="T141" s="9">
        <f t="shared" si="104"/>
        <v>0</v>
      </c>
      <c r="U141" s="14">
        <v>50</v>
      </c>
      <c r="V141" s="14"/>
      <c r="Y141" s="9">
        <f t="shared" si="107"/>
        <v>0</v>
      </c>
      <c r="Z141" s="82"/>
      <c r="AA141" s="82"/>
      <c r="AC141" s="9">
        <f>$Y141*(Voorblad!$K$44*(1+Voorblad!$K$44)^Voorblad!$K$41)/((1+Voorblad!$K$44)^Voorblad!$K$41-1)</f>
        <v>0</v>
      </c>
      <c r="AE141" s="9">
        <f>EF141*($Q141*$S141)/(1+Voorblad!$K$44)^(AE$56-Voorblad!$F$41)</f>
        <v>0</v>
      </c>
      <c r="AF141" s="9">
        <f>EG141*($Q141*$S141)/(1+Voorblad!$K$44)^(AF$56-Voorblad!$F$41)</f>
        <v>0</v>
      </c>
      <c r="AG141" s="9">
        <f>EH141*($Q141*$S141)/(1+Voorblad!$K$44)^(AG$56-Voorblad!$F$41)</f>
        <v>0</v>
      </c>
      <c r="AH141" s="9">
        <f>EI141*($Q141*$S141)/(1+Voorblad!$K$44)^(AH$56-Voorblad!$F$41)</f>
        <v>0</v>
      </c>
      <c r="AI141" s="9">
        <f>EJ141*($Q141*$S141)/(1+Voorblad!$K$44)^(AI$56-Voorblad!$F$41)</f>
        <v>0</v>
      </c>
      <c r="AJ141" s="9">
        <f>EK141*($Q141*$S141)/(1+Voorblad!$K$44)^(AJ$56-Voorblad!$F$41)</f>
        <v>0</v>
      </c>
      <c r="AK141" s="9">
        <f>EL141*($Q141*$S141)/(1+Voorblad!$K$44)^(AK$56-Voorblad!$F$41)</f>
        <v>0</v>
      </c>
      <c r="AL141" s="9">
        <f>EM141*($Q141*$S141)/(1+Voorblad!$K$44)^(AL$56-Voorblad!$F$41)</f>
        <v>0</v>
      </c>
      <c r="AM141" s="9">
        <f>EN141*($Q141*$S141)/(1+Voorblad!$K$44)^(AM$56-Voorblad!$F$41)</f>
        <v>0</v>
      </c>
      <c r="AN141" s="9">
        <f>EO141*($Q141*$S141)/(1+Voorblad!$K$44)^(AN$56-Voorblad!$F$41)</f>
        <v>0</v>
      </c>
      <c r="AO141" s="9">
        <f>EP141*($Q141*$S141)/(1+Voorblad!$K$44)^(AO$56-Voorblad!$F$41)</f>
        <v>0</v>
      </c>
      <c r="AP141" s="9">
        <f>EQ141*($Q141*$S141)/(1+Voorblad!$K$44)^(AP$56-Voorblad!$F$41)</f>
        <v>0</v>
      </c>
      <c r="AQ141" s="9">
        <f>ER141*($Q141*$S141)/(1+Voorblad!$K$44)^(AQ$56-Voorblad!$F$41)</f>
        <v>0</v>
      </c>
      <c r="AR141" s="9">
        <f>ES141*($Q141*$S141)/(1+Voorblad!$K$44)^(AR$56-Voorblad!$F$41)</f>
        <v>0</v>
      </c>
      <c r="AS141" s="9">
        <f>ET141*($Q141*$S141)/(1+Voorblad!$K$44)^(AS$56-Voorblad!$F$41)</f>
        <v>0</v>
      </c>
      <c r="AT141" s="9">
        <f>EU141*($Q141*$S141)/(1+Voorblad!$K$44)^(AT$56-Voorblad!$F$41)</f>
        <v>0</v>
      </c>
      <c r="AU141" s="9">
        <f>EV141*($Q141*$S141)/(1+Voorblad!$K$44)^(AU$56-Voorblad!$F$41)</f>
        <v>0</v>
      </c>
      <c r="AV141" s="9">
        <f>EW141*($Q141*$S141)/(1+Voorblad!$K$44)^(AV$56-Voorblad!$F$41)</f>
        <v>0</v>
      </c>
      <c r="AW141" s="9">
        <f>EX141*($Q141*$S141)/(1+Voorblad!$K$44)^(AW$56-Voorblad!$F$41)</f>
        <v>0</v>
      </c>
      <c r="AX141" s="9">
        <f>EY141*($Q141*$S141)/(1+Voorblad!$K$44)^(AX$56-Voorblad!$F$41)</f>
        <v>0</v>
      </c>
      <c r="AY141" s="9">
        <f>EZ141*($Q141*$S141)/(1+Voorblad!$K$44)^(AY$56-Voorblad!$F$41)</f>
        <v>0</v>
      </c>
      <c r="AZ141" s="9">
        <f>FA141*($Q141*$S141)/(1+Voorblad!$K$44)^(AZ$56-Voorblad!$F$41)</f>
        <v>0</v>
      </c>
      <c r="BA141" s="9">
        <f>FB141*($Q141*$S141)/(1+Voorblad!$K$44)^(BA$56-Voorblad!$F$41)</f>
        <v>0</v>
      </c>
      <c r="BB141" s="9">
        <f>FC141*($Q141*$S141)/(1+Voorblad!$K$44)^(BB$56-Voorblad!$F$41)</f>
        <v>0</v>
      </c>
      <c r="BC141" s="9">
        <f>FD141*($Q141*$S141)/(1+Voorblad!$K$44)^(BC$56-Voorblad!$F$41)</f>
        <v>0</v>
      </c>
      <c r="BD141" s="9">
        <f>FE141*($Q141*$S141)/(1+Voorblad!$K$44)^(BD$56-Voorblad!$F$41)</f>
        <v>0</v>
      </c>
      <c r="BE141" s="9">
        <f>FF141*($Q141*$S141)/(1+Voorblad!$K$44)^(BE$56-Voorblad!$F$41)</f>
        <v>0</v>
      </c>
      <c r="BF141" s="9">
        <f>FG141*($Q141*$S141)/(1+Voorblad!$K$44)^(BF$56-Voorblad!$F$41)</f>
        <v>0</v>
      </c>
      <c r="BG141" s="9">
        <f>FH141*($Q141*$S141)/(1+Voorblad!$K$44)^(BG$56-Voorblad!$F$41)</f>
        <v>0</v>
      </c>
      <c r="BH141" s="9">
        <f>FI141*($Q141*$S141)/(1+Voorblad!$K$44)^(BH$56-Voorblad!$F$41)</f>
        <v>0</v>
      </c>
      <c r="BI141" s="9">
        <f>FJ141*($Q141*$S141)/(1+Voorblad!$K$44)^(BI$56-Voorblad!$F$41)</f>
        <v>0</v>
      </c>
      <c r="BJ141" s="9">
        <f>FK141*($Q141*$S141)/(1+Voorblad!$K$44)^(BJ$56-Voorblad!$F$41)</f>
        <v>0</v>
      </c>
      <c r="BK141" s="9">
        <f>FL141*($Q141*$S141)/(1+Voorblad!$K$44)^(BK$56-Voorblad!$F$41)</f>
        <v>0</v>
      </c>
      <c r="BL141" s="9">
        <f>FM141*($Q141*$S141)/(1+Voorblad!$K$44)^(BL$56-Voorblad!$F$41)</f>
        <v>0</v>
      </c>
      <c r="BM141" s="9">
        <f>FN141*($Q141*$S141)/(1+Voorblad!$K$44)^(BM$56-Voorblad!$F$41)</f>
        <v>0</v>
      </c>
      <c r="BN141" s="9">
        <f>FO141*($Q141*$S141)/(1+Voorblad!$K$44)^(BN$56-Voorblad!$F$41)</f>
        <v>0</v>
      </c>
      <c r="BO141" s="9">
        <f>FP141*($Q141*$S141)/(1+Voorblad!$K$44)^(BO$56-Voorblad!$F$41)</f>
        <v>0</v>
      </c>
      <c r="BP141" s="9">
        <f>FQ141*($Q141*$S141)/(1+Voorblad!$K$44)^(BP$56-Voorblad!$F$41)</f>
        <v>0</v>
      </c>
      <c r="BQ141" s="9">
        <f>FR141*($Q141*$S141)/(1+Voorblad!$K$44)^(BQ$56-Voorblad!$F$41)</f>
        <v>0</v>
      </c>
      <c r="BR141" s="9">
        <f>FS141*($Q141*$S141)/(1+Voorblad!$K$44)^(BR$56-Voorblad!$F$41)</f>
        <v>0</v>
      </c>
      <c r="BS141" s="9">
        <f>FT141*($Q141*$S141)/(1+Voorblad!$K$44)^(BS$56-Voorblad!$F$41)</f>
        <v>0</v>
      </c>
      <c r="BT141" s="9">
        <f>FU141*($Q141*$S141)/(1+Voorblad!$K$44)^(BT$56-Voorblad!$F$41)</f>
        <v>0</v>
      </c>
      <c r="BU141" s="9">
        <f>FV141*($Q141*$S141)/(1+Voorblad!$K$44)^(BU$56-Voorblad!$F$41)</f>
        <v>0</v>
      </c>
      <c r="BV141" s="9">
        <f>FW141*($Q141*$S141)/(1+Voorblad!$K$44)^(BV$56-Voorblad!$F$41)</f>
        <v>0</v>
      </c>
      <c r="BW141" s="9">
        <f>FX141*($Q141*$S141)/(1+Voorblad!$K$44)^(BW$56-Voorblad!$F$41)</f>
        <v>0</v>
      </c>
      <c r="BX141" s="9">
        <f>FY141*($Q141*$S141)/(1+Voorblad!$K$44)^(BX$56-Voorblad!$F$41)</f>
        <v>0</v>
      </c>
      <c r="BY141" s="9">
        <f>FZ141*($Q141*$S141)/(1+Voorblad!$K$44)^(BY$56-Voorblad!$F$41)</f>
        <v>0</v>
      </c>
      <c r="BZ141" s="9">
        <f>GA141*($Q141*$S141)/(1+Voorblad!$K$44)^(BZ$56-Voorblad!$F$41)</f>
        <v>0</v>
      </c>
      <c r="CA141" s="9">
        <f>GB141*($Q141*$S141)/(1+Voorblad!$K$44)^(CA$56-Voorblad!$F$41)</f>
        <v>0</v>
      </c>
      <c r="CB141" s="9">
        <f>GC141*($Q141*$S141)/(1+Voorblad!$K$44)^(CB$56-Voorblad!$F$41)</f>
        <v>0</v>
      </c>
      <c r="CC141" s="9">
        <f>GD141*($Q141*$S141)/(1+Voorblad!$K$44)^(CC$56-Voorblad!$F$41)</f>
        <v>0</v>
      </c>
      <c r="CD141" s="9">
        <f>GE141*($Q141*$S141)/(1+Voorblad!$K$44)^(CD$56-Voorblad!$F$41)</f>
        <v>0</v>
      </c>
      <c r="CE141" s="9">
        <f>GF141*($Q141*$S141)/(1+Voorblad!$K$44)^(CE$56-Voorblad!$F$41)</f>
        <v>0</v>
      </c>
      <c r="CF141" s="9">
        <f>GG141*($Q141*$S141)/(1+Voorblad!$K$44)^(CF$56-Voorblad!$F$41)</f>
        <v>0</v>
      </c>
      <c r="CG141" s="9">
        <f>GH141*($Q141*$S141)/(1+Voorblad!$K$44)^(CG$56-Voorblad!$F$41)</f>
        <v>0</v>
      </c>
      <c r="CH141" s="9">
        <f>GI141*($Q141*$S141)/(1+Voorblad!$K$44)^(CH$56-Voorblad!$F$41)</f>
        <v>0</v>
      </c>
      <c r="CI141" s="9">
        <f>GJ141*($Q141*$S141)/(1+Voorblad!$K$44)^(CI$56-Voorblad!$F$41)</f>
        <v>0</v>
      </c>
      <c r="CJ141" s="9">
        <f>GK141*($Q141*$S141)/(1+Voorblad!$K$44)^(CJ$56-Voorblad!$F$41)</f>
        <v>0</v>
      </c>
      <c r="CK141" s="9">
        <f>GL141*($Q141*$S141)/(1+Voorblad!$K$44)^(CK$56-Voorblad!$F$41)</f>
        <v>0</v>
      </c>
      <c r="CL141" s="9">
        <f>GM141*($Q141*$S141)/(1+Voorblad!$K$44)^(CL$56-Voorblad!$F$41)</f>
        <v>0</v>
      </c>
      <c r="CM141" s="9">
        <f>GN141*($Q141*$S141)/(1+Voorblad!$K$44)^(CM$56-Voorblad!$F$41)</f>
        <v>0</v>
      </c>
      <c r="CN141" s="9">
        <f>GO141*($Q141*$S141)/(1+Voorblad!$K$44)^(CN$56-Voorblad!$F$41)</f>
        <v>0</v>
      </c>
      <c r="CO141" s="9">
        <f>GP141*($Q141*$S141)/(1+Voorblad!$K$44)^(CO$56-Voorblad!$F$41)</f>
        <v>0</v>
      </c>
      <c r="CP141" s="9">
        <f>GQ141*($Q141*$S141)/(1+Voorblad!$K$44)^(CP$56-Voorblad!$F$41)</f>
        <v>0</v>
      </c>
      <c r="CQ141" s="9">
        <f>GR141*($Q141*$S141)/(1+Voorblad!$K$44)^(CQ$56-Voorblad!$F$41)</f>
        <v>0</v>
      </c>
      <c r="CR141" s="9">
        <f>GS141*($Q141*$S141)/(1+Voorblad!$K$44)^(CR$56-Voorblad!$F$41)</f>
        <v>0</v>
      </c>
      <c r="CS141" s="9">
        <f>GT141*($Q141*$S141)/(1+Voorblad!$K$44)^(CS$56-Voorblad!$F$41)</f>
        <v>0</v>
      </c>
      <c r="CT141" s="9">
        <f>GU141*($Q141*$S141)/(1+Voorblad!$K$44)^(CT$56-Voorblad!$F$41)</f>
        <v>0</v>
      </c>
      <c r="CU141" s="9">
        <f>GV141*($Q141*$S141)/(1+Voorblad!$K$44)^(CU$56-Voorblad!$F$41)</f>
        <v>0</v>
      </c>
      <c r="CV141" s="9">
        <f>GW141*($Q141*$S141)/(1+Voorblad!$K$44)^(CV$56-Voorblad!$F$41)</f>
        <v>0</v>
      </c>
      <c r="CW141" s="9">
        <f>GX141*($Q141*$S141)/(1+Voorblad!$K$44)^(CW$56-Voorblad!$F$41)</f>
        <v>0</v>
      </c>
      <c r="CX141" s="9">
        <f>GY141*($Q141*$S141)/(1+Voorblad!$K$44)^(CX$56-Voorblad!$F$41)</f>
        <v>0</v>
      </c>
      <c r="CY141" s="9">
        <f>GZ141*($Q141*$S141)/(1+Voorblad!$K$44)^(CY$56-Voorblad!$F$41)</f>
        <v>0</v>
      </c>
      <c r="CZ141" s="9">
        <f>HA141*($Q141*$S141)/(1+Voorblad!$K$44)^(CZ$56-Voorblad!$F$41)</f>
        <v>0</v>
      </c>
      <c r="DA141" s="9">
        <f>HB141*($Q141*$S141)/(1+Voorblad!$K$44)^(DA$56-Voorblad!$F$41)</f>
        <v>0</v>
      </c>
      <c r="DB141" s="9">
        <f>HC141*($Q141*$S141)/(1+Voorblad!$K$44)^(DB$56-Voorblad!$F$41)</f>
        <v>0</v>
      </c>
      <c r="DC141" s="9">
        <f>HD141*($Q141*$S141)/(1+Voorblad!$K$44)^(DC$56-Voorblad!$F$41)</f>
        <v>0</v>
      </c>
      <c r="DD141" s="9">
        <f>HE141*($Q141*$S141)/(1+Voorblad!$K$44)^(DD$56-Voorblad!$F$41)</f>
        <v>0</v>
      </c>
      <c r="DE141" s="9">
        <f>HF141*($Q141*$S141)/(1+Voorblad!$K$44)^(DE$56-Voorblad!$F$41)</f>
        <v>0</v>
      </c>
      <c r="DF141" s="9">
        <f>HG141*($Q141*$S141)/(1+Voorblad!$K$44)^(DF$56-Voorblad!$F$41)</f>
        <v>0</v>
      </c>
      <c r="DG141" s="9">
        <f>HH141*($Q141*$S141)/(1+Voorblad!$K$44)^(DG$56-Voorblad!$F$41)</f>
        <v>0</v>
      </c>
      <c r="DH141" s="9">
        <f>HI141*($Q141*$S141)/(1+Voorblad!$K$44)^(DH$56-Voorblad!$F$41)</f>
        <v>0</v>
      </c>
      <c r="DI141" s="9">
        <f>HJ141*($Q141*$S141)/(1+Voorblad!$K$44)^(DI$56-Voorblad!$F$41)</f>
        <v>0</v>
      </c>
      <c r="DJ141" s="9">
        <f>HK141*($Q141*$S141)/(1+Voorblad!$K$44)^(DJ$56-Voorblad!$F$41)</f>
        <v>0</v>
      </c>
      <c r="DK141" s="9">
        <f>HL141*($Q141*$S141)/(1+Voorblad!$K$44)^(DK$56-Voorblad!$F$41)</f>
        <v>0</v>
      </c>
      <c r="DL141" s="9">
        <f>HM141*($Q141*$S141)/(1+Voorblad!$K$44)^(DL$56-Voorblad!$F$41)</f>
        <v>0</v>
      </c>
      <c r="DM141" s="9">
        <f>HN141*($Q141*$S141)/(1+Voorblad!$K$44)^(DM$56-Voorblad!$F$41)</f>
        <v>0</v>
      </c>
      <c r="DN141" s="9">
        <f>HO141*($Q141*$S141)/(1+Voorblad!$K$44)^(DN$56-Voorblad!$F$41)</f>
        <v>0</v>
      </c>
      <c r="DO141" s="9">
        <f>HP141*($Q141*$S141)/(1+Voorblad!$K$44)^(DO$56-Voorblad!$F$41)</f>
        <v>0</v>
      </c>
      <c r="DP141" s="9">
        <f>HQ141*($Q141*$S141)/(1+Voorblad!$K$44)^(DP$56-Voorblad!$F$41)</f>
        <v>0</v>
      </c>
      <c r="DQ141" s="9">
        <f>HR141*($Q141*$S141)/(1+Voorblad!$K$44)^(DQ$56-Voorblad!$F$41)</f>
        <v>0</v>
      </c>
      <c r="DR141" s="9">
        <f>HS141*($Q141*$S141)/(1+Voorblad!$K$44)^(DR$56-Voorblad!$F$41)</f>
        <v>0</v>
      </c>
      <c r="DS141" s="9">
        <f>HT141*($Q141*$S141)/(1+Voorblad!$K$44)^(DS$56-Voorblad!$F$41)</f>
        <v>0</v>
      </c>
      <c r="DT141" s="9">
        <f>HU141*($Q141*$S141)/(1+Voorblad!$K$44)^(DT$56-Voorblad!$F$41)</f>
        <v>0</v>
      </c>
      <c r="DU141" s="9">
        <f>HV141*($Q141*$S141)/(1+Voorblad!$K$44)^(DU$56-Voorblad!$F$41)</f>
        <v>0</v>
      </c>
      <c r="DV141" s="9">
        <f>HW141*($Q141*$S141)/(1+Voorblad!$K$44)^(DV$56-Voorblad!$F$41)</f>
        <v>0</v>
      </c>
      <c r="DW141" s="9">
        <f>HX141*($Q141*$S141)/(1+Voorblad!$K$44)^(DW$56-Voorblad!$F$41)</f>
        <v>0</v>
      </c>
      <c r="DX141" s="9">
        <f>HY141*($Q141*$S141)/(1+Voorblad!$K$44)^(DX$56-Voorblad!$F$41)</f>
        <v>0</v>
      </c>
      <c r="DY141" s="9">
        <f>HZ141*($Q141*$S141)/(1+Voorblad!$K$44)^(DY$56-Voorblad!$F$41)</f>
        <v>0</v>
      </c>
      <c r="DZ141" s="9">
        <f>IA141*($Q141*$S141)/(1+Voorblad!$K$44)^(DZ$56-Voorblad!$F$41)</f>
        <v>0</v>
      </c>
      <c r="EA141" s="9">
        <f>IB141*($Q141*$S141)/(1+Voorblad!$K$44)^(EA$56-Voorblad!$F$41)</f>
        <v>0</v>
      </c>
      <c r="EB141" s="9">
        <f>IC141*($Q141*$S141)/(1+Voorblad!$K$44)^(EB$56-Voorblad!$F$41)</f>
        <v>0</v>
      </c>
      <c r="EE141" s="8">
        <v>0</v>
      </c>
      <c r="EF141" s="8">
        <f>IF(EF$56-Voorblad!$F$41&gt;Voorblad!$K$41,0,IF($U141=0,0,IF($U141&lt;1,1/$U141,IF((EF$56-Voorblad!$F$41)/$U141-SUM($EE141:EE141)=1,1,0))))</f>
        <v>0</v>
      </c>
      <c r="EG141" s="8">
        <f>IF(EG$56-Voorblad!$F$41&gt;Voorblad!$K$41,0,IF($U141=0,0,IF($U141&lt;1,1/$U141,IF((EG$56-Voorblad!$F$41)/$U141-SUM($EE141:EF141)=1,1,0))))</f>
        <v>0</v>
      </c>
      <c r="EH141" s="8">
        <f>IF(EH$56-Voorblad!$F$41&gt;Voorblad!$K$41,0,IF($U141=0,0,IF($U141&lt;1,1/$U141,IF((EH$56-Voorblad!$F$41)/$U141-SUM($EE141:EG141)=1,1,0))))</f>
        <v>0</v>
      </c>
      <c r="EI141" s="8">
        <f>IF(EI$56-Voorblad!$F$41&gt;Voorblad!$K$41,0,IF($U141=0,0,IF($U141&lt;1,1/$U141,IF((EI$56-Voorblad!$F$41)/$U141-SUM($EE141:EH141)=1,1,0))))</f>
        <v>0</v>
      </c>
      <c r="EJ141" s="8">
        <f>IF(EJ$56-Voorblad!$F$41&gt;Voorblad!$K$41,0,IF($U141=0,0,IF($U141&lt;1,1/$U141,IF((EJ$56-Voorblad!$F$41)/$U141-SUM($EE141:EI141)=1,1,0))))</f>
        <v>0</v>
      </c>
      <c r="EK141" s="8">
        <f>IF(EK$56-Voorblad!$F$41&gt;Voorblad!$K$41,0,IF($U141=0,0,IF($U141&lt;1,1/$U141,IF((EK$56-Voorblad!$F$41)/$U141-SUM($EE141:EJ141)=1,1,0))))</f>
        <v>0</v>
      </c>
      <c r="EL141" s="8">
        <f>IF(EL$56-Voorblad!$F$41&gt;Voorblad!$K$41,0,IF($U141=0,0,IF($U141&lt;1,1/$U141,IF((EL$56-Voorblad!$F$41)/$U141-SUM($EE141:EK141)=1,1,0))))</f>
        <v>0</v>
      </c>
      <c r="EM141" s="8">
        <f>IF(EM$56-Voorblad!$F$41&gt;Voorblad!$K$41,0,IF($U141=0,0,IF($U141&lt;1,1/$U141,IF((EM$56-Voorblad!$F$41)/$U141-SUM($EE141:EL141)=1,1,0))))</f>
        <v>0</v>
      </c>
      <c r="EN141" s="8">
        <f>IF(EN$56-Voorblad!$F$41&gt;Voorblad!$K$41,0,IF($U141=0,0,IF($U141&lt;1,1/$U141,IF((EN$56-Voorblad!$F$41)/$U141-SUM($EE141:EM141)=1,1,0))))</f>
        <v>0</v>
      </c>
      <c r="EO141" s="8">
        <f>IF(EO$56-Voorblad!$F$41&gt;Voorblad!$K$41,0,IF($U141=0,0,IF($U141&lt;1,1/$U141,IF((EO$56-Voorblad!$F$41)/$U141-SUM($EE141:EN141)=1,1,0))))</f>
        <v>0</v>
      </c>
      <c r="EP141" s="8">
        <f>IF(EP$56-Voorblad!$F$41&gt;Voorblad!$K$41,0,IF($U141=0,0,IF($U141&lt;1,1/$U141,IF((EP$56-Voorblad!$F$41)/$U141-SUM($EE141:EO141)=1,1,0))))</f>
        <v>0</v>
      </c>
      <c r="EQ141" s="8">
        <f>IF(EQ$56-Voorblad!$F$41&gt;Voorblad!$K$41,0,IF($U141=0,0,IF($U141&lt;1,1/$U141,IF((EQ$56-Voorblad!$F$41)/$U141-SUM($EE141:EP141)=1,1,0))))</f>
        <v>0</v>
      </c>
      <c r="ER141" s="8">
        <f>IF(ER$56-Voorblad!$F$41&gt;Voorblad!$K$41,0,IF($U141=0,0,IF($U141&lt;1,1/$U141,IF((ER$56-Voorblad!$F$41)/$U141-SUM($EE141:EQ141)=1,1,0))))</f>
        <v>0</v>
      </c>
      <c r="ES141" s="8">
        <f>IF(ES$56-Voorblad!$F$41&gt;Voorblad!$K$41,0,IF($U141=0,0,IF($U141&lt;1,1/$U141,IF((ES$56-Voorblad!$F$41)/$U141-SUM($EE141:ER141)=1,1,0))))</f>
        <v>0</v>
      </c>
      <c r="ET141" s="8">
        <f>IF(ET$56-Voorblad!$F$41&gt;Voorblad!$K$41,0,IF($U141=0,0,IF($U141&lt;1,1/$U141,IF((ET$56-Voorblad!$F$41)/$U141-SUM($EE141:ES141)=1,1,0))))</f>
        <v>0</v>
      </c>
      <c r="EU141" s="8">
        <f>IF(EU$56-Voorblad!$F$41&gt;Voorblad!$K$41,0,IF($U141=0,0,IF($U141&lt;1,1/$U141,IF((EU$56-Voorblad!$F$41)/$U141-SUM($EE141:ET141)=1,1,0))))</f>
        <v>0</v>
      </c>
      <c r="EV141" s="8">
        <f>IF(EV$56-Voorblad!$F$41&gt;Voorblad!$K$41,0,IF($U141=0,0,IF($U141&lt;1,1/$U141,IF((EV$56-Voorblad!$F$41)/$U141-SUM($EE141:EU141)=1,1,0))))</f>
        <v>0</v>
      </c>
      <c r="EW141" s="8">
        <f>IF(EW$56-Voorblad!$F$41&gt;Voorblad!$K$41,0,IF($U141=0,0,IF($U141&lt;1,1/$U141,IF((EW$56-Voorblad!$F$41)/$U141-SUM($EE141:EV141)=1,1,0))))</f>
        <v>0</v>
      </c>
      <c r="EX141" s="8">
        <f>IF(EX$56-Voorblad!$F$41&gt;Voorblad!$K$41,0,IF($U141=0,0,IF($U141&lt;1,1/$U141,IF((EX$56-Voorblad!$F$41)/$U141-SUM($EE141:EW141)=1,1,0))))</f>
        <v>0</v>
      </c>
      <c r="EY141" s="8">
        <f>IF(EY$56-Voorblad!$F$41&gt;Voorblad!$K$41,0,IF($U141=0,0,IF($U141&lt;1,1/$U141,IF((EY$56-Voorblad!$F$41)/$U141-SUM($EE141:EX141)=1,1,0))))</f>
        <v>0</v>
      </c>
      <c r="EZ141" s="8">
        <f>IF(EZ$56-Voorblad!$F$41&gt;Voorblad!$K$41,0,IF($U141=0,0,IF($U141&lt;1,1/$U141,IF((EZ$56-Voorblad!$F$41)/$U141-SUM($EE141:EY141)=1,1,0))))</f>
        <v>0</v>
      </c>
      <c r="FA141" s="8">
        <f>IF(FA$56-Voorblad!$F$41&gt;Voorblad!$K$41,0,IF($U141=0,0,IF($U141&lt;1,1/$U141,IF((FA$56-Voorblad!$F$41)/$U141-SUM($EE141:EZ141)=1,1,0))))</f>
        <v>0</v>
      </c>
      <c r="FB141" s="8">
        <f>IF(FB$56-Voorblad!$F$41&gt;Voorblad!$K$41,0,IF($U141=0,0,IF($U141&lt;1,1/$U141,IF((FB$56-Voorblad!$F$41)/$U141-SUM($EE141:FA141)=1,1,0))))</f>
        <v>0</v>
      </c>
      <c r="FC141" s="8">
        <f>IF(FC$56-Voorblad!$F$41&gt;Voorblad!$K$41,0,IF($U141=0,0,IF($U141&lt;1,1/$U141,IF((FC$56-Voorblad!$F$41)/$U141-SUM($EE141:FB141)=1,1,0))))</f>
        <v>0</v>
      </c>
      <c r="FD141" s="8">
        <f>IF(FD$56-Voorblad!$F$41&gt;Voorblad!$K$41,0,IF($U141=0,0,IF($U141&lt;1,1/$U141,IF((FD$56-Voorblad!$F$41)/$U141-SUM($EE141:FC141)=1,1,0))))</f>
        <v>0</v>
      </c>
      <c r="FE141" s="8">
        <f>IF(FE$56-Voorblad!$F$41&gt;Voorblad!$K$41,0,IF($U141=0,0,IF($U141&lt;1,1/$U141,IF((FE$56-Voorblad!$F$41)/$U141-SUM($EE141:FD141)=1,1,0))))</f>
        <v>0</v>
      </c>
      <c r="FF141" s="8">
        <f>IF(FF$56-Voorblad!$F$41&gt;Voorblad!$K$41,0,IF($U141=0,0,IF($U141&lt;1,1/$U141,IF((FF$56-Voorblad!$F$41)/$U141-SUM($EE141:FE141)=1,1,0))))</f>
        <v>0</v>
      </c>
      <c r="FG141" s="8">
        <f>IF(FG$56-Voorblad!$F$41&gt;Voorblad!$K$41,0,IF($U141=0,0,IF($U141&lt;1,1/$U141,IF((FG$56-Voorblad!$F$41)/$U141-SUM($EE141:FF141)=1,1,0))))</f>
        <v>0</v>
      </c>
      <c r="FH141" s="8">
        <f>IF(FH$56-Voorblad!$F$41&gt;Voorblad!$K$41,0,IF($U141=0,0,IF($U141&lt;1,1/$U141,IF((FH$56-Voorblad!$F$41)/$U141-SUM($EE141:FG141)=1,1,0))))</f>
        <v>0</v>
      </c>
      <c r="FI141" s="8">
        <f>IF(FI$56-Voorblad!$F$41&gt;Voorblad!$K$41,0,IF($U141=0,0,IF($U141&lt;1,1/$U141,IF((FI$56-Voorblad!$F$41)/$U141-SUM($EE141:FH141)=1,1,0))))</f>
        <v>0</v>
      </c>
      <c r="FJ141" s="8">
        <f>IF(FJ$56-Voorblad!$F$41&gt;Voorblad!$K$41,0,IF($U141=0,0,IF($U141&lt;1,1/$U141,IF((FJ$56-Voorblad!$F$41)/$U141-SUM($EE141:FI141)=1,1,0))))</f>
        <v>0</v>
      </c>
      <c r="FK141" s="8">
        <f>IF(FK$56-Voorblad!$F$41&gt;Voorblad!$K$41,0,IF($U141=0,0,IF($U141&lt;1,1/$U141,IF((FK$56-Voorblad!$F$41)/$U141-SUM($EE141:FJ141)=1,1,0))))</f>
        <v>0</v>
      </c>
      <c r="FL141" s="8">
        <f>IF(FL$56-Voorblad!$F$41&gt;Voorblad!$K$41,0,IF($U141=0,0,IF($U141&lt;1,1/$U141,IF((FL$56-Voorblad!$F$41)/$U141-SUM($EE141:FK141)=1,1,0))))</f>
        <v>0</v>
      </c>
      <c r="FM141" s="8">
        <f>IF(FM$56-Voorblad!$F$41&gt;Voorblad!$K$41,0,IF($U141=0,0,IF($U141&lt;1,1/$U141,IF((FM$56-Voorblad!$F$41)/$U141-SUM($EE141:FL141)=1,1,0))))</f>
        <v>0</v>
      </c>
      <c r="FN141" s="8">
        <f>IF(FN$56-Voorblad!$F$41&gt;Voorblad!$K$41,0,IF($U141=0,0,IF($U141&lt;1,1/$U141,IF((FN$56-Voorblad!$F$41)/$U141-SUM($EE141:FM141)=1,1,0))))</f>
        <v>0</v>
      </c>
      <c r="FO141" s="8">
        <f>IF(FO$56-Voorblad!$F$41&gt;Voorblad!$K$41,0,IF($U141=0,0,IF($U141&lt;1,1/$U141,IF((FO$56-Voorblad!$F$41)/$U141-SUM($EE141:FN141)=1,1,0))))</f>
        <v>0</v>
      </c>
      <c r="FP141" s="8">
        <f>IF(FP$56-Voorblad!$F$41&gt;Voorblad!$K$41,0,IF($U141=0,0,IF($U141&lt;1,1/$U141,IF((FP$56-Voorblad!$F$41)/$U141-SUM($EE141:FO141)=1,1,0))))</f>
        <v>0</v>
      </c>
      <c r="FQ141" s="8">
        <f>IF(FQ$56-Voorblad!$F$41&gt;Voorblad!$K$41,0,IF($U141=0,0,IF($U141&lt;1,1/$U141,IF((FQ$56-Voorblad!$F$41)/$U141-SUM($EE141:FP141)=1,1,0))))</f>
        <v>0</v>
      </c>
      <c r="FR141" s="8">
        <f>IF(FR$56-Voorblad!$F$41&gt;Voorblad!$K$41,0,IF($U141=0,0,IF($U141&lt;1,1/$U141,IF((FR$56-Voorblad!$F$41)/$U141-SUM($EE141:FQ141)=1,1,0))))</f>
        <v>0</v>
      </c>
      <c r="FS141" s="8">
        <f>IF(FS$56-Voorblad!$F$41&gt;Voorblad!$K$41,0,IF($U141=0,0,IF($U141&lt;1,1/$U141,IF((FS$56-Voorblad!$F$41)/$U141-SUM($EE141:FR141)=1,1,0))))</f>
        <v>0</v>
      </c>
      <c r="FT141" s="8">
        <f>IF(FT$56-Voorblad!$F$41&gt;Voorblad!$K$41,0,IF($U141=0,0,IF($U141&lt;1,1/$U141,IF((FT$56-Voorblad!$F$41)/$U141-SUM($EE141:FS141)=1,1,0))))</f>
        <v>0</v>
      </c>
      <c r="FU141" s="8">
        <f>IF(FU$56-Voorblad!$F$41&gt;Voorblad!$K$41,0,IF($U141=0,0,IF($U141&lt;1,1/$U141,IF((FU$56-Voorblad!$F$41)/$U141-SUM($EE141:FT141)=1,1,0))))</f>
        <v>0</v>
      </c>
      <c r="FV141" s="8">
        <f>IF(FV$56-Voorblad!$F$41&gt;Voorblad!$K$41,0,IF($U141=0,0,IF($U141&lt;1,1/$U141,IF((FV$56-Voorblad!$F$41)/$U141-SUM($EE141:FU141)=1,1,0))))</f>
        <v>0</v>
      </c>
      <c r="FW141" s="8">
        <f>IF(FW$56-Voorblad!$F$41&gt;Voorblad!$K$41,0,IF($U141=0,0,IF($U141&lt;1,1/$U141,IF((FW$56-Voorblad!$F$41)/$U141-SUM($EE141:FV141)=1,1,0))))</f>
        <v>0</v>
      </c>
      <c r="FX141" s="8">
        <f>IF(FX$56-Voorblad!$F$41&gt;Voorblad!$K$41,0,IF($U141=0,0,IF($U141&lt;1,1/$U141,IF((FX$56-Voorblad!$F$41)/$U141-SUM($EE141:FW141)=1,1,0))))</f>
        <v>0</v>
      </c>
      <c r="FY141" s="8">
        <f>IF(FY$56-Voorblad!$F$41&gt;Voorblad!$K$41,0,IF($U141=0,0,IF($U141&lt;1,1/$U141,IF((FY$56-Voorblad!$F$41)/$U141-SUM($EE141:FX141)=1,1,0))))</f>
        <v>0</v>
      </c>
      <c r="FZ141" s="8">
        <f>IF(FZ$56-Voorblad!$F$41&gt;Voorblad!$K$41,0,IF($U141=0,0,IF($U141&lt;1,1/$U141,IF((FZ$56-Voorblad!$F$41)/$U141-SUM($EE141:FY141)=1,1,0))))</f>
        <v>0</v>
      </c>
      <c r="GA141" s="8">
        <f>IF(GA$56-Voorblad!$F$41&gt;Voorblad!$K$41,0,IF($U141=0,0,IF($U141&lt;1,1/$U141,IF((GA$56-Voorblad!$F$41)/$U141-SUM($EE141:FZ141)=1,1,0))))</f>
        <v>0</v>
      </c>
      <c r="GB141" s="8">
        <f>IF(GB$56-Voorblad!$F$41&gt;Voorblad!$K$41,0,IF($U141=0,0,IF($U141&lt;1,1/$U141,IF((GB$56-Voorblad!$F$41)/$U141-SUM($EE141:GA141)=1,1,0))))</f>
        <v>0</v>
      </c>
      <c r="GC141" s="8">
        <f>IF(GC$56-Voorblad!$F$41&gt;Voorblad!$K$41,0,IF($U141=0,0,IF($U141&lt;1,1/$U141,IF((GC$56-Voorblad!$F$41)/$U141-SUM($EE141:GB141)=1,1,0))))</f>
        <v>0</v>
      </c>
      <c r="GD141" s="8">
        <f>IF(GD$56-Voorblad!$F$41&gt;Voorblad!$K$41,0,IF($U141=0,0,IF($U141&lt;1,1/$U141,IF((GD$56-Voorblad!$F$41)/$U141-SUM($EE141:GC141)=1,1,0))))</f>
        <v>1</v>
      </c>
      <c r="GE141" s="8">
        <f>IF(GE$56-Voorblad!$F$41&gt;Voorblad!$K$41,0,IF($U141=0,0,IF($U141&lt;1,1/$U141,IF((GE$56-Voorblad!$F$41)/$U141-SUM($EE141:GD141)=1,1,0))))</f>
        <v>0</v>
      </c>
      <c r="GF141" s="8">
        <f>IF(GF$56-Voorblad!$F$41&gt;Voorblad!$K$41,0,IF($U141=0,0,IF($U141&lt;1,1/$U141,IF((GF$56-Voorblad!$F$41)/$U141-SUM($EE141:GE141)=1,1,0))))</f>
        <v>0</v>
      </c>
      <c r="GG141" s="8">
        <f>IF(GG$56-Voorblad!$F$41&gt;Voorblad!$K$41,0,IF($U141=0,0,IF($U141&lt;1,1/$U141,IF((GG$56-Voorblad!$F$41)/$U141-SUM($EE141:GF141)=1,1,0))))</f>
        <v>0</v>
      </c>
      <c r="GH141" s="8">
        <f>IF(GH$56-Voorblad!$F$41&gt;Voorblad!$K$41,0,IF($U141=0,0,IF($U141&lt;1,1/$U141,IF((GH$56-Voorblad!$F$41)/$U141-SUM($EE141:GG141)=1,1,0))))</f>
        <v>0</v>
      </c>
      <c r="GI141" s="8">
        <f>IF(GI$56-Voorblad!$F$41&gt;Voorblad!$K$41,0,IF($U141=0,0,IF($U141&lt;1,1/$U141,IF((GI$56-Voorblad!$F$41)/$U141-SUM($EE141:GH141)=1,1,0))))</f>
        <v>0</v>
      </c>
      <c r="GJ141" s="8">
        <f>IF(GJ$56-Voorblad!$F$41&gt;Voorblad!$K$41,0,IF($U141=0,0,IF($U141&lt;1,1/$U141,IF((GJ$56-Voorblad!$F$41)/$U141-SUM($EE141:GI141)=1,1,0))))</f>
        <v>0</v>
      </c>
      <c r="GK141" s="8">
        <f>IF(GK$56-Voorblad!$F$41&gt;Voorblad!$K$41,0,IF($U141=0,0,IF($U141&lt;1,1/$U141,IF((GK$56-Voorblad!$F$41)/$U141-SUM($EE141:GJ141)=1,1,0))))</f>
        <v>0</v>
      </c>
      <c r="GL141" s="8">
        <f>IF(GL$56-Voorblad!$F$41&gt;Voorblad!$K$41,0,IF($U141=0,0,IF($U141&lt;1,1/$U141,IF((GL$56-Voorblad!$F$41)/$U141-SUM($EE141:GK141)=1,1,0))))</f>
        <v>0</v>
      </c>
      <c r="GM141" s="8">
        <f>IF(GM$56-Voorblad!$F$41&gt;Voorblad!$K$41,0,IF($U141=0,0,IF($U141&lt;1,1/$U141,IF((GM$56-Voorblad!$F$41)/$U141-SUM($EE141:GL141)=1,1,0))))</f>
        <v>0</v>
      </c>
      <c r="GN141" s="8">
        <f>IF(GN$56-Voorblad!$F$41&gt;Voorblad!$K$41,0,IF($U141=0,0,IF($U141&lt;1,1/$U141,IF((GN$56-Voorblad!$F$41)/$U141-SUM($EE141:GM141)=1,1,0))))</f>
        <v>0</v>
      </c>
      <c r="GO141" s="8">
        <f>IF(GO$56-Voorblad!$F$41&gt;Voorblad!$K$41,0,IF($U141=0,0,IF($U141&lt;1,1/$U141,IF((GO$56-Voorblad!$F$41)/$U141-SUM($EE141:GN141)=1,1,0))))</f>
        <v>0</v>
      </c>
      <c r="GP141" s="8">
        <f>IF(GP$56-Voorblad!$F$41&gt;Voorblad!$K$41,0,IF($U141=0,0,IF($U141&lt;1,1/$U141,IF((GP$56-Voorblad!$F$41)/$U141-SUM($EE141:GO141)=1,1,0))))</f>
        <v>0</v>
      </c>
      <c r="GQ141" s="8">
        <f>IF(GQ$56-Voorblad!$F$41&gt;Voorblad!$K$41,0,IF($U141=0,0,IF($U141&lt;1,1/$U141,IF((GQ$56-Voorblad!$F$41)/$U141-SUM($EE141:GP141)=1,1,0))))</f>
        <v>0</v>
      </c>
      <c r="GR141" s="8">
        <f>IF(GR$56-Voorblad!$F$41&gt;Voorblad!$K$41,0,IF($U141=0,0,IF($U141&lt;1,1/$U141,IF((GR$56-Voorblad!$F$41)/$U141-SUM($EE141:GQ141)=1,1,0))))</f>
        <v>0</v>
      </c>
      <c r="GS141" s="8">
        <f>IF(GS$56-Voorblad!$F$41&gt;Voorblad!$K$41,0,IF($U141=0,0,IF($U141&lt;1,1/$U141,IF((GS$56-Voorblad!$F$41)/$U141-SUM($EE141:GR141)=1,1,0))))</f>
        <v>0</v>
      </c>
      <c r="GT141" s="8">
        <f>IF(GT$56-Voorblad!$F$41&gt;Voorblad!$K$41,0,IF($U141=0,0,IF($U141&lt;1,1/$U141,IF((GT$56-Voorblad!$F$41)/$U141-SUM($EE141:GS141)=1,1,0))))</f>
        <v>0</v>
      </c>
      <c r="GU141" s="8">
        <f>IF(GU$56-Voorblad!$F$41&gt;Voorblad!$K$41,0,IF($U141=0,0,IF($U141&lt;1,1/$U141,IF((GU$56-Voorblad!$F$41)/$U141-SUM($EE141:GT141)=1,1,0))))</f>
        <v>0</v>
      </c>
      <c r="GV141" s="8">
        <f>IF(GV$56-Voorblad!$F$41&gt;Voorblad!$K$41,0,IF($U141=0,0,IF($U141&lt;1,1/$U141,IF((GV$56-Voorblad!$F$41)/$U141-SUM($EE141:GU141)=1,1,0))))</f>
        <v>0</v>
      </c>
      <c r="GW141" s="8">
        <f>IF(GW$56-Voorblad!$F$41&gt;Voorblad!$K$41,0,IF($U141=0,0,IF($U141&lt;1,1/$U141,IF((GW$56-Voorblad!$F$41)/$U141-SUM($EE141:GV141)=1,1,0))))</f>
        <v>0</v>
      </c>
      <c r="GX141" s="8">
        <f>IF(GX$56-Voorblad!$F$41&gt;Voorblad!$K$41,0,IF($U141=0,0,IF($U141&lt;1,1/$U141,IF((GX$56-Voorblad!$F$41)/$U141-SUM($EE141:GW141)=1,1,0))))</f>
        <v>0</v>
      </c>
      <c r="GY141" s="8">
        <f>IF(GY$56-Voorblad!$F$41&gt;Voorblad!$K$41,0,IF($U141=0,0,IF($U141&lt;1,1/$U141,IF((GY$56-Voorblad!$F$41)/$U141-SUM($EE141:GX141)=1,1,0))))</f>
        <v>0</v>
      </c>
      <c r="GZ141" s="8">
        <f>IF(GZ$56-Voorblad!$F$41&gt;Voorblad!$K$41,0,IF($U141=0,0,IF($U141&lt;1,1/$U141,IF((GZ$56-Voorblad!$F$41)/$U141-SUM($EE141:GY141)=1,1,0))))</f>
        <v>0</v>
      </c>
      <c r="HA141" s="8">
        <f>IF(HA$56-Voorblad!$F$41&gt;Voorblad!$K$41,0,IF($U141=0,0,IF($U141&lt;1,1/$U141,IF((HA$56-Voorblad!$F$41)/$U141-SUM($EE141:GZ141)=1,1,0))))</f>
        <v>0</v>
      </c>
      <c r="HB141" s="8">
        <f>IF(HB$56-Voorblad!$F$41&gt;Voorblad!$K$41,0,IF($U141=0,0,IF($U141&lt;1,1/$U141,IF((HB$56-Voorblad!$F$41)/$U141-SUM($EE141:HA141)=1,1,0))))</f>
        <v>0</v>
      </c>
      <c r="HC141" s="8">
        <f>IF(HC$56-Voorblad!$F$41&gt;Voorblad!$K$41,0,IF($U141=0,0,IF($U141&lt;1,1/$U141,IF((HC$56-Voorblad!$F$41)/$U141-SUM($EE141:HB141)=1,1,0))))</f>
        <v>0</v>
      </c>
      <c r="HD141" s="8">
        <f>IF(HD$56-Voorblad!$F$41&gt;Voorblad!$K$41,0,IF($U141=0,0,IF($U141&lt;1,1/$U141,IF((HD$56-Voorblad!$F$41)/$U141-SUM($EE141:HC141)=1,1,0))))</f>
        <v>0</v>
      </c>
      <c r="HE141" s="8">
        <f>IF(HE$56-Voorblad!$F$41&gt;Voorblad!$K$41,0,IF($U141=0,0,IF($U141&lt;1,1/$U141,IF((HE$56-Voorblad!$F$41)/$U141-SUM($EE141:HD141)=1,1,0))))</f>
        <v>0</v>
      </c>
      <c r="HF141" s="8">
        <f>IF(HF$56-Voorblad!$F$41&gt;Voorblad!$K$41,0,IF($U141=0,0,IF($U141&lt;1,1/$U141,IF((HF$56-Voorblad!$F$41)/$U141-SUM($EE141:HE141)=1,1,0))))</f>
        <v>0</v>
      </c>
      <c r="HG141" s="8">
        <f>IF(HG$56-Voorblad!$F$41&gt;Voorblad!$K$41,0,IF($U141=0,0,IF($U141&lt;1,1/$U141,IF((HG$56-Voorblad!$F$41)/$U141-SUM($EE141:HF141)=1,1,0))))</f>
        <v>0</v>
      </c>
      <c r="HH141" s="8">
        <f>IF(HH$56-Voorblad!$F$41&gt;Voorblad!$K$41,0,IF($U141=0,0,IF($U141&lt;1,1/$U141,IF((HH$56-Voorblad!$F$41)/$U141-SUM($EE141:HG141)=1,1,0))))</f>
        <v>0</v>
      </c>
      <c r="HI141" s="8">
        <f>IF(HI$56-Voorblad!$F$41&gt;Voorblad!$K$41,0,IF($U141=0,0,IF($U141&lt;1,1/$U141,IF((HI$56-Voorblad!$F$41)/$U141-SUM($EE141:HH141)=1,1,0))))</f>
        <v>0</v>
      </c>
      <c r="HJ141" s="8">
        <f>IF(HJ$56-Voorblad!$F$41&gt;Voorblad!$K$41,0,IF($U141=0,0,IF($U141&lt;1,1/$U141,IF((HJ$56-Voorblad!$F$41)/$U141-SUM($EE141:HI141)=1,1,0))))</f>
        <v>0</v>
      </c>
      <c r="HK141" s="8">
        <f>IF(HK$56-Voorblad!$F$41&gt;Voorblad!$K$41,0,IF($U141=0,0,IF($U141&lt;1,1/$U141,IF((HK$56-Voorblad!$F$41)/$U141-SUM($EE141:HJ141)=1,1,0))))</f>
        <v>0</v>
      </c>
      <c r="HL141" s="8">
        <f>IF(HL$56-Voorblad!$F$41&gt;Voorblad!$K$41,0,IF($U141=0,0,IF($U141&lt;1,1/$U141,IF((HL$56-Voorblad!$F$41)/$U141-SUM($EE141:HK141)=1,1,0))))</f>
        <v>0</v>
      </c>
      <c r="HM141" s="8">
        <f>IF(HM$56-Voorblad!$F$41&gt;Voorblad!$K$41,0,IF($U141=0,0,IF($U141&lt;1,1/$U141,IF((HM$56-Voorblad!$F$41)/$U141-SUM($EE141:HL141)=1,1,0))))</f>
        <v>0</v>
      </c>
      <c r="HN141" s="8">
        <f>IF(HN$56-Voorblad!$F$41&gt;Voorblad!$K$41,0,IF($U141=0,0,IF($U141&lt;1,1/$U141,IF((HN$56-Voorblad!$F$41)/$U141-SUM($EE141:HM141)=1,1,0))))</f>
        <v>0</v>
      </c>
      <c r="HO141" s="8">
        <f>IF(HO$56-Voorblad!$F$41&gt;Voorblad!$K$41,0,IF($U141=0,0,IF($U141&lt;1,1/$U141,IF((HO$56-Voorblad!$F$41)/$U141-SUM($EE141:HN141)=1,1,0))))</f>
        <v>0</v>
      </c>
      <c r="HP141" s="8">
        <f>IF(HP$56-Voorblad!$F$41&gt;Voorblad!$K$41,0,IF($U141=0,0,IF($U141&lt;1,1/$U141,IF((HP$56-Voorblad!$F$41)/$U141-SUM($EE141:HO141)=1,1,0))))</f>
        <v>0</v>
      </c>
      <c r="HQ141" s="8">
        <f>IF(HQ$56-Voorblad!$F$41&gt;Voorblad!$K$41,0,IF($U141=0,0,IF($U141&lt;1,1/$U141,IF((HQ$56-Voorblad!$F$41)/$U141-SUM($EE141:HP141)=1,1,0))))</f>
        <v>0</v>
      </c>
      <c r="HR141" s="8">
        <f>IF(HR$56-Voorblad!$F$41&gt;Voorblad!$K$41,0,IF($U141=0,0,IF($U141&lt;1,1/$U141,IF((HR$56-Voorblad!$F$41)/$U141-SUM($EE141:HQ141)=1,1,0))))</f>
        <v>0</v>
      </c>
      <c r="HS141" s="8">
        <f>IF(HS$56-Voorblad!$F$41&gt;Voorblad!$K$41,0,IF($U141=0,0,IF($U141&lt;1,1/$U141,IF((HS$56-Voorblad!$F$41)/$U141-SUM($EE141:HR141)=1,1,0))))</f>
        <v>0</v>
      </c>
      <c r="HT141" s="8">
        <f>IF(HT$56-Voorblad!$F$41&gt;Voorblad!$K$41,0,IF($U141=0,0,IF($U141&lt;1,1/$U141,IF((HT$56-Voorblad!$F$41)/$U141-SUM($EE141:HS141)=1,1,0))))</f>
        <v>0</v>
      </c>
      <c r="HU141" s="8">
        <f>IF(HU$56-Voorblad!$F$41&gt;Voorblad!$K$41,0,IF($U141=0,0,IF($U141&lt;1,1/$U141,IF((HU$56-Voorblad!$F$41)/$U141-SUM($EE141:HT141)=1,1,0))))</f>
        <v>0</v>
      </c>
      <c r="HV141" s="8">
        <f>IF(HV$56-Voorblad!$F$41&gt;Voorblad!$K$41,0,IF($U141=0,0,IF($U141&lt;1,1/$U141,IF((HV$56-Voorblad!$F$41)/$U141-SUM($EE141:HU141)=1,1,0))))</f>
        <v>0</v>
      </c>
      <c r="HW141" s="8">
        <f>IF(HW$56-Voorblad!$F$41&gt;Voorblad!$K$41,0,IF($U141=0,0,IF($U141&lt;1,1/$U141,IF((HW$56-Voorblad!$F$41)/$U141-SUM($EE141:HV141)=1,1,0))))</f>
        <v>0</v>
      </c>
      <c r="HX141" s="8">
        <f>IF(HX$56-Voorblad!$F$41&gt;Voorblad!$K$41,0,IF($U141=0,0,IF($U141&lt;1,1/$U141,IF((HX$56-Voorblad!$F$41)/$U141-SUM($EE141:HW141)=1,1,0))))</f>
        <v>0</v>
      </c>
      <c r="HY141" s="8">
        <f>IF(HY$56-Voorblad!$F$41&gt;Voorblad!$K$41,0,IF($U141=0,0,IF($U141&lt;1,1/$U141,IF((HY$56-Voorblad!$F$41)/$U141-SUM($EE141:HX141)=1,1,0))))</f>
        <v>0</v>
      </c>
      <c r="HZ141" s="8">
        <f>IF(HZ$56-Voorblad!$F$41&gt;Voorblad!$K$41,0,IF($U141=0,0,IF($U141&lt;1,1/$U141,IF((HZ$56-Voorblad!$F$41)/$U141-SUM($EE141:HY141)=1,1,0))))</f>
        <v>0</v>
      </c>
      <c r="IA141" s="8">
        <f>IF(IA$56-Voorblad!$F$41&gt;Voorblad!$K$41,0,IF($U141=0,0,IF($U141&lt;1,1/$U141,IF((IA$56-Voorblad!$F$41)/$U141-SUM($EE141:HZ141)=1,1,0))))</f>
        <v>0</v>
      </c>
      <c r="IB141" s="8">
        <f>IF(IB$56-Voorblad!$F$41&gt;Voorblad!$K$41,0,IF($U141=0,0,IF($U141&lt;1,1/$U141,IF((IB$56-Voorblad!$F$41)/$U141-SUM($EE141:IA141)=1,1,0))))</f>
        <v>0</v>
      </c>
    </row>
    <row r="142" spans="2:236" outlineLevel="1" x14ac:dyDescent="0.25">
      <c r="B142" s="1">
        <v>1</v>
      </c>
      <c r="F142" s="1" t="s">
        <v>23</v>
      </c>
      <c r="I142" s="1" t="s">
        <v>49</v>
      </c>
      <c r="K142" s="1" t="s">
        <v>73</v>
      </c>
      <c r="O142" s="1" t="s">
        <v>77</v>
      </c>
      <c r="Q142" s="81">
        <v>16</v>
      </c>
      <c r="R142" s="1" t="s">
        <v>75</v>
      </c>
      <c r="S142" s="14">
        <f>$H$10*1500</f>
        <v>3570</v>
      </c>
      <c r="T142" s="9">
        <f t="shared" si="104"/>
        <v>57120</v>
      </c>
      <c r="U142" s="14">
        <v>50</v>
      </c>
      <c r="V142" s="14"/>
      <c r="Y142" s="9">
        <f>SUM(AE142:EB142)</f>
        <v>16618.618920185541</v>
      </c>
      <c r="Z142" s="82"/>
      <c r="AA142" s="82"/>
      <c r="AC142" s="9">
        <f>$Y142*(Voorblad!$K$44*(1+Voorblad!$K$44)^Voorblad!$K$41)/((1+Voorblad!$K$44)^Voorblad!$K$41-1)</f>
        <v>497.48964882640422</v>
      </c>
      <c r="AE142" s="9">
        <f>EF142*($Q142*$S142)/(1+Voorblad!$K$44)^(AE$56-Voorblad!$F$41)</f>
        <v>0</v>
      </c>
      <c r="AF142" s="9">
        <f>EG142*($Q142*$S142)/(1+Voorblad!$K$44)^(AF$56-Voorblad!$F$41)</f>
        <v>0</v>
      </c>
      <c r="AG142" s="9">
        <f>EH142*($Q142*$S142)/(1+Voorblad!$K$44)^(AG$56-Voorblad!$F$41)</f>
        <v>0</v>
      </c>
      <c r="AH142" s="9">
        <f>EI142*($Q142*$S142)/(1+Voorblad!$K$44)^(AH$56-Voorblad!$F$41)</f>
        <v>0</v>
      </c>
      <c r="AI142" s="9">
        <f>EJ142*($Q142*$S142)/(1+Voorblad!$K$44)^(AI$56-Voorblad!$F$41)</f>
        <v>0</v>
      </c>
      <c r="AJ142" s="9">
        <f>EK142*($Q142*$S142)/(1+Voorblad!$K$44)^(AJ$56-Voorblad!$F$41)</f>
        <v>0</v>
      </c>
      <c r="AK142" s="9">
        <f>EL142*($Q142*$S142)/(1+Voorblad!$K$44)^(AK$56-Voorblad!$F$41)</f>
        <v>0</v>
      </c>
      <c r="AL142" s="9">
        <f>EM142*($Q142*$S142)/(1+Voorblad!$K$44)^(AL$56-Voorblad!$F$41)</f>
        <v>0</v>
      </c>
      <c r="AM142" s="9">
        <f>EN142*($Q142*$S142)/(1+Voorblad!$K$44)^(AM$56-Voorblad!$F$41)</f>
        <v>0</v>
      </c>
      <c r="AN142" s="9">
        <f>EO142*($Q142*$S142)/(1+Voorblad!$K$44)^(AN$56-Voorblad!$F$41)</f>
        <v>0</v>
      </c>
      <c r="AO142" s="9">
        <f>EP142*($Q142*$S142)/(1+Voorblad!$K$44)^(AO$56-Voorblad!$F$41)</f>
        <v>0</v>
      </c>
      <c r="AP142" s="9">
        <f>EQ142*($Q142*$S142)/(1+Voorblad!$K$44)^(AP$56-Voorblad!$F$41)</f>
        <v>0</v>
      </c>
      <c r="AQ142" s="9">
        <f>ER142*($Q142*$S142)/(1+Voorblad!$K$44)^(AQ$56-Voorblad!$F$41)</f>
        <v>0</v>
      </c>
      <c r="AR142" s="9">
        <f>ES142*($Q142*$S142)/(1+Voorblad!$K$44)^(AR$56-Voorblad!$F$41)</f>
        <v>0</v>
      </c>
      <c r="AS142" s="9">
        <f>ET142*($Q142*$S142)/(1+Voorblad!$K$44)^(AS$56-Voorblad!$F$41)</f>
        <v>0</v>
      </c>
      <c r="AT142" s="9">
        <f>EU142*($Q142*$S142)/(1+Voorblad!$K$44)^(AT$56-Voorblad!$F$41)</f>
        <v>0</v>
      </c>
      <c r="AU142" s="9">
        <f>EV142*($Q142*$S142)/(1+Voorblad!$K$44)^(AU$56-Voorblad!$F$41)</f>
        <v>0</v>
      </c>
      <c r="AV142" s="9">
        <f>EW142*($Q142*$S142)/(1+Voorblad!$K$44)^(AV$56-Voorblad!$F$41)</f>
        <v>0</v>
      </c>
      <c r="AW142" s="9">
        <f>EX142*($Q142*$S142)/(1+Voorblad!$K$44)^(AW$56-Voorblad!$F$41)</f>
        <v>0</v>
      </c>
      <c r="AX142" s="9">
        <f>EY142*($Q142*$S142)/(1+Voorblad!$K$44)^(AX$56-Voorblad!$F$41)</f>
        <v>0</v>
      </c>
      <c r="AY142" s="9">
        <f>EZ142*($Q142*$S142)/(1+Voorblad!$K$44)^(AY$56-Voorblad!$F$41)</f>
        <v>0</v>
      </c>
      <c r="AZ142" s="9">
        <f>FA142*($Q142*$S142)/(1+Voorblad!$K$44)^(AZ$56-Voorblad!$F$41)</f>
        <v>0</v>
      </c>
      <c r="BA142" s="9">
        <f>FB142*($Q142*$S142)/(1+Voorblad!$K$44)^(BA$56-Voorblad!$F$41)</f>
        <v>0</v>
      </c>
      <c r="BB142" s="9">
        <f>FC142*($Q142*$S142)/(1+Voorblad!$K$44)^(BB$56-Voorblad!$F$41)</f>
        <v>0</v>
      </c>
      <c r="BC142" s="9">
        <f>FD142*($Q142*$S142)/(1+Voorblad!$K$44)^(BC$56-Voorblad!$F$41)</f>
        <v>0</v>
      </c>
      <c r="BD142" s="9">
        <f>FE142*($Q142*$S142)/(1+Voorblad!$K$44)^(BD$56-Voorblad!$F$41)</f>
        <v>0</v>
      </c>
      <c r="BE142" s="9">
        <f>FF142*($Q142*$S142)/(1+Voorblad!$K$44)^(BE$56-Voorblad!$F$41)</f>
        <v>0</v>
      </c>
      <c r="BF142" s="9">
        <f>FG142*($Q142*$S142)/(1+Voorblad!$K$44)^(BF$56-Voorblad!$F$41)</f>
        <v>0</v>
      </c>
      <c r="BG142" s="9">
        <f>FH142*($Q142*$S142)/(1+Voorblad!$K$44)^(BG$56-Voorblad!$F$41)</f>
        <v>0</v>
      </c>
      <c r="BH142" s="9">
        <f>FI142*($Q142*$S142)/(1+Voorblad!$K$44)^(BH$56-Voorblad!$F$41)</f>
        <v>0</v>
      </c>
      <c r="BI142" s="9">
        <f>FJ142*($Q142*$S142)/(1+Voorblad!$K$44)^(BI$56-Voorblad!$F$41)</f>
        <v>0</v>
      </c>
      <c r="BJ142" s="9">
        <f>FK142*($Q142*$S142)/(1+Voorblad!$K$44)^(BJ$56-Voorblad!$F$41)</f>
        <v>0</v>
      </c>
      <c r="BK142" s="9">
        <f>FL142*($Q142*$S142)/(1+Voorblad!$K$44)^(BK$56-Voorblad!$F$41)</f>
        <v>0</v>
      </c>
      <c r="BL142" s="9">
        <f>FM142*($Q142*$S142)/(1+Voorblad!$K$44)^(BL$56-Voorblad!$F$41)</f>
        <v>0</v>
      </c>
      <c r="BM142" s="9">
        <f>FN142*($Q142*$S142)/(1+Voorblad!$K$44)^(BM$56-Voorblad!$F$41)</f>
        <v>0</v>
      </c>
      <c r="BN142" s="9">
        <f>FO142*($Q142*$S142)/(1+Voorblad!$K$44)^(BN$56-Voorblad!$F$41)</f>
        <v>0</v>
      </c>
      <c r="BO142" s="9">
        <f>FP142*($Q142*$S142)/(1+Voorblad!$K$44)^(BO$56-Voorblad!$F$41)</f>
        <v>0</v>
      </c>
      <c r="BP142" s="9">
        <f>FQ142*($Q142*$S142)/(1+Voorblad!$K$44)^(BP$56-Voorblad!$F$41)</f>
        <v>0</v>
      </c>
      <c r="BQ142" s="9">
        <f>FR142*($Q142*$S142)/(1+Voorblad!$K$44)^(BQ$56-Voorblad!$F$41)</f>
        <v>0</v>
      </c>
      <c r="BR142" s="9">
        <f>FS142*($Q142*$S142)/(1+Voorblad!$K$44)^(BR$56-Voorblad!$F$41)</f>
        <v>0</v>
      </c>
      <c r="BS142" s="9">
        <f>FT142*($Q142*$S142)/(1+Voorblad!$K$44)^(BS$56-Voorblad!$F$41)</f>
        <v>0</v>
      </c>
      <c r="BT142" s="9">
        <f>FU142*($Q142*$S142)/(1+Voorblad!$K$44)^(BT$56-Voorblad!$F$41)</f>
        <v>0</v>
      </c>
      <c r="BU142" s="9">
        <f>FV142*($Q142*$S142)/(1+Voorblad!$K$44)^(BU$56-Voorblad!$F$41)</f>
        <v>0</v>
      </c>
      <c r="BV142" s="9">
        <f>FW142*($Q142*$S142)/(1+Voorblad!$K$44)^(BV$56-Voorblad!$F$41)</f>
        <v>0</v>
      </c>
      <c r="BW142" s="9">
        <f>FX142*($Q142*$S142)/(1+Voorblad!$K$44)^(BW$56-Voorblad!$F$41)</f>
        <v>0</v>
      </c>
      <c r="BX142" s="9">
        <f>FY142*($Q142*$S142)/(1+Voorblad!$K$44)^(BX$56-Voorblad!$F$41)</f>
        <v>0</v>
      </c>
      <c r="BY142" s="9">
        <f>FZ142*($Q142*$S142)/(1+Voorblad!$K$44)^(BY$56-Voorblad!$F$41)</f>
        <v>0</v>
      </c>
      <c r="BZ142" s="9">
        <f>GA142*($Q142*$S142)/(1+Voorblad!$K$44)^(BZ$56-Voorblad!$F$41)</f>
        <v>0</v>
      </c>
      <c r="CA142" s="9">
        <f>GB142*($Q142*$S142)/(1+Voorblad!$K$44)^(CA$56-Voorblad!$F$41)</f>
        <v>0</v>
      </c>
      <c r="CB142" s="9">
        <f>GC142*($Q142*$S142)/(1+Voorblad!$K$44)^(CB$56-Voorblad!$F$41)</f>
        <v>0</v>
      </c>
      <c r="CC142" s="9">
        <f>GD142*($Q142*$S142)/(1+Voorblad!$K$44)^(CC$56-Voorblad!$F$41)</f>
        <v>16618.618920185541</v>
      </c>
      <c r="CD142" s="9">
        <f>GE142*($Q142*$S142)/(1+Voorblad!$K$44)^(CD$56-Voorblad!$F$41)</f>
        <v>0</v>
      </c>
      <c r="CE142" s="9">
        <f>GF142*($Q142*$S142)/(1+Voorblad!$K$44)^(CE$56-Voorblad!$F$41)</f>
        <v>0</v>
      </c>
      <c r="CF142" s="9">
        <f>GG142*($Q142*$S142)/(1+Voorblad!$K$44)^(CF$56-Voorblad!$F$41)</f>
        <v>0</v>
      </c>
      <c r="CG142" s="9">
        <f>GH142*($Q142*$S142)/(1+Voorblad!$K$44)^(CG$56-Voorblad!$F$41)</f>
        <v>0</v>
      </c>
      <c r="CH142" s="9">
        <f>GI142*($Q142*$S142)/(1+Voorblad!$K$44)^(CH$56-Voorblad!$F$41)</f>
        <v>0</v>
      </c>
      <c r="CI142" s="9">
        <f>GJ142*($Q142*$S142)/(1+Voorblad!$K$44)^(CI$56-Voorblad!$F$41)</f>
        <v>0</v>
      </c>
      <c r="CJ142" s="9">
        <f>GK142*($Q142*$S142)/(1+Voorblad!$K$44)^(CJ$56-Voorblad!$F$41)</f>
        <v>0</v>
      </c>
      <c r="CK142" s="9">
        <f>GL142*($Q142*$S142)/(1+Voorblad!$K$44)^(CK$56-Voorblad!$F$41)</f>
        <v>0</v>
      </c>
      <c r="CL142" s="9">
        <f>GM142*($Q142*$S142)/(1+Voorblad!$K$44)^(CL$56-Voorblad!$F$41)</f>
        <v>0</v>
      </c>
      <c r="CM142" s="9">
        <f>GN142*($Q142*$S142)/(1+Voorblad!$K$44)^(CM$56-Voorblad!$F$41)</f>
        <v>0</v>
      </c>
      <c r="CN142" s="9">
        <f>GO142*($Q142*$S142)/(1+Voorblad!$K$44)^(CN$56-Voorblad!$F$41)</f>
        <v>0</v>
      </c>
      <c r="CO142" s="9">
        <f>GP142*($Q142*$S142)/(1+Voorblad!$K$44)^(CO$56-Voorblad!$F$41)</f>
        <v>0</v>
      </c>
      <c r="CP142" s="9">
        <f>GQ142*($Q142*$S142)/(1+Voorblad!$K$44)^(CP$56-Voorblad!$F$41)</f>
        <v>0</v>
      </c>
      <c r="CQ142" s="9">
        <f>GR142*($Q142*$S142)/(1+Voorblad!$K$44)^(CQ$56-Voorblad!$F$41)</f>
        <v>0</v>
      </c>
      <c r="CR142" s="9">
        <f>GS142*($Q142*$S142)/(1+Voorblad!$K$44)^(CR$56-Voorblad!$F$41)</f>
        <v>0</v>
      </c>
      <c r="CS142" s="9">
        <f>GT142*($Q142*$S142)/(1+Voorblad!$K$44)^(CS$56-Voorblad!$F$41)</f>
        <v>0</v>
      </c>
      <c r="CT142" s="9">
        <f>GU142*($Q142*$S142)/(1+Voorblad!$K$44)^(CT$56-Voorblad!$F$41)</f>
        <v>0</v>
      </c>
      <c r="CU142" s="9">
        <f>GV142*($Q142*$S142)/(1+Voorblad!$K$44)^(CU$56-Voorblad!$F$41)</f>
        <v>0</v>
      </c>
      <c r="CV142" s="9">
        <f>GW142*($Q142*$S142)/(1+Voorblad!$K$44)^(CV$56-Voorblad!$F$41)</f>
        <v>0</v>
      </c>
      <c r="CW142" s="9">
        <f>GX142*($Q142*$S142)/(1+Voorblad!$K$44)^(CW$56-Voorblad!$F$41)</f>
        <v>0</v>
      </c>
      <c r="CX142" s="9">
        <f>GY142*($Q142*$S142)/(1+Voorblad!$K$44)^(CX$56-Voorblad!$F$41)</f>
        <v>0</v>
      </c>
      <c r="CY142" s="9">
        <f>GZ142*($Q142*$S142)/(1+Voorblad!$K$44)^(CY$56-Voorblad!$F$41)</f>
        <v>0</v>
      </c>
      <c r="CZ142" s="9">
        <f>HA142*($Q142*$S142)/(1+Voorblad!$K$44)^(CZ$56-Voorblad!$F$41)</f>
        <v>0</v>
      </c>
      <c r="DA142" s="9">
        <f>HB142*($Q142*$S142)/(1+Voorblad!$K$44)^(DA$56-Voorblad!$F$41)</f>
        <v>0</v>
      </c>
      <c r="DB142" s="9">
        <f>HC142*($Q142*$S142)/(1+Voorblad!$K$44)^(DB$56-Voorblad!$F$41)</f>
        <v>0</v>
      </c>
      <c r="DC142" s="9">
        <f>HD142*($Q142*$S142)/(1+Voorblad!$K$44)^(DC$56-Voorblad!$F$41)</f>
        <v>0</v>
      </c>
      <c r="DD142" s="9">
        <f>HE142*($Q142*$S142)/(1+Voorblad!$K$44)^(DD$56-Voorblad!$F$41)</f>
        <v>0</v>
      </c>
      <c r="DE142" s="9">
        <f>HF142*($Q142*$S142)/(1+Voorblad!$K$44)^(DE$56-Voorblad!$F$41)</f>
        <v>0</v>
      </c>
      <c r="DF142" s="9">
        <f>HG142*($Q142*$S142)/(1+Voorblad!$K$44)^(DF$56-Voorblad!$F$41)</f>
        <v>0</v>
      </c>
      <c r="DG142" s="9">
        <f>HH142*($Q142*$S142)/(1+Voorblad!$K$44)^(DG$56-Voorblad!$F$41)</f>
        <v>0</v>
      </c>
      <c r="DH142" s="9">
        <f>HI142*($Q142*$S142)/(1+Voorblad!$K$44)^(DH$56-Voorblad!$F$41)</f>
        <v>0</v>
      </c>
      <c r="DI142" s="9">
        <f>HJ142*($Q142*$S142)/(1+Voorblad!$K$44)^(DI$56-Voorblad!$F$41)</f>
        <v>0</v>
      </c>
      <c r="DJ142" s="9">
        <f>HK142*($Q142*$S142)/(1+Voorblad!$K$44)^(DJ$56-Voorblad!$F$41)</f>
        <v>0</v>
      </c>
      <c r="DK142" s="9">
        <f>HL142*($Q142*$S142)/(1+Voorblad!$K$44)^(DK$56-Voorblad!$F$41)</f>
        <v>0</v>
      </c>
      <c r="DL142" s="9">
        <f>HM142*($Q142*$S142)/(1+Voorblad!$K$44)^(DL$56-Voorblad!$F$41)</f>
        <v>0</v>
      </c>
      <c r="DM142" s="9">
        <f>HN142*($Q142*$S142)/(1+Voorblad!$K$44)^(DM$56-Voorblad!$F$41)</f>
        <v>0</v>
      </c>
      <c r="DN142" s="9">
        <f>HO142*($Q142*$S142)/(1+Voorblad!$K$44)^(DN$56-Voorblad!$F$41)</f>
        <v>0</v>
      </c>
      <c r="DO142" s="9">
        <f>HP142*($Q142*$S142)/(1+Voorblad!$K$44)^(DO$56-Voorblad!$F$41)</f>
        <v>0</v>
      </c>
      <c r="DP142" s="9">
        <f>HQ142*($Q142*$S142)/(1+Voorblad!$K$44)^(DP$56-Voorblad!$F$41)</f>
        <v>0</v>
      </c>
      <c r="DQ142" s="9">
        <f>HR142*($Q142*$S142)/(1+Voorblad!$K$44)^(DQ$56-Voorblad!$F$41)</f>
        <v>0</v>
      </c>
      <c r="DR142" s="9">
        <f>HS142*($Q142*$S142)/(1+Voorblad!$K$44)^(DR$56-Voorblad!$F$41)</f>
        <v>0</v>
      </c>
      <c r="DS142" s="9">
        <f>HT142*($Q142*$S142)/(1+Voorblad!$K$44)^(DS$56-Voorblad!$F$41)</f>
        <v>0</v>
      </c>
      <c r="DT142" s="9">
        <f>HU142*($Q142*$S142)/(1+Voorblad!$K$44)^(DT$56-Voorblad!$F$41)</f>
        <v>0</v>
      </c>
      <c r="DU142" s="9">
        <f>HV142*($Q142*$S142)/(1+Voorblad!$K$44)^(DU$56-Voorblad!$F$41)</f>
        <v>0</v>
      </c>
      <c r="DV142" s="9">
        <f>HW142*($Q142*$S142)/(1+Voorblad!$K$44)^(DV$56-Voorblad!$F$41)</f>
        <v>0</v>
      </c>
      <c r="DW142" s="9">
        <f>HX142*($Q142*$S142)/(1+Voorblad!$K$44)^(DW$56-Voorblad!$F$41)</f>
        <v>0</v>
      </c>
      <c r="DX142" s="9">
        <f>HY142*($Q142*$S142)/(1+Voorblad!$K$44)^(DX$56-Voorblad!$F$41)</f>
        <v>0</v>
      </c>
      <c r="DY142" s="9">
        <f>HZ142*($Q142*$S142)/(1+Voorblad!$K$44)^(DY$56-Voorblad!$F$41)</f>
        <v>0</v>
      </c>
      <c r="DZ142" s="9">
        <f>IA142*($Q142*$S142)/(1+Voorblad!$K$44)^(DZ$56-Voorblad!$F$41)</f>
        <v>0</v>
      </c>
      <c r="EA142" s="9">
        <f>IB142*($Q142*$S142)/(1+Voorblad!$K$44)^(EA$56-Voorblad!$F$41)</f>
        <v>0</v>
      </c>
      <c r="EB142" s="9">
        <f>IC142*($Q142*$S142)/(1+Voorblad!$K$44)^(EB$56-Voorblad!$F$41)</f>
        <v>0</v>
      </c>
      <c r="EE142" s="8">
        <v>0</v>
      </c>
      <c r="EF142" s="8">
        <f>IF(EF$56-Voorblad!$F$41&gt;Voorblad!$K$41,0,IF($U142=0,0,IF($U142&lt;1,1/$U142,IF((EF$56-Voorblad!$F$41)/$U142-SUM($EE142:EE142)=1,1,0))))</f>
        <v>0</v>
      </c>
      <c r="EG142" s="8">
        <f>IF(EG$56-Voorblad!$F$41&gt;Voorblad!$K$41,0,IF($U142=0,0,IF($U142&lt;1,1/$U142,IF((EG$56-Voorblad!$F$41)/$U142-SUM($EE142:EF142)=1,1,0))))</f>
        <v>0</v>
      </c>
      <c r="EH142" s="8">
        <f>IF(EH$56-Voorblad!$F$41&gt;Voorblad!$K$41,0,IF($U142=0,0,IF($U142&lt;1,1/$U142,IF((EH$56-Voorblad!$F$41)/$U142-SUM($EE142:EG142)=1,1,0))))</f>
        <v>0</v>
      </c>
      <c r="EI142" s="8">
        <f>IF(EI$56-Voorblad!$F$41&gt;Voorblad!$K$41,0,IF($U142=0,0,IF($U142&lt;1,1/$U142,IF((EI$56-Voorblad!$F$41)/$U142-SUM($EE142:EH142)=1,1,0))))</f>
        <v>0</v>
      </c>
      <c r="EJ142" s="8">
        <f>IF(EJ$56-Voorblad!$F$41&gt;Voorblad!$K$41,0,IF($U142=0,0,IF($U142&lt;1,1/$U142,IF((EJ$56-Voorblad!$F$41)/$U142-SUM($EE142:EI142)=1,1,0))))</f>
        <v>0</v>
      </c>
      <c r="EK142" s="8">
        <f>IF(EK$56-Voorblad!$F$41&gt;Voorblad!$K$41,0,IF($U142=0,0,IF($U142&lt;1,1/$U142,IF((EK$56-Voorblad!$F$41)/$U142-SUM($EE142:EJ142)=1,1,0))))</f>
        <v>0</v>
      </c>
      <c r="EL142" s="8">
        <f>IF(EL$56-Voorblad!$F$41&gt;Voorblad!$K$41,0,IF($U142=0,0,IF($U142&lt;1,1/$U142,IF((EL$56-Voorblad!$F$41)/$U142-SUM($EE142:EK142)=1,1,0))))</f>
        <v>0</v>
      </c>
      <c r="EM142" s="8">
        <f>IF(EM$56-Voorblad!$F$41&gt;Voorblad!$K$41,0,IF($U142=0,0,IF($U142&lt;1,1/$U142,IF((EM$56-Voorblad!$F$41)/$U142-SUM($EE142:EL142)=1,1,0))))</f>
        <v>0</v>
      </c>
      <c r="EN142" s="8">
        <f>IF(EN$56-Voorblad!$F$41&gt;Voorblad!$K$41,0,IF($U142=0,0,IF($U142&lt;1,1/$U142,IF((EN$56-Voorblad!$F$41)/$U142-SUM($EE142:EM142)=1,1,0))))</f>
        <v>0</v>
      </c>
      <c r="EO142" s="8">
        <f>IF(EO$56-Voorblad!$F$41&gt;Voorblad!$K$41,0,IF($U142=0,0,IF($U142&lt;1,1/$U142,IF((EO$56-Voorblad!$F$41)/$U142-SUM($EE142:EN142)=1,1,0))))</f>
        <v>0</v>
      </c>
      <c r="EP142" s="8">
        <f>IF(EP$56-Voorblad!$F$41&gt;Voorblad!$K$41,0,IF($U142=0,0,IF($U142&lt;1,1/$U142,IF((EP$56-Voorblad!$F$41)/$U142-SUM($EE142:EO142)=1,1,0))))</f>
        <v>0</v>
      </c>
      <c r="EQ142" s="8">
        <f>IF(EQ$56-Voorblad!$F$41&gt;Voorblad!$K$41,0,IF($U142=0,0,IF($U142&lt;1,1/$U142,IF((EQ$56-Voorblad!$F$41)/$U142-SUM($EE142:EP142)=1,1,0))))</f>
        <v>0</v>
      </c>
      <c r="ER142" s="8">
        <f>IF(ER$56-Voorblad!$F$41&gt;Voorblad!$K$41,0,IF($U142=0,0,IF($U142&lt;1,1/$U142,IF((ER$56-Voorblad!$F$41)/$U142-SUM($EE142:EQ142)=1,1,0))))</f>
        <v>0</v>
      </c>
      <c r="ES142" s="8">
        <f>IF(ES$56-Voorblad!$F$41&gt;Voorblad!$K$41,0,IF($U142=0,0,IF($U142&lt;1,1/$U142,IF((ES$56-Voorblad!$F$41)/$U142-SUM($EE142:ER142)=1,1,0))))</f>
        <v>0</v>
      </c>
      <c r="ET142" s="8">
        <f>IF(ET$56-Voorblad!$F$41&gt;Voorblad!$K$41,0,IF($U142=0,0,IF($U142&lt;1,1/$U142,IF((ET$56-Voorblad!$F$41)/$U142-SUM($EE142:ES142)=1,1,0))))</f>
        <v>0</v>
      </c>
      <c r="EU142" s="8">
        <f>IF(EU$56-Voorblad!$F$41&gt;Voorblad!$K$41,0,IF($U142=0,0,IF($U142&lt;1,1/$U142,IF((EU$56-Voorblad!$F$41)/$U142-SUM($EE142:ET142)=1,1,0))))</f>
        <v>0</v>
      </c>
      <c r="EV142" s="8">
        <f>IF(EV$56-Voorblad!$F$41&gt;Voorblad!$K$41,0,IF($U142=0,0,IF($U142&lt;1,1/$U142,IF((EV$56-Voorblad!$F$41)/$U142-SUM($EE142:EU142)=1,1,0))))</f>
        <v>0</v>
      </c>
      <c r="EW142" s="8">
        <f>IF(EW$56-Voorblad!$F$41&gt;Voorblad!$K$41,0,IF($U142=0,0,IF($U142&lt;1,1/$U142,IF((EW$56-Voorblad!$F$41)/$U142-SUM($EE142:EV142)=1,1,0))))</f>
        <v>0</v>
      </c>
      <c r="EX142" s="8">
        <f>IF(EX$56-Voorblad!$F$41&gt;Voorblad!$K$41,0,IF($U142=0,0,IF($U142&lt;1,1/$U142,IF((EX$56-Voorblad!$F$41)/$U142-SUM($EE142:EW142)=1,1,0))))</f>
        <v>0</v>
      </c>
      <c r="EY142" s="8">
        <f>IF(EY$56-Voorblad!$F$41&gt;Voorblad!$K$41,0,IF($U142=0,0,IF($U142&lt;1,1/$U142,IF((EY$56-Voorblad!$F$41)/$U142-SUM($EE142:EX142)=1,1,0))))</f>
        <v>0</v>
      </c>
      <c r="EZ142" s="8">
        <f>IF(EZ$56-Voorblad!$F$41&gt;Voorblad!$K$41,0,IF($U142=0,0,IF($U142&lt;1,1/$U142,IF((EZ$56-Voorblad!$F$41)/$U142-SUM($EE142:EY142)=1,1,0))))</f>
        <v>0</v>
      </c>
      <c r="FA142" s="8">
        <f>IF(FA$56-Voorblad!$F$41&gt;Voorblad!$K$41,0,IF($U142=0,0,IF($U142&lt;1,1/$U142,IF((FA$56-Voorblad!$F$41)/$U142-SUM($EE142:EZ142)=1,1,0))))</f>
        <v>0</v>
      </c>
      <c r="FB142" s="8">
        <f>IF(FB$56-Voorblad!$F$41&gt;Voorblad!$K$41,0,IF($U142=0,0,IF($U142&lt;1,1/$U142,IF((FB$56-Voorblad!$F$41)/$U142-SUM($EE142:FA142)=1,1,0))))</f>
        <v>0</v>
      </c>
      <c r="FC142" s="8">
        <f>IF(FC$56-Voorblad!$F$41&gt;Voorblad!$K$41,0,IF($U142=0,0,IF($U142&lt;1,1/$U142,IF((FC$56-Voorblad!$F$41)/$U142-SUM($EE142:FB142)=1,1,0))))</f>
        <v>0</v>
      </c>
      <c r="FD142" s="8">
        <f>IF(FD$56-Voorblad!$F$41&gt;Voorblad!$K$41,0,IF($U142=0,0,IF($U142&lt;1,1/$U142,IF((FD$56-Voorblad!$F$41)/$U142-SUM($EE142:FC142)=1,1,0))))</f>
        <v>0</v>
      </c>
      <c r="FE142" s="8">
        <f>IF(FE$56-Voorblad!$F$41&gt;Voorblad!$K$41,0,IF($U142=0,0,IF($U142&lt;1,1/$U142,IF((FE$56-Voorblad!$F$41)/$U142-SUM($EE142:FD142)=1,1,0))))</f>
        <v>0</v>
      </c>
      <c r="FF142" s="8">
        <f>IF(FF$56-Voorblad!$F$41&gt;Voorblad!$K$41,0,IF($U142=0,0,IF($U142&lt;1,1/$U142,IF((FF$56-Voorblad!$F$41)/$U142-SUM($EE142:FE142)=1,1,0))))</f>
        <v>0</v>
      </c>
      <c r="FG142" s="8">
        <f>IF(FG$56-Voorblad!$F$41&gt;Voorblad!$K$41,0,IF($U142=0,0,IF($U142&lt;1,1/$U142,IF((FG$56-Voorblad!$F$41)/$U142-SUM($EE142:FF142)=1,1,0))))</f>
        <v>0</v>
      </c>
      <c r="FH142" s="8">
        <f>IF(FH$56-Voorblad!$F$41&gt;Voorblad!$K$41,0,IF($U142=0,0,IF($U142&lt;1,1/$U142,IF((FH$56-Voorblad!$F$41)/$U142-SUM($EE142:FG142)=1,1,0))))</f>
        <v>0</v>
      </c>
      <c r="FI142" s="8">
        <f>IF(FI$56-Voorblad!$F$41&gt;Voorblad!$K$41,0,IF($U142=0,0,IF($U142&lt;1,1/$U142,IF((FI$56-Voorblad!$F$41)/$U142-SUM($EE142:FH142)=1,1,0))))</f>
        <v>0</v>
      </c>
      <c r="FJ142" s="8">
        <f>IF(FJ$56-Voorblad!$F$41&gt;Voorblad!$K$41,0,IF($U142=0,0,IF($U142&lt;1,1/$U142,IF((FJ$56-Voorblad!$F$41)/$U142-SUM($EE142:FI142)=1,1,0))))</f>
        <v>0</v>
      </c>
      <c r="FK142" s="8">
        <f>IF(FK$56-Voorblad!$F$41&gt;Voorblad!$K$41,0,IF($U142=0,0,IF($U142&lt;1,1/$U142,IF((FK$56-Voorblad!$F$41)/$U142-SUM($EE142:FJ142)=1,1,0))))</f>
        <v>0</v>
      </c>
      <c r="FL142" s="8">
        <f>IF(FL$56-Voorblad!$F$41&gt;Voorblad!$K$41,0,IF($U142=0,0,IF($U142&lt;1,1/$U142,IF((FL$56-Voorblad!$F$41)/$U142-SUM($EE142:FK142)=1,1,0))))</f>
        <v>0</v>
      </c>
      <c r="FM142" s="8">
        <f>IF(FM$56-Voorblad!$F$41&gt;Voorblad!$K$41,0,IF($U142=0,0,IF($U142&lt;1,1/$U142,IF((FM$56-Voorblad!$F$41)/$U142-SUM($EE142:FL142)=1,1,0))))</f>
        <v>0</v>
      </c>
      <c r="FN142" s="8">
        <f>IF(FN$56-Voorblad!$F$41&gt;Voorblad!$K$41,0,IF($U142=0,0,IF($U142&lt;1,1/$U142,IF((FN$56-Voorblad!$F$41)/$U142-SUM($EE142:FM142)=1,1,0))))</f>
        <v>0</v>
      </c>
      <c r="FO142" s="8">
        <f>IF(FO$56-Voorblad!$F$41&gt;Voorblad!$K$41,0,IF($U142=0,0,IF($U142&lt;1,1/$U142,IF((FO$56-Voorblad!$F$41)/$U142-SUM($EE142:FN142)=1,1,0))))</f>
        <v>0</v>
      </c>
      <c r="FP142" s="8">
        <f>IF(FP$56-Voorblad!$F$41&gt;Voorblad!$K$41,0,IF($U142=0,0,IF($U142&lt;1,1/$U142,IF((FP$56-Voorblad!$F$41)/$U142-SUM($EE142:FO142)=1,1,0))))</f>
        <v>0</v>
      </c>
      <c r="FQ142" s="8">
        <f>IF(FQ$56-Voorblad!$F$41&gt;Voorblad!$K$41,0,IF($U142=0,0,IF($U142&lt;1,1/$U142,IF((FQ$56-Voorblad!$F$41)/$U142-SUM($EE142:FP142)=1,1,0))))</f>
        <v>0</v>
      </c>
      <c r="FR142" s="8">
        <f>IF(FR$56-Voorblad!$F$41&gt;Voorblad!$K$41,0,IF($U142=0,0,IF($U142&lt;1,1/$U142,IF((FR$56-Voorblad!$F$41)/$U142-SUM($EE142:FQ142)=1,1,0))))</f>
        <v>0</v>
      </c>
      <c r="FS142" s="8">
        <f>IF(FS$56-Voorblad!$F$41&gt;Voorblad!$K$41,0,IF($U142=0,0,IF($U142&lt;1,1/$U142,IF((FS$56-Voorblad!$F$41)/$U142-SUM($EE142:FR142)=1,1,0))))</f>
        <v>0</v>
      </c>
      <c r="FT142" s="8">
        <f>IF(FT$56-Voorblad!$F$41&gt;Voorblad!$K$41,0,IF($U142=0,0,IF($U142&lt;1,1/$U142,IF((FT$56-Voorblad!$F$41)/$U142-SUM($EE142:FS142)=1,1,0))))</f>
        <v>0</v>
      </c>
      <c r="FU142" s="8">
        <f>IF(FU$56-Voorblad!$F$41&gt;Voorblad!$K$41,0,IF($U142=0,0,IF($U142&lt;1,1/$U142,IF((FU$56-Voorblad!$F$41)/$U142-SUM($EE142:FT142)=1,1,0))))</f>
        <v>0</v>
      </c>
      <c r="FV142" s="8">
        <f>IF(FV$56-Voorblad!$F$41&gt;Voorblad!$K$41,0,IF($U142=0,0,IF($U142&lt;1,1/$U142,IF((FV$56-Voorblad!$F$41)/$U142-SUM($EE142:FU142)=1,1,0))))</f>
        <v>0</v>
      </c>
      <c r="FW142" s="8">
        <f>IF(FW$56-Voorblad!$F$41&gt;Voorblad!$K$41,0,IF($U142=0,0,IF($U142&lt;1,1/$U142,IF((FW$56-Voorblad!$F$41)/$U142-SUM($EE142:FV142)=1,1,0))))</f>
        <v>0</v>
      </c>
      <c r="FX142" s="8">
        <f>IF(FX$56-Voorblad!$F$41&gt;Voorblad!$K$41,0,IF($U142=0,0,IF($U142&lt;1,1/$U142,IF((FX$56-Voorblad!$F$41)/$U142-SUM($EE142:FW142)=1,1,0))))</f>
        <v>0</v>
      </c>
      <c r="FY142" s="8">
        <f>IF(FY$56-Voorblad!$F$41&gt;Voorblad!$K$41,0,IF($U142=0,0,IF($U142&lt;1,1/$U142,IF((FY$56-Voorblad!$F$41)/$U142-SUM($EE142:FX142)=1,1,0))))</f>
        <v>0</v>
      </c>
      <c r="FZ142" s="8">
        <f>IF(FZ$56-Voorblad!$F$41&gt;Voorblad!$K$41,0,IF($U142=0,0,IF($U142&lt;1,1/$U142,IF((FZ$56-Voorblad!$F$41)/$U142-SUM($EE142:FY142)=1,1,0))))</f>
        <v>0</v>
      </c>
      <c r="GA142" s="8">
        <f>IF(GA$56-Voorblad!$F$41&gt;Voorblad!$K$41,0,IF($U142=0,0,IF($U142&lt;1,1/$U142,IF((GA$56-Voorblad!$F$41)/$U142-SUM($EE142:FZ142)=1,1,0))))</f>
        <v>0</v>
      </c>
      <c r="GB142" s="8">
        <f>IF(GB$56-Voorblad!$F$41&gt;Voorblad!$K$41,0,IF($U142=0,0,IF($U142&lt;1,1/$U142,IF((GB$56-Voorblad!$F$41)/$U142-SUM($EE142:GA142)=1,1,0))))</f>
        <v>0</v>
      </c>
      <c r="GC142" s="8">
        <f>IF(GC$56-Voorblad!$F$41&gt;Voorblad!$K$41,0,IF($U142=0,0,IF($U142&lt;1,1/$U142,IF((GC$56-Voorblad!$F$41)/$U142-SUM($EE142:GB142)=1,1,0))))</f>
        <v>0</v>
      </c>
      <c r="GD142" s="8">
        <f>IF(GD$56-Voorblad!$F$41&gt;Voorblad!$K$41,0,IF($U142=0,0,IF($U142&lt;1,1/$U142,IF((GD$56-Voorblad!$F$41)/$U142-SUM($EE142:GC142)=1,1,0))))</f>
        <v>1</v>
      </c>
      <c r="GE142" s="8">
        <f>IF(GE$56-Voorblad!$F$41&gt;Voorblad!$K$41,0,IF($U142=0,0,IF($U142&lt;1,1/$U142,IF((GE$56-Voorblad!$F$41)/$U142-SUM($EE142:GD142)=1,1,0))))</f>
        <v>0</v>
      </c>
      <c r="GF142" s="8">
        <f>IF(GF$56-Voorblad!$F$41&gt;Voorblad!$K$41,0,IF($U142=0,0,IF($U142&lt;1,1/$U142,IF((GF$56-Voorblad!$F$41)/$U142-SUM($EE142:GE142)=1,1,0))))</f>
        <v>0</v>
      </c>
      <c r="GG142" s="8">
        <f>IF(GG$56-Voorblad!$F$41&gt;Voorblad!$K$41,0,IF($U142=0,0,IF($U142&lt;1,1/$U142,IF((GG$56-Voorblad!$F$41)/$U142-SUM($EE142:GF142)=1,1,0))))</f>
        <v>0</v>
      </c>
      <c r="GH142" s="8">
        <f>IF(GH$56-Voorblad!$F$41&gt;Voorblad!$K$41,0,IF($U142=0,0,IF($U142&lt;1,1/$U142,IF((GH$56-Voorblad!$F$41)/$U142-SUM($EE142:GG142)=1,1,0))))</f>
        <v>0</v>
      </c>
      <c r="GI142" s="8">
        <f>IF(GI$56-Voorblad!$F$41&gt;Voorblad!$K$41,0,IF($U142=0,0,IF($U142&lt;1,1/$U142,IF((GI$56-Voorblad!$F$41)/$U142-SUM($EE142:GH142)=1,1,0))))</f>
        <v>0</v>
      </c>
      <c r="GJ142" s="8">
        <f>IF(GJ$56-Voorblad!$F$41&gt;Voorblad!$K$41,0,IF($U142=0,0,IF($U142&lt;1,1/$U142,IF((GJ$56-Voorblad!$F$41)/$U142-SUM($EE142:GI142)=1,1,0))))</f>
        <v>0</v>
      </c>
      <c r="GK142" s="8">
        <f>IF(GK$56-Voorblad!$F$41&gt;Voorblad!$K$41,0,IF($U142=0,0,IF($U142&lt;1,1/$U142,IF((GK$56-Voorblad!$F$41)/$U142-SUM($EE142:GJ142)=1,1,0))))</f>
        <v>0</v>
      </c>
      <c r="GL142" s="8">
        <f>IF(GL$56-Voorblad!$F$41&gt;Voorblad!$K$41,0,IF($U142=0,0,IF($U142&lt;1,1/$U142,IF((GL$56-Voorblad!$F$41)/$U142-SUM($EE142:GK142)=1,1,0))))</f>
        <v>0</v>
      </c>
      <c r="GM142" s="8">
        <f>IF(GM$56-Voorblad!$F$41&gt;Voorblad!$K$41,0,IF($U142=0,0,IF($U142&lt;1,1/$U142,IF((GM$56-Voorblad!$F$41)/$U142-SUM($EE142:GL142)=1,1,0))))</f>
        <v>0</v>
      </c>
      <c r="GN142" s="8">
        <f>IF(GN$56-Voorblad!$F$41&gt;Voorblad!$K$41,0,IF($U142=0,0,IF($U142&lt;1,1/$U142,IF((GN$56-Voorblad!$F$41)/$U142-SUM($EE142:GM142)=1,1,0))))</f>
        <v>0</v>
      </c>
      <c r="GO142" s="8">
        <f>IF(GO$56-Voorblad!$F$41&gt;Voorblad!$K$41,0,IF($U142=0,0,IF($U142&lt;1,1/$U142,IF((GO$56-Voorblad!$F$41)/$U142-SUM($EE142:GN142)=1,1,0))))</f>
        <v>0</v>
      </c>
      <c r="GP142" s="8">
        <f>IF(GP$56-Voorblad!$F$41&gt;Voorblad!$K$41,0,IF($U142=0,0,IF($U142&lt;1,1/$U142,IF((GP$56-Voorblad!$F$41)/$U142-SUM($EE142:GO142)=1,1,0))))</f>
        <v>0</v>
      </c>
      <c r="GQ142" s="8">
        <f>IF(GQ$56-Voorblad!$F$41&gt;Voorblad!$K$41,0,IF($U142=0,0,IF($U142&lt;1,1/$U142,IF((GQ$56-Voorblad!$F$41)/$U142-SUM($EE142:GP142)=1,1,0))))</f>
        <v>0</v>
      </c>
      <c r="GR142" s="8">
        <f>IF(GR$56-Voorblad!$F$41&gt;Voorblad!$K$41,0,IF($U142=0,0,IF($U142&lt;1,1/$U142,IF((GR$56-Voorblad!$F$41)/$U142-SUM($EE142:GQ142)=1,1,0))))</f>
        <v>0</v>
      </c>
      <c r="GS142" s="8">
        <f>IF(GS$56-Voorblad!$F$41&gt;Voorblad!$K$41,0,IF($U142=0,0,IF($U142&lt;1,1/$U142,IF((GS$56-Voorblad!$F$41)/$U142-SUM($EE142:GR142)=1,1,0))))</f>
        <v>0</v>
      </c>
      <c r="GT142" s="8">
        <f>IF(GT$56-Voorblad!$F$41&gt;Voorblad!$K$41,0,IF($U142=0,0,IF($U142&lt;1,1/$U142,IF((GT$56-Voorblad!$F$41)/$U142-SUM($EE142:GS142)=1,1,0))))</f>
        <v>0</v>
      </c>
      <c r="GU142" s="8">
        <f>IF(GU$56-Voorblad!$F$41&gt;Voorblad!$K$41,0,IF($U142=0,0,IF($U142&lt;1,1/$U142,IF((GU$56-Voorblad!$F$41)/$U142-SUM($EE142:GT142)=1,1,0))))</f>
        <v>0</v>
      </c>
      <c r="GV142" s="8">
        <f>IF(GV$56-Voorblad!$F$41&gt;Voorblad!$K$41,0,IF($U142=0,0,IF($U142&lt;1,1/$U142,IF((GV$56-Voorblad!$F$41)/$U142-SUM($EE142:GU142)=1,1,0))))</f>
        <v>0</v>
      </c>
      <c r="GW142" s="8">
        <f>IF(GW$56-Voorblad!$F$41&gt;Voorblad!$K$41,0,IF($U142=0,0,IF($U142&lt;1,1/$U142,IF((GW$56-Voorblad!$F$41)/$U142-SUM($EE142:GV142)=1,1,0))))</f>
        <v>0</v>
      </c>
      <c r="GX142" s="8">
        <f>IF(GX$56-Voorblad!$F$41&gt;Voorblad!$K$41,0,IF($U142=0,0,IF($U142&lt;1,1/$U142,IF((GX$56-Voorblad!$F$41)/$U142-SUM($EE142:GW142)=1,1,0))))</f>
        <v>0</v>
      </c>
      <c r="GY142" s="8">
        <f>IF(GY$56-Voorblad!$F$41&gt;Voorblad!$K$41,0,IF($U142=0,0,IF($U142&lt;1,1/$U142,IF((GY$56-Voorblad!$F$41)/$U142-SUM($EE142:GX142)=1,1,0))))</f>
        <v>0</v>
      </c>
      <c r="GZ142" s="8">
        <f>IF(GZ$56-Voorblad!$F$41&gt;Voorblad!$K$41,0,IF($U142=0,0,IF($U142&lt;1,1/$U142,IF((GZ$56-Voorblad!$F$41)/$U142-SUM($EE142:GY142)=1,1,0))))</f>
        <v>0</v>
      </c>
      <c r="HA142" s="8">
        <f>IF(HA$56-Voorblad!$F$41&gt;Voorblad!$K$41,0,IF($U142=0,0,IF($U142&lt;1,1/$U142,IF((HA$56-Voorblad!$F$41)/$U142-SUM($EE142:GZ142)=1,1,0))))</f>
        <v>0</v>
      </c>
      <c r="HB142" s="8">
        <f>IF(HB$56-Voorblad!$F$41&gt;Voorblad!$K$41,0,IF($U142=0,0,IF($U142&lt;1,1/$U142,IF((HB$56-Voorblad!$F$41)/$U142-SUM($EE142:HA142)=1,1,0))))</f>
        <v>0</v>
      </c>
      <c r="HC142" s="8">
        <f>IF(HC$56-Voorblad!$F$41&gt;Voorblad!$K$41,0,IF($U142=0,0,IF($U142&lt;1,1/$U142,IF((HC$56-Voorblad!$F$41)/$U142-SUM($EE142:HB142)=1,1,0))))</f>
        <v>0</v>
      </c>
      <c r="HD142" s="8">
        <f>IF(HD$56-Voorblad!$F$41&gt;Voorblad!$K$41,0,IF($U142=0,0,IF($U142&lt;1,1/$U142,IF((HD$56-Voorblad!$F$41)/$U142-SUM($EE142:HC142)=1,1,0))))</f>
        <v>0</v>
      </c>
      <c r="HE142" s="8">
        <f>IF(HE$56-Voorblad!$F$41&gt;Voorblad!$K$41,0,IF($U142=0,0,IF($U142&lt;1,1/$U142,IF((HE$56-Voorblad!$F$41)/$U142-SUM($EE142:HD142)=1,1,0))))</f>
        <v>0</v>
      </c>
      <c r="HF142" s="8">
        <f>IF(HF$56-Voorblad!$F$41&gt;Voorblad!$K$41,0,IF($U142=0,0,IF($U142&lt;1,1/$U142,IF((HF$56-Voorblad!$F$41)/$U142-SUM($EE142:HE142)=1,1,0))))</f>
        <v>0</v>
      </c>
      <c r="HG142" s="8">
        <f>IF(HG$56-Voorblad!$F$41&gt;Voorblad!$K$41,0,IF($U142=0,0,IF($U142&lt;1,1/$U142,IF((HG$56-Voorblad!$F$41)/$U142-SUM($EE142:HF142)=1,1,0))))</f>
        <v>0</v>
      </c>
      <c r="HH142" s="8">
        <f>IF(HH$56-Voorblad!$F$41&gt;Voorblad!$K$41,0,IF($U142=0,0,IF($U142&lt;1,1/$U142,IF((HH$56-Voorblad!$F$41)/$U142-SUM($EE142:HG142)=1,1,0))))</f>
        <v>0</v>
      </c>
      <c r="HI142" s="8">
        <f>IF(HI$56-Voorblad!$F$41&gt;Voorblad!$K$41,0,IF($U142=0,0,IF($U142&lt;1,1/$U142,IF((HI$56-Voorblad!$F$41)/$U142-SUM($EE142:HH142)=1,1,0))))</f>
        <v>0</v>
      </c>
      <c r="HJ142" s="8">
        <f>IF(HJ$56-Voorblad!$F$41&gt;Voorblad!$K$41,0,IF($U142=0,0,IF($U142&lt;1,1/$U142,IF((HJ$56-Voorblad!$F$41)/$U142-SUM($EE142:HI142)=1,1,0))))</f>
        <v>0</v>
      </c>
      <c r="HK142" s="8">
        <f>IF(HK$56-Voorblad!$F$41&gt;Voorblad!$K$41,0,IF($U142=0,0,IF($U142&lt;1,1/$U142,IF((HK$56-Voorblad!$F$41)/$U142-SUM($EE142:HJ142)=1,1,0))))</f>
        <v>0</v>
      </c>
      <c r="HL142" s="8">
        <f>IF(HL$56-Voorblad!$F$41&gt;Voorblad!$K$41,0,IF($U142=0,0,IF($U142&lt;1,1/$U142,IF((HL$56-Voorblad!$F$41)/$U142-SUM($EE142:HK142)=1,1,0))))</f>
        <v>0</v>
      </c>
      <c r="HM142" s="8">
        <f>IF(HM$56-Voorblad!$F$41&gt;Voorblad!$K$41,0,IF($U142=0,0,IF($U142&lt;1,1/$U142,IF((HM$56-Voorblad!$F$41)/$U142-SUM($EE142:HL142)=1,1,0))))</f>
        <v>0</v>
      </c>
      <c r="HN142" s="8">
        <f>IF(HN$56-Voorblad!$F$41&gt;Voorblad!$K$41,0,IF($U142=0,0,IF($U142&lt;1,1/$U142,IF((HN$56-Voorblad!$F$41)/$U142-SUM($EE142:HM142)=1,1,0))))</f>
        <v>0</v>
      </c>
      <c r="HO142" s="8">
        <f>IF(HO$56-Voorblad!$F$41&gt;Voorblad!$K$41,0,IF($U142=0,0,IF($U142&lt;1,1/$U142,IF((HO$56-Voorblad!$F$41)/$U142-SUM($EE142:HN142)=1,1,0))))</f>
        <v>0</v>
      </c>
      <c r="HP142" s="8">
        <f>IF(HP$56-Voorblad!$F$41&gt;Voorblad!$K$41,0,IF($U142=0,0,IF($U142&lt;1,1/$U142,IF((HP$56-Voorblad!$F$41)/$U142-SUM($EE142:HO142)=1,1,0))))</f>
        <v>0</v>
      </c>
      <c r="HQ142" s="8">
        <f>IF(HQ$56-Voorblad!$F$41&gt;Voorblad!$K$41,0,IF($U142=0,0,IF($U142&lt;1,1/$U142,IF((HQ$56-Voorblad!$F$41)/$U142-SUM($EE142:HP142)=1,1,0))))</f>
        <v>0</v>
      </c>
      <c r="HR142" s="8">
        <f>IF(HR$56-Voorblad!$F$41&gt;Voorblad!$K$41,0,IF($U142=0,0,IF($U142&lt;1,1/$U142,IF((HR$56-Voorblad!$F$41)/$U142-SUM($EE142:HQ142)=1,1,0))))</f>
        <v>0</v>
      </c>
      <c r="HS142" s="8">
        <f>IF(HS$56-Voorblad!$F$41&gt;Voorblad!$K$41,0,IF($U142=0,0,IF($U142&lt;1,1/$U142,IF((HS$56-Voorblad!$F$41)/$U142-SUM($EE142:HR142)=1,1,0))))</f>
        <v>0</v>
      </c>
      <c r="HT142" s="8">
        <f>IF(HT$56-Voorblad!$F$41&gt;Voorblad!$K$41,0,IF($U142=0,0,IF($U142&lt;1,1/$U142,IF((HT$56-Voorblad!$F$41)/$U142-SUM($EE142:HS142)=1,1,0))))</f>
        <v>0</v>
      </c>
      <c r="HU142" s="8">
        <f>IF(HU$56-Voorblad!$F$41&gt;Voorblad!$K$41,0,IF($U142=0,0,IF($U142&lt;1,1/$U142,IF((HU$56-Voorblad!$F$41)/$U142-SUM($EE142:HT142)=1,1,0))))</f>
        <v>0</v>
      </c>
      <c r="HV142" s="8">
        <f>IF(HV$56-Voorblad!$F$41&gt;Voorblad!$K$41,0,IF($U142=0,0,IF($U142&lt;1,1/$U142,IF((HV$56-Voorblad!$F$41)/$U142-SUM($EE142:HU142)=1,1,0))))</f>
        <v>0</v>
      </c>
      <c r="HW142" s="8">
        <f>IF(HW$56-Voorblad!$F$41&gt;Voorblad!$K$41,0,IF($U142=0,0,IF($U142&lt;1,1/$U142,IF((HW$56-Voorblad!$F$41)/$U142-SUM($EE142:HV142)=1,1,0))))</f>
        <v>0</v>
      </c>
      <c r="HX142" s="8">
        <f>IF(HX$56-Voorblad!$F$41&gt;Voorblad!$K$41,0,IF($U142=0,0,IF($U142&lt;1,1/$U142,IF((HX$56-Voorblad!$F$41)/$U142-SUM($EE142:HW142)=1,1,0))))</f>
        <v>0</v>
      </c>
      <c r="HY142" s="8">
        <f>IF(HY$56-Voorblad!$F$41&gt;Voorblad!$K$41,0,IF($U142=0,0,IF($U142&lt;1,1/$U142,IF((HY$56-Voorblad!$F$41)/$U142-SUM($EE142:HX142)=1,1,0))))</f>
        <v>0</v>
      </c>
      <c r="HZ142" s="8">
        <f>IF(HZ$56-Voorblad!$F$41&gt;Voorblad!$K$41,0,IF($U142=0,0,IF($U142&lt;1,1/$U142,IF((HZ$56-Voorblad!$F$41)/$U142-SUM($EE142:HY142)=1,1,0))))</f>
        <v>0</v>
      </c>
      <c r="IA142" s="8">
        <f>IF(IA$56-Voorblad!$F$41&gt;Voorblad!$K$41,0,IF($U142=0,0,IF($U142&lt;1,1/$U142,IF((IA$56-Voorblad!$F$41)/$U142-SUM($EE142:HZ142)=1,1,0))))</f>
        <v>0</v>
      </c>
      <c r="IB142" s="8">
        <f>IF(IB$56-Voorblad!$F$41&gt;Voorblad!$K$41,0,IF($U142=0,0,IF($U142&lt;1,1/$U142,IF((IB$56-Voorblad!$F$41)/$U142-SUM($EE142:IA142)=1,1,0))))</f>
        <v>0</v>
      </c>
    </row>
    <row r="143" spans="2:236" outlineLevel="1" x14ac:dyDescent="0.25">
      <c r="B143" s="1">
        <v>1</v>
      </c>
      <c r="F143" s="1" t="s">
        <v>23</v>
      </c>
      <c r="I143" s="1" t="s">
        <v>49</v>
      </c>
      <c r="K143" s="1" t="s">
        <v>74</v>
      </c>
      <c r="O143" s="1" t="s">
        <v>77</v>
      </c>
      <c r="Q143" s="81">
        <v>0</v>
      </c>
      <c r="R143" s="1" t="s">
        <v>75</v>
      </c>
      <c r="S143" s="14">
        <f>$H$10*10000</f>
        <v>23800</v>
      </c>
      <c r="T143" s="9">
        <f t="shared" si="104"/>
        <v>0</v>
      </c>
      <c r="U143" s="14">
        <v>50</v>
      </c>
      <c r="V143" s="14"/>
      <c r="Y143" s="9">
        <f>SUM(AE143:EB143)</f>
        <v>0</v>
      </c>
      <c r="Z143" s="82"/>
      <c r="AA143" s="82"/>
      <c r="AC143" s="9">
        <f>$Y143*(Voorblad!$K$44*(1+Voorblad!$K$44)^Voorblad!$K$41)/((1+Voorblad!$K$44)^Voorblad!$K$41-1)</f>
        <v>0</v>
      </c>
      <c r="AE143" s="9">
        <f>EF143*($Q143*$S143)/(1+Voorblad!$K$44)^(AE$56-Voorblad!$F$41)</f>
        <v>0</v>
      </c>
      <c r="AF143" s="9">
        <f>EG143*($Q143*$S143)/(1+Voorblad!$K$44)^(AF$56-Voorblad!$F$41)</f>
        <v>0</v>
      </c>
      <c r="AG143" s="9">
        <f>EH143*($Q143*$S143)/(1+Voorblad!$K$44)^(AG$56-Voorblad!$F$41)</f>
        <v>0</v>
      </c>
      <c r="AH143" s="9">
        <f>EI143*($Q143*$S143)/(1+Voorblad!$K$44)^(AH$56-Voorblad!$F$41)</f>
        <v>0</v>
      </c>
      <c r="AI143" s="9">
        <f>EJ143*($Q143*$S143)/(1+Voorblad!$K$44)^(AI$56-Voorblad!$F$41)</f>
        <v>0</v>
      </c>
      <c r="AJ143" s="9">
        <f>EK143*($Q143*$S143)/(1+Voorblad!$K$44)^(AJ$56-Voorblad!$F$41)</f>
        <v>0</v>
      </c>
      <c r="AK143" s="9">
        <f>EL143*($Q143*$S143)/(1+Voorblad!$K$44)^(AK$56-Voorblad!$F$41)</f>
        <v>0</v>
      </c>
      <c r="AL143" s="9">
        <f>EM143*($Q143*$S143)/(1+Voorblad!$K$44)^(AL$56-Voorblad!$F$41)</f>
        <v>0</v>
      </c>
      <c r="AM143" s="9">
        <f>EN143*($Q143*$S143)/(1+Voorblad!$K$44)^(AM$56-Voorblad!$F$41)</f>
        <v>0</v>
      </c>
      <c r="AN143" s="9">
        <f>EO143*($Q143*$S143)/(1+Voorblad!$K$44)^(AN$56-Voorblad!$F$41)</f>
        <v>0</v>
      </c>
      <c r="AO143" s="9">
        <f>EP143*($Q143*$S143)/(1+Voorblad!$K$44)^(AO$56-Voorblad!$F$41)</f>
        <v>0</v>
      </c>
      <c r="AP143" s="9">
        <f>EQ143*($Q143*$S143)/(1+Voorblad!$K$44)^(AP$56-Voorblad!$F$41)</f>
        <v>0</v>
      </c>
      <c r="AQ143" s="9">
        <f>ER143*($Q143*$S143)/(1+Voorblad!$K$44)^(AQ$56-Voorblad!$F$41)</f>
        <v>0</v>
      </c>
      <c r="AR143" s="9">
        <f>ES143*($Q143*$S143)/(1+Voorblad!$K$44)^(AR$56-Voorblad!$F$41)</f>
        <v>0</v>
      </c>
      <c r="AS143" s="9">
        <f>ET143*($Q143*$S143)/(1+Voorblad!$K$44)^(AS$56-Voorblad!$F$41)</f>
        <v>0</v>
      </c>
      <c r="AT143" s="9">
        <f>EU143*($Q143*$S143)/(1+Voorblad!$K$44)^(AT$56-Voorblad!$F$41)</f>
        <v>0</v>
      </c>
      <c r="AU143" s="9">
        <f>EV143*($Q143*$S143)/(1+Voorblad!$K$44)^(AU$56-Voorblad!$F$41)</f>
        <v>0</v>
      </c>
      <c r="AV143" s="9">
        <f>EW143*($Q143*$S143)/(1+Voorblad!$K$44)^(AV$56-Voorblad!$F$41)</f>
        <v>0</v>
      </c>
      <c r="AW143" s="9">
        <f>EX143*($Q143*$S143)/(1+Voorblad!$K$44)^(AW$56-Voorblad!$F$41)</f>
        <v>0</v>
      </c>
      <c r="AX143" s="9">
        <f>EY143*($Q143*$S143)/(1+Voorblad!$K$44)^(AX$56-Voorblad!$F$41)</f>
        <v>0</v>
      </c>
      <c r="AY143" s="9">
        <f>EZ143*($Q143*$S143)/(1+Voorblad!$K$44)^(AY$56-Voorblad!$F$41)</f>
        <v>0</v>
      </c>
      <c r="AZ143" s="9">
        <f>FA143*($Q143*$S143)/(1+Voorblad!$K$44)^(AZ$56-Voorblad!$F$41)</f>
        <v>0</v>
      </c>
      <c r="BA143" s="9">
        <f>FB143*($Q143*$S143)/(1+Voorblad!$K$44)^(BA$56-Voorblad!$F$41)</f>
        <v>0</v>
      </c>
      <c r="BB143" s="9">
        <f>FC143*($Q143*$S143)/(1+Voorblad!$K$44)^(BB$56-Voorblad!$F$41)</f>
        <v>0</v>
      </c>
      <c r="BC143" s="9">
        <f>FD143*($Q143*$S143)/(1+Voorblad!$K$44)^(BC$56-Voorblad!$F$41)</f>
        <v>0</v>
      </c>
      <c r="BD143" s="9">
        <f>FE143*($Q143*$S143)/(1+Voorblad!$K$44)^(BD$56-Voorblad!$F$41)</f>
        <v>0</v>
      </c>
      <c r="BE143" s="9">
        <f>FF143*($Q143*$S143)/(1+Voorblad!$K$44)^(BE$56-Voorblad!$F$41)</f>
        <v>0</v>
      </c>
      <c r="BF143" s="9">
        <f>FG143*($Q143*$S143)/(1+Voorblad!$K$44)^(BF$56-Voorblad!$F$41)</f>
        <v>0</v>
      </c>
      <c r="BG143" s="9">
        <f>FH143*($Q143*$S143)/(1+Voorblad!$K$44)^(BG$56-Voorblad!$F$41)</f>
        <v>0</v>
      </c>
      <c r="BH143" s="9">
        <f>FI143*($Q143*$S143)/(1+Voorblad!$K$44)^(BH$56-Voorblad!$F$41)</f>
        <v>0</v>
      </c>
      <c r="BI143" s="9">
        <f>FJ143*($Q143*$S143)/(1+Voorblad!$K$44)^(BI$56-Voorblad!$F$41)</f>
        <v>0</v>
      </c>
      <c r="BJ143" s="9">
        <f>FK143*($Q143*$S143)/(1+Voorblad!$K$44)^(BJ$56-Voorblad!$F$41)</f>
        <v>0</v>
      </c>
      <c r="BK143" s="9">
        <f>FL143*($Q143*$S143)/(1+Voorblad!$K$44)^(BK$56-Voorblad!$F$41)</f>
        <v>0</v>
      </c>
      <c r="BL143" s="9">
        <f>FM143*($Q143*$S143)/(1+Voorblad!$K$44)^(BL$56-Voorblad!$F$41)</f>
        <v>0</v>
      </c>
      <c r="BM143" s="9">
        <f>FN143*($Q143*$S143)/(1+Voorblad!$K$44)^(BM$56-Voorblad!$F$41)</f>
        <v>0</v>
      </c>
      <c r="BN143" s="9">
        <f>FO143*($Q143*$S143)/(1+Voorblad!$K$44)^(BN$56-Voorblad!$F$41)</f>
        <v>0</v>
      </c>
      <c r="BO143" s="9">
        <f>FP143*($Q143*$S143)/(1+Voorblad!$K$44)^(BO$56-Voorblad!$F$41)</f>
        <v>0</v>
      </c>
      <c r="BP143" s="9">
        <f>FQ143*($Q143*$S143)/(1+Voorblad!$K$44)^(BP$56-Voorblad!$F$41)</f>
        <v>0</v>
      </c>
      <c r="BQ143" s="9">
        <f>FR143*($Q143*$S143)/(1+Voorblad!$K$44)^(BQ$56-Voorblad!$F$41)</f>
        <v>0</v>
      </c>
      <c r="BR143" s="9">
        <f>FS143*($Q143*$S143)/(1+Voorblad!$K$44)^(BR$56-Voorblad!$F$41)</f>
        <v>0</v>
      </c>
      <c r="BS143" s="9">
        <f>FT143*($Q143*$S143)/(1+Voorblad!$K$44)^(BS$56-Voorblad!$F$41)</f>
        <v>0</v>
      </c>
      <c r="BT143" s="9">
        <f>FU143*($Q143*$S143)/(1+Voorblad!$K$44)^(BT$56-Voorblad!$F$41)</f>
        <v>0</v>
      </c>
      <c r="BU143" s="9">
        <f>FV143*($Q143*$S143)/(1+Voorblad!$K$44)^(BU$56-Voorblad!$F$41)</f>
        <v>0</v>
      </c>
      <c r="BV143" s="9">
        <f>FW143*($Q143*$S143)/(1+Voorblad!$K$44)^(BV$56-Voorblad!$F$41)</f>
        <v>0</v>
      </c>
      <c r="BW143" s="9">
        <f>FX143*($Q143*$S143)/(1+Voorblad!$K$44)^(BW$56-Voorblad!$F$41)</f>
        <v>0</v>
      </c>
      <c r="BX143" s="9">
        <f>FY143*($Q143*$S143)/(1+Voorblad!$K$44)^(BX$56-Voorblad!$F$41)</f>
        <v>0</v>
      </c>
      <c r="BY143" s="9">
        <f>FZ143*($Q143*$S143)/(1+Voorblad!$K$44)^(BY$56-Voorblad!$F$41)</f>
        <v>0</v>
      </c>
      <c r="BZ143" s="9">
        <f>GA143*($Q143*$S143)/(1+Voorblad!$K$44)^(BZ$56-Voorblad!$F$41)</f>
        <v>0</v>
      </c>
      <c r="CA143" s="9">
        <f>GB143*($Q143*$S143)/(1+Voorblad!$K$44)^(CA$56-Voorblad!$F$41)</f>
        <v>0</v>
      </c>
      <c r="CB143" s="9">
        <f>GC143*($Q143*$S143)/(1+Voorblad!$K$44)^(CB$56-Voorblad!$F$41)</f>
        <v>0</v>
      </c>
      <c r="CC143" s="9">
        <f>GD143*($Q143*$S143)/(1+Voorblad!$K$44)^(CC$56-Voorblad!$F$41)</f>
        <v>0</v>
      </c>
      <c r="CD143" s="9">
        <f>GE143*($Q143*$S143)/(1+Voorblad!$K$44)^(CD$56-Voorblad!$F$41)</f>
        <v>0</v>
      </c>
      <c r="CE143" s="9">
        <f>GF143*($Q143*$S143)/(1+Voorblad!$K$44)^(CE$56-Voorblad!$F$41)</f>
        <v>0</v>
      </c>
      <c r="CF143" s="9">
        <f>GG143*($Q143*$S143)/(1+Voorblad!$K$44)^(CF$56-Voorblad!$F$41)</f>
        <v>0</v>
      </c>
      <c r="CG143" s="9">
        <f>GH143*($Q143*$S143)/(1+Voorblad!$K$44)^(CG$56-Voorblad!$F$41)</f>
        <v>0</v>
      </c>
      <c r="CH143" s="9">
        <f>GI143*($Q143*$S143)/(1+Voorblad!$K$44)^(CH$56-Voorblad!$F$41)</f>
        <v>0</v>
      </c>
      <c r="CI143" s="9">
        <f>GJ143*($Q143*$S143)/(1+Voorblad!$K$44)^(CI$56-Voorblad!$F$41)</f>
        <v>0</v>
      </c>
      <c r="CJ143" s="9">
        <f>GK143*($Q143*$S143)/(1+Voorblad!$K$44)^(CJ$56-Voorblad!$F$41)</f>
        <v>0</v>
      </c>
      <c r="CK143" s="9">
        <f>GL143*($Q143*$S143)/(1+Voorblad!$K$44)^(CK$56-Voorblad!$F$41)</f>
        <v>0</v>
      </c>
      <c r="CL143" s="9">
        <f>GM143*($Q143*$S143)/(1+Voorblad!$K$44)^(CL$56-Voorblad!$F$41)</f>
        <v>0</v>
      </c>
      <c r="CM143" s="9">
        <f>GN143*($Q143*$S143)/(1+Voorblad!$K$44)^(CM$56-Voorblad!$F$41)</f>
        <v>0</v>
      </c>
      <c r="CN143" s="9">
        <f>GO143*($Q143*$S143)/(1+Voorblad!$K$44)^(CN$56-Voorblad!$F$41)</f>
        <v>0</v>
      </c>
      <c r="CO143" s="9">
        <f>GP143*($Q143*$S143)/(1+Voorblad!$K$44)^(CO$56-Voorblad!$F$41)</f>
        <v>0</v>
      </c>
      <c r="CP143" s="9">
        <f>GQ143*($Q143*$S143)/(1+Voorblad!$K$44)^(CP$56-Voorblad!$F$41)</f>
        <v>0</v>
      </c>
      <c r="CQ143" s="9">
        <f>GR143*($Q143*$S143)/(1+Voorblad!$K$44)^(CQ$56-Voorblad!$F$41)</f>
        <v>0</v>
      </c>
      <c r="CR143" s="9">
        <f>GS143*($Q143*$S143)/(1+Voorblad!$K$44)^(CR$56-Voorblad!$F$41)</f>
        <v>0</v>
      </c>
      <c r="CS143" s="9">
        <f>GT143*($Q143*$S143)/(1+Voorblad!$K$44)^(CS$56-Voorblad!$F$41)</f>
        <v>0</v>
      </c>
      <c r="CT143" s="9">
        <f>GU143*($Q143*$S143)/(1+Voorblad!$K$44)^(CT$56-Voorblad!$F$41)</f>
        <v>0</v>
      </c>
      <c r="CU143" s="9">
        <f>GV143*($Q143*$S143)/(1+Voorblad!$K$44)^(CU$56-Voorblad!$F$41)</f>
        <v>0</v>
      </c>
      <c r="CV143" s="9">
        <f>GW143*($Q143*$S143)/(1+Voorblad!$K$44)^(CV$56-Voorblad!$F$41)</f>
        <v>0</v>
      </c>
      <c r="CW143" s="9">
        <f>GX143*($Q143*$S143)/(1+Voorblad!$K$44)^(CW$56-Voorblad!$F$41)</f>
        <v>0</v>
      </c>
      <c r="CX143" s="9">
        <f>GY143*($Q143*$S143)/(1+Voorblad!$K$44)^(CX$56-Voorblad!$F$41)</f>
        <v>0</v>
      </c>
      <c r="CY143" s="9">
        <f>GZ143*($Q143*$S143)/(1+Voorblad!$K$44)^(CY$56-Voorblad!$F$41)</f>
        <v>0</v>
      </c>
      <c r="CZ143" s="9">
        <f>HA143*($Q143*$S143)/(1+Voorblad!$K$44)^(CZ$56-Voorblad!$F$41)</f>
        <v>0</v>
      </c>
      <c r="DA143" s="9">
        <f>HB143*($Q143*$S143)/(1+Voorblad!$K$44)^(DA$56-Voorblad!$F$41)</f>
        <v>0</v>
      </c>
      <c r="DB143" s="9">
        <f>HC143*($Q143*$S143)/(1+Voorblad!$K$44)^(DB$56-Voorblad!$F$41)</f>
        <v>0</v>
      </c>
      <c r="DC143" s="9">
        <f>HD143*($Q143*$S143)/(1+Voorblad!$K$44)^(DC$56-Voorblad!$F$41)</f>
        <v>0</v>
      </c>
      <c r="DD143" s="9">
        <f>HE143*($Q143*$S143)/(1+Voorblad!$K$44)^(DD$56-Voorblad!$F$41)</f>
        <v>0</v>
      </c>
      <c r="DE143" s="9">
        <f>HF143*($Q143*$S143)/(1+Voorblad!$K$44)^(DE$56-Voorblad!$F$41)</f>
        <v>0</v>
      </c>
      <c r="DF143" s="9">
        <f>HG143*($Q143*$S143)/(1+Voorblad!$K$44)^(DF$56-Voorblad!$F$41)</f>
        <v>0</v>
      </c>
      <c r="DG143" s="9">
        <f>HH143*($Q143*$S143)/(1+Voorblad!$K$44)^(DG$56-Voorblad!$F$41)</f>
        <v>0</v>
      </c>
      <c r="DH143" s="9">
        <f>HI143*($Q143*$S143)/(1+Voorblad!$K$44)^(DH$56-Voorblad!$F$41)</f>
        <v>0</v>
      </c>
      <c r="DI143" s="9">
        <f>HJ143*($Q143*$S143)/(1+Voorblad!$K$44)^(DI$56-Voorblad!$F$41)</f>
        <v>0</v>
      </c>
      <c r="DJ143" s="9">
        <f>HK143*($Q143*$S143)/(1+Voorblad!$K$44)^(DJ$56-Voorblad!$F$41)</f>
        <v>0</v>
      </c>
      <c r="DK143" s="9">
        <f>HL143*($Q143*$S143)/(1+Voorblad!$K$44)^(DK$56-Voorblad!$F$41)</f>
        <v>0</v>
      </c>
      <c r="DL143" s="9">
        <f>HM143*($Q143*$S143)/(1+Voorblad!$K$44)^(DL$56-Voorblad!$F$41)</f>
        <v>0</v>
      </c>
      <c r="DM143" s="9">
        <f>HN143*($Q143*$S143)/(1+Voorblad!$K$44)^(DM$56-Voorblad!$F$41)</f>
        <v>0</v>
      </c>
      <c r="DN143" s="9">
        <f>HO143*($Q143*$S143)/(1+Voorblad!$K$44)^(DN$56-Voorblad!$F$41)</f>
        <v>0</v>
      </c>
      <c r="DO143" s="9">
        <f>HP143*($Q143*$S143)/(1+Voorblad!$K$44)^(DO$56-Voorblad!$F$41)</f>
        <v>0</v>
      </c>
      <c r="DP143" s="9">
        <f>HQ143*($Q143*$S143)/(1+Voorblad!$K$44)^(DP$56-Voorblad!$F$41)</f>
        <v>0</v>
      </c>
      <c r="DQ143" s="9">
        <f>HR143*($Q143*$S143)/(1+Voorblad!$K$44)^(DQ$56-Voorblad!$F$41)</f>
        <v>0</v>
      </c>
      <c r="DR143" s="9">
        <f>HS143*($Q143*$S143)/(1+Voorblad!$K$44)^(DR$56-Voorblad!$F$41)</f>
        <v>0</v>
      </c>
      <c r="DS143" s="9">
        <f>HT143*($Q143*$S143)/(1+Voorblad!$K$44)^(DS$56-Voorblad!$F$41)</f>
        <v>0</v>
      </c>
      <c r="DT143" s="9">
        <f>HU143*($Q143*$S143)/(1+Voorblad!$K$44)^(DT$56-Voorblad!$F$41)</f>
        <v>0</v>
      </c>
      <c r="DU143" s="9">
        <f>HV143*($Q143*$S143)/(1+Voorblad!$K$44)^(DU$56-Voorblad!$F$41)</f>
        <v>0</v>
      </c>
      <c r="DV143" s="9">
        <f>HW143*($Q143*$S143)/(1+Voorblad!$K$44)^(DV$56-Voorblad!$F$41)</f>
        <v>0</v>
      </c>
      <c r="DW143" s="9">
        <f>HX143*($Q143*$S143)/(1+Voorblad!$K$44)^(DW$56-Voorblad!$F$41)</f>
        <v>0</v>
      </c>
      <c r="DX143" s="9">
        <f>HY143*($Q143*$S143)/(1+Voorblad!$K$44)^(DX$56-Voorblad!$F$41)</f>
        <v>0</v>
      </c>
      <c r="DY143" s="9">
        <f>HZ143*($Q143*$S143)/(1+Voorblad!$K$44)^(DY$56-Voorblad!$F$41)</f>
        <v>0</v>
      </c>
      <c r="DZ143" s="9">
        <f>IA143*($Q143*$S143)/(1+Voorblad!$K$44)^(DZ$56-Voorblad!$F$41)</f>
        <v>0</v>
      </c>
      <c r="EA143" s="9">
        <f>IB143*($Q143*$S143)/(1+Voorblad!$K$44)^(EA$56-Voorblad!$F$41)</f>
        <v>0</v>
      </c>
      <c r="EB143" s="9">
        <f>IC143*($Q143*$S143)/(1+Voorblad!$K$44)^(EB$56-Voorblad!$F$41)</f>
        <v>0</v>
      </c>
      <c r="EE143" s="8">
        <v>0</v>
      </c>
      <c r="EF143" s="8">
        <f>IF(EF$56-Voorblad!$F$41&gt;Voorblad!$K$41,0,IF($U143=0,0,IF($U143&lt;1,1/$U143,IF((EF$56-Voorblad!$F$41)/$U143-SUM($EE143:EE143)=1,1,0))))</f>
        <v>0</v>
      </c>
      <c r="EG143" s="8">
        <f>IF(EG$56-Voorblad!$F$41&gt;Voorblad!$K$41,0,IF($U143=0,0,IF($U143&lt;1,1/$U143,IF((EG$56-Voorblad!$F$41)/$U143-SUM($EE143:EF143)=1,1,0))))</f>
        <v>0</v>
      </c>
      <c r="EH143" s="8">
        <f>IF(EH$56-Voorblad!$F$41&gt;Voorblad!$K$41,0,IF($U143=0,0,IF($U143&lt;1,1/$U143,IF((EH$56-Voorblad!$F$41)/$U143-SUM($EE143:EG143)=1,1,0))))</f>
        <v>0</v>
      </c>
      <c r="EI143" s="8">
        <f>IF(EI$56-Voorblad!$F$41&gt;Voorblad!$K$41,0,IF($U143=0,0,IF($U143&lt;1,1/$U143,IF((EI$56-Voorblad!$F$41)/$U143-SUM($EE143:EH143)=1,1,0))))</f>
        <v>0</v>
      </c>
      <c r="EJ143" s="8">
        <f>IF(EJ$56-Voorblad!$F$41&gt;Voorblad!$K$41,0,IF($U143=0,0,IF($U143&lt;1,1/$U143,IF((EJ$56-Voorblad!$F$41)/$U143-SUM($EE143:EI143)=1,1,0))))</f>
        <v>0</v>
      </c>
      <c r="EK143" s="8">
        <f>IF(EK$56-Voorblad!$F$41&gt;Voorblad!$K$41,0,IF($U143=0,0,IF($U143&lt;1,1/$U143,IF((EK$56-Voorblad!$F$41)/$U143-SUM($EE143:EJ143)=1,1,0))))</f>
        <v>0</v>
      </c>
      <c r="EL143" s="8">
        <f>IF(EL$56-Voorblad!$F$41&gt;Voorblad!$K$41,0,IF($U143=0,0,IF($U143&lt;1,1/$U143,IF((EL$56-Voorblad!$F$41)/$U143-SUM($EE143:EK143)=1,1,0))))</f>
        <v>0</v>
      </c>
      <c r="EM143" s="8">
        <f>IF(EM$56-Voorblad!$F$41&gt;Voorblad!$K$41,0,IF($U143=0,0,IF($U143&lt;1,1/$U143,IF((EM$56-Voorblad!$F$41)/$U143-SUM($EE143:EL143)=1,1,0))))</f>
        <v>0</v>
      </c>
      <c r="EN143" s="8">
        <f>IF(EN$56-Voorblad!$F$41&gt;Voorblad!$K$41,0,IF($U143=0,0,IF($U143&lt;1,1/$U143,IF((EN$56-Voorblad!$F$41)/$U143-SUM($EE143:EM143)=1,1,0))))</f>
        <v>0</v>
      </c>
      <c r="EO143" s="8">
        <f>IF(EO$56-Voorblad!$F$41&gt;Voorblad!$K$41,0,IF($U143=0,0,IF($U143&lt;1,1/$U143,IF((EO$56-Voorblad!$F$41)/$U143-SUM($EE143:EN143)=1,1,0))))</f>
        <v>0</v>
      </c>
      <c r="EP143" s="8">
        <f>IF(EP$56-Voorblad!$F$41&gt;Voorblad!$K$41,0,IF($U143=0,0,IF($U143&lt;1,1/$U143,IF((EP$56-Voorblad!$F$41)/$U143-SUM($EE143:EO143)=1,1,0))))</f>
        <v>0</v>
      </c>
      <c r="EQ143" s="8">
        <f>IF(EQ$56-Voorblad!$F$41&gt;Voorblad!$K$41,0,IF($U143=0,0,IF($U143&lt;1,1/$U143,IF((EQ$56-Voorblad!$F$41)/$U143-SUM($EE143:EP143)=1,1,0))))</f>
        <v>0</v>
      </c>
      <c r="ER143" s="8">
        <f>IF(ER$56-Voorblad!$F$41&gt;Voorblad!$K$41,0,IF($U143=0,0,IF($U143&lt;1,1/$U143,IF((ER$56-Voorblad!$F$41)/$U143-SUM($EE143:EQ143)=1,1,0))))</f>
        <v>0</v>
      </c>
      <c r="ES143" s="8">
        <f>IF(ES$56-Voorblad!$F$41&gt;Voorblad!$K$41,0,IF($U143=0,0,IF($U143&lt;1,1/$U143,IF((ES$56-Voorblad!$F$41)/$U143-SUM($EE143:ER143)=1,1,0))))</f>
        <v>0</v>
      </c>
      <c r="ET143" s="8">
        <f>IF(ET$56-Voorblad!$F$41&gt;Voorblad!$K$41,0,IF($U143=0,0,IF($U143&lt;1,1/$U143,IF((ET$56-Voorblad!$F$41)/$U143-SUM($EE143:ES143)=1,1,0))))</f>
        <v>0</v>
      </c>
      <c r="EU143" s="8">
        <f>IF(EU$56-Voorblad!$F$41&gt;Voorblad!$K$41,0,IF($U143=0,0,IF($U143&lt;1,1/$U143,IF((EU$56-Voorblad!$F$41)/$U143-SUM($EE143:ET143)=1,1,0))))</f>
        <v>0</v>
      </c>
      <c r="EV143" s="8">
        <f>IF(EV$56-Voorblad!$F$41&gt;Voorblad!$K$41,0,IF($U143=0,0,IF($U143&lt;1,1/$U143,IF((EV$56-Voorblad!$F$41)/$U143-SUM($EE143:EU143)=1,1,0))))</f>
        <v>0</v>
      </c>
      <c r="EW143" s="8">
        <f>IF(EW$56-Voorblad!$F$41&gt;Voorblad!$K$41,0,IF($U143=0,0,IF($U143&lt;1,1/$U143,IF((EW$56-Voorblad!$F$41)/$U143-SUM($EE143:EV143)=1,1,0))))</f>
        <v>0</v>
      </c>
      <c r="EX143" s="8">
        <f>IF(EX$56-Voorblad!$F$41&gt;Voorblad!$K$41,0,IF($U143=0,0,IF($U143&lt;1,1/$U143,IF((EX$56-Voorblad!$F$41)/$U143-SUM($EE143:EW143)=1,1,0))))</f>
        <v>0</v>
      </c>
      <c r="EY143" s="8">
        <f>IF(EY$56-Voorblad!$F$41&gt;Voorblad!$K$41,0,IF($U143=0,0,IF($U143&lt;1,1/$U143,IF((EY$56-Voorblad!$F$41)/$U143-SUM($EE143:EX143)=1,1,0))))</f>
        <v>0</v>
      </c>
      <c r="EZ143" s="8">
        <f>IF(EZ$56-Voorblad!$F$41&gt;Voorblad!$K$41,0,IF($U143=0,0,IF($U143&lt;1,1/$U143,IF((EZ$56-Voorblad!$F$41)/$U143-SUM($EE143:EY143)=1,1,0))))</f>
        <v>0</v>
      </c>
      <c r="FA143" s="8">
        <f>IF(FA$56-Voorblad!$F$41&gt;Voorblad!$K$41,0,IF($U143=0,0,IF($U143&lt;1,1/$U143,IF((FA$56-Voorblad!$F$41)/$U143-SUM($EE143:EZ143)=1,1,0))))</f>
        <v>0</v>
      </c>
      <c r="FB143" s="8">
        <f>IF(FB$56-Voorblad!$F$41&gt;Voorblad!$K$41,0,IF($U143=0,0,IF($U143&lt;1,1/$U143,IF((FB$56-Voorblad!$F$41)/$U143-SUM($EE143:FA143)=1,1,0))))</f>
        <v>0</v>
      </c>
      <c r="FC143" s="8">
        <f>IF(FC$56-Voorblad!$F$41&gt;Voorblad!$K$41,0,IF($U143=0,0,IF($U143&lt;1,1/$U143,IF((FC$56-Voorblad!$F$41)/$U143-SUM($EE143:FB143)=1,1,0))))</f>
        <v>0</v>
      </c>
      <c r="FD143" s="8">
        <f>IF(FD$56-Voorblad!$F$41&gt;Voorblad!$K$41,0,IF($U143=0,0,IF($U143&lt;1,1/$U143,IF((FD$56-Voorblad!$F$41)/$U143-SUM($EE143:FC143)=1,1,0))))</f>
        <v>0</v>
      </c>
      <c r="FE143" s="8">
        <f>IF(FE$56-Voorblad!$F$41&gt;Voorblad!$K$41,0,IF($U143=0,0,IF($U143&lt;1,1/$U143,IF((FE$56-Voorblad!$F$41)/$U143-SUM($EE143:FD143)=1,1,0))))</f>
        <v>0</v>
      </c>
      <c r="FF143" s="8">
        <f>IF(FF$56-Voorblad!$F$41&gt;Voorblad!$K$41,0,IF($U143=0,0,IF($U143&lt;1,1/$U143,IF((FF$56-Voorblad!$F$41)/$U143-SUM($EE143:FE143)=1,1,0))))</f>
        <v>0</v>
      </c>
      <c r="FG143" s="8">
        <f>IF(FG$56-Voorblad!$F$41&gt;Voorblad!$K$41,0,IF($U143=0,0,IF($U143&lt;1,1/$U143,IF((FG$56-Voorblad!$F$41)/$U143-SUM($EE143:FF143)=1,1,0))))</f>
        <v>0</v>
      </c>
      <c r="FH143" s="8">
        <f>IF(FH$56-Voorblad!$F$41&gt;Voorblad!$K$41,0,IF($U143=0,0,IF($U143&lt;1,1/$U143,IF((FH$56-Voorblad!$F$41)/$U143-SUM($EE143:FG143)=1,1,0))))</f>
        <v>0</v>
      </c>
      <c r="FI143" s="8">
        <f>IF(FI$56-Voorblad!$F$41&gt;Voorblad!$K$41,0,IF($U143=0,0,IF($U143&lt;1,1/$U143,IF((FI$56-Voorblad!$F$41)/$U143-SUM($EE143:FH143)=1,1,0))))</f>
        <v>0</v>
      </c>
      <c r="FJ143" s="8">
        <f>IF(FJ$56-Voorblad!$F$41&gt;Voorblad!$K$41,0,IF($U143=0,0,IF($U143&lt;1,1/$U143,IF((FJ$56-Voorblad!$F$41)/$U143-SUM($EE143:FI143)=1,1,0))))</f>
        <v>0</v>
      </c>
      <c r="FK143" s="8">
        <f>IF(FK$56-Voorblad!$F$41&gt;Voorblad!$K$41,0,IF($U143=0,0,IF($U143&lt;1,1/$U143,IF((FK$56-Voorblad!$F$41)/$U143-SUM($EE143:FJ143)=1,1,0))))</f>
        <v>0</v>
      </c>
      <c r="FL143" s="8">
        <f>IF(FL$56-Voorblad!$F$41&gt;Voorblad!$K$41,0,IF($U143=0,0,IF($U143&lt;1,1/$U143,IF((FL$56-Voorblad!$F$41)/$U143-SUM($EE143:FK143)=1,1,0))))</f>
        <v>0</v>
      </c>
      <c r="FM143" s="8">
        <f>IF(FM$56-Voorblad!$F$41&gt;Voorblad!$K$41,0,IF($U143=0,0,IF($U143&lt;1,1/$U143,IF((FM$56-Voorblad!$F$41)/$U143-SUM($EE143:FL143)=1,1,0))))</f>
        <v>0</v>
      </c>
      <c r="FN143" s="8">
        <f>IF(FN$56-Voorblad!$F$41&gt;Voorblad!$K$41,0,IF($U143=0,0,IF($U143&lt;1,1/$U143,IF((FN$56-Voorblad!$F$41)/$U143-SUM($EE143:FM143)=1,1,0))))</f>
        <v>0</v>
      </c>
      <c r="FO143" s="8">
        <f>IF(FO$56-Voorblad!$F$41&gt;Voorblad!$K$41,0,IF($U143=0,0,IF($U143&lt;1,1/$U143,IF((FO$56-Voorblad!$F$41)/$U143-SUM($EE143:FN143)=1,1,0))))</f>
        <v>0</v>
      </c>
      <c r="FP143" s="8">
        <f>IF(FP$56-Voorblad!$F$41&gt;Voorblad!$K$41,0,IF($U143=0,0,IF($U143&lt;1,1/$U143,IF((FP$56-Voorblad!$F$41)/$U143-SUM($EE143:FO143)=1,1,0))))</f>
        <v>0</v>
      </c>
      <c r="FQ143" s="8">
        <f>IF(FQ$56-Voorblad!$F$41&gt;Voorblad!$K$41,0,IF($U143=0,0,IF($U143&lt;1,1/$U143,IF((FQ$56-Voorblad!$F$41)/$U143-SUM($EE143:FP143)=1,1,0))))</f>
        <v>0</v>
      </c>
      <c r="FR143" s="8">
        <f>IF(FR$56-Voorblad!$F$41&gt;Voorblad!$K$41,0,IF($U143=0,0,IF($U143&lt;1,1/$U143,IF((FR$56-Voorblad!$F$41)/$U143-SUM($EE143:FQ143)=1,1,0))))</f>
        <v>0</v>
      </c>
      <c r="FS143" s="8">
        <f>IF(FS$56-Voorblad!$F$41&gt;Voorblad!$K$41,0,IF($U143=0,0,IF($U143&lt;1,1/$U143,IF((FS$56-Voorblad!$F$41)/$U143-SUM($EE143:FR143)=1,1,0))))</f>
        <v>0</v>
      </c>
      <c r="FT143" s="8">
        <f>IF(FT$56-Voorblad!$F$41&gt;Voorblad!$K$41,0,IF($U143=0,0,IF($U143&lt;1,1/$U143,IF((FT$56-Voorblad!$F$41)/$U143-SUM($EE143:FS143)=1,1,0))))</f>
        <v>0</v>
      </c>
      <c r="FU143" s="8">
        <f>IF(FU$56-Voorblad!$F$41&gt;Voorblad!$K$41,0,IF($U143=0,0,IF($U143&lt;1,1/$U143,IF((FU$56-Voorblad!$F$41)/$U143-SUM($EE143:FT143)=1,1,0))))</f>
        <v>0</v>
      </c>
      <c r="FV143" s="8">
        <f>IF(FV$56-Voorblad!$F$41&gt;Voorblad!$K$41,0,IF($U143=0,0,IF($U143&lt;1,1/$U143,IF((FV$56-Voorblad!$F$41)/$U143-SUM($EE143:FU143)=1,1,0))))</f>
        <v>0</v>
      </c>
      <c r="FW143" s="8">
        <f>IF(FW$56-Voorblad!$F$41&gt;Voorblad!$K$41,0,IF($U143=0,0,IF($U143&lt;1,1/$U143,IF((FW$56-Voorblad!$F$41)/$U143-SUM($EE143:FV143)=1,1,0))))</f>
        <v>0</v>
      </c>
      <c r="FX143" s="8">
        <f>IF(FX$56-Voorblad!$F$41&gt;Voorblad!$K$41,0,IF($U143=0,0,IF($U143&lt;1,1/$U143,IF((FX$56-Voorblad!$F$41)/$U143-SUM($EE143:FW143)=1,1,0))))</f>
        <v>0</v>
      </c>
      <c r="FY143" s="8">
        <f>IF(FY$56-Voorblad!$F$41&gt;Voorblad!$K$41,0,IF($U143=0,0,IF($U143&lt;1,1/$U143,IF((FY$56-Voorblad!$F$41)/$U143-SUM($EE143:FX143)=1,1,0))))</f>
        <v>0</v>
      </c>
      <c r="FZ143" s="8">
        <f>IF(FZ$56-Voorblad!$F$41&gt;Voorblad!$K$41,0,IF($U143=0,0,IF($U143&lt;1,1/$U143,IF((FZ$56-Voorblad!$F$41)/$U143-SUM($EE143:FY143)=1,1,0))))</f>
        <v>0</v>
      </c>
      <c r="GA143" s="8">
        <f>IF(GA$56-Voorblad!$F$41&gt;Voorblad!$K$41,0,IF($U143=0,0,IF($U143&lt;1,1/$U143,IF((GA$56-Voorblad!$F$41)/$U143-SUM($EE143:FZ143)=1,1,0))))</f>
        <v>0</v>
      </c>
      <c r="GB143" s="8">
        <f>IF(GB$56-Voorblad!$F$41&gt;Voorblad!$K$41,0,IF($U143=0,0,IF($U143&lt;1,1/$U143,IF((GB$56-Voorblad!$F$41)/$U143-SUM($EE143:GA143)=1,1,0))))</f>
        <v>0</v>
      </c>
      <c r="GC143" s="8">
        <f>IF(GC$56-Voorblad!$F$41&gt;Voorblad!$K$41,0,IF($U143=0,0,IF($U143&lt;1,1/$U143,IF((GC$56-Voorblad!$F$41)/$U143-SUM($EE143:GB143)=1,1,0))))</f>
        <v>0</v>
      </c>
      <c r="GD143" s="8">
        <f>IF(GD$56-Voorblad!$F$41&gt;Voorblad!$K$41,0,IF($U143=0,0,IF($U143&lt;1,1/$U143,IF((GD$56-Voorblad!$F$41)/$U143-SUM($EE143:GC143)=1,1,0))))</f>
        <v>1</v>
      </c>
      <c r="GE143" s="8">
        <f>IF(GE$56-Voorblad!$F$41&gt;Voorblad!$K$41,0,IF($U143=0,0,IF($U143&lt;1,1/$U143,IF((GE$56-Voorblad!$F$41)/$U143-SUM($EE143:GD143)=1,1,0))))</f>
        <v>0</v>
      </c>
      <c r="GF143" s="8">
        <f>IF(GF$56-Voorblad!$F$41&gt;Voorblad!$K$41,0,IF($U143=0,0,IF($U143&lt;1,1/$U143,IF((GF$56-Voorblad!$F$41)/$U143-SUM($EE143:GE143)=1,1,0))))</f>
        <v>0</v>
      </c>
      <c r="GG143" s="8">
        <f>IF(GG$56-Voorblad!$F$41&gt;Voorblad!$K$41,0,IF($U143=0,0,IF($U143&lt;1,1/$U143,IF((GG$56-Voorblad!$F$41)/$U143-SUM($EE143:GF143)=1,1,0))))</f>
        <v>0</v>
      </c>
      <c r="GH143" s="8">
        <f>IF(GH$56-Voorblad!$F$41&gt;Voorblad!$K$41,0,IF($U143=0,0,IF($U143&lt;1,1/$U143,IF((GH$56-Voorblad!$F$41)/$U143-SUM($EE143:GG143)=1,1,0))))</f>
        <v>0</v>
      </c>
      <c r="GI143" s="8">
        <f>IF(GI$56-Voorblad!$F$41&gt;Voorblad!$K$41,0,IF($U143=0,0,IF($U143&lt;1,1/$U143,IF((GI$56-Voorblad!$F$41)/$U143-SUM($EE143:GH143)=1,1,0))))</f>
        <v>0</v>
      </c>
      <c r="GJ143" s="8">
        <f>IF(GJ$56-Voorblad!$F$41&gt;Voorblad!$K$41,0,IF($U143=0,0,IF($U143&lt;1,1/$U143,IF((GJ$56-Voorblad!$F$41)/$U143-SUM($EE143:GI143)=1,1,0))))</f>
        <v>0</v>
      </c>
      <c r="GK143" s="8">
        <f>IF(GK$56-Voorblad!$F$41&gt;Voorblad!$K$41,0,IF($U143=0,0,IF($U143&lt;1,1/$U143,IF((GK$56-Voorblad!$F$41)/$U143-SUM($EE143:GJ143)=1,1,0))))</f>
        <v>0</v>
      </c>
      <c r="GL143" s="8">
        <f>IF(GL$56-Voorblad!$F$41&gt;Voorblad!$K$41,0,IF($U143=0,0,IF($U143&lt;1,1/$U143,IF((GL$56-Voorblad!$F$41)/$U143-SUM($EE143:GK143)=1,1,0))))</f>
        <v>0</v>
      </c>
      <c r="GM143" s="8">
        <f>IF(GM$56-Voorblad!$F$41&gt;Voorblad!$K$41,0,IF($U143=0,0,IF($U143&lt;1,1/$U143,IF((GM$56-Voorblad!$F$41)/$U143-SUM($EE143:GL143)=1,1,0))))</f>
        <v>0</v>
      </c>
      <c r="GN143" s="8">
        <f>IF(GN$56-Voorblad!$F$41&gt;Voorblad!$K$41,0,IF($U143=0,0,IF($U143&lt;1,1/$U143,IF((GN$56-Voorblad!$F$41)/$U143-SUM($EE143:GM143)=1,1,0))))</f>
        <v>0</v>
      </c>
      <c r="GO143" s="8">
        <f>IF(GO$56-Voorblad!$F$41&gt;Voorblad!$K$41,0,IF($U143=0,0,IF($U143&lt;1,1/$U143,IF((GO$56-Voorblad!$F$41)/$U143-SUM($EE143:GN143)=1,1,0))))</f>
        <v>0</v>
      </c>
      <c r="GP143" s="8">
        <f>IF(GP$56-Voorblad!$F$41&gt;Voorblad!$K$41,0,IF($U143=0,0,IF($U143&lt;1,1/$U143,IF((GP$56-Voorblad!$F$41)/$U143-SUM($EE143:GO143)=1,1,0))))</f>
        <v>0</v>
      </c>
      <c r="GQ143" s="8">
        <f>IF(GQ$56-Voorblad!$F$41&gt;Voorblad!$K$41,0,IF($U143=0,0,IF($U143&lt;1,1/$U143,IF((GQ$56-Voorblad!$F$41)/$U143-SUM($EE143:GP143)=1,1,0))))</f>
        <v>0</v>
      </c>
      <c r="GR143" s="8">
        <f>IF(GR$56-Voorblad!$F$41&gt;Voorblad!$K$41,0,IF($U143=0,0,IF($U143&lt;1,1/$U143,IF((GR$56-Voorblad!$F$41)/$U143-SUM($EE143:GQ143)=1,1,0))))</f>
        <v>0</v>
      </c>
      <c r="GS143" s="8">
        <f>IF(GS$56-Voorblad!$F$41&gt;Voorblad!$K$41,0,IF($U143=0,0,IF($U143&lt;1,1/$U143,IF((GS$56-Voorblad!$F$41)/$U143-SUM($EE143:GR143)=1,1,0))))</f>
        <v>0</v>
      </c>
      <c r="GT143" s="8">
        <f>IF(GT$56-Voorblad!$F$41&gt;Voorblad!$K$41,0,IF($U143=0,0,IF($U143&lt;1,1/$U143,IF((GT$56-Voorblad!$F$41)/$U143-SUM($EE143:GS143)=1,1,0))))</f>
        <v>0</v>
      </c>
      <c r="GU143" s="8">
        <f>IF(GU$56-Voorblad!$F$41&gt;Voorblad!$K$41,0,IF($U143=0,0,IF($U143&lt;1,1/$U143,IF((GU$56-Voorblad!$F$41)/$U143-SUM($EE143:GT143)=1,1,0))))</f>
        <v>0</v>
      </c>
      <c r="GV143" s="8">
        <f>IF(GV$56-Voorblad!$F$41&gt;Voorblad!$K$41,0,IF($U143=0,0,IF($U143&lt;1,1/$U143,IF((GV$56-Voorblad!$F$41)/$U143-SUM($EE143:GU143)=1,1,0))))</f>
        <v>0</v>
      </c>
      <c r="GW143" s="8">
        <f>IF(GW$56-Voorblad!$F$41&gt;Voorblad!$K$41,0,IF($U143=0,0,IF($U143&lt;1,1/$U143,IF((GW$56-Voorblad!$F$41)/$U143-SUM($EE143:GV143)=1,1,0))))</f>
        <v>0</v>
      </c>
      <c r="GX143" s="8">
        <f>IF(GX$56-Voorblad!$F$41&gt;Voorblad!$K$41,0,IF($U143=0,0,IF($U143&lt;1,1/$U143,IF((GX$56-Voorblad!$F$41)/$U143-SUM($EE143:GW143)=1,1,0))))</f>
        <v>0</v>
      </c>
      <c r="GY143" s="8">
        <f>IF(GY$56-Voorblad!$F$41&gt;Voorblad!$K$41,0,IF($U143=0,0,IF($U143&lt;1,1/$U143,IF((GY$56-Voorblad!$F$41)/$U143-SUM($EE143:GX143)=1,1,0))))</f>
        <v>0</v>
      </c>
      <c r="GZ143" s="8">
        <f>IF(GZ$56-Voorblad!$F$41&gt;Voorblad!$K$41,0,IF($U143=0,0,IF($U143&lt;1,1/$U143,IF((GZ$56-Voorblad!$F$41)/$U143-SUM($EE143:GY143)=1,1,0))))</f>
        <v>0</v>
      </c>
      <c r="HA143" s="8">
        <f>IF(HA$56-Voorblad!$F$41&gt;Voorblad!$K$41,0,IF($U143=0,0,IF($U143&lt;1,1/$U143,IF((HA$56-Voorblad!$F$41)/$U143-SUM($EE143:GZ143)=1,1,0))))</f>
        <v>0</v>
      </c>
      <c r="HB143" s="8">
        <f>IF(HB$56-Voorblad!$F$41&gt;Voorblad!$K$41,0,IF($U143=0,0,IF($U143&lt;1,1/$U143,IF((HB$56-Voorblad!$F$41)/$U143-SUM($EE143:HA143)=1,1,0))))</f>
        <v>0</v>
      </c>
      <c r="HC143" s="8">
        <f>IF(HC$56-Voorblad!$F$41&gt;Voorblad!$K$41,0,IF($U143=0,0,IF($U143&lt;1,1/$U143,IF((HC$56-Voorblad!$F$41)/$U143-SUM($EE143:HB143)=1,1,0))))</f>
        <v>0</v>
      </c>
      <c r="HD143" s="8">
        <f>IF(HD$56-Voorblad!$F$41&gt;Voorblad!$K$41,0,IF($U143=0,0,IF($U143&lt;1,1/$U143,IF((HD$56-Voorblad!$F$41)/$U143-SUM($EE143:HC143)=1,1,0))))</f>
        <v>0</v>
      </c>
      <c r="HE143" s="8">
        <f>IF(HE$56-Voorblad!$F$41&gt;Voorblad!$K$41,0,IF($U143=0,0,IF($U143&lt;1,1/$U143,IF((HE$56-Voorblad!$F$41)/$U143-SUM($EE143:HD143)=1,1,0))))</f>
        <v>0</v>
      </c>
      <c r="HF143" s="8">
        <f>IF(HF$56-Voorblad!$F$41&gt;Voorblad!$K$41,0,IF($U143=0,0,IF($U143&lt;1,1/$U143,IF((HF$56-Voorblad!$F$41)/$U143-SUM($EE143:HE143)=1,1,0))))</f>
        <v>0</v>
      </c>
      <c r="HG143" s="8">
        <f>IF(HG$56-Voorblad!$F$41&gt;Voorblad!$K$41,0,IF($U143=0,0,IF($U143&lt;1,1/$U143,IF((HG$56-Voorblad!$F$41)/$U143-SUM($EE143:HF143)=1,1,0))))</f>
        <v>0</v>
      </c>
      <c r="HH143" s="8">
        <f>IF(HH$56-Voorblad!$F$41&gt;Voorblad!$K$41,0,IF($U143=0,0,IF($U143&lt;1,1/$U143,IF((HH$56-Voorblad!$F$41)/$U143-SUM($EE143:HG143)=1,1,0))))</f>
        <v>0</v>
      </c>
      <c r="HI143" s="8">
        <f>IF(HI$56-Voorblad!$F$41&gt;Voorblad!$K$41,0,IF($U143=0,0,IF($U143&lt;1,1/$U143,IF((HI$56-Voorblad!$F$41)/$U143-SUM($EE143:HH143)=1,1,0))))</f>
        <v>0</v>
      </c>
      <c r="HJ143" s="8">
        <f>IF(HJ$56-Voorblad!$F$41&gt;Voorblad!$K$41,0,IF($U143=0,0,IF($U143&lt;1,1/$U143,IF((HJ$56-Voorblad!$F$41)/$U143-SUM($EE143:HI143)=1,1,0))))</f>
        <v>0</v>
      </c>
      <c r="HK143" s="8">
        <f>IF(HK$56-Voorblad!$F$41&gt;Voorblad!$K$41,0,IF($U143=0,0,IF($U143&lt;1,1/$U143,IF((HK$56-Voorblad!$F$41)/$U143-SUM($EE143:HJ143)=1,1,0))))</f>
        <v>0</v>
      </c>
      <c r="HL143" s="8">
        <f>IF(HL$56-Voorblad!$F$41&gt;Voorblad!$K$41,0,IF($U143=0,0,IF($U143&lt;1,1/$U143,IF((HL$56-Voorblad!$F$41)/$U143-SUM($EE143:HK143)=1,1,0))))</f>
        <v>0</v>
      </c>
      <c r="HM143" s="8">
        <f>IF(HM$56-Voorblad!$F$41&gt;Voorblad!$K$41,0,IF($U143=0,0,IF($U143&lt;1,1/$U143,IF((HM$56-Voorblad!$F$41)/$U143-SUM($EE143:HL143)=1,1,0))))</f>
        <v>0</v>
      </c>
      <c r="HN143" s="8">
        <f>IF(HN$56-Voorblad!$F$41&gt;Voorblad!$K$41,0,IF($U143=0,0,IF($U143&lt;1,1/$U143,IF((HN$56-Voorblad!$F$41)/$U143-SUM($EE143:HM143)=1,1,0))))</f>
        <v>0</v>
      </c>
      <c r="HO143" s="8">
        <f>IF(HO$56-Voorblad!$F$41&gt;Voorblad!$K$41,0,IF($U143=0,0,IF($U143&lt;1,1/$U143,IF((HO$56-Voorblad!$F$41)/$U143-SUM($EE143:HN143)=1,1,0))))</f>
        <v>0</v>
      </c>
      <c r="HP143" s="8">
        <f>IF(HP$56-Voorblad!$F$41&gt;Voorblad!$K$41,0,IF($U143=0,0,IF($U143&lt;1,1/$U143,IF((HP$56-Voorblad!$F$41)/$U143-SUM($EE143:HO143)=1,1,0))))</f>
        <v>0</v>
      </c>
      <c r="HQ143" s="8">
        <f>IF(HQ$56-Voorblad!$F$41&gt;Voorblad!$K$41,0,IF($U143=0,0,IF($U143&lt;1,1/$U143,IF((HQ$56-Voorblad!$F$41)/$U143-SUM($EE143:HP143)=1,1,0))))</f>
        <v>0</v>
      </c>
      <c r="HR143" s="8">
        <f>IF(HR$56-Voorblad!$F$41&gt;Voorblad!$K$41,0,IF($U143=0,0,IF($U143&lt;1,1/$U143,IF((HR$56-Voorblad!$F$41)/$U143-SUM($EE143:HQ143)=1,1,0))))</f>
        <v>0</v>
      </c>
      <c r="HS143" s="8">
        <f>IF(HS$56-Voorblad!$F$41&gt;Voorblad!$K$41,0,IF($U143=0,0,IF($U143&lt;1,1/$U143,IF((HS$56-Voorblad!$F$41)/$U143-SUM($EE143:HR143)=1,1,0))))</f>
        <v>0</v>
      </c>
      <c r="HT143" s="8">
        <f>IF(HT$56-Voorblad!$F$41&gt;Voorblad!$K$41,0,IF($U143=0,0,IF($U143&lt;1,1/$U143,IF((HT$56-Voorblad!$F$41)/$U143-SUM($EE143:HS143)=1,1,0))))</f>
        <v>0</v>
      </c>
      <c r="HU143" s="8">
        <f>IF(HU$56-Voorblad!$F$41&gt;Voorblad!$K$41,0,IF($U143=0,0,IF($U143&lt;1,1/$U143,IF((HU$56-Voorblad!$F$41)/$U143-SUM($EE143:HT143)=1,1,0))))</f>
        <v>0</v>
      </c>
      <c r="HV143" s="8">
        <f>IF(HV$56-Voorblad!$F$41&gt;Voorblad!$K$41,0,IF($U143=0,0,IF($U143&lt;1,1/$U143,IF((HV$56-Voorblad!$F$41)/$U143-SUM($EE143:HU143)=1,1,0))))</f>
        <v>0</v>
      </c>
      <c r="HW143" s="8">
        <f>IF(HW$56-Voorblad!$F$41&gt;Voorblad!$K$41,0,IF($U143=0,0,IF($U143&lt;1,1/$U143,IF((HW$56-Voorblad!$F$41)/$U143-SUM($EE143:HV143)=1,1,0))))</f>
        <v>0</v>
      </c>
      <c r="HX143" s="8">
        <f>IF(HX$56-Voorblad!$F$41&gt;Voorblad!$K$41,0,IF($U143=0,0,IF($U143&lt;1,1/$U143,IF((HX$56-Voorblad!$F$41)/$U143-SUM($EE143:HW143)=1,1,0))))</f>
        <v>0</v>
      </c>
      <c r="HY143" s="8">
        <f>IF(HY$56-Voorblad!$F$41&gt;Voorblad!$K$41,0,IF($U143=0,0,IF($U143&lt;1,1/$U143,IF((HY$56-Voorblad!$F$41)/$U143-SUM($EE143:HX143)=1,1,0))))</f>
        <v>0</v>
      </c>
      <c r="HZ143" s="8">
        <f>IF(HZ$56-Voorblad!$F$41&gt;Voorblad!$K$41,0,IF($U143=0,0,IF($U143&lt;1,1/$U143,IF((HZ$56-Voorblad!$F$41)/$U143-SUM($EE143:HY143)=1,1,0))))</f>
        <v>0</v>
      </c>
      <c r="IA143" s="8">
        <f>IF(IA$56-Voorblad!$F$41&gt;Voorblad!$K$41,0,IF($U143=0,0,IF($U143&lt;1,1/$U143,IF((IA$56-Voorblad!$F$41)/$U143-SUM($EE143:HZ143)=1,1,0))))</f>
        <v>0</v>
      </c>
      <c r="IB143" s="8">
        <f>IF(IB$56-Voorblad!$F$41&gt;Voorblad!$K$41,0,IF($U143=0,0,IF($U143&lt;1,1/$U143,IF((IB$56-Voorblad!$F$41)/$U143-SUM($EE143:IA143)=1,1,0))))</f>
        <v>0</v>
      </c>
    </row>
    <row r="144" spans="2:236" outlineLevel="1" x14ac:dyDescent="0.25">
      <c r="B144" s="1">
        <v>1</v>
      </c>
      <c r="F144" s="1" t="s">
        <v>23</v>
      </c>
      <c r="I144" s="1" t="s">
        <v>49</v>
      </c>
      <c r="K144" s="1" t="s">
        <v>76</v>
      </c>
      <c r="O144" s="1" t="s">
        <v>77</v>
      </c>
      <c r="Q144" s="81">
        <v>0</v>
      </c>
      <c r="R144" s="1" t="s">
        <v>34</v>
      </c>
      <c r="S144" s="14">
        <f>$H$10*700</f>
        <v>1666</v>
      </c>
      <c r="T144" s="9">
        <f t="shared" si="104"/>
        <v>0</v>
      </c>
      <c r="U144" s="14">
        <v>50</v>
      </c>
      <c r="V144" s="14"/>
      <c r="Y144" s="9">
        <f>SUM(AE144:EB144)</f>
        <v>0</v>
      </c>
      <c r="Z144" s="82"/>
      <c r="AA144" s="82"/>
      <c r="AC144" s="9">
        <f>$Y144*(Voorblad!$K$44*(1+Voorblad!$K$44)^Voorblad!$K$41)/((1+Voorblad!$K$44)^Voorblad!$K$41-1)</f>
        <v>0</v>
      </c>
      <c r="AE144" s="9">
        <f>EF144*($Q144*$S144)/(1+Voorblad!$K$44)^(AE$56-Voorblad!$F$41)</f>
        <v>0</v>
      </c>
      <c r="AF144" s="9">
        <f>EG144*($Q144*$S144)/(1+Voorblad!$K$44)^(AF$56-Voorblad!$F$41)</f>
        <v>0</v>
      </c>
      <c r="AG144" s="9">
        <f>EH144*($Q144*$S144)/(1+Voorblad!$K$44)^(AG$56-Voorblad!$F$41)</f>
        <v>0</v>
      </c>
      <c r="AH144" s="9">
        <f>EI144*($Q144*$S144)/(1+Voorblad!$K$44)^(AH$56-Voorblad!$F$41)</f>
        <v>0</v>
      </c>
      <c r="AI144" s="9">
        <f>EJ144*($Q144*$S144)/(1+Voorblad!$K$44)^(AI$56-Voorblad!$F$41)</f>
        <v>0</v>
      </c>
      <c r="AJ144" s="9">
        <f>EK144*($Q144*$S144)/(1+Voorblad!$K$44)^(AJ$56-Voorblad!$F$41)</f>
        <v>0</v>
      </c>
      <c r="AK144" s="9">
        <f>EL144*($Q144*$S144)/(1+Voorblad!$K$44)^(AK$56-Voorblad!$F$41)</f>
        <v>0</v>
      </c>
      <c r="AL144" s="9">
        <f>EM144*($Q144*$S144)/(1+Voorblad!$K$44)^(AL$56-Voorblad!$F$41)</f>
        <v>0</v>
      </c>
      <c r="AM144" s="9">
        <f>EN144*($Q144*$S144)/(1+Voorblad!$K$44)^(AM$56-Voorblad!$F$41)</f>
        <v>0</v>
      </c>
      <c r="AN144" s="9">
        <f>EO144*($Q144*$S144)/(1+Voorblad!$K$44)^(AN$56-Voorblad!$F$41)</f>
        <v>0</v>
      </c>
      <c r="AO144" s="9">
        <f>EP144*($Q144*$S144)/(1+Voorblad!$K$44)^(AO$56-Voorblad!$F$41)</f>
        <v>0</v>
      </c>
      <c r="AP144" s="9">
        <f>EQ144*($Q144*$S144)/(1+Voorblad!$K$44)^(AP$56-Voorblad!$F$41)</f>
        <v>0</v>
      </c>
      <c r="AQ144" s="9">
        <f>ER144*($Q144*$S144)/(1+Voorblad!$K$44)^(AQ$56-Voorblad!$F$41)</f>
        <v>0</v>
      </c>
      <c r="AR144" s="9">
        <f>ES144*($Q144*$S144)/(1+Voorblad!$K$44)^(AR$56-Voorblad!$F$41)</f>
        <v>0</v>
      </c>
      <c r="AS144" s="9">
        <f>ET144*($Q144*$S144)/(1+Voorblad!$K$44)^(AS$56-Voorblad!$F$41)</f>
        <v>0</v>
      </c>
      <c r="AT144" s="9">
        <f>EU144*($Q144*$S144)/(1+Voorblad!$K$44)^(AT$56-Voorblad!$F$41)</f>
        <v>0</v>
      </c>
      <c r="AU144" s="9">
        <f>EV144*($Q144*$S144)/(1+Voorblad!$K$44)^(AU$56-Voorblad!$F$41)</f>
        <v>0</v>
      </c>
      <c r="AV144" s="9">
        <f>EW144*($Q144*$S144)/(1+Voorblad!$K$44)^(AV$56-Voorblad!$F$41)</f>
        <v>0</v>
      </c>
      <c r="AW144" s="9">
        <f>EX144*($Q144*$S144)/(1+Voorblad!$K$44)^(AW$56-Voorblad!$F$41)</f>
        <v>0</v>
      </c>
      <c r="AX144" s="9">
        <f>EY144*($Q144*$S144)/(1+Voorblad!$K$44)^(AX$56-Voorblad!$F$41)</f>
        <v>0</v>
      </c>
      <c r="AY144" s="9">
        <f>EZ144*($Q144*$S144)/(1+Voorblad!$K$44)^(AY$56-Voorblad!$F$41)</f>
        <v>0</v>
      </c>
      <c r="AZ144" s="9">
        <f>FA144*($Q144*$S144)/(1+Voorblad!$K$44)^(AZ$56-Voorblad!$F$41)</f>
        <v>0</v>
      </c>
      <c r="BA144" s="9">
        <f>FB144*($Q144*$S144)/(1+Voorblad!$K$44)^(BA$56-Voorblad!$F$41)</f>
        <v>0</v>
      </c>
      <c r="BB144" s="9">
        <f>FC144*($Q144*$S144)/(1+Voorblad!$K$44)^(BB$56-Voorblad!$F$41)</f>
        <v>0</v>
      </c>
      <c r="BC144" s="9">
        <f>FD144*($Q144*$S144)/(1+Voorblad!$K$44)^(BC$56-Voorblad!$F$41)</f>
        <v>0</v>
      </c>
      <c r="BD144" s="9">
        <f>FE144*($Q144*$S144)/(1+Voorblad!$K$44)^(BD$56-Voorblad!$F$41)</f>
        <v>0</v>
      </c>
      <c r="BE144" s="9">
        <f>FF144*($Q144*$S144)/(1+Voorblad!$K$44)^(BE$56-Voorblad!$F$41)</f>
        <v>0</v>
      </c>
      <c r="BF144" s="9">
        <f>FG144*($Q144*$S144)/(1+Voorblad!$K$44)^(BF$56-Voorblad!$F$41)</f>
        <v>0</v>
      </c>
      <c r="BG144" s="9">
        <f>FH144*($Q144*$S144)/(1+Voorblad!$K$44)^(BG$56-Voorblad!$F$41)</f>
        <v>0</v>
      </c>
      <c r="BH144" s="9">
        <f>FI144*($Q144*$S144)/(1+Voorblad!$K$44)^(BH$56-Voorblad!$F$41)</f>
        <v>0</v>
      </c>
      <c r="BI144" s="9">
        <f>FJ144*($Q144*$S144)/(1+Voorblad!$K$44)^(BI$56-Voorblad!$F$41)</f>
        <v>0</v>
      </c>
      <c r="BJ144" s="9">
        <f>FK144*($Q144*$S144)/(1+Voorblad!$K$44)^(BJ$56-Voorblad!$F$41)</f>
        <v>0</v>
      </c>
      <c r="BK144" s="9">
        <f>FL144*($Q144*$S144)/(1+Voorblad!$K$44)^(BK$56-Voorblad!$F$41)</f>
        <v>0</v>
      </c>
      <c r="BL144" s="9">
        <f>FM144*($Q144*$S144)/(1+Voorblad!$K$44)^(BL$56-Voorblad!$F$41)</f>
        <v>0</v>
      </c>
      <c r="BM144" s="9">
        <f>FN144*($Q144*$S144)/(1+Voorblad!$K$44)^(BM$56-Voorblad!$F$41)</f>
        <v>0</v>
      </c>
      <c r="BN144" s="9">
        <f>FO144*($Q144*$S144)/(1+Voorblad!$K$44)^(BN$56-Voorblad!$F$41)</f>
        <v>0</v>
      </c>
      <c r="BO144" s="9">
        <f>FP144*($Q144*$S144)/(1+Voorblad!$K$44)^(BO$56-Voorblad!$F$41)</f>
        <v>0</v>
      </c>
      <c r="BP144" s="9">
        <f>FQ144*($Q144*$S144)/(1+Voorblad!$K$44)^(BP$56-Voorblad!$F$41)</f>
        <v>0</v>
      </c>
      <c r="BQ144" s="9">
        <f>FR144*($Q144*$S144)/(1+Voorblad!$K$44)^(BQ$56-Voorblad!$F$41)</f>
        <v>0</v>
      </c>
      <c r="BR144" s="9">
        <f>FS144*($Q144*$S144)/(1+Voorblad!$K$44)^(BR$56-Voorblad!$F$41)</f>
        <v>0</v>
      </c>
      <c r="BS144" s="9">
        <f>FT144*($Q144*$S144)/(1+Voorblad!$K$44)^(BS$56-Voorblad!$F$41)</f>
        <v>0</v>
      </c>
      <c r="BT144" s="9">
        <f>FU144*($Q144*$S144)/(1+Voorblad!$K$44)^(BT$56-Voorblad!$F$41)</f>
        <v>0</v>
      </c>
      <c r="BU144" s="9">
        <f>FV144*($Q144*$S144)/(1+Voorblad!$K$44)^(BU$56-Voorblad!$F$41)</f>
        <v>0</v>
      </c>
      <c r="BV144" s="9">
        <f>FW144*($Q144*$S144)/(1+Voorblad!$K$44)^(BV$56-Voorblad!$F$41)</f>
        <v>0</v>
      </c>
      <c r="BW144" s="9">
        <f>FX144*($Q144*$S144)/(1+Voorblad!$K$44)^(BW$56-Voorblad!$F$41)</f>
        <v>0</v>
      </c>
      <c r="BX144" s="9">
        <f>FY144*($Q144*$S144)/(1+Voorblad!$K$44)^(BX$56-Voorblad!$F$41)</f>
        <v>0</v>
      </c>
      <c r="BY144" s="9">
        <f>FZ144*($Q144*$S144)/(1+Voorblad!$K$44)^(BY$56-Voorblad!$F$41)</f>
        <v>0</v>
      </c>
      <c r="BZ144" s="9">
        <f>GA144*($Q144*$S144)/(1+Voorblad!$K$44)^(BZ$56-Voorblad!$F$41)</f>
        <v>0</v>
      </c>
      <c r="CA144" s="9">
        <f>GB144*($Q144*$S144)/(1+Voorblad!$K$44)^(CA$56-Voorblad!$F$41)</f>
        <v>0</v>
      </c>
      <c r="CB144" s="9">
        <f>GC144*($Q144*$S144)/(1+Voorblad!$K$44)^(CB$56-Voorblad!$F$41)</f>
        <v>0</v>
      </c>
      <c r="CC144" s="9">
        <f>GD144*($Q144*$S144)/(1+Voorblad!$K$44)^(CC$56-Voorblad!$F$41)</f>
        <v>0</v>
      </c>
      <c r="CD144" s="9">
        <f>GE144*($Q144*$S144)/(1+Voorblad!$K$44)^(CD$56-Voorblad!$F$41)</f>
        <v>0</v>
      </c>
      <c r="CE144" s="9">
        <f>GF144*($Q144*$S144)/(1+Voorblad!$K$44)^(CE$56-Voorblad!$F$41)</f>
        <v>0</v>
      </c>
      <c r="CF144" s="9">
        <f>GG144*($Q144*$S144)/(1+Voorblad!$K$44)^(CF$56-Voorblad!$F$41)</f>
        <v>0</v>
      </c>
      <c r="CG144" s="9">
        <f>GH144*($Q144*$S144)/(1+Voorblad!$K$44)^(CG$56-Voorblad!$F$41)</f>
        <v>0</v>
      </c>
      <c r="CH144" s="9">
        <f>GI144*($Q144*$S144)/(1+Voorblad!$K$44)^(CH$56-Voorblad!$F$41)</f>
        <v>0</v>
      </c>
      <c r="CI144" s="9">
        <f>GJ144*($Q144*$S144)/(1+Voorblad!$K$44)^(CI$56-Voorblad!$F$41)</f>
        <v>0</v>
      </c>
      <c r="CJ144" s="9">
        <f>GK144*($Q144*$S144)/(1+Voorblad!$K$44)^(CJ$56-Voorblad!$F$41)</f>
        <v>0</v>
      </c>
      <c r="CK144" s="9">
        <f>GL144*($Q144*$S144)/(1+Voorblad!$K$44)^(CK$56-Voorblad!$F$41)</f>
        <v>0</v>
      </c>
      <c r="CL144" s="9">
        <f>GM144*($Q144*$S144)/(1+Voorblad!$K$44)^(CL$56-Voorblad!$F$41)</f>
        <v>0</v>
      </c>
      <c r="CM144" s="9">
        <f>GN144*($Q144*$S144)/(1+Voorblad!$K$44)^(CM$56-Voorblad!$F$41)</f>
        <v>0</v>
      </c>
      <c r="CN144" s="9">
        <f>GO144*($Q144*$S144)/(1+Voorblad!$K$44)^(CN$56-Voorblad!$F$41)</f>
        <v>0</v>
      </c>
      <c r="CO144" s="9">
        <f>GP144*($Q144*$S144)/(1+Voorblad!$K$44)^(CO$56-Voorblad!$F$41)</f>
        <v>0</v>
      </c>
      <c r="CP144" s="9">
        <f>GQ144*($Q144*$S144)/(1+Voorblad!$K$44)^(CP$56-Voorblad!$F$41)</f>
        <v>0</v>
      </c>
      <c r="CQ144" s="9">
        <f>GR144*($Q144*$S144)/(1+Voorblad!$K$44)^(CQ$56-Voorblad!$F$41)</f>
        <v>0</v>
      </c>
      <c r="CR144" s="9">
        <f>GS144*($Q144*$S144)/(1+Voorblad!$K$44)^(CR$56-Voorblad!$F$41)</f>
        <v>0</v>
      </c>
      <c r="CS144" s="9">
        <f>GT144*($Q144*$S144)/(1+Voorblad!$K$44)^(CS$56-Voorblad!$F$41)</f>
        <v>0</v>
      </c>
      <c r="CT144" s="9">
        <f>GU144*($Q144*$S144)/(1+Voorblad!$K$44)^(CT$56-Voorblad!$F$41)</f>
        <v>0</v>
      </c>
      <c r="CU144" s="9">
        <f>GV144*($Q144*$S144)/(1+Voorblad!$K$44)^(CU$56-Voorblad!$F$41)</f>
        <v>0</v>
      </c>
      <c r="CV144" s="9">
        <f>GW144*($Q144*$S144)/(1+Voorblad!$K$44)^(CV$56-Voorblad!$F$41)</f>
        <v>0</v>
      </c>
      <c r="CW144" s="9">
        <f>GX144*($Q144*$S144)/(1+Voorblad!$K$44)^(CW$56-Voorblad!$F$41)</f>
        <v>0</v>
      </c>
      <c r="CX144" s="9">
        <f>GY144*($Q144*$S144)/(1+Voorblad!$K$44)^(CX$56-Voorblad!$F$41)</f>
        <v>0</v>
      </c>
      <c r="CY144" s="9">
        <f>GZ144*($Q144*$S144)/(1+Voorblad!$K$44)^(CY$56-Voorblad!$F$41)</f>
        <v>0</v>
      </c>
      <c r="CZ144" s="9">
        <f>HA144*($Q144*$S144)/(1+Voorblad!$K$44)^(CZ$56-Voorblad!$F$41)</f>
        <v>0</v>
      </c>
      <c r="DA144" s="9">
        <f>HB144*($Q144*$S144)/(1+Voorblad!$K$44)^(DA$56-Voorblad!$F$41)</f>
        <v>0</v>
      </c>
      <c r="DB144" s="9">
        <f>HC144*($Q144*$S144)/(1+Voorblad!$K$44)^(DB$56-Voorblad!$F$41)</f>
        <v>0</v>
      </c>
      <c r="DC144" s="9">
        <f>HD144*($Q144*$S144)/(1+Voorblad!$K$44)^(DC$56-Voorblad!$F$41)</f>
        <v>0</v>
      </c>
      <c r="DD144" s="9">
        <f>HE144*($Q144*$S144)/(1+Voorblad!$K$44)^(DD$56-Voorblad!$F$41)</f>
        <v>0</v>
      </c>
      <c r="DE144" s="9">
        <f>HF144*($Q144*$S144)/(1+Voorblad!$K$44)^(DE$56-Voorblad!$F$41)</f>
        <v>0</v>
      </c>
      <c r="DF144" s="9">
        <f>HG144*($Q144*$S144)/(1+Voorblad!$K$44)^(DF$56-Voorblad!$F$41)</f>
        <v>0</v>
      </c>
      <c r="DG144" s="9">
        <f>HH144*($Q144*$S144)/(1+Voorblad!$K$44)^(DG$56-Voorblad!$F$41)</f>
        <v>0</v>
      </c>
      <c r="DH144" s="9">
        <f>HI144*($Q144*$S144)/(1+Voorblad!$K$44)^(DH$56-Voorblad!$F$41)</f>
        <v>0</v>
      </c>
      <c r="DI144" s="9">
        <f>HJ144*($Q144*$S144)/(1+Voorblad!$K$44)^(DI$56-Voorblad!$F$41)</f>
        <v>0</v>
      </c>
      <c r="DJ144" s="9">
        <f>HK144*($Q144*$S144)/(1+Voorblad!$K$44)^(DJ$56-Voorblad!$F$41)</f>
        <v>0</v>
      </c>
      <c r="DK144" s="9">
        <f>HL144*($Q144*$S144)/(1+Voorblad!$K$44)^(DK$56-Voorblad!$F$41)</f>
        <v>0</v>
      </c>
      <c r="DL144" s="9">
        <f>HM144*($Q144*$S144)/(1+Voorblad!$K$44)^(DL$56-Voorblad!$F$41)</f>
        <v>0</v>
      </c>
      <c r="DM144" s="9">
        <f>HN144*($Q144*$S144)/(1+Voorblad!$K$44)^(DM$56-Voorblad!$F$41)</f>
        <v>0</v>
      </c>
      <c r="DN144" s="9">
        <f>HO144*($Q144*$S144)/(1+Voorblad!$K$44)^(DN$56-Voorblad!$F$41)</f>
        <v>0</v>
      </c>
      <c r="DO144" s="9">
        <f>HP144*($Q144*$S144)/(1+Voorblad!$K$44)^(DO$56-Voorblad!$F$41)</f>
        <v>0</v>
      </c>
      <c r="DP144" s="9">
        <f>HQ144*($Q144*$S144)/(1+Voorblad!$K$44)^(DP$56-Voorblad!$F$41)</f>
        <v>0</v>
      </c>
      <c r="DQ144" s="9">
        <f>HR144*($Q144*$S144)/(1+Voorblad!$K$44)^(DQ$56-Voorblad!$F$41)</f>
        <v>0</v>
      </c>
      <c r="DR144" s="9">
        <f>HS144*($Q144*$S144)/(1+Voorblad!$K$44)^(DR$56-Voorblad!$F$41)</f>
        <v>0</v>
      </c>
      <c r="DS144" s="9">
        <f>HT144*($Q144*$S144)/(1+Voorblad!$K$44)^(DS$56-Voorblad!$F$41)</f>
        <v>0</v>
      </c>
      <c r="DT144" s="9">
        <f>HU144*($Q144*$S144)/(1+Voorblad!$K$44)^(DT$56-Voorblad!$F$41)</f>
        <v>0</v>
      </c>
      <c r="DU144" s="9">
        <f>HV144*($Q144*$S144)/(1+Voorblad!$K$44)^(DU$56-Voorblad!$F$41)</f>
        <v>0</v>
      </c>
      <c r="DV144" s="9">
        <f>HW144*($Q144*$S144)/(1+Voorblad!$K$44)^(DV$56-Voorblad!$F$41)</f>
        <v>0</v>
      </c>
      <c r="DW144" s="9">
        <f>HX144*($Q144*$S144)/(1+Voorblad!$K$44)^(DW$56-Voorblad!$F$41)</f>
        <v>0</v>
      </c>
      <c r="DX144" s="9">
        <f>HY144*($Q144*$S144)/(1+Voorblad!$K$44)^(DX$56-Voorblad!$F$41)</f>
        <v>0</v>
      </c>
      <c r="DY144" s="9">
        <f>HZ144*($Q144*$S144)/(1+Voorblad!$K$44)^(DY$56-Voorblad!$F$41)</f>
        <v>0</v>
      </c>
      <c r="DZ144" s="9">
        <f>IA144*($Q144*$S144)/(1+Voorblad!$K$44)^(DZ$56-Voorblad!$F$41)</f>
        <v>0</v>
      </c>
      <c r="EA144" s="9">
        <f>IB144*($Q144*$S144)/(1+Voorblad!$K$44)^(EA$56-Voorblad!$F$41)</f>
        <v>0</v>
      </c>
      <c r="EB144" s="9">
        <f>IC144*($Q144*$S144)/(1+Voorblad!$K$44)^(EB$56-Voorblad!$F$41)</f>
        <v>0</v>
      </c>
      <c r="EE144" s="8">
        <v>0</v>
      </c>
      <c r="EF144" s="8">
        <f>IF(EF$56-Voorblad!$F$41&gt;Voorblad!$K$41,0,IF($U144=0,0,IF($U144&lt;1,1/$U144,IF((EF$56-Voorblad!$F$41)/$U144-SUM($EE144:EE144)=1,1,0))))</f>
        <v>0</v>
      </c>
      <c r="EG144" s="8">
        <f>IF(EG$56-Voorblad!$F$41&gt;Voorblad!$K$41,0,IF($U144=0,0,IF($U144&lt;1,1/$U144,IF((EG$56-Voorblad!$F$41)/$U144-SUM($EE144:EF144)=1,1,0))))</f>
        <v>0</v>
      </c>
      <c r="EH144" s="8">
        <f>IF(EH$56-Voorblad!$F$41&gt;Voorblad!$K$41,0,IF($U144=0,0,IF($U144&lt;1,1/$U144,IF((EH$56-Voorblad!$F$41)/$U144-SUM($EE144:EG144)=1,1,0))))</f>
        <v>0</v>
      </c>
      <c r="EI144" s="8">
        <f>IF(EI$56-Voorblad!$F$41&gt;Voorblad!$K$41,0,IF($U144=0,0,IF($U144&lt;1,1/$U144,IF((EI$56-Voorblad!$F$41)/$U144-SUM($EE144:EH144)=1,1,0))))</f>
        <v>0</v>
      </c>
      <c r="EJ144" s="8">
        <f>IF(EJ$56-Voorblad!$F$41&gt;Voorblad!$K$41,0,IF($U144=0,0,IF($U144&lt;1,1/$U144,IF((EJ$56-Voorblad!$F$41)/$U144-SUM($EE144:EI144)=1,1,0))))</f>
        <v>0</v>
      </c>
      <c r="EK144" s="8">
        <f>IF(EK$56-Voorblad!$F$41&gt;Voorblad!$K$41,0,IF($U144=0,0,IF($U144&lt;1,1/$U144,IF((EK$56-Voorblad!$F$41)/$U144-SUM($EE144:EJ144)=1,1,0))))</f>
        <v>0</v>
      </c>
      <c r="EL144" s="8">
        <f>IF(EL$56-Voorblad!$F$41&gt;Voorblad!$K$41,0,IF($U144=0,0,IF($U144&lt;1,1/$U144,IF((EL$56-Voorblad!$F$41)/$U144-SUM($EE144:EK144)=1,1,0))))</f>
        <v>0</v>
      </c>
      <c r="EM144" s="8">
        <f>IF(EM$56-Voorblad!$F$41&gt;Voorblad!$K$41,0,IF($U144=0,0,IF($U144&lt;1,1/$U144,IF((EM$56-Voorblad!$F$41)/$U144-SUM($EE144:EL144)=1,1,0))))</f>
        <v>0</v>
      </c>
      <c r="EN144" s="8">
        <f>IF(EN$56-Voorblad!$F$41&gt;Voorblad!$K$41,0,IF($U144=0,0,IF($U144&lt;1,1/$U144,IF((EN$56-Voorblad!$F$41)/$U144-SUM($EE144:EM144)=1,1,0))))</f>
        <v>0</v>
      </c>
      <c r="EO144" s="8">
        <f>IF(EO$56-Voorblad!$F$41&gt;Voorblad!$K$41,0,IF($U144=0,0,IF($U144&lt;1,1/$U144,IF((EO$56-Voorblad!$F$41)/$U144-SUM($EE144:EN144)=1,1,0))))</f>
        <v>0</v>
      </c>
      <c r="EP144" s="8">
        <f>IF(EP$56-Voorblad!$F$41&gt;Voorblad!$K$41,0,IF($U144=0,0,IF($U144&lt;1,1/$U144,IF((EP$56-Voorblad!$F$41)/$U144-SUM($EE144:EO144)=1,1,0))))</f>
        <v>0</v>
      </c>
      <c r="EQ144" s="8">
        <f>IF(EQ$56-Voorblad!$F$41&gt;Voorblad!$K$41,0,IF($U144=0,0,IF($U144&lt;1,1/$U144,IF((EQ$56-Voorblad!$F$41)/$U144-SUM($EE144:EP144)=1,1,0))))</f>
        <v>0</v>
      </c>
      <c r="ER144" s="8">
        <f>IF(ER$56-Voorblad!$F$41&gt;Voorblad!$K$41,0,IF($U144=0,0,IF($U144&lt;1,1/$U144,IF((ER$56-Voorblad!$F$41)/$U144-SUM($EE144:EQ144)=1,1,0))))</f>
        <v>0</v>
      </c>
      <c r="ES144" s="8">
        <f>IF(ES$56-Voorblad!$F$41&gt;Voorblad!$K$41,0,IF($U144=0,0,IF($U144&lt;1,1/$U144,IF((ES$56-Voorblad!$F$41)/$U144-SUM($EE144:ER144)=1,1,0))))</f>
        <v>0</v>
      </c>
      <c r="ET144" s="8">
        <f>IF(ET$56-Voorblad!$F$41&gt;Voorblad!$K$41,0,IF($U144=0,0,IF($U144&lt;1,1/$U144,IF((ET$56-Voorblad!$F$41)/$U144-SUM($EE144:ES144)=1,1,0))))</f>
        <v>0</v>
      </c>
      <c r="EU144" s="8">
        <f>IF(EU$56-Voorblad!$F$41&gt;Voorblad!$K$41,0,IF($U144=0,0,IF($U144&lt;1,1/$U144,IF((EU$56-Voorblad!$F$41)/$U144-SUM($EE144:ET144)=1,1,0))))</f>
        <v>0</v>
      </c>
      <c r="EV144" s="8">
        <f>IF(EV$56-Voorblad!$F$41&gt;Voorblad!$K$41,0,IF($U144=0,0,IF($U144&lt;1,1/$U144,IF((EV$56-Voorblad!$F$41)/$U144-SUM($EE144:EU144)=1,1,0))))</f>
        <v>0</v>
      </c>
      <c r="EW144" s="8">
        <f>IF(EW$56-Voorblad!$F$41&gt;Voorblad!$K$41,0,IF($U144=0,0,IF($U144&lt;1,1/$U144,IF((EW$56-Voorblad!$F$41)/$U144-SUM($EE144:EV144)=1,1,0))))</f>
        <v>0</v>
      </c>
      <c r="EX144" s="8">
        <f>IF(EX$56-Voorblad!$F$41&gt;Voorblad!$K$41,0,IF($U144=0,0,IF($U144&lt;1,1/$U144,IF((EX$56-Voorblad!$F$41)/$U144-SUM($EE144:EW144)=1,1,0))))</f>
        <v>0</v>
      </c>
      <c r="EY144" s="8">
        <f>IF(EY$56-Voorblad!$F$41&gt;Voorblad!$K$41,0,IF($U144=0,0,IF($U144&lt;1,1/$U144,IF((EY$56-Voorblad!$F$41)/$U144-SUM($EE144:EX144)=1,1,0))))</f>
        <v>0</v>
      </c>
      <c r="EZ144" s="8">
        <f>IF(EZ$56-Voorblad!$F$41&gt;Voorblad!$K$41,0,IF($U144=0,0,IF($U144&lt;1,1/$U144,IF((EZ$56-Voorblad!$F$41)/$U144-SUM($EE144:EY144)=1,1,0))))</f>
        <v>0</v>
      </c>
      <c r="FA144" s="8">
        <f>IF(FA$56-Voorblad!$F$41&gt;Voorblad!$K$41,0,IF($U144=0,0,IF($U144&lt;1,1/$U144,IF((FA$56-Voorblad!$F$41)/$U144-SUM($EE144:EZ144)=1,1,0))))</f>
        <v>0</v>
      </c>
      <c r="FB144" s="8">
        <f>IF(FB$56-Voorblad!$F$41&gt;Voorblad!$K$41,0,IF($U144=0,0,IF($U144&lt;1,1/$U144,IF((FB$56-Voorblad!$F$41)/$U144-SUM($EE144:FA144)=1,1,0))))</f>
        <v>0</v>
      </c>
      <c r="FC144" s="8">
        <f>IF(FC$56-Voorblad!$F$41&gt;Voorblad!$K$41,0,IF($U144=0,0,IF($U144&lt;1,1/$U144,IF((FC$56-Voorblad!$F$41)/$U144-SUM($EE144:FB144)=1,1,0))))</f>
        <v>0</v>
      </c>
      <c r="FD144" s="8">
        <f>IF(FD$56-Voorblad!$F$41&gt;Voorblad!$K$41,0,IF($U144=0,0,IF($U144&lt;1,1/$U144,IF((FD$56-Voorblad!$F$41)/$U144-SUM($EE144:FC144)=1,1,0))))</f>
        <v>0</v>
      </c>
      <c r="FE144" s="8">
        <f>IF(FE$56-Voorblad!$F$41&gt;Voorblad!$K$41,0,IF($U144=0,0,IF($U144&lt;1,1/$U144,IF((FE$56-Voorblad!$F$41)/$U144-SUM($EE144:FD144)=1,1,0))))</f>
        <v>0</v>
      </c>
      <c r="FF144" s="8">
        <f>IF(FF$56-Voorblad!$F$41&gt;Voorblad!$K$41,0,IF($U144=0,0,IF($U144&lt;1,1/$U144,IF((FF$56-Voorblad!$F$41)/$U144-SUM($EE144:FE144)=1,1,0))))</f>
        <v>0</v>
      </c>
      <c r="FG144" s="8">
        <f>IF(FG$56-Voorblad!$F$41&gt;Voorblad!$K$41,0,IF($U144=0,0,IF($U144&lt;1,1/$U144,IF((FG$56-Voorblad!$F$41)/$U144-SUM($EE144:FF144)=1,1,0))))</f>
        <v>0</v>
      </c>
      <c r="FH144" s="8">
        <f>IF(FH$56-Voorblad!$F$41&gt;Voorblad!$K$41,0,IF($U144=0,0,IF($U144&lt;1,1/$U144,IF((FH$56-Voorblad!$F$41)/$U144-SUM($EE144:FG144)=1,1,0))))</f>
        <v>0</v>
      </c>
      <c r="FI144" s="8">
        <f>IF(FI$56-Voorblad!$F$41&gt;Voorblad!$K$41,0,IF($U144=0,0,IF($U144&lt;1,1/$U144,IF((FI$56-Voorblad!$F$41)/$U144-SUM($EE144:FH144)=1,1,0))))</f>
        <v>0</v>
      </c>
      <c r="FJ144" s="8">
        <f>IF(FJ$56-Voorblad!$F$41&gt;Voorblad!$K$41,0,IF($U144=0,0,IF($U144&lt;1,1/$U144,IF((FJ$56-Voorblad!$F$41)/$U144-SUM($EE144:FI144)=1,1,0))))</f>
        <v>0</v>
      </c>
      <c r="FK144" s="8">
        <f>IF(FK$56-Voorblad!$F$41&gt;Voorblad!$K$41,0,IF($U144=0,0,IF($U144&lt;1,1/$U144,IF((FK$56-Voorblad!$F$41)/$U144-SUM($EE144:FJ144)=1,1,0))))</f>
        <v>0</v>
      </c>
      <c r="FL144" s="8">
        <f>IF(FL$56-Voorblad!$F$41&gt;Voorblad!$K$41,0,IF($U144=0,0,IF($U144&lt;1,1/$U144,IF((FL$56-Voorblad!$F$41)/$U144-SUM($EE144:FK144)=1,1,0))))</f>
        <v>0</v>
      </c>
      <c r="FM144" s="8">
        <f>IF(FM$56-Voorblad!$F$41&gt;Voorblad!$K$41,0,IF($U144=0,0,IF($U144&lt;1,1/$U144,IF((FM$56-Voorblad!$F$41)/$U144-SUM($EE144:FL144)=1,1,0))))</f>
        <v>0</v>
      </c>
      <c r="FN144" s="8">
        <f>IF(FN$56-Voorblad!$F$41&gt;Voorblad!$K$41,0,IF($U144=0,0,IF($U144&lt;1,1/$U144,IF((FN$56-Voorblad!$F$41)/$U144-SUM($EE144:FM144)=1,1,0))))</f>
        <v>0</v>
      </c>
      <c r="FO144" s="8">
        <f>IF(FO$56-Voorblad!$F$41&gt;Voorblad!$K$41,0,IF($U144=0,0,IF($U144&lt;1,1/$U144,IF((FO$56-Voorblad!$F$41)/$U144-SUM($EE144:FN144)=1,1,0))))</f>
        <v>0</v>
      </c>
      <c r="FP144" s="8">
        <f>IF(FP$56-Voorblad!$F$41&gt;Voorblad!$K$41,0,IF($U144=0,0,IF($U144&lt;1,1/$U144,IF((FP$56-Voorblad!$F$41)/$U144-SUM($EE144:FO144)=1,1,0))))</f>
        <v>0</v>
      </c>
      <c r="FQ144" s="8">
        <f>IF(FQ$56-Voorblad!$F$41&gt;Voorblad!$K$41,0,IF($U144=0,0,IF($U144&lt;1,1/$U144,IF((FQ$56-Voorblad!$F$41)/$U144-SUM($EE144:FP144)=1,1,0))))</f>
        <v>0</v>
      </c>
      <c r="FR144" s="8">
        <f>IF(FR$56-Voorblad!$F$41&gt;Voorblad!$K$41,0,IF($U144=0,0,IF($U144&lt;1,1/$U144,IF((FR$56-Voorblad!$F$41)/$U144-SUM($EE144:FQ144)=1,1,0))))</f>
        <v>0</v>
      </c>
      <c r="FS144" s="8">
        <f>IF(FS$56-Voorblad!$F$41&gt;Voorblad!$K$41,0,IF($U144=0,0,IF($U144&lt;1,1/$U144,IF((FS$56-Voorblad!$F$41)/$U144-SUM($EE144:FR144)=1,1,0))))</f>
        <v>0</v>
      </c>
      <c r="FT144" s="8">
        <f>IF(FT$56-Voorblad!$F$41&gt;Voorblad!$K$41,0,IF($U144=0,0,IF($U144&lt;1,1/$U144,IF((FT$56-Voorblad!$F$41)/$U144-SUM($EE144:FS144)=1,1,0))))</f>
        <v>0</v>
      </c>
      <c r="FU144" s="8">
        <f>IF(FU$56-Voorblad!$F$41&gt;Voorblad!$K$41,0,IF($U144=0,0,IF($U144&lt;1,1/$U144,IF((FU$56-Voorblad!$F$41)/$U144-SUM($EE144:FT144)=1,1,0))))</f>
        <v>0</v>
      </c>
      <c r="FV144" s="8">
        <f>IF(FV$56-Voorblad!$F$41&gt;Voorblad!$K$41,0,IF($U144=0,0,IF($U144&lt;1,1/$U144,IF((FV$56-Voorblad!$F$41)/$U144-SUM($EE144:FU144)=1,1,0))))</f>
        <v>0</v>
      </c>
      <c r="FW144" s="8">
        <f>IF(FW$56-Voorblad!$F$41&gt;Voorblad!$K$41,0,IF($U144=0,0,IF($U144&lt;1,1/$U144,IF((FW$56-Voorblad!$F$41)/$U144-SUM($EE144:FV144)=1,1,0))))</f>
        <v>0</v>
      </c>
      <c r="FX144" s="8">
        <f>IF(FX$56-Voorblad!$F$41&gt;Voorblad!$K$41,0,IF($U144=0,0,IF($U144&lt;1,1/$U144,IF((FX$56-Voorblad!$F$41)/$U144-SUM($EE144:FW144)=1,1,0))))</f>
        <v>0</v>
      </c>
      <c r="FY144" s="8">
        <f>IF(FY$56-Voorblad!$F$41&gt;Voorblad!$K$41,0,IF($U144=0,0,IF($U144&lt;1,1/$U144,IF((FY$56-Voorblad!$F$41)/$U144-SUM($EE144:FX144)=1,1,0))))</f>
        <v>0</v>
      </c>
      <c r="FZ144" s="8">
        <f>IF(FZ$56-Voorblad!$F$41&gt;Voorblad!$K$41,0,IF($U144=0,0,IF($U144&lt;1,1/$U144,IF((FZ$56-Voorblad!$F$41)/$U144-SUM($EE144:FY144)=1,1,0))))</f>
        <v>0</v>
      </c>
      <c r="GA144" s="8">
        <f>IF(GA$56-Voorblad!$F$41&gt;Voorblad!$K$41,0,IF($U144=0,0,IF($U144&lt;1,1/$U144,IF((GA$56-Voorblad!$F$41)/$U144-SUM($EE144:FZ144)=1,1,0))))</f>
        <v>0</v>
      </c>
      <c r="GB144" s="8">
        <f>IF(GB$56-Voorblad!$F$41&gt;Voorblad!$K$41,0,IF($U144=0,0,IF($U144&lt;1,1/$U144,IF((GB$56-Voorblad!$F$41)/$U144-SUM($EE144:GA144)=1,1,0))))</f>
        <v>0</v>
      </c>
      <c r="GC144" s="8">
        <f>IF(GC$56-Voorblad!$F$41&gt;Voorblad!$K$41,0,IF($U144=0,0,IF($U144&lt;1,1/$U144,IF((GC$56-Voorblad!$F$41)/$U144-SUM($EE144:GB144)=1,1,0))))</f>
        <v>0</v>
      </c>
      <c r="GD144" s="8">
        <f>IF(GD$56-Voorblad!$F$41&gt;Voorblad!$K$41,0,IF($U144=0,0,IF($U144&lt;1,1/$U144,IF((GD$56-Voorblad!$F$41)/$U144-SUM($EE144:GC144)=1,1,0))))</f>
        <v>1</v>
      </c>
      <c r="GE144" s="8">
        <f>IF(GE$56-Voorblad!$F$41&gt;Voorblad!$K$41,0,IF($U144=0,0,IF($U144&lt;1,1/$U144,IF((GE$56-Voorblad!$F$41)/$U144-SUM($EE144:GD144)=1,1,0))))</f>
        <v>0</v>
      </c>
      <c r="GF144" s="8">
        <f>IF(GF$56-Voorblad!$F$41&gt;Voorblad!$K$41,0,IF($U144=0,0,IF($U144&lt;1,1/$U144,IF((GF$56-Voorblad!$F$41)/$U144-SUM($EE144:GE144)=1,1,0))))</f>
        <v>0</v>
      </c>
      <c r="GG144" s="8">
        <f>IF(GG$56-Voorblad!$F$41&gt;Voorblad!$K$41,0,IF($U144=0,0,IF($U144&lt;1,1/$U144,IF((GG$56-Voorblad!$F$41)/$U144-SUM($EE144:GF144)=1,1,0))))</f>
        <v>0</v>
      </c>
      <c r="GH144" s="8">
        <f>IF(GH$56-Voorblad!$F$41&gt;Voorblad!$K$41,0,IF($U144=0,0,IF($U144&lt;1,1/$U144,IF((GH$56-Voorblad!$F$41)/$U144-SUM($EE144:GG144)=1,1,0))))</f>
        <v>0</v>
      </c>
      <c r="GI144" s="8">
        <f>IF(GI$56-Voorblad!$F$41&gt;Voorblad!$K$41,0,IF($U144=0,0,IF($U144&lt;1,1/$U144,IF((GI$56-Voorblad!$F$41)/$U144-SUM($EE144:GH144)=1,1,0))))</f>
        <v>0</v>
      </c>
      <c r="GJ144" s="8">
        <f>IF(GJ$56-Voorblad!$F$41&gt;Voorblad!$K$41,0,IF($U144=0,0,IF($U144&lt;1,1/$U144,IF((GJ$56-Voorblad!$F$41)/$U144-SUM($EE144:GI144)=1,1,0))))</f>
        <v>0</v>
      </c>
      <c r="GK144" s="8">
        <f>IF(GK$56-Voorblad!$F$41&gt;Voorblad!$K$41,0,IF($U144=0,0,IF($U144&lt;1,1/$U144,IF((GK$56-Voorblad!$F$41)/$U144-SUM($EE144:GJ144)=1,1,0))))</f>
        <v>0</v>
      </c>
      <c r="GL144" s="8">
        <f>IF(GL$56-Voorblad!$F$41&gt;Voorblad!$K$41,0,IF($U144=0,0,IF($U144&lt;1,1/$U144,IF((GL$56-Voorblad!$F$41)/$U144-SUM($EE144:GK144)=1,1,0))))</f>
        <v>0</v>
      </c>
      <c r="GM144" s="8">
        <f>IF(GM$56-Voorblad!$F$41&gt;Voorblad!$K$41,0,IF($U144=0,0,IF($U144&lt;1,1/$U144,IF((GM$56-Voorblad!$F$41)/$U144-SUM($EE144:GL144)=1,1,0))))</f>
        <v>0</v>
      </c>
      <c r="GN144" s="8">
        <f>IF(GN$56-Voorblad!$F$41&gt;Voorblad!$K$41,0,IF($U144=0,0,IF($U144&lt;1,1/$U144,IF((GN$56-Voorblad!$F$41)/$U144-SUM($EE144:GM144)=1,1,0))))</f>
        <v>0</v>
      </c>
      <c r="GO144" s="8">
        <f>IF(GO$56-Voorblad!$F$41&gt;Voorblad!$K$41,0,IF($U144=0,0,IF($U144&lt;1,1/$U144,IF((GO$56-Voorblad!$F$41)/$U144-SUM($EE144:GN144)=1,1,0))))</f>
        <v>0</v>
      </c>
      <c r="GP144" s="8">
        <f>IF(GP$56-Voorblad!$F$41&gt;Voorblad!$K$41,0,IF($U144=0,0,IF($U144&lt;1,1/$U144,IF((GP$56-Voorblad!$F$41)/$U144-SUM($EE144:GO144)=1,1,0))))</f>
        <v>0</v>
      </c>
      <c r="GQ144" s="8">
        <f>IF(GQ$56-Voorblad!$F$41&gt;Voorblad!$K$41,0,IF($U144=0,0,IF($U144&lt;1,1/$U144,IF((GQ$56-Voorblad!$F$41)/$U144-SUM($EE144:GP144)=1,1,0))))</f>
        <v>0</v>
      </c>
      <c r="GR144" s="8">
        <f>IF(GR$56-Voorblad!$F$41&gt;Voorblad!$K$41,0,IF($U144=0,0,IF($U144&lt;1,1/$U144,IF((GR$56-Voorblad!$F$41)/$U144-SUM($EE144:GQ144)=1,1,0))))</f>
        <v>0</v>
      </c>
      <c r="GS144" s="8">
        <f>IF(GS$56-Voorblad!$F$41&gt;Voorblad!$K$41,0,IF($U144=0,0,IF($U144&lt;1,1/$U144,IF((GS$56-Voorblad!$F$41)/$U144-SUM($EE144:GR144)=1,1,0))))</f>
        <v>0</v>
      </c>
      <c r="GT144" s="8">
        <f>IF(GT$56-Voorblad!$F$41&gt;Voorblad!$K$41,0,IF($U144=0,0,IF($U144&lt;1,1/$U144,IF((GT$56-Voorblad!$F$41)/$U144-SUM($EE144:GS144)=1,1,0))))</f>
        <v>0</v>
      </c>
      <c r="GU144" s="8">
        <f>IF(GU$56-Voorblad!$F$41&gt;Voorblad!$K$41,0,IF($U144=0,0,IF($U144&lt;1,1/$U144,IF((GU$56-Voorblad!$F$41)/$U144-SUM($EE144:GT144)=1,1,0))))</f>
        <v>0</v>
      </c>
      <c r="GV144" s="8">
        <f>IF(GV$56-Voorblad!$F$41&gt;Voorblad!$K$41,0,IF($U144=0,0,IF($U144&lt;1,1/$U144,IF((GV$56-Voorblad!$F$41)/$U144-SUM($EE144:GU144)=1,1,0))))</f>
        <v>0</v>
      </c>
      <c r="GW144" s="8">
        <f>IF(GW$56-Voorblad!$F$41&gt;Voorblad!$K$41,0,IF($U144=0,0,IF($U144&lt;1,1/$U144,IF((GW$56-Voorblad!$F$41)/$U144-SUM($EE144:GV144)=1,1,0))))</f>
        <v>0</v>
      </c>
      <c r="GX144" s="8">
        <f>IF(GX$56-Voorblad!$F$41&gt;Voorblad!$K$41,0,IF($U144=0,0,IF($U144&lt;1,1/$U144,IF((GX$56-Voorblad!$F$41)/$U144-SUM($EE144:GW144)=1,1,0))))</f>
        <v>0</v>
      </c>
      <c r="GY144" s="8">
        <f>IF(GY$56-Voorblad!$F$41&gt;Voorblad!$K$41,0,IF($U144=0,0,IF($U144&lt;1,1/$U144,IF((GY$56-Voorblad!$F$41)/$U144-SUM($EE144:GX144)=1,1,0))))</f>
        <v>0</v>
      </c>
      <c r="GZ144" s="8">
        <f>IF(GZ$56-Voorblad!$F$41&gt;Voorblad!$K$41,0,IF($U144=0,0,IF($U144&lt;1,1/$U144,IF((GZ$56-Voorblad!$F$41)/$U144-SUM($EE144:GY144)=1,1,0))))</f>
        <v>0</v>
      </c>
      <c r="HA144" s="8">
        <f>IF(HA$56-Voorblad!$F$41&gt;Voorblad!$K$41,0,IF($U144=0,0,IF($U144&lt;1,1/$U144,IF((HA$56-Voorblad!$F$41)/$U144-SUM($EE144:GZ144)=1,1,0))))</f>
        <v>0</v>
      </c>
      <c r="HB144" s="8">
        <f>IF(HB$56-Voorblad!$F$41&gt;Voorblad!$K$41,0,IF($U144=0,0,IF($U144&lt;1,1/$U144,IF((HB$56-Voorblad!$F$41)/$U144-SUM($EE144:HA144)=1,1,0))))</f>
        <v>0</v>
      </c>
      <c r="HC144" s="8">
        <f>IF(HC$56-Voorblad!$F$41&gt;Voorblad!$K$41,0,IF($U144=0,0,IF($U144&lt;1,1/$U144,IF((HC$56-Voorblad!$F$41)/$U144-SUM($EE144:HB144)=1,1,0))))</f>
        <v>0</v>
      </c>
      <c r="HD144" s="8">
        <f>IF(HD$56-Voorblad!$F$41&gt;Voorblad!$K$41,0,IF($U144=0,0,IF($U144&lt;1,1/$U144,IF((HD$56-Voorblad!$F$41)/$U144-SUM($EE144:HC144)=1,1,0))))</f>
        <v>0</v>
      </c>
      <c r="HE144" s="8">
        <f>IF(HE$56-Voorblad!$F$41&gt;Voorblad!$K$41,0,IF($U144=0,0,IF($U144&lt;1,1/$U144,IF((HE$56-Voorblad!$F$41)/$U144-SUM($EE144:HD144)=1,1,0))))</f>
        <v>0</v>
      </c>
      <c r="HF144" s="8">
        <f>IF(HF$56-Voorblad!$F$41&gt;Voorblad!$K$41,0,IF($U144=0,0,IF($U144&lt;1,1/$U144,IF((HF$56-Voorblad!$F$41)/$U144-SUM($EE144:HE144)=1,1,0))))</f>
        <v>0</v>
      </c>
      <c r="HG144" s="8">
        <f>IF(HG$56-Voorblad!$F$41&gt;Voorblad!$K$41,0,IF($U144=0,0,IF($U144&lt;1,1/$U144,IF((HG$56-Voorblad!$F$41)/$U144-SUM($EE144:HF144)=1,1,0))))</f>
        <v>0</v>
      </c>
      <c r="HH144" s="8">
        <f>IF(HH$56-Voorblad!$F$41&gt;Voorblad!$K$41,0,IF($U144=0,0,IF($U144&lt;1,1/$U144,IF((HH$56-Voorblad!$F$41)/$U144-SUM($EE144:HG144)=1,1,0))))</f>
        <v>0</v>
      </c>
      <c r="HI144" s="8">
        <f>IF(HI$56-Voorblad!$F$41&gt;Voorblad!$K$41,0,IF($U144=0,0,IF($U144&lt;1,1/$U144,IF((HI$56-Voorblad!$F$41)/$U144-SUM($EE144:HH144)=1,1,0))))</f>
        <v>0</v>
      </c>
      <c r="HJ144" s="8">
        <f>IF(HJ$56-Voorblad!$F$41&gt;Voorblad!$K$41,0,IF($U144=0,0,IF($U144&lt;1,1/$U144,IF((HJ$56-Voorblad!$F$41)/$U144-SUM($EE144:HI144)=1,1,0))))</f>
        <v>0</v>
      </c>
      <c r="HK144" s="8">
        <f>IF(HK$56-Voorblad!$F$41&gt;Voorblad!$K$41,0,IF($U144=0,0,IF($U144&lt;1,1/$U144,IF((HK$56-Voorblad!$F$41)/$U144-SUM($EE144:HJ144)=1,1,0))))</f>
        <v>0</v>
      </c>
      <c r="HL144" s="8">
        <f>IF(HL$56-Voorblad!$F$41&gt;Voorblad!$K$41,0,IF($U144=0,0,IF($U144&lt;1,1/$U144,IF((HL$56-Voorblad!$F$41)/$U144-SUM($EE144:HK144)=1,1,0))))</f>
        <v>0</v>
      </c>
      <c r="HM144" s="8">
        <f>IF(HM$56-Voorblad!$F$41&gt;Voorblad!$K$41,0,IF($U144=0,0,IF($U144&lt;1,1/$U144,IF((HM$56-Voorblad!$F$41)/$U144-SUM($EE144:HL144)=1,1,0))))</f>
        <v>0</v>
      </c>
      <c r="HN144" s="8">
        <f>IF(HN$56-Voorblad!$F$41&gt;Voorblad!$K$41,0,IF($U144=0,0,IF($U144&lt;1,1/$U144,IF((HN$56-Voorblad!$F$41)/$U144-SUM($EE144:HM144)=1,1,0))))</f>
        <v>0</v>
      </c>
      <c r="HO144" s="8">
        <f>IF(HO$56-Voorblad!$F$41&gt;Voorblad!$K$41,0,IF($U144=0,0,IF($U144&lt;1,1/$U144,IF((HO$56-Voorblad!$F$41)/$U144-SUM($EE144:HN144)=1,1,0))))</f>
        <v>0</v>
      </c>
      <c r="HP144" s="8">
        <f>IF(HP$56-Voorblad!$F$41&gt;Voorblad!$K$41,0,IF($U144=0,0,IF($U144&lt;1,1/$U144,IF((HP$56-Voorblad!$F$41)/$U144-SUM($EE144:HO144)=1,1,0))))</f>
        <v>0</v>
      </c>
      <c r="HQ144" s="8">
        <f>IF(HQ$56-Voorblad!$F$41&gt;Voorblad!$K$41,0,IF($U144=0,0,IF($U144&lt;1,1/$U144,IF((HQ$56-Voorblad!$F$41)/$U144-SUM($EE144:HP144)=1,1,0))))</f>
        <v>0</v>
      </c>
      <c r="HR144" s="8">
        <f>IF(HR$56-Voorblad!$F$41&gt;Voorblad!$K$41,0,IF($U144=0,0,IF($U144&lt;1,1/$U144,IF((HR$56-Voorblad!$F$41)/$U144-SUM($EE144:HQ144)=1,1,0))))</f>
        <v>0</v>
      </c>
      <c r="HS144" s="8">
        <f>IF(HS$56-Voorblad!$F$41&gt;Voorblad!$K$41,0,IF($U144=0,0,IF($U144&lt;1,1/$U144,IF((HS$56-Voorblad!$F$41)/$U144-SUM($EE144:HR144)=1,1,0))))</f>
        <v>0</v>
      </c>
      <c r="HT144" s="8">
        <f>IF(HT$56-Voorblad!$F$41&gt;Voorblad!$K$41,0,IF($U144=0,0,IF($U144&lt;1,1/$U144,IF((HT$56-Voorblad!$F$41)/$U144-SUM($EE144:HS144)=1,1,0))))</f>
        <v>0</v>
      </c>
      <c r="HU144" s="8">
        <f>IF(HU$56-Voorblad!$F$41&gt;Voorblad!$K$41,0,IF($U144=0,0,IF($U144&lt;1,1/$U144,IF((HU$56-Voorblad!$F$41)/$U144-SUM($EE144:HT144)=1,1,0))))</f>
        <v>0</v>
      </c>
      <c r="HV144" s="8">
        <f>IF(HV$56-Voorblad!$F$41&gt;Voorblad!$K$41,0,IF($U144=0,0,IF($U144&lt;1,1/$U144,IF((HV$56-Voorblad!$F$41)/$U144-SUM($EE144:HU144)=1,1,0))))</f>
        <v>0</v>
      </c>
      <c r="HW144" s="8">
        <f>IF(HW$56-Voorblad!$F$41&gt;Voorblad!$K$41,0,IF($U144=0,0,IF($U144&lt;1,1/$U144,IF((HW$56-Voorblad!$F$41)/$U144-SUM($EE144:HV144)=1,1,0))))</f>
        <v>0</v>
      </c>
      <c r="HX144" s="8">
        <f>IF(HX$56-Voorblad!$F$41&gt;Voorblad!$K$41,0,IF($U144=0,0,IF($U144&lt;1,1/$U144,IF((HX$56-Voorblad!$F$41)/$U144-SUM($EE144:HW144)=1,1,0))))</f>
        <v>0</v>
      </c>
      <c r="HY144" s="8">
        <f>IF(HY$56-Voorblad!$F$41&gt;Voorblad!$K$41,0,IF($U144=0,0,IF($U144&lt;1,1/$U144,IF((HY$56-Voorblad!$F$41)/$U144-SUM($EE144:HX144)=1,1,0))))</f>
        <v>0</v>
      </c>
      <c r="HZ144" s="8">
        <f>IF(HZ$56-Voorblad!$F$41&gt;Voorblad!$K$41,0,IF($U144=0,0,IF($U144&lt;1,1/$U144,IF((HZ$56-Voorblad!$F$41)/$U144-SUM($EE144:HY144)=1,1,0))))</f>
        <v>0</v>
      </c>
      <c r="IA144" s="8">
        <f>IF(IA$56-Voorblad!$F$41&gt;Voorblad!$K$41,0,IF($U144=0,0,IF($U144&lt;1,1/$U144,IF((IA$56-Voorblad!$F$41)/$U144-SUM($EE144:HZ144)=1,1,0))))</f>
        <v>0</v>
      </c>
      <c r="IB144" s="8">
        <f>IF(IB$56-Voorblad!$F$41&gt;Voorblad!$K$41,0,IF($U144=0,0,IF($U144&lt;1,1/$U144,IF((IB$56-Voorblad!$F$41)/$U144-SUM($EE144:IA144)=1,1,0))))</f>
        <v>0</v>
      </c>
    </row>
    <row r="145" spans="2:236" outlineLevel="1" x14ac:dyDescent="0.25">
      <c r="B145" s="1">
        <v>1</v>
      </c>
      <c r="F145" s="1" t="s">
        <v>23</v>
      </c>
      <c r="I145" s="1" t="s">
        <v>49</v>
      </c>
      <c r="K145" s="1" t="s">
        <v>135</v>
      </c>
      <c r="O145" s="1" t="s">
        <v>77</v>
      </c>
      <c r="Q145" s="81">
        <v>0</v>
      </c>
      <c r="R145" s="1" t="s">
        <v>34</v>
      </c>
      <c r="S145" s="14">
        <f>$H$10*700</f>
        <v>1666</v>
      </c>
      <c r="T145" s="9">
        <f t="shared" si="104"/>
        <v>0</v>
      </c>
      <c r="U145" s="14">
        <v>50</v>
      </c>
      <c r="V145" s="14"/>
      <c r="Y145" s="9">
        <f>SUM(AE145:EB145)</f>
        <v>0</v>
      </c>
      <c r="Z145" s="82"/>
      <c r="AA145" s="82"/>
      <c r="AC145" s="9">
        <f>$Y145*(Voorblad!$K$44*(1+Voorblad!$K$44)^Voorblad!$K$41)/((1+Voorblad!$K$44)^Voorblad!$K$41-1)</f>
        <v>0</v>
      </c>
      <c r="AE145" s="9">
        <f>EF145*($Q145*$S145)/(1+Voorblad!$K$44)^(AE$56-Voorblad!$F$41)</f>
        <v>0</v>
      </c>
      <c r="AF145" s="9">
        <f>EG145*($Q145*$S145)/(1+Voorblad!$K$44)^(AF$56-Voorblad!$F$41)</f>
        <v>0</v>
      </c>
      <c r="AG145" s="9">
        <f>EH145*($Q145*$S145)/(1+Voorblad!$K$44)^(AG$56-Voorblad!$F$41)</f>
        <v>0</v>
      </c>
      <c r="AH145" s="9">
        <f>EI145*($Q145*$S145)/(1+Voorblad!$K$44)^(AH$56-Voorblad!$F$41)</f>
        <v>0</v>
      </c>
      <c r="AI145" s="9">
        <f>EJ145*($Q145*$S145)/(1+Voorblad!$K$44)^(AI$56-Voorblad!$F$41)</f>
        <v>0</v>
      </c>
      <c r="AJ145" s="9">
        <f>EK145*($Q145*$S145)/(1+Voorblad!$K$44)^(AJ$56-Voorblad!$F$41)</f>
        <v>0</v>
      </c>
      <c r="AK145" s="9">
        <f>EL145*($Q145*$S145)/(1+Voorblad!$K$44)^(AK$56-Voorblad!$F$41)</f>
        <v>0</v>
      </c>
      <c r="AL145" s="9">
        <f>EM145*($Q145*$S145)/(1+Voorblad!$K$44)^(AL$56-Voorblad!$F$41)</f>
        <v>0</v>
      </c>
      <c r="AM145" s="9">
        <f>EN145*($Q145*$S145)/(1+Voorblad!$K$44)^(AM$56-Voorblad!$F$41)</f>
        <v>0</v>
      </c>
      <c r="AN145" s="9">
        <f>EO145*($Q145*$S145)/(1+Voorblad!$K$44)^(AN$56-Voorblad!$F$41)</f>
        <v>0</v>
      </c>
      <c r="AO145" s="9">
        <f>EP145*($Q145*$S145)/(1+Voorblad!$K$44)^(AO$56-Voorblad!$F$41)</f>
        <v>0</v>
      </c>
      <c r="AP145" s="9">
        <f>EQ145*($Q145*$S145)/(1+Voorblad!$K$44)^(AP$56-Voorblad!$F$41)</f>
        <v>0</v>
      </c>
      <c r="AQ145" s="9">
        <f>ER145*($Q145*$S145)/(1+Voorblad!$K$44)^(AQ$56-Voorblad!$F$41)</f>
        <v>0</v>
      </c>
      <c r="AR145" s="9">
        <f>ES145*($Q145*$S145)/(1+Voorblad!$K$44)^(AR$56-Voorblad!$F$41)</f>
        <v>0</v>
      </c>
      <c r="AS145" s="9">
        <f>ET145*($Q145*$S145)/(1+Voorblad!$K$44)^(AS$56-Voorblad!$F$41)</f>
        <v>0</v>
      </c>
      <c r="AT145" s="9">
        <f>EU145*($Q145*$S145)/(1+Voorblad!$K$44)^(AT$56-Voorblad!$F$41)</f>
        <v>0</v>
      </c>
      <c r="AU145" s="9">
        <f>EV145*($Q145*$S145)/(1+Voorblad!$K$44)^(AU$56-Voorblad!$F$41)</f>
        <v>0</v>
      </c>
      <c r="AV145" s="9">
        <f>EW145*($Q145*$S145)/(1+Voorblad!$K$44)^(AV$56-Voorblad!$F$41)</f>
        <v>0</v>
      </c>
      <c r="AW145" s="9">
        <f>EX145*($Q145*$S145)/(1+Voorblad!$K$44)^(AW$56-Voorblad!$F$41)</f>
        <v>0</v>
      </c>
      <c r="AX145" s="9">
        <f>EY145*($Q145*$S145)/(1+Voorblad!$K$44)^(AX$56-Voorblad!$F$41)</f>
        <v>0</v>
      </c>
      <c r="AY145" s="9">
        <f>EZ145*($Q145*$S145)/(1+Voorblad!$K$44)^(AY$56-Voorblad!$F$41)</f>
        <v>0</v>
      </c>
      <c r="AZ145" s="9">
        <f>FA145*($Q145*$S145)/(1+Voorblad!$K$44)^(AZ$56-Voorblad!$F$41)</f>
        <v>0</v>
      </c>
      <c r="BA145" s="9">
        <f>FB145*($Q145*$S145)/(1+Voorblad!$K$44)^(BA$56-Voorblad!$F$41)</f>
        <v>0</v>
      </c>
      <c r="BB145" s="9">
        <f>FC145*($Q145*$S145)/(1+Voorblad!$K$44)^(BB$56-Voorblad!$F$41)</f>
        <v>0</v>
      </c>
      <c r="BC145" s="9">
        <f>FD145*($Q145*$S145)/(1+Voorblad!$K$44)^(BC$56-Voorblad!$F$41)</f>
        <v>0</v>
      </c>
      <c r="BD145" s="9">
        <f>FE145*($Q145*$S145)/(1+Voorblad!$K$44)^(BD$56-Voorblad!$F$41)</f>
        <v>0</v>
      </c>
      <c r="BE145" s="9">
        <f>FF145*($Q145*$S145)/(1+Voorblad!$K$44)^(BE$56-Voorblad!$F$41)</f>
        <v>0</v>
      </c>
      <c r="BF145" s="9">
        <f>FG145*($Q145*$S145)/(1+Voorblad!$K$44)^(BF$56-Voorblad!$F$41)</f>
        <v>0</v>
      </c>
      <c r="BG145" s="9">
        <f>FH145*($Q145*$S145)/(1+Voorblad!$K$44)^(BG$56-Voorblad!$F$41)</f>
        <v>0</v>
      </c>
      <c r="BH145" s="9">
        <f>FI145*($Q145*$S145)/(1+Voorblad!$K$44)^(BH$56-Voorblad!$F$41)</f>
        <v>0</v>
      </c>
      <c r="BI145" s="9">
        <f>FJ145*($Q145*$S145)/(1+Voorblad!$K$44)^(BI$56-Voorblad!$F$41)</f>
        <v>0</v>
      </c>
      <c r="BJ145" s="9">
        <f>FK145*($Q145*$S145)/(1+Voorblad!$K$44)^(BJ$56-Voorblad!$F$41)</f>
        <v>0</v>
      </c>
      <c r="BK145" s="9">
        <f>FL145*($Q145*$S145)/(1+Voorblad!$K$44)^(BK$56-Voorblad!$F$41)</f>
        <v>0</v>
      </c>
      <c r="BL145" s="9">
        <f>FM145*($Q145*$S145)/(1+Voorblad!$K$44)^(BL$56-Voorblad!$F$41)</f>
        <v>0</v>
      </c>
      <c r="BM145" s="9">
        <f>FN145*($Q145*$S145)/(1+Voorblad!$K$44)^(BM$56-Voorblad!$F$41)</f>
        <v>0</v>
      </c>
      <c r="BN145" s="9">
        <f>FO145*($Q145*$S145)/(1+Voorblad!$K$44)^(BN$56-Voorblad!$F$41)</f>
        <v>0</v>
      </c>
      <c r="BO145" s="9">
        <f>FP145*($Q145*$S145)/(1+Voorblad!$K$44)^(BO$56-Voorblad!$F$41)</f>
        <v>0</v>
      </c>
      <c r="BP145" s="9">
        <f>FQ145*($Q145*$S145)/(1+Voorblad!$K$44)^(BP$56-Voorblad!$F$41)</f>
        <v>0</v>
      </c>
      <c r="BQ145" s="9">
        <f>FR145*($Q145*$S145)/(1+Voorblad!$K$44)^(BQ$56-Voorblad!$F$41)</f>
        <v>0</v>
      </c>
      <c r="BR145" s="9">
        <f>FS145*($Q145*$S145)/(1+Voorblad!$K$44)^(BR$56-Voorblad!$F$41)</f>
        <v>0</v>
      </c>
      <c r="BS145" s="9">
        <f>FT145*($Q145*$S145)/(1+Voorblad!$K$44)^(BS$56-Voorblad!$F$41)</f>
        <v>0</v>
      </c>
      <c r="BT145" s="9">
        <f>FU145*($Q145*$S145)/(1+Voorblad!$K$44)^(BT$56-Voorblad!$F$41)</f>
        <v>0</v>
      </c>
      <c r="BU145" s="9">
        <f>FV145*($Q145*$S145)/(1+Voorblad!$K$44)^(BU$56-Voorblad!$F$41)</f>
        <v>0</v>
      </c>
      <c r="BV145" s="9">
        <f>FW145*($Q145*$S145)/(1+Voorblad!$K$44)^(BV$56-Voorblad!$F$41)</f>
        <v>0</v>
      </c>
      <c r="BW145" s="9">
        <f>FX145*($Q145*$S145)/(1+Voorblad!$K$44)^(BW$56-Voorblad!$F$41)</f>
        <v>0</v>
      </c>
      <c r="BX145" s="9">
        <f>FY145*($Q145*$S145)/(1+Voorblad!$K$44)^(BX$56-Voorblad!$F$41)</f>
        <v>0</v>
      </c>
      <c r="BY145" s="9">
        <f>FZ145*($Q145*$S145)/(1+Voorblad!$K$44)^(BY$56-Voorblad!$F$41)</f>
        <v>0</v>
      </c>
      <c r="BZ145" s="9">
        <f>GA145*($Q145*$S145)/(1+Voorblad!$K$44)^(BZ$56-Voorblad!$F$41)</f>
        <v>0</v>
      </c>
      <c r="CA145" s="9">
        <f>GB145*($Q145*$S145)/(1+Voorblad!$K$44)^(CA$56-Voorblad!$F$41)</f>
        <v>0</v>
      </c>
      <c r="CB145" s="9">
        <f>GC145*($Q145*$S145)/(1+Voorblad!$K$44)^(CB$56-Voorblad!$F$41)</f>
        <v>0</v>
      </c>
      <c r="CC145" s="9">
        <f>GD145*($Q145*$S145)/(1+Voorblad!$K$44)^(CC$56-Voorblad!$F$41)</f>
        <v>0</v>
      </c>
      <c r="CD145" s="9">
        <f>GE145*($Q145*$S145)/(1+Voorblad!$K$44)^(CD$56-Voorblad!$F$41)</f>
        <v>0</v>
      </c>
      <c r="CE145" s="9">
        <f>GF145*($Q145*$S145)/(1+Voorblad!$K$44)^(CE$56-Voorblad!$F$41)</f>
        <v>0</v>
      </c>
      <c r="CF145" s="9">
        <f>GG145*($Q145*$S145)/(1+Voorblad!$K$44)^(CF$56-Voorblad!$F$41)</f>
        <v>0</v>
      </c>
      <c r="CG145" s="9">
        <f>GH145*($Q145*$S145)/(1+Voorblad!$K$44)^(CG$56-Voorblad!$F$41)</f>
        <v>0</v>
      </c>
      <c r="CH145" s="9">
        <f>GI145*($Q145*$S145)/(1+Voorblad!$K$44)^(CH$56-Voorblad!$F$41)</f>
        <v>0</v>
      </c>
      <c r="CI145" s="9">
        <f>GJ145*($Q145*$S145)/(1+Voorblad!$K$44)^(CI$56-Voorblad!$F$41)</f>
        <v>0</v>
      </c>
      <c r="CJ145" s="9">
        <f>GK145*($Q145*$S145)/(1+Voorblad!$K$44)^(CJ$56-Voorblad!$F$41)</f>
        <v>0</v>
      </c>
      <c r="CK145" s="9">
        <f>GL145*($Q145*$S145)/(1+Voorblad!$K$44)^(CK$56-Voorblad!$F$41)</f>
        <v>0</v>
      </c>
      <c r="CL145" s="9">
        <f>GM145*($Q145*$S145)/(1+Voorblad!$K$44)^(CL$56-Voorblad!$F$41)</f>
        <v>0</v>
      </c>
      <c r="CM145" s="9">
        <f>GN145*($Q145*$S145)/(1+Voorblad!$K$44)^(CM$56-Voorblad!$F$41)</f>
        <v>0</v>
      </c>
      <c r="CN145" s="9">
        <f>GO145*($Q145*$S145)/(1+Voorblad!$K$44)^(CN$56-Voorblad!$F$41)</f>
        <v>0</v>
      </c>
      <c r="CO145" s="9">
        <f>GP145*($Q145*$S145)/(1+Voorblad!$K$44)^(CO$56-Voorblad!$F$41)</f>
        <v>0</v>
      </c>
      <c r="CP145" s="9">
        <f>GQ145*($Q145*$S145)/(1+Voorblad!$K$44)^(CP$56-Voorblad!$F$41)</f>
        <v>0</v>
      </c>
      <c r="CQ145" s="9">
        <f>GR145*($Q145*$S145)/(1+Voorblad!$K$44)^(CQ$56-Voorblad!$F$41)</f>
        <v>0</v>
      </c>
      <c r="CR145" s="9">
        <f>GS145*($Q145*$S145)/(1+Voorblad!$K$44)^(CR$56-Voorblad!$F$41)</f>
        <v>0</v>
      </c>
      <c r="CS145" s="9">
        <f>GT145*($Q145*$S145)/(1+Voorblad!$K$44)^(CS$56-Voorblad!$F$41)</f>
        <v>0</v>
      </c>
      <c r="CT145" s="9">
        <f>GU145*($Q145*$S145)/(1+Voorblad!$K$44)^(CT$56-Voorblad!$F$41)</f>
        <v>0</v>
      </c>
      <c r="CU145" s="9">
        <f>GV145*($Q145*$S145)/(1+Voorblad!$K$44)^(CU$56-Voorblad!$F$41)</f>
        <v>0</v>
      </c>
      <c r="CV145" s="9">
        <f>GW145*($Q145*$S145)/(1+Voorblad!$K$44)^(CV$56-Voorblad!$F$41)</f>
        <v>0</v>
      </c>
      <c r="CW145" s="9">
        <f>GX145*($Q145*$S145)/(1+Voorblad!$K$44)^(CW$56-Voorblad!$F$41)</f>
        <v>0</v>
      </c>
      <c r="CX145" s="9">
        <f>GY145*($Q145*$S145)/(1+Voorblad!$K$44)^(CX$56-Voorblad!$F$41)</f>
        <v>0</v>
      </c>
      <c r="CY145" s="9">
        <f>GZ145*($Q145*$S145)/(1+Voorblad!$K$44)^(CY$56-Voorblad!$F$41)</f>
        <v>0</v>
      </c>
      <c r="CZ145" s="9">
        <f>HA145*($Q145*$S145)/(1+Voorblad!$K$44)^(CZ$56-Voorblad!$F$41)</f>
        <v>0</v>
      </c>
      <c r="DA145" s="9">
        <f>HB145*($Q145*$S145)/(1+Voorblad!$K$44)^(DA$56-Voorblad!$F$41)</f>
        <v>0</v>
      </c>
      <c r="DB145" s="9">
        <f>HC145*($Q145*$S145)/(1+Voorblad!$K$44)^(DB$56-Voorblad!$F$41)</f>
        <v>0</v>
      </c>
      <c r="DC145" s="9">
        <f>HD145*($Q145*$S145)/(1+Voorblad!$K$44)^(DC$56-Voorblad!$F$41)</f>
        <v>0</v>
      </c>
      <c r="DD145" s="9">
        <f>HE145*($Q145*$S145)/(1+Voorblad!$K$44)^(DD$56-Voorblad!$F$41)</f>
        <v>0</v>
      </c>
      <c r="DE145" s="9">
        <f>HF145*($Q145*$S145)/(1+Voorblad!$K$44)^(DE$56-Voorblad!$F$41)</f>
        <v>0</v>
      </c>
      <c r="DF145" s="9">
        <f>HG145*($Q145*$S145)/(1+Voorblad!$K$44)^(DF$56-Voorblad!$F$41)</f>
        <v>0</v>
      </c>
      <c r="DG145" s="9">
        <f>HH145*($Q145*$S145)/(1+Voorblad!$K$44)^(DG$56-Voorblad!$F$41)</f>
        <v>0</v>
      </c>
      <c r="DH145" s="9">
        <f>HI145*($Q145*$S145)/(1+Voorblad!$K$44)^(DH$56-Voorblad!$F$41)</f>
        <v>0</v>
      </c>
      <c r="DI145" s="9">
        <f>HJ145*($Q145*$S145)/(1+Voorblad!$K$44)^(DI$56-Voorblad!$F$41)</f>
        <v>0</v>
      </c>
      <c r="DJ145" s="9">
        <f>HK145*($Q145*$S145)/(1+Voorblad!$K$44)^(DJ$56-Voorblad!$F$41)</f>
        <v>0</v>
      </c>
      <c r="DK145" s="9">
        <f>HL145*($Q145*$S145)/(1+Voorblad!$K$44)^(DK$56-Voorblad!$F$41)</f>
        <v>0</v>
      </c>
      <c r="DL145" s="9">
        <f>HM145*($Q145*$S145)/(1+Voorblad!$K$44)^(DL$56-Voorblad!$F$41)</f>
        <v>0</v>
      </c>
      <c r="DM145" s="9">
        <f>HN145*($Q145*$S145)/(1+Voorblad!$K$44)^(DM$56-Voorblad!$F$41)</f>
        <v>0</v>
      </c>
      <c r="DN145" s="9">
        <f>HO145*($Q145*$S145)/(1+Voorblad!$K$44)^(DN$56-Voorblad!$F$41)</f>
        <v>0</v>
      </c>
      <c r="DO145" s="9">
        <f>HP145*($Q145*$S145)/(1+Voorblad!$K$44)^(DO$56-Voorblad!$F$41)</f>
        <v>0</v>
      </c>
      <c r="DP145" s="9">
        <f>HQ145*($Q145*$S145)/(1+Voorblad!$K$44)^(DP$56-Voorblad!$F$41)</f>
        <v>0</v>
      </c>
      <c r="DQ145" s="9">
        <f>HR145*($Q145*$S145)/(1+Voorblad!$K$44)^(DQ$56-Voorblad!$F$41)</f>
        <v>0</v>
      </c>
      <c r="DR145" s="9">
        <f>HS145*($Q145*$S145)/(1+Voorblad!$K$44)^(DR$56-Voorblad!$F$41)</f>
        <v>0</v>
      </c>
      <c r="DS145" s="9">
        <f>HT145*($Q145*$S145)/(1+Voorblad!$K$44)^(DS$56-Voorblad!$F$41)</f>
        <v>0</v>
      </c>
      <c r="DT145" s="9">
        <f>HU145*($Q145*$S145)/(1+Voorblad!$K$44)^(DT$56-Voorblad!$F$41)</f>
        <v>0</v>
      </c>
      <c r="DU145" s="9">
        <f>HV145*($Q145*$S145)/(1+Voorblad!$K$44)^(DU$56-Voorblad!$F$41)</f>
        <v>0</v>
      </c>
      <c r="DV145" s="9">
        <f>HW145*($Q145*$S145)/(1+Voorblad!$K$44)^(DV$56-Voorblad!$F$41)</f>
        <v>0</v>
      </c>
      <c r="DW145" s="9">
        <f>HX145*($Q145*$S145)/(1+Voorblad!$K$44)^(DW$56-Voorblad!$F$41)</f>
        <v>0</v>
      </c>
      <c r="DX145" s="9">
        <f>HY145*($Q145*$S145)/(1+Voorblad!$K$44)^(DX$56-Voorblad!$F$41)</f>
        <v>0</v>
      </c>
      <c r="DY145" s="9">
        <f>HZ145*($Q145*$S145)/(1+Voorblad!$K$44)^(DY$56-Voorblad!$F$41)</f>
        <v>0</v>
      </c>
      <c r="DZ145" s="9">
        <f>IA145*($Q145*$S145)/(1+Voorblad!$K$44)^(DZ$56-Voorblad!$F$41)</f>
        <v>0</v>
      </c>
      <c r="EA145" s="9">
        <f>IB145*($Q145*$S145)/(1+Voorblad!$K$44)^(EA$56-Voorblad!$F$41)</f>
        <v>0</v>
      </c>
      <c r="EB145" s="9">
        <f>IC145*($Q145*$S145)/(1+Voorblad!$K$44)^(EB$56-Voorblad!$F$41)</f>
        <v>0</v>
      </c>
      <c r="EE145" s="8">
        <v>0</v>
      </c>
      <c r="EF145" s="8">
        <f>IF(EF$56-Voorblad!$F$41&gt;Voorblad!$K$41,0,IF($U145=0,0,IF($U145&lt;1,1/$U145,IF((EF$56-Voorblad!$F$41)/$U145-SUM($EE145:EE145)=1,1,0))))</f>
        <v>0</v>
      </c>
      <c r="EG145" s="8">
        <f>IF(EG$56-Voorblad!$F$41&gt;Voorblad!$K$41,0,IF($U145=0,0,IF($U145&lt;1,1/$U145,IF((EG$56-Voorblad!$F$41)/$U145-SUM($EE145:EF145)=1,1,0))))</f>
        <v>0</v>
      </c>
      <c r="EH145" s="8">
        <f>IF(EH$56-Voorblad!$F$41&gt;Voorblad!$K$41,0,IF($U145=0,0,IF($U145&lt;1,1/$U145,IF((EH$56-Voorblad!$F$41)/$U145-SUM($EE145:EG145)=1,1,0))))</f>
        <v>0</v>
      </c>
      <c r="EI145" s="8">
        <f>IF(EI$56-Voorblad!$F$41&gt;Voorblad!$K$41,0,IF($U145=0,0,IF($U145&lt;1,1/$U145,IF((EI$56-Voorblad!$F$41)/$U145-SUM($EE145:EH145)=1,1,0))))</f>
        <v>0</v>
      </c>
      <c r="EJ145" s="8">
        <f>IF(EJ$56-Voorblad!$F$41&gt;Voorblad!$K$41,0,IF($U145=0,0,IF($U145&lt;1,1/$U145,IF((EJ$56-Voorblad!$F$41)/$U145-SUM($EE145:EI145)=1,1,0))))</f>
        <v>0</v>
      </c>
      <c r="EK145" s="8">
        <f>IF(EK$56-Voorblad!$F$41&gt;Voorblad!$K$41,0,IF($U145=0,0,IF($U145&lt;1,1/$U145,IF((EK$56-Voorblad!$F$41)/$U145-SUM($EE145:EJ145)=1,1,0))))</f>
        <v>0</v>
      </c>
      <c r="EL145" s="8">
        <f>IF(EL$56-Voorblad!$F$41&gt;Voorblad!$K$41,0,IF($U145=0,0,IF($U145&lt;1,1/$U145,IF((EL$56-Voorblad!$F$41)/$U145-SUM($EE145:EK145)=1,1,0))))</f>
        <v>0</v>
      </c>
      <c r="EM145" s="8">
        <f>IF(EM$56-Voorblad!$F$41&gt;Voorblad!$K$41,0,IF($U145=0,0,IF($U145&lt;1,1/$U145,IF((EM$56-Voorblad!$F$41)/$U145-SUM($EE145:EL145)=1,1,0))))</f>
        <v>0</v>
      </c>
      <c r="EN145" s="8">
        <f>IF(EN$56-Voorblad!$F$41&gt;Voorblad!$K$41,0,IF($U145=0,0,IF($U145&lt;1,1/$U145,IF((EN$56-Voorblad!$F$41)/$U145-SUM($EE145:EM145)=1,1,0))))</f>
        <v>0</v>
      </c>
      <c r="EO145" s="8">
        <f>IF(EO$56-Voorblad!$F$41&gt;Voorblad!$K$41,0,IF($U145=0,0,IF($U145&lt;1,1/$U145,IF((EO$56-Voorblad!$F$41)/$U145-SUM($EE145:EN145)=1,1,0))))</f>
        <v>0</v>
      </c>
      <c r="EP145" s="8">
        <f>IF(EP$56-Voorblad!$F$41&gt;Voorblad!$K$41,0,IF($U145=0,0,IF($U145&lt;1,1/$U145,IF((EP$56-Voorblad!$F$41)/$U145-SUM($EE145:EO145)=1,1,0))))</f>
        <v>0</v>
      </c>
      <c r="EQ145" s="8">
        <f>IF(EQ$56-Voorblad!$F$41&gt;Voorblad!$K$41,0,IF($U145=0,0,IF($U145&lt;1,1/$U145,IF((EQ$56-Voorblad!$F$41)/$U145-SUM($EE145:EP145)=1,1,0))))</f>
        <v>0</v>
      </c>
      <c r="ER145" s="8">
        <f>IF(ER$56-Voorblad!$F$41&gt;Voorblad!$K$41,0,IF($U145=0,0,IF($U145&lt;1,1/$U145,IF((ER$56-Voorblad!$F$41)/$U145-SUM($EE145:EQ145)=1,1,0))))</f>
        <v>0</v>
      </c>
      <c r="ES145" s="8">
        <f>IF(ES$56-Voorblad!$F$41&gt;Voorblad!$K$41,0,IF($U145=0,0,IF($U145&lt;1,1/$U145,IF((ES$56-Voorblad!$F$41)/$U145-SUM($EE145:ER145)=1,1,0))))</f>
        <v>0</v>
      </c>
      <c r="ET145" s="8">
        <f>IF(ET$56-Voorblad!$F$41&gt;Voorblad!$K$41,0,IF($U145=0,0,IF($U145&lt;1,1/$U145,IF((ET$56-Voorblad!$F$41)/$U145-SUM($EE145:ES145)=1,1,0))))</f>
        <v>0</v>
      </c>
      <c r="EU145" s="8">
        <f>IF(EU$56-Voorblad!$F$41&gt;Voorblad!$K$41,0,IF($U145=0,0,IF($U145&lt;1,1/$U145,IF((EU$56-Voorblad!$F$41)/$U145-SUM($EE145:ET145)=1,1,0))))</f>
        <v>0</v>
      </c>
      <c r="EV145" s="8">
        <f>IF(EV$56-Voorblad!$F$41&gt;Voorblad!$K$41,0,IF($U145=0,0,IF($U145&lt;1,1/$U145,IF((EV$56-Voorblad!$F$41)/$U145-SUM($EE145:EU145)=1,1,0))))</f>
        <v>0</v>
      </c>
      <c r="EW145" s="8">
        <f>IF(EW$56-Voorblad!$F$41&gt;Voorblad!$K$41,0,IF($U145=0,0,IF($U145&lt;1,1/$U145,IF((EW$56-Voorblad!$F$41)/$U145-SUM($EE145:EV145)=1,1,0))))</f>
        <v>0</v>
      </c>
      <c r="EX145" s="8">
        <f>IF(EX$56-Voorblad!$F$41&gt;Voorblad!$K$41,0,IF($U145=0,0,IF($U145&lt;1,1/$U145,IF((EX$56-Voorblad!$F$41)/$U145-SUM($EE145:EW145)=1,1,0))))</f>
        <v>0</v>
      </c>
      <c r="EY145" s="8">
        <f>IF(EY$56-Voorblad!$F$41&gt;Voorblad!$K$41,0,IF($U145=0,0,IF($U145&lt;1,1/$U145,IF((EY$56-Voorblad!$F$41)/$U145-SUM($EE145:EX145)=1,1,0))))</f>
        <v>0</v>
      </c>
      <c r="EZ145" s="8">
        <f>IF(EZ$56-Voorblad!$F$41&gt;Voorblad!$K$41,0,IF($U145=0,0,IF($U145&lt;1,1/$U145,IF((EZ$56-Voorblad!$F$41)/$U145-SUM($EE145:EY145)=1,1,0))))</f>
        <v>0</v>
      </c>
      <c r="FA145" s="8">
        <f>IF(FA$56-Voorblad!$F$41&gt;Voorblad!$K$41,0,IF($U145=0,0,IF($U145&lt;1,1/$U145,IF((FA$56-Voorblad!$F$41)/$U145-SUM($EE145:EZ145)=1,1,0))))</f>
        <v>0</v>
      </c>
      <c r="FB145" s="8">
        <f>IF(FB$56-Voorblad!$F$41&gt;Voorblad!$K$41,0,IF($U145=0,0,IF($U145&lt;1,1/$U145,IF((FB$56-Voorblad!$F$41)/$U145-SUM($EE145:FA145)=1,1,0))))</f>
        <v>0</v>
      </c>
      <c r="FC145" s="8">
        <f>IF(FC$56-Voorblad!$F$41&gt;Voorblad!$K$41,0,IF($U145=0,0,IF($U145&lt;1,1/$U145,IF((FC$56-Voorblad!$F$41)/$U145-SUM($EE145:FB145)=1,1,0))))</f>
        <v>0</v>
      </c>
      <c r="FD145" s="8">
        <f>IF(FD$56-Voorblad!$F$41&gt;Voorblad!$K$41,0,IF($U145=0,0,IF($U145&lt;1,1/$U145,IF((FD$56-Voorblad!$F$41)/$U145-SUM($EE145:FC145)=1,1,0))))</f>
        <v>0</v>
      </c>
      <c r="FE145" s="8">
        <f>IF(FE$56-Voorblad!$F$41&gt;Voorblad!$K$41,0,IF($U145=0,0,IF($U145&lt;1,1/$U145,IF((FE$56-Voorblad!$F$41)/$U145-SUM($EE145:FD145)=1,1,0))))</f>
        <v>0</v>
      </c>
      <c r="FF145" s="8">
        <f>IF(FF$56-Voorblad!$F$41&gt;Voorblad!$K$41,0,IF($U145=0,0,IF($U145&lt;1,1/$U145,IF((FF$56-Voorblad!$F$41)/$U145-SUM($EE145:FE145)=1,1,0))))</f>
        <v>0</v>
      </c>
      <c r="FG145" s="8">
        <f>IF(FG$56-Voorblad!$F$41&gt;Voorblad!$K$41,0,IF($U145=0,0,IF($U145&lt;1,1/$U145,IF((FG$56-Voorblad!$F$41)/$U145-SUM($EE145:FF145)=1,1,0))))</f>
        <v>0</v>
      </c>
      <c r="FH145" s="8">
        <f>IF(FH$56-Voorblad!$F$41&gt;Voorblad!$K$41,0,IF($U145=0,0,IF($U145&lt;1,1/$U145,IF((FH$56-Voorblad!$F$41)/$U145-SUM($EE145:FG145)=1,1,0))))</f>
        <v>0</v>
      </c>
      <c r="FI145" s="8">
        <f>IF(FI$56-Voorblad!$F$41&gt;Voorblad!$K$41,0,IF($U145=0,0,IF($U145&lt;1,1/$U145,IF((FI$56-Voorblad!$F$41)/$U145-SUM($EE145:FH145)=1,1,0))))</f>
        <v>0</v>
      </c>
      <c r="FJ145" s="8">
        <f>IF(FJ$56-Voorblad!$F$41&gt;Voorblad!$K$41,0,IF($U145=0,0,IF($U145&lt;1,1/$U145,IF((FJ$56-Voorblad!$F$41)/$U145-SUM($EE145:FI145)=1,1,0))))</f>
        <v>0</v>
      </c>
      <c r="FK145" s="8">
        <f>IF(FK$56-Voorblad!$F$41&gt;Voorblad!$K$41,0,IF($U145=0,0,IF($U145&lt;1,1/$U145,IF((FK$56-Voorblad!$F$41)/$U145-SUM($EE145:FJ145)=1,1,0))))</f>
        <v>0</v>
      </c>
      <c r="FL145" s="8">
        <f>IF(FL$56-Voorblad!$F$41&gt;Voorblad!$K$41,0,IF($U145=0,0,IF($U145&lt;1,1/$U145,IF((FL$56-Voorblad!$F$41)/$U145-SUM($EE145:FK145)=1,1,0))))</f>
        <v>0</v>
      </c>
      <c r="FM145" s="8">
        <f>IF(FM$56-Voorblad!$F$41&gt;Voorblad!$K$41,0,IF($U145=0,0,IF($U145&lt;1,1/$U145,IF((FM$56-Voorblad!$F$41)/$U145-SUM($EE145:FL145)=1,1,0))))</f>
        <v>0</v>
      </c>
      <c r="FN145" s="8">
        <f>IF(FN$56-Voorblad!$F$41&gt;Voorblad!$K$41,0,IF($U145=0,0,IF($U145&lt;1,1/$U145,IF((FN$56-Voorblad!$F$41)/$U145-SUM($EE145:FM145)=1,1,0))))</f>
        <v>0</v>
      </c>
      <c r="FO145" s="8">
        <f>IF(FO$56-Voorblad!$F$41&gt;Voorblad!$K$41,0,IF($U145=0,0,IF($U145&lt;1,1/$U145,IF((FO$56-Voorblad!$F$41)/$U145-SUM($EE145:FN145)=1,1,0))))</f>
        <v>0</v>
      </c>
      <c r="FP145" s="8">
        <f>IF(FP$56-Voorblad!$F$41&gt;Voorblad!$K$41,0,IF($U145=0,0,IF($U145&lt;1,1/$U145,IF((FP$56-Voorblad!$F$41)/$U145-SUM($EE145:FO145)=1,1,0))))</f>
        <v>0</v>
      </c>
      <c r="FQ145" s="8">
        <f>IF(FQ$56-Voorblad!$F$41&gt;Voorblad!$K$41,0,IF($U145=0,0,IF($U145&lt;1,1/$U145,IF((FQ$56-Voorblad!$F$41)/$U145-SUM($EE145:FP145)=1,1,0))))</f>
        <v>0</v>
      </c>
      <c r="FR145" s="8">
        <f>IF(FR$56-Voorblad!$F$41&gt;Voorblad!$K$41,0,IF($U145=0,0,IF($U145&lt;1,1/$U145,IF((FR$56-Voorblad!$F$41)/$U145-SUM($EE145:FQ145)=1,1,0))))</f>
        <v>0</v>
      </c>
      <c r="FS145" s="8">
        <f>IF(FS$56-Voorblad!$F$41&gt;Voorblad!$K$41,0,IF($U145=0,0,IF($U145&lt;1,1/$U145,IF((FS$56-Voorblad!$F$41)/$U145-SUM($EE145:FR145)=1,1,0))))</f>
        <v>0</v>
      </c>
      <c r="FT145" s="8">
        <f>IF(FT$56-Voorblad!$F$41&gt;Voorblad!$K$41,0,IF($U145=0,0,IF($U145&lt;1,1/$U145,IF((FT$56-Voorblad!$F$41)/$U145-SUM($EE145:FS145)=1,1,0))))</f>
        <v>0</v>
      </c>
      <c r="FU145" s="8">
        <f>IF(FU$56-Voorblad!$F$41&gt;Voorblad!$K$41,0,IF($U145=0,0,IF($U145&lt;1,1/$U145,IF((FU$56-Voorblad!$F$41)/$U145-SUM($EE145:FT145)=1,1,0))))</f>
        <v>0</v>
      </c>
      <c r="FV145" s="8">
        <f>IF(FV$56-Voorblad!$F$41&gt;Voorblad!$K$41,0,IF($U145=0,0,IF($U145&lt;1,1/$U145,IF((FV$56-Voorblad!$F$41)/$U145-SUM($EE145:FU145)=1,1,0))))</f>
        <v>0</v>
      </c>
      <c r="FW145" s="8">
        <f>IF(FW$56-Voorblad!$F$41&gt;Voorblad!$K$41,0,IF($U145=0,0,IF($U145&lt;1,1/$U145,IF((FW$56-Voorblad!$F$41)/$U145-SUM($EE145:FV145)=1,1,0))))</f>
        <v>0</v>
      </c>
      <c r="FX145" s="8">
        <f>IF(FX$56-Voorblad!$F$41&gt;Voorblad!$K$41,0,IF($U145=0,0,IF($U145&lt;1,1/$U145,IF((FX$56-Voorblad!$F$41)/$U145-SUM($EE145:FW145)=1,1,0))))</f>
        <v>0</v>
      </c>
      <c r="FY145" s="8">
        <f>IF(FY$56-Voorblad!$F$41&gt;Voorblad!$K$41,0,IF($U145=0,0,IF($U145&lt;1,1/$U145,IF((FY$56-Voorblad!$F$41)/$U145-SUM($EE145:FX145)=1,1,0))))</f>
        <v>0</v>
      </c>
      <c r="FZ145" s="8">
        <f>IF(FZ$56-Voorblad!$F$41&gt;Voorblad!$K$41,0,IF($U145=0,0,IF($U145&lt;1,1/$U145,IF((FZ$56-Voorblad!$F$41)/$U145-SUM($EE145:FY145)=1,1,0))))</f>
        <v>0</v>
      </c>
      <c r="GA145" s="8">
        <f>IF(GA$56-Voorblad!$F$41&gt;Voorblad!$K$41,0,IF($U145=0,0,IF($U145&lt;1,1/$U145,IF((GA$56-Voorblad!$F$41)/$U145-SUM($EE145:FZ145)=1,1,0))))</f>
        <v>0</v>
      </c>
      <c r="GB145" s="8">
        <f>IF(GB$56-Voorblad!$F$41&gt;Voorblad!$K$41,0,IF($U145=0,0,IF($U145&lt;1,1/$U145,IF((GB$56-Voorblad!$F$41)/$U145-SUM($EE145:GA145)=1,1,0))))</f>
        <v>0</v>
      </c>
      <c r="GC145" s="8">
        <f>IF(GC$56-Voorblad!$F$41&gt;Voorblad!$K$41,0,IF($U145=0,0,IF($U145&lt;1,1/$U145,IF((GC$56-Voorblad!$F$41)/$U145-SUM($EE145:GB145)=1,1,0))))</f>
        <v>0</v>
      </c>
      <c r="GD145" s="8">
        <f>IF(GD$56-Voorblad!$F$41&gt;Voorblad!$K$41,0,IF($U145=0,0,IF($U145&lt;1,1/$U145,IF((GD$56-Voorblad!$F$41)/$U145-SUM($EE145:GC145)=1,1,0))))</f>
        <v>1</v>
      </c>
      <c r="GE145" s="8">
        <f>IF(GE$56-Voorblad!$F$41&gt;Voorblad!$K$41,0,IF($U145=0,0,IF($U145&lt;1,1/$U145,IF((GE$56-Voorblad!$F$41)/$U145-SUM($EE145:GD145)=1,1,0))))</f>
        <v>0</v>
      </c>
      <c r="GF145" s="8">
        <f>IF(GF$56-Voorblad!$F$41&gt;Voorblad!$K$41,0,IF($U145=0,0,IF($U145&lt;1,1/$U145,IF((GF$56-Voorblad!$F$41)/$U145-SUM($EE145:GE145)=1,1,0))))</f>
        <v>0</v>
      </c>
      <c r="GG145" s="8">
        <f>IF(GG$56-Voorblad!$F$41&gt;Voorblad!$K$41,0,IF($U145=0,0,IF($U145&lt;1,1/$U145,IF((GG$56-Voorblad!$F$41)/$U145-SUM($EE145:GF145)=1,1,0))))</f>
        <v>0</v>
      </c>
      <c r="GH145" s="8">
        <f>IF(GH$56-Voorblad!$F$41&gt;Voorblad!$K$41,0,IF($U145=0,0,IF($U145&lt;1,1/$U145,IF((GH$56-Voorblad!$F$41)/$U145-SUM($EE145:GG145)=1,1,0))))</f>
        <v>0</v>
      </c>
      <c r="GI145" s="8">
        <f>IF(GI$56-Voorblad!$F$41&gt;Voorblad!$K$41,0,IF($U145=0,0,IF($U145&lt;1,1/$U145,IF((GI$56-Voorblad!$F$41)/$U145-SUM($EE145:GH145)=1,1,0))))</f>
        <v>0</v>
      </c>
      <c r="GJ145" s="8">
        <f>IF(GJ$56-Voorblad!$F$41&gt;Voorblad!$K$41,0,IF($U145=0,0,IF($U145&lt;1,1/$U145,IF((GJ$56-Voorblad!$F$41)/$U145-SUM($EE145:GI145)=1,1,0))))</f>
        <v>0</v>
      </c>
      <c r="GK145" s="8">
        <f>IF(GK$56-Voorblad!$F$41&gt;Voorblad!$K$41,0,IF($U145=0,0,IF($U145&lt;1,1/$U145,IF((GK$56-Voorblad!$F$41)/$U145-SUM($EE145:GJ145)=1,1,0))))</f>
        <v>0</v>
      </c>
      <c r="GL145" s="8">
        <f>IF(GL$56-Voorblad!$F$41&gt;Voorblad!$K$41,0,IF($U145=0,0,IF($U145&lt;1,1/$U145,IF((GL$56-Voorblad!$F$41)/$U145-SUM($EE145:GK145)=1,1,0))))</f>
        <v>0</v>
      </c>
      <c r="GM145" s="8">
        <f>IF(GM$56-Voorblad!$F$41&gt;Voorblad!$K$41,0,IF($U145=0,0,IF($U145&lt;1,1/$U145,IF((GM$56-Voorblad!$F$41)/$U145-SUM($EE145:GL145)=1,1,0))))</f>
        <v>0</v>
      </c>
      <c r="GN145" s="8">
        <f>IF(GN$56-Voorblad!$F$41&gt;Voorblad!$K$41,0,IF($U145=0,0,IF($U145&lt;1,1/$U145,IF((GN$56-Voorblad!$F$41)/$U145-SUM($EE145:GM145)=1,1,0))))</f>
        <v>0</v>
      </c>
      <c r="GO145" s="8">
        <f>IF(GO$56-Voorblad!$F$41&gt;Voorblad!$K$41,0,IF($U145=0,0,IF($U145&lt;1,1/$U145,IF((GO$56-Voorblad!$F$41)/$U145-SUM($EE145:GN145)=1,1,0))))</f>
        <v>0</v>
      </c>
      <c r="GP145" s="8">
        <f>IF(GP$56-Voorblad!$F$41&gt;Voorblad!$K$41,0,IF($U145=0,0,IF($U145&lt;1,1/$U145,IF((GP$56-Voorblad!$F$41)/$U145-SUM($EE145:GO145)=1,1,0))))</f>
        <v>0</v>
      </c>
      <c r="GQ145" s="8">
        <f>IF(GQ$56-Voorblad!$F$41&gt;Voorblad!$K$41,0,IF($U145=0,0,IF($U145&lt;1,1/$U145,IF((GQ$56-Voorblad!$F$41)/$U145-SUM($EE145:GP145)=1,1,0))))</f>
        <v>0</v>
      </c>
      <c r="GR145" s="8">
        <f>IF(GR$56-Voorblad!$F$41&gt;Voorblad!$K$41,0,IF($U145=0,0,IF($U145&lt;1,1/$U145,IF((GR$56-Voorblad!$F$41)/$U145-SUM($EE145:GQ145)=1,1,0))))</f>
        <v>0</v>
      </c>
      <c r="GS145" s="8">
        <f>IF(GS$56-Voorblad!$F$41&gt;Voorblad!$K$41,0,IF($U145=0,0,IF($U145&lt;1,1/$U145,IF((GS$56-Voorblad!$F$41)/$U145-SUM($EE145:GR145)=1,1,0))))</f>
        <v>0</v>
      </c>
      <c r="GT145" s="8">
        <f>IF(GT$56-Voorblad!$F$41&gt;Voorblad!$K$41,0,IF($U145=0,0,IF($U145&lt;1,1/$U145,IF((GT$56-Voorblad!$F$41)/$U145-SUM($EE145:GS145)=1,1,0))))</f>
        <v>0</v>
      </c>
      <c r="GU145" s="8">
        <f>IF(GU$56-Voorblad!$F$41&gt;Voorblad!$K$41,0,IF($U145=0,0,IF($U145&lt;1,1/$U145,IF((GU$56-Voorblad!$F$41)/$U145-SUM($EE145:GT145)=1,1,0))))</f>
        <v>0</v>
      </c>
      <c r="GV145" s="8">
        <f>IF(GV$56-Voorblad!$F$41&gt;Voorblad!$K$41,0,IF($U145=0,0,IF($U145&lt;1,1/$U145,IF((GV$56-Voorblad!$F$41)/$U145-SUM($EE145:GU145)=1,1,0))))</f>
        <v>0</v>
      </c>
      <c r="GW145" s="8">
        <f>IF(GW$56-Voorblad!$F$41&gt;Voorblad!$K$41,0,IF($U145=0,0,IF($U145&lt;1,1/$U145,IF((GW$56-Voorblad!$F$41)/$U145-SUM($EE145:GV145)=1,1,0))))</f>
        <v>0</v>
      </c>
      <c r="GX145" s="8">
        <f>IF(GX$56-Voorblad!$F$41&gt;Voorblad!$K$41,0,IF($U145=0,0,IF($U145&lt;1,1/$U145,IF((GX$56-Voorblad!$F$41)/$U145-SUM($EE145:GW145)=1,1,0))))</f>
        <v>0</v>
      </c>
      <c r="GY145" s="8">
        <f>IF(GY$56-Voorblad!$F$41&gt;Voorblad!$K$41,0,IF($U145=0,0,IF($U145&lt;1,1/$U145,IF((GY$56-Voorblad!$F$41)/$U145-SUM($EE145:GX145)=1,1,0))))</f>
        <v>0</v>
      </c>
      <c r="GZ145" s="8">
        <f>IF(GZ$56-Voorblad!$F$41&gt;Voorblad!$K$41,0,IF($U145=0,0,IF($U145&lt;1,1/$U145,IF((GZ$56-Voorblad!$F$41)/$U145-SUM($EE145:GY145)=1,1,0))))</f>
        <v>0</v>
      </c>
      <c r="HA145" s="8">
        <f>IF(HA$56-Voorblad!$F$41&gt;Voorblad!$K$41,0,IF($U145=0,0,IF($U145&lt;1,1/$U145,IF((HA$56-Voorblad!$F$41)/$U145-SUM($EE145:GZ145)=1,1,0))))</f>
        <v>0</v>
      </c>
      <c r="HB145" s="8">
        <f>IF(HB$56-Voorblad!$F$41&gt;Voorblad!$K$41,0,IF($U145=0,0,IF($U145&lt;1,1/$U145,IF((HB$56-Voorblad!$F$41)/$U145-SUM($EE145:HA145)=1,1,0))))</f>
        <v>0</v>
      </c>
      <c r="HC145" s="8">
        <f>IF(HC$56-Voorblad!$F$41&gt;Voorblad!$K$41,0,IF($U145=0,0,IF($U145&lt;1,1/$U145,IF((HC$56-Voorblad!$F$41)/$U145-SUM($EE145:HB145)=1,1,0))))</f>
        <v>0</v>
      </c>
      <c r="HD145" s="8">
        <f>IF(HD$56-Voorblad!$F$41&gt;Voorblad!$K$41,0,IF($U145=0,0,IF($U145&lt;1,1/$U145,IF((HD$56-Voorblad!$F$41)/$U145-SUM($EE145:HC145)=1,1,0))))</f>
        <v>0</v>
      </c>
      <c r="HE145" s="8">
        <f>IF(HE$56-Voorblad!$F$41&gt;Voorblad!$K$41,0,IF($U145=0,0,IF($U145&lt;1,1/$U145,IF((HE$56-Voorblad!$F$41)/$U145-SUM($EE145:HD145)=1,1,0))))</f>
        <v>0</v>
      </c>
      <c r="HF145" s="8">
        <f>IF(HF$56-Voorblad!$F$41&gt;Voorblad!$K$41,0,IF($U145=0,0,IF($U145&lt;1,1/$U145,IF((HF$56-Voorblad!$F$41)/$U145-SUM($EE145:HE145)=1,1,0))))</f>
        <v>0</v>
      </c>
      <c r="HG145" s="8">
        <f>IF(HG$56-Voorblad!$F$41&gt;Voorblad!$K$41,0,IF($U145=0,0,IF($U145&lt;1,1/$U145,IF((HG$56-Voorblad!$F$41)/$U145-SUM($EE145:HF145)=1,1,0))))</f>
        <v>0</v>
      </c>
      <c r="HH145" s="8">
        <f>IF(HH$56-Voorblad!$F$41&gt;Voorblad!$K$41,0,IF($U145=0,0,IF($U145&lt;1,1/$U145,IF((HH$56-Voorblad!$F$41)/$U145-SUM($EE145:HG145)=1,1,0))))</f>
        <v>0</v>
      </c>
      <c r="HI145" s="8">
        <f>IF(HI$56-Voorblad!$F$41&gt;Voorblad!$K$41,0,IF($U145=0,0,IF($U145&lt;1,1/$U145,IF((HI$56-Voorblad!$F$41)/$U145-SUM($EE145:HH145)=1,1,0))))</f>
        <v>0</v>
      </c>
      <c r="HJ145" s="8">
        <f>IF(HJ$56-Voorblad!$F$41&gt;Voorblad!$K$41,0,IF($U145=0,0,IF($U145&lt;1,1/$U145,IF((HJ$56-Voorblad!$F$41)/$U145-SUM($EE145:HI145)=1,1,0))))</f>
        <v>0</v>
      </c>
      <c r="HK145" s="8">
        <f>IF(HK$56-Voorblad!$F$41&gt;Voorblad!$K$41,0,IF($U145=0,0,IF($U145&lt;1,1/$U145,IF((HK$56-Voorblad!$F$41)/$U145-SUM($EE145:HJ145)=1,1,0))))</f>
        <v>0</v>
      </c>
      <c r="HL145" s="8">
        <f>IF(HL$56-Voorblad!$F$41&gt;Voorblad!$K$41,0,IF($U145=0,0,IF($U145&lt;1,1/$U145,IF((HL$56-Voorblad!$F$41)/$U145-SUM($EE145:HK145)=1,1,0))))</f>
        <v>0</v>
      </c>
      <c r="HM145" s="8">
        <f>IF(HM$56-Voorblad!$F$41&gt;Voorblad!$K$41,0,IF($U145=0,0,IF($U145&lt;1,1/$U145,IF((HM$56-Voorblad!$F$41)/$U145-SUM($EE145:HL145)=1,1,0))))</f>
        <v>0</v>
      </c>
      <c r="HN145" s="8">
        <f>IF(HN$56-Voorblad!$F$41&gt;Voorblad!$K$41,0,IF($U145=0,0,IF($U145&lt;1,1/$U145,IF((HN$56-Voorblad!$F$41)/$U145-SUM($EE145:HM145)=1,1,0))))</f>
        <v>0</v>
      </c>
      <c r="HO145" s="8">
        <f>IF(HO$56-Voorblad!$F$41&gt;Voorblad!$K$41,0,IF($U145=0,0,IF($U145&lt;1,1/$U145,IF((HO$56-Voorblad!$F$41)/$U145-SUM($EE145:HN145)=1,1,0))))</f>
        <v>0</v>
      </c>
      <c r="HP145" s="8">
        <f>IF(HP$56-Voorblad!$F$41&gt;Voorblad!$K$41,0,IF($U145=0,0,IF($U145&lt;1,1/$U145,IF((HP$56-Voorblad!$F$41)/$U145-SUM($EE145:HO145)=1,1,0))))</f>
        <v>0</v>
      </c>
      <c r="HQ145" s="8">
        <f>IF(HQ$56-Voorblad!$F$41&gt;Voorblad!$K$41,0,IF($U145=0,0,IF($U145&lt;1,1/$U145,IF((HQ$56-Voorblad!$F$41)/$U145-SUM($EE145:HP145)=1,1,0))))</f>
        <v>0</v>
      </c>
      <c r="HR145" s="8">
        <f>IF(HR$56-Voorblad!$F$41&gt;Voorblad!$K$41,0,IF($U145=0,0,IF($U145&lt;1,1/$U145,IF((HR$56-Voorblad!$F$41)/$U145-SUM($EE145:HQ145)=1,1,0))))</f>
        <v>0</v>
      </c>
      <c r="HS145" s="8">
        <f>IF(HS$56-Voorblad!$F$41&gt;Voorblad!$K$41,0,IF($U145=0,0,IF($U145&lt;1,1/$U145,IF((HS$56-Voorblad!$F$41)/$U145-SUM($EE145:HR145)=1,1,0))))</f>
        <v>0</v>
      </c>
      <c r="HT145" s="8">
        <f>IF(HT$56-Voorblad!$F$41&gt;Voorblad!$K$41,0,IF($U145=0,0,IF($U145&lt;1,1/$U145,IF((HT$56-Voorblad!$F$41)/$U145-SUM($EE145:HS145)=1,1,0))))</f>
        <v>0</v>
      </c>
      <c r="HU145" s="8">
        <f>IF(HU$56-Voorblad!$F$41&gt;Voorblad!$K$41,0,IF($U145=0,0,IF($U145&lt;1,1/$U145,IF((HU$56-Voorblad!$F$41)/$U145-SUM($EE145:HT145)=1,1,0))))</f>
        <v>0</v>
      </c>
      <c r="HV145" s="8">
        <f>IF(HV$56-Voorblad!$F$41&gt;Voorblad!$K$41,0,IF($U145=0,0,IF($U145&lt;1,1/$U145,IF((HV$56-Voorblad!$F$41)/$U145-SUM($EE145:HU145)=1,1,0))))</f>
        <v>0</v>
      </c>
      <c r="HW145" s="8">
        <f>IF(HW$56-Voorblad!$F$41&gt;Voorblad!$K$41,0,IF($U145=0,0,IF($U145&lt;1,1/$U145,IF((HW$56-Voorblad!$F$41)/$U145-SUM($EE145:HV145)=1,1,0))))</f>
        <v>0</v>
      </c>
      <c r="HX145" s="8">
        <f>IF(HX$56-Voorblad!$F$41&gt;Voorblad!$K$41,0,IF($U145=0,0,IF($U145&lt;1,1/$U145,IF((HX$56-Voorblad!$F$41)/$U145-SUM($EE145:HW145)=1,1,0))))</f>
        <v>0</v>
      </c>
      <c r="HY145" s="8">
        <f>IF(HY$56-Voorblad!$F$41&gt;Voorblad!$K$41,0,IF($U145=0,0,IF($U145&lt;1,1/$U145,IF((HY$56-Voorblad!$F$41)/$U145-SUM($EE145:HX145)=1,1,0))))</f>
        <v>0</v>
      </c>
      <c r="HZ145" s="8">
        <f>IF(HZ$56-Voorblad!$F$41&gt;Voorblad!$K$41,0,IF($U145=0,0,IF($U145&lt;1,1/$U145,IF((HZ$56-Voorblad!$F$41)/$U145-SUM($EE145:HY145)=1,1,0))))</f>
        <v>0</v>
      </c>
      <c r="IA145" s="8">
        <f>IF(IA$56-Voorblad!$F$41&gt;Voorblad!$K$41,0,IF($U145=0,0,IF($U145&lt;1,1/$U145,IF((IA$56-Voorblad!$F$41)/$U145-SUM($EE145:HZ145)=1,1,0))))</f>
        <v>0</v>
      </c>
      <c r="IB145" s="8">
        <f>IF(IB$56-Voorblad!$F$41&gt;Voorblad!$K$41,0,IF($U145=0,0,IF($U145&lt;1,1/$U145,IF((IB$56-Voorblad!$F$41)/$U145-SUM($EE145:IA145)=1,1,0))))</f>
        <v>0</v>
      </c>
    </row>
    <row r="146" spans="2:236" outlineLevel="1" x14ac:dyDescent="0.25">
      <c r="B146" s="1">
        <v>1</v>
      </c>
      <c r="F146" s="1" t="s">
        <v>23</v>
      </c>
      <c r="I146" s="1" t="s">
        <v>48</v>
      </c>
      <c r="K146" s="148" t="s">
        <v>195</v>
      </c>
      <c r="Q146" s="84">
        <f>2*8.43</f>
        <v>16.86</v>
      </c>
      <c r="R146" s="147" t="s">
        <v>196</v>
      </c>
      <c r="S146" s="14">
        <f>$H$10*500</f>
        <v>1190</v>
      </c>
      <c r="T146" s="9">
        <f t="shared" si="104"/>
        <v>20063.399999999998</v>
      </c>
      <c r="U146" s="14">
        <v>50</v>
      </c>
      <c r="V146" s="14"/>
      <c r="Y146" s="9">
        <f>SUM(AE146:EB146)</f>
        <v>5837.289895715171</v>
      </c>
      <c r="Z146" s="82"/>
      <c r="AA146" s="82"/>
      <c r="AC146" s="229">
        <f>$Y146*(Voorblad!$K$44*(1+Voorblad!$K$44)^Voorblad!$K$41)/((1+Voorblad!$K$44)^Voorblad!$K$41-1)</f>
        <v>174.74323915027449</v>
      </c>
      <c r="AE146" s="9">
        <f>EF146*($Q146*$S146)/(1+Voorblad!$K$44)^(AE$56-Voorblad!$F$41)</f>
        <v>0</v>
      </c>
      <c r="AF146" s="9">
        <f>EG146*($Q146*$S146)/(1+Voorblad!$K$44)^(AF$56-Voorblad!$F$41)</f>
        <v>0</v>
      </c>
      <c r="AG146" s="9">
        <f>EH146*($Q146*$S146)/(1+Voorblad!$K$44)^(AG$56-Voorblad!$F$41)</f>
        <v>0</v>
      </c>
      <c r="AH146" s="9">
        <f>EI146*($Q146*$S146)/(1+Voorblad!$K$44)^(AH$56-Voorblad!$F$41)</f>
        <v>0</v>
      </c>
      <c r="AI146" s="9">
        <f>EJ146*($Q146*$S146)/(1+Voorblad!$K$44)^(AI$56-Voorblad!$F$41)</f>
        <v>0</v>
      </c>
      <c r="AJ146" s="9">
        <f>EK146*($Q146*$S146)/(1+Voorblad!$K$44)^(AJ$56-Voorblad!$F$41)</f>
        <v>0</v>
      </c>
      <c r="AK146" s="9">
        <f>EL146*($Q146*$S146)/(1+Voorblad!$K$44)^(AK$56-Voorblad!$F$41)</f>
        <v>0</v>
      </c>
      <c r="AL146" s="9">
        <f>EM146*($Q146*$S146)/(1+Voorblad!$K$44)^(AL$56-Voorblad!$F$41)</f>
        <v>0</v>
      </c>
      <c r="AM146" s="9">
        <f>EN146*($Q146*$S146)/(1+Voorblad!$K$44)^(AM$56-Voorblad!$F$41)</f>
        <v>0</v>
      </c>
      <c r="AN146" s="9">
        <f>EO146*($Q146*$S146)/(1+Voorblad!$K$44)^(AN$56-Voorblad!$F$41)</f>
        <v>0</v>
      </c>
      <c r="AO146" s="9">
        <f>EP146*($Q146*$S146)/(1+Voorblad!$K$44)^(AO$56-Voorblad!$F$41)</f>
        <v>0</v>
      </c>
      <c r="AP146" s="9">
        <f>EQ146*($Q146*$S146)/(1+Voorblad!$K$44)^(AP$56-Voorblad!$F$41)</f>
        <v>0</v>
      </c>
      <c r="AQ146" s="9">
        <f>ER146*($Q146*$S146)/(1+Voorblad!$K$44)^(AQ$56-Voorblad!$F$41)</f>
        <v>0</v>
      </c>
      <c r="AR146" s="9">
        <f>ES146*($Q146*$S146)/(1+Voorblad!$K$44)^(AR$56-Voorblad!$F$41)</f>
        <v>0</v>
      </c>
      <c r="AS146" s="9">
        <f>ET146*($Q146*$S146)/(1+Voorblad!$K$44)^(AS$56-Voorblad!$F$41)</f>
        <v>0</v>
      </c>
      <c r="AT146" s="9">
        <f>EU146*($Q146*$S146)/(1+Voorblad!$K$44)^(AT$56-Voorblad!$F$41)</f>
        <v>0</v>
      </c>
      <c r="AU146" s="9">
        <f>EV146*($Q146*$S146)/(1+Voorblad!$K$44)^(AU$56-Voorblad!$F$41)</f>
        <v>0</v>
      </c>
      <c r="AV146" s="9">
        <f>EW146*($Q146*$S146)/(1+Voorblad!$K$44)^(AV$56-Voorblad!$F$41)</f>
        <v>0</v>
      </c>
      <c r="AW146" s="9">
        <f>EX146*($Q146*$S146)/(1+Voorblad!$K$44)^(AW$56-Voorblad!$F$41)</f>
        <v>0</v>
      </c>
      <c r="AX146" s="9">
        <f>EY146*($Q146*$S146)/(1+Voorblad!$K$44)^(AX$56-Voorblad!$F$41)</f>
        <v>0</v>
      </c>
      <c r="AY146" s="9">
        <f>EZ146*($Q146*$S146)/(1+Voorblad!$K$44)^(AY$56-Voorblad!$F$41)</f>
        <v>0</v>
      </c>
      <c r="AZ146" s="9">
        <f>FA146*($Q146*$S146)/(1+Voorblad!$K$44)^(AZ$56-Voorblad!$F$41)</f>
        <v>0</v>
      </c>
      <c r="BA146" s="9">
        <f>FB146*($Q146*$S146)/(1+Voorblad!$K$44)^(BA$56-Voorblad!$F$41)</f>
        <v>0</v>
      </c>
      <c r="BB146" s="9">
        <f>FC146*($Q146*$S146)/(1+Voorblad!$K$44)^(BB$56-Voorblad!$F$41)</f>
        <v>0</v>
      </c>
      <c r="BC146" s="9">
        <f>FD146*($Q146*$S146)/(1+Voorblad!$K$44)^(BC$56-Voorblad!$F$41)</f>
        <v>0</v>
      </c>
      <c r="BD146" s="9">
        <f>FE146*($Q146*$S146)/(1+Voorblad!$K$44)^(BD$56-Voorblad!$F$41)</f>
        <v>0</v>
      </c>
      <c r="BE146" s="9">
        <f>FF146*($Q146*$S146)/(1+Voorblad!$K$44)^(BE$56-Voorblad!$F$41)</f>
        <v>0</v>
      </c>
      <c r="BF146" s="9">
        <f>FG146*($Q146*$S146)/(1+Voorblad!$K$44)^(BF$56-Voorblad!$F$41)</f>
        <v>0</v>
      </c>
      <c r="BG146" s="9">
        <f>FH146*($Q146*$S146)/(1+Voorblad!$K$44)^(BG$56-Voorblad!$F$41)</f>
        <v>0</v>
      </c>
      <c r="BH146" s="9">
        <f>FI146*($Q146*$S146)/(1+Voorblad!$K$44)^(BH$56-Voorblad!$F$41)</f>
        <v>0</v>
      </c>
      <c r="BI146" s="9">
        <f>FJ146*($Q146*$S146)/(1+Voorblad!$K$44)^(BI$56-Voorblad!$F$41)</f>
        <v>0</v>
      </c>
      <c r="BJ146" s="9">
        <f>FK146*($Q146*$S146)/(1+Voorblad!$K$44)^(BJ$56-Voorblad!$F$41)</f>
        <v>0</v>
      </c>
      <c r="BK146" s="9">
        <f>FL146*($Q146*$S146)/(1+Voorblad!$K$44)^(BK$56-Voorblad!$F$41)</f>
        <v>0</v>
      </c>
      <c r="BL146" s="9">
        <f>FM146*($Q146*$S146)/(1+Voorblad!$K$44)^(BL$56-Voorblad!$F$41)</f>
        <v>0</v>
      </c>
      <c r="BM146" s="9">
        <f>FN146*($Q146*$S146)/(1+Voorblad!$K$44)^(BM$56-Voorblad!$F$41)</f>
        <v>0</v>
      </c>
      <c r="BN146" s="9">
        <f>FO146*($Q146*$S146)/(1+Voorblad!$K$44)^(BN$56-Voorblad!$F$41)</f>
        <v>0</v>
      </c>
      <c r="BO146" s="9">
        <f>FP146*($Q146*$S146)/(1+Voorblad!$K$44)^(BO$56-Voorblad!$F$41)</f>
        <v>0</v>
      </c>
      <c r="BP146" s="9">
        <f>FQ146*($Q146*$S146)/(1+Voorblad!$K$44)^(BP$56-Voorblad!$F$41)</f>
        <v>0</v>
      </c>
      <c r="BQ146" s="9">
        <f>FR146*($Q146*$S146)/(1+Voorblad!$K$44)^(BQ$56-Voorblad!$F$41)</f>
        <v>0</v>
      </c>
      <c r="BR146" s="9">
        <f>FS146*($Q146*$S146)/(1+Voorblad!$K$44)^(BR$56-Voorblad!$F$41)</f>
        <v>0</v>
      </c>
      <c r="BS146" s="9">
        <f>FT146*($Q146*$S146)/(1+Voorblad!$K$44)^(BS$56-Voorblad!$F$41)</f>
        <v>0</v>
      </c>
      <c r="BT146" s="9">
        <f>FU146*($Q146*$S146)/(1+Voorblad!$K$44)^(BT$56-Voorblad!$F$41)</f>
        <v>0</v>
      </c>
      <c r="BU146" s="9">
        <f>FV146*($Q146*$S146)/(1+Voorblad!$K$44)^(BU$56-Voorblad!$F$41)</f>
        <v>0</v>
      </c>
      <c r="BV146" s="9">
        <f>FW146*($Q146*$S146)/(1+Voorblad!$K$44)^(BV$56-Voorblad!$F$41)</f>
        <v>0</v>
      </c>
      <c r="BW146" s="9">
        <f>FX146*($Q146*$S146)/(1+Voorblad!$K$44)^(BW$56-Voorblad!$F$41)</f>
        <v>0</v>
      </c>
      <c r="BX146" s="9">
        <f>FY146*($Q146*$S146)/(1+Voorblad!$K$44)^(BX$56-Voorblad!$F$41)</f>
        <v>0</v>
      </c>
      <c r="BY146" s="9">
        <f>FZ146*($Q146*$S146)/(1+Voorblad!$K$44)^(BY$56-Voorblad!$F$41)</f>
        <v>0</v>
      </c>
      <c r="BZ146" s="9">
        <f>GA146*($Q146*$S146)/(1+Voorblad!$K$44)^(BZ$56-Voorblad!$F$41)</f>
        <v>0</v>
      </c>
      <c r="CA146" s="9">
        <f>GB146*($Q146*$S146)/(1+Voorblad!$K$44)^(CA$56-Voorblad!$F$41)</f>
        <v>0</v>
      </c>
      <c r="CB146" s="9">
        <f>GC146*($Q146*$S146)/(1+Voorblad!$K$44)^(CB$56-Voorblad!$F$41)</f>
        <v>0</v>
      </c>
      <c r="CC146" s="9">
        <f>GD146*($Q146*$S146)/(1+Voorblad!$K$44)^(CC$56-Voorblad!$F$41)</f>
        <v>5837.289895715171</v>
      </c>
      <c r="CD146" s="9">
        <f>GE146*($Q146*$S146)/(1+Voorblad!$K$44)^(CD$56-Voorblad!$F$41)</f>
        <v>0</v>
      </c>
      <c r="CE146" s="9">
        <f>GF146*($Q146*$S146)/(1+Voorblad!$K$44)^(CE$56-Voorblad!$F$41)</f>
        <v>0</v>
      </c>
      <c r="CF146" s="9">
        <f>GG146*($Q146*$S146)/(1+Voorblad!$K$44)^(CF$56-Voorblad!$F$41)</f>
        <v>0</v>
      </c>
      <c r="CG146" s="9">
        <f>GH146*($Q146*$S146)/(1+Voorblad!$K$44)^(CG$56-Voorblad!$F$41)</f>
        <v>0</v>
      </c>
      <c r="CH146" s="9">
        <f>GI146*($Q146*$S146)/(1+Voorblad!$K$44)^(CH$56-Voorblad!$F$41)</f>
        <v>0</v>
      </c>
      <c r="CI146" s="9">
        <f>GJ146*($Q146*$S146)/(1+Voorblad!$K$44)^(CI$56-Voorblad!$F$41)</f>
        <v>0</v>
      </c>
      <c r="CJ146" s="9">
        <f>GK146*($Q146*$S146)/(1+Voorblad!$K$44)^(CJ$56-Voorblad!$F$41)</f>
        <v>0</v>
      </c>
      <c r="CK146" s="9">
        <f>GL146*($Q146*$S146)/(1+Voorblad!$K$44)^(CK$56-Voorblad!$F$41)</f>
        <v>0</v>
      </c>
      <c r="CL146" s="9">
        <f>GM146*($Q146*$S146)/(1+Voorblad!$K$44)^(CL$56-Voorblad!$F$41)</f>
        <v>0</v>
      </c>
      <c r="CM146" s="9">
        <f>GN146*($Q146*$S146)/(1+Voorblad!$K$44)^(CM$56-Voorblad!$F$41)</f>
        <v>0</v>
      </c>
      <c r="CN146" s="9">
        <f>GO146*($Q146*$S146)/(1+Voorblad!$K$44)^(CN$56-Voorblad!$F$41)</f>
        <v>0</v>
      </c>
      <c r="CO146" s="9">
        <f>GP146*($Q146*$S146)/(1+Voorblad!$K$44)^(CO$56-Voorblad!$F$41)</f>
        <v>0</v>
      </c>
      <c r="CP146" s="9">
        <f>GQ146*($Q146*$S146)/(1+Voorblad!$K$44)^(CP$56-Voorblad!$F$41)</f>
        <v>0</v>
      </c>
      <c r="CQ146" s="9">
        <f>GR146*($Q146*$S146)/(1+Voorblad!$K$44)^(CQ$56-Voorblad!$F$41)</f>
        <v>0</v>
      </c>
      <c r="CR146" s="9">
        <f>GS146*($Q146*$S146)/(1+Voorblad!$K$44)^(CR$56-Voorblad!$F$41)</f>
        <v>0</v>
      </c>
      <c r="CS146" s="9">
        <f>GT146*($Q146*$S146)/(1+Voorblad!$K$44)^(CS$56-Voorblad!$F$41)</f>
        <v>0</v>
      </c>
      <c r="CT146" s="9">
        <f>GU146*($Q146*$S146)/(1+Voorblad!$K$44)^(CT$56-Voorblad!$F$41)</f>
        <v>0</v>
      </c>
      <c r="CU146" s="9">
        <f>GV146*($Q146*$S146)/(1+Voorblad!$K$44)^(CU$56-Voorblad!$F$41)</f>
        <v>0</v>
      </c>
      <c r="CV146" s="9">
        <f>GW146*($Q146*$S146)/(1+Voorblad!$K$44)^(CV$56-Voorblad!$F$41)</f>
        <v>0</v>
      </c>
      <c r="CW146" s="9">
        <f>GX146*($Q146*$S146)/(1+Voorblad!$K$44)^(CW$56-Voorblad!$F$41)</f>
        <v>0</v>
      </c>
      <c r="CX146" s="9">
        <f>GY146*($Q146*$S146)/(1+Voorblad!$K$44)^(CX$56-Voorblad!$F$41)</f>
        <v>0</v>
      </c>
      <c r="CY146" s="9">
        <f>GZ146*($Q146*$S146)/(1+Voorblad!$K$44)^(CY$56-Voorblad!$F$41)</f>
        <v>0</v>
      </c>
      <c r="CZ146" s="9">
        <f>HA146*($Q146*$S146)/(1+Voorblad!$K$44)^(CZ$56-Voorblad!$F$41)</f>
        <v>0</v>
      </c>
      <c r="DA146" s="9">
        <f>HB146*($Q146*$S146)/(1+Voorblad!$K$44)^(DA$56-Voorblad!$F$41)</f>
        <v>0</v>
      </c>
      <c r="DB146" s="9">
        <f>HC146*($Q146*$S146)/(1+Voorblad!$K$44)^(DB$56-Voorblad!$F$41)</f>
        <v>0</v>
      </c>
      <c r="DC146" s="9">
        <f>HD146*($Q146*$S146)/(1+Voorblad!$K$44)^(DC$56-Voorblad!$F$41)</f>
        <v>0</v>
      </c>
      <c r="DD146" s="9">
        <f>HE146*($Q146*$S146)/(1+Voorblad!$K$44)^(DD$56-Voorblad!$F$41)</f>
        <v>0</v>
      </c>
      <c r="DE146" s="9">
        <f>HF146*($Q146*$S146)/(1+Voorblad!$K$44)^(DE$56-Voorblad!$F$41)</f>
        <v>0</v>
      </c>
      <c r="DF146" s="9">
        <f>HG146*($Q146*$S146)/(1+Voorblad!$K$44)^(DF$56-Voorblad!$F$41)</f>
        <v>0</v>
      </c>
      <c r="DG146" s="9">
        <f>HH146*($Q146*$S146)/(1+Voorblad!$K$44)^(DG$56-Voorblad!$F$41)</f>
        <v>0</v>
      </c>
      <c r="DH146" s="9">
        <f>HI146*($Q146*$S146)/(1+Voorblad!$K$44)^(DH$56-Voorblad!$F$41)</f>
        <v>0</v>
      </c>
      <c r="DI146" s="9">
        <f>HJ146*($Q146*$S146)/(1+Voorblad!$K$44)^(DI$56-Voorblad!$F$41)</f>
        <v>0</v>
      </c>
      <c r="DJ146" s="9">
        <f>HK146*($Q146*$S146)/(1+Voorblad!$K$44)^(DJ$56-Voorblad!$F$41)</f>
        <v>0</v>
      </c>
      <c r="DK146" s="9">
        <f>HL146*($Q146*$S146)/(1+Voorblad!$K$44)^(DK$56-Voorblad!$F$41)</f>
        <v>0</v>
      </c>
      <c r="DL146" s="9">
        <f>HM146*($Q146*$S146)/(1+Voorblad!$K$44)^(DL$56-Voorblad!$F$41)</f>
        <v>0</v>
      </c>
      <c r="DM146" s="9">
        <f>HN146*($Q146*$S146)/(1+Voorblad!$K$44)^(DM$56-Voorblad!$F$41)</f>
        <v>0</v>
      </c>
      <c r="DN146" s="9">
        <f>HO146*($Q146*$S146)/(1+Voorblad!$K$44)^(DN$56-Voorblad!$F$41)</f>
        <v>0</v>
      </c>
      <c r="DO146" s="9">
        <f>HP146*($Q146*$S146)/(1+Voorblad!$K$44)^(DO$56-Voorblad!$F$41)</f>
        <v>0</v>
      </c>
      <c r="DP146" s="9">
        <f>HQ146*($Q146*$S146)/(1+Voorblad!$K$44)^(DP$56-Voorblad!$F$41)</f>
        <v>0</v>
      </c>
      <c r="DQ146" s="9">
        <f>HR146*($Q146*$S146)/(1+Voorblad!$K$44)^(DQ$56-Voorblad!$F$41)</f>
        <v>0</v>
      </c>
      <c r="DR146" s="9">
        <f>HS146*($Q146*$S146)/(1+Voorblad!$K$44)^(DR$56-Voorblad!$F$41)</f>
        <v>0</v>
      </c>
      <c r="DS146" s="9">
        <f>HT146*($Q146*$S146)/(1+Voorblad!$K$44)^(DS$56-Voorblad!$F$41)</f>
        <v>0</v>
      </c>
      <c r="DT146" s="9">
        <f>HU146*($Q146*$S146)/(1+Voorblad!$K$44)^(DT$56-Voorblad!$F$41)</f>
        <v>0</v>
      </c>
      <c r="DU146" s="9">
        <f>HV146*($Q146*$S146)/(1+Voorblad!$K$44)^(DU$56-Voorblad!$F$41)</f>
        <v>0</v>
      </c>
      <c r="DV146" s="9">
        <f>HW146*($Q146*$S146)/(1+Voorblad!$K$44)^(DV$56-Voorblad!$F$41)</f>
        <v>0</v>
      </c>
      <c r="DW146" s="9">
        <f>HX146*($Q146*$S146)/(1+Voorblad!$K$44)^(DW$56-Voorblad!$F$41)</f>
        <v>0</v>
      </c>
      <c r="DX146" s="9">
        <f>HY146*($Q146*$S146)/(1+Voorblad!$K$44)^(DX$56-Voorblad!$F$41)</f>
        <v>0</v>
      </c>
      <c r="DY146" s="9">
        <f>HZ146*($Q146*$S146)/(1+Voorblad!$K$44)^(DY$56-Voorblad!$F$41)</f>
        <v>0</v>
      </c>
      <c r="DZ146" s="9">
        <f>IA146*($Q146*$S146)/(1+Voorblad!$K$44)^(DZ$56-Voorblad!$F$41)</f>
        <v>0</v>
      </c>
      <c r="EA146" s="9">
        <f>IB146*($Q146*$S146)/(1+Voorblad!$K$44)^(EA$56-Voorblad!$F$41)</f>
        <v>0</v>
      </c>
      <c r="EB146" s="9">
        <f>IC146*($Q146*$S146)/(1+Voorblad!$K$44)^(EB$56-Voorblad!$F$41)</f>
        <v>0</v>
      </c>
      <c r="EE146" s="8">
        <v>0</v>
      </c>
      <c r="EF146" s="8">
        <f>IF(EF$56-Voorblad!$F$41&gt;Voorblad!$K$41,0,IF($U146=0,0,IF($U146&lt;1,1/$U146,IF((EF$56-Voorblad!$F$41)/$U146-SUM($EE146:EE146)=1,1,0))))</f>
        <v>0</v>
      </c>
      <c r="EG146" s="8">
        <f>IF(EG$56-Voorblad!$F$41&gt;Voorblad!$K$41,0,IF($U146=0,0,IF($U146&lt;1,1/$U146,IF((EG$56-Voorblad!$F$41)/$U146-SUM($EE146:EF146)=1,1,0))))</f>
        <v>0</v>
      </c>
      <c r="EH146" s="8">
        <f>IF(EH$56-Voorblad!$F$41&gt;Voorblad!$K$41,0,IF($U146=0,0,IF($U146&lt;1,1/$U146,IF((EH$56-Voorblad!$F$41)/$U146-SUM($EE146:EG146)=1,1,0))))</f>
        <v>0</v>
      </c>
      <c r="EI146" s="8">
        <f>IF(EI$56-Voorblad!$F$41&gt;Voorblad!$K$41,0,IF($U146=0,0,IF($U146&lt;1,1/$U146,IF((EI$56-Voorblad!$F$41)/$U146-SUM($EE146:EH146)=1,1,0))))</f>
        <v>0</v>
      </c>
      <c r="EJ146" s="8">
        <f>IF(EJ$56-Voorblad!$F$41&gt;Voorblad!$K$41,0,IF($U146=0,0,IF($U146&lt;1,1/$U146,IF((EJ$56-Voorblad!$F$41)/$U146-SUM($EE146:EI146)=1,1,0))))</f>
        <v>0</v>
      </c>
      <c r="EK146" s="8">
        <f>IF(EK$56-Voorblad!$F$41&gt;Voorblad!$K$41,0,IF($U146=0,0,IF($U146&lt;1,1/$U146,IF((EK$56-Voorblad!$F$41)/$U146-SUM($EE146:EJ146)=1,1,0))))</f>
        <v>0</v>
      </c>
      <c r="EL146" s="8">
        <f>IF(EL$56-Voorblad!$F$41&gt;Voorblad!$K$41,0,IF($U146=0,0,IF($U146&lt;1,1/$U146,IF((EL$56-Voorblad!$F$41)/$U146-SUM($EE146:EK146)=1,1,0))))</f>
        <v>0</v>
      </c>
      <c r="EM146" s="8">
        <f>IF(EM$56-Voorblad!$F$41&gt;Voorblad!$K$41,0,IF($U146=0,0,IF($U146&lt;1,1/$U146,IF((EM$56-Voorblad!$F$41)/$U146-SUM($EE146:EL146)=1,1,0))))</f>
        <v>0</v>
      </c>
      <c r="EN146" s="8">
        <f>IF(EN$56-Voorblad!$F$41&gt;Voorblad!$K$41,0,IF($U146=0,0,IF($U146&lt;1,1/$U146,IF((EN$56-Voorblad!$F$41)/$U146-SUM($EE146:EM146)=1,1,0))))</f>
        <v>0</v>
      </c>
      <c r="EO146" s="8">
        <f>IF(EO$56-Voorblad!$F$41&gt;Voorblad!$K$41,0,IF($U146=0,0,IF($U146&lt;1,1/$U146,IF((EO$56-Voorblad!$F$41)/$U146-SUM($EE146:EN146)=1,1,0))))</f>
        <v>0</v>
      </c>
      <c r="EP146" s="8">
        <f>IF(EP$56-Voorblad!$F$41&gt;Voorblad!$K$41,0,IF($U146=0,0,IF($U146&lt;1,1/$U146,IF((EP$56-Voorblad!$F$41)/$U146-SUM($EE146:EO146)=1,1,0))))</f>
        <v>0</v>
      </c>
      <c r="EQ146" s="8">
        <f>IF(EQ$56-Voorblad!$F$41&gt;Voorblad!$K$41,0,IF($U146=0,0,IF($U146&lt;1,1/$U146,IF((EQ$56-Voorblad!$F$41)/$U146-SUM($EE146:EP146)=1,1,0))))</f>
        <v>0</v>
      </c>
      <c r="ER146" s="8">
        <f>IF(ER$56-Voorblad!$F$41&gt;Voorblad!$K$41,0,IF($U146=0,0,IF($U146&lt;1,1/$U146,IF((ER$56-Voorblad!$F$41)/$U146-SUM($EE146:EQ146)=1,1,0))))</f>
        <v>0</v>
      </c>
      <c r="ES146" s="8">
        <f>IF(ES$56-Voorblad!$F$41&gt;Voorblad!$K$41,0,IF($U146=0,0,IF($U146&lt;1,1/$U146,IF((ES$56-Voorblad!$F$41)/$U146-SUM($EE146:ER146)=1,1,0))))</f>
        <v>0</v>
      </c>
      <c r="ET146" s="8">
        <f>IF(ET$56-Voorblad!$F$41&gt;Voorblad!$K$41,0,IF($U146=0,0,IF($U146&lt;1,1/$U146,IF((ET$56-Voorblad!$F$41)/$U146-SUM($EE146:ES146)=1,1,0))))</f>
        <v>0</v>
      </c>
      <c r="EU146" s="8">
        <f>IF(EU$56-Voorblad!$F$41&gt;Voorblad!$K$41,0,IF($U146=0,0,IF($U146&lt;1,1/$U146,IF((EU$56-Voorblad!$F$41)/$U146-SUM($EE146:ET146)=1,1,0))))</f>
        <v>0</v>
      </c>
      <c r="EV146" s="8">
        <f>IF(EV$56-Voorblad!$F$41&gt;Voorblad!$K$41,0,IF($U146=0,0,IF($U146&lt;1,1/$U146,IF((EV$56-Voorblad!$F$41)/$U146-SUM($EE146:EU146)=1,1,0))))</f>
        <v>0</v>
      </c>
      <c r="EW146" s="8">
        <f>IF(EW$56-Voorblad!$F$41&gt;Voorblad!$K$41,0,IF($U146=0,0,IF($U146&lt;1,1/$U146,IF((EW$56-Voorblad!$F$41)/$U146-SUM($EE146:EV146)=1,1,0))))</f>
        <v>0</v>
      </c>
      <c r="EX146" s="8">
        <f>IF(EX$56-Voorblad!$F$41&gt;Voorblad!$K$41,0,IF($U146=0,0,IF($U146&lt;1,1/$U146,IF((EX$56-Voorblad!$F$41)/$U146-SUM($EE146:EW146)=1,1,0))))</f>
        <v>0</v>
      </c>
      <c r="EY146" s="8">
        <f>IF(EY$56-Voorblad!$F$41&gt;Voorblad!$K$41,0,IF($U146=0,0,IF($U146&lt;1,1/$U146,IF((EY$56-Voorblad!$F$41)/$U146-SUM($EE146:EX146)=1,1,0))))</f>
        <v>0</v>
      </c>
      <c r="EZ146" s="8">
        <f>IF(EZ$56-Voorblad!$F$41&gt;Voorblad!$K$41,0,IF($U146=0,0,IF($U146&lt;1,1/$U146,IF((EZ$56-Voorblad!$F$41)/$U146-SUM($EE146:EY146)=1,1,0))))</f>
        <v>0</v>
      </c>
      <c r="FA146" s="8">
        <f>IF(FA$56-Voorblad!$F$41&gt;Voorblad!$K$41,0,IF($U146=0,0,IF($U146&lt;1,1/$U146,IF((FA$56-Voorblad!$F$41)/$U146-SUM($EE146:EZ146)=1,1,0))))</f>
        <v>0</v>
      </c>
      <c r="FB146" s="8">
        <f>IF(FB$56-Voorblad!$F$41&gt;Voorblad!$K$41,0,IF($U146=0,0,IF($U146&lt;1,1/$U146,IF((FB$56-Voorblad!$F$41)/$U146-SUM($EE146:FA146)=1,1,0))))</f>
        <v>0</v>
      </c>
      <c r="FC146" s="8">
        <f>IF(FC$56-Voorblad!$F$41&gt;Voorblad!$K$41,0,IF($U146=0,0,IF($U146&lt;1,1/$U146,IF((FC$56-Voorblad!$F$41)/$U146-SUM($EE146:FB146)=1,1,0))))</f>
        <v>0</v>
      </c>
      <c r="FD146" s="8">
        <f>IF(FD$56-Voorblad!$F$41&gt;Voorblad!$K$41,0,IF($U146=0,0,IF($U146&lt;1,1/$U146,IF((FD$56-Voorblad!$F$41)/$U146-SUM($EE146:FC146)=1,1,0))))</f>
        <v>0</v>
      </c>
      <c r="FE146" s="8">
        <f>IF(FE$56-Voorblad!$F$41&gt;Voorblad!$K$41,0,IF($U146=0,0,IF($U146&lt;1,1/$U146,IF((FE$56-Voorblad!$F$41)/$U146-SUM($EE146:FD146)=1,1,0))))</f>
        <v>0</v>
      </c>
      <c r="FF146" s="8">
        <f>IF(FF$56-Voorblad!$F$41&gt;Voorblad!$K$41,0,IF($U146=0,0,IF($U146&lt;1,1/$U146,IF((FF$56-Voorblad!$F$41)/$U146-SUM($EE146:FE146)=1,1,0))))</f>
        <v>0</v>
      </c>
      <c r="FG146" s="8">
        <f>IF(FG$56-Voorblad!$F$41&gt;Voorblad!$K$41,0,IF($U146=0,0,IF($U146&lt;1,1/$U146,IF((FG$56-Voorblad!$F$41)/$U146-SUM($EE146:FF146)=1,1,0))))</f>
        <v>0</v>
      </c>
      <c r="FH146" s="8">
        <f>IF(FH$56-Voorblad!$F$41&gt;Voorblad!$K$41,0,IF($U146=0,0,IF($U146&lt;1,1/$U146,IF((FH$56-Voorblad!$F$41)/$U146-SUM($EE146:FG146)=1,1,0))))</f>
        <v>0</v>
      </c>
      <c r="FI146" s="8">
        <f>IF(FI$56-Voorblad!$F$41&gt;Voorblad!$K$41,0,IF($U146=0,0,IF($U146&lt;1,1/$U146,IF((FI$56-Voorblad!$F$41)/$U146-SUM($EE146:FH146)=1,1,0))))</f>
        <v>0</v>
      </c>
      <c r="FJ146" s="8">
        <f>IF(FJ$56-Voorblad!$F$41&gt;Voorblad!$K$41,0,IF($U146=0,0,IF($U146&lt;1,1/$U146,IF((FJ$56-Voorblad!$F$41)/$U146-SUM($EE146:FI146)=1,1,0))))</f>
        <v>0</v>
      </c>
      <c r="FK146" s="8">
        <f>IF(FK$56-Voorblad!$F$41&gt;Voorblad!$K$41,0,IF($U146=0,0,IF($U146&lt;1,1/$U146,IF((FK$56-Voorblad!$F$41)/$U146-SUM($EE146:FJ146)=1,1,0))))</f>
        <v>0</v>
      </c>
      <c r="FL146" s="8">
        <f>IF(FL$56-Voorblad!$F$41&gt;Voorblad!$K$41,0,IF($U146=0,0,IF($U146&lt;1,1/$U146,IF((FL$56-Voorblad!$F$41)/$U146-SUM($EE146:FK146)=1,1,0))))</f>
        <v>0</v>
      </c>
      <c r="FM146" s="8">
        <f>IF(FM$56-Voorblad!$F$41&gt;Voorblad!$K$41,0,IF($U146=0,0,IF($U146&lt;1,1/$U146,IF((FM$56-Voorblad!$F$41)/$U146-SUM($EE146:FL146)=1,1,0))))</f>
        <v>0</v>
      </c>
      <c r="FN146" s="8">
        <f>IF(FN$56-Voorblad!$F$41&gt;Voorblad!$K$41,0,IF($U146=0,0,IF($U146&lt;1,1/$U146,IF((FN$56-Voorblad!$F$41)/$U146-SUM($EE146:FM146)=1,1,0))))</f>
        <v>0</v>
      </c>
      <c r="FO146" s="8">
        <f>IF(FO$56-Voorblad!$F$41&gt;Voorblad!$K$41,0,IF($U146=0,0,IF($U146&lt;1,1/$U146,IF((FO$56-Voorblad!$F$41)/$U146-SUM($EE146:FN146)=1,1,0))))</f>
        <v>0</v>
      </c>
      <c r="FP146" s="8">
        <f>IF(FP$56-Voorblad!$F$41&gt;Voorblad!$K$41,0,IF($U146=0,0,IF($U146&lt;1,1/$U146,IF((FP$56-Voorblad!$F$41)/$U146-SUM($EE146:FO146)=1,1,0))))</f>
        <v>0</v>
      </c>
      <c r="FQ146" s="8">
        <f>IF(FQ$56-Voorblad!$F$41&gt;Voorblad!$K$41,0,IF($U146=0,0,IF($U146&lt;1,1/$U146,IF((FQ$56-Voorblad!$F$41)/$U146-SUM($EE146:FP146)=1,1,0))))</f>
        <v>0</v>
      </c>
      <c r="FR146" s="8">
        <f>IF(FR$56-Voorblad!$F$41&gt;Voorblad!$K$41,0,IF($U146=0,0,IF($U146&lt;1,1/$U146,IF((FR$56-Voorblad!$F$41)/$U146-SUM($EE146:FQ146)=1,1,0))))</f>
        <v>0</v>
      </c>
      <c r="FS146" s="8">
        <f>IF(FS$56-Voorblad!$F$41&gt;Voorblad!$K$41,0,IF($U146=0,0,IF($U146&lt;1,1/$U146,IF((FS$56-Voorblad!$F$41)/$U146-SUM($EE146:FR146)=1,1,0))))</f>
        <v>0</v>
      </c>
      <c r="FT146" s="8">
        <f>IF(FT$56-Voorblad!$F$41&gt;Voorblad!$K$41,0,IF($U146=0,0,IF($U146&lt;1,1/$U146,IF((FT$56-Voorblad!$F$41)/$U146-SUM($EE146:FS146)=1,1,0))))</f>
        <v>0</v>
      </c>
      <c r="FU146" s="8">
        <f>IF(FU$56-Voorblad!$F$41&gt;Voorblad!$K$41,0,IF($U146=0,0,IF($U146&lt;1,1/$U146,IF((FU$56-Voorblad!$F$41)/$U146-SUM($EE146:FT146)=1,1,0))))</f>
        <v>0</v>
      </c>
      <c r="FV146" s="8">
        <f>IF(FV$56-Voorblad!$F$41&gt;Voorblad!$K$41,0,IF($U146=0,0,IF($U146&lt;1,1/$U146,IF((FV$56-Voorblad!$F$41)/$U146-SUM($EE146:FU146)=1,1,0))))</f>
        <v>0</v>
      </c>
      <c r="FW146" s="8">
        <f>IF(FW$56-Voorblad!$F$41&gt;Voorblad!$K$41,0,IF($U146=0,0,IF($U146&lt;1,1/$U146,IF((FW$56-Voorblad!$F$41)/$U146-SUM($EE146:FV146)=1,1,0))))</f>
        <v>0</v>
      </c>
      <c r="FX146" s="8">
        <f>IF(FX$56-Voorblad!$F$41&gt;Voorblad!$K$41,0,IF($U146=0,0,IF($U146&lt;1,1/$U146,IF((FX$56-Voorblad!$F$41)/$U146-SUM($EE146:FW146)=1,1,0))))</f>
        <v>0</v>
      </c>
      <c r="FY146" s="8">
        <f>IF(FY$56-Voorblad!$F$41&gt;Voorblad!$K$41,0,IF($U146=0,0,IF($U146&lt;1,1/$U146,IF((FY$56-Voorblad!$F$41)/$U146-SUM($EE146:FX146)=1,1,0))))</f>
        <v>0</v>
      </c>
      <c r="FZ146" s="8">
        <f>IF(FZ$56-Voorblad!$F$41&gt;Voorblad!$K$41,0,IF($U146=0,0,IF($U146&lt;1,1/$U146,IF((FZ$56-Voorblad!$F$41)/$U146-SUM($EE146:FY146)=1,1,0))))</f>
        <v>0</v>
      </c>
      <c r="GA146" s="8">
        <f>IF(GA$56-Voorblad!$F$41&gt;Voorblad!$K$41,0,IF($U146=0,0,IF($U146&lt;1,1/$U146,IF((GA$56-Voorblad!$F$41)/$U146-SUM($EE146:FZ146)=1,1,0))))</f>
        <v>0</v>
      </c>
      <c r="GB146" s="8">
        <f>IF(GB$56-Voorblad!$F$41&gt;Voorblad!$K$41,0,IF($U146=0,0,IF($U146&lt;1,1/$U146,IF((GB$56-Voorblad!$F$41)/$U146-SUM($EE146:GA146)=1,1,0))))</f>
        <v>0</v>
      </c>
      <c r="GC146" s="8">
        <f>IF(GC$56-Voorblad!$F$41&gt;Voorblad!$K$41,0,IF($U146=0,0,IF($U146&lt;1,1/$U146,IF((GC$56-Voorblad!$F$41)/$U146-SUM($EE146:GB146)=1,1,0))))</f>
        <v>0</v>
      </c>
      <c r="GD146" s="8">
        <f>IF(GD$56-Voorblad!$F$41&gt;Voorblad!$K$41,0,IF($U146=0,0,IF($U146&lt;1,1/$U146,IF((GD$56-Voorblad!$F$41)/$U146-SUM($EE146:GC146)=1,1,0))))</f>
        <v>1</v>
      </c>
      <c r="GE146" s="8">
        <f>IF(GE$56-Voorblad!$F$41&gt;Voorblad!$K$41,0,IF($U146=0,0,IF($U146&lt;1,1/$U146,IF((GE$56-Voorblad!$F$41)/$U146-SUM($EE146:GD146)=1,1,0))))</f>
        <v>0</v>
      </c>
      <c r="GF146" s="8">
        <f>IF(GF$56-Voorblad!$F$41&gt;Voorblad!$K$41,0,IF($U146=0,0,IF($U146&lt;1,1/$U146,IF((GF$56-Voorblad!$F$41)/$U146-SUM($EE146:GE146)=1,1,0))))</f>
        <v>0</v>
      </c>
      <c r="GG146" s="8">
        <f>IF(GG$56-Voorblad!$F$41&gt;Voorblad!$K$41,0,IF($U146=0,0,IF($U146&lt;1,1/$U146,IF((GG$56-Voorblad!$F$41)/$U146-SUM($EE146:GF146)=1,1,0))))</f>
        <v>0</v>
      </c>
      <c r="GH146" s="8">
        <f>IF(GH$56-Voorblad!$F$41&gt;Voorblad!$K$41,0,IF($U146=0,0,IF($U146&lt;1,1/$U146,IF((GH$56-Voorblad!$F$41)/$U146-SUM($EE146:GG146)=1,1,0))))</f>
        <v>0</v>
      </c>
      <c r="GI146" s="8">
        <f>IF(GI$56-Voorblad!$F$41&gt;Voorblad!$K$41,0,IF($U146=0,0,IF($U146&lt;1,1/$U146,IF((GI$56-Voorblad!$F$41)/$U146-SUM($EE146:GH146)=1,1,0))))</f>
        <v>0</v>
      </c>
      <c r="GJ146" s="8">
        <f>IF(GJ$56-Voorblad!$F$41&gt;Voorblad!$K$41,0,IF($U146=0,0,IF($U146&lt;1,1/$U146,IF((GJ$56-Voorblad!$F$41)/$U146-SUM($EE146:GI146)=1,1,0))))</f>
        <v>0</v>
      </c>
      <c r="GK146" s="8">
        <f>IF(GK$56-Voorblad!$F$41&gt;Voorblad!$K$41,0,IF($U146=0,0,IF($U146&lt;1,1/$U146,IF((GK$56-Voorblad!$F$41)/$U146-SUM($EE146:GJ146)=1,1,0))))</f>
        <v>0</v>
      </c>
      <c r="GL146" s="8">
        <f>IF(GL$56-Voorblad!$F$41&gt;Voorblad!$K$41,0,IF($U146=0,0,IF($U146&lt;1,1/$U146,IF((GL$56-Voorblad!$F$41)/$U146-SUM($EE146:GK146)=1,1,0))))</f>
        <v>0</v>
      </c>
      <c r="GM146" s="8">
        <f>IF(GM$56-Voorblad!$F$41&gt;Voorblad!$K$41,0,IF($U146=0,0,IF($U146&lt;1,1/$U146,IF((GM$56-Voorblad!$F$41)/$U146-SUM($EE146:GL146)=1,1,0))))</f>
        <v>0</v>
      </c>
      <c r="GN146" s="8">
        <f>IF(GN$56-Voorblad!$F$41&gt;Voorblad!$K$41,0,IF($U146=0,0,IF($U146&lt;1,1/$U146,IF((GN$56-Voorblad!$F$41)/$U146-SUM($EE146:GM146)=1,1,0))))</f>
        <v>0</v>
      </c>
      <c r="GO146" s="8">
        <f>IF(GO$56-Voorblad!$F$41&gt;Voorblad!$K$41,0,IF($U146=0,0,IF($U146&lt;1,1/$U146,IF((GO$56-Voorblad!$F$41)/$U146-SUM($EE146:GN146)=1,1,0))))</f>
        <v>0</v>
      </c>
      <c r="GP146" s="8">
        <f>IF(GP$56-Voorblad!$F$41&gt;Voorblad!$K$41,0,IF($U146=0,0,IF($U146&lt;1,1/$U146,IF((GP$56-Voorblad!$F$41)/$U146-SUM($EE146:GO146)=1,1,0))))</f>
        <v>0</v>
      </c>
      <c r="GQ146" s="8">
        <f>IF(GQ$56-Voorblad!$F$41&gt;Voorblad!$K$41,0,IF($U146=0,0,IF($U146&lt;1,1/$U146,IF((GQ$56-Voorblad!$F$41)/$U146-SUM($EE146:GP146)=1,1,0))))</f>
        <v>0</v>
      </c>
      <c r="GR146" s="8">
        <f>IF(GR$56-Voorblad!$F$41&gt;Voorblad!$K$41,0,IF($U146=0,0,IF($U146&lt;1,1/$U146,IF((GR$56-Voorblad!$F$41)/$U146-SUM($EE146:GQ146)=1,1,0))))</f>
        <v>0</v>
      </c>
      <c r="GS146" s="8">
        <f>IF(GS$56-Voorblad!$F$41&gt;Voorblad!$K$41,0,IF($U146=0,0,IF($U146&lt;1,1/$U146,IF((GS$56-Voorblad!$F$41)/$U146-SUM($EE146:GR146)=1,1,0))))</f>
        <v>0</v>
      </c>
      <c r="GT146" s="8">
        <f>IF(GT$56-Voorblad!$F$41&gt;Voorblad!$K$41,0,IF($U146=0,0,IF($U146&lt;1,1/$U146,IF((GT$56-Voorblad!$F$41)/$U146-SUM($EE146:GS146)=1,1,0))))</f>
        <v>0</v>
      </c>
      <c r="GU146" s="8">
        <f>IF(GU$56-Voorblad!$F$41&gt;Voorblad!$K$41,0,IF($U146=0,0,IF($U146&lt;1,1/$U146,IF((GU$56-Voorblad!$F$41)/$U146-SUM($EE146:GT146)=1,1,0))))</f>
        <v>0</v>
      </c>
      <c r="GV146" s="8">
        <f>IF(GV$56-Voorblad!$F$41&gt;Voorblad!$K$41,0,IF($U146=0,0,IF($U146&lt;1,1/$U146,IF((GV$56-Voorblad!$F$41)/$U146-SUM($EE146:GU146)=1,1,0))))</f>
        <v>0</v>
      </c>
      <c r="GW146" s="8">
        <f>IF(GW$56-Voorblad!$F$41&gt;Voorblad!$K$41,0,IF($U146=0,0,IF($U146&lt;1,1/$U146,IF((GW$56-Voorblad!$F$41)/$U146-SUM($EE146:GV146)=1,1,0))))</f>
        <v>0</v>
      </c>
      <c r="GX146" s="8">
        <f>IF(GX$56-Voorblad!$F$41&gt;Voorblad!$K$41,0,IF($U146=0,0,IF($U146&lt;1,1/$U146,IF((GX$56-Voorblad!$F$41)/$U146-SUM($EE146:GW146)=1,1,0))))</f>
        <v>0</v>
      </c>
      <c r="GY146" s="8">
        <f>IF(GY$56-Voorblad!$F$41&gt;Voorblad!$K$41,0,IF($U146=0,0,IF($U146&lt;1,1/$U146,IF((GY$56-Voorblad!$F$41)/$U146-SUM($EE146:GX146)=1,1,0))))</f>
        <v>0</v>
      </c>
      <c r="GZ146" s="8">
        <f>IF(GZ$56-Voorblad!$F$41&gt;Voorblad!$K$41,0,IF($U146=0,0,IF($U146&lt;1,1/$U146,IF((GZ$56-Voorblad!$F$41)/$U146-SUM($EE146:GY146)=1,1,0))))</f>
        <v>0</v>
      </c>
      <c r="HA146" s="8">
        <f>IF(HA$56-Voorblad!$F$41&gt;Voorblad!$K$41,0,IF($U146=0,0,IF($U146&lt;1,1/$U146,IF((HA$56-Voorblad!$F$41)/$U146-SUM($EE146:GZ146)=1,1,0))))</f>
        <v>0</v>
      </c>
      <c r="HB146" s="8">
        <f>IF(HB$56-Voorblad!$F$41&gt;Voorblad!$K$41,0,IF($U146=0,0,IF($U146&lt;1,1/$U146,IF((HB$56-Voorblad!$F$41)/$U146-SUM($EE146:HA146)=1,1,0))))</f>
        <v>0</v>
      </c>
      <c r="HC146" s="8">
        <f>IF(HC$56-Voorblad!$F$41&gt;Voorblad!$K$41,0,IF($U146=0,0,IF($U146&lt;1,1/$U146,IF((HC$56-Voorblad!$F$41)/$U146-SUM($EE146:HB146)=1,1,0))))</f>
        <v>0</v>
      </c>
      <c r="HD146" s="8">
        <f>IF(HD$56-Voorblad!$F$41&gt;Voorblad!$K$41,0,IF($U146=0,0,IF($U146&lt;1,1/$U146,IF((HD$56-Voorblad!$F$41)/$U146-SUM($EE146:HC146)=1,1,0))))</f>
        <v>0</v>
      </c>
      <c r="HE146" s="8">
        <f>IF(HE$56-Voorblad!$F$41&gt;Voorblad!$K$41,0,IF($U146=0,0,IF($U146&lt;1,1/$U146,IF((HE$56-Voorblad!$F$41)/$U146-SUM($EE146:HD146)=1,1,0))))</f>
        <v>0</v>
      </c>
      <c r="HF146" s="8">
        <f>IF(HF$56-Voorblad!$F$41&gt;Voorblad!$K$41,0,IF($U146=0,0,IF($U146&lt;1,1/$U146,IF((HF$56-Voorblad!$F$41)/$U146-SUM($EE146:HE146)=1,1,0))))</f>
        <v>0</v>
      </c>
      <c r="HG146" s="8">
        <f>IF(HG$56-Voorblad!$F$41&gt;Voorblad!$K$41,0,IF($U146=0,0,IF($U146&lt;1,1/$U146,IF((HG$56-Voorblad!$F$41)/$U146-SUM($EE146:HF146)=1,1,0))))</f>
        <v>0</v>
      </c>
      <c r="HH146" s="8">
        <f>IF(HH$56-Voorblad!$F$41&gt;Voorblad!$K$41,0,IF($U146=0,0,IF($U146&lt;1,1/$U146,IF((HH$56-Voorblad!$F$41)/$U146-SUM($EE146:HG146)=1,1,0))))</f>
        <v>0</v>
      </c>
      <c r="HI146" s="8">
        <f>IF(HI$56-Voorblad!$F$41&gt;Voorblad!$K$41,0,IF($U146=0,0,IF($U146&lt;1,1/$U146,IF((HI$56-Voorblad!$F$41)/$U146-SUM($EE146:HH146)=1,1,0))))</f>
        <v>0</v>
      </c>
      <c r="HJ146" s="8">
        <f>IF(HJ$56-Voorblad!$F$41&gt;Voorblad!$K$41,0,IF($U146=0,0,IF($U146&lt;1,1/$U146,IF((HJ$56-Voorblad!$F$41)/$U146-SUM($EE146:HI146)=1,1,0))))</f>
        <v>0</v>
      </c>
      <c r="HK146" s="8">
        <f>IF(HK$56-Voorblad!$F$41&gt;Voorblad!$K$41,0,IF($U146=0,0,IF($U146&lt;1,1/$U146,IF((HK$56-Voorblad!$F$41)/$U146-SUM($EE146:HJ146)=1,1,0))))</f>
        <v>0</v>
      </c>
      <c r="HL146" s="8">
        <f>IF(HL$56-Voorblad!$F$41&gt;Voorblad!$K$41,0,IF($U146=0,0,IF($U146&lt;1,1/$U146,IF((HL$56-Voorblad!$F$41)/$U146-SUM($EE146:HK146)=1,1,0))))</f>
        <v>0</v>
      </c>
      <c r="HM146" s="8">
        <f>IF(HM$56-Voorblad!$F$41&gt;Voorblad!$K$41,0,IF($U146=0,0,IF($U146&lt;1,1/$U146,IF((HM$56-Voorblad!$F$41)/$U146-SUM($EE146:HL146)=1,1,0))))</f>
        <v>0</v>
      </c>
      <c r="HN146" s="8">
        <f>IF(HN$56-Voorblad!$F$41&gt;Voorblad!$K$41,0,IF($U146=0,0,IF($U146&lt;1,1/$U146,IF((HN$56-Voorblad!$F$41)/$U146-SUM($EE146:HM146)=1,1,0))))</f>
        <v>0</v>
      </c>
      <c r="HO146" s="8">
        <f>IF(HO$56-Voorblad!$F$41&gt;Voorblad!$K$41,0,IF($U146=0,0,IF($U146&lt;1,1/$U146,IF((HO$56-Voorblad!$F$41)/$U146-SUM($EE146:HN146)=1,1,0))))</f>
        <v>0</v>
      </c>
      <c r="HP146" s="8">
        <f>IF(HP$56-Voorblad!$F$41&gt;Voorblad!$K$41,0,IF($U146=0,0,IF($U146&lt;1,1/$U146,IF((HP$56-Voorblad!$F$41)/$U146-SUM($EE146:HO146)=1,1,0))))</f>
        <v>0</v>
      </c>
      <c r="HQ146" s="8">
        <f>IF(HQ$56-Voorblad!$F$41&gt;Voorblad!$K$41,0,IF($U146=0,0,IF($U146&lt;1,1/$U146,IF((HQ$56-Voorblad!$F$41)/$U146-SUM($EE146:HP146)=1,1,0))))</f>
        <v>0</v>
      </c>
      <c r="HR146" s="8">
        <f>IF(HR$56-Voorblad!$F$41&gt;Voorblad!$K$41,0,IF($U146=0,0,IF($U146&lt;1,1/$U146,IF((HR$56-Voorblad!$F$41)/$U146-SUM($EE146:HQ146)=1,1,0))))</f>
        <v>0</v>
      </c>
      <c r="HS146" s="8">
        <f>IF(HS$56-Voorblad!$F$41&gt;Voorblad!$K$41,0,IF($U146=0,0,IF($U146&lt;1,1/$U146,IF((HS$56-Voorblad!$F$41)/$U146-SUM($EE146:HR146)=1,1,0))))</f>
        <v>0</v>
      </c>
      <c r="HT146" s="8">
        <f>IF(HT$56-Voorblad!$F$41&gt;Voorblad!$K$41,0,IF($U146=0,0,IF($U146&lt;1,1/$U146,IF((HT$56-Voorblad!$F$41)/$U146-SUM($EE146:HS146)=1,1,0))))</f>
        <v>0</v>
      </c>
      <c r="HU146" s="8">
        <f>IF(HU$56-Voorblad!$F$41&gt;Voorblad!$K$41,0,IF($U146=0,0,IF($U146&lt;1,1/$U146,IF((HU$56-Voorblad!$F$41)/$U146-SUM($EE146:HT146)=1,1,0))))</f>
        <v>0</v>
      </c>
      <c r="HV146" s="8">
        <f>IF(HV$56-Voorblad!$F$41&gt;Voorblad!$K$41,0,IF($U146=0,0,IF($U146&lt;1,1/$U146,IF((HV$56-Voorblad!$F$41)/$U146-SUM($EE146:HU146)=1,1,0))))</f>
        <v>0</v>
      </c>
      <c r="HW146" s="8">
        <f>IF(HW$56-Voorblad!$F$41&gt;Voorblad!$K$41,0,IF($U146=0,0,IF($U146&lt;1,1/$U146,IF((HW$56-Voorblad!$F$41)/$U146-SUM($EE146:HV146)=1,1,0))))</f>
        <v>0</v>
      </c>
      <c r="HX146" s="8">
        <f>IF(HX$56-Voorblad!$F$41&gt;Voorblad!$K$41,0,IF($U146=0,0,IF($U146&lt;1,1/$U146,IF((HX$56-Voorblad!$F$41)/$U146-SUM($EE146:HW146)=1,1,0))))</f>
        <v>0</v>
      </c>
      <c r="HY146" s="8">
        <f>IF(HY$56-Voorblad!$F$41&gt;Voorblad!$K$41,0,IF($U146=0,0,IF($U146&lt;1,1/$U146,IF((HY$56-Voorblad!$F$41)/$U146-SUM($EE146:HX146)=1,1,0))))</f>
        <v>0</v>
      </c>
      <c r="HZ146" s="8">
        <f>IF(HZ$56-Voorblad!$F$41&gt;Voorblad!$K$41,0,IF($U146=0,0,IF($U146&lt;1,1/$U146,IF((HZ$56-Voorblad!$F$41)/$U146-SUM($EE146:HY146)=1,1,0))))</f>
        <v>0</v>
      </c>
      <c r="IA146" s="8">
        <f>IF(IA$56-Voorblad!$F$41&gt;Voorblad!$K$41,0,IF($U146=0,0,IF($U146&lt;1,1/$U146,IF((IA$56-Voorblad!$F$41)/$U146-SUM($EE146:HZ146)=1,1,0))))</f>
        <v>0</v>
      </c>
      <c r="IB146" s="8">
        <f>IF(IB$56-Voorblad!$F$41&gt;Voorblad!$K$41,0,IF($U146=0,0,IF($U146&lt;1,1/$U146,IF((IB$56-Voorblad!$F$41)/$U146-SUM($EE146:IA146)=1,1,0))))</f>
        <v>0</v>
      </c>
    </row>
    <row r="147" spans="2:236" outlineLevel="1" x14ac:dyDescent="0.25">
      <c r="B147" s="2" t="s">
        <v>270</v>
      </c>
      <c r="C147" s="2"/>
      <c r="D147" s="22"/>
      <c r="N147" s="6"/>
      <c r="S147" s="14"/>
      <c r="U147" s="14"/>
      <c r="V147" s="14"/>
      <c r="Y147" s="23">
        <f>SUM(Y127:Y146)</f>
        <v>50585.52768964781</v>
      </c>
      <c r="Z147" s="24"/>
      <c r="AA147" s="23">
        <f>SUM(AA127:AA146)</f>
        <v>0</v>
      </c>
      <c r="AC147" s="9">
        <f>$Y147*(Voorblad!$K$44*(1+Voorblad!$K$44)^Voorblad!$K$41)/((1+Voorblad!$K$44)^Voorblad!$K$41-1)</f>
        <v>1514.3121415133976</v>
      </c>
      <c r="AE147" s="23">
        <f t="shared" ref="AE147:BA147" si="109">SUM(AE127:AE146)</f>
        <v>0</v>
      </c>
      <c r="AF147" s="23">
        <f t="shared" si="109"/>
        <v>0</v>
      </c>
      <c r="AG147" s="23">
        <f t="shared" si="109"/>
        <v>0</v>
      </c>
      <c r="AH147" s="23">
        <f t="shared" si="109"/>
        <v>0</v>
      </c>
      <c r="AI147" s="23">
        <f t="shared" si="109"/>
        <v>0</v>
      </c>
      <c r="AJ147" s="23">
        <f t="shared" si="109"/>
        <v>0</v>
      </c>
      <c r="AK147" s="23">
        <f t="shared" si="109"/>
        <v>0</v>
      </c>
      <c r="AL147" s="23">
        <f t="shared" si="109"/>
        <v>0</v>
      </c>
      <c r="AM147" s="23">
        <f t="shared" si="109"/>
        <v>0</v>
      </c>
      <c r="AN147" s="23">
        <f t="shared" si="109"/>
        <v>0</v>
      </c>
      <c r="AO147" s="23">
        <f t="shared" si="109"/>
        <v>0</v>
      </c>
      <c r="AP147" s="23">
        <f t="shared" si="109"/>
        <v>0</v>
      </c>
      <c r="AQ147" s="23">
        <f t="shared" si="109"/>
        <v>0</v>
      </c>
      <c r="AR147" s="23">
        <f t="shared" si="109"/>
        <v>0</v>
      </c>
      <c r="AS147" s="23">
        <f t="shared" si="109"/>
        <v>0</v>
      </c>
      <c r="AT147" s="23">
        <f t="shared" si="109"/>
        <v>0</v>
      </c>
      <c r="AU147" s="23">
        <f t="shared" si="109"/>
        <v>0</v>
      </c>
      <c r="AV147" s="23">
        <f t="shared" si="109"/>
        <v>0</v>
      </c>
      <c r="AW147" s="23">
        <f t="shared" si="109"/>
        <v>0</v>
      </c>
      <c r="AX147" s="23">
        <f t="shared" si="109"/>
        <v>0</v>
      </c>
      <c r="AY147" s="23">
        <f t="shared" si="109"/>
        <v>0</v>
      </c>
      <c r="AZ147" s="23">
        <f t="shared" si="109"/>
        <v>0</v>
      </c>
      <c r="BA147" s="23">
        <f t="shared" si="109"/>
        <v>0</v>
      </c>
      <c r="BB147" s="23">
        <f t="shared" ref="BB147" si="110">SUM(BB127:BB146)</f>
        <v>0</v>
      </c>
      <c r="BC147" s="23">
        <f t="shared" ref="BC147" si="111">SUM(BC127:BC146)</f>
        <v>0</v>
      </c>
      <c r="BD147" s="23">
        <f t="shared" ref="BD147" si="112">SUM(BD127:BD146)</f>
        <v>0</v>
      </c>
      <c r="BE147" s="23">
        <f t="shared" ref="BE147" si="113">SUM(BE127:BE146)</f>
        <v>0</v>
      </c>
      <c r="BF147" s="23">
        <f t="shared" ref="BF147" si="114">SUM(BF127:BF146)</f>
        <v>0</v>
      </c>
      <c r="BG147" s="23">
        <f t="shared" ref="BG147" si="115">SUM(BG127:BG146)</f>
        <v>0</v>
      </c>
      <c r="BH147" s="23">
        <f t="shared" ref="BH147" si="116">SUM(BH127:BH146)</f>
        <v>0</v>
      </c>
      <c r="BI147" s="23">
        <f t="shared" ref="BI147" si="117">SUM(BI127:BI146)</f>
        <v>4510.2241731545746</v>
      </c>
      <c r="BJ147" s="23">
        <f t="shared" ref="BJ147" si="118">SUM(BJ127:BJ146)</f>
        <v>0</v>
      </c>
      <c r="BK147" s="23">
        <f t="shared" ref="BK147" si="119">SUM(BK127:BK146)</f>
        <v>0</v>
      </c>
      <c r="BL147" s="23">
        <f t="shared" ref="BL147" si="120">SUM(BL127:BL146)</f>
        <v>0</v>
      </c>
      <c r="BM147" s="23">
        <f t="shared" ref="BM147" si="121">SUM(BM127:BM146)</f>
        <v>0</v>
      </c>
      <c r="BN147" s="23">
        <f t="shared" ref="BN147" si="122">SUM(BN127:BN146)</f>
        <v>0</v>
      </c>
      <c r="BO147" s="23">
        <f t="shared" ref="BO147" si="123">SUM(BO127:BO146)</f>
        <v>0</v>
      </c>
      <c r="BP147" s="23">
        <f t="shared" ref="BP147" si="124">SUM(BP127:BP146)</f>
        <v>0</v>
      </c>
      <c r="BQ147" s="23">
        <f t="shared" ref="BQ147" si="125">SUM(BQ127:BQ146)</f>
        <v>0</v>
      </c>
      <c r="BR147" s="23">
        <f t="shared" ref="BR147" si="126">SUM(BR127:BR146)</f>
        <v>0</v>
      </c>
      <c r="BS147" s="23">
        <f t="shared" ref="BS147" si="127">SUM(BS127:BS146)</f>
        <v>0</v>
      </c>
      <c r="BT147" s="23">
        <f t="shared" ref="BT147" si="128">SUM(BT127:BT146)</f>
        <v>0</v>
      </c>
      <c r="BU147" s="23">
        <f t="shared" ref="BU147" si="129">SUM(BU127:BU146)</f>
        <v>0</v>
      </c>
      <c r="BV147" s="23">
        <f t="shared" ref="BV147" si="130">SUM(BV127:BV146)</f>
        <v>0</v>
      </c>
      <c r="BW147" s="23">
        <f t="shared" ref="BW147" si="131">SUM(BW127:BW146)</f>
        <v>0</v>
      </c>
      <c r="BX147" s="23">
        <f t="shared" ref="BX147" si="132">SUM(BX127:BX146)</f>
        <v>0</v>
      </c>
      <c r="BY147" s="23">
        <f t="shared" ref="BY147" si="133">SUM(BY127:BY146)</f>
        <v>0</v>
      </c>
      <c r="BZ147" s="23">
        <f t="shared" ref="BZ147" si="134">SUM(BZ127:BZ146)</f>
        <v>0</v>
      </c>
      <c r="CA147" s="23">
        <f t="shared" ref="CA147" si="135">SUM(CA127:CA146)</f>
        <v>0</v>
      </c>
      <c r="CB147" s="23">
        <f t="shared" ref="CB147" si="136">SUM(CB127:CB146)</f>
        <v>0</v>
      </c>
      <c r="CC147" s="23">
        <f t="shared" ref="CC147" si="137">SUM(CC127:CC146)</f>
        <v>43925.087133415414</v>
      </c>
      <c r="CD147" s="23">
        <f t="shared" ref="CD147" si="138">SUM(CD127:CD146)</f>
        <v>0</v>
      </c>
      <c r="CE147" s="23">
        <f t="shared" ref="CE147" si="139">SUM(CE127:CE146)</f>
        <v>0</v>
      </c>
      <c r="CF147" s="23">
        <f t="shared" ref="CF147" si="140">SUM(CF127:CF146)</f>
        <v>0</v>
      </c>
      <c r="CG147" s="23">
        <f t="shared" ref="CG147" si="141">SUM(CG127:CG146)</f>
        <v>0</v>
      </c>
      <c r="CH147" s="23">
        <f t="shared" ref="CH147" si="142">SUM(CH127:CH146)</f>
        <v>0</v>
      </c>
      <c r="CI147" s="23">
        <f t="shared" ref="CI147" si="143">SUM(CI127:CI146)</f>
        <v>0</v>
      </c>
      <c r="CJ147" s="23">
        <f t="shared" ref="CJ147" si="144">SUM(CJ127:CJ146)</f>
        <v>0</v>
      </c>
      <c r="CK147" s="23">
        <f t="shared" ref="CK147" si="145">SUM(CK127:CK146)</f>
        <v>0</v>
      </c>
      <c r="CL147" s="23">
        <f t="shared" ref="CL147" si="146">SUM(CL127:CL146)</f>
        <v>0</v>
      </c>
      <c r="CM147" s="23">
        <f t="shared" ref="CM147" si="147">SUM(CM127:CM146)</f>
        <v>2150.2163830778354</v>
      </c>
      <c r="CN147" s="23">
        <f t="shared" ref="CN147" si="148">SUM(CN127:CN146)</f>
        <v>0</v>
      </c>
      <c r="CO147" s="23">
        <f t="shared" ref="CO147" si="149">SUM(CO127:CO146)</f>
        <v>0</v>
      </c>
      <c r="CP147" s="23">
        <f t="shared" ref="CP147" si="150">SUM(CP127:CP146)</f>
        <v>0</v>
      </c>
      <c r="CQ147" s="23">
        <f t="shared" ref="CQ147" si="151">SUM(CQ127:CQ146)</f>
        <v>0</v>
      </c>
      <c r="CR147" s="23">
        <f t="shared" ref="CR147" si="152">SUM(CR127:CR146)</f>
        <v>0</v>
      </c>
      <c r="CS147" s="23">
        <f t="shared" ref="CS147" si="153">SUM(CS127:CS146)</f>
        <v>0</v>
      </c>
      <c r="CT147" s="23">
        <f t="shared" ref="CT147" si="154">SUM(CT127:CT146)</f>
        <v>0</v>
      </c>
      <c r="CU147" s="23">
        <f t="shared" ref="CU147" si="155">SUM(CU127:CU146)</f>
        <v>0</v>
      </c>
      <c r="CV147" s="23">
        <f t="shared" ref="CV147" si="156">SUM(CV127:CV146)</f>
        <v>0</v>
      </c>
      <c r="CW147" s="23">
        <f t="shared" ref="CW147" si="157">SUM(CW127:CW146)</f>
        <v>0</v>
      </c>
      <c r="CX147" s="23">
        <f t="shared" ref="CX147" si="158">SUM(CX127:CX146)</f>
        <v>0</v>
      </c>
      <c r="CY147" s="23">
        <f t="shared" ref="CY147" si="159">SUM(CY127:CY146)</f>
        <v>0</v>
      </c>
      <c r="CZ147" s="23">
        <f t="shared" ref="CZ147" si="160">SUM(CZ127:CZ146)</f>
        <v>0</v>
      </c>
      <c r="DA147" s="23">
        <f t="shared" ref="DA147" si="161">SUM(DA127:DA146)</f>
        <v>0</v>
      </c>
      <c r="DB147" s="23">
        <f t="shared" ref="DB147" si="162">SUM(DB127:DB146)</f>
        <v>0</v>
      </c>
      <c r="DC147" s="23">
        <f t="shared" ref="DC147" si="163">SUM(DC127:DC146)</f>
        <v>0</v>
      </c>
      <c r="DD147" s="23">
        <f t="shared" ref="DD147" si="164">SUM(DD127:DD146)</f>
        <v>0</v>
      </c>
      <c r="DE147" s="23">
        <f t="shared" ref="DE147" si="165">SUM(DE127:DE146)</f>
        <v>0</v>
      </c>
      <c r="DF147" s="23">
        <f t="shared" ref="DF147" si="166">SUM(DF127:DF146)</f>
        <v>0</v>
      </c>
      <c r="DG147" s="23">
        <f t="shared" ref="DG147" si="167">SUM(DG127:DG146)</f>
        <v>0</v>
      </c>
      <c r="DH147" s="23">
        <f t="shared" ref="DH147" si="168">SUM(DH127:DH146)</f>
        <v>0</v>
      </c>
      <c r="DI147" s="23">
        <f t="shared" ref="DI147" si="169">SUM(DI127:DI146)</f>
        <v>0</v>
      </c>
      <c r="DJ147" s="23">
        <f t="shared" ref="DJ147" si="170">SUM(DJ127:DJ146)</f>
        <v>0</v>
      </c>
      <c r="DK147" s="23">
        <f t="shared" ref="DK147" si="171">SUM(DK127:DK146)</f>
        <v>0</v>
      </c>
      <c r="DL147" s="23">
        <f t="shared" ref="DL147" si="172">SUM(DL127:DL146)</f>
        <v>0</v>
      </c>
      <c r="DM147" s="23">
        <f t="shared" ref="DM147" si="173">SUM(DM127:DM146)</f>
        <v>0</v>
      </c>
      <c r="DN147" s="23">
        <f t="shared" ref="DN147" si="174">SUM(DN127:DN146)</f>
        <v>0</v>
      </c>
      <c r="DO147" s="23">
        <f t="shared" ref="DO147" si="175">SUM(DO127:DO146)</f>
        <v>0</v>
      </c>
      <c r="DP147" s="23">
        <f t="shared" ref="DP147" si="176">SUM(DP127:DP146)</f>
        <v>0</v>
      </c>
      <c r="DQ147" s="23">
        <f t="shared" ref="DQ147" si="177">SUM(DQ127:DQ146)</f>
        <v>0</v>
      </c>
      <c r="DR147" s="23">
        <f t="shared" ref="DR147" si="178">SUM(DR127:DR146)</f>
        <v>0</v>
      </c>
      <c r="DS147" s="23">
        <f t="shared" ref="DS147" si="179">SUM(DS127:DS146)</f>
        <v>0</v>
      </c>
      <c r="DT147" s="23">
        <f t="shared" ref="DT147" si="180">SUM(DT127:DT146)</f>
        <v>0</v>
      </c>
      <c r="DU147" s="23">
        <f t="shared" ref="DU147" si="181">SUM(DU127:DU146)</f>
        <v>0</v>
      </c>
      <c r="DV147" s="23">
        <f t="shared" ref="DV147" si="182">SUM(DV127:DV146)</f>
        <v>0</v>
      </c>
      <c r="DW147" s="23">
        <f t="shared" ref="DW147" si="183">SUM(DW127:DW146)</f>
        <v>0</v>
      </c>
      <c r="DX147" s="23">
        <f t="shared" ref="DX147" si="184">SUM(DX127:DX146)</f>
        <v>0</v>
      </c>
      <c r="DY147" s="23">
        <f t="shared" ref="DY147" si="185">SUM(DY127:DY146)</f>
        <v>0</v>
      </c>
      <c r="DZ147" s="23">
        <f t="shared" ref="DZ147" si="186">SUM(DZ127:DZ146)</f>
        <v>0</v>
      </c>
      <c r="EA147" s="23">
        <f t="shared" ref="EA147" si="187">SUM(EA127:EA146)</f>
        <v>0</v>
      </c>
      <c r="EB147" s="23">
        <f t="shared" ref="EB147" si="188">SUM(EB127:EB146)</f>
        <v>0</v>
      </c>
      <c r="EE147" s="8"/>
      <c r="EF147" s="8"/>
      <c r="EG147" s="8"/>
      <c r="EH147" s="8"/>
      <c r="EI147" s="8"/>
      <c r="EJ147" s="8"/>
      <c r="EK147" s="8"/>
      <c r="EL147" s="8"/>
      <c r="EM147" s="8"/>
      <c r="EN147" s="8"/>
      <c r="EO147" s="8"/>
      <c r="EP147" s="8"/>
      <c r="EQ147" s="8"/>
      <c r="ER147" s="8"/>
      <c r="ES147" s="8"/>
      <c r="ET147" s="8"/>
      <c r="EU147" s="8"/>
      <c r="EV147" s="8"/>
      <c r="EW147" s="8"/>
      <c r="EX147" s="8"/>
      <c r="EY147" s="8"/>
      <c r="EZ147" s="8"/>
      <c r="FA147" s="8"/>
      <c r="FB147" s="8"/>
      <c r="FC147" s="8"/>
      <c r="FD147" s="8"/>
      <c r="FE147" s="8"/>
      <c r="FF147" s="8"/>
      <c r="FG147" s="8"/>
      <c r="FH147" s="8"/>
      <c r="FI147" s="8"/>
      <c r="FJ147" s="8"/>
      <c r="FK147" s="8"/>
      <c r="FL147" s="8"/>
      <c r="FM147" s="8"/>
      <c r="FN147" s="8"/>
      <c r="FO147" s="8"/>
      <c r="FP147" s="8"/>
      <c r="FQ147" s="8"/>
      <c r="FR147" s="8"/>
      <c r="FS147" s="8"/>
      <c r="FT147" s="8"/>
      <c r="FU147" s="8"/>
      <c r="FV147" s="8"/>
      <c r="FW147" s="8"/>
      <c r="FX147" s="8"/>
      <c r="FY147" s="8"/>
      <c r="FZ147" s="8"/>
      <c r="GA147" s="8"/>
      <c r="GB147" s="8"/>
      <c r="GC147" s="8"/>
      <c r="GD147" s="8"/>
      <c r="GE147" s="8"/>
      <c r="GF147" s="8"/>
      <c r="GG147" s="8"/>
      <c r="GH147" s="8"/>
      <c r="GI147" s="8"/>
      <c r="GJ147" s="8"/>
      <c r="GK147" s="8"/>
      <c r="GL147" s="8"/>
      <c r="GM147" s="8"/>
      <c r="GN147" s="8"/>
      <c r="GO147" s="8"/>
      <c r="GP147" s="8"/>
      <c r="GQ147" s="8"/>
      <c r="GR147" s="8"/>
      <c r="GS147" s="8"/>
      <c r="GT147" s="8"/>
      <c r="GU147" s="8"/>
      <c r="GV147" s="8"/>
      <c r="GW147" s="8"/>
      <c r="GX147" s="8"/>
      <c r="GY147" s="8"/>
      <c r="GZ147" s="8"/>
      <c r="HA147" s="8"/>
      <c r="HB147" s="8"/>
      <c r="HC147" s="8"/>
      <c r="HD147" s="8"/>
      <c r="HE147" s="8"/>
      <c r="HF147" s="8"/>
      <c r="HG147" s="8"/>
      <c r="HH147" s="8"/>
      <c r="HI147" s="8"/>
      <c r="HJ147" s="8"/>
      <c r="HK147" s="8"/>
      <c r="HL147" s="8"/>
      <c r="HM147" s="8"/>
      <c r="HN147" s="8"/>
      <c r="HO147" s="8"/>
      <c r="HP147" s="8"/>
      <c r="HQ147" s="8"/>
      <c r="HR147" s="8"/>
      <c r="HS147" s="8"/>
      <c r="HT147" s="8"/>
      <c r="HU147" s="8"/>
      <c r="HV147" s="8"/>
      <c r="HW147" s="8"/>
      <c r="HX147" s="8"/>
      <c r="HY147" s="8"/>
      <c r="HZ147" s="8"/>
      <c r="IA147" s="8"/>
      <c r="IB147" s="8"/>
    </row>
    <row r="148" spans="2:236" outlineLevel="1" x14ac:dyDescent="0.25">
      <c r="S148" s="14"/>
      <c r="U148" s="14"/>
      <c r="V148" s="14"/>
      <c r="Y148" s="9"/>
      <c r="Z148" s="9"/>
      <c r="AA148" s="9"/>
      <c r="AC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E148" s="8"/>
      <c r="EF148" s="8"/>
      <c r="EG148" s="8"/>
      <c r="EH148" s="8"/>
      <c r="EI148" s="8"/>
      <c r="EJ148" s="8"/>
      <c r="EK148" s="8"/>
      <c r="EL148" s="8"/>
      <c r="EM148" s="8"/>
      <c r="EN148" s="8"/>
      <c r="EO148" s="8"/>
      <c r="EP148" s="8"/>
      <c r="EQ148" s="8"/>
      <c r="ER148" s="8"/>
      <c r="ES148" s="8"/>
      <c r="ET148" s="8"/>
      <c r="EU148" s="8"/>
      <c r="EV148" s="8"/>
      <c r="EW148" s="8"/>
      <c r="EX148" s="8"/>
      <c r="EY148" s="8"/>
      <c r="EZ148" s="8"/>
      <c r="FA148" s="8"/>
      <c r="FB148" s="8"/>
      <c r="FC148" s="8"/>
      <c r="FD148" s="8"/>
      <c r="FE148" s="8"/>
      <c r="FF148" s="8"/>
      <c r="FG148" s="8"/>
      <c r="FH148" s="8"/>
      <c r="FI148" s="8"/>
      <c r="FJ148" s="8"/>
      <c r="FK148" s="8"/>
      <c r="FL148" s="8"/>
      <c r="FM148" s="8"/>
      <c r="FN148" s="8"/>
      <c r="FO148" s="8"/>
      <c r="FP148" s="8"/>
      <c r="FQ148" s="8"/>
      <c r="FR148" s="8"/>
      <c r="FS148" s="8"/>
      <c r="FT148" s="8"/>
      <c r="FU148" s="8"/>
      <c r="FV148" s="8"/>
      <c r="FW148" s="8"/>
      <c r="FX148" s="8"/>
      <c r="FY148" s="8"/>
      <c r="FZ148" s="8"/>
      <c r="GA148" s="8"/>
      <c r="GB148" s="8"/>
      <c r="GC148" s="8"/>
      <c r="GD148" s="8"/>
      <c r="GE148" s="8"/>
      <c r="GF148" s="8"/>
      <c r="GG148" s="8"/>
      <c r="GH148" s="8"/>
      <c r="GI148" s="8"/>
      <c r="GJ148" s="8"/>
      <c r="GK148" s="8"/>
      <c r="GL148" s="8"/>
      <c r="GM148" s="8"/>
      <c r="GN148" s="8"/>
      <c r="GO148" s="8"/>
      <c r="GP148" s="8"/>
      <c r="GQ148" s="8"/>
      <c r="GR148" s="8"/>
      <c r="GS148" s="8"/>
      <c r="GT148" s="8"/>
      <c r="GU148" s="8"/>
      <c r="GV148" s="8"/>
      <c r="GW148" s="8"/>
      <c r="GX148" s="8"/>
      <c r="GY148" s="8"/>
      <c r="GZ148" s="8"/>
      <c r="HA148" s="8"/>
      <c r="HB148" s="8"/>
      <c r="HC148" s="8"/>
      <c r="HD148" s="8"/>
      <c r="HE148" s="8"/>
      <c r="HF148" s="8"/>
      <c r="HG148" s="8"/>
      <c r="HH148" s="8"/>
      <c r="HI148" s="8"/>
      <c r="HJ148" s="8"/>
      <c r="HK148" s="8"/>
      <c r="HL148" s="8"/>
      <c r="HM148" s="8"/>
      <c r="HN148" s="8"/>
      <c r="HO148" s="8"/>
      <c r="HP148" s="8"/>
      <c r="HQ148" s="8"/>
      <c r="HR148" s="8"/>
      <c r="HS148" s="8"/>
      <c r="HT148" s="8"/>
      <c r="HU148" s="8"/>
      <c r="HV148" s="8"/>
      <c r="HW148" s="8"/>
      <c r="HX148" s="8"/>
      <c r="HY148" s="8"/>
      <c r="HZ148" s="8"/>
      <c r="IA148" s="8"/>
      <c r="IB148" s="8"/>
    </row>
    <row r="149" spans="2:236" outlineLevel="1" x14ac:dyDescent="0.25">
      <c r="B149" s="14">
        <v>1</v>
      </c>
      <c r="C149" s="14"/>
      <c r="F149" s="1" t="s">
        <v>26</v>
      </c>
      <c r="I149" s="1" t="s">
        <v>49</v>
      </c>
      <c r="K149" s="1" t="s">
        <v>108</v>
      </c>
      <c r="O149" s="1" t="s">
        <v>57</v>
      </c>
      <c r="P149" s="14" t="s">
        <v>311</v>
      </c>
      <c r="Q149" s="83">
        <f>(8.43*8.02)+(2*(15.9*1.705))</f>
        <v>121.82759999999999</v>
      </c>
      <c r="R149" s="81" t="s">
        <v>35</v>
      </c>
      <c r="S149" s="81">
        <v>6890</v>
      </c>
      <c r="T149" s="21">
        <f>Q149*S149</f>
        <v>839392.16399999987</v>
      </c>
      <c r="U149" s="11">
        <v>1</v>
      </c>
      <c r="V149" s="14">
        <f>Voorblad!F24+100</f>
        <v>2101</v>
      </c>
      <c r="W149" s="9">
        <f>Voorblad!K77</f>
        <v>2101</v>
      </c>
      <c r="X149" s="6"/>
      <c r="Y149" s="9">
        <f t="shared" si="21"/>
        <v>138395.7447270893</v>
      </c>
      <c r="Z149" s="82" t="s">
        <v>310</v>
      </c>
      <c r="AA149" s="82">
        <v>52</v>
      </c>
      <c r="AC149" s="9">
        <f>$Y149*(Voorblad!$K$44*(1+Voorblad!$K$44)^Voorblad!$K$41)/((1+Voorblad!$K$44)^Voorblad!$K$41-1)</f>
        <v>4142.9706508114368</v>
      </c>
      <c r="AE149" s="9">
        <f>IF($W149=AE$56,EF149*($Q149*$S149)/(1+Voorblad!$K$44)^(AE$56-Voorblad!$F$41),0)</f>
        <v>0</v>
      </c>
      <c r="AF149" s="9">
        <f>IF($W149=AF$56,EG149*($Q149*$S149)/(1+Voorblad!$K$44)^(AF$56-Voorblad!$F$41),0)</f>
        <v>0</v>
      </c>
      <c r="AG149" s="9">
        <f>IF($W149=AG$56,EH149*($Q149*$S149)/(1+Voorblad!$K$44)^(AG$56-Voorblad!$F$41),0)</f>
        <v>0</v>
      </c>
      <c r="AH149" s="9">
        <f>IF($W149=AH$56,EI149*($Q149*$S149)/(1+Voorblad!$K$44)^(AH$56-Voorblad!$F$41),0)</f>
        <v>0</v>
      </c>
      <c r="AI149" s="9">
        <f>IF($W149=AI$56,EJ149*($Q149*$S149)/(1+Voorblad!$K$44)^(AI$56-Voorblad!$F$41),0)</f>
        <v>0</v>
      </c>
      <c r="AJ149" s="9">
        <f>IF($W149=AJ$56,EK149*($Q149*$S149)/(1+Voorblad!$K$44)^(AJ$56-Voorblad!$F$41),0)</f>
        <v>0</v>
      </c>
      <c r="AK149" s="9">
        <f>IF($W149=AK$56,EL149*($Q149*$S149)/(1+Voorblad!$K$44)^(AK$56-Voorblad!$F$41),0)</f>
        <v>0</v>
      </c>
      <c r="AL149" s="9">
        <f>IF($W149=AL$56,EM149*($Q149*$S149)/(1+Voorblad!$K$44)^(AL$56-Voorblad!$F$41),0)</f>
        <v>0</v>
      </c>
      <c r="AM149" s="9">
        <f>IF($W149=AM$56,EN149*($Q149*$S149)/(1+Voorblad!$K$44)^(AM$56-Voorblad!$F$41),0)</f>
        <v>0</v>
      </c>
      <c r="AN149" s="9">
        <f>IF($W149=AN$56,EO149*($Q149*$S149)/(1+Voorblad!$K$44)^(AN$56-Voorblad!$F$41),0)</f>
        <v>0</v>
      </c>
      <c r="AO149" s="9">
        <f>IF($W149=AO$56,EP149*($Q149*$S149)/(1+Voorblad!$K$44)^(AO$56-Voorblad!$F$41),0)</f>
        <v>0</v>
      </c>
      <c r="AP149" s="9">
        <f>IF($W149=AP$56,EQ149*($Q149*$S149)/(1+Voorblad!$K$44)^(AP$56-Voorblad!$F$41),0)</f>
        <v>0</v>
      </c>
      <c r="AQ149" s="9">
        <f>IF($W149=AQ$56,ER149*($Q149*$S149)/(1+Voorblad!$K$44)^(AQ$56-Voorblad!$F$41),0)</f>
        <v>0</v>
      </c>
      <c r="AR149" s="9">
        <f>IF($W149=AR$56,ES149*($Q149*$S149)/(1+Voorblad!$K$44)^(AR$56-Voorblad!$F$41),0)</f>
        <v>0</v>
      </c>
      <c r="AS149" s="9">
        <f>IF($W149=AS$56,ET149*($Q149*$S149)/(1+Voorblad!$K$44)^(AS$56-Voorblad!$F$41),0)</f>
        <v>0</v>
      </c>
      <c r="AT149" s="9">
        <f>IF($W149=AT$56,EU149*($Q149*$S149)/(1+Voorblad!$K$44)^(AT$56-Voorblad!$F$41),0)</f>
        <v>0</v>
      </c>
      <c r="AU149" s="9">
        <f>IF($W149=AU$56,EV149*($Q149*$S149)/(1+Voorblad!$K$44)^(AU$56-Voorblad!$F$41),0)</f>
        <v>0</v>
      </c>
      <c r="AV149" s="9">
        <f>IF($W149=AV$56,EW149*($Q149*$S149)/(1+Voorblad!$K$44)^(AV$56-Voorblad!$F$41),0)</f>
        <v>0</v>
      </c>
      <c r="AW149" s="9">
        <f>IF($W149=AW$56,EX149*($Q149*$S149)/(1+Voorblad!$K$44)^(AW$56-Voorblad!$F$41),0)</f>
        <v>0</v>
      </c>
      <c r="AX149" s="9">
        <f>IF($W149=AX$56,EY149*($Q149*$S149)/(1+Voorblad!$K$44)^(AX$56-Voorblad!$F$41),0)</f>
        <v>0</v>
      </c>
      <c r="AY149" s="9">
        <f>IF($W149=AY$56,EZ149*($Q149*$S149)/(1+Voorblad!$K$44)^(AY$56-Voorblad!$F$41),0)</f>
        <v>0</v>
      </c>
      <c r="AZ149" s="9">
        <f>IF($W149=AZ$56,FA149*($Q149*$S149)/(1+Voorblad!$K$44)^(AZ$56-Voorblad!$F$41),0)</f>
        <v>0</v>
      </c>
      <c r="BA149" s="9">
        <f>IF($W149=BA$56,FB149*($Q149*$S149)/(1+Voorblad!$K$44)^(BA$56-Voorblad!$F$41),0)</f>
        <v>0</v>
      </c>
      <c r="BB149" s="9">
        <f>IF($W149=BB$56,FC149*($Q149*$S149)/(1+Voorblad!$K$44)^(BB$56-Voorblad!$F$41),0)</f>
        <v>0</v>
      </c>
      <c r="BC149" s="9">
        <f>IF($W149=BC$56,FD149*($Q149*$S149)/(1+Voorblad!$K$44)^(BC$56-Voorblad!$F$41),0)</f>
        <v>0</v>
      </c>
      <c r="BD149" s="9">
        <f>IF($W149=BD$56,FE149*($Q149*$S149)/(1+Voorblad!$K$44)^(BD$56-Voorblad!$F$41),0)</f>
        <v>0</v>
      </c>
      <c r="BE149" s="9">
        <f>IF($W149=BE$56,FF149*($Q149*$S149)/(1+Voorblad!$K$44)^(BE$56-Voorblad!$F$41),0)</f>
        <v>0</v>
      </c>
      <c r="BF149" s="9">
        <f>IF($W149=BF$56,FG149*($Q149*$S149)/(1+Voorblad!$K$44)^(BF$56-Voorblad!$F$41),0)</f>
        <v>0</v>
      </c>
      <c r="BG149" s="9">
        <f>IF($W149=BG$56,FH149*($Q149*$S149)/(1+Voorblad!$K$44)^(BG$56-Voorblad!$F$41),0)</f>
        <v>0</v>
      </c>
      <c r="BH149" s="9">
        <f>IF($W149=BH$56,FI149*($Q149*$S149)/(1+Voorblad!$K$44)^(BH$56-Voorblad!$F$41),0)</f>
        <v>0</v>
      </c>
      <c r="BI149" s="9">
        <f>IF($W149=BI$56,FJ149*($Q149*$S149)/(1+Voorblad!$K$44)^(BI$56-Voorblad!$F$41),0)</f>
        <v>0</v>
      </c>
      <c r="BJ149" s="9">
        <f>IF($W149=BJ$56,FK149*($Q149*$S149)/(1+Voorblad!$K$44)^(BJ$56-Voorblad!$F$41),0)</f>
        <v>0</v>
      </c>
      <c r="BK149" s="9">
        <f>IF($W149=BK$56,FL149*($Q149*$S149)/(1+Voorblad!$K$44)^(BK$56-Voorblad!$F$41),0)</f>
        <v>0</v>
      </c>
      <c r="BL149" s="9">
        <f>IF($W149=BL$56,FM149*($Q149*$S149)/(1+Voorblad!$K$44)^(BL$56-Voorblad!$F$41),0)</f>
        <v>0</v>
      </c>
      <c r="BM149" s="9">
        <f>IF($W149=BM$56,FN149*($Q149*$S149)/(1+Voorblad!$K$44)^(BM$56-Voorblad!$F$41),0)</f>
        <v>0</v>
      </c>
      <c r="BN149" s="9">
        <f>IF($W149=BN$56,FO149*($Q149*$S149)/(1+Voorblad!$K$44)^(BN$56-Voorblad!$F$41),0)</f>
        <v>0</v>
      </c>
      <c r="BO149" s="9">
        <f>IF($W149=BO$56,FP149*($Q149*$S149)/(1+Voorblad!$K$44)^(BO$56-Voorblad!$F$41),0)</f>
        <v>0</v>
      </c>
      <c r="BP149" s="9">
        <f>IF($W149=BP$56,FQ149*($Q149*$S149)/(1+Voorblad!$K$44)^(BP$56-Voorblad!$F$41),0)</f>
        <v>0</v>
      </c>
      <c r="BQ149" s="9">
        <f>IF($W149=BQ$56,FR149*($Q149*$S149)/(1+Voorblad!$K$44)^(BQ$56-Voorblad!$F$41),0)</f>
        <v>0</v>
      </c>
      <c r="BR149" s="9">
        <f>IF($W149=BR$56,FS149*($Q149*$S149)/(1+Voorblad!$K$44)^(BR$56-Voorblad!$F$41),0)</f>
        <v>0</v>
      </c>
      <c r="BS149" s="9">
        <f>IF($W149=BS$56,FT149*($Q149*$S149)/(1+Voorblad!$K$44)^(BS$56-Voorblad!$F$41),0)</f>
        <v>0</v>
      </c>
      <c r="BT149" s="9">
        <f>IF($W149=BT$56,FU149*($Q149*$S149)/(1+Voorblad!$K$44)^(BT$56-Voorblad!$F$41),0)</f>
        <v>0</v>
      </c>
      <c r="BU149" s="9">
        <f>IF($W149=BU$56,FV149*($Q149*$S149)/(1+Voorblad!$K$44)^(BU$56-Voorblad!$F$41),0)</f>
        <v>0</v>
      </c>
      <c r="BV149" s="9">
        <f>IF($W149=BV$56,FW149*($Q149*$S149)/(1+Voorblad!$K$44)^(BV$56-Voorblad!$F$41),0)</f>
        <v>0</v>
      </c>
      <c r="BW149" s="9">
        <f>IF($W149=BW$56,FX149*($Q149*$S149)/(1+Voorblad!$K$44)^(BW$56-Voorblad!$F$41),0)</f>
        <v>0</v>
      </c>
      <c r="BX149" s="9">
        <f>IF($W149=BX$56,FY149*($Q149*$S149)/(1+Voorblad!$K$44)^(BX$56-Voorblad!$F$41),0)</f>
        <v>0</v>
      </c>
      <c r="BY149" s="9">
        <f>IF($W149=BY$56,FZ149*($Q149*$S149)/(1+Voorblad!$K$44)^(BY$56-Voorblad!$F$41),0)</f>
        <v>0</v>
      </c>
      <c r="BZ149" s="9">
        <f>IF($W149=BZ$56,GA149*($Q149*$S149)/(1+Voorblad!$K$44)^(BZ$56-Voorblad!$F$41),0)</f>
        <v>0</v>
      </c>
      <c r="CA149" s="9">
        <f>IF($W149=CA$56,GB149*($Q149*$S149)/(1+Voorblad!$K$44)^(CA$56-Voorblad!$F$41),0)</f>
        <v>0</v>
      </c>
      <c r="CB149" s="9">
        <f>IF($W149=CB$56,GC149*($Q149*$S149)/(1+Voorblad!$K$44)^(CB$56-Voorblad!$F$41),0)</f>
        <v>0</v>
      </c>
      <c r="CC149" s="9">
        <f>IF($W149=CC$56,GD149*($Q149*$S149)/(1+Voorblad!$K$44)^(CC$56-Voorblad!$F$41),0)</f>
        <v>0</v>
      </c>
      <c r="CD149" s="9">
        <f>IF($W149=CD$56,GE149*($Q149*$S149)/(1+Voorblad!$K$44)^(CD$56-Voorblad!$F$41),0)</f>
        <v>0</v>
      </c>
      <c r="CE149" s="9">
        <f>IF($W149=CE$56,GF149*($Q149*$S149)/(1+Voorblad!$K$44)^(CE$56-Voorblad!$F$41),0)</f>
        <v>0</v>
      </c>
      <c r="CF149" s="9">
        <f>IF($W149=CF$56,GG149*($Q149*$S149)/(1+Voorblad!$K$44)^(CF$56-Voorblad!$F$41),0)</f>
        <v>0</v>
      </c>
      <c r="CG149" s="9">
        <f>IF($W149=CG$56,GH149*($Q149*$S149)/(1+Voorblad!$K$44)^(CG$56-Voorblad!$F$41),0)</f>
        <v>0</v>
      </c>
      <c r="CH149" s="9">
        <f>IF($W149=CH$56,GI149*($Q149*$S149)/(1+Voorblad!$K$44)^(CH$56-Voorblad!$F$41),0)</f>
        <v>0</v>
      </c>
      <c r="CI149" s="9">
        <f>IF($W149=CI$56,GJ149*($Q149*$S149)/(1+Voorblad!$K$44)^(CI$56-Voorblad!$F$41),0)</f>
        <v>0</v>
      </c>
      <c r="CJ149" s="9">
        <f>IF($W149=CJ$56,GK149*($Q149*$S149)/(1+Voorblad!$K$44)^(CJ$56-Voorblad!$F$41),0)</f>
        <v>0</v>
      </c>
      <c r="CK149" s="9">
        <f>IF($W149=CK$56,GL149*($Q149*$S149)/(1+Voorblad!$K$44)^(CK$56-Voorblad!$F$41),0)</f>
        <v>0</v>
      </c>
      <c r="CL149" s="9">
        <f>IF($W149=CL$56,GM149*($Q149*$S149)/(1+Voorblad!$K$44)^(CL$56-Voorblad!$F$41),0)</f>
        <v>0</v>
      </c>
      <c r="CM149" s="9">
        <f>IF($W149=CM$56,GN149*($Q149*$S149)/(1+Voorblad!$K$44)^(CM$56-Voorblad!$F$41),0)</f>
        <v>0</v>
      </c>
      <c r="CN149" s="9">
        <f>IF($W149=CN$56,GO149*($Q149*$S149)/(1+Voorblad!$K$44)^(CN$56-Voorblad!$F$41),0)</f>
        <v>0</v>
      </c>
      <c r="CO149" s="9">
        <f>IF($W149=CO$56,GP149*($Q149*$S149)/(1+Voorblad!$K$44)^(CO$56-Voorblad!$F$41),0)</f>
        <v>0</v>
      </c>
      <c r="CP149" s="9">
        <f>IF($W149=CP$56,GQ149*($Q149*$S149)/(1+Voorblad!$K$44)^(CP$56-Voorblad!$F$41),0)</f>
        <v>0</v>
      </c>
      <c r="CQ149" s="9">
        <f>IF($W149=CQ$56,GR149*($Q149*$S149)/(1+Voorblad!$K$44)^(CQ$56-Voorblad!$F$41),0)</f>
        <v>0</v>
      </c>
      <c r="CR149" s="9">
        <f>IF($W149=CR$56,GS149*($Q149*$S149)/(1+Voorblad!$K$44)^(CR$56-Voorblad!$F$41),0)</f>
        <v>0</v>
      </c>
      <c r="CS149" s="9">
        <f>IF($W149=CS$56,GT149*($Q149*$S149)/(1+Voorblad!$K$44)^(CS$56-Voorblad!$F$41),0)</f>
        <v>0</v>
      </c>
      <c r="CT149" s="9">
        <f>IF($W149=CT$56,GU149*($Q149*$S149)/(1+Voorblad!$K$44)^(CT$56-Voorblad!$F$41),0)</f>
        <v>0</v>
      </c>
      <c r="CU149" s="9">
        <f>IF($W149=CU$56,GV149*($Q149*$S149)/(1+Voorblad!$K$44)^(CU$56-Voorblad!$F$41),0)</f>
        <v>0</v>
      </c>
      <c r="CV149" s="9">
        <f>IF($W149=CV$56,GW149*($Q149*$S149)/(1+Voorblad!$K$44)^(CV$56-Voorblad!$F$41),0)</f>
        <v>0</v>
      </c>
      <c r="CW149" s="9">
        <f>IF($W149=CW$56,GX149*($Q149*$S149)/(1+Voorblad!$K$44)^(CW$56-Voorblad!$F$41),0)</f>
        <v>0</v>
      </c>
      <c r="CX149" s="9">
        <f>IF($W149=CX$56,GY149*($Q149*$S149)/(1+Voorblad!$K$44)^(CX$56-Voorblad!$F$41),0)</f>
        <v>0</v>
      </c>
      <c r="CY149" s="9">
        <f>IF($W149=CY$56,GZ149*($Q149*$S149)/(1+Voorblad!$K$44)^(CY$56-Voorblad!$F$41),0)</f>
        <v>0</v>
      </c>
      <c r="CZ149" s="9">
        <f>IF($W149=CZ$56,HA149*($Q149*$S149)/(1+Voorblad!$K$44)^(CZ$56-Voorblad!$F$41),0)</f>
        <v>138395.7447270893</v>
      </c>
      <c r="DA149" s="9">
        <f>IF($W149=DA$56,HB149*($Q149*$S149)/(1+Voorblad!$K$44)^(DA$56-Voorblad!$F$41),0)</f>
        <v>0</v>
      </c>
      <c r="DB149" s="9">
        <f>IF($W149=DB$56,HC149*($Q149*$S149)/(1+Voorblad!$K$44)^(DB$56-Voorblad!$F$41),0)</f>
        <v>0</v>
      </c>
      <c r="DC149" s="9">
        <f>IF($W149=DC$56,HD149*($Q149*$S149)/(1+Voorblad!$K$44)^(DC$56-Voorblad!$F$41),0)</f>
        <v>0</v>
      </c>
      <c r="DD149" s="9">
        <f>IF($W149=DD$56,HE149*($Q149*$S149)/(1+Voorblad!$K$44)^(DD$56-Voorblad!$F$41),0)</f>
        <v>0</v>
      </c>
      <c r="DE149" s="9">
        <f>IF($W149=DE$56,HF149*($Q149*$S149)/(1+Voorblad!$K$44)^(DE$56-Voorblad!$F$41),0)</f>
        <v>0</v>
      </c>
      <c r="DF149" s="9">
        <f>IF($W149=DF$56,HG149*($Q149*$S149)/(1+Voorblad!$K$44)^(DF$56-Voorblad!$F$41),0)</f>
        <v>0</v>
      </c>
      <c r="DG149" s="9">
        <f>IF($W149=DG$56,HH149*($Q149*$S149)/(1+Voorblad!$K$44)^(DG$56-Voorblad!$F$41),0)</f>
        <v>0</v>
      </c>
      <c r="DH149" s="9">
        <f>IF($W149=DH$56,HI149*($Q149*$S149)/(1+Voorblad!$K$44)^(DH$56-Voorblad!$F$41),0)</f>
        <v>0</v>
      </c>
      <c r="DI149" s="9">
        <f>IF($W149=DI$56,HJ149*($Q149*$S149)/(1+Voorblad!$K$44)^(DI$56-Voorblad!$F$41),0)</f>
        <v>0</v>
      </c>
      <c r="DJ149" s="9">
        <f>IF($W149=DJ$56,HK149*($Q149*$S149)/(1+Voorblad!$K$44)^(DJ$56-Voorblad!$F$41),0)</f>
        <v>0</v>
      </c>
      <c r="DK149" s="9">
        <f>IF($W149=DK$56,HL149*($Q149*$S149)/(1+Voorblad!$K$44)^(DK$56-Voorblad!$F$41),0)</f>
        <v>0</v>
      </c>
      <c r="DL149" s="9">
        <f>IF($W149=DL$56,HM149*($Q149*$S149)/(1+Voorblad!$K$44)^(DL$56-Voorblad!$F$41),0)</f>
        <v>0</v>
      </c>
      <c r="DM149" s="9">
        <f>IF($W149=DM$56,HN149*($Q149*$S149)/(1+Voorblad!$K$44)^(DM$56-Voorblad!$F$41),0)</f>
        <v>0</v>
      </c>
      <c r="DN149" s="9">
        <f>IF($W149=DN$56,HO149*($Q149*$S149)/(1+Voorblad!$K$44)^(DN$56-Voorblad!$F$41),0)</f>
        <v>0</v>
      </c>
      <c r="DO149" s="9">
        <f>IF($W149=DO$56,HP149*($Q149*$S149)/(1+Voorblad!$K$44)^(DO$56-Voorblad!$F$41),0)</f>
        <v>0</v>
      </c>
      <c r="DP149" s="9">
        <f>IF($W149=DP$56,HQ149*($Q149*$S149)/(1+Voorblad!$K$44)^(DP$56-Voorblad!$F$41),0)</f>
        <v>0</v>
      </c>
      <c r="DQ149" s="9">
        <f>IF($W149=DQ$56,HR149*($Q149*$S149)/(1+Voorblad!$K$44)^(DQ$56-Voorblad!$F$41),0)</f>
        <v>0</v>
      </c>
      <c r="DR149" s="9">
        <f>IF($W149=DR$56,HS149*($Q149*$S149)/(1+Voorblad!$K$44)^(DR$56-Voorblad!$F$41),0)</f>
        <v>0</v>
      </c>
      <c r="DS149" s="9">
        <f>IF($W149=DS$56,HT149*($Q149*$S149)/(1+Voorblad!$K$44)^(DS$56-Voorblad!$F$41),0)</f>
        <v>0</v>
      </c>
      <c r="DT149" s="9">
        <f>IF($W149=DT$56,HU149*($Q149*$S149)/(1+Voorblad!$K$44)^(DT$56-Voorblad!$F$41),0)</f>
        <v>0</v>
      </c>
      <c r="DU149" s="9">
        <f>IF($W149=DU$56,HV149*($Q149*$S149)/(1+Voorblad!$K$44)^(DU$56-Voorblad!$F$41),0)</f>
        <v>0</v>
      </c>
      <c r="DV149" s="9">
        <f>IF($W149=DV$56,HW149*($Q149*$S149)/(1+Voorblad!$K$44)^(DV$56-Voorblad!$F$41),0)</f>
        <v>0</v>
      </c>
      <c r="DW149" s="9">
        <f>IF($W149=DW$56,HX149*($Q149*$S149)/(1+Voorblad!$K$44)^(DW$56-Voorblad!$F$41),0)</f>
        <v>0</v>
      </c>
      <c r="DX149" s="9">
        <f>IF($W149=DX$56,HY149*($Q149*$S149)/(1+Voorblad!$K$44)^(DX$56-Voorblad!$F$41),0)</f>
        <v>0</v>
      </c>
      <c r="DY149" s="9">
        <f>IF($W149=DY$56,HZ149*($Q149*$S149)/(1+Voorblad!$K$44)^(DY$56-Voorblad!$F$41),0)</f>
        <v>0</v>
      </c>
      <c r="DZ149" s="9">
        <f>IF($W149=DZ$56,IA149*($Q149*$S149)/(1+Voorblad!$K$44)^(DZ$56-Voorblad!$F$41),0)</f>
        <v>0</v>
      </c>
      <c r="EA149" s="9">
        <f>IF($W149=EA$56,IB149*($Q149*$S149)/(1+Voorblad!$K$44)^(EA$56-Voorblad!$F$41),0)</f>
        <v>0</v>
      </c>
      <c r="EB149" s="9">
        <f>IF($W149=EB$56,IC149*($Q149*$S149)/(1+Voorblad!$K$44)^(EB$56-Voorblad!$F$41),0)</f>
        <v>0</v>
      </c>
      <c r="EE149" s="8">
        <v>0</v>
      </c>
      <c r="EF149" s="8">
        <f>IF(EF$56-Voorblad!$F$41&gt;Voorblad!$K$41,0,IF($U149=0,0,IF($U149&lt;1,1/$U149,IF((EF$56-Voorblad!$F$41)/$U149-SUM($EE149:EE149)=1,1,0))))</f>
        <v>0</v>
      </c>
      <c r="EG149" s="8">
        <f>IF(EG$56-Voorblad!$F$41&gt;Voorblad!$K$41,0,IF($U149=0,0,IF($U149&lt;1,1/$U149,IF((EG$56-Voorblad!$F$41)/$U149-SUM($EE149:EF149)=1,1,0))))</f>
        <v>1</v>
      </c>
      <c r="EH149" s="8">
        <f>IF(EH$56-Voorblad!$F$41&gt;Voorblad!$K$41,0,IF($U149=0,0,IF($U149&lt;1,1/$U149,IF((EH$56-Voorblad!$F$41)/$U149-SUM($EE149:EG149)=1,1,0))))</f>
        <v>1</v>
      </c>
      <c r="EI149" s="8">
        <f>IF(EI$56-Voorblad!$F$41&gt;Voorblad!$K$41,0,IF($U149=0,0,IF($U149&lt;1,1/$U149,IF((EI$56-Voorblad!$F$41)/$U149-SUM($EE149:EH149)=1,1,0))))</f>
        <v>1</v>
      </c>
      <c r="EJ149" s="8">
        <f>IF(EJ$56-Voorblad!$F$41&gt;Voorblad!$K$41,0,IF($U149=0,0,IF($U149&lt;1,1/$U149,IF((EJ$56-Voorblad!$F$41)/$U149-SUM($EE149:EI149)=1,1,0))))</f>
        <v>1</v>
      </c>
      <c r="EK149" s="8">
        <f>IF(EK$56-Voorblad!$F$41&gt;Voorblad!$K$41,0,IF($U149=0,0,IF($U149&lt;1,1/$U149,IF((EK$56-Voorblad!$F$41)/$U149-SUM($EE149:EJ149)=1,1,0))))</f>
        <v>1</v>
      </c>
      <c r="EL149" s="8">
        <f>IF(EL$56-Voorblad!$F$41&gt;Voorblad!$K$41,0,IF($U149=0,0,IF($U149&lt;1,1/$U149,IF((EL$56-Voorblad!$F$41)/$U149-SUM($EE149:EK149)=1,1,0))))</f>
        <v>1</v>
      </c>
      <c r="EM149" s="8">
        <f>IF(EM$56-Voorblad!$F$41&gt;Voorblad!$K$41,0,IF($U149=0,0,IF($U149&lt;1,1/$U149,IF((EM$56-Voorblad!$F$41)/$U149-SUM($EE149:EL149)=1,1,0))))</f>
        <v>1</v>
      </c>
      <c r="EN149" s="8">
        <f>IF(EN$56-Voorblad!$F$41&gt;Voorblad!$K$41,0,IF($U149=0,0,IF($U149&lt;1,1/$U149,IF((EN$56-Voorblad!$F$41)/$U149-SUM($EE149:EM149)=1,1,0))))</f>
        <v>1</v>
      </c>
      <c r="EO149" s="8">
        <f>IF(EO$56-Voorblad!$F$41&gt;Voorblad!$K$41,0,IF($U149=0,0,IF($U149&lt;1,1/$U149,IF((EO$56-Voorblad!$F$41)/$U149-SUM($EE149:EN149)=1,1,0))))</f>
        <v>1</v>
      </c>
      <c r="EP149" s="8">
        <f>IF(EP$56-Voorblad!$F$41&gt;Voorblad!$K$41,0,IF($U149=0,0,IF($U149&lt;1,1/$U149,IF((EP$56-Voorblad!$F$41)/$U149-SUM($EE149:EO149)=1,1,0))))</f>
        <v>1</v>
      </c>
      <c r="EQ149" s="8">
        <f>IF(EQ$56-Voorblad!$F$41&gt;Voorblad!$K$41,0,IF($U149=0,0,IF($U149&lt;1,1/$U149,IF((EQ$56-Voorblad!$F$41)/$U149-SUM($EE149:EP149)=1,1,0))))</f>
        <v>1</v>
      </c>
      <c r="ER149" s="8">
        <f>IF(ER$56-Voorblad!$F$41&gt;Voorblad!$K$41,0,IF($U149=0,0,IF($U149&lt;1,1/$U149,IF((ER$56-Voorblad!$F$41)/$U149-SUM($EE149:EQ149)=1,1,0))))</f>
        <v>1</v>
      </c>
      <c r="ES149" s="8">
        <f>IF(ES$56-Voorblad!$F$41&gt;Voorblad!$K$41,0,IF($U149=0,0,IF($U149&lt;1,1/$U149,IF((ES$56-Voorblad!$F$41)/$U149-SUM($EE149:ER149)=1,1,0))))</f>
        <v>1</v>
      </c>
      <c r="ET149" s="8">
        <f>IF(ET$56-Voorblad!$F$41&gt;Voorblad!$K$41,0,IF($U149=0,0,IF($U149&lt;1,1/$U149,IF((ET$56-Voorblad!$F$41)/$U149-SUM($EE149:ES149)=1,1,0))))</f>
        <v>1</v>
      </c>
      <c r="EU149" s="8">
        <f>IF(EU$56-Voorblad!$F$41&gt;Voorblad!$K$41,0,IF($U149=0,0,IF($U149&lt;1,1/$U149,IF((EU$56-Voorblad!$F$41)/$U149-SUM($EE149:ET149)=1,1,0))))</f>
        <v>1</v>
      </c>
      <c r="EV149" s="8">
        <f>IF(EV$56-Voorblad!$F$41&gt;Voorblad!$K$41,0,IF($U149=0,0,IF($U149&lt;1,1/$U149,IF((EV$56-Voorblad!$F$41)/$U149-SUM($EE149:EU149)=1,1,0))))</f>
        <v>1</v>
      </c>
      <c r="EW149" s="8">
        <f>IF(EW$56-Voorblad!$F$41&gt;Voorblad!$K$41,0,IF($U149=0,0,IF($U149&lt;1,1/$U149,IF((EW$56-Voorblad!$F$41)/$U149-SUM($EE149:EV149)=1,1,0))))</f>
        <v>1</v>
      </c>
      <c r="EX149" s="8">
        <f>IF(EX$56-Voorblad!$F$41&gt;Voorblad!$K$41,0,IF($U149=0,0,IF($U149&lt;1,1/$U149,IF((EX$56-Voorblad!$F$41)/$U149-SUM($EE149:EW149)=1,1,0))))</f>
        <v>1</v>
      </c>
      <c r="EY149" s="8">
        <f>IF(EY$56-Voorblad!$F$41&gt;Voorblad!$K$41,0,IF($U149=0,0,IF($U149&lt;1,1/$U149,IF((EY$56-Voorblad!$F$41)/$U149-SUM($EE149:EX149)=1,1,0))))</f>
        <v>1</v>
      </c>
      <c r="EZ149" s="8">
        <f>IF(EZ$56-Voorblad!$F$41&gt;Voorblad!$K$41,0,IF($U149=0,0,IF($U149&lt;1,1/$U149,IF((EZ$56-Voorblad!$F$41)/$U149-SUM($EE149:EY149)=1,1,0))))</f>
        <v>1</v>
      </c>
      <c r="FA149" s="8">
        <f>IF(FA$56-Voorblad!$F$41&gt;Voorblad!$K$41,0,IF($U149=0,0,IF($U149&lt;1,1/$U149,IF((FA$56-Voorblad!$F$41)/$U149-SUM($EE149:EZ149)=1,1,0))))</f>
        <v>1</v>
      </c>
      <c r="FB149" s="8">
        <f>IF(FB$56-Voorblad!$F$41&gt;Voorblad!$K$41,0,IF($U149=0,0,IF($U149&lt;1,1/$U149,IF((FB$56-Voorblad!$F$41)/$U149-SUM($EE149:FA149)=1,1,0))))</f>
        <v>1</v>
      </c>
      <c r="FC149" s="8">
        <f>IF(FC$56-Voorblad!$F$41&gt;Voorblad!$K$41,0,IF($U149=0,0,IF($U149&lt;1,1/$U149,IF((FC$56-Voorblad!$F$41)/$U149-SUM($EE149:FB149)=1,1,0))))</f>
        <v>1</v>
      </c>
      <c r="FD149" s="8">
        <f>IF(FD$56-Voorblad!$F$41&gt;Voorblad!$K$41,0,IF($U149=0,0,IF($U149&lt;1,1/$U149,IF((FD$56-Voorblad!$F$41)/$U149-SUM($EE149:FC149)=1,1,0))))</f>
        <v>1</v>
      </c>
      <c r="FE149" s="8">
        <f>IF(FE$56-Voorblad!$F$41&gt;Voorblad!$K$41,0,IF($U149=0,0,IF($U149&lt;1,1/$U149,IF((FE$56-Voorblad!$F$41)/$U149-SUM($EE149:FD149)=1,1,0))))</f>
        <v>1</v>
      </c>
      <c r="FF149" s="8">
        <f>IF(FF$56-Voorblad!$F$41&gt;Voorblad!$K$41,0,IF($U149=0,0,IF($U149&lt;1,1/$U149,IF((FF$56-Voorblad!$F$41)/$U149-SUM($EE149:FE149)=1,1,0))))</f>
        <v>1</v>
      </c>
      <c r="FG149" s="8">
        <f>IF(FG$56-Voorblad!$F$41&gt;Voorblad!$K$41,0,IF($U149=0,0,IF($U149&lt;1,1/$U149,IF((FG$56-Voorblad!$F$41)/$U149-SUM($EE149:FF149)=1,1,0))))</f>
        <v>1</v>
      </c>
      <c r="FH149" s="8">
        <f>IF(FH$56-Voorblad!$F$41&gt;Voorblad!$K$41,0,IF($U149=0,0,IF($U149&lt;1,1/$U149,IF((FH$56-Voorblad!$F$41)/$U149-SUM($EE149:FG149)=1,1,0))))</f>
        <v>1</v>
      </c>
      <c r="FI149" s="8">
        <f>IF(FI$56-Voorblad!$F$41&gt;Voorblad!$K$41,0,IF($U149=0,0,IF($U149&lt;1,1/$U149,IF((FI$56-Voorblad!$F$41)/$U149-SUM($EE149:FH149)=1,1,0))))</f>
        <v>1</v>
      </c>
      <c r="FJ149" s="8">
        <f>IF(FJ$56-Voorblad!$F$41&gt;Voorblad!$K$41,0,IF($U149=0,0,IF($U149&lt;1,1/$U149,IF((FJ$56-Voorblad!$F$41)/$U149-SUM($EE149:FI149)=1,1,0))))</f>
        <v>1</v>
      </c>
      <c r="FK149" s="8">
        <f>IF(FK$56-Voorblad!$F$41&gt;Voorblad!$K$41,0,IF($U149=0,0,IF($U149&lt;1,1/$U149,IF((FK$56-Voorblad!$F$41)/$U149-SUM($EE149:FJ149)=1,1,0))))</f>
        <v>1</v>
      </c>
      <c r="FL149" s="8">
        <f>IF(FL$56-Voorblad!$F$41&gt;Voorblad!$K$41,0,IF($U149=0,0,IF($U149&lt;1,1/$U149,IF((FL$56-Voorblad!$F$41)/$U149-SUM($EE149:FK149)=1,1,0))))</f>
        <v>1</v>
      </c>
      <c r="FM149" s="8">
        <f>IF(FM$56-Voorblad!$F$41&gt;Voorblad!$K$41,0,IF($U149=0,0,IF($U149&lt;1,1/$U149,IF((FM$56-Voorblad!$F$41)/$U149-SUM($EE149:FL149)=1,1,0))))</f>
        <v>1</v>
      </c>
      <c r="FN149" s="8">
        <f>IF(FN$56-Voorblad!$F$41&gt;Voorblad!$K$41,0,IF($U149=0,0,IF($U149&lt;1,1/$U149,IF((FN$56-Voorblad!$F$41)/$U149-SUM($EE149:FM149)=1,1,0))))</f>
        <v>1</v>
      </c>
      <c r="FO149" s="8">
        <f>IF(FO$56-Voorblad!$F$41&gt;Voorblad!$K$41,0,IF($U149=0,0,IF($U149&lt;1,1/$U149,IF((FO$56-Voorblad!$F$41)/$U149-SUM($EE149:FN149)=1,1,0))))</f>
        <v>1</v>
      </c>
      <c r="FP149" s="8">
        <f>IF(FP$56-Voorblad!$F$41&gt;Voorblad!$K$41,0,IF($U149=0,0,IF($U149&lt;1,1/$U149,IF((FP$56-Voorblad!$F$41)/$U149-SUM($EE149:FO149)=1,1,0))))</f>
        <v>1</v>
      </c>
      <c r="FQ149" s="8">
        <f>IF(FQ$56-Voorblad!$F$41&gt;Voorblad!$K$41,0,IF($U149=0,0,IF($U149&lt;1,1/$U149,IF((FQ$56-Voorblad!$F$41)/$U149-SUM($EE149:FP149)=1,1,0))))</f>
        <v>1</v>
      </c>
      <c r="FR149" s="8">
        <f>IF(FR$56-Voorblad!$F$41&gt;Voorblad!$K$41,0,IF($U149=0,0,IF($U149&lt;1,1/$U149,IF((FR$56-Voorblad!$F$41)/$U149-SUM($EE149:FQ149)=1,1,0))))</f>
        <v>1</v>
      </c>
      <c r="FS149" s="8">
        <f>IF(FS$56-Voorblad!$F$41&gt;Voorblad!$K$41,0,IF($U149=0,0,IF($U149&lt;1,1/$U149,IF((FS$56-Voorblad!$F$41)/$U149-SUM($EE149:FR149)=1,1,0))))</f>
        <v>1</v>
      </c>
      <c r="FT149" s="8">
        <f>IF(FT$56-Voorblad!$F$41&gt;Voorblad!$K$41,0,IF($U149=0,0,IF($U149&lt;1,1/$U149,IF((FT$56-Voorblad!$F$41)/$U149-SUM($EE149:FS149)=1,1,0))))</f>
        <v>1</v>
      </c>
      <c r="FU149" s="8">
        <f>IF(FU$56-Voorblad!$F$41&gt;Voorblad!$K$41,0,IF($U149=0,0,IF($U149&lt;1,1/$U149,IF((FU$56-Voorblad!$F$41)/$U149-SUM($EE149:FT149)=1,1,0))))</f>
        <v>1</v>
      </c>
      <c r="FV149" s="8">
        <f>IF(FV$56-Voorblad!$F$41&gt;Voorblad!$K$41,0,IF($U149=0,0,IF($U149&lt;1,1/$U149,IF((FV$56-Voorblad!$F$41)/$U149-SUM($EE149:FU149)=1,1,0))))</f>
        <v>1</v>
      </c>
      <c r="FW149" s="8">
        <f>IF(FW$56-Voorblad!$F$41&gt;Voorblad!$K$41,0,IF($U149=0,0,IF($U149&lt;1,1/$U149,IF((FW$56-Voorblad!$F$41)/$U149-SUM($EE149:FV149)=1,1,0))))</f>
        <v>1</v>
      </c>
      <c r="FX149" s="8">
        <f>IF(FX$56-Voorblad!$F$41&gt;Voorblad!$K$41,0,IF($U149=0,0,IF($U149&lt;1,1/$U149,IF((FX$56-Voorblad!$F$41)/$U149-SUM($EE149:FW149)=1,1,0))))</f>
        <v>1</v>
      </c>
      <c r="FY149" s="8">
        <f>IF(FY$56-Voorblad!$F$41&gt;Voorblad!$K$41,0,IF($U149=0,0,IF($U149&lt;1,1/$U149,IF((FY$56-Voorblad!$F$41)/$U149-SUM($EE149:FX149)=1,1,0))))</f>
        <v>1</v>
      </c>
      <c r="FZ149" s="8">
        <f>IF(FZ$56-Voorblad!$F$41&gt;Voorblad!$K$41,0,IF($U149=0,0,IF($U149&lt;1,1/$U149,IF((FZ$56-Voorblad!$F$41)/$U149-SUM($EE149:FY149)=1,1,0))))</f>
        <v>1</v>
      </c>
      <c r="GA149" s="8">
        <f>IF(GA$56-Voorblad!$F$41&gt;Voorblad!$K$41,0,IF($U149=0,0,IF($U149&lt;1,1/$U149,IF((GA$56-Voorblad!$F$41)/$U149-SUM($EE149:FZ149)=1,1,0))))</f>
        <v>1</v>
      </c>
      <c r="GB149" s="8">
        <f>IF(GB$56-Voorblad!$F$41&gt;Voorblad!$K$41,0,IF($U149=0,0,IF($U149&lt;1,1/$U149,IF((GB$56-Voorblad!$F$41)/$U149-SUM($EE149:GA149)=1,1,0))))</f>
        <v>1</v>
      </c>
      <c r="GC149" s="8">
        <f>IF(GC$56-Voorblad!$F$41&gt;Voorblad!$K$41,0,IF($U149=0,0,IF($U149&lt;1,1/$U149,IF((GC$56-Voorblad!$F$41)/$U149-SUM($EE149:GB149)=1,1,0))))</f>
        <v>1</v>
      </c>
      <c r="GD149" s="8">
        <f>IF(GD$56-Voorblad!$F$41&gt;Voorblad!$K$41,0,IF($U149=0,0,IF($U149&lt;1,1/$U149,IF((GD$56-Voorblad!$F$41)/$U149-SUM($EE149:GC149)=1,1,0))))</f>
        <v>1</v>
      </c>
      <c r="GE149" s="8">
        <f>IF(GE$56-Voorblad!$F$41&gt;Voorblad!$K$41,0,IF($U149=0,0,IF($U149&lt;1,1/$U149,IF((GE$56-Voorblad!$F$41)/$U149-SUM($EE149:GD149)=1,1,0))))</f>
        <v>1</v>
      </c>
      <c r="GF149" s="8">
        <f>IF(GF$56-Voorblad!$F$41&gt;Voorblad!$K$41,0,IF($U149=0,0,IF($U149&lt;1,1/$U149,IF((GF$56-Voorblad!$F$41)/$U149-SUM($EE149:GE149)=1,1,0))))</f>
        <v>1</v>
      </c>
      <c r="GG149" s="8">
        <f>IF(GG$56-Voorblad!$F$41&gt;Voorblad!$K$41,0,IF($U149=0,0,IF($U149&lt;1,1/$U149,IF((GG$56-Voorblad!$F$41)/$U149-SUM($EE149:GF149)=1,1,0))))</f>
        <v>1</v>
      </c>
      <c r="GH149" s="8">
        <f>IF(GH$56-Voorblad!$F$41&gt;Voorblad!$K$41,0,IF($U149=0,0,IF($U149&lt;1,1/$U149,IF((GH$56-Voorblad!$F$41)/$U149-SUM($EE149:GG149)=1,1,0))))</f>
        <v>1</v>
      </c>
      <c r="GI149" s="8">
        <f>IF(GI$56-Voorblad!$F$41&gt;Voorblad!$K$41,0,IF($U149=0,0,IF($U149&lt;1,1/$U149,IF((GI$56-Voorblad!$F$41)/$U149-SUM($EE149:GH149)=1,1,0))))</f>
        <v>1</v>
      </c>
      <c r="GJ149" s="8">
        <f>IF(GJ$56-Voorblad!$F$41&gt;Voorblad!$K$41,0,IF($U149=0,0,IF($U149&lt;1,1/$U149,IF((GJ$56-Voorblad!$F$41)/$U149-SUM($EE149:GI149)=1,1,0))))</f>
        <v>1</v>
      </c>
      <c r="GK149" s="8">
        <f>IF(GK$56-Voorblad!$F$41&gt;Voorblad!$K$41,0,IF($U149=0,0,IF($U149&lt;1,1/$U149,IF((GK$56-Voorblad!$F$41)/$U149-SUM($EE149:GJ149)=1,1,0))))</f>
        <v>1</v>
      </c>
      <c r="GL149" s="8">
        <f>IF(GL$56-Voorblad!$F$41&gt;Voorblad!$K$41,0,IF($U149=0,0,IF($U149&lt;1,1/$U149,IF((GL$56-Voorblad!$F$41)/$U149-SUM($EE149:GK149)=1,1,0))))</f>
        <v>1</v>
      </c>
      <c r="GM149" s="8">
        <f>IF(GM$56-Voorblad!$F$41&gt;Voorblad!$K$41,0,IF($U149=0,0,IF($U149&lt;1,1/$U149,IF((GM$56-Voorblad!$F$41)/$U149-SUM($EE149:GL149)=1,1,0))))</f>
        <v>1</v>
      </c>
      <c r="GN149" s="8">
        <f>IF(GN$56-Voorblad!$F$41&gt;Voorblad!$K$41,0,IF($U149=0,0,IF($U149&lt;1,1/$U149,IF((GN$56-Voorblad!$F$41)/$U149-SUM($EE149:GM149)=1,1,0))))</f>
        <v>1</v>
      </c>
      <c r="GO149" s="8">
        <f>IF(GO$56-Voorblad!$F$41&gt;Voorblad!$K$41,0,IF($U149=0,0,IF($U149&lt;1,1/$U149,IF((GO$56-Voorblad!$F$41)/$U149-SUM($EE149:GN149)=1,1,0))))</f>
        <v>1</v>
      </c>
      <c r="GP149" s="8">
        <f>IF(GP$56-Voorblad!$F$41&gt;Voorblad!$K$41,0,IF($U149=0,0,IF($U149&lt;1,1/$U149,IF((GP$56-Voorblad!$F$41)/$U149-SUM($EE149:GO149)=1,1,0))))</f>
        <v>1</v>
      </c>
      <c r="GQ149" s="8">
        <f>IF(GQ$56-Voorblad!$F$41&gt;Voorblad!$K$41,0,IF($U149=0,0,IF($U149&lt;1,1/$U149,IF((GQ$56-Voorblad!$F$41)/$U149-SUM($EE149:GP149)=1,1,0))))</f>
        <v>1</v>
      </c>
      <c r="GR149" s="8">
        <f>IF(GR$56-Voorblad!$F$41&gt;Voorblad!$K$41,0,IF($U149=0,0,IF($U149&lt;1,1/$U149,IF((GR$56-Voorblad!$F$41)/$U149-SUM($EE149:GQ149)=1,1,0))))</f>
        <v>1</v>
      </c>
      <c r="GS149" s="8">
        <f>IF(GS$56-Voorblad!$F$41&gt;Voorblad!$K$41,0,IF($U149=0,0,IF($U149&lt;1,1/$U149,IF((GS$56-Voorblad!$F$41)/$U149-SUM($EE149:GR149)=1,1,0))))</f>
        <v>1</v>
      </c>
      <c r="GT149" s="8">
        <f>IF(GT$56-Voorblad!$F$41&gt;Voorblad!$K$41,0,IF($U149=0,0,IF($U149&lt;1,1/$U149,IF((GT$56-Voorblad!$F$41)/$U149-SUM($EE149:GS149)=1,1,0))))</f>
        <v>1</v>
      </c>
      <c r="GU149" s="8">
        <f>IF(GU$56-Voorblad!$F$41&gt;Voorblad!$K$41,0,IF($U149=0,0,IF($U149&lt;1,1/$U149,IF((GU$56-Voorblad!$F$41)/$U149-SUM($EE149:GT149)=1,1,0))))</f>
        <v>1</v>
      </c>
      <c r="GV149" s="8">
        <f>IF(GV$56-Voorblad!$F$41&gt;Voorblad!$K$41,0,IF($U149=0,0,IF($U149&lt;1,1/$U149,IF((GV$56-Voorblad!$F$41)/$U149-SUM($EE149:GU149)=1,1,0))))</f>
        <v>1</v>
      </c>
      <c r="GW149" s="8">
        <f>IF(GW$56-Voorblad!$F$41&gt;Voorblad!$K$41,0,IF($U149=0,0,IF($U149&lt;1,1/$U149,IF((GW$56-Voorblad!$F$41)/$U149-SUM($EE149:GV149)=1,1,0))))</f>
        <v>1</v>
      </c>
      <c r="GX149" s="8">
        <f>IF(GX$56-Voorblad!$F$41&gt;Voorblad!$K$41,0,IF($U149=0,0,IF($U149&lt;1,1/$U149,IF((GX$56-Voorblad!$F$41)/$U149-SUM($EE149:GW149)=1,1,0))))</f>
        <v>1</v>
      </c>
      <c r="GY149" s="8">
        <f>IF(GY$56-Voorblad!$F$41&gt;Voorblad!$K$41,0,IF($U149=0,0,IF($U149&lt;1,1/$U149,IF((GY$56-Voorblad!$F$41)/$U149-SUM($EE149:GX149)=1,1,0))))</f>
        <v>1</v>
      </c>
      <c r="GZ149" s="8">
        <f>IF(GZ$56-Voorblad!$F$41&gt;Voorblad!$K$41,0,IF($U149=0,0,IF($U149&lt;1,1/$U149,IF((GZ$56-Voorblad!$F$41)/$U149-SUM($EE149:GY149)=1,1,0))))</f>
        <v>1</v>
      </c>
      <c r="HA149" s="8">
        <f>IF(HA$56-Voorblad!$F$41&gt;Voorblad!$K$41,0,IF($U149=0,0,IF($U149&lt;1,1/$U149,IF((HA$56-Voorblad!$F$41)/$U149-SUM($EE149:GZ149)=1,1,0))))</f>
        <v>1</v>
      </c>
      <c r="HB149" s="8">
        <f>IF(HB$56-Voorblad!$F$41&gt;Voorblad!$K$41,0,IF($U149=0,0,IF($U149&lt;1,1/$U149,IF((HB$56-Voorblad!$F$41)/$U149-SUM($EE149:HA149)=1,1,0))))</f>
        <v>0</v>
      </c>
      <c r="HC149" s="8">
        <f>IF(HC$56-Voorblad!$F$41&gt;Voorblad!$K$41,0,IF($U149=0,0,IF($U149&lt;1,1/$U149,IF((HC$56-Voorblad!$F$41)/$U149-SUM($EE149:HB149)=1,1,0))))</f>
        <v>0</v>
      </c>
      <c r="HD149" s="8">
        <f>IF(HD$56-Voorblad!$F$41&gt;Voorblad!$K$41,0,IF($U149=0,0,IF($U149&lt;1,1/$U149,IF((HD$56-Voorblad!$F$41)/$U149-SUM($EE149:HC149)=1,1,0))))</f>
        <v>0</v>
      </c>
      <c r="HE149" s="8">
        <f>IF(HE$56-Voorblad!$F$41&gt;Voorblad!$K$41,0,IF($U149=0,0,IF($U149&lt;1,1/$U149,IF((HE$56-Voorblad!$F$41)/$U149-SUM($EE149:HD149)=1,1,0))))</f>
        <v>0</v>
      </c>
      <c r="HF149" s="8">
        <f>IF(HF$56-Voorblad!$F$41&gt;Voorblad!$K$41,0,IF($U149=0,0,IF($U149&lt;1,1/$U149,IF((HF$56-Voorblad!$F$41)/$U149-SUM($EE149:HE149)=1,1,0))))</f>
        <v>0</v>
      </c>
      <c r="HG149" s="8">
        <f>IF(HG$56-Voorblad!$F$41&gt;Voorblad!$K$41,0,IF($U149=0,0,IF($U149&lt;1,1/$U149,IF((HG$56-Voorblad!$F$41)/$U149-SUM($EE149:HF149)=1,1,0))))</f>
        <v>0</v>
      </c>
      <c r="HH149" s="8">
        <f>IF(HH$56-Voorblad!$F$41&gt;Voorblad!$K$41,0,IF($U149=0,0,IF($U149&lt;1,1/$U149,IF((HH$56-Voorblad!$F$41)/$U149-SUM($EE149:HG149)=1,1,0))))</f>
        <v>0</v>
      </c>
      <c r="HI149" s="8">
        <f>IF(HI$56-Voorblad!$F$41&gt;Voorblad!$K$41,0,IF($U149=0,0,IF($U149&lt;1,1/$U149,IF((HI$56-Voorblad!$F$41)/$U149-SUM($EE149:HH149)=1,1,0))))</f>
        <v>0</v>
      </c>
      <c r="HJ149" s="8">
        <f>IF(HJ$56-Voorblad!$F$41&gt;Voorblad!$K$41,0,IF($U149=0,0,IF($U149&lt;1,1/$U149,IF((HJ$56-Voorblad!$F$41)/$U149-SUM($EE149:HI149)=1,1,0))))</f>
        <v>0</v>
      </c>
      <c r="HK149" s="8">
        <f>IF(HK$56-Voorblad!$F$41&gt;Voorblad!$K$41,0,IF($U149=0,0,IF($U149&lt;1,1/$U149,IF((HK$56-Voorblad!$F$41)/$U149-SUM($EE149:HJ149)=1,1,0))))</f>
        <v>0</v>
      </c>
      <c r="HL149" s="8">
        <f>IF(HL$56-Voorblad!$F$41&gt;Voorblad!$K$41,0,IF($U149=0,0,IF($U149&lt;1,1/$U149,IF((HL$56-Voorblad!$F$41)/$U149-SUM($EE149:HK149)=1,1,0))))</f>
        <v>0</v>
      </c>
      <c r="HM149" s="8">
        <f>IF(HM$56-Voorblad!$F$41&gt;Voorblad!$K$41,0,IF($U149=0,0,IF($U149&lt;1,1/$U149,IF((HM$56-Voorblad!$F$41)/$U149-SUM($EE149:HL149)=1,1,0))))</f>
        <v>0</v>
      </c>
      <c r="HN149" s="8">
        <f>IF(HN$56-Voorblad!$F$41&gt;Voorblad!$K$41,0,IF($U149=0,0,IF($U149&lt;1,1/$U149,IF((HN$56-Voorblad!$F$41)/$U149-SUM($EE149:HM149)=1,1,0))))</f>
        <v>0</v>
      </c>
      <c r="HO149" s="8">
        <f>IF(HO$56-Voorblad!$F$41&gt;Voorblad!$K$41,0,IF($U149=0,0,IF($U149&lt;1,1/$U149,IF((HO$56-Voorblad!$F$41)/$U149-SUM($EE149:HN149)=1,1,0))))</f>
        <v>0</v>
      </c>
      <c r="HP149" s="8">
        <f>IF(HP$56-Voorblad!$F$41&gt;Voorblad!$K$41,0,IF($U149=0,0,IF($U149&lt;1,1/$U149,IF((HP$56-Voorblad!$F$41)/$U149-SUM($EE149:HO149)=1,1,0))))</f>
        <v>0</v>
      </c>
      <c r="HQ149" s="8">
        <f>IF(HQ$56-Voorblad!$F$41&gt;Voorblad!$K$41,0,IF($U149=0,0,IF($U149&lt;1,1/$U149,IF((HQ$56-Voorblad!$F$41)/$U149-SUM($EE149:HP149)=1,1,0))))</f>
        <v>0</v>
      </c>
      <c r="HR149" s="8">
        <f>IF(HR$56-Voorblad!$F$41&gt;Voorblad!$K$41,0,IF($U149=0,0,IF($U149&lt;1,1/$U149,IF((HR$56-Voorblad!$F$41)/$U149-SUM($EE149:HQ149)=1,1,0))))</f>
        <v>0</v>
      </c>
      <c r="HS149" s="8">
        <f>IF(HS$56-Voorblad!$F$41&gt;Voorblad!$K$41,0,IF($U149=0,0,IF($U149&lt;1,1/$U149,IF((HS$56-Voorblad!$F$41)/$U149-SUM($EE149:HR149)=1,1,0))))</f>
        <v>0</v>
      </c>
      <c r="HT149" s="8">
        <f>IF(HT$56-Voorblad!$F$41&gt;Voorblad!$K$41,0,IF($U149=0,0,IF($U149&lt;1,1/$U149,IF((HT$56-Voorblad!$F$41)/$U149-SUM($EE149:HS149)=1,1,0))))</f>
        <v>0</v>
      </c>
      <c r="HU149" s="8">
        <f>IF(HU$56-Voorblad!$F$41&gt;Voorblad!$K$41,0,IF($U149=0,0,IF($U149&lt;1,1/$U149,IF((HU$56-Voorblad!$F$41)/$U149-SUM($EE149:HT149)=1,1,0))))</f>
        <v>0</v>
      </c>
      <c r="HV149" s="8">
        <f>IF(HV$56-Voorblad!$F$41&gt;Voorblad!$K$41,0,IF($U149=0,0,IF($U149&lt;1,1/$U149,IF((HV$56-Voorblad!$F$41)/$U149-SUM($EE149:HU149)=1,1,0))))</f>
        <v>0</v>
      </c>
      <c r="HW149" s="8">
        <f>IF(HW$56-Voorblad!$F$41&gt;Voorblad!$K$41,0,IF($U149=0,0,IF($U149&lt;1,1/$U149,IF((HW$56-Voorblad!$F$41)/$U149-SUM($EE149:HV149)=1,1,0))))</f>
        <v>0</v>
      </c>
      <c r="HX149" s="8">
        <f>IF(HX$56-Voorblad!$F$41&gt;Voorblad!$K$41,0,IF($U149=0,0,IF($U149&lt;1,1/$U149,IF((HX$56-Voorblad!$F$41)/$U149-SUM($EE149:HW149)=1,1,0))))</f>
        <v>0</v>
      </c>
      <c r="HY149" s="8">
        <f>IF(HY$56-Voorblad!$F$41&gt;Voorblad!$K$41,0,IF($U149=0,0,IF($U149&lt;1,1/$U149,IF((HY$56-Voorblad!$F$41)/$U149-SUM($EE149:HX149)=1,1,0))))</f>
        <v>0</v>
      </c>
      <c r="HZ149" s="8">
        <f>IF(HZ$56-Voorblad!$F$41&gt;Voorblad!$K$41,0,IF($U149=0,0,IF($U149&lt;1,1/$U149,IF((HZ$56-Voorblad!$F$41)/$U149-SUM($EE149:HY149)=1,1,0))))</f>
        <v>0</v>
      </c>
      <c r="IA149" s="8">
        <f>IF(IA$56-Voorblad!$F$41&gt;Voorblad!$K$41,0,IF($U149=0,0,IF($U149&lt;1,1/$U149,IF((IA$56-Voorblad!$F$41)/$U149-SUM($EE149:HZ149)=1,1,0))))</f>
        <v>0</v>
      </c>
      <c r="IB149" s="8">
        <f>IF(IB$56-Voorblad!$F$41&gt;Voorblad!$K$41,0,IF($U149=0,0,IF($U149&lt;1,1/$U149,IF((IB$56-Voorblad!$F$41)/$U149-SUM($EE149:IA149)=1,1,0))))</f>
        <v>0</v>
      </c>
    </row>
    <row r="150" spans="2:236" outlineLevel="1" x14ac:dyDescent="0.25">
      <c r="B150" s="14">
        <v>1</v>
      </c>
      <c r="C150" s="14"/>
      <c r="F150" s="1" t="s">
        <v>26</v>
      </c>
      <c r="I150" s="1" t="s">
        <v>49</v>
      </c>
      <c r="K150" s="1" t="s">
        <v>51</v>
      </c>
      <c r="O150" s="1" t="s">
        <v>56</v>
      </c>
      <c r="Q150" s="81">
        <v>0</v>
      </c>
      <c r="R150" s="76" t="s">
        <v>33</v>
      </c>
      <c r="S150" s="81">
        <v>0</v>
      </c>
      <c r="T150" s="14">
        <f>Q150*S150</f>
        <v>0</v>
      </c>
      <c r="U150" s="11">
        <v>1</v>
      </c>
      <c r="V150" s="14"/>
      <c r="W150" s="81">
        <v>0</v>
      </c>
      <c r="X150" s="6"/>
      <c r="Y150" s="9">
        <f t="shared" si="21"/>
        <v>0</v>
      </c>
      <c r="Z150" s="82"/>
      <c r="AA150" s="82"/>
      <c r="AC150" s="9">
        <f>$Y150*(Voorblad!$K$44*(1+Voorblad!$K$44)^Voorblad!$K$41)/((1+Voorblad!$K$44)^Voorblad!$K$41-1)</f>
        <v>0</v>
      </c>
      <c r="AE150" s="9">
        <f>IF($W150=AE$56,EF150*($Q150*$S150)/(1+Voorblad!$K$44)^(AE$56-Voorblad!$F$41),0)</f>
        <v>0</v>
      </c>
      <c r="AF150" s="9">
        <f>IF($W150=AF$56,EG150*($Q150*$S150)/(1+Voorblad!$K$44)^(AF$56-Voorblad!$F$41),0)</f>
        <v>0</v>
      </c>
      <c r="AG150" s="9">
        <f>IF($W150=AG$56,EH150*($Q150*$S150)/(1+Voorblad!$K$44)^(AG$56-Voorblad!$F$41),0)</f>
        <v>0</v>
      </c>
      <c r="AH150" s="9">
        <f>IF($W150=AH$56,EI150*($Q150*$S150)/(1+Voorblad!$K$44)^(AH$56-Voorblad!$F$41),0)</f>
        <v>0</v>
      </c>
      <c r="AI150" s="9">
        <f>IF($W150=AI$56,EJ150*($Q150*$S150)/(1+Voorblad!$K$44)^(AI$56-Voorblad!$F$41),0)</f>
        <v>0</v>
      </c>
      <c r="AJ150" s="9">
        <f>IF($W150=AJ$56,EK150*($Q150*$S150)/(1+Voorblad!$K$44)^(AJ$56-Voorblad!$F$41),0)</f>
        <v>0</v>
      </c>
      <c r="AK150" s="9">
        <f>IF($W150=AK$56,EL150*($Q150*$S150)/(1+Voorblad!$K$44)^(AK$56-Voorblad!$F$41),0)</f>
        <v>0</v>
      </c>
      <c r="AL150" s="9">
        <f>IF($W150=AL$56,EM150*($Q150*$S150)/(1+Voorblad!$K$44)^(AL$56-Voorblad!$F$41),0)</f>
        <v>0</v>
      </c>
      <c r="AM150" s="9">
        <f>IF($W150=AM$56,EN150*($Q150*$S150)/(1+Voorblad!$K$44)^(AM$56-Voorblad!$F$41),0)</f>
        <v>0</v>
      </c>
      <c r="AN150" s="9">
        <f>IF($W150=AN$56,EO150*($Q150*$S150)/(1+Voorblad!$K$44)^(AN$56-Voorblad!$F$41),0)</f>
        <v>0</v>
      </c>
      <c r="AO150" s="9">
        <f>IF($W150=AO$56,EP150*($Q150*$S150)/(1+Voorblad!$K$44)^(AO$56-Voorblad!$F$41),0)</f>
        <v>0</v>
      </c>
      <c r="AP150" s="9">
        <f>IF($W150=AP$56,EQ150*($Q150*$S150)/(1+Voorblad!$K$44)^(AP$56-Voorblad!$F$41),0)</f>
        <v>0</v>
      </c>
      <c r="AQ150" s="9">
        <f>IF($W150=AQ$56,ER150*($Q150*$S150)/(1+Voorblad!$K$44)^(AQ$56-Voorblad!$F$41),0)</f>
        <v>0</v>
      </c>
      <c r="AR150" s="9">
        <f>IF($W150=AR$56,ES150*($Q150*$S150)/(1+Voorblad!$K$44)^(AR$56-Voorblad!$F$41),0)</f>
        <v>0</v>
      </c>
      <c r="AS150" s="9">
        <f>IF($W150=AS$56,ET150*($Q150*$S150)/(1+Voorblad!$K$44)^(AS$56-Voorblad!$F$41),0)</f>
        <v>0</v>
      </c>
      <c r="AT150" s="9">
        <f>IF($W150=AT$56,EU150*($Q150*$S150)/(1+Voorblad!$K$44)^(AT$56-Voorblad!$F$41),0)</f>
        <v>0</v>
      </c>
      <c r="AU150" s="9">
        <f>IF($W150=AU$56,EV150*($Q150*$S150)/(1+Voorblad!$K$44)^(AU$56-Voorblad!$F$41),0)</f>
        <v>0</v>
      </c>
      <c r="AV150" s="9">
        <f>IF($W150=AV$56,EW150*($Q150*$S150)/(1+Voorblad!$K$44)^(AV$56-Voorblad!$F$41),0)</f>
        <v>0</v>
      </c>
      <c r="AW150" s="9">
        <f>IF($W150=AW$56,EX150*($Q150*$S150)/(1+Voorblad!$K$44)^(AW$56-Voorblad!$F$41),0)</f>
        <v>0</v>
      </c>
      <c r="AX150" s="9">
        <f>IF($W150=AX$56,EY150*($Q150*$S150)/(1+Voorblad!$K$44)^(AX$56-Voorblad!$F$41),0)</f>
        <v>0</v>
      </c>
      <c r="AY150" s="9">
        <f>IF($W150=AY$56,EZ150*($Q150*$S150)/(1+Voorblad!$K$44)^(AY$56-Voorblad!$F$41),0)</f>
        <v>0</v>
      </c>
      <c r="AZ150" s="9">
        <f>IF($W150=AZ$56,FA150*($Q150*$S150)/(1+Voorblad!$K$44)^(AZ$56-Voorblad!$F$41),0)</f>
        <v>0</v>
      </c>
      <c r="BA150" s="9">
        <f>IF($W150=BA$56,FB150*($Q150*$S150)/(1+Voorblad!$K$44)^(BA$56-Voorblad!$F$41),0)</f>
        <v>0</v>
      </c>
      <c r="BB150" s="9">
        <f>IF($W150=BB$56,FC150*($Q150*$S150)/(1+Voorblad!$K$44)^(BB$56-Voorblad!$F$41),0)</f>
        <v>0</v>
      </c>
      <c r="BC150" s="9">
        <f>IF($W150=BC$56,FD150*($Q150*$S150)/(1+Voorblad!$K$44)^(BC$56-Voorblad!$F$41),0)</f>
        <v>0</v>
      </c>
      <c r="BD150" s="9">
        <f>IF($W150=BD$56,FE150*($Q150*$S150)/(1+Voorblad!$K$44)^(BD$56-Voorblad!$F$41),0)</f>
        <v>0</v>
      </c>
      <c r="BE150" s="9">
        <f>IF($W150=BE$56,FF150*($Q150*$S150)/(1+Voorblad!$K$44)^(BE$56-Voorblad!$F$41),0)</f>
        <v>0</v>
      </c>
      <c r="BF150" s="9">
        <f>IF($W150=BF$56,FG150*($Q150*$S150)/(1+Voorblad!$K$44)^(BF$56-Voorblad!$F$41),0)</f>
        <v>0</v>
      </c>
      <c r="BG150" s="9">
        <f>IF($W150=BG$56,FH150*($Q150*$S150)/(1+Voorblad!$K$44)^(BG$56-Voorblad!$F$41),0)</f>
        <v>0</v>
      </c>
      <c r="BH150" s="9">
        <f>IF($W150=BH$56,FI150*($Q150*$S150)/(1+Voorblad!$K$44)^(BH$56-Voorblad!$F$41),0)</f>
        <v>0</v>
      </c>
      <c r="BI150" s="9">
        <f>IF($W150=BI$56,FJ150*($Q150*$S150)/(1+Voorblad!$K$44)^(BI$56-Voorblad!$F$41),0)</f>
        <v>0</v>
      </c>
      <c r="BJ150" s="9">
        <f>IF($W150=BJ$56,FK150*($Q150*$S150)/(1+Voorblad!$K$44)^(BJ$56-Voorblad!$F$41),0)</f>
        <v>0</v>
      </c>
      <c r="BK150" s="9">
        <f>IF($W150=BK$56,FL150*($Q150*$S150)/(1+Voorblad!$K$44)^(BK$56-Voorblad!$F$41),0)</f>
        <v>0</v>
      </c>
      <c r="BL150" s="9">
        <f>IF($W150=BL$56,FM150*($Q150*$S150)/(1+Voorblad!$K$44)^(BL$56-Voorblad!$F$41),0)</f>
        <v>0</v>
      </c>
      <c r="BM150" s="9">
        <f>IF($W150=BM$56,FN150*($Q150*$S150)/(1+Voorblad!$K$44)^(BM$56-Voorblad!$F$41),0)</f>
        <v>0</v>
      </c>
      <c r="BN150" s="9">
        <f>IF($W150=BN$56,FO150*($Q150*$S150)/(1+Voorblad!$K$44)^(BN$56-Voorblad!$F$41),0)</f>
        <v>0</v>
      </c>
      <c r="BO150" s="9">
        <f>IF($W150=BO$56,FP150*($Q150*$S150)/(1+Voorblad!$K$44)^(BO$56-Voorblad!$F$41),0)</f>
        <v>0</v>
      </c>
      <c r="BP150" s="9">
        <f>IF($W150=BP$56,FQ150*($Q150*$S150)/(1+Voorblad!$K$44)^(BP$56-Voorblad!$F$41),0)</f>
        <v>0</v>
      </c>
      <c r="BQ150" s="9">
        <f>IF($W150=BQ$56,FR150*($Q150*$S150)/(1+Voorblad!$K$44)^(BQ$56-Voorblad!$F$41),0)</f>
        <v>0</v>
      </c>
      <c r="BR150" s="9">
        <f>IF($W150=BR$56,FS150*($Q150*$S150)/(1+Voorblad!$K$44)^(BR$56-Voorblad!$F$41),0)</f>
        <v>0</v>
      </c>
      <c r="BS150" s="9">
        <f>IF($W150=BS$56,FT150*($Q150*$S150)/(1+Voorblad!$K$44)^(BS$56-Voorblad!$F$41),0)</f>
        <v>0</v>
      </c>
      <c r="BT150" s="9">
        <f>IF($W150=BT$56,FU150*($Q150*$S150)/(1+Voorblad!$K$44)^(BT$56-Voorblad!$F$41),0)</f>
        <v>0</v>
      </c>
      <c r="BU150" s="9">
        <f>IF($W150=BU$56,FV150*($Q150*$S150)/(1+Voorblad!$K$44)^(BU$56-Voorblad!$F$41),0)</f>
        <v>0</v>
      </c>
      <c r="BV150" s="9">
        <f>IF($W150=BV$56,FW150*($Q150*$S150)/(1+Voorblad!$K$44)^(BV$56-Voorblad!$F$41),0)</f>
        <v>0</v>
      </c>
      <c r="BW150" s="9">
        <f>IF($W150=BW$56,FX150*($Q150*$S150)/(1+Voorblad!$K$44)^(BW$56-Voorblad!$F$41),0)</f>
        <v>0</v>
      </c>
      <c r="BX150" s="9">
        <f>IF($W150=BX$56,FY150*($Q150*$S150)/(1+Voorblad!$K$44)^(BX$56-Voorblad!$F$41),0)</f>
        <v>0</v>
      </c>
      <c r="BY150" s="9">
        <f>IF($W150=BY$56,FZ150*($Q150*$S150)/(1+Voorblad!$K$44)^(BY$56-Voorblad!$F$41),0)</f>
        <v>0</v>
      </c>
      <c r="BZ150" s="9">
        <f>IF($W150=BZ$56,GA150*($Q150*$S150)/(1+Voorblad!$K$44)^(BZ$56-Voorblad!$F$41),0)</f>
        <v>0</v>
      </c>
      <c r="CA150" s="9">
        <f>IF($W150=CA$56,GB150*($Q150*$S150)/(1+Voorblad!$K$44)^(CA$56-Voorblad!$F$41),0)</f>
        <v>0</v>
      </c>
      <c r="CB150" s="9">
        <f>IF($W150=CB$56,GC150*($Q150*$S150)/(1+Voorblad!$K$44)^(CB$56-Voorblad!$F$41),0)</f>
        <v>0</v>
      </c>
      <c r="CC150" s="9">
        <f>IF($W150=CC$56,GD150*($Q150*$S150)/(1+Voorblad!$K$44)^(CC$56-Voorblad!$F$41),0)</f>
        <v>0</v>
      </c>
      <c r="CD150" s="9">
        <f>IF($W150=CD$56,GE150*($Q150*$S150)/(1+Voorblad!$K$44)^(CD$56-Voorblad!$F$41),0)</f>
        <v>0</v>
      </c>
      <c r="CE150" s="9">
        <f>IF($W150=CE$56,GF150*($Q150*$S150)/(1+Voorblad!$K$44)^(CE$56-Voorblad!$F$41),0)</f>
        <v>0</v>
      </c>
      <c r="CF150" s="9">
        <f>IF($W150=CF$56,GG150*($Q150*$S150)/(1+Voorblad!$K$44)^(CF$56-Voorblad!$F$41),0)</f>
        <v>0</v>
      </c>
      <c r="CG150" s="9">
        <f>IF($W150=CG$56,GH150*($Q150*$S150)/(1+Voorblad!$K$44)^(CG$56-Voorblad!$F$41),0)</f>
        <v>0</v>
      </c>
      <c r="CH150" s="9">
        <f>IF($W150=CH$56,GI150*($Q150*$S150)/(1+Voorblad!$K$44)^(CH$56-Voorblad!$F$41),0)</f>
        <v>0</v>
      </c>
      <c r="CI150" s="9">
        <f>IF($W150=CI$56,GJ150*($Q150*$S150)/(1+Voorblad!$K$44)^(CI$56-Voorblad!$F$41),0)</f>
        <v>0</v>
      </c>
      <c r="CJ150" s="9">
        <f>IF($W150=CJ$56,GK150*($Q150*$S150)/(1+Voorblad!$K$44)^(CJ$56-Voorblad!$F$41),0)</f>
        <v>0</v>
      </c>
      <c r="CK150" s="9">
        <f>IF($W150=CK$56,GL150*($Q150*$S150)/(1+Voorblad!$K$44)^(CK$56-Voorblad!$F$41),0)</f>
        <v>0</v>
      </c>
      <c r="CL150" s="9">
        <f>IF($W150=CL$56,GM150*($Q150*$S150)/(1+Voorblad!$K$44)^(CL$56-Voorblad!$F$41),0)</f>
        <v>0</v>
      </c>
      <c r="CM150" s="9">
        <f>IF($W150=CM$56,GN150*($Q150*$S150)/(1+Voorblad!$K$44)^(CM$56-Voorblad!$F$41),0)</f>
        <v>0</v>
      </c>
      <c r="CN150" s="9">
        <f>IF($W150=CN$56,GO150*($Q150*$S150)/(1+Voorblad!$K$44)^(CN$56-Voorblad!$F$41),0)</f>
        <v>0</v>
      </c>
      <c r="CO150" s="9">
        <f>IF($W150=CO$56,GP150*($Q150*$S150)/(1+Voorblad!$K$44)^(CO$56-Voorblad!$F$41),0)</f>
        <v>0</v>
      </c>
      <c r="CP150" s="9">
        <f>IF($W150=CP$56,GQ150*($Q150*$S150)/(1+Voorblad!$K$44)^(CP$56-Voorblad!$F$41),0)</f>
        <v>0</v>
      </c>
      <c r="CQ150" s="9">
        <f>IF($W150=CQ$56,GR150*($Q150*$S150)/(1+Voorblad!$K$44)^(CQ$56-Voorblad!$F$41),0)</f>
        <v>0</v>
      </c>
      <c r="CR150" s="9">
        <f>IF($W150=CR$56,GS150*($Q150*$S150)/(1+Voorblad!$K$44)^(CR$56-Voorblad!$F$41),0)</f>
        <v>0</v>
      </c>
      <c r="CS150" s="9">
        <f>IF($W150=CS$56,GT150*($Q150*$S150)/(1+Voorblad!$K$44)^(CS$56-Voorblad!$F$41),0)</f>
        <v>0</v>
      </c>
      <c r="CT150" s="9">
        <f>IF($W150=CT$56,GU150*($Q150*$S150)/(1+Voorblad!$K$44)^(CT$56-Voorblad!$F$41),0)</f>
        <v>0</v>
      </c>
      <c r="CU150" s="9">
        <f>IF($W150=CU$56,GV150*($Q150*$S150)/(1+Voorblad!$K$44)^(CU$56-Voorblad!$F$41),0)</f>
        <v>0</v>
      </c>
      <c r="CV150" s="9">
        <f>IF($W150=CV$56,GW150*($Q150*$S150)/(1+Voorblad!$K$44)^(CV$56-Voorblad!$F$41),0)</f>
        <v>0</v>
      </c>
      <c r="CW150" s="9">
        <f>IF($W150=CW$56,GX150*($Q150*$S150)/(1+Voorblad!$K$44)^(CW$56-Voorblad!$F$41),0)</f>
        <v>0</v>
      </c>
      <c r="CX150" s="9">
        <f>IF($W150=CX$56,GY150*($Q150*$S150)/(1+Voorblad!$K$44)^(CX$56-Voorblad!$F$41),0)</f>
        <v>0</v>
      </c>
      <c r="CY150" s="9">
        <f>IF($W150=CY$56,GZ150*($Q150*$S150)/(1+Voorblad!$K$44)^(CY$56-Voorblad!$F$41),0)</f>
        <v>0</v>
      </c>
      <c r="CZ150" s="9">
        <f>IF($W150=CZ$56,HA150*($Q150*$S150)/(1+Voorblad!$K$44)^(CZ$56-Voorblad!$F$41),0)</f>
        <v>0</v>
      </c>
      <c r="DA150" s="9">
        <f>IF($W150=DA$56,HB150*($Q150*$S150)/(1+Voorblad!$K$44)^(DA$56-Voorblad!$F$41),0)</f>
        <v>0</v>
      </c>
      <c r="DB150" s="9">
        <f>IF($W150=DB$56,HC150*($Q150*$S150)/(1+Voorblad!$K$44)^(DB$56-Voorblad!$F$41),0)</f>
        <v>0</v>
      </c>
      <c r="DC150" s="9">
        <f>IF($W150=DC$56,HD150*($Q150*$S150)/(1+Voorblad!$K$44)^(DC$56-Voorblad!$F$41),0)</f>
        <v>0</v>
      </c>
      <c r="DD150" s="9">
        <f>IF($W150=DD$56,HE150*($Q150*$S150)/(1+Voorblad!$K$44)^(DD$56-Voorblad!$F$41),0)</f>
        <v>0</v>
      </c>
      <c r="DE150" s="9">
        <f>IF($W150=DE$56,HF150*($Q150*$S150)/(1+Voorblad!$K$44)^(DE$56-Voorblad!$F$41),0)</f>
        <v>0</v>
      </c>
      <c r="DF150" s="9">
        <f>IF($W150=DF$56,HG150*($Q150*$S150)/(1+Voorblad!$K$44)^(DF$56-Voorblad!$F$41),0)</f>
        <v>0</v>
      </c>
      <c r="DG150" s="9">
        <f>IF($W150=DG$56,HH150*($Q150*$S150)/(1+Voorblad!$K$44)^(DG$56-Voorblad!$F$41),0)</f>
        <v>0</v>
      </c>
      <c r="DH150" s="9">
        <f>IF($W150=DH$56,HI150*($Q150*$S150)/(1+Voorblad!$K$44)^(DH$56-Voorblad!$F$41),0)</f>
        <v>0</v>
      </c>
      <c r="DI150" s="9">
        <f>IF($W150=DI$56,HJ150*($Q150*$S150)/(1+Voorblad!$K$44)^(DI$56-Voorblad!$F$41),0)</f>
        <v>0</v>
      </c>
      <c r="DJ150" s="9">
        <f>IF($W150=DJ$56,HK150*($Q150*$S150)/(1+Voorblad!$K$44)^(DJ$56-Voorblad!$F$41),0)</f>
        <v>0</v>
      </c>
      <c r="DK150" s="9">
        <f>IF($W150=DK$56,HL150*($Q150*$S150)/(1+Voorblad!$K$44)^(DK$56-Voorblad!$F$41),0)</f>
        <v>0</v>
      </c>
      <c r="DL150" s="9">
        <f>IF($W150=DL$56,HM150*($Q150*$S150)/(1+Voorblad!$K$44)^(DL$56-Voorblad!$F$41),0)</f>
        <v>0</v>
      </c>
      <c r="DM150" s="9">
        <f>IF($W150=DM$56,HN150*($Q150*$S150)/(1+Voorblad!$K$44)^(DM$56-Voorblad!$F$41),0)</f>
        <v>0</v>
      </c>
      <c r="DN150" s="9">
        <f>IF($W150=DN$56,HO150*($Q150*$S150)/(1+Voorblad!$K$44)^(DN$56-Voorblad!$F$41),0)</f>
        <v>0</v>
      </c>
      <c r="DO150" s="9">
        <f>IF($W150=DO$56,HP150*($Q150*$S150)/(1+Voorblad!$K$44)^(DO$56-Voorblad!$F$41),0)</f>
        <v>0</v>
      </c>
      <c r="DP150" s="9">
        <f>IF($W150=DP$56,HQ150*($Q150*$S150)/(1+Voorblad!$K$44)^(DP$56-Voorblad!$F$41),0)</f>
        <v>0</v>
      </c>
      <c r="DQ150" s="9">
        <f>IF($W150=DQ$56,HR150*($Q150*$S150)/(1+Voorblad!$K$44)^(DQ$56-Voorblad!$F$41),0)</f>
        <v>0</v>
      </c>
      <c r="DR150" s="9">
        <f>IF($W150=DR$56,HS150*($Q150*$S150)/(1+Voorblad!$K$44)^(DR$56-Voorblad!$F$41),0)</f>
        <v>0</v>
      </c>
      <c r="DS150" s="9">
        <f>IF($W150=DS$56,HT150*($Q150*$S150)/(1+Voorblad!$K$44)^(DS$56-Voorblad!$F$41),0)</f>
        <v>0</v>
      </c>
      <c r="DT150" s="9">
        <f>IF($W150=DT$56,HU150*($Q150*$S150)/(1+Voorblad!$K$44)^(DT$56-Voorblad!$F$41),0)</f>
        <v>0</v>
      </c>
      <c r="DU150" s="9">
        <f>IF($W150=DU$56,HV150*($Q150*$S150)/(1+Voorblad!$K$44)^(DU$56-Voorblad!$F$41),0)</f>
        <v>0</v>
      </c>
      <c r="DV150" s="9">
        <f>IF($W150=DV$56,HW150*($Q150*$S150)/(1+Voorblad!$K$44)^(DV$56-Voorblad!$F$41),0)</f>
        <v>0</v>
      </c>
      <c r="DW150" s="9">
        <f>IF($W150=DW$56,HX150*($Q150*$S150)/(1+Voorblad!$K$44)^(DW$56-Voorblad!$F$41),0)</f>
        <v>0</v>
      </c>
      <c r="DX150" s="9">
        <f>IF($W150=DX$56,HY150*($Q150*$S150)/(1+Voorblad!$K$44)^(DX$56-Voorblad!$F$41),0)</f>
        <v>0</v>
      </c>
      <c r="DY150" s="9">
        <f>IF($W150=DY$56,HZ150*($Q150*$S150)/(1+Voorblad!$K$44)^(DY$56-Voorblad!$F$41),0)</f>
        <v>0</v>
      </c>
      <c r="DZ150" s="9">
        <f>IF($W150=DZ$56,IA150*($Q150*$S150)/(1+Voorblad!$K$44)^(DZ$56-Voorblad!$F$41),0)</f>
        <v>0</v>
      </c>
      <c r="EA150" s="9">
        <f>IF($W150=EA$56,IB150*($Q150*$S150)/(1+Voorblad!$K$44)^(EA$56-Voorblad!$F$41),0)</f>
        <v>0</v>
      </c>
      <c r="EB150" s="9">
        <f>IF($W150=EB$56,IC150*($Q150*$S150)/(1+Voorblad!$K$44)^(EB$56-Voorblad!$F$41),0)</f>
        <v>0</v>
      </c>
      <c r="EE150" s="8">
        <v>0</v>
      </c>
      <c r="EF150" s="8">
        <f>IF(EF$56-Voorblad!$F$41&gt;Voorblad!$K$41,0,IF($U150=0,0,IF($U150&lt;1,1/$U150,IF((EF$56-Voorblad!$F$41)/$U150-SUM($EE150:EE150)=1,1,0))))</f>
        <v>0</v>
      </c>
      <c r="EG150" s="8">
        <f>IF(EG$56-Voorblad!$F$41&gt;Voorblad!$K$41,0,IF($U150=0,0,IF($U150&lt;1,1/$U150,IF((EG$56-Voorblad!$F$41)/$U150-SUM($EE150:EF150)=1,1,0))))</f>
        <v>1</v>
      </c>
      <c r="EH150" s="8">
        <f>IF(EH$56-Voorblad!$F$41&gt;Voorblad!$K$41,0,IF($U150=0,0,IF($U150&lt;1,1/$U150,IF((EH$56-Voorblad!$F$41)/$U150-SUM($EE150:EG150)=1,1,0))))</f>
        <v>1</v>
      </c>
      <c r="EI150" s="8">
        <f>IF(EI$56-Voorblad!$F$41&gt;Voorblad!$K$41,0,IF($U150=0,0,IF($U150&lt;1,1/$U150,IF((EI$56-Voorblad!$F$41)/$U150-SUM($EE150:EH150)=1,1,0))))</f>
        <v>1</v>
      </c>
      <c r="EJ150" s="8">
        <f>IF(EJ$56-Voorblad!$F$41&gt;Voorblad!$K$41,0,IF($U150=0,0,IF($U150&lt;1,1/$U150,IF((EJ$56-Voorblad!$F$41)/$U150-SUM($EE150:EI150)=1,1,0))))</f>
        <v>1</v>
      </c>
      <c r="EK150" s="8">
        <f>IF(EK$56-Voorblad!$F$41&gt;Voorblad!$K$41,0,IF($U150=0,0,IF($U150&lt;1,1/$U150,IF((EK$56-Voorblad!$F$41)/$U150-SUM($EE150:EJ150)=1,1,0))))</f>
        <v>1</v>
      </c>
      <c r="EL150" s="8">
        <f>IF(EL$56-Voorblad!$F$41&gt;Voorblad!$K$41,0,IF($U150=0,0,IF($U150&lt;1,1/$U150,IF((EL$56-Voorblad!$F$41)/$U150-SUM($EE150:EK150)=1,1,0))))</f>
        <v>1</v>
      </c>
      <c r="EM150" s="8">
        <f>IF(EM$56-Voorblad!$F$41&gt;Voorblad!$K$41,0,IF($U150=0,0,IF($U150&lt;1,1/$U150,IF((EM$56-Voorblad!$F$41)/$U150-SUM($EE150:EL150)=1,1,0))))</f>
        <v>1</v>
      </c>
      <c r="EN150" s="8">
        <f>IF(EN$56-Voorblad!$F$41&gt;Voorblad!$K$41,0,IF($U150=0,0,IF($U150&lt;1,1/$U150,IF((EN$56-Voorblad!$F$41)/$U150-SUM($EE150:EM150)=1,1,0))))</f>
        <v>1</v>
      </c>
      <c r="EO150" s="8">
        <f>IF(EO$56-Voorblad!$F$41&gt;Voorblad!$K$41,0,IF($U150=0,0,IF($U150&lt;1,1/$U150,IF((EO$56-Voorblad!$F$41)/$U150-SUM($EE150:EN150)=1,1,0))))</f>
        <v>1</v>
      </c>
      <c r="EP150" s="8">
        <f>IF(EP$56-Voorblad!$F$41&gt;Voorblad!$K$41,0,IF($U150=0,0,IF($U150&lt;1,1/$U150,IF((EP$56-Voorblad!$F$41)/$U150-SUM($EE150:EO150)=1,1,0))))</f>
        <v>1</v>
      </c>
      <c r="EQ150" s="8">
        <f>IF(EQ$56-Voorblad!$F$41&gt;Voorblad!$K$41,0,IF($U150=0,0,IF($U150&lt;1,1/$U150,IF((EQ$56-Voorblad!$F$41)/$U150-SUM($EE150:EP150)=1,1,0))))</f>
        <v>1</v>
      </c>
      <c r="ER150" s="8">
        <f>IF(ER$56-Voorblad!$F$41&gt;Voorblad!$K$41,0,IF($U150=0,0,IF($U150&lt;1,1/$U150,IF((ER$56-Voorblad!$F$41)/$U150-SUM($EE150:EQ150)=1,1,0))))</f>
        <v>1</v>
      </c>
      <c r="ES150" s="8">
        <f>IF(ES$56-Voorblad!$F$41&gt;Voorblad!$K$41,0,IF($U150=0,0,IF($U150&lt;1,1/$U150,IF((ES$56-Voorblad!$F$41)/$U150-SUM($EE150:ER150)=1,1,0))))</f>
        <v>1</v>
      </c>
      <c r="ET150" s="8">
        <f>IF(ET$56-Voorblad!$F$41&gt;Voorblad!$K$41,0,IF($U150=0,0,IF($U150&lt;1,1/$U150,IF((ET$56-Voorblad!$F$41)/$U150-SUM($EE150:ES150)=1,1,0))))</f>
        <v>1</v>
      </c>
      <c r="EU150" s="8">
        <f>IF(EU$56-Voorblad!$F$41&gt;Voorblad!$K$41,0,IF($U150=0,0,IF($U150&lt;1,1/$U150,IF((EU$56-Voorblad!$F$41)/$U150-SUM($EE150:ET150)=1,1,0))))</f>
        <v>1</v>
      </c>
      <c r="EV150" s="8">
        <f>IF(EV$56-Voorblad!$F$41&gt;Voorblad!$K$41,0,IF($U150=0,0,IF($U150&lt;1,1/$U150,IF((EV$56-Voorblad!$F$41)/$U150-SUM($EE150:EU150)=1,1,0))))</f>
        <v>1</v>
      </c>
      <c r="EW150" s="8">
        <f>IF(EW$56-Voorblad!$F$41&gt;Voorblad!$K$41,0,IF($U150=0,0,IF($U150&lt;1,1/$U150,IF((EW$56-Voorblad!$F$41)/$U150-SUM($EE150:EV150)=1,1,0))))</f>
        <v>1</v>
      </c>
      <c r="EX150" s="8">
        <f>IF(EX$56-Voorblad!$F$41&gt;Voorblad!$K$41,0,IF($U150=0,0,IF($U150&lt;1,1/$U150,IF((EX$56-Voorblad!$F$41)/$U150-SUM($EE150:EW150)=1,1,0))))</f>
        <v>1</v>
      </c>
      <c r="EY150" s="8">
        <f>IF(EY$56-Voorblad!$F$41&gt;Voorblad!$K$41,0,IF($U150=0,0,IF($U150&lt;1,1/$U150,IF((EY$56-Voorblad!$F$41)/$U150-SUM($EE150:EX150)=1,1,0))))</f>
        <v>1</v>
      </c>
      <c r="EZ150" s="8">
        <f>IF(EZ$56-Voorblad!$F$41&gt;Voorblad!$K$41,0,IF($U150=0,0,IF($U150&lt;1,1/$U150,IF((EZ$56-Voorblad!$F$41)/$U150-SUM($EE150:EY150)=1,1,0))))</f>
        <v>1</v>
      </c>
      <c r="FA150" s="8">
        <f>IF(FA$56-Voorblad!$F$41&gt;Voorblad!$K$41,0,IF($U150=0,0,IF($U150&lt;1,1/$U150,IF((FA$56-Voorblad!$F$41)/$U150-SUM($EE150:EZ150)=1,1,0))))</f>
        <v>1</v>
      </c>
      <c r="FB150" s="8">
        <f>IF(FB$56-Voorblad!$F$41&gt;Voorblad!$K$41,0,IF($U150=0,0,IF($U150&lt;1,1/$U150,IF((FB$56-Voorblad!$F$41)/$U150-SUM($EE150:FA150)=1,1,0))))</f>
        <v>1</v>
      </c>
      <c r="FC150" s="8">
        <f>IF(FC$56-Voorblad!$F$41&gt;Voorblad!$K$41,0,IF($U150=0,0,IF($U150&lt;1,1/$U150,IF((FC$56-Voorblad!$F$41)/$U150-SUM($EE150:FB150)=1,1,0))))</f>
        <v>1</v>
      </c>
      <c r="FD150" s="8">
        <f>IF(FD$56-Voorblad!$F$41&gt;Voorblad!$K$41,0,IF($U150=0,0,IF($U150&lt;1,1/$U150,IF((FD$56-Voorblad!$F$41)/$U150-SUM($EE150:FC150)=1,1,0))))</f>
        <v>1</v>
      </c>
      <c r="FE150" s="8">
        <f>IF(FE$56-Voorblad!$F$41&gt;Voorblad!$K$41,0,IF($U150=0,0,IF($U150&lt;1,1/$U150,IF((FE$56-Voorblad!$F$41)/$U150-SUM($EE150:FD150)=1,1,0))))</f>
        <v>1</v>
      </c>
      <c r="FF150" s="8">
        <f>IF(FF$56-Voorblad!$F$41&gt;Voorblad!$K$41,0,IF($U150=0,0,IF($U150&lt;1,1/$U150,IF((FF$56-Voorblad!$F$41)/$U150-SUM($EE150:FE150)=1,1,0))))</f>
        <v>1</v>
      </c>
      <c r="FG150" s="8">
        <f>IF(FG$56-Voorblad!$F$41&gt;Voorblad!$K$41,0,IF($U150=0,0,IF($U150&lt;1,1/$U150,IF((FG$56-Voorblad!$F$41)/$U150-SUM($EE150:FF150)=1,1,0))))</f>
        <v>1</v>
      </c>
      <c r="FH150" s="8">
        <f>IF(FH$56-Voorblad!$F$41&gt;Voorblad!$K$41,0,IF($U150=0,0,IF($U150&lt;1,1/$U150,IF((FH$56-Voorblad!$F$41)/$U150-SUM($EE150:FG150)=1,1,0))))</f>
        <v>1</v>
      </c>
      <c r="FI150" s="8">
        <f>IF(FI$56-Voorblad!$F$41&gt;Voorblad!$K$41,0,IF($U150=0,0,IF($U150&lt;1,1/$U150,IF((FI$56-Voorblad!$F$41)/$U150-SUM($EE150:FH150)=1,1,0))))</f>
        <v>1</v>
      </c>
      <c r="FJ150" s="8">
        <f>IF(FJ$56-Voorblad!$F$41&gt;Voorblad!$K$41,0,IF($U150=0,0,IF($U150&lt;1,1/$U150,IF((FJ$56-Voorblad!$F$41)/$U150-SUM($EE150:FI150)=1,1,0))))</f>
        <v>1</v>
      </c>
      <c r="FK150" s="8">
        <f>IF(FK$56-Voorblad!$F$41&gt;Voorblad!$K$41,0,IF($U150=0,0,IF($U150&lt;1,1/$U150,IF((FK$56-Voorblad!$F$41)/$U150-SUM($EE150:FJ150)=1,1,0))))</f>
        <v>1</v>
      </c>
      <c r="FL150" s="8">
        <f>IF(FL$56-Voorblad!$F$41&gt;Voorblad!$K$41,0,IF($U150=0,0,IF($U150&lt;1,1/$U150,IF((FL$56-Voorblad!$F$41)/$U150-SUM($EE150:FK150)=1,1,0))))</f>
        <v>1</v>
      </c>
      <c r="FM150" s="8">
        <f>IF(FM$56-Voorblad!$F$41&gt;Voorblad!$K$41,0,IF($U150=0,0,IF($U150&lt;1,1/$U150,IF((FM$56-Voorblad!$F$41)/$U150-SUM($EE150:FL150)=1,1,0))))</f>
        <v>1</v>
      </c>
      <c r="FN150" s="8">
        <f>IF(FN$56-Voorblad!$F$41&gt;Voorblad!$K$41,0,IF($U150=0,0,IF($U150&lt;1,1/$U150,IF((FN$56-Voorblad!$F$41)/$U150-SUM($EE150:FM150)=1,1,0))))</f>
        <v>1</v>
      </c>
      <c r="FO150" s="8">
        <f>IF(FO$56-Voorblad!$F$41&gt;Voorblad!$K$41,0,IF($U150=0,0,IF($U150&lt;1,1/$U150,IF((FO$56-Voorblad!$F$41)/$U150-SUM($EE150:FN150)=1,1,0))))</f>
        <v>1</v>
      </c>
      <c r="FP150" s="8">
        <f>IF(FP$56-Voorblad!$F$41&gt;Voorblad!$K$41,0,IF($U150=0,0,IF($U150&lt;1,1/$U150,IF((FP$56-Voorblad!$F$41)/$U150-SUM($EE150:FO150)=1,1,0))))</f>
        <v>1</v>
      </c>
      <c r="FQ150" s="8">
        <f>IF(FQ$56-Voorblad!$F$41&gt;Voorblad!$K$41,0,IF($U150=0,0,IF($U150&lt;1,1/$U150,IF((FQ$56-Voorblad!$F$41)/$U150-SUM($EE150:FP150)=1,1,0))))</f>
        <v>1</v>
      </c>
      <c r="FR150" s="8">
        <f>IF(FR$56-Voorblad!$F$41&gt;Voorblad!$K$41,0,IF($U150=0,0,IF($U150&lt;1,1/$U150,IF((FR$56-Voorblad!$F$41)/$U150-SUM($EE150:FQ150)=1,1,0))))</f>
        <v>1</v>
      </c>
      <c r="FS150" s="8">
        <f>IF(FS$56-Voorblad!$F$41&gt;Voorblad!$K$41,0,IF($U150=0,0,IF($U150&lt;1,1/$U150,IF((FS$56-Voorblad!$F$41)/$U150-SUM($EE150:FR150)=1,1,0))))</f>
        <v>1</v>
      </c>
      <c r="FT150" s="8">
        <f>IF(FT$56-Voorblad!$F$41&gt;Voorblad!$K$41,0,IF($U150=0,0,IF($U150&lt;1,1/$U150,IF((FT$56-Voorblad!$F$41)/$U150-SUM($EE150:FS150)=1,1,0))))</f>
        <v>1</v>
      </c>
      <c r="FU150" s="8">
        <f>IF(FU$56-Voorblad!$F$41&gt;Voorblad!$K$41,0,IF($U150=0,0,IF($U150&lt;1,1/$U150,IF((FU$56-Voorblad!$F$41)/$U150-SUM($EE150:FT150)=1,1,0))))</f>
        <v>1</v>
      </c>
      <c r="FV150" s="8">
        <f>IF(FV$56-Voorblad!$F$41&gt;Voorblad!$K$41,0,IF($U150=0,0,IF($U150&lt;1,1/$U150,IF((FV$56-Voorblad!$F$41)/$U150-SUM($EE150:FU150)=1,1,0))))</f>
        <v>1</v>
      </c>
      <c r="FW150" s="8">
        <f>IF(FW$56-Voorblad!$F$41&gt;Voorblad!$K$41,0,IF($U150=0,0,IF($U150&lt;1,1/$U150,IF((FW$56-Voorblad!$F$41)/$U150-SUM($EE150:FV150)=1,1,0))))</f>
        <v>1</v>
      </c>
      <c r="FX150" s="8">
        <f>IF(FX$56-Voorblad!$F$41&gt;Voorblad!$K$41,0,IF($U150=0,0,IF($U150&lt;1,1/$U150,IF((FX$56-Voorblad!$F$41)/$U150-SUM($EE150:FW150)=1,1,0))))</f>
        <v>1</v>
      </c>
      <c r="FY150" s="8">
        <f>IF(FY$56-Voorblad!$F$41&gt;Voorblad!$K$41,0,IF($U150=0,0,IF($U150&lt;1,1/$U150,IF((FY$56-Voorblad!$F$41)/$U150-SUM($EE150:FX150)=1,1,0))))</f>
        <v>1</v>
      </c>
      <c r="FZ150" s="8">
        <f>IF(FZ$56-Voorblad!$F$41&gt;Voorblad!$K$41,0,IF($U150=0,0,IF($U150&lt;1,1/$U150,IF((FZ$56-Voorblad!$F$41)/$U150-SUM($EE150:FY150)=1,1,0))))</f>
        <v>1</v>
      </c>
      <c r="GA150" s="8">
        <f>IF(GA$56-Voorblad!$F$41&gt;Voorblad!$K$41,0,IF($U150=0,0,IF($U150&lt;1,1/$U150,IF((GA$56-Voorblad!$F$41)/$U150-SUM($EE150:FZ150)=1,1,0))))</f>
        <v>1</v>
      </c>
      <c r="GB150" s="8">
        <f>IF(GB$56-Voorblad!$F$41&gt;Voorblad!$K$41,0,IF($U150=0,0,IF($U150&lt;1,1/$U150,IF((GB$56-Voorblad!$F$41)/$U150-SUM($EE150:GA150)=1,1,0))))</f>
        <v>1</v>
      </c>
      <c r="GC150" s="8">
        <f>IF(GC$56-Voorblad!$F$41&gt;Voorblad!$K$41,0,IF($U150=0,0,IF($U150&lt;1,1/$U150,IF((GC$56-Voorblad!$F$41)/$U150-SUM($EE150:GB150)=1,1,0))))</f>
        <v>1</v>
      </c>
      <c r="GD150" s="8">
        <f>IF(GD$56-Voorblad!$F$41&gt;Voorblad!$K$41,0,IF($U150=0,0,IF($U150&lt;1,1/$U150,IF((GD$56-Voorblad!$F$41)/$U150-SUM($EE150:GC150)=1,1,0))))</f>
        <v>1</v>
      </c>
      <c r="GE150" s="8">
        <f>IF(GE$56-Voorblad!$F$41&gt;Voorblad!$K$41,0,IF($U150=0,0,IF($U150&lt;1,1/$U150,IF((GE$56-Voorblad!$F$41)/$U150-SUM($EE150:GD150)=1,1,0))))</f>
        <v>1</v>
      </c>
      <c r="GF150" s="8">
        <f>IF(GF$56-Voorblad!$F$41&gt;Voorblad!$K$41,0,IF($U150=0,0,IF($U150&lt;1,1/$U150,IF((GF$56-Voorblad!$F$41)/$U150-SUM($EE150:GE150)=1,1,0))))</f>
        <v>1</v>
      </c>
      <c r="GG150" s="8">
        <f>IF(GG$56-Voorblad!$F$41&gt;Voorblad!$K$41,0,IF($U150=0,0,IF($U150&lt;1,1/$U150,IF((GG$56-Voorblad!$F$41)/$U150-SUM($EE150:GF150)=1,1,0))))</f>
        <v>1</v>
      </c>
      <c r="GH150" s="8">
        <f>IF(GH$56-Voorblad!$F$41&gt;Voorblad!$K$41,0,IF($U150=0,0,IF($U150&lt;1,1/$U150,IF((GH$56-Voorblad!$F$41)/$U150-SUM($EE150:GG150)=1,1,0))))</f>
        <v>1</v>
      </c>
      <c r="GI150" s="8">
        <f>IF(GI$56-Voorblad!$F$41&gt;Voorblad!$K$41,0,IF($U150=0,0,IF($U150&lt;1,1/$U150,IF((GI$56-Voorblad!$F$41)/$U150-SUM($EE150:GH150)=1,1,0))))</f>
        <v>1</v>
      </c>
      <c r="GJ150" s="8">
        <f>IF(GJ$56-Voorblad!$F$41&gt;Voorblad!$K$41,0,IF($U150=0,0,IF($U150&lt;1,1/$U150,IF((GJ$56-Voorblad!$F$41)/$U150-SUM($EE150:GI150)=1,1,0))))</f>
        <v>1</v>
      </c>
      <c r="GK150" s="8">
        <f>IF(GK$56-Voorblad!$F$41&gt;Voorblad!$K$41,0,IF($U150=0,0,IF($U150&lt;1,1/$U150,IF((GK$56-Voorblad!$F$41)/$U150-SUM($EE150:GJ150)=1,1,0))))</f>
        <v>1</v>
      </c>
      <c r="GL150" s="8">
        <f>IF(GL$56-Voorblad!$F$41&gt;Voorblad!$K$41,0,IF($U150=0,0,IF($U150&lt;1,1/$U150,IF((GL$56-Voorblad!$F$41)/$U150-SUM($EE150:GK150)=1,1,0))))</f>
        <v>1</v>
      </c>
      <c r="GM150" s="8">
        <f>IF(GM$56-Voorblad!$F$41&gt;Voorblad!$K$41,0,IF($U150=0,0,IF($U150&lt;1,1/$U150,IF((GM$56-Voorblad!$F$41)/$U150-SUM($EE150:GL150)=1,1,0))))</f>
        <v>1</v>
      </c>
      <c r="GN150" s="8">
        <f>IF(GN$56-Voorblad!$F$41&gt;Voorblad!$K$41,0,IF($U150=0,0,IF($U150&lt;1,1/$U150,IF((GN$56-Voorblad!$F$41)/$U150-SUM($EE150:GM150)=1,1,0))))</f>
        <v>1</v>
      </c>
      <c r="GO150" s="8">
        <f>IF(GO$56-Voorblad!$F$41&gt;Voorblad!$K$41,0,IF($U150=0,0,IF($U150&lt;1,1/$U150,IF((GO$56-Voorblad!$F$41)/$U150-SUM($EE150:GN150)=1,1,0))))</f>
        <v>1</v>
      </c>
      <c r="GP150" s="8">
        <f>IF(GP$56-Voorblad!$F$41&gt;Voorblad!$K$41,0,IF($U150=0,0,IF($U150&lt;1,1/$U150,IF((GP$56-Voorblad!$F$41)/$U150-SUM($EE150:GO150)=1,1,0))))</f>
        <v>1</v>
      </c>
      <c r="GQ150" s="8">
        <f>IF(GQ$56-Voorblad!$F$41&gt;Voorblad!$K$41,0,IF($U150=0,0,IF($U150&lt;1,1/$U150,IF((GQ$56-Voorblad!$F$41)/$U150-SUM($EE150:GP150)=1,1,0))))</f>
        <v>1</v>
      </c>
      <c r="GR150" s="8">
        <f>IF(GR$56-Voorblad!$F$41&gt;Voorblad!$K$41,0,IF($U150=0,0,IF($U150&lt;1,1/$U150,IF((GR$56-Voorblad!$F$41)/$U150-SUM($EE150:GQ150)=1,1,0))))</f>
        <v>1</v>
      </c>
      <c r="GS150" s="8">
        <f>IF(GS$56-Voorblad!$F$41&gt;Voorblad!$K$41,0,IF($U150=0,0,IF($U150&lt;1,1/$U150,IF((GS$56-Voorblad!$F$41)/$U150-SUM($EE150:GR150)=1,1,0))))</f>
        <v>1</v>
      </c>
      <c r="GT150" s="8">
        <f>IF(GT$56-Voorblad!$F$41&gt;Voorblad!$K$41,0,IF($U150=0,0,IF($U150&lt;1,1/$U150,IF((GT$56-Voorblad!$F$41)/$U150-SUM($EE150:GS150)=1,1,0))))</f>
        <v>1</v>
      </c>
      <c r="GU150" s="8">
        <f>IF(GU$56-Voorblad!$F$41&gt;Voorblad!$K$41,0,IF($U150=0,0,IF($U150&lt;1,1/$U150,IF((GU$56-Voorblad!$F$41)/$U150-SUM($EE150:GT150)=1,1,0))))</f>
        <v>1</v>
      </c>
      <c r="GV150" s="8">
        <f>IF(GV$56-Voorblad!$F$41&gt;Voorblad!$K$41,0,IF($U150=0,0,IF($U150&lt;1,1/$U150,IF((GV$56-Voorblad!$F$41)/$U150-SUM($EE150:GU150)=1,1,0))))</f>
        <v>1</v>
      </c>
      <c r="GW150" s="8">
        <f>IF(GW$56-Voorblad!$F$41&gt;Voorblad!$K$41,0,IF($U150=0,0,IF($U150&lt;1,1/$U150,IF((GW$56-Voorblad!$F$41)/$U150-SUM($EE150:GV150)=1,1,0))))</f>
        <v>1</v>
      </c>
      <c r="GX150" s="8">
        <f>IF(GX$56-Voorblad!$F$41&gt;Voorblad!$K$41,0,IF($U150=0,0,IF($U150&lt;1,1/$U150,IF((GX$56-Voorblad!$F$41)/$U150-SUM($EE150:GW150)=1,1,0))))</f>
        <v>1</v>
      </c>
      <c r="GY150" s="8">
        <f>IF(GY$56-Voorblad!$F$41&gt;Voorblad!$K$41,0,IF($U150=0,0,IF($U150&lt;1,1/$U150,IF((GY$56-Voorblad!$F$41)/$U150-SUM($EE150:GX150)=1,1,0))))</f>
        <v>1</v>
      </c>
      <c r="GZ150" s="8">
        <f>IF(GZ$56-Voorblad!$F$41&gt;Voorblad!$K$41,0,IF($U150=0,0,IF($U150&lt;1,1/$U150,IF((GZ$56-Voorblad!$F$41)/$U150-SUM($EE150:GY150)=1,1,0))))</f>
        <v>1</v>
      </c>
      <c r="HA150" s="8">
        <f>IF(HA$56-Voorblad!$F$41&gt;Voorblad!$K$41,0,IF($U150=0,0,IF($U150&lt;1,1/$U150,IF((HA$56-Voorblad!$F$41)/$U150-SUM($EE150:GZ150)=1,1,0))))</f>
        <v>1</v>
      </c>
      <c r="HB150" s="8">
        <f>IF(HB$56-Voorblad!$F$41&gt;Voorblad!$K$41,0,IF($U150=0,0,IF($U150&lt;1,1/$U150,IF((HB$56-Voorblad!$F$41)/$U150-SUM($EE150:HA150)=1,1,0))))</f>
        <v>0</v>
      </c>
      <c r="HC150" s="8">
        <f>IF(HC$56-Voorblad!$F$41&gt;Voorblad!$K$41,0,IF($U150=0,0,IF($U150&lt;1,1/$U150,IF((HC$56-Voorblad!$F$41)/$U150-SUM($EE150:HB150)=1,1,0))))</f>
        <v>0</v>
      </c>
      <c r="HD150" s="8">
        <f>IF(HD$56-Voorblad!$F$41&gt;Voorblad!$K$41,0,IF($U150=0,0,IF($U150&lt;1,1/$U150,IF((HD$56-Voorblad!$F$41)/$U150-SUM($EE150:HC150)=1,1,0))))</f>
        <v>0</v>
      </c>
      <c r="HE150" s="8">
        <f>IF(HE$56-Voorblad!$F$41&gt;Voorblad!$K$41,0,IF($U150=0,0,IF($U150&lt;1,1/$U150,IF((HE$56-Voorblad!$F$41)/$U150-SUM($EE150:HD150)=1,1,0))))</f>
        <v>0</v>
      </c>
      <c r="HF150" s="8">
        <f>IF(HF$56-Voorblad!$F$41&gt;Voorblad!$K$41,0,IF($U150=0,0,IF($U150&lt;1,1/$U150,IF((HF$56-Voorblad!$F$41)/$U150-SUM($EE150:HE150)=1,1,0))))</f>
        <v>0</v>
      </c>
      <c r="HG150" s="8">
        <f>IF(HG$56-Voorblad!$F$41&gt;Voorblad!$K$41,0,IF($U150=0,0,IF($U150&lt;1,1/$U150,IF((HG$56-Voorblad!$F$41)/$U150-SUM($EE150:HF150)=1,1,0))))</f>
        <v>0</v>
      </c>
      <c r="HH150" s="8">
        <f>IF(HH$56-Voorblad!$F$41&gt;Voorblad!$K$41,0,IF($U150=0,0,IF($U150&lt;1,1/$U150,IF((HH$56-Voorblad!$F$41)/$U150-SUM($EE150:HG150)=1,1,0))))</f>
        <v>0</v>
      </c>
      <c r="HI150" s="8">
        <f>IF(HI$56-Voorblad!$F$41&gt;Voorblad!$K$41,0,IF($U150=0,0,IF($U150&lt;1,1/$U150,IF((HI$56-Voorblad!$F$41)/$U150-SUM($EE150:HH150)=1,1,0))))</f>
        <v>0</v>
      </c>
      <c r="HJ150" s="8">
        <f>IF(HJ$56-Voorblad!$F$41&gt;Voorblad!$K$41,0,IF($U150=0,0,IF($U150&lt;1,1/$U150,IF((HJ$56-Voorblad!$F$41)/$U150-SUM($EE150:HI150)=1,1,0))))</f>
        <v>0</v>
      </c>
      <c r="HK150" s="8">
        <f>IF(HK$56-Voorblad!$F$41&gt;Voorblad!$K$41,0,IF($U150=0,0,IF($U150&lt;1,1/$U150,IF((HK$56-Voorblad!$F$41)/$U150-SUM($EE150:HJ150)=1,1,0))))</f>
        <v>0</v>
      </c>
      <c r="HL150" s="8">
        <f>IF(HL$56-Voorblad!$F$41&gt;Voorblad!$K$41,0,IF($U150=0,0,IF($U150&lt;1,1/$U150,IF((HL$56-Voorblad!$F$41)/$U150-SUM($EE150:HK150)=1,1,0))))</f>
        <v>0</v>
      </c>
      <c r="HM150" s="8">
        <f>IF(HM$56-Voorblad!$F$41&gt;Voorblad!$K$41,0,IF($U150=0,0,IF($U150&lt;1,1/$U150,IF((HM$56-Voorblad!$F$41)/$U150-SUM($EE150:HL150)=1,1,0))))</f>
        <v>0</v>
      </c>
      <c r="HN150" s="8">
        <f>IF(HN$56-Voorblad!$F$41&gt;Voorblad!$K$41,0,IF($U150=0,0,IF($U150&lt;1,1/$U150,IF((HN$56-Voorblad!$F$41)/$U150-SUM($EE150:HM150)=1,1,0))))</f>
        <v>0</v>
      </c>
      <c r="HO150" s="8">
        <f>IF(HO$56-Voorblad!$F$41&gt;Voorblad!$K$41,0,IF($U150=0,0,IF($U150&lt;1,1/$U150,IF((HO$56-Voorblad!$F$41)/$U150-SUM($EE150:HN150)=1,1,0))))</f>
        <v>0</v>
      </c>
      <c r="HP150" s="8">
        <f>IF(HP$56-Voorblad!$F$41&gt;Voorblad!$K$41,0,IF($U150=0,0,IF($U150&lt;1,1/$U150,IF((HP$56-Voorblad!$F$41)/$U150-SUM($EE150:HO150)=1,1,0))))</f>
        <v>0</v>
      </c>
      <c r="HQ150" s="8">
        <f>IF(HQ$56-Voorblad!$F$41&gt;Voorblad!$K$41,0,IF($U150=0,0,IF($U150&lt;1,1/$U150,IF((HQ$56-Voorblad!$F$41)/$U150-SUM($EE150:HP150)=1,1,0))))</f>
        <v>0</v>
      </c>
      <c r="HR150" s="8">
        <f>IF(HR$56-Voorblad!$F$41&gt;Voorblad!$K$41,0,IF($U150=0,0,IF($U150&lt;1,1/$U150,IF((HR$56-Voorblad!$F$41)/$U150-SUM($EE150:HQ150)=1,1,0))))</f>
        <v>0</v>
      </c>
      <c r="HS150" s="8">
        <f>IF(HS$56-Voorblad!$F$41&gt;Voorblad!$K$41,0,IF($U150=0,0,IF($U150&lt;1,1/$U150,IF((HS$56-Voorblad!$F$41)/$U150-SUM($EE150:HR150)=1,1,0))))</f>
        <v>0</v>
      </c>
      <c r="HT150" s="8">
        <f>IF(HT$56-Voorblad!$F$41&gt;Voorblad!$K$41,0,IF($U150=0,0,IF($U150&lt;1,1/$U150,IF((HT$56-Voorblad!$F$41)/$U150-SUM($EE150:HS150)=1,1,0))))</f>
        <v>0</v>
      </c>
      <c r="HU150" s="8">
        <f>IF(HU$56-Voorblad!$F$41&gt;Voorblad!$K$41,0,IF($U150=0,0,IF($U150&lt;1,1/$U150,IF((HU$56-Voorblad!$F$41)/$U150-SUM($EE150:HT150)=1,1,0))))</f>
        <v>0</v>
      </c>
      <c r="HV150" s="8">
        <f>IF(HV$56-Voorblad!$F$41&gt;Voorblad!$K$41,0,IF($U150=0,0,IF($U150&lt;1,1/$U150,IF((HV$56-Voorblad!$F$41)/$U150-SUM($EE150:HU150)=1,1,0))))</f>
        <v>0</v>
      </c>
      <c r="HW150" s="8">
        <f>IF(HW$56-Voorblad!$F$41&gt;Voorblad!$K$41,0,IF($U150=0,0,IF($U150&lt;1,1/$U150,IF((HW$56-Voorblad!$F$41)/$U150-SUM($EE150:HV150)=1,1,0))))</f>
        <v>0</v>
      </c>
      <c r="HX150" s="8">
        <f>IF(HX$56-Voorblad!$F$41&gt;Voorblad!$K$41,0,IF($U150=0,0,IF($U150&lt;1,1/$U150,IF((HX$56-Voorblad!$F$41)/$U150-SUM($EE150:HW150)=1,1,0))))</f>
        <v>0</v>
      </c>
      <c r="HY150" s="8">
        <f>IF(HY$56-Voorblad!$F$41&gt;Voorblad!$K$41,0,IF($U150=0,0,IF($U150&lt;1,1/$U150,IF((HY$56-Voorblad!$F$41)/$U150-SUM($EE150:HX150)=1,1,0))))</f>
        <v>0</v>
      </c>
      <c r="HZ150" s="8">
        <f>IF(HZ$56-Voorblad!$F$41&gt;Voorblad!$K$41,0,IF($U150=0,0,IF($U150&lt;1,1/$U150,IF((HZ$56-Voorblad!$F$41)/$U150-SUM($EE150:HY150)=1,1,0))))</f>
        <v>0</v>
      </c>
      <c r="IA150" s="8">
        <f>IF(IA$56-Voorblad!$F$41&gt;Voorblad!$K$41,0,IF($U150=0,0,IF($U150&lt;1,1/$U150,IF((IA$56-Voorblad!$F$41)/$U150-SUM($EE150:HZ150)=1,1,0))))</f>
        <v>0</v>
      </c>
      <c r="IB150" s="8">
        <f>IF(IB$56-Voorblad!$F$41&gt;Voorblad!$K$41,0,IF($U150=0,0,IF($U150&lt;1,1/$U150,IF((IB$56-Voorblad!$F$41)/$U150-SUM($EE150:IA150)=1,1,0))))</f>
        <v>0</v>
      </c>
    </row>
    <row r="151" spans="2:236" outlineLevel="1" x14ac:dyDescent="0.25">
      <c r="B151" s="14">
        <v>1</v>
      </c>
      <c r="C151" s="14"/>
      <c r="F151" s="1" t="s">
        <v>58</v>
      </c>
      <c r="I151" s="1" t="s">
        <v>66</v>
      </c>
      <c r="K151" s="1" t="s">
        <v>64</v>
      </c>
      <c r="O151" s="1" t="s">
        <v>99</v>
      </c>
      <c r="Q151" s="81">
        <v>0</v>
      </c>
      <c r="R151" s="1" t="s">
        <v>33</v>
      </c>
      <c r="S151" s="21">
        <f>2%*T149</f>
        <v>16787.843279999997</v>
      </c>
      <c r="T151" s="21">
        <f>Q151*S151</f>
        <v>0</v>
      </c>
      <c r="U151" s="11">
        <v>1</v>
      </c>
      <c r="V151" s="14"/>
      <c r="W151" s="81">
        <v>0</v>
      </c>
      <c r="X151" s="6"/>
      <c r="Y151" s="9">
        <f t="shared" si="21"/>
        <v>0</v>
      </c>
      <c r="Z151" s="82"/>
      <c r="AA151" s="82"/>
      <c r="AC151" s="9">
        <f>$Y151*(Voorblad!$K$44*(1+Voorblad!$K$44)^Voorblad!$K$41)/((1+Voorblad!$K$44)^Voorblad!$K$41-1)</f>
        <v>0</v>
      </c>
      <c r="AE151" s="9">
        <f>IF($W151=AE$56,EF151*($Q151*$S151)/(1+Voorblad!$K$44)^(AE$56-Voorblad!$F$41),0)</f>
        <v>0</v>
      </c>
      <c r="AF151" s="9">
        <f>IF($W151=AF$56,EG151*($Q151*$S151)/(1+Voorblad!$K$44)^(AF$56-Voorblad!$F$41),0)</f>
        <v>0</v>
      </c>
      <c r="AG151" s="9">
        <f>IF($W151=AG$56,EH151*($Q151*$S151)/(1+Voorblad!$K$44)^(AG$56-Voorblad!$F$41),0)</f>
        <v>0</v>
      </c>
      <c r="AH151" s="9">
        <f>IF($W151=AH$56,EI151*($Q151*$S151)/(1+Voorblad!$K$44)^(AH$56-Voorblad!$F$41),0)</f>
        <v>0</v>
      </c>
      <c r="AI151" s="9">
        <f>IF($W151=AI$56,EJ151*($Q151*$S151)/(1+Voorblad!$K$44)^(AI$56-Voorblad!$F$41),0)</f>
        <v>0</v>
      </c>
      <c r="AJ151" s="9">
        <f>IF($W151=AJ$56,EK151*($Q151*$S151)/(1+Voorblad!$K$44)^(AJ$56-Voorblad!$F$41),0)</f>
        <v>0</v>
      </c>
      <c r="AK151" s="9">
        <f>IF($W151=AK$56,EL151*($Q151*$S151)/(1+Voorblad!$K$44)^(AK$56-Voorblad!$F$41),0)</f>
        <v>0</v>
      </c>
      <c r="AL151" s="9">
        <f>IF($W151=AL$56,EM151*($Q151*$S151)/(1+Voorblad!$K$44)^(AL$56-Voorblad!$F$41),0)</f>
        <v>0</v>
      </c>
      <c r="AM151" s="9">
        <f>IF($W151=AM$56,EN151*($Q151*$S151)/(1+Voorblad!$K$44)^(AM$56-Voorblad!$F$41),0)</f>
        <v>0</v>
      </c>
      <c r="AN151" s="9">
        <f>IF($W151=AN$56,EO151*($Q151*$S151)/(1+Voorblad!$K$44)^(AN$56-Voorblad!$F$41),0)</f>
        <v>0</v>
      </c>
      <c r="AO151" s="9">
        <f>IF($W151=AO$56,EP151*($Q151*$S151)/(1+Voorblad!$K$44)^(AO$56-Voorblad!$F$41),0)</f>
        <v>0</v>
      </c>
      <c r="AP151" s="9">
        <f>IF($W151=AP$56,EQ151*($Q151*$S151)/(1+Voorblad!$K$44)^(AP$56-Voorblad!$F$41),0)</f>
        <v>0</v>
      </c>
      <c r="AQ151" s="9">
        <f>IF($W151=AQ$56,ER151*($Q151*$S151)/(1+Voorblad!$K$44)^(AQ$56-Voorblad!$F$41),0)</f>
        <v>0</v>
      </c>
      <c r="AR151" s="9">
        <f>IF($W151=AR$56,ES151*($Q151*$S151)/(1+Voorblad!$K$44)^(AR$56-Voorblad!$F$41),0)</f>
        <v>0</v>
      </c>
      <c r="AS151" s="9">
        <f>IF($W151=AS$56,ET151*($Q151*$S151)/(1+Voorblad!$K$44)^(AS$56-Voorblad!$F$41),0)</f>
        <v>0</v>
      </c>
      <c r="AT151" s="9">
        <f>IF($W151=AT$56,EU151*($Q151*$S151)/(1+Voorblad!$K$44)^(AT$56-Voorblad!$F$41),0)</f>
        <v>0</v>
      </c>
      <c r="AU151" s="9">
        <f>IF($W151=AU$56,EV151*($Q151*$S151)/(1+Voorblad!$K$44)^(AU$56-Voorblad!$F$41),0)</f>
        <v>0</v>
      </c>
      <c r="AV151" s="9">
        <f>IF($W151=AV$56,EW151*($Q151*$S151)/(1+Voorblad!$K$44)^(AV$56-Voorblad!$F$41),0)</f>
        <v>0</v>
      </c>
      <c r="AW151" s="9">
        <f>IF($W151=AW$56,EX151*($Q151*$S151)/(1+Voorblad!$K$44)^(AW$56-Voorblad!$F$41),0)</f>
        <v>0</v>
      </c>
      <c r="AX151" s="9">
        <f>IF($W151=AX$56,EY151*($Q151*$S151)/(1+Voorblad!$K$44)^(AX$56-Voorblad!$F$41),0)</f>
        <v>0</v>
      </c>
      <c r="AY151" s="9">
        <f>IF($W151=AY$56,EZ151*($Q151*$S151)/(1+Voorblad!$K$44)^(AY$56-Voorblad!$F$41),0)</f>
        <v>0</v>
      </c>
      <c r="AZ151" s="9">
        <f>IF($W151=AZ$56,FA151*($Q151*$S151)/(1+Voorblad!$K$44)^(AZ$56-Voorblad!$F$41),0)</f>
        <v>0</v>
      </c>
      <c r="BA151" s="9">
        <f>IF($W151=BA$56,FB151*($Q151*$S151)/(1+Voorblad!$K$44)^(BA$56-Voorblad!$F$41),0)</f>
        <v>0</v>
      </c>
      <c r="BB151" s="9">
        <f>IF($W151=BB$56,FC151*($Q151*$S151)/(1+Voorblad!$K$44)^(BB$56-Voorblad!$F$41),0)</f>
        <v>0</v>
      </c>
      <c r="BC151" s="9">
        <f>IF($W151=BC$56,FD151*($Q151*$S151)/(1+Voorblad!$K$44)^(BC$56-Voorblad!$F$41),0)</f>
        <v>0</v>
      </c>
      <c r="BD151" s="9">
        <f>IF($W151=BD$56,FE151*($Q151*$S151)/(1+Voorblad!$K$44)^(BD$56-Voorblad!$F$41),0)</f>
        <v>0</v>
      </c>
      <c r="BE151" s="9">
        <f>IF($W151=BE$56,FF151*($Q151*$S151)/(1+Voorblad!$K$44)^(BE$56-Voorblad!$F$41),0)</f>
        <v>0</v>
      </c>
      <c r="BF151" s="9">
        <f>IF($W151=BF$56,FG151*($Q151*$S151)/(1+Voorblad!$K$44)^(BF$56-Voorblad!$F$41),0)</f>
        <v>0</v>
      </c>
      <c r="BG151" s="9">
        <f>IF($W151=BG$56,FH151*($Q151*$S151)/(1+Voorblad!$K$44)^(BG$56-Voorblad!$F$41),0)</f>
        <v>0</v>
      </c>
      <c r="BH151" s="9">
        <f>IF($W151=BH$56,FI151*($Q151*$S151)/(1+Voorblad!$K$44)^(BH$56-Voorblad!$F$41),0)</f>
        <v>0</v>
      </c>
      <c r="BI151" s="9">
        <f>IF($W151=BI$56,FJ151*($Q151*$S151)/(1+Voorblad!$K$44)^(BI$56-Voorblad!$F$41),0)</f>
        <v>0</v>
      </c>
      <c r="BJ151" s="9">
        <f>IF($W151=BJ$56,FK151*($Q151*$S151)/(1+Voorblad!$K$44)^(BJ$56-Voorblad!$F$41),0)</f>
        <v>0</v>
      </c>
      <c r="BK151" s="9">
        <f>IF($W151=BK$56,FL151*($Q151*$S151)/(1+Voorblad!$K$44)^(BK$56-Voorblad!$F$41),0)</f>
        <v>0</v>
      </c>
      <c r="BL151" s="9">
        <f>IF($W151=BL$56,FM151*($Q151*$S151)/(1+Voorblad!$K$44)^(BL$56-Voorblad!$F$41),0)</f>
        <v>0</v>
      </c>
      <c r="BM151" s="9">
        <f>IF($W151=BM$56,FN151*($Q151*$S151)/(1+Voorblad!$K$44)^(BM$56-Voorblad!$F$41),0)</f>
        <v>0</v>
      </c>
      <c r="BN151" s="9">
        <f>IF($W151=BN$56,FO151*($Q151*$S151)/(1+Voorblad!$K$44)^(BN$56-Voorblad!$F$41),0)</f>
        <v>0</v>
      </c>
      <c r="BO151" s="9">
        <f>IF($W151=BO$56,FP151*($Q151*$S151)/(1+Voorblad!$K$44)^(BO$56-Voorblad!$F$41),0)</f>
        <v>0</v>
      </c>
      <c r="BP151" s="9">
        <f>IF($W151=BP$56,FQ151*($Q151*$S151)/(1+Voorblad!$K$44)^(BP$56-Voorblad!$F$41),0)</f>
        <v>0</v>
      </c>
      <c r="BQ151" s="9">
        <f>IF($W151=BQ$56,FR151*($Q151*$S151)/(1+Voorblad!$K$44)^(BQ$56-Voorblad!$F$41),0)</f>
        <v>0</v>
      </c>
      <c r="BR151" s="9">
        <f>IF($W151=BR$56,FS151*($Q151*$S151)/(1+Voorblad!$K$44)^(BR$56-Voorblad!$F$41),0)</f>
        <v>0</v>
      </c>
      <c r="BS151" s="9">
        <f>IF($W151=BS$56,FT151*($Q151*$S151)/(1+Voorblad!$K$44)^(BS$56-Voorblad!$F$41),0)</f>
        <v>0</v>
      </c>
      <c r="BT151" s="9">
        <f>IF($W151=BT$56,FU151*($Q151*$S151)/(1+Voorblad!$K$44)^(BT$56-Voorblad!$F$41),0)</f>
        <v>0</v>
      </c>
      <c r="BU151" s="9">
        <f>IF($W151=BU$56,FV151*($Q151*$S151)/(1+Voorblad!$K$44)^(BU$56-Voorblad!$F$41),0)</f>
        <v>0</v>
      </c>
      <c r="BV151" s="9">
        <f>IF($W151=BV$56,FW151*($Q151*$S151)/(1+Voorblad!$K$44)^(BV$56-Voorblad!$F$41),0)</f>
        <v>0</v>
      </c>
      <c r="BW151" s="9">
        <f>IF($W151=BW$56,FX151*($Q151*$S151)/(1+Voorblad!$K$44)^(BW$56-Voorblad!$F$41),0)</f>
        <v>0</v>
      </c>
      <c r="BX151" s="9">
        <f>IF($W151=BX$56,FY151*($Q151*$S151)/(1+Voorblad!$K$44)^(BX$56-Voorblad!$F$41),0)</f>
        <v>0</v>
      </c>
      <c r="BY151" s="9">
        <f>IF($W151=BY$56,FZ151*($Q151*$S151)/(1+Voorblad!$K$44)^(BY$56-Voorblad!$F$41),0)</f>
        <v>0</v>
      </c>
      <c r="BZ151" s="9">
        <f>IF($W151=BZ$56,GA151*($Q151*$S151)/(1+Voorblad!$K$44)^(BZ$56-Voorblad!$F$41),0)</f>
        <v>0</v>
      </c>
      <c r="CA151" s="9">
        <f>IF($W151=CA$56,GB151*($Q151*$S151)/(1+Voorblad!$K$44)^(CA$56-Voorblad!$F$41),0)</f>
        <v>0</v>
      </c>
      <c r="CB151" s="9">
        <f>IF($W151=CB$56,GC151*($Q151*$S151)/(1+Voorblad!$K$44)^(CB$56-Voorblad!$F$41),0)</f>
        <v>0</v>
      </c>
      <c r="CC151" s="9">
        <f>IF($W151=CC$56,GD151*($Q151*$S151)/(1+Voorblad!$K$44)^(CC$56-Voorblad!$F$41),0)</f>
        <v>0</v>
      </c>
      <c r="CD151" s="9">
        <f>IF($W151=CD$56,GE151*($Q151*$S151)/(1+Voorblad!$K$44)^(CD$56-Voorblad!$F$41),0)</f>
        <v>0</v>
      </c>
      <c r="CE151" s="9">
        <f>IF($W151=CE$56,GF151*($Q151*$S151)/(1+Voorblad!$K$44)^(CE$56-Voorblad!$F$41),0)</f>
        <v>0</v>
      </c>
      <c r="CF151" s="9">
        <f>IF($W151=CF$56,GG151*($Q151*$S151)/(1+Voorblad!$K$44)^(CF$56-Voorblad!$F$41),0)</f>
        <v>0</v>
      </c>
      <c r="CG151" s="9">
        <f>IF($W151=CG$56,GH151*($Q151*$S151)/(1+Voorblad!$K$44)^(CG$56-Voorblad!$F$41),0)</f>
        <v>0</v>
      </c>
      <c r="CH151" s="9">
        <f>IF($W151=CH$56,GI151*($Q151*$S151)/(1+Voorblad!$K$44)^(CH$56-Voorblad!$F$41),0)</f>
        <v>0</v>
      </c>
      <c r="CI151" s="9">
        <f>IF($W151=CI$56,GJ151*($Q151*$S151)/(1+Voorblad!$K$44)^(CI$56-Voorblad!$F$41),0)</f>
        <v>0</v>
      </c>
      <c r="CJ151" s="9">
        <f>IF($W151=CJ$56,GK151*($Q151*$S151)/(1+Voorblad!$K$44)^(CJ$56-Voorblad!$F$41),0)</f>
        <v>0</v>
      </c>
      <c r="CK151" s="9">
        <f>IF($W151=CK$56,GL151*($Q151*$S151)/(1+Voorblad!$K$44)^(CK$56-Voorblad!$F$41),0)</f>
        <v>0</v>
      </c>
      <c r="CL151" s="9">
        <f>IF($W151=CL$56,GM151*($Q151*$S151)/(1+Voorblad!$K$44)^(CL$56-Voorblad!$F$41),0)</f>
        <v>0</v>
      </c>
      <c r="CM151" s="9">
        <f>IF($W151=CM$56,GN151*($Q151*$S151)/(1+Voorblad!$K$44)^(CM$56-Voorblad!$F$41),0)</f>
        <v>0</v>
      </c>
      <c r="CN151" s="9">
        <f>IF($W151=CN$56,GO151*($Q151*$S151)/(1+Voorblad!$K$44)^(CN$56-Voorblad!$F$41),0)</f>
        <v>0</v>
      </c>
      <c r="CO151" s="9">
        <f>IF($W151=CO$56,GP151*($Q151*$S151)/(1+Voorblad!$K$44)^(CO$56-Voorblad!$F$41),0)</f>
        <v>0</v>
      </c>
      <c r="CP151" s="9">
        <f>IF($W151=CP$56,GQ151*($Q151*$S151)/(1+Voorblad!$K$44)^(CP$56-Voorblad!$F$41),0)</f>
        <v>0</v>
      </c>
      <c r="CQ151" s="9">
        <f>IF($W151=CQ$56,GR151*($Q151*$S151)/(1+Voorblad!$K$44)^(CQ$56-Voorblad!$F$41),0)</f>
        <v>0</v>
      </c>
      <c r="CR151" s="9">
        <f>IF($W151=CR$56,GS151*($Q151*$S151)/(1+Voorblad!$K$44)^(CR$56-Voorblad!$F$41),0)</f>
        <v>0</v>
      </c>
      <c r="CS151" s="9">
        <f>IF($W151=CS$56,GT151*($Q151*$S151)/(1+Voorblad!$K$44)^(CS$56-Voorblad!$F$41),0)</f>
        <v>0</v>
      </c>
      <c r="CT151" s="9">
        <f>IF($W151=CT$56,GU151*($Q151*$S151)/(1+Voorblad!$K$44)^(CT$56-Voorblad!$F$41),0)</f>
        <v>0</v>
      </c>
      <c r="CU151" s="9">
        <f>IF($W151=CU$56,GV151*($Q151*$S151)/(1+Voorblad!$K$44)^(CU$56-Voorblad!$F$41),0)</f>
        <v>0</v>
      </c>
      <c r="CV151" s="9">
        <f>IF($W151=CV$56,GW151*($Q151*$S151)/(1+Voorblad!$K$44)^(CV$56-Voorblad!$F$41),0)</f>
        <v>0</v>
      </c>
      <c r="CW151" s="9">
        <f>IF($W151=CW$56,GX151*($Q151*$S151)/(1+Voorblad!$K$44)^(CW$56-Voorblad!$F$41),0)</f>
        <v>0</v>
      </c>
      <c r="CX151" s="9">
        <f>IF($W151=CX$56,GY151*($Q151*$S151)/(1+Voorblad!$K$44)^(CX$56-Voorblad!$F$41),0)</f>
        <v>0</v>
      </c>
      <c r="CY151" s="9">
        <f>IF($W151=CY$56,GZ151*($Q151*$S151)/(1+Voorblad!$K$44)^(CY$56-Voorblad!$F$41),0)</f>
        <v>0</v>
      </c>
      <c r="CZ151" s="9">
        <f>IF($W151=CZ$56,HA151*($Q151*$S151)/(1+Voorblad!$K$44)^(CZ$56-Voorblad!$F$41),0)</f>
        <v>0</v>
      </c>
      <c r="DA151" s="9">
        <f>IF($W151=DA$56,HB151*($Q151*$S151)/(1+Voorblad!$K$44)^(DA$56-Voorblad!$F$41),0)</f>
        <v>0</v>
      </c>
      <c r="DB151" s="9">
        <f>IF($W151=DB$56,HC151*($Q151*$S151)/(1+Voorblad!$K$44)^(DB$56-Voorblad!$F$41),0)</f>
        <v>0</v>
      </c>
      <c r="DC151" s="9">
        <f>IF($W151=DC$56,HD151*($Q151*$S151)/(1+Voorblad!$K$44)^(DC$56-Voorblad!$F$41),0)</f>
        <v>0</v>
      </c>
      <c r="DD151" s="9">
        <f>IF($W151=DD$56,HE151*($Q151*$S151)/(1+Voorblad!$K$44)^(DD$56-Voorblad!$F$41),0)</f>
        <v>0</v>
      </c>
      <c r="DE151" s="9">
        <f>IF($W151=DE$56,HF151*($Q151*$S151)/(1+Voorblad!$K$44)^(DE$56-Voorblad!$F$41),0)</f>
        <v>0</v>
      </c>
      <c r="DF151" s="9">
        <f>IF($W151=DF$56,HG151*($Q151*$S151)/(1+Voorblad!$K$44)^(DF$56-Voorblad!$F$41),0)</f>
        <v>0</v>
      </c>
      <c r="DG151" s="9">
        <f>IF($W151=DG$56,HH151*($Q151*$S151)/(1+Voorblad!$K$44)^(DG$56-Voorblad!$F$41),0)</f>
        <v>0</v>
      </c>
      <c r="DH151" s="9">
        <f>IF($W151=DH$56,HI151*($Q151*$S151)/(1+Voorblad!$K$44)^(DH$56-Voorblad!$F$41),0)</f>
        <v>0</v>
      </c>
      <c r="DI151" s="9">
        <f>IF($W151=DI$56,HJ151*($Q151*$S151)/(1+Voorblad!$K$44)^(DI$56-Voorblad!$F$41),0)</f>
        <v>0</v>
      </c>
      <c r="DJ151" s="9">
        <f>IF($W151=DJ$56,HK151*($Q151*$S151)/(1+Voorblad!$K$44)^(DJ$56-Voorblad!$F$41),0)</f>
        <v>0</v>
      </c>
      <c r="DK151" s="9">
        <f>IF($W151=DK$56,HL151*($Q151*$S151)/(1+Voorblad!$K$44)^(DK$56-Voorblad!$F$41),0)</f>
        <v>0</v>
      </c>
      <c r="DL151" s="9">
        <f>IF($W151=DL$56,HM151*($Q151*$S151)/(1+Voorblad!$K$44)^(DL$56-Voorblad!$F$41),0)</f>
        <v>0</v>
      </c>
      <c r="DM151" s="9">
        <f>IF($W151=DM$56,HN151*($Q151*$S151)/(1+Voorblad!$K$44)^(DM$56-Voorblad!$F$41),0)</f>
        <v>0</v>
      </c>
      <c r="DN151" s="9">
        <f>IF($W151=DN$56,HO151*($Q151*$S151)/(1+Voorblad!$K$44)^(DN$56-Voorblad!$F$41),0)</f>
        <v>0</v>
      </c>
      <c r="DO151" s="9">
        <f>IF($W151=DO$56,HP151*($Q151*$S151)/(1+Voorblad!$K$44)^(DO$56-Voorblad!$F$41),0)</f>
        <v>0</v>
      </c>
      <c r="DP151" s="9">
        <f>IF($W151=DP$56,HQ151*($Q151*$S151)/(1+Voorblad!$K$44)^(DP$56-Voorblad!$F$41),0)</f>
        <v>0</v>
      </c>
      <c r="DQ151" s="9">
        <f>IF($W151=DQ$56,HR151*($Q151*$S151)/(1+Voorblad!$K$44)^(DQ$56-Voorblad!$F$41),0)</f>
        <v>0</v>
      </c>
      <c r="DR151" s="9">
        <f>IF($W151=DR$56,HS151*($Q151*$S151)/(1+Voorblad!$K$44)^(DR$56-Voorblad!$F$41),0)</f>
        <v>0</v>
      </c>
      <c r="DS151" s="9">
        <f>IF($W151=DS$56,HT151*($Q151*$S151)/(1+Voorblad!$K$44)^(DS$56-Voorblad!$F$41),0)</f>
        <v>0</v>
      </c>
      <c r="DT151" s="9">
        <f>IF($W151=DT$56,HU151*($Q151*$S151)/(1+Voorblad!$K$44)^(DT$56-Voorblad!$F$41),0)</f>
        <v>0</v>
      </c>
      <c r="DU151" s="9">
        <f>IF($W151=DU$56,HV151*($Q151*$S151)/(1+Voorblad!$K$44)^(DU$56-Voorblad!$F$41),0)</f>
        <v>0</v>
      </c>
      <c r="DV151" s="9">
        <f>IF($W151=DV$56,HW151*($Q151*$S151)/(1+Voorblad!$K$44)^(DV$56-Voorblad!$F$41),0)</f>
        <v>0</v>
      </c>
      <c r="DW151" s="9">
        <f>IF($W151=DW$56,HX151*($Q151*$S151)/(1+Voorblad!$K$44)^(DW$56-Voorblad!$F$41),0)</f>
        <v>0</v>
      </c>
      <c r="DX151" s="9">
        <f>IF($W151=DX$56,HY151*($Q151*$S151)/(1+Voorblad!$K$44)^(DX$56-Voorblad!$F$41),0)</f>
        <v>0</v>
      </c>
      <c r="DY151" s="9">
        <f>IF($W151=DY$56,HZ151*($Q151*$S151)/(1+Voorblad!$K$44)^(DY$56-Voorblad!$F$41),0)</f>
        <v>0</v>
      </c>
      <c r="DZ151" s="9">
        <f>IF($W151=DZ$56,IA151*($Q151*$S151)/(1+Voorblad!$K$44)^(DZ$56-Voorblad!$F$41),0)</f>
        <v>0</v>
      </c>
      <c r="EA151" s="9">
        <f>IF($W151=EA$56,IB151*($Q151*$S151)/(1+Voorblad!$K$44)^(EA$56-Voorblad!$F$41),0)</f>
        <v>0</v>
      </c>
      <c r="EB151" s="9">
        <f>IF($W151=EB$56,IC151*($Q151*$S151)/(1+Voorblad!$K$44)^(EB$56-Voorblad!$F$41),0)</f>
        <v>0</v>
      </c>
      <c r="EE151" s="8">
        <v>0</v>
      </c>
      <c r="EF151" s="8">
        <f>IF(EF$56-Voorblad!$F$41&gt;Voorblad!$K$41,0,IF($U151=0,0,IF($U151&lt;1,1/$U151,IF((EF$56-Voorblad!$F$41)/$U151-SUM($EE151:EE151)=1,1,0))))</f>
        <v>0</v>
      </c>
      <c r="EG151" s="8">
        <f>IF(EG$56-Voorblad!$F$41&gt;Voorblad!$K$41,0,IF($U151=0,0,IF($U151&lt;1,1/$U151,IF((EG$56-Voorblad!$F$41)/$U151-SUM($EE151:EF151)=1,1,0))))</f>
        <v>1</v>
      </c>
      <c r="EH151" s="8">
        <f>IF(EH$56-Voorblad!$F$41&gt;Voorblad!$K$41,0,IF($U151=0,0,IF($U151&lt;1,1/$U151,IF((EH$56-Voorblad!$F$41)/$U151-SUM($EE151:EG151)=1,1,0))))</f>
        <v>1</v>
      </c>
      <c r="EI151" s="8">
        <f>IF(EI$56-Voorblad!$F$41&gt;Voorblad!$K$41,0,IF($U151=0,0,IF($U151&lt;1,1/$U151,IF((EI$56-Voorblad!$F$41)/$U151-SUM($EE151:EH151)=1,1,0))))</f>
        <v>1</v>
      </c>
      <c r="EJ151" s="8">
        <f>IF(EJ$56-Voorblad!$F$41&gt;Voorblad!$K$41,0,IF($U151=0,0,IF($U151&lt;1,1/$U151,IF((EJ$56-Voorblad!$F$41)/$U151-SUM($EE151:EI151)=1,1,0))))</f>
        <v>1</v>
      </c>
      <c r="EK151" s="8">
        <f>IF(EK$56-Voorblad!$F$41&gt;Voorblad!$K$41,0,IF($U151=0,0,IF($U151&lt;1,1/$U151,IF((EK$56-Voorblad!$F$41)/$U151-SUM($EE151:EJ151)=1,1,0))))</f>
        <v>1</v>
      </c>
      <c r="EL151" s="8">
        <f>IF(EL$56-Voorblad!$F$41&gt;Voorblad!$K$41,0,IF($U151=0,0,IF($U151&lt;1,1/$U151,IF((EL$56-Voorblad!$F$41)/$U151-SUM($EE151:EK151)=1,1,0))))</f>
        <v>1</v>
      </c>
      <c r="EM151" s="8">
        <f>IF(EM$56-Voorblad!$F$41&gt;Voorblad!$K$41,0,IF($U151=0,0,IF($U151&lt;1,1/$U151,IF((EM$56-Voorblad!$F$41)/$U151-SUM($EE151:EL151)=1,1,0))))</f>
        <v>1</v>
      </c>
      <c r="EN151" s="8">
        <f>IF(EN$56-Voorblad!$F$41&gt;Voorblad!$K$41,0,IF($U151=0,0,IF($U151&lt;1,1/$U151,IF((EN$56-Voorblad!$F$41)/$U151-SUM($EE151:EM151)=1,1,0))))</f>
        <v>1</v>
      </c>
      <c r="EO151" s="8">
        <f>IF(EO$56-Voorblad!$F$41&gt;Voorblad!$K$41,0,IF($U151=0,0,IF($U151&lt;1,1/$U151,IF((EO$56-Voorblad!$F$41)/$U151-SUM($EE151:EN151)=1,1,0))))</f>
        <v>1</v>
      </c>
      <c r="EP151" s="8">
        <f>IF(EP$56-Voorblad!$F$41&gt;Voorblad!$K$41,0,IF($U151=0,0,IF($U151&lt;1,1/$U151,IF((EP$56-Voorblad!$F$41)/$U151-SUM($EE151:EO151)=1,1,0))))</f>
        <v>1</v>
      </c>
      <c r="EQ151" s="8">
        <f>IF(EQ$56-Voorblad!$F$41&gt;Voorblad!$K$41,0,IF($U151=0,0,IF($U151&lt;1,1/$U151,IF((EQ$56-Voorblad!$F$41)/$U151-SUM($EE151:EP151)=1,1,0))))</f>
        <v>1</v>
      </c>
      <c r="ER151" s="8">
        <f>IF(ER$56-Voorblad!$F$41&gt;Voorblad!$K$41,0,IF($U151=0,0,IF($U151&lt;1,1/$U151,IF((ER$56-Voorblad!$F$41)/$U151-SUM($EE151:EQ151)=1,1,0))))</f>
        <v>1</v>
      </c>
      <c r="ES151" s="8">
        <f>IF(ES$56-Voorblad!$F$41&gt;Voorblad!$K$41,0,IF($U151=0,0,IF($U151&lt;1,1/$U151,IF((ES$56-Voorblad!$F$41)/$U151-SUM($EE151:ER151)=1,1,0))))</f>
        <v>1</v>
      </c>
      <c r="ET151" s="8">
        <f>IF(ET$56-Voorblad!$F$41&gt;Voorblad!$K$41,0,IF($U151=0,0,IF($U151&lt;1,1/$U151,IF((ET$56-Voorblad!$F$41)/$U151-SUM($EE151:ES151)=1,1,0))))</f>
        <v>1</v>
      </c>
      <c r="EU151" s="8">
        <f>IF(EU$56-Voorblad!$F$41&gt;Voorblad!$K$41,0,IF($U151=0,0,IF($U151&lt;1,1/$U151,IF((EU$56-Voorblad!$F$41)/$U151-SUM($EE151:ET151)=1,1,0))))</f>
        <v>1</v>
      </c>
      <c r="EV151" s="8">
        <f>IF(EV$56-Voorblad!$F$41&gt;Voorblad!$K$41,0,IF($U151=0,0,IF($U151&lt;1,1/$U151,IF((EV$56-Voorblad!$F$41)/$U151-SUM($EE151:EU151)=1,1,0))))</f>
        <v>1</v>
      </c>
      <c r="EW151" s="8">
        <f>IF(EW$56-Voorblad!$F$41&gt;Voorblad!$K$41,0,IF($U151=0,0,IF($U151&lt;1,1/$U151,IF((EW$56-Voorblad!$F$41)/$U151-SUM($EE151:EV151)=1,1,0))))</f>
        <v>1</v>
      </c>
      <c r="EX151" s="8">
        <f>IF(EX$56-Voorblad!$F$41&gt;Voorblad!$K$41,0,IF($U151=0,0,IF($U151&lt;1,1/$U151,IF((EX$56-Voorblad!$F$41)/$U151-SUM($EE151:EW151)=1,1,0))))</f>
        <v>1</v>
      </c>
      <c r="EY151" s="8">
        <f>IF(EY$56-Voorblad!$F$41&gt;Voorblad!$K$41,0,IF($U151=0,0,IF($U151&lt;1,1/$U151,IF((EY$56-Voorblad!$F$41)/$U151-SUM($EE151:EX151)=1,1,0))))</f>
        <v>1</v>
      </c>
      <c r="EZ151" s="8">
        <f>IF(EZ$56-Voorblad!$F$41&gt;Voorblad!$K$41,0,IF($U151=0,0,IF($U151&lt;1,1/$U151,IF((EZ$56-Voorblad!$F$41)/$U151-SUM($EE151:EY151)=1,1,0))))</f>
        <v>1</v>
      </c>
      <c r="FA151" s="8">
        <f>IF(FA$56-Voorblad!$F$41&gt;Voorblad!$K$41,0,IF($U151=0,0,IF($U151&lt;1,1/$U151,IF((FA$56-Voorblad!$F$41)/$U151-SUM($EE151:EZ151)=1,1,0))))</f>
        <v>1</v>
      </c>
      <c r="FB151" s="8">
        <f>IF(FB$56-Voorblad!$F$41&gt;Voorblad!$K$41,0,IF($U151=0,0,IF($U151&lt;1,1/$U151,IF((FB$56-Voorblad!$F$41)/$U151-SUM($EE151:FA151)=1,1,0))))</f>
        <v>1</v>
      </c>
      <c r="FC151" s="8">
        <f>IF(FC$56-Voorblad!$F$41&gt;Voorblad!$K$41,0,IF($U151=0,0,IF($U151&lt;1,1/$U151,IF((FC$56-Voorblad!$F$41)/$U151-SUM($EE151:FB151)=1,1,0))))</f>
        <v>1</v>
      </c>
      <c r="FD151" s="8">
        <f>IF(FD$56-Voorblad!$F$41&gt;Voorblad!$K$41,0,IF($U151=0,0,IF($U151&lt;1,1/$U151,IF((FD$56-Voorblad!$F$41)/$U151-SUM($EE151:FC151)=1,1,0))))</f>
        <v>1</v>
      </c>
      <c r="FE151" s="8">
        <f>IF(FE$56-Voorblad!$F$41&gt;Voorblad!$K$41,0,IF($U151=0,0,IF($U151&lt;1,1/$U151,IF((FE$56-Voorblad!$F$41)/$U151-SUM($EE151:FD151)=1,1,0))))</f>
        <v>1</v>
      </c>
      <c r="FF151" s="8">
        <f>IF(FF$56-Voorblad!$F$41&gt;Voorblad!$K$41,0,IF($U151=0,0,IF($U151&lt;1,1/$U151,IF((FF$56-Voorblad!$F$41)/$U151-SUM($EE151:FE151)=1,1,0))))</f>
        <v>1</v>
      </c>
      <c r="FG151" s="8">
        <f>IF(FG$56-Voorblad!$F$41&gt;Voorblad!$K$41,0,IF($U151=0,0,IF($U151&lt;1,1/$U151,IF((FG$56-Voorblad!$F$41)/$U151-SUM($EE151:FF151)=1,1,0))))</f>
        <v>1</v>
      </c>
      <c r="FH151" s="8">
        <f>IF(FH$56-Voorblad!$F$41&gt;Voorblad!$K$41,0,IF($U151=0,0,IF($U151&lt;1,1/$U151,IF((FH$56-Voorblad!$F$41)/$U151-SUM($EE151:FG151)=1,1,0))))</f>
        <v>1</v>
      </c>
      <c r="FI151" s="8">
        <f>IF(FI$56-Voorblad!$F$41&gt;Voorblad!$K$41,0,IF($U151=0,0,IF($U151&lt;1,1/$U151,IF((FI$56-Voorblad!$F$41)/$U151-SUM($EE151:FH151)=1,1,0))))</f>
        <v>1</v>
      </c>
      <c r="FJ151" s="8">
        <f>IF(FJ$56-Voorblad!$F$41&gt;Voorblad!$K$41,0,IF($U151=0,0,IF($U151&lt;1,1/$U151,IF((FJ$56-Voorblad!$F$41)/$U151-SUM($EE151:FI151)=1,1,0))))</f>
        <v>1</v>
      </c>
      <c r="FK151" s="8">
        <f>IF(FK$56-Voorblad!$F$41&gt;Voorblad!$K$41,0,IF($U151=0,0,IF($U151&lt;1,1/$U151,IF((FK$56-Voorblad!$F$41)/$U151-SUM($EE151:FJ151)=1,1,0))))</f>
        <v>1</v>
      </c>
      <c r="FL151" s="8">
        <f>IF(FL$56-Voorblad!$F$41&gt;Voorblad!$K$41,0,IF($U151=0,0,IF($U151&lt;1,1/$U151,IF((FL$56-Voorblad!$F$41)/$U151-SUM($EE151:FK151)=1,1,0))))</f>
        <v>1</v>
      </c>
      <c r="FM151" s="8">
        <f>IF(FM$56-Voorblad!$F$41&gt;Voorblad!$K$41,0,IF($U151=0,0,IF($U151&lt;1,1/$U151,IF((FM$56-Voorblad!$F$41)/$U151-SUM($EE151:FL151)=1,1,0))))</f>
        <v>1</v>
      </c>
      <c r="FN151" s="8">
        <f>IF(FN$56-Voorblad!$F$41&gt;Voorblad!$K$41,0,IF($U151=0,0,IF($U151&lt;1,1/$U151,IF((FN$56-Voorblad!$F$41)/$U151-SUM($EE151:FM151)=1,1,0))))</f>
        <v>1</v>
      </c>
      <c r="FO151" s="8">
        <f>IF(FO$56-Voorblad!$F$41&gt;Voorblad!$K$41,0,IF($U151=0,0,IF($U151&lt;1,1/$U151,IF((FO$56-Voorblad!$F$41)/$U151-SUM($EE151:FN151)=1,1,0))))</f>
        <v>1</v>
      </c>
      <c r="FP151" s="8">
        <f>IF(FP$56-Voorblad!$F$41&gt;Voorblad!$K$41,0,IF($U151=0,0,IF($U151&lt;1,1/$U151,IF((FP$56-Voorblad!$F$41)/$U151-SUM($EE151:FO151)=1,1,0))))</f>
        <v>1</v>
      </c>
      <c r="FQ151" s="8">
        <f>IF(FQ$56-Voorblad!$F$41&gt;Voorblad!$K$41,0,IF($U151=0,0,IF($U151&lt;1,1/$U151,IF((FQ$56-Voorblad!$F$41)/$U151-SUM($EE151:FP151)=1,1,0))))</f>
        <v>1</v>
      </c>
      <c r="FR151" s="8">
        <f>IF(FR$56-Voorblad!$F$41&gt;Voorblad!$K$41,0,IF($U151=0,0,IF($U151&lt;1,1/$U151,IF((FR$56-Voorblad!$F$41)/$U151-SUM($EE151:FQ151)=1,1,0))))</f>
        <v>1</v>
      </c>
      <c r="FS151" s="8">
        <f>IF(FS$56-Voorblad!$F$41&gt;Voorblad!$K$41,0,IF($U151=0,0,IF($U151&lt;1,1/$U151,IF((FS$56-Voorblad!$F$41)/$U151-SUM($EE151:FR151)=1,1,0))))</f>
        <v>1</v>
      </c>
      <c r="FT151" s="8">
        <f>IF(FT$56-Voorblad!$F$41&gt;Voorblad!$K$41,0,IF($U151=0,0,IF($U151&lt;1,1/$U151,IF((FT$56-Voorblad!$F$41)/$U151-SUM($EE151:FS151)=1,1,0))))</f>
        <v>1</v>
      </c>
      <c r="FU151" s="8">
        <f>IF(FU$56-Voorblad!$F$41&gt;Voorblad!$K$41,0,IF($U151=0,0,IF($U151&lt;1,1/$U151,IF((FU$56-Voorblad!$F$41)/$U151-SUM($EE151:FT151)=1,1,0))))</f>
        <v>1</v>
      </c>
      <c r="FV151" s="8">
        <f>IF(FV$56-Voorblad!$F$41&gt;Voorblad!$K$41,0,IF($U151=0,0,IF($U151&lt;1,1/$U151,IF((FV$56-Voorblad!$F$41)/$U151-SUM($EE151:FU151)=1,1,0))))</f>
        <v>1</v>
      </c>
      <c r="FW151" s="8">
        <f>IF(FW$56-Voorblad!$F$41&gt;Voorblad!$K$41,0,IF($U151=0,0,IF($U151&lt;1,1/$U151,IF((FW$56-Voorblad!$F$41)/$U151-SUM($EE151:FV151)=1,1,0))))</f>
        <v>1</v>
      </c>
      <c r="FX151" s="8">
        <f>IF(FX$56-Voorblad!$F$41&gt;Voorblad!$K$41,0,IF($U151=0,0,IF($U151&lt;1,1/$U151,IF((FX$56-Voorblad!$F$41)/$U151-SUM($EE151:FW151)=1,1,0))))</f>
        <v>1</v>
      </c>
      <c r="FY151" s="8">
        <f>IF(FY$56-Voorblad!$F$41&gt;Voorblad!$K$41,0,IF($U151=0,0,IF($U151&lt;1,1/$U151,IF((FY$56-Voorblad!$F$41)/$U151-SUM($EE151:FX151)=1,1,0))))</f>
        <v>1</v>
      </c>
      <c r="FZ151" s="8">
        <f>IF(FZ$56-Voorblad!$F$41&gt;Voorblad!$K$41,0,IF($U151=0,0,IF($U151&lt;1,1/$U151,IF((FZ$56-Voorblad!$F$41)/$U151-SUM($EE151:FY151)=1,1,0))))</f>
        <v>1</v>
      </c>
      <c r="GA151" s="8">
        <f>IF(GA$56-Voorblad!$F$41&gt;Voorblad!$K$41,0,IF($U151=0,0,IF($U151&lt;1,1/$U151,IF((GA$56-Voorblad!$F$41)/$U151-SUM($EE151:FZ151)=1,1,0))))</f>
        <v>1</v>
      </c>
      <c r="GB151" s="8">
        <f>IF(GB$56-Voorblad!$F$41&gt;Voorblad!$K$41,0,IF($U151=0,0,IF($U151&lt;1,1/$U151,IF((GB$56-Voorblad!$F$41)/$U151-SUM($EE151:GA151)=1,1,0))))</f>
        <v>1</v>
      </c>
      <c r="GC151" s="8">
        <f>IF(GC$56-Voorblad!$F$41&gt;Voorblad!$K$41,0,IF($U151=0,0,IF($U151&lt;1,1/$U151,IF((GC$56-Voorblad!$F$41)/$U151-SUM($EE151:GB151)=1,1,0))))</f>
        <v>1</v>
      </c>
      <c r="GD151" s="8">
        <f>IF(GD$56-Voorblad!$F$41&gt;Voorblad!$K$41,0,IF($U151=0,0,IF($U151&lt;1,1/$U151,IF((GD$56-Voorblad!$F$41)/$U151-SUM($EE151:GC151)=1,1,0))))</f>
        <v>1</v>
      </c>
      <c r="GE151" s="8">
        <f>IF(GE$56-Voorblad!$F$41&gt;Voorblad!$K$41,0,IF($U151=0,0,IF($U151&lt;1,1/$U151,IF((GE$56-Voorblad!$F$41)/$U151-SUM($EE151:GD151)=1,1,0))))</f>
        <v>1</v>
      </c>
      <c r="GF151" s="8">
        <f>IF(GF$56-Voorblad!$F$41&gt;Voorblad!$K$41,0,IF($U151=0,0,IF($U151&lt;1,1/$U151,IF((GF$56-Voorblad!$F$41)/$U151-SUM($EE151:GE151)=1,1,0))))</f>
        <v>1</v>
      </c>
      <c r="GG151" s="8">
        <f>IF(GG$56-Voorblad!$F$41&gt;Voorblad!$K$41,0,IF($U151=0,0,IF($U151&lt;1,1/$U151,IF((GG$56-Voorblad!$F$41)/$U151-SUM($EE151:GF151)=1,1,0))))</f>
        <v>1</v>
      </c>
      <c r="GH151" s="8">
        <f>IF(GH$56-Voorblad!$F$41&gt;Voorblad!$K$41,0,IF($U151=0,0,IF($U151&lt;1,1/$U151,IF((GH$56-Voorblad!$F$41)/$U151-SUM($EE151:GG151)=1,1,0))))</f>
        <v>1</v>
      </c>
      <c r="GI151" s="8">
        <f>IF(GI$56-Voorblad!$F$41&gt;Voorblad!$K$41,0,IF($U151=0,0,IF($U151&lt;1,1/$U151,IF((GI$56-Voorblad!$F$41)/$U151-SUM($EE151:GH151)=1,1,0))))</f>
        <v>1</v>
      </c>
      <c r="GJ151" s="8">
        <f>IF(GJ$56-Voorblad!$F$41&gt;Voorblad!$K$41,0,IF($U151=0,0,IF($U151&lt;1,1/$U151,IF((GJ$56-Voorblad!$F$41)/$U151-SUM($EE151:GI151)=1,1,0))))</f>
        <v>1</v>
      </c>
      <c r="GK151" s="8">
        <f>IF(GK$56-Voorblad!$F$41&gt;Voorblad!$K$41,0,IF($U151=0,0,IF($U151&lt;1,1/$U151,IF((GK$56-Voorblad!$F$41)/$U151-SUM($EE151:GJ151)=1,1,0))))</f>
        <v>1</v>
      </c>
      <c r="GL151" s="8">
        <f>IF(GL$56-Voorblad!$F$41&gt;Voorblad!$K$41,0,IF($U151=0,0,IF($U151&lt;1,1/$U151,IF((GL$56-Voorblad!$F$41)/$U151-SUM($EE151:GK151)=1,1,0))))</f>
        <v>1</v>
      </c>
      <c r="GM151" s="8">
        <f>IF(GM$56-Voorblad!$F$41&gt;Voorblad!$K$41,0,IF($U151=0,0,IF($U151&lt;1,1/$U151,IF((GM$56-Voorblad!$F$41)/$U151-SUM($EE151:GL151)=1,1,0))))</f>
        <v>1</v>
      </c>
      <c r="GN151" s="8">
        <f>IF(GN$56-Voorblad!$F$41&gt;Voorblad!$K$41,0,IF($U151=0,0,IF($U151&lt;1,1/$U151,IF((GN$56-Voorblad!$F$41)/$U151-SUM($EE151:GM151)=1,1,0))))</f>
        <v>1</v>
      </c>
      <c r="GO151" s="8">
        <f>IF(GO$56-Voorblad!$F$41&gt;Voorblad!$K$41,0,IF($U151=0,0,IF($U151&lt;1,1/$U151,IF((GO$56-Voorblad!$F$41)/$U151-SUM($EE151:GN151)=1,1,0))))</f>
        <v>1</v>
      </c>
      <c r="GP151" s="8">
        <f>IF(GP$56-Voorblad!$F$41&gt;Voorblad!$K$41,0,IF($U151=0,0,IF($U151&lt;1,1/$U151,IF((GP$56-Voorblad!$F$41)/$U151-SUM($EE151:GO151)=1,1,0))))</f>
        <v>1</v>
      </c>
      <c r="GQ151" s="8">
        <f>IF(GQ$56-Voorblad!$F$41&gt;Voorblad!$K$41,0,IF($U151=0,0,IF($U151&lt;1,1/$U151,IF((GQ$56-Voorblad!$F$41)/$U151-SUM($EE151:GP151)=1,1,0))))</f>
        <v>1</v>
      </c>
      <c r="GR151" s="8">
        <f>IF(GR$56-Voorblad!$F$41&gt;Voorblad!$K$41,0,IF($U151=0,0,IF($U151&lt;1,1/$U151,IF((GR$56-Voorblad!$F$41)/$U151-SUM($EE151:GQ151)=1,1,0))))</f>
        <v>1</v>
      </c>
      <c r="GS151" s="8">
        <f>IF(GS$56-Voorblad!$F$41&gt;Voorblad!$K$41,0,IF($U151=0,0,IF($U151&lt;1,1/$U151,IF((GS$56-Voorblad!$F$41)/$U151-SUM($EE151:GR151)=1,1,0))))</f>
        <v>1</v>
      </c>
      <c r="GT151" s="8">
        <f>IF(GT$56-Voorblad!$F$41&gt;Voorblad!$K$41,0,IF($U151=0,0,IF($U151&lt;1,1/$U151,IF((GT$56-Voorblad!$F$41)/$U151-SUM($EE151:GS151)=1,1,0))))</f>
        <v>1</v>
      </c>
      <c r="GU151" s="8">
        <f>IF(GU$56-Voorblad!$F$41&gt;Voorblad!$K$41,0,IF($U151=0,0,IF($U151&lt;1,1/$U151,IF((GU$56-Voorblad!$F$41)/$U151-SUM($EE151:GT151)=1,1,0))))</f>
        <v>1</v>
      </c>
      <c r="GV151" s="8">
        <f>IF(GV$56-Voorblad!$F$41&gt;Voorblad!$K$41,0,IF($U151=0,0,IF($U151&lt;1,1/$U151,IF((GV$56-Voorblad!$F$41)/$U151-SUM($EE151:GU151)=1,1,0))))</f>
        <v>1</v>
      </c>
      <c r="GW151" s="8">
        <f>IF(GW$56-Voorblad!$F$41&gt;Voorblad!$K$41,0,IF($U151=0,0,IF($U151&lt;1,1/$U151,IF((GW$56-Voorblad!$F$41)/$U151-SUM($EE151:GV151)=1,1,0))))</f>
        <v>1</v>
      </c>
      <c r="GX151" s="8">
        <f>IF(GX$56-Voorblad!$F$41&gt;Voorblad!$K$41,0,IF($U151=0,0,IF($U151&lt;1,1/$U151,IF((GX$56-Voorblad!$F$41)/$U151-SUM($EE151:GW151)=1,1,0))))</f>
        <v>1</v>
      </c>
      <c r="GY151" s="8">
        <f>IF(GY$56-Voorblad!$F$41&gt;Voorblad!$K$41,0,IF($U151=0,0,IF($U151&lt;1,1/$U151,IF((GY$56-Voorblad!$F$41)/$U151-SUM($EE151:GX151)=1,1,0))))</f>
        <v>1</v>
      </c>
      <c r="GZ151" s="8">
        <f>IF(GZ$56-Voorblad!$F$41&gt;Voorblad!$K$41,0,IF($U151=0,0,IF($U151&lt;1,1/$U151,IF((GZ$56-Voorblad!$F$41)/$U151-SUM($EE151:GY151)=1,1,0))))</f>
        <v>1</v>
      </c>
      <c r="HA151" s="8">
        <f>IF(HA$56-Voorblad!$F$41&gt;Voorblad!$K$41,0,IF($U151=0,0,IF($U151&lt;1,1/$U151,IF((HA$56-Voorblad!$F$41)/$U151-SUM($EE151:GZ151)=1,1,0))))</f>
        <v>1</v>
      </c>
      <c r="HB151" s="8">
        <f>IF(HB$56-Voorblad!$F$41&gt;Voorblad!$K$41,0,IF($U151=0,0,IF($U151&lt;1,1/$U151,IF((HB$56-Voorblad!$F$41)/$U151-SUM($EE151:HA151)=1,1,0))))</f>
        <v>0</v>
      </c>
      <c r="HC151" s="8">
        <f>IF(HC$56-Voorblad!$F$41&gt;Voorblad!$K$41,0,IF($U151=0,0,IF($U151&lt;1,1/$U151,IF((HC$56-Voorblad!$F$41)/$U151-SUM($EE151:HB151)=1,1,0))))</f>
        <v>0</v>
      </c>
      <c r="HD151" s="8">
        <f>IF(HD$56-Voorblad!$F$41&gt;Voorblad!$K$41,0,IF($U151=0,0,IF($U151&lt;1,1/$U151,IF((HD$56-Voorblad!$F$41)/$U151-SUM($EE151:HC151)=1,1,0))))</f>
        <v>0</v>
      </c>
      <c r="HE151" s="8">
        <f>IF(HE$56-Voorblad!$F$41&gt;Voorblad!$K$41,0,IF($U151=0,0,IF($U151&lt;1,1/$U151,IF((HE$56-Voorblad!$F$41)/$U151-SUM($EE151:HD151)=1,1,0))))</f>
        <v>0</v>
      </c>
      <c r="HF151" s="8">
        <f>IF(HF$56-Voorblad!$F$41&gt;Voorblad!$K$41,0,IF($U151=0,0,IF($U151&lt;1,1/$U151,IF((HF$56-Voorblad!$F$41)/$U151-SUM($EE151:HE151)=1,1,0))))</f>
        <v>0</v>
      </c>
      <c r="HG151" s="8">
        <f>IF(HG$56-Voorblad!$F$41&gt;Voorblad!$K$41,0,IF($U151=0,0,IF($U151&lt;1,1/$U151,IF((HG$56-Voorblad!$F$41)/$U151-SUM($EE151:HF151)=1,1,0))))</f>
        <v>0</v>
      </c>
      <c r="HH151" s="8">
        <f>IF(HH$56-Voorblad!$F$41&gt;Voorblad!$K$41,0,IF($U151=0,0,IF($U151&lt;1,1/$U151,IF((HH$56-Voorblad!$F$41)/$U151-SUM($EE151:HG151)=1,1,0))))</f>
        <v>0</v>
      </c>
      <c r="HI151" s="8">
        <f>IF(HI$56-Voorblad!$F$41&gt;Voorblad!$K$41,0,IF($U151=0,0,IF($U151&lt;1,1/$U151,IF((HI$56-Voorblad!$F$41)/$U151-SUM($EE151:HH151)=1,1,0))))</f>
        <v>0</v>
      </c>
      <c r="HJ151" s="8">
        <f>IF(HJ$56-Voorblad!$F$41&gt;Voorblad!$K$41,0,IF($U151=0,0,IF($U151&lt;1,1/$U151,IF((HJ$56-Voorblad!$F$41)/$U151-SUM($EE151:HI151)=1,1,0))))</f>
        <v>0</v>
      </c>
      <c r="HK151" s="8">
        <f>IF(HK$56-Voorblad!$F$41&gt;Voorblad!$K$41,0,IF($U151=0,0,IF($U151&lt;1,1/$U151,IF((HK$56-Voorblad!$F$41)/$U151-SUM($EE151:HJ151)=1,1,0))))</f>
        <v>0</v>
      </c>
      <c r="HL151" s="8">
        <f>IF(HL$56-Voorblad!$F$41&gt;Voorblad!$K$41,0,IF($U151=0,0,IF($U151&lt;1,1/$U151,IF((HL$56-Voorblad!$F$41)/$U151-SUM($EE151:HK151)=1,1,0))))</f>
        <v>0</v>
      </c>
      <c r="HM151" s="8">
        <f>IF(HM$56-Voorblad!$F$41&gt;Voorblad!$K$41,0,IF($U151=0,0,IF($U151&lt;1,1/$U151,IF((HM$56-Voorblad!$F$41)/$U151-SUM($EE151:HL151)=1,1,0))))</f>
        <v>0</v>
      </c>
      <c r="HN151" s="8">
        <f>IF(HN$56-Voorblad!$F$41&gt;Voorblad!$K$41,0,IF($U151=0,0,IF($U151&lt;1,1/$U151,IF((HN$56-Voorblad!$F$41)/$U151-SUM($EE151:HM151)=1,1,0))))</f>
        <v>0</v>
      </c>
      <c r="HO151" s="8">
        <f>IF(HO$56-Voorblad!$F$41&gt;Voorblad!$K$41,0,IF($U151=0,0,IF($U151&lt;1,1/$U151,IF((HO$56-Voorblad!$F$41)/$U151-SUM($EE151:HN151)=1,1,0))))</f>
        <v>0</v>
      </c>
      <c r="HP151" s="8">
        <f>IF(HP$56-Voorblad!$F$41&gt;Voorblad!$K$41,0,IF($U151=0,0,IF($U151&lt;1,1/$U151,IF((HP$56-Voorblad!$F$41)/$U151-SUM($EE151:HO151)=1,1,0))))</f>
        <v>0</v>
      </c>
      <c r="HQ151" s="8">
        <f>IF(HQ$56-Voorblad!$F$41&gt;Voorblad!$K$41,0,IF($U151=0,0,IF($U151&lt;1,1/$U151,IF((HQ$56-Voorblad!$F$41)/$U151-SUM($EE151:HP151)=1,1,0))))</f>
        <v>0</v>
      </c>
      <c r="HR151" s="8">
        <f>IF(HR$56-Voorblad!$F$41&gt;Voorblad!$K$41,0,IF($U151=0,0,IF($U151&lt;1,1/$U151,IF((HR$56-Voorblad!$F$41)/$U151-SUM($EE151:HQ151)=1,1,0))))</f>
        <v>0</v>
      </c>
      <c r="HS151" s="8">
        <f>IF(HS$56-Voorblad!$F$41&gt;Voorblad!$K$41,0,IF($U151=0,0,IF($U151&lt;1,1/$U151,IF((HS$56-Voorblad!$F$41)/$U151-SUM($EE151:HR151)=1,1,0))))</f>
        <v>0</v>
      </c>
      <c r="HT151" s="8">
        <f>IF(HT$56-Voorblad!$F$41&gt;Voorblad!$K$41,0,IF($U151=0,0,IF($U151&lt;1,1/$U151,IF((HT$56-Voorblad!$F$41)/$U151-SUM($EE151:HS151)=1,1,0))))</f>
        <v>0</v>
      </c>
      <c r="HU151" s="8">
        <f>IF(HU$56-Voorblad!$F$41&gt;Voorblad!$K$41,0,IF($U151=0,0,IF($U151&lt;1,1/$U151,IF((HU$56-Voorblad!$F$41)/$U151-SUM($EE151:HT151)=1,1,0))))</f>
        <v>0</v>
      </c>
      <c r="HV151" s="8">
        <f>IF(HV$56-Voorblad!$F$41&gt;Voorblad!$K$41,0,IF($U151=0,0,IF($U151&lt;1,1/$U151,IF((HV$56-Voorblad!$F$41)/$U151-SUM($EE151:HU151)=1,1,0))))</f>
        <v>0</v>
      </c>
      <c r="HW151" s="8">
        <f>IF(HW$56-Voorblad!$F$41&gt;Voorblad!$K$41,0,IF($U151=0,0,IF($U151&lt;1,1/$U151,IF((HW$56-Voorblad!$F$41)/$U151-SUM($EE151:HV151)=1,1,0))))</f>
        <v>0</v>
      </c>
      <c r="HX151" s="8">
        <f>IF(HX$56-Voorblad!$F$41&gt;Voorblad!$K$41,0,IF($U151=0,0,IF($U151&lt;1,1/$U151,IF((HX$56-Voorblad!$F$41)/$U151-SUM($EE151:HW151)=1,1,0))))</f>
        <v>0</v>
      </c>
      <c r="HY151" s="8">
        <f>IF(HY$56-Voorblad!$F$41&gt;Voorblad!$K$41,0,IF($U151=0,0,IF($U151&lt;1,1/$U151,IF((HY$56-Voorblad!$F$41)/$U151-SUM($EE151:HX151)=1,1,0))))</f>
        <v>0</v>
      </c>
      <c r="HZ151" s="8">
        <f>IF(HZ$56-Voorblad!$F$41&gt;Voorblad!$K$41,0,IF($U151=0,0,IF($U151&lt;1,1/$U151,IF((HZ$56-Voorblad!$F$41)/$U151-SUM($EE151:HY151)=1,1,0))))</f>
        <v>0</v>
      </c>
      <c r="IA151" s="8">
        <f>IF(IA$56-Voorblad!$F$41&gt;Voorblad!$K$41,0,IF($U151=0,0,IF($U151&lt;1,1/$U151,IF((IA$56-Voorblad!$F$41)/$U151-SUM($EE151:HZ151)=1,1,0))))</f>
        <v>0</v>
      </c>
      <c r="IB151" s="8">
        <f>IF(IB$56-Voorblad!$F$41&gt;Voorblad!$K$41,0,IF($U151=0,0,IF($U151&lt;1,1/$U151,IF((IB$56-Voorblad!$F$41)/$U151-SUM($EE151:IA151)=1,1,0))))</f>
        <v>0</v>
      </c>
    </row>
    <row r="152" spans="2:236" outlineLevel="1" x14ac:dyDescent="0.25">
      <c r="B152" s="14">
        <v>1</v>
      </c>
      <c r="C152" s="14"/>
      <c r="F152" s="1" t="s">
        <v>58</v>
      </c>
      <c r="I152" s="1" t="s">
        <v>66</v>
      </c>
      <c r="K152" s="1" t="s">
        <v>65</v>
      </c>
      <c r="O152" s="1" t="s">
        <v>100</v>
      </c>
      <c r="Q152" s="81">
        <v>0</v>
      </c>
      <c r="R152" s="1" t="s">
        <v>33</v>
      </c>
      <c r="S152" s="21">
        <f>4%*T149</f>
        <v>33575.686559999995</v>
      </c>
      <c r="T152" s="21">
        <f>Q152*S152</f>
        <v>0</v>
      </c>
      <c r="U152" s="11">
        <v>1</v>
      </c>
      <c r="V152" s="14"/>
      <c r="W152" s="81">
        <v>0</v>
      </c>
      <c r="X152" s="6"/>
      <c r="Y152" s="9">
        <f t="shared" si="21"/>
        <v>0</v>
      </c>
      <c r="Z152" s="82"/>
      <c r="AA152" s="82"/>
      <c r="AC152" s="9">
        <f>$Y152*(Voorblad!$K$44*(1+Voorblad!$K$44)^Voorblad!$K$41)/((1+Voorblad!$K$44)^Voorblad!$K$41-1)</f>
        <v>0</v>
      </c>
      <c r="AE152" s="9">
        <f>IF($W152=AE$56,EF152*($Q152*$S152)/(1+Voorblad!$K$44)^(AE$56-Voorblad!$F$41),0)</f>
        <v>0</v>
      </c>
      <c r="AF152" s="9">
        <f>IF($W152=AF$56,EG152*($Q152*$S152)/(1+Voorblad!$K$44)^(AF$56-Voorblad!$F$41),0)</f>
        <v>0</v>
      </c>
      <c r="AG152" s="9">
        <f>IF($W152=AG$56,EH152*($Q152*$S152)/(1+Voorblad!$K$44)^(AG$56-Voorblad!$F$41),0)</f>
        <v>0</v>
      </c>
      <c r="AH152" s="9">
        <f>IF($W152=AH$56,EI152*($Q152*$S152)/(1+Voorblad!$K$44)^(AH$56-Voorblad!$F$41),0)</f>
        <v>0</v>
      </c>
      <c r="AI152" s="9">
        <f>IF($W152=AI$56,EJ152*($Q152*$S152)/(1+Voorblad!$K$44)^(AI$56-Voorblad!$F$41),0)</f>
        <v>0</v>
      </c>
      <c r="AJ152" s="9">
        <f>IF($W152=AJ$56,EK152*($Q152*$S152)/(1+Voorblad!$K$44)^(AJ$56-Voorblad!$F$41),0)</f>
        <v>0</v>
      </c>
      <c r="AK152" s="9">
        <f>IF($W152=AK$56,EL152*($Q152*$S152)/(1+Voorblad!$K$44)^(AK$56-Voorblad!$F$41),0)</f>
        <v>0</v>
      </c>
      <c r="AL152" s="9">
        <f>IF($W152=AL$56,EM152*($Q152*$S152)/(1+Voorblad!$K$44)^(AL$56-Voorblad!$F$41),0)</f>
        <v>0</v>
      </c>
      <c r="AM152" s="9">
        <f>IF($W152=AM$56,EN152*($Q152*$S152)/(1+Voorblad!$K$44)^(AM$56-Voorblad!$F$41),0)</f>
        <v>0</v>
      </c>
      <c r="AN152" s="9">
        <f>IF($W152=AN$56,EO152*($Q152*$S152)/(1+Voorblad!$K$44)^(AN$56-Voorblad!$F$41),0)</f>
        <v>0</v>
      </c>
      <c r="AO152" s="9">
        <f>IF($W152=AO$56,EP152*($Q152*$S152)/(1+Voorblad!$K$44)^(AO$56-Voorblad!$F$41),0)</f>
        <v>0</v>
      </c>
      <c r="AP152" s="9">
        <f>IF($W152=AP$56,EQ152*($Q152*$S152)/(1+Voorblad!$K$44)^(AP$56-Voorblad!$F$41),0)</f>
        <v>0</v>
      </c>
      <c r="AQ152" s="9">
        <f>IF($W152=AQ$56,ER152*($Q152*$S152)/(1+Voorblad!$K$44)^(AQ$56-Voorblad!$F$41),0)</f>
        <v>0</v>
      </c>
      <c r="AR152" s="9">
        <f>IF($W152=AR$56,ES152*($Q152*$S152)/(1+Voorblad!$K$44)^(AR$56-Voorblad!$F$41),0)</f>
        <v>0</v>
      </c>
      <c r="AS152" s="9">
        <f>IF($W152=AS$56,ET152*($Q152*$S152)/(1+Voorblad!$K$44)^(AS$56-Voorblad!$F$41),0)</f>
        <v>0</v>
      </c>
      <c r="AT152" s="9">
        <f>IF($W152=AT$56,EU152*($Q152*$S152)/(1+Voorblad!$K$44)^(AT$56-Voorblad!$F$41),0)</f>
        <v>0</v>
      </c>
      <c r="AU152" s="9">
        <f>IF($W152=AU$56,EV152*($Q152*$S152)/(1+Voorblad!$K$44)^(AU$56-Voorblad!$F$41),0)</f>
        <v>0</v>
      </c>
      <c r="AV152" s="9">
        <f>IF($W152=AV$56,EW152*($Q152*$S152)/(1+Voorblad!$K$44)^(AV$56-Voorblad!$F$41),0)</f>
        <v>0</v>
      </c>
      <c r="AW152" s="9">
        <f>IF($W152=AW$56,EX152*($Q152*$S152)/(1+Voorblad!$K$44)^(AW$56-Voorblad!$F$41),0)</f>
        <v>0</v>
      </c>
      <c r="AX152" s="9">
        <f>IF($W152=AX$56,EY152*($Q152*$S152)/(1+Voorblad!$K$44)^(AX$56-Voorblad!$F$41),0)</f>
        <v>0</v>
      </c>
      <c r="AY152" s="9">
        <f>IF($W152=AY$56,EZ152*($Q152*$S152)/(1+Voorblad!$K$44)^(AY$56-Voorblad!$F$41),0)</f>
        <v>0</v>
      </c>
      <c r="AZ152" s="9">
        <f>IF($W152=AZ$56,FA152*($Q152*$S152)/(1+Voorblad!$K$44)^(AZ$56-Voorblad!$F$41),0)</f>
        <v>0</v>
      </c>
      <c r="BA152" s="9">
        <f>IF($W152=BA$56,FB152*($Q152*$S152)/(1+Voorblad!$K$44)^(BA$56-Voorblad!$F$41),0)</f>
        <v>0</v>
      </c>
      <c r="BB152" s="9">
        <f>IF($W152=BB$56,FC152*($Q152*$S152)/(1+Voorblad!$K$44)^(BB$56-Voorblad!$F$41),0)</f>
        <v>0</v>
      </c>
      <c r="BC152" s="9">
        <f>IF($W152=BC$56,FD152*($Q152*$S152)/(1+Voorblad!$K$44)^(BC$56-Voorblad!$F$41),0)</f>
        <v>0</v>
      </c>
      <c r="BD152" s="9">
        <f>IF($W152=BD$56,FE152*($Q152*$S152)/(1+Voorblad!$K$44)^(BD$56-Voorblad!$F$41),0)</f>
        <v>0</v>
      </c>
      <c r="BE152" s="9">
        <f>IF($W152=BE$56,FF152*($Q152*$S152)/(1+Voorblad!$K$44)^(BE$56-Voorblad!$F$41),0)</f>
        <v>0</v>
      </c>
      <c r="BF152" s="9">
        <f>IF($W152=BF$56,FG152*($Q152*$S152)/(1+Voorblad!$K$44)^(BF$56-Voorblad!$F$41),0)</f>
        <v>0</v>
      </c>
      <c r="BG152" s="9">
        <f>IF($W152=BG$56,FH152*($Q152*$S152)/(1+Voorblad!$K$44)^(BG$56-Voorblad!$F$41),0)</f>
        <v>0</v>
      </c>
      <c r="BH152" s="9">
        <f>IF($W152=BH$56,FI152*($Q152*$S152)/(1+Voorblad!$K$44)^(BH$56-Voorblad!$F$41),0)</f>
        <v>0</v>
      </c>
      <c r="BI152" s="9">
        <f>IF($W152=BI$56,FJ152*($Q152*$S152)/(1+Voorblad!$K$44)^(BI$56-Voorblad!$F$41),0)</f>
        <v>0</v>
      </c>
      <c r="BJ152" s="9">
        <f>IF($W152=BJ$56,FK152*($Q152*$S152)/(1+Voorblad!$K$44)^(BJ$56-Voorblad!$F$41),0)</f>
        <v>0</v>
      </c>
      <c r="BK152" s="9">
        <f>IF($W152=BK$56,FL152*($Q152*$S152)/(1+Voorblad!$K$44)^(BK$56-Voorblad!$F$41),0)</f>
        <v>0</v>
      </c>
      <c r="BL152" s="9">
        <f>IF($W152=BL$56,FM152*($Q152*$S152)/(1+Voorblad!$K$44)^(BL$56-Voorblad!$F$41),0)</f>
        <v>0</v>
      </c>
      <c r="BM152" s="9">
        <f>IF($W152=BM$56,FN152*($Q152*$S152)/(1+Voorblad!$K$44)^(BM$56-Voorblad!$F$41),0)</f>
        <v>0</v>
      </c>
      <c r="BN152" s="9">
        <f>IF($W152=BN$56,FO152*($Q152*$S152)/(1+Voorblad!$K$44)^(BN$56-Voorblad!$F$41),0)</f>
        <v>0</v>
      </c>
      <c r="BO152" s="9">
        <f>IF($W152=BO$56,FP152*($Q152*$S152)/(1+Voorblad!$K$44)^(BO$56-Voorblad!$F$41),0)</f>
        <v>0</v>
      </c>
      <c r="BP152" s="9">
        <f>IF($W152=BP$56,FQ152*($Q152*$S152)/(1+Voorblad!$K$44)^(BP$56-Voorblad!$F$41),0)</f>
        <v>0</v>
      </c>
      <c r="BQ152" s="9">
        <f>IF($W152=BQ$56,FR152*($Q152*$S152)/(1+Voorblad!$K$44)^(BQ$56-Voorblad!$F$41),0)</f>
        <v>0</v>
      </c>
      <c r="BR152" s="9">
        <f>IF($W152=BR$56,FS152*($Q152*$S152)/(1+Voorblad!$K$44)^(BR$56-Voorblad!$F$41),0)</f>
        <v>0</v>
      </c>
      <c r="BS152" s="9">
        <f>IF($W152=BS$56,FT152*($Q152*$S152)/(1+Voorblad!$K$44)^(BS$56-Voorblad!$F$41),0)</f>
        <v>0</v>
      </c>
      <c r="BT152" s="9">
        <f>IF($W152=BT$56,FU152*($Q152*$S152)/(1+Voorblad!$K$44)^(BT$56-Voorblad!$F$41),0)</f>
        <v>0</v>
      </c>
      <c r="BU152" s="9">
        <f>IF($W152=BU$56,FV152*($Q152*$S152)/(1+Voorblad!$K$44)^(BU$56-Voorblad!$F$41),0)</f>
        <v>0</v>
      </c>
      <c r="BV152" s="9">
        <f>IF($W152=BV$56,FW152*($Q152*$S152)/(1+Voorblad!$K$44)^(BV$56-Voorblad!$F$41),0)</f>
        <v>0</v>
      </c>
      <c r="BW152" s="9">
        <f>IF($W152=BW$56,FX152*($Q152*$S152)/(1+Voorblad!$K$44)^(BW$56-Voorblad!$F$41),0)</f>
        <v>0</v>
      </c>
      <c r="BX152" s="9">
        <f>IF($W152=BX$56,FY152*($Q152*$S152)/(1+Voorblad!$K$44)^(BX$56-Voorblad!$F$41),0)</f>
        <v>0</v>
      </c>
      <c r="BY152" s="9">
        <f>IF($W152=BY$56,FZ152*($Q152*$S152)/(1+Voorblad!$K$44)^(BY$56-Voorblad!$F$41),0)</f>
        <v>0</v>
      </c>
      <c r="BZ152" s="9">
        <f>IF($W152=BZ$56,GA152*($Q152*$S152)/(1+Voorblad!$K$44)^(BZ$56-Voorblad!$F$41),0)</f>
        <v>0</v>
      </c>
      <c r="CA152" s="9">
        <f>IF($W152=CA$56,GB152*($Q152*$S152)/(1+Voorblad!$K$44)^(CA$56-Voorblad!$F$41),0)</f>
        <v>0</v>
      </c>
      <c r="CB152" s="9">
        <f>IF($W152=CB$56,GC152*($Q152*$S152)/(1+Voorblad!$K$44)^(CB$56-Voorblad!$F$41),0)</f>
        <v>0</v>
      </c>
      <c r="CC152" s="9">
        <f>IF($W152=CC$56,GD152*($Q152*$S152)/(1+Voorblad!$K$44)^(CC$56-Voorblad!$F$41),0)</f>
        <v>0</v>
      </c>
      <c r="CD152" s="9">
        <f>IF($W152=CD$56,GE152*($Q152*$S152)/(1+Voorblad!$K$44)^(CD$56-Voorblad!$F$41),0)</f>
        <v>0</v>
      </c>
      <c r="CE152" s="9">
        <f>IF($W152=CE$56,GF152*($Q152*$S152)/(1+Voorblad!$K$44)^(CE$56-Voorblad!$F$41),0)</f>
        <v>0</v>
      </c>
      <c r="CF152" s="9">
        <f>IF($W152=CF$56,GG152*($Q152*$S152)/(1+Voorblad!$K$44)^(CF$56-Voorblad!$F$41),0)</f>
        <v>0</v>
      </c>
      <c r="CG152" s="9">
        <f>IF($W152=CG$56,GH152*($Q152*$S152)/(1+Voorblad!$K$44)^(CG$56-Voorblad!$F$41),0)</f>
        <v>0</v>
      </c>
      <c r="CH152" s="9">
        <f>IF($W152=CH$56,GI152*($Q152*$S152)/(1+Voorblad!$K$44)^(CH$56-Voorblad!$F$41),0)</f>
        <v>0</v>
      </c>
      <c r="CI152" s="9">
        <f>IF($W152=CI$56,GJ152*($Q152*$S152)/(1+Voorblad!$K$44)^(CI$56-Voorblad!$F$41),0)</f>
        <v>0</v>
      </c>
      <c r="CJ152" s="9">
        <f>IF($W152=CJ$56,GK152*($Q152*$S152)/(1+Voorblad!$K$44)^(CJ$56-Voorblad!$F$41),0)</f>
        <v>0</v>
      </c>
      <c r="CK152" s="9">
        <f>IF($W152=CK$56,GL152*($Q152*$S152)/(1+Voorblad!$K$44)^(CK$56-Voorblad!$F$41),0)</f>
        <v>0</v>
      </c>
      <c r="CL152" s="9">
        <f>IF($W152=CL$56,GM152*($Q152*$S152)/(1+Voorblad!$K$44)^(CL$56-Voorblad!$F$41),0)</f>
        <v>0</v>
      </c>
      <c r="CM152" s="9">
        <f>IF($W152=CM$56,GN152*($Q152*$S152)/(1+Voorblad!$K$44)^(CM$56-Voorblad!$F$41),0)</f>
        <v>0</v>
      </c>
      <c r="CN152" s="9">
        <f>IF($W152=CN$56,GO152*($Q152*$S152)/(1+Voorblad!$K$44)^(CN$56-Voorblad!$F$41),0)</f>
        <v>0</v>
      </c>
      <c r="CO152" s="9">
        <f>IF($W152=CO$56,GP152*($Q152*$S152)/(1+Voorblad!$K$44)^(CO$56-Voorblad!$F$41),0)</f>
        <v>0</v>
      </c>
      <c r="CP152" s="9">
        <f>IF($W152=CP$56,GQ152*($Q152*$S152)/(1+Voorblad!$K$44)^(CP$56-Voorblad!$F$41),0)</f>
        <v>0</v>
      </c>
      <c r="CQ152" s="9">
        <f>IF($W152=CQ$56,GR152*($Q152*$S152)/(1+Voorblad!$K$44)^(CQ$56-Voorblad!$F$41),0)</f>
        <v>0</v>
      </c>
      <c r="CR152" s="9">
        <f>IF($W152=CR$56,GS152*($Q152*$S152)/(1+Voorblad!$K$44)^(CR$56-Voorblad!$F$41),0)</f>
        <v>0</v>
      </c>
      <c r="CS152" s="9">
        <f>IF($W152=CS$56,GT152*($Q152*$S152)/(1+Voorblad!$K$44)^(CS$56-Voorblad!$F$41),0)</f>
        <v>0</v>
      </c>
      <c r="CT152" s="9">
        <f>IF($W152=CT$56,GU152*($Q152*$S152)/(1+Voorblad!$K$44)^(CT$56-Voorblad!$F$41),0)</f>
        <v>0</v>
      </c>
      <c r="CU152" s="9">
        <f>IF($W152=CU$56,GV152*($Q152*$S152)/(1+Voorblad!$K$44)^(CU$56-Voorblad!$F$41),0)</f>
        <v>0</v>
      </c>
      <c r="CV152" s="9">
        <f>IF($W152=CV$56,GW152*($Q152*$S152)/(1+Voorblad!$K$44)^(CV$56-Voorblad!$F$41),0)</f>
        <v>0</v>
      </c>
      <c r="CW152" s="9">
        <f>IF($W152=CW$56,GX152*($Q152*$S152)/(1+Voorblad!$K$44)^(CW$56-Voorblad!$F$41),0)</f>
        <v>0</v>
      </c>
      <c r="CX152" s="9">
        <f>IF($W152=CX$56,GY152*($Q152*$S152)/(1+Voorblad!$K$44)^(CX$56-Voorblad!$F$41),0)</f>
        <v>0</v>
      </c>
      <c r="CY152" s="9">
        <f>IF($W152=CY$56,GZ152*($Q152*$S152)/(1+Voorblad!$K$44)^(CY$56-Voorblad!$F$41),0)</f>
        <v>0</v>
      </c>
      <c r="CZ152" s="9">
        <f>IF($W152=CZ$56,HA152*($Q152*$S152)/(1+Voorblad!$K$44)^(CZ$56-Voorblad!$F$41),0)</f>
        <v>0</v>
      </c>
      <c r="DA152" s="9">
        <f>IF($W152=DA$56,HB152*($Q152*$S152)/(1+Voorblad!$K$44)^(DA$56-Voorblad!$F$41),0)</f>
        <v>0</v>
      </c>
      <c r="DB152" s="9">
        <f>IF($W152=DB$56,HC152*($Q152*$S152)/(1+Voorblad!$K$44)^(DB$56-Voorblad!$F$41),0)</f>
        <v>0</v>
      </c>
      <c r="DC152" s="9">
        <f>IF($W152=DC$56,HD152*($Q152*$S152)/(1+Voorblad!$K$44)^(DC$56-Voorblad!$F$41),0)</f>
        <v>0</v>
      </c>
      <c r="DD152" s="9">
        <f>IF($W152=DD$56,HE152*($Q152*$S152)/(1+Voorblad!$K$44)^(DD$56-Voorblad!$F$41),0)</f>
        <v>0</v>
      </c>
      <c r="DE152" s="9">
        <f>IF($W152=DE$56,HF152*($Q152*$S152)/(1+Voorblad!$K$44)^(DE$56-Voorblad!$F$41),0)</f>
        <v>0</v>
      </c>
      <c r="DF152" s="9">
        <f>IF($W152=DF$56,HG152*($Q152*$S152)/(1+Voorblad!$K$44)^(DF$56-Voorblad!$F$41),0)</f>
        <v>0</v>
      </c>
      <c r="DG152" s="9">
        <f>IF($W152=DG$56,HH152*($Q152*$S152)/(1+Voorblad!$K$44)^(DG$56-Voorblad!$F$41),0)</f>
        <v>0</v>
      </c>
      <c r="DH152" s="9">
        <f>IF($W152=DH$56,HI152*($Q152*$S152)/(1+Voorblad!$K$44)^(DH$56-Voorblad!$F$41),0)</f>
        <v>0</v>
      </c>
      <c r="DI152" s="9">
        <f>IF($W152=DI$56,HJ152*($Q152*$S152)/(1+Voorblad!$K$44)^(DI$56-Voorblad!$F$41),0)</f>
        <v>0</v>
      </c>
      <c r="DJ152" s="9">
        <f>IF($W152=DJ$56,HK152*($Q152*$S152)/(1+Voorblad!$K$44)^(DJ$56-Voorblad!$F$41),0)</f>
        <v>0</v>
      </c>
      <c r="DK152" s="9">
        <f>IF($W152=DK$56,HL152*($Q152*$S152)/(1+Voorblad!$K$44)^(DK$56-Voorblad!$F$41),0)</f>
        <v>0</v>
      </c>
      <c r="DL152" s="9">
        <f>IF($W152=DL$56,HM152*($Q152*$S152)/(1+Voorblad!$K$44)^(DL$56-Voorblad!$F$41),0)</f>
        <v>0</v>
      </c>
      <c r="DM152" s="9">
        <f>IF($W152=DM$56,HN152*($Q152*$S152)/(1+Voorblad!$K$44)^(DM$56-Voorblad!$F$41),0)</f>
        <v>0</v>
      </c>
      <c r="DN152" s="9">
        <f>IF($W152=DN$56,HO152*($Q152*$S152)/(1+Voorblad!$K$44)^(DN$56-Voorblad!$F$41),0)</f>
        <v>0</v>
      </c>
      <c r="DO152" s="9">
        <f>IF($W152=DO$56,HP152*($Q152*$S152)/(1+Voorblad!$K$44)^(DO$56-Voorblad!$F$41),0)</f>
        <v>0</v>
      </c>
      <c r="DP152" s="9">
        <f>IF($W152=DP$56,HQ152*($Q152*$S152)/(1+Voorblad!$K$44)^(DP$56-Voorblad!$F$41),0)</f>
        <v>0</v>
      </c>
      <c r="DQ152" s="9">
        <f>IF($W152=DQ$56,HR152*($Q152*$S152)/(1+Voorblad!$K$44)^(DQ$56-Voorblad!$F$41),0)</f>
        <v>0</v>
      </c>
      <c r="DR152" s="9">
        <f>IF($W152=DR$56,HS152*($Q152*$S152)/(1+Voorblad!$K$44)^(DR$56-Voorblad!$F$41),0)</f>
        <v>0</v>
      </c>
      <c r="DS152" s="9">
        <f>IF($W152=DS$56,HT152*($Q152*$S152)/(1+Voorblad!$K$44)^(DS$56-Voorblad!$F$41),0)</f>
        <v>0</v>
      </c>
      <c r="DT152" s="9">
        <f>IF($W152=DT$56,HU152*($Q152*$S152)/(1+Voorblad!$K$44)^(DT$56-Voorblad!$F$41),0)</f>
        <v>0</v>
      </c>
      <c r="DU152" s="9">
        <f>IF($W152=DU$56,HV152*($Q152*$S152)/(1+Voorblad!$K$44)^(DU$56-Voorblad!$F$41),0)</f>
        <v>0</v>
      </c>
      <c r="DV152" s="9">
        <f>IF($W152=DV$56,HW152*($Q152*$S152)/(1+Voorblad!$K$44)^(DV$56-Voorblad!$F$41),0)</f>
        <v>0</v>
      </c>
      <c r="DW152" s="9">
        <f>IF($W152=DW$56,HX152*($Q152*$S152)/(1+Voorblad!$K$44)^(DW$56-Voorblad!$F$41),0)</f>
        <v>0</v>
      </c>
      <c r="DX152" s="9">
        <f>IF($W152=DX$56,HY152*($Q152*$S152)/(1+Voorblad!$K$44)^(DX$56-Voorblad!$F$41),0)</f>
        <v>0</v>
      </c>
      <c r="DY152" s="9">
        <f>IF($W152=DY$56,HZ152*($Q152*$S152)/(1+Voorblad!$K$44)^(DY$56-Voorblad!$F$41),0)</f>
        <v>0</v>
      </c>
      <c r="DZ152" s="9">
        <f>IF($W152=DZ$56,IA152*($Q152*$S152)/(1+Voorblad!$K$44)^(DZ$56-Voorblad!$F$41),0)</f>
        <v>0</v>
      </c>
      <c r="EA152" s="9">
        <f>IF($W152=EA$56,IB152*($Q152*$S152)/(1+Voorblad!$K$44)^(EA$56-Voorblad!$F$41),0)</f>
        <v>0</v>
      </c>
      <c r="EB152" s="9">
        <f>IF($W152=EB$56,IC152*($Q152*$S152)/(1+Voorblad!$K$44)^(EB$56-Voorblad!$F$41),0)</f>
        <v>0</v>
      </c>
      <c r="EE152" s="8">
        <v>0</v>
      </c>
      <c r="EF152" s="8">
        <f>IF(EF$56-Voorblad!$F$41&gt;Voorblad!$K$41,0,IF($U152=0,0,IF($U152&lt;1,1/$U152,IF((EF$56-Voorblad!$F$41)/$U152-SUM($EE152:EE152)=1,1,0))))</f>
        <v>0</v>
      </c>
      <c r="EG152" s="8">
        <f>IF(EG$56-Voorblad!$F$41&gt;Voorblad!$K$41,0,IF($U152=0,0,IF($U152&lt;1,1/$U152,IF((EG$56-Voorblad!$F$41)/$U152-SUM($EE152:EF152)=1,1,0))))</f>
        <v>1</v>
      </c>
      <c r="EH152" s="8">
        <f>IF(EH$56-Voorblad!$F$41&gt;Voorblad!$K$41,0,IF($U152=0,0,IF($U152&lt;1,1/$U152,IF((EH$56-Voorblad!$F$41)/$U152-SUM($EE152:EG152)=1,1,0))))</f>
        <v>1</v>
      </c>
      <c r="EI152" s="8">
        <f>IF(EI$56-Voorblad!$F$41&gt;Voorblad!$K$41,0,IF($U152=0,0,IF($U152&lt;1,1/$U152,IF((EI$56-Voorblad!$F$41)/$U152-SUM($EE152:EH152)=1,1,0))))</f>
        <v>1</v>
      </c>
      <c r="EJ152" s="8">
        <f>IF(EJ$56-Voorblad!$F$41&gt;Voorblad!$K$41,0,IF($U152=0,0,IF($U152&lt;1,1/$U152,IF((EJ$56-Voorblad!$F$41)/$U152-SUM($EE152:EI152)=1,1,0))))</f>
        <v>1</v>
      </c>
      <c r="EK152" s="8">
        <f>IF(EK$56-Voorblad!$F$41&gt;Voorblad!$K$41,0,IF($U152=0,0,IF($U152&lt;1,1/$U152,IF((EK$56-Voorblad!$F$41)/$U152-SUM($EE152:EJ152)=1,1,0))))</f>
        <v>1</v>
      </c>
      <c r="EL152" s="8">
        <f>IF(EL$56-Voorblad!$F$41&gt;Voorblad!$K$41,0,IF($U152=0,0,IF($U152&lt;1,1/$U152,IF((EL$56-Voorblad!$F$41)/$U152-SUM($EE152:EK152)=1,1,0))))</f>
        <v>1</v>
      </c>
      <c r="EM152" s="8">
        <f>IF(EM$56-Voorblad!$F$41&gt;Voorblad!$K$41,0,IF($U152=0,0,IF($U152&lt;1,1/$U152,IF((EM$56-Voorblad!$F$41)/$U152-SUM($EE152:EL152)=1,1,0))))</f>
        <v>1</v>
      </c>
      <c r="EN152" s="8">
        <f>IF(EN$56-Voorblad!$F$41&gt;Voorblad!$K$41,0,IF($U152=0,0,IF($U152&lt;1,1/$U152,IF((EN$56-Voorblad!$F$41)/$U152-SUM($EE152:EM152)=1,1,0))))</f>
        <v>1</v>
      </c>
      <c r="EO152" s="8">
        <f>IF(EO$56-Voorblad!$F$41&gt;Voorblad!$K$41,0,IF($U152=0,0,IF($U152&lt;1,1/$U152,IF((EO$56-Voorblad!$F$41)/$U152-SUM($EE152:EN152)=1,1,0))))</f>
        <v>1</v>
      </c>
      <c r="EP152" s="8">
        <f>IF(EP$56-Voorblad!$F$41&gt;Voorblad!$K$41,0,IF($U152=0,0,IF($U152&lt;1,1/$U152,IF((EP$56-Voorblad!$F$41)/$U152-SUM($EE152:EO152)=1,1,0))))</f>
        <v>1</v>
      </c>
      <c r="EQ152" s="8">
        <f>IF(EQ$56-Voorblad!$F$41&gt;Voorblad!$K$41,0,IF($U152=0,0,IF($U152&lt;1,1/$U152,IF((EQ$56-Voorblad!$F$41)/$U152-SUM($EE152:EP152)=1,1,0))))</f>
        <v>1</v>
      </c>
      <c r="ER152" s="8">
        <f>IF(ER$56-Voorblad!$F$41&gt;Voorblad!$K$41,0,IF($U152=0,0,IF($U152&lt;1,1/$U152,IF((ER$56-Voorblad!$F$41)/$U152-SUM($EE152:EQ152)=1,1,0))))</f>
        <v>1</v>
      </c>
      <c r="ES152" s="8">
        <f>IF(ES$56-Voorblad!$F$41&gt;Voorblad!$K$41,0,IF($U152=0,0,IF($U152&lt;1,1/$U152,IF((ES$56-Voorblad!$F$41)/$U152-SUM($EE152:ER152)=1,1,0))))</f>
        <v>1</v>
      </c>
      <c r="ET152" s="8">
        <f>IF(ET$56-Voorblad!$F$41&gt;Voorblad!$K$41,0,IF($U152=0,0,IF($U152&lt;1,1/$U152,IF((ET$56-Voorblad!$F$41)/$U152-SUM($EE152:ES152)=1,1,0))))</f>
        <v>1</v>
      </c>
      <c r="EU152" s="8">
        <f>IF(EU$56-Voorblad!$F$41&gt;Voorblad!$K$41,0,IF($U152=0,0,IF($U152&lt;1,1/$U152,IF((EU$56-Voorblad!$F$41)/$U152-SUM($EE152:ET152)=1,1,0))))</f>
        <v>1</v>
      </c>
      <c r="EV152" s="8">
        <f>IF(EV$56-Voorblad!$F$41&gt;Voorblad!$K$41,0,IF($U152=0,0,IF($U152&lt;1,1/$U152,IF((EV$56-Voorblad!$F$41)/$U152-SUM($EE152:EU152)=1,1,0))))</f>
        <v>1</v>
      </c>
      <c r="EW152" s="8">
        <f>IF(EW$56-Voorblad!$F$41&gt;Voorblad!$K$41,0,IF($U152=0,0,IF($U152&lt;1,1/$U152,IF((EW$56-Voorblad!$F$41)/$U152-SUM($EE152:EV152)=1,1,0))))</f>
        <v>1</v>
      </c>
      <c r="EX152" s="8">
        <f>IF(EX$56-Voorblad!$F$41&gt;Voorblad!$K$41,0,IF($U152=0,0,IF($U152&lt;1,1/$U152,IF((EX$56-Voorblad!$F$41)/$U152-SUM($EE152:EW152)=1,1,0))))</f>
        <v>1</v>
      </c>
      <c r="EY152" s="8">
        <f>IF(EY$56-Voorblad!$F$41&gt;Voorblad!$K$41,0,IF($U152=0,0,IF($U152&lt;1,1/$U152,IF((EY$56-Voorblad!$F$41)/$U152-SUM($EE152:EX152)=1,1,0))))</f>
        <v>1</v>
      </c>
      <c r="EZ152" s="8">
        <f>IF(EZ$56-Voorblad!$F$41&gt;Voorblad!$K$41,0,IF($U152=0,0,IF($U152&lt;1,1/$U152,IF((EZ$56-Voorblad!$F$41)/$U152-SUM($EE152:EY152)=1,1,0))))</f>
        <v>1</v>
      </c>
      <c r="FA152" s="8">
        <f>IF(FA$56-Voorblad!$F$41&gt;Voorblad!$K$41,0,IF($U152=0,0,IF($U152&lt;1,1/$U152,IF((FA$56-Voorblad!$F$41)/$U152-SUM($EE152:EZ152)=1,1,0))))</f>
        <v>1</v>
      </c>
      <c r="FB152" s="8">
        <f>IF(FB$56-Voorblad!$F$41&gt;Voorblad!$K$41,0,IF($U152=0,0,IF($U152&lt;1,1/$U152,IF((FB$56-Voorblad!$F$41)/$U152-SUM($EE152:FA152)=1,1,0))))</f>
        <v>1</v>
      </c>
      <c r="FC152" s="8">
        <f>IF(FC$56-Voorblad!$F$41&gt;Voorblad!$K$41,0,IF($U152=0,0,IF($U152&lt;1,1/$U152,IF((FC$56-Voorblad!$F$41)/$U152-SUM($EE152:FB152)=1,1,0))))</f>
        <v>1</v>
      </c>
      <c r="FD152" s="8">
        <f>IF(FD$56-Voorblad!$F$41&gt;Voorblad!$K$41,0,IF($U152=0,0,IF($U152&lt;1,1/$U152,IF((FD$56-Voorblad!$F$41)/$U152-SUM($EE152:FC152)=1,1,0))))</f>
        <v>1</v>
      </c>
      <c r="FE152" s="8">
        <f>IF(FE$56-Voorblad!$F$41&gt;Voorblad!$K$41,0,IF($U152=0,0,IF($U152&lt;1,1/$U152,IF((FE$56-Voorblad!$F$41)/$U152-SUM($EE152:FD152)=1,1,0))))</f>
        <v>1</v>
      </c>
      <c r="FF152" s="8">
        <f>IF(FF$56-Voorblad!$F$41&gt;Voorblad!$K$41,0,IF($U152=0,0,IF($U152&lt;1,1/$U152,IF((FF$56-Voorblad!$F$41)/$U152-SUM($EE152:FE152)=1,1,0))))</f>
        <v>1</v>
      </c>
      <c r="FG152" s="8">
        <f>IF(FG$56-Voorblad!$F$41&gt;Voorblad!$K$41,0,IF($U152=0,0,IF($U152&lt;1,1/$U152,IF((FG$56-Voorblad!$F$41)/$U152-SUM($EE152:FF152)=1,1,0))))</f>
        <v>1</v>
      </c>
      <c r="FH152" s="8">
        <f>IF(FH$56-Voorblad!$F$41&gt;Voorblad!$K$41,0,IF($U152=0,0,IF($U152&lt;1,1/$U152,IF((FH$56-Voorblad!$F$41)/$U152-SUM($EE152:FG152)=1,1,0))))</f>
        <v>1</v>
      </c>
      <c r="FI152" s="8">
        <f>IF(FI$56-Voorblad!$F$41&gt;Voorblad!$K$41,0,IF($U152=0,0,IF($U152&lt;1,1/$U152,IF((FI$56-Voorblad!$F$41)/$U152-SUM($EE152:FH152)=1,1,0))))</f>
        <v>1</v>
      </c>
      <c r="FJ152" s="8">
        <f>IF(FJ$56-Voorblad!$F$41&gt;Voorblad!$K$41,0,IF($U152=0,0,IF($U152&lt;1,1/$U152,IF((FJ$56-Voorblad!$F$41)/$U152-SUM($EE152:FI152)=1,1,0))))</f>
        <v>1</v>
      </c>
      <c r="FK152" s="8">
        <f>IF(FK$56-Voorblad!$F$41&gt;Voorblad!$K$41,0,IF($U152=0,0,IF($U152&lt;1,1/$U152,IF((FK$56-Voorblad!$F$41)/$U152-SUM($EE152:FJ152)=1,1,0))))</f>
        <v>1</v>
      </c>
      <c r="FL152" s="8">
        <f>IF(FL$56-Voorblad!$F$41&gt;Voorblad!$K$41,0,IF($U152=0,0,IF($U152&lt;1,1/$U152,IF((FL$56-Voorblad!$F$41)/$U152-SUM($EE152:FK152)=1,1,0))))</f>
        <v>1</v>
      </c>
      <c r="FM152" s="8">
        <f>IF(FM$56-Voorblad!$F$41&gt;Voorblad!$K$41,0,IF($U152=0,0,IF($U152&lt;1,1/$U152,IF((FM$56-Voorblad!$F$41)/$U152-SUM($EE152:FL152)=1,1,0))))</f>
        <v>1</v>
      </c>
      <c r="FN152" s="8">
        <f>IF(FN$56-Voorblad!$F$41&gt;Voorblad!$K$41,0,IF($U152=0,0,IF($U152&lt;1,1/$U152,IF((FN$56-Voorblad!$F$41)/$U152-SUM($EE152:FM152)=1,1,0))))</f>
        <v>1</v>
      </c>
      <c r="FO152" s="8">
        <f>IF(FO$56-Voorblad!$F$41&gt;Voorblad!$K$41,0,IF($U152=0,0,IF($U152&lt;1,1/$U152,IF((FO$56-Voorblad!$F$41)/$U152-SUM($EE152:FN152)=1,1,0))))</f>
        <v>1</v>
      </c>
      <c r="FP152" s="8">
        <f>IF(FP$56-Voorblad!$F$41&gt;Voorblad!$K$41,0,IF($U152=0,0,IF($U152&lt;1,1/$U152,IF((FP$56-Voorblad!$F$41)/$U152-SUM($EE152:FO152)=1,1,0))))</f>
        <v>1</v>
      </c>
      <c r="FQ152" s="8">
        <f>IF(FQ$56-Voorblad!$F$41&gt;Voorblad!$K$41,0,IF($U152=0,0,IF($U152&lt;1,1/$U152,IF((FQ$56-Voorblad!$F$41)/$U152-SUM($EE152:FP152)=1,1,0))))</f>
        <v>1</v>
      </c>
      <c r="FR152" s="8">
        <f>IF(FR$56-Voorblad!$F$41&gt;Voorblad!$K$41,0,IF($U152=0,0,IF($U152&lt;1,1/$U152,IF((FR$56-Voorblad!$F$41)/$U152-SUM($EE152:FQ152)=1,1,0))))</f>
        <v>1</v>
      </c>
      <c r="FS152" s="8">
        <f>IF(FS$56-Voorblad!$F$41&gt;Voorblad!$K$41,0,IF($U152=0,0,IF($U152&lt;1,1/$U152,IF((FS$56-Voorblad!$F$41)/$U152-SUM($EE152:FR152)=1,1,0))))</f>
        <v>1</v>
      </c>
      <c r="FT152" s="8">
        <f>IF(FT$56-Voorblad!$F$41&gt;Voorblad!$K$41,0,IF($U152=0,0,IF($U152&lt;1,1/$U152,IF((FT$56-Voorblad!$F$41)/$U152-SUM($EE152:FS152)=1,1,0))))</f>
        <v>1</v>
      </c>
      <c r="FU152" s="8">
        <f>IF(FU$56-Voorblad!$F$41&gt;Voorblad!$K$41,0,IF($U152=0,0,IF($U152&lt;1,1/$U152,IF((FU$56-Voorblad!$F$41)/$U152-SUM($EE152:FT152)=1,1,0))))</f>
        <v>1</v>
      </c>
      <c r="FV152" s="8">
        <f>IF(FV$56-Voorblad!$F$41&gt;Voorblad!$K$41,0,IF($U152=0,0,IF($U152&lt;1,1/$U152,IF((FV$56-Voorblad!$F$41)/$U152-SUM($EE152:FU152)=1,1,0))))</f>
        <v>1</v>
      </c>
      <c r="FW152" s="8">
        <f>IF(FW$56-Voorblad!$F$41&gt;Voorblad!$K$41,0,IF($U152=0,0,IF($U152&lt;1,1/$U152,IF((FW$56-Voorblad!$F$41)/$U152-SUM($EE152:FV152)=1,1,0))))</f>
        <v>1</v>
      </c>
      <c r="FX152" s="8">
        <f>IF(FX$56-Voorblad!$F$41&gt;Voorblad!$K$41,0,IF($U152=0,0,IF($U152&lt;1,1/$U152,IF((FX$56-Voorblad!$F$41)/$U152-SUM($EE152:FW152)=1,1,0))))</f>
        <v>1</v>
      </c>
      <c r="FY152" s="8">
        <f>IF(FY$56-Voorblad!$F$41&gt;Voorblad!$K$41,0,IF($U152=0,0,IF($U152&lt;1,1/$U152,IF((FY$56-Voorblad!$F$41)/$U152-SUM($EE152:FX152)=1,1,0))))</f>
        <v>1</v>
      </c>
      <c r="FZ152" s="8">
        <f>IF(FZ$56-Voorblad!$F$41&gt;Voorblad!$K$41,0,IF($U152=0,0,IF($U152&lt;1,1/$U152,IF((FZ$56-Voorblad!$F$41)/$U152-SUM($EE152:FY152)=1,1,0))))</f>
        <v>1</v>
      </c>
      <c r="GA152" s="8">
        <f>IF(GA$56-Voorblad!$F$41&gt;Voorblad!$K$41,0,IF($U152=0,0,IF($U152&lt;1,1/$U152,IF((GA$56-Voorblad!$F$41)/$U152-SUM($EE152:FZ152)=1,1,0))))</f>
        <v>1</v>
      </c>
      <c r="GB152" s="8">
        <f>IF(GB$56-Voorblad!$F$41&gt;Voorblad!$K$41,0,IF($U152=0,0,IF($U152&lt;1,1/$U152,IF((GB$56-Voorblad!$F$41)/$U152-SUM($EE152:GA152)=1,1,0))))</f>
        <v>1</v>
      </c>
      <c r="GC152" s="8">
        <f>IF(GC$56-Voorblad!$F$41&gt;Voorblad!$K$41,0,IF($U152=0,0,IF($U152&lt;1,1/$U152,IF((GC$56-Voorblad!$F$41)/$U152-SUM($EE152:GB152)=1,1,0))))</f>
        <v>1</v>
      </c>
      <c r="GD152" s="8">
        <f>IF(GD$56-Voorblad!$F$41&gt;Voorblad!$K$41,0,IF($U152=0,0,IF($U152&lt;1,1/$U152,IF((GD$56-Voorblad!$F$41)/$U152-SUM($EE152:GC152)=1,1,0))))</f>
        <v>1</v>
      </c>
      <c r="GE152" s="8">
        <f>IF(GE$56-Voorblad!$F$41&gt;Voorblad!$K$41,0,IF($U152=0,0,IF($U152&lt;1,1/$U152,IF((GE$56-Voorblad!$F$41)/$U152-SUM($EE152:GD152)=1,1,0))))</f>
        <v>1</v>
      </c>
      <c r="GF152" s="8">
        <f>IF(GF$56-Voorblad!$F$41&gt;Voorblad!$K$41,0,IF($U152=0,0,IF($U152&lt;1,1/$U152,IF((GF$56-Voorblad!$F$41)/$U152-SUM($EE152:GE152)=1,1,0))))</f>
        <v>1</v>
      </c>
      <c r="GG152" s="8">
        <f>IF(GG$56-Voorblad!$F$41&gt;Voorblad!$K$41,0,IF($U152=0,0,IF($U152&lt;1,1/$U152,IF((GG$56-Voorblad!$F$41)/$U152-SUM($EE152:GF152)=1,1,0))))</f>
        <v>1</v>
      </c>
      <c r="GH152" s="8">
        <f>IF(GH$56-Voorblad!$F$41&gt;Voorblad!$K$41,0,IF($U152=0,0,IF($U152&lt;1,1/$U152,IF((GH$56-Voorblad!$F$41)/$U152-SUM($EE152:GG152)=1,1,0))))</f>
        <v>1</v>
      </c>
      <c r="GI152" s="8">
        <f>IF(GI$56-Voorblad!$F$41&gt;Voorblad!$K$41,0,IF($U152=0,0,IF($U152&lt;1,1/$U152,IF((GI$56-Voorblad!$F$41)/$U152-SUM($EE152:GH152)=1,1,0))))</f>
        <v>1</v>
      </c>
      <c r="GJ152" s="8">
        <f>IF(GJ$56-Voorblad!$F$41&gt;Voorblad!$K$41,0,IF($U152=0,0,IF($U152&lt;1,1/$U152,IF((GJ$56-Voorblad!$F$41)/$U152-SUM($EE152:GI152)=1,1,0))))</f>
        <v>1</v>
      </c>
      <c r="GK152" s="8">
        <f>IF(GK$56-Voorblad!$F$41&gt;Voorblad!$K$41,0,IF($U152=0,0,IF($U152&lt;1,1/$U152,IF((GK$56-Voorblad!$F$41)/$U152-SUM($EE152:GJ152)=1,1,0))))</f>
        <v>1</v>
      </c>
      <c r="GL152" s="8">
        <f>IF(GL$56-Voorblad!$F$41&gt;Voorblad!$K$41,0,IF($U152=0,0,IF($U152&lt;1,1/$U152,IF((GL$56-Voorblad!$F$41)/$U152-SUM($EE152:GK152)=1,1,0))))</f>
        <v>1</v>
      </c>
      <c r="GM152" s="8">
        <f>IF(GM$56-Voorblad!$F$41&gt;Voorblad!$K$41,0,IF($U152=0,0,IF($U152&lt;1,1/$U152,IF((GM$56-Voorblad!$F$41)/$U152-SUM($EE152:GL152)=1,1,0))))</f>
        <v>1</v>
      </c>
      <c r="GN152" s="8">
        <f>IF(GN$56-Voorblad!$F$41&gt;Voorblad!$K$41,0,IF($U152=0,0,IF($U152&lt;1,1/$U152,IF((GN$56-Voorblad!$F$41)/$U152-SUM($EE152:GM152)=1,1,0))))</f>
        <v>1</v>
      </c>
      <c r="GO152" s="8">
        <f>IF(GO$56-Voorblad!$F$41&gt;Voorblad!$K$41,0,IF($U152=0,0,IF($U152&lt;1,1/$U152,IF((GO$56-Voorblad!$F$41)/$U152-SUM($EE152:GN152)=1,1,0))))</f>
        <v>1</v>
      </c>
      <c r="GP152" s="8">
        <f>IF(GP$56-Voorblad!$F$41&gt;Voorblad!$K$41,0,IF($U152=0,0,IF($U152&lt;1,1/$U152,IF((GP$56-Voorblad!$F$41)/$U152-SUM($EE152:GO152)=1,1,0))))</f>
        <v>1</v>
      </c>
      <c r="GQ152" s="8">
        <f>IF(GQ$56-Voorblad!$F$41&gt;Voorblad!$K$41,0,IF($U152=0,0,IF($U152&lt;1,1/$U152,IF((GQ$56-Voorblad!$F$41)/$U152-SUM($EE152:GP152)=1,1,0))))</f>
        <v>1</v>
      </c>
      <c r="GR152" s="8">
        <f>IF(GR$56-Voorblad!$F$41&gt;Voorblad!$K$41,0,IF($U152=0,0,IF($U152&lt;1,1/$U152,IF((GR$56-Voorblad!$F$41)/$U152-SUM($EE152:GQ152)=1,1,0))))</f>
        <v>1</v>
      </c>
      <c r="GS152" s="8">
        <f>IF(GS$56-Voorblad!$F$41&gt;Voorblad!$K$41,0,IF($U152=0,0,IF($U152&lt;1,1/$U152,IF((GS$56-Voorblad!$F$41)/$U152-SUM($EE152:GR152)=1,1,0))))</f>
        <v>1</v>
      </c>
      <c r="GT152" s="8">
        <f>IF(GT$56-Voorblad!$F$41&gt;Voorblad!$K$41,0,IF($U152=0,0,IF($U152&lt;1,1/$U152,IF((GT$56-Voorblad!$F$41)/$U152-SUM($EE152:GS152)=1,1,0))))</f>
        <v>1</v>
      </c>
      <c r="GU152" s="8">
        <f>IF(GU$56-Voorblad!$F$41&gt;Voorblad!$K$41,0,IF($U152=0,0,IF($U152&lt;1,1/$U152,IF((GU$56-Voorblad!$F$41)/$U152-SUM($EE152:GT152)=1,1,0))))</f>
        <v>1</v>
      </c>
      <c r="GV152" s="8">
        <f>IF(GV$56-Voorblad!$F$41&gt;Voorblad!$K$41,0,IF($U152=0,0,IF($U152&lt;1,1/$U152,IF((GV$56-Voorblad!$F$41)/$U152-SUM($EE152:GU152)=1,1,0))))</f>
        <v>1</v>
      </c>
      <c r="GW152" s="8">
        <f>IF(GW$56-Voorblad!$F$41&gt;Voorblad!$K$41,0,IF($U152=0,0,IF($U152&lt;1,1/$U152,IF((GW$56-Voorblad!$F$41)/$U152-SUM($EE152:GV152)=1,1,0))))</f>
        <v>1</v>
      </c>
      <c r="GX152" s="8">
        <f>IF(GX$56-Voorblad!$F$41&gt;Voorblad!$K$41,0,IF($U152=0,0,IF($U152&lt;1,1/$U152,IF((GX$56-Voorblad!$F$41)/$U152-SUM($EE152:GW152)=1,1,0))))</f>
        <v>1</v>
      </c>
      <c r="GY152" s="8">
        <f>IF(GY$56-Voorblad!$F$41&gt;Voorblad!$K$41,0,IF($U152=0,0,IF($U152&lt;1,1/$U152,IF((GY$56-Voorblad!$F$41)/$U152-SUM($EE152:GX152)=1,1,0))))</f>
        <v>1</v>
      </c>
      <c r="GZ152" s="8">
        <f>IF(GZ$56-Voorblad!$F$41&gt;Voorblad!$K$41,0,IF($U152=0,0,IF($U152&lt;1,1/$U152,IF((GZ$56-Voorblad!$F$41)/$U152-SUM($EE152:GY152)=1,1,0))))</f>
        <v>1</v>
      </c>
      <c r="HA152" s="8">
        <f>IF(HA$56-Voorblad!$F$41&gt;Voorblad!$K$41,0,IF($U152=0,0,IF($U152&lt;1,1/$U152,IF((HA$56-Voorblad!$F$41)/$U152-SUM($EE152:GZ152)=1,1,0))))</f>
        <v>1</v>
      </c>
      <c r="HB152" s="8">
        <f>IF(HB$56-Voorblad!$F$41&gt;Voorblad!$K$41,0,IF($U152=0,0,IF($U152&lt;1,1/$U152,IF((HB$56-Voorblad!$F$41)/$U152-SUM($EE152:HA152)=1,1,0))))</f>
        <v>0</v>
      </c>
      <c r="HC152" s="8">
        <f>IF(HC$56-Voorblad!$F$41&gt;Voorblad!$K$41,0,IF($U152=0,0,IF($U152&lt;1,1/$U152,IF((HC$56-Voorblad!$F$41)/$U152-SUM($EE152:HB152)=1,1,0))))</f>
        <v>0</v>
      </c>
      <c r="HD152" s="8">
        <f>IF(HD$56-Voorblad!$F$41&gt;Voorblad!$K$41,0,IF($U152=0,0,IF($U152&lt;1,1/$U152,IF((HD$56-Voorblad!$F$41)/$U152-SUM($EE152:HC152)=1,1,0))))</f>
        <v>0</v>
      </c>
      <c r="HE152" s="8">
        <f>IF(HE$56-Voorblad!$F$41&gt;Voorblad!$K$41,0,IF($U152=0,0,IF($U152&lt;1,1/$U152,IF((HE$56-Voorblad!$F$41)/$U152-SUM($EE152:HD152)=1,1,0))))</f>
        <v>0</v>
      </c>
      <c r="HF152" s="8">
        <f>IF(HF$56-Voorblad!$F$41&gt;Voorblad!$K$41,0,IF($U152=0,0,IF($U152&lt;1,1/$U152,IF((HF$56-Voorblad!$F$41)/$U152-SUM($EE152:HE152)=1,1,0))))</f>
        <v>0</v>
      </c>
      <c r="HG152" s="8">
        <f>IF(HG$56-Voorblad!$F$41&gt;Voorblad!$K$41,0,IF($U152=0,0,IF($U152&lt;1,1/$U152,IF((HG$56-Voorblad!$F$41)/$U152-SUM($EE152:HF152)=1,1,0))))</f>
        <v>0</v>
      </c>
      <c r="HH152" s="8">
        <f>IF(HH$56-Voorblad!$F$41&gt;Voorblad!$K$41,0,IF($U152=0,0,IF($U152&lt;1,1/$U152,IF((HH$56-Voorblad!$F$41)/$U152-SUM($EE152:HG152)=1,1,0))))</f>
        <v>0</v>
      </c>
      <c r="HI152" s="8">
        <f>IF(HI$56-Voorblad!$F$41&gt;Voorblad!$K$41,0,IF($U152=0,0,IF($U152&lt;1,1/$U152,IF((HI$56-Voorblad!$F$41)/$U152-SUM($EE152:HH152)=1,1,0))))</f>
        <v>0</v>
      </c>
      <c r="HJ152" s="8">
        <f>IF(HJ$56-Voorblad!$F$41&gt;Voorblad!$K$41,0,IF($U152=0,0,IF($U152&lt;1,1/$U152,IF((HJ$56-Voorblad!$F$41)/$U152-SUM($EE152:HI152)=1,1,0))))</f>
        <v>0</v>
      </c>
      <c r="HK152" s="8">
        <f>IF(HK$56-Voorblad!$F$41&gt;Voorblad!$K$41,0,IF($U152=0,0,IF($U152&lt;1,1/$U152,IF((HK$56-Voorblad!$F$41)/$U152-SUM($EE152:HJ152)=1,1,0))))</f>
        <v>0</v>
      </c>
      <c r="HL152" s="8">
        <f>IF(HL$56-Voorblad!$F$41&gt;Voorblad!$K$41,0,IF($U152=0,0,IF($U152&lt;1,1/$U152,IF((HL$56-Voorblad!$F$41)/$U152-SUM($EE152:HK152)=1,1,0))))</f>
        <v>0</v>
      </c>
      <c r="HM152" s="8">
        <f>IF(HM$56-Voorblad!$F$41&gt;Voorblad!$K$41,0,IF($U152=0,0,IF($U152&lt;1,1/$U152,IF((HM$56-Voorblad!$F$41)/$U152-SUM($EE152:HL152)=1,1,0))))</f>
        <v>0</v>
      </c>
      <c r="HN152" s="8">
        <f>IF(HN$56-Voorblad!$F$41&gt;Voorblad!$K$41,0,IF($U152=0,0,IF($U152&lt;1,1/$U152,IF((HN$56-Voorblad!$F$41)/$U152-SUM($EE152:HM152)=1,1,0))))</f>
        <v>0</v>
      </c>
      <c r="HO152" s="8">
        <f>IF(HO$56-Voorblad!$F$41&gt;Voorblad!$K$41,0,IF($U152=0,0,IF($U152&lt;1,1/$U152,IF((HO$56-Voorblad!$F$41)/$U152-SUM($EE152:HN152)=1,1,0))))</f>
        <v>0</v>
      </c>
      <c r="HP152" s="8">
        <f>IF(HP$56-Voorblad!$F$41&gt;Voorblad!$K$41,0,IF($U152=0,0,IF($U152&lt;1,1/$U152,IF((HP$56-Voorblad!$F$41)/$U152-SUM($EE152:HO152)=1,1,0))))</f>
        <v>0</v>
      </c>
      <c r="HQ152" s="8">
        <f>IF(HQ$56-Voorblad!$F$41&gt;Voorblad!$K$41,0,IF($U152=0,0,IF($U152&lt;1,1/$U152,IF((HQ$56-Voorblad!$F$41)/$U152-SUM($EE152:HP152)=1,1,0))))</f>
        <v>0</v>
      </c>
      <c r="HR152" s="8">
        <f>IF(HR$56-Voorblad!$F$41&gt;Voorblad!$K$41,0,IF($U152=0,0,IF($U152&lt;1,1/$U152,IF((HR$56-Voorblad!$F$41)/$U152-SUM($EE152:HQ152)=1,1,0))))</f>
        <v>0</v>
      </c>
      <c r="HS152" s="8">
        <f>IF(HS$56-Voorblad!$F$41&gt;Voorblad!$K$41,0,IF($U152=0,0,IF($U152&lt;1,1/$U152,IF((HS$56-Voorblad!$F$41)/$U152-SUM($EE152:HR152)=1,1,0))))</f>
        <v>0</v>
      </c>
      <c r="HT152" s="8">
        <f>IF(HT$56-Voorblad!$F$41&gt;Voorblad!$K$41,0,IF($U152=0,0,IF($U152&lt;1,1/$U152,IF((HT$56-Voorblad!$F$41)/$U152-SUM($EE152:HS152)=1,1,0))))</f>
        <v>0</v>
      </c>
      <c r="HU152" s="8">
        <f>IF(HU$56-Voorblad!$F$41&gt;Voorblad!$K$41,0,IF($U152=0,0,IF($U152&lt;1,1/$U152,IF((HU$56-Voorblad!$F$41)/$U152-SUM($EE152:HT152)=1,1,0))))</f>
        <v>0</v>
      </c>
      <c r="HV152" s="8">
        <f>IF(HV$56-Voorblad!$F$41&gt;Voorblad!$K$41,0,IF($U152=0,0,IF($U152&lt;1,1/$U152,IF((HV$56-Voorblad!$F$41)/$U152-SUM($EE152:HU152)=1,1,0))))</f>
        <v>0</v>
      </c>
      <c r="HW152" s="8">
        <f>IF(HW$56-Voorblad!$F$41&gt;Voorblad!$K$41,0,IF($U152=0,0,IF($U152&lt;1,1/$U152,IF((HW$56-Voorblad!$F$41)/$U152-SUM($EE152:HV152)=1,1,0))))</f>
        <v>0</v>
      </c>
      <c r="HX152" s="8">
        <f>IF(HX$56-Voorblad!$F$41&gt;Voorblad!$K$41,0,IF($U152=0,0,IF($U152&lt;1,1/$U152,IF((HX$56-Voorblad!$F$41)/$U152-SUM($EE152:HW152)=1,1,0))))</f>
        <v>0</v>
      </c>
      <c r="HY152" s="8">
        <f>IF(HY$56-Voorblad!$F$41&gt;Voorblad!$K$41,0,IF($U152=0,0,IF($U152&lt;1,1/$U152,IF((HY$56-Voorblad!$F$41)/$U152-SUM($EE152:HX152)=1,1,0))))</f>
        <v>0</v>
      </c>
      <c r="HZ152" s="8">
        <f>IF(HZ$56-Voorblad!$F$41&gt;Voorblad!$K$41,0,IF($U152=0,0,IF($U152&lt;1,1/$U152,IF((HZ$56-Voorblad!$F$41)/$U152-SUM($EE152:HY152)=1,1,0))))</f>
        <v>0</v>
      </c>
      <c r="IA152" s="8">
        <f>IF(IA$56-Voorblad!$F$41&gt;Voorblad!$K$41,0,IF($U152=0,0,IF($U152&lt;1,1/$U152,IF((IA$56-Voorblad!$F$41)/$U152-SUM($EE152:HZ152)=1,1,0))))</f>
        <v>0</v>
      </c>
      <c r="IB152" s="8">
        <f>IF(IB$56-Voorblad!$F$41&gt;Voorblad!$K$41,0,IF($U152=0,0,IF($U152&lt;1,1/$U152,IF((IB$56-Voorblad!$F$41)/$U152-SUM($EE152:IA152)=1,1,0))))</f>
        <v>0</v>
      </c>
    </row>
    <row r="153" spans="2:236" outlineLevel="1" x14ac:dyDescent="0.25">
      <c r="B153" s="14">
        <v>1</v>
      </c>
      <c r="C153" s="14"/>
      <c r="F153" s="1" t="s">
        <v>58</v>
      </c>
      <c r="I153" s="1" t="s">
        <v>66</v>
      </c>
      <c r="K153" s="1" t="s">
        <v>89</v>
      </c>
      <c r="O153" s="1" t="s">
        <v>101</v>
      </c>
      <c r="Q153" s="81">
        <v>0</v>
      </c>
      <c r="R153" s="1" t="s">
        <v>33</v>
      </c>
      <c r="S153" s="21">
        <f>7%*T149</f>
        <v>58757.451479999996</v>
      </c>
      <c r="T153" s="21">
        <f>Q153*S153</f>
        <v>0</v>
      </c>
      <c r="U153" s="11">
        <v>1</v>
      </c>
      <c r="V153" s="14"/>
      <c r="W153" s="81">
        <v>0</v>
      </c>
      <c r="X153" s="6"/>
      <c r="Y153" s="9">
        <f t="shared" si="21"/>
        <v>0</v>
      </c>
      <c r="Z153" s="82"/>
      <c r="AA153" s="82"/>
      <c r="AC153" s="229">
        <f>$Y153*(Voorblad!$K$44*(1+Voorblad!$K$44)^Voorblad!$K$41)/((1+Voorblad!$K$44)^Voorblad!$K$41-1)</f>
        <v>0</v>
      </c>
      <c r="AE153" s="9">
        <f>IF($W153=AE$56,EF153*($Q153*$S153)/(1+Voorblad!$K$44)^(AE$56-Voorblad!$F$41),0)</f>
        <v>0</v>
      </c>
      <c r="AF153" s="9">
        <f>IF($W153=AF$56,EG153*($Q153*$S153)/(1+Voorblad!$K$44)^(AF$56-Voorblad!$F$41),0)</f>
        <v>0</v>
      </c>
      <c r="AG153" s="9">
        <f>IF($W153=AG$56,EH153*($Q153*$S153)/(1+Voorblad!$K$44)^(AG$56-Voorblad!$F$41),0)</f>
        <v>0</v>
      </c>
      <c r="AH153" s="9">
        <f>IF($W153=AH$56,EI153*($Q153*$S153)/(1+Voorblad!$K$44)^(AH$56-Voorblad!$F$41),0)</f>
        <v>0</v>
      </c>
      <c r="AI153" s="9">
        <f>IF($W153=AI$56,EJ153*($Q153*$S153)/(1+Voorblad!$K$44)^(AI$56-Voorblad!$F$41),0)</f>
        <v>0</v>
      </c>
      <c r="AJ153" s="9">
        <f>IF($W153=AJ$56,EK153*($Q153*$S153)/(1+Voorblad!$K$44)^(AJ$56-Voorblad!$F$41),0)</f>
        <v>0</v>
      </c>
      <c r="AK153" s="9">
        <f>IF($W153=AK$56,EL153*($Q153*$S153)/(1+Voorblad!$K$44)^(AK$56-Voorblad!$F$41),0)</f>
        <v>0</v>
      </c>
      <c r="AL153" s="9">
        <f>IF($W153=AL$56,EM153*($Q153*$S153)/(1+Voorblad!$K$44)^(AL$56-Voorblad!$F$41),0)</f>
        <v>0</v>
      </c>
      <c r="AM153" s="9">
        <f>IF($W153=AM$56,EN153*($Q153*$S153)/(1+Voorblad!$K$44)^(AM$56-Voorblad!$F$41),0)</f>
        <v>0</v>
      </c>
      <c r="AN153" s="9">
        <f>IF($W153=AN$56,EO153*($Q153*$S153)/(1+Voorblad!$K$44)^(AN$56-Voorblad!$F$41),0)</f>
        <v>0</v>
      </c>
      <c r="AO153" s="9">
        <f>IF($W153=AO$56,EP153*($Q153*$S153)/(1+Voorblad!$K$44)^(AO$56-Voorblad!$F$41),0)</f>
        <v>0</v>
      </c>
      <c r="AP153" s="9">
        <f>IF($W153=AP$56,EQ153*($Q153*$S153)/(1+Voorblad!$K$44)^(AP$56-Voorblad!$F$41),0)</f>
        <v>0</v>
      </c>
      <c r="AQ153" s="9">
        <f>IF($W153=AQ$56,ER153*($Q153*$S153)/(1+Voorblad!$K$44)^(AQ$56-Voorblad!$F$41),0)</f>
        <v>0</v>
      </c>
      <c r="AR153" s="9">
        <f>IF($W153=AR$56,ES153*($Q153*$S153)/(1+Voorblad!$K$44)^(AR$56-Voorblad!$F$41),0)</f>
        <v>0</v>
      </c>
      <c r="AS153" s="9">
        <f>IF($W153=AS$56,ET153*($Q153*$S153)/(1+Voorblad!$K$44)^(AS$56-Voorblad!$F$41),0)</f>
        <v>0</v>
      </c>
      <c r="AT153" s="9">
        <f>IF($W153=AT$56,EU153*($Q153*$S153)/(1+Voorblad!$K$44)^(AT$56-Voorblad!$F$41),0)</f>
        <v>0</v>
      </c>
      <c r="AU153" s="9">
        <f>IF($W153=AU$56,EV153*($Q153*$S153)/(1+Voorblad!$K$44)^(AU$56-Voorblad!$F$41),0)</f>
        <v>0</v>
      </c>
      <c r="AV153" s="9">
        <f>IF($W153=AV$56,EW153*($Q153*$S153)/(1+Voorblad!$K$44)^(AV$56-Voorblad!$F$41),0)</f>
        <v>0</v>
      </c>
      <c r="AW153" s="9">
        <f>IF($W153=AW$56,EX153*($Q153*$S153)/(1+Voorblad!$K$44)^(AW$56-Voorblad!$F$41),0)</f>
        <v>0</v>
      </c>
      <c r="AX153" s="9">
        <f>IF($W153=AX$56,EY153*($Q153*$S153)/(1+Voorblad!$K$44)^(AX$56-Voorblad!$F$41),0)</f>
        <v>0</v>
      </c>
      <c r="AY153" s="9">
        <f>IF($W153=AY$56,EZ153*($Q153*$S153)/(1+Voorblad!$K$44)^(AY$56-Voorblad!$F$41),0)</f>
        <v>0</v>
      </c>
      <c r="AZ153" s="9">
        <f>IF($W153=AZ$56,FA153*($Q153*$S153)/(1+Voorblad!$K$44)^(AZ$56-Voorblad!$F$41),0)</f>
        <v>0</v>
      </c>
      <c r="BA153" s="9">
        <f>IF($W153=BA$56,FB153*($Q153*$S153)/(1+Voorblad!$K$44)^(BA$56-Voorblad!$F$41),0)</f>
        <v>0</v>
      </c>
      <c r="BB153" s="9">
        <f>IF($W153=BB$56,FC153*($Q153*$S153)/(1+Voorblad!$K$44)^(BB$56-Voorblad!$F$41),0)</f>
        <v>0</v>
      </c>
      <c r="BC153" s="9">
        <f>IF($W153=BC$56,FD153*($Q153*$S153)/(1+Voorblad!$K$44)^(BC$56-Voorblad!$F$41),0)</f>
        <v>0</v>
      </c>
      <c r="BD153" s="9">
        <f>IF($W153=BD$56,FE153*($Q153*$S153)/(1+Voorblad!$K$44)^(BD$56-Voorblad!$F$41),0)</f>
        <v>0</v>
      </c>
      <c r="BE153" s="9">
        <f>IF($W153=BE$56,FF153*($Q153*$S153)/(1+Voorblad!$K$44)^(BE$56-Voorblad!$F$41),0)</f>
        <v>0</v>
      </c>
      <c r="BF153" s="9">
        <f>IF($W153=BF$56,FG153*($Q153*$S153)/(1+Voorblad!$K$44)^(BF$56-Voorblad!$F$41),0)</f>
        <v>0</v>
      </c>
      <c r="BG153" s="9">
        <f>IF($W153=BG$56,FH153*($Q153*$S153)/(1+Voorblad!$K$44)^(BG$56-Voorblad!$F$41),0)</f>
        <v>0</v>
      </c>
      <c r="BH153" s="9">
        <f>IF($W153=BH$56,FI153*($Q153*$S153)/(1+Voorblad!$K$44)^(BH$56-Voorblad!$F$41),0)</f>
        <v>0</v>
      </c>
      <c r="BI153" s="9">
        <f>IF($W153=BI$56,FJ153*($Q153*$S153)/(1+Voorblad!$K$44)^(BI$56-Voorblad!$F$41),0)</f>
        <v>0</v>
      </c>
      <c r="BJ153" s="9">
        <f>IF($W153=BJ$56,FK153*($Q153*$S153)/(1+Voorblad!$K$44)^(BJ$56-Voorblad!$F$41),0)</f>
        <v>0</v>
      </c>
      <c r="BK153" s="9">
        <f>IF($W153=BK$56,FL153*($Q153*$S153)/(1+Voorblad!$K$44)^(BK$56-Voorblad!$F$41),0)</f>
        <v>0</v>
      </c>
      <c r="BL153" s="9">
        <f>IF($W153=BL$56,FM153*($Q153*$S153)/(1+Voorblad!$K$44)^(BL$56-Voorblad!$F$41),0)</f>
        <v>0</v>
      </c>
      <c r="BM153" s="9">
        <f>IF($W153=BM$56,FN153*($Q153*$S153)/(1+Voorblad!$K$44)^(BM$56-Voorblad!$F$41),0)</f>
        <v>0</v>
      </c>
      <c r="BN153" s="9">
        <f>IF($W153=BN$56,FO153*($Q153*$S153)/(1+Voorblad!$K$44)^(BN$56-Voorblad!$F$41),0)</f>
        <v>0</v>
      </c>
      <c r="BO153" s="9">
        <f>IF($W153=BO$56,FP153*($Q153*$S153)/(1+Voorblad!$K$44)^(BO$56-Voorblad!$F$41),0)</f>
        <v>0</v>
      </c>
      <c r="BP153" s="9">
        <f>IF($W153=BP$56,FQ153*($Q153*$S153)/(1+Voorblad!$K$44)^(BP$56-Voorblad!$F$41),0)</f>
        <v>0</v>
      </c>
      <c r="BQ153" s="9">
        <f>IF($W153=BQ$56,FR153*($Q153*$S153)/(1+Voorblad!$K$44)^(BQ$56-Voorblad!$F$41),0)</f>
        <v>0</v>
      </c>
      <c r="BR153" s="9">
        <f>IF($W153=BR$56,FS153*($Q153*$S153)/(1+Voorblad!$K$44)^(BR$56-Voorblad!$F$41),0)</f>
        <v>0</v>
      </c>
      <c r="BS153" s="9">
        <f>IF($W153=BS$56,FT153*($Q153*$S153)/(1+Voorblad!$K$44)^(BS$56-Voorblad!$F$41),0)</f>
        <v>0</v>
      </c>
      <c r="BT153" s="9">
        <f>IF($W153=BT$56,FU153*($Q153*$S153)/(1+Voorblad!$K$44)^(BT$56-Voorblad!$F$41),0)</f>
        <v>0</v>
      </c>
      <c r="BU153" s="9">
        <f>IF($W153=BU$56,FV153*($Q153*$S153)/(1+Voorblad!$K$44)^(BU$56-Voorblad!$F$41),0)</f>
        <v>0</v>
      </c>
      <c r="BV153" s="9">
        <f>IF($W153=BV$56,FW153*($Q153*$S153)/(1+Voorblad!$K$44)^(BV$56-Voorblad!$F$41),0)</f>
        <v>0</v>
      </c>
      <c r="BW153" s="9">
        <f>IF($W153=BW$56,FX153*($Q153*$S153)/(1+Voorblad!$K$44)^(BW$56-Voorblad!$F$41),0)</f>
        <v>0</v>
      </c>
      <c r="BX153" s="9">
        <f>IF($W153=BX$56,FY153*($Q153*$S153)/(1+Voorblad!$K$44)^(BX$56-Voorblad!$F$41),0)</f>
        <v>0</v>
      </c>
      <c r="BY153" s="9">
        <f>IF($W153=BY$56,FZ153*($Q153*$S153)/(1+Voorblad!$K$44)^(BY$56-Voorblad!$F$41),0)</f>
        <v>0</v>
      </c>
      <c r="BZ153" s="9">
        <f>IF($W153=BZ$56,GA153*($Q153*$S153)/(1+Voorblad!$K$44)^(BZ$56-Voorblad!$F$41),0)</f>
        <v>0</v>
      </c>
      <c r="CA153" s="9">
        <f>IF($W153=CA$56,GB153*($Q153*$S153)/(1+Voorblad!$K$44)^(CA$56-Voorblad!$F$41),0)</f>
        <v>0</v>
      </c>
      <c r="CB153" s="9">
        <f>IF($W153=CB$56,GC153*($Q153*$S153)/(1+Voorblad!$K$44)^(CB$56-Voorblad!$F$41),0)</f>
        <v>0</v>
      </c>
      <c r="CC153" s="9">
        <f>IF($W153=CC$56,GD153*($Q153*$S153)/(1+Voorblad!$K$44)^(CC$56-Voorblad!$F$41),0)</f>
        <v>0</v>
      </c>
      <c r="CD153" s="9">
        <f>IF($W153=CD$56,GE153*($Q153*$S153)/(1+Voorblad!$K$44)^(CD$56-Voorblad!$F$41),0)</f>
        <v>0</v>
      </c>
      <c r="CE153" s="9">
        <f>IF($W153=CE$56,GF153*($Q153*$S153)/(1+Voorblad!$K$44)^(CE$56-Voorblad!$F$41),0)</f>
        <v>0</v>
      </c>
      <c r="CF153" s="9">
        <f>IF($W153=CF$56,GG153*($Q153*$S153)/(1+Voorblad!$K$44)^(CF$56-Voorblad!$F$41),0)</f>
        <v>0</v>
      </c>
      <c r="CG153" s="9">
        <f>IF($W153=CG$56,GH153*($Q153*$S153)/(1+Voorblad!$K$44)^(CG$56-Voorblad!$F$41),0)</f>
        <v>0</v>
      </c>
      <c r="CH153" s="9">
        <f>IF($W153=CH$56,GI153*($Q153*$S153)/(1+Voorblad!$K$44)^(CH$56-Voorblad!$F$41),0)</f>
        <v>0</v>
      </c>
      <c r="CI153" s="9">
        <f>IF($W153=CI$56,GJ153*($Q153*$S153)/(1+Voorblad!$K$44)^(CI$56-Voorblad!$F$41),0)</f>
        <v>0</v>
      </c>
      <c r="CJ153" s="9">
        <f>IF($W153=CJ$56,GK153*($Q153*$S153)/(1+Voorblad!$K$44)^(CJ$56-Voorblad!$F$41),0)</f>
        <v>0</v>
      </c>
      <c r="CK153" s="9">
        <f>IF($W153=CK$56,GL153*($Q153*$S153)/(1+Voorblad!$K$44)^(CK$56-Voorblad!$F$41),0)</f>
        <v>0</v>
      </c>
      <c r="CL153" s="9">
        <f>IF($W153=CL$56,GM153*($Q153*$S153)/(1+Voorblad!$K$44)^(CL$56-Voorblad!$F$41),0)</f>
        <v>0</v>
      </c>
      <c r="CM153" s="9">
        <f>IF($W153=CM$56,GN153*($Q153*$S153)/(1+Voorblad!$K$44)^(CM$56-Voorblad!$F$41),0)</f>
        <v>0</v>
      </c>
      <c r="CN153" s="9">
        <f>IF($W153=CN$56,GO153*($Q153*$S153)/(1+Voorblad!$K$44)^(CN$56-Voorblad!$F$41),0)</f>
        <v>0</v>
      </c>
      <c r="CO153" s="9">
        <f>IF($W153=CO$56,GP153*($Q153*$S153)/(1+Voorblad!$K$44)^(CO$56-Voorblad!$F$41),0)</f>
        <v>0</v>
      </c>
      <c r="CP153" s="9">
        <f>IF($W153=CP$56,GQ153*($Q153*$S153)/(1+Voorblad!$K$44)^(CP$56-Voorblad!$F$41),0)</f>
        <v>0</v>
      </c>
      <c r="CQ153" s="9">
        <f>IF($W153=CQ$56,GR153*($Q153*$S153)/(1+Voorblad!$K$44)^(CQ$56-Voorblad!$F$41),0)</f>
        <v>0</v>
      </c>
      <c r="CR153" s="9">
        <f>IF($W153=CR$56,GS153*($Q153*$S153)/(1+Voorblad!$K$44)^(CR$56-Voorblad!$F$41),0)</f>
        <v>0</v>
      </c>
      <c r="CS153" s="9">
        <f>IF($W153=CS$56,GT153*($Q153*$S153)/(1+Voorblad!$K$44)^(CS$56-Voorblad!$F$41),0)</f>
        <v>0</v>
      </c>
      <c r="CT153" s="9">
        <f>IF($W153=CT$56,GU153*($Q153*$S153)/(1+Voorblad!$K$44)^(CT$56-Voorblad!$F$41),0)</f>
        <v>0</v>
      </c>
      <c r="CU153" s="9">
        <f>IF($W153=CU$56,GV153*($Q153*$S153)/(1+Voorblad!$K$44)^(CU$56-Voorblad!$F$41),0)</f>
        <v>0</v>
      </c>
      <c r="CV153" s="9">
        <f>IF($W153=CV$56,GW153*($Q153*$S153)/(1+Voorblad!$K$44)^(CV$56-Voorblad!$F$41),0)</f>
        <v>0</v>
      </c>
      <c r="CW153" s="9">
        <f>IF($W153=CW$56,GX153*($Q153*$S153)/(1+Voorblad!$K$44)^(CW$56-Voorblad!$F$41),0)</f>
        <v>0</v>
      </c>
      <c r="CX153" s="9">
        <f>IF($W153=CX$56,GY153*($Q153*$S153)/(1+Voorblad!$K$44)^(CX$56-Voorblad!$F$41),0)</f>
        <v>0</v>
      </c>
      <c r="CY153" s="9">
        <f>IF($W153=CY$56,GZ153*($Q153*$S153)/(1+Voorblad!$K$44)^(CY$56-Voorblad!$F$41),0)</f>
        <v>0</v>
      </c>
      <c r="CZ153" s="9">
        <f>IF($W153=CZ$56,HA153*($Q153*$S153)/(1+Voorblad!$K$44)^(CZ$56-Voorblad!$F$41),0)</f>
        <v>0</v>
      </c>
      <c r="DA153" s="9">
        <f>IF($W153=DA$56,HB153*($Q153*$S153)/(1+Voorblad!$K$44)^(DA$56-Voorblad!$F$41),0)</f>
        <v>0</v>
      </c>
      <c r="DB153" s="9">
        <f>IF($W153=DB$56,HC153*($Q153*$S153)/(1+Voorblad!$K$44)^(DB$56-Voorblad!$F$41),0)</f>
        <v>0</v>
      </c>
      <c r="DC153" s="9">
        <f>IF($W153=DC$56,HD153*($Q153*$S153)/(1+Voorblad!$K$44)^(DC$56-Voorblad!$F$41),0)</f>
        <v>0</v>
      </c>
      <c r="DD153" s="9">
        <f>IF($W153=DD$56,HE153*($Q153*$S153)/(1+Voorblad!$K$44)^(DD$56-Voorblad!$F$41),0)</f>
        <v>0</v>
      </c>
      <c r="DE153" s="9">
        <f>IF($W153=DE$56,HF153*($Q153*$S153)/(1+Voorblad!$K$44)^(DE$56-Voorblad!$F$41),0)</f>
        <v>0</v>
      </c>
      <c r="DF153" s="9">
        <f>IF($W153=DF$56,HG153*($Q153*$S153)/(1+Voorblad!$K$44)^(DF$56-Voorblad!$F$41),0)</f>
        <v>0</v>
      </c>
      <c r="DG153" s="9">
        <f>IF($W153=DG$56,HH153*($Q153*$S153)/(1+Voorblad!$K$44)^(DG$56-Voorblad!$F$41),0)</f>
        <v>0</v>
      </c>
      <c r="DH153" s="9">
        <f>IF($W153=DH$56,HI153*($Q153*$S153)/(1+Voorblad!$K$44)^(DH$56-Voorblad!$F$41),0)</f>
        <v>0</v>
      </c>
      <c r="DI153" s="9">
        <f>IF($W153=DI$56,HJ153*($Q153*$S153)/(1+Voorblad!$K$44)^(DI$56-Voorblad!$F$41),0)</f>
        <v>0</v>
      </c>
      <c r="DJ153" s="9">
        <f>IF($W153=DJ$56,HK153*($Q153*$S153)/(1+Voorblad!$K$44)^(DJ$56-Voorblad!$F$41),0)</f>
        <v>0</v>
      </c>
      <c r="DK153" s="9">
        <f>IF($W153=DK$56,HL153*($Q153*$S153)/(1+Voorblad!$K$44)^(DK$56-Voorblad!$F$41),0)</f>
        <v>0</v>
      </c>
      <c r="DL153" s="9">
        <f>IF($W153=DL$56,HM153*($Q153*$S153)/(1+Voorblad!$K$44)^(DL$56-Voorblad!$F$41),0)</f>
        <v>0</v>
      </c>
      <c r="DM153" s="9">
        <f>IF($W153=DM$56,HN153*($Q153*$S153)/(1+Voorblad!$K$44)^(DM$56-Voorblad!$F$41),0)</f>
        <v>0</v>
      </c>
      <c r="DN153" s="9">
        <f>IF($W153=DN$56,HO153*($Q153*$S153)/(1+Voorblad!$K$44)^(DN$56-Voorblad!$F$41),0)</f>
        <v>0</v>
      </c>
      <c r="DO153" s="9">
        <f>IF($W153=DO$56,HP153*($Q153*$S153)/(1+Voorblad!$K$44)^(DO$56-Voorblad!$F$41),0)</f>
        <v>0</v>
      </c>
      <c r="DP153" s="9">
        <f>IF($W153=DP$56,HQ153*($Q153*$S153)/(1+Voorblad!$K$44)^(DP$56-Voorblad!$F$41),0)</f>
        <v>0</v>
      </c>
      <c r="DQ153" s="9">
        <f>IF($W153=DQ$56,HR153*($Q153*$S153)/(1+Voorblad!$K$44)^(DQ$56-Voorblad!$F$41),0)</f>
        <v>0</v>
      </c>
      <c r="DR153" s="9">
        <f>IF($W153=DR$56,HS153*($Q153*$S153)/(1+Voorblad!$K$44)^(DR$56-Voorblad!$F$41),0)</f>
        <v>0</v>
      </c>
      <c r="DS153" s="9">
        <f>IF($W153=DS$56,HT153*($Q153*$S153)/(1+Voorblad!$K$44)^(DS$56-Voorblad!$F$41),0)</f>
        <v>0</v>
      </c>
      <c r="DT153" s="9">
        <f>IF($W153=DT$56,HU153*($Q153*$S153)/(1+Voorblad!$K$44)^(DT$56-Voorblad!$F$41),0)</f>
        <v>0</v>
      </c>
      <c r="DU153" s="9">
        <f>IF($W153=DU$56,HV153*($Q153*$S153)/(1+Voorblad!$K$44)^(DU$56-Voorblad!$F$41),0)</f>
        <v>0</v>
      </c>
      <c r="DV153" s="9">
        <f>IF($W153=DV$56,HW153*($Q153*$S153)/(1+Voorblad!$K$44)^(DV$56-Voorblad!$F$41),0)</f>
        <v>0</v>
      </c>
      <c r="DW153" s="9">
        <f>IF($W153=DW$56,HX153*($Q153*$S153)/(1+Voorblad!$K$44)^(DW$56-Voorblad!$F$41),0)</f>
        <v>0</v>
      </c>
      <c r="DX153" s="9">
        <f>IF($W153=DX$56,HY153*($Q153*$S153)/(1+Voorblad!$K$44)^(DX$56-Voorblad!$F$41),0)</f>
        <v>0</v>
      </c>
      <c r="DY153" s="9">
        <f>IF($W153=DY$56,HZ153*($Q153*$S153)/(1+Voorblad!$K$44)^(DY$56-Voorblad!$F$41),0)</f>
        <v>0</v>
      </c>
      <c r="DZ153" s="9">
        <f>IF($W153=DZ$56,IA153*($Q153*$S153)/(1+Voorblad!$K$44)^(DZ$56-Voorblad!$F$41),0)</f>
        <v>0</v>
      </c>
      <c r="EA153" s="9">
        <f>IF($W153=EA$56,IB153*($Q153*$S153)/(1+Voorblad!$K$44)^(EA$56-Voorblad!$F$41),0)</f>
        <v>0</v>
      </c>
      <c r="EB153" s="9">
        <f>IF($W153=EB$56,IC153*($Q153*$S153)/(1+Voorblad!$K$44)^(EB$56-Voorblad!$F$41),0)</f>
        <v>0</v>
      </c>
      <c r="EE153" s="8">
        <v>0</v>
      </c>
      <c r="EF153" s="8">
        <f>IF(EF$56-Voorblad!$F$41&gt;Voorblad!$K$41,0,IF($U153=0,0,IF($U153&lt;1,1/$U153,IF((EF$56-Voorblad!$F$41)/$U153-SUM($EE153:EE153)=1,1,0))))</f>
        <v>0</v>
      </c>
      <c r="EG153" s="8">
        <f>IF(EG$56-Voorblad!$F$41&gt;Voorblad!$K$41,0,IF($U153=0,0,IF($U153&lt;1,1/$U153,IF((EG$56-Voorblad!$F$41)/$U153-SUM($EE153:EF153)=1,1,0))))</f>
        <v>1</v>
      </c>
      <c r="EH153" s="8">
        <f>IF(EH$56-Voorblad!$F$41&gt;Voorblad!$K$41,0,IF($U153=0,0,IF($U153&lt;1,1/$U153,IF((EH$56-Voorblad!$F$41)/$U153-SUM($EE153:EG153)=1,1,0))))</f>
        <v>1</v>
      </c>
      <c r="EI153" s="8">
        <f>IF(EI$56-Voorblad!$F$41&gt;Voorblad!$K$41,0,IF($U153=0,0,IF($U153&lt;1,1/$U153,IF((EI$56-Voorblad!$F$41)/$U153-SUM($EE153:EH153)=1,1,0))))</f>
        <v>1</v>
      </c>
      <c r="EJ153" s="8">
        <f>IF(EJ$56-Voorblad!$F$41&gt;Voorblad!$K$41,0,IF($U153=0,0,IF($U153&lt;1,1/$U153,IF((EJ$56-Voorblad!$F$41)/$U153-SUM($EE153:EI153)=1,1,0))))</f>
        <v>1</v>
      </c>
      <c r="EK153" s="8">
        <f>IF(EK$56-Voorblad!$F$41&gt;Voorblad!$K$41,0,IF($U153=0,0,IF($U153&lt;1,1/$U153,IF((EK$56-Voorblad!$F$41)/$U153-SUM($EE153:EJ153)=1,1,0))))</f>
        <v>1</v>
      </c>
      <c r="EL153" s="8">
        <f>IF(EL$56-Voorblad!$F$41&gt;Voorblad!$K$41,0,IF($U153=0,0,IF($U153&lt;1,1/$U153,IF((EL$56-Voorblad!$F$41)/$U153-SUM($EE153:EK153)=1,1,0))))</f>
        <v>1</v>
      </c>
      <c r="EM153" s="8">
        <f>IF(EM$56-Voorblad!$F$41&gt;Voorblad!$K$41,0,IF($U153=0,0,IF($U153&lt;1,1/$U153,IF((EM$56-Voorblad!$F$41)/$U153-SUM($EE153:EL153)=1,1,0))))</f>
        <v>1</v>
      </c>
      <c r="EN153" s="8">
        <f>IF(EN$56-Voorblad!$F$41&gt;Voorblad!$K$41,0,IF($U153=0,0,IF($U153&lt;1,1/$U153,IF((EN$56-Voorblad!$F$41)/$U153-SUM($EE153:EM153)=1,1,0))))</f>
        <v>1</v>
      </c>
      <c r="EO153" s="8">
        <f>IF(EO$56-Voorblad!$F$41&gt;Voorblad!$K$41,0,IF($U153=0,0,IF($U153&lt;1,1/$U153,IF((EO$56-Voorblad!$F$41)/$U153-SUM($EE153:EN153)=1,1,0))))</f>
        <v>1</v>
      </c>
      <c r="EP153" s="8">
        <f>IF(EP$56-Voorblad!$F$41&gt;Voorblad!$K$41,0,IF($U153=0,0,IF($U153&lt;1,1/$U153,IF((EP$56-Voorblad!$F$41)/$U153-SUM($EE153:EO153)=1,1,0))))</f>
        <v>1</v>
      </c>
      <c r="EQ153" s="8">
        <f>IF(EQ$56-Voorblad!$F$41&gt;Voorblad!$K$41,0,IF($U153=0,0,IF($U153&lt;1,1/$U153,IF((EQ$56-Voorblad!$F$41)/$U153-SUM($EE153:EP153)=1,1,0))))</f>
        <v>1</v>
      </c>
      <c r="ER153" s="8">
        <f>IF(ER$56-Voorblad!$F$41&gt;Voorblad!$K$41,0,IF($U153=0,0,IF($U153&lt;1,1/$U153,IF((ER$56-Voorblad!$F$41)/$U153-SUM($EE153:EQ153)=1,1,0))))</f>
        <v>1</v>
      </c>
      <c r="ES153" s="8">
        <f>IF(ES$56-Voorblad!$F$41&gt;Voorblad!$K$41,0,IF($U153=0,0,IF($U153&lt;1,1/$U153,IF((ES$56-Voorblad!$F$41)/$U153-SUM($EE153:ER153)=1,1,0))))</f>
        <v>1</v>
      </c>
      <c r="ET153" s="8">
        <f>IF(ET$56-Voorblad!$F$41&gt;Voorblad!$K$41,0,IF($U153=0,0,IF($U153&lt;1,1/$U153,IF((ET$56-Voorblad!$F$41)/$U153-SUM($EE153:ES153)=1,1,0))))</f>
        <v>1</v>
      </c>
      <c r="EU153" s="8">
        <f>IF(EU$56-Voorblad!$F$41&gt;Voorblad!$K$41,0,IF($U153=0,0,IF($U153&lt;1,1/$U153,IF((EU$56-Voorblad!$F$41)/$U153-SUM($EE153:ET153)=1,1,0))))</f>
        <v>1</v>
      </c>
      <c r="EV153" s="8">
        <f>IF(EV$56-Voorblad!$F$41&gt;Voorblad!$K$41,0,IF($U153=0,0,IF($U153&lt;1,1/$U153,IF((EV$56-Voorblad!$F$41)/$U153-SUM($EE153:EU153)=1,1,0))))</f>
        <v>1</v>
      </c>
      <c r="EW153" s="8">
        <f>IF(EW$56-Voorblad!$F$41&gt;Voorblad!$K$41,0,IF($U153=0,0,IF($U153&lt;1,1/$U153,IF((EW$56-Voorblad!$F$41)/$U153-SUM($EE153:EV153)=1,1,0))))</f>
        <v>1</v>
      </c>
      <c r="EX153" s="8">
        <f>IF(EX$56-Voorblad!$F$41&gt;Voorblad!$K$41,0,IF($U153=0,0,IF($U153&lt;1,1/$U153,IF((EX$56-Voorblad!$F$41)/$U153-SUM($EE153:EW153)=1,1,0))))</f>
        <v>1</v>
      </c>
      <c r="EY153" s="8">
        <f>IF(EY$56-Voorblad!$F$41&gt;Voorblad!$K$41,0,IF($U153=0,0,IF($U153&lt;1,1/$U153,IF((EY$56-Voorblad!$F$41)/$U153-SUM($EE153:EX153)=1,1,0))))</f>
        <v>1</v>
      </c>
      <c r="EZ153" s="8">
        <f>IF(EZ$56-Voorblad!$F$41&gt;Voorblad!$K$41,0,IF($U153=0,0,IF($U153&lt;1,1/$U153,IF((EZ$56-Voorblad!$F$41)/$U153-SUM($EE153:EY153)=1,1,0))))</f>
        <v>1</v>
      </c>
      <c r="FA153" s="8">
        <f>IF(FA$56-Voorblad!$F$41&gt;Voorblad!$K$41,0,IF($U153=0,0,IF($U153&lt;1,1/$U153,IF((FA$56-Voorblad!$F$41)/$U153-SUM($EE153:EZ153)=1,1,0))))</f>
        <v>1</v>
      </c>
      <c r="FB153" s="8">
        <f>IF(FB$56-Voorblad!$F$41&gt;Voorblad!$K$41,0,IF($U153=0,0,IF($U153&lt;1,1/$U153,IF((FB$56-Voorblad!$F$41)/$U153-SUM($EE153:FA153)=1,1,0))))</f>
        <v>1</v>
      </c>
      <c r="FC153" s="8">
        <f>IF(FC$56-Voorblad!$F$41&gt;Voorblad!$K$41,0,IF($U153=0,0,IF($U153&lt;1,1/$U153,IF((FC$56-Voorblad!$F$41)/$U153-SUM($EE153:FB153)=1,1,0))))</f>
        <v>1</v>
      </c>
      <c r="FD153" s="8">
        <f>IF(FD$56-Voorblad!$F$41&gt;Voorblad!$K$41,0,IF($U153=0,0,IF($U153&lt;1,1/$U153,IF((FD$56-Voorblad!$F$41)/$U153-SUM($EE153:FC153)=1,1,0))))</f>
        <v>1</v>
      </c>
      <c r="FE153" s="8">
        <f>IF(FE$56-Voorblad!$F$41&gt;Voorblad!$K$41,0,IF($U153=0,0,IF($U153&lt;1,1/$U153,IF((FE$56-Voorblad!$F$41)/$U153-SUM($EE153:FD153)=1,1,0))))</f>
        <v>1</v>
      </c>
      <c r="FF153" s="8">
        <f>IF(FF$56-Voorblad!$F$41&gt;Voorblad!$K$41,0,IF($U153=0,0,IF($U153&lt;1,1/$U153,IF((FF$56-Voorblad!$F$41)/$U153-SUM($EE153:FE153)=1,1,0))))</f>
        <v>1</v>
      </c>
      <c r="FG153" s="8">
        <f>IF(FG$56-Voorblad!$F$41&gt;Voorblad!$K$41,0,IF($U153=0,0,IF($U153&lt;1,1/$U153,IF((FG$56-Voorblad!$F$41)/$U153-SUM($EE153:FF153)=1,1,0))))</f>
        <v>1</v>
      </c>
      <c r="FH153" s="8">
        <f>IF(FH$56-Voorblad!$F$41&gt;Voorblad!$K$41,0,IF($U153=0,0,IF($U153&lt;1,1/$U153,IF((FH$56-Voorblad!$F$41)/$U153-SUM($EE153:FG153)=1,1,0))))</f>
        <v>1</v>
      </c>
      <c r="FI153" s="8">
        <f>IF(FI$56-Voorblad!$F$41&gt;Voorblad!$K$41,0,IF($U153=0,0,IF($U153&lt;1,1/$U153,IF((FI$56-Voorblad!$F$41)/$U153-SUM($EE153:FH153)=1,1,0))))</f>
        <v>1</v>
      </c>
      <c r="FJ153" s="8">
        <f>IF(FJ$56-Voorblad!$F$41&gt;Voorblad!$K$41,0,IF($U153=0,0,IF($U153&lt;1,1/$U153,IF((FJ$56-Voorblad!$F$41)/$U153-SUM($EE153:FI153)=1,1,0))))</f>
        <v>1</v>
      </c>
      <c r="FK153" s="8">
        <f>IF(FK$56-Voorblad!$F$41&gt;Voorblad!$K$41,0,IF($U153=0,0,IF($U153&lt;1,1/$U153,IF((FK$56-Voorblad!$F$41)/$U153-SUM($EE153:FJ153)=1,1,0))))</f>
        <v>1</v>
      </c>
      <c r="FL153" s="8">
        <f>IF(FL$56-Voorblad!$F$41&gt;Voorblad!$K$41,0,IF($U153=0,0,IF($U153&lt;1,1/$U153,IF((FL$56-Voorblad!$F$41)/$U153-SUM($EE153:FK153)=1,1,0))))</f>
        <v>1</v>
      </c>
      <c r="FM153" s="8">
        <f>IF(FM$56-Voorblad!$F$41&gt;Voorblad!$K$41,0,IF($U153=0,0,IF($U153&lt;1,1/$U153,IF((FM$56-Voorblad!$F$41)/$U153-SUM($EE153:FL153)=1,1,0))))</f>
        <v>1</v>
      </c>
      <c r="FN153" s="8">
        <f>IF(FN$56-Voorblad!$F$41&gt;Voorblad!$K$41,0,IF($U153=0,0,IF($U153&lt;1,1/$U153,IF((FN$56-Voorblad!$F$41)/$U153-SUM($EE153:FM153)=1,1,0))))</f>
        <v>1</v>
      </c>
      <c r="FO153" s="8">
        <f>IF(FO$56-Voorblad!$F$41&gt;Voorblad!$K$41,0,IF($U153=0,0,IF($U153&lt;1,1/$U153,IF((FO$56-Voorblad!$F$41)/$U153-SUM($EE153:FN153)=1,1,0))))</f>
        <v>1</v>
      </c>
      <c r="FP153" s="8">
        <f>IF(FP$56-Voorblad!$F$41&gt;Voorblad!$K$41,0,IF($U153=0,0,IF($U153&lt;1,1/$U153,IF((FP$56-Voorblad!$F$41)/$U153-SUM($EE153:FO153)=1,1,0))))</f>
        <v>1</v>
      </c>
      <c r="FQ153" s="8">
        <f>IF(FQ$56-Voorblad!$F$41&gt;Voorblad!$K$41,0,IF($U153=0,0,IF($U153&lt;1,1/$U153,IF((FQ$56-Voorblad!$F$41)/$U153-SUM($EE153:FP153)=1,1,0))))</f>
        <v>1</v>
      </c>
      <c r="FR153" s="8">
        <f>IF(FR$56-Voorblad!$F$41&gt;Voorblad!$K$41,0,IF($U153=0,0,IF($U153&lt;1,1/$U153,IF((FR$56-Voorblad!$F$41)/$U153-SUM($EE153:FQ153)=1,1,0))))</f>
        <v>1</v>
      </c>
      <c r="FS153" s="8">
        <f>IF(FS$56-Voorblad!$F$41&gt;Voorblad!$K$41,0,IF($U153=0,0,IF($U153&lt;1,1/$U153,IF((FS$56-Voorblad!$F$41)/$U153-SUM($EE153:FR153)=1,1,0))))</f>
        <v>1</v>
      </c>
      <c r="FT153" s="8">
        <f>IF(FT$56-Voorblad!$F$41&gt;Voorblad!$K$41,0,IF($U153=0,0,IF($U153&lt;1,1/$U153,IF((FT$56-Voorblad!$F$41)/$U153-SUM($EE153:FS153)=1,1,0))))</f>
        <v>1</v>
      </c>
      <c r="FU153" s="8">
        <f>IF(FU$56-Voorblad!$F$41&gt;Voorblad!$K$41,0,IF($U153=0,0,IF($U153&lt;1,1/$U153,IF((FU$56-Voorblad!$F$41)/$U153-SUM($EE153:FT153)=1,1,0))))</f>
        <v>1</v>
      </c>
      <c r="FV153" s="8">
        <f>IF(FV$56-Voorblad!$F$41&gt;Voorblad!$K$41,0,IF($U153=0,0,IF($U153&lt;1,1/$U153,IF((FV$56-Voorblad!$F$41)/$U153-SUM($EE153:FU153)=1,1,0))))</f>
        <v>1</v>
      </c>
      <c r="FW153" s="8">
        <f>IF(FW$56-Voorblad!$F$41&gt;Voorblad!$K$41,0,IF($U153=0,0,IF($U153&lt;1,1/$U153,IF((FW$56-Voorblad!$F$41)/$U153-SUM($EE153:FV153)=1,1,0))))</f>
        <v>1</v>
      </c>
      <c r="FX153" s="8">
        <f>IF(FX$56-Voorblad!$F$41&gt;Voorblad!$K$41,0,IF($U153=0,0,IF($U153&lt;1,1/$U153,IF((FX$56-Voorblad!$F$41)/$U153-SUM($EE153:FW153)=1,1,0))))</f>
        <v>1</v>
      </c>
      <c r="FY153" s="8">
        <f>IF(FY$56-Voorblad!$F$41&gt;Voorblad!$K$41,0,IF($U153=0,0,IF($U153&lt;1,1/$U153,IF((FY$56-Voorblad!$F$41)/$U153-SUM($EE153:FX153)=1,1,0))))</f>
        <v>1</v>
      </c>
      <c r="FZ153" s="8">
        <f>IF(FZ$56-Voorblad!$F$41&gt;Voorblad!$K$41,0,IF($U153=0,0,IF($U153&lt;1,1/$U153,IF((FZ$56-Voorblad!$F$41)/$U153-SUM($EE153:FY153)=1,1,0))))</f>
        <v>1</v>
      </c>
      <c r="GA153" s="8">
        <f>IF(GA$56-Voorblad!$F$41&gt;Voorblad!$K$41,0,IF($U153=0,0,IF($U153&lt;1,1/$U153,IF((GA$56-Voorblad!$F$41)/$U153-SUM($EE153:FZ153)=1,1,0))))</f>
        <v>1</v>
      </c>
      <c r="GB153" s="8">
        <f>IF(GB$56-Voorblad!$F$41&gt;Voorblad!$K$41,0,IF($U153=0,0,IF($U153&lt;1,1/$U153,IF((GB$56-Voorblad!$F$41)/$U153-SUM($EE153:GA153)=1,1,0))))</f>
        <v>1</v>
      </c>
      <c r="GC153" s="8">
        <f>IF(GC$56-Voorblad!$F$41&gt;Voorblad!$K$41,0,IF($U153=0,0,IF($U153&lt;1,1/$U153,IF((GC$56-Voorblad!$F$41)/$U153-SUM($EE153:GB153)=1,1,0))))</f>
        <v>1</v>
      </c>
      <c r="GD153" s="8">
        <f>IF(GD$56-Voorblad!$F$41&gt;Voorblad!$K$41,0,IF($U153=0,0,IF($U153&lt;1,1/$U153,IF((GD$56-Voorblad!$F$41)/$U153-SUM($EE153:GC153)=1,1,0))))</f>
        <v>1</v>
      </c>
      <c r="GE153" s="8">
        <f>IF(GE$56-Voorblad!$F$41&gt;Voorblad!$K$41,0,IF($U153=0,0,IF($U153&lt;1,1/$U153,IF((GE$56-Voorblad!$F$41)/$U153-SUM($EE153:GD153)=1,1,0))))</f>
        <v>1</v>
      </c>
      <c r="GF153" s="8">
        <f>IF(GF$56-Voorblad!$F$41&gt;Voorblad!$K$41,0,IF($U153=0,0,IF($U153&lt;1,1/$U153,IF((GF$56-Voorblad!$F$41)/$U153-SUM($EE153:GE153)=1,1,0))))</f>
        <v>1</v>
      </c>
      <c r="GG153" s="8">
        <f>IF(GG$56-Voorblad!$F$41&gt;Voorblad!$K$41,0,IF($U153=0,0,IF($U153&lt;1,1/$U153,IF((GG$56-Voorblad!$F$41)/$U153-SUM($EE153:GF153)=1,1,0))))</f>
        <v>1</v>
      </c>
      <c r="GH153" s="8">
        <f>IF(GH$56-Voorblad!$F$41&gt;Voorblad!$K$41,0,IF($U153=0,0,IF($U153&lt;1,1/$U153,IF((GH$56-Voorblad!$F$41)/$U153-SUM($EE153:GG153)=1,1,0))))</f>
        <v>1</v>
      </c>
      <c r="GI153" s="8">
        <f>IF(GI$56-Voorblad!$F$41&gt;Voorblad!$K$41,0,IF($U153=0,0,IF($U153&lt;1,1/$U153,IF((GI$56-Voorblad!$F$41)/$U153-SUM($EE153:GH153)=1,1,0))))</f>
        <v>1</v>
      </c>
      <c r="GJ153" s="8">
        <f>IF(GJ$56-Voorblad!$F$41&gt;Voorblad!$K$41,0,IF($U153=0,0,IF($U153&lt;1,1/$U153,IF((GJ$56-Voorblad!$F$41)/$U153-SUM($EE153:GI153)=1,1,0))))</f>
        <v>1</v>
      </c>
      <c r="GK153" s="8">
        <f>IF(GK$56-Voorblad!$F$41&gt;Voorblad!$K$41,0,IF($U153=0,0,IF($U153&lt;1,1/$U153,IF((GK$56-Voorblad!$F$41)/$U153-SUM($EE153:GJ153)=1,1,0))))</f>
        <v>1</v>
      </c>
      <c r="GL153" s="8">
        <f>IF(GL$56-Voorblad!$F$41&gt;Voorblad!$K$41,0,IF($U153=0,0,IF($U153&lt;1,1/$U153,IF((GL$56-Voorblad!$F$41)/$U153-SUM($EE153:GK153)=1,1,0))))</f>
        <v>1</v>
      </c>
      <c r="GM153" s="8">
        <f>IF(GM$56-Voorblad!$F$41&gt;Voorblad!$K$41,0,IF($U153=0,0,IF($U153&lt;1,1/$U153,IF((GM$56-Voorblad!$F$41)/$U153-SUM($EE153:GL153)=1,1,0))))</f>
        <v>1</v>
      </c>
      <c r="GN153" s="8">
        <f>IF(GN$56-Voorblad!$F$41&gt;Voorblad!$K$41,0,IF($U153=0,0,IF($U153&lt;1,1/$U153,IF((GN$56-Voorblad!$F$41)/$U153-SUM($EE153:GM153)=1,1,0))))</f>
        <v>1</v>
      </c>
      <c r="GO153" s="8">
        <f>IF(GO$56-Voorblad!$F$41&gt;Voorblad!$K$41,0,IF($U153=0,0,IF($U153&lt;1,1/$U153,IF((GO$56-Voorblad!$F$41)/$U153-SUM($EE153:GN153)=1,1,0))))</f>
        <v>1</v>
      </c>
      <c r="GP153" s="8">
        <f>IF(GP$56-Voorblad!$F$41&gt;Voorblad!$K$41,0,IF($U153=0,0,IF($U153&lt;1,1/$U153,IF((GP$56-Voorblad!$F$41)/$U153-SUM($EE153:GO153)=1,1,0))))</f>
        <v>1</v>
      </c>
      <c r="GQ153" s="8">
        <f>IF(GQ$56-Voorblad!$F$41&gt;Voorblad!$K$41,0,IF($U153=0,0,IF($U153&lt;1,1/$U153,IF((GQ$56-Voorblad!$F$41)/$U153-SUM($EE153:GP153)=1,1,0))))</f>
        <v>1</v>
      </c>
      <c r="GR153" s="8">
        <f>IF(GR$56-Voorblad!$F$41&gt;Voorblad!$K$41,0,IF($U153=0,0,IF($U153&lt;1,1/$U153,IF((GR$56-Voorblad!$F$41)/$U153-SUM($EE153:GQ153)=1,1,0))))</f>
        <v>1</v>
      </c>
      <c r="GS153" s="8">
        <f>IF(GS$56-Voorblad!$F$41&gt;Voorblad!$K$41,0,IF($U153=0,0,IF($U153&lt;1,1/$U153,IF((GS$56-Voorblad!$F$41)/$U153-SUM($EE153:GR153)=1,1,0))))</f>
        <v>1</v>
      </c>
      <c r="GT153" s="8">
        <f>IF(GT$56-Voorblad!$F$41&gt;Voorblad!$K$41,0,IF($U153=0,0,IF($U153&lt;1,1/$U153,IF((GT$56-Voorblad!$F$41)/$U153-SUM($EE153:GS153)=1,1,0))))</f>
        <v>1</v>
      </c>
      <c r="GU153" s="8">
        <f>IF(GU$56-Voorblad!$F$41&gt;Voorblad!$K$41,0,IF($U153=0,0,IF($U153&lt;1,1/$U153,IF((GU$56-Voorblad!$F$41)/$U153-SUM($EE153:GT153)=1,1,0))))</f>
        <v>1</v>
      </c>
      <c r="GV153" s="8">
        <f>IF(GV$56-Voorblad!$F$41&gt;Voorblad!$K$41,0,IF($U153=0,0,IF($U153&lt;1,1/$U153,IF((GV$56-Voorblad!$F$41)/$U153-SUM($EE153:GU153)=1,1,0))))</f>
        <v>1</v>
      </c>
      <c r="GW153" s="8">
        <f>IF(GW$56-Voorblad!$F$41&gt;Voorblad!$K$41,0,IF($U153=0,0,IF($U153&lt;1,1/$U153,IF((GW$56-Voorblad!$F$41)/$U153-SUM($EE153:GV153)=1,1,0))))</f>
        <v>1</v>
      </c>
      <c r="GX153" s="8">
        <f>IF(GX$56-Voorblad!$F$41&gt;Voorblad!$K$41,0,IF($U153=0,0,IF($U153&lt;1,1/$U153,IF((GX$56-Voorblad!$F$41)/$U153-SUM($EE153:GW153)=1,1,0))))</f>
        <v>1</v>
      </c>
      <c r="GY153" s="8">
        <f>IF(GY$56-Voorblad!$F$41&gt;Voorblad!$K$41,0,IF($U153=0,0,IF($U153&lt;1,1/$U153,IF((GY$56-Voorblad!$F$41)/$U153-SUM($EE153:GX153)=1,1,0))))</f>
        <v>1</v>
      </c>
      <c r="GZ153" s="8">
        <f>IF(GZ$56-Voorblad!$F$41&gt;Voorblad!$K$41,0,IF($U153=0,0,IF($U153&lt;1,1/$U153,IF((GZ$56-Voorblad!$F$41)/$U153-SUM($EE153:GY153)=1,1,0))))</f>
        <v>1</v>
      </c>
      <c r="HA153" s="8">
        <f>IF(HA$56-Voorblad!$F$41&gt;Voorblad!$K$41,0,IF($U153=0,0,IF($U153&lt;1,1/$U153,IF((HA$56-Voorblad!$F$41)/$U153-SUM($EE153:GZ153)=1,1,0))))</f>
        <v>1</v>
      </c>
      <c r="HB153" s="8">
        <f>IF(HB$56-Voorblad!$F$41&gt;Voorblad!$K$41,0,IF($U153=0,0,IF($U153&lt;1,1/$U153,IF((HB$56-Voorblad!$F$41)/$U153-SUM($EE153:HA153)=1,1,0))))</f>
        <v>0</v>
      </c>
      <c r="HC153" s="8">
        <f>IF(HC$56-Voorblad!$F$41&gt;Voorblad!$K$41,0,IF($U153=0,0,IF($U153&lt;1,1/$U153,IF((HC$56-Voorblad!$F$41)/$U153-SUM($EE153:HB153)=1,1,0))))</f>
        <v>0</v>
      </c>
      <c r="HD153" s="8">
        <f>IF(HD$56-Voorblad!$F$41&gt;Voorblad!$K$41,0,IF($U153=0,0,IF($U153&lt;1,1/$U153,IF((HD$56-Voorblad!$F$41)/$U153-SUM($EE153:HC153)=1,1,0))))</f>
        <v>0</v>
      </c>
      <c r="HE153" s="8">
        <f>IF(HE$56-Voorblad!$F$41&gt;Voorblad!$K$41,0,IF($U153=0,0,IF($U153&lt;1,1/$U153,IF((HE$56-Voorblad!$F$41)/$U153-SUM($EE153:HD153)=1,1,0))))</f>
        <v>0</v>
      </c>
      <c r="HF153" s="8">
        <f>IF(HF$56-Voorblad!$F$41&gt;Voorblad!$K$41,0,IF($U153=0,0,IF($U153&lt;1,1/$U153,IF((HF$56-Voorblad!$F$41)/$U153-SUM($EE153:HE153)=1,1,0))))</f>
        <v>0</v>
      </c>
      <c r="HG153" s="8">
        <f>IF(HG$56-Voorblad!$F$41&gt;Voorblad!$K$41,0,IF($U153=0,0,IF($U153&lt;1,1/$U153,IF((HG$56-Voorblad!$F$41)/$U153-SUM($EE153:HF153)=1,1,0))))</f>
        <v>0</v>
      </c>
      <c r="HH153" s="8">
        <f>IF(HH$56-Voorblad!$F$41&gt;Voorblad!$K$41,0,IF($U153=0,0,IF($U153&lt;1,1/$U153,IF((HH$56-Voorblad!$F$41)/$U153-SUM($EE153:HG153)=1,1,0))))</f>
        <v>0</v>
      </c>
      <c r="HI153" s="8">
        <f>IF(HI$56-Voorblad!$F$41&gt;Voorblad!$K$41,0,IF($U153=0,0,IF($U153&lt;1,1/$U153,IF((HI$56-Voorblad!$F$41)/$U153-SUM($EE153:HH153)=1,1,0))))</f>
        <v>0</v>
      </c>
      <c r="HJ153" s="8">
        <f>IF(HJ$56-Voorblad!$F$41&gt;Voorblad!$K$41,0,IF($U153=0,0,IF($U153&lt;1,1/$U153,IF((HJ$56-Voorblad!$F$41)/$U153-SUM($EE153:HI153)=1,1,0))))</f>
        <v>0</v>
      </c>
      <c r="HK153" s="8">
        <f>IF(HK$56-Voorblad!$F$41&gt;Voorblad!$K$41,0,IF($U153=0,0,IF($U153&lt;1,1/$U153,IF((HK$56-Voorblad!$F$41)/$U153-SUM($EE153:HJ153)=1,1,0))))</f>
        <v>0</v>
      </c>
      <c r="HL153" s="8">
        <f>IF(HL$56-Voorblad!$F$41&gt;Voorblad!$K$41,0,IF($U153=0,0,IF($U153&lt;1,1/$U153,IF((HL$56-Voorblad!$F$41)/$U153-SUM($EE153:HK153)=1,1,0))))</f>
        <v>0</v>
      </c>
      <c r="HM153" s="8">
        <f>IF(HM$56-Voorblad!$F$41&gt;Voorblad!$K$41,0,IF($U153=0,0,IF($U153&lt;1,1/$U153,IF((HM$56-Voorblad!$F$41)/$U153-SUM($EE153:HL153)=1,1,0))))</f>
        <v>0</v>
      </c>
      <c r="HN153" s="8">
        <f>IF(HN$56-Voorblad!$F$41&gt;Voorblad!$K$41,0,IF($U153=0,0,IF($U153&lt;1,1/$U153,IF((HN$56-Voorblad!$F$41)/$U153-SUM($EE153:HM153)=1,1,0))))</f>
        <v>0</v>
      </c>
      <c r="HO153" s="8">
        <f>IF(HO$56-Voorblad!$F$41&gt;Voorblad!$K$41,0,IF($U153=0,0,IF($U153&lt;1,1/$U153,IF((HO$56-Voorblad!$F$41)/$U153-SUM($EE153:HN153)=1,1,0))))</f>
        <v>0</v>
      </c>
      <c r="HP153" s="8">
        <f>IF(HP$56-Voorblad!$F$41&gt;Voorblad!$K$41,0,IF($U153=0,0,IF($U153&lt;1,1/$U153,IF((HP$56-Voorblad!$F$41)/$U153-SUM($EE153:HO153)=1,1,0))))</f>
        <v>0</v>
      </c>
      <c r="HQ153" s="8">
        <f>IF(HQ$56-Voorblad!$F$41&gt;Voorblad!$K$41,0,IF($U153=0,0,IF($U153&lt;1,1/$U153,IF((HQ$56-Voorblad!$F$41)/$U153-SUM($EE153:HP153)=1,1,0))))</f>
        <v>0</v>
      </c>
      <c r="HR153" s="8">
        <f>IF(HR$56-Voorblad!$F$41&gt;Voorblad!$K$41,0,IF($U153=0,0,IF($U153&lt;1,1/$U153,IF((HR$56-Voorblad!$F$41)/$U153-SUM($EE153:HQ153)=1,1,0))))</f>
        <v>0</v>
      </c>
      <c r="HS153" s="8">
        <f>IF(HS$56-Voorblad!$F$41&gt;Voorblad!$K$41,0,IF($U153=0,0,IF($U153&lt;1,1/$U153,IF((HS$56-Voorblad!$F$41)/$U153-SUM($EE153:HR153)=1,1,0))))</f>
        <v>0</v>
      </c>
      <c r="HT153" s="8">
        <f>IF(HT$56-Voorblad!$F$41&gt;Voorblad!$K$41,0,IF($U153=0,0,IF($U153&lt;1,1/$U153,IF((HT$56-Voorblad!$F$41)/$U153-SUM($EE153:HS153)=1,1,0))))</f>
        <v>0</v>
      </c>
      <c r="HU153" s="8">
        <f>IF(HU$56-Voorblad!$F$41&gt;Voorblad!$K$41,0,IF($U153=0,0,IF($U153&lt;1,1/$U153,IF((HU$56-Voorblad!$F$41)/$U153-SUM($EE153:HT153)=1,1,0))))</f>
        <v>0</v>
      </c>
      <c r="HV153" s="8">
        <f>IF(HV$56-Voorblad!$F$41&gt;Voorblad!$K$41,0,IF($U153=0,0,IF($U153&lt;1,1/$U153,IF((HV$56-Voorblad!$F$41)/$U153-SUM($EE153:HU153)=1,1,0))))</f>
        <v>0</v>
      </c>
      <c r="HW153" s="8">
        <f>IF(HW$56-Voorblad!$F$41&gt;Voorblad!$K$41,0,IF($U153=0,0,IF($U153&lt;1,1/$U153,IF((HW$56-Voorblad!$F$41)/$U153-SUM($EE153:HV153)=1,1,0))))</f>
        <v>0</v>
      </c>
      <c r="HX153" s="8">
        <f>IF(HX$56-Voorblad!$F$41&gt;Voorblad!$K$41,0,IF($U153=0,0,IF($U153&lt;1,1/$U153,IF((HX$56-Voorblad!$F$41)/$U153-SUM($EE153:HW153)=1,1,0))))</f>
        <v>0</v>
      </c>
      <c r="HY153" s="8">
        <f>IF(HY$56-Voorblad!$F$41&gt;Voorblad!$K$41,0,IF($U153=0,0,IF($U153&lt;1,1/$U153,IF((HY$56-Voorblad!$F$41)/$U153-SUM($EE153:HX153)=1,1,0))))</f>
        <v>0</v>
      </c>
      <c r="HZ153" s="8">
        <f>IF(HZ$56-Voorblad!$F$41&gt;Voorblad!$K$41,0,IF($U153=0,0,IF($U153&lt;1,1/$U153,IF((HZ$56-Voorblad!$F$41)/$U153-SUM($EE153:HY153)=1,1,0))))</f>
        <v>0</v>
      </c>
      <c r="IA153" s="8">
        <f>IF(IA$56-Voorblad!$F$41&gt;Voorblad!$K$41,0,IF($U153=0,0,IF($U153&lt;1,1/$U153,IF((IA$56-Voorblad!$F$41)/$U153-SUM($EE153:HZ153)=1,1,0))))</f>
        <v>0</v>
      </c>
      <c r="IB153" s="8">
        <f>IF(IB$56-Voorblad!$F$41&gt;Voorblad!$K$41,0,IF($U153=0,0,IF($U153&lt;1,1/$U153,IF((IB$56-Voorblad!$F$41)/$U153-SUM($EE153:IA153)=1,1,0))))</f>
        <v>0</v>
      </c>
    </row>
    <row r="154" spans="2:236" outlineLevel="1" x14ac:dyDescent="0.25">
      <c r="B154" s="2" t="s">
        <v>271</v>
      </c>
      <c r="C154" s="2"/>
      <c r="D154" s="14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14"/>
      <c r="R154" s="14"/>
      <c r="S154" s="14"/>
      <c r="T154" s="26">
        <f>SUM(T149:T153)</f>
        <v>839392.16399999987</v>
      </c>
      <c r="U154" s="14"/>
      <c r="V154" s="14"/>
      <c r="W154" s="14"/>
      <c r="X154" s="6"/>
      <c r="Y154" s="23">
        <f>SUM(Y149:Y153)</f>
        <v>138395.7447270893</v>
      </c>
      <c r="Z154" s="24"/>
      <c r="AA154" s="23">
        <f>SUM(AA149:AA153)</f>
        <v>52</v>
      </c>
      <c r="AC154" s="9">
        <f>$Y154*(Voorblad!$K$44*(1+Voorblad!$K$44)^Voorblad!$K$41)/((1+Voorblad!$K$44)^Voorblad!$K$41-1)</f>
        <v>4142.9706508114368</v>
      </c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E154" s="8"/>
      <c r="EF154" s="8"/>
      <c r="EG154" s="8"/>
      <c r="EH154" s="8"/>
      <c r="EI154" s="8"/>
      <c r="EJ154" s="8"/>
      <c r="EK154" s="8"/>
      <c r="EL154" s="8"/>
      <c r="EM154" s="8"/>
      <c r="EN154" s="8"/>
      <c r="EO154" s="8"/>
      <c r="EP154" s="8"/>
      <c r="EQ154" s="8"/>
      <c r="ER154" s="8"/>
      <c r="ES154" s="8"/>
      <c r="ET154" s="8"/>
      <c r="EU154" s="8"/>
      <c r="EV154" s="8"/>
      <c r="EW154" s="8"/>
      <c r="EX154" s="8"/>
      <c r="EY154" s="8"/>
      <c r="EZ154" s="8"/>
      <c r="FA154" s="8"/>
      <c r="FB154" s="8"/>
      <c r="FC154" s="8"/>
      <c r="FD154" s="8"/>
      <c r="FE154" s="8"/>
      <c r="FF154" s="8"/>
      <c r="FG154" s="8"/>
      <c r="FH154" s="8"/>
      <c r="FI154" s="8"/>
      <c r="FJ154" s="8"/>
      <c r="FK154" s="8"/>
      <c r="FL154" s="8"/>
      <c r="FM154" s="8"/>
      <c r="FN154" s="8"/>
      <c r="FO154" s="8"/>
      <c r="FP154" s="8"/>
      <c r="FQ154" s="8"/>
      <c r="FR154" s="8"/>
      <c r="FS154" s="8"/>
      <c r="FT154" s="8"/>
      <c r="FU154" s="8"/>
      <c r="FV154" s="8"/>
      <c r="FW154" s="8"/>
      <c r="FX154" s="8"/>
      <c r="FY154" s="8"/>
      <c r="FZ154" s="8"/>
      <c r="GA154" s="8"/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</row>
    <row r="155" spans="2:236" x14ac:dyDescent="0.25">
      <c r="B155" s="2"/>
      <c r="C155" s="2"/>
      <c r="D155" s="14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14"/>
      <c r="R155" s="14"/>
      <c r="S155" s="14"/>
      <c r="T155" s="14"/>
      <c r="U155" s="14"/>
      <c r="V155" s="14"/>
      <c r="W155" s="14"/>
      <c r="X155" s="6"/>
      <c r="Y155" s="24"/>
      <c r="Z155" s="24"/>
      <c r="AA155" s="24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E155" s="8"/>
      <c r="EF155" s="8"/>
      <c r="EG155" s="8"/>
      <c r="EH155" s="8"/>
      <c r="EI155" s="8"/>
      <c r="EJ155" s="8"/>
      <c r="EK155" s="8"/>
      <c r="EL155" s="8"/>
      <c r="EM155" s="8"/>
      <c r="EN155" s="8"/>
      <c r="EO155" s="8"/>
      <c r="EP155" s="8"/>
      <c r="EQ155" s="8"/>
      <c r="ER155" s="8"/>
      <c r="ES155" s="8"/>
      <c r="ET155" s="8"/>
      <c r="EU155" s="8"/>
      <c r="EV155" s="8"/>
      <c r="EW155" s="8"/>
      <c r="EX155" s="8"/>
      <c r="EY155" s="8"/>
      <c r="EZ155" s="8"/>
      <c r="FA155" s="8"/>
      <c r="FB155" s="8"/>
      <c r="FC155" s="8"/>
      <c r="FD155" s="8"/>
      <c r="FE155" s="8"/>
      <c r="FF155" s="8"/>
      <c r="FG155" s="8"/>
      <c r="FH155" s="8"/>
      <c r="FI155" s="8"/>
      <c r="FJ155" s="8"/>
      <c r="FK155" s="8"/>
      <c r="FL155" s="8"/>
      <c r="FM155" s="8"/>
      <c r="FN155" s="8"/>
      <c r="FO155" s="8"/>
      <c r="FP155" s="8"/>
      <c r="FQ155" s="8"/>
      <c r="FR155" s="8"/>
      <c r="FS155" s="8"/>
      <c r="FT155" s="8"/>
      <c r="FU155" s="8"/>
      <c r="FV155" s="8"/>
      <c r="FW155" s="8"/>
      <c r="FX155" s="8"/>
      <c r="FY155" s="8"/>
      <c r="FZ155" s="8"/>
      <c r="GA155" s="8"/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</row>
    <row r="156" spans="2:236" ht="12" customHeight="1" x14ac:dyDescent="0.25">
      <c r="B156" s="2"/>
      <c r="C156" s="2"/>
      <c r="D156" s="14"/>
      <c r="E156" s="6"/>
      <c r="F156" s="6"/>
      <c r="G156" s="6"/>
      <c r="H156" s="6"/>
      <c r="S156" s="14"/>
      <c r="U156" s="14"/>
      <c r="V156" s="14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E156" s="8"/>
      <c r="EF156" s="8"/>
      <c r="EG156" s="8"/>
      <c r="EH156" s="8"/>
      <c r="EI156" s="8"/>
      <c r="EJ156" s="8"/>
      <c r="EK156" s="8"/>
      <c r="EL156" s="8"/>
      <c r="EM156" s="8"/>
      <c r="EN156" s="8"/>
      <c r="EO156" s="8"/>
      <c r="EP156" s="8"/>
      <c r="EQ156" s="8"/>
      <c r="ER156" s="8"/>
      <c r="ES156" s="8"/>
      <c r="ET156" s="8"/>
      <c r="EU156" s="8"/>
      <c r="EV156" s="8"/>
      <c r="EW156" s="8"/>
      <c r="EX156" s="8"/>
      <c r="EY156" s="8"/>
      <c r="EZ156" s="8"/>
      <c r="FA156" s="8"/>
      <c r="FB156" s="8"/>
      <c r="FC156" s="8"/>
      <c r="FD156" s="8"/>
      <c r="FE156" s="8"/>
      <c r="FF156" s="8"/>
      <c r="FG156" s="8"/>
      <c r="FH156" s="8"/>
      <c r="FI156" s="8"/>
      <c r="FJ156" s="8"/>
      <c r="FK156" s="8"/>
      <c r="FL156" s="8"/>
      <c r="FM156" s="8"/>
      <c r="FN156" s="8"/>
      <c r="FO156" s="8"/>
      <c r="FP156" s="8"/>
      <c r="FQ156" s="8"/>
      <c r="FR156" s="8"/>
      <c r="FS156" s="8"/>
      <c r="FT156" s="8"/>
      <c r="FU156" s="8"/>
      <c r="FV156" s="8"/>
      <c r="FW156" s="8"/>
      <c r="FX156" s="8"/>
      <c r="FY156" s="8"/>
      <c r="FZ156" s="8"/>
      <c r="GA156" s="8"/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</row>
    <row r="157" spans="2:236" ht="12" customHeight="1" x14ac:dyDescent="0.3">
      <c r="B157" s="19" t="s">
        <v>44</v>
      </c>
      <c r="C157" s="19"/>
      <c r="Q157" s="8"/>
      <c r="S157" s="14"/>
      <c r="U157" s="8"/>
      <c r="V157" s="14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/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/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E157" s="8"/>
      <c r="EF157" s="8"/>
      <c r="EG157" s="8"/>
      <c r="EH157" s="8"/>
      <c r="EI157" s="8"/>
      <c r="EJ157" s="8"/>
      <c r="EK157" s="8"/>
      <c r="EL157" s="8"/>
      <c r="EM157" s="8"/>
      <c r="EN157" s="8"/>
      <c r="EO157" s="8"/>
      <c r="EP157" s="8"/>
      <c r="EQ157" s="8"/>
      <c r="ER157" s="8"/>
      <c r="ES157" s="8"/>
      <c r="ET157" s="8"/>
      <c r="EU157" s="8"/>
      <c r="EV157" s="8"/>
      <c r="EW157" s="8"/>
      <c r="EX157" s="8"/>
      <c r="EY157" s="8"/>
      <c r="EZ157" s="8"/>
      <c r="FA157" s="8"/>
      <c r="FB157" s="8"/>
      <c r="FC157" s="8"/>
      <c r="FD157" s="8"/>
      <c r="FE157" s="8"/>
      <c r="FF157" s="8"/>
      <c r="FG157" s="8"/>
      <c r="FH157" s="8"/>
      <c r="FI157" s="8"/>
      <c r="FJ157" s="8"/>
      <c r="FK157" s="8"/>
      <c r="FL157" s="8"/>
      <c r="FM157" s="8"/>
      <c r="FN157" s="8"/>
      <c r="FO157" s="8"/>
      <c r="FP157" s="8"/>
      <c r="FQ157" s="8"/>
      <c r="FR157" s="8"/>
      <c r="FS157" s="8"/>
      <c r="FT157" s="8"/>
      <c r="FU157" s="8"/>
      <c r="FV157" s="8"/>
      <c r="FW157" s="8"/>
      <c r="FX157" s="8"/>
      <c r="FY157" s="8"/>
      <c r="FZ157" s="8"/>
      <c r="GA157" s="8"/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</row>
    <row r="158" spans="2:236" ht="12" hidden="1" customHeight="1" outlineLevel="1" x14ac:dyDescent="0.25">
      <c r="B158" s="1">
        <v>3</v>
      </c>
      <c r="F158" s="1" t="s">
        <v>23</v>
      </c>
      <c r="I158" s="1" t="s">
        <v>276</v>
      </c>
      <c r="K158" s="1" t="s">
        <v>86</v>
      </c>
      <c r="Q158" s="81">
        <v>0</v>
      </c>
      <c r="R158" s="1" t="s">
        <v>33</v>
      </c>
      <c r="S158" s="14">
        <f>$H$20*500</f>
        <v>885</v>
      </c>
      <c r="T158" s="1">
        <f t="shared" ref="T158:T171" si="189">Q158*S158</f>
        <v>0</v>
      </c>
      <c r="U158" s="14">
        <v>5</v>
      </c>
      <c r="V158" s="14"/>
      <c r="Y158" s="9">
        <f t="shared" ref="Y158:Y190" si="190">SUM(AE158:EB158)</f>
        <v>0</v>
      </c>
      <c r="Z158" s="82"/>
      <c r="AA158" s="82"/>
      <c r="AC158" s="9">
        <f>$Y158*(Voorblad!$K$44*(1+Voorblad!$K$44)^Voorblad!$K$41)/((1+Voorblad!$K$44)^Voorblad!$K$41-1)</f>
        <v>0</v>
      </c>
      <c r="AE158" s="9">
        <f>EF158*($Q158*$S158)/(1+Voorblad!$K$44)^(AE$56-Voorblad!$F$41)</f>
        <v>0</v>
      </c>
      <c r="AF158" s="9">
        <f>EG158*($Q158*$S158)/(1+Voorblad!$K$44)^(AF$56-Voorblad!$F$41)</f>
        <v>0</v>
      </c>
      <c r="AG158" s="9">
        <f>EH158*($Q158*$S158)/(1+Voorblad!$K$44)^(AG$56-Voorblad!$F$41)</f>
        <v>0</v>
      </c>
      <c r="AH158" s="9">
        <f>EI158*($Q158*$S158)/(1+Voorblad!$K$44)^(AH$56-Voorblad!$F$41)</f>
        <v>0</v>
      </c>
      <c r="AI158" s="9">
        <f>EJ158*($Q158*$S158)/(1+Voorblad!$K$44)^(AI$56-Voorblad!$F$41)</f>
        <v>0</v>
      </c>
      <c r="AJ158" s="9">
        <f>EK158*($Q158*$S158)/(1+Voorblad!$K$44)^(AJ$56-Voorblad!$F$41)</f>
        <v>0</v>
      </c>
      <c r="AK158" s="9">
        <f>EL158*($Q158*$S158)/(1+Voorblad!$K$44)^(AK$56-Voorblad!$F$41)</f>
        <v>0</v>
      </c>
      <c r="AL158" s="9">
        <f>EM158*($Q158*$S158)/(1+Voorblad!$K$44)^(AL$56-Voorblad!$F$41)</f>
        <v>0</v>
      </c>
      <c r="AM158" s="9">
        <f>EN158*($Q158*$S158)/(1+Voorblad!$K$44)^(AM$56-Voorblad!$F$41)</f>
        <v>0</v>
      </c>
      <c r="AN158" s="9">
        <f>EO158*($Q158*$S158)/(1+Voorblad!$K$44)^(AN$56-Voorblad!$F$41)</f>
        <v>0</v>
      </c>
      <c r="AO158" s="9">
        <f>EP158*($Q158*$S158)/(1+Voorblad!$K$44)^(AO$56-Voorblad!$F$41)</f>
        <v>0</v>
      </c>
      <c r="AP158" s="9">
        <f>EQ158*($Q158*$S158)/(1+Voorblad!$K$44)^(AP$56-Voorblad!$F$41)</f>
        <v>0</v>
      </c>
      <c r="AQ158" s="9">
        <f>ER158*($Q158*$S158)/(1+Voorblad!$K$44)^(AQ$56-Voorblad!$F$41)</f>
        <v>0</v>
      </c>
      <c r="AR158" s="9">
        <f>ES158*($Q158*$S158)/(1+Voorblad!$K$44)^(AR$56-Voorblad!$F$41)</f>
        <v>0</v>
      </c>
      <c r="AS158" s="9">
        <f>ET158*($Q158*$S158)/(1+Voorblad!$K$44)^(AS$56-Voorblad!$F$41)</f>
        <v>0</v>
      </c>
      <c r="AT158" s="9">
        <f>EU158*($Q158*$S158)/(1+Voorblad!$K$44)^(AT$56-Voorblad!$F$41)</f>
        <v>0</v>
      </c>
      <c r="AU158" s="9">
        <f>EV158*($Q158*$S158)/(1+Voorblad!$K$44)^(AU$56-Voorblad!$F$41)</f>
        <v>0</v>
      </c>
      <c r="AV158" s="9">
        <f>EW158*($Q158*$S158)/(1+Voorblad!$K$44)^(AV$56-Voorblad!$F$41)</f>
        <v>0</v>
      </c>
      <c r="AW158" s="9">
        <f>EX158*($Q158*$S158)/(1+Voorblad!$K$44)^(AW$56-Voorblad!$F$41)</f>
        <v>0</v>
      </c>
      <c r="AX158" s="9">
        <f>EY158*($Q158*$S158)/(1+Voorblad!$K$44)^(AX$56-Voorblad!$F$41)</f>
        <v>0</v>
      </c>
      <c r="AY158" s="9">
        <f>EZ158*($Q158*$S158)/(1+Voorblad!$K$44)^(AY$56-Voorblad!$F$41)</f>
        <v>0</v>
      </c>
      <c r="AZ158" s="9">
        <f>FA158*($Q158*$S158)/(1+Voorblad!$K$44)^(AZ$56-Voorblad!$F$41)</f>
        <v>0</v>
      </c>
      <c r="BA158" s="9">
        <f>FB158*($Q158*$S158)/(1+Voorblad!$K$44)^(BA$56-Voorblad!$F$41)</f>
        <v>0</v>
      </c>
      <c r="BB158" s="9">
        <f>FC158*($Q158*$S158)/(1+Voorblad!$K$44)^(BB$56-Voorblad!$F$41)</f>
        <v>0</v>
      </c>
      <c r="BC158" s="9">
        <f>FD158*($Q158*$S158)/(1+Voorblad!$K$44)^(BC$56-Voorblad!$F$41)</f>
        <v>0</v>
      </c>
      <c r="BD158" s="9">
        <f>FE158*($Q158*$S158)/(1+Voorblad!$K$44)^(BD$56-Voorblad!$F$41)</f>
        <v>0</v>
      </c>
      <c r="BE158" s="9">
        <f>FF158*($Q158*$S158)/(1+Voorblad!$K$44)^(BE$56-Voorblad!$F$41)</f>
        <v>0</v>
      </c>
      <c r="BF158" s="9">
        <f>FG158*($Q158*$S158)/(1+Voorblad!$K$44)^(BF$56-Voorblad!$F$41)</f>
        <v>0</v>
      </c>
      <c r="BG158" s="9">
        <f>FH158*($Q158*$S158)/(1+Voorblad!$K$44)^(BG$56-Voorblad!$F$41)</f>
        <v>0</v>
      </c>
      <c r="BH158" s="9">
        <f>FI158*($Q158*$S158)/(1+Voorblad!$K$44)^(BH$56-Voorblad!$F$41)</f>
        <v>0</v>
      </c>
      <c r="BI158" s="9">
        <f>FJ158*($Q158*$S158)/(1+Voorblad!$K$44)^(BI$56-Voorblad!$F$41)</f>
        <v>0</v>
      </c>
      <c r="BJ158" s="9">
        <f>FK158*($Q158*$S158)/(1+Voorblad!$K$44)^(BJ$56-Voorblad!$F$41)</f>
        <v>0</v>
      </c>
      <c r="BK158" s="9">
        <f>FL158*($Q158*$S158)/(1+Voorblad!$K$44)^(BK$56-Voorblad!$F$41)</f>
        <v>0</v>
      </c>
      <c r="BL158" s="9">
        <f>FM158*($Q158*$S158)/(1+Voorblad!$K$44)^(BL$56-Voorblad!$F$41)</f>
        <v>0</v>
      </c>
      <c r="BM158" s="9">
        <f>FN158*($Q158*$S158)/(1+Voorblad!$K$44)^(BM$56-Voorblad!$F$41)</f>
        <v>0</v>
      </c>
      <c r="BN158" s="9">
        <f>FO158*($Q158*$S158)/(1+Voorblad!$K$44)^(BN$56-Voorblad!$F$41)</f>
        <v>0</v>
      </c>
      <c r="BO158" s="9">
        <f>FP158*($Q158*$S158)/(1+Voorblad!$K$44)^(BO$56-Voorblad!$F$41)</f>
        <v>0</v>
      </c>
      <c r="BP158" s="9">
        <f>FQ158*($Q158*$S158)/(1+Voorblad!$K$44)^(BP$56-Voorblad!$F$41)</f>
        <v>0</v>
      </c>
      <c r="BQ158" s="9">
        <f>FR158*($Q158*$S158)/(1+Voorblad!$K$44)^(BQ$56-Voorblad!$F$41)</f>
        <v>0</v>
      </c>
      <c r="BR158" s="9">
        <f>FS158*($Q158*$S158)/(1+Voorblad!$K$44)^(BR$56-Voorblad!$F$41)</f>
        <v>0</v>
      </c>
      <c r="BS158" s="9">
        <f>FT158*($Q158*$S158)/(1+Voorblad!$K$44)^(BS$56-Voorblad!$F$41)</f>
        <v>0</v>
      </c>
      <c r="BT158" s="9">
        <f>FU158*($Q158*$S158)/(1+Voorblad!$K$44)^(BT$56-Voorblad!$F$41)</f>
        <v>0</v>
      </c>
      <c r="BU158" s="9">
        <f>FV158*($Q158*$S158)/(1+Voorblad!$K$44)^(BU$56-Voorblad!$F$41)</f>
        <v>0</v>
      </c>
      <c r="BV158" s="9">
        <f>FW158*($Q158*$S158)/(1+Voorblad!$K$44)^(BV$56-Voorblad!$F$41)</f>
        <v>0</v>
      </c>
      <c r="BW158" s="9">
        <f>FX158*($Q158*$S158)/(1+Voorblad!$K$44)^(BW$56-Voorblad!$F$41)</f>
        <v>0</v>
      </c>
      <c r="BX158" s="9">
        <f>FY158*($Q158*$S158)/(1+Voorblad!$K$44)^(BX$56-Voorblad!$F$41)</f>
        <v>0</v>
      </c>
      <c r="BY158" s="9">
        <f>FZ158*($Q158*$S158)/(1+Voorblad!$K$44)^(BY$56-Voorblad!$F$41)</f>
        <v>0</v>
      </c>
      <c r="BZ158" s="9">
        <f>GA158*($Q158*$S158)/(1+Voorblad!$K$44)^(BZ$56-Voorblad!$F$41)</f>
        <v>0</v>
      </c>
      <c r="CA158" s="9">
        <f>GB158*($Q158*$S158)/(1+Voorblad!$K$44)^(CA$56-Voorblad!$F$41)</f>
        <v>0</v>
      </c>
      <c r="CB158" s="9">
        <f>GC158*($Q158*$S158)/(1+Voorblad!$K$44)^(CB$56-Voorblad!$F$41)</f>
        <v>0</v>
      </c>
      <c r="CC158" s="9">
        <f>GD158*($Q158*$S158)/(1+Voorblad!$K$44)^(CC$56-Voorblad!$F$41)</f>
        <v>0</v>
      </c>
      <c r="CD158" s="9">
        <f>GE158*($Q158*$S158)/(1+Voorblad!$K$44)^(CD$56-Voorblad!$F$41)</f>
        <v>0</v>
      </c>
      <c r="CE158" s="9">
        <f>GF158*($Q158*$S158)/(1+Voorblad!$K$44)^(CE$56-Voorblad!$F$41)</f>
        <v>0</v>
      </c>
      <c r="CF158" s="9">
        <f>GG158*($Q158*$S158)/(1+Voorblad!$K$44)^(CF$56-Voorblad!$F$41)</f>
        <v>0</v>
      </c>
      <c r="CG158" s="9">
        <f>GH158*($Q158*$S158)/(1+Voorblad!$K$44)^(CG$56-Voorblad!$F$41)</f>
        <v>0</v>
      </c>
      <c r="CH158" s="9">
        <f>GI158*($Q158*$S158)/(1+Voorblad!$K$44)^(CH$56-Voorblad!$F$41)</f>
        <v>0</v>
      </c>
      <c r="CI158" s="9">
        <f>GJ158*($Q158*$S158)/(1+Voorblad!$K$44)^(CI$56-Voorblad!$F$41)</f>
        <v>0</v>
      </c>
      <c r="CJ158" s="9">
        <f>GK158*($Q158*$S158)/(1+Voorblad!$K$44)^(CJ$56-Voorblad!$F$41)</f>
        <v>0</v>
      </c>
      <c r="CK158" s="9">
        <f>GL158*($Q158*$S158)/(1+Voorblad!$K$44)^(CK$56-Voorblad!$F$41)</f>
        <v>0</v>
      </c>
      <c r="CL158" s="9">
        <f>GM158*($Q158*$S158)/(1+Voorblad!$K$44)^(CL$56-Voorblad!$F$41)</f>
        <v>0</v>
      </c>
      <c r="CM158" s="9">
        <f>GN158*($Q158*$S158)/(1+Voorblad!$K$44)^(CM$56-Voorblad!$F$41)</f>
        <v>0</v>
      </c>
      <c r="CN158" s="9">
        <f>GO158*($Q158*$S158)/(1+Voorblad!$K$44)^(CN$56-Voorblad!$F$41)</f>
        <v>0</v>
      </c>
      <c r="CO158" s="9">
        <f>GP158*($Q158*$S158)/(1+Voorblad!$K$44)^(CO$56-Voorblad!$F$41)</f>
        <v>0</v>
      </c>
      <c r="CP158" s="9">
        <f>GQ158*($Q158*$S158)/(1+Voorblad!$K$44)^(CP$56-Voorblad!$F$41)</f>
        <v>0</v>
      </c>
      <c r="CQ158" s="9">
        <f>GR158*($Q158*$S158)/(1+Voorblad!$K$44)^(CQ$56-Voorblad!$F$41)</f>
        <v>0</v>
      </c>
      <c r="CR158" s="9">
        <f>GS158*($Q158*$S158)/(1+Voorblad!$K$44)^(CR$56-Voorblad!$F$41)</f>
        <v>0</v>
      </c>
      <c r="CS158" s="9">
        <f>GT158*($Q158*$S158)/(1+Voorblad!$K$44)^(CS$56-Voorblad!$F$41)</f>
        <v>0</v>
      </c>
      <c r="CT158" s="9">
        <f>GU158*($Q158*$S158)/(1+Voorblad!$K$44)^(CT$56-Voorblad!$F$41)</f>
        <v>0</v>
      </c>
      <c r="CU158" s="9">
        <f>GV158*($Q158*$S158)/(1+Voorblad!$K$44)^(CU$56-Voorblad!$F$41)</f>
        <v>0</v>
      </c>
      <c r="CV158" s="9">
        <f>GW158*($Q158*$S158)/(1+Voorblad!$K$44)^(CV$56-Voorblad!$F$41)</f>
        <v>0</v>
      </c>
      <c r="CW158" s="9">
        <f>GX158*($Q158*$S158)/(1+Voorblad!$K$44)^(CW$56-Voorblad!$F$41)</f>
        <v>0</v>
      </c>
      <c r="CX158" s="9">
        <f>GY158*($Q158*$S158)/(1+Voorblad!$K$44)^(CX$56-Voorblad!$F$41)</f>
        <v>0</v>
      </c>
      <c r="CY158" s="9">
        <f>GZ158*($Q158*$S158)/(1+Voorblad!$K$44)^(CY$56-Voorblad!$F$41)</f>
        <v>0</v>
      </c>
      <c r="CZ158" s="9">
        <f>HA158*($Q158*$S158)/(1+Voorblad!$K$44)^(CZ$56-Voorblad!$F$41)</f>
        <v>0</v>
      </c>
      <c r="DA158" s="9">
        <f>HB158*($Q158*$S158)/(1+Voorblad!$K$44)^(DA$56-Voorblad!$F$41)</f>
        <v>0</v>
      </c>
      <c r="DB158" s="9">
        <f>HC158*($Q158*$S158)/(1+Voorblad!$K$44)^(DB$56-Voorblad!$F$41)</f>
        <v>0</v>
      </c>
      <c r="DC158" s="9">
        <f>HD158*($Q158*$S158)/(1+Voorblad!$K$44)^(DC$56-Voorblad!$F$41)</f>
        <v>0</v>
      </c>
      <c r="DD158" s="9">
        <f>HE158*($Q158*$S158)/(1+Voorblad!$K$44)^(DD$56-Voorblad!$F$41)</f>
        <v>0</v>
      </c>
      <c r="DE158" s="9">
        <f>HF158*($Q158*$S158)/(1+Voorblad!$K$44)^(DE$56-Voorblad!$F$41)</f>
        <v>0</v>
      </c>
      <c r="DF158" s="9">
        <f>HG158*($Q158*$S158)/(1+Voorblad!$K$44)^(DF$56-Voorblad!$F$41)</f>
        <v>0</v>
      </c>
      <c r="DG158" s="9">
        <f>HH158*($Q158*$S158)/(1+Voorblad!$K$44)^(DG$56-Voorblad!$F$41)</f>
        <v>0</v>
      </c>
      <c r="DH158" s="9">
        <f>HI158*($Q158*$S158)/(1+Voorblad!$K$44)^(DH$56-Voorblad!$F$41)</f>
        <v>0</v>
      </c>
      <c r="DI158" s="9">
        <f>HJ158*($Q158*$S158)/(1+Voorblad!$K$44)^(DI$56-Voorblad!$F$41)</f>
        <v>0</v>
      </c>
      <c r="DJ158" s="9">
        <f>HK158*($Q158*$S158)/(1+Voorblad!$K$44)^(DJ$56-Voorblad!$F$41)</f>
        <v>0</v>
      </c>
      <c r="DK158" s="9">
        <f>HL158*($Q158*$S158)/(1+Voorblad!$K$44)^(DK$56-Voorblad!$F$41)</f>
        <v>0</v>
      </c>
      <c r="DL158" s="9">
        <f>HM158*($Q158*$S158)/(1+Voorblad!$K$44)^(DL$56-Voorblad!$F$41)</f>
        <v>0</v>
      </c>
      <c r="DM158" s="9">
        <f>HN158*($Q158*$S158)/(1+Voorblad!$K$44)^(DM$56-Voorblad!$F$41)</f>
        <v>0</v>
      </c>
      <c r="DN158" s="9">
        <f>HO158*($Q158*$S158)/(1+Voorblad!$K$44)^(DN$56-Voorblad!$F$41)</f>
        <v>0</v>
      </c>
      <c r="DO158" s="9">
        <f>HP158*($Q158*$S158)/(1+Voorblad!$K$44)^(DO$56-Voorblad!$F$41)</f>
        <v>0</v>
      </c>
      <c r="DP158" s="9">
        <f>HQ158*($Q158*$S158)/(1+Voorblad!$K$44)^(DP$56-Voorblad!$F$41)</f>
        <v>0</v>
      </c>
      <c r="DQ158" s="9">
        <f>HR158*($Q158*$S158)/(1+Voorblad!$K$44)^(DQ$56-Voorblad!$F$41)</f>
        <v>0</v>
      </c>
      <c r="DR158" s="9">
        <f>HS158*($Q158*$S158)/(1+Voorblad!$K$44)^(DR$56-Voorblad!$F$41)</f>
        <v>0</v>
      </c>
      <c r="DS158" s="9">
        <f>HT158*($Q158*$S158)/(1+Voorblad!$K$44)^(DS$56-Voorblad!$F$41)</f>
        <v>0</v>
      </c>
      <c r="DT158" s="9">
        <f>HU158*($Q158*$S158)/(1+Voorblad!$K$44)^(DT$56-Voorblad!$F$41)</f>
        <v>0</v>
      </c>
      <c r="DU158" s="9">
        <f>HV158*($Q158*$S158)/(1+Voorblad!$K$44)^(DU$56-Voorblad!$F$41)</f>
        <v>0</v>
      </c>
      <c r="DV158" s="9">
        <f>HW158*($Q158*$S158)/(1+Voorblad!$K$44)^(DV$56-Voorblad!$F$41)</f>
        <v>0</v>
      </c>
      <c r="DW158" s="9">
        <f>HX158*($Q158*$S158)/(1+Voorblad!$K$44)^(DW$56-Voorblad!$F$41)</f>
        <v>0</v>
      </c>
      <c r="DX158" s="9">
        <f>HY158*($Q158*$S158)/(1+Voorblad!$K$44)^(DX$56-Voorblad!$F$41)</f>
        <v>0</v>
      </c>
      <c r="DY158" s="9">
        <f>HZ158*($Q158*$S158)/(1+Voorblad!$K$44)^(DY$56-Voorblad!$F$41)</f>
        <v>0</v>
      </c>
      <c r="DZ158" s="9">
        <f>IA158*($Q158*$S158)/(1+Voorblad!$K$44)^(DZ$56-Voorblad!$F$41)</f>
        <v>0</v>
      </c>
      <c r="EA158" s="9">
        <f>IB158*($Q158*$S158)/(1+Voorblad!$K$44)^(EA$56-Voorblad!$F$41)</f>
        <v>0</v>
      </c>
      <c r="EB158" s="9">
        <f>IC158*($Q158*$S158)/(1+Voorblad!$K$44)^(EB$56-Voorblad!$F$41)</f>
        <v>0</v>
      </c>
      <c r="EE158" s="8">
        <v>0</v>
      </c>
      <c r="EF158" s="8">
        <f>IF(EF$56-Voorblad!$F$41&gt;Voorblad!$K$41,0,IF($U158=0,0,IF($U158&lt;1,1/$U158,IF((EF$56-Voorblad!$F$41)/$U158-SUM($EE158:EE158)=1,1,0))))</f>
        <v>0</v>
      </c>
      <c r="EG158" s="8">
        <f>IF(EG$56-Voorblad!$F$41&gt;Voorblad!$K$41,0,IF($U158=0,0,IF($U158&lt;1,1/$U158,IF((EG$56-Voorblad!$F$41)/$U158-SUM($EE158:EF158)=1,1,0))))</f>
        <v>0</v>
      </c>
      <c r="EH158" s="8">
        <f>IF(EH$56-Voorblad!$F$41&gt;Voorblad!$K$41,0,IF($U158=0,0,IF($U158&lt;1,1/$U158,IF((EH$56-Voorblad!$F$41)/$U158-SUM($EE158:EG158)=1,1,0))))</f>
        <v>0</v>
      </c>
      <c r="EI158" s="8">
        <f>IF(EI$56-Voorblad!$F$41&gt;Voorblad!$K$41,0,IF($U158=0,0,IF($U158&lt;1,1/$U158,IF((EI$56-Voorblad!$F$41)/$U158-SUM($EE158:EH158)=1,1,0))))</f>
        <v>0</v>
      </c>
      <c r="EJ158" s="8">
        <f>IF(EJ$56-Voorblad!$F$41&gt;Voorblad!$K$41,0,IF($U158=0,0,IF($U158&lt;1,1/$U158,IF((EJ$56-Voorblad!$F$41)/$U158-SUM($EE158:EI158)=1,1,0))))</f>
        <v>0</v>
      </c>
      <c r="EK158" s="8">
        <f>IF(EK$56-Voorblad!$F$41&gt;Voorblad!$K$41,0,IF($U158=0,0,IF($U158&lt;1,1/$U158,IF((EK$56-Voorblad!$F$41)/$U158-SUM($EE158:EJ158)=1,1,0))))</f>
        <v>1</v>
      </c>
      <c r="EL158" s="8">
        <f>IF(EL$56-Voorblad!$F$41&gt;Voorblad!$K$41,0,IF($U158=0,0,IF($U158&lt;1,1/$U158,IF((EL$56-Voorblad!$F$41)/$U158-SUM($EE158:EK158)=1,1,0))))</f>
        <v>0</v>
      </c>
      <c r="EM158" s="8">
        <f>IF(EM$56-Voorblad!$F$41&gt;Voorblad!$K$41,0,IF($U158=0,0,IF($U158&lt;1,1/$U158,IF((EM$56-Voorblad!$F$41)/$U158-SUM($EE158:EL158)=1,1,0))))</f>
        <v>0</v>
      </c>
      <c r="EN158" s="8">
        <f>IF(EN$56-Voorblad!$F$41&gt;Voorblad!$K$41,0,IF($U158=0,0,IF($U158&lt;1,1/$U158,IF((EN$56-Voorblad!$F$41)/$U158-SUM($EE158:EM158)=1,1,0))))</f>
        <v>0</v>
      </c>
      <c r="EO158" s="8">
        <f>IF(EO$56-Voorblad!$F$41&gt;Voorblad!$K$41,0,IF($U158=0,0,IF($U158&lt;1,1/$U158,IF((EO$56-Voorblad!$F$41)/$U158-SUM($EE158:EN158)=1,1,0))))</f>
        <v>0</v>
      </c>
      <c r="EP158" s="8">
        <f>IF(EP$56-Voorblad!$F$41&gt;Voorblad!$K$41,0,IF($U158=0,0,IF($U158&lt;1,1/$U158,IF((EP$56-Voorblad!$F$41)/$U158-SUM($EE158:EO158)=1,1,0))))</f>
        <v>1</v>
      </c>
      <c r="EQ158" s="8">
        <f>IF(EQ$56-Voorblad!$F$41&gt;Voorblad!$K$41,0,IF($U158=0,0,IF($U158&lt;1,1/$U158,IF((EQ$56-Voorblad!$F$41)/$U158-SUM($EE158:EP158)=1,1,0))))</f>
        <v>0</v>
      </c>
      <c r="ER158" s="8">
        <f>IF(ER$56-Voorblad!$F$41&gt;Voorblad!$K$41,0,IF($U158=0,0,IF($U158&lt;1,1/$U158,IF((ER$56-Voorblad!$F$41)/$U158-SUM($EE158:EQ158)=1,1,0))))</f>
        <v>0</v>
      </c>
      <c r="ES158" s="8">
        <f>IF(ES$56-Voorblad!$F$41&gt;Voorblad!$K$41,0,IF($U158=0,0,IF($U158&lt;1,1/$U158,IF((ES$56-Voorblad!$F$41)/$U158-SUM($EE158:ER158)=1,1,0))))</f>
        <v>0</v>
      </c>
      <c r="ET158" s="8">
        <f>IF(ET$56-Voorblad!$F$41&gt;Voorblad!$K$41,0,IF($U158=0,0,IF($U158&lt;1,1/$U158,IF((ET$56-Voorblad!$F$41)/$U158-SUM($EE158:ES158)=1,1,0))))</f>
        <v>0</v>
      </c>
      <c r="EU158" s="8">
        <f>IF(EU$56-Voorblad!$F$41&gt;Voorblad!$K$41,0,IF($U158=0,0,IF($U158&lt;1,1/$U158,IF((EU$56-Voorblad!$F$41)/$U158-SUM($EE158:ET158)=1,1,0))))</f>
        <v>1</v>
      </c>
      <c r="EV158" s="8">
        <f>IF(EV$56-Voorblad!$F$41&gt;Voorblad!$K$41,0,IF($U158=0,0,IF($U158&lt;1,1/$U158,IF((EV$56-Voorblad!$F$41)/$U158-SUM($EE158:EU158)=1,1,0))))</f>
        <v>0</v>
      </c>
      <c r="EW158" s="8">
        <f>IF(EW$56-Voorblad!$F$41&gt;Voorblad!$K$41,0,IF($U158=0,0,IF($U158&lt;1,1/$U158,IF((EW$56-Voorblad!$F$41)/$U158-SUM($EE158:EV158)=1,1,0))))</f>
        <v>0</v>
      </c>
      <c r="EX158" s="8">
        <f>IF(EX$56-Voorblad!$F$41&gt;Voorblad!$K$41,0,IF($U158=0,0,IF($U158&lt;1,1/$U158,IF((EX$56-Voorblad!$F$41)/$U158-SUM($EE158:EW158)=1,1,0))))</f>
        <v>0</v>
      </c>
      <c r="EY158" s="8">
        <f>IF(EY$56-Voorblad!$F$41&gt;Voorblad!$K$41,0,IF($U158=0,0,IF($U158&lt;1,1/$U158,IF((EY$56-Voorblad!$F$41)/$U158-SUM($EE158:EX158)=1,1,0))))</f>
        <v>0</v>
      </c>
      <c r="EZ158" s="8">
        <f>IF(EZ$56-Voorblad!$F$41&gt;Voorblad!$K$41,0,IF($U158=0,0,IF($U158&lt;1,1/$U158,IF((EZ$56-Voorblad!$F$41)/$U158-SUM($EE158:EY158)=1,1,0))))</f>
        <v>1</v>
      </c>
      <c r="FA158" s="8">
        <f>IF(FA$56-Voorblad!$F$41&gt;Voorblad!$K$41,0,IF($U158=0,0,IF($U158&lt;1,1/$U158,IF((FA$56-Voorblad!$F$41)/$U158-SUM($EE158:EZ158)=1,1,0))))</f>
        <v>0</v>
      </c>
      <c r="FB158" s="8">
        <f>IF(FB$56-Voorblad!$F$41&gt;Voorblad!$K$41,0,IF($U158=0,0,IF($U158&lt;1,1/$U158,IF((FB$56-Voorblad!$F$41)/$U158-SUM($EE158:FA158)=1,1,0))))</f>
        <v>0</v>
      </c>
      <c r="FC158" s="8">
        <f>IF(FC$56-Voorblad!$F$41&gt;Voorblad!$K$41,0,IF($U158=0,0,IF($U158&lt;1,1/$U158,IF((FC$56-Voorblad!$F$41)/$U158-SUM($EE158:FB158)=1,1,0))))</f>
        <v>0</v>
      </c>
      <c r="FD158" s="8">
        <f>IF(FD$56-Voorblad!$F$41&gt;Voorblad!$K$41,0,IF($U158=0,0,IF($U158&lt;1,1/$U158,IF((FD$56-Voorblad!$F$41)/$U158-SUM($EE158:FC158)=1,1,0))))</f>
        <v>0</v>
      </c>
      <c r="FE158" s="8">
        <f>IF(FE$56-Voorblad!$F$41&gt;Voorblad!$K$41,0,IF($U158=0,0,IF($U158&lt;1,1/$U158,IF((FE$56-Voorblad!$F$41)/$U158-SUM($EE158:FD158)=1,1,0))))</f>
        <v>1</v>
      </c>
      <c r="FF158" s="8">
        <f>IF(FF$56-Voorblad!$F$41&gt;Voorblad!$K$41,0,IF($U158=0,0,IF($U158&lt;1,1/$U158,IF((FF$56-Voorblad!$F$41)/$U158-SUM($EE158:FE158)=1,1,0))))</f>
        <v>0</v>
      </c>
      <c r="FG158" s="8">
        <f>IF(FG$56-Voorblad!$F$41&gt;Voorblad!$K$41,0,IF($U158=0,0,IF($U158&lt;1,1/$U158,IF((FG$56-Voorblad!$F$41)/$U158-SUM($EE158:FF158)=1,1,0))))</f>
        <v>0</v>
      </c>
      <c r="FH158" s="8">
        <f>IF(FH$56-Voorblad!$F$41&gt;Voorblad!$K$41,0,IF($U158=0,0,IF($U158&lt;1,1/$U158,IF((FH$56-Voorblad!$F$41)/$U158-SUM($EE158:FG158)=1,1,0))))</f>
        <v>0</v>
      </c>
      <c r="FI158" s="8">
        <f>IF(FI$56-Voorblad!$F$41&gt;Voorblad!$K$41,0,IF($U158=0,0,IF($U158&lt;1,1/$U158,IF((FI$56-Voorblad!$F$41)/$U158-SUM($EE158:FH158)=1,1,0))))</f>
        <v>0</v>
      </c>
      <c r="FJ158" s="8">
        <f>IF(FJ$56-Voorblad!$F$41&gt;Voorblad!$K$41,0,IF($U158=0,0,IF($U158&lt;1,1/$U158,IF((FJ$56-Voorblad!$F$41)/$U158-SUM($EE158:FI158)=1,1,0))))</f>
        <v>1</v>
      </c>
      <c r="FK158" s="8">
        <f>IF(FK$56-Voorblad!$F$41&gt;Voorblad!$K$41,0,IF($U158=0,0,IF($U158&lt;1,1/$U158,IF((FK$56-Voorblad!$F$41)/$U158-SUM($EE158:FJ158)=1,1,0))))</f>
        <v>0</v>
      </c>
      <c r="FL158" s="8">
        <f>IF(FL$56-Voorblad!$F$41&gt;Voorblad!$K$41,0,IF($U158=0,0,IF($U158&lt;1,1/$U158,IF((FL$56-Voorblad!$F$41)/$U158-SUM($EE158:FK158)=1,1,0))))</f>
        <v>0</v>
      </c>
      <c r="FM158" s="8">
        <f>IF(FM$56-Voorblad!$F$41&gt;Voorblad!$K$41,0,IF($U158=0,0,IF($U158&lt;1,1/$U158,IF((FM$56-Voorblad!$F$41)/$U158-SUM($EE158:FL158)=1,1,0))))</f>
        <v>0</v>
      </c>
      <c r="FN158" s="8">
        <f>IF(FN$56-Voorblad!$F$41&gt;Voorblad!$K$41,0,IF($U158=0,0,IF($U158&lt;1,1/$U158,IF((FN$56-Voorblad!$F$41)/$U158-SUM($EE158:FM158)=1,1,0))))</f>
        <v>0</v>
      </c>
      <c r="FO158" s="8">
        <f>IF(FO$56-Voorblad!$F$41&gt;Voorblad!$K$41,0,IF($U158=0,0,IF($U158&lt;1,1/$U158,IF((FO$56-Voorblad!$F$41)/$U158-SUM($EE158:FN158)=1,1,0))))</f>
        <v>1</v>
      </c>
      <c r="FP158" s="8">
        <f>IF(FP$56-Voorblad!$F$41&gt;Voorblad!$K$41,0,IF($U158=0,0,IF($U158&lt;1,1/$U158,IF((FP$56-Voorblad!$F$41)/$U158-SUM($EE158:FO158)=1,1,0))))</f>
        <v>0</v>
      </c>
      <c r="FQ158" s="8">
        <f>IF(FQ$56-Voorblad!$F$41&gt;Voorblad!$K$41,0,IF($U158=0,0,IF($U158&lt;1,1/$U158,IF((FQ$56-Voorblad!$F$41)/$U158-SUM($EE158:FP158)=1,1,0))))</f>
        <v>0</v>
      </c>
      <c r="FR158" s="8">
        <f>IF(FR$56-Voorblad!$F$41&gt;Voorblad!$K$41,0,IF($U158=0,0,IF($U158&lt;1,1/$U158,IF((FR$56-Voorblad!$F$41)/$U158-SUM($EE158:FQ158)=1,1,0))))</f>
        <v>0</v>
      </c>
      <c r="FS158" s="8">
        <f>IF(FS$56-Voorblad!$F$41&gt;Voorblad!$K$41,0,IF($U158=0,0,IF($U158&lt;1,1/$U158,IF((FS$56-Voorblad!$F$41)/$U158-SUM($EE158:FR158)=1,1,0))))</f>
        <v>0</v>
      </c>
      <c r="FT158" s="8">
        <f>IF(FT$56-Voorblad!$F$41&gt;Voorblad!$K$41,0,IF($U158=0,0,IF($U158&lt;1,1/$U158,IF((FT$56-Voorblad!$F$41)/$U158-SUM($EE158:FS158)=1,1,0))))</f>
        <v>1</v>
      </c>
      <c r="FU158" s="8">
        <f>IF(FU$56-Voorblad!$F$41&gt;Voorblad!$K$41,0,IF($U158=0,0,IF($U158&lt;1,1/$U158,IF((FU$56-Voorblad!$F$41)/$U158-SUM($EE158:FT158)=1,1,0))))</f>
        <v>0</v>
      </c>
      <c r="FV158" s="8">
        <f>IF(FV$56-Voorblad!$F$41&gt;Voorblad!$K$41,0,IF($U158=0,0,IF($U158&lt;1,1/$U158,IF((FV$56-Voorblad!$F$41)/$U158-SUM($EE158:FU158)=1,1,0))))</f>
        <v>0</v>
      </c>
      <c r="FW158" s="8">
        <f>IF(FW$56-Voorblad!$F$41&gt;Voorblad!$K$41,0,IF($U158=0,0,IF($U158&lt;1,1/$U158,IF((FW$56-Voorblad!$F$41)/$U158-SUM($EE158:FV158)=1,1,0))))</f>
        <v>0</v>
      </c>
      <c r="FX158" s="8">
        <f>IF(FX$56-Voorblad!$F$41&gt;Voorblad!$K$41,0,IF($U158=0,0,IF($U158&lt;1,1/$U158,IF((FX$56-Voorblad!$F$41)/$U158-SUM($EE158:FW158)=1,1,0))))</f>
        <v>0</v>
      </c>
      <c r="FY158" s="8">
        <f>IF(FY$56-Voorblad!$F$41&gt;Voorblad!$K$41,0,IF($U158=0,0,IF($U158&lt;1,1/$U158,IF((FY$56-Voorblad!$F$41)/$U158-SUM($EE158:FX158)=1,1,0))))</f>
        <v>1</v>
      </c>
      <c r="FZ158" s="8">
        <f>IF(FZ$56-Voorblad!$F$41&gt;Voorblad!$K$41,0,IF($U158=0,0,IF($U158&lt;1,1/$U158,IF((FZ$56-Voorblad!$F$41)/$U158-SUM($EE158:FY158)=1,1,0))))</f>
        <v>0</v>
      </c>
      <c r="GA158" s="8">
        <f>IF(GA$56-Voorblad!$F$41&gt;Voorblad!$K$41,0,IF($U158=0,0,IF($U158&lt;1,1/$U158,IF((GA$56-Voorblad!$F$41)/$U158-SUM($EE158:FZ158)=1,1,0))))</f>
        <v>0</v>
      </c>
      <c r="GB158" s="8">
        <f>IF(GB$56-Voorblad!$F$41&gt;Voorblad!$K$41,0,IF($U158=0,0,IF($U158&lt;1,1/$U158,IF((GB$56-Voorblad!$F$41)/$U158-SUM($EE158:GA158)=1,1,0))))</f>
        <v>0</v>
      </c>
      <c r="GC158" s="8">
        <f>IF(GC$56-Voorblad!$F$41&gt;Voorblad!$K$41,0,IF($U158=0,0,IF($U158&lt;1,1/$U158,IF((GC$56-Voorblad!$F$41)/$U158-SUM($EE158:GB158)=1,1,0))))</f>
        <v>0</v>
      </c>
      <c r="GD158" s="8">
        <f>IF(GD$56-Voorblad!$F$41&gt;Voorblad!$K$41,0,IF($U158=0,0,IF($U158&lt;1,1/$U158,IF((GD$56-Voorblad!$F$41)/$U158-SUM($EE158:GC158)=1,1,0))))</f>
        <v>1</v>
      </c>
      <c r="GE158" s="8">
        <f>IF(GE$56-Voorblad!$F$41&gt;Voorblad!$K$41,0,IF($U158=0,0,IF($U158&lt;1,1/$U158,IF((GE$56-Voorblad!$F$41)/$U158-SUM($EE158:GD158)=1,1,0))))</f>
        <v>0</v>
      </c>
      <c r="GF158" s="8">
        <f>IF(GF$56-Voorblad!$F$41&gt;Voorblad!$K$41,0,IF($U158=0,0,IF($U158&lt;1,1/$U158,IF((GF$56-Voorblad!$F$41)/$U158-SUM($EE158:GE158)=1,1,0))))</f>
        <v>0</v>
      </c>
      <c r="GG158" s="8">
        <f>IF(GG$56-Voorblad!$F$41&gt;Voorblad!$K$41,0,IF($U158=0,0,IF($U158&lt;1,1/$U158,IF((GG$56-Voorblad!$F$41)/$U158-SUM($EE158:GF158)=1,1,0))))</f>
        <v>0</v>
      </c>
      <c r="GH158" s="8">
        <f>IF(GH$56-Voorblad!$F$41&gt;Voorblad!$K$41,0,IF($U158=0,0,IF($U158&lt;1,1/$U158,IF((GH$56-Voorblad!$F$41)/$U158-SUM($EE158:GG158)=1,1,0))))</f>
        <v>0</v>
      </c>
      <c r="GI158" s="8">
        <f>IF(GI$56-Voorblad!$F$41&gt;Voorblad!$K$41,0,IF($U158=0,0,IF($U158&lt;1,1/$U158,IF((GI$56-Voorblad!$F$41)/$U158-SUM($EE158:GH158)=1,1,0))))</f>
        <v>1</v>
      </c>
      <c r="GJ158" s="8">
        <f>IF(GJ$56-Voorblad!$F$41&gt;Voorblad!$K$41,0,IF($U158=0,0,IF($U158&lt;1,1/$U158,IF((GJ$56-Voorblad!$F$41)/$U158-SUM($EE158:GI158)=1,1,0))))</f>
        <v>0</v>
      </c>
      <c r="GK158" s="8">
        <f>IF(GK$56-Voorblad!$F$41&gt;Voorblad!$K$41,0,IF($U158=0,0,IF($U158&lt;1,1/$U158,IF((GK$56-Voorblad!$F$41)/$U158-SUM($EE158:GJ158)=1,1,0))))</f>
        <v>0</v>
      </c>
      <c r="GL158" s="8">
        <f>IF(GL$56-Voorblad!$F$41&gt;Voorblad!$K$41,0,IF($U158=0,0,IF($U158&lt;1,1/$U158,IF((GL$56-Voorblad!$F$41)/$U158-SUM($EE158:GK158)=1,1,0))))</f>
        <v>0</v>
      </c>
      <c r="GM158" s="8">
        <f>IF(GM$56-Voorblad!$F$41&gt;Voorblad!$K$41,0,IF($U158=0,0,IF($U158&lt;1,1/$U158,IF((GM$56-Voorblad!$F$41)/$U158-SUM($EE158:GL158)=1,1,0))))</f>
        <v>0</v>
      </c>
      <c r="GN158" s="8">
        <f>IF(GN$56-Voorblad!$F$41&gt;Voorblad!$K$41,0,IF($U158=0,0,IF($U158&lt;1,1/$U158,IF((GN$56-Voorblad!$F$41)/$U158-SUM($EE158:GM158)=1,1,0))))</f>
        <v>1</v>
      </c>
      <c r="GO158" s="8">
        <f>IF(GO$56-Voorblad!$F$41&gt;Voorblad!$K$41,0,IF($U158=0,0,IF($U158&lt;1,1/$U158,IF((GO$56-Voorblad!$F$41)/$U158-SUM($EE158:GN158)=1,1,0))))</f>
        <v>0</v>
      </c>
      <c r="GP158" s="8">
        <f>IF(GP$56-Voorblad!$F$41&gt;Voorblad!$K$41,0,IF($U158=0,0,IF($U158&lt;1,1/$U158,IF((GP$56-Voorblad!$F$41)/$U158-SUM($EE158:GO158)=1,1,0))))</f>
        <v>0</v>
      </c>
      <c r="GQ158" s="8">
        <f>IF(GQ$56-Voorblad!$F$41&gt;Voorblad!$K$41,0,IF($U158=0,0,IF($U158&lt;1,1/$U158,IF((GQ$56-Voorblad!$F$41)/$U158-SUM($EE158:GP158)=1,1,0))))</f>
        <v>0</v>
      </c>
      <c r="GR158" s="8">
        <f>IF(GR$56-Voorblad!$F$41&gt;Voorblad!$K$41,0,IF($U158=0,0,IF($U158&lt;1,1/$U158,IF((GR$56-Voorblad!$F$41)/$U158-SUM($EE158:GQ158)=1,1,0))))</f>
        <v>0</v>
      </c>
      <c r="GS158" s="8">
        <f>IF(GS$56-Voorblad!$F$41&gt;Voorblad!$K$41,0,IF($U158=0,0,IF($U158&lt;1,1/$U158,IF((GS$56-Voorblad!$F$41)/$U158-SUM($EE158:GR158)=1,1,0))))</f>
        <v>1</v>
      </c>
      <c r="GT158" s="8">
        <f>IF(GT$56-Voorblad!$F$41&gt;Voorblad!$K$41,0,IF($U158=0,0,IF($U158&lt;1,1/$U158,IF((GT$56-Voorblad!$F$41)/$U158-SUM($EE158:GS158)=1,1,0))))</f>
        <v>0</v>
      </c>
      <c r="GU158" s="8">
        <f>IF(GU$56-Voorblad!$F$41&gt;Voorblad!$K$41,0,IF($U158=0,0,IF($U158&lt;1,1/$U158,IF((GU$56-Voorblad!$F$41)/$U158-SUM($EE158:GT158)=1,1,0))))</f>
        <v>0</v>
      </c>
      <c r="GV158" s="8">
        <f>IF(GV$56-Voorblad!$F$41&gt;Voorblad!$K$41,0,IF($U158=0,0,IF($U158&lt;1,1/$U158,IF((GV$56-Voorblad!$F$41)/$U158-SUM($EE158:GU158)=1,1,0))))</f>
        <v>0</v>
      </c>
      <c r="GW158" s="8">
        <f>IF(GW$56-Voorblad!$F$41&gt;Voorblad!$K$41,0,IF($U158=0,0,IF($U158&lt;1,1/$U158,IF((GW$56-Voorblad!$F$41)/$U158-SUM($EE158:GV158)=1,1,0))))</f>
        <v>0</v>
      </c>
      <c r="GX158" s="8">
        <f>IF(GX$56-Voorblad!$F$41&gt;Voorblad!$K$41,0,IF($U158=0,0,IF($U158&lt;1,1/$U158,IF((GX$56-Voorblad!$F$41)/$U158-SUM($EE158:GW158)=1,1,0))))</f>
        <v>1</v>
      </c>
      <c r="GY158" s="8">
        <f>IF(GY$56-Voorblad!$F$41&gt;Voorblad!$K$41,0,IF($U158=0,0,IF($U158&lt;1,1/$U158,IF((GY$56-Voorblad!$F$41)/$U158-SUM($EE158:GX158)=1,1,0))))</f>
        <v>0</v>
      </c>
      <c r="GZ158" s="8">
        <f>IF(GZ$56-Voorblad!$F$41&gt;Voorblad!$K$41,0,IF($U158=0,0,IF($U158&lt;1,1/$U158,IF((GZ$56-Voorblad!$F$41)/$U158-SUM($EE158:GY158)=1,1,0))))</f>
        <v>0</v>
      </c>
      <c r="HA158" s="8">
        <f>IF(HA$56-Voorblad!$F$41&gt;Voorblad!$K$41,0,IF($U158=0,0,IF($U158&lt;1,1/$U158,IF((HA$56-Voorblad!$F$41)/$U158-SUM($EE158:GZ158)=1,1,0))))</f>
        <v>0</v>
      </c>
      <c r="HB158" s="8">
        <f>IF(HB$56-Voorblad!$F$41&gt;Voorblad!$K$41,0,IF($U158=0,0,IF($U158&lt;1,1/$U158,IF((HB$56-Voorblad!$F$41)/$U158-SUM($EE158:HA158)=1,1,0))))</f>
        <v>0</v>
      </c>
      <c r="HC158" s="8">
        <f>IF(HC$56-Voorblad!$F$41&gt;Voorblad!$K$41,0,IF($U158=0,0,IF($U158&lt;1,1/$U158,IF((HC$56-Voorblad!$F$41)/$U158-SUM($EE158:HB158)=1,1,0))))</f>
        <v>0</v>
      </c>
      <c r="HD158" s="8">
        <f>IF(HD$56-Voorblad!$F$41&gt;Voorblad!$K$41,0,IF($U158=0,0,IF($U158&lt;1,1/$U158,IF((HD$56-Voorblad!$F$41)/$U158-SUM($EE158:HC158)=1,1,0))))</f>
        <v>0</v>
      </c>
      <c r="HE158" s="8">
        <f>IF(HE$56-Voorblad!$F$41&gt;Voorblad!$K$41,0,IF($U158=0,0,IF($U158&lt;1,1/$U158,IF((HE$56-Voorblad!$F$41)/$U158-SUM($EE158:HD158)=1,1,0))))</f>
        <v>0</v>
      </c>
      <c r="HF158" s="8">
        <f>IF(HF$56-Voorblad!$F$41&gt;Voorblad!$K$41,0,IF($U158=0,0,IF($U158&lt;1,1/$U158,IF((HF$56-Voorblad!$F$41)/$U158-SUM($EE158:HE158)=1,1,0))))</f>
        <v>0</v>
      </c>
      <c r="HG158" s="8">
        <f>IF(HG$56-Voorblad!$F$41&gt;Voorblad!$K$41,0,IF($U158=0,0,IF($U158&lt;1,1/$U158,IF((HG$56-Voorblad!$F$41)/$U158-SUM($EE158:HF158)=1,1,0))))</f>
        <v>0</v>
      </c>
      <c r="HH158" s="8">
        <f>IF(HH$56-Voorblad!$F$41&gt;Voorblad!$K$41,0,IF($U158=0,0,IF($U158&lt;1,1/$U158,IF((HH$56-Voorblad!$F$41)/$U158-SUM($EE158:HG158)=1,1,0))))</f>
        <v>0</v>
      </c>
      <c r="HI158" s="8">
        <f>IF(HI$56-Voorblad!$F$41&gt;Voorblad!$K$41,0,IF($U158=0,0,IF($U158&lt;1,1/$U158,IF((HI$56-Voorblad!$F$41)/$U158-SUM($EE158:HH158)=1,1,0))))</f>
        <v>0</v>
      </c>
      <c r="HJ158" s="8">
        <f>IF(HJ$56-Voorblad!$F$41&gt;Voorblad!$K$41,0,IF($U158=0,0,IF($U158&lt;1,1/$U158,IF((HJ$56-Voorblad!$F$41)/$U158-SUM($EE158:HI158)=1,1,0))))</f>
        <v>0</v>
      </c>
      <c r="HK158" s="8">
        <f>IF(HK$56-Voorblad!$F$41&gt;Voorblad!$K$41,0,IF($U158=0,0,IF($U158&lt;1,1/$U158,IF((HK$56-Voorblad!$F$41)/$U158-SUM($EE158:HJ158)=1,1,0))))</f>
        <v>0</v>
      </c>
      <c r="HL158" s="8">
        <f>IF(HL$56-Voorblad!$F$41&gt;Voorblad!$K$41,0,IF($U158=0,0,IF($U158&lt;1,1/$U158,IF((HL$56-Voorblad!$F$41)/$U158-SUM($EE158:HK158)=1,1,0))))</f>
        <v>0</v>
      </c>
      <c r="HM158" s="8">
        <f>IF(HM$56-Voorblad!$F$41&gt;Voorblad!$K$41,0,IF($U158=0,0,IF($U158&lt;1,1/$U158,IF((HM$56-Voorblad!$F$41)/$U158-SUM($EE158:HL158)=1,1,0))))</f>
        <v>0</v>
      </c>
      <c r="HN158" s="8">
        <f>IF(HN$56-Voorblad!$F$41&gt;Voorblad!$K$41,0,IF($U158=0,0,IF($U158&lt;1,1/$U158,IF((HN$56-Voorblad!$F$41)/$U158-SUM($EE158:HM158)=1,1,0))))</f>
        <v>0</v>
      </c>
      <c r="HO158" s="8">
        <f>IF(HO$56-Voorblad!$F$41&gt;Voorblad!$K$41,0,IF($U158=0,0,IF($U158&lt;1,1/$U158,IF((HO$56-Voorblad!$F$41)/$U158-SUM($EE158:HN158)=1,1,0))))</f>
        <v>0</v>
      </c>
      <c r="HP158" s="8">
        <f>IF(HP$56-Voorblad!$F$41&gt;Voorblad!$K$41,0,IF($U158=0,0,IF($U158&lt;1,1/$U158,IF((HP$56-Voorblad!$F$41)/$U158-SUM($EE158:HO158)=1,1,0))))</f>
        <v>0</v>
      </c>
      <c r="HQ158" s="8">
        <f>IF(HQ$56-Voorblad!$F$41&gt;Voorblad!$K$41,0,IF($U158=0,0,IF($U158&lt;1,1/$U158,IF((HQ$56-Voorblad!$F$41)/$U158-SUM($EE158:HP158)=1,1,0))))</f>
        <v>0</v>
      </c>
      <c r="HR158" s="8">
        <f>IF(HR$56-Voorblad!$F$41&gt;Voorblad!$K$41,0,IF($U158=0,0,IF($U158&lt;1,1/$U158,IF((HR$56-Voorblad!$F$41)/$U158-SUM($EE158:HQ158)=1,1,0))))</f>
        <v>0</v>
      </c>
      <c r="HS158" s="8">
        <f>IF(HS$56-Voorblad!$F$41&gt;Voorblad!$K$41,0,IF($U158=0,0,IF($U158&lt;1,1/$U158,IF((HS$56-Voorblad!$F$41)/$U158-SUM($EE158:HR158)=1,1,0))))</f>
        <v>0</v>
      </c>
      <c r="HT158" s="8">
        <f>IF(HT$56-Voorblad!$F$41&gt;Voorblad!$K$41,0,IF($U158=0,0,IF($U158&lt;1,1/$U158,IF((HT$56-Voorblad!$F$41)/$U158-SUM($EE158:HS158)=1,1,0))))</f>
        <v>0</v>
      </c>
      <c r="HU158" s="8">
        <f>IF(HU$56-Voorblad!$F$41&gt;Voorblad!$K$41,0,IF($U158=0,0,IF($U158&lt;1,1/$U158,IF((HU$56-Voorblad!$F$41)/$U158-SUM($EE158:HT158)=1,1,0))))</f>
        <v>0</v>
      </c>
      <c r="HV158" s="8">
        <f>IF(HV$56-Voorblad!$F$41&gt;Voorblad!$K$41,0,IF($U158=0,0,IF($U158&lt;1,1/$U158,IF((HV$56-Voorblad!$F$41)/$U158-SUM($EE158:HU158)=1,1,0))))</f>
        <v>0</v>
      </c>
      <c r="HW158" s="8">
        <f>IF(HW$56-Voorblad!$F$41&gt;Voorblad!$K$41,0,IF($U158=0,0,IF($U158&lt;1,1/$U158,IF((HW$56-Voorblad!$F$41)/$U158-SUM($EE158:HV158)=1,1,0))))</f>
        <v>0</v>
      </c>
      <c r="HX158" s="8">
        <f>IF(HX$56-Voorblad!$F$41&gt;Voorblad!$K$41,0,IF($U158=0,0,IF($U158&lt;1,1/$U158,IF((HX$56-Voorblad!$F$41)/$U158-SUM($EE158:HW158)=1,1,0))))</f>
        <v>0</v>
      </c>
      <c r="HY158" s="8">
        <f>IF(HY$56-Voorblad!$F$41&gt;Voorblad!$K$41,0,IF($U158=0,0,IF($U158&lt;1,1/$U158,IF((HY$56-Voorblad!$F$41)/$U158-SUM($EE158:HX158)=1,1,0))))</f>
        <v>0</v>
      </c>
      <c r="HZ158" s="8">
        <f>IF(HZ$56-Voorblad!$F$41&gt;Voorblad!$K$41,0,IF($U158=0,0,IF($U158&lt;1,1/$U158,IF((HZ$56-Voorblad!$F$41)/$U158-SUM($EE158:HY158)=1,1,0))))</f>
        <v>0</v>
      </c>
      <c r="IA158" s="8">
        <f>IF(IA$56-Voorblad!$F$41&gt;Voorblad!$K$41,0,IF($U158=0,0,IF($U158&lt;1,1/$U158,IF((IA$56-Voorblad!$F$41)/$U158-SUM($EE158:HZ158)=1,1,0))))</f>
        <v>0</v>
      </c>
      <c r="IB158" s="8">
        <f>IF(IB$56-Voorblad!$F$41&gt;Voorblad!$K$41,0,IF($U158=0,0,IF($U158&lt;1,1/$U158,IF((IB$56-Voorblad!$F$41)/$U158-SUM($EE158:IA158)=1,1,0))))</f>
        <v>0</v>
      </c>
    </row>
    <row r="159" spans="2:236" ht="12" hidden="1" customHeight="1" outlineLevel="1" x14ac:dyDescent="0.25">
      <c r="B159" s="1">
        <v>3</v>
      </c>
      <c r="F159" s="1" t="s">
        <v>23</v>
      </c>
      <c r="I159" s="1" t="s">
        <v>277</v>
      </c>
      <c r="K159" s="1" t="s">
        <v>111</v>
      </c>
      <c r="O159" s="1" t="s">
        <v>134</v>
      </c>
      <c r="Q159" s="83">
        <v>0</v>
      </c>
      <c r="R159" s="1" t="s">
        <v>35</v>
      </c>
      <c r="S159" s="21">
        <f>$H$20*15</f>
        <v>26.55</v>
      </c>
      <c r="T159" s="9">
        <f t="shared" si="189"/>
        <v>0</v>
      </c>
      <c r="U159" s="14">
        <v>10</v>
      </c>
      <c r="V159" s="14"/>
      <c r="Y159" s="9">
        <f t="shared" si="190"/>
        <v>0</v>
      </c>
      <c r="Z159" s="82"/>
      <c r="AA159" s="82"/>
      <c r="AC159" s="9">
        <f>$Y159*(Voorblad!$K$44*(1+Voorblad!$K$44)^Voorblad!$K$41)/((1+Voorblad!$K$44)^Voorblad!$K$41-1)</f>
        <v>0</v>
      </c>
      <c r="AE159" s="9">
        <f>EF159*($Q159*$S159)/(1+Voorblad!$K$44)^(AE$56-Voorblad!$F$41)</f>
        <v>0</v>
      </c>
      <c r="AF159" s="9">
        <f>EG159*($Q159*$S159)/(1+Voorblad!$K$44)^(AF$56-Voorblad!$F$41)</f>
        <v>0</v>
      </c>
      <c r="AG159" s="9">
        <f>EH159*($Q159*$S159)/(1+Voorblad!$K$44)^(AG$56-Voorblad!$F$41)</f>
        <v>0</v>
      </c>
      <c r="AH159" s="9">
        <f>EI159*($Q159*$S159)/(1+Voorblad!$K$44)^(AH$56-Voorblad!$F$41)</f>
        <v>0</v>
      </c>
      <c r="AI159" s="9">
        <f>EJ159*($Q159*$S159)/(1+Voorblad!$K$44)^(AI$56-Voorblad!$F$41)</f>
        <v>0</v>
      </c>
      <c r="AJ159" s="9">
        <f>EK159*($Q159*$S159)/(1+Voorblad!$K$44)^(AJ$56-Voorblad!$F$41)</f>
        <v>0</v>
      </c>
      <c r="AK159" s="9">
        <f>EL159*($Q159*$S159)/(1+Voorblad!$K$44)^(AK$56-Voorblad!$F$41)</f>
        <v>0</v>
      </c>
      <c r="AL159" s="9">
        <f>EM159*($Q159*$S159)/(1+Voorblad!$K$44)^(AL$56-Voorblad!$F$41)</f>
        <v>0</v>
      </c>
      <c r="AM159" s="9">
        <f>EN159*($Q159*$S159)/(1+Voorblad!$K$44)^(AM$56-Voorblad!$F$41)</f>
        <v>0</v>
      </c>
      <c r="AN159" s="9">
        <f>EO159*($Q159*$S159)/(1+Voorblad!$K$44)^(AN$56-Voorblad!$F$41)</f>
        <v>0</v>
      </c>
      <c r="AO159" s="9">
        <f>EP159*($Q159*$S159)/(1+Voorblad!$K$44)^(AO$56-Voorblad!$F$41)</f>
        <v>0</v>
      </c>
      <c r="AP159" s="9">
        <f>EQ159*($Q159*$S159)/(1+Voorblad!$K$44)^(AP$56-Voorblad!$F$41)</f>
        <v>0</v>
      </c>
      <c r="AQ159" s="9">
        <f>ER159*($Q159*$S159)/(1+Voorblad!$K$44)^(AQ$56-Voorblad!$F$41)</f>
        <v>0</v>
      </c>
      <c r="AR159" s="9">
        <f>ES159*($Q159*$S159)/(1+Voorblad!$K$44)^(AR$56-Voorblad!$F$41)</f>
        <v>0</v>
      </c>
      <c r="AS159" s="9">
        <f>ET159*($Q159*$S159)/(1+Voorblad!$K$44)^(AS$56-Voorblad!$F$41)</f>
        <v>0</v>
      </c>
      <c r="AT159" s="9">
        <f>EU159*($Q159*$S159)/(1+Voorblad!$K$44)^(AT$56-Voorblad!$F$41)</f>
        <v>0</v>
      </c>
      <c r="AU159" s="9">
        <f>EV159*($Q159*$S159)/(1+Voorblad!$K$44)^(AU$56-Voorblad!$F$41)</f>
        <v>0</v>
      </c>
      <c r="AV159" s="9">
        <f>EW159*($Q159*$S159)/(1+Voorblad!$K$44)^(AV$56-Voorblad!$F$41)</f>
        <v>0</v>
      </c>
      <c r="AW159" s="9">
        <f>EX159*($Q159*$S159)/(1+Voorblad!$K$44)^(AW$56-Voorblad!$F$41)</f>
        <v>0</v>
      </c>
      <c r="AX159" s="9">
        <f>EY159*($Q159*$S159)/(1+Voorblad!$K$44)^(AX$56-Voorblad!$F$41)</f>
        <v>0</v>
      </c>
      <c r="AY159" s="9">
        <f>EZ159*($Q159*$S159)/(1+Voorblad!$K$44)^(AY$56-Voorblad!$F$41)</f>
        <v>0</v>
      </c>
      <c r="AZ159" s="9">
        <f>FA159*($Q159*$S159)/(1+Voorblad!$K$44)^(AZ$56-Voorblad!$F$41)</f>
        <v>0</v>
      </c>
      <c r="BA159" s="9">
        <f>FB159*($Q159*$S159)/(1+Voorblad!$K$44)^(BA$56-Voorblad!$F$41)</f>
        <v>0</v>
      </c>
      <c r="BB159" s="9">
        <f>FC159*($Q159*$S159)/(1+Voorblad!$K$44)^(BB$56-Voorblad!$F$41)</f>
        <v>0</v>
      </c>
      <c r="BC159" s="9">
        <f>FD159*($Q159*$S159)/(1+Voorblad!$K$44)^(BC$56-Voorblad!$F$41)</f>
        <v>0</v>
      </c>
      <c r="BD159" s="9">
        <f>FE159*($Q159*$S159)/(1+Voorblad!$K$44)^(BD$56-Voorblad!$F$41)</f>
        <v>0</v>
      </c>
      <c r="BE159" s="9">
        <f>FF159*($Q159*$S159)/(1+Voorblad!$K$44)^(BE$56-Voorblad!$F$41)</f>
        <v>0</v>
      </c>
      <c r="BF159" s="9">
        <f>FG159*($Q159*$S159)/(1+Voorblad!$K$44)^(BF$56-Voorblad!$F$41)</f>
        <v>0</v>
      </c>
      <c r="BG159" s="9">
        <f>FH159*($Q159*$S159)/(1+Voorblad!$K$44)^(BG$56-Voorblad!$F$41)</f>
        <v>0</v>
      </c>
      <c r="BH159" s="9">
        <f>FI159*($Q159*$S159)/(1+Voorblad!$K$44)^(BH$56-Voorblad!$F$41)</f>
        <v>0</v>
      </c>
      <c r="BI159" s="9">
        <f>FJ159*($Q159*$S159)/(1+Voorblad!$K$44)^(BI$56-Voorblad!$F$41)</f>
        <v>0</v>
      </c>
      <c r="BJ159" s="9">
        <f>FK159*($Q159*$S159)/(1+Voorblad!$K$44)^(BJ$56-Voorblad!$F$41)</f>
        <v>0</v>
      </c>
      <c r="BK159" s="9">
        <f>FL159*($Q159*$S159)/(1+Voorblad!$K$44)^(BK$56-Voorblad!$F$41)</f>
        <v>0</v>
      </c>
      <c r="BL159" s="9">
        <f>FM159*($Q159*$S159)/(1+Voorblad!$K$44)^(BL$56-Voorblad!$F$41)</f>
        <v>0</v>
      </c>
      <c r="BM159" s="9">
        <f>FN159*($Q159*$S159)/(1+Voorblad!$K$44)^(BM$56-Voorblad!$F$41)</f>
        <v>0</v>
      </c>
      <c r="BN159" s="9">
        <f>FO159*($Q159*$S159)/(1+Voorblad!$K$44)^(BN$56-Voorblad!$F$41)</f>
        <v>0</v>
      </c>
      <c r="BO159" s="9">
        <f>FP159*($Q159*$S159)/(1+Voorblad!$K$44)^(BO$56-Voorblad!$F$41)</f>
        <v>0</v>
      </c>
      <c r="BP159" s="9">
        <f>FQ159*($Q159*$S159)/(1+Voorblad!$K$44)^(BP$56-Voorblad!$F$41)</f>
        <v>0</v>
      </c>
      <c r="BQ159" s="9">
        <f>FR159*($Q159*$S159)/(1+Voorblad!$K$44)^(BQ$56-Voorblad!$F$41)</f>
        <v>0</v>
      </c>
      <c r="BR159" s="9">
        <f>FS159*($Q159*$S159)/(1+Voorblad!$K$44)^(BR$56-Voorblad!$F$41)</f>
        <v>0</v>
      </c>
      <c r="BS159" s="9">
        <f>FT159*($Q159*$S159)/(1+Voorblad!$K$44)^(BS$56-Voorblad!$F$41)</f>
        <v>0</v>
      </c>
      <c r="BT159" s="9">
        <f>FU159*($Q159*$S159)/(1+Voorblad!$K$44)^(BT$56-Voorblad!$F$41)</f>
        <v>0</v>
      </c>
      <c r="BU159" s="9">
        <f>FV159*($Q159*$S159)/(1+Voorblad!$K$44)^(BU$56-Voorblad!$F$41)</f>
        <v>0</v>
      </c>
      <c r="BV159" s="9">
        <f>FW159*($Q159*$S159)/(1+Voorblad!$K$44)^(BV$56-Voorblad!$F$41)</f>
        <v>0</v>
      </c>
      <c r="BW159" s="9">
        <f>FX159*($Q159*$S159)/(1+Voorblad!$K$44)^(BW$56-Voorblad!$F$41)</f>
        <v>0</v>
      </c>
      <c r="BX159" s="9">
        <f>FY159*($Q159*$S159)/(1+Voorblad!$K$44)^(BX$56-Voorblad!$F$41)</f>
        <v>0</v>
      </c>
      <c r="BY159" s="9">
        <f>FZ159*($Q159*$S159)/(1+Voorblad!$K$44)^(BY$56-Voorblad!$F$41)</f>
        <v>0</v>
      </c>
      <c r="BZ159" s="9">
        <f>GA159*($Q159*$S159)/(1+Voorblad!$K$44)^(BZ$56-Voorblad!$F$41)</f>
        <v>0</v>
      </c>
      <c r="CA159" s="9">
        <f>GB159*($Q159*$S159)/(1+Voorblad!$K$44)^(CA$56-Voorblad!$F$41)</f>
        <v>0</v>
      </c>
      <c r="CB159" s="9">
        <f>GC159*($Q159*$S159)/(1+Voorblad!$K$44)^(CB$56-Voorblad!$F$41)</f>
        <v>0</v>
      </c>
      <c r="CC159" s="9">
        <f>GD159*($Q159*$S159)/(1+Voorblad!$K$44)^(CC$56-Voorblad!$F$41)</f>
        <v>0</v>
      </c>
      <c r="CD159" s="9">
        <f>GE159*($Q159*$S159)/(1+Voorblad!$K$44)^(CD$56-Voorblad!$F$41)</f>
        <v>0</v>
      </c>
      <c r="CE159" s="9">
        <f>GF159*($Q159*$S159)/(1+Voorblad!$K$44)^(CE$56-Voorblad!$F$41)</f>
        <v>0</v>
      </c>
      <c r="CF159" s="9">
        <f>GG159*($Q159*$S159)/(1+Voorblad!$K$44)^(CF$56-Voorblad!$F$41)</f>
        <v>0</v>
      </c>
      <c r="CG159" s="9">
        <f>GH159*($Q159*$S159)/(1+Voorblad!$K$44)^(CG$56-Voorblad!$F$41)</f>
        <v>0</v>
      </c>
      <c r="CH159" s="9">
        <f>GI159*($Q159*$S159)/(1+Voorblad!$K$44)^(CH$56-Voorblad!$F$41)</f>
        <v>0</v>
      </c>
      <c r="CI159" s="9">
        <f>GJ159*($Q159*$S159)/(1+Voorblad!$K$44)^(CI$56-Voorblad!$F$41)</f>
        <v>0</v>
      </c>
      <c r="CJ159" s="9">
        <f>GK159*($Q159*$S159)/(1+Voorblad!$K$44)^(CJ$56-Voorblad!$F$41)</f>
        <v>0</v>
      </c>
      <c r="CK159" s="9">
        <f>GL159*($Q159*$S159)/(1+Voorblad!$K$44)^(CK$56-Voorblad!$F$41)</f>
        <v>0</v>
      </c>
      <c r="CL159" s="9">
        <f>GM159*($Q159*$S159)/(1+Voorblad!$K$44)^(CL$56-Voorblad!$F$41)</f>
        <v>0</v>
      </c>
      <c r="CM159" s="9">
        <f>GN159*($Q159*$S159)/(1+Voorblad!$K$44)^(CM$56-Voorblad!$F$41)</f>
        <v>0</v>
      </c>
      <c r="CN159" s="9">
        <f>GO159*($Q159*$S159)/(1+Voorblad!$K$44)^(CN$56-Voorblad!$F$41)</f>
        <v>0</v>
      </c>
      <c r="CO159" s="9">
        <f>GP159*($Q159*$S159)/(1+Voorblad!$K$44)^(CO$56-Voorblad!$F$41)</f>
        <v>0</v>
      </c>
      <c r="CP159" s="9">
        <f>GQ159*($Q159*$S159)/(1+Voorblad!$K$44)^(CP$56-Voorblad!$F$41)</f>
        <v>0</v>
      </c>
      <c r="CQ159" s="9">
        <f>GR159*($Q159*$S159)/(1+Voorblad!$K$44)^(CQ$56-Voorblad!$F$41)</f>
        <v>0</v>
      </c>
      <c r="CR159" s="9">
        <f>GS159*($Q159*$S159)/(1+Voorblad!$K$44)^(CR$56-Voorblad!$F$41)</f>
        <v>0</v>
      </c>
      <c r="CS159" s="9">
        <f>GT159*($Q159*$S159)/(1+Voorblad!$K$44)^(CS$56-Voorblad!$F$41)</f>
        <v>0</v>
      </c>
      <c r="CT159" s="9">
        <f>GU159*($Q159*$S159)/(1+Voorblad!$K$44)^(CT$56-Voorblad!$F$41)</f>
        <v>0</v>
      </c>
      <c r="CU159" s="9">
        <f>GV159*($Q159*$S159)/(1+Voorblad!$K$44)^(CU$56-Voorblad!$F$41)</f>
        <v>0</v>
      </c>
      <c r="CV159" s="9">
        <f>GW159*($Q159*$S159)/(1+Voorblad!$K$44)^(CV$56-Voorblad!$F$41)</f>
        <v>0</v>
      </c>
      <c r="CW159" s="9">
        <f>GX159*($Q159*$S159)/(1+Voorblad!$K$44)^(CW$56-Voorblad!$F$41)</f>
        <v>0</v>
      </c>
      <c r="CX159" s="9">
        <f>GY159*($Q159*$S159)/(1+Voorblad!$K$44)^(CX$56-Voorblad!$F$41)</f>
        <v>0</v>
      </c>
      <c r="CY159" s="9">
        <f>GZ159*($Q159*$S159)/(1+Voorblad!$K$44)^(CY$56-Voorblad!$F$41)</f>
        <v>0</v>
      </c>
      <c r="CZ159" s="9">
        <f>HA159*($Q159*$S159)/(1+Voorblad!$K$44)^(CZ$56-Voorblad!$F$41)</f>
        <v>0</v>
      </c>
      <c r="DA159" s="9">
        <f>HB159*($Q159*$S159)/(1+Voorblad!$K$44)^(DA$56-Voorblad!$F$41)</f>
        <v>0</v>
      </c>
      <c r="DB159" s="9">
        <f>HC159*($Q159*$S159)/(1+Voorblad!$K$44)^(DB$56-Voorblad!$F$41)</f>
        <v>0</v>
      </c>
      <c r="DC159" s="9">
        <f>HD159*($Q159*$S159)/(1+Voorblad!$K$44)^(DC$56-Voorblad!$F$41)</f>
        <v>0</v>
      </c>
      <c r="DD159" s="9">
        <f>HE159*($Q159*$S159)/(1+Voorblad!$K$44)^(DD$56-Voorblad!$F$41)</f>
        <v>0</v>
      </c>
      <c r="DE159" s="9">
        <f>HF159*($Q159*$S159)/(1+Voorblad!$K$44)^(DE$56-Voorblad!$F$41)</f>
        <v>0</v>
      </c>
      <c r="DF159" s="9">
        <f>HG159*($Q159*$S159)/(1+Voorblad!$K$44)^(DF$56-Voorblad!$F$41)</f>
        <v>0</v>
      </c>
      <c r="DG159" s="9">
        <f>HH159*($Q159*$S159)/(1+Voorblad!$K$44)^(DG$56-Voorblad!$F$41)</f>
        <v>0</v>
      </c>
      <c r="DH159" s="9">
        <f>HI159*($Q159*$S159)/(1+Voorblad!$K$44)^(DH$56-Voorblad!$F$41)</f>
        <v>0</v>
      </c>
      <c r="DI159" s="9">
        <f>HJ159*($Q159*$S159)/(1+Voorblad!$K$44)^(DI$56-Voorblad!$F$41)</f>
        <v>0</v>
      </c>
      <c r="DJ159" s="9">
        <f>HK159*($Q159*$S159)/(1+Voorblad!$K$44)^(DJ$56-Voorblad!$F$41)</f>
        <v>0</v>
      </c>
      <c r="DK159" s="9">
        <f>HL159*($Q159*$S159)/(1+Voorblad!$K$44)^(DK$56-Voorblad!$F$41)</f>
        <v>0</v>
      </c>
      <c r="DL159" s="9">
        <f>HM159*($Q159*$S159)/(1+Voorblad!$K$44)^(DL$56-Voorblad!$F$41)</f>
        <v>0</v>
      </c>
      <c r="DM159" s="9">
        <f>HN159*($Q159*$S159)/(1+Voorblad!$K$44)^(DM$56-Voorblad!$F$41)</f>
        <v>0</v>
      </c>
      <c r="DN159" s="9">
        <f>HO159*($Q159*$S159)/(1+Voorblad!$K$44)^(DN$56-Voorblad!$F$41)</f>
        <v>0</v>
      </c>
      <c r="DO159" s="9">
        <f>HP159*($Q159*$S159)/(1+Voorblad!$K$44)^(DO$56-Voorblad!$F$41)</f>
        <v>0</v>
      </c>
      <c r="DP159" s="9">
        <f>HQ159*($Q159*$S159)/(1+Voorblad!$K$44)^(DP$56-Voorblad!$F$41)</f>
        <v>0</v>
      </c>
      <c r="DQ159" s="9">
        <f>HR159*($Q159*$S159)/(1+Voorblad!$K$44)^(DQ$56-Voorblad!$F$41)</f>
        <v>0</v>
      </c>
      <c r="DR159" s="9">
        <f>HS159*($Q159*$S159)/(1+Voorblad!$K$44)^(DR$56-Voorblad!$F$41)</f>
        <v>0</v>
      </c>
      <c r="DS159" s="9">
        <f>HT159*($Q159*$S159)/(1+Voorblad!$K$44)^(DS$56-Voorblad!$F$41)</f>
        <v>0</v>
      </c>
      <c r="DT159" s="9">
        <f>HU159*($Q159*$S159)/(1+Voorblad!$K$44)^(DT$56-Voorblad!$F$41)</f>
        <v>0</v>
      </c>
      <c r="DU159" s="9">
        <f>HV159*($Q159*$S159)/(1+Voorblad!$K$44)^(DU$56-Voorblad!$F$41)</f>
        <v>0</v>
      </c>
      <c r="DV159" s="9">
        <f>HW159*($Q159*$S159)/(1+Voorblad!$K$44)^(DV$56-Voorblad!$F$41)</f>
        <v>0</v>
      </c>
      <c r="DW159" s="9">
        <f>HX159*($Q159*$S159)/(1+Voorblad!$K$44)^(DW$56-Voorblad!$F$41)</f>
        <v>0</v>
      </c>
      <c r="DX159" s="9">
        <f>HY159*($Q159*$S159)/(1+Voorblad!$K$44)^(DX$56-Voorblad!$F$41)</f>
        <v>0</v>
      </c>
      <c r="DY159" s="9">
        <f>HZ159*($Q159*$S159)/(1+Voorblad!$K$44)^(DY$56-Voorblad!$F$41)</f>
        <v>0</v>
      </c>
      <c r="DZ159" s="9">
        <f>IA159*($Q159*$S159)/(1+Voorblad!$K$44)^(DZ$56-Voorblad!$F$41)</f>
        <v>0</v>
      </c>
      <c r="EA159" s="9">
        <f>IB159*($Q159*$S159)/(1+Voorblad!$K$44)^(EA$56-Voorblad!$F$41)</f>
        <v>0</v>
      </c>
      <c r="EB159" s="9">
        <f>IC159*($Q159*$S159)/(1+Voorblad!$K$44)^(EB$56-Voorblad!$F$41)</f>
        <v>0</v>
      </c>
      <c r="EE159" s="8">
        <v>0</v>
      </c>
      <c r="EF159" s="8">
        <f>IF(EF$56-Voorblad!$F$41&gt;Voorblad!$K$41,0,IF($U159=0,0,IF($U159&lt;1,1/$U159,IF((EF$56-Voorblad!$F$41)/$U159-SUM($EE159:EE159)=1,1,0))))</f>
        <v>0</v>
      </c>
      <c r="EG159" s="8">
        <f>IF(EG$56-Voorblad!$F$41&gt;Voorblad!$K$41,0,IF($U159=0,0,IF($U159&lt;1,1/$U159,IF((EG$56-Voorblad!$F$41)/$U159-SUM($EE159:EF159)=1,1,0))))</f>
        <v>0</v>
      </c>
      <c r="EH159" s="8">
        <f>IF(EH$56-Voorblad!$F$41&gt;Voorblad!$K$41,0,IF($U159=0,0,IF($U159&lt;1,1/$U159,IF((EH$56-Voorblad!$F$41)/$U159-SUM($EE159:EG159)=1,1,0))))</f>
        <v>0</v>
      </c>
      <c r="EI159" s="8">
        <f>IF(EI$56-Voorblad!$F$41&gt;Voorblad!$K$41,0,IF($U159=0,0,IF($U159&lt;1,1/$U159,IF((EI$56-Voorblad!$F$41)/$U159-SUM($EE159:EH159)=1,1,0))))</f>
        <v>0</v>
      </c>
      <c r="EJ159" s="8">
        <f>IF(EJ$56-Voorblad!$F$41&gt;Voorblad!$K$41,0,IF($U159=0,0,IF($U159&lt;1,1/$U159,IF((EJ$56-Voorblad!$F$41)/$U159-SUM($EE159:EI159)=1,1,0))))</f>
        <v>0</v>
      </c>
      <c r="EK159" s="8">
        <f>IF(EK$56-Voorblad!$F$41&gt;Voorblad!$K$41,0,IF($U159=0,0,IF($U159&lt;1,1/$U159,IF((EK$56-Voorblad!$F$41)/$U159-SUM($EE159:EJ159)=1,1,0))))</f>
        <v>0</v>
      </c>
      <c r="EL159" s="8">
        <f>IF(EL$56-Voorblad!$F$41&gt;Voorblad!$K$41,0,IF($U159=0,0,IF($U159&lt;1,1/$U159,IF((EL$56-Voorblad!$F$41)/$U159-SUM($EE159:EK159)=1,1,0))))</f>
        <v>0</v>
      </c>
      <c r="EM159" s="8">
        <f>IF(EM$56-Voorblad!$F$41&gt;Voorblad!$K$41,0,IF($U159=0,0,IF($U159&lt;1,1/$U159,IF((EM$56-Voorblad!$F$41)/$U159-SUM($EE159:EL159)=1,1,0))))</f>
        <v>0</v>
      </c>
      <c r="EN159" s="8">
        <f>IF(EN$56-Voorblad!$F$41&gt;Voorblad!$K$41,0,IF($U159=0,0,IF($U159&lt;1,1/$U159,IF((EN$56-Voorblad!$F$41)/$U159-SUM($EE159:EM159)=1,1,0))))</f>
        <v>0</v>
      </c>
      <c r="EO159" s="8">
        <f>IF(EO$56-Voorblad!$F$41&gt;Voorblad!$K$41,0,IF($U159=0,0,IF($U159&lt;1,1/$U159,IF((EO$56-Voorblad!$F$41)/$U159-SUM($EE159:EN159)=1,1,0))))</f>
        <v>0</v>
      </c>
      <c r="EP159" s="8">
        <f>IF(EP$56-Voorblad!$F$41&gt;Voorblad!$K$41,0,IF($U159=0,0,IF($U159&lt;1,1/$U159,IF((EP$56-Voorblad!$F$41)/$U159-SUM($EE159:EO159)=1,1,0))))</f>
        <v>1</v>
      </c>
      <c r="EQ159" s="8">
        <f>IF(EQ$56-Voorblad!$F$41&gt;Voorblad!$K$41,0,IF($U159=0,0,IF($U159&lt;1,1/$U159,IF((EQ$56-Voorblad!$F$41)/$U159-SUM($EE159:EP159)=1,1,0))))</f>
        <v>0</v>
      </c>
      <c r="ER159" s="8">
        <f>IF(ER$56-Voorblad!$F$41&gt;Voorblad!$K$41,0,IF($U159=0,0,IF($U159&lt;1,1/$U159,IF((ER$56-Voorblad!$F$41)/$U159-SUM($EE159:EQ159)=1,1,0))))</f>
        <v>0</v>
      </c>
      <c r="ES159" s="8">
        <f>IF(ES$56-Voorblad!$F$41&gt;Voorblad!$K$41,0,IF($U159=0,0,IF($U159&lt;1,1/$U159,IF((ES$56-Voorblad!$F$41)/$U159-SUM($EE159:ER159)=1,1,0))))</f>
        <v>0</v>
      </c>
      <c r="ET159" s="8">
        <f>IF(ET$56-Voorblad!$F$41&gt;Voorblad!$K$41,0,IF($U159=0,0,IF($U159&lt;1,1/$U159,IF((ET$56-Voorblad!$F$41)/$U159-SUM($EE159:ES159)=1,1,0))))</f>
        <v>0</v>
      </c>
      <c r="EU159" s="8">
        <f>IF(EU$56-Voorblad!$F$41&gt;Voorblad!$K$41,0,IF($U159=0,0,IF($U159&lt;1,1/$U159,IF((EU$56-Voorblad!$F$41)/$U159-SUM($EE159:ET159)=1,1,0))))</f>
        <v>0</v>
      </c>
      <c r="EV159" s="8">
        <f>IF(EV$56-Voorblad!$F$41&gt;Voorblad!$K$41,0,IF($U159=0,0,IF($U159&lt;1,1/$U159,IF((EV$56-Voorblad!$F$41)/$U159-SUM($EE159:EU159)=1,1,0))))</f>
        <v>0</v>
      </c>
      <c r="EW159" s="8">
        <f>IF(EW$56-Voorblad!$F$41&gt;Voorblad!$K$41,0,IF($U159=0,0,IF($U159&lt;1,1/$U159,IF((EW$56-Voorblad!$F$41)/$U159-SUM($EE159:EV159)=1,1,0))))</f>
        <v>0</v>
      </c>
      <c r="EX159" s="8">
        <f>IF(EX$56-Voorblad!$F$41&gt;Voorblad!$K$41,0,IF($U159=0,0,IF($U159&lt;1,1/$U159,IF((EX$56-Voorblad!$F$41)/$U159-SUM($EE159:EW159)=1,1,0))))</f>
        <v>0</v>
      </c>
      <c r="EY159" s="8">
        <f>IF(EY$56-Voorblad!$F$41&gt;Voorblad!$K$41,0,IF($U159=0,0,IF($U159&lt;1,1/$U159,IF((EY$56-Voorblad!$F$41)/$U159-SUM($EE159:EX159)=1,1,0))))</f>
        <v>0</v>
      </c>
      <c r="EZ159" s="8">
        <f>IF(EZ$56-Voorblad!$F$41&gt;Voorblad!$K$41,0,IF($U159=0,0,IF($U159&lt;1,1/$U159,IF((EZ$56-Voorblad!$F$41)/$U159-SUM($EE159:EY159)=1,1,0))))</f>
        <v>1</v>
      </c>
      <c r="FA159" s="8">
        <f>IF(FA$56-Voorblad!$F$41&gt;Voorblad!$K$41,0,IF($U159=0,0,IF($U159&lt;1,1/$U159,IF((FA$56-Voorblad!$F$41)/$U159-SUM($EE159:EZ159)=1,1,0))))</f>
        <v>0</v>
      </c>
      <c r="FB159" s="8">
        <f>IF(FB$56-Voorblad!$F$41&gt;Voorblad!$K$41,0,IF($U159=0,0,IF($U159&lt;1,1/$U159,IF((FB$56-Voorblad!$F$41)/$U159-SUM($EE159:FA159)=1,1,0))))</f>
        <v>0</v>
      </c>
      <c r="FC159" s="8">
        <f>IF(FC$56-Voorblad!$F$41&gt;Voorblad!$K$41,0,IF($U159=0,0,IF($U159&lt;1,1/$U159,IF((FC$56-Voorblad!$F$41)/$U159-SUM($EE159:FB159)=1,1,0))))</f>
        <v>0</v>
      </c>
      <c r="FD159" s="8">
        <f>IF(FD$56-Voorblad!$F$41&gt;Voorblad!$K$41,0,IF($U159=0,0,IF($U159&lt;1,1/$U159,IF((FD$56-Voorblad!$F$41)/$U159-SUM($EE159:FC159)=1,1,0))))</f>
        <v>0</v>
      </c>
      <c r="FE159" s="8">
        <f>IF(FE$56-Voorblad!$F$41&gt;Voorblad!$K$41,0,IF($U159=0,0,IF($U159&lt;1,1/$U159,IF((FE$56-Voorblad!$F$41)/$U159-SUM($EE159:FD159)=1,1,0))))</f>
        <v>0</v>
      </c>
      <c r="FF159" s="8">
        <f>IF(FF$56-Voorblad!$F$41&gt;Voorblad!$K$41,0,IF($U159=0,0,IF($U159&lt;1,1/$U159,IF((FF$56-Voorblad!$F$41)/$U159-SUM($EE159:FE159)=1,1,0))))</f>
        <v>0</v>
      </c>
      <c r="FG159" s="8">
        <f>IF(FG$56-Voorblad!$F$41&gt;Voorblad!$K$41,0,IF($U159=0,0,IF($U159&lt;1,1/$U159,IF((FG$56-Voorblad!$F$41)/$U159-SUM($EE159:FF159)=1,1,0))))</f>
        <v>0</v>
      </c>
      <c r="FH159" s="8">
        <f>IF(FH$56-Voorblad!$F$41&gt;Voorblad!$K$41,0,IF($U159=0,0,IF($U159&lt;1,1/$U159,IF((FH$56-Voorblad!$F$41)/$U159-SUM($EE159:FG159)=1,1,0))))</f>
        <v>0</v>
      </c>
      <c r="FI159" s="8">
        <f>IF(FI$56-Voorblad!$F$41&gt;Voorblad!$K$41,0,IF($U159=0,0,IF($U159&lt;1,1/$U159,IF((FI$56-Voorblad!$F$41)/$U159-SUM($EE159:FH159)=1,1,0))))</f>
        <v>0</v>
      </c>
      <c r="FJ159" s="8">
        <f>IF(FJ$56-Voorblad!$F$41&gt;Voorblad!$K$41,0,IF($U159=0,0,IF($U159&lt;1,1/$U159,IF((FJ$56-Voorblad!$F$41)/$U159-SUM($EE159:FI159)=1,1,0))))</f>
        <v>1</v>
      </c>
      <c r="FK159" s="8">
        <f>IF(FK$56-Voorblad!$F$41&gt;Voorblad!$K$41,0,IF($U159=0,0,IF($U159&lt;1,1/$U159,IF((FK$56-Voorblad!$F$41)/$U159-SUM($EE159:FJ159)=1,1,0))))</f>
        <v>0</v>
      </c>
      <c r="FL159" s="8">
        <f>IF(FL$56-Voorblad!$F$41&gt;Voorblad!$K$41,0,IF($U159=0,0,IF($U159&lt;1,1/$U159,IF((FL$56-Voorblad!$F$41)/$U159-SUM($EE159:FK159)=1,1,0))))</f>
        <v>0</v>
      </c>
      <c r="FM159" s="8">
        <f>IF(FM$56-Voorblad!$F$41&gt;Voorblad!$K$41,0,IF($U159=0,0,IF($U159&lt;1,1/$U159,IF((FM$56-Voorblad!$F$41)/$U159-SUM($EE159:FL159)=1,1,0))))</f>
        <v>0</v>
      </c>
      <c r="FN159" s="8">
        <f>IF(FN$56-Voorblad!$F$41&gt;Voorblad!$K$41,0,IF($U159=0,0,IF($U159&lt;1,1/$U159,IF((FN$56-Voorblad!$F$41)/$U159-SUM($EE159:FM159)=1,1,0))))</f>
        <v>0</v>
      </c>
      <c r="FO159" s="8">
        <f>IF(FO$56-Voorblad!$F$41&gt;Voorblad!$K$41,0,IF($U159=0,0,IF($U159&lt;1,1/$U159,IF((FO$56-Voorblad!$F$41)/$U159-SUM($EE159:FN159)=1,1,0))))</f>
        <v>0</v>
      </c>
      <c r="FP159" s="8">
        <f>IF(FP$56-Voorblad!$F$41&gt;Voorblad!$K$41,0,IF($U159=0,0,IF($U159&lt;1,1/$U159,IF((FP$56-Voorblad!$F$41)/$U159-SUM($EE159:FO159)=1,1,0))))</f>
        <v>0</v>
      </c>
      <c r="FQ159" s="8">
        <f>IF(FQ$56-Voorblad!$F$41&gt;Voorblad!$K$41,0,IF($U159=0,0,IF($U159&lt;1,1/$U159,IF((FQ$56-Voorblad!$F$41)/$U159-SUM($EE159:FP159)=1,1,0))))</f>
        <v>0</v>
      </c>
      <c r="FR159" s="8">
        <f>IF(FR$56-Voorblad!$F$41&gt;Voorblad!$K$41,0,IF($U159=0,0,IF($U159&lt;1,1/$U159,IF((FR$56-Voorblad!$F$41)/$U159-SUM($EE159:FQ159)=1,1,0))))</f>
        <v>0</v>
      </c>
      <c r="FS159" s="8">
        <f>IF(FS$56-Voorblad!$F$41&gt;Voorblad!$K$41,0,IF($U159=0,0,IF($U159&lt;1,1/$U159,IF((FS$56-Voorblad!$F$41)/$U159-SUM($EE159:FR159)=1,1,0))))</f>
        <v>0</v>
      </c>
      <c r="FT159" s="8">
        <f>IF(FT$56-Voorblad!$F$41&gt;Voorblad!$K$41,0,IF($U159=0,0,IF($U159&lt;1,1/$U159,IF((FT$56-Voorblad!$F$41)/$U159-SUM($EE159:FS159)=1,1,0))))</f>
        <v>1</v>
      </c>
      <c r="FU159" s="8">
        <f>IF(FU$56-Voorblad!$F$41&gt;Voorblad!$K$41,0,IF($U159=0,0,IF($U159&lt;1,1/$U159,IF((FU$56-Voorblad!$F$41)/$U159-SUM($EE159:FT159)=1,1,0))))</f>
        <v>0</v>
      </c>
      <c r="FV159" s="8">
        <f>IF(FV$56-Voorblad!$F$41&gt;Voorblad!$K$41,0,IF($U159=0,0,IF($U159&lt;1,1/$U159,IF((FV$56-Voorblad!$F$41)/$U159-SUM($EE159:FU159)=1,1,0))))</f>
        <v>0</v>
      </c>
      <c r="FW159" s="8">
        <f>IF(FW$56-Voorblad!$F$41&gt;Voorblad!$K$41,0,IF($U159=0,0,IF($U159&lt;1,1/$U159,IF((FW$56-Voorblad!$F$41)/$U159-SUM($EE159:FV159)=1,1,0))))</f>
        <v>0</v>
      </c>
      <c r="FX159" s="8">
        <f>IF(FX$56-Voorblad!$F$41&gt;Voorblad!$K$41,0,IF($U159=0,0,IF($U159&lt;1,1/$U159,IF((FX$56-Voorblad!$F$41)/$U159-SUM($EE159:FW159)=1,1,0))))</f>
        <v>0</v>
      </c>
      <c r="FY159" s="8">
        <f>IF(FY$56-Voorblad!$F$41&gt;Voorblad!$K$41,0,IF($U159=0,0,IF($U159&lt;1,1/$U159,IF((FY$56-Voorblad!$F$41)/$U159-SUM($EE159:FX159)=1,1,0))))</f>
        <v>0</v>
      </c>
      <c r="FZ159" s="8">
        <f>IF(FZ$56-Voorblad!$F$41&gt;Voorblad!$K$41,0,IF($U159=0,0,IF($U159&lt;1,1/$U159,IF((FZ$56-Voorblad!$F$41)/$U159-SUM($EE159:FY159)=1,1,0))))</f>
        <v>0</v>
      </c>
      <c r="GA159" s="8">
        <f>IF(GA$56-Voorblad!$F$41&gt;Voorblad!$K$41,0,IF($U159=0,0,IF($U159&lt;1,1/$U159,IF((GA$56-Voorblad!$F$41)/$U159-SUM($EE159:FZ159)=1,1,0))))</f>
        <v>0</v>
      </c>
      <c r="GB159" s="8">
        <f>IF(GB$56-Voorblad!$F$41&gt;Voorblad!$K$41,0,IF($U159=0,0,IF($U159&lt;1,1/$U159,IF((GB$56-Voorblad!$F$41)/$U159-SUM($EE159:GA159)=1,1,0))))</f>
        <v>0</v>
      </c>
      <c r="GC159" s="8">
        <f>IF(GC$56-Voorblad!$F$41&gt;Voorblad!$K$41,0,IF($U159=0,0,IF($U159&lt;1,1/$U159,IF((GC$56-Voorblad!$F$41)/$U159-SUM($EE159:GB159)=1,1,0))))</f>
        <v>0</v>
      </c>
      <c r="GD159" s="8">
        <f>IF(GD$56-Voorblad!$F$41&gt;Voorblad!$K$41,0,IF($U159=0,0,IF($U159&lt;1,1/$U159,IF((GD$56-Voorblad!$F$41)/$U159-SUM($EE159:GC159)=1,1,0))))</f>
        <v>1</v>
      </c>
      <c r="GE159" s="8">
        <f>IF(GE$56-Voorblad!$F$41&gt;Voorblad!$K$41,0,IF($U159=0,0,IF($U159&lt;1,1/$U159,IF((GE$56-Voorblad!$F$41)/$U159-SUM($EE159:GD159)=1,1,0))))</f>
        <v>0</v>
      </c>
      <c r="GF159" s="8">
        <f>IF(GF$56-Voorblad!$F$41&gt;Voorblad!$K$41,0,IF($U159=0,0,IF($U159&lt;1,1/$U159,IF((GF$56-Voorblad!$F$41)/$U159-SUM($EE159:GE159)=1,1,0))))</f>
        <v>0</v>
      </c>
      <c r="GG159" s="8">
        <f>IF(GG$56-Voorblad!$F$41&gt;Voorblad!$K$41,0,IF($U159=0,0,IF($U159&lt;1,1/$U159,IF((GG$56-Voorblad!$F$41)/$U159-SUM($EE159:GF159)=1,1,0))))</f>
        <v>0</v>
      </c>
      <c r="GH159" s="8">
        <f>IF(GH$56-Voorblad!$F$41&gt;Voorblad!$K$41,0,IF($U159=0,0,IF($U159&lt;1,1/$U159,IF((GH$56-Voorblad!$F$41)/$U159-SUM($EE159:GG159)=1,1,0))))</f>
        <v>0</v>
      </c>
      <c r="GI159" s="8">
        <f>IF(GI$56-Voorblad!$F$41&gt;Voorblad!$K$41,0,IF($U159=0,0,IF($U159&lt;1,1/$U159,IF((GI$56-Voorblad!$F$41)/$U159-SUM($EE159:GH159)=1,1,0))))</f>
        <v>0</v>
      </c>
      <c r="GJ159" s="8">
        <f>IF(GJ$56-Voorblad!$F$41&gt;Voorblad!$K$41,0,IF($U159=0,0,IF($U159&lt;1,1/$U159,IF((GJ$56-Voorblad!$F$41)/$U159-SUM($EE159:GI159)=1,1,0))))</f>
        <v>0</v>
      </c>
      <c r="GK159" s="8">
        <f>IF(GK$56-Voorblad!$F$41&gt;Voorblad!$K$41,0,IF($U159=0,0,IF($U159&lt;1,1/$U159,IF((GK$56-Voorblad!$F$41)/$U159-SUM($EE159:GJ159)=1,1,0))))</f>
        <v>0</v>
      </c>
      <c r="GL159" s="8">
        <f>IF(GL$56-Voorblad!$F$41&gt;Voorblad!$K$41,0,IF($U159=0,0,IF($U159&lt;1,1/$U159,IF((GL$56-Voorblad!$F$41)/$U159-SUM($EE159:GK159)=1,1,0))))</f>
        <v>0</v>
      </c>
      <c r="GM159" s="8">
        <f>IF(GM$56-Voorblad!$F$41&gt;Voorblad!$K$41,0,IF($U159=0,0,IF($U159&lt;1,1/$U159,IF((GM$56-Voorblad!$F$41)/$U159-SUM($EE159:GL159)=1,1,0))))</f>
        <v>0</v>
      </c>
      <c r="GN159" s="8">
        <f>IF(GN$56-Voorblad!$F$41&gt;Voorblad!$K$41,0,IF($U159=0,0,IF($U159&lt;1,1/$U159,IF((GN$56-Voorblad!$F$41)/$U159-SUM($EE159:GM159)=1,1,0))))</f>
        <v>1</v>
      </c>
      <c r="GO159" s="8">
        <f>IF(GO$56-Voorblad!$F$41&gt;Voorblad!$K$41,0,IF($U159=0,0,IF($U159&lt;1,1/$U159,IF((GO$56-Voorblad!$F$41)/$U159-SUM($EE159:GN159)=1,1,0))))</f>
        <v>0</v>
      </c>
      <c r="GP159" s="8">
        <f>IF(GP$56-Voorblad!$F$41&gt;Voorblad!$K$41,0,IF($U159=0,0,IF($U159&lt;1,1/$U159,IF((GP$56-Voorblad!$F$41)/$U159-SUM($EE159:GO159)=1,1,0))))</f>
        <v>0</v>
      </c>
      <c r="GQ159" s="8">
        <f>IF(GQ$56-Voorblad!$F$41&gt;Voorblad!$K$41,0,IF($U159=0,0,IF($U159&lt;1,1/$U159,IF((GQ$56-Voorblad!$F$41)/$U159-SUM($EE159:GP159)=1,1,0))))</f>
        <v>0</v>
      </c>
      <c r="GR159" s="8">
        <f>IF(GR$56-Voorblad!$F$41&gt;Voorblad!$K$41,0,IF($U159=0,0,IF($U159&lt;1,1/$U159,IF((GR$56-Voorblad!$F$41)/$U159-SUM($EE159:GQ159)=1,1,0))))</f>
        <v>0</v>
      </c>
      <c r="GS159" s="8">
        <f>IF(GS$56-Voorblad!$F$41&gt;Voorblad!$K$41,0,IF($U159=0,0,IF($U159&lt;1,1/$U159,IF((GS$56-Voorblad!$F$41)/$U159-SUM($EE159:GR159)=1,1,0))))</f>
        <v>0</v>
      </c>
      <c r="GT159" s="8">
        <f>IF(GT$56-Voorblad!$F$41&gt;Voorblad!$K$41,0,IF($U159=0,0,IF($U159&lt;1,1/$U159,IF((GT$56-Voorblad!$F$41)/$U159-SUM($EE159:GS159)=1,1,0))))</f>
        <v>0</v>
      </c>
      <c r="GU159" s="8">
        <f>IF(GU$56-Voorblad!$F$41&gt;Voorblad!$K$41,0,IF($U159=0,0,IF($U159&lt;1,1/$U159,IF((GU$56-Voorblad!$F$41)/$U159-SUM($EE159:GT159)=1,1,0))))</f>
        <v>0</v>
      </c>
      <c r="GV159" s="8">
        <f>IF(GV$56-Voorblad!$F$41&gt;Voorblad!$K$41,0,IF($U159=0,0,IF($U159&lt;1,1/$U159,IF((GV$56-Voorblad!$F$41)/$U159-SUM($EE159:GU159)=1,1,0))))</f>
        <v>0</v>
      </c>
      <c r="GW159" s="8">
        <f>IF(GW$56-Voorblad!$F$41&gt;Voorblad!$K$41,0,IF($U159=0,0,IF($U159&lt;1,1/$U159,IF((GW$56-Voorblad!$F$41)/$U159-SUM($EE159:GV159)=1,1,0))))</f>
        <v>0</v>
      </c>
      <c r="GX159" s="8">
        <f>IF(GX$56-Voorblad!$F$41&gt;Voorblad!$K$41,0,IF($U159=0,0,IF($U159&lt;1,1/$U159,IF((GX$56-Voorblad!$F$41)/$U159-SUM($EE159:GW159)=1,1,0))))</f>
        <v>1</v>
      </c>
      <c r="GY159" s="8">
        <f>IF(GY$56-Voorblad!$F$41&gt;Voorblad!$K$41,0,IF($U159=0,0,IF($U159&lt;1,1/$U159,IF((GY$56-Voorblad!$F$41)/$U159-SUM($EE159:GX159)=1,1,0))))</f>
        <v>0</v>
      </c>
      <c r="GZ159" s="8">
        <f>IF(GZ$56-Voorblad!$F$41&gt;Voorblad!$K$41,0,IF($U159=0,0,IF($U159&lt;1,1/$U159,IF((GZ$56-Voorblad!$F$41)/$U159-SUM($EE159:GY159)=1,1,0))))</f>
        <v>0</v>
      </c>
      <c r="HA159" s="8">
        <f>IF(HA$56-Voorblad!$F$41&gt;Voorblad!$K$41,0,IF($U159=0,0,IF($U159&lt;1,1/$U159,IF((HA$56-Voorblad!$F$41)/$U159-SUM($EE159:GZ159)=1,1,0))))</f>
        <v>0</v>
      </c>
      <c r="HB159" s="8">
        <f>IF(HB$56-Voorblad!$F$41&gt;Voorblad!$K$41,0,IF($U159=0,0,IF($U159&lt;1,1/$U159,IF((HB$56-Voorblad!$F$41)/$U159-SUM($EE159:HA159)=1,1,0))))</f>
        <v>0</v>
      </c>
      <c r="HC159" s="8">
        <f>IF(HC$56-Voorblad!$F$41&gt;Voorblad!$K$41,0,IF($U159=0,0,IF($U159&lt;1,1/$U159,IF((HC$56-Voorblad!$F$41)/$U159-SUM($EE159:HB159)=1,1,0))))</f>
        <v>0</v>
      </c>
      <c r="HD159" s="8">
        <f>IF(HD$56-Voorblad!$F$41&gt;Voorblad!$K$41,0,IF($U159=0,0,IF($U159&lt;1,1/$U159,IF((HD$56-Voorblad!$F$41)/$U159-SUM($EE159:HC159)=1,1,0))))</f>
        <v>0</v>
      </c>
      <c r="HE159" s="8">
        <f>IF(HE$56-Voorblad!$F$41&gt;Voorblad!$K$41,0,IF($U159=0,0,IF($U159&lt;1,1/$U159,IF((HE$56-Voorblad!$F$41)/$U159-SUM($EE159:HD159)=1,1,0))))</f>
        <v>0</v>
      </c>
      <c r="HF159" s="8">
        <f>IF(HF$56-Voorblad!$F$41&gt;Voorblad!$K$41,0,IF($U159=0,0,IF($U159&lt;1,1/$U159,IF((HF$56-Voorblad!$F$41)/$U159-SUM($EE159:HE159)=1,1,0))))</f>
        <v>0</v>
      </c>
      <c r="HG159" s="8">
        <f>IF(HG$56-Voorblad!$F$41&gt;Voorblad!$K$41,0,IF($U159=0,0,IF($U159&lt;1,1/$U159,IF((HG$56-Voorblad!$F$41)/$U159-SUM($EE159:HF159)=1,1,0))))</f>
        <v>0</v>
      </c>
      <c r="HH159" s="8">
        <f>IF(HH$56-Voorblad!$F$41&gt;Voorblad!$K$41,0,IF($U159=0,0,IF($U159&lt;1,1/$U159,IF((HH$56-Voorblad!$F$41)/$U159-SUM($EE159:HG159)=1,1,0))))</f>
        <v>0</v>
      </c>
      <c r="HI159" s="8">
        <f>IF(HI$56-Voorblad!$F$41&gt;Voorblad!$K$41,0,IF($U159=0,0,IF($U159&lt;1,1/$U159,IF((HI$56-Voorblad!$F$41)/$U159-SUM($EE159:HH159)=1,1,0))))</f>
        <v>0</v>
      </c>
      <c r="HJ159" s="8">
        <f>IF(HJ$56-Voorblad!$F$41&gt;Voorblad!$K$41,0,IF($U159=0,0,IF($U159&lt;1,1/$U159,IF((HJ$56-Voorblad!$F$41)/$U159-SUM($EE159:HI159)=1,1,0))))</f>
        <v>0</v>
      </c>
      <c r="HK159" s="8">
        <f>IF(HK$56-Voorblad!$F$41&gt;Voorblad!$K$41,0,IF($U159=0,0,IF($U159&lt;1,1/$U159,IF((HK$56-Voorblad!$F$41)/$U159-SUM($EE159:HJ159)=1,1,0))))</f>
        <v>0</v>
      </c>
      <c r="HL159" s="8">
        <f>IF(HL$56-Voorblad!$F$41&gt;Voorblad!$K$41,0,IF($U159=0,0,IF($U159&lt;1,1/$U159,IF((HL$56-Voorblad!$F$41)/$U159-SUM($EE159:HK159)=1,1,0))))</f>
        <v>0</v>
      </c>
      <c r="HM159" s="8">
        <f>IF(HM$56-Voorblad!$F$41&gt;Voorblad!$K$41,0,IF($U159=0,0,IF($U159&lt;1,1/$U159,IF((HM$56-Voorblad!$F$41)/$U159-SUM($EE159:HL159)=1,1,0))))</f>
        <v>0</v>
      </c>
      <c r="HN159" s="8">
        <f>IF(HN$56-Voorblad!$F$41&gt;Voorblad!$K$41,0,IF($U159=0,0,IF($U159&lt;1,1/$U159,IF((HN$56-Voorblad!$F$41)/$U159-SUM($EE159:HM159)=1,1,0))))</f>
        <v>0</v>
      </c>
      <c r="HO159" s="8">
        <f>IF(HO$56-Voorblad!$F$41&gt;Voorblad!$K$41,0,IF($U159=0,0,IF($U159&lt;1,1/$U159,IF((HO$56-Voorblad!$F$41)/$U159-SUM($EE159:HN159)=1,1,0))))</f>
        <v>0</v>
      </c>
      <c r="HP159" s="8">
        <f>IF(HP$56-Voorblad!$F$41&gt;Voorblad!$K$41,0,IF($U159=0,0,IF($U159&lt;1,1/$U159,IF((HP$56-Voorblad!$F$41)/$U159-SUM($EE159:HO159)=1,1,0))))</f>
        <v>0</v>
      </c>
      <c r="HQ159" s="8">
        <f>IF(HQ$56-Voorblad!$F$41&gt;Voorblad!$K$41,0,IF($U159=0,0,IF($U159&lt;1,1/$U159,IF((HQ$56-Voorblad!$F$41)/$U159-SUM($EE159:HP159)=1,1,0))))</f>
        <v>0</v>
      </c>
      <c r="HR159" s="8">
        <f>IF(HR$56-Voorblad!$F$41&gt;Voorblad!$K$41,0,IF($U159=0,0,IF($U159&lt;1,1/$U159,IF((HR$56-Voorblad!$F$41)/$U159-SUM($EE159:HQ159)=1,1,0))))</f>
        <v>0</v>
      </c>
      <c r="HS159" s="8">
        <f>IF(HS$56-Voorblad!$F$41&gt;Voorblad!$K$41,0,IF($U159=0,0,IF($U159&lt;1,1/$U159,IF((HS$56-Voorblad!$F$41)/$U159-SUM($EE159:HR159)=1,1,0))))</f>
        <v>0</v>
      </c>
      <c r="HT159" s="8">
        <f>IF(HT$56-Voorblad!$F$41&gt;Voorblad!$K$41,0,IF($U159=0,0,IF($U159&lt;1,1/$U159,IF((HT$56-Voorblad!$F$41)/$U159-SUM($EE159:HS159)=1,1,0))))</f>
        <v>0</v>
      </c>
      <c r="HU159" s="8">
        <f>IF(HU$56-Voorblad!$F$41&gt;Voorblad!$K$41,0,IF($U159=0,0,IF($U159&lt;1,1/$U159,IF((HU$56-Voorblad!$F$41)/$U159-SUM($EE159:HT159)=1,1,0))))</f>
        <v>0</v>
      </c>
      <c r="HV159" s="8">
        <f>IF(HV$56-Voorblad!$F$41&gt;Voorblad!$K$41,0,IF($U159=0,0,IF($U159&lt;1,1/$U159,IF((HV$56-Voorblad!$F$41)/$U159-SUM($EE159:HU159)=1,1,0))))</f>
        <v>0</v>
      </c>
      <c r="HW159" s="8">
        <f>IF(HW$56-Voorblad!$F$41&gt;Voorblad!$K$41,0,IF($U159=0,0,IF($U159&lt;1,1/$U159,IF((HW$56-Voorblad!$F$41)/$U159-SUM($EE159:HV159)=1,1,0))))</f>
        <v>0</v>
      </c>
      <c r="HX159" s="8">
        <f>IF(HX$56-Voorblad!$F$41&gt;Voorblad!$K$41,0,IF($U159=0,0,IF($U159&lt;1,1/$U159,IF((HX$56-Voorblad!$F$41)/$U159-SUM($EE159:HW159)=1,1,0))))</f>
        <v>0</v>
      </c>
      <c r="HY159" s="8">
        <f>IF(HY$56-Voorblad!$F$41&gt;Voorblad!$K$41,0,IF($U159=0,0,IF($U159&lt;1,1/$U159,IF((HY$56-Voorblad!$F$41)/$U159-SUM($EE159:HX159)=1,1,0))))</f>
        <v>0</v>
      </c>
      <c r="HZ159" s="8">
        <f>IF(HZ$56-Voorblad!$F$41&gt;Voorblad!$K$41,0,IF($U159=0,0,IF($U159&lt;1,1/$U159,IF((HZ$56-Voorblad!$F$41)/$U159-SUM($EE159:HY159)=1,1,0))))</f>
        <v>0</v>
      </c>
      <c r="IA159" s="8">
        <f>IF(IA$56-Voorblad!$F$41&gt;Voorblad!$K$41,0,IF($U159=0,0,IF($U159&lt;1,1/$U159,IF((IA$56-Voorblad!$F$41)/$U159-SUM($EE159:HZ159)=1,1,0))))</f>
        <v>0</v>
      </c>
      <c r="IB159" s="8">
        <f>IF(IB$56-Voorblad!$F$41&gt;Voorblad!$K$41,0,IF($U159=0,0,IF($U159&lt;1,1/$U159,IF((IB$56-Voorblad!$F$41)/$U159-SUM($EE159:IA159)=1,1,0))))</f>
        <v>0</v>
      </c>
    </row>
    <row r="160" spans="2:236" ht="12" hidden="1" customHeight="1" outlineLevel="1" x14ac:dyDescent="0.25">
      <c r="B160" s="1">
        <v>3</v>
      </c>
      <c r="F160" s="1" t="s">
        <v>23</v>
      </c>
      <c r="I160" s="1" t="s">
        <v>277</v>
      </c>
      <c r="K160" s="1" t="s">
        <v>84</v>
      </c>
      <c r="Q160" s="83">
        <v>0</v>
      </c>
      <c r="R160" s="1" t="s">
        <v>35</v>
      </c>
      <c r="S160" s="21">
        <f>$H$20*20</f>
        <v>35.4</v>
      </c>
      <c r="T160" s="9">
        <f t="shared" si="189"/>
        <v>0</v>
      </c>
      <c r="U160" s="14">
        <v>10</v>
      </c>
      <c r="V160" s="14"/>
      <c r="Y160" s="9">
        <f t="shared" si="190"/>
        <v>0</v>
      </c>
      <c r="Z160" s="82"/>
      <c r="AA160" s="82"/>
      <c r="AC160" s="9">
        <f>$Y160*(Voorblad!$K$44*(1+Voorblad!$K$44)^Voorblad!$K$41)/((1+Voorblad!$K$44)^Voorblad!$K$41-1)</f>
        <v>0</v>
      </c>
      <c r="AE160" s="9">
        <f>EF160*($Q160*$S160)/(1+Voorblad!$K$44)^(AE$56-Voorblad!$F$41)</f>
        <v>0</v>
      </c>
      <c r="AF160" s="9">
        <f>EG160*($Q160*$S160)/(1+Voorblad!$K$44)^(AF$56-Voorblad!$F$41)</f>
        <v>0</v>
      </c>
      <c r="AG160" s="9">
        <f>EH160*($Q160*$S160)/(1+Voorblad!$K$44)^(AG$56-Voorblad!$F$41)</f>
        <v>0</v>
      </c>
      <c r="AH160" s="9">
        <f>EI160*($Q160*$S160)/(1+Voorblad!$K$44)^(AH$56-Voorblad!$F$41)</f>
        <v>0</v>
      </c>
      <c r="AI160" s="9">
        <f>EJ160*($Q160*$S160)/(1+Voorblad!$K$44)^(AI$56-Voorblad!$F$41)</f>
        <v>0</v>
      </c>
      <c r="AJ160" s="9">
        <f>EK160*($Q160*$S160)/(1+Voorblad!$K$44)^(AJ$56-Voorblad!$F$41)</f>
        <v>0</v>
      </c>
      <c r="AK160" s="9">
        <f>EL160*($Q160*$S160)/(1+Voorblad!$K$44)^(AK$56-Voorblad!$F$41)</f>
        <v>0</v>
      </c>
      <c r="AL160" s="9">
        <f>EM160*($Q160*$S160)/(1+Voorblad!$K$44)^(AL$56-Voorblad!$F$41)</f>
        <v>0</v>
      </c>
      <c r="AM160" s="9">
        <f>EN160*($Q160*$S160)/(1+Voorblad!$K$44)^(AM$56-Voorblad!$F$41)</f>
        <v>0</v>
      </c>
      <c r="AN160" s="9">
        <f>EO160*($Q160*$S160)/(1+Voorblad!$K$44)^(AN$56-Voorblad!$F$41)</f>
        <v>0</v>
      </c>
      <c r="AO160" s="9">
        <f>EP160*($Q160*$S160)/(1+Voorblad!$K$44)^(AO$56-Voorblad!$F$41)</f>
        <v>0</v>
      </c>
      <c r="AP160" s="9">
        <f>EQ160*($Q160*$S160)/(1+Voorblad!$K$44)^(AP$56-Voorblad!$F$41)</f>
        <v>0</v>
      </c>
      <c r="AQ160" s="9">
        <f>ER160*($Q160*$S160)/(1+Voorblad!$K$44)^(AQ$56-Voorblad!$F$41)</f>
        <v>0</v>
      </c>
      <c r="AR160" s="9">
        <f>ES160*($Q160*$S160)/(1+Voorblad!$K$44)^(AR$56-Voorblad!$F$41)</f>
        <v>0</v>
      </c>
      <c r="AS160" s="9">
        <f>ET160*($Q160*$S160)/(1+Voorblad!$K$44)^(AS$56-Voorblad!$F$41)</f>
        <v>0</v>
      </c>
      <c r="AT160" s="9">
        <f>EU160*($Q160*$S160)/(1+Voorblad!$K$44)^(AT$56-Voorblad!$F$41)</f>
        <v>0</v>
      </c>
      <c r="AU160" s="9">
        <f>EV160*($Q160*$S160)/(1+Voorblad!$K$44)^(AU$56-Voorblad!$F$41)</f>
        <v>0</v>
      </c>
      <c r="AV160" s="9">
        <f>EW160*($Q160*$S160)/(1+Voorblad!$K$44)^(AV$56-Voorblad!$F$41)</f>
        <v>0</v>
      </c>
      <c r="AW160" s="9">
        <f>EX160*($Q160*$S160)/(1+Voorblad!$K$44)^(AW$56-Voorblad!$F$41)</f>
        <v>0</v>
      </c>
      <c r="AX160" s="9">
        <f>EY160*($Q160*$S160)/(1+Voorblad!$K$44)^(AX$56-Voorblad!$F$41)</f>
        <v>0</v>
      </c>
      <c r="AY160" s="9">
        <f>EZ160*($Q160*$S160)/(1+Voorblad!$K$44)^(AY$56-Voorblad!$F$41)</f>
        <v>0</v>
      </c>
      <c r="AZ160" s="9">
        <f>FA160*($Q160*$S160)/(1+Voorblad!$K$44)^(AZ$56-Voorblad!$F$41)</f>
        <v>0</v>
      </c>
      <c r="BA160" s="9">
        <f>FB160*($Q160*$S160)/(1+Voorblad!$K$44)^(BA$56-Voorblad!$F$41)</f>
        <v>0</v>
      </c>
      <c r="BB160" s="9">
        <f>FC160*($Q160*$S160)/(1+Voorblad!$K$44)^(BB$56-Voorblad!$F$41)</f>
        <v>0</v>
      </c>
      <c r="BC160" s="9">
        <f>FD160*($Q160*$S160)/(1+Voorblad!$K$44)^(BC$56-Voorblad!$F$41)</f>
        <v>0</v>
      </c>
      <c r="BD160" s="9">
        <f>FE160*($Q160*$S160)/(1+Voorblad!$K$44)^(BD$56-Voorblad!$F$41)</f>
        <v>0</v>
      </c>
      <c r="BE160" s="9">
        <f>FF160*($Q160*$S160)/(1+Voorblad!$K$44)^(BE$56-Voorblad!$F$41)</f>
        <v>0</v>
      </c>
      <c r="BF160" s="9">
        <f>FG160*($Q160*$S160)/(1+Voorblad!$K$44)^(BF$56-Voorblad!$F$41)</f>
        <v>0</v>
      </c>
      <c r="BG160" s="9">
        <f>FH160*($Q160*$S160)/(1+Voorblad!$K$44)^(BG$56-Voorblad!$F$41)</f>
        <v>0</v>
      </c>
      <c r="BH160" s="9">
        <f>FI160*($Q160*$S160)/(1+Voorblad!$K$44)^(BH$56-Voorblad!$F$41)</f>
        <v>0</v>
      </c>
      <c r="BI160" s="9">
        <f>FJ160*($Q160*$S160)/(1+Voorblad!$K$44)^(BI$56-Voorblad!$F$41)</f>
        <v>0</v>
      </c>
      <c r="BJ160" s="9">
        <f>FK160*($Q160*$S160)/(1+Voorblad!$K$44)^(BJ$56-Voorblad!$F$41)</f>
        <v>0</v>
      </c>
      <c r="BK160" s="9">
        <f>FL160*($Q160*$S160)/(1+Voorblad!$K$44)^(BK$56-Voorblad!$F$41)</f>
        <v>0</v>
      </c>
      <c r="BL160" s="9">
        <f>FM160*($Q160*$S160)/(1+Voorblad!$K$44)^(BL$56-Voorblad!$F$41)</f>
        <v>0</v>
      </c>
      <c r="BM160" s="9">
        <f>FN160*($Q160*$S160)/(1+Voorblad!$K$44)^(BM$56-Voorblad!$F$41)</f>
        <v>0</v>
      </c>
      <c r="BN160" s="9">
        <f>FO160*($Q160*$S160)/(1+Voorblad!$K$44)^(BN$56-Voorblad!$F$41)</f>
        <v>0</v>
      </c>
      <c r="BO160" s="9">
        <f>FP160*($Q160*$S160)/(1+Voorblad!$K$44)^(BO$56-Voorblad!$F$41)</f>
        <v>0</v>
      </c>
      <c r="BP160" s="9">
        <f>FQ160*($Q160*$S160)/(1+Voorblad!$K$44)^(BP$56-Voorblad!$F$41)</f>
        <v>0</v>
      </c>
      <c r="BQ160" s="9">
        <f>FR160*($Q160*$S160)/(1+Voorblad!$K$44)^(BQ$56-Voorblad!$F$41)</f>
        <v>0</v>
      </c>
      <c r="BR160" s="9">
        <f>FS160*($Q160*$S160)/(1+Voorblad!$K$44)^(BR$56-Voorblad!$F$41)</f>
        <v>0</v>
      </c>
      <c r="BS160" s="9">
        <f>FT160*($Q160*$S160)/(1+Voorblad!$K$44)^(BS$56-Voorblad!$F$41)</f>
        <v>0</v>
      </c>
      <c r="BT160" s="9">
        <f>FU160*($Q160*$S160)/(1+Voorblad!$K$44)^(BT$56-Voorblad!$F$41)</f>
        <v>0</v>
      </c>
      <c r="BU160" s="9">
        <f>FV160*($Q160*$S160)/(1+Voorblad!$K$44)^(BU$56-Voorblad!$F$41)</f>
        <v>0</v>
      </c>
      <c r="BV160" s="9">
        <f>FW160*($Q160*$S160)/(1+Voorblad!$K$44)^(BV$56-Voorblad!$F$41)</f>
        <v>0</v>
      </c>
      <c r="BW160" s="9">
        <f>FX160*($Q160*$S160)/(1+Voorblad!$K$44)^(BW$56-Voorblad!$F$41)</f>
        <v>0</v>
      </c>
      <c r="BX160" s="9">
        <f>FY160*($Q160*$S160)/(1+Voorblad!$K$44)^(BX$56-Voorblad!$F$41)</f>
        <v>0</v>
      </c>
      <c r="BY160" s="9">
        <f>FZ160*($Q160*$S160)/(1+Voorblad!$K$44)^(BY$56-Voorblad!$F$41)</f>
        <v>0</v>
      </c>
      <c r="BZ160" s="9">
        <f>GA160*($Q160*$S160)/(1+Voorblad!$K$44)^(BZ$56-Voorblad!$F$41)</f>
        <v>0</v>
      </c>
      <c r="CA160" s="9">
        <f>GB160*($Q160*$S160)/(1+Voorblad!$K$44)^(CA$56-Voorblad!$F$41)</f>
        <v>0</v>
      </c>
      <c r="CB160" s="9">
        <f>GC160*($Q160*$S160)/(1+Voorblad!$K$44)^(CB$56-Voorblad!$F$41)</f>
        <v>0</v>
      </c>
      <c r="CC160" s="9">
        <f>GD160*($Q160*$S160)/(1+Voorblad!$K$44)^(CC$56-Voorblad!$F$41)</f>
        <v>0</v>
      </c>
      <c r="CD160" s="9">
        <f>GE160*($Q160*$S160)/(1+Voorblad!$K$44)^(CD$56-Voorblad!$F$41)</f>
        <v>0</v>
      </c>
      <c r="CE160" s="9">
        <f>GF160*($Q160*$S160)/(1+Voorblad!$K$44)^(CE$56-Voorblad!$F$41)</f>
        <v>0</v>
      </c>
      <c r="CF160" s="9">
        <f>GG160*($Q160*$S160)/(1+Voorblad!$K$44)^(CF$56-Voorblad!$F$41)</f>
        <v>0</v>
      </c>
      <c r="CG160" s="9">
        <f>GH160*($Q160*$S160)/(1+Voorblad!$K$44)^(CG$56-Voorblad!$F$41)</f>
        <v>0</v>
      </c>
      <c r="CH160" s="9">
        <f>GI160*($Q160*$S160)/(1+Voorblad!$K$44)^(CH$56-Voorblad!$F$41)</f>
        <v>0</v>
      </c>
      <c r="CI160" s="9">
        <f>GJ160*($Q160*$S160)/(1+Voorblad!$K$44)^(CI$56-Voorblad!$F$41)</f>
        <v>0</v>
      </c>
      <c r="CJ160" s="9">
        <f>GK160*($Q160*$S160)/(1+Voorblad!$K$44)^(CJ$56-Voorblad!$F$41)</f>
        <v>0</v>
      </c>
      <c r="CK160" s="9">
        <f>GL160*($Q160*$S160)/(1+Voorblad!$K$44)^(CK$56-Voorblad!$F$41)</f>
        <v>0</v>
      </c>
      <c r="CL160" s="9">
        <f>GM160*($Q160*$S160)/(1+Voorblad!$K$44)^(CL$56-Voorblad!$F$41)</f>
        <v>0</v>
      </c>
      <c r="CM160" s="9">
        <f>GN160*($Q160*$S160)/(1+Voorblad!$K$44)^(CM$56-Voorblad!$F$41)</f>
        <v>0</v>
      </c>
      <c r="CN160" s="9">
        <f>GO160*($Q160*$S160)/(1+Voorblad!$K$44)^(CN$56-Voorblad!$F$41)</f>
        <v>0</v>
      </c>
      <c r="CO160" s="9">
        <f>GP160*($Q160*$S160)/(1+Voorblad!$K$44)^(CO$56-Voorblad!$F$41)</f>
        <v>0</v>
      </c>
      <c r="CP160" s="9">
        <f>GQ160*($Q160*$S160)/(1+Voorblad!$K$44)^(CP$56-Voorblad!$F$41)</f>
        <v>0</v>
      </c>
      <c r="CQ160" s="9">
        <f>GR160*($Q160*$S160)/(1+Voorblad!$K$44)^(CQ$56-Voorblad!$F$41)</f>
        <v>0</v>
      </c>
      <c r="CR160" s="9">
        <f>GS160*($Q160*$S160)/(1+Voorblad!$K$44)^(CR$56-Voorblad!$F$41)</f>
        <v>0</v>
      </c>
      <c r="CS160" s="9">
        <f>GT160*($Q160*$S160)/(1+Voorblad!$K$44)^(CS$56-Voorblad!$F$41)</f>
        <v>0</v>
      </c>
      <c r="CT160" s="9">
        <f>GU160*($Q160*$S160)/(1+Voorblad!$K$44)^(CT$56-Voorblad!$F$41)</f>
        <v>0</v>
      </c>
      <c r="CU160" s="9">
        <f>GV160*($Q160*$S160)/(1+Voorblad!$K$44)^(CU$56-Voorblad!$F$41)</f>
        <v>0</v>
      </c>
      <c r="CV160" s="9">
        <f>GW160*($Q160*$S160)/(1+Voorblad!$K$44)^(CV$56-Voorblad!$F$41)</f>
        <v>0</v>
      </c>
      <c r="CW160" s="9">
        <f>GX160*($Q160*$S160)/(1+Voorblad!$K$44)^(CW$56-Voorblad!$F$41)</f>
        <v>0</v>
      </c>
      <c r="CX160" s="9">
        <f>GY160*($Q160*$S160)/(1+Voorblad!$K$44)^(CX$56-Voorblad!$F$41)</f>
        <v>0</v>
      </c>
      <c r="CY160" s="9">
        <f>GZ160*($Q160*$S160)/(1+Voorblad!$K$44)^(CY$56-Voorblad!$F$41)</f>
        <v>0</v>
      </c>
      <c r="CZ160" s="9">
        <f>HA160*($Q160*$S160)/(1+Voorblad!$K$44)^(CZ$56-Voorblad!$F$41)</f>
        <v>0</v>
      </c>
      <c r="DA160" s="9">
        <f>HB160*($Q160*$S160)/(1+Voorblad!$K$44)^(DA$56-Voorblad!$F$41)</f>
        <v>0</v>
      </c>
      <c r="DB160" s="9">
        <f>HC160*($Q160*$S160)/(1+Voorblad!$K$44)^(DB$56-Voorblad!$F$41)</f>
        <v>0</v>
      </c>
      <c r="DC160" s="9">
        <f>HD160*($Q160*$S160)/(1+Voorblad!$K$44)^(DC$56-Voorblad!$F$41)</f>
        <v>0</v>
      </c>
      <c r="DD160" s="9">
        <f>HE160*($Q160*$S160)/(1+Voorblad!$K$44)^(DD$56-Voorblad!$F$41)</f>
        <v>0</v>
      </c>
      <c r="DE160" s="9">
        <f>HF160*($Q160*$S160)/(1+Voorblad!$K$44)^(DE$56-Voorblad!$F$41)</f>
        <v>0</v>
      </c>
      <c r="DF160" s="9">
        <f>HG160*($Q160*$S160)/(1+Voorblad!$K$44)^(DF$56-Voorblad!$F$41)</f>
        <v>0</v>
      </c>
      <c r="DG160" s="9">
        <f>HH160*($Q160*$S160)/(1+Voorblad!$K$44)^(DG$56-Voorblad!$F$41)</f>
        <v>0</v>
      </c>
      <c r="DH160" s="9">
        <f>HI160*($Q160*$S160)/(1+Voorblad!$K$44)^(DH$56-Voorblad!$F$41)</f>
        <v>0</v>
      </c>
      <c r="DI160" s="9">
        <f>HJ160*($Q160*$S160)/(1+Voorblad!$K$44)^(DI$56-Voorblad!$F$41)</f>
        <v>0</v>
      </c>
      <c r="DJ160" s="9">
        <f>HK160*($Q160*$S160)/(1+Voorblad!$K$44)^(DJ$56-Voorblad!$F$41)</f>
        <v>0</v>
      </c>
      <c r="DK160" s="9">
        <f>HL160*($Q160*$S160)/(1+Voorblad!$K$44)^(DK$56-Voorblad!$F$41)</f>
        <v>0</v>
      </c>
      <c r="DL160" s="9">
        <f>HM160*($Q160*$S160)/(1+Voorblad!$K$44)^(DL$56-Voorblad!$F$41)</f>
        <v>0</v>
      </c>
      <c r="DM160" s="9">
        <f>HN160*($Q160*$S160)/(1+Voorblad!$K$44)^(DM$56-Voorblad!$F$41)</f>
        <v>0</v>
      </c>
      <c r="DN160" s="9">
        <f>HO160*($Q160*$S160)/(1+Voorblad!$K$44)^(DN$56-Voorblad!$F$41)</f>
        <v>0</v>
      </c>
      <c r="DO160" s="9">
        <f>HP160*($Q160*$S160)/(1+Voorblad!$K$44)^(DO$56-Voorblad!$F$41)</f>
        <v>0</v>
      </c>
      <c r="DP160" s="9">
        <f>HQ160*($Q160*$S160)/(1+Voorblad!$K$44)^(DP$56-Voorblad!$F$41)</f>
        <v>0</v>
      </c>
      <c r="DQ160" s="9">
        <f>HR160*($Q160*$S160)/(1+Voorblad!$K$44)^(DQ$56-Voorblad!$F$41)</f>
        <v>0</v>
      </c>
      <c r="DR160" s="9">
        <f>HS160*($Q160*$S160)/(1+Voorblad!$K$44)^(DR$56-Voorblad!$F$41)</f>
        <v>0</v>
      </c>
      <c r="DS160" s="9">
        <f>HT160*($Q160*$S160)/(1+Voorblad!$K$44)^(DS$56-Voorblad!$F$41)</f>
        <v>0</v>
      </c>
      <c r="DT160" s="9">
        <f>HU160*($Q160*$S160)/(1+Voorblad!$K$44)^(DT$56-Voorblad!$F$41)</f>
        <v>0</v>
      </c>
      <c r="DU160" s="9">
        <f>HV160*($Q160*$S160)/(1+Voorblad!$K$44)^(DU$56-Voorblad!$F$41)</f>
        <v>0</v>
      </c>
      <c r="DV160" s="9">
        <f>HW160*($Q160*$S160)/(1+Voorblad!$K$44)^(DV$56-Voorblad!$F$41)</f>
        <v>0</v>
      </c>
      <c r="DW160" s="9">
        <f>HX160*($Q160*$S160)/(1+Voorblad!$K$44)^(DW$56-Voorblad!$F$41)</f>
        <v>0</v>
      </c>
      <c r="DX160" s="9">
        <f>HY160*($Q160*$S160)/(1+Voorblad!$K$44)^(DX$56-Voorblad!$F$41)</f>
        <v>0</v>
      </c>
      <c r="DY160" s="9">
        <f>HZ160*($Q160*$S160)/(1+Voorblad!$K$44)^(DY$56-Voorblad!$F$41)</f>
        <v>0</v>
      </c>
      <c r="DZ160" s="9">
        <f>IA160*($Q160*$S160)/(1+Voorblad!$K$44)^(DZ$56-Voorblad!$F$41)</f>
        <v>0</v>
      </c>
      <c r="EA160" s="9">
        <f>IB160*($Q160*$S160)/(1+Voorblad!$K$44)^(EA$56-Voorblad!$F$41)</f>
        <v>0</v>
      </c>
      <c r="EB160" s="9">
        <f>IC160*($Q160*$S160)/(1+Voorblad!$K$44)^(EB$56-Voorblad!$F$41)</f>
        <v>0</v>
      </c>
      <c r="EE160" s="8">
        <v>0</v>
      </c>
      <c r="EF160" s="8">
        <f>IF(EF$56-Voorblad!$F$41&gt;Voorblad!$K$41,0,IF($U160=0,0,IF($U160&lt;1,1/$U160,IF((EF$56-Voorblad!$F$41)/$U160-SUM($EE160:EE160)=1,1,0))))</f>
        <v>0</v>
      </c>
      <c r="EG160" s="8">
        <f>IF(EG$56-Voorblad!$F$41&gt;Voorblad!$K$41,0,IF($U160=0,0,IF($U160&lt;1,1/$U160,IF((EG$56-Voorblad!$F$41)/$U160-SUM($EE160:EF160)=1,1,0))))</f>
        <v>0</v>
      </c>
      <c r="EH160" s="8">
        <f>IF(EH$56-Voorblad!$F$41&gt;Voorblad!$K$41,0,IF($U160=0,0,IF($U160&lt;1,1/$U160,IF((EH$56-Voorblad!$F$41)/$U160-SUM($EE160:EG160)=1,1,0))))</f>
        <v>0</v>
      </c>
      <c r="EI160" s="8">
        <f>IF(EI$56-Voorblad!$F$41&gt;Voorblad!$K$41,0,IF($U160=0,0,IF($U160&lt;1,1/$U160,IF((EI$56-Voorblad!$F$41)/$U160-SUM($EE160:EH160)=1,1,0))))</f>
        <v>0</v>
      </c>
      <c r="EJ160" s="8">
        <f>IF(EJ$56-Voorblad!$F$41&gt;Voorblad!$K$41,0,IF($U160=0,0,IF($U160&lt;1,1/$U160,IF((EJ$56-Voorblad!$F$41)/$U160-SUM($EE160:EI160)=1,1,0))))</f>
        <v>0</v>
      </c>
      <c r="EK160" s="8">
        <f>IF(EK$56-Voorblad!$F$41&gt;Voorblad!$K$41,0,IF($U160=0,0,IF($U160&lt;1,1/$U160,IF((EK$56-Voorblad!$F$41)/$U160-SUM($EE160:EJ160)=1,1,0))))</f>
        <v>0</v>
      </c>
      <c r="EL160" s="8">
        <f>IF(EL$56-Voorblad!$F$41&gt;Voorblad!$K$41,0,IF($U160=0,0,IF($U160&lt;1,1/$U160,IF((EL$56-Voorblad!$F$41)/$U160-SUM($EE160:EK160)=1,1,0))))</f>
        <v>0</v>
      </c>
      <c r="EM160" s="8">
        <f>IF(EM$56-Voorblad!$F$41&gt;Voorblad!$K$41,0,IF($U160=0,0,IF($U160&lt;1,1/$U160,IF((EM$56-Voorblad!$F$41)/$U160-SUM($EE160:EL160)=1,1,0))))</f>
        <v>0</v>
      </c>
      <c r="EN160" s="8">
        <f>IF(EN$56-Voorblad!$F$41&gt;Voorblad!$K$41,0,IF($U160=0,0,IF($U160&lt;1,1/$U160,IF((EN$56-Voorblad!$F$41)/$U160-SUM($EE160:EM160)=1,1,0))))</f>
        <v>0</v>
      </c>
      <c r="EO160" s="8">
        <f>IF(EO$56-Voorblad!$F$41&gt;Voorblad!$K$41,0,IF($U160=0,0,IF($U160&lt;1,1/$U160,IF((EO$56-Voorblad!$F$41)/$U160-SUM($EE160:EN160)=1,1,0))))</f>
        <v>0</v>
      </c>
      <c r="EP160" s="8">
        <f>IF(EP$56-Voorblad!$F$41&gt;Voorblad!$K$41,0,IF($U160=0,0,IF($U160&lt;1,1/$U160,IF((EP$56-Voorblad!$F$41)/$U160-SUM($EE160:EO160)=1,1,0))))</f>
        <v>1</v>
      </c>
      <c r="EQ160" s="8">
        <f>IF(EQ$56-Voorblad!$F$41&gt;Voorblad!$K$41,0,IF($U160=0,0,IF($U160&lt;1,1/$U160,IF((EQ$56-Voorblad!$F$41)/$U160-SUM($EE160:EP160)=1,1,0))))</f>
        <v>0</v>
      </c>
      <c r="ER160" s="8">
        <f>IF(ER$56-Voorblad!$F$41&gt;Voorblad!$K$41,0,IF($U160=0,0,IF($U160&lt;1,1/$U160,IF((ER$56-Voorblad!$F$41)/$U160-SUM($EE160:EQ160)=1,1,0))))</f>
        <v>0</v>
      </c>
      <c r="ES160" s="8">
        <f>IF(ES$56-Voorblad!$F$41&gt;Voorblad!$K$41,0,IF($U160=0,0,IF($U160&lt;1,1/$U160,IF((ES$56-Voorblad!$F$41)/$U160-SUM($EE160:ER160)=1,1,0))))</f>
        <v>0</v>
      </c>
      <c r="ET160" s="8">
        <f>IF(ET$56-Voorblad!$F$41&gt;Voorblad!$K$41,0,IF($U160=0,0,IF($U160&lt;1,1/$U160,IF((ET$56-Voorblad!$F$41)/$U160-SUM($EE160:ES160)=1,1,0))))</f>
        <v>0</v>
      </c>
      <c r="EU160" s="8">
        <f>IF(EU$56-Voorblad!$F$41&gt;Voorblad!$K$41,0,IF($U160=0,0,IF($U160&lt;1,1/$U160,IF((EU$56-Voorblad!$F$41)/$U160-SUM($EE160:ET160)=1,1,0))))</f>
        <v>0</v>
      </c>
      <c r="EV160" s="8">
        <f>IF(EV$56-Voorblad!$F$41&gt;Voorblad!$K$41,0,IF($U160=0,0,IF($U160&lt;1,1/$U160,IF((EV$56-Voorblad!$F$41)/$U160-SUM($EE160:EU160)=1,1,0))))</f>
        <v>0</v>
      </c>
      <c r="EW160" s="8">
        <f>IF(EW$56-Voorblad!$F$41&gt;Voorblad!$K$41,0,IF($U160=0,0,IF($U160&lt;1,1/$U160,IF((EW$56-Voorblad!$F$41)/$U160-SUM($EE160:EV160)=1,1,0))))</f>
        <v>0</v>
      </c>
      <c r="EX160" s="8">
        <f>IF(EX$56-Voorblad!$F$41&gt;Voorblad!$K$41,0,IF($U160=0,0,IF($U160&lt;1,1/$U160,IF((EX$56-Voorblad!$F$41)/$U160-SUM($EE160:EW160)=1,1,0))))</f>
        <v>0</v>
      </c>
      <c r="EY160" s="8">
        <f>IF(EY$56-Voorblad!$F$41&gt;Voorblad!$K$41,0,IF($U160=0,0,IF($U160&lt;1,1/$U160,IF((EY$56-Voorblad!$F$41)/$U160-SUM($EE160:EX160)=1,1,0))))</f>
        <v>0</v>
      </c>
      <c r="EZ160" s="8">
        <f>IF(EZ$56-Voorblad!$F$41&gt;Voorblad!$K$41,0,IF($U160=0,0,IF($U160&lt;1,1/$U160,IF((EZ$56-Voorblad!$F$41)/$U160-SUM($EE160:EY160)=1,1,0))))</f>
        <v>1</v>
      </c>
      <c r="FA160" s="8">
        <f>IF(FA$56-Voorblad!$F$41&gt;Voorblad!$K$41,0,IF($U160=0,0,IF($U160&lt;1,1/$U160,IF((FA$56-Voorblad!$F$41)/$U160-SUM($EE160:EZ160)=1,1,0))))</f>
        <v>0</v>
      </c>
      <c r="FB160" s="8">
        <f>IF(FB$56-Voorblad!$F$41&gt;Voorblad!$K$41,0,IF($U160=0,0,IF($U160&lt;1,1/$U160,IF((FB$56-Voorblad!$F$41)/$U160-SUM($EE160:FA160)=1,1,0))))</f>
        <v>0</v>
      </c>
      <c r="FC160" s="8">
        <f>IF(FC$56-Voorblad!$F$41&gt;Voorblad!$K$41,0,IF($U160=0,0,IF($U160&lt;1,1/$U160,IF((FC$56-Voorblad!$F$41)/$U160-SUM($EE160:FB160)=1,1,0))))</f>
        <v>0</v>
      </c>
      <c r="FD160" s="8">
        <f>IF(FD$56-Voorblad!$F$41&gt;Voorblad!$K$41,0,IF($U160=0,0,IF($U160&lt;1,1/$U160,IF((FD$56-Voorblad!$F$41)/$U160-SUM($EE160:FC160)=1,1,0))))</f>
        <v>0</v>
      </c>
      <c r="FE160" s="8">
        <f>IF(FE$56-Voorblad!$F$41&gt;Voorblad!$K$41,0,IF($U160=0,0,IF($U160&lt;1,1/$U160,IF((FE$56-Voorblad!$F$41)/$U160-SUM($EE160:FD160)=1,1,0))))</f>
        <v>0</v>
      </c>
      <c r="FF160" s="8">
        <f>IF(FF$56-Voorblad!$F$41&gt;Voorblad!$K$41,0,IF($U160=0,0,IF($U160&lt;1,1/$U160,IF((FF$56-Voorblad!$F$41)/$U160-SUM($EE160:FE160)=1,1,0))))</f>
        <v>0</v>
      </c>
      <c r="FG160" s="8">
        <f>IF(FG$56-Voorblad!$F$41&gt;Voorblad!$K$41,0,IF($U160=0,0,IF($U160&lt;1,1/$U160,IF((FG$56-Voorblad!$F$41)/$U160-SUM($EE160:FF160)=1,1,0))))</f>
        <v>0</v>
      </c>
      <c r="FH160" s="8">
        <f>IF(FH$56-Voorblad!$F$41&gt;Voorblad!$K$41,0,IF($U160=0,0,IF($U160&lt;1,1/$U160,IF((FH$56-Voorblad!$F$41)/$U160-SUM($EE160:FG160)=1,1,0))))</f>
        <v>0</v>
      </c>
      <c r="FI160" s="8">
        <f>IF(FI$56-Voorblad!$F$41&gt;Voorblad!$K$41,0,IF($U160=0,0,IF($U160&lt;1,1/$U160,IF((FI$56-Voorblad!$F$41)/$U160-SUM($EE160:FH160)=1,1,0))))</f>
        <v>0</v>
      </c>
      <c r="FJ160" s="8">
        <f>IF(FJ$56-Voorblad!$F$41&gt;Voorblad!$K$41,0,IF($U160=0,0,IF($U160&lt;1,1/$U160,IF((FJ$56-Voorblad!$F$41)/$U160-SUM($EE160:FI160)=1,1,0))))</f>
        <v>1</v>
      </c>
      <c r="FK160" s="8">
        <f>IF(FK$56-Voorblad!$F$41&gt;Voorblad!$K$41,0,IF($U160=0,0,IF($U160&lt;1,1/$U160,IF((FK$56-Voorblad!$F$41)/$U160-SUM($EE160:FJ160)=1,1,0))))</f>
        <v>0</v>
      </c>
      <c r="FL160" s="8">
        <f>IF(FL$56-Voorblad!$F$41&gt;Voorblad!$K$41,0,IF($U160=0,0,IF($U160&lt;1,1/$U160,IF((FL$56-Voorblad!$F$41)/$U160-SUM($EE160:FK160)=1,1,0))))</f>
        <v>0</v>
      </c>
      <c r="FM160" s="8">
        <f>IF(FM$56-Voorblad!$F$41&gt;Voorblad!$K$41,0,IF($U160=0,0,IF($U160&lt;1,1/$U160,IF((FM$56-Voorblad!$F$41)/$U160-SUM($EE160:FL160)=1,1,0))))</f>
        <v>0</v>
      </c>
      <c r="FN160" s="8">
        <f>IF(FN$56-Voorblad!$F$41&gt;Voorblad!$K$41,0,IF($U160=0,0,IF($U160&lt;1,1/$U160,IF((FN$56-Voorblad!$F$41)/$U160-SUM($EE160:FM160)=1,1,0))))</f>
        <v>0</v>
      </c>
      <c r="FO160" s="8">
        <f>IF(FO$56-Voorblad!$F$41&gt;Voorblad!$K$41,0,IF($U160=0,0,IF($U160&lt;1,1/$U160,IF((FO$56-Voorblad!$F$41)/$U160-SUM($EE160:FN160)=1,1,0))))</f>
        <v>0</v>
      </c>
      <c r="FP160" s="8">
        <f>IF(FP$56-Voorblad!$F$41&gt;Voorblad!$K$41,0,IF($U160=0,0,IF($U160&lt;1,1/$U160,IF((FP$56-Voorblad!$F$41)/$U160-SUM($EE160:FO160)=1,1,0))))</f>
        <v>0</v>
      </c>
      <c r="FQ160" s="8">
        <f>IF(FQ$56-Voorblad!$F$41&gt;Voorblad!$K$41,0,IF($U160=0,0,IF($U160&lt;1,1/$U160,IF((FQ$56-Voorblad!$F$41)/$U160-SUM($EE160:FP160)=1,1,0))))</f>
        <v>0</v>
      </c>
      <c r="FR160" s="8">
        <f>IF(FR$56-Voorblad!$F$41&gt;Voorblad!$K$41,0,IF($U160=0,0,IF($U160&lt;1,1/$U160,IF((FR$56-Voorblad!$F$41)/$U160-SUM($EE160:FQ160)=1,1,0))))</f>
        <v>0</v>
      </c>
      <c r="FS160" s="8">
        <f>IF(FS$56-Voorblad!$F$41&gt;Voorblad!$K$41,0,IF($U160=0,0,IF($U160&lt;1,1/$U160,IF((FS$56-Voorblad!$F$41)/$U160-SUM($EE160:FR160)=1,1,0))))</f>
        <v>0</v>
      </c>
      <c r="FT160" s="8">
        <f>IF(FT$56-Voorblad!$F$41&gt;Voorblad!$K$41,0,IF($U160=0,0,IF($U160&lt;1,1/$U160,IF((FT$56-Voorblad!$F$41)/$U160-SUM($EE160:FS160)=1,1,0))))</f>
        <v>1</v>
      </c>
      <c r="FU160" s="8">
        <f>IF(FU$56-Voorblad!$F$41&gt;Voorblad!$K$41,0,IF($U160=0,0,IF($U160&lt;1,1/$U160,IF((FU$56-Voorblad!$F$41)/$U160-SUM($EE160:FT160)=1,1,0))))</f>
        <v>0</v>
      </c>
      <c r="FV160" s="8">
        <f>IF(FV$56-Voorblad!$F$41&gt;Voorblad!$K$41,0,IF($U160=0,0,IF($U160&lt;1,1/$U160,IF((FV$56-Voorblad!$F$41)/$U160-SUM($EE160:FU160)=1,1,0))))</f>
        <v>0</v>
      </c>
      <c r="FW160" s="8">
        <f>IF(FW$56-Voorblad!$F$41&gt;Voorblad!$K$41,0,IF($U160=0,0,IF($U160&lt;1,1/$U160,IF((FW$56-Voorblad!$F$41)/$U160-SUM($EE160:FV160)=1,1,0))))</f>
        <v>0</v>
      </c>
      <c r="FX160" s="8">
        <f>IF(FX$56-Voorblad!$F$41&gt;Voorblad!$K$41,0,IF($U160=0,0,IF($U160&lt;1,1/$U160,IF((FX$56-Voorblad!$F$41)/$U160-SUM($EE160:FW160)=1,1,0))))</f>
        <v>0</v>
      </c>
      <c r="FY160" s="8">
        <f>IF(FY$56-Voorblad!$F$41&gt;Voorblad!$K$41,0,IF($U160=0,0,IF($U160&lt;1,1/$U160,IF((FY$56-Voorblad!$F$41)/$U160-SUM($EE160:FX160)=1,1,0))))</f>
        <v>0</v>
      </c>
      <c r="FZ160" s="8">
        <f>IF(FZ$56-Voorblad!$F$41&gt;Voorblad!$K$41,0,IF($U160=0,0,IF($U160&lt;1,1/$U160,IF((FZ$56-Voorblad!$F$41)/$U160-SUM($EE160:FY160)=1,1,0))))</f>
        <v>0</v>
      </c>
      <c r="GA160" s="8">
        <f>IF(GA$56-Voorblad!$F$41&gt;Voorblad!$K$41,0,IF($U160=0,0,IF($U160&lt;1,1/$U160,IF((GA$56-Voorblad!$F$41)/$U160-SUM($EE160:FZ160)=1,1,0))))</f>
        <v>0</v>
      </c>
      <c r="GB160" s="8">
        <f>IF(GB$56-Voorblad!$F$41&gt;Voorblad!$K$41,0,IF($U160=0,0,IF($U160&lt;1,1/$U160,IF((GB$56-Voorblad!$F$41)/$U160-SUM($EE160:GA160)=1,1,0))))</f>
        <v>0</v>
      </c>
      <c r="GC160" s="8">
        <f>IF(GC$56-Voorblad!$F$41&gt;Voorblad!$K$41,0,IF($U160=0,0,IF($U160&lt;1,1/$U160,IF((GC$56-Voorblad!$F$41)/$U160-SUM($EE160:GB160)=1,1,0))))</f>
        <v>0</v>
      </c>
      <c r="GD160" s="8">
        <f>IF(GD$56-Voorblad!$F$41&gt;Voorblad!$K$41,0,IF($U160=0,0,IF($U160&lt;1,1/$U160,IF((GD$56-Voorblad!$F$41)/$U160-SUM($EE160:GC160)=1,1,0))))</f>
        <v>1</v>
      </c>
      <c r="GE160" s="8">
        <f>IF(GE$56-Voorblad!$F$41&gt;Voorblad!$K$41,0,IF($U160=0,0,IF($U160&lt;1,1/$U160,IF((GE$56-Voorblad!$F$41)/$U160-SUM($EE160:GD160)=1,1,0))))</f>
        <v>0</v>
      </c>
      <c r="GF160" s="8">
        <f>IF(GF$56-Voorblad!$F$41&gt;Voorblad!$K$41,0,IF($U160=0,0,IF($U160&lt;1,1/$U160,IF((GF$56-Voorblad!$F$41)/$U160-SUM($EE160:GE160)=1,1,0))))</f>
        <v>0</v>
      </c>
      <c r="GG160" s="8">
        <f>IF(GG$56-Voorblad!$F$41&gt;Voorblad!$K$41,0,IF($U160=0,0,IF($U160&lt;1,1/$U160,IF((GG$56-Voorblad!$F$41)/$U160-SUM($EE160:GF160)=1,1,0))))</f>
        <v>0</v>
      </c>
      <c r="GH160" s="8">
        <f>IF(GH$56-Voorblad!$F$41&gt;Voorblad!$K$41,0,IF($U160=0,0,IF($U160&lt;1,1/$U160,IF((GH$56-Voorblad!$F$41)/$U160-SUM($EE160:GG160)=1,1,0))))</f>
        <v>0</v>
      </c>
      <c r="GI160" s="8">
        <f>IF(GI$56-Voorblad!$F$41&gt;Voorblad!$K$41,0,IF($U160=0,0,IF($U160&lt;1,1/$U160,IF((GI$56-Voorblad!$F$41)/$U160-SUM($EE160:GH160)=1,1,0))))</f>
        <v>0</v>
      </c>
      <c r="GJ160" s="8">
        <f>IF(GJ$56-Voorblad!$F$41&gt;Voorblad!$K$41,0,IF($U160=0,0,IF($U160&lt;1,1/$U160,IF((GJ$56-Voorblad!$F$41)/$U160-SUM($EE160:GI160)=1,1,0))))</f>
        <v>0</v>
      </c>
      <c r="GK160" s="8">
        <f>IF(GK$56-Voorblad!$F$41&gt;Voorblad!$K$41,0,IF($U160=0,0,IF($U160&lt;1,1/$U160,IF((GK$56-Voorblad!$F$41)/$U160-SUM($EE160:GJ160)=1,1,0))))</f>
        <v>0</v>
      </c>
      <c r="GL160" s="8">
        <f>IF(GL$56-Voorblad!$F$41&gt;Voorblad!$K$41,0,IF($U160=0,0,IF($U160&lt;1,1/$U160,IF((GL$56-Voorblad!$F$41)/$U160-SUM($EE160:GK160)=1,1,0))))</f>
        <v>0</v>
      </c>
      <c r="GM160" s="8">
        <f>IF(GM$56-Voorblad!$F$41&gt;Voorblad!$K$41,0,IF($U160=0,0,IF($U160&lt;1,1/$U160,IF((GM$56-Voorblad!$F$41)/$U160-SUM($EE160:GL160)=1,1,0))))</f>
        <v>0</v>
      </c>
      <c r="GN160" s="8">
        <f>IF(GN$56-Voorblad!$F$41&gt;Voorblad!$K$41,0,IF($U160=0,0,IF($U160&lt;1,1/$U160,IF((GN$56-Voorblad!$F$41)/$U160-SUM($EE160:GM160)=1,1,0))))</f>
        <v>1</v>
      </c>
      <c r="GO160" s="8">
        <f>IF(GO$56-Voorblad!$F$41&gt;Voorblad!$K$41,0,IF($U160=0,0,IF($U160&lt;1,1/$U160,IF((GO$56-Voorblad!$F$41)/$U160-SUM($EE160:GN160)=1,1,0))))</f>
        <v>0</v>
      </c>
      <c r="GP160" s="8">
        <f>IF(GP$56-Voorblad!$F$41&gt;Voorblad!$K$41,0,IF($U160=0,0,IF($U160&lt;1,1/$U160,IF((GP$56-Voorblad!$F$41)/$U160-SUM($EE160:GO160)=1,1,0))))</f>
        <v>0</v>
      </c>
      <c r="GQ160" s="8">
        <f>IF(GQ$56-Voorblad!$F$41&gt;Voorblad!$K$41,0,IF($U160=0,0,IF($U160&lt;1,1/$U160,IF((GQ$56-Voorblad!$F$41)/$U160-SUM($EE160:GP160)=1,1,0))))</f>
        <v>0</v>
      </c>
      <c r="GR160" s="8">
        <f>IF(GR$56-Voorblad!$F$41&gt;Voorblad!$K$41,0,IF($U160=0,0,IF($U160&lt;1,1/$U160,IF((GR$56-Voorblad!$F$41)/$U160-SUM($EE160:GQ160)=1,1,0))))</f>
        <v>0</v>
      </c>
      <c r="GS160" s="8">
        <f>IF(GS$56-Voorblad!$F$41&gt;Voorblad!$K$41,0,IF($U160=0,0,IF($U160&lt;1,1/$U160,IF((GS$56-Voorblad!$F$41)/$U160-SUM($EE160:GR160)=1,1,0))))</f>
        <v>0</v>
      </c>
      <c r="GT160" s="8">
        <f>IF(GT$56-Voorblad!$F$41&gt;Voorblad!$K$41,0,IF($U160=0,0,IF($U160&lt;1,1/$U160,IF((GT$56-Voorblad!$F$41)/$U160-SUM($EE160:GS160)=1,1,0))))</f>
        <v>0</v>
      </c>
      <c r="GU160" s="8">
        <f>IF(GU$56-Voorblad!$F$41&gt;Voorblad!$K$41,0,IF($U160=0,0,IF($U160&lt;1,1/$U160,IF((GU$56-Voorblad!$F$41)/$U160-SUM($EE160:GT160)=1,1,0))))</f>
        <v>0</v>
      </c>
      <c r="GV160" s="8">
        <f>IF(GV$56-Voorblad!$F$41&gt;Voorblad!$K$41,0,IF($U160=0,0,IF($U160&lt;1,1/$U160,IF((GV$56-Voorblad!$F$41)/$U160-SUM($EE160:GU160)=1,1,0))))</f>
        <v>0</v>
      </c>
      <c r="GW160" s="8">
        <f>IF(GW$56-Voorblad!$F$41&gt;Voorblad!$K$41,0,IF($U160=0,0,IF($U160&lt;1,1/$U160,IF((GW$56-Voorblad!$F$41)/$U160-SUM($EE160:GV160)=1,1,0))))</f>
        <v>0</v>
      </c>
      <c r="GX160" s="8">
        <f>IF(GX$56-Voorblad!$F$41&gt;Voorblad!$K$41,0,IF($U160=0,0,IF($U160&lt;1,1/$U160,IF((GX$56-Voorblad!$F$41)/$U160-SUM($EE160:GW160)=1,1,0))))</f>
        <v>1</v>
      </c>
      <c r="GY160" s="8">
        <f>IF(GY$56-Voorblad!$F$41&gt;Voorblad!$K$41,0,IF($U160=0,0,IF($U160&lt;1,1/$U160,IF((GY$56-Voorblad!$F$41)/$U160-SUM($EE160:GX160)=1,1,0))))</f>
        <v>0</v>
      </c>
      <c r="GZ160" s="8">
        <f>IF(GZ$56-Voorblad!$F$41&gt;Voorblad!$K$41,0,IF($U160=0,0,IF($U160&lt;1,1/$U160,IF((GZ$56-Voorblad!$F$41)/$U160-SUM($EE160:GY160)=1,1,0))))</f>
        <v>0</v>
      </c>
      <c r="HA160" s="8">
        <f>IF(HA$56-Voorblad!$F$41&gt;Voorblad!$K$41,0,IF($U160=0,0,IF($U160&lt;1,1/$U160,IF((HA$56-Voorblad!$F$41)/$U160-SUM($EE160:GZ160)=1,1,0))))</f>
        <v>0</v>
      </c>
      <c r="HB160" s="8">
        <f>IF(HB$56-Voorblad!$F$41&gt;Voorblad!$K$41,0,IF($U160=0,0,IF($U160&lt;1,1/$U160,IF((HB$56-Voorblad!$F$41)/$U160-SUM($EE160:HA160)=1,1,0))))</f>
        <v>0</v>
      </c>
      <c r="HC160" s="8">
        <f>IF(HC$56-Voorblad!$F$41&gt;Voorblad!$K$41,0,IF($U160=0,0,IF($U160&lt;1,1/$U160,IF((HC$56-Voorblad!$F$41)/$U160-SUM($EE160:HB160)=1,1,0))))</f>
        <v>0</v>
      </c>
      <c r="HD160" s="8">
        <f>IF(HD$56-Voorblad!$F$41&gt;Voorblad!$K$41,0,IF($U160=0,0,IF($U160&lt;1,1/$U160,IF((HD$56-Voorblad!$F$41)/$U160-SUM($EE160:HC160)=1,1,0))))</f>
        <v>0</v>
      </c>
      <c r="HE160" s="8">
        <f>IF(HE$56-Voorblad!$F$41&gt;Voorblad!$K$41,0,IF($U160=0,0,IF($U160&lt;1,1/$U160,IF((HE$56-Voorblad!$F$41)/$U160-SUM($EE160:HD160)=1,1,0))))</f>
        <v>0</v>
      </c>
      <c r="HF160" s="8">
        <f>IF(HF$56-Voorblad!$F$41&gt;Voorblad!$K$41,0,IF($U160=0,0,IF($U160&lt;1,1/$U160,IF((HF$56-Voorblad!$F$41)/$U160-SUM($EE160:HE160)=1,1,0))))</f>
        <v>0</v>
      </c>
      <c r="HG160" s="8">
        <f>IF(HG$56-Voorblad!$F$41&gt;Voorblad!$K$41,0,IF($U160=0,0,IF($U160&lt;1,1/$U160,IF((HG$56-Voorblad!$F$41)/$U160-SUM($EE160:HF160)=1,1,0))))</f>
        <v>0</v>
      </c>
      <c r="HH160" s="8">
        <f>IF(HH$56-Voorblad!$F$41&gt;Voorblad!$K$41,0,IF($U160=0,0,IF($U160&lt;1,1/$U160,IF((HH$56-Voorblad!$F$41)/$U160-SUM($EE160:HG160)=1,1,0))))</f>
        <v>0</v>
      </c>
      <c r="HI160" s="8">
        <f>IF(HI$56-Voorblad!$F$41&gt;Voorblad!$K$41,0,IF($U160=0,0,IF($U160&lt;1,1/$U160,IF((HI$56-Voorblad!$F$41)/$U160-SUM($EE160:HH160)=1,1,0))))</f>
        <v>0</v>
      </c>
      <c r="HJ160" s="8">
        <f>IF(HJ$56-Voorblad!$F$41&gt;Voorblad!$K$41,0,IF($U160=0,0,IF($U160&lt;1,1/$U160,IF((HJ$56-Voorblad!$F$41)/$U160-SUM($EE160:HI160)=1,1,0))))</f>
        <v>0</v>
      </c>
      <c r="HK160" s="8">
        <f>IF(HK$56-Voorblad!$F$41&gt;Voorblad!$K$41,0,IF($U160=0,0,IF($U160&lt;1,1/$U160,IF((HK$56-Voorblad!$F$41)/$U160-SUM($EE160:HJ160)=1,1,0))))</f>
        <v>0</v>
      </c>
      <c r="HL160" s="8">
        <f>IF(HL$56-Voorblad!$F$41&gt;Voorblad!$K$41,0,IF($U160=0,0,IF($U160&lt;1,1/$U160,IF((HL$56-Voorblad!$F$41)/$U160-SUM($EE160:HK160)=1,1,0))))</f>
        <v>0</v>
      </c>
      <c r="HM160" s="8">
        <f>IF(HM$56-Voorblad!$F$41&gt;Voorblad!$K$41,0,IF($U160=0,0,IF($U160&lt;1,1/$U160,IF((HM$56-Voorblad!$F$41)/$U160-SUM($EE160:HL160)=1,1,0))))</f>
        <v>0</v>
      </c>
      <c r="HN160" s="8">
        <f>IF(HN$56-Voorblad!$F$41&gt;Voorblad!$K$41,0,IF($U160=0,0,IF($U160&lt;1,1/$U160,IF((HN$56-Voorblad!$F$41)/$U160-SUM($EE160:HM160)=1,1,0))))</f>
        <v>0</v>
      </c>
      <c r="HO160" s="8">
        <f>IF(HO$56-Voorblad!$F$41&gt;Voorblad!$K$41,0,IF($U160=0,0,IF($U160&lt;1,1/$U160,IF((HO$56-Voorblad!$F$41)/$U160-SUM($EE160:HN160)=1,1,0))))</f>
        <v>0</v>
      </c>
      <c r="HP160" s="8">
        <f>IF(HP$56-Voorblad!$F$41&gt;Voorblad!$K$41,0,IF($U160=0,0,IF($U160&lt;1,1/$U160,IF((HP$56-Voorblad!$F$41)/$U160-SUM($EE160:HO160)=1,1,0))))</f>
        <v>0</v>
      </c>
      <c r="HQ160" s="8">
        <f>IF(HQ$56-Voorblad!$F$41&gt;Voorblad!$K$41,0,IF($U160=0,0,IF($U160&lt;1,1/$U160,IF((HQ$56-Voorblad!$F$41)/$U160-SUM($EE160:HP160)=1,1,0))))</f>
        <v>0</v>
      </c>
      <c r="HR160" s="8">
        <f>IF(HR$56-Voorblad!$F$41&gt;Voorblad!$K$41,0,IF($U160=0,0,IF($U160&lt;1,1/$U160,IF((HR$56-Voorblad!$F$41)/$U160-SUM($EE160:HQ160)=1,1,0))))</f>
        <v>0</v>
      </c>
      <c r="HS160" s="8">
        <f>IF(HS$56-Voorblad!$F$41&gt;Voorblad!$K$41,0,IF($U160=0,0,IF($U160&lt;1,1/$U160,IF((HS$56-Voorblad!$F$41)/$U160-SUM($EE160:HR160)=1,1,0))))</f>
        <v>0</v>
      </c>
      <c r="HT160" s="8">
        <f>IF(HT$56-Voorblad!$F$41&gt;Voorblad!$K$41,0,IF($U160=0,0,IF($U160&lt;1,1/$U160,IF((HT$56-Voorblad!$F$41)/$U160-SUM($EE160:HS160)=1,1,0))))</f>
        <v>0</v>
      </c>
      <c r="HU160" s="8">
        <f>IF(HU$56-Voorblad!$F$41&gt;Voorblad!$K$41,0,IF($U160=0,0,IF($U160&lt;1,1/$U160,IF((HU$56-Voorblad!$F$41)/$U160-SUM($EE160:HT160)=1,1,0))))</f>
        <v>0</v>
      </c>
      <c r="HV160" s="8">
        <f>IF(HV$56-Voorblad!$F$41&gt;Voorblad!$K$41,0,IF($U160=0,0,IF($U160&lt;1,1/$U160,IF((HV$56-Voorblad!$F$41)/$U160-SUM($EE160:HU160)=1,1,0))))</f>
        <v>0</v>
      </c>
      <c r="HW160" s="8">
        <f>IF(HW$56-Voorblad!$F$41&gt;Voorblad!$K$41,0,IF($U160=0,0,IF($U160&lt;1,1/$U160,IF((HW$56-Voorblad!$F$41)/$U160-SUM($EE160:HV160)=1,1,0))))</f>
        <v>0</v>
      </c>
      <c r="HX160" s="8">
        <f>IF(HX$56-Voorblad!$F$41&gt;Voorblad!$K$41,0,IF($U160=0,0,IF($U160&lt;1,1/$U160,IF((HX$56-Voorblad!$F$41)/$U160-SUM($EE160:HW160)=1,1,0))))</f>
        <v>0</v>
      </c>
      <c r="HY160" s="8">
        <f>IF(HY$56-Voorblad!$F$41&gt;Voorblad!$K$41,0,IF($U160=0,0,IF($U160&lt;1,1/$U160,IF((HY$56-Voorblad!$F$41)/$U160-SUM($EE160:HX160)=1,1,0))))</f>
        <v>0</v>
      </c>
      <c r="HZ160" s="8">
        <f>IF(HZ$56-Voorblad!$F$41&gt;Voorblad!$K$41,0,IF($U160=0,0,IF($U160&lt;1,1/$U160,IF((HZ$56-Voorblad!$F$41)/$U160-SUM($EE160:HY160)=1,1,0))))</f>
        <v>0</v>
      </c>
      <c r="IA160" s="8">
        <f>IF(IA$56-Voorblad!$F$41&gt;Voorblad!$K$41,0,IF($U160=0,0,IF($U160&lt;1,1/$U160,IF((IA$56-Voorblad!$F$41)/$U160-SUM($EE160:HZ160)=1,1,0))))</f>
        <v>0</v>
      </c>
      <c r="IB160" s="8">
        <f>IF(IB$56-Voorblad!$F$41&gt;Voorblad!$K$41,0,IF($U160=0,0,IF($U160&lt;1,1/$U160,IF((IB$56-Voorblad!$F$41)/$U160-SUM($EE160:IA160)=1,1,0))))</f>
        <v>0</v>
      </c>
    </row>
    <row r="161" spans="2:236" ht="12" hidden="1" customHeight="1" outlineLevel="1" x14ac:dyDescent="0.25">
      <c r="B161" s="1">
        <v>3</v>
      </c>
      <c r="F161" s="1" t="s">
        <v>23</v>
      </c>
      <c r="I161" s="1" t="s">
        <v>277</v>
      </c>
      <c r="K161" s="1" t="s">
        <v>145</v>
      </c>
      <c r="Q161" s="81">
        <v>0</v>
      </c>
      <c r="R161" s="1" t="s">
        <v>34</v>
      </c>
      <c r="S161" s="21">
        <f>$H$20*15</f>
        <v>26.55</v>
      </c>
      <c r="T161" s="1">
        <f t="shared" si="189"/>
        <v>0</v>
      </c>
      <c r="U161" s="14">
        <v>0.5</v>
      </c>
      <c r="V161" s="14"/>
      <c r="Y161" s="9">
        <f>SUM(AE161:EB161)</f>
        <v>0</v>
      </c>
      <c r="Z161" s="82"/>
      <c r="AA161" s="82"/>
      <c r="AC161" s="9">
        <f>$Y161*(Voorblad!$K$44*(1+Voorblad!$K$44)^Voorblad!$K$41)/((1+Voorblad!$K$44)^Voorblad!$K$41-1)</f>
        <v>0</v>
      </c>
      <c r="AE161" s="9">
        <f>EF161*($Q161*$S161)/(1+Voorblad!$K$44)^(AE$56-Voorblad!$F$41)</f>
        <v>0</v>
      </c>
      <c r="AF161" s="9">
        <f>EG161*($Q161*$S161)/(1+Voorblad!$K$44)^(AF$56-Voorblad!$F$41)</f>
        <v>0</v>
      </c>
      <c r="AG161" s="9">
        <f>EH161*($Q161*$S161)/(1+Voorblad!$K$44)^(AG$56-Voorblad!$F$41)</f>
        <v>0</v>
      </c>
      <c r="AH161" s="9">
        <f>EI161*($Q161*$S161)/(1+Voorblad!$K$44)^(AH$56-Voorblad!$F$41)</f>
        <v>0</v>
      </c>
      <c r="AI161" s="9">
        <f>EJ161*($Q161*$S161)/(1+Voorblad!$K$44)^(AI$56-Voorblad!$F$41)</f>
        <v>0</v>
      </c>
      <c r="AJ161" s="9">
        <f>EK161*($Q161*$S161)/(1+Voorblad!$K$44)^(AJ$56-Voorblad!$F$41)</f>
        <v>0</v>
      </c>
      <c r="AK161" s="9">
        <f>EL161*($Q161*$S161)/(1+Voorblad!$K$44)^(AK$56-Voorblad!$F$41)</f>
        <v>0</v>
      </c>
      <c r="AL161" s="9">
        <f>EM161*($Q161*$S161)/(1+Voorblad!$K$44)^(AL$56-Voorblad!$F$41)</f>
        <v>0</v>
      </c>
      <c r="AM161" s="9">
        <f>EN161*($Q161*$S161)/(1+Voorblad!$K$44)^(AM$56-Voorblad!$F$41)</f>
        <v>0</v>
      </c>
      <c r="AN161" s="9">
        <f>EO161*($Q161*$S161)/(1+Voorblad!$K$44)^(AN$56-Voorblad!$F$41)</f>
        <v>0</v>
      </c>
      <c r="AO161" s="9">
        <f>EP161*($Q161*$S161)/(1+Voorblad!$K$44)^(AO$56-Voorblad!$F$41)</f>
        <v>0</v>
      </c>
      <c r="AP161" s="9">
        <f>EQ161*($Q161*$S161)/(1+Voorblad!$K$44)^(AP$56-Voorblad!$F$41)</f>
        <v>0</v>
      </c>
      <c r="AQ161" s="9">
        <f>ER161*($Q161*$S161)/(1+Voorblad!$K$44)^(AQ$56-Voorblad!$F$41)</f>
        <v>0</v>
      </c>
      <c r="AR161" s="9">
        <f>ES161*($Q161*$S161)/(1+Voorblad!$K$44)^(AR$56-Voorblad!$F$41)</f>
        <v>0</v>
      </c>
      <c r="AS161" s="9">
        <f>ET161*($Q161*$S161)/(1+Voorblad!$K$44)^(AS$56-Voorblad!$F$41)</f>
        <v>0</v>
      </c>
      <c r="AT161" s="9">
        <f>EU161*($Q161*$S161)/(1+Voorblad!$K$44)^(AT$56-Voorblad!$F$41)</f>
        <v>0</v>
      </c>
      <c r="AU161" s="9">
        <f>EV161*($Q161*$S161)/(1+Voorblad!$K$44)^(AU$56-Voorblad!$F$41)</f>
        <v>0</v>
      </c>
      <c r="AV161" s="9">
        <f>EW161*($Q161*$S161)/(1+Voorblad!$K$44)^(AV$56-Voorblad!$F$41)</f>
        <v>0</v>
      </c>
      <c r="AW161" s="9">
        <f>EX161*($Q161*$S161)/(1+Voorblad!$K$44)^(AW$56-Voorblad!$F$41)</f>
        <v>0</v>
      </c>
      <c r="AX161" s="9">
        <f>EY161*($Q161*$S161)/(1+Voorblad!$K$44)^(AX$56-Voorblad!$F$41)</f>
        <v>0</v>
      </c>
      <c r="AY161" s="9">
        <f>EZ161*($Q161*$S161)/(1+Voorblad!$K$44)^(AY$56-Voorblad!$F$41)</f>
        <v>0</v>
      </c>
      <c r="AZ161" s="9">
        <f>FA161*($Q161*$S161)/(1+Voorblad!$K$44)^(AZ$56-Voorblad!$F$41)</f>
        <v>0</v>
      </c>
      <c r="BA161" s="9">
        <f>FB161*($Q161*$S161)/(1+Voorblad!$K$44)^(BA$56-Voorblad!$F$41)</f>
        <v>0</v>
      </c>
      <c r="BB161" s="9">
        <f>FC161*($Q161*$S161)/(1+Voorblad!$K$44)^(BB$56-Voorblad!$F$41)</f>
        <v>0</v>
      </c>
      <c r="BC161" s="9">
        <f>FD161*($Q161*$S161)/(1+Voorblad!$K$44)^(BC$56-Voorblad!$F$41)</f>
        <v>0</v>
      </c>
      <c r="BD161" s="9">
        <f>FE161*($Q161*$S161)/(1+Voorblad!$K$44)^(BD$56-Voorblad!$F$41)</f>
        <v>0</v>
      </c>
      <c r="BE161" s="9">
        <f>FF161*($Q161*$S161)/(1+Voorblad!$K$44)^(BE$56-Voorblad!$F$41)</f>
        <v>0</v>
      </c>
      <c r="BF161" s="9">
        <f>FG161*($Q161*$S161)/(1+Voorblad!$K$44)^(BF$56-Voorblad!$F$41)</f>
        <v>0</v>
      </c>
      <c r="BG161" s="9">
        <f>FH161*($Q161*$S161)/(1+Voorblad!$K$44)^(BG$56-Voorblad!$F$41)</f>
        <v>0</v>
      </c>
      <c r="BH161" s="9">
        <f>FI161*($Q161*$S161)/(1+Voorblad!$K$44)^(BH$56-Voorblad!$F$41)</f>
        <v>0</v>
      </c>
      <c r="BI161" s="9">
        <f>FJ161*($Q161*$S161)/(1+Voorblad!$K$44)^(BI$56-Voorblad!$F$41)</f>
        <v>0</v>
      </c>
      <c r="BJ161" s="9">
        <f>FK161*($Q161*$S161)/(1+Voorblad!$K$44)^(BJ$56-Voorblad!$F$41)</f>
        <v>0</v>
      </c>
      <c r="BK161" s="9">
        <f>FL161*($Q161*$S161)/(1+Voorblad!$K$44)^(BK$56-Voorblad!$F$41)</f>
        <v>0</v>
      </c>
      <c r="BL161" s="9">
        <f>FM161*($Q161*$S161)/(1+Voorblad!$K$44)^(BL$56-Voorblad!$F$41)</f>
        <v>0</v>
      </c>
      <c r="BM161" s="9">
        <f>FN161*($Q161*$S161)/(1+Voorblad!$K$44)^(BM$56-Voorblad!$F$41)</f>
        <v>0</v>
      </c>
      <c r="BN161" s="9">
        <f>FO161*($Q161*$S161)/(1+Voorblad!$K$44)^(BN$56-Voorblad!$F$41)</f>
        <v>0</v>
      </c>
      <c r="BO161" s="9">
        <f>FP161*($Q161*$S161)/(1+Voorblad!$K$44)^(BO$56-Voorblad!$F$41)</f>
        <v>0</v>
      </c>
      <c r="BP161" s="9">
        <f>FQ161*($Q161*$S161)/(1+Voorblad!$K$44)^(BP$56-Voorblad!$F$41)</f>
        <v>0</v>
      </c>
      <c r="BQ161" s="9">
        <f>FR161*($Q161*$S161)/(1+Voorblad!$K$44)^(BQ$56-Voorblad!$F$41)</f>
        <v>0</v>
      </c>
      <c r="BR161" s="9">
        <f>FS161*($Q161*$S161)/(1+Voorblad!$K$44)^(BR$56-Voorblad!$F$41)</f>
        <v>0</v>
      </c>
      <c r="BS161" s="9">
        <f>FT161*($Q161*$S161)/(1+Voorblad!$K$44)^(BS$56-Voorblad!$F$41)</f>
        <v>0</v>
      </c>
      <c r="BT161" s="9">
        <f>FU161*($Q161*$S161)/(1+Voorblad!$K$44)^(BT$56-Voorblad!$F$41)</f>
        <v>0</v>
      </c>
      <c r="BU161" s="9">
        <f>FV161*($Q161*$S161)/(1+Voorblad!$K$44)^(BU$56-Voorblad!$F$41)</f>
        <v>0</v>
      </c>
      <c r="BV161" s="9">
        <f>FW161*($Q161*$S161)/(1+Voorblad!$K$44)^(BV$56-Voorblad!$F$41)</f>
        <v>0</v>
      </c>
      <c r="BW161" s="9">
        <f>FX161*($Q161*$S161)/(1+Voorblad!$K$44)^(BW$56-Voorblad!$F$41)</f>
        <v>0</v>
      </c>
      <c r="BX161" s="9">
        <f>FY161*($Q161*$S161)/(1+Voorblad!$K$44)^(BX$56-Voorblad!$F$41)</f>
        <v>0</v>
      </c>
      <c r="BY161" s="9">
        <f>FZ161*($Q161*$S161)/(1+Voorblad!$K$44)^(BY$56-Voorblad!$F$41)</f>
        <v>0</v>
      </c>
      <c r="BZ161" s="9">
        <f>GA161*($Q161*$S161)/(1+Voorblad!$K$44)^(BZ$56-Voorblad!$F$41)</f>
        <v>0</v>
      </c>
      <c r="CA161" s="9">
        <f>GB161*($Q161*$S161)/(1+Voorblad!$K$44)^(CA$56-Voorblad!$F$41)</f>
        <v>0</v>
      </c>
      <c r="CB161" s="9">
        <f>GC161*($Q161*$S161)/(1+Voorblad!$K$44)^(CB$56-Voorblad!$F$41)</f>
        <v>0</v>
      </c>
      <c r="CC161" s="9">
        <f>GD161*($Q161*$S161)/(1+Voorblad!$K$44)^(CC$56-Voorblad!$F$41)</f>
        <v>0</v>
      </c>
      <c r="CD161" s="9">
        <f>GE161*($Q161*$S161)/(1+Voorblad!$K$44)^(CD$56-Voorblad!$F$41)</f>
        <v>0</v>
      </c>
      <c r="CE161" s="9">
        <f>GF161*($Q161*$S161)/(1+Voorblad!$K$44)^(CE$56-Voorblad!$F$41)</f>
        <v>0</v>
      </c>
      <c r="CF161" s="9">
        <f>GG161*($Q161*$S161)/(1+Voorblad!$K$44)^(CF$56-Voorblad!$F$41)</f>
        <v>0</v>
      </c>
      <c r="CG161" s="9">
        <f>GH161*($Q161*$S161)/(1+Voorblad!$K$44)^(CG$56-Voorblad!$F$41)</f>
        <v>0</v>
      </c>
      <c r="CH161" s="9">
        <f>GI161*($Q161*$S161)/(1+Voorblad!$K$44)^(CH$56-Voorblad!$F$41)</f>
        <v>0</v>
      </c>
      <c r="CI161" s="9">
        <f>GJ161*($Q161*$S161)/(1+Voorblad!$K$44)^(CI$56-Voorblad!$F$41)</f>
        <v>0</v>
      </c>
      <c r="CJ161" s="9">
        <f>GK161*($Q161*$S161)/(1+Voorblad!$K$44)^(CJ$56-Voorblad!$F$41)</f>
        <v>0</v>
      </c>
      <c r="CK161" s="9">
        <f>GL161*($Q161*$S161)/(1+Voorblad!$K$44)^(CK$56-Voorblad!$F$41)</f>
        <v>0</v>
      </c>
      <c r="CL161" s="9">
        <f>GM161*($Q161*$S161)/(1+Voorblad!$K$44)^(CL$56-Voorblad!$F$41)</f>
        <v>0</v>
      </c>
      <c r="CM161" s="9">
        <f>GN161*($Q161*$S161)/(1+Voorblad!$K$44)^(CM$56-Voorblad!$F$41)</f>
        <v>0</v>
      </c>
      <c r="CN161" s="9">
        <f>GO161*($Q161*$S161)/(1+Voorblad!$K$44)^(CN$56-Voorblad!$F$41)</f>
        <v>0</v>
      </c>
      <c r="CO161" s="9">
        <f>GP161*($Q161*$S161)/(1+Voorblad!$K$44)^(CO$56-Voorblad!$F$41)</f>
        <v>0</v>
      </c>
      <c r="CP161" s="9">
        <f>GQ161*($Q161*$S161)/(1+Voorblad!$K$44)^(CP$56-Voorblad!$F$41)</f>
        <v>0</v>
      </c>
      <c r="CQ161" s="9">
        <f>GR161*($Q161*$S161)/(1+Voorblad!$K$44)^(CQ$56-Voorblad!$F$41)</f>
        <v>0</v>
      </c>
      <c r="CR161" s="9">
        <f>GS161*($Q161*$S161)/(1+Voorblad!$K$44)^(CR$56-Voorblad!$F$41)</f>
        <v>0</v>
      </c>
      <c r="CS161" s="9">
        <f>GT161*($Q161*$S161)/(1+Voorblad!$K$44)^(CS$56-Voorblad!$F$41)</f>
        <v>0</v>
      </c>
      <c r="CT161" s="9">
        <f>GU161*($Q161*$S161)/(1+Voorblad!$K$44)^(CT$56-Voorblad!$F$41)</f>
        <v>0</v>
      </c>
      <c r="CU161" s="9">
        <f>GV161*($Q161*$S161)/(1+Voorblad!$K$44)^(CU$56-Voorblad!$F$41)</f>
        <v>0</v>
      </c>
      <c r="CV161" s="9">
        <f>GW161*($Q161*$S161)/(1+Voorblad!$K$44)^(CV$56-Voorblad!$F$41)</f>
        <v>0</v>
      </c>
      <c r="CW161" s="9">
        <f>GX161*($Q161*$S161)/(1+Voorblad!$K$44)^(CW$56-Voorblad!$F$41)</f>
        <v>0</v>
      </c>
      <c r="CX161" s="9">
        <f>GY161*($Q161*$S161)/(1+Voorblad!$K$44)^(CX$56-Voorblad!$F$41)</f>
        <v>0</v>
      </c>
      <c r="CY161" s="9">
        <f>GZ161*($Q161*$S161)/(1+Voorblad!$K$44)^(CY$56-Voorblad!$F$41)</f>
        <v>0</v>
      </c>
      <c r="CZ161" s="9">
        <f>HA161*($Q161*$S161)/(1+Voorblad!$K$44)^(CZ$56-Voorblad!$F$41)</f>
        <v>0</v>
      </c>
      <c r="DA161" s="9">
        <f>HB161*($Q161*$S161)/(1+Voorblad!$K$44)^(DA$56-Voorblad!$F$41)</f>
        <v>0</v>
      </c>
      <c r="DB161" s="9">
        <f>HC161*($Q161*$S161)/(1+Voorblad!$K$44)^(DB$56-Voorblad!$F$41)</f>
        <v>0</v>
      </c>
      <c r="DC161" s="9">
        <f>HD161*($Q161*$S161)/(1+Voorblad!$K$44)^(DC$56-Voorblad!$F$41)</f>
        <v>0</v>
      </c>
      <c r="DD161" s="9">
        <f>HE161*($Q161*$S161)/(1+Voorblad!$K$44)^(DD$56-Voorblad!$F$41)</f>
        <v>0</v>
      </c>
      <c r="DE161" s="9">
        <f>HF161*($Q161*$S161)/(1+Voorblad!$K$44)^(DE$56-Voorblad!$F$41)</f>
        <v>0</v>
      </c>
      <c r="DF161" s="9">
        <f>HG161*($Q161*$S161)/(1+Voorblad!$K$44)^(DF$56-Voorblad!$F$41)</f>
        <v>0</v>
      </c>
      <c r="DG161" s="9">
        <f>HH161*($Q161*$S161)/(1+Voorblad!$K$44)^(DG$56-Voorblad!$F$41)</f>
        <v>0</v>
      </c>
      <c r="DH161" s="9">
        <f>HI161*($Q161*$S161)/(1+Voorblad!$K$44)^(DH$56-Voorblad!$F$41)</f>
        <v>0</v>
      </c>
      <c r="DI161" s="9">
        <f>HJ161*($Q161*$S161)/(1+Voorblad!$K$44)^(DI$56-Voorblad!$F$41)</f>
        <v>0</v>
      </c>
      <c r="DJ161" s="9">
        <f>HK161*($Q161*$S161)/(1+Voorblad!$K$44)^(DJ$56-Voorblad!$F$41)</f>
        <v>0</v>
      </c>
      <c r="DK161" s="9">
        <f>HL161*($Q161*$S161)/(1+Voorblad!$K$44)^(DK$56-Voorblad!$F$41)</f>
        <v>0</v>
      </c>
      <c r="DL161" s="9">
        <f>HM161*($Q161*$S161)/(1+Voorblad!$K$44)^(DL$56-Voorblad!$F$41)</f>
        <v>0</v>
      </c>
      <c r="DM161" s="9">
        <f>HN161*($Q161*$S161)/(1+Voorblad!$K$44)^(DM$56-Voorblad!$F$41)</f>
        <v>0</v>
      </c>
      <c r="DN161" s="9">
        <f>HO161*($Q161*$S161)/(1+Voorblad!$K$44)^(DN$56-Voorblad!$F$41)</f>
        <v>0</v>
      </c>
      <c r="DO161" s="9">
        <f>HP161*($Q161*$S161)/(1+Voorblad!$K$44)^(DO$56-Voorblad!$F$41)</f>
        <v>0</v>
      </c>
      <c r="DP161" s="9">
        <f>HQ161*($Q161*$S161)/(1+Voorblad!$K$44)^(DP$56-Voorblad!$F$41)</f>
        <v>0</v>
      </c>
      <c r="DQ161" s="9">
        <f>HR161*($Q161*$S161)/(1+Voorblad!$K$44)^(DQ$56-Voorblad!$F$41)</f>
        <v>0</v>
      </c>
      <c r="DR161" s="9">
        <f>HS161*($Q161*$S161)/(1+Voorblad!$K$44)^(DR$56-Voorblad!$F$41)</f>
        <v>0</v>
      </c>
      <c r="DS161" s="9">
        <f>HT161*($Q161*$S161)/(1+Voorblad!$K$44)^(DS$56-Voorblad!$F$41)</f>
        <v>0</v>
      </c>
      <c r="DT161" s="9">
        <f>HU161*($Q161*$S161)/(1+Voorblad!$K$44)^(DT$56-Voorblad!$F$41)</f>
        <v>0</v>
      </c>
      <c r="DU161" s="9">
        <f>HV161*($Q161*$S161)/(1+Voorblad!$K$44)^(DU$56-Voorblad!$F$41)</f>
        <v>0</v>
      </c>
      <c r="DV161" s="9">
        <f>HW161*($Q161*$S161)/(1+Voorblad!$K$44)^(DV$56-Voorblad!$F$41)</f>
        <v>0</v>
      </c>
      <c r="DW161" s="9">
        <f>HX161*($Q161*$S161)/(1+Voorblad!$K$44)^(DW$56-Voorblad!$F$41)</f>
        <v>0</v>
      </c>
      <c r="DX161" s="9">
        <f>HY161*($Q161*$S161)/(1+Voorblad!$K$44)^(DX$56-Voorblad!$F$41)</f>
        <v>0</v>
      </c>
      <c r="DY161" s="9">
        <f>HZ161*($Q161*$S161)/(1+Voorblad!$K$44)^(DY$56-Voorblad!$F$41)</f>
        <v>0</v>
      </c>
      <c r="DZ161" s="9">
        <f>IA161*($Q161*$S161)/(1+Voorblad!$K$44)^(DZ$56-Voorblad!$F$41)</f>
        <v>0</v>
      </c>
      <c r="EA161" s="9">
        <f>IB161*($Q161*$S161)/(1+Voorblad!$K$44)^(EA$56-Voorblad!$F$41)</f>
        <v>0</v>
      </c>
      <c r="EB161" s="9">
        <f>IC161*($Q161*$S161)/(1+Voorblad!$K$44)^(EB$56-Voorblad!$F$41)</f>
        <v>0</v>
      </c>
      <c r="EE161" s="8">
        <v>0</v>
      </c>
      <c r="EF161" s="8">
        <f>IF(EF$56-Voorblad!$F$41&gt;Voorblad!$K$41,0,IF($U161=0,0,IF($U161&lt;1,1/$U161,IF((EF$56-Voorblad!$F$41)/$U161-SUM($EE161:EE161)=1,1,0))))</f>
        <v>2</v>
      </c>
      <c r="EG161" s="8">
        <f>IF(EG$56-Voorblad!$F$41&gt;Voorblad!$K$41,0,IF($U161=0,0,IF($U161&lt;1,1/$U161,IF((EG$56-Voorblad!$F$41)/$U161-SUM($EE161:EF161)=1,1,0))))</f>
        <v>2</v>
      </c>
      <c r="EH161" s="8">
        <f>IF(EH$56-Voorblad!$F$41&gt;Voorblad!$K$41,0,IF($U161=0,0,IF($U161&lt;1,1/$U161,IF((EH$56-Voorblad!$F$41)/$U161-SUM($EE161:EG161)=1,1,0))))</f>
        <v>2</v>
      </c>
      <c r="EI161" s="8">
        <f>IF(EI$56-Voorblad!$F$41&gt;Voorblad!$K$41,0,IF($U161=0,0,IF($U161&lt;1,1/$U161,IF((EI$56-Voorblad!$F$41)/$U161-SUM($EE161:EH161)=1,1,0))))</f>
        <v>2</v>
      </c>
      <c r="EJ161" s="8">
        <f>IF(EJ$56-Voorblad!$F$41&gt;Voorblad!$K$41,0,IF($U161=0,0,IF($U161&lt;1,1/$U161,IF((EJ$56-Voorblad!$F$41)/$U161-SUM($EE161:EI161)=1,1,0))))</f>
        <v>2</v>
      </c>
      <c r="EK161" s="8">
        <f>IF(EK$56-Voorblad!$F$41&gt;Voorblad!$K$41,0,IF($U161=0,0,IF($U161&lt;1,1/$U161,IF((EK$56-Voorblad!$F$41)/$U161-SUM($EE161:EJ161)=1,1,0))))</f>
        <v>2</v>
      </c>
      <c r="EL161" s="8">
        <f>IF(EL$56-Voorblad!$F$41&gt;Voorblad!$K$41,0,IF($U161=0,0,IF($U161&lt;1,1/$U161,IF((EL$56-Voorblad!$F$41)/$U161-SUM($EE161:EK161)=1,1,0))))</f>
        <v>2</v>
      </c>
      <c r="EM161" s="8">
        <f>IF(EM$56-Voorblad!$F$41&gt;Voorblad!$K$41,0,IF($U161=0,0,IF($U161&lt;1,1/$U161,IF((EM$56-Voorblad!$F$41)/$U161-SUM($EE161:EL161)=1,1,0))))</f>
        <v>2</v>
      </c>
      <c r="EN161" s="8">
        <f>IF(EN$56-Voorblad!$F$41&gt;Voorblad!$K$41,0,IF($U161=0,0,IF($U161&lt;1,1/$U161,IF((EN$56-Voorblad!$F$41)/$U161-SUM($EE161:EM161)=1,1,0))))</f>
        <v>2</v>
      </c>
      <c r="EO161" s="8">
        <f>IF(EO$56-Voorblad!$F$41&gt;Voorblad!$K$41,0,IF($U161=0,0,IF($U161&lt;1,1/$U161,IF((EO$56-Voorblad!$F$41)/$U161-SUM($EE161:EN161)=1,1,0))))</f>
        <v>2</v>
      </c>
      <c r="EP161" s="8">
        <f>IF(EP$56-Voorblad!$F$41&gt;Voorblad!$K$41,0,IF($U161=0,0,IF($U161&lt;1,1/$U161,IF((EP$56-Voorblad!$F$41)/$U161-SUM($EE161:EO161)=1,1,0))))</f>
        <v>2</v>
      </c>
      <c r="EQ161" s="8">
        <f>IF(EQ$56-Voorblad!$F$41&gt;Voorblad!$K$41,0,IF($U161=0,0,IF($U161&lt;1,1/$U161,IF((EQ$56-Voorblad!$F$41)/$U161-SUM($EE161:EP161)=1,1,0))))</f>
        <v>2</v>
      </c>
      <c r="ER161" s="8">
        <f>IF(ER$56-Voorblad!$F$41&gt;Voorblad!$K$41,0,IF($U161=0,0,IF($U161&lt;1,1/$U161,IF((ER$56-Voorblad!$F$41)/$U161-SUM($EE161:EQ161)=1,1,0))))</f>
        <v>2</v>
      </c>
      <c r="ES161" s="8">
        <f>IF(ES$56-Voorblad!$F$41&gt;Voorblad!$K$41,0,IF($U161=0,0,IF($U161&lt;1,1/$U161,IF((ES$56-Voorblad!$F$41)/$U161-SUM($EE161:ER161)=1,1,0))))</f>
        <v>2</v>
      </c>
      <c r="ET161" s="8">
        <f>IF(ET$56-Voorblad!$F$41&gt;Voorblad!$K$41,0,IF($U161=0,0,IF($U161&lt;1,1/$U161,IF((ET$56-Voorblad!$F$41)/$U161-SUM($EE161:ES161)=1,1,0))))</f>
        <v>2</v>
      </c>
      <c r="EU161" s="8">
        <f>IF(EU$56-Voorblad!$F$41&gt;Voorblad!$K$41,0,IF($U161=0,0,IF($U161&lt;1,1/$U161,IF((EU$56-Voorblad!$F$41)/$U161-SUM($EE161:ET161)=1,1,0))))</f>
        <v>2</v>
      </c>
      <c r="EV161" s="8">
        <f>IF(EV$56-Voorblad!$F$41&gt;Voorblad!$K$41,0,IF($U161=0,0,IF($U161&lt;1,1/$U161,IF((EV$56-Voorblad!$F$41)/$U161-SUM($EE161:EU161)=1,1,0))))</f>
        <v>2</v>
      </c>
      <c r="EW161" s="8">
        <f>IF(EW$56-Voorblad!$F$41&gt;Voorblad!$K$41,0,IF($U161=0,0,IF($U161&lt;1,1/$U161,IF((EW$56-Voorblad!$F$41)/$U161-SUM($EE161:EV161)=1,1,0))))</f>
        <v>2</v>
      </c>
      <c r="EX161" s="8">
        <f>IF(EX$56-Voorblad!$F$41&gt;Voorblad!$K$41,0,IF($U161=0,0,IF($U161&lt;1,1/$U161,IF((EX$56-Voorblad!$F$41)/$U161-SUM($EE161:EW161)=1,1,0))))</f>
        <v>2</v>
      </c>
      <c r="EY161" s="8">
        <f>IF(EY$56-Voorblad!$F$41&gt;Voorblad!$K$41,0,IF($U161=0,0,IF($U161&lt;1,1/$U161,IF((EY$56-Voorblad!$F$41)/$U161-SUM($EE161:EX161)=1,1,0))))</f>
        <v>2</v>
      </c>
      <c r="EZ161" s="8">
        <f>IF(EZ$56-Voorblad!$F$41&gt;Voorblad!$K$41,0,IF($U161=0,0,IF($U161&lt;1,1/$U161,IF((EZ$56-Voorblad!$F$41)/$U161-SUM($EE161:EY161)=1,1,0))))</f>
        <v>2</v>
      </c>
      <c r="FA161" s="8">
        <f>IF(FA$56-Voorblad!$F$41&gt;Voorblad!$K$41,0,IF($U161=0,0,IF($U161&lt;1,1/$U161,IF((FA$56-Voorblad!$F$41)/$U161-SUM($EE161:EZ161)=1,1,0))))</f>
        <v>2</v>
      </c>
      <c r="FB161" s="8">
        <f>IF(FB$56-Voorblad!$F$41&gt;Voorblad!$K$41,0,IF($U161=0,0,IF($U161&lt;1,1/$U161,IF((FB$56-Voorblad!$F$41)/$U161-SUM($EE161:FA161)=1,1,0))))</f>
        <v>2</v>
      </c>
      <c r="FC161" s="8">
        <f>IF(FC$56-Voorblad!$F$41&gt;Voorblad!$K$41,0,IF($U161=0,0,IF($U161&lt;1,1/$U161,IF((FC$56-Voorblad!$F$41)/$U161-SUM($EE161:FB161)=1,1,0))))</f>
        <v>2</v>
      </c>
      <c r="FD161" s="8">
        <f>IF(FD$56-Voorblad!$F$41&gt;Voorblad!$K$41,0,IF($U161=0,0,IF($U161&lt;1,1/$U161,IF((FD$56-Voorblad!$F$41)/$U161-SUM($EE161:FC161)=1,1,0))))</f>
        <v>2</v>
      </c>
      <c r="FE161" s="8">
        <f>IF(FE$56-Voorblad!$F$41&gt;Voorblad!$K$41,0,IF($U161=0,0,IF($U161&lt;1,1/$U161,IF((FE$56-Voorblad!$F$41)/$U161-SUM($EE161:FD161)=1,1,0))))</f>
        <v>2</v>
      </c>
      <c r="FF161" s="8">
        <f>IF(FF$56-Voorblad!$F$41&gt;Voorblad!$K$41,0,IF($U161=0,0,IF($U161&lt;1,1/$U161,IF((FF$56-Voorblad!$F$41)/$U161-SUM($EE161:FE161)=1,1,0))))</f>
        <v>2</v>
      </c>
      <c r="FG161" s="8">
        <f>IF(FG$56-Voorblad!$F$41&gt;Voorblad!$K$41,0,IF($U161=0,0,IF($U161&lt;1,1/$U161,IF((FG$56-Voorblad!$F$41)/$U161-SUM($EE161:FF161)=1,1,0))))</f>
        <v>2</v>
      </c>
      <c r="FH161" s="8">
        <f>IF(FH$56-Voorblad!$F$41&gt;Voorblad!$K$41,0,IF($U161=0,0,IF($U161&lt;1,1/$U161,IF((FH$56-Voorblad!$F$41)/$U161-SUM($EE161:FG161)=1,1,0))))</f>
        <v>2</v>
      </c>
      <c r="FI161" s="8">
        <f>IF(FI$56-Voorblad!$F$41&gt;Voorblad!$K$41,0,IF($U161=0,0,IF($U161&lt;1,1/$U161,IF((FI$56-Voorblad!$F$41)/$U161-SUM($EE161:FH161)=1,1,0))))</f>
        <v>2</v>
      </c>
      <c r="FJ161" s="8">
        <f>IF(FJ$56-Voorblad!$F$41&gt;Voorblad!$K$41,0,IF($U161=0,0,IF($U161&lt;1,1/$U161,IF((FJ$56-Voorblad!$F$41)/$U161-SUM($EE161:FI161)=1,1,0))))</f>
        <v>2</v>
      </c>
      <c r="FK161" s="8">
        <f>IF(FK$56-Voorblad!$F$41&gt;Voorblad!$K$41,0,IF($U161=0,0,IF($U161&lt;1,1/$U161,IF((FK$56-Voorblad!$F$41)/$U161-SUM($EE161:FJ161)=1,1,0))))</f>
        <v>2</v>
      </c>
      <c r="FL161" s="8">
        <f>IF(FL$56-Voorblad!$F$41&gt;Voorblad!$K$41,0,IF($U161=0,0,IF($U161&lt;1,1/$U161,IF((FL$56-Voorblad!$F$41)/$U161-SUM($EE161:FK161)=1,1,0))))</f>
        <v>2</v>
      </c>
      <c r="FM161" s="8">
        <f>IF(FM$56-Voorblad!$F$41&gt;Voorblad!$K$41,0,IF($U161=0,0,IF($U161&lt;1,1/$U161,IF((FM$56-Voorblad!$F$41)/$U161-SUM($EE161:FL161)=1,1,0))))</f>
        <v>2</v>
      </c>
      <c r="FN161" s="8">
        <f>IF(FN$56-Voorblad!$F$41&gt;Voorblad!$K$41,0,IF($U161=0,0,IF($U161&lt;1,1/$U161,IF((FN$56-Voorblad!$F$41)/$U161-SUM($EE161:FM161)=1,1,0))))</f>
        <v>2</v>
      </c>
      <c r="FO161" s="8">
        <f>IF(FO$56-Voorblad!$F$41&gt;Voorblad!$K$41,0,IF($U161=0,0,IF($U161&lt;1,1/$U161,IF((FO$56-Voorblad!$F$41)/$U161-SUM($EE161:FN161)=1,1,0))))</f>
        <v>2</v>
      </c>
      <c r="FP161" s="8">
        <f>IF(FP$56-Voorblad!$F$41&gt;Voorblad!$K$41,0,IF($U161=0,0,IF($U161&lt;1,1/$U161,IF((FP$56-Voorblad!$F$41)/$U161-SUM($EE161:FO161)=1,1,0))))</f>
        <v>2</v>
      </c>
      <c r="FQ161" s="8">
        <f>IF(FQ$56-Voorblad!$F$41&gt;Voorblad!$K$41,0,IF($U161=0,0,IF($U161&lt;1,1/$U161,IF((FQ$56-Voorblad!$F$41)/$U161-SUM($EE161:FP161)=1,1,0))))</f>
        <v>2</v>
      </c>
      <c r="FR161" s="8">
        <f>IF(FR$56-Voorblad!$F$41&gt;Voorblad!$K$41,0,IF($U161=0,0,IF($U161&lt;1,1/$U161,IF((FR$56-Voorblad!$F$41)/$U161-SUM($EE161:FQ161)=1,1,0))))</f>
        <v>2</v>
      </c>
      <c r="FS161" s="8">
        <f>IF(FS$56-Voorblad!$F$41&gt;Voorblad!$K$41,0,IF($U161=0,0,IF($U161&lt;1,1/$U161,IF((FS$56-Voorblad!$F$41)/$U161-SUM($EE161:FR161)=1,1,0))))</f>
        <v>2</v>
      </c>
      <c r="FT161" s="8">
        <f>IF(FT$56-Voorblad!$F$41&gt;Voorblad!$K$41,0,IF($U161=0,0,IF($U161&lt;1,1/$U161,IF((FT$56-Voorblad!$F$41)/$U161-SUM($EE161:FS161)=1,1,0))))</f>
        <v>2</v>
      </c>
      <c r="FU161" s="8">
        <f>IF(FU$56-Voorblad!$F$41&gt;Voorblad!$K$41,0,IF($U161=0,0,IF($U161&lt;1,1/$U161,IF((FU$56-Voorblad!$F$41)/$U161-SUM($EE161:FT161)=1,1,0))))</f>
        <v>2</v>
      </c>
      <c r="FV161" s="8">
        <f>IF(FV$56-Voorblad!$F$41&gt;Voorblad!$K$41,0,IF($U161=0,0,IF($U161&lt;1,1/$U161,IF((FV$56-Voorblad!$F$41)/$U161-SUM($EE161:FU161)=1,1,0))))</f>
        <v>2</v>
      </c>
      <c r="FW161" s="8">
        <f>IF(FW$56-Voorblad!$F$41&gt;Voorblad!$K$41,0,IF($U161=0,0,IF($U161&lt;1,1/$U161,IF((FW$56-Voorblad!$F$41)/$U161-SUM($EE161:FV161)=1,1,0))))</f>
        <v>2</v>
      </c>
      <c r="FX161" s="8">
        <f>IF(FX$56-Voorblad!$F$41&gt;Voorblad!$K$41,0,IF($U161=0,0,IF($U161&lt;1,1/$U161,IF((FX$56-Voorblad!$F$41)/$U161-SUM($EE161:FW161)=1,1,0))))</f>
        <v>2</v>
      </c>
      <c r="FY161" s="8">
        <f>IF(FY$56-Voorblad!$F$41&gt;Voorblad!$K$41,0,IF($U161=0,0,IF($U161&lt;1,1/$U161,IF((FY$56-Voorblad!$F$41)/$U161-SUM($EE161:FX161)=1,1,0))))</f>
        <v>2</v>
      </c>
      <c r="FZ161" s="8">
        <f>IF(FZ$56-Voorblad!$F$41&gt;Voorblad!$K$41,0,IF($U161=0,0,IF($U161&lt;1,1/$U161,IF((FZ$56-Voorblad!$F$41)/$U161-SUM($EE161:FY161)=1,1,0))))</f>
        <v>2</v>
      </c>
      <c r="GA161" s="8">
        <f>IF(GA$56-Voorblad!$F$41&gt;Voorblad!$K$41,0,IF($U161=0,0,IF($U161&lt;1,1/$U161,IF((GA$56-Voorblad!$F$41)/$U161-SUM($EE161:FZ161)=1,1,0))))</f>
        <v>2</v>
      </c>
      <c r="GB161" s="8">
        <f>IF(GB$56-Voorblad!$F$41&gt;Voorblad!$K$41,0,IF($U161=0,0,IF($U161&lt;1,1/$U161,IF((GB$56-Voorblad!$F$41)/$U161-SUM($EE161:GA161)=1,1,0))))</f>
        <v>2</v>
      </c>
      <c r="GC161" s="8">
        <f>IF(GC$56-Voorblad!$F$41&gt;Voorblad!$K$41,0,IF($U161=0,0,IF($U161&lt;1,1/$U161,IF((GC$56-Voorblad!$F$41)/$U161-SUM($EE161:GB161)=1,1,0))))</f>
        <v>2</v>
      </c>
      <c r="GD161" s="8">
        <f>IF(GD$56-Voorblad!$F$41&gt;Voorblad!$K$41,0,IF($U161=0,0,IF($U161&lt;1,1/$U161,IF((GD$56-Voorblad!$F$41)/$U161-SUM($EE161:GC161)=1,1,0))))</f>
        <v>2</v>
      </c>
      <c r="GE161" s="8">
        <f>IF(GE$56-Voorblad!$F$41&gt;Voorblad!$K$41,0,IF($U161=0,0,IF($U161&lt;1,1/$U161,IF((GE$56-Voorblad!$F$41)/$U161-SUM($EE161:GD161)=1,1,0))))</f>
        <v>2</v>
      </c>
      <c r="GF161" s="8">
        <f>IF(GF$56-Voorblad!$F$41&gt;Voorblad!$K$41,0,IF($U161=0,0,IF($U161&lt;1,1/$U161,IF((GF$56-Voorblad!$F$41)/$U161-SUM($EE161:GE161)=1,1,0))))</f>
        <v>2</v>
      </c>
      <c r="GG161" s="8">
        <f>IF(GG$56-Voorblad!$F$41&gt;Voorblad!$K$41,0,IF($U161=0,0,IF($U161&lt;1,1/$U161,IF((GG$56-Voorblad!$F$41)/$U161-SUM($EE161:GF161)=1,1,0))))</f>
        <v>2</v>
      </c>
      <c r="GH161" s="8">
        <f>IF(GH$56-Voorblad!$F$41&gt;Voorblad!$K$41,0,IF($U161=0,0,IF($U161&lt;1,1/$U161,IF((GH$56-Voorblad!$F$41)/$U161-SUM($EE161:GG161)=1,1,0))))</f>
        <v>2</v>
      </c>
      <c r="GI161" s="8">
        <f>IF(GI$56-Voorblad!$F$41&gt;Voorblad!$K$41,0,IF($U161=0,0,IF($U161&lt;1,1/$U161,IF((GI$56-Voorblad!$F$41)/$U161-SUM($EE161:GH161)=1,1,0))))</f>
        <v>2</v>
      </c>
      <c r="GJ161" s="8">
        <f>IF(GJ$56-Voorblad!$F$41&gt;Voorblad!$K$41,0,IF($U161=0,0,IF($U161&lt;1,1/$U161,IF((GJ$56-Voorblad!$F$41)/$U161-SUM($EE161:GI161)=1,1,0))))</f>
        <v>2</v>
      </c>
      <c r="GK161" s="8">
        <f>IF(GK$56-Voorblad!$F$41&gt;Voorblad!$K$41,0,IF($U161=0,0,IF($U161&lt;1,1/$U161,IF((GK$56-Voorblad!$F$41)/$U161-SUM($EE161:GJ161)=1,1,0))))</f>
        <v>2</v>
      </c>
      <c r="GL161" s="8">
        <f>IF(GL$56-Voorblad!$F$41&gt;Voorblad!$K$41,0,IF($U161=0,0,IF($U161&lt;1,1/$U161,IF((GL$56-Voorblad!$F$41)/$U161-SUM($EE161:GK161)=1,1,0))))</f>
        <v>2</v>
      </c>
      <c r="GM161" s="8">
        <f>IF(GM$56-Voorblad!$F$41&gt;Voorblad!$K$41,0,IF($U161=0,0,IF($U161&lt;1,1/$U161,IF((GM$56-Voorblad!$F$41)/$U161-SUM($EE161:GL161)=1,1,0))))</f>
        <v>2</v>
      </c>
      <c r="GN161" s="8">
        <f>IF(GN$56-Voorblad!$F$41&gt;Voorblad!$K$41,0,IF($U161=0,0,IF($U161&lt;1,1/$U161,IF((GN$56-Voorblad!$F$41)/$U161-SUM($EE161:GM161)=1,1,0))))</f>
        <v>2</v>
      </c>
      <c r="GO161" s="8">
        <f>IF(GO$56-Voorblad!$F$41&gt;Voorblad!$K$41,0,IF($U161=0,0,IF($U161&lt;1,1/$U161,IF((GO$56-Voorblad!$F$41)/$U161-SUM($EE161:GN161)=1,1,0))))</f>
        <v>2</v>
      </c>
      <c r="GP161" s="8">
        <f>IF(GP$56-Voorblad!$F$41&gt;Voorblad!$K$41,0,IF($U161=0,0,IF($U161&lt;1,1/$U161,IF((GP$56-Voorblad!$F$41)/$U161-SUM($EE161:GO161)=1,1,0))))</f>
        <v>2</v>
      </c>
      <c r="GQ161" s="8">
        <f>IF(GQ$56-Voorblad!$F$41&gt;Voorblad!$K$41,0,IF($U161=0,0,IF($U161&lt;1,1/$U161,IF((GQ$56-Voorblad!$F$41)/$U161-SUM($EE161:GP161)=1,1,0))))</f>
        <v>2</v>
      </c>
      <c r="GR161" s="8">
        <f>IF(GR$56-Voorblad!$F$41&gt;Voorblad!$K$41,0,IF($U161=0,0,IF($U161&lt;1,1/$U161,IF((GR$56-Voorblad!$F$41)/$U161-SUM($EE161:GQ161)=1,1,0))))</f>
        <v>2</v>
      </c>
      <c r="GS161" s="8">
        <f>IF(GS$56-Voorblad!$F$41&gt;Voorblad!$K$41,0,IF($U161=0,0,IF($U161&lt;1,1/$U161,IF((GS$56-Voorblad!$F$41)/$U161-SUM($EE161:GR161)=1,1,0))))</f>
        <v>2</v>
      </c>
      <c r="GT161" s="8">
        <f>IF(GT$56-Voorblad!$F$41&gt;Voorblad!$K$41,0,IF($U161=0,0,IF($U161&lt;1,1/$U161,IF((GT$56-Voorblad!$F$41)/$U161-SUM($EE161:GS161)=1,1,0))))</f>
        <v>2</v>
      </c>
      <c r="GU161" s="8">
        <f>IF(GU$56-Voorblad!$F$41&gt;Voorblad!$K$41,0,IF($U161=0,0,IF($U161&lt;1,1/$U161,IF((GU$56-Voorblad!$F$41)/$U161-SUM($EE161:GT161)=1,1,0))))</f>
        <v>2</v>
      </c>
      <c r="GV161" s="8">
        <f>IF(GV$56-Voorblad!$F$41&gt;Voorblad!$K$41,0,IF($U161=0,0,IF($U161&lt;1,1/$U161,IF((GV$56-Voorblad!$F$41)/$U161-SUM($EE161:GU161)=1,1,0))))</f>
        <v>2</v>
      </c>
      <c r="GW161" s="8">
        <f>IF(GW$56-Voorblad!$F$41&gt;Voorblad!$K$41,0,IF($U161=0,0,IF($U161&lt;1,1/$U161,IF((GW$56-Voorblad!$F$41)/$U161-SUM($EE161:GV161)=1,1,0))))</f>
        <v>2</v>
      </c>
      <c r="GX161" s="8">
        <f>IF(GX$56-Voorblad!$F$41&gt;Voorblad!$K$41,0,IF($U161=0,0,IF($U161&lt;1,1/$U161,IF((GX$56-Voorblad!$F$41)/$U161-SUM($EE161:GW161)=1,1,0))))</f>
        <v>2</v>
      </c>
      <c r="GY161" s="8">
        <f>IF(GY$56-Voorblad!$F$41&gt;Voorblad!$K$41,0,IF($U161=0,0,IF($U161&lt;1,1/$U161,IF((GY$56-Voorblad!$F$41)/$U161-SUM($EE161:GX161)=1,1,0))))</f>
        <v>2</v>
      </c>
      <c r="GZ161" s="8">
        <f>IF(GZ$56-Voorblad!$F$41&gt;Voorblad!$K$41,0,IF($U161=0,0,IF($U161&lt;1,1/$U161,IF((GZ$56-Voorblad!$F$41)/$U161-SUM($EE161:GY161)=1,1,0))))</f>
        <v>2</v>
      </c>
      <c r="HA161" s="8">
        <f>IF(HA$56-Voorblad!$F$41&gt;Voorblad!$K$41,0,IF($U161=0,0,IF($U161&lt;1,1/$U161,IF((HA$56-Voorblad!$F$41)/$U161-SUM($EE161:GZ161)=1,1,0))))</f>
        <v>2</v>
      </c>
      <c r="HB161" s="8">
        <f>IF(HB$56-Voorblad!$F$41&gt;Voorblad!$K$41,0,IF($U161=0,0,IF($U161&lt;1,1/$U161,IF((HB$56-Voorblad!$F$41)/$U161-SUM($EE161:HA161)=1,1,0))))</f>
        <v>0</v>
      </c>
      <c r="HC161" s="8">
        <f>IF(HC$56-Voorblad!$F$41&gt;Voorblad!$K$41,0,IF($U161=0,0,IF($U161&lt;1,1/$U161,IF((HC$56-Voorblad!$F$41)/$U161-SUM($EE161:HB161)=1,1,0))))</f>
        <v>0</v>
      </c>
      <c r="HD161" s="8">
        <f>IF(HD$56-Voorblad!$F$41&gt;Voorblad!$K$41,0,IF($U161=0,0,IF($U161&lt;1,1/$U161,IF((HD$56-Voorblad!$F$41)/$U161-SUM($EE161:HC161)=1,1,0))))</f>
        <v>0</v>
      </c>
      <c r="HE161" s="8">
        <f>IF(HE$56-Voorblad!$F$41&gt;Voorblad!$K$41,0,IF($U161=0,0,IF($U161&lt;1,1/$U161,IF((HE$56-Voorblad!$F$41)/$U161-SUM($EE161:HD161)=1,1,0))))</f>
        <v>0</v>
      </c>
      <c r="HF161" s="8">
        <f>IF(HF$56-Voorblad!$F$41&gt;Voorblad!$K$41,0,IF($U161=0,0,IF($U161&lt;1,1/$U161,IF((HF$56-Voorblad!$F$41)/$U161-SUM($EE161:HE161)=1,1,0))))</f>
        <v>0</v>
      </c>
      <c r="HG161" s="8">
        <f>IF(HG$56-Voorblad!$F$41&gt;Voorblad!$K$41,0,IF($U161=0,0,IF($U161&lt;1,1/$U161,IF((HG$56-Voorblad!$F$41)/$U161-SUM($EE161:HF161)=1,1,0))))</f>
        <v>0</v>
      </c>
      <c r="HH161" s="8">
        <f>IF(HH$56-Voorblad!$F$41&gt;Voorblad!$K$41,0,IF($U161=0,0,IF($U161&lt;1,1/$U161,IF((HH$56-Voorblad!$F$41)/$U161-SUM($EE161:HG161)=1,1,0))))</f>
        <v>0</v>
      </c>
      <c r="HI161" s="8">
        <f>IF(HI$56-Voorblad!$F$41&gt;Voorblad!$K$41,0,IF($U161=0,0,IF($U161&lt;1,1/$U161,IF((HI$56-Voorblad!$F$41)/$U161-SUM($EE161:HH161)=1,1,0))))</f>
        <v>0</v>
      </c>
      <c r="HJ161" s="8">
        <f>IF(HJ$56-Voorblad!$F$41&gt;Voorblad!$K$41,0,IF($U161=0,0,IF($U161&lt;1,1/$U161,IF((HJ$56-Voorblad!$F$41)/$U161-SUM($EE161:HI161)=1,1,0))))</f>
        <v>0</v>
      </c>
      <c r="HK161" s="8">
        <f>IF(HK$56-Voorblad!$F$41&gt;Voorblad!$K$41,0,IF($U161=0,0,IF($U161&lt;1,1/$U161,IF((HK$56-Voorblad!$F$41)/$U161-SUM($EE161:HJ161)=1,1,0))))</f>
        <v>0</v>
      </c>
      <c r="HL161" s="8">
        <f>IF(HL$56-Voorblad!$F$41&gt;Voorblad!$K$41,0,IF($U161=0,0,IF($U161&lt;1,1/$U161,IF((HL$56-Voorblad!$F$41)/$U161-SUM($EE161:HK161)=1,1,0))))</f>
        <v>0</v>
      </c>
      <c r="HM161" s="8">
        <f>IF(HM$56-Voorblad!$F$41&gt;Voorblad!$K$41,0,IF($U161=0,0,IF($U161&lt;1,1/$U161,IF((HM$56-Voorblad!$F$41)/$U161-SUM($EE161:HL161)=1,1,0))))</f>
        <v>0</v>
      </c>
      <c r="HN161" s="8">
        <f>IF(HN$56-Voorblad!$F$41&gt;Voorblad!$K$41,0,IF($U161=0,0,IF($U161&lt;1,1/$U161,IF((HN$56-Voorblad!$F$41)/$U161-SUM($EE161:HM161)=1,1,0))))</f>
        <v>0</v>
      </c>
      <c r="HO161" s="8">
        <f>IF(HO$56-Voorblad!$F$41&gt;Voorblad!$K$41,0,IF($U161=0,0,IF($U161&lt;1,1/$U161,IF((HO$56-Voorblad!$F$41)/$U161-SUM($EE161:HN161)=1,1,0))))</f>
        <v>0</v>
      </c>
      <c r="HP161" s="8">
        <f>IF(HP$56-Voorblad!$F$41&gt;Voorblad!$K$41,0,IF($U161=0,0,IF($U161&lt;1,1/$U161,IF((HP$56-Voorblad!$F$41)/$U161-SUM($EE161:HO161)=1,1,0))))</f>
        <v>0</v>
      </c>
      <c r="HQ161" s="8">
        <f>IF(HQ$56-Voorblad!$F$41&gt;Voorblad!$K$41,0,IF($U161=0,0,IF($U161&lt;1,1/$U161,IF((HQ$56-Voorblad!$F$41)/$U161-SUM($EE161:HP161)=1,1,0))))</f>
        <v>0</v>
      </c>
      <c r="HR161" s="8">
        <f>IF(HR$56-Voorblad!$F$41&gt;Voorblad!$K$41,0,IF($U161=0,0,IF($U161&lt;1,1/$U161,IF((HR$56-Voorblad!$F$41)/$U161-SUM($EE161:HQ161)=1,1,0))))</f>
        <v>0</v>
      </c>
      <c r="HS161" s="8">
        <f>IF(HS$56-Voorblad!$F$41&gt;Voorblad!$K$41,0,IF($U161=0,0,IF($U161&lt;1,1/$U161,IF((HS$56-Voorblad!$F$41)/$U161-SUM($EE161:HR161)=1,1,0))))</f>
        <v>0</v>
      </c>
      <c r="HT161" s="8">
        <f>IF(HT$56-Voorblad!$F$41&gt;Voorblad!$K$41,0,IF($U161=0,0,IF($U161&lt;1,1/$U161,IF((HT$56-Voorblad!$F$41)/$U161-SUM($EE161:HS161)=1,1,0))))</f>
        <v>0</v>
      </c>
      <c r="HU161" s="8">
        <f>IF(HU$56-Voorblad!$F$41&gt;Voorblad!$K$41,0,IF($U161=0,0,IF($U161&lt;1,1/$U161,IF((HU$56-Voorblad!$F$41)/$U161-SUM($EE161:HT161)=1,1,0))))</f>
        <v>0</v>
      </c>
      <c r="HV161" s="8">
        <f>IF(HV$56-Voorblad!$F$41&gt;Voorblad!$K$41,0,IF($U161=0,0,IF($U161&lt;1,1/$U161,IF((HV$56-Voorblad!$F$41)/$U161-SUM($EE161:HU161)=1,1,0))))</f>
        <v>0</v>
      </c>
      <c r="HW161" s="8">
        <f>IF(HW$56-Voorblad!$F$41&gt;Voorblad!$K$41,0,IF($U161=0,0,IF($U161&lt;1,1/$U161,IF((HW$56-Voorblad!$F$41)/$U161-SUM($EE161:HV161)=1,1,0))))</f>
        <v>0</v>
      </c>
      <c r="HX161" s="8">
        <f>IF(HX$56-Voorblad!$F$41&gt;Voorblad!$K$41,0,IF($U161=0,0,IF($U161&lt;1,1/$U161,IF((HX$56-Voorblad!$F$41)/$U161-SUM($EE161:HW161)=1,1,0))))</f>
        <v>0</v>
      </c>
      <c r="HY161" s="8">
        <f>IF(HY$56-Voorblad!$F$41&gt;Voorblad!$K$41,0,IF($U161=0,0,IF($U161&lt;1,1/$U161,IF((HY$56-Voorblad!$F$41)/$U161-SUM($EE161:HX161)=1,1,0))))</f>
        <v>0</v>
      </c>
      <c r="HZ161" s="8">
        <f>IF(HZ$56-Voorblad!$F$41&gt;Voorblad!$K$41,0,IF($U161=0,0,IF($U161&lt;1,1/$U161,IF((HZ$56-Voorblad!$F$41)/$U161-SUM($EE161:HY161)=1,1,0))))</f>
        <v>0</v>
      </c>
      <c r="IA161" s="8">
        <f>IF(IA$56-Voorblad!$F$41&gt;Voorblad!$K$41,0,IF($U161=0,0,IF($U161&lt;1,1/$U161,IF((IA$56-Voorblad!$F$41)/$U161-SUM($EE161:HZ161)=1,1,0))))</f>
        <v>0</v>
      </c>
      <c r="IB161" s="8">
        <f>IF(IB$56-Voorblad!$F$41&gt;Voorblad!$K$41,0,IF($U161=0,0,IF($U161&lt;1,1/$U161,IF((IB$56-Voorblad!$F$41)/$U161-SUM($EE161:IA161)=1,1,0))))</f>
        <v>0</v>
      </c>
    </row>
    <row r="162" spans="2:236" ht="12" hidden="1" customHeight="1" outlineLevel="1" x14ac:dyDescent="0.25">
      <c r="B162" s="1">
        <v>3</v>
      </c>
      <c r="F162" s="1" t="s">
        <v>23</v>
      </c>
      <c r="I162" s="1" t="s">
        <v>277</v>
      </c>
      <c r="K162" s="1" t="s">
        <v>215</v>
      </c>
      <c r="P162" s="1" t="s">
        <v>184</v>
      </c>
      <c r="Q162" s="83">
        <v>0</v>
      </c>
      <c r="R162" s="147" t="s">
        <v>196</v>
      </c>
      <c r="S162" s="21">
        <f>$H$20*350</f>
        <v>619.5</v>
      </c>
      <c r="T162" s="1">
        <f t="shared" si="189"/>
        <v>0</v>
      </c>
      <c r="U162" s="14">
        <v>10</v>
      </c>
      <c r="V162" s="14"/>
      <c r="Y162" s="9">
        <f t="shared" si="190"/>
        <v>0</v>
      </c>
      <c r="Z162" s="82"/>
      <c r="AA162" s="82"/>
      <c r="AC162" s="9">
        <f>$Y162*(Voorblad!$K$44*(1+Voorblad!$K$44)^Voorblad!$K$41)/((1+Voorblad!$K$44)^Voorblad!$K$41-1)</f>
        <v>0</v>
      </c>
      <c r="AE162" s="9">
        <f>EF162*($Q162*$S162)/(1+Voorblad!$K$44)^(AE$56-Voorblad!$F$41)</f>
        <v>0</v>
      </c>
      <c r="AF162" s="9">
        <f>EG162*($Q162*$S162)/(1+Voorblad!$K$44)^(AF$56-Voorblad!$F$41)</f>
        <v>0</v>
      </c>
      <c r="AG162" s="9">
        <f>EH162*($Q162*$S162)/(1+Voorblad!$K$44)^(AG$56-Voorblad!$F$41)</f>
        <v>0</v>
      </c>
      <c r="AH162" s="9">
        <f>EI162*($Q162*$S162)/(1+Voorblad!$K$44)^(AH$56-Voorblad!$F$41)</f>
        <v>0</v>
      </c>
      <c r="AI162" s="9">
        <f>EJ162*($Q162*$S162)/(1+Voorblad!$K$44)^(AI$56-Voorblad!$F$41)</f>
        <v>0</v>
      </c>
      <c r="AJ162" s="9">
        <f>EK162*($Q162*$S162)/(1+Voorblad!$K$44)^(AJ$56-Voorblad!$F$41)</f>
        <v>0</v>
      </c>
      <c r="AK162" s="9">
        <f>EL162*($Q162*$S162)/(1+Voorblad!$K$44)^(AK$56-Voorblad!$F$41)</f>
        <v>0</v>
      </c>
      <c r="AL162" s="9">
        <f>EM162*($Q162*$S162)/(1+Voorblad!$K$44)^(AL$56-Voorblad!$F$41)</f>
        <v>0</v>
      </c>
      <c r="AM162" s="9">
        <f>EN162*($Q162*$S162)/(1+Voorblad!$K$44)^(AM$56-Voorblad!$F$41)</f>
        <v>0</v>
      </c>
      <c r="AN162" s="9">
        <f>EO162*($Q162*$S162)/(1+Voorblad!$K$44)^(AN$56-Voorblad!$F$41)</f>
        <v>0</v>
      </c>
      <c r="AO162" s="9">
        <f>EP162*($Q162*$S162)/(1+Voorblad!$K$44)^(AO$56-Voorblad!$F$41)</f>
        <v>0</v>
      </c>
      <c r="AP162" s="9">
        <f>EQ162*($Q162*$S162)/(1+Voorblad!$K$44)^(AP$56-Voorblad!$F$41)</f>
        <v>0</v>
      </c>
      <c r="AQ162" s="9">
        <f>ER162*($Q162*$S162)/(1+Voorblad!$K$44)^(AQ$56-Voorblad!$F$41)</f>
        <v>0</v>
      </c>
      <c r="AR162" s="9">
        <f>ES162*($Q162*$S162)/(1+Voorblad!$K$44)^(AR$56-Voorblad!$F$41)</f>
        <v>0</v>
      </c>
      <c r="AS162" s="9">
        <f>ET162*($Q162*$S162)/(1+Voorblad!$K$44)^(AS$56-Voorblad!$F$41)</f>
        <v>0</v>
      </c>
      <c r="AT162" s="9">
        <f>EU162*($Q162*$S162)/(1+Voorblad!$K$44)^(AT$56-Voorblad!$F$41)</f>
        <v>0</v>
      </c>
      <c r="AU162" s="9">
        <f>EV162*($Q162*$S162)/(1+Voorblad!$K$44)^(AU$56-Voorblad!$F$41)</f>
        <v>0</v>
      </c>
      <c r="AV162" s="9">
        <f>EW162*($Q162*$S162)/(1+Voorblad!$K$44)^(AV$56-Voorblad!$F$41)</f>
        <v>0</v>
      </c>
      <c r="AW162" s="9">
        <f>EX162*($Q162*$S162)/(1+Voorblad!$K$44)^(AW$56-Voorblad!$F$41)</f>
        <v>0</v>
      </c>
      <c r="AX162" s="9">
        <f>EY162*($Q162*$S162)/(1+Voorblad!$K$44)^(AX$56-Voorblad!$F$41)</f>
        <v>0</v>
      </c>
      <c r="AY162" s="9">
        <f>EZ162*($Q162*$S162)/(1+Voorblad!$K$44)^(AY$56-Voorblad!$F$41)</f>
        <v>0</v>
      </c>
      <c r="AZ162" s="9">
        <f>FA162*($Q162*$S162)/(1+Voorblad!$K$44)^(AZ$56-Voorblad!$F$41)</f>
        <v>0</v>
      </c>
      <c r="BA162" s="9">
        <f>FB162*($Q162*$S162)/(1+Voorblad!$K$44)^(BA$56-Voorblad!$F$41)</f>
        <v>0</v>
      </c>
      <c r="BB162" s="9">
        <f>FC162*($Q162*$S162)/(1+Voorblad!$K$44)^(BB$56-Voorblad!$F$41)</f>
        <v>0</v>
      </c>
      <c r="BC162" s="9">
        <f>FD162*($Q162*$S162)/(1+Voorblad!$K$44)^(BC$56-Voorblad!$F$41)</f>
        <v>0</v>
      </c>
      <c r="BD162" s="9">
        <f>FE162*($Q162*$S162)/(1+Voorblad!$K$44)^(BD$56-Voorblad!$F$41)</f>
        <v>0</v>
      </c>
      <c r="BE162" s="9">
        <f>FF162*($Q162*$S162)/(1+Voorblad!$K$44)^(BE$56-Voorblad!$F$41)</f>
        <v>0</v>
      </c>
      <c r="BF162" s="9">
        <f>FG162*($Q162*$S162)/(1+Voorblad!$K$44)^(BF$56-Voorblad!$F$41)</f>
        <v>0</v>
      </c>
      <c r="BG162" s="9">
        <f>FH162*($Q162*$S162)/(1+Voorblad!$K$44)^(BG$56-Voorblad!$F$41)</f>
        <v>0</v>
      </c>
      <c r="BH162" s="9">
        <f>FI162*($Q162*$S162)/(1+Voorblad!$K$44)^(BH$56-Voorblad!$F$41)</f>
        <v>0</v>
      </c>
      <c r="BI162" s="9">
        <f>FJ162*($Q162*$S162)/(1+Voorblad!$K$44)^(BI$56-Voorblad!$F$41)</f>
        <v>0</v>
      </c>
      <c r="BJ162" s="9">
        <f>FK162*($Q162*$S162)/(1+Voorblad!$K$44)^(BJ$56-Voorblad!$F$41)</f>
        <v>0</v>
      </c>
      <c r="BK162" s="9">
        <f>FL162*($Q162*$S162)/(1+Voorblad!$K$44)^(BK$56-Voorblad!$F$41)</f>
        <v>0</v>
      </c>
      <c r="BL162" s="9">
        <f>FM162*($Q162*$S162)/(1+Voorblad!$K$44)^(BL$56-Voorblad!$F$41)</f>
        <v>0</v>
      </c>
      <c r="BM162" s="9">
        <f>FN162*($Q162*$S162)/(1+Voorblad!$K$44)^(BM$56-Voorblad!$F$41)</f>
        <v>0</v>
      </c>
      <c r="BN162" s="9">
        <f>FO162*($Q162*$S162)/(1+Voorblad!$K$44)^(BN$56-Voorblad!$F$41)</f>
        <v>0</v>
      </c>
      <c r="BO162" s="9">
        <f>FP162*($Q162*$S162)/(1+Voorblad!$K$44)^(BO$56-Voorblad!$F$41)</f>
        <v>0</v>
      </c>
      <c r="BP162" s="9">
        <f>FQ162*($Q162*$S162)/(1+Voorblad!$K$44)^(BP$56-Voorblad!$F$41)</f>
        <v>0</v>
      </c>
      <c r="BQ162" s="9">
        <f>FR162*($Q162*$S162)/(1+Voorblad!$K$44)^(BQ$56-Voorblad!$F$41)</f>
        <v>0</v>
      </c>
      <c r="BR162" s="9">
        <f>FS162*($Q162*$S162)/(1+Voorblad!$K$44)^(BR$56-Voorblad!$F$41)</f>
        <v>0</v>
      </c>
      <c r="BS162" s="9">
        <f>FT162*($Q162*$S162)/(1+Voorblad!$K$44)^(BS$56-Voorblad!$F$41)</f>
        <v>0</v>
      </c>
      <c r="BT162" s="9">
        <f>FU162*($Q162*$S162)/(1+Voorblad!$K$44)^(BT$56-Voorblad!$F$41)</f>
        <v>0</v>
      </c>
      <c r="BU162" s="9">
        <f>FV162*($Q162*$S162)/(1+Voorblad!$K$44)^(BU$56-Voorblad!$F$41)</f>
        <v>0</v>
      </c>
      <c r="BV162" s="9">
        <f>FW162*($Q162*$S162)/(1+Voorblad!$K$44)^(BV$56-Voorblad!$F$41)</f>
        <v>0</v>
      </c>
      <c r="BW162" s="9">
        <f>FX162*($Q162*$S162)/(1+Voorblad!$K$44)^(BW$56-Voorblad!$F$41)</f>
        <v>0</v>
      </c>
      <c r="BX162" s="9">
        <f>FY162*($Q162*$S162)/(1+Voorblad!$K$44)^(BX$56-Voorblad!$F$41)</f>
        <v>0</v>
      </c>
      <c r="BY162" s="9">
        <f>FZ162*($Q162*$S162)/(1+Voorblad!$K$44)^(BY$56-Voorblad!$F$41)</f>
        <v>0</v>
      </c>
      <c r="BZ162" s="9">
        <f>GA162*($Q162*$S162)/(1+Voorblad!$K$44)^(BZ$56-Voorblad!$F$41)</f>
        <v>0</v>
      </c>
      <c r="CA162" s="9">
        <f>GB162*($Q162*$S162)/(1+Voorblad!$K$44)^(CA$56-Voorblad!$F$41)</f>
        <v>0</v>
      </c>
      <c r="CB162" s="9">
        <f>GC162*($Q162*$S162)/(1+Voorblad!$K$44)^(CB$56-Voorblad!$F$41)</f>
        <v>0</v>
      </c>
      <c r="CC162" s="9">
        <f>GD162*($Q162*$S162)/(1+Voorblad!$K$44)^(CC$56-Voorblad!$F$41)</f>
        <v>0</v>
      </c>
      <c r="CD162" s="9">
        <f>GE162*($Q162*$S162)/(1+Voorblad!$K$44)^(CD$56-Voorblad!$F$41)</f>
        <v>0</v>
      </c>
      <c r="CE162" s="9">
        <f>GF162*($Q162*$S162)/(1+Voorblad!$K$44)^(CE$56-Voorblad!$F$41)</f>
        <v>0</v>
      </c>
      <c r="CF162" s="9">
        <f>GG162*($Q162*$S162)/(1+Voorblad!$K$44)^(CF$56-Voorblad!$F$41)</f>
        <v>0</v>
      </c>
      <c r="CG162" s="9">
        <f>GH162*($Q162*$S162)/(1+Voorblad!$K$44)^(CG$56-Voorblad!$F$41)</f>
        <v>0</v>
      </c>
      <c r="CH162" s="9">
        <f>GI162*($Q162*$S162)/(1+Voorblad!$K$44)^(CH$56-Voorblad!$F$41)</f>
        <v>0</v>
      </c>
      <c r="CI162" s="9">
        <f>GJ162*($Q162*$S162)/(1+Voorblad!$K$44)^(CI$56-Voorblad!$F$41)</f>
        <v>0</v>
      </c>
      <c r="CJ162" s="9">
        <f>GK162*($Q162*$S162)/(1+Voorblad!$K$44)^(CJ$56-Voorblad!$F$41)</f>
        <v>0</v>
      </c>
      <c r="CK162" s="9">
        <f>GL162*($Q162*$S162)/(1+Voorblad!$K$44)^(CK$56-Voorblad!$F$41)</f>
        <v>0</v>
      </c>
      <c r="CL162" s="9">
        <f>GM162*($Q162*$S162)/(1+Voorblad!$K$44)^(CL$56-Voorblad!$F$41)</f>
        <v>0</v>
      </c>
      <c r="CM162" s="9">
        <f>GN162*($Q162*$S162)/(1+Voorblad!$K$44)^(CM$56-Voorblad!$F$41)</f>
        <v>0</v>
      </c>
      <c r="CN162" s="9">
        <f>GO162*($Q162*$S162)/(1+Voorblad!$K$44)^(CN$56-Voorblad!$F$41)</f>
        <v>0</v>
      </c>
      <c r="CO162" s="9">
        <f>GP162*($Q162*$S162)/(1+Voorblad!$K$44)^(CO$56-Voorblad!$F$41)</f>
        <v>0</v>
      </c>
      <c r="CP162" s="9">
        <f>GQ162*($Q162*$S162)/(1+Voorblad!$K$44)^(CP$56-Voorblad!$F$41)</f>
        <v>0</v>
      </c>
      <c r="CQ162" s="9">
        <f>GR162*($Q162*$S162)/(1+Voorblad!$K$44)^(CQ$56-Voorblad!$F$41)</f>
        <v>0</v>
      </c>
      <c r="CR162" s="9">
        <f>GS162*($Q162*$S162)/(1+Voorblad!$K$44)^(CR$56-Voorblad!$F$41)</f>
        <v>0</v>
      </c>
      <c r="CS162" s="9">
        <f>GT162*($Q162*$S162)/(1+Voorblad!$K$44)^(CS$56-Voorblad!$F$41)</f>
        <v>0</v>
      </c>
      <c r="CT162" s="9">
        <f>GU162*($Q162*$S162)/(1+Voorblad!$K$44)^(CT$56-Voorblad!$F$41)</f>
        <v>0</v>
      </c>
      <c r="CU162" s="9">
        <f>GV162*($Q162*$S162)/(1+Voorblad!$K$44)^(CU$56-Voorblad!$F$41)</f>
        <v>0</v>
      </c>
      <c r="CV162" s="9">
        <f>GW162*($Q162*$S162)/(1+Voorblad!$K$44)^(CV$56-Voorblad!$F$41)</f>
        <v>0</v>
      </c>
      <c r="CW162" s="9">
        <f>GX162*($Q162*$S162)/(1+Voorblad!$K$44)^(CW$56-Voorblad!$F$41)</f>
        <v>0</v>
      </c>
      <c r="CX162" s="9">
        <f>GY162*($Q162*$S162)/(1+Voorblad!$K$44)^(CX$56-Voorblad!$F$41)</f>
        <v>0</v>
      </c>
      <c r="CY162" s="9">
        <f>GZ162*($Q162*$S162)/(1+Voorblad!$K$44)^(CY$56-Voorblad!$F$41)</f>
        <v>0</v>
      </c>
      <c r="CZ162" s="9">
        <f>HA162*($Q162*$S162)/(1+Voorblad!$K$44)^(CZ$56-Voorblad!$F$41)</f>
        <v>0</v>
      </c>
      <c r="DA162" s="9">
        <f>HB162*($Q162*$S162)/(1+Voorblad!$K$44)^(DA$56-Voorblad!$F$41)</f>
        <v>0</v>
      </c>
      <c r="DB162" s="9">
        <f>HC162*($Q162*$S162)/(1+Voorblad!$K$44)^(DB$56-Voorblad!$F$41)</f>
        <v>0</v>
      </c>
      <c r="DC162" s="9">
        <f>HD162*($Q162*$S162)/(1+Voorblad!$K$44)^(DC$56-Voorblad!$F$41)</f>
        <v>0</v>
      </c>
      <c r="DD162" s="9">
        <f>HE162*($Q162*$S162)/(1+Voorblad!$K$44)^(DD$56-Voorblad!$F$41)</f>
        <v>0</v>
      </c>
      <c r="DE162" s="9">
        <f>HF162*($Q162*$S162)/(1+Voorblad!$K$44)^(DE$56-Voorblad!$F$41)</f>
        <v>0</v>
      </c>
      <c r="DF162" s="9">
        <f>HG162*($Q162*$S162)/(1+Voorblad!$K$44)^(DF$56-Voorblad!$F$41)</f>
        <v>0</v>
      </c>
      <c r="DG162" s="9">
        <f>HH162*($Q162*$S162)/(1+Voorblad!$K$44)^(DG$56-Voorblad!$F$41)</f>
        <v>0</v>
      </c>
      <c r="DH162" s="9">
        <f>HI162*($Q162*$S162)/(1+Voorblad!$K$44)^(DH$56-Voorblad!$F$41)</f>
        <v>0</v>
      </c>
      <c r="DI162" s="9">
        <f>HJ162*($Q162*$S162)/(1+Voorblad!$K$44)^(DI$56-Voorblad!$F$41)</f>
        <v>0</v>
      </c>
      <c r="DJ162" s="9">
        <f>HK162*($Q162*$S162)/(1+Voorblad!$K$44)^(DJ$56-Voorblad!$F$41)</f>
        <v>0</v>
      </c>
      <c r="DK162" s="9">
        <f>HL162*($Q162*$S162)/(1+Voorblad!$K$44)^(DK$56-Voorblad!$F$41)</f>
        <v>0</v>
      </c>
      <c r="DL162" s="9">
        <f>HM162*($Q162*$S162)/(1+Voorblad!$K$44)^(DL$56-Voorblad!$F$41)</f>
        <v>0</v>
      </c>
      <c r="DM162" s="9">
        <f>HN162*($Q162*$S162)/(1+Voorblad!$K$44)^(DM$56-Voorblad!$F$41)</f>
        <v>0</v>
      </c>
      <c r="DN162" s="9">
        <f>HO162*($Q162*$S162)/(1+Voorblad!$K$44)^(DN$56-Voorblad!$F$41)</f>
        <v>0</v>
      </c>
      <c r="DO162" s="9">
        <f>HP162*($Q162*$S162)/(1+Voorblad!$K$44)^(DO$56-Voorblad!$F$41)</f>
        <v>0</v>
      </c>
      <c r="DP162" s="9">
        <f>HQ162*($Q162*$S162)/(1+Voorblad!$K$44)^(DP$56-Voorblad!$F$41)</f>
        <v>0</v>
      </c>
      <c r="DQ162" s="9">
        <f>HR162*($Q162*$S162)/(1+Voorblad!$K$44)^(DQ$56-Voorblad!$F$41)</f>
        <v>0</v>
      </c>
      <c r="DR162" s="9">
        <f>HS162*($Q162*$S162)/(1+Voorblad!$K$44)^(DR$56-Voorblad!$F$41)</f>
        <v>0</v>
      </c>
      <c r="DS162" s="9">
        <f>HT162*($Q162*$S162)/(1+Voorblad!$K$44)^(DS$56-Voorblad!$F$41)</f>
        <v>0</v>
      </c>
      <c r="DT162" s="9">
        <f>HU162*($Q162*$S162)/(1+Voorblad!$K$44)^(DT$56-Voorblad!$F$41)</f>
        <v>0</v>
      </c>
      <c r="DU162" s="9">
        <f>HV162*($Q162*$S162)/(1+Voorblad!$K$44)^(DU$56-Voorblad!$F$41)</f>
        <v>0</v>
      </c>
      <c r="DV162" s="9">
        <f>HW162*($Q162*$S162)/(1+Voorblad!$K$44)^(DV$56-Voorblad!$F$41)</f>
        <v>0</v>
      </c>
      <c r="DW162" s="9">
        <f>HX162*($Q162*$S162)/(1+Voorblad!$K$44)^(DW$56-Voorblad!$F$41)</f>
        <v>0</v>
      </c>
      <c r="DX162" s="9">
        <f>HY162*($Q162*$S162)/(1+Voorblad!$K$44)^(DX$56-Voorblad!$F$41)</f>
        <v>0</v>
      </c>
      <c r="DY162" s="9">
        <f>HZ162*($Q162*$S162)/(1+Voorblad!$K$44)^(DY$56-Voorblad!$F$41)</f>
        <v>0</v>
      </c>
      <c r="DZ162" s="9">
        <f>IA162*($Q162*$S162)/(1+Voorblad!$K$44)^(DZ$56-Voorblad!$F$41)</f>
        <v>0</v>
      </c>
      <c r="EA162" s="9">
        <f>IB162*($Q162*$S162)/(1+Voorblad!$K$44)^(EA$56-Voorblad!$F$41)</f>
        <v>0</v>
      </c>
      <c r="EB162" s="9">
        <f>IC162*($Q162*$S162)/(1+Voorblad!$K$44)^(EB$56-Voorblad!$F$41)</f>
        <v>0</v>
      </c>
      <c r="EE162" s="8">
        <v>0</v>
      </c>
      <c r="EF162" s="8">
        <f>IF(EF$56-Voorblad!$F$41&gt;Voorblad!$K$41,0,IF($U162=0,0,IF($U162&lt;1,1/$U162,IF((EF$56-Voorblad!$F$41)/$U162-SUM($EE162:EE162)=1,1,0))))</f>
        <v>0</v>
      </c>
      <c r="EG162" s="8">
        <f>IF(EG$56-Voorblad!$F$41&gt;Voorblad!$K$41,0,IF($U162=0,0,IF($U162&lt;1,1/$U162,IF((EG$56-Voorblad!$F$41)/$U162-SUM($EE162:EF162)=1,1,0))))</f>
        <v>0</v>
      </c>
      <c r="EH162" s="8">
        <f>IF(EH$56-Voorblad!$F$41&gt;Voorblad!$K$41,0,IF($U162=0,0,IF($U162&lt;1,1/$U162,IF((EH$56-Voorblad!$F$41)/$U162-SUM($EE162:EG162)=1,1,0))))</f>
        <v>0</v>
      </c>
      <c r="EI162" s="8">
        <f>IF(EI$56-Voorblad!$F$41&gt;Voorblad!$K$41,0,IF($U162=0,0,IF($U162&lt;1,1/$U162,IF((EI$56-Voorblad!$F$41)/$U162-SUM($EE162:EH162)=1,1,0))))</f>
        <v>0</v>
      </c>
      <c r="EJ162" s="8">
        <f>IF(EJ$56-Voorblad!$F$41&gt;Voorblad!$K$41,0,IF($U162=0,0,IF($U162&lt;1,1/$U162,IF((EJ$56-Voorblad!$F$41)/$U162-SUM($EE162:EI162)=1,1,0))))</f>
        <v>0</v>
      </c>
      <c r="EK162" s="8">
        <f>IF(EK$56-Voorblad!$F$41&gt;Voorblad!$K$41,0,IF($U162=0,0,IF($U162&lt;1,1/$U162,IF((EK$56-Voorblad!$F$41)/$U162-SUM($EE162:EJ162)=1,1,0))))</f>
        <v>0</v>
      </c>
      <c r="EL162" s="8">
        <f>IF(EL$56-Voorblad!$F$41&gt;Voorblad!$K$41,0,IF($U162=0,0,IF($U162&lt;1,1/$U162,IF((EL$56-Voorblad!$F$41)/$U162-SUM($EE162:EK162)=1,1,0))))</f>
        <v>0</v>
      </c>
      <c r="EM162" s="8">
        <f>IF(EM$56-Voorblad!$F$41&gt;Voorblad!$K$41,0,IF($U162=0,0,IF($U162&lt;1,1/$U162,IF((EM$56-Voorblad!$F$41)/$U162-SUM($EE162:EL162)=1,1,0))))</f>
        <v>0</v>
      </c>
      <c r="EN162" s="8">
        <f>IF(EN$56-Voorblad!$F$41&gt;Voorblad!$K$41,0,IF($U162=0,0,IF($U162&lt;1,1/$U162,IF((EN$56-Voorblad!$F$41)/$U162-SUM($EE162:EM162)=1,1,0))))</f>
        <v>0</v>
      </c>
      <c r="EO162" s="8">
        <f>IF(EO$56-Voorblad!$F$41&gt;Voorblad!$K$41,0,IF($U162=0,0,IF($U162&lt;1,1/$U162,IF((EO$56-Voorblad!$F$41)/$U162-SUM($EE162:EN162)=1,1,0))))</f>
        <v>0</v>
      </c>
      <c r="EP162" s="8">
        <f>IF(EP$56-Voorblad!$F$41&gt;Voorblad!$K$41,0,IF($U162=0,0,IF($U162&lt;1,1/$U162,IF((EP$56-Voorblad!$F$41)/$U162-SUM($EE162:EO162)=1,1,0))))</f>
        <v>1</v>
      </c>
      <c r="EQ162" s="8">
        <f>IF(EQ$56-Voorblad!$F$41&gt;Voorblad!$K$41,0,IF($U162=0,0,IF($U162&lt;1,1/$U162,IF((EQ$56-Voorblad!$F$41)/$U162-SUM($EE162:EP162)=1,1,0))))</f>
        <v>0</v>
      </c>
      <c r="ER162" s="8">
        <f>IF(ER$56-Voorblad!$F$41&gt;Voorblad!$K$41,0,IF($U162=0,0,IF($U162&lt;1,1/$U162,IF((ER$56-Voorblad!$F$41)/$U162-SUM($EE162:EQ162)=1,1,0))))</f>
        <v>0</v>
      </c>
      <c r="ES162" s="8">
        <f>IF(ES$56-Voorblad!$F$41&gt;Voorblad!$K$41,0,IF($U162=0,0,IF($U162&lt;1,1/$U162,IF((ES$56-Voorblad!$F$41)/$U162-SUM($EE162:ER162)=1,1,0))))</f>
        <v>0</v>
      </c>
      <c r="ET162" s="8">
        <f>IF(ET$56-Voorblad!$F$41&gt;Voorblad!$K$41,0,IF($U162=0,0,IF($U162&lt;1,1/$U162,IF((ET$56-Voorblad!$F$41)/$U162-SUM($EE162:ES162)=1,1,0))))</f>
        <v>0</v>
      </c>
      <c r="EU162" s="8">
        <f>IF(EU$56-Voorblad!$F$41&gt;Voorblad!$K$41,0,IF($U162=0,0,IF($U162&lt;1,1/$U162,IF((EU$56-Voorblad!$F$41)/$U162-SUM($EE162:ET162)=1,1,0))))</f>
        <v>0</v>
      </c>
      <c r="EV162" s="8">
        <f>IF(EV$56-Voorblad!$F$41&gt;Voorblad!$K$41,0,IF($U162=0,0,IF($U162&lt;1,1/$U162,IF((EV$56-Voorblad!$F$41)/$U162-SUM($EE162:EU162)=1,1,0))))</f>
        <v>0</v>
      </c>
      <c r="EW162" s="8">
        <f>IF(EW$56-Voorblad!$F$41&gt;Voorblad!$K$41,0,IF($U162=0,0,IF($U162&lt;1,1/$U162,IF((EW$56-Voorblad!$F$41)/$U162-SUM($EE162:EV162)=1,1,0))))</f>
        <v>0</v>
      </c>
      <c r="EX162" s="8">
        <f>IF(EX$56-Voorblad!$F$41&gt;Voorblad!$K$41,0,IF($U162=0,0,IF($U162&lt;1,1/$U162,IF((EX$56-Voorblad!$F$41)/$U162-SUM($EE162:EW162)=1,1,0))))</f>
        <v>0</v>
      </c>
      <c r="EY162" s="8">
        <f>IF(EY$56-Voorblad!$F$41&gt;Voorblad!$K$41,0,IF($U162=0,0,IF($U162&lt;1,1/$U162,IF((EY$56-Voorblad!$F$41)/$U162-SUM($EE162:EX162)=1,1,0))))</f>
        <v>0</v>
      </c>
      <c r="EZ162" s="8">
        <f>IF(EZ$56-Voorblad!$F$41&gt;Voorblad!$K$41,0,IF($U162=0,0,IF($U162&lt;1,1/$U162,IF((EZ$56-Voorblad!$F$41)/$U162-SUM($EE162:EY162)=1,1,0))))</f>
        <v>1</v>
      </c>
      <c r="FA162" s="8">
        <f>IF(FA$56-Voorblad!$F$41&gt;Voorblad!$K$41,0,IF($U162=0,0,IF($U162&lt;1,1/$U162,IF((FA$56-Voorblad!$F$41)/$U162-SUM($EE162:EZ162)=1,1,0))))</f>
        <v>0</v>
      </c>
      <c r="FB162" s="8">
        <f>IF(FB$56-Voorblad!$F$41&gt;Voorblad!$K$41,0,IF($U162=0,0,IF($U162&lt;1,1/$U162,IF((FB$56-Voorblad!$F$41)/$U162-SUM($EE162:FA162)=1,1,0))))</f>
        <v>0</v>
      </c>
      <c r="FC162" s="8">
        <f>IF(FC$56-Voorblad!$F$41&gt;Voorblad!$K$41,0,IF($U162=0,0,IF($U162&lt;1,1/$U162,IF((FC$56-Voorblad!$F$41)/$U162-SUM($EE162:FB162)=1,1,0))))</f>
        <v>0</v>
      </c>
      <c r="FD162" s="8">
        <f>IF(FD$56-Voorblad!$F$41&gt;Voorblad!$K$41,0,IF($U162=0,0,IF($U162&lt;1,1/$U162,IF((FD$56-Voorblad!$F$41)/$U162-SUM($EE162:FC162)=1,1,0))))</f>
        <v>0</v>
      </c>
      <c r="FE162" s="8">
        <f>IF(FE$56-Voorblad!$F$41&gt;Voorblad!$K$41,0,IF($U162=0,0,IF($U162&lt;1,1/$U162,IF((FE$56-Voorblad!$F$41)/$U162-SUM($EE162:FD162)=1,1,0))))</f>
        <v>0</v>
      </c>
      <c r="FF162" s="8">
        <f>IF(FF$56-Voorblad!$F$41&gt;Voorblad!$K$41,0,IF($U162=0,0,IF($U162&lt;1,1/$U162,IF((FF$56-Voorblad!$F$41)/$U162-SUM($EE162:FE162)=1,1,0))))</f>
        <v>0</v>
      </c>
      <c r="FG162" s="8">
        <f>IF(FG$56-Voorblad!$F$41&gt;Voorblad!$K$41,0,IF($U162=0,0,IF($U162&lt;1,1/$U162,IF((FG$56-Voorblad!$F$41)/$U162-SUM($EE162:FF162)=1,1,0))))</f>
        <v>0</v>
      </c>
      <c r="FH162" s="8">
        <f>IF(FH$56-Voorblad!$F$41&gt;Voorblad!$K$41,0,IF($U162=0,0,IF($U162&lt;1,1/$U162,IF((FH$56-Voorblad!$F$41)/$U162-SUM($EE162:FG162)=1,1,0))))</f>
        <v>0</v>
      </c>
      <c r="FI162" s="8">
        <f>IF(FI$56-Voorblad!$F$41&gt;Voorblad!$K$41,0,IF($U162=0,0,IF($U162&lt;1,1/$U162,IF((FI$56-Voorblad!$F$41)/$U162-SUM($EE162:FH162)=1,1,0))))</f>
        <v>0</v>
      </c>
      <c r="FJ162" s="8">
        <f>IF(FJ$56-Voorblad!$F$41&gt;Voorblad!$K$41,0,IF($U162=0,0,IF($U162&lt;1,1/$U162,IF((FJ$56-Voorblad!$F$41)/$U162-SUM($EE162:FI162)=1,1,0))))</f>
        <v>1</v>
      </c>
      <c r="FK162" s="8">
        <f>IF(FK$56-Voorblad!$F$41&gt;Voorblad!$K$41,0,IF($U162=0,0,IF($U162&lt;1,1/$U162,IF((FK$56-Voorblad!$F$41)/$U162-SUM($EE162:FJ162)=1,1,0))))</f>
        <v>0</v>
      </c>
      <c r="FL162" s="8">
        <f>IF(FL$56-Voorblad!$F$41&gt;Voorblad!$K$41,0,IF($U162=0,0,IF($U162&lt;1,1/$U162,IF((FL$56-Voorblad!$F$41)/$U162-SUM($EE162:FK162)=1,1,0))))</f>
        <v>0</v>
      </c>
      <c r="FM162" s="8">
        <f>IF(FM$56-Voorblad!$F$41&gt;Voorblad!$K$41,0,IF($U162=0,0,IF($U162&lt;1,1/$U162,IF((FM$56-Voorblad!$F$41)/$U162-SUM($EE162:FL162)=1,1,0))))</f>
        <v>0</v>
      </c>
      <c r="FN162" s="8">
        <f>IF(FN$56-Voorblad!$F$41&gt;Voorblad!$K$41,0,IF($U162=0,0,IF($U162&lt;1,1/$U162,IF((FN$56-Voorblad!$F$41)/$U162-SUM($EE162:FM162)=1,1,0))))</f>
        <v>0</v>
      </c>
      <c r="FO162" s="8">
        <f>IF(FO$56-Voorblad!$F$41&gt;Voorblad!$K$41,0,IF($U162=0,0,IF($U162&lt;1,1/$U162,IF((FO$56-Voorblad!$F$41)/$U162-SUM($EE162:FN162)=1,1,0))))</f>
        <v>0</v>
      </c>
      <c r="FP162" s="8">
        <f>IF(FP$56-Voorblad!$F$41&gt;Voorblad!$K$41,0,IF($U162=0,0,IF($U162&lt;1,1/$U162,IF((FP$56-Voorblad!$F$41)/$U162-SUM($EE162:FO162)=1,1,0))))</f>
        <v>0</v>
      </c>
      <c r="FQ162" s="8">
        <f>IF(FQ$56-Voorblad!$F$41&gt;Voorblad!$K$41,0,IF($U162=0,0,IF($U162&lt;1,1/$U162,IF((FQ$56-Voorblad!$F$41)/$U162-SUM($EE162:FP162)=1,1,0))))</f>
        <v>0</v>
      </c>
      <c r="FR162" s="8">
        <f>IF(FR$56-Voorblad!$F$41&gt;Voorblad!$K$41,0,IF($U162=0,0,IF($U162&lt;1,1/$U162,IF((FR$56-Voorblad!$F$41)/$U162-SUM($EE162:FQ162)=1,1,0))))</f>
        <v>0</v>
      </c>
      <c r="FS162" s="8">
        <f>IF(FS$56-Voorblad!$F$41&gt;Voorblad!$K$41,0,IF($U162=0,0,IF($U162&lt;1,1/$U162,IF((FS$56-Voorblad!$F$41)/$U162-SUM($EE162:FR162)=1,1,0))))</f>
        <v>0</v>
      </c>
      <c r="FT162" s="8">
        <f>IF(FT$56-Voorblad!$F$41&gt;Voorblad!$K$41,0,IF($U162=0,0,IF($U162&lt;1,1/$U162,IF((FT$56-Voorblad!$F$41)/$U162-SUM($EE162:FS162)=1,1,0))))</f>
        <v>1</v>
      </c>
      <c r="FU162" s="8">
        <f>IF(FU$56-Voorblad!$F$41&gt;Voorblad!$K$41,0,IF($U162=0,0,IF($U162&lt;1,1/$U162,IF((FU$56-Voorblad!$F$41)/$U162-SUM($EE162:FT162)=1,1,0))))</f>
        <v>0</v>
      </c>
      <c r="FV162" s="8">
        <f>IF(FV$56-Voorblad!$F$41&gt;Voorblad!$K$41,0,IF($U162=0,0,IF($U162&lt;1,1/$U162,IF((FV$56-Voorblad!$F$41)/$U162-SUM($EE162:FU162)=1,1,0))))</f>
        <v>0</v>
      </c>
      <c r="FW162" s="8">
        <f>IF(FW$56-Voorblad!$F$41&gt;Voorblad!$K$41,0,IF($U162=0,0,IF($U162&lt;1,1/$U162,IF((FW$56-Voorblad!$F$41)/$U162-SUM($EE162:FV162)=1,1,0))))</f>
        <v>0</v>
      </c>
      <c r="FX162" s="8">
        <f>IF(FX$56-Voorblad!$F$41&gt;Voorblad!$K$41,0,IF($U162=0,0,IF($U162&lt;1,1/$U162,IF((FX$56-Voorblad!$F$41)/$U162-SUM($EE162:FW162)=1,1,0))))</f>
        <v>0</v>
      </c>
      <c r="FY162" s="8">
        <f>IF(FY$56-Voorblad!$F$41&gt;Voorblad!$K$41,0,IF($U162=0,0,IF($U162&lt;1,1/$U162,IF((FY$56-Voorblad!$F$41)/$U162-SUM($EE162:FX162)=1,1,0))))</f>
        <v>0</v>
      </c>
      <c r="FZ162" s="8">
        <f>IF(FZ$56-Voorblad!$F$41&gt;Voorblad!$K$41,0,IF($U162=0,0,IF($U162&lt;1,1/$U162,IF((FZ$56-Voorblad!$F$41)/$U162-SUM($EE162:FY162)=1,1,0))))</f>
        <v>0</v>
      </c>
      <c r="GA162" s="8">
        <f>IF(GA$56-Voorblad!$F$41&gt;Voorblad!$K$41,0,IF($U162=0,0,IF($U162&lt;1,1/$U162,IF((GA$56-Voorblad!$F$41)/$U162-SUM($EE162:FZ162)=1,1,0))))</f>
        <v>0</v>
      </c>
      <c r="GB162" s="8">
        <f>IF(GB$56-Voorblad!$F$41&gt;Voorblad!$K$41,0,IF($U162=0,0,IF($U162&lt;1,1/$U162,IF((GB$56-Voorblad!$F$41)/$U162-SUM($EE162:GA162)=1,1,0))))</f>
        <v>0</v>
      </c>
      <c r="GC162" s="8">
        <f>IF(GC$56-Voorblad!$F$41&gt;Voorblad!$K$41,0,IF($U162=0,0,IF($U162&lt;1,1/$U162,IF((GC$56-Voorblad!$F$41)/$U162-SUM($EE162:GB162)=1,1,0))))</f>
        <v>0</v>
      </c>
      <c r="GD162" s="8">
        <f>IF(GD$56-Voorblad!$F$41&gt;Voorblad!$K$41,0,IF($U162=0,0,IF($U162&lt;1,1/$U162,IF((GD$56-Voorblad!$F$41)/$U162-SUM($EE162:GC162)=1,1,0))))</f>
        <v>1</v>
      </c>
      <c r="GE162" s="8">
        <f>IF(GE$56-Voorblad!$F$41&gt;Voorblad!$K$41,0,IF($U162=0,0,IF($U162&lt;1,1/$U162,IF((GE$56-Voorblad!$F$41)/$U162-SUM($EE162:GD162)=1,1,0))))</f>
        <v>0</v>
      </c>
      <c r="GF162" s="8">
        <f>IF(GF$56-Voorblad!$F$41&gt;Voorblad!$K$41,0,IF($U162=0,0,IF($U162&lt;1,1/$U162,IF((GF$56-Voorblad!$F$41)/$U162-SUM($EE162:GE162)=1,1,0))))</f>
        <v>0</v>
      </c>
      <c r="GG162" s="8">
        <f>IF(GG$56-Voorblad!$F$41&gt;Voorblad!$K$41,0,IF($U162=0,0,IF($U162&lt;1,1/$U162,IF((GG$56-Voorblad!$F$41)/$U162-SUM($EE162:GF162)=1,1,0))))</f>
        <v>0</v>
      </c>
      <c r="GH162" s="8">
        <f>IF(GH$56-Voorblad!$F$41&gt;Voorblad!$K$41,0,IF($U162=0,0,IF($U162&lt;1,1/$U162,IF((GH$56-Voorblad!$F$41)/$U162-SUM($EE162:GG162)=1,1,0))))</f>
        <v>0</v>
      </c>
      <c r="GI162" s="8">
        <f>IF(GI$56-Voorblad!$F$41&gt;Voorblad!$K$41,0,IF($U162=0,0,IF($U162&lt;1,1/$U162,IF((GI$56-Voorblad!$F$41)/$U162-SUM($EE162:GH162)=1,1,0))))</f>
        <v>0</v>
      </c>
      <c r="GJ162" s="8">
        <f>IF(GJ$56-Voorblad!$F$41&gt;Voorblad!$K$41,0,IF($U162=0,0,IF($U162&lt;1,1/$U162,IF((GJ$56-Voorblad!$F$41)/$U162-SUM($EE162:GI162)=1,1,0))))</f>
        <v>0</v>
      </c>
      <c r="GK162" s="8">
        <f>IF(GK$56-Voorblad!$F$41&gt;Voorblad!$K$41,0,IF($U162=0,0,IF($U162&lt;1,1/$U162,IF((GK$56-Voorblad!$F$41)/$U162-SUM($EE162:GJ162)=1,1,0))))</f>
        <v>0</v>
      </c>
      <c r="GL162" s="8">
        <f>IF(GL$56-Voorblad!$F$41&gt;Voorblad!$K$41,0,IF($U162=0,0,IF($U162&lt;1,1/$U162,IF((GL$56-Voorblad!$F$41)/$U162-SUM($EE162:GK162)=1,1,0))))</f>
        <v>0</v>
      </c>
      <c r="GM162" s="8">
        <f>IF(GM$56-Voorblad!$F$41&gt;Voorblad!$K$41,0,IF($U162=0,0,IF($U162&lt;1,1/$U162,IF((GM$56-Voorblad!$F$41)/$U162-SUM($EE162:GL162)=1,1,0))))</f>
        <v>0</v>
      </c>
      <c r="GN162" s="8">
        <f>IF(GN$56-Voorblad!$F$41&gt;Voorblad!$K$41,0,IF($U162=0,0,IF($U162&lt;1,1/$U162,IF((GN$56-Voorblad!$F$41)/$U162-SUM($EE162:GM162)=1,1,0))))</f>
        <v>1</v>
      </c>
      <c r="GO162" s="8">
        <f>IF(GO$56-Voorblad!$F$41&gt;Voorblad!$K$41,0,IF($U162=0,0,IF($U162&lt;1,1/$U162,IF((GO$56-Voorblad!$F$41)/$U162-SUM($EE162:GN162)=1,1,0))))</f>
        <v>0</v>
      </c>
      <c r="GP162" s="8">
        <f>IF(GP$56-Voorblad!$F$41&gt;Voorblad!$K$41,0,IF($U162=0,0,IF($U162&lt;1,1/$U162,IF((GP$56-Voorblad!$F$41)/$U162-SUM($EE162:GO162)=1,1,0))))</f>
        <v>0</v>
      </c>
      <c r="GQ162" s="8">
        <f>IF(GQ$56-Voorblad!$F$41&gt;Voorblad!$K$41,0,IF($U162=0,0,IF($U162&lt;1,1/$U162,IF((GQ$56-Voorblad!$F$41)/$U162-SUM($EE162:GP162)=1,1,0))))</f>
        <v>0</v>
      </c>
      <c r="GR162" s="8">
        <f>IF(GR$56-Voorblad!$F$41&gt;Voorblad!$K$41,0,IF($U162=0,0,IF($U162&lt;1,1/$U162,IF((GR$56-Voorblad!$F$41)/$U162-SUM($EE162:GQ162)=1,1,0))))</f>
        <v>0</v>
      </c>
      <c r="GS162" s="8">
        <f>IF(GS$56-Voorblad!$F$41&gt;Voorblad!$K$41,0,IF($U162=0,0,IF($U162&lt;1,1/$U162,IF((GS$56-Voorblad!$F$41)/$U162-SUM($EE162:GR162)=1,1,0))))</f>
        <v>0</v>
      </c>
      <c r="GT162" s="8">
        <f>IF(GT$56-Voorblad!$F$41&gt;Voorblad!$K$41,0,IF($U162=0,0,IF($U162&lt;1,1/$U162,IF((GT$56-Voorblad!$F$41)/$U162-SUM($EE162:GS162)=1,1,0))))</f>
        <v>0</v>
      </c>
      <c r="GU162" s="8">
        <f>IF(GU$56-Voorblad!$F$41&gt;Voorblad!$K$41,0,IF($U162=0,0,IF($U162&lt;1,1/$U162,IF((GU$56-Voorblad!$F$41)/$U162-SUM($EE162:GT162)=1,1,0))))</f>
        <v>0</v>
      </c>
      <c r="GV162" s="8">
        <f>IF(GV$56-Voorblad!$F$41&gt;Voorblad!$K$41,0,IF($U162=0,0,IF($U162&lt;1,1/$U162,IF((GV$56-Voorblad!$F$41)/$U162-SUM($EE162:GU162)=1,1,0))))</f>
        <v>0</v>
      </c>
      <c r="GW162" s="8">
        <f>IF(GW$56-Voorblad!$F$41&gt;Voorblad!$K$41,0,IF($U162=0,0,IF($U162&lt;1,1/$U162,IF((GW$56-Voorblad!$F$41)/$U162-SUM($EE162:GV162)=1,1,0))))</f>
        <v>0</v>
      </c>
      <c r="GX162" s="8">
        <f>IF(GX$56-Voorblad!$F$41&gt;Voorblad!$K$41,0,IF($U162=0,0,IF($U162&lt;1,1/$U162,IF((GX$56-Voorblad!$F$41)/$U162-SUM($EE162:GW162)=1,1,0))))</f>
        <v>1</v>
      </c>
      <c r="GY162" s="8">
        <f>IF(GY$56-Voorblad!$F$41&gt;Voorblad!$K$41,0,IF($U162=0,0,IF($U162&lt;1,1/$U162,IF((GY$56-Voorblad!$F$41)/$U162-SUM($EE162:GX162)=1,1,0))))</f>
        <v>0</v>
      </c>
      <c r="GZ162" s="8">
        <f>IF(GZ$56-Voorblad!$F$41&gt;Voorblad!$K$41,0,IF($U162=0,0,IF($U162&lt;1,1/$U162,IF((GZ$56-Voorblad!$F$41)/$U162-SUM($EE162:GY162)=1,1,0))))</f>
        <v>0</v>
      </c>
      <c r="HA162" s="8">
        <f>IF(HA$56-Voorblad!$F$41&gt;Voorblad!$K$41,0,IF($U162=0,0,IF($U162&lt;1,1/$U162,IF((HA$56-Voorblad!$F$41)/$U162-SUM($EE162:GZ162)=1,1,0))))</f>
        <v>0</v>
      </c>
      <c r="HB162" s="8">
        <f>IF(HB$56-Voorblad!$F$41&gt;Voorblad!$K$41,0,IF($U162=0,0,IF($U162&lt;1,1/$U162,IF((HB$56-Voorblad!$F$41)/$U162-SUM($EE162:HA162)=1,1,0))))</f>
        <v>0</v>
      </c>
      <c r="HC162" s="8">
        <f>IF(HC$56-Voorblad!$F$41&gt;Voorblad!$K$41,0,IF($U162=0,0,IF($U162&lt;1,1/$U162,IF((HC$56-Voorblad!$F$41)/$U162-SUM($EE162:HB162)=1,1,0))))</f>
        <v>0</v>
      </c>
      <c r="HD162" s="8">
        <f>IF(HD$56-Voorblad!$F$41&gt;Voorblad!$K$41,0,IF($U162=0,0,IF($U162&lt;1,1/$U162,IF((HD$56-Voorblad!$F$41)/$U162-SUM($EE162:HC162)=1,1,0))))</f>
        <v>0</v>
      </c>
      <c r="HE162" s="8">
        <f>IF(HE$56-Voorblad!$F$41&gt;Voorblad!$K$41,0,IF($U162=0,0,IF($U162&lt;1,1/$U162,IF((HE$56-Voorblad!$F$41)/$U162-SUM($EE162:HD162)=1,1,0))))</f>
        <v>0</v>
      </c>
      <c r="HF162" s="8">
        <f>IF(HF$56-Voorblad!$F$41&gt;Voorblad!$K$41,0,IF($U162=0,0,IF($U162&lt;1,1/$U162,IF((HF$56-Voorblad!$F$41)/$U162-SUM($EE162:HE162)=1,1,0))))</f>
        <v>0</v>
      </c>
      <c r="HG162" s="8">
        <f>IF(HG$56-Voorblad!$F$41&gt;Voorblad!$K$41,0,IF($U162=0,0,IF($U162&lt;1,1/$U162,IF((HG$56-Voorblad!$F$41)/$U162-SUM($EE162:HF162)=1,1,0))))</f>
        <v>0</v>
      </c>
      <c r="HH162" s="8">
        <f>IF(HH$56-Voorblad!$F$41&gt;Voorblad!$K$41,0,IF($U162=0,0,IF($U162&lt;1,1/$U162,IF((HH$56-Voorblad!$F$41)/$U162-SUM($EE162:HG162)=1,1,0))))</f>
        <v>0</v>
      </c>
      <c r="HI162" s="8">
        <f>IF(HI$56-Voorblad!$F$41&gt;Voorblad!$K$41,0,IF($U162=0,0,IF($U162&lt;1,1/$U162,IF((HI$56-Voorblad!$F$41)/$U162-SUM($EE162:HH162)=1,1,0))))</f>
        <v>0</v>
      </c>
      <c r="HJ162" s="8">
        <f>IF(HJ$56-Voorblad!$F$41&gt;Voorblad!$K$41,0,IF($U162=0,0,IF($U162&lt;1,1/$U162,IF((HJ$56-Voorblad!$F$41)/$U162-SUM($EE162:HI162)=1,1,0))))</f>
        <v>0</v>
      </c>
      <c r="HK162" s="8">
        <f>IF(HK$56-Voorblad!$F$41&gt;Voorblad!$K$41,0,IF($U162=0,0,IF($U162&lt;1,1/$U162,IF((HK$56-Voorblad!$F$41)/$U162-SUM($EE162:HJ162)=1,1,0))))</f>
        <v>0</v>
      </c>
      <c r="HL162" s="8">
        <f>IF(HL$56-Voorblad!$F$41&gt;Voorblad!$K$41,0,IF($U162=0,0,IF($U162&lt;1,1/$U162,IF((HL$56-Voorblad!$F$41)/$U162-SUM($EE162:HK162)=1,1,0))))</f>
        <v>0</v>
      </c>
      <c r="HM162" s="8">
        <f>IF(HM$56-Voorblad!$F$41&gt;Voorblad!$K$41,0,IF($U162=0,0,IF($U162&lt;1,1/$U162,IF((HM$56-Voorblad!$F$41)/$U162-SUM($EE162:HL162)=1,1,0))))</f>
        <v>0</v>
      </c>
      <c r="HN162" s="8">
        <f>IF(HN$56-Voorblad!$F$41&gt;Voorblad!$K$41,0,IF($U162=0,0,IF($U162&lt;1,1/$U162,IF((HN$56-Voorblad!$F$41)/$U162-SUM($EE162:HM162)=1,1,0))))</f>
        <v>0</v>
      </c>
      <c r="HO162" s="8">
        <f>IF(HO$56-Voorblad!$F$41&gt;Voorblad!$K$41,0,IF($U162=0,0,IF($U162&lt;1,1/$U162,IF((HO$56-Voorblad!$F$41)/$U162-SUM($EE162:HN162)=1,1,0))))</f>
        <v>0</v>
      </c>
      <c r="HP162" s="8">
        <f>IF(HP$56-Voorblad!$F$41&gt;Voorblad!$K$41,0,IF($U162=0,0,IF($U162&lt;1,1/$U162,IF((HP$56-Voorblad!$F$41)/$U162-SUM($EE162:HO162)=1,1,0))))</f>
        <v>0</v>
      </c>
      <c r="HQ162" s="8">
        <f>IF(HQ$56-Voorblad!$F$41&gt;Voorblad!$K$41,0,IF($U162=0,0,IF($U162&lt;1,1/$U162,IF((HQ$56-Voorblad!$F$41)/$U162-SUM($EE162:HP162)=1,1,0))))</f>
        <v>0</v>
      </c>
      <c r="HR162" s="8">
        <f>IF(HR$56-Voorblad!$F$41&gt;Voorblad!$K$41,0,IF($U162=0,0,IF($U162&lt;1,1/$U162,IF((HR$56-Voorblad!$F$41)/$U162-SUM($EE162:HQ162)=1,1,0))))</f>
        <v>0</v>
      </c>
      <c r="HS162" s="8">
        <f>IF(HS$56-Voorblad!$F$41&gt;Voorblad!$K$41,0,IF($U162=0,0,IF($U162&lt;1,1/$U162,IF((HS$56-Voorblad!$F$41)/$U162-SUM($EE162:HR162)=1,1,0))))</f>
        <v>0</v>
      </c>
      <c r="HT162" s="8">
        <f>IF(HT$56-Voorblad!$F$41&gt;Voorblad!$K$41,0,IF($U162=0,0,IF($U162&lt;1,1/$U162,IF((HT$56-Voorblad!$F$41)/$U162-SUM($EE162:HS162)=1,1,0))))</f>
        <v>0</v>
      </c>
      <c r="HU162" s="8">
        <f>IF(HU$56-Voorblad!$F$41&gt;Voorblad!$K$41,0,IF($U162=0,0,IF($U162&lt;1,1/$U162,IF((HU$56-Voorblad!$F$41)/$U162-SUM($EE162:HT162)=1,1,0))))</f>
        <v>0</v>
      </c>
      <c r="HV162" s="8">
        <f>IF(HV$56-Voorblad!$F$41&gt;Voorblad!$K$41,0,IF($U162=0,0,IF($U162&lt;1,1/$U162,IF((HV$56-Voorblad!$F$41)/$U162-SUM($EE162:HU162)=1,1,0))))</f>
        <v>0</v>
      </c>
      <c r="HW162" s="8">
        <f>IF(HW$56-Voorblad!$F$41&gt;Voorblad!$K$41,0,IF($U162=0,0,IF($U162&lt;1,1/$U162,IF((HW$56-Voorblad!$F$41)/$U162-SUM($EE162:HV162)=1,1,0))))</f>
        <v>0</v>
      </c>
      <c r="HX162" s="8">
        <f>IF(HX$56-Voorblad!$F$41&gt;Voorblad!$K$41,0,IF($U162=0,0,IF($U162&lt;1,1/$U162,IF((HX$56-Voorblad!$F$41)/$U162-SUM($EE162:HW162)=1,1,0))))</f>
        <v>0</v>
      </c>
      <c r="HY162" s="8">
        <f>IF(HY$56-Voorblad!$F$41&gt;Voorblad!$K$41,0,IF($U162=0,0,IF($U162&lt;1,1/$U162,IF((HY$56-Voorblad!$F$41)/$U162-SUM($EE162:HX162)=1,1,0))))</f>
        <v>0</v>
      </c>
      <c r="HZ162" s="8">
        <f>IF(HZ$56-Voorblad!$F$41&gt;Voorblad!$K$41,0,IF($U162=0,0,IF($U162&lt;1,1/$U162,IF((HZ$56-Voorblad!$F$41)/$U162-SUM($EE162:HY162)=1,1,0))))</f>
        <v>0</v>
      </c>
      <c r="IA162" s="8">
        <f>IF(IA$56-Voorblad!$F$41&gt;Voorblad!$K$41,0,IF($U162=0,0,IF($U162&lt;1,1/$U162,IF((IA$56-Voorblad!$F$41)/$U162-SUM($EE162:HZ162)=1,1,0))))</f>
        <v>0</v>
      </c>
      <c r="IB162" s="8">
        <f>IF(IB$56-Voorblad!$F$41&gt;Voorblad!$K$41,0,IF($U162=0,0,IF($U162&lt;1,1/$U162,IF((IB$56-Voorblad!$F$41)/$U162-SUM($EE162:IA162)=1,1,0))))</f>
        <v>0</v>
      </c>
    </row>
    <row r="163" spans="2:236" s="14" customFormat="1" ht="12" hidden="1" customHeight="1" outlineLevel="1" x14ac:dyDescent="0.25">
      <c r="B163" s="14">
        <v>3</v>
      </c>
      <c r="F163" s="14" t="s">
        <v>23</v>
      </c>
      <c r="I163" s="14" t="s">
        <v>277</v>
      </c>
      <c r="K163" s="14" t="s">
        <v>162</v>
      </c>
      <c r="O163" s="14" t="s">
        <v>158</v>
      </c>
      <c r="P163" s="14" t="s">
        <v>199</v>
      </c>
      <c r="Q163" s="83">
        <v>0</v>
      </c>
      <c r="R163" s="14" t="s">
        <v>34</v>
      </c>
      <c r="S163" s="21">
        <f>$H$20*1000</f>
        <v>1770</v>
      </c>
      <c r="T163" s="21">
        <f t="shared" si="189"/>
        <v>0</v>
      </c>
      <c r="U163" s="14">
        <v>15</v>
      </c>
      <c r="Y163" s="21">
        <f t="shared" ref="Y163" si="191">SUM(AE163:EB163)</f>
        <v>0</v>
      </c>
      <c r="Z163" s="149"/>
      <c r="AA163" s="149"/>
      <c r="AC163" s="9">
        <f>$Y163*(Voorblad!$K$44*(1+Voorblad!$K$44)^Voorblad!$K$41)/((1+Voorblad!$K$44)^Voorblad!$K$41-1)</f>
        <v>0</v>
      </c>
      <c r="AE163" s="21">
        <f>EF163*($Q163*$S163)/(1+Voorblad!$K$44)^(AE$56-Voorblad!$F$41)</f>
        <v>0</v>
      </c>
      <c r="AF163" s="21">
        <f>EG163*($Q163*$S163)/(1+Voorblad!$K$44)^(AF$56-Voorblad!$F$41)</f>
        <v>0</v>
      </c>
      <c r="AG163" s="21">
        <f>EH163*($Q163*$S163)/(1+Voorblad!$K$44)^(AG$56-Voorblad!$F$41)</f>
        <v>0</v>
      </c>
      <c r="AH163" s="21">
        <f>EI163*($Q163*$S163)/(1+Voorblad!$K$44)^(AH$56-Voorblad!$F$41)</f>
        <v>0</v>
      </c>
      <c r="AI163" s="21">
        <f>EJ163*($Q163*$S163)/(1+Voorblad!$K$44)^(AI$56-Voorblad!$F$41)</f>
        <v>0</v>
      </c>
      <c r="AJ163" s="21">
        <f>EK163*($Q163*$S163)/(1+Voorblad!$K$44)^(AJ$56-Voorblad!$F$41)</f>
        <v>0</v>
      </c>
      <c r="AK163" s="21">
        <f>EL163*($Q163*$S163)/(1+Voorblad!$K$44)^(AK$56-Voorblad!$F$41)</f>
        <v>0</v>
      </c>
      <c r="AL163" s="21">
        <f>EM163*($Q163*$S163)/(1+Voorblad!$K$44)^(AL$56-Voorblad!$F$41)</f>
        <v>0</v>
      </c>
      <c r="AM163" s="21">
        <f>EN163*($Q163*$S163)/(1+Voorblad!$K$44)^(AM$56-Voorblad!$F$41)</f>
        <v>0</v>
      </c>
      <c r="AN163" s="21">
        <f>EO163*($Q163*$S163)/(1+Voorblad!$K$44)^(AN$56-Voorblad!$F$41)</f>
        <v>0</v>
      </c>
      <c r="AO163" s="21">
        <f>EP163*($Q163*$S163)/(1+Voorblad!$K$44)^(AO$56-Voorblad!$F$41)</f>
        <v>0</v>
      </c>
      <c r="AP163" s="21">
        <f>EQ163*($Q163*$S163)/(1+Voorblad!$K$44)^(AP$56-Voorblad!$F$41)</f>
        <v>0</v>
      </c>
      <c r="AQ163" s="21">
        <f>ER163*($Q163*$S163)/(1+Voorblad!$K$44)^(AQ$56-Voorblad!$F$41)</f>
        <v>0</v>
      </c>
      <c r="AR163" s="21">
        <f>ES163*($Q163*$S163)/(1+Voorblad!$K$44)^(AR$56-Voorblad!$F$41)</f>
        <v>0</v>
      </c>
      <c r="AS163" s="21">
        <f>ET163*($Q163*$S163)/(1+Voorblad!$K$44)^(AS$56-Voorblad!$F$41)</f>
        <v>0</v>
      </c>
      <c r="AT163" s="21">
        <f>EU163*($Q163*$S163)/(1+Voorblad!$K$44)^(AT$56-Voorblad!$F$41)</f>
        <v>0</v>
      </c>
      <c r="AU163" s="21">
        <f>EV163*($Q163*$S163)/(1+Voorblad!$K$44)^(AU$56-Voorblad!$F$41)</f>
        <v>0</v>
      </c>
      <c r="AV163" s="21">
        <f>EW163*($Q163*$S163)/(1+Voorblad!$K$44)^(AV$56-Voorblad!$F$41)</f>
        <v>0</v>
      </c>
      <c r="AW163" s="21">
        <f>EX163*($Q163*$S163)/(1+Voorblad!$K$44)^(AW$56-Voorblad!$F$41)</f>
        <v>0</v>
      </c>
      <c r="AX163" s="21">
        <f>EY163*($Q163*$S163)/(1+Voorblad!$K$44)^(AX$56-Voorblad!$F$41)</f>
        <v>0</v>
      </c>
      <c r="AY163" s="21">
        <f>EZ163*($Q163*$S163)/(1+Voorblad!$K$44)^(AY$56-Voorblad!$F$41)</f>
        <v>0</v>
      </c>
      <c r="AZ163" s="21">
        <f>FA163*($Q163*$S163)/(1+Voorblad!$K$44)^(AZ$56-Voorblad!$F$41)</f>
        <v>0</v>
      </c>
      <c r="BA163" s="21">
        <f>FB163*($Q163*$S163)/(1+Voorblad!$K$44)^(BA$56-Voorblad!$F$41)</f>
        <v>0</v>
      </c>
      <c r="BB163" s="21">
        <f>FC163*($Q163*$S163)/(1+Voorblad!$K$44)^(BB$56-Voorblad!$F$41)</f>
        <v>0</v>
      </c>
      <c r="BC163" s="21">
        <f>FD163*($Q163*$S163)/(1+Voorblad!$K$44)^(BC$56-Voorblad!$F$41)</f>
        <v>0</v>
      </c>
      <c r="BD163" s="21">
        <f>FE163*($Q163*$S163)/(1+Voorblad!$K$44)^(BD$56-Voorblad!$F$41)</f>
        <v>0</v>
      </c>
      <c r="BE163" s="21">
        <f>FF163*($Q163*$S163)/(1+Voorblad!$K$44)^(BE$56-Voorblad!$F$41)</f>
        <v>0</v>
      </c>
      <c r="BF163" s="21">
        <f>FG163*($Q163*$S163)/(1+Voorblad!$K$44)^(BF$56-Voorblad!$F$41)</f>
        <v>0</v>
      </c>
      <c r="BG163" s="21">
        <f>FH163*($Q163*$S163)/(1+Voorblad!$K$44)^(BG$56-Voorblad!$F$41)</f>
        <v>0</v>
      </c>
      <c r="BH163" s="21">
        <f>FI163*($Q163*$S163)/(1+Voorblad!$K$44)^(BH$56-Voorblad!$F$41)</f>
        <v>0</v>
      </c>
      <c r="BI163" s="21">
        <f>FJ163*($Q163*$S163)/(1+Voorblad!$K$44)^(BI$56-Voorblad!$F$41)</f>
        <v>0</v>
      </c>
      <c r="BJ163" s="21">
        <f>FK163*($Q163*$S163)/(1+Voorblad!$K$44)^(BJ$56-Voorblad!$F$41)</f>
        <v>0</v>
      </c>
      <c r="BK163" s="21">
        <f>FL163*($Q163*$S163)/(1+Voorblad!$K$44)^(BK$56-Voorblad!$F$41)</f>
        <v>0</v>
      </c>
      <c r="BL163" s="21">
        <f>FM163*($Q163*$S163)/(1+Voorblad!$K$44)^(BL$56-Voorblad!$F$41)</f>
        <v>0</v>
      </c>
      <c r="BM163" s="21">
        <f>FN163*($Q163*$S163)/(1+Voorblad!$K$44)^(BM$56-Voorblad!$F$41)</f>
        <v>0</v>
      </c>
      <c r="BN163" s="21">
        <f>FO163*($Q163*$S163)/(1+Voorblad!$K$44)^(BN$56-Voorblad!$F$41)</f>
        <v>0</v>
      </c>
      <c r="BO163" s="21">
        <f>FP163*($Q163*$S163)/(1+Voorblad!$K$44)^(BO$56-Voorblad!$F$41)</f>
        <v>0</v>
      </c>
      <c r="BP163" s="21">
        <f>FQ163*($Q163*$S163)/(1+Voorblad!$K$44)^(BP$56-Voorblad!$F$41)</f>
        <v>0</v>
      </c>
      <c r="BQ163" s="21">
        <f>FR163*($Q163*$S163)/(1+Voorblad!$K$44)^(BQ$56-Voorblad!$F$41)</f>
        <v>0</v>
      </c>
      <c r="BR163" s="21">
        <f>FS163*($Q163*$S163)/(1+Voorblad!$K$44)^(BR$56-Voorblad!$F$41)</f>
        <v>0</v>
      </c>
      <c r="BS163" s="21">
        <f>FT163*($Q163*$S163)/(1+Voorblad!$K$44)^(BS$56-Voorblad!$F$41)</f>
        <v>0</v>
      </c>
      <c r="BT163" s="21">
        <f>FU163*($Q163*$S163)/(1+Voorblad!$K$44)^(BT$56-Voorblad!$F$41)</f>
        <v>0</v>
      </c>
      <c r="BU163" s="21">
        <f>FV163*($Q163*$S163)/(1+Voorblad!$K$44)^(BU$56-Voorblad!$F$41)</f>
        <v>0</v>
      </c>
      <c r="BV163" s="21">
        <f>FW163*($Q163*$S163)/(1+Voorblad!$K$44)^(BV$56-Voorblad!$F$41)</f>
        <v>0</v>
      </c>
      <c r="BW163" s="21">
        <f>FX163*($Q163*$S163)/(1+Voorblad!$K$44)^(BW$56-Voorblad!$F$41)</f>
        <v>0</v>
      </c>
      <c r="BX163" s="21">
        <f>FY163*($Q163*$S163)/(1+Voorblad!$K$44)^(BX$56-Voorblad!$F$41)</f>
        <v>0</v>
      </c>
      <c r="BY163" s="21">
        <f>FZ163*($Q163*$S163)/(1+Voorblad!$K$44)^(BY$56-Voorblad!$F$41)</f>
        <v>0</v>
      </c>
      <c r="BZ163" s="21">
        <f>GA163*($Q163*$S163)/(1+Voorblad!$K$44)^(BZ$56-Voorblad!$F$41)</f>
        <v>0</v>
      </c>
      <c r="CA163" s="21">
        <f>GB163*($Q163*$S163)/(1+Voorblad!$K$44)^(CA$56-Voorblad!$F$41)</f>
        <v>0</v>
      </c>
      <c r="CB163" s="21">
        <f>GC163*($Q163*$S163)/(1+Voorblad!$K$44)^(CB$56-Voorblad!$F$41)</f>
        <v>0</v>
      </c>
      <c r="CC163" s="21">
        <f>GD163*($Q163*$S163)/(1+Voorblad!$K$44)^(CC$56-Voorblad!$F$41)</f>
        <v>0</v>
      </c>
      <c r="CD163" s="21">
        <f>GE163*($Q163*$S163)/(1+Voorblad!$K$44)^(CD$56-Voorblad!$F$41)</f>
        <v>0</v>
      </c>
      <c r="CE163" s="21">
        <f>GF163*($Q163*$S163)/(1+Voorblad!$K$44)^(CE$56-Voorblad!$F$41)</f>
        <v>0</v>
      </c>
      <c r="CF163" s="21">
        <f>GG163*($Q163*$S163)/(1+Voorblad!$K$44)^(CF$56-Voorblad!$F$41)</f>
        <v>0</v>
      </c>
      <c r="CG163" s="21">
        <f>GH163*($Q163*$S163)/(1+Voorblad!$K$44)^(CG$56-Voorblad!$F$41)</f>
        <v>0</v>
      </c>
      <c r="CH163" s="21">
        <f>GI163*($Q163*$S163)/(1+Voorblad!$K$44)^(CH$56-Voorblad!$F$41)</f>
        <v>0</v>
      </c>
      <c r="CI163" s="21">
        <f>GJ163*($Q163*$S163)/(1+Voorblad!$K$44)^(CI$56-Voorblad!$F$41)</f>
        <v>0</v>
      </c>
      <c r="CJ163" s="21">
        <f>GK163*($Q163*$S163)/(1+Voorblad!$K$44)^(CJ$56-Voorblad!$F$41)</f>
        <v>0</v>
      </c>
      <c r="CK163" s="21">
        <f>GL163*($Q163*$S163)/(1+Voorblad!$K$44)^(CK$56-Voorblad!$F$41)</f>
        <v>0</v>
      </c>
      <c r="CL163" s="21">
        <f>GM163*($Q163*$S163)/(1+Voorblad!$K$44)^(CL$56-Voorblad!$F$41)</f>
        <v>0</v>
      </c>
      <c r="CM163" s="21">
        <f>GN163*($Q163*$S163)/(1+Voorblad!$K$44)^(CM$56-Voorblad!$F$41)</f>
        <v>0</v>
      </c>
      <c r="CN163" s="21">
        <f>GO163*($Q163*$S163)/(1+Voorblad!$K$44)^(CN$56-Voorblad!$F$41)</f>
        <v>0</v>
      </c>
      <c r="CO163" s="21">
        <f>GP163*($Q163*$S163)/(1+Voorblad!$K$44)^(CO$56-Voorblad!$F$41)</f>
        <v>0</v>
      </c>
      <c r="CP163" s="21">
        <f>GQ163*($Q163*$S163)/(1+Voorblad!$K$44)^(CP$56-Voorblad!$F$41)</f>
        <v>0</v>
      </c>
      <c r="CQ163" s="21">
        <f>GR163*($Q163*$S163)/(1+Voorblad!$K$44)^(CQ$56-Voorblad!$F$41)</f>
        <v>0</v>
      </c>
      <c r="CR163" s="21">
        <f>GS163*($Q163*$S163)/(1+Voorblad!$K$44)^(CR$56-Voorblad!$F$41)</f>
        <v>0</v>
      </c>
      <c r="CS163" s="21">
        <f>GT163*($Q163*$S163)/(1+Voorblad!$K$44)^(CS$56-Voorblad!$F$41)</f>
        <v>0</v>
      </c>
      <c r="CT163" s="21">
        <f>GU163*($Q163*$S163)/(1+Voorblad!$K$44)^(CT$56-Voorblad!$F$41)</f>
        <v>0</v>
      </c>
      <c r="CU163" s="21">
        <f>GV163*($Q163*$S163)/(1+Voorblad!$K$44)^(CU$56-Voorblad!$F$41)</f>
        <v>0</v>
      </c>
      <c r="CV163" s="21">
        <f>GW163*($Q163*$S163)/(1+Voorblad!$K$44)^(CV$56-Voorblad!$F$41)</f>
        <v>0</v>
      </c>
      <c r="CW163" s="21">
        <f>GX163*($Q163*$S163)/(1+Voorblad!$K$44)^(CW$56-Voorblad!$F$41)</f>
        <v>0</v>
      </c>
      <c r="CX163" s="21">
        <f>GY163*($Q163*$S163)/(1+Voorblad!$K$44)^(CX$56-Voorblad!$F$41)</f>
        <v>0</v>
      </c>
      <c r="CY163" s="21">
        <f>GZ163*($Q163*$S163)/(1+Voorblad!$K$44)^(CY$56-Voorblad!$F$41)</f>
        <v>0</v>
      </c>
      <c r="CZ163" s="21">
        <f>HA163*($Q163*$S163)/(1+Voorblad!$K$44)^(CZ$56-Voorblad!$F$41)</f>
        <v>0</v>
      </c>
      <c r="DA163" s="21">
        <f>HB163*($Q163*$S163)/(1+Voorblad!$K$44)^(DA$56-Voorblad!$F$41)</f>
        <v>0</v>
      </c>
      <c r="DB163" s="21">
        <f>HC163*($Q163*$S163)/(1+Voorblad!$K$44)^(DB$56-Voorblad!$F$41)</f>
        <v>0</v>
      </c>
      <c r="DC163" s="21">
        <f>HD163*($Q163*$S163)/(1+Voorblad!$K$44)^(DC$56-Voorblad!$F$41)</f>
        <v>0</v>
      </c>
      <c r="DD163" s="21">
        <f>HE163*($Q163*$S163)/(1+Voorblad!$K$44)^(DD$56-Voorblad!$F$41)</f>
        <v>0</v>
      </c>
      <c r="DE163" s="21">
        <f>HF163*($Q163*$S163)/(1+Voorblad!$K$44)^(DE$56-Voorblad!$F$41)</f>
        <v>0</v>
      </c>
      <c r="DF163" s="21">
        <f>HG163*($Q163*$S163)/(1+Voorblad!$K$44)^(DF$56-Voorblad!$F$41)</f>
        <v>0</v>
      </c>
      <c r="DG163" s="21">
        <f>HH163*($Q163*$S163)/(1+Voorblad!$K$44)^(DG$56-Voorblad!$F$41)</f>
        <v>0</v>
      </c>
      <c r="DH163" s="21">
        <f>HI163*($Q163*$S163)/(1+Voorblad!$K$44)^(DH$56-Voorblad!$F$41)</f>
        <v>0</v>
      </c>
      <c r="DI163" s="21">
        <f>HJ163*($Q163*$S163)/(1+Voorblad!$K$44)^(DI$56-Voorblad!$F$41)</f>
        <v>0</v>
      </c>
      <c r="DJ163" s="21">
        <f>HK163*($Q163*$S163)/(1+Voorblad!$K$44)^(DJ$56-Voorblad!$F$41)</f>
        <v>0</v>
      </c>
      <c r="DK163" s="21">
        <f>HL163*($Q163*$S163)/(1+Voorblad!$K$44)^(DK$56-Voorblad!$F$41)</f>
        <v>0</v>
      </c>
      <c r="DL163" s="21">
        <f>HM163*($Q163*$S163)/(1+Voorblad!$K$44)^(DL$56-Voorblad!$F$41)</f>
        <v>0</v>
      </c>
      <c r="DM163" s="21">
        <f>HN163*($Q163*$S163)/(1+Voorblad!$K$44)^(DM$56-Voorblad!$F$41)</f>
        <v>0</v>
      </c>
      <c r="DN163" s="21">
        <f>HO163*($Q163*$S163)/(1+Voorblad!$K$44)^(DN$56-Voorblad!$F$41)</f>
        <v>0</v>
      </c>
      <c r="DO163" s="21">
        <f>HP163*($Q163*$S163)/(1+Voorblad!$K$44)^(DO$56-Voorblad!$F$41)</f>
        <v>0</v>
      </c>
      <c r="DP163" s="21">
        <f>HQ163*($Q163*$S163)/(1+Voorblad!$K$44)^(DP$56-Voorblad!$F$41)</f>
        <v>0</v>
      </c>
      <c r="DQ163" s="21">
        <f>HR163*($Q163*$S163)/(1+Voorblad!$K$44)^(DQ$56-Voorblad!$F$41)</f>
        <v>0</v>
      </c>
      <c r="DR163" s="21">
        <f>HS163*($Q163*$S163)/(1+Voorblad!$K$44)^(DR$56-Voorblad!$F$41)</f>
        <v>0</v>
      </c>
      <c r="DS163" s="21">
        <f>HT163*($Q163*$S163)/(1+Voorblad!$K$44)^(DS$56-Voorblad!$F$41)</f>
        <v>0</v>
      </c>
      <c r="DT163" s="21">
        <f>HU163*($Q163*$S163)/(1+Voorblad!$K$44)^(DT$56-Voorblad!$F$41)</f>
        <v>0</v>
      </c>
      <c r="DU163" s="21">
        <f>HV163*($Q163*$S163)/(1+Voorblad!$K$44)^(DU$56-Voorblad!$F$41)</f>
        <v>0</v>
      </c>
      <c r="DV163" s="21">
        <f>HW163*($Q163*$S163)/(1+Voorblad!$K$44)^(DV$56-Voorblad!$F$41)</f>
        <v>0</v>
      </c>
      <c r="DW163" s="21">
        <f>HX163*($Q163*$S163)/(1+Voorblad!$K$44)^(DW$56-Voorblad!$F$41)</f>
        <v>0</v>
      </c>
      <c r="DX163" s="21">
        <f>HY163*($Q163*$S163)/(1+Voorblad!$K$44)^(DX$56-Voorblad!$F$41)</f>
        <v>0</v>
      </c>
      <c r="DY163" s="21">
        <f>HZ163*($Q163*$S163)/(1+Voorblad!$K$44)^(DY$56-Voorblad!$F$41)</f>
        <v>0</v>
      </c>
      <c r="DZ163" s="21">
        <f>IA163*($Q163*$S163)/(1+Voorblad!$K$44)^(DZ$56-Voorblad!$F$41)</f>
        <v>0</v>
      </c>
      <c r="EA163" s="21">
        <f>IB163*($Q163*$S163)/(1+Voorblad!$K$44)^(EA$56-Voorblad!$F$41)</f>
        <v>0</v>
      </c>
      <c r="EB163" s="21">
        <f>IC163*($Q163*$S163)/(1+Voorblad!$K$44)^(EB$56-Voorblad!$F$41)</f>
        <v>0</v>
      </c>
      <c r="EE163" s="14">
        <v>0</v>
      </c>
      <c r="EF163" s="14">
        <f>IF(EF$56-Voorblad!$F$41&gt;Voorblad!$K$41,0,IF($U163=0,0,IF($U163&lt;1,1/$U163,IF((EF$56-Voorblad!$F$41)/$U163-SUM($EE163:EE163)=1,1,0))))</f>
        <v>0</v>
      </c>
      <c r="EG163" s="14">
        <f>IF(EG$56-Voorblad!$F$41&gt;Voorblad!$K$41,0,IF($U163=0,0,IF($U163&lt;1,1/$U163,IF((EG$56-Voorblad!$F$41)/$U163-SUM($EE163:EF163)=1,1,0))))</f>
        <v>0</v>
      </c>
      <c r="EH163" s="14">
        <f>IF(EH$56-Voorblad!$F$41&gt;Voorblad!$K$41,0,IF($U163=0,0,IF($U163&lt;1,1/$U163,IF((EH$56-Voorblad!$F$41)/$U163-SUM($EE163:EG163)=1,1,0))))</f>
        <v>0</v>
      </c>
      <c r="EI163" s="14">
        <f>IF(EI$56-Voorblad!$F$41&gt;Voorblad!$K$41,0,IF($U163=0,0,IF($U163&lt;1,1/$U163,IF((EI$56-Voorblad!$F$41)/$U163-SUM($EE163:EH163)=1,1,0))))</f>
        <v>0</v>
      </c>
      <c r="EJ163" s="14">
        <f>IF(EJ$56-Voorblad!$F$41&gt;Voorblad!$K$41,0,IF($U163=0,0,IF($U163&lt;1,1/$U163,IF((EJ$56-Voorblad!$F$41)/$U163-SUM($EE163:EI163)=1,1,0))))</f>
        <v>0</v>
      </c>
      <c r="EK163" s="14">
        <f>IF(EK$56-Voorblad!$F$41&gt;Voorblad!$K$41,0,IF($U163=0,0,IF($U163&lt;1,1/$U163,IF((EK$56-Voorblad!$F$41)/$U163-SUM($EE163:EJ163)=1,1,0))))</f>
        <v>0</v>
      </c>
      <c r="EL163" s="14">
        <f>IF(EL$56-Voorblad!$F$41&gt;Voorblad!$K$41,0,IF($U163=0,0,IF($U163&lt;1,1/$U163,IF((EL$56-Voorblad!$F$41)/$U163-SUM($EE163:EK163)=1,1,0))))</f>
        <v>0</v>
      </c>
      <c r="EM163" s="14">
        <f>IF(EM$56-Voorblad!$F$41&gt;Voorblad!$K$41,0,IF($U163=0,0,IF($U163&lt;1,1/$U163,IF((EM$56-Voorblad!$F$41)/$U163-SUM($EE163:EL163)=1,1,0))))</f>
        <v>0</v>
      </c>
      <c r="EN163" s="14">
        <f>IF(EN$56-Voorblad!$F$41&gt;Voorblad!$K$41,0,IF($U163=0,0,IF($U163&lt;1,1/$U163,IF((EN$56-Voorblad!$F$41)/$U163-SUM($EE163:EM163)=1,1,0))))</f>
        <v>0</v>
      </c>
      <c r="EO163" s="14">
        <f>IF(EO$56-Voorblad!$F$41&gt;Voorblad!$K$41,0,IF($U163=0,0,IF($U163&lt;1,1/$U163,IF((EO$56-Voorblad!$F$41)/$U163-SUM($EE163:EN163)=1,1,0))))</f>
        <v>0</v>
      </c>
      <c r="EP163" s="14">
        <f>IF(EP$56-Voorblad!$F$41&gt;Voorblad!$K$41,0,IF($U163=0,0,IF($U163&lt;1,1/$U163,IF((EP$56-Voorblad!$F$41)/$U163-SUM($EE163:EO163)=1,1,0))))</f>
        <v>0</v>
      </c>
      <c r="EQ163" s="14">
        <f>IF(EQ$56-Voorblad!$F$41&gt;Voorblad!$K$41,0,IF($U163=0,0,IF($U163&lt;1,1/$U163,IF((EQ$56-Voorblad!$F$41)/$U163-SUM($EE163:EP163)=1,1,0))))</f>
        <v>0</v>
      </c>
      <c r="ER163" s="14">
        <f>IF(ER$56-Voorblad!$F$41&gt;Voorblad!$K$41,0,IF($U163=0,0,IF($U163&lt;1,1/$U163,IF((ER$56-Voorblad!$F$41)/$U163-SUM($EE163:EQ163)=1,1,0))))</f>
        <v>0</v>
      </c>
      <c r="ES163" s="14">
        <f>IF(ES$56-Voorblad!$F$41&gt;Voorblad!$K$41,0,IF($U163=0,0,IF($U163&lt;1,1/$U163,IF((ES$56-Voorblad!$F$41)/$U163-SUM($EE163:ER163)=1,1,0))))</f>
        <v>0</v>
      </c>
      <c r="ET163" s="14">
        <f>IF(ET$56-Voorblad!$F$41&gt;Voorblad!$K$41,0,IF($U163=0,0,IF($U163&lt;1,1/$U163,IF((ET$56-Voorblad!$F$41)/$U163-SUM($EE163:ES163)=1,1,0))))</f>
        <v>0</v>
      </c>
      <c r="EU163" s="14">
        <f>IF(EU$56-Voorblad!$F$41&gt;Voorblad!$K$41,0,IF($U163=0,0,IF($U163&lt;1,1/$U163,IF((EU$56-Voorblad!$F$41)/$U163-SUM($EE163:ET163)=1,1,0))))</f>
        <v>1</v>
      </c>
      <c r="EV163" s="14">
        <f>IF(EV$56-Voorblad!$F$41&gt;Voorblad!$K$41,0,IF($U163=0,0,IF($U163&lt;1,1/$U163,IF((EV$56-Voorblad!$F$41)/$U163-SUM($EE163:EU163)=1,1,0))))</f>
        <v>0</v>
      </c>
      <c r="EW163" s="14">
        <f>IF(EW$56-Voorblad!$F$41&gt;Voorblad!$K$41,0,IF($U163=0,0,IF($U163&lt;1,1/$U163,IF((EW$56-Voorblad!$F$41)/$U163-SUM($EE163:EV163)=1,1,0))))</f>
        <v>0</v>
      </c>
      <c r="EX163" s="14">
        <f>IF(EX$56-Voorblad!$F$41&gt;Voorblad!$K$41,0,IF($U163=0,0,IF($U163&lt;1,1/$U163,IF((EX$56-Voorblad!$F$41)/$U163-SUM($EE163:EW163)=1,1,0))))</f>
        <v>0</v>
      </c>
      <c r="EY163" s="14">
        <f>IF(EY$56-Voorblad!$F$41&gt;Voorblad!$K$41,0,IF($U163=0,0,IF($U163&lt;1,1/$U163,IF((EY$56-Voorblad!$F$41)/$U163-SUM($EE163:EX163)=1,1,0))))</f>
        <v>0</v>
      </c>
      <c r="EZ163" s="14">
        <f>IF(EZ$56-Voorblad!$F$41&gt;Voorblad!$K$41,0,IF($U163=0,0,IF($U163&lt;1,1/$U163,IF((EZ$56-Voorblad!$F$41)/$U163-SUM($EE163:EY163)=1,1,0))))</f>
        <v>0</v>
      </c>
      <c r="FA163" s="14">
        <f>IF(FA$56-Voorblad!$F$41&gt;Voorblad!$K$41,0,IF($U163=0,0,IF($U163&lt;1,1/$U163,IF((FA$56-Voorblad!$F$41)/$U163-SUM($EE163:EZ163)=1,1,0))))</f>
        <v>0</v>
      </c>
      <c r="FB163" s="14">
        <f>IF(FB$56-Voorblad!$F$41&gt;Voorblad!$K$41,0,IF($U163=0,0,IF($U163&lt;1,1/$U163,IF((FB$56-Voorblad!$F$41)/$U163-SUM($EE163:FA163)=1,1,0))))</f>
        <v>0</v>
      </c>
      <c r="FC163" s="14">
        <f>IF(FC$56-Voorblad!$F$41&gt;Voorblad!$K$41,0,IF($U163=0,0,IF($U163&lt;1,1/$U163,IF((FC$56-Voorblad!$F$41)/$U163-SUM($EE163:FB163)=1,1,0))))</f>
        <v>0</v>
      </c>
      <c r="FD163" s="14">
        <f>IF(FD$56-Voorblad!$F$41&gt;Voorblad!$K$41,0,IF($U163=0,0,IF($U163&lt;1,1/$U163,IF((FD$56-Voorblad!$F$41)/$U163-SUM($EE163:FC163)=1,1,0))))</f>
        <v>0</v>
      </c>
      <c r="FE163" s="14">
        <f>IF(FE$56-Voorblad!$F$41&gt;Voorblad!$K$41,0,IF($U163=0,0,IF($U163&lt;1,1/$U163,IF((FE$56-Voorblad!$F$41)/$U163-SUM($EE163:FD163)=1,1,0))))</f>
        <v>0</v>
      </c>
      <c r="FF163" s="14">
        <f>IF(FF$56-Voorblad!$F$41&gt;Voorblad!$K$41,0,IF($U163=0,0,IF($U163&lt;1,1/$U163,IF((FF$56-Voorblad!$F$41)/$U163-SUM($EE163:FE163)=1,1,0))))</f>
        <v>0</v>
      </c>
      <c r="FG163" s="14">
        <f>IF(FG$56-Voorblad!$F$41&gt;Voorblad!$K$41,0,IF($U163=0,0,IF($U163&lt;1,1/$U163,IF((FG$56-Voorblad!$F$41)/$U163-SUM($EE163:FF163)=1,1,0))))</f>
        <v>0</v>
      </c>
      <c r="FH163" s="14">
        <f>IF(FH$56-Voorblad!$F$41&gt;Voorblad!$K$41,0,IF($U163=0,0,IF($U163&lt;1,1/$U163,IF((FH$56-Voorblad!$F$41)/$U163-SUM($EE163:FG163)=1,1,0))))</f>
        <v>0</v>
      </c>
      <c r="FI163" s="14">
        <f>IF(FI$56-Voorblad!$F$41&gt;Voorblad!$K$41,0,IF($U163=0,0,IF($U163&lt;1,1/$U163,IF((FI$56-Voorblad!$F$41)/$U163-SUM($EE163:FH163)=1,1,0))))</f>
        <v>0</v>
      </c>
      <c r="FJ163" s="14">
        <f>IF(FJ$56-Voorblad!$F$41&gt;Voorblad!$K$41,0,IF($U163=0,0,IF($U163&lt;1,1/$U163,IF((FJ$56-Voorblad!$F$41)/$U163-SUM($EE163:FI163)=1,1,0))))</f>
        <v>1</v>
      </c>
      <c r="FK163" s="14">
        <f>IF(FK$56-Voorblad!$F$41&gt;Voorblad!$K$41,0,IF($U163=0,0,IF($U163&lt;1,1/$U163,IF((FK$56-Voorblad!$F$41)/$U163-SUM($EE163:FJ163)=1,1,0))))</f>
        <v>0</v>
      </c>
      <c r="FL163" s="14">
        <f>IF(FL$56-Voorblad!$F$41&gt;Voorblad!$K$41,0,IF($U163=0,0,IF($U163&lt;1,1/$U163,IF((FL$56-Voorblad!$F$41)/$U163-SUM($EE163:FK163)=1,1,0))))</f>
        <v>0</v>
      </c>
      <c r="FM163" s="14">
        <f>IF(FM$56-Voorblad!$F$41&gt;Voorblad!$K$41,0,IF($U163=0,0,IF($U163&lt;1,1/$U163,IF((FM$56-Voorblad!$F$41)/$U163-SUM($EE163:FL163)=1,1,0))))</f>
        <v>0</v>
      </c>
      <c r="FN163" s="14">
        <f>IF(FN$56-Voorblad!$F$41&gt;Voorblad!$K$41,0,IF($U163=0,0,IF($U163&lt;1,1/$U163,IF((FN$56-Voorblad!$F$41)/$U163-SUM($EE163:FM163)=1,1,0))))</f>
        <v>0</v>
      </c>
      <c r="FO163" s="14">
        <f>IF(FO$56-Voorblad!$F$41&gt;Voorblad!$K$41,0,IF($U163=0,0,IF($U163&lt;1,1/$U163,IF((FO$56-Voorblad!$F$41)/$U163-SUM($EE163:FN163)=1,1,0))))</f>
        <v>0</v>
      </c>
      <c r="FP163" s="14">
        <f>IF(FP$56-Voorblad!$F$41&gt;Voorblad!$K$41,0,IF($U163=0,0,IF($U163&lt;1,1/$U163,IF((FP$56-Voorblad!$F$41)/$U163-SUM($EE163:FO163)=1,1,0))))</f>
        <v>0</v>
      </c>
      <c r="FQ163" s="14">
        <f>IF(FQ$56-Voorblad!$F$41&gt;Voorblad!$K$41,0,IF($U163=0,0,IF($U163&lt;1,1/$U163,IF((FQ$56-Voorblad!$F$41)/$U163-SUM($EE163:FP163)=1,1,0))))</f>
        <v>0</v>
      </c>
      <c r="FR163" s="14">
        <f>IF(FR$56-Voorblad!$F$41&gt;Voorblad!$K$41,0,IF($U163=0,0,IF($U163&lt;1,1/$U163,IF((FR$56-Voorblad!$F$41)/$U163-SUM($EE163:FQ163)=1,1,0))))</f>
        <v>0</v>
      </c>
      <c r="FS163" s="14">
        <f>IF(FS$56-Voorblad!$F$41&gt;Voorblad!$K$41,0,IF($U163=0,0,IF($U163&lt;1,1/$U163,IF((FS$56-Voorblad!$F$41)/$U163-SUM($EE163:FR163)=1,1,0))))</f>
        <v>0</v>
      </c>
      <c r="FT163" s="14">
        <f>IF(FT$56-Voorblad!$F$41&gt;Voorblad!$K$41,0,IF($U163=0,0,IF($U163&lt;1,1/$U163,IF((FT$56-Voorblad!$F$41)/$U163-SUM($EE163:FS163)=1,1,0))))</f>
        <v>0</v>
      </c>
      <c r="FU163" s="14">
        <f>IF(FU$56-Voorblad!$F$41&gt;Voorblad!$K$41,0,IF($U163=0,0,IF($U163&lt;1,1/$U163,IF((FU$56-Voorblad!$F$41)/$U163-SUM($EE163:FT163)=1,1,0))))</f>
        <v>0</v>
      </c>
      <c r="FV163" s="14">
        <f>IF(FV$56-Voorblad!$F$41&gt;Voorblad!$K$41,0,IF($U163=0,0,IF($U163&lt;1,1/$U163,IF((FV$56-Voorblad!$F$41)/$U163-SUM($EE163:FU163)=1,1,0))))</f>
        <v>0</v>
      </c>
      <c r="FW163" s="14">
        <f>IF(FW$56-Voorblad!$F$41&gt;Voorblad!$K$41,0,IF($U163=0,0,IF($U163&lt;1,1/$U163,IF((FW$56-Voorblad!$F$41)/$U163-SUM($EE163:FV163)=1,1,0))))</f>
        <v>0</v>
      </c>
      <c r="FX163" s="14">
        <f>IF(FX$56-Voorblad!$F$41&gt;Voorblad!$K$41,0,IF($U163=0,0,IF($U163&lt;1,1/$U163,IF((FX$56-Voorblad!$F$41)/$U163-SUM($EE163:FW163)=1,1,0))))</f>
        <v>0</v>
      </c>
      <c r="FY163" s="14">
        <f>IF(FY$56-Voorblad!$F$41&gt;Voorblad!$K$41,0,IF($U163=0,0,IF($U163&lt;1,1/$U163,IF((FY$56-Voorblad!$F$41)/$U163-SUM($EE163:FX163)=1,1,0))))</f>
        <v>1</v>
      </c>
      <c r="FZ163" s="14">
        <f>IF(FZ$56-Voorblad!$F$41&gt;Voorblad!$K$41,0,IF($U163=0,0,IF($U163&lt;1,1/$U163,IF((FZ$56-Voorblad!$F$41)/$U163-SUM($EE163:FY163)=1,1,0))))</f>
        <v>0</v>
      </c>
      <c r="GA163" s="14">
        <f>IF(GA$56-Voorblad!$F$41&gt;Voorblad!$K$41,0,IF($U163=0,0,IF($U163&lt;1,1/$U163,IF((GA$56-Voorblad!$F$41)/$U163-SUM($EE163:FZ163)=1,1,0))))</f>
        <v>0</v>
      </c>
      <c r="GB163" s="14">
        <f>IF(GB$56-Voorblad!$F$41&gt;Voorblad!$K$41,0,IF($U163=0,0,IF($U163&lt;1,1/$U163,IF((GB$56-Voorblad!$F$41)/$U163-SUM($EE163:GA163)=1,1,0))))</f>
        <v>0</v>
      </c>
      <c r="GC163" s="14">
        <f>IF(GC$56-Voorblad!$F$41&gt;Voorblad!$K$41,0,IF($U163=0,0,IF($U163&lt;1,1/$U163,IF((GC$56-Voorblad!$F$41)/$U163-SUM($EE163:GB163)=1,1,0))))</f>
        <v>0</v>
      </c>
      <c r="GD163" s="14">
        <f>IF(GD$56-Voorblad!$F$41&gt;Voorblad!$K$41,0,IF($U163=0,0,IF($U163&lt;1,1/$U163,IF((GD$56-Voorblad!$F$41)/$U163-SUM($EE163:GC163)=1,1,0))))</f>
        <v>0</v>
      </c>
      <c r="GE163" s="14">
        <f>IF(GE$56-Voorblad!$F$41&gt;Voorblad!$K$41,0,IF($U163=0,0,IF($U163&lt;1,1/$U163,IF((GE$56-Voorblad!$F$41)/$U163-SUM($EE163:GD163)=1,1,0))))</f>
        <v>0</v>
      </c>
      <c r="GF163" s="14">
        <f>IF(GF$56-Voorblad!$F$41&gt;Voorblad!$K$41,0,IF($U163=0,0,IF($U163&lt;1,1/$U163,IF((GF$56-Voorblad!$F$41)/$U163-SUM($EE163:GE163)=1,1,0))))</f>
        <v>0</v>
      </c>
      <c r="GG163" s="14">
        <f>IF(GG$56-Voorblad!$F$41&gt;Voorblad!$K$41,0,IF($U163=0,0,IF($U163&lt;1,1/$U163,IF((GG$56-Voorblad!$F$41)/$U163-SUM($EE163:GF163)=1,1,0))))</f>
        <v>0</v>
      </c>
      <c r="GH163" s="14">
        <f>IF(GH$56-Voorblad!$F$41&gt;Voorblad!$K$41,0,IF($U163=0,0,IF($U163&lt;1,1/$U163,IF((GH$56-Voorblad!$F$41)/$U163-SUM($EE163:GG163)=1,1,0))))</f>
        <v>0</v>
      </c>
      <c r="GI163" s="14">
        <f>IF(GI$56-Voorblad!$F$41&gt;Voorblad!$K$41,0,IF($U163=0,0,IF($U163&lt;1,1/$U163,IF((GI$56-Voorblad!$F$41)/$U163-SUM($EE163:GH163)=1,1,0))))</f>
        <v>0</v>
      </c>
      <c r="GJ163" s="14">
        <f>IF(GJ$56-Voorblad!$F$41&gt;Voorblad!$K$41,0,IF($U163=0,0,IF($U163&lt;1,1/$U163,IF((GJ$56-Voorblad!$F$41)/$U163-SUM($EE163:GI163)=1,1,0))))</f>
        <v>0</v>
      </c>
      <c r="GK163" s="14">
        <f>IF(GK$56-Voorblad!$F$41&gt;Voorblad!$K$41,0,IF($U163=0,0,IF($U163&lt;1,1/$U163,IF((GK$56-Voorblad!$F$41)/$U163-SUM($EE163:GJ163)=1,1,0))))</f>
        <v>0</v>
      </c>
      <c r="GL163" s="14">
        <f>IF(GL$56-Voorblad!$F$41&gt;Voorblad!$K$41,0,IF($U163=0,0,IF($U163&lt;1,1/$U163,IF((GL$56-Voorblad!$F$41)/$U163-SUM($EE163:GK163)=1,1,0))))</f>
        <v>0</v>
      </c>
      <c r="GM163" s="14">
        <f>IF(GM$56-Voorblad!$F$41&gt;Voorblad!$K$41,0,IF($U163=0,0,IF($U163&lt;1,1/$U163,IF((GM$56-Voorblad!$F$41)/$U163-SUM($EE163:GL163)=1,1,0))))</f>
        <v>0</v>
      </c>
      <c r="GN163" s="14">
        <f>IF(GN$56-Voorblad!$F$41&gt;Voorblad!$K$41,0,IF($U163=0,0,IF($U163&lt;1,1/$U163,IF((GN$56-Voorblad!$F$41)/$U163-SUM($EE163:GM163)=1,1,0))))</f>
        <v>1</v>
      </c>
      <c r="GO163" s="14">
        <f>IF(GO$56-Voorblad!$F$41&gt;Voorblad!$K$41,0,IF($U163=0,0,IF($U163&lt;1,1/$U163,IF((GO$56-Voorblad!$F$41)/$U163-SUM($EE163:GN163)=1,1,0))))</f>
        <v>0</v>
      </c>
      <c r="GP163" s="14">
        <f>IF(GP$56-Voorblad!$F$41&gt;Voorblad!$K$41,0,IF($U163=0,0,IF($U163&lt;1,1/$U163,IF((GP$56-Voorblad!$F$41)/$U163-SUM($EE163:GO163)=1,1,0))))</f>
        <v>0</v>
      </c>
      <c r="GQ163" s="14">
        <f>IF(GQ$56-Voorblad!$F$41&gt;Voorblad!$K$41,0,IF($U163=0,0,IF($U163&lt;1,1/$U163,IF((GQ$56-Voorblad!$F$41)/$U163-SUM($EE163:GP163)=1,1,0))))</f>
        <v>0</v>
      </c>
      <c r="GR163" s="14">
        <f>IF(GR$56-Voorblad!$F$41&gt;Voorblad!$K$41,0,IF($U163=0,0,IF($U163&lt;1,1/$U163,IF((GR$56-Voorblad!$F$41)/$U163-SUM($EE163:GQ163)=1,1,0))))</f>
        <v>0</v>
      </c>
      <c r="GS163" s="14">
        <f>IF(GS$56-Voorblad!$F$41&gt;Voorblad!$K$41,0,IF($U163=0,0,IF($U163&lt;1,1/$U163,IF((GS$56-Voorblad!$F$41)/$U163-SUM($EE163:GR163)=1,1,0))))</f>
        <v>0</v>
      </c>
      <c r="GT163" s="14">
        <f>IF(GT$56-Voorblad!$F$41&gt;Voorblad!$K$41,0,IF($U163=0,0,IF($U163&lt;1,1/$U163,IF((GT$56-Voorblad!$F$41)/$U163-SUM($EE163:GS163)=1,1,0))))</f>
        <v>0</v>
      </c>
      <c r="GU163" s="14">
        <f>IF(GU$56-Voorblad!$F$41&gt;Voorblad!$K$41,0,IF($U163=0,0,IF($U163&lt;1,1/$U163,IF((GU$56-Voorblad!$F$41)/$U163-SUM($EE163:GT163)=1,1,0))))</f>
        <v>0</v>
      </c>
      <c r="GV163" s="14">
        <f>IF(GV$56-Voorblad!$F$41&gt;Voorblad!$K$41,0,IF($U163=0,0,IF($U163&lt;1,1/$U163,IF((GV$56-Voorblad!$F$41)/$U163-SUM($EE163:GU163)=1,1,0))))</f>
        <v>0</v>
      </c>
      <c r="GW163" s="14">
        <f>IF(GW$56-Voorblad!$F$41&gt;Voorblad!$K$41,0,IF($U163=0,0,IF($U163&lt;1,1/$U163,IF((GW$56-Voorblad!$F$41)/$U163-SUM($EE163:GV163)=1,1,0))))</f>
        <v>0</v>
      </c>
      <c r="GX163" s="14">
        <f>IF(GX$56-Voorblad!$F$41&gt;Voorblad!$K$41,0,IF($U163=0,0,IF($U163&lt;1,1/$U163,IF((GX$56-Voorblad!$F$41)/$U163-SUM($EE163:GW163)=1,1,0))))</f>
        <v>0</v>
      </c>
      <c r="GY163" s="14">
        <f>IF(GY$56-Voorblad!$F$41&gt;Voorblad!$K$41,0,IF($U163=0,0,IF($U163&lt;1,1/$U163,IF((GY$56-Voorblad!$F$41)/$U163-SUM($EE163:GX163)=1,1,0))))</f>
        <v>0</v>
      </c>
      <c r="GZ163" s="14">
        <f>IF(GZ$56-Voorblad!$F$41&gt;Voorblad!$K$41,0,IF($U163=0,0,IF($U163&lt;1,1/$U163,IF((GZ$56-Voorblad!$F$41)/$U163-SUM($EE163:GY163)=1,1,0))))</f>
        <v>0</v>
      </c>
      <c r="HA163" s="14">
        <f>IF(HA$56-Voorblad!$F$41&gt;Voorblad!$K$41,0,IF($U163=0,0,IF($U163&lt;1,1/$U163,IF((HA$56-Voorblad!$F$41)/$U163-SUM($EE163:GZ163)=1,1,0))))</f>
        <v>0</v>
      </c>
      <c r="HB163" s="14">
        <f>IF(HB$56-Voorblad!$F$41&gt;Voorblad!$K$41,0,IF($U163=0,0,IF($U163&lt;1,1/$U163,IF((HB$56-Voorblad!$F$41)/$U163-SUM($EE163:HA163)=1,1,0))))</f>
        <v>0</v>
      </c>
      <c r="HC163" s="14">
        <f>IF(HC$56-Voorblad!$F$41&gt;Voorblad!$K$41,0,IF($U163=0,0,IF($U163&lt;1,1/$U163,IF((HC$56-Voorblad!$F$41)/$U163-SUM($EE163:HB163)=1,1,0))))</f>
        <v>0</v>
      </c>
      <c r="HD163" s="14">
        <f>IF(HD$56-Voorblad!$F$41&gt;Voorblad!$K$41,0,IF($U163=0,0,IF($U163&lt;1,1/$U163,IF((HD$56-Voorblad!$F$41)/$U163-SUM($EE163:HC163)=1,1,0))))</f>
        <v>0</v>
      </c>
      <c r="HE163" s="14">
        <f>IF(HE$56-Voorblad!$F$41&gt;Voorblad!$K$41,0,IF($U163=0,0,IF($U163&lt;1,1/$U163,IF((HE$56-Voorblad!$F$41)/$U163-SUM($EE163:HD163)=1,1,0))))</f>
        <v>0</v>
      </c>
      <c r="HF163" s="14">
        <f>IF(HF$56-Voorblad!$F$41&gt;Voorblad!$K$41,0,IF($U163=0,0,IF($U163&lt;1,1/$U163,IF((HF$56-Voorblad!$F$41)/$U163-SUM($EE163:HE163)=1,1,0))))</f>
        <v>0</v>
      </c>
      <c r="HG163" s="14">
        <f>IF(HG$56-Voorblad!$F$41&gt;Voorblad!$K$41,0,IF($U163=0,0,IF($U163&lt;1,1/$U163,IF((HG$56-Voorblad!$F$41)/$U163-SUM($EE163:HF163)=1,1,0))))</f>
        <v>0</v>
      </c>
      <c r="HH163" s="14">
        <f>IF(HH$56-Voorblad!$F$41&gt;Voorblad!$K$41,0,IF($U163=0,0,IF($U163&lt;1,1/$U163,IF((HH$56-Voorblad!$F$41)/$U163-SUM($EE163:HG163)=1,1,0))))</f>
        <v>0</v>
      </c>
      <c r="HI163" s="14">
        <f>IF(HI$56-Voorblad!$F$41&gt;Voorblad!$K$41,0,IF($U163=0,0,IF($U163&lt;1,1/$U163,IF((HI$56-Voorblad!$F$41)/$U163-SUM($EE163:HH163)=1,1,0))))</f>
        <v>0</v>
      </c>
      <c r="HJ163" s="14">
        <f>IF(HJ$56-Voorblad!$F$41&gt;Voorblad!$K$41,0,IF($U163=0,0,IF($U163&lt;1,1/$U163,IF((HJ$56-Voorblad!$F$41)/$U163-SUM($EE163:HI163)=1,1,0))))</f>
        <v>0</v>
      </c>
      <c r="HK163" s="14">
        <f>IF(HK$56-Voorblad!$F$41&gt;Voorblad!$K$41,0,IF($U163=0,0,IF($U163&lt;1,1/$U163,IF((HK$56-Voorblad!$F$41)/$U163-SUM($EE163:HJ163)=1,1,0))))</f>
        <v>0</v>
      </c>
      <c r="HL163" s="14">
        <f>IF(HL$56-Voorblad!$F$41&gt;Voorblad!$K$41,0,IF($U163=0,0,IF($U163&lt;1,1/$U163,IF((HL$56-Voorblad!$F$41)/$U163-SUM($EE163:HK163)=1,1,0))))</f>
        <v>0</v>
      </c>
      <c r="HM163" s="14">
        <f>IF(HM$56-Voorblad!$F$41&gt;Voorblad!$K$41,0,IF($U163=0,0,IF($U163&lt;1,1/$U163,IF((HM$56-Voorblad!$F$41)/$U163-SUM($EE163:HL163)=1,1,0))))</f>
        <v>0</v>
      </c>
      <c r="HN163" s="14">
        <f>IF(HN$56-Voorblad!$F$41&gt;Voorblad!$K$41,0,IF($U163=0,0,IF($U163&lt;1,1/$U163,IF((HN$56-Voorblad!$F$41)/$U163-SUM($EE163:HM163)=1,1,0))))</f>
        <v>0</v>
      </c>
      <c r="HO163" s="14">
        <f>IF(HO$56-Voorblad!$F$41&gt;Voorblad!$K$41,0,IF($U163=0,0,IF($U163&lt;1,1/$U163,IF((HO$56-Voorblad!$F$41)/$U163-SUM($EE163:HN163)=1,1,0))))</f>
        <v>0</v>
      </c>
      <c r="HP163" s="14">
        <f>IF(HP$56-Voorblad!$F$41&gt;Voorblad!$K$41,0,IF($U163=0,0,IF($U163&lt;1,1/$U163,IF((HP$56-Voorblad!$F$41)/$U163-SUM($EE163:HO163)=1,1,0))))</f>
        <v>0</v>
      </c>
      <c r="HQ163" s="14">
        <f>IF(HQ$56-Voorblad!$F$41&gt;Voorblad!$K$41,0,IF($U163=0,0,IF($U163&lt;1,1/$U163,IF((HQ$56-Voorblad!$F$41)/$U163-SUM($EE163:HP163)=1,1,0))))</f>
        <v>0</v>
      </c>
      <c r="HR163" s="14">
        <f>IF(HR$56-Voorblad!$F$41&gt;Voorblad!$K$41,0,IF($U163=0,0,IF($U163&lt;1,1/$U163,IF((HR$56-Voorblad!$F$41)/$U163-SUM($EE163:HQ163)=1,1,0))))</f>
        <v>0</v>
      </c>
      <c r="HS163" s="14">
        <f>IF(HS$56-Voorblad!$F$41&gt;Voorblad!$K$41,0,IF($U163=0,0,IF($U163&lt;1,1/$U163,IF((HS$56-Voorblad!$F$41)/$U163-SUM($EE163:HR163)=1,1,0))))</f>
        <v>0</v>
      </c>
      <c r="HT163" s="14">
        <f>IF(HT$56-Voorblad!$F$41&gt;Voorblad!$K$41,0,IF($U163=0,0,IF($U163&lt;1,1/$U163,IF((HT$56-Voorblad!$F$41)/$U163-SUM($EE163:HS163)=1,1,0))))</f>
        <v>0</v>
      </c>
      <c r="HU163" s="14">
        <f>IF(HU$56-Voorblad!$F$41&gt;Voorblad!$K$41,0,IF($U163=0,0,IF($U163&lt;1,1/$U163,IF((HU$56-Voorblad!$F$41)/$U163-SUM($EE163:HT163)=1,1,0))))</f>
        <v>0</v>
      </c>
      <c r="HV163" s="14">
        <f>IF(HV$56-Voorblad!$F$41&gt;Voorblad!$K$41,0,IF($U163=0,0,IF($U163&lt;1,1/$U163,IF((HV$56-Voorblad!$F$41)/$U163-SUM($EE163:HU163)=1,1,0))))</f>
        <v>0</v>
      </c>
      <c r="HW163" s="14">
        <f>IF(HW$56-Voorblad!$F$41&gt;Voorblad!$K$41,0,IF($U163=0,0,IF($U163&lt;1,1/$U163,IF((HW$56-Voorblad!$F$41)/$U163-SUM($EE163:HV163)=1,1,0))))</f>
        <v>0</v>
      </c>
      <c r="HX163" s="14">
        <f>IF(HX$56-Voorblad!$F$41&gt;Voorblad!$K$41,0,IF($U163=0,0,IF($U163&lt;1,1/$U163,IF((HX$56-Voorblad!$F$41)/$U163-SUM($EE163:HW163)=1,1,0))))</f>
        <v>0</v>
      </c>
      <c r="HY163" s="14">
        <f>IF(HY$56-Voorblad!$F$41&gt;Voorblad!$K$41,0,IF($U163=0,0,IF($U163&lt;1,1/$U163,IF((HY$56-Voorblad!$F$41)/$U163-SUM($EE163:HX163)=1,1,0))))</f>
        <v>0</v>
      </c>
      <c r="HZ163" s="14">
        <f>IF(HZ$56-Voorblad!$F$41&gt;Voorblad!$K$41,0,IF($U163=0,0,IF($U163&lt;1,1/$U163,IF((HZ$56-Voorblad!$F$41)/$U163-SUM($EE163:HY163)=1,1,0))))</f>
        <v>0</v>
      </c>
      <c r="IA163" s="14">
        <f>IF(IA$56-Voorblad!$F$41&gt;Voorblad!$K$41,0,IF($U163=0,0,IF($U163&lt;1,1/$U163,IF((IA$56-Voorblad!$F$41)/$U163-SUM($EE163:HZ163)=1,1,0))))</f>
        <v>0</v>
      </c>
      <c r="IB163" s="14">
        <f>IF(IB$56-Voorblad!$F$41&gt;Voorblad!$K$41,0,IF($U163=0,0,IF($U163&lt;1,1/$U163,IF((IB$56-Voorblad!$F$41)/$U163-SUM($EE163:IA163)=1,1,0))))</f>
        <v>0</v>
      </c>
    </row>
    <row r="164" spans="2:236" ht="12" hidden="1" customHeight="1" outlineLevel="1" x14ac:dyDescent="0.25">
      <c r="B164" s="1">
        <v>3</v>
      </c>
      <c r="F164" s="1" t="s">
        <v>23</v>
      </c>
      <c r="I164" s="14" t="s">
        <v>277</v>
      </c>
      <c r="K164" s="14" t="s">
        <v>197</v>
      </c>
      <c r="L164" s="14"/>
      <c r="M164" s="14"/>
      <c r="O164" s="1" t="s">
        <v>171</v>
      </c>
      <c r="P164" s="1" t="s">
        <v>174</v>
      </c>
      <c r="Q164" s="81">
        <v>0</v>
      </c>
      <c r="R164" s="1" t="s">
        <v>35</v>
      </c>
      <c r="S164" s="14">
        <f>$H$20*2000</f>
        <v>3540</v>
      </c>
      <c r="T164" s="1">
        <f t="shared" si="189"/>
        <v>0</v>
      </c>
      <c r="U164" s="14">
        <v>15</v>
      </c>
      <c r="V164" s="14"/>
      <c r="Y164" s="9">
        <f t="shared" ref="Y164:Y167" si="192">SUM(AE164:EB164)</f>
        <v>0</v>
      </c>
      <c r="Z164" s="82"/>
      <c r="AA164" s="82"/>
      <c r="AC164" s="9">
        <f>$Y164*(Voorblad!$K$44*(1+Voorblad!$K$44)^Voorblad!$K$41)/((1+Voorblad!$K$44)^Voorblad!$K$41-1)</f>
        <v>0</v>
      </c>
      <c r="AE164" s="9">
        <f>EF164*($Q164*$S164)/(1+Voorblad!$K$44)^(AE$56-Voorblad!$F$41)</f>
        <v>0</v>
      </c>
      <c r="AF164" s="9">
        <f>EG164*($Q164*$S164)/(1+Voorblad!$K$44)^(AF$56-Voorblad!$F$41)</f>
        <v>0</v>
      </c>
      <c r="AG164" s="9">
        <f>EH164*($Q164*$S164)/(1+Voorblad!$K$44)^(AG$56-Voorblad!$F$41)</f>
        <v>0</v>
      </c>
      <c r="AH164" s="9">
        <f>EI164*($Q164*$S164)/(1+Voorblad!$K$44)^(AH$56-Voorblad!$F$41)</f>
        <v>0</v>
      </c>
      <c r="AI164" s="9">
        <f>EJ164*($Q164*$S164)/(1+Voorblad!$K$44)^(AI$56-Voorblad!$F$41)</f>
        <v>0</v>
      </c>
      <c r="AJ164" s="9">
        <f>EK164*($Q164*$S164)/(1+Voorblad!$K$44)^(AJ$56-Voorblad!$F$41)</f>
        <v>0</v>
      </c>
      <c r="AK164" s="9">
        <f>EL164*($Q164*$S164)/(1+Voorblad!$K$44)^(AK$56-Voorblad!$F$41)</f>
        <v>0</v>
      </c>
      <c r="AL164" s="9">
        <f>EM164*($Q164*$S164)/(1+Voorblad!$K$44)^(AL$56-Voorblad!$F$41)</f>
        <v>0</v>
      </c>
      <c r="AM164" s="9">
        <f>EN164*($Q164*$S164)/(1+Voorblad!$K$44)^(AM$56-Voorblad!$F$41)</f>
        <v>0</v>
      </c>
      <c r="AN164" s="9">
        <f>EO164*($Q164*$S164)/(1+Voorblad!$K$44)^(AN$56-Voorblad!$F$41)</f>
        <v>0</v>
      </c>
      <c r="AO164" s="9">
        <f>EP164*($Q164*$S164)/(1+Voorblad!$K$44)^(AO$56-Voorblad!$F$41)</f>
        <v>0</v>
      </c>
      <c r="AP164" s="9">
        <f>EQ164*($Q164*$S164)/(1+Voorblad!$K$44)^(AP$56-Voorblad!$F$41)</f>
        <v>0</v>
      </c>
      <c r="AQ164" s="9">
        <f>ER164*($Q164*$S164)/(1+Voorblad!$K$44)^(AQ$56-Voorblad!$F$41)</f>
        <v>0</v>
      </c>
      <c r="AR164" s="9">
        <f>ES164*($Q164*$S164)/(1+Voorblad!$K$44)^(AR$56-Voorblad!$F$41)</f>
        <v>0</v>
      </c>
      <c r="AS164" s="9">
        <f>ET164*($Q164*$S164)/(1+Voorblad!$K$44)^(AS$56-Voorblad!$F$41)</f>
        <v>0</v>
      </c>
      <c r="AT164" s="9">
        <f>EU164*($Q164*$S164)/(1+Voorblad!$K$44)^(AT$56-Voorblad!$F$41)</f>
        <v>0</v>
      </c>
      <c r="AU164" s="9">
        <f>EV164*($Q164*$S164)/(1+Voorblad!$K$44)^(AU$56-Voorblad!$F$41)</f>
        <v>0</v>
      </c>
      <c r="AV164" s="9">
        <f>EW164*($Q164*$S164)/(1+Voorblad!$K$44)^(AV$56-Voorblad!$F$41)</f>
        <v>0</v>
      </c>
      <c r="AW164" s="9">
        <f>EX164*($Q164*$S164)/(1+Voorblad!$K$44)^(AW$56-Voorblad!$F$41)</f>
        <v>0</v>
      </c>
      <c r="AX164" s="9">
        <f>EY164*($Q164*$S164)/(1+Voorblad!$K$44)^(AX$56-Voorblad!$F$41)</f>
        <v>0</v>
      </c>
      <c r="AY164" s="9">
        <f>EZ164*($Q164*$S164)/(1+Voorblad!$K$44)^(AY$56-Voorblad!$F$41)</f>
        <v>0</v>
      </c>
      <c r="AZ164" s="9">
        <f>FA164*($Q164*$S164)/(1+Voorblad!$K$44)^(AZ$56-Voorblad!$F$41)</f>
        <v>0</v>
      </c>
      <c r="BA164" s="9">
        <f>FB164*($Q164*$S164)/(1+Voorblad!$K$44)^(BA$56-Voorblad!$F$41)</f>
        <v>0</v>
      </c>
      <c r="BB164" s="9">
        <f>FC164*($Q164*$S164)/(1+Voorblad!$K$44)^(BB$56-Voorblad!$F$41)</f>
        <v>0</v>
      </c>
      <c r="BC164" s="9">
        <f>FD164*($Q164*$S164)/(1+Voorblad!$K$44)^(BC$56-Voorblad!$F$41)</f>
        <v>0</v>
      </c>
      <c r="BD164" s="9">
        <f>FE164*($Q164*$S164)/(1+Voorblad!$K$44)^(BD$56-Voorblad!$F$41)</f>
        <v>0</v>
      </c>
      <c r="BE164" s="9">
        <f>FF164*($Q164*$S164)/(1+Voorblad!$K$44)^(BE$56-Voorblad!$F$41)</f>
        <v>0</v>
      </c>
      <c r="BF164" s="9">
        <f>FG164*($Q164*$S164)/(1+Voorblad!$K$44)^(BF$56-Voorblad!$F$41)</f>
        <v>0</v>
      </c>
      <c r="BG164" s="9">
        <f>FH164*($Q164*$S164)/(1+Voorblad!$K$44)^(BG$56-Voorblad!$F$41)</f>
        <v>0</v>
      </c>
      <c r="BH164" s="9">
        <f>FI164*($Q164*$S164)/(1+Voorblad!$K$44)^(BH$56-Voorblad!$F$41)</f>
        <v>0</v>
      </c>
      <c r="BI164" s="9">
        <f>FJ164*($Q164*$S164)/(1+Voorblad!$K$44)^(BI$56-Voorblad!$F$41)</f>
        <v>0</v>
      </c>
      <c r="BJ164" s="9">
        <f>FK164*($Q164*$S164)/(1+Voorblad!$K$44)^(BJ$56-Voorblad!$F$41)</f>
        <v>0</v>
      </c>
      <c r="BK164" s="9">
        <f>FL164*($Q164*$S164)/(1+Voorblad!$K$44)^(BK$56-Voorblad!$F$41)</f>
        <v>0</v>
      </c>
      <c r="BL164" s="9">
        <f>FM164*($Q164*$S164)/(1+Voorblad!$K$44)^(BL$56-Voorblad!$F$41)</f>
        <v>0</v>
      </c>
      <c r="BM164" s="9">
        <f>FN164*($Q164*$S164)/(1+Voorblad!$K$44)^(BM$56-Voorblad!$F$41)</f>
        <v>0</v>
      </c>
      <c r="BN164" s="9">
        <f>FO164*($Q164*$S164)/(1+Voorblad!$K$44)^(BN$56-Voorblad!$F$41)</f>
        <v>0</v>
      </c>
      <c r="BO164" s="9">
        <f>FP164*($Q164*$S164)/(1+Voorblad!$K$44)^(BO$56-Voorblad!$F$41)</f>
        <v>0</v>
      </c>
      <c r="BP164" s="9">
        <f>FQ164*($Q164*$S164)/(1+Voorblad!$K$44)^(BP$56-Voorblad!$F$41)</f>
        <v>0</v>
      </c>
      <c r="BQ164" s="9">
        <f>FR164*($Q164*$S164)/(1+Voorblad!$K$44)^(BQ$56-Voorblad!$F$41)</f>
        <v>0</v>
      </c>
      <c r="BR164" s="9">
        <f>FS164*($Q164*$S164)/(1+Voorblad!$K$44)^(BR$56-Voorblad!$F$41)</f>
        <v>0</v>
      </c>
      <c r="BS164" s="9">
        <f>FT164*($Q164*$S164)/(1+Voorblad!$K$44)^(BS$56-Voorblad!$F$41)</f>
        <v>0</v>
      </c>
      <c r="BT164" s="9">
        <f>FU164*($Q164*$S164)/(1+Voorblad!$K$44)^(BT$56-Voorblad!$F$41)</f>
        <v>0</v>
      </c>
      <c r="BU164" s="9">
        <f>FV164*($Q164*$S164)/(1+Voorblad!$K$44)^(BU$56-Voorblad!$F$41)</f>
        <v>0</v>
      </c>
      <c r="BV164" s="9">
        <f>FW164*($Q164*$S164)/(1+Voorblad!$K$44)^(BV$56-Voorblad!$F$41)</f>
        <v>0</v>
      </c>
      <c r="BW164" s="9">
        <f>FX164*($Q164*$S164)/(1+Voorblad!$K$44)^(BW$56-Voorblad!$F$41)</f>
        <v>0</v>
      </c>
      <c r="BX164" s="9">
        <f>FY164*($Q164*$S164)/(1+Voorblad!$K$44)^(BX$56-Voorblad!$F$41)</f>
        <v>0</v>
      </c>
      <c r="BY164" s="9">
        <f>FZ164*($Q164*$S164)/(1+Voorblad!$K$44)^(BY$56-Voorblad!$F$41)</f>
        <v>0</v>
      </c>
      <c r="BZ164" s="9">
        <f>GA164*($Q164*$S164)/(1+Voorblad!$K$44)^(BZ$56-Voorblad!$F$41)</f>
        <v>0</v>
      </c>
      <c r="CA164" s="9">
        <f>GB164*($Q164*$S164)/(1+Voorblad!$K$44)^(CA$56-Voorblad!$F$41)</f>
        <v>0</v>
      </c>
      <c r="CB164" s="9">
        <f>GC164*($Q164*$S164)/(1+Voorblad!$K$44)^(CB$56-Voorblad!$F$41)</f>
        <v>0</v>
      </c>
      <c r="CC164" s="9">
        <f>GD164*($Q164*$S164)/(1+Voorblad!$K$44)^(CC$56-Voorblad!$F$41)</f>
        <v>0</v>
      </c>
      <c r="CD164" s="9">
        <f>GE164*($Q164*$S164)/(1+Voorblad!$K$44)^(CD$56-Voorblad!$F$41)</f>
        <v>0</v>
      </c>
      <c r="CE164" s="9">
        <f>GF164*($Q164*$S164)/(1+Voorblad!$K$44)^(CE$56-Voorblad!$F$41)</f>
        <v>0</v>
      </c>
      <c r="CF164" s="9">
        <f>GG164*($Q164*$S164)/(1+Voorblad!$K$44)^(CF$56-Voorblad!$F$41)</f>
        <v>0</v>
      </c>
      <c r="CG164" s="9">
        <f>GH164*($Q164*$S164)/(1+Voorblad!$K$44)^(CG$56-Voorblad!$F$41)</f>
        <v>0</v>
      </c>
      <c r="CH164" s="9">
        <f>GI164*($Q164*$S164)/(1+Voorblad!$K$44)^(CH$56-Voorblad!$F$41)</f>
        <v>0</v>
      </c>
      <c r="CI164" s="9">
        <f>GJ164*($Q164*$S164)/(1+Voorblad!$K$44)^(CI$56-Voorblad!$F$41)</f>
        <v>0</v>
      </c>
      <c r="CJ164" s="9">
        <f>GK164*($Q164*$S164)/(1+Voorblad!$K$44)^(CJ$56-Voorblad!$F$41)</f>
        <v>0</v>
      </c>
      <c r="CK164" s="9">
        <f>GL164*($Q164*$S164)/(1+Voorblad!$K$44)^(CK$56-Voorblad!$F$41)</f>
        <v>0</v>
      </c>
      <c r="CL164" s="9">
        <f>GM164*($Q164*$S164)/(1+Voorblad!$K$44)^(CL$56-Voorblad!$F$41)</f>
        <v>0</v>
      </c>
      <c r="CM164" s="9">
        <f>GN164*($Q164*$S164)/(1+Voorblad!$K$44)^(CM$56-Voorblad!$F$41)</f>
        <v>0</v>
      </c>
      <c r="CN164" s="9">
        <f>GO164*($Q164*$S164)/(1+Voorblad!$K$44)^(CN$56-Voorblad!$F$41)</f>
        <v>0</v>
      </c>
      <c r="CO164" s="9">
        <f>GP164*($Q164*$S164)/(1+Voorblad!$K$44)^(CO$56-Voorblad!$F$41)</f>
        <v>0</v>
      </c>
      <c r="CP164" s="9">
        <f>GQ164*($Q164*$S164)/(1+Voorblad!$K$44)^(CP$56-Voorblad!$F$41)</f>
        <v>0</v>
      </c>
      <c r="CQ164" s="9">
        <f>GR164*($Q164*$S164)/(1+Voorblad!$K$44)^(CQ$56-Voorblad!$F$41)</f>
        <v>0</v>
      </c>
      <c r="CR164" s="9">
        <f>GS164*($Q164*$S164)/(1+Voorblad!$K$44)^(CR$56-Voorblad!$F$41)</f>
        <v>0</v>
      </c>
      <c r="CS164" s="9">
        <f>GT164*($Q164*$S164)/(1+Voorblad!$K$44)^(CS$56-Voorblad!$F$41)</f>
        <v>0</v>
      </c>
      <c r="CT164" s="9">
        <f>GU164*($Q164*$S164)/(1+Voorblad!$K$44)^(CT$56-Voorblad!$F$41)</f>
        <v>0</v>
      </c>
      <c r="CU164" s="9">
        <f>GV164*($Q164*$S164)/(1+Voorblad!$K$44)^(CU$56-Voorblad!$F$41)</f>
        <v>0</v>
      </c>
      <c r="CV164" s="9">
        <f>GW164*($Q164*$S164)/(1+Voorblad!$K$44)^(CV$56-Voorblad!$F$41)</f>
        <v>0</v>
      </c>
      <c r="CW164" s="9">
        <f>GX164*($Q164*$S164)/(1+Voorblad!$K$44)^(CW$56-Voorblad!$F$41)</f>
        <v>0</v>
      </c>
      <c r="CX164" s="9">
        <f>GY164*($Q164*$S164)/(1+Voorblad!$K$44)^(CX$56-Voorblad!$F$41)</f>
        <v>0</v>
      </c>
      <c r="CY164" s="9">
        <f>GZ164*($Q164*$S164)/(1+Voorblad!$K$44)^(CY$56-Voorblad!$F$41)</f>
        <v>0</v>
      </c>
      <c r="CZ164" s="9">
        <f>HA164*($Q164*$S164)/(1+Voorblad!$K$44)^(CZ$56-Voorblad!$F$41)</f>
        <v>0</v>
      </c>
      <c r="DA164" s="9">
        <f>HB164*($Q164*$S164)/(1+Voorblad!$K$44)^(DA$56-Voorblad!$F$41)</f>
        <v>0</v>
      </c>
      <c r="DB164" s="9">
        <f>HC164*($Q164*$S164)/(1+Voorblad!$K$44)^(DB$56-Voorblad!$F$41)</f>
        <v>0</v>
      </c>
      <c r="DC164" s="9">
        <f>HD164*($Q164*$S164)/(1+Voorblad!$K$44)^(DC$56-Voorblad!$F$41)</f>
        <v>0</v>
      </c>
      <c r="DD164" s="9">
        <f>HE164*($Q164*$S164)/(1+Voorblad!$K$44)^(DD$56-Voorblad!$F$41)</f>
        <v>0</v>
      </c>
      <c r="DE164" s="9">
        <f>HF164*($Q164*$S164)/(1+Voorblad!$K$44)^(DE$56-Voorblad!$F$41)</f>
        <v>0</v>
      </c>
      <c r="DF164" s="9">
        <f>HG164*($Q164*$S164)/(1+Voorblad!$K$44)^(DF$56-Voorblad!$F$41)</f>
        <v>0</v>
      </c>
      <c r="DG164" s="9">
        <f>HH164*($Q164*$S164)/(1+Voorblad!$K$44)^(DG$56-Voorblad!$F$41)</f>
        <v>0</v>
      </c>
      <c r="DH164" s="9">
        <f>HI164*($Q164*$S164)/(1+Voorblad!$K$44)^(DH$56-Voorblad!$F$41)</f>
        <v>0</v>
      </c>
      <c r="DI164" s="9">
        <f>HJ164*($Q164*$S164)/(1+Voorblad!$K$44)^(DI$56-Voorblad!$F$41)</f>
        <v>0</v>
      </c>
      <c r="DJ164" s="9">
        <f>HK164*($Q164*$S164)/(1+Voorblad!$K$44)^(DJ$56-Voorblad!$F$41)</f>
        <v>0</v>
      </c>
      <c r="DK164" s="9">
        <f>HL164*($Q164*$S164)/(1+Voorblad!$K$44)^(DK$56-Voorblad!$F$41)</f>
        <v>0</v>
      </c>
      <c r="DL164" s="9">
        <f>HM164*($Q164*$S164)/(1+Voorblad!$K$44)^(DL$56-Voorblad!$F$41)</f>
        <v>0</v>
      </c>
      <c r="DM164" s="9">
        <f>HN164*($Q164*$S164)/(1+Voorblad!$K$44)^(DM$56-Voorblad!$F$41)</f>
        <v>0</v>
      </c>
      <c r="DN164" s="9">
        <f>HO164*($Q164*$S164)/(1+Voorblad!$K$44)^(DN$56-Voorblad!$F$41)</f>
        <v>0</v>
      </c>
      <c r="DO164" s="9">
        <f>HP164*($Q164*$S164)/(1+Voorblad!$K$44)^(DO$56-Voorblad!$F$41)</f>
        <v>0</v>
      </c>
      <c r="DP164" s="9">
        <f>HQ164*($Q164*$S164)/(1+Voorblad!$K$44)^(DP$56-Voorblad!$F$41)</f>
        <v>0</v>
      </c>
      <c r="DQ164" s="9">
        <f>HR164*($Q164*$S164)/(1+Voorblad!$K$44)^(DQ$56-Voorblad!$F$41)</f>
        <v>0</v>
      </c>
      <c r="DR164" s="9">
        <f>HS164*($Q164*$S164)/(1+Voorblad!$K$44)^(DR$56-Voorblad!$F$41)</f>
        <v>0</v>
      </c>
      <c r="DS164" s="9">
        <f>HT164*($Q164*$S164)/(1+Voorblad!$K$44)^(DS$56-Voorblad!$F$41)</f>
        <v>0</v>
      </c>
      <c r="DT164" s="9">
        <f>HU164*($Q164*$S164)/(1+Voorblad!$K$44)^(DT$56-Voorblad!$F$41)</f>
        <v>0</v>
      </c>
      <c r="DU164" s="9">
        <f>HV164*($Q164*$S164)/(1+Voorblad!$K$44)^(DU$56-Voorblad!$F$41)</f>
        <v>0</v>
      </c>
      <c r="DV164" s="9">
        <f>HW164*($Q164*$S164)/(1+Voorblad!$K$44)^(DV$56-Voorblad!$F$41)</f>
        <v>0</v>
      </c>
      <c r="DW164" s="9">
        <f>HX164*($Q164*$S164)/(1+Voorblad!$K$44)^(DW$56-Voorblad!$F$41)</f>
        <v>0</v>
      </c>
      <c r="DX164" s="9">
        <f>HY164*($Q164*$S164)/(1+Voorblad!$K$44)^(DX$56-Voorblad!$F$41)</f>
        <v>0</v>
      </c>
      <c r="DY164" s="9">
        <f>HZ164*($Q164*$S164)/(1+Voorblad!$K$44)^(DY$56-Voorblad!$F$41)</f>
        <v>0</v>
      </c>
      <c r="DZ164" s="9">
        <f>IA164*($Q164*$S164)/(1+Voorblad!$K$44)^(DZ$56-Voorblad!$F$41)</f>
        <v>0</v>
      </c>
      <c r="EA164" s="9">
        <f>IB164*($Q164*$S164)/(1+Voorblad!$K$44)^(EA$56-Voorblad!$F$41)</f>
        <v>0</v>
      </c>
      <c r="EB164" s="9">
        <f>IC164*($Q164*$S164)/(1+Voorblad!$K$44)^(EB$56-Voorblad!$F$41)</f>
        <v>0</v>
      </c>
      <c r="EE164" s="8">
        <v>0</v>
      </c>
      <c r="EF164" s="8">
        <f>IF(EF$56-Voorblad!$F$41&gt;Voorblad!$K$41,0,IF($U164=0,0,IF($U164&lt;1,1/$U164,IF((EF$56-Voorblad!$F$41)/$U164-SUM($EE164:EE164)=1,1,0))))</f>
        <v>0</v>
      </c>
      <c r="EG164" s="8">
        <f>IF(EG$56-Voorblad!$F$41&gt;Voorblad!$K$41,0,IF($U164=0,0,IF($U164&lt;1,1/$U164,IF((EG$56-Voorblad!$F$41)/$U164-SUM($EE164:EF164)=1,1,0))))</f>
        <v>0</v>
      </c>
      <c r="EH164" s="8">
        <f>IF(EH$56-Voorblad!$F$41&gt;Voorblad!$K$41,0,IF($U164=0,0,IF($U164&lt;1,1/$U164,IF((EH$56-Voorblad!$F$41)/$U164-SUM($EE164:EG164)=1,1,0))))</f>
        <v>0</v>
      </c>
      <c r="EI164" s="8">
        <f>IF(EI$56-Voorblad!$F$41&gt;Voorblad!$K$41,0,IF($U164=0,0,IF($U164&lt;1,1/$U164,IF((EI$56-Voorblad!$F$41)/$U164-SUM($EE164:EH164)=1,1,0))))</f>
        <v>0</v>
      </c>
      <c r="EJ164" s="8">
        <f>IF(EJ$56-Voorblad!$F$41&gt;Voorblad!$K$41,0,IF($U164=0,0,IF($U164&lt;1,1/$U164,IF((EJ$56-Voorblad!$F$41)/$U164-SUM($EE164:EI164)=1,1,0))))</f>
        <v>0</v>
      </c>
      <c r="EK164" s="8">
        <f>IF(EK$56-Voorblad!$F$41&gt;Voorblad!$K$41,0,IF($U164=0,0,IF($U164&lt;1,1/$U164,IF((EK$56-Voorblad!$F$41)/$U164-SUM($EE164:EJ164)=1,1,0))))</f>
        <v>0</v>
      </c>
      <c r="EL164" s="8">
        <f>IF(EL$56-Voorblad!$F$41&gt;Voorblad!$K$41,0,IF($U164=0,0,IF($U164&lt;1,1/$U164,IF((EL$56-Voorblad!$F$41)/$U164-SUM($EE164:EK164)=1,1,0))))</f>
        <v>0</v>
      </c>
      <c r="EM164" s="8">
        <f>IF(EM$56-Voorblad!$F$41&gt;Voorblad!$K$41,0,IF($U164=0,0,IF($U164&lt;1,1/$U164,IF((EM$56-Voorblad!$F$41)/$U164-SUM($EE164:EL164)=1,1,0))))</f>
        <v>0</v>
      </c>
      <c r="EN164" s="8">
        <f>IF(EN$56-Voorblad!$F$41&gt;Voorblad!$K$41,0,IF($U164=0,0,IF($U164&lt;1,1/$U164,IF((EN$56-Voorblad!$F$41)/$U164-SUM($EE164:EM164)=1,1,0))))</f>
        <v>0</v>
      </c>
      <c r="EO164" s="8">
        <f>IF(EO$56-Voorblad!$F$41&gt;Voorblad!$K$41,0,IF($U164=0,0,IF($U164&lt;1,1/$U164,IF((EO$56-Voorblad!$F$41)/$U164-SUM($EE164:EN164)=1,1,0))))</f>
        <v>0</v>
      </c>
      <c r="EP164" s="8">
        <f>IF(EP$56-Voorblad!$F$41&gt;Voorblad!$K$41,0,IF($U164=0,0,IF($U164&lt;1,1/$U164,IF((EP$56-Voorblad!$F$41)/$U164-SUM($EE164:EO164)=1,1,0))))</f>
        <v>0</v>
      </c>
      <c r="EQ164" s="8">
        <f>IF(EQ$56-Voorblad!$F$41&gt;Voorblad!$K$41,0,IF($U164=0,0,IF($U164&lt;1,1/$U164,IF((EQ$56-Voorblad!$F$41)/$U164-SUM($EE164:EP164)=1,1,0))))</f>
        <v>0</v>
      </c>
      <c r="ER164" s="8">
        <f>IF(ER$56-Voorblad!$F$41&gt;Voorblad!$K$41,0,IF($U164=0,0,IF($U164&lt;1,1/$U164,IF((ER$56-Voorblad!$F$41)/$U164-SUM($EE164:EQ164)=1,1,0))))</f>
        <v>0</v>
      </c>
      <c r="ES164" s="8">
        <f>IF(ES$56-Voorblad!$F$41&gt;Voorblad!$K$41,0,IF($U164=0,0,IF($U164&lt;1,1/$U164,IF((ES$56-Voorblad!$F$41)/$U164-SUM($EE164:ER164)=1,1,0))))</f>
        <v>0</v>
      </c>
      <c r="ET164" s="8">
        <f>IF(ET$56-Voorblad!$F$41&gt;Voorblad!$K$41,0,IF($U164=0,0,IF($U164&lt;1,1/$U164,IF((ET$56-Voorblad!$F$41)/$U164-SUM($EE164:ES164)=1,1,0))))</f>
        <v>0</v>
      </c>
      <c r="EU164" s="8">
        <f>IF(EU$56-Voorblad!$F$41&gt;Voorblad!$K$41,0,IF($U164=0,0,IF($U164&lt;1,1/$U164,IF((EU$56-Voorblad!$F$41)/$U164-SUM($EE164:ET164)=1,1,0))))</f>
        <v>1</v>
      </c>
      <c r="EV164" s="8">
        <f>IF(EV$56-Voorblad!$F$41&gt;Voorblad!$K$41,0,IF($U164=0,0,IF($U164&lt;1,1/$U164,IF((EV$56-Voorblad!$F$41)/$U164-SUM($EE164:EU164)=1,1,0))))</f>
        <v>0</v>
      </c>
      <c r="EW164" s="8">
        <f>IF(EW$56-Voorblad!$F$41&gt;Voorblad!$K$41,0,IF($U164=0,0,IF($U164&lt;1,1/$U164,IF((EW$56-Voorblad!$F$41)/$U164-SUM($EE164:EV164)=1,1,0))))</f>
        <v>0</v>
      </c>
      <c r="EX164" s="8">
        <f>IF(EX$56-Voorblad!$F$41&gt;Voorblad!$K$41,0,IF($U164=0,0,IF($U164&lt;1,1/$U164,IF((EX$56-Voorblad!$F$41)/$U164-SUM($EE164:EW164)=1,1,0))))</f>
        <v>0</v>
      </c>
      <c r="EY164" s="8">
        <f>IF(EY$56-Voorblad!$F$41&gt;Voorblad!$K$41,0,IF($U164=0,0,IF($U164&lt;1,1/$U164,IF((EY$56-Voorblad!$F$41)/$U164-SUM($EE164:EX164)=1,1,0))))</f>
        <v>0</v>
      </c>
      <c r="EZ164" s="8">
        <f>IF(EZ$56-Voorblad!$F$41&gt;Voorblad!$K$41,0,IF($U164=0,0,IF($U164&lt;1,1/$U164,IF((EZ$56-Voorblad!$F$41)/$U164-SUM($EE164:EY164)=1,1,0))))</f>
        <v>0</v>
      </c>
      <c r="FA164" s="8">
        <f>IF(FA$56-Voorblad!$F$41&gt;Voorblad!$K$41,0,IF($U164=0,0,IF($U164&lt;1,1/$U164,IF((FA$56-Voorblad!$F$41)/$U164-SUM($EE164:EZ164)=1,1,0))))</f>
        <v>0</v>
      </c>
      <c r="FB164" s="8">
        <f>IF(FB$56-Voorblad!$F$41&gt;Voorblad!$K$41,0,IF($U164=0,0,IF($U164&lt;1,1/$U164,IF((FB$56-Voorblad!$F$41)/$U164-SUM($EE164:FA164)=1,1,0))))</f>
        <v>0</v>
      </c>
      <c r="FC164" s="8">
        <f>IF(FC$56-Voorblad!$F$41&gt;Voorblad!$K$41,0,IF($U164=0,0,IF($U164&lt;1,1/$U164,IF((FC$56-Voorblad!$F$41)/$U164-SUM($EE164:FB164)=1,1,0))))</f>
        <v>0</v>
      </c>
      <c r="FD164" s="8">
        <f>IF(FD$56-Voorblad!$F$41&gt;Voorblad!$K$41,0,IF($U164=0,0,IF($U164&lt;1,1/$U164,IF((FD$56-Voorblad!$F$41)/$U164-SUM($EE164:FC164)=1,1,0))))</f>
        <v>0</v>
      </c>
      <c r="FE164" s="8">
        <f>IF(FE$56-Voorblad!$F$41&gt;Voorblad!$K$41,0,IF($U164=0,0,IF($U164&lt;1,1/$U164,IF((FE$56-Voorblad!$F$41)/$U164-SUM($EE164:FD164)=1,1,0))))</f>
        <v>0</v>
      </c>
      <c r="FF164" s="8">
        <f>IF(FF$56-Voorblad!$F$41&gt;Voorblad!$K$41,0,IF($U164=0,0,IF($U164&lt;1,1/$U164,IF((FF$56-Voorblad!$F$41)/$U164-SUM($EE164:FE164)=1,1,0))))</f>
        <v>0</v>
      </c>
      <c r="FG164" s="8">
        <f>IF(FG$56-Voorblad!$F$41&gt;Voorblad!$K$41,0,IF($U164=0,0,IF($U164&lt;1,1/$U164,IF((FG$56-Voorblad!$F$41)/$U164-SUM($EE164:FF164)=1,1,0))))</f>
        <v>0</v>
      </c>
      <c r="FH164" s="8">
        <f>IF(FH$56-Voorblad!$F$41&gt;Voorblad!$K$41,0,IF($U164=0,0,IF($U164&lt;1,1/$U164,IF((FH$56-Voorblad!$F$41)/$U164-SUM($EE164:FG164)=1,1,0))))</f>
        <v>0</v>
      </c>
      <c r="FI164" s="8">
        <f>IF(FI$56-Voorblad!$F$41&gt;Voorblad!$K$41,0,IF($U164=0,0,IF($U164&lt;1,1/$U164,IF((FI$56-Voorblad!$F$41)/$U164-SUM($EE164:FH164)=1,1,0))))</f>
        <v>0</v>
      </c>
      <c r="FJ164" s="8">
        <f>IF(FJ$56-Voorblad!$F$41&gt;Voorblad!$K$41,0,IF($U164=0,0,IF($U164&lt;1,1/$U164,IF((FJ$56-Voorblad!$F$41)/$U164-SUM($EE164:FI164)=1,1,0))))</f>
        <v>1</v>
      </c>
      <c r="FK164" s="8">
        <f>IF(FK$56-Voorblad!$F$41&gt;Voorblad!$K$41,0,IF($U164=0,0,IF($U164&lt;1,1/$U164,IF((FK$56-Voorblad!$F$41)/$U164-SUM($EE164:FJ164)=1,1,0))))</f>
        <v>0</v>
      </c>
      <c r="FL164" s="8">
        <f>IF(FL$56-Voorblad!$F$41&gt;Voorblad!$K$41,0,IF($U164=0,0,IF($U164&lt;1,1/$U164,IF((FL$56-Voorblad!$F$41)/$U164-SUM($EE164:FK164)=1,1,0))))</f>
        <v>0</v>
      </c>
      <c r="FM164" s="8">
        <f>IF(FM$56-Voorblad!$F$41&gt;Voorblad!$K$41,0,IF($U164=0,0,IF($U164&lt;1,1/$U164,IF((FM$56-Voorblad!$F$41)/$U164-SUM($EE164:FL164)=1,1,0))))</f>
        <v>0</v>
      </c>
      <c r="FN164" s="8">
        <f>IF(FN$56-Voorblad!$F$41&gt;Voorblad!$K$41,0,IF($U164=0,0,IF($U164&lt;1,1/$U164,IF((FN$56-Voorblad!$F$41)/$U164-SUM($EE164:FM164)=1,1,0))))</f>
        <v>0</v>
      </c>
      <c r="FO164" s="8">
        <f>IF(FO$56-Voorblad!$F$41&gt;Voorblad!$K$41,0,IF($U164=0,0,IF($U164&lt;1,1/$U164,IF((FO$56-Voorblad!$F$41)/$U164-SUM($EE164:FN164)=1,1,0))))</f>
        <v>0</v>
      </c>
      <c r="FP164" s="8">
        <f>IF(FP$56-Voorblad!$F$41&gt;Voorblad!$K$41,0,IF($U164=0,0,IF($U164&lt;1,1/$U164,IF((FP$56-Voorblad!$F$41)/$U164-SUM($EE164:FO164)=1,1,0))))</f>
        <v>0</v>
      </c>
      <c r="FQ164" s="8">
        <f>IF(FQ$56-Voorblad!$F$41&gt;Voorblad!$K$41,0,IF($U164=0,0,IF($U164&lt;1,1/$U164,IF((FQ$56-Voorblad!$F$41)/$U164-SUM($EE164:FP164)=1,1,0))))</f>
        <v>0</v>
      </c>
      <c r="FR164" s="8">
        <f>IF(FR$56-Voorblad!$F$41&gt;Voorblad!$K$41,0,IF($U164=0,0,IF($U164&lt;1,1/$U164,IF((FR$56-Voorblad!$F$41)/$U164-SUM($EE164:FQ164)=1,1,0))))</f>
        <v>0</v>
      </c>
      <c r="FS164" s="8">
        <f>IF(FS$56-Voorblad!$F$41&gt;Voorblad!$K$41,0,IF($U164=0,0,IF($U164&lt;1,1/$U164,IF((FS$56-Voorblad!$F$41)/$U164-SUM($EE164:FR164)=1,1,0))))</f>
        <v>0</v>
      </c>
      <c r="FT164" s="8">
        <f>IF(FT$56-Voorblad!$F$41&gt;Voorblad!$K$41,0,IF($U164=0,0,IF($U164&lt;1,1/$U164,IF((FT$56-Voorblad!$F$41)/$U164-SUM($EE164:FS164)=1,1,0))))</f>
        <v>0</v>
      </c>
      <c r="FU164" s="8">
        <f>IF(FU$56-Voorblad!$F$41&gt;Voorblad!$K$41,0,IF($U164=0,0,IF($U164&lt;1,1/$U164,IF((FU$56-Voorblad!$F$41)/$U164-SUM($EE164:FT164)=1,1,0))))</f>
        <v>0</v>
      </c>
      <c r="FV164" s="8">
        <f>IF(FV$56-Voorblad!$F$41&gt;Voorblad!$K$41,0,IF($U164=0,0,IF($U164&lt;1,1/$U164,IF((FV$56-Voorblad!$F$41)/$U164-SUM($EE164:FU164)=1,1,0))))</f>
        <v>0</v>
      </c>
      <c r="FW164" s="8">
        <f>IF(FW$56-Voorblad!$F$41&gt;Voorblad!$K$41,0,IF($U164=0,0,IF($U164&lt;1,1/$U164,IF((FW$56-Voorblad!$F$41)/$U164-SUM($EE164:FV164)=1,1,0))))</f>
        <v>0</v>
      </c>
      <c r="FX164" s="8">
        <f>IF(FX$56-Voorblad!$F$41&gt;Voorblad!$K$41,0,IF($U164=0,0,IF($U164&lt;1,1/$U164,IF((FX$56-Voorblad!$F$41)/$U164-SUM($EE164:FW164)=1,1,0))))</f>
        <v>0</v>
      </c>
      <c r="FY164" s="8">
        <f>IF(FY$56-Voorblad!$F$41&gt;Voorblad!$K$41,0,IF($U164=0,0,IF($U164&lt;1,1/$U164,IF((FY$56-Voorblad!$F$41)/$U164-SUM($EE164:FX164)=1,1,0))))</f>
        <v>1</v>
      </c>
      <c r="FZ164" s="8">
        <f>IF(FZ$56-Voorblad!$F$41&gt;Voorblad!$K$41,0,IF($U164=0,0,IF($U164&lt;1,1/$U164,IF((FZ$56-Voorblad!$F$41)/$U164-SUM($EE164:FY164)=1,1,0))))</f>
        <v>0</v>
      </c>
      <c r="GA164" s="8">
        <f>IF(GA$56-Voorblad!$F$41&gt;Voorblad!$K$41,0,IF($U164=0,0,IF($U164&lt;1,1/$U164,IF((GA$56-Voorblad!$F$41)/$U164-SUM($EE164:FZ164)=1,1,0))))</f>
        <v>0</v>
      </c>
      <c r="GB164" s="8">
        <f>IF(GB$56-Voorblad!$F$41&gt;Voorblad!$K$41,0,IF($U164=0,0,IF($U164&lt;1,1/$U164,IF((GB$56-Voorblad!$F$41)/$U164-SUM($EE164:GA164)=1,1,0))))</f>
        <v>0</v>
      </c>
      <c r="GC164" s="8">
        <f>IF(GC$56-Voorblad!$F$41&gt;Voorblad!$K$41,0,IF($U164=0,0,IF($U164&lt;1,1/$U164,IF((GC$56-Voorblad!$F$41)/$U164-SUM($EE164:GB164)=1,1,0))))</f>
        <v>0</v>
      </c>
      <c r="GD164" s="8">
        <f>IF(GD$56-Voorblad!$F$41&gt;Voorblad!$K$41,0,IF($U164=0,0,IF($U164&lt;1,1/$U164,IF((GD$56-Voorblad!$F$41)/$U164-SUM($EE164:GC164)=1,1,0))))</f>
        <v>0</v>
      </c>
      <c r="GE164" s="8">
        <f>IF(GE$56-Voorblad!$F$41&gt;Voorblad!$K$41,0,IF($U164=0,0,IF($U164&lt;1,1/$U164,IF((GE$56-Voorblad!$F$41)/$U164-SUM($EE164:GD164)=1,1,0))))</f>
        <v>0</v>
      </c>
      <c r="GF164" s="8">
        <f>IF(GF$56-Voorblad!$F$41&gt;Voorblad!$K$41,0,IF($U164=0,0,IF($U164&lt;1,1/$U164,IF((GF$56-Voorblad!$F$41)/$U164-SUM($EE164:GE164)=1,1,0))))</f>
        <v>0</v>
      </c>
      <c r="GG164" s="8">
        <f>IF(GG$56-Voorblad!$F$41&gt;Voorblad!$K$41,0,IF($U164=0,0,IF($U164&lt;1,1/$U164,IF((GG$56-Voorblad!$F$41)/$U164-SUM($EE164:GF164)=1,1,0))))</f>
        <v>0</v>
      </c>
      <c r="GH164" s="8">
        <f>IF(GH$56-Voorblad!$F$41&gt;Voorblad!$K$41,0,IF($U164=0,0,IF($U164&lt;1,1/$U164,IF((GH$56-Voorblad!$F$41)/$U164-SUM($EE164:GG164)=1,1,0))))</f>
        <v>0</v>
      </c>
      <c r="GI164" s="8">
        <f>IF(GI$56-Voorblad!$F$41&gt;Voorblad!$K$41,0,IF($U164=0,0,IF($U164&lt;1,1/$U164,IF((GI$56-Voorblad!$F$41)/$U164-SUM($EE164:GH164)=1,1,0))))</f>
        <v>0</v>
      </c>
      <c r="GJ164" s="8">
        <f>IF(GJ$56-Voorblad!$F$41&gt;Voorblad!$K$41,0,IF($U164=0,0,IF($U164&lt;1,1/$U164,IF((GJ$56-Voorblad!$F$41)/$U164-SUM($EE164:GI164)=1,1,0))))</f>
        <v>0</v>
      </c>
      <c r="GK164" s="8">
        <f>IF(GK$56-Voorblad!$F$41&gt;Voorblad!$K$41,0,IF($U164=0,0,IF($U164&lt;1,1/$U164,IF((GK$56-Voorblad!$F$41)/$U164-SUM($EE164:GJ164)=1,1,0))))</f>
        <v>0</v>
      </c>
      <c r="GL164" s="8">
        <f>IF(GL$56-Voorblad!$F$41&gt;Voorblad!$K$41,0,IF($U164=0,0,IF($U164&lt;1,1/$U164,IF((GL$56-Voorblad!$F$41)/$U164-SUM($EE164:GK164)=1,1,0))))</f>
        <v>0</v>
      </c>
      <c r="GM164" s="8">
        <f>IF(GM$56-Voorblad!$F$41&gt;Voorblad!$K$41,0,IF($U164=0,0,IF($U164&lt;1,1/$U164,IF((GM$56-Voorblad!$F$41)/$U164-SUM($EE164:GL164)=1,1,0))))</f>
        <v>0</v>
      </c>
      <c r="GN164" s="8">
        <f>IF(GN$56-Voorblad!$F$41&gt;Voorblad!$K$41,0,IF($U164=0,0,IF($U164&lt;1,1/$U164,IF((GN$56-Voorblad!$F$41)/$U164-SUM($EE164:GM164)=1,1,0))))</f>
        <v>1</v>
      </c>
      <c r="GO164" s="8">
        <f>IF(GO$56-Voorblad!$F$41&gt;Voorblad!$K$41,0,IF($U164=0,0,IF($U164&lt;1,1/$U164,IF((GO$56-Voorblad!$F$41)/$U164-SUM($EE164:GN164)=1,1,0))))</f>
        <v>0</v>
      </c>
      <c r="GP164" s="8">
        <f>IF(GP$56-Voorblad!$F$41&gt;Voorblad!$K$41,0,IF($U164=0,0,IF($U164&lt;1,1/$U164,IF((GP$56-Voorblad!$F$41)/$U164-SUM($EE164:GO164)=1,1,0))))</f>
        <v>0</v>
      </c>
      <c r="GQ164" s="8">
        <f>IF(GQ$56-Voorblad!$F$41&gt;Voorblad!$K$41,0,IF($U164=0,0,IF($U164&lt;1,1/$U164,IF((GQ$56-Voorblad!$F$41)/$U164-SUM($EE164:GP164)=1,1,0))))</f>
        <v>0</v>
      </c>
      <c r="GR164" s="8">
        <f>IF(GR$56-Voorblad!$F$41&gt;Voorblad!$K$41,0,IF($U164=0,0,IF($U164&lt;1,1/$U164,IF((GR$56-Voorblad!$F$41)/$U164-SUM($EE164:GQ164)=1,1,0))))</f>
        <v>0</v>
      </c>
      <c r="GS164" s="8">
        <f>IF(GS$56-Voorblad!$F$41&gt;Voorblad!$K$41,0,IF($U164=0,0,IF($U164&lt;1,1/$U164,IF((GS$56-Voorblad!$F$41)/$U164-SUM($EE164:GR164)=1,1,0))))</f>
        <v>0</v>
      </c>
      <c r="GT164" s="8">
        <f>IF(GT$56-Voorblad!$F$41&gt;Voorblad!$K$41,0,IF($U164=0,0,IF($U164&lt;1,1/$U164,IF((GT$56-Voorblad!$F$41)/$U164-SUM($EE164:GS164)=1,1,0))))</f>
        <v>0</v>
      </c>
      <c r="GU164" s="8">
        <f>IF(GU$56-Voorblad!$F$41&gt;Voorblad!$K$41,0,IF($U164=0,0,IF($U164&lt;1,1/$U164,IF((GU$56-Voorblad!$F$41)/$U164-SUM($EE164:GT164)=1,1,0))))</f>
        <v>0</v>
      </c>
      <c r="GV164" s="8">
        <f>IF(GV$56-Voorblad!$F$41&gt;Voorblad!$K$41,0,IF($U164=0,0,IF($U164&lt;1,1/$U164,IF((GV$56-Voorblad!$F$41)/$U164-SUM($EE164:GU164)=1,1,0))))</f>
        <v>0</v>
      </c>
      <c r="GW164" s="8">
        <f>IF(GW$56-Voorblad!$F$41&gt;Voorblad!$K$41,0,IF($U164=0,0,IF($U164&lt;1,1/$U164,IF((GW$56-Voorblad!$F$41)/$U164-SUM($EE164:GV164)=1,1,0))))</f>
        <v>0</v>
      </c>
      <c r="GX164" s="8">
        <f>IF(GX$56-Voorblad!$F$41&gt;Voorblad!$K$41,0,IF($U164=0,0,IF($U164&lt;1,1/$U164,IF((GX$56-Voorblad!$F$41)/$U164-SUM($EE164:GW164)=1,1,0))))</f>
        <v>0</v>
      </c>
      <c r="GY164" s="8">
        <f>IF(GY$56-Voorblad!$F$41&gt;Voorblad!$K$41,0,IF($U164=0,0,IF($U164&lt;1,1/$U164,IF((GY$56-Voorblad!$F$41)/$U164-SUM($EE164:GX164)=1,1,0))))</f>
        <v>0</v>
      </c>
      <c r="GZ164" s="8">
        <f>IF(GZ$56-Voorblad!$F$41&gt;Voorblad!$K$41,0,IF($U164=0,0,IF($U164&lt;1,1/$U164,IF((GZ$56-Voorblad!$F$41)/$U164-SUM($EE164:GY164)=1,1,0))))</f>
        <v>0</v>
      </c>
      <c r="HA164" s="8">
        <f>IF(HA$56-Voorblad!$F$41&gt;Voorblad!$K$41,0,IF($U164=0,0,IF($U164&lt;1,1/$U164,IF((HA$56-Voorblad!$F$41)/$U164-SUM($EE164:GZ164)=1,1,0))))</f>
        <v>0</v>
      </c>
      <c r="HB164" s="8">
        <f>IF(HB$56-Voorblad!$F$41&gt;Voorblad!$K$41,0,IF($U164=0,0,IF($U164&lt;1,1/$U164,IF((HB$56-Voorblad!$F$41)/$U164-SUM($EE164:HA164)=1,1,0))))</f>
        <v>0</v>
      </c>
      <c r="HC164" s="8">
        <f>IF(HC$56-Voorblad!$F$41&gt;Voorblad!$K$41,0,IF($U164=0,0,IF($U164&lt;1,1/$U164,IF((HC$56-Voorblad!$F$41)/$U164-SUM($EE164:HB164)=1,1,0))))</f>
        <v>0</v>
      </c>
      <c r="HD164" s="8">
        <f>IF(HD$56-Voorblad!$F$41&gt;Voorblad!$K$41,0,IF($U164=0,0,IF($U164&lt;1,1/$U164,IF((HD$56-Voorblad!$F$41)/$U164-SUM($EE164:HC164)=1,1,0))))</f>
        <v>0</v>
      </c>
      <c r="HE164" s="8">
        <f>IF(HE$56-Voorblad!$F$41&gt;Voorblad!$K$41,0,IF($U164=0,0,IF($U164&lt;1,1/$U164,IF((HE$56-Voorblad!$F$41)/$U164-SUM($EE164:HD164)=1,1,0))))</f>
        <v>0</v>
      </c>
      <c r="HF164" s="8">
        <f>IF(HF$56-Voorblad!$F$41&gt;Voorblad!$K$41,0,IF($U164=0,0,IF($U164&lt;1,1/$U164,IF((HF$56-Voorblad!$F$41)/$U164-SUM($EE164:HE164)=1,1,0))))</f>
        <v>0</v>
      </c>
      <c r="HG164" s="8">
        <f>IF(HG$56-Voorblad!$F$41&gt;Voorblad!$K$41,0,IF($U164=0,0,IF($U164&lt;1,1/$U164,IF((HG$56-Voorblad!$F$41)/$U164-SUM($EE164:HF164)=1,1,0))))</f>
        <v>0</v>
      </c>
      <c r="HH164" s="8">
        <f>IF(HH$56-Voorblad!$F$41&gt;Voorblad!$K$41,0,IF($U164=0,0,IF($U164&lt;1,1/$U164,IF((HH$56-Voorblad!$F$41)/$U164-SUM($EE164:HG164)=1,1,0))))</f>
        <v>0</v>
      </c>
      <c r="HI164" s="8">
        <f>IF(HI$56-Voorblad!$F$41&gt;Voorblad!$K$41,0,IF($U164=0,0,IF($U164&lt;1,1/$U164,IF((HI$56-Voorblad!$F$41)/$U164-SUM($EE164:HH164)=1,1,0))))</f>
        <v>0</v>
      </c>
      <c r="HJ164" s="8">
        <f>IF(HJ$56-Voorblad!$F$41&gt;Voorblad!$K$41,0,IF($U164=0,0,IF($U164&lt;1,1/$U164,IF((HJ$56-Voorblad!$F$41)/$U164-SUM($EE164:HI164)=1,1,0))))</f>
        <v>0</v>
      </c>
      <c r="HK164" s="8">
        <f>IF(HK$56-Voorblad!$F$41&gt;Voorblad!$K$41,0,IF($U164=0,0,IF($U164&lt;1,1/$U164,IF((HK$56-Voorblad!$F$41)/$U164-SUM($EE164:HJ164)=1,1,0))))</f>
        <v>0</v>
      </c>
      <c r="HL164" s="8">
        <f>IF(HL$56-Voorblad!$F$41&gt;Voorblad!$K$41,0,IF($U164=0,0,IF($U164&lt;1,1/$U164,IF((HL$56-Voorblad!$F$41)/$U164-SUM($EE164:HK164)=1,1,0))))</f>
        <v>0</v>
      </c>
      <c r="HM164" s="8">
        <f>IF(HM$56-Voorblad!$F$41&gt;Voorblad!$K$41,0,IF($U164=0,0,IF($U164&lt;1,1/$U164,IF((HM$56-Voorblad!$F$41)/$U164-SUM($EE164:HL164)=1,1,0))))</f>
        <v>0</v>
      </c>
      <c r="HN164" s="8">
        <f>IF(HN$56-Voorblad!$F$41&gt;Voorblad!$K$41,0,IF($U164=0,0,IF($U164&lt;1,1/$U164,IF((HN$56-Voorblad!$F$41)/$U164-SUM($EE164:HM164)=1,1,0))))</f>
        <v>0</v>
      </c>
      <c r="HO164" s="8">
        <f>IF(HO$56-Voorblad!$F$41&gt;Voorblad!$K$41,0,IF($U164=0,0,IF($U164&lt;1,1/$U164,IF((HO$56-Voorblad!$F$41)/$U164-SUM($EE164:HN164)=1,1,0))))</f>
        <v>0</v>
      </c>
      <c r="HP164" s="8">
        <f>IF(HP$56-Voorblad!$F$41&gt;Voorblad!$K$41,0,IF($U164=0,0,IF($U164&lt;1,1/$U164,IF((HP$56-Voorblad!$F$41)/$U164-SUM($EE164:HO164)=1,1,0))))</f>
        <v>0</v>
      </c>
      <c r="HQ164" s="8">
        <f>IF(HQ$56-Voorblad!$F$41&gt;Voorblad!$K$41,0,IF($U164=0,0,IF($U164&lt;1,1/$U164,IF((HQ$56-Voorblad!$F$41)/$U164-SUM($EE164:HP164)=1,1,0))))</f>
        <v>0</v>
      </c>
      <c r="HR164" s="8">
        <f>IF(HR$56-Voorblad!$F$41&gt;Voorblad!$K$41,0,IF($U164=0,0,IF($U164&lt;1,1/$U164,IF((HR$56-Voorblad!$F$41)/$U164-SUM($EE164:HQ164)=1,1,0))))</f>
        <v>0</v>
      </c>
      <c r="HS164" s="8">
        <f>IF(HS$56-Voorblad!$F$41&gt;Voorblad!$K$41,0,IF($U164=0,0,IF($U164&lt;1,1/$U164,IF((HS$56-Voorblad!$F$41)/$U164-SUM($EE164:HR164)=1,1,0))))</f>
        <v>0</v>
      </c>
      <c r="HT164" s="8">
        <f>IF(HT$56-Voorblad!$F$41&gt;Voorblad!$K$41,0,IF($U164=0,0,IF($U164&lt;1,1/$U164,IF((HT$56-Voorblad!$F$41)/$U164-SUM($EE164:HS164)=1,1,0))))</f>
        <v>0</v>
      </c>
      <c r="HU164" s="8">
        <f>IF(HU$56-Voorblad!$F$41&gt;Voorblad!$K$41,0,IF($U164=0,0,IF($U164&lt;1,1/$U164,IF((HU$56-Voorblad!$F$41)/$U164-SUM($EE164:HT164)=1,1,0))))</f>
        <v>0</v>
      </c>
      <c r="HV164" s="8">
        <f>IF(HV$56-Voorblad!$F$41&gt;Voorblad!$K$41,0,IF($U164=0,0,IF($U164&lt;1,1/$U164,IF((HV$56-Voorblad!$F$41)/$U164-SUM($EE164:HU164)=1,1,0))))</f>
        <v>0</v>
      </c>
      <c r="HW164" s="8">
        <f>IF(HW$56-Voorblad!$F$41&gt;Voorblad!$K$41,0,IF($U164=0,0,IF($U164&lt;1,1/$U164,IF((HW$56-Voorblad!$F$41)/$U164-SUM($EE164:HV164)=1,1,0))))</f>
        <v>0</v>
      </c>
      <c r="HX164" s="8">
        <f>IF(HX$56-Voorblad!$F$41&gt;Voorblad!$K$41,0,IF($U164=0,0,IF($U164&lt;1,1/$U164,IF((HX$56-Voorblad!$F$41)/$U164-SUM($EE164:HW164)=1,1,0))))</f>
        <v>0</v>
      </c>
      <c r="HY164" s="8">
        <f>IF(HY$56-Voorblad!$F$41&gt;Voorblad!$K$41,0,IF($U164=0,0,IF($U164&lt;1,1/$U164,IF((HY$56-Voorblad!$F$41)/$U164-SUM($EE164:HX164)=1,1,0))))</f>
        <v>0</v>
      </c>
      <c r="HZ164" s="8">
        <f>IF(HZ$56-Voorblad!$F$41&gt;Voorblad!$K$41,0,IF($U164=0,0,IF($U164&lt;1,1/$U164,IF((HZ$56-Voorblad!$F$41)/$U164-SUM($EE164:HY164)=1,1,0))))</f>
        <v>0</v>
      </c>
      <c r="IA164" s="8">
        <f>IF(IA$56-Voorblad!$F$41&gt;Voorblad!$K$41,0,IF($U164=0,0,IF($U164&lt;1,1/$U164,IF((IA$56-Voorblad!$F$41)/$U164-SUM($EE164:HZ164)=1,1,0))))</f>
        <v>0</v>
      </c>
      <c r="IB164" s="8">
        <f>IF(IB$56-Voorblad!$F$41&gt;Voorblad!$K$41,0,IF($U164=0,0,IF($U164&lt;1,1/$U164,IF((IB$56-Voorblad!$F$41)/$U164-SUM($EE164:IA164)=1,1,0))))</f>
        <v>0</v>
      </c>
    </row>
    <row r="165" spans="2:236" ht="12" hidden="1" customHeight="1" outlineLevel="1" x14ac:dyDescent="0.25">
      <c r="B165" s="1">
        <v>3</v>
      </c>
      <c r="F165" s="1" t="s">
        <v>23</v>
      </c>
      <c r="I165" s="14" t="s">
        <v>277</v>
      </c>
      <c r="K165" s="14" t="s">
        <v>198</v>
      </c>
      <c r="L165" s="14"/>
      <c r="M165" s="14"/>
      <c r="O165" s="1" t="s">
        <v>172</v>
      </c>
      <c r="P165" s="1" t="s">
        <v>175</v>
      </c>
      <c r="Q165" s="83">
        <v>0</v>
      </c>
      <c r="R165" s="1" t="s">
        <v>34</v>
      </c>
      <c r="S165" s="14">
        <f>$H$20*500</f>
        <v>885</v>
      </c>
      <c r="T165" s="9">
        <f t="shared" si="189"/>
        <v>0</v>
      </c>
      <c r="U165" s="14">
        <v>15</v>
      </c>
      <c r="V165" s="14"/>
      <c r="Y165" s="9">
        <f t="shared" si="192"/>
        <v>0</v>
      </c>
      <c r="Z165" s="82"/>
      <c r="AA165" s="82"/>
      <c r="AC165" s="9">
        <f>$Y165*(Voorblad!$K$44*(1+Voorblad!$K$44)^Voorblad!$K$41)/((1+Voorblad!$K$44)^Voorblad!$K$41-1)</f>
        <v>0</v>
      </c>
      <c r="AE165" s="9">
        <f>EF165*($Q165*$S165)/(1+Voorblad!$K$44)^(AE$56-Voorblad!$F$41)</f>
        <v>0</v>
      </c>
      <c r="AF165" s="9">
        <f>EG165*($Q165*$S165)/(1+Voorblad!$K$44)^(AF$56-Voorblad!$F$41)</f>
        <v>0</v>
      </c>
      <c r="AG165" s="9">
        <f>EH165*($Q165*$S165)/(1+Voorblad!$K$44)^(AG$56-Voorblad!$F$41)</f>
        <v>0</v>
      </c>
      <c r="AH165" s="9">
        <f>EI165*($Q165*$S165)/(1+Voorblad!$K$44)^(AH$56-Voorblad!$F$41)</f>
        <v>0</v>
      </c>
      <c r="AI165" s="9">
        <f>EJ165*($Q165*$S165)/(1+Voorblad!$K$44)^(AI$56-Voorblad!$F$41)</f>
        <v>0</v>
      </c>
      <c r="AJ165" s="9">
        <f>EK165*($Q165*$S165)/(1+Voorblad!$K$44)^(AJ$56-Voorblad!$F$41)</f>
        <v>0</v>
      </c>
      <c r="AK165" s="9">
        <f>EL165*($Q165*$S165)/(1+Voorblad!$K$44)^(AK$56-Voorblad!$F$41)</f>
        <v>0</v>
      </c>
      <c r="AL165" s="9">
        <f>EM165*($Q165*$S165)/(1+Voorblad!$K$44)^(AL$56-Voorblad!$F$41)</f>
        <v>0</v>
      </c>
      <c r="AM165" s="9">
        <f>EN165*($Q165*$S165)/(1+Voorblad!$K$44)^(AM$56-Voorblad!$F$41)</f>
        <v>0</v>
      </c>
      <c r="AN165" s="9">
        <f>EO165*($Q165*$S165)/(1+Voorblad!$K$44)^(AN$56-Voorblad!$F$41)</f>
        <v>0</v>
      </c>
      <c r="AO165" s="9">
        <f>EP165*($Q165*$S165)/(1+Voorblad!$K$44)^(AO$56-Voorblad!$F$41)</f>
        <v>0</v>
      </c>
      <c r="AP165" s="9">
        <f>EQ165*($Q165*$S165)/(1+Voorblad!$K$44)^(AP$56-Voorblad!$F$41)</f>
        <v>0</v>
      </c>
      <c r="AQ165" s="9">
        <f>ER165*($Q165*$S165)/(1+Voorblad!$K$44)^(AQ$56-Voorblad!$F$41)</f>
        <v>0</v>
      </c>
      <c r="AR165" s="9">
        <f>ES165*($Q165*$S165)/(1+Voorblad!$K$44)^(AR$56-Voorblad!$F$41)</f>
        <v>0</v>
      </c>
      <c r="AS165" s="9">
        <f>ET165*($Q165*$S165)/(1+Voorblad!$K$44)^(AS$56-Voorblad!$F$41)</f>
        <v>0</v>
      </c>
      <c r="AT165" s="9">
        <f>EU165*($Q165*$S165)/(1+Voorblad!$K$44)^(AT$56-Voorblad!$F$41)</f>
        <v>0</v>
      </c>
      <c r="AU165" s="9">
        <f>EV165*($Q165*$S165)/(1+Voorblad!$K$44)^(AU$56-Voorblad!$F$41)</f>
        <v>0</v>
      </c>
      <c r="AV165" s="9">
        <f>EW165*($Q165*$S165)/(1+Voorblad!$K$44)^(AV$56-Voorblad!$F$41)</f>
        <v>0</v>
      </c>
      <c r="AW165" s="9">
        <f>EX165*($Q165*$S165)/(1+Voorblad!$K$44)^(AW$56-Voorblad!$F$41)</f>
        <v>0</v>
      </c>
      <c r="AX165" s="9">
        <f>EY165*($Q165*$S165)/(1+Voorblad!$K$44)^(AX$56-Voorblad!$F$41)</f>
        <v>0</v>
      </c>
      <c r="AY165" s="9">
        <f>EZ165*($Q165*$S165)/(1+Voorblad!$K$44)^(AY$56-Voorblad!$F$41)</f>
        <v>0</v>
      </c>
      <c r="AZ165" s="9">
        <f>FA165*($Q165*$S165)/(1+Voorblad!$K$44)^(AZ$56-Voorblad!$F$41)</f>
        <v>0</v>
      </c>
      <c r="BA165" s="9">
        <f>FB165*($Q165*$S165)/(1+Voorblad!$K$44)^(BA$56-Voorblad!$F$41)</f>
        <v>0</v>
      </c>
      <c r="BB165" s="9">
        <f>FC165*($Q165*$S165)/(1+Voorblad!$K$44)^(BB$56-Voorblad!$F$41)</f>
        <v>0</v>
      </c>
      <c r="BC165" s="9">
        <f>FD165*($Q165*$S165)/(1+Voorblad!$K$44)^(BC$56-Voorblad!$F$41)</f>
        <v>0</v>
      </c>
      <c r="BD165" s="9">
        <f>FE165*($Q165*$S165)/(1+Voorblad!$K$44)^(BD$56-Voorblad!$F$41)</f>
        <v>0</v>
      </c>
      <c r="BE165" s="9">
        <f>FF165*($Q165*$S165)/(1+Voorblad!$K$44)^(BE$56-Voorblad!$F$41)</f>
        <v>0</v>
      </c>
      <c r="BF165" s="9">
        <f>FG165*($Q165*$S165)/(1+Voorblad!$K$44)^(BF$56-Voorblad!$F$41)</f>
        <v>0</v>
      </c>
      <c r="BG165" s="9">
        <f>FH165*($Q165*$S165)/(1+Voorblad!$K$44)^(BG$56-Voorblad!$F$41)</f>
        <v>0</v>
      </c>
      <c r="BH165" s="9">
        <f>FI165*($Q165*$S165)/(1+Voorblad!$K$44)^(BH$56-Voorblad!$F$41)</f>
        <v>0</v>
      </c>
      <c r="BI165" s="9">
        <f>FJ165*($Q165*$S165)/(1+Voorblad!$K$44)^(BI$56-Voorblad!$F$41)</f>
        <v>0</v>
      </c>
      <c r="BJ165" s="9">
        <f>FK165*($Q165*$S165)/(1+Voorblad!$K$44)^(BJ$56-Voorblad!$F$41)</f>
        <v>0</v>
      </c>
      <c r="BK165" s="9">
        <f>FL165*($Q165*$S165)/(1+Voorblad!$K$44)^(BK$56-Voorblad!$F$41)</f>
        <v>0</v>
      </c>
      <c r="BL165" s="9">
        <f>FM165*($Q165*$S165)/(1+Voorblad!$K$44)^(BL$56-Voorblad!$F$41)</f>
        <v>0</v>
      </c>
      <c r="BM165" s="9">
        <f>FN165*($Q165*$S165)/(1+Voorblad!$K$44)^(BM$56-Voorblad!$F$41)</f>
        <v>0</v>
      </c>
      <c r="BN165" s="9">
        <f>FO165*($Q165*$S165)/(1+Voorblad!$K$44)^(BN$56-Voorblad!$F$41)</f>
        <v>0</v>
      </c>
      <c r="BO165" s="9">
        <f>FP165*($Q165*$S165)/(1+Voorblad!$K$44)^(BO$56-Voorblad!$F$41)</f>
        <v>0</v>
      </c>
      <c r="BP165" s="9">
        <f>FQ165*($Q165*$S165)/(1+Voorblad!$K$44)^(BP$56-Voorblad!$F$41)</f>
        <v>0</v>
      </c>
      <c r="BQ165" s="9">
        <f>FR165*($Q165*$S165)/(1+Voorblad!$K$44)^(BQ$56-Voorblad!$F$41)</f>
        <v>0</v>
      </c>
      <c r="BR165" s="9">
        <f>FS165*($Q165*$S165)/(1+Voorblad!$K$44)^(BR$56-Voorblad!$F$41)</f>
        <v>0</v>
      </c>
      <c r="BS165" s="9">
        <f>FT165*($Q165*$S165)/(1+Voorblad!$K$44)^(BS$56-Voorblad!$F$41)</f>
        <v>0</v>
      </c>
      <c r="BT165" s="9">
        <f>FU165*($Q165*$S165)/(1+Voorblad!$K$44)^(BT$56-Voorblad!$F$41)</f>
        <v>0</v>
      </c>
      <c r="BU165" s="9">
        <f>FV165*($Q165*$S165)/(1+Voorblad!$K$44)^(BU$56-Voorblad!$F$41)</f>
        <v>0</v>
      </c>
      <c r="BV165" s="9">
        <f>FW165*($Q165*$S165)/(1+Voorblad!$K$44)^(BV$56-Voorblad!$F$41)</f>
        <v>0</v>
      </c>
      <c r="BW165" s="9">
        <f>FX165*($Q165*$S165)/(1+Voorblad!$K$44)^(BW$56-Voorblad!$F$41)</f>
        <v>0</v>
      </c>
      <c r="BX165" s="9">
        <f>FY165*($Q165*$S165)/(1+Voorblad!$K$44)^(BX$56-Voorblad!$F$41)</f>
        <v>0</v>
      </c>
      <c r="BY165" s="9">
        <f>FZ165*($Q165*$S165)/(1+Voorblad!$K$44)^(BY$56-Voorblad!$F$41)</f>
        <v>0</v>
      </c>
      <c r="BZ165" s="9">
        <f>GA165*($Q165*$S165)/(1+Voorblad!$K$44)^(BZ$56-Voorblad!$F$41)</f>
        <v>0</v>
      </c>
      <c r="CA165" s="9">
        <f>GB165*($Q165*$S165)/(1+Voorblad!$K$44)^(CA$56-Voorblad!$F$41)</f>
        <v>0</v>
      </c>
      <c r="CB165" s="9">
        <f>GC165*($Q165*$S165)/(1+Voorblad!$K$44)^(CB$56-Voorblad!$F$41)</f>
        <v>0</v>
      </c>
      <c r="CC165" s="9">
        <f>GD165*($Q165*$S165)/(1+Voorblad!$K$44)^(CC$56-Voorblad!$F$41)</f>
        <v>0</v>
      </c>
      <c r="CD165" s="9">
        <f>GE165*($Q165*$S165)/(1+Voorblad!$K$44)^(CD$56-Voorblad!$F$41)</f>
        <v>0</v>
      </c>
      <c r="CE165" s="9">
        <f>GF165*($Q165*$S165)/(1+Voorblad!$K$44)^(CE$56-Voorblad!$F$41)</f>
        <v>0</v>
      </c>
      <c r="CF165" s="9">
        <f>GG165*($Q165*$S165)/(1+Voorblad!$K$44)^(CF$56-Voorblad!$F$41)</f>
        <v>0</v>
      </c>
      <c r="CG165" s="9">
        <f>GH165*($Q165*$S165)/(1+Voorblad!$K$44)^(CG$56-Voorblad!$F$41)</f>
        <v>0</v>
      </c>
      <c r="CH165" s="9">
        <f>GI165*($Q165*$S165)/(1+Voorblad!$K$44)^(CH$56-Voorblad!$F$41)</f>
        <v>0</v>
      </c>
      <c r="CI165" s="9">
        <f>GJ165*($Q165*$S165)/(1+Voorblad!$K$44)^(CI$56-Voorblad!$F$41)</f>
        <v>0</v>
      </c>
      <c r="CJ165" s="9">
        <f>GK165*($Q165*$S165)/(1+Voorblad!$K$44)^(CJ$56-Voorblad!$F$41)</f>
        <v>0</v>
      </c>
      <c r="CK165" s="9">
        <f>GL165*($Q165*$S165)/(1+Voorblad!$K$44)^(CK$56-Voorblad!$F$41)</f>
        <v>0</v>
      </c>
      <c r="CL165" s="9">
        <f>GM165*($Q165*$S165)/(1+Voorblad!$K$44)^(CL$56-Voorblad!$F$41)</f>
        <v>0</v>
      </c>
      <c r="CM165" s="9">
        <f>GN165*($Q165*$S165)/(1+Voorblad!$K$44)^(CM$56-Voorblad!$F$41)</f>
        <v>0</v>
      </c>
      <c r="CN165" s="9">
        <f>GO165*($Q165*$S165)/(1+Voorblad!$K$44)^(CN$56-Voorblad!$F$41)</f>
        <v>0</v>
      </c>
      <c r="CO165" s="9">
        <f>GP165*($Q165*$S165)/(1+Voorblad!$K$44)^(CO$56-Voorblad!$F$41)</f>
        <v>0</v>
      </c>
      <c r="CP165" s="9">
        <f>GQ165*($Q165*$S165)/(1+Voorblad!$K$44)^(CP$56-Voorblad!$F$41)</f>
        <v>0</v>
      </c>
      <c r="CQ165" s="9">
        <f>GR165*($Q165*$S165)/(1+Voorblad!$K$44)^(CQ$56-Voorblad!$F$41)</f>
        <v>0</v>
      </c>
      <c r="CR165" s="9">
        <f>GS165*($Q165*$S165)/(1+Voorblad!$K$44)^(CR$56-Voorblad!$F$41)</f>
        <v>0</v>
      </c>
      <c r="CS165" s="9">
        <f>GT165*($Q165*$S165)/(1+Voorblad!$K$44)^(CS$56-Voorblad!$F$41)</f>
        <v>0</v>
      </c>
      <c r="CT165" s="9">
        <f>GU165*($Q165*$S165)/(1+Voorblad!$K$44)^(CT$56-Voorblad!$F$41)</f>
        <v>0</v>
      </c>
      <c r="CU165" s="9">
        <f>GV165*($Q165*$S165)/(1+Voorblad!$K$44)^(CU$56-Voorblad!$F$41)</f>
        <v>0</v>
      </c>
      <c r="CV165" s="9">
        <f>GW165*($Q165*$S165)/(1+Voorblad!$K$44)^(CV$56-Voorblad!$F$41)</f>
        <v>0</v>
      </c>
      <c r="CW165" s="9">
        <f>GX165*($Q165*$S165)/(1+Voorblad!$K$44)^(CW$56-Voorblad!$F$41)</f>
        <v>0</v>
      </c>
      <c r="CX165" s="9">
        <f>GY165*($Q165*$S165)/(1+Voorblad!$K$44)^(CX$56-Voorblad!$F$41)</f>
        <v>0</v>
      </c>
      <c r="CY165" s="9">
        <f>GZ165*($Q165*$S165)/(1+Voorblad!$K$44)^(CY$56-Voorblad!$F$41)</f>
        <v>0</v>
      </c>
      <c r="CZ165" s="9">
        <f>HA165*($Q165*$S165)/(1+Voorblad!$K$44)^(CZ$56-Voorblad!$F$41)</f>
        <v>0</v>
      </c>
      <c r="DA165" s="9">
        <f>HB165*($Q165*$S165)/(1+Voorblad!$K$44)^(DA$56-Voorblad!$F$41)</f>
        <v>0</v>
      </c>
      <c r="DB165" s="9">
        <f>HC165*($Q165*$S165)/(1+Voorblad!$K$44)^(DB$56-Voorblad!$F$41)</f>
        <v>0</v>
      </c>
      <c r="DC165" s="9">
        <f>HD165*($Q165*$S165)/(1+Voorblad!$K$44)^(DC$56-Voorblad!$F$41)</f>
        <v>0</v>
      </c>
      <c r="DD165" s="9">
        <f>HE165*($Q165*$S165)/(1+Voorblad!$K$44)^(DD$56-Voorblad!$F$41)</f>
        <v>0</v>
      </c>
      <c r="DE165" s="9">
        <f>HF165*($Q165*$S165)/(1+Voorblad!$K$44)^(DE$56-Voorblad!$F$41)</f>
        <v>0</v>
      </c>
      <c r="DF165" s="9">
        <f>HG165*($Q165*$S165)/(1+Voorblad!$K$44)^(DF$56-Voorblad!$F$41)</f>
        <v>0</v>
      </c>
      <c r="DG165" s="9">
        <f>HH165*($Q165*$S165)/(1+Voorblad!$K$44)^(DG$56-Voorblad!$F$41)</f>
        <v>0</v>
      </c>
      <c r="DH165" s="9">
        <f>HI165*($Q165*$S165)/(1+Voorblad!$K$44)^(DH$56-Voorblad!$F$41)</f>
        <v>0</v>
      </c>
      <c r="DI165" s="9">
        <f>HJ165*($Q165*$S165)/(1+Voorblad!$K$44)^(DI$56-Voorblad!$F$41)</f>
        <v>0</v>
      </c>
      <c r="DJ165" s="9">
        <f>HK165*($Q165*$S165)/(1+Voorblad!$K$44)^(DJ$56-Voorblad!$F$41)</f>
        <v>0</v>
      </c>
      <c r="DK165" s="9">
        <f>HL165*($Q165*$S165)/(1+Voorblad!$K$44)^(DK$56-Voorblad!$F$41)</f>
        <v>0</v>
      </c>
      <c r="DL165" s="9">
        <f>HM165*($Q165*$S165)/(1+Voorblad!$K$44)^(DL$56-Voorblad!$F$41)</f>
        <v>0</v>
      </c>
      <c r="DM165" s="9">
        <f>HN165*($Q165*$S165)/(1+Voorblad!$K$44)^(DM$56-Voorblad!$F$41)</f>
        <v>0</v>
      </c>
      <c r="DN165" s="9">
        <f>HO165*($Q165*$S165)/(1+Voorblad!$K$44)^(DN$56-Voorblad!$F$41)</f>
        <v>0</v>
      </c>
      <c r="DO165" s="9">
        <f>HP165*($Q165*$S165)/(1+Voorblad!$K$44)^(DO$56-Voorblad!$F$41)</f>
        <v>0</v>
      </c>
      <c r="DP165" s="9">
        <f>HQ165*($Q165*$S165)/(1+Voorblad!$K$44)^(DP$56-Voorblad!$F$41)</f>
        <v>0</v>
      </c>
      <c r="DQ165" s="9">
        <f>HR165*($Q165*$S165)/(1+Voorblad!$K$44)^(DQ$56-Voorblad!$F$41)</f>
        <v>0</v>
      </c>
      <c r="DR165" s="9">
        <f>HS165*($Q165*$S165)/(1+Voorblad!$K$44)^(DR$56-Voorblad!$F$41)</f>
        <v>0</v>
      </c>
      <c r="DS165" s="9">
        <f>HT165*($Q165*$S165)/(1+Voorblad!$K$44)^(DS$56-Voorblad!$F$41)</f>
        <v>0</v>
      </c>
      <c r="DT165" s="9">
        <f>HU165*($Q165*$S165)/(1+Voorblad!$K$44)^(DT$56-Voorblad!$F$41)</f>
        <v>0</v>
      </c>
      <c r="DU165" s="9">
        <f>HV165*($Q165*$S165)/(1+Voorblad!$K$44)^(DU$56-Voorblad!$F$41)</f>
        <v>0</v>
      </c>
      <c r="DV165" s="9">
        <f>HW165*($Q165*$S165)/(1+Voorblad!$K$44)^(DV$56-Voorblad!$F$41)</f>
        <v>0</v>
      </c>
      <c r="DW165" s="9">
        <f>HX165*($Q165*$S165)/(1+Voorblad!$K$44)^(DW$56-Voorblad!$F$41)</f>
        <v>0</v>
      </c>
      <c r="DX165" s="9">
        <f>HY165*($Q165*$S165)/(1+Voorblad!$K$44)^(DX$56-Voorblad!$F$41)</f>
        <v>0</v>
      </c>
      <c r="DY165" s="9">
        <f>HZ165*($Q165*$S165)/(1+Voorblad!$K$44)^(DY$56-Voorblad!$F$41)</f>
        <v>0</v>
      </c>
      <c r="DZ165" s="9">
        <f>IA165*($Q165*$S165)/(1+Voorblad!$K$44)^(DZ$56-Voorblad!$F$41)</f>
        <v>0</v>
      </c>
      <c r="EA165" s="9">
        <f>IB165*($Q165*$S165)/(1+Voorblad!$K$44)^(EA$56-Voorblad!$F$41)</f>
        <v>0</v>
      </c>
      <c r="EB165" s="9">
        <f>IC165*($Q165*$S165)/(1+Voorblad!$K$44)^(EB$56-Voorblad!$F$41)</f>
        <v>0</v>
      </c>
      <c r="EE165" s="8">
        <v>0</v>
      </c>
      <c r="EF165" s="8">
        <f>IF(EF$56-Voorblad!$F$41&gt;Voorblad!$K$41,0,IF($U165=0,0,IF($U165&lt;1,1/$U165,IF((EF$56-Voorblad!$F$41)/$U165-SUM($EE165:EE165)=1,1,0))))</f>
        <v>0</v>
      </c>
      <c r="EG165" s="8">
        <f>IF(EG$56-Voorblad!$F$41&gt;Voorblad!$K$41,0,IF($U165=0,0,IF($U165&lt;1,1/$U165,IF((EG$56-Voorblad!$F$41)/$U165-SUM($EE165:EF165)=1,1,0))))</f>
        <v>0</v>
      </c>
      <c r="EH165" s="8">
        <f>IF(EH$56-Voorblad!$F$41&gt;Voorblad!$K$41,0,IF($U165=0,0,IF($U165&lt;1,1/$U165,IF((EH$56-Voorblad!$F$41)/$U165-SUM($EE165:EG165)=1,1,0))))</f>
        <v>0</v>
      </c>
      <c r="EI165" s="8">
        <f>IF(EI$56-Voorblad!$F$41&gt;Voorblad!$K$41,0,IF($U165=0,0,IF($U165&lt;1,1/$U165,IF((EI$56-Voorblad!$F$41)/$U165-SUM($EE165:EH165)=1,1,0))))</f>
        <v>0</v>
      </c>
      <c r="EJ165" s="8">
        <f>IF(EJ$56-Voorblad!$F$41&gt;Voorblad!$K$41,0,IF($U165=0,0,IF($U165&lt;1,1/$U165,IF((EJ$56-Voorblad!$F$41)/$U165-SUM($EE165:EI165)=1,1,0))))</f>
        <v>0</v>
      </c>
      <c r="EK165" s="8">
        <f>IF(EK$56-Voorblad!$F$41&gt;Voorblad!$K$41,0,IF($U165=0,0,IF($U165&lt;1,1/$U165,IF((EK$56-Voorblad!$F$41)/$U165-SUM($EE165:EJ165)=1,1,0))))</f>
        <v>0</v>
      </c>
      <c r="EL165" s="8">
        <f>IF(EL$56-Voorblad!$F$41&gt;Voorblad!$K$41,0,IF($U165=0,0,IF($U165&lt;1,1/$U165,IF((EL$56-Voorblad!$F$41)/$U165-SUM($EE165:EK165)=1,1,0))))</f>
        <v>0</v>
      </c>
      <c r="EM165" s="8">
        <f>IF(EM$56-Voorblad!$F$41&gt;Voorblad!$K$41,0,IF($U165=0,0,IF($U165&lt;1,1/$U165,IF((EM$56-Voorblad!$F$41)/$U165-SUM($EE165:EL165)=1,1,0))))</f>
        <v>0</v>
      </c>
      <c r="EN165" s="8">
        <f>IF(EN$56-Voorblad!$F$41&gt;Voorblad!$K$41,0,IF($U165=0,0,IF($U165&lt;1,1/$U165,IF((EN$56-Voorblad!$F$41)/$U165-SUM($EE165:EM165)=1,1,0))))</f>
        <v>0</v>
      </c>
      <c r="EO165" s="8">
        <f>IF(EO$56-Voorblad!$F$41&gt;Voorblad!$K$41,0,IF($U165=0,0,IF($U165&lt;1,1/$U165,IF((EO$56-Voorblad!$F$41)/$U165-SUM($EE165:EN165)=1,1,0))))</f>
        <v>0</v>
      </c>
      <c r="EP165" s="8">
        <f>IF(EP$56-Voorblad!$F$41&gt;Voorblad!$K$41,0,IF($U165=0,0,IF($U165&lt;1,1/$U165,IF((EP$56-Voorblad!$F$41)/$U165-SUM($EE165:EO165)=1,1,0))))</f>
        <v>0</v>
      </c>
      <c r="EQ165" s="8">
        <f>IF(EQ$56-Voorblad!$F$41&gt;Voorblad!$K$41,0,IF($U165=0,0,IF($U165&lt;1,1/$U165,IF((EQ$56-Voorblad!$F$41)/$U165-SUM($EE165:EP165)=1,1,0))))</f>
        <v>0</v>
      </c>
      <c r="ER165" s="8">
        <f>IF(ER$56-Voorblad!$F$41&gt;Voorblad!$K$41,0,IF($U165=0,0,IF($U165&lt;1,1/$U165,IF((ER$56-Voorblad!$F$41)/$U165-SUM($EE165:EQ165)=1,1,0))))</f>
        <v>0</v>
      </c>
      <c r="ES165" s="8">
        <f>IF(ES$56-Voorblad!$F$41&gt;Voorblad!$K$41,0,IF($U165=0,0,IF($U165&lt;1,1/$U165,IF((ES$56-Voorblad!$F$41)/$U165-SUM($EE165:ER165)=1,1,0))))</f>
        <v>0</v>
      </c>
      <c r="ET165" s="8">
        <f>IF(ET$56-Voorblad!$F$41&gt;Voorblad!$K$41,0,IF($U165=0,0,IF($U165&lt;1,1/$U165,IF((ET$56-Voorblad!$F$41)/$U165-SUM($EE165:ES165)=1,1,0))))</f>
        <v>0</v>
      </c>
      <c r="EU165" s="8">
        <f>IF(EU$56-Voorblad!$F$41&gt;Voorblad!$K$41,0,IF($U165=0,0,IF($U165&lt;1,1/$U165,IF((EU$56-Voorblad!$F$41)/$U165-SUM($EE165:ET165)=1,1,0))))</f>
        <v>1</v>
      </c>
      <c r="EV165" s="8">
        <f>IF(EV$56-Voorblad!$F$41&gt;Voorblad!$K$41,0,IF($U165=0,0,IF($U165&lt;1,1/$U165,IF((EV$56-Voorblad!$F$41)/$U165-SUM($EE165:EU165)=1,1,0))))</f>
        <v>0</v>
      </c>
      <c r="EW165" s="8">
        <f>IF(EW$56-Voorblad!$F$41&gt;Voorblad!$K$41,0,IF($U165=0,0,IF($U165&lt;1,1/$U165,IF((EW$56-Voorblad!$F$41)/$U165-SUM($EE165:EV165)=1,1,0))))</f>
        <v>0</v>
      </c>
      <c r="EX165" s="8">
        <f>IF(EX$56-Voorblad!$F$41&gt;Voorblad!$K$41,0,IF($U165=0,0,IF($U165&lt;1,1/$U165,IF((EX$56-Voorblad!$F$41)/$U165-SUM($EE165:EW165)=1,1,0))))</f>
        <v>0</v>
      </c>
      <c r="EY165" s="8">
        <f>IF(EY$56-Voorblad!$F$41&gt;Voorblad!$K$41,0,IF($U165=0,0,IF($U165&lt;1,1/$U165,IF((EY$56-Voorblad!$F$41)/$U165-SUM($EE165:EX165)=1,1,0))))</f>
        <v>0</v>
      </c>
      <c r="EZ165" s="8">
        <f>IF(EZ$56-Voorblad!$F$41&gt;Voorblad!$K$41,0,IF($U165=0,0,IF($U165&lt;1,1/$U165,IF((EZ$56-Voorblad!$F$41)/$U165-SUM($EE165:EY165)=1,1,0))))</f>
        <v>0</v>
      </c>
      <c r="FA165" s="8">
        <f>IF(FA$56-Voorblad!$F$41&gt;Voorblad!$K$41,0,IF($U165=0,0,IF($U165&lt;1,1/$U165,IF((FA$56-Voorblad!$F$41)/$U165-SUM($EE165:EZ165)=1,1,0))))</f>
        <v>0</v>
      </c>
      <c r="FB165" s="8">
        <f>IF(FB$56-Voorblad!$F$41&gt;Voorblad!$K$41,0,IF($U165=0,0,IF($U165&lt;1,1/$U165,IF((FB$56-Voorblad!$F$41)/$U165-SUM($EE165:FA165)=1,1,0))))</f>
        <v>0</v>
      </c>
      <c r="FC165" s="8">
        <f>IF(FC$56-Voorblad!$F$41&gt;Voorblad!$K$41,0,IF($U165=0,0,IF($U165&lt;1,1/$U165,IF((FC$56-Voorblad!$F$41)/$U165-SUM($EE165:FB165)=1,1,0))))</f>
        <v>0</v>
      </c>
      <c r="FD165" s="8">
        <f>IF(FD$56-Voorblad!$F$41&gt;Voorblad!$K$41,0,IF($U165=0,0,IF($U165&lt;1,1/$U165,IF((FD$56-Voorblad!$F$41)/$U165-SUM($EE165:FC165)=1,1,0))))</f>
        <v>0</v>
      </c>
      <c r="FE165" s="8">
        <f>IF(FE$56-Voorblad!$F$41&gt;Voorblad!$K$41,0,IF($U165=0,0,IF($U165&lt;1,1/$U165,IF((FE$56-Voorblad!$F$41)/$U165-SUM($EE165:FD165)=1,1,0))))</f>
        <v>0</v>
      </c>
      <c r="FF165" s="8">
        <f>IF(FF$56-Voorblad!$F$41&gt;Voorblad!$K$41,0,IF($U165=0,0,IF($U165&lt;1,1/$U165,IF((FF$56-Voorblad!$F$41)/$U165-SUM($EE165:FE165)=1,1,0))))</f>
        <v>0</v>
      </c>
      <c r="FG165" s="8">
        <f>IF(FG$56-Voorblad!$F$41&gt;Voorblad!$K$41,0,IF($U165=0,0,IF($U165&lt;1,1/$U165,IF((FG$56-Voorblad!$F$41)/$U165-SUM($EE165:FF165)=1,1,0))))</f>
        <v>0</v>
      </c>
      <c r="FH165" s="8">
        <f>IF(FH$56-Voorblad!$F$41&gt;Voorblad!$K$41,0,IF($U165=0,0,IF($U165&lt;1,1/$U165,IF((FH$56-Voorblad!$F$41)/$U165-SUM($EE165:FG165)=1,1,0))))</f>
        <v>0</v>
      </c>
      <c r="FI165" s="8">
        <f>IF(FI$56-Voorblad!$F$41&gt;Voorblad!$K$41,0,IF($U165=0,0,IF($U165&lt;1,1/$U165,IF((FI$56-Voorblad!$F$41)/$U165-SUM($EE165:FH165)=1,1,0))))</f>
        <v>0</v>
      </c>
      <c r="FJ165" s="8">
        <f>IF(FJ$56-Voorblad!$F$41&gt;Voorblad!$K$41,0,IF($U165=0,0,IF($U165&lt;1,1/$U165,IF((FJ$56-Voorblad!$F$41)/$U165-SUM($EE165:FI165)=1,1,0))))</f>
        <v>1</v>
      </c>
      <c r="FK165" s="8">
        <f>IF(FK$56-Voorblad!$F$41&gt;Voorblad!$K$41,0,IF($U165=0,0,IF($U165&lt;1,1/$U165,IF((FK$56-Voorblad!$F$41)/$U165-SUM($EE165:FJ165)=1,1,0))))</f>
        <v>0</v>
      </c>
      <c r="FL165" s="8">
        <f>IF(FL$56-Voorblad!$F$41&gt;Voorblad!$K$41,0,IF($U165=0,0,IF($U165&lt;1,1/$U165,IF((FL$56-Voorblad!$F$41)/$U165-SUM($EE165:FK165)=1,1,0))))</f>
        <v>0</v>
      </c>
      <c r="FM165" s="8">
        <f>IF(FM$56-Voorblad!$F$41&gt;Voorblad!$K$41,0,IF($U165=0,0,IF($U165&lt;1,1/$U165,IF((FM$56-Voorblad!$F$41)/$U165-SUM($EE165:FL165)=1,1,0))))</f>
        <v>0</v>
      </c>
      <c r="FN165" s="8">
        <f>IF(FN$56-Voorblad!$F$41&gt;Voorblad!$K$41,0,IF($U165=0,0,IF($U165&lt;1,1/$U165,IF((FN$56-Voorblad!$F$41)/$U165-SUM($EE165:FM165)=1,1,0))))</f>
        <v>0</v>
      </c>
      <c r="FO165" s="8">
        <f>IF(FO$56-Voorblad!$F$41&gt;Voorblad!$K$41,0,IF($U165=0,0,IF($U165&lt;1,1/$U165,IF((FO$56-Voorblad!$F$41)/$U165-SUM($EE165:FN165)=1,1,0))))</f>
        <v>0</v>
      </c>
      <c r="FP165" s="8">
        <f>IF(FP$56-Voorblad!$F$41&gt;Voorblad!$K$41,0,IF($U165=0,0,IF($U165&lt;1,1/$U165,IF((FP$56-Voorblad!$F$41)/$U165-SUM($EE165:FO165)=1,1,0))))</f>
        <v>0</v>
      </c>
      <c r="FQ165" s="8">
        <f>IF(FQ$56-Voorblad!$F$41&gt;Voorblad!$K$41,0,IF($U165=0,0,IF($U165&lt;1,1/$U165,IF((FQ$56-Voorblad!$F$41)/$U165-SUM($EE165:FP165)=1,1,0))))</f>
        <v>0</v>
      </c>
      <c r="FR165" s="8">
        <f>IF(FR$56-Voorblad!$F$41&gt;Voorblad!$K$41,0,IF($U165=0,0,IF($U165&lt;1,1/$U165,IF((FR$56-Voorblad!$F$41)/$U165-SUM($EE165:FQ165)=1,1,0))))</f>
        <v>0</v>
      </c>
      <c r="FS165" s="8">
        <f>IF(FS$56-Voorblad!$F$41&gt;Voorblad!$K$41,0,IF($U165=0,0,IF($U165&lt;1,1/$U165,IF((FS$56-Voorblad!$F$41)/$U165-SUM($EE165:FR165)=1,1,0))))</f>
        <v>0</v>
      </c>
      <c r="FT165" s="8">
        <f>IF(FT$56-Voorblad!$F$41&gt;Voorblad!$K$41,0,IF($U165=0,0,IF($U165&lt;1,1/$U165,IF((FT$56-Voorblad!$F$41)/$U165-SUM($EE165:FS165)=1,1,0))))</f>
        <v>0</v>
      </c>
      <c r="FU165" s="8">
        <f>IF(FU$56-Voorblad!$F$41&gt;Voorblad!$K$41,0,IF($U165=0,0,IF($U165&lt;1,1/$U165,IF((FU$56-Voorblad!$F$41)/$U165-SUM($EE165:FT165)=1,1,0))))</f>
        <v>0</v>
      </c>
      <c r="FV165" s="8">
        <f>IF(FV$56-Voorblad!$F$41&gt;Voorblad!$K$41,0,IF($U165=0,0,IF($U165&lt;1,1/$U165,IF((FV$56-Voorblad!$F$41)/$U165-SUM($EE165:FU165)=1,1,0))))</f>
        <v>0</v>
      </c>
      <c r="FW165" s="8">
        <f>IF(FW$56-Voorblad!$F$41&gt;Voorblad!$K$41,0,IF($U165=0,0,IF($U165&lt;1,1/$U165,IF((FW$56-Voorblad!$F$41)/$U165-SUM($EE165:FV165)=1,1,0))))</f>
        <v>0</v>
      </c>
      <c r="FX165" s="8">
        <f>IF(FX$56-Voorblad!$F$41&gt;Voorblad!$K$41,0,IF($U165=0,0,IF($U165&lt;1,1/$U165,IF((FX$56-Voorblad!$F$41)/$U165-SUM($EE165:FW165)=1,1,0))))</f>
        <v>0</v>
      </c>
      <c r="FY165" s="8">
        <f>IF(FY$56-Voorblad!$F$41&gt;Voorblad!$K$41,0,IF($U165=0,0,IF($U165&lt;1,1/$U165,IF((FY$56-Voorblad!$F$41)/$U165-SUM($EE165:FX165)=1,1,0))))</f>
        <v>1</v>
      </c>
      <c r="FZ165" s="8">
        <f>IF(FZ$56-Voorblad!$F$41&gt;Voorblad!$K$41,0,IF($U165=0,0,IF($U165&lt;1,1/$U165,IF((FZ$56-Voorblad!$F$41)/$U165-SUM($EE165:FY165)=1,1,0))))</f>
        <v>0</v>
      </c>
      <c r="GA165" s="8">
        <f>IF(GA$56-Voorblad!$F$41&gt;Voorblad!$K$41,0,IF($U165=0,0,IF($U165&lt;1,1/$U165,IF((GA$56-Voorblad!$F$41)/$U165-SUM($EE165:FZ165)=1,1,0))))</f>
        <v>0</v>
      </c>
      <c r="GB165" s="8">
        <f>IF(GB$56-Voorblad!$F$41&gt;Voorblad!$K$41,0,IF($U165=0,0,IF($U165&lt;1,1/$U165,IF((GB$56-Voorblad!$F$41)/$U165-SUM($EE165:GA165)=1,1,0))))</f>
        <v>0</v>
      </c>
      <c r="GC165" s="8">
        <f>IF(GC$56-Voorblad!$F$41&gt;Voorblad!$K$41,0,IF($U165=0,0,IF($U165&lt;1,1/$U165,IF((GC$56-Voorblad!$F$41)/$U165-SUM($EE165:GB165)=1,1,0))))</f>
        <v>0</v>
      </c>
      <c r="GD165" s="8">
        <f>IF(GD$56-Voorblad!$F$41&gt;Voorblad!$K$41,0,IF($U165=0,0,IF($U165&lt;1,1/$U165,IF((GD$56-Voorblad!$F$41)/$U165-SUM($EE165:GC165)=1,1,0))))</f>
        <v>0</v>
      </c>
      <c r="GE165" s="8">
        <f>IF(GE$56-Voorblad!$F$41&gt;Voorblad!$K$41,0,IF($U165=0,0,IF($U165&lt;1,1/$U165,IF((GE$56-Voorblad!$F$41)/$U165-SUM($EE165:GD165)=1,1,0))))</f>
        <v>0</v>
      </c>
      <c r="GF165" s="8">
        <f>IF(GF$56-Voorblad!$F$41&gt;Voorblad!$K$41,0,IF($U165=0,0,IF($U165&lt;1,1/$U165,IF((GF$56-Voorblad!$F$41)/$U165-SUM($EE165:GE165)=1,1,0))))</f>
        <v>0</v>
      </c>
      <c r="GG165" s="8">
        <f>IF(GG$56-Voorblad!$F$41&gt;Voorblad!$K$41,0,IF($U165=0,0,IF($U165&lt;1,1/$U165,IF((GG$56-Voorblad!$F$41)/$U165-SUM($EE165:GF165)=1,1,0))))</f>
        <v>0</v>
      </c>
      <c r="GH165" s="8">
        <f>IF(GH$56-Voorblad!$F$41&gt;Voorblad!$K$41,0,IF($U165=0,0,IF($U165&lt;1,1/$U165,IF((GH$56-Voorblad!$F$41)/$U165-SUM($EE165:GG165)=1,1,0))))</f>
        <v>0</v>
      </c>
      <c r="GI165" s="8">
        <f>IF(GI$56-Voorblad!$F$41&gt;Voorblad!$K$41,0,IF($U165=0,0,IF($U165&lt;1,1/$U165,IF((GI$56-Voorblad!$F$41)/$U165-SUM($EE165:GH165)=1,1,0))))</f>
        <v>0</v>
      </c>
      <c r="GJ165" s="8">
        <f>IF(GJ$56-Voorblad!$F$41&gt;Voorblad!$K$41,0,IF($U165=0,0,IF($U165&lt;1,1/$U165,IF((GJ$56-Voorblad!$F$41)/$U165-SUM($EE165:GI165)=1,1,0))))</f>
        <v>0</v>
      </c>
      <c r="GK165" s="8">
        <f>IF(GK$56-Voorblad!$F$41&gt;Voorblad!$K$41,0,IF($U165=0,0,IF($U165&lt;1,1/$U165,IF((GK$56-Voorblad!$F$41)/$U165-SUM($EE165:GJ165)=1,1,0))))</f>
        <v>0</v>
      </c>
      <c r="GL165" s="8">
        <f>IF(GL$56-Voorblad!$F$41&gt;Voorblad!$K$41,0,IF($U165=0,0,IF($U165&lt;1,1/$U165,IF((GL$56-Voorblad!$F$41)/$U165-SUM($EE165:GK165)=1,1,0))))</f>
        <v>0</v>
      </c>
      <c r="GM165" s="8">
        <f>IF(GM$56-Voorblad!$F$41&gt;Voorblad!$K$41,0,IF($U165=0,0,IF($U165&lt;1,1/$U165,IF((GM$56-Voorblad!$F$41)/$U165-SUM($EE165:GL165)=1,1,0))))</f>
        <v>0</v>
      </c>
      <c r="GN165" s="8">
        <f>IF(GN$56-Voorblad!$F$41&gt;Voorblad!$K$41,0,IF($U165=0,0,IF($U165&lt;1,1/$U165,IF((GN$56-Voorblad!$F$41)/$U165-SUM($EE165:GM165)=1,1,0))))</f>
        <v>1</v>
      </c>
      <c r="GO165" s="8">
        <f>IF(GO$56-Voorblad!$F$41&gt;Voorblad!$K$41,0,IF($U165=0,0,IF($U165&lt;1,1/$U165,IF((GO$56-Voorblad!$F$41)/$U165-SUM($EE165:GN165)=1,1,0))))</f>
        <v>0</v>
      </c>
      <c r="GP165" s="8">
        <f>IF(GP$56-Voorblad!$F$41&gt;Voorblad!$K$41,0,IF($U165=0,0,IF($U165&lt;1,1/$U165,IF((GP$56-Voorblad!$F$41)/$U165-SUM($EE165:GO165)=1,1,0))))</f>
        <v>0</v>
      </c>
      <c r="GQ165" s="8">
        <f>IF(GQ$56-Voorblad!$F$41&gt;Voorblad!$K$41,0,IF($U165=0,0,IF($U165&lt;1,1/$U165,IF((GQ$56-Voorblad!$F$41)/$U165-SUM($EE165:GP165)=1,1,0))))</f>
        <v>0</v>
      </c>
      <c r="GR165" s="8">
        <f>IF(GR$56-Voorblad!$F$41&gt;Voorblad!$K$41,0,IF($U165=0,0,IF($U165&lt;1,1/$U165,IF((GR$56-Voorblad!$F$41)/$U165-SUM($EE165:GQ165)=1,1,0))))</f>
        <v>0</v>
      </c>
      <c r="GS165" s="8">
        <f>IF(GS$56-Voorblad!$F$41&gt;Voorblad!$K$41,0,IF($U165=0,0,IF($U165&lt;1,1/$U165,IF((GS$56-Voorblad!$F$41)/$U165-SUM($EE165:GR165)=1,1,0))))</f>
        <v>0</v>
      </c>
      <c r="GT165" s="8">
        <f>IF(GT$56-Voorblad!$F$41&gt;Voorblad!$K$41,0,IF($U165=0,0,IF($U165&lt;1,1/$U165,IF((GT$56-Voorblad!$F$41)/$U165-SUM($EE165:GS165)=1,1,0))))</f>
        <v>0</v>
      </c>
      <c r="GU165" s="8">
        <f>IF(GU$56-Voorblad!$F$41&gt;Voorblad!$K$41,0,IF($U165=0,0,IF($U165&lt;1,1/$U165,IF((GU$56-Voorblad!$F$41)/$U165-SUM($EE165:GT165)=1,1,0))))</f>
        <v>0</v>
      </c>
      <c r="GV165" s="8">
        <f>IF(GV$56-Voorblad!$F$41&gt;Voorblad!$K$41,0,IF($U165=0,0,IF($U165&lt;1,1/$U165,IF((GV$56-Voorblad!$F$41)/$U165-SUM($EE165:GU165)=1,1,0))))</f>
        <v>0</v>
      </c>
      <c r="GW165" s="8">
        <f>IF(GW$56-Voorblad!$F$41&gt;Voorblad!$K$41,0,IF($U165=0,0,IF($U165&lt;1,1/$U165,IF((GW$56-Voorblad!$F$41)/$U165-SUM($EE165:GV165)=1,1,0))))</f>
        <v>0</v>
      </c>
      <c r="GX165" s="8">
        <f>IF(GX$56-Voorblad!$F$41&gt;Voorblad!$K$41,0,IF($U165=0,0,IF($U165&lt;1,1/$U165,IF((GX$56-Voorblad!$F$41)/$U165-SUM($EE165:GW165)=1,1,0))))</f>
        <v>0</v>
      </c>
      <c r="GY165" s="8">
        <f>IF(GY$56-Voorblad!$F$41&gt;Voorblad!$K$41,0,IF($U165=0,0,IF($U165&lt;1,1/$U165,IF((GY$56-Voorblad!$F$41)/$U165-SUM($EE165:GX165)=1,1,0))))</f>
        <v>0</v>
      </c>
      <c r="GZ165" s="8">
        <f>IF(GZ$56-Voorblad!$F$41&gt;Voorblad!$K$41,0,IF($U165=0,0,IF($U165&lt;1,1/$U165,IF((GZ$56-Voorblad!$F$41)/$U165-SUM($EE165:GY165)=1,1,0))))</f>
        <v>0</v>
      </c>
      <c r="HA165" s="8">
        <f>IF(HA$56-Voorblad!$F$41&gt;Voorblad!$K$41,0,IF($U165=0,0,IF($U165&lt;1,1/$U165,IF((HA$56-Voorblad!$F$41)/$U165-SUM($EE165:GZ165)=1,1,0))))</f>
        <v>0</v>
      </c>
      <c r="HB165" s="8">
        <f>IF(HB$56-Voorblad!$F$41&gt;Voorblad!$K$41,0,IF($U165=0,0,IF($U165&lt;1,1/$U165,IF((HB$56-Voorblad!$F$41)/$U165-SUM($EE165:HA165)=1,1,0))))</f>
        <v>0</v>
      </c>
      <c r="HC165" s="8">
        <f>IF(HC$56-Voorblad!$F$41&gt;Voorblad!$K$41,0,IF($U165=0,0,IF($U165&lt;1,1/$U165,IF((HC$56-Voorblad!$F$41)/$U165-SUM($EE165:HB165)=1,1,0))))</f>
        <v>0</v>
      </c>
      <c r="HD165" s="8">
        <f>IF(HD$56-Voorblad!$F$41&gt;Voorblad!$K$41,0,IF($U165=0,0,IF($U165&lt;1,1/$U165,IF((HD$56-Voorblad!$F$41)/$U165-SUM($EE165:HC165)=1,1,0))))</f>
        <v>0</v>
      </c>
      <c r="HE165" s="8">
        <f>IF(HE$56-Voorblad!$F$41&gt;Voorblad!$K$41,0,IF($U165=0,0,IF($U165&lt;1,1/$U165,IF((HE$56-Voorblad!$F$41)/$U165-SUM($EE165:HD165)=1,1,0))))</f>
        <v>0</v>
      </c>
      <c r="HF165" s="8">
        <f>IF(HF$56-Voorblad!$F$41&gt;Voorblad!$K$41,0,IF($U165=0,0,IF($U165&lt;1,1/$U165,IF((HF$56-Voorblad!$F$41)/$U165-SUM($EE165:HE165)=1,1,0))))</f>
        <v>0</v>
      </c>
      <c r="HG165" s="8">
        <f>IF(HG$56-Voorblad!$F$41&gt;Voorblad!$K$41,0,IF($U165=0,0,IF($U165&lt;1,1/$U165,IF((HG$56-Voorblad!$F$41)/$U165-SUM($EE165:HF165)=1,1,0))))</f>
        <v>0</v>
      </c>
      <c r="HH165" s="8">
        <f>IF(HH$56-Voorblad!$F$41&gt;Voorblad!$K$41,0,IF($U165=0,0,IF($U165&lt;1,1/$U165,IF((HH$56-Voorblad!$F$41)/$U165-SUM($EE165:HG165)=1,1,0))))</f>
        <v>0</v>
      </c>
      <c r="HI165" s="8">
        <f>IF(HI$56-Voorblad!$F$41&gt;Voorblad!$K$41,0,IF($U165=0,0,IF($U165&lt;1,1/$U165,IF((HI$56-Voorblad!$F$41)/$U165-SUM($EE165:HH165)=1,1,0))))</f>
        <v>0</v>
      </c>
      <c r="HJ165" s="8">
        <f>IF(HJ$56-Voorblad!$F$41&gt;Voorblad!$K$41,0,IF($U165=0,0,IF($U165&lt;1,1/$U165,IF((HJ$56-Voorblad!$F$41)/$U165-SUM($EE165:HI165)=1,1,0))))</f>
        <v>0</v>
      </c>
      <c r="HK165" s="8">
        <f>IF(HK$56-Voorblad!$F$41&gt;Voorblad!$K$41,0,IF($U165=0,0,IF($U165&lt;1,1/$U165,IF((HK$56-Voorblad!$F$41)/$U165-SUM($EE165:HJ165)=1,1,0))))</f>
        <v>0</v>
      </c>
      <c r="HL165" s="8">
        <f>IF(HL$56-Voorblad!$F$41&gt;Voorblad!$K$41,0,IF($U165=0,0,IF($U165&lt;1,1/$U165,IF((HL$56-Voorblad!$F$41)/$U165-SUM($EE165:HK165)=1,1,0))))</f>
        <v>0</v>
      </c>
      <c r="HM165" s="8">
        <f>IF(HM$56-Voorblad!$F$41&gt;Voorblad!$K$41,0,IF($U165=0,0,IF($U165&lt;1,1/$U165,IF((HM$56-Voorblad!$F$41)/$U165-SUM($EE165:HL165)=1,1,0))))</f>
        <v>0</v>
      </c>
      <c r="HN165" s="8">
        <f>IF(HN$56-Voorblad!$F$41&gt;Voorblad!$K$41,0,IF($U165=0,0,IF($U165&lt;1,1/$U165,IF((HN$56-Voorblad!$F$41)/$U165-SUM($EE165:HM165)=1,1,0))))</f>
        <v>0</v>
      </c>
      <c r="HO165" s="8">
        <f>IF(HO$56-Voorblad!$F$41&gt;Voorblad!$K$41,0,IF($U165=0,0,IF($U165&lt;1,1/$U165,IF((HO$56-Voorblad!$F$41)/$U165-SUM($EE165:HN165)=1,1,0))))</f>
        <v>0</v>
      </c>
      <c r="HP165" s="8">
        <f>IF(HP$56-Voorblad!$F$41&gt;Voorblad!$K$41,0,IF($U165=0,0,IF($U165&lt;1,1/$U165,IF((HP$56-Voorblad!$F$41)/$U165-SUM($EE165:HO165)=1,1,0))))</f>
        <v>0</v>
      </c>
      <c r="HQ165" s="8">
        <f>IF(HQ$56-Voorblad!$F$41&gt;Voorblad!$K$41,0,IF($U165=0,0,IF($U165&lt;1,1/$U165,IF((HQ$56-Voorblad!$F$41)/$U165-SUM($EE165:HP165)=1,1,0))))</f>
        <v>0</v>
      </c>
      <c r="HR165" s="8">
        <f>IF(HR$56-Voorblad!$F$41&gt;Voorblad!$K$41,0,IF($U165=0,0,IF($U165&lt;1,1/$U165,IF((HR$56-Voorblad!$F$41)/$U165-SUM($EE165:HQ165)=1,1,0))))</f>
        <v>0</v>
      </c>
      <c r="HS165" s="8">
        <f>IF(HS$56-Voorblad!$F$41&gt;Voorblad!$K$41,0,IF($U165=0,0,IF($U165&lt;1,1/$U165,IF((HS$56-Voorblad!$F$41)/$U165-SUM($EE165:HR165)=1,1,0))))</f>
        <v>0</v>
      </c>
      <c r="HT165" s="8">
        <f>IF(HT$56-Voorblad!$F$41&gt;Voorblad!$K$41,0,IF($U165=0,0,IF($U165&lt;1,1/$U165,IF((HT$56-Voorblad!$F$41)/$U165-SUM($EE165:HS165)=1,1,0))))</f>
        <v>0</v>
      </c>
      <c r="HU165" s="8">
        <f>IF(HU$56-Voorblad!$F$41&gt;Voorblad!$K$41,0,IF($U165=0,0,IF($U165&lt;1,1/$U165,IF((HU$56-Voorblad!$F$41)/$U165-SUM($EE165:HT165)=1,1,0))))</f>
        <v>0</v>
      </c>
      <c r="HV165" s="8">
        <f>IF(HV$56-Voorblad!$F$41&gt;Voorblad!$K$41,0,IF($U165=0,0,IF($U165&lt;1,1/$U165,IF((HV$56-Voorblad!$F$41)/$U165-SUM($EE165:HU165)=1,1,0))))</f>
        <v>0</v>
      </c>
      <c r="HW165" s="8">
        <f>IF(HW$56-Voorblad!$F$41&gt;Voorblad!$K$41,0,IF($U165=0,0,IF($U165&lt;1,1/$U165,IF((HW$56-Voorblad!$F$41)/$U165-SUM($EE165:HV165)=1,1,0))))</f>
        <v>0</v>
      </c>
      <c r="HX165" s="8">
        <f>IF(HX$56-Voorblad!$F$41&gt;Voorblad!$K$41,0,IF($U165=0,0,IF($U165&lt;1,1/$U165,IF((HX$56-Voorblad!$F$41)/$U165-SUM($EE165:HW165)=1,1,0))))</f>
        <v>0</v>
      </c>
      <c r="HY165" s="8">
        <f>IF(HY$56-Voorblad!$F$41&gt;Voorblad!$K$41,0,IF($U165=0,0,IF($U165&lt;1,1/$U165,IF((HY$56-Voorblad!$F$41)/$U165-SUM($EE165:HX165)=1,1,0))))</f>
        <v>0</v>
      </c>
      <c r="HZ165" s="8">
        <f>IF(HZ$56-Voorblad!$F$41&gt;Voorblad!$K$41,0,IF($U165=0,0,IF($U165&lt;1,1/$U165,IF((HZ$56-Voorblad!$F$41)/$U165-SUM($EE165:HY165)=1,1,0))))</f>
        <v>0</v>
      </c>
      <c r="IA165" s="8">
        <f>IF(IA$56-Voorblad!$F$41&gt;Voorblad!$K$41,0,IF($U165=0,0,IF($U165&lt;1,1/$U165,IF((IA$56-Voorblad!$F$41)/$U165-SUM($EE165:HZ165)=1,1,0))))</f>
        <v>0</v>
      </c>
      <c r="IB165" s="8">
        <f>IF(IB$56-Voorblad!$F$41&gt;Voorblad!$K$41,0,IF($U165=0,0,IF($U165&lt;1,1/$U165,IF((IB$56-Voorblad!$F$41)/$U165-SUM($EE165:IA165)=1,1,0))))</f>
        <v>0</v>
      </c>
    </row>
    <row r="166" spans="2:236" ht="12" hidden="1" customHeight="1" outlineLevel="1" x14ac:dyDescent="0.25">
      <c r="B166" s="1">
        <v>3</v>
      </c>
      <c r="F166" s="1" t="s">
        <v>23</v>
      </c>
      <c r="I166" s="14" t="s">
        <v>277</v>
      </c>
      <c r="K166" s="14" t="s">
        <v>211</v>
      </c>
      <c r="L166" s="14"/>
      <c r="M166" s="14"/>
      <c r="O166" s="1" t="s">
        <v>172</v>
      </c>
      <c r="P166" s="1" t="s">
        <v>175</v>
      </c>
      <c r="Q166" s="81">
        <v>0</v>
      </c>
      <c r="R166" s="1" t="s">
        <v>34</v>
      </c>
      <c r="S166" s="14">
        <f>$H$20*500</f>
        <v>885</v>
      </c>
      <c r="T166" s="1">
        <f t="shared" si="189"/>
        <v>0</v>
      </c>
      <c r="U166" s="14">
        <v>15</v>
      </c>
      <c r="V166" s="14"/>
      <c r="Y166" s="9">
        <f t="shared" si="192"/>
        <v>0</v>
      </c>
      <c r="Z166" s="82"/>
      <c r="AA166" s="82"/>
      <c r="AC166" s="9">
        <f>$Y166*(Voorblad!$K$44*(1+Voorblad!$K$44)^Voorblad!$K$41)/((1+Voorblad!$K$44)^Voorblad!$K$41-1)</f>
        <v>0</v>
      </c>
      <c r="AE166" s="9">
        <f>EF166*($Q166*$S166)/(1+Voorblad!$K$44)^(AE$56-Voorblad!$F$41)</f>
        <v>0</v>
      </c>
      <c r="AF166" s="9">
        <f>EG166*($Q166*$S166)/(1+Voorblad!$K$44)^(AF$56-Voorblad!$F$41)</f>
        <v>0</v>
      </c>
      <c r="AG166" s="9">
        <f>EH166*($Q166*$S166)/(1+Voorblad!$K$44)^(AG$56-Voorblad!$F$41)</f>
        <v>0</v>
      </c>
      <c r="AH166" s="9">
        <f>EI166*($Q166*$S166)/(1+Voorblad!$K$44)^(AH$56-Voorblad!$F$41)</f>
        <v>0</v>
      </c>
      <c r="AI166" s="9">
        <f>EJ166*($Q166*$S166)/(1+Voorblad!$K$44)^(AI$56-Voorblad!$F$41)</f>
        <v>0</v>
      </c>
      <c r="AJ166" s="9">
        <f>EK166*($Q166*$S166)/(1+Voorblad!$K$44)^(AJ$56-Voorblad!$F$41)</f>
        <v>0</v>
      </c>
      <c r="AK166" s="9">
        <f>EL166*($Q166*$S166)/(1+Voorblad!$K$44)^(AK$56-Voorblad!$F$41)</f>
        <v>0</v>
      </c>
      <c r="AL166" s="9">
        <f>EM166*($Q166*$S166)/(1+Voorblad!$K$44)^(AL$56-Voorblad!$F$41)</f>
        <v>0</v>
      </c>
      <c r="AM166" s="9">
        <f>EN166*($Q166*$S166)/(1+Voorblad!$K$44)^(AM$56-Voorblad!$F$41)</f>
        <v>0</v>
      </c>
      <c r="AN166" s="9">
        <f>EO166*($Q166*$S166)/(1+Voorblad!$K$44)^(AN$56-Voorblad!$F$41)</f>
        <v>0</v>
      </c>
      <c r="AO166" s="9">
        <f>EP166*($Q166*$S166)/(1+Voorblad!$K$44)^(AO$56-Voorblad!$F$41)</f>
        <v>0</v>
      </c>
      <c r="AP166" s="9">
        <f>EQ166*($Q166*$S166)/(1+Voorblad!$K$44)^(AP$56-Voorblad!$F$41)</f>
        <v>0</v>
      </c>
      <c r="AQ166" s="9">
        <f>ER166*($Q166*$S166)/(1+Voorblad!$K$44)^(AQ$56-Voorblad!$F$41)</f>
        <v>0</v>
      </c>
      <c r="AR166" s="9">
        <f>ES166*($Q166*$S166)/(1+Voorblad!$K$44)^(AR$56-Voorblad!$F$41)</f>
        <v>0</v>
      </c>
      <c r="AS166" s="9">
        <f>ET166*($Q166*$S166)/(1+Voorblad!$K$44)^(AS$56-Voorblad!$F$41)</f>
        <v>0</v>
      </c>
      <c r="AT166" s="9">
        <f>EU166*($Q166*$S166)/(1+Voorblad!$K$44)^(AT$56-Voorblad!$F$41)</f>
        <v>0</v>
      </c>
      <c r="AU166" s="9">
        <f>EV166*($Q166*$S166)/(1+Voorblad!$K$44)^(AU$56-Voorblad!$F$41)</f>
        <v>0</v>
      </c>
      <c r="AV166" s="9">
        <f>EW166*($Q166*$S166)/(1+Voorblad!$K$44)^(AV$56-Voorblad!$F$41)</f>
        <v>0</v>
      </c>
      <c r="AW166" s="9">
        <f>EX166*($Q166*$S166)/(1+Voorblad!$K$44)^(AW$56-Voorblad!$F$41)</f>
        <v>0</v>
      </c>
      <c r="AX166" s="9">
        <f>EY166*($Q166*$S166)/(1+Voorblad!$K$44)^(AX$56-Voorblad!$F$41)</f>
        <v>0</v>
      </c>
      <c r="AY166" s="9">
        <f>EZ166*($Q166*$S166)/(1+Voorblad!$K$44)^(AY$56-Voorblad!$F$41)</f>
        <v>0</v>
      </c>
      <c r="AZ166" s="9">
        <f>FA166*($Q166*$S166)/(1+Voorblad!$K$44)^(AZ$56-Voorblad!$F$41)</f>
        <v>0</v>
      </c>
      <c r="BA166" s="9">
        <f>FB166*($Q166*$S166)/(1+Voorblad!$K$44)^(BA$56-Voorblad!$F$41)</f>
        <v>0</v>
      </c>
      <c r="BB166" s="9">
        <f>FC166*($Q166*$S166)/(1+Voorblad!$K$44)^(BB$56-Voorblad!$F$41)</f>
        <v>0</v>
      </c>
      <c r="BC166" s="9">
        <f>FD166*($Q166*$S166)/(1+Voorblad!$K$44)^(BC$56-Voorblad!$F$41)</f>
        <v>0</v>
      </c>
      <c r="BD166" s="9">
        <f>FE166*($Q166*$S166)/(1+Voorblad!$K$44)^(BD$56-Voorblad!$F$41)</f>
        <v>0</v>
      </c>
      <c r="BE166" s="9">
        <f>FF166*($Q166*$S166)/(1+Voorblad!$K$44)^(BE$56-Voorblad!$F$41)</f>
        <v>0</v>
      </c>
      <c r="BF166" s="9">
        <f>FG166*($Q166*$S166)/(1+Voorblad!$K$44)^(BF$56-Voorblad!$F$41)</f>
        <v>0</v>
      </c>
      <c r="BG166" s="9">
        <f>FH166*($Q166*$S166)/(1+Voorblad!$K$44)^(BG$56-Voorblad!$F$41)</f>
        <v>0</v>
      </c>
      <c r="BH166" s="9">
        <f>FI166*($Q166*$S166)/(1+Voorblad!$K$44)^(BH$56-Voorblad!$F$41)</f>
        <v>0</v>
      </c>
      <c r="BI166" s="9">
        <f>FJ166*($Q166*$S166)/(1+Voorblad!$K$44)^(BI$56-Voorblad!$F$41)</f>
        <v>0</v>
      </c>
      <c r="BJ166" s="9">
        <f>FK166*($Q166*$S166)/(1+Voorblad!$K$44)^(BJ$56-Voorblad!$F$41)</f>
        <v>0</v>
      </c>
      <c r="BK166" s="9">
        <f>FL166*($Q166*$S166)/(1+Voorblad!$K$44)^(BK$56-Voorblad!$F$41)</f>
        <v>0</v>
      </c>
      <c r="BL166" s="9">
        <f>FM166*($Q166*$S166)/(1+Voorblad!$K$44)^(BL$56-Voorblad!$F$41)</f>
        <v>0</v>
      </c>
      <c r="BM166" s="9">
        <f>FN166*($Q166*$S166)/(1+Voorblad!$K$44)^(BM$56-Voorblad!$F$41)</f>
        <v>0</v>
      </c>
      <c r="BN166" s="9">
        <f>FO166*($Q166*$S166)/(1+Voorblad!$K$44)^(BN$56-Voorblad!$F$41)</f>
        <v>0</v>
      </c>
      <c r="BO166" s="9">
        <f>FP166*($Q166*$S166)/(1+Voorblad!$K$44)^(BO$56-Voorblad!$F$41)</f>
        <v>0</v>
      </c>
      <c r="BP166" s="9">
        <f>FQ166*($Q166*$S166)/(1+Voorblad!$K$44)^(BP$56-Voorblad!$F$41)</f>
        <v>0</v>
      </c>
      <c r="BQ166" s="9">
        <f>FR166*($Q166*$S166)/(1+Voorblad!$K$44)^(BQ$56-Voorblad!$F$41)</f>
        <v>0</v>
      </c>
      <c r="BR166" s="9">
        <f>FS166*($Q166*$S166)/(1+Voorblad!$K$44)^(BR$56-Voorblad!$F$41)</f>
        <v>0</v>
      </c>
      <c r="BS166" s="9">
        <f>FT166*($Q166*$S166)/(1+Voorblad!$K$44)^(BS$56-Voorblad!$F$41)</f>
        <v>0</v>
      </c>
      <c r="BT166" s="9">
        <f>FU166*($Q166*$S166)/(1+Voorblad!$K$44)^(BT$56-Voorblad!$F$41)</f>
        <v>0</v>
      </c>
      <c r="BU166" s="9">
        <f>FV166*($Q166*$S166)/(1+Voorblad!$K$44)^(BU$56-Voorblad!$F$41)</f>
        <v>0</v>
      </c>
      <c r="BV166" s="9">
        <f>FW166*($Q166*$S166)/(1+Voorblad!$K$44)^(BV$56-Voorblad!$F$41)</f>
        <v>0</v>
      </c>
      <c r="BW166" s="9">
        <f>FX166*($Q166*$S166)/(1+Voorblad!$K$44)^(BW$56-Voorblad!$F$41)</f>
        <v>0</v>
      </c>
      <c r="BX166" s="9">
        <f>FY166*($Q166*$S166)/(1+Voorblad!$K$44)^(BX$56-Voorblad!$F$41)</f>
        <v>0</v>
      </c>
      <c r="BY166" s="9">
        <f>FZ166*($Q166*$S166)/(1+Voorblad!$K$44)^(BY$56-Voorblad!$F$41)</f>
        <v>0</v>
      </c>
      <c r="BZ166" s="9">
        <f>GA166*($Q166*$S166)/(1+Voorblad!$K$44)^(BZ$56-Voorblad!$F$41)</f>
        <v>0</v>
      </c>
      <c r="CA166" s="9">
        <f>GB166*($Q166*$S166)/(1+Voorblad!$K$44)^(CA$56-Voorblad!$F$41)</f>
        <v>0</v>
      </c>
      <c r="CB166" s="9">
        <f>GC166*($Q166*$S166)/(1+Voorblad!$K$44)^(CB$56-Voorblad!$F$41)</f>
        <v>0</v>
      </c>
      <c r="CC166" s="9">
        <f>GD166*($Q166*$S166)/(1+Voorblad!$K$44)^(CC$56-Voorblad!$F$41)</f>
        <v>0</v>
      </c>
      <c r="CD166" s="9">
        <f>GE166*($Q166*$S166)/(1+Voorblad!$K$44)^(CD$56-Voorblad!$F$41)</f>
        <v>0</v>
      </c>
      <c r="CE166" s="9">
        <f>GF166*($Q166*$S166)/(1+Voorblad!$K$44)^(CE$56-Voorblad!$F$41)</f>
        <v>0</v>
      </c>
      <c r="CF166" s="9">
        <f>GG166*($Q166*$S166)/(1+Voorblad!$K$44)^(CF$56-Voorblad!$F$41)</f>
        <v>0</v>
      </c>
      <c r="CG166" s="9">
        <f>GH166*($Q166*$S166)/(1+Voorblad!$K$44)^(CG$56-Voorblad!$F$41)</f>
        <v>0</v>
      </c>
      <c r="CH166" s="9">
        <f>GI166*($Q166*$S166)/(1+Voorblad!$K$44)^(CH$56-Voorblad!$F$41)</f>
        <v>0</v>
      </c>
      <c r="CI166" s="9">
        <f>GJ166*($Q166*$S166)/(1+Voorblad!$K$44)^(CI$56-Voorblad!$F$41)</f>
        <v>0</v>
      </c>
      <c r="CJ166" s="9">
        <f>GK166*($Q166*$S166)/(1+Voorblad!$K$44)^(CJ$56-Voorblad!$F$41)</f>
        <v>0</v>
      </c>
      <c r="CK166" s="9">
        <f>GL166*($Q166*$S166)/(1+Voorblad!$K$44)^(CK$56-Voorblad!$F$41)</f>
        <v>0</v>
      </c>
      <c r="CL166" s="9">
        <f>GM166*($Q166*$S166)/(1+Voorblad!$K$44)^(CL$56-Voorblad!$F$41)</f>
        <v>0</v>
      </c>
      <c r="CM166" s="9">
        <f>GN166*($Q166*$S166)/(1+Voorblad!$K$44)^(CM$56-Voorblad!$F$41)</f>
        <v>0</v>
      </c>
      <c r="CN166" s="9">
        <f>GO166*($Q166*$S166)/(1+Voorblad!$K$44)^(CN$56-Voorblad!$F$41)</f>
        <v>0</v>
      </c>
      <c r="CO166" s="9">
        <f>GP166*($Q166*$S166)/(1+Voorblad!$K$44)^(CO$56-Voorblad!$F$41)</f>
        <v>0</v>
      </c>
      <c r="CP166" s="9">
        <f>GQ166*($Q166*$S166)/(1+Voorblad!$K$44)^(CP$56-Voorblad!$F$41)</f>
        <v>0</v>
      </c>
      <c r="CQ166" s="9">
        <f>GR166*($Q166*$S166)/(1+Voorblad!$K$44)^(CQ$56-Voorblad!$F$41)</f>
        <v>0</v>
      </c>
      <c r="CR166" s="9">
        <f>GS166*($Q166*$S166)/(1+Voorblad!$K$44)^(CR$56-Voorblad!$F$41)</f>
        <v>0</v>
      </c>
      <c r="CS166" s="9">
        <f>GT166*($Q166*$S166)/(1+Voorblad!$K$44)^(CS$56-Voorblad!$F$41)</f>
        <v>0</v>
      </c>
      <c r="CT166" s="9">
        <f>GU166*($Q166*$S166)/(1+Voorblad!$K$44)^(CT$56-Voorblad!$F$41)</f>
        <v>0</v>
      </c>
      <c r="CU166" s="9">
        <f>GV166*($Q166*$S166)/(1+Voorblad!$K$44)^(CU$56-Voorblad!$F$41)</f>
        <v>0</v>
      </c>
      <c r="CV166" s="9">
        <f>GW166*($Q166*$S166)/(1+Voorblad!$K$44)^(CV$56-Voorblad!$F$41)</f>
        <v>0</v>
      </c>
      <c r="CW166" s="9">
        <f>GX166*($Q166*$S166)/(1+Voorblad!$K$44)^(CW$56-Voorblad!$F$41)</f>
        <v>0</v>
      </c>
      <c r="CX166" s="9">
        <f>GY166*($Q166*$S166)/(1+Voorblad!$K$44)^(CX$56-Voorblad!$F$41)</f>
        <v>0</v>
      </c>
      <c r="CY166" s="9">
        <f>GZ166*($Q166*$S166)/(1+Voorblad!$K$44)^(CY$56-Voorblad!$F$41)</f>
        <v>0</v>
      </c>
      <c r="CZ166" s="9">
        <f>HA166*($Q166*$S166)/(1+Voorblad!$K$44)^(CZ$56-Voorblad!$F$41)</f>
        <v>0</v>
      </c>
      <c r="DA166" s="9">
        <f>HB166*($Q166*$S166)/(1+Voorblad!$K$44)^(DA$56-Voorblad!$F$41)</f>
        <v>0</v>
      </c>
      <c r="DB166" s="9">
        <f>HC166*($Q166*$S166)/(1+Voorblad!$K$44)^(DB$56-Voorblad!$F$41)</f>
        <v>0</v>
      </c>
      <c r="DC166" s="9">
        <f>HD166*($Q166*$S166)/(1+Voorblad!$K$44)^(DC$56-Voorblad!$F$41)</f>
        <v>0</v>
      </c>
      <c r="DD166" s="9">
        <f>HE166*($Q166*$S166)/(1+Voorblad!$K$44)^(DD$56-Voorblad!$F$41)</f>
        <v>0</v>
      </c>
      <c r="DE166" s="9">
        <f>HF166*($Q166*$S166)/(1+Voorblad!$K$44)^(DE$56-Voorblad!$F$41)</f>
        <v>0</v>
      </c>
      <c r="DF166" s="9">
        <f>HG166*($Q166*$S166)/(1+Voorblad!$K$44)^(DF$56-Voorblad!$F$41)</f>
        <v>0</v>
      </c>
      <c r="DG166" s="9">
        <f>HH166*($Q166*$S166)/(1+Voorblad!$K$44)^(DG$56-Voorblad!$F$41)</f>
        <v>0</v>
      </c>
      <c r="DH166" s="9">
        <f>HI166*($Q166*$S166)/(1+Voorblad!$K$44)^(DH$56-Voorblad!$F$41)</f>
        <v>0</v>
      </c>
      <c r="DI166" s="9">
        <f>HJ166*($Q166*$S166)/(1+Voorblad!$K$44)^(DI$56-Voorblad!$F$41)</f>
        <v>0</v>
      </c>
      <c r="DJ166" s="9">
        <f>HK166*($Q166*$S166)/(1+Voorblad!$K$44)^(DJ$56-Voorblad!$F$41)</f>
        <v>0</v>
      </c>
      <c r="DK166" s="9">
        <f>HL166*($Q166*$S166)/(1+Voorblad!$K$44)^(DK$56-Voorblad!$F$41)</f>
        <v>0</v>
      </c>
      <c r="DL166" s="9">
        <f>HM166*($Q166*$S166)/(1+Voorblad!$K$44)^(DL$56-Voorblad!$F$41)</f>
        <v>0</v>
      </c>
      <c r="DM166" s="9">
        <f>HN166*($Q166*$S166)/(1+Voorblad!$K$44)^(DM$56-Voorblad!$F$41)</f>
        <v>0</v>
      </c>
      <c r="DN166" s="9">
        <f>HO166*($Q166*$S166)/(1+Voorblad!$K$44)^(DN$56-Voorblad!$F$41)</f>
        <v>0</v>
      </c>
      <c r="DO166" s="9">
        <f>HP166*($Q166*$S166)/(1+Voorblad!$K$44)^(DO$56-Voorblad!$F$41)</f>
        <v>0</v>
      </c>
      <c r="DP166" s="9">
        <f>HQ166*($Q166*$S166)/(1+Voorblad!$K$44)^(DP$56-Voorblad!$F$41)</f>
        <v>0</v>
      </c>
      <c r="DQ166" s="9">
        <f>HR166*($Q166*$S166)/(1+Voorblad!$K$44)^(DQ$56-Voorblad!$F$41)</f>
        <v>0</v>
      </c>
      <c r="DR166" s="9">
        <f>HS166*($Q166*$S166)/(1+Voorblad!$K$44)^(DR$56-Voorblad!$F$41)</f>
        <v>0</v>
      </c>
      <c r="DS166" s="9">
        <f>HT166*($Q166*$S166)/(1+Voorblad!$K$44)^(DS$56-Voorblad!$F$41)</f>
        <v>0</v>
      </c>
      <c r="DT166" s="9">
        <f>HU166*($Q166*$S166)/(1+Voorblad!$K$44)^(DT$56-Voorblad!$F$41)</f>
        <v>0</v>
      </c>
      <c r="DU166" s="9">
        <f>HV166*($Q166*$S166)/(1+Voorblad!$K$44)^(DU$56-Voorblad!$F$41)</f>
        <v>0</v>
      </c>
      <c r="DV166" s="9">
        <f>HW166*($Q166*$S166)/(1+Voorblad!$K$44)^(DV$56-Voorblad!$F$41)</f>
        <v>0</v>
      </c>
      <c r="DW166" s="9">
        <f>HX166*($Q166*$S166)/(1+Voorblad!$K$44)^(DW$56-Voorblad!$F$41)</f>
        <v>0</v>
      </c>
      <c r="DX166" s="9">
        <f>HY166*($Q166*$S166)/(1+Voorblad!$K$44)^(DX$56-Voorblad!$F$41)</f>
        <v>0</v>
      </c>
      <c r="DY166" s="9">
        <f>HZ166*($Q166*$S166)/(1+Voorblad!$K$44)^(DY$56-Voorblad!$F$41)</f>
        <v>0</v>
      </c>
      <c r="DZ166" s="9">
        <f>IA166*($Q166*$S166)/(1+Voorblad!$K$44)^(DZ$56-Voorblad!$F$41)</f>
        <v>0</v>
      </c>
      <c r="EA166" s="9">
        <f>IB166*($Q166*$S166)/(1+Voorblad!$K$44)^(EA$56-Voorblad!$F$41)</f>
        <v>0</v>
      </c>
      <c r="EB166" s="9">
        <f>IC166*($Q166*$S166)/(1+Voorblad!$K$44)^(EB$56-Voorblad!$F$41)</f>
        <v>0</v>
      </c>
      <c r="EE166" s="8">
        <v>0</v>
      </c>
      <c r="EF166" s="8">
        <f>IF(EF$56-Voorblad!$F$41&gt;Voorblad!$K$41,0,IF($U166=0,0,IF($U166&lt;1,1/$U166,IF((EF$56-Voorblad!$F$41)/$U166-SUM($EE166:EE166)=1,1,0))))</f>
        <v>0</v>
      </c>
      <c r="EG166" s="8">
        <f>IF(EG$56-Voorblad!$F$41&gt;Voorblad!$K$41,0,IF($U166=0,0,IF($U166&lt;1,1/$U166,IF((EG$56-Voorblad!$F$41)/$U166-SUM($EE166:EF166)=1,1,0))))</f>
        <v>0</v>
      </c>
      <c r="EH166" s="8">
        <f>IF(EH$56-Voorblad!$F$41&gt;Voorblad!$K$41,0,IF($U166=0,0,IF($U166&lt;1,1/$U166,IF((EH$56-Voorblad!$F$41)/$U166-SUM($EE166:EG166)=1,1,0))))</f>
        <v>0</v>
      </c>
      <c r="EI166" s="8">
        <f>IF(EI$56-Voorblad!$F$41&gt;Voorblad!$K$41,0,IF($U166=0,0,IF($U166&lt;1,1/$U166,IF((EI$56-Voorblad!$F$41)/$U166-SUM($EE166:EH166)=1,1,0))))</f>
        <v>0</v>
      </c>
      <c r="EJ166" s="8">
        <f>IF(EJ$56-Voorblad!$F$41&gt;Voorblad!$K$41,0,IF($U166=0,0,IF($U166&lt;1,1/$U166,IF((EJ$56-Voorblad!$F$41)/$U166-SUM($EE166:EI166)=1,1,0))))</f>
        <v>0</v>
      </c>
      <c r="EK166" s="8">
        <f>IF(EK$56-Voorblad!$F$41&gt;Voorblad!$K$41,0,IF($U166=0,0,IF($U166&lt;1,1/$U166,IF((EK$56-Voorblad!$F$41)/$U166-SUM($EE166:EJ166)=1,1,0))))</f>
        <v>0</v>
      </c>
      <c r="EL166" s="8">
        <f>IF(EL$56-Voorblad!$F$41&gt;Voorblad!$K$41,0,IF($U166=0,0,IF($U166&lt;1,1/$U166,IF((EL$56-Voorblad!$F$41)/$U166-SUM($EE166:EK166)=1,1,0))))</f>
        <v>0</v>
      </c>
      <c r="EM166" s="8">
        <f>IF(EM$56-Voorblad!$F$41&gt;Voorblad!$K$41,0,IF($U166=0,0,IF($U166&lt;1,1/$U166,IF((EM$56-Voorblad!$F$41)/$U166-SUM($EE166:EL166)=1,1,0))))</f>
        <v>0</v>
      </c>
      <c r="EN166" s="8">
        <f>IF(EN$56-Voorblad!$F$41&gt;Voorblad!$K$41,0,IF($U166=0,0,IF($U166&lt;1,1/$U166,IF((EN$56-Voorblad!$F$41)/$U166-SUM($EE166:EM166)=1,1,0))))</f>
        <v>0</v>
      </c>
      <c r="EO166" s="8">
        <f>IF(EO$56-Voorblad!$F$41&gt;Voorblad!$K$41,0,IF($U166=0,0,IF($U166&lt;1,1/$U166,IF((EO$56-Voorblad!$F$41)/$U166-SUM($EE166:EN166)=1,1,0))))</f>
        <v>0</v>
      </c>
      <c r="EP166" s="8">
        <f>IF(EP$56-Voorblad!$F$41&gt;Voorblad!$K$41,0,IF($U166=0,0,IF($U166&lt;1,1/$U166,IF((EP$56-Voorblad!$F$41)/$U166-SUM($EE166:EO166)=1,1,0))))</f>
        <v>0</v>
      </c>
      <c r="EQ166" s="8">
        <f>IF(EQ$56-Voorblad!$F$41&gt;Voorblad!$K$41,0,IF($U166=0,0,IF($U166&lt;1,1/$U166,IF((EQ$56-Voorblad!$F$41)/$U166-SUM($EE166:EP166)=1,1,0))))</f>
        <v>0</v>
      </c>
      <c r="ER166" s="8">
        <f>IF(ER$56-Voorblad!$F$41&gt;Voorblad!$K$41,0,IF($U166=0,0,IF($U166&lt;1,1/$U166,IF((ER$56-Voorblad!$F$41)/$U166-SUM($EE166:EQ166)=1,1,0))))</f>
        <v>0</v>
      </c>
      <c r="ES166" s="8">
        <f>IF(ES$56-Voorblad!$F$41&gt;Voorblad!$K$41,0,IF($U166=0,0,IF($U166&lt;1,1/$U166,IF((ES$56-Voorblad!$F$41)/$U166-SUM($EE166:ER166)=1,1,0))))</f>
        <v>0</v>
      </c>
      <c r="ET166" s="8">
        <f>IF(ET$56-Voorblad!$F$41&gt;Voorblad!$K$41,0,IF($U166=0,0,IF($U166&lt;1,1/$U166,IF((ET$56-Voorblad!$F$41)/$U166-SUM($EE166:ES166)=1,1,0))))</f>
        <v>0</v>
      </c>
      <c r="EU166" s="8">
        <f>IF(EU$56-Voorblad!$F$41&gt;Voorblad!$K$41,0,IF($U166=0,0,IF($U166&lt;1,1/$U166,IF((EU$56-Voorblad!$F$41)/$U166-SUM($EE166:ET166)=1,1,0))))</f>
        <v>1</v>
      </c>
      <c r="EV166" s="8">
        <f>IF(EV$56-Voorblad!$F$41&gt;Voorblad!$K$41,0,IF($U166=0,0,IF($U166&lt;1,1/$U166,IF((EV$56-Voorblad!$F$41)/$U166-SUM($EE166:EU166)=1,1,0))))</f>
        <v>0</v>
      </c>
      <c r="EW166" s="8">
        <f>IF(EW$56-Voorblad!$F$41&gt;Voorblad!$K$41,0,IF($U166=0,0,IF($U166&lt;1,1/$U166,IF((EW$56-Voorblad!$F$41)/$U166-SUM($EE166:EV166)=1,1,0))))</f>
        <v>0</v>
      </c>
      <c r="EX166" s="8">
        <f>IF(EX$56-Voorblad!$F$41&gt;Voorblad!$K$41,0,IF($U166=0,0,IF($U166&lt;1,1/$U166,IF((EX$56-Voorblad!$F$41)/$U166-SUM($EE166:EW166)=1,1,0))))</f>
        <v>0</v>
      </c>
      <c r="EY166" s="8">
        <f>IF(EY$56-Voorblad!$F$41&gt;Voorblad!$K$41,0,IF($U166=0,0,IF($U166&lt;1,1/$U166,IF((EY$56-Voorblad!$F$41)/$U166-SUM($EE166:EX166)=1,1,0))))</f>
        <v>0</v>
      </c>
      <c r="EZ166" s="8">
        <f>IF(EZ$56-Voorblad!$F$41&gt;Voorblad!$K$41,0,IF($U166=0,0,IF($U166&lt;1,1/$U166,IF((EZ$56-Voorblad!$F$41)/$U166-SUM($EE166:EY166)=1,1,0))))</f>
        <v>0</v>
      </c>
      <c r="FA166" s="8">
        <f>IF(FA$56-Voorblad!$F$41&gt;Voorblad!$K$41,0,IF($U166=0,0,IF($U166&lt;1,1/$U166,IF((FA$56-Voorblad!$F$41)/$U166-SUM($EE166:EZ166)=1,1,0))))</f>
        <v>0</v>
      </c>
      <c r="FB166" s="8">
        <f>IF(FB$56-Voorblad!$F$41&gt;Voorblad!$K$41,0,IF($U166=0,0,IF($U166&lt;1,1/$U166,IF((FB$56-Voorblad!$F$41)/$U166-SUM($EE166:FA166)=1,1,0))))</f>
        <v>0</v>
      </c>
      <c r="FC166" s="8">
        <f>IF(FC$56-Voorblad!$F$41&gt;Voorblad!$K$41,0,IF($U166=0,0,IF($U166&lt;1,1/$U166,IF((FC$56-Voorblad!$F$41)/$U166-SUM($EE166:FB166)=1,1,0))))</f>
        <v>0</v>
      </c>
      <c r="FD166" s="8">
        <f>IF(FD$56-Voorblad!$F$41&gt;Voorblad!$K$41,0,IF($U166=0,0,IF($U166&lt;1,1/$U166,IF((FD$56-Voorblad!$F$41)/$U166-SUM($EE166:FC166)=1,1,0))))</f>
        <v>0</v>
      </c>
      <c r="FE166" s="8">
        <f>IF(FE$56-Voorblad!$F$41&gt;Voorblad!$K$41,0,IF($U166=0,0,IF($U166&lt;1,1/$U166,IF((FE$56-Voorblad!$F$41)/$U166-SUM($EE166:FD166)=1,1,0))))</f>
        <v>0</v>
      </c>
      <c r="FF166" s="8">
        <f>IF(FF$56-Voorblad!$F$41&gt;Voorblad!$K$41,0,IF($U166=0,0,IF($U166&lt;1,1/$U166,IF((FF$56-Voorblad!$F$41)/$U166-SUM($EE166:FE166)=1,1,0))))</f>
        <v>0</v>
      </c>
      <c r="FG166" s="8">
        <f>IF(FG$56-Voorblad!$F$41&gt;Voorblad!$K$41,0,IF($U166=0,0,IF($U166&lt;1,1/$U166,IF((FG$56-Voorblad!$F$41)/$U166-SUM($EE166:FF166)=1,1,0))))</f>
        <v>0</v>
      </c>
      <c r="FH166" s="8">
        <f>IF(FH$56-Voorblad!$F$41&gt;Voorblad!$K$41,0,IF($U166=0,0,IF($U166&lt;1,1/$U166,IF((FH$56-Voorblad!$F$41)/$U166-SUM($EE166:FG166)=1,1,0))))</f>
        <v>0</v>
      </c>
      <c r="FI166" s="8">
        <f>IF(FI$56-Voorblad!$F$41&gt;Voorblad!$K$41,0,IF($U166=0,0,IF($U166&lt;1,1/$U166,IF((FI$56-Voorblad!$F$41)/$U166-SUM($EE166:FH166)=1,1,0))))</f>
        <v>0</v>
      </c>
      <c r="FJ166" s="8">
        <f>IF(FJ$56-Voorblad!$F$41&gt;Voorblad!$K$41,0,IF($U166=0,0,IF($U166&lt;1,1/$U166,IF((FJ$56-Voorblad!$F$41)/$U166-SUM($EE166:FI166)=1,1,0))))</f>
        <v>1</v>
      </c>
      <c r="FK166" s="8">
        <f>IF(FK$56-Voorblad!$F$41&gt;Voorblad!$K$41,0,IF($U166=0,0,IF($U166&lt;1,1/$U166,IF((FK$56-Voorblad!$F$41)/$U166-SUM($EE166:FJ166)=1,1,0))))</f>
        <v>0</v>
      </c>
      <c r="FL166" s="8">
        <f>IF(FL$56-Voorblad!$F$41&gt;Voorblad!$K$41,0,IF($U166=0,0,IF($U166&lt;1,1/$U166,IF((FL$56-Voorblad!$F$41)/$U166-SUM($EE166:FK166)=1,1,0))))</f>
        <v>0</v>
      </c>
      <c r="FM166" s="8">
        <f>IF(FM$56-Voorblad!$F$41&gt;Voorblad!$K$41,0,IF($U166=0,0,IF($U166&lt;1,1/$U166,IF((FM$56-Voorblad!$F$41)/$U166-SUM($EE166:FL166)=1,1,0))))</f>
        <v>0</v>
      </c>
      <c r="FN166" s="8">
        <f>IF(FN$56-Voorblad!$F$41&gt;Voorblad!$K$41,0,IF($U166=0,0,IF($U166&lt;1,1/$U166,IF((FN$56-Voorblad!$F$41)/$U166-SUM($EE166:FM166)=1,1,0))))</f>
        <v>0</v>
      </c>
      <c r="FO166" s="8">
        <f>IF(FO$56-Voorblad!$F$41&gt;Voorblad!$K$41,0,IF($U166=0,0,IF($U166&lt;1,1/$U166,IF((FO$56-Voorblad!$F$41)/$U166-SUM($EE166:FN166)=1,1,0))))</f>
        <v>0</v>
      </c>
      <c r="FP166" s="8">
        <f>IF(FP$56-Voorblad!$F$41&gt;Voorblad!$K$41,0,IF($U166=0,0,IF($U166&lt;1,1/$U166,IF((FP$56-Voorblad!$F$41)/$U166-SUM($EE166:FO166)=1,1,0))))</f>
        <v>0</v>
      </c>
      <c r="FQ166" s="8">
        <f>IF(FQ$56-Voorblad!$F$41&gt;Voorblad!$K$41,0,IF($U166=0,0,IF($U166&lt;1,1/$U166,IF((FQ$56-Voorblad!$F$41)/$U166-SUM($EE166:FP166)=1,1,0))))</f>
        <v>0</v>
      </c>
      <c r="FR166" s="8">
        <f>IF(FR$56-Voorblad!$F$41&gt;Voorblad!$K$41,0,IF($U166=0,0,IF($U166&lt;1,1/$U166,IF((FR$56-Voorblad!$F$41)/$U166-SUM($EE166:FQ166)=1,1,0))))</f>
        <v>0</v>
      </c>
      <c r="FS166" s="8">
        <f>IF(FS$56-Voorblad!$F$41&gt;Voorblad!$K$41,0,IF($U166=0,0,IF($U166&lt;1,1/$U166,IF((FS$56-Voorblad!$F$41)/$U166-SUM($EE166:FR166)=1,1,0))))</f>
        <v>0</v>
      </c>
      <c r="FT166" s="8">
        <f>IF(FT$56-Voorblad!$F$41&gt;Voorblad!$K$41,0,IF($U166=0,0,IF($U166&lt;1,1/$U166,IF((FT$56-Voorblad!$F$41)/$U166-SUM($EE166:FS166)=1,1,0))))</f>
        <v>0</v>
      </c>
      <c r="FU166" s="8">
        <f>IF(FU$56-Voorblad!$F$41&gt;Voorblad!$K$41,0,IF($U166=0,0,IF($U166&lt;1,1/$U166,IF((FU$56-Voorblad!$F$41)/$U166-SUM($EE166:FT166)=1,1,0))))</f>
        <v>0</v>
      </c>
      <c r="FV166" s="8">
        <f>IF(FV$56-Voorblad!$F$41&gt;Voorblad!$K$41,0,IF($U166=0,0,IF($U166&lt;1,1/$U166,IF((FV$56-Voorblad!$F$41)/$U166-SUM($EE166:FU166)=1,1,0))))</f>
        <v>0</v>
      </c>
      <c r="FW166" s="8">
        <f>IF(FW$56-Voorblad!$F$41&gt;Voorblad!$K$41,0,IF($U166=0,0,IF($U166&lt;1,1/$U166,IF((FW$56-Voorblad!$F$41)/$U166-SUM($EE166:FV166)=1,1,0))))</f>
        <v>0</v>
      </c>
      <c r="FX166" s="8">
        <f>IF(FX$56-Voorblad!$F$41&gt;Voorblad!$K$41,0,IF($U166=0,0,IF($U166&lt;1,1/$U166,IF((FX$56-Voorblad!$F$41)/$U166-SUM($EE166:FW166)=1,1,0))))</f>
        <v>0</v>
      </c>
      <c r="FY166" s="8">
        <f>IF(FY$56-Voorblad!$F$41&gt;Voorblad!$K$41,0,IF($U166=0,0,IF($U166&lt;1,1/$U166,IF((FY$56-Voorblad!$F$41)/$U166-SUM($EE166:FX166)=1,1,0))))</f>
        <v>1</v>
      </c>
      <c r="FZ166" s="8">
        <f>IF(FZ$56-Voorblad!$F$41&gt;Voorblad!$K$41,0,IF($U166=0,0,IF($U166&lt;1,1/$U166,IF((FZ$56-Voorblad!$F$41)/$U166-SUM($EE166:FY166)=1,1,0))))</f>
        <v>0</v>
      </c>
      <c r="GA166" s="8">
        <f>IF(GA$56-Voorblad!$F$41&gt;Voorblad!$K$41,0,IF($U166=0,0,IF($U166&lt;1,1/$U166,IF((GA$56-Voorblad!$F$41)/$U166-SUM($EE166:FZ166)=1,1,0))))</f>
        <v>0</v>
      </c>
      <c r="GB166" s="8">
        <f>IF(GB$56-Voorblad!$F$41&gt;Voorblad!$K$41,0,IF($U166=0,0,IF($U166&lt;1,1/$U166,IF((GB$56-Voorblad!$F$41)/$U166-SUM($EE166:GA166)=1,1,0))))</f>
        <v>0</v>
      </c>
      <c r="GC166" s="8">
        <f>IF(GC$56-Voorblad!$F$41&gt;Voorblad!$K$41,0,IF($U166=0,0,IF($U166&lt;1,1/$U166,IF((GC$56-Voorblad!$F$41)/$U166-SUM($EE166:GB166)=1,1,0))))</f>
        <v>0</v>
      </c>
      <c r="GD166" s="8">
        <f>IF(GD$56-Voorblad!$F$41&gt;Voorblad!$K$41,0,IF($U166=0,0,IF($U166&lt;1,1/$U166,IF((GD$56-Voorblad!$F$41)/$U166-SUM($EE166:GC166)=1,1,0))))</f>
        <v>0</v>
      </c>
      <c r="GE166" s="8">
        <f>IF(GE$56-Voorblad!$F$41&gt;Voorblad!$K$41,0,IF($U166=0,0,IF($U166&lt;1,1/$U166,IF((GE$56-Voorblad!$F$41)/$U166-SUM($EE166:GD166)=1,1,0))))</f>
        <v>0</v>
      </c>
      <c r="GF166" s="8">
        <f>IF(GF$56-Voorblad!$F$41&gt;Voorblad!$K$41,0,IF($U166=0,0,IF($U166&lt;1,1/$U166,IF((GF$56-Voorblad!$F$41)/$U166-SUM($EE166:GE166)=1,1,0))))</f>
        <v>0</v>
      </c>
      <c r="GG166" s="8">
        <f>IF(GG$56-Voorblad!$F$41&gt;Voorblad!$K$41,0,IF($U166=0,0,IF($U166&lt;1,1/$U166,IF((GG$56-Voorblad!$F$41)/$U166-SUM($EE166:GF166)=1,1,0))))</f>
        <v>0</v>
      </c>
      <c r="GH166" s="8">
        <f>IF(GH$56-Voorblad!$F$41&gt;Voorblad!$K$41,0,IF($U166=0,0,IF($U166&lt;1,1/$U166,IF((GH$56-Voorblad!$F$41)/$U166-SUM($EE166:GG166)=1,1,0))))</f>
        <v>0</v>
      </c>
      <c r="GI166" s="8">
        <f>IF(GI$56-Voorblad!$F$41&gt;Voorblad!$K$41,0,IF($U166=0,0,IF($U166&lt;1,1/$U166,IF((GI$56-Voorblad!$F$41)/$U166-SUM($EE166:GH166)=1,1,0))))</f>
        <v>0</v>
      </c>
      <c r="GJ166" s="8">
        <f>IF(GJ$56-Voorblad!$F$41&gt;Voorblad!$K$41,0,IF($U166=0,0,IF($U166&lt;1,1/$U166,IF((GJ$56-Voorblad!$F$41)/$U166-SUM($EE166:GI166)=1,1,0))))</f>
        <v>0</v>
      </c>
      <c r="GK166" s="8">
        <f>IF(GK$56-Voorblad!$F$41&gt;Voorblad!$K$41,0,IF($U166=0,0,IF($U166&lt;1,1/$U166,IF((GK$56-Voorblad!$F$41)/$U166-SUM($EE166:GJ166)=1,1,0))))</f>
        <v>0</v>
      </c>
      <c r="GL166" s="8">
        <f>IF(GL$56-Voorblad!$F$41&gt;Voorblad!$K$41,0,IF($U166=0,0,IF($U166&lt;1,1/$U166,IF((GL$56-Voorblad!$F$41)/$U166-SUM($EE166:GK166)=1,1,0))))</f>
        <v>0</v>
      </c>
      <c r="GM166" s="8">
        <f>IF(GM$56-Voorblad!$F$41&gt;Voorblad!$K$41,0,IF($U166=0,0,IF($U166&lt;1,1/$U166,IF((GM$56-Voorblad!$F$41)/$U166-SUM($EE166:GL166)=1,1,0))))</f>
        <v>0</v>
      </c>
      <c r="GN166" s="8">
        <f>IF(GN$56-Voorblad!$F$41&gt;Voorblad!$K$41,0,IF($U166=0,0,IF($U166&lt;1,1/$U166,IF((GN$56-Voorblad!$F$41)/$U166-SUM($EE166:GM166)=1,1,0))))</f>
        <v>1</v>
      </c>
      <c r="GO166" s="8">
        <f>IF(GO$56-Voorblad!$F$41&gt;Voorblad!$K$41,0,IF($U166=0,0,IF($U166&lt;1,1/$U166,IF((GO$56-Voorblad!$F$41)/$U166-SUM($EE166:GN166)=1,1,0))))</f>
        <v>0</v>
      </c>
      <c r="GP166" s="8">
        <f>IF(GP$56-Voorblad!$F$41&gt;Voorblad!$K$41,0,IF($U166=0,0,IF($U166&lt;1,1/$U166,IF((GP$56-Voorblad!$F$41)/$U166-SUM($EE166:GO166)=1,1,0))))</f>
        <v>0</v>
      </c>
      <c r="GQ166" s="8">
        <f>IF(GQ$56-Voorblad!$F$41&gt;Voorblad!$K$41,0,IF($U166=0,0,IF($U166&lt;1,1/$U166,IF((GQ$56-Voorblad!$F$41)/$U166-SUM($EE166:GP166)=1,1,0))))</f>
        <v>0</v>
      </c>
      <c r="GR166" s="8">
        <f>IF(GR$56-Voorblad!$F$41&gt;Voorblad!$K$41,0,IF($U166=0,0,IF($U166&lt;1,1/$U166,IF((GR$56-Voorblad!$F$41)/$U166-SUM($EE166:GQ166)=1,1,0))))</f>
        <v>0</v>
      </c>
      <c r="GS166" s="8">
        <f>IF(GS$56-Voorblad!$F$41&gt;Voorblad!$K$41,0,IF($U166=0,0,IF($U166&lt;1,1/$U166,IF((GS$56-Voorblad!$F$41)/$U166-SUM($EE166:GR166)=1,1,0))))</f>
        <v>0</v>
      </c>
      <c r="GT166" s="8">
        <f>IF(GT$56-Voorblad!$F$41&gt;Voorblad!$K$41,0,IF($U166=0,0,IF($U166&lt;1,1/$U166,IF((GT$56-Voorblad!$F$41)/$U166-SUM($EE166:GS166)=1,1,0))))</f>
        <v>0</v>
      </c>
      <c r="GU166" s="8">
        <f>IF(GU$56-Voorblad!$F$41&gt;Voorblad!$K$41,0,IF($U166=0,0,IF($U166&lt;1,1/$U166,IF((GU$56-Voorblad!$F$41)/$U166-SUM($EE166:GT166)=1,1,0))))</f>
        <v>0</v>
      </c>
      <c r="GV166" s="8">
        <f>IF(GV$56-Voorblad!$F$41&gt;Voorblad!$K$41,0,IF($U166=0,0,IF($U166&lt;1,1/$U166,IF((GV$56-Voorblad!$F$41)/$U166-SUM($EE166:GU166)=1,1,0))))</f>
        <v>0</v>
      </c>
      <c r="GW166" s="8">
        <f>IF(GW$56-Voorblad!$F$41&gt;Voorblad!$K$41,0,IF($U166=0,0,IF($U166&lt;1,1/$U166,IF((GW$56-Voorblad!$F$41)/$U166-SUM($EE166:GV166)=1,1,0))))</f>
        <v>0</v>
      </c>
      <c r="GX166" s="8">
        <f>IF(GX$56-Voorblad!$F$41&gt;Voorblad!$K$41,0,IF($U166=0,0,IF($U166&lt;1,1/$U166,IF((GX$56-Voorblad!$F$41)/$U166-SUM($EE166:GW166)=1,1,0))))</f>
        <v>0</v>
      </c>
      <c r="GY166" s="8">
        <f>IF(GY$56-Voorblad!$F$41&gt;Voorblad!$K$41,0,IF($U166=0,0,IF($U166&lt;1,1/$U166,IF((GY$56-Voorblad!$F$41)/$U166-SUM($EE166:GX166)=1,1,0))))</f>
        <v>0</v>
      </c>
      <c r="GZ166" s="8">
        <f>IF(GZ$56-Voorblad!$F$41&gt;Voorblad!$K$41,0,IF($U166=0,0,IF($U166&lt;1,1/$U166,IF((GZ$56-Voorblad!$F$41)/$U166-SUM($EE166:GY166)=1,1,0))))</f>
        <v>0</v>
      </c>
      <c r="HA166" s="8">
        <f>IF(HA$56-Voorblad!$F$41&gt;Voorblad!$K$41,0,IF($U166=0,0,IF($U166&lt;1,1/$U166,IF((HA$56-Voorblad!$F$41)/$U166-SUM($EE166:GZ166)=1,1,0))))</f>
        <v>0</v>
      </c>
      <c r="HB166" s="8">
        <f>IF(HB$56-Voorblad!$F$41&gt;Voorblad!$K$41,0,IF($U166=0,0,IF($U166&lt;1,1/$U166,IF((HB$56-Voorblad!$F$41)/$U166-SUM($EE166:HA166)=1,1,0))))</f>
        <v>0</v>
      </c>
      <c r="HC166" s="8">
        <f>IF(HC$56-Voorblad!$F$41&gt;Voorblad!$K$41,0,IF($U166=0,0,IF($U166&lt;1,1/$U166,IF((HC$56-Voorblad!$F$41)/$U166-SUM($EE166:HB166)=1,1,0))))</f>
        <v>0</v>
      </c>
      <c r="HD166" s="8">
        <f>IF(HD$56-Voorblad!$F$41&gt;Voorblad!$K$41,0,IF($U166=0,0,IF($U166&lt;1,1/$U166,IF((HD$56-Voorblad!$F$41)/$U166-SUM($EE166:HC166)=1,1,0))))</f>
        <v>0</v>
      </c>
      <c r="HE166" s="8">
        <f>IF(HE$56-Voorblad!$F$41&gt;Voorblad!$K$41,0,IF($U166=0,0,IF($U166&lt;1,1/$U166,IF((HE$56-Voorblad!$F$41)/$U166-SUM($EE166:HD166)=1,1,0))))</f>
        <v>0</v>
      </c>
      <c r="HF166" s="8">
        <f>IF(HF$56-Voorblad!$F$41&gt;Voorblad!$K$41,0,IF($U166=0,0,IF($U166&lt;1,1/$U166,IF((HF$56-Voorblad!$F$41)/$U166-SUM($EE166:HE166)=1,1,0))))</f>
        <v>0</v>
      </c>
      <c r="HG166" s="8">
        <f>IF(HG$56-Voorblad!$F$41&gt;Voorblad!$K$41,0,IF($U166=0,0,IF($U166&lt;1,1/$U166,IF((HG$56-Voorblad!$F$41)/$U166-SUM($EE166:HF166)=1,1,0))))</f>
        <v>0</v>
      </c>
      <c r="HH166" s="8">
        <f>IF(HH$56-Voorblad!$F$41&gt;Voorblad!$K$41,0,IF($U166=0,0,IF($U166&lt;1,1/$U166,IF((HH$56-Voorblad!$F$41)/$U166-SUM($EE166:HG166)=1,1,0))))</f>
        <v>0</v>
      </c>
      <c r="HI166" s="8">
        <f>IF(HI$56-Voorblad!$F$41&gt;Voorblad!$K$41,0,IF($U166=0,0,IF($U166&lt;1,1/$U166,IF((HI$56-Voorblad!$F$41)/$U166-SUM($EE166:HH166)=1,1,0))))</f>
        <v>0</v>
      </c>
      <c r="HJ166" s="8">
        <f>IF(HJ$56-Voorblad!$F$41&gt;Voorblad!$K$41,0,IF($U166=0,0,IF($U166&lt;1,1/$U166,IF((HJ$56-Voorblad!$F$41)/$U166-SUM($EE166:HI166)=1,1,0))))</f>
        <v>0</v>
      </c>
      <c r="HK166" s="8">
        <f>IF(HK$56-Voorblad!$F$41&gt;Voorblad!$K$41,0,IF($U166=0,0,IF($U166&lt;1,1/$U166,IF((HK$56-Voorblad!$F$41)/$U166-SUM($EE166:HJ166)=1,1,0))))</f>
        <v>0</v>
      </c>
      <c r="HL166" s="8">
        <f>IF(HL$56-Voorblad!$F$41&gt;Voorblad!$K$41,0,IF($U166=0,0,IF($U166&lt;1,1/$U166,IF((HL$56-Voorblad!$F$41)/$U166-SUM($EE166:HK166)=1,1,0))))</f>
        <v>0</v>
      </c>
      <c r="HM166" s="8">
        <f>IF(HM$56-Voorblad!$F$41&gt;Voorblad!$K$41,0,IF($U166=0,0,IF($U166&lt;1,1/$U166,IF((HM$56-Voorblad!$F$41)/$U166-SUM($EE166:HL166)=1,1,0))))</f>
        <v>0</v>
      </c>
      <c r="HN166" s="8">
        <f>IF(HN$56-Voorblad!$F$41&gt;Voorblad!$K$41,0,IF($U166=0,0,IF($U166&lt;1,1/$U166,IF((HN$56-Voorblad!$F$41)/$U166-SUM($EE166:HM166)=1,1,0))))</f>
        <v>0</v>
      </c>
      <c r="HO166" s="8">
        <f>IF(HO$56-Voorblad!$F$41&gt;Voorblad!$K$41,0,IF($U166=0,0,IF($U166&lt;1,1/$U166,IF((HO$56-Voorblad!$F$41)/$U166-SUM($EE166:HN166)=1,1,0))))</f>
        <v>0</v>
      </c>
      <c r="HP166" s="8">
        <f>IF(HP$56-Voorblad!$F$41&gt;Voorblad!$K$41,0,IF($U166=0,0,IF($U166&lt;1,1/$U166,IF((HP$56-Voorblad!$F$41)/$U166-SUM($EE166:HO166)=1,1,0))))</f>
        <v>0</v>
      </c>
      <c r="HQ166" s="8">
        <f>IF(HQ$56-Voorblad!$F$41&gt;Voorblad!$K$41,0,IF($U166=0,0,IF($U166&lt;1,1/$U166,IF((HQ$56-Voorblad!$F$41)/$U166-SUM($EE166:HP166)=1,1,0))))</f>
        <v>0</v>
      </c>
      <c r="HR166" s="8">
        <f>IF(HR$56-Voorblad!$F$41&gt;Voorblad!$K$41,0,IF($U166=0,0,IF($U166&lt;1,1/$U166,IF((HR$56-Voorblad!$F$41)/$U166-SUM($EE166:HQ166)=1,1,0))))</f>
        <v>0</v>
      </c>
      <c r="HS166" s="8">
        <f>IF(HS$56-Voorblad!$F$41&gt;Voorblad!$K$41,0,IF($U166=0,0,IF($U166&lt;1,1/$U166,IF((HS$56-Voorblad!$F$41)/$U166-SUM($EE166:HR166)=1,1,0))))</f>
        <v>0</v>
      </c>
      <c r="HT166" s="8">
        <f>IF(HT$56-Voorblad!$F$41&gt;Voorblad!$K$41,0,IF($U166=0,0,IF($U166&lt;1,1/$U166,IF((HT$56-Voorblad!$F$41)/$U166-SUM($EE166:HS166)=1,1,0))))</f>
        <v>0</v>
      </c>
      <c r="HU166" s="8">
        <f>IF(HU$56-Voorblad!$F$41&gt;Voorblad!$K$41,0,IF($U166=0,0,IF($U166&lt;1,1/$U166,IF((HU$56-Voorblad!$F$41)/$U166-SUM($EE166:HT166)=1,1,0))))</f>
        <v>0</v>
      </c>
      <c r="HV166" s="8">
        <f>IF(HV$56-Voorblad!$F$41&gt;Voorblad!$K$41,0,IF($U166=0,0,IF($U166&lt;1,1/$U166,IF((HV$56-Voorblad!$F$41)/$U166-SUM($EE166:HU166)=1,1,0))))</f>
        <v>0</v>
      </c>
      <c r="HW166" s="8">
        <f>IF(HW$56-Voorblad!$F$41&gt;Voorblad!$K$41,0,IF($U166=0,0,IF($U166&lt;1,1/$U166,IF((HW$56-Voorblad!$F$41)/$U166-SUM($EE166:HV166)=1,1,0))))</f>
        <v>0</v>
      </c>
      <c r="HX166" s="8">
        <f>IF(HX$56-Voorblad!$F$41&gt;Voorblad!$K$41,0,IF($U166=0,0,IF($U166&lt;1,1/$U166,IF((HX$56-Voorblad!$F$41)/$U166-SUM($EE166:HW166)=1,1,0))))</f>
        <v>0</v>
      </c>
      <c r="HY166" s="8">
        <f>IF(HY$56-Voorblad!$F$41&gt;Voorblad!$K$41,0,IF($U166=0,0,IF($U166&lt;1,1/$U166,IF((HY$56-Voorblad!$F$41)/$U166-SUM($EE166:HX166)=1,1,0))))</f>
        <v>0</v>
      </c>
      <c r="HZ166" s="8">
        <f>IF(HZ$56-Voorblad!$F$41&gt;Voorblad!$K$41,0,IF($U166=0,0,IF($U166&lt;1,1/$U166,IF((HZ$56-Voorblad!$F$41)/$U166-SUM($EE166:HY166)=1,1,0))))</f>
        <v>0</v>
      </c>
      <c r="IA166" s="8">
        <f>IF(IA$56-Voorblad!$F$41&gt;Voorblad!$K$41,0,IF($U166=0,0,IF($U166&lt;1,1/$U166,IF((IA$56-Voorblad!$F$41)/$U166-SUM($EE166:HZ166)=1,1,0))))</f>
        <v>0</v>
      </c>
      <c r="IB166" s="8">
        <f>IF(IB$56-Voorblad!$F$41&gt;Voorblad!$K$41,0,IF($U166=0,0,IF($U166&lt;1,1/$U166,IF((IB$56-Voorblad!$F$41)/$U166-SUM($EE166:IA166)=1,1,0))))</f>
        <v>0</v>
      </c>
    </row>
    <row r="167" spans="2:236" ht="12" hidden="1" customHeight="1" outlineLevel="1" x14ac:dyDescent="0.25">
      <c r="B167" s="1">
        <v>3</v>
      </c>
      <c r="F167" s="1" t="s">
        <v>23</v>
      </c>
      <c r="I167" s="14" t="s">
        <v>277</v>
      </c>
      <c r="K167" s="14" t="s">
        <v>189</v>
      </c>
      <c r="L167" s="14"/>
      <c r="M167" s="14"/>
      <c r="O167" s="1" t="s">
        <v>173</v>
      </c>
      <c r="P167" s="1" t="s">
        <v>176</v>
      </c>
      <c r="Q167" s="81">
        <v>0</v>
      </c>
      <c r="R167" s="1" t="s">
        <v>35</v>
      </c>
      <c r="S167" s="14">
        <f>$H$20*500</f>
        <v>885</v>
      </c>
      <c r="T167" s="1">
        <f t="shared" si="189"/>
        <v>0</v>
      </c>
      <c r="U167" s="14">
        <v>15</v>
      </c>
      <c r="V167" s="14"/>
      <c r="Y167" s="9">
        <f t="shared" si="192"/>
        <v>0</v>
      </c>
      <c r="Z167" s="82"/>
      <c r="AA167" s="82"/>
      <c r="AC167" s="9">
        <f>$Y167*(Voorblad!$K$44*(1+Voorblad!$K$44)^Voorblad!$K$41)/((1+Voorblad!$K$44)^Voorblad!$K$41-1)</f>
        <v>0</v>
      </c>
      <c r="AE167" s="9">
        <f>EF167*($Q167*$S167)/(1+Voorblad!$K$44)^(AE$56-Voorblad!$F$41)</f>
        <v>0</v>
      </c>
      <c r="AF167" s="9">
        <f>EG167*($Q167*$S167)/(1+Voorblad!$K$44)^(AF$56-Voorblad!$F$41)</f>
        <v>0</v>
      </c>
      <c r="AG167" s="9">
        <f>EH167*($Q167*$S167)/(1+Voorblad!$K$44)^(AG$56-Voorblad!$F$41)</f>
        <v>0</v>
      </c>
      <c r="AH167" s="9">
        <f>EI167*($Q167*$S167)/(1+Voorblad!$K$44)^(AH$56-Voorblad!$F$41)</f>
        <v>0</v>
      </c>
      <c r="AI167" s="9">
        <f>EJ167*($Q167*$S167)/(1+Voorblad!$K$44)^(AI$56-Voorblad!$F$41)</f>
        <v>0</v>
      </c>
      <c r="AJ167" s="9">
        <f>EK167*($Q167*$S167)/(1+Voorblad!$K$44)^(AJ$56-Voorblad!$F$41)</f>
        <v>0</v>
      </c>
      <c r="AK167" s="9">
        <f>EL167*($Q167*$S167)/(1+Voorblad!$K$44)^(AK$56-Voorblad!$F$41)</f>
        <v>0</v>
      </c>
      <c r="AL167" s="9">
        <f>EM167*($Q167*$S167)/(1+Voorblad!$K$44)^(AL$56-Voorblad!$F$41)</f>
        <v>0</v>
      </c>
      <c r="AM167" s="9">
        <f>EN167*($Q167*$S167)/(1+Voorblad!$K$44)^(AM$56-Voorblad!$F$41)</f>
        <v>0</v>
      </c>
      <c r="AN167" s="9">
        <f>EO167*($Q167*$S167)/(1+Voorblad!$K$44)^(AN$56-Voorblad!$F$41)</f>
        <v>0</v>
      </c>
      <c r="AO167" s="9">
        <f>EP167*($Q167*$S167)/(1+Voorblad!$K$44)^(AO$56-Voorblad!$F$41)</f>
        <v>0</v>
      </c>
      <c r="AP167" s="9">
        <f>EQ167*($Q167*$S167)/(1+Voorblad!$K$44)^(AP$56-Voorblad!$F$41)</f>
        <v>0</v>
      </c>
      <c r="AQ167" s="9">
        <f>ER167*($Q167*$S167)/(1+Voorblad!$K$44)^(AQ$56-Voorblad!$F$41)</f>
        <v>0</v>
      </c>
      <c r="AR167" s="9">
        <f>ES167*($Q167*$S167)/(1+Voorblad!$K$44)^(AR$56-Voorblad!$F$41)</f>
        <v>0</v>
      </c>
      <c r="AS167" s="9">
        <f>ET167*($Q167*$S167)/(1+Voorblad!$K$44)^(AS$56-Voorblad!$F$41)</f>
        <v>0</v>
      </c>
      <c r="AT167" s="9">
        <f>EU167*($Q167*$S167)/(1+Voorblad!$K$44)^(AT$56-Voorblad!$F$41)</f>
        <v>0</v>
      </c>
      <c r="AU167" s="9">
        <f>EV167*($Q167*$S167)/(1+Voorblad!$K$44)^(AU$56-Voorblad!$F$41)</f>
        <v>0</v>
      </c>
      <c r="AV167" s="9">
        <f>EW167*($Q167*$S167)/(1+Voorblad!$K$44)^(AV$56-Voorblad!$F$41)</f>
        <v>0</v>
      </c>
      <c r="AW167" s="9">
        <f>EX167*($Q167*$S167)/(1+Voorblad!$K$44)^(AW$56-Voorblad!$F$41)</f>
        <v>0</v>
      </c>
      <c r="AX167" s="9">
        <f>EY167*($Q167*$S167)/(1+Voorblad!$K$44)^(AX$56-Voorblad!$F$41)</f>
        <v>0</v>
      </c>
      <c r="AY167" s="9">
        <f>EZ167*($Q167*$S167)/(1+Voorblad!$K$44)^(AY$56-Voorblad!$F$41)</f>
        <v>0</v>
      </c>
      <c r="AZ167" s="9">
        <f>FA167*($Q167*$S167)/(1+Voorblad!$K$44)^(AZ$56-Voorblad!$F$41)</f>
        <v>0</v>
      </c>
      <c r="BA167" s="9">
        <f>FB167*($Q167*$S167)/(1+Voorblad!$K$44)^(BA$56-Voorblad!$F$41)</f>
        <v>0</v>
      </c>
      <c r="BB167" s="9">
        <f>FC167*($Q167*$S167)/(1+Voorblad!$K$44)^(BB$56-Voorblad!$F$41)</f>
        <v>0</v>
      </c>
      <c r="BC167" s="9">
        <f>FD167*($Q167*$S167)/(1+Voorblad!$K$44)^(BC$56-Voorblad!$F$41)</f>
        <v>0</v>
      </c>
      <c r="BD167" s="9">
        <f>FE167*($Q167*$S167)/(1+Voorblad!$K$44)^(BD$56-Voorblad!$F$41)</f>
        <v>0</v>
      </c>
      <c r="BE167" s="9">
        <f>FF167*($Q167*$S167)/(1+Voorblad!$K$44)^(BE$56-Voorblad!$F$41)</f>
        <v>0</v>
      </c>
      <c r="BF167" s="9">
        <f>FG167*($Q167*$S167)/(1+Voorblad!$K$44)^(BF$56-Voorblad!$F$41)</f>
        <v>0</v>
      </c>
      <c r="BG167" s="9">
        <f>FH167*($Q167*$S167)/(1+Voorblad!$K$44)^(BG$56-Voorblad!$F$41)</f>
        <v>0</v>
      </c>
      <c r="BH167" s="9">
        <f>FI167*($Q167*$S167)/(1+Voorblad!$K$44)^(BH$56-Voorblad!$F$41)</f>
        <v>0</v>
      </c>
      <c r="BI167" s="9">
        <f>FJ167*($Q167*$S167)/(1+Voorblad!$K$44)^(BI$56-Voorblad!$F$41)</f>
        <v>0</v>
      </c>
      <c r="BJ167" s="9">
        <f>FK167*($Q167*$S167)/(1+Voorblad!$K$44)^(BJ$56-Voorblad!$F$41)</f>
        <v>0</v>
      </c>
      <c r="BK167" s="9">
        <f>FL167*($Q167*$S167)/(1+Voorblad!$K$44)^(BK$56-Voorblad!$F$41)</f>
        <v>0</v>
      </c>
      <c r="BL167" s="9">
        <f>FM167*($Q167*$S167)/(1+Voorblad!$K$44)^(BL$56-Voorblad!$F$41)</f>
        <v>0</v>
      </c>
      <c r="BM167" s="9">
        <f>FN167*($Q167*$S167)/(1+Voorblad!$K$44)^(BM$56-Voorblad!$F$41)</f>
        <v>0</v>
      </c>
      <c r="BN167" s="9">
        <f>FO167*($Q167*$S167)/(1+Voorblad!$K$44)^(BN$56-Voorblad!$F$41)</f>
        <v>0</v>
      </c>
      <c r="BO167" s="9">
        <f>FP167*($Q167*$S167)/(1+Voorblad!$K$44)^(BO$56-Voorblad!$F$41)</f>
        <v>0</v>
      </c>
      <c r="BP167" s="9">
        <f>FQ167*($Q167*$S167)/(1+Voorblad!$K$44)^(BP$56-Voorblad!$F$41)</f>
        <v>0</v>
      </c>
      <c r="BQ167" s="9">
        <f>FR167*($Q167*$S167)/(1+Voorblad!$K$44)^(BQ$56-Voorblad!$F$41)</f>
        <v>0</v>
      </c>
      <c r="BR167" s="9">
        <f>FS167*($Q167*$S167)/(1+Voorblad!$K$44)^(BR$56-Voorblad!$F$41)</f>
        <v>0</v>
      </c>
      <c r="BS167" s="9">
        <f>FT167*($Q167*$S167)/(1+Voorblad!$K$44)^(BS$56-Voorblad!$F$41)</f>
        <v>0</v>
      </c>
      <c r="BT167" s="9">
        <f>FU167*($Q167*$S167)/(1+Voorblad!$K$44)^(BT$56-Voorblad!$F$41)</f>
        <v>0</v>
      </c>
      <c r="BU167" s="9">
        <f>FV167*($Q167*$S167)/(1+Voorblad!$K$44)^(BU$56-Voorblad!$F$41)</f>
        <v>0</v>
      </c>
      <c r="BV167" s="9">
        <f>FW167*($Q167*$S167)/(1+Voorblad!$K$44)^(BV$56-Voorblad!$F$41)</f>
        <v>0</v>
      </c>
      <c r="BW167" s="9">
        <f>FX167*($Q167*$S167)/(1+Voorblad!$K$44)^(BW$56-Voorblad!$F$41)</f>
        <v>0</v>
      </c>
      <c r="BX167" s="9">
        <f>FY167*($Q167*$S167)/(1+Voorblad!$K$44)^(BX$56-Voorblad!$F$41)</f>
        <v>0</v>
      </c>
      <c r="BY167" s="9">
        <f>FZ167*($Q167*$S167)/(1+Voorblad!$K$44)^(BY$56-Voorblad!$F$41)</f>
        <v>0</v>
      </c>
      <c r="BZ167" s="9">
        <f>GA167*($Q167*$S167)/(1+Voorblad!$K$44)^(BZ$56-Voorblad!$F$41)</f>
        <v>0</v>
      </c>
      <c r="CA167" s="9">
        <f>GB167*($Q167*$S167)/(1+Voorblad!$K$44)^(CA$56-Voorblad!$F$41)</f>
        <v>0</v>
      </c>
      <c r="CB167" s="9">
        <f>GC167*($Q167*$S167)/(1+Voorblad!$K$44)^(CB$56-Voorblad!$F$41)</f>
        <v>0</v>
      </c>
      <c r="CC167" s="9">
        <f>GD167*($Q167*$S167)/(1+Voorblad!$K$44)^(CC$56-Voorblad!$F$41)</f>
        <v>0</v>
      </c>
      <c r="CD167" s="9">
        <f>GE167*($Q167*$S167)/(1+Voorblad!$K$44)^(CD$56-Voorblad!$F$41)</f>
        <v>0</v>
      </c>
      <c r="CE167" s="9">
        <f>GF167*($Q167*$S167)/(1+Voorblad!$K$44)^(CE$56-Voorblad!$F$41)</f>
        <v>0</v>
      </c>
      <c r="CF167" s="9">
        <f>GG167*($Q167*$S167)/(1+Voorblad!$K$44)^(CF$56-Voorblad!$F$41)</f>
        <v>0</v>
      </c>
      <c r="CG167" s="9">
        <f>GH167*($Q167*$S167)/(1+Voorblad!$K$44)^(CG$56-Voorblad!$F$41)</f>
        <v>0</v>
      </c>
      <c r="CH167" s="9">
        <f>GI167*($Q167*$S167)/(1+Voorblad!$K$44)^(CH$56-Voorblad!$F$41)</f>
        <v>0</v>
      </c>
      <c r="CI167" s="9">
        <f>GJ167*($Q167*$S167)/(1+Voorblad!$K$44)^(CI$56-Voorblad!$F$41)</f>
        <v>0</v>
      </c>
      <c r="CJ167" s="9">
        <f>GK167*($Q167*$S167)/(1+Voorblad!$K$44)^(CJ$56-Voorblad!$F$41)</f>
        <v>0</v>
      </c>
      <c r="CK167" s="9">
        <f>GL167*($Q167*$S167)/(1+Voorblad!$K$44)^(CK$56-Voorblad!$F$41)</f>
        <v>0</v>
      </c>
      <c r="CL167" s="9">
        <f>GM167*($Q167*$S167)/(1+Voorblad!$K$44)^(CL$56-Voorblad!$F$41)</f>
        <v>0</v>
      </c>
      <c r="CM167" s="9">
        <f>GN167*($Q167*$S167)/(1+Voorblad!$K$44)^(CM$56-Voorblad!$F$41)</f>
        <v>0</v>
      </c>
      <c r="CN167" s="9">
        <f>GO167*($Q167*$S167)/(1+Voorblad!$K$44)^(CN$56-Voorblad!$F$41)</f>
        <v>0</v>
      </c>
      <c r="CO167" s="9">
        <f>GP167*($Q167*$S167)/(1+Voorblad!$K$44)^(CO$56-Voorblad!$F$41)</f>
        <v>0</v>
      </c>
      <c r="CP167" s="9">
        <f>GQ167*($Q167*$S167)/(1+Voorblad!$K$44)^(CP$56-Voorblad!$F$41)</f>
        <v>0</v>
      </c>
      <c r="CQ167" s="9">
        <f>GR167*($Q167*$S167)/(1+Voorblad!$K$44)^(CQ$56-Voorblad!$F$41)</f>
        <v>0</v>
      </c>
      <c r="CR167" s="9">
        <f>GS167*($Q167*$S167)/(1+Voorblad!$K$44)^(CR$56-Voorblad!$F$41)</f>
        <v>0</v>
      </c>
      <c r="CS167" s="9">
        <f>GT167*($Q167*$S167)/(1+Voorblad!$K$44)^(CS$56-Voorblad!$F$41)</f>
        <v>0</v>
      </c>
      <c r="CT167" s="9">
        <f>GU167*($Q167*$S167)/(1+Voorblad!$K$44)^(CT$56-Voorblad!$F$41)</f>
        <v>0</v>
      </c>
      <c r="CU167" s="9">
        <f>GV167*($Q167*$S167)/(1+Voorblad!$K$44)^(CU$56-Voorblad!$F$41)</f>
        <v>0</v>
      </c>
      <c r="CV167" s="9">
        <f>GW167*($Q167*$S167)/(1+Voorblad!$K$44)^(CV$56-Voorblad!$F$41)</f>
        <v>0</v>
      </c>
      <c r="CW167" s="9">
        <f>GX167*($Q167*$S167)/(1+Voorblad!$K$44)^(CW$56-Voorblad!$F$41)</f>
        <v>0</v>
      </c>
      <c r="CX167" s="9">
        <f>GY167*($Q167*$S167)/(1+Voorblad!$K$44)^(CX$56-Voorblad!$F$41)</f>
        <v>0</v>
      </c>
      <c r="CY167" s="9">
        <f>GZ167*($Q167*$S167)/(1+Voorblad!$K$44)^(CY$56-Voorblad!$F$41)</f>
        <v>0</v>
      </c>
      <c r="CZ167" s="9">
        <f>HA167*($Q167*$S167)/(1+Voorblad!$K$44)^(CZ$56-Voorblad!$F$41)</f>
        <v>0</v>
      </c>
      <c r="DA167" s="9">
        <f>HB167*($Q167*$S167)/(1+Voorblad!$K$44)^(DA$56-Voorblad!$F$41)</f>
        <v>0</v>
      </c>
      <c r="DB167" s="9">
        <f>HC167*($Q167*$S167)/(1+Voorblad!$K$44)^(DB$56-Voorblad!$F$41)</f>
        <v>0</v>
      </c>
      <c r="DC167" s="9">
        <f>HD167*($Q167*$S167)/(1+Voorblad!$K$44)^(DC$56-Voorblad!$F$41)</f>
        <v>0</v>
      </c>
      <c r="DD167" s="9">
        <f>HE167*($Q167*$S167)/(1+Voorblad!$K$44)^(DD$56-Voorblad!$F$41)</f>
        <v>0</v>
      </c>
      <c r="DE167" s="9">
        <f>HF167*($Q167*$S167)/(1+Voorblad!$K$44)^(DE$56-Voorblad!$F$41)</f>
        <v>0</v>
      </c>
      <c r="DF167" s="9">
        <f>HG167*($Q167*$S167)/(1+Voorblad!$K$44)^(DF$56-Voorblad!$F$41)</f>
        <v>0</v>
      </c>
      <c r="DG167" s="9">
        <f>HH167*($Q167*$S167)/(1+Voorblad!$K$44)^(DG$56-Voorblad!$F$41)</f>
        <v>0</v>
      </c>
      <c r="DH167" s="9">
        <f>HI167*($Q167*$S167)/(1+Voorblad!$K$44)^(DH$56-Voorblad!$F$41)</f>
        <v>0</v>
      </c>
      <c r="DI167" s="9">
        <f>HJ167*($Q167*$S167)/(1+Voorblad!$K$44)^(DI$56-Voorblad!$F$41)</f>
        <v>0</v>
      </c>
      <c r="DJ167" s="9">
        <f>HK167*($Q167*$S167)/(1+Voorblad!$K$44)^(DJ$56-Voorblad!$F$41)</f>
        <v>0</v>
      </c>
      <c r="DK167" s="9">
        <f>HL167*($Q167*$S167)/(1+Voorblad!$K$44)^(DK$56-Voorblad!$F$41)</f>
        <v>0</v>
      </c>
      <c r="DL167" s="9">
        <f>HM167*($Q167*$S167)/(1+Voorblad!$K$44)^(DL$56-Voorblad!$F$41)</f>
        <v>0</v>
      </c>
      <c r="DM167" s="9">
        <f>HN167*($Q167*$S167)/(1+Voorblad!$K$44)^(DM$56-Voorblad!$F$41)</f>
        <v>0</v>
      </c>
      <c r="DN167" s="9">
        <f>HO167*($Q167*$S167)/(1+Voorblad!$K$44)^(DN$56-Voorblad!$F$41)</f>
        <v>0</v>
      </c>
      <c r="DO167" s="9">
        <f>HP167*($Q167*$S167)/(1+Voorblad!$K$44)^(DO$56-Voorblad!$F$41)</f>
        <v>0</v>
      </c>
      <c r="DP167" s="9">
        <f>HQ167*($Q167*$S167)/(1+Voorblad!$K$44)^(DP$56-Voorblad!$F$41)</f>
        <v>0</v>
      </c>
      <c r="DQ167" s="9">
        <f>HR167*($Q167*$S167)/(1+Voorblad!$K$44)^(DQ$56-Voorblad!$F$41)</f>
        <v>0</v>
      </c>
      <c r="DR167" s="9">
        <f>HS167*($Q167*$S167)/(1+Voorblad!$K$44)^(DR$56-Voorblad!$F$41)</f>
        <v>0</v>
      </c>
      <c r="DS167" s="9">
        <f>HT167*($Q167*$S167)/(1+Voorblad!$K$44)^(DS$56-Voorblad!$F$41)</f>
        <v>0</v>
      </c>
      <c r="DT167" s="9">
        <f>HU167*($Q167*$S167)/(1+Voorblad!$K$44)^(DT$56-Voorblad!$F$41)</f>
        <v>0</v>
      </c>
      <c r="DU167" s="9">
        <f>HV167*($Q167*$S167)/(1+Voorblad!$K$44)^(DU$56-Voorblad!$F$41)</f>
        <v>0</v>
      </c>
      <c r="DV167" s="9">
        <f>HW167*($Q167*$S167)/(1+Voorblad!$K$44)^(DV$56-Voorblad!$F$41)</f>
        <v>0</v>
      </c>
      <c r="DW167" s="9">
        <f>HX167*($Q167*$S167)/(1+Voorblad!$K$44)^(DW$56-Voorblad!$F$41)</f>
        <v>0</v>
      </c>
      <c r="DX167" s="9">
        <f>HY167*($Q167*$S167)/(1+Voorblad!$K$44)^(DX$56-Voorblad!$F$41)</f>
        <v>0</v>
      </c>
      <c r="DY167" s="9">
        <f>HZ167*($Q167*$S167)/(1+Voorblad!$K$44)^(DY$56-Voorblad!$F$41)</f>
        <v>0</v>
      </c>
      <c r="DZ167" s="9">
        <f>IA167*($Q167*$S167)/(1+Voorblad!$K$44)^(DZ$56-Voorblad!$F$41)</f>
        <v>0</v>
      </c>
      <c r="EA167" s="9">
        <f>IB167*($Q167*$S167)/(1+Voorblad!$K$44)^(EA$56-Voorblad!$F$41)</f>
        <v>0</v>
      </c>
      <c r="EB167" s="9">
        <f>IC167*($Q167*$S167)/(1+Voorblad!$K$44)^(EB$56-Voorblad!$F$41)</f>
        <v>0</v>
      </c>
      <c r="EE167" s="8">
        <v>0</v>
      </c>
      <c r="EF167" s="8">
        <f>IF(EF$56-Voorblad!$F$41&gt;Voorblad!$K$41,0,IF($U167=0,0,IF($U167&lt;1,1/$U167,IF((EF$56-Voorblad!$F$41)/$U167-SUM($EE167:EE167)=1,1,0))))</f>
        <v>0</v>
      </c>
      <c r="EG167" s="8">
        <f>IF(EG$56-Voorblad!$F$41&gt;Voorblad!$K$41,0,IF($U167=0,0,IF($U167&lt;1,1/$U167,IF((EG$56-Voorblad!$F$41)/$U167-SUM($EE167:EF167)=1,1,0))))</f>
        <v>0</v>
      </c>
      <c r="EH167" s="8">
        <f>IF(EH$56-Voorblad!$F$41&gt;Voorblad!$K$41,0,IF($U167=0,0,IF($U167&lt;1,1/$U167,IF((EH$56-Voorblad!$F$41)/$U167-SUM($EE167:EG167)=1,1,0))))</f>
        <v>0</v>
      </c>
      <c r="EI167" s="8">
        <f>IF(EI$56-Voorblad!$F$41&gt;Voorblad!$K$41,0,IF($U167=0,0,IF($U167&lt;1,1/$U167,IF((EI$56-Voorblad!$F$41)/$U167-SUM($EE167:EH167)=1,1,0))))</f>
        <v>0</v>
      </c>
      <c r="EJ167" s="8">
        <f>IF(EJ$56-Voorblad!$F$41&gt;Voorblad!$K$41,0,IF($U167=0,0,IF($U167&lt;1,1/$U167,IF((EJ$56-Voorblad!$F$41)/$U167-SUM($EE167:EI167)=1,1,0))))</f>
        <v>0</v>
      </c>
      <c r="EK167" s="8">
        <f>IF(EK$56-Voorblad!$F$41&gt;Voorblad!$K$41,0,IF($U167=0,0,IF($U167&lt;1,1/$U167,IF((EK$56-Voorblad!$F$41)/$U167-SUM($EE167:EJ167)=1,1,0))))</f>
        <v>0</v>
      </c>
      <c r="EL167" s="8">
        <f>IF(EL$56-Voorblad!$F$41&gt;Voorblad!$K$41,0,IF($U167=0,0,IF($U167&lt;1,1/$U167,IF((EL$56-Voorblad!$F$41)/$U167-SUM($EE167:EK167)=1,1,0))))</f>
        <v>0</v>
      </c>
      <c r="EM167" s="8">
        <f>IF(EM$56-Voorblad!$F$41&gt;Voorblad!$K$41,0,IF($U167=0,0,IF($U167&lt;1,1/$U167,IF((EM$56-Voorblad!$F$41)/$U167-SUM($EE167:EL167)=1,1,0))))</f>
        <v>0</v>
      </c>
      <c r="EN167" s="8">
        <f>IF(EN$56-Voorblad!$F$41&gt;Voorblad!$K$41,0,IF($U167=0,0,IF($U167&lt;1,1/$U167,IF((EN$56-Voorblad!$F$41)/$U167-SUM($EE167:EM167)=1,1,0))))</f>
        <v>0</v>
      </c>
      <c r="EO167" s="8">
        <f>IF(EO$56-Voorblad!$F$41&gt;Voorblad!$K$41,0,IF($U167=0,0,IF($U167&lt;1,1/$U167,IF((EO$56-Voorblad!$F$41)/$U167-SUM($EE167:EN167)=1,1,0))))</f>
        <v>0</v>
      </c>
      <c r="EP167" s="8">
        <f>IF(EP$56-Voorblad!$F$41&gt;Voorblad!$K$41,0,IF($U167=0,0,IF($U167&lt;1,1/$U167,IF((EP$56-Voorblad!$F$41)/$U167-SUM($EE167:EO167)=1,1,0))))</f>
        <v>0</v>
      </c>
      <c r="EQ167" s="8">
        <f>IF(EQ$56-Voorblad!$F$41&gt;Voorblad!$K$41,0,IF($U167=0,0,IF($U167&lt;1,1/$U167,IF((EQ$56-Voorblad!$F$41)/$U167-SUM($EE167:EP167)=1,1,0))))</f>
        <v>0</v>
      </c>
      <c r="ER167" s="8">
        <f>IF(ER$56-Voorblad!$F$41&gt;Voorblad!$K$41,0,IF($U167=0,0,IF($U167&lt;1,1/$U167,IF((ER$56-Voorblad!$F$41)/$U167-SUM($EE167:EQ167)=1,1,0))))</f>
        <v>0</v>
      </c>
      <c r="ES167" s="8">
        <f>IF(ES$56-Voorblad!$F$41&gt;Voorblad!$K$41,0,IF($U167=0,0,IF($U167&lt;1,1/$U167,IF((ES$56-Voorblad!$F$41)/$U167-SUM($EE167:ER167)=1,1,0))))</f>
        <v>0</v>
      </c>
      <c r="ET167" s="8">
        <f>IF(ET$56-Voorblad!$F$41&gt;Voorblad!$K$41,0,IF($U167=0,0,IF($U167&lt;1,1/$U167,IF((ET$56-Voorblad!$F$41)/$U167-SUM($EE167:ES167)=1,1,0))))</f>
        <v>0</v>
      </c>
      <c r="EU167" s="8">
        <f>IF(EU$56-Voorblad!$F$41&gt;Voorblad!$K$41,0,IF($U167=0,0,IF($U167&lt;1,1/$U167,IF((EU$56-Voorblad!$F$41)/$U167-SUM($EE167:ET167)=1,1,0))))</f>
        <v>1</v>
      </c>
      <c r="EV167" s="8">
        <f>IF(EV$56-Voorblad!$F$41&gt;Voorblad!$K$41,0,IF($U167=0,0,IF($U167&lt;1,1/$U167,IF((EV$56-Voorblad!$F$41)/$U167-SUM($EE167:EU167)=1,1,0))))</f>
        <v>0</v>
      </c>
      <c r="EW167" s="8">
        <f>IF(EW$56-Voorblad!$F$41&gt;Voorblad!$K$41,0,IF($U167=0,0,IF($U167&lt;1,1/$U167,IF((EW$56-Voorblad!$F$41)/$U167-SUM($EE167:EV167)=1,1,0))))</f>
        <v>0</v>
      </c>
      <c r="EX167" s="8">
        <f>IF(EX$56-Voorblad!$F$41&gt;Voorblad!$K$41,0,IF($U167=0,0,IF($U167&lt;1,1/$U167,IF((EX$56-Voorblad!$F$41)/$U167-SUM($EE167:EW167)=1,1,0))))</f>
        <v>0</v>
      </c>
      <c r="EY167" s="8">
        <f>IF(EY$56-Voorblad!$F$41&gt;Voorblad!$K$41,0,IF($U167=0,0,IF($U167&lt;1,1/$U167,IF((EY$56-Voorblad!$F$41)/$U167-SUM($EE167:EX167)=1,1,0))))</f>
        <v>0</v>
      </c>
      <c r="EZ167" s="8">
        <f>IF(EZ$56-Voorblad!$F$41&gt;Voorblad!$K$41,0,IF($U167=0,0,IF($U167&lt;1,1/$U167,IF((EZ$56-Voorblad!$F$41)/$U167-SUM($EE167:EY167)=1,1,0))))</f>
        <v>0</v>
      </c>
      <c r="FA167" s="8">
        <f>IF(FA$56-Voorblad!$F$41&gt;Voorblad!$K$41,0,IF($U167=0,0,IF($U167&lt;1,1/$U167,IF((FA$56-Voorblad!$F$41)/$U167-SUM($EE167:EZ167)=1,1,0))))</f>
        <v>0</v>
      </c>
      <c r="FB167" s="8">
        <f>IF(FB$56-Voorblad!$F$41&gt;Voorblad!$K$41,0,IF($U167=0,0,IF($U167&lt;1,1/$U167,IF((FB$56-Voorblad!$F$41)/$U167-SUM($EE167:FA167)=1,1,0))))</f>
        <v>0</v>
      </c>
      <c r="FC167" s="8">
        <f>IF(FC$56-Voorblad!$F$41&gt;Voorblad!$K$41,0,IF($U167=0,0,IF($U167&lt;1,1/$U167,IF((FC$56-Voorblad!$F$41)/$U167-SUM($EE167:FB167)=1,1,0))))</f>
        <v>0</v>
      </c>
      <c r="FD167" s="8">
        <f>IF(FD$56-Voorblad!$F$41&gt;Voorblad!$K$41,0,IF($U167=0,0,IF($U167&lt;1,1/$U167,IF((FD$56-Voorblad!$F$41)/$U167-SUM($EE167:FC167)=1,1,0))))</f>
        <v>0</v>
      </c>
      <c r="FE167" s="8">
        <f>IF(FE$56-Voorblad!$F$41&gt;Voorblad!$K$41,0,IF($U167=0,0,IF($U167&lt;1,1/$U167,IF((FE$56-Voorblad!$F$41)/$U167-SUM($EE167:FD167)=1,1,0))))</f>
        <v>0</v>
      </c>
      <c r="FF167" s="8">
        <f>IF(FF$56-Voorblad!$F$41&gt;Voorblad!$K$41,0,IF($U167=0,0,IF($U167&lt;1,1/$U167,IF((FF$56-Voorblad!$F$41)/$U167-SUM($EE167:FE167)=1,1,0))))</f>
        <v>0</v>
      </c>
      <c r="FG167" s="8">
        <f>IF(FG$56-Voorblad!$F$41&gt;Voorblad!$K$41,0,IF($U167=0,0,IF($U167&lt;1,1/$U167,IF((FG$56-Voorblad!$F$41)/$U167-SUM($EE167:FF167)=1,1,0))))</f>
        <v>0</v>
      </c>
      <c r="FH167" s="8">
        <f>IF(FH$56-Voorblad!$F$41&gt;Voorblad!$K$41,0,IF($U167=0,0,IF($U167&lt;1,1/$U167,IF((FH$56-Voorblad!$F$41)/$U167-SUM($EE167:FG167)=1,1,0))))</f>
        <v>0</v>
      </c>
      <c r="FI167" s="8">
        <f>IF(FI$56-Voorblad!$F$41&gt;Voorblad!$K$41,0,IF($U167=0,0,IF($U167&lt;1,1/$U167,IF((FI$56-Voorblad!$F$41)/$U167-SUM($EE167:FH167)=1,1,0))))</f>
        <v>0</v>
      </c>
      <c r="FJ167" s="8">
        <f>IF(FJ$56-Voorblad!$F$41&gt;Voorblad!$K$41,0,IF($U167=0,0,IF($U167&lt;1,1/$U167,IF((FJ$56-Voorblad!$F$41)/$U167-SUM($EE167:FI167)=1,1,0))))</f>
        <v>1</v>
      </c>
      <c r="FK167" s="8">
        <f>IF(FK$56-Voorblad!$F$41&gt;Voorblad!$K$41,0,IF($U167=0,0,IF($U167&lt;1,1/$U167,IF((FK$56-Voorblad!$F$41)/$U167-SUM($EE167:FJ167)=1,1,0))))</f>
        <v>0</v>
      </c>
      <c r="FL167" s="8">
        <f>IF(FL$56-Voorblad!$F$41&gt;Voorblad!$K$41,0,IF($U167=0,0,IF($U167&lt;1,1/$U167,IF((FL$56-Voorblad!$F$41)/$U167-SUM($EE167:FK167)=1,1,0))))</f>
        <v>0</v>
      </c>
      <c r="FM167" s="8">
        <f>IF(FM$56-Voorblad!$F$41&gt;Voorblad!$K$41,0,IF($U167=0,0,IF($U167&lt;1,1/$U167,IF((FM$56-Voorblad!$F$41)/$U167-SUM($EE167:FL167)=1,1,0))))</f>
        <v>0</v>
      </c>
      <c r="FN167" s="8">
        <f>IF(FN$56-Voorblad!$F$41&gt;Voorblad!$K$41,0,IF($U167=0,0,IF($U167&lt;1,1/$U167,IF((FN$56-Voorblad!$F$41)/$U167-SUM($EE167:FM167)=1,1,0))))</f>
        <v>0</v>
      </c>
      <c r="FO167" s="8">
        <f>IF(FO$56-Voorblad!$F$41&gt;Voorblad!$K$41,0,IF($U167=0,0,IF($U167&lt;1,1/$U167,IF((FO$56-Voorblad!$F$41)/$U167-SUM($EE167:FN167)=1,1,0))))</f>
        <v>0</v>
      </c>
      <c r="FP167" s="8">
        <f>IF(FP$56-Voorblad!$F$41&gt;Voorblad!$K$41,0,IF($U167=0,0,IF($U167&lt;1,1/$U167,IF((FP$56-Voorblad!$F$41)/$U167-SUM($EE167:FO167)=1,1,0))))</f>
        <v>0</v>
      </c>
      <c r="FQ167" s="8">
        <f>IF(FQ$56-Voorblad!$F$41&gt;Voorblad!$K$41,0,IF($U167=0,0,IF($U167&lt;1,1/$U167,IF((FQ$56-Voorblad!$F$41)/$U167-SUM($EE167:FP167)=1,1,0))))</f>
        <v>0</v>
      </c>
      <c r="FR167" s="8">
        <f>IF(FR$56-Voorblad!$F$41&gt;Voorblad!$K$41,0,IF($U167=0,0,IF($U167&lt;1,1/$U167,IF((FR$56-Voorblad!$F$41)/$U167-SUM($EE167:FQ167)=1,1,0))))</f>
        <v>0</v>
      </c>
      <c r="FS167" s="8">
        <f>IF(FS$56-Voorblad!$F$41&gt;Voorblad!$K$41,0,IF($U167=0,0,IF($U167&lt;1,1/$U167,IF((FS$56-Voorblad!$F$41)/$U167-SUM($EE167:FR167)=1,1,0))))</f>
        <v>0</v>
      </c>
      <c r="FT167" s="8">
        <f>IF(FT$56-Voorblad!$F$41&gt;Voorblad!$K$41,0,IF($U167=0,0,IF($U167&lt;1,1/$U167,IF((FT$56-Voorblad!$F$41)/$U167-SUM($EE167:FS167)=1,1,0))))</f>
        <v>0</v>
      </c>
      <c r="FU167" s="8">
        <f>IF(FU$56-Voorblad!$F$41&gt;Voorblad!$K$41,0,IF($U167=0,0,IF($U167&lt;1,1/$U167,IF((FU$56-Voorblad!$F$41)/$U167-SUM($EE167:FT167)=1,1,0))))</f>
        <v>0</v>
      </c>
      <c r="FV167" s="8">
        <f>IF(FV$56-Voorblad!$F$41&gt;Voorblad!$K$41,0,IF($U167=0,0,IF($U167&lt;1,1/$U167,IF((FV$56-Voorblad!$F$41)/$U167-SUM($EE167:FU167)=1,1,0))))</f>
        <v>0</v>
      </c>
      <c r="FW167" s="8">
        <f>IF(FW$56-Voorblad!$F$41&gt;Voorblad!$K$41,0,IF($U167=0,0,IF($U167&lt;1,1/$U167,IF((FW$56-Voorblad!$F$41)/$U167-SUM($EE167:FV167)=1,1,0))))</f>
        <v>0</v>
      </c>
      <c r="FX167" s="8">
        <f>IF(FX$56-Voorblad!$F$41&gt;Voorblad!$K$41,0,IF($U167=0,0,IF($U167&lt;1,1/$U167,IF((FX$56-Voorblad!$F$41)/$U167-SUM($EE167:FW167)=1,1,0))))</f>
        <v>0</v>
      </c>
      <c r="FY167" s="8">
        <f>IF(FY$56-Voorblad!$F$41&gt;Voorblad!$K$41,0,IF($U167=0,0,IF($U167&lt;1,1/$U167,IF((FY$56-Voorblad!$F$41)/$U167-SUM($EE167:FX167)=1,1,0))))</f>
        <v>1</v>
      </c>
      <c r="FZ167" s="8">
        <f>IF(FZ$56-Voorblad!$F$41&gt;Voorblad!$K$41,0,IF($U167=0,0,IF($U167&lt;1,1/$U167,IF((FZ$56-Voorblad!$F$41)/$U167-SUM($EE167:FY167)=1,1,0))))</f>
        <v>0</v>
      </c>
      <c r="GA167" s="8">
        <f>IF(GA$56-Voorblad!$F$41&gt;Voorblad!$K$41,0,IF($U167=0,0,IF($U167&lt;1,1/$U167,IF((GA$56-Voorblad!$F$41)/$U167-SUM($EE167:FZ167)=1,1,0))))</f>
        <v>0</v>
      </c>
      <c r="GB167" s="8">
        <f>IF(GB$56-Voorblad!$F$41&gt;Voorblad!$K$41,0,IF($U167=0,0,IF($U167&lt;1,1/$U167,IF((GB$56-Voorblad!$F$41)/$U167-SUM($EE167:GA167)=1,1,0))))</f>
        <v>0</v>
      </c>
      <c r="GC167" s="8">
        <f>IF(GC$56-Voorblad!$F$41&gt;Voorblad!$K$41,0,IF($U167=0,0,IF($U167&lt;1,1/$U167,IF((GC$56-Voorblad!$F$41)/$U167-SUM($EE167:GB167)=1,1,0))))</f>
        <v>0</v>
      </c>
      <c r="GD167" s="8">
        <f>IF(GD$56-Voorblad!$F$41&gt;Voorblad!$K$41,0,IF($U167=0,0,IF($U167&lt;1,1/$U167,IF((GD$56-Voorblad!$F$41)/$U167-SUM($EE167:GC167)=1,1,0))))</f>
        <v>0</v>
      </c>
      <c r="GE167" s="8">
        <f>IF(GE$56-Voorblad!$F$41&gt;Voorblad!$K$41,0,IF($U167=0,0,IF($U167&lt;1,1/$U167,IF((GE$56-Voorblad!$F$41)/$U167-SUM($EE167:GD167)=1,1,0))))</f>
        <v>0</v>
      </c>
      <c r="GF167" s="8">
        <f>IF(GF$56-Voorblad!$F$41&gt;Voorblad!$K$41,0,IF($U167=0,0,IF($U167&lt;1,1/$U167,IF((GF$56-Voorblad!$F$41)/$U167-SUM($EE167:GE167)=1,1,0))))</f>
        <v>0</v>
      </c>
      <c r="GG167" s="8">
        <f>IF(GG$56-Voorblad!$F$41&gt;Voorblad!$K$41,0,IF($U167=0,0,IF($U167&lt;1,1/$U167,IF((GG$56-Voorblad!$F$41)/$U167-SUM($EE167:GF167)=1,1,0))))</f>
        <v>0</v>
      </c>
      <c r="GH167" s="8">
        <f>IF(GH$56-Voorblad!$F$41&gt;Voorblad!$K$41,0,IF($U167=0,0,IF($U167&lt;1,1/$U167,IF((GH$56-Voorblad!$F$41)/$U167-SUM($EE167:GG167)=1,1,0))))</f>
        <v>0</v>
      </c>
      <c r="GI167" s="8">
        <f>IF(GI$56-Voorblad!$F$41&gt;Voorblad!$K$41,0,IF($U167=0,0,IF($U167&lt;1,1/$U167,IF((GI$56-Voorblad!$F$41)/$U167-SUM($EE167:GH167)=1,1,0))))</f>
        <v>0</v>
      </c>
      <c r="GJ167" s="8">
        <f>IF(GJ$56-Voorblad!$F$41&gt;Voorblad!$K$41,0,IF($U167=0,0,IF($U167&lt;1,1/$U167,IF((GJ$56-Voorblad!$F$41)/$U167-SUM($EE167:GI167)=1,1,0))))</f>
        <v>0</v>
      </c>
      <c r="GK167" s="8">
        <f>IF(GK$56-Voorblad!$F$41&gt;Voorblad!$K$41,0,IF($U167=0,0,IF($U167&lt;1,1/$U167,IF((GK$56-Voorblad!$F$41)/$U167-SUM($EE167:GJ167)=1,1,0))))</f>
        <v>0</v>
      </c>
      <c r="GL167" s="8">
        <f>IF(GL$56-Voorblad!$F$41&gt;Voorblad!$K$41,0,IF($U167=0,0,IF($U167&lt;1,1/$U167,IF((GL$56-Voorblad!$F$41)/$U167-SUM($EE167:GK167)=1,1,0))))</f>
        <v>0</v>
      </c>
      <c r="GM167" s="8">
        <f>IF(GM$56-Voorblad!$F$41&gt;Voorblad!$K$41,0,IF($U167=0,0,IF($U167&lt;1,1/$U167,IF((GM$56-Voorblad!$F$41)/$U167-SUM($EE167:GL167)=1,1,0))))</f>
        <v>0</v>
      </c>
      <c r="GN167" s="8">
        <f>IF(GN$56-Voorblad!$F$41&gt;Voorblad!$K$41,0,IF($U167=0,0,IF($U167&lt;1,1/$U167,IF((GN$56-Voorblad!$F$41)/$U167-SUM($EE167:GM167)=1,1,0))))</f>
        <v>1</v>
      </c>
      <c r="GO167" s="8">
        <f>IF(GO$56-Voorblad!$F$41&gt;Voorblad!$K$41,0,IF($U167=0,0,IF($U167&lt;1,1/$U167,IF((GO$56-Voorblad!$F$41)/$U167-SUM($EE167:GN167)=1,1,0))))</f>
        <v>0</v>
      </c>
      <c r="GP167" s="8">
        <f>IF(GP$56-Voorblad!$F$41&gt;Voorblad!$K$41,0,IF($U167=0,0,IF($U167&lt;1,1/$U167,IF((GP$56-Voorblad!$F$41)/$U167-SUM($EE167:GO167)=1,1,0))))</f>
        <v>0</v>
      </c>
      <c r="GQ167" s="8">
        <f>IF(GQ$56-Voorblad!$F$41&gt;Voorblad!$K$41,0,IF($U167=0,0,IF($U167&lt;1,1/$U167,IF((GQ$56-Voorblad!$F$41)/$U167-SUM($EE167:GP167)=1,1,0))))</f>
        <v>0</v>
      </c>
      <c r="GR167" s="8">
        <f>IF(GR$56-Voorblad!$F$41&gt;Voorblad!$K$41,0,IF($U167=0,0,IF($U167&lt;1,1/$U167,IF((GR$56-Voorblad!$F$41)/$U167-SUM($EE167:GQ167)=1,1,0))))</f>
        <v>0</v>
      </c>
      <c r="GS167" s="8">
        <f>IF(GS$56-Voorblad!$F$41&gt;Voorblad!$K$41,0,IF($U167=0,0,IF($U167&lt;1,1/$U167,IF((GS$56-Voorblad!$F$41)/$U167-SUM($EE167:GR167)=1,1,0))))</f>
        <v>0</v>
      </c>
      <c r="GT167" s="8">
        <f>IF(GT$56-Voorblad!$F$41&gt;Voorblad!$K$41,0,IF($U167=0,0,IF($U167&lt;1,1/$U167,IF((GT$56-Voorblad!$F$41)/$U167-SUM($EE167:GS167)=1,1,0))))</f>
        <v>0</v>
      </c>
      <c r="GU167" s="8">
        <f>IF(GU$56-Voorblad!$F$41&gt;Voorblad!$K$41,0,IF($U167=0,0,IF($U167&lt;1,1/$U167,IF((GU$56-Voorblad!$F$41)/$U167-SUM($EE167:GT167)=1,1,0))))</f>
        <v>0</v>
      </c>
      <c r="GV167" s="8">
        <f>IF(GV$56-Voorblad!$F$41&gt;Voorblad!$K$41,0,IF($U167=0,0,IF($U167&lt;1,1/$U167,IF((GV$56-Voorblad!$F$41)/$U167-SUM($EE167:GU167)=1,1,0))))</f>
        <v>0</v>
      </c>
      <c r="GW167" s="8">
        <f>IF(GW$56-Voorblad!$F$41&gt;Voorblad!$K$41,0,IF($U167=0,0,IF($U167&lt;1,1/$U167,IF((GW$56-Voorblad!$F$41)/$U167-SUM($EE167:GV167)=1,1,0))))</f>
        <v>0</v>
      </c>
      <c r="GX167" s="8">
        <f>IF(GX$56-Voorblad!$F$41&gt;Voorblad!$K$41,0,IF($U167=0,0,IF($U167&lt;1,1/$U167,IF((GX$56-Voorblad!$F$41)/$U167-SUM($EE167:GW167)=1,1,0))))</f>
        <v>0</v>
      </c>
      <c r="GY167" s="8">
        <f>IF(GY$56-Voorblad!$F$41&gt;Voorblad!$K$41,0,IF($U167=0,0,IF($U167&lt;1,1/$U167,IF((GY$56-Voorblad!$F$41)/$U167-SUM($EE167:GX167)=1,1,0))))</f>
        <v>0</v>
      </c>
      <c r="GZ167" s="8">
        <f>IF(GZ$56-Voorblad!$F$41&gt;Voorblad!$K$41,0,IF($U167=0,0,IF($U167&lt;1,1/$U167,IF((GZ$56-Voorblad!$F$41)/$U167-SUM($EE167:GY167)=1,1,0))))</f>
        <v>0</v>
      </c>
      <c r="HA167" s="8">
        <f>IF(HA$56-Voorblad!$F$41&gt;Voorblad!$K$41,0,IF($U167=0,0,IF($U167&lt;1,1/$U167,IF((HA$56-Voorblad!$F$41)/$U167-SUM($EE167:GZ167)=1,1,0))))</f>
        <v>0</v>
      </c>
      <c r="HB167" s="8">
        <f>IF(HB$56-Voorblad!$F$41&gt;Voorblad!$K$41,0,IF($U167=0,0,IF($U167&lt;1,1/$U167,IF((HB$56-Voorblad!$F$41)/$U167-SUM($EE167:HA167)=1,1,0))))</f>
        <v>0</v>
      </c>
      <c r="HC167" s="8">
        <f>IF(HC$56-Voorblad!$F$41&gt;Voorblad!$K$41,0,IF($U167=0,0,IF($U167&lt;1,1/$U167,IF((HC$56-Voorblad!$F$41)/$U167-SUM($EE167:HB167)=1,1,0))))</f>
        <v>0</v>
      </c>
      <c r="HD167" s="8">
        <f>IF(HD$56-Voorblad!$F$41&gt;Voorblad!$K$41,0,IF($U167=0,0,IF($U167&lt;1,1/$U167,IF((HD$56-Voorblad!$F$41)/$U167-SUM($EE167:HC167)=1,1,0))))</f>
        <v>0</v>
      </c>
      <c r="HE167" s="8">
        <f>IF(HE$56-Voorblad!$F$41&gt;Voorblad!$K$41,0,IF($U167=0,0,IF($U167&lt;1,1/$U167,IF((HE$56-Voorblad!$F$41)/$U167-SUM($EE167:HD167)=1,1,0))))</f>
        <v>0</v>
      </c>
      <c r="HF167" s="8">
        <f>IF(HF$56-Voorblad!$F$41&gt;Voorblad!$K$41,0,IF($U167=0,0,IF($U167&lt;1,1/$U167,IF((HF$56-Voorblad!$F$41)/$U167-SUM($EE167:HE167)=1,1,0))))</f>
        <v>0</v>
      </c>
      <c r="HG167" s="8">
        <f>IF(HG$56-Voorblad!$F$41&gt;Voorblad!$K$41,0,IF($U167=0,0,IF($U167&lt;1,1/$U167,IF((HG$56-Voorblad!$F$41)/$U167-SUM($EE167:HF167)=1,1,0))))</f>
        <v>0</v>
      </c>
      <c r="HH167" s="8">
        <f>IF(HH$56-Voorblad!$F$41&gt;Voorblad!$K$41,0,IF($U167=0,0,IF($U167&lt;1,1/$U167,IF((HH$56-Voorblad!$F$41)/$U167-SUM($EE167:HG167)=1,1,0))))</f>
        <v>0</v>
      </c>
      <c r="HI167" s="8">
        <f>IF(HI$56-Voorblad!$F$41&gt;Voorblad!$K$41,0,IF($U167=0,0,IF($U167&lt;1,1/$U167,IF((HI$56-Voorblad!$F$41)/$U167-SUM($EE167:HH167)=1,1,0))))</f>
        <v>0</v>
      </c>
      <c r="HJ167" s="8">
        <f>IF(HJ$56-Voorblad!$F$41&gt;Voorblad!$K$41,0,IF($U167=0,0,IF($U167&lt;1,1/$U167,IF((HJ$56-Voorblad!$F$41)/$U167-SUM($EE167:HI167)=1,1,0))))</f>
        <v>0</v>
      </c>
      <c r="HK167" s="8">
        <f>IF(HK$56-Voorblad!$F$41&gt;Voorblad!$K$41,0,IF($U167=0,0,IF($U167&lt;1,1/$U167,IF((HK$56-Voorblad!$F$41)/$U167-SUM($EE167:HJ167)=1,1,0))))</f>
        <v>0</v>
      </c>
      <c r="HL167" s="8">
        <f>IF(HL$56-Voorblad!$F$41&gt;Voorblad!$K$41,0,IF($U167=0,0,IF($U167&lt;1,1/$U167,IF((HL$56-Voorblad!$F$41)/$U167-SUM($EE167:HK167)=1,1,0))))</f>
        <v>0</v>
      </c>
      <c r="HM167" s="8">
        <f>IF(HM$56-Voorblad!$F$41&gt;Voorblad!$K$41,0,IF($U167=0,0,IF($U167&lt;1,1/$U167,IF((HM$56-Voorblad!$F$41)/$U167-SUM($EE167:HL167)=1,1,0))))</f>
        <v>0</v>
      </c>
      <c r="HN167" s="8">
        <f>IF(HN$56-Voorblad!$F$41&gt;Voorblad!$K$41,0,IF($U167=0,0,IF($U167&lt;1,1/$U167,IF((HN$56-Voorblad!$F$41)/$U167-SUM($EE167:HM167)=1,1,0))))</f>
        <v>0</v>
      </c>
      <c r="HO167" s="8">
        <f>IF(HO$56-Voorblad!$F$41&gt;Voorblad!$K$41,0,IF($U167=0,0,IF($U167&lt;1,1/$U167,IF((HO$56-Voorblad!$F$41)/$U167-SUM($EE167:HN167)=1,1,0))))</f>
        <v>0</v>
      </c>
      <c r="HP167" s="8">
        <f>IF(HP$56-Voorblad!$F$41&gt;Voorblad!$K$41,0,IF($U167=0,0,IF($U167&lt;1,1/$U167,IF((HP$56-Voorblad!$F$41)/$U167-SUM($EE167:HO167)=1,1,0))))</f>
        <v>0</v>
      </c>
      <c r="HQ167" s="8">
        <f>IF(HQ$56-Voorblad!$F$41&gt;Voorblad!$K$41,0,IF($U167=0,0,IF($U167&lt;1,1/$U167,IF((HQ$56-Voorblad!$F$41)/$U167-SUM($EE167:HP167)=1,1,0))))</f>
        <v>0</v>
      </c>
      <c r="HR167" s="8">
        <f>IF(HR$56-Voorblad!$F$41&gt;Voorblad!$K$41,0,IF($U167=0,0,IF($U167&lt;1,1/$U167,IF((HR$56-Voorblad!$F$41)/$U167-SUM($EE167:HQ167)=1,1,0))))</f>
        <v>0</v>
      </c>
      <c r="HS167" s="8">
        <f>IF(HS$56-Voorblad!$F$41&gt;Voorblad!$K$41,0,IF($U167=0,0,IF($U167&lt;1,1/$U167,IF((HS$56-Voorblad!$F$41)/$U167-SUM($EE167:HR167)=1,1,0))))</f>
        <v>0</v>
      </c>
      <c r="HT167" s="8">
        <f>IF(HT$56-Voorblad!$F$41&gt;Voorblad!$K$41,0,IF($U167=0,0,IF($U167&lt;1,1/$U167,IF((HT$56-Voorblad!$F$41)/$U167-SUM($EE167:HS167)=1,1,0))))</f>
        <v>0</v>
      </c>
      <c r="HU167" s="8">
        <f>IF(HU$56-Voorblad!$F$41&gt;Voorblad!$K$41,0,IF($U167=0,0,IF($U167&lt;1,1/$U167,IF((HU$56-Voorblad!$F$41)/$U167-SUM($EE167:HT167)=1,1,0))))</f>
        <v>0</v>
      </c>
      <c r="HV167" s="8">
        <f>IF(HV$56-Voorblad!$F$41&gt;Voorblad!$K$41,0,IF($U167=0,0,IF($U167&lt;1,1/$U167,IF((HV$56-Voorblad!$F$41)/$U167-SUM($EE167:HU167)=1,1,0))))</f>
        <v>0</v>
      </c>
      <c r="HW167" s="8">
        <f>IF(HW$56-Voorblad!$F$41&gt;Voorblad!$K$41,0,IF($U167=0,0,IF($U167&lt;1,1/$U167,IF((HW$56-Voorblad!$F$41)/$U167-SUM($EE167:HV167)=1,1,0))))</f>
        <v>0</v>
      </c>
      <c r="HX167" s="8">
        <f>IF(HX$56-Voorblad!$F$41&gt;Voorblad!$K$41,0,IF($U167=0,0,IF($U167&lt;1,1/$U167,IF((HX$56-Voorblad!$F$41)/$U167-SUM($EE167:HW167)=1,1,0))))</f>
        <v>0</v>
      </c>
      <c r="HY167" s="8">
        <f>IF(HY$56-Voorblad!$F$41&gt;Voorblad!$K$41,0,IF($U167=0,0,IF($U167&lt;1,1/$U167,IF((HY$56-Voorblad!$F$41)/$U167-SUM($EE167:HX167)=1,1,0))))</f>
        <v>0</v>
      </c>
      <c r="HZ167" s="8">
        <f>IF(HZ$56-Voorblad!$F$41&gt;Voorblad!$K$41,0,IF($U167=0,0,IF($U167&lt;1,1/$U167,IF((HZ$56-Voorblad!$F$41)/$U167-SUM($EE167:HY167)=1,1,0))))</f>
        <v>0</v>
      </c>
      <c r="IA167" s="8">
        <f>IF(IA$56-Voorblad!$F$41&gt;Voorblad!$K$41,0,IF($U167=0,0,IF($U167&lt;1,1/$U167,IF((IA$56-Voorblad!$F$41)/$U167-SUM($EE167:HZ167)=1,1,0))))</f>
        <v>0</v>
      </c>
      <c r="IB167" s="8">
        <f>IF(IB$56-Voorblad!$F$41&gt;Voorblad!$K$41,0,IF($U167=0,0,IF($U167&lt;1,1/$U167,IF((IB$56-Voorblad!$F$41)/$U167-SUM($EE167:IA167)=1,1,0))))</f>
        <v>0</v>
      </c>
    </row>
    <row r="168" spans="2:236" ht="12" hidden="1" customHeight="1" outlineLevel="1" x14ac:dyDescent="0.25">
      <c r="B168" s="1">
        <v>3</v>
      </c>
      <c r="F168" s="1" t="s">
        <v>23</v>
      </c>
      <c r="I168" s="14" t="s">
        <v>277</v>
      </c>
      <c r="K168" s="14" t="s">
        <v>205</v>
      </c>
      <c r="L168" s="14"/>
      <c r="M168" s="14"/>
      <c r="O168" s="1" t="s">
        <v>178</v>
      </c>
      <c r="P168" s="1" t="s">
        <v>180</v>
      </c>
      <c r="Q168" s="81">
        <v>0</v>
      </c>
      <c r="R168" s="1" t="s">
        <v>35</v>
      </c>
      <c r="S168" s="21">
        <f>$H$20*1.5*100</f>
        <v>265.5</v>
      </c>
      <c r="T168" s="1">
        <f t="shared" si="189"/>
        <v>0</v>
      </c>
      <c r="U168" s="14">
        <v>15</v>
      </c>
      <c r="V168" s="14"/>
      <c r="Y168" s="9">
        <f t="shared" ref="Y168:Y171" si="193">SUM(AE168:EB168)</f>
        <v>0</v>
      </c>
      <c r="Z168" s="82"/>
      <c r="AA168" s="82"/>
      <c r="AC168" s="9">
        <f>$Y168*(Voorblad!$K$44*(1+Voorblad!$K$44)^Voorblad!$K$41)/((1+Voorblad!$K$44)^Voorblad!$K$41-1)</f>
        <v>0</v>
      </c>
      <c r="AE168" s="9">
        <f>EF168*($Q168*$S168)/(1+Voorblad!$K$44)^(AE$56-Voorblad!$F$41)</f>
        <v>0</v>
      </c>
      <c r="AF168" s="9">
        <f>EG168*($Q168*$S168)/(1+Voorblad!$K$44)^(AF$56-Voorblad!$F$41)</f>
        <v>0</v>
      </c>
      <c r="AG168" s="9">
        <f>EH168*($Q168*$S168)/(1+Voorblad!$K$44)^(AG$56-Voorblad!$F$41)</f>
        <v>0</v>
      </c>
      <c r="AH168" s="9">
        <f>EI168*($Q168*$S168)/(1+Voorblad!$K$44)^(AH$56-Voorblad!$F$41)</f>
        <v>0</v>
      </c>
      <c r="AI168" s="9">
        <f>EJ168*($Q168*$S168)/(1+Voorblad!$K$44)^(AI$56-Voorblad!$F$41)</f>
        <v>0</v>
      </c>
      <c r="AJ168" s="9">
        <f>EK168*($Q168*$S168)/(1+Voorblad!$K$44)^(AJ$56-Voorblad!$F$41)</f>
        <v>0</v>
      </c>
      <c r="AK168" s="9">
        <f>EL168*($Q168*$S168)/(1+Voorblad!$K$44)^(AK$56-Voorblad!$F$41)</f>
        <v>0</v>
      </c>
      <c r="AL168" s="9">
        <f>EM168*($Q168*$S168)/(1+Voorblad!$K$44)^(AL$56-Voorblad!$F$41)</f>
        <v>0</v>
      </c>
      <c r="AM168" s="9">
        <f>EN168*($Q168*$S168)/(1+Voorblad!$K$44)^(AM$56-Voorblad!$F$41)</f>
        <v>0</v>
      </c>
      <c r="AN168" s="9">
        <f>EO168*($Q168*$S168)/(1+Voorblad!$K$44)^(AN$56-Voorblad!$F$41)</f>
        <v>0</v>
      </c>
      <c r="AO168" s="9">
        <f>EP168*($Q168*$S168)/(1+Voorblad!$K$44)^(AO$56-Voorblad!$F$41)</f>
        <v>0</v>
      </c>
      <c r="AP168" s="9">
        <f>EQ168*($Q168*$S168)/(1+Voorblad!$K$44)^(AP$56-Voorblad!$F$41)</f>
        <v>0</v>
      </c>
      <c r="AQ168" s="9">
        <f>ER168*($Q168*$S168)/(1+Voorblad!$K$44)^(AQ$56-Voorblad!$F$41)</f>
        <v>0</v>
      </c>
      <c r="AR168" s="9">
        <f>ES168*($Q168*$S168)/(1+Voorblad!$K$44)^(AR$56-Voorblad!$F$41)</f>
        <v>0</v>
      </c>
      <c r="AS168" s="9">
        <f>ET168*($Q168*$S168)/(1+Voorblad!$K$44)^(AS$56-Voorblad!$F$41)</f>
        <v>0</v>
      </c>
      <c r="AT168" s="9">
        <f>EU168*($Q168*$S168)/(1+Voorblad!$K$44)^(AT$56-Voorblad!$F$41)</f>
        <v>0</v>
      </c>
      <c r="AU168" s="9">
        <f>EV168*($Q168*$S168)/(1+Voorblad!$K$44)^(AU$56-Voorblad!$F$41)</f>
        <v>0</v>
      </c>
      <c r="AV168" s="9">
        <f>EW168*($Q168*$S168)/(1+Voorblad!$K$44)^(AV$56-Voorblad!$F$41)</f>
        <v>0</v>
      </c>
      <c r="AW168" s="9">
        <f>EX168*($Q168*$S168)/(1+Voorblad!$K$44)^(AW$56-Voorblad!$F$41)</f>
        <v>0</v>
      </c>
      <c r="AX168" s="9">
        <f>EY168*($Q168*$S168)/(1+Voorblad!$K$44)^(AX$56-Voorblad!$F$41)</f>
        <v>0</v>
      </c>
      <c r="AY168" s="9">
        <f>EZ168*($Q168*$S168)/(1+Voorblad!$K$44)^(AY$56-Voorblad!$F$41)</f>
        <v>0</v>
      </c>
      <c r="AZ168" s="9">
        <f>FA168*($Q168*$S168)/(1+Voorblad!$K$44)^(AZ$56-Voorblad!$F$41)</f>
        <v>0</v>
      </c>
      <c r="BA168" s="9">
        <f>FB168*($Q168*$S168)/(1+Voorblad!$K$44)^(BA$56-Voorblad!$F$41)</f>
        <v>0</v>
      </c>
      <c r="BB168" s="9">
        <f>FC168*($Q168*$S168)/(1+Voorblad!$K$44)^(BB$56-Voorblad!$F$41)</f>
        <v>0</v>
      </c>
      <c r="BC168" s="9">
        <f>FD168*($Q168*$S168)/(1+Voorblad!$K$44)^(BC$56-Voorblad!$F$41)</f>
        <v>0</v>
      </c>
      <c r="BD168" s="9">
        <f>FE168*($Q168*$S168)/(1+Voorblad!$K$44)^(BD$56-Voorblad!$F$41)</f>
        <v>0</v>
      </c>
      <c r="BE168" s="9">
        <f>FF168*($Q168*$S168)/(1+Voorblad!$K$44)^(BE$56-Voorblad!$F$41)</f>
        <v>0</v>
      </c>
      <c r="BF168" s="9">
        <f>FG168*($Q168*$S168)/(1+Voorblad!$K$44)^(BF$56-Voorblad!$F$41)</f>
        <v>0</v>
      </c>
      <c r="BG168" s="9">
        <f>FH168*($Q168*$S168)/(1+Voorblad!$K$44)^(BG$56-Voorblad!$F$41)</f>
        <v>0</v>
      </c>
      <c r="BH168" s="9">
        <f>FI168*($Q168*$S168)/(1+Voorblad!$K$44)^(BH$56-Voorblad!$F$41)</f>
        <v>0</v>
      </c>
      <c r="BI168" s="9">
        <f>FJ168*($Q168*$S168)/(1+Voorblad!$K$44)^(BI$56-Voorblad!$F$41)</f>
        <v>0</v>
      </c>
      <c r="BJ168" s="9">
        <f>FK168*($Q168*$S168)/(1+Voorblad!$K$44)^(BJ$56-Voorblad!$F$41)</f>
        <v>0</v>
      </c>
      <c r="BK168" s="9">
        <f>FL168*($Q168*$S168)/(1+Voorblad!$K$44)^(BK$56-Voorblad!$F$41)</f>
        <v>0</v>
      </c>
      <c r="BL168" s="9">
        <f>FM168*($Q168*$S168)/(1+Voorblad!$K$44)^(BL$56-Voorblad!$F$41)</f>
        <v>0</v>
      </c>
      <c r="BM168" s="9">
        <f>FN168*($Q168*$S168)/(1+Voorblad!$K$44)^(BM$56-Voorblad!$F$41)</f>
        <v>0</v>
      </c>
      <c r="BN168" s="9">
        <f>FO168*($Q168*$S168)/(1+Voorblad!$K$44)^(BN$56-Voorblad!$F$41)</f>
        <v>0</v>
      </c>
      <c r="BO168" s="9">
        <f>FP168*($Q168*$S168)/(1+Voorblad!$K$44)^(BO$56-Voorblad!$F$41)</f>
        <v>0</v>
      </c>
      <c r="BP168" s="9">
        <f>FQ168*($Q168*$S168)/(1+Voorblad!$K$44)^(BP$56-Voorblad!$F$41)</f>
        <v>0</v>
      </c>
      <c r="BQ168" s="9">
        <f>FR168*($Q168*$S168)/(1+Voorblad!$K$44)^(BQ$56-Voorblad!$F$41)</f>
        <v>0</v>
      </c>
      <c r="BR168" s="9">
        <f>FS168*($Q168*$S168)/(1+Voorblad!$K$44)^(BR$56-Voorblad!$F$41)</f>
        <v>0</v>
      </c>
      <c r="BS168" s="9">
        <f>FT168*($Q168*$S168)/(1+Voorblad!$K$44)^(BS$56-Voorblad!$F$41)</f>
        <v>0</v>
      </c>
      <c r="BT168" s="9">
        <f>FU168*($Q168*$S168)/(1+Voorblad!$K$44)^(BT$56-Voorblad!$F$41)</f>
        <v>0</v>
      </c>
      <c r="BU168" s="9">
        <f>FV168*($Q168*$S168)/(1+Voorblad!$K$44)^(BU$56-Voorblad!$F$41)</f>
        <v>0</v>
      </c>
      <c r="BV168" s="9">
        <f>FW168*($Q168*$S168)/(1+Voorblad!$K$44)^(BV$56-Voorblad!$F$41)</f>
        <v>0</v>
      </c>
      <c r="BW168" s="9">
        <f>FX168*($Q168*$S168)/(1+Voorblad!$K$44)^(BW$56-Voorblad!$F$41)</f>
        <v>0</v>
      </c>
      <c r="BX168" s="9">
        <f>FY168*($Q168*$S168)/(1+Voorblad!$K$44)^(BX$56-Voorblad!$F$41)</f>
        <v>0</v>
      </c>
      <c r="BY168" s="9">
        <f>FZ168*($Q168*$S168)/(1+Voorblad!$K$44)^(BY$56-Voorblad!$F$41)</f>
        <v>0</v>
      </c>
      <c r="BZ168" s="9">
        <f>GA168*($Q168*$S168)/(1+Voorblad!$K$44)^(BZ$56-Voorblad!$F$41)</f>
        <v>0</v>
      </c>
      <c r="CA168" s="9">
        <f>GB168*($Q168*$S168)/(1+Voorblad!$K$44)^(CA$56-Voorblad!$F$41)</f>
        <v>0</v>
      </c>
      <c r="CB168" s="9">
        <f>GC168*($Q168*$S168)/(1+Voorblad!$K$44)^(CB$56-Voorblad!$F$41)</f>
        <v>0</v>
      </c>
      <c r="CC168" s="9">
        <f>GD168*($Q168*$S168)/(1+Voorblad!$K$44)^(CC$56-Voorblad!$F$41)</f>
        <v>0</v>
      </c>
      <c r="CD168" s="9">
        <f>GE168*($Q168*$S168)/(1+Voorblad!$K$44)^(CD$56-Voorblad!$F$41)</f>
        <v>0</v>
      </c>
      <c r="CE168" s="9">
        <f>GF168*($Q168*$S168)/(1+Voorblad!$K$44)^(CE$56-Voorblad!$F$41)</f>
        <v>0</v>
      </c>
      <c r="CF168" s="9">
        <f>GG168*($Q168*$S168)/(1+Voorblad!$K$44)^(CF$56-Voorblad!$F$41)</f>
        <v>0</v>
      </c>
      <c r="CG168" s="9">
        <f>GH168*($Q168*$S168)/(1+Voorblad!$K$44)^(CG$56-Voorblad!$F$41)</f>
        <v>0</v>
      </c>
      <c r="CH168" s="9">
        <f>GI168*($Q168*$S168)/(1+Voorblad!$K$44)^(CH$56-Voorblad!$F$41)</f>
        <v>0</v>
      </c>
      <c r="CI168" s="9">
        <f>GJ168*($Q168*$S168)/(1+Voorblad!$K$44)^(CI$56-Voorblad!$F$41)</f>
        <v>0</v>
      </c>
      <c r="CJ168" s="9">
        <f>GK168*($Q168*$S168)/(1+Voorblad!$K$44)^(CJ$56-Voorblad!$F$41)</f>
        <v>0</v>
      </c>
      <c r="CK168" s="9">
        <f>GL168*($Q168*$S168)/(1+Voorblad!$K$44)^(CK$56-Voorblad!$F$41)</f>
        <v>0</v>
      </c>
      <c r="CL168" s="9">
        <f>GM168*($Q168*$S168)/(1+Voorblad!$K$44)^(CL$56-Voorblad!$F$41)</f>
        <v>0</v>
      </c>
      <c r="CM168" s="9">
        <f>GN168*($Q168*$S168)/(1+Voorblad!$K$44)^(CM$56-Voorblad!$F$41)</f>
        <v>0</v>
      </c>
      <c r="CN168" s="9">
        <f>GO168*($Q168*$S168)/(1+Voorblad!$K$44)^(CN$56-Voorblad!$F$41)</f>
        <v>0</v>
      </c>
      <c r="CO168" s="9">
        <f>GP168*($Q168*$S168)/(1+Voorblad!$K$44)^(CO$56-Voorblad!$F$41)</f>
        <v>0</v>
      </c>
      <c r="CP168" s="9">
        <f>GQ168*($Q168*$S168)/(1+Voorblad!$K$44)^(CP$56-Voorblad!$F$41)</f>
        <v>0</v>
      </c>
      <c r="CQ168" s="9">
        <f>GR168*($Q168*$S168)/(1+Voorblad!$K$44)^(CQ$56-Voorblad!$F$41)</f>
        <v>0</v>
      </c>
      <c r="CR168" s="9">
        <f>GS168*($Q168*$S168)/(1+Voorblad!$K$44)^(CR$56-Voorblad!$F$41)</f>
        <v>0</v>
      </c>
      <c r="CS168" s="9">
        <f>GT168*($Q168*$S168)/(1+Voorblad!$K$44)^(CS$56-Voorblad!$F$41)</f>
        <v>0</v>
      </c>
      <c r="CT168" s="9">
        <f>GU168*($Q168*$S168)/(1+Voorblad!$K$44)^(CT$56-Voorblad!$F$41)</f>
        <v>0</v>
      </c>
      <c r="CU168" s="9">
        <f>GV168*($Q168*$S168)/(1+Voorblad!$K$44)^(CU$56-Voorblad!$F$41)</f>
        <v>0</v>
      </c>
      <c r="CV168" s="9">
        <f>GW168*($Q168*$S168)/(1+Voorblad!$K$44)^(CV$56-Voorblad!$F$41)</f>
        <v>0</v>
      </c>
      <c r="CW168" s="9">
        <f>GX168*($Q168*$S168)/(1+Voorblad!$K$44)^(CW$56-Voorblad!$F$41)</f>
        <v>0</v>
      </c>
      <c r="CX168" s="9">
        <f>GY168*($Q168*$S168)/(1+Voorblad!$K$44)^(CX$56-Voorblad!$F$41)</f>
        <v>0</v>
      </c>
      <c r="CY168" s="9">
        <f>GZ168*($Q168*$S168)/(1+Voorblad!$K$44)^(CY$56-Voorblad!$F$41)</f>
        <v>0</v>
      </c>
      <c r="CZ168" s="9">
        <f>HA168*($Q168*$S168)/(1+Voorblad!$K$44)^(CZ$56-Voorblad!$F$41)</f>
        <v>0</v>
      </c>
      <c r="DA168" s="9">
        <f>HB168*($Q168*$S168)/(1+Voorblad!$K$44)^(DA$56-Voorblad!$F$41)</f>
        <v>0</v>
      </c>
      <c r="DB168" s="9">
        <f>HC168*($Q168*$S168)/(1+Voorblad!$K$44)^(DB$56-Voorblad!$F$41)</f>
        <v>0</v>
      </c>
      <c r="DC168" s="9">
        <f>HD168*($Q168*$S168)/(1+Voorblad!$K$44)^(DC$56-Voorblad!$F$41)</f>
        <v>0</v>
      </c>
      <c r="DD168" s="9">
        <f>HE168*($Q168*$S168)/(1+Voorblad!$K$44)^(DD$56-Voorblad!$F$41)</f>
        <v>0</v>
      </c>
      <c r="DE168" s="9">
        <f>HF168*($Q168*$S168)/(1+Voorblad!$K$44)^(DE$56-Voorblad!$F$41)</f>
        <v>0</v>
      </c>
      <c r="DF168" s="9">
        <f>HG168*($Q168*$S168)/(1+Voorblad!$K$44)^(DF$56-Voorblad!$F$41)</f>
        <v>0</v>
      </c>
      <c r="DG168" s="9">
        <f>HH168*($Q168*$S168)/(1+Voorblad!$K$44)^(DG$56-Voorblad!$F$41)</f>
        <v>0</v>
      </c>
      <c r="DH168" s="9">
        <f>HI168*($Q168*$S168)/(1+Voorblad!$K$44)^(DH$56-Voorblad!$F$41)</f>
        <v>0</v>
      </c>
      <c r="DI168" s="9">
        <f>HJ168*($Q168*$S168)/(1+Voorblad!$K$44)^(DI$56-Voorblad!$F$41)</f>
        <v>0</v>
      </c>
      <c r="DJ168" s="9">
        <f>HK168*($Q168*$S168)/(1+Voorblad!$K$44)^(DJ$56-Voorblad!$F$41)</f>
        <v>0</v>
      </c>
      <c r="DK168" s="9">
        <f>HL168*($Q168*$S168)/(1+Voorblad!$K$44)^(DK$56-Voorblad!$F$41)</f>
        <v>0</v>
      </c>
      <c r="DL168" s="9">
        <f>HM168*($Q168*$S168)/(1+Voorblad!$K$44)^(DL$56-Voorblad!$F$41)</f>
        <v>0</v>
      </c>
      <c r="DM168" s="9">
        <f>HN168*($Q168*$S168)/(1+Voorblad!$K$44)^(DM$56-Voorblad!$F$41)</f>
        <v>0</v>
      </c>
      <c r="DN168" s="9">
        <f>HO168*($Q168*$S168)/(1+Voorblad!$K$44)^(DN$56-Voorblad!$F$41)</f>
        <v>0</v>
      </c>
      <c r="DO168" s="9">
        <f>HP168*($Q168*$S168)/(1+Voorblad!$K$44)^(DO$56-Voorblad!$F$41)</f>
        <v>0</v>
      </c>
      <c r="DP168" s="9">
        <f>HQ168*($Q168*$S168)/(1+Voorblad!$K$44)^(DP$56-Voorblad!$F$41)</f>
        <v>0</v>
      </c>
      <c r="DQ168" s="9">
        <f>HR168*($Q168*$S168)/(1+Voorblad!$K$44)^(DQ$56-Voorblad!$F$41)</f>
        <v>0</v>
      </c>
      <c r="DR168" s="9">
        <f>HS168*($Q168*$S168)/(1+Voorblad!$K$44)^(DR$56-Voorblad!$F$41)</f>
        <v>0</v>
      </c>
      <c r="DS168" s="9">
        <f>HT168*($Q168*$S168)/(1+Voorblad!$K$44)^(DS$56-Voorblad!$F$41)</f>
        <v>0</v>
      </c>
      <c r="DT168" s="9">
        <f>HU168*($Q168*$S168)/(1+Voorblad!$K$44)^(DT$56-Voorblad!$F$41)</f>
        <v>0</v>
      </c>
      <c r="DU168" s="9">
        <f>HV168*($Q168*$S168)/(1+Voorblad!$K$44)^(DU$56-Voorblad!$F$41)</f>
        <v>0</v>
      </c>
      <c r="DV168" s="9">
        <f>HW168*($Q168*$S168)/(1+Voorblad!$K$44)^(DV$56-Voorblad!$F$41)</f>
        <v>0</v>
      </c>
      <c r="DW168" s="9">
        <f>HX168*($Q168*$S168)/(1+Voorblad!$K$44)^(DW$56-Voorblad!$F$41)</f>
        <v>0</v>
      </c>
      <c r="DX168" s="9">
        <f>HY168*($Q168*$S168)/(1+Voorblad!$K$44)^(DX$56-Voorblad!$F$41)</f>
        <v>0</v>
      </c>
      <c r="DY168" s="9">
        <f>HZ168*($Q168*$S168)/(1+Voorblad!$K$44)^(DY$56-Voorblad!$F$41)</f>
        <v>0</v>
      </c>
      <c r="DZ168" s="9">
        <f>IA168*($Q168*$S168)/(1+Voorblad!$K$44)^(DZ$56-Voorblad!$F$41)</f>
        <v>0</v>
      </c>
      <c r="EA168" s="9">
        <f>IB168*($Q168*$S168)/(1+Voorblad!$K$44)^(EA$56-Voorblad!$F$41)</f>
        <v>0</v>
      </c>
      <c r="EB168" s="9">
        <f>IC168*($Q168*$S168)/(1+Voorblad!$K$44)^(EB$56-Voorblad!$F$41)</f>
        <v>0</v>
      </c>
      <c r="EE168" s="8">
        <v>0</v>
      </c>
      <c r="EF168" s="8">
        <f>IF(EF$56-Voorblad!$F$41&gt;Voorblad!$K$41,0,IF($U168=0,0,IF($U168&lt;1,1/$U168,IF((EF$56-Voorblad!$F$41)/$U168-SUM($EE168:EE168)=1,1,0))))</f>
        <v>0</v>
      </c>
      <c r="EG168" s="8">
        <f>IF(EG$56-Voorblad!$F$41&gt;Voorblad!$K$41,0,IF($U168=0,0,IF($U168&lt;1,1/$U168,IF((EG$56-Voorblad!$F$41)/$U168-SUM($EE168:EF168)=1,1,0))))</f>
        <v>0</v>
      </c>
      <c r="EH168" s="8">
        <f>IF(EH$56-Voorblad!$F$41&gt;Voorblad!$K$41,0,IF($U168=0,0,IF($U168&lt;1,1/$U168,IF((EH$56-Voorblad!$F$41)/$U168-SUM($EE168:EG168)=1,1,0))))</f>
        <v>0</v>
      </c>
      <c r="EI168" s="8">
        <f>IF(EI$56-Voorblad!$F$41&gt;Voorblad!$K$41,0,IF($U168=0,0,IF($U168&lt;1,1/$U168,IF((EI$56-Voorblad!$F$41)/$U168-SUM($EE168:EH168)=1,1,0))))</f>
        <v>0</v>
      </c>
      <c r="EJ168" s="8">
        <f>IF(EJ$56-Voorblad!$F$41&gt;Voorblad!$K$41,0,IF($U168=0,0,IF($U168&lt;1,1/$U168,IF((EJ$56-Voorblad!$F$41)/$U168-SUM($EE168:EI168)=1,1,0))))</f>
        <v>0</v>
      </c>
      <c r="EK168" s="8">
        <f>IF(EK$56-Voorblad!$F$41&gt;Voorblad!$K$41,0,IF($U168=0,0,IF($U168&lt;1,1/$U168,IF((EK$56-Voorblad!$F$41)/$U168-SUM($EE168:EJ168)=1,1,0))))</f>
        <v>0</v>
      </c>
      <c r="EL168" s="8">
        <f>IF(EL$56-Voorblad!$F$41&gt;Voorblad!$K$41,0,IF($U168=0,0,IF($U168&lt;1,1/$U168,IF((EL$56-Voorblad!$F$41)/$U168-SUM($EE168:EK168)=1,1,0))))</f>
        <v>0</v>
      </c>
      <c r="EM168" s="8">
        <f>IF(EM$56-Voorblad!$F$41&gt;Voorblad!$K$41,0,IF($U168=0,0,IF($U168&lt;1,1/$U168,IF((EM$56-Voorblad!$F$41)/$U168-SUM($EE168:EL168)=1,1,0))))</f>
        <v>0</v>
      </c>
      <c r="EN168" s="8">
        <f>IF(EN$56-Voorblad!$F$41&gt;Voorblad!$K$41,0,IF($U168=0,0,IF($U168&lt;1,1/$U168,IF((EN$56-Voorblad!$F$41)/$U168-SUM($EE168:EM168)=1,1,0))))</f>
        <v>0</v>
      </c>
      <c r="EO168" s="8">
        <f>IF(EO$56-Voorblad!$F$41&gt;Voorblad!$K$41,0,IF($U168=0,0,IF($U168&lt;1,1/$U168,IF((EO$56-Voorblad!$F$41)/$U168-SUM($EE168:EN168)=1,1,0))))</f>
        <v>0</v>
      </c>
      <c r="EP168" s="8">
        <f>IF(EP$56-Voorblad!$F$41&gt;Voorblad!$K$41,0,IF($U168=0,0,IF($U168&lt;1,1/$U168,IF((EP$56-Voorblad!$F$41)/$U168-SUM($EE168:EO168)=1,1,0))))</f>
        <v>0</v>
      </c>
      <c r="EQ168" s="8">
        <f>IF(EQ$56-Voorblad!$F$41&gt;Voorblad!$K$41,0,IF($U168=0,0,IF($U168&lt;1,1/$U168,IF((EQ$56-Voorblad!$F$41)/$U168-SUM($EE168:EP168)=1,1,0))))</f>
        <v>0</v>
      </c>
      <c r="ER168" s="8">
        <f>IF(ER$56-Voorblad!$F$41&gt;Voorblad!$K$41,0,IF($U168=0,0,IF($U168&lt;1,1/$U168,IF((ER$56-Voorblad!$F$41)/$U168-SUM($EE168:EQ168)=1,1,0))))</f>
        <v>0</v>
      </c>
      <c r="ES168" s="8">
        <f>IF(ES$56-Voorblad!$F$41&gt;Voorblad!$K$41,0,IF($U168=0,0,IF($U168&lt;1,1/$U168,IF((ES$56-Voorblad!$F$41)/$U168-SUM($EE168:ER168)=1,1,0))))</f>
        <v>0</v>
      </c>
      <c r="ET168" s="8">
        <f>IF(ET$56-Voorblad!$F$41&gt;Voorblad!$K$41,0,IF($U168=0,0,IF($U168&lt;1,1/$U168,IF((ET$56-Voorblad!$F$41)/$U168-SUM($EE168:ES168)=1,1,0))))</f>
        <v>0</v>
      </c>
      <c r="EU168" s="8">
        <f>IF(EU$56-Voorblad!$F$41&gt;Voorblad!$K$41,0,IF($U168=0,0,IF($U168&lt;1,1/$U168,IF((EU$56-Voorblad!$F$41)/$U168-SUM($EE168:ET168)=1,1,0))))</f>
        <v>1</v>
      </c>
      <c r="EV168" s="8">
        <f>IF(EV$56-Voorblad!$F$41&gt;Voorblad!$K$41,0,IF($U168=0,0,IF($U168&lt;1,1/$U168,IF((EV$56-Voorblad!$F$41)/$U168-SUM($EE168:EU168)=1,1,0))))</f>
        <v>0</v>
      </c>
      <c r="EW168" s="8">
        <f>IF(EW$56-Voorblad!$F$41&gt;Voorblad!$K$41,0,IF($U168=0,0,IF($U168&lt;1,1/$U168,IF((EW$56-Voorblad!$F$41)/$U168-SUM($EE168:EV168)=1,1,0))))</f>
        <v>0</v>
      </c>
      <c r="EX168" s="8">
        <f>IF(EX$56-Voorblad!$F$41&gt;Voorblad!$K$41,0,IF($U168=0,0,IF($U168&lt;1,1/$U168,IF((EX$56-Voorblad!$F$41)/$U168-SUM($EE168:EW168)=1,1,0))))</f>
        <v>0</v>
      </c>
      <c r="EY168" s="8">
        <f>IF(EY$56-Voorblad!$F$41&gt;Voorblad!$K$41,0,IF($U168=0,0,IF($U168&lt;1,1/$U168,IF((EY$56-Voorblad!$F$41)/$U168-SUM($EE168:EX168)=1,1,0))))</f>
        <v>0</v>
      </c>
      <c r="EZ168" s="8">
        <f>IF(EZ$56-Voorblad!$F$41&gt;Voorblad!$K$41,0,IF($U168=0,0,IF($U168&lt;1,1/$U168,IF((EZ$56-Voorblad!$F$41)/$U168-SUM($EE168:EY168)=1,1,0))))</f>
        <v>0</v>
      </c>
      <c r="FA168" s="8">
        <f>IF(FA$56-Voorblad!$F$41&gt;Voorblad!$K$41,0,IF($U168=0,0,IF($U168&lt;1,1/$U168,IF((FA$56-Voorblad!$F$41)/$U168-SUM($EE168:EZ168)=1,1,0))))</f>
        <v>0</v>
      </c>
      <c r="FB168" s="8">
        <f>IF(FB$56-Voorblad!$F$41&gt;Voorblad!$K$41,0,IF($U168=0,0,IF($U168&lt;1,1/$U168,IF((FB$56-Voorblad!$F$41)/$U168-SUM($EE168:FA168)=1,1,0))))</f>
        <v>0</v>
      </c>
      <c r="FC168" s="8">
        <f>IF(FC$56-Voorblad!$F$41&gt;Voorblad!$K$41,0,IF($U168=0,0,IF($U168&lt;1,1/$U168,IF((FC$56-Voorblad!$F$41)/$U168-SUM($EE168:FB168)=1,1,0))))</f>
        <v>0</v>
      </c>
      <c r="FD168" s="8">
        <f>IF(FD$56-Voorblad!$F$41&gt;Voorblad!$K$41,0,IF($U168=0,0,IF($U168&lt;1,1/$U168,IF((FD$56-Voorblad!$F$41)/$U168-SUM($EE168:FC168)=1,1,0))))</f>
        <v>0</v>
      </c>
      <c r="FE168" s="8">
        <f>IF(FE$56-Voorblad!$F$41&gt;Voorblad!$K$41,0,IF($U168=0,0,IF($U168&lt;1,1/$U168,IF((FE$56-Voorblad!$F$41)/$U168-SUM($EE168:FD168)=1,1,0))))</f>
        <v>0</v>
      </c>
      <c r="FF168" s="8">
        <f>IF(FF$56-Voorblad!$F$41&gt;Voorblad!$K$41,0,IF($U168=0,0,IF($U168&lt;1,1/$U168,IF((FF$56-Voorblad!$F$41)/$U168-SUM($EE168:FE168)=1,1,0))))</f>
        <v>0</v>
      </c>
      <c r="FG168" s="8">
        <f>IF(FG$56-Voorblad!$F$41&gt;Voorblad!$K$41,0,IF($U168=0,0,IF($U168&lt;1,1/$U168,IF((FG$56-Voorblad!$F$41)/$U168-SUM($EE168:FF168)=1,1,0))))</f>
        <v>0</v>
      </c>
      <c r="FH168" s="8">
        <f>IF(FH$56-Voorblad!$F$41&gt;Voorblad!$K$41,0,IF($U168=0,0,IF($U168&lt;1,1/$U168,IF((FH$56-Voorblad!$F$41)/$U168-SUM($EE168:FG168)=1,1,0))))</f>
        <v>0</v>
      </c>
      <c r="FI168" s="8">
        <f>IF(FI$56-Voorblad!$F$41&gt;Voorblad!$K$41,0,IF($U168=0,0,IF($U168&lt;1,1/$U168,IF((FI$56-Voorblad!$F$41)/$U168-SUM($EE168:FH168)=1,1,0))))</f>
        <v>0</v>
      </c>
      <c r="FJ168" s="8">
        <f>IF(FJ$56-Voorblad!$F$41&gt;Voorblad!$K$41,0,IF($U168=0,0,IF($U168&lt;1,1/$U168,IF((FJ$56-Voorblad!$F$41)/$U168-SUM($EE168:FI168)=1,1,0))))</f>
        <v>1</v>
      </c>
      <c r="FK168" s="8">
        <f>IF(FK$56-Voorblad!$F$41&gt;Voorblad!$K$41,0,IF($U168=0,0,IF($U168&lt;1,1/$U168,IF((FK$56-Voorblad!$F$41)/$U168-SUM($EE168:FJ168)=1,1,0))))</f>
        <v>0</v>
      </c>
      <c r="FL168" s="8">
        <f>IF(FL$56-Voorblad!$F$41&gt;Voorblad!$K$41,0,IF($U168=0,0,IF($U168&lt;1,1/$U168,IF((FL$56-Voorblad!$F$41)/$U168-SUM($EE168:FK168)=1,1,0))))</f>
        <v>0</v>
      </c>
      <c r="FM168" s="8">
        <f>IF(FM$56-Voorblad!$F$41&gt;Voorblad!$K$41,0,IF($U168=0,0,IF($U168&lt;1,1/$U168,IF((FM$56-Voorblad!$F$41)/$U168-SUM($EE168:FL168)=1,1,0))))</f>
        <v>0</v>
      </c>
      <c r="FN168" s="8">
        <f>IF(FN$56-Voorblad!$F$41&gt;Voorblad!$K$41,0,IF($U168=0,0,IF($U168&lt;1,1/$U168,IF((FN$56-Voorblad!$F$41)/$U168-SUM($EE168:FM168)=1,1,0))))</f>
        <v>0</v>
      </c>
      <c r="FO168" s="8">
        <f>IF(FO$56-Voorblad!$F$41&gt;Voorblad!$K$41,0,IF($U168=0,0,IF($U168&lt;1,1/$U168,IF((FO$56-Voorblad!$F$41)/$U168-SUM($EE168:FN168)=1,1,0))))</f>
        <v>0</v>
      </c>
      <c r="FP168" s="8">
        <f>IF(FP$56-Voorblad!$F$41&gt;Voorblad!$K$41,0,IF($U168=0,0,IF($U168&lt;1,1/$U168,IF((FP$56-Voorblad!$F$41)/$U168-SUM($EE168:FO168)=1,1,0))))</f>
        <v>0</v>
      </c>
      <c r="FQ168" s="8">
        <f>IF(FQ$56-Voorblad!$F$41&gt;Voorblad!$K$41,0,IF($U168=0,0,IF($U168&lt;1,1/$U168,IF((FQ$56-Voorblad!$F$41)/$U168-SUM($EE168:FP168)=1,1,0))))</f>
        <v>0</v>
      </c>
      <c r="FR168" s="8">
        <f>IF(FR$56-Voorblad!$F$41&gt;Voorblad!$K$41,0,IF($U168=0,0,IF($U168&lt;1,1/$U168,IF((FR$56-Voorblad!$F$41)/$U168-SUM($EE168:FQ168)=1,1,0))))</f>
        <v>0</v>
      </c>
      <c r="FS168" s="8">
        <f>IF(FS$56-Voorblad!$F$41&gt;Voorblad!$K$41,0,IF($U168=0,0,IF($U168&lt;1,1/$U168,IF((FS$56-Voorblad!$F$41)/$U168-SUM($EE168:FR168)=1,1,0))))</f>
        <v>0</v>
      </c>
      <c r="FT168" s="8">
        <f>IF(FT$56-Voorblad!$F$41&gt;Voorblad!$K$41,0,IF($U168=0,0,IF($U168&lt;1,1/$U168,IF((FT$56-Voorblad!$F$41)/$U168-SUM($EE168:FS168)=1,1,0))))</f>
        <v>0</v>
      </c>
      <c r="FU168" s="8">
        <f>IF(FU$56-Voorblad!$F$41&gt;Voorblad!$K$41,0,IF($U168=0,0,IF($U168&lt;1,1/$U168,IF((FU$56-Voorblad!$F$41)/$U168-SUM($EE168:FT168)=1,1,0))))</f>
        <v>0</v>
      </c>
      <c r="FV168" s="8">
        <f>IF(FV$56-Voorblad!$F$41&gt;Voorblad!$K$41,0,IF($U168=0,0,IF($U168&lt;1,1/$U168,IF((FV$56-Voorblad!$F$41)/$U168-SUM($EE168:FU168)=1,1,0))))</f>
        <v>0</v>
      </c>
      <c r="FW168" s="8">
        <f>IF(FW$56-Voorblad!$F$41&gt;Voorblad!$K$41,0,IF($U168=0,0,IF($U168&lt;1,1/$U168,IF((FW$56-Voorblad!$F$41)/$U168-SUM($EE168:FV168)=1,1,0))))</f>
        <v>0</v>
      </c>
      <c r="FX168" s="8">
        <f>IF(FX$56-Voorblad!$F$41&gt;Voorblad!$K$41,0,IF($U168=0,0,IF($U168&lt;1,1/$U168,IF((FX$56-Voorblad!$F$41)/$U168-SUM($EE168:FW168)=1,1,0))))</f>
        <v>0</v>
      </c>
      <c r="FY168" s="8">
        <f>IF(FY$56-Voorblad!$F$41&gt;Voorblad!$K$41,0,IF($U168=0,0,IF($U168&lt;1,1/$U168,IF((FY$56-Voorblad!$F$41)/$U168-SUM($EE168:FX168)=1,1,0))))</f>
        <v>1</v>
      </c>
      <c r="FZ168" s="8">
        <f>IF(FZ$56-Voorblad!$F$41&gt;Voorblad!$K$41,0,IF($U168=0,0,IF($U168&lt;1,1/$U168,IF((FZ$56-Voorblad!$F$41)/$U168-SUM($EE168:FY168)=1,1,0))))</f>
        <v>0</v>
      </c>
      <c r="GA168" s="8">
        <f>IF(GA$56-Voorblad!$F$41&gt;Voorblad!$K$41,0,IF($U168=0,0,IF($U168&lt;1,1/$U168,IF((GA$56-Voorblad!$F$41)/$U168-SUM($EE168:FZ168)=1,1,0))))</f>
        <v>0</v>
      </c>
      <c r="GB168" s="8">
        <f>IF(GB$56-Voorblad!$F$41&gt;Voorblad!$K$41,0,IF($U168=0,0,IF($U168&lt;1,1/$U168,IF((GB$56-Voorblad!$F$41)/$U168-SUM($EE168:GA168)=1,1,0))))</f>
        <v>0</v>
      </c>
      <c r="GC168" s="8">
        <f>IF(GC$56-Voorblad!$F$41&gt;Voorblad!$K$41,0,IF($U168=0,0,IF($U168&lt;1,1/$U168,IF((GC$56-Voorblad!$F$41)/$U168-SUM($EE168:GB168)=1,1,0))))</f>
        <v>0</v>
      </c>
      <c r="GD168" s="8">
        <f>IF(GD$56-Voorblad!$F$41&gt;Voorblad!$K$41,0,IF($U168=0,0,IF($U168&lt;1,1/$U168,IF((GD$56-Voorblad!$F$41)/$U168-SUM($EE168:GC168)=1,1,0))))</f>
        <v>0</v>
      </c>
      <c r="GE168" s="8">
        <f>IF(GE$56-Voorblad!$F$41&gt;Voorblad!$K$41,0,IF($U168=0,0,IF($U168&lt;1,1/$U168,IF((GE$56-Voorblad!$F$41)/$U168-SUM($EE168:GD168)=1,1,0))))</f>
        <v>0</v>
      </c>
      <c r="GF168" s="8">
        <f>IF(GF$56-Voorblad!$F$41&gt;Voorblad!$K$41,0,IF($U168=0,0,IF($U168&lt;1,1/$U168,IF((GF$56-Voorblad!$F$41)/$U168-SUM($EE168:GE168)=1,1,0))))</f>
        <v>0</v>
      </c>
      <c r="GG168" s="8">
        <f>IF(GG$56-Voorblad!$F$41&gt;Voorblad!$K$41,0,IF($U168=0,0,IF($U168&lt;1,1/$U168,IF((GG$56-Voorblad!$F$41)/$U168-SUM($EE168:GF168)=1,1,0))))</f>
        <v>0</v>
      </c>
      <c r="GH168" s="8">
        <f>IF(GH$56-Voorblad!$F$41&gt;Voorblad!$K$41,0,IF($U168=0,0,IF($U168&lt;1,1/$U168,IF((GH$56-Voorblad!$F$41)/$U168-SUM($EE168:GG168)=1,1,0))))</f>
        <v>0</v>
      </c>
      <c r="GI168" s="8">
        <f>IF(GI$56-Voorblad!$F$41&gt;Voorblad!$K$41,0,IF($U168=0,0,IF($U168&lt;1,1/$U168,IF((GI$56-Voorblad!$F$41)/$U168-SUM($EE168:GH168)=1,1,0))))</f>
        <v>0</v>
      </c>
      <c r="GJ168" s="8">
        <f>IF(GJ$56-Voorblad!$F$41&gt;Voorblad!$K$41,0,IF($U168=0,0,IF($U168&lt;1,1/$U168,IF((GJ$56-Voorblad!$F$41)/$U168-SUM($EE168:GI168)=1,1,0))))</f>
        <v>0</v>
      </c>
      <c r="GK168" s="8">
        <f>IF(GK$56-Voorblad!$F$41&gt;Voorblad!$K$41,0,IF($U168=0,0,IF($U168&lt;1,1/$U168,IF((GK$56-Voorblad!$F$41)/$U168-SUM($EE168:GJ168)=1,1,0))))</f>
        <v>0</v>
      </c>
      <c r="GL168" s="8">
        <f>IF(GL$56-Voorblad!$F$41&gt;Voorblad!$K$41,0,IF($U168=0,0,IF($U168&lt;1,1/$U168,IF((GL$56-Voorblad!$F$41)/$U168-SUM($EE168:GK168)=1,1,0))))</f>
        <v>0</v>
      </c>
      <c r="GM168" s="8">
        <f>IF(GM$56-Voorblad!$F$41&gt;Voorblad!$K$41,0,IF($U168=0,0,IF($U168&lt;1,1/$U168,IF((GM$56-Voorblad!$F$41)/$U168-SUM($EE168:GL168)=1,1,0))))</f>
        <v>0</v>
      </c>
      <c r="GN168" s="8">
        <f>IF(GN$56-Voorblad!$F$41&gt;Voorblad!$K$41,0,IF($U168=0,0,IF($U168&lt;1,1/$U168,IF((GN$56-Voorblad!$F$41)/$U168-SUM($EE168:GM168)=1,1,0))))</f>
        <v>1</v>
      </c>
      <c r="GO168" s="8">
        <f>IF(GO$56-Voorblad!$F$41&gt;Voorblad!$K$41,0,IF($U168=0,0,IF($U168&lt;1,1/$U168,IF((GO$56-Voorblad!$F$41)/$U168-SUM($EE168:GN168)=1,1,0))))</f>
        <v>0</v>
      </c>
      <c r="GP168" s="8">
        <f>IF(GP$56-Voorblad!$F$41&gt;Voorblad!$K$41,0,IF($U168=0,0,IF($U168&lt;1,1/$U168,IF((GP$56-Voorblad!$F$41)/$U168-SUM($EE168:GO168)=1,1,0))))</f>
        <v>0</v>
      </c>
      <c r="GQ168" s="8">
        <f>IF(GQ$56-Voorblad!$F$41&gt;Voorblad!$K$41,0,IF($U168=0,0,IF($U168&lt;1,1/$U168,IF((GQ$56-Voorblad!$F$41)/$U168-SUM($EE168:GP168)=1,1,0))))</f>
        <v>0</v>
      </c>
      <c r="GR168" s="8">
        <f>IF(GR$56-Voorblad!$F$41&gt;Voorblad!$K$41,0,IF($U168=0,0,IF($U168&lt;1,1/$U168,IF((GR$56-Voorblad!$F$41)/$U168-SUM($EE168:GQ168)=1,1,0))))</f>
        <v>0</v>
      </c>
      <c r="GS168" s="8">
        <f>IF(GS$56-Voorblad!$F$41&gt;Voorblad!$K$41,0,IF($U168=0,0,IF($U168&lt;1,1/$U168,IF((GS$56-Voorblad!$F$41)/$U168-SUM($EE168:GR168)=1,1,0))))</f>
        <v>0</v>
      </c>
      <c r="GT168" s="8">
        <f>IF(GT$56-Voorblad!$F$41&gt;Voorblad!$K$41,0,IF($U168=0,0,IF($U168&lt;1,1/$U168,IF((GT$56-Voorblad!$F$41)/$U168-SUM($EE168:GS168)=1,1,0))))</f>
        <v>0</v>
      </c>
      <c r="GU168" s="8">
        <f>IF(GU$56-Voorblad!$F$41&gt;Voorblad!$K$41,0,IF($U168=0,0,IF($U168&lt;1,1/$U168,IF((GU$56-Voorblad!$F$41)/$U168-SUM($EE168:GT168)=1,1,0))))</f>
        <v>0</v>
      </c>
      <c r="GV168" s="8">
        <f>IF(GV$56-Voorblad!$F$41&gt;Voorblad!$K$41,0,IF($U168=0,0,IF($U168&lt;1,1/$U168,IF((GV$56-Voorblad!$F$41)/$U168-SUM($EE168:GU168)=1,1,0))))</f>
        <v>0</v>
      </c>
      <c r="GW168" s="8">
        <f>IF(GW$56-Voorblad!$F$41&gt;Voorblad!$K$41,0,IF($U168=0,0,IF($U168&lt;1,1/$U168,IF((GW$56-Voorblad!$F$41)/$U168-SUM($EE168:GV168)=1,1,0))))</f>
        <v>0</v>
      </c>
      <c r="GX168" s="8">
        <f>IF(GX$56-Voorblad!$F$41&gt;Voorblad!$K$41,0,IF($U168=0,0,IF($U168&lt;1,1/$U168,IF((GX$56-Voorblad!$F$41)/$U168-SUM($EE168:GW168)=1,1,0))))</f>
        <v>0</v>
      </c>
      <c r="GY168" s="8">
        <f>IF(GY$56-Voorblad!$F$41&gt;Voorblad!$K$41,0,IF($U168=0,0,IF($U168&lt;1,1/$U168,IF((GY$56-Voorblad!$F$41)/$U168-SUM($EE168:GX168)=1,1,0))))</f>
        <v>0</v>
      </c>
      <c r="GZ168" s="8">
        <f>IF(GZ$56-Voorblad!$F$41&gt;Voorblad!$K$41,0,IF($U168=0,0,IF($U168&lt;1,1/$U168,IF((GZ$56-Voorblad!$F$41)/$U168-SUM($EE168:GY168)=1,1,0))))</f>
        <v>0</v>
      </c>
      <c r="HA168" s="8">
        <f>IF(HA$56-Voorblad!$F$41&gt;Voorblad!$K$41,0,IF($U168=0,0,IF($U168&lt;1,1/$U168,IF((HA$56-Voorblad!$F$41)/$U168-SUM($EE168:GZ168)=1,1,0))))</f>
        <v>0</v>
      </c>
      <c r="HB168" s="8">
        <f>IF(HB$56-Voorblad!$F$41&gt;Voorblad!$K$41,0,IF($U168=0,0,IF($U168&lt;1,1/$U168,IF((HB$56-Voorblad!$F$41)/$U168-SUM($EE168:HA168)=1,1,0))))</f>
        <v>0</v>
      </c>
      <c r="HC168" s="8">
        <f>IF(HC$56-Voorblad!$F$41&gt;Voorblad!$K$41,0,IF($U168=0,0,IF($U168&lt;1,1/$U168,IF((HC$56-Voorblad!$F$41)/$U168-SUM($EE168:HB168)=1,1,0))))</f>
        <v>0</v>
      </c>
      <c r="HD168" s="8">
        <f>IF(HD$56-Voorblad!$F$41&gt;Voorblad!$K$41,0,IF($U168=0,0,IF($U168&lt;1,1/$U168,IF((HD$56-Voorblad!$F$41)/$U168-SUM($EE168:HC168)=1,1,0))))</f>
        <v>0</v>
      </c>
      <c r="HE168" s="8">
        <f>IF(HE$56-Voorblad!$F$41&gt;Voorblad!$K$41,0,IF($U168=0,0,IF($U168&lt;1,1/$U168,IF((HE$56-Voorblad!$F$41)/$U168-SUM($EE168:HD168)=1,1,0))))</f>
        <v>0</v>
      </c>
      <c r="HF168" s="8">
        <f>IF(HF$56-Voorblad!$F$41&gt;Voorblad!$K$41,0,IF($U168=0,0,IF($U168&lt;1,1/$U168,IF((HF$56-Voorblad!$F$41)/$U168-SUM($EE168:HE168)=1,1,0))))</f>
        <v>0</v>
      </c>
      <c r="HG168" s="8">
        <f>IF(HG$56-Voorblad!$F$41&gt;Voorblad!$K$41,0,IF($U168=0,0,IF($U168&lt;1,1/$U168,IF((HG$56-Voorblad!$F$41)/$U168-SUM($EE168:HF168)=1,1,0))))</f>
        <v>0</v>
      </c>
      <c r="HH168" s="8">
        <f>IF(HH$56-Voorblad!$F$41&gt;Voorblad!$K$41,0,IF($U168=0,0,IF($U168&lt;1,1/$U168,IF((HH$56-Voorblad!$F$41)/$U168-SUM($EE168:HG168)=1,1,0))))</f>
        <v>0</v>
      </c>
      <c r="HI168" s="8">
        <f>IF(HI$56-Voorblad!$F$41&gt;Voorblad!$K$41,0,IF($U168=0,0,IF($U168&lt;1,1/$U168,IF((HI$56-Voorblad!$F$41)/$U168-SUM($EE168:HH168)=1,1,0))))</f>
        <v>0</v>
      </c>
      <c r="HJ168" s="8">
        <f>IF(HJ$56-Voorblad!$F$41&gt;Voorblad!$K$41,0,IF($U168=0,0,IF($U168&lt;1,1/$U168,IF((HJ$56-Voorblad!$F$41)/$U168-SUM($EE168:HI168)=1,1,0))))</f>
        <v>0</v>
      </c>
      <c r="HK168" s="8">
        <f>IF(HK$56-Voorblad!$F$41&gt;Voorblad!$K$41,0,IF($U168=0,0,IF($U168&lt;1,1/$U168,IF((HK$56-Voorblad!$F$41)/$U168-SUM($EE168:HJ168)=1,1,0))))</f>
        <v>0</v>
      </c>
      <c r="HL168" s="8">
        <f>IF(HL$56-Voorblad!$F$41&gt;Voorblad!$K$41,0,IF($U168=0,0,IF($U168&lt;1,1/$U168,IF((HL$56-Voorblad!$F$41)/$U168-SUM($EE168:HK168)=1,1,0))))</f>
        <v>0</v>
      </c>
      <c r="HM168" s="8">
        <f>IF(HM$56-Voorblad!$F$41&gt;Voorblad!$K$41,0,IF($U168=0,0,IF($U168&lt;1,1/$U168,IF((HM$56-Voorblad!$F$41)/$U168-SUM($EE168:HL168)=1,1,0))))</f>
        <v>0</v>
      </c>
      <c r="HN168" s="8">
        <f>IF(HN$56-Voorblad!$F$41&gt;Voorblad!$K$41,0,IF($U168=0,0,IF($U168&lt;1,1/$U168,IF((HN$56-Voorblad!$F$41)/$U168-SUM($EE168:HM168)=1,1,0))))</f>
        <v>0</v>
      </c>
      <c r="HO168" s="8">
        <f>IF(HO$56-Voorblad!$F$41&gt;Voorblad!$K$41,0,IF($U168=0,0,IF($U168&lt;1,1/$U168,IF((HO$56-Voorblad!$F$41)/$U168-SUM($EE168:HN168)=1,1,0))))</f>
        <v>0</v>
      </c>
      <c r="HP168" s="8">
        <f>IF(HP$56-Voorblad!$F$41&gt;Voorblad!$K$41,0,IF($U168=0,0,IF($U168&lt;1,1/$U168,IF((HP$56-Voorblad!$F$41)/$U168-SUM($EE168:HO168)=1,1,0))))</f>
        <v>0</v>
      </c>
      <c r="HQ168" s="8">
        <f>IF(HQ$56-Voorblad!$F$41&gt;Voorblad!$K$41,0,IF($U168=0,0,IF($U168&lt;1,1/$U168,IF((HQ$56-Voorblad!$F$41)/$U168-SUM($EE168:HP168)=1,1,0))))</f>
        <v>0</v>
      </c>
      <c r="HR168" s="8">
        <f>IF(HR$56-Voorblad!$F$41&gt;Voorblad!$K$41,0,IF($U168=0,0,IF($U168&lt;1,1/$U168,IF((HR$56-Voorblad!$F$41)/$U168-SUM($EE168:HQ168)=1,1,0))))</f>
        <v>0</v>
      </c>
      <c r="HS168" s="8">
        <f>IF(HS$56-Voorblad!$F$41&gt;Voorblad!$K$41,0,IF($U168=0,0,IF($U168&lt;1,1/$U168,IF((HS$56-Voorblad!$F$41)/$U168-SUM($EE168:HR168)=1,1,0))))</f>
        <v>0</v>
      </c>
      <c r="HT168" s="8">
        <f>IF(HT$56-Voorblad!$F$41&gt;Voorblad!$K$41,0,IF($U168=0,0,IF($U168&lt;1,1/$U168,IF((HT$56-Voorblad!$F$41)/$U168-SUM($EE168:HS168)=1,1,0))))</f>
        <v>0</v>
      </c>
      <c r="HU168" s="8">
        <f>IF(HU$56-Voorblad!$F$41&gt;Voorblad!$K$41,0,IF($U168=0,0,IF($U168&lt;1,1/$U168,IF((HU$56-Voorblad!$F$41)/$U168-SUM($EE168:HT168)=1,1,0))))</f>
        <v>0</v>
      </c>
      <c r="HV168" s="8">
        <f>IF(HV$56-Voorblad!$F$41&gt;Voorblad!$K$41,0,IF($U168=0,0,IF($U168&lt;1,1/$U168,IF((HV$56-Voorblad!$F$41)/$U168-SUM($EE168:HU168)=1,1,0))))</f>
        <v>0</v>
      </c>
      <c r="HW168" s="8">
        <f>IF(HW$56-Voorblad!$F$41&gt;Voorblad!$K$41,0,IF($U168=0,0,IF($U168&lt;1,1/$U168,IF((HW$56-Voorblad!$F$41)/$U168-SUM($EE168:HV168)=1,1,0))))</f>
        <v>0</v>
      </c>
      <c r="HX168" s="8">
        <f>IF(HX$56-Voorblad!$F$41&gt;Voorblad!$K$41,0,IF($U168=0,0,IF($U168&lt;1,1/$U168,IF((HX$56-Voorblad!$F$41)/$U168-SUM($EE168:HW168)=1,1,0))))</f>
        <v>0</v>
      </c>
      <c r="HY168" s="8">
        <f>IF(HY$56-Voorblad!$F$41&gt;Voorblad!$K$41,0,IF($U168=0,0,IF($U168&lt;1,1/$U168,IF((HY$56-Voorblad!$F$41)/$U168-SUM($EE168:HX168)=1,1,0))))</f>
        <v>0</v>
      </c>
      <c r="HZ168" s="8">
        <f>IF(HZ$56-Voorblad!$F$41&gt;Voorblad!$K$41,0,IF($U168=0,0,IF($U168&lt;1,1/$U168,IF((HZ$56-Voorblad!$F$41)/$U168-SUM($EE168:HY168)=1,1,0))))</f>
        <v>0</v>
      </c>
      <c r="IA168" s="8">
        <f>IF(IA$56-Voorblad!$F$41&gt;Voorblad!$K$41,0,IF($U168=0,0,IF($U168&lt;1,1/$U168,IF((IA$56-Voorblad!$F$41)/$U168-SUM($EE168:HZ168)=1,1,0))))</f>
        <v>0</v>
      </c>
      <c r="IB168" s="8">
        <f>IF(IB$56-Voorblad!$F$41&gt;Voorblad!$K$41,0,IF($U168=0,0,IF($U168&lt;1,1/$U168,IF((IB$56-Voorblad!$F$41)/$U168-SUM($EE168:IA168)=1,1,0))))</f>
        <v>0</v>
      </c>
    </row>
    <row r="169" spans="2:236" ht="12" hidden="1" customHeight="1" outlineLevel="1" x14ac:dyDescent="0.25">
      <c r="B169" s="1">
        <v>3</v>
      </c>
      <c r="F169" s="1" t="s">
        <v>23</v>
      </c>
      <c r="I169" s="14" t="s">
        <v>277</v>
      </c>
      <c r="K169" s="14" t="s">
        <v>201</v>
      </c>
      <c r="L169" s="14"/>
      <c r="M169" s="14"/>
      <c r="O169" s="1" t="s">
        <v>178</v>
      </c>
      <c r="P169" s="1" t="s">
        <v>181</v>
      </c>
      <c r="Q169" s="81">
        <v>0</v>
      </c>
      <c r="R169" s="1" t="s">
        <v>34</v>
      </c>
      <c r="S169" s="14">
        <f>$H$20*100</f>
        <v>177</v>
      </c>
      <c r="T169" s="1">
        <f t="shared" si="189"/>
        <v>0</v>
      </c>
      <c r="U169" s="14">
        <v>15</v>
      </c>
      <c r="V169" s="14"/>
      <c r="Y169" s="9">
        <f t="shared" si="193"/>
        <v>0</v>
      </c>
      <c r="Z169" s="82"/>
      <c r="AA169" s="82"/>
      <c r="AC169" s="9">
        <f>$Y169*(Voorblad!$K$44*(1+Voorblad!$K$44)^Voorblad!$K$41)/((1+Voorblad!$K$44)^Voorblad!$K$41-1)</f>
        <v>0</v>
      </c>
      <c r="AE169" s="9">
        <f>EF169*($Q169*$S169)/(1+Voorblad!$K$44)^(AE$56-Voorblad!$F$41)</f>
        <v>0</v>
      </c>
      <c r="AF169" s="9">
        <f>EG169*($Q169*$S169)/(1+Voorblad!$K$44)^(AF$56-Voorblad!$F$41)</f>
        <v>0</v>
      </c>
      <c r="AG169" s="9">
        <f>EH169*($Q169*$S169)/(1+Voorblad!$K$44)^(AG$56-Voorblad!$F$41)</f>
        <v>0</v>
      </c>
      <c r="AH169" s="9">
        <f>EI169*($Q169*$S169)/(1+Voorblad!$K$44)^(AH$56-Voorblad!$F$41)</f>
        <v>0</v>
      </c>
      <c r="AI169" s="9">
        <f>EJ169*($Q169*$S169)/(1+Voorblad!$K$44)^(AI$56-Voorblad!$F$41)</f>
        <v>0</v>
      </c>
      <c r="AJ169" s="9">
        <f>EK169*($Q169*$S169)/(1+Voorblad!$K$44)^(AJ$56-Voorblad!$F$41)</f>
        <v>0</v>
      </c>
      <c r="AK169" s="9">
        <f>EL169*($Q169*$S169)/(1+Voorblad!$K$44)^(AK$56-Voorblad!$F$41)</f>
        <v>0</v>
      </c>
      <c r="AL169" s="9">
        <f>EM169*($Q169*$S169)/(1+Voorblad!$K$44)^(AL$56-Voorblad!$F$41)</f>
        <v>0</v>
      </c>
      <c r="AM169" s="9">
        <f>EN169*($Q169*$S169)/(1+Voorblad!$K$44)^(AM$56-Voorblad!$F$41)</f>
        <v>0</v>
      </c>
      <c r="AN169" s="9">
        <f>EO169*($Q169*$S169)/(1+Voorblad!$K$44)^(AN$56-Voorblad!$F$41)</f>
        <v>0</v>
      </c>
      <c r="AO169" s="9">
        <f>EP169*($Q169*$S169)/(1+Voorblad!$K$44)^(AO$56-Voorblad!$F$41)</f>
        <v>0</v>
      </c>
      <c r="AP169" s="9">
        <f>EQ169*($Q169*$S169)/(1+Voorblad!$K$44)^(AP$56-Voorblad!$F$41)</f>
        <v>0</v>
      </c>
      <c r="AQ169" s="9">
        <f>ER169*($Q169*$S169)/(1+Voorblad!$K$44)^(AQ$56-Voorblad!$F$41)</f>
        <v>0</v>
      </c>
      <c r="AR169" s="9">
        <f>ES169*($Q169*$S169)/(1+Voorblad!$K$44)^(AR$56-Voorblad!$F$41)</f>
        <v>0</v>
      </c>
      <c r="AS169" s="9">
        <f>ET169*($Q169*$S169)/(1+Voorblad!$K$44)^(AS$56-Voorblad!$F$41)</f>
        <v>0</v>
      </c>
      <c r="AT169" s="9">
        <f>EU169*($Q169*$S169)/(1+Voorblad!$K$44)^(AT$56-Voorblad!$F$41)</f>
        <v>0</v>
      </c>
      <c r="AU169" s="9">
        <f>EV169*($Q169*$S169)/(1+Voorblad!$K$44)^(AU$56-Voorblad!$F$41)</f>
        <v>0</v>
      </c>
      <c r="AV169" s="9">
        <f>EW169*($Q169*$S169)/(1+Voorblad!$K$44)^(AV$56-Voorblad!$F$41)</f>
        <v>0</v>
      </c>
      <c r="AW169" s="9">
        <f>EX169*($Q169*$S169)/(1+Voorblad!$K$44)^(AW$56-Voorblad!$F$41)</f>
        <v>0</v>
      </c>
      <c r="AX169" s="9">
        <f>EY169*($Q169*$S169)/(1+Voorblad!$K$44)^(AX$56-Voorblad!$F$41)</f>
        <v>0</v>
      </c>
      <c r="AY169" s="9">
        <f>EZ169*($Q169*$S169)/(1+Voorblad!$K$44)^(AY$56-Voorblad!$F$41)</f>
        <v>0</v>
      </c>
      <c r="AZ169" s="9">
        <f>FA169*($Q169*$S169)/(1+Voorblad!$K$44)^(AZ$56-Voorblad!$F$41)</f>
        <v>0</v>
      </c>
      <c r="BA169" s="9">
        <f>FB169*($Q169*$S169)/(1+Voorblad!$K$44)^(BA$56-Voorblad!$F$41)</f>
        <v>0</v>
      </c>
      <c r="BB169" s="9">
        <f>FC169*($Q169*$S169)/(1+Voorblad!$K$44)^(BB$56-Voorblad!$F$41)</f>
        <v>0</v>
      </c>
      <c r="BC169" s="9">
        <f>FD169*($Q169*$S169)/(1+Voorblad!$K$44)^(BC$56-Voorblad!$F$41)</f>
        <v>0</v>
      </c>
      <c r="BD169" s="9">
        <f>FE169*($Q169*$S169)/(1+Voorblad!$K$44)^(BD$56-Voorblad!$F$41)</f>
        <v>0</v>
      </c>
      <c r="BE169" s="9">
        <f>FF169*($Q169*$S169)/(1+Voorblad!$K$44)^(BE$56-Voorblad!$F$41)</f>
        <v>0</v>
      </c>
      <c r="BF169" s="9">
        <f>FG169*($Q169*$S169)/(1+Voorblad!$K$44)^(BF$56-Voorblad!$F$41)</f>
        <v>0</v>
      </c>
      <c r="BG169" s="9">
        <f>FH169*($Q169*$S169)/(1+Voorblad!$K$44)^(BG$56-Voorblad!$F$41)</f>
        <v>0</v>
      </c>
      <c r="BH169" s="9">
        <f>FI169*($Q169*$S169)/(1+Voorblad!$K$44)^(BH$56-Voorblad!$F$41)</f>
        <v>0</v>
      </c>
      <c r="BI169" s="9">
        <f>FJ169*($Q169*$S169)/(1+Voorblad!$K$44)^(BI$56-Voorblad!$F$41)</f>
        <v>0</v>
      </c>
      <c r="BJ169" s="9">
        <f>FK169*($Q169*$S169)/(1+Voorblad!$K$44)^(BJ$56-Voorblad!$F$41)</f>
        <v>0</v>
      </c>
      <c r="BK169" s="9">
        <f>FL169*($Q169*$S169)/(1+Voorblad!$K$44)^(BK$56-Voorblad!$F$41)</f>
        <v>0</v>
      </c>
      <c r="BL169" s="9">
        <f>FM169*($Q169*$S169)/(1+Voorblad!$K$44)^(BL$56-Voorblad!$F$41)</f>
        <v>0</v>
      </c>
      <c r="BM169" s="9">
        <f>FN169*($Q169*$S169)/(1+Voorblad!$K$44)^(BM$56-Voorblad!$F$41)</f>
        <v>0</v>
      </c>
      <c r="BN169" s="9">
        <f>FO169*($Q169*$S169)/(1+Voorblad!$K$44)^(BN$56-Voorblad!$F$41)</f>
        <v>0</v>
      </c>
      <c r="BO169" s="9">
        <f>FP169*($Q169*$S169)/(1+Voorblad!$K$44)^(BO$56-Voorblad!$F$41)</f>
        <v>0</v>
      </c>
      <c r="BP169" s="9">
        <f>FQ169*($Q169*$S169)/(1+Voorblad!$K$44)^(BP$56-Voorblad!$F$41)</f>
        <v>0</v>
      </c>
      <c r="BQ169" s="9">
        <f>FR169*($Q169*$S169)/(1+Voorblad!$K$44)^(BQ$56-Voorblad!$F$41)</f>
        <v>0</v>
      </c>
      <c r="BR169" s="9">
        <f>FS169*($Q169*$S169)/(1+Voorblad!$K$44)^(BR$56-Voorblad!$F$41)</f>
        <v>0</v>
      </c>
      <c r="BS169" s="9">
        <f>FT169*($Q169*$S169)/(1+Voorblad!$K$44)^(BS$56-Voorblad!$F$41)</f>
        <v>0</v>
      </c>
      <c r="BT169" s="9">
        <f>FU169*($Q169*$S169)/(1+Voorblad!$K$44)^(BT$56-Voorblad!$F$41)</f>
        <v>0</v>
      </c>
      <c r="BU169" s="9">
        <f>FV169*($Q169*$S169)/(1+Voorblad!$K$44)^(BU$56-Voorblad!$F$41)</f>
        <v>0</v>
      </c>
      <c r="BV169" s="9">
        <f>FW169*($Q169*$S169)/(1+Voorblad!$K$44)^(BV$56-Voorblad!$F$41)</f>
        <v>0</v>
      </c>
      <c r="BW169" s="9">
        <f>FX169*($Q169*$S169)/(1+Voorblad!$K$44)^(BW$56-Voorblad!$F$41)</f>
        <v>0</v>
      </c>
      <c r="BX169" s="9">
        <f>FY169*($Q169*$S169)/(1+Voorblad!$K$44)^(BX$56-Voorblad!$F$41)</f>
        <v>0</v>
      </c>
      <c r="BY169" s="9">
        <f>FZ169*($Q169*$S169)/(1+Voorblad!$K$44)^(BY$56-Voorblad!$F$41)</f>
        <v>0</v>
      </c>
      <c r="BZ169" s="9">
        <f>GA169*($Q169*$S169)/(1+Voorblad!$K$44)^(BZ$56-Voorblad!$F$41)</f>
        <v>0</v>
      </c>
      <c r="CA169" s="9">
        <f>GB169*($Q169*$S169)/(1+Voorblad!$K$44)^(CA$56-Voorblad!$F$41)</f>
        <v>0</v>
      </c>
      <c r="CB169" s="9">
        <f>GC169*($Q169*$S169)/(1+Voorblad!$K$44)^(CB$56-Voorblad!$F$41)</f>
        <v>0</v>
      </c>
      <c r="CC169" s="9">
        <f>GD169*($Q169*$S169)/(1+Voorblad!$K$44)^(CC$56-Voorblad!$F$41)</f>
        <v>0</v>
      </c>
      <c r="CD169" s="9">
        <f>GE169*($Q169*$S169)/(1+Voorblad!$K$44)^(CD$56-Voorblad!$F$41)</f>
        <v>0</v>
      </c>
      <c r="CE169" s="9">
        <f>GF169*($Q169*$S169)/(1+Voorblad!$K$44)^(CE$56-Voorblad!$F$41)</f>
        <v>0</v>
      </c>
      <c r="CF169" s="9">
        <f>GG169*($Q169*$S169)/(1+Voorblad!$K$44)^(CF$56-Voorblad!$F$41)</f>
        <v>0</v>
      </c>
      <c r="CG169" s="9">
        <f>GH169*($Q169*$S169)/(1+Voorblad!$K$44)^(CG$56-Voorblad!$F$41)</f>
        <v>0</v>
      </c>
      <c r="CH169" s="9">
        <f>GI169*($Q169*$S169)/(1+Voorblad!$K$44)^(CH$56-Voorblad!$F$41)</f>
        <v>0</v>
      </c>
      <c r="CI169" s="9">
        <f>GJ169*($Q169*$S169)/(1+Voorblad!$K$44)^(CI$56-Voorblad!$F$41)</f>
        <v>0</v>
      </c>
      <c r="CJ169" s="9">
        <f>GK169*($Q169*$S169)/(1+Voorblad!$K$44)^(CJ$56-Voorblad!$F$41)</f>
        <v>0</v>
      </c>
      <c r="CK169" s="9">
        <f>GL169*($Q169*$S169)/(1+Voorblad!$K$44)^(CK$56-Voorblad!$F$41)</f>
        <v>0</v>
      </c>
      <c r="CL169" s="9">
        <f>GM169*($Q169*$S169)/(1+Voorblad!$K$44)^(CL$56-Voorblad!$F$41)</f>
        <v>0</v>
      </c>
      <c r="CM169" s="9">
        <f>GN169*($Q169*$S169)/(1+Voorblad!$K$44)^(CM$56-Voorblad!$F$41)</f>
        <v>0</v>
      </c>
      <c r="CN169" s="9">
        <f>GO169*($Q169*$S169)/(1+Voorblad!$K$44)^(CN$56-Voorblad!$F$41)</f>
        <v>0</v>
      </c>
      <c r="CO169" s="9">
        <f>GP169*($Q169*$S169)/(1+Voorblad!$K$44)^(CO$56-Voorblad!$F$41)</f>
        <v>0</v>
      </c>
      <c r="CP169" s="9">
        <f>GQ169*($Q169*$S169)/(1+Voorblad!$K$44)^(CP$56-Voorblad!$F$41)</f>
        <v>0</v>
      </c>
      <c r="CQ169" s="9">
        <f>GR169*($Q169*$S169)/(1+Voorblad!$K$44)^(CQ$56-Voorblad!$F$41)</f>
        <v>0</v>
      </c>
      <c r="CR169" s="9">
        <f>GS169*($Q169*$S169)/(1+Voorblad!$K$44)^(CR$56-Voorblad!$F$41)</f>
        <v>0</v>
      </c>
      <c r="CS169" s="9">
        <f>GT169*($Q169*$S169)/(1+Voorblad!$K$44)^(CS$56-Voorblad!$F$41)</f>
        <v>0</v>
      </c>
      <c r="CT169" s="9">
        <f>GU169*($Q169*$S169)/(1+Voorblad!$K$44)^(CT$56-Voorblad!$F$41)</f>
        <v>0</v>
      </c>
      <c r="CU169" s="9">
        <f>GV169*($Q169*$S169)/(1+Voorblad!$K$44)^(CU$56-Voorblad!$F$41)</f>
        <v>0</v>
      </c>
      <c r="CV169" s="9">
        <f>GW169*($Q169*$S169)/(1+Voorblad!$K$44)^(CV$56-Voorblad!$F$41)</f>
        <v>0</v>
      </c>
      <c r="CW169" s="9">
        <f>GX169*($Q169*$S169)/(1+Voorblad!$K$44)^(CW$56-Voorblad!$F$41)</f>
        <v>0</v>
      </c>
      <c r="CX169" s="9">
        <f>GY169*($Q169*$S169)/(1+Voorblad!$K$44)^(CX$56-Voorblad!$F$41)</f>
        <v>0</v>
      </c>
      <c r="CY169" s="9">
        <f>GZ169*($Q169*$S169)/(1+Voorblad!$K$44)^(CY$56-Voorblad!$F$41)</f>
        <v>0</v>
      </c>
      <c r="CZ169" s="9">
        <f>HA169*($Q169*$S169)/(1+Voorblad!$K$44)^(CZ$56-Voorblad!$F$41)</f>
        <v>0</v>
      </c>
      <c r="DA169" s="9">
        <f>HB169*($Q169*$S169)/(1+Voorblad!$K$44)^(DA$56-Voorblad!$F$41)</f>
        <v>0</v>
      </c>
      <c r="DB169" s="9">
        <f>HC169*($Q169*$S169)/(1+Voorblad!$K$44)^(DB$56-Voorblad!$F$41)</f>
        <v>0</v>
      </c>
      <c r="DC169" s="9">
        <f>HD169*($Q169*$S169)/(1+Voorblad!$K$44)^(DC$56-Voorblad!$F$41)</f>
        <v>0</v>
      </c>
      <c r="DD169" s="9">
        <f>HE169*($Q169*$S169)/(1+Voorblad!$K$44)^(DD$56-Voorblad!$F$41)</f>
        <v>0</v>
      </c>
      <c r="DE169" s="9">
        <f>HF169*($Q169*$S169)/(1+Voorblad!$K$44)^(DE$56-Voorblad!$F$41)</f>
        <v>0</v>
      </c>
      <c r="DF169" s="9">
        <f>HG169*($Q169*$S169)/(1+Voorblad!$K$44)^(DF$56-Voorblad!$F$41)</f>
        <v>0</v>
      </c>
      <c r="DG169" s="9">
        <f>HH169*($Q169*$S169)/(1+Voorblad!$K$44)^(DG$56-Voorblad!$F$41)</f>
        <v>0</v>
      </c>
      <c r="DH169" s="9">
        <f>HI169*($Q169*$S169)/(1+Voorblad!$K$44)^(DH$56-Voorblad!$F$41)</f>
        <v>0</v>
      </c>
      <c r="DI169" s="9">
        <f>HJ169*($Q169*$S169)/(1+Voorblad!$K$44)^(DI$56-Voorblad!$F$41)</f>
        <v>0</v>
      </c>
      <c r="DJ169" s="9">
        <f>HK169*($Q169*$S169)/(1+Voorblad!$K$44)^(DJ$56-Voorblad!$F$41)</f>
        <v>0</v>
      </c>
      <c r="DK169" s="9">
        <f>HL169*($Q169*$S169)/(1+Voorblad!$K$44)^(DK$56-Voorblad!$F$41)</f>
        <v>0</v>
      </c>
      <c r="DL169" s="9">
        <f>HM169*($Q169*$S169)/(1+Voorblad!$K$44)^(DL$56-Voorblad!$F$41)</f>
        <v>0</v>
      </c>
      <c r="DM169" s="9">
        <f>HN169*($Q169*$S169)/(1+Voorblad!$K$44)^(DM$56-Voorblad!$F$41)</f>
        <v>0</v>
      </c>
      <c r="DN169" s="9">
        <f>HO169*($Q169*$S169)/(1+Voorblad!$K$44)^(DN$56-Voorblad!$F$41)</f>
        <v>0</v>
      </c>
      <c r="DO169" s="9">
        <f>HP169*($Q169*$S169)/(1+Voorblad!$K$44)^(DO$56-Voorblad!$F$41)</f>
        <v>0</v>
      </c>
      <c r="DP169" s="9">
        <f>HQ169*($Q169*$S169)/(1+Voorblad!$K$44)^(DP$56-Voorblad!$F$41)</f>
        <v>0</v>
      </c>
      <c r="DQ169" s="9">
        <f>HR169*($Q169*$S169)/(1+Voorblad!$K$44)^(DQ$56-Voorblad!$F$41)</f>
        <v>0</v>
      </c>
      <c r="DR169" s="9">
        <f>HS169*($Q169*$S169)/(1+Voorblad!$K$44)^(DR$56-Voorblad!$F$41)</f>
        <v>0</v>
      </c>
      <c r="DS169" s="9">
        <f>HT169*($Q169*$S169)/(1+Voorblad!$K$44)^(DS$56-Voorblad!$F$41)</f>
        <v>0</v>
      </c>
      <c r="DT169" s="9">
        <f>HU169*($Q169*$S169)/(1+Voorblad!$K$44)^(DT$56-Voorblad!$F$41)</f>
        <v>0</v>
      </c>
      <c r="DU169" s="9">
        <f>HV169*($Q169*$S169)/(1+Voorblad!$K$44)^(DU$56-Voorblad!$F$41)</f>
        <v>0</v>
      </c>
      <c r="DV169" s="9">
        <f>HW169*($Q169*$S169)/(1+Voorblad!$K$44)^(DV$56-Voorblad!$F$41)</f>
        <v>0</v>
      </c>
      <c r="DW169" s="9">
        <f>HX169*($Q169*$S169)/(1+Voorblad!$K$44)^(DW$56-Voorblad!$F$41)</f>
        <v>0</v>
      </c>
      <c r="DX169" s="9">
        <f>HY169*($Q169*$S169)/(1+Voorblad!$K$44)^(DX$56-Voorblad!$F$41)</f>
        <v>0</v>
      </c>
      <c r="DY169" s="9">
        <f>HZ169*($Q169*$S169)/(1+Voorblad!$K$44)^(DY$56-Voorblad!$F$41)</f>
        <v>0</v>
      </c>
      <c r="DZ169" s="9">
        <f>IA169*($Q169*$S169)/(1+Voorblad!$K$44)^(DZ$56-Voorblad!$F$41)</f>
        <v>0</v>
      </c>
      <c r="EA169" s="9">
        <f>IB169*($Q169*$S169)/(1+Voorblad!$K$44)^(EA$56-Voorblad!$F$41)</f>
        <v>0</v>
      </c>
      <c r="EB169" s="9">
        <f>IC169*($Q169*$S169)/(1+Voorblad!$K$44)^(EB$56-Voorblad!$F$41)</f>
        <v>0</v>
      </c>
      <c r="EE169" s="8">
        <v>0</v>
      </c>
      <c r="EF169" s="8">
        <f>IF(EF$56-Voorblad!$F$41&gt;Voorblad!$K$41,0,IF($U169=0,0,IF($U169&lt;1,1/$U169,IF((EF$56-Voorblad!$F$41)/$U169-SUM($EE169:EE169)=1,1,0))))</f>
        <v>0</v>
      </c>
      <c r="EG169" s="8">
        <f>IF(EG$56-Voorblad!$F$41&gt;Voorblad!$K$41,0,IF($U169=0,0,IF($U169&lt;1,1/$U169,IF((EG$56-Voorblad!$F$41)/$U169-SUM($EE169:EF169)=1,1,0))))</f>
        <v>0</v>
      </c>
      <c r="EH169" s="8">
        <f>IF(EH$56-Voorblad!$F$41&gt;Voorblad!$K$41,0,IF($U169=0,0,IF($U169&lt;1,1/$U169,IF((EH$56-Voorblad!$F$41)/$U169-SUM($EE169:EG169)=1,1,0))))</f>
        <v>0</v>
      </c>
      <c r="EI169" s="8">
        <f>IF(EI$56-Voorblad!$F$41&gt;Voorblad!$K$41,0,IF($U169=0,0,IF($U169&lt;1,1/$U169,IF((EI$56-Voorblad!$F$41)/$U169-SUM($EE169:EH169)=1,1,0))))</f>
        <v>0</v>
      </c>
      <c r="EJ169" s="8">
        <f>IF(EJ$56-Voorblad!$F$41&gt;Voorblad!$K$41,0,IF($U169=0,0,IF($U169&lt;1,1/$U169,IF((EJ$56-Voorblad!$F$41)/$U169-SUM($EE169:EI169)=1,1,0))))</f>
        <v>0</v>
      </c>
      <c r="EK169" s="8">
        <f>IF(EK$56-Voorblad!$F$41&gt;Voorblad!$K$41,0,IF($U169=0,0,IF($U169&lt;1,1/$U169,IF((EK$56-Voorblad!$F$41)/$U169-SUM($EE169:EJ169)=1,1,0))))</f>
        <v>0</v>
      </c>
      <c r="EL169" s="8">
        <f>IF(EL$56-Voorblad!$F$41&gt;Voorblad!$K$41,0,IF($U169=0,0,IF($U169&lt;1,1/$U169,IF((EL$56-Voorblad!$F$41)/$U169-SUM($EE169:EK169)=1,1,0))))</f>
        <v>0</v>
      </c>
      <c r="EM169" s="8">
        <f>IF(EM$56-Voorblad!$F$41&gt;Voorblad!$K$41,0,IF($U169=0,0,IF($U169&lt;1,1/$U169,IF((EM$56-Voorblad!$F$41)/$U169-SUM($EE169:EL169)=1,1,0))))</f>
        <v>0</v>
      </c>
      <c r="EN169" s="8">
        <f>IF(EN$56-Voorblad!$F$41&gt;Voorblad!$K$41,0,IF($U169=0,0,IF($U169&lt;1,1/$U169,IF((EN$56-Voorblad!$F$41)/$U169-SUM($EE169:EM169)=1,1,0))))</f>
        <v>0</v>
      </c>
      <c r="EO169" s="8">
        <f>IF(EO$56-Voorblad!$F$41&gt;Voorblad!$K$41,0,IF($U169=0,0,IF($U169&lt;1,1/$U169,IF((EO$56-Voorblad!$F$41)/$U169-SUM($EE169:EN169)=1,1,0))))</f>
        <v>0</v>
      </c>
      <c r="EP169" s="8">
        <f>IF(EP$56-Voorblad!$F$41&gt;Voorblad!$K$41,0,IF($U169=0,0,IF($U169&lt;1,1/$U169,IF((EP$56-Voorblad!$F$41)/$U169-SUM($EE169:EO169)=1,1,0))))</f>
        <v>0</v>
      </c>
      <c r="EQ169" s="8">
        <f>IF(EQ$56-Voorblad!$F$41&gt;Voorblad!$K$41,0,IF($U169=0,0,IF($U169&lt;1,1/$U169,IF((EQ$56-Voorblad!$F$41)/$U169-SUM($EE169:EP169)=1,1,0))))</f>
        <v>0</v>
      </c>
      <c r="ER169" s="8">
        <f>IF(ER$56-Voorblad!$F$41&gt;Voorblad!$K$41,0,IF($U169=0,0,IF($U169&lt;1,1/$U169,IF((ER$56-Voorblad!$F$41)/$U169-SUM($EE169:EQ169)=1,1,0))))</f>
        <v>0</v>
      </c>
      <c r="ES169" s="8">
        <f>IF(ES$56-Voorblad!$F$41&gt;Voorblad!$K$41,0,IF($U169=0,0,IF($U169&lt;1,1/$U169,IF((ES$56-Voorblad!$F$41)/$U169-SUM($EE169:ER169)=1,1,0))))</f>
        <v>0</v>
      </c>
      <c r="ET169" s="8">
        <f>IF(ET$56-Voorblad!$F$41&gt;Voorblad!$K$41,0,IF($U169=0,0,IF($U169&lt;1,1/$U169,IF((ET$56-Voorblad!$F$41)/$U169-SUM($EE169:ES169)=1,1,0))))</f>
        <v>0</v>
      </c>
      <c r="EU169" s="8">
        <f>IF(EU$56-Voorblad!$F$41&gt;Voorblad!$K$41,0,IF($U169=0,0,IF($U169&lt;1,1/$U169,IF((EU$56-Voorblad!$F$41)/$U169-SUM($EE169:ET169)=1,1,0))))</f>
        <v>1</v>
      </c>
      <c r="EV169" s="8">
        <f>IF(EV$56-Voorblad!$F$41&gt;Voorblad!$K$41,0,IF($U169=0,0,IF($U169&lt;1,1/$U169,IF((EV$56-Voorblad!$F$41)/$U169-SUM($EE169:EU169)=1,1,0))))</f>
        <v>0</v>
      </c>
      <c r="EW169" s="8">
        <f>IF(EW$56-Voorblad!$F$41&gt;Voorblad!$K$41,0,IF($U169=0,0,IF($U169&lt;1,1/$U169,IF((EW$56-Voorblad!$F$41)/$U169-SUM($EE169:EV169)=1,1,0))))</f>
        <v>0</v>
      </c>
      <c r="EX169" s="8">
        <f>IF(EX$56-Voorblad!$F$41&gt;Voorblad!$K$41,0,IF($U169=0,0,IF($U169&lt;1,1/$U169,IF((EX$56-Voorblad!$F$41)/$U169-SUM($EE169:EW169)=1,1,0))))</f>
        <v>0</v>
      </c>
      <c r="EY169" s="8">
        <f>IF(EY$56-Voorblad!$F$41&gt;Voorblad!$K$41,0,IF($U169=0,0,IF($U169&lt;1,1/$U169,IF((EY$56-Voorblad!$F$41)/$U169-SUM($EE169:EX169)=1,1,0))))</f>
        <v>0</v>
      </c>
      <c r="EZ169" s="8">
        <f>IF(EZ$56-Voorblad!$F$41&gt;Voorblad!$K$41,0,IF($U169=0,0,IF($U169&lt;1,1/$U169,IF((EZ$56-Voorblad!$F$41)/$U169-SUM($EE169:EY169)=1,1,0))))</f>
        <v>0</v>
      </c>
      <c r="FA169" s="8">
        <f>IF(FA$56-Voorblad!$F$41&gt;Voorblad!$K$41,0,IF($U169=0,0,IF($U169&lt;1,1/$U169,IF((FA$56-Voorblad!$F$41)/$U169-SUM($EE169:EZ169)=1,1,0))))</f>
        <v>0</v>
      </c>
      <c r="FB169" s="8">
        <f>IF(FB$56-Voorblad!$F$41&gt;Voorblad!$K$41,0,IF($U169=0,0,IF($U169&lt;1,1/$U169,IF((FB$56-Voorblad!$F$41)/$U169-SUM($EE169:FA169)=1,1,0))))</f>
        <v>0</v>
      </c>
      <c r="FC169" s="8">
        <f>IF(FC$56-Voorblad!$F$41&gt;Voorblad!$K$41,0,IF($U169=0,0,IF($U169&lt;1,1/$U169,IF((FC$56-Voorblad!$F$41)/$U169-SUM($EE169:FB169)=1,1,0))))</f>
        <v>0</v>
      </c>
      <c r="FD169" s="8">
        <f>IF(FD$56-Voorblad!$F$41&gt;Voorblad!$K$41,0,IF($U169=0,0,IF($U169&lt;1,1/$U169,IF((FD$56-Voorblad!$F$41)/$U169-SUM($EE169:FC169)=1,1,0))))</f>
        <v>0</v>
      </c>
      <c r="FE169" s="8">
        <f>IF(FE$56-Voorblad!$F$41&gt;Voorblad!$K$41,0,IF($U169=0,0,IF($U169&lt;1,1/$U169,IF((FE$56-Voorblad!$F$41)/$U169-SUM($EE169:FD169)=1,1,0))))</f>
        <v>0</v>
      </c>
      <c r="FF169" s="8">
        <f>IF(FF$56-Voorblad!$F$41&gt;Voorblad!$K$41,0,IF($U169=0,0,IF($U169&lt;1,1/$U169,IF((FF$56-Voorblad!$F$41)/$U169-SUM($EE169:FE169)=1,1,0))))</f>
        <v>0</v>
      </c>
      <c r="FG169" s="8">
        <f>IF(FG$56-Voorblad!$F$41&gt;Voorblad!$K$41,0,IF($U169=0,0,IF($U169&lt;1,1/$U169,IF((FG$56-Voorblad!$F$41)/$U169-SUM($EE169:FF169)=1,1,0))))</f>
        <v>0</v>
      </c>
      <c r="FH169" s="8">
        <f>IF(FH$56-Voorblad!$F$41&gt;Voorblad!$K$41,0,IF($U169=0,0,IF($U169&lt;1,1/$U169,IF((FH$56-Voorblad!$F$41)/$U169-SUM($EE169:FG169)=1,1,0))))</f>
        <v>0</v>
      </c>
      <c r="FI169" s="8">
        <f>IF(FI$56-Voorblad!$F$41&gt;Voorblad!$K$41,0,IF($U169=0,0,IF($U169&lt;1,1/$U169,IF((FI$56-Voorblad!$F$41)/$U169-SUM($EE169:FH169)=1,1,0))))</f>
        <v>0</v>
      </c>
      <c r="FJ169" s="8">
        <f>IF(FJ$56-Voorblad!$F$41&gt;Voorblad!$K$41,0,IF($U169=0,0,IF($U169&lt;1,1/$U169,IF((FJ$56-Voorblad!$F$41)/$U169-SUM($EE169:FI169)=1,1,0))))</f>
        <v>1</v>
      </c>
      <c r="FK169" s="8">
        <f>IF(FK$56-Voorblad!$F$41&gt;Voorblad!$K$41,0,IF($U169=0,0,IF($U169&lt;1,1/$U169,IF((FK$56-Voorblad!$F$41)/$U169-SUM($EE169:FJ169)=1,1,0))))</f>
        <v>0</v>
      </c>
      <c r="FL169" s="8">
        <f>IF(FL$56-Voorblad!$F$41&gt;Voorblad!$K$41,0,IF($U169=0,0,IF($U169&lt;1,1/$U169,IF((FL$56-Voorblad!$F$41)/$U169-SUM($EE169:FK169)=1,1,0))))</f>
        <v>0</v>
      </c>
      <c r="FM169" s="8">
        <f>IF(FM$56-Voorblad!$F$41&gt;Voorblad!$K$41,0,IF($U169=0,0,IF($U169&lt;1,1/$U169,IF((FM$56-Voorblad!$F$41)/$U169-SUM($EE169:FL169)=1,1,0))))</f>
        <v>0</v>
      </c>
      <c r="FN169" s="8">
        <f>IF(FN$56-Voorblad!$F$41&gt;Voorblad!$K$41,0,IF($U169=0,0,IF($U169&lt;1,1/$U169,IF((FN$56-Voorblad!$F$41)/$U169-SUM($EE169:FM169)=1,1,0))))</f>
        <v>0</v>
      </c>
      <c r="FO169" s="8">
        <f>IF(FO$56-Voorblad!$F$41&gt;Voorblad!$K$41,0,IF($U169=0,0,IF($U169&lt;1,1/$U169,IF((FO$56-Voorblad!$F$41)/$U169-SUM($EE169:FN169)=1,1,0))))</f>
        <v>0</v>
      </c>
      <c r="FP169" s="8">
        <f>IF(FP$56-Voorblad!$F$41&gt;Voorblad!$K$41,0,IF($U169=0,0,IF($U169&lt;1,1/$U169,IF((FP$56-Voorblad!$F$41)/$U169-SUM($EE169:FO169)=1,1,0))))</f>
        <v>0</v>
      </c>
      <c r="FQ169" s="8">
        <f>IF(FQ$56-Voorblad!$F$41&gt;Voorblad!$K$41,0,IF($U169=0,0,IF($U169&lt;1,1/$U169,IF((FQ$56-Voorblad!$F$41)/$U169-SUM($EE169:FP169)=1,1,0))))</f>
        <v>0</v>
      </c>
      <c r="FR169" s="8">
        <f>IF(FR$56-Voorblad!$F$41&gt;Voorblad!$K$41,0,IF($U169=0,0,IF($U169&lt;1,1/$U169,IF((FR$56-Voorblad!$F$41)/$U169-SUM($EE169:FQ169)=1,1,0))))</f>
        <v>0</v>
      </c>
      <c r="FS169" s="8">
        <f>IF(FS$56-Voorblad!$F$41&gt;Voorblad!$K$41,0,IF($U169=0,0,IF($U169&lt;1,1/$U169,IF((FS$56-Voorblad!$F$41)/$U169-SUM($EE169:FR169)=1,1,0))))</f>
        <v>0</v>
      </c>
      <c r="FT169" s="8">
        <f>IF(FT$56-Voorblad!$F$41&gt;Voorblad!$K$41,0,IF($U169=0,0,IF($U169&lt;1,1/$U169,IF((FT$56-Voorblad!$F$41)/$U169-SUM($EE169:FS169)=1,1,0))))</f>
        <v>0</v>
      </c>
      <c r="FU169" s="8">
        <f>IF(FU$56-Voorblad!$F$41&gt;Voorblad!$K$41,0,IF($U169=0,0,IF($U169&lt;1,1/$U169,IF((FU$56-Voorblad!$F$41)/$U169-SUM($EE169:FT169)=1,1,0))))</f>
        <v>0</v>
      </c>
      <c r="FV169" s="8">
        <f>IF(FV$56-Voorblad!$F$41&gt;Voorblad!$K$41,0,IF($U169=0,0,IF($U169&lt;1,1/$U169,IF((FV$56-Voorblad!$F$41)/$U169-SUM($EE169:FU169)=1,1,0))))</f>
        <v>0</v>
      </c>
      <c r="FW169" s="8">
        <f>IF(FW$56-Voorblad!$F$41&gt;Voorblad!$K$41,0,IF($U169=0,0,IF($U169&lt;1,1/$U169,IF((FW$56-Voorblad!$F$41)/$U169-SUM($EE169:FV169)=1,1,0))))</f>
        <v>0</v>
      </c>
      <c r="FX169" s="8">
        <f>IF(FX$56-Voorblad!$F$41&gt;Voorblad!$K$41,0,IF($U169=0,0,IF($U169&lt;1,1/$U169,IF((FX$56-Voorblad!$F$41)/$U169-SUM($EE169:FW169)=1,1,0))))</f>
        <v>0</v>
      </c>
      <c r="FY169" s="8">
        <f>IF(FY$56-Voorblad!$F$41&gt;Voorblad!$K$41,0,IF($U169=0,0,IF($U169&lt;1,1/$U169,IF((FY$56-Voorblad!$F$41)/$U169-SUM($EE169:FX169)=1,1,0))))</f>
        <v>1</v>
      </c>
      <c r="FZ169" s="8">
        <f>IF(FZ$56-Voorblad!$F$41&gt;Voorblad!$K$41,0,IF($U169=0,0,IF($U169&lt;1,1/$U169,IF((FZ$56-Voorblad!$F$41)/$U169-SUM($EE169:FY169)=1,1,0))))</f>
        <v>0</v>
      </c>
      <c r="GA169" s="8">
        <f>IF(GA$56-Voorblad!$F$41&gt;Voorblad!$K$41,0,IF($U169=0,0,IF($U169&lt;1,1/$U169,IF((GA$56-Voorblad!$F$41)/$U169-SUM($EE169:FZ169)=1,1,0))))</f>
        <v>0</v>
      </c>
      <c r="GB169" s="8">
        <f>IF(GB$56-Voorblad!$F$41&gt;Voorblad!$K$41,0,IF($U169=0,0,IF($U169&lt;1,1/$U169,IF((GB$56-Voorblad!$F$41)/$U169-SUM($EE169:GA169)=1,1,0))))</f>
        <v>0</v>
      </c>
      <c r="GC169" s="8">
        <f>IF(GC$56-Voorblad!$F$41&gt;Voorblad!$K$41,0,IF($U169=0,0,IF($U169&lt;1,1/$U169,IF((GC$56-Voorblad!$F$41)/$U169-SUM($EE169:GB169)=1,1,0))))</f>
        <v>0</v>
      </c>
      <c r="GD169" s="8">
        <f>IF(GD$56-Voorblad!$F$41&gt;Voorblad!$K$41,0,IF($U169=0,0,IF($U169&lt;1,1/$U169,IF((GD$56-Voorblad!$F$41)/$U169-SUM($EE169:GC169)=1,1,0))))</f>
        <v>0</v>
      </c>
      <c r="GE169" s="8">
        <f>IF(GE$56-Voorblad!$F$41&gt;Voorblad!$K$41,0,IF($U169=0,0,IF($U169&lt;1,1/$U169,IF((GE$56-Voorblad!$F$41)/$U169-SUM($EE169:GD169)=1,1,0))))</f>
        <v>0</v>
      </c>
      <c r="GF169" s="8">
        <f>IF(GF$56-Voorblad!$F$41&gt;Voorblad!$K$41,0,IF($U169=0,0,IF($U169&lt;1,1/$U169,IF((GF$56-Voorblad!$F$41)/$U169-SUM($EE169:GE169)=1,1,0))))</f>
        <v>0</v>
      </c>
      <c r="GG169" s="8">
        <f>IF(GG$56-Voorblad!$F$41&gt;Voorblad!$K$41,0,IF($U169=0,0,IF($U169&lt;1,1/$U169,IF((GG$56-Voorblad!$F$41)/$U169-SUM($EE169:GF169)=1,1,0))))</f>
        <v>0</v>
      </c>
      <c r="GH169" s="8">
        <f>IF(GH$56-Voorblad!$F$41&gt;Voorblad!$K$41,0,IF($U169=0,0,IF($U169&lt;1,1/$U169,IF((GH$56-Voorblad!$F$41)/$U169-SUM($EE169:GG169)=1,1,0))))</f>
        <v>0</v>
      </c>
      <c r="GI169" s="8">
        <f>IF(GI$56-Voorblad!$F$41&gt;Voorblad!$K$41,0,IF($U169=0,0,IF($U169&lt;1,1/$U169,IF((GI$56-Voorblad!$F$41)/$U169-SUM($EE169:GH169)=1,1,0))))</f>
        <v>0</v>
      </c>
      <c r="GJ169" s="8">
        <f>IF(GJ$56-Voorblad!$F$41&gt;Voorblad!$K$41,0,IF($U169=0,0,IF($U169&lt;1,1/$U169,IF((GJ$56-Voorblad!$F$41)/$U169-SUM($EE169:GI169)=1,1,0))))</f>
        <v>0</v>
      </c>
      <c r="GK169" s="8">
        <f>IF(GK$56-Voorblad!$F$41&gt;Voorblad!$K$41,0,IF($U169=0,0,IF($U169&lt;1,1/$U169,IF((GK$56-Voorblad!$F$41)/$U169-SUM($EE169:GJ169)=1,1,0))))</f>
        <v>0</v>
      </c>
      <c r="GL169" s="8">
        <f>IF(GL$56-Voorblad!$F$41&gt;Voorblad!$K$41,0,IF($U169=0,0,IF($U169&lt;1,1/$U169,IF((GL$56-Voorblad!$F$41)/$U169-SUM($EE169:GK169)=1,1,0))))</f>
        <v>0</v>
      </c>
      <c r="GM169" s="8">
        <f>IF(GM$56-Voorblad!$F$41&gt;Voorblad!$K$41,0,IF($U169=0,0,IF($U169&lt;1,1/$U169,IF((GM$56-Voorblad!$F$41)/$U169-SUM($EE169:GL169)=1,1,0))))</f>
        <v>0</v>
      </c>
      <c r="GN169" s="8">
        <f>IF(GN$56-Voorblad!$F$41&gt;Voorblad!$K$41,0,IF($U169=0,0,IF($U169&lt;1,1/$U169,IF((GN$56-Voorblad!$F$41)/$U169-SUM($EE169:GM169)=1,1,0))))</f>
        <v>1</v>
      </c>
      <c r="GO169" s="8">
        <f>IF(GO$56-Voorblad!$F$41&gt;Voorblad!$K$41,0,IF($U169=0,0,IF($U169&lt;1,1/$U169,IF((GO$56-Voorblad!$F$41)/$U169-SUM($EE169:GN169)=1,1,0))))</f>
        <v>0</v>
      </c>
      <c r="GP169" s="8">
        <f>IF(GP$56-Voorblad!$F$41&gt;Voorblad!$K$41,0,IF($U169=0,0,IF($U169&lt;1,1/$U169,IF((GP$56-Voorblad!$F$41)/$U169-SUM($EE169:GO169)=1,1,0))))</f>
        <v>0</v>
      </c>
      <c r="GQ169" s="8">
        <f>IF(GQ$56-Voorblad!$F$41&gt;Voorblad!$K$41,0,IF($U169=0,0,IF($U169&lt;1,1/$U169,IF((GQ$56-Voorblad!$F$41)/$U169-SUM($EE169:GP169)=1,1,0))))</f>
        <v>0</v>
      </c>
      <c r="GR169" s="8">
        <f>IF(GR$56-Voorblad!$F$41&gt;Voorblad!$K$41,0,IF($U169=0,0,IF($U169&lt;1,1/$U169,IF((GR$56-Voorblad!$F$41)/$U169-SUM($EE169:GQ169)=1,1,0))))</f>
        <v>0</v>
      </c>
      <c r="GS169" s="8">
        <f>IF(GS$56-Voorblad!$F$41&gt;Voorblad!$K$41,0,IF($U169=0,0,IF($U169&lt;1,1/$U169,IF((GS$56-Voorblad!$F$41)/$U169-SUM($EE169:GR169)=1,1,0))))</f>
        <v>0</v>
      </c>
      <c r="GT169" s="8">
        <f>IF(GT$56-Voorblad!$F$41&gt;Voorblad!$K$41,0,IF($U169=0,0,IF($U169&lt;1,1/$U169,IF((GT$56-Voorblad!$F$41)/$U169-SUM($EE169:GS169)=1,1,0))))</f>
        <v>0</v>
      </c>
      <c r="GU169" s="8">
        <f>IF(GU$56-Voorblad!$F$41&gt;Voorblad!$K$41,0,IF($U169=0,0,IF($U169&lt;1,1/$U169,IF((GU$56-Voorblad!$F$41)/$U169-SUM($EE169:GT169)=1,1,0))))</f>
        <v>0</v>
      </c>
      <c r="GV169" s="8">
        <f>IF(GV$56-Voorblad!$F$41&gt;Voorblad!$K$41,0,IF($U169=0,0,IF($U169&lt;1,1/$U169,IF((GV$56-Voorblad!$F$41)/$U169-SUM($EE169:GU169)=1,1,0))))</f>
        <v>0</v>
      </c>
      <c r="GW169" s="8">
        <f>IF(GW$56-Voorblad!$F$41&gt;Voorblad!$K$41,0,IF($U169=0,0,IF($U169&lt;1,1/$U169,IF((GW$56-Voorblad!$F$41)/$U169-SUM($EE169:GV169)=1,1,0))))</f>
        <v>0</v>
      </c>
      <c r="GX169" s="8">
        <f>IF(GX$56-Voorblad!$F$41&gt;Voorblad!$K$41,0,IF($U169=0,0,IF($U169&lt;1,1/$U169,IF((GX$56-Voorblad!$F$41)/$U169-SUM($EE169:GW169)=1,1,0))))</f>
        <v>0</v>
      </c>
      <c r="GY169" s="8">
        <f>IF(GY$56-Voorblad!$F$41&gt;Voorblad!$K$41,0,IF($U169=0,0,IF($U169&lt;1,1/$U169,IF((GY$56-Voorblad!$F$41)/$U169-SUM($EE169:GX169)=1,1,0))))</f>
        <v>0</v>
      </c>
      <c r="GZ169" s="8">
        <f>IF(GZ$56-Voorblad!$F$41&gt;Voorblad!$K$41,0,IF($U169=0,0,IF($U169&lt;1,1/$U169,IF((GZ$56-Voorblad!$F$41)/$U169-SUM($EE169:GY169)=1,1,0))))</f>
        <v>0</v>
      </c>
      <c r="HA169" s="8">
        <f>IF(HA$56-Voorblad!$F$41&gt;Voorblad!$K$41,0,IF($U169=0,0,IF($U169&lt;1,1/$U169,IF((HA$56-Voorblad!$F$41)/$U169-SUM($EE169:GZ169)=1,1,0))))</f>
        <v>0</v>
      </c>
      <c r="HB169" s="8">
        <f>IF(HB$56-Voorblad!$F$41&gt;Voorblad!$K$41,0,IF($U169=0,0,IF($U169&lt;1,1/$U169,IF((HB$56-Voorblad!$F$41)/$U169-SUM($EE169:HA169)=1,1,0))))</f>
        <v>0</v>
      </c>
      <c r="HC169" s="8">
        <f>IF(HC$56-Voorblad!$F$41&gt;Voorblad!$K$41,0,IF($U169=0,0,IF($U169&lt;1,1/$U169,IF((HC$56-Voorblad!$F$41)/$U169-SUM($EE169:HB169)=1,1,0))))</f>
        <v>0</v>
      </c>
      <c r="HD169" s="8">
        <f>IF(HD$56-Voorblad!$F$41&gt;Voorblad!$K$41,0,IF($U169=0,0,IF($U169&lt;1,1/$U169,IF((HD$56-Voorblad!$F$41)/$U169-SUM($EE169:HC169)=1,1,0))))</f>
        <v>0</v>
      </c>
      <c r="HE169" s="8">
        <f>IF(HE$56-Voorblad!$F$41&gt;Voorblad!$K$41,0,IF($U169=0,0,IF($U169&lt;1,1/$U169,IF((HE$56-Voorblad!$F$41)/$U169-SUM($EE169:HD169)=1,1,0))))</f>
        <v>0</v>
      </c>
      <c r="HF169" s="8">
        <f>IF(HF$56-Voorblad!$F$41&gt;Voorblad!$K$41,0,IF($U169=0,0,IF($U169&lt;1,1/$U169,IF((HF$56-Voorblad!$F$41)/$U169-SUM($EE169:HE169)=1,1,0))))</f>
        <v>0</v>
      </c>
      <c r="HG169" s="8">
        <f>IF(HG$56-Voorblad!$F$41&gt;Voorblad!$K$41,0,IF($U169=0,0,IF($U169&lt;1,1/$U169,IF((HG$56-Voorblad!$F$41)/$U169-SUM($EE169:HF169)=1,1,0))))</f>
        <v>0</v>
      </c>
      <c r="HH169" s="8">
        <f>IF(HH$56-Voorblad!$F$41&gt;Voorblad!$K$41,0,IF($U169=0,0,IF($U169&lt;1,1/$U169,IF((HH$56-Voorblad!$F$41)/$U169-SUM($EE169:HG169)=1,1,0))))</f>
        <v>0</v>
      </c>
      <c r="HI169" s="8">
        <f>IF(HI$56-Voorblad!$F$41&gt;Voorblad!$K$41,0,IF($U169=0,0,IF($U169&lt;1,1/$U169,IF((HI$56-Voorblad!$F$41)/$U169-SUM($EE169:HH169)=1,1,0))))</f>
        <v>0</v>
      </c>
      <c r="HJ169" s="8">
        <f>IF(HJ$56-Voorblad!$F$41&gt;Voorblad!$K$41,0,IF($U169=0,0,IF($U169&lt;1,1/$U169,IF((HJ$56-Voorblad!$F$41)/$U169-SUM($EE169:HI169)=1,1,0))))</f>
        <v>0</v>
      </c>
      <c r="HK169" s="8">
        <f>IF(HK$56-Voorblad!$F$41&gt;Voorblad!$K$41,0,IF($U169=0,0,IF($U169&lt;1,1/$U169,IF((HK$56-Voorblad!$F$41)/$U169-SUM($EE169:HJ169)=1,1,0))))</f>
        <v>0</v>
      </c>
      <c r="HL169" s="8">
        <f>IF(HL$56-Voorblad!$F$41&gt;Voorblad!$K$41,0,IF($U169=0,0,IF($U169&lt;1,1/$U169,IF((HL$56-Voorblad!$F$41)/$U169-SUM($EE169:HK169)=1,1,0))))</f>
        <v>0</v>
      </c>
      <c r="HM169" s="8">
        <f>IF(HM$56-Voorblad!$F$41&gt;Voorblad!$K$41,0,IF($U169=0,0,IF($U169&lt;1,1/$U169,IF((HM$56-Voorblad!$F$41)/$U169-SUM($EE169:HL169)=1,1,0))))</f>
        <v>0</v>
      </c>
      <c r="HN169" s="8">
        <f>IF(HN$56-Voorblad!$F$41&gt;Voorblad!$K$41,0,IF($U169=0,0,IF($U169&lt;1,1/$U169,IF((HN$56-Voorblad!$F$41)/$U169-SUM($EE169:HM169)=1,1,0))))</f>
        <v>0</v>
      </c>
      <c r="HO169" s="8">
        <f>IF(HO$56-Voorblad!$F$41&gt;Voorblad!$K$41,0,IF($U169=0,0,IF($U169&lt;1,1/$U169,IF((HO$56-Voorblad!$F$41)/$U169-SUM($EE169:HN169)=1,1,0))))</f>
        <v>0</v>
      </c>
      <c r="HP169" s="8">
        <f>IF(HP$56-Voorblad!$F$41&gt;Voorblad!$K$41,0,IF($U169=0,0,IF($U169&lt;1,1/$U169,IF((HP$56-Voorblad!$F$41)/$U169-SUM($EE169:HO169)=1,1,0))))</f>
        <v>0</v>
      </c>
      <c r="HQ169" s="8">
        <f>IF(HQ$56-Voorblad!$F$41&gt;Voorblad!$K$41,0,IF($U169=0,0,IF($U169&lt;1,1/$U169,IF((HQ$56-Voorblad!$F$41)/$U169-SUM($EE169:HP169)=1,1,0))))</f>
        <v>0</v>
      </c>
      <c r="HR169" s="8">
        <f>IF(HR$56-Voorblad!$F$41&gt;Voorblad!$K$41,0,IF($U169=0,0,IF($U169&lt;1,1/$U169,IF((HR$56-Voorblad!$F$41)/$U169-SUM($EE169:HQ169)=1,1,0))))</f>
        <v>0</v>
      </c>
      <c r="HS169" s="8">
        <f>IF(HS$56-Voorblad!$F$41&gt;Voorblad!$K$41,0,IF($U169=0,0,IF($U169&lt;1,1/$U169,IF((HS$56-Voorblad!$F$41)/$U169-SUM($EE169:HR169)=1,1,0))))</f>
        <v>0</v>
      </c>
      <c r="HT169" s="8">
        <f>IF(HT$56-Voorblad!$F$41&gt;Voorblad!$K$41,0,IF($U169=0,0,IF($U169&lt;1,1/$U169,IF((HT$56-Voorblad!$F$41)/$U169-SUM($EE169:HS169)=1,1,0))))</f>
        <v>0</v>
      </c>
      <c r="HU169" s="8">
        <f>IF(HU$56-Voorblad!$F$41&gt;Voorblad!$K$41,0,IF($U169=0,0,IF($U169&lt;1,1/$U169,IF((HU$56-Voorblad!$F$41)/$U169-SUM($EE169:HT169)=1,1,0))))</f>
        <v>0</v>
      </c>
      <c r="HV169" s="8">
        <f>IF(HV$56-Voorblad!$F$41&gt;Voorblad!$K$41,0,IF($U169=0,0,IF($U169&lt;1,1/$U169,IF((HV$56-Voorblad!$F$41)/$U169-SUM($EE169:HU169)=1,1,0))))</f>
        <v>0</v>
      </c>
      <c r="HW169" s="8">
        <f>IF(HW$56-Voorblad!$F$41&gt;Voorblad!$K$41,0,IF($U169=0,0,IF($U169&lt;1,1/$U169,IF((HW$56-Voorblad!$F$41)/$U169-SUM($EE169:HV169)=1,1,0))))</f>
        <v>0</v>
      </c>
      <c r="HX169" s="8">
        <f>IF(HX$56-Voorblad!$F$41&gt;Voorblad!$K$41,0,IF($U169=0,0,IF($U169&lt;1,1/$U169,IF((HX$56-Voorblad!$F$41)/$U169-SUM($EE169:HW169)=1,1,0))))</f>
        <v>0</v>
      </c>
      <c r="HY169" s="8">
        <f>IF(HY$56-Voorblad!$F$41&gt;Voorblad!$K$41,0,IF($U169=0,0,IF($U169&lt;1,1/$U169,IF((HY$56-Voorblad!$F$41)/$U169-SUM($EE169:HX169)=1,1,0))))</f>
        <v>0</v>
      </c>
      <c r="HZ169" s="8">
        <f>IF(HZ$56-Voorblad!$F$41&gt;Voorblad!$K$41,0,IF($U169=0,0,IF($U169&lt;1,1/$U169,IF((HZ$56-Voorblad!$F$41)/$U169-SUM($EE169:HY169)=1,1,0))))</f>
        <v>0</v>
      </c>
      <c r="IA169" s="8">
        <f>IF(IA$56-Voorblad!$F$41&gt;Voorblad!$K$41,0,IF($U169=0,0,IF($U169&lt;1,1/$U169,IF((IA$56-Voorblad!$F$41)/$U169-SUM($EE169:HZ169)=1,1,0))))</f>
        <v>0</v>
      </c>
      <c r="IB169" s="8">
        <f>IF(IB$56-Voorblad!$F$41&gt;Voorblad!$K$41,0,IF($U169=0,0,IF($U169&lt;1,1/$U169,IF((IB$56-Voorblad!$F$41)/$U169-SUM($EE169:IA169)=1,1,0))))</f>
        <v>0</v>
      </c>
    </row>
    <row r="170" spans="2:236" ht="12" hidden="1" customHeight="1" outlineLevel="1" x14ac:dyDescent="0.25">
      <c r="B170" s="1">
        <v>3</v>
      </c>
      <c r="F170" s="1" t="s">
        <v>23</v>
      </c>
      <c r="I170" s="14" t="s">
        <v>277</v>
      </c>
      <c r="K170" s="14" t="s">
        <v>200</v>
      </c>
      <c r="L170" s="14"/>
      <c r="M170" s="14"/>
      <c r="O170" s="1" t="s">
        <v>178</v>
      </c>
      <c r="P170" s="1" t="s">
        <v>182</v>
      </c>
      <c r="Q170" s="81">
        <v>0</v>
      </c>
      <c r="R170" s="1" t="s">
        <v>34</v>
      </c>
      <c r="S170" s="14">
        <f>$H$20*100</f>
        <v>177</v>
      </c>
      <c r="T170" s="1">
        <f t="shared" si="189"/>
        <v>0</v>
      </c>
      <c r="U170" s="14">
        <v>15</v>
      </c>
      <c r="V170" s="14"/>
      <c r="Y170" s="9">
        <f t="shared" si="193"/>
        <v>0</v>
      </c>
      <c r="Z170" s="82"/>
      <c r="AA170" s="82"/>
      <c r="AC170" s="9">
        <f>$Y170*(Voorblad!$K$44*(1+Voorblad!$K$44)^Voorblad!$K$41)/((1+Voorblad!$K$44)^Voorblad!$K$41-1)</f>
        <v>0</v>
      </c>
      <c r="AE170" s="9">
        <f>EF170*($Q170*$S170)/(1+Voorblad!$K$44)^(AE$56-Voorblad!$F$41)</f>
        <v>0</v>
      </c>
      <c r="AF170" s="9">
        <f>EG170*($Q170*$S170)/(1+Voorblad!$K$44)^(AF$56-Voorblad!$F$41)</f>
        <v>0</v>
      </c>
      <c r="AG170" s="9">
        <f>EH170*($Q170*$S170)/(1+Voorblad!$K$44)^(AG$56-Voorblad!$F$41)</f>
        <v>0</v>
      </c>
      <c r="AH170" s="9">
        <f>EI170*($Q170*$S170)/(1+Voorblad!$K$44)^(AH$56-Voorblad!$F$41)</f>
        <v>0</v>
      </c>
      <c r="AI170" s="9">
        <f>EJ170*($Q170*$S170)/(1+Voorblad!$K$44)^(AI$56-Voorblad!$F$41)</f>
        <v>0</v>
      </c>
      <c r="AJ170" s="9">
        <f>EK170*($Q170*$S170)/(1+Voorblad!$K$44)^(AJ$56-Voorblad!$F$41)</f>
        <v>0</v>
      </c>
      <c r="AK170" s="9">
        <f>EL170*($Q170*$S170)/(1+Voorblad!$K$44)^(AK$56-Voorblad!$F$41)</f>
        <v>0</v>
      </c>
      <c r="AL170" s="9">
        <f>EM170*($Q170*$S170)/(1+Voorblad!$K$44)^(AL$56-Voorblad!$F$41)</f>
        <v>0</v>
      </c>
      <c r="AM170" s="9">
        <f>EN170*($Q170*$S170)/(1+Voorblad!$K$44)^(AM$56-Voorblad!$F$41)</f>
        <v>0</v>
      </c>
      <c r="AN170" s="9">
        <f>EO170*($Q170*$S170)/(1+Voorblad!$K$44)^(AN$56-Voorblad!$F$41)</f>
        <v>0</v>
      </c>
      <c r="AO170" s="9">
        <f>EP170*($Q170*$S170)/(1+Voorblad!$K$44)^(AO$56-Voorblad!$F$41)</f>
        <v>0</v>
      </c>
      <c r="AP170" s="9">
        <f>EQ170*($Q170*$S170)/(1+Voorblad!$K$44)^(AP$56-Voorblad!$F$41)</f>
        <v>0</v>
      </c>
      <c r="AQ170" s="9">
        <f>ER170*($Q170*$S170)/(1+Voorblad!$K$44)^(AQ$56-Voorblad!$F$41)</f>
        <v>0</v>
      </c>
      <c r="AR170" s="9">
        <f>ES170*($Q170*$S170)/(1+Voorblad!$K$44)^(AR$56-Voorblad!$F$41)</f>
        <v>0</v>
      </c>
      <c r="AS170" s="9">
        <f>ET170*($Q170*$S170)/(1+Voorblad!$K$44)^(AS$56-Voorblad!$F$41)</f>
        <v>0</v>
      </c>
      <c r="AT170" s="9">
        <f>EU170*($Q170*$S170)/(1+Voorblad!$K$44)^(AT$56-Voorblad!$F$41)</f>
        <v>0</v>
      </c>
      <c r="AU170" s="9">
        <f>EV170*($Q170*$S170)/(1+Voorblad!$K$44)^(AU$56-Voorblad!$F$41)</f>
        <v>0</v>
      </c>
      <c r="AV170" s="9">
        <f>EW170*($Q170*$S170)/(1+Voorblad!$K$44)^(AV$56-Voorblad!$F$41)</f>
        <v>0</v>
      </c>
      <c r="AW170" s="9">
        <f>EX170*($Q170*$S170)/(1+Voorblad!$K$44)^(AW$56-Voorblad!$F$41)</f>
        <v>0</v>
      </c>
      <c r="AX170" s="9">
        <f>EY170*($Q170*$S170)/(1+Voorblad!$K$44)^(AX$56-Voorblad!$F$41)</f>
        <v>0</v>
      </c>
      <c r="AY170" s="9">
        <f>EZ170*($Q170*$S170)/(1+Voorblad!$K$44)^(AY$56-Voorblad!$F$41)</f>
        <v>0</v>
      </c>
      <c r="AZ170" s="9">
        <f>FA170*($Q170*$S170)/(1+Voorblad!$K$44)^(AZ$56-Voorblad!$F$41)</f>
        <v>0</v>
      </c>
      <c r="BA170" s="9">
        <f>FB170*($Q170*$S170)/(1+Voorblad!$K$44)^(BA$56-Voorblad!$F$41)</f>
        <v>0</v>
      </c>
      <c r="BB170" s="9">
        <f>FC170*($Q170*$S170)/(1+Voorblad!$K$44)^(BB$56-Voorblad!$F$41)</f>
        <v>0</v>
      </c>
      <c r="BC170" s="9">
        <f>FD170*($Q170*$S170)/(1+Voorblad!$K$44)^(BC$56-Voorblad!$F$41)</f>
        <v>0</v>
      </c>
      <c r="BD170" s="9">
        <f>FE170*($Q170*$S170)/(1+Voorblad!$K$44)^(BD$56-Voorblad!$F$41)</f>
        <v>0</v>
      </c>
      <c r="BE170" s="9">
        <f>FF170*($Q170*$S170)/(1+Voorblad!$K$44)^(BE$56-Voorblad!$F$41)</f>
        <v>0</v>
      </c>
      <c r="BF170" s="9">
        <f>FG170*($Q170*$S170)/(1+Voorblad!$K$44)^(BF$56-Voorblad!$F$41)</f>
        <v>0</v>
      </c>
      <c r="BG170" s="9">
        <f>FH170*($Q170*$S170)/(1+Voorblad!$K$44)^(BG$56-Voorblad!$F$41)</f>
        <v>0</v>
      </c>
      <c r="BH170" s="9">
        <f>FI170*($Q170*$S170)/(1+Voorblad!$K$44)^(BH$56-Voorblad!$F$41)</f>
        <v>0</v>
      </c>
      <c r="BI170" s="9">
        <f>FJ170*($Q170*$S170)/(1+Voorblad!$K$44)^(BI$56-Voorblad!$F$41)</f>
        <v>0</v>
      </c>
      <c r="BJ170" s="9">
        <f>FK170*($Q170*$S170)/(1+Voorblad!$K$44)^(BJ$56-Voorblad!$F$41)</f>
        <v>0</v>
      </c>
      <c r="BK170" s="9">
        <f>FL170*($Q170*$S170)/(1+Voorblad!$K$44)^(BK$56-Voorblad!$F$41)</f>
        <v>0</v>
      </c>
      <c r="BL170" s="9">
        <f>FM170*($Q170*$S170)/(1+Voorblad!$K$44)^(BL$56-Voorblad!$F$41)</f>
        <v>0</v>
      </c>
      <c r="BM170" s="9">
        <f>FN170*($Q170*$S170)/(1+Voorblad!$K$44)^(BM$56-Voorblad!$F$41)</f>
        <v>0</v>
      </c>
      <c r="BN170" s="9">
        <f>FO170*($Q170*$S170)/(1+Voorblad!$K$44)^(BN$56-Voorblad!$F$41)</f>
        <v>0</v>
      </c>
      <c r="BO170" s="9">
        <f>FP170*($Q170*$S170)/(1+Voorblad!$K$44)^(BO$56-Voorblad!$F$41)</f>
        <v>0</v>
      </c>
      <c r="BP170" s="9">
        <f>FQ170*($Q170*$S170)/(1+Voorblad!$K$44)^(BP$56-Voorblad!$F$41)</f>
        <v>0</v>
      </c>
      <c r="BQ170" s="9">
        <f>FR170*($Q170*$S170)/(1+Voorblad!$K$44)^(BQ$56-Voorblad!$F$41)</f>
        <v>0</v>
      </c>
      <c r="BR170" s="9">
        <f>FS170*($Q170*$S170)/(1+Voorblad!$K$44)^(BR$56-Voorblad!$F$41)</f>
        <v>0</v>
      </c>
      <c r="BS170" s="9">
        <f>FT170*($Q170*$S170)/(1+Voorblad!$K$44)^(BS$56-Voorblad!$F$41)</f>
        <v>0</v>
      </c>
      <c r="BT170" s="9">
        <f>FU170*($Q170*$S170)/(1+Voorblad!$K$44)^(BT$56-Voorblad!$F$41)</f>
        <v>0</v>
      </c>
      <c r="BU170" s="9">
        <f>FV170*($Q170*$S170)/(1+Voorblad!$K$44)^(BU$56-Voorblad!$F$41)</f>
        <v>0</v>
      </c>
      <c r="BV170" s="9">
        <f>FW170*($Q170*$S170)/(1+Voorblad!$K$44)^(BV$56-Voorblad!$F$41)</f>
        <v>0</v>
      </c>
      <c r="BW170" s="9">
        <f>FX170*($Q170*$S170)/(1+Voorblad!$K$44)^(BW$56-Voorblad!$F$41)</f>
        <v>0</v>
      </c>
      <c r="BX170" s="9">
        <f>FY170*($Q170*$S170)/(1+Voorblad!$K$44)^(BX$56-Voorblad!$F$41)</f>
        <v>0</v>
      </c>
      <c r="BY170" s="9">
        <f>FZ170*($Q170*$S170)/(1+Voorblad!$K$44)^(BY$56-Voorblad!$F$41)</f>
        <v>0</v>
      </c>
      <c r="BZ170" s="9">
        <f>GA170*($Q170*$S170)/(1+Voorblad!$K$44)^(BZ$56-Voorblad!$F$41)</f>
        <v>0</v>
      </c>
      <c r="CA170" s="9">
        <f>GB170*($Q170*$S170)/(1+Voorblad!$K$44)^(CA$56-Voorblad!$F$41)</f>
        <v>0</v>
      </c>
      <c r="CB170" s="9">
        <f>GC170*($Q170*$S170)/(1+Voorblad!$K$44)^(CB$56-Voorblad!$F$41)</f>
        <v>0</v>
      </c>
      <c r="CC170" s="9">
        <f>GD170*($Q170*$S170)/(1+Voorblad!$K$44)^(CC$56-Voorblad!$F$41)</f>
        <v>0</v>
      </c>
      <c r="CD170" s="9">
        <f>GE170*($Q170*$S170)/(1+Voorblad!$K$44)^(CD$56-Voorblad!$F$41)</f>
        <v>0</v>
      </c>
      <c r="CE170" s="9">
        <f>GF170*($Q170*$S170)/(1+Voorblad!$K$44)^(CE$56-Voorblad!$F$41)</f>
        <v>0</v>
      </c>
      <c r="CF170" s="9">
        <f>GG170*($Q170*$S170)/(1+Voorblad!$K$44)^(CF$56-Voorblad!$F$41)</f>
        <v>0</v>
      </c>
      <c r="CG170" s="9">
        <f>GH170*($Q170*$S170)/(1+Voorblad!$K$44)^(CG$56-Voorblad!$F$41)</f>
        <v>0</v>
      </c>
      <c r="CH170" s="9">
        <f>GI170*($Q170*$S170)/(1+Voorblad!$K$44)^(CH$56-Voorblad!$F$41)</f>
        <v>0</v>
      </c>
      <c r="CI170" s="9">
        <f>GJ170*($Q170*$S170)/(1+Voorblad!$K$44)^(CI$56-Voorblad!$F$41)</f>
        <v>0</v>
      </c>
      <c r="CJ170" s="9">
        <f>GK170*($Q170*$S170)/(1+Voorblad!$K$44)^(CJ$56-Voorblad!$F$41)</f>
        <v>0</v>
      </c>
      <c r="CK170" s="9">
        <f>GL170*($Q170*$S170)/(1+Voorblad!$K$44)^(CK$56-Voorblad!$F$41)</f>
        <v>0</v>
      </c>
      <c r="CL170" s="9">
        <f>GM170*($Q170*$S170)/(1+Voorblad!$K$44)^(CL$56-Voorblad!$F$41)</f>
        <v>0</v>
      </c>
      <c r="CM170" s="9">
        <f>GN170*($Q170*$S170)/(1+Voorblad!$K$44)^(CM$56-Voorblad!$F$41)</f>
        <v>0</v>
      </c>
      <c r="CN170" s="9">
        <f>GO170*($Q170*$S170)/(1+Voorblad!$K$44)^(CN$56-Voorblad!$F$41)</f>
        <v>0</v>
      </c>
      <c r="CO170" s="9">
        <f>GP170*($Q170*$S170)/(1+Voorblad!$K$44)^(CO$56-Voorblad!$F$41)</f>
        <v>0</v>
      </c>
      <c r="CP170" s="9">
        <f>GQ170*($Q170*$S170)/(1+Voorblad!$K$44)^(CP$56-Voorblad!$F$41)</f>
        <v>0</v>
      </c>
      <c r="CQ170" s="9">
        <f>GR170*($Q170*$S170)/(1+Voorblad!$K$44)^(CQ$56-Voorblad!$F$41)</f>
        <v>0</v>
      </c>
      <c r="CR170" s="9">
        <f>GS170*($Q170*$S170)/(1+Voorblad!$K$44)^(CR$56-Voorblad!$F$41)</f>
        <v>0</v>
      </c>
      <c r="CS170" s="9">
        <f>GT170*($Q170*$S170)/(1+Voorblad!$K$44)^(CS$56-Voorblad!$F$41)</f>
        <v>0</v>
      </c>
      <c r="CT170" s="9">
        <f>GU170*($Q170*$S170)/(1+Voorblad!$K$44)^(CT$56-Voorblad!$F$41)</f>
        <v>0</v>
      </c>
      <c r="CU170" s="9">
        <f>GV170*($Q170*$S170)/(1+Voorblad!$K$44)^(CU$56-Voorblad!$F$41)</f>
        <v>0</v>
      </c>
      <c r="CV170" s="9">
        <f>GW170*($Q170*$S170)/(1+Voorblad!$K$44)^(CV$56-Voorblad!$F$41)</f>
        <v>0</v>
      </c>
      <c r="CW170" s="9">
        <f>GX170*($Q170*$S170)/(1+Voorblad!$K$44)^(CW$56-Voorblad!$F$41)</f>
        <v>0</v>
      </c>
      <c r="CX170" s="9">
        <f>GY170*($Q170*$S170)/(1+Voorblad!$K$44)^(CX$56-Voorblad!$F$41)</f>
        <v>0</v>
      </c>
      <c r="CY170" s="9">
        <f>GZ170*($Q170*$S170)/(1+Voorblad!$K$44)^(CY$56-Voorblad!$F$41)</f>
        <v>0</v>
      </c>
      <c r="CZ170" s="9">
        <f>HA170*($Q170*$S170)/(1+Voorblad!$K$44)^(CZ$56-Voorblad!$F$41)</f>
        <v>0</v>
      </c>
      <c r="DA170" s="9">
        <f>HB170*($Q170*$S170)/(1+Voorblad!$K$44)^(DA$56-Voorblad!$F$41)</f>
        <v>0</v>
      </c>
      <c r="DB170" s="9">
        <f>HC170*($Q170*$S170)/(1+Voorblad!$K$44)^(DB$56-Voorblad!$F$41)</f>
        <v>0</v>
      </c>
      <c r="DC170" s="9">
        <f>HD170*($Q170*$S170)/(1+Voorblad!$K$44)^(DC$56-Voorblad!$F$41)</f>
        <v>0</v>
      </c>
      <c r="DD170" s="9">
        <f>HE170*($Q170*$S170)/(1+Voorblad!$K$44)^(DD$56-Voorblad!$F$41)</f>
        <v>0</v>
      </c>
      <c r="DE170" s="9">
        <f>HF170*($Q170*$S170)/(1+Voorblad!$K$44)^(DE$56-Voorblad!$F$41)</f>
        <v>0</v>
      </c>
      <c r="DF170" s="9">
        <f>HG170*($Q170*$S170)/(1+Voorblad!$K$44)^(DF$56-Voorblad!$F$41)</f>
        <v>0</v>
      </c>
      <c r="DG170" s="9">
        <f>HH170*($Q170*$S170)/(1+Voorblad!$K$44)^(DG$56-Voorblad!$F$41)</f>
        <v>0</v>
      </c>
      <c r="DH170" s="9">
        <f>HI170*($Q170*$S170)/(1+Voorblad!$K$44)^(DH$56-Voorblad!$F$41)</f>
        <v>0</v>
      </c>
      <c r="DI170" s="9">
        <f>HJ170*($Q170*$S170)/(1+Voorblad!$K$44)^(DI$56-Voorblad!$F$41)</f>
        <v>0</v>
      </c>
      <c r="DJ170" s="9">
        <f>HK170*($Q170*$S170)/(1+Voorblad!$K$44)^(DJ$56-Voorblad!$F$41)</f>
        <v>0</v>
      </c>
      <c r="DK170" s="9">
        <f>HL170*($Q170*$S170)/(1+Voorblad!$K$44)^(DK$56-Voorblad!$F$41)</f>
        <v>0</v>
      </c>
      <c r="DL170" s="9">
        <f>HM170*($Q170*$S170)/(1+Voorblad!$K$44)^(DL$56-Voorblad!$F$41)</f>
        <v>0</v>
      </c>
      <c r="DM170" s="9">
        <f>HN170*($Q170*$S170)/(1+Voorblad!$K$44)^(DM$56-Voorblad!$F$41)</f>
        <v>0</v>
      </c>
      <c r="DN170" s="9">
        <f>HO170*($Q170*$S170)/(1+Voorblad!$K$44)^(DN$56-Voorblad!$F$41)</f>
        <v>0</v>
      </c>
      <c r="DO170" s="9">
        <f>HP170*($Q170*$S170)/(1+Voorblad!$K$44)^(DO$56-Voorblad!$F$41)</f>
        <v>0</v>
      </c>
      <c r="DP170" s="9">
        <f>HQ170*($Q170*$S170)/(1+Voorblad!$K$44)^(DP$56-Voorblad!$F$41)</f>
        <v>0</v>
      </c>
      <c r="DQ170" s="9">
        <f>HR170*($Q170*$S170)/(1+Voorblad!$K$44)^(DQ$56-Voorblad!$F$41)</f>
        <v>0</v>
      </c>
      <c r="DR170" s="9">
        <f>HS170*($Q170*$S170)/(1+Voorblad!$K$44)^(DR$56-Voorblad!$F$41)</f>
        <v>0</v>
      </c>
      <c r="DS170" s="9">
        <f>HT170*($Q170*$S170)/(1+Voorblad!$K$44)^(DS$56-Voorblad!$F$41)</f>
        <v>0</v>
      </c>
      <c r="DT170" s="9">
        <f>HU170*($Q170*$S170)/(1+Voorblad!$K$44)^(DT$56-Voorblad!$F$41)</f>
        <v>0</v>
      </c>
      <c r="DU170" s="9">
        <f>HV170*($Q170*$S170)/(1+Voorblad!$K$44)^(DU$56-Voorblad!$F$41)</f>
        <v>0</v>
      </c>
      <c r="DV170" s="9">
        <f>HW170*($Q170*$S170)/(1+Voorblad!$K$44)^(DV$56-Voorblad!$F$41)</f>
        <v>0</v>
      </c>
      <c r="DW170" s="9">
        <f>HX170*($Q170*$S170)/(1+Voorblad!$K$44)^(DW$56-Voorblad!$F$41)</f>
        <v>0</v>
      </c>
      <c r="DX170" s="9">
        <f>HY170*($Q170*$S170)/(1+Voorblad!$K$44)^(DX$56-Voorblad!$F$41)</f>
        <v>0</v>
      </c>
      <c r="DY170" s="9">
        <f>HZ170*($Q170*$S170)/(1+Voorblad!$K$44)^(DY$56-Voorblad!$F$41)</f>
        <v>0</v>
      </c>
      <c r="DZ170" s="9">
        <f>IA170*($Q170*$S170)/(1+Voorblad!$K$44)^(DZ$56-Voorblad!$F$41)</f>
        <v>0</v>
      </c>
      <c r="EA170" s="9">
        <f>IB170*($Q170*$S170)/(1+Voorblad!$K$44)^(EA$56-Voorblad!$F$41)</f>
        <v>0</v>
      </c>
      <c r="EB170" s="9">
        <f>IC170*($Q170*$S170)/(1+Voorblad!$K$44)^(EB$56-Voorblad!$F$41)</f>
        <v>0</v>
      </c>
      <c r="EE170" s="8">
        <v>0</v>
      </c>
      <c r="EF170" s="8">
        <f>IF(EF$56-Voorblad!$F$41&gt;Voorblad!$K$41,0,IF($U170=0,0,IF($U170&lt;1,1/$U170,IF((EF$56-Voorblad!$F$41)/$U170-SUM($EE170:EE170)=1,1,0))))</f>
        <v>0</v>
      </c>
      <c r="EG170" s="8">
        <f>IF(EG$56-Voorblad!$F$41&gt;Voorblad!$K$41,0,IF($U170=0,0,IF($U170&lt;1,1/$U170,IF((EG$56-Voorblad!$F$41)/$U170-SUM($EE170:EF170)=1,1,0))))</f>
        <v>0</v>
      </c>
      <c r="EH170" s="8">
        <f>IF(EH$56-Voorblad!$F$41&gt;Voorblad!$K$41,0,IF($U170=0,0,IF($U170&lt;1,1/$U170,IF((EH$56-Voorblad!$F$41)/$U170-SUM($EE170:EG170)=1,1,0))))</f>
        <v>0</v>
      </c>
      <c r="EI170" s="8">
        <f>IF(EI$56-Voorblad!$F$41&gt;Voorblad!$K$41,0,IF($U170=0,0,IF($U170&lt;1,1/$U170,IF((EI$56-Voorblad!$F$41)/$U170-SUM($EE170:EH170)=1,1,0))))</f>
        <v>0</v>
      </c>
      <c r="EJ170" s="8">
        <f>IF(EJ$56-Voorblad!$F$41&gt;Voorblad!$K$41,0,IF($U170=0,0,IF($U170&lt;1,1/$U170,IF((EJ$56-Voorblad!$F$41)/$U170-SUM($EE170:EI170)=1,1,0))))</f>
        <v>0</v>
      </c>
      <c r="EK170" s="8">
        <f>IF(EK$56-Voorblad!$F$41&gt;Voorblad!$K$41,0,IF($U170=0,0,IF($U170&lt;1,1/$U170,IF((EK$56-Voorblad!$F$41)/$U170-SUM($EE170:EJ170)=1,1,0))))</f>
        <v>0</v>
      </c>
      <c r="EL170" s="8">
        <f>IF(EL$56-Voorblad!$F$41&gt;Voorblad!$K$41,0,IF($U170=0,0,IF($U170&lt;1,1/$U170,IF((EL$56-Voorblad!$F$41)/$U170-SUM($EE170:EK170)=1,1,0))))</f>
        <v>0</v>
      </c>
      <c r="EM170" s="8">
        <f>IF(EM$56-Voorblad!$F$41&gt;Voorblad!$K$41,0,IF($U170=0,0,IF($U170&lt;1,1/$U170,IF((EM$56-Voorblad!$F$41)/$U170-SUM($EE170:EL170)=1,1,0))))</f>
        <v>0</v>
      </c>
      <c r="EN170" s="8">
        <f>IF(EN$56-Voorblad!$F$41&gt;Voorblad!$K$41,0,IF($U170=0,0,IF($U170&lt;1,1/$U170,IF((EN$56-Voorblad!$F$41)/$U170-SUM($EE170:EM170)=1,1,0))))</f>
        <v>0</v>
      </c>
      <c r="EO170" s="8">
        <f>IF(EO$56-Voorblad!$F$41&gt;Voorblad!$K$41,0,IF($U170=0,0,IF($U170&lt;1,1/$U170,IF((EO$56-Voorblad!$F$41)/$U170-SUM($EE170:EN170)=1,1,0))))</f>
        <v>0</v>
      </c>
      <c r="EP170" s="8">
        <f>IF(EP$56-Voorblad!$F$41&gt;Voorblad!$K$41,0,IF($U170=0,0,IF($U170&lt;1,1/$U170,IF((EP$56-Voorblad!$F$41)/$U170-SUM($EE170:EO170)=1,1,0))))</f>
        <v>0</v>
      </c>
      <c r="EQ170" s="8">
        <f>IF(EQ$56-Voorblad!$F$41&gt;Voorblad!$K$41,0,IF($U170=0,0,IF($U170&lt;1,1/$U170,IF((EQ$56-Voorblad!$F$41)/$U170-SUM($EE170:EP170)=1,1,0))))</f>
        <v>0</v>
      </c>
      <c r="ER170" s="8">
        <f>IF(ER$56-Voorblad!$F$41&gt;Voorblad!$K$41,0,IF($U170=0,0,IF($U170&lt;1,1/$U170,IF((ER$56-Voorblad!$F$41)/$U170-SUM($EE170:EQ170)=1,1,0))))</f>
        <v>0</v>
      </c>
      <c r="ES170" s="8">
        <f>IF(ES$56-Voorblad!$F$41&gt;Voorblad!$K$41,0,IF($U170=0,0,IF($U170&lt;1,1/$U170,IF((ES$56-Voorblad!$F$41)/$U170-SUM($EE170:ER170)=1,1,0))))</f>
        <v>0</v>
      </c>
      <c r="ET170" s="8">
        <f>IF(ET$56-Voorblad!$F$41&gt;Voorblad!$K$41,0,IF($U170=0,0,IF($U170&lt;1,1/$U170,IF((ET$56-Voorblad!$F$41)/$U170-SUM($EE170:ES170)=1,1,0))))</f>
        <v>0</v>
      </c>
      <c r="EU170" s="8">
        <f>IF(EU$56-Voorblad!$F$41&gt;Voorblad!$K$41,0,IF($U170=0,0,IF($U170&lt;1,1/$U170,IF((EU$56-Voorblad!$F$41)/$U170-SUM($EE170:ET170)=1,1,0))))</f>
        <v>1</v>
      </c>
      <c r="EV170" s="8">
        <f>IF(EV$56-Voorblad!$F$41&gt;Voorblad!$K$41,0,IF($U170=0,0,IF($U170&lt;1,1/$U170,IF((EV$56-Voorblad!$F$41)/$U170-SUM($EE170:EU170)=1,1,0))))</f>
        <v>0</v>
      </c>
      <c r="EW170" s="8">
        <f>IF(EW$56-Voorblad!$F$41&gt;Voorblad!$K$41,0,IF($U170=0,0,IF($U170&lt;1,1/$U170,IF((EW$56-Voorblad!$F$41)/$U170-SUM($EE170:EV170)=1,1,0))))</f>
        <v>0</v>
      </c>
      <c r="EX170" s="8">
        <f>IF(EX$56-Voorblad!$F$41&gt;Voorblad!$K$41,0,IF($U170=0,0,IF($U170&lt;1,1/$U170,IF((EX$56-Voorblad!$F$41)/$U170-SUM($EE170:EW170)=1,1,0))))</f>
        <v>0</v>
      </c>
      <c r="EY170" s="8">
        <f>IF(EY$56-Voorblad!$F$41&gt;Voorblad!$K$41,0,IF($U170=0,0,IF($U170&lt;1,1/$U170,IF((EY$56-Voorblad!$F$41)/$U170-SUM($EE170:EX170)=1,1,0))))</f>
        <v>0</v>
      </c>
      <c r="EZ170" s="8">
        <f>IF(EZ$56-Voorblad!$F$41&gt;Voorblad!$K$41,0,IF($U170=0,0,IF($U170&lt;1,1/$U170,IF((EZ$56-Voorblad!$F$41)/$U170-SUM($EE170:EY170)=1,1,0))))</f>
        <v>0</v>
      </c>
      <c r="FA170" s="8">
        <f>IF(FA$56-Voorblad!$F$41&gt;Voorblad!$K$41,0,IF($U170=0,0,IF($U170&lt;1,1/$U170,IF((FA$56-Voorblad!$F$41)/$U170-SUM($EE170:EZ170)=1,1,0))))</f>
        <v>0</v>
      </c>
      <c r="FB170" s="8">
        <f>IF(FB$56-Voorblad!$F$41&gt;Voorblad!$K$41,0,IF($U170=0,0,IF($U170&lt;1,1/$U170,IF((FB$56-Voorblad!$F$41)/$U170-SUM($EE170:FA170)=1,1,0))))</f>
        <v>0</v>
      </c>
      <c r="FC170" s="8">
        <f>IF(FC$56-Voorblad!$F$41&gt;Voorblad!$K$41,0,IF($U170=0,0,IF($U170&lt;1,1/$U170,IF((FC$56-Voorblad!$F$41)/$U170-SUM($EE170:FB170)=1,1,0))))</f>
        <v>0</v>
      </c>
      <c r="FD170" s="8">
        <f>IF(FD$56-Voorblad!$F$41&gt;Voorblad!$K$41,0,IF($U170=0,0,IF($U170&lt;1,1/$U170,IF((FD$56-Voorblad!$F$41)/$U170-SUM($EE170:FC170)=1,1,0))))</f>
        <v>0</v>
      </c>
      <c r="FE170" s="8">
        <f>IF(FE$56-Voorblad!$F$41&gt;Voorblad!$K$41,0,IF($U170=0,0,IF($U170&lt;1,1/$U170,IF((FE$56-Voorblad!$F$41)/$U170-SUM($EE170:FD170)=1,1,0))))</f>
        <v>0</v>
      </c>
      <c r="FF170" s="8">
        <f>IF(FF$56-Voorblad!$F$41&gt;Voorblad!$K$41,0,IF($U170=0,0,IF($U170&lt;1,1/$U170,IF((FF$56-Voorblad!$F$41)/$U170-SUM($EE170:FE170)=1,1,0))))</f>
        <v>0</v>
      </c>
      <c r="FG170" s="8">
        <f>IF(FG$56-Voorblad!$F$41&gt;Voorblad!$K$41,0,IF($U170=0,0,IF($U170&lt;1,1/$U170,IF((FG$56-Voorblad!$F$41)/$U170-SUM($EE170:FF170)=1,1,0))))</f>
        <v>0</v>
      </c>
      <c r="FH170" s="8">
        <f>IF(FH$56-Voorblad!$F$41&gt;Voorblad!$K$41,0,IF($U170=0,0,IF($U170&lt;1,1/$U170,IF((FH$56-Voorblad!$F$41)/$U170-SUM($EE170:FG170)=1,1,0))))</f>
        <v>0</v>
      </c>
      <c r="FI170" s="8">
        <f>IF(FI$56-Voorblad!$F$41&gt;Voorblad!$K$41,0,IF($U170=0,0,IF($U170&lt;1,1/$U170,IF((FI$56-Voorblad!$F$41)/$U170-SUM($EE170:FH170)=1,1,0))))</f>
        <v>0</v>
      </c>
      <c r="FJ170" s="8">
        <f>IF(FJ$56-Voorblad!$F$41&gt;Voorblad!$K$41,0,IF($U170=0,0,IF($U170&lt;1,1/$U170,IF((FJ$56-Voorblad!$F$41)/$U170-SUM($EE170:FI170)=1,1,0))))</f>
        <v>1</v>
      </c>
      <c r="FK170" s="8">
        <f>IF(FK$56-Voorblad!$F$41&gt;Voorblad!$K$41,0,IF($U170=0,0,IF($U170&lt;1,1/$U170,IF((FK$56-Voorblad!$F$41)/$U170-SUM($EE170:FJ170)=1,1,0))))</f>
        <v>0</v>
      </c>
      <c r="FL170" s="8">
        <f>IF(FL$56-Voorblad!$F$41&gt;Voorblad!$K$41,0,IF($U170=0,0,IF($U170&lt;1,1/$U170,IF((FL$56-Voorblad!$F$41)/$U170-SUM($EE170:FK170)=1,1,0))))</f>
        <v>0</v>
      </c>
      <c r="FM170" s="8">
        <f>IF(FM$56-Voorblad!$F$41&gt;Voorblad!$K$41,0,IF($U170=0,0,IF($U170&lt;1,1/$U170,IF((FM$56-Voorblad!$F$41)/$U170-SUM($EE170:FL170)=1,1,0))))</f>
        <v>0</v>
      </c>
      <c r="FN170" s="8">
        <f>IF(FN$56-Voorblad!$F$41&gt;Voorblad!$K$41,0,IF($U170=0,0,IF($U170&lt;1,1/$U170,IF((FN$56-Voorblad!$F$41)/$U170-SUM($EE170:FM170)=1,1,0))))</f>
        <v>0</v>
      </c>
      <c r="FO170" s="8">
        <f>IF(FO$56-Voorblad!$F$41&gt;Voorblad!$K$41,0,IF($U170=0,0,IF($U170&lt;1,1/$U170,IF((FO$56-Voorblad!$F$41)/$U170-SUM($EE170:FN170)=1,1,0))))</f>
        <v>0</v>
      </c>
      <c r="FP170" s="8">
        <f>IF(FP$56-Voorblad!$F$41&gt;Voorblad!$K$41,0,IF($U170=0,0,IF($U170&lt;1,1/$U170,IF((FP$56-Voorblad!$F$41)/$U170-SUM($EE170:FO170)=1,1,0))))</f>
        <v>0</v>
      </c>
      <c r="FQ170" s="8">
        <f>IF(FQ$56-Voorblad!$F$41&gt;Voorblad!$K$41,0,IF($U170=0,0,IF($U170&lt;1,1/$U170,IF((FQ$56-Voorblad!$F$41)/$U170-SUM($EE170:FP170)=1,1,0))))</f>
        <v>0</v>
      </c>
      <c r="FR170" s="8">
        <f>IF(FR$56-Voorblad!$F$41&gt;Voorblad!$K$41,0,IF($U170=0,0,IF($U170&lt;1,1/$U170,IF((FR$56-Voorblad!$F$41)/$U170-SUM($EE170:FQ170)=1,1,0))))</f>
        <v>0</v>
      </c>
      <c r="FS170" s="8">
        <f>IF(FS$56-Voorblad!$F$41&gt;Voorblad!$K$41,0,IF($U170=0,0,IF($U170&lt;1,1/$U170,IF((FS$56-Voorblad!$F$41)/$U170-SUM($EE170:FR170)=1,1,0))))</f>
        <v>0</v>
      </c>
      <c r="FT170" s="8">
        <f>IF(FT$56-Voorblad!$F$41&gt;Voorblad!$K$41,0,IF($U170=0,0,IF($U170&lt;1,1/$U170,IF((FT$56-Voorblad!$F$41)/$U170-SUM($EE170:FS170)=1,1,0))))</f>
        <v>0</v>
      </c>
      <c r="FU170" s="8">
        <f>IF(FU$56-Voorblad!$F$41&gt;Voorblad!$K$41,0,IF($U170=0,0,IF($U170&lt;1,1/$U170,IF((FU$56-Voorblad!$F$41)/$U170-SUM($EE170:FT170)=1,1,0))))</f>
        <v>0</v>
      </c>
      <c r="FV170" s="8">
        <f>IF(FV$56-Voorblad!$F$41&gt;Voorblad!$K$41,0,IF($U170=0,0,IF($U170&lt;1,1/$U170,IF((FV$56-Voorblad!$F$41)/$U170-SUM($EE170:FU170)=1,1,0))))</f>
        <v>0</v>
      </c>
      <c r="FW170" s="8">
        <f>IF(FW$56-Voorblad!$F$41&gt;Voorblad!$K$41,0,IF($U170=0,0,IF($U170&lt;1,1/$U170,IF((FW$56-Voorblad!$F$41)/$U170-SUM($EE170:FV170)=1,1,0))))</f>
        <v>0</v>
      </c>
      <c r="FX170" s="8">
        <f>IF(FX$56-Voorblad!$F$41&gt;Voorblad!$K$41,0,IF($U170=0,0,IF($U170&lt;1,1/$U170,IF((FX$56-Voorblad!$F$41)/$U170-SUM($EE170:FW170)=1,1,0))))</f>
        <v>0</v>
      </c>
      <c r="FY170" s="8">
        <f>IF(FY$56-Voorblad!$F$41&gt;Voorblad!$K$41,0,IF($U170=0,0,IF($U170&lt;1,1/$U170,IF((FY$56-Voorblad!$F$41)/$U170-SUM($EE170:FX170)=1,1,0))))</f>
        <v>1</v>
      </c>
      <c r="FZ170" s="8">
        <f>IF(FZ$56-Voorblad!$F$41&gt;Voorblad!$K$41,0,IF($U170=0,0,IF($U170&lt;1,1/$U170,IF((FZ$56-Voorblad!$F$41)/$U170-SUM($EE170:FY170)=1,1,0))))</f>
        <v>0</v>
      </c>
      <c r="GA170" s="8">
        <f>IF(GA$56-Voorblad!$F$41&gt;Voorblad!$K$41,0,IF($U170=0,0,IF($U170&lt;1,1/$U170,IF((GA$56-Voorblad!$F$41)/$U170-SUM($EE170:FZ170)=1,1,0))))</f>
        <v>0</v>
      </c>
      <c r="GB170" s="8">
        <f>IF(GB$56-Voorblad!$F$41&gt;Voorblad!$K$41,0,IF($U170=0,0,IF($U170&lt;1,1/$U170,IF((GB$56-Voorblad!$F$41)/$U170-SUM($EE170:GA170)=1,1,0))))</f>
        <v>0</v>
      </c>
      <c r="GC170" s="8">
        <f>IF(GC$56-Voorblad!$F$41&gt;Voorblad!$K$41,0,IF($U170=0,0,IF($U170&lt;1,1/$U170,IF((GC$56-Voorblad!$F$41)/$U170-SUM($EE170:GB170)=1,1,0))))</f>
        <v>0</v>
      </c>
      <c r="GD170" s="8">
        <f>IF(GD$56-Voorblad!$F$41&gt;Voorblad!$K$41,0,IF($U170=0,0,IF($U170&lt;1,1/$U170,IF((GD$56-Voorblad!$F$41)/$U170-SUM($EE170:GC170)=1,1,0))))</f>
        <v>0</v>
      </c>
      <c r="GE170" s="8">
        <f>IF(GE$56-Voorblad!$F$41&gt;Voorblad!$K$41,0,IF($U170=0,0,IF($U170&lt;1,1/$U170,IF((GE$56-Voorblad!$F$41)/$U170-SUM($EE170:GD170)=1,1,0))))</f>
        <v>0</v>
      </c>
      <c r="GF170" s="8">
        <f>IF(GF$56-Voorblad!$F$41&gt;Voorblad!$K$41,0,IF($U170=0,0,IF($U170&lt;1,1/$U170,IF((GF$56-Voorblad!$F$41)/$U170-SUM($EE170:GE170)=1,1,0))))</f>
        <v>0</v>
      </c>
      <c r="GG170" s="8">
        <f>IF(GG$56-Voorblad!$F$41&gt;Voorblad!$K$41,0,IF($U170=0,0,IF($U170&lt;1,1/$U170,IF((GG$56-Voorblad!$F$41)/$U170-SUM($EE170:GF170)=1,1,0))))</f>
        <v>0</v>
      </c>
      <c r="GH170" s="8">
        <f>IF(GH$56-Voorblad!$F$41&gt;Voorblad!$K$41,0,IF($U170=0,0,IF($U170&lt;1,1/$U170,IF((GH$56-Voorblad!$F$41)/$U170-SUM($EE170:GG170)=1,1,0))))</f>
        <v>0</v>
      </c>
      <c r="GI170" s="8">
        <f>IF(GI$56-Voorblad!$F$41&gt;Voorblad!$K$41,0,IF($U170=0,0,IF($U170&lt;1,1/$U170,IF((GI$56-Voorblad!$F$41)/$U170-SUM($EE170:GH170)=1,1,0))))</f>
        <v>0</v>
      </c>
      <c r="GJ170" s="8">
        <f>IF(GJ$56-Voorblad!$F$41&gt;Voorblad!$K$41,0,IF($U170=0,0,IF($U170&lt;1,1/$U170,IF((GJ$56-Voorblad!$F$41)/$U170-SUM($EE170:GI170)=1,1,0))))</f>
        <v>0</v>
      </c>
      <c r="GK170" s="8">
        <f>IF(GK$56-Voorblad!$F$41&gt;Voorblad!$K$41,0,IF($U170=0,0,IF($U170&lt;1,1/$U170,IF((GK$56-Voorblad!$F$41)/$U170-SUM($EE170:GJ170)=1,1,0))))</f>
        <v>0</v>
      </c>
      <c r="GL170" s="8">
        <f>IF(GL$56-Voorblad!$F$41&gt;Voorblad!$K$41,0,IF($U170=0,0,IF($U170&lt;1,1/$U170,IF((GL$56-Voorblad!$F$41)/$U170-SUM($EE170:GK170)=1,1,0))))</f>
        <v>0</v>
      </c>
      <c r="GM170" s="8">
        <f>IF(GM$56-Voorblad!$F$41&gt;Voorblad!$K$41,0,IF($U170=0,0,IF($U170&lt;1,1/$U170,IF((GM$56-Voorblad!$F$41)/$U170-SUM($EE170:GL170)=1,1,0))))</f>
        <v>0</v>
      </c>
      <c r="GN170" s="8">
        <f>IF(GN$56-Voorblad!$F$41&gt;Voorblad!$K$41,0,IF($U170=0,0,IF($U170&lt;1,1/$U170,IF((GN$56-Voorblad!$F$41)/$U170-SUM($EE170:GM170)=1,1,0))))</f>
        <v>1</v>
      </c>
      <c r="GO170" s="8">
        <f>IF(GO$56-Voorblad!$F$41&gt;Voorblad!$K$41,0,IF($U170=0,0,IF($U170&lt;1,1/$U170,IF((GO$56-Voorblad!$F$41)/$U170-SUM($EE170:GN170)=1,1,0))))</f>
        <v>0</v>
      </c>
      <c r="GP170" s="8">
        <f>IF(GP$56-Voorblad!$F$41&gt;Voorblad!$K$41,0,IF($U170=0,0,IF($U170&lt;1,1/$U170,IF((GP$56-Voorblad!$F$41)/$U170-SUM($EE170:GO170)=1,1,0))))</f>
        <v>0</v>
      </c>
      <c r="GQ170" s="8">
        <f>IF(GQ$56-Voorblad!$F$41&gt;Voorblad!$K$41,0,IF($U170=0,0,IF($U170&lt;1,1/$U170,IF((GQ$56-Voorblad!$F$41)/$U170-SUM($EE170:GP170)=1,1,0))))</f>
        <v>0</v>
      </c>
      <c r="GR170" s="8">
        <f>IF(GR$56-Voorblad!$F$41&gt;Voorblad!$K$41,0,IF($U170=0,0,IF($U170&lt;1,1/$U170,IF((GR$56-Voorblad!$F$41)/$U170-SUM($EE170:GQ170)=1,1,0))))</f>
        <v>0</v>
      </c>
      <c r="GS170" s="8">
        <f>IF(GS$56-Voorblad!$F$41&gt;Voorblad!$K$41,0,IF($U170=0,0,IF($U170&lt;1,1/$U170,IF((GS$56-Voorblad!$F$41)/$U170-SUM($EE170:GR170)=1,1,0))))</f>
        <v>0</v>
      </c>
      <c r="GT170" s="8">
        <f>IF(GT$56-Voorblad!$F$41&gt;Voorblad!$K$41,0,IF($U170=0,0,IF($U170&lt;1,1/$U170,IF((GT$56-Voorblad!$F$41)/$U170-SUM($EE170:GS170)=1,1,0))))</f>
        <v>0</v>
      </c>
      <c r="GU170" s="8">
        <f>IF(GU$56-Voorblad!$F$41&gt;Voorblad!$K$41,0,IF($U170=0,0,IF($U170&lt;1,1/$U170,IF((GU$56-Voorblad!$F$41)/$U170-SUM($EE170:GT170)=1,1,0))))</f>
        <v>0</v>
      </c>
      <c r="GV170" s="8">
        <f>IF(GV$56-Voorblad!$F$41&gt;Voorblad!$K$41,0,IF($U170=0,0,IF($U170&lt;1,1/$U170,IF((GV$56-Voorblad!$F$41)/$U170-SUM($EE170:GU170)=1,1,0))))</f>
        <v>0</v>
      </c>
      <c r="GW170" s="8">
        <f>IF(GW$56-Voorblad!$F$41&gt;Voorblad!$K$41,0,IF($U170=0,0,IF($U170&lt;1,1/$U170,IF((GW$56-Voorblad!$F$41)/$U170-SUM($EE170:GV170)=1,1,0))))</f>
        <v>0</v>
      </c>
      <c r="GX170" s="8">
        <f>IF(GX$56-Voorblad!$F$41&gt;Voorblad!$K$41,0,IF($U170=0,0,IF($U170&lt;1,1/$U170,IF((GX$56-Voorblad!$F$41)/$U170-SUM($EE170:GW170)=1,1,0))))</f>
        <v>0</v>
      </c>
      <c r="GY170" s="8">
        <f>IF(GY$56-Voorblad!$F$41&gt;Voorblad!$K$41,0,IF($U170=0,0,IF($U170&lt;1,1/$U170,IF((GY$56-Voorblad!$F$41)/$U170-SUM($EE170:GX170)=1,1,0))))</f>
        <v>0</v>
      </c>
      <c r="GZ170" s="8">
        <f>IF(GZ$56-Voorblad!$F$41&gt;Voorblad!$K$41,0,IF($U170=0,0,IF($U170&lt;1,1/$U170,IF((GZ$56-Voorblad!$F$41)/$U170-SUM($EE170:GY170)=1,1,0))))</f>
        <v>0</v>
      </c>
      <c r="HA170" s="8">
        <f>IF(HA$56-Voorblad!$F$41&gt;Voorblad!$K$41,0,IF($U170=0,0,IF($U170&lt;1,1/$U170,IF((HA$56-Voorblad!$F$41)/$U170-SUM($EE170:GZ170)=1,1,0))))</f>
        <v>0</v>
      </c>
      <c r="HB170" s="8">
        <f>IF(HB$56-Voorblad!$F$41&gt;Voorblad!$K$41,0,IF($U170=0,0,IF($U170&lt;1,1/$U170,IF((HB$56-Voorblad!$F$41)/$U170-SUM($EE170:HA170)=1,1,0))))</f>
        <v>0</v>
      </c>
      <c r="HC170" s="8">
        <f>IF(HC$56-Voorblad!$F$41&gt;Voorblad!$K$41,0,IF($U170=0,0,IF($U170&lt;1,1/$U170,IF((HC$56-Voorblad!$F$41)/$U170-SUM($EE170:HB170)=1,1,0))))</f>
        <v>0</v>
      </c>
      <c r="HD170" s="8">
        <f>IF(HD$56-Voorblad!$F$41&gt;Voorblad!$K$41,0,IF($U170=0,0,IF($U170&lt;1,1/$U170,IF((HD$56-Voorblad!$F$41)/$U170-SUM($EE170:HC170)=1,1,0))))</f>
        <v>0</v>
      </c>
      <c r="HE170" s="8">
        <f>IF(HE$56-Voorblad!$F$41&gt;Voorblad!$K$41,0,IF($U170=0,0,IF($U170&lt;1,1/$U170,IF((HE$56-Voorblad!$F$41)/$U170-SUM($EE170:HD170)=1,1,0))))</f>
        <v>0</v>
      </c>
      <c r="HF170" s="8">
        <f>IF(HF$56-Voorblad!$F$41&gt;Voorblad!$K$41,0,IF($U170=0,0,IF($U170&lt;1,1/$U170,IF((HF$56-Voorblad!$F$41)/$U170-SUM($EE170:HE170)=1,1,0))))</f>
        <v>0</v>
      </c>
      <c r="HG170" s="8">
        <f>IF(HG$56-Voorblad!$F$41&gt;Voorblad!$K$41,0,IF($U170=0,0,IF($U170&lt;1,1/$U170,IF((HG$56-Voorblad!$F$41)/$U170-SUM($EE170:HF170)=1,1,0))))</f>
        <v>0</v>
      </c>
      <c r="HH170" s="8">
        <f>IF(HH$56-Voorblad!$F$41&gt;Voorblad!$K$41,0,IF($U170=0,0,IF($U170&lt;1,1/$U170,IF((HH$56-Voorblad!$F$41)/$U170-SUM($EE170:HG170)=1,1,0))))</f>
        <v>0</v>
      </c>
      <c r="HI170" s="8">
        <f>IF(HI$56-Voorblad!$F$41&gt;Voorblad!$K$41,0,IF($U170=0,0,IF($U170&lt;1,1/$U170,IF((HI$56-Voorblad!$F$41)/$U170-SUM($EE170:HH170)=1,1,0))))</f>
        <v>0</v>
      </c>
      <c r="HJ170" s="8">
        <f>IF(HJ$56-Voorblad!$F$41&gt;Voorblad!$K$41,0,IF($U170=0,0,IF($U170&lt;1,1/$U170,IF((HJ$56-Voorblad!$F$41)/$U170-SUM($EE170:HI170)=1,1,0))))</f>
        <v>0</v>
      </c>
      <c r="HK170" s="8">
        <f>IF(HK$56-Voorblad!$F$41&gt;Voorblad!$K$41,0,IF($U170=0,0,IF($U170&lt;1,1/$U170,IF((HK$56-Voorblad!$F$41)/$U170-SUM($EE170:HJ170)=1,1,0))))</f>
        <v>0</v>
      </c>
      <c r="HL170" s="8">
        <f>IF(HL$56-Voorblad!$F$41&gt;Voorblad!$K$41,0,IF($U170=0,0,IF($U170&lt;1,1/$U170,IF((HL$56-Voorblad!$F$41)/$U170-SUM($EE170:HK170)=1,1,0))))</f>
        <v>0</v>
      </c>
      <c r="HM170" s="8">
        <f>IF(HM$56-Voorblad!$F$41&gt;Voorblad!$K$41,0,IF($U170=0,0,IF($U170&lt;1,1/$U170,IF((HM$56-Voorblad!$F$41)/$U170-SUM($EE170:HL170)=1,1,0))))</f>
        <v>0</v>
      </c>
      <c r="HN170" s="8">
        <f>IF(HN$56-Voorblad!$F$41&gt;Voorblad!$K$41,0,IF($U170=0,0,IF($U170&lt;1,1/$U170,IF((HN$56-Voorblad!$F$41)/$U170-SUM($EE170:HM170)=1,1,0))))</f>
        <v>0</v>
      </c>
      <c r="HO170" s="8">
        <f>IF(HO$56-Voorblad!$F$41&gt;Voorblad!$K$41,0,IF($U170=0,0,IF($U170&lt;1,1/$U170,IF((HO$56-Voorblad!$F$41)/$U170-SUM($EE170:HN170)=1,1,0))))</f>
        <v>0</v>
      </c>
      <c r="HP170" s="8">
        <f>IF(HP$56-Voorblad!$F$41&gt;Voorblad!$K$41,0,IF($U170=0,0,IF($U170&lt;1,1/$U170,IF((HP$56-Voorblad!$F$41)/$U170-SUM($EE170:HO170)=1,1,0))))</f>
        <v>0</v>
      </c>
      <c r="HQ170" s="8">
        <f>IF(HQ$56-Voorblad!$F$41&gt;Voorblad!$K$41,0,IF($U170=0,0,IF($U170&lt;1,1/$U170,IF((HQ$56-Voorblad!$F$41)/$U170-SUM($EE170:HP170)=1,1,0))))</f>
        <v>0</v>
      </c>
      <c r="HR170" s="8">
        <f>IF(HR$56-Voorblad!$F$41&gt;Voorblad!$K$41,0,IF($U170=0,0,IF($U170&lt;1,1/$U170,IF((HR$56-Voorblad!$F$41)/$U170-SUM($EE170:HQ170)=1,1,0))))</f>
        <v>0</v>
      </c>
      <c r="HS170" s="8">
        <f>IF(HS$56-Voorblad!$F$41&gt;Voorblad!$K$41,0,IF($U170=0,0,IF($U170&lt;1,1/$U170,IF((HS$56-Voorblad!$F$41)/$U170-SUM($EE170:HR170)=1,1,0))))</f>
        <v>0</v>
      </c>
      <c r="HT170" s="8">
        <f>IF(HT$56-Voorblad!$F$41&gt;Voorblad!$K$41,0,IF($U170=0,0,IF($U170&lt;1,1/$U170,IF((HT$56-Voorblad!$F$41)/$U170-SUM($EE170:HS170)=1,1,0))))</f>
        <v>0</v>
      </c>
      <c r="HU170" s="8">
        <f>IF(HU$56-Voorblad!$F$41&gt;Voorblad!$K$41,0,IF($U170=0,0,IF($U170&lt;1,1/$U170,IF((HU$56-Voorblad!$F$41)/$U170-SUM($EE170:HT170)=1,1,0))))</f>
        <v>0</v>
      </c>
      <c r="HV170" s="8">
        <f>IF(HV$56-Voorblad!$F$41&gt;Voorblad!$K$41,0,IF($U170=0,0,IF($U170&lt;1,1/$U170,IF((HV$56-Voorblad!$F$41)/$U170-SUM($EE170:HU170)=1,1,0))))</f>
        <v>0</v>
      </c>
      <c r="HW170" s="8">
        <f>IF(HW$56-Voorblad!$F$41&gt;Voorblad!$K$41,0,IF($U170=0,0,IF($U170&lt;1,1/$U170,IF((HW$56-Voorblad!$F$41)/$U170-SUM($EE170:HV170)=1,1,0))))</f>
        <v>0</v>
      </c>
      <c r="HX170" s="8">
        <f>IF(HX$56-Voorblad!$F$41&gt;Voorblad!$K$41,0,IF($U170=0,0,IF($U170&lt;1,1/$U170,IF((HX$56-Voorblad!$F$41)/$U170-SUM($EE170:HW170)=1,1,0))))</f>
        <v>0</v>
      </c>
      <c r="HY170" s="8">
        <f>IF(HY$56-Voorblad!$F$41&gt;Voorblad!$K$41,0,IF($U170=0,0,IF($U170&lt;1,1/$U170,IF((HY$56-Voorblad!$F$41)/$U170-SUM($EE170:HX170)=1,1,0))))</f>
        <v>0</v>
      </c>
      <c r="HZ170" s="8">
        <f>IF(HZ$56-Voorblad!$F$41&gt;Voorblad!$K$41,0,IF($U170=0,0,IF($U170&lt;1,1/$U170,IF((HZ$56-Voorblad!$F$41)/$U170-SUM($EE170:HY170)=1,1,0))))</f>
        <v>0</v>
      </c>
      <c r="IA170" s="8">
        <f>IF(IA$56-Voorblad!$F$41&gt;Voorblad!$K$41,0,IF($U170=0,0,IF($U170&lt;1,1/$U170,IF((IA$56-Voorblad!$F$41)/$U170-SUM($EE170:HZ170)=1,1,0))))</f>
        <v>0</v>
      </c>
      <c r="IB170" s="8">
        <f>IF(IB$56-Voorblad!$F$41&gt;Voorblad!$K$41,0,IF($U170=0,0,IF($U170&lt;1,1/$U170,IF((IB$56-Voorblad!$F$41)/$U170-SUM($EE170:IA170)=1,1,0))))</f>
        <v>0</v>
      </c>
    </row>
    <row r="171" spans="2:236" ht="12" hidden="1" customHeight="1" outlineLevel="1" x14ac:dyDescent="0.25">
      <c r="B171" s="1">
        <v>3</v>
      </c>
      <c r="F171" s="1" t="s">
        <v>23</v>
      </c>
      <c r="I171" s="14" t="s">
        <v>277</v>
      </c>
      <c r="K171" s="14" t="s">
        <v>207</v>
      </c>
      <c r="L171" s="14"/>
      <c r="M171" s="14"/>
      <c r="O171" s="1" t="s">
        <v>178</v>
      </c>
      <c r="P171" s="1" t="s">
        <v>183</v>
      </c>
      <c r="Q171" s="81">
        <v>0</v>
      </c>
      <c r="R171" s="1" t="s">
        <v>35</v>
      </c>
      <c r="S171" s="21">
        <f>$H$20*0.6*100</f>
        <v>106.2</v>
      </c>
      <c r="T171" s="1">
        <f t="shared" si="189"/>
        <v>0</v>
      </c>
      <c r="U171" s="14">
        <v>15</v>
      </c>
      <c r="V171" s="14"/>
      <c r="Y171" s="9">
        <f t="shared" si="193"/>
        <v>0</v>
      </c>
      <c r="Z171" s="82"/>
      <c r="AA171" s="82"/>
      <c r="AC171" s="229">
        <f>$Y171*(Voorblad!$K$44*(1+Voorblad!$K$44)^Voorblad!$K$41)/((1+Voorblad!$K$44)^Voorblad!$K$41-1)</f>
        <v>0</v>
      </c>
      <c r="AE171" s="9">
        <f>EF171*($Q171*$S171)/(1+Voorblad!$K$44)^(AE$56-Voorblad!$F$41)</f>
        <v>0</v>
      </c>
      <c r="AF171" s="9">
        <f>EG171*($Q171*$S171)/(1+Voorblad!$K$44)^(AF$56-Voorblad!$F$41)</f>
        <v>0</v>
      </c>
      <c r="AG171" s="9">
        <f>EH171*($Q171*$S171)/(1+Voorblad!$K$44)^(AG$56-Voorblad!$F$41)</f>
        <v>0</v>
      </c>
      <c r="AH171" s="9">
        <f>EI171*($Q171*$S171)/(1+Voorblad!$K$44)^(AH$56-Voorblad!$F$41)</f>
        <v>0</v>
      </c>
      <c r="AI171" s="9">
        <f>EJ171*($Q171*$S171)/(1+Voorblad!$K$44)^(AI$56-Voorblad!$F$41)</f>
        <v>0</v>
      </c>
      <c r="AJ171" s="9">
        <f>EK171*($Q171*$S171)/(1+Voorblad!$K$44)^(AJ$56-Voorblad!$F$41)</f>
        <v>0</v>
      </c>
      <c r="AK171" s="9">
        <f>EL171*($Q171*$S171)/(1+Voorblad!$K$44)^(AK$56-Voorblad!$F$41)</f>
        <v>0</v>
      </c>
      <c r="AL171" s="9">
        <f>EM171*($Q171*$S171)/(1+Voorblad!$K$44)^(AL$56-Voorblad!$F$41)</f>
        <v>0</v>
      </c>
      <c r="AM171" s="9">
        <f>EN171*($Q171*$S171)/(1+Voorblad!$K$44)^(AM$56-Voorblad!$F$41)</f>
        <v>0</v>
      </c>
      <c r="AN171" s="9">
        <f>EO171*($Q171*$S171)/(1+Voorblad!$K$44)^(AN$56-Voorblad!$F$41)</f>
        <v>0</v>
      </c>
      <c r="AO171" s="9">
        <f>EP171*($Q171*$S171)/(1+Voorblad!$K$44)^(AO$56-Voorblad!$F$41)</f>
        <v>0</v>
      </c>
      <c r="AP171" s="9">
        <f>EQ171*($Q171*$S171)/(1+Voorblad!$K$44)^(AP$56-Voorblad!$F$41)</f>
        <v>0</v>
      </c>
      <c r="AQ171" s="9">
        <f>ER171*($Q171*$S171)/(1+Voorblad!$K$44)^(AQ$56-Voorblad!$F$41)</f>
        <v>0</v>
      </c>
      <c r="AR171" s="9">
        <f>ES171*($Q171*$S171)/(1+Voorblad!$K$44)^(AR$56-Voorblad!$F$41)</f>
        <v>0</v>
      </c>
      <c r="AS171" s="9">
        <f>ET171*($Q171*$S171)/(1+Voorblad!$K$44)^(AS$56-Voorblad!$F$41)</f>
        <v>0</v>
      </c>
      <c r="AT171" s="9">
        <f>EU171*($Q171*$S171)/(1+Voorblad!$K$44)^(AT$56-Voorblad!$F$41)</f>
        <v>0</v>
      </c>
      <c r="AU171" s="9">
        <f>EV171*($Q171*$S171)/(1+Voorblad!$K$44)^(AU$56-Voorblad!$F$41)</f>
        <v>0</v>
      </c>
      <c r="AV171" s="9">
        <f>EW171*($Q171*$S171)/(1+Voorblad!$K$44)^(AV$56-Voorblad!$F$41)</f>
        <v>0</v>
      </c>
      <c r="AW171" s="9">
        <f>EX171*($Q171*$S171)/(1+Voorblad!$K$44)^(AW$56-Voorblad!$F$41)</f>
        <v>0</v>
      </c>
      <c r="AX171" s="9">
        <f>EY171*($Q171*$S171)/(1+Voorblad!$K$44)^(AX$56-Voorblad!$F$41)</f>
        <v>0</v>
      </c>
      <c r="AY171" s="9">
        <f>EZ171*($Q171*$S171)/(1+Voorblad!$K$44)^(AY$56-Voorblad!$F$41)</f>
        <v>0</v>
      </c>
      <c r="AZ171" s="9">
        <f>FA171*($Q171*$S171)/(1+Voorblad!$K$44)^(AZ$56-Voorblad!$F$41)</f>
        <v>0</v>
      </c>
      <c r="BA171" s="9">
        <f>FB171*($Q171*$S171)/(1+Voorblad!$K$44)^(BA$56-Voorblad!$F$41)</f>
        <v>0</v>
      </c>
      <c r="BB171" s="9">
        <f>FC171*($Q171*$S171)/(1+Voorblad!$K$44)^(BB$56-Voorblad!$F$41)</f>
        <v>0</v>
      </c>
      <c r="BC171" s="9">
        <f>FD171*($Q171*$S171)/(1+Voorblad!$K$44)^(BC$56-Voorblad!$F$41)</f>
        <v>0</v>
      </c>
      <c r="BD171" s="9">
        <f>FE171*($Q171*$S171)/(1+Voorblad!$K$44)^(BD$56-Voorblad!$F$41)</f>
        <v>0</v>
      </c>
      <c r="BE171" s="9">
        <f>FF171*($Q171*$S171)/(1+Voorblad!$K$44)^(BE$56-Voorblad!$F$41)</f>
        <v>0</v>
      </c>
      <c r="BF171" s="9">
        <f>FG171*($Q171*$S171)/(1+Voorblad!$K$44)^(BF$56-Voorblad!$F$41)</f>
        <v>0</v>
      </c>
      <c r="BG171" s="9">
        <f>FH171*($Q171*$S171)/(1+Voorblad!$K$44)^(BG$56-Voorblad!$F$41)</f>
        <v>0</v>
      </c>
      <c r="BH171" s="9">
        <f>FI171*($Q171*$S171)/(1+Voorblad!$K$44)^(BH$56-Voorblad!$F$41)</f>
        <v>0</v>
      </c>
      <c r="BI171" s="9">
        <f>FJ171*($Q171*$S171)/(1+Voorblad!$K$44)^(BI$56-Voorblad!$F$41)</f>
        <v>0</v>
      </c>
      <c r="BJ171" s="9">
        <f>FK171*($Q171*$S171)/(1+Voorblad!$K$44)^(BJ$56-Voorblad!$F$41)</f>
        <v>0</v>
      </c>
      <c r="BK171" s="9">
        <f>FL171*($Q171*$S171)/(1+Voorblad!$K$44)^(BK$56-Voorblad!$F$41)</f>
        <v>0</v>
      </c>
      <c r="BL171" s="9">
        <f>FM171*($Q171*$S171)/(1+Voorblad!$K$44)^(BL$56-Voorblad!$F$41)</f>
        <v>0</v>
      </c>
      <c r="BM171" s="9">
        <f>FN171*($Q171*$S171)/(1+Voorblad!$K$44)^(BM$56-Voorblad!$F$41)</f>
        <v>0</v>
      </c>
      <c r="BN171" s="9">
        <f>FO171*($Q171*$S171)/(1+Voorblad!$K$44)^(BN$56-Voorblad!$F$41)</f>
        <v>0</v>
      </c>
      <c r="BO171" s="9">
        <f>FP171*($Q171*$S171)/(1+Voorblad!$K$44)^(BO$56-Voorblad!$F$41)</f>
        <v>0</v>
      </c>
      <c r="BP171" s="9">
        <f>FQ171*($Q171*$S171)/(1+Voorblad!$K$44)^(BP$56-Voorblad!$F$41)</f>
        <v>0</v>
      </c>
      <c r="BQ171" s="9">
        <f>FR171*($Q171*$S171)/(1+Voorblad!$K$44)^(BQ$56-Voorblad!$F$41)</f>
        <v>0</v>
      </c>
      <c r="BR171" s="9">
        <f>FS171*($Q171*$S171)/(1+Voorblad!$K$44)^(BR$56-Voorblad!$F$41)</f>
        <v>0</v>
      </c>
      <c r="BS171" s="9">
        <f>FT171*($Q171*$S171)/(1+Voorblad!$K$44)^(BS$56-Voorblad!$F$41)</f>
        <v>0</v>
      </c>
      <c r="BT171" s="9">
        <f>FU171*($Q171*$S171)/(1+Voorblad!$K$44)^(BT$56-Voorblad!$F$41)</f>
        <v>0</v>
      </c>
      <c r="BU171" s="9">
        <f>FV171*($Q171*$S171)/(1+Voorblad!$K$44)^(BU$56-Voorblad!$F$41)</f>
        <v>0</v>
      </c>
      <c r="BV171" s="9">
        <f>FW171*($Q171*$S171)/(1+Voorblad!$K$44)^(BV$56-Voorblad!$F$41)</f>
        <v>0</v>
      </c>
      <c r="BW171" s="9">
        <f>FX171*($Q171*$S171)/(1+Voorblad!$K$44)^(BW$56-Voorblad!$F$41)</f>
        <v>0</v>
      </c>
      <c r="BX171" s="9">
        <f>FY171*($Q171*$S171)/(1+Voorblad!$K$44)^(BX$56-Voorblad!$F$41)</f>
        <v>0</v>
      </c>
      <c r="BY171" s="9">
        <f>FZ171*($Q171*$S171)/(1+Voorblad!$K$44)^(BY$56-Voorblad!$F$41)</f>
        <v>0</v>
      </c>
      <c r="BZ171" s="9">
        <f>GA171*($Q171*$S171)/(1+Voorblad!$K$44)^(BZ$56-Voorblad!$F$41)</f>
        <v>0</v>
      </c>
      <c r="CA171" s="9">
        <f>GB171*($Q171*$S171)/(1+Voorblad!$K$44)^(CA$56-Voorblad!$F$41)</f>
        <v>0</v>
      </c>
      <c r="CB171" s="9">
        <f>GC171*($Q171*$S171)/(1+Voorblad!$K$44)^(CB$56-Voorblad!$F$41)</f>
        <v>0</v>
      </c>
      <c r="CC171" s="9">
        <f>GD171*($Q171*$S171)/(1+Voorblad!$K$44)^(CC$56-Voorblad!$F$41)</f>
        <v>0</v>
      </c>
      <c r="CD171" s="9">
        <f>GE171*($Q171*$S171)/(1+Voorblad!$K$44)^(CD$56-Voorblad!$F$41)</f>
        <v>0</v>
      </c>
      <c r="CE171" s="9">
        <f>GF171*($Q171*$S171)/(1+Voorblad!$K$44)^(CE$56-Voorblad!$F$41)</f>
        <v>0</v>
      </c>
      <c r="CF171" s="9">
        <f>GG171*($Q171*$S171)/(1+Voorblad!$K$44)^(CF$56-Voorblad!$F$41)</f>
        <v>0</v>
      </c>
      <c r="CG171" s="9">
        <f>GH171*($Q171*$S171)/(1+Voorblad!$K$44)^(CG$56-Voorblad!$F$41)</f>
        <v>0</v>
      </c>
      <c r="CH171" s="9">
        <f>GI171*($Q171*$S171)/(1+Voorblad!$K$44)^(CH$56-Voorblad!$F$41)</f>
        <v>0</v>
      </c>
      <c r="CI171" s="9">
        <f>GJ171*($Q171*$S171)/(1+Voorblad!$K$44)^(CI$56-Voorblad!$F$41)</f>
        <v>0</v>
      </c>
      <c r="CJ171" s="9">
        <f>GK171*($Q171*$S171)/(1+Voorblad!$K$44)^(CJ$56-Voorblad!$F$41)</f>
        <v>0</v>
      </c>
      <c r="CK171" s="9">
        <f>GL171*($Q171*$S171)/(1+Voorblad!$K$44)^(CK$56-Voorblad!$F$41)</f>
        <v>0</v>
      </c>
      <c r="CL171" s="9">
        <f>GM171*($Q171*$S171)/(1+Voorblad!$K$44)^(CL$56-Voorblad!$F$41)</f>
        <v>0</v>
      </c>
      <c r="CM171" s="9">
        <f>GN171*($Q171*$S171)/(1+Voorblad!$K$44)^(CM$56-Voorblad!$F$41)</f>
        <v>0</v>
      </c>
      <c r="CN171" s="9">
        <f>GO171*($Q171*$S171)/(1+Voorblad!$K$44)^(CN$56-Voorblad!$F$41)</f>
        <v>0</v>
      </c>
      <c r="CO171" s="9">
        <f>GP171*($Q171*$S171)/(1+Voorblad!$K$44)^(CO$56-Voorblad!$F$41)</f>
        <v>0</v>
      </c>
      <c r="CP171" s="9">
        <f>GQ171*($Q171*$S171)/(1+Voorblad!$K$44)^(CP$56-Voorblad!$F$41)</f>
        <v>0</v>
      </c>
      <c r="CQ171" s="9">
        <f>GR171*($Q171*$S171)/(1+Voorblad!$K$44)^(CQ$56-Voorblad!$F$41)</f>
        <v>0</v>
      </c>
      <c r="CR171" s="9">
        <f>GS171*($Q171*$S171)/(1+Voorblad!$K$44)^(CR$56-Voorblad!$F$41)</f>
        <v>0</v>
      </c>
      <c r="CS171" s="9">
        <f>GT171*($Q171*$S171)/(1+Voorblad!$K$44)^(CS$56-Voorblad!$F$41)</f>
        <v>0</v>
      </c>
      <c r="CT171" s="9">
        <f>GU171*($Q171*$S171)/(1+Voorblad!$K$44)^(CT$56-Voorblad!$F$41)</f>
        <v>0</v>
      </c>
      <c r="CU171" s="9">
        <f>GV171*($Q171*$S171)/(1+Voorblad!$K$44)^(CU$56-Voorblad!$F$41)</f>
        <v>0</v>
      </c>
      <c r="CV171" s="9">
        <f>GW171*($Q171*$S171)/(1+Voorblad!$K$44)^(CV$56-Voorblad!$F$41)</f>
        <v>0</v>
      </c>
      <c r="CW171" s="9">
        <f>GX171*($Q171*$S171)/(1+Voorblad!$K$44)^(CW$56-Voorblad!$F$41)</f>
        <v>0</v>
      </c>
      <c r="CX171" s="9">
        <f>GY171*($Q171*$S171)/(1+Voorblad!$K$44)^(CX$56-Voorblad!$F$41)</f>
        <v>0</v>
      </c>
      <c r="CY171" s="9">
        <f>GZ171*($Q171*$S171)/(1+Voorblad!$K$44)^(CY$56-Voorblad!$F$41)</f>
        <v>0</v>
      </c>
      <c r="CZ171" s="9">
        <f>HA171*($Q171*$S171)/(1+Voorblad!$K$44)^(CZ$56-Voorblad!$F$41)</f>
        <v>0</v>
      </c>
      <c r="DA171" s="9">
        <f>HB171*($Q171*$S171)/(1+Voorblad!$K$44)^(DA$56-Voorblad!$F$41)</f>
        <v>0</v>
      </c>
      <c r="DB171" s="9">
        <f>HC171*($Q171*$S171)/(1+Voorblad!$K$44)^(DB$56-Voorblad!$F$41)</f>
        <v>0</v>
      </c>
      <c r="DC171" s="9">
        <f>HD171*($Q171*$S171)/(1+Voorblad!$K$44)^(DC$56-Voorblad!$F$41)</f>
        <v>0</v>
      </c>
      <c r="DD171" s="9">
        <f>HE171*($Q171*$S171)/(1+Voorblad!$K$44)^(DD$56-Voorblad!$F$41)</f>
        <v>0</v>
      </c>
      <c r="DE171" s="9">
        <f>HF171*($Q171*$S171)/(1+Voorblad!$K$44)^(DE$56-Voorblad!$F$41)</f>
        <v>0</v>
      </c>
      <c r="DF171" s="9">
        <f>HG171*($Q171*$S171)/(1+Voorblad!$K$44)^(DF$56-Voorblad!$F$41)</f>
        <v>0</v>
      </c>
      <c r="DG171" s="9">
        <f>HH171*($Q171*$S171)/(1+Voorblad!$K$44)^(DG$56-Voorblad!$F$41)</f>
        <v>0</v>
      </c>
      <c r="DH171" s="9">
        <f>HI171*($Q171*$S171)/(1+Voorblad!$K$44)^(DH$56-Voorblad!$F$41)</f>
        <v>0</v>
      </c>
      <c r="DI171" s="9">
        <f>HJ171*($Q171*$S171)/(1+Voorblad!$K$44)^(DI$56-Voorblad!$F$41)</f>
        <v>0</v>
      </c>
      <c r="DJ171" s="9">
        <f>HK171*($Q171*$S171)/(1+Voorblad!$K$44)^(DJ$56-Voorblad!$F$41)</f>
        <v>0</v>
      </c>
      <c r="DK171" s="9">
        <f>HL171*($Q171*$S171)/(1+Voorblad!$K$44)^(DK$56-Voorblad!$F$41)</f>
        <v>0</v>
      </c>
      <c r="DL171" s="9">
        <f>HM171*($Q171*$S171)/(1+Voorblad!$K$44)^(DL$56-Voorblad!$F$41)</f>
        <v>0</v>
      </c>
      <c r="DM171" s="9">
        <f>HN171*($Q171*$S171)/(1+Voorblad!$K$44)^(DM$56-Voorblad!$F$41)</f>
        <v>0</v>
      </c>
      <c r="DN171" s="9">
        <f>HO171*($Q171*$S171)/(1+Voorblad!$K$44)^(DN$56-Voorblad!$F$41)</f>
        <v>0</v>
      </c>
      <c r="DO171" s="9">
        <f>HP171*($Q171*$S171)/(1+Voorblad!$K$44)^(DO$56-Voorblad!$F$41)</f>
        <v>0</v>
      </c>
      <c r="DP171" s="9">
        <f>HQ171*($Q171*$S171)/(1+Voorblad!$K$44)^(DP$56-Voorblad!$F$41)</f>
        <v>0</v>
      </c>
      <c r="DQ171" s="9">
        <f>HR171*($Q171*$S171)/(1+Voorblad!$K$44)^(DQ$56-Voorblad!$F$41)</f>
        <v>0</v>
      </c>
      <c r="DR171" s="9">
        <f>HS171*($Q171*$S171)/(1+Voorblad!$K$44)^(DR$56-Voorblad!$F$41)</f>
        <v>0</v>
      </c>
      <c r="DS171" s="9">
        <f>HT171*($Q171*$S171)/(1+Voorblad!$K$44)^(DS$56-Voorblad!$F$41)</f>
        <v>0</v>
      </c>
      <c r="DT171" s="9">
        <f>HU171*($Q171*$S171)/(1+Voorblad!$K$44)^(DT$56-Voorblad!$F$41)</f>
        <v>0</v>
      </c>
      <c r="DU171" s="9">
        <f>HV171*($Q171*$S171)/(1+Voorblad!$K$44)^(DU$56-Voorblad!$F$41)</f>
        <v>0</v>
      </c>
      <c r="DV171" s="9">
        <f>HW171*($Q171*$S171)/(1+Voorblad!$K$44)^(DV$56-Voorblad!$F$41)</f>
        <v>0</v>
      </c>
      <c r="DW171" s="9">
        <f>HX171*($Q171*$S171)/(1+Voorblad!$K$44)^(DW$56-Voorblad!$F$41)</f>
        <v>0</v>
      </c>
      <c r="DX171" s="9">
        <f>HY171*($Q171*$S171)/(1+Voorblad!$K$44)^(DX$56-Voorblad!$F$41)</f>
        <v>0</v>
      </c>
      <c r="DY171" s="9">
        <f>HZ171*($Q171*$S171)/(1+Voorblad!$K$44)^(DY$56-Voorblad!$F$41)</f>
        <v>0</v>
      </c>
      <c r="DZ171" s="9">
        <f>IA171*($Q171*$S171)/(1+Voorblad!$K$44)^(DZ$56-Voorblad!$F$41)</f>
        <v>0</v>
      </c>
      <c r="EA171" s="9">
        <f>IB171*($Q171*$S171)/(1+Voorblad!$K$44)^(EA$56-Voorblad!$F$41)</f>
        <v>0</v>
      </c>
      <c r="EB171" s="9">
        <f>IC171*($Q171*$S171)/(1+Voorblad!$K$44)^(EB$56-Voorblad!$F$41)</f>
        <v>0</v>
      </c>
      <c r="EE171" s="8">
        <v>0</v>
      </c>
      <c r="EF171" s="8">
        <f>IF(EF$56-Voorblad!$F$41&gt;Voorblad!$K$41,0,IF($U171=0,0,IF($U171&lt;1,1/$U171,IF((EF$56-Voorblad!$F$41)/$U171-SUM($EE171:EE171)=1,1,0))))</f>
        <v>0</v>
      </c>
      <c r="EG171" s="8">
        <f>IF(EG$56-Voorblad!$F$41&gt;Voorblad!$K$41,0,IF($U171=0,0,IF($U171&lt;1,1/$U171,IF((EG$56-Voorblad!$F$41)/$U171-SUM($EE171:EF171)=1,1,0))))</f>
        <v>0</v>
      </c>
      <c r="EH171" s="8">
        <f>IF(EH$56-Voorblad!$F$41&gt;Voorblad!$K$41,0,IF($U171=0,0,IF($U171&lt;1,1/$U171,IF((EH$56-Voorblad!$F$41)/$U171-SUM($EE171:EG171)=1,1,0))))</f>
        <v>0</v>
      </c>
      <c r="EI171" s="8">
        <f>IF(EI$56-Voorblad!$F$41&gt;Voorblad!$K$41,0,IF($U171=0,0,IF($U171&lt;1,1/$U171,IF((EI$56-Voorblad!$F$41)/$U171-SUM($EE171:EH171)=1,1,0))))</f>
        <v>0</v>
      </c>
      <c r="EJ171" s="8">
        <f>IF(EJ$56-Voorblad!$F$41&gt;Voorblad!$K$41,0,IF($U171=0,0,IF($U171&lt;1,1/$U171,IF((EJ$56-Voorblad!$F$41)/$U171-SUM($EE171:EI171)=1,1,0))))</f>
        <v>0</v>
      </c>
      <c r="EK171" s="8">
        <f>IF(EK$56-Voorblad!$F$41&gt;Voorblad!$K$41,0,IF($U171=0,0,IF($U171&lt;1,1/$U171,IF((EK$56-Voorblad!$F$41)/$U171-SUM($EE171:EJ171)=1,1,0))))</f>
        <v>0</v>
      </c>
      <c r="EL171" s="8">
        <f>IF(EL$56-Voorblad!$F$41&gt;Voorblad!$K$41,0,IF($U171=0,0,IF($U171&lt;1,1/$U171,IF((EL$56-Voorblad!$F$41)/$U171-SUM($EE171:EK171)=1,1,0))))</f>
        <v>0</v>
      </c>
      <c r="EM171" s="8">
        <f>IF(EM$56-Voorblad!$F$41&gt;Voorblad!$K$41,0,IF($U171=0,0,IF($U171&lt;1,1/$U171,IF((EM$56-Voorblad!$F$41)/$U171-SUM($EE171:EL171)=1,1,0))))</f>
        <v>0</v>
      </c>
      <c r="EN171" s="8">
        <f>IF(EN$56-Voorblad!$F$41&gt;Voorblad!$K$41,0,IF($U171=0,0,IF($U171&lt;1,1/$U171,IF((EN$56-Voorblad!$F$41)/$U171-SUM($EE171:EM171)=1,1,0))))</f>
        <v>0</v>
      </c>
      <c r="EO171" s="8">
        <f>IF(EO$56-Voorblad!$F$41&gt;Voorblad!$K$41,0,IF($U171=0,0,IF($U171&lt;1,1/$U171,IF((EO$56-Voorblad!$F$41)/$U171-SUM($EE171:EN171)=1,1,0))))</f>
        <v>0</v>
      </c>
      <c r="EP171" s="8">
        <f>IF(EP$56-Voorblad!$F$41&gt;Voorblad!$K$41,0,IF($U171=0,0,IF($U171&lt;1,1/$U171,IF((EP$56-Voorblad!$F$41)/$U171-SUM($EE171:EO171)=1,1,0))))</f>
        <v>0</v>
      </c>
      <c r="EQ171" s="8">
        <f>IF(EQ$56-Voorblad!$F$41&gt;Voorblad!$K$41,0,IF($U171=0,0,IF($U171&lt;1,1/$U171,IF((EQ$56-Voorblad!$F$41)/$U171-SUM($EE171:EP171)=1,1,0))))</f>
        <v>0</v>
      </c>
      <c r="ER171" s="8">
        <f>IF(ER$56-Voorblad!$F$41&gt;Voorblad!$K$41,0,IF($U171=0,0,IF($U171&lt;1,1/$U171,IF((ER$56-Voorblad!$F$41)/$U171-SUM($EE171:EQ171)=1,1,0))))</f>
        <v>0</v>
      </c>
      <c r="ES171" s="8">
        <f>IF(ES$56-Voorblad!$F$41&gt;Voorblad!$K$41,0,IF($U171=0,0,IF($U171&lt;1,1/$U171,IF((ES$56-Voorblad!$F$41)/$U171-SUM($EE171:ER171)=1,1,0))))</f>
        <v>0</v>
      </c>
      <c r="ET171" s="8">
        <f>IF(ET$56-Voorblad!$F$41&gt;Voorblad!$K$41,0,IF($U171=0,0,IF($U171&lt;1,1/$U171,IF((ET$56-Voorblad!$F$41)/$U171-SUM($EE171:ES171)=1,1,0))))</f>
        <v>0</v>
      </c>
      <c r="EU171" s="8">
        <f>IF(EU$56-Voorblad!$F$41&gt;Voorblad!$K$41,0,IF($U171=0,0,IF($U171&lt;1,1/$U171,IF((EU$56-Voorblad!$F$41)/$U171-SUM($EE171:ET171)=1,1,0))))</f>
        <v>1</v>
      </c>
      <c r="EV171" s="8">
        <f>IF(EV$56-Voorblad!$F$41&gt;Voorblad!$K$41,0,IF($U171=0,0,IF($U171&lt;1,1/$U171,IF((EV$56-Voorblad!$F$41)/$U171-SUM($EE171:EU171)=1,1,0))))</f>
        <v>0</v>
      </c>
      <c r="EW171" s="8">
        <f>IF(EW$56-Voorblad!$F$41&gt;Voorblad!$K$41,0,IF($U171=0,0,IF($U171&lt;1,1/$U171,IF((EW$56-Voorblad!$F$41)/$U171-SUM($EE171:EV171)=1,1,0))))</f>
        <v>0</v>
      </c>
      <c r="EX171" s="8">
        <f>IF(EX$56-Voorblad!$F$41&gt;Voorblad!$K$41,0,IF($U171=0,0,IF($U171&lt;1,1/$U171,IF((EX$56-Voorblad!$F$41)/$U171-SUM($EE171:EW171)=1,1,0))))</f>
        <v>0</v>
      </c>
      <c r="EY171" s="8">
        <f>IF(EY$56-Voorblad!$F$41&gt;Voorblad!$K$41,0,IF($U171=0,0,IF($U171&lt;1,1/$U171,IF((EY$56-Voorblad!$F$41)/$U171-SUM($EE171:EX171)=1,1,0))))</f>
        <v>0</v>
      </c>
      <c r="EZ171" s="8">
        <f>IF(EZ$56-Voorblad!$F$41&gt;Voorblad!$K$41,0,IF($U171=0,0,IF($U171&lt;1,1/$U171,IF((EZ$56-Voorblad!$F$41)/$U171-SUM($EE171:EY171)=1,1,0))))</f>
        <v>0</v>
      </c>
      <c r="FA171" s="8">
        <f>IF(FA$56-Voorblad!$F$41&gt;Voorblad!$K$41,0,IF($U171=0,0,IF($U171&lt;1,1/$U171,IF((FA$56-Voorblad!$F$41)/$U171-SUM($EE171:EZ171)=1,1,0))))</f>
        <v>0</v>
      </c>
      <c r="FB171" s="8">
        <f>IF(FB$56-Voorblad!$F$41&gt;Voorblad!$K$41,0,IF($U171=0,0,IF($U171&lt;1,1/$U171,IF((FB$56-Voorblad!$F$41)/$U171-SUM($EE171:FA171)=1,1,0))))</f>
        <v>0</v>
      </c>
      <c r="FC171" s="8">
        <f>IF(FC$56-Voorblad!$F$41&gt;Voorblad!$K$41,0,IF($U171=0,0,IF($U171&lt;1,1/$U171,IF((FC$56-Voorblad!$F$41)/$U171-SUM($EE171:FB171)=1,1,0))))</f>
        <v>0</v>
      </c>
      <c r="FD171" s="8">
        <f>IF(FD$56-Voorblad!$F$41&gt;Voorblad!$K$41,0,IF($U171=0,0,IF($U171&lt;1,1/$U171,IF((FD$56-Voorblad!$F$41)/$U171-SUM($EE171:FC171)=1,1,0))))</f>
        <v>0</v>
      </c>
      <c r="FE171" s="8">
        <f>IF(FE$56-Voorblad!$F$41&gt;Voorblad!$K$41,0,IF($U171=0,0,IF($U171&lt;1,1/$U171,IF((FE$56-Voorblad!$F$41)/$U171-SUM($EE171:FD171)=1,1,0))))</f>
        <v>0</v>
      </c>
      <c r="FF171" s="8">
        <f>IF(FF$56-Voorblad!$F$41&gt;Voorblad!$K$41,0,IF($U171=0,0,IF($U171&lt;1,1/$U171,IF((FF$56-Voorblad!$F$41)/$U171-SUM($EE171:FE171)=1,1,0))))</f>
        <v>0</v>
      </c>
      <c r="FG171" s="8">
        <f>IF(FG$56-Voorblad!$F$41&gt;Voorblad!$K$41,0,IF($U171=0,0,IF($U171&lt;1,1/$U171,IF((FG$56-Voorblad!$F$41)/$U171-SUM($EE171:FF171)=1,1,0))))</f>
        <v>0</v>
      </c>
      <c r="FH171" s="8">
        <f>IF(FH$56-Voorblad!$F$41&gt;Voorblad!$K$41,0,IF($U171=0,0,IF($U171&lt;1,1/$U171,IF((FH$56-Voorblad!$F$41)/$U171-SUM($EE171:FG171)=1,1,0))))</f>
        <v>0</v>
      </c>
      <c r="FI171" s="8">
        <f>IF(FI$56-Voorblad!$F$41&gt;Voorblad!$K$41,0,IF($U171=0,0,IF($U171&lt;1,1/$U171,IF((FI$56-Voorblad!$F$41)/$U171-SUM($EE171:FH171)=1,1,0))))</f>
        <v>0</v>
      </c>
      <c r="FJ171" s="8">
        <f>IF(FJ$56-Voorblad!$F$41&gt;Voorblad!$K$41,0,IF($U171=0,0,IF($U171&lt;1,1/$U171,IF((FJ$56-Voorblad!$F$41)/$U171-SUM($EE171:FI171)=1,1,0))))</f>
        <v>1</v>
      </c>
      <c r="FK171" s="8">
        <f>IF(FK$56-Voorblad!$F$41&gt;Voorblad!$K$41,0,IF($U171=0,0,IF($U171&lt;1,1/$U171,IF((FK$56-Voorblad!$F$41)/$U171-SUM($EE171:FJ171)=1,1,0))))</f>
        <v>0</v>
      </c>
      <c r="FL171" s="8">
        <f>IF(FL$56-Voorblad!$F$41&gt;Voorblad!$K$41,0,IF($U171=0,0,IF($U171&lt;1,1/$U171,IF((FL$56-Voorblad!$F$41)/$U171-SUM($EE171:FK171)=1,1,0))))</f>
        <v>0</v>
      </c>
      <c r="FM171" s="8">
        <f>IF(FM$56-Voorblad!$F$41&gt;Voorblad!$K$41,0,IF($U171=0,0,IF($U171&lt;1,1/$U171,IF((FM$56-Voorblad!$F$41)/$U171-SUM($EE171:FL171)=1,1,0))))</f>
        <v>0</v>
      </c>
      <c r="FN171" s="8">
        <f>IF(FN$56-Voorblad!$F$41&gt;Voorblad!$K$41,0,IF($U171=0,0,IF($U171&lt;1,1/$U171,IF((FN$56-Voorblad!$F$41)/$U171-SUM($EE171:FM171)=1,1,0))))</f>
        <v>0</v>
      </c>
      <c r="FO171" s="8">
        <f>IF(FO$56-Voorblad!$F$41&gt;Voorblad!$K$41,0,IF($U171=0,0,IF($U171&lt;1,1/$U171,IF((FO$56-Voorblad!$F$41)/$U171-SUM($EE171:FN171)=1,1,0))))</f>
        <v>0</v>
      </c>
      <c r="FP171" s="8">
        <f>IF(FP$56-Voorblad!$F$41&gt;Voorblad!$K$41,0,IF($U171=0,0,IF($U171&lt;1,1/$U171,IF((FP$56-Voorblad!$F$41)/$U171-SUM($EE171:FO171)=1,1,0))))</f>
        <v>0</v>
      </c>
      <c r="FQ171" s="8">
        <f>IF(FQ$56-Voorblad!$F$41&gt;Voorblad!$K$41,0,IF($U171=0,0,IF($U171&lt;1,1/$U171,IF((FQ$56-Voorblad!$F$41)/$U171-SUM($EE171:FP171)=1,1,0))))</f>
        <v>0</v>
      </c>
      <c r="FR171" s="8">
        <f>IF(FR$56-Voorblad!$F$41&gt;Voorblad!$K$41,0,IF($U171=0,0,IF($U171&lt;1,1/$U171,IF((FR$56-Voorblad!$F$41)/$U171-SUM($EE171:FQ171)=1,1,0))))</f>
        <v>0</v>
      </c>
      <c r="FS171" s="8">
        <f>IF(FS$56-Voorblad!$F$41&gt;Voorblad!$K$41,0,IF($U171=0,0,IF($U171&lt;1,1/$U171,IF((FS$56-Voorblad!$F$41)/$U171-SUM($EE171:FR171)=1,1,0))))</f>
        <v>0</v>
      </c>
      <c r="FT171" s="8">
        <f>IF(FT$56-Voorblad!$F$41&gt;Voorblad!$K$41,0,IF($U171=0,0,IF($U171&lt;1,1/$U171,IF((FT$56-Voorblad!$F$41)/$U171-SUM($EE171:FS171)=1,1,0))))</f>
        <v>0</v>
      </c>
      <c r="FU171" s="8">
        <f>IF(FU$56-Voorblad!$F$41&gt;Voorblad!$K$41,0,IF($U171=0,0,IF($U171&lt;1,1/$U171,IF((FU$56-Voorblad!$F$41)/$U171-SUM($EE171:FT171)=1,1,0))))</f>
        <v>0</v>
      </c>
      <c r="FV171" s="8">
        <f>IF(FV$56-Voorblad!$F$41&gt;Voorblad!$K$41,0,IF($U171=0,0,IF($U171&lt;1,1/$U171,IF((FV$56-Voorblad!$F$41)/$U171-SUM($EE171:FU171)=1,1,0))))</f>
        <v>0</v>
      </c>
      <c r="FW171" s="8">
        <f>IF(FW$56-Voorblad!$F$41&gt;Voorblad!$K$41,0,IF($U171=0,0,IF($U171&lt;1,1/$U171,IF((FW$56-Voorblad!$F$41)/$U171-SUM($EE171:FV171)=1,1,0))))</f>
        <v>0</v>
      </c>
      <c r="FX171" s="8">
        <f>IF(FX$56-Voorblad!$F$41&gt;Voorblad!$K$41,0,IF($U171=0,0,IF($U171&lt;1,1/$U171,IF((FX$56-Voorblad!$F$41)/$U171-SUM($EE171:FW171)=1,1,0))))</f>
        <v>0</v>
      </c>
      <c r="FY171" s="8">
        <f>IF(FY$56-Voorblad!$F$41&gt;Voorblad!$K$41,0,IF($U171=0,0,IF($U171&lt;1,1/$U171,IF((FY$56-Voorblad!$F$41)/$U171-SUM($EE171:FX171)=1,1,0))))</f>
        <v>1</v>
      </c>
      <c r="FZ171" s="8">
        <f>IF(FZ$56-Voorblad!$F$41&gt;Voorblad!$K$41,0,IF($U171=0,0,IF($U171&lt;1,1/$U171,IF((FZ$56-Voorblad!$F$41)/$U171-SUM($EE171:FY171)=1,1,0))))</f>
        <v>0</v>
      </c>
      <c r="GA171" s="8">
        <f>IF(GA$56-Voorblad!$F$41&gt;Voorblad!$K$41,0,IF($U171=0,0,IF($U171&lt;1,1/$U171,IF((GA$56-Voorblad!$F$41)/$U171-SUM($EE171:FZ171)=1,1,0))))</f>
        <v>0</v>
      </c>
      <c r="GB171" s="8">
        <f>IF(GB$56-Voorblad!$F$41&gt;Voorblad!$K$41,0,IF($U171=0,0,IF($U171&lt;1,1/$U171,IF((GB$56-Voorblad!$F$41)/$U171-SUM($EE171:GA171)=1,1,0))))</f>
        <v>0</v>
      </c>
      <c r="GC171" s="8">
        <f>IF(GC$56-Voorblad!$F$41&gt;Voorblad!$K$41,0,IF($U171=0,0,IF($U171&lt;1,1/$U171,IF((GC$56-Voorblad!$F$41)/$U171-SUM($EE171:GB171)=1,1,0))))</f>
        <v>0</v>
      </c>
      <c r="GD171" s="8">
        <f>IF(GD$56-Voorblad!$F$41&gt;Voorblad!$K$41,0,IF($U171=0,0,IF($U171&lt;1,1/$U171,IF((GD$56-Voorblad!$F$41)/$U171-SUM($EE171:GC171)=1,1,0))))</f>
        <v>0</v>
      </c>
      <c r="GE171" s="8">
        <f>IF(GE$56-Voorblad!$F$41&gt;Voorblad!$K$41,0,IF($U171=0,0,IF($U171&lt;1,1/$U171,IF((GE$56-Voorblad!$F$41)/$U171-SUM($EE171:GD171)=1,1,0))))</f>
        <v>0</v>
      </c>
      <c r="GF171" s="8">
        <f>IF(GF$56-Voorblad!$F$41&gt;Voorblad!$K$41,0,IF($U171=0,0,IF($U171&lt;1,1/$U171,IF((GF$56-Voorblad!$F$41)/$U171-SUM($EE171:GE171)=1,1,0))))</f>
        <v>0</v>
      </c>
      <c r="GG171" s="8">
        <f>IF(GG$56-Voorblad!$F$41&gt;Voorblad!$K$41,0,IF($U171=0,0,IF($U171&lt;1,1/$U171,IF((GG$56-Voorblad!$F$41)/$U171-SUM($EE171:GF171)=1,1,0))))</f>
        <v>0</v>
      </c>
      <c r="GH171" s="8">
        <f>IF(GH$56-Voorblad!$F$41&gt;Voorblad!$K$41,0,IF($U171=0,0,IF($U171&lt;1,1/$U171,IF((GH$56-Voorblad!$F$41)/$U171-SUM($EE171:GG171)=1,1,0))))</f>
        <v>0</v>
      </c>
      <c r="GI171" s="8">
        <f>IF(GI$56-Voorblad!$F$41&gt;Voorblad!$K$41,0,IF($U171=0,0,IF($U171&lt;1,1/$U171,IF((GI$56-Voorblad!$F$41)/$U171-SUM($EE171:GH171)=1,1,0))))</f>
        <v>0</v>
      </c>
      <c r="GJ171" s="8">
        <f>IF(GJ$56-Voorblad!$F$41&gt;Voorblad!$K$41,0,IF($U171=0,0,IF($U171&lt;1,1/$U171,IF((GJ$56-Voorblad!$F$41)/$U171-SUM($EE171:GI171)=1,1,0))))</f>
        <v>0</v>
      </c>
      <c r="GK171" s="8">
        <f>IF(GK$56-Voorblad!$F$41&gt;Voorblad!$K$41,0,IF($U171=0,0,IF($U171&lt;1,1/$U171,IF((GK$56-Voorblad!$F$41)/$U171-SUM($EE171:GJ171)=1,1,0))))</f>
        <v>0</v>
      </c>
      <c r="GL171" s="8">
        <f>IF(GL$56-Voorblad!$F$41&gt;Voorblad!$K$41,0,IF($U171=0,0,IF($U171&lt;1,1/$U171,IF((GL$56-Voorblad!$F$41)/$U171-SUM($EE171:GK171)=1,1,0))))</f>
        <v>0</v>
      </c>
      <c r="GM171" s="8">
        <f>IF(GM$56-Voorblad!$F$41&gt;Voorblad!$K$41,0,IF($U171=0,0,IF($U171&lt;1,1/$U171,IF((GM$56-Voorblad!$F$41)/$U171-SUM($EE171:GL171)=1,1,0))))</f>
        <v>0</v>
      </c>
      <c r="GN171" s="8">
        <f>IF(GN$56-Voorblad!$F$41&gt;Voorblad!$K$41,0,IF($U171=0,0,IF($U171&lt;1,1/$U171,IF((GN$56-Voorblad!$F$41)/$U171-SUM($EE171:GM171)=1,1,0))))</f>
        <v>1</v>
      </c>
      <c r="GO171" s="8">
        <f>IF(GO$56-Voorblad!$F$41&gt;Voorblad!$K$41,0,IF($U171=0,0,IF($U171&lt;1,1/$U171,IF((GO$56-Voorblad!$F$41)/$U171-SUM($EE171:GN171)=1,1,0))))</f>
        <v>0</v>
      </c>
      <c r="GP171" s="8">
        <f>IF(GP$56-Voorblad!$F$41&gt;Voorblad!$K$41,0,IF($U171=0,0,IF($U171&lt;1,1/$U171,IF((GP$56-Voorblad!$F$41)/$U171-SUM($EE171:GO171)=1,1,0))))</f>
        <v>0</v>
      </c>
      <c r="GQ171" s="8">
        <f>IF(GQ$56-Voorblad!$F$41&gt;Voorblad!$K$41,0,IF($U171=0,0,IF($U171&lt;1,1/$U171,IF((GQ$56-Voorblad!$F$41)/$U171-SUM($EE171:GP171)=1,1,0))))</f>
        <v>0</v>
      </c>
      <c r="GR171" s="8">
        <f>IF(GR$56-Voorblad!$F$41&gt;Voorblad!$K$41,0,IF($U171=0,0,IF($U171&lt;1,1/$U171,IF((GR$56-Voorblad!$F$41)/$U171-SUM($EE171:GQ171)=1,1,0))))</f>
        <v>0</v>
      </c>
      <c r="GS171" s="8">
        <f>IF(GS$56-Voorblad!$F$41&gt;Voorblad!$K$41,0,IF($U171=0,0,IF($U171&lt;1,1/$U171,IF((GS$56-Voorblad!$F$41)/$U171-SUM($EE171:GR171)=1,1,0))))</f>
        <v>0</v>
      </c>
      <c r="GT171" s="8">
        <f>IF(GT$56-Voorblad!$F$41&gt;Voorblad!$K$41,0,IF($U171=0,0,IF($U171&lt;1,1/$U171,IF((GT$56-Voorblad!$F$41)/$U171-SUM($EE171:GS171)=1,1,0))))</f>
        <v>0</v>
      </c>
      <c r="GU171" s="8">
        <f>IF(GU$56-Voorblad!$F$41&gt;Voorblad!$K$41,0,IF($U171=0,0,IF($U171&lt;1,1/$U171,IF((GU$56-Voorblad!$F$41)/$U171-SUM($EE171:GT171)=1,1,0))))</f>
        <v>0</v>
      </c>
      <c r="GV171" s="8">
        <f>IF(GV$56-Voorblad!$F$41&gt;Voorblad!$K$41,0,IF($U171=0,0,IF($U171&lt;1,1/$U171,IF((GV$56-Voorblad!$F$41)/$U171-SUM($EE171:GU171)=1,1,0))))</f>
        <v>0</v>
      </c>
      <c r="GW171" s="8">
        <f>IF(GW$56-Voorblad!$F$41&gt;Voorblad!$K$41,0,IF($U171=0,0,IF($U171&lt;1,1/$U171,IF((GW$56-Voorblad!$F$41)/$U171-SUM($EE171:GV171)=1,1,0))))</f>
        <v>0</v>
      </c>
      <c r="GX171" s="8">
        <f>IF(GX$56-Voorblad!$F$41&gt;Voorblad!$K$41,0,IF($U171=0,0,IF($U171&lt;1,1/$U171,IF((GX$56-Voorblad!$F$41)/$U171-SUM($EE171:GW171)=1,1,0))))</f>
        <v>0</v>
      </c>
      <c r="GY171" s="8">
        <f>IF(GY$56-Voorblad!$F$41&gt;Voorblad!$K$41,0,IF($U171=0,0,IF($U171&lt;1,1/$U171,IF((GY$56-Voorblad!$F$41)/$U171-SUM($EE171:GX171)=1,1,0))))</f>
        <v>0</v>
      </c>
      <c r="GZ171" s="8">
        <f>IF(GZ$56-Voorblad!$F$41&gt;Voorblad!$K$41,0,IF($U171=0,0,IF($U171&lt;1,1/$U171,IF((GZ$56-Voorblad!$F$41)/$U171-SUM($EE171:GY171)=1,1,0))))</f>
        <v>0</v>
      </c>
      <c r="HA171" s="8">
        <f>IF(HA$56-Voorblad!$F$41&gt;Voorblad!$K$41,0,IF($U171=0,0,IF($U171&lt;1,1/$U171,IF((HA$56-Voorblad!$F$41)/$U171-SUM($EE171:GZ171)=1,1,0))))</f>
        <v>0</v>
      </c>
      <c r="HB171" s="8">
        <f>IF(HB$56-Voorblad!$F$41&gt;Voorblad!$K$41,0,IF($U171=0,0,IF($U171&lt;1,1/$U171,IF((HB$56-Voorblad!$F$41)/$U171-SUM($EE171:HA171)=1,1,0))))</f>
        <v>0</v>
      </c>
      <c r="HC171" s="8">
        <f>IF(HC$56-Voorblad!$F$41&gt;Voorblad!$K$41,0,IF($U171=0,0,IF($U171&lt;1,1/$U171,IF((HC$56-Voorblad!$F$41)/$U171-SUM($EE171:HB171)=1,1,0))))</f>
        <v>0</v>
      </c>
      <c r="HD171" s="8">
        <f>IF(HD$56-Voorblad!$F$41&gt;Voorblad!$K$41,0,IF($U171=0,0,IF($U171&lt;1,1/$U171,IF((HD$56-Voorblad!$F$41)/$U171-SUM($EE171:HC171)=1,1,0))))</f>
        <v>0</v>
      </c>
      <c r="HE171" s="8">
        <f>IF(HE$56-Voorblad!$F$41&gt;Voorblad!$K$41,0,IF($U171=0,0,IF($U171&lt;1,1/$U171,IF((HE$56-Voorblad!$F$41)/$U171-SUM($EE171:HD171)=1,1,0))))</f>
        <v>0</v>
      </c>
      <c r="HF171" s="8">
        <f>IF(HF$56-Voorblad!$F$41&gt;Voorblad!$K$41,0,IF($U171=0,0,IF($U171&lt;1,1/$U171,IF((HF$56-Voorblad!$F$41)/$U171-SUM($EE171:HE171)=1,1,0))))</f>
        <v>0</v>
      </c>
      <c r="HG171" s="8">
        <f>IF(HG$56-Voorblad!$F$41&gt;Voorblad!$K$41,0,IF($U171=0,0,IF($U171&lt;1,1/$U171,IF((HG$56-Voorblad!$F$41)/$U171-SUM($EE171:HF171)=1,1,0))))</f>
        <v>0</v>
      </c>
      <c r="HH171" s="8">
        <f>IF(HH$56-Voorblad!$F$41&gt;Voorblad!$K$41,0,IF($U171=0,0,IF($U171&lt;1,1/$U171,IF((HH$56-Voorblad!$F$41)/$U171-SUM($EE171:HG171)=1,1,0))))</f>
        <v>0</v>
      </c>
      <c r="HI171" s="8">
        <f>IF(HI$56-Voorblad!$F$41&gt;Voorblad!$K$41,0,IF($U171=0,0,IF($U171&lt;1,1/$U171,IF((HI$56-Voorblad!$F$41)/$U171-SUM($EE171:HH171)=1,1,0))))</f>
        <v>0</v>
      </c>
      <c r="HJ171" s="8">
        <f>IF(HJ$56-Voorblad!$F$41&gt;Voorblad!$K$41,0,IF($U171=0,0,IF($U171&lt;1,1/$U171,IF((HJ$56-Voorblad!$F$41)/$U171-SUM($EE171:HI171)=1,1,0))))</f>
        <v>0</v>
      </c>
      <c r="HK171" s="8">
        <f>IF(HK$56-Voorblad!$F$41&gt;Voorblad!$K$41,0,IF($U171=0,0,IF($U171&lt;1,1/$U171,IF((HK$56-Voorblad!$F$41)/$U171-SUM($EE171:HJ171)=1,1,0))))</f>
        <v>0</v>
      </c>
      <c r="HL171" s="8">
        <f>IF(HL$56-Voorblad!$F$41&gt;Voorblad!$K$41,0,IF($U171=0,0,IF($U171&lt;1,1/$U171,IF((HL$56-Voorblad!$F$41)/$U171-SUM($EE171:HK171)=1,1,0))))</f>
        <v>0</v>
      </c>
      <c r="HM171" s="8">
        <f>IF(HM$56-Voorblad!$F$41&gt;Voorblad!$K$41,0,IF($U171=0,0,IF($U171&lt;1,1/$U171,IF((HM$56-Voorblad!$F$41)/$U171-SUM($EE171:HL171)=1,1,0))))</f>
        <v>0</v>
      </c>
      <c r="HN171" s="8">
        <f>IF(HN$56-Voorblad!$F$41&gt;Voorblad!$K$41,0,IF($U171=0,0,IF($U171&lt;1,1/$U171,IF((HN$56-Voorblad!$F$41)/$U171-SUM($EE171:HM171)=1,1,0))))</f>
        <v>0</v>
      </c>
      <c r="HO171" s="8">
        <f>IF(HO$56-Voorblad!$F$41&gt;Voorblad!$K$41,0,IF($U171=0,0,IF($U171&lt;1,1/$U171,IF((HO$56-Voorblad!$F$41)/$U171-SUM($EE171:HN171)=1,1,0))))</f>
        <v>0</v>
      </c>
      <c r="HP171" s="8">
        <f>IF(HP$56-Voorblad!$F$41&gt;Voorblad!$K$41,0,IF($U171=0,0,IF($U171&lt;1,1/$U171,IF((HP$56-Voorblad!$F$41)/$U171-SUM($EE171:HO171)=1,1,0))))</f>
        <v>0</v>
      </c>
      <c r="HQ171" s="8">
        <f>IF(HQ$56-Voorblad!$F$41&gt;Voorblad!$K$41,0,IF($U171=0,0,IF($U171&lt;1,1/$U171,IF((HQ$56-Voorblad!$F$41)/$U171-SUM($EE171:HP171)=1,1,0))))</f>
        <v>0</v>
      </c>
      <c r="HR171" s="8">
        <f>IF(HR$56-Voorblad!$F$41&gt;Voorblad!$K$41,0,IF($U171=0,0,IF($U171&lt;1,1/$U171,IF((HR$56-Voorblad!$F$41)/$U171-SUM($EE171:HQ171)=1,1,0))))</f>
        <v>0</v>
      </c>
      <c r="HS171" s="8">
        <f>IF(HS$56-Voorblad!$F$41&gt;Voorblad!$K$41,0,IF($U171=0,0,IF($U171&lt;1,1/$U171,IF((HS$56-Voorblad!$F$41)/$U171-SUM($EE171:HR171)=1,1,0))))</f>
        <v>0</v>
      </c>
      <c r="HT171" s="8">
        <f>IF(HT$56-Voorblad!$F$41&gt;Voorblad!$K$41,0,IF($U171=0,0,IF($U171&lt;1,1/$U171,IF((HT$56-Voorblad!$F$41)/$U171-SUM($EE171:HS171)=1,1,0))))</f>
        <v>0</v>
      </c>
      <c r="HU171" s="8">
        <f>IF(HU$56-Voorblad!$F$41&gt;Voorblad!$K$41,0,IF($U171=0,0,IF($U171&lt;1,1/$U171,IF((HU$56-Voorblad!$F$41)/$U171-SUM($EE171:HT171)=1,1,0))))</f>
        <v>0</v>
      </c>
      <c r="HV171" s="8">
        <f>IF(HV$56-Voorblad!$F$41&gt;Voorblad!$K$41,0,IF($U171=0,0,IF($U171&lt;1,1/$U171,IF((HV$56-Voorblad!$F$41)/$U171-SUM($EE171:HU171)=1,1,0))))</f>
        <v>0</v>
      </c>
      <c r="HW171" s="8">
        <f>IF(HW$56-Voorblad!$F$41&gt;Voorblad!$K$41,0,IF($U171=0,0,IF($U171&lt;1,1/$U171,IF((HW$56-Voorblad!$F$41)/$U171-SUM($EE171:HV171)=1,1,0))))</f>
        <v>0</v>
      </c>
      <c r="HX171" s="8">
        <f>IF(HX$56-Voorblad!$F$41&gt;Voorblad!$K$41,0,IF($U171=0,0,IF($U171&lt;1,1/$U171,IF((HX$56-Voorblad!$F$41)/$U171-SUM($EE171:HW171)=1,1,0))))</f>
        <v>0</v>
      </c>
      <c r="HY171" s="8">
        <f>IF(HY$56-Voorblad!$F$41&gt;Voorblad!$K$41,0,IF($U171=0,0,IF($U171&lt;1,1/$U171,IF((HY$56-Voorblad!$F$41)/$U171-SUM($EE171:HX171)=1,1,0))))</f>
        <v>0</v>
      </c>
      <c r="HZ171" s="8">
        <f>IF(HZ$56-Voorblad!$F$41&gt;Voorblad!$K$41,0,IF($U171=0,0,IF($U171&lt;1,1/$U171,IF((HZ$56-Voorblad!$F$41)/$U171-SUM($EE171:HY171)=1,1,0))))</f>
        <v>0</v>
      </c>
      <c r="IA171" s="8">
        <f>IF(IA$56-Voorblad!$F$41&gt;Voorblad!$K$41,0,IF($U171=0,0,IF($U171&lt;1,1/$U171,IF((IA$56-Voorblad!$F$41)/$U171-SUM($EE171:HZ171)=1,1,0))))</f>
        <v>0</v>
      </c>
      <c r="IB171" s="8">
        <f>IF(IB$56-Voorblad!$F$41&gt;Voorblad!$K$41,0,IF($U171=0,0,IF($U171&lt;1,1/$U171,IF((IB$56-Voorblad!$F$41)/$U171-SUM($EE171:IA171)=1,1,0))))</f>
        <v>0</v>
      </c>
    </row>
    <row r="172" spans="2:236" ht="12" hidden="1" customHeight="1" outlineLevel="1" x14ac:dyDescent="0.25">
      <c r="Q172" s="81"/>
      <c r="S172" s="14"/>
      <c r="U172" s="14"/>
      <c r="V172" s="14"/>
      <c r="Y172" s="23">
        <f>SUM(Y158:Y171)</f>
        <v>0</v>
      </c>
      <c r="Z172" s="24"/>
      <c r="AA172" s="23">
        <f>SUM(AA158:AA171)</f>
        <v>0</v>
      </c>
      <c r="AC172" s="9">
        <f>$Y172*(Voorblad!$K$44*(1+Voorblad!$K$44)^Voorblad!$K$41)/((1+Voorblad!$K$44)^Voorblad!$K$41-1)</f>
        <v>0</v>
      </c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E172" s="8"/>
      <c r="EF172" s="8"/>
      <c r="EG172" s="8"/>
      <c r="EH172" s="8"/>
      <c r="EI172" s="8"/>
      <c r="EJ172" s="8"/>
      <c r="EK172" s="8"/>
      <c r="EL172" s="8"/>
      <c r="EM172" s="8"/>
      <c r="EN172" s="8"/>
      <c r="EO172" s="8"/>
      <c r="EP172" s="8"/>
      <c r="EQ172" s="8"/>
      <c r="ER172" s="8"/>
      <c r="ES172" s="8"/>
      <c r="ET172" s="8"/>
      <c r="EU172" s="8"/>
      <c r="EV172" s="8"/>
      <c r="EW172" s="8"/>
      <c r="EX172" s="8"/>
      <c r="EY172" s="8"/>
      <c r="EZ172" s="8"/>
      <c r="FA172" s="8"/>
      <c r="FB172" s="8"/>
      <c r="FC172" s="8"/>
      <c r="FD172" s="8"/>
      <c r="FE172" s="8"/>
      <c r="FF172" s="8"/>
      <c r="FG172" s="8"/>
      <c r="FH172" s="8"/>
      <c r="FI172" s="8"/>
      <c r="FJ172" s="8"/>
      <c r="FK172" s="8"/>
      <c r="FL172" s="8"/>
      <c r="FM172" s="8"/>
      <c r="FN172" s="8"/>
      <c r="FO172" s="8"/>
      <c r="FP172" s="8"/>
      <c r="FQ172" s="8"/>
      <c r="FR172" s="8"/>
      <c r="FS172" s="8"/>
      <c r="FT172" s="8"/>
      <c r="FU172" s="8"/>
      <c r="FV172" s="8"/>
      <c r="FW172" s="8"/>
      <c r="FX172" s="8"/>
      <c r="FY172" s="8"/>
      <c r="FZ172" s="8"/>
      <c r="GA172" s="8"/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</row>
    <row r="173" spans="2:236" hidden="1" outlineLevel="1" x14ac:dyDescent="0.25">
      <c r="B173" s="2" t="s">
        <v>269</v>
      </c>
      <c r="C173" s="2"/>
      <c r="S173" s="14"/>
      <c r="U173" s="14"/>
      <c r="V173" s="14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E173" s="8"/>
      <c r="EF173" s="8"/>
      <c r="EG173" s="8"/>
      <c r="EH173" s="8"/>
      <c r="EI173" s="8"/>
      <c r="EJ173" s="8"/>
      <c r="EK173" s="8"/>
      <c r="EL173" s="8"/>
      <c r="EM173" s="8"/>
      <c r="EN173" s="8"/>
      <c r="EO173" s="8"/>
      <c r="EP173" s="8"/>
      <c r="EQ173" s="8"/>
      <c r="ER173" s="8"/>
      <c r="ES173" s="8"/>
      <c r="ET173" s="8"/>
      <c r="EU173" s="8"/>
      <c r="EV173" s="8"/>
      <c r="EW173" s="8"/>
      <c r="EX173" s="8"/>
      <c r="EY173" s="8"/>
      <c r="EZ173" s="8"/>
      <c r="FA173" s="8"/>
      <c r="FB173" s="8"/>
      <c r="FC173" s="8"/>
      <c r="FD173" s="8"/>
      <c r="FE173" s="8"/>
      <c r="FF173" s="8"/>
      <c r="FG173" s="8"/>
      <c r="FH173" s="8"/>
      <c r="FI173" s="8"/>
      <c r="FJ173" s="8"/>
      <c r="FK173" s="8"/>
      <c r="FL173" s="8"/>
      <c r="FM173" s="8"/>
      <c r="FN173" s="8"/>
      <c r="FO173" s="8"/>
      <c r="FP173" s="8"/>
      <c r="FQ173" s="8"/>
      <c r="FR173" s="8"/>
      <c r="FS173" s="8"/>
      <c r="FT173" s="8"/>
      <c r="FU173" s="8"/>
      <c r="FV173" s="8"/>
      <c r="FW173" s="8"/>
      <c r="FX173" s="8"/>
      <c r="FY173" s="8"/>
      <c r="FZ173" s="8"/>
      <c r="GA173" s="8"/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</row>
    <row r="174" spans="2:236" ht="12" hidden="1" customHeight="1" outlineLevel="1" x14ac:dyDescent="0.25">
      <c r="B174" s="1">
        <v>1</v>
      </c>
      <c r="F174" s="1" t="s">
        <v>23</v>
      </c>
      <c r="I174" s="1" t="s">
        <v>193</v>
      </c>
      <c r="K174" s="14" t="s">
        <v>213</v>
      </c>
      <c r="O174" s="1" t="s">
        <v>187</v>
      </c>
      <c r="P174" s="1" t="s">
        <v>180</v>
      </c>
      <c r="Q174" s="81">
        <v>0</v>
      </c>
      <c r="R174" s="1" t="s">
        <v>35</v>
      </c>
      <c r="S174" s="21">
        <f>$H$10*1.5*125</f>
        <v>446.25</v>
      </c>
      <c r="T174" s="1">
        <f t="shared" ref="T174:T184" si="194">Q174*S174</f>
        <v>0</v>
      </c>
      <c r="U174" s="14">
        <v>30</v>
      </c>
      <c r="V174" s="14"/>
      <c r="Y174" s="9">
        <f t="shared" ref="Y174" si="195">SUM(AE174:EB174)</f>
        <v>0</v>
      </c>
      <c r="Z174" s="82"/>
      <c r="AA174" s="82"/>
      <c r="AC174" s="9">
        <f>$Y174*(Voorblad!$K$44*(1+Voorblad!$K$44)^Voorblad!$K$41)/((1+Voorblad!$K$44)^Voorblad!$K$41-1)</f>
        <v>0</v>
      </c>
      <c r="AE174" s="9">
        <f>EF174*($Q174*$S174)/(1+Voorblad!$K$44)^(AE$56-Voorblad!$F$41)</f>
        <v>0</v>
      </c>
      <c r="AF174" s="9">
        <f>EG174*($Q174*$S174)/(1+Voorblad!$K$44)^(AF$56-Voorblad!$F$41)</f>
        <v>0</v>
      </c>
      <c r="AG174" s="9">
        <f>EH174*($Q174*$S174)/(1+Voorblad!$K$44)^(AG$56-Voorblad!$F$41)</f>
        <v>0</v>
      </c>
      <c r="AH174" s="9">
        <f>EI174*($Q174*$S174)/(1+Voorblad!$K$44)^(AH$56-Voorblad!$F$41)</f>
        <v>0</v>
      </c>
      <c r="AI174" s="9">
        <f>EJ174*($Q174*$S174)/(1+Voorblad!$K$44)^(AI$56-Voorblad!$F$41)</f>
        <v>0</v>
      </c>
      <c r="AJ174" s="9">
        <f>EK174*($Q174*$S174)/(1+Voorblad!$K$44)^(AJ$56-Voorblad!$F$41)</f>
        <v>0</v>
      </c>
      <c r="AK174" s="9">
        <f>EL174*($Q174*$S174)/(1+Voorblad!$K$44)^(AK$56-Voorblad!$F$41)</f>
        <v>0</v>
      </c>
      <c r="AL174" s="9">
        <f>EM174*($Q174*$S174)/(1+Voorblad!$K$44)^(AL$56-Voorblad!$F$41)</f>
        <v>0</v>
      </c>
      <c r="AM174" s="9">
        <f>EN174*($Q174*$S174)/(1+Voorblad!$K$44)^(AM$56-Voorblad!$F$41)</f>
        <v>0</v>
      </c>
      <c r="AN174" s="9">
        <f>EO174*($Q174*$S174)/(1+Voorblad!$K$44)^(AN$56-Voorblad!$F$41)</f>
        <v>0</v>
      </c>
      <c r="AO174" s="9">
        <f>EP174*($Q174*$S174)/(1+Voorblad!$K$44)^(AO$56-Voorblad!$F$41)</f>
        <v>0</v>
      </c>
      <c r="AP174" s="9">
        <f>EQ174*($Q174*$S174)/(1+Voorblad!$K$44)^(AP$56-Voorblad!$F$41)</f>
        <v>0</v>
      </c>
      <c r="AQ174" s="9">
        <f>ER174*($Q174*$S174)/(1+Voorblad!$K$44)^(AQ$56-Voorblad!$F$41)</f>
        <v>0</v>
      </c>
      <c r="AR174" s="9">
        <f>ES174*($Q174*$S174)/(1+Voorblad!$K$44)^(AR$56-Voorblad!$F$41)</f>
        <v>0</v>
      </c>
      <c r="AS174" s="9">
        <f>ET174*($Q174*$S174)/(1+Voorblad!$K$44)^(AS$56-Voorblad!$F$41)</f>
        <v>0</v>
      </c>
      <c r="AT174" s="9">
        <f>EU174*($Q174*$S174)/(1+Voorblad!$K$44)^(AT$56-Voorblad!$F$41)</f>
        <v>0</v>
      </c>
      <c r="AU174" s="9">
        <f>EV174*($Q174*$S174)/(1+Voorblad!$K$44)^(AU$56-Voorblad!$F$41)</f>
        <v>0</v>
      </c>
      <c r="AV174" s="9">
        <f>EW174*($Q174*$S174)/(1+Voorblad!$K$44)^(AV$56-Voorblad!$F$41)</f>
        <v>0</v>
      </c>
      <c r="AW174" s="9">
        <f>EX174*($Q174*$S174)/(1+Voorblad!$K$44)^(AW$56-Voorblad!$F$41)</f>
        <v>0</v>
      </c>
      <c r="AX174" s="9">
        <f>EY174*($Q174*$S174)/(1+Voorblad!$K$44)^(AX$56-Voorblad!$F$41)</f>
        <v>0</v>
      </c>
      <c r="AY174" s="9">
        <f>EZ174*($Q174*$S174)/(1+Voorblad!$K$44)^(AY$56-Voorblad!$F$41)</f>
        <v>0</v>
      </c>
      <c r="AZ174" s="9">
        <f>FA174*($Q174*$S174)/(1+Voorblad!$K$44)^(AZ$56-Voorblad!$F$41)</f>
        <v>0</v>
      </c>
      <c r="BA174" s="9">
        <f>FB174*($Q174*$S174)/(1+Voorblad!$K$44)^(BA$56-Voorblad!$F$41)</f>
        <v>0</v>
      </c>
      <c r="BB174" s="9">
        <f>FC174*($Q174*$S174)/(1+Voorblad!$K$44)^(BB$56-Voorblad!$F$41)</f>
        <v>0</v>
      </c>
      <c r="BC174" s="9">
        <f>FD174*($Q174*$S174)/(1+Voorblad!$K$44)^(BC$56-Voorblad!$F$41)</f>
        <v>0</v>
      </c>
      <c r="BD174" s="9">
        <f>FE174*($Q174*$S174)/(1+Voorblad!$K$44)^(BD$56-Voorblad!$F$41)</f>
        <v>0</v>
      </c>
      <c r="BE174" s="9">
        <f>FF174*($Q174*$S174)/(1+Voorblad!$K$44)^(BE$56-Voorblad!$F$41)</f>
        <v>0</v>
      </c>
      <c r="BF174" s="9">
        <f>FG174*($Q174*$S174)/(1+Voorblad!$K$44)^(BF$56-Voorblad!$F$41)</f>
        <v>0</v>
      </c>
      <c r="BG174" s="9">
        <f>FH174*($Q174*$S174)/(1+Voorblad!$K$44)^(BG$56-Voorblad!$F$41)</f>
        <v>0</v>
      </c>
      <c r="BH174" s="9">
        <f>FI174*($Q174*$S174)/(1+Voorblad!$K$44)^(BH$56-Voorblad!$F$41)</f>
        <v>0</v>
      </c>
      <c r="BI174" s="9">
        <f>FJ174*($Q174*$S174)/(1+Voorblad!$K$44)^(BI$56-Voorblad!$F$41)</f>
        <v>0</v>
      </c>
      <c r="BJ174" s="9">
        <f>FK174*($Q174*$S174)/(1+Voorblad!$K$44)^(BJ$56-Voorblad!$F$41)</f>
        <v>0</v>
      </c>
      <c r="BK174" s="9">
        <f>FL174*($Q174*$S174)/(1+Voorblad!$K$44)^(BK$56-Voorblad!$F$41)</f>
        <v>0</v>
      </c>
      <c r="BL174" s="9">
        <f>FM174*($Q174*$S174)/(1+Voorblad!$K$44)^(BL$56-Voorblad!$F$41)</f>
        <v>0</v>
      </c>
      <c r="BM174" s="9">
        <f>FN174*($Q174*$S174)/(1+Voorblad!$K$44)^(BM$56-Voorblad!$F$41)</f>
        <v>0</v>
      </c>
      <c r="BN174" s="9">
        <f>FO174*($Q174*$S174)/(1+Voorblad!$K$44)^(BN$56-Voorblad!$F$41)</f>
        <v>0</v>
      </c>
      <c r="BO174" s="9">
        <f>FP174*($Q174*$S174)/(1+Voorblad!$K$44)^(BO$56-Voorblad!$F$41)</f>
        <v>0</v>
      </c>
      <c r="BP174" s="9">
        <f>FQ174*($Q174*$S174)/(1+Voorblad!$K$44)^(BP$56-Voorblad!$F$41)</f>
        <v>0</v>
      </c>
      <c r="BQ174" s="9">
        <f>FR174*($Q174*$S174)/(1+Voorblad!$K$44)^(BQ$56-Voorblad!$F$41)</f>
        <v>0</v>
      </c>
      <c r="BR174" s="9">
        <f>FS174*($Q174*$S174)/(1+Voorblad!$K$44)^(BR$56-Voorblad!$F$41)</f>
        <v>0</v>
      </c>
      <c r="BS174" s="9">
        <f>FT174*($Q174*$S174)/(1+Voorblad!$K$44)^(BS$56-Voorblad!$F$41)</f>
        <v>0</v>
      </c>
      <c r="BT174" s="9">
        <f>FU174*($Q174*$S174)/(1+Voorblad!$K$44)^(BT$56-Voorblad!$F$41)</f>
        <v>0</v>
      </c>
      <c r="BU174" s="9">
        <f>FV174*($Q174*$S174)/(1+Voorblad!$K$44)^(BU$56-Voorblad!$F$41)</f>
        <v>0</v>
      </c>
      <c r="BV174" s="9">
        <f>FW174*($Q174*$S174)/(1+Voorblad!$K$44)^(BV$56-Voorblad!$F$41)</f>
        <v>0</v>
      </c>
      <c r="BW174" s="9">
        <f>FX174*($Q174*$S174)/(1+Voorblad!$K$44)^(BW$56-Voorblad!$F$41)</f>
        <v>0</v>
      </c>
      <c r="BX174" s="9">
        <f>FY174*($Q174*$S174)/(1+Voorblad!$K$44)^(BX$56-Voorblad!$F$41)</f>
        <v>0</v>
      </c>
      <c r="BY174" s="9">
        <f>FZ174*($Q174*$S174)/(1+Voorblad!$K$44)^(BY$56-Voorblad!$F$41)</f>
        <v>0</v>
      </c>
      <c r="BZ174" s="9">
        <f>GA174*($Q174*$S174)/(1+Voorblad!$K$44)^(BZ$56-Voorblad!$F$41)</f>
        <v>0</v>
      </c>
      <c r="CA174" s="9">
        <f>GB174*($Q174*$S174)/(1+Voorblad!$K$44)^(CA$56-Voorblad!$F$41)</f>
        <v>0</v>
      </c>
      <c r="CB174" s="9">
        <f>GC174*($Q174*$S174)/(1+Voorblad!$K$44)^(CB$56-Voorblad!$F$41)</f>
        <v>0</v>
      </c>
      <c r="CC174" s="9">
        <f>GD174*($Q174*$S174)/(1+Voorblad!$K$44)^(CC$56-Voorblad!$F$41)</f>
        <v>0</v>
      </c>
      <c r="CD174" s="9">
        <f>GE174*($Q174*$S174)/(1+Voorblad!$K$44)^(CD$56-Voorblad!$F$41)</f>
        <v>0</v>
      </c>
      <c r="CE174" s="9">
        <f>GF174*($Q174*$S174)/(1+Voorblad!$K$44)^(CE$56-Voorblad!$F$41)</f>
        <v>0</v>
      </c>
      <c r="CF174" s="9">
        <f>GG174*($Q174*$S174)/(1+Voorblad!$K$44)^(CF$56-Voorblad!$F$41)</f>
        <v>0</v>
      </c>
      <c r="CG174" s="9">
        <f>GH174*($Q174*$S174)/(1+Voorblad!$K$44)^(CG$56-Voorblad!$F$41)</f>
        <v>0</v>
      </c>
      <c r="CH174" s="9">
        <f>GI174*($Q174*$S174)/(1+Voorblad!$K$44)^(CH$56-Voorblad!$F$41)</f>
        <v>0</v>
      </c>
      <c r="CI174" s="9">
        <f>GJ174*($Q174*$S174)/(1+Voorblad!$K$44)^(CI$56-Voorblad!$F$41)</f>
        <v>0</v>
      </c>
      <c r="CJ174" s="9">
        <f>GK174*($Q174*$S174)/(1+Voorblad!$K$44)^(CJ$56-Voorblad!$F$41)</f>
        <v>0</v>
      </c>
      <c r="CK174" s="9">
        <f>GL174*($Q174*$S174)/(1+Voorblad!$K$44)^(CK$56-Voorblad!$F$41)</f>
        <v>0</v>
      </c>
      <c r="CL174" s="9">
        <f>GM174*($Q174*$S174)/(1+Voorblad!$K$44)^(CL$56-Voorblad!$F$41)</f>
        <v>0</v>
      </c>
      <c r="CM174" s="9">
        <f>GN174*($Q174*$S174)/(1+Voorblad!$K$44)^(CM$56-Voorblad!$F$41)</f>
        <v>0</v>
      </c>
      <c r="CN174" s="9">
        <f>GO174*($Q174*$S174)/(1+Voorblad!$K$44)^(CN$56-Voorblad!$F$41)</f>
        <v>0</v>
      </c>
      <c r="CO174" s="9">
        <f>GP174*($Q174*$S174)/(1+Voorblad!$K$44)^(CO$56-Voorblad!$F$41)</f>
        <v>0</v>
      </c>
      <c r="CP174" s="9">
        <f>GQ174*($Q174*$S174)/(1+Voorblad!$K$44)^(CP$56-Voorblad!$F$41)</f>
        <v>0</v>
      </c>
      <c r="CQ174" s="9">
        <f>GR174*($Q174*$S174)/(1+Voorblad!$K$44)^(CQ$56-Voorblad!$F$41)</f>
        <v>0</v>
      </c>
      <c r="CR174" s="9">
        <f>GS174*($Q174*$S174)/(1+Voorblad!$K$44)^(CR$56-Voorblad!$F$41)</f>
        <v>0</v>
      </c>
      <c r="CS174" s="9">
        <f>GT174*($Q174*$S174)/(1+Voorblad!$K$44)^(CS$56-Voorblad!$F$41)</f>
        <v>0</v>
      </c>
      <c r="CT174" s="9">
        <f>GU174*($Q174*$S174)/(1+Voorblad!$K$44)^(CT$56-Voorblad!$F$41)</f>
        <v>0</v>
      </c>
      <c r="CU174" s="9">
        <f>GV174*($Q174*$S174)/(1+Voorblad!$K$44)^(CU$56-Voorblad!$F$41)</f>
        <v>0</v>
      </c>
      <c r="CV174" s="9">
        <f>GW174*($Q174*$S174)/(1+Voorblad!$K$44)^(CV$56-Voorblad!$F$41)</f>
        <v>0</v>
      </c>
      <c r="CW174" s="9">
        <f>GX174*($Q174*$S174)/(1+Voorblad!$K$44)^(CW$56-Voorblad!$F$41)</f>
        <v>0</v>
      </c>
      <c r="CX174" s="9">
        <f>GY174*($Q174*$S174)/(1+Voorblad!$K$44)^(CX$56-Voorblad!$F$41)</f>
        <v>0</v>
      </c>
      <c r="CY174" s="9">
        <f>GZ174*($Q174*$S174)/(1+Voorblad!$K$44)^(CY$56-Voorblad!$F$41)</f>
        <v>0</v>
      </c>
      <c r="CZ174" s="9">
        <f>HA174*($Q174*$S174)/(1+Voorblad!$K$44)^(CZ$56-Voorblad!$F$41)</f>
        <v>0</v>
      </c>
      <c r="DA174" s="9">
        <f>HB174*($Q174*$S174)/(1+Voorblad!$K$44)^(DA$56-Voorblad!$F$41)</f>
        <v>0</v>
      </c>
      <c r="DB174" s="9">
        <f>HC174*($Q174*$S174)/(1+Voorblad!$K$44)^(DB$56-Voorblad!$F$41)</f>
        <v>0</v>
      </c>
      <c r="DC174" s="9">
        <f>HD174*($Q174*$S174)/(1+Voorblad!$K$44)^(DC$56-Voorblad!$F$41)</f>
        <v>0</v>
      </c>
      <c r="DD174" s="9">
        <f>HE174*($Q174*$S174)/(1+Voorblad!$K$44)^(DD$56-Voorblad!$F$41)</f>
        <v>0</v>
      </c>
      <c r="DE174" s="9">
        <f>HF174*($Q174*$S174)/(1+Voorblad!$K$44)^(DE$56-Voorblad!$F$41)</f>
        <v>0</v>
      </c>
      <c r="DF174" s="9">
        <f>HG174*($Q174*$S174)/(1+Voorblad!$K$44)^(DF$56-Voorblad!$F$41)</f>
        <v>0</v>
      </c>
      <c r="DG174" s="9">
        <f>HH174*($Q174*$S174)/(1+Voorblad!$K$44)^(DG$56-Voorblad!$F$41)</f>
        <v>0</v>
      </c>
      <c r="DH174" s="9">
        <f>HI174*($Q174*$S174)/(1+Voorblad!$K$44)^(DH$56-Voorblad!$F$41)</f>
        <v>0</v>
      </c>
      <c r="DI174" s="9">
        <f>HJ174*($Q174*$S174)/(1+Voorblad!$K$44)^(DI$56-Voorblad!$F$41)</f>
        <v>0</v>
      </c>
      <c r="DJ174" s="9">
        <f>HK174*($Q174*$S174)/(1+Voorblad!$K$44)^(DJ$56-Voorblad!$F$41)</f>
        <v>0</v>
      </c>
      <c r="DK174" s="9">
        <f>HL174*($Q174*$S174)/(1+Voorblad!$K$44)^(DK$56-Voorblad!$F$41)</f>
        <v>0</v>
      </c>
      <c r="DL174" s="9">
        <f>HM174*($Q174*$S174)/(1+Voorblad!$K$44)^(DL$56-Voorblad!$F$41)</f>
        <v>0</v>
      </c>
      <c r="DM174" s="9">
        <f>HN174*($Q174*$S174)/(1+Voorblad!$K$44)^(DM$56-Voorblad!$F$41)</f>
        <v>0</v>
      </c>
      <c r="DN174" s="9">
        <f>HO174*($Q174*$S174)/(1+Voorblad!$K$44)^(DN$56-Voorblad!$F$41)</f>
        <v>0</v>
      </c>
      <c r="DO174" s="9">
        <f>HP174*($Q174*$S174)/(1+Voorblad!$K$44)^(DO$56-Voorblad!$F$41)</f>
        <v>0</v>
      </c>
      <c r="DP174" s="9">
        <f>HQ174*($Q174*$S174)/(1+Voorblad!$K$44)^(DP$56-Voorblad!$F$41)</f>
        <v>0</v>
      </c>
      <c r="DQ174" s="9">
        <f>HR174*($Q174*$S174)/(1+Voorblad!$K$44)^(DQ$56-Voorblad!$F$41)</f>
        <v>0</v>
      </c>
      <c r="DR174" s="9">
        <f>HS174*($Q174*$S174)/(1+Voorblad!$K$44)^(DR$56-Voorblad!$F$41)</f>
        <v>0</v>
      </c>
      <c r="DS174" s="9">
        <f>HT174*($Q174*$S174)/(1+Voorblad!$K$44)^(DS$56-Voorblad!$F$41)</f>
        <v>0</v>
      </c>
      <c r="DT174" s="9">
        <f>HU174*($Q174*$S174)/(1+Voorblad!$K$44)^(DT$56-Voorblad!$F$41)</f>
        <v>0</v>
      </c>
      <c r="DU174" s="9">
        <f>HV174*($Q174*$S174)/(1+Voorblad!$K$44)^(DU$56-Voorblad!$F$41)</f>
        <v>0</v>
      </c>
      <c r="DV174" s="9">
        <f>HW174*($Q174*$S174)/(1+Voorblad!$K$44)^(DV$56-Voorblad!$F$41)</f>
        <v>0</v>
      </c>
      <c r="DW174" s="9">
        <f>HX174*($Q174*$S174)/(1+Voorblad!$K$44)^(DW$56-Voorblad!$F$41)</f>
        <v>0</v>
      </c>
      <c r="DX174" s="9">
        <f>HY174*($Q174*$S174)/(1+Voorblad!$K$44)^(DX$56-Voorblad!$F$41)</f>
        <v>0</v>
      </c>
      <c r="DY174" s="9">
        <f>HZ174*($Q174*$S174)/(1+Voorblad!$K$44)^(DY$56-Voorblad!$F$41)</f>
        <v>0</v>
      </c>
      <c r="DZ174" s="9">
        <f>IA174*($Q174*$S174)/(1+Voorblad!$K$44)^(DZ$56-Voorblad!$F$41)</f>
        <v>0</v>
      </c>
      <c r="EA174" s="9">
        <f>IB174*($Q174*$S174)/(1+Voorblad!$K$44)^(EA$56-Voorblad!$F$41)</f>
        <v>0</v>
      </c>
      <c r="EB174" s="9">
        <f>IC174*($Q174*$S174)/(1+Voorblad!$K$44)^(EB$56-Voorblad!$F$41)</f>
        <v>0</v>
      </c>
      <c r="EE174" s="8">
        <v>0</v>
      </c>
      <c r="EF174" s="8">
        <f>IF(EF$56-Voorblad!$F$41&gt;Voorblad!$K$41,0,IF($U174=0,0,IF($U174&lt;1,1/$U174,IF((EF$56-Voorblad!$F$41)/$U174-SUM($EE174:EE174)=1,1,0))))</f>
        <v>0</v>
      </c>
      <c r="EG174" s="8">
        <f>IF(EG$56-Voorblad!$F$41&gt;Voorblad!$K$41,0,IF($U174=0,0,IF($U174&lt;1,1/$U174,IF((EG$56-Voorblad!$F$41)/$U174-SUM($EE174:EF174)=1,1,0))))</f>
        <v>0</v>
      </c>
      <c r="EH174" s="8">
        <f>IF(EH$56-Voorblad!$F$41&gt;Voorblad!$K$41,0,IF($U174=0,0,IF($U174&lt;1,1/$U174,IF((EH$56-Voorblad!$F$41)/$U174-SUM($EE174:EG174)=1,1,0))))</f>
        <v>0</v>
      </c>
      <c r="EI174" s="8">
        <f>IF(EI$56-Voorblad!$F$41&gt;Voorblad!$K$41,0,IF($U174=0,0,IF($U174&lt;1,1/$U174,IF((EI$56-Voorblad!$F$41)/$U174-SUM($EE174:EH174)=1,1,0))))</f>
        <v>0</v>
      </c>
      <c r="EJ174" s="8">
        <f>IF(EJ$56-Voorblad!$F$41&gt;Voorblad!$K$41,0,IF($U174=0,0,IF($U174&lt;1,1/$U174,IF((EJ$56-Voorblad!$F$41)/$U174-SUM($EE174:EI174)=1,1,0))))</f>
        <v>0</v>
      </c>
      <c r="EK174" s="8">
        <f>IF(EK$56-Voorblad!$F$41&gt;Voorblad!$K$41,0,IF($U174=0,0,IF($U174&lt;1,1/$U174,IF((EK$56-Voorblad!$F$41)/$U174-SUM($EE174:EJ174)=1,1,0))))</f>
        <v>0</v>
      </c>
      <c r="EL174" s="8">
        <f>IF(EL$56-Voorblad!$F$41&gt;Voorblad!$K$41,0,IF($U174=0,0,IF($U174&lt;1,1/$U174,IF((EL$56-Voorblad!$F$41)/$U174-SUM($EE174:EK174)=1,1,0))))</f>
        <v>0</v>
      </c>
      <c r="EM174" s="8">
        <f>IF(EM$56-Voorblad!$F$41&gt;Voorblad!$K$41,0,IF($U174=0,0,IF($U174&lt;1,1/$U174,IF((EM$56-Voorblad!$F$41)/$U174-SUM($EE174:EL174)=1,1,0))))</f>
        <v>0</v>
      </c>
      <c r="EN174" s="8">
        <f>IF(EN$56-Voorblad!$F$41&gt;Voorblad!$K$41,0,IF($U174=0,0,IF($U174&lt;1,1/$U174,IF((EN$56-Voorblad!$F$41)/$U174-SUM($EE174:EM174)=1,1,0))))</f>
        <v>0</v>
      </c>
      <c r="EO174" s="8">
        <f>IF(EO$56-Voorblad!$F$41&gt;Voorblad!$K$41,0,IF($U174=0,0,IF($U174&lt;1,1/$U174,IF((EO$56-Voorblad!$F$41)/$U174-SUM($EE174:EN174)=1,1,0))))</f>
        <v>0</v>
      </c>
      <c r="EP174" s="8">
        <f>IF(EP$56-Voorblad!$F$41&gt;Voorblad!$K$41,0,IF($U174=0,0,IF($U174&lt;1,1/$U174,IF((EP$56-Voorblad!$F$41)/$U174-SUM($EE174:EO174)=1,1,0))))</f>
        <v>0</v>
      </c>
      <c r="EQ174" s="8">
        <f>IF(EQ$56-Voorblad!$F$41&gt;Voorblad!$K$41,0,IF($U174=0,0,IF($U174&lt;1,1/$U174,IF((EQ$56-Voorblad!$F$41)/$U174-SUM($EE174:EP174)=1,1,0))))</f>
        <v>0</v>
      </c>
      <c r="ER174" s="8">
        <f>IF(ER$56-Voorblad!$F$41&gt;Voorblad!$K$41,0,IF($U174=0,0,IF($U174&lt;1,1/$U174,IF((ER$56-Voorblad!$F$41)/$U174-SUM($EE174:EQ174)=1,1,0))))</f>
        <v>0</v>
      </c>
      <c r="ES174" s="8">
        <f>IF(ES$56-Voorblad!$F$41&gt;Voorblad!$K$41,0,IF($U174=0,0,IF($U174&lt;1,1/$U174,IF((ES$56-Voorblad!$F$41)/$U174-SUM($EE174:ER174)=1,1,0))))</f>
        <v>0</v>
      </c>
      <c r="ET174" s="8">
        <f>IF(ET$56-Voorblad!$F$41&gt;Voorblad!$K$41,0,IF($U174=0,0,IF($U174&lt;1,1/$U174,IF((ET$56-Voorblad!$F$41)/$U174-SUM($EE174:ES174)=1,1,0))))</f>
        <v>0</v>
      </c>
      <c r="EU174" s="8">
        <f>IF(EU$56-Voorblad!$F$41&gt;Voorblad!$K$41,0,IF($U174=0,0,IF($U174&lt;1,1/$U174,IF((EU$56-Voorblad!$F$41)/$U174-SUM($EE174:ET174)=1,1,0))))</f>
        <v>0</v>
      </c>
      <c r="EV174" s="8">
        <f>IF(EV$56-Voorblad!$F$41&gt;Voorblad!$K$41,0,IF($U174=0,0,IF($U174&lt;1,1/$U174,IF((EV$56-Voorblad!$F$41)/$U174-SUM($EE174:EU174)=1,1,0))))</f>
        <v>0</v>
      </c>
      <c r="EW174" s="8">
        <f>IF(EW$56-Voorblad!$F$41&gt;Voorblad!$K$41,0,IF($U174=0,0,IF($U174&lt;1,1/$U174,IF((EW$56-Voorblad!$F$41)/$U174-SUM($EE174:EV174)=1,1,0))))</f>
        <v>0</v>
      </c>
      <c r="EX174" s="8">
        <f>IF(EX$56-Voorblad!$F$41&gt;Voorblad!$K$41,0,IF($U174=0,0,IF($U174&lt;1,1/$U174,IF((EX$56-Voorblad!$F$41)/$U174-SUM($EE174:EW174)=1,1,0))))</f>
        <v>0</v>
      </c>
      <c r="EY174" s="8">
        <f>IF(EY$56-Voorblad!$F$41&gt;Voorblad!$K$41,0,IF($U174=0,0,IF($U174&lt;1,1/$U174,IF((EY$56-Voorblad!$F$41)/$U174-SUM($EE174:EX174)=1,1,0))))</f>
        <v>0</v>
      </c>
      <c r="EZ174" s="8">
        <f>IF(EZ$56-Voorblad!$F$41&gt;Voorblad!$K$41,0,IF($U174=0,0,IF($U174&lt;1,1/$U174,IF((EZ$56-Voorblad!$F$41)/$U174-SUM($EE174:EY174)=1,1,0))))</f>
        <v>0</v>
      </c>
      <c r="FA174" s="8">
        <f>IF(FA$56-Voorblad!$F$41&gt;Voorblad!$K$41,0,IF($U174=0,0,IF($U174&lt;1,1/$U174,IF((FA$56-Voorblad!$F$41)/$U174-SUM($EE174:EZ174)=1,1,0))))</f>
        <v>0</v>
      </c>
      <c r="FB174" s="8">
        <f>IF(FB$56-Voorblad!$F$41&gt;Voorblad!$K$41,0,IF($U174=0,0,IF($U174&lt;1,1/$U174,IF((FB$56-Voorblad!$F$41)/$U174-SUM($EE174:FA174)=1,1,0))))</f>
        <v>0</v>
      </c>
      <c r="FC174" s="8">
        <f>IF(FC$56-Voorblad!$F$41&gt;Voorblad!$K$41,0,IF($U174=0,0,IF($U174&lt;1,1/$U174,IF((FC$56-Voorblad!$F$41)/$U174-SUM($EE174:FB174)=1,1,0))))</f>
        <v>0</v>
      </c>
      <c r="FD174" s="8">
        <f>IF(FD$56-Voorblad!$F$41&gt;Voorblad!$K$41,0,IF($U174=0,0,IF($U174&lt;1,1/$U174,IF((FD$56-Voorblad!$F$41)/$U174-SUM($EE174:FC174)=1,1,0))))</f>
        <v>0</v>
      </c>
      <c r="FE174" s="8">
        <f>IF(FE$56-Voorblad!$F$41&gt;Voorblad!$K$41,0,IF($U174=0,0,IF($U174&lt;1,1/$U174,IF((FE$56-Voorblad!$F$41)/$U174-SUM($EE174:FD174)=1,1,0))))</f>
        <v>0</v>
      </c>
      <c r="FF174" s="8">
        <f>IF(FF$56-Voorblad!$F$41&gt;Voorblad!$K$41,0,IF($U174=0,0,IF($U174&lt;1,1/$U174,IF((FF$56-Voorblad!$F$41)/$U174-SUM($EE174:FE174)=1,1,0))))</f>
        <v>0</v>
      </c>
      <c r="FG174" s="8">
        <f>IF(FG$56-Voorblad!$F$41&gt;Voorblad!$K$41,0,IF($U174=0,0,IF($U174&lt;1,1/$U174,IF((FG$56-Voorblad!$F$41)/$U174-SUM($EE174:FF174)=1,1,0))))</f>
        <v>0</v>
      </c>
      <c r="FH174" s="8">
        <f>IF(FH$56-Voorblad!$F$41&gt;Voorblad!$K$41,0,IF($U174=0,0,IF($U174&lt;1,1/$U174,IF((FH$56-Voorblad!$F$41)/$U174-SUM($EE174:FG174)=1,1,0))))</f>
        <v>0</v>
      </c>
      <c r="FI174" s="8">
        <f>IF(FI$56-Voorblad!$F$41&gt;Voorblad!$K$41,0,IF($U174=0,0,IF($U174&lt;1,1/$U174,IF((FI$56-Voorblad!$F$41)/$U174-SUM($EE174:FH174)=1,1,0))))</f>
        <v>0</v>
      </c>
      <c r="FJ174" s="8">
        <f>IF(FJ$56-Voorblad!$F$41&gt;Voorblad!$K$41,0,IF($U174=0,0,IF($U174&lt;1,1/$U174,IF((FJ$56-Voorblad!$F$41)/$U174-SUM($EE174:FI174)=1,1,0))))</f>
        <v>1</v>
      </c>
      <c r="FK174" s="8">
        <f>IF(FK$56-Voorblad!$F$41&gt;Voorblad!$K$41,0,IF($U174=0,0,IF($U174&lt;1,1/$U174,IF((FK$56-Voorblad!$F$41)/$U174-SUM($EE174:FJ174)=1,1,0))))</f>
        <v>0</v>
      </c>
      <c r="FL174" s="8">
        <f>IF(FL$56-Voorblad!$F$41&gt;Voorblad!$K$41,0,IF($U174=0,0,IF($U174&lt;1,1/$U174,IF((FL$56-Voorblad!$F$41)/$U174-SUM($EE174:FK174)=1,1,0))))</f>
        <v>0</v>
      </c>
      <c r="FM174" s="8">
        <f>IF(FM$56-Voorblad!$F$41&gt;Voorblad!$K$41,0,IF($U174=0,0,IF($U174&lt;1,1/$U174,IF((FM$56-Voorblad!$F$41)/$U174-SUM($EE174:FL174)=1,1,0))))</f>
        <v>0</v>
      </c>
      <c r="FN174" s="8">
        <f>IF(FN$56-Voorblad!$F$41&gt;Voorblad!$K$41,0,IF($U174=0,0,IF($U174&lt;1,1/$U174,IF((FN$56-Voorblad!$F$41)/$U174-SUM($EE174:FM174)=1,1,0))))</f>
        <v>0</v>
      </c>
      <c r="FO174" s="8">
        <f>IF(FO$56-Voorblad!$F$41&gt;Voorblad!$K$41,0,IF($U174=0,0,IF($U174&lt;1,1/$U174,IF((FO$56-Voorblad!$F$41)/$U174-SUM($EE174:FN174)=1,1,0))))</f>
        <v>0</v>
      </c>
      <c r="FP174" s="8">
        <f>IF(FP$56-Voorblad!$F$41&gt;Voorblad!$K$41,0,IF($U174=0,0,IF($U174&lt;1,1/$U174,IF((FP$56-Voorblad!$F$41)/$U174-SUM($EE174:FO174)=1,1,0))))</f>
        <v>0</v>
      </c>
      <c r="FQ174" s="8">
        <f>IF(FQ$56-Voorblad!$F$41&gt;Voorblad!$K$41,0,IF($U174=0,0,IF($U174&lt;1,1/$U174,IF((FQ$56-Voorblad!$F$41)/$U174-SUM($EE174:FP174)=1,1,0))))</f>
        <v>0</v>
      </c>
      <c r="FR174" s="8">
        <f>IF(FR$56-Voorblad!$F$41&gt;Voorblad!$K$41,0,IF($U174=0,0,IF($U174&lt;1,1/$U174,IF((FR$56-Voorblad!$F$41)/$U174-SUM($EE174:FQ174)=1,1,0))))</f>
        <v>0</v>
      </c>
      <c r="FS174" s="8">
        <f>IF(FS$56-Voorblad!$F$41&gt;Voorblad!$K$41,0,IF($U174=0,0,IF($U174&lt;1,1/$U174,IF((FS$56-Voorblad!$F$41)/$U174-SUM($EE174:FR174)=1,1,0))))</f>
        <v>0</v>
      </c>
      <c r="FT174" s="8">
        <f>IF(FT$56-Voorblad!$F$41&gt;Voorblad!$K$41,0,IF($U174=0,0,IF($U174&lt;1,1/$U174,IF((FT$56-Voorblad!$F$41)/$U174-SUM($EE174:FS174)=1,1,0))))</f>
        <v>0</v>
      </c>
      <c r="FU174" s="8">
        <f>IF(FU$56-Voorblad!$F$41&gt;Voorblad!$K$41,0,IF($U174=0,0,IF($U174&lt;1,1/$U174,IF((FU$56-Voorblad!$F$41)/$U174-SUM($EE174:FT174)=1,1,0))))</f>
        <v>0</v>
      </c>
      <c r="FV174" s="8">
        <f>IF(FV$56-Voorblad!$F$41&gt;Voorblad!$K$41,0,IF($U174=0,0,IF($U174&lt;1,1/$U174,IF((FV$56-Voorblad!$F$41)/$U174-SUM($EE174:FU174)=1,1,0))))</f>
        <v>0</v>
      </c>
      <c r="FW174" s="8">
        <f>IF(FW$56-Voorblad!$F$41&gt;Voorblad!$K$41,0,IF($U174=0,0,IF($U174&lt;1,1/$U174,IF((FW$56-Voorblad!$F$41)/$U174-SUM($EE174:FV174)=1,1,0))))</f>
        <v>0</v>
      </c>
      <c r="FX174" s="8">
        <f>IF(FX$56-Voorblad!$F$41&gt;Voorblad!$K$41,0,IF($U174=0,0,IF($U174&lt;1,1/$U174,IF((FX$56-Voorblad!$F$41)/$U174-SUM($EE174:FW174)=1,1,0))))</f>
        <v>0</v>
      </c>
      <c r="FY174" s="8">
        <f>IF(FY$56-Voorblad!$F$41&gt;Voorblad!$K$41,0,IF($U174=0,0,IF($U174&lt;1,1/$U174,IF((FY$56-Voorblad!$F$41)/$U174-SUM($EE174:FX174)=1,1,0))))</f>
        <v>0</v>
      </c>
      <c r="FZ174" s="8">
        <f>IF(FZ$56-Voorblad!$F$41&gt;Voorblad!$K$41,0,IF($U174=0,0,IF($U174&lt;1,1/$U174,IF((FZ$56-Voorblad!$F$41)/$U174-SUM($EE174:FY174)=1,1,0))))</f>
        <v>0</v>
      </c>
      <c r="GA174" s="8">
        <f>IF(GA$56-Voorblad!$F$41&gt;Voorblad!$K$41,0,IF($U174=0,0,IF($U174&lt;1,1/$U174,IF((GA$56-Voorblad!$F$41)/$U174-SUM($EE174:FZ174)=1,1,0))))</f>
        <v>0</v>
      </c>
      <c r="GB174" s="8">
        <f>IF(GB$56-Voorblad!$F$41&gt;Voorblad!$K$41,0,IF($U174=0,0,IF($U174&lt;1,1/$U174,IF((GB$56-Voorblad!$F$41)/$U174-SUM($EE174:GA174)=1,1,0))))</f>
        <v>0</v>
      </c>
      <c r="GC174" s="8">
        <f>IF(GC$56-Voorblad!$F$41&gt;Voorblad!$K$41,0,IF($U174=0,0,IF($U174&lt;1,1/$U174,IF((GC$56-Voorblad!$F$41)/$U174-SUM($EE174:GB174)=1,1,0))))</f>
        <v>0</v>
      </c>
      <c r="GD174" s="8">
        <f>IF(GD$56-Voorblad!$F$41&gt;Voorblad!$K$41,0,IF($U174=0,0,IF($U174&lt;1,1/$U174,IF((GD$56-Voorblad!$F$41)/$U174-SUM($EE174:GC174)=1,1,0))))</f>
        <v>0</v>
      </c>
      <c r="GE174" s="8">
        <f>IF(GE$56-Voorblad!$F$41&gt;Voorblad!$K$41,0,IF($U174=0,0,IF($U174&lt;1,1/$U174,IF((GE$56-Voorblad!$F$41)/$U174-SUM($EE174:GD174)=1,1,0))))</f>
        <v>0</v>
      </c>
      <c r="GF174" s="8">
        <f>IF(GF$56-Voorblad!$F$41&gt;Voorblad!$K$41,0,IF($U174=0,0,IF($U174&lt;1,1/$U174,IF((GF$56-Voorblad!$F$41)/$U174-SUM($EE174:GE174)=1,1,0))))</f>
        <v>0</v>
      </c>
      <c r="GG174" s="8">
        <f>IF(GG$56-Voorblad!$F$41&gt;Voorblad!$K$41,0,IF($U174=0,0,IF($U174&lt;1,1/$U174,IF((GG$56-Voorblad!$F$41)/$U174-SUM($EE174:GF174)=1,1,0))))</f>
        <v>0</v>
      </c>
      <c r="GH174" s="8">
        <f>IF(GH$56-Voorblad!$F$41&gt;Voorblad!$K$41,0,IF($U174=0,0,IF($U174&lt;1,1/$U174,IF((GH$56-Voorblad!$F$41)/$U174-SUM($EE174:GG174)=1,1,0))))</f>
        <v>0</v>
      </c>
      <c r="GI174" s="8">
        <f>IF(GI$56-Voorblad!$F$41&gt;Voorblad!$K$41,0,IF($U174=0,0,IF($U174&lt;1,1/$U174,IF((GI$56-Voorblad!$F$41)/$U174-SUM($EE174:GH174)=1,1,0))))</f>
        <v>0</v>
      </c>
      <c r="GJ174" s="8">
        <f>IF(GJ$56-Voorblad!$F$41&gt;Voorblad!$K$41,0,IF($U174=0,0,IF($U174&lt;1,1/$U174,IF((GJ$56-Voorblad!$F$41)/$U174-SUM($EE174:GI174)=1,1,0))))</f>
        <v>0</v>
      </c>
      <c r="GK174" s="8">
        <f>IF(GK$56-Voorblad!$F$41&gt;Voorblad!$K$41,0,IF($U174=0,0,IF($U174&lt;1,1/$U174,IF((GK$56-Voorblad!$F$41)/$U174-SUM($EE174:GJ174)=1,1,0))))</f>
        <v>0</v>
      </c>
      <c r="GL174" s="8">
        <f>IF(GL$56-Voorblad!$F$41&gt;Voorblad!$K$41,0,IF($U174=0,0,IF($U174&lt;1,1/$U174,IF((GL$56-Voorblad!$F$41)/$U174-SUM($EE174:GK174)=1,1,0))))</f>
        <v>0</v>
      </c>
      <c r="GM174" s="8">
        <f>IF(GM$56-Voorblad!$F$41&gt;Voorblad!$K$41,0,IF($U174=0,0,IF($U174&lt;1,1/$U174,IF((GM$56-Voorblad!$F$41)/$U174-SUM($EE174:GL174)=1,1,0))))</f>
        <v>0</v>
      </c>
      <c r="GN174" s="8">
        <f>IF(GN$56-Voorblad!$F$41&gt;Voorblad!$K$41,0,IF($U174=0,0,IF($U174&lt;1,1/$U174,IF((GN$56-Voorblad!$F$41)/$U174-SUM($EE174:GM174)=1,1,0))))</f>
        <v>1</v>
      </c>
      <c r="GO174" s="8">
        <f>IF(GO$56-Voorblad!$F$41&gt;Voorblad!$K$41,0,IF($U174=0,0,IF($U174&lt;1,1/$U174,IF((GO$56-Voorblad!$F$41)/$U174-SUM($EE174:GN174)=1,1,0))))</f>
        <v>0</v>
      </c>
      <c r="GP174" s="8">
        <f>IF(GP$56-Voorblad!$F$41&gt;Voorblad!$K$41,0,IF($U174=0,0,IF($U174&lt;1,1/$U174,IF((GP$56-Voorblad!$F$41)/$U174-SUM($EE174:GO174)=1,1,0))))</f>
        <v>0</v>
      </c>
      <c r="GQ174" s="8">
        <f>IF(GQ$56-Voorblad!$F$41&gt;Voorblad!$K$41,0,IF($U174=0,0,IF($U174&lt;1,1/$U174,IF((GQ$56-Voorblad!$F$41)/$U174-SUM($EE174:GP174)=1,1,0))))</f>
        <v>0</v>
      </c>
      <c r="GR174" s="8">
        <f>IF(GR$56-Voorblad!$F$41&gt;Voorblad!$K$41,0,IF($U174=0,0,IF($U174&lt;1,1/$U174,IF((GR$56-Voorblad!$F$41)/$U174-SUM($EE174:GQ174)=1,1,0))))</f>
        <v>0</v>
      </c>
      <c r="GS174" s="8">
        <f>IF(GS$56-Voorblad!$F$41&gt;Voorblad!$K$41,0,IF($U174=0,0,IF($U174&lt;1,1/$U174,IF((GS$56-Voorblad!$F$41)/$U174-SUM($EE174:GR174)=1,1,0))))</f>
        <v>0</v>
      </c>
      <c r="GT174" s="8">
        <f>IF(GT$56-Voorblad!$F$41&gt;Voorblad!$K$41,0,IF($U174=0,0,IF($U174&lt;1,1/$U174,IF((GT$56-Voorblad!$F$41)/$U174-SUM($EE174:GS174)=1,1,0))))</f>
        <v>0</v>
      </c>
      <c r="GU174" s="8">
        <f>IF(GU$56-Voorblad!$F$41&gt;Voorblad!$K$41,0,IF($U174=0,0,IF($U174&lt;1,1/$U174,IF((GU$56-Voorblad!$F$41)/$U174-SUM($EE174:GT174)=1,1,0))))</f>
        <v>0</v>
      </c>
      <c r="GV174" s="8">
        <f>IF(GV$56-Voorblad!$F$41&gt;Voorblad!$K$41,0,IF($U174=0,0,IF($U174&lt;1,1/$U174,IF((GV$56-Voorblad!$F$41)/$U174-SUM($EE174:GU174)=1,1,0))))</f>
        <v>0</v>
      </c>
      <c r="GW174" s="8">
        <f>IF(GW$56-Voorblad!$F$41&gt;Voorblad!$K$41,0,IF($U174=0,0,IF($U174&lt;1,1/$U174,IF((GW$56-Voorblad!$F$41)/$U174-SUM($EE174:GV174)=1,1,0))))</f>
        <v>0</v>
      </c>
      <c r="GX174" s="8">
        <f>IF(GX$56-Voorblad!$F$41&gt;Voorblad!$K$41,0,IF($U174=0,0,IF($U174&lt;1,1/$U174,IF((GX$56-Voorblad!$F$41)/$U174-SUM($EE174:GW174)=1,1,0))))</f>
        <v>0</v>
      </c>
      <c r="GY174" s="8">
        <f>IF(GY$56-Voorblad!$F$41&gt;Voorblad!$K$41,0,IF($U174=0,0,IF($U174&lt;1,1/$U174,IF((GY$56-Voorblad!$F$41)/$U174-SUM($EE174:GX174)=1,1,0))))</f>
        <v>0</v>
      </c>
      <c r="GZ174" s="8">
        <f>IF(GZ$56-Voorblad!$F$41&gt;Voorblad!$K$41,0,IF($U174=0,0,IF($U174&lt;1,1/$U174,IF((GZ$56-Voorblad!$F$41)/$U174-SUM($EE174:GY174)=1,1,0))))</f>
        <v>0</v>
      </c>
      <c r="HA174" s="8">
        <f>IF(HA$56-Voorblad!$F$41&gt;Voorblad!$K$41,0,IF($U174=0,0,IF($U174&lt;1,1/$U174,IF((HA$56-Voorblad!$F$41)/$U174-SUM($EE174:GZ174)=1,1,0))))</f>
        <v>0</v>
      </c>
      <c r="HB174" s="8">
        <f>IF(HB$56-Voorblad!$F$41&gt;Voorblad!$K$41,0,IF($U174=0,0,IF($U174&lt;1,1/$U174,IF((HB$56-Voorblad!$F$41)/$U174-SUM($EE174:HA174)=1,1,0))))</f>
        <v>0</v>
      </c>
      <c r="HC174" s="8">
        <f>IF(HC$56-Voorblad!$F$41&gt;Voorblad!$K$41,0,IF($U174=0,0,IF($U174&lt;1,1/$U174,IF((HC$56-Voorblad!$F$41)/$U174-SUM($EE174:HB174)=1,1,0))))</f>
        <v>0</v>
      </c>
      <c r="HD174" s="8">
        <f>IF(HD$56-Voorblad!$F$41&gt;Voorblad!$K$41,0,IF($U174=0,0,IF($U174&lt;1,1/$U174,IF((HD$56-Voorblad!$F$41)/$U174-SUM($EE174:HC174)=1,1,0))))</f>
        <v>0</v>
      </c>
      <c r="HE174" s="8">
        <f>IF(HE$56-Voorblad!$F$41&gt;Voorblad!$K$41,0,IF($U174=0,0,IF($U174&lt;1,1/$U174,IF((HE$56-Voorblad!$F$41)/$U174-SUM($EE174:HD174)=1,1,0))))</f>
        <v>0</v>
      </c>
      <c r="HF174" s="8">
        <f>IF(HF$56-Voorblad!$F$41&gt;Voorblad!$K$41,0,IF($U174=0,0,IF($U174&lt;1,1/$U174,IF((HF$56-Voorblad!$F$41)/$U174-SUM($EE174:HE174)=1,1,0))))</f>
        <v>0</v>
      </c>
      <c r="HG174" s="8">
        <f>IF(HG$56-Voorblad!$F$41&gt;Voorblad!$K$41,0,IF($U174=0,0,IF($U174&lt;1,1/$U174,IF((HG$56-Voorblad!$F$41)/$U174-SUM($EE174:HF174)=1,1,0))))</f>
        <v>0</v>
      </c>
      <c r="HH174" s="8">
        <f>IF(HH$56-Voorblad!$F$41&gt;Voorblad!$K$41,0,IF($U174=0,0,IF($U174&lt;1,1/$U174,IF((HH$56-Voorblad!$F$41)/$U174-SUM($EE174:HG174)=1,1,0))))</f>
        <v>0</v>
      </c>
      <c r="HI174" s="8">
        <f>IF(HI$56-Voorblad!$F$41&gt;Voorblad!$K$41,0,IF($U174=0,0,IF($U174&lt;1,1/$U174,IF((HI$56-Voorblad!$F$41)/$U174-SUM($EE174:HH174)=1,1,0))))</f>
        <v>0</v>
      </c>
      <c r="HJ174" s="8">
        <f>IF(HJ$56-Voorblad!$F$41&gt;Voorblad!$K$41,0,IF($U174=0,0,IF($U174&lt;1,1/$U174,IF((HJ$56-Voorblad!$F$41)/$U174-SUM($EE174:HI174)=1,1,0))))</f>
        <v>0</v>
      </c>
      <c r="HK174" s="8">
        <f>IF(HK$56-Voorblad!$F$41&gt;Voorblad!$K$41,0,IF($U174=0,0,IF($U174&lt;1,1/$U174,IF((HK$56-Voorblad!$F$41)/$U174-SUM($EE174:HJ174)=1,1,0))))</f>
        <v>0</v>
      </c>
      <c r="HL174" s="8">
        <f>IF(HL$56-Voorblad!$F$41&gt;Voorblad!$K$41,0,IF($U174=0,0,IF($U174&lt;1,1/$U174,IF((HL$56-Voorblad!$F$41)/$U174-SUM($EE174:HK174)=1,1,0))))</f>
        <v>0</v>
      </c>
      <c r="HM174" s="8">
        <f>IF(HM$56-Voorblad!$F$41&gt;Voorblad!$K$41,0,IF($U174=0,0,IF($U174&lt;1,1/$U174,IF((HM$56-Voorblad!$F$41)/$U174-SUM($EE174:HL174)=1,1,0))))</f>
        <v>0</v>
      </c>
      <c r="HN174" s="8">
        <f>IF(HN$56-Voorblad!$F$41&gt;Voorblad!$K$41,0,IF($U174=0,0,IF($U174&lt;1,1/$U174,IF((HN$56-Voorblad!$F$41)/$U174-SUM($EE174:HM174)=1,1,0))))</f>
        <v>0</v>
      </c>
      <c r="HO174" s="8">
        <f>IF(HO$56-Voorblad!$F$41&gt;Voorblad!$K$41,0,IF($U174=0,0,IF($U174&lt;1,1/$U174,IF((HO$56-Voorblad!$F$41)/$U174-SUM($EE174:HN174)=1,1,0))))</f>
        <v>0</v>
      </c>
      <c r="HP174" s="8">
        <f>IF(HP$56-Voorblad!$F$41&gt;Voorblad!$K$41,0,IF($U174=0,0,IF($U174&lt;1,1/$U174,IF((HP$56-Voorblad!$F$41)/$U174-SUM($EE174:HO174)=1,1,0))))</f>
        <v>0</v>
      </c>
      <c r="HQ174" s="8">
        <f>IF(HQ$56-Voorblad!$F$41&gt;Voorblad!$K$41,0,IF($U174=0,0,IF($U174&lt;1,1/$U174,IF((HQ$56-Voorblad!$F$41)/$U174-SUM($EE174:HP174)=1,1,0))))</f>
        <v>0</v>
      </c>
      <c r="HR174" s="8">
        <f>IF(HR$56-Voorblad!$F$41&gt;Voorblad!$K$41,0,IF($U174=0,0,IF($U174&lt;1,1/$U174,IF((HR$56-Voorblad!$F$41)/$U174-SUM($EE174:HQ174)=1,1,0))))</f>
        <v>0</v>
      </c>
      <c r="HS174" s="8">
        <f>IF(HS$56-Voorblad!$F$41&gt;Voorblad!$K$41,0,IF($U174=0,0,IF($U174&lt;1,1/$U174,IF((HS$56-Voorblad!$F$41)/$U174-SUM($EE174:HR174)=1,1,0))))</f>
        <v>0</v>
      </c>
      <c r="HT174" s="8">
        <f>IF(HT$56-Voorblad!$F$41&gt;Voorblad!$K$41,0,IF($U174=0,0,IF($U174&lt;1,1/$U174,IF((HT$56-Voorblad!$F$41)/$U174-SUM($EE174:HS174)=1,1,0))))</f>
        <v>0</v>
      </c>
      <c r="HU174" s="8">
        <f>IF(HU$56-Voorblad!$F$41&gt;Voorblad!$K$41,0,IF($U174=0,0,IF($U174&lt;1,1/$U174,IF((HU$56-Voorblad!$F$41)/$U174-SUM($EE174:HT174)=1,1,0))))</f>
        <v>0</v>
      </c>
      <c r="HV174" s="8">
        <f>IF(HV$56-Voorblad!$F$41&gt;Voorblad!$K$41,0,IF($U174=0,0,IF($U174&lt;1,1/$U174,IF((HV$56-Voorblad!$F$41)/$U174-SUM($EE174:HU174)=1,1,0))))</f>
        <v>0</v>
      </c>
      <c r="HW174" s="8">
        <f>IF(HW$56-Voorblad!$F$41&gt;Voorblad!$K$41,0,IF($U174=0,0,IF($U174&lt;1,1/$U174,IF((HW$56-Voorblad!$F$41)/$U174-SUM($EE174:HV174)=1,1,0))))</f>
        <v>0</v>
      </c>
      <c r="HX174" s="8">
        <f>IF(HX$56-Voorblad!$F$41&gt;Voorblad!$K$41,0,IF($U174=0,0,IF($U174&lt;1,1/$U174,IF((HX$56-Voorblad!$F$41)/$U174-SUM($EE174:HW174)=1,1,0))))</f>
        <v>0</v>
      </c>
      <c r="HY174" s="8">
        <f>IF(HY$56-Voorblad!$F$41&gt;Voorblad!$K$41,0,IF($U174=0,0,IF($U174&lt;1,1/$U174,IF((HY$56-Voorblad!$F$41)/$U174-SUM($EE174:HX174)=1,1,0))))</f>
        <v>0</v>
      </c>
      <c r="HZ174" s="8">
        <f>IF(HZ$56-Voorblad!$F$41&gt;Voorblad!$K$41,0,IF($U174=0,0,IF($U174&lt;1,1/$U174,IF((HZ$56-Voorblad!$F$41)/$U174-SUM($EE174:HY174)=1,1,0))))</f>
        <v>0</v>
      </c>
      <c r="IA174" s="8">
        <f>IF(IA$56-Voorblad!$F$41&gt;Voorblad!$K$41,0,IF($U174=0,0,IF($U174&lt;1,1/$U174,IF((IA$56-Voorblad!$F$41)/$U174-SUM($EE174:HZ174)=1,1,0))))</f>
        <v>0</v>
      </c>
      <c r="IB174" s="8">
        <f>IF(IB$56-Voorblad!$F$41&gt;Voorblad!$K$41,0,IF($U174=0,0,IF($U174&lt;1,1/$U174,IF((IB$56-Voorblad!$F$41)/$U174-SUM($EE174:IA174)=1,1,0))))</f>
        <v>0</v>
      </c>
    </row>
    <row r="175" spans="2:236" hidden="1" outlineLevel="1" x14ac:dyDescent="0.25">
      <c r="B175" s="1">
        <v>1</v>
      </c>
      <c r="F175" s="1" t="s">
        <v>23</v>
      </c>
      <c r="I175" s="1" t="s">
        <v>193</v>
      </c>
      <c r="K175" s="1" t="s">
        <v>209</v>
      </c>
      <c r="O175" s="1" t="s">
        <v>187</v>
      </c>
      <c r="P175" s="1" t="s">
        <v>181</v>
      </c>
      <c r="Q175" s="81">
        <v>0</v>
      </c>
      <c r="R175" s="1" t="s">
        <v>34</v>
      </c>
      <c r="S175" s="21">
        <f>$H$10*125</f>
        <v>297.5</v>
      </c>
      <c r="T175" s="9">
        <f t="shared" si="194"/>
        <v>0</v>
      </c>
      <c r="U175" s="14">
        <v>30</v>
      </c>
      <c r="V175" s="14"/>
      <c r="Y175" s="9">
        <f t="shared" ref="Y175" si="196">SUM(AE175:EB175)</f>
        <v>0</v>
      </c>
      <c r="Z175" s="82"/>
      <c r="AA175" s="82"/>
      <c r="AC175" s="9">
        <f>$Y175*(Voorblad!$K$44*(1+Voorblad!$K$44)^Voorblad!$K$41)/((1+Voorblad!$K$44)^Voorblad!$K$41-1)</f>
        <v>0</v>
      </c>
      <c r="AE175" s="9">
        <f>EF175*($Q175*$S175)/(1+Voorblad!$K$44)^(AE$56-Voorblad!$F$41)</f>
        <v>0</v>
      </c>
      <c r="AF175" s="9">
        <f>EG175*($Q175*$S175)/(1+Voorblad!$K$44)^(AF$56-Voorblad!$F$41)</f>
        <v>0</v>
      </c>
      <c r="AG175" s="9">
        <f>EH175*($Q175*$S175)/(1+Voorblad!$K$44)^(AG$56-Voorblad!$F$41)</f>
        <v>0</v>
      </c>
      <c r="AH175" s="9">
        <f>EI175*($Q175*$S175)/(1+Voorblad!$K$44)^(AH$56-Voorblad!$F$41)</f>
        <v>0</v>
      </c>
      <c r="AI175" s="9">
        <f>EJ175*($Q175*$S175)/(1+Voorblad!$K$44)^(AI$56-Voorblad!$F$41)</f>
        <v>0</v>
      </c>
      <c r="AJ175" s="9">
        <f>EK175*($Q175*$S175)/(1+Voorblad!$K$44)^(AJ$56-Voorblad!$F$41)</f>
        <v>0</v>
      </c>
      <c r="AK175" s="9">
        <f>EL175*($Q175*$S175)/(1+Voorblad!$K$44)^(AK$56-Voorblad!$F$41)</f>
        <v>0</v>
      </c>
      <c r="AL175" s="9">
        <f>EM175*($Q175*$S175)/(1+Voorblad!$K$44)^(AL$56-Voorblad!$F$41)</f>
        <v>0</v>
      </c>
      <c r="AM175" s="9">
        <f>EN175*($Q175*$S175)/(1+Voorblad!$K$44)^(AM$56-Voorblad!$F$41)</f>
        <v>0</v>
      </c>
      <c r="AN175" s="9">
        <f>EO175*($Q175*$S175)/(1+Voorblad!$K$44)^(AN$56-Voorblad!$F$41)</f>
        <v>0</v>
      </c>
      <c r="AO175" s="9">
        <f>EP175*($Q175*$S175)/(1+Voorblad!$K$44)^(AO$56-Voorblad!$F$41)</f>
        <v>0</v>
      </c>
      <c r="AP175" s="9">
        <f>EQ175*($Q175*$S175)/(1+Voorblad!$K$44)^(AP$56-Voorblad!$F$41)</f>
        <v>0</v>
      </c>
      <c r="AQ175" s="9">
        <f>ER175*($Q175*$S175)/(1+Voorblad!$K$44)^(AQ$56-Voorblad!$F$41)</f>
        <v>0</v>
      </c>
      <c r="AR175" s="9">
        <f>ES175*($Q175*$S175)/(1+Voorblad!$K$44)^(AR$56-Voorblad!$F$41)</f>
        <v>0</v>
      </c>
      <c r="AS175" s="9">
        <f>ET175*($Q175*$S175)/(1+Voorblad!$K$44)^(AS$56-Voorblad!$F$41)</f>
        <v>0</v>
      </c>
      <c r="AT175" s="9">
        <f>EU175*($Q175*$S175)/(1+Voorblad!$K$44)^(AT$56-Voorblad!$F$41)</f>
        <v>0</v>
      </c>
      <c r="AU175" s="9">
        <f>EV175*($Q175*$S175)/(1+Voorblad!$K$44)^(AU$56-Voorblad!$F$41)</f>
        <v>0</v>
      </c>
      <c r="AV175" s="9">
        <f>EW175*($Q175*$S175)/(1+Voorblad!$K$44)^(AV$56-Voorblad!$F$41)</f>
        <v>0</v>
      </c>
      <c r="AW175" s="9">
        <f>EX175*($Q175*$S175)/(1+Voorblad!$K$44)^(AW$56-Voorblad!$F$41)</f>
        <v>0</v>
      </c>
      <c r="AX175" s="9">
        <f>EY175*($Q175*$S175)/(1+Voorblad!$K$44)^(AX$56-Voorblad!$F$41)</f>
        <v>0</v>
      </c>
      <c r="AY175" s="9">
        <f>EZ175*($Q175*$S175)/(1+Voorblad!$K$44)^(AY$56-Voorblad!$F$41)</f>
        <v>0</v>
      </c>
      <c r="AZ175" s="9">
        <f>FA175*($Q175*$S175)/(1+Voorblad!$K$44)^(AZ$56-Voorblad!$F$41)</f>
        <v>0</v>
      </c>
      <c r="BA175" s="9">
        <f>FB175*($Q175*$S175)/(1+Voorblad!$K$44)^(BA$56-Voorblad!$F$41)</f>
        <v>0</v>
      </c>
      <c r="BB175" s="9">
        <f>FC175*($Q175*$S175)/(1+Voorblad!$K$44)^(BB$56-Voorblad!$F$41)</f>
        <v>0</v>
      </c>
      <c r="BC175" s="9">
        <f>FD175*($Q175*$S175)/(1+Voorblad!$K$44)^(BC$56-Voorblad!$F$41)</f>
        <v>0</v>
      </c>
      <c r="BD175" s="9">
        <f>FE175*($Q175*$S175)/(1+Voorblad!$K$44)^(BD$56-Voorblad!$F$41)</f>
        <v>0</v>
      </c>
      <c r="BE175" s="9">
        <f>FF175*($Q175*$S175)/(1+Voorblad!$K$44)^(BE$56-Voorblad!$F$41)</f>
        <v>0</v>
      </c>
      <c r="BF175" s="9">
        <f>FG175*($Q175*$S175)/(1+Voorblad!$K$44)^(BF$56-Voorblad!$F$41)</f>
        <v>0</v>
      </c>
      <c r="BG175" s="9">
        <f>FH175*($Q175*$S175)/(1+Voorblad!$K$44)^(BG$56-Voorblad!$F$41)</f>
        <v>0</v>
      </c>
      <c r="BH175" s="9">
        <f>FI175*($Q175*$S175)/(1+Voorblad!$K$44)^(BH$56-Voorblad!$F$41)</f>
        <v>0</v>
      </c>
      <c r="BI175" s="9">
        <f>FJ175*($Q175*$S175)/(1+Voorblad!$K$44)^(BI$56-Voorblad!$F$41)</f>
        <v>0</v>
      </c>
      <c r="BJ175" s="9">
        <f>FK175*($Q175*$S175)/(1+Voorblad!$K$44)^(BJ$56-Voorblad!$F$41)</f>
        <v>0</v>
      </c>
      <c r="BK175" s="9">
        <f>FL175*($Q175*$S175)/(1+Voorblad!$K$44)^(BK$56-Voorblad!$F$41)</f>
        <v>0</v>
      </c>
      <c r="BL175" s="9">
        <f>FM175*($Q175*$S175)/(1+Voorblad!$K$44)^(BL$56-Voorblad!$F$41)</f>
        <v>0</v>
      </c>
      <c r="BM175" s="9">
        <f>FN175*($Q175*$S175)/(1+Voorblad!$K$44)^(BM$56-Voorblad!$F$41)</f>
        <v>0</v>
      </c>
      <c r="BN175" s="9">
        <f>FO175*($Q175*$S175)/(1+Voorblad!$K$44)^(BN$56-Voorblad!$F$41)</f>
        <v>0</v>
      </c>
      <c r="BO175" s="9">
        <f>FP175*($Q175*$S175)/(1+Voorblad!$K$44)^(BO$56-Voorblad!$F$41)</f>
        <v>0</v>
      </c>
      <c r="BP175" s="9">
        <f>FQ175*($Q175*$S175)/(1+Voorblad!$K$44)^(BP$56-Voorblad!$F$41)</f>
        <v>0</v>
      </c>
      <c r="BQ175" s="9">
        <f>FR175*($Q175*$S175)/(1+Voorblad!$K$44)^(BQ$56-Voorblad!$F$41)</f>
        <v>0</v>
      </c>
      <c r="BR175" s="9">
        <f>FS175*($Q175*$S175)/(1+Voorblad!$K$44)^(BR$56-Voorblad!$F$41)</f>
        <v>0</v>
      </c>
      <c r="BS175" s="9">
        <f>FT175*($Q175*$S175)/(1+Voorblad!$K$44)^(BS$56-Voorblad!$F$41)</f>
        <v>0</v>
      </c>
      <c r="BT175" s="9">
        <f>FU175*($Q175*$S175)/(1+Voorblad!$K$44)^(BT$56-Voorblad!$F$41)</f>
        <v>0</v>
      </c>
      <c r="BU175" s="9">
        <f>FV175*($Q175*$S175)/(1+Voorblad!$K$44)^(BU$56-Voorblad!$F$41)</f>
        <v>0</v>
      </c>
      <c r="BV175" s="9">
        <f>FW175*($Q175*$S175)/(1+Voorblad!$K$44)^(BV$56-Voorblad!$F$41)</f>
        <v>0</v>
      </c>
      <c r="BW175" s="9">
        <f>FX175*($Q175*$S175)/(1+Voorblad!$K$44)^(BW$56-Voorblad!$F$41)</f>
        <v>0</v>
      </c>
      <c r="BX175" s="9">
        <f>FY175*($Q175*$S175)/(1+Voorblad!$K$44)^(BX$56-Voorblad!$F$41)</f>
        <v>0</v>
      </c>
      <c r="BY175" s="9">
        <f>FZ175*($Q175*$S175)/(1+Voorblad!$K$44)^(BY$56-Voorblad!$F$41)</f>
        <v>0</v>
      </c>
      <c r="BZ175" s="9">
        <f>GA175*($Q175*$S175)/(1+Voorblad!$K$44)^(BZ$56-Voorblad!$F$41)</f>
        <v>0</v>
      </c>
      <c r="CA175" s="9">
        <f>GB175*($Q175*$S175)/(1+Voorblad!$K$44)^(CA$56-Voorblad!$F$41)</f>
        <v>0</v>
      </c>
      <c r="CB175" s="9">
        <f>GC175*($Q175*$S175)/(1+Voorblad!$K$44)^(CB$56-Voorblad!$F$41)</f>
        <v>0</v>
      </c>
      <c r="CC175" s="9">
        <f>GD175*($Q175*$S175)/(1+Voorblad!$K$44)^(CC$56-Voorblad!$F$41)</f>
        <v>0</v>
      </c>
      <c r="CD175" s="9">
        <f>GE175*($Q175*$S175)/(1+Voorblad!$K$44)^(CD$56-Voorblad!$F$41)</f>
        <v>0</v>
      </c>
      <c r="CE175" s="9">
        <f>GF175*($Q175*$S175)/(1+Voorblad!$K$44)^(CE$56-Voorblad!$F$41)</f>
        <v>0</v>
      </c>
      <c r="CF175" s="9">
        <f>GG175*($Q175*$S175)/(1+Voorblad!$K$44)^(CF$56-Voorblad!$F$41)</f>
        <v>0</v>
      </c>
      <c r="CG175" s="9">
        <f>GH175*($Q175*$S175)/(1+Voorblad!$K$44)^(CG$56-Voorblad!$F$41)</f>
        <v>0</v>
      </c>
      <c r="CH175" s="9">
        <f>GI175*($Q175*$S175)/(1+Voorblad!$K$44)^(CH$56-Voorblad!$F$41)</f>
        <v>0</v>
      </c>
      <c r="CI175" s="9">
        <f>GJ175*($Q175*$S175)/(1+Voorblad!$K$44)^(CI$56-Voorblad!$F$41)</f>
        <v>0</v>
      </c>
      <c r="CJ175" s="9">
        <f>GK175*($Q175*$S175)/(1+Voorblad!$K$44)^(CJ$56-Voorblad!$F$41)</f>
        <v>0</v>
      </c>
      <c r="CK175" s="9">
        <f>GL175*($Q175*$S175)/(1+Voorblad!$K$44)^(CK$56-Voorblad!$F$41)</f>
        <v>0</v>
      </c>
      <c r="CL175" s="9">
        <f>GM175*($Q175*$S175)/(1+Voorblad!$K$44)^(CL$56-Voorblad!$F$41)</f>
        <v>0</v>
      </c>
      <c r="CM175" s="9">
        <f>GN175*($Q175*$S175)/(1+Voorblad!$K$44)^(CM$56-Voorblad!$F$41)</f>
        <v>0</v>
      </c>
      <c r="CN175" s="9">
        <f>GO175*($Q175*$S175)/(1+Voorblad!$K$44)^(CN$56-Voorblad!$F$41)</f>
        <v>0</v>
      </c>
      <c r="CO175" s="9">
        <f>GP175*($Q175*$S175)/(1+Voorblad!$K$44)^(CO$56-Voorblad!$F$41)</f>
        <v>0</v>
      </c>
      <c r="CP175" s="9">
        <f>GQ175*($Q175*$S175)/(1+Voorblad!$K$44)^(CP$56-Voorblad!$F$41)</f>
        <v>0</v>
      </c>
      <c r="CQ175" s="9">
        <f>GR175*($Q175*$S175)/(1+Voorblad!$K$44)^(CQ$56-Voorblad!$F$41)</f>
        <v>0</v>
      </c>
      <c r="CR175" s="9">
        <f>GS175*($Q175*$S175)/(1+Voorblad!$K$44)^(CR$56-Voorblad!$F$41)</f>
        <v>0</v>
      </c>
      <c r="CS175" s="9">
        <f>GT175*($Q175*$S175)/(1+Voorblad!$K$44)^(CS$56-Voorblad!$F$41)</f>
        <v>0</v>
      </c>
      <c r="CT175" s="9">
        <f>GU175*($Q175*$S175)/(1+Voorblad!$K$44)^(CT$56-Voorblad!$F$41)</f>
        <v>0</v>
      </c>
      <c r="CU175" s="9">
        <f>GV175*($Q175*$S175)/(1+Voorblad!$K$44)^(CU$56-Voorblad!$F$41)</f>
        <v>0</v>
      </c>
      <c r="CV175" s="9">
        <f>GW175*($Q175*$S175)/(1+Voorblad!$K$44)^(CV$56-Voorblad!$F$41)</f>
        <v>0</v>
      </c>
      <c r="CW175" s="9">
        <f>GX175*($Q175*$S175)/(1+Voorblad!$K$44)^(CW$56-Voorblad!$F$41)</f>
        <v>0</v>
      </c>
      <c r="CX175" s="9">
        <f>GY175*($Q175*$S175)/(1+Voorblad!$K$44)^(CX$56-Voorblad!$F$41)</f>
        <v>0</v>
      </c>
      <c r="CY175" s="9">
        <f>GZ175*($Q175*$S175)/(1+Voorblad!$K$44)^(CY$56-Voorblad!$F$41)</f>
        <v>0</v>
      </c>
      <c r="CZ175" s="9">
        <f>HA175*($Q175*$S175)/(1+Voorblad!$K$44)^(CZ$56-Voorblad!$F$41)</f>
        <v>0</v>
      </c>
      <c r="DA175" s="9">
        <f>HB175*($Q175*$S175)/(1+Voorblad!$K$44)^(DA$56-Voorblad!$F$41)</f>
        <v>0</v>
      </c>
      <c r="DB175" s="9">
        <f>HC175*($Q175*$S175)/(1+Voorblad!$K$44)^(DB$56-Voorblad!$F$41)</f>
        <v>0</v>
      </c>
      <c r="DC175" s="9">
        <f>HD175*($Q175*$S175)/(1+Voorblad!$K$44)^(DC$56-Voorblad!$F$41)</f>
        <v>0</v>
      </c>
      <c r="DD175" s="9">
        <f>HE175*($Q175*$S175)/(1+Voorblad!$K$44)^(DD$56-Voorblad!$F$41)</f>
        <v>0</v>
      </c>
      <c r="DE175" s="9">
        <f>HF175*($Q175*$S175)/(1+Voorblad!$K$44)^(DE$56-Voorblad!$F$41)</f>
        <v>0</v>
      </c>
      <c r="DF175" s="9">
        <f>HG175*($Q175*$S175)/(1+Voorblad!$K$44)^(DF$56-Voorblad!$F$41)</f>
        <v>0</v>
      </c>
      <c r="DG175" s="9">
        <f>HH175*($Q175*$S175)/(1+Voorblad!$K$44)^(DG$56-Voorblad!$F$41)</f>
        <v>0</v>
      </c>
      <c r="DH175" s="9">
        <f>HI175*($Q175*$S175)/(1+Voorblad!$K$44)^(DH$56-Voorblad!$F$41)</f>
        <v>0</v>
      </c>
      <c r="DI175" s="9">
        <f>HJ175*($Q175*$S175)/(1+Voorblad!$K$44)^(DI$56-Voorblad!$F$41)</f>
        <v>0</v>
      </c>
      <c r="DJ175" s="9">
        <f>HK175*($Q175*$S175)/(1+Voorblad!$K$44)^(DJ$56-Voorblad!$F$41)</f>
        <v>0</v>
      </c>
      <c r="DK175" s="9">
        <f>HL175*($Q175*$S175)/(1+Voorblad!$K$44)^(DK$56-Voorblad!$F$41)</f>
        <v>0</v>
      </c>
      <c r="DL175" s="9">
        <f>HM175*($Q175*$S175)/(1+Voorblad!$K$44)^(DL$56-Voorblad!$F$41)</f>
        <v>0</v>
      </c>
      <c r="DM175" s="9">
        <f>HN175*($Q175*$S175)/(1+Voorblad!$K$44)^(DM$56-Voorblad!$F$41)</f>
        <v>0</v>
      </c>
      <c r="DN175" s="9">
        <f>HO175*($Q175*$S175)/(1+Voorblad!$K$44)^(DN$56-Voorblad!$F$41)</f>
        <v>0</v>
      </c>
      <c r="DO175" s="9">
        <f>HP175*($Q175*$S175)/(1+Voorblad!$K$44)^(DO$56-Voorblad!$F$41)</f>
        <v>0</v>
      </c>
      <c r="DP175" s="9">
        <f>HQ175*($Q175*$S175)/(1+Voorblad!$K$44)^(DP$56-Voorblad!$F$41)</f>
        <v>0</v>
      </c>
      <c r="DQ175" s="9">
        <f>HR175*($Q175*$S175)/(1+Voorblad!$K$44)^(DQ$56-Voorblad!$F$41)</f>
        <v>0</v>
      </c>
      <c r="DR175" s="9">
        <f>HS175*($Q175*$S175)/(1+Voorblad!$K$44)^(DR$56-Voorblad!$F$41)</f>
        <v>0</v>
      </c>
      <c r="DS175" s="9">
        <f>HT175*($Q175*$S175)/(1+Voorblad!$K$44)^(DS$56-Voorblad!$F$41)</f>
        <v>0</v>
      </c>
      <c r="DT175" s="9">
        <f>HU175*($Q175*$S175)/(1+Voorblad!$K$44)^(DT$56-Voorblad!$F$41)</f>
        <v>0</v>
      </c>
      <c r="DU175" s="9">
        <f>HV175*($Q175*$S175)/(1+Voorblad!$K$44)^(DU$56-Voorblad!$F$41)</f>
        <v>0</v>
      </c>
      <c r="DV175" s="9">
        <f>HW175*($Q175*$S175)/(1+Voorblad!$K$44)^(DV$56-Voorblad!$F$41)</f>
        <v>0</v>
      </c>
      <c r="DW175" s="9">
        <f>HX175*($Q175*$S175)/(1+Voorblad!$K$44)^(DW$56-Voorblad!$F$41)</f>
        <v>0</v>
      </c>
      <c r="DX175" s="9">
        <f>HY175*($Q175*$S175)/(1+Voorblad!$K$44)^(DX$56-Voorblad!$F$41)</f>
        <v>0</v>
      </c>
      <c r="DY175" s="9">
        <f>HZ175*($Q175*$S175)/(1+Voorblad!$K$44)^(DY$56-Voorblad!$F$41)</f>
        <v>0</v>
      </c>
      <c r="DZ175" s="9">
        <f>IA175*($Q175*$S175)/(1+Voorblad!$K$44)^(DZ$56-Voorblad!$F$41)</f>
        <v>0</v>
      </c>
      <c r="EA175" s="9">
        <f>IB175*($Q175*$S175)/(1+Voorblad!$K$44)^(EA$56-Voorblad!$F$41)</f>
        <v>0</v>
      </c>
      <c r="EB175" s="9">
        <f>IC175*($Q175*$S175)/(1+Voorblad!$K$44)^(EB$56-Voorblad!$F$41)</f>
        <v>0</v>
      </c>
      <c r="EE175" s="8">
        <v>0</v>
      </c>
      <c r="EF175" s="8">
        <f>IF(EF$56-Voorblad!$F$41&gt;Voorblad!$K$41,0,IF($U175=0,0,IF($U175&lt;1,1/$U175,IF((EF$56-Voorblad!$F$41)/$U175-SUM($EE175:EE175)=1,1,0))))</f>
        <v>0</v>
      </c>
      <c r="EG175" s="8">
        <f>IF(EG$56-Voorblad!$F$41&gt;Voorblad!$K$41,0,IF($U175=0,0,IF($U175&lt;1,1/$U175,IF((EG$56-Voorblad!$F$41)/$U175-SUM($EE175:EF175)=1,1,0))))</f>
        <v>0</v>
      </c>
      <c r="EH175" s="8">
        <f>IF(EH$56-Voorblad!$F$41&gt;Voorblad!$K$41,0,IF($U175=0,0,IF($U175&lt;1,1/$U175,IF((EH$56-Voorblad!$F$41)/$U175-SUM($EE175:EG175)=1,1,0))))</f>
        <v>0</v>
      </c>
      <c r="EI175" s="8">
        <f>IF(EI$56-Voorblad!$F$41&gt;Voorblad!$K$41,0,IF($U175=0,0,IF($U175&lt;1,1/$U175,IF((EI$56-Voorblad!$F$41)/$U175-SUM($EE175:EH175)=1,1,0))))</f>
        <v>0</v>
      </c>
      <c r="EJ175" s="8">
        <f>IF(EJ$56-Voorblad!$F$41&gt;Voorblad!$K$41,0,IF($U175=0,0,IF($U175&lt;1,1/$U175,IF((EJ$56-Voorblad!$F$41)/$U175-SUM($EE175:EI175)=1,1,0))))</f>
        <v>0</v>
      </c>
      <c r="EK175" s="8">
        <f>IF(EK$56-Voorblad!$F$41&gt;Voorblad!$K$41,0,IF($U175=0,0,IF($U175&lt;1,1/$U175,IF((EK$56-Voorblad!$F$41)/$U175-SUM($EE175:EJ175)=1,1,0))))</f>
        <v>0</v>
      </c>
      <c r="EL175" s="8">
        <f>IF(EL$56-Voorblad!$F$41&gt;Voorblad!$K$41,0,IF($U175=0,0,IF($U175&lt;1,1/$U175,IF((EL$56-Voorblad!$F$41)/$U175-SUM($EE175:EK175)=1,1,0))))</f>
        <v>0</v>
      </c>
      <c r="EM175" s="8">
        <f>IF(EM$56-Voorblad!$F$41&gt;Voorblad!$K$41,0,IF($U175=0,0,IF($U175&lt;1,1/$U175,IF((EM$56-Voorblad!$F$41)/$U175-SUM($EE175:EL175)=1,1,0))))</f>
        <v>0</v>
      </c>
      <c r="EN175" s="8">
        <f>IF(EN$56-Voorblad!$F$41&gt;Voorblad!$K$41,0,IF($U175=0,0,IF($U175&lt;1,1/$U175,IF((EN$56-Voorblad!$F$41)/$U175-SUM($EE175:EM175)=1,1,0))))</f>
        <v>0</v>
      </c>
      <c r="EO175" s="8">
        <f>IF(EO$56-Voorblad!$F$41&gt;Voorblad!$K$41,0,IF($U175=0,0,IF($U175&lt;1,1/$U175,IF((EO$56-Voorblad!$F$41)/$U175-SUM($EE175:EN175)=1,1,0))))</f>
        <v>0</v>
      </c>
      <c r="EP175" s="8">
        <f>IF(EP$56-Voorblad!$F$41&gt;Voorblad!$K$41,0,IF($U175=0,0,IF($U175&lt;1,1/$U175,IF((EP$56-Voorblad!$F$41)/$U175-SUM($EE175:EO175)=1,1,0))))</f>
        <v>0</v>
      </c>
      <c r="EQ175" s="8">
        <f>IF(EQ$56-Voorblad!$F$41&gt;Voorblad!$K$41,0,IF($U175=0,0,IF($U175&lt;1,1/$U175,IF((EQ$56-Voorblad!$F$41)/$U175-SUM($EE175:EP175)=1,1,0))))</f>
        <v>0</v>
      </c>
      <c r="ER175" s="8">
        <f>IF(ER$56-Voorblad!$F$41&gt;Voorblad!$K$41,0,IF($U175=0,0,IF($U175&lt;1,1/$U175,IF((ER$56-Voorblad!$F$41)/$U175-SUM($EE175:EQ175)=1,1,0))))</f>
        <v>0</v>
      </c>
      <c r="ES175" s="8">
        <f>IF(ES$56-Voorblad!$F$41&gt;Voorblad!$K$41,0,IF($U175=0,0,IF($U175&lt;1,1/$U175,IF((ES$56-Voorblad!$F$41)/$U175-SUM($EE175:ER175)=1,1,0))))</f>
        <v>0</v>
      </c>
      <c r="ET175" s="8">
        <f>IF(ET$56-Voorblad!$F$41&gt;Voorblad!$K$41,0,IF($U175=0,0,IF($U175&lt;1,1/$U175,IF((ET$56-Voorblad!$F$41)/$U175-SUM($EE175:ES175)=1,1,0))))</f>
        <v>0</v>
      </c>
      <c r="EU175" s="8">
        <f>IF(EU$56-Voorblad!$F$41&gt;Voorblad!$K$41,0,IF($U175=0,0,IF($U175&lt;1,1/$U175,IF((EU$56-Voorblad!$F$41)/$U175-SUM($EE175:ET175)=1,1,0))))</f>
        <v>0</v>
      </c>
      <c r="EV175" s="8">
        <f>IF(EV$56-Voorblad!$F$41&gt;Voorblad!$K$41,0,IF($U175=0,0,IF($U175&lt;1,1/$U175,IF((EV$56-Voorblad!$F$41)/$U175-SUM($EE175:EU175)=1,1,0))))</f>
        <v>0</v>
      </c>
      <c r="EW175" s="8">
        <f>IF(EW$56-Voorblad!$F$41&gt;Voorblad!$K$41,0,IF($U175=0,0,IF($U175&lt;1,1/$U175,IF((EW$56-Voorblad!$F$41)/$U175-SUM($EE175:EV175)=1,1,0))))</f>
        <v>0</v>
      </c>
      <c r="EX175" s="8">
        <f>IF(EX$56-Voorblad!$F$41&gt;Voorblad!$K$41,0,IF($U175=0,0,IF($U175&lt;1,1/$U175,IF((EX$56-Voorblad!$F$41)/$U175-SUM($EE175:EW175)=1,1,0))))</f>
        <v>0</v>
      </c>
      <c r="EY175" s="8">
        <f>IF(EY$56-Voorblad!$F$41&gt;Voorblad!$K$41,0,IF($U175=0,0,IF($U175&lt;1,1/$U175,IF((EY$56-Voorblad!$F$41)/$U175-SUM($EE175:EX175)=1,1,0))))</f>
        <v>0</v>
      </c>
      <c r="EZ175" s="8">
        <f>IF(EZ$56-Voorblad!$F$41&gt;Voorblad!$K$41,0,IF($U175=0,0,IF($U175&lt;1,1/$U175,IF((EZ$56-Voorblad!$F$41)/$U175-SUM($EE175:EY175)=1,1,0))))</f>
        <v>0</v>
      </c>
      <c r="FA175" s="8">
        <f>IF(FA$56-Voorblad!$F$41&gt;Voorblad!$K$41,0,IF($U175=0,0,IF($U175&lt;1,1/$U175,IF((FA$56-Voorblad!$F$41)/$U175-SUM($EE175:EZ175)=1,1,0))))</f>
        <v>0</v>
      </c>
      <c r="FB175" s="8">
        <f>IF(FB$56-Voorblad!$F$41&gt;Voorblad!$K$41,0,IF($U175=0,0,IF($U175&lt;1,1/$U175,IF((FB$56-Voorblad!$F$41)/$U175-SUM($EE175:FA175)=1,1,0))))</f>
        <v>0</v>
      </c>
      <c r="FC175" s="8">
        <f>IF(FC$56-Voorblad!$F$41&gt;Voorblad!$K$41,0,IF($U175=0,0,IF($U175&lt;1,1/$U175,IF((FC$56-Voorblad!$F$41)/$U175-SUM($EE175:FB175)=1,1,0))))</f>
        <v>0</v>
      </c>
      <c r="FD175" s="8">
        <f>IF(FD$56-Voorblad!$F$41&gt;Voorblad!$K$41,0,IF($U175=0,0,IF($U175&lt;1,1/$U175,IF((FD$56-Voorblad!$F$41)/$U175-SUM($EE175:FC175)=1,1,0))))</f>
        <v>0</v>
      </c>
      <c r="FE175" s="8">
        <f>IF(FE$56-Voorblad!$F$41&gt;Voorblad!$K$41,0,IF($U175=0,0,IF($U175&lt;1,1/$U175,IF((FE$56-Voorblad!$F$41)/$U175-SUM($EE175:FD175)=1,1,0))))</f>
        <v>0</v>
      </c>
      <c r="FF175" s="8">
        <f>IF(FF$56-Voorblad!$F$41&gt;Voorblad!$K$41,0,IF($U175=0,0,IF($U175&lt;1,1/$U175,IF((FF$56-Voorblad!$F$41)/$U175-SUM($EE175:FE175)=1,1,0))))</f>
        <v>0</v>
      </c>
      <c r="FG175" s="8">
        <f>IF(FG$56-Voorblad!$F$41&gt;Voorblad!$K$41,0,IF($U175=0,0,IF($U175&lt;1,1/$U175,IF((FG$56-Voorblad!$F$41)/$U175-SUM($EE175:FF175)=1,1,0))))</f>
        <v>0</v>
      </c>
      <c r="FH175" s="8">
        <f>IF(FH$56-Voorblad!$F$41&gt;Voorblad!$K$41,0,IF($U175=0,0,IF($U175&lt;1,1/$U175,IF((FH$56-Voorblad!$F$41)/$U175-SUM($EE175:FG175)=1,1,0))))</f>
        <v>0</v>
      </c>
      <c r="FI175" s="8">
        <f>IF(FI$56-Voorblad!$F$41&gt;Voorblad!$K$41,0,IF($U175=0,0,IF($U175&lt;1,1/$U175,IF((FI$56-Voorblad!$F$41)/$U175-SUM($EE175:FH175)=1,1,0))))</f>
        <v>0</v>
      </c>
      <c r="FJ175" s="8">
        <f>IF(FJ$56-Voorblad!$F$41&gt;Voorblad!$K$41,0,IF($U175=0,0,IF($U175&lt;1,1/$U175,IF((FJ$56-Voorblad!$F$41)/$U175-SUM($EE175:FI175)=1,1,0))))</f>
        <v>1</v>
      </c>
      <c r="FK175" s="8">
        <f>IF(FK$56-Voorblad!$F$41&gt;Voorblad!$K$41,0,IF($U175=0,0,IF($U175&lt;1,1/$U175,IF((FK$56-Voorblad!$F$41)/$U175-SUM($EE175:FJ175)=1,1,0))))</f>
        <v>0</v>
      </c>
      <c r="FL175" s="8">
        <f>IF(FL$56-Voorblad!$F$41&gt;Voorblad!$K$41,0,IF($U175=0,0,IF($U175&lt;1,1/$U175,IF((FL$56-Voorblad!$F$41)/$U175-SUM($EE175:FK175)=1,1,0))))</f>
        <v>0</v>
      </c>
      <c r="FM175" s="8">
        <f>IF(FM$56-Voorblad!$F$41&gt;Voorblad!$K$41,0,IF($U175=0,0,IF($U175&lt;1,1/$U175,IF((FM$56-Voorblad!$F$41)/$U175-SUM($EE175:FL175)=1,1,0))))</f>
        <v>0</v>
      </c>
      <c r="FN175" s="8">
        <f>IF(FN$56-Voorblad!$F$41&gt;Voorblad!$K$41,0,IF($U175=0,0,IF($U175&lt;1,1/$U175,IF((FN$56-Voorblad!$F$41)/$U175-SUM($EE175:FM175)=1,1,0))))</f>
        <v>0</v>
      </c>
      <c r="FO175" s="8">
        <f>IF(FO$56-Voorblad!$F$41&gt;Voorblad!$K$41,0,IF($U175=0,0,IF($U175&lt;1,1/$U175,IF((FO$56-Voorblad!$F$41)/$U175-SUM($EE175:FN175)=1,1,0))))</f>
        <v>0</v>
      </c>
      <c r="FP175" s="8">
        <f>IF(FP$56-Voorblad!$F$41&gt;Voorblad!$K$41,0,IF($U175=0,0,IF($U175&lt;1,1/$U175,IF((FP$56-Voorblad!$F$41)/$U175-SUM($EE175:FO175)=1,1,0))))</f>
        <v>0</v>
      </c>
      <c r="FQ175" s="8">
        <f>IF(FQ$56-Voorblad!$F$41&gt;Voorblad!$K$41,0,IF($U175=0,0,IF($U175&lt;1,1/$U175,IF((FQ$56-Voorblad!$F$41)/$U175-SUM($EE175:FP175)=1,1,0))))</f>
        <v>0</v>
      </c>
      <c r="FR175" s="8">
        <f>IF(FR$56-Voorblad!$F$41&gt;Voorblad!$K$41,0,IF($U175=0,0,IF($U175&lt;1,1/$U175,IF((FR$56-Voorblad!$F$41)/$U175-SUM($EE175:FQ175)=1,1,0))))</f>
        <v>0</v>
      </c>
      <c r="FS175" s="8">
        <f>IF(FS$56-Voorblad!$F$41&gt;Voorblad!$K$41,0,IF($U175=0,0,IF($U175&lt;1,1/$U175,IF((FS$56-Voorblad!$F$41)/$U175-SUM($EE175:FR175)=1,1,0))))</f>
        <v>0</v>
      </c>
      <c r="FT175" s="8">
        <f>IF(FT$56-Voorblad!$F$41&gt;Voorblad!$K$41,0,IF($U175=0,0,IF($U175&lt;1,1/$U175,IF((FT$56-Voorblad!$F$41)/$U175-SUM($EE175:FS175)=1,1,0))))</f>
        <v>0</v>
      </c>
      <c r="FU175" s="8">
        <f>IF(FU$56-Voorblad!$F$41&gt;Voorblad!$K$41,0,IF($U175=0,0,IF($U175&lt;1,1/$U175,IF((FU$56-Voorblad!$F$41)/$U175-SUM($EE175:FT175)=1,1,0))))</f>
        <v>0</v>
      </c>
      <c r="FV175" s="8">
        <f>IF(FV$56-Voorblad!$F$41&gt;Voorblad!$K$41,0,IF($U175=0,0,IF($U175&lt;1,1/$U175,IF((FV$56-Voorblad!$F$41)/$U175-SUM($EE175:FU175)=1,1,0))))</f>
        <v>0</v>
      </c>
      <c r="FW175" s="8">
        <f>IF(FW$56-Voorblad!$F$41&gt;Voorblad!$K$41,0,IF($U175=0,0,IF($U175&lt;1,1/$U175,IF((FW$56-Voorblad!$F$41)/$U175-SUM($EE175:FV175)=1,1,0))))</f>
        <v>0</v>
      </c>
      <c r="FX175" s="8">
        <f>IF(FX$56-Voorblad!$F$41&gt;Voorblad!$K$41,0,IF($U175=0,0,IF($U175&lt;1,1/$U175,IF((FX$56-Voorblad!$F$41)/$U175-SUM($EE175:FW175)=1,1,0))))</f>
        <v>0</v>
      </c>
      <c r="FY175" s="8">
        <f>IF(FY$56-Voorblad!$F$41&gt;Voorblad!$K$41,0,IF($U175=0,0,IF($U175&lt;1,1/$U175,IF((FY$56-Voorblad!$F$41)/$U175-SUM($EE175:FX175)=1,1,0))))</f>
        <v>0</v>
      </c>
      <c r="FZ175" s="8">
        <f>IF(FZ$56-Voorblad!$F$41&gt;Voorblad!$K$41,0,IF($U175=0,0,IF($U175&lt;1,1/$U175,IF((FZ$56-Voorblad!$F$41)/$U175-SUM($EE175:FY175)=1,1,0))))</f>
        <v>0</v>
      </c>
      <c r="GA175" s="8">
        <f>IF(GA$56-Voorblad!$F$41&gt;Voorblad!$K$41,0,IF($U175=0,0,IF($U175&lt;1,1/$U175,IF((GA$56-Voorblad!$F$41)/$U175-SUM($EE175:FZ175)=1,1,0))))</f>
        <v>0</v>
      </c>
      <c r="GB175" s="8">
        <f>IF(GB$56-Voorblad!$F$41&gt;Voorblad!$K$41,0,IF($U175=0,0,IF($U175&lt;1,1/$U175,IF((GB$56-Voorblad!$F$41)/$U175-SUM($EE175:GA175)=1,1,0))))</f>
        <v>0</v>
      </c>
      <c r="GC175" s="8">
        <f>IF(GC$56-Voorblad!$F$41&gt;Voorblad!$K$41,0,IF($U175=0,0,IF($U175&lt;1,1/$U175,IF((GC$56-Voorblad!$F$41)/$U175-SUM($EE175:GB175)=1,1,0))))</f>
        <v>0</v>
      </c>
      <c r="GD175" s="8">
        <f>IF(GD$56-Voorblad!$F$41&gt;Voorblad!$K$41,0,IF($U175=0,0,IF($U175&lt;1,1/$U175,IF((GD$56-Voorblad!$F$41)/$U175-SUM($EE175:GC175)=1,1,0))))</f>
        <v>0</v>
      </c>
      <c r="GE175" s="8">
        <f>IF(GE$56-Voorblad!$F$41&gt;Voorblad!$K$41,0,IF($U175=0,0,IF($U175&lt;1,1/$U175,IF((GE$56-Voorblad!$F$41)/$U175-SUM($EE175:GD175)=1,1,0))))</f>
        <v>0</v>
      </c>
      <c r="GF175" s="8">
        <f>IF(GF$56-Voorblad!$F$41&gt;Voorblad!$K$41,0,IF($U175=0,0,IF($U175&lt;1,1/$U175,IF((GF$56-Voorblad!$F$41)/$U175-SUM($EE175:GE175)=1,1,0))))</f>
        <v>0</v>
      </c>
      <c r="GG175" s="8">
        <f>IF(GG$56-Voorblad!$F$41&gt;Voorblad!$K$41,0,IF($U175=0,0,IF($U175&lt;1,1/$U175,IF((GG$56-Voorblad!$F$41)/$U175-SUM($EE175:GF175)=1,1,0))))</f>
        <v>0</v>
      </c>
      <c r="GH175" s="8">
        <f>IF(GH$56-Voorblad!$F$41&gt;Voorblad!$K$41,0,IF($U175=0,0,IF($U175&lt;1,1/$U175,IF((GH$56-Voorblad!$F$41)/$U175-SUM($EE175:GG175)=1,1,0))))</f>
        <v>0</v>
      </c>
      <c r="GI175" s="8">
        <f>IF(GI$56-Voorblad!$F$41&gt;Voorblad!$K$41,0,IF($U175=0,0,IF($U175&lt;1,1/$U175,IF((GI$56-Voorblad!$F$41)/$U175-SUM($EE175:GH175)=1,1,0))))</f>
        <v>0</v>
      </c>
      <c r="GJ175" s="8">
        <f>IF(GJ$56-Voorblad!$F$41&gt;Voorblad!$K$41,0,IF($U175=0,0,IF($U175&lt;1,1/$U175,IF((GJ$56-Voorblad!$F$41)/$U175-SUM($EE175:GI175)=1,1,0))))</f>
        <v>0</v>
      </c>
      <c r="GK175" s="8">
        <f>IF(GK$56-Voorblad!$F$41&gt;Voorblad!$K$41,0,IF($U175=0,0,IF($U175&lt;1,1/$U175,IF((GK$56-Voorblad!$F$41)/$U175-SUM($EE175:GJ175)=1,1,0))))</f>
        <v>0</v>
      </c>
      <c r="GL175" s="8">
        <f>IF(GL$56-Voorblad!$F$41&gt;Voorblad!$K$41,0,IF($U175=0,0,IF($U175&lt;1,1/$U175,IF((GL$56-Voorblad!$F$41)/$U175-SUM($EE175:GK175)=1,1,0))))</f>
        <v>0</v>
      </c>
      <c r="GM175" s="8">
        <f>IF(GM$56-Voorblad!$F$41&gt;Voorblad!$K$41,0,IF($U175=0,0,IF($U175&lt;1,1/$U175,IF((GM$56-Voorblad!$F$41)/$U175-SUM($EE175:GL175)=1,1,0))))</f>
        <v>0</v>
      </c>
      <c r="GN175" s="8">
        <f>IF(GN$56-Voorblad!$F$41&gt;Voorblad!$K$41,0,IF($U175=0,0,IF($U175&lt;1,1/$U175,IF((GN$56-Voorblad!$F$41)/$U175-SUM($EE175:GM175)=1,1,0))))</f>
        <v>1</v>
      </c>
      <c r="GO175" s="8">
        <f>IF(GO$56-Voorblad!$F$41&gt;Voorblad!$K$41,0,IF($U175=0,0,IF($U175&lt;1,1/$U175,IF((GO$56-Voorblad!$F$41)/$U175-SUM($EE175:GN175)=1,1,0))))</f>
        <v>0</v>
      </c>
      <c r="GP175" s="8">
        <f>IF(GP$56-Voorblad!$F$41&gt;Voorblad!$K$41,0,IF($U175=0,0,IF($U175&lt;1,1/$U175,IF((GP$56-Voorblad!$F$41)/$U175-SUM($EE175:GO175)=1,1,0))))</f>
        <v>0</v>
      </c>
      <c r="GQ175" s="8">
        <f>IF(GQ$56-Voorblad!$F$41&gt;Voorblad!$K$41,0,IF($U175=0,0,IF($U175&lt;1,1/$U175,IF((GQ$56-Voorblad!$F$41)/$U175-SUM($EE175:GP175)=1,1,0))))</f>
        <v>0</v>
      </c>
      <c r="GR175" s="8">
        <f>IF(GR$56-Voorblad!$F$41&gt;Voorblad!$K$41,0,IF($U175=0,0,IF($U175&lt;1,1/$U175,IF((GR$56-Voorblad!$F$41)/$U175-SUM($EE175:GQ175)=1,1,0))))</f>
        <v>0</v>
      </c>
      <c r="GS175" s="8">
        <f>IF(GS$56-Voorblad!$F$41&gt;Voorblad!$K$41,0,IF($U175=0,0,IF($U175&lt;1,1/$U175,IF((GS$56-Voorblad!$F$41)/$U175-SUM($EE175:GR175)=1,1,0))))</f>
        <v>0</v>
      </c>
      <c r="GT175" s="8">
        <f>IF(GT$56-Voorblad!$F$41&gt;Voorblad!$K$41,0,IF($U175=0,0,IF($U175&lt;1,1/$U175,IF((GT$56-Voorblad!$F$41)/$U175-SUM($EE175:GS175)=1,1,0))))</f>
        <v>0</v>
      </c>
      <c r="GU175" s="8">
        <f>IF(GU$56-Voorblad!$F$41&gt;Voorblad!$K$41,0,IF($U175=0,0,IF($U175&lt;1,1/$U175,IF((GU$56-Voorblad!$F$41)/$U175-SUM($EE175:GT175)=1,1,0))))</f>
        <v>0</v>
      </c>
      <c r="GV175" s="8">
        <f>IF(GV$56-Voorblad!$F$41&gt;Voorblad!$K$41,0,IF($U175=0,0,IF($U175&lt;1,1/$U175,IF((GV$56-Voorblad!$F$41)/$U175-SUM($EE175:GU175)=1,1,0))))</f>
        <v>0</v>
      </c>
      <c r="GW175" s="8">
        <f>IF(GW$56-Voorblad!$F$41&gt;Voorblad!$K$41,0,IF($U175=0,0,IF($U175&lt;1,1/$U175,IF((GW$56-Voorblad!$F$41)/$U175-SUM($EE175:GV175)=1,1,0))))</f>
        <v>0</v>
      </c>
      <c r="GX175" s="8">
        <f>IF(GX$56-Voorblad!$F$41&gt;Voorblad!$K$41,0,IF($U175=0,0,IF($U175&lt;1,1/$U175,IF((GX$56-Voorblad!$F$41)/$U175-SUM($EE175:GW175)=1,1,0))))</f>
        <v>0</v>
      </c>
      <c r="GY175" s="8">
        <f>IF(GY$56-Voorblad!$F$41&gt;Voorblad!$K$41,0,IF($U175=0,0,IF($U175&lt;1,1/$U175,IF((GY$56-Voorblad!$F$41)/$U175-SUM($EE175:GX175)=1,1,0))))</f>
        <v>0</v>
      </c>
      <c r="GZ175" s="8">
        <f>IF(GZ$56-Voorblad!$F$41&gt;Voorblad!$K$41,0,IF($U175=0,0,IF($U175&lt;1,1/$U175,IF((GZ$56-Voorblad!$F$41)/$U175-SUM($EE175:GY175)=1,1,0))))</f>
        <v>0</v>
      </c>
      <c r="HA175" s="8">
        <f>IF(HA$56-Voorblad!$F$41&gt;Voorblad!$K$41,0,IF($U175=0,0,IF($U175&lt;1,1/$U175,IF((HA$56-Voorblad!$F$41)/$U175-SUM($EE175:GZ175)=1,1,0))))</f>
        <v>0</v>
      </c>
      <c r="HB175" s="8">
        <f>IF(HB$56-Voorblad!$F$41&gt;Voorblad!$K$41,0,IF($U175=0,0,IF($U175&lt;1,1/$U175,IF((HB$56-Voorblad!$F$41)/$U175-SUM($EE175:HA175)=1,1,0))))</f>
        <v>0</v>
      </c>
      <c r="HC175" s="8">
        <f>IF(HC$56-Voorblad!$F$41&gt;Voorblad!$K$41,0,IF($U175=0,0,IF($U175&lt;1,1/$U175,IF((HC$56-Voorblad!$F$41)/$U175-SUM($EE175:HB175)=1,1,0))))</f>
        <v>0</v>
      </c>
      <c r="HD175" s="8">
        <f>IF(HD$56-Voorblad!$F$41&gt;Voorblad!$K$41,0,IF($U175=0,0,IF($U175&lt;1,1/$U175,IF((HD$56-Voorblad!$F$41)/$U175-SUM($EE175:HC175)=1,1,0))))</f>
        <v>0</v>
      </c>
      <c r="HE175" s="8">
        <f>IF(HE$56-Voorblad!$F$41&gt;Voorblad!$K$41,0,IF($U175=0,0,IF($U175&lt;1,1/$U175,IF((HE$56-Voorblad!$F$41)/$U175-SUM($EE175:HD175)=1,1,0))))</f>
        <v>0</v>
      </c>
      <c r="HF175" s="8">
        <f>IF(HF$56-Voorblad!$F$41&gt;Voorblad!$K$41,0,IF($U175=0,0,IF($U175&lt;1,1/$U175,IF((HF$56-Voorblad!$F$41)/$U175-SUM($EE175:HE175)=1,1,0))))</f>
        <v>0</v>
      </c>
      <c r="HG175" s="8">
        <f>IF(HG$56-Voorblad!$F$41&gt;Voorblad!$K$41,0,IF($U175=0,0,IF($U175&lt;1,1/$U175,IF((HG$56-Voorblad!$F$41)/$U175-SUM($EE175:HF175)=1,1,0))))</f>
        <v>0</v>
      </c>
      <c r="HH175" s="8">
        <f>IF(HH$56-Voorblad!$F$41&gt;Voorblad!$K$41,0,IF($U175=0,0,IF($U175&lt;1,1/$U175,IF((HH$56-Voorblad!$F$41)/$U175-SUM($EE175:HG175)=1,1,0))))</f>
        <v>0</v>
      </c>
      <c r="HI175" s="8">
        <f>IF(HI$56-Voorblad!$F$41&gt;Voorblad!$K$41,0,IF($U175=0,0,IF($U175&lt;1,1/$U175,IF((HI$56-Voorblad!$F$41)/$U175-SUM($EE175:HH175)=1,1,0))))</f>
        <v>0</v>
      </c>
      <c r="HJ175" s="8">
        <f>IF(HJ$56-Voorblad!$F$41&gt;Voorblad!$K$41,0,IF($U175=0,0,IF($U175&lt;1,1/$U175,IF((HJ$56-Voorblad!$F$41)/$U175-SUM($EE175:HI175)=1,1,0))))</f>
        <v>0</v>
      </c>
      <c r="HK175" s="8">
        <f>IF(HK$56-Voorblad!$F$41&gt;Voorblad!$K$41,0,IF($U175=0,0,IF($U175&lt;1,1/$U175,IF((HK$56-Voorblad!$F$41)/$U175-SUM($EE175:HJ175)=1,1,0))))</f>
        <v>0</v>
      </c>
      <c r="HL175" s="8">
        <f>IF(HL$56-Voorblad!$F$41&gt;Voorblad!$K$41,0,IF($U175=0,0,IF($U175&lt;1,1/$U175,IF((HL$56-Voorblad!$F$41)/$U175-SUM($EE175:HK175)=1,1,0))))</f>
        <v>0</v>
      </c>
      <c r="HM175" s="8">
        <f>IF(HM$56-Voorblad!$F$41&gt;Voorblad!$K$41,0,IF($U175=0,0,IF($U175&lt;1,1/$U175,IF((HM$56-Voorblad!$F$41)/$U175-SUM($EE175:HL175)=1,1,0))))</f>
        <v>0</v>
      </c>
      <c r="HN175" s="8">
        <f>IF(HN$56-Voorblad!$F$41&gt;Voorblad!$K$41,0,IF($U175=0,0,IF($U175&lt;1,1/$U175,IF((HN$56-Voorblad!$F$41)/$U175-SUM($EE175:HM175)=1,1,0))))</f>
        <v>0</v>
      </c>
      <c r="HO175" s="8">
        <f>IF(HO$56-Voorblad!$F$41&gt;Voorblad!$K$41,0,IF($U175=0,0,IF($U175&lt;1,1/$U175,IF((HO$56-Voorblad!$F$41)/$U175-SUM($EE175:HN175)=1,1,0))))</f>
        <v>0</v>
      </c>
      <c r="HP175" s="8">
        <f>IF(HP$56-Voorblad!$F$41&gt;Voorblad!$K$41,0,IF($U175=0,0,IF($U175&lt;1,1/$U175,IF((HP$56-Voorblad!$F$41)/$U175-SUM($EE175:HO175)=1,1,0))))</f>
        <v>0</v>
      </c>
      <c r="HQ175" s="8">
        <f>IF(HQ$56-Voorblad!$F$41&gt;Voorblad!$K$41,0,IF($U175=0,0,IF($U175&lt;1,1/$U175,IF((HQ$56-Voorblad!$F$41)/$U175-SUM($EE175:HP175)=1,1,0))))</f>
        <v>0</v>
      </c>
      <c r="HR175" s="8">
        <f>IF(HR$56-Voorblad!$F$41&gt;Voorblad!$K$41,0,IF($U175=0,0,IF($U175&lt;1,1/$U175,IF((HR$56-Voorblad!$F$41)/$U175-SUM($EE175:HQ175)=1,1,0))))</f>
        <v>0</v>
      </c>
      <c r="HS175" s="8">
        <f>IF(HS$56-Voorblad!$F$41&gt;Voorblad!$K$41,0,IF($U175=0,0,IF($U175&lt;1,1/$U175,IF((HS$56-Voorblad!$F$41)/$U175-SUM($EE175:HR175)=1,1,0))))</f>
        <v>0</v>
      </c>
      <c r="HT175" s="8">
        <f>IF(HT$56-Voorblad!$F$41&gt;Voorblad!$K$41,0,IF($U175=0,0,IF($U175&lt;1,1/$U175,IF((HT$56-Voorblad!$F$41)/$U175-SUM($EE175:HS175)=1,1,0))))</f>
        <v>0</v>
      </c>
      <c r="HU175" s="8">
        <f>IF(HU$56-Voorblad!$F$41&gt;Voorblad!$K$41,0,IF($U175=0,0,IF($U175&lt;1,1/$U175,IF((HU$56-Voorblad!$F$41)/$U175-SUM($EE175:HT175)=1,1,0))))</f>
        <v>0</v>
      </c>
      <c r="HV175" s="8">
        <f>IF(HV$56-Voorblad!$F$41&gt;Voorblad!$K$41,0,IF($U175=0,0,IF($U175&lt;1,1/$U175,IF((HV$56-Voorblad!$F$41)/$U175-SUM($EE175:HU175)=1,1,0))))</f>
        <v>0</v>
      </c>
      <c r="HW175" s="8">
        <f>IF(HW$56-Voorblad!$F$41&gt;Voorblad!$K$41,0,IF($U175=0,0,IF($U175&lt;1,1/$U175,IF((HW$56-Voorblad!$F$41)/$U175-SUM($EE175:HV175)=1,1,0))))</f>
        <v>0</v>
      </c>
      <c r="HX175" s="8">
        <f>IF(HX$56-Voorblad!$F$41&gt;Voorblad!$K$41,0,IF($U175=0,0,IF($U175&lt;1,1/$U175,IF((HX$56-Voorblad!$F$41)/$U175-SUM($EE175:HW175)=1,1,0))))</f>
        <v>0</v>
      </c>
      <c r="HY175" s="8">
        <f>IF(HY$56-Voorblad!$F$41&gt;Voorblad!$K$41,0,IF($U175=0,0,IF($U175&lt;1,1/$U175,IF((HY$56-Voorblad!$F$41)/$U175-SUM($EE175:HX175)=1,1,0))))</f>
        <v>0</v>
      </c>
      <c r="HZ175" s="8">
        <f>IF(HZ$56-Voorblad!$F$41&gt;Voorblad!$K$41,0,IF($U175=0,0,IF($U175&lt;1,1/$U175,IF((HZ$56-Voorblad!$F$41)/$U175-SUM($EE175:HY175)=1,1,0))))</f>
        <v>0</v>
      </c>
      <c r="IA175" s="8">
        <f>IF(IA$56-Voorblad!$F$41&gt;Voorblad!$K$41,0,IF($U175=0,0,IF($U175&lt;1,1/$U175,IF((IA$56-Voorblad!$F$41)/$U175-SUM($EE175:HZ175)=1,1,0))))</f>
        <v>0</v>
      </c>
      <c r="IB175" s="8">
        <f>IF(IB$56-Voorblad!$F$41&gt;Voorblad!$K$41,0,IF($U175=0,0,IF($U175&lt;1,1/$U175,IF((IB$56-Voorblad!$F$41)/$U175-SUM($EE175:IA175)=1,1,0))))</f>
        <v>0</v>
      </c>
    </row>
    <row r="176" spans="2:236" ht="12" hidden="1" customHeight="1" outlineLevel="1" x14ac:dyDescent="0.25">
      <c r="B176" s="1">
        <v>1</v>
      </c>
      <c r="F176" s="1" t="s">
        <v>23</v>
      </c>
      <c r="I176" s="1" t="s">
        <v>193</v>
      </c>
      <c r="K176" s="14" t="s">
        <v>210</v>
      </c>
      <c r="O176" s="1" t="s">
        <v>187</v>
      </c>
      <c r="P176" s="1" t="s">
        <v>182</v>
      </c>
      <c r="Q176" s="81">
        <v>0</v>
      </c>
      <c r="R176" s="1" t="s">
        <v>34</v>
      </c>
      <c r="S176" s="21">
        <f>$H$10*125</f>
        <v>297.5</v>
      </c>
      <c r="T176" s="1">
        <f t="shared" si="194"/>
        <v>0</v>
      </c>
      <c r="U176" s="14">
        <v>30</v>
      </c>
      <c r="V176" s="14"/>
      <c r="Y176" s="9">
        <f t="shared" ref="Y176:Y177" si="197">SUM(AE176:EB176)</f>
        <v>0</v>
      </c>
      <c r="Z176" s="82"/>
      <c r="AA176" s="82"/>
      <c r="AC176" s="9">
        <f>$Y176*(Voorblad!$K$44*(1+Voorblad!$K$44)^Voorblad!$K$41)/((1+Voorblad!$K$44)^Voorblad!$K$41-1)</f>
        <v>0</v>
      </c>
      <c r="AE176" s="9">
        <f>EF176*($Q176*$S176)/(1+Voorblad!$K$44)^(AE$56-Voorblad!$F$41)</f>
        <v>0</v>
      </c>
      <c r="AF176" s="9">
        <f>EG176*($Q176*$S176)/(1+Voorblad!$K$44)^(AF$56-Voorblad!$F$41)</f>
        <v>0</v>
      </c>
      <c r="AG176" s="9">
        <f>EH176*($Q176*$S176)/(1+Voorblad!$K$44)^(AG$56-Voorblad!$F$41)</f>
        <v>0</v>
      </c>
      <c r="AH176" s="9">
        <f>EI176*($Q176*$S176)/(1+Voorblad!$K$44)^(AH$56-Voorblad!$F$41)</f>
        <v>0</v>
      </c>
      <c r="AI176" s="9">
        <f>EJ176*($Q176*$S176)/(1+Voorblad!$K$44)^(AI$56-Voorblad!$F$41)</f>
        <v>0</v>
      </c>
      <c r="AJ176" s="9">
        <f>EK176*($Q176*$S176)/(1+Voorblad!$K$44)^(AJ$56-Voorblad!$F$41)</f>
        <v>0</v>
      </c>
      <c r="AK176" s="9">
        <f>EL176*($Q176*$S176)/(1+Voorblad!$K$44)^(AK$56-Voorblad!$F$41)</f>
        <v>0</v>
      </c>
      <c r="AL176" s="9">
        <f>EM176*($Q176*$S176)/(1+Voorblad!$K$44)^(AL$56-Voorblad!$F$41)</f>
        <v>0</v>
      </c>
      <c r="AM176" s="9">
        <f>EN176*($Q176*$S176)/(1+Voorblad!$K$44)^(AM$56-Voorblad!$F$41)</f>
        <v>0</v>
      </c>
      <c r="AN176" s="9">
        <f>EO176*($Q176*$S176)/(1+Voorblad!$K$44)^(AN$56-Voorblad!$F$41)</f>
        <v>0</v>
      </c>
      <c r="AO176" s="9">
        <f>EP176*($Q176*$S176)/(1+Voorblad!$K$44)^(AO$56-Voorblad!$F$41)</f>
        <v>0</v>
      </c>
      <c r="AP176" s="9">
        <f>EQ176*($Q176*$S176)/(1+Voorblad!$K$44)^(AP$56-Voorblad!$F$41)</f>
        <v>0</v>
      </c>
      <c r="AQ176" s="9">
        <f>ER176*($Q176*$S176)/(1+Voorblad!$K$44)^(AQ$56-Voorblad!$F$41)</f>
        <v>0</v>
      </c>
      <c r="AR176" s="9">
        <f>ES176*($Q176*$S176)/(1+Voorblad!$K$44)^(AR$56-Voorblad!$F$41)</f>
        <v>0</v>
      </c>
      <c r="AS176" s="9">
        <f>ET176*($Q176*$S176)/(1+Voorblad!$K$44)^(AS$56-Voorblad!$F$41)</f>
        <v>0</v>
      </c>
      <c r="AT176" s="9">
        <f>EU176*($Q176*$S176)/(1+Voorblad!$K$44)^(AT$56-Voorblad!$F$41)</f>
        <v>0</v>
      </c>
      <c r="AU176" s="9">
        <f>EV176*($Q176*$S176)/(1+Voorblad!$K$44)^(AU$56-Voorblad!$F$41)</f>
        <v>0</v>
      </c>
      <c r="AV176" s="9">
        <f>EW176*($Q176*$S176)/(1+Voorblad!$K$44)^(AV$56-Voorblad!$F$41)</f>
        <v>0</v>
      </c>
      <c r="AW176" s="9">
        <f>EX176*($Q176*$S176)/(1+Voorblad!$K$44)^(AW$56-Voorblad!$F$41)</f>
        <v>0</v>
      </c>
      <c r="AX176" s="9">
        <f>EY176*($Q176*$S176)/(1+Voorblad!$K$44)^(AX$56-Voorblad!$F$41)</f>
        <v>0</v>
      </c>
      <c r="AY176" s="9">
        <f>EZ176*($Q176*$S176)/(1+Voorblad!$K$44)^(AY$56-Voorblad!$F$41)</f>
        <v>0</v>
      </c>
      <c r="AZ176" s="9">
        <f>FA176*($Q176*$S176)/(1+Voorblad!$K$44)^(AZ$56-Voorblad!$F$41)</f>
        <v>0</v>
      </c>
      <c r="BA176" s="9">
        <f>FB176*($Q176*$S176)/(1+Voorblad!$K$44)^(BA$56-Voorblad!$F$41)</f>
        <v>0</v>
      </c>
      <c r="BB176" s="9">
        <f>FC176*($Q176*$S176)/(1+Voorblad!$K$44)^(BB$56-Voorblad!$F$41)</f>
        <v>0</v>
      </c>
      <c r="BC176" s="9">
        <f>FD176*($Q176*$S176)/(1+Voorblad!$K$44)^(BC$56-Voorblad!$F$41)</f>
        <v>0</v>
      </c>
      <c r="BD176" s="9">
        <f>FE176*($Q176*$S176)/(1+Voorblad!$K$44)^(BD$56-Voorblad!$F$41)</f>
        <v>0</v>
      </c>
      <c r="BE176" s="9">
        <f>FF176*($Q176*$S176)/(1+Voorblad!$K$44)^(BE$56-Voorblad!$F$41)</f>
        <v>0</v>
      </c>
      <c r="BF176" s="9">
        <f>FG176*($Q176*$S176)/(1+Voorblad!$K$44)^(BF$56-Voorblad!$F$41)</f>
        <v>0</v>
      </c>
      <c r="BG176" s="9">
        <f>FH176*($Q176*$S176)/(1+Voorblad!$K$44)^(BG$56-Voorblad!$F$41)</f>
        <v>0</v>
      </c>
      <c r="BH176" s="9">
        <f>FI176*($Q176*$S176)/(1+Voorblad!$K$44)^(BH$56-Voorblad!$F$41)</f>
        <v>0</v>
      </c>
      <c r="BI176" s="9">
        <f>FJ176*($Q176*$S176)/(1+Voorblad!$K$44)^(BI$56-Voorblad!$F$41)</f>
        <v>0</v>
      </c>
      <c r="BJ176" s="9">
        <f>FK176*($Q176*$S176)/(1+Voorblad!$K$44)^(BJ$56-Voorblad!$F$41)</f>
        <v>0</v>
      </c>
      <c r="BK176" s="9">
        <f>FL176*($Q176*$S176)/(1+Voorblad!$K$44)^(BK$56-Voorblad!$F$41)</f>
        <v>0</v>
      </c>
      <c r="BL176" s="9">
        <f>FM176*($Q176*$S176)/(1+Voorblad!$K$44)^(BL$56-Voorblad!$F$41)</f>
        <v>0</v>
      </c>
      <c r="BM176" s="9">
        <f>FN176*($Q176*$S176)/(1+Voorblad!$K$44)^(BM$56-Voorblad!$F$41)</f>
        <v>0</v>
      </c>
      <c r="BN176" s="9">
        <f>FO176*($Q176*$S176)/(1+Voorblad!$K$44)^(BN$56-Voorblad!$F$41)</f>
        <v>0</v>
      </c>
      <c r="BO176" s="9">
        <f>FP176*($Q176*$S176)/(1+Voorblad!$K$44)^(BO$56-Voorblad!$F$41)</f>
        <v>0</v>
      </c>
      <c r="BP176" s="9">
        <f>FQ176*($Q176*$S176)/(1+Voorblad!$K$44)^(BP$56-Voorblad!$F$41)</f>
        <v>0</v>
      </c>
      <c r="BQ176" s="9">
        <f>FR176*($Q176*$S176)/(1+Voorblad!$K$44)^(BQ$56-Voorblad!$F$41)</f>
        <v>0</v>
      </c>
      <c r="BR176" s="9">
        <f>FS176*($Q176*$S176)/(1+Voorblad!$K$44)^(BR$56-Voorblad!$F$41)</f>
        <v>0</v>
      </c>
      <c r="BS176" s="9">
        <f>FT176*($Q176*$S176)/(1+Voorblad!$K$44)^(BS$56-Voorblad!$F$41)</f>
        <v>0</v>
      </c>
      <c r="BT176" s="9">
        <f>FU176*($Q176*$S176)/(1+Voorblad!$K$44)^(BT$56-Voorblad!$F$41)</f>
        <v>0</v>
      </c>
      <c r="BU176" s="9">
        <f>FV176*($Q176*$S176)/(1+Voorblad!$K$44)^(BU$56-Voorblad!$F$41)</f>
        <v>0</v>
      </c>
      <c r="BV176" s="9">
        <f>FW176*($Q176*$S176)/(1+Voorblad!$K$44)^(BV$56-Voorblad!$F$41)</f>
        <v>0</v>
      </c>
      <c r="BW176" s="9">
        <f>FX176*($Q176*$S176)/(1+Voorblad!$K$44)^(BW$56-Voorblad!$F$41)</f>
        <v>0</v>
      </c>
      <c r="BX176" s="9">
        <f>FY176*($Q176*$S176)/(1+Voorblad!$K$44)^(BX$56-Voorblad!$F$41)</f>
        <v>0</v>
      </c>
      <c r="BY176" s="9">
        <f>FZ176*($Q176*$S176)/(1+Voorblad!$K$44)^(BY$56-Voorblad!$F$41)</f>
        <v>0</v>
      </c>
      <c r="BZ176" s="9">
        <f>GA176*($Q176*$S176)/(1+Voorblad!$K$44)^(BZ$56-Voorblad!$F$41)</f>
        <v>0</v>
      </c>
      <c r="CA176" s="9">
        <f>GB176*($Q176*$S176)/(1+Voorblad!$K$44)^(CA$56-Voorblad!$F$41)</f>
        <v>0</v>
      </c>
      <c r="CB176" s="9">
        <f>GC176*($Q176*$S176)/(1+Voorblad!$K$44)^(CB$56-Voorblad!$F$41)</f>
        <v>0</v>
      </c>
      <c r="CC176" s="9">
        <f>GD176*($Q176*$S176)/(1+Voorblad!$K$44)^(CC$56-Voorblad!$F$41)</f>
        <v>0</v>
      </c>
      <c r="CD176" s="9">
        <f>GE176*($Q176*$S176)/(1+Voorblad!$K$44)^(CD$56-Voorblad!$F$41)</f>
        <v>0</v>
      </c>
      <c r="CE176" s="9">
        <f>GF176*($Q176*$S176)/(1+Voorblad!$K$44)^(CE$56-Voorblad!$F$41)</f>
        <v>0</v>
      </c>
      <c r="CF176" s="9">
        <f>GG176*($Q176*$S176)/(1+Voorblad!$K$44)^(CF$56-Voorblad!$F$41)</f>
        <v>0</v>
      </c>
      <c r="CG176" s="9">
        <f>GH176*($Q176*$S176)/(1+Voorblad!$K$44)^(CG$56-Voorblad!$F$41)</f>
        <v>0</v>
      </c>
      <c r="CH176" s="9">
        <f>GI176*($Q176*$S176)/(1+Voorblad!$K$44)^(CH$56-Voorblad!$F$41)</f>
        <v>0</v>
      </c>
      <c r="CI176" s="9">
        <f>GJ176*($Q176*$S176)/(1+Voorblad!$K$44)^(CI$56-Voorblad!$F$41)</f>
        <v>0</v>
      </c>
      <c r="CJ176" s="9">
        <f>GK176*($Q176*$S176)/(1+Voorblad!$K$44)^(CJ$56-Voorblad!$F$41)</f>
        <v>0</v>
      </c>
      <c r="CK176" s="9">
        <f>GL176*($Q176*$S176)/(1+Voorblad!$K$44)^(CK$56-Voorblad!$F$41)</f>
        <v>0</v>
      </c>
      <c r="CL176" s="9">
        <f>GM176*($Q176*$S176)/(1+Voorblad!$K$44)^(CL$56-Voorblad!$F$41)</f>
        <v>0</v>
      </c>
      <c r="CM176" s="9">
        <f>GN176*($Q176*$S176)/(1+Voorblad!$K$44)^(CM$56-Voorblad!$F$41)</f>
        <v>0</v>
      </c>
      <c r="CN176" s="9">
        <f>GO176*($Q176*$S176)/(1+Voorblad!$K$44)^(CN$56-Voorblad!$F$41)</f>
        <v>0</v>
      </c>
      <c r="CO176" s="9">
        <f>GP176*($Q176*$S176)/(1+Voorblad!$K$44)^(CO$56-Voorblad!$F$41)</f>
        <v>0</v>
      </c>
      <c r="CP176" s="9">
        <f>GQ176*($Q176*$S176)/(1+Voorblad!$K$44)^(CP$56-Voorblad!$F$41)</f>
        <v>0</v>
      </c>
      <c r="CQ176" s="9">
        <f>GR176*($Q176*$S176)/(1+Voorblad!$K$44)^(CQ$56-Voorblad!$F$41)</f>
        <v>0</v>
      </c>
      <c r="CR176" s="9">
        <f>GS176*($Q176*$S176)/(1+Voorblad!$K$44)^(CR$56-Voorblad!$F$41)</f>
        <v>0</v>
      </c>
      <c r="CS176" s="9">
        <f>GT176*($Q176*$S176)/(1+Voorblad!$K$44)^(CS$56-Voorblad!$F$41)</f>
        <v>0</v>
      </c>
      <c r="CT176" s="9">
        <f>GU176*($Q176*$S176)/(1+Voorblad!$K$44)^(CT$56-Voorblad!$F$41)</f>
        <v>0</v>
      </c>
      <c r="CU176" s="9">
        <f>GV176*($Q176*$S176)/(1+Voorblad!$K$44)^(CU$56-Voorblad!$F$41)</f>
        <v>0</v>
      </c>
      <c r="CV176" s="9">
        <f>GW176*($Q176*$S176)/(1+Voorblad!$K$44)^(CV$56-Voorblad!$F$41)</f>
        <v>0</v>
      </c>
      <c r="CW176" s="9">
        <f>GX176*($Q176*$S176)/(1+Voorblad!$K$44)^(CW$56-Voorblad!$F$41)</f>
        <v>0</v>
      </c>
      <c r="CX176" s="9">
        <f>GY176*($Q176*$S176)/(1+Voorblad!$K$44)^(CX$56-Voorblad!$F$41)</f>
        <v>0</v>
      </c>
      <c r="CY176" s="9">
        <f>GZ176*($Q176*$S176)/(1+Voorblad!$K$44)^(CY$56-Voorblad!$F$41)</f>
        <v>0</v>
      </c>
      <c r="CZ176" s="9">
        <f>HA176*($Q176*$S176)/(1+Voorblad!$K$44)^(CZ$56-Voorblad!$F$41)</f>
        <v>0</v>
      </c>
      <c r="DA176" s="9">
        <f>HB176*($Q176*$S176)/(1+Voorblad!$K$44)^(DA$56-Voorblad!$F$41)</f>
        <v>0</v>
      </c>
      <c r="DB176" s="9">
        <f>HC176*($Q176*$S176)/(1+Voorblad!$K$44)^(DB$56-Voorblad!$F$41)</f>
        <v>0</v>
      </c>
      <c r="DC176" s="9">
        <f>HD176*($Q176*$S176)/(1+Voorblad!$K$44)^(DC$56-Voorblad!$F$41)</f>
        <v>0</v>
      </c>
      <c r="DD176" s="9">
        <f>HE176*($Q176*$S176)/(1+Voorblad!$K$44)^(DD$56-Voorblad!$F$41)</f>
        <v>0</v>
      </c>
      <c r="DE176" s="9">
        <f>HF176*($Q176*$S176)/(1+Voorblad!$K$44)^(DE$56-Voorblad!$F$41)</f>
        <v>0</v>
      </c>
      <c r="DF176" s="9">
        <f>HG176*($Q176*$S176)/(1+Voorblad!$K$44)^(DF$56-Voorblad!$F$41)</f>
        <v>0</v>
      </c>
      <c r="DG176" s="9">
        <f>HH176*($Q176*$S176)/(1+Voorblad!$K$44)^(DG$56-Voorblad!$F$41)</f>
        <v>0</v>
      </c>
      <c r="DH176" s="9">
        <f>HI176*($Q176*$S176)/(1+Voorblad!$K$44)^(DH$56-Voorblad!$F$41)</f>
        <v>0</v>
      </c>
      <c r="DI176" s="9">
        <f>HJ176*($Q176*$S176)/(1+Voorblad!$K$44)^(DI$56-Voorblad!$F$41)</f>
        <v>0</v>
      </c>
      <c r="DJ176" s="9">
        <f>HK176*($Q176*$S176)/(1+Voorblad!$K$44)^(DJ$56-Voorblad!$F$41)</f>
        <v>0</v>
      </c>
      <c r="DK176" s="9">
        <f>HL176*($Q176*$S176)/(1+Voorblad!$K$44)^(DK$56-Voorblad!$F$41)</f>
        <v>0</v>
      </c>
      <c r="DL176" s="9">
        <f>HM176*($Q176*$S176)/(1+Voorblad!$K$44)^(DL$56-Voorblad!$F$41)</f>
        <v>0</v>
      </c>
      <c r="DM176" s="9">
        <f>HN176*($Q176*$S176)/(1+Voorblad!$K$44)^(DM$56-Voorblad!$F$41)</f>
        <v>0</v>
      </c>
      <c r="DN176" s="9">
        <f>HO176*($Q176*$S176)/(1+Voorblad!$K$44)^(DN$56-Voorblad!$F$41)</f>
        <v>0</v>
      </c>
      <c r="DO176" s="9">
        <f>HP176*($Q176*$S176)/(1+Voorblad!$K$44)^(DO$56-Voorblad!$F$41)</f>
        <v>0</v>
      </c>
      <c r="DP176" s="9">
        <f>HQ176*($Q176*$S176)/(1+Voorblad!$K$44)^(DP$56-Voorblad!$F$41)</f>
        <v>0</v>
      </c>
      <c r="DQ176" s="9">
        <f>HR176*($Q176*$S176)/(1+Voorblad!$K$44)^(DQ$56-Voorblad!$F$41)</f>
        <v>0</v>
      </c>
      <c r="DR176" s="9">
        <f>HS176*($Q176*$S176)/(1+Voorblad!$K$44)^(DR$56-Voorblad!$F$41)</f>
        <v>0</v>
      </c>
      <c r="DS176" s="9">
        <f>HT176*($Q176*$S176)/(1+Voorblad!$K$44)^(DS$56-Voorblad!$F$41)</f>
        <v>0</v>
      </c>
      <c r="DT176" s="9">
        <f>HU176*($Q176*$S176)/(1+Voorblad!$K$44)^(DT$56-Voorblad!$F$41)</f>
        <v>0</v>
      </c>
      <c r="DU176" s="9">
        <f>HV176*($Q176*$S176)/(1+Voorblad!$K$44)^(DU$56-Voorblad!$F$41)</f>
        <v>0</v>
      </c>
      <c r="DV176" s="9">
        <f>HW176*($Q176*$S176)/(1+Voorblad!$K$44)^(DV$56-Voorblad!$F$41)</f>
        <v>0</v>
      </c>
      <c r="DW176" s="9">
        <f>HX176*($Q176*$S176)/(1+Voorblad!$K$44)^(DW$56-Voorblad!$F$41)</f>
        <v>0</v>
      </c>
      <c r="DX176" s="9">
        <f>HY176*($Q176*$S176)/(1+Voorblad!$K$44)^(DX$56-Voorblad!$F$41)</f>
        <v>0</v>
      </c>
      <c r="DY176" s="9">
        <f>HZ176*($Q176*$S176)/(1+Voorblad!$K$44)^(DY$56-Voorblad!$F$41)</f>
        <v>0</v>
      </c>
      <c r="DZ176" s="9">
        <f>IA176*($Q176*$S176)/(1+Voorblad!$K$44)^(DZ$56-Voorblad!$F$41)</f>
        <v>0</v>
      </c>
      <c r="EA176" s="9">
        <f>IB176*($Q176*$S176)/(1+Voorblad!$K$44)^(EA$56-Voorblad!$F$41)</f>
        <v>0</v>
      </c>
      <c r="EB176" s="9">
        <f>IC176*($Q176*$S176)/(1+Voorblad!$K$44)^(EB$56-Voorblad!$F$41)</f>
        <v>0</v>
      </c>
      <c r="EE176" s="8">
        <v>0</v>
      </c>
      <c r="EF176" s="8">
        <f>IF(EF$56-Voorblad!$F$41&gt;Voorblad!$K$41,0,IF($U176=0,0,IF($U176&lt;1,1/$U176,IF((EF$56-Voorblad!$F$41)/$U176-SUM($EE176:EE176)=1,1,0))))</f>
        <v>0</v>
      </c>
      <c r="EG176" s="8">
        <f>IF(EG$56-Voorblad!$F$41&gt;Voorblad!$K$41,0,IF($U176=0,0,IF($U176&lt;1,1/$U176,IF((EG$56-Voorblad!$F$41)/$U176-SUM($EE176:EF176)=1,1,0))))</f>
        <v>0</v>
      </c>
      <c r="EH176" s="8">
        <f>IF(EH$56-Voorblad!$F$41&gt;Voorblad!$K$41,0,IF($U176=0,0,IF($U176&lt;1,1/$U176,IF((EH$56-Voorblad!$F$41)/$U176-SUM($EE176:EG176)=1,1,0))))</f>
        <v>0</v>
      </c>
      <c r="EI176" s="8">
        <f>IF(EI$56-Voorblad!$F$41&gt;Voorblad!$K$41,0,IF($U176=0,0,IF($U176&lt;1,1/$U176,IF((EI$56-Voorblad!$F$41)/$U176-SUM($EE176:EH176)=1,1,0))))</f>
        <v>0</v>
      </c>
      <c r="EJ176" s="8">
        <f>IF(EJ$56-Voorblad!$F$41&gt;Voorblad!$K$41,0,IF($U176=0,0,IF($U176&lt;1,1/$U176,IF((EJ$56-Voorblad!$F$41)/$U176-SUM($EE176:EI176)=1,1,0))))</f>
        <v>0</v>
      </c>
      <c r="EK176" s="8">
        <f>IF(EK$56-Voorblad!$F$41&gt;Voorblad!$K$41,0,IF($U176=0,0,IF($U176&lt;1,1/$U176,IF((EK$56-Voorblad!$F$41)/$U176-SUM($EE176:EJ176)=1,1,0))))</f>
        <v>0</v>
      </c>
      <c r="EL176" s="8">
        <f>IF(EL$56-Voorblad!$F$41&gt;Voorblad!$K$41,0,IF($U176=0,0,IF($U176&lt;1,1/$U176,IF((EL$56-Voorblad!$F$41)/$U176-SUM($EE176:EK176)=1,1,0))))</f>
        <v>0</v>
      </c>
      <c r="EM176" s="8">
        <f>IF(EM$56-Voorblad!$F$41&gt;Voorblad!$K$41,0,IF($U176=0,0,IF($U176&lt;1,1/$U176,IF((EM$56-Voorblad!$F$41)/$U176-SUM($EE176:EL176)=1,1,0))))</f>
        <v>0</v>
      </c>
      <c r="EN176" s="8">
        <f>IF(EN$56-Voorblad!$F$41&gt;Voorblad!$K$41,0,IF($U176=0,0,IF($U176&lt;1,1/$U176,IF((EN$56-Voorblad!$F$41)/$U176-SUM($EE176:EM176)=1,1,0))))</f>
        <v>0</v>
      </c>
      <c r="EO176" s="8">
        <f>IF(EO$56-Voorblad!$F$41&gt;Voorblad!$K$41,0,IF($U176=0,0,IF($U176&lt;1,1/$U176,IF((EO$56-Voorblad!$F$41)/$U176-SUM($EE176:EN176)=1,1,0))))</f>
        <v>0</v>
      </c>
      <c r="EP176" s="8">
        <f>IF(EP$56-Voorblad!$F$41&gt;Voorblad!$K$41,0,IF($U176=0,0,IF($U176&lt;1,1/$U176,IF((EP$56-Voorblad!$F$41)/$U176-SUM($EE176:EO176)=1,1,0))))</f>
        <v>0</v>
      </c>
      <c r="EQ176" s="8">
        <f>IF(EQ$56-Voorblad!$F$41&gt;Voorblad!$K$41,0,IF($U176=0,0,IF($U176&lt;1,1/$U176,IF((EQ$56-Voorblad!$F$41)/$U176-SUM($EE176:EP176)=1,1,0))))</f>
        <v>0</v>
      </c>
      <c r="ER176" s="8">
        <f>IF(ER$56-Voorblad!$F$41&gt;Voorblad!$K$41,0,IF($U176=0,0,IF($U176&lt;1,1/$U176,IF((ER$56-Voorblad!$F$41)/$U176-SUM($EE176:EQ176)=1,1,0))))</f>
        <v>0</v>
      </c>
      <c r="ES176" s="8">
        <f>IF(ES$56-Voorblad!$F$41&gt;Voorblad!$K$41,0,IF($U176=0,0,IF($U176&lt;1,1/$U176,IF((ES$56-Voorblad!$F$41)/$U176-SUM($EE176:ER176)=1,1,0))))</f>
        <v>0</v>
      </c>
      <c r="ET176" s="8">
        <f>IF(ET$56-Voorblad!$F$41&gt;Voorblad!$K$41,0,IF($U176=0,0,IF($U176&lt;1,1/$U176,IF((ET$56-Voorblad!$F$41)/$U176-SUM($EE176:ES176)=1,1,0))))</f>
        <v>0</v>
      </c>
      <c r="EU176" s="8">
        <f>IF(EU$56-Voorblad!$F$41&gt;Voorblad!$K$41,0,IF($U176=0,0,IF($U176&lt;1,1/$U176,IF((EU$56-Voorblad!$F$41)/$U176-SUM($EE176:ET176)=1,1,0))))</f>
        <v>0</v>
      </c>
      <c r="EV176" s="8">
        <f>IF(EV$56-Voorblad!$F$41&gt;Voorblad!$K$41,0,IF($U176=0,0,IF($U176&lt;1,1/$U176,IF((EV$56-Voorblad!$F$41)/$U176-SUM($EE176:EU176)=1,1,0))))</f>
        <v>0</v>
      </c>
      <c r="EW176" s="8">
        <f>IF(EW$56-Voorblad!$F$41&gt;Voorblad!$K$41,0,IF($U176=0,0,IF($U176&lt;1,1/$U176,IF((EW$56-Voorblad!$F$41)/$U176-SUM($EE176:EV176)=1,1,0))))</f>
        <v>0</v>
      </c>
      <c r="EX176" s="8">
        <f>IF(EX$56-Voorblad!$F$41&gt;Voorblad!$K$41,0,IF($U176=0,0,IF($U176&lt;1,1/$U176,IF((EX$56-Voorblad!$F$41)/$U176-SUM($EE176:EW176)=1,1,0))))</f>
        <v>0</v>
      </c>
      <c r="EY176" s="8">
        <f>IF(EY$56-Voorblad!$F$41&gt;Voorblad!$K$41,0,IF($U176=0,0,IF($U176&lt;1,1/$U176,IF((EY$56-Voorblad!$F$41)/$U176-SUM($EE176:EX176)=1,1,0))))</f>
        <v>0</v>
      </c>
      <c r="EZ176" s="8">
        <f>IF(EZ$56-Voorblad!$F$41&gt;Voorblad!$K$41,0,IF($U176=0,0,IF($U176&lt;1,1/$U176,IF((EZ$56-Voorblad!$F$41)/$U176-SUM($EE176:EY176)=1,1,0))))</f>
        <v>0</v>
      </c>
      <c r="FA176" s="8">
        <f>IF(FA$56-Voorblad!$F$41&gt;Voorblad!$K$41,0,IF($U176=0,0,IF($U176&lt;1,1/$U176,IF((FA$56-Voorblad!$F$41)/$U176-SUM($EE176:EZ176)=1,1,0))))</f>
        <v>0</v>
      </c>
      <c r="FB176" s="8">
        <f>IF(FB$56-Voorblad!$F$41&gt;Voorblad!$K$41,0,IF($U176=0,0,IF($U176&lt;1,1/$U176,IF((FB$56-Voorblad!$F$41)/$U176-SUM($EE176:FA176)=1,1,0))))</f>
        <v>0</v>
      </c>
      <c r="FC176" s="8">
        <f>IF(FC$56-Voorblad!$F$41&gt;Voorblad!$K$41,0,IF($U176=0,0,IF($U176&lt;1,1/$U176,IF((FC$56-Voorblad!$F$41)/$U176-SUM($EE176:FB176)=1,1,0))))</f>
        <v>0</v>
      </c>
      <c r="FD176" s="8">
        <f>IF(FD$56-Voorblad!$F$41&gt;Voorblad!$K$41,0,IF($U176=0,0,IF($U176&lt;1,1/$U176,IF((FD$56-Voorblad!$F$41)/$U176-SUM($EE176:FC176)=1,1,0))))</f>
        <v>0</v>
      </c>
      <c r="FE176" s="8">
        <f>IF(FE$56-Voorblad!$F$41&gt;Voorblad!$K$41,0,IF($U176=0,0,IF($U176&lt;1,1/$U176,IF((FE$56-Voorblad!$F$41)/$U176-SUM($EE176:FD176)=1,1,0))))</f>
        <v>0</v>
      </c>
      <c r="FF176" s="8">
        <f>IF(FF$56-Voorblad!$F$41&gt;Voorblad!$K$41,0,IF($U176=0,0,IF($U176&lt;1,1/$U176,IF((FF$56-Voorblad!$F$41)/$U176-SUM($EE176:FE176)=1,1,0))))</f>
        <v>0</v>
      </c>
      <c r="FG176" s="8">
        <f>IF(FG$56-Voorblad!$F$41&gt;Voorblad!$K$41,0,IF($U176=0,0,IF($U176&lt;1,1/$U176,IF((FG$56-Voorblad!$F$41)/$U176-SUM($EE176:FF176)=1,1,0))))</f>
        <v>0</v>
      </c>
      <c r="FH176" s="8">
        <f>IF(FH$56-Voorblad!$F$41&gt;Voorblad!$K$41,0,IF($U176=0,0,IF($U176&lt;1,1/$U176,IF((FH$56-Voorblad!$F$41)/$U176-SUM($EE176:FG176)=1,1,0))))</f>
        <v>0</v>
      </c>
      <c r="FI176" s="8">
        <f>IF(FI$56-Voorblad!$F$41&gt;Voorblad!$K$41,0,IF($U176=0,0,IF($U176&lt;1,1/$U176,IF((FI$56-Voorblad!$F$41)/$U176-SUM($EE176:FH176)=1,1,0))))</f>
        <v>0</v>
      </c>
      <c r="FJ176" s="8">
        <f>IF(FJ$56-Voorblad!$F$41&gt;Voorblad!$K$41,0,IF($U176=0,0,IF($U176&lt;1,1/$U176,IF((FJ$56-Voorblad!$F$41)/$U176-SUM($EE176:FI176)=1,1,0))))</f>
        <v>1</v>
      </c>
      <c r="FK176" s="8">
        <f>IF(FK$56-Voorblad!$F$41&gt;Voorblad!$K$41,0,IF($U176=0,0,IF($U176&lt;1,1/$U176,IF((FK$56-Voorblad!$F$41)/$U176-SUM($EE176:FJ176)=1,1,0))))</f>
        <v>0</v>
      </c>
      <c r="FL176" s="8">
        <f>IF(FL$56-Voorblad!$F$41&gt;Voorblad!$K$41,0,IF($U176=0,0,IF($U176&lt;1,1/$U176,IF((FL$56-Voorblad!$F$41)/$U176-SUM($EE176:FK176)=1,1,0))))</f>
        <v>0</v>
      </c>
      <c r="FM176" s="8">
        <f>IF(FM$56-Voorblad!$F$41&gt;Voorblad!$K$41,0,IF($U176=0,0,IF($U176&lt;1,1/$U176,IF((FM$56-Voorblad!$F$41)/$U176-SUM($EE176:FL176)=1,1,0))))</f>
        <v>0</v>
      </c>
      <c r="FN176" s="8">
        <f>IF(FN$56-Voorblad!$F$41&gt;Voorblad!$K$41,0,IF($U176=0,0,IF($U176&lt;1,1/$U176,IF((FN$56-Voorblad!$F$41)/$U176-SUM($EE176:FM176)=1,1,0))))</f>
        <v>0</v>
      </c>
      <c r="FO176" s="8">
        <f>IF(FO$56-Voorblad!$F$41&gt;Voorblad!$K$41,0,IF($U176=0,0,IF($U176&lt;1,1/$U176,IF((FO$56-Voorblad!$F$41)/$U176-SUM($EE176:FN176)=1,1,0))))</f>
        <v>0</v>
      </c>
      <c r="FP176" s="8">
        <f>IF(FP$56-Voorblad!$F$41&gt;Voorblad!$K$41,0,IF($U176=0,0,IF($U176&lt;1,1/$U176,IF((FP$56-Voorblad!$F$41)/$U176-SUM($EE176:FO176)=1,1,0))))</f>
        <v>0</v>
      </c>
      <c r="FQ176" s="8">
        <f>IF(FQ$56-Voorblad!$F$41&gt;Voorblad!$K$41,0,IF($U176=0,0,IF($U176&lt;1,1/$U176,IF((FQ$56-Voorblad!$F$41)/$U176-SUM($EE176:FP176)=1,1,0))))</f>
        <v>0</v>
      </c>
      <c r="FR176" s="8">
        <f>IF(FR$56-Voorblad!$F$41&gt;Voorblad!$K$41,0,IF($U176=0,0,IF($U176&lt;1,1/$U176,IF((FR$56-Voorblad!$F$41)/$U176-SUM($EE176:FQ176)=1,1,0))))</f>
        <v>0</v>
      </c>
      <c r="FS176" s="8">
        <f>IF(FS$56-Voorblad!$F$41&gt;Voorblad!$K$41,0,IF($U176=0,0,IF($U176&lt;1,1/$U176,IF((FS$56-Voorblad!$F$41)/$U176-SUM($EE176:FR176)=1,1,0))))</f>
        <v>0</v>
      </c>
      <c r="FT176" s="8">
        <f>IF(FT$56-Voorblad!$F$41&gt;Voorblad!$K$41,0,IF($U176=0,0,IF($U176&lt;1,1/$U176,IF((FT$56-Voorblad!$F$41)/$U176-SUM($EE176:FS176)=1,1,0))))</f>
        <v>0</v>
      </c>
      <c r="FU176" s="8">
        <f>IF(FU$56-Voorblad!$F$41&gt;Voorblad!$K$41,0,IF($U176=0,0,IF($U176&lt;1,1/$U176,IF((FU$56-Voorblad!$F$41)/$U176-SUM($EE176:FT176)=1,1,0))))</f>
        <v>0</v>
      </c>
      <c r="FV176" s="8">
        <f>IF(FV$56-Voorblad!$F$41&gt;Voorblad!$K$41,0,IF($U176=0,0,IF($U176&lt;1,1/$U176,IF((FV$56-Voorblad!$F$41)/$U176-SUM($EE176:FU176)=1,1,0))))</f>
        <v>0</v>
      </c>
      <c r="FW176" s="8">
        <f>IF(FW$56-Voorblad!$F$41&gt;Voorblad!$K$41,0,IF($U176=0,0,IF($U176&lt;1,1/$U176,IF((FW$56-Voorblad!$F$41)/$U176-SUM($EE176:FV176)=1,1,0))))</f>
        <v>0</v>
      </c>
      <c r="FX176" s="8">
        <f>IF(FX$56-Voorblad!$F$41&gt;Voorblad!$K$41,0,IF($U176=0,0,IF($U176&lt;1,1/$U176,IF((FX$56-Voorblad!$F$41)/$U176-SUM($EE176:FW176)=1,1,0))))</f>
        <v>0</v>
      </c>
      <c r="FY176" s="8">
        <f>IF(FY$56-Voorblad!$F$41&gt;Voorblad!$K$41,0,IF($U176=0,0,IF($U176&lt;1,1/$U176,IF((FY$56-Voorblad!$F$41)/$U176-SUM($EE176:FX176)=1,1,0))))</f>
        <v>0</v>
      </c>
      <c r="FZ176" s="8">
        <f>IF(FZ$56-Voorblad!$F$41&gt;Voorblad!$K$41,0,IF($U176=0,0,IF($U176&lt;1,1/$U176,IF((FZ$56-Voorblad!$F$41)/$U176-SUM($EE176:FY176)=1,1,0))))</f>
        <v>0</v>
      </c>
      <c r="GA176" s="8">
        <f>IF(GA$56-Voorblad!$F$41&gt;Voorblad!$K$41,0,IF($U176=0,0,IF($U176&lt;1,1/$U176,IF((GA$56-Voorblad!$F$41)/$U176-SUM($EE176:FZ176)=1,1,0))))</f>
        <v>0</v>
      </c>
      <c r="GB176" s="8">
        <f>IF(GB$56-Voorblad!$F$41&gt;Voorblad!$K$41,0,IF($U176=0,0,IF($U176&lt;1,1/$U176,IF((GB$56-Voorblad!$F$41)/$U176-SUM($EE176:GA176)=1,1,0))))</f>
        <v>0</v>
      </c>
      <c r="GC176" s="8">
        <f>IF(GC$56-Voorblad!$F$41&gt;Voorblad!$K$41,0,IF($U176=0,0,IF($U176&lt;1,1/$U176,IF((GC$56-Voorblad!$F$41)/$U176-SUM($EE176:GB176)=1,1,0))))</f>
        <v>0</v>
      </c>
      <c r="GD176" s="8">
        <f>IF(GD$56-Voorblad!$F$41&gt;Voorblad!$K$41,0,IF($U176=0,0,IF($U176&lt;1,1/$U176,IF((GD$56-Voorblad!$F$41)/$U176-SUM($EE176:GC176)=1,1,0))))</f>
        <v>0</v>
      </c>
      <c r="GE176" s="8">
        <f>IF(GE$56-Voorblad!$F$41&gt;Voorblad!$K$41,0,IF($U176=0,0,IF($U176&lt;1,1/$U176,IF((GE$56-Voorblad!$F$41)/$U176-SUM($EE176:GD176)=1,1,0))))</f>
        <v>0</v>
      </c>
      <c r="GF176" s="8">
        <f>IF(GF$56-Voorblad!$F$41&gt;Voorblad!$K$41,0,IF($U176=0,0,IF($U176&lt;1,1/$U176,IF((GF$56-Voorblad!$F$41)/$U176-SUM($EE176:GE176)=1,1,0))))</f>
        <v>0</v>
      </c>
      <c r="GG176" s="8">
        <f>IF(GG$56-Voorblad!$F$41&gt;Voorblad!$K$41,0,IF($U176=0,0,IF($U176&lt;1,1/$U176,IF((GG$56-Voorblad!$F$41)/$U176-SUM($EE176:GF176)=1,1,0))))</f>
        <v>0</v>
      </c>
      <c r="GH176" s="8">
        <f>IF(GH$56-Voorblad!$F$41&gt;Voorblad!$K$41,0,IF($U176=0,0,IF($U176&lt;1,1/$U176,IF((GH$56-Voorblad!$F$41)/$U176-SUM($EE176:GG176)=1,1,0))))</f>
        <v>0</v>
      </c>
      <c r="GI176" s="8">
        <f>IF(GI$56-Voorblad!$F$41&gt;Voorblad!$K$41,0,IF($U176=0,0,IF($U176&lt;1,1/$U176,IF((GI$56-Voorblad!$F$41)/$U176-SUM($EE176:GH176)=1,1,0))))</f>
        <v>0</v>
      </c>
      <c r="GJ176" s="8">
        <f>IF(GJ$56-Voorblad!$F$41&gt;Voorblad!$K$41,0,IF($U176=0,0,IF($U176&lt;1,1/$U176,IF((GJ$56-Voorblad!$F$41)/$U176-SUM($EE176:GI176)=1,1,0))))</f>
        <v>0</v>
      </c>
      <c r="GK176" s="8">
        <f>IF(GK$56-Voorblad!$F$41&gt;Voorblad!$K$41,0,IF($U176=0,0,IF($U176&lt;1,1/$U176,IF((GK$56-Voorblad!$F$41)/$U176-SUM($EE176:GJ176)=1,1,0))))</f>
        <v>0</v>
      </c>
      <c r="GL176" s="8">
        <f>IF(GL$56-Voorblad!$F$41&gt;Voorblad!$K$41,0,IF($U176=0,0,IF($U176&lt;1,1/$U176,IF((GL$56-Voorblad!$F$41)/$U176-SUM($EE176:GK176)=1,1,0))))</f>
        <v>0</v>
      </c>
      <c r="GM176" s="8">
        <f>IF(GM$56-Voorblad!$F$41&gt;Voorblad!$K$41,0,IF($U176=0,0,IF($U176&lt;1,1/$U176,IF((GM$56-Voorblad!$F$41)/$U176-SUM($EE176:GL176)=1,1,0))))</f>
        <v>0</v>
      </c>
      <c r="GN176" s="8">
        <f>IF(GN$56-Voorblad!$F$41&gt;Voorblad!$K$41,0,IF($U176=0,0,IF($U176&lt;1,1/$U176,IF((GN$56-Voorblad!$F$41)/$U176-SUM($EE176:GM176)=1,1,0))))</f>
        <v>1</v>
      </c>
      <c r="GO176" s="8">
        <f>IF(GO$56-Voorblad!$F$41&gt;Voorblad!$K$41,0,IF($U176=0,0,IF($U176&lt;1,1/$U176,IF((GO$56-Voorblad!$F$41)/$U176-SUM($EE176:GN176)=1,1,0))))</f>
        <v>0</v>
      </c>
      <c r="GP176" s="8">
        <f>IF(GP$56-Voorblad!$F$41&gt;Voorblad!$K$41,0,IF($U176=0,0,IF($U176&lt;1,1/$U176,IF((GP$56-Voorblad!$F$41)/$U176-SUM($EE176:GO176)=1,1,0))))</f>
        <v>0</v>
      </c>
      <c r="GQ176" s="8">
        <f>IF(GQ$56-Voorblad!$F$41&gt;Voorblad!$K$41,0,IF($U176=0,0,IF($U176&lt;1,1/$U176,IF((GQ$56-Voorblad!$F$41)/$U176-SUM($EE176:GP176)=1,1,0))))</f>
        <v>0</v>
      </c>
      <c r="GR176" s="8">
        <f>IF(GR$56-Voorblad!$F$41&gt;Voorblad!$K$41,0,IF($U176=0,0,IF($U176&lt;1,1/$U176,IF((GR$56-Voorblad!$F$41)/$U176-SUM($EE176:GQ176)=1,1,0))))</f>
        <v>0</v>
      </c>
      <c r="GS176" s="8">
        <f>IF(GS$56-Voorblad!$F$41&gt;Voorblad!$K$41,0,IF($U176=0,0,IF($U176&lt;1,1/$U176,IF((GS$56-Voorblad!$F$41)/$U176-SUM($EE176:GR176)=1,1,0))))</f>
        <v>0</v>
      </c>
      <c r="GT176" s="8">
        <f>IF(GT$56-Voorblad!$F$41&gt;Voorblad!$K$41,0,IF($U176=0,0,IF($U176&lt;1,1/$U176,IF((GT$56-Voorblad!$F$41)/$U176-SUM($EE176:GS176)=1,1,0))))</f>
        <v>0</v>
      </c>
      <c r="GU176" s="8">
        <f>IF(GU$56-Voorblad!$F$41&gt;Voorblad!$K$41,0,IF($U176=0,0,IF($U176&lt;1,1/$U176,IF((GU$56-Voorblad!$F$41)/$U176-SUM($EE176:GT176)=1,1,0))))</f>
        <v>0</v>
      </c>
      <c r="GV176" s="8">
        <f>IF(GV$56-Voorblad!$F$41&gt;Voorblad!$K$41,0,IF($U176=0,0,IF($U176&lt;1,1/$U176,IF((GV$56-Voorblad!$F$41)/$U176-SUM($EE176:GU176)=1,1,0))))</f>
        <v>0</v>
      </c>
      <c r="GW176" s="8">
        <f>IF(GW$56-Voorblad!$F$41&gt;Voorblad!$K$41,0,IF($U176=0,0,IF($U176&lt;1,1/$U176,IF((GW$56-Voorblad!$F$41)/$U176-SUM($EE176:GV176)=1,1,0))))</f>
        <v>0</v>
      </c>
      <c r="GX176" s="8">
        <f>IF(GX$56-Voorblad!$F$41&gt;Voorblad!$K$41,0,IF($U176=0,0,IF($U176&lt;1,1/$U176,IF((GX$56-Voorblad!$F$41)/$U176-SUM($EE176:GW176)=1,1,0))))</f>
        <v>0</v>
      </c>
      <c r="GY176" s="8">
        <f>IF(GY$56-Voorblad!$F$41&gt;Voorblad!$K$41,0,IF($U176=0,0,IF($U176&lt;1,1/$U176,IF((GY$56-Voorblad!$F$41)/$U176-SUM($EE176:GX176)=1,1,0))))</f>
        <v>0</v>
      </c>
      <c r="GZ176" s="8">
        <f>IF(GZ$56-Voorblad!$F$41&gt;Voorblad!$K$41,0,IF($U176=0,0,IF($U176&lt;1,1/$U176,IF((GZ$56-Voorblad!$F$41)/$U176-SUM($EE176:GY176)=1,1,0))))</f>
        <v>0</v>
      </c>
      <c r="HA176" s="8">
        <f>IF(HA$56-Voorblad!$F$41&gt;Voorblad!$K$41,0,IF($U176=0,0,IF($U176&lt;1,1/$U176,IF((HA$56-Voorblad!$F$41)/$U176-SUM($EE176:GZ176)=1,1,0))))</f>
        <v>0</v>
      </c>
      <c r="HB176" s="8">
        <f>IF(HB$56-Voorblad!$F$41&gt;Voorblad!$K$41,0,IF($U176=0,0,IF($U176&lt;1,1/$U176,IF((HB$56-Voorblad!$F$41)/$U176-SUM($EE176:HA176)=1,1,0))))</f>
        <v>0</v>
      </c>
      <c r="HC176" s="8">
        <f>IF(HC$56-Voorblad!$F$41&gt;Voorblad!$K$41,0,IF($U176=0,0,IF($U176&lt;1,1/$U176,IF((HC$56-Voorblad!$F$41)/$U176-SUM($EE176:HB176)=1,1,0))))</f>
        <v>0</v>
      </c>
      <c r="HD176" s="8">
        <f>IF(HD$56-Voorblad!$F$41&gt;Voorblad!$K$41,0,IF($U176=0,0,IF($U176&lt;1,1/$U176,IF((HD$56-Voorblad!$F$41)/$U176-SUM($EE176:HC176)=1,1,0))))</f>
        <v>0</v>
      </c>
      <c r="HE176" s="8">
        <f>IF(HE$56-Voorblad!$F$41&gt;Voorblad!$K$41,0,IF($U176=0,0,IF($U176&lt;1,1/$U176,IF((HE$56-Voorblad!$F$41)/$U176-SUM($EE176:HD176)=1,1,0))))</f>
        <v>0</v>
      </c>
      <c r="HF176" s="8">
        <f>IF(HF$56-Voorblad!$F$41&gt;Voorblad!$K$41,0,IF($U176=0,0,IF($U176&lt;1,1/$U176,IF((HF$56-Voorblad!$F$41)/$U176-SUM($EE176:HE176)=1,1,0))))</f>
        <v>0</v>
      </c>
      <c r="HG176" s="8">
        <f>IF(HG$56-Voorblad!$F$41&gt;Voorblad!$K$41,0,IF($U176=0,0,IF($U176&lt;1,1/$U176,IF((HG$56-Voorblad!$F$41)/$U176-SUM($EE176:HF176)=1,1,0))))</f>
        <v>0</v>
      </c>
      <c r="HH176" s="8">
        <f>IF(HH$56-Voorblad!$F$41&gt;Voorblad!$K$41,0,IF($U176=0,0,IF($U176&lt;1,1/$U176,IF((HH$56-Voorblad!$F$41)/$U176-SUM($EE176:HG176)=1,1,0))))</f>
        <v>0</v>
      </c>
      <c r="HI176" s="8">
        <f>IF(HI$56-Voorblad!$F$41&gt;Voorblad!$K$41,0,IF($U176=0,0,IF($U176&lt;1,1/$U176,IF((HI$56-Voorblad!$F$41)/$U176-SUM($EE176:HH176)=1,1,0))))</f>
        <v>0</v>
      </c>
      <c r="HJ176" s="8">
        <f>IF(HJ$56-Voorblad!$F$41&gt;Voorblad!$K$41,0,IF($U176=0,0,IF($U176&lt;1,1/$U176,IF((HJ$56-Voorblad!$F$41)/$U176-SUM($EE176:HI176)=1,1,0))))</f>
        <v>0</v>
      </c>
      <c r="HK176" s="8">
        <f>IF(HK$56-Voorblad!$F$41&gt;Voorblad!$K$41,0,IF($U176=0,0,IF($U176&lt;1,1/$U176,IF((HK$56-Voorblad!$F$41)/$U176-SUM($EE176:HJ176)=1,1,0))))</f>
        <v>0</v>
      </c>
      <c r="HL176" s="8">
        <f>IF(HL$56-Voorblad!$F$41&gt;Voorblad!$K$41,0,IF($U176=0,0,IF($U176&lt;1,1/$U176,IF((HL$56-Voorblad!$F$41)/$U176-SUM($EE176:HK176)=1,1,0))))</f>
        <v>0</v>
      </c>
      <c r="HM176" s="8">
        <f>IF(HM$56-Voorblad!$F$41&gt;Voorblad!$K$41,0,IF($U176=0,0,IF($U176&lt;1,1/$U176,IF((HM$56-Voorblad!$F$41)/$U176-SUM($EE176:HL176)=1,1,0))))</f>
        <v>0</v>
      </c>
      <c r="HN176" s="8">
        <f>IF(HN$56-Voorblad!$F$41&gt;Voorblad!$K$41,0,IF($U176=0,0,IF($U176&lt;1,1/$U176,IF((HN$56-Voorblad!$F$41)/$U176-SUM($EE176:HM176)=1,1,0))))</f>
        <v>0</v>
      </c>
      <c r="HO176" s="8">
        <f>IF(HO$56-Voorblad!$F$41&gt;Voorblad!$K$41,0,IF($U176=0,0,IF($U176&lt;1,1/$U176,IF((HO$56-Voorblad!$F$41)/$U176-SUM($EE176:HN176)=1,1,0))))</f>
        <v>0</v>
      </c>
      <c r="HP176" s="8">
        <f>IF(HP$56-Voorblad!$F$41&gt;Voorblad!$K$41,0,IF($U176=0,0,IF($U176&lt;1,1/$U176,IF((HP$56-Voorblad!$F$41)/$U176-SUM($EE176:HO176)=1,1,0))))</f>
        <v>0</v>
      </c>
      <c r="HQ176" s="8">
        <f>IF(HQ$56-Voorblad!$F$41&gt;Voorblad!$K$41,0,IF($U176=0,0,IF($U176&lt;1,1/$U176,IF((HQ$56-Voorblad!$F$41)/$U176-SUM($EE176:HP176)=1,1,0))))</f>
        <v>0</v>
      </c>
      <c r="HR176" s="8">
        <f>IF(HR$56-Voorblad!$F$41&gt;Voorblad!$K$41,0,IF($U176=0,0,IF($U176&lt;1,1/$U176,IF((HR$56-Voorblad!$F$41)/$U176-SUM($EE176:HQ176)=1,1,0))))</f>
        <v>0</v>
      </c>
      <c r="HS176" s="8">
        <f>IF(HS$56-Voorblad!$F$41&gt;Voorblad!$K$41,0,IF($U176=0,0,IF($U176&lt;1,1/$U176,IF((HS$56-Voorblad!$F$41)/$U176-SUM($EE176:HR176)=1,1,0))))</f>
        <v>0</v>
      </c>
      <c r="HT176" s="8">
        <f>IF(HT$56-Voorblad!$F$41&gt;Voorblad!$K$41,0,IF($U176=0,0,IF($U176&lt;1,1/$U176,IF((HT$56-Voorblad!$F$41)/$U176-SUM($EE176:HS176)=1,1,0))))</f>
        <v>0</v>
      </c>
      <c r="HU176" s="8">
        <f>IF(HU$56-Voorblad!$F$41&gt;Voorblad!$K$41,0,IF($U176=0,0,IF($U176&lt;1,1/$U176,IF((HU$56-Voorblad!$F$41)/$U176-SUM($EE176:HT176)=1,1,0))))</f>
        <v>0</v>
      </c>
      <c r="HV176" s="8">
        <f>IF(HV$56-Voorblad!$F$41&gt;Voorblad!$K$41,0,IF($U176=0,0,IF($U176&lt;1,1/$U176,IF((HV$56-Voorblad!$F$41)/$U176-SUM($EE176:HU176)=1,1,0))))</f>
        <v>0</v>
      </c>
      <c r="HW176" s="8">
        <f>IF(HW$56-Voorblad!$F$41&gt;Voorblad!$K$41,0,IF($U176=0,0,IF($U176&lt;1,1/$U176,IF((HW$56-Voorblad!$F$41)/$U176-SUM($EE176:HV176)=1,1,0))))</f>
        <v>0</v>
      </c>
      <c r="HX176" s="8">
        <f>IF(HX$56-Voorblad!$F$41&gt;Voorblad!$K$41,0,IF($U176=0,0,IF($U176&lt;1,1/$U176,IF((HX$56-Voorblad!$F$41)/$U176-SUM($EE176:HW176)=1,1,0))))</f>
        <v>0</v>
      </c>
      <c r="HY176" s="8">
        <f>IF(HY$56-Voorblad!$F$41&gt;Voorblad!$K$41,0,IF($U176=0,0,IF($U176&lt;1,1/$U176,IF((HY$56-Voorblad!$F$41)/$U176-SUM($EE176:HX176)=1,1,0))))</f>
        <v>0</v>
      </c>
      <c r="HZ176" s="8">
        <f>IF(HZ$56-Voorblad!$F$41&gt;Voorblad!$K$41,0,IF($U176=0,0,IF($U176&lt;1,1/$U176,IF((HZ$56-Voorblad!$F$41)/$U176-SUM($EE176:HY176)=1,1,0))))</f>
        <v>0</v>
      </c>
      <c r="IA176" s="8">
        <f>IF(IA$56-Voorblad!$F$41&gt;Voorblad!$K$41,0,IF($U176=0,0,IF($U176&lt;1,1/$U176,IF((IA$56-Voorblad!$F$41)/$U176-SUM($EE176:HZ176)=1,1,0))))</f>
        <v>0</v>
      </c>
      <c r="IB176" s="8">
        <f>IF(IB$56-Voorblad!$F$41&gt;Voorblad!$K$41,0,IF($U176=0,0,IF($U176&lt;1,1/$U176,IF((IB$56-Voorblad!$F$41)/$U176-SUM($EE176:IA176)=1,1,0))))</f>
        <v>0</v>
      </c>
    </row>
    <row r="177" spans="2:236" ht="12" hidden="1" customHeight="1" outlineLevel="1" x14ac:dyDescent="0.25">
      <c r="B177" s="1">
        <v>1</v>
      </c>
      <c r="F177" s="1" t="s">
        <v>23</v>
      </c>
      <c r="I177" s="1" t="s">
        <v>193</v>
      </c>
      <c r="K177" s="14" t="s">
        <v>208</v>
      </c>
      <c r="O177" s="1" t="s">
        <v>187</v>
      </c>
      <c r="P177" s="1" t="s">
        <v>183</v>
      </c>
      <c r="Q177" s="81">
        <v>0</v>
      </c>
      <c r="R177" s="1" t="s">
        <v>35</v>
      </c>
      <c r="S177" s="21">
        <f>$H$10*0.6*125</f>
        <v>178.5</v>
      </c>
      <c r="T177" s="1">
        <f t="shared" si="194"/>
        <v>0</v>
      </c>
      <c r="U177" s="14">
        <v>30</v>
      </c>
      <c r="V177" s="14"/>
      <c r="Y177" s="9">
        <f t="shared" si="197"/>
        <v>0</v>
      </c>
      <c r="Z177" s="82"/>
      <c r="AA177" s="82"/>
      <c r="AC177" s="9">
        <f>$Y177*(Voorblad!$K$44*(1+Voorblad!$K$44)^Voorblad!$K$41)/((1+Voorblad!$K$44)^Voorblad!$K$41-1)</f>
        <v>0</v>
      </c>
      <c r="AE177" s="9">
        <f>EF177*($Q177*$S177)/(1+Voorblad!$K$44)^(AE$56-Voorblad!$F$41)</f>
        <v>0</v>
      </c>
      <c r="AF177" s="9">
        <f>EG177*($Q177*$S177)/(1+Voorblad!$K$44)^(AF$56-Voorblad!$F$41)</f>
        <v>0</v>
      </c>
      <c r="AG177" s="9">
        <f>EH177*($Q177*$S177)/(1+Voorblad!$K$44)^(AG$56-Voorblad!$F$41)</f>
        <v>0</v>
      </c>
      <c r="AH177" s="9">
        <f>EI177*($Q177*$S177)/(1+Voorblad!$K$44)^(AH$56-Voorblad!$F$41)</f>
        <v>0</v>
      </c>
      <c r="AI177" s="9">
        <f>EJ177*($Q177*$S177)/(1+Voorblad!$K$44)^(AI$56-Voorblad!$F$41)</f>
        <v>0</v>
      </c>
      <c r="AJ177" s="9">
        <f>EK177*($Q177*$S177)/(1+Voorblad!$K$44)^(AJ$56-Voorblad!$F$41)</f>
        <v>0</v>
      </c>
      <c r="AK177" s="9">
        <f>EL177*($Q177*$S177)/(1+Voorblad!$K$44)^(AK$56-Voorblad!$F$41)</f>
        <v>0</v>
      </c>
      <c r="AL177" s="9">
        <f>EM177*($Q177*$S177)/(1+Voorblad!$K$44)^(AL$56-Voorblad!$F$41)</f>
        <v>0</v>
      </c>
      <c r="AM177" s="9">
        <f>EN177*($Q177*$S177)/(1+Voorblad!$K$44)^(AM$56-Voorblad!$F$41)</f>
        <v>0</v>
      </c>
      <c r="AN177" s="9">
        <f>EO177*($Q177*$S177)/(1+Voorblad!$K$44)^(AN$56-Voorblad!$F$41)</f>
        <v>0</v>
      </c>
      <c r="AO177" s="9">
        <f>EP177*($Q177*$S177)/(1+Voorblad!$K$44)^(AO$56-Voorblad!$F$41)</f>
        <v>0</v>
      </c>
      <c r="AP177" s="9">
        <f>EQ177*($Q177*$S177)/(1+Voorblad!$K$44)^(AP$56-Voorblad!$F$41)</f>
        <v>0</v>
      </c>
      <c r="AQ177" s="9">
        <f>ER177*($Q177*$S177)/(1+Voorblad!$K$44)^(AQ$56-Voorblad!$F$41)</f>
        <v>0</v>
      </c>
      <c r="AR177" s="9">
        <f>ES177*($Q177*$S177)/(1+Voorblad!$K$44)^(AR$56-Voorblad!$F$41)</f>
        <v>0</v>
      </c>
      <c r="AS177" s="9">
        <f>ET177*($Q177*$S177)/(1+Voorblad!$K$44)^(AS$56-Voorblad!$F$41)</f>
        <v>0</v>
      </c>
      <c r="AT177" s="9">
        <f>EU177*($Q177*$S177)/(1+Voorblad!$K$44)^(AT$56-Voorblad!$F$41)</f>
        <v>0</v>
      </c>
      <c r="AU177" s="9">
        <f>EV177*($Q177*$S177)/(1+Voorblad!$K$44)^(AU$56-Voorblad!$F$41)</f>
        <v>0</v>
      </c>
      <c r="AV177" s="9">
        <f>EW177*($Q177*$S177)/(1+Voorblad!$K$44)^(AV$56-Voorblad!$F$41)</f>
        <v>0</v>
      </c>
      <c r="AW177" s="9">
        <f>EX177*($Q177*$S177)/(1+Voorblad!$K$44)^(AW$56-Voorblad!$F$41)</f>
        <v>0</v>
      </c>
      <c r="AX177" s="9">
        <f>EY177*($Q177*$S177)/(1+Voorblad!$K$44)^(AX$56-Voorblad!$F$41)</f>
        <v>0</v>
      </c>
      <c r="AY177" s="9">
        <f>EZ177*($Q177*$S177)/(1+Voorblad!$K$44)^(AY$56-Voorblad!$F$41)</f>
        <v>0</v>
      </c>
      <c r="AZ177" s="9">
        <f>FA177*($Q177*$S177)/(1+Voorblad!$K$44)^(AZ$56-Voorblad!$F$41)</f>
        <v>0</v>
      </c>
      <c r="BA177" s="9">
        <f>FB177*($Q177*$S177)/(1+Voorblad!$K$44)^(BA$56-Voorblad!$F$41)</f>
        <v>0</v>
      </c>
      <c r="BB177" s="9">
        <f>FC177*($Q177*$S177)/(1+Voorblad!$K$44)^(BB$56-Voorblad!$F$41)</f>
        <v>0</v>
      </c>
      <c r="BC177" s="9">
        <f>FD177*($Q177*$S177)/(1+Voorblad!$K$44)^(BC$56-Voorblad!$F$41)</f>
        <v>0</v>
      </c>
      <c r="BD177" s="9">
        <f>FE177*($Q177*$S177)/(1+Voorblad!$K$44)^(BD$56-Voorblad!$F$41)</f>
        <v>0</v>
      </c>
      <c r="BE177" s="9">
        <f>FF177*($Q177*$S177)/(1+Voorblad!$K$44)^(BE$56-Voorblad!$F$41)</f>
        <v>0</v>
      </c>
      <c r="BF177" s="9">
        <f>FG177*($Q177*$S177)/(1+Voorblad!$K$44)^(BF$56-Voorblad!$F$41)</f>
        <v>0</v>
      </c>
      <c r="BG177" s="9">
        <f>FH177*($Q177*$S177)/(1+Voorblad!$K$44)^(BG$56-Voorblad!$F$41)</f>
        <v>0</v>
      </c>
      <c r="BH177" s="9">
        <f>FI177*($Q177*$S177)/(1+Voorblad!$K$44)^(BH$56-Voorblad!$F$41)</f>
        <v>0</v>
      </c>
      <c r="BI177" s="9">
        <f>FJ177*($Q177*$S177)/(1+Voorblad!$K$44)^(BI$56-Voorblad!$F$41)</f>
        <v>0</v>
      </c>
      <c r="BJ177" s="9">
        <f>FK177*($Q177*$S177)/(1+Voorblad!$K$44)^(BJ$56-Voorblad!$F$41)</f>
        <v>0</v>
      </c>
      <c r="BK177" s="9">
        <f>FL177*($Q177*$S177)/(1+Voorblad!$K$44)^(BK$56-Voorblad!$F$41)</f>
        <v>0</v>
      </c>
      <c r="BL177" s="9">
        <f>FM177*($Q177*$S177)/(1+Voorblad!$K$44)^(BL$56-Voorblad!$F$41)</f>
        <v>0</v>
      </c>
      <c r="BM177" s="9">
        <f>FN177*($Q177*$S177)/(1+Voorblad!$K$44)^(BM$56-Voorblad!$F$41)</f>
        <v>0</v>
      </c>
      <c r="BN177" s="9">
        <f>FO177*($Q177*$S177)/(1+Voorblad!$K$44)^(BN$56-Voorblad!$F$41)</f>
        <v>0</v>
      </c>
      <c r="BO177" s="9">
        <f>FP177*($Q177*$S177)/(1+Voorblad!$K$44)^(BO$56-Voorblad!$F$41)</f>
        <v>0</v>
      </c>
      <c r="BP177" s="9">
        <f>FQ177*($Q177*$S177)/(1+Voorblad!$K$44)^(BP$56-Voorblad!$F$41)</f>
        <v>0</v>
      </c>
      <c r="BQ177" s="9">
        <f>FR177*($Q177*$S177)/(1+Voorblad!$K$44)^(BQ$56-Voorblad!$F$41)</f>
        <v>0</v>
      </c>
      <c r="BR177" s="9">
        <f>FS177*($Q177*$S177)/(1+Voorblad!$K$44)^(BR$56-Voorblad!$F$41)</f>
        <v>0</v>
      </c>
      <c r="BS177" s="9">
        <f>FT177*($Q177*$S177)/(1+Voorblad!$K$44)^(BS$56-Voorblad!$F$41)</f>
        <v>0</v>
      </c>
      <c r="BT177" s="9">
        <f>FU177*($Q177*$S177)/(1+Voorblad!$K$44)^(BT$56-Voorblad!$F$41)</f>
        <v>0</v>
      </c>
      <c r="BU177" s="9">
        <f>FV177*($Q177*$S177)/(1+Voorblad!$K$44)^(BU$56-Voorblad!$F$41)</f>
        <v>0</v>
      </c>
      <c r="BV177" s="9">
        <f>FW177*($Q177*$S177)/(1+Voorblad!$K$44)^(BV$56-Voorblad!$F$41)</f>
        <v>0</v>
      </c>
      <c r="BW177" s="9">
        <f>FX177*($Q177*$S177)/(1+Voorblad!$K$44)^(BW$56-Voorblad!$F$41)</f>
        <v>0</v>
      </c>
      <c r="BX177" s="9">
        <f>FY177*($Q177*$S177)/(1+Voorblad!$K$44)^(BX$56-Voorblad!$F$41)</f>
        <v>0</v>
      </c>
      <c r="BY177" s="9">
        <f>FZ177*($Q177*$S177)/(1+Voorblad!$K$44)^(BY$56-Voorblad!$F$41)</f>
        <v>0</v>
      </c>
      <c r="BZ177" s="9">
        <f>GA177*($Q177*$S177)/(1+Voorblad!$K$44)^(BZ$56-Voorblad!$F$41)</f>
        <v>0</v>
      </c>
      <c r="CA177" s="9">
        <f>GB177*($Q177*$S177)/(1+Voorblad!$K$44)^(CA$56-Voorblad!$F$41)</f>
        <v>0</v>
      </c>
      <c r="CB177" s="9">
        <f>GC177*($Q177*$S177)/(1+Voorblad!$K$44)^(CB$56-Voorblad!$F$41)</f>
        <v>0</v>
      </c>
      <c r="CC177" s="9">
        <f>GD177*($Q177*$S177)/(1+Voorblad!$K$44)^(CC$56-Voorblad!$F$41)</f>
        <v>0</v>
      </c>
      <c r="CD177" s="9">
        <f>GE177*($Q177*$S177)/(1+Voorblad!$K$44)^(CD$56-Voorblad!$F$41)</f>
        <v>0</v>
      </c>
      <c r="CE177" s="9">
        <f>GF177*($Q177*$S177)/(1+Voorblad!$K$44)^(CE$56-Voorblad!$F$41)</f>
        <v>0</v>
      </c>
      <c r="CF177" s="9">
        <f>GG177*($Q177*$S177)/(1+Voorblad!$K$44)^(CF$56-Voorblad!$F$41)</f>
        <v>0</v>
      </c>
      <c r="CG177" s="9">
        <f>GH177*($Q177*$S177)/(1+Voorblad!$K$44)^(CG$56-Voorblad!$F$41)</f>
        <v>0</v>
      </c>
      <c r="CH177" s="9">
        <f>GI177*($Q177*$S177)/(1+Voorblad!$K$44)^(CH$56-Voorblad!$F$41)</f>
        <v>0</v>
      </c>
      <c r="CI177" s="9">
        <f>GJ177*($Q177*$S177)/(1+Voorblad!$K$44)^(CI$56-Voorblad!$F$41)</f>
        <v>0</v>
      </c>
      <c r="CJ177" s="9">
        <f>GK177*($Q177*$S177)/(1+Voorblad!$K$44)^(CJ$56-Voorblad!$F$41)</f>
        <v>0</v>
      </c>
      <c r="CK177" s="9">
        <f>GL177*($Q177*$S177)/(1+Voorblad!$K$44)^(CK$56-Voorblad!$F$41)</f>
        <v>0</v>
      </c>
      <c r="CL177" s="9">
        <f>GM177*($Q177*$S177)/(1+Voorblad!$K$44)^(CL$56-Voorblad!$F$41)</f>
        <v>0</v>
      </c>
      <c r="CM177" s="9">
        <f>GN177*($Q177*$S177)/(1+Voorblad!$K$44)^(CM$56-Voorblad!$F$41)</f>
        <v>0</v>
      </c>
      <c r="CN177" s="9">
        <f>GO177*($Q177*$S177)/(1+Voorblad!$K$44)^(CN$56-Voorblad!$F$41)</f>
        <v>0</v>
      </c>
      <c r="CO177" s="9">
        <f>GP177*($Q177*$S177)/(1+Voorblad!$K$44)^(CO$56-Voorblad!$F$41)</f>
        <v>0</v>
      </c>
      <c r="CP177" s="9">
        <f>GQ177*($Q177*$S177)/(1+Voorblad!$K$44)^(CP$56-Voorblad!$F$41)</f>
        <v>0</v>
      </c>
      <c r="CQ177" s="9">
        <f>GR177*($Q177*$S177)/(1+Voorblad!$K$44)^(CQ$56-Voorblad!$F$41)</f>
        <v>0</v>
      </c>
      <c r="CR177" s="9">
        <f>GS177*($Q177*$S177)/(1+Voorblad!$K$44)^(CR$56-Voorblad!$F$41)</f>
        <v>0</v>
      </c>
      <c r="CS177" s="9">
        <f>GT177*($Q177*$S177)/(1+Voorblad!$K$44)^(CS$56-Voorblad!$F$41)</f>
        <v>0</v>
      </c>
      <c r="CT177" s="9">
        <f>GU177*($Q177*$S177)/(1+Voorblad!$K$44)^(CT$56-Voorblad!$F$41)</f>
        <v>0</v>
      </c>
      <c r="CU177" s="9">
        <f>GV177*($Q177*$S177)/(1+Voorblad!$K$44)^(CU$56-Voorblad!$F$41)</f>
        <v>0</v>
      </c>
      <c r="CV177" s="9">
        <f>GW177*($Q177*$S177)/(1+Voorblad!$K$44)^(CV$56-Voorblad!$F$41)</f>
        <v>0</v>
      </c>
      <c r="CW177" s="9">
        <f>GX177*($Q177*$S177)/(1+Voorblad!$K$44)^(CW$56-Voorblad!$F$41)</f>
        <v>0</v>
      </c>
      <c r="CX177" s="9">
        <f>GY177*($Q177*$S177)/(1+Voorblad!$K$44)^(CX$56-Voorblad!$F$41)</f>
        <v>0</v>
      </c>
      <c r="CY177" s="9">
        <f>GZ177*($Q177*$S177)/(1+Voorblad!$K$44)^(CY$56-Voorblad!$F$41)</f>
        <v>0</v>
      </c>
      <c r="CZ177" s="9">
        <f>HA177*($Q177*$S177)/(1+Voorblad!$K$44)^(CZ$56-Voorblad!$F$41)</f>
        <v>0</v>
      </c>
      <c r="DA177" s="9">
        <f>HB177*($Q177*$S177)/(1+Voorblad!$K$44)^(DA$56-Voorblad!$F$41)</f>
        <v>0</v>
      </c>
      <c r="DB177" s="9">
        <f>HC177*($Q177*$S177)/(1+Voorblad!$K$44)^(DB$56-Voorblad!$F$41)</f>
        <v>0</v>
      </c>
      <c r="DC177" s="9">
        <f>HD177*($Q177*$S177)/(1+Voorblad!$K$44)^(DC$56-Voorblad!$F$41)</f>
        <v>0</v>
      </c>
      <c r="DD177" s="9">
        <f>HE177*($Q177*$S177)/(1+Voorblad!$K$44)^(DD$56-Voorblad!$F$41)</f>
        <v>0</v>
      </c>
      <c r="DE177" s="9">
        <f>HF177*($Q177*$S177)/(1+Voorblad!$K$44)^(DE$56-Voorblad!$F$41)</f>
        <v>0</v>
      </c>
      <c r="DF177" s="9">
        <f>HG177*($Q177*$S177)/(1+Voorblad!$K$44)^(DF$56-Voorblad!$F$41)</f>
        <v>0</v>
      </c>
      <c r="DG177" s="9">
        <f>HH177*($Q177*$S177)/(1+Voorblad!$K$44)^(DG$56-Voorblad!$F$41)</f>
        <v>0</v>
      </c>
      <c r="DH177" s="9">
        <f>HI177*($Q177*$S177)/(1+Voorblad!$K$44)^(DH$56-Voorblad!$F$41)</f>
        <v>0</v>
      </c>
      <c r="DI177" s="9">
        <f>HJ177*($Q177*$S177)/(1+Voorblad!$K$44)^(DI$56-Voorblad!$F$41)</f>
        <v>0</v>
      </c>
      <c r="DJ177" s="9">
        <f>HK177*($Q177*$S177)/(1+Voorblad!$K$44)^(DJ$56-Voorblad!$F$41)</f>
        <v>0</v>
      </c>
      <c r="DK177" s="9">
        <f>HL177*($Q177*$S177)/(1+Voorblad!$K$44)^(DK$56-Voorblad!$F$41)</f>
        <v>0</v>
      </c>
      <c r="DL177" s="9">
        <f>HM177*($Q177*$S177)/(1+Voorblad!$K$44)^(DL$56-Voorblad!$F$41)</f>
        <v>0</v>
      </c>
      <c r="DM177" s="9">
        <f>HN177*($Q177*$S177)/(1+Voorblad!$K$44)^(DM$56-Voorblad!$F$41)</f>
        <v>0</v>
      </c>
      <c r="DN177" s="9">
        <f>HO177*($Q177*$S177)/(1+Voorblad!$K$44)^(DN$56-Voorblad!$F$41)</f>
        <v>0</v>
      </c>
      <c r="DO177" s="9">
        <f>HP177*($Q177*$S177)/(1+Voorblad!$K$44)^(DO$56-Voorblad!$F$41)</f>
        <v>0</v>
      </c>
      <c r="DP177" s="9">
        <f>HQ177*($Q177*$S177)/(1+Voorblad!$K$44)^(DP$56-Voorblad!$F$41)</f>
        <v>0</v>
      </c>
      <c r="DQ177" s="9">
        <f>HR177*($Q177*$S177)/(1+Voorblad!$K$44)^(DQ$56-Voorblad!$F$41)</f>
        <v>0</v>
      </c>
      <c r="DR177" s="9">
        <f>HS177*($Q177*$S177)/(1+Voorblad!$K$44)^(DR$56-Voorblad!$F$41)</f>
        <v>0</v>
      </c>
      <c r="DS177" s="9">
        <f>HT177*($Q177*$S177)/(1+Voorblad!$K$44)^(DS$56-Voorblad!$F$41)</f>
        <v>0</v>
      </c>
      <c r="DT177" s="9">
        <f>HU177*($Q177*$S177)/(1+Voorblad!$K$44)^(DT$56-Voorblad!$F$41)</f>
        <v>0</v>
      </c>
      <c r="DU177" s="9">
        <f>HV177*($Q177*$S177)/(1+Voorblad!$K$44)^(DU$56-Voorblad!$F$41)</f>
        <v>0</v>
      </c>
      <c r="DV177" s="9">
        <f>HW177*($Q177*$S177)/(1+Voorblad!$K$44)^(DV$56-Voorblad!$F$41)</f>
        <v>0</v>
      </c>
      <c r="DW177" s="9">
        <f>HX177*($Q177*$S177)/(1+Voorblad!$K$44)^(DW$56-Voorblad!$F$41)</f>
        <v>0</v>
      </c>
      <c r="DX177" s="9">
        <f>HY177*($Q177*$S177)/(1+Voorblad!$K$44)^(DX$56-Voorblad!$F$41)</f>
        <v>0</v>
      </c>
      <c r="DY177" s="9">
        <f>HZ177*($Q177*$S177)/(1+Voorblad!$K$44)^(DY$56-Voorblad!$F$41)</f>
        <v>0</v>
      </c>
      <c r="DZ177" s="9">
        <f>IA177*($Q177*$S177)/(1+Voorblad!$K$44)^(DZ$56-Voorblad!$F$41)</f>
        <v>0</v>
      </c>
      <c r="EA177" s="9">
        <f>IB177*($Q177*$S177)/(1+Voorblad!$K$44)^(EA$56-Voorblad!$F$41)</f>
        <v>0</v>
      </c>
      <c r="EB177" s="9">
        <f>IC177*($Q177*$S177)/(1+Voorblad!$K$44)^(EB$56-Voorblad!$F$41)</f>
        <v>0</v>
      </c>
      <c r="EE177" s="8">
        <v>0</v>
      </c>
      <c r="EF177" s="8">
        <f>IF(EF$56-Voorblad!$F$41&gt;Voorblad!$K$41,0,IF($U177=0,0,IF($U177&lt;1,1/$U177,IF((EF$56-Voorblad!$F$41)/$U177-SUM($EE177:EE177)=1,1,0))))</f>
        <v>0</v>
      </c>
      <c r="EG177" s="8">
        <f>IF(EG$56-Voorblad!$F$41&gt;Voorblad!$K$41,0,IF($U177=0,0,IF($U177&lt;1,1/$U177,IF((EG$56-Voorblad!$F$41)/$U177-SUM($EE177:EF177)=1,1,0))))</f>
        <v>0</v>
      </c>
      <c r="EH177" s="8">
        <f>IF(EH$56-Voorblad!$F$41&gt;Voorblad!$K$41,0,IF($U177=0,0,IF($U177&lt;1,1/$U177,IF((EH$56-Voorblad!$F$41)/$U177-SUM($EE177:EG177)=1,1,0))))</f>
        <v>0</v>
      </c>
      <c r="EI177" s="8">
        <f>IF(EI$56-Voorblad!$F$41&gt;Voorblad!$K$41,0,IF($U177=0,0,IF($U177&lt;1,1/$U177,IF((EI$56-Voorblad!$F$41)/$U177-SUM($EE177:EH177)=1,1,0))))</f>
        <v>0</v>
      </c>
      <c r="EJ177" s="8">
        <f>IF(EJ$56-Voorblad!$F$41&gt;Voorblad!$K$41,0,IF($U177=0,0,IF($U177&lt;1,1/$U177,IF((EJ$56-Voorblad!$F$41)/$U177-SUM($EE177:EI177)=1,1,0))))</f>
        <v>0</v>
      </c>
      <c r="EK177" s="8">
        <f>IF(EK$56-Voorblad!$F$41&gt;Voorblad!$K$41,0,IF($U177=0,0,IF($U177&lt;1,1/$U177,IF((EK$56-Voorblad!$F$41)/$U177-SUM($EE177:EJ177)=1,1,0))))</f>
        <v>0</v>
      </c>
      <c r="EL177" s="8">
        <f>IF(EL$56-Voorblad!$F$41&gt;Voorblad!$K$41,0,IF($U177=0,0,IF($U177&lt;1,1/$U177,IF((EL$56-Voorblad!$F$41)/$U177-SUM($EE177:EK177)=1,1,0))))</f>
        <v>0</v>
      </c>
      <c r="EM177" s="8">
        <f>IF(EM$56-Voorblad!$F$41&gt;Voorblad!$K$41,0,IF($U177=0,0,IF($U177&lt;1,1/$U177,IF((EM$56-Voorblad!$F$41)/$U177-SUM($EE177:EL177)=1,1,0))))</f>
        <v>0</v>
      </c>
      <c r="EN177" s="8">
        <f>IF(EN$56-Voorblad!$F$41&gt;Voorblad!$K$41,0,IF($U177=0,0,IF($U177&lt;1,1/$U177,IF((EN$56-Voorblad!$F$41)/$U177-SUM($EE177:EM177)=1,1,0))))</f>
        <v>0</v>
      </c>
      <c r="EO177" s="8">
        <f>IF(EO$56-Voorblad!$F$41&gt;Voorblad!$K$41,0,IF($U177=0,0,IF($U177&lt;1,1/$U177,IF((EO$56-Voorblad!$F$41)/$U177-SUM($EE177:EN177)=1,1,0))))</f>
        <v>0</v>
      </c>
      <c r="EP177" s="8">
        <f>IF(EP$56-Voorblad!$F$41&gt;Voorblad!$K$41,0,IF($U177=0,0,IF($U177&lt;1,1/$U177,IF((EP$56-Voorblad!$F$41)/$U177-SUM($EE177:EO177)=1,1,0))))</f>
        <v>0</v>
      </c>
      <c r="EQ177" s="8">
        <f>IF(EQ$56-Voorblad!$F$41&gt;Voorblad!$K$41,0,IF($U177=0,0,IF($U177&lt;1,1/$U177,IF((EQ$56-Voorblad!$F$41)/$U177-SUM($EE177:EP177)=1,1,0))))</f>
        <v>0</v>
      </c>
      <c r="ER177" s="8">
        <f>IF(ER$56-Voorblad!$F$41&gt;Voorblad!$K$41,0,IF($U177=0,0,IF($U177&lt;1,1/$U177,IF((ER$56-Voorblad!$F$41)/$U177-SUM($EE177:EQ177)=1,1,0))))</f>
        <v>0</v>
      </c>
      <c r="ES177" s="8">
        <f>IF(ES$56-Voorblad!$F$41&gt;Voorblad!$K$41,0,IF($U177=0,0,IF($U177&lt;1,1/$U177,IF((ES$56-Voorblad!$F$41)/$U177-SUM($EE177:ER177)=1,1,0))))</f>
        <v>0</v>
      </c>
      <c r="ET177" s="8">
        <f>IF(ET$56-Voorblad!$F$41&gt;Voorblad!$K$41,0,IF($U177=0,0,IF($U177&lt;1,1/$U177,IF((ET$56-Voorblad!$F$41)/$U177-SUM($EE177:ES177)=1,1,0))))</f>
        <v>0</v>
      </c>
      <c r="EU177" s="8">
        <f>IF(EU$56-Voorblad!$F$41&gt;Voorblad!$K$41,0,IF($U177=0,0,IF($U177&lt;1,1/$U177,IF((EU$56-Voorblad!$F$41)/$U177-SUM($EE177:ET177)=1,1,0))))</f>
        <v>0</v>
      </c>
      <c r="EV177" s="8">
        <f>IF(EV$56-Voorblad!$F$41&gt;Voorblad!$K$41,0,IF($U177=0,0,IF($U177&lt;1,1/$U177,IF((EV$56-Voorblad!$F$41)/$U177-SUM($EE177:EU177)=1,1,0))))</f>
        <v>0</v>
      </c>
      <c r="EW177" s="8">
        <f>IF(EW$56-Voorblad!$F$41&gt;Voorblad!$K$41,0,IF($U177=0,0,IF($U177&lt;1,1/$U177,IF((EW$56-Voorblad!$F$41)/$U177-SUM($EE177:EV177)=1,1,0))))</f>
        <v>0</v>
      </c>
      <c r="EX177" s="8">
        <f>IF(EX$56-Voorblad!$F$41&gt;Voorblad!$K$41,0,IF($U177=0,0,IF($U177&lt;1,1/$U177,IF((EX$56-Voorblad!$F$41)/$U177-SUM($EE177:EW177)=1,1,0))))</f>
        <v>0</v>
      </c>
      <c r="EY177" s="8">
        <f>IF(EY$56-Voorblad!$F$41&gt;Voorblad!$K$41,0,IF($U177=0,0,IF($U177&lt;1,1/$U177,IF((EY$56-Voorblad!$F$41)/$U177-SUM($EE177:EX177)=1,1,0))))</f>
        <v>0</v>
      </c>
      <c r="EZ177" s="8">
        <f>IF(EZ$56-Voorblad!$F$41&gt;Voorblad!$K$41,0,IF($U177=0,0,IF($U177&lt;1,1/$U177,IF((EZ$56-Voorblad!$F$41)/$U177-SUM($EE177:EY177)=1,1,0))))</f>
        <v>0</v>
      </c>
      <c r="FA177" s="8">
        <f>IF(FA$56-Voorblad!$F$41&gt;Voorblad!$K$41,0,IF($U177=0,0,IF($U177&lt;1,1/$U177,IF((FA$56-Voorblad!$F$41)/$U177-SUM($EE177:EZ177)=1,1,0))))</f>
        <v>0</v>
      </c>
      <c r="FB177" s="8">
        <f>IF(FB$56-Voorblad!$F$41&gt;Voorblad!$K$41,0,IF($U177=0,0,IF($U177&lt;1,1/$U177,IF((FB$56-Voorblad!$F$41)/$U177-SUM($EE177:FA177)=1,1,0))))</f>
        <v>0</v>
      </c>
      <c r="FC177" s="8">
        <f>IF(FC$56-Voorblad!$F$41&gt;Voorblad!$K$41,0,IF($U177=0,0,IF($U177&lt;1,1/$U177,IF((FC$56-Voorblad!$F$41)/$U177-SUM($EE177:FB177)=1,1,0))))</f>
        <v>0</v>
      </c>
      <c r="FD177" s="8">
        <f>IF(FD$56-Voorblad!$F$41&gt;Voorblad!$K$41,0,IF($U177=0,0,IF($U177&lt;1,1/$U177,IF((FD$56-Voorblad!$F$41)/$U177-SUM($EE177:FC177)=1,1,0))))</f>
        <v>0</v>
      </c>
      <c r="FE177" s="8">
        <f>IF(FE$56-Voorblad!$F$41&gt;Voorblad!$K$41,0,IF($U177=0,0,IF($U177&lt;1,1/$U177,IF((FE$56-Voorblad!$F$41)/$U177-SUM($EE177:FD177)=1,1,0))))</f>
        <v>0</v>
      </c>
      <c r="FF177" s="8">
        <f>IF(FF$56-Voorblad!$F$41&gt;Voorblad!$K$41,0,IF($U177=0,0,IF($U177&lt;1,1/$U177,IF((FF$56-Voorblad!$F$41)/$U177-SUM($EE177:FE177)=1,1,0))))</f>
        <v>0</v>
      </c>
      <c r="FG177" s="8">
        <f>IF(FG$56-Voorblad!$F$41&gt;Voorblad!$K$41,0,IF($U177=0,0,IF($U177&lt;1,1/$U177,IF((FG$56-Voorblad!$F$41)/$U177-SUM($EE177:FF177)=1,1,0))))</f>
        <v>0</v>
      </c>
      <c r="FH177" s="8">
        <f>IF(FH$56-Voorblad!$F$41&gt;Voorblad!$K$41,0,IF($U177=0,0,IF($U177&lt;1,1/$U177,IF((FH$56-Voorblad!$F$41)/$U177-SUM($EE177:FG177)=1,1,0))))</f>
        <v>0</v>
      </c>
      <c r="FI177" s="8">
        <f>IF(FI$56-Voorblad!$F$41&gt;Voorblad!$K$41,0,IF($U177=0,0,IF($U177&lt;1,1/$U177,IF((FI$56-Voorblad!$F$41)/$U177-SUM($EE177:FH177)=1,1,0))))</f>
        <v>0</v>
      </c>
      <c r="FJ177" s="8">
        <f>IF(FJ$56-Voorblad!$F$41&gt;Voorblad!$K$41,0,IF($U177=0,0,IF($U177&lt;1,1/$U177,IF((FJ$56-Voorblad!$F$41)/$U177-SUM($EE177:FI177)=1,1,0))))</f>
        <v>1</v>
      </c>
      <c r="FK177" s="8">
        <f>IF(FK$56-Voorblad!$F$41&gt;Voorblad!$K$41,0,IF($U177=0,0,IF($U177&lt;1,1/$U177,IF((FK$56-Voorblad!$F$41)/$U177-SUM($EE177:FJ177)=1,1,0))))</f>
        <v>0</v>
      </c>
      <c r="FL177" s="8">
        <f>IF(FL$56-Voorblad!$F$41&gt;Voorblad!$K$41,0,IF($U177=0,0,IF($U177&lt;1,1/$U177,IF((FL$56-Voorblad!$F$41)/$U177-SUM($EE177:FK177)=1,1,0))))</f>
        <v>0</v>
      </c>
      <c r="FM177" s="8">
        <f>IF(FM$56-Voorblad!$F$41&gt;Voorblad!$K$41,0,IF($U177=0,0,IF($U177&lt;1,1/$U177,IF((FM$56-Voorblad!$F$41)/$U177-SUM($EE177:FL177)=1,1,0))))</f>
        <v>0</v>
      </c>
      <c r="FN177" s="8">
        <f>IF(FN$56-Voorblad!$F$41&gt;Voorblad!$K$41,0,IF($U177=0,0,IF($U177&lt;1,1/$U177,IF((FN$56-Voorblad!$F$41)/$U177-SUM($EE177:FM177)=1,1,0))))</f>
        <v>0</v>
      </c>
      <c r="FO177" s="8">
        <f>IF(FO$56-Voorblad!$F$41&gt;Voorblad!$K$41,0,IF($U177=0,0,IF($U177&lt;1,1/$U177,IF((FO$56-Voorblad!$F$41)/$U177-SUM($EE177:FN177)=1,1,0))))</f>
        <v>0</v>
      </c>
      <c r="FP177" s="8">
        <f>IF(FP$56-Voorblad!$F$41&gt;Voorblad!$K$41,0,IF($U177=0,0,IF($U177&lt;1,1/$U177,IF((FP$56-Voorblad!$F$41)/$U177-SUM($EE177:FO177)=1,1,0))))</f>
        <v>0</v>
      </c>
      <c r="FQ177" s="8">
        <f>IF(FQ$56-Voorblad!$F$41&gt;Voorblad!$K$41,0,IF($U177=0,0,IF($U177&lt;1,1/$U177,IF((FQ$56-Voorblad!$F$41)/$U177-SUM($EE177:FP177)=1,1,0))))</f>
        <v>0</v>
      </c>
      <c r="FR177" s="8">
        <f>IF(FR$56-Voorblad!$F$41&gt;Voorblad!$K$41,0,IF($U177=0,0,IF($U177&lt;1,1/$U177,IF((FR$56-Voorblad!$F$41)/$U177-SUM($EE177:FQ177)=1,1,0))))</f>
        <v>0</v>
      </c>
      <c r="FS177" s="8">
        <f>IF(FS$56-Voorblad!$F$41&gt;Voorblad!$K$41,0,IF($U177=0,0,IF($U177&lt;1,1/$U177,IF((FS$56-Voorblad!$F$41)/$U177-SUM($EE177:FR177)=1,1,0))))</f>
        <v>0</v>
      </c>
      <c r="FT177" s="8">
        <f>IF(FT$56-Voorblad!$F$41&gt;Voorblad!$K$41,0,IF($U177=0,0,IF($U177&lt;1,1/$U177,IF((FT$56-Voorblad!$F$41)/$U177-SUM($EE177:FS177)=1,1,0))))</f>
        <v>0</v>
      </c>
      <c r="FU177" s="8">
        <f>IF(FU$56-Voorblad!$F$41&gt;Voorblad!$K$41,0,IF($U177=0,0,IF($U177&lt;1,1/$U177,IF((FU$56-Voorblad!$F$41)/$U177-SUM($EE177:FT177)=1,1,0))))</f>
        <v>0</v>
      </c>
      <c r="FV177" s="8">
        <f>IF(FV$56-Voorblad!$F$41&gt;Voorblad!$K$41,0,IF($U177=0,0,IF($U177&lt;1,1/$U177,IF((FV$56-Voorblad!$F$41)/$U177-SUM($EE177:FU177)=1,1,0))))</f>
        <v>0</v>
      </c>
      <c r="FW177" s="8">
        <f>IF(FW$56-Voorblad!$F$41&gt;Voorblad!$K$41,0,IF($U177=0,0,IF($U177&lt;1,1/$U177,IF((FW$56-Voorblad!$F$41)/$U177-SUM($EE177:FV177)=1,1,0))))</f>
        <v>0</v>
      </c>
      <c r="FX177" s="8">
        <f>IF(FX$56-Voorblad!$F$41&gt;Voorblad!$K$41,0,IF($U177=0,0,IF($U177&lt;1,1/$U177,IF((FX$56-Voorblad!$F$41)/$U177-SUM($EE177:FW177)=1,1,0))))</f>
        <v>0</v>
      </c>
      <c r="FY177" s="8">
        <f>IF(FY$56-Voorblad!$F$41&gt;Voorblad!$K$41,0,IF($U177=0,0,IF($U177&lt;1,1/$U177,IF((FY$56-Voorblad!$F$41)/$U177-SUM($EE177:FX177)=1,1,0))))</f>
        <v>0</v>
      </c>
      <c r="FZ177" s="8">
        <f>IF(FZ$56-Voorblad!$F$41&gt;Voorblad!$K$41,0,IF($U177=0,0,IF($U177&lt;1,1/$U177,IF((FZ$56-Voorblad!$F$41)/$U177-SUM($EE177:FY177)=1,1,0))))</f>
        <v>0</v>
      </c>
      <c r="GA177" s="8">
        <f>IF(GA$56-Voorblad!$F$41&gt;Voorblad!$K$41,0,IF($U177=0,0,IF($U177&lt;1,1/$U177,IF((GA$56-Voorblad!$F$41)/$U177-SUM($EE177:FZ177)=1,1,0))))</f>
        <v>0</v>
      </c>
      <c r="GB177" s="8">
        <f>IF(GB$56-Voorblad!$F$41&gt;Voorblad!$K$41,0,IF($U177=0,0,IF($U177&lt;1,1/$U177,IF((GB$56-Voorblad!$F$41)/$U177-SUM($EE177:GA177)=1,1,0))))</f>
        <v>0</v>
      </c>
      <c r="GC177" s="8">
        <f>IF(GC$56-Voorblad!$F$41&gt;Voorblad!$K$41,0,IF($U177=0,0,IF($U177&lt;1,1/$U177,IF((GC$56-Voorblad!$F$41)/$U177-SUM($EE177:GB177)=1,1,0))))</f>
        <v>0</v>
      </c>
      <c r="GD177" s="8">
        <f>IF(GD$56-Voorblad!$F$41&gt;Voorblad!$K$41,0,IF($U177=0,0,IF($U177&lt;1,1/$U177,IF((GD$56-Voorblad!$F$41)/$U177-SUM($EE177:GC177)=1,1,0))))</f>
        <v>0</v>
      </c>
      <c r="GE177" s="8">
        <f>IF(GE$56-Voorblad!$F$41&gt;Voorblad!$K$41,0,IF($U177=0,0,IF($U177&lt;1,1/$U177,IF((GE$56-Voorblad!$F$41)/$U177-SUM($EE177:GD177)=1,1,0))))</f>
        <v>0</v>
      </c>
      <c r="GF177" s="8">
        <f>IF(GF$56-Voorblad!$F$41&gt;Voorblad!$K$41,0,IF($U177=0,0,IF($U177&lt;1,1/$U177,IF((GF$56-Voorblad!$F$41)/$U177-SUM($EE177:GE177)=1,1,0))))</f>
        <v>0</v>
      </c>
      <c r="GG177" s="8">
        <f>IF(GG$56-Voorblad!$F$41&gt;Voorblad!$K$41,0,IF($U177=0,0,IF($U177&lt;1,1/$U177,IF((GG$56-Voorblad!$F$41)/$U177-SUM($EE177:GF177)=1,1,0))))</f>
        <v>0</v>
      </c>
      <c r="GH177" s="8">
        <f>IF(GH$56-Voorblad!$F$41&gt;Voorblad!$K$41,0,IF($U177=0,0,IF($U177&lt;1,1/$U177,IF((GH$56-Voorblad!$F$41)/$U177-SUM($EE177:GG177)=1,1,0))))</f>
        <v>0</v>
      </c>
      <c r="GI177" s="8">
        <f>IF(GI$56-Voorblad!$F$41&gt;Voorblad!$K$41,0,IF($U177=0,0,IF($U177&lt;1,1/$U177,IF((GI$56-Voorblad!$F$41)/$U177-SUM($EE177:GH177)=1,1,0))))</f>
        <v>0</v>
      </c>
      <c r="GJ177" s="8">
        <f>IF(GJ$56-Voorblad!$F$41&gt;Voorblad!$K$41,0,IF($U177=0,0,IF($U177&lt;1,1/$U177,IF((GJ$56-Voorblad!$F$41)/$U177-SUM($EE177:GI177)=1,1,0))))</f>
        <v>0</v>
      </c>
      <c r="GK177" s="8">
        <f>IF(GK$56-Voorblad!$F$41&gt;Voorblad!$K$41,0,IF($U177=0,0,IF($U177&lt;1,1/$U177,IF((GK$56-Voorblad!$F$41)/$U177-SUM($EE177:GJ177)=1,1,0))))</f>
        <v>0</v>
      </c>
      <c r="GL177" s="8">
        <f>IF(GL$56-Voorblad!$F$41&gt;Voorblad!$K$41,0,IF($U177=0,0,IF($U177&lt;1,1/$U177,IF((GL$56-Voorblad!$F$41)/$U177-SUM($EE177:GK177)=1,1,0))))</f>
        <v>0</v>
      </c>
      <c r="GM177" s="8">
        <f>IF(GM$56-Voorblad!$F$41&gt;Voorblad!$K$41,0,IF($U177=0,0,IF($U177&lt;1,1/$U177,IF((GM$56-Voorblad!$F$41)/$U177-SUM($EE177:GL177)=1,1,0))))</f>
        <v>0</v>
      </c>
      <c r="GN177" s="8">
        <f>IF(GN$56-Voorblad!$F$41&gt;Voorblad!$K$41,0,IF($U177=0,0,IF($U177&lt;1,1/$U177,IF((GN$56-Voorblad!$F$41)/$U177-SUM($EE177:GM177)=1,1,0))))</f>
        <v>1</v>
      </c>
      <c r="GO177" s="8">
        <f>IF(GO$56-Voorblad!$F$41&gt;Voorblad!$K$41,0,IF($U177=0,0,IF($U177&lt;1,1/$U177,IF((GO$56-Voorblad!$F$41)/$U177-SUM($EE177:GN177)=1,1,0))))</f>
        <v>0</v>
      </c>
      <c r="GP177" s="8">
        <f>IF(GP$56-Voorblad!$F$41&gt;Voorblad!$K$41,0,IF($U177=0,0,IF($U177&lt;1,1/$U177,IF((GP$56-Voorblad!$F$41)/$U177-SUM($EE177:GO177)=1,1,0))))</f>
        <v>0</v>
      </c>
      <c r="GQ177" s="8">
        <f>IF(GQ$56-Voorblad!$F$41&gt;Voorblad!$K$41,0,IF($U177=0,0,IF($U177&lt;1,1/$U177,IF((GQ$56-Voorblad!$F$41)/$U177-SUM($EE177:GP177)=1,1,0))))</f>
        <v>0</v>
      </c>
      <c r="GR177" s="8">
        <f>IF(GR$56-Voorblad!$F$41&gt;Voorblad!$K$41,0,IF($U177=0,0,IF($U177&lt;1,1/$U177,IF((GR$56-Voorblad!$F$41)/$U177-SUM($EE177:GQ177)=1,1,0))))</f>
        <v>0</v>
      </c>
      <c r="GS177" s="8">
        <f>IF(GS$56-Voorblad!$F$41&gt;Voorblad!$K$41,0,IF($U177=0,0,IF($U177&lt;1,1/$U177,IF((GS$56-Voorblad!$F$41)/$U177-SUM($EE177:GR177)=1,1,0))))</f>
        <v>0</v>
      </c>
      <c r="GT177" s="8">
        <f>IF(GT$56-Voorblad!$F$41&gt;Voorblad!$K$41,0,IF($U177=0,0,IF($U177&lt;1,1/$U177,IF((GT$56-Voorblad!$F$41)/$U177-SUM($EE177:GS177)=1,1,0))))</f>
        <v>0</v>
      </c>
      <c r="GU177" s="8">
        <f>IF(GU$56-Voorblad!$F$41&gt;Voorblad!$K$41,0,IF($U177=0,0,IF($U177&lt;1,1/$U177,IF((GU$56-Voorblad!$F$41)/$U177-SUM($EE177:GT177)=1,1,0))))</f>
        <v>0</v>
      </c>
      <c r="GV177" s="8">
        <f>IF(GV$56-Voorblad!$F$41&gt;Voorblad!$K$41,0,IF($U177=0,0,IF($U177&lt;1,1/$U177,IF((GV$56-Voorblad!$F$41)/$U177-SUM($EE177:GU177)=1,1,0))))</f>
        <v>0</v>
      </c>
      <c r="GW177" s="8">
        <f>IF(GW$56-Voorblad!$F$41&gt;Voorblad!$K$41,0,IF($U177=0,0,IF($U177&lt;1,1/$U177,IF((GW$56-Voorblad!$F$41)/$U177-SUM($EE177:GV177)=1,1,0))))</f>
        <v>0</v>
      </c>
      <c r="GX177" s="8">
        <f>IF(GX$56-Voorblad!$F$41&gt;Voorblad!$K$41,0,IF($U177=0,0,IF($U177&lt;1,1/$U177,IF((GX$56-Voorblad!$F$41)/$U177-SUM($EE177:GW177)=1,1,0))))</f>
        <v>0</v>
      </c>
      <c r="GY177" s="8">
        <f>IF(GY$56-Voorblad!$F$41&gt;Voorblad!$K$41,0,IF($U177=0,0,IF($U177&lt;1,1/$U177,IF((GY$56-Voorblad!$F$41)/$U177-SUM($EE177:GX177)=1,1,0))))</f>
        <v>0</v>
      </c>
      <c r="GZ177" s="8">
        <f>IF(GZ$56-Voorblad!$F$41&gt;Voorblad!$K$41,0,IF($U177=0,0,IF($U177&lt;1,1/$U177,IF((GZ$56-Voorblad!$F$41)/$U177-SUM($EE177:GY177)=1,1,0))))</f>
        <v>0</v>
      </c>
      <c r="HA177" s="8">
        <f>IF(HA$56-Voorblad!$F$41&gt;Voorblad!$K$41,0,IF($U177=0,0,IF($U177&lt;1,1/$U177,IF((HA$56-Voorblad!$F$41)/$U177-SUM($EE177:GZ177)=1,1,0))))</f>
        <v>0</v>
      </c>
      <c r="HB177" s="8">
        <f>IF(HB$56-Voorblad!$F$41&gt;Voorblad!$K$41,0,IF($U177=0,0,IF($U177&lt;1,1/$U177,IF((HB$56-Voorblad!$F$41)/$U177-SUM($EE177:HA177)=1,1,0))))</f>
        <v>0</v>
      </c>
      <c r="HC177" s="8">
        <f>IF(HC$56-Voorblad!$F$41&gt;Voorblad!$K$41,0,IF($U177=0,0,IF($U177&lt;1,1/$U177,IF((HC$56-Voorblad!$F$41)/$U177-SUM($EE177:HB177)=1,1,0))))</f>
        <v>0</v>
      </c>
      <c r="HD177" s="8">
        <f>IF(HD$56-Voorblad!$F$41&gt;Voorblad!$K$41,0,IF($U177=0,0,IF($U177&lt;1,1/$U177,IF((HD$56-Voorblad!$F$41)/$U177-SUM($EE177:HC177)=1,1,0))))</f>
        <v>0</v>
      </c>
      <c r="HE177" s="8">
        <f>IF(HE$56-Voorblad!$F$41&gt;Voorblad!$K$41,0,IF($U177=0,0,IF($U177&lt;1,1/$U177,IF((HE$56-Voorblad!$F$41)/$U177-SUM($EE177:HD177)=1,1,0))))</f>
        <v>0</v>
      </c>
      <c r="HF177" s="8">
        <f>IF(HF$56-Voorblad!$F$41&gt;Voorblad!$K$41,0,IF($U177=0,0,IF($U177&lt;1,1/$U177,IF((HF$56-Voorblad!$F$41)/$U177-SUM($EE177:HE177)=1,1,0))))</f>
        <v>0</v>
      </c>
      <c r="HG177" s="8">
        <f>IF(HG$56-Voorblad!$F$41&gt;Voorblad!$K$41,0,IF($U177=0,0,IF($U177&lt;1,1/$U177,IF((HG$56-Voorblad!$F$41)/$U177-SUM($EE177:HF177)=1,1,0))))</f>
        <v>0</v>
      </c>
      <c r="HH177" s="8">
        <f>IF(HH$56-Voorblad!$F$41&gt;Voorblad!$K$41,0,IF($U177=0,0,IF($U177&lt;1,1/$U177,IF((HH$56-Voorblad!$F$41)/$U177-SUM($EE177:HG177)=1,1,0))))</f>
        <v>0</v>
      </c>
      <c r="HI177" s="8">
        <f>IF(HI$56-Voorblad!$F$41&gt;Voorblad!$K$41,0,IF($U177=0,0,IF($U177&lt;1,1/$U177,IF((HI$56-Voorblad!$F$41)/$U177-SUM($EE177:HH177)=1,1,0))))</f>
        <v>0</v>
      </c>
      <c r="HJ177" s="8">
        <f>IF(HJ$56-Voorblad!$F$41&gt;Voorblad!$K$41,0,IF($U177=0,0,IF($U177&lt;1,1/$U177,IF((HJ$56-Voorblad!$F$41)/$U177-SUM($EE177:HI177)=1,1,0))))</f>
        <v>0</v>
      </c>
      <c r="HK177" s="8">
        <f>IF(HK$56-Voorblad!$F$41&gt;Voorblad!$K$41,0,IF($U177=0,0,IF($U177&lt;1,1/$U177,IF((HK$56-Voorblad!$F$41)/$U177-SUM($EE177:HJ177)=1,1,0))))</f>
        <v>0</v>
      </c>
      <c r="HL177" s="8">
        <f>IF(HL$56-Voorblad!$F$41&gt;Voorblad!$K$41,0,IF($U177=0,0,IF($U177&lt;1,1/$U177,IF((HL$56-Voorblad!$F$41)/$U177-SUM($EE177:HK177)=1,1,0))))</f>
        <v>0</v>
      </c>
      <c r="HM177" s="8">
        <f>IF(HM$56-Voorblad!$F$41&gt;Voorblad!$K$41,0,IF($U177=0,0,IF($U177&lt;1,1/$U177,IF((HM$56-Voorblad!$F$41)/$U177-SUM($EE177:HL177)=1,1,0))))</f>
        <v>0</v>
      </c>
      <c r="HN177" s="8">
        <f>IF(HN$56-Voorblad!$F$41&gt;Voorblad!$K$41,0,IF($U177=0,0,IF($U177&lt;1,1/$U177,IF((HN$56-Voorblad!$F$41)/$U177-SUM($EE177:HM177)=1,1,0))))</f>
        <v>0</v>
      </c>
      <c r="HO177" s="8">
        <f>IF(HO$56-Voorblad!$F$41&gt;Voorblad!$K$41,0,IF($U177=0,0,IF($U177&lt;1,1/$U177,IF((HO$56-Voorblad!$F$41)/$U177-SUM($EE177:HN177)=1,1,0))))</f>
        <v>0</v>
      </c>
      <c r="HP177" s="8">
        <f>IF(HP$56-Voorblad!$F$41&gt;Voorblad!$K$41,0,IF($U177=0,0,IF($U177&lt;1,1/$U177,IF((HP$56-Voorblad!$F$41)/$U177-SUM($EE177:HO177)=1,1,0))))</f>
        <v>0</v>
      </c>
      <c r="HQ177" s="8">
        <f>IF(HQ$56-Voorblad!$F$41&gt;Voorblad!$K$41,0,IF($U177=0,0,IF($U177&lt;1,1/$U177,IF((HQ$56-Voorblad!$F$41)/$U177-SUM($EE177:HP177)=1,1,0))))</f>
        <v>0</v>
      </c>
      <c r="HR177" s="8">
        <f>IF(HR$56-Voorblad!$F$41&gt;Voorblad!$K$41,0,IF($U177=0,0,IF($U177&lt;1,1/$U177,IF((HR$56-Voorblad!$F$41)/$U177-SUM($EE177:HQ177)=1,1,0))))</f>
        <v>0</v>
      </c>
      <c r="HS177" s="8">
        <f>IF(HS$56-Voorblad!$F$41&gt;Voorblad!$K$41,0,IF($U177=0,0,IF($U177&lt;1,1/$U177,IF((HS$56-Voorblad!$F$41)/$U177-SUM($EE177:HR177)=1,1,0))))</f>
        <v>0</v>
      </c>
      <c r="HT177" s="8">
        <f>IF(HT$56-Voorblad!$F$41&gt;Voorblad!$K$41,0,IF($U177=0,0,IF($U177&lt;1,1/$U177,IF((HT$56-Voorblad!$F$41)/$U177-SUM($EE177:HS177)=1,1,0))))</f>
        <v>0</v>
      </c>
      <c r="HU177" s="8">
        <f>IF(HU$56-Voorblad!$F$41&gt;Voorblad!$K$41,0,IF($U177=0,0,IF($U177&lt;1,1/$U177,IF((HU$56-Voorblad!$F$41)/$U177-SUM($EE177:HT177)=1,1,0))))</f>
        <v>0</v>
      </c>
      <c r="HV177" s="8">
        <f>IF(HV$56-Voorblad!$F$41&gt;Voorblad!$K$41,0,IF($U177=0,0,IF($U177&lt;1,1/$U177,IF((HV$56-Voorblad!$F$41)/$U177-SUM($EE177:HU177)=1,1,0))))</f>
        <v>0</v>
      </c>
      <c r="HW177" s="8">
        <f>IF(HW$56-Voorblad!$F$41&gt;Voorblad!$K$41,0,IF($U177=0,0,IF($U177&lt;1,1/$U177,IF((HW$56-Voorblad!$F$41)/$U177-SUM($EE177:HV177)=1,1,0))))</f>
        <v>0</v>
      </c>
      <c r="HX177" s="8">
        <f>IF(HX$56-Voorblad!$F$41&gt;Voorblad!$K$41,0,IF($U177=0,0,IF($U177&lt;1,1/$U177,IF((HX$56-Voorblad!$F$41)/$U177-SUM($EE177:HW177)=1,1,0))))</f>
        <v>0</v>
      </c>
      <c r="HY177" s="8">
        <f>IF(HY$56-Voorblad!$F$41&gt;Voorblad!$K$41,0,IF($U177=0,0,IF($U177&lt;1,1/$U177,IF((HY$56-Voorblad!$F$41)/$U177-SUM($EE177:HX177)=1,1,0))))</f>
        <v>0</v>
      </c>
      <c r="HZ177" s="8">
        <f>IF(HZ$56-Voorblad!$F$41&gt;Voorblad!$K$41,0,IF($U177=0,0,IF($U177&lt;1,1/$U177,IF((HZ$56-Voorblad!$F$41)/$U177-SUM($EE177:HY177)=1,1,0))))</f>
        <v>0</v>
      </c>
      <c r="IA177" s="8">
        <f>IF(IA$56-Voorblad!$F$41&gt;Voorblad!$K$41,0,IF($U177=0,0,IF($U177&lt;1,1/$U177,IF((IA$56-Voorblad!$F$41)/$U177-SUM($EE177:HZ177)=1,1,0))))</f>
        <v>0</v>
      </c>
      <c r="IB177" s="8">
        <f>IF(IB$56-Voorblad!$F$41&gt;Voorblad!$K$41,0,IF($U177=0,0,IF($U177&lt;1,1/$U177,IF((IB$56-Voorblad!$F$41)/$U177-SUM($EE177:IA177)=1,1,0))))</f>
        <v>0</v>
      </c>
    </row>
    <row r="178" spans="2:236" ht="12" hidden="1" customHeight="1" outlineLevel="1" x14ac:dyDescent="0.25">
      <c r="B178" s="1">
        <v>1</v>
      </c>
      <c r="F178" s="1" t="s">
        <v>23</v>
      </c>
      <c r="I178" s="1" t="s">
        <v>48</v>
      </c>
      <c r="K178" s="1" t="s">
        <v>63</v>
      </c>
      <c r="P178" s="1" t="s">
        <v>184</v>
      </c>
      <c r="Q178" s="83">
        <v>0</v>
      </c>
      <c r="R178" s="147" t="s">
        <v>196</v>
      </c>
      <c r="S178" s="14">
        <f>$H$10*500</f>
        <v>1190</v>
      </c>
      <c r="T178" s="1">
        <f t="shared" si="194"/>
        <v>0</v>
      </c>
      <c r="U178" s="14">
        <v>30</v>
      </c>
      <c r="V178" s="14"/>
      <c r="Y178" s="9">
        <f>SUM(AE178:EB178)</f>
        <v>0</v>
      </c>
      <c r="Z178" s="82"/>
      <c r="AA178" s="82"/>
      <c r="AC178" s="9">
        <f>$Y178*(Voorblad!$K$44*(1+Voorblad!$K$44)^Voorblad!$K$41)/((1+Voorblad!$K$44)^Voorblad!$K$41-1)</f>
        <v>0</v>
      </c>
      <c r="AE178" s="9">
        <f>EF178*($Q178*$S178)/(1+Voorblad!$K$44)^(AE$56-Voorblad!$F$41)</f>
        <v>0</v>
      </c>
      <c r="AF178" s="9">
        <f>EG178*($Q178*$S178)/(1+Voorblad!$K$44)^(AF$56-Voorblad!$F$41)</f>
        <v>0</v>
      </c>
      <c r="AG178" s="9">
        <f>EH178*($Q178*$S178)/(1+Voorblad!$K$44)^(AG$56-Voorblad!$F$41)</f>
        <v>0</v>
      </c>
      <c r="AH178" s="9">
        <f>EI178*($Q178*$S178)/(1+Voorblad!$K$44)^(AH$56-Voorblad!$F$41)</f>
        <v>0</v>
      </c>
      <c r="AI178" s="9">
        <f>EJ178*($Q178*$S178)/(1+Voorblad!$K$44)^(AI$56-Voorblad!$F$41)</f>
        <v>0</v>
      </c>
      <c r="AJ178" s="9">
        <f>EK178*($Q178*$S178)/(1+Voorblad!$K$44)^(AJ$56-Voorblad!$F$41)</f>
        <v>0</v>
      </c>
      <c r="AK178" s="9">
        <f>EL178*($Q178*$S178)/(1+Voorblad!$K$44)^(AK$56-Voorblad!$F$41)</f>
        <v>0</v>
      </c>
      <c r="AL178" s="9">
        <f>EM178*($Q178*$S178)/(1+Voorblad!$K$44)^(AL$56-Voorblad!$F$41)</f>
        <v>0</v>
      </c>
      <c r="AM178" s="9">
        <f>EN178*($Q178*$S178)/(1+Voorblad!$K$44)^(AM$56-Voorblad!$F$41)</f>
        <v>0</v>
      </c>
      <c r="AN178" s="9">
        <f>EO178*($Q178*$S178)/(1+Voorblad!$K$44)^(AN$56-Voorblad!$F$41)</f>
        <v>0</v>
      </c>
      <c r="AO178" s="9">
        <f>EP178*($Q178*$S178)/(1+Voorblad!$K$44)^(AO$56-Voorblad!$F$41)</f>
        <v>0</v>
      </c>
      <c r="AP178" s="9">
        <f>EQ178*($Q178*$S178)/(1+Voorblad!$K$44)^(AP$56-Voorblad!$F$41)</f>
        <v>0</v>
      </c>
      <c r="AQ178" s="9">
        <f>ER178*($Q178*$S178)/(1+Voorblad!$K$44)^(AQ$56-Voorblad!$F$41)</f>
        <v>0</v>
      </c>
      <c r="AR178" s="9">
        <f>ES178*($Q178*$S178)/(1+Voorblad!$K$44)^(AR$56-Voorblad!$F$41)</f>
        <v>0</v>
      </c>
      <c r="AS178" s="9">
        <f>ET178*($Q178*$S178)/(1+Voorblad!$K$44)^(AS$56-Voorblad!$F$41)</f>
        <v>0</v>
      </c>
      <c r="AT178" s="9">
        <f>EU178*($Q178*$S178)/(1+Voorblad!$K$44)^(AT$56-Voorblad!$F$41)</f>
        <v>0</v>
      </c>
      <c r="AU178" s="9">
        <f>EV178*($Q178*$S178)/(1+Voorblad!$K$44)^(AU$56-Voorblad!$F$41)</f>
        <v>0</v>
      </c>
      <c r="AV178" s="9">
        <f>EW178*($Q178*$S178)/(1+Voorblad!$K$44)^(AV$56-Voorblad!$F$41)</f>
        <v>0</v>
      </c>
      <c r="AW178" s="9">
        <f>EX178*($Q178*$S178)/(1+Voorblad!$K$44)^(AW$56-Voorblad!$F$41)</f>
        <v>0</v>
      </c>
      <c r="AX178" s="9">
        <f>EY178*($Q178*$S178)/(1+Voorblad!$K$44)^(AX$56-Voorblad!$F$41)</f>
        <v>0</v>
      </c>
      <c r="AY178" s="9">
        <f>EZ178*($Q178*$S178)/(1+Voorblad!$K$44)^(AY$56-Voorblad!$F$41)</f>
        <v>0</v>
      </c>
      <c r="AZ178" s="9">
        <f>FA178*($Q178*$S178)/(1+Voorblad!$K$44)^(AZ$56-Voorblad!$F$41)</f>
        <v>0</v>
      </c>
      <c r="BA178" s="9">
        <f>FB178*($Q178*$S178)/(1+Voorblad!$K$44)^(BA$56-Voorblad!$F$41)</f>
        <v>0</v>
      </c>
      <c r="BB178" s="9">
        <f>FC178*($Q178*$S178)/(1+Voorblad!$K$44)^(BB$56-Voorblad!$F$41)</f>
        <v>0</v>
      </c>
      <c r="BC178" s="9">
        <f>FD178*($Q178*$S178)/(1+Voorblad!$K$44)^(BC$56-Voorblad!$F$41)</f>
        <v>0</v>
      </c>
      <c r="BD178" s="9">
        <f>FE178*($Q178*$S178)/(1+Voorblad!$K$44)^(BD$56-Voorblad!$F$41)</f>
        <v>0</v>
      </c>
      <c r="BE178" s="9">
        <f>FF178*($Q178*$S178)/(1+Voorblad!$K$44)^(BE$56-Voorblad!$F$41)</f>
        <v>0</v>
      </c>
      <c r="BF178" s="9">
        <f>FG178*($Q178*$S178)/(1+Voorblad!$K$44)^(BF$56-Voorblad!$F$41)</f>
        <v>0</v>
      </c>
      <c r="BG178" s="9">
        <f>FH178*($Q178*$S178)/(1+Voorblad!$K$44)^(BG$56-Voorblad!$F$41)</f>
        <v>0</v>
      </c>
      <c r="BH178" s="9">
        <f>FI178*($Q178*$S178)/(1+Voorblad!$K$44)^(BH$56-Voorblad!$F$41)</f>
        <v>0</v>
      </c>
      <c r="BI178" s="9">
        <f>FJ178*($Q178*$S178)/(1+Voorblad!$K$44)^(BI$56-Voorblad!$F$41)</f>
        <v>0</v>
      </c>
      <c r="BJ178" s="9">
        <f>FK178*($Q178*$S178)/(1+Voorblad!$K$44)^(BJ$56-Voorblad!$F$41)</f>
        <v>0</v>
      </c>
      <c r="BK178" s="9">
        <f>FL178*($Q178*$S178)/(1+Voorblad!$K$44)^(BK$56-Voorblad!$F$41)</f>
        <v>0</v>
      </c>
      <c r="BL178" s="9">
        <f>FM178*($Q178*$S178)/(1+Voorblad!$K$44)^(BL$56-Voorblad!$F$41)</f>
        <v>0</v>
      </c>
      <c r="BM178" s="9">
        <f>FN178*($Q178*$S178)/(1+Voorblad!$K$44)^(BM$56-Voorblad!$F$41)</f>
        <v>0</v>
      </c>
      <c r="BN178" s="9">
        <f>FO178*($Q178*$S178)/(1+Voorblad!$K$44)^(BN$56-Voorblad!$F$41)</f>
        <v>0</v>
      </c>
      <c r="BO178" s="9">
        <f>FP178*($Q178*$S178)/(1+Voorblad!$K$44)^(BO$56-Voorblad!$F$41)</f>
        <v>0</v>
      </c>
      <c r="BP178" s="9">
        <f>FQ178*($Q178*$S178)/(1+Voorblad!$K$44)^(BP$56-Voorblad!$F$41)</f>
        <v>0</v>
      </c>
      <c r="BQ178" s="9">
        <f>FR178*($Q178*$S178)/(1+Voorblad!$K$44)^(BQ$56-Voorblad!$F$41)</f>
        <v>0</v>
      </c>
      <c r="BR178" s="9">
        <f>FS178*($Q178*$S178)/(1+Voorblad!$K$44)^(BR$56-Voorblad!$F$41)</f>
        <v>0</v>
      </c>
      <c r="BS178" s="9">
        <f>FT178*($Q178*$S178)/(1+Voorblad!$K$44)^(BS$56-Voorblad!$F$41)</f>
        <v>0</v>
      </c>
      <c r="BT178" s="9">
        <f>FU178*($Q178*$S178)/(1+Voorblad!$K$44)^(BT$56-Voorblad!$F$41)</f>
        <v>0</v>
      </c>
      <c r="BU178" s="9">
        <f>FV178*($Q178*$S178)/(1+Voorblad!$K$44)^(BU$56-Voorblad!$F$41)</f>
        <v>0</v>
      </c>
      <c r="BV178" s="9">
        <f>FW178*($Q178*$S178)/(1+Voorblad!$K$44)^(BV$56-Voorblad!$F$41)</f>
        <v>0</v>
      </c>
      <c r="BW178" s="9">
        <f>FX178*($Q178*$S178)/(1+Voorblad!$K$44)^(BW$56-Voorblad!$F$41)</f>
        <v>0</v>
      </c>
      <c r="BX178" s="9">
        <f>FY178*($Q178*$S178)/(1+Voorblad!$K$44)^(BX$56-Voorblad!$F$41)</f>
        <v>0</v>
      </c>
      <c r="BY178" s="9">
        <f>FZ178*($Q178*$S178)/(1+Voorblad!$K$44)^(BY$56-Voorblad!$F$41)</f>
        <v>0</v>
      </c>
      <c r="BZ178" s="9">
        <f>GA178*($Q178*$S178)/(1+Voorblad!$K$44)^(BZ$56-Voorblad!$F$41)</f>
        <v>0</v>
      </c>
      <c r="CA178" s="9">
        <f>GB178*($Q178*$S178)/(1+Voorblad!$K$44)^(CA$56-Voorblad!$F$41)</f>
        <v>0</v>
      </c>
      <c r="CB178" s="9">
        <f>GC178*($Q178*$S178)/(1+Voorblad!$K$44)^(CB$56-Voorblad!$F$41)</f>
        <v>0</v>
      </c>
      <c r="CC178" s="9">
        <f>GD178*($Q178*$S178)/(1+Voorblad!$K$44)^(CC$56-Voorblad!$F$41)</f>
        <v>0</v>
      </c>
      <c r="CD178" s="9">
        <f>GE178*($Q178*$S178)/(1+Voorblad!$K$44)^(CD$56-Voorblad!$F$41)</f>
        <v>0</v>
      </c>
      <c r="CE178" s="9">
        <f>GF178*($Q178*$S178)/(1+Voorblad!$K$44)^(CE$56-Voorblad!$F$41)</f>
        <v>0</v>
      </c>
      <c r="CF178" s="9">
        <f>GG178*($Q178*$S178)/(1+Voorblad!$K$44)^(CF$56-Voorblad!$F$41)</f>
        <v>0</v>
      </c>
      <c r="CG178" s="9">
        <f>GH178*($Q178*$S178)/(1+Voorblad!$K$44)^(CG$56-Voorblad!$F$41)</f>
        <v>0</v>
      </c>
      <c r="CH178" s="9">
        <f>GI178*($Q178*$S178)/(1+Voorblad!$K$44)^(CH$56-Voorblad!$F$41)</f>
        <v>0</v>
      </c>
      <c r="CI178" s="9">
        <f>GJ178*($Q178*$S178)/(1+Voorblad!$K$44)^(CI$56-Voorblad!$F$41)</f>
        <v>0</v>
      </c>
      <c r="CJ178" s="9">
        <f>GK178*($Q178*$S178)/(1+Voorblad!$K$44)^(CJ$56-Voorblad!$F$41)</f>
        <v>0</v>
      </c>
      <c r="CK178" s="9">
        <f>GL178*($Q178*$S178)/(1+Voorblad!$K$44)^(CK$56-Voorblad!$F$41)</f>
        <v>0</v>
      </c>
      <c r="CL178" s="9">
        <f>GM178*($Q178*$S178)/(1+Voorblad!$K$44)^(CL$56-Voorblad!$F$41)</f>
        <v>0</v>
      </c>
      <c r="CM178" s="9">
        <f>GN178*($Q178*$S178)/(1+Voorblad!$K$44)^(CM$56-Voorblad!$F$41)</f>
        <v>0</v>
      </c>
      <c r="CN178" s="9">
        <f>GO178*($Q178*$S178)/(1+Voorblad!$K$44)^(CN$56-Voorblad!$F$41)</f>
        <v>0</v>
      </c>
      <c r="CO178" s="9">
        <f>GP178*($Q178*$S178)/(1+Voorblad!$K$44)^(CO$56-Voorblad!$F$41)</f>
        <v>0</v>
      </c>
      <c r="CP178" s="9">
        <f>GQ178*($Q178*$S178)/(1+Voorblad!$K$44)^(CP$56-Voorblad!$F$41)</f>
        <v>0</v>
      </c>
      <c r="CQ178" s="9">
        <f>GR178*($Q178*$S178)/(1+Voorblad!$K$44)^(CQ$56-Voorblad!$F$41)</f>
        <v>0</v>
      </c>
      <c r="CR178" s="9">
        <f>GS178*($Q178*$S178)/(1+Voorblad!$K$44)^(CR$56-Voorblad!$F$41)</f>
        <v>0</v>
      </c>
      <c r="CS178" s="9">
        <f>GT178*($Q178*$S178)/(1+Voorblad!$K$44)^(CS$56-Voorblad!$F$41)</f>
        <v>0</v>
      </c>
      <c r="CT178" s="9">
        <f>GU178*($Q178*$S178)/(1+Voorblad!$K$44)^(CT$56-Voorblad!$F$41)</f>
        <v>0</v>
      </c>
      <c r="CU178" s="9">
        <f>GV178*($Q178*$S178)/(1+Voorblad!$K$44)^(CU$56-Voorblad!$F$41)</f>
        <v>0</v>
      </c>
      <c r="CV178" s="9">
        <f>GW178*($Q178*$S178)/(1+Voorblad!$K$44)^(CV$56-Voorblad!$F$41)</f>
        <v>0</v>
      </c>
      <c r="CW178" s="9">
        <f>GX178*($Q178*$S178)/(1+Voorblad!$K$44)^(CW$56-Voorblad!$F$41)</f>
        <v>0</v>
      </c>
      <c r="CX178" s="9">
        <f>GY178*($Q178*$S178)/(1+Voorblad!$K$44)^(CX$56-Voorblad!$F$41)</f>
        <v>0</v>
      </c>
      <c r="CY178" s="9">
        <f>GZ178*($Q178*$S178)/(1+Voorblad!$K$44)^(CY$56-Voorblad!$F$41)</f>
        <v>0</v>
      </c>
      <c r="CZ178" s="9">
        <f>HA178*($Q178*$S178)/(1+Voorblad!$K$44)^(CZ$56-Voorblad!$F$41)</f>
        <v>0</v>
      </c>
      <c r="DA178" s="9">
        <f>HB178*($Q178*$S178)/(1+Voorblad!$K$44)^(DA$56-Voorblad!$F$41)</f>
        <v>0</v>
      </c>
      <c r="DB178" s="9">
        <f>HC178*($Q178*$S178)/(1+Voorblad!$K$44)^(DB$56-Voorblad!$F$41)</f>
        <v>0</v>
      </c>
      <c r="DC178" s="9">
        <f>HD178*($Q178*$S178)/(1+Voorblad!$K$44)^(DC$56-Voorblad!$F$41)</f>
        <v>0</v>
      </c>
      <c r="DD178" s="9">
        <f>HE178*($Q178*$S178)/(1+Voorblad!$K$44)^(DD$56-Voorblad!$F$41)</f>
        <v>0</v>
      </c>
      <c r="DE178" s="9">
        <f>HF178*($Q178*$S178)/(1+Voorblad!$K$44)^(DE$56-Voorblad!$F$41)</f>
        <v>0</v>
      </c>
      <c r="DF178" s="9">
        <f>HG178*($Q178*$S178)/(1+Voorblad!$K$44)^(DF$56-Voorblad!$F$41)</f>
        <v>0</v>
      </c>
      <c r="DG178" s="9">
        <f>HH178*($Q178*$S178)/(1+Voorblad!$K$44)^(DG$56-Voorblad!$F$41)</f>
        <v>0</v>
      </c>
      <c r="DH178" s="9">
        <f>HI178*($Q178*$S178)/(1+Voorblad!$K$44)^(DH$56-Voorblad!$F$41)</f>
        <v>0</v>
      </c>
      <c r="DI178" s="9">
        <f>HJ178*($Q178*$S178)/(1+Voorblad!$K$44)^(DI$56-Voorblad!$F$41)</f>
        <v>0</v>
      </c>
      <c r="DJ178" s="9">
        <f>HK178*($Q178*$S178)/(1+Voorblad!$K$44)^(DJ$56-Voorblad!$F$41)</f>
        <v>0</v>
      </c>
      <c r="DK178" s="9">
        <f>HL178*($Q178*$S178)/(1+Voorblad!$K$44)^(DK$56-Voorblad!$F$41)</f>
        <v>0</v>
      </c>
      <c r="DL178" s="9">
        <f>HM178*($Q178*$S178)/(1+Voorblad!$K$44)^(DL$56-Voorblad!$F$41)</f>
        <v>0</v>
      </c>
      <c r="DM178" s="9">
        <f>HN178*($Q178*$S178)/(1+Voorblad!$K$44)^(DM$56-Voorblad!$F$41)</f>
        <v>0</v>
      </c>
      <c r="DN178" s="9">
        <f>HO178*($Q178*$S178)/(1+Voorblad!$K$44)^(DN$56-Voorblad!$F$41)</f>
        <v>0</v>
      </c>
      <c r="DO178" s="9">
        <f>HP178*($Q178*$S178)/(1+Voorblad!$K$44)^(DO$56-Voorblad!$F$41)</f>
        <v>0</v>
      </c>
      <c r="DP178" s="9">
        <f>HQ178*($Q178*$S178)/(1+Voorblad!$K$44)^(DP$56-Voorblad!$F$41)</f>
        <v>0</v>
      </c>
      <c r="DQ178" s="9">
        <f>HR178*($Q178*$S178)/(1+Voorblad!$K$44)^(DQ$56-Voorblad!$F$41)</f>
        <v>0</v>
      </c>
      <c r="DR178" s="9">
        <f>HS178*($Q178*$S178)/(1+Voorblad!$K$44)^(DR$56-Voorblad!$F$41)</f>
        <v>0</v>
      </c>
      <c r="DS178" s="9">
        <f>HT178*($Q178*$S178)/(1+Voorblad!$K$44)^(DS$56-Voorblad!$F$41)</f>
        <v>0</v>
      </c>
      <c r="DT178" s="9">
        <f>HU178*($Q178*$S178)/(1+Voorblad!$K$44)^(DT$56-Voorblad!$F$41)</f>
        <v>0</v>
      </c>
      <c r="DU178" s="9">
        <f>HV178*($Q178*$S178)/(1+Voorblad!$K$44)^(DU$56-Voorblad!$F$41)</f>
        <v>0</v>
      </c>
      <c r="DV178" s="9">
        <f>HW178*($Q178*$S178)/(1+Voorblad!$K$44)^(DV$56-Voorblad!$F$41)</f>
        <v>0</v>
      </c>
      <c r="DW178" s="9">
        <f>HX178*($Q178*$S178)/(1+Voorblad!$K$44)^(DW$56-Voorblad!$F$41)</f>
        <v>0</v>
      </c>
      <c r="DX178" s="9">
        <f>HY178*($Q178*$S178)/(1+Voorblad!$K$44)^(DX$56-Voorblad!$F$41)</f>
        <v>0</v>
      </c>
      <c r="DY178" s="9">
        <f>HZ178*($Q178*$S178)/(1+Voorblad!$K$44)^(DY$56-Voorblad!$F$41)</f>
        <v>0</v>
      </c>
      <c r="DZ178" s="9">
        <f>IA178*($Q178*$S178)/(1+Voorblad!$K$44)^(DZ$56-Voorblad!$F$41)</f>
        <v>0</v>
      </c>
      <c r="EA178" s="9">
        <f>IB178*($Q178*$S178)/(1+Voorblad!$K$44)^(EA$56-Voorblad!$F$41)</f>
        <v>0</v>
      </c>
      <c r="EB178" s="9">
        <f>IC178*($Q178*$S178)/(1+Voorblad!$K$44)^(EB$56-Voorblad!$F$41)</f>
        <v>0</v>
      </c>
      <c r="EE178" s="8">
        <v>0</v>
      </c>
      <c r="EF178" s="8">
        <f>IF(EF$56-Voorblad!$F$41&gt;Voorblad!$K$41,0,IF($U178=0,0,IF($U178&lt;1,1/$U178,IF((EF$56-Voorblad!$F$41)/$U178-SUM($EE178:EE178)=1,1,0))))</f>
        <v>0</v>
      </c>
      <c r="EG178" s="8">
        <f>IF(EG$56-Voorblad!$F$41&gt;Voorblad!$K$41,0,IF($U178=0,0,IF($U178&lt;1,1/$U178,IF((EG$56-Voorblad!$F$41)/$U178-SUM($EE178:EF178)=1,1,0))))</f>
        <v>0</v>
      </c>
      <c r="EH178" s="8">
        <f>IF(EH$56-Voorblad!$F$41&gt;Voorblad!$K$41,0,IF($U178=0,0,IF($U178&lt;1,1/$U178,IF((EH$56-Voorblad!$F$41)/$U178-SUM($EE178:EG178)=1,1,0))))</f>
        <v>0</v>
      </c>
      <c r="EI178" s="8">
        <f>IF(EI$56-Voorblad!$F$41&gt;Voorblad!$K$41,0,IF($U178=0,0,IF($U178&lt;1,1/$U178,IF((EI$56-Voorblad!$F$41)/$U178-SUM($EE178:EH178)=1,1,0))))</f>
        <v>0</v>
      </c>
      <c r="EJ178" s="8">
        <f>IF(EJ$56-Voorblad!$F$41&gt;Voorblad!$K$41,0,IF($U178=0,0,IF($U178&lt;1,1/$U178,IF((EJ$56-Voorblad!$F$41)/$U178-SUM($EE178:EI178)=1,1,0))))</f>
        <v>0</v>
      </c>
      <c r="EK178" s="8">
        <f>IF(EK$56-Voorblad!$F$41&gt;Voorblad!$K$41,0,IF($U178=0,0,IF($U178&lt;1,1/$U178,IF((EK$56-Voorblad!$F$41)/$U178-SUM($EE178:EJ178)=1,1,0))))</f>
        <v>0</v>
      </c>
      <c r="EL178" s="8">
        <f>IF(EL$56-Voorblad!$F$41&gt;Voorblad!$K$41,0,IF($U178=0,0,IF($U178&lt;1,1/$U178,IF((EL$56-Voorblad!$F$41)/$U178-SUM($EE178:EK178)=1,1,0))))</f>
        <v>0</v>
      </c>
      <c r="EM178" s="8">
        <f>IF(EM$56-Voorblad!$F$41&gt;Voorblad!$K$41,0,IF($U178=0,0,IF($U178&lt;1,1/$U178,IF((EM$56-Voorblad!$F$41)/$U178-SUM($EE178:EL178)=1,1,0))))</f>
        <v>0</v>
      </c>
      <c r="EN178" s="8">
        <f>IF(EN$56-Voorblad!$F$41&gt;Voorblad!$K$41,0,IF($U178=0,0,IF($U178&lt;1,1/$U178,IF((EN$56-Voorblad!$F$41)/$U178-SUM($EE178:EM178)=1,1,0))))</f>
        <v>0</v>
      </c>
      <c r="EO178" s="8">
        <f>IF(EO$56-Voorblad!$F$41&gt;Voorblad!$K$41,0,IF($U178=0,0,IF($U178&lt;1,1/$U178,IF((EO$56-Voorblad!$F$41)/$U178-SUM($EE178:EN178)=1,1,0))))</f>
        <v>0</v>
      </c>
      <c r="EP178" s="8">
        <f>IF(EP$56-Voorblad!$F$41&gt;Voorblad!$K$41,0,IF($U178=0,0,IF($U178&lt;1,1/$U178,IF((EP$56-Voorblad!$F$41)/$U178-SUM($EE178:EO178)=1,1,0))))</f>
        <v>0</v>
      </c>
      <c r="EQ178" s="8">
        <f>IF(EQ$56-Voorblad!$F$41&gt;Voorblad!$K$41,0,IF($U178=0,0,IF($U178&lt;1,1/$U178,IF((EQ$56-Voorblad!$F$41)/$U178-SUM($EE178:EP178)=1,1,0))))</f>
        <v>0</v>
      </c>
      <c r="ER178" s="8">
        <f>IF(ER$56-Voorblad!$F$41&gt;Voorblad!$K$41,0,IF($U178=0,0,IF($U178&lt;1,1/$U178,IF((ER$56-Voorblad!$F$41)/$U178-SUM($EE178:EQ178)=1,1,0))))</f>
        <v>0</v>
      </c>
      <c r="ES178" s="8">
        <f>IF(ES$56-Voorblad!$F$41&gt;Voorblad!$K$41,0,IF($U178=0,0,IF($U178&lt;1,1/$U178,IF((ES$56-Voorblad!$F$41)/$U178-SUM($EE178:ER178)=1,1,0))))</f>
        <v>0</v>
      </c>
      <c r="ET178" s="8">
        <f>IF(ET$56-Voorblad!$F$41&gt;Voorblad!$K$41,0,IF($U178=0,0,IF($U178&lt;1,1/$U178,IF((ET$56-Voorblad!$F$41)/$U178-SUM($EE178:ES178)=1,1,0))))</f>
        <v>0</v>
      </c>
      <c r="EU178" s="8">
        <f>IF(EU$56-Voorblad!$F$41&gt;Voorblad!$K$41,0,IF($U178=0,0,IF($U178&lt;1,1/$U178,IF((EU$56-Voorblad!$F$41)/$U178-SUM($EE178:ET178)=1,1,0))))</f>
        <v>0</v>
      </c>
      <c r="EV178" s="8">
        <f>IF(EV$56-Voorblad!$F$41&gt;Voorblad!$K$41,0,IF($U178=0,0,IF($U178&lt;1,1/$U178,IF((EV$56-Voorblad!$F$41)/$U178-SUM($EE178:EU178)=1,1,0))))</f>
        <v>0</v>
      </c>
      <c r="EW178" s="8">
        <f>IF(EW$56-Voorblad!$F$41&gt;Voorblad!$K$41,0,IF($U178=0,0,IF($U178&lt;1,1/$U178,IF((EW$56-Voorblad!$F$41)/$U178-SUM($EE178:EV178)=1,1,0))))</f>
        <v>0</v>
      </c>
      <c r="EX178" s="8">
        <f>IF(EX$56-Voorblad!$F$41&gt;Voorblad!$K$41,0,IF($U178=0,0,IF($U178&lt;1,1/$U178,IF((EX$56-Voorblad!$F$41)/$U178-SUM($EE178:EW178)=1,1,0))))</f>
        <v>0</v>
      </c>
      <c r="EY178" s="8">
        <f>IF(EY$56-Voorblad!$F$41&gt;Voorblad!$K$41,0,IF($U178=0,0,IF($U178&lt;1,1/$U178,IF((EY$56-Voorblad!$F$41)/$U178-SUM($EE178:EX178)=1,1,0))))</f>
        <v>0</v>
      </c>
      <c r="EZ178" s="8">
        <f>IF(EZ$56-Voorblad!$F$41&gt;Voorblad!$K$41,0,IF($U178=0,0,IF($U178&lt;1,1/$U178,IF((EZ$56-Voorblad!$F$41)/$U178-SUM($EE178:EY178)=1,1,0))))</f>
        <v>0</v>
      </c>
      <c r="FA178" s="8">
        <f>IF(FA$56-Voorblad!$F$41&gt;Voorblad!$K$41,0,IF($U178=0,0,IF($U178&lt;1,1/$U178,IF((FA$56-Voorblad!$F$41)/$U178-SUM($EE178:EZ178)=1,1,0))))</f>
        <v>0</v>
      </c>
      <c r="FB178" s="8">
        <f>IF(FB$56-Voorblad!$F$41&gt;Voorblad!$K$41,0,IF($U178=0,0,IF($U178&lt;1,1/$U178,IF((FB$56-Voorblad!$F$41)/$U178-SUM($EE178:FA178)=1,1,0))))</f>
        <v>0</v>
      </c>
      <c r="FC178" s="8">
        <f>IF(FC$56-Voorblad!$F$41&gt;Voorblad!$K$41,0,IF($U178=0,0,IF($U178&lt;1,1/$U178,IF((FC$56-Voorblad!$F$41)/$U178-SUM($EE178:FB178)=1,1,0))))</f>
        <v>0</v>
      </c>
      <c r="FD178" s="8">
        <f>IF(FD$56-Voorblad!$F$41&gt;Voorblad!$K$41,0,IF($U178=0,0,IF($U178&lt;1,1/$U178,IF((FD$56-Voorblad!$F$41)/$U178-SUM($EE178:FC178)=1,1,0))))</f>
        <v>0</v>
      </c>
      <c r="FE178" s="8">
        <f>IF(FE$56-Voorblad!$F$41&gt;Voorblad!$K$41,0,IF($U178=0,0,IF($U178&lt;1,1/$U178,IF((FE$56-Voorblad!$F$41)/$U178-SUM($EE178:FD178)=1,1,0))))</f>
        <v>0</v>
      </c>
      <c r="FF178" s="8">
        <f>IF(FF$56-Voorblad!$F$41&gt;Voorblad!$K$41,0,IF($U178=0,0,IF($U178&lt;1,1/$U178,IF((FF$56-Voorblad!$F$41)/$U178-SUM($EE178:FE178)=1,1,0))))</f>
        <v>0</v>
      </c>
      <c r="FG178" s="8">
        <f>IF(FG$56-Voorblad!$F$41&gt;Voorblad!$K$41,0,IF($U178=0,0,IF($U178&lt;1,1/$U178,IF((FG$56-Voorblad!$F$41)/$U178-SUM($EE178:FF178)=1,1,0))))</f>
        <v>0</v>
      </c>
      <c r="FH178" s="8">
        <f>IF(FH$56-Voorblad!$F$41&gt;Voorblad!$K$41,0,IF($U178=0,0,IF($U178&lt;1,1/$U178,IF((FH$56-Voorblad!$F$41)/$U178-SUM($EE178:FG178)=1,1,0))))</f>
        <v>0</v>
      </c>
      <c r="FI178" s="8">
        <f>IF(FI$56-Voorblad!$F$41&gt;Voorblad!$K$41,0,IF($U178=0,0,IF($U178&lt;1,1/$U178,IF((FI$56-Voorblad!$F$41)/$U178-SUM($EE178:FH178)=1,1,0))))</f>
        <v>0</v>
      </c>
      <c r="FJ178" s="8">
        <f>IF(FJ$56-Voorblad!$F$41&gt;Voorblad!$K$41,0,IF($U178=0,0,IF($U178&lt;1,1/$U178,IF((FJ$56-Voorblad!$F$41)/$U178-SUM($EE178:FI178)=1,1,0))))</f>
        <v>1</v>
      </c>
      <c r="FK178" s="8">
        <f>IF(FK$56-Voorblad!$F$41&gt;Voorblad!$K$41,0,IF($U178=0,0,IF($U178&lt;1,1/$U178,IF((FK$56-Voorblad!$F$41)/$U178-SUM($EE178:FJ178)=1,1,0))))</f>
        <v>0</v>
      </c>
      <c r="FL178" s="8">
        <f>IF(FL$56-Voorblad!$F$41&gt;Voorblad!$K$41,0,IF($U178=0,0,IF($U178&lt;1,1/$U178,IF((FL$56-Voorblad!$F$41)/$U178-SUM($EE178:FK178)=1,1,0))))</f>
        <v>0</v>
      </c>
      <c r="FM178" s="8">
        <f>IF(FM$56-Voorblad!$F$41&gt;Voorblad!$K$41,0,IF($U178=0,0,IF($U178&lt;1,1/$U178,IF((FM$56-Voorblad!$F$41)/$U178-SUM($EE178:FL178)=1,1,0))))</f>
        <v>0</v>
      </c>
      <c r="FN178" s="8">
        <f>IF(FN$56-Voorblad!$F$41&gt;Voorblad!$K$41,0,IF($U178=0,0,IF($U178&lt;1,1/$U178,IF((FN$56-Voorblad!$F$41)/$U178-SUM($EE178:FM178)=1,1,0))))</f>
        <v>0</v>
      </c>
      <c r="FO178" s="8">
        <f>IF(FO$56-Voorblad!$F$41&gt;Voorblad!$K$41,0,IF($U178=0,0,IF($U178&lt;1,1/$U178,IF((FO$56-Voorblad!$F$41)/$U178-SUM($EE178:FN178)=1,1,0))))</f>
        <v>0</v>
      </c>
      <c r="FP178" s="8">
        <f>IF(FP$56-Voorblad!$F$41&gt;Voorblad!$K$41,0,IF($U178=0,0,IF($U178&lt;1,1/$U178,IF((FP$56-Voorblad!$F$41)/$U178-SUM($EE178:FO178)=1,1,0))))</f>
        <v>0</v>
      </c>
      <c r="FQ178" s="8">
        <f>IF(FQ$56-Voorblad!$F$41&gt;Voorblad!$K$41,0,IF($U178=0,0,IF($U178&lt;1,1/$U178,IF((FQ$56-Voorblad!$F$41)/$U178-SUM($EE178:FP178)=1,1,0))))</f>
        <v>0</v>
      </c>
      <c r="FR178" s="8">
        <f>IF(FR$56-Voorblad!$F$41&gt;Voorblad!$K$41,0,IF($U178=0,0,IF($U178&lt;1,1/$U178,IF((FR$56-Voorblad!$F$41)/$U178-SUM($EE178:FQ178)=1,1,0))))</f>
        <v>0</v>
      </c>
      <c r="FS178" s="8">
        <f>IF(FS$56-Voorblad!$F$41&gt;Voorblad!$K$41,0,IF($U178=0,0,IF($U178&lt;1,1/$U178,IF((FS$56-Voorblad!$F$41)/$U178-SUM($EE178:FR178)=1,1,0))))</f>
        <v>0</v>
      </c>
      <c r="FT178" s="8">
        <f>IF(FT$56-Voorblad!$F$41&gt;Voorblad!$K$41,0,IF($U178=0,0,IF($U178&lt;1,1/$U178,IF((FT$56-Voorblad!$F$41)/$U178-SUM($EE178:FS178)=1,1,0))))</f>
        <v>0</v>
      </c>
      <c r="FU178" s="8">
        <f>IF(FU$56-Voorblad!$F$41&gt;Voorblad!$K$41,0,IF($U178=0,0,IF($U178&lt;1,1/$U178,IF((FU$56-Voorblad!$F$41)/$U178-SUM($EE178:FT178)=1,1,0))))</f>
        <v>0</v>
      </c>
      <c r="FV178" s="8">
        <f>IF(FV$56-Voorblad!$F$41&gt;Voorblad!$K$41,0,IF($U178=0,0,IF($U178&lt;1,1/$U178,IF((FV$56-Voorblad!$F$41)/$U178-SUM($EE178:FU178)=1,1,0))))</f>
        <v>0</v>
      </c>
      <c r="FW178" s="8">
        <f>IF(FW$56-Voorblad!$F$41&gt;Voorblad!$K$41,0,IF($U178=0,0,IF($U178&lt;1,1/$U178,IF((FW$56-Voorblad!$F$41)/$U178-SUM($EE178:FV178)=1,1,0))))</f>
        <v>0</v>
      </c>
      <c r="FX178" s="8">
        <f>IF(FX$56-Voorblad!$F$41&gt;Voorblad!$K$41,0,IF($U178=0,0,IF($U178&lt;1,1/$U178,IF((FX$56-Voorblad!$F$41)/$U178-SUM($EE178:FW178)=1,1,0))))</f>
        <v>0</v>
      </c>
      <c r="FY178" s="8">
        <f>IF(FY$56-Voorblad!$F$41&gt;Voorblad!$K$41,0,IF($U178=0,0,IF($U178&lt;1,1/$U178,IF((FY$56-Voorblad!$F$41)/$U178-SUM($EE178:FX178)=1,1,0))))</f>
        <v>0</v>
      </c>
      <c r="FZ178" s="8">
        <f>IF(FZ$56-Voorblad!$F$41&gt;Voorblad!$K$41,0,IF($U178=0,0,IF($U178&lt;1,1/$U178,IF((FZ$56-Voorblad!$F$41)/$U178-SUM($EE178:FY178)=1,1,0))))</f>
        <v>0</v>
      </c>
      <c r="GA178" s="8">
        <f>IF(GA$56-Voorblad!$F$41&gt;Voorblad!$K$41,0,IF($U178=0,0,IF($U178&lt;1,1/$U178,IF((GA$56-Voorblad!$F$41)/$U178-SUM($EE178:FZ178)=1,1,0))))</f>
        <v>0</v>
      </c>
      <c r="GB178" s="8">
        <f>IF(GB$56-Voorblad!$F$41&gt;Voorblad!$K$41,0,IF($U178=0,0,IF($U178&lt;1,1/$U178,IF((GB$56-Voorblad!$F$41)/$U178-SUM($EE178:GA178)=1,1,0))))</f>
        <v>0</v>
      </c>
      <c r="GC178" s="8">
        <f>IF(GC$56-Voorblad!$F$41&gt;Voorblad!$K$41,0,IF($U178=0,0,IF($U178&lt;1,1/$U178,IF((GC$56-Voorblad!$F$41)/$U178-SUM($EE178:GB178)=1,1,0))))</f>
        <v>0</v>
      </c>
      <c r="GD178" s="8">
        <f>IF(GD$56-Voorblad!$F$41&gt;Voorblad!$K$41,0,IF($U178=0,0,IF($U178&lt;1,1/$U178,IF((GD$56-Voorblad!$F$41)/$U178-SUM($EE178:GC178)=1,1,0))))</f>
        <v>0</v>
      </c>
      <c r="GE178" s="8">
        <f>IF(GE$56-Voorblad!$F$41&gt;Voorblad!$K$41,0,IF($U178=0,0,IF($U178&lt;1,1/$U178,IF((GE$56-Voorblad!$F$41)/$U178-SUM($EE178:GD178)=1,1,0))))</f>
        <v>0</v>
      </c>
      <c r="GF178" s="8">
        <f>IF(GF$56-Voorblad!$F$41&gt;Voorblad!$K$41,0,IF($U178=0,0,IF($U178&lt;1,1/$U178,IF((GF$56-Voorblad!$F$41)/$U178-SUM($EE178:GE178)=1,1,0))))</f>
        <v>0</v>
      </c>
      <c r="GG178" s="8">
        <f>IF(GG$56-Voorblad!$F$41&gt;Voorblad!$K$41,0,IF($U178=0,0,IF($U178&lt;1,1/$U178,IF((GG$56-Voorblad!$F$41)/$U178-SUM($EE178:GF178)=1,1,0))))</f>
        <v>0</v>
      </c>
      <c r="GH178" s="8">
        <f>IF(GH$56-Voorblad!$F$41&gt;Voorblad!$K$41,0,IF($U178=0,0,IF($U178&lt;1,1/$U178,IF((GH$56-Voorblad!$F$41)/$U178-SUM($EE178:GG178)=1,1,0))))</f>
        <v>0</v>
      </c>
      <c r="GI178" s="8">
        <f>IF(GI$56-Voorblad!$F$41&gt;Voorblad!$K$41,0,IF($U178=0,0,IF($U178&lt;1,1/$U178,IF((GI$56-Voorblad!$F$41)/$U178-SUM($EE178:GH178)=1,1,0))))</f>
        <v>0</v>
      </c>
      <c r="GJ178" s="8">
        <f>IF(GJ$56-Voorblad!$F$41&gt;Voorblad!$K$41,0,IF($U178=0,0,IF($U178&lt;1,1/$U178,IF((GJ$56-Voorblad!$F$41)/$U178-SUM($EE178:GI178)=1,1,0))))</f>
        <v>0</v>
      </c>
      <c r="GK178" s="8">
        <f>IF(GK$56-Voorblad!$F$41&gt;Voorblad!$K$41,0,IF($U178=0,0,IF($U178&lt;1,1/$U178,IF((GK$56-Voorblad!$F$41)/$U178-SUM($EE178:GJ178)=1,1,0))))</f>
        <v>0</v>
      </c>
      <c r="GL178" s="8">
        <f>IF(GL$56-Voorblad!$F$41&gt;Voorblad!$K$41,0,IF($U178=0,0,IF($U178&lt;1,1/$U178,IF((GL$56-Voorblad!$F$41)/$U178-SUM($EE178:GK178)=1,1,0))))</f>
        <v>0</v>
      </c>
      <c r="GM178" s="8">
        <f>IF(GM$56-Voorblad!$F$41&gt;Voorblad!$K$41,0,IF($U178=0,0,IF($U178&lt;1,1/$U178,IF((GM$56-Voorblad!$F$41)/$U178-SUM($EE178:GL178)=1,1,0))))</f>
        <v>0</v>
      </c>
      <c r="GN178" s="8">
        <f>IF(GN$56-Voorblad!$F$41&gt;Voorblad!$K$41,0,IF($U178=0,0,IF($U178&lt;1,1/$U178,IF((GN$56-Voorblad!$F$41)/$U178-SUM($EE178:GM178)=1,1,0))))</f>
        <v>1</v>
      </c>
      <c r="GO178" s="8">
        <f>IF(GO$56-Voorblad!$F$41&gt;Voorblad!$K$41,0,IF($U178=0,0,IF($U178&lt;1,1/$U178,IF((GO$56-Voorblad!$F$41)/$U178-SUM($EE178:GN178)=1,1,0))))</f>
        <v>0</v>
      </c>
      <c r="GP178" s="8">
        <f>IF(GP$56-Voorblad!$F$41&gt;Voorblad!$K$41,0,IF($U178=0,0,IF($U178&lt;1,1/$U178,IF((GP$56-Voorblad!$F$41)/$U178-SUM($EE178:GO178)=1,1,0))))</f>
        <v>0</v>
      </c>
      <c r="GQ178" s="8">
        <f>IF(GQ$56-Voorblad!$F$41&gt;Voorblad!$K$41,0,IF($U178=0,0,IF($U178&lt;1,1/$U178,IF((GQ$56-Voorblad!$F$41)/$U178-SUM($EE178:GP178)=1,1,0))))</f>
        <v>0</v>
      </c>
      <c r="GR178" s="8">
        <f>IF(GR$56-Voorblad!$F$41&gt;Voorblad!$K$41,0,IF($U178=0,0,IF($U178&lt;1,1/$U178,IF((GR$56-Voorblad!$F$41)/$U178-SUM($EE178:GQ178)=1,1,0))))</f>
        <v>0</v>
      </c>
      <c r="GS178" s="8">
        <f>IF(GS$56-Voorblad!$F$41&gt;Voorblad!$K$41,0,IF($U178=0,0,IF($U178&lt;1,1/$U178,IF((GS$56-Voorblad!$F$41)/$U178-SUM($EE178:GR178)=1,1,0))))</f>
        <v>0</v>
      </c>
      <c r="GT178" s="8">
        <f>IF(GT$56-Voorblad!$F$41&gt;Voorblad!$K$41,0,IF($U178=0,0,IF($U178&lt;1,1/$U178,IF((GT$56-Voorblad!$F$41)/$U178-SUM($EE178:GS178)=1,1,0))))</f>
        <v>0</v>
      </c>
      <c r="GU178" s="8">
        <f>IF(GU$56-Voorblad!$F$41&gt;Voorblad!$K$41,0,IF($U178=0,0,IF($U178&lt;1,1/$U178,IF((GU$56-Voorblad!$F$41)/$U178-SUM($EE178:GT178)=1,1,0))))</f>
        <v>0</v>
      </c>
      <c r="GV178" s="8">
        <f>IF(GV$56-Voorblad!$F$41&gt;Voorblad!$K$41,0,IF($U178=0,0,IF($U178&lt;1,1/$U178,IF((GV$56-Voorblad!$F$41)/$U178-SUM($EE178:GU178)=1,1,0))))</f>
        <v>0</v>
      </c>
      <c r="GW178" s="8">
        <f>IF(GW$56-Voorblad!$F$41&gt;Voorblad!$K$41,0,IF($U178=0,0,IF($U178&lt;1,1/$U178,IF((GW$56-Voorblad!$F$41)/$U178-SUM($EE178:GV178)=1,1,0))))</f>
        <v>0</v>
      </c>
      <c r="GX178" s="8">
        <f>IF(GX$56-Voorblad!$F$41&gt;Voorblad!$K$41,0,IF($U178=0,0,IF($U178&lt;1,1/$U178,IF((GX$56-Voorblad!$F$41)/$U178-SUM($EE178:GW178)=1,1,0))))</f>
        <v>0</v>
      </c>
      <c r="GY178" s="8">
        <f>IF(GY$56-Voorblad!$F$41&gt;Voorblad!$K$41,0,IF($U178=0,0,IF($U178&lt;1,1/$U178,IF((GY$56-Voorblad!$F$41)/$U178-SUM($EE178:GX178)=1,1,0))))</f>
        <v>0</v>
      </c>
      <c r="GZ178" s="8">
        <f>IF(GZ$56-Voorblad!$F$41&gt;Voorblad!$K$41,0,IF($U178=0,0,IF($U178&lt;1,1/$U178,IF((GZ$56-Voorblad!$F$41)/$U178-SUM($EE178:GY178)=1,1,0))))</f>
        <v>0</v>
      </c>
      <c r="HA178" s="8">
        <f>IF(HA$56-Voorblad!$F$41&gt;Voorblad!$K$41,0,IF($U178=0,0,IF($U178&lt;1,1/$U178,IF((HA$56-Voorblad!$F$41)/$U178-SUM($EE178:GZ178)=1,1,0))))</f>
        <v>0</v>
      </c>
      <c r="HB178" s="8">
        <f>IF(HB$56-Voorblad!$F$41&gt;Voorblad!$K$41,0,IF($U178=0,0,IF($U178&lt;1,1/$U178,IF((HB$56-Voorblad!$F$41)/$U178-SUM($EE178:HA178)=1,1,0))))</f>
        <v>0</v>
      </c>
      <c r="HC178" s="8">
        <f>IF(HC$56-Voorblad!$F$41&gt;Voorblad!$K$41,0,IF($U178=0,0,IF($U178&lt;1,1/$U178,IF((HC$56-Voorblad!$F$41)/$U178-SUM($EE178:HB178)=1,1,0))))</f>
        <v>0</v>
      </c>
      <c r="HD178" s="8">
        <f>IF(HD$56-Voorblad!$F$41&gt;Voorblad!$K$41,0,IF($U178=0,0,IF($U178&lt;1,1/$U178,IF((HD$56-Voorblad!$F$41)/$U178-SUM($EE178:HC178)=1,1,0))))</f>
        <v>0</v>
      </c>
      <c r="HE178" s="8">
        <f>IF(HE$56-Voorblad!$F$41&gt;Voorblad!$K$41,0,IF($U178=0,0,IF($U178&lt;1,1/$U178,IF((HE$56-Voorblad!$F$41)/$U178-SUM($EE178:HD178)=1,1,0))))</f>
        <v>0</v>
      </c>
      <c r="HF178" s="8">
        <f>IF(HF$56-Voorblad!$F$41&gt;Voorblad!$K$41,0,IF($U178=0,0,IF($U178&lt;1,1/$U178,IF((HF$56-Voorblad!$F$41)/$U178-SUM($EE178:HE178)=1,1,0))))</f>
        <v>0</v>
      </c>
      <c r="HG178" s="8">
        <f>IF(HG$56-Voorblad!$F$41&gt;Voorblad!$K$41,0,IF($U178=0,0,IF($U178&lt;1,1/$U178,IF((HG$56-Voorblad!$F$41)/$U178-SUM($EE178:HF178)=1,1,0))))</f>
        <v>0</v>
      </c>
      <c r="HH178" s="8">
        <f>IF(HH$56-Voorblad!$F$41&gt;Voorblad!$K$41,0,IF($U178=0,0,IF($U178&lt;1,1/$U178,IF((HH$56-Voorblad!$F$41)/$U178-SUM($EE178:HG178)=1,1,0))))</f>
        <v>0</v>
      </c>
      <c r="HI178" s="8">
        <f>IF(HI$56-Voorblad!$F$41&gt;Voorblad!$K$41,0,IF($U178=0,0,IF($U178&lt;1,1/$U178,IF((HI$56-Voorblad!$F$41)/$U178-SUM($EE178:HH178)=1,1,0))))</f>
        <v>0</v>
      </c>
      <c r="HJ178" s="8">
        <f>IF(HJ$56-Voorblad!$F$41&gt;Voorblad!$K$41,0,IF($U178=0,0,IF($U178&lt;1,1/$U178,IF((HJ$56-Voorblad!$F$41)/$U178-SUM($EE178:HI178)=1,1,0))))</f>
        <v>0</v>
      </c>
      <c r="HK178" s="8">
        <f>IF(HK$56-Voorblad!$F$41&gt;Voorblad!$K$41,0,IF($U178=0,0,IF($U178&lt;1,1/$U178,IF((HK$56-Voorblad!$F$41)/$U178-SUM($EE178:HJ178)=1,1,0))))</f>
        <v>0</v>
      </c>
      <c r="HL178" s="8">
        <f>IF(HL$56-Voorblad!$F$41&gt;Voorblad!$K$41,0,IF($U178=0,0,IF($U178&lt;1,1/$U178,IF((HL$56-Voorblad!$F$41)/$U178-SUM($EE178:HK178)=1,1,0))))</f>
        <v>0</v>
      </c>
      <c r="HM178" s="8">
        <f>IF(HM$56-Voorblad!$F$41&gt;Voorblad!$K$41,0,IF($U178=0,0,IF($U178&lt;1,1/$U178,IF((HM$56-Voorblad!$F$41)/$U178-SUM($EE178:HL178)=1,1,0))))</f>
        <v>0</v>
      </c>
      <c r="HN178" s="8">
        <f>IF(HN$56-Voorblad!$F$41&gt;Voorblad!$K$41,0,IF($U178=0,0,IF($U178&lt;1,1/$U178,IF((HN$56-Voorblad!$F$41)/$U178-SUM($EE178:HM178)=1,1,0))))</f>
        <v>0</v>
      </c>
      <c r="HO178" s="8">
        <f>IF(HO$56-Voorblad!$F$41&gt;Voorblad!$K$41,0,IF($U178=0,0,IF($U178&lt;1,1/$U178,IF((HO$56-Voorblad!$F$41)/$U178-SUM($EE178:HN178)=1,1,0))))</f>
        <v>0</v>
      </c>
      <c r="HP178" s="8">
        <f>IF(HP$56-Voorblad!$F$41&gt;Voorblad!$K$41,0,IF($U178=0,0,IF($U178&lt;1,1/$U178,IF((HP$56-Voorblad!$F$41)/$U178-SUM($EE178:HO178)=1,1,0))))</f>
        <v>0</v>
      </c>
      <c r="HQ178" s="8">
        <f>IF(HQ$56-Voorblad!$F$41&gt;Voorblad!$K$41,0,IF($U178=0,0,IF($U178&lt;1,1/$U178,IF((HQ$56-Voorblad!$F$41)/$U178-SUM($EE178:HP178)=1,1,0))))</f>
        <v>0</v>
      </c>
      <c r="HR178" s="8">
        <f>IF(HR$56-Voorblad!$F$41&gt;Voorblad!$K$41,0,IF($U178=0,0,IF($U178&lt;1,1/$U178,IF((HR$56-Voorblad!$F$41)/$U178-SUM($EE178:HQ178)=1,1,0))))</f>
        <v>0</v>
      </c>
      <c r="HS178" s="8">
        <f>IF(HS$56-Voorblad!$F$41&gt;Voorblad!$K$41,0,IF($U178=0,0,IF($U178&lt;1,1/$U178,IF((HS$56-Voorblad!$F$41)/$U178-SUM($EE178:HR178)=1,1,0))))</f>
        <v>0</v>
      </c>
      <c r="HT178" s="8">
        <f>IF(HT$56-Voorblad!$F$41&gt;Voorblad!$K$41,0,IF($U178=0,0,IF($U178&lt;1,1/$U178,IF((HT$56-Voorblad!$F$41)/$U178-SUM($EE178:HS178)=1,1,0))))</f>
        <v>0</v>
      </c>
      <c r="HU178" s="8">
        <f>IF(HU$56-Voorblad!$F$41&gt;Voorblad!$K$41,0,IF($U178=0,0,IF($U178&lt;1,1/$U178,IF((HU$56-Voorblad!$F$41)/$U178-SUM($EE178:HT178)=1,1,0))))</f>
        <v>0</v>
      </c>
      <c r="HV178" s="8">
        <f>IF(HV$56-Voorblad!$F$41&gt;Voorblad!$K$41,0,IF($U178=0,0,IF($U178&lt;1,1/$U178,IF((HV$56-Voorblad!$F$41)/$U178-SUM($EE178:HU178)=1,1,0))))</f>
        <v>0</v>
      </c>
      <c r="HW178" s="8">
        <f>IF(HW$56-Voorblad!$F$41&gt;Voorblad!$K$41,0,IF($U178=0,0,IF($U178&lt;1,1/$U178,IF((HW$56-Voorblad!$F$41)/$U178-SUM($EE178:HV178)=1,1,0))))</f>
        <v>0</v>
      </c>
      <c r="HX178" s="8">
        <f>IF(HX$56-Voorblad!$F$41&gt;Voorblad!$K$41,0,IF($U178=0,0,IF($U178&lt;1,1/$U178,IF((HX$56-Voorblad!$F$41)/$U178-SUM($EE178:HW178)=1,1,0))))</f>
        <v>0</v>
      </c>
      <c r="HY178" s="8">
        <f>IF(HY$56-Voorblad!$F$41&gt;Voorblad!$K$41,0,IF($U178=0,0,IF($U178&lt;1,1/$U178,IF((HY$56-Voorblad!$F$41)/$U178-SUM($EE178:HX178)=1,1,0))))</f>
        <v>0</v>
      </c>
      <c r="HZ178" s="8">
        <f>IF(HZ$56-Voorblad!$F$41&gt;Voorblad!$K$41,0,IF($U178=0,0,IF($U178&lt;1,1/$U178,IF((HZ$56-Voorblad!$F$41)/$U178-SUM($EE178:HY178)=1,1,0))))</f>
        <v>0</v>
      </c>
      <c r="IA178" s="8">
        <f>IF(IA$56-Voorblad!$F$41&gt;Voorblad!$K$41,0,IF($U178=0,0,IF($U178&lt;1,1/$U178,IF((IA$56-Voorblad!$F$41)/$U178-SUM($EE178:HZ178)=1,1,0))))</f>
        <v>0</v>
      </c>
      <c r="IB178" s="8">
        <f>IF(IB$56-Voorblad!$F$41&gt;Voorblad!$K$41,0,IF($U178=0,0,IF($U178&lt;1,1/$U178,IF((IB$56-Voorblad!$F$41)/$U178-SUM($EE178:IA178)=1,1,0))))</f>
        <v>0</v>
      </c>
    </row>
    <row r="179" spans="2:236" s="14" customFormat="1" ht="12" hidden="1" customHeight="1" outlineLevel="1" x14ac:dyDescent="0.25">
      <c r="B179" s="1">
        <v>1</v>
      </c>
      <c r="C179" s="1"/>
      <c r="F179" s="14" t="s">
        <v>23</v>
      </c>
      <c r="I179" s="14" t="s">
        <v>48</v>
      </c>
      <c r="J179" s="1"/>
      <c r="K179" s="14" t="s">
        <v>161</v>
      </c>
      <c r="O179" s="14" t="s">
        <v>214</v>
      </c>
      <c r="P179" s="14" t="s">
        <v>217</v>
      </c>
      <c r="Q179" s="83">
        <v>0</v>
      </c>
      <c r="R179" s="14" t="s">
        <v>34</v>
      </c>
      <c r="S179" s="21">
        <f>$H$10*1000</f>
        <v>2380</v>
      </c>
      <c r="T179" s="21">
        <f t="shared" si="194"/>
        <v>0</v>
      </c>
      <c r="U179" s="14">
        <v>50</v>
      </c>
      <c r="Y179" s="21">
        <f t="shared" ref="Y179:Y183" si="198">SUM(AE179:EB179)</f>
        <v>0</v>
      </c>
      <c r="Z179" s="149"/>
      <c r="AA179" s="149"/>
      <c r="AC179" s="9">
        <f>$Y179*(Voorblad!$K$44*(1+Voorblad!$K$44)^Voorblad!$K$41)/((1+Voorblad!$K$44)^Voorblad!$K$41-1)</f>
        <v>0</v>
      </c>
      <c r="AE179" s="21">
        <f>EF179*($Q179*$S179)/(1+Voorblad!$K$44)^(AE$56-Voorblad!$F$41)</f>
        <v>0</v>
      </c>
      <c r="AF179" s="21">
        <f>EG179*($Q179*$S179)/(1+Voorblad!$K$44)^(AF$56-Voorblad!$F$41)</f>
        <v>0</v>
      </c>
      <c r="AG179" s="21">
        <f>EH179*($Q179*$S179)/(1+Voorblad!$K$44)^(AG$56-Voorblad!$F$41)</f>
        <v>0</v>
      </c>
      <c r="AH179" s="21">
        <f>EI179*($Q179*$S179)/(1+Voorblad!$K$44)^(AH$56-Voorblad!$F$41)</f>
        <v>0</v>
      </c>
      <c r="AI179" s="21">
        <f>EJ179*($Q179*$S179)/(1+Voorblad!$K$44)^(AI$56-Voorblad!$F$41)</f>
        <v>0</v>
      </c>
      <c r="AJ179" s="21">
        <f>EK179*($Q179*$S179)/(1+Voorblad!$K$44)^(AJ$56-Voorblad!$F$41)</f>
        <v>0</v>
      </c>
      <c r="AK179" s="21">
        <f>EL179*($Q179*$S179)/(1+Voorblad!$K$44)^(AK$56-Voorblad!$F$41)</f>
        <v>0</v>
      </c>
      <c r="AL179" s="21">
        <f>EM179*($Q179*$S179)/(1+Voorblad!$K$44)^(AL$56-Voorblad!$F$41)</f>
        <v>0</v>
      </c>
      <c r="AM179" s="21">
        <f>EN179*($Q179*$S179)/(1+Voorblad!$K$44)^(AM$56-Voorblad!$F$41)</f>
        <v>0</v>
      </c>
      <c r="AN179" s="21">
        <f>EO179*($Q179*$S179)/(1+Voorblad!$K$44)^(AN$56-Voorblad!$F$41)</f>
        <v>0</v>
      </c>
      <c r="AO179" s="21">
        <f>EP179*($Q179*$S179)/(1+Voorblad!$K$44)^(AO$56-Voorblad!$F$41)</f>
        <v>0</v>
      </c>
      <c r="AP179" s="21">
        <f>EQ179*($Q179*$S179)/(1+Voorblad!$K$44)^(AP$56-Voorblad!$F$41)</f>
        <v>0</v>
      </c>
      <c r="AQ179" s="21">
        <f>ER179*($Q179*$S179)/(1+Voorblad!$K$44)^(AQ$56-Voorblad!$F$41)</f>
        <v>0</v>
      </c>
      <c r="AR179" s="21">
        <f>ES179*($Q179*$S179)/(1+Voorblad!$K$44)^(AR$56-Voorblad!$F$41)</f>
        <v>0</v>
      </c>
      <c r="AS179" s="21">
        <f>ET179*($Q179*$S179)/(1+Voorblad!$K$44)^(AS$56-Voorblad!$F$41)</f>
        <v>0</v>
      </c>
      <c r="AT179" s="21">
        <f>EU179*($Q179*$S179)/(1+Voorblad!$K$44)^(AT$56-Voorblad!$F$41)</f>
        <v>0</v>
      </c>
      <c r="AU179" s="21">
        <f>EV179*($Q179*$S179)/(1+Voorblad!$K$44)^(AU$56-Voorblad!$F$41)</f>
        <v>0</v>
      </c>
      <c r="AV179" s="21">
        <f>EW179*($Q179*$S179)/(1+Voorblad!$K$44)^(AV$56-Voorblad!$F$41)</f>
        <v>0</v>
      </c>
      <c r="AW179" s="21">
        <f>EX179*($Q179*$S179)/(1+Voorblad!$K$44)^(AW$56-Voorblad!$F$41)</f>
        <v>0</v>
      </c>
      <c r="AX179" s="21">
        <f>EY179*($Q179*$S179)/(1+Voorblad!$K$44)^(AX$56-Voorblad!$F$41)</f>
        <v>0</v>
      </c>
      <c r="AY179" s="21">
        <f>EZ179*($Q179*$S179)/(1+Voorblad!$K$44)^(AY$56-Voorblad!$F$41)</f>
        <v>0</v>
      </c>
      <c r="AZ179" s="21">
        <f>FA179*($Q179*$S179)/(1+Voorblad!$K$44)^(AZ$56-Voorblad!$F$41)</f>
        <v>0</v>
      </c>
      <c r="BA179" s="21">
        <f>FB179*($Q179*$S179)/(1+Voorblad!$K$44)^(BA$56-Voorblad!$F$41)</f>
        <v>0</v>
      </c>
      <c r="BB179" s="21">
        <f>FC179*($Q179*$S179)/(1+Voorblad!$K$44)^(BB$56-Voorblad!$F$41)</f>
        <v>0</v>
      </c>
      <c r="BC179" s="21">
        <f>FD179*($Q179*$S179)/(1+Voorblad!$K$44)^(BC$56-Voorblad!$F$41)</f>
        <v>0</v>
      </c>
      <c r="BD179" s="21">
        <f>FE179*($Q179*$S179)/(1+Voorblad!$K$44)^(BD$56-Voorblad!$F$41)</f>
        <v>0</v>
      </c>
      <c r="BE179" s="21">
        <f>FF179*($Q179*$S179)/(1+Voorblad!$K$44)^(BE$56-Voorblad!$F$41)</f>
        <v>0</v>
      </c>
      <c r="BF179" s="21">
        <f>FG179*($Q179*$S179)/(1+Voorblad!$K$44)^(BF$56-Voorblad!$F$41)</f>
        <v>0</v>
      </c>
      <c r="BG179" s="21">
        <f>FH179*($Q179*$S179)/(1+Voorblad!$K$44)^(BG$56-Voorblad!$F$41)</f>
        <v>0</v>
      </c>
      <c r="BH179" s="21">
        <f>FI179*($Q179*$S179)/(1+Voorblad!$K$44)^(BH$56-Voorblad!$F$41)</f>
        <v>0</v>
      </c>
      <c r="BI179" s="21">
        <f>FJ179*($Q179*$S179)/(1+Voorblad!$K$44)^(BI$56-Voorblad!$F$41)</f>
        <v>0</v>
      </c>
      <c r="BJ179" s="21">
        <f>FK179*($Q179*$S179)/(1+Voorblad!$K$44)^(BJ$56-Voorblad!$F$41)</f>
        <v>0</v>
      </c>
      <c r="BK179" s="21">
        <f>FL179*($Q179*$S179)/(1+Voorblad!$K$44)^(BK$56-Voorblad!$F$41)</f>
        <v>0</v>
      </c>
      <c r="BL179" s="21">
        <f>FM179*($Q179*$S179)/(1+Voorblad!$K$44)^(BL$56-Voorblad!$F$41)</f>
        <v>0</v>
      </c>
      <c r="BM179" s="21">
        <f>FN179*($Q179*$S179)/(1+Voorblad!$K$44)^(BM$56-Voorblad!$F$41)</f>
        <v>0</v>
      </c>
      <c r="BN179" s="21">
        <f>FO179*($Q179*$S179)/(1+Voorblad!$K$44)^(BN$56-Voorblad!$F$41)</f>
        <v>0</v>
      </c>
      <c r="BO179" s="21">
        <f>FP179*($Q179*$S179)/(1+Voorblad!$K$44)^(BO$56-Voorblad!$F$41)</f>
        <v>0</v>
      </c>
      <c r="BP179" s="21">
        <f>FQ179*($Q179*$S179)/(1+Voorblad!$K$44)^(BP$56-Voorblad!$F$41)</f>
        <v>0</v>
      </c>
      <c r="BQ179" s="21">
        <f>FR179*($Q179*$S179)/(1+Voorblad!$K$44)^(BQ$56-Voorblad!$F$41)</f>
        <v>0</v>
      </c>
      <c r="BR179" s="21">
        <f>FS179*($Q179*$S179)/(1+Voorblad!$K$44)^(BR$56-Voorblad!$F$41)</f>
        <v>0</v>
      </c>
      <c r="BS179" s="21">
        <f>FT179*($Q179*$S179)/(1+Voorblad!$K$44)^(BS$56-Voorblad!$F$41)</f>
        <v>0</v>
      </c>
      <c r="BT179" s="21">
        <f>FU179*($Q179*$S179)/(1+Voorblad!$K$44)^(BT$56-Voorblad!$F$41)</f>
        <v>0</v>
      </c>
      <c r="BU179" s="21">
        <f>FV179*($Q179*$S179)/(1+Voorblad!$K$44)^(BU$56-Voorblad!$F$41)</f>
        <v>0</v>
      </c>
      <c r="BV179" s="21">
        <f>FW179*($Q179*$S179)/(1+Voorblad!$K$44)^(BV$56-Voorblad!$F$41)</f>
        <v>0</v>
      </c>
      <c r="BW179" s="21">
        <f>FX179*($Q179*$S179)/(1+Voorblad!$K$44)^(BW$56-Voorblad!$F$41)</f>
        <v>0</v>
      </c>
      <c r="BX179" s="21">
        <f>FY179*($Q179*$S179)/(1+Voorblad!$K$44)^(BX$56-Voorblad!$F$41)</f>
        <v>0</v>
      </c>
      <c r="BY179" s="21">
        <f>FZ179*($Q179*$S179)/(1+Voorblad!$K$44)^(BY$56-Voorblad!$F$41)</f>
        <v>0</v>
      </c>
      <c r="BZ179" s="21">
        <f>GA179*($Q179*$S179)/(1+Voorblad!$K$44)^(BZ$56-Voorblad!$F$41)</f>
        <v>0</v>
      </c>
      <c r="CA179" s="21">
        <f>GB179*($Q179*$S179)/(1+Voorblad!$K$44)^(CA$56-Voorblad!$F$41)</f>
        <v>0</v>
      </c>
      <c r="CB179" s="21">
        <f>GC179*($Q179*$S179)/(1+Voorblad!$K$44)^(CB$56-Voorblad!$F$41)</f>
        <v>0</v>
      </c>
      <c r="CC179" s="21">
        <f>GD179*($Q179*$S179)/(1+Voorblad!$K$44)^(CC$56-Voorblad!$F$41)</f>
        <v>0</v>
      </c>
      <c r="CD179" s="21">
        <f>GE179*($Q179*$S179)/(1+Voorblad!$K$44)^(CD$56-Voorblad!$F$41)</f>
        <v>0</v>
      </c>
      <c r="CE179" s="21">
        <f>GF179*($Q179*$S179)/(1+Voorblad!$K$44)^(CE$56-Voorblad!$F$41)</f>
        <v>0</v>
      </c>
      <c r="CF179" s="21">
        <f>GG179*($Q179*$S179)/(1+Voorblad!$K$44)^(CF$56-Voorblad!$F$41)</f>
        <v>0</v>
      </c>
      <c r="CG179" s="21">
        <f>GH179*($Q179*$S179)/(1+Voorblad!$K$44)^(CG$56-Voorblad!$F$41)</f>
        <v>0</v>
      </c>
      <c r="CH179" s="21">
        <f>GI179*($Q179*$S179)/(1+Voorblad!$K$44)^(CH$56-Voorblad!$F$41)</f>
        <v>0</v>
      </c>
      <c r="CI179" s="21">
        <f>GJ179*($Q179*$S179)/(1+Voorblad!$K$44)^(CI$56-Voorblad!$F$41)</f>
        <v>0</v>
      </c>
      <c r="CJ179" s="21">
        <f>GK179*($Q179*$S179)/(1+Voorblad!$K$44)^(CJ$56-Voorblad!$F$41)</f>
        <v>0</v>
      </c>
      <c r="CK179" s="21">
        <f>GL179*($Q179*$S179)/(1+Voorblad!$K$44)^(CK$56-Voorblad!$F$41)</f>
        <v>0</v>
      </c>
      <c r="CL179" s="21">
        <f>GM179*($Q179*$S179)/(1+Voorblad!$K$44)^(CL$56-Voorblad!$F$41)</f>
        <v>0</v>
      </c>
      <c r="CM179" s="21">
        <f>GN179*($Q179*$S179)/(1+Voorblad!$K$44)^(CM$56-Voorblad!$F$41)</f>
        <v>0</v>
      </c>
      <c r="CN179" s="21">
        <f>GO179*($Q179*$S179)/(1+Voorblad!$K$44)^(CN$56-Voorblad!$F$41)</f>
        <v>0</v>
      </c>
      <c r="CO179" s="21">
        <f>GP179*($Q179*$S179)/(1+Voorblad!$K$44)^(CO$56-Voorblad!$F$41)</f>
        <v>0</v>
      </c>
      <c r="CP179" s="21">
        <f>GQ179*($Q179*$S179)/(1+Voorblad!$K$44)^(CP$56-Voorblad!$F$41)</f>
        <v>0</v>
      </c>
      <c r="CQ179" s="21">
        <f>GR179*($Q179*$S179)/(1+Voorblad!$K$44)^(CQ$56-Voorblad!$F$41)</f>
        <v>0</v>
      </c>
      <c r="CR179" s="21">
        <f>GS179*($Q179*$S179)/(1+Voorblad!$K$44)^(CR$56-Voorblad!$F$41)</f>
        <v>0</v>
      </c>
      <c r="CS179" s="21">
        <f>GT179*($Q179*$S179)/(1+Voorblad!$K$44)^(CS$56-Voorblad!$F$41)</f>
        <v>0</v>
      </c>
      <c r="CT179" s="21">
        <f>GU179*($Q179*$S179)/(1+Voorblad!$K$44)^(CT$56-Voorblad!$F$41)</f>
        <v>0</v>
      </c>
      <c r="CU179" s="21">
        <f>GV179*($Q179*$S179)/(1+Voorblad!$K$44)^(CU$56-Voorblad!$F$41)</f>
        <v>0</v>
      </c>
      <c r="CV179" s="21">
        <f>GW179*($Q179*$S179)/(1+Voorblad!$K$44)^(CV$56-Voorblad!$F$41)</f>
        <v>0</v>
      </c>
      <c r="CW179" s="21">
        <f>GX179*($Q179*$S179)/(1+Voorblad!$K$44)^(CW$56-Voorblad!$F$41)</f>
        <v>0</v>
      </c>
      <c r="CX179" s="21">
        <f>GY179*($Q179*$S179)/(1+Voorblad!$K$44)^(CX$56-Voorblad!$F$41)</f>
        <v>0</v>
      </c>
      <c r="CY179" s="21">
        <f>GZ179*($Q179*$S179)/(1+Voorblad!$K$44)^(CY$56-Voorblad!$F$41)</f>
        <v>0</v>
      </c>
      <c r="CZ179" s="21">
        <f>HA179*($Q179*$S179)/(1+Voorblad!$K$44)^(CZ$56-Voorblad!$F$41)</f>
        <v>0</v>
      </c>
      <c r="DA179" s="21">
        <f>HB179*($Q179*$S179)/(1+Voorblad!$K$44)^(DA$56-Voorblad!$F$41)</f>
        <v>0</v>
      </c>
      <c r="DB179" s="21">
        <f>HC179*($Q179*$S179)/(1+Voorblad!$K$44)^(DB$56-Voorblad!$F$41)</f>
        <v>0</v>
      </c>
      <c r="DC179" s="21">
        <f>HD179*($Q179*$S179)/(1+Voorblad!$K$44)^(DC$56-Voorblad!$F$41)</f>
        <v>0</v>
      </c>
      <c r="DD179" s="21">
        <f>HE179*($Q179*$S179)/(1+Voorblad!$K$44)^(DD$56-Voorblad!$F$41)</f>
        <v>0</v>
      </c>
      <c r="DE179" s="21">
        <f>HF179*($Q179*$S179)/(1+Voorblad!$K$44)^(DE$56-Voorblad!$F$41)</f>
        <v>0</v>
      </c>
      <c r="DF179" s="21">
        <f>HG179*($Q179*$S179)/(1+Voorblad!$K$44)^(DF$56-Voorblad!$F$41)</f>
        <v>0</v>
      </c>
      <c r="DG179" s="21">
        <f>HH179*($Q179*$S179)/(1+Voorblad!$K$44)^(DG$56-Voorblad!$F$41)</f>
        <v>0</v>
      </c>
      <c r="DH179" s="21">
        <f>HI179*($Q179*$S179)/(1+Voorblad!$K$44)^(DH$56-Voorblad!$F$41)</f>
        <v>0</v>
      </c>
      <c r="DI179" s="21">
        <f>HJ179*($Q179*$S179)/(1+Voorblad!$K$44)^(DI$56-Voorblad!$F$41)</f>
        <v>0</v>
      </c>
      <c r="DJ179" s="21">
        <f>HK179*($Q179*$S179)/(1+Voorblad!$K$44)^(DJ$56-Voorblad!$F$41)</f>
        <v>0</v>
      </c>
      <c r="DK179" s="21">
        <f>HL179*($Q179*$S179)/(1+Voorblad!$K$44)^(DK$56-Voorblad!$F$41)</f>
        <v>0</v>
      </c>
      <c r="DL179" s="21">
        <f>HM179*($Q179*$S179)/(1+Voorblad!$K$44)^(DL$56-Voorblad!$F$41)</f>
        <v>0</v>
      </c>
      <c r="DM179" s="21">
        <f>HN179*($Q179*$S179)/(1+Voorblad!$K$44)^(DM$56-Voorblad!$F$41)</f>
        <v>0</v>
      </c>
      <c r="DN179" s="21">
        <f>HO179*($Q179*$S179)/(1+Voorblad!$K$44)^(DN$56-Voorblad!$F$41)</f>
        <v>0</v>
      </c>
      <c r="DO179" s="21">
        <f>HP179*($Q179*$S179)/(1+Voorblad!$K$44)^(DO$56-Voorblad!$F$41)</f>
        <v>0</v>
      </c>
      <c r="DP179" s="21">
        <f>HQ179*($Q179*$S179)/(1+Voorblad!$K$44)^(DP$56-Voorblad!$F$41)</f>
        <v>0</v>
      </c>
      <c r="DQ179" s="21">
        <f>HR179*($Q179*$S179)/(1+Voorblad!$K$44)^(DQ$56-Voorblad!$F$41)</f>
        <v>0</v>
      </c>
      <c r="DR179" s="21">
        <f>HS179*($Q179*$S179)/(1+Voorblad!$K$44)^(DR$56-Voorblad!$F$41)</f>
        <v>0</v>
      </c>
      <c r="DS179" s="21">
        <f>HT179*($Q179*$S179)/(1+Voorblad!$K$44)^(DS$56-Voorblad!$F$41)</f>
        <v>0</v>
      </c>
      <c r="DT179" s="21">
        <f>HU179*($Q179*$S179)/(1+Voorblad!$K$44)^(DT$56-Voorblad!$F$41)</f>
        <v>0</v>
      </c>
      <c r="DU179" s="21">
        <f>HV179*($Q179*$S179)/(1+Voorblad!$K$44)^(DU$56-Voorblad!$F$41)</f>
        <v>0</v>
      </c>
      <c r="DV179" s="21">
        <f>HW179*($Q179*$S179)/(1+Voorblad!$K$44)^(DV$56-Voorblad!$F$41)</f>
        <v>0</v>
      </c>
      <c r="DW179" s="21">
        <f>HX179*($Q179*$S179)/(1+Voorblad!$K$44)^(DW$56-Voorblad!$F$41)</f>
        <v>0</v>
      </c>
      <c r="DX179" s="21">
        <f>HY179*($Q179*$S179)/(1+Voorblad!$K$44)^(DX$56-Voorblad!$F$41)</f>
        <v>0</v>
      </c>
      <c r="DY179" s="21">
        <f>HZ179*($Q179*$S179)/(1+Voorblad!$K$44)^(DY$56-Voorblad!$F$41)</f>
        <v>0</v>
      </c>
      <c r="DZ179" s="21">
        <f>IA179*($Q179*$S179)/(1+Voorblad!$K$44)^(DZ$56-Voorblad!$F$41)</f>
        <v>0</v>
      </c>
      <c r="EA179" s="21">
        <f>IB179*($Q179*$S179)/(1+Voorblad!$K$44)^(EA$56-Voorblad!$F$41)</f>
        <v>0</v>
      </c>
      <c r="EB179" s="21">
        <f>IC179*($Q179*$S179)/(1+Voorblad!$K$44)^(EB$56-Voorblad!$F$41)</f>
        <v>0</v>
      </c>
      <c r="EE179" s="14">
        <v>0</v>
      </c>
      <c r="EF179" s="14">
        <f>IF(EF$56-Voorblad!$F$41&gt;Voorblad!$K$41,0,IF($U179=0,0,IF($U179&lt;1,1/$U179,IF((EF$56-Voorblad!$F$41)/$U179-SUM($EE179:EE179)=1,1,0))))</f>
        <v>0</v>
      </c>
      <c r="EG179" s="14">
        <f>IF(EG$56-Voorblad!$F$41&gt;Voorblad!$K$41,0,IF($U179=0,0,IF($U179&lt;1,1/$U179,IF((EG$56-Voorblad!$F$41)/$U179-SUM($EE179:EF179)=1,1,0))))</f>
        <v>0</v>
      </c>
      <c r="EH179" s="14">
        <f>IF(EH$56-Voorblad!$F$41&gt;Voorblad!$K$41,0,IF($U179=0,0,IF($U179&lt;1,1/$U179,IF((EH$56-Voorblad!$F$41)/$U179-SUM($EE179:EG179)=1,1,0))))</f>
        <v>0</v>
      </c>
      <c r="EI179" s="14">
        <f>IF(EI$56-Voorblad!$F$41&gt;Voorblad!$K$41,0,IF($U179=0,0,IF($U179&lt;1,1/$U179,IF((EI$56-Voorblad!$F$41)/$U179-SUM($EE179:EH179)=1,1,0))))</f>
        <v>0</v>
      </c>
      <c r="EJ179" s="14">
        <f>IF(EJ$56-Voorblad!$F$41&gt;Voorblad!$K$41,0,IF($U179=0,0,IF($U179&lt;1,1/$U179,IF((EJ$56-Voorblad!$F$41)/$U179-SUM($EE179:EI179)=1,1,0))))</f>
        <v>0</v>
      </c>
      <c r="EK179" s="14">
        <f>IF(EK$56-Voorblad!$F$41&gt;Voorblad!$K$41,0,IF($U179=0,0,IF($U179&lt;1,1/$U179,IF((EK$56-Voorblad!$F$41)/$U179-SUM($EE179:EJ179)=1,1,0))))</f>
        <v>0</v>
      </c>
      <c r="EL179" s="14">
        <f>IF(EL$56-Voorblad!$F$41&gt;Voorblad!$K$41,0,IF($U179=0,0,IF($U179&lt;1,1/$U179,IF((EL$56-Voorblad!$F$41)/$U179-SUM($EE179:EK179)=1,1,0))))</f>
        <v>0</v>
      </c>
      <c r="EM179" s="14">
        <f>IF(EM$56-Voorblad!$F$41&gt;Voorblad!$K$41,0,IF($U179=0,0,IF($U179&lt;1,1/$U179,IF((EM$56-Voorblad!$F$41)/$U179-SUM($EE179:EL179)=1,1,0))))</f>
        <v>0</v>
      </c>
      <c r="EN179" s="14">
        <f>IF(EN$56-Voorblad!$F$41&gt;Voorblad!$K$41,0,IF($U179=0,0,IF($U179&lt;1,1/$U179,IF((EN$56-Voorblad!$F$41)/$U179-SUM($EE179:EM179)=1,1,0))))</f>
        <v>0</v>
      </c>
      <c r="EO179" s="14">
        <f>IF(EO$56-Voorblad!$F$41&gt;Voorblad!$K$41,0,IF($U179=0,0,IF($U179&lt;1,1/$U179,IF((EO$56-Voorblad!$F$41)/$U179-SUM($EE179:EN179)=1,1,0))))</f>
        <v>0</v>
      </c>
      <c r="EP179" s="14">
        <f>IF(EP$56-Voorblad!$F$41&gt;Voorblad!$K$41,0,IF($U179=0,0,IF($U179&lt;1,1/$U179,IF((EP$56-Voorblad!$F$41)/$U179-SUM($EE179:EO179)=1,1,0))))</f>
        <v>0</v>
      </c>
      <c r="EQ179" s="14">
        <f>IF(EQ$56-Voorblad!$F$41&gt;Voorblad!$K$41,0,IF($U179=0,0,IF($U179&lt;1,1/$U179,IF((EQ$56-Voorblad!$F$41)/$U179-SUM($EE179:EP179)=1,1,0))))</f>
        <v>0</v>
      </c>
      <c r="ER179" s="14">
        <f>IF(ER$56-Voorblad!$F$41&gt;Voorblad!$K$41,0,IF($U179=0,0,IF($U179&lt;1,1/$U179,IF((ER$56-Voorblad!$F$41)/$U179-SUM($EE179:EQ179)=1,1,0))))</f>
        <v>0</v>
      </c>
      <c r="ES179" s="14">
        <f>IF(ES$56-Voorblad!$F$41&gt;Voorblad!$K$41,0,IF($U179=0,0,IF($U179&lt;1,1/$U179,IF((ES$56-Voorblad!$F$41)/$U179-SUM($EE179:ER179)=1,1,0))))</f>
        <v>0</v>
      </c>
      <c r="ET179" s="14">
        <f>IF(ET$56-Voorblad!$F$41&gt;Voorblad!$K$41,0,IF($U179=0,0,IF($U179&lt;1,1/$U179,IF((ET$56-Voorblad!$F$41)/$U179-SUM($EE179:ES179)=1,1,0))))</f>
        <v>0</v>
      </c>
      <c r="EU179" s="14">
        <f>IF(EU$56-Voorblad!$F$41&gt;Voorblad!$K$41,0,IF($U179=0,0,IF($U179&lt;1,1/$U179,IF((EU$56-Voorblad!$F$41)/$U179-SUM($EE179:ET179)=1,1,0))))</f>
        <v>0</v>
      </c>
      <c r="EV179" s="14">
        <f>IF(EV$56-Voorblad!$F$41&gt;Voorblad!$K$41,0,IF($U179=0,0,IF($U179&lt;1,1/$U179,IF((EV$56-Voorblad!$F$41)/$U179-SUM($EE179:EU179)=1,1,0))))</f>
        <v>0</v>
      </c>
      <c r="EW179" s="14">
        <f>IF(EW$56-Voorblad!$F$41&gt;Voorblad!$K$41,0,IF($U179=0,0,IF($U179&lt;1,1/$U179,IF((EW$56-Voorblad!$F$41)/$U179-SUM($EE179:EV179)=1,1,0))))</f>
        <v>0</v>
      </c>
      <c r="EX179" s="14">
        <f>IF(EX$56-Voorblad!$F$41&gt;Voorblad!$K$41,0,IF($U179=0,0,IF($U179&lt;1,1/$U179,IF((EX$56-Voorblad!$F$41)/$U179-SUM($EE179:EW179)=1,1,0))))</f>
        <v>0</v>
      </c>
      <c r="EY179" s="14">
        <f>IF(EY$56-Voorblad!$F$41&gt;Voorblad!$K$41,0,IF($U179=0,0,IF($U179&lt;1,1/$U179,IF((EY$56-Voorblad!$F$41)/$U179-SUM($EE179:EX179)=1,1,0))))</f>
        <v>0</v>
      </c>
      <c r="EZ179" s="14">
        <f>IF(EZ$56-Voorblad!$F$41&gt;Voorblad!$K$41,0,IF($U179=0,0,IF($U179&lt;1,1/$U179,IF((EZ$56-Voorblad!$F$41)/$U179-SUM($EE179:EY179)=1,1,0))))</f>
        <v>0</v>
      </c>
      <c r="FA179" s="14">
        <f>IF(FA$56-Voorblad!$F$41&gt;Voorblad!$K$41,0,IF($U179=0,0,IF($U179&lt;1,1/$U179,IF((FA$56-Voorblad!$F$41)/$U179-SUM($EE179:EZ179)=1,1,0))))</f>
        <v>0</v>
      </c>
      <c r="FB179" s="14">
        <f>IF(FB$56-Voorblad!$F$41&gt;Voorblad!$K$41,0,IF($U179=0,0,IF($U179&lt;1,1/$U179,IF((FB$56-Voorblad!$F$41)/$U179-SUM($EE179:FA179)=1,1,0))))</f>
        <v>0</v>
      </c>
      <c r="FC179" s="14">
        <f>IF(FC$56-Voorblad!$F$41&gt;Voorblad!$K$41,0,IF($U179=0,0,IF($U179&lt;1,1/$U179,IF((FC$56-Voorblad!$F$41)/$U179-SUM($EE179:FB179)=1,1,0))))</f>
        <v>0</v>
      </c>
      <c r="FD179" s="14">
        <f>IF(FD$56-Voorblad!$F$41&gt;Voorblad!$K$41,0,IF($U179=0,0,IF($U179&lt;1,1/$U179,IF((FD$56-Voorblad!$F$41)/$U179-SUM($EE179:FC179)=1,1,0))))</f>
        <v>0</v>
      </c>
      <c r="FE179" s="14">
        <f>IF(FE$56-Voorblad!$F$41&gt;Voorblad!$K$41,0,IF($U179=0,0,IF($U179&lt;1,1/$U179,IF((FE$56-Voorblad!$F$41)/$U179-SUM($EE179:FD179)=1,1,0))))</f>
        <v>0</v>
      </c>
      <c r="FF179" s="14">
        <f>IF(FF$56-Voorblad!$F$41&gt;Voorblad!$K$41,0,IF($U179=0,0,IF($U179&lt;1,1/$U179,IF((FF$56-Voorblad!$F$41)/$U179-SUM($EE179:FE179)=1,1,0))))</f>
        <v>0</v>
      </c>
      <c r="FG179" s="14">
        <f>IF(FG$56-Voorblad!$F$41&gt;Voorblad!$K$41,0,IF($U179=0,0,IF($U179&lt;1,1/$U179,IF((FG$56-Voorblad!$F$41)/$U179-SUM($EE179:FF179)=1,1,0))))</f>
        <v>0</v>
      </c>
      <c r="FH179" s="14">
        <f>IF(FH$56-Voorblad!$F$41&gt;Voorblad!$K$41,0,IF($U179=0,0,IF($U179&lt;1,1/$U179,IF((FH$56-Voorblad!$F$41)/$U179-SUM($EE179:FG179)=1,1,0))))</f>
        <v>0</v>
      </c>
      <c r="FI179" s="14">
        <f>IF(FI$56-Voorblad!$F$41&gt;Voorblad!$K$41,0,IF($U179=0,0,IF($U179&lt;1,1/$U179,IF((FI$56-Voorblad!$F$41)/$U179-SUM($EE179:FH179)=1,1,0))))</f>
        <v>0</v>
      </c>
      <c r="FJ179" s="14">
        <f>IF(FJ$56-Voorblad!$F$41&gt;Voorblad!$K$41,0,IF($U179=0,0,IF($U179&lt;1,1/$U179,IF((FJ$56-Voorblad!$F$41)/$U179-SUM($EE179:FI179)=1,1,0))))</f>
        <v>0</v>
      </c>
      <c r="FK179" s="14">
        <f>IF(FK$56-Voorblad!$F$41&gt;Voorblad!$K$41,0,IF($U179=0,0,IF($U179&lt;1,1/$U179,IF((FK$56-Voorblad!$F$41)/$U179-SUM($EE179:FJ179)=1,1,0))))</f>
        <v>0</v>
      </c>
      <c r="FL179" s="14">
        <f>IF(FL$56-Voorblad!$F$41&gt;Voorblad!$K$41,0,IF($U179=0,0,IF($U179&lt;1,1/$U179,IF((FL$56-Voorblad!$F$41)/$U179-SUM($EE179:FK179)=1,1,0))))</f>
        <v>0</v>
      </c>
      <c r="FM179" s="14">
        <f>IF(FM$56-Voorblad!$F$41&gt;Voorblad!$K$41,0,IF($U179=0,0,IF($U179&lt;1,1/$U179,IF((FM$56-Voorblad!$F$41)/$U179-SUM($EE179:FL179)=1,1,0))))</f>
        <v>0</v>
      </c>
      <c r="FN179" s="14">
        <f>IF(FN$56-Voorblad!$F$41&gt;Voorblad!$K$41,0,IF($U179=0,0,IF($U179&lt;1,1/$U179,IF((FN$56-Voorblad!$F$41)/$U179-SUM($EE179:FM179)=1,1,0))))</f>
        <v>0</v>
      </c>
      <c r="FO179" s="14">
        <f>IF(FO$56-Voorblad!$F$41&gt;Voorblad!$K$41,0,IF($U179=0,0,IF($U179&lt;1,1/$U179,IF((FO$56-Voorblad!$F$41)/$U179-SUM($EE179:FN179)=1,1,0))))</f>
        <v>0</v>
      </c>
      <c r="FP179" s="14">
        <f>IF(FP$56-Voorblad!$F$41&gt;Voorblad!$K$41,0,IF($U179=0,0,IF($U179&lt;1,1/$U179,IF((FP$56-Voorblad!$F$41)/$U179-SUM($EE179:FO179)=1,1,0))))</f>
        <v>0</v>
      </c>
      <c r="FQ179" s="14">
        <f>IF(FQ$56-Voorblad!$F$41&gt;Voorblad!$K$41,0,IF($U179=0,0,IF($U179&lt;1,1/$U179,IF((FQ$56-Voorblad!$F$41)/$U179-SUM($EE179:FP179)=1,1,0))))</f>
        <v>0</v>
      </c>
      <c r="FR179" s="14">
        <f>IF(FR$56-Voorblad!$F$41&gt;Voorblad!$K$41,0,IF($U179=0,0,IF($U179&lt;1,1/$U179,IF((FR$56-Voorblad!$F$41)/$U179-SUM($EE179:FQ179)=1,1,0))))</f>
        <v>0</v>
      </c>
      <c r="FS179" s="14">
        <f>IF(FS$56-Voorblad!$F$41&gt;Voorblad!$K$41,0,IF($U179=0,0,IF($U179&lt;1,1/$U179,IF((FS$56-Voorblad!$F$41)/$U179-SUM($EE179:FR179)=1,1,0))))</f>
        <v>0</v>
      </c>
      <c r="FT179" s="14">
        <f>IF(FT$56-Voorblad!$F$41&gt;Voorblad!$K$41,0,IF($U179=0,0,IF($U179&lt;1,1/$U179,IF((FT$56-Voorblad!$F$41)/$U179-SUM($EE179:FS179)=1,1,0))))</f>
        <v>0</v>
      </c>
      <c r="FU179" s="14">
        <f>IF(FU$56-Voorblad!$F$41&gt;Voorblad!$K$41,0,IF($U179=0,0,IF($U179&lt;1,1/$U179,IF((FU$56-Voorblad!$F$41)/$U179-SUM($EE179:FT179)=1,1,0))))</f>
        <v>0</v>
      </c>
      <c r="FV179" s="14">
        <f>IF(FV$56-Voorblad!$F$41&gt;Voorblad!$K$41,0,IF($U179=0,0,IF($U179&lt;1,1/$U179,IF((FV$56-Voorblad!$F$41)/$U179-SUM($EE179:FU179)=1,1,0))))</f>
        <v>0</v>
      </c>
      <c r="FW179" s="14">
        <f>IF(FW$56-Voorblad!$F$41&gt;Voorblad!$K$41,0,IF($U179=0,0,IF($U179&lt;1,1/$U179,IF((FW$56-Voorblad!$F$41)/$U179-SUM($EE179:FV179)=1,1,0))))</f>
        <v>0</v>
      </c>
      <c r="FX179" s="14">
        <f>IF(FX$56-Voorblad!$F$41&gt;Voorblad!$K$41,0,IF($U179=0,0,IF($U179&lt;1,1/$U179,IF((FX$56-Voorblad!$F$41)/$U179-SUM($EE179:FW179)=1,1,0))))</f>
        <v>0</v>
      </c>
      <c r="FY179" s="14">
        <f>IF(FY$56-Voorblad!$F$41&gt;Voorblad!$K$41,0,IF($U179=0,0,IF($U179&lt;1,1/$U179,IF((FY$56-Voorblad!$F$41)/$U179-SUM($EE179:FX179)=1,1,0))))</f>
        <v>0</v>
      </c>
      <c r="FZ179" s="14">
        <f>IF(FZ$56-Voorblad!$F$41&gt;Voorblad!$K$41,0,IF($U179=0,0,IF($U179&lt;1,1/$U179,IF((FZ$56-Voorblad!$F$41)/$U179-SUM($EE179:FY179)=1,1,0))))</f>
        <v>0</v>
      </c>
      <c r="GA179" s="14">
        <f>IF(GA$56-Voorblad!$F$41&gt;Voorblad!$K$41,0,IF($U179=0,0,IF($U179&lt;1,1/$U179,IF((GA$56-Voorblad!$F$41)/$U179-SUM($EE179:FZ179)=1,1,0))))</f>
        <v>0</v>
      </c>
      <c r="GB179" s="14">
        <f>IF(GB$56-Voorblad!$F$41&gt;Voorblad!$K$41,0,IF($U179=0,0,IF($U179&lt;1,1/$U179,IF((GB$56-Voorblad!$F$41)/$U179-SUM($EE179:GA179)=1,1,0))))</f>
        <v>0</v>
      </c>
      <c r="GC179" s="14">
        <f>IF(GC$56-Voorblad!$F$41&gt;Voorblad!$K$41,0,IF($U179=0,0,IF($U179&lt;1,1/$U179,IF((GC$56-Voorblad!$F$41)/$U179-SUM($EE179:GB179)=1,1,0))))</f>
        <v>0</v>
      </c>
      <c r="GD179" s="14">
        <f>IF(GD$56-Voorblad!$F$41&gt;Voorblad!$K$41,0,IF($U179=0,0,IF($U179&lt;1,1/$U179,IF((GD$56-Voorblad!$F$41)/$U179-SUM($EE179:GC179)=1,1,0))))</f>
        <v>1</v>
      </c>
      <c r="GE179" s="14">
        <f>IF(GE$56-Voorblad!$F$41&gt;Voorblad!$K$41,0,IF($U179=0,0,IF($U179&lt;1,1/$U179,IF((GE$56-Voorblad!$F$41)/$U179-SUM($EE179:GD179)=1,1,0))))</f>
        <v>0</v>
      </c>
      <c r="GF179" s="14">
        <f>IF(GF$56-Voorblad!$F$41&gt;Voorblad!$K$41,0,IF($U179=0,0,IF($U179&lt;1,1/$U179,IF((GF$56-Voorblad!$F$41)/$U179-SUM($EE179:GE179)=1,1,0))))</f>
        <v>0</v>
      </c>
      <c r="GG179" s="14">
        <f>IF(GG$56-Voorblad!$F$41&gt;Voorblad!$K$41,0,IF($U179=0,0,IF($U179&lt;1,1/$U179,IF((GG$56-Voorblad!$F$41)/$U179-SUM($EE179:GF179)=1,1,0))))</f>
        <v>0</v>
      </c>
      <c r="GH179" s="14">
        <f>IF(GH$56-Voorblad!$F$41&gt;Voorblad!$K$41,0,IF($U179=0,0,IF($U179&lt;1,1/$U179,IF((GH$56-Voorblad!$F$41)/$U179-SUM($EE179:GG179)=1,1,0))))</f>
        <v>0</v>
      </c>
      <c r="GI179" s="14">
        <f>IF(GI$56-Voorblad!$F$41&gt;Voorblad!$K$41,0,IF($U179=0,0,IF($U179&lt;1,1/$U179,IF((GI$56-Voorblad!$F$41)/$U179-SUM($EE179:GH179)=1,1,0))))</f>
        <v>0</v>
      </c>
      <c r="GJ179" s="14">
        <f>IF(GJ$56-Voorblad!$F$41&gt;Voorblad!$K$41,0,IF($U179=0,0,IF($U179&lt;1,1/$U179,IF((GJ$56-Voorblad!$F$41)/$U179-SUM($EE179:GI179)=1,1,0))))</f>
        <v>0</v>
      </c>
      <c r="GK179" s="14">
        <f>IF(GK$56-Voorblad!$F$41&gt;Voorblad!$K$41,0,IF($U179=0,0,IF($U179&lt;1,1/$U179,IF((GK$56-Voorblad!$F$41)/$U179-SUM($EE179:GJ179)=1,1,0))))</f>
        <v>0</v>
      </c>
      <c r="GL179" s="14">
        <f>IF(GL$56-Voorblad!$F$41&gt;Voorblad!$K$41,0,IF($U179=0,0,IF($U179&lt;1,1/$U179,IF((GL$56-Voorblad!$F$41)/$U179-SUM($EE179:GK179)=1,1,0))))</f>
        <v>0</v>
      </c>
      <c r="GM179" s="14">
        <f>IF(GM$56-Voorblad!$F$41&gt;Voorblad!$K$41,0,IF($U179=0,0,IF($U179&lt;1,1/$U179,IF((GM$56-Voorblad!$F$41)/$U179-SUM($EE179:GL179)=1,1,0))))</f>
        <v>0</v>
      </c>
      <c r="GN179" s="14">
        <f>IF(GN$56-Voorblad!$F$41&gt;Voorblad!$K$41,0,IF($U179=0,0,IF($U179&lt;1,1/$U179,IF((GN$56-Voorblad!$F$41)/$U179-SUM($EE179:GM179)=1,1,0))))</f>
        <v>0</v>
      </c>
      <c r="GO179" s="14">
        <f>IF(GO$56-Voorblad!$F$41&gt;Voorblad!$K$41,0,IF($U179=0,0,IF($U179&lt;1,1/$U179,IF((GO$56-Voorblad!$F$41)/$U179-SUM($EE179:GN179)=1,1,0))))</f>
        <v>0</v>
      </c>
      <c r="GP179" s="14">
        <f>IF(GP$56-Voorblad!$F$41&gt;Voorblad!$K$41,0,IF($U179=0,0,IF($U179&lt;1,1/$U179,IF((GP$56-Voorblad!$F$41)/$U179-SUM($EE179:GO179)=1,1,0))))</f>
        <v>0</v>
      </c>
      <c r="GQ179" s="14">
        <f>IF(GQ$56-Voorblad!$F$41&gt;Voorblad!$K$41,0,IF($U179=0,0,IF($U179&lt;1,1/$U179,IF((GQ$56-Voorblad!$F$41)/$U179-SUM($EE179:GP179)=1,1,0))))</f>
        <v>0</v>
      </c>
      <c r="GR179" s="14">
        <f>IF(GR$56-Voorblad!$F$41&gt;Voorblad!$K$41,0,IF($U179=0,0,IF($U179&lt;1,1/$U179,IF((GR$56-Voorblad!$F$41)/$U179-SUM($EE179:GQ179)=1,1,0))))</f>
        <v>0</v>
      </c>
      <c r="GS179" s="14">
        <f>IF(GS$56-Voorblad!$F$41&gt;Voorblad!$K$41,0,IF($U179=0,0,IF($U179&lt;1,1/$U179,IF((GS$56-Voorblad!$F$41)/$U179-SUM($EE179:GR179)=1,1,0))))</f>
        <v>0</v>
      </c>
      <c r="GT179" s="14">
        <f>IF(GT$56-Voorblad!$F$41&gt;Voorblad!$K$41,0,IF($U179=0,0,IF($U179&lt;1,1/$U179,IF((GT$56-Voorblad!$F$41)/$U179-SUM($EE179:GS179)=1,1,0))))</f>
        <v>0</v>
      </c>
      <c r="GU179" s="14">
        <f>IF(GU$56-Voorblad!$F$41&gt;Voorblad!$K$41,0,IF($U179=0,0,IF($U179&lt;1,1/$U179,IF((GU$56-Voorblad!$F$41)/$U179-SUM($EE179:GT179)=1,1,0))))</f>
        <v>0</v>
      </c>
      <c r="GV179" s="14">
        <f>IF(GV$56-Voorblad!$F$41&gt;Voorblad!$K$41,0,IF($U179=0,0,IF($U179&lt;1,1/$U179,IF((GV$56-Voorblad!$F$41)/$U179-SUM($EE179:GU179)=1,1,0))))</f>
        <v>0</v>
      </c>
      <c r="GW179" s="14">
        <f>IF(GW$56-Voorblad!$F$41&gt;Voorblad!$K$41,0,IF($U179=0,0,IF($U179&lt;1,1/$U179,IF((GW$56-Voorblad!$F$41)/$U179-SUM($EE179:GV179)=1,1,0))))</f>
        <v>0</v>
      </c>
      <c r="GX179" s="14">
        <f>IF(GX$56-Voorblad!$F$41&gt;Voorblad!$K$41,0,IF($U179=0,0,IF($U179&lt;1,1/$U179,IF((GX$56-Voorblad!$F$41)/$U179-SUM($EE179:GW179)=1,1,0))))</f>
        <v>0</v>
      </c>
      <c r="GY179" s="14">
        <f>IF(GY$56-Voorblad!$F$41&gt;Voorblad!$K$41,0,IF($U179=0,0,IF($U179&lt;1,1/$U179,IF((GY$56-Voorblad!$F$41)/$U179-SUM($EE179:GX179)=1,1,0))))</f>
        <v>0</v>
      </c>
      <c r="GZ179" s="14">
        <f>IF(GZ$56-Voorblad!$F$41&gt;Voorblad!$K$41,0,IF($U179=0,0,IF($U179&lt;1,1/$U179,IF((GZ$56-Voorblad!$F$41)/$U179-SUM($EE179:GY179)=1,1,0))))</f>
        <v>0</v>
      </c>
      <c r="HA179" s="14">
        <f>IF(HA$56-Voorblad!$F$41&gt;Voorblad!$K$41,0,IF($U179=0,0,IF($U179&lt;1,1/$U179,IF((HA$56-Voorblad!$F$41)/$U179-SUM($EE179:GZ179)=1,1,0))))</f>
        <v>0</v>
      </c>
      <c r="HB179" s="14">
        <f>IF(HB$56-Voorblad!$F$41&gt;Voorblad!$K$41,0,IF($U179=0,0,IF($U179&lt;1,1/$U179,IF((HB$56-Voorblad!$F$41)/$U179-SUM($EE179:HA179)=1,1,0))))</f>
        <v>0</v>
      </c>
      <c r="HC179" s="14">
        <f>IF(HC$56-Voorblad!$F$41&gt;Voorblad!$K$41,0,IF($U179=0,0,IF($U179&lt;1,1/$U179,IF((HC$56-Voorblad!$F$41)/$U179-SUM($EE179:HB179)=1,1,0))))</f>
        <v>0</v>
      </c>
      <c r="HD179" s="14">
        <f>IF(HD$56-Voorblad!$F$41&gt;Voorblad!$K$41,0,IF($U179=0,0,IF($U179&lt;1,1/$U179,IF((HD$56-Voorblad!$F$41)/$U179-SUM($EE179:HC179)=1,1,0))))</f>
        <v>0</v>
      </c>
      <c r="HE179" s="14">
        <f>IF(HE$56-Voorblad!$F$41&gt;Voorblad!$K$41,0,IF($U179=0,0,IF($U179&lt;1,1/$U179,IF((HE$56-Voorblad!$F$41)/$U179-SUM($EE179:HD179)=1,1,0))))</f>
        <v>0</v>
      </c>
      <c r="HF179" s="14">
        <f>IF(HF$56-Voorblad!$F$41&gt;Voorblad!$K$41,0,IF($U179=0,0,IF($U179&lt;1,1/$U179,IF((HF$56-Voorblad!$F$41)/$U179-SUM($EE179:HE179)=1,1,0))))</f>
        <v>0</v>
      </c>
      <c r="HG179" s="14">
        <f>IF(HG$56-Voorblad!$F$41&gt;Voorblad!$K$41,0,IF($U179=0,0,IF($U179&lt;1,1/$U179,IF((HG$56-Voorblad!$F$41)/$U179-SUM($EE179:HF179)=1,1,0))))</f>
        <v>0</v>
      </c>
      <c r="HH179" s="14">
        <f>IF(HH$56-Voorblad!$F$41&gt;Voorblad!$K$41,0,IF($U179=0,0,IF($U179&lt;1,1/$U179,IF((HH$56-Voorblad!$F$41)/$U179-SUM($EE179:HG179)=1,1,0))))</f>
        <v>0</v>
      </c>
      <c r="HI179" s="14">
        <f>IF(HI$56-Voorblad!$F$41&gt;Voorblad!$K$41,0,IF($U179=0,0,IF($U179&lt;1,1/$U179,IF((HI$56-Voorblad!$F$41)/$U179-SUM($EE179:HH179)=1,1,0))))</f>
        <v>0</v>
      </c>
      <c r="HJ179" s="14">
        <f>IF(HJ$56-Voorblad!$F$41&gt;Voorblad!$K$41,0,IF($U179=0,0,IF($U179&lt;1,1/$U179,IF((HJ$56-Voorblad!$F$41)/$U179-SUM($EE179:HI179)=1,1,0))))</f>
        <v>0</v>
      </c>
      <c r="HK179" s="14">
        <f>IF(HK$56-Voorblad!$F$41&gt;Voorblad!$K$41,0,IF($U179=0,0,IF($U179&lt;1,1/$U179,IF((HK$56-Voorblad!$F$41)/$U179-SUM($EE179:HJ179)=1,1,0))))</f>
        <v>0</v>
      </c>
      <c r="HL179" s="14">
        <f>IF(HL$56-Voorblad!$F$41&gt;Voorblad!$K$41,0,IF($U179=0,0,IF($U179&lt;1,1/$U179,IF((HL$56-Voorblad!$F$41)/$U179-SUM($EE179:HK179)=1,1,0))))</f>
        <v>0</v>
      </c>
      <c r="HM179" s="14">
        <f>IF(HM$56-Voorblad!$F$41&gt;Voorblad!$K$41,0,IF($U179=0,0,IF($U179&lt;1,1/$U179,IF((HM$56-Voorblad!$F$41)/$U179-SUM($EE179:HL179)=1,1,0))))</f>
        <v>0</v>
      </c>
      <c r="HN179" s="14">
        <f>IF(HN$56-Voorblad!$F$41&gt;Voorblad!$K$41,0,IF($U179=0,0,IF($U179&lt;1,1/$U179,IF((HN$56-Voorblad!$F$41)/$U179-SUM($EE179:HM179)=1,1,0))))</f>
        <v>0</v>
      </c>
      <c r="HO179" s="14">
        <f>IF(HO$56-Voorblad!$F$41&gt;Voorblad!$K$41,0,IF($U179=0,0,IF($U179&lt;1,1/$U179,IF((HO$56-Voorblad!$F$41)/$U179-SUM($EE179:HN179)=1,1,0))))</f>
        <v>0</v>
      </c>
      <c r="HP179" s="14">
        <f>IF(HP$56-Voorblad!$F$41&gt;Voorblad!$K$41,0,IF($U179=0,0,IF($U179&lt;1,1/$U179,IF((HP$56-Voorblad!$F$41)/$U179-SUM($EE179:HO179)=1,1,0))))</f>
        <v>0</v>
      </c>
      <c r="HQ179" s="14">
        <f>IF(HQ$56-Voorblad!$F$41&gt;Voorblad!$K$41,0,IF($U179=0,0,IF($U179&lt;1,1/$U179,IF((HQ$56-Voorblad!$F$41)/$U179-SUM($EE179:HP179)=1,1,0))))</f>
        <v>0</v>
      </c>
      <c r="HR179" s="14">
        <f>IF(HR$56-Voorblad!$F$41&gt;Voorblad!$K$41,0,IF($U179=0,0,IF($U179&lt;1,1/$U179,IF((HR$56-Voorblad!$F$41)/$U179-SUM($EE179:HQ179)=1,1,0))))</f>
        <v>0</v>
      </c>
      <c r="HS179" s="14">
        <f>IF(HS$56-Voorblad!$F$41&gt;Voorblad!$K$41,0,IF($U179=0,0,IF($U179&lt;1,1/$U179,IF((HS$56-Voorblad!$F$41)/$U179-SUM($EE179:HR179)=1,1,0))))</f>
        <v>0</v>
      </c>
      <c r="HT179" s="14">
        <f>IF(HT$56-Voorblad!$F$41&gt;Voorblad!$K$41,0,IF($U179=0,0,IF($U179&lt;1,1/$U179,IF((HT$56-Voorblad!$F$41)/$U179-SUM($EE179:HS179)=1,1,0))))</f>
        <v>0</v>
      </c>
      <c r="HU179" s="14">
        <f>IF(HU$56-Voorblad!$F$41&gt;Voorblad!$K$41,0,IF($U179=0,0,IF($U179&lt;1,1/$U179,IF((HU$56-Voorblad!$F$41)/$U179-SUM($EE179:HT179)=1,1,0))))</f>
        <v>0</v>
      </c>
      <c r="HV179" s="14">
        <f>IF(HV$56-Voorblad!$F$41&gt;Voorblad!$K$41,0,IF($U179=0,0,IF($U179&lt;1,1/$U179,IF((HV$56-Voorblad!$F$41)/$U179-SUM($EE179:HU179)=1,1,0))))</f>
        <v>0</v>
      </c>
      <c r="HW179" s="14">
        <f>IF(HW$56-Voorblad!$F$41&gt;Voorblad!$K$41,0,IF($U179=0,0,IF($U179&lt;1,1/$U179,IF((HW$56-Voorblad!$F$41)/$U179-SUM($EE179:HV179)=1,1,0))))</f>
        <v>0</v>
      </c>
      <c r="HX179" s="14">
        <f>IF(HX$56-Voorblad!$F$41&gt;Voorblad!$K$41,0,IF($U179=0,0,IF($U179&lt;1,1/$U179,IF((HX$56-Voorblad!$F$41)/$U179-SUM($EE179:HW179)=1,1,0))))</f>
        <v>0</v>
      </c>
      <c r="HY179" s="14">
        <f>IF(HY$56-Voorblad!$F$41&gt;Voorblad!$K$41,0,IF($U179=0,0,IF($U179&lt;1,1/$U179,IF((HY$56-Voorblad!$F$41)/$U179-SUM($EE179:HX179)=1,1,0))))</f>
        <v>0</v>
      </c>
      <c r="HZ179" s="14">
        <f>IF(HZ$56-Voorblad!$F$41&gt;Voorblad!$K$41,0,IF($U179=0,0,IF($U179&lt;1,1/$U179,IF((HZ$56-Voorblad!$F$41)/$U179-SUM($EE179:HY179)=1,1,0))))</f>
        <v>0</v>
      </c>
      <c r="IA179" s="14">
        <f>IF(IA$56-Voorblad!$F$41&gt;Voorblad!$K$41,0,IF($U179=0,0,IF($U179&lt;1,1/$U179,IF((IA$56-Voorblad!$F$41)/$U179-SUM($EE179:HZ179)=1,1,0))))</f>
        <v>0</v>
      </c>
      <c r="IB179" s="14">
        <f>IF(IB$56-Voorblad!$F$41&gt;Voorblad!$K$41,0,IF($U179=0,0,IF($U179&lt;1,1/$U179,IF((IB$56-Voorblad!$F$41)/$U179-SUM($EE179:IA179)=1,1,0))))</f>
        <v>0</v>
      </c>
    </row>
    <row r="180" spans="2:236" ht="12" hidden="1" customHeight="1" outlineLevel="1" x14ac:dyDescent="0.25">
      <c r="B180" s="1">
        <v>1</v>
      </c>
      <c r="F180" s="1" t="s">
        <v>23</v>
      </c>
      <c r="I180" s="1" t="s">
        <v>49</v>
      </c>
      <c r="K180" s="14" t="s">
        <v>204</v>
      </c>
      <c r="Q180" s="81">
        <v>0</v>
      </c>
      <c r="R180" s="1" t="s">
        <v>35</v>
      </c>
      <c r="S180" s="14">
        <f>$H$10*2000</f>
        <v>4760</v>
      </c>
      <c r="T180" s="1">
        <f t="shared" si="194"/>
        <v>0</v>
      </c>
      <c r="U180" s="14">
        <v>50</v>
      </c>
      <c r="V180" s="14"/>
      <c r="Y180" s="9">
        <f t="shared" si="198"/>
        <v>0</v>
      </c>
      <c r="Z180" s="82"/>
      <c r="AA180" s="82"/>
      <c r="AC180" s="9">
        <f>$Y180*(Voorblad!$K$44*(1+Voorblad!$K$44)^Voorblad!$K$41)/((1+Voorblad!$K$44)^Voorblad!$K$41-1)</f>
        <v>0</v>
      </c>
      <c r="AE180" s="9">
        <f>EF180*($Q180*$S180)/(1+Voorblad!$K$44)^(AE$56-Voorblad!$F$41)</f>
        <v>0</v>
      </c>
      <c r="AF180" s="9">
        <f>EG180*($Q180*$S180)/(1+Voorblad!$K$44)^(AF$56-Voorblad!$F$41)</f>
        <v>0</v>
      </c>
      <c r="AG180" s="9">
        <f>EH180*($Q180*$S180)/(1+Voorblad!$K$44)^(AG$56-Voorblad!$F$41)</f>
        <v>0</v>
      </c>
      <c r="AH180" s="9">
        <f>EI180*($Q180*$S180)/(1+Voorblad!$K$44)^(AH$56-Voorblad!$F$41)</f>
        <v>0</v>
      </c>
      <c r="AI180" s="9">
        <f>EJ180*($Q180*$S180)/(1+Voorblad!$K$44)^(AI$56-Voorblad!$F$41)</f>
        <v>0</v>
      </c>
      <c r="AJ180" s="9">
        <f>EK180*($Q180*$S180)/(1+Voorblad!$K$44)^(AJ$56-Voorblad!$F$41)</f>
        <v>0</v>
      </c>
      <c r="AK180" s="9">
        <f>EL180*($Q180*$S180)/(1+Voorblad!$K$44)^(AK$56-Voorblad!$F$41)</f>
        <v>0</v>
      </c>
      <c r="AL180" s="9">
        <f>EM180*($Q180*$S180)/(1+Voorblad!$K$44)^(AL$56-Voorblad!$F$41)</f>
        <v>0</v>
      </c>
      <c r="AM180" s="9">
        <f>EN180*($Q180*$S180)/(1+Voorblad!$K$44)^(AM$56-Voorblad!$F$41)</f>
        <v>0</v>
      </c>
      <c r="AN180" s="9">
        <f>EO180*($Q180*$S180)/(1+Voorblad!$K$44)^(AN$56-Voorblad!$F$41)</f>
        <v>0</v>
      </c>
      <c r="AO180" s="9">
        <f>EP180*($Q180*$S180)/(1+Voorblad!$K$44)^(AO$56-Voorblad!$F$41)</f>
        <v>0</v>
      </c>
      <c r="AP180" s="9">
        <f>EQ180*($Q180*$S180)/(1+Voorblad!$K$44)^(AP$56-Voorblad!$F$41)</f>
        <v>0</v>
      </c>
      <c r="AQ180" s="9">
        <f>ER180*($Q180*$S180)/(1+Voorblad!$K$44)^(AQ$56-Voorblad!$F$41)</f>
        <v>0</v>
      </c>
      <c r="AR180" s="9">
        <f>ES180*($Q180*$S180)/(1+Voorblad!$K$44)^(AR$56-Voorblad!$F$41)</f>
        <v>0</v>
      </c>
      <c r="AS180" s="9">
        <f>ET180*($Q180*$S180)/(1+Voorblad!$K$44)^(AS$56-Voorblad!$F$41)</f>
        <v>0</v>
      </c>
      <c r="AT180" s="9">
        <f>EU180*($Q180*$S180)/(1+Voorblad!$K$44)^(AT$56-Voorblad!$F$41)</f>
        <v>0</v>
      </c>
      <c r="AU180" s="9">
        <f>EV180*($Q180*$S180)/(1+Voorblad!$K$44)^(AU$56-Voorblad!$F$41)</f>
        <v>0</v>
      </c>
      <c r="AV180" s="9">
        <f>EW180*($Q180*$S180)/(1+Voorblad!$K$44)^(AV$56-Voorblad!$F$41)</f>
        <v>0</v>
      </c>
      <c r="AW180" s="9">
        <f>EX180*($Q180*$S180)/(1+Voorblad!$K$44)^(AW$56-Voorblad!$F$41)</f>
        <v>0</v>
      </c>
      <c r="AX180" s="9">
        <f>EY180*($Q180*$S180)/(1+Voorblad!$K$44)^(AX$56-Voorblad!$F$41)</f>
        <v>0</v>
      </c>
      <c r="AY180" s="9">
        <f>EZ180*($Q180*$S180)/(1+Voorblad!$K$44)^(AY$56-Voorblad!$F$41)</f>
        <v>0</v>
      </c>
      <c r="AZ180" s="9">
        <f>FA180*($Q180*$S180)/(1+Voorblad!$K$44)^(AZ$56-Voorblad!$F$41)</f>
        <v>0</v>
      </c>
      <c r="BA180" s="9">
        <f>FB180*($Q180*$S180)/(1+Voorblad!$K$44)^(BA$56-Voorblad!$F$41)</f>
        <v>0</v>
      </c>
      <c r="BB180" s="9">
        <f>FC180*($Q180*$S180)/(1+Voorblad!$K$44)^(BB$56-Voorblad!$F$41)</f>
        <v>0</v>
      </c>
      <c r="BC180" s="9">
        <f>FD180*($Q180*$S180)/(1+Voorblad!$K$44)^(BC$56-Voorblad!$F$41)</f>
        <v>0</v>
      </c>
      <c r="BD180" s="9">
        <f>FE180*($Q180*$S180)/(1+Voorblad!$K$44)^(BD$56-Voorblad!$F$41)</f>
        <v>0</v>
      </c>
      <c r="BE180" s="9">
        <f>FF180*($Q180*$S180)/(1+Voorblad!$K$44)^(BE$56-Voorblad!$F$41)</f>
        <v>0</v>
      </c>
      <c r="BF180" s="9">
        <f>FG180*($Q180*$S180)/(1+Voorblad!$K$44)^(BF$56-Voorblad!$F$41)</f>
        <v>0</v>
      </c>
      <c r="BG180" s="9">
        <f>FH180*($Q180*$S180)/(1+Voorblad!$K$44)^(BG$56-Voorblad!$F$41)</f>
        <v>0</v>
      </c>
      <c r="BH180" s="9">
        <f>FI180*($Q180*$S180)/(1+Voorblad!$K$44)^(BH$56-Voorblad!$F$41)</f>
        <v>0</v>
      </c>
      <c r="BI180" s="9">
        <f>FJ180*($Q180*$S180)/(1+Voorblad!$K$44)^(BI$56-Voorblad!$F$41)</f>
        <v>0</v>
      </c>
      <c r="BJ180" s="9">
        <f>FK180*($Q180*$S180)/(1+Voorblad!$K$44)^(BJ$56-Voorblad!$F$41)</f>
        <v>0</v>
      </c>
      <c r="BK180" s="9">
        <f>FL180*($Q180*$S180)/(1+Voorblad!$K$44)^(BK$56-Voorblad!$F$41)</f>
        <v>0</v>
      </c>
      <c r="BL180" s="9">
        <f>FM180*($Q180*$S180)/(1+Voorblad!$K$44)^(BL$56-Voorblad!$F$41)</f>
        <v>0</v>
      </c>
      <c r="BM180" s="9">
        <f>FN180*($Q180*$S180)/(1+Voorblad!$K$44)^(BM$56-Voorblad!$F$41)</f>
        <v>0</v>
      </c>
      <c r="BN180" s="9">
        <f>FO180*($Q180*$S180)/(1+Voorblad!$K$44)^(BN$56-Voorblad!$F$41)</f>
        <v>0</v>
      </c>
      <c r="BO180" s="9">
        <f>FP180*($Q180*$S180)/(1+Voorblad!$K$44)^(BO$56-Voorblad!$F$41)</f>
        <v>0</v>
      </c>
      <c r="BP180" s="9">
        <f>FQ180*($Q180*$S180)/(1+Voorblad!$K$44)^(BP$56-Voorblad!$F$41)</f>
        <v>0</v>
      </c>
      <c r="BQ180" s="9">
        <f>FR180*($Q180*$S180)/(1+Voorblad!$K$44)^(BQ$56-Voorblad!$F$41)</f>
        <v>0</v>
      </c>
      <c r="BR180" s="9">
        <f>FS180*($Q180*$S180)/(1+Voorblad!$K$44)^(BR$56-Voorblad!$F$41)</f>
        <v>0</v>
      </c>
      <c r="BS180" s="9">
        <f>FT180*($Q180*$S180)/(1+Voorblad!$K$44)^(BS$56-Voorblad!$F$41)</f>
        <v>0</v>
      </c>
      <c r="BT180" s="9">
        <f>FU180*($Q180*$S180)/(1+Voorblad!$K$44)^(BT$56-Voorblad!$F$41)</f>
        <v>0</v>
      </c>
      <c r="BU180" s="9">
        <f>FV180*($Q180*$S180)/(1+Voorblad!$K$44)^(BU$56-Voorblad!$F$41)</f>
        <v>0</v>
      </c>
      <c r="BV180" s="9">
        <f>FW180*($Q180*$S180)/(1+Voorblad!$K$44)^(BV$56-Voorblad!$F$41)</f>
        <v>0</v>
      </c>
      <c r="BW180" s="9">
        <f>FX180*($Q180*$S180)/(1+Voorblad!$K$44)^(BW$56-Voorblad!$F$41)</f>
        <v>0</v>
      </c>
      <c r="BX180" s="9">
        <f>FY180*($Q180*$S180)/(1+Voorblad!$K$44)^(BX$56-Voorblad!$F$41)</f>
        <v>0</v>
      </c>
      <c r="BY180" s="9">
        <f>FZ180*($Q180*$S180)/(1+Voorblad!$K$44)^(BY$56-Voorblad!$F$41)</f>
        <v>0</v>
      </c>
      <c r="BZ180" s="9">
        <f>GA180*($Q180*$S180)/(1+Voorblad!$K$44)^(BZ$56-Voorblad!$F$41)</f>
        <v>0</v>
      </c>
      <c r="CA180" s="9">
        <f>GB180*($Q180*$S180)/(1+Voorblad!$K$44)^(CA$56-Voorblad!$F$41)</f>
        <v>0</v>
      </c>
      <c r="CB180" s="9">
        <f>GC180*($Q180*$S180)/(1+Voorblad!$K$44)^(CB$56-Voorblad!$F$41)</f>
        <v>0</v>
      </c>
      <c r="CC180" s="9">
        <f>GD180*($Q180*$S180)/(1+Voorblad!$K$44)^(CC$56-Voorblad!$F$41)</f>
        <v>0</v>
      </c>
      <c r="CD180" s="9">
        <f>GE180*($Q180*$S180)/(1+Voorblad!$K$44)^(CD$56-Voorblad!$F$41)</f>
        <v>0</v>
      </c>
      <c r="CE180" s="9">
        <f>GF180*($Q180*$S180)/(1+Voorblad!$K$44)^(CE$56-Voorblad!$F$41)</f>
        <v>0</v>
      </c>
      <c r="CF180" s="9">
        <f>GG180*($Q180*$S180)/(1+Voorblad!$K$44)^(CF$56-Voorblad!$F$41)</f>
        <v>0</v>
      </c>
      <c r="CG180" s="9">
        <f>GH180*($Q180*$S180)/(1+Voorblad!$K$44)^(CG$56-Voorblad!$F$41)</f>
        <v>0</v>
      </c>
      <c r="CH180" s="9">
        <f>GI180*($Q180*$S180)/(1+Voorblad!$K$44)^(CH$56-Voorblad!$F$41)</f>
        <v>0</v>
      </c>
      <c r="CI180" s="9">
        <f>GJ180*($Q180*$S180)/(1+Voorblad!$K$44)^(CI$56-Voorblad!$F$41)</f>
        <v>0</v>
      </c>
      <c r="CJ180" s="9">
        <f>GK180*($Q180*$S180)/(1+Voorblad!$K$44)^(CJ$56-Voorblad!$F$41)</f>
        <v>0</v>
      </c>
      <c r="CK180" s="9">
        <f>GL180*($Q180*$S180)/(1+Voorblad!$K$44)^(CK$56-Voorblad!$F$41)</f>
        <v>0</v>
      </c>
      <c r="CL180" s="9">
        <f>GM180*($Q180*$S180)/(1+Voorblad!$K$44)^(CL$56-Voorblad!$F$41)</f>
        <v>0</v>
      </c>
      <c r="CM180" s="9">
        <f>GN180*($Q180*$S180)/(1+Voorblad!$K$44)^(CM$56-Voorblad!$F$41)</f>
        <v>0</v>
      </c>
      <c r="CN180" s="9">
        <f>GO180*($Q180*$S180)/(1+Voorblad!$K$44)^(CN$56-Voorblad!$F$41)</f>
        <v>0</v>
      </c>
      <c r="CO180" s="9">
        <f>GP180*($Q180*$S180)/(1+Voorblad!$K$44)^(CO$56-Voorblad!$F$41)</f>
        <v>0</v>
      </c>
      <c r="CP180" s="9">
        <f>GQ180*($Q180*$S180)/(1+Voorblad!$K$44)^(CP$56-Voorblad!$F$41)</f>
        <v>0</v>
      </c>
      <c r="CQ180" s="9">
        <f>GR180*($Q180*$S180)/(1+Voorblad!$K$44)^(CQ$56-Voorblad!$F$41)</f>
        <v>0</v>
      </c>
      <c r="CR180" s="9">
        <f>GS180*($Q180*$S180)/(1+Voorblad!$K$44)^(CR$56-Voorblad!$F$41)</f>
        <v>0</v>
      </c>
      <c r="CS180" s="9">
        <f>GT180*($Q180*$S180)/(1+Voorblad!$K$44)^(CS$56-Voorblad!$F$41)</f>
        <v>0</v>
      </c>
      <c r="CT180" s="9">
        <f>GU180*($Q180*$S180)/(1+Voorblad!$K$44)^(CT$56-Voorblad!$F$41)</f>
        <v>0</v>
      </c>
      <c r="CU180" s="9">
        <f>GV180*($Q180*$S180)/(1+Voorblad!$K$44)^(CU$56-Voorblad!$F$41)</f>
        <v>0</v>
      </c>
      <c r="CV180" s="9">
        <f>GW180*($Q180*$S180)/(1+Voorblad!$K$44)^(CV$56-Voorblad!$F$41)</f>
        <v>0</v>
      </c>
      <c r="CW180" s="9">
        <f>GX180*($Q180*$S180)/(1+Voorblad!$K$44)^(CW$56-Voorblad!$F$41)</f>
        <v>0</v>
      </c>
      <c r="CX180" s="9">
        <f>GY180*($Q180*$S180)/(1+Voorblad!$K$44)^(CX$56-Voorblad!$F$41)</f>
        <v>0</v>
      </c>
      <c r="CY180" s="9">
        <f>GZ180*($Q180*$S180)/(1+Voorblad!$K$44)^(CY$56-Voorblad!$F$41)</f>
        <v>0</v>
      </c>
      <c r="CZ180" s="9">
        <f>HA180*($Q180*$S180)/(1+Voorblad!$K$44)^(CZ$56-Voorblad!$F$41)</f>
        <v>0</v>
      </c>
      <c r="DA180" s="9">
        <f>HB180*($Q180*$S180)/(1+Voorblad!$K$44)^(DA$56-Voorblad!$F$41)</f>
        <v>0</v>
      </c>
      <c r="DB180" s="9">
        <f>HC180*($Q180*$S180)/(1+Voorblad!$K$44)^(DB$56-Voorblad!$F$41)</f>
        <v>0</v>
      </c>
      <c r="DC180" s="9">
        <f>HD180*($Q180*$S180)/(1+Voorblad!$K$44)^(DC$56-Voorblad!$F$41)</f>
        <v>0</v>
      </c>
      <c r="DD180" s="9">
        <f>HE180*($Q180*$S180)/(1+Voorblad!$K$44)^(DD$56-Voorblad!$F$41)</f>
        <v>0</v>
      </c>
      <c r="DE180" s="9">
        <f>HF180*($Q180*$S180)/(1+Voorblad!$K$44)^(DE$56-Voorblad!$F$41)</f>
        <v>0</v>
      </c>
      <c r="DF180" s="9">
        <f>HG180*($Q180*$S180)/(1+Voorblad!$K$44)^(DF$56-Voorblad!$F$41)</f>
        <v>0</v>
      </c>
      <c r="DG180" s="9">
        <f>HH180*($Q180*$S180)/(1+Voorblad!$K$44)^(DG$56-Voorblad!$F$41)</f>
        <v>0</v>
      </c>
      <c r="DH180" s="9">
        <f>HI180*($Q180*$S180)/(1+Voorblad!$K$44)^(DH$56-Voorblad!$F$41)</f>
        <v>0</v>
      </c>
      <c r="DI180" s="9">
        <f>HJ180*($Q180*$S180)/(1+Voorblad!$K$44)^(DI$56-Voorblad!$F$41)</f>
        <v>0</v>
      </c>
      <c r="DJ180" s="9">
        <f>HK180*($Q180*$S180)/(1+Voorblad!$K$44)^(DJ$56-Voorblad!$F$41)</f>
        <v>0</v>
      </c>
      <c r="DK180" s="9">
        <f>HL180*($Q180*$S180)/(1+Voorblad!$K$44)^(DK$56-Voorblad!$F$41)</f>
        <v>0</v>
      </c>
      <c r="DL180" s="9">
        <f>HM180*($Q180*$S180)/(1+Voorblad!$K$44)^(DL$56-Voorblad!$F$41)</f>
        <v>0</v>
      </c>
      <c r="DM180" s="9">
        <f>HN180*($Q180*$S180)/(1+Voorblad!$K$44)^(DM$56-Voorblad!$F$41)</f>
        <v>0</v>
      </c>
      <c r="DN180" s="9">
        <f>HO180*($Q180*$S180)/(1+Voorblad!$K$44)^(DN$56-Voorblad!$F$41)</f>
        <v>0</v>
      </c>
      <c r="DO180" s="9">
        <f>HP180*($Q180*$S180)/(1+Voorblad!$K$44)^(DO$56-Voorblad!$F$41)</f>
        <v>0</v>
      </c>
      <c r="DP180" s="9">
        <f>HQ180*($Q180*$S180)/(1+Voorblad!$K$44)^(DP$56-Voorblad!$F$41)</f>
        <v>0</v>
      </c>
      <c r="DQ180" s="9">
        <f>HR180*($Q180*$S180)/(1+Voorblad!$K$44)^(DQ$56-Voorblad!$F$41)</f>
        <v>0</v>
      </c>
      <c r="DR180" s="9">
        <f>HS180*($Q180*$S180)/(1+Voorblad!$K$44)^(DR$56-Voorblad!$F$41)</f>
        <v>0</v>
      </c>
      <c r="DS180" s="9">
        <f>HT180*($Q180*$S180)/(1+Voorblad!$K$44)^(DS$56-Voorblad!$F$41)</f>
        <v>0</v>
      </c>
      <c r="DT180" s="9">
        <f>HU180*($Q180*$S180)/(1+Voorblad!$K$44)^(DT$56-Voorblad!$F$41)</f>
        <v>0</v>
      </c>
      <c r="DU180" s="9">
        <f>HV180*($Q180*$S180)/(1+Voorblad!$K$44)^(DU$56-Voorblad!$F$41)</f>
        <v>0</v>
      </c>
      <c r="DV180" s="9">
        <f>HW180*($Q180*$S180)/(1+Voorblad!$K$44)^(DV$56-Voorblad!$F$41)</f>
        <v>0</v>
      </c>
      <c r="DW180" s="9">
        <f>HX180*($Q180*$S180)/(1+Voorblad!$K$44)^(DW$56-Voorblad!$F$41)</f>
        <v>0</v>
      </c>
      <c r="DX180" s="9">
        <f>HY180*($Q180*$S180)/(1+Voorblad!$K$44)^(DX$56-Voorblad!$F$41)</f>
        <v>0</v>
      </c>
      <c r="DY180" s="9">
        <f>HZ180*($Q180*$S180)/(1+Voorblad!$K$44)^(DY$56-Voorblad!$F$41)</f>
        <v>0</v>
      </c>
      <c r="DZ180" s="9">
        <f>IA180*($Q180*$S180)/(1+Voorblad!$K$44)^(DZ$56-Voorblad!$F$41)</f>
        <v>0</v>
      </c>
      <c r="EA180" s="9">
        <f>IB180*($Q180*$S180)/(1+Voorblad!$K$44)^(EA$56-Voorblad!$F$41)</f>
        <v>0</v>
      </c>
      <c r="EB180" s="9">
        <f>IC180*($Q180*$S180)/(1+Voorblad!$K$44)^(EB$56-Voorblad!$F$41)</f>
        <v>0</v>
      </c>
      <c r="EE180" s="8">
        <v>0</v>
      </c>
      <c r="EF180" s="8">
        <f>IF(EF$56-Voorblad!$F$41&gt;Voorblad!$K$41,0,IF($U180=0,0,IF($U180&lt;1,1/$U180,IF((EF$56-Voorblad!$F$41)/$U180-SUM($EE180:EE180)=1,1,0))))</f>
        <v>0</v>
      </c>
      <c r="EG180" s="8">
        <f>IF(EG$56-Voorblad!$F$41&gt;Voorblad!$K$41,0,IF($U180=0,0,IF($U180&lt;1,1/$U180,IF((EG$56-Voorblad!$F$41)/$U180-SUM($EE180:EF180)=1,1,0))))</f>
        <v>0</v>
      </c>
      <c r="EH180" s="8">
        <f>IF(EH$56-Voorblad!$F$41&gt;Voorblad!$K$41,0,IF($U180=0,0,IF($U180&lt;1,1/$U180,IF((EH$56-Voorblad!$F$41)/$U180-SUM($EE180:EG180)=1,1,0))))</f>
        <v>0</v>
      </c>
      <c r="EI180" s="8">
        <f>IF(EI$56-Voorblad!$F$41&gt;Voorblad!$K$41,0,IF($U180=0,0,IF($U180&lt;1,1/$U180,IF((EI$56-Voorblad!$F$41)/$U180-SUM($EE180:EH180)=1,1,0))))</f>
        <v>0</v>
      </c>
      <c r="EJ180" s="8">
        <f>IF(EJ$56-Voorblad!$F$41&gt;Voorblad!$K$41,0,IF($U180=0,0,IF($U180&lt;1,1/$U180,IF((EJ$56-Voorblad!$F$41)/$U180-SUM($EE180:EI180)=1,1,0))))</f>
        <v>0</v>
      </c>
      <c r="EK180" s="8">
        <f>IF(EK$56-Voorblad!$F$41&gt;Voorblad!$K$41,0,IF($U180=0,0,IF($U180&lt;1,1/$U180,IF((EK$56-Voorblad!$F$41)/$U180-SUM($EE180:EJ180)=1,1,0))))</f>
        <v>0</v>
      </c>
      <c r="EL180" s="8">
        <f>IF(EL$56-Voorblad!$F$41&gt;Voorblad!$K$41,0,IF($U180=0,0,IF($U180&lt;1,1/$U180,IF((EL$56-Voorblad!$F$41)/$U180-SUM($EE180:EK180)=1,1,0))))</f>
        <v>0</v>
      </c>
      <c r="EM180" s="8">
        <f>IF(EM$56-Voorblad!$F$41&gt;Voorblad!$K$41,0,IF($U180=0,0,IF($U180&lt;1,1/$U180,IF((EM$56-Voorblad!$F$41)/$U180-SUM($EE180:EL180)=1,1,0))))</f>
        <v>0</v>
      </c>
      <c r="EN180" s="8">
        <f>IF(EN$56-Voorblad!$F$41&gt;Voorblad!$K$41,0,IF($U180=0,0,IF($U180&lt;1,1/$U180,IF((EN$56-Voorblad!$F$41)/$U180-SUM($EE180:EM180)=1,1,0))))</f>
        <v>0</v>
      </c>
      <c r="EO180" s="8">
        <f>IF(EO$56-Voorblad!$F$41&gt;Voorblad!$K$41,0,IF($U180=0,0,IF($U180&lt;1,1/$U180,IF((EO$56-Voorblad!$F$41)/$U180-SUM($EE180:EN180)=1,1,0))))</f>
        <v>0</v>
      </c>
      <c r="EP180" s="8">
        <f>IF(EP$56-Voorblad!$F$41&gt;Voorblad!$K$41,0,IF($U180=0,0,IF($U180&lt;1,1/$U180,IF((EP$56-Voorblad!$F$41)/$U180-SUM($EE180:EO180)=1,1,0))))</f>
        <v>0</v>
      </c>
      <c r="EQ180" s="8">
        <f>IF(EQ$56-Voorblad!$F$41&gt;Voorblad!$K$41,0,IF($U180=0,0,IF($U180&lt;1,1/$U180,IF((EQ$56-Voorblad!$F$41)/$U180-SUM($EE180:EP180)=1,1,0))))</f>
        <v>0</v>
      </c>
      <c r="ER180" s="8">
        <f>IF(ER$56-Voorblad!$F$41&gt;Voorblad!$K$41,0,IF($U180=0,0,IF($U180&lt;1,1/$U180,IF((ER$56-Voorblad!$F$41)/$U180-SUM($EE180:EQ180)=1,1,0))))</f>
        <v>0</v>
      </c>
      <c r="ES180" s="8">
        <f>IF(ES$56-Voorblad!$F$41&gt;Voorblad!$K$41,0,IF($U180=0,0,IF($U180&lt;1,1/$U180,IF((ES$56-Voorblad!$F$41)/$U180-SUM($EE180:ER180)=1,1,0))))</f>
        <v>0</v>
      </c>
      <c r="ET180" s="8">
        <f>IF(ET$56-Voorblad!$F$41&gt;Voorblad!$K$41,0,IF($U180=0,0,IF($U180&lt;1,1/$U180,IF((ET$56-Voorblad!$F$41)/$U180-SUM($EE180:ES180)=1,1,0))))</f>
        <v>0</v>
      </c>
      <c r="EU180" s="8">
        <f>IF(EU$56-Voorblad!$F$41&gt;Voorblad!$K$41,0,IF($U180=0,0,IF($U180&lt;1,1/$U180,IF((EU$56-Voorblad!$F$41)/$U180-SUM($EE180:ET180)=1,1,0))))</f>
        <v>0</v>
      </c>
      <c r="EV180" s="8">
        <f>IF(EV$56-Voorblad!$F$41&gt;Voorblad!$K$41,0,IF($U180=0,0,IF($U180&lt;1,1/$U180,IF((EV$56-Voorblad!$F$41)/$U180-SUM($EE180:EU180)=1,1,0))))</f>
        <v>0</v>
      </c>
      <c r="EW180" s="8">
        <f>IF(EW$56-Voorblad!$F$41&gt;Voorblad!$K$41,0,IF($U180=0,0,IF($U180&lt;1,1/$U180,IF((EW$56-Voorblad!$F$41)/$U180-SUM($EE180:EV180)=1,1,0))))</f>
        <v>0</v>
      </c>
      <c r="EX180" s="8">
        <f>IF(EX$56-Voorblad!$F$41&gt;Voorblad!$K$41,0,IF($U180=0,0,IF($U180&lt;1,1/$U180,IF((EX$56-Voorblad!$F$41)/$U180-SUM($EE180:EW180)=1,1,0))))</f>
        <v>0</v>
      </c>
      <c r="EY180" s="8">
        <f>IF(EY$56-Voorblad!$F$41&gt;Voorblad!$K$41,0,IF($U180=0,0,IF($U180&lt;1,1/$U180,IF((EY$56-Voorblad!$F$41)/$U180-SUM($EE180:EX180)=1,1,0))))</f>
        <v>0</v>
      </c>
      <c r="EZ180" s="8">
        <f>IF(EZ$56-Voorblad!$F$41&gt;Voorblad!$K$41,0,IF($U180=0,0,IF($U180&lt;1,1/$U180,IF((EZ$56-Voorblad!$F$41)/$U180-SUM($EE180:EY180)=1,1,0))))</f>
        <v>0</v>
      </c>
      <c r="FA180" s="8">
        <f>IF(FA$56-Voorblad!$F$41&gt;Voorblad!$K$41,0,IF($U180=0,0,IF($U180&lt;1,1/$U180,IF((FA$56-Voorblad!$F$41)/$U180-SUM($EE180:EZ180)=1,1,0))))</f>
        <v>0</v>
      </c>
      <c r="FB180" s="8">
        <f>IF(FB$56-Voorblad!$F$41&gt;Voorblad!$K$41,0,IF($U180=0,0,IF($U180&lt;1,1/$U180,IF((FB$56-Voorblad!$F$41)/$U180-SUM($EE180:FA180)=1,1,0))))</f>
        <v>0</v>
      </c>
      <c r="FC180" s="8">
        <f>IF(FC$56-Voorblad!$F$41&gt;Voorblad!$K$41,0,IF($U180=0,0,IF($U180&lt;1,1/$U180,IF((FC$56-Voorblad!$F$41)/$U180-SUM($EE180:FB180)=1,1,0))))</f>
        <v>0</v>
      </c>
      <c r="FD180" s="8">
        <f>IF(FD$56-Voorblad!$F$41&gt;Voorblad!$K$41,0,IF($U180=0,0,IF($U180&lt;1,1/$U180,IF((FD$56-Voorblad!$F$41)/$U180-SUM($EE180:FC180)=1,1,0))))</f>
        <v>0</v>
      </c>
      <c r="FE180" s="8">
        <f>IF(FE$56-Voorblad!$F$41&gt;Voorblad!$K$41,0,IF($U180=0,0,IF($U180&lt;1,1/$U180,IF((FE$56-Voorblad!$F$41)/$U180-SUM($EE180:FD180)=1,1,0))))</f>
        <v>0</v>
      </c>
      <c r="FF180" s="8">
        <f>IF(FF$56-Voorblad!$F$41&gt;Voorblad!$K$41,0,IF($U180=0,0,IF($U180&lt;1,1/$U180,IF((FF$56-Voorblad!$F$41)/$U180-SUM($EE180:FE180)=1,1,0))))</f>
        <v>0</v>
      </c>
      <c r="FG180" s="8">
        <f>IF(FG$56-Voorblad!$F$41&gt;Voorblad!$K$41,0,IF($U180=0,0,IF($U180&lt;1,1/$U180,IF((FG$56-Voorblad!$F$41)/$U180-SUM($EE180:FF180)=1,1,0))))</f>
        <v>0</v>
      </c>
      <c r="FH180" s="8">
        <f>IF(FH$56-Voorblad!$F$41&gt;Voorblad!$K$41,0,IF($U180=0,0,IF($U180&lt;1,1/$U180,IF((FH$56-Voorblad!$F$41)/$U180-SUM($EE180:FG180)=1,1,0))))</f>
        <v>0</v>
      </c>
      <c r="FI180" s="8">
        <f>IF(FI$56-Voorblad!$F$41&gt;Voorblad!$K$41,0,IF($U180=0,0,IF($U180&lt;1,1/$U180,IF((FI$56-Voorblad!$F$41)/$U180-SUM($EE180:FH180)=1,1,0))))</f>
        <v>0</v>
      </c>
      <c r="FJ180" s="8">
        <f>IF(FJ$56-Voorblad!$F$41&gt;Voorblad!$K$41,0,IF($U180=0,0,IF($U180&lt;1,1/$U180,IF((FJ$56-Voorblad!$F$41)/$U180-SUM($EE180:FI180)=1,1,0))))</f>
        <v>0</v>
      </c>
      <c r="FK180" s="8">
        <f>IF(FK$56-Voorblad!$F$41&gt;Voorblad!$K$41,0,IF($U180=0,0,IF($U180&lt;1,1/$U180,IF((FK$56-Voorblad!$F$41)/$U180-SUM($EE180:FJ180)=1,1,0))))</f>
        <v>0</v>
      </c>
      <c r="FL180" s="8">
        <f>IF(FL$56-Voorblad!$F$41&gt;Voorblad!$K$41,0,IF($U180=0,0,IF($U180&lt;1,1/$U180,IF((FL$56-Voorblad!$F$41)/$U180-SUM($EE180:FK180)=1,1,0))))</f>
        <v>0</v>
      </c>
      <c r="FM180" s="8">
        <f>IF(FM$56-Voorblad!$F$41&gt;Voorblad!$K$41,0,IF($U180=0,0,IF($U180&lt;1,1/$U180,IF((FM$56-Voorblad!$F$41)/$U180-SUM($EE180:FL180)=1,1,0))))</f>
        <v>0</v>
      </c>
      <c r="FN180" s="8">
        <f>IF(FN$56-Voorblad!$F$41&gt;Voorblad!$K$41,0,IF($U180=0,0,IF($U180&lt;1,1/$U180,IF((FN$56-Voorblad!$F$41)/$U180-SUM($EE180:FM180)=1,1,0))))</f>
        <v>0</v>
      </c>
      <c r="FO180" s="8">
        <f>IF(FO$56-Voorblad!$F$41&gt;Voorblad!$K$41,0,IF($U180=0,0,IF($U180&lt;1,1/$U180,IF((FO$56-Voorblad!$F$41)/$U180-SUM($EE180:FN180)=1,1,0))))</f>
        <v>0</v>
      </c>
      <c r="FP180" s="8">
        <f>IF(FP$56-Voorblad!$F$41&gt;Voorblad!$K$41,0,IF($U180=0,0,IF($U180&lt;1,1/$U180,IF((FP$56-Voorblad!$F$41)/$U180-SUM($EE180:FO180)=1,1,0))))</f>
        <v>0</v>
      </c>
      <c r="FQ180" s="8">
        <f>IF(FQ$56-Voorblad!$F$41&gt;Voorblad!$K$41,0,IF($U180=0,0,IF($U180&lt;1,1/$U180,IF((FQ$56-Voorblad!$F$41)/$U180-SUM($EE180:FP180)=1,1,0))))</f>
        <v>0</v>
      </c>
      <c r="FR180" s="8">
        <f>IF(FR$56-Voorblad!$F$41&gt;Voorblad!$K$41,0,IF($U180=0,0,IF($U180&lt;1,1/$U180,IF((FR$56-Voorblad!$F$41)/$U180-SUM($EE180:FQ180)=1,1,0))))</f>
        <v>0</v>
      </c>
      <c r="FS180" s="8">
        <f>IF(FS$56-Voorblad!$F$41&gt;Voorblad!$K$41,0,IF($U180=0,0,IF($U180&lt;1,1/$U180,IF((FS$56-Voorblad!$F$41)/$U180-SUM($EE180:FR180)=1,1,0))))</f>
        <v>0</v>
      </c>
      <c r="FT180" s="8">
        <f>IF(FT$56-Voorblad!$F$41&gt;Voorblad!$K$41,0,IF($U180=0,0,IF($U180&lt;1,1/$U180,IF((FT$56-Voorblad!$F$41)/$U180-SUM($EE180:FS180)=1,1,0))))</f>
        <v>0</v>
      </c>
      <c r="FU180" s="8">
        <f>IF(FU$56-Voorblad!$F$41&gt;Voorblad!$K$41,0,IF($U180=0,0,IF($U180&lt;1,1/$U180,IF((FU$56-Voorblad!$F$41)/$U180-SUM($EE180:FT180)=1,1,0))))</f>
        <v>0</v>
      </c>
      <c r="FV180" s="8">
        <f>IF(FV$56-Voorblad!$F$41&gt;Voorblad!$K$41,0,IF($U180=0,0,IF($U180&lt;1,1/$U180,IF((FV$56-Voorblad!$F$41)/$U180-SUM($EE180:FU180)=1,1,0))))</f>
        <v>0</v>
      </c>
      <c r="FW180" s="8">
        <f>IF(FW$56-Voorblad!$F$41&gt;Voorblad!$K$41,0,IF($U180=0,0,IF($U180&lt;1,1/$U180,IF((FW$56-Voorblad!$F$41)/$U180-SUM($EE180:FV180)=1,1,0))))</f>
        <v>0</v>
      </c>
      <c r="FX180" s="8">
        <f>IF(FX$56-Voorblad!$F$41&gt;Voorblad!$K$41,0,IF($U180=0,0,IF($U180&lt;1,1/$U180,IF((FX$56-Voorblad!$F$41)/$U180-SUM($EE180:FW180)=1,1,0))))</f>
        <v>0</v>
      </c>
      <c r="FY180" s="8">
        <f>IF(FY$56-Voorblad!$F$41&gt;Voorblad!$K$41,0,IF($U180=0,0,IF($U180&lt;1,1/$U180,IF((FY$56-Voorblad!$F$41)/$U180-SUM($EE180:FX180)=1,1,0))))</f>
        <v>0</v>
      </c>
      <c r="FZ180" s="8">
        <f>IF(FZ$56-Voorblad!$F$41&gt;Voorblad!$K$41,0,IF($U180=0,0,IF($U180&lt;1,1/$U180,IF((FZ$56-Voorblad!$F$41)/$U180-SUM($EE180:FY180)=1,1,0))))</f>
        <v>0</v>
      </c>
      <c r="GA180" s="8">
        <f>IF(GA$56-Voorblad!$F$41&gt;Voorblad!$K$41,0,IF($U180=0,0,IF($U180&lt;1,1/$U180,IF((GA$56-Voorblad!$F$41)/$U180-SUM($EE180:FZ180)=1,1,0))))</f>
        <v>0</v>
      </c>
      <c r="GB180" s="8">
        <f>IF(GB$56-Voorblad!$F$41&gt;Voorblad!$K$41,0,IF($U180=0,0,IF($U180&lt;1,1/$U180,IF((GB$56-Voorblad!$F$41)/$U180-SUM($EE180:GA180)=1,1,0))))</f>
        <v>0</v>
      </c>
      <c r="GC180" s="8">
        <f>IF(GC$56-Voorblad!$F$41&gt;Voorblad!$K$41,0,IF($U180=0,0,IF($U180&lt;1,1/$U180,IF((GC$56-Voorblad!$F$41)/$U180-SUM($EE180:GB180)=1,1,0))))</f>
        <v>0</v>
      </c>
      <c r="GD180" s="8">
        <f>IF(GD$56-Voorblad!$F$41&gt;Voorblad!$K$41,0,IF($U180=0,0,IF($U180&lt;1,1/$U180,IF((GD$56-Voorblad!$F$41)/$U180-SUM($EE180:GC180)=1,1,0))))</f>
        <v>1</v>
      </c>
      <c r="GE180" s="8">
        <f>IF(GE$56-Voorblad!$F$41&gt;Voorblad!$K$41,0,IF($U180=0,0,IF($U180&lt;1,1/$U180,IF((GE$56-Voorblad!$F$41)/$U180-SUM($EE180:GD180)=1,1,0))))</f>
        <v>0</v>
      </c>
      <c r="GF180" s="8">
        <f>IF(GF$56-Voorblad!$F$41&gt;Voorblad!$K$41,0,IF($U180=0,0,IF($U180&lt;1,1/$U180,IF((GF$56-Voorblad!$F$41)/$U180-SUM($EE180:GE180)=1,1,0))))</f>
        <v>0</v>
      </c>
      <c r="GG180" s="8">
        <f>IF(GG$56-Voorblad!$F$41&gt;Voorblad!$K$41,0,IF($U180=0,0,IF($U180&lt;1,1/$U180,IF((GG$56-Voorblad!$F$41)/$U180-SUM($EE180:GF180)=1,1,0))))</f>
        <v>0</v>
      </c>
      <c r="GH180" s="8">
        <f>IF(GH$56-Voorblad!$F$41&gt;Voorblad!$K$41,0,IF($U180=0,0,IF($U180&lt;1,1/$U180,IF((GH$56-Voorblad!$F$41)/$U180-SUM($EE180:GG180)=1,1,0))))</f>
        <v>0</v>
      </c>
      <c r="GI180" s="8">
        <f>IF(GI$56-Voorblad!$F$41&gt;Voorblad!$K$41,0,IF($U180=0,0,IF($U180&lt;1,1/$U180,IF((GI$56-Voorblad!$F$41)/$U180-SUM($EE180:GH180)=1,1,0))))</f>
        <v>0</v>
      </c>
      <c r="GJ180" s="8">
        <f>IF(GJ$56-Voorblad!$F$41&gt;Voorblad!$K$41,0,IF($U180=0,0,IF($U180&lt;1,1/$U180,IF((GJ$56-Voorblad!$F$41)/$U180-SUM($EE180:GI180)=1,1,0))))</f>
        <v>0</v>
      </c>
      <c r="GK180" s="8">
        <f>IF(GK$56-Voorblad!$F$41&gt;Voorblad!$K$41,0,IF($U180=0,0,IF($U180&lt;1,1/$U180,IF((GK$56-Voorblad!$F$41)/$U180-SUM($EE180:GJ180)=1,1,0))))</f>
        <v>0</v>
      </c>
      <c r="GL180" s="8">
        <f>IF(GL$56-Voorblad!$F$41&gt;Voorblad!$K$41,0,IF($U180=0,0,IF($U180&lt;1,1/$U180,IF((GL$56-Voorblad!$F$41)/$U180-SUM($EE180:GK180)=1,1,0))))</f>
        <v>0</v>
      </c>
      <c r="GM180" s="8">
        <f>IF(GM$56-Voorblad!$F$41&gt;Voorblad!$K$41,0,IF($U180=0,0,IF($U180&lt;1,1/$U180,IF((GM$56-Voorblad!$F$41)/$U180-SUM($EE180:GL180)=1,1,0))))</f>
        <v>0</v>
      </c>
      <c r="GN180" s="8">
        <f>IF(GN$56-Voorblad!$F$41&gt;Voorblad!$K$41,0,IF($U180=0,0,IF($U180&lt;1,1/$U180,IF((GN$56-Voorblad!$F$41)/$U180-SUM($EE180:GM180)=1,1,0))))</f>
        <v>0</v>
      </c>
      <c r="GO180" s="8">
        <f>IF(GO$56-Voorblad!$F$41&gt;Voorblad!$K$41,0,IF($U180=0,0,IF($U180&lt;1,1/$U180,IF((GO$56-Voorblad!$F$41)/$U180-SUM($EE180:GN180)=1,1,0))))</f>
        <v>0</v>
      </c>
      <c r="GP180" s="8">
        <f>IF(GP$56-Voorblad!$F$41&gt;Voorblad!$K$41,0,IF($U180=0,0,IF($U180&lt;1,1/$U180,IF((GP$56-Voorblad!$F$41)/$U180-SUM($EE180:GO180)=1,1,0))))</f>
        <v>0</v>
      </c>
      <c r="GQ180" s="8">
        <f>IF(GQ$56-Voorblad!$F$41&gt;Voorblad!$K$41,0,IF($U180=0,0,IF($U180&lt;1,1/$U180,IF((GQ$56-Voorblad!$F$41)/$U180-SUM($EE180:GP180)=1,1,0))))</f>
        <v>0</v>
      </c>
      <c r="GR180" s="8">
        <f>IF(GR$56-Voorblad!$F$41&gt;Voorblad!$K$41,0,IF($U180=0,0,IF($U180&lt;1,1/$U180,IF((GR$56-Voorblad!$F$41)/$U180-SUM($EE180:GQ180)=1,1,0))))</f>
        <v>0</v>
      </c>
      <c r="GS180" s="8">
        <f>IF(GS$56-Voorblad!$F$41&gt;Voorblad!$K$41,0,IF($U180=0,0,IF($U180&lt;1,1/$U180,IF((GS$56-Voorblad!$F$41)/$U180-SUM($EE180:GR180)=1,1,0))))</f>
        <v>0</v>
      </c>
      <c r="GT180" s="8">
        <f>IF(GT$56-Voorblad!$F$41&gt;Voorblad!$K$41,0,IF($U180=0,0,IF($U180&lt;1,1/$U180,IF((GT$56-Voorblad!$F$41)/$U180-SUM($EE180:GS180)=1,1,0))))</f>
        <v>0</v>
      </c>
      <c r="GU180" s="8">
        <f>IF(GU$56-Voorblad!$F$41&gt;Voorblad!$K$41,0,IF($U180=0,0,IF($U180&lt;1,1/$U180,IF((GU$56-Voorblad!$F$41)/$U180-SUM($EE180:GT180)=1,1,0))))</f>
        <v>0</v>
      </c>
      <c r="GV180" s="8">
        <f>IF(GV$56-Voorblad!$F$41&gt;Voorblad!$K$41,0,IF($U180=0,0,IF($U180&lt;1,1/$U180,IF((GV$56-Voorblad!$F$41)/$U180-SUM($EE180:GU180)=1,1,0))))</f>
        <v>0</v>
      </c>
      <c r="GW180" s="8">
        <f>IF(GW$56-Voorblad!$F$41&gt;Voorblad!$K$41,0,IF($U180=0,0,IF($U180&lt;1,1/$U180,IF((GW$56-Voorblad!$F$41)/$U180-SUM($EE180:GV180)=1,1,0))))</f>
        <v>0</v>
      </c>
      <c r="GX180" s="8">
        <f>IF(GX$56-Voorblad!$F$41&gt;Voorblad!$K$41,0,IF($U180=0,0,IF($U180&lt;1,1/$U180,IF((GX$56-Voorblad!$F$41)/$U180-SUM($EE180:GW180)=1,1,0))))</f>
        <v>0</v>
      </c>
      <c r="GY180" s="8">
        <f>IF(GY$56-Voorblad!$F$41&gt;Voorblad!$K$41,0,IF($U180=0,0,IF($U180&lt;1,1/$U180,IF((GY$56-Voorblad!$F$41)/$U180-SUM($EE180:GX180)=1,1,0))))</f>
        <v>0</v>
      </c>
      <c r="GZ180" s="8">
        <f>IF(GZ$56-Voorblad!$F$41&gt;Voorblad!$K$41,0,IF($U180=0,0,IF($U180&lt;1,1/$U180,IF((GZ$56-Voorblad!$F$41)/$U180-SUM($EE180:GY180)=1,1,0))))</f>
        <v>0</v>
      </c>
      <c r="HA180" s="8">
        <f>IF(HA$56-Voorblad!$F$41&gt;Voorblad!$K$41,0,IF($U180=0,0,IF($U180&lt;1,1/$U180,IF((HA$56-Voorblad!$F$41)/$U180-SUM($EE180:GZ180)=1,1,0))))</f>
        <v>0</v>
      </c>
      <c r="HB180" s="8">
        <f>IF(HB$56-Voorblad!$F$41&gt;Voorblad!$K$41,0,IF($U180=0,0,IF($U180&lt;1,1/$U180,IF((HB$56-Voorblad!$F$41)/$U180-SUM($EE180:HA180)=1,1,0))))</f>
        <v>0</v>
      </c>
      <c r="HC180" s="8">
        <f>IF(HC$56-Voorblad!$F$41&gt;Voorblad!$K$41,0,IF($U180=0,0,IF($U180&lt;1,1/$U180,IF((HC$56-Voorblad!$F$41)/$U180-SUM($EE180:HB180)=1,1,0))))</f>
        <v>0</v>
      </c>
      <c r="HD180" s="8">
        <f>IF(HD$56-Voorblad!$F$41&gt;Voorblad!$K$41,0,IF($U180=0,0,IF($U180&lt;1,1/$U180,IF((HD$56-Voorblad!$F$41)/$U180-SUM($EE180:HC180)=1,1,0))))</f>
        <v>0</v>
      </c>
      <c r="HE180" s="8">
        <f>IF(HE$56-Voorblad!$F$41&gt;Voorblad!$K$41,0,IF($U180=0,0,IF($U180&lt;1,1/$U180,IF((HE$56-Voorblad!$F$41)/$U180-SUM($EE180:HD180)=1,1,0))))</f>
        <v>0</v>
      </c>
      <c r="HF180" s="8">
        <f>IF(HF$56-Voorblad!$F$41&gt;Voorblad!$K$41,0,IF($U180=0,0,IF($U180&lt;1,1/$U180,IF((HF$56-Voorblad!$F$41)/$U180-SUM($EE180:HE180)=1,1,0))))</f>
        <v>0</v>
      </c>
      <c r="HG180" s="8">
        <f>IF(HG$56-Voorblad!$F$41&gt;Voorblad!$K$41,0,IF($U180=0,0,IF($U180&lt;1,1/$U180,IF((HG$56-Voorblad!$F$41)/$U180-SUM($EE180:HF180)=1,1,0))))</f>
        <v>0</v>
      </c>
      <c r="HH180" s="8">
        <f>IF(HH$56-Voorblad!$F$41&gt;Voorblad!$K$41,0,IF($U180=0,0,IF($U180&lt;1,1/$U180,IF((HH$56-Voorblad!$F$41)/$U180-SUM($EE180:HG180)=1,1,0))))</f>
        <v>0</v>
      </c>
      <c r="HI180" s="8">
        <f>IF(HI$56-Voorblad!$F$41&gt;Voorblad!$K$41,0,IF($U180=0,0,IF($U180&lt;1,1/$U180,IF((HI$56-Voorblad!$F$41)/$U180-SUM($EE180:HH180)=1,1,0))))</f>
        <v>0</v>
      </c>
      <c r="HJ180" s="8">
        <f>IF(HJ$56-Voorblad!$F$41&gt;Voorblad!$K$41,0,IF($U180=0,0,IF($U180&lt;1,1/$U180,IF((HJ$56-Voorblad!$F$41)/$U180-SUM($EE180:HI180)=1,1,0))))</f>
        <v>0</v>
      </c>
      <c r="HK180" s="8">
        <f>IF(HK$56-Voorblad!$F$41&gt;Voorblad!$K$41,0,IF($U180=0,0,IF($U180&lt;1,1/$U180,IF((HK$56-Voorblad!$F$41)/$U180-SUM($EE180:HJ180)=1,1,0))))</f>
        <v>0</v>
      </c>
      <c r="HL180" s="8">
        <f>IF(HL$56-Voorblad!$F$41&gt;Voorblad!$K$41,0,IF($U180=0,0,IF($U180&lt;1,1/$U180,IF((HL$56-Voorblad!$F$41)/$U180-SUM($EE180:HK180)=1,1,0))))</f>
        <v>0</v>
      </c>
      <c r="HM180" s="8">
        <f>IF(HM$56-Voorblad!$F$41&gt;Voorblad!$K$41,0,IF($U180=0,0,IF($U180&lt;1,1/$U180,IF((HM$56-Voorblad!$F$41)/$U180-SUM($EE180:HL180)=1,1,0))))</f>
        <v>0</v>
      </c>
      <c r="HN180" s="8">
        <f>IF(HN$56-Voorblad!$F$41&gt;Voorblad!$K$41,0,IF($U180=0,0,IF($U180&lt;1,1/$U180,IF((HN$56-Voorblad!$F$41)/$U180-SUM($EE180:HM180)=1,1,0))))</f>
        <v>0</v>
      </c>
      <c r="HO180" s="8">
        <f>IF(HO$56-Voorblad!$F$41&gt;Voorblad!$K$41,0,IF($U180=0,0,IF($U180&lt;1,1/$U180,IF((HO$56-Voorblad!$F$41)/$U180-SUM($EE180:HN180)=1,1,0))))</f>
        <v>0</v>
      </c>
      <c r="HP180" s="8">
        <f>IF(HP$56-Voorblad!$F$41&gt;Voorblad!$K$41,0,IF($U180=0,0,IF($U180&lt;1,1/$U180,IF((HP$56-Voorblad!$F$41)/$U180-SUM($EE180:HO180)=1,1,0))))</f>
        <v>0</v>
      </c>
      <c r="HQ180" s="8">
        <f>IF(HQ$56-Voorblad!$F$41&gt;Voorblad!$K$41,0,IF($U180=0,0,IF($U180&lt;1,1/$U180,IF((HQ$56-Voorblad!$F$41)/$U180-SUM($EE180:HP180)=1,1,0))))</f>
        <v>0</v>
      </c>
      <c r="HR180" s="8">
        <f>IF(HR$56-Voorblad!$F$41&gt;Voorblad!$K$41,0,IF($U180=0,0,IF($U180&lt;1,1/$U180,IF((HR$56-Voorblad!$F$41)/$U180-SUM($EE180:HQ180)=1,1,0))))</f>
        <v>0</v>
      </c>
      <c r="HS180" s="8">
        <f>IF(HS$56-Voorblad!$F$41&gt;Voorblad!$K$41,0,IF($U180=0,0,IF($U180&lt;1,1/$U180,IF((HS$56-Voorblad!$F$41)/$U180-SUM($EE180:HR180)=1,1,0))))</f>
        <v>0</v>
      </c>
      <c r="HT180" s="8">
        <f>IF(HT$56-Voorblad!$F$41&gt;Voorblad!$K$41,0,IF($U180=0,0,IF($U180&lt;1,1/$U180,IF((HT$56-Voorblad!$F$41)/$U180-SUM($EE180:HS180)=1,1,0))))</f>
        <v>0</v>
      </c>
      <c r="HU180" s="8">
        <f>IF(HU$56-Voorblad!$F$41&gt;Voorblad!$K$41,0,IF($U180=0,0,IF($U180&lt;1,1/$U180,IF((HU$56-Voorblad!$F$41)/$U180-SUM($EE180:HT180)=1,1,0))))</f>
        <v>0</v>
      </c>
      <c r="HV180" s="8">
        <f>IF(HV$56-Voorblad!$F$41&gt;Voorblad!$K$41,0,IF($U180=0,0,IF($U180&lt;1,1/$U180,IF((HV$56-Voorblad!$F$41)/$U180-SUM($EE180:HU180)=1,1,0))))</f>
        <v>0</v>
      </c>
      <c r="HW180" s="8">
        <f>IF(HW$56-Voorblad!$F$41&gt;Voorblad!$K$41,0,IF($U180=0,0,IF($U180&lt;1,1/$U180,IF((HW$56-Voorblad!$F$41)/$U180-SUM($EE180:HV180)=1,1,0))))</f>
        <v>0</v>
      </c>
      <c r="HX180" s="8">
        <f>IF(HX$56-Voorblad!$F$41&gt;Voorblad!$K$41,0,IF($U180=0,0,IF($U180&lt;1,1/$U180,IF((HX$56-Voorblad!$F$41)/$U180-SUM($EE180:HW180)=1,1,0))))</f>
        <v>0</v>
      </c>
      <c r="HY180" s="8">
        <f>IF(HY$56-Voorblad!$F$41&gt;Voorblad!$K$41,0,IF($U180=0,0,IF($U180&lt;1,1/$U180,IF((HY$56-Voorblad!$F$41)/$U180-SUM($EE180:HX180)=1,1,0))))</f>
        <v>0</v>
      </c>
      <c r="HZ180" s="8">
        <f>IF(HZ$56-Voorblad!$F$41&gt;Voorblad!$K$41,0,IF($U180=0,0,IF($U180&lt;1,1/$U180,IF((HZ$56-Voorblad!$F$41)/$U180-SUM($EE180:HY180)=1,1,0))))</f>
        <v>0</v>
      </c>
      <c r="IA180" s="8">
        <f>IF(IA$56-Voorblad!$F$41&gt;Voorblad!$K$41,0,IF($U180=0,0,IF($U180&lt;1,1/$U180,IF((IA$56-Voorblad!$F$41)/$U180-SUM($EE180:HZ180)=1,1,0))))</f>
        <v>0</v>
      </c>
      <c r="IB180" s="8">
        <f>IF(IB$56-Voorblad!$F$41&gt;Voorblad!$K$41,0,IF($U180=0,0,IF($U180&lt;1,1/$U180,IF((IB$56-Voorblad!$F$41)/$U180-SUM($EE180:IA180)=1,1,0))))</f>
        <v>0</v>
      </c>
    </row>
    <row r="181" spans="2:236" ht="12" hidden="1" customHeight="1" outlineLevel="1" x14ac:dyDescent="0.25">
      <c r="B181" s="1">
        <v>1</v>
      </c>
      <c r="F181" s="1" t="s">
        <v>23</v>
      </c>
      <c r="I181" s="1" t="s">
        <v>49</v>
      </c>
      <c r="K181" s="14" t="s">
        <v>216</v>
      </c>
      <c r="P181" s="14" t="s">
        <v>194</v>
      </c>
      <c r="Q181" s="81">
        <v>0</v>
      </c>
      <c r="R181" s="1" t="s">
        <v>34</v>
      </c>
      <c r="S181" s="14">
        <f>$H$10*400</f>
        <v>952</v>
      </c>
      <c r="T181" s="1">
        <f t="shared" si="194"/>
        <v>0</v>
      </c>
      <c r="U181" s="14">
        <v>50</v>
      </c>
      <c r="V181" s="14"/>
      <c r="Y181" s="9">
        <f t="shared" si="198"/>
        <v>0</v>
      </c>
      <c r="Z181" s="82"/>
      <c r="AA181" s="82"/>
      <c r="AC181" s="9">
        <f>$Y181*(Voorblad!$K$44*(1+Voorblad!$K$44)^Voorblad!$K$41)/((1+Voorblad!$K$44)^Voorblad!$K$41-1)</f>
        <v>0</v>
      </c>
      <c r="AE181" s="9">
        <f>EF181*($Q181*$S181)/(1+Voorblad!$K$44)^(AE$56-Voorblad!$F$41)</f>
        <v>0</v>
      </c>
      <c r="AF181" s="9">
        <f>EG181*($Q181*$S181)/(1+Voorblad!$K$44)^(AF$56-Voorblad!$F$41)</f>
        <v>0</v>
      </c>
      <c r="AG181" s="9">
        <f>EH181*($Q181*$S181)/(1+Voorblad!$K$44)^(AG$56-Voorblad!$F$41)</f>
        <v>0</v>
      </c>
      <c r="AH181" s="9">
        <f>EI181*($Q181*$S181)/(1+Voorblad!$K$44)^(AH$56-Voorblad!$F$41)</f>
        <v>0</v>
      </c>
      <c r="AI181" s="9">
        <f>EJ181*($Q181*$S181)/(1+Voorblad!$K$44)^(AI$56-Voorblad!$F$41)</f>
        <v>0</v>
      </c>
      <c r="AJ181" s="9">
        <f>EK181*($Q181*$S181)/(1+Voorblad!$K$44)^(AJ$56-Voorblad!$F$41)</f>
        <v>0</v>
      </c>
      <c r="AK181" s="9">
        <f>EL181*($Q181*$S181)/(1+Voorblad!$K$44)^(AK$56-Voorblad!$F$41)</f>
        <v>0</v>
      </c>
      <c r="AL181" s="9">
        <f>EM181*($Q181*$S181)/(1+Voorblad!$K$44)^(AL$56-Voorblad!$F$41)</f>
        <v>0</v>
      </c>
      <c r="AM181" s="9">
        <f>EN181*($Q181*$S181)/(1+Voorblad!$K$44)^(AM$56-Voorblad!$F$41)</f>
        <v>0</v>
      </c>
      <c r="AN181" s="9">
        <f>EO181*($Q181*$S181)/(1+Voorblad!$K$44)^(AN$56-Voorblad!$F$41)</f>
        <v>0</v>
      </c>
      <c r="AO181" s="9">
        <f>EP181*($Q181*$S181)/(1+Voorblad!$K$44)^(AO$56-Voorblad!$F$41)</f>
        <v>0</v>
      </c>
      <c r="AP181" s="9">
        <f>EQ181*($Q181*$S181)/(1+Voorblad!$K$44)^(AP$56-Voorblad!$F$41)</f>
        <v>0</v>
      </c>
      <c r="AQ181" s="9">
        <f>ER181*($Q181*$S181)/(1+Voorblad!$K$44)^(AQ$56-Voorblad!$F$41)</f>
        <v>0</v>
      </c>
      <c r="AR181" s="9">
        <f>ES181*($Q181*$S181)/(1+Voorblad!$K$44)^(AR$56-Voorblad!$F$41)</f>
        <v>0</v>
      </c>
      <c r="AS181" s="9">
        <f>ET181*($Q181*$S181)/(1+Voorblad!$K$44)^(AS$56-Voorblad!$F$41)</f>
        <v>0</v>
      </c>
      <c r="AT181" s="9">
        <f>EU181*($Q181*$S181)/(1+Voorblad!$K$44)^(AT$56-Voorblad!$F$41)</f>
        <v>0</v>
      </c>
      <c r="AU181" s="9">
        <f>EV181*($Q181*$S181)/(1+Voorblad!$K$44)^(AU$56-Voorblad!$F$41)</f>
        <v>0</v>
      </c>
      <c r="AV181" s="9">
        <f>EW181*($Q181*$S181)/(1+Voorblad!$K$44)^(AV$56-Voorblad!$F$41)</f>
        <v>0</v>
      </c>
      <c r="AW181" s="9">
        <f>EX181*($Q181*$S181)/(1+Voorblad!$K$44)^(AW$56-Voorblad!$F$41)</f>
        <v>0</v>
      </c>
      <c r="AX181" s="9">
        <f>EY181*($Q181*$S181)/(1+Voorblad!$K$44)^(AX$56-Voorblad!$F$41)</f>
        <v>0</v>
      </c>
      <c r="AY181" s="9">
        <f>EZ181*($Q181*$S181)/(1+Voorblad!$K$44)^(AY$56-Voorblad!$F$41)</f>
        <v>0</v>
      </c>
      <c r="AZ181" s="9">
        <f>FA181*($Q181*$S181)/(1+Voorblad!$K$44)^(AZ$56-Voorblad!$F$41)</f>
        <v>0</v>
      </c>
      <c r="BA181" s="9">
        <f>FB181*($Q181*$S181)/(1+Voorblad!$K$44)^(BA$56-Voorblad!$F$41)</f>
        <v>0</v>
      </c>
      <c r="BB181" s="9">
        <f>FC181*($Q181*$S181)/(1+Voorblad!$K$44)^(BB$56-Voorblad!$F$41)</f>
        <v>0</v>
      </c>
      <c r="BC181" s="9">
        <f>FD181*($Q181*$S181)/(1+Voorblad!$K$44)^(BC$56-Voorblad!$F$41)</f>
        <v>0</v>
      </c>
      <c r="BD181" s="9">
        <f>FE181*($Q181*$S181)/(1+Voorblad!$K$44)^(BD$56-Voorblad!$F$41)</f>
        <v>0</v>
      </c>
      <c r="BE181" s="9">
        <f>FF181*($Q181*$S181)/(1+Voorblad!$K$44)^(BE$56-Voorblad!$F$41)</f>
        <v>0</v>
      </c>
      <c r="BF181" s="9">
        <f>FG181*($Q181*$S181)/(1+Voorblad!$K$44)^(BF$56-Voorblad!$F$41)</f>
        <v>0</v>
      </c>
      <c r="BG181" s="9">
        <f>FH181*($Q181*$S181)/(1+Voorblad!$K$44)^(BG$56-Voorblad!$F$41)</f>
        <v>0</v>
      </c>
      <c r="BH181" s="9">
        <f>FI181*($Q181*$S181)/(1+Voorblad!$K$44)^(BH$56-Voorblad!$F$41)</f>
        <v>0</v>
      </c>
      <c r="BI181" s="9">
        <f>FJ181*($Q181*$S181)/(1+Voorblad!$K$44)^(BI$56-Voorblad!$F$41)</f>
        <v>0</v>
      </c>
      <c r="BJ181" s="9">
        <f>FK181*($Q181*$S181)/(1+Voorblad!$K$44)^(BJ$56-Voorblad!$F$41)</f>
        <v>0</v>
      </c>
      <c r="BK181" s="9">
        <f>FL181*($Q181*$S181)/(1+Voorblad!$K$44)^(BK$56-Voorblad!$F$41)</f>
        <v>0</v>
      </c>
      <c r="BL181" s="9">
        <f>FM181*($Q181*$S181)/(1+Voorblad!$K$44)^(BL$56-Voorblad!$F$41)</f>
        <v>0</v>
      </c>
      <c r="BM181" s="9">
        <f>FN181*($Q181*$S181)/(1+Voorblad!$K$44)^(BM$56-Voorblad!$F$41)</f>
        <v>0</v>
      </c>
      <c r="BN181" s="9">
        <f>FO181*($Q181*$S181)/(1+Voorblad!$K$44)^(BN$56-Voorblad!$F$41)</f>
        <v>0</v>
      </c>
      <c r="BO181" s="9">
        <f>FP181*($Q181*$S181)/(1+Voorblad!$K$44)^(BO$56-Voorblad!$F$41)</f>
        <v>0</v>
      </c>
      <c r="BP181" s="9">
        <f>FQ181*($Q181*$S181)/(1+Voorblad!$K$44)^(BP$56-Voorblad!$F$41)</f>
        <v>0</v>
      </c>
      <c r="BQ181" s="9">
        <f>FR181*($Q181*$S181)/(1+Voorblad!$K$44)^(BQ$56-Voorblad!$F$41)</f>
        <v>0</v>
      </c>
      <c r="BR181" s="9">
        <f>FS181*($Q181*$S181)/(1+Voorblad!$K$44)^(BR$56-Voorblad!$F$41)</f>
        <v>0</v>
      </c>
      <c r="BS181" s="9">
        <f>FT181*($Q181*$S181)/(1+Voorblad!$K$44)^(BS$56-Voorblad!$F$41)</f>
        <v>0</v>
      </c>
      <c r="BT181" s="9">
        <f>FU181*($Q181*$S181)/(1+Voorblad!$K$44)^(BT$56-Voorblad!$F$41)</f>
        <v>0</v>
      </c>
      <c r="BU181" s="9">
        <f>FV181*($Q181*$S181)/(1+Voorblad!$K$44)^(BU$56-Voorblad!$F$41)</f>
        <v>0</v>
      </c>
      <c r="BV181" s="9">
        <f>FW181*($Q181*$S181)/(1+Voorblad!$K$44)^(BV$56-Voorblad!$F$41)</f>
        <v>0</v>
      </c>
      <c r="BW181" s="9">
        <f>FX181*($Q181*$S181)/(1+Voorblad!$K$44)^(BW$56-Voorblad!$F$41)</f>
        <v>0</v>
      </c>
      <c r="BX181" s="9">
        <f>FY181*($Q181*$S181)/(1+Voorblad!$K$44)^(BX$56-Voorblad!$F$41)</f>
        <v>0</v>
      </c>
      <c r="BY181" s="9">
        <f>FZ181*($Q181*$S181)/(1+Voorblad!$K$44)^(BY$56-Voorblad!$F$41)</f>
        <v>0</v>
      </c>
      <c r="BZ181" s="9">
        <f>GA181*($Q181*$S181)/(1+Voorblad!$K$44)^(BZ$56-Voorblad!$F$41)</f>
        <v>0</v>
      </c>
      <c r="CA181" s="9">
        <f>GB181*($Q181*$S181)/(1+Voorblad!$K$44)^(CA$56-Voorblad!$F$41)</f>
        <v>0</v>
      </c>
      <c r="CB181" s="9">
        <f>GC181*($Q181*$S181)/(1+Voorblad!$K$44)^(CB$56-Voorblad!$F$41)</f>
        <v>0</v>
      </c>
      <c r="CC181" s="9">
        <f>GD181*($Q181*$S181)/(1+Voorblad!$K$44)^(CC$56-Voorblad!$F$41)</f>
        <v>0</v>
      </c>
      <c r="CD181" s="9">
        <f>GE181*($Q181*$S181)/(1+Voorblad!$K$44)^(CD$56-Voorblad!$F$41)</f>
        <v>0</v>
      </c>
      <c r="CE181" s="9">
        <f>GF181*($Q181*$S181)/(1+Voorblad!$K$44)^(CE$56-Voorblad!$F$41)</f>
        <v>0</v>
      </c>
      <c r="CF181" s="9">
        <f>GG181*($Q181*$S181)/(1+Voorblad!$K$44)^(CF$56-Voorblad!$F$41)</f>
        <v>0</v>
      </c>
      <c r="CG181" s="9">
        <f>GH181*($Q181*$S181)/(1+Voorblad!$K$44)^(CG$56-Voorblad!$F$41)</f>
        <v>0</v>
      </c>
      <c r="CH181" s="9">
        <f>GI181*($Q181*$S181)/(1+Voorblad!$K$44)^(CH$56-Voorblad!$F$41)</f>
        <v>0</v>
      </c>
      <c r="CI181" s="9">
        <f>GJ181*($Q181*$S181)/(1+Voorblad!$K$44)^(CI$56-Voorblad!$F$41)</f>
        <v>0</v>
      </c>
      <c r="CJ181" s="9">
        <f>GK181*($Q181*$S181)/(1+Voorblad!$K$44)^(CJ$56-Voorblad!$F$41)</f>
        <v>0</v>
      </c>
      <c r="CK181" s="9">
        <f>GL181*($Q181*$S181)/(1+Voorblad!$K$44)^(CK$56-Voorblad!$F$41)</f>
        <v>0</v>
      </c>
      <c r="CL181" s="9">
        <f>GM181*($Q181*$S181)/(1+Voorblad!$K$44)^(CL$56-Voorblad!$F$41)</f>
        <v>0</v>
      </c>
      <c r="CM181" s="9">
        <f>GN181*($Q181*$S181)/(1+Voorblad!$K$44)^(CM$56-Voorblad!$F$41)</f>
        <v>0</v>
      </c>
      <c r="CN181" s="9">
        <f>GO181*($Q181*$S181)/(1+Voorblad!$K$44)^(CN$56-Voorblad!$F$41)</f>
        <v>0</v>
      </c>
      <c r="CO181" s="9">
        <f>GP181*($Q181*$S181)/(1+Voorblad!$K$44)^(CO$56-Voorblad!$F$41)</f>
        <v>0</v>
      </c>
      <c r="CP181" s="9">
        <f>GQ181*($Q181*$S181)/(1+Voorblad!$K$44)^(CP$56-Voorblad!$F$41)</f>
        <v>0</v>
      </c>
      <c r="CQ181" s="9">
        <f>GR181*($Q181*$S181)/(1+Voorblad!$K$44)^(CQ$56-Voorblad!$F$41)</f>
        <v>0</v>
      </c>
      <c r="CR181" s="9">
        <f>GS181*($Q181*$S181)/(1+Voorblad!$K$44)^(CR$56-Voorblad!$F$41)</f>
        <v>0</v>
      </c>
      <c r="CS181" s="9">
        <f>GT181*($Q181*$S181)/(1+Voorblad!$K$44)^(CS$56-Voorblad!$F$41)</f>
        <v>0</v>
      </c>
      <c r="CT181" s="9">
        <f>GU181*($Q181*$S181)/(1+Voorblad!$K$44)^(CT$56-Voorblad!$F$41)</f>
        <v>0</v>
      </c>
      <c r="CU181" s="9">
        <f>GV181*($Q181*$S181)/(1+Voorblad!$K$44)^(CU$56-Voorblad!$F$41)</f>
        <v>0</v>
      </c>
      <c r="CV181" s="9">
        <f>GW181*($Q181*$S181)/(1+Voorblad!$K$44)^(CV$56-Voorblad!$F$41)</f>
        <v>0</v>
      </c>
      <c r="CW181" s="9">
        <f>GX181*($Q181*$S181)/(1+Voorblad!$K$44)^(CW$56-Voorblad!$F$41)</f>
        <v>0</v>
      </c>
      <c r="CX181" s="9">
        <f>GY181*($Q181*$S181)/(1+Voorblad!$K$44)^(CX$56-Voorblad!$F$41)</f>
        <v>0</v>
      </c>
      <c r="CY181" s="9">
        <f>GZ181*($Q181*$S181)/(1+Voorblad!$K$44)^(CY$56-Voorblad!$F$41)</f>
        <v>0</v>
      </c>
      <c r="CZ181" s="9">
        <f>HA181*($Q181*$S181)/(1+Voorblad!$K$44)^(CZ$56-Voorblad!$F$41)</f>
        <v>0</v>
      </c>
      <c r="DA181" s="9">
        <f>HB181*($Q181*$S181)/(1+Voorblad!$K$44)^(DA$56-Voorblad!$F$41)</f>
        <v>0</v>
      </c>
      <c r="DB181" s="9">
        <f>HC181*($Q181*$S181)/(1+Voorblad!$K$44)^(DB$56-Voorblad!$F$41)</f>
        <v>0</v>
      </c>
      <c r="DC181" s="9">
        <f>HD181*($Q181*$S181)/(1+Voorblad!$K$44)^(DC$56-Voorblad!$F$41)</f>
        <v>0</v>
      </c>
      <c r="DD181" s="9">
        <f>HE181*($Q181*$S181)/(1+Voorblad!$K$44)^(DD$56-Voorblad!$F$41)</f>
        <v>0</v>
      </c>
      <c r="DE181" s="9">
        <f>HF181*($Q181*$S181)/(1+Voorblad!$K$44)^(DE$56-Voorblad!$F$41)</f>
        <v>0</v>
      </c>
      <c r="DF181" s="9">
        <f>HG181*($Q181*$S181)/(1+Voorblad!$K$44)^(DF$56-Voorblad!$F$41)</f>
        <v>0</v>
      </c>
      <c r="DG181" s="9">
        <f>HH181*($Q181*$S181)/(1+Voorblad!$K$44)^(DG$56-Voorblad!$F$41)</f>
        <v>0</v>
      </c>
      <c r="DH181" s="9">
        <f>HI181*($Q181*$S181)/(1+Voorblad!$K$44)^(DH$56-Voorblad!$F$41)</f>
        <v>0</v>
      </c>
      <c r="DI181" s="9">
        <f>HJ181*($Q181*$S181)/(1+Voorblad!$K$44)^(DI$56-Voorblad!$F$41)</f>
        <v>0</v>
      </c>
      <c r="DJ181" s="9">
        <f>HK181*($Q181*$S181)/(1+Voorblad!$K$44)^(DJ$56-Voorblad!$F$41)</f>
        <v>0</v>
      </c>
      <c r="DK181" s="9">
        <f>HL181*($Q181*$S181)/(1+Voorblad!$K$44)^(DK$56-Voorblad!$F$41)</f>
        <v>0</v>
      </c>
      <c r="DL181" s="9">
        <f>HM181*($Q181*$S181)/(1+Voorblad!$K$44)^(DL$56-Voorblad!$F$41)</f>
        <v>0</v>
      </c>
      <c r="DM181" s="9">
        <f>HN181*($Q181*$S181)/(1+Voorblad!$K$44)^(DM$56-Voorblad!$F$41)</f>
        <v>0</v>
      </c>
      <c r="DN181" s="9">
        <f>HO181*($Q181*$S181)/(1+Voorblad!$K$44)^(DN$56-Voorblad!$F$41)</f>
        <v>0</v>
      </c>
      <c r="DO181" s="9">
        <f>HP181*($Q181*$S181)/(1+Voorblad!$K$44)^(DO$56-Voorblad!$F$41)</f>
        <v>0</v>
      </c>
      <c r="DP181" s="9">
        <f>HQ181*($Q181*$S181)/(1+Voorblad!$K$44)^(DP$56-Voorblad!$F$41)</f>
        <v>0</v>
      </c>
      <c r="DQ181" s="9">
        <f>HR181*($Q181*$S181)/(1+Voorblad!$K$44)^(DQ$56-Voorblad!$F$41)</f>
        <v>0</v>
      </c>
      <c r="DR181" s="9">
        <f>HS181*($Q181*$S181)/(1+Voorblad!$K$44)^(DR$56-Voorblad!$F$41)</f>
        <v>0</v>
      </c>
      <c r="DS181" s="9">
        <f>HT181*($Q181*$S181)/(1+Voorblad!$K$44)^(DS$56-Voorblad!$F$41)</f>
        <v>0</v>
      </c>
      <c r="DT181" s="9">
        <f>HU181*($Q181*$S181)/(1+Voorblad!$K$44)^(DT$56-Voorblad!$F$41)</f>
        <v>0</v>
      </c>
      <c r="DU181" s="9">
        <f>HV181*($Q181*$S181)/(1+Voorblad!$K$44)^(DU$56-Voorblad!$F$41)</f>
        <v>0</v>
      </c>
      <c r="DV181" s="9">
        <f>HW181*($Q181*$S181)/(1+Voorblad!$K$44)^(DV$56-Voorblad!$F$41)</f>
        <v>0</v>
      </c>
      <c r="DW181" s="9">
        <f>HX181*($Q181*$S181)/(1+Voorblad!$K$44)^(DW$56-Voorblad!$F$41)</f>
        <v>0</v>
      </c>
      <c r="DX181" s="9">
        <f>HY181*($Q181*$S181)/(1+Voorblad!$K$44)^(DX$56-Voorblad!$F$41)</f>
        <v>0</v>
      </c>
      <c r="DY181" s="9">
        <f>HZ181*($Q181*$S181)/(1+Voorblad!$K$44)^(DY$56-Voorblad!$F$41)</f>
        <v>0</v>
      </c>
      <c r="DZ181" s="9">
        <f>IA181*($Q181*$S181)/(1+Voorblad!$K$44)^(DZ$56-Voorblad!$F$41)</f>
        <v>0</v>
      </c>
      <c r="EA181" s="9">
        <f>IB181*($Q181*$S181)/(1+Voorblad!$K$44)^(EA$56-Voorblad!$F$41)</f>
        <v>0</v>
      </c>
      <c r="EB181" s="9">
        <f>IC181*($Q181*$S181)/(1+Voorblad!$K$44)^(EB$56-Voorblad!$F$41)</f>
        <v>0</v>
      </c>
      <c r="EE181" s="8">
        <v>0</v>
      </c>
      <c r="EF181" s="8">
        <f>IF(EF$56-Voorblad!$F$41&gt;Voorblad!$K$41,0,IF($U181=0,0,IF($U181&lt;1,1/$U181,IF((EF$56-Voorblad!$F$41)/$U181-SUM($EE181:EE181)=1,1,0))))</f>
        <v>0</v>
      </c>
      <c r="EG181" s="8">
        <f>IF(EG$56-Voorblad!$F$41&gt;Voorblad!$K$41,0,IF($U181=0,0,IF($U181&lt;1,1/$U181,IF((EG$56-Voorblad!$F$41)/$U181-SUM($EE181:EF181)=1,1,0))))</f>
        <v>0</v>
      </c>
      <c r="EH181" s="8">
        <f>IF(EH$56-Voorblad!$F$41&gt;Voorblad!$K$41,0,IF($U181=0,0,IF($U181&lt;1,1/$U181,IF((EH$56-Voorblad!$F$41)/$U181-SUM($EE181:EG181)=1,1,0))))</f>
        <v>0</v>
      </c>
      <c r="EI181" s="8">
        <f>IF(EI$56-Voorblad!$F$41&gt;Voorblad!$K$41,0,IF($U181=0,0,IF($U181&lt;1,1/$U181,IF((EI$56-Voorblad!$F$41)/$U181-SUM($EE181:EH181)=1,1,0))))</f>
        <v>0</v>
      </c>
      <c r="EJ181" s="8">
        <f>IF(EJ$56-Voorblad!$F$41&gt;Voorblad!$K$41,0,IF($U181=0,0,IF($U181&lt;1,1/$U181,IF((EJ$56-Voorblad!$F$41)/$U181-SUM($EE181:EI181)=1,1,0))))</f>
        <v>0</v>
      </c>
      <c r="EK181" s="8">
        <f>IF(EK$56-Voorblad!$F$41&gt;Voorblad!$K$41,0,IF($U181=0,0,IF($U181&lt;1,1/$U181,IF((EK$56-Voorblad!$F$41)/$U181-SUM($EE181:EJ181)=1,1,0))))</f>
        <v>0</v>
      </c>
      <c r="EL181" s="8">
        <f>IF(EL$56-Voorblad!$F$41&gt;Voorblad!$K$41,0,IF($U181=0,0,IF($U181&lt;1,1/$U181,IF((EL$56-Voorblad!$F$41)/$U181-SUM($EE181:EK181)=1,1,0))))</f>
        <v>0</v>
      </c>
      <c r="EM181" s="8">
        <f>IF(EM$56-Voorblad!$F$41&gt;Voorblad!$K$41,0,IF($U181=0,0,IF($U181&lt;1,1/$U181,IF((EM$56-Voorblad!$F$41)/$U181-SUM($EE181:EL181)=1,1,0))))</f>
        <v>0</v>
      </c>
      <c r="EN181" s="8">
        <f>IF(EN$56-Voorblad!$F$41&gt;Voorblad!$K$41,0,IF($U181=0,0,IF($U181&lt;1,1/$U181,IF((EN$56-Voorblad!$F$41)/$U181-SUM($EE181:EM181)=1,1,0))))</f>
        <v>0</v>
      </c>
      <c r="EO181" s="8">
        <f>IF(EO$56-Voorblad!$F$41&gt;Voorblad!$K$41,0,IF($U181=0,0,IF($U181&lt;1,1/$U181,IF((EO$56-Voorblad!$F$41)/$U181-SUM($EE181:EN181)=1,1,0))))</f>
        <v>0</v>
      </c>
      <c r="EP181" s="8">
        <f>IF(EP$56-Voorblad!$F$41&gt;Voorblad!$K$41,0,IF($U181=0,0,IF($U181&lt;1,1/$U181,IF((EP$56-Voorblad!$F$41)/$U181-SUM($EE181:EO181)=1,1,0))))</f>
        <v>0</v>
      </c>
      <c r="EQ181" s="8">
        <f>IF(EQ$56-Voorblad!$F$41&gt;Voorblad!$K$41,0,IF($U181=0,0,IF($U181&lt;1,1/$U181,IF((EQ$56-Voorblad!$F$41)/$U181-SUM($EE181:EP181)=1,1,0))))</f>
        <v>0</v>
      </c>
      <c r="ER181" s="8">
        <f>IF(ER$56-Voorblad!$F$41&gt;Voorblad!$K$41,0,IF($U181=0,0,IF($U181&lt;1,1/$U181,IF((ER$56-Voorblad!$F$41)/$U181-SUM($EE181:EQ181)=1,1,0))))</f>
        <v>0</v>
      </c>
      <c r="ES181" s="8">
        <f>IF(ES$56-Voorblad!$F$41&gt;Voorblad!$K$41,0,IF($U181=0,0,IF($U181&lt;1,1/$U181,IF((ES$56-Voorblad!$F$41)/$U181-SUM($EE181:ER181)=1,1,0))))</f>
        <v>0</v>
      </c>
      <c r="ET181" s="8">
        <f>IF(ET$56-Voorblad!$F$41&gt;Voorblad!$K$41,0,IF($U181=0,0,IF($U181&lt;1,1/$U181,IF((ET$56-Voorblad!$F$41)/$U181-SUM($EE181:ES181)=1,1,0))))</f>
        <v>0</v>
      </c>
      <c r="EU181" s="8">
        <f>IF(EU$56-Voorblad!$F$41&gt;Voorblad!$K$41,0,IF($U181=0,0,IF($U181&lt;1,1/$U181,IF((EU$56-Voorblad!$F$41)/$U181-SUM($EE181:ET181)=1,1,0))))</f>
        <v>0</v>
      </c>
      <c r="EV181" s="8">
        <f>IF(EV$56-Voorblad!$F$41&gt;Voorblad!$K$41,0,IF($U181=0,0,IF($U181&lt;1,1/$U181,IF((EV$56-Voorblad!$F$41)/$U181-SUM($EE181:EU181)=1,1,0))))</f>
        <v>0</v>
      </c>
      <c r="EW181" s="8">
        <f>IF(EW$56-Voorblad!$F$41&gt;Voorblad!$K$41,0,IF($U181=0,0,IF($U181&lt;1,1/$U181,IF((EW$56-Voorblad!$F$41)/$U181-SUM($EE181:EV181)=1,1,0))))</f>
        <v>0</v>
      </c>
      <c r="EX181" s="8">
        <f>IF(EX$56-Voorblad!$F$41&gt;Voorblad!$K$41,0,IF($U181=0,0,IF($U181&lt;1,1/$U181,IF((EX$56-Voorblad!$F$41)/$U181-SUM($EE181:EW181)=1,1,0))))</f>
        <v>0</v>
      </c>
      <c r="EY181" s="8">
        <f>IF(EY$56-Voorblad!$F$41&gt;Voorblad!$K$41,0,IF($U181=0,0,IF($U181&lt;1,1/$U181,IF((EY$56-Voorblad!$F$41)/$U181-SUM($EE181:EX181)=1,1,0))))</f>
        <v>0</v>
      </c>
      <c r="EZ181" s="8">
        <f>IF(EZ$56-Voorblad!$F$41&gt;Voorblad!$K$41,0,IF($U181=0,0,IF($U181&lt;1,1/$U181,IF((EZ$56-Voorblad!$F$41)/$U181-SUM($EE181:EY181)=1,1,0))))</f>
        <v>0</v>
      </c>
      <c r="FA181" s="8">
        <f>IF(FA$56-Voorblad!$F$41&gt;Voorblad!$K$41,0,IF($U181=0,0,IF($U181&lt;1,1/$U181,IF((FA$56-Voorblad!$F$41)/$U181-SUM($EE181:EZ181)=1,1,0))))</f>
        <v>0</v>
      </c>
      <c r="FB181" s="8">
        <f>IF(FB$56-Voorblad!$F$41&gt;Voorblad!$K$41,0,IF($U181=0,0,IF($U181&lt;1,1/$U181,IF((FB$56-Voorblad!$F$41)/$U181-SUM($EE181:FA181)=1,1,0))))</f>
        <v>0</v>
      </c>
      <c r="FC181" s="8">
        <f>IF(FC$56-Voorblad!$F$41&gt;Voorblad!$K$41,0,IF($U181=0,0,IF($U181&lt;1,1/$U181,IF((FC$56-Voorblad!$F$41)/$U181-SUM($EE181:FB181)=1,1,0))))</f>
        <v>0</v>
      </c>
      <c r="FD181" s="8">
        <f>IF(FD$56-Voorblad!$F$41&gt;Voorblad!$K$41,0,IF($U181=0,0,IF($U181&lt;1,1/$U181,IF((FD$56-Voorblad!$F$41)/$U181-SUM($EE181:FC181)=1,1,0))))</f>
        <v>0</v>
      </c>
      <c r="FE181" s="8">
        <f>IF(FE$56-Voorblad!$F$41&gt;Voorblad!$K$41,0,IF($U181=0,0,IF($U181&lt;1,1/$U181,IF((FE$56-Voorblad!$F$41)/$U181-SUM($EE181:FD181)=1,1,0))))</f>
        <v>0</v>
      </c>
      <c r="FF181" s="8">
        <f>IF(FF$56-Voorblad!$F$41&gt;Voorblad!$K$41,0,IF($U181=0,0,IF($U181&lt;1,1/$U181,IF((FF$56-Voorblad!$F$41)/$U181-SUM($EE181:FE181)=1,1,0))))</f>
        <v>0</v>
      </c>
      <c r="FG181" s="8">
        <f>IF(FG$56-Voorblad!$F$41&gt;Voorblad!$K$41,0,IF($U181=0,0,IF($U181&lt;1,1/$U181,IF((FG$56-Voorblad!$F$41)/$U181-SUM($EE181:FF181)=1,1,0))))</f>
        <v>0</v>
      </c>
      <c r="FH181" s="8">
        <f>IF(FH$56-Voorblad!$F$41&gt;Voorblad!$K$41,0,IF($U181=0,0,IF($U181&lt;1,1/$U181,IF((FH$56-Voorblad!$F$41)/$U181-SUM($EE181:FG181)=1,1,0))))</f>
        <v>0</v>
      </c>
      <c r="FI181" s="8">
        <f>IF(FI$56-Voorblad!$F$41&gt;Voorblad!$K$41,0,IF($U181=0,0,IF($U181&lt;1,1/$U181,IF((FI$56-Voorblad!$F$41)/$U181-SUM($EE181:FH181)=1,1,0))))</f>
        <v>0</v>
      </c>
      <c r="FJ181" s="8">
        <f>IF(FJ$56-Voorblad!$F$41&gt;Voorblad!$K$41,0,IF($U181=0,0,IF($U181&lt;1,1/$U181,IF((FJ$56-Voorblad!$F$41)/$U181-SUM($EE181:FI181)=1,1,0))))</f>
        <v>0</v>
      </c>
      <c r="FK181" s="8">
        <f>IF(FK$56-Voorblad!$F$41&gt;Voorblad!$K$41,0,IF($U181=0,0,IF($U181&lt;1,1/$U181,IF((FK$56-Voorblad!$F$41)/$U181-SUM($EE181:FJ181)=1,1,0))))</f>
        <v>0</v>
      </c>
      <c r="FL181" s="8">
        <f>IF(FL$56-Voorblad!$F$41&gt;Voorblad!$K$41,0,IF($U181=0,0,IF($U181&lt;1,1/$U181,IF((FL$56-Voorblad!$F$41)/$U181-SUM($EE181:FK181)=1,1,0))))</f>
        <v>0</v>
      </c>
      <c r="FM181" s="8">
        <f>IF(FM$56-Voorblad!$F$41&gt;Voorblad!$K$41,0,IF($U181=0,0,IF($U181&lt;1,1/$U181,IF((FM$56-Voorblad!$F$41)/$U181-SUM($EE181:FL181)=1,1,0))))</f>
        <v>0</v>
      </c>
      <c r="FN181" s="8">
        <f>IF(FN$56-Voorblad!$F$41&gt;Voorblad!$K$41,0,IF($U181=0,0,IF($U181&lt;1,1/$U181,IF((FN$56-Voorblad!$F$41)/$U181-SUM($EE181:FM181)=1,1,0))))</f>
        <v>0</v>
      </c>
      <c r="FO181" s="8">
        <f>IF(FO$56-Voorblad!$F$41&gt;Voorblad!$K$41,0,IF($U181=0,0,IF($U181&lt;1,1/$U181,IF((FO$56-Voorblad!$F$41)/$U181-SUM($EE181:FN181)=1,1,0))))</f>
        <v>0</v>
      </c>
      <c r="FP181" s="8">
        <f>IF(FP$56-Voorblad!$F$41&gt;Voorblad!$K$41,0,IF($U181=0,0,IF($U181&lt;1,1/$U181,IF((FP$56-Voorblad!$F$41)/$U181-SUM($EE181:FO181)=1,1,0))))</f>
        <v>0</v>
      </c>
      <c r="FQ181" s="8">
        <f>IF(FQ$56-Voorblad!$F$41&gt;Voorblad!$K$41,0,IF($U181=0,0,IF($U181&lt;1,1/$U181,IF((FQ$56-Voorblad!$F$41)/$U181-SUM($EE181:FP181)=1,1,0))))</f>
        <v>0</v>
      </c>
      <c r="FR181" s="8">
        <f>IF(FR$56-Voorblad!$F$41&gt;Voorblad!$K$41,0,IF($U181=0,0,IF($U181&lt;1,1/$U181,IF((FR$56-Voorblad!$F$41)/$U181-SUM($EE181:FQ181)=1,1,0))))</f>
        <v>0</v>
      </c>
      <c r="FS181" s="8">
        <f>IF(FS$56-Voorblad!$F$41&gt;Voorblad!$K$41,0,IF($U181=0,0,IF($U181&lt;1,1/$U181,IF((FS$56-Voorblad!$F$41)/$U181-SUM($EE181:FR181)=1,1,0))))</f>
        <v>0</v>
      </c>
      <c r="FT181" s="8">
        <f>IF(FT$56-Voorblad!$F$41&gt;Voorblad!$K$41,0,IF($U181=0,0,IF($U181&lt;1,1/$U181,IF((FT$56-Voorblad!$F$41)/$U181-SUM($EE181:FS181)=1,1,0))))</f>
        <v>0</v>
      </c>
      <c r="FU181" s="8">
        <f>IF(FU$56-Voorblad!$F$41&gt;Voorblad!$K$41,0,IF($U181=0,0,IF($U181&lt;1,1/$U181,IF((FU$56-Voorblad!$F$41)/$U181-SUM($EE181:FT181)=1,1,0))))</f>
        <v>0</v>
      </c>
      <c r="FV181" s="8">
        <f>IF(FV$56-Voorblad!$F$41&gt;Voorblad!$K$41,0,IF($U181=0,0,IF($U181&lt;1,1/$U181,IF((FV$56-Voorblad!$F$41)/$U181-SUM($EE181:FU181)=1,1,0))))</f>
        <v>0</v>
      </c>
      <c r="FW181" s="8">
        <f>IF(FW$56-Voorblad!$F$41&gt;Voorblad!$K$41,0,IF($U181=0,0,IF($U181&lt;1,1/$U181,IF((FW$56-Voorblad!$F$41)/$U181-SUM($EE181:FV181)=1,1,0))))</f>
        <v>0</v>
      </c>
      <c r="FX181" s="8">
        <f>IF(FX$56-Voorblad!$F$41&gt;Voorblad!$K$41,0,IF($U181=0,0,IF($U181&lt;1,1/$U181,IF((FX$56-Voorblad!$F$41)/$U181-SUM($EE181:FW181)=1,1,0))))</f>
        <v>0</v>
      </c>
      <c r="FY181" s="8">
        <f>IF(FY$56-Voorblad!$F$41&gt;Voorblad!$K$41,0,IF($U181=0,0,IF($U181&lt;1,1/$U181,IF((FY$56-Voorblad!$F$41)/$U181-SUM($EE181:FX181)=1,1,0))))</f>
        <v>0</v>
      </c>
      <c r="FZ181" s="8">
        <f>IF(FZ$56-Voorblad!$F$41&gt;Voorblad!$K$41,0,IF($U181=0,0,IF($U181&lt;1,1/$U181,IF((FZ$56-Voorblad!$F$41)/$U181-SUM($EE181:FY181)=1,1,0))))</f>
        <v>0</v>
      </c>
      <c r="GA181" s="8">
        <f>IF(GA$56-Voorblad!$F$41&gt;Voorblad!$K$41,0,IF($U181=0,0,IF($U181&lt;1,1/$U181,IF((GA$56-Voorblad!$F$41)/$U181-SUM($EE181:FZ181)=1,1,0))))</f>
        <v>0</v>
      </c>
      <c r="GB181" s="8">
        <f>IF(GB$56-Voorblad!$F$41&gt;Voorblad!$K$41,0,IF($U181=0,0,IF($U181&lt;1,1/$U181,IF((GB$56-Voorblad!$F$41)/$U181-SUM($EE181:GA181)=1,1,0))))</f>
        <v>0</v>
      </c>
      <c r="GC181" s="8">
        <f>IF(GC$56-Voorblad!$F$41&gt;Voorblad!$K$41,0,IF($U181=0,0,IF($U181&lt;1,1/$U181,IF((GC$56-Voorblad!$F$41)/$U181-SUM($EE181:GB181)=1,1,0))))</f>
        <v>0</v>
      </c>
      <c r="GD181" s="8">
        <f>IF(GD$56-Voorblad!$F$41&gt;Voorblad!$K$41,0,IF($U181=0,0,IF($U181&lt;1,1/$U181,IF((GD$56-Voorblad!$F$41)/$U181-SUM($EE181:GC181)=1,1,0))))</f>
        <v>1</v>
      </c>
      <c r="GE181" s="8">
        <f>IF(GE$56-Voorblad!$F$41&gt;Voorblad!$K$41,0,IF($U181=0,0,IF($U181&lt;1,1/$U181,IF((GE$56-Voorblad!$F$41)/$U181-SUM($EE181:GD181)=1,1,0))))</f>
        <v>0</v>
      </c>
      <c r="GF181" s="8">
        <f>IF(GF$56-Voorblad!$F$41&gt;Voorblad!$K$41,0,IF($U181=0,0,IF($U181&lt;1,1/$U181,IF((GF$56-Voorblad!$F$41)/$U181-SUM($EE181:GE181)=1,1,0))))</f>
        <v>0</v>
      </c>
      <c r="GG181" s="8">
        <f>IF(GG$56-Voorblad!$F$41&gt;Voorblad!$K$41,0,IF($U181=0,0,IF($U181&lt;1,1/$U181,IF((GG$56-Voorblad!$F$41)/$U181-SUM($EE181:GF181)=1,1,0))))</f>
        <v>0</v>
      </c>
      <c r="GH181" s="8">
        <f>IF(GH$56-Voorblad!$F$41&gt;Voorblad!$K$41,0,IF($U181=0,0,IF($U181&lt;1,1/$U181,IF((GH$56-Voorblad!$F$41)/$U181-SUM($EE181:GG181)=1,1,0))))</f>
        <v>0</v>
      </c>
      <c r="GI181" s="8">
        <f>IF(GI$56-Voorblad!$F$41&gt;Voorblad!$K$41,0,IF($U181=0,0,IF($U181&lt;1,1/$U181,IF((GI$56-Voorblad!$F$41)/$U181-SUM($EE181:GH181)=1,1,0))))</f>
        <v>0</v>
      </c>
      <c r="GJ181" s="8">
        <f>IF(GJ$56-Voorblad!$F$41&gt;Voorblad!$K$41,0,IF($U181=0,0,IF($U181&lt;1,1/$U181,IF((GJ$56-Voorblad!$F$41)/$U181-SUM($EE181:GI181)=1,1,0))))</f>
        <v>0</v>
      </c>
      <c r="GK181" s="8">
        <f>IF(GK$56-Voorblad!$F$41&gt;Voorblad!$K$41,0,IF($U181=0,0,IF($U181&lt;1,1/$U181,IF((GK$56-Voorblad!$F$41)/$U181-SUM($EE181:GJ181)=1,1,0))))</f>
        <v>0</v>
      </c>
      <c r="GL181" s="8">
        <f>IF(GL$56-Voorblad!$F$41&gt;Voorblad!$K$41,0,IF($U181=0,0,IF($U181&lt;1,1/$U181,IF((GL$56-Voorblad!$F$41)/$U181-SUM($EE181:GK181)=1,1,0))))</f>
        <v>0</v>
      </c>
      <c r="GM181" s="8">
        <f>IF(GM$56-Voorblad!$F$41&gt;Voorblad!$K$41,0,IF($U181=0,0,IF($U181&lt;1,1/$U181,IF((GM$56-Voorblad!$F$41)/$U181-SUM($EE181:GL181)=1,1,0))))</f>
        <v>0</v>
      </c>
      <c r="GN181" s="8">
        <f>IF(GN$56-Voorblad!$F$41&gt;Voorblad!$K$41,0,IF($U181=0,0,IF($U181&lt;1,1/$U181,IF((GN$56-Voorblad!$F$41)/$U181-SUM($EE181:GM181)=1,1,0))))</f>
        <v>0</v>
      </c>
      <c r="GO181" s="8">
        <f>IF(GO$56-Voorblad!$F$41&gt;Voorblad!$K$41,0,IF($U181=0,0,IF($U181&lt;1,1/$U181,IF((GO$56-Voorblad!$F$41)/$U181-SUM($EE181:GN181)=1,1,0))))</f>
        <v>0</v>
      </c>
      <c r="GP181" s="8">
        <f>IF(GP$56-Voorblad!$F$41&gt;Voorblad!$K$41,0,IF($U181=0,0,IF($U181&lt;1,1/$U181,IF((GP$56-Voorblad!$F$41)/$U181-SUM($EE181:GO181)=1,1,0))))</f>
        <v>0</v>
      </c>
      <c r="GQ181" s="8">
        <f>IF(GQ$56-Voorblad!$F$41&gt;Voorblad!$K$41,0,IF($U181=0,0,IF($U181&lt;1,1/$U181,IF((GQ$56-Voorblad!$F$41)/$U181-SUM($EE181:GP181)=1,1,0))))</f>
        <v>0</v>
      </c>
      <c r="GR181" s="8">
        <f>IF(GR$56-Voorblad!$F$41&gt;Voorblad!$K$41,0,IF($U181=0,0,IF($U181&lt;1,1/$U181,IF((GR$56-Voorblad!$F$41)/$U181-SUM($EE181:GQ181)=1,1,0))))</f>
        <v>0</v>
      </c>
      <c r="GS181" s="8">
        <f>IF(GS$56-Voorblad!$F$41&gt;Voorblad!$K$41,0,IF($U181=0,0,IF($U181&lt;1,1/$U181,IF((GS$56-Voorblad!$F$41)/$U181-SUM($EE181:GR181)=1,1,0))))</f>
        <v>0</v>
      </c>
      <c r="GT181" s="8">
        <f>IF(GT$56-Voorblad!$F$41&gt;Voorblad!$K$41,0,IF($U181=0,0,IF($U181&lt;1,1/$U181,IF((GT$56-Voorblad!$F$41)/$U181-SUM($EE181:GS181)=1,1,0))))</f>
        <v>0</v>
      </c>
      <c r="GU181" s="8">
        <f>IF(GU$56-Voorblad!$F$41&gt;Voorblad!$K$41,0,IF($U181=0,0,IF($U181&lt;1,1/$U181,IF((GU$56-Voorblad!$F$41)/$U181-SUM($EE181:GT181)=1,1,0))))</f>
        <v>0</v>
      </c>
      <c r="GV181" s="8">
        <f>IF(GV$56-Voorblad!$F$41&gt;Voorblad!$K$41,0,IF($U181=0,0,IF($U181&lt;1,1/$U181,IF((GV$56-Voorblad!$F$41)/$U181-SUM($EE181:GU181)=1,1,0))))</f>
        <v>0</v>
      </c>
      <c r="GW181" s="8">
        <f>IF(GW$56-Voorblad!$F$41&gt;Voorblad!$K$41,0,IF($U181=0,0,IF($U181&lt;1,1/$U181,IF((GW$56-Voorblad!$F$41)/$U181-SUM($EE181:GV181)=1,1,0))))</f>
        <v>0</v>
      </c>
      <c r="GX181" s="8">
        <f>IF(GX$56-Voorblad!$F$41&gt;Voorblad!$K$41,0,IF($U181=0,0,IF($U181&lt;1,1/$U181,IF((GX$56-Voorblad!$F$41)/$U181-SUM($EE181:GW181)=1,1,0))))</f>
        <v>0</v>
      </c>
      <c r="GY181" s="8">
        <f>IF(GY$56-Voorblad!$F$41&gt;Voorblad!$K$41,0,IF($U181=0,0,IF($U181&lt;1,1/$U181,IF((GY$56-Voorblad!$F$41)/$U181-SUM($EE181:GX181)=1,1,0))))</f>
        <v>0</v>
      </c>
      <c r="GZ181" s="8">
        <f>IF(GZ$56-Voorblad!$F$41&gt;Voorblad!$K$41,0,IF($U181=0,0,IF($U181&lt;1,1/$U181,IF((GZ$56-Voorblad!$F$41)/$U181-SUM($EE181:GY181)=1,1,0))))</f>
        <v>0</v>
      </c>
      <c r="HA181" s="8">
        <f>IF(HA$56-Voorblad!$F$41&gt;Voorblad!$K$41,0,IF($U181=0,0,IF($U181&lt;1,1/$U181,IF((HA$56-Voorblad!$F$41)/$U181-SUM($EE181:GZ181)=1,1,0))))</f>
        <v>0</v>
      </c>
      <c r="HB181" s="8">
        <f>IF(HB$56-Voorblad!$F$41&gt;Voorblad!$K$41,0,IF($U181=0,0,IF($U181&lt;1,1/$U181,IF((HB$56-Voorblad!$F$41)/$U181-SUM($EE181:HA181)=1,1,0))))</f>
        <v>0</v>
      </c>
      <c r="HC181" s="8">
        <f>IF(HC$56-Voorblad!$F$41&gt;Voorblad!$K$41,0,IF($U181=0,0,IF($U181&lt;1,1/$U181,IF((HC$56-Voorblad!$F$41)/$U181-SUM($EE181:HB181)=1,1,0))))</f>
        <v>0</v>
      </c>
      <c r="HD181" s="8">
        <f>IF(HD$56-Voorblad!$F$41&gt;Voorblad!$K$41,0,IF($U181=0,0,IF($U181&lt;1,1/$U181,IF((HD$56-Voorblad!$F$41)/$U181-SUM($EE181:HC181)=1,1,0))))</f>
        <v>0</v>
      </c>
      <c r="HE181" s="8">
        <f>IF(HE$56-Voorblad!$F$41&gt;Voorblad!$K$41,0,IF($U181=0,0,IF($U181&lt;1,1/$U181,IF((HE$56-Voorblad!$F$41)/$U181-SUM($EE181:HD181)=1,1,0))))</f>
        <v>0</v>
      </c>
      <c r="HF181" s="8">
        <f>IF(HF$56-Voorblad!$F$41&gt;Voorblad!$K$41,0,IF($U181=0,0,IF($U181&lt;1,1/$U181,IF((HF$56-Voorblad!$F$41)/$U181-SUM($EE181:HE181)=1,1,0))))</f>
        <v>0</v>
      </c>
      <c r="HG181" s="8">
        <f>IF(HG$56-Voorblad!$F$41&gt;Voorblad!$K$41,0,IF($U181=0,0,IF($U181&lt;1,1/$U181,IF((HG$56-Voorblad!$F$41)/$U181-SUM($EE181:HF181)=1,1,0))))</f>
        <v>0</v>
      </c>
      <c r="HH181" s="8">
        <f>IF(HH$56-Voorblad!$F$41&gt;Voorblad!$K$41,0,IF($U181=0,0,IF($U181&lt;1,1/$U181,IF((HH$56-Voorblad!$F$41)/$U181-SUM($EE181:HG181)=1,1,0))))</f>
        <v>0</v>
      </c>
      <c r="HI181" s="8">
        <f>IF(HI$56-Voorblad!$F$41&gt;Voorblad!$K$41,0,IF($U181=0,0,IF($U181&lt;1,1/$U181,IF((HI$56-Voorblad!$F$41)/$U181-SUM($EE181:HH181)=1,1,0))))</f>
        <v>0</v>
      </c>
      <c r="HJ181" s="8">
        <f>IF(HJ$56-Voorblad!$F$41&gt;Voorblad!$K$41,0,IF($U181=0,0,IF($U181&lt;1,1/$U181,IF((HJ$56-Voorblad!$F$41)/$U181-SUM($EE181:HI181)=1,1,0))))</f>
        <v>0</v>
      </c>
      <c r="HK181" s="8">
        <f>IF(HK$56-Voorblad!$F$41&gt;Voorblad!$K$41,0,IF($U181=0,0,IF($U181&lt;1,1/$U181,IF((HK$56-Voorblad!$F$41)/$U181-SUM($EE181:HJ181)=1,1,0))))</f>
        <v>0</v>
      </c>
      <c r="HL181" s="8">
        <f>IF(HL$56-Voorblad!$F$41&gt;Voorblad!$K$41,0,IF($U181=0,0,IF($U181&lt;1,1/$U181,IF((HL$56-Voorblad!$F$41)/$U181-SUM($EE181:HK181)=1,1,0))))</f>
        <v>0</v>
      </c>
      <c r="HM181" s="8">
        <f>IF(HM$56-Voorblad!$F$41&gt;Voorblad!$K$41,0,IF($U181=0,0,IF($U181&lt;1,1/$U181,IF((HM$56-Voorblad!$F$41)/$U181-SUM($EE181:HL181)=1,1,0))))</f>
        <v>0</v>
      </c>
      <c r="HN181" s="8">
        <f>IF(HN$56-Voorblad!$F$41&gt;Voorblad!$K$41,0,IF($U181=0,0,IF($U181&lt;1,1/$U181,IF((HN$56-Voorblad!$F$41)/$U181-SUM($EE181:HM181)=1,1,0))))</f>
        <v>0</v>
      </c>
      <c r="HO181" s="8">
        <f>IF(HO$56-Voorblad!$F$41&gt;Voorblad!$K$41,0,IF($U181=0,0,IF($U181&lt;1,1/$U181,IF((HO$56-Voorblad!$F$41)/$U181-SUM($EE181:HN181)=1,1,0))))</f>
        <v>0</v>
      </c>
      <c r="HP181" s="8">
        <f>IF(HP$56-Voorblad!$F$41&gt;Voorblad!$K$41,0,IF($U181=0,0,IF($U181&lt;1,1/$U181,IF((HP$56-Voorblad!$F$41)/$U181-SUM($EE181:HO181)=1,1,0))))</f>
        <v>0</v>
      </c>
      <c r="HQ181" s="8">
        <f>IF(HQ$56-Voorblad!$F$41&gt;Voorblad!$K$41,0,IF($U181=0,0,IF($U181&lt;1,1/$U181,IF((HQ$56-Voorblad!$F$41)/$U181-SUM($EE181:HP181)=1,1,0))))</f>
        <v>0</v>
      </c>
      <c r="HR181" s="8">
        <f>IF(HR$56-Voorblad!$F$41&gt;Voorblad!$K$41,0,IF($U181=0,0,IF($U181&lt;1,1/$U181,IF((HR$56-Voorblad!$F$41)/$U181-SUM($EE181:HQ181)=1,1,0))))</f>
        <v>0</v>
      </c>
      <c r="HS181" s="8">
        <f>IF(HS$56-Voorblad!$F$41&gt;Voorblad!$K$41,0,IF($U181=0,0,IF($U181&lt;1,1/$U181,IF((HS$56-Voorblad!$F$41)/$U181-SUM($EE181:HR181)=1,1,0))))</f>
        <v>0</v>
      </c>
      <c r="HT181" s="8">
        <f>IF(HT$56-Voorblad!$F$41&gt;Voorblad!$K$41,0,IF($U181=0,0,IF($U181&lt;1,1/$U181,IF((HT$56-Voorblad!$F$41)/$U181-SUM($EE181:HS181)=1,1,0))))</f>
        <v>0</v>
      </c>
      <c r="HU181" s="8">
        <f>IF(HU$56-Voorblad!$F$41&gt;Voorblad!$K$41,0,IF($U181=0,0,IF($U181&lt;1,1/$U181,IF((HU$56-Voorblad!$F$41)/$U181-SUM($EE181:HT181)=1,1,0))))</f>
        <v>0</v>
      </c>
      <c r="HV181" s="8">
        <f>IF(HV$56-Voorblad!$F$41&gt;Voorblad!$K$41,0,IF($U181=0,0,IF($U181&lt;1,1/$U181,IF((HV$56-Voorblad!$F$41)/$U181-SUM($EE181:HU181)=1,1,0))))</f>
        <v>0</v>
      </c>
      <c r="HW181" s="8">
        <f>IF(HW$56-Voorblad!$F$41&gt;Voorblad!$K$41,0,IF($U181=0,0,IF($U181&lt;1,1/$U181,IF((HW$56-Voorblad!$F$41)/$U181-SUM($EE181:HV181)=1,1,0))))</f>
        <v>0</v>
      </c>
      <c r="HX181" s="8">
        <f>IF(HX$56-Voorblad!$F$41&gt;Voorblad!$K$41,0,IF($U181=0,0,IF($U181&lt;1,1/$U181,IF((HX$56-Voorblad!$F$41)/$U181-SUM($EE181:HW181)=1,1,0))))</f>
        <v>0</v>
      </c>
      <c r="HY181" s="8">
        <f>IF(HY$56-Voorblad!$F$41&gt;Voorblad!$K$41,0,IF($U181=0,0,IF($U181&lt;1,1/$U181,IF((HY$56-Voorblad!$F$41)/$U181-SUM($EE181:HX181)=1,1,0))))</f>
        <v>0</v>
      </c>
      <c r="HZ181" s="8">
        <f>IF(HZ$56-Voorblad!$F$41&gt;Voorblad!$K$41,0,IF($U181=0,0,IF($U181&lt;1,1/$U181,IF((HZ$56-Voorblad!$F$41)/$U181-SUM($EE181:HY181)=1,1,0))))</f>
        <v>0</v>
      </c>
      <c r="IA181" s="8">
        <f>IF(IA$56-Voorblad!$F$41&gt;Voorblad!$K$41,0,IF($U181=0,0,IF($U181&lt;1,1/$U181,IF((IA$56-Voorblad!$F$41)/$U181-SUM($EE181:HZ181)=1,1,0))))</f>
        <v>0</v>
      </c>
      <c r="IB181" s="8">
        <f>IF(IB$56-Voorblad!$F$41&gt;Voorblad!$K$41,0,IF($U181=0,0,IF($U181&lt;1,1/$U181,IF((IB$56-Voorblad!$F$41)/$U181-SUM($EE181:IA181)=1,1,0))))</f>
        <v>0</v>
      </c>
    </row>
    <row r="182" spans="2:236" ht="12" hidden="1" customHeight="1" outlineLevel="1" x14ac:dyDescent="0.25">
      <c r="B182" s="1">
        <v>1</v>
      </c>
      <c r="F182" s="1" t="s">
        <v>23</v>
      </c>
      <c r="I182" s="1" t="s">
        <v>49</v>
      </c>
      <c r="K182" s="14" t="s">
        <v>163</v>
      </c>
      <c r="P182" s="14" t="s">
        <v>194</v>
      </c>
      <c r="Q182" s="81">
        <v>0</v>
      </c>
      <c r="R182" s="1" t="s">
        <v>34</v>
      </c>
      <c r="S182" s="14">
        <f>$H$10*400</f>
        <v>952</v>
      </c>
      <c r="T182" s="1">
        <f t="shared" si="194"/>
        <v>0</v>
      </c>
      <c r="U182" s="14">
        <v>50</v>
      </c>
      <c r="V182" s="14"/>
      <c r="Y182" s="9">
        <f t="shared" si="198"/>
        <v>0</v>
      </c>
      <c r="Z182" s="82"/>
      <c r="AA182" s="82"/>
      <c r="AC182" s="9">
        <f>$Y182*(Voorblad!$K$44*(1+Voorblad!$K$44)^Voorblad!$K$41)/((1+Voorblad!$K$44)^Voorblad!$K$41-1)</f>
        <v>0</v>
      </c>
      <c r="AE182" s="9">
        <f>EF182*($Q182*$S182)/(1+Voorblad!$K$44)^(AE$56-Voorblad!$F$41)</f>
        <v>0</v>
      </c>
      <c r="AF182" s="9">
        <f>EG182*($Q182*$S182)/(1+Voorblad!$K$44)^(AF$56-Voorblad!$F$41)</f>
        <v>0</v>
      </c>
      <c r="AG182" s="9">
        <f>EH182*($Q182*$S182)/(1+Voorblad!$K$44)^(AG$56-Voorblad!$F$41)</f>
        <v>0</v>
      </c>
      <c r="AH182" s="9">
        <f>EI182*($Q182*$S182)/(1+Voorblad!$K$44)^(AH$56-Voorblad!$F$41)</f>
        <v>0</v>
      </c>
      <c r="AI182" s="9">
        <f>EJ182*($Q182*$S182)/(1+Voorblad!$K$44)^(AI$56-Voorblad!$F$41)</f>
        <v>0</v>
      </c>
      <c r="AJ182" s="9">
        <f>EK182*($Q182*$S182)/(1+Voorblad!$K$44)^(AJ$56-Voorblad!$F$41)</f>
        <v>0</v>
      </c>
      <c r="AK182" s="9">
        <f>EL182*($Q182*$S182)/(1+Voorblad!$K$44)^(AK$56-Voorblad!$F$41)</f>
        <v>0</v>
      </c>
      <c r="AL182" s="9">
        <f>EM182*($Q182*$S182)/(1+Voorblad!$K$44)^(AL$56-Voorblad!$F$41)</f>
        <v>0</v>
      </c>
      <c r="AM182" s="9">
        <f>EN182*($Q182*$S182)/(1+Voorblad!$K$44)^(AM$56-Voorblad!$F$41)</f>
        <v>0</v>
      </c>
      <c r="AN182" s="9">
        <f>EO182*($Q182*$S182)/(1+Voorblad!$K$44)^(AN$56-Voorblad!$F$41)</f>
        <v>0</v>
      </c>
      <c r="AO182" s="9">
        <f>EP182*($Q182*$S182)/(1+Voorblad!$K$44)^(AO$56-Voorblad!$F$41)</f>
        <v>0</v>
      </c>
      <c r="AP182" s="9">
        <f>EQ182*($Q182*$S182)/(1+Voorblad!$K$44)^(AP$56-Voorblad!$F$41)</f>
        <v>0</v>
      </c>
      <c r="AQ182" s="9">
        <f>ER182*($Q182*$S182)/(1+Voorblad!$K$44)^(AQ$56-Voorblad!$F$41)</f>
        <v>0</v>
      </c>
      <c r="AR182" s="9">
        <f>ES182*($Q182*$S182)/(1+Voorblad!$K$44)^(AR$56-Voorblad!$F$41)</f>
        <v>0</v>
      </c>
      <c r="AS182" s="9">
        <f>ET182*($Q182*$S182)/(1+Voorblad!$K$44)^(AS$56-Voorblad!$F$41)</f>
        <v>0</v>
      </c>
      <c r="AT182" s="9">
        <f>EU182*($Q182*$S182)/(1+Voorblad!$K$44)^(AT$56-Voorblad!$F$41)</f>
        <v>0</v>
      </c>
      <c r="AU182" s="9">
        <f>EV182*($Q182*$S182)/(1+Voorblad!$K$44)^(AU$56-Voorblad!$F$41)</f>
        <v>0</v>
      </c>
      <c r="AV182" s="9">
        <f>EW182*($Q182*$S182)/(1+Voorblad!$K$44)^(AV$56-Voorblad!$F$41)</f>
        <v>0</v>
      </c>
      <c r="AW182" s="9">
        <f>EX182*($Q182*$S182)/(1+Voorblad!$K$44)^(AW$56-Voorblad!$F$41)</f>
        <v>0</v>
      </c>
      <c r="AX182" s="9">
        <f>EY182*($Q182*$S182)/(1+Voorblad!$K$44)^(AX$56-Voorblad!$F$41)</f>
        <v>0</v>
      </c>
      <c r="AY182" s="9">
        <f>EZ182*($Q182*$S182)/(1+Voorblad!$K$44)^(AY$56-Voorblad!$F$41)</f>
        <v>0</v>
      </c>
      <c r="AZ182" s="9">
        <f>FA182*($Q182*$S182)/(1+Voorblad!$K$44)^(AZ$56-Voorblad!$F$41)</f>
        <v>0</v>
      </c>
      <c r="BA182" s="9">
        <f>FB182*($Q182*$S182)/(1+Voorblad!$K$44)^(BA$56-Voorblad!$F$41)</f>
        <v>0</v>
      </c>
      <c r="BB182" s="9">
        <f>FC182*($Q182*$S182)/(1+Voorblad!$K$44)^(BB$56-Voorblad!$F$41)</f>
        <v>0</v>
      </c>
      <c r="BC182" s="9">
        <f>FD182*($Q182*$S182)/(1+Voorblad!$K$44)^(BC$56-Voorblad!$F$41)</f>
        <v>0</v>
      </c>
      <c r="BD182" s="9">
        <f>FE182*($Q182*$S182)/(1+Voorblad!$K$44)^(BD$56-Voorblad!$F$41)</f>
        <v>0</v>
      </c>
      <c r="BE182" s="9">
        <f>FF182*($Q182*$S182)/(1+Voorblad!$K$44)^(BE$56-Voorblad!$F$41)</f>
        <v>0</v>
      </c>
      <c r="BF182" s="9">
        <f>FG182*($Q182*$S182)/(1+Voorblad!$K$44)^(BF$56-Voorblad!$F$41)</f>
        <v>0</v>
      </c>
      <c r="BG182" s="9">
        <f>FH182*($Q182*$S182)/(1+Voorblad!$K$44)^(BG$56-Voorblad!$F$41)</f>
        <v>0</v>
      </c>
      <c r="BH182" s="9">
        <f>FI182*($Q182*$S182)/(1+Voorblad!$K$44)^(BH$56-Voorblad!$F$41)</f>
        <v>0</v>
      </c>
      <c r="BI182" s="9">
        <f>FJ182*($Q182*$S182)/(1+Voorblad!$K$44)^(BI$56-Voorblad!$F$41)</f>
        <v>0</v>
      </c>
      <c r="BJ182" s="9">
        <f>FK182*($Q182*$S182)/(1+Voorblad!$K$44)^(BJ$56-Voorblad!$F$41)</f>
        <v>0</v>
      </c>
      <c r="BK182" s="9">
        <f>FL182*($Q182*$S182)/(1+Voorblad!$K$44)^(BK$56-Voorblad!$F$41)</f>
        <v>0</v>
      </c>
      <c r="BL182" s="9">
        <f>FM182*($Q182*$S182)/(1+Voorblad!$K$44)^(BL$56-Voorblad!$F$41)</f>
        <v>0</v>
      </c>
      <c r="BM182" s="9">
        <f>FN182*($Q182*$S182)/(1+Voorblad!$K$44)^(BM$56-Voorblad!$F$41)</f>
        <v>0</v>
      </c>
      <c r="BN182" s="9">
        <f>FO182*($Q182*$S182)/(1+Voorblad!$K$44)^(BN$56-Voorblad!$F$41)</f>
        <v>0</v>
      </c>
      <c r="BO182" s="9">
        <f>FP182*($Q182*$S182)/(1+Voorblad!$K$44)^(BO$56-Voorblad!$F$41)</f>
        <v>0</v>
      </c>
      <c r="BP182" s="9">
        <f>FQ182*($Q182*$S182)/(1+Voorblad!$K$44)^(BP$56-Voorblad!$F$41)</f>
        <v>0</v>
      </c>
      <c r="BQ182" s="9">
        <f>FR182*($Q182*$S182)/(1+Voorblad!$K$44)^(BQ$56-Voorblad!$F$41)</f>
        <v>0</v>
      </c>
      <c r="BR182" s="9">
        <f>FS182*($Q182*$S182)/(1+Voorblad!$K$44)^(BR$56-Voorblad!$F$41)</f>
        <v>0</v>
      </c>
      <c r="BS182" s="9">
        <f>FT182*($Q182*$S182)/(1+Voorblad!$K$44)^(BS$56-Voorblad!$F$41)</f>
        <v>0</v>
      </c>
      <c r="BT182" s="9">
        <f>FU182*($Q182*$S182)/(1+Voorblad!$K$44)^(BT$56-Voorblad!$F$41)</f>
        <v>0</v>
      </c>
      <c r="BU182" s="9">
        <f>FV182*($Q182*$S182)/(1+Voorblad!$K$44)^(BU$56-Voorblad!$F$41)</f>
        <v>0</v>
      </c>
      <c r="BV182" s="9">
        <f>FW182*($Q182*$S182)/(1+Voorblad!$K$44)^(BV$56-Voorblad!$F$41)</f>
        <v>0</v>
      </c>
      <c r="BW182" s="9">
        <f>FX182*($Q182*$S182)/(1+Voorblad!$K$44)^(BW$56-Voorblad!$F$41)</f>
        <v>0</v>
      </c>
      <c r="BX182" s="9">
        <f>FY182*($Q182*$S182)/(1+Voorblad!$K$44)^(BX$56-Voorblad!$F$41)</f>
        <v>0</v>
      </c>
      <c r="BY182" s="9">
        <f>FZ182*($Q182*$S182)/(1+Voorblad!$K$44)^(BY$56-Voorblad!$F$41)</f>
        <v>0</v>
      </c>
      <c r="BZ182" s="9">
        <f>GA182*($Q182*$S182)/(1+Voorblad!$K$44)^(BZ$56-Voorblad!$F$41)</f>
        <v>0</v>
      </c>
      <c r="CA182" s="9">
        <f>GB182*($Q182*$S182)/(1+Voorblad!$K$44)^(CA$56-Voorblad!$F$41)</f>
        <v>0</v>
      </c>
      <c r="CB182" s="9">
        <f>GC182*($Q182*$S182)/(1+Voorblad!$K$44)^(CB$56-Voorblad!$F$41)</f>
        <v>0</v>
      </c>
      <c r="CC182" s="9">
        <f>GD182*($Q182*$S182)/(1+Voorblad!$K$44)^(CC$56-Voorblad!$F$41)</f>
        <v>0</v>
      </c>
      <c r="CD182" s="9">
        <f>GE182*($Q182*$S182)/(1+Voorblad!$K$44)^(CD$56-Voorblad!$F$41)</f>
        <v>0</v>
      </c>
      <c r="CE182" s="9">
        <f>GF182*($Q182*$S182)/(1+Voorblad!$K$44)^(CE$56-Voorblad!$F$41)</f>
        <v>0</v>
      </c>
      <c r="CF182" s="9">
        <f>GG182*($Q182*$S182)/(1+Voorblad!$K$44)^(CF$56-Voorblad!$F$41)</f>
        <v>0</v>
      </c>
      <c r="CG182" s="9">
        <f>GH182*($Q182*$S182)/(1+Voorblad!$K$44)^(CG$56-Voorblad!$F$41)</f>
        <v>0</v>
      </c>
      <c r="CH182" s="9">
        <f>GI182*($Q182*$S182)/(1+Voorblad!$K$44)^(CH$56-Voorblad!$F$41)</f>
        <v>0</v>
      </c>
      <c r="CI182" s="9">
        <f>GJ182*($Q182*$S182)/(1+Voorblad!$K$44)^(CI$56-Voorblad!$F$41)</f>
        <v>0</v>
      </c>
      <c r="CJ182" s="9">
        <f>GK182*($Q182*$S182)/(1+Voorblad!$K$44)^(CJ$56-Voorblad!$F$41)</f>
        <v>0</v>
      </c>
      <c r="CK182" s="9">
        <f>GL182*($Q182*$S182)/(1+Voorblad!$K$44)^(CK$56-Voorblad!$F$41)</f>
        <v>0</v>
      </c>
      <c r="CL182" s="9">
        <f>GM182*($Q182*$S182)/(1+Voorblad!$K$44)^(CL$56-Voorblad!$F$41)</f>
        <v>0</v>
      </c>
      <c r="CM182" s="9">
        <f>GN182*($Q182*$S182)/(1+Voorblad!$K$44)^(CM$56-Voorblad!$F$41)</f>
        <v>0</v>
      </c>
      <c r="CN182" s="9">
        <f>GO182*($Q182*$S182)/(1+Voorblad!$K$44)^(CN$56-Voorblad!$F$41)</f>
        <v>0</v>
      </c>
      <c r="CO182" s="9">
        <f>GP182*($Q182*$S182)/(1+Voorblad!$K$44)^(CO$56-Voorblad!$F$41)</f>
        <v>0</v>
      </c>
      <c r="CP182" s="9">
        <f>GQ182*($Q182*$S182)/(1+Voorblad!$K$44)^(CP$56-Voorblad!$F$41)</f>
        <v>0</v>
      </c>
      <c r="CQ182" s="9">
        <f>GR182*($Q182*$S182)/(1+Voorblad!$K$44)^(CQ$56-Voorblad!$F$41)</f>
        <v>0</v>
      </c>
      <c r="CR182" s="9">
        <f>GS182*($Q182*$S182)/(1+Voorblad!$K$44)^(CR$56-Voorblad!$F$41)</f>
        <v>0</v>
      </c>
      <c r="CS182" s="9">
        <f>GT182*($Q182*$S182)/(1+Voorblad!$K$44)^(CS$56-Voorblad!$F$41)</f>
        <v>0</v>
      </c>
      <c r="CT182" s="9">
        <f>GU182*($Q182*$S182)/(1+Voorblad!$K$44)^(CT$56-Voorblad!$F$41)</f>
        <v>0</v>
      </c>
      <c r="CU182" s="9">
        <f>GV182*($Q182*$S182)/(1+Voorblad!$K$44)^(CU$56-Voorblad!$F$41)</f>
        <v>0</v>
      </c>
      <c r="CV182" s="9">
        <f>GW182*($Q182*$S182)/(1+Voorblad!$K$44)^(CV$56-Voorblad!$F$41)</f>
        <v>0</v>
      </c>
      <c r="CW182" s="9">
        <f>GX182*($Q182*$S182)/(1+Voorblad!$K$44)^(CW$56-Voorblad!$F$41)</f>
        <v>0</v>
      </c>
      <c r="CX182" s="9">
        <f>GY182*($Q182*$S182)/(1+Voorblad!$K$44)^(CX$56-Voorblad!$F$41)</f>
        <v>0</v>
      </c>
      <c r="CY182" s="9">
        <f>GZ182*($Q182*$S182)/(1+Voorblad!$K$44)^(CY$56-Voorblad!$F$41)</f>
        <v>0</v>
      </c>
      <c r="CZ182" s="9">
        <f>HA182*($Q182*$S182)/(1+Voorblad!$K$44)^(CZ$56-Voorblad!$F$41)</f>
        <v>0</v>
      </c>
      <c r="DA182" s="9">
        <f>HB182*($Q182*$S182)/(1+Voorblad!$K$44)^(DA$56-Voorblad!$F$41)</f>
        <v>0</v>
      </c>
      <c r="DB182" s="9">
        <f>HC182*($Q182*$S182)/(1+Voorblad!$K$44)^(DB$56-Voorblad!$F$41)</f>
        <v>0</v>
      </c>
      <c r="DC182" s="9">
        <f>HD182*($Q182*$S182)/(1+Voorblad!$K$44)^(DC$56-Voorblad!$F$41)</f>
        <v>0</v>
      </c>
      <c r="DD182" s="9">
        <f>HE182*($Q182*$S182)/(1+Voorblad!$K$44)^(DD$56-Voorblad!$F$41)</f>
        <v>0</v>
      </c>
      <c r="DE182" s="9">
        <f>HF182*($Q182*$S182)/(1+Voorblad!$K$44)^(DE$56-Voorblad!$F$41)</f>
        <v>0</v>
      </c>
      <c r="DF182" s="9">
        <f>HG182*($Q182*$S182)/(1+Voorblad!$K$44)^(DF$56-Voorblad!$F$41)</f>
        <v>0</v>
      </c>
      <c r="DG182" s="9">
        <f>HH182*($Q182*$S182)/(1+Voorblad!$K$44)^(DG$56-Voorblad!$F$41)</f>
        <v>0</v>
      </c>
      <c r="DH182" s="9">
        <f>HI182*($Q182*$S182)/(1+Voorblad!$K$44)^(DH$56-Voorblad!$F$41)</f>
        <v>0</v>
      </c>
      <c r="DI182" s="9">
        <f>HJ182*($Q182*$S182)/(1+Voorblad!$K$44)^(DI$56-Voorblad!$F$41)</f>
        <v>0</v>
      </c>
      <c r="DJ182" s="9">
        <f>HK182*($Q182*$S182)/(1+Voorblad!$K$44)^(DJ$56-Voorblad!$F$41)</f>
        <v>0</v>
      </c>
      <c r="DK182" s="9">
        <f>HL182*($Q182*$S182)/(1+Voorblad!$K$44)^(DK$56-Voorblad!$F$41)</f>
        <v>0</v>
      </c>
      <c r="DL182" s="9">
        <f>HM182*($Q182*$S182)/(1+Voorblad!$K$44)^(DL$56-Voorblad!$F$41)</f>
        <v>0</v>
      </c>
      <c r="DM182" s="9">
        <f>HN182*($Q182*$S182)/(1+Voorblad!$K$44)^(DM$56-Voorblad!$F$41)</f>
        <v>0</v>
      </c>
      <c r="DN182" s="9">
        <f>HO182*($Q182*$S182)/(1+Voorblad!$K$44)^(DN$56-Voorblad!$F$41)</f>
        <v>0</v>
      </c>
      <c r="DO182" s="9">
        <f>HP182*($Q182*$S182)/(1+Voorblad!$K$44)^(DO$56-Voorblad!$F$41)</f>
        <v>0</v>
      </c>
      <c r="DP182" s="9">
        <f>HQ182*($Q182*$S182)/(1+Voorblad!$K$44)^(DP$56-Voorblad!$F$41)</f>
        <v>0</v>
      </c>
      <c r="DQ182" s="9">
        <f>HR182*($Q182*$S182)/(1+Voorblad!$K$44)^(DQ$56-Voorblad!$F$41)</f>
        <v>0</v>
      </c>
      <c r="DR182" s="9">
        <f>HS182*($Q182*$S182)/(1+Voorblad!$K$44)^(DR$56-Voorblad!$F$41)</f>
        <v>0</v>
      </c>
      <c r="DS182" s="9">
        <f>HT182*($Q182*$S182)/(1+Voorblad!$K$44)^(DS$56-Voorblad!$F$41)</f>
        <v>0</v>
      </c>
      <c r="DT182" s="9">
        <f>HU182*($Q182*$S182)/(1+Voorblad!$K$44)^(DT$56-Voorblad!$F$41)</f>
        <v>0</v>
      </c>
      <c r="DU182" s="9">
        <f>HV182*($Q182*$S182)/(1+Voorblad!$K$44)^(DU$56-Voorblad!$F$41)</f>
        <v>0</v>
      </c>
      <c r="DV182" s="9">
        <f>HW182*($Q182*$S182)/(1+Voorblad!$K$44)^(DV$56-Voorblad!$F$41)</f>
        <v>0</v>
      </c>
      <c r="DW182" s="9">
        <f>HX182*($Q182*$S182)/(1+Voorblad!$K$44)^(DW$56-Voorblad!$F$41)</f>
        <v>0</v>
      </c>
      <c r="DX182" s="9">
        <f>HY182*($Q182*$S182)/(1+Voorblad!$K$44)^(DX$56-Voorblad!$F$41)</f>
        <v>0</v>
      </c>
      <c r="DY182" s="9">
        <f>HZ182*($Q182*$S182)/(1+Voorblad!$K$44)^(DY$56-Voorblad!$F$41)</f>
        <v>0</v>
      </c>
      <c r="DZ182" s="9">
        <f>IA182*($Q182*$S182)/(1+Voorblad!$K$44)^(DZ$56-Voorblad!$F$41)</f>
        <v>0</v>
      </c>
      <c r="EA182" s="9">
        <f>IB182*($Q182*$S182)/(1+Voorblad!$K$44)^(EA$56-Voorblad!$F$41)</f>
        <v>0</v>
      </c>
      <c r="EB182" s="9">
        <f>IC182*($Q182*$S182)/(1+Voorblad!$K$44)^(EB$56-Voorblad!$F$41)</f>
        <v>0</v>
      </c>
      <c r="EE182" s="8">
        <v>0</v>
      </c>
      <c r="EF182" s="8">
        <f>IF(EF$56-Voorblad!$F$41&gt;Voorblad!$K$41,0,IF($U182=0,0,IF($U182&lt;1,1/$U182,IF((EF$56-Voorblad!$F$41)/$U182-SUM($EE182:EE182)=1,1,0))))</f>
        <v>0</v>
      </c>
      <c r="EG182" s="8">
        <f>IF(EG$56-Voorblad!$F$41&gt;Voorblad!$K$41,0,IF($U182=0,0,IF($U182&lt;1,1/$U182,IF((EG$56-Voorblad!$F$41)/$U182-SUM($EE182:EF182)=1,1,0))))</f>
        <v>0</v>
      </c>
      <c r="EH182" s="8">
        <f>IF(EH$56-Voorblad!$F$41&gt;Voorblad!$K$41,0,IF($U182=0,0,IF($U182&lt;1,1/$U182,IF((EH$56-Voorblad!$F$41)/$U182-SUM($EE182:EG182)=1,1,0))))</f>
        <v>0</v>
      </c>
      <c r="EI182" s="8">
        <f>IF(EI$56-Voorblad!$F$41&gt;Voorblad!$K$41,0,IF($U182=0,0,IF($U182&lt;1,1/$U182,IF((EI$56-Voorblad!$F$41)/$U182-SUM($EE182:EH182)=1,1,0))))</f>
        <v>0</v>
      </c>
      <c r="EJ182" s="8">
        <f>IF(EJ$56-Voorblad!$F$41&gt;Voorblad!$K$41,0,IF($U182=0,0,IF($U182&lt;1,1/$U182,IF((EJ$56-Voorblad!$F$41)/$U182-SUM($EE182:EI182)=1,1,0))))</f>
        <v>0</v>
      </c>
      <c r="EK182" s="8">
        <f>IF(EK$56-Voorblad!$F$41&gt;Voorblad!$K$41,0,IF($U182=0,0,IF($U182&lt;1,1/$U182,IF((EK$56-Voorblad!$F$41)/$U182-SUM($EE182:EJ182)=1,1,0))))</f>
        <v>0</v>
      </c>
      <c r="EL182" s="8">
        <f>IF(EL$56-Voorblad!$F$41&gt;Voorblad!$K$41,0,IF($U182=0,0,IF($U182&lt;1,1/$U182,IF((EL$56-Voorblad!$F$41)/$U182-SUM($EE182:EK182)=1,1,0))))</f>
        <v>0</v>
      </c>
      <c r="EM182" s="8">
        <f>IF(EM$56-Voorblad!$F$41&gt;Voorblad!$K$41,0,IF($U182=0,0,IF($U182&lt;1,1/$U182,IF((EM$56-Voorblad!$F$41)/$U182-SUM($EE182:EL182)=1,1,0))))</f>
        <v>0</v>
      </c>
      <c r="EN182" s="8">
        <f>IF(EN$56-Voorblad!$F$41&gt;Voorblad!$K$41,0,IF($U182=0,0,IF($U182&lt;1,1/$U182,IF((EN$56-Voorblad!$F$41)/$U182-SUM($EE182:EM182)=1,1,0))))</f>
        <v>0</v>
      </c>
      <c r="EO182" s="8">
        <f>IF(EO$56-Voorblad!$F$41&gt;Voorblad!$K$41,0,IF($U182=0,0,IF($U182&lt;1,1/$U182,IF((EO$56-Voorblad!$F$41)/$U182-SUM($EE182:EN182)=1,1,0))))</f>
        <v>0</v>
      </c>
      <c r="EP182" s="8">
        <f>IF(EP$56-Voorblad!$F$41&gt;Voorblad!$K$41,0,IF($U182=0,0,IF($U182&lt;1,1/$U182,IF((EP$56-Voorblad!$F$41)/$U182-SUM($EE182:EO182)=1,1,0))))</f>
        <v>0</v>
      </c>
      <c r="EQ182" s="8">
        <f>IF(EQ$56-Voorblad!$F$41&gt;Voorblad!$K$41,0,IF($U182=0,0,IF($U182&lt;1,1/$U182,IF((EQ$56-Voorblad!$F$41)/$U182-SUM($EE182:EP182)=1,1,0))))</f>
        <v>0</v>
      </c>
      <c r="ER182" s="8">
        <f>IF(ER$56-Voorblad!$F$41&gt;Voorblad!$K$41,0,IF($U182=0,0,IF($U182&lt;1,1/$U182,IF((ER$56-Voorblad!$F$41)/$U182-SUM($EE182:EQ182)=1,1,0))))</f>
        <v>0</v>
      </c>
      <c r="ES182" s="8">
        <f>IF(ES$56-Voorblad!$F$41&gt;Voorblad!$K$41,0,IF($U182=0,0,IF($U182&lt;1,1/$U182,IF((ES$56-Voorblad!$F$41)/$U182-SUM($EE182:ER182)=1,1,0))))</f>
        <v>0</v>
      </c>
      <c r="ET182" s="8">
        <f>IF(ET$56-Voorblad!$F$41&gt;Voorblad!$K$41,0,IF($U182=0,0,IF($U182&lt;1,1/$U182,IF((ET$56-Voorblad!$F$41)/$U182-SUM($EE182:ES182)=1,1,0))))</f>
        <v>0</v>
      </c>
      <c r="EU182" s="8">
        <f>IF(EU$56-Voorblad!$F$41&gt;Voorblad!$K$41,0,IF($U182=0,0,IF($U182&lt;1,1/$U182,IF((EU$56-Voorblad!$F$41)/$U182-SUM($EE182:ET182)=1,1,0))))</f>
        <v>0</v>
      </c>
      <c r="EV182" s="8">
        <f>IF(EV$56-Voorblad!$F$41&gt;Voorblad!$K$41,0,IF($U182=0,0,IF($U182&lt;1,1/$U182,IF((EV$56-Voorblad!$F$41)/$U182-SUM($EE182:EU182)=1,1,0))))</f>
        <v>0</v>
      </c>
      <c r="EW182" s="8">
        <f>IF(EW$56-Voorblad!$F$41&gt;Voorblad!$K$41,0,IF($U182=0,0,IF($U182&lt;1,1/$U182,IF((EW$56-Voorblad!$F$41)/$U182-SUM($EE182:EV182)=1,1,0))))</f>
        <v>0</v>
      </c>
      <c r="EX182" s="8">
        <f>IF(EX$56-Voorblad!$F$41&gt;Voorblad!$K$41,0,IF($U182=0,0,IF($U182&lt;1,1/$U182,IF((EX$56-Voorblad!$F$41)/$U182-SUM($EE182:EW182)=1,1,0))))</f>
        <v>0</v>
      </c>
      <c r="EY182" s="8">
        <f>IF(EY$56-Voorblad!$F$41&gt;Voorblad!$K$41,0,IF($U182=0,0,IF($U182&lt;1,1/$U182,IF((EY$56-Voorblad!$F$41)/$U182-SUM($EE182:EX182)=1,1,0))))</f>
        <v>0</v>
      </c>
      <c r="EZ182" s="8">
        <f>IF(EZ$56-Voorblad!$F$41&gt;Voorblad!$K$41,0,IF($U182=0,0,IF($U182&lt;1,1/$U182,IF((EZ$56-Voorblad!$F$41)/$U182-SUM($EE182:EY182)=1,1,0))))</f>
        <v>0</v>
      </c>
      <c r="FA182" s="8">
        <f>IF(FA$56-Voorblad!$F$41&gt;Voorblad!$K$41,0,IF($U182=0,0,IF($U182&lt;1,1/$U182,IF((FA$56-Voorblad!$F$41)/$U182-SUM($EE182:EZ182)=1,1,0))))</f>
        <v>0</v>
      </c>
      <c r="FB182" s="8">
        <f>IF(FB$56-Voorblad!$F$41&gt;Voorblad!$K$41,0,IF($U182=0,0,IF($U182&lt;1,1/$U182,IF((FB$56-Voorblad!$F$41)/$U182-SUM($EE182:FA182)=1,1,0))))</f>
        <v>0</v>
      </c>
      <c r="FC182" s="8">
        <f>IF(FC$56-Voorblad!$F$41&gt;Voorblad!$K$41,0,IF($U182=0,0,IF($U182&lt;1,1/$U182,IF((FC$56-Voorblad!$F$41)/$U182-SUM($EE182:FB182)=1,1,0))))</f>
        <v>0</v>
      </c>
      <c r="FD182" s="8">
        <f>IF(FD$56-Voorblad!$F$41&gt;Voorblad!$K$41,0,IF($U182=0,0,IF($U182&lt;1,1/$U182,IF((FD$56-Voorblad!$F$41)/$U182-SUM($EE182:FC182)=1,1,0))))</f>
        <v>0</v>
      </c>
      <c r="FE182" s="8">
        <f>IF(FE$56-Voorblad!$F$41&gt;Voorblad!$K$41,0,IF($U182=0,0,IF($U182&lt;1,1/$U182,IF((FE$56-Voorblad!$F$41)/$U182-SUM($EE182:FD182)=1,1,0))))</f>
        <v>0</v>
      </c>
      <c r="FF182" s="8">
        <f>IF(FF$56-Voorblad!$F$41&gt;Voorblad!$K$41,0,IF($U182=0,0,IF($U182&lt;1,1/$U182,IF((FF$56-Voorblad!$F$41)/$U182-SUM($EE182:FE182)=1,1,0))))</f>
        <v>0</v>
      </c>
      <c r="FG182" s="8">
        <f>IF(FG$56-Voorblad!$F$41&gt;Voorblad!$K$41,0,IF($U182=0,0,IF($U182&lt;1,1/$U182,IF((FG$56-Voorblad!$F$41)/$U182-SUM($EE182:FF182)=1,1,0))))</f>
        <v>0</v>
      </c>
      <c r="FH182" s="8">
        <f>IF(FH$56-Voorblad!$F$41&gt;Voorblad!$K$41,0,IF($U182=0,0,IF($U182&lt;1,1/$U182,IF((FH$56-Voorblad!$F$41)/$U182-SUM($EE182:FG182)=1,1,0))))</f>
        <v>0</v>
      </c>
      <c r="FI182" s="8">
        <f>IF(FI$56-Voorblad!$F$41&gt;Voorblad!$K$41,0,IF($U182=0,0,IF($U182&lt;1,1/$U182,IF((FI$56-Voorblad!$F$41)/$U182-SUM($EE182:FH182)=1,1,0))))</f>
        <v>0</v>
      </c>
      <c r="FJ182" s="8">
        <f>IF(FJ$56-Voorblad!$F$41&gt;Voorblad!$K$41,0,IF($U182=0,0,IF($U182&lt;1,1/$U182,IF((FJ$56-Voorblad!$F$41)/$U182-SUM($EE182:FI182)=1,1,0))))</f>
        <v>0</v>
      </c>
      <c r="FK182" s="8">
        <f>IF(FK$56-Voorblad!$F$41&gt;Voorblad!$K$41,0,IF($U182=0,0,IF($U182&lt;1,1/$U182,IF((FK$56-Voorblad!$F$41)/$U182-SUM($EE182:FJ182)=1,1,0))))</f>
        <v>0</v>
      </c>
      <c r="FL182" s="8">
        <f>IF(FL$56-Voorblad!$F$41&gt;Voorblad!$K$41,0,IF($U182=0,0,IF($U182&lt;1,1/$U182,IF((FL$56-Voorblad!$F$41)/$U182-SUM($EE182:FK182)=1,1,0))))</f>
        <v>0</v>
      </c>
      <c r="FM182" s="8">
        <f>IF(FM$56-Voorblad!$F$41&gt;Voorblad!$K$41,0,IF($U182=0,0,IF($U182&lt;1,1/$U182,IF((FM$56-Voorblad!$F$41)/$U182-SUM($EE182:FL182)=1,1,0))))</f>
        <v>0</v>
      </c>
      <c r="FN182" s="8">
        <f>IF(FN$56-Voorblad!$F$41&gt;Voorblad!$K$41,0,IF($U182=0,0,IF($U182&lt;1,1/$U182,IF((FN$56-Voorblad!$F$41)/$U182-SUM($EE182:FM182)=1,1,0))))</f>
        <v>0</v>
      </c>
      <c r="FO182" s="8">
        <f>IF(FO$56-Voorblad!$F$41&gt;Voorblad!$K$41,0,IF($U182=0,0,IF($U182&lt;1,1/$U182,IF((FO$56-Voorblad!$F$41)/$U182-SUM($EE182:FN182)=1,1,0))))</f>
        <v>0</v>
      </c>
      <c r="FP182" s="8">
        <f>IF(FP$56-Voorblad!$F$41&gt;Voorblad!$K$41,0,IF($U182=0,0,IF($U182&lt;1,1/$U182,IF((FP$56-Voorblad!$F$41)/$U182-SUM($EE182:FO182)=1,1,0))))</f>
        <v>0</v>
      </c>
      <c r="FQ182" s="8">
        <f>IF(FQ$56-Voorblad!$F$41&gt;Voorblad!$K$41,0,IF($U182=0,0,IF($U182&lt;1,1/$U182,IF((FQ$56-Voorblad!$F$41)/$U182-SUM($EE182:FP182)=1,1,0))))</f>
        <v>0</v>
      </c>
      <c r="FR182" s="8">
        <f>IF(FR$56-Voorblad!$F$41&gt;Voorblad!$K$41,0,IF($U182=0,0,IF($U182&lt;1,1/$U182,IF((FR$56-Voorblad!$F$41)/$U182-SUM($EE182:FQ182)=1,1,0))))</f>
        <v>0</v>
      </c>
      <c r="FS182" s="8">
        <f>IF(FS$56-Voorblad!$F$41&gt;Voorblad!$K$41,0,IF($U182=0,0,IF($U182&lt;1,1/$U182,IF((FS$56-Voorblad!$F$41)/$U182-SUM($EE182:FR182)=1,1,0))))</f>
        <v>0</v>
      </c>
      <c r="FT182" s="8">
        <f>IF(FT$56-Voorblad!$F$41&gt;Voorblad!$K$41,0,IF($U182=0,0,IF($U182&lt;1,1/$U182,IF((FT$56-Voorblad!$F$41)/$U182-SUM($EE182:FS182)=1,1,0))))</f>
        <v>0</v>
      </c>
      <c r="FU182" s="8">
        <f>IF(FU$56-Voorblad!$F$41&gt;Voorblad!$K$41,0,IF($U182=0,0,IF($U182&lt;1,1/$U182,IF((FU$56-Voorblad!$F$41)/$U182-SUM($EE182:FT182)=1,1,0))))</f>
        <v>0</v>
      </c>
      <c r="FV182" s="8">
        <f>IF(FV$56-Voorblad!$F$41&gt;Voorblad!$K$41,0,IF($U182=0,0,IF($U182&lt;1,1/$U182,IF((FV$56-Voorblad!$F$41)/$U182-SUM($EE182:FU182)=1,1,0))))</f>
        <v>0</v>
      </c>
      <c r="FW182" s="8">
        <f>IF(FW$56-Voorblad!$F$41&gt;Voorblad!$K$41,0,IF($U182=0,0,IF($U182&lt;1,1/$U182,IF((FW$56-Voorblad!$F$41)/$U182-SUM($EE182:FV182)=1,1,0))))</f>
        <v>0</v>
      </c>
      <c r="FX182" s="8">
        <f>IF(FX$56-Voorblad!$F$41&gt;Voorblad!$K$41,0,IF($U182=0,0,IF($U182&lt;1,1/$U182,IF((FX$56-Voorblad!$F$41)/$U182-SUM($EE182:FW182)=1,1,0))))</f>
        <v>0</v>
      </c>
      <c r="FY182" s="8">
        <f>IF(FY$56-Voorblad!$F$41&gt;Voorblad!$K$41,0,IF($U182=0,0,IF($U182&lt;1,1/$U182,IF((FY$56-Voorblad!$F$41)/$U182-SUM($EE182:FX182)=1,1,0))))</f>
        <v>0</v>
      </c>
      <c r="FZ182" s="8">
        <f>IF(FZ$56-Voorblad!$F$41&gt;Voorblad!$K$41,0,IF($U182=0,0,IF($U182&lt;1,1/$U182,IF((FZ$56-Voorblad!$F$41)/$U182-SUM($EE182:FY182)=1,1,0))))</f>
        <v>0</v>
      </c>
      <c r="GA182" s="8">
        <f>IF(GA$56-Voorblad!$F$41&gt;Voorblad!$K$41,0,IF($U182=0,0,IF($U182&lt;1,1/$U182,IF((GA$56-Voorblad!$F$41)/$U182-SUM($EE182:FZ182)=1,1,0))))</f>
        <v>0</v>
      </c>
      <c r="GB182" s="8">
        <f>IF(GB$56-Voorblad!$F$41&gt;Voorblad!$K$41,0,IF($U182=0,0,IF($U182&lt;1,1/$U182,IF((GB$56-Voorblad!$F$41)/$U182-SUM($EE182:GA182)=1,1,0))))</f>
        <v>0</v>
      </c>
      <c r="GC182" s="8">
        <f>IF(GC$56-Voorblad!$F$41&gt;Voorblad!$K$41,0,IF($U182=0,0,IF($U182&lt;1,1/$U182,IF((GC$56-Voorblad!$F$41)/$U182-SUM($EE182:GB182)=1,1,0))))</f>
        <v>0</v>
      </c>
      <c r="GD182" s="8">
        <f>IF(GD$56-Voorblad!$F$41&gt;Voorblad!$K$41,0,IF($U182=0,0,IF($U182&lt;1,1/$U182,IF((GD$56-Voorblad!$F$41)/$U182-SUM($EE182:GC182)=1,1,0))))</f>
        <v>1</v>
      </c>
      <c r="GE182" s="8">
        <f>IF(GE$56-Voorblad!$F$41&gt;Voorblad!$K$41,0,IF($U182=0,0,IF($U182&lt;1,1/$U182,IF((GE$56-Voorblad!$F$41)/$U182-SUM($EE182:GD182)=1,1,0))))</f>
        <v>0</v>
      </c>
      <c r="GF182" s="8">
        <f>IF(GF$56-Voorblad!$F$41&gt;Voorblad!$K$41,0,IF($U182=0,0,IF($U182&lt;1,1/$U182,IF((GF$56-Voorblad!$F$41)/$U182-SUM($EE182:GE182)=1,1,0))))</f>
        <v>0</v>
      </c>
      <c r="GG182" s="8">
        <f>IF(GG$56-Voorblad!$F$41&gt;Voorblad!$K$41,0,IF($U182=0,0,IF($U182&lt;1,1/$U182,IF((GG$56-Voorblad!$F$41)/$U182-SUM($EE182:GF182)=1,1,0))))</f>
        <v>0</v>
      </c>
      <c r="GH182" s="8">
        <f>IF(GH$56-Voorblad!$F$41&gt;Voorblad!$K$41,0,IF($U182=0,0,IF($U182&lt;1,1/$U182,IF((GH$56-Voorblad!$F$41)/$U182-SUM($EE182:GG182)=1,1,0))))</f>
        <v>0</v>
      </c>
      <c r="GI182" s="8">
        <f>IF(GI$56-Voorblad!$F$41&gt;Voorblad!$K$41,0,IF($U182=0,0,IF($U182&lt;1,1/$U182,IF((GI$56-Voorblad!$F$41)/$U182-SUM($EE182:GH182)=1,1,0))))</f>
        <v>0</v>
      </c>
      <c r="GJ182" s="8">
        <f>IF(GJ$56-Voorblad!$F$41&gt;Voorblad!$K$41,0,IF($U182=0,0,IF($U182&lt;1,1/$U182,IF((GJ$56-Voorblad!$F$41)/$U182-SUM($EE182:GI182)=1,1,0))))</f>
        <v>0</v>
      </c>
      <c r="GK182" s="8">
        <f>IF(GK$56-Voorblad!$F$41&gt;Voorblad!$K$41,0,IF($U182=0,0,IF($U182&lt;1,1/$U182,IF((GK$56-Voorblad!$F$41)/$U182-SUM($EE182:GJ182)=1,1,0))))</f>
        <v>0</v>
      </c>
      <c r="GL182" s="8">
        <f>IF(GL$56-Voorblad!$F$41&gt;Voorblad!$K$41,0,IF($U182=0,0,IF($U182&lt;1,1/$U182,IF((GL$56-Voorblad!$F$41)/$U182-SUM($EE182:GK182)=1,1,0))))</f>
        <v>0</v>
      </c>
      <c r="GM182" s="8">
        <f>IF(GM$56-Voorblad!$F$41&gt;Voorblad!$K$41,0,IF($U182=0,0,IF($U182&lt;1,1/$U182,IF((GM$56-Voorblad!$F$41)/$U182-SUM($EE182:GL182)=1,1,0))))</f>
        <v>0</v>
      </c>
      <c r="GN182" s="8">
        <f>IF(GN$56-Voorblad!$F$41&gt;Voorblad!$K$41,0,IF($U182=0,0,IF($U182&lt;1,1/$U182,IF((GN$56-Voorblad!$F$41)/$U182-SUM($EE182:GM182)=1,1,0))))</f>
        <v>0</v>
      </c>
      <c r="GO182" s="8">
        <f>IF(GO$56-Voorblad!$F$41&gt;Voorblad!$K$41,0,IF($U182=0,0,IF($U182&lt;1,1/$U182,IF((GO$56-Voorblad!$F$41)/$U182-SUM($EE182:GN182)=1,1,0))))</f>
        <v>0</v>
      </c>
      <c r="GP182" s="8">
        <f>IF(GP$56-Voorblad!$F$41&gt;Voorblad!$K$41,0,IF($U182=0,0,IF($U182&lt;1,1/$U182,IF((GP$56-Voorblad!$F$41)/$U182-SUM($EE182:GO182)=1,1,0))))</f>
        <v>0</v>
      </c>
      <c r="GQ182" s="8">
        <f>IF(GQ$56-Voorblad!$F$41&gt;Voorblad!$K$41,0,IF($U182=0,0,IF($U182&lt;1,1/$U182,IF((GQ$56-Voorblad!$F$41)/$U182-SUM($EE182:GP182)=1,1,0))))</f>
        <v>0</v>
      </c>
      <c r="GR182" s="8">
        <f>IF(GR$56-Voorblad!$F$41&gt;Voorblad!$K$41,0,IF($U182=0,0,IF($U182&lt;1,1/$U182,IF((GR$56-Voorblad!$F$41)/$U182-SUM($EE182:GQ182)=1,1,0))))</f>
        <v>0</v>
      </c>
      <c r="GS182" s="8">
        <f>IF(GS$56-Voorblad!$F$41&gt;Voorblad!$K$41,0,IF($U182=0,0,IF($U182&lt;1,1/$U182,IF((GS$56-Voorblad!$F$41)/$U182-SUM($EE182:GR182)=1,1,0))))</f>
        <v>0</v>
      </c>
      <c r="GT182" s="8">
        <f>IF(GT$56-Voorblad!$F$41&gt;Voorblad!$K$41,0,IF($U182=0,0,IF($U182&lt;1,1/$U182,IF((GT$56-Voorblad!$F$41)/$U182-SUM($EE182:GS182)=1,1,0))))</f>
        <v>0</v>
      </c>
      <c r="GU182" s="8">
        <f>IF(GU$56-Voorblad!$F$41&gt;Voorblad!$K$41,0,IF($U182=0,0,IF($U182&lt;1,1/$U182,IF((GU$56-Voorblad!$F$41)/$U182-SUM($EE182:GT182)=1,1,0))))</f>
        <v>0</v>
      </c>
      <c r="GV182" s="8">
        <f>IF(GV$56-Voorblad!$F$41&gt;Voorblad!$K$41,0,IF($U182=0,0,IF($U182&lt;1,1/$U182,IF((GV$56-Voorblad!$F$41)/$U182-SUM($EE182:GU182)=1,1,0))))</f>
        <v>0</v>
      </c>
      <c r="GW182" s="8">
        <f>IF(GW$56-Voorblad!$F$41&gt;Voorblad!$K$41,0,IF($U182=0,0,IF($U182&lt;1,1/$U182,IF((GW$56-Voorblad!$F$41)/$U182-SUM($EE182:GV182)=1,1,0))))</f>
        <v>0</v>
      </c>
      <c r="GX182" s="8">
        <f>IF(GX$56-Voorblad!$F$41&gt;Voorblad!$K$41,0,IF($U182=0,0,IF($U182&lt;1,1/$U182,IF((GX$56-Voorblad!$F$41)/$U182-SUM($EE182:GW182)=1,1,0))))</f>
        <v>0</v>
      </c>
      <c r="GY182" s="8">
        <f>IF(GY$56-Voorblad!$F$41&gt;Voorblad!$K$41,0,IF($U182=0,0,IF($U182&lt;1,1/$U182,IF((GY$56-Voorblad!$F$41)/$U182-SUM($EE182:GX182)=1,1,0))))</f>
        <v>0</v>
      </c>
      <c r="GZ182" s="8">
        <f>IF(GZ$56-Voorblad!$F$41&gt;Voorblad!$K$41,0,IF($U182=0,0,IF($U182&lt;1,1/$U182,IF((GZ$56-Voorblad!$F$41)/$U182-SUM($EE182:GY182)=1,1,0))))</f>
        <v>0</v>
      </c>
      <c r="HA182" s="8">
        <f>IF(HA$56-Voorblad!$F$41&gt;Voorblad!$K$41,0,IF($U182=0,0,IF($U182&lt;1,1/$U182,IF((HA$56-Voorblad!$F$41)/$U182-SUM($EE182:GZ182)=1,1,0))))</f>
        <v>0</v>
      </c>
      <c r="HB182" s="8">
        <f>IF(HB$56-Voorblad!$F$41&gt;Voorblad!$K$41,0,IF($U182=0,0,IF($U182&lt;1,1/$U182,IF((HB$56-Voorblad!$F$41)/$U182-SUM($EE182:HA182)=1,1,0))))</f>
        <v>0</v>
      </c>
      <c r="HC182" s="8">
        <f>IF(HC$56-Voorblad!$F$41&gt;Voorblad!$K$41,0,IF($U182=0,0,IF($U182&lt;1,1/$U182,IF((HC$56-Voorblad!$F$41)/$U182-SUM($EE182:HB182)=1,1,0))))</f>
        <v>0</v>
      </c>
      <c r="HD182" s="8">
        <f>IF(HD$56-Voorblad!$F$41&gt;Voorblad!$K$41,0,IF($U182=0,0,IF($U182&lt;1,1/$U182,IF((HD$56-Voorblad!$F$41)/$U182-SUM($EE182:HC182)=1,1,0))))</f>
        <v>0</v>
      </c>
      <c r="HE182" s="8">
        <f>IF(HE$56-Voorblad!$F$41&gt;Voorblad!$K$41,0,IF($U182=0,0,IF($U182&lt;1,1/$U182,IF((HE$56-Voorblad!$F$41)/$U182-SUM($EE182:HD182)=1,1,0))))</f>
        <v>0</v>
      </c>
      <c r="HF182" s="8">
        <f>IF(HF$56-Voorblad!$F$41&gt;Voorblad!$K$41,0,IF($U182=0,0,IF($U182&lt;1,1/$U182,IF((HF$56-Voorblad!$F$41)/$U182-SUM($EE182:HE182)=1,1,0))))</f>
        <v>0</v>
      </c>
      <c r="HG182" s="8">
        <f>IF(HG$56-Voorblad!$F$41&gt;Voorblad!$K$41,0,IF($U182=0,0,IF($U182&lt;1,1/$U182,IF((HG$56-Voorblad!$F$41)/$U182-SUM($EE182:HF182)=1,1,0))))</f>
        <v>0</v>
      </c>
      <c r="HH182" s="8">
        <f>IF(HH$56-Voorblad!$F$41&gt;Voorblad!$K$41,0,IF($U182=0,0,IF($U182&lt;1,1/$U182,IF((HH$56-Voorblad!$F$41)/$U182-SUM($EE182:HG182)=1,1,0))))</f>
        <v>0</v>
      </c>
      <c r="HI182" s="8">
        <f>IF(HI$56-Voorblad!$F$41&gt;Voorblad!$K$41,0,IF($U182=0,0,IF($U182&lt;1,1/$U182,IF((HI$56-Voorblad!$F$41)/$U182-SUM($EE182:HH182)=1,1,0))))</f>
        <v>0</v>
      </c>
      <c r="HJ182" s="8">
        <f>IF(HJ$56-Voorblad!$F$41&gt;Voorblad!$K$41,0,IF($U182=0,0,IF($U182&lt;1,1/$U182,IF((HJ$56-Voorblad!$F$41)/$U182-SUM($EE182:HI182)=1,1,0))))</f>
        <v>0</v>
      </c>
      <c r="HK182" s="8">
        <f>IF(HK$56-Voorblad!$F$41&gt;Voorblad!$K$41,0,IF($U182=0,0,IF($U182&lt;1,1/$U182,IF((HK$56-Voorblad!$F$41)/$U182-SUM($EE182:HJ182)=1,1,0))))</f>
        <v>0</v>
      </c>
      <c r="HL182" s="8">
        <f>IF(HL$56-Voorblad!$F$41&gt;Voorblad!$K$41,0,IF($U182=0,0,IF($U182&lt;1,1/$U182,IF((HL$56-Voorblad!$F$41)/$U182-SUM($EE182:HK182)=1,1,0))))</f>
        <v>0</v>
      </c>
      <c r="HM182" s="8">
        <f>IF(HM$56-Voorblad!$F$41&gt;Voorblad!$K$41,0,IF($U182=0,0,IF($U182&lt;1,1/$U182,IF((HM$56-Voorblad!$F$41)/$U182-SUM($EE182:HL182)=1,1,0))))</f>
        <v>0</v>
      </c>
      <c r="HN182" s="8">
        <f>IF(HN$56-Voorblad!$F$41&gt;Voorblad!$K$41,0,IF($U182=0,0,IF($U182&lt;1,1/$U182,IF((HN$56-Voorblad!$F$41)/$U182-SUM($EE182:HM182)=1,1,0))))</f>
        <v>0</v>
      </c>
      <c r="HO182" s="8">
        <f>IF(HO$56-Voorblad!$F$41&gt;Voorblad!$K$41,0,IF($U182=0,0,IF($U182&lt;1,1/$U182,IF((HO$56-Voorblad!$F$41)/$U182-SUM($EE182:HN182)=1,1,0))))</f>
        <v>0</v>
      </c>
      <c r="HP182" s="8">
        <f>IF(HP$56-Voorblad!$F$41&gt;Voorblad!$K$41,0,IF($U182=0,0,IF($U182&lt;1,1/$U182,IF((HP$56-Voorblad!$F$41)/$U182-SUM($EE182:HO182)=1,1,0))))</f>
        <v>0</v>
      </c>
      <c r="HQ182" s="8">
        <f>IF(HQ$56-Voorblad!$F$41&gt;Voorblad!$K$41,0,IF($U182=0,0,IF($U182&lt;1,1/$U182,IF((HQ$56-Voorblad!$F$41)/$U182-SUM($EE182:HP182)=1,1,0))))</f>
        <v>0</v>
      </c>
      <c r="HR182" s="8">
        <f>IF(HR$56-Voorblad!$F$41&gt;Voorblad!$K$41,0,IF($U182=0,0,IF($U182&lt;1,1/$U182,IF((HR$56-Voorblad!$F$41)/$U182-SUM($EE182:HQ182)=1,1,0))))</f>
        <v>0</v>
      </c>
      <c r="HS182" s="8">
        <f>IF(HS$56-Voorblad!$F$41&gt;Voorblad!$K$41,0,IF($U182=0,0,IF($U182&lt;1,1/$U182,IF((HS$56-Voorblad!$F$41)/$U182-SUM($EE182:HR182)=1,1,0))))</f>
        <v>0</v>
      </c>
      <c r="HT182" s="8">
        <f>IF(HT$56-Voorblad!$F$41&gt;Voorblad!$K$41,0,IF($U182=0,0,IF($U182&lt;1,1/$U182,IF((HT$56-Voorblad!$F$41)/$U182-SUM($EE182:HS182)=1,1,0))))</f>
        <v>0</v>
      </c>
      <c r="HU182" s="8">
        <f>IF(HU$56-Voorblad!$F$41&gt;Voorblad!$K$41,0,IF($U182=0,0,IF($U182&lt;1,1/$U182,IF((HU$56-Voorblad!$F$41)/$U182-SUM($EE182:HT182)=1,1,0))))</f>
        <v>0</v>
      </c>
      <c r="HV182" s="8">
        <f>IF(HV$56-Voorblad!$F$41&gt;Voorblad!$K$41,0,IF($U182=0,0,IF($U182&lt;1,1/$U182,IF((HV$56-Voorblad!$F$41)/$U182-SUM($EE182:HU182)=1,1,0))))</f>
        <v>0</v>
      </c>
      <c r="HW182" s="8">
        <f>IF(HW$56-Voorblad!$F$41&gt;Voorblad!$K$41,0,IF($U182=0,0,IF($U182&lt;1,1/$U182,IF((HW$56-Voorblad!$F$41)/$U182-SUM($EE182:HV182)=1,1,0))))</f>
        <v>0</v>
      </c>
      <c r="HX182" s="8">
        <f>IF(HX$56-Voorblad!$F$41&gt;Voorblad!$K$41,0,IF($U182=0,0,IF($U182&lt;1,1/$U182,IF((HX$56-Voorblad!$F$41)/$U182-SUM($EE182:HW182)=1,1,0))))</f>
        <v>0</v>
      </c>
      <c r="HY182" s="8">
        <f>IF(HY$56-Voorblad!$F$41&gt;Voorblad!$K$41,0,IF($U182=0,0,IF($U182&lt;1,1/$U182,IF((HY$56-Voorblad!$F$41)/$U182-SUM($EE182:HX182)=1,1,0))))</f>
        <v>0</v>
      </c>
      <c r="HZ182" s="8">
        <f>IF(HZ$56-Voorblad!$F$41&gt;Voorblad!$K$41,0,IF($U182=0,0,IF($U182&lt;1,1/$U182,IF((HZ$56-Voorblad!$F$41)/$U182-SUM($EE182:HY182)=1,1,0))))</f>
        <v>0</v>
      </c>
      <c r="IA182" s="8">
        <f>IF(IA$56-Voorblad!$F$41&gt;Voorblad!$K$41,0,IF($U182=0,0,IF($U182&lt;1,1/$U182,IF((IA$56-Voorblad!$F$41)/$U182-SUM($EE182:HZ182)=1,1,0))))</f>
        <v>0</v>
      </c>
      <c r="IB182" s="8">
        <f>IF(IB$56-Voorblad!$F$41&gt;Voorblad!$K$41,0,IF($U182=0,0,IF($U182&lt;1,1/$U182,IF((IB$56-Voorblad!$F$41)/$U182-SUM($EE182:IA182)=1,1,0))))</f>
        <v>0</v>
      </c>
    </row>
    <row r="183" spans="2:236" ht="12" hidden="1" customHeight="1" outlineLevel="1" x14ac:dyDescent="0.25">
      <c r="B183" s="1">
        <v>1</v>
      </c>
      <c r="F183" s="1" t="s">
        <v>23</v>
      </c>
      <c r="I183" s="1" t="s">
        <v>49</v>
      </c>
      <c r="K183" s="14" t="s">
        <v>192</v>
      </c>
      <c r="P183" s="14" t="s">
        <v>194</v>
      </c>
      <c r="Q183" s="81">
        <v>0</v>
      </c>
      <c r="R183" s="1" t="s">
        <v>35</v>
      </c>
      <c r="S183" s="14">
        <f>$H$10*400</f>
        <v>952</v>
      </c>
      <c r="T183" s="1">
        <f t="shared" si="194"/>
        <v>0</v>
      </c>
      <c r="U183" s="14">
        <v>50</v>
      </c>
      <c r="V183" s="14"/>
      <c r="Y183" s="9">
        <f t="shared" si="198"/>
        <v>0</v>
      </c>
      <c r="Z183" s="82"/>
      <c r="AA183" s="82"/>
      <c r="AC183" s="9">
        <f>$Y183*(Voorblad!$K$44*(1+Voorblad!$K$44)^Voorblad!$K$41)/((1+Voorblad!$K$44)^Voorblad!$K$41-1)</f>
        <v>0</v>
      </c>
      <c r="AE183" s="9">
        <f>EF183*($Q183*$S183)/(1+Voorblad!$K$44)^(AE$56-Voorblad!$F$41)</f>
        <v>0</v>
      </c>
      <c r="AF183" s="9">
        <f>EG183*($Q183*$S183)/(1+Voorblad!$K$44)^(AF$56-Voorblad!$F$41)</f>
        <v>0</v>
      </c>
      <c r="AG183" s="9">
        <f>EH183*($Q183*$S183)/(1+Voorblad!$K$44)^(AG$56-Voorblad!$F$41)</f>
        <v>0</v>
      </c>
      <c r="AH183" s="9">
        <f>EI183*($Q183*$S183)/(1+Voorblad!$K$44)^(AH$56-Voorblad!$F$41)</f>
        <v>0</v>
      </c>
      <c r="AI183" s="9">
        <f>EJ183*($Q183*$S183)/(1+Voorblad!$K$44)^(AI$56-Voorblad!$F$41)</f>
        <v>0</v>
      </c>
      <c r="AJ183" s="9">
        <f>EK183*($Q183*$S183)/(1+Voorblad!$K$44)^(AJ$56-Voorblad!$F$41)</f>
        <v>0</v>
      </c>
      <c r="AK183" s="9">
        <f>EL183*($Q183*$S183)/(1+Voorblad!$K$44)^(AK$56-Voorblad!$F$41)</f>
        <v>0</v>
      </c>
      <c r="AL183" s="9">
        <f>EM183*($Q183*$S183)/(1+Voorblad!$K$44)^(AL$56-Voorblad!$F$41)</f>
        <v>0</v>
      </c>
      <c r="AM183" s="9">
        <f>EN183*($Q183*$S183)/(1+Voorblad!$K$44)^(AM$56-Voorblad!$F$41)</f>
        <v>0</v>
      </c>
      <c r="AN183" s="9">
        <f>EO183*($Q183*$S183)/(1+Voorblad!$K$44)^(AN$56-Voorblad!$F$41)</f>
        <v>0</v>
      </c>
      <c r="AO183" s="9">
        <f>EP183*($Q183*$S183)/(1+Voorblad!$K$44)^(AO$56-Voorblad!$F$41)</f>
        <v>0</v>
      </c>
      <c r="AP183" s="9">
        <f>EQ183*($Q183*$S183)/(1+Voorblad!$K$44)^(AP$56-Voorblad!$F$41)</f>
        <v>0</v>
      </c>
      <c r="AQ183" s="9">
        <f>ER183*($Q183*$S183)/(1+Voorblad!$K$44)^(AQ$56-Voorblad!$F$41)</f>
        <v>0</v>
      </c>
      <c r="AR183" s="9">
        <f>ES183*($Q183*$S183)/(1+Voorblad!$K$44)^(AR$56-Voorblad!$F$41)</f>
        <v>0</v>
      </c>
      <c r="AS183" s="9">
        <f>ET183*($Q183*$S183)/(1+Voorblad!$K$44)^(AS$56-Voorblad!$F$41)</f>
        <v>0</v>
      </c>
      <c r="AT183" s="9">
        <f>EU183*($Q183*$S183)/(1+Voorblad!$K$44)^(AT$56-Voorblad!$F$41)</f>
        <v>0</v>
      </c>
      <c r="AU183" s="9">
        <f>EV183*($Q183*$S183)/(1+Voorblad!$K$44)^(AU$56-Voorblad!$F$41)</f>
        <v>0</v>
      </c>
      <c r="AV183" s="9">
        <f>EW183*($Q183*$S183)/(1+Voorblad!$K$44)^(AV$56-Voorblad!$F$41)</f>
        <v>0</v>
      </c>
      <c r="AW183" s="9">
        <f>EX183*($Q183*$S183)/(1+Voorblad!$K$44)^(AW$56-Voorblad!$F$41)</f>
        <v>0</v>
      </c>
      <c r="AX183" s="9">
        <f>EY183*($Q183*$S183)/(1+Voorblad!$K$44)^(AX$56-Voorblad!$F$41)</f>
        <v>0</v>
      </c>
      <c r="AY183" s="9">
        <f>EZ183*($Q183*$S183)/(1+Voorblad!$K$44)^(AY$56-Voorblad!$F$41)</f>
        <v>0</v>
      </c>
      <c r="AZ183" s="9">
        <f>FA183*($Q183*$S183)/(1+Voorblad!$K$44)^(AZ$56-Voorblad!$F$41)</f>
        <v>0</v>
      </c>
      <c r="BA183" s="9">
        <f>FB183*($Q183*$S183)/(1+Voorblad!$K$44)^(BA$56-Voorblad!$F$41)</f>
        <v>0</v>
      </c>
      <c r="BB183" s="9">
        <f>FC183*($Q183*$S183)/(1+Voorblad!$K$44)^(BB$56-Voorblad!$F$41)</f>
        <v>0</v>
      </c>
      <c r="BC183" s="9">
        <f>FD183*($Q183*$S183)/(1+Voorblad!$K$44)^(BC$56-Voorblad!$F$41)</f>
        <v>0</v>
      </c>
      <c r="BD183" s="9">
        <f>FE183*($Q183*$S183)/(1+Voorblad!$K$44)^(BD$56-Voorblad!$F$41)</f>
        <v>0</v>
      </c>
      <c r="BE183" s="9">
        <f>FF183*($Q183*$S183)/(1+Voorblad!$K$44)^(BE$56-Voorblad!$F$41)</f>
        <v>0</v>
      </c>
      <c r="BF183" s="9">
        <f>FG183*($Q183*$S183)/(1+Voorblad!$K$44)^(BF$56-Voorblad!$F$41)</f>
        <v>0</v>
      </c>
      <c r="BG183" s="9">
        <f>FH183*($Q183*$S183)/(1+Voorblad!$K$44)^(BG$56-Voorblad!$F$41)</f>
        <v>0</v>
      </c>
      <c r="BH183" s="9">
        <f>FI183*($Q183*$S183)/(1+Voorblad!$K$44)^(BH$56-Voorblad!$F$41)</f>
        <v>0</v>
      </c>
      <c r="BI183" s="9">
        <f>FJ183*($Q183*$S183)/(1+Voorblad!$K$44)^(BI$56-Voorblad!$F$41)</f>
        <v>0</v>
      </c>
      <c r="BJ183" s="9">
        <f>FK183*($Q183*$S183)/(1+Voorblad!$K$44)^(BJ$56-Voorblad!$F$41)</f>
        <v>0</v>
      </c>
      <c r="BK183" s="9">
        <f>FL183*($Q183*$S183)/(1+Voorblad!$K$44)^(BK$56-Voorblad!$F$41)</f>
        <v>0</v>
      </c>
      <c r="BL183" s="9">
        <f>FM183*($Q183*$S183)/(1+Voorblad!$K$44)^(BL$56-Voorblad!$F$41)</f>
        <v>0</v>
      </c>
      <c r="BM183" s="9">
        <f>FN183*($Q183*$S183)/(1+Voorblad!$K$44)^(BM$56-Voorblad!$F$41)</f>
        <v>0</v>
      </c>
      <c r="BN183" s="9">
        <f>FO183*($Q183*$S183)/(1+Voorblad!$K$44)^(BN$56-Voorblad!$F$41)</f>
        <v>0</v>
      </c>
      <c r="BO183" s="9">
        <f>FP183*($Q183*$S183)/(1+Voorblad!$K$44)^(BO$56-Voorblad!$F$41)</f>
        <v>0</v>
      </c>
      <c r="BP183" s="9">
        <f>FQ183*($Q183*$S183)/(1+Voorblad!$K$44)^(BP$56-Voorblad!$F$41)</f>
        <v>0</v>
      </c>
      <c r="BQ183" s="9">
        <f>FR183*($Q183*$S183)/(1+Voorblad!$K$44)^(BQ$56-Voorblad!$F$41)</f>
        <v>0</v>
      </c>
      <c r="BR183" s="9">
        <f>FS183*($Q183*$S183)/(1+Voorblad!$K$44)^(BR$56-Voorblad!$F$41)</f>
        <v>0</v>
      </c>
      <c r="BS183" s="9">
        <f>FT183*($Q183*$S183)/(1+Voorblad!$K$44)^(BS$56-Voorblad!$F$41)</f>
        <v>0</v>
      </c>
      <c r="BT183" s="9">
        <f>FU183*($Q183*$S183)/(1+Voorblad!$K$44)^(BT$56-Voorblad!$F$41)</f>
        <v>0</v>
      </c>
      <c r="BU183" s="9">
        <f>FV183*($Q183*$S183)/(1+Voorblad!$K$44)^(BU$56-Voorblad!$F$41)</f>
        <v>0</v>
      </c>
      <c r="BV183" s="9">
        <f>FW183*($Q183*$S183)/(1+Voorblad!$K$44)^(BV$56-Voorblad!$F$41)</f>
        <v>0</v>
      </c>
      <c r="BW183" s="9">
        <f>FX183*($Q183*$S183)/(1+Voorblad!$K$44)^(BW$56-Voorblad!$F$41)</f>
        <v>0</v>
      </c>
      <c r="BX183" s="9">
        <f>FY183*($Q183*$S183)/(1+Voorblad!$K$44)^(BX$56-Voorblad!$F$41)</f>
        <v>0</v>
      </c>
      <c r="BY183" s="9">
        <f>FZ183*($Q183*$S183)/(1+Voorblad!$K$44)^(BY$56-Voorblad!$F$41)</f>
        <v>0</v>
      </c>
      <c r="BZ183" s="9">
        <f>GA183*($Q183*$S183)/(1+Voorblad!$K$44)^(BZ$56-Voorblad!$F$41)</f>
        <v>0</v>
      </c>
      <c r="CA183" s="9">
        <f>GB183*($Q183*$S183)/(1+Voorblad!$K$44)^(CA$56-Voorblad!$F$41)</f>
        <v>0</v>
      </c>
      <c r="CB183" s="9">
        <f>GC183*($Q183*$S183)/(1+Voorblad!$K$44)^(CB$56-Voorblad!$F$41)</f>
        <v>0</v>
      </c>
      <c r="CC183" s="9">
        <f>GD183*($Q183*$S183)/(1+Voorblad!$K$44)^(CC$56-Voorblad!$F$41)</f>
        <v>0</v>
      </c>
      <c r="CD183" s="9">
        <f>GE183*($Q183*$S183)/(1+Voorblad!$K$44)^(CD$56-Voorblad!$F$41)</f>
        <v>0</v>
      </c>
      <c r="CE183" s="9">
        <f>GF183*($Q183*$S183)/(1+Voorblad!$K$44)^(CE$56-Voorblad!$F$41)</f>
        <v>0</v>
      </c>
      <c r="CF183" s="9">
        <f>GG183*($Q183*$S183)/(1+Voorblad!$K$44)^(CF$56-Voorblad!$F$41)</f>
        <v>0</v>
      </c>
      <c r="CG183" s="9">
        <f>GH183*($Q183*$S183)/(1+Voorblad!$K$44)^(CG$56-Voorblad!$F$41)</f>
        <v>0</v>
      </c>
      <c r="CH183" s="9">
        <f>GI183*($Q183*$S183)/(1+Voorblad!$K$44)^(CH$56-Voorblad!$F$41)</f>
        <v>0</v>
      </c>
      <c r="CI183" s="9">
        <f>GJ183*($Q183*$S183)/(1+Voorblad!$K$44)^(CI$56-Voorblad!$F$41)</f>
        <v>0</v>
      </c>
      <c r="CJ183" s="9">
        <f>GK183*($Q183*$S183)/(1+Voorblad!$K$44)^(CJ$56-Voorblad!$F$41)</f>
        <v>0</v>
      </c>
      <c r="CK183" s="9">
        <f>GL183*($Q183*$S183)/(1+Voorblad!$K$44)^(CK$56-Voorblad!$F$41)</f>
        <v>0</v>
      </c>
      <c r="CL183" s="9">
        <f>GM183*($Q183*$S183)/(1+Voorblad!$K$44)^(CL$56-Voorblad!$F$41)</f>
        <v>0</v>
      </c>
      <c r="CM183" s="9">
        <f>GN183*($Q183*$S183)/(1+Voorblad!$K$44)^(CM$56-Voorblad!$F$41)</f>
        <v>0</v>
      </c>
      <c r="CN183" s="9">
        <f>GO183*($Q183*$S183)/(1+Voorblad!$K$44)^(CN$56-Voorblad!$F$41)</f>
        <v>0</v>
      </c>
      <c r="CO183" s="9">
        <f>GP183*($Q183*$S183)/(1+Voorblad!$K$44)^(CO$56-Voorblad!$F$41)</f>
        <v>0</v>
      </c>
      <c r="CP183" s="9">
        <f>GQ183*($Q183*$S183)/(1+Voorblad!$K$44)^(CP$56-Voorblad!$F$41)</f>
        <v>0</v>
      </c>
      <c r="CQ183" s="9">
        <f>GR183*($Q183*$S183)/(1+Voorblad!$K$44)^(CQ$56-Voorblad!$F$41)</f>
        <v>0</v>
      </c>
      <c r="CR183" s="9">
        <f>GS183*($Q183*$S183)/(1+Voorblad!$K$44)^(CR$56-Voorblad!$F$41)</f>
        <v>0</v>
      </c>
      <c r="CS183" s="9">
        <f>GT183*($Q183*$S183)/(1+Voorblad!$K$44)^(CS$56-Voorblad!$F$41)</f>
        <v>0</v>
      </c>
      <c r="CT183" s="9">
        <f>GU183*($Q183*$S183)/(1+Voorblad!$K$44)^(CT$56-Voorblad!$F$41)</f>
        <v>0</v>
      </c>
      <c r="CU183" s="9">
        <f>GV183*($Q183*$S183)/(1+Voorblad!$K$44)^(CU$56-Voorblad!$F$41)</f>
        <v>0</v>
      </c>
      <c r="CV183" s="9">
        <f>GW183*($Q183*$S183)/(1+Voorblad!$K$44)^(CV$56-Voorblad!$F$41)</f>
        <v>0</v>
      </c>
      <c r="CW183" s="9">
        <f>GX183*($Q183*$S183)/(1+Voorblad!$K$44)^(CW$56-Voorblad!$F$41)</f>
        <v>0</v>
      </c>
      <c r="CX183" s="9">
        <f>GY183*($Q183*$S183)/(1+Voorblad!$K$44)^(CX$56-Voorblad!$F$41)</f>
        <v>0</v>
      </c>
      <c r="CY183" s="9">
        <f>GZ183*($Q183*$S183)/(1+Voorblad!$K$44)^(CY$56-Voorblad!$F$41)</f>
        <v>0</v>
      </c>
      <c r="CZ183" s="9">
        <f>HA183*($Q183*$S183)/(1+Voorblad!$K$44)^(CZ$56-Voorblad!$F$41)</f>
        <v>0</v>
      </c>
      <c r="DA183" s="9">
        <f>HB183*($Q183*$S183)/(1+Voorblad!$K$44)^(DA$56-Voorblad!$F$41)</f>
        <v>0</v>
      </c>
      <c r="DB183" s="9">
        <f>HC183*($Q183*$S183)/(1+Voorblad!$K$44)^(DB$56-Voorblad!$F$41)</f>
        <v>0</v>
      </c>
      <c r="DC183" s="9">
        <f>HD183*($Q183*$S183)/(1+Voorblad!$K$44)^(DC$56-Voorblad!$F$41)</f>
        <v>0</v>
      </c>
      <c r="DD183" s="9">
        <f>HE183*($Q183*$S183)/(1+Voorblad!$K$44)^(DD$56-Voorblad!$F$41)</f>
        <v>0</v>
      </c>
      <c r="DE183" s="9">
        <f>HF183*($Q183*$S183)/(1+Voorblad!$K$44)^(DE$56-Voorblad!$F$41)</f>
        <v>0</v>
      </c>
      <c r="DF183" s="9">
        <f>HG183*($Q183*$S183)/(1+Voorblad!$K$44)^(DF$56-Voorblad!$F$41)</f>
        <v>0</v>
      </c>
      <c r="DG183" s="9">
        <f>HH183*($Q183*$S183)/(1+Voorblad!$K$44)^(DG$56-Voorblad!$F$41)</f>
        <v>0</v>
      </c>
      <c r="DH183" s="9">
        <f>HI183*($Q183*$S183)/(1+Voorblad!$K$44)^(DH$56-Voorblad!$F$41)</f>
        <v>0</v>
      </c>
      <c r="DI183" s="9">
        <f>HJ183*($Q183*$S183)/(1+Voorblad!$K$44)^(DI$56-Voorblad!$F$41)</f>
        <v>0</v>
      </c>
      <c r="DJ183" s="9">
        <f>HK183*($Q183*$S183)/(1+Voorblad!$K$44)^(DJ$56-Voorblad!$F$41)</f>
        <v>0</v>
      </c>
      <c r="DK183" s="9">
        <f>HL183*($Q183*$S183)/(1+Voorblad!$K$44)^(DK$56-Voorblad!$F$41)</f>
        <v>0</v>
      </c>
      <c r="DL183" s="9">
        <f>HM183*($Q183*$S183)/(1+Voorblad!$K$44)^(DL$56-Voorblad!$F$41)</f>
        <v>0</v>
      </c>
      <c r="DM183" s="9">
        <f>HN183*($Q183*$S183)/(1+Voorblad!$K$44)^(DM$56-Voorblad!$F$41)</f>
        <v>0</v>
      </c>
      <c r="DN183" s="9">
        <f>HO183*($Q183*$S183)/(1+Voorblad!$K$44)^(DN$56-Voorblad!$F$41)</f>
        <v>0</v>
      </c>
      <c r="DO183" s="9">
        <f>HP183*($Q183*$S183)/(1+Voorblad!$K$44)^(DO$56-Voorblad!$F$41)</f>
        <v>0</v>
      </c>
      <c r="DP183" s="9">
        <f>HQ183*($Q183*$S183)/(1+Voorblad!$K$44)^(DP$56-Voorblad!$F$41)</f>
        <v>0</v>
      </c>
      <c r="DQ183" s="9">
        <f>HR183*($Q183*$S183)/(1+Voorblad!$K$44)^(DQ$56-Voorblad!$F$41)</f>
        <v>0</v>
      </c>
      <c r="DR183" s="9">
        <f>HS183*($Q183*$S183)/(1+Voorblad!$K$44)^(DR$56-Voorblad!$F$41)</f>
        <v>0</v>
      </c>
      <c r="DS183" s="9">
        <f>HT183*($Q183*$S183)/(1+Voorblad!$K$44)^(DS$56-Voorblad!$F$41)</f>
        <v>0</v>
      </c>
      <c r="DT183" s="9">
        <f>HU183*($Q183*$S183)/(1+Voorblad!$K$44)^(DT$56-Voorblad!$F$41)</f>
        <v>0</v>
      </c>
      <c r="DU183" s="9">
        <f>HV183*($Q183*$S183)/(1+Voorblad!$K$44)^(DU$56-Voorblad!$F$41)</f>
        <v>0</v>
      </c>
      <c r="DV183" s="9">
        <f>HW183*($Q183*$S183)/(1+Voorblad!$K$44)^(DV$56-Voorblad!$F$41)</f>
        <v>0</v>
      </c>
      <c r="DW183" s="9">
        <f>HX183*($Q183*$S183)/(1+Voorblad!$K$44)^(DW$56-Voorblad!$F$41)</f>
        <v>0</v>
      </c>
      <c r="DX183" s="9">
        <f>HY183*($Q183*$S183)/(1+Voorblad!$K$44)^(DX$56-Voorblad!$F$41)</f>
        <v>0</v>
      </c>
      <c r="DY183" s="9">
        <f>HZ183*($Q183*$S183)/(1+Voorblad!$K$44)^(DY$56-Voorblad!$F$41)</f>
        <v>0</v>
      </c>
      <c r="DZ183" s="9">
        <f>IA183*($Q183*$S183)/(1+Voorblad!$K$44)^(DZ$56-Voorblad!$F$41)</f>
        <v>0</v>
      </c>
      <c r="EA183" s="9">
        <f>IB183*($Q183*$S183)/(1+Voorblad!$K$44)^(EA$56-Voorblad!$F$41)</f>
        <v>0</v>
      </c>
      <c r="EB183" s="9">
        <f>IC183*($Q183*$S183)/(1+Voorblad!$K$44)^(EB$56-Voorblad!$F$41)</f>
        <v>0</v>
      </c>
      <c r="EE183" s="8">
        <v>0</v>
      </c>
      <c r="EF183" s="8">
        <f>IF(EF$56-Voorblad!$F$41&gt;Voorblad!$K$41,0,IF($U183=0,0,IF($U183&lt;1,1/$U183,IF((EF$56-Voorblad!$F$41)/$U183-SUM($EE183:EE183)=1,1,0))))</f>
        <v>0</v>
      </c>
      <c r="EG183" s="8">
        <f>IF(EG$56-Voorblad!$F$41&gt;Voorblad!$K$41,0,IF($U183=0,0,IF($U183&lt;1,1/$U183,IF((EG$56-Voorblad!$F$41)/$U183-SUM($EE183:EF183)=1,1,0))))</f>
        <v>0</v>
      </c>
      <c r="EH183" s="8">
        <f>IF(EH$56-Voorblad!$F$41&gt;Voorblad!$K$41,0,IF($U183=0,0,IF($U183&lt;1,1/$U183,IF((EH$56-Voorblad!$F$41)/$U183-SUM($EE183:EG183)=1,1,0))))</f>
        <v>0</v>
      </c>
      <c r="EI183" s="8">
        <f>IF(EI$56-Voorblad!$F$41&gt;Voorblad!$K$41,0,IF($U183=0,0,IF($U183&lt;1,1/$U183,IF((EI$56-Voorblad!$F$41)/$U183-SUM($EE183:EH183)=1,1,0))))</f>
        <v>0</v>
      </c>
      <c r="EJ183" s="8">
        <f>IF(EJ$56-Voorblad!$F$41&gt;Voorblad!$K$41,0,IF($U183=0,0,IF($U183&lt;1,1/$U183,IF((EJ$56-Voorblad!$F$41)/$U183-SUM($EE183:EI183)=1,1,0))))</f>
        <v>0</v>
      </c>
      <c r="EK183" s="8">
        <f>IF(EK$56-Voorblad!$F$41&gt;Voorblad!$K$41,0,IF($U183=0,0,IF($U183&lt;1,1/$U183,IF((EK$56-Voorblad!$F$41)/$U183-SUM($EE183:EJ183)=1,1,0))))</f>
        <v>0</v>
      </c>
      <c r="EL183" s="8">
        <f>IF(EL$56-Voorblad!$F$41&gt;Voorblad!$K$41,0,IF($U183=0,0,IF($U183&lt;1,1/$U183,IF((EL$56-Voorblad!$F$41)/$U183-SUM($EE183:EK183)=1,1,0))))</f>
        <v>0</v>
      </c>
      <c r="EM183" s="8">
        <f>IF(EM$56-Voorblad!$F$41&gt;Voorblad!$K$41,0,IF($U183=0,0,IF($U183&lt;1,1/$U183,IF((EM$56-Voorblad!$F$41)/$U183-SUM($EE183:EL183)=1,1,0))))</f>
        <v>0</v>
      </c>
      <c r="EN183" s="8">
        <f>IF(EN$56-Voorblad!$F$41&gt;Voorblad!$K$41,0,IF($U183=0,0,IF($U183&lt;1,1/$U183,IF((EN$56-Voorblad!$F$41)/$U183-SUM($EE183:EM183)=1,1,0))))</f>
        <v>0</v>
      </c>
      <c r="EO183" s="8">
        <f>IF(EO$56-Voorblad!$F$41&gt;Voorblad!$K$41,0,IF($U183=0,0,IF($U183&lt;1,1/$U183,IF((EO$56-Voorblad!$F$41)/$U183-SUM($EE183:EN183)=1,1,0))))</f>
        <v>0</v>
      </c>
      <c r="EP183" s="8">
        <f>IF(EP$56-Voorblad!$F$41&gt;Voorblad!$K$41,0,IF($U183=0,0,IF($U183&lt;1,1/$U183,IF((EP$56-Voorblad!$F$41)/$U183-SUM($EE183:EO183)=1,1,0))))</f>
        <v>0</v>
      </c>
      <c r="EQ183" s="8">
        <f>IF(EQ$56-Voorblad!$F$41&gt;Voorblad!$K$41,0,IF($U183=0,0,IF($U183&lt;1,1/$U183,IF((EQ$56-Voorblad!$F$41)/$U183-SUM($EE183:EP183)=1,1,0))))</f>
        <v>0</v>
      </c>
      <c r="ER183" s="8">
        <f>IF(ER$56-Voorblad!$F$41&gt;Voorblad!$K$41,0,IF($U183=0,0,IF($U183&lt;1,1/$U183,IF((ER$56-Voorblad!$F$41)/$U183-SUM($EE183:EQ183)=1,1,0))))</f>
        <v>0</v>
      </c>
      <c r="ES183" s="8">
        <f>IF(ES$56-Voorblad!$F$41&gt;Voorblad!$K$41,0,IF($U183=0,0,IF($U183&lt;1,1/$U183,IF((ES$56-Voorblad!$F$41)/$U183-SUM($EE183:ER183)=1,1,0))))</f>
        <v>0</v>
      </c>
      <c r="ET183" s="8">
        <f>IF(ET$56-Voorblad!$F$41&gt;Voorblad!$K$41,0,IF($U183=0,0,IF($U183&lt;1,1/$U183,IF((ET$56-Voorblad!$F$41)/$U183-SUM($EE183:ES183)=1,1,0))))</f>
        <v>0</v>
      </c>
      <c r="EU183" s="8">
        <f>IF(EU$56-Voorblad!$F$41&gt;Voorblad!$K$41,0,IF($U183=0,0,IF($U183&lt;1,1/$U183,IF((EU$56-Voorblad!$F$41)/$U183-SUM($EE183:ET183)=1,1,0))))</f>
        <v>0</v>
      </c>
      <c r="EV183" s="8">
        <f>IF(EV$56-Voorblad!$F$41&gt;Voorblad!$K$41,0,IF($U183=0,0,IF($U183&lt;1,1/$U183,IF((EV$56-Voorblad!$F$41)/$U183-SUM($EE183:EU183)=1,1,0))))</f>
        <v>0</v>
      </c>
      <c r="EW183" s="8">
        <f>IF(EW$56-Voorblad!$F$41&gt;Voorblad!$K$41,0,IF($U183=0,0,IF($U183&lt;1,1/$U183,IF((EW$56-Voorblad!$F$41)/$U183-SUM($EE183:EV183)=1,1,0))))</f>
        <v>0</v>
      </c>
      <c r="EX183" s="8">
        <f>IF(EX$56-Voorblad!$F$41&gt;Voorblad!$K$41,0,IF($U183=0,0,IF($U183&lt;1,1/$U183,IF((EX$56-Voorblad!$F$41)/$U183-SUM($EE183:EW183)=1,1,0))))</f>
        <v>0</v>
      </c>
      <c r="EY183" s="8">
        <f>IF(EY$56-Voorblad!$F$41&gt;Voorblad!$K$41,0,IF($U183=0,0,IF($U183&lt;1,1/$U183,IF((EY$56-Voorblad!$F$41)/$U183-SUM($EE183:EX183)=1,1,0))))</f>
        <v>0</v>
      </c>
      <c r="EZ183" s="8">
        <f>IF(EZ$56-Voorblad!$F$41&gt;Voorblad!$K$41,0,IF($U183=0,0,IF($U183&lt;1,1/$U183,IF((EZ$56-Voorblad!$F$41)/$U183-SUM($EE183:EY183)=1,1,0))))</f>
        <v>0</v>
      </c>
      <c r="FA183" s="8">
        <f>IF(FA$56-Voorblad!$F$41&gt;Voorblad!$K$41,0,IF($U183=0,0,IF($U183&lt;1,1/$U183,IF((FA$56-Voorblad!$F$41)/$U183-SUM($EE183:EZ183)=1,1,0))))</f>
        <v>0</v>
      </c>
      <c r="FB183" s="8">
        <f>IF(FB$56-Voorblad!$F$41&gt;Voorblad!$K$41,0,IF($U183=0,0,IF($U183&lt;1,1/$U183,IF((FB$56-Voorblad!$F$41)/$U183-SUM($EE183:FA183)=1,1,0))))</f>
        <v>0</v>
      </c>
      <c r="FC183" s="8">
        <f>IF(FC$56-Voorblad!$F$41&gt;Voorblad!$K$41,0,IF($U183=0,0,IF($U183&lt;1,1/$U183,IF((FC$56-Voorblad!$F$41)/$U183-SUM($EE183:FB183)=1,1,0))))</f>
        <v>0</v>
      </c>
      <c r="FD183" s="8">
        <f>IF(FD$56-Voorblad!$F$41&gt;Voorblad!$K$41,0,IF($U183=0,0,IF($U183&lt;1,1/$U183,IF((FD$56-Voorblad!$F$41)/$U183-SUM($EE183:FC183)=1,1,0))))</f>
        <v>0</v>
      </c>
      <c r="FE183" s="8">
        <f>IF(FE$56-Voorblad!$F$41&gt;Voorblad!$K$41,0,IF($U183=0,0,IF($U183&lt;1,1/$U183,IF((FE$56-Voorblad!$F$41)/$U183-SUM($EE183:FD183)=1,1,0))))</f>
        <v>0</v>
      </c>
      <c r="FF183" s="8">
        <f>IF(FF$56-Voorblad!$F$41&gt;Voorblad!$K$41,0,IF($U183=0,0,IF($U183&lt;1,1/$U183,IF((FF$56-Voorblad!$F$41)/$U183-SUM($EE183:FE183)=1,1,0))))</f>
        <v>0</v>
      </c>
      <c r="FG183" s="8">
        <f>IF(FG$56-Voorblad!$F$41&gt;Voorblad!$K$41,0,IF($U183=0,0,IF($U183&lt;1,1/$U183,IF((FG$56-Voorblad!$F$41)/$U183-SUM($EE183:FF183)=1,1,0))))</f>
        <v>0</v>
      </c>
      <c r="FH183" s="8">
        <f>IF(FH$56-Voorblad!$F$41&gt;Voorblad!$K$41,0,IF($U183=0,0,IF($U183&lt;1,1/$U183,IF((FH$56-Voorblad!$F$41)/$U183-SUM($EE183:FG183)=1,1,0))))</f>
        <v>0</v>
      </c>
      <c r="FI183" s="8">
        <f>IF(FI$56-Voorblad!$F$41&gt;Voorblad!$K$41,0,IF($U183=0,0,IF($U183&lt;1,1/$U183,IF((FI$56-Voorblad!$F$41)/$U183-SUM($EE183:FH183)=1,1,0))))</f>
        <v>0</v>
      </c>
      <c r="FJ183" s="8">
        <f>IF(FJ$56-Voorblad!$F$41&gt;Voorblad!$K$41,0,IF($U183=0,0,IF($U183&lt;1,1/$U183,IF((FJ$56-Voorblad!$F$41)/$U183-SUM($EE183:FI183)=1,1,0))))</f>
        <v>0</v>
      </c>
      <c r="FK183" s="8">
        <f>IF(FK$56-Voorblad!$F$41&gt;Voorblad!$K$41,0,IF($U183=0,0,IF($U183&lt;1,1/$U183,IF((FK$56-Voorblad!$F$41)/$U183-SUM($EE183:FJ183)=1,1,0))))</f>
        <v>0</v>
      </c>
      <c r="FL183" s="8">
        <f>IF(FL$56-Voorblad!$F$41&gt;Voorblad!$K$41,0,IF($U183=0,0,IF($U183&lt;1,1/$U183,IF((FL$56-Voorblad!$F$41)/$U183-SUM($EE183:FK183)=1,1,0))))</f>
        <v>0</v>
      </c>
      <c r="FM183" s="8">
        <f>IF(FM$56-Voorblad!$F$41&gt;Voorblad!$K$41,0,IF($U183=0,0,IF($U183&lt;1,1/$U183,IF((FM$56-Voorblad!$F$41)/$U183-SUM($EE183:FL183)=1,1,0))))</f>
        <v>0</v>
      </c>
      <c r="FN183" s="8">
        <f>IF(FN$56-Voorblad!$F$41&gt;Voorblad!$K$41,0,IF($U183=0,0,IF($U183&lt;1,1/$U183,IF((FN$56-Voorblad!$F$41)/$U183-SUM($EE183:FM183)=1,1,0))))</f>
        <v>0</v>
      </c>
      <c r="FO183" s="8">
        <f>IF(FO$56-Voorblad!$F$41&gt;Voorblad!$K$41,0,IF($U183=0,0,IF($U183&lt;1,1/$U183,IF((FO$56-Voorblad!$F$41)/$U183-SUM($EE183:FN183)=1,1,0))))</f>
        <v>0</v>
      </c>
      <c r="FP183" s="8">
        <f>IF(FP$56-Voorblad!$F$41&gt;Voorblad!$K$41,0,IF($U183=0,0,IF($U183&lt;1,1/$U183,IF((FP$56-Voorblad!$F$41)/$U183-SUM($EE183:FO183)=1,1,0))))</f>
        <v>0</v>
      </c>
      <c r="FQ183" s="8">
        <f>IF(FQ$56-Voorblad!$F$41&gt;Voorblad!$K$41,0,IF($U183=0,0,IF($U183&lt;1,1/$U183,IF((FQ$56-Voorblad!$F$41)/$U183-SUM($EE183:FP183)=1,1,0))))</f>
        <v>0</v>
      </c>
      <c r="FR183" s="8">
        <f>IF(FR$56-Voorblad!$F$41&gt;Voorblad!$K$41,0,IF($U183=0,0,IF($U183&lt;1,1/$U183,IF((FR$56-Voorblad!$F$41)/$U183-SUM($EE183:FQ183)=1,1,0))))</f>
        <v>0</v>
      </c>
      <c r="FS183" s="8">
        <f>IF(FS$56-Voorblad!$F$41&gt;Voorblad!$K$41,0,IF($U183=0,0,IF($U183&lt;1,1/$U183,IF((FS$56-Voorblad!$F$41)/$U183-SUM($EE183:FR183)=1,1,0))))</f>
        <v>0</v>
      </c>
      <c r="FT183" s="8">
        <f>IF(FT$56-Voorblad!$F$41&gt;Voorblad!$K$41,0,IF($U183=0,0,IF($U183&lt;1,1/$U183,IF((FT$56-Voorblad!$F$41)/$U183-SUM($EE183:FS183)=1,1,0))))</f>
        <v>0</v>
      </c>
      <c r="FU183" s="8">
        <f>IF(FU$56-Voorblad!$F$41&gt;Voorblad!$K$41,0,IF($U183=0,0,IF($U183&lt;1,1/$U183,IF((FU$56-Voorblad!$F$41)/$U183-SUM($EE183:FT183)=1,1,0))))</f>
        <v>0</v>
      </c>
      <c r="FV183" s="8">
        <f>IF(FV$56-Voorblad!$F$41&gt;Voorblad!$K$41,0,IF($U183=0,0,IF($U183&lt;1,1/$U183,IF((FV$56-Voorblad!$F$41)/$U183-SUM($EE183:FU183)=1,1,0))))</f>
        <v>0</v>
      </c>
      <c r="FW183" s="8">
        <f>IF(FW$56-Voorblad!$F$41&gt;Voorblad!$K$41,0,IF($U183=0,0,IF($U183&lt;1,1/$U183,IF((FW$56-Voorblad!$F$41)/$U183-SUM($EE183:FV183)=1,1,0))))</f>
        <v>0</v>
      </c>
      <c r="FX183" s="8">
        <f>IF(FX$56-Voorblad!$F$41&gt;Voorblad!$K$41,0,IF($U183=0,0,IF($U183&lt;1,1/$U183,IF((FX$56-Voorblad!$F$41)/$U183-SUM($EE183:FW183)=1,1,0))))</f>
        <v>0</v>
      </c>
      <c r="FY183" s="8">
        <f>IF(FY$56-Voorblad!$F$41&gt;Voorblad!$K$41,0,IF($U183=0,0,IF($U183&lt;1,1/$U183,IF((FY$56-Voorblad!$F$41)/$U183-SUM($EE183:FX183)=1,1,0))))</f>
        <v>0</v>
      </c>
      <c r="FZ183" s="8">
        <f>IF(FZ$56-Voorblad!$F$41&gt;Voorblad!$K$41,0,IF($U183=0,0,IF($U183&lt;1,1/$U183,IF((FZ$56-Voorblad!$F$41)/$U183-SUM($EE183:FY183)=1,1,0))))</f>
        <v>0</v>
      </c>
      <c r="GA183" s="8">
        <f>IF(GA$56-Voorblad!$F$41&gt;Voorblad!$K$41,0,IF($U183=0,0,IF($U183&lt;1,1/$U183,IF((GA$56-Voorblad!$F$41)/$U183-SUM($EE183:FZ183)=1,1,0))))</f>
        <v>0</v>
      </c>
      <c r="GB183" s="8">
        <f>IF(GB$56-Voorblad!$F$41&gt;Voorblad!$K$41,0,IF($U183=0,0,IF($U183&lt;1,1/$U183,IF((GB$56-Voorblad!$F$41)/$U183-SUM($EE183:GA183)=1,1,0))))</f>
        <v>0</v>
      </c>
      <c r="GC183" s="8">
        <f>IF(GC$56-Voorblad!$F$41&gt;Voorblad!$K$41,0,IF($U183=0,0,IF($U183&lt;1,1/$U183,IF((GC$56-Voorblad!$F$41)/$U183-SUM($EE183:GB183)=1,1,0))))</f>
        <v>0</v>
      </c>
      <c r="GD183" s="8">
        <f>IF(GD$56-Voorblad!$F$41&gt;Voorblad!$K$41,0,IF($U183=0,0,IF($U183&lt;1,1/$U183,IF((GD$56-Voorblad!$F$41)/$U183-SUM($EE183:GC183)=1,1,0))))</f>
        <v>1</v>
      </c>
      <c r="GE183" s="8">
        <f>IF(GE$56-Voorblad!$F$41&gt;Voorblad!$K$41,0,IF($U183=0,0,IF($U183&lt;1,1/$U183,IF((GE$56-Voorblad!$F$41)/$U183-SUM($EE183:GD183)=1,1,0))))</f>
        <v>0</v>
      </c>
      <c r="GF183" s="8">
        <f>IF(GF$56-Voorblad!$F$41&gt;Voorblad!$K$41,0,IF($U183=0,0,IF($U183&lt;1,1/$U183,IF((GF$56-Voorblad!$F$41)/$U183-SUM($EE183:GE183)=1,1,0))))</f>
        <v>0</v>
      </c>
      <c r="GG183" s="8">
        <f>IF(GG$56-Voorblad!$F$41&gt;Voorblad!$K$41,0,IF($U183=0,0,IF($U183&lt;1,1/$U183,IF((GG$56-Voorblad!$F$41)/$U183-SUM($EE183:GF183)=1,1,0))))</f>
        <v>0</v>
      </c>
      <c r="GH183" s="8">
        <f>IF(GH$56-Voorblad!$F$41&gt;Voorblad!$K$41,0,IF($U183=0,0,IF($U183&lt;1,1/$U183,IF((GH$56-Voorblad!$F$41)/$U183-SUM($EE183:GG183)=1,1,0))))</f>
        <v>0</v>
      </c>
      <c r="GI183" s="8">
        <f>IF(GI$56-Voorblad!$F$41&gt;Voorblad!$K$41,0,IF($U183=0,0,IF($U183&lt;1,1/$U183,IF((GI$56-Voorblad!$F$41)/$U183-SUM($EE183:GH183)=1,1,0))))</f>
        <v>0</v>
      </c>
      <c r="GJ183" s="8">
        <f>IF(GJ$56-Voorblad!$F$41&gt;Voorblad!$K$41,0,IF($U183=0,0,IF($U183&lt;1,1/$U183,IF((GJ$56-Voorblad!$F$41)/$U183-SUM($EE183:GI183)=1,1,0))))</f>
        <v>0</v>
      </c>
      <c r="GK183" s="8">
        <f>IF(GK$56-Voorblad!$F$41&gt;Voorblad!$K$41,0,IF($U183=0,0,IF($U183&lt;1,1/$U183,IF((GK$56-Voorblad!$F$41)/$U183-SUM($EE183:GJ183)=1,1,0))))</f>
        <v>0</v>
      </c>
      <c r="GL183" s="8">
        <f>IF(GL$56-Voorblad!$F$41&gt;Voorblad!$K$41,0,IF($U183=0,0,IF($U183&lt;1,1/$U183,IF((GL$56-Voorblad!$F$41)/$U183-SUM($EE183:GK183)=1,1,0))))</f>
        <v>0</v>
      </c>
      <c r="GM183" s="8">
        <f>IF(GM$56-Voorblad!$F$41&gt;Voorblad!$K$41,0,IF($U183=0,0,IF($U183&lt;1,1/$U183,IF((GM$56-Voorblad!$F$41)/$U183-SUM($EE183:GL183)=1,1,0))))</f>
        <v>0</v>
      </c>
      <c r="GN183" s="8">
        <f>IF(GN$56-Voorblad!$F$41&gt;Voorblad!$K$41,0,IF($U183=0,0,IF($U183&lt;1,1/$U183,IF((GN$56-Voorblad!$F$41)/$U183-SUM($EE183:GM183)=1,1,0))))</f>
        <v>0</v>
      </c>
      <c r="GO183" s="8">
        <f>IF(GO$56-Voorblad!$F$41&gt;Voorblad!$K$41,0,IF($U183=0,0,IF($U183&lt;1,1/$U183,IF((GO$56-Voorblad!$F$41)/$U183-SUM($EE183:GN183)=1,1,0))))</f>
        <v>0</v>
      </c>
      <c r="GP183" s="8">
        <f>IF(GP$56-Voorblad!$F$41&gt;Voorblad!$K$41,0,IF($U183=0,0,IF($U183&lt;1,1/$U183,IF((GP$56-Voorblad!$F$41)/$U183-SUM($EE183:GO183)=1,1,0))))</f>
        <v>0</v>
      </c>
      <c r="GQ183" s="8">
        <f>IF(GQ$56-Voorblad!$F$41&gt;Voorblad!$K$41,0,IF($U183=0,0,IF($U183&lt;1,1/$U183,IF((GQ$56-Voorblad!$F$41)/$U183-SUM($EE183:GP183)=1,1,0))))</f>
        <v>0</v>
      </c>
      <c r="GR183" s="8">
        <f>IF(GR$56-Voorblad!$F$41&gt;Voorblad!$K$41,0,IF($U183=0,0,IF($U183&lt;1,1/$U183,IF((GR$56-Voorblad!$F$41)/$U183-SUM($EE183:GQ183)=1,1,0))))</f>
        <v>0</v>
      </c>
      <c r="GS183" s="8">
        <f>IF(GS$56-Voorblad!$F$41&gt;Voorblad!$K$41,0,IF($U183=0,0,IF($U183&lt;1,1/$U183,IF((GS$56-Voorblad!$F$41)/$U183-SUM($EE183:GR183)=1,1,0))))</f>
        <v>0</v>
      </c>
      <c r="GT183" s="8">
        <f>IF(GT$56-Voorblad!$F$41&gt;Voorblad!$K$41,0,IF($U183=0,0,IF($U183&lt;1,1/$U183,IF((GT$56-Voorblad!$F$41)/$U183-SUM($EE183:GS183)=1,1,0))))</f>
        <v>0</v>
      </c>
      <c r="GU183" s="8">
        <f>IF(GU$56-Voorblad!$F$41&gt;Voorblad!$K$41,0,IF($U183=0,0,IF($U183&lt;1,1/$U183,IF((GU$56-Voorblad!$F$41)/$U183-SUM($EE183:GT183)=1,1,0))))</f>
        <v>0</v>
      </c>
      <c r="GV183" s="8">
        <f>IF(GV$56-Voorblad!$F$41&gt;Voorblad!$K$41,0,IF($U183=0,0,IF($U183&lt;1,1/$U183,IF((GV$56-Voorblad!$F$41)/$U183-SUM($EE183:GU183)=1,1,0))))</f>
        <v>0</v>
      </c>
      <c r="GW183" s="8">
        <f>IF(GW$56-Voorblad!$F$41&gt;Voorblad!$K$41,0,IF($U183=0,0,IF($U183&lt;1,1/$U183,IF((GW$56-Voorblad!$F$41)/$U183-SUM($EE183:GV183)=1,1,0))))</f>
        <v>0</v>
      </c>
      <c r="GX183" s="8">
        <f>IF(GX$56-Voorblad!$F$41&gt;Voorblad!$K$41,0,IF($U183=0,0,IF($U183&lt;1,1/$U183,IF((GX$56-Voorblad!$F$41)/$U183-SUM($EE183:GW183)=1,1,0))))</f>
        <v>0</v>
      </c>
      <c r="GY183" s="8">
        <f>IF(GY$56-Voorblad!$F$41&gt;Voorblad!$K$41,0,IF($U183=0,0,IF($U183&lt;1,1/$U183,IF((GY$56-Voorblad!$F$41)/$U183-SUM($EE183:GX183)=1,1,0))))</f>
        <v>0</v>
      </c>
      <c r="GZ183" s="8">
        <f>IF(GZ$56-Voorblad!$F$41&gt;Voorblad!$K$41,0,IF($U183=0,0,IF($U183&lt;1,1/$U183,IF((GZ$56-Voorblad!$F$41)/$U183-SUM($EE183:GY183)=1,1,0))))</f>
        <v>0</v>
      </c>
      <c r="HA183" s="8">
        <f>IF(HA$56-Voorblad!$F$41&gt;Voorblad!$K$41,0,IF($U183=0,0,IF($U183&lt;1,1/$U183,IF((HA$56-Voorblad!$F$41)/$U183-SUM($EE183:GZ183)=1,1,0))))</f>
        <v>0</v>
      </c>
      <c r="HB183" s="8">
        <f>IF(HB$56-Voorblad!$F$41&gt;Voorblad!$K$41,0,IF($U183=0,0,IF($U183&lt;1,1/$U183,IF((HB$56-Voorblad!$F$41)/$U183-SUM($EE183:HA183)=1,1,0))))</f>
        <v>0</v>
      </c>
      <c r="HC183" s="8">
        <f>IF(HC$56-Voorblad!$F$41&gt;Voorblad!$K$41,0,IF($U183=0,0,IF($U183&lt;1,1/$U183,IF((HC$56-Voorblad!$F$41)/$U183-SUM($EE183:HB183)=1,1,0))))</f>
        <v>0</v>
      </c>
      <c r="HD183" s="8">
        <f>IF(HD$56-Voorblad!$F$41&gt;Voorblad!$K$41,0,IF($U183=0,0,IF($U183&lt;1,1/$U183,IF((HD$56-Voorblad!$F$41)/$U183-SUM($EE183:HC183)=1,1,0))))</f>
        <v>0</v>
      </c>
      <c r="HE183" s="8">
        <f>IF(HE$56-Voorblad!$F$41&gt;Voorblad!$K$41,0,IF($U183=0,0,IF($U183&lt;1,1/$U183,IF((HE$56-Voorblad!$F$41)/$U183-SUM($EE183:HD183)=1,1,0))))</f>
        <v>0</v>
      </c>
      <c r="HF183" s="8">
        <f>IF(HF$56-Voorblad!$F$41&gt;Voorblad!$K$41,0,IF($U183=0,0,IF($U183&lt;1,1/$U183,IF((HF$56-Voorblad!$F$41)/$U183-SUM($EE183:HE183)=1,1,0))))</f>
        <v>0</v>
      </c>
      <c r="HG183" s="8">
        <f>IF(HG$56-Voorblad!$F$41&gt;Voorblad!$K$41,0,IF($U183=0,0,IF($U183&lt;1,1/$U183,IF((HG$56-Voorblad!$F$41)/$U183-SUM($EE183:HF183)=1,1,0))))</f>
        <v>0</v>
      </c>
      <c r="HH183" s="8">
        <f>IF(HH$56-Voorblad!$F$41&gt;Voorblad!$K$41,0,IF($U183=0,0,IF($U183&lt;1,1/$U183,IF((HH$56-Voorblad!$F$41)/$U183-SUM($EE183:HG183)=1,1,0))))</f>
        <v>0</v>
      </c>
      <c r="HI183" s="8">
        <f>IF(HI$56-Voorblad!$F$41&gt;Voorblad!$K$41,0,IF($U183=0,0,IF($U183&lt;1,1/$U183,IF((HI$56-Voorblad!$F$41)/$U183-SUM($EE183:HH183)=1,1,0))))</f>
        <v>0</v>
      </c>
      <c r="HJ183" s="8">
        <f>IF(HJ$56-Voorblad!$F$41&gt;Voorblad!$K$41,0,IF($U183=0,0,IF($U183&lt;1,1/$U183,IF((HJ$56-Voorblad!$F$41)/$U183-SUM($EE183:HI183)=1,1,0))))</f>
        <v>0</v>
      </c>
      <c r="HK183" s="8">
        <f>IF(HK$56-Voorblad!$F$41&gt;Voorblad!$K$41,0,IF($U183=0,0,IF($U183&lt;1,1/$U183,IF((HK$56-Voorblad!$F$41)/$U183-SUM($EE183:HJ183)=1,1,0))))</f>
        <v>0</v>
      </c>
      <c r="HL183" s="8">
        <f>IF(HL$56-Voorblad!$F$41&gt;Voorblad!$K$41,0,IF($U183=0,0,IF($U183&lt;1,1/$U183,IF((HL$56-Voorblad!$F$41)/$U183-SUM($EE183:HK183)=1,1,0))))</f>
        <v>0</v>
      </c>
      <c r="HM183" s="8">
        <f>IF(HM$56-Voorblad!$F$41&gt;Voorblad!$K$41,0,IF($U183=0,0,IF($U183&lt;1,1/$U183,IF((HM$56-Voorblad!$F$41)/$U183-SUM($EE183:HL183)=1,1,0))))</f>
        <v>0</v>
      </c>
      <c r="HN183" s="8">
        <f>IF(HN$56-Voorblad!$F$41&gt;Voorblad!$K$41,0,IF($U183=0,0,IF($U183&lt;1,1/$U183,IF((HN$56-Voorblad!$F$41)/$U183-SUM($EE183:HM183)=1,1,0))))</f>
        <v>0</v>
      </c>
      <c r="HO183" s="8">
        <f>IF(HO$56-Voorblad!$F$41&gt;Voorblad!$K$41,0,IF($U183=0,0,IF($U183&lt;1,1/$U183,IF((HO$56-Voorblad!$F$41)/$U183-SUM($EE183:HN183)=1,1,0))))</f>
        <v>0</v>
      </c>
      <c r="HP183" s="8">
        <f>IF(HP$56-Voorblad!$F$41&gt;Voorblad!$K$41,0,IF($U183=0,0,IF($U183&lt;1,1/$U183,IF((HP$56-Voorblad!$F$41)/$U183-SUM($EE183:HO183)=1,1,0))))</f>
        <v>0</v>
      </c>
      <c r="HQ183" s="8">
        <f>IF(HQ$56-Voorblad!$F$41&gt;Voorblad!$K$41,0,IF($U183=0,0,IF($U183&lt;1,1/$U183,IF((HQ$56-Voorblad!$F$41)/$U183-SUM($EE183:HP183)=1,1,0))))</f>
        <v>0</v>
      </c>
      <c r="HR183" s="8">
        <f>IF(HR$56-Voorblad!$F$41&gt;Voorblad!$K$41,0,IF($U183=0,0,IF($U183&lt;1,1/$U183,IF((HR$56-Voorblad!$F$41)/$U183-SUM($EE183:HQ183)=1,1,0))))</f>
        <v>0</v>
      </c>
      <c r="HS183" s="8">
        <f>IF(HS$56-Voorblad!$F$41&gt;Voorblad!$K$41,0,IF($U183=0,0,IF($U183&lt;1,1/$U183,IF((HS$56-Voorblad!$F$41)/$U183-SUM($EE183:HR183)=1,1,0))))</f>
        <v>0</v>
      </c>
      <c r="HT183" s="8">
        <f>IF(HT$56-Voorblad!$F$41&gt;Voorblad!$K$41,0,IF($U183=0,0,IF($U183&lt;1,1/$U183,IF((HT$56-Voorblad!$F$41)/$U183-SUM($EE183:HS183)=1,1,0))))</f>
        <v>0</v>
      </c>
      <c r="HU183" s="8">
        <f>IF(HU$56-Voorblad!$F$41&gt;Voorblad!$K$41,0,IF($U183=0,0,IF($U183&lt;1,1/$U183,IF((HU$56-Voorblad!$F$41)/$U183-SUM($EE183:HT183)=1,1,0))))</f>
        <v>0</v>
      </c>
      <c r="HV183" s="8">
        <f>IF(HV$56-Voorblad!$F$41&gt;Voorblad!$K$41,0,IF($U183=0,0,IF($U183&lt;1,1/$U183,IF((HV$56-Voorblad!$F$41)/$U183-SUM($EE183:HU183)=1,1,0))))</f>
        <v>0</v>
      </c>
      <c r="HW183" s="8">
        <f>IF(HW$56-Voorblad!$F$41&gt;Voorblad!$K$41,0,IF($U183=0,0,IF($U183&lt;1,1/$U183,IF((HW$56-Voorblad!$F$41)/$U183-SUM($EE183:HV183)=1,1,0))))</f>
        <v>0</v>
      </c>
      <c r="HX183" s="8">
        <f>IF(HX$56-Voorblad!$F$41&gt;Voorblad!$K$41,0,IF($U183=0,0,IF($U183&lt;1,1/$U183,IF((HX$56-Voorblad!$F$41)/$U183-SUM($EE183:HW183)=1,1,0))))</f>
        <v>0</v>
      </c>
      <c r="HY183" s="8">
        <f>IF(HY$56-Voorblad!$F$41&gt;Voorblad!$K$41,0,IF($U183=0,0,IF($U183&lt;1,1/$U183,IF((HY$56-Voorblad!$F$41)/$U183-SUM($EE183:HX183)=1,1,0))))</f>
        <v>0</v>
      </c>
      <c r="HZ183" s="8">
        <f>IF(HZ$56-Voorblad!$F$41&gt;Voorblad!$K$41,0,IF($U183=0,0,IF($U183&lt;1,1/$U183,IF((HZ$56-Voorblad!$F$41)/$U183-SUM($EE183:HY183)=1,1,0))))</f>
        <v>0</v>
      </c>
      <c r="IA183" s="8">
        <f>IF(IA$56-Voorblad!$F$41&gt;Voorblad!$K$41,0,IF($U183=0,0,IF($U183&lt;1,1/$U183,IF((IA$56-Voorblad!$F$41)/$U183-SUM($EE183:HZ183)=1,1,0))))</f>
        <v>0</v>
      </c>
      <c r="IB183" s="8">
        <f>IF(IB$56-Voorblad!$F$41&gt;Voorblad!$K$41,0,IF($U183=0,0,IF($U183&lt;1,1/$U183,IF((IB$56-Voorblad!$F$41)/$U183-SUM($EE183:IA183)=1,1,0))))</f>
        <v>0</v>
      </c>
    </row>
    <row r="184" spans="2:236" hidden="1" outlineLevel="1" x14ac:dyDescent="0.25">
      <c r="B184" s="1">
        <v>1</v>
      </c>
      <c r="F184" s="1" t="s">
        <v>23</v>
      </c>
      <c r="I184" s="1" t="s">
        <v>48</v>
      </c>
      <c r="K184" s="148" t="s">
        <v>195</v>
      </c>
      <c r="Q184" s="81">
        <v>0</v>
      </c>
      <c r="R184" s="147" t="s">
        <v>196</v>
      </c>
      <c r="S184" s="14">
        <f>$H$10*500</f>
        <v>1190</v>
      </c>
      <c r="T184" s="1">
        <f t="shared" si="194"/>
        <v>0</v>
      </c>
      <c r="U184" s="14">
        <v>50</v>
      </c>
      <c r="V184" s="14"/>
      <c r="Y184" s="9">
        <f>SUM(AE184:EB184)</f>
        <v>0</v>
      </c>
      <c r="Z184" s="82"/>
      <c r="AA184" s="82"/>
      <c r="AC184" s="229">
        <f>$Y184*(Voorblad!$K$44*(1+Voorblad!$K$44)^Voorblad!$K$41)/((1+Voorblad!$K$44)^Voorblad!$K$41-1)</f>
        <v>0</v>
      </c>
      <c r="AE184" s="9">
        <f>EF184*($Q184*$S184)/(1+Voorblad!$K$44)^(AE$56-Voorblad!$F$41)</f>
        <v>0</v>
      </c>
      <c r="AF184" s="9">
        <f>EG184*($Q184*$S184)/(1+Voorblad!$K$44)^(AF$56-Voorblad!$F$41)</f>
        <v>0</v>
      </c>
      <c r="AG184" s="9">
        <f>EH184*($Q184*$S184)/(1+Voorblad!$K$44)^(AG$56-Voorblad!$F$41)</f>
        <v>0</v>
      </c>
      <c r="AH184" s="9">
        <f>EI184*($Q184*$S184)/(1+Voorblad!$K$44)^(AH$56-Voorblad!$F$41)</f>
        <v>0</v>
      </c>
      <c r="AI184" s="9">
        <f>EJ184*($Q184*$S184)/(1+Voorblad!$K$44)^(AI$56-Voorblad!$F$41)</f>
        <v>0</v>
      </c>
      <c r="AJ184" s="9">
        <f>EK184*($Q184*$S184)/(1+Voorblad!$K$44)^(AJ$56-Voorblad!$F$41)</f>
        <v>0</v>
      </c>
      <c r="AK184" s="9">
        <f>EL184*($Q184*$S184)/(1+Voorblad!$K$44)^(AK$56-Voorblad!$F$41)</f>
        <v>0</v>
      </c>
      <c r="AL184" s="9">
        <f>EM184*($Q184*$S184)/(1+Voorblad!$K$44)^(AL$56-Voorblad!$F$41)</f>
        <v>0</v>
      </c>
      <c r="AM184" s="9">
        <f>EN184*($Q184*$S184)/(1+Voorblad!$K$44)^(AM$56-Voorblad!$F$41)</f>
        <v>0</v>
      </c>
      <c r="AN184" s="9">
        <f>EO184*($Q184*$S184)/(1+Voorblad!$K$44)^(AN$56-Voorblad!$F$41)</f>
        <v>0</v>
      </c>
      <c r="AO184" s="9">
        <f>EP184*($Q184*$S184)/(1+Voorblad!$K$44)^(AO$56-Voorblad!$F$41)</f>
        <v>0</v>
      </c>
      <c r="AP184" s="9">
        <f>EQ184*($Q184*$S184)/(1+Voorblad!$K$44)^(AP$56-Voorblad!$F$41)</f>
        <v>0</v>
      </c>
      <c r="AQ184" s="9">
        <f>ER184*($Q184*$S184)/(1+Voorblad!$K$44)^(AQ$56-Voorblad!$F$41)</f>
        <v>0</v>
      </c>
      <c r="AR184" s="9">
        <f>ES184*($Q184*$S184)/(1+Voorblad!$K$44)^(AR$56-Voorblad!$F$41)</f>
        <v>0</v>
      </c>
      <c r="AS184" s="9">
        <f>ET184*($Q184*$S184)/(1+Voorblad!$K$44)^(AS$56-Voorblad!$F$41)</f>
        <v>0</v>
      </c>
      <c r="AT184" s="9">
        <f>EU184*($Q184*$S184)/(1+Voorblad!$K$44)^(AT$56-Voorblad!$F$41)</f>
        <v>0</v>
      </c>
      <c r="AU184" s="9">
        <f>EV184*($Q184*$S184)/(1+Voorblad!$K$44)^(AU$56-Voorblad!$F$41)</f>
        <v>0</v>
      </c>
      <c r="AV184" s="9">
        <f>EW184*($Q184*$S184)/(1+Voorblad!$K$44)^(AV$56-Voorblad!$F$41)</f>
        <v>0</v>
      </c>
      <c r="AW184" s="9">
        <f>EX184*($Q184*$S184)/(1+Voorblad!$K$44)^(AW$56-Voorblad!$F$41)</f>
        <v>0</v>
      </c>
      <c r="AX184" s="9">
        <f>EY184*($Q184*$S184)/(1+Voorblad!$K$44)^(AX$56-Voorblad!$F$41)</f>
        <v>0</v>
      </c>
      <c r="AY184" s="9">
        <f>EZ184*($Q184*$S184)/(1+Voorblad!$K$44)^(AY$56-Voorblad!$F$41)</f>
        <v>0</v>
      </c>
      <c r="AZ184" s="9">
        <f>FA184*($Q184*$S184)/(1+Voorblad!$K$44)^(AZ$56-Voorblad!$F$41)</f>
        <v>0</v>
      </c>
      <c r="BA184" s="9">
        <f>FB184*($Q184*$S184)/(1+Voorblad!$K$44)^(BA$56-Voorblad!$F$41)</f>
        <v>0</v>
      </c>
      <c r="BB184" s="9">
        <f>FC184*($Q184*$S184)/(1+Voorblad!$K$44)^(BB$56-Voorblad!$F$41)</f>
        <v>0</v>
      </c>
      <c r="BC184" s="9">
        <f>FD184*($Q184*$S184)/(1+Voorblad!$K$44)^(BC$56-Voorblad!$F$41)</f>
        <v>0</v>
      </c>
      <c r="BD184" s="9">
        <f>FE184*($Q184*$S184)/(1+Voorblad!$K$44)^(BD$56-Voorblad!$F$41)</f>
        <v>0</v>
      </c>
      <c r="BE184" s="9">
        <f>FF184*($Q184*$S184)/(1+Voorblad!$K$44)^(BE$56-Voorblad!$F$41)</f>
        <v>0</v>
      </c>
      <c r="BF184" s="9">
        <f>FG184*($Q184*$S184)/(1+Voorblad!$K$44)^(BF$56-Voorblad!$F$41)</f>
        <v>0</v>
      </c>
      <c r="BG184" s="9">
        <f>FH184*($Q184*$S184)/(1+Voorblad!$K$44)^(BG$56-Voorblad!$F$41)</f>
        <v>0</v>
      </c>
      <c r="BH184" s="9">
        <f>FI184*($Q184*$S184)/(1+Voorblad!$K$44)^(BH$56-Voorblad!$F$41)</f>
        <v>0</v>
      </c>
      <c r="BI184" s="9">
        <f>FJ184*($Q184*$S184)/(1+Voorblad!$K$44)^(BI$56-Voorblad!$F$41)</f>
        <v>0</v>
      </c>
      <c r="BJ184" s="9">
        <f>FK184*($Q184*$S184)/(1+Voorblad!$K$44)^(BJ$56-Voorblad!$F$41)</f>
        <v>0</v>
      </c>
      <c r="BK184" s="9">
        <f>FL184*($Q184*$S184)/(1+Voorblad!$K$44)^(BK$56-Voorblad!$F$41)</f>
        <v>0</v>
      </c>
      <c r="BL184" s="9">
        <f>FM184*($Q184*$S184)/(1+Voorblad!$K$44)^(BL$56-Voorblad!$F$41)</f>
        <v>0</v>
      </c>
      <c r="BM184" s="9">
        <f>FN184*($Q184*$S184)/(1+Voorblad!$K$44)^(BM$56-Voorblad!$F$41)</f>
        <v>0</v>
      </c>
      <c r="BN184" s="9">
        <f>FO184*($Q184*$S184)/(1+Voorblad!$K$44)^(BN$56-Voorblad!$F$41)</f>
        <v>0</v>
      </c>
      <c r="BO184" s="9">
        <f>FP184*($Q184*$S184)/(1+Voorblad!$K$44)^(BO$56-Voorblad!$F$41)</f>
        <v>0</v>
      </c>
      <c r="BP184" s="9">
        <f>FQ184*($Q184*$S184)/(1+Voorblad!$K$44)^(BP$56-Voorblad!$F$41)</f>
        <v>0</v>
      </c>
      <c r="BQ184" s="9">
        <f>FR184*($Q184*$S184)/(1+Voorblad!$K$44)^(BQ$56-Voorblad!$F$41)</f>
        <v>0</v>
      </c>
      <c r="BR184" s="9">
        <f>FS184*($Q184*$S184)/(1+Voorblad!$K$44)^(BR$56-Voorblad!$F$41)</f>
        <v>0</v>
      </c>
      <c r="BS184" s="9">
        <f>FT184*($Q184*$S184)/(1+Voorblad!$K$44)^(BS$56-Voorblad!$F$41)</f>
        <v>0</v>
      </c>
      <c r="BT184" s="9">
        <f>FU184*($Q184*$S184)/(1+Voorblad!$K$44)^(BT$56-Voorblad!$F$41)</f>
        <v>0</v>
      </c>
      <c r="BU184" s="9">
        <f>FV184*($Q184*$S184)/(1+Voorblad!$K$44)^(BU$56-Voorblad!$F$41)</f>
        <v>0</v>
      </c>
      <c r="BV184" s="9">
        <f>FW184*($Q184*$S184)/(1+Voorblad!$K$44)^(BV$56-Voorblad!$F$41)</f>
        <v>0</v>
      </c>
      <c r="BW184" s="9">
        <f>FX184*($Q184*$S184)/(1+Voorblad!$K$44)^(BW$56-Voorblad!$F$41)</f>
        <v>0</v>
      </c>
      <c r="BX184" s="9">
        <f>FY184*($Q184*$S184)/(1+Voorblad!$K$44)^(BX$56-Voorblad!$F$41)</f>
        <v>0</v>
      </c>
      <c r="BY184" s="9">
        <f>FZ184*($Q184*$S184)/(1+Voorblad!$K$44)^(BY$56-Voorblad!$F$41)</f>
        <v>0</v>
      </c>
      <c r="BZ184" s="9">
        <f>GA184*($Q184*$S184)/(1+Voorblad!$K$44)^(BZ$56-Voorblad!$F$41)</f>
        <v>0</v>
      </c>
      <c r="CA184" s="9">
        <f>GB184*($Q184*$S184)/(1+Voorblad!$K$44)^(CA$56-Voorblad!$F$41)</f>
        <v>0</v>
      </c>
      <c r="CB184" s="9">
        <f>GC184*($Q184*$S184)/(1+Voorblad!$K$44)^(CB$56-Voorblad!$F$41)</f>
        <v>0</v>
      </c>
      <c r="CC184" s="9">
        <f>GD184*($Q184*$S184)/(1+Voorblad!$K$44)^(CC$56-Voorblad!$F$41)</f>
        <v>0</v>
      </c>
      <c r="CD184" s="9">
        <f>GE184*($Q184*$S184)/(1+Voorblad!$K$44)^(CD$56-Voorblad!$F$41)</f>
        <v>0</v>
      </c>
      <c r="CE184" s="9">
        <f>GF184*($Q184*$S184)/(1+Voorblad!$K$44)^(CE$56-Voorblad!$F$41)</f>
        <v>0</v>
      </c>
      <c r="CF184" s="9">
        <f>GG184*($Q184*$S184)/(1+Voorblad!$K$44)^(CF$56-Voorblad!$F$41)</f>
        <v>0</v>
      </c>
      <c r="CG184" s="9">
        <f>GH184*($Q184*$S184)/(1+Voorblad!$K$44)^(CG$56-Voorblad!$F$41)</f>
        <v>0</v>
      </c>
      <c r="CH184" s="9">
        <f>GI184*($Q184*$S184)/(1+Voorblad!$K$44)^(CH$56-Voorblad!$F$41)</f>
        <v>0</v>
      </c>
      <c r="CI184" s="9">
        <f>GJ184*($Q184*$S184)/(1+Voorblad!$K$44)^(CI$56-Voorblad!$F$41)</f>
        <v>0</v>
      </c>
      <c r="CJ184" s="9">
        <f>GK184*($Q184*$S184)/(1+Voorblad!$K$44)^(CJ$56-Voorblad!$F$41)</f>
        <v>0</v>
      </c>
      <c r="CK184" s="9">
        <f>GL184*($Q184*$S184)/(1+Voorblad!$K$44)^(CK$56-Voorblad!$F$41)</f>
        <v>0</v>
      </c>
      <c r="CL184" s="9">
        <f>GM184*($Q184*$S184)/(1+Voorblad!$K$44)^(CL$56-Voorblad!$F$41)</f>
        <v>0</v>
      </c>
      <c r="CM184" s="9">
        <f>GN184*($Q184*$S184)/(1+Voorblad!$K$44)^(CM$56-Voorblad!$F$41)</f>
        <v>0</v>
      </c>
      <c r="CN184" s="9">
        <f>GO184*($Q184*$S184)/(1+Voorblad!$K$44)^(CN$56-Voorblad!$F$41)</f>
        <v>0</v>
      </c>
      <c r="CO184" s="9">
        <f>GP184*($Q184*$S184)/(1+Voorblad!$K$44)^(CO$56-Voorblad!$F$41)</f>
        <v>0</v>
      </c>
      <c r="CP184" s="9">
        <f>GQ184*($Q184*$S184)/(1+Voorblad!$K$44)^(CP$56-Voorblad!$F$41)</f>
        <v>0</v>
      </c>
      <c r="CQ184" s="9">
        <f>GR184*($Q184*$S184)/(1+Voorblad!$K$44)^(CQ$56-Voorblad!$F$41)</f>
        <v>0</v>
      </c>
      <c r="CR184" s="9">
        <f>GS184*($Q184*$S184)/(1+Voorblad!$K$44)^(CR$56-Voorblad!$F$41)</f>
        <v>0</v>
      </c>
      <c r="CS184" s="9">
        <f>GT184*($Q184*$S184)/(1+Voorblad!$K$44)^(CS$56-Voorblad!$F$41)</f>
        <v>0</v>
      </c>
      <c r="CT184" s="9">
        <f>GU184*($Q184*$S184)/(1+Voorblad!$K$44)^(CT$56-Voorblad!$F$41)</f>
        <v>0</v>
      </c>
      <c r="CU184" s="9">
        <f>GV184*($Q184*$S184)/(1+Voorblad!$K$44)^(CU$56-Voorblad!$F$41)</f>
        <v>0</v>
      </c>
      <c r="CV184" s="9">
        <f>GW184*($Q184*$S184)/(1+Voorblad!$K$44)^(CV$56-Voorblad!$F$41)</f>
        <v>0</v>
      </c>
      <c r="CW184" s="9">
        <f>GX184*($Q184*$S184)/(1+Voorblad!$K$44)^(CW$56-Voorblad!$F$41)</f>
        <v>0</v>
      </c>
      <c r="CX184" s="9">
        <f>GY184*($Q184*$S184)/(1+Voorblad!$K$44)^(CX$56-Voorblad!$F$41)</f>
        <v>0</v>
      </c>
      <c r="CY184" s="9">
        <f>GZ184*($Q184*$S184)/(1+Voorblad!$K$44)^(CY$56-Voorblad!$F$41)</f>
        <v>0</v>
      </c>
      <c r="CZ184" s="9">
        <f>HA184*($Q184*$S184)/(1+Voorblad!$K$44)^(CZ$56-Voorblad!$F$41)</f>
        <v>0</v>
      </c>
      <c r="DA184" s="9">
        <f>HB184*($Q184*$S184)/(1+Voorblad!$K$44)^(DA$56-Voorblad!$F$41)</f>
        <v>0</v>
      </c>
      <c r="DB184" s="9">
        <f>HC184*($Q184*$S184)/(1+Voorblad!$K$44)^(DB$56-Voorblad!$F$41)</f>
        <v>0</v>
      </c>
      <c r="DC184" s="9">
        <f>HD184*($Q184*$S184)/(1+Voorblad!$K$44)^(DC$56-Voorblad!$F$41)</f>
        <v>0</v>
      </c>
      <c r="DD184" s="9">
        <f>HE184*($Q184*$S184)/(1+Voorblad!$K$44)^(DD$56-Voorblad!$F$41)</f>
        <v>0</v>
      </c>
      <c r="DE184" s="9">
        <f>HF184*($Q184*$S184)/(1+Voorblad!$K$44)^(DE$56-Voorblad!$F$41)</f>
        <v>0</v>
      </c>
      <c r="DF184" s="9">
        <f>HG184*($Q184*$S184)/(1+Voorblad!$K$44)^(DF$56-Voorblad!$F$41)</f>
        <v>0</v>
      </c>
      <c r="DG184" s="9">
        <f>HH184*($Q184*$S184)/(1+Voorblad!$K$44)^(DG$56-Voorblad!$F$41)</f>
        <v>0</v>
      </c>
      <c r="DH184" s="9">
        <f>HI184*($Q184*$S184)/(1+Voorblad!$K$44)^(DH$56-Voorblad!$F$41)</f>
        <v>0</v>
      </c>
      <c r="DI184" s="9">
        <f>HJ184*($Q184*$S184)/(1+Voorblad!$K$44)^(DI$56-Voorblad!$F$41)</f>
        <v>0</v>
      </c>
      <c r="DJ184" s="9">
        <f>HK184*($Q184*$S184)/(1+Voorblad!$K$44)^(DJ$56-Voorblad!$F$41)</f>
        <v>0</v>
      </c>
      <c r="DK184" s="9">
        <f>HL184*($Q184*$S184)/(1+Voorblad!$K$44)^(DK$56-Voorblad!$F$41)</f>
        <v>0</v>
      </c>
      <c r="DL184" s="9">
        <f>HM184*($Q184*$S184)/(1+Voorblad!$K$44)^(DL$56-Voorblad!$F$41)</f>
        <v>0</v>
      </c>
      <c r="DM184" s="9">
        <f>HN184*($Q184*$S184)/(1+Voorblad!$K$44)^(DM$56-Voorblad!$F$41)</f>
        <v>0</v>
      </c>
      <c r="DN184" s="9">
        <f>HO184*($Q184*$S184)/(1+Voorblad!$K$44)^(DN$56-Voorblad!$F$41)</f>
        <v>0</v>
      </c>
      <c r="DO184" s="9">
        <f>HP184*($Q184*$S184)/(1+Voorblad!$K$44)^(DO$56-Voorblad!$F$41)</f>
        <v>0</v>
      </c>
      <c r="DP184" s="9">
        <f>HQ184*($Q184*$S184)/(1+Voorblad!$K$44)^(DP$56-Voorblad!$F$41)</f>
        <v>0</v>
      </c>
      <c r="DQ184" s="9">
        <f>HR184*($Q184*$S184)/(1+Voorblad!$K$44)^(DQ$56-Voorblad!$F$41)</f>
        <v>0</v>
      </c>
      <c r="DR184" s="9">
        <f>HS184*($Q184*$S184)/(1+Voorblad!$K$44)^(DR$56-Voorblad!$F$41)</f>
        <v>0</v>
      </c>
      <c r="DS184" s="9">
        <f>HT184*($Q184*$S184)/(1+Voorblad!$K$44)^(DS$56-Voorblad!$F$41)</f>
        <v>0</v>
      </c>
      <c r="DT184" s="9">
        <f>HU184*($Q184*$S184)/(1+Voorblad!$K$44)^(DT$56-Voorblad!$F$41)</f>
        <v>0</v>
      </c>
      <c r="DU184" s="9">
        <f>HV184*($Q184*$S184)/(1+Voorblad!$K$44)^(DU$56-Voorblad!$F$41)</f>
        <v>0</v>
      </c>
      <c r="DV184" s="9">
        <f>HW184*($Q184*$S184)/(1+Voorblad!$K$44)^(DV$56-Voorblad!$F$41)</f>
        <v>0</v>
      </c>
      <c r="DW184" s="9">
        <f>HX184*($Q184*$S184)/(1+Voorblad!$K$44)^(DW$56-Voorblad!$F$41)</f>
        <v>0</v>
      </c>
      <c r="DX184" s="9">
        <f>HY184*($Q184*$S184)/(1+Voorblad!$K$44)^(DX$56-Voorblad!$F$41)</f>
        <v>0</v>
      </c>
      <c r="DY184" s="9">
        <f>HZ184*($Q184*$S184)/(1+Voorblad!$K$44)^(DY$56-Voorblad!$F$41)</f>
        <v>0</v>
      </c>
      <c r="DZ184" s="9">
        <f>IA184*($Q184*$S184)/(1+Voorblad!$K$44)^(DZ$56-Voorblad!$F$41)</f>
        <v>0</v>
      </c>
      <c r="EA184" s="9">
        <f>IB184*($Q184*$S184)/(1+Voorblad!$K$44)^(EA$56-Voorblad!$F$41)</f>
        <v>0</v>
      </c>
      <c r="EB184" s="9">
        <f>IC184*($Q184*$S184)/(1+Voorblad!$K$44)^(EB$56-Voorblad!$F$41)</f>
        <v>0</v>
      </c>
      <c r="EE184" s="8">
        <v>0</v>
      </c>
      <c r="EF184" s="8">
        <f>IF(EF$56-Voorblad!$F$41&gt;Voorblad!$K$41,0,IF($U184=0,0,IF($U184&lt;1,1/$U184,IF((EF$56-Voorblad!$F$41)/$U184-SUM($EE184:EE184)=1,1,0))))</f>
        <v>0</v>
      </c>
      <c r="EG184" s="8">
        <f>IF(EG$56-Voorblad!$F$41&gt;Voorblad!$K$41,0,IF($U184=0,0,IF($U184&lt;1,1/$U184,IF((EG$56-Voorblad!$F$41)/$U184-SUM($EE184:EF184)=1,1,0))))</f>
        <v>0</v>
      </c>
      <c r="EH184" s="8">
        <f>IF(EH$56-Voorblad!$F$41&gt;Voorblad!$K$41,0,IF($U184=0,0,IF($U184&lt;1,1/$U184,IF((EH$56-Voorblad!$F$41)/$U184-SUM($EE184:EG184)=1,1,0))))</f>
        <v>0</v>
      </c>
      <c r="EI184" s="8">
        <f>IF(EI$56-Voorblad!$F$41&gt;Voorblad!$K$41,0,IF($U184=0,0,IF($U184&lt;1,1/$U184,IF((EI$56-Voorblad!$F$41)/$U184-SUM($EE184:EH184)=1,1,0))))</f>
        <v>0</v>
      </c>
      <c r="EJ184" s="8">
        <f>IF(EJ$56-Voorblad!$F$41&gt;Voorblad!$K$41,0,IF($U184=0,0,IF($U184&lt;1,1/$U184,IF((EJ$56-Voorblad!$F$41)/$U184-SUM($EE184:EI184)=1,1,0))))</f>
        <v>0</v>
      </c>
      <c r="EK184" s="8">
        <f>IF(EK$56-Voorblad!$F$41&gt;Voorblad!$K$41,0,IF($U184=0,0,IF($U184&lt;1,1/$U184,IF((EK$56-Voorblad!$F$41)/$U184-SUM($EE184:EJ184)=1,1,0))))</f>
        <v>0</v>
      </c>
      <c r="EL184" s="8">
        <f>IF(EL$56-Voorblad!$F$41&gt;Voorblad!$K$41,0,IF($U184=0,0,IF($U184&lt;1,1/$U184,IF((EL$56-Voorblad!$F$41)/$U184-SUM($EE184:EK184)=1,1,0))))</f>
        <v>0</v>
      </c>
      <c r="EM184" s="8">
        <f>IF(EM$56-Voorblad!$F$41&gt;Voorblad!$K$41,0,IF($U184=0,0,IF($U184&lt;1,1/$U184,IF((EM$56-Voorblad!$F$41)/$U184-SUM($EE184:EL184)=1,1,0))))</f>
        <v>0</v>
      </c>
      <c r="EN184" s="8">
        <f>IF(EN$56-Voorblad!$F$41&gt;Voorblad!$K$41,0,IF($U184=0,0,IF($U184&lt;1,1/$U184,IF((EN$56-Voorblad!$F$41)/$U184-SUM($EE184:EM184)=1,1,0))))</f>
        <v>0</v>
      </c>
      <c r="EO184" s="8">
        <f>IF(EO$56-Voorblad!$F$41&gt;Voorblad!$K$41,0,IF($U184=0,0,IF($U184&lt;1,1/$U184,IF((EO$56-Voorblad!$F$41)/$U184-SUM($EE184:EN184)=1,1,0))))</f>
        <v>0</v>
      </c>
      <c r="EP184" s="8">
        <f>IF(EP$56-Voorblad!$F$41&gt;Voorblad!$K$41,0,IF($U184=0,0,IF($U184&lt;1,1/$U184,IF((EP$56-Voorblad!$F$41)/$U184-SUM($EE184:EO184)=1,1,0))))</f>
        <v>0</v>
      </c>
      <c r="EQ184" s="8">
        <f>IF(EQ$56-Voorblad!$F$41&gt;Voorblad!$K$41,0,IF($U184=0,0,IF($U184&lt;1,1/$U184,IF((EQ$56-Voorblad!$F$41)/$U184-SUM($EE184:EP184)=1,1,0))))</f>
        <v>0</v>
      </c>
      <c r="ER184" s="8">
        <f>IF(ER$56-Voorblad!$F$41&gt;Voorblad!$K$41,0,IF($U184=0,0,IF($U184&lt;1,1/$U184,IF((ER$56-Voorblad!$F$41)/$U184-SUM($EE184:EQ184)=1,1,0))))</f>
        <v>0</v>
      </c>
      <c r="ES184" s="8">
        <f>IF(ES$56-Voorblad!$F$41&gt;Voorblad!$K$41,0,IF($U184=0,0,IF($U184&lt;1,1/$U184,IF((ES$56-Voorblad!$F$41)/$U184-SUM($EE184:ER184)=1,1,0))))</f>
        <v>0</v>
      </c>
      <c r="ET184" s="8">
        <f>IF(ET$56-Voorblad!$F$41&gt;Voorblad!$K$41,0,IF($U184=0,0,IF($U184&lt;1,1/$U184,IF((ET$56-Voorblad!$F$41)/$U184-SUM($EE184:ES184)=1,1,0))))</f>
        <v>0</v>
      </c>
      <c r="EU184" s="8">
        <f>IF(EU$56-Voorblad!$F$41&gt;Voorblad!$K$41,0,IF($U184=0,0,IF($U184&lt;1,1/$U184,IF((EU$56-Voorblad!$F$41)/$U184-SUM($EE184:ET184)=1,1,0))))</f>
        <v>0</v>
      </c>
      <c r="EV184" s="8">
        <f>IF(EV$56-Voorblad!$F$41&gt;Voorblad!$K$41,0,IF($U184=0,0,IF($U184&lt;1,1/$U184,IF((EV$56-Voorblad!$F$41)/$U184-SUM($EE184:EU184)=1,1,0))))</f>
        <v>0</v>
      </c>
      <c r="EW184" s="8">
        <f>IF(EW$56-Voorblad!$F$41&gt;Voorblad!$K$41,0,IF($U184=0,0,IF($U184&lt;1,1/$U184,IF((EW$56-Voorblad!$F$41)/$U184-SUM($EE184:EV184)=1,1,0))))</f>
        <v>0</v>
      </c>
      <c r="EX184" s="8">
        <f>IF(EX$56-Voorblad!$F$41&gt;Voorblad!$K$41,0,IF($U184=0,0,IF($U184&lt;1,1/$U184,IF((EX$56-Voorblad!$F$41)/$U184-SUM($EE184:EW184)=1,1,0))))</f>
        <v>0</v>
      </c>
      <c r="EY184" s="8">
        <f>IF(EY$56-Voorblad!$F$41&gt;Voorblad!$K$41,0,IF($U184=0,0,IF($U184&lt;1,1/$U184,IF((EY$56-Voorblad!$F$41)/$U184-SUM($EE184:EX184)=1,1,0))))</f>
        <v>0</v>
      </c>
      <c r="EZ184" s="8">
        <f>IF(EZ$56-Voorblad!$F$41&gt;Voorblad!$K$41,0,IF($U184=0,0,IF($U184&lt;1,1/$U184,IF((EZ$56-Voorblad!$F$41)/$U184-SUM($EE184:EY184)=1,1,0))))</f>
        <v>0</v>
      </c>
      <c r="FA184" s="8">
        <f>IF(FA$56-Voorblad!$F$41&gt;Voorblad!$K$41,0,IF($U184=0,0,IF($U184&lt;1,1/$U184,IF((FA$56-Voorblad!$F$41)/$U184-SUM($EE184:EZ184)=1,1,0))))</f>
        <v>0</v>
      </c>
      <c r="FB184" s="8">
        <f>IF(FB$56-Voorblad!$F$41&gt;Voorblad!$K$41,0,IF($U184=0,0,IF($U184&lt;1,1/$U184,IF((FB$56-Voorblad!$F$41)/$U184-SUM($EE184:FA184)=1,1,0))))</f>
        <v>0</v>
      </c>
      <c r="FC184" s="8">
        <f>IF(FC$56-Voorblad!$F$41&gt;Voorblad!$K$41,0,IF($U184=0,0,IF($U184&lt;1,1/$U184,IF((FC$56-Voorblad!$F$41)/$U184-SUM($EE184:FB184)=1,1,0))))</f>
        <v>0</v>
      </c>
      <c r="FD184" s="8">
        <f>IF(FD$56-Voorblad!$F$41&gt;Voorblad!$K$41,0,IF($U184=0,0,IF($U184&lt;1,1/$U184,IF((FD$56-Voorblad!$F$41)/$U184-SUM($EE184:FC184)=1,1,0))))</f>
        <v>0</v>
      </c>
      <c r="FE184" s="8">
        <f>IF(FE$56-Voorblad!$F$41&gt;Voorblad!$K$41,0,IF($U184=0,0,IF($U184&lt;1,1/$U184,IF((FE$56-Voorblad!$F$41)/$U184-SUM($EE184:FD184)=1,1,0))))</f>
        <v>0</v>
      </c>
      <c r="FF184" s="8">
        <f>IF(FF$56-Voorblad!$F$41&gt;Voorblad!$K$41,0,IF($U184=0,0,IF($U184&lt;1,1/$U184,IF((FF$56-Voorblad!$F$41)/$U184-SUM($EE184:FE184)=1,1,0))))</f>
        <v>0</v>
      </c>
      <c r="FG184" s="8">
        <f>IF(FG$56-Voorblad!$F$41&gt;Voorblad!$K$41,0,IF($U184=0,0,IF($U184&lt;1,1/$U184,IF((FG$56-Voorblad!$F$41)/$U184-SUM($EE184:FF184)=1,1,0))))</f>
        <v>0</v>
      </c>
      <c r="FH184" s="8">
        <f>IF(FH$56-Voorblad!$F$41&gt;Voorblad!$K$41,0,IF($U184=0,0,IF($U184&lt;1,1/$U184,IF((FH$56-Voorblad!$F$41)/$U184-SUM($EE184:FG184)=1,1,0))))</f>
        <v>0</v>
      </c>
      <c r="FI184" s="8">
        <f>IF(FI$56-Voorblad!$F$41&gt;Voorblad!$K$41,0,IF($U184=0,0,IF($U184&lt;1,1/$U184,IF((FI$56-Voorblad!$F$41)/$U184-SUM($EE184:FH184)=1,1,0))))</f>
        <v>0</v>
      </c>
      <c r="FJ184" s="8">
        <f>IF(FJ$56-Voorblad!$F$41&gt;Voorblad!$K$41,0,IF($U184=0,0,IF($U184&lt;1,1/$U184,IF((FJ$56-Voorblad!$F$41)/$U184-SUM($EE184:FI184)=1,1,0))))</f>
        <v>0</v>
      </c>
      <c r="FK184" s="8">
        <f>IF(FK$56-Voorblad!$F$41&gt;Voorblad!$K$41,0,IF($U184=0,0,IF($U184&lt;1,1/$U184,IF((FK$56-Voorblad!$F$41)/$U184-SUM($EE184:FJ184)=1,1,0))))</f>
        <v>0</v>
      </c>
      <c r="FL184" s="8">
        <f>IF(FL$56-Voorblad!$F$41&gt;Voorblad!$K$41,0,IF($U184=0,0,IF($U184&lt;1,1/$U184,IF((FL$56-Voorblad!$F$41)/$U184-SUM($EE184:FK184)=1,1,0))))</f>
        <v>0</v>
      </c>
      <c r="FM184" s="8">
        <f>IF(FM$56-Voorblad!$F$41&gt;Voorblad!$K$41,0,IF($U184=0,0,IF($U184&lt;1,1/$U184,IF((FM$56-Voorblad!$F$41)/$U184-SUM($EE184:FL184)=1,1,0))))</f>
        <v>0</v>
      </c>
      <c r="FN184" s="8">
        <f>IF(FN$56-Voorblad!$F$41&gt;Voorblad!$K$41,0,IF($U184=0,0,IF($U184&lt;1,1/$U184,IF((FN$56-Voorblad!$F$41)/$U184-SUM($EE184:FM184)=1,1,0))))</f>
        <v>0</v>
      </c>
      <c r="FO184" s="8">
        <f>IF(FO$56-Voorblad!$F$41&gt;Voorblad!$K$41,0,IF($U184=0,0,IF($U184&lt;1,1/$U184,IF((FO$56-Voorblad!$F$41)/$U184-SUM($EE184:FN184)=1,1,0))))</f>
        <v>0</v>
      </c>
      <c r="FP184" s="8">
        <f>IF(FP$56-Voorblad!$F$41&gt;Voorblad!$K$41,0,IF($U184=0,0,IF($U184&lt;1,1/$U184,IF((FP$56-Voorblad!$F$41)/$U184-SUM($EE184:FO184)=1,1,0))))</f>
        <v>0</v>
      </c>
      <c r="FQ184" s="8">
        <f>IF(FQ$56-Voorblad!$F$41&gt;Voorblad!$K$41,0,IF($U184=0,0,IF($U184&lt;1,1/$U184,IF((FQ$56-Voorblad!$F$41)/$U184-SUM($EE184:FP184)=1,1,0))))</f>
        <v>0</v>
      </c>
      <c r="FR184" s="8">
        <f>IF(FR$56-Voorblad!$F$41&gt;Voorblad!$K$41,0,IF($U184=0,0,IF($U184&lt;1,1/$U184,IF((FR$56-Voorblad!$F$41)/$U184-SUM($EE184:FQ184)=1,1,0))))</f>
        <v>0</v>
      </c>
      <c r="FS184" s="8">
        <f>IF(FS$56-Voorblad!$F$41&gt;Voorblad!$K$41,0,IF($U184=0,0,IF($U184&lt;1,1/$U184,IF((FS$56-Voorblad!$F$41)/$U184-SUM($EE184:FR184)=1,1,0))))</f>
        <v>0</v>
      </c>
      <c r="FT184" s="8">
        <f>IF(FT$56-Voorblad!$F$41&gt;Voorblad!$K$41,0,IF($U184=0,0,IF($U184&lt;1,1/$U184,IF((FT$56-Voorblad!$F$41)/$U184-SUM($EE184:FS184)=1,1,0))))</f>
        <v>0</v>
      </c>
      <c r="FU184" s="8">
        <f>IF(FU$56-Voorblad!$F$41&gt;Voorblad!$K$41,0,IF($U184=0,0,IF($U184&lt;1,1/$U184,IF((FU$56-Voorblad!$F$41)/$U184-SUM($EE184:FT184)=1,1,0))))</f>
        <v>0</v>
      </c>
      <c r="FV184" s="8">
        <f>IF(FV$56-Voorblad!$F$41&gt;Voorblad!$K$41,0,IF($U184=0,0,IF($U184&lt;1,1/$U184,IF((FV$56-Voorblad!$F$41)/$U184-SUM($EE184:FU184)=1,1,0))))</f>
        <v>0</v>
      </c>
      <c r="FW184" s="8">
        <f>IF(FW$56-Voorblad!$F$41&gt;Voorblad!$K$41,0,IF($U184=0,0,IF($U184&lt;1,1/$U184,IF((FW$56-Voorblad!$F$41)/$U184-SUM($EE184:FV184)=1,1,0))))</f>
        <v>0</v>
      </c>
      <c r="FX184" s="8">
        <f>IF(FX$56-Voorblad!$F$41&gt;Voorblad!$K$41,0,IF($U184=0,0,IF($U184&lt;1,1/$U184,IF((FX$56-Voorblad!$F$41)/$U184-SUM($EE184:FW184)=1,1,0))))</f>
        <v>0</v>
      </c>
      <c r="FY184" s="8">
        <f>IF(FY$56-Voorblad!$F$41&gt;Voorblad!$K$41,0,IF($U184=0,0,IF($U184&lt;1,1/$U184,IF((FY$56-Voorblad!$F$41)/$U184-SUM($EE184:FX184)=1,1,0))))</f>
        <v>0</v>
      </c>
      <c r="FZ184" s="8">
        <f>IF(FZ$56-Voorblad!$F$41&gt;Voorblad!$K$41,0,IF($U184=0,0,IF($U184&lt;1,1/$U184,IF((FZ$56-Voorblad!$F$41)/$U184-SUM($EE184:FY184)=1,1,0))))</f>
        <v>0</v>
      </c>
      <c r="GA184" s="8">
        <f>IF(GA$56-Voorblad!$F$41&gt;Voorblad!$K$41,0,IF($U184=0,0,IF($U184&lt;1,1/$U184,IF((GA$56-Voorblad!$F$41)/$U184-SUM($EE184:FZ184)=1,1,0))))</f>
        <v>0</v>
      </c>
      <c r="GB184" s="8">
        <f>IF(GB$56-Voorblad!$F$41&gt;Voorblad!$K$41,0,IF($U184=0,0,IF($U184&lt;1,1/$U184,IF((GB$56-Voorblad!$F$41)/$U184-SUM($EE184:GA184)=1,1,0))))</f>
        <v>0</v>
      </c>
      <c r="GC184" s="8">
        <f>IF(GC$56-Voorblad!$F$41&gt;Voorblad!$K$41,0,IF($U184=0,0,IF($U184&lt;1,1/$U184,IF((GC$56-Voorblad!$F$41)/$U184-SUM($EE184:GB184)=1,1,0))))</f>
        <v>0</v>
      </c>
      <c r="GD184" s="8">
        <f>IF(GD$56-Voorblad!$F$41&gt;Voorblad!$K$41,0,IF($U184=0,0,IF($U184&lt;1,1/$U184,IF((GD$56-Voorblad!$F$41)/$U184-SUM($EE184:GC184)=1,1,0))))</f>
        <v>1</v>
      </c>
      <c r="GE184" s="8">
        <f>IF(GE$56-Voorblad!$F$41&gt;Voorblad!$K$41,0,IF($U184=0,0,IF($U184&lt;1,1/$U184,IF((GE$56-Voorblad!$F$41)/$U184-SUM($EE184:GD184)=1,1,0))))</f>
        <v>0</v>
      </c>
      <c r="GF184" s="8">
        <f>IF(GF$56-Voorblad!$F$41&gt;Voorblad!$K$41,0,IF($U184=0,0,IF($U184&lt;1,1/$U184,IF((GF$56-Voorblad!$F$41)/$U184-SUM($EE184:GE184)=1,1,0))))</f>
        <v>0</v>
      </c>
      <c r="GG184" s="8">
        <f>IF(GG$56-Voorblad!$F$41&gt;Voorblad!$K$41,0,IF($U184=0,0,IF($U184&lt;1,1/$U184,IF((GG$56-Voorblad!$F$41)/$U184-SUM($EE184:GF184)=1,1,0))))</f>
        <v>0</v>
      </c>
      <c r="GH184" s="8">
        <f>IF(GH$56-Voorblad!$F$41&gt;Voorblad!$K$41,0,IF($U184=0,0,IF($U184&lt;1,1/$U184,IF((GH$56-Voorblad!$F$41)/$U184-SUM($EE184:GG184)=1,1,0))))</f>
        <v>0</v>
      </c>
      <c r="GI184" s="8">
        <f>IF(GI$56-Voorblad!$F$41&gt;Voorblad!$K$41,0,IF($U184=0,0,IF($U184&lt;1,1/$U184,IF((GI$56-Voorblad!$F$41)/$U184-SUM($EE184:GH184)=1,1,0))))</f>
        <v>0</v>
      </c>
      <c r="GJ184" s="8">
        <f>IF(GJ$56-Voorblad!$F$41&gt;Voorblad!$K$41,0,IF($U184=0,0,IF($U184&lt;1,1/$U184,IF((GJ$56-Voorblad!$F$41)/$U184-SUM($EE184:GI184)=1,1,0))))</f>
        <v>0</v>
      </c>
      <c r="GK184" s="8">
        <f>IF(GK$56-Voorblad!$F$41&gt;Voorblad!$K$41,0,IF($U184=0,0,IF($U184&lt;1,1/$U184,IF((GK$56-Voorblad!$F$41)/$U184-SUM($EE184:GJ184)=1,1,0))))</f>
        <v>0</v>
      </c>
      <c r="GL184" s="8">
        <f>IF(GL$56-Voorblad!$F$41&gt;Voorblad!$K$41,0,IF($U184=0,0,IF($U184&lt;1,1/$U184,IF((GL$56-Voorblad!$F$41)/$U184-SUM($EE184:GK184)=1,1,0))))</f>
        <v>0</v>
      </c>
      <c r="GM184" s="8">
        <f>IF(GM$56-Voorblad!$F$41&gt;Voorblad!$K$41,0,IF($U184=0,0,IF($U184&lt;1,1/$U184,IF((GM$56-Voorblad!$F$41)/$U184-SUM($EE184:GL184)=1,1,0))))</f>
        <v>0</v>
      </c>
      <c r="GN184" s="8">
        <f>IF(GN$56-Voorblad!$F$41&gt;Voorblad!$K$41,0,IF($U184=0,0,IF($U184&lt;1,1/$U184,IF((GN$56-Voorblad!$F$41)/$U184-SUM($EE184:GM184)=1,1,0))))</f>
        <v>0</v>
      </c>
      <c r="GO184" s="8">
        <f>IF(GO$56-Voorblad!$F$41&gt;Voorblad!$K$41,0,IF($U184=0,0,IF($U184&lt;1,1/$U184,IF((GO$56-Voorblad!$F$41)/$U184-SUM($EE184:GN184)=1,1,0))))</f>
        <v>0</v>
      </c>
      <c r="GP184" s="8">
        <f>IF(GP$56-Voorblad!$F$41&gt;Voorblad!$K$41,0,IF($U184=0,0,IF($U184&lt;1,1/$U184,IF((GP$56-Voorblad!$F$41)/$U184-SUM($EE184:GO184)=1,1,0))))</f>
        <v>0</v>
      </c>
      <c r="GQ184" s="8">
        <f>IF(GQ$56-Voorblad!$F$41&gt;Voorblad!$K$41,0,IF($U184=0,0,IF($U184&lt;1,1/$U184,IF((GQ$56-Voorblad!$F$41)/$U184-SUM($EE184:GP184)=1,1,0))))</f>
        <v>0</v>
      </c>
      <c r="GR184" s="8">
        <f>IF(GR$56-Voorblad!$F$41&gt;Voorblad!$K$41,0,IF($U184=0,0,IF($U184&lt;1,1/$U184,IF((GR$56-Voorblad!$F$41)/$U184-SUM($EE184:GQ184)=1,1,0))))</f>
        <v>0</v>
      </c>
      <c r="GS184" s="8">
        <f>IF(GS$56-Voorblad!$F$41&gt;Voorblad!$K$41,0,IF($U184=0,0,IF($U184&lt;1,1/$U184,IF((GS$56-Voorblad!$F$41)/$U184-SUM($EE184:GR184)=1,1,0))))</f>
        <v>0</v>
      </c>
      <c r="GT184" s="8">
        <f>IF(GT$56-Voorblad!$F$41&gt;Voorblad!$K$41,0,IF($U184=0,0,IF($U184&lt;1,1/$U184,IF((GT$56-Voorblad!$F$41)/$U184-SUM($EE184:GS184)=1,1,0))))</f>
        <v>0</v>
      </c>
      <c r="GU184" s="8">
        <f>IF(GU$56-Voorblad!$F$41&gt;Voorblad!$K$41,0,IF($U184=0,0,IF($U184&lt;1,1/$U184,IF((GU$56-Voorblad!$F$41)/$U184-SUM($EE184:GT184)=1,1,0))))</f>
        <v>0</v>
      </c>
      <c r="GV184" s="8">
        <f>IF(GV$56-Voorblad!$F$41&gt;Voorblad!$K$41,0,IF($U184=0,0,IF($U184&lt;1,1/$U184,IF((GV$56-Voorblad!$F$41)/$U184-SUM($EE184:GU184)=1,1,0))))</f>
        <v>0</v>
      </c>
      <c r="GW184" s="8">
        <f>IF(GW$56-Voorblad!$F$41&gt;Voorblad!$K$41,0,IF($U184=0,0,IF($U184&lt;1,1/$U184,IF((GW$56-Voorblad!$F$41)/$U184-SUM($EE184:GV184)=1,1,0))))</f>
        <v>0</v>
      </c>
      <c r="GX184" s="8">
        <f>IF(GX$56-Voorblad!$F$41&gt;Voorblad!$K$41,0,IF($U184=0,0,IF($U184&lt;1,1/$U184,IF((GX$56-Voorblad!$F$41)/$U184-SUM($EE184:GW184)=1,1,0))))</f>
        <v>0</v>
      </c>
      <c r="GY184" s="8">
        <f>IF(GY$56-Voorblad!$F$41&gt;Voorblad!$K$41,0,IF($U184=0,0,IF($U184&lt;1,1/$U184,IF((GY$56-Voorblad!$F$41)/$U184-SUM($EE184:GX184)=1,1,0))))</f>
        <v>0</v>
      </c>
      <c r="GZ184" s="8">
        <f>IF(GZ$56-Voorblad!$F$41&gt;Voorblad!$K$41,0,IF($U184=0,0,IF($U184&lt;1,1/$U184,IF((GZ$56-Voorblad!$F$41)/$U184-SUM($EE184:GY184)=1,1,0))))</f>
        <v>0</v>
      </c>
      <c r="HA184" s="8">
        <f>IF(HA$56-Voorblad!$F$41&gt;Voorblad!$K$41,0,IF($U184=0,0,IF($U184&lt;1,1/$U184,IF((HA$56-Voorblad!$F$41)/$U184-SUM($EE184:GZ184)=1,1,0))))</f>
        <v>0</v>
      </c>
      <c r="HB184" s="8">
        <f>IF(HB$56-Voorblad!$F$41&gt;Voorblad!$K$41,0,IF($U184=0,0,IF($U184&lt;1,1/$U184,IF((HB$56-Voorblad!$F$41)/$U184-SUM($EE184:HA184)=1,1,0))))</f>
        <v>0</v>
      </c>
      <c r="HC184" s="8">
        <f>IF(HC$56-Voorblad!$F$41&gt;Voorblad!$K$41,0,IF($U184=0,0,IF($U184&lt;1,1/$U184,IF((HC$56-Voorblad!$F$41)/$U184-SUM($EE184:HB184)=1,1,0))))</f>
        <v>0</v>
      </c>
      <c r="HD184" s="8">
        <f>IF(HD$56-Voorblad!$F$41&gt;Voorblad!$K$41,0,IF($U184=0,0,IF($U184&lt;1,1/$U184,IF((HD$56-Voorblad!$F$41)/$U184-SUM($EE184:HC184)=1,1,0))))</f>
        <v>0</v>
      </c>
      <c r="HE184" s="8">
        <f>IF(HE$56-Voorblad!$F$41&gt;Voorblad!$K$41,0,IF($U184=0,0,IF($U184&lt;1,1/$U184,IF((HE$56-Voorblad!$F$41)/$U184-SUM($EE184:HD184)=1,1,0))))</f>
        <v>0</v>
      </c>
      <c r="HF184" s="8">
        <f>IF(HF$56-Voorblad!$F$41&gt;Voorblad!$K$41,0,IF($U184=0,0,IF($U184&lt;1,1/$U184,IF((HF$56-Voorblad!$F$41)/$U184-SUM($EE184:HE184)=1,1,0))))</f>
        <v>0</v>
      </c>
      <c r="HG184" s="8">
        <f>IF(HG$56-Voorblad!$F$41&gt;Voorblad!$K$41,0,IF($U184=0,0,IF($U184&lt;1,1/$U184,IF((HG$56-Voorblad!$F$41)/$U184-SUM($EE184:HF184)=1,1,0))))</f>
        <v>0</v>
      </c>
      <c r="HH184" s="8">
        <f>IF(HH$56-Voorblad!$F$41&gt;Voorblad!$K$41,0,IF($U184=0,0,IF($U184&lt;1,1/$U184,IF((HH$56-Voorblad!$F$41)/$U184-SUM($EE184:HG184)=1,1,0))))</f>
        <v>0</v>
      </c>
      <c r="HI184" s="8">
        <f>IF(HI$56-Voorblad!$F$41&gt;Voorblad!$K$41,0,IF($U184=0,0,IF($U184&lt;1,1/$U184,IF((HI$56-Voorblad!$F$41)/$U184-SUM($EE184:HH184)=1,1,0))))</f>
        <v>0</v>
      </c>
      <c r="HJ184" s="8">
        <f>IF(HJ$56-Voorblad!$F$41&gt;Voorblad!$K$41,0,IF($U184=0,0,IF($U184&lt;1,1/$U184,IF((HJ$56-Voorblad!$F$41)/$U184-SUM($EE184:HI184)=1,1,0))))</f>
        <v>0</v>
      </c>
      <c r="HK184" s="8">
        <f>IF(HK$56-Voorblad!$F$41&gt;Voorblad!$K$41,0,IF($U184=0,0,IF($U184&lt;1,1/$U184,IF((HK$56-Voorblad!$F$41)/$U184-SUM($EE184:HJ184)=1,1,0))))</f>
        <v>0</v>
      </c>
      <c r="HL184" s="8">
        <f>IF(HL$56-Voorblad!$F$41&gt;Voorblad!$K$41,0,IF($U184=0,0,IF($U184&lt;1,1/$U184,IF((HL$56-Voorblad!$F$41)/$U184-SUM($EE184:HK184)=1,1,0))))</f>
        <v>0</v>
      </c>
      <c r="HM184" s="8">
        <f>IF(HM$56-Voorblad!$F$41&gt;Voorblad!$K$41,0,IF($U184=0,0,IF($U184&lt;1,1/$U184,IF((HM$56-Voorblad!$F$41)/$U184-SUM($EE184:HL184)=1,1,0))))</f>
        <v>0</v>
      </c>
      <c r="HN184" s="8">
        <f>IF(HN$56-Voorblad!$F$41&gt;Voorblad!$K$41,0,IF($U184=0,0,IF($U184&lt;1,1/$U184,IF((HN$56-Voorblad!$F$41)/$U184-SUM($EE184:HM184)=1,1,0))))</f>
        <v>0</v>
      </c>
      <c r="HO184" s="8">
        <f>IF(HO$56-Voorblad!$F$41&gt;Voorblad!$K$41,0,IF($U184=0,0,IF($U184&lt;1,1/$U184,IF((HO$56-Voorblad!$F$41)/$U184-SUM($EE184:HN184)=1,1,0))))</f>
        <v>0</v>
      </c>
      <c r="HP184" s="8">
        <f>IF(HP$56-Voorblad!$F$41&gt;Voorblad!$K$41,0,IF($U184=0,0,IF($U184&lt;1,1/$U184,IF((HP$56-Voorblad!$F$41)/$U184-SUM($EE184:HO184)=1,1,0))))</f>
        <v>0</v>
      </c>
      <c r="HQ184" s="8">
        <f>IF(HQ$56-Voorblad!$F$41&gt;Voorblad!$K$41,0,IF($U184=0,0,IF($U184&lt;1,1/$U184,IF((HQ$56-Voorblad!$F$41)/$U184-SUM($EE184:HP184)=1,1,0))))</f>
        <v>0</v>
      </c>
      <c r="HR184" s="8">
        <f>IF(HR$56-Voorblad!$F$41&gt;Voorblad!$K$41,0,IF($U184=0,0,IF($U184&lt;1,1/$U184,IF((HR$56-Voorblad!$F$41)/$U184-SUM($EE184:HQ184)=1,1,0))))</f>
        <v>0</v>
      </c>
      <c r="HS184" s="8">
        <f>IF(HS$56-Voorblad!$F$41&gt;Voorblad!$K$41,0,IF($U184=0,0,IF($U184&lt;1,1/$U184,IF((HS$56-Voorblad!$F$41)/$U184-SUM($EE184:HR184)=1,1,0))))</f>
        <v>0</v>
      </c>
      <c r="HT184" s="8">
        <f>IF(HT$56-Voorblad!$F$41&gt;Voorblad!$K$41,0,IF($U184=0,0,IF($U184&lt;1,1/$U184,IF((HT$56-Voorblad!$F$41)/$U184-SUM($EE184:HS184)=1,1,0))))</f>
        <v>0</v>
      </c>
      <c r="HU184" s="8">
        <f>IF(HU$56-Voorblad!$F$41&gt;Voorblad!$K$41,0,IF($U184=0,0,IF($U184&lt;1,1/$U184,IF((HU$56-Voorblad!$F$41)/$U184-SUM($EE184:HT184)=1,1,0))))</f>
        <v>0</v>
      </c>
      <c r="HV184" s="8">
        <f>IF(HV$56-Voorblad!$F$41&gt;Voorblad!$K$41,0,IF($U184=0,0,IF($U184&lt;1,1/$U184,IF((HV$56-Voorblad!$F$41)/$U184-SUM($EE184:HU184)=1,1,0))))</f>
        <v>0</v>
      </c>
      <c r="HW184" s="8">
        <f>IF(HW$56-Voorblad!$F$41&gt;Voorblad!$K$41,0,IF($U184=0,0,IF($U184&lt;1,1/$U184,IF((HW$56-Voorblad!$F$41)/$U184-SUM($EE184:HV184)=1,1,0))))</f>
        <v>0</v>
      </c>
      <c r="HX184" s="8">
        <f>IF(HX$56-Voorblad!$F$41&gt;Voorblad!$K$41,0,IF($U184=0,0,IF($U184&lt;1,1/$U184,IF((HX$56-Voorblad!$F$41)/$U184-SUM($EE184:HW184)=1,1,0))))</f>
        <v>0</v>
      </c>
      <c r="HY184" s="8">
        <f>IF(HY$56-Voorblad!$F$41&gt;Voorblad!$K$41,0,IF($U184=0,0,IF($U184&lt;1,1/$U184,IF((HY$56-Voorblad!$F$41)/$U184-SUM($EE184:HX184)=1,1,0))))</f>
        <v>0</v>
      </c>
      <c r="HZ184" s="8">
        <f>IF(HZ$56-Voorblad!$F$41&gt;Voorblad!$K$41,0,IF($U184=0,0,IF($U184&lt;1,1/$U184,IF((HZ$56-Voorblad!$F$41)/$U184-SUM($EE184:HY184)=1,1,0))))</f>
        <v>0</v>
      </c>
      <c r="IA184" s="8">
        <f>IF(IA$56-Voorblad!$F$41&gt;Voorblad!$K$41,0,IF($U184=0,0,IF($U184&lt;1,1/$U184,IF((IA$56-Voorblad!$F$41)/$U184-SUM($EE184:HZ184)=1,1,0))))</f>
        <v>0</v>
      </c>
      <c r="IB184" s="8">
        <f>IF(IB$56-Voorblad!$F$41&gt;Voorblad!$K$41,0,IF($U184=0,0,IF($U184&lt;1,1/$U184,IF((IB$56-Voorblad!$F$41)/$U184-SUM($EE184:IA184)=1,1,0))))</f>
        <v>0</v>
      </c>
    </row>
    <row r="185" spans="2:236" hidden="1" outlineLevel="1" x14ac:dyDescent="0.25">
      <c r="B185" s="2" t="s">
        <v>270</v>
      </c>
      <c r="C185" s="2"/>
      <c r="D185" s="22"/>
      <c r="S185" s="14"/>
      <c r="U185" s="14"/>
      <c r="V185" s="14"/>
      <c r="Y185" s="23">
        <f>SUM(Y174:Y184)</f>
        <v>0</v>
      </c>
      <c r="Z185" s="24"/>
      <c r="AA185" s="23">
        <f>SUM(AA174:AA184)</f>
        <v>0</v>
      </c>
      <c r="AC185" s="9">
        <f>$Y185*(Voorblad!$K$44*(1+Voorblad!$K$44)^Voorblad!$K$41)/((1+Voorblad!$K$44)^Voorblad!$K$41-1)</f>
        <v>0</v>
      </c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E185" s="8"/>
      <c r="EF185" s="8"/>
      <c r="EG185" s="8"/>
      <c r="EH185" s="8"/>
      <c r="EI185" s="8"/>
      <c r="EJ185" s="8"/>
      <c r="EK185" s="8"/>
      <c r="EL185" s="8"/>
      <c r="EM185" s="8"/>
      <c r="EN185" s="8"/>
      <c r="EO185" s="8"/>
      <c r="EP185" s="8"/>
      <c r="EQ185" s="8"/>
      <c r="ER185" s="8"/>
      <c r="ES185" s="8"/>
      <c r="ET185" s="8"/>
      <c r="EU185" s="8"/>
      <c r="EV185" s="8"/>
      <c r="EW185" s="8"/>
      <c r="EX185" s="8"/>
      <c r="EY185" s="8"/>
      <c r="EZ185" s="8"/>
      <c r="FA185" s="8"/>
      <c r="FB185" s="8"/>
      <c r="FC185" s="8"/>
      <c r="FD185" s="8"/>
      <c r="FE185" s="8"/>
      <c r="FF185" s="8"/>
      <c r="FG185" s="8"/>
      <c r="FH185" s="8"/>
      <c r="FI185" s="8"/>
      <c r="FJ185" s="8"/>
      <c r="FK185" s="8"/>
      <c r="FL185" s="8"/>
      <c r="FM185" s="8"/>
      <c r="FN185" s="8"/>
      <c r="FO185" s="8"/>
      <c r="FP185" s="8"/>
      <c r="FQ185" s="8"/>
      <c r="FR185" s="8"/>
      <c r="FS185" s="8"/>
      <c r="FT185" s="8"/>
      <c r="FU185" s="8"/>
      <c r="FV185" s="8"/>
      <c r="FW185" s="8"/>
      <c r="FX185" s="8"/>
      <c r="FY185" s="8"/>
      <c r="FZ185" s="8"/>
      <c r="GA185" s="8"/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</row>
    <row r="186" spans="2:236" hidden="1" outlineLevel="1" x14ac:dyDescent="0.25">
      <c r="S186" s="14"/>
      <c r="U186" s="14"/>
      <c r="V186" s="14"/>
      <c r="Y186" s="9"/>
      <c r="Z186" s="9"/>
      <c r="AA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E186" s="8"/>
      <c r="EF186" s="8"/>
      <c r="EG186" s="8"/>
      <c r="EH186" s="8"/>
      <c r="EI186" s="8"/>
      <c r="EJ186" s="8"/>
      <c r="EK186" s="8"/>
      <c r="EL186" s="8"/>
      <c r="EM186" s="8"/>
      <c r="EN186" s="8"/>
      <c r="EO186" s="8"/>
      <c r="EP186" s="8"/>
      <c r="EQ186" s="8"/>
      <c r="ER186" s="8"/>
      <c r="ES186" s="8"/>
      <c r="ET186" s="8"/>
      <c r="EU186" s="8"/>
      <c r="EV186" s="8"/>
      <c r="EW186" s="8"/>
      <c r="EX186" s="8"/>
      <c r="EY186" s="8"/>
      <c r="EZ186" s="8"/>
      <c r="FA186" s="8"/>
      <c r="FB186" s="8"/>
      <c r="FC186" s="8"/>
      <c r="FD186" s="8"/>
      <c r="FE186" s="8"/>
      <c r="FF186" s="8"/>
      <c r="FG186" s="8"/>
      <c r="FH186" s="8"/>
      <c r="FI186" s="8"/>
      <c r="FJ186" s="8"/>
      <c r="FK186" s="8"/>
      <c r="FL186" s="8"/>
      <c r="FM186" s="8"/>
      <c r="FN186" s="8"/>
      <c r="FO186" s="8"/>
      <c r="FP186" s="8"/>
      <c r="FQ186" s="8"/>
      <c r="FR186" s="8"/>
      <c r="FS186" s="8"/>
      <c r="FT186" s="8"/>
      <c r="FU186" s="8"/>
      <c r="FV186" s="8"/>
      <c r="FW186" s="8"/>
      <c r="FX186" s="8"/>
      <c r="FY186" s="8"/>
      <c r="FZ186" s="8"/>
      <c r="GA186" s="8"/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</row>
    <row r="187" spans="2:236" hidden="1" outlineLevel="1" x14ac:dyDescent="0.25">
      <c r="B187" s="14">
        <v>1</v>
      </c>
      <c r="C187" s="14"/>
      <c r="F187" s="1" t="s">
        <v>26</v>
      </c>
      <c r="I187" s="1" t="s">
        <v>49</v>
      </c>
      <c r="K187" s="1" t="s">
        <v>108</v>
      </c>
      <c r="O187" s="1" t="s">
        <v>57</v>
      </c>
      <c r="Q187" s="81">
        <v>0</v>
      </c>
      <c r="R187" s="81" t="s">
        <v>33</v>
      </c>
      <c r="S187" s="81">
        <v>0</v>
      </c>
      <c r="T187" s="14">
        <f>Q187*S187</f>
        <v>0</v>
      </c>
      <c r="U187" s="11">
        <v>1</v>
      </c>
      <c r="V187" s="14">
        <f>Voorblad!F24+100</f>
        <v>2101</v>
      </c>
      <c r="W187" s="9">
        <f>Voorblad!K81</f>
        <v>0</v>
      </c>
      <c r="X187" s="6"/>
      <c r="Y187" s="9">
        <f t="shared" si="190"/>
        <v>0</v>
      </c>
      <c r="Z187" s="82"/>
      <c r="AA187" s="82"/>
      <c r="AC187" s="9">
        <f>$Y187*(Voorblad!$K$44*(1+Voorblad!$K$44)^Voorblad!$K$41)/((1+Voorblad!$K$44)^Voorblad!$K$41-1)</f>
        <v>0</v>
      </c>
      <c r="AE187" s="9">
        <f>IF($W187=AE$56,EF187*($Q187*$S187)/(1+Voorblad!$K$44)^(AE$56-Voorblad!$F$41),0)</f>
        <v>0</v>
      </c>
      <c r="AF187" s="9">
        <f>IF($W187=AF$56,EG187*($Q187*$S187)/(1+Voorblad!$K$44)^(AF$56-Voorblad!$F$41),0)</f>
        <v>0</v>
      </c>
      <c r="AG187" s="9">
        <f>IF($W187=AG$56,EH187*($Q187*$S187)/(1+Voorblad!$K$44)^(AG$56-Voorblad!$F$41),0)</f>
        <v>0</v>
      </c>
      <c r="AH187" s="9">
        <f>IF($W187=AH$56,EI187*($Q187*$S187)/(1+Voorblad!$K$44)^(AH$56-Voorblad!$F$41),0)</f>
        <v>0</v>
      </c>
      <c r="AI187" s="9">
        <f>IF($W187=AI$56,EJ187*($Q187*$S187)/(1+Voorblad!$K$44)^(AI$56-Voorblad!$F$41),0)</f>
        <v>0</v>
      </c>
      <c r="AJ187" s="9">
        <f>IF($W187=AJ$56,EK187*($Q187*$S187)/(1+Voorblad!$K$44)^(AJ$56-Voorblad!$F$41),0)</f>
        <v>0</v>
      </c>
      <c r="AK187" s="9">
        <f>IF($W187=AK$56,EL187*($Q187*$S187)/(1+Voorblad!$K$44)^(AK$56-Voorblad!$F$41),0)</f>
        <v>0</v>
      </c>
      <c r="AL187" s="9">
        <f>IF($W187=AL$56,EM187*($Q187*$S187)/(1+Voorblad!$K$44)^(AL$56-Voorblad!$F$41),0)</f>
        <v>0</v>
      </c>
      <c r="AM187" s="9">
        <f>IF($W187=AM$56,EN187*($Q187*$S187)/(1+Voorblad!$K$44)^(AM$56-Voorblad!$F$41),0)</f>
        <v>0</v>
      </c>
      <c r="AN187" s="9">
        <f>IF($W187=AN$56,EO187*($Q187*$S187)/(1+Voorblad!$K$44)^(AN$56-Voorblad!$F$41),0)</f>
        <v>0</v>
      </c>
      <c r="AO187" s="9">
        <f>IF($W187=AO$56,EP187*($Q187*$S187)/(1+Voorblad!$K$44)^(AO$56-Voorblad!$F$41),0)</f>
        <v>0</v>
      </c>
      <c r="AP187" s="9">
        <f>IF($W187=AP$56,EQ187*($Q187*$S187)/(1+Voorblad!$K$44)^(AP$56-Voorblad!$F$41),0)</f>
        <v>0</v>
      </c>
      <c r="AQ187" s="9">
        <f>IF($W187=AQ$56,ER187*($Q187*$S187)/(1+Voorblad!$K$44)^(AQ$56-Voorblad!$F$41),0)</f>
        <v>0</v>
      </c>
      <c r="AR187" s="9">
        <f>IF($W187=AR$56,ES187*($Q187*$S187)/(1+Voorblad!$K$44)^(AR$56-Voorblad!$F$41),0)</f>
        <v>0</v>
      </c>
      <c r="AS187" s="9">
        <f>IF($W187=AS$56,ET187*($Q187*$S187)/(1+Voorblad!$K$44)^(AS$56-Voorblad!$F$41),0)</f>
        <v>0</v>
      </c>
      <c r="AT187" s="9">
        <f>IF($W187=AT$56,EU187*($Q187*$S187)/(1+Voorblad!$K$44)^(AT$56-Voorblad!$F$41),0)</f>
        <v>0</v>
      </c>
      <c r="AU187" s="9">
        <f>IF($W187=AU$56,EV187*($Q187*$S187)/(1+Voorblad!$K$44)^(AU$56-Voorblad!$F$41),0)</f>
        <v>0</v>
      </c>
      <c r="AV187" s="9">
        <f>IF($W187=AV$56,EW187*($Q187*$S187)/(1+Voorblad!$K$44)^(AV$56-Voorblad!$F$41),0)</f>
        <v>0</v>
      </c>
      <c r="AW187" s="9">
        <f>IF($W187=AW$56,EX187*($Q187*$S187)/(1+Voorblad!$K$44)^(AW$56-Voorblad!$F$41),0)</f>
        <v>0</v>
      </c>
      <c r="AX187" s="9">
        <f>IF($W187=AX$56,EY187*($Q187*$S187)/(1+Voorblad!$K$44)^(AX$56-Voorblad!$F$41),0)</f>
        <v>0</v>
      </c>
      <c r="AY187" s="9">
        <f>IF($W187=AY$56,EZ187*($Q187*$S187)/(1+Voorblad!$K$44)^(AY$56-Voorblad!$F$41),0)</f>
        <v>0</v>
      </c>
      <c r="AZ187" s="9">
        <f>IF($W187=AZ$56,FA187*($Q187*$S187)/(1+Voorblad!$K$44)^(AZ$56-Voorblad!$F$41),0)</f>
        <v>0</v>
      </c>
      <c r="BA187" s="9">
        <f>IF($W187=BA$56,FB187*($Q187*$S187)/(1+Voorblad!$K$44)^(BA$56-Voorblad!$F$41),0)</f>
        <v>0</v>
      </c>
      <c r="BB187" s="9">
        <f>IF($W187=BB$56,FC187*($Q187*$S187)/(1+Voorblad!$K$44)^(BB$56-Voorblad!$F$41),0)</f>
        <v>0</v>
      </c>
      <c r="BC187" s="9">
        <f>IF($W187=BC$56,FD187*($Q187*$S187)/(1+Voorblad!$K$44)^(BC$56-Voorblad!$F$41),0)</f>
        <v>0</v>
      </c>
      <c r="BD187" s="9">
        <f>IF($W187=BD$56,FE187*($Q187*$S187)/(1+Voorblad!$K$44)^(BD$56-Voorblad!$F$41),0)</f>
        <v>0</v>
      </c>
      <c r="BE187" s="9">
        <f>IF($W187=BE$56,FF187*($Q187*$S187)/(1+Voorblad!$K$44)^(BE$56-Voorblad!$F$41),0)</f>
        <v>0</v>
      </c>
      <c r="BF187" s="9">
        <f>IF($W187=BF$56,FG187*($Q187*$S187)/(1+Voorblad!$K$44)^(BF$56-Voorblad!$F$41),0)</f>
        <v>0</v>
      </c>
      <c r="BG187" s="9">
        <f>IF($W187=BG$56,FH187*($Q187*$S187)/(1+Voorblad!$K$44)^(BG$56-Voorblad!$F$41),0)</f>
        <v>0</v>
      </c>
      <c r="BH187" s="9">
        <f>IF($W187=BH$56,FI187*($Q187*$S187)/(1+Voorblad!$K$44)^(BH$56-Voorblad!$F$41),0)</f>
        <v>0</v>
      </c>
      <c r="BI187" s="9">
        <f>IF($W187=BI$56,FJ187*($Q187*$S187)/(1+Voorblad!$K$44)^(BI$56-Voorblad!$F$41),0)</f>
        <v>0</v>
      </c>
      <c r="BJ187" s="9">
        <f>IF($W187=BJ$56,FK187*($Q187*$S187)/(1+Voorblad!$K$44)^(BJ$56-Voorblad!$F$41),0)</f>
        <v>0</v>
      </c>
      <c r="BK187" s="9">
        <f>IF($W187=BK$56,FL187*($Q187*$S187)/(1+Voorblad!$K$44)^(BK$56-Voorblad!$F$41),0)</f>
        <v>0</v>
      </c>
      <c r="BL187" s="9">
        <f>IF($W187=BL$56,FM187*($Q187*$S187)/(1+Voorblad!$K$44)^(BL$56-Voorblad!$F$41),0)</f>
        <v>0</v>
      </c>
      <c r="BM187" s="9">
        <f>IF($W187=BM$56,FN187*($Q187*$S187)/(1+Voorblad!$K$44)^(BM$56-Voorblad!$F$41),0)</f>
        <v>0</v>
      </c>
      <c r="BN187" s="9">
        <f>IF($W187=BN$56,FO187*($Q187*$S187)/(1+Voorblad!$K$44)^(BN$56-Voorblad!$F$41),0)</f>
        <v>0</v>
      </c>
      <c r="BO187" s="9">
        <f>IF($W187=BO$56,FP187*($Q187*$S187)/(1+Voorblad!$K$44)^(BO$56-Voorblad!$F$41),0)</f>
        <v>0</v>
      </c>
      <c r="BP187" s="9">
        <f>IF($W187=BP$56,FQ187*($Q187*$S187)/(1+Voorblad!$K$44)^(BP$56-Voorblad!$F$41),0)</f>
        <v>0</v>
      </c>
      <c r="BQ187" s="9">
        <f>IF($W187=BQ$56,FR187*($Q187*$S187)/(1+Voorblad!$K$44)^(BQ$56-Voorblad!$F$41),0)</f>
        <v>0</v>
      </c>
      <c r="BR187" s="9">
        <f>IF($W187=BR$56,FS187*($Q187*$S187)/(1+Voorblad!$K$44)^(BR$56-Voorblad!$F$41),0)</f>
        <v>0</v>
      </c>
      <c r="BS187" s="9">
        <f>IF($W187=BS$56,FT187*($Q187*$S187)/(1+Voorblad!$K$44)^(BS$56-Voorblad!$F$41),0)</f>
        <v>0</v>
      </c>
      <c r="BT187" s="9">
        <f>IF($W187=BT$56,FU187*($Q187*$S187)/(1+Voorblad!$K$44)^(BT$56-Voorblad!$F$41),0)</f>
        <v>0</v>
      </c>
      <c r="BU187" s="9">
        <f>IF($W187=BU$56,FV187*($Q187*$S187)/(1+Voorblad!$K$44)^(BU$56-Voorblad!$F$41),0)</f>
        <v>0</v>
      </c>
      <c r="BV187" s="9">
        <f>IF($W187=BV$56,FW187*($Q187*$S187)/(1+Voorblad!$K$44)^(BV$56-Voorblad!$F$41),0)</f>
        <v>0</v>
      </c>
      <c r="BW187" s="9">
        <f>IF($W187=BW$56,FX187*($Q187*$S187)/(1+Voorblad!$K$44)^(BW$56-Voorblad!$F$41),0)</f>
        <v>0</v>
      </c>
      <c r="BX187" s="9">
        <f>IF($W187=BX$56,FY187*($Q187*$S187)/(1+Voorblad!$K$44)^(BX$56-Voorblad!$F$41),0)</f>
        <v>0</v>
      </c>
      <c r="BY187" s="9">
        <f>IF($W187=BY$56,FZ187*($Q187*$S187)/(1+Voorblad!$K$44)^(BY$56-Voorblad!$F$41),0)</f>
        <v>0</v>
      </c>
      <c r="BZ187" s="9">
        <f>IF($W187=BZ$56,GA187*($Q187*$S187)/(1+Voorblad!$K$44)^(BZ$56-Voorblad!$F$41),0)</f>
        <v>0</v>
      </c>
      <c r="CA187" s="9">
        <f>IF($W187=CA$56,GB187*($Q187*$S187)/(1+Voorblad!$K$44)^(CA$56-Voorblad!$F$41),0)</f>
        <v>0</v>
      </c>
      <c r="CB187" s="9">
        <f>IF($W187=CB$56,GC187*($Q187*$S187)/(1+Voorblad!$K$44)^(CB$56-Voorblad!$F$41),0)</f>
        <v>0</v>
      </c>
      <c r="CC187" s="9">
        <f>IF($W187=CC$56,GD187*($Q187*$S187)/(1+Voorblad!$K$44)^(CC$56-Voorblad!$F$41),0)</f>
        <v>0</v>
      </c>
      <c r="CD187" s="9">
        <f>IF($W187=CD$56,GE187*($Q187*$S187)/(1+Voorblad!$K$44)^(CD$56-Voorblad!$F$41),0)</f>
        <v>0</v>
      </c>
      <c r="CE187" s="9">
        <f>IF($W187=CE$56,GF187*($Q187*$S187)/(1+Voorblad!$K$44)^(CE$56-Voorblad!$F$41),0)</f>
        <v>0</v>
      </c>
      <c r="CF187" s="9">
        <f>IF($W187=CF$56,GG187*($Q187*$S187)/(1+Voorblad!$K$44)^(CF$56-Voorblad!$F$41),0)</f>
        <v>0</v>
      </c>
      <c r="CG187" s="9">
        <f>IF($W187=CG$56,GH187*($Q187*$S187)/(1+Voorblad!$K$44)^(CG$56-Voorblad!$F$41),0)</f>
        <v>0</v>
      </c>
      <c r="CH187" s="9">
        <f>IF($W187=CH$56,GI187*($Q187*$S187)/(1+Voorblad!$K$44)^(CH$56-Voorblad!$F$41),0)</f>
        <v>0</v>
      </c>
      <c r="CI187" s="9">
        <f>IF($W187=CI$56,GJ187*($Q187*$S187)/(1+Voorblad!$K$44)^(CI$56-Voorblad!$F$41),0)</f>
        <v>0</v>
      </c>
      <c r="CJ187" s="9">
        <f>IF($W187=CJ$56,GK187*($Q187*$S187)/(1+Voorblad!$K$44)^(CJ$56-Voorblad!$F$41),0)</f>
        <v>0</v>
      </c>
      <c r="CK187" s="9">
        <f>IF($W187=CK$56,GL187*($Q187*$S187)/(1+Voorblad!$K$44)^(CK$56-Voorblad!$F$41),0)</f>
        <v>0</v>
      </c>
      <c r="CL187" s="9">
        <f>IF($W187=CL$56,GM187*($Q187*$S187)/(1+Voorblad!$K$44)^(CL$56-Voorblad!$F$41),0)</f>
        <v>0</v>
      </c>
      <c r="CM187" s="9">
        <f>IF($W187=CM$56,GN187*($Q187*$S187)/(1+Voorblad!$K$44)^(CM$56-Voorblad!$F$41),0)</f>
        <v>0</v>
      </c>
      <c r="CN187" s="9">
        <f>IF($W187=CN$56,GO187*($Q187*$S187)/(1+Voorblad!$K$44)^(CN$56-Voorblad!$F$41),0)</f>
        <v>0</v>
      </c>
      <c r="CO187" s="9">
        <f>IF($W187=CO$56,GP187*($Q187*$S187)/(1+Voorblad!$K$44)^(CO$56-Voorblad!$F$41),0)</f>
        <v>0</v>
      </c>
      <c r="CP187" s="9">
        <f>IF($W187=CP$56,GQ187*($Q187*$S187)/(1+Voorblad!$K$44)^(CP$56-Voorblad!$F$41),0)</f>
        <v>0</v>
      </c>
      <c r="CQ187" s="9">
        <f>IF($W187=CQ$56,GR187*($Q187*$S187)/(1+Voorblad!$K$44)^(CQ$56-Voorblad!$F$41),0)</f>
        <v>0</v>
      </c>
      <c r="CR187" s="9">
        <f>IF($W187=CR$56,GS187*($Q187*$S187)/(1+Voorblad!$K$44)^(CR$56-Voorblad!$F$41),0)</f>
        <v>0</v>
      </c>
      <c r="CS187" s="9">
        <f>IF($W187=CS$56,GT187*($Q187*$S187)/(1+Voorblad!$K$44)^(CS$56-Voorblad!$F$41),0)</f>
        <v>0</v>
      </c>
      <c r="CT187" s="9">
        <f>IF($W187=CT$56,GU187*($Q187*$S187)/(1+Voorblad!$K$44)^(CT$56-Voorblad!$F$41),0)</f>
        <v>0</v>
      </c>
      <c r="CU187" s="9">
        <f>IF($W187=CU$56,GV187*($Q187*$S187)/(1+Voorblad!$K$44)^(CU$56-Voorblad!$F$41),0)</f>
        <v>0</v>
      </c>
      <c r="CV187" s="9">
        <f>IF($W187=CV$56,GW187*($Q187*$S187)/(1+Voorblad!$K$44)^(CV$56-Voorblad!$F$41),0)</f>
        <v>0</v>
      </c>
      <c r="CW187" s="9">
        <f>IF($W187=CW$56,GX187*($Q187*$S187)/(1+Voorblad!$K$44)^(CW$56-Voorblad!$F$41),0)</f>
        <v>0</v>
      </c>
      <c r="CX187" s="9">
        <f>IF($W187=CX$56,GY187*($Q187*$S187)/(1+Voorblad!$K$44)^(CX$56-Voorblad!$F$41),0)</f>
        <v>0</v>
      </c>
      <c r="CY187" s="9">
        <f>IF($W187=CY$56,GZ187*($Q187*$S187)/(1+Voorblad!$K$44)^(CY$56-Voorblad!$F$41),0)</f>
        <v>0</v>
      </c>
      <c r="CZ187" s="9">
        <f>IF($W187=CZ$56,HA187*($Q187*$S187)/(1+Voorblad!$K$44)^(CZ$56-Voorblad!$F$41),0)</f>
        <v>0</v>
      </c>
      <c r="DA187" s="9">
        <f>IF($W187=DA$56,HB187*($Q187*$S187)/(1+Voorblad!$K$44)^(DA$56-Voorblad!$F$41),0)</f>
        <v>0</v>
      </c>
      <c r="DB187" s="9">
        <f>IF($W187=DB$56,HC187*($Q187*$S187)/(1+Voorblad!$K$44)^(DB$56-Voorblad!$F$41),0)</f>
        <v>0</v>
      </c>
      <c r="DC187" s="9">
        <f>IF($W187=DC$56,HD187*($Q187*$S187)/(1+Voorblad!$K$44)^(DC$56-Voorblad!$F$41),0)</f>
        <v>0</v>
      </c>
      <c r="DD187" s="9">
        <f>IF($W187=DD$56,HE187*($Q187*$S187)/(1+Voorblad!$K$44)^(DD$56-Voorblad!$F$41),0)</f>
        <v>0</v>
      </c>
      <c r="DE187" s="9">
        <f>IF($W187=DE$56,HF187*($Q187*$S187)/(1+Voorblad!$K$44)^(DE$56-Voorblad!$F$41),0)</f>
        <v>0</v>
      </c>
      <c r="DF187" s="9">
        <f>IF($W187=DF$56,HG187*($Q187*$S187)/(1+Voorblad!$K$44)^(DF$56-Voorblad!$F$41),0)</f>
        <v>0</v>
      </c>
      <c r="DG187" s="9">
        <f>IF($W187=DG$56,HH187*($Q187*$S187)/(1+Voorblad!$K$44)^(DG$56-Voorblad!$F$41),0)</f>
        <v>0</v>
      </c>
      <c r="DH187" s="9">
        <f>IF($W187=DH$56,HI187*($Q187*$S187)/(1+Voorblad!$K$44)^(DH$56-Voorblad!$F$41),0)</f>
        <v>0</v>
      </c>
      <c r="DI187" s="9">
        <f>IF($W187=DI$56,HJ187*($Q187*$S187)/(1+Voorblad!$K$44)^(DI$56-Voorblad!$F$41),0)</f>
        <v>0</v>
      </c>
      <c r="DJ187" s="9">
        <f>IF($W187=DJ$56,HK187*($Q187*$S187)/(1+Voorblad!$K$44)^(DJ$56-Voorblad!$F$41),0)</f>
        <v>0</v>
      </c>
      <c r="DK187" s="9">
        <f>IF($W187=DK$56,HL187*($Q187*$S187)/(1+Voorblad!$K$44)^(DK$56-Voorblad!$F$41),0)</f>
        <v>0</v>
      </c>
      <c r="DL187" s="9">
        <f>IF($W187=DL$56,HM187*($Q187*$S187)/(1+Voorblad!$K$44)^(DL$56-Voorblad!$F$41),0)</f>
        <v>0</v>
      </c>
      <c r="DM187" s="9">
        <f>IF($W187=DM$56,HN187*($Q187*$S187)/(1+Voorblad!$K$44)^(DM$56-Voorblad!$F$41),0)</f>
        <v>0</v>
      </c>
      <c r="DN187" s="9">
        <f>IF($W187=DN$56,HO187*($Q187*$S187)/(1+Voorblad!$K$44)^(DN$56-Voorblad!$F$41),0)</f>
        <v>0</v>
      </c>
      <c r="DO187" s="9">
        <f>IF($W187=DO$56,HP187*($Q187*$S187)/(1+Voorblad!$K$44)^(DO$56-Voorblad!$F$41),0)</f>
        <v>0</v>
      </c>
      <c r="DP187" s="9">
        <f>IF($W187=DP$56,HQ187*($Q187*$S187)/(1+Voorblad!$K$44)^(DP$56-Voorblad!$F$41),0)</f>
        <v>0</v>
      </c>
      <c r="DQ187" s="9">
        <f>IF($W187=DQ$56,HR187*($Q187*$S187)/(1+Voorblad!$K$44)^(DQ$56-Voorblad!$F$41),0)</f>
        <v>0</v>
      </c>
      <c r="DR187" s="9">
        <f>IF($W187=DR$56,HS187*($Q187*$S187)/(1+Voorblad!$K$44)^(DR$56-Voorblad!$F$41),0)</f>
        <v>0</v>
      </c>
      <c r="DS187" s="9">
        <f>IF($W187=DS$56,HT187*($Q187*$S187)/(1+Voorblad!$K$44)^(DS$56-Voorblad!$F$41),0)</f>
        <v>0</v>
      </c>
      <c r="DT187" s="9">
        <f>IF($W187=DT$56,HU187*($Q187*$S187)/(1+Voorblad!$K$44)^(DT$56-Voorblad!$F$41),0)</f>
        <v>0</v>
      </c>
      <c r="DU187" s="9">
        <f>IF($W187=DU$56,HV187*($Q187*$S187)/(1+Voorblad!$K$44)^(DU$56-Voorblad!$F$41),0)</f>
        <v>0</v>
      </c>
      <c r="DV187" s="9">
        <f>IF($W187=DV$56,HW187*($Q187*$S187)/(1+Voorblad!$K$44)^(DV$56-Voorblad!$F$41),0)</f>
        <v>0</v>
      </c>
      <c r="DW187" s="9">
        <f>IF($W187=DW$56,HX187*($Q187*$S187)/(1+Voorblad!$K$44)^(DW$56-Voorblad!$F$41),0)</f>
        <v>0</v>
      </c>
      <c r="DX187" s="9">
        <f>IF($W187=DX$56,HY187*($Q187*$S187)/(1+Voorblad!$K$44)^(DX$56-Voorblad!$F$41),0)</f>
        <v>0</v>
      </c>
      <c r="DY187" s="9">
        <f>IF($W187=DY$56,HZ187*($Q187*$S187)/(1+Voorblad!$K$44)^(DY$56-Voorblad!$F$41),0)</f>
        <v>0</v>
      </c>
      <c r="DZ187" s="9">
        <f>IF($W187=DZ$56,IA187*($Q187*$S187)/(1+Voorblad!$K$44)^(DZ$56-Voorblad!$F$41),0)</f>
        <v>0</v>
      </c>
      <c r="EA187" s="9">
        <f>IF($W187=EA$56,IB187*($Q187*$S187)/(1+Voorblad!$K$44)^(EA$56-Voorblad!$F$41),0)</f>
        <v>0</v>
      </c>
      <c r="EB187" s="9">
        <f>IF($W187=EB$56,IC187*($Q187*$S187)/(1+Voorblad!$K$44)^(EB$56-Voorblad!$F$41),0)</f>
        <v>0</v>
      </c>
      <c r="EE187" s="8">
        <v>0</v>
      </c>
      <c r="EF187" s="8">
        <f>IF(EF$56-Voorblad!$F$41&gt;Voorblad!$K$41,0,IF($U187=0,0,IF($U187&lt;1,1/$U187,IF((EF$56-Voorblad!$F$41)/$U187-SUM($EE187:EE187)=1,1,0))))</f>
        <v>0</v>
      </c>
      <c r="EG187" s="8">
        <f>IF(EG$56-Voorblad!$F$41&gt;Voorblad!$K$41,0,IF($U187=0,0,IF($U187&lt;1,1/$U187,IF((EG$56-Voorblad!$F$41)/$U187-SUM($EE187:EF187)=1,1,0))))</f>
        <v>1</v>
      </c>
      <c r="EH187" s="8">
        <f>IF(EH$56-Voorblad!$F$41&gt;Voorblad!$K$41,0,IF($U187=0,0,IF($U187&lt;1,1/$U187,IF((EH$56-Voorblad!$F$41)/$U187-SUM($EE187:EG187)=1,1,0))))</f>
        <v>1</v>
      </c>
      <c r="EI187" s="8">
        <f>IF(EI$56-Voorblad!$F$41&gt;Voorblad!$K$41,0,IF($U187=0,0,IF($U187&lt;1,1/$U187,IF((EI$56-Voorblad!$F$41)/$U187-SUM($EE187:EH187)=1,1,0))))</f>
        <v>1</v>
      </c>
      <c r="EJ187" s="8">
        <f>IF(EJ$56-Voorblad!$F$41&gt;Voorblad!$K$41,0,IF($U187=0,0,IF($U187&lt;1,1/$U187,IF((EJ$56-Voorblad!$F$41)/$U187-SUM($EE187:EI187)=1,1,0))))</f>
        <v>1</v>
      </c>
      <c r="EK187" s="8">
        <f>IF(EK$56-Voorblad!$F$41&gt;Voorblad!$K$41,0,IF($U187=0,0,IF($U187&lt;1,1/$U187,IF((EK$56-Voorblad!$F$41)/$U187-SUM($EE187:EJ187)=1,1,0))))</f>
        <v>1</v>
      </c>
      <c r="EL187" s="8">
        <f>IF(EL$56-Voorblad!$F$41&gt;Voorblad!$K$41,0,IF($U187=0,0,IF($U187&lt;1,1/$U187,IF((EL$56-Voorblad!$F$41)/$U187-SUM($EE187:EK187)=1,1,0))))</f>
        <v>1</v>
      </c>
      <c r="EM187" s="8">
        <f>IF(EM$56-Voorblad!$F$41&gt;Voorblad!$K$41,0,IF($U187=0,0,IF($U187&lt;1,1/$U187,IF((EM$56-Voorblad!$F$41)/$U187-SUM($EE187:EL187)=1,1,0))))</f>
        <v>1</v>
      </c>
      <c r="EN187" s="8">
        <f>IF(EN$56-Voorblad!$F$41&gt;Voorblad!$K$41,0,IF($U187=0,0,IF($U187&lt;1,1/$U187,IF((EN$56-Voorblad!$F$41)/$U187-SUM($EE187:EM187)=1,1,0))))</f>
        <v>1</v>
      </c>
      <c r="EO187" s="8">
        <f>IF(EO$56-Voorblad!$F$41&gt;Voorblad!$K$41,0,IF($U187=0,0,IF($U187&lt;1,1/$U187,IF((EO$56-Voorblad!$F$41)/$U187-SUM($EE187:EN187)=1,1,0))))</f>
        <v>1</v>
      </c>
      <c r="EP187" s="8">
        <f>IF(EP$56-Voorblad!$F$41&gt;Voorblad!$K$41,0,IF($U187=0,0,IF($U187&lt;1,1/$U187,IF((EP$56-Voorblad!$F$41)/$U187-SUM($EE187:EO187)=1,1,0))))</f>
        <v>1</v>
      </c>
      <c r="EQ187" s="8">
        <f>IF(EQ$56-Voorblad!$F$41&gt;Voorblad!$K$41,0,IF($U187=0,0,IF($U187&lt;1,1/$U187,IF((EQ$56-Voorblad!$F$41)/$U187-SUM($EE187:EP187)=1,1,0))))</f>
        <v>1</v>
      </c>
      <c r="ER187" s="8">
        <f>IF(ER$56-Voorblad!$F$41&gt;Voorblad!$K$41,0,IF($U187=0,0,IF($U187&lt;1,1/$U187,IF((ER$56-Voorblad!$F$41)/$U187-SUM($EE187:EQ187)=1,1,0))))</f>
        <v>1</v>
      </c>
      <c r="ES187" s="8">
        <f>IF(ES$56-Voorblad!$F$41&gt;Voorblad!$K$41,0,IF($U187=0,0,IF($U187&lt;1,1/$U187,IF((ES$56-Voorblad!$F$41)/$U187-SUM($EE187:ER187)=1,1,0))))</f>
        <v>1</v>
      </c>
      <c r="ET187" s="8">
        <f>IF(ET$56-Voorblad!$F$41&gt;Voorblad!$K$41,0,IF($U187=0,0,IF($U187&lt;1,1/$U187,IF((ET$56-Voorblad!$F$41)/$U187-SUM($EE187:ES187)=1,1,0))))</f>
        <v>1</v>
      </c>
      <c r="EU187" s="8">
        <f>IF(EU$56-Voorblad!$F$41&gt;Voorblad!$K$41,0,IF($U187=0,0,IF($U187&lt;1,1/$U187,IF((EU$56-Voorblad!$F$41)/$U187-SUM($EE187:ET187)=1,1,0))))</f>
        <v>1</v>
      </c>
      <c r="EV187" s="8">
        <f>IF(EV$56-Voorblad!$F$41&gt;Voorblad!$K$41,0,IF($U187=0,0,IF($U187&lt;1,1/$U187,IF((EV$56-Voorblad!$F$41)/$U187-SUM($EE187:EU187)=1,1,0))))</f>
        <v>1</v>
      </c>
      <c r="EW187" s="8">
        <f>IF(EW$56-Voorblad!$F$41&gt;Voorblad!$K$41,0,IF($U187=0,0,IF($U187&lt;1,1/$U187,IF((EW$56-Voorblad!$F$41)/$U187-SUM($EE187:EV187)=1,1,0))))</f>
        <v>1</v>
      </c>
      <c r="EX187" s="8">
        <f>IF(EX$56-Voorblad!$F$41&gt;Voorblad!$K$41,0,IF($U187=0,0,IF($U187&lt;1,1/$U187,IF((EX$56-Voorblad!$F$41)/$U187-SUM($EE187:EW187)=1,1,0))))</f>
        <v>1</v>
      </c>
      <c r="EY187" s="8">
        <f>IF(EY$56-Voorblad!$F$41&gt;Voorblad!$K$41,0,IF($U187=0,0,IF($U187&lt;1,1/$U187,IF((EY$56-Voorblad!$F$41)/$U187-SUM($EE187:EX187)=1,1,0))))</f>
        <v>1</v>
      </c>
      <c r="EZ187" s="8">
        <f>IF(EZ$56-Voorblad!$F$41&gt;Voorblad!$K$41,0,IF($U187=0,0,IF($U187&lt;1,1/$U187,IF((EZ$56-Voorblad!$F$41)/$U187-SUM($EE187:EY187)=1,1,0))))</f>
        <v>1</v>
      </c>
      <c r="FA187" s="8">
        <f>IF(FA$56-Voorblad!$F$41&gt;Voorblad!$K$41,0,IF($U187=0,0,IF($U187&lt;1,1/$U187,IF((FA$56-Voorblad!$F$41)/$U187-SUM($EE187:EZ187)=1,1,0))))</f>
        <v>1</v>
      </c>
      <c r="FB187" s="8">
        <f>IF(FB$56-Voorblad!$F$41&gt;Voorblad!$K$41,0,IF($U187=0,0,IF($U187&lt;1,1/$U187,IF((FB$56-Voorblad!$F$41)/$U187-SUM($EE187:FA187)=1,1,0))))</f>
        <v>1</v>
      </c>
      <c r="FC187" s="8">
        <f>IF(FC$56-Voorblad!$F$41&gt;Voorblad!$K$41,0,IF($U187=0,0,IF($U187&lt;1,1/$U187,IF((FC$56-Voorblad!$F$41)/$U187-SUM($EE187:FB187)=1,1,0))))</f>
        <v>1</v>
      </c>
      <c r="FD187" s="8">
        <f>IF(FD$56-Voorblad!$F$41&gt;Voorblad!$K$41,0,IF($U187=0,0,IF($U187&lt;1,1/$U187,IF((FD$56-Voorblad!$F$41)/$U187-SUM($EE187:FC187)=1,1,0))))</f>
        <v>1</v>
      </c>
      <c r="FE187" s="8">
        <f>IF(FE$56-Voorblad!$F$41&gt;Voorblad!$K$41,0,IF($U187=0,0,IF($U187&lt;1,1/$U187,IF((FE$56-Voorblad!$F$41)/$U187-SUM($EE187:FD187)=1,1,0))))</f>
        <v>1</v>
      </c>
      <c r="FF187" s="8">
        <f>IF(FF$56-Voorblad!$F$41&gt;Voorblad!$K$41,0,IF($U187=0,0,IF($U187&lt;1,1/$U187,IF((FF$56-Voorblad!$F$41)/$U187-SUM($EE187:FE187)=1,1,0))))</f>
        <v>1</v>
      </c>
      <c r="FG187" s="8">
        <f>IF(FG$56-Voorblad!$F$41&gt;Voorblad!$K$41,0,IF($U187=0,0,IF($U187&lt;1,1/$U187,IF((FG$56-Voorblad!$F$41)/$U187-SUM($EE187:FF187)=1,1,0))))</f>
        <v>1</v>
      </c>
      <c r="FH187" s="8">
        <f>IF(FH$56-Voorblad!$F$41&gt;Voorblad!$K$41,0,IF($U187=0,0,IF($U187&lt;1,1/$U187,IF((FH$56-Voorblad!$F$41)/$U187-SUM($EE187:FG187)=1,1,0))))</f>
        <v>1</v>
      </c>
      <c r="FI187" s="8">
        <f>IF(FI$56-Voorblad!$F$41&gt;Voorblad!$K$41,0,IF($U187=0,0,IF($U187&lt;1,1/$U187,IF((FI$56-Voorblad!$F$41)/$U187-SUM($EE187:FH187)=1,1,0))))</f>
        <v>1</v>
      </c>
      <c r="FJ187" s="8">
        <f>IF(FJ$56-Voorblad!$F$41&gt;Voorblad!$K$41,0,IF($U187=0,0,IF($U187&lt;1,1/$U187,IF((FJ$56-Voorblad!$F$41)/$U187-SUM($EE187:FI187)=1,1,0))))</f>
        <v>1</v>
      </c>
      <c r="FK187" s="8">
        <f>IF(FK$56-Voorblad!$F$41&gt;Voorblad!$K$41,0,IF($U187=0,0,IF($U187&lt;1,1/$U187,IF((FK$56-Voorblad!$F$41)/$U187-SUM($EE187:FJ187)=1,1,0))))</f>
        <v>1</v>
      </c>
      <c r="FL187" s="8">
        <f>IF(FL$56-Voorblad!$F$41&gt;Voorblad!$K$41,0,IF($U187=0,0,IF($U187&lt;1,1/$U187,IF((FL$56-Voorblad!$F$41)/$U187-SUM($EE187:FK187)=1,1,0))))</f>
        <v>1</v>
      </c>
      <c r="FM187" s="8">
        <f>IF(FM$56-Voorblad!$F$41&gt;Voorblad!$K$41,0,IF($U187=0,0,IF($U187&lt;1,1/$U187,IF((FM$56-Voorblad!$F$41)/$U187-SUM($EE187:FL187)=1,1,0))))</f>
        <v>1</v>
      </c>
      <c r="FN187" s="8">
        <f>IF(FN$56-Voorblad!$F$41&gt;Voorblad!$K$41,0,IF($U187=0,0,IF($U187&lt;1,1/$U187,IF((FN$56-Voorblad!$F$41)/$U187-SUM($EE187:FM187)=1,1,0))))</f>
        <v>1</v>
      </c>
      <c r="FO187" s="8">
        <f>IF(FO$56-Voorblad!$F$41&gt;Voorblad!$K$41,0,IF($U187=0,0,IF($U187&lt;1,1/$U187,IF((FO$56-Voorblad!$F$41)/$U187-SUM($EE187:FN187)=1,1,0))))</f>
        <v>1</v>
      </c>
      <c r="FP187" s="8">
        <f>IF(FP$56-Voorblad!$F$41&gt;Voorblad!$K$41,0,IF($U187=0,0,IF($U187&lt;1,1/$U187,IF((FP$56-Voorblad!$F$41)/$U187-SUM($EE187:FO187)=1,1,0))))</f>
        <v>1</v>
      </c>
      <c r="FQ187" s="8">
        <f>IF(FQ$56-Voorblad!$F$41&gt;Voorblad!$K$41,0,IF($U187=0,0,IF($U187&lt;1,1/$U187,IF((FQ$56-Voorblad!$F$41)/$U187-SUM($EE187:FP187)=1,1,0))))</f>
        <v>1</v>
      </c>
      <c r="FR187" s="8">
        <f>IF(FR$56-Voorblad!$F$41&gt;Voorblad!$K$41,0,IF($U187=0,0,IF($U187&lt;1,1/$U187,IF((FR$56-Voorblad!$F$41)/$U187-SUM($EE187:FQ187)=1,1,0))))</f>
        <v>1</v>
      </c>
      <c r="FS187" s="8">
        <f>IF(FS$56-Voorblad!$F$41&gt;Voorblad!$K$41,0,IF($U187=0,0,IF($U187&lt;1,1/$U187,IF((FS$56-Voorblad!$F$41)/$U187-SUM($EE187:FR187)=1,1,0))))</f>
        <v>1</v>
      </c>
      <c r="FT187" s="8">
        <f>IF(FT$56-Voorblad!$F$41&gt;Voorblad!$K$41,0,IF($U187=0,0,IF($U187&lt;1,1/$U187,IF((FT$56-Voorblad!$F$41)/$U187-SUM($EE187:FS187)=1,1,0))))</f>
        <v>1</v>
      </c>
      <c r="FU187" s="8">
        <f>IF(FU$56-Voorblad!$F$41&gt;Voorblad!$K$41,0,IF($U187=0,0,IF($U187&lt;1,1/$U187,IF((FU$56-Voorblad!$F$41)/$U187-SUM($EE187:FT187)=1,1,0))))</f>
        <v>1</v>
      </c>
      <c r="FV187" s="8">
        <f>IF(FV$56-Voorblad!$F$41&gt;Voorblad!$K$41,0,IF($U187=0,0,IF($U187&lt;1,1/$U187,IF((FV$56-Voorblad!$F$41)/$U187-SUM($EE187:FU187)=1,1,0))))</f>
        <v>1</v>
      </c>
      <c r="FW187" s="8">
        <f>IF(FW$56-Voorblad!$F$41&gt;Voorblad!$K$41,0,IF($U187=0,0,IF($U187&lt;1,1/$U187,IF((FW$56-Voorblad!$F$41)/$U187-SUM($EE187:FV187)=1,1,0))))</f>
        <v>1</v>
      </c>
      <c r="FX187" s="8">
        <f>IF(FX$56-Voorblad!$F$41&gt;Voorblad!$K$41,0,IF($U187=0,0,IF($U187&lt;1,1/$U187,IF((FX$56-Voorblad!$F$41)/$U187-SUM($EE187:FW187)=1,1,0))))</f>
        <v>1</v>
      </c>
      <c r="FY187" s="8">
        <f>IF(FY$56-Voorblad!$F$41&gt;Voorblad!$K$41,0,IF($U187=0,0,IF($U187&lt;1,1/$U187,IF((FY$56-Voorblad!$F$41)/$U187-SUM($EE187:FX187)=1,1,0))))</f>
        <v>1</v>
      </c>
      <c r="FZ187" s="8">
        <f>IF(FZ$56-Voorblad!$F$41&gt;Voorblad!$K$41,0,IF($U187=0,0,IF($U187&lt;1,1/$U187,IF((FZ$56-Voorblad!$F$41)/$U187-SUM($EE187:FY187)=1,1,0))))</f>
        <v>1</v>
      </c>
      <c r="GA187" s="8">
        <f>IF(GA$56-Voorblad!$F$41&gt;Voorblad!$K$41,0,IF($U187=0,0,IF($U187&lt;1,1/$U187,IF((GA$56-Voorblad!$F$41)/$U187-SUM($EE187:FZ187)=1,1,0))))</f>
        <v>1</v>
      </c>
      <c r="GB187" s="8">
        <f>IF(GB$56-Voorblad!$F$41&gt;Voorblad!$K$41,0,IF($U187=0,0,IF($U187&lt;1,1/$U187,IF((GB$56-Voorblad!$F$41)/$U187-SUM($EE187:GA187)=1,1,0))))</f>
        <v>1</v>
      </c>
      <c r="GC187" s="8">
        <f>IF(GC$56-Voorblad!$F$41&gt;Voorblad!$K$41,0,IF($U187=0,0,IF($U187&lt;1,1/$U187,IF((GC$56-Voorblad!$F$41)/$U187-SUM($EE187:GB187)=1,1,0))))</f>
        <v>1</v>
      </c>
      <c r="GD187" s="8">
        <f>IF(GD$56-Voorblad!$F$41&gt;Voorblad!$K$41,0,IF($U187=0,0,IF($U187&lt;1,1/$U187,IF((GD$56-Voorblad!$F$41)/$U187-SUM($EE187:GC187)=1,1,0))))</f>
        <v>1</v>
      </c>
      <c r="GE187" s="8">
        <f>IF(GE$56-Voorblad!$F$41&gt;Voorblad!$K$41,0,IF($U187=0,0,IF($U187&lt;1,1/$U187,IF((GE$56-Voorblad!$F$41)/$U187-SUM($EE187:GD187)=1,1,0))))</f>
        <v>1</v>
      </c>
      <c r="GF187" s="8">
        <f>IF(GF$56-Voorblad!$F$41&gt;Voorblad!$K$41,0,IF($U187=0,0,IF($U187&lt;1,1/$U187,IF((GF$56-Voorblad!$F$41)/$U187-SUM($EE187:GE187)=1,1,0))))</f>
        <v>1</v>
      </c>
      <c r="GG187" s="8">
        <f>IF(GG$56-Voorblad!$F$41&gt;Voorblad!$K$41,0,IF($U187=0,0,IF($U187&lt;1,1/$U187,IF((GG$56-Voorblad!$F$41)/$U187-SUM($EE187:GF187)=1,1,0))))</f>
        <v>1</v>
      </c>
      <c r="GH187" s="8">
        <f>IF(GH$56-Voorblad!$F$41&gt;Voorblad!$K$41,0,IF($U187=0,0,IF($U187&lt;1,1/$U187,IF((GH$56-Voorblad!$F$41)/$U187-SUM($EE187:GG187)=1,1,0))))</f>
        <v>1</v>
      </c>
      <c r="GI187" s="8">
        <f>IF(GI$56-Voorblad!$F$41&gt;Voorblad!$K$41,0,IF($U187=0,0,IF($U187&lt;1,1/$U187,IF((GI$56-Voorblad!$F$41)/$U187-SUM($EE187:GH187)=1,1,0))))</f>
        <v>1</v>
      </c>
      <c r="GJ187" s="8">
        <f>IF(GJ$56-Voorblad!$F$41&gt;Voorblad!$K$41,0,IF($U187=0,0,IF($U187&lt;1,1/$U187,IF((GJ$56-Voorblad!$F$41)/$U187-SUM($EE187:GI187)=1,1,0))))</f>
        <v>1</v>
      </c>
      <c r="GK187" s="8">
        <f>IF(GK$56-Voorblad!$F$41&gt;Voorblad!$K$41,0,IF($U187=0,0,IF($U187&lt;1,1/$U187,IF((GK$56-Voorblad!$F$41)/$U187-SUM($EE187:GJ187)=1,1,0))))</f>
        <v>1</v>
      </c>
      <c r="GL187" s="8">
        <f>IF(GL$56-Voorblad!$F$41&gt;Voorblad!$K$41,0,IF($U187=0,0,IF($U187&lt;1,1/$U187,IF((GL$56-Voorblad!$F$41)/$U187-SUM($EE187:GK187)=1,1,0))))</f>
        <v>1</v>
      </c>
      <c r="GM187" s="8">
        <f>IF(GM$56-Voorblad!$F$41&gt;Voorblad!$K$41,0,IF($U187=0,0,IF($U187&lt;1,1/$U187,IF((GM$56-Voorblad!$F$41)/$U187-SUM($EE187:GL187)=1,1,0))))</f>
        <v>1</v>
      </c>
      <c r="GN187" s="8">
        <f>IF(GN$56-Voorblad!$F$41&gt;Voorblad!$K$41,0,IF($U187=0,0,IF($U187&lt;1,1/$U187,IF((GN$56-Voorblad!$F$41)/$U187-SUM($EE187:GM187)=1,1,0))))</f>
        <v>1</v>
      </c>
      <c r="GO187" s="8">
        <f>IF(GO$56-Voorblad!$F$41&gt;Voorblad!$K$41,0,IF($U187=0,0,IF($U187&lt;1,1/$U187,IF((GO$56-Voorblad!$F$41)/$U187-SUM($EE187:GN187)=1,1,0))))</f>
        <v>1</v>
      </c>
      <c r="GP187" s="8">
        <f>IF(GP$56-Voorblad!$F$41&gt;Voorblad!$K$41,0,IF($U187=0,0,IF($U187&lt;1,1/$U187,IF((GP$56-Voorblad!$F$41)/$U187-SUM($EE187:GO187)=1,1,0))))</f>
        <v>1</v>
      </c>
      <c r="GQ187" s="8">
        <f>IF(GQ$56-Voorblad!$F$41&gt;Voorblad!$K$41,0,IF($U187=0,0,IF($U187&lt;1,1/$U187,IF((GQ$56-Voorblad!$F$41)/$U187-SUM($EE187:GP187)=1,1,0))))</f>
        <v>1</v>
      </c>
      <c r="GR187" s="8">
        <f>IF(GR$56-Voorblad!$F$41&gt;Voorblad!$K$41,0,IF($U187=0,0,IF($U187&lt;1,1/$U187,IF((GR$56-Voorblad!$F$41)/$U187-SUM($EE187:GQ187)=1,1,0))))</f>
        <v>1</v>
      </c>
      <c r="GS187" s="8">
        <f>IF(GS$56-Voorblad!$F$41&gt;Voorblad!$K$41,0,IF($U187=0,0,IF($U187&lt;1,1/$U187,IF((GS$56-Voorblad!$F$41)/$U187-SUM($EE187:GR187)=1,1,0))))</f>
        <v>1</v>
      </c>
      <c r="GT187" s="8">
        <f>IF(GT$56-Voorblad!$F$41&gt;Voorblad!$K$41,0,IF($U187=0,0,IF($U187&lt;1,1/$U187,IF((GT$56-Voorblad!$F$41)/$U187-SUM($EE187:GS187)=1,1,0))))</f>
        <v>1</v>
      </c>
      <c r="GU187" s="8">
        <f>IF(GU$56-Voorblad!$F$41&gt;Voorblad!$K$41,0,IF($U187=0,0,IF($U187&lt;1,1/$U187,IF((GU$56-Voorblad!$F$41)/$U187-SUM($EE187:GT187)=1,1,0))))</f>
        <v>1</v>
      </c>
      <c r="GV187" s="8">
        <f>IF(GV$56-Voorblad!$F$41&gt;Voorblad!$K$41,0,IF($U187=0,0,IF($U187&lt;1,1/$U187,IF((GV$56-Voorblad!$F$41)/$U187-SUM($EE187:GU187)=1,1,0))))</f>
        <v>1</v>
      </c>
      <c r="GW187" s="8">
        <f>IF(GW$56-Voorblad!$F$41&gt;Voorblad!$K$41,0,IF($U187=0,0,IF($U187&lt;1,1/$U187,IF((GW$56-Voorblad!$F$41)/$U187-SUM($EE187:GV187)=1,1,0))))</f>
        <v>1</v>
      </c>
      <c r="GX187" s="8">
        <f>IF(GX$56-Voorblad!$F$41&gt;Voorblad!$K$41,0,IF($U187=0,0,IF($U187&lt;1,1/$U187,IF((GX$56-Voorblad!$F$41)/$U187-SUM($EE187:GW187)=1,1,0))))</f>
        <v>1</v>
      </c>
      <c r="GY187" s="8">
        <f>IF(GY$56-Voorblad!$F$41&gt;Voorblad!$K$41,0,IF($U187=0,0,IF($U187&lt;1,1/$U187,IF((GY$56-Voorblad!$F$41)/$U187-SUM($EE187:GX187)=1,1,0))))</f>
        <v>1</v>
      </c>
      <c r="GZ187" s="8">
        <f>IF(GZ$56-Voorblad!$F$41&gt;Voorblad!$K$41,0,IF($U187=0,0,IF($U187&lt;1,1/$U187,IF((GZ$56-Voorblad!$F$41)/$U187-SUM($EE187:GY187)=1,1,0))))</f>
        <v>1</v>
      </c>
      <c r="HA187" s="8">
        <f>IF(HA$56-Voorblad!$F$41&gt;Voorblad!$K$41,0,IF($U187=0,0,IF($U187&lt;1,1/$U187,IF((HA$56-Voorblad!$F$41)/$U187-SUM($EE187:GZ187)=1,1,0))))</f>
        <v>1</v>
      </c>
      <c r="HB187" s="8">
        <f>IF(HB$56-Voorblad!$F$41&gt;Voorblad!$K$41,0,IF($U187=0,0,IF($U187&lt;1,1/$U187,IF((HB$56-Voorblad!$F$41)/$U187-SUM($EE187:HA187)=1,1,0))))</f>
        <v>0</v>
      </c>
      <c r="HC187" s="8">
        <f>IF(HC$56-Voorblad!$F$41&gt;Voorblad!$K$41,0,IF($U187=0,0,IF($U187&lt;1,1/$U187,IF((HC$56-Voorblad!$F$41)/$U187-SUM($EE187:HB187)=1,1,0))))</f>
        <v>0</v>
      </c>
      <c r="HD187" s="8">
        <f>IF(HD$56-Voorblad!$F$41&gt;Voorblad!$K$41,0,IF($U187=0,0,IF($U187&lt;1,1/$U187,IF((HD$56-Voorblad!$F$41)/$U187-SUM($EE187:HC187)=1,1,0))))</f>
        <v>0</v>
      </c>
      <c r="HE187" s="8">
        <f>IF(HE$56-Voorblad!$F$41&gt;Voorblad!$K$41,0,IF($U187=0,0,IF($U187&lt;1,1/$U187,IF((HE$56-Voorblad!$F$41)/$U187-SUM($EE187:HD187)=1,1,0))))</f>
        <v>0</v>
      </c>
      <c r="HF187" s="8">
        <f>IF(HF$56-Voorblad!$F$41&gt;Voorblad!$K$41,0,IF($U187=0,0,IF($U187&lt;1,1/$U187,IF((HF$56-Voorblad!$F$41)/$U187-SUM($EE187:HE187)=1,1,0))))</f>
        <v>0</v>
      </c>
      <c r="HG187" s="8">
        <f>IF(HG$56-Voorblad!$F$41&gt;Voorblad!$K$41,0,IF($U187=0,0,IF($U187&lt;1,1/$U187,IF((HG$56-Voorblad!$F$41)/$U187-SUM($EE187:HF187)=1,1,0))))</f>
        <v>0</v>
      </c>
      <c r="HH187" s="8">
        <f>IF(HH$56-Voorblad!$F$41&gt;Voorblad!$K$41,0,IF($U187=0,0,IF($U187&lt;1,1/$U187,IF((HH$56-Voorblad!$F$41)/$U187-SUM($EE187:HG187)=1,1,0))))</f>
        <v>0</v>
      </c>
      <c r="HI187" s="8">
        <f>IF(HI$56-Voorblad!$F$41&gt;Voorblad!$K$41,0,IF($U187=0,0,IF($U187&lt;1,1/$U187,IF((HI$56-Voorblad!$F$41)/$U187-SUM($EE187:HH187)=1,1,0))))</f>
        <v>0</v>
      </c>
      <c r="HJ187" s="8">
        <f>IF(HJ$56-Voorblad!$F$41&gt;Voorblad!$K$41,0,IF($U187=0,0,IF($U187&lt;1,1/$U187,IF((HJ$56-Voorblad!$F$41)/$U187-SUM($EE187:HI187)=1,1,0))))</f>
        <v>0</v>
      </c>
      <c r="HK187" s="8">
        <f>IF(HK$56-Voorblad!$F$41&gt;Voorblad!$K$41,0,IF($U187=0,0,IF($U187&lt;1,1/$U187,IF((HK$56-Voorblad!$F$41)/$U187-SUM($EE187:HJ187)=1,1,0))))</f>
        <v>0</v>
      </c>
      <c r="HL187" s="8">
        <f>IF(HL$56-Voorblad!$F$41&gt;Voorblad!$K$41,0,IF($U187=0,0,IF($U187&lt;1,1/$U187,IF((HL$56-Voorblad!$F$41)/$U187-SUM($EE187:HK187)=1,1,0))))</f>
        <v>0</v>
      </c>
      <c r="HM187" s="8">
        <f>IF(HM$56-Voorblad!$F$41&gt;Voorblad!$K$41,0,IF($U187=0,0,IF($U187&lt;1,1/$U187,IF((HM$56-Voorblad!$F$41)/$U187-SUM($EE187:HL187)=1,1,0))))</f>
        <v>0</v>
      </c>
      <c r="HN187" s="8">
        <f>IF(HN$56-Voorblad!$F$41&gt;Voorblad!$K$41,0,IF($U187=0,0,IF($U187&lt;1,1/$U187,IF((HN$56-Voorblad!$F$41)/$U187-SUM($EE187:HM187)=1,1,0))))</f>
        <v>0</v>
      </c>
      <c r="HO187" s="8">
        <f>IF(HO$56-Voorblad!$F$41&gt;Voorblad!$K$41,0,IF($U187=0,0,IF($U187&lt;1,1/$U187,IF((HO$56-Voorblad!$F$41)/$U187-SUM($EE187:HN187)=1,1,0))))</f>
        <v>0</v>
      </c>
      <c r="HP187" s="8">
        <f>IF(HP$56-Voorblad!$F$41&gt;Voorblad!$K$41,0,IF($U187=0,0,IF($U187&lt;1,1/$U187,IF((HP$56-Voorblad!$F$41)/$U187-SUM($EE187:HO187)=1,1,0))))</f>
        <v>0</v>
      </c>
      <c r="HQ187" s="8">
        <f>IF(HQ$56-Voorblad!$F$41&gt;Voorblad!$K$41,0,IF($U187=0,0,IF($U187&lt;1,1/$U187,IF((HQ$56-Voorblad!$F$41)/$U187-SUM($EE187:HP187)=1,1,0))))</f>
        <v>0</v>
      </c>
      <c r="HR187" s="8">
        <f>IF(HR$56-Voorblad!$F$41&gt;Voorblad!$K$41,0,IF($U187=0,0,IF($U187&lt;1,1/$U187,IF((HR$56-Voorblad!$F$41)/$U187-SUM($EE187:HQ187)=1,1,0))))</f>
        <v>0</v>
      </c>
      <c r="HS187" s="8">
        <f>IF(HS$56-Voorblad!$F$41&gt;Voorblad!$K$41,0,IF($U187=0,0,IF($U187&lt;1,1/$U187,IF((HS$56-Voorblad!$F$41)/$U187-SUM($EE187:HR187)=1,1,0))))</f>
        <v>0</v>
      </c>
      <c r="HT187" s="8">
        <f>IF(HT$56-Voorblad!$F$41&gt;Voorblad!$K$41,0,IF($U187=0,0,IF($U187&lt;1,1/$U187,IF((HT$56-Voorblad!$F$41)/$U187-SUM($EE187:HS187)=1,1,0))))</f>
        <v>0</v>
      </c>
      <c r="HU187" s="8">
        <f>IF(HU$56-Voorblad!$F$41&gt;Voorblad!$K$41,0,IF($U187=0,0,IF($U187&lt;1,1/$U187,IF((HU$56-Voorblad!$F$41)/$U187-SUM($EE187:HT187)=1,1,0))))</f>
        <v>0</v>
      </c>
      <c r="HV187" s="8">
        <f>IF(HV$56-Voorblad!$F$41&gt;Voorblad!$K$41,0,IF($U187=0,0,IF($U187&lt;1,1/$U187,IF((HV$56-Voorblad!$F$41)/$U187-SUM($EE187:HU187)=1,1,0))))</f>
        <v>0</v>
      </c>
      <c r="HW187" s="8">
        <f>IF(HW$56-Voorblad!$F$41&gt;Voorblad!$K$41,0,IF($U187=0,0,IF($U187&lt;1,1/$U187,IF((HW$56-Voorblad!$F$41)/$U187-SUM($EE187:HV187)=1,1,0))))</f>
        <v>0</v>
      </c>
      <c r="HX187" s="8">
        <f>IF(HX$56-Voorblad!$F$41&gt;Voorblad!$K$41,0,IF($U187=0,0,IF($U187&lt;1,1/$U187,IF((HX$56-Voorblad!$F$41)/$U187-SUM($EE187:HW187)=1,1,0))))</f>
        <v>0</v>
      </c>
      <c r="HY187" s="8">
        <f>IF(HY$56-Voorblad!$F$41&gt;Voorblad!$K$41,0,IF($U187=0,0,IF($U187&lt;1,1/$U187,IF((HY$56-Voorblad!$F$41)/$U187-SUM($EE187:HX187)=1,1,0))))</f>
        <v>0</v>
      </c>
      <c r="HZ187" s="8">
        <f>IF(HZ$56-Voorblad!$F$41&gt;Voorblad!$K$41,0,IF($U187=0,0,IF($U187&lt;1,1/$U187,IF((HZ$56-Voorblad!$F$41)/$U187-SUM($EE187:HY187)=1,1,0))))</f>
        <v>0</v>
      </c>
      <c r="IA187" s="8">
        <f>IF(IA$56-Voorblad!$F$41&gt;Voorblad!$K$41,0,IF($U187=0,0,IF($U187&lt;1,1/$U187,IF((IA$56-Voorblad!$F$41)/$U187-SUM($EE187:HZ187)=1,1,0))))</f>
        <v>0</v>
      </c>
      <c r="IB187" s="8">
        <f>IF(IB$56-Voorblad!$F$41&gt;Voorblad!$K$41,0,IF($U187=0,0,IF($U187&lt;1,1/$U187,IF((IB$56-Voorblad!$F$41)/$U187-SUM($EE187:IA187)=1,1,0))))</f>
        <v>0</v>
      </c>
    </row>
    <row r="188" spans="2:236" hidden="1" outlineLevel="1" x14ac:dyDescent="0.25">
      <c r="B188" s="14">
        <v>1</v>
      </c>
      <c r="C188" s="14"/>
      <c r="F188" s="1" t="s">
        <v>58</v>
      </c>
      <c r="I188" s="1" t="s">
        <v>66</v>
      </c>
      <c r="K188" s="1" t="s">
        <v>64</v>
      </c>
      <c r="O188" s="1" t="s">
        <v>99</v>
      </c>
      <c r="Q188" s="81">
        <v>0</v>
      </c>
      <c r="R188" s="1" t="s">
        <v>33</v>
      </c>
      <c r="S188" s="14">
        <f>2%*T187</f>
        <v>0</v>
      </c>
      <c r="T188" s="14">
        <f>Q188*S188</f>
        <v>0</v>
      </c>
      <c r="U188" s="11">
        <v>1</v>
      </c>
      <c r="V188" s="14"/>
      <c r="W188" s="81">
        <v>0</v>
      </c>
      <c r="X188" s="6"/>
      <c r="Y188" s="9">
        <f t="shared" si="190"/>
        <v>0</v>
      </c>
      <c r="Z188" s="82"/>
      <c r="AA188" s="82"/>
      <c r="AC188" s="9">
        <f>$Y188*(Voorblad!$K$44*(1+Voorblad!$K$44)^Voorblad!$K$41)/((1+Voorblad!$K$44)^Voorblad!$K$41-1)</f>
        <v>0</v>
      </c>
      <c r="AE188" s="9">
        <f>IF($W188=AE$56,EF188*($Q188*$S188)/(1+Voorblad!$K$44)^(AE$56-Voorblad!$F$41),0)</f>
        <v>0</v>
      </c>
      <c r="AF188" s="9">
        <f>IF($W188=AF$56,EG188*($Q188*$S188)/(1+Voorblad!$K$44)^(AF$56-Voorblad!$F$41),0)</f>
        <v>0</v>
      </c>
      <c r="AG188" s="9">
        <f>IF($W188=AG$56,EH188*($Q188*$S188)/(1+Voorblad!$K$44)^(AG$56-Voorblad!$F$41),0)</f>
        <v>0</v>
      </c>
      <c r="AH188" s="9">
        <f>IF($W188=AH$56,EI188*($Q188*$S188)/(1+Voorblad!$K$44)^(AH$56-Voorblad!$F$41),0)</f>
        <v>0</v>
      </c>
      <c r="AI188" s="9">
        <f>IF($W188=AI$56,EJ188*($Q188*$S188)/(1+Voorblad!$K$44)^(AI$56-Voorblad!$F$41),0)</f>
        <v>0</v>
      </c>
      <c r="AJ188" s="9">
        <f>IF($W188=AJ$56,EK188*($Q188*$S188)/(1+Voorblad!$K$44)^(AJ$56-Voorblad!$F$41),0)</f>
        <v>0</v>
      </c>
      <c r="AK188" s="9">
        <f>IF($W188=AK$56,EL188*($Q188*$S188)/(1+Voorblad!$K$44)^(AK$56-Voorblad!$F$41),0)</f>
        <v>0</v>
      </c>
      <c r="AL188" s="9">
        <f>IF($W188=AL$56,EM188*($Q188*$S188)/(1+Voorblad!$K$44)^(AL$56-Voorblad!$F$41),0)</f>
        <v>0</v>
      </c>
      <c r="AM188" s="9">
        <f>IF($W188=AM$56,EN188*($Q188*$S188)/(1+Voorblad!$K$44)^(AM$56-Voorblad!$F$41),0)</f>
        <v>0</v>
      </c>
      <c r="AN188" s="9">
        <f>IF($W188=AN$56,EO188*($Q188*$S188)/(1+Voorblad!$K$44)^(AN$56-Voorblad!$F$41),0)</f>
        <v>0</v>
      </c>
      <c r="AO188" s="9">
        <f>IF($W188=AO$56,EP188*($Q188*$S188)/(1+Voorblad!$K$44)^(AO$56-Voorblad!$F$41),0)</f>
        <v>0</v>
      </c>
      <c r="AP188" s="9">
        <f>IF($W188=AP$56,EQ188*($Q188*$S188)/(1+Voorblad!$K$44)^(AP$56-Voorblad!$F$41),0)</f>
        <v>0</v>
      </c>
      <c r="AQ188" s="9">
        <f>IF($W188=AQ$56,ER188*($Q188*$S188)/(1+Voorblad!$K$44)^(AQ$56-Voorblad!$F$41),0)</f>
        <v>0</v>
      </c>
      <c r="AR188" s="9">
        <f>IF($W188=AR$56,ES188*($Q188*$S188)/(1+Voorblad!$K$44)^(AR$56-Voorblad!$F$41),0)</f>
        <v>0</v>
      </c>
      <c r="AS188" s="9">
        <f>IF($W188=AS$56,ET188*($Q188*$S188)/(1+Voorblad!$K$44)^(AS$56-Voorblad!$F$41),0)</f>
        <v>0</v>
      </c>
      <c r="AT188" s="9">
        <f>IF($W188=AT$56,EU188*($Q188*$S188)/(1+Voorblad!$K$44)^(AT$56-Voorblad!$F$41),0)</f>
        <v>0</v>
      </c>
      <c r="AU188" s="9">
        <f>IF($W188=AU$56,EV188*($Q188*$S188)/(1+Voorblad!$K$44)^(AU$56-Voorblad!$F$41),0)</f>
        <v>0</v>
      </c>
      <c r="AV188" s="9">
        <f>IF($W188=AV$56,EW188*($Q188*$S188)/(1+Voorblad!$K$44)^(AV$56-Voorblad!$F$41),0)</f>
        <v>0</v>
      </c>
      <c r="AW188" s="9">
        <f>IF($W188=AW$56,EX188*($Q188*$S188)/(1+Voorblad!$K$44)^(AW$56-Voorblad!$F$41),0)</f>
        <v>0</v>
      </c>
      <c r="AX188" s="9">
        <f>IF($W188=AX$56,EY188*($Q188*$S188)/(1+Voorblad!$K$44)^(AX$56-Voorblad!$F$41),0)</f>
        <v>0</v>
      </c>
      <c r="AY188" s="9">
        <f>IF($W188=AY$56,EZ188*($Q188*$S188)/(1+Voorblad!$K$44)^(AY$56-Voorblad!$F$41),0)</f>
        <v>0</v>
      </c>
      <c r="AZ188" s="9">
        <f>IF($W188=AZ$56,FA188*($Q188*$S188)/(1+Voorblad!$K$44)^(AZ$56-Voorblad!$F$41),0)</f>
        <v>0</v>
      </c>
      <c r="BA188" s="9">
        <f>IF($W188=BA$56,FB188*($Q188*$S188)/(1+Voorblad!$K$44)^(BA$56-Voorblad!$F$41),0)</f>
        <v>0</v>
      </c>
      <c r="BB188" s="9">
        <f>IF($W188=BB$56,FC188*($Q188*$S188)/(1+Voorblad!$K$44)^(BB$56-Voorblad!$F$41),0)</f>
        <v>0</v>
      </c>
      <c r="BC188" s="9">
        <f>IF($W188=BC$56,FD188*($Q188*$S188)/(1+Voorblad!$K$44)^(BC$56-Voorblad!$F$41),0)</f>
        <v>0</v>
      </c>
      <c r="BD188" s="9">
        <f>IF($W188=BD$56,FE188*($Q188*$S188)/(1+Voorblad!$K$44)^(BD$56-Voorblad!$F$41),0)</f>
        <v>0</v>
      </c>
      <c r="BE188" s="9">
        <f>IF($W188=BE$56,FF188*($Q188*$S188)/(1+Voorblad!$K$44)^(BE$56-Voorblad!$F$41),0)</f>
        <v>0</v>
      </c>
      <c r="BF188" s="9">
        <f>IF($W188=BF$56,FG188*($Q188*$S188)/(1+Voorblad!$K$44)^(BF$56-Voorblad!$F$41),0)</f>
        <v>0</v>
      </c>
      <c r="BG188" s="9">
        <f>IF($W188=BG$56,FH188*($Q188*$S188)/(1+Voorblad!$K$44)^(BG$56-Voorblad!$F$41),0)</f>
        <v>0</v>
      </c>
      <c r="BH188" s="9">
        <f>IF($W188=BH$56,FI188*($Q188*$S188)/(1+Voorblad!$K$44)^(BH$56-Voorblad!$F$41),0)</f>
        <v>0</v>
      </c>
      <c r="BI188" s="9">
        <f>IF($W188=BI$56,FJ188*($Q188*$S188)/(1+Voorblad!$K$44)^(BI$56-Voorblad!$F$41),0)</f>
        <v>0</v>
      </c>
      <c r="BJ188" s="9">
        <f>IF($W188=BJ$56,FK188*($Q188*$S188)/(1+Voorblad!$K$44)^(BJ$56-Voorblad!$F$41),0)</f>
        <v>0</v>
      </c>
      <c r="BK188" s="9">
        <f>IF($W188=BK$56,FL188*($Q188*$S188)/(1+Voorblad!$K$44)^(BK$56-Voorblad!$F$41),0)</f>
        <v>0</v>
      </c>
      <c r="BL188" s="9">
        <f>IF($W188=BL$56,FM188*($Q188*$S188)/(1+Voorblad!$K$44)^(BL$56-Voorblad!$F$41),0)</f>
        <v>0</v>
      </c>
      <c r="BM188" s="9">
        <f>IF($W188=BM$56,FN188*($Q188*$S188)/(1+Voorblad!$K$44)^(BM$56-Voorblad!$F$41),0)</f>
        <v>0</v>
      </c>
      <c r="BN188" s="9">
        <f>IF($W188=BN$56,FO188*($Q188*$S188)/(1+Voorblad!$K$44)^(BN$56-Voorblad!$F$41),0)</f>
        <v>0</v>
      </c>
      <c r="BO188" s="9">
        <f>IF($W188=BO$56,FP188*($Q188*$S188)/(1+Voorblad!$K$44)^(BO$56-Voorblad!$F$41),0)</f>
        <v>0</v>
      </c>
      <c r="BP188" s="9">
        <f>IF($W188=BP$56,FQ188*($Q188*$S188)/(1+Voorblad!$K$44)^(BP$56-Voorblad!$F$41),0)</f>
        <v>0</v>
      </c>
      <c r="BQ188" s="9">
        <f>IF($W188=BQ$56,FR188*($Q188*$S188)/(1+Voorblad!$K$44)^(BQ$56-Voorblad!$F$41),0)</f>
        <v>0</v>
      </c>
      <c r="BR188" s="9">
        <f>IF($W188=BR$56,FS188*($Q188*$S188)/(1+Voorblad!$K$44)^(BR$56-Voorblad!$F$41),0)</f>
        <v>0</v>
      </c>
      <c r="BS188" s="9">
        <f>IF($W188=BS$56,FT188*($Q188*$S188)/(1+Voorblad!$K$44)^(BS$56-Voorblad!$F$41),0)</f>
        <v>0</v>
      </c>
      <c r="BT188" s="9">
        <f>IF($W188=BT$56,FU188*($Q188*$S188)/(1+Voorblad!$K$44)^(BT$56-Voorblad!$F$41),0)</f>
        <v>0</v>
      </c>
      <c r="BU188" s="9">
        <f>IF($W188=BU$56,FV188*($Q188*$S188)/(1+Voorblad!$K$44)^(BU$56-Voorblad!$F$41),0)</f>
        <v>0</v>
      </c>
      <c r="BV188" s="9">
        <f>IF($W188=BV$56,FW188*($Q188*$S188)/(1+Voorblad!$K$44)^(BV$56-Voorblad!$F$41),0)</f>
        <v>0</v>
      </c>
      <c r="BW188" s="9">
        <f>IF($W188=BW$56,FX188*($Q188*$S188)/(1+Voorblad!$K$44)^(BW$56-Voorblad!$F$41),0)</f>
        <v>0</v>
      </c>
      <c r="BX188" s="9">
        <f>IF($W188=BX$56,FY188*($Q188*$S188)/(1+Voorblad!$K$44)^(BX$56-Voorblad!$F$41),0)</f>
        <v>0</v>
      </c>
      <c r="BY188" s="9">
        <f>IF($W188=BY$56,FZ188*($Q188*$S188)/(1+Voorblad!$K$44)^(BY$56-Voorblad!$F$41),0)</f>
        <v>0</v>
      </c>
      <c r="BZ188" s="9">
        <f>IF($W188=BZ$56,GA188*($Q188*$S188)/(1+Voorblad!$K$44)^(BZ$56-Voorblad!$F$41),0)</f>
        <v>0</v>
      </c>
      <c r="CA188" s="9">
        <f>IF($W188=CA$56,GB188*($Q188*$S188)/(1+Voorblad!$K$44)^(CA$56-Voorblad!$F$41),0)</f>
        <v>0</v>
      </c>
      <c r="CB188" s="9">
        <f>IF($W188=CB$56,GC188*($Q188*$S188)/(1+Voorblad!$K$44)^(CB$56-Voorblad!$F$41),0)</f>
        <v>0</v>
      </c>
      <c r="CC188" s="9">
        <f>IF($W188=CC$56,GD188*($Q188*$S188)/(1+Voorblad!$K$44)^(CC$56-Voorblad!$F$41),0)</f>
        <v>0</v>
      </c>
      <c r="CD188" s="9">
        <f>IF($W188=CD$56,GE188*($Q188*$S188)/(1+Voorblad!$K$44)^(CD$56-Voorblad!$F$41),0)</f>
        <v>0</v>
      </c>
      <c r="CE188" s="9">
        <f>IF($W188=CE$56,GF188*($Q188*$S188)/(1+Voorblad!$K$44)^(CE$56-Voorblad!$F$41),0)</f>
        <v>0</v>
      </c>
      <c r="CF188" s="9">
        <f>IF($W188=CF$56,GG188*($Q188*$S188)/(1+Voorblad!$K$44)^(CF$56-Voorblad!$F$41),0)</f>
        <v>0</v>
      </c>
      <c r="CG188" s="9">
        <f>IF($W188=CG$56,GH188*($Q188*$S188)/(1+Voorblad!$K$44)^(CG$56-Voorblad!$F$41),0)</f>
        <v>0</v>
      </c>
      <c r="CH188" s="9">
        <f>IF($W188=CH$56,GI188*($Q188*$S188)/(1+Voorblad!$K$44)^(CH$56-Voorblad!$F$41),0)</f>
        <v>0</v>
      </c>
      <c r="CI188" s="9">
        <f>IF($W188=CI$56,GJ188*($Q188*$S188)/(1+Voorblad!$K$44)^(CI$56-Voorblad!$F$41),0)</f>
        <v>0</v>
      </c>
      <c r="CJ188" s="9">
        <f>IF($W188=CJ$56,GK188*($Q188*$S188)/(1+Voorblad!$K$44)^(CJ$56-Voorblad!$F$41),0)</f>
        <v>0</v>
      </c>
      <c r="CK188" s="9">
        <f>IF($W188=CK$56,GL188*($Q188*$S188)/(1+Voorblad!$K$44)^(CK$56-Voorblad!$F$41),0)</f>
        <v>0</v>
      </c>
      <c r="CL188" s="9">
        <f>IF($W188=CL$56,GM188*($Q188*$S188)/(1+Voorblad!$K$44)^(CL$56-Voorblad!$F$41),0)</f>
        <v>0</v>
      </c>
      <c r="CM188" s="9">
        <f>IF($W188=CM$56,GN188*($Q188*$S188)/(1+Voorblad!$K$44)^(CM$56-Voorblad!$F$41),0)</f>
        <v>0</v>
      </c>
      <c r="CN188" s="9">
        <f>IF($W188=CN$56,GO188*($Q188*$S188)/(1+Voorblad!$K$44)^(CN$56-Voorblad!$F$41),0)</f>
        <v>0</v>
      </c>
      <c r="CO188" s="9">
        <f>IF($W188=CO$56,GP188*($Q188*$S188)/(1+Voorblad!$K$44)^(CO$56-Voorblad!$F$41),0)</f>
        <v>0</v>
      </c>
      <c r="CP188" s="9">
        <f>IF($W188=CP$56,GQ188*($Q188*$S188)/(1+Voorblad!$K$44)^(CP$56-Voorblad!$F$41),0)</f>
        <v>0</v>
      </c>
      <c r="CQ188" s="9">
        <f>IF($W188=CQ$56,GR188*($Q188*$S188)/(1+Voorblad!$K$44)^(CQ$56-Voorblad!$F$41),0)</f>
        <v>0</v>
      </c>
      <c r="CR188" s="9">
        <f>IF($W188=CR$56,GS188*($Q188*$S188)/(1+Voorblad!$K$44)^(CR$56-Voorblad!$F$41),0)</f>
        <v>0</v>
      </c>
      <c r="CS188" s="9">
        <f>IF($W188=CS$56,GT188*($Q188*$S188)/(1+Voorblad!$K$44)^(CS$56-Voorblad!$F$41),0)</f>
        <v>0</v>
      </c>
      <c r="CT188" s="9">
        <f>IF($W188=CT$56,GU188*($Q188*$S188)/(1+Voorblad!$K$44)^(CT$56-Voorblad!$F$41),0)</f>
        <v>0</v>
      </c>
      <c r="CU188" s="9">
        <f>IF($W188=CU$56,GV188*($Q188*$S188)/(1+Voorblad!$K$44)^(CU$56-Voorblad!$F$41),0)</f>
        <v>0</v>
      </c>
      <c r="CV188" s="9">
        <f>IF($W188=CV$56,GW188*($Q188*$S188)/(1+Voorblad!$K$44)^(CV$56-Voorblad!$F$41),0)</f>
        <v>0</v>
      </c>
      <c r="CW188" s="9">
        <f>IF($W188=CW$56,GX188*($Q188*$S188)/(1+Voorblad!$K$44)^(CW$56-Voorblad!$F$41),0)</f>
        <v>0</v>
      </c>
      <c r="CX188" s="9">
        <f>IF($W188=CX$56,GY188*($Q188*$S188)/(1+Voorblad!$K$44)^(CX$56-Voorblad!$F$41),0)</f>
        <v>0</v>
      </c>
      <c r="CY188" s="9">
        <f>IF($W188=CY$56,GZ188*($Q188*$S188)/(1+Voorblad!$K$44)^(CY$56-Voorblad!$F$41),0)</f>
        <v>0</v>
      </c>
      <c r="CZ188" s="9">
        <f>IF($W188=CZ$56,HA188*($Q188*$S188)/(1+Voorblad!$K$44)^(CZ$56-Voorblad!$F$41),0)</f>
        <v>0</v>
      </c>
      <c r="DA188" s="9">
        <f>IF($W188=DA$56,HB188*($Q188*$S188)/(1+Voorblad!$K$44)^(DA$56-Voorblad!$F$41),0)</f>
        <v>0</v>
      </c>
      <c r="DB188" s="9">
        <f>IF($W188=DB$56,HC188*($Q188*$S188)/(1+Voorblad!$K$44)^(DB$56-Voorblad!$F$41),0)</f>
        <v>0</v>
      </c>
      <c r="DC188" s="9">
        <f>IF($W188=DC$56,HD188*($Q188*$S188)/(1+Voorblad!$K$44)^(DC$56-Voorblad!$F$41),0)</f>
        <v>0</v>
      </c>
      <c r="DD188" s="9">
        <f>IF($W188=DD$56,HE188*($Q188*$S188)/(1+Voorblad!$K$44)^(DD$56-Voorblad!$F$41),0)</f>
        <v>0</v>
      </c>
      <c r="DE188" s="9">
        <f>IF($W188=DE$56,HF188*($Q188*$S188)/(1+Voorblad!$K$44)^(DE$56-Voorblad!$F$41),0)</f>
        <v>0</v>
      </c>
      <c r="DF188" s="9">
        <f>IF($W188=DF$56,HG188*($Q188*$S188)/(1+Voorblad!$K$44)^(DF$56-Voorblad!$F$41),0)</f>
        <v>0</v>
      </c>
      <c r="DG188" s="9">
        <f>IF($W188=DG$56,HH188*($Q188*$S188)/(1+Voorblad!$K$44)^(DG$56-Voorblad!$F$41),0)</f>
        <v>0</v>
      </c>
      <c r="DH188" s="9">
        <f>IF($W188=DH$56,HI188*($Q188*$S188)/(1+Voorblad!$K$44)^(DH$56-Voorblad!$F$41),0)</f>
        <v>0</v>
      </c>
      <c r="DI188" s="9">
        <f>IF($W188=DI$56,HJ188*($Q188*$S188)/(1+Voorblad!$K$44)^(DI$56-Voorblad!$F$41),0)</f>
        <v>0</v>
      </c>
      <c r="DJ188" s="9">
        <f>IF($W188=DJ$56,HK188*($Q188*$S188)/(1+Voorblad!$K$44)^(DJ$56-Voorblad!$F$41),0)</f>
        <v>0</v>
      </c>
      <c r="DK188" s="9">
        <f>IF($W188=DK$56,HL188*($Q188*$S188)/(1+Voorblad!$K$44)^(DK$56-Voorblad!$F$41),0)</f>
        <v>0</v>
      </c>
      <c r="DL188" s="9">
        <f>IF($W188=DL$56,HM188*($Q188*$S188)/(1+Voorblad!$K$44)^(DL$56-Voorblad!$F$41),0)</f>
        <v>0</v>
      </c>
      <c r="DM188" s="9">
        <f>IF($W188=DM$56,HN188*($Q188*$S188)/(1+Voorblad!$K$44)^(DM$56-Voorblad!$F$41),0)</f>
        <v>0</v>
      </c>
      <c r="DN188" s="9">
        <f>IF($W188=DN$56,HO188*($Q188*$S188)/(1+Voorblad!$K$44)^(DN$56-Voorblad!$F$41),0)</f>
        <v>0</v>
      </c>
      <c r="DO188" s="9">
        <f>IF($W188=DO$56,HP188*($Q188*$S188)/(1+Voorblad!$K$44)^(DO$56-Voorblad!$F$41),0)</f>
        <v>0</v>
      </c>
      <c r="DP188" s="9">
        <f>IF($W188=DP$56,HQ188*($Q188*$S188)/(1+Voorblad!$K$44)^(DP$56-Voorblad!$F$41),0)</f>
        <v>0</v>
      </c>
      <c r="DQ188" s="9">
        <f>IF($W188=DQ$56,HR188*($Q188*$S188)/(1+Voorblad!$K$44)^(DQ$56-Voorblad!$F$41),0)</f>
        <v>0</v>
      </c>
      <c r="DR188" s="9">
        <f>IF($W188=DR$56,HS188*($Q188*$S188)/(1+Voorblad!$K$44)^(DR$56-Voorblad!$F$41),0)</f>
        <v>0</v>
      </c>
      <c r="DS188" s="9">
        <f>IF($W188=DS$56,HT188*($Q188*$S188)/(1+Voorblad!$K$44)^(DS$56-Voorblad!$F$41),0)</f>
        <v>0</v>
      </c>
      <c r="DT188" s="9">
        <f>IF($W188=DT$56,HU188*($Q188*$S188)/(1+Voorblad!$K$44)^(DT$56-Voorblad!$F$41),0)</f>
        <v>0</v>
      </c>
      <c r="DU188" s="9">
        <f>IF($W188=DU$56,HV188*($Q188*$S188)/(1+Voorblad!$K$44)^(DU$56-Voorblad!$F$41),0)</f>
        <v>0</v>
      </c>
      <c r="DV188" s="9">
        <f>IF($W188=DV$56,HW188*($Q188*$S188)/(1+Voorblad!$K$44)^(DV$56-Voorblad!$F$41),0)</f>
        <v>0</v>
      </c>
      <c r="DW188" s="9">
        <f>IF($W188=DW$56,HX188*($Q188*$S188)/(1+Voorblad!$K$44)^(DW$56-Voorblad!$F$41),0)</f>
        <v>0</v>
      </c>
      <c r="DX188" s="9">
        <f>IF($W188=DX$56,HY188*($Q188*$S188)/(1+Voorblad!$K$44)^(DX$56-Voorblad!$F$41),0)</f>
        <v>0</v>
      </c>
      <c r="DY188" s="9">
        <f>IF($W188=DY$56,HZ188*($Q188*$S188)/(1+Voorblad!$K$44)^(DY$56-Voorblad!$F$41),0)</f>
        <v>0</v>
      </c>
      <c r="DZ188" s="9">
        <f>IF($W188=DZ$56,IA188*($Q188*$S188)/(1+Voorblad!$K$44)^(DZ$56-Voorblad!$F$41),0)</f>
        <v>0</v>
      </c>
      <c r="EA188" s="9">
        <f>IF($W188=EA$56,IB188*($Q188*$S188)/(1+Voorblad!$K$44)^(EA$56-Voorblad!$F$41),0)</f>
        <v>0</v>
      </c>
      <c r="EB188" s="9">
        <f>IF($W188=EB$56,IC188*($Q188*$S188)/(1+Voorblad!$K$44)^(EB$56-Voorblad!$F$41),0)</f>
        <v>0</v>
      </c>
      <c r="EE188" s="8">
        <v>0</v>
      </c>
      <c r="EF188" s="8">
        <f>IF(EF$56-Voorblad!$F$41&gt;Voorblad!$K$41,0,IF($U188=0,0,IF($U188&lt;1,1/$U188,IF((EF$56-Voorblad!$F$41)/$U188-SUM($EE188:EE188)=1,1,0))))</f>
        <v>0</v>
      </c>
      <c r="EG188" s="8">
        <f>IF(EG$56-Voorblad!$F$41&gt;Voorblad!$K$41,0,IF($U188=0,0,IF($U188&lt;1,1/$U188,IF((EG$56-Voorblad!$F$41)/$U188-SUM($EE188:EF188)=1,1,0))))</f>
        <v>1</v>
      </c>
      <c r="EH188" s="8">
        <f>IF(EH$56-Voorblad!$F$41&gt;Voorblad!$K$41,0,IF($U188=0,0,IF($U188&lt;1,1/$U188,IF((EH$56-Voorblad!$F$41)/$U188-SUM($EE188:EG188)=1,1,0))))</f>
        <v>1</v>
      </c>
      <c r="EI188" s="8">
        <f>IF(EI$56-Voorblad!$F$41&gt;Voorblad!$K$41,0,IF($U188=0,0,IF($U188&lt;1,1/$U188,IF((EI$56-Voorblad!$F$41)/$U188-SUM($EE188:EH188)=1,1,0))))</f>
        <v>1</v>
      </c>
      <c r="EJ188" s="8">
        <f>IF(EJ$56-Voorblad!$F$41&gt;Voorblad!$K$41,0,IF($U188=0,0,IF($U188&lt;1,1/$U188,IF((EJ$56-Voorblad!$F$41)/$U188-SUM($EE188:EI188)=1,1,0))))</f>
        <v>1</v>
      </c>
      <c r="EK188" s="8">
        <f>IF(EK$56-Voorblad!$F$41&gt;Voorblad!$K$41,0,IF($U188=0,0,IF($U188&lt;1,1/$U188,IF((EK$56-Voorblad!$F$41)/$U188-SUM($EE188:EJ188)=1,1,0))))</f>
        <v>1</v>
      </c>
      <c r="EL188" s="8">
        <f>IF(EL$56-Voorblad!$F$41&gt;Voorblad!$K$41,0,IF($U188=0,0,IF($U188&lt;1,1/$U188,IF((EL$56-Voorblad!$F$41)/$U188-SUM($EE188:EK188)=1,1,0))))</f>
        <v>1</v>
      </c>
      <c r="EM188" s="8">
        <f>IF(EM$56-Voorblad!$F$41&gt;Voorblad!$K$41,0,IF($U188=0,0,IF($U188&lt;1,1/$U188,IF((EM$56-Voorblad!$F$41)/$U188-SUM($EE188:EL188)=1,1,0))))</f>
        <v>1</v>
      </c>
      <c r="EN188" s="8">
        <f>IF(EN$56-Voorblad!$F$41&gt;Voorblad!$K$41,0,IF($U188=0,0,IF($U188&lt;1,1/$U188,IF((EN$56-Voorblad!$F$41)/$U188-SUM($EE188:EM188)=1,1,0))))</f>
        <v>1</v>
      </c>
      <c r="EO188" s="8">
        <f>IF(EO$56-Voorblad!$F$41&gt;Voorblad!$K$41,0,IF($U188=0,0,IF($U188&lt;1,1/$U188,IF((EO$56-Voorblad!$F$41)/$U188-SUM($EE188:EN188)=1,1,0))))</f>
        <v>1</v>
      </c>
      <c r="EP188" s="8">
        <f>IF(EP$56-Voorblad!$F$41&gt;Voorblad!$K$41,0,IF($U188=0,0,IF($U188&lt;1,1/$U188,IF((EP$56-Voorblad!$F$41)/$U188-SUM($EE188:EO188)=1,1,0))))</f>
        <v>1</v>
      </c>
      <c r="EQ188" s="8">
        <f>IF(EQ$56-Voorblad!$F$41&gt;Voorblad!$K$41,0,IF($U188=0,0,IF($U188&lt;1,1/$U188,IF((EQ$56-Voorblad!$F$41)/$U188-SUM($EE188:EP188)=1,1,0))))</f>
        <v>1</v>
      </c>
      <c r="ER188" s="8">
        <f>IF(ER$56-Voorblad!$F$41&gt;Voorblad!$K$41,0,IF($U188=0,0,IF($U188&lt;1,1/$U188,IF((ER$56-Voorblad!$F$41)/$U188-SUM($EE188:EQ188)=1,1,0))))</f>
        <v>1</v>
      </c>
      <c r="ES188" s="8">
        <f>IF(ES$56-Voorblad!$F$41&gt;Voorblad!$K$41,0,IF($U188=0,0,IF($U188&lt;1,1/$U188,IF((ES$56-Voorblad!$F$41)/$U188-SUM($EE188:ER188)=1,1,0))))</f>
        <v>1</v>
      </c>
      <c r="ET188" s="8">
        <f>IF(ET$56-Voorblad!$F$41&gt;Voorblad!$K$41,0,IF($U188=0,0,IF($U188&lt;1,1/$U188,IF((ET$56-Voorblad!$F$41)/$U188-SUM($EE188:ES188)=1,1,0))))</f>
        <v>1</v>
      </c>
      <c r="EU188" s="8">
        <f>IF(EU$56-Voorblad!$F$41&gt;Voorblad!$K$41,0,IF($U188=0,0,IF($U188&lt;1,1/$U188,IF((EU$56-Voorblad!$F$41)/$U188-SUM($EE188:ET188)=1,1,0))))</f>
        <v>1</v>
      </c>
      <c r="EV188" s="8">
        <f>IF(EV$56-Voorblad!$F$41&gt;Voorblad!$K$41,0,IF($U188=0,0,IF($U188&lt;1,1/$U188,IF((EV$56-Voorblad!$F$41)/$U188-SUM($EE188:EU188)=1,1,0))))</f>
        <v>1</v>
      </c>
      <c r="EW188" s="8">
        <f>IF(EW$56-Voorblad!$F$41&gt;Voorblad!$K$41,0,IF($U188=0,0,IF($U188&lt;1,1/$U188,IF((EW$56-Voorblad!$F$41)/$U188-SUM($EE188:EV188)=1,1,0))))</f>
        <v>1</v>
      </c>
      <c r="EX188" s="8">
        <f>IF(EX$56-Voorblad!$F$41&gt;Voorblad!$K$41,0,IF($U188=0,0,IF($U188&lt;1,1/$U188,IF((EX$56-Voorblad!$F$41)/$U188-SUM($EE188:EW188)=1,1,0))))</f>
        <v>1</v>
      </c>
      <c r="EY188" s="8">
        <f>IF(EY$56-Voorblad!$F$41&gt;Voorblad!$K$41,0,IF($U188=0,0,IF($U188&lt;1,1/$U188,IF((EY$56-Voorblad!$F$41)/$U188-SUM($EE188:EX188)=1,1,0))))</f>
        <v>1</v>
      </c>
      <c r="EZ188" s="8">
        <f>IF(EZ$56-Voorblad!$F$41&gt;Voorblad!$K$41,0,IF($U188=0,0,IF($U188&lt;1,1/$U188,IF((EZ$56-Voorblad!$F$41)/$U188-SUM($EE188:EY188)=1,1,0))))</f>
        <v>1</v>
      </c>
      <c r="FA188" s="8">
        <f>IF(FA$56-Voorblad!$F$41&gt;Voorblad!$K$41,0,IF($U188=0,0,IF($U188&lt;1,1/$U188,IF((FA$56-Voorblad!$F$41)/$U188-SUM($EE188:EZ188)=1,1,0))))</f>
        <v>1</v>
      </c>
      <c r="FB188" s="8">
        <f>IF(FB$56-Voorblad!$F$41&gt;Voorblad!$K$41,0,IF($U188=0,0,IF($U188&lt;1,1/$U188,IF((FB$56-Voorblad!$F$41)/$U188-SUM($EE188:FA188)=1,1,0))))</f>
        <v>1</v>
      </c>
      <c r="FC188" s="8">
        <f>IF(FC$56-Voorblad!$F$41&gt;Voorblad!$K$41,0,IF($U188=0,0,IF($U188&lt;1,1/$U188,IF((FC$56-Voorblad!$F$41)/$U188-SUM($EE188:FB188)=1,1,0))))</f>
        <v>1</v>
      </c>
      <c r="FD188" s="8">
        <f>IF(FD$56-Voorblad!$F$41&gt;Voorblad!$K$41,0,IF($U188=0,0,IF($U188&lt;1,1/$U188,IF((FD$56-Voorblad!$F$41)/$U188-SUM($EE188:FC188)=1,1,0))))</f>
        <v>1</v>
      </c>
      <c r="FE188" s="8">
        <f>IF(FE$56-Voorblad!$F$41&gt;Voorblad!$K$41,0,IF($U188=0,0,IF($U188&lt;1,1/$U188,IF((FE$56-Voorblad!$F$41)/$U188-SUM($EE188:FD188)=1,1,0))))</f>
        <v>1</v>
      </c>
      <c r="FF188" s="8">
        <f>IF(FF$56-Voorblad!$F$41&gt;Voorblad!$K$41,0,IF($U188=0,0,IF($U188&lt;1,1/$U188,IF((FF$56-Voorblad!$F$41)/$U188-SUM($EE188:FE188)=1,1,0))))</f>
        <v>1</v>
      </c>
      <c r="FG188" s="8">
        <f>IF(FG$56-Voorblad!$F$41&gt;Voorblad!$K$41,0,IF($U188=0,0,IF($U188&lt;1,1/$U188,IF((FG$56-Voorblad!$F$41)/$U188-SUM($EE188:FF188)=1,1,0))))</f>
        <v>1</v>
      </c>
      <c r="FH188" s="8">
        <f>IF(FH$56-Voorblad!$F$41&gt;Voorblad!$K$41,0,IF($U188=0,0,IF($U188&lt;1,1/$U188,IF((FH$56-Voorblad!$F$41)/$U188-SUM($EE188:FG188)=1,1,0))))</f>
        <v>1</v>
      </c>
      <c r="FI188" s="8">
        <f>IF(FI$56-Voorblad!$F$41&gt;Voorblad!$K$41,0,IF($U188=0,0,IF($U188&lt;1,1/$U188,IF((FI$56-Voorblad!$F$41)/$U188-SUM($EE188:FH188)=1,1,0))))</f>
        <v>1</v>
      </c>
      <c r="FJ188" s="8">
        <f>IF(FJ$56-Voorblad!$F$41&gt;Voorblad!$K$41,0,IF($U188=0,0,IF($U188&lt;1,1/$U188,IF((FJ$56-Voorblad!$F$41)/$U188-SUM($EE188:FI188)=1,1,0))))</f>
        <v>1</v>
      </c>
      <c r="FK188" s="8">
        <f>IF(FK$56-Voorblad!$F$41&gt;Voorblad!$K$41,0,IF($U188=0,0,IF($U188&lt;1,1/$U188,IF((FK$56-Voorblad!$F$41)/$U188-SUM($EE188:FJ188)=1,1,0))))</f>
        <v>1</v>
      </c>
      <c r="FL188" s="8">
        <f>IF(FL$56-Voorblad!$F$41&gt;Voorblad!$K$41,0,IF($U188=0,0,IF($U188&lt;1,1/$U188,IF((FL$56-Voorblad!$F$41)/$U188-SUM($EE188:FK188)=1,1,0))))</f>
        <v>1</v>
      </c>
      <c r="FM188" s="8">
        <f>IF(FM$56-Voorblad!$F$41&gt;Voorblad!$K$41,0,IF($U188=0,0,IF($U188&lt;1,1/$U188,IF((FM$56-Voorblad!$F$41)/$U188-SUM($EE188:FL188)=1,1,0))))</f>
        <v>1</v>
      </c>
      <c r="FN188" s="8">
        <f>IF(FN$56-Voorblad!$F$41&gt;Voorblad!$K$41,0,IF($U188=0,0,IF($U188&lt;1,1/$U188,IF((FN$56-Voorblad!$F$41)/$U188-SUM($EE188:FM188)=1,1,0))))</f>
        <v>1</v>
      </c>
      <c r="FO188" s="8">
        <f>IF(FO$56-Voorblad!$F$41&gt;Voorblad!$K$41,0,IF($U188=0,0,IF($U188&lt;1,1/$U188,IF((FO$56-Voorblad!$F$41)/$U188-SUM($EE188:FN188)=1,1,0))))</f>
        <v>1</v>
      </c>
      <c r="FP188" s="8">
        <f>IF(FP$56-Voorblad!$F$41&gt;Voorblad!$K$41,0,IF($U188=0,0,IF($U188&lt;1,1/$U188,IF((FP$56-Voorblad!$F$41)/$U188-SUM($EE188:FO188)=1,1,0))))</f>
        <v>1</v>
      </c>
      <c r="FQ188" s="8">
        <f>IF(FQ$56-Voorblad!$F$41&gt;Voorblad!$K$41,0,IF($U188=0,0,IF($U188&lt;1,1/$U188,IF((FQ$56-Voorblad!$F$41)/$U188-SUM($EE188:FP188)=1,1,0))))</f>
        <v>1</v>
      </c>
      <c r="FR188" s="8">
        <f>IF(FR$56-Voorblad!$F$41&gt;Voorblad!$K$41,0,IF($U188=0,0,IF($U188&lt;1,1/$U188,IF((FR$56-Voorblad!$F$41)/$U188-SUM($EE188:FQ188)=1,1,0))))</f>
        <v>1</v>
      </c>
      <c r="FS188" s="8">
        <f>IF(FS$56-Voorblad!$F$41&gt;Voorblad!$K$41,0,IF($U188=0,0,IF($U188&lt;1,1/$U188,IF((FS$56-Voorblad!$F$41)/$U188-SUM($EE188:FR188)=1,1,0))))</f>
        <v>1</v>
      </c>
      <c r="FT188" s="8">
        <f>IF(FT$56-Voorblad!$F$41&gt;Voorblad!$K$41,0,IF($U188=0,0,IF($U188&lt;1,1/$U188,IF((FT$56-Voorblad!$F$41)/$U188-SUM($EE188:FS188)=1,1,0))))</f>
        <v>1</v>
      </c>
      <c r="FU188" s="8">
        <f>IF(FU$56-Voorblad!$F$41&gt;Voorblad!$K$41,0,IF($U188=0,0,IF($U188&lt;1,1/$U188,IF((FU$56-Voorblad!$F$41)/$U188-SUM($EE188:FT188)=1,1,0))))</f>
        <v>1</v>
      </c>
      <c r="FV188" s="8">
        <f>IF(FV$56-Voorblad!$F$41&gt;Voorblad!$K$41,0,IF($U188=0,0,IF($U188&lt;1,1/$U188,IF((FV$56-Voorblad!$F$41)/$U188-SUM($EE188:FU188)=1,1,0))))</f>
        <v>1</v>
      </c>
      <c r="FW188" s="8">
        <f>IF(FW$56-Voorblad!$F$41&gt;Voorblad!$K$41,0,IF($U188=0,0,IF($U188&lt;1,1/$U188,IF((FW$56-Voorblad!$F$41)/$U188-SUM($EE188:FV188)=1,1,0))))</f>
        <v>1</v>
      </c>
      <c r="FX188" s="8">
        <f>IF(FX$56-Voorblad!$F$41&gt;Voorblad!$K$41,0,IF($U188=0,0,IF($U188&lt;1,1/$U188,IF((FX$56-Voorblad!$F$41)/$U188-SUM($EE188:FW188)=1,1,0))))</f>
        <v>1</v>
      </c>
      <c r="FY188" s="8">
        <f>IF(FY$56-Voorblad!$F$41&gt;Voorblad!$K$41,0,IF($U188=0,0,IF($U188&lt;1,1/$U188,IF((FY$56-Voorblad!$F$41)/$U188-SUM($EE188:FX188)=1,1,0))))</f>
        <v>1</v>
      </c>
      <c r="FZ188" s="8">
        <f>IF(FZ$56-Voorblad!$F$41&gt;Voorblad!$K$41,0,IF($U188=0,0,IF($U188&lt;1,1/$U188,IF((FZ$56-Voorblad!$F$41)/$U188-SUM($EE188:FY188)=1,1,0))))</f>
        <v>1</v>
      </c>
      <c r="GA188" s="8">
        <f>IF(GA$56-Voorblad!$F$41&gt;Voorblad!$K$41,0,IF($U188=0,0,IF($U188&lt;1,1/$U188,IF((GA$56-Voorblad!$F$41)/$U188-SUM($EE188:FZ188)=1,1,0))))</f>
        <v>1</v>
      </c>
      <c r="GB188" s="8">
        <f>IF(GB$56-Voorblad!$F$41&gt;Voorblad!$K$41,0,IF($U188=0,0,IF($U188&lt;1,1/$U188,IF((GB$56-Voorblad!$F$41)/$U188-SUM($EE188:GA188)=1,1,0))))</f>
        <v>1</v>
      </c>
      <c r="GC188" s="8">
        <f>IF(GC$56-Voorblad!$F$41&gt;Voorblad!$K$41,0,IF($U188=0,0,IF($U188&lt;1,1/$U188,IF((GC$56-Voorblad!$F$41)/$U188-SUM($EE188:GB188)=1,1,0))))</f>
        <v>1</v>
      </c>
      <c r="GD188" s="8">
        <f>IF(GD$56-Voorblad!$F$41&gt;Voorblad!$K$41,0,IF($U188=0,0,IF($U188&lt;1,1/$U188,IF((GD$56-Voorblad!$F$41)/$U188-SUM($EE188:GC188)=1,1,0))))</f>
        <v>1</v>
      </c>
      <c r="GE188" s="8">
        <f>IF(GE$56-Voorblad!$F$41&gt;Voorblad!$K$41,0,IF($U188=0,0,IF($U188&lt;1,1/$U188,IF((GE$56-Voorblad!$F$41)/$U188-SUM($EE188:GD188)=1,1,0))))</f>
        <v>1</v>
      </c>
      <c r="GF188" s="8">
        <f>IF(GF$56-Voorblad!$F$41&gt;Voorblad!$K$41,0,IF($U188=0,0,IF($U188&lt;1,1/$U188,IF((GF$56-Voorblad!$F$41)/$U188-SUM($EE188:GE188)=1,1,0))))</f>
        <v>1</v>
      </c>
      <c r="GG188" s="8">
        <f>IF(GG$56-Voorblad!$F$41&gt;Voorblad!$K$41,0,IF($U188=0,0,IF($U188&lt;1,1/$U188,IF((GG$56-Voorblad!$F$41)/$U188-SUM($EE188:GF188)=1,1,0))))</f>
        <v>1</v>
      </c>
      <c r="GH188" s="8">
        <f>IF(GH$56-Voorblad!$F$41&gt;Voorblad!$K$41,0,IF($U188=0,0,IF($U188&lt;1,1/$U188,IF((GH$56-Voorblad!$F$41)/$U188-SUM($EE188:GG188)=1,1,0))))</f>
        <v>1</v>
      </c>
      <c r="GI188" s="8">
        <f>IF(GI$56-Voorblad!$F$41&gt;Voorblad!$K$41,0,IF($U188=0,0,IF($U188&lt;1,1/$U188,IF((GI$56-Voorblad!$F$41)/$U188-SUM($EE188:GH188)=1,1,0))))</f>
        <v>1</v>
      </c>
      <c r="GJ188" s="8">
        <f>IF(GJ$56-Voorblad!$F$41&gt;Voorblad!$K$41,0,IF($U188=0,0,IF($U188&lt;1,1/$U188,IF((GJ$56-Voorblad!$F$41)/$U188-SUM($EE188:GI188)=1,1,0))))</f>
        <v>1</v>
      </c>
      <c r="GK188" s="8">
        <f>IF(GK$56-Voorblad!$F$41&gt;Voorblad!$K$41,0,IF($U188=0,0,IF($U188&lt;1,1/$U188,IF((GK$56-Voorblad!$F$41)/$U188-SUM($EE188:GJ188)=1,1,0))))</f>
        <v>1</v>
      </c>
      <c r="GL188" s="8">
        <f>IF(GL$56-Voorblad!$F$41&gt;Voorblad!$K$41,0,IF($U188=0,0,IF($U188&lt;1,1/$U188,IF((GL$56-Voorblad!$F$41)/$U188-SUM($EE188:GK188)=1,1,0))))</f>
        <v>1</v>
      </c>
      <c r="GM188" s="8">
        <f>IF(GM$56-Voorblad!$F$41&gt;Voorblad!$K$41,0,IF($U188=0,0,IF($U188&lt;1,1/$U188,IF((GM$56-Voorblad!$F$41)/$U188-SUM($EE188:GL188)=1,1,0))))</f>
        <v>1</v>
      </c>
      <c r="GN188" s="8">
        <f>IF(GN$56-Voorblad!$F$41&gt;Voorblad!$K$41,0,IF($U188=0,0,IF($U188&lt;1,1/$U188,IF((GN$56-Voorblad!$F$41)/$U188-SUM($EE188:GM188)=1,1,0))))</f>
        <v>1</v>
      </c>
      <c r="GO188" s="8">
        <f>IF(GO$56-Voorblad!$F$41&gt;Voorblad!$K$41,0,IF($U188=0,0,IF($U188&lt;1,1/$U188,IF((GO$56-Voorblad!$F$41)/$U188-SUM($EE188:GN188)=1,1,0))))</f>
        <v>1</v>
      </c>
      <c r="GP188" s="8">
        <f>IF(GP$56-Voorblad!$F$41&gt;Voorblad!$K$41,0,IF($U188=0,0,IF($U188&lt;1,1/$U188,IF((GP$56-Voorblad!$F$41)/$U188-SUM($EE188:GO188)=1,1,0))))</f>
        <v>1</v>
      </c>
      <c r="GQ188" s="8">
        <f>IF(GQ$56-Voorblad!$F$41&gt;Voorblad!$K$41,0,IF($U188=0,0,IF($U188&lt;1,1/$U188,IF((GQ$56-Voorblad!$F$41)/$U188-SUM($EE188:GP188)=1,1,0))))</f>
        <v>1</v>
      </c>
      <c r="GR188" s="8">
        <f>IF(GR$56-Voorblad!$F$41&gt;Voorblad!$K$41,0,IF($U188=0,0,IF($U188&lt;1,1/$U188,IF((GR$56-Voorblad!$F$41)/$U188-SUM($EE188:GQ188)=1,1,0))))</f>
        <v>1</v>
      </c>
      <c r="GS188" s="8">
        <f>IF(GS$56-Voorblad!$F$41&gt;Voorblad!$K$41,0,IF($U188=0,0,IF($U188&lt;1,1/$U188,IF((GS$56-Voorblad!$F$41)/$U188-SUM($EE188:GR188)=1,1,0))))</f>
        <v>1</v>
      </c>
      <c r="GT188" s="8">
        <f>IF(GT$56-Voorblad!$F$41&gt;Voorblad!$K$41,0,IF($U188=0,0,IF($U188&lt;1,1/$U188,IF((GT$56-Voorblad!$F$41)/$U188-SUM($EE188:GS188)=1,1,0))))</f>
        <v>1</v>
      </c>
      <c r="GU188" s="8">
        <f>IF(GU$56-Voorblad!$F$41&gt;Voorblad!$K$41,0,IF($U188=0,0,IF($U188&lt;1,1/$U188,IF((GU$56-Voorblad!$F$41)/$U188-SUM($EE188:GT188)=1,1,0))))</f>
        <v>1</v>
      </c>
      <c r="GV188" s="8">
        <f>IF(GV$56-Voorblad!$F$41&gt;Voorblad!$K$41,0,IF($U188=0,0,IF($U188&lt;1,1/$U188,IF((GV$56-Voorblad!$F$41)/$U188-SUM($EE188:GU188)=1,1,0))))</f>
        <v>1</v>
      </c>
      <c r="GW188" s="8">
        <f>IF(GW$56-Voorblad!$F$41&gt;Voorblad!$K$41,0,IF($U188=0,0,IF($U188&lt;1,1/$U188,IF((GW$56-Voorblad!$F$41)/$U188-SUM($EE188:GV188)=1,1,0))))</f>
        <v>1</v>
      </c>
      <c r="GX188" s="8">
        <f>IF(GX$56-Voorblad!$F$41&gt;Voorblad!$K$41,0,IF($U188=0,0,IF($U188&lt;1,1/$U188,IF((GX$56-Voorblad!$F$41)/$U188-SUM($EE188:GW188)=1,1,0))))</f>
        <v>1</v>
      </c>
      <c r="GY188" s="8">
        <f>IF(GY$56-Voorblad!$F$41&gt;Voorblad!$K$41,0,IF($U188=0,0,IF($U188&lt;1,1/$U188,IF((GY$56-Voorblad!$F$41)/$U188-SUM($EE188:GX188)=1,1,0))))</f>
        <v>1</v>
      </c>
      <c r="GZ188" s="8">
        <f>IF(GZ$56-Voorblad!$F$41&gt;Voorblad!$K$41,0,IF($U188=0,0,IF($U188&lt;1,1/$U188,IF((GZ$56-Voorblad!$F$41)/$U188-SUM($EE188:GY188)=1,1,0))))</f>
        <v>1</v>
      </c>
      <c r="HA188" s="8">
        <f>IF(HA$56-Voorblad!$F$41&gt;Voorblad!$K$41,0,IF($U188=0,0,IF($U188&lt;1,1/$U188,IF((HA$56-Voorblad!$F$41)/$U188-SUM($EE188:GZ188)=1,1,0))))</f>
        <v>1</v>
      </c>
      <c r="HB188" s="8">
        <f>IF(HB$56-Voorblad!$F$41&gt;Voorblad!$K$41,0,IF($U188=0,0,IF($U188&lt;1,1/$U188,IF((HB$56-Voorblad!$F$41)/$U188-SUM($EE188:HA188)=1,1,0))))</f>
        <v>0</v>
      </c>
      <c r="HC188" s="8">
        <f>IF(HC$56-Voorblad!$F$41&gt;Voorblad!$K$41,0,IF($U188=0,0,IF($U188&lt;1,1/$U188,IF((HC$56-Voorblad!$F$41)/$U188-SUM($EE188:HB188)=1,1,0))))</f>
        <v>0</v>
      </c>
      <c r="HD188" s="8">
        <f>IF(HD$56-Voorblad!$F$41&gt;Voorblad!$K$41,0,IF($U188=0,0,IF($U188&lt;1,1/$U188,IF((HD$56-Voorblad!$F$41)/$U188-SUM($EE188:HC188)=1,1,0))))</f>
        <v>0</v>
      </c>
      <c r="HE188" s="8">
        <f>IF(HE$56-Voorblad!$F$41&gt;Voorblad!$K$41,0,IF($U188=0,0,IF($U188&lt;1,1/$U188,IF((HE$56-Voorblad!$F$41)/$U188-SUM($EE188:HD188)=1,1,0))))</f>
        <v>0</v>
      </c>
      <c r="HF188" s="8">
        <f>IF(HF$56-Voorblad!$F$41&gt;Voorblad!$K$41,0,IF($U188=0,0,IF($U188&lt;1,1/$U188,IF((HF$56-Voorblad!$F$41)/$U188-SUM($EE188:HE188)=1,1,0))))</f>
        <v>0</v>
      </c>
      <c r="HG188" s="8">
        <f>IF(HG$56-Voorblad!$F$41&gt;Voorblad!$K$41,0,IF($U188=0,0,IF($U188&lt;1,1/$U188,IF((HG$56-Voorblad!$F$41)/$U188-SUM($EE188:HF188)=1,1,0))))</f>
        <v>0</v>
      </c>
      <c r="HH188" s="8">
        <f>IF(HH$56-Voorblad!$F$41&gt;Voorblad!$K$41,0,IF($U188=0,0,IF($U188&lt;1,1/$U188,IF((HH$56-Voorblad!$F$41)/$U188-SUM($EE188:HG188)=1,1,0))))</f>
        <v>0</v>
      </c>
      <c r="HI188" s="8">
        <f>IF(HI$56-Voorblad!$F$41&gt;Voorblad!$K$41,0,IF($U188=0,0,IF($U188&lt;1,1/$U188,IF((HI$56-Voorblad!$F$41)/$U188-SUM($EE188:HH188)=1,1,0))))</f>
        <v>0</v>
      </c>
      <c r="HJ188" s="8">
        <f>IF(HJ$56-Voorblad!$F$41&gt;Voorblad!$K$41,0,IF($U188=0,0,IF($U188&lt;1,1/$U188,IF((HJ$56-Voorblad!$F$41)/$U188-SUM($EE188:HI188)=1,1,0))))</f>
        <v>0</v>
      </c>
      <c r="HK188" s="8">
        <f>IF(HK$56-Voorblad!$F$41&gt;Voorblad!$K$41,0,IF($U188=0,0,IF($U188&lt;1,1/$U188,IF((HK$56-Voorblad!$F$41)/$U188-SUM($EE188:HJ188)=1,1,0))))</f>
        <v>0</v>
      </c>
      <c r="HL188" s="8">
        <f>IF(HL$56-Voorblad!$F$41&gt;Voorblad!$K$41,0,IF($U188=0,0,IF($U188&lt;1,1/$U188,IF((HL$56-Voorblad!$F$41)/$U188-SUM($EE188:HK188)=1,1,0))))</f>
        <v>0</v>
      </c>
      <c r="HM188" s="8">
        <f>IF(HM$56-Voorblad!$F$41&gt;Voorblad!$K$41,0,IF($U188=0,0,IF($U188&lt;1,1/$U188,IF((HM$56-Voorblad!$F$41)/$U188-SUM($EE188:HL188)=1,1,0))))</f>
        <v>0</v>
      </c>
      <c r="HN188" s="8">
        <f>IF(HN$56-Voorblad!$F$41&gt;Voorblad!$K$41,0,IF($U188=0,0,IF($U188&lt;1,1/$U188,IF((HN$56-Voorblad!$F$41)/$U188-SUM($EE188:HM188)=1,1,0))))</f>
        <v>0</v>
      </c>
      <c r="HO188" s="8">
        <f>IF(HO$56-Voorblad!$F$41&gt;Voorblad!$K$41,0,IF($U188=0,0,IF($U188&lt;1,1/$U188,IF((HO$56-Voorblad!$F$41)/$U188-SUM($EE188:HN188)=1,1,0))))</f>
        <v>0</v>
      </c>
      <c r="HP188" s="8">
        <f>IF(HP$56-Voorblad!$F$41&gt;Voorblad!$K$41,0,IF($U188=0,0,IF($U188&lt;1,1/$U188,IF((HP$56-Voorblad!$F$41)/$U188-SUM($EE188:HO188)=1,1,0))))</f>
        <v>0</v>
      </c>
      <c r="HQ188" s="8">
        <f>IF(HQ$56-Voorblad!$F$41&gt;Voorblad!$K$41,0,IF($U188=0,0,IF($U188&lt;1,1/$U188,IF((HQ$56-Voorblad!$F$41)/$U188-SUM($EE188:HP188)=1,1,0))))</f>
        <v>0</v>
      </c>
      <c r="HR188" s="8">
        <f>IF(HR$56-Voorblad!$F$41&gt;Voorblad!$K$41,0,IF($U188=0,0,IF($U188&lt;1,1/$U188,IF((HR$56-Voorblad!$F$41)/$U188-SUM($EE188:HQ188)=1,1,0))))</f>
        <v>0</v>
      </c>
      <c r="HS188" s="8">
        <f>IF(HS$56-Voorblad!$F$41&gt;Voorblad!$K$41,0,IF($U188=0,0,IF($U188&lt;1,1/$U188,IF((HS$56-Voorblad!$F$41)/$U188-SUM($EE188:HR188)=1,1,0))))</f>
        <v>0</v>
      </c>
      <c r="HT188" s="8">
        <f>IF(HT$56-Voorblad!$F$41&gt;Voorblad!$K$41,0,IF($U188=0,0,IF($U188&lt;1,1/$U188,IF((HT$56-Voorblad!$F$41)/$U188-SUM($EE188:HS188)=1,1,0))))</f>
        <v>0</v>
      </c>
      <c r="HU188" s="8">
        <f>IF(HU$56-Voorblad!$F$41&gt;Voorblad!$K$41,0,IF($U188=0,0,IF($U188&lt;1,1/$U188,IF((HU$56-Voorblad!$F$41)/$U188-SUM($EE188:HT188)=1,1,0))))</f>
        <v>0</v>
      </c>
      <c r="HV188" s="8">
        <f>IF(HV$56-Voorblad!$F$41&gt;Voorblad!$K$41,0,IF($U188=0,0,IF($U188&lt;1,1/$U188,IF((HV$56-Voorblad!$F$41)/$U188-SUM($EE188:HU188)=1,1,0))))</f>
        <v>0</v>
      </c>
      <c r="HW188" s="8">
        <f>IF(HW$56-Voorblad!$F$41&gt;Voorblad!$K$41,0,IF($U188=0,0,IF($U188&lt;1,1/$U188,IF((HW$56-Voorblad!$F$41)/$U188-SUM($EE188:HV188)=1,1,0))))</f>
        <v>0</v>
      </c>
      <c r="HX188" s="8">
        <f>IF(HX$56-Voorblad!$F$41&gt;Voorblad!$K$41,0,IF($U188=0,0,IF($U188&lt;1,1/$U188,IF((HX$56-Voorblad!$F$41)/$U188-SUM($EE188:HW188)=1,1,0))))</f>
        <v>0</v>
      </c>
      <c r="HY188" s="8">
        <f>IF(HY$56-Voorblad!$F$41&gt;Voorblad!$K$41,0,IF($U188=0,0,IF($U188&lt;1,1/$U188,IF((HY$56-Voorblad!$F$41)/$U188-SUM($EE188:HX188)=1,1,0))))</f>
        <v>0</v>
      </c>
      <c r="HZ188" s="8">
        <f>IF(HZ$56-Voorblad!$F$41&gt;Voorblad!$K$41,0,IF($U188=0,0,IF($U188&lt;1,1/$U188,IF((HZ$56-Voorblad!$F$41)/$U188-SUM($EE188:HY188)=1,1,0))))</f>
        <v>0</v>
      </c>
      <c r="IA188" s="8">
        <f>IF(IA$56-Voorblad!$F$41&gt;Voorblad!$K$41,0,IF($U188=0,0,IF($U188&lt;1,1/$U188,IF((IA$56-Voorblad!$F$41)/$U188-SUM($EE188:HZ188)=1,1,0))))</f>
        <v>0</v>
      </c>
      <c r="IB188" s="8">
        <f>IF(IB$56-Voorblad!$F$41&gt;Voorblad!$K$41,0,IF($U188=0,0,IF($U188&lt;1,1/$U188,IF((IB$56-Voorblad!$F$41)/$U188-SUM($EE188:IA188)=1,1,0))))</f>
        <v>0</v>
      </c>
    </row>
    <row r="189" spans="2:236" hidden="1" outlineLevel="1" x14ac:dyDescent="0.25">
      <c r="B189" s="14">
        <v>1</v>
      </c>
      <c r="C189" s="14"/>
      <c r="F189" s="1" t="s">
        <v>58</v>
      </c>
      <c r="I189" s="1" t="s">
        <v>66</v>
      </c>
      <c r="K189" s="1" t="s">
        <v>65</v>
      </c>
      <c r="O189" s="1" t="s">
        <v>100</v>
      </c>
      <c r="Q189" s="81">
        <v>0</v>
      </c>
      <c r="R189" s="1" t="s">
        <v>33</v>
      </c>
      <c r="S189" s="14">
        <f>4%*T187</f>
        <v>0</v>
      </c>
      <c r="T189" s="14">
        <f>Q189*S189</f>
        <v>0</v>
      </c>
      <c r="U189" s="11">
        <v>1</v>
      </c>
      <c r="V189" s="14"/>
      <c r="W189" s="81">
        <v>0</v>
      </c>
      <c r="X189" s="6"/>
      <c r="Y189" s="9">
        <f t="shared" si="190"/>
        <v>0</v>
      </c>
      <c r="Z189" s="82"/>
      <c r="AA189" s="82"/>
      <c r="AC189" s="9">
        <f>$Y189*(Voorblad!$K$44*(1+Voorblad!$K$44)^Voorblad!$K$41)/((1+Voorblad!$K$44)^Voorblad!$K$41-1)</f>
        <v>0</v>
      </c>
      <c r="AE189" s="9">
        <f>IF($W189=AE$56,EF189*($Q189*$S189)/(1+Voorblad!$K$44)^(AE$56-Voorblad!$F$41),0)</f>
        <v>0</v>
      </c>
      <c r="AF189" s="9">
        <f>IF($W189=AF$56,EG189*($Q189*$S189)/(1+Voorblad!$K$44)^(AF$56-Voorblad!$F$41),0)</f>
        <v>0</v>
      </c>
      <c r="AG189" s="9">
        <f>IF($W189=AG$56,EH189*($Q189*$S189)/(1+Voorblad!$K$44)^(AG$56-Voorblad!$F$41),0)</f>
        <v>0</v>
      </c>
      <c r="AH189" s="9">
        <f>IF($W189=AH$56,EI189*($Q189*$S189)/(1+Voorblad!$K$44)^(AH$56-Voorblad!$F$41),0)</f>
        <v>0</v>
      </c>
      <c r="AI189" s="9">
        <f>IF($W189=AI$56,EJ189*($Q189*$S189)/(1+Voorblad!$K$44)^(AI$56-Voorblad!$F$41),0)</f>
        <v>0</v>
      </c>
      <c r="AJ189" s="9">
        <f>IF($W189=AJ$56,EK189*($Q189*$S189)/(1+Voorblad!$K$44)^(AJ$56-Voorblad!$F$41),0)</f>
        <v>0</v>
      </c>
      <c r="AK189" s="9">
        <f>IF($W189=AK$56,EL189*($Q189*$S189)/(1+Voorblad!$K$44)^(AK$56-Voorblad!$F$41),0)</f>
        <v>0</v>
      </c>
      <c r="AL189" s="9">
        <f>IF($W189=AL$56,EM189*($Q189*$S189)/(1+Voorblad!$K$44)^(AL$56-Voorblad!$F$41),0)</f>
        <v>0</v>
      </c>
      <c r="AM189" s="9">
        <f>IF($W189=AM$56,EN189*($Q189*$S189)/(1+Voorblad!$K$44)^(AM$56-Voorblad!$F$41),0)</f>
        <v>0</v>
      </c>
      <c r="AN189" s="9">
        <f>IF($W189=AN$56,EO189*($Q189*$S189)/(1+Voorblad!$K$44)^(AN$56-Voorblad!$F$41),0)</f>
        <v>0</v>
      </c>
      <c r="AO189" s="9">
        <f>IF($W189=AO$56,EP189*($Q189*$S189)/(1+Voorblad!$K$44)^(AO$56-Voorblad!$F$41),0)</f>
        <v>0</v>
      </c>
      <c r="AP189" s="9">
        <f>IF($W189=AP$56,EQ189*($Q189*$S189)/(1+Voorblad!$K$44)^(AP$56-Voorblad!$F$41),0)</f>
        <v>0</v>
      </c>
      <c r="AQ189" s="9">
        <f>IF($W189=AQ$56,ER189*($Q189*$S189)/(1+Voorblad!$K$44)^(AQ$56-Voorblad!$F$41),0)</f>
        <v>0</v>
      </c>
      <c r="AR189" s="9">
        <f>IF($W189=AR$56,ES189*($Q189*$S189)/(1+Voorblad!$K$44)^(AR$56-Voorblad!$F$41),0)</f>
        <v>0</v>
      </c>
      <c r="AS189" s="9">
        <f>IF($W189=AS$56,ET189*($Q189*$S189)/(1+Voorblad!$K$44)^(AS$56-Voorblad!$F$41),0)</f>
        <v>0</v>
      </c>
      <c r="AT189" s="9">
        <f>IF($W189=AT$56,EU189*($Q189*$S189)/(1+Voorblad!$K$44)^(AT$56-Voorblad!$F$41),0)</f>
        <v>0</v>
      </c>
      <c r="AU189" s="9">
        <f>IF($W189=AU$56,EV189*($Q189*$S189)/(1+Voorblad!$K$44)^(AU$56-Voorblad!$F$41),0)</f>
        <v>0</v>
      </c>
      <c r="AV189" s="9">
        <f>IF($W189=AV$56,EW189*($Q189*$S189)/(1+Voorblad!$K$44)^(AV$56-Voorblad!$F$41),0)</f>
        <v>0</v>
      </c>
      <c r="AW189" s="9">
        <f>IF($W189=AW$56,EX189*($Q189*$S189)/(1+Voorblad!$K$44)^(AW$56-Voorblad!$F$41),0)</f>
        <v>0</v>
      </c>
      <c r="AX189" s="9">
        <f>IF($W189=AX$56,EY189*($Q189*$S189)/(1+Voorblad!$K$44)^(AX$56-Voorblad!$F$41),0)</f>
        <v>0</v>
      </c>
      <c r="AY189" s="9">
        <f>IF($W189=AY$56,EZ189*($Q189*$S189)/(1+Voorblad!$K$44)^(AY$56-Voorblad!$F$41),0)</f>
        <v>0</v>
      </c>
      <c r="AZ189" s="9">
        <f>IF($W189=AZ$56,FA189*($Q189*$S189)/(1+Voorblad!$K$44)^(AZ$56-Voorblad!$F$41),0)</f>
        <v>0</v>
      </c>
      <c r="BA189" s="9">
        <f>IF($W189=BA$56,FB189*($Q189*$S189)/(1+Voorblad!$K$44)^(BA$56-Voorblad!$F$41),0)</f>
        <v>0</v>
      </c>
      <c r="BB189" s="9">
        <f>IF($W189=BB$56,FC189*($Q189*$S189)/(1+Voorblad!$K$44)^(BB$56-Voorblad!$F$41),0)</f>
        <v>0</v>
      </c>
      <c r="BC189" s="9">
        <f>IF($W189=BC$56,FD189*($Q189*$S189)/(1+Voorblad!$K$44)^(BC$56-Voorblad!$F$41),0)</f>
        <v>0</v>
      </c>
      <c r="BD189" s="9">
        <f>IF($W189=BD$56,FE189*($Q189*$S189)/(1+Voorblad!$K$44)^(BD$56-Voorblad!$F$41),0)</f>
        <v>0</v>
      </c>
      <c r="BE189" s="9">
        <f>IF($W189=BE$56,FF189*($Q189*$S189)/(1+Voorblad!$K$44)^(BE$56-Voorblad!$F$41),0)</f>
        <v>0</v>
      </c>
      <c r="BF189" s="9">
        <f>IF($W189=BF$56,FG189*($Q189*$S189)/(1+Voorblad!$K$44)^(BF$56-Voorblad!$F$41),0)</f>
        <v>0</v>
      </c>
      <c r="BG189" s="9">
        <f>IF($W189=BG$56,FH189*($Q189*$S189)/(1+Voorblad!$K$44)^(BG$56-Voorblad!$F$41),0)</f>
        <v>0</v>
      </c>
      <c r="BH189" s="9">
        <f>IF($W189=BH$56,FI189*($Q189*$S189)/(1+Voorblad!$K$44)^(BH$56-Voorblad!$F$41),0)</f>
        <v>0</v>
      </c>
      <c r="BI189" s="9">
        <f>IF($W189=BI$56,FJ189*($Q189*$S189)/(1+Voorblad!$K$44)^(BI$56-Voorblad!$F$41),0)</f>
        <v>0</v>
      </c>
      <c r="BJ189" s="9">
        <f>IF($W189=BJ$56,FK189*($Q189*$S189)/(1+Voorblad!$K$44)^(BJ$56-Voorblad!$F$41),0)</f>
        <v>0</v>
      </c>
      <c r="BK189" s="9">
        <f>IF($W189=BK$56,FL189*($Q189*$S189)/(1+Voorblad!$K$44)^(BK$56-Voorblad!$F$41),0)</f>
        <v>0</v>
      </c>
      <c r="BL189" s="9">
        <f>IF($W189=BL$56,FM189*($Q189*$S189)/(1+Voorblad!$K$44)^(BL$56-Voorblad!$F$41),0)</f>
        <v>0</v>
      </c>
      <c r="BM189" s="9">
        <f>IF($W189=BM$56,FN189*($Q189*$S189)/(1+Voorblad!$K$44)^(BM$56-Voorblad!$F$41),0)</f>
        <v>0</v>
      </c>
      <c r="BN189" s="9">
        <f>IF($W189=BN$56,FO189*($Q189*$S189)/(1+Voorblad!$K$44)^(BN$56-Voorblad!$F$41),0)</f>
        <v>0</v>
      </c>
      <c r="BO189" s="9">
        <f>IF($W189=BO$56,FP189*($Q189*$S189)/(1+Voorblad!$K$44)^(BO$56-Voorblad!$F$41),0)</f>
        <v>0</v>
      </c>
      <c r="BP189" s="9">
        <f>IF($W189=BP$56,FQ189*($Q189*$S189)/(1+Voorblad!$K$44)^(BP$56-Voorblad!$F$41),0)</f>
        <v>0</v>
      </c>
      <c r="BQ189" s="9">
        <f>IF($W189=BQ$56,FR189*($Q189*$S189)/(1+Voorblad!$K$44)^(BQ$56-Voorblad!$F$41),0)</f>
        <v>0</v>
      </c>
      <c r="BR189" s="9">
        <f>IF($W189=BR$56,FS189*($Q189*$S189)/(1+Voorblad!$K$44)^(BR$56-Voorblad!$F$41),0)</f>
        <v>0</v>
      </c>
      <c r="BS189" s="9">
        <f>IF($W189=BS$56,FT189*($Q189*$S189)/(1+Voorblad!$K$44)^(BS$56-Voorblad!$F$41),0)</f>
        <v>0</v>
      </c>
      <c r="BT189" s="9">
        <f>IF($W189=BT$56,FU189*($Q189*$S189)/(1+Voorblad!$K$44)^(BT$56-Voorblad!$F$41),0)</f>
        <v>0</v>
      </c>
      <c r="BU189" s="9">
        <f>IF($W189=BU$56,FV189*($Q189*$S189)/(1+Voorblad!$K$44)^(BU$56-Voorblad!$F$41),0)</f>
        <v>0</v>
      </c>
      <c r="BV189" s="9">
        <f>IF($W189=BV$56,FW189*($Q189*$S189)/(1+Voorblad!$K$44)^(BV$56-Voorblad!$F$41),0)</f>
        <v>0</v>
      </c>
      <c r="BW189" s="9">
        <f>IF($W189=BW$56,FX189*($Q189*$S189)/(1+Voorblad!$K$44)^(BW$56-Voorblad!$F$41),0)</f>
        <v>0</v>
      </c>
      <c r="BX189" s="9">
        <f>IF($W189=BX$56,FY189*($Q189*$S189)/(1+Voorblad!$K$44)^(BX$56-Voorblad!$F$41),0)</f>
        <v>0</v>
      </c>
      <c r="BY189" s="9">
        <f>IF($W189=BY$56,FZ189*($Q189*$S189)/(1+Voorblad!$K$44)^(BY$56-Voorblad!$F$41),0)</f>
        <v>0</v>
      </c>
      <c r="BZ189" s="9">
        <f>IF($W189=BZ$56,GA189*($Q189*$S189)/(1+Voorblad!$K$44)^(BZ$56-Voorblad!$F$41),0)</f>
        <v>0</v>
      </c>
      <c r="CA189" s="9">
        <f>IF($W189=CA$56,GB189*($Q189*$S189)/(1+Voorblad!$K$44)^(CA$56-Voorblad!$F$41),0)</f>
        <v>0</v>
      </c>
      <c r="CB189" s="9">
        <f>IF($W189=CB$56,GC189*($Q189*$S189)/(1+Voorblad!$K$44)^(CB$56-Voorblad!$F$41),0)</f>
        <v>0</v>
      </c>
      <c r="CC189" s="9">
        <f>IF($W189=CC$56,GD189*($Q189*$S189)/(1+Voorblad!$K$44)^(CC$56-Voorblad!$F$41),0)</f>
        <v>0</v>
      </c>
      <c r="CD189" s="9">
        <f>IF($W189=CD$56,GE189*($Q189*$S189)/(1+Voorblad!$K$44)^(CD$56-Voorblad!$F$41),0)</f>
        <v>0</v>
      </c>
      <c r="CE189" s="9">
        <f>IF($W189=CE$56,GF189*($Q189*$S189)/(1+Voorblad!$K$44)^(CE$56-Voorblad!$F$41),0)</f>
        <v>0</v>
      </c>
      <c r="CF189" s="9">
        <f>IF($W189=CF$56,GG189*($Q189*$S189)/(1+Voorblad!$K$44)^(CF$56-Voorblad!$F$41),0)</f>
        <v>0</v>
      </c>
      <c r="CG189" s="9">
        <f>IF($W189=CG$56,GH189*($Q189*$S189)/(1+Voorblad!$K$44)^(CG$56-Voorblad!$F$41),0)</f>
        <v>0</v>
      </c>
      <c r="CH189" s="9">
        <f>IF($W189=CH$56,GI189*($Q189*$S189)/(1+Voorblad!$K$44)^(CH$56-Voorblad!$F$41),0)</f>
        <v>0</v>
      </c>
      <c r="CI189" s="9">
        <f>IF($W189=CI$56,GJ189*($Q189*$S189)/(1+Voorblad!$K$44)^(CI$56-Voorblad!$F$41),0)</f>
        <v>0</v>
      </c>
      <c r="CJ189" s="9">
        <f>IF($W189=CJ$56,GK189*($Q189*$S189)/(1+Voorblad!$K$44)^(CJ$56-Voorblad!$F$41),0)</f>
        <v>0</v>
      </c>
      <c r="CK189" s="9">
        <f>IF($W189=CK$56,GL189*($Q189*$S189)/(1+Voorblad!$K$44)^(CK$56-Voorblad!$F$41),0)</f>
        <v>0</v>
      </c>
      <c r="CL189" s="9">
        <f>IF($W189=CL$56,GM189*($Q189*$S189)/(1+Voorblad!$K$44)^(CL$56-Voorblad!$F$41),0)</f>
        <v>0</v>
      </c>
      <c r="CM189" s="9">
        <f>IF($W189=CM$56,GN189*($Q189*$S189)/(1+Voorblad!$K$44)^(CM$56-Voorblad!$F$41),0)</f>
        <v>0</v>
      </c>
      <c r="CN189" s="9">
        <f>IF($W189=CN$56,GO189*($Q189*$S189)/(1+Voorblad!$K$44)^(CN$56-Voorblad!$F$41),0)</f>
        <v>0</v>
      </c>
      <c r="CO189" s="9">
        <f>IF($W189=CO$56,GP189*($Q189*$S189)/(1+Voorblad!$K$44)^(CO$56-Voorblad!$F$41),0)</f>
        <v>0</v>
      </c>
      <c r="CP189" s="9">
        <f>IF($W189=CP$56,GQ189*($Q189*$S189)/(1+Voorblad!$K$44)^(CP$56-Voorblad!$F$41),0)</f>
        <v>0</v>
      </c>
      <c r="CQ189" s="9">
        <f>IF($W189=CQ$56,GR189*($Q189*$S189)/(1+Voorblad!$K$44)^(CQ$56-Voorblad!$F$41),0)</f>
        <v>0</v>
      </c>
      <c r="CR189" s="9">
        <f>IF($W189=CR$56,GS189*($Q189*$S189)/(1+Voorblad!$K$44)^(CR$56-Voorblad!$F$41),0)</f>
        <v>0</v>
      </c>
      <c r="CS189" s="9">
        <f>IF($W189=CS$56,GT189*($Q189*$S189)/(1+Voorblad!$K$44)^(CS$56-Voorblad!$F$41),0)</f>
        <v>0</v>
      </c>
      <c r="CT189" s="9">
        <f>IF($W189=CT$56,GU189*($Q189*$S189)/(1+Voorblad!$K$44)^(CT$56-Voorblad!$F$41),0)</f>
        <v>0</v>
      </c>
      <c r="CU189" s="9">
        <f>IF($W189=CU$56,GV189*($Q189*$S189)/(1+Voorblad!$K$44)^(CU$56-Voorblad!$F$41),0)</f>
        <v>0</v>
      </c>
      <c r="CV189" s="9">
        <f>IF($W189=CV$56,GW189*($Q189*$S189)/(1+Voorblad!$K$44)^(CV$56-Voorblad!$F$41),0)</f>
        <v>0</v>
      </c>
      <c r="CW189" s="9">
        <f>IF($W189=CW$56,GX189*($Q189*$S189)/(1+Voorblad!$K$44)^(CW$56-Voorblad!$F$41),0)</f>
        <v>0</v>
      </c>
      <c r="CX189" s="9">
        <f>IF($W189=CX$56,GY189*($Q189*$S189)/(1+Voorblad!$K$44)^(CX$56-Voorblad!$F$41),0)</f>
        <v>0</v>
      </c>
      <c r="CY189" s="9">
        <f>IF($W189=CY$56,GZ189*($Q189*$S189)/(1+Voorblad!$K$44)^(CY$56-Voorblad!$F$41),0)</f>
        <v>0</v>
      </c>
      <c r="CZ189" s="9">
        <f>IF($W189=CZ$56,HA189*($Q189*$S189)/(1+Voorblad!$K$44)^(CZ$56-Voorblad!$F$41),0)</f>
        <v>0</v>
      </c>
      <c r="DA189" s="9">
        <f>IF($W189=DA$56,HB189*($Q189*$S189)/(1+Voorblad!$K$44)^(DA$56-Voorblad!$F$41),0)</f>
        <v>0</v>
      </c>
      <c r="DB189" s="9">
        <f>IF($W189=DB$56,HC189*($Q189*$S189)/(1+Voorblad!$K$44)^(DB$56-Voorblad!$F$41),0)</f>
        <v>0</v>
      </c>
      <c r="DC189" s="9">
        <f>IF($W189=DC$56,HD189*($Q189*$S189)/(1+Voorblad!$K$44)^(DC$56-Voorblad!$F$41),0)</f>
        <v>0</v>
      </c>
      <c r="DD189" s="9">
        <f>IF($W189=DD$56,HE189*($Q189*$S189)/(1+Voorblad!$K$44)^(DD$56-Voorblad!$F$41),0)</f>
        <v>0</v>
      </c>
      <c r="DE189" s="9">
        <f>IF($W189=DE$56,HF189*($Q189*$S189)/(1+Voorblad!$K$44)^(DE$56-Voorblad!$F$41),0)</f>
        <v>0</v>
      </c>
      <c r="DF189" s="9">
        <f>IF($W189=DF$56,HG189*($Q189*$S189)/(1+Voorblad!$K$44)^(DF$56-Voorblad!$F$41),0)</f>
        <v>0</v>
      </c>
      <c r="DG189" s="9">
        <f>IF($W189=DG$56,HH189*($Q189*$S189)/(1+Voorblad!$K$44)^(DG$56-Voorblad!$F$41),0)</f>
        <v>0</v>
      </c>
      <c r="DH189" s="9">
        <f>IF($W189=DH$56,HI189*($Q189*$S189)/(1+Voorblad!$K$44)^(DH$56-Voorblad!$F$41),0)</f>
        <v>0</v>
      </c>
      <c r="DI189" s="9">
        <f>IF($W189=DI$56,HJ189*($Q189*$S189)/(1+Voorblad!$K$44)^(DI$56-Voorblad!$F$41),0)</f>
        <v>0</v>
      </c>
      <c r="DJ189" s="9">
        <f>IF($W189=DJ$56,HK189*($Q189*$S189)/(1+Voorblad!$K$44)^(DJ$56-Voorblad!$F$41),0)</f>
        <v>0</v>
      </c>
      <c r="DK189" s="9">
        <f>IF($W189=DK$56,HL189*($Q189*$S189)/(1+Voorblad!$K$44)^(DK$56-Voorblad!$F$41),0)</f>
        <v>0</v>
      </c>
      <c r="DL189" s="9">
        <f>IF($W189=DL$56,HM189*($Q189*$S189)/(1+Voorblad!$K$44)^(DL$56-Voorblad!$F$41),0)</f>
        <v>0</v>
      </c>
      <c r="DM189" s="9">
        <f>IF($W189=DM$56,HN189*($Q189*$S189)/(1+Voorblad!$K$44)^(DM$56-Voorblad!$F$41),0)</f>
        <v>0</v>
      </c>
      <c r="DN189" s="9">
        <f>IF($W189=DN$56,HO189*($Q189*$S189)/(1+Voorblad!$K$44)^(DN$56-Voorblad!$F$41),0)</f>
        <v>0</v>
      </c>
      <c r="DO189" s="9">
        <f>IF($W189=DO$56,HP189*($Q189*$S189)/(1+Voorblad!$K$44)^(DO$56-Voorblad!$F$41),0)</f>
        <v>0</v>
      </c>
      <c r="DP189" s="9">
        <f>IF($W189=DP$56,HQ189*($Q189*$S189)/(1+Voorblad!$K$44)^(DP$56-Voorblad!$F$41),0)</f>
        <v>0</v>
      </c>
      <c r="DQ189" s="9">
        <f>IF($W189=DQ$56,HR189*($Q189*$S189)/(1+Voorblad!$K$44)^(DQ$56-Voorblad!$F$41),0)</f>
        <v>0</v>
      </c>
      <c r="DR189" s="9">
        <f>IF($W189=DR$56,HS189*($Q189*$S189)/(1+Voorblad!$K$44)^(DR$56-Voorblad!$F$41),0)</f>
        <v>0</v>
      </c>
      <c r="DS189" s="9">
        <f>IF($W189=DS$56,HT189*($Q189*$S189)/(1+Voorblad!$K$44)^(DS$56-Voorblad!$F$41),0)</f>
        <v>0</v>
      </c>
      <c r="DT189" s="9">
        <f>IF($W189=DT$56,HU189*($Q189*$S189)/(1+Voorblad!$K$44)^(DT$56-Voorblad!$F$41),0)</f>
        <v>0</v>
      </c>
      <c r="DU189" s="9">
        <f>IF($W189=DU$56,HV189*($Q189*$S189)/(1+Voorblad!$K$44)^(DU$56-Voorblad!$F$41),0)</f>
        <v>0</v>
      </c>
      <c r="DV189" s="9">
        <f>IF($W189=DV$56,HW189*($Q189*$S189)/(1+Voorblad!$K$44)^(DV$56-Voorblad!$F$41),0)</f>
        <v>0</v>
      </c>
      <c r="DW189" s="9">
        <f>IF($W189=DW$56,HX189*($Q189*$S189)/(1+Voorblad!$K$44)^(DW$56-Voorblad!$F$41),0)</f>
        <v>0</v>
      </c>
      <c r="DX189" s="9">
        <f>IF($W189=DX$56,HY189*($Q189*$S189)/(1+Voorblad!$K$44)^(DX$56-Voorblad!$F$41),0)</f>
        <v>0</v>
      </c>
      <c r="DY189" s="9">
        <f>IF($W189=DY$56,HZ189*($Q189*$S189)/(1+Voorblad!$K$44)^(DY$56-Voorblad!$F$41),0)</f>
        <v>0</v>
      </c>
      <c r="DZ189" s="9">
        <f>IF($W189=DZ$56,IA189*($Q189*$S189)/(1+Voorblad!$K$44)^(DZ$56-Voorblad!$F$41),0)</f>
        <v>0</v>
      </c>
      <c r="EA189" s="9">
        <f>IF($W189=EA$56,IB189*($Q189*$S189)/(1+Voorblad!$K$44)^(EA$56-Voorblad!$F$41),0)</f>
        <v>0</v>
      </c>
      <c r="EB189" s="9">
        <f>IF($W189=EB$56,IC189*($Q189*$S189)/(1+Voorblad!$K$44)^(EB$56-Voorblad!$F$41),0)</f>
        <v>0</v>
      </c>
      <c r="EE189" s="8">
        <v>0</v>
      </c>
      <c r="EF189" s="8">
        <f>IF(EF$56-Voorblad!$F$41&gt;Voorblad!$K$41,0,IF($U189=0,0,IF($U189&lt;1,1/$U189,IF((EF$56-Voorblad!$F$41)/$U189-SUM($EE189:EE189)=1,1,0))))</f>
        <v>0</v>
      </c>
      <c r="EG189" s="8">
        <f>IF(EG$56-Voorblad!$F$41&gt;Voorblad!$K$41,0,IF($U189=0,0,IF($U189&lt;1,1/$U189,IF((EG$56-Voorblad!$F$41)/$U189-SUM($EE189:EF189)=1,1,0))))</f>
        <v>1</v>
      </c>
      <c r="EH189" s="8">
        <f>IF(EH$56-Voorblad!$F$41&gt;Voorblad!$K$41,0,IF($U189=0,0,IF($U189&lt;1,1/$U189,IF((EH$56-Voorblad!$F$41)/$U189-SUM($EE189:EG189)=1,1,0))))</f>
        <v>1</v>
      </c>
      <c r="EI189" s="8">
        <f>IF(EI$56-Voorblad!$F$41&gt;Voorblad!$K$41,0,IF($U189=0,0,IF($U189&lt;1,1/$U189,IF((EI$56-Voorblad!$F$41)/$U189-SUM($EE189:EH189)=1,1,0))))</f>
        <v>1</v>
      </c>
      <c r="EJ189" s="8">
        <f>IF(EJ$56-Voorblad!$F$41&gt;Voorblad!$K$41,0,IF($U189=0,0,IF($U189&lt;1,1/$U189,IF((EJ$56-Voorblad!$F$41)/$U189-SUM($EE189:EI189)=1,1,0))))</f>
        <v>1</v>
      </c>
      <c r="EK189" s="8">
        <f>IF(EK$56-Voorblad!$F$41&gt;Voorblad!$K$41,0,IF($U189=0,0,IF($U189&lt;1,1/$U189,IF((EK$56-Voorblad!$F$41)/$U189-SUM($EE189:EJ189)=1,1,0))))</f>
        <v>1</v>
      </c>
      <c r="EL189" s="8">
        <f>IF(EL$56-Voorblad!$F$41&gt;Voorblad!$K$41,0,IF($U189=0,0,IF($U189&lt;1,1/$U189,IF((EL$56-Voorblad!$F$41)/$U189-SUM($EE189:EK189)=1,1,0))))</f>
        <v>1</v>
      </c>
      <c r="EM189" s="8">
        <f>IF(EM$56-Voorblad!$F$41&gt;Voorblad!$K$41,0,IF($U189=0,0,IF($U189&lt;1,1/$U189,IF((EM$56-Voorblad!$F$41)/$U189-SUM($EE189:EL189)=1,1,0))))</f>
        <v>1</v>
      </c>
      <c r="EN189" s="8">
        <f>IF(EN$56-Voorblad!$F$41&gt;Voorblad!$K$41,0,IF($U189=0,0,IF($U189&lt;1,1/$U189,IF((EN$56-Voorblad!$F$41)/$U189-SUM($EE189:EM189)=1,1,0))))</f>
        <v>1</v>
      </c>
      <c r="EO189" s="8">
        <f>IF(EO$56-Voorblad!$F$41&gt;Voorblad!$K$41,0,IF($U189=0,0,IF($U189&lt;1,1/$U189,IF((EO$56-Voorblad!$F$41)/$U189-SUM($EE189:EN189)=1,1,0))))</f>
        <v>1</v>
      </c>
      <c r="EP189" s="8">
        <f>IF(EP$56-Voorblad!$F$41&gt;Voorblad!$K$41,0,IF($U189=0,0,IF($U189&lt;1,1/$U189,IF((EP$56-Voorblad!$F$41)/$U189-SUM($EE189:EO189)=1,1,0))))</f>
        <v>1</v>
      </c>
      <c r="EQ189" s="8">
        <f>IF(EQ$56-Voorblad!$F$41&gt;Voorblad!$K$41,0,IF($U189=0,0,IF($U189&lt;1,1/$U189,IF((EQ$56-Voorblad!$F$41)/$U189-SUM($EE189:EP189)=1,1,0))))</f>
        <v>1</v>
      </c>
      <c r="ER189" s="8">
        <f>IF(ER$56-Voorblad!$F$41&gt;Voorblad!$K$41,0,IF($U189=0,0,IF($U189&lt;1,1/$U189,IF((ER$56-Voorblad!$F$41)/$U189-SUM($EE189:EQ189)=1,1,0))))</f>
        <v>1</v>
      </c>
      <c r="ES189" s="8">
        <f>IF(ES$56-Voorblad!$F$41&gt;Voorblad!$K$41,0,IF($U189=0,0,IF($U189&lt;1,1/$U189,IF((ES$56-Voorblad!$F$41)/$U189-SUM($EE189:ER189)=1,1,0))))</f>
        <v>1</v>
      </c>
      <c r="ET189" s="8">
        <f>IF(ET$56-Voorblad!$F$41&gt;Voorblad!$K$41,0,IF($U189=0,0,IF($U189&lt;1,1/$U189,IF((ET$56-Voorblad!$F$41)/$U189-SUM($EE189:ES189)=1,1,0))))</f>
        <v>1</v>
      </c>
      <c r="EU189" s="8">
        <f>IF(EU$56-Voorblad!$F$41&gt;Voorblad!$K$41,0,IF($U189=0,0,IF($U189&lt;1,1/$U189,IF((EU$56-Voorblad!$F$41)/$U189-SUM($EE189:ET189)=1,1,0))))</f>
        <v>1</v>
      </c>
      <c r="EV189" s="8">
        <f>IF(EV$56-Voorblad!$F$41&gt;Voorblad!$K$41,0,IF($U189=0,0,IF($U189&lt;1,1/$U189,IF((EV$56-Voorblad!$F$41)/$U189-SUM($EE189:EU189)=1,1,0))))</f>
        <v>1</v>
      </c>
      <c r="EW189" s="8">
        <f>IF(EW$56-Voorblad!$F$41&gt;Voorblad!$K$41,0,IF($U189=0,0,IF($U189&lt;1,1/$U189,IF((EW$56-Voorblad!$F$41)/$U189-SUM($EE189:EV189)=1,1,0))))</f>
        <v>1</v>
      </c>
      <c r="EX189" s="8">
        <f>IF(EX$56-Voorblad!$F$41&gt;Voorblad!$K$41,0,IF($U189=0,0,IF($U189&lt;1,1/$U189,IF((EX$56-Voorblad!$F$41)/$U189-SUM($EE189:EW189)=1,1,0))))</f>
        <v>1</v>
      </c>
      <c r="EY189" s="8">
        <f>IF(EY$56-Voorblad!$F$41&gt;Voorblad!$K$41,0,IF($U189=0,0,IF($U189&lt;1,1/$U189,IF((EY$56-Voorblad!$F$41)/$U189-SUM($EE189:EX189)=1,1,0))))</f>
        <v>1</v>
      </c>
      <c r="EZ189" s="8">
        <f>IF(EZ$56-Voorblad!$F$41&gt;Voorblad!$K$41,0,IF($U189=0,0,IF($U189&lt;1,1/$U189,IF((EZ$56-Voorblad!$F$41)/$U189-SUM($EE189:EY189)=1,1,0))))</f>
        <v>1</v>
      </c>
      <c r="FA189" s="8">
        <f>IF(FA$56-Voorblad!$F$41&gt;Voorblad!$K$41,0,IF($U189=0,0,IF($U189&lt;1,1/$U189,IF((FA$56-Voorblad!$F$41)/$U189-SUM($EE189:EZ189)=1,1,0))))</f>
        <v>1</v>
      </c>
      <c r="FB189" s="8">
        <f>IF(FB$56-Voorblad!$F$41&gt;Voorblad!$K$41,0,IF($U189=0,0,IF($U189&lt;1,1/$U189,IF((FB$56-Voorblad!$F$41)/$U189-SUM($EE189:FA189)=1,1,0))))</f>
        <v>1</v>
      </c>
      <c r="FC189" s="8">
        <f>IF(FC$56-Voorblad!$F$41&gt;Voorblad!$K$41,0,IF($U189=0,0,IF($U189&lt;1,1/$U189,IF((FC$56-Voorblad!$F$41)/$U189-SUM($EE189:FB189)=1,1,0))))</f>
        <v>1</v>
      </c>
      <c r="FD189" s="8">
        <f>IF(FD$56-Voorblad!$F$41&gt;Voorblad!$K$41,0,IF($U189=0,0,IF($U189&lt;1,1/$U189,IF((FD$56-Voorblad!$F$41)/$U189-SUM($EE189:FC189)=1,1,0))))</f>
        <v>1</v>
      </c>
      <c r="FE189" s="8">
        <f>IF(FE$56-Voorblad!$F$41&gt;Voorblad!$K$41,0,IF($U189=0,0,IF($U189&lt;1,1/$U189,IF((FE$56-Voorblad!$F$41)/$U189-SUM($EE189:FD189)=1,1,0))))</f>
        <v>1</v>
      </c>
      <c r="FF189" s="8">
        <f>IF(FF$56-Voorblad!$F$41&gt;Voorblad!$K$41,0,IF($U189=0,0,IF($U189&lt;1,1/$U189,IF((FF$56-Voorblad!$F$41)/$U189-SUM($EE189:FE189)=1,1,0))))</f>
        <v>1</v>
      </c>
      <c r="FG189" s="8">
        <f>IF(FG$56-Voorblad!$F$41&gt;Voorblad!$K$41,0,IF($U189=0,0,IF($U189&lt;1,1/$U189,IF((FG$56-Voorblad!$F$41)/$U189-SUM($EE189:FF189)=1,1,0))))</f>
        <v>1</v>
      </c>
      <c r="FH189" s="8">
        <f>IF(FH$56-Voorblad!$F$41&gt;Voorblad!$K$41,0,IF($U189=0,0,IF($U189&lt;1,1/$U189,IF((FH$56-Voorblad!$F$41)/$U189-SUM($EE189:FG189)=1,1,0))))</f>
        <v>1</v>
      </c>
      <c r="FI189" s="8">
        <f>IF(FI$56-Voorblad!$F$41&gt;Voorblad!$K$41,0,IF($U189=0,0,IF($U189&lt;1,1/$U189,IF((FI$56-Voorblad!$F$41)/$U189-SUM($EE189:FH189)=1,1,0))))</f>
        <v>1</v>
      </c>
      <c r="FJ189" s="8">
        <f>IF(FJ$56-Voorblad!$F$41&gt;Voorblad!$K$41,0,IF($U189=0,0,IF($U189&lt;1,1/$U189,IF((FJ$56-Voorblad!$F$41)/$U189-SUM($EE189:FI189)=1,1,0))))</f>
        <v>1</v>
      </c>
      <c r="FK189" s="8">
        <f>IF(FK$56-Voorblad!$F$41&gt;Voorblad!$K$41,0,IF($U189=0,0,IF($U189&lt;1,1/$U189,IF((FK$56-Voorblad!$F$41)/$U189-SUM($EE189:FJ189)=1,1,0))))</f>
        <v>1</v>
      </c>
      <c r="FL189" s="8">
        <f>IF(FL$56-Voorblad!$F$41&gt;Voorblad!$K$41,0,IF($U189=0,0,IF($U189&lt;1,1/$U189,IF((FL$56-Voorblad!$F$41)/$U189-SUM($EE189:FK189)=1,1,0))))</f>
        <v>1</v>
      </c>
      <c r="FM189" s="8">
        <f>IF(FM$56-Voorblad!$F$41&gt;Voorblad!$K$41,0,IF($U189=0,0,IF($U189&lt;1,1/$U189,IF((FM$56-Voorblad!$F$41)/$U189-SUM($EE189:FL189)=1,1,0))))</f>
        <v>1</v>
      </c>
      <c r="FN189" s="8">
        <f>IF(FN$56-Voorblad!$F$41&gt;Voorblad!$K$41,0,IF($U189=0,0,IF($U189&lt;1,1/$U189,IF((FN$56-Voorblad!$F$41)/$U189-SUM($EE189:FM189)=1,1,0))))</f>
        <v>1</v>
      </c>
      <c r="FO189" s="8">
        <f>IF(FO$56-Voorblad!$F$41&gt;Voorblad!$K$41,0,IF($U189=0,0,IF($U189&lt;1,1/$U189,IF((FO$56-Voorblad!$F$41)/$U189-SUM($EE189:FN189)=1,1,0))))</f>
        <v>1</v>
      </c>
      <c r="FP189" s="8">
        <f>IF(FP$56-Voorblad!$F$41&gt;Voorblad!$K$41,0,IF($U189=0,0,IF($U189&lt;1,1/$U189,IF((FP$56-Voorblad!$F$41)/$U189-SUM($EE189:FO189)=1,1,0))))</f>
        <v>1</v>
      </c>
      <c r="FQ189" s="8">
        <f>IF(FQ$56-Voorblad!$F$41&gt;Voorblad!$K$41,0,IF($U189=0,0,IF($U189&lt;1,1/$U189,IF((FQ$56-Voorblad!$F$41)/$U189-SUM($EE189:FP189)=1,1,0))))</f>
        <v>1</v>
      </c>
      <c r="FR189" s="8">
        <f>IF(FR$56-Voorblad!$F$41&gt;Voorblad!$K$41,0,IF($U189=0,0,IF($U189&lt;1,1/$U189,IF((FR$56-Voorblad!$F$41)/$U189-SUM($EE189:FQ189)=1,1,0))))</f>
        <v>1</v>
      </c>
      <c r="FS189" s="8">
        <f>IF(FS$56-Voorblad!$F$41&gt;Voorblad!$K$41,0,IF($U189=0,0,IF($U189&lt;1,1/$U189,IF((FS$56-Voorblad!$F$41)/$U189-SUM($EE189:FR189)=1,1,0))))</f>
        <v>1</v>
      </c>
      <c r="FT189" s="8">
        <f>IF(FT$56-Voorblad!$F$41&gt;Voorblad!$K$41,0,IF($U189=0,0,IF($U189&lt;1,1/$U189,IF((FT$56-Voorblad!$F$41)/$U189-SUM($EE189:FS189)=1,1,0))))</f>
        <v>1</v>
      </c>
      <c r="FU189" s="8">
        <f>IF(FU$56-Voorblad!$F$41&gt;Voorblad!$K$41,0,IF($U189=0,0,IF($U189&lt;1,1/$U189,IF((FU$56-Voorblad!$F$41)/$U189-SUM($EE189:FT189)=1,1,0))))</f>
        <v>1</v>
      </c>
      <c r="FV189" s="8">
        <f>IF(FV$56-Voorblad!$F$41&gt;Voorblad!$K$41,0,IF($U189=0,0,IF($U189&lt;1,1/$U189,IF((FV$56-Voorblad!$F$41)/$U189-SUM($EE189:FU189)=1,1,0))))</f>
        <v>1</v>
      </c>
      <c r="FW189" s="8">
        <f>IF(FW$56-Voorblad!$F$41&gt;Voorblad!$K$41,0,IF($U189=0,0,IF($U189&lt;1,1/$U189,IF((FW$56-Voorblad!$F$41)/$U189-SUM($EE189:FV189)=1,1,0))))</f>
        <v>1</v>
      </c>
      <c r="FX189" s="8">
        <f>IF(FX$56-Voorblad!$F$41&gt;Voorblad!$K$41,0,IF($U189=0,0,IF($U189&lt;1,1/$U189,IF((FX$56-Voorblad!$F$41)/$U189-SUM($EE189:FW189)=1,1,0))))</f>
        <v>1</v>
      </c>
      <c r="FY189" s="8">
        <f>IF(FY$56-Voorblad!$F$41&gt;Voorblad!$K$41,0,IF($U189=0,0,IF($U189&lt;1,1/$U189,IF((FY$56-Voorblad!$F$41)/$U189-SUM($EE189:FX189)=1,1,0))))</f>
        <v>1</v>
      </c>
      <c r="FZ189" s="8">
        <f>IF(FZ$56-Voorblad!$F$41&gt;Voorblad!$K$41,0,IF($U189=0,0,IF($U189&lt;1,1/$U189,IF((FZ$56-Voorblad!$F$41)/$U189-SUM($EE189:FY189)=1,1,0))))</f>
        <v>1</v>
      </c>
      <c r="GA189" s="8">
        <f>IF(GA$56-Voorblad!$F$41&gt;Voorblad!$K$41,0,IF($U189=0,0,IF($U189&lt;1,1/$U189,IF((GA$56-Voorblad!$F$41)/$U189-SUM($EE189:FZ189)=1,1,0))))</f>
        <v>1</v>
      </c>
      <c r="GB189" s="8">
        <f>IF(GB$56-Voorblad!$F$41&gt;Voorblad!$K$41,0,IF($U189=0,0,IF($U189&lt;1,1/$U189,IF((GB$56-Voorblad!$F$41)/$U189-SUM($EE189:GA189)=1,1,0))))</f>
        <v>1</v>
      </c>
      <c r="GC189" s="8">
        <f>IF(GC$56-Voorblad!$F$41&gt;Voorblad!$K$41,0,IF($U189=0,0,IF($U189&lt;1,1/$U189,IF((GC$56-Voorblad!$F$41)/$U189-SUM($EE189:GB189)=1,1,0))))</f>
        <v>1</v>
      </c>
      <c r="GD189" s="8">
        <f>IF(GD$56-Voorblad!$F$41&gt;Voorblad!$K$41,0,IF($U189=0,0,IF($U189&lt;1,1/$U189,IF((GD$56-Voorblad!$F$41)/$U189-SUM($EE189:GC189)=1,1,0))))</f>
        <v>1</v>
      </c>
      <c r="GE189" s="8">
        <f>IF(GE$56-Voorblad!$F$41&gt;Voorblad!$K$41,0,IF($U189=0,0,IF($U189&lt;1,1/$U189,IF((GE$56-Voorblad!$F$41)/$U189-SUM($EE189:GD189)=1,1,0))))</f>
        <v>1</v>
      </c>
      <c r="GF189" s="8">
        <f>IF(GF$56-Voorblad!$F$41&gt;Voorblad!$K$41,0,IF($U189=0,0,IF($U189&lt;1,1/$U189,IF((GF$56-Voorblad!$F$41)/$U189-SUM($EE189:GE189)=1,1,0))))</f>
        <v>1</v>
      </c>
      <c r="GG189" s="8">
        <f>IF(GG$56-Voorblad!$F$41&gt;Voorblad!$K$41,0,IF($U189=0,0,IF($U189&lt;1,1/$U189,IF((GG$56-Voorblad!$F$41)/$U189-SUM($EE189:GF189)=1,1,0))))</f>
        <v>1</v>
      </c>
      <c r="GH189" s="8">
        <f>IF(GH$56-Voorblad!$F$41&gt;Voorblad!$K$41,0,IF($U189=0,0,IF($U189&lt;1,1/$U189,IF((GH$56-Voorblad!$F$41)/$U189-SUM($EE189:GG189)=1,1,0))))</f>
        <v>1</v>
      </c>
      <c r="GI189" s="8">
        <f>IF(GI$56-Voorblad!$F$41&gt;Voorblad!$K$41,0,IF($U189=0,0,IF($U189&lt;1,1/$U189,IF((GI$56-Voorblad!$F$41)/$U189-SUM($EE189:GH189)=1,1,0))))</f>
        <v>1</v>
      </c>
      <c r="GJ189" s="8">
        <f>IF(GJ$56-Voorblad!$F$41&gt;Voorblad!$K$41,0,IF($U189=0,0,IF($U189&lt;1,1/$U189,IF((GJ$56-Voorblad!$F$41)/$U189-SUM($EE189:GI189)=1,1,0))))</f>
        <v>1</v>
      </c>
      <c r="GK189" s="8">
        <f>IF(GK$56-Voorblad!$F$41&gt;Voorblad!$K$41,0,IF($U189=0,0,IF($U189&lt;1,1/$U189,IF((GK$56-Voorblad!$F$41)/$U189-SUM($EE189:GJ189)=1,1,0))))</f>
        <v>1</v>
      </c>
      <c r="GL189" s="8">
        <f>IF(GL$56-Voorblad!$F$41&gt;Voorblad!$K$41,0,IF($U189=0,0,IF($U189&lt;1,1/$U189,IF((GL$56-Voorblad!$F$41)/$U189-SUM($EE189:GK189)=1,1,0))))</f>
        <v>1</v>
      </c>
      <c r="GM189" s="8">
        <f>IF(GM$56-Voorblad!$F$41&gt;Voorblad!$K$41,0,IF($U189=0,0,IF($U189&lt;1,1/$U189,IF((GM$56-Voorblad!$F$41)/$U189-SUM($EE189:GL189)=1,1,0))))</f>
        <v>1</v>
      </c>
      <c r="GN189" s="8">
        <f>IF(GN$56-Voorblad!$F$41&gt;Voorblad!$K$41,0,IF($U189=0,0,IF($U189&lt;1,1/$U189,IF((GN$56-Voorblad!$F$41)/$U189-SUM($EE189:GM189)=1,1,0))))</f>
        <v>1</v>
      </c>
      <c r="GO189" s="8">
        <f>IF(GO$56-Voorblad!$F$41&gt;Voorblad!$K$41,0,IF($U189=0,0,IF($U189&lt;1,1/$U189,IF((GO$56-Voorblad!$F$41)/$U189-SUM($EE189:GN189)=1,1,0))))</f>
        <v>1</v>
      </c>
      <c r="GP189" s="8">
        <f>IF(GP$56-Voorblad!$F$41&gt;Voorblad!$K$41,0,IF($U189=0,0,IF($U189&lt;1,1/$U189,IF((GP$56-Voorblad!$F$41)/$U189-SUM($EE189:GO189)=1,1,0))))</f>
        <v>1</v>
      </c>
      <c r="GQ189" s="8">
        <f>IF(GQ$56-Voorblad!$F$41&gt;Voorblad!$K$41,0,IF($U189=0,0,IF($U189&lt;1,1/$U189,IF((GQ$56-Voorblad!$F$41)/$U189-SUM($EE189:GP189)=1,1,0))))</f>
        <v>1</v>
      </c>
      <c r="GR189" s="8">
        <f>IF(GR$56-Voorblad!$F$41&gt;Voorblad!$K$41,0,IF($U189=0,0,IF($U189&lt;1,1/$U189,IF((GR$56-Voorblad!$F$41)/$U189-SUM($EE189:GQ189)=1,1,0))))</f>
        <v>1</v>
      </c>
      <c r="GS189" s="8">
        <f>IF(GS$56-Voorblad!$F$41&gt;Voorblad!$K$41,0,IF($U189=0,0,IF($U189&lt;1,1/$U189,IF((GS$56-Voorblad!$F$41)/$U189-SUM($EE189:GR189)=1,1,0))))</f>
        <v>1</v>
      </c>
      <c r="GT189" s="8">
        <f>IF(GT$56-Voorblad!$F$41&gt;Voorblad!$K$41,0,IF($U189=0,0,IF($U189&lt;1,1/$U189,IF((GT$56-Voorblad!$F$41)/$U189-SUM($EE189:GS189)=1,1,0))))</f>
        <v>1</v>
      </c>
      <c r="GU189" s="8">
        <f>IF(GU$56-Voorblad!$F$41&gt;Voorblad!$K$41,0,IF($U189=0,0,IF($U189&lt;1,1/$U189,IF((GU$56-Voorblad!$F$41)/$U189-SUM($EE189:GT189)=1,1,0))))</f>
        <v>1</v>
      </c>
      <c r="GV189" s="8">
        <f>IF(GV$56-Voorblad!$F$41&gt;Voorblad!$K$41,0,IF($U189=0,0,IF($U189&lt;1,1/$U189,IF((GV$56-Voorblad!$F$41)/$U189-SUM($EE189:GU189)=1,1,0))))</f>
        <v>1</v>
      </c>
      <c r="GW189" s="8">
        <f>IF(GW$56-Voorblad!$F$41&gt;Voorblad!$K$41,0,IF($U189=0,0,IF($U189&lt;1,1/$U189,IF((GW$56-Voorblad!$F$41)/$U189-SUM($EE189:GV189)=1,1,0))))</f>
        <v>1</v>
      </c>
      <c r="GX189" s="8">
        <f>IF(GX$56-Voorblad!$F$41&gt;Voorblad!$K$41,0,IF($U189=0,0,IF($U189&lt;1,1/$U189,IF((GX$56-Voorblad!$F$41)/$U189-SUM($EE189:GW189)=1,1,0))))</f>
        <v>1</v>
      </c>
      <c r="GY189" s="8">
        <f>IF(GY$56-Voorblad!$F$41&gt;Voorblad!$K$41,0,IF($U189=0,0,IF($U189&lt;1,1/$U189,IF((GY$56-Voorblad!$F$41)/$U189-SUM($EE189:GX189)=1,1,0))))</f>
        <v>1</v>
      </c>
      <c r="GZ189" s="8">
        <f>IF(GZ$56-Voorblad!$F$41&gt;Voorblad!$K$41,0,IF($U189=0,0,IF($U189&lt;1,1/$U189,IF((GZ$56-Voorblad!$F$41)/$U189-SUM($EE189:GY189)=1,1,0))))</f>
        <v>1</v>
      </c>
      <c r="HA189" s="8">
        <f>IF(HA$56-Voorblad!$F$41&gt;Voorblad!$K$41,0,IF($U189=0,0,IF($U189&lt;1,1/$U189,IF((HA$56-Voorblad!$F$41)/$U189-SUM($EE189:GZ189)=1,1,0))))</f>
        <v>1</v>
      </c>
      <c r="HB189" s="8">
        <f>IF(HB$56-Voorblad!$F$41&gt;Voorblad!$K$41,0,IF($U189=0,0,IF($U189&lt;1,1/$U189,IF((HB$56-Voorblad!$F$41)/$U189-SUM($EE189:HA189)=1,1,0))))</f>
        <v>0</v>
      </c>
      <c r="HC189" s="8">
        <f>IF(HC$56-Voorblad!$F$41&gt;Voorblad!$K$41,0,IF($U189=0,0,IF($U189&lt;1,1/$U189,IF((HC$56-Voorblad!$F$41)/$U189-SUM($EE189:HB189)=1,1,0))))</f>
        <v>0</v>
      </c>
      <c r="HD189" s="8">
        <f>IF(HD$56-Voorblad!$F$41&gt;Voorblad!$K$41,0,IF($U189=0,0,IF($U189&lt;1,1/$U189,IF((HD$56-Voorblad!$F$41)/$U189-SUM($EE189:HC189)=1,1,0))))</f>
        <v>0</v>
      </c>
      <c r="HE189" s="8">
        <f>IF(HE$56-Voorblad!$F$41&gt;Voorblad!$K$41,0,IF($U189=0,0,IF($U189&lt;1,1/$U189,IF((HE$56-Voorblad!$F$41)/$U189-SUM($EE189:HD189)=1,1,0))))</f>
        <v>0</v>
      </c>
      <c r="HF189" s="8">
        <f>IF(HF$56-Voorblad!$F$41&gt;Voorblad!$K$41,0,IF($U189=0,0,IF($U189&lt;1,1/$U189,IF((HF$56-Voorblad!$F$41)/$U189-SUM($EE189:HE189)=1,1,0))))</f>
        <v>0</v>
      </c>
      <c r="HG189" s="8">
        <f>IF(HG$56-Voorblad!$F$41&gt;Voorblad!$K$41,0,IF($U189=0,0,IF($U189&lt;1,1/$U189,IF((HG$56-Voorblad!$F$41)/$U189-SUM($EE189:HF189)=1,1,0))))</f>
        <v>0</v>
      </c>
      <c r="HH189" s="8">
        <f>IF(HH$56-Voorblad!$F$41&gt;Voorblad!$K$41,0,IF($U189=0,0,IF($U189&lt;1,1/$U189,IF((HH$56-Voorblad!$F$41)/$U189-SUM($EE189:HG189)=1,1,0))))</f>
        <v>0</v>
      </c>
      <c r="HI189" s="8">
        <f>IF(HI$56-Voorblad!$F$41&gt;Voorblad!$K$41,0,IF($U189=0,0,IF($U189&lt;1,1/$U189,IF((HI$56-Voorblad!$F$41)/$U189-SUM($EE189:HH189)=1,1,0))))</f>
        <v>0</v>
      </c>
      <c r="HJ189" s="8">
        <f>IF(HJ$56-Voorblad!$F$41&gt;Voorblad!$K$41,0,IF($U189=0,0,IF($U189&lt;1,1/$U189,IF((HJ$56-Voorblad!$F$41)/$U189-SUM($EE189:HI189)=1,1,0))))</f>
        <v>0</v>
      </c>
      <c r="HK189" s="8">
        <f>IF(HK$56-Voorblad!$F$41&gt;Voorblad!$K$41,0,IF($U189=0,0,IF($U189&lt;1,1/$U189,IF((HK$56-Voorblad!$F$41)/$U189-SUM($EE189:HJ189)=1,1,0))))</f>
        <v>0</v>
      </c>
      <c r="HL189" s="8">
        <f>IF(HL$56-Voorblad!$F$41&gt;Voorblad!$K$41,0,IF($U189=0,0,IF($U189&lt;1,1/$U189,IF((HL$56-Voorblad!$F$41)/$U189-SUM($EE189:HK189)=1,1,0))))</f>
        <v>0</v>
      </c>
      <c r="HM189" s="8">
        <f>IF(HM$56-Voorblad!$F$41&gt;Voorblad!$K$41,0,IF($U189=0,0,IF($U189&lt;1,1/$U189,IF((HM$56-Voorblad!$F$41)/$U189-SUM($EE189:HL189)=1,1,0))))</f>
        <v>0</v>
      </c>
      <c r="HN189" s="8">
        <f>IF(HN$56-Voorblad!$F$41&gt;Voorblad!$K$41,0,IF($U189=0,0,IF($U189&lt;1,1/$U189,IF((HN$56-Voorblad!$F$41)/$U189-SUM($EE189:HM189)=1,1,0))))</f>
        <v>0</v>
      </c>
      <c r="HO189" s="8">
        <f>IF(HO$56-Voorblad!$F$41&gt;Voorblad!$K$41,0,IF($U189=0,0,IF($U189&lt;1,1/$U189,IF((HO$56-Voorblad!$F$41)/$U189-SUM($EE189:HN189)=1,1,0))))</f>
        <v>0</v>
      </c>
      <c r="HP189" s="8">
        <f>IF(HP$56-Voorblad!$F$41&gt;Voorblad!$K$41,0,IF($U189=0,0,IF($U189&lt;1,1/$U189,IF((HP$56-Voorblad!$F$41)/$U189-SUM($EE189:HO189)=1,1,0))))</f>
        <v>0</v>
      </c>
      <c r="HQ189" s="8">
        <f>IF(HQ$56-Voorblad!$F$41&gt;Voorblad!$K$41,0,IF($U189=0,0,IF($U189&lt;1,1/$U189,IF((HQ$56-Voorblad!$F$41)/$U189-SUM($EE189:HP189)=1,1,0))))</f>
        <v>0</v>
      </c>
      <c r="HR189" s="8">
        <f>IF(HR$56-Voorblad!$F$41&gt;Voorblad!$K$41,0,IF($U189=0,0,IF($U189&lt;1,1/$U189,IF((HR$56-Voorblad!$F$41)/$U189-SUM($EE189:HQ189)=1,1,0))))</f>
        <v>0</v>
      </c>
      <c r="HS189" s="8">
        <f>IF(HS$56-Voorblad!$F$41&gt;Voorblad!$K$41,0,IF($U189=0,0,IF($U189&lt;1,1/$U189,IF((HS$56-Voorblad!$F$41)/$U189-SUM($EE189:HR189)=1,1,0))))</f>
        <v>0</v>
      </c>
      <c r="HT189" s="8">
        <f>IF(HT$56-Voorblad!$F$41&gt;Voorblad!$K$41,0,IF($U189=0,0,IF($U189&lt;1,1/$U189,IF((HT$56-Voorblad!$F$41)/$U189-SUM($EE189:HS189)=1,1,0))))</f>
        <v>0</v>
      </c>
      <c r="HU189" s="8">
        <f>IF(HU$56-Voorblad!$F$41&gt;Voorblad!$K$41,0,IF($U189=0,0,IF($U189&lt;1,1/$U189,IF((HU$56-Voorblad!$F$41)/$U189-SUM($EE189:HT189)=1,1,0))))</f>
        <v>0</v>
      </c>
      <c r="HV189" s="8">
        <f>IF(HV$56-Voorblad!$F$41&gt;Voorblad!$K$41,0,IF($U189=0,0,IF($U189&lt;1,1/$U189,IF((HV$56-Voorblad!$F$41)/$U189-SUM($EE189:HU189)=1,1,0))))</f>
        <v>0</v>
      </c>
      <c r="HW189" s="8">
        <f>IF(HW$56-Voorblad!$F$41&gt;Voorblad!$K$41,0,IF($U189=0,0,IF($U189&lt;1,1/$U189,IF((HW$56-Voorblad!$F$41)/$U189-SUM($EE189:HV189)=1,1,0))))</f>
        <v>0</v>
      </c>
      <c r="HX189" s="8">
        <f>IF(HX$56-Voorblad!$F$41&gt;Voorblad!$K$41,0,IF($U189=0,0,IF($U189&lt;1,1/$U189,IF((HX$56-Voorblad!$F$41)/$U189-SUM($EE189:HW189)=1,1,0))))</f>
        <v>0</v>
      </c>
      <c r="HY189" s="8">
        <f>IF(HY$56-Voorblad!$F$41&gt;Voorblad!$K$41,0,IF($U189=0,0,IF($U189&lt;1,1/$U189,IF((HY$56-Voorblad!$F$41)/$U189-SUM($EE189:HX189)=1,1,0))))</f>
        <v>0</v>
      </c>
      <c r="HZ189" s="8">
        <f>IF(HZ$56-Voorblad!$F$41&gt;Voorblad!$K$41,0,IF($U189=0,0,IF($U189&lt;1,1/$U189,IF((HZ$56-Voorblad!$F$41)/$U189-SUM($EE189:HY189)=1,1,0))))</f>
        <v>0</v>
      </c>
      <c r="IA189" s="8">
        <f>IF(IA$56-Voorblad!$F$41&gt;Voorblad!$K$41,0,IF($U189=0,0,IF($U189&lt;1,1/$U189,IF((IA$56-Voorblad!$F$41)/$U189-SUM($EE189:HZ189)=1,1,0))))</f>
        <v>0</v>
      </c>
      <c r="IB189" s="8">
        <f>IF(IB$56-Voorblad!$F$41&gt;Voorblad!$K$41,0,IF($U189=0,0,IF($U189&lt;1,1/$U189,IF((IB$56-Voorblad!$F$41)/$U189-SUM($EE189:IA189)=1,1,0))))</f>
        <v>0</v>
      </c>
    </row>
    <row r="190" spans="2:236" hidden="1" outlineLevel="1" x14ac:dyDescent="0.25">
      <c r="B190" s="14">
        <v>1</v>
      </c>
      <c r="C190" s="14"/>
      <c r="F190" s="1" t="s">
        <v>58</v>
      </c>
      <c r="I190" s="1" t="s">
        <v>66</v>
      </c>
      <c r="K190" s="1" t="s">
        <v>89</v>
      </c>
      <c r="O190" s="1" t="s">
        <v>101</v>
      </c>
      <c r="Q190" s="81">
        <v>0</v>
      </c>
      <c r="R190" s="1" t="s">
        <v>33</v>
      </c>
      <c r="S190" s="14">
        <f>7%*T187</f>
        <v>0</v>
      </c>
      <c r="T190" s="14">
        <f>Q190*S190</f>
        <v>0</v>
      </c>
      <c r="U190" s="11">
        <v>1</v>
      </c>
      <c r="V190" s="14"/>
      <c r="W190" s="81">
        <v>0</v>
      </c>
      <c r="X190" s="6"/>
      <c r="Y190" s="9">
        <f t="shared" si="190"/>
        <v>0</v>
      </c>
      <c r="Z190" s="82"/>
      <c r="AA190" s="82"/>
      <c r="AC190" s="229">
        <f>$Y190*(Voorblad!$K$44*(1+Voorblad!$K$44)^Voorblad!$K$41)/((1+Voorblad!$K$44)^Voorblad!$K$41-1)</f>
        <v>0</v>
      </c>
      <c r="AE190" s="9">
        <f>IF($W190=AE$56,EF190*($Q190*$S190)/(1+Voorblad!$K$44)^(AE$56-Voorblad!$F$41),0)</f>
        <v>0</v>
      </c>
      <c r="AF190" s="9">
        <f>IF($W190=AF$56,EG190*($Q190*$S190)/(1+Voorblad!$K$44)^(AF$56-Voorblad!$F$41),0)</f>
        <v>0</v>
      </c>
      <c r="AG190" s="9">
        <f>IF($W190=AG$56,EH190*($Q190*$S190)/(1+Voorblad!$K$44)^(AG$56-Voorblad!$F$41),0)</f>
        <v>0</v>
      </c>
      <c r="AH190" s="9">
        <f>IF($W190=AH$56,EI190*($Q190*$S190)/(1+Voorblad!$K$44)^(AH$56-Voorblad!$F$41),0)</f>
        <v>0</v>
      </c>
      <c r="AI190" s="9">
        <f>IF($W190=AI$56,EJ190*($Q190*$S190)/(1+Voorblad!$K$44)^(AI$56-Voorblad!$F$41),0)</f>
        <v>0</v>
      </c>
      <c r="AJ190" s="9">
        <f>IF($W190=AJ$56,EK190*($Q190*$S190)/(1+Voorblad!$K$44)^(AJ$56-Voorblad!$F$41),0)</f>
        <v>0</v>
      </c>
      <c r="AK190" s="9">
        <f>IF($W190=AK$56,EL190*($Q190*$S190)/(1+Voorblad!$K$44)^(AK$56-Voorblad!$F$41),0)</f>
        <v>0</v>
      </c>
      <c r="AL190" s="9">
        <f>IF($W190=AL$56,EM190*($Q190*$S190)/(1+Voorblad!$K$44)^(AL$56-Voorblad!$F$41),0)</f>
        <v>0</v>
      </c>
      <c r="AM190" s="9">
        <f>IF($W190=AM$56,EN190*($Q190*$S190)/(1+Voorblad!$K$44)^(AM$56-Voorblad!$F$41),0)</f>
        <v>0</v>
      </c>
      <c r="AN190" s="9">
        <f>IF($W190=AN$56,EO190*($Q190*$S190)/(1+Voorblad!$K$44)^(AN$56-Voorblad!$F$41),0)</f>
        <v>0</v>
      </c>
      <c r="AO190" s="9">
        <f>IF($W190=AO$56,EP190*($Q190*$S190)/(1+Voorblad!$K$44)^(AO$56-Voorblad!$F$41),0)</f>
        <v>0</v>
      </c>
      <c r="AP190" s="9">
        <f>IF($W190=AP$56,EQ190*($Q190*$S190)/(1+Voorblad!$K$44)^(AP$56-Voorblad!$F$41),0)</f>
        <v>0</v>
      </c>
      <c r="AQ190" s="9">
        <f>IF($W190=AQ$56,ER190*($Q190*$S190)/(1+Voorblad!$K$44)^(AQ$56-Voorblad!$F$41),0)</f>
        <v>0</v>
      </c>
      <c r="AR190" s="9">
        <f>IF($W190=AR$56,ES190*($Q190*$S190)/(1+Voorblad!$K$44)^(AR$56-Voorblad!$F$41),0)</f>
        <v>0</v>
      </c>
      <c r="AS190" s="9">
        <f>IF($W190=AS$56,ET190*($Q190*$S190)/(1+Voorblad!$K$44)^(AS$56-Voorblad!$F$41),0)</f>
        <v>0</v>
      </c>
      <c r="AT190" s="9">
        <f>IF($W190=AT$56,EU190*($Q190*$S190)/(1+Voorblad!$K$44)^(AT$56-Voorblad!$F$41),0)</f>
        <v>0</v>
      </c>
      <c r="AU190" s="9">
        <f>IF($W190=AU$56,EV190*($Q190*$S190)/(1+Voorblad!$K$44)^(AU$56-Voorblad!$F$41),0)</f>
        <v>0</v>
      </c>
      <c r="AV190" s="9">
        <f>IF($W190=AV$56,EW190*($Q190*$S190)/(1+Voorblad!$K$44)^(AV$56-Voorblad!$F$41),0)</f>
        <v>0</v>
      </c>
      <c r="AW190" s="9">
        <f>IF($W190=AW$56,EX190*($Q190*$S190)/(1+Voorblad!$K$44)^(AW$56-Voorblad!$F$41),0)</f>
        <v>0</v>
      </c>
      <c r="AX190" s="9">
        <f>IF($W190=AX$56,EY190*($Q190*$S190)/(1+Voorblad!$K$44)^(AX$56-Voorblad!$F$41),0)</f>
        <v>0</v>
      </c>
      <c r="AY190" s="9">
        <f>IF($W190=AY$56,EZ190*($Q190*$S190)/(1+Voorblad!$K$44)^(AY$56-Voorblad!$F$41),0)</f>
        <v>0</v>
      </c>
      <c r="AZ190" s="9">
        <f>IF($W190=AZ$56,FA190*($Q190*$S190)/(1+Voorblad!$K$44)^(AZ$56-Voorblad!$F$41),0)</f>
        <v>0</v>
      </c>
      <c r="BA190" s="9">
        <f>IF($W190=BA$56,FB190*($Q190*$S190)/(1+Voorblad!$K$44)^(BA$56-Voorblad!$F$41),0)</f>
        <v>0</v>
      </c>
      <c r="BB190" s="9">
        <f>IF($W190=BB$56,FC190*($Q190*$S190)/(1+Voorblad!$K$44)^(BB$56-Voorblad!$F$41),0)</f>
        <v>0</v>
      </c>
      <c r="BC190" s="9">
        <f>IF($W190=BC$56,FD190*($Q190*$S190)/(1+Voorblad!$K$44)^(BC$56-Voorblad!$F$41),0)</f>
        <v>0</v>
      </c>
      <c r="BD190" s="9">
        <f>IF($W190=BD$56,FE190*($Q190*$S190)/(1+Voorblad!$K$44)^(BD$56-Voorblad!$F$41),0)</f>
        <v>0</v>
      </c>
      <c r="BE190" s="9">
        <f>IF($W190=BE$56,FF190*($Q190*$S190)/(1+Voorblad!$K$44)^(BE$56-Voorblad!$F$41),0)</f>
        <v>0</v>
      </c>
      <c r="BF190" s="9">
        <f>IF($W190=BF$56,FG190*($Q190*$S190)/(1+Voorblad!$K$44)^(BF$56-Voorblad!$F$41),0)</f>
        <v>0</v>
      </c>
      <c r="BG190" s="9">
        <f>IF($W190=BG$56,FH190*($Q190*$S190)/(1+Voorblad!$K$44)^(BG$56-Voorblad!$F$41),0)</f>
        <v>0</v>
      </c>
      <c r="BH190" s="9">
        <f>IF($W190=BH$56,FI190*($Q190*$S190)/(1+Voorblad!$K$44)^(BH$56-Voorblad!$F$41),0)</f>
        <v>0</v>
      </c>
      <c r="BI190" s="9">
        <f>IF($W190=BI$56,FJ190*($Q190*$S190)/(1+Voorblad!$K$44)^(BI$56-Voorblad!$F$41),0)</f>
        <v>0</v>
      </c>
      <c r="BJ190" s="9">
        <f>IF($W190=BJ$56,FK190*($Q190*$S190)/(1+Voorblad!$K$44)^(BJ$56-Voorblad!$F$41),0)</f>
        <v>0</v>
      </c>
      <c r="BK190" s="9">
        <f>IF($W190=BK$56,FL190*($Q190*$S190)/(1+Voorblad!$K$44)^(BK$56-Voorblad!$F$41),0)</f>
        <v>0</v>
      </c>
      <c r="BL190" s="9">
        <f>IF($W190=BL$56,FM190*($Q190*$S190)/(1+Voorblad!$K$44)^(BL$56-Voorblad!$F$41),0)</f>
        <v>0</v>
      </c>
      <c r="BM190" s="9">
        <f>IF($W190=BM$56,FN190*($Q190*$S190)/(1+Voorblad!$K$44)^(BM$56-Voorblad!$F$41),0)</f>
        <v>0</v>
      </c>
      <c r="BN190" s="9">
        <f>IF($W190=BN$56,FO190*($Q190*$S190)/(1+Voorblad!$K$44)^(BN$56-Voorblad!$F$41),0)</f>
        <v>0</v>
      </c>
      <c r="BO190" s="9">
        <f>IF($W190=BO$56,FP190*($Q190*$S190)/(1+Voorblad!$K$44)^(BO$56-Voorblad!$F$41),0)</f>
        <v>0</v>
      </c>
      <c r="BP190" s="9">
        <f>IF($W190=BP$56,FQ190*($Q190*$S190)/(1+Voorblad!$K$44)^(BP$56-Voorblad!$F$41),0)</f>
        <v>0</v>
      </c>
      <c r="BQ190" s="9">
        <f>IF($W190=BQ$56,FR190*($Q190*$S190)/(1+Voorblad!$K$44)^(BQ$56-Voorblad!$F$41),0)</f>
        <v>0</v>
      </c>
      <c r="BR190" s="9">
        <f>IF($W190=BR$56,FS190*($Q190*$S190)/(1+Voorblad!$K$44)^(BR$56-Voorblad!$F$41),0)</f>
        <v>0</v>
      </c>
      <c r="BS190" s="9">
        <f>IF($W190=BS$56,FT190*($Q190*$S190)/(1+Voorblad!$K$44)^(BS$56-Voorblad!$F$41),0)</f>
        <v>0</v>
      </c>
      <c r="BT190" s="9">
        <f>IF($W190=BT$56,FU190*($Q190*$S190)/(1+Voorblad!$K$44)^(BT$56-Voorblad!$F$41),0)</f>
        <v>0</v>
      </c>
      <c r="BU190" s="9">
        <f>IF($W190=BU$56,FV190*($Q190*$S190)/(1+Voorblad!$K$44)^(BU$56-Voorblad!$F$41),0)</f>
        <v>0</v>
      </c>
      <c r="BV190" s="9">
        <f>IF($W190=BV$56,FW190*($Q190*$S190)/(1+Voorblad!$K$44)^(BV$56-Voorblad!$F$41),0)</f>
        <v>0</v>
      </c>
      <c r="BW190" s="9">
        <f>IF($W190=BW$56,FX190*($Q190*$S190)/(1+Voorblad!$K$44)^(BW$56-Voorblad!$F$41),0)</f>
        <v>0</v>
      </c>
      <c r="BX190" s="9">
        <f>IF($W190=BX$56,FY190*($Q190*$S190)/(1+Voorblad!$K$44)^(BX$56-Voorblad!$F$41),0)</f>
        <v>0</v>
      </c>
      <c r="BY190" s="9">
        <f>IF($W190=BY$56,FZ190*($Q190*$S190)/(1+Voorblad!$K$44)^(BY$56-Voorblad!$F$41),0)</f>
        <v>0</v>
      </c>
      <c r="BZ190" s="9">
        <f>IF($W190=BZ$56,GA190*($Q190*$S190)/(1+Voorblad!$K$44)^(BZ$56-Voorblad!$F$41),0)</f>
        <v>0</v>
      </c>
      <c r="CA190" s="9">
        <f>IF($W190=CA$56,GB190*($Q190*$S190)/(1+Voorblad!$K$44)^(CA$56-Voorblad!$F$41),0)</f>
        <v>0</v>
      </c>
      <c r="CB190" s="9">
        <f>IF($W190=CB$56,GC190*($Q190*$S190)/(1+Voorblad!$K$44)^(CB$56-Voorblad!$F$41),0)</f>
        <v>0</v>
      </c>
      <c r="CC190" s="9">
        <f>IF($W190=CC$56,GD190*($Q190*$S190)/(1+Voorblad!$K$44)^(CC$56-Voorblad!$F$41),0)</f>
        <v>0</v>
      </c>
      <c r="CD190" s="9">
        <f>IF($W190=CD$56,GE190*($Q190*$S190)/(1+Voorblad!$K$44)^(CD$56-Voorblad!$F$41),0)</f>
        <v>0</v>
      </c>
      <c r="CE190" s="9">
        <f>IF($W190=CE$56,GF190*($Q190*$S190)/(1+Voorblad!$K$44)^(CE$56-Voorblad!$F$41),0)</f>
        <v>0</v>
      </c>
      <c r="CF190" s="9">
        <f>IF($W190=CF$56,GG190*($Q190*$S190)/(1+Voorblad!$K$44)^(CF$56-Voorblad!$F$41),0)</f>
        <v>0</v>
      </c>
      <c r="CG190" s="9">
        <f>IF($W190=CG$56,GH190*($Q190*$S190)/(1+Voorblad!$K$44)^(CG$56-Voorblad!$F$41),0)</f>
        <v>0</v>
      </c>
      <c r="CH190" s="9">
        <f>IF($W190=CH$56,GI190*($Q190*$S190)/(1+Voorblad!$K$44)^(CH$56-Voorblad!$F$41),0)</f>
        <v>0</v>
      </c>
      <c r="CI190" s="9">
        <f>IF($W190=CI$56,GJ190*($Q190*$S190)/(1+Voorblad!$K$44)^(CI$56-Voorblad!$F$41),0)</f>
        <v>0</v>
      </c>
      <c r="CJ190" s="9">
        <f>IF($W190=CJ$56,GK190*($Q190*$S190)/(1+Voorblad!$K$44)^(CJ$56-Voorblad!$F$41),0)</f>
        <v>0</v>
      </c>
      <c r="CK190" s="9">
        <f>IF($W190=CK$56,GL190*($Q190*$S190)/(1+Voorblad!$K$44)^(CK$56-Voorblad!$F$41),0)</f>
        <v>0</v>
      </c>
      <c r="CL190" s="9">
        <f>IF($W190=CL$56,GM190*($Q190*$S190)/(1+Voorblad!$K$44)^(CL$56-Voorblad!$F$41),0)</f>
        <v>0</v>
      </c>
      <c r="CM190" s="9">
        <f>IF($W190=CM$56,GN190*($Q190*$S190)/(1+Voorblad!$K$44)^(CM$56-Voorblad!$F$41),0)</f>
        <v>0</v>
      </c>
      <c r="CN190" s="9">
        <f>IF($W190=CN$56,GO190*($Q190*$S190)/(1+Voorblad!$K$44)^(CN$56-Voorblad!$F$41),0)</f>
        <v>0</v>
      </c>
      <c r="CO190" s="9">
        <f>IF($W190=CO$56,GP190*($Q190*$S190)/(1+Voorblad!$K$44)^(CO$56-Voorblad!$F$41),0)</f>
        <v>0</v>
      </c>
      <c r="CP190" s="9">
        <f>IF($W190=CP$56,GQ190*($Q190*$S190)/(1+Voorblad!$K$44)^(CP$56-Voorblad!$F$41),0)</f>
        <v>0</v>
      </c>
      <c r="CQ190" s="9">
        <f>IF($W190=CQ$56,GR190*($Q190*$S190)/(1+Voorblad!$K$44)^(CQ$56-Voorblad!$F$41),0)</f>
        <v>0</v>
      </c>
      <c r="CR190" s="9">
        <f>IF($W190=CR$56,GS190*($Q190*$S190)/(1+Voorblad!$K$44)^(CR$56-Voorblad!$F$41),0)</f>
        <v>0</v>
      </c>
      <c r="CS190" s="9">
        <f>IF($W190=CS$56,GT190*($Q190*$S190)/(1+Voorblad!$K$44)^(CS$56-Voorblad!$F$41),0)</f>
        <v>0</v>
      </c>
      <c r="CT190" s="9">
        <f>IF($W190=CT$56,GU190*($Q190*$S190)/(1+Voorblad!$K$44)^(CT$56-Voorblad!$F$41),0)</f>
        <v>0</v>
      </c>
      <c r="CU190" s="9">
        <f>IF($W190=CU$56,GV190*($Q190*$S190)/(1+Voorblad!$K$44)^(CU$56-Voorblad!$F$41),0)</f>
        <v>0</v>
      </c>
      <c r="CV190" s="9">
        <f>IF($W190=CV$56,GW190*($Q190*$S190)/(1+Voorblad!$K$44)^(CV$56-Voorblad!$F$41),0)</f>
        <v>0</v>
      </c>
      <c r="CW190" s="9">
        <f>IF($W190=CW$56,GX190*($Q190*$S190)/(1+Voorblad!$K$44)^(CW$56-Voorblad!$F$41),0)</f>
        <v>0</v>
      </c>
      <c r="CX190" s="9">
        <f>IF($W190=CX$56,GY190*($Q190*$S190)/(1+Voorblad!$K$44)^(CX$56-Voorblad!$F$41),0)</f>
        <v>0</v>
      </c>
      <c r="CY190" s="9">
        <f>IF($W190=CY$56,GZ190*($Q190*$S190)/(1+Voorblad!$K$44)^(CY$56-Voorblad!$F$41),0)</f>
        <v>0</v>
      </c>
      <c r="CZ190" s="9">
        <f>IF($W190=CZ$56,HA190*($Q190*$S190)/(1+Voorblad!$K$44)^(CZ$56-Voorblad!$F$41),0)</f>
        <v>0</v>
      </c>
      <c r="DA190" s="9">
        <f>IF($W190=DA$56,HB190*($Q190*$S190)/(1+Voorblad!$K$44)^(DA$56-Voorblad!$F$41),0)</f>
        <v>0</v>
      </c>
      <c r="DB190" s="9">
        <f>IF($W190=DB$56,HC190*($Q190*$S190)/(1+Voorblad!$K$44)^(DB$56-Voorblad!$F$41),0)</f>
        <v>0</v>
      </c>
      <c r="DC190" s="9">
        <f>IF($W190=DC$56,HD190*($Q190*$S190)/(1+Voorblad!$K$44)^(DC$56-Voorblad!$F$41),0)</f>
        <v>0</v>
      </c>
      <c r="DD190" s="9">
        <f>IF($W190=DD$56,HE190*($Q190*$S190)/(1+Voorblad!$K$44)^(DD$56-Voorblad!$F$41),0)</f>
        <v>0</v>
      </c>
      <c r="DE190" s="9">
        <f>IF($W190=DE$56,HF190*($Q190*$S190)/(1+Voorblad!$K$44)^(DE$56-Voorblad!$F$41),0)</f>
        <v>0</v>
      </c>
      <c r="DF190" s="9">
        <f>IF($W190=DF$56,HG190*($Q190*$S190)/(1+Voorblad!$K$44)^(DF$56-Voorblad!$F$41),0)</f>
        <v>0</v>
      </c>
      <c r="DG190" s="9">
        <f>IF($W190=DG$56,HH190*($Q190*$S190)/(1+Voorblad!$K$44)^(DG$56-Voorblad!$F$41),0)</f>
        <v>0</v>
      </c>
      <c r="DH190" s="9">
        <f>IF($W190=DH$56,HI190*($Q190*$S190)/(1+Voorblad!$K$44)^(DH$56-Voorblad!$F$41),0)</f>
        <v>0</v>
      </c>
      <c r="DI190" s="9">
        <f>IF($W190=DI$56,HJ190*($Q190*$S190)/(1+Voorblad!$K$44)^(DI$56-Voorblad!$F$41),0)</f>
        <v>0</v>
      </c>
      <c r="DJ190" s="9">
        <f>IF($W190=DJ$56,HK190*($Q190*$S190)/(1+Voorblad!$K$44)^(DJ$56-Voorblad!$F$41),0)</f>
        <v>0</v>
      </c>
      <c r="DK190" s="9">
        <f>IF($W190=DK$56,HL190*($Q190*$S190)/(1+Voorblad!$K$44)^(DK$56-Voorblad!$F$41),0)</f>
        <v>0</v>
      </c>
      <c r="DL190" s="9">
        <f>IF($W190=DL$56,HM190*($Q190*$S190)/(1+Voorblad!$K$44)^(DL$56-Voorblad!$F$41),0)</f>
        <v>0</v>
      </c>
      <c r="DM190" s="9">
        <f>IF($W190=DM$56,HN190*($Q190*$S190)/(1+Voorblad!$K$44)^(DM$56-Voorblad!$F$41),0)</f>
        <v>0</v>
      </c>
      <c r="DN190" s="9">
        <f>IF($W190=DN$56,HO190*($Q190*$S190)/(1+Voorblad!$K$44)^(DN$56-Voorblad!$F$41),0)</f>
        <v>0</v>
      </c>
      <c r="DO190" s="9">
        <f>IF($W190=DO$56,HP190*($Q190*$S190)/(1+Voorblad!$K$44)^(DO$56-Voorblad!$F$41),0)</f>
        <v>0</v>
      </c>
      <c r="DP190" s="9">
        <f>IF($W190=DP$56,HQ190*($Q190*$S190)/(1+Voorblad!$K$44)^(DP$56-Voorblad!$F$41),0)</f>
        <v>0</v>
      </c>
      <c r="DQ190" s="9">
        <f>IF($W190=DQ$56,HR190*($Q190*$S190)/(1+Voorblad!$K$44)^(DQ$56-Voorblad!$F$41),0)</f>
        <v>0</v>
      </c>
      <c r="DR190" s="9">
        <f>IF($W190=DR$56,HS190*($Q190*$S190)/(1+Voorblad!$K$44)^(DR$56-Voorblad!$F$41),0)</f>
        <v>0</v>
      </c>
      <c r="DS190" s="9">
        <f>IF($W190=DS$56,HT190*($Q190*$S190)/(1+Voorblad!$K$44)^(DS$56-Voorblad!$F$41),0)</f>
        <v>0</v>
      </c>
      <c r="DT190" s="9">
        <f>IF($W190=DT$56,HU190*($Q190*$S190)/(1+Voorblad!$K$44)^(DT$56-Voorblad!$F$41),0)</f>
        <v>0</v>
      </c>
      <c r="DU190" s="9">
        <f>IF($W190=DU$56,HV190*($Q190*$S190)/(1+Voorblad!$K$44)^(DU$56-Voorblad!$F$41),0)</f>
        <v>0</v>
      </c>
      <c r="DV190" s="9">
        <f>IF($W190=DV$56,HW190*($Q190*$S190)/(1+Voorblad!$K$44)^(DV$56-Voorblad!$F$41),0)</f>
        <v>0</v>
      </c>
      <c r="DW190" s="9">
        <f>IF($W190=DW$56,HX190*($Q190*$S190)/(1+Voorblad!$K$44)^(DW$56-Voorblad!$F$41),0)</f>
        <v>0</v>
      </c>
      <c r="DX190" s="9">
        <f>IF($W190=DX$56,HY190*($Q190*$S190)/(1+Voorblad!$K$44)^(DX$56-Voorblad!$F$41),0)</f>
        <v>0</v>
      </c>
      <c r="DY190" s="9">
        <f>IF($W190=DY$56,HZ190*($Q190*$S190)/(1+Voorblad!$K$44)^(DY$56-Voorblad!$F$41),0)</f>
        <v>0</v>
      </c>
      <c r="DZ190" s="9">
        <f>IF($W190=DZ$56,IA190*($Q190*$S190)/(1+Voorblad!$K$44)^(DZ$56-Voorblad!$F$41),0)</f>
        <v>0</v>
      </c>
      <c r="EA190" s="9">
        <f>IF($W190=EA$56,IB190*($Q190*$S190)/(1+Voorblad!$K$44)^(EA$56-Voorblad!$F$41),0)</f>
        <v>0</v>
      </c>
      <c r="EB190" s="9">
        <f>IF($W190=EB$56,IC190*($Q190*$S190)/(1+Voorblad!$K$44)^(EB$56-Voorblad!$F$41),0)</f>
        <v>0</v>
      </c>
      <c r="EE190" s="8">
        <v>0</v>
      </c>
      <c r="EF190" s="8">
        <f>IF(EF$56-Voorblad!$F$41&gt;Voorblad!$K$41,0,IF($U190=0,0,IF($U190&lt;1,1/$U190,IF((EF$56-Voorblad!$F$41)/$U190-SUM($EE190:EE190)=1,1,0))))</f>
        <v>0</v>
      </c>
      <c r="EG190" s="8">
        <f>IF(EG$56-Voorblad!$F$41&gt;Voorblad!$K$41,0,IF($U190=0,0,IF($U190&lt;1,1/$U190,IF((EG$56-Voorblad!$F$41)/$U190-SUM($EE190:EF190)=1,1,0))))</f>
        <v>1</v>
      </c>
      <c r="EH190" s="8">
        <f>IF(EH$56-Voorblad!$F$41&gt;Voorblad!$K$41,0,IF($U190=0,0,IF($U190&lt;1,1/$U190,IF((EH$56-Voorblad!$F$41)/$U190-SUM($EE190:EG190)=1,1,0))))</f>
        <v>1</v>
      </c>
      <c r="EI190" s="8">
        <f>IF(EI$56-Voorblad!$F$41&gt;Voorblad!$K$41,0,IF($U190=0,0,IF($U190&lt;1,1/$U190,IF((EI$56-Voorblad!$F$41)/$U190-SUM($EE190:EH190)=1,1,0))))</f>
        <v>1</v>
      </c>
      <c r="EJ190" s="8">
        <f>IF(EJ$56-Voorblad!$F$41&gt;Voorblad!$K$41,0,IF($U190=0,0,IF($U190&lt;1,1/$U190,IF((EJ$56-Voorblad!$F$41)/$U190-SUM($EE190:EI190)=1,1,0))))</f>
        <v>1</v>
      </c>
      <c r="EK190" s="8">
        <f>IF(EK$56-Voorblad!$F$41&gt;Voorblad!$K$41,0,IF($U190=0,0,IF($U190&lt;1,1/$U190,IF((EK$56-Voorblad!$F$41)/$U190-SUM($EE190:EJ190)=1,1,0))))</f>
        <v>1</v>
      </c>
      <c r="EL190" s="8">
        <f>IF(EL$56-Voorblad!$F$41&gt;Voorblad!$K$41,0,IF($U190=0,0,IF($U190&lt;1,1/$U190,IF((EL$56-Voorblad!$F$41)/$U190-SUM($EE190:EK190)=1,1,0))))</f>
        <v>1</v>
      </c>
      <c r="EM190" s="8">
        <f>IF(EM$56-Voorblad!$F$41&gt;Voorblad!$K$41,0,IF($U190=0,0,IF($U190&lt;1,1/$U190,IF((EM$56-Voorblad!$F$41)/$U190-SUM($EE190:EL190)=1,1,0))))</f>
        <v>1</v>
      </c>
      <c r="EN190" s="8">
        <f>IF(EN$56-Voorblad!$F$41&gt;Voorblad!$K$41,0,IF($U190=0,0,IF($U190&lt;1,1/$U190,IF((EN$56-Voorblad!$F$41)/$U190-SUM($EE190:EM190)=1,1,0))))</f>
        <v>1</v>
      </c>
      <c r="EO190" s="8">
        <f>IF(EO$56-Voorblad!$F$41&gt;Voorblad!$K$41,0,IF($U190=0,0,IF($U190&lt;1,1/$U190,IF((EO$56-Voorblad!$F$41)/$U190-SUM($EE190:EN190)=1,1,0))))</f>
        <v>1</v>
      </c>
      <c r="EP190" s="8">
        <f>IF(EP$56-Voorblad!$F$41&gt;Voorblad!$K$41,0,IF($U190=0,0,IF($U190&lt;1,1/$U190,IF((EP$56-Voorblad!$F$41)/$U190-SUM($EE190:EO190)=1,1,0))))</f>
        <v>1</v>
      </c>
      <c r="EQ190" s="8">
        <f>IF(EQ$56-Voorblad!$F$41&gt;Voorblad!$K$41,0,IF($U190=0,0,IF($U190&lt;1,1/$U190,IF((EQ$56-Voorblad!$F$41)/$U190-SUM($EE190:EP190)=1,1,0))))</f>
        <v>1</v>
      </c>
      <c r="ER190" s="8">
        <f>IF(ER$56-Voorblad!$F$41&gt;Voorblad!$K$41,0,IF($U190=0,0,IF($U190&lt;1,1/$U190,IF((ER$56-Voorblad!$F$41)/$U190-SUM($EE190:EQ190)=1,1,0))))</f>
        <v>1</v>
      </c>
      <c r="ES190" s="8">
        <f>IF(ES$56-Voorblad!$F$41&gt;Voorblad!$K$41,0,IF($U190=0,0,IF($U190&lt;1,1/$U190,IF((ES$56-Voorblad!$F$41)/$U190-SUM($EE190:ER190)=1,1,0))))</f>
        <v>1</v>
      </c>
      <c r="ET190" s="8">
        <f>IF(ET$56-Voorblad!$F$41&gt;Voorblad!$K$41,0,IF($U190=0,0,IF($U190&lt;1,1/$U190,IF((ET$56-Voorblad!$F$41)/$U190-SUM($EE190:ES190)=1,1,0))))</f>
        <v>1</v>
      </c>
      <c r="EU190" s="8">
        <f>IF(EU$56-Voorblad!$F$41&gt;Voorblad!$K$41,0,IF($U190=0,0,IF($U190&lt;1,1/$U190,IF((EU$56-Voorblad!$F$41)/$U190-SUM($EE190:ET190)=1,1,0))))</f>
        <v>1</v>
      </c>
      <c r="EV190" s="8">
        <f>IF(EV$56-Voorblad!$F$41&gt;Voorblad!$K$41,0,IF($U190=0,0,IF($U190&lt;1,1/$U190,IF((EV$56-Voorblad!$F$41)/$U190-SUM($EE190:EU190)=1,1,0))))</f>
        <v>1</v>
      </c>
      <c r="EW190" s="8">
        <f>IF(EW$56-Voorblad!$F$41&gt;Voorblad!$K$41,0,IF($U190=0,0,IF($U190&lt;1,1/$U190,IF((EW$56-Voorblad!$F$41)/$U190-SUM($EE190:EV190)=1,1,0))))</f>
        <v>1</v>
      </c>
      <c r="EX190" s="8">
        <f>IF(EX$56-Voorblad!$F$41&gt;Voorblad!$K$41,0,IF($U190=0,0,IF($U190&lt;1,1/$U190,IF((EX$56-Voorblad!$F$41)/$U190-SUM($EE190:EW190)=1,1,0))))</f>
        <v>1</v>
      </c>
      <c r="EY190" s="8">
        <f>IF(EY$56-Voorblad!$F$41&gt;Voorblad!$K$41,0,IF($U190=0,0,IF($U190&lt;1,1/$U190,IF((EY$56-Voorblad!$F$41)/$U190-SUM($EE190:EX190)=1,1,0))))</f>
        <v>1</v>
      </c>
      <c r="EZ190" s="8">
        <f>IF(EZ$56-Voorblad!$F$41&gt;Voorblad!$K$41,0,IF($U190=0,0,IF($U190&lt;1,1/$U190,IF((EZ$56-Voorblad!$F$41)/$U190-SUM($EE190:EY190)=1,1,0))))</f>
        <v>1</v>
      </c>
      <c r="FA190" s="8">
        <f>IF(FA$56-Voorblad!$F$41&gt;Voorblad!$K$41,0,IF($U190=0,0,IF($U190&lt;1,1/$U190,IF((FA$56-Voorblad!$F$41)/$U190-SUM($EE190:EZ190)=1,1,0))))</f>
        <v>1</v>
      </c>
      <c r="FB190" s="8">
        <f>IF(FB$56-Voorblad!$F$41&gt;Voorblad!$K$41,0,IF($U190=0,0,IF($U190&lt;1,1/$U190,IF((FB$56-Voorblad!$F$41)/$U190-SUM($EE190:FA190)=1,1,0))))</f>
        <v>1</v>
      </c>
      <c r="FC190" s="8">
        <f>IF(FC$56-Voorblad!$F$41&gt;Voorblad!$K$41,0,IF($U190=0,0,IF($U190&lt;1,1/$U190,IF((FC$56-Voorblad!$F$41)/$U190-SUM($EE190:FB190)=1,1,0))))</f>
        <v>1</v>
      </c>
      <c r="FD190" s="8">
        <f>IF(FD$56-Voorblad!$F$41&gt;Voorblad!$K$41,0,IF($U190=0,0,IF($U190&lt;1,1/$U190,IF((FD$56-Voorblad!$F$41)/$U190-SUM($EE190:FC190)=1,1,0))))</f>
        <v>1</v>
      </c>
      <c r="FE190" s="8">
        <f>IF(FE$56-Voorblad!$F$41&gt;Voorblad!$K$41,0,IF($U190=0,0,IF($U190&lt;1,1/$U190,IF((FE$56-Voorblad!$F$41)/$U190-SUM($EE190:FD190)=1,1,0))))</f>
        <v>1</v>
      </c>
      <c r="FF190" s="8">
        <f>IF(FF$56-Voorblad!$F$41&gt;Voorblad!$K$41,0,IF($U190=0,0,IF($U190&lt;1,1/$U190,IF((FF$56-Voorblad!$F$41)/$U190-SUM($EE190:FE190)=1,1,0))))</f>
        <v>1</v>
      </c>
      <c r="FG190" s="8">
        <f>IF(FG$56-Voorblad!$F$41&gt;Voorblad!$K$41,0,IF($U190=0,0,IF($U190&lt;1,1/$U190,IF((FG$56-Voorblad!$F$41)/$U190-SUM($EE190:FF190)=1,1,0))))</f>
        <v>1</v>
      </c>
      <c r="FH190" s="8">
        <f>IF(FH$56-Voorblad!$F$41&gt;Voorblad!$K$41,0,IF($U190=0,0,IF($U190&lt;1,1/$U190,IF((FH$56-Voorblad!$F$41)/$U190-SUM($EE190:FG190)=1,1,0))))</f>
        <v>1</v>
      </c>
      <c r="FI190" s="8">
        <f>IF(FI$56-Voorblad!$F$41&gt;Voorblad!$K$41,0,IF($U190=0,0,IF($U190&lt;1,1/$U190,IF((FI$56-Voorblad!$F$41)/$U190-SUM($EE190:FH190)=1,1,0))))</f>
        <v>1</v>
      </c>
      <c r="FJ190" s="8">
        <f>IF(FJ$56-Voorblad!$F$41&gt;Voorblad!$K$41,0,IF($U190=0,0,IF($U190&lt;1,1/$U190,IF((FJ$56-Voorblad!$F$41)/$U190-SUM($EE190:FI190)=1,1,0))))</f>
        <v>1</v>
      </c>
      <c r="FK190" s="8">
        <f>IF(FK$56-Voorblad!$F$41&gt;Voorblad!$K$41,0,IF($U190=0,0,IF($U190&lt;1,1/$U190,IF((FK$56-Voorblad!$F$41)/$U190-SUM($EE190:FJ190)=1,1,0))))</f>
        <v>1</v>
      </c>
      <c r="FL190" s="8">
        <f>IF(FL$56-Voorblad!$F$41&gt;Voorblad!$K$41,0,IF($U190=0,0,IF($U190&lt;1,1/$U190,IF((FL$56-Voorblad!$F$41)/$U190-SUM($EE190:FK190)=1,1,0))))</f>
        <v>1</v>
      </c>
      <c r="FM190" s="8">
        <f>IF(FM$56-Voorblad!$F$41&gt;Voorblad!$K$41,0,IF($U190=0,0,IF($U190&lt;1,1/$U190,IF((FM$56-Voorblad!$F$41)/$U190-SUM($EE190:FL190)=1,1,0))))</f>
        <v>1</v>
      </c>
      <c r="FN190" s="8">
        <f>IF(FN$56-Voorblad!$F$41&gt;Voorblad!$K$41,0,IF($U190=0,0,IF($U190&lt;1,1/$U190,IF((FN$56-Voorblad!$F$41)/$U190-SUM($EE190:FM190)=1,1,0))))</f>
        <v>1</v>
      </c>
      <c r="FO190" s="8">
        <f>IF(FO$56-Voorblad!$F$41&gt;Voorblad!$K$41,0,IF($U190=0,0,IF($U190&lt;1,1/$U190,IF((FO$56-Voorblad!$F$41)/$U190-SUM($EE190:FN190)=1,1,0))))</f>
        <v>1</v>
      </c>
      <c r="FP190" s="8">
        <f>IF(FP$56-Voorblad!$F$41&gt;Voorblad!$K$41,0,IF($U190=0,0,IF($U190&lt;1,1/$U190,IF((FP$56-Voorblad!$F$41)/$U190-SUM($EE190:FO190)=1,1,0))))</f>
        <v>1</v>
      </c>
      <c r="FQ190" s="8">
        <f>IF(FQ$56-Voorblad!$F$41&gt;Voorblad!$K$41,0,IF($U190=0,0,IF($U190&lt;1,1/$U190,IF((FQ$56-Voorblad!$F$41)/$U190-SUM($EE190:FP190)=1,1,0))))</f>
        <v>1</v>
      </c>
      <c r="FR190" s="8">
        <f>IF(FR$56-Voorblad!$F$41&gt;Voorblad!$K$41,0,IF($U190=0,0,IF($U190&lt;1,1/$U190,IF((FR$56-Voorblad!$F$41)/$U190-SUM($EE190:FQ190)=1,1,0))))</f>
        <v>1</v>
      </c>
      <c r="FS190" s="8">
        <f>IF(FS$56-Voorblad!$F$41&gt;Voorblad!$K$41,0,IF($U190=0,0,IF($U190&lt;1,1/$U190,IF((FS$56-Voorblad!$F$41)/$U190-SUM($EE190:FR190)=1,1,0))))</f>
        <v>1</v>
      </c>
      <c r="FT190" s="8">
        <f>IF(FT$56-Voorblad!$F$41&gt;Voorblad!$K$41,0,IF($U190=0,0,IF($U190&lt;1,1/$U190,IF((FT$56-Voorblad!$F$41)/$U190-SUM($EE190:FS190)=1,1,0))))</f>
        <v>1</v>
      </c>
      <c r="FU190" s="8">
        <f>IF(FU$56-Voorblad!$F$41&gt;Voorblad!$K$41,0,IF($U190=0,0,IF($U190&lt;1,1/$U190,IF((FU$56-Voorblad!$F$41)/$U190-SUM($EE190:FT190)=1,1,0))))</f>
        <v>1</v>
      </c>
      <c r="FV190" s="8">
        <f>IF(FV$56-Voorblad!$F$41&gt;Voorblad!$K$41,0,IF($U190=0,0,IF($U190&lt;1,1/$U190,IF((FV$56-Voorblad!$F$41)/$U190-SUM($EE190:FU190)=1,1,0))))</f>
        <v>1</v>
      </c>
      <c r="FW190" s="8">
        <f>IF(FW$56-Voorblad!$F$41&gt;Voorblad!$K$41,0,IF($U190=0,0,IF($U190&lt;1,1/$U190,IF((FW$56-Voorblad!$F$41)/$U190-SUM($EE190:FV190)=1,1,0))))</f>
        <v>1</v>
      </c>
      <c r="FX190" s="8">
        <f>IF(FX$56-Voorblad!$F$41&gt;Voorblad!$K$41,0,IF($U190=0,0,IF($U190&lt;1,1/$U190,IF((FX$56-Voorblad!$F$41)/$U190-SUM($EE190:FW190)=1,1,0))))</f>
        <v>1</v>
      </c>
      <c r="FY190" s="8">
        <f>IF(FY$56-Voorblad!$F$41&gt;Voorblad!$K$41,0,IF($U190=0,0,IF($U190&lt;1,1/$U190,IF((FY$56-Voorblad!$F$41)/$U190-SUM($EE190:FX190)=1,1,0))))</f>
        <v>1</v>
      </c>
      <c r="FZ190" s="8">
        <f>IF(FZ$56-Voorblad!$F$41&gt;Voorblad!$K$41,0,IF($U190=0,0,IF($U190&lt;1,1/$U190,IF((FZ$56-Voorblad!$F$41)/$U190-SUM($EE190:FY190)=1,1,0))))</f>
        <v>1</v>
      </c>
      <c r="GA190" s="8">
        <f>IF(GA$56-Voorblad!$F$41&gt;Voorblad!$K$41,0,IF($U190=0,0,IF($U190&lt;1,1/$U190,IF((GA$56-Voorblad!$F$41)/$U190-SUM($EE190:FZ190)=1,1,0))))</f>
        <v>1</v>
      </c>
      <c r="GB190" s="8">
        <f>IF(GB$56-Voorblad!$F$41&gt;Voorblad!$K$41,0,IF($U190=0,0,IF($U190&lt;1,1/$U190,IF((GB$56-Voorblad!$F$41)/$U190-SUM($EE190:GA190)=1,1,0))))</f>
        <v>1</v>
      </c>
      <c r="GC190" s="8">
        <f>IF(GC$56-Voorblad!$F$41&gt;Voorblad!$K$41,0,IF($U190=0,0,IF($U190&lt;1,1/$U190,IF((GC$56-Voorblad!$F$41)/$U190-SUM($EE190:GB190)=1,1,0))))</f>
        <v>1</v>
      </c>
      <c r="GD190" s="8">
        <f>IF(GD$56-Voorblad!$F$41&gt;Voorblad!$K$41,0,IF($U190=0,0,IF($U190&lt;1,1/$U190,IF((GD$56-Voorblad!$F$41)/$U190-SUM($EE190:GC190)=1,1,0))))</f>
        <v>1</v>
      </c>
      <c r="GE190" s="8">
        <f>IF(GE$56-Voorblad!$F$41&gt;Voorblad!$K$41,0,IF($U190=0,0,IF($U190&lt;1,1/$U190,IF((GE$56-Voorblad!$F$41)/$U190-SUM($EE190:GD190)=1,1,0))))</f>
        <v>1</v>
      </c>
      <c r="GF190" s="8">
        <f>IF(GF$56-Voorblad!$F$41&gt;Voorblad!$K$41,0,IF($U190=0,0,IF($U190&lt;1,1/$U190,IF((GF$56-Voorblad!$F$41)/$U190-SUM($EE190:GE190)=1,1,0))))</f>
        <v>1</v>
      </c>
      <c r="GG190" s="8">
        <f>IF(GG$56-Voorblad!$F$41&gt;Voorblad!$K$41,0,IF($U190=0,0,IF($U190&lt;1,1/$U190,IF((GG$56-Voorblad!$F$41)/$U190-SUM($EE190:GF190)=1,1,0))))</f>
        <v>1</v>
      </c>
      <c r="GH190" s="8">
        <f>IF(GH$56-Voorblad!$F$41&gt;Voorblad!$K$41,0,IF($U190=0,0,IF($U190&lt;1,1/$U190,IF((GH$56-Voorblad!$F$41)/$U190-SUM($EE190:GG190)=1,1,0))))</f>
        <v>1</v>
      </c>
      <c r="GI190" s="8">
        <f>IF(GI$56-Voorblad!$F$41&gt;Voorblad!$K$41,0,IF($U190=0,0,IF($U190&lt;1,1/$U190,IF((GI$56-Voorblad!$F$41)/$U190-SUM($EE190:GH190)=1,1,0))))</f>
        <v>1</v>
      </c>
      <c r="GJ190" s="8">
        <f>IF(GJ$56-Voorblad!$F$41&gt;Voorblad!$K$41,0,IF($U190=0,0,IF($U190&lt;1,1/$U190,IF((GJ$56-Voorblad!$F$41)/$U190-SUM($EE190:GI190)=1,1,0))))</f>
        <v>1</v>
      </c>
      <c r="GK190" s="8">
        <f>IF(GK$56-Voorblad!$F$41&gt;Voorblad!$K$41,0,IF($U190=0,0,IF($U190&lt;1,1/$U190,IF((GK$56-Voorblad!$F$41)/$U190-SUM($EE190:GJ190)=1,1,0))))</f>
        <v>1</v>
      </c>
      <c r="GL190" s="8">
        <f>IF(GL$56-Voorblad!$F$41&gt;Voorblad!$K$41,0,IF($U190=0,0,IF($U190&lt;1,1/$U190,IF((GL$56-Voorblad!$F$41)/$U190-SUM($EE190:GK190)=1,1,0))))</f>
        <v>1</v>
      </c>
      <c r="GM190" s="8">
        <f>IF(GM$56-Voorblad!$F$41&gt;Voorblad!$K$41,0,IF($U190=0,0,IF($U190&lt;1,1/$U190,IF((GM$56-Voorblad!$F$41)/$U190-SUM($EE190:GL190)=1,1,0))))</f>
        <v>1</v>
      </c>
      <c r="GN190" s="8">
        <f>IF(GN$56-Voorblad!$F$41&gt;Voorblad!$K$41,0,IF($U190=0,0,IF($U190&lt;1,1/$U190,IF((GN$56-Voorblad!$F$41)/$U190-SUM($EE190:GM190)=1,1,0))))</f>
        <v>1</v>
      </c>
      <c r="GO190" s="8">
        <f>IF(GO$56-Voorblad!$F$41&gt;Voorblad!$K$41,0,IF($U190=0,0,IF($U190&lt;1,1/$U190,IF((GO$56-Voorblad!$F$41)/$U190-SUM($EE190:GN190)=1,1,0))))</f>
        <v>1</v>
      </c>
      <c r="GP190" s="8">
        <f>IF(GP$56-Voorblad!$F$41&gt;Voorblad!$K$41,0,IF($U190=0,0,IF($U190&lt;1,1/$U190,IF((GP$56-Voorblad!$F$41)/$U190-SUM($EE190:GO190)=1,1,0))))</f>
        <v>1</v>
      </c>
      <c r="GQ190" s="8">
        <f>IF(GQ$56-Voorblad!$F$41&gt;Voorblad!$K$41,0,IF($U190=0,0,IF($U190&lt;1,1/$U190,IF((GQ$56-Voorblad!$F$41)/$U190-SUM($EE190:GP190)=1,1,0))))</f>
        <v>1</v>
      </c>
      <c r="GR190" s="8">
        <f>IF(GR$56-Voorblad!$F$41&gt;Voorblad!$K$41,0,IF($U190=0,0,IF($U190&lt;1,1/$U190,IF((GR$56-Voorblad!$F$41)/$U190-SUM($EE190:GQ190)=1,1,0))))</f>
        <v>1</v>
      </c>
      <c r="GS190" s="8">
        <f>IF(GS$56-Voorblad!$F$41&gt;Voorblad!$K$41,0,IF($U190=0,0,IF($U190&lt;1,1/$U190,IF((GS$56-Voorblad!$F$41)/$U190-SUM($EE190:GR190)=1,1,0))))</f>
        <v>1</v>
      </c>
      <c r="GT190" s="8">
        <f>IF(GT$56-Voorblad!$F$41&gt;Voorblad!$K$41,0,IF($U190=0,0,IF($U190&lt;1,1/$U190,IF((GT$56-Voorblad!$F$41)/$U190-SUM($EE190:GS190)=1,1,0))))</f>
        <v>1</v>
      </c>
      <c r="GU190" s="8">
        <f>IF(GU$56-Voorblad!$F$41&gt;Voorblad!$K$41,0,IF($U190=0,0,IF($U190&lt;1,1/$U190,IF((GU$56-Voorblad!$F$41)/$U190-SUM($EE190:GT190)=1,1,0))))</f>
        <v>1</v>
      </c>
      <c r="GV190" s="8">
        <f>IF(GV$56-Voorblad!$F$41&gt;Voorblad!$K$41,0,IF($U190=0,0,IF($U190&lt;1,1/$U190,IF((GV$56-Voorblad!$F$41)/$U190-SUM($EE190:GU190)=1,1,0))))</f>
        <v>1</v>
      </c>
      <c r="GW190" s="8">
        <f>IF(GW$56-Voorblad!$F$41&gt;Voorblad!$K$41,0,IF($U190=0,0,IF($U190&lt;1,1/$U190,IF((GW$56-Voorblad!$F$41)/$U190-SUM($EE190:GV190)=1,1,0))))</f>
        <v>1</v>
      </c>
      <c r="GX190" s="8">
        <f>IF(GX$56-Voorblad!$F$41&gt;Voorblad!$K$41,0,IF($U190=0,0,IF($U190&lt;1,1/$U190,IF((GX$56-Voorblad!$F$41)/$U190-SUM($EE190:GW190)=1,1,0))))</f>
        <v>1</v>
      </c>
      <c r="GY190" s="8">
        <f>IF(GY$56-Voorblad!$F$41&gt;Voorblad!$K$41,0,IF($U190=0,0,IF($U190&lt;1,1/$U190,IF((GY$56-Voorblad!$F$41)/$U190-SUM($EE190:GX190)=1,1,0))))</f>
        <v>1</v>
      </c>
      <c r="GZ190" s="8">
        <f>IF(GZ$56-Voorblad!$F$41&gt;Voorblad!$K$41,0,IF($U190=0,0,IF($U190&lt;1,1/$U190,IF((GZ$56-Voorblad!$F$41)/$U190-SUM($EE190:GY190)=1,1,0))))</f>
        <v>1</v>
      </c>
      <c r="HA190" s="8">
        <f>IF(HA$56-Voorblad!$F$41&gt;Voorblad!$K$41,0,IF($U190=0,0,IF($U190&lt;1,1/$U190,IF((HA$56-Voorblad!$F$41)/$U190-SUM($EE190:GZ190)=1,1,0))))</f>
        <v>1</v>
      </c>
      <c r="HB190" s="8">
        <f>IF(HB$56-Voorblad!$F$41&gt;Voorblad!$K$41,0,IF($U190=0,0,IF($U190&lt;1,1/$U190,IF((HB$56-Voorblad!$F$41)/$U190-SUM($EE190:HA190)=1,1,0))))</f>
        <v>0</v>
      </c>
      <c r="HC190" s="8">
        <f>IF(HC$56-Voorblad!$F$41&gt;Voorblad!$K$41,0,IF($U190=0,0,IF($U190&lt;1,1/$U190,IF((HC$56-Voorblad!$F$41)/$U190-SUM($EE190:HB190)=1,1,0))))</f>
        <v>0</v>
      </c>
      <c r="HD190" s="8">
        <f>IF(HD$56-Voorblad!$F$41&gt;Voorblad!$K$41,0,IF($U190=0,0,IF($U190&lt;1,1/$U190,IF((HD$56-Voorblad!$F$41)/$U190-SUM($EE190:HC190)=1,1,0))))</f>
        <v>0</v>
      </c>
      <c r="HE190" s="8">
        <f>IF(HE$56-Voorblad!$F$41&gt;Voorblad!$K$41,0,IF($U190=0,0,IF($U190&lt;1,1/$U190,IF((HE$56-Voorblad!$F$41)/$U190-SUM($EE190:HD190)=1,1,0))))</f>
        <v>0</v>
      </c>
      <c r="HF190" s="8">
        <f>IF(HF$56-Voorblad!$F$41&gt;Voorblad!$K$41,0,IF($U190=0,0,IF($U190&lt;1,1/$U190,IF((HF$56-Voorblad!$F$41)/$U190-SUM($EE190:HE190)=1,1,0))))</f>
        <v>0</v>
      </c>
      <c r="HG190" s="8">
        <f>IF(HG$56-Voorblad!$F$41&gt;Voorblad!$K$41,0,IF($U190=0,0,IF($U190&lt;1,1/$U190,IF((HG$56-Voorblad!$F$41)/$U190-SUM($EE190:HF190)=1,1,0))))</f>
        <v>0</v>
      </c>
      <c r="HH190" s="8">
        <f>IF(HH$56-Voorblad!$F$41&gt;Voorblad!$K$41,0,IF($U190=0,0,IF($U190&lt;1,1/$U190,IF((HH$56-Voorblad!$F$41)/$U190-SUM($EE190:HG190)=1,1,0))))</f>
        <v>0</v>
      </c>
      <c r="HI190" s="8">
        <f>IF(HI$56-Voorblad!$F$41&gt;Voorblad!$K$41,0,IF($U190=0,0,IF($U190&lt;1,1/$U190,IF((HI$56-Voorblad!$F$41)/$U190-SUM($EE190:HH190)=1,1,0))))</f>
        <v>0</v>
      </c>
      <c r="HJ190" s="8">
        <f>IF(HJ$56-Voorblad!$F$41&gt;Voorblad!$K$41,0,IF($U190=0,0,IF($U190&lt;1,1/$U190,IF((HJ$56-Voorblad!$F$41)/$U190-SUM($EE190:HI190)=1,1,0))))</f>
        <v>0</v>
      </c>
      <c r="HK190" s="8">
        <f>IF(HK$56-Voorblad!$F$41&gt;Voorblad!$K$41,0,IF($U190=0,0,IF($U190&lt;1,1/$U190,IF((HK$56-Voorblad!$F$41)/$U190-SUM($EE190:HJ190)=1,1,0))))</f>
        <v>0</v>
      </c>
      <c r="HL190" s="8">
        <f>IF(HL$56-Voorblad!$F$41&gt;Voorblad!$K$41,0,IF($U190=0,0,IF($U190&lt;1,1/$U190,IF((HL$56-Voorblad!$F$41)/$U190-SUM($EE190:HK190)=1,1,0))))</f>
        <v>0</v>
      </c>
      <c r="HM190" s="8">
        <f>IF(HM$56-Voorblad!$F$41&gt;Voorblad!$K$41,0,IF($U190=0,0,IF($U190&lt;1,1/$U190,IF((HM$56-Voorblad!$F$41)/$U190-SUM($EE190:HL190)=1,1,0))))</f>
        <v>0</v>
      </c>
      <c r="HN190" s="8">
        <f>IF(HN$56-Voorblad!$F$41&gt;Voorblad!$K$41,0,IF($U190=0,0,IF($U190&lt;1,1/$U190,IF((HN$56-Voorblad!$F$41)/$U190-SUM($EE190:HM190)=1,1,0))))</f>
        <v>0</v>
      </c>
      <c r="HO190" s="8">
        <f>IF(HO$56-Voorblad!$F$41&gt;Voorblad!$K$41,0,IF($U190=0,0,IF($U190&lt;1,1/$U190,IF((HO$56-Voorblad!$F$41)/$U190-SUM($EE190:HN190)=1,1,0))))</f>
        <v>0</v>
      </c>
      <c r="HP190" s="8">
        <f>IF(HP$56-Voorblad!$F$41&gt;Voorblad!$K$41,0,IF($U190=0,0,IF($U190&lt;1,1/$U190,IF((HP$56-Voorblad!$F$41)/$U190-SUM($EE190:HO190)=1,1,0))))</f>
        <v>0</v>
      </c>
      <c r="HQ190" s="8">
        <f>IF(HQ$56-Voorblad!$F$41&gt;Voorblad!$K$41,0,IF($U190=0,0,IF($U190&lt;1,1/$U190,IF((HQ$56-Voorblad!$F$41)/$U190-SUM($EE190:HP190)=1,1,0))))</f>
        <v>0</v>
      </c>
      <c r="HR190" s="8">
        <f>IF(HR$56-Voorblad!$F$41&gt;Voorblad!$K$41,0,IF($U190=0,0,IF($U190&lt;1,1/$U190,IF((HR$56-Voorblad!$F$41)/$U190-SUM($EE190:HQ190)=1,1,0))))</f>
        <v>0</v>
      </c>
      <c r="HS190" s="8">
        <f>IF(HS$56-Voorblad!$F$41&gt;Voorblad!$K$41,0,IF($U190=0,0,IF($U190&lt;1,1/$U190,IF((HS$56-Voorblad!$F$41)/$U190-SUM($EE190:HR190)=1,1,0))))</f>
        <v>0</v>
      </c>
      <c r="HT190" s="8">
        <f>IF(HT$56-Voorblad!$F$41&gt;Voorblad!$K$41,0,IF($U190=0,0,IF($U190&lt;1,1/$U190,IF((HT$56-Voorblad!$F$41)/$U190-SUM($EE190:HS190)=1,1,0))))</f>
        <v>0</v>
      </c>
      <c r="HU190" s="8">
        <f>IF(HU$56-Voorblad!$F$41&gt;Voorblad!$K$41,0,IF($U190=0,0,IF($U190&lt;1,1/$U190,IF((HU$56-Voorblad!$F$41)/$U190-SUM($EE190:HT190)=1,1,0))))</f>
        <v>0</v>
      </c>
      <c r="HV190" s="8">
        <f>IF(HV$56-Voorblad!$F$41&gt;Voorblad!$K$41,0,IF($U190=0,0,IF($U190&lt;1,1/$U190,IF((HV$56-Voorblad!$F$41)/$U190-SUM($EE190:HU190)=1,1,0))))</f>
        <v>0</v>
      </c>
      <c r="HW190" s="8">
        <f>IF(HW$56-Voorblad!$F$41&gt;Voorblad!$K$41,0,IF($U190=0,0,IF($U190&lt;1,1/$U190,IF((HW$56-Voorblad!$F$41)/$U190-SUM($EE190:HV190)=1,1,0))))</f>
        <v>0</v>
      </c>
      <c r="HX190" s="8">
        <f>IF(HX$56-Voorblad!$F$41&gt;Voorblad!$K$41,0,IF($U190=0,0,IF($U190&lt;1,1/$U190,IF((HX$56-Voorblad!$F$41)/$U190-SUM($EE190:HW190)=1,1,0))))</f>
        <v>0</v>
      </c>
      <c r="HY190" s="8">
        <f>IF(HY$56-Voorblad!$F$41&gt;Voorblad!$K$41,0,IF($U190=0,0,IF($U190&lt;1,1/$U190,IF((HY$56-Voorblad!$F$41)/$U190-SUM($EE190:HX190)=1,1,0))))</f>
        <v>0</v>
      </c>
      <c r="HZ190" s="8">
        <f>IF(HZ$56-Voorblad!$F$41&gt;Voorblad!$K$41,0,IF($U190=0,0,IF($U190&lt;1,1/$U190,IF((HZ$56-Voorblad!$F$41)/$U190-SUM($EE190:HY190)=1,1,0))))</f>
        <v>0</v>
      </c>
      <c r="IA190" s="8">
        <f>IF(IA$56-Voorblad!$F$41&gt;Voorblad!$K$41,0,IF($U190=0,0,IF($U190&lt;1,1/$U190,IF((IA$56-Voorblad!$F$41)/$U190-SUM($EE190:HZ190)=1,1,0))))</f>
        <v>0</v>
      </c>
      <c r="IB190" s="8">
        <f>IF(IB$56-Voorblad!$F$41&gt;Voorblad!$K$41,0,IF($U190=0,0,IF($U190&lt;1,1/$U190,IF((IB$56-Voorblad!$F$41)/$U190-SUM($EE190:IA190)=1,1,0))))</f>
        <v>0</v>
      </c>
    </row>
    <row r="191" spans="2:236" hidden="1" outlineLevel="1" x14ac:dyDescent="0.25">
      <c r="B191" s="2" t="s">
        <v>271</v>
      </c>
      <c r="C191" s="2"/>
      <c r="D191" s="14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14"/>
      <c r="R191" s="14"/>
      <c r="S191" s="14"/>
      <c r="T191" s="26">
        <f>SUM(T187:T190)</f>
        <v>0</v>
      </c>
      <c r="U191" s="14"/>
      <c r="V191" s="14"/>
      <c r="W191" s="14"/>
      <c r="X191" s="6"/>
      <c r="Y191" s="23">
        <f>SUM(Y187:Y190)</f>
        <v>0</v>
      </c>
      <c r="Z191" s="24"/>
      <c r="AA191" s="23">
        <f>SUM(AA187:AA190)</f>
        <v>0</v>
      </c>
      <c r="AC191" s="9">
        <f>$Y191*(Voorblad!$K$44*(1+Voorblad!$K$44)^Voorblad!$K$41)/((1+Voorblad!$K$44)^Voorblad!$K$41-1)</f>
        <v>0</v>
      </c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E191" s="8"/>
      <c r="EF191" s="8"/>
      <c r="EG191" s="8"/>
      <c r="EH191" s="8"/>
      <c r="EI191" s="8"/>
      <c r="EJ191" s="8"/>
      <c r="EK191" s="8"/>
      <c r="EL191" s="8"/>
      <c r="EM191" s="8"/>
      <c r="EN191" s="8"/>
      <c r="EO191" s="8"/>
      <c r="EP191" s="8"/>
      <c r="EQ191" s="8"/>
      <c r="ER191" s="8"/>
      <c r="ES191" s="8"/>
      <c r="ET191" s="8"/>
      <c r="EU191" s="8"/>
      <c r="EV191" s="8"/>
      <c r="EW191" s="8"/>
      <c r="EX191" s="8"/>
      <c r="EY191" s="8"/>
      <c r="EZ191" s="8"/>
      <c r="FA191" s="8"/>
      <c r="FB191" s="8"/>
      <c r="FC191" s="8"/>
      <c r="FD191" s="8"/>
      <c r="FE191" s="8"/>
      <c r="FF191" s="8"/>
      <c r="FG191" s="8"/>
      <c r="FH191" s="8"/>
      <c r="FI191" s="8"/>
      <c r="FJ191" s="8"/>
      <c r="FK191" s="8"/>
      <c r="FL191" s="8"/>
      <c r="FM191" s="8"/>
      <c r="FN191" s="8"/>
      <c r="FO191" s="8"/>
      <c r="FP191" s="8"/>
      <c r="FQ191" s="8"/>
      <c r="FR191" s="8"/>
      <c r="FS191" s="8"/>
      <c r="FT191" s="8"/>
      <c r="FU191" s="8"/>
      <c r="FV191" s="8"/>
      <c r="FW191" s="8"/>
      <c r="FX191" s="8"/>
      <c r="FY191" s="8"/>
      <c r="FZ191" s="8"/>
      <c r="GA191" s="8"/>
      <c r="GB191" s="8"/>
      <c r="GC191" s="8"/>
      <c r="GD191" s="8"/>
      <c r="GE191" s="8"/>
      <c r="GF191" s="8"/>
      <c r="GG191" s="8"/>
      <c r="GH191" s="8"/>
      <c r="GI191" s="8"/>
      <c r="GJ191" s="8"/>
      <c r="GK191" s="8"/>
      <c r="GL191" s="8"/>
      <c r="GM191" s="8"/>
      <c r="GN191" s="8"/>
      <c r="GO191" s="8"/>
      <c r="GP191" s="8"/>
      <c r="GQ191" s="8"/>
      <c r="GR191" s="8"/>
      <c r="GS191" s="8"/>
      <c r="GT191" s="8"/>
      <c r="GU191" s="8"/>
      <c r="GV191" s="8"/>
      <c r="GW191" s="8"/>
      <c r="GX191" s="8"/>
      <c r="GY191" s="8"/>
      <c r="GZ191" s="8"/>
      <c r="HA191" s="8"/>
      <c r="HB191" s="8"/>
      <c r="HC191" s="8"/>
      <c r="HD191" s="8"/>
      <c r="HE191" s="8"/>
      <c r="HF191" s="8"/>
      <c r="HG191" s="8"/>
      <c r="HH191" s="8"/>
      <c r="HI191" s="8"/>
      <c r="HJ191" s="8"/>
      <c r="HK191" s="8"/>
      <c r="HL191" s="8"/>
      <c r="HM191" s="8"/>
      <c r="HN191" s="8"/>
      <c r="HO191" s="8"/>
      <c r="HP191" s="8"/>
      <c r="HQ191" s="8"/>
      <c r="HR191" s="8"/>
      <c r="HS191" s="8"/>
      <c r="HT191" s="8"/>
      <c r="HU191" s="8"/>
      <c r="HV191" s="8"/>
      <c r="HW191" s="8"/>
      <c r="HX191" s="8"/>
      <c r="HY191" s="8"/>
      <c r="HZ191" s="8"/>
      <c r="IA191" s="8"/>
      <c r="IB191" s="8"/>
    </row>
    <row r="192" spans="2:236" ht="12" customHeight="1" collapsed="1" x14ac:dyDescent="0.25">
      <c r="S192" s="14"/>
      <c r="U192" s="14"/>
      <c r="V192" s="14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E192" s="8"/>
      <c r="EF192" s="8"/>
      <c r="EG192" s="8"/>
      <c r="EH192" s="8"/>
      <c r="EI192" s="8"/>
      <c r="EJ192" s="8"/>
      <c r="EK192" s="8"/>
      <c r="EL192" s="8"/>
      <c r="EM192" s="8"/>
      <c r="EN192" s="8"/>
      <c r="EO192" s="8"/>
      <c r="EP192" s="8"/>
      <c r="EQ192" s="8"/>
      <c r="ER192" s="8"/>
      <c r="ES192" s="8"/>
      <c r="ET192" s="8"/>
      <c r="EU192" s="8"/>
      <c r="EV192" s="8"/>
      <c r="EW192" s="8"/>
      <c r="EX192" s="8"/>
      <c r="EY192" s="8"/>
      <c r="EZ192" s="8"/>
      <c r="FA192" s="8"/>
      <c r="FB192" s="8"/>
      <c r="FC192" s="8"/>
      <c r="FD192" s="8"/>
      <c r="FE192" s="8"/>
      <c r="FF192" s="8"/>
      <c r="FG192" s="8"/>
      <c r="FH192" s="8"/>
      <c r="FI192" s="8"/>
      <c r="FJ192" s="8"/>
      <c r="FK192" s="8"/>
      <c r="FL192" s="8"/>
      <c r="FM192" s="8"/>
      <c r="FN192" s="8"/>
      <c r="FO192" s="8"/>
      <c r="FP192" s="8"/>
      <c r="FQ192" s="8"/>
      <c r="FR192" s="8"/>
      <c r="FS192" s="8"/>
      <c r="FT192" s="8"/>
      <c r="FU192" s="8"/>
      <c r="FV192" s="8"/>
      <c r="FW192" s="8"/>
      <c r="FX192" s="8"/>
      <c r="FY192" s="8"/>
      <c r="FZ192" s="8"/>
      <c r="GA192" s="8"/>
      <c r="GB192" s="8"/>
      <c r="GC192" s="8"/>
      <c r="GD192" s="8"/>
      <c r="GE192" s="8"/>
      <c r="GF192" s="8"/>
      <c r="GG192" s="8"/>
      <c r="GH192" s="8"/>
      <c r="GI192" s="8"/>
      <c r="GJ192" s="8"/>
      <c r="GK192" s="8"/>
      <c r="GL192" s="8"/>
      <c r="GM192" s="8"/>
      <c r="GN192" s="8"/>
      <c r="GO192" s="8"/>
      <c r="GP192" s="8"/>
      <c r="GQ192" s="8"/>
      <c r="GR192" s="8"/>
      <c r="GS192" s="8"/>
      <c r="GT192" s="8"/>
      <c r="GU192" s="8"/>
      <c r="GV192" s="8"/>
      <c r="GW192" s="8"/>
      <c r="GX192" s="8"/>
      <c r="GY192" s="8"/>
      <c r="GZ192" s="8"/>
      <c r="HA192" s="8"/>
      <c r="HB192" s="8"/>
      <c r="HC192" s="8"/>
      <c r="HD192" s="8"/>
      <c r="HE192" s="8"/>
      <c r="HF192" s="8"/>
      <c r="HG192" s="8"/>
      <c r="HH192" s="8"/>
      <c r="HI192" s="8"/>
      <c r="HJ192" s="8"/>
      <c r="HK192" s="8"/>
      <c r="HL192" s="8"/>
      <c r="HM192" s="8"/>
      <c r="HN192" s="8"/>
      <c r="HO192" s="8"/>
      <c r="HP192" s="8"/>
      <c r="HQ192" s="8"/>
      <c r="HR192" s="8"/>
      <c r="HS192" s="8"/>
      <c r="HT192" s="8"/>
      <c r="HU192" s="8"/>
      <c r="HV192" s="8"/>
      <c r="HW192" s="8"/>
      <c r="HX192" s="8"/>
      <c r="HY192" s="8"/>
      <c r="HZ192" s="8"/>
      <c r="IA192" s="8"/>
      <c r="IB192" s="8"/>
    </row>
    <row r="193" spans="2:236" ht="12" customHeight="1" x14ac:dyDescent="0.25">
      <c r="S193" s="14"/>
      <c r="U193" s="14"/>
      <c r="V193" s="14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E193" s="8"/>
      <c r="EF193" s="8"/>
      <c r="EG193" s="8"/>
      <c r="EH193" s="8"/>
      <c r="EI193" s="8"/>
      <c r="EJ193" s="8"/>
      <c r="EK193" s="8"/>
      <c r="EL193" s="8"/>
      <c r="EM193" s="8"/>
      <c r="EN193" s="8"/>
      <c r="EO193" s="8"/>
      <c r="EP193" s="8"/>
      <c r="EQ193" s="8"/>
      <c r="ER193" s="8"/>
      <c r="ES193" s="8"/>
      <c r="ET193" s="8"/>
      <c r="EU193" s="8"/>
      <c r="EV193" s="8"/>
      <c r="EW193" s="8"/>
      <c r="EX193" s="8"/>
      <c r="EY193" s="8"/>
      <c r="EZ193" s="8"/>
      <c r="FA193" s="8"/>
      <c r="FB193" s="8"/>
      <c r="FC193" s="8"/>
      <c r="FD193" s="8"/>
      <c r="FE193" s="8"/>
      <c r="FF193" s="8"/>
      <c r="FG193" s="8"/>
      <c r="FH193" s="8"/>
      <c r="FI193" s="8"/>
      <c r="FJ193" s="8"/>
      <c r="FK193" s="8"/>
      <c r="FL193" s="8"/>
      <c r="FM193" s="8"/>
      <c r="FN193" s="8"/>
      <c r="FO193" s="8"/>
      <c r="FP193" s="8"/>
      <c r="FQ193" s="8"/>
      <c r="FR193" s="8"/>
      <c r="FS193" s="8"/>
      <c r="FT193" s="8"/>
      <c r="FU193" s="8"/>
      <c r="FV193" s="8"/>
      <c r="FW193" s="8"/>
      <c r="FX193" s="8"/>
      <c r="FY193" s="8"/>
      <c r="FZ193" s="8"/>
      <c r="GA193" s="8"/>
      <c r="GB193" s="8"/>
      <c r="GC193" s="8"/>
      <c r="GD193" s="8"/>
      <c r="GE193" s="8"/>
      <c r="GF193" s="8"/>
      <c r="GG193" s="8"/>
      <c r="GH193" s="8"/>
      <c r="GI193" s="8"/>
      <c r="GJ193" s="8"/>
      <c r="GK193" s="8"/>
      <c r="GL193" s="8"/>
      <c r="GM193" s="8"/>
      <c r="GN193" s="8"/>
      <c r="GO193" s="8"/>
      <c r="GP193" s="8"/>
      <c r="GQ193" s="8"/>
      <c r="GR193" s="8"/>
      <c r="GS193" s="8"/>
      <c r="GT193" s="8"/>
      <c r="GU193" s="8"/>
      <c r="GV193" s="8"/>
      <c r="GW193" s="8"/>
      <c r="GX193" s="8"/>
      <c r="GY193" s="8"/>
      <c r="GZ193" s="8"/>
      <c r="HA193" s="8"/>
      <c r="HB193" s="8"/>
      <c r="HC193" s="8"/>
      <c r="HD193" s="8"/>
      <c r="HE193" s="8"/>
      <c r="HF193" s="8"/>
      <c r="HG193" s="8"/>
      <c r="HH193" s="8"/>
      <c r="HI193" s="8"/>
      <c r="HJ193" s="8"/>
      <c r="HK193" s="8"/>
      <c r="HL193" s="8"/>
      <c r="HM193" s="8"/>
      <c r="HN193" s="8"/>
      <c r="HO193" s="8"/>
      <c r="HP193" s="8"/>
      <c r="HQ193" s="8"/>
      <c r="HR193" s="8"/>
      <c r="HS193" s="8"/>
      <c r="HT193" s="8"/>
      <c r="HU193" s="8"/>
      <c r="HV193" s="8"/>
      <c r="HW193" s="8"/>
      <c r="HX193" s="8"/>
      <c r="HY193" s="8"/>
      <c r="HZ193" s="8"/>
      <c r="IA193" s="8"/>
      <c r="IB193" s="8"/>
    </row>
    <row r="194" spans="2:236" ht="12" customHeight="1" x14ac:dyDescent="0.3">
      <c r="B194" s="19" t="s">
        <v>46</v>
      </c>
      <c r="C194" s="19"/>
      <c r="S194" s="14"/>
    </row>
    <row r="195" spans="2:236" ht="12" hidden="1" customHeight="1" outlineLevel="1" x14ac:dyDescent="0.25">
      <c r="B195" s="1">
        <v>3</v>
      </c>
      <c r="F195" s="1" t="s">
        <v>23</v>
      </c>
      <c r="I195" s="1" t="s">
        <v>276</v>
      </c>
      <c r="K195" s="1" t="s">
        <v>86</v>
      </c>
      <c r="Q195" s="81">
        <v>0</v>
      </c>
      <c r="R195" s="1" t="s">
        <v>33</v>
      </c>
      <c r="S195" s="14">
        <f>$H$20*500</f>
        <v>885</v>
      </c>
      <c r="T195" s="1">
        <f>Q195*S195</f>
        <v>0</v>
      </c>
      <c r="U195" s="14">
        <v>5</v>
      </c>
      <c r="V195" s="14"/>
      <c r="Y195" s="9">
        <f t="shared" ref="Y195:Y207" si="199">SUM(AE195:EB195)</f>
        <v>0</v>
      </c>
      <c r="Z195" s="82"/>
      <c r="AA195" s="82"/>
      <c r="AC195" s="9">
        <f>$Y195*(Voorblad!$K$44*(1+Voorblad!$K$44)^Voorblad!$K$41)/((1+Voorblad!$K$44)^Voorblad!$K$41-1)</f>
        <v>0</v>
      </c>
      <c r="AE195" s="9">
        <f>EF195*($Q195*$S195)/(1+Voorblad!$K$44)^(AE$56-Voorblad!$F$41)</f>
        <v>0</v>
      </c>
      <c r="AF195" s="9">
        <f>EG195*($Q195*$S195)/(1+Voorblad!$K$44)^(AF$56-Voorblad!$F$41)</f>
        <v>0</v>
      </c>
      <c r="AG195" s="9">
        <f>EH195*($Q195*$S195)/(1+Voorblad!$K$44)^(AG$56-Voorblad!$F$41)</f>
        <v>0</v>
      </c>
      <c r="AH195" s="9">
        <f>EI195*($Q195*$S195)/(1+Voorblad!$K$44)^(AH$56-Voorblad!$F$41)</f>
        <v>0</v>
      </c>
      <c r="AI195" s="9">
        <f>EJ195*($Q195*$S195)/(1+Voorblad!$K$44)^(AI$56-Voorblad!$F$41)</f>
        <v>0</v>
      </c>
      <c r="AJ195" s="9">
        <f>EK195*($Q195*$S195)/(1+Voorblad!$K$44)^(AJ$56-Voorblad!$F$41)</f>
        <v>0</v>
      </c>
      <c r="AK195" s="9">
        <f>EL195*($Q195*$S195)/(1+Voorblad!$K$44)^(AK$56-Voorblad!$F$41)</f>
        <v>0</v>
      </c>
      <c r="AL195" s="9">
        <f>EM195*($Q195*$S195)/(1+Voorblad!$K$44)^(AL$56-Voorblad!$F$41)</f>
        <v>0</v>
      </c>
      <c r="AM195" s="9">
        <f>EN195*($Q195*$S195)/(1+Voorblad!$K$44)^(AM$56-Voorblad!$F$41)</f>
        <v>0</v>
      </c>
      <c r="AN195" s="9">
        <f>EO195*($Q195*$S195)/(1+Voorblad!$K$44)^(AN$56-Voorblad!$F$41)</f>
        <v>0</v>
      </c>
      <c r="AO195" s="9">
        <f>EP195*($Q195*$S195)/(1+Voorblad!$K$44)^(AO$56-Voorblad!$F$41)</f>
        <v>0</v>
      </c>
      <c r="AP195" s="9">
        <f>EQ195*($Q195*$S195)/(1+Voorblad!$K$44)^(AP$56-Voorblad!$F$41)</f>
        <v>0</v>
      </c>
      <c r="AQ195" s="9">
        <f>ER195*($Q195*$S195)/(1+Voorblad!$K$44)^(AQ$56-Voorblad!$F$41)</f>
        <v>0</v>
      </c>
      <c r="AR195" s="9">
        <f>ES195*($Q195*$S195)/(1+Voorblad!$K$44)^(AR$56-Voorblad!$F$41)</f>
        <v>0</v>
      </c>
      <c r="AS195" s="9">
        <f>ET195*($Q195*$S195)/(1+Voorblad!$K$44)^(AS$56-Voorblad!$F$41)</f>
        <v>0</v>
      </c>
      <c r="AT195" s="9">
        <f>EU195*($Q195*$S195)/(1+Voorblad!$K$44)^(AT$56-Voorblad!$F$41)</f>
        <v>0</v>
      </c>
      <c r="AU195" s="9">
        <f>EV195*($Q195*$S195)/(1+Voorblad!$K$44)^(AU$56-Voorblad!$F$41)</f>
        <v>0</v>
      </c>
      <c r="AV195" s="9">
        <f>EW195*($Q195*$S195)/(1+Voorblad!$K$44)^(AV$56-Voorblad!$F$41)</f>
        <v>0</v>
      </c>
      <c r="AW195" s="9">
        <f>EX195*($Q195*$S195)/(1+Voorblad!$K$44)^(AW$56-Voorblad!$F$41)</f>
        <v>0</v>
      </c>
      <c r="AX195" s="9">
        <f>EY195*($Q195*$S195)/(1+Voorblad!$K$44)^(AX$56-Voorblad!$F$41)</f>
        <v>0</v>
      </c>
      <c r="AY195" s="9">
        <f>EZ195*($Q195*$S195)/(1+Voorblad!$K$44)^(AY$56-Voorblad!$F$41)</f>
        <v>0</v>
      </c>
      <c r="AZ195" s="9">
        <f>FA195*($Q195*$S195)/(1+Voorblad!$K$44)^(AZ$56-Voorblad!$F$41)</f>
        <v>0</v>
      </c>
      <c r="BA195" s="9">
        <f>FB195*($Q195*$S195)/(1+Voorblad!$K$44)^(BA$56-Voorblad!$F$41)</f>
        <v>0</v>
      </c>
      <c r="BB195" s="9">
        <f>FC195*($Q195*$S195)/(1+Voorblad!$K$44)^(BB$56-Voorblad!$F$41)</f>
        <v>0</v>
      </c>
      <c r="BC195" s="9">
        <f>FD195*($Q195*$S195)/(1+Voorblad!$K$44)^(BC$56-Voorblad!$F$41)</f>
        <v>0</v>
      </c>
      <c r="BD195" s="9">
        <f>FE195*($Q195*$S195)/(1+Voorblad!$K$44)^(BD$56-Voorblad!$F$41)</f>
        <v>0</v>
      </c>
      <c r="BE195" s="9">
        <f>FF195*($Q195*$S195)/(1+Voorblad!$K$44)^(BE$56-Voorblad!$F$41)</f>
        <v>0</v>
      </c>
      <c r="BF195" s="9">
        <f>FG195*($Q195*$S195)/(1+Voorblad!$K$44)^(BF$56-Voorblad!$F$41)</f>
        <v>0</v>
      </c>
      <c r="BG195" s="9">
        <f>FH195*($Q195*$S195)/(1+Voorblad!$K$44)^(BG$56-Voorblad!$F$41)</f>
        <v>0</v>
      </c>
      <c r="BH195" s="9">
        <f>FI195*($Q195*$S195)/(1+Voorblad!$K$44)^(BH$56-Voorblad!$F$41)</f>
        <v>0</v>
      </c>
      <c r="BI195" s="9">
        <f>FJ195*($Q195*$S195)/(1+Voorblad!$K$44)^(BI$56-Voorblad!$F$41)</f>
        <v>0</v>
      </c>
      <c r="BJ195" s="9">
        <f>FK195*($Q195*$S195)/(1+Voorblad!$K$44)^(BJ$56-Voorblad!$F$41)</f>
        <v>0</v>
      </c>
      <c r="BK195" s="9">
        <f>FL195*($Q195*$S195)/(1+Voorblad!$K$44)^(BK$56-Voorblad!$F$41)</f>
        <v>0</v>
      </c>
      <c r="BL195" s="9">
        <f>FM195*($Q195*$S195)/(1+Voorblad!$K$44)^(BL$56-Voorblad!$F$41)</f>
        <v>0</v>
      </c>
      <c r="BM195" s="9">
        <f>FN195*($Q195*$S195)/(1+Voorblad!$K$44)^(BM$56-Voorblad!$F$41)</f>
        <v>0</v>
      </c>
      <c r="BN195" s="9">
        <f>FO195*($Q195*$S195)/(1+Voorblad!$K$44)^(BN$56-Voorblad!$F$41)</f>
        <v>0</v>
      </c>
      <c r="BO195" s="9">
        <f>FP195*($Q195*$S195)/(1+Voorblad!$K$44)^(BO$56-Voorblad!$F$41)</f>
        <v>0</v>
      </c>
      <c r="BP195" s="9">
        <f>FQ195*($Q195*$S195)/(1+Voorblad!$K$44)^(BP$56-Voorblad!$F$41)</f>
        <v>0</v>
      </c>
      <c r="BQ195" s="9">
        <f>FR195*($Q195*$S195)/(1+Voorblad!$K$44)^(BQ$56-Voorblad!$F$41)</f>
        <v>0</v>
      </c>
      <c r="BR195" s="9">
        <f>FS195*($Q195*$S195)/(1+Voorblad!$K$44)^(BR$56-Voorblad!$F$41)</f>
        <v>0</v>
      </c>
      <c r="BS195" s="9">
        <f>FT195*($Q195*$S195)/(1+Voorblad!$K$44)^(BS$56-Voorblad!$F$41)</f>
        <v>0</v>
      </c>
      <c r="BT195" s="9">
        <f>FU195*($Q195*$S195)/(1+Voorblad!$K$44)^(BT$56-Voorblad!$F$41)</f>
        <v>0</v>
      </c>
      <c r="BU195" s="9">
        <f>FV195*($Q195*$S195)/(1+Voorblad!$K$44)^(BU$56-Voorblad!$F$41)</f>
        <v>0</v>
      </c>
      <c r="BV195" s="9">
        <f>FW195*($Q195*$S195)/(1+Voorblad!$K$44)^(BV$56-Voorblad!$F$41)</f>
        <v>0</v>
      </c>
      <c r="BW195" s="9">
        <f>FX195*($Q195*$S195)/(1+Voorblad!$K$44)^(BW$56-Voorblad!$F$41)</f>
        <v>0</v>
      </c>
      <c r="BX195" s="9">
        <f>FY195*($Q195*$S195)/(1+Voorblad!$K$44)^(BX$56-Voorblad!$F$41)</f>
        <v>0</v>
      </c>
      <c r="BY195" s="9">
        <f>FZ195*($Q195*$S195)/(1+Voorblad!$K$44)^(BY$56-Voorblad!$F$41)</f>
        <v>0</v>
      </c>
      <c r="BZ195" s="9">
        <f>GA195*($Q195*$S195)/(1+Voorblad!$K$44)^(BZ$56-Voorblad!$F$41)</f>
        <v>0</v>
      </c>
      <c r="CA195" s="9">
        <f>GB195*($Q195*$S195)/(1+Voorblad!$K$44)^(CA$56-Voorblad!$F$41)</f>
        <v>0</v>
      </c>
      <c r="CB195" s="9">
        <f>GC195*($Q195*$S195)/(1+Voorblad!$K$44)^(CB$56-Voorblad!$F$41)</f>
        <v>0</v>
      </c>
      <c r="CC195" s="9">
        <f>GD195*($Q195*$S195)/(1+Voorblad!$K$44)^(CC$56-Voorblad!$F$41)</f>
        <v>0</v>
      </c>
      <c r="CD195" s="9">
        <f>GE195*($Q195*$S195)/(1+Voorblad!$K$44)^(CD$56-Voorblad!$F$41)</f>
        <v>0</v>
      </c>
      <c r="CE195" s="9">
        <f>GF195*($Q195*$S195)/(1+Voorblad!$K$44)^(CE$56-Voorblad!$F$41)</f>
        <v>0</v>
      </c>
      <c r="CF195" s="9">
        <f>GG195*($Q195*$S195)/(1+Voorblad!$K$44)^(CF$56-Voorblad!$F$41)</f>
        <v>0</v>
      </c>
      <c r="CG195" s="9">
        <f>GH195*($Q195*$S195)/(1+Voorblad!$K$44)^(CG$56-Voorblad!$F$41)</f>
        <v>0</v>
      </c>
      <c r="CH195" s="9">
        <f>GI195*($Q195*$S195)/(1+Voorblad!$K$44)^(CH$56-Voorblad!$F$41)</f>
        <v>0</v>
      </c>
      <c r="CI195" s="9">
        <f>GJ195*($Q195*$S195)/(1+Voorblad!$K$44)^(CI$56-Voorblad!$F$41)</f>
        <v>0</v>
      </c>
      <c r="CJ195" s="9">
        <f>GK195*($Q195*$S195)/(1+Voorblad!$K$44)^(CJ$56-Voorblad!$F$41)</f>
        <v>0</v>
      </c>
      <c r="CK195" s="9">
        <f>GL195*($Q195*$S195)/(1+Voorblad!$K$44)^(CK$56-Voorblad!$F$41)</f>
        <v>0</v>
      </c>
      <c r="CL195" s="9">
        <f>GM195*($Q195*$S195)/(1+Voorblad!$K$44)^(CL$56-Voorblad!$F$41)</f>
        <v>0</v>
      </c>
      <c r="CM195" s="9">
        <f>GN195*($Q195*$S195)/(1+Voorblad!$K$44)^(CM$56-Voorblad!$F$41)</f>
        <v>0</v>
      </c>
      <c r="CN195" s="9">
        <f>GO195*($Q195*$S195)/(1+Voorblad!$K$44)^(CN$56-Voorblad!$F$41)</f>
        <v>0</v>
      </c>
      <c r="CO195" s="9">
        <f>GP195*($Q195*$S195)/(1+Voorblad!$K$44)^(CO$56-Voorblad!$F$41)</f>
        <v>0</v>
      </c>
      <c r="CP195" s="9">
        <f>GQ195*($Q195*$S195)/(1+Voorblad!$K$44)^(CP$56-Voorblad!$F$41)</f>
        <v>0</v>
      </c>
      <c r="CQ195" s="9">
        <f>GR195*($Q195*$S195)/(1+Voorblad!$K$44)^(CQ$56-Voorblad!$F$41)</f>
        <v>0</v>
      </c>
      <c r="CR195" s="9">
        <f>GS195*($Q195*$S195)/(1+Voorblad!$K$44)^(CR$56-Voorblad!$F$41)</f>
        <v>0</v>
      </c>
      <c r="CS195" s="9">
        <f>GT195*($Q195*$S195)/(1+Voorblad!$K$44)^(CS$56-Voorblad!$F$41)</f>
        <v>0</v>
      </c>
      <c r="CT195" s="9">
        <f>GU195*($Q195*$S195)/(1+Voorblad!$K$44)^(CT$56-Voorblad!$F$41)</f>
        <v>0</v>
      </c>
      <c r="CU195" s="9">
        <f>GV195*($Q195*$S195)/(1+Voorblad!$K$44)^(CU$56-Voorblad!$F$41)</f>
        <v>0</v>
      </c>
      <c r="CV195" s="9">
        <f>GW195*($Q195*$S195)/(1+Voorblad!$K$44)^(CV$56-Voorblad!$F$41)</f>
        <v>0</v>
      </c>
      <c r="CW195" s="9">
        <f>GX195*($Q195*$S195)/(1+Voorblad!$K$44)^(CW$56-Voorblad!$F$41)</f>
        <v>0</v>
      </c>
      <c r="CX195" s="9">
        <f>GY195*($Q195*$S195)/(1+Voorblad!$K$44)^(CX$56-Voorblad!$F$41)</f>
        <v>0</v>
      </c>
      <c r="CY195" s="9">
        <f>GZ195*($Q195*$S195)/(1+Voorblad!$K$44)^(CY$56-Voorblad!$F$41)</f>
        <v>0</v>
      </c>
      <c r="CZ195" s="9">
        <f>HA195*($Q195*$S195)/(1+Voorblad!$K$44)^(CZ$56-Voorblad!$F$41)</f>
        <v>0</v>
      </c>
      <c r="DA195" s="9">
        <f>HB195*($Q195*$S195)/(1+Voorblad!$K$44)^(DA$56-Voorblad!$F$41)</f>
        <v>0</v>
      </c>
      <c r="DB195" s="9">
        <f>HC195*($Q195*$S195)/(1+Voorblad!$K$44)^(DB$56-Voorblad!$F$41)</f>
        <v>0</v>
      </c>
      <c r="DC195" s="9">
        <f>HD195*($Q195*$S195)/(1+Voorblad!$K$44)^(DC$56-Voorblad!$F$41)</f>
        <v>0</v>
      </c>
      <c r="DD195" s="9">
        <f>HE195*($Q195*$S195)/(1+Voorblad!$K$44)^(DD$56-Voorblad!$F$41)</f>
        <v>0</v>
      </c>
      <c r="DE195" s="9">
        <f>HF195*($Q195*$S195)/(1+Voorblad!$K$44)^(DE$56-Voorblad!$F$41)</f>
        <v>0</v>
      </c>
      <c r="DF195" s="9">
        <f>HG195*($Q195*$S195)/(1+Voorblad!$K$44)^(DF$56-Voorblad!$F$41)</f>
        <v>0</v>
      </c>
      <c r="DG195" s="9">
        <f>HH195*($Q195*$S195)/(1+Voorblad!$K$44)^(DG$56-Voorblad!$F$41)</f>
        <v>0</v>
      </c>
      <c r="DH195" s="9">
        <f>HI195*($Q195*$S195)/(1+Voorblad!$K$44)^(DH$56-Voorblad!$F$41)</f>
        <v>0</v>
      </c>
      <c r="DI195" s="9">
        <f>HJ195*($Q195*$S195)/(1+Voorblad!$K$44)^(DI$56-Voorblad!$F$41)</f>
        <v>0</v>
      </c>
      <c r="DJ195" s="9">
        <f>HK195*($Q195*$S195)/(1+Voorblad!$K$44)^(DJ$56-Voorblad!$F$41)</f>
        <v>0</v>
      </c>
      <c r="DK195" s="9">
        <f>HL195*($Q195*$S195)/(1+Voorblad!$K$44)^(DK$56-Voorblad!$F$41)</f>
        <v>0</v>
      </c>
      <c r="DL195" s="9">
        <f>HM195*($Q195*$S195)/(1+Voorblad!$K$44)^(DL$56-Voorblad!$F$41)</f>
        <v>0</v>
      </c>
      <c r="DM195" s="9">
        <f>HN195*($Q195*$S195)/(1+Voorblad!$K$44)^(DM$56-Voorblad!$F$41)</f>
        <v>0</v>
      </c>
      <c r="DN195" s="9">
        <f>HO195*($Q195*$S195)/(1+Voorblad!$K$44)^(DN$56-Voorblad!$F$41)</f>
        <v>0</v>
      </c>
      <c r="DO195" s="9">
        <f>HP195*($Q195*$S195)/(1+Voorblad!$K$44)^(DO$56-Voorblad!$F$41)</f>
        <v>0</v>
      </c>
      <c r="DP195" s="9">
        <f>HQ195*($Q195*$S195)/(1+Voorblad!$K$44)^(DP$56-Voorblad!$F$41)</f>
        <v>0</v>
      </c>
      <c r="DQ195" s="9">
        <f>HR195*($Q195*$S195)/(1+Voorblad!$K$44)^(DQ$56-Voorblad!$F$41)</f>
        <v>0</v>
      </c>
      <c r="DR195" s="9">
        <f>HS195*($Q195*$S195)/(1+Voorblad!$K$44)^(DR$56-Voorblad!$F$41)</f>
        <v>0</v>
      </c>
      <c r="DS195" s="9">
        <f>HT195*($Q195*$S195)/(1+Voorblad!$K$44)^(DS$56-Voorblad!$F$41)</f>
        <v>0</v>
      </c>
      <c r="DT195" s="9">
        <f>HU195*($Q195*$S195)/(1+Voorblad!$K$44)^(DT$56-Voorblad!$F$41)</f>
        <v>0</v>
      </c>
      <c r="DU195" s="9">
        <f>HV195*($Q195*$S195)/(1+Voorblad!$K$44)^(DU$56-Voorblad!$F$41)</f>
        <v>0</v>
      </c>
      <c r="DV195" s="9">
        <f>HW195*($Q195*$S195)/(1+Voorblad!$K$44)^(DV$56-Voorblad!$F$41)</f>
        <v>0</v>
      </c>
      <c r="DW195" s="9">
        <f>HX195*($Q195*$S195)/(1+Voorblad!$K$44)^(DW$56-Voorblad!$F$41)</f>
        <v>0</v>
      </c>
      <c r="DX195" s="9">
        <f>HY195*($Q195*$S195)/(1+Voorblad!$K$44)^(DX$56-Voorblad!$F$41)</f>
        <v>0</v>
      </c>
      <c r="DY195" s="9">
        <f>HZ195*($Q195*$S195)/(1+Voorblad!$K$44)^(DY$56-Voorblad!$F$41)</f>
        <v>0</v>
      </c>
      <c r="DZ195" s="9">
        <f>IA195*($Q195*$S195)/(1+Voorblad!$K$44)^(DZ$56-Voorblad!$F$41)</f>
        <v>0</v>
      </c>
      <c r="EA195" s="9">
        <f>IB195*($Q195*$S195)/(1+Voorblad!$K$44)^(EA$56-Voorblad!$F$41)</f>
        <v>0</v>
      </c>
      <c r="EB195" s="9">
        <f>IC195*($Q195*$S195)/(1+Voorblad!$K$44)^(EB$56-Voorblad!$F$41)</f>
        <v>0</v>
      </c>
      <c r="EE195" s="8">
        <v>0</v>
      </c>
      <c r="EF195" s="8">
        <f>IF(EF$56-Voorblad!$F$41&gt;Voorblad!$K$41,0,IF($U195=0,0,IF($U195&lt;1,1/$U195,IF((EF$56-Voorblad!$F$41)/$U195-SUM($EE195:EE195)=1,1,0))))</f>
        <v>0</v>
      </c>
      <c r="EG195" s="8">
        <f>IF(EG$56-Voorblad!$F$41&gt;Voorblad!$K$41,0,IF($U195=0,0,IF($U195&lt;1,1/$U195,IF((EG$56-Voorblad!$F$41)/$U195-SUM($EE195:EF195)=1,1,0))))</f>
        <v>0</v>
      </c>
      <c r="EH195" s="8">
        <f>IF(EH$56-Voorblad!$F$41&gt;Voorblad!$K$41,0,IF($U195=0,0,IF($U195&lt;1,1/$U195,IF((EH$56-Voorblad!$F$41)/$U195-SUM($EE195:EG195)=1,1,0))))</f>
        <v>0</v>
      </c>
      <c r="EI195" s="8">
        <f>IF(EI$56-Voorblad!$F$41&gt;Voorblad!$K$41,0,IF($U195=0,0,IF($U195&lt;1,1/$U195,IF((EI$56-Voorblad!$F$41)/$U195-SUM($EE195:EH195)=1,1,0))))</f>
        <v>0</v>
      </c>
      <c r="EJ195" s="8">
        <f>IF(EJ$56-Voorblad!$F$41&gt;Voorblad!$K$41,0,IF($U195=0,0,IF($U195&lt;1,1/$U195,IF((EJ$56-Voorblad!$F$41)/$U195-SUM($EE195:EI195)=1,1,0))))</f>
        <v>0</v>
      </c>
      <c r="EK195" s="8">
        <f>IF(EK$56-Voorblad!$F$41&gt;Voorblad!$K$41,0,IF($U195=0,0,IF($U195&lt;1,1/$U195,IF((EK$56-Voorblad!$F$41)/$U195-SUM($EE195:EJ195)=1,1,0))))</f>
        <v>1</v>
      </c>
      <c r="EL195" s="8">
        <f>IF(EL$56-Voorblad!$F$41&gt;Voorblad!$K$41,0,IF($U195=0,0,IF($U195&lt;1,1/$U195,IF((EL$56-Voorblad!$F$41)/$U195-SUM($EE195:EK195)=1,1,0))))</f>
        <v>0</v>
      </c>
      <c r="EM195" s="8">
        <f>IF(EM$56-Voorblad!$F$41&gt;Voorblad!$K$41,0,IF($U195=0,0,IF($U195&lt;1,1/$U195,IF((EM$56-Voorblad!$F$41)/$U195-SUM($EE195:EL195)=1,1,0))))</f>
        <v>0</v>
      </c>
      <c r="EN195" s="8">
        <f>IF(EN$56-Voorblad!$F$41&gt;Voorblad!$K$41,0,IF($U195=0,0,IF($U195&lt;1,1/$U195,IF((EN$56-Voorblad!$F$41)/$U195-SUM($EE195:EM195)=1,1,0))))</f>
        <v>0</v>
      </c>
      <c r="EO195" s="8">
        <f>IF(EO$56-Voorblad!$F$41&gt;Voorblad!$K$41,0,IF($U195=0,0,IF($U195&lt;1,1/$U195,IF((EO$56-Voorblad!$F$41)/$U195-SUM($EE195:EN195)=1,1,0))))</f>
        <v>0</v>
      </c>
      <c r="EP195" s="8">
        <f>IF(EP$56-Voorblad!$F$41&gt;Voorblad!$K$41,0,IF($U195=0,0,IF($U195&lt;1,1/$U195,IF((EP$56-Voorblad!$F$41)/$U195-SUM($EE195:EO195)=1,1,0))))</f>
        <v>1</v>
      </c>
      <c r="EQ195" s="8">
        <f>IF(EQ$56-Voorblad!$F$41&gt;Voorblad!$K$41,0,IF($U195=0,0,IF($U195&lt;1,1/$U195,IF((EQ$56-Voorblad!$F$41)/$U195-SUM($EE195:EP195)=1,1,0))))</f>
        <v>0</v>
      </c>
      <c r="ER195" s="8">
        <f>IF(ER$56-Voorblad!$F$41&gt;Voorblad!$K$41,0,IF($U195=0,0,IF($U195&lt;1,1/$U195,IF((ER$56-Voorblad!$F$41)/$U195-SUM($EE195:EQ195)=1,1,0))))</f>
        <v>0</v>
      </c>
      <c r="ES195" s="8">
        <f>IF(ES$56-Voorblad!$F$41&gt;Voorblad!$K$41,0,IF($U195=0,0,IF($U195&lt;1,1/$U195,IF((ES$56-Voorblad!$F$41)/$U195-SUM($EE195:ER195)=1,1,0))))</f>
        <v>0</v>
      </c>
      <c r="ET195" s="8">
        <f>IF(ET$56-Voorblad!$F$41&gt;Voorblad!$K$41,0,IF($U195=0,0,IF($U195&lt;1,1/$U195,IF((ET$56-Voorblad!$F$41)/$U195-SUM($EE195:ES195)=1,1,0))))</f>
        <v>0</v>
      </c>
      <c r="EU195" s="8">
        <f>IF(EU$56-Voorblad!$F$41&gt;Voorblad!$K$41,0,IF($U195=0,0,IF($U195&lt;1,1/$U195,IF((EU$56-Voorblad!$F$41)/$U195-SUM($EE195:ET195)=1,1,0))))</f>
        <v>1</v>
      </c>
      <c r="EV195" s="8">
        <f>IF(EV$56-Voorblad!$F$41&gt;Voorblad!$K$41,0,IF($U195=0,0,IF($U195&lt;1,1/$U195,IF((EV$56-Voorblad!$F$41)/$U195-SUM($EE195:EU195)=1,1,0))))</f>
        <v>0</v>
      </c>
      <c r="EW195" s="8">
        <f>IF(EW$56-Voorblad!$F$41&gt;Voorblad!$K$41,0,IF($U195=0,0,IF($U195&lt;1,1/$U195,IF((EW$56-Voorblad!$F$41)/$U195-SUM($EE195:EV195)=1,1,0))))</f>
        <v>0</v>
      </c>
      <c r="EX195" s="8">
        <f>IF(EX$56-Voorblad!$F$41&gt;Voorblad!$K$41,0,IF($U195=0,0,IF($U195&lt;1,1/$U195,IF((EX$56-Voorblad!$F$41)/$U195-SUM($EE195:EW195)=1,1,0))))</f>
        <v>0</v>
      </c>
      <c r="EY195" s="8">
        <f>IF(EY$56-Voorblad!$F$41&gt;Voorblad!$K$41,0,IF($U195=0,0,IF($U195&lt;1,1/$U195,IF((EY$56-Voorblad!$F$41)/$U195-SUM($EE195:EX195)=1,1,0))))</f>
        <v>0</v>
      </c>
      <c r="EZ195" s="8">
        <f>IF(EZ$56-Voorblad!$F$41&gt;Voorblad!$K$41,0,IF($U195=0,0,IF($U195&lt;1,1/$U195,IF((EZ$56-Voorblad!$F$41)/$U195-SUM($EE195:EY195)=1,1,0))))</f>
        <v>1</v>
      </c>
      <c r="FA195" s="8">
        <f>IF(FA$56-Voorblad!$F$41&gt;Voorblad!$K$41,0,IF($U195=0,0,IF($U195&lt;1,1/$U195,IF((FA$56-Voorblad!$F$41)/$U195-SUM($EE195:EZ195)=1,1,0))))</f>
        <v>0</v>
      </c>
      <c r="FB195" s="8">
        <f>IF(FB$56-Voorblad!$F$41&gt;Voorblad!$K$41,0,IF($U195=0,0,IF($U195&lt;1,1/$U195,IF((FB$56-Voorblad!$F$41)/$U195-SUM($EE195:FA195)=1,1,0))))</f>
        <v>0</v>
      </c>
      <c r="FC195" s="8">
        <f>IF(FC$56-Voorblad!$F$41&gt;Voorblad!$K$41,0,IF($U195=0,0,IF($U195&lt;1,1/$U195,IF((FC$56-Voorblad!$F$41)/$U195-SUM($EE195:FB195)=1,1,0))))</f>
        <v>0</v>
      </c>
      <c r="FD195" s="8">
        <f>IF(FD$56-Voorblad!$F$41&gt;Voorblad!$K$41,0,IF($U195=0,0,IF($U195&lt;1,1/$U195,IF((FD$56-Voorblad!$F$41)/$U195-SUM($EE195:FC195)=1,1,0))))</f>
        <v>0</v>
      </c>
      <c r="FE195" s="8">
        <f>IF(FE$56-Voorblad!$F$41&gt;Voorblad!$K$41,0,IF($U195=0,0,IF($U195&lt;1,1/$U195,IF((FE$56-Voorblad!$F$41)/$U195-SUM($EE195:FD195)=1,1,0))))</f>
        <v>1</v>
      </c>
      <c r="FF195" s="8">
        <f>IF(FF$56-Voorblad!$F$41&gt;Voorblad!$K$41,0,IF($U195=0,0,IF($U195&lt;1,1/$U195,IF((FF$56-Voorblad!$F$41)/$U195-SUM($EE195:FE195)=1,1,0))))</f>
        <v>0</v>
      </c>
      <c r="FG195" s="8">
        <f>IF(FG$56-Voorblad!$F$41&gt;Voorblad!$K$41,0,IF($U195=0,0,IF($U195&lt;1,1/$U195,IF((FG$56-Voorblad!$F$41)/$U195-SUM($EE195:FF195)=1,1,0))))</f>
        <v>0</v>
      </c>
      <c r="FH195" s="8">
        <f>IF(FH$56-Voorblad!$F$41&gt;Voorblad!$K$41,0,IF($U195=0,0,IF($U195&lt;1,1/$U195,IF((FH$56-Voorblad!$F$41)/$U195-SUM($EE195:FG195)=1,1,0))))</f>
        <v>0</v>
      </c>
      <c r="FI195" s="8">
        <f>IF(FI$56-Voorblad!$F$41&gt;Voorblad!$K$41,0,IF($U195=0,0,IF($U195&lt;1,1/$U195,IF((FI$56-Voorblad!$F$41)/$U195-SUM($EE195:FH195)=1,1,0))))</f>
        <v>0</v>
      </c>
      <c r="FJ195" s="8">
        <f>IF(FJ$56-Voorblad!$F$41&gt;Voorblad!$K$41,0,IF($U195=0,0,IF($U195&lt;1,1/$U195,IF((FJ$56-Voorblad!$F$41)/$U195-SUM($EE195:FI195)=1,1,0))))</f>
        <v>1</v>
      </c>
      <c r="FK195" s="8">
        <f>IF(FK$56-Voorblad!$F$41&gt;Voorblad!$K$41,0,IF($U195=0,0,IF($U195&lt;1,1/$U195,IF((FK$56-Voorblad!$F$41)/$U195-SUM($EE195:FJ195)=1,1,0))))</f>
        <v>0</v>
      </c>
      <c r="FL195" s="8">
        <f>IF(FL$56-Voorblad!$F$41&gt;Voorblad!$K$41,0,IF($U195=0,0,IF($U195&lt;1,1/$U195,IF((FL$56-Voorblad!$F$41)/$U195-SUM($EE195:FK195)=1,1,0))))</f>
        <v>0</v>
      </c>
      <c r="FM195" s="8">
        <f>IF(FM$56-Voorblad!$F$41&gt;Voorblad!$K$41,0,IF($U195=0,0,IF($U195&lt;1,1/$U195,IF((FM$56-Voorblad!$F$41)/$U195-SUM($EE195:FL195)=1,1,0))))</f>
        <v>0</v>
      </c>
      <c r="FN195" s="8">
        <f>IF(FN$56-Voorblad!$F$41&gt;Voorblad!$K$41,0,IF($U195=0,0,IF($U195&lt;1,1/$U195,IF((FN$56-Voorblad!$F$41)/$U195-SUM($EE195:FM195)=1,1,0))))</f>
        <v>0</v>
      </c>
      <c r="FO195" s="8">
        <f>IF(FO$56-Voorblad!$F$41&gt;Voorblad!$K$41,0,IF($U195=0,0,IF($U195&lt;1,1/$U195,IF((FO$56-Voorblad!$F$41)/$U195-SUM($EE195:FN195)=1,1,0))))</f>
        <v>1</v>
      </c>
      <c r="FP195" s="8">
        <f>IF(FP$56-Voorblad!$F$41&gt;Voorblad!$K$41,0,IF($U195=0,0,IF($U195&lt;1,1/$U195,IF((FP$56-Voorblad!$F$41)/$U195-SUM($EE195:FO195)=1,1,0))))</f>
        <v>0</v>
      </c>
      <c r="FQ195" s="8">
        <f>IF(FQ$56-Voorblad!$F$41&gt;Voorblad!$K$41,0,IF($U195=0,0,IF($U195&lt;1,1/$U195,IF((FQ$56-Voorblad!$F$41)/$U195-SUM($EE195:FP195)=1,1,0))))</f>
        <v>0</v>
      </c>
      <c r="FR195" s="8">
        <f>IF(FR$56-Voorblad!$F$41&gt;Voorblad!$K$41,0,IF($U195=0,0,IF($U195&lt;1,1/$U195,IF((FR$56-Voorblad!$F$41)/$U195-SUM($EE195:FQ195)=1,1,0))))</f>
        <v>0</v>
      </c>
      <c r="FS195" s="8">
        <f>IF(FS$56-Voorblad!$F$41&gt;Voorblad!$K$41,0,IF($U195=0,0,IF($U195&lt;1,1/$U195,IF((FS$56-Voorblad!$F$41)/$U195-SUM($EE195:FR195)=1,1,0))))</f>
        <v>0</v>
      </c>
      <c r="FT195" s="8">
        <f>IF(FT$56-Voorblad!$F$41&gt;Voorblad!$K$41,0,IF($U195=0,0,IF($U195&lt;1,1/$U195,IF((FT$56-Voorblad!$F$41)/$U195-SUM($EE195:FS195)=1,1,0))))</f>
        <v>1</v>
      </c>
      <c r="FU195" s="8">
        <f>IF(FU$56-Voorblad!$F$41&gt;Voorblad!$K$41,0,IF($U195=0,0,IF($U195&lt;1,1/$U195,IF((FU$56-Voorblad!$F$41)/$U195-SUM($EE195:FT195)=1,1,0))))</f>
        <v>0</v>
      </c>
      <c r="FV195" s="8">
        <f>IF(FV$56-Voorblad!$F$41&gt;Voorblad!$K$41,0,IF($U195=0,0,IF($U195&lt;1,1/$U195,IF((FV$56-Voorblad!$F$41)/$U195-SUM($EE195:FU195)=1,1,0))))</f>
        <v>0</v>
      </c>
      <c r="FW195" s="8">
        <f>IF(FW$56-Voorblad!$F$41&gt;Voorblad!$K$41,0,IF($U195=0,0,IF($U195&lt;1,1/$U195,IF((FW$56-Voorblad!$F$41)/$U195-SUM($EE195:FV195)=1,1,0))))</f>
        <v>0</v>
      </c>
      <c r="FX195" s="8">
        <f>IF(FX$56-Voorblad!$F$41&gt;Voorblad!$K$41,0,IF($U195=0,0,IF($U195&lt;1,1/$U195,IF((FX$56-Voorblad!$F$41)/$U195-SUM($EE195:FW195)=1,1,0))))</f>
        <v>0</v>
      </c>
      <c r="FY195" s="8">
        <f>IF(FY$56-Voorblad!$F$41&gt;Voorblad!$K$41,0,IF($U195=0,0,IF($U195&lt;1,1/$U195,IF((FY$56-Voorblad!$F$41)/$U195-SUM($EE195:FX195)=1,1,0))))</f>
        <v>1</v>
      </c>
      <c r="FZ195" s="8">
        <f>IF(FZ$56-Voorblad!$F$41&gt;Voorblad!$K$41,0,IF($U195=0,0,IF($U195&lt;1,1/$U195,IF((FZ$56-Voorblad!$F$41)/$U195-SUM($EE195:FY195)=1,1,0))))</f>
        <v>0</v>
      </c>
      <c r="GA195" s="8">
        <f>IF(GA$56-Voorblad!$F$41&gt;Voorblad!$K$41,0,IF($U195=0,0,IF($U195&lt;1,1/$U195,IF((GA$56-Voorblad!$F$41)/$U195-SUM($EE195:FZ195)=1,1,0))))</f>
        <v>0</v>
      </c>
      <c r="GB195" s="8">
        <f>IF(GB$56-Voorblad!$F$41&gt;Voorblad!$K$41,0,IF($U195=0,0,IF($U195&lt;1,1/$U195,IF((GB$56-Voorblad!$F$41)/$U195-SUM($EE195:GA195)=1,1,0))))</f>
        <v>0</v>
      </c>
      <c r="GC195" s="8">
        <f>IF(GC$56-Voorblad!$F$41&gt;Voorblad!$K$41,0,IF($U195=0,0,IF($U195&lt;1,1/$U195,IF((GC$56-Voorblad!$F$41)/$U195-SUM($EE195:GB195)=1,1,0))))</f>
        <v>0</v>
      </c>
      <c r="GD195" s="8">
        <f>IF(GD$56-Voorblad!$F$41&gt;Voorblad!$K$41,0,IF($U195=0,0,IF($U195&lt;1,1/$U195,IF((GD$56-Voorblad!$F$41)/$U195-SUM($EE195:GC195)=1,1,0))))</f>
        <v>1</v>
      </c>
      <c r="GE195" s="8">
        <f>IF(GE$56-Voorblad!$F$41&gt;Voorblad!$K$41,0,IF($U195=0,0,IF($U195&lt;1,1/$U195,IF((GE$56-Voorblad!$F$41)/$U195-SUM($EE195:GD195)=1,1,0))))</f>
        <v>0</v>
      </c>
      <c r="GF195" s="8">
        <f>IF(GF$56-Voorblad!$F$41&gt;Voorblad!$K$41,0,IF($U195=0,0,IF($U195&lt;1,1/$U195,IF((GF$56-Voorblad!$F$41)/$U195-SUM($EE195:GE195)=1,1,0))))</f>
        <v>0</v>
      </c>
      <c r="GG195" s="8">
        <f>IF(GG$56-Voorblad!$F$41&gt;Voorblad!$K$41,0,IF($U195=0,0,IF($U195&lt;1,1/$U195,IF((GG$56-Voorblad!$F$41)/$U195-SUM($EE195:GF195)=1,1,0))))</f>
        <v>0</v>
      </c>
      <c r="GH195" s="8">
        <f>IF(GH$56-Voorblad!$F$41&gt;Voorblad!$K$41,0,IF($U195=0,0,IF($U195&lt;1,1/$U195,IF((GH$56-Voorblad!$F$41)/$U195-SUM($EE195:GG195)=1,1,0))))</f>
        <v>0</v>
      </c>
      <c r="GI195" s="8">
        <f>IF(GI$56-Voorblad!$F$41&gt;Voorblad!$K$41,0,IF($U195=0,0,IF($U195&lt;1,1/$U195,IF((GI$56-Voorblad!$F$41)/$U195-SUM($EE195:GH195)=1,1,0))))</f>
        <v>1</v>
      </c>
      <c r="GJ195" s="8">
        <f>IF(GJ$56-Voorblad!$F$41&gt;Voorblad!$K$41,0,IF($U195=0,0,IF($U195&lt;1,1/$U195,IF((GJ$56-Voorblad!$F$41)/$U195-SUM($EE195:GI195)=1,1,0))))</f>
        <v>0</v>
      </c>
      <c r="GK195" s="8">
        <f>IF(GK$56-Voorblad!$F$41&gt;Voorblad!$K$41,0,IF($U195=0,0,IF($U195&lt;1,1/$U195,IF((GK$56-Voorblad!$F$41)/$U195-SUM($EE195:GJ195)=1,1,0))))</f>
        <v>0</v>
      </c>
      <c r="GL195" s="8">
        <f>IF(GL$56-Voorblad!$F$41&gt;Voorblad!$K$41,0,IF($U195=0,0,IF($U195&lt;1,1/$U195,IF((GL$56-Voorblad!$F$41)/$U195-SUM($EE195:GK195)=1,1,0))))</f>
        <v>0</v>
      </c>
      <c r="GM195" s="8">
        <f>IF(GM$56-Voorblad!$F$41&gt;Voorblad!$K$41,0,IF($U195=0,0,IF($U195&lt;1,1/$U195,IF((GM$56-Voorblad!$F$41)/$U195-SUM($EE195:GL195)=1,1,0))))</f>
        <v>0</v>
      </c>
      <c r="GN195" s="8">
        <f>IF(GN$56-Voorblad!$F$41&gt;Voorblad!$K$41,0,IF($U195=0,0,IF($U195&lt;1,1/$U195,IF((GN$56-Voorblad!$F$41)/$U195-SUM($EE195:GM195)=1,1,0))))</f>
        <v>1</v>
      </c>
      <c r="GO195" s="8">
        <f>IF(GO$56-Voorblad!$F$41&gt;Voorblad!$K$41,0,IF($U195=0,0,IF($U195&lt;1,1/$U195,IF((GO$56-Voorblad!$F$41)/$U195-SUM($EE195:GN195)=1,1,0))))</f>
        <v>0</v>
      </c>
      <c r="GP195" s="8">
        <f>IF(GP$56-Voorblad!$F$41&gt;Voorblad!$K$41,0,IF($U195=0,0,IF($U195&lt;1,1/$U195,IF((GP$56-Voorblad!$F$41)/$U195-SUM($EE195:GO195)=1,1,0))))</f>
        <v>0</v>
      </c>
      <c r="GQ195" s="8">
        <f>IF(GQ$56-Voorblad!$F$41&gt;Voorblad!$K$41,0,IF($U195=0,0,IF($U195&lt;1,1/$U195,IF((GQ$56-Voorblad!$F$41)/$U195-SUM($EE195:GP195)=1,1,0))))</f>
        <v>0</v>
      </c>
      <c r="GR195" s="8">
        <f>IF(GR$56-Voorblad!$F$41&gt;Voorblad!$K$41,0,IF($U195=0,0,IF($U195&lt;1,1/$U195,IF((GR$56-Voorblad!$F$41)/$U195-SUM($EE195:GQ195)=1,1,0))))</f>
        <v>0</v>
      </c>
      <c r="GS195" s="8">
        <f>IF(GS$56-Voorblad!$F$41&gt;Voorblad!$K$41,0,IF($U195=0,0,IF($U195&lt;1,1/$U195,IF((GS$56-Voorblad!$F$41)/$U195-SUM($EE195:GR195)=1,1,0))))</f>
        <v>1</v>
      </c>
      <c r="GT195" s="8">
        <f>IF(GT$56-Voorblad!$F$41&gt;Voorblad!$K$41,0,IF($U195=0,0,IF($U195&lt;1,1/$U195,IF((GT$56-Voorblad!$F$41)/$U195-SUM($EE195:GS195)=1,1,0))))</f>
        <v>0</v>
      </c>
      <c r="GU195" s="8">
        <f>IF(GU$56-Voorblad!$F$41&gt;Voorblad!$K$41,0,IF($U195=0,0,IF($U195&lt;1,1/$U195,IF((GU$56-Voorblad!$F$41)/$U195-SUM($EE195:GT195)=1,1,0))))</f>
        <v>0</v>
      </c>
      <c r="GV195" s="8">
        <f>IF(GV$56-Voorblad!$F$41&gt;Voorblad!$K$41,0,IF($U195=0,0,IF($U195&lt;1,1/$U195,IF((GV$56-Voorblad!$F$41)/$U195-SUM($EE195:GU195)=1,1,0))))</f>
        <v>0</v>
      </c>
      <c r="GW195" s="8">
        <f>IF(GW$56-Voorblad!$F$41&gt;Voorblad!$K$41,0,IF($U195=0,0,IF($U195&lt;1,1/$U195,IF((GW$56-Voorblad!$F$41)/$U195-SUM($EE195:GV195)=1,1,0))))</f>
        <v>0</v>
      </c>
      <c r="GX195" s="8">
        <f>IF(GX$56-Voorblad!$F$41&gt;Voorblad!$K$41,0,IF($U195=0,0,IF($U195&lt;1,1/$U195,IF((GX$56-Voorblad!$F$41)/$U195-SUM($EE195:GW195)=1,1,0))))</f>
        <v>1</v>
      </c>
      <c r="GY195" s="8">
        <f>IF(GY$56-Voorblad!$F$41&gt;Voorblad!$K$41,0,IF($U195=0,0,IF($U195&lt;1,1/$U195,IF((GY$56-Voorblad!$F$41)/$U195-SUM($EE195:GX195)=1,1,0))))</f>
        <v>0</v>
      </c>
      <c r="GZ195" s="8">
        <f>IF(GZ$56-Voorblad!$F$41&gt;Voorblad!$K$41,0,IF($U195=0,0,IF($U195&lt;1,1/$U195,IF((GZ$56-Voorblad!$F$41)/$U195-SUM($EE195:GY195)=1,1,0))))</f>
        <v>0</v>
      </c>
      <c r="HA195" s="8">
        <f>IF(HA$56-Voorblad!$F$41&gt;Voorblad!$K$41,0,IF($U195=0,0,IF($U195&lt;1,1/$U195,IF((HA$56-Voorblad!$F$41)/$U195-SUM($EE195:GZ195)=1,1,0))))</f>
        <v>0</v>
      </c>
      <c r="HB195" s="8">
        <f>IF(HB$56-Voorblad!$F$41&gt;Voorblad!$K$41,0,IF($U195=0,0,IF($U195&lt;1,1/$U195,IF((HB$56-Voorblad!$F$41)/$U195-SUM($EE195:HA195)=1,1,0))))</f>
        <v>0</v>
      </c>
      <c r="HC195" s="8">
        <f>IF(HC$56-Voorblad!$F$41&gt;Voorblad!$K$41,0,IF($U195=0,0,IF($U195&lt;1,1/$U195,IF((HC$56-Voorblad!$F$41)/$U195-SUM($EE195:HB195)=1,1,0))))</f>
        <v>0</v>
      </c>
      <c r="HD195" s="8">
        <f>IF(HD$56-Voorblad!$F$41&gt;Voorblad!$K$41,0,IF($U195=0,0,IF($U195&lt;1,1/$U195,IF((HD$56-Voorblad!$F$41)/$U195-SUM($EE195:HC195)=1,1,0))))</f>
        <v>0</v>
      </c>
      <c r="HE195" s="8">
        <f>IF(HE$56-Voorblad!$F$41&gt;Voorblad!$K$41,0,IF($U195=0,0,IF($U195&lt;1,1/$U195,IF((HE$56-Voorblad!$F$41)/$U195-SUM($EE195:HD195)=1,1,0))))</f>
        <v>0</v>
      </c>
      <c r="HF195" s="8">
        <f>IF(HF$56-Voorblad!$F$41&gt;Voorblad!$K$41,0,IF($U195=0,0,IF($U195&lt;1,1/$U195,IF((HF$56-Voorblad!$F$41)/$U195-SUM($EE195:HE195)=1,1,0))))</f>
        <v>0</v>
      </c>
      <c r="HG195" s="8">
        <f>IF(HG$56-Voorblad!$F$41&gt;Voorblad!$K$41,0,IF($U195=0,0,IF($U195&lt;1,1/$U195,IF((HG$56-Voorblad!$F$41)/$U195-SUM($EE195:HF195)=1,1,0))))</f>
        <v>0</v>
      </c>
      <c r="HH195" s="8">
        <f>IF(HH$56-Voorblad!$F$41&gt;Voorblad!$K$41,0,IF($U195=0,0,IF($U195&lt;1,1/$U195,IF((HH$56-Voorblad!$F$41)/$U195-SUM($EE195:HG195)=1,1,0))))</f>
        <v>0</v>
      </c>
      <c r="HI195" s="8">
        <f>IF(HI$56-Voorblad!$F$41&gt;Voorblad!$K$41,0,IF($U195=0,0,IF($U195&lt;1,1/$U195,IF((HI$56-Voorblad!$F$41)/$U195-SUM($EE195:HH195)=1,1,0))))</f>
        <v>0</v>
      </c>
      <c r="HJ195" s="8">
        <f>IF(HJ$56-Voorblad!$F$41&gt;Voorblad!$K$41,0,IF($U195=0,0,IF($U195&lt;1,1/$U195,IF((HJ$56-Voorblad!$F$41)/$U195-SUM($EE195:HI195)=1,1,0))))</f>
        <v>0</v>
      </c>
      <c r="HK195" s="8">
        <f>IF(HK$56-Voorblad!$F$41&gt;Voorblad!$K$41,0,IF($U195=0,0,IF($U195&lt;1,1/$U195,IF((HK$56-Voorblad!$F$41)/$U195-SUM($EE195:HJ195)=1,1,0))))</f>
        <v>0</v>
      </c>
      <c r="HL195" s="8">
        <f>IF(HL$56-Voorblad!$F$41&gt;Voorblad!$K$41,0,IF($U195=0,0,IF($U195&lt;1,1/$U195,IF((HL$56-Voorblad!$F$41)/$U195-SUM($EE195:HK195)=1,1,0))))</f>
        <v>0</v>
      </c>
      <c r="HM195" s="8">
        <f>IF(HM$56-Voorblad!$F$41&gt;Voorblad!$K$41,0,IF($U195=0,0,IF($U195&lt;1,1/$U195,IF((HM$56-Voorblad!$F$41)/$U195-SUM($EE195:HL195)=1,1,0))))</f>
        <v>0</v>
      </c>
      <c r="HN195" s="8">
        <f>IF(HN$56-Voorblad!$F$41&gt;Voorblad!$K$41,0,IF($U195=0,0,IF($U195&lt;1,1/$U195,IF((HN$56-Voorblad!$F$41)/$U195-SUM($EE195:HM195)=1,1,0))))</f>
        <v>0</v>
      </c>
      <c r="HO195" s="8">
        <f>IF(HO$56-Voorblad!$F$41&gt;Voorblad!$K$41,0,IF($U195=0,0,IF($U195&lt;1,1/$U195,IF((HO$56-Voorblad!$F$41)/$U195-SUM($EE195:HN195)=1,1,0))))</f>
        <v>0</v>
      </c>
      <c r="HP195" s="8">
        <f>IF(HP$56-Voorblad!$F$41&gt;Voorblad!$K$41,0,IF($U195=0,0,IF($U195&lt;1,1/$U195,IF((HP$56-Voorblad!$F$41)/$U195-SUM($EE195:HO195)=1,1,0))))</f>
        <v>0</v>
      </c>
      <c r="HQ195" s="8">
        <f>IF(HQ$56-Voorblad!$F$41&gt;Voorblad!$K$41,0,IF($U195=0,0,IF($U195&lt;1,1/$U195,IF((HQ$56-Voorblad!$F$41)/$U195-SUM($EE195:HP195)=1,1,0))))</f>
        <v>0</v>
      </c>
      <c r="HR195" s="8">
        <f>IF(HR$56-Voorblad!$F$41&gt;Voorblad!$K$41,0,IF($U195=0,0,IF($U195&lt;1,1/$U195,IF((HR$56-Voorblad!$F$41)/$U195-SUM($EE195:HQ195)=1,1,0))))</f>
        <v>0</v>
      </c>
      <c r="HS195" s="8">
        <f>IF(HS$56-Voorblad!$F$41&gt;Voorblad!$K$41,0,IF($U195=0,0,IF($U195&lt;1,1/$U195,IF((HS$56-Voorblad!$F$41)/$U195-SUM($EE195:HR195)=1,1,0))))</f>
        <v>0</v>
      </c>
      <c r="HT195" s="8">
        <f>IF(HT$56-Voorblad!$F$41&gt;Voorblad!$K$41,0,IF($U195=0,0,IF($U195&lt;1,1/$U195,IF((HT$56-Voorblad!$F$41)/$U195-SUM($EE195:HS195)=1,1,0))))</f>
        <v>0</v>
      </c>
      <c r="HU195" s="8">
        <f>IF(HU$56-Voorblad!$F$41&gt;Voorblad!$K$41,0,IF($U195=0,0,IF($U195&lt;1,1/$U195,IF((HU$56-Voorblad!$F$41)/$U195-SUM($EE195:HT195)=1,1,0))))</f>
        <v>0</v>
      </c>
      <c r="HV195" s="8">
        <f>IF(HV$56-Voorblad!$F$41&gt;Voorblad!$K$41,0,IF($U195=0,0,IF($U195&lt;1,1/$U195,IF((HV$56-Voorblad!$F$41)/$U195-SUM($EE195:HU195)=1,1,0))))</f>
        <v>0</v>
      </c>
      <c r="HW195" s="8">
        <f>IF(HW$56-Voorblad!$F$41&gt;Voorblad!$K$41,0,IF($U195=0,0,IF($U195&lt;1,1/$U195,IF((HW$56-Voorblad!$F$41)/$U195-SUM($EE195:HV195)=1,1,0))))</f>
        <v>0</v>
      </c>
      <c r="HX195" s="8">
        <f>IF(HX$56-Voorblad!$F$41&gt;Voorblad!$K$41,0,IF($U195=0,0,IF($U195&lt;1,1/$U195,IF((HX$56-Voorblad!$F$41)/$U195-SUM($EE195:HW195)=1,1,0))))</f>
        <v>0</v>
      </c>
      <c r="HY195" s="8">
        <f>IF(HY$56-Voorblad!$F$41&gt;Voorblad!$K$41,0,IF($U195=0,0,IF($U195&lt;1,1/$U195,IF((HY$56-Voorblad!$F$41)/$U195-SUM($EE195:HX195)=1,1,0))))</f>
        <v>0</v>
      </c>
      <c r="HZ195" s="8">
        <f>IF(HZ$56-Voorblad!$F$41&gt;Voorblad!$K$41,0,IF($U195=0,0,IF($U195&lt;1,1/$U195,IF((HZ$56-Voorblad!$F$41)/$U195-SUM($EE195:HY195)=1,1,0))))</f>
        <v>0</v>
      </c>
      <c r="IA195" s="8">
        <f>IF(IA$56-Voorblad!$F$41&gt;Voorblad!$K$41,0,IF($U195=0,0,IF($U195&lt;1,1/$U195,IF((IA$56-Voorblad!$F$41)/$U195-SUM($EE195:HZ195)=1,1,0))))</f>
        <v>0</v>
      </c>
      <c r="IB195" s="8">
        <f>IF(IB$56-Voorblad!$F$41&gt;Voorblad!$K$41,0,IF($U195=0,0,IF($U195&lt;1,1/$U195,IF((IB$56-Voorblad!$F$41)/$U195-SUM($EE195:IA195)=1,1,0))))</f>
        <v>0</v>
      </c>
    </row>
    <row r="196" spans="2:236" ht="12" hidden="1" customHeight="1" outlineLevel="1" x14ac:dyDescent="0.25">
      <c r="B196" s="1">
        <v>3</v>
      </c>
      <c r="F196" s="1" t="s">
        <v>23</v>
      </c>
      <c r="I196" s="1" t="s">
        <v>277</v>
      </c>
      <c r="K196" s="1" t="s">
        <v>83</v>
      </c>
      <c r="O196" s="1" t="s">
        <v>134</v>
      </c>
      <c r="P196" s="1" t="s">
        <v>278</v>
      </c>
      <c r="Q196" s="84">
        <v>0</v>
      </c>
      <c r="R196" s="1" t="s">
        <v>35</v>
      </c>
      <c r="S196" s="21">
        <f>$H$20*15</f>
        <v>26.55</v>
      </c>
      <c r="T196" s="9">
        <f>Q196*S196</f>
        <v>0</v>
      </c>
      <c r="U196" s="14">
        <v>10</v>
      </c>
      <c r="V196" s="14"/>
      <c r="Y196" s="9">
        <f t="shared" si="199"/>
        <v>0</v>
      </c>
      <c r="Z196" s="82"/>
      <c r="AA196" s="82"/>
      <c r="AC196" s="9">
        <f>$Y196*(Voorblad!$K$44*(1+Voorblad!$K$44)^Voorblad!$K$41)/((1+Voorblad!$K$44)^Voorblad!$K$41-1)</f>
        <v>0</v>
      </c>
      <c r="AE196" s="9">
        <f>EF196*($Q196*$S196)/(1+Voorblad!$K$44)^(AE$56-Voorblad!$F$41)</f>
        <v>0</v>
      </c>
      <c r="AF196" s="9">
        <f>EG196*($Q196*$S196)/(1+Voorblad!$K$44)^(AF$56-Voorblad!$F$41)</f>
        <v>0</v>
      </c>
      <c r="AG196" s="9">
        <f>EH196*($Q196*$S196)/(1+Voorblad!$K$44)^(AG$56-Voorblad!$F$41)</f>
        <v>0</v>
      </c>
      <c r="AH196" s="9">
        <f>EI196*($Q196*$S196)/(1+Voorblad!$K$44)^(AH$56-Voorblad!$F$41)</f>
        <v>0</v>
      </c>
      <c r="AI196" s="9">
        <f>EJ196*($Q196*$S196)/(1+Voorblad!$K$44)^(AI$56-Voorblad!$F$41)</f>
        <v>0</v>
      </c>
      <c r="AJ196" s="9">
        <f>EK196*($Q196*$S196)/(1+Voorblad!$K$44)^(AJ$56-Voorblad!$F$41)</f>
        <v>0</v>
      </c>
      <c r="AK196" s="9">
        <f>EL196*($Q196*$S196)/(1+Voorblad!$K$44)^(AK$56-Voorblad!$F$41)</f>
        <v>0</v>
      </c>
      <c r="AL196" s="9">
        <f>EM196*($Q196*$S196)/(1+Voorblad!$K$44)^(AL$56-Voorblad!$F$41)</f>
        <v>0</v>
      </c>
      <c r="AM196" s="9">
        <f>EN196*($Q196*$S196)/(1+Voorblad!$K$44)^(AM$56-Voorblad!$F$41)</f>
        <v>0</v>
      </c>
      <c r="AN196" s="9">
        <f>EO196*($Q196*$S196)/(1+Voorblad!$K$44)^(AN$56-Voorblad!$F$41)</f>
        <v>0</v>
      </c>
      <c r="AO196" s="9">
        <f>EP196*($Q196*$S196)/(1+Voorblad!$K$44)^(AO$56-Voorblad!$F$41)</f>
        <v>0</v>
      </c>
      <c r="AP196" s="9">
        <f>EQ196*($Q196*$S196)/(1+Voorblad!$K$44)^(AP$56-Voorblad!$F$41)</f>
        <v>0</v>
      </c>
      <c r="AQ196" s="9">
        <f>ER196*($Q196*$S196)/(1+Voorblad!$K$44)^(AQ$56-Voorblad!$F$41)</f>
        <v>0</v>
      </c>
      <c r="AR196" s="9">
        <f>ES196*($Q196*$S196)/(1+Voorblad!$K$44)^(AR$56-Voorblad!$F$41)</f>
        <v>0</v>
      </c>
      <c r="AS196" s="9">
        <f>ET196*($Q196*$S196)/(1+Voorblad!$K$44)^(AS$56-Voorblad!$F$41)</f>
        <v>0</v>
      </c>
      <c r="AT196" s="9">
        <f>EU196*($Q196*$S196)/(1+Voorblad!$K$44)^(AT$56-Voorblad!$F$41)</f>
        <v>0</v>
      </c>
      <c r="AU196" s="9">
        <f>EV196*($Q196*$S196)/(1+Voorblad!$K$44)^(AU$56-Voorblad!$F$41)</f>
        <v>0</v>
      </c>
      <c r="AV196" s="9">
        <f>EW196*($Q196*$S196)/(1+Voorblad!$K$44)^(AV$56-Voorblad!$F$41)</f>
        <v>0</v>
      </c>
      <c r="AW196" s="9">
        <f>EX196*($Q196*$S196)/(1+Voorblad!$K$44)^(AW$56-Voorblad!$F$41)</f>
        <v>0</v>
      </c>
      <c r="AX196" s="9">
        <f>EY196*($Q196*$S196)/(1+Voorblad!$K$44)^(AX$56-Voorblad!$F$41)</f>
        <v>0</v>
      </c>
      <c r="AY196" s="9">
        <f>EZ196*($Q196*$S196)/(1+Voorblad!$K$44)^(AY$56-Voorblad!$F$41)</f>
        <v>0</v>
      </c>
      <c r="AZ196" s="9">
        <f>FA196*($Q196*$S196)/(1+Voorblad!$K$44)^(AZ$56-Voorblad!$F$41)</f>
        <v>0</v>
      </c>
      <c r="BA196" s="9">
        <f>FB196*($Q196*$S196)/(1+Voorblad!$K$44)^(BA$56-Voorblad!$F$41)</f>
        <v>0</v>
      </c>
      <c r="BB196" s="9">
        <f>FC196*($Q196*$S196)/(1+Voorblad!$K$44)^(BB$56-Voorblad!$F$41)</f>
        <v>0</v>
      </c>
      <c r="BC196" s="9">
        <f>FD196*($Q196*$S196)/(1+Voorblad!$K$44)^(BC$56-Voorblad!$F$41)</f>
        <v>0</v>
      </c>
      <c r="BD196" s="9">
        <f>FE196*($Q196*$S196)/(1+Voorblad!$K$44)^(BD$56-Voorblad!$F$41)</f>
        <v>0</v>
      </c>
      <c r="BE196" s="9">
        <f>FF196*($Q196*$S196)/(1+Voorblad!$K$44)^(BE$56-Voorblad!$F$41)</f>
        <v>0</v>
      </c>
      <c r="BF196" s="9">
        <f>FG196*($Q196*$S196)/(1+Voorblad!$K$44)^(BF$56-Voorblad!$F$41)</f>
        <v>0</v>
      </c>
      <c r="BG196" s="9">
        <f>FH196*($Q196*$S196)/(1+Voorblad!$K$44)^(BG$56-Voorblad!$F$41)</f>
        <v>0</v>
      </c>
      <c r="BH196" s="9">
        <f>FI196*($Q196*$S196)/(1+Voorblad!$K$44)^(BH$56-Voorblad!$F$41)</f>
        <v>0</v>
      </c>
      <c r="BI196" s="9">
        <f>FJ196*($Q196*$S196)/(1+Voorblad!$K$44)^(BI$56-Voorblad!$F$41)</f>
        <v>0</v>
      </c>
      <c r="BJ196" s="9">
        <f>FK196*($Q196*$S196)/(1+Voorblad!$K$44)^(BJ$56-Voorblad!$F$41)</f>
        <v>0</v>
      </c>
      <c r="BK196" s="9">
        <f>FL196*($Q196*$S196)/(1+Voorblad!$K$44)^(BK$56-Voorblad!$F$41)</f>
        <v>0</v>
      </c>
      <c r="BL196" s="9">
        <f>FM196*($Q196*$S196)/(1+Voorblad!$K$44)^(BL$56-Voorblad!$F$41)</f>
        <v>0</v>
      </c>
      <c r="BM196" s="9">
        <f>FN196*($Q196*$S196)/(1+Voorblad!$K$44)^(BM$56-Voorblad!$F$41)</f>
        <v>0</v>
      </c>
      <c r="BN196" s="9">
        <f>FO196*($Q196*$S196)/(1+Voorblad!$K$44)^(BN$56-Voorblad!$F$41)</f>
        <v>0</v>
      </c>
      <c r="BO196" s="9">
        <f>FP196*($Q196*$S196)/(1+Voorblad!$K$44)^(BO$56-Voorblad!$F$41)</f>
        <v>0</v>
      </c>
      <c r="BP196" s="9">
        <f>FQ196*($Q196*$S196)/(1+Voorblad!$K$44)^(BP$56-Voorblad!$F$41)</f>
        <v>0</v>
      </c>
      <c r="BQ196" s="9">
        <f>FR196*($Q196*$S196)/(1+Voorblad!$K$44)^(BQ$56-Voorblad!$F$41)</f>
        <v>0</v>
      </c>
      <c r="BR196" s="9">
        <f>FS196*($Q196*$S196)/(1+Voorblad!$K$44)^(BR$56-Voorblad!$F$41)</f>
        <v>0</v>
      </c>
      <c r="BS196" s="9">
        <f>FT196*($Q196*$S196)/(1+Voorblad!$K$44)^(BS$56-Voorblad!$F$41)</f>
        <v>0</v>
      </c>
      <c r="BT196" s="9">
        <f>FU196*($Q196*$S196)/(1+Voorblad!$K$44)^(BT$56-Voorblad!$F$41)</f>
        <v>0</v>
      </c>
      <c r="BU196" s="9">
        <f>FV196*($Q196*$S196)/(1+Voorblad!$K$44)^(BU$56-Voorblad!$F$41)</f>
        <v>0</v>
      </c>
      <c r="BV196" s="9">
        <f>FW196*($Q196*$S196)/(1+Voorblad!$K$44)^(BV$56-Voorblad!$F$41)</f>
        <v>0</v>
      </c>
      <c r="BW196" s="9">
        <f>FX196*($Q196*$S196)/(1+Voorblad!$K$44)^(BW$56-Voorblad!$F$41)</f>
        <v>0</v>
      </c>
      <c r="BX196" s="9">
        <f>FY196*($Q196*$S196)/(1+Voorblad!$K$44)^(BX$56-Voorblad!$F$41)</f>
        <v>0</v>
      </c>
      <c r="BY196" s="9">
        <f>FZ196*($Q196*$S196)/(1+Voorblad!$K$44)^(BY$56-Voorblad!$F$41)</f>
        <v>0</v>
      </c>
      <c r="BZ196" s="9">
        <f>GA196*($Q196*$S196)/(1+Voorblad!$K$44)^(BZ$56-Voorblad!$F$41)</f>
        <v>0</v>
      </c>
      <c r="CA196" s="9">
        <f>GB196*($Q196*$S196)/(1+Voorblad!$K$44)^(CA$56-Voorblad!$F$41)</f>
        <v>0</v>
      </c>
      <c r="CB196" s="9">
        <f>GC196*($Q196*$S196)/(1+Voorblad!$K$44)^(CB$56-Voorblad!$F$41)</f>
        <v>0</v>
      </c>
      <c r="CC196" s="9">
        <f>GD196*($Q196*$S196)/(1+Voorblad!$K$44)^(CC$56-Voorblad!$F$41)</f>
        <v>0</v>
      </c>
      <c r="CD196" s="9">
        <f>GE196*($Q196*$S196)/(1+Voorblad!$K$44)^(CD$56-Voorblad!$F$41)</f>
        <v>0</v>
      </c>
      <c r="CE196" s="9">
        <f>GF196*($Q196*$S196)/(1+Voorblad!$K$44)^(CE$56-Voorblad!$F$41)</f>
        <v>0</v>
      </c>
      <c r="CF196" s="9">
        <f>GG196*($Q196*$S196)/(1+Voorblad!$K$44)^(CF$56-Voorblad!$F$41)</f>
        <v>0</v>
      </c>
      <c r="CG196" s="9">
        <f>GH196*($Q196*$S196)/(1+Voorblad!$K$44)^(CG$56-Voorblad!$F$41)</f>
        <v>0</v>
      </c>
      <c r="CH196" s="9">
        <f>GI196*($Q196*$S196)/(1+Voorblad!$K$44)^(CH$56-Voorblad!$F$41)</f>
        <v>0</v>
      </c>
      <c r="CI196" s="9">
        <f>GJ196*($Q196*$S196)/(1+Voorblad!$K$44)^(CI$56-Voorblad!$F$41)</f>
        <v>0</v>
      </c>
      <c r="CJ196" s="9">
        <f>GK196*($Q196*$S196)/(1+Voorblad!$K$44)^(CJ$56-Voorblad!$F$41)</f>
        <v>0</v>
      </c>
      <c r="CK196" s="9">
        <f>GL196*($Q196*$S196)/(1+Voorblad!$K$44)^(CK$56-Voorblad!$F$41)</f>
        <v>0</v>
      </c>
      <c r="CL196" s="9">
        <f>GM196*($Q196*$S196)/(1+Voorblad!$K$44)^(CL$56-Voorblad!$F$41)</f>
        <v>0</v>
      </c>
      <c r="CM196" s="9">
        <f>GN196*($Q196*$S196)/(1+Voorblad!$K$44)^(CM$56-Voorblad!$F$41)</f>
        <v>0</v>
      </c>
      <c r="CN196" s="9">
        <f>GO196*($Q196*$S196)/(1+Voorblad!$K$44)^(CN$56-Voorblad!$F$41)</f>
        <v>0</v>
      </c>
      <c r="CO196" s="9">
        <f>GP196*($Q196*$S196)/(1+Voorblad!$K$44)^(CO$56-Voorblad!$F$41)</f>
        <v>0</v>
      </c>
      <c r="CP196" s="9">
        <f>GQ196*($Q196*$S196)/(1+Voorblad!$K$44)^(CP$56-Voorblad!$F$41)</f>
        <v>0</v>
      </c>
      <c r="CQ196" s="9">
        <f>GR196*($Q196*$S196)/(1+Voorblad!$K$44)^(CQ$56-Voorblad!$F$41)</f>
        <v>0</v>
      </c>
      <c r="CR196" s="9">
        <f>GS196*($Q196*$S196)/(1+Voorblad!$K$44)^(CR$56-Voorblad!$F$41)</f>
        <v>0</v>
      </c>
      <c r="CS196" s="9">
        <f>GT196*($Q196*$S196)/(1+Voorblad!$K$44)^(CS$56-Voorblad!$F$41)</f>
        <v>0</v>
      </c>
      <c r="CT196" s="9">
        <f>GU196*($Q196*$S196)/(1+Voorblad!$K$44)^(CT$56-Voorblad!$F$41)</f>
        <v>0</v>
      </c>
      <c r="CU196" s="9">
        <f>GV196*($Q196*$S196)/(1+Voorblad!$K$44)^(CU$56-Voorblad!$F$41)</f>
        <v>0</v>
      </c>
      <c r="CV196" s="9">
        <f>GW196*($Q196*$S196)/(1+Voorblad!$K$44)^(CV$56-Voorblad!$F$41)</f>
        <v>0</v>
      </c>
      <c r="CW196" s="9">
        <f>GX196*($Q196*$S196)/(1+Voorblad!$K$44)^(CW$56-Voorblad!$F$41)</f>
        <v>0</v>
      </c>
      <c r="CX196" s="9">
        <f>GY196*($Q196*$S196)/(1+Voorblad!$K$44)^(CX$56-Voorblad!$F$41)</f>
        <v>0</v>
      </c>
      <c r="CY196" s="9">
        <f>GZ196*($Q196*$S196)/(1+Voorblad!$K$44)^(CY$56-Voorblad!$F$41)</f>
        <v>0</v>
      </c>
      <c r="CZ196" s="9">
        <f>HA196*($Q196*$S196)/(1+Voorblad!$K$44)^(CZ$56-Voorblad!$F$41)</f>
        <v>0</v>
      </c>
      <c r="DA196" s="9">
        <f>HB196*($Q196*$S196)/(1+Voorblad!$K$44)^(DA$56-Voorblad!$F$41)</f>
        <v>0</v>
      </c>
      <c r="DB196" s="9">
        <f>HC196*($Q196*$S196)/(1+Voorblad!$K$44)^(DB$56-Voorblad!$F$41)</f>
        <v>0</v>
      </c>
      <c r="DC196" s="9">
        <f>HD196*($Q196*$S196)/(1+Voorblad!$K$44)^(DC$56-Voorblad!$F$41)</f>
        <v>0</v>
      </c>
      <c r="DD196" s="9">
        <f>HE196*($Q196*$S196)/(1+Voorblad!$K$44)^(DD$56-Voorblad!$F$41)</f>
        <v>0</v>
      </c>
      <c r="DE196" s="9">
        <f>HF196*($Q196*$S196)/(1+Voorblad!$K$44)^(DE$56-Voorblad!$F$41)</f>
        <v>0</v>
      </c>
      <c r="DF196" s="9">
        <f>HG196*($Q196*$S196)/(1+Voorblad!$K$44)^(DF$56-Voorblad!$F$41)</f>
        <v>0</v>
      </c>
      <c r="DG196" s="9">
        <f>HH196*($Q196*$S196)/(1+Voorblad!$K$44)^(DG$56-Voorblad!$F$41)</f>
        <v>0</v>
      </c>
      <c r="DH196" s="9">
        <f>HI196*($Q196*$S196)/(1+Voorblad!$K$44)^(DH$56-Voorblad!$F$41)</f>
        <v>0</v>
      </c>
      <c r="DI196" s="9">
        <f>HJ196*($Q196*$S196)/(1+Voorblad!$K$44)^(DI$56-Voorblad!$F$41)</f>
        <v>0</v>
      </c>
      <c r="DJ196" s="9">
        <f>HK196*($Q196*$S196)/(1+Voorblad!$K$44)^(DJ$56-Voorblad!$F$41)</f>
        <v>0</v>
      </c>
      <c r="DK196" s="9">
        <f>HL196*($Q196*$S196)/(1+Voorblad!$K$44)^(DK$56-Voorblad!$F$41)</f>
        <v>0</v>
      </c>
      <c r="DL196" s="9">
        <f>HM196*($Q196*$S196)/(1+Voorblad!$K$44)^(DL$56-Voorblad!$F$41)</f>
        <v>0</v>
      </c>
      <c r="DM196" s="9">
        <f>HN196*($Q196*$S196)/(1+Voorblad!$K$44)^(DM$56-Voorblad!$F$41)</f>
        <v>0</v>
      </c>
      <c r="DN196" s="9">
        <f>HO196*($Q196*$S196)/(1+Voorblad!$K$44)^(DN$56-Voorblad!$F$41)</f>
        <v>0</v>
      </c>
      <c r="DO196" s="9">
        <f>HP196*($Q196*$S196)/(1+Voorblad!$K$44)^(DO$56-Voorblad!$F$41)</f>
        <v>0</v>
      </c>
      <c r="DP196" s="9">
        <f>HQ196*($Q196*$S196)/(1+Voorblad!$K$44)^(DP$56-Voorblad!$F$41)</f>
        <v>0</v>
      </c>
      <c r="DQ196" s="9">
        <f>HR196*($Q196*$S196)/(1+Voorblad!$K$44)^(DQ$56-Voorblad!$F$41)</f>
        <v>0</v>
      </c>
      <c r="DR196" s="9">
        <f>HS196*($Q196*$S196)/(1+Voorblad!$K$44)^(DR$56-Voorblad!$F$41)</f>
        <v>0</v>
      </c>
      <c r="DS196" s="9">
        <f>HT196*($Q196*$S196)/(1+Voorblad!$K$44)^(DS$56-Voorblad!$F$41)</f>
        <v>0</v>
      </c>
      <c r="DT196" s="9">
        <f>HU196*($Q196*$S196)/(1+Voorblad!$K$44)^(DT$56-Voorblad!$F$41)</f>
        <v>0</v>
      </c>
      <c r="DU196" s="9">
        <f>HV196*($Q196*$S196)/(1+Voorblad!$K$44)^(DU$56-Voorblad!$F$41)</f>
        <v>0</v>
      </c>
      <c r="DV196" s="9">
        <f>HW196*($Q196*$S196)/(1+Voorblad!$K$44)^(DV$56-Voorblad!$F$41)</f>
        <v>0</v>
      </c>
      <c r="DW196" s="9">
        <f>HX196*($Q196*$S196)/(1+Voorblad!$K$44)^(DW$56-Voorblad!$F$41)</f>
        <v>0</v>
      </c>
      <c r="DX196" s="9">
        <f>HY196*($Q196*$S196)/(1+Voorblad!$K$44)^(DX$56-Voorblad!$F$41)</f>
        <v>0</v>
      </c>
      <c r="DY196" s="9">
        <f>HZ196*($Q196*$S196)/(1+Voorblad!$K$44)^(DY$56-Voorblad!$F$41)</f>
        <v>0</v>
      </c>
      <c r="DZ196" s="9">
        <f>IA196*($Q196*$S196)/(1+Voorblad!$K$44)^(DZ$56-Voorblad!$F$41)</f>
        <v>0</v>
      </c>
      <c r="EA196" s="9">
        <f>IB196*($Q196*$S196)/(1+Voorblad!$K$44)^(EA$56-Voorblad!$F$41)</f>
        <v>0</v>
      </c>
      <c r="EB196" s="9">
        <f>IC196*($Q196*$S196)/(1+Voorblad!$K$44)^(EB$56-Voorblad!$F$41)</f>
        <v>0</v>
      </c>
      <c r="EE196" s="8">
        <v>0</v>
      </c>
      <c r="EF196" s="8">
        <f>IF(EF$56-Voorblad!$F$41&gt;Voorblad!$K$41,0,IF($U196=0,0,IF($U196&lt;1,1/$U196,IF((EF$56-Voorblad!$F$41)/$U196-SUM($EE196:EE196)=1,1,0))))</f>
        <v>0</v>
      </c>
      <c r="EG196" s="8">
        <f>IF(EG$56-Voorblad!$F$41&gt;Voorblad!$K$41,0,IF($U196=0,0,IF($U196&lt;1,1/$U196,IF((EG$56-Voorblad!$F$41)/$U196-SUM($EE196:EF196)=1,1,0))))</f>
        <v>0</v>
      </c>
      <c r="EH196" s="8">
        <f>IF(EH$56-Voorblad!$F$41&gt;Voorblad!$K$41,0,IF($U196=0,0,IF($U196&lt;1,1/$U196,IF((EH$56-Voorblad!$F$41)/$U196-SUM($EE196:EG196)=1,1,0))))</f>
        <v>0</v>
      </c>
      <c r="EI196" s="8">
        <f>IF(EI$56-Voorblad!$F$41&gt;Voorblad!$K$41,0,IF($U196=0,0,IF($U196&lt;1,1/$U196,IF((EI$56-Voorblad!$F$41)/$U196-SUM($EE196:EH196)=1,1,0))))</f>
        <v>0</v>
      </c>
      <c r="EJ196" s="8">
        <f>IF(EJ$56-Voorblad!$F$41&gt;Voorblad!$K$41,0,IF($U196=0,0,IF($U196&lt;1,1/$U196,IF((EJ$56-Voorblad!$F$41)/$U196-SUM($EE196:EI196)=1,1,0))))</f>
        <v>0</v>
      </c>
      <c r="EK196" s="8">
        <f>IF(EK$56-Voorblad!$F$41&gt;Voorblad!$K$41,0,IF($U196=0,0,IF($U196&lt;1,1/$U196,IF((EK$56-Voorblad!$F$41)/$U196-SUM($EE196:EJ196)=1,1,0))))</f>
        <v>0</v>
      </c>
      <c r="EL196" s="8">
        <f>IF(EL$56-Voorblad!$F$41&gt;Voorblad!$K$41,0,IF($U196=0,0,IF($U196&lt;1,1/$U196,IF((EL$56-Voorblad!$F$41)/$U196-SUM($EE196:EK196)=1,1,0))))</f>
        <v>0</v>
      </c>
      <c r="EM196" s="8">
        <f>IF(EM$56-Voorblad!$F$41&gt;Voorblad!$K$41,0,IF($U196=0,0,IF($U196&lt;1,1/$U196,IF((EM$56-Voorblad!$F$41)/$U196-SUM($EE196:EL196)=1,1,0))))</f>
        <v>0</v>
      </c>
      <c r="EN196" s="8">
        <f>IF(EN$56-Voorblad!$F$41&gt;Voorblad!$K$41,0,IF($U196=0,0,IF($U196&lt;1,1/$U196,IF((EN$56-Voorblad!$F$41)/$U196-SUM($EE196:EM196)=1,1,0))))</f>
        <v>0</v>
      </c>
      <c r="EO196" s="8">
        <f>IF(EO$56-Voorblad!$F$41&gt;Voorblad!$K$41,0,IF($U196=0,0,IF($U196&lt;1,1/$U196,IF((EO$56-Voorblad!$F$41)/$U196-SUM($EE196:EN196)=1,1,0))))</f>
        <v>0</v>
      </c>
      <c r="EP196" s="8">
        <f>IF(EP$56-Voorblad!$F$41&gt;Voorblad!$K$41,0,IF($U196=0,0,IF($U196&lt;1,1/$U196,IF((EP$56-Voorblad!$F$41)/$U196-SUM($EE196:EO196)=1,1,0))))</f>
        <v>1</v>
      </c>
      <c r="EQ196" s="8">
        <f>IF(EQ$56-Voorblad!$F$41&gt;Voorblad!$K$41,0,IF($U196=0,0,IF($U196&lt;1,1/$U196,IF((EQ$56-Voorblad!$F$41)/$U196-SUM($EE196:EP196)=1,1,0))))</f>
        <v>0</v>
      </c>
      <c r="ER196" s="8">
        <f>IF(ER$56-Voorblad!$F$41&gt;Voorblad!$K$41,0,IF($U196=0,0,IF($U196&lt;1,1/$U196,IF((ER$56-Voorblad!$F$41)/$U196-SUM($EE196:EQ196)=1,1,0))))</f>
        <v>0</v>
      </c>
      <c r="ES196" s="8">
        <f>IF(ES$56-Voorblad!$F$41&gt;Voorblad!$K$41,0,IF($U196=0,0,IF($U196&lt;1,1/$U196,IF((ES$56-Voorblad!$F$41)/$U196-SUM($EE196:ER196)=1,1,0))))</f>
        <v>0</v>
      </c>
      <c r="ET196" s="8">
        <f>IF(ET$56-Voorblad!$F$41&gt;Voorblad!$K$41,0,IF($U196=0,0,IF($U196&lt;1,1/$U196,IF((ET$56-Voorblad!$F$41)/$U196-SUM($EE196:ES196)=1,1,0))))</f>
        <v>0</v>
      </c>
      <c r="EU196" s="8">
        <f>IF(EU$56-Voorblad!$F$41&gt;Voorblad!$K$41,0,IF($U196=0,0,IF($U196&lt;1,1/$U196,IF((EU$56-Voorblad!$F$41)/$U196-SUM($EE196:ET196)=1,1,0))))</f>
        <v>0</v>
      </c>
      <c r="EV196" s="8">
        <f>IF(EV$56-Voorblad!$F$41&gt;Voorblad!$K$41,0,IF($U196=0,0,IF($U196&lt;1,1/$U196,IF((EV$56-Voorblad!$F$41)/$U196-SUM($EE196:EU196)=1,1,0))))</f>
        <v>0</v>
      </c>
      <c r="EW196" s="8">
        <f>IF(EW$56-Voorblad!$F$41&gt;Voorblad!$K$41,0,IF($U196=0,0,IF($U196&lt;1,1/$U196,IF((EW$56-Voorblad!$F$41)/$U196-SUM($EE196:EV196)=1,1,0))))</f>
        <v>0</v>
      </c>
      <c r="EX196" s="8">
        <f>IF(EX$56-Voorblad!$F$41&gt;Voorblad!$K$41,0,IF($U196=0,0,IF($U196&lt;1,1/$U196,IF((EX$56-Voorblad!$F$41)/$U196-SUM($EE196:EW196)=1,1,0))))</f>
        <v>0</v>
      </c>
      <c r="EY196" s="8">
        <f>IF(EY$56-Voorblad!$F$41&gt;Voorblad!$K$41,0,IF($U196=0,0,IF($U196&lt;1,1/$U196,IF((EY$56-Voorblad!$F$41)/$U196-SUM($EE196:EX196)=1,1,0))))</f>
        <v>0</v>
      </c>
      <c r="EZ196" s="8">
        <f>IF(EZ$56-Voorblad!$F$41&gt;Voorblad!$K$41,0,IF($U196=0,0,IF($U196&lt;1,1/$U196,IF((EZ$56-Voorblad!$F$41)/$U196-SUM($EE196:EY196)=1,1,0))))</f>
        <v>1</v>
      </c>
      <c r="FA196" s="8">
        <f>IF(FA$56-Voorblad!$F$41&gt;Voorblad!$K$41,0,IF($U196=0,0,IF($U196&lt;1,1/$U196,IF((FA$56-Voorblad!$F$41)/$U196-SUM($EE196:EZ196)=1,1,0))))</f>
        <v>0</v>
      </c>
      <c r="FB196" s="8">
        <f>IF(FB$56-Voorblad!$F$41&gt;Voorblad!$K$41,0,IF($U196=0,0,IF($U196&lt;1,1/$U196,IF((FB$56-Voorblad!$F$41)/$U196-SUM($EE196:FA196)=1,1,0))))</f>
        <v>0</v>
      </c>
      <c r="FC196" s="8">
        <f>IF(FC$56-Voorblad!$F$41&gt;Voorblad!$K$41,0,IF($U196=0,0,IF($U196&lt;1,1/$U196,IF((FC$56-Voorblad!$F$41)/$U196-SUM($EE196:FB196)=1,1,0))))</f>
        <v>0</v>
      </c>
      <c r="FD196" s="8">
        <f>IF(FD$56-Voorblad!$F$41&gt;Voorblad!$K$41,0,IF($U196=0,0,IF($U196&lt;1,1/$U196,IF((FD$56-Voorblad!$F$41)/$U196-SUM($EE196:FC196)=1,1,0))))</f>
        <v>0</v>
      </c>
      <c r="FE196" s="8">
        <f>IF(FE$56-Voorblad!$F$41&gt;Voorblad!$K$41,0,IF($U196=0,0,IF($U196&lt;1,1/$U196,IF((FE$56-Voorblad!$F$41)/$U196-SUM($EE196:FD196)=1,1,0))))</f>
        <v>0</v>
      </c>
      <c r="FF196" s="8">
        <f>IF(FF$56-Voorblad!$F$41&gt;Voorblad!$K$41,0,IF($U196=0,0,IF($U196&lt;1,1/$U196,IF((FF$56-Voorblad!$F$41)/$U196-SUM($EE196:FE196)=1,1,0))))</f>
        <v>0</v>
      </c>
      <c r="FG196" s="8">
        <f>IF(FG$56-Voorblad!$F$41&gt;Voorblad!$K$41,0,IF($U196=0,0,IF($U196&lt;1,1/$U196,IF((FG$56-Voorblad!$F$41)/$U196-SUM($EE196:FF196)=1,1,0))))</f>
        <v>0</v>
      </c>
      <c r="FH196" s="8">
        <f>IF(FH$56-Voorblad!$F$41&gt;Voorblad!$K$41,0,IF($U196=0,0,IF($U196&lt;1,1/$U196,IF((FH$56-Voorblad!$F$41)/$U196-SUM($EE196:FG196)=1,1,0))))</f>
        <v>0</v>
      </c>
      <c r="FI196" s="8">
        <f>IF(FI$56-Voorblad!$F$41&gt;Voorblad!$K$41,0,IF($U196=0,0,IF($U196&lt;1,1/$U196,IF((FI$56-Voorblad!$F$41)/$U196-SUM($EE196:FH196)=1,1,0))))</f>
        <v>0</v>
      </c>
      <c r="FJ196" s="8">
        <f>IF(FJ$56-Voorblad!$F$41&gt;Voorblad!$K$41,0,IF($U196=0,0,IF($U196&lt;1,1/$U196,IF((FJ$56-Voorblad!$F$41)/$U196-SUM($EE196:FI196)=1,1,0))))</f>
        <v>1</v>
      </c>
      <c r="FK196" s="8">
        <f>IF(FK$56-Voorblad!$F$41&gt;Voorblad!$K$41,0,IF($U196=0,0,IF($U196&lt;1,1/$U196,IF((FK$56-Voorblad!$F$41)/$U196-SUM($EE196:FJ196)=1,1,0))))</f>
        <v>0</v>
      </c>
      <c r="FL196" s="8">
        <f>IF(FL$56-Voorblad!$F$41&gt;Voorblad!$K$41,0,IF($U196=0,0,IF($U196&lt;1,1/$U196,IF((FL$56-Voorblad!$F$41)/$U196-SUM($EE196:FK196)=1,1,0))))</f>
        <v>0</v>
      </c>
      <c r="FM196" s="8">
        <f>IF(FM$56-Voorblad!$F$41&gt;Voorblad!$K$41,0,IF($U196=0,0,IF($U196&lt;1,1/$U196,IF((FM$56-Voorblad!$F$41)/$U196-SUM($EE196:FL196)=1,1,0))))</f>
        <v>0</v>
      </c>
      <c r="FN196" s="8">
        <f>IF(FN$56-Voorblad!$F$41&gt;Voorblad!$K$41,0,IF($U196=0,0,IF($U196&lt;1,1/$U196,IF((FN$56-Voorblad!$F$41)/$U196-SUM($EE196:FM196)=1,1,0))))</f>
        <v>0</v>
      </c>
      <c r="FO196" s="8">
        <f>IF(FO$56-Voorblad!$F$41&gt;Voorblad!$K$41,0,IF($U196=0,0,IF($U196&lt;1,1/$U196,IF((FO$56-Voorblad!$F$41)/$U196-SUM($EE196:FN196)=1,1,0))))</f>
        <v>0</v>
      </c>
      <c r="FP196" s="8">
        <f>IF(FP$56-Voorblad!$F$41&gt;Voorblad!$K$41,0,IF($U196=0,0,IF($U196&lt;1,1/$U196,IF((FP$56-Voorblad!$F$41)/$U196-SUM($EE196:FO196)=1,1,0))))</f>
        <v>0</v>
      </c>
      <c r="FQ196" s="8">
        <f>IF(FQ$56-Voorblad!$F$41&gt;Voorblad!$K$41,0,IF($U196=0,0,IF($U196&lt;1,1/$U196,IF((FQ$56-Voorblad!$F$41)/$U196-SUM($EE196:FP196)=1,1,0))))</f>
        <v>0</v>
      </c>
      <c r="FR196" s="8">
        <f>IF(FR$56-Voorblad!$F$41&gt;Voorblad!$K$41,0,IF($U196=0,0,IF($U196&lt;1,1/$U196,IF((FR$56-Voorblad!$F$41)/$U196-SUM($EE196:FQ196)=1,1,0))))</f>
        <v>0</v>
      </c>
      <c r="FS196" s="8">
        <f>IF(FS$56-Voorblad!$F$41&gt;Voorblad!$K$41,0,IF($U196=0,0,IF($U196&lt;1,1/$U196,IF((FS$56-Voorblad!$F$41)/$U196-SUM($EE196:FR196)=1,1,0))))</f>
        <v>0</v>
      </c>
      <c r="FT196" s="8">
        <f>IF(FT$56-Voorblad!$F$41&gt;Voorblad!$K$41,0,IF($U196=0,0,IF($U196&lt;1,1/$U196,IF((FT$56-Voorblad!$F$41)/$U196-SUM($EE196:FS196)=1,1,0))))</f>
        <v>1</v>
      </c>
      <c r="FU196" s="8">
        <f>IF(FU$56-Voorblad!$F$41&gt;Voorblad!$K$41,0,IF($U196=0,0,IF($U196&lt;1,1/$U196,IF((FU$56-Voorblad!$F$41)/$U196-SUM($EE196:FT196)=1,1,0))))</f>
        <v>0</v>
      </c>
      <c r="FV196" s="8">
        <f>IF(FV$56-Voorblad!$F$41&gt;Voorblad!$K$41,0,IF($U196=0,0,IF($U196&lt;1,1/$U196,IF((FV$56-Voorblad!$F$41)/$U196-SUM($EE196:FU196)=1,1,0))))</f>
        <v>0</v>
      </c>
      <c r="FW196" s="8">
        <f>IF(FW$56-Voorblad!$F$41&gt;Voorblad!$K$41,0,IF($U196=0,0,IF($U196&lt;1,1/$U196,IF((FW$56-Voorblad!$F$41)/$U196-SUM($EE196:FV196)=1,1,0))))</f>
        <v>0</v>
      </c>
      <c r="FX196" s="8">
        <f>IF(FX$56-Voorblad!$F$41&gt;Voorblad!$K$41,0,IF($U196=0,0,IF($U196&lt;1,1/$U196,IF((FX$56-Voorblad!$F$41)/$U196-SUM($EE196:FW196)=1,1,0))))</f>
        <v>0</v>
      </c>
      <c r="FY196" s="8">
        <f>IF(FY$56-Voorblad!$F$41&gt;Voorblad!$K$41,0,IF($U196=0,0,IF($U196&lt;1,1/$U196,IF((FY$56-Voorblad!$F$41)/$U196-SUM($EE196:FX196)=1,1,0))))</f>
        <v>0</v>
      </c>
      <c r="FZ196" s="8">
        <f>IF(FZ$56-Voorblad!$F$41&gt;Voorblad!$K$41,0,IF($U196=0,0,IF($U196&lt;1,1/$U196,IF((FZ$56-Voorblad!$F$41)/$U196-SUM($EE196:FY196)=1,1,0))))</f>
        <v>0</v>
      </c>
      <c r="GA196" s="8">
        <f>IF(GA$56-Voorblad!$F$41&gt;Voorblad!$K$41,0,IF($U196=0,0,IF($U196&lt;1,1/$U196,IF((GA$56-Voorblad!$F$41)/$U196-SUM($EE196:FZ196)=1,1,0))))</f>
        <v>0</v>
      </c>
      <c r="GB196" s="8">
        <f>IF(GB$56-Voorblad!$F$41&gt;Voorblad!$K$41,0,IF($U196=0,0,IF($U196&lt;1,1/$U196,IF((GB$56-Voorblad!$F$41)/$U196-SUM($EE196:GA196)=1,1,0))))</f>
        <v>0</v>
      </c>
      <c r="GC196" s="8">
        <f>IF(GC$56-Voorblad!$F$41&gt;Voorblad!$K$41,0,IF($U196=0,0,IF($U196&lt;1,1/$U196,IF((GC$56-Voorblad!$F$41)/$U196-SUM($EE196:GB196)=1,1,0))))</f>
        <v>0</v>
      </c>
      <c r="GD196" s="8">
        <f>IF(GD$56-Voorblad!$F$41&gt;Voorblad!$K$41,0,IF($U196=0,0,IF($U196&lt;1,1/$U196,IF((GD$56-Voorblad!$F$41)/$U196-SUM($EE196:GC196)=1,1,0))))</f>
        <v>1</v>
      </c>
      <c r="GE196" s="8">
        <f>IF(GE$56-Voorblad!$F$41&gt;Voorblad!$K$41,0,IF($U196=0,0,IF($U196&lt;1,1/$U196,IF((GE$56-Voorblad!$F$41)/$U196-SUM($EE196:GD196)=1,1,0))))</f>
        <v>0</v>
      </c>
      <c r="GF196" s="8">
        <f>IF(GF$56-Voorblad!$F$41&gt;Voorblad!$K$41,0,IF($U196=0,0,IF($U196&lt;1,1/$U196,IF((GF$56-Voorblad!$F$41)/$U196-SUM($EE196:GE196)=1,1,0))))</f>
        <v>0</v>
      </c>
      <c r="GG196" s="8">
        <f>IF(GG$56-Voorblad!$F$41&gt;Voorblad!$K$41,0,IF($U196=0,0,IF($U196&lt;1,1/$U196,IF((GG$56-Voorblad!$F$41)/$U196-SUM($EE196:GF196)=1,1,0))))</f>
        <v>0</v>
      </c>
      <c r="GH196" s="8">
        <f>IF(GH$56-Voorblad!$F$41&gt;Voorblad!$K$41,0,IF($U196=0,0,IF($U196&lt;1,1/$U196,IF((GH$56-Voorblad!$F$41)/$U196-SUM($EE196:GG196)=1,1,0))))</f>
        <v>0</v>
      </c>
      <c r="GI196" s="8">
        <f>IF(GI$56-Voorblad!$F$41&gt;Voorblad!$K$41,0,IF($U196=0,0,IF($U196&lt;1,1/$U196,IF((GI$56-Voorblad!$F$41)/$U196-SUM($EE196:GH196)=1,1,0))))</f>
        <v>0</v>
      </c>
      <c r="GJ196" s="8">
        <f>IF(GJ$56-Voorblad!$F$41&gt;Voorblad!$K$41,0,IF($U196=0,0,IF($U196&lt;1,1/$U196,IF((GJ$56-Voorblad!$F$41)/$U196-SUM($EE196:GI196)=1,1,0))))</f>
        <v>0</v>
      </c>
      <c r="GK196" s="8">
        <f>IF(GK$56-Voorblad!$F$41&gt;Voorblad!$K$41,0,IF($U196=0,0,IF($U196&lt;1,1/$U196,IF((GK$56-Voorblad!$F$41)/$U196-SUM($EE196:GJ196)=1,1,0))))</f>
        <v>0</v>
      </c>
      <c r="GL196" s="8">
        <f>IF(GL$56-Voorblad!$F$41&gt;Voorblad!$K$41,0,IF($U196=0,0,IF($U196&lt;1,1/$U196,IF((GL$56-Voorblad!$F$41)/$U196-SUM($EE196:GK196)=1,1,0))))</f>
        <v>0</v>
      </c>
      <c r="GM196" s="8">
        <f>IF(GM$56-Voorblad!$F$41&gt;Voorblad!$K$41,0,IF($U196=0,0,IF($U196&lt;1,1/$U196,IF((GM$56-Voorblad!$F$41)/$U196-SUM($EE196:GL196)=1,1,0))))</f>
        <v>0</v>
      </c>
      <c r="GN196" s="8">
        <f>IF(GN$56-Voorblad!$F$41&gt;Voorblad!$K$41,0,IF($U196=0,0,IF($U196&lt;1,1/$U196,IF((GN$56-Voorblad!$F$41)/$U196-SUM($EE196:GM196)=1,1,0))))</f>
        <v>1</v>
      </c>
      <c r="GO196" s="8">
        <f>IF(GO$56-Voorblad!$F$41&gt;Voorblad!$K$41,0,IF($U196=0,0,IF($U196&lt;1,1/$U196,IF((GO$56-Voorblad!$F$41)/$U196-SUM($EE196:GN196)=1,1,0))))</f>
        <v>0</v>
      </c>
      <c r="GP196" s="8">
        <f>IF(GP$56-Voorblad!$F$41&gt;Voorblad!$K$41,0,IF($U196=0,0,IF($U196&lt;1,1/$U196,IF((GP$56-Voorblad!$F$41)/$U196-SUM($EE196:GO196)=1,1,0))))</f>
        <v>0</v>
      </c>
      <c r="GQ196" s="8">
        <f>IF(GQ$56-Voorblad!$F$41&gt;Voorblad!$K$41,0,IF($U196=0,0,IF($U196&lt;1,1/$U196,IF((GQ$56-Voorblad!$F$41)/$U196-SUM($EE196:GP196)=1,1,0))))</f>
        <v>0</v>
      </c>
      <c r="GR196" s="8">
        <f>IF(GR$56-Voorblad!$F$41&gt;Voorblad!$K$41,0,IF($U196=0,0,IF($U196&lt;1,1/$U196,IF((GR$56-Voorblad!$F$41)/$U196-SUM($EE196:GQ196)=1,1,0))))</f>
        <v>0</v>
      </c>
      <c r="GS196" s="8">
        <f>IF(GS$56-Voorblad!$F$41&gt;Voorblad!$K$41,0,IF($U196=0,0,IF($U196&lt;1,1/$U196,IF((GS$56-Voorblad!$F$41)/$U196-SUM($EE196:GR196)=1,1,0))))</f>
        <v>0</v>
      </c>
      <c r="GT196" s="8">
        <f>IF(GT$56-Voorblad!$F$41&gt;Voorblad!$K$41,0,IF($U196=0,0,IF($U196&lt;1,1/$U196,IF((GT$56-Voorblad!$F$41)/$U196-SUM($EE196:GS196)=1,1,0))))</f>
        <v>0</v>
      </c>
      <c r="GU196" s="8">
        <f>IF(GU$56-Voorblad!$F$41&gt;Voorblad!$K$41,0,IF($U196=0,0,IF($U196&lt;1,1/$U196,IF((GU$56-Voorblad!$F$41)/$U196-SUM($EE196:GT196)=1,1,0))))</f>
        <v>0</v>
      </c>
      <c r="GV196" s="8">
        <f>IF(GV$56-Voorblad!$F$41&gt;Voorblad!$K$41,0,IF($U196=0,0,IF($U196&lt;1,1/$U196,IF((GV$56-Voorblad!$F$41)/$U196-SUM($EE196:GU196)=1,1,0))))</f>
        <v>0</v>
      </c>
      <c r="GW196" s="8">
        <f>IF(GW$56-Voorblad!$F$41&gt;Voorblad!$K$41,0,IF($U196=0,0,IF($U196&lt;1,1/$U196,IF((GW$56-Voorblad!$F$41)/$U196-SUM($EE196:GV196)=1,1,0))))</f>
        <v>0</v>
      </c>
      <c r="GX196" s="8">
        <f>IF(GX$56-Voorblad!$F$41&gt;Voorblad!$K$41,0,IF($U196=0,0,IF($U196&lt;1,1/$U196,IF((GX$56-Voorblad!$F$41)/$U196-SUM($EE196:GW196)=1,1,0))))</f>
        <v>1</v>
      </c>
      <c r="GY196" s="8">
        <f>IF(GY$56-Voorblad!$F$41&gt;Voorblad!$K$41,0,IF($U196=0,0,IF($U196&lt;1,1/$U196,IF((GY$56-Voorblad!$F$41)/$U196-SUM($EE196:GX196)=1,1,0))))</f>
        <v>0</v>
      </c>
      <c r="GZ196" s="8">
        <f>IF(GZ$56-Voorblad!$F$41&gt;Voorblad!$K$41,0,IF($U196=0,0,IF($U196&lt;1,1/$U196,IF((GZ$56-Voorblad!$F$41)/$U196-SUM($EE196:GY196)=1,1,0))))</f>
        <v>0</v>
      </c>
      <c r="HA196" s="8">
        <f>IF(HA$56-Voorblad!$F$41&gt;Voorblad!$K$41,0,IF($U196=0,0,IF($U196&lt;1,1/$U196,IF((HA$56-Voorblad!$F$41)/$U196-SUM($EE196:GZ196)=1,1,0))))</f>
        <v>0</v>
      </c>
      <c r="HB196" s="8">
        <f>IF(HB$56-Voorblad!$F$41&gt;Voorblad!$K$41,0,IF($U196=0,0,IF($U196&lt;1,1/$U196,IF((HB$56-Voorblad!$F$41)/$U196-SUM($EE196:HA196)=1,1,0))))</f>
        <v>0</v>
      </c>
      <c r="HC196" s="8">
        <f>IF(HC$56-Voorblad!$F$41&gt;Voorblad!$K$41,0,IF($U196=0,0,IF($U196&lt;1,1/$U196,IF((HC$56-Voorblad!$F$41)/$U196-SUM($EE196:HB196)=1,1,0))))</f>
        <v>0</v>
      </c>
      <c r="HD196" s="8">
        <f>IF(HD$56-Voorblad!$F$41&gt;Voorblad!$K$41,0,IF($U196=0,0,IF($U196&lt;1,1/$U196,IF((HD$56-Voorblad!$F$41)/$U196-SUM($EE196:HC196)=1,1,0))))</f>
        <v>0</v>
      </c>
      <c r="HE196" s="8">
        <f>IF(HE$56-Voorblad!$F$41&gt;Voorblad!$K$41,0,IF($U196=0,0,IF($U196&lt;1,1/$U196,IF((HE$56-Voorblad!$F$41)/$U196-SUM($EE196:HD196)=1,1,0))))</f>
        <v>0</v>
      </c>
      <c r="HF196" s="8">
        <f>IF(HF$56-Voorblad!$F$41&gt;Voorblad!$K$41,0,IF($U196=0,0,IF($U196&lt;1,1/$U196,IF((HF$56-Voorblad!$F$41)/$U196-SUM($EE196:HE196)=1,1,0))))</f>
        <v>0</v>
      </c>
      <c r="HG196" s="8">
        <f>IF(HG$56-Voorblad!$F$41&gt;Voorblad!$K$41,0,IF($U196=0,0,IF($U196&lt;1,1/$U196,IF((HG$56-Voorblad!$F$41)/$U196-SUM($EE196:HF196)=1,1,0))))</f>
        <v>0</v>
      </c>
      <c r="HH196" s="8">
        <f>IF(HH$56-Voorblad!$F$41&gt;Voorblad!$K$41,0,IF($U196=0,0,IF($U196&lt;1,1/$U196,IF((HH$56-Voorblad!$F$41)/$U196-SUM($EE196:HG196)=1,1,0))))</f>
        <v>0</v>
      </c>
      <c r="HI196" s="8">
        <f>IF(HI$56-Voorblad!$F$41&gt;Voorblad!$K$41,0,IF($U196=0,0,IF($U196&lt;1,1/$U196,IF((HI$56-Voorblad!$F$41)/$U196-SUM($EE196:HH196)=1,1,0))))</f>
        <v>0</v>
      </c>
      <c r="HJ196" s="8">
        <f>IF(HJ$56-Voorblad!$F$41&gt;Voorblad!$K$41,0,IF($U196=0,0,IF($U196&lt;1,1/$U196,IF((HJ$56-Voorblad!$F$41)/$U196-SUM($EE196:HI196)=1,1,0))))</f>
        <v>0</v>
      </c>
      <c r="HK196" s="8">
        <f>IF(HK$56-Voorblad!$F$41&gt;Voorblad!$K$41,0,IF($U196=0,0,IF($U196&lt;1,1/$U196,IF((HK$56-Voorblad!$F$41)/$U196-SUM($EE196:HJ196)=1,1,0))))</f>
        <v>0</v>
      </c>
      <c r="HL196" s="8">
        <f>IF(HL$56-Voorblad!$F$41&gt;Voorblad!$K$41,0,IF($U196=0,0,IF($U196&lt;1,1/$U196,IF((HL$56-Voorblad!$F$41)/$U196-SUM($EE196:HK196)=1,1,0))))</f>
        <v>0</v>
      </c>
      <c r="HM196" s="8">
        <f>IF(HM$56-Voorblad!$F$41&gt;Voorblad!$K$41,0,IF($U196=0,0,IF($U196&lt;1,1/$U196,IF((HM$56-Voorblad!$F$41)/$U196-SUM($EE196:HL196)=1,1,0))))</f>
        <v>0</v>
      </c>
      <c r="HN196" s="8">
        <f>IF(HN$56-Voorblad!$F$41&gt;Voorblad!$K$41,0,IF($U196=0,0,IF($U196&lt;1,1/$U196,IF((HN$56-Voorblad!$F$41)/$U196-SUM($EE196:HM196)=1,1,0))))</f>
        <v>0</v>
      </c>
      <c r="HO196" s="8">
        <f>IF(HO$56-Voorblad!$F$41&gt;Voorblad!$K$41,0,IF($U196=0,0,IF($U196&lt;1,1/$U196,IF((HO$56-Voorblad!$F$41)/$U196-SUM($EE196:HN196)=1,1,0))))</f>
        <v>0</v>
      </c>
      <c r="HP196" s="8">
        <f>IF(HP$56-Voorblad!$F$41&gt;Voorblad!$K$41,0,IF($U196=0,0,IF($U196&lt;1,1/$U196,IF((HP$56-Voorblad!$F$41)/$U196-SUM($EE196:HO196)=1,1,0))))</f>
        <v>0</v>
      </c>
      <c r="HQ196" s="8">
        <f>IF(HQ$56-Voorblad!$F$41&gt;Voorblad!$K$41,0,IF($U196=0,0,IF($U196&lt;1,1/$U196,IF((HQ$56-Voorblad!$F$41)/$U196-SUM($EE196:HP196)=1,1,0))))</f>
        <v>0</v>
      </c>
      <c r="HR196" s="8">
        <f>IF(HR$56-Voorblad!$F$41&gt;Voorblad!$K$41,0,IF($U196=0,0,IF($U196&lt;1,1/$U196,IF((HR$56-Voorblad!$F$41)/$U196-SUM($EE196:HQ196)=1,1,0))))</f>
        <v>0</v>
      </c>
      <c r="HS196" s="8">
        <f>IF(HS$56-Voorblad!$F$41&gt;Voorblad!$K$41,0,IF($U196=0,0,IF($U196&lt;1,1/$U196,IF((HS$56-Voorblad!$F$41)/$U196-SUM($EE196:HR196)=1,1,0))))</f>
        <v>0</v>
      </c>
      <c r="HT196" s="8">
        <f>IF(HT$56-Voorblad!$F$41&gt;Voorblad!$K$41,0,IF($U196=0,0,IF($U196&lt;1,1/$U196,IF((HT$56-Voorblad!$F$41)/$U196-SUM($EE196:HS196)=1,1,0))))</f>
        <v>0</v>
      </c>
      <c r="HU196" s="8">
        <f>IF(HU$56-Voorblad!$F$41&gt;Voorblad!$K$41,0,IF($U196=0,0,IF($U196&lt;1,1/$U196,IF((HU$56-Voorblad!$F$41)/$U196-SUM($EE196:HT196)=1,1,0))))</f>
        <v>0</v>
      </c>
      <c r="HV196" s="8">
        <f>IF(HV$56-Voorblad!$F$41&gt;Voorblad!$K$41,0,IF($U196=0,0,IF($U196&lt;1,1/$U196,IF((HV$56-Voorblad!$F$41)/$U196-SUM($EE196:HU196)=1,1,0))))</f>
        <v>0</v>
      </c>
      <c r="HW196" s="8">
        <f>IF(HW$56-Voorblad!$F$41&gt;Voorblad!$K$41,0,IF($U196=0,0,IF($U196&lt;1,1/$U196,IF((HW$56-Voorblad!$F$41)/$U196-SUM($EE196:HV196)=1,1,0))))</f>
        <v>0</v>
      </c>
      <c r="HX196" s="8">
        <f>IF(HX$56-Voorblad!$F$41&gt;Voorblad!$K$41,0,IF($U196=0,0,IF($U196&lt;1,1/$U196,IF((HX$56-Voorblad!$F$41)/$U196-SUM($EE196:HW196)=1,1,0))))</f>
        <v>0</v>
      </c>
      <c r="HY196" s="8">
        <f>IF(HY$56-Voorblad!$F$41&gt;Voorblad!$K$41,0,IF($U196=0,0,IF($U196&lt;1,1/$U196,IF((HY$56-Voorblad!$F$41)/$U196-SUM($EE196:HX196)=1,1,0))))</f>
        <v>0</v>
      </c>
      <c r="HZ196" s="8">
        <f>IF(HZ$56-Voorblad!$F$41&gt;Voorblad!$K$41,0,IF($U196=0,0,IF($U196&lt;1,1/$U196,IF((HZ$56-Voorblad!$F$41)/$U196-SUM($EE196:HY196)=1,1,0))))</f>
        <v>0</v>
      </c>
      <c r="IA196" s="8">
        <f>IF(IA$56-Voorblad!$F$41&gt;Voorblad!$K$41,0,IF($U196=0,0,IF($U196&lt;1,1/$U196,IF((IA$56-Voorblad!$F$41)/$U196-SUM($EE196:HZ196)=1,1,0))))</f>
        <v>0</v>
      </c>
      <c r="IB196" s="8">
        <f>IF(IB$56-Voorblad!$F$41&gt;Voorblad!$K$41,0,IF($U196=0,0,IF($U196&lt;1,1/$U196,IF((IB$56-Voorblad!$F$41)/$U196-SUM($EE196:IA196)=1,1,0))))</f>
        <v>0</v>
      </c>
    </row>
    <row r="197" spans="2:236" ht="12" hidden="1" customHeight="1" outlineLevel="1" x14ac:dyDescent="0.25">
      <c r="B197" s="1">
        <v>3</v>
      </c>
      <c r="F197" s="1" t="s">
        <v>23</v>
      </c>
      <c r="I197" s="1" t="s">
        <v>277</v>
      </c>
      <c r="K197" s="1" t="s">
        <v>84</v>
      </c>
      <c r="O197" s="1" t="s">
        <v>133</v>
      </c>
      <c r="Q197" s="84">
        <v>0</v>
      </c>
      <c r="R197" s="1" t="s">
        <v>35</v>
      </c>
      <c r="S197" s="21">
        <f>$H$20*20</f>
        <v>35.4</v>
      </c>
      <c r="T197" s="1">
        <f>Q197*S197</f>
        <v>0</v>
      </c>
      <c r="U197" s="14">
        <v>10</v>
      </c>
      <c r="V197" s="14"/>
      <c r="Y197" s="9">
        <f>SUM(AE197:EB197)</f>
        <v>0</v>
      </c>
      <c r="Z197" s="82"/>
      <c r="AA197" s="82"/>
      <c r="AC197" s="9">
        <f>$Y197*(Voorblad!$K$44*(1+Voorblad!$K$44)^Voorblad!$K$41)/((1+Voorblad!$K$44)^Voorblad!$K$41-1)</f>
        <v>0</v>
      </c>
      <c r="AE197" s="9">
        <f>EF197*($Q197*$S197)/(1+Voorblad!$K$44)^(AE$56-Voorblad!$F$41)</f>
        <v>0</v>
      </c>
      <c r="AF197" s="9">
        <f>EG197*($Q197*$S197)/(1+Voorblad!$K$44)^(AF$56-Voorblad!$F$41)</f>
        <v>0</v>
      </c>
      <c r="AG197" s="9">
        <f>EH197*($Q197*$S197)/(1+Voorblad!$K$44)^(AG$56-Voorblad!$F$41)</f>
        <v>0</v>
      </c>
      <c r="AH197" s="9">
        <f>EI197*($Q197*$S197)/(1+Voorblad!$K$44)^(AH$56-Voorblad!$F$41)</f>
        <v>0</v>
      </c>
      <c r="AI197" s="9">
        <f>EJ197*($Q197*$S197)/(1+Voorblad!$K$44)^(AI$56-Voorblad!$F$41)</f>
        <v>0</v>
      </c>
      <c r="AJ197" s="9">
        <f>EK197*($Q197*$S197)/(1+Voorblad!$K$44)^(AJ$56-Voorblad!$F$41)</f>
        <v>0</v>
      </c>
      <c r="AK197" s="9">
        <f>EL197*($Q197*$S197)/(1+Voorblad!$K$44)^(AK$56-Voorblad!$F$41)</f>
        <v>0</v>
      </c>
      <c r="AL197" s="9">
        <f>EM197*($Q197*$S197)/(1+Voorblad!$K$44)^(AL$56-Voorblad!$F$41)</f>
        <v>0</v>
      </c>
      <c r="AM197" s="9">
        <f>EN197*($Q197*$S197)/(1+Voorblad!$K$44)^(AM$56-Voorblad!$F$41)</f>
        <v>0</v>
      </c>
      <c r="AN197" s="9">
        <f>EO197*($Q197*$S197)/(1+Voorblad!$K$44)^(AN$56-Voorblad!$F$41)</f>
        <v>0</v>
      </c>
      <c r="AO197" s="9">
        <f>EP197*($Q197*$S197)/(1+Voorblad!$K$44)^(AO$56-Voorblad!$F$41)</f>
        <v>0</v>
      </c>
      <c r="AP197" s="9">
        <f>EQ197*($Q197*$S197)/(1+Voorblad!$K$44)^(AP$56-Voorblad!$F$41)</f>
        <v>0</v>
      </c>
      <c r="AQ197" s="9">
        <f>ER197*($Q197*$S197)/(1+Voorblad!$K$44)^(AQ$56-Voorblad!$F$41)</f>
        <v>0</v>
      </c>
      <c r="AR197" s="9">
        <f>ES197*($Q197*$S197)/(1+Voorblad!$K$44)^(AR$56-Voorblad!$F$41)</f>
        <v>0</v>
      </c>
      <c r="AS197" s="9">
        <f>ET197*($Q197*$S197)/(1+Voorblad!$K$44)^(AS$56-Voorblad!$F$41)</f>
        <v>0</v>
      </c>
      <c r="AT197" s="9">
        <f>EU197*($Q197*$S197)/(1+Voorblad!$K$44)^(AT$56-Voorblad!$F$41)</f>
        <v>0</v>
      </c>
      <c r="AU197" s="9">
        <f>EV197*($Q197*$S197)/(1+Voorblad!$K$44)^(AU$56-Voorblad!$F$41)</f>
        <v>0</v>
      </c>
      <c r="AV197" s="9">
        <f>EW197*($Q197*$S197)/(1+Voorblad!$K$44)^(AV$56-Voorblad!$F$41)</f>
        <v>0</v>
      </c>
      <c r="AW197" s="9">
        <f>EX197*($Q197*$S197)/(1+Voorblad!$K$44)^(AW$56-Voorblad!$F$41)</f>
        <v>0</v>
      </c>
      <c r="AX197" s="9">
        <f>EY197*($Q197*$S197)/(1+Voorblad!$K$44)^(AX$56-Voorblad!$F$41)</f>
        <v>0</v>
      </c>
      <c r="AY197" s="9">
        <f>EZ197*($Q197*$S197)/(1+Voorblad!$K$44)^(AY$56-Voorblad!$F$41)</f>
        <v>0</v>
      </c>
      <c r="AZ197" s="9">
        <f>FA197*($Q197*$S197)/(1+Voorblad!$K$44)^(AZ$56-Voorblad!$F$41)</f>
        <v>0</v>
      </c>
      <c r="BA197" s="9">
        <f>FB197*($Q197*$S197)/(1+Voorblad!$K$44)^(BA$56-Voorblad!$F$41)</f>
        <v>0</v>
      </c>
      <c r="BB197" s="9">
        <f>FC197*($Q197*$S197)/(1+Voorblad!$K$44)^(BB$56-Voorblad!$F$41)</f>
        <v>0</v>
      </c>
      <c r="BC197" s="9">
        <f>FD197*($Q197*$S197)/(1+Voorblad!$K$44)^(BC$56-Voorblad!$F$41)</f>
        <v>0</v>
      </c>
      <c r="BD197" s="9">
        <f>FE197*($Q197*$S197)/(1+Voorblad!$K$44)^(BD$56-Voorblad!$F$41)</f>
        <v>0</v>
      </c>
      <c r="BE197" s="9">
        <f>FF197*($Q197*$S197)/(1+Voorblad!$K$44)^(BE$56-Voorblad!$F$41)</f>
        <v>0</v>
      </c>
      <c r="BF197" s="9">
        <f>FG197*($Q197*$S197)/(1+Voorblad!$K$44)^(BF$56-Voorblad!$F$41)</f>
        <v>0</v>
      </c>
      <c r="BG197" s="9">
        <f>FH197*($Q197*$S197)/(1+Voorblad!$K$44)^(BG$56-Voorblad!$F$41)</f>
        <v>0</v>
      </c>
      <c r="BH197" s="9">
        <f>FI197*($Q197*$S197)/(1+Voorblad!$K$44)^(BH$56-Voorblad!$F$41)</f>
        <v>0</v>
      </c>
      <c r="BI197" s="9">
        <f>FJ197*($Q197*$S197)/(1+Voorblad!$K$44)^(BI$56-Voorblad!$F$41)</f>
        <v>0</v>
      </c>
      <c r="BJ197" s="9">
        <f>FK197*($Q197*$S197)/(1+Voorblad!$K$44)^(BJ$56-Voorblad!$F$41)</f>
        <v>0</v>
      </c>
      <c r="BK197" s="9">
        <f>FL197*($Q197*$S197)/(1+Voorblad!$K$44)^(BK$56-Voorblad!$F$41)</f>
        <v>0</v>
      </c>
      <c r="BL197" s="9">
        <f>FM197*($Q197*$S197)/(1+Voorblad!$K$44)^(BL$56-Voorblad!$F$41)</f>
        <v>0</v>
      </c>
      <c r="BM197" s="9">
        <f>FN197*($Q197*$S197)/(1+Voorblad!$K$44)^(BM$56-Voorblad!$F$41)</f>
        <v>0</v>
      </c>
      <c r="BN197" s="9">
        <f>FO197*($Q197*$S197)/(1+Voorblad!$K$44)^(BN$56-Voorblad!$F$41)</f>
        <v>0</v>
      </c>
      <c r="BO197" s="9">
        <f>FP197*($Q197*$S197)/(1+Voorblad!$K$44)^(BO$56-Voorblad!$F$41)</f>
        <v>0</v>
      </c>
      <c r="BP197" s="9">
        <f>FQ197*($Q197*$S197)/(1+Voorblad!$K$44)^(BP$56-Voorblad!$F$41)</f>
        <v>0</v>
      </c>
      <c r="BQ197" s="9">
        <f>FR197*($Q197*$S197)/(1+Voorblad!$K$44)^(BQ$56-Voorblad!$F$41)</f>
        <v>0</v>
      </c>
      <c r="BR197" s="9">
        <f>FS197*($Q197*$S197)/(1+Voorblad!$K$44)^(BR$56-Voorblad!$F$41)</f>
        <v>0</v>
      </c>
      <c r="BS197" s="9">
        <f>FT197*($Q197*$S197)/(1+Voorblad!$K$44)^(BS$56-Voorblad!$F$41)</f>
        <v>0</v>
      </c>
      <c r="BT197" s="9">
        <f>FU197*($Q197*$S197)/(1+Voorblad!$K$44)^(BT$56-Voorblad!$F$41)</f>
        <v>0</v>
      </c>
      <c r="BU197" s="9">
        <f>FV197*($Q197*$S197)/(1+Voorblad!$K$44)^(BU$56-Voorblad!$F$41)</f>
        <v>0</v>
      </c>
      <c r="BV197" s="9">
        <f>FW197*($Q197*$S197)/(1+Voorblad!$K$44)^(BV$56-Voorblad!$F$41)</f>
        <v>0</v>
      </c>
      <c r="BW197" s="9">
        <f>FX197*($Q197*$S197)/(1+Voorblad!$K$44)^(BW$56-Voorblad!$F$41)</f>
        <v>0</v>
      </c>
      <c r="BX197" s="9">
        <f>FY197*($Q197*$S197)/(1+Voorblad!$K$44)^(BX$56-Voorblad!$F$41)</f>
        <v>0</v>
      </c>
      <c r="BY197" s="9">
        <f>FZ197*($Q197*$S197)/(1+Voorblad!$K$44)^(BY$56-Voorblad!$F$41)</f>
        <v>0</v>
      </c>
      <c r="BZ197" s="9">
        <f>GA197*($Q197*$S197)/(1+Voorblad!$K$44)^(BZ$56-Voorblad!$F$41)</f>
        <v>0</v>
      </c>
      <c r="CA197" s="9">
        <f>GB197*($Q197*$S197)/(1+Voorblad!$K$44)^(CA$56-Voorblad!$F$41)</f>
        <v>0</v>
      </c>
      <c r="CB197" s="9">
        <f>GC197*($Q197*$S197)/(1+Voorblad!$K$44)^(CB$56-Voorblad!$F$41)</f>
        <v>0</v>
      </c>
      <c r="CC197" s="9">
        <f>GD197*($Q197*$S197)/(1+Voorblad!$K$44)^(CC$56-Voorblad!$F$41)</f>
        <v>0</v>
      </c>
      <c r="CD197" s="9">
        <f>GE197*($Q197*$S197)/(1+Voorblad!$K$44)^(CD$56-Voorblad!$F$41)</f>
        <v>0</v>
      </c>
      <c r="CE197" s="9">
        <f>GF197*($Q197*$S197)/(1+Voorblad!$K$44)^(CE$56-Voorblad!$F$41)</f>
        <v>0</v>
      </c>
      <c r="CF197" s="9">
        <f>GG197*($Q197*$S197)/(1+Voorblad!$K$44)^(CF$56-Voorblad!$F$41)</f>
        <v>0</v>
      </c>
      <c r="CG197" s="9">
        <f>GH197*($Q197*$S197)/(1+Voorblad!$K$44)^(CG$56-Voorblad!$F$41)</f>
        <v>0</v>
      </c>
      <c r="CH197" s="9">
        <f>GI197*($Q197*$S197)/(1+Voorblad!$K$44)^(CH$56-Voorblad!$F$41)</f>
        <v>0</v>
      </c>
      <c r="CI197" s="9">
        <f>GJ197*($Q197*$S197)/(1+Voorblad!$K$44)^(CI$56-Voorblad!$F$41)</f>
        <v>0</v>
      </c>
      <c r="CJ197" s="9">
        <f>GK197*($Q197*$S197)/(1+Voorblad!$K$44)^(CJ$56-Voorblad!$F$41)</f>
        <v>0</v>
      </c>
      <c r="CK197" s="9">
        <f>GL197*($Q197*$S197)/(1+Voorblad!$K$44)^(CK$56-Voorblad!$F$41)</f>
        <v>0</v>
      </c>
      <c r="CL197" s="9">
        <f>GM197*($Q197*$S197)/(1+Voorblad!$K$44)^(CL$56-Voorblad!$F$41)</f>
        <v>0</v>
      </c>
      <c r="CM197" s="9">
        <f>GN197*($Q197*$S197)/(1+Voorblad!$K$44)^(CM$56-Voorblad!$F$41)</f>
        <v>0</v>
      </c>
      <c r="CN197" s="9">
        <f>GO197*($Q197*$S197)/(1+Voorblad!$K$44)^(CN$56-Voorblad!$F$41)</f>
        <v>0</v>
      </c>
      <c r="CO197" s="9">
        <f>GP197*($Q197*$S197)/(1+Voorblad!$K$44)^(CO$56-Voorblad!$F$41)</f>
        <v>0</v>
      </c>
      <c r="CP197" s="9">
        <f>GQ197*($Q197*$S197)/(1+Voorblad!$K$44)^(CP$56-Voorblad!$F$41)</f>
        <v>0</v>
      </c>
      <c r="CQ197" s="9">
        <f>GR197*($Q197*$S197)/(1+Voorblad!$K$44)^(CQ$56-Voorblad!$F$41)</f>
        <v>0</v>
      </c>
      <c r="CR197" s="9">
        <f>GS197*($Q197*$S197)/(1+Voorblad!$K$44)^(CR$56-Voorblad!$F$41)</f>
        <v>0</v>
      </c>
      <c r="CS197" s="9">
        <f>GT197*($Q197*$S197)/(1+Voorblad!$K$44)^(CS$56-Voorblad!$F$41)</f>
        <v>0</v>
      </c>
      <c r="CT197" s="9">
        <f>GU197*($Q197*$S197)/(1+Voorblad!$K$44)^(CT$56-Voorblad!$F$41)</f>
        <v>0</v>
      </c>
      <c r="CU197" s="9">
        <f>GV197*($Q197*$S197)/(1+Voorblad!$K$44)^(CU$56-Voorblad!$F$41)</f>
        <v>0</v>
      </c>
      <c r="CV197" s="9">
        <f>GW197*($Q197*$S197)/(1+Voorblad!$K$44)^(CV$56-Voorblad!$F$41)</f>
        <v>0</v>
      </c>
      <c r="CW197" s="9">
        <f>GX197*($Q197*$S197)/(1+Voorblad!$K$44)^(CW$56-Voorblad!$F$41)</f>
        <v>0</v>
      </c>
      <c r="CX197" s="9">
        <f>GY197*($Q197*$S197)/(1+Voorblad!$K$44)^(CX$56-Voorblad!$F$41)</f>
        <v>0</v>
      </c>
      <c r="CY197" s="9">
        <f>GZ197*($Q197*$S197)/(1+Voorblad!$K$44)^(CY$56-Voorblad!$F$41)</f>
        <v>0</v>
      </c>
      <c r="CZ197" s="9">
        <f>HA197*($Q197*$S197)/(1+Voorblad!$K$44)^(CZ$56-Voorblad!$F$41)</f>
        <v>0</v>
      </c>
      <c r="DA197" s="9">
        <f>HB197*($Q197*$S197)/(1+Voorblad!$K$44)^(DA$56-Voorblad!$F$41)</f>
        <v>0</v>
      </c>
      <c r="DB197" s="9">
        <f>HC197*($Q197*$S197)/(1+Voorblad!$K$44)^(DB$56-Voorblad!$F$41)</f>
        <v>0</v>
      </c>
      <c r="DC197" s="9">
        <f>HD197*($Q197*$S197)/(1+Voorblad!$K$44)^(DC$56-Voorblad!$F$41)</f>
        <v>0</v>
      </c>
      <c r="DD197" s="9">
        <f>HE197*($Q197*$S197)/(1+Voorblad!$K$44)^(DD$56-Voorblad!$F$41)</f>
        <v>0</v>
      </c>
      <c r="DE197" s="9">
        <f>HF197*($Q197*$S197)/(1+Voorblad!$K$44)^(DE$56-Voorblad!$F$41)</f>
        <v>0</v>
      </c>
      <c r="DF197" s="9">
        <f>HG197*($Q197*$S197)/(1+Voorblad!$K$44)^(DF$56-Voorblad!$F$41)</f>
        <v>0</v>
      </c>
      <c r="DG197" s="9">
        <f>HH197*($Q197*$S197)/(1+Voorblad!$K$44)^(DG$56-Voorblad!$F$41)</f>
        <v>0</v>
      </c>
      <c r="DH197" s="9">
        <f>HI197*($Q197*$S197)/(1+Voorblad!$K$44)^(DH$56-Voorblad!$F$41)</f>
        <v>0</v>
      </c>
      <c r="DI197" s="9">
        <f>HJ197*($Q197*$S197)/(1+Voorblad!$K$44)^(DI$56-Voorblad!$F$41)</f>
        <v>0</v>
      </c>
      <c r="DJ197" s="9">
        <f>HK197*($Q197*$S197)/(1+Voorblad!$K$44)^(DJ$56-Voorblad!$F$41)</f>
        <v>0</v>
      </c>
      <c r="DK197" s="9">
        <f>HL197*($Q197*$S197)/(1+Voorblad!$K$44)^(DK$56-Voorblad!$F$41)</f>
        <v>0</v>
      </c>
      <c r="DL197" s="9">
        <f>HM197*($Q197*$S197)/(1+Voorblad!$K$44)^(DL$56-Voorblad!$F$41)</f>
        <v>0</v>
      </c>
      <c r="DM197" s="9">
        <f>HN197*($Q197*$S197)/(1+Voorblad!$K$44)^(DM$56-Voorblad!$F$41)</f>
        <v>0</v>
      </c>
      <c r="DN197" s="9">
        <f>HO197*($Q197*$S197)/(1+Voorblad!$K$44)^(DN$56-Voorblad!$F$41)</f>
        <v>0</v>
      </c>
      <c r="DO197" s="9">
        <f>HP197*($Q197*$S197)/(1+Voorblad!$K$44)^(DO$56-Voorblad!$F$41)</f>
        <v>0</v>
      </c>
      <c r="DP197" s="9">
        <f>HQ197*($Q197*$S197)/(1+Voorblad!$K$44)^(DP$56-Voorblad!$F$41)</f>
        <v>0</v>
      </c>
      <c r="DQ197" s="9">
        <f>HR197*($Q197*$S197)/(1+Voorblad!$K$44)^(DQ$56-Voorblad!$F$41)</f>
        <v>0</v>
      </c>
      <c r="DR197" s="9">
        <f>HS197*($Q197*$S197)/(1+Voorblad!$K$44)^(DR$56-Voorblad!$F$41)</f>
        <v>0</v>
      </c>
      <c r="DS197" s="9">
        <f>HT197*($Q197*$S197)/(1+Voorblad!$K$44)^(DS$56-Voorblad!$F$41)</f>
        <v>0</v>
      </c>
      <c r="DT197" s="9">
        <f>HU197*($Q197*$S197)/(1+Voorblad!$K$44)^(DT$56-Voorblad!$F$41)</f>
        <v>0</v>
      </c>
      <c r="DU197" s="9">
        <f>HV197*($Q197*$S197)/(1+Voorblad!$K$44)^(DU$56-Voorblad!$F$41)</f>
        <v>0</v>
      </c>
      <c r="DV197" s="9">
        <f>HW197*($Q197*$S197)/(1+Voorblad!$K$44)^(DV$56-Voorblad!$F$41)</f>
        <v>0</v>
      </c>
      <c r="DW197" s="9">
        <f>HX197*($Q197*$S197)/(1+Voorblad!$K$44)^(DW$56-Voorblad!$F$41)</f>
        <v>0</v>
      </c>
      <c r="DX197" s="9">
        <f>HY197*($Q197*$S197)/(1+Voorblad!$K$44)^(DX$56-Voorblad!$F$41)</f>
        <v>0</v>
      </c>
      <c r="DY197" s="9">
        <f>HZ197*($Q197*$S197)/(1+Voorblad!$K$44)^(DY$56-Voorblad!$F$41)</f>
        <v>0</v>
      </c>
      <c r="DZ197" s="9">
        <f>IA197*($Q197*$S197)/(1+Voorblad!$K$44)^(DZ$56-Voorblad!$F$41)</f>
        <v>0</v>
      </c>
      <c r="EA197" s="9">
        <f>IB197*($Q197*$S197)/(1+Voorblad!$K$44)^(EA$56-Voorblad!$F$41)</f>
        <v>0</v>
      </c>
      <c r="EB197" s="9">
        <f>IC197*($Q197*$S197)/(1+Voorblad!$K$44)^(EB$56-Voorblad!$F$41)</f>
        <v>0</v>
      </c>
      <c r="EE197" s="8">
        <v>0</v>
      </c>
      <c r="EF197" s="8">
        <f>IF(EF$56-Voorblad!$F$41&gt;Voorblad!$K$41,0,IF($U197=0,0,IF($U197&lt;1,1/$U197,IF((EF$56-Voorblad!$F$41)/$U197-SUM($EE197:EE197)=1,1,0))))</f>
        <v>0</v>
      </c>
      <c r="EG197" s="8">
        <f>IF(EG$56-Voorblad!$F$41&gt;Voorblad!$K$41,0,IF($U197=0,0,IF($U197&lt;1,1/$U197,IF((EG$56-Voorblad!$F$41)/$U197-SUM($EE197:EF197)=1,1,0))))</f>
        <v>0</v>
      </c>
      <c r="EH197" s="8">
        <f>IF(EH$56-Voorblad!$F$41&gt;Voorblad!$K$41,0,IF($U197=0,0,IF($U197&lt;1,1/$U197,IF((EH$56-Voorblad!$F$41)/$U197-SUM($EE197:EG197)=1,1,0))))</f>
        <v>0</v>
      </c>
      <c r="EI197" s="8">
        <f>IF(EI$56-Voorblad!$F$41&gt;Voorblad!$K$41,0,IF($U197=0,0,IF($U197&lt;1,1/$U197,IF((EI$56-Voorblad!$F$41)/$U197-SUM($EE197:EH197)=1,1,0))))</f>
        <v>0</v>
      </c>
      <c r="EJ197" s="8">
        <f>IF(EJ$56-Voorblad!$F$41&gt;Voorblad!$K$41,0,IF($U197=0,0,IF($U197&lt;1,1/$U197,IF((EJ$56-Voorblad!$F$41)/$U197-SUM($EE197:EI197)=1,1,0))))</f>
        <v>0</v>
      </c>
      <c r="EK197" s="8">
        <f>IF(EK$56-Voorblad!$F$41&gt;Voorblad!$K$41,0,IF($U197=0,0,IF($U197&lt;1,1/$U197,IF((EK$56-Voorblad!$F$41)/$U197-SUM($EE197:EJ197)=1,1,0))))</f>
        <v>0</v>
      </c>
      <c r="EL197" s="8">
        <f>IF(EL$56-Voorblad!$F$41&gt;Voorblad!$K$41,0,IF($U197=0,0,IF($U197&lt;1,1/$U197,IF((EL$56-Voorblad!$F$41)/$U197-SUM($EE197:EK197)=1,1,0))))</f>
        <v>0</v>
      </c>
      <c r="EM197" s="8">
        <f>IF(EM$56-Voorblad!$F$41&gt;Voorblad!$K$41,0,IF($U197=0,0,IF($U197&lt;1,1/$U197,IF((EM$56-Voorblad!$F$41)/$U197-SUM($EE197:EL197)=1,1,0))))</f>
        <v>0</v>
      </c>
      <c r="EN197" s="8">
        <f>IF(EN$56-Voorblad!$F$41&gt;Voorblad!$K$41,0,IF($U197=0,0,IF($U197&lt;1,1/$U197,IF((EN$56-Voorblad!$F$41)/$U197-SUM($EE197:EM197)=1,1,0))))</f>
        <v>0</v>
      </c>
      <c r="EO197" s="8">
        <f>IF(EO$56-Voorblad!$F$41&gt;Voorblad!$K$41,0,IF($U197=0,0,IF($U197&lt;1,1/$U197,IF((EO$56-Voorblad!$F$41)/$U197-SUM($EE197:EN197)=1,1,0))))</f>
        <v>0</v>
      </c>
      <c r="EP197" s="8">
        <f>IF(EP$56-Voorblad!$F$41&gt;Voorblad!$K$41,0,IF($U197=0,0,IF($U197&lt;1,1/$U197,IF((EP$56-Voorblad!$F$41)/$U197-SUM($EE197:EO197)=1,1,0))))</f>
        <v>1</v>
      </c>
      <c r="EQ197" s="8">
        <f>IF(EQ$56-Voorblad!$F$41&gt;Voorblad!$K$41,0,IF($U197=0,0,IF($U197&lt;1,1/$U197,IF((EQ$56-Voorblad!$F$41)/$U197-SUM($EE197:EP197)=1,1,0))))</f>
        <v>0</v>
      </c>
      <c r="ER197" s="8">
        <f>IF(ER$56-Voorblad!$F$41&gt;Voorblad!$K$41,0,IF($U197=0,0,IF($U197&lt;1,1/$U197,IF((ER$56-Voorblad!$F$41)/$U197-SUM($EE197:EQ197)=1,1,0))))</f>
        <v>0</v>
      </c>
      <c r="ES197" s="8">
        <f>IF(ES$56-Voorblad!$F$41&gt;Voorblad!$K$41,0,IF($U197=0,0,IF($U197&lt;1,1/$U197,IF((ES$56-Voorblad!$F$41)/$U197-SUM($EE197:ER197)=1,1,0))))</f>
        <v>0</v>
      </c>
      <c r="ET197" s="8">
        <f>IF(ET$56-Voorblad!$F$41&gt;Voorblad!$K$41,0,IF($U197=0,0,IF($U197&lt;1,1/$U197,IF((ET$56-Voorblad!$F$41)/$U197-SUM($EE197:ES197)=1,1,0))))</f>
        <v>0</v>
      </c>
      <c r="EU197" s="8">
        <f>IF(EU$56-Voorblad!$F$41&gt;Voorblad!$K$41,0,IF($U197=0,0,IF($U197&lt;1,1/$U197,IF((EU$56-Voorblad!$F$41)/$U197-SUM($EE197:ET197)=1,1,0))))</f>
        <v>0</v>
      </c>
      <c r="EV197" s="8">
        <f>IF(EV$56-Voorblad!$F$41&gt;Voorblad!$K$41,0,IF($U197=0,0,IF($U197&lt;1,1/$U197,IF((EV$56-Voorblad!$F$41)/$U197-SUM($EE197:EU197)=1,1,0))))</f>
        <v>0</v>
      </c>
      <c r="EW197" s="8">
        <f>IF(EW$56-Voorblad!$F$41&gt;Voorblad!$K$41,0,IF($U197=0,0,IF($U197&lt;1,1/$U197,IF((EW$56-Voorblad!$F$41)/$U197-SUM($EE197:EV197)=1,1,0))))</f>
        <v>0</v>
      </c>
      <c r="EX197" s="8">
        <f>IF(EX$56-Voorblad!$F$41&gt;Voorblad!$K$41,0,IF($U197=0,0,IF($U197&lt;1,1/$U197,IF((EX$56-Voorblad!$F$41)/$U197-SUM($EE197:EW197)=1,1,0))))</f>
        <v>0</v>
      </c>
      <c r="EY197" s="8">
        <f>IF(EY$56-Voorblad!$F$41&gt;Voorblad!$K$41,0,IF($U197=0,0,IF($U197&lt;1,1/$U197,IF((EY$56-Voorblad!$F$41)/$U197-SUM($EE197:EX197)=1,1,0))))</f>
        <v>0</v>
      </c>
      <c r="EZ197" s="8">
        <f>IF(EZ$56-Voorblad!$F$41&gt;Voorblad!$K$41,0,IF($U197=0,0,IF($U197&lt;1,1/$U197,IF((EZ$56-Voorblad!$F$41)/$U197-SUM($EE197:EY197)=1,1,0))))</f>
        <v>1</v>
      </c>
      <c r="FA197" s="8">
        <f>IF(FA$56-Voorblad!$F$41&gt;Voorblad!$K$41,0,IF($U197=0,0,IF($U197&lt;1,1/$U197,IF((FA$56-Voorblad!$F$41)/$U197-SUM($EE197:EZ197)=1,1,0))))</f>
        <v>0</v>
      </c>
      <c r="FB197" s="8">
        <f>IF(FB$56-Voorblad!$F$41&gt;Voorblad!$K$41,0,IF($U197=0,0,IF($U197&lt;1,1/$U197,IF((FB$56-Voorblad!$F$41)/$U197-SUM($EE197:FA197)=1,1,0))))</f>
        <v>0</v>
      </c>
      <c r="FC197" s="8">
        <f>IF(FC$56-Voorblad!$F$41&gt;Voorblad!$K$41,0,IF($U197=0,0,IF($U197&lt;1,1/$U197,IF((FC$56-Voorblad!$F$41)/$U197-SUM($EE197:FB197)=1,1,0))))</f>
        <v>0</v>
      </c>
      <c r="FD197" s="8">
        <f>IF(FD$56-Voorblad!$F$41&gt;Voorblad!$K$41,0,IF($U197=0,0,IF($U197&lt;1,1/$U197,IF((FD$56-Voorblad!$F$41)/$U197-SUM($EE197:FC197)=1,1,0))))</f>
        <v>0</v>
      </c>
      <c r="FE197" s="8">
        <f>IF(FE$56-Voorblad!$F$41&gt;Voorblad!$K$41,0,IF($U197=0,0,IF($U197&lt;1,1/$U197,IF((FE$56-Voorblad!$F$41)/$U197-SUM($EE197:FD197)=1,1,0))))</f>
        <v>0</v>
      </c>
      <c r="FF197" s="8">
        <f>IF(FF$56-Voorblad!$F$41&gt;Voorblad!$K$41,0,IF($U197=0,0,IF($U197&lt;1,1/$U197,IF((FF$56-Voorblad!$F$41)/$U197-SUM($EE197:FE197)=1,1,0))))</f>
        <v>0</v>
      </c>
      <c r="FG197" s="8">
        <f>IF(FG$56-Voorblad!$F$41&gt;Voorblad!$K$41,0,IF($U197=0,0,IF($U197&lt;1,1/$U197,IF((FG$56-Voorblad!$F$41)/$U197-SUM($EE197:FF197)=1,1,0))))</f>
        <v>0</v>
      </c>
      <c r="FH197" s="8">
        <f>IF(FH$56-Voorblad!$F$41&gt;Voorblad!$K$41,0,IF($U197=0,0,IF($U197&lt;1,1/$U197,IF((FH$56-Voorblad!$F$41)/$U197-SUM($EE197:FG197)=1,1,0))))</f>
        <v>0</v>
      </c>
      <c r="FI197" s="8">
        <f>IF(FI$56-Voorblad!$F$41&gt;Voorblad!$K$41,0,IF($U197=0,0,IF($U197&lt;1,1/$U197,IF((FI$56-Voorblad!$F$41)/$U197-SUM($EE197:FH197)=1,1,0))))</f>
        <v>0</v>
      </c>
      <c r="FJ197" s="8">
        <f>IF(FJ$56-Voorblad!$F$41&gt;Voorblad!$K$41,0,IF($U197=0,0,IF($U197&lt;1,1/$U197,IF((FJ$56-Voorblad!$F$41)/$U197-SUM($EE197:FI197)=1,1,0))))</f>
        <v>1</v>
      </c>
      <c r="FK197" s="8">
        <f>IF(FK$56-Voorblad!$F$41&gt;Voorblad!$K$41,0,IF($U197=0,0,IF($U197&lt;1,1/$U197,IF((FK$56-Voorblad!$F$41)/$U197-SUM($EE197:FJ197)=1,1,0))))</f>
        <v>0</v>
      </c>
      <c r="FL197" s="8">
        <f>IF(FL$56-Voorblad!$F$41&gt;Voorblad!$K$41,0,IF($U197=0,0,IF($U197&lt;1,1/$U197,IF((FL$56-Voorblad!$F$41)/$U197-SUM($EE197:FK197)=1,1,0))))</f>
        <v>0</v>
      </c>
      <c r="FM197" s="8">
        <f>IF(FM$56-Voorblad!$F$41&gt;Voorblad!$K$41,0,IF($U197=0,0,IF($U197&lt;1,1/$U197,IF((FM$56-Voorblad!$F$41)/$U197-SUM($EE197:FL197)=1,1,0))))</f>
        <v>0</v>
      </c>
      <c r="FN197" s="8">
        <f>IF(FN$56-Voorblad!$F$41&gt;Voorblad!$K$41,0,IF($U197=0,0,IF($U197&lt;1,1/$U197,IF((FN$56-Voorblad!$F$41)/$U197-SUM($EE197:FM197)=1,1,0))))</f>
        <v>0</v>
      </c>
      <c r="FO197" s="8">
        <f>IF(FO$56-Voorblad!$F$41&gt;Voorblad!$K$41,0,IF($U197=0,0,IF($U197&lt;1,1/$U197,IF((FO$56-Voorblad!$F$41)/$U197-SUM($EE197:FN197)=1,1,0))))</f>
        <v>0</v>
      </c>
      <c r="FP197" s="8">
        <f>IF(FP$56-Voorblad!$F$41&gt;Voorblad!$K$41,0,IF($U197=0,0,IF($U197&lt;1,1/$U197,IF((FP$56-Voorblad!$F$41)/$U197-SUM($EE197:FO197)=1,1,0))))</f>
        <v>0</v>
      </c>
      <c r="FQ197" s="8">
        <f>IF(FQ$56-Voorblad!$F$41&gt;Voorblad!$K$41,0,IF($U197=0,0,IF($U197&lt;1,1/$U197,IF((FQ$56-Voorblad!$F$41)/$U197-SUM($EE197:FP197)=1,1,0))))</f>
        <v>0</v>
      </c>
      <c r="FR197" s="8">
        <f>IF(FR$56-Voorblad!$F$41&gt;Voorblad!$K$41,0,IF($U197=0,0,IF($U197&lt;1,1/$U197,IF((FR$56-Voorblad!$F$41)/$U197-SUM($EE197:FQ197)=1,1,0))))</f>
        <v>0</v>
      </c>
      <c r="FS197" s="8">
        <f>IF(FS$56-Voorblad!$F$41&gt;Voorblad!$K$41,0,IF($U197=0,0,IF($U197&lt;1,1/$U197,IF((FS$56-Voorblad!$F$41)/$U197-SUM($EE197:FR197)=1,1,0))))</f>
        <v>0</v>
      </c>
      <c r="FT197" s="8">
        <f>IF(FT$56-Voorblad!$F$41&gt;Voorblad!$K$41,0,IF($U197=0,0,IF($U197&lt;1,1/$U197,IF((FT$56-Voorblad!$F$41)/$U197-SUM($EE197:FS197)=1,1,0))))</f>
        <v>1</v>
      </c>
      <c r="FU197" s="8">
        <f>IF(FU$56-Voorblad!$F$41&gt;Voorblad!$K$41,0,IF($U197=0,0,IF($U197&lt;1,1/$U197,IF((FU$56-Voorblad!$F$41)/$U197-SUM($EE197:FT197)=1,1,0))))</f>
        <v>0</v>
      </c>
      <c r="FV197" s="8">
        <f>IF(FV$56-Voorblad!$F$41&gt;Voorblad!$K$41,0,IF($U197=0,0,IF($U197&lt;1,1/$U197,IF((FV$56-Voorblad!$F$41)/$U197-SUM($EE197:FU197)=1,1,0))))</f>
        <v>0</v>
      </c>
      <c r="FW197" s="8">
        <f>IF(FW$56-Voorblad!$F$41&gt;Voorblad!$K$41,0,IF($U197=0,0,IF($U197&lt;1,1/$U197,IF((FW$56-Voorblad!$F$41)/$U197-SUM($EE197:FV197)=1,1,0))))</f>
        <v>0</v>
      </c>
      <c r="FX197" s="8">
        <f>IF(FX$56-Voorblad!$F$41&gt;Voorblad!$K$41,0,IF($U197=0,0,IF($U197&lt;1,1/$U197,IF((FX$56-Voorblad!$F$41)/$U197-SUM($EE197:FW197)=1,1,0))))</f>
        <v>0</v>
      </c>
      <c r="FY197" s="8">
        <f>IF(FY$56-Voorblad!$F$41&gt;Voorblad!$K$41,0,IF($U197=0,0,IF($U197&lt;1,1/$U197,IF((FY$56-Voorblad!$F$41)/$U197-SUM($EE197:FX197)=1,1,0))))</f>
        <v>0</v>
      </c>
      <c r="FZ197" s="8">
        <f>IF(FZ$56-Voorblad!$F$41&gt;Voorblad!$K$41,0,IF($U197=0,0,IF($U197&lt;1,1/$U197,IF((FZ$56-Voorblad!$F$41)/$U197-SUM($EE197:FY197)=1,1,0))))</f>
        <v>0</v>
      </c>
      <c r="GA197" s="8">
        <f>IF(GA$56-Voorblad!$F$41&gt;Voorblad!$K$41,0,IF($U197=0,0,IF($U197&lt;1,1/$U197,IF((GA$56-Voorblad!$F$41)/$U197-SUM($EE197:FZ197)=1,1,0))))</f>
        <v>0</v>
      </c>
      <c r="GB197" s="8">
        <f>IF(GB$56-Voorblad!$F$41&gt;Voorblad!$K$41,0,IF($U197=0,0,IF($U197&lt;1,1/$U197,IF((GB$56-Voorblad!$F$41)/$U197-SUM($EE197:GA197)=1,1,0))))</f>
        <v>0</v>
      </c>
      <c r="GC197" s="8">
        <f>IF(GC$56-Voorblad!$F$41&gt;Voorblad!$K$41,0,IF($U197=0,0,IF($U197&lt;1,1/$U197,IF((GC$56-Voorblad!$F$41)/$U197-SUM($EE197:GB197)=1,1,0))))</f>
        <v>0</v>
      </c>
      <c r="GD197" s="8">
        <f>IF(GD$56-Voorblad!$F$41&gt;Voorblad!$K$41,0,IF($U197=0,0,IF($U197&lt;1,1/$U197,IF((GD$56-Voorblad!$F$41)/$U197-SUM($EE197:GC197)=1,1,0))))</f>
        <v>1</v>
      </c>
      <c r="GE197" s="8">
        <f>IF(GE$56-Voorblad!$F$41&gt;Voorblad!$K$41,0,IF($U197=0,0,IF($U197&lt;1,1/$U197,IF((GE$56-Voorblad!$F$41)/$U197-SUM($EE197:GD197)=1,1,0))))</f>
        <v>0</v>
      </c>
      <c r="GF197" s="8">
        <f>IF(GF$56-Voorblad!$F$41&gt;Voorblad!$K$41,0,IF($U197=0,0,IF($U197&lt;1,1/$U197,IF((GF$56-Voorblad!$F$41)/$U197-SUM($EE197:GE197)=1,1,0))))</f>
        <v>0</v>
      </c>
      <c r="GG197" s="8">
        <f>IF(GG$56-Voorblad!$F$41&gt;Voorblad!$K$41,0,IF($U197=0,0,IF($U197&lt;1,1/$U197,IF((GG$56-Voorblad!$F$41)/$U197-SUM($EE197:GF197)=1,1,0))))</f>
        <v>0</v>
      </c>
      <c r="GH197" s="8">
        <f>IF(GH$56-Voorblad!$F$41&gt;Voorblad!$K$41,0,IF($U197=0,0,IF($U197&lt;1,1/$U197,IF((GH$56-Voorblad!$F$41)/$U197-SUM($EE197:GG197)=1,1,0))))</f>
        <v>0</v>
      </c>
      <c r="GI197" s="8">
        <f>IF(GI$56-Voorblad!$F$41&gt;Voorblad!$K$41,0,IF($U197=0,0,IF($U197&lt;1,1/$U197,IF((GI$56-Voorblad!$F$41)/$U197-SUM($EE197:GH197)=1,1,0))))</f>
        <v>0</v>
      </c>
      <c r="GJ197" s="8">
        <f>IF(GJ$56-Voorblad!$F$41&gt;Voorblad!$K$41,0,IF($U197=0,0,IF($U197&lt;1,1/$U197,IF((GJ$56-Voorblad!$F$41)/$U197-SUM($EE197:GI197)=1,1,0))))</f>
        <v>0</v>
      </c>
      <c r="GK197" s="8">
        <f>IF(GK$56-Voorblad!$F$41&gt;Voorblad!$K$41,0,IF($U197=0,0,IF($U197&lt;1,1/$U197,IF((GK$56-Voorblad!$F$41)/$U197-SUM($EE197:GJ197)=1,1,0))))</f>
        <v>0</v>
      </c>
      <c r="GL197" s="8">
        <f>IF(GL$56-Voorblad!$F$41&gt;Voorblad!$K$41,0,IF($U197=0,0,IF($U197&lt;1,1/$U197,IF((GL$56-Voorblad!$F$41)/$U197-SUM($EE197:GK197)=1,1,0))))</f>
        <v>0</v>
      </c>
      <c r="GM197" s="8">
        <f>IF(GM$56-Voorblad!$F$41&gt;Voorblad!$K$41,0,IF($U197=0,0,IF($U197&lt;1,1/$U197,IF((GM$56-Voorblad!$F$41)/$U197-SUM($EE197:GL197)=1,1,0))))</f>
        <v>0</v>
      </c>
      <c r="GN197" s="8">
        <f>IF(GN$56-Voorblad!$F$41&gt;Voorblad!$K$41,0,IF($U197=0,0,IF($U197&lt;1,1/$U197,IF((GN$56-Voorblad!$F$41)/$U197-SUM($EE197:GM197)=1,1,0))))</f>
        <v>1</v>
      </c>
      <c r="GO197" s="8">
        <f>IF(GO$56-Voorblad!$F$41&gt;Voorblad!$K$41,0,IF($U197=0,0,IF($U197&lt;1,1/$U197,IF((GO$56-Voorblad!$F$41)/$U197-SUM($EE197:GN197)=1,1,0))))</f>
        <v>0</v>
      </c>
      <c r="GP197" s="8">
        <f>IF(GP$56-Voorblad!$F$41&gt;Voorblad!$K$41,0,IF($U197=0,0,IF($U197&lt;1,1/$U197,IF((GP$56-Voorblad!$F$41)/$U197-SUM($EE197:GO197)=1,1,0))))</f>
        <v>0</v>
      </c>
      <c r="GQ197" s="8">
        <f>IF(GQ$56-Voorblad!$F$41&gt;Voorblad!$K$41,0,IF($U197=0,0,IF($U197&lt;1,1/$U197,IF((GQ$56-Voorblad!$F$41)/$U197-SUM($EE197:GP197)=1,1,0))))</f>
        <v>0</v>
      </c>
      <c r="GR197" s="8">
        <f>IF(GR$56-Voorblad!$F$41&gt;Voorblad!$K$41,0,IF($U197=0,0,IF($U197&lt;1,1/$U197,IF((GR$56-Voorblad!$F$41)/$U197-SUM($EE197:GQ197)=1,1,0))))</f>
        <v>0</v>
      </c>
      <c r="GS197" s="8">
        <f>IF(GS$56-Voorblad!$F$41&gt;Voorblad!$K$41,0,IF($U197=0,0,IF($U197&lt;1,1/$U197,IF((GS$56-Voorblad!$F$41)/$U197-SUM($EE197:GR197)=1,1,0))))</f>
        <v>0</v>
      </c>
      <c r="GT197" s="8">
        <f>IF(GT$56-Voorblad!$F$41&gt;Voorblad!$K$41,0,IF($U197=0,0,IF($U197&lt;1,1/$U197,IF((GT$56-Voorblad!$F$41)/$U197-SUM($EE197:GS197)=1,1,0))))</f>
        <v>0</v>
      </c>
      <c r="GU197" s="8">
        <f>IF(GU$56-Voorblad!$F$41&gt;Voorblad!$K$41,0,IF($U197=0,0,IF($U197&lt;1,1/$U197,IF((GU$56-Voorblad!$F$41)/$U197-SUM($EE197:GT197)=1,1,0))))</f>
        <v>0</v>
      </c>
      <c r="GV197" s="8">
        <f>IF(GV$56-Voorblad!$F$41&gt;Voorblad!$K$41,0,IF($U197=0,0,IF($U197&lt;1,1/$U197,IF((GV$56-Voorblad!$F$41)/$U197-SUM($EE197:GU197)=1,1,0))))</f>
        <v>0</v>
      </c>
      <c r="GW197" s="8">
        <f>IF(GW$56-Voorblad!$F$41&gt;Voorblad!$K$41,0,IF($U197=0,0,IF($U197&lt;1,1/$U197,IF((GW$56-Voorblad!$F$41)/$U197-SUM($EE197:GV197)=1,1,0))))</f>
        <v>0</v>
      </c>
      <c r="GX197" s="8">
        <f>IF(GX$56-Voorblad!$F$41&gt;Voorblad!$K$41,0,IF($U197=0,0,IF($U197&lt;1,1/$U197,IF((GX$56-Voorblad!$F$41)/$U197-SUM($EE197:GW197)=1,1,0))))</f>
        <v>1</v>
      </c>
      <c r="GY197" s="8">
        <f>IF(GY$56-Voorblad!$F$41&gt;Voorblad!$K$41,0,IF($U197=0,0,IF($U197&lt;1,1/$U197,IF((GY$56-Voorblad!$F$41)/$U197-SUM($EE197:GX197)=1,1,0))))</f>
        <v>0</v>
      </c>
      <c r="GZ197" s="8">
        <f>IF(GZ$56-Voorblad!$F$41&gt;Voorblad!$K$41,0,IF($U197=0,0,IF($U197&lt;1,1/$U197,IF((GZ$56-Voorblad!$F$41)/$U197-SUM($EE197:GY197)=1,1,0))))</f>
        <v>0</v>
      </c>
      <c r="HA197" s="8">
        <f>IF(HA$56-Voorblad!$F$41&gt;Voorblad!$K$41,0,IF($U197=0,0,IF($U197&lt;1,1/$U197,IF((HA$56-Voorblad!$F$41)/$U197-SUM($EE197:GZ197)=1,1,0))))</f>
        <v>0</v>
      </c>
      <c r="HB197" s="8">
        <f>IF(HB$56-Voorblad!$F$41&gt;Voorblad!$K$41,0,IF($U197=0,0,IF($U197&lt;1,1/$U197,IF((HB$56-Voorblad!$F$41)/$U197-SUM($EE197:HA197)=1,1,0))))</f>
        <v>0</v>
      </c>
      <c r="HC197" s="8">
        <f>IF(HC$56-Voorblad!$F$41&gt;Voorblad!$K$41,0,IF($U197=0,0,IF($U197&lt;1,1/$U197,IF((HC$56-Voorblad!$F$41)/$U197-SUM($EE197:HB197)=1,1,0))))</f>
        <v>0</v>
      </c>
      <c r="HD197" s="8">
        <f>IF(HD$56-Voorblad!$F$41&gt;Voorblad!$K$41,0,IF($U197=0,0,IF($U197&lt;1,1/$U197,IF((HD$56-Voorblad!$F$41)/$U197-SUM($EE197:HC197)=1,1,0))))</f>
        <v>0</v>
      </c>
      <c r="HE197" s="8">
        <f>IF(HE$56-Voorblad!$F$41&gt;Voorblad!$K$41,0,IF($U197=0,0,IF($U197&lt;1,1/$U197,IF((HE$56-Voorblad!$F$41)/$U197-SUM($EE197:HD197)=1,1,0))))</f>
        <v>0</v>
      </c>
      <c r="HF197" s="8">
        <f>IF(HF$56-Voorblad!$F$41&gt;Voorblad!$K$41,0,IF($U197=0,0,IF($U197&lt;1,1/$U197,IF((HF$56-Voorblad!$F$41)/$U197-SUM($EE197:HE197)=1,1,0))))</f>
        <v>0</v>
      </c>
      <c r="HG197" s="8">
        <f>IF(HG$56-Voorblad!$F$41&gt;Voorblad!$K$41,0,IF($U197=0,0,IF($U197&lt;1,1/$U197,IF((HG$56-Voorblad!$F$41)/$U197-SUM($EE197:HF197)=1,1,0))))</f>
        <v>0</v>
      </c>
      <c r="HH197" s="8">
        <f>IF(HH$56-Voorblad!$F$41&gt;Voorblad!$K$41,0,IF($U197=0,0,IF($U197&lt;1,1/$U197,IF((HH$56-Voorblad!$F$41)/$U197-SUM($EE197:HG197)=1,1,0))))</f>
        <v>0</v>
      </c>
      <c r="HI197" s="8">
        <f>IF(HI$56-Voorblad!$F$41&gt;Voorblad!$K$41,0,IF($U197=0,0,IF($U197&lt;1,1/$U197,IF((HI$56-Voorblad!$F$41)/$U197-SUM($EE197:HH197)=1,1,0))))</f>
        <v>0</v>
      </c>
      <c r="HJ197" s="8">
        <f>IF(HJ$56-Voorblad!$F$41&gt;Voorblad!$K$41,0,IF($U197=0,0,IF($U197&lt;1,1/$U197,IF((HJ$56-Voorblad!$F$41)/$U197-SUM($EE197:HI197)=1,1,0))))</f>
        <v>0</v>
      </c>
      <c r="HK197" s="8">
        <f>IF(HK$56-Voorblad!$F$41&gt;Voorblad!$K$41,0,IF($U197=0,0,IF($U197&lt;1,1/$U197,IF((HK$56-Voorblad!$F$41)/$U197-SUM($EE197:HJ197)=1,1,0))))</f>
        <v>0</v>
      </c>
      <c r="HL197" s="8">
        <f>IF(HL$56-Voorblad!$F$41&gt;Voorblad!$K$41,0,IF($U197=0,0,IF($U197&lt;1,1/$U197,IF((HL$56-Voorblad!$F$41)/$U197-SUM($EE197:HK197)=1,1,0))))</f>
        <v>0</v>
      </c>
      <c r="HM197" s="8">
        <f>IF(HM$56-Voorblad!$F$41&gt;Voorblad!$K$41,0,IF($U197=0,0,IF($U197&lt;1,1/$U197,IF((HM$56-Voorblad!$F$41)/$U197-SUM($EE197:HL197)=1,1,0))))</f>
        <v>0</v>
      </c>
      <c r="HN197" s="8">
        <f>IF(HN$56-Voorblad!$F$41&gt;Voorblad!$K$41,0,IF($U197=0,0,IF($U197&lt;1,1/$U197,IF((HN$56-Voorblad!$F$41)/$U197-SUM($EE197:HM197)=1,1,0))))</f>
        <v>0</v>
      </c>
      <c r="HO197" s="8">
        <f>IF(HO$56-Voorblad!$F$41&gt;Voorblad!$K$41,0,IF($U197=0,0,IF($U197&lt;1,1/$U197,IF((HO$56-Voorblad!$F$41)/$U197-SUM($EE197:HN197)=1,1,0))))</f>
        <v>0</v>
      </c>
      <c r="HP197" s="8">
        <f>IF(HP$56-Voorblad!$F$41&gt;Voorblad!$K$41,0,IF($U197=0,0,IF($U197&lt;1,1/$U197,IF((HP$56-Voorblad!$F$41)/$U197-SUM($EE197:HO197)=1,1,0))))</f>
        <v>0</v>
      </c>
      <c r="HQ197" s="8">
        <f>IF(HQ$56-Voorblad!$F$41&gt;Voorblad!$K$41,0,IF($U197=0,0,IF($U197&lt;1,1/$U197,IF((HQ$56-Voorblad!$F$41)/$U197-SUM($EE197:HP197)=1,1,0))))</f>
        <v>0</v>
      </c>
      <c r="HR197" s="8">
        <f>IF(HR$56-Voorblad!$F$41&gt;Voorblad!$K$41,0,IF($U197=0,0,IF($U197&lt;1,1/$U197,IF((HR$56-Voorblad!$F$41)/$U197-SUM($EE197:HQ197)=1,1,0))))</f>
        <v>0</v>
      </c>
      <c r="HS197" s="8">
        <f>IF(HS$56-Voorblad!$F$41&gt;Voorblad!$K$41,0,IF($U197=0,0,IF($U197&lt;1,1/$U197,IF((HS$56-Voorblad!$F$41)/$U197-SUM($EE197:HR197)=1,1,0))))</f>
        <v>0</v>
      </c>
      <c r="HT197" s="8">
        <f>IF(HT$56-Voorblad!$F$41&gt;Voorblad!$K$41,0,IF($U197=0,0,IF($U197&lt;1,1/$U197,IF((HT$56-Voorblad!$F$41)/$U197-SUM($EE197:HS197)=1,1,0))))</f>
        <v>0</v>
      </c>
      <c r="HU197" s="8">
        <f>IF(HU$56-Voorblad!$F$41&gt;Voorblad!$K$41,0,IF($U197=0,0,IF($U197&lt;1,1/$U197,IF((HU$56-Voorblad!$F$41)/$U197-SUM($EE197:HT197)=1,1,0))))</f>
        <v>0</v>
      </c>
      <c r="HV197" s="8">
        <f>IF(HV$56-Voorblad!$F$41&gt;Voorblad!$K$41,0,IF($U197=0,0,IF($U197&lt;1,1/$U197,IF((HV$56-Voorblad!$F$41)/$U197-SUM($EE197:HU197)=1,1,0))))</f>
        <v>0</v>
      </c>
      <c r="HW197" s="8">
        <f>IF(HW$56-Voorblad!$F$41&gt;Voorblad!$K$41,0,IF($U197=0,0,IF($U197&lt;1,1/$U197,IF((HW$56-Voorblad!$F$41)/$U197-SUM($EE197:HV197)=1,1,0))))</f>
        <v>0</v>
      </c>
      <c r="HX197" s="8">
        <f>IF(HX$56-Voorblad!$F$41&gt;Voorblad!$K$41,0,IF($U197=0,0,IF($U197&lt;1,1/$U197,IF((HX$56-Voorblad!$F$41)/$U197-SUM($EE197:HW197)=1,1,0))))</f>
        <v>0</v>
      </c>
      <c r="HY197" s="8">
        <f>IF(HY$56-Voorblad!$F$41&gt;Voorblad!$K$41,0,IF($U197=0,0,IF($U197&lt;1,1/$U197,IF((HY$56-Voorblad!$F$41)/$U197-SUM($EE197:HX197)=1,1,0))))</f>
        <v>0</v>
      </c>
      <c r="HZ197" s="8">
        <f>IF(HZ$56-Voorblad!$F$41&gt;Voorblad!$K$41,0,IF($U197=0,0,IF($U197&lt;1,1/$U197,IF((HZ$56-Voorblad!$F$41)/$U197-SUM($EE197:HY197)=1,1,0))))</f>
        <v>0</v>
      </c>
      <c r="IA197" s="8">
        <f>IF(IA$56-Voorblad!$F$41&gt;Voorblad!$K$41,0,IF($U197=0,0,IF($U197&lt;1,1/$U197,IF((IA$56-Voorblad!$F$41)/$U197-SUM($EE197:HZ197)=1,1,0))))</f>
        <v>0</v>
      </c>
      <c r="IB197" s="8">
        <f>IF(IB$56-Voorblad!$F$41&gt;Voorblad!$K$41,0,IF($U197=0,0,IF($U197&lt;1,1/$U197,IF((IB$56-Voorblad!$F$41)/$U197-SUM($EE197:IA197)=1,1,0))))</f>
        <v>0</v>
      </c>
    </row>
    <row r="198" spans="2:236" ht="12" hidden="1" customHeight="1" outlineLevel="1" x14ac:dyDescent="0.25">
      <c r="B198" s="1">
        <v>3</v>
      </c>
      <c r="F198" s="1" t="s">
        <v>23</v>
      </c>
      <c r="I198" s="1" t="s">
        <v>277</v>
      </c>
      <c r="K198" s="1" t="s">
        <v>82</v>
      </c>
      <c r="O198" s="1" t="s">
        <v>218</v>
      </c>
      <c r="P198" s="1" t="s">
        <v>174</v>
      </c>
      <c r="Q198" s="84">
        <f>2.5%*Q196</f>
        <v>0</v>
      </c>
      <c r="R198" s="1" t="s">
        <v>35</v>
      </c>
      <c r="S198" s="14">
        <f>$H$20*500</f>
        <v>885</v>
      </c>
      <c r="T198" s="9">
        <f>Q198*S198</f>
        <v>0</v>
      </c>
      <c r="U198" s="14">
        <v>15</v>
      </c>
      <c r="V198" s="14"/>
      <c r="Y198" s="9">
        <f t="shared" si="199"/>
        <v>0</v>
      </c>
      <c r="Z198" s="82"/>
      <c r="AA198" s="82"/>
      <c r="AC198" s="229">
        <f>$Y198*(Voorblad!$K$44*(1+Voorblad!$K$44)^Voorblad!$K$41)/((1+Voorblad!$K$44)^Voorblad!$K$41-1)</f>
        <v>0</v>
      </c>
      <c r="AE198" s="9">
        <f>EF198*($Q198*$S198)/(1+Voorblad!$K$44)^(AE$56-Voorblad!$F$41)</f>
        <v>0</v>
      </c>
      <c r="AF198" s="9">
        <f>EG198*($Q198*$S198)/(1+Voorblad!$K$44)^(AF$56-Voorblad!$F$41)</f>
        <v>0</v>
      </c>
      <c r="AG198" s="9">
        <f>EH198*($Q198*$S198)/(1+Voorblad!$K$44)^(AG$56-Voorblad!$F$41)</f>
        <v>0</v>
      </c>
      <c r="AH198" s="9">
        <f>EI198*($Q198*$S198)/(1+Voorblad!$K$44)^(AH$56-Voorblad!$F$41)</f>
        <v>0</v>
      </c>
      <c r="AI198" s="9">
        <f>EJ198*($Q198*$S198)/(1+Voorblad!$K$44)^(AI$56-Voorblad!$F$41)</f>
        <v>0</v>
      </c>
      <c r="AJ198" s="9">
        <f>EK198*($Q198*$S198)/(1+Voorblad!$K$44)^(AJ$56-Voorblad!$F$41)</f>
        <v>0</v>
      </c>
      <c r="AK198" s="9">
        <f>EL198*($Q198*$S198)/(1+Voorblad!$K$44)^(AK$56-Voorblad!$F$41)</f>
        <v>0</v>
      </c>
      <c r="AL198" s="9">
        <f>EM198*($Q198*$S198)/(1+Voorblad!$K$44)^(AL$56-Voorblad!$F$41)</f>
        <v>0</v>
      </c>
      <c r="AM198" s="9">
        <f>EN198*($Q198*$S198)/(1+Voorblad!$K$44)^(AM$56-Voorblad!$F$41)</f>
        <v>0</v>
      </c>
      <c r="AN198" s="9">
        <f>EO198*($Q198*$S198)/(1+Voorblad!$K$44)^(AN$56-Voorblad!$F$41)</f>
        <v>0</v>
      </c>
      <c r="AO198" s="9">
        <f>EP198*($Q198*$S198)/(1+Voorblad!$K$44)^(AO$56-Voorblad!$F$41)</f>
        <v>0</v>
      </c>
      <c r="AP198" s="9">
        <f>EQ198*($Q198*$S198)/(1+Voorblad!$K$44)^(AP$56-Voorblad!$F$41)</f>
        <v>0</v>
      </c>
      <c r="AQ198" s="9">
        <f>ER198*($Q198*$S198)/(1+Voorblad!$K$44)^(AQ$56-Voorblad!$F$41)</f>
        <v>0</v>
      </c>
      <c r="AR198" s="9">
        <f>ES198*($Q198*$S198)/(1+Voorblad!$K$44)^(AR$56-Voorblad!$F$41)</f>
        <v>0</v>
      </c>
      <c r="AS198" s="9">
        <f>ET198*($Q198*$S198)/(1+Voorblad!$K$44)^(AS$56-Voorblad!$F$41)</f>
        <v>0</v>
      </c>
      <c r="AT198" s="9">
        <f>EU198*($Q198*$S198)/(1+Voorblad!$K$44)^(AT$56-Voorblad!$F$41)</f>
        <v>0</v>
      </c>
      <c r="AU198" s="9">
        <f>EV198*($Q198*$S198)/(1+Voorblad!$K$44)^(AU$56-Voorblad!$F$41)</f>
        <v>0</v>
      </c>
      <c r="AV198" s="9">
        <f>EW198*($Q198*$S198)/(1+Voorblad!$K$44)^(AV$56-Voorblad!$F$41)</f>
        <v>0</v>
      </c>
      <c r="AW198" s="9">
        <f>EX198*($Q198*$S198)/(1+Voorblad!$K$44)^(AW$56-Voorblad!$F$41)</f>
        <v>0</v>
      </c>
      <c r="AX198" s="9">
        <f>EY198*($Q198*$S198)/(1+Voorblad!$K$44)^(AX$56-Voorblad!$F$41)</f>
        <v>0</v>
      </c>
      <c r="AY198" s="9">
        <f>EZ198*($Q198*$S198)/(1+Voorblad!$K$44)^(AY$56-Voorblad!$F$41)</f>
        <v>0</v>
      </c>
      <c r="AZ198" s="9">
        <f>FA198*($Q198*$S198)/(1+Voorblad!$K$44)^(AZ$56-Voorblad!$F$41)</f>
        <v>0</v>
      </c>
      <c r="BA198" s="9">
        <f>FB198*($Q198*$S198)/(1+Voorblad!$K$44)^(BA$56-Voorblad!$F$41)</f>
        <v>0</v>
      </c>
      <c r="BB198" s="9">
        <f>FC198*($Q198*$S198)/(1+Voorblad!$K$44)^(BB$56-Voorblad!$F$41)</f>
        <v>0</v>
      </c>
      <c r="BC198" s="9">
        <f>FD198*($Q198*$S198)/(1+Voorblad!$K$44)^(BC$56-Voorblad!$F$41)</f>
        <v>0</v>
      </c>
      <c r="BD198" s="9">
        <f>FE198*($Q198*$S198)/(1+Voorblad!$K$44)^(BD$56-Voorblad!$F$41)</f>
        <v>0</v>
      </c>
      <c r="BE198" s="9">
        <f>FF198*($Q198*$S198)/(1+Voorblad!$K$44)^(BE$56-Voorblad!$F$41)</f>
        <v>0</v>
      </c>
      <c r="BF198" s="9">
        <f>FG198*($Q198*$S198)/(1+Voorblad!$K$44)^(BF$56-Voorblad!$F$41)</f>
        <v>0</v>
      </c>
      <c r="BG198" s="9">
        <f>FH198*($Q198*$S198)/(1+Voorblad!$K$44)^(BG$56-Voorblad!$F$41)</f>
        <v>0</v>
      </c>
      <c r="BH198" s="9">
        <f>FI198*($Q198*$S198)/(1+Voorblad!$K$44)^(BH$56-Voorblad!$F$41)</f>
        <v>0</v>
      </c>
      <c r="BI198" s="9">
        <f>FJ198*($Q198*$S198)/(1+Voorblad!$K$44)^(BI$56-Voorblad!$F$41)</f>
        <v>0</v>
      </c>
      <c r="BJ198" s="9">
        <f>FK198*($Q198*$S198)/(1+Voorblad!$K$44)^(BJ$56-Voorblad!$F$41)</f>
        <v>0</v>
      </c>
      <c r="BK198" s="9">
        <f>FL198*($Q198*$S198)/(1+Voorblad!$K$44)^(BK$56-Voorblad!$F$41)</f>
        <v>0</v>
      </c>
      <c r="BL198" s="9">
        <f>FM198*($Q198*$S198)/(1+Voorblad!$K$44)^(BL$56-Voorblad!$F$41)</f>
        <v>0</v>
      </c>
      <c r="BM198" s="9">
        <f>FN198*($Q198*$S198)/(1+Voorblad!$K$44)^(BM$56-Voorblad!$F$41)</f>
        <v>0</v>
      </c>
      <c r="BN198" s="9">
        <f>FO198*($Q198*$S198)/(1+Voorblad!$K$44)^(BN$56-Voorblad!$F$41)</f>
        <v>0</v>
      </c>
      <c r="BO198" s="9">
        <f>FP198*($Q198*$S198)/(1+Voorblad!$K$44)^(BO$56-Voorblad!$F$41)</f>
        <v>0</v>
      </c>
      <c r="BP198" s="9">
        <f>FQ198*($Q198*$S198)/(1+Voorblad!$K$44)^(BP$56-Voorblad!$F$41)</f>
        <v>0</v>
      </c>
      <c r="BQ198" s="9">
        <f>FR198*($Q198*$S198)/(1+Voorblad!$K$44)^(BQ$56-Voorblad!$F$41)</f>
        <v>0</v>
      </c>
      <c r="BR198" s="9">
        <f>FS198*($Q198*$S198)/(1+Voorblad!$K$44)^(BR$56-Voorblad!$F$41)</f>
        <v>0</v>
      </c>
      <c r="BS198" s="9">
        <f>FT198*($Q198*$S198)/(1+Voorblad!$K$44)^(BS$56-Voorblad!$F$41)</f>
        <v>0</v>
      </c>
      <c r="BT198" s="9">
        <f>FU198*($Q198*$S198)/(1+Voorblad!$K$44)^(BT$56-Voorblad!$F$41)</f>
        <v>0</v>
      </c>
      <c r="BU198" s="9">
        <f>FV198*($Q198*$S198)/(1+Voorblad!$K$44)^(BU$56-Voorblad!$F$41)</f>
        <v>0</v>
      </c>
      <c r="BV198" s="9">
        <f>FW198*($Q198*$S198)/(1+Voorblad!$K$44)^(BV$56-Voorblad!$F$41)</f>
        <v>0</v>
      </c>
      <c r="BW198" s="9">
        <f>FX198*($Q198*$S198)/(1+Voorblad!$K$44)^(BW$56-Voorblad!$F$41)</f>
        <v>0</v>
      </c>
      <c r="BX198" s="9">
        <f>FY198*($Q198*$S198)/(1+Voorblad!$K$44)^(BX$56-Voorblad!$F$41)</f>
        <v>0</v>
      </c>
      <c r="BY198" s="9">
        <f>FZ198*($Q198*$S198)/(1+Voorblad!$K$44)^(BY$56-Voorblad!$F$41)</f>
        <v>0</v>
      </c>
      <c r="BZ198" s="9">
        <f>GA198*($Q198*$S198)/(1+Voorblad!$K$44)^(BZ$56-Voorblad!$F$41)</f>
        <v>0</v>
      </c>
      <c r="CA198" s="9">
        <f>GB198*($Q198*$S198)/(1+Voorblad!$K$44)^(CA$56-Voorblad!$F$41)</f>
        <v>0</v>
      </c>
      <c r="CB198" s="9">
        <f>GC198*($Q198*$S198)/(1+Voorblad!$K$44)^(CB$56-Voorblad!$F$41)</f>
        <v>0</v>
      </c>
      <c r="CC198" s="9">
        <f>GD198*($Q198*$S198)/(1+Voorblad!$K$44)^(CC$56-Voorblad!$F$41)</f>
        <v>0</v>
      </c>
      <c r="CD198" s="9">
        <f>GE198*($Q198*$S198)/(1+Voorblad!$K$44)^(CD$56-Voorblad!$F$41)</f>
        <v>0</v>
      </c>
      <c r="CE198" s="9">
        <f>GF198*($Q198*$S198)/(1+Voorblad!$K$44)^(CE$56-Voorblad!$F$41)</f>
        <v>0</v>
      </c>
      <c r="CF198" s="9">
        <f>GG198*($Q198*$S198)/(1+Voorblad!$K$44)^(CF$56-Voorblad!$F$41)</f>
        <v>0</v>
      </c>
      <c r="CG198" s="9">
        <f>GH198*($Q198*$S198)/(1+Voorblad!$K$44)^(CG$56-Voorblad!$F$41)</f>
        <v>0</v>
      </c>
      <c r="CH198" s="9">
        <f>GI198*($Q198*$S198)/(1+Voorblad!$K$44)^(CH$56-Voorblad!$F$41)</f>
        <v>0</v>
      </c>
      <c r="CI198" s="9">
        <f>GJ198*($Q198*$S198)/(1+Voorblad!$K$44)^(CI$56-Voorblad!$F$41)</f>
        <v>0</v>
      </c>
      <c r="CJ198" s="9">
        <f>GK198*($Q198*$S198)/(1+Voorblad!$K$44)^(CJ$56-Voorblad!$F$41)</f>
        <v>0</v>
      </c>
      <c r="CK198" s="9">
        <f>GL198*($Q198*$S198)/(1+Voorblad!$K$44)^(CK$56-Voorblad!$F$41)</f>
        <v>0</v>
      </c>
      <c r="CL198" s="9">
        <f>GM198*($Q198*$S198)/(1+Voorblad!$K$44)^(CL$56-Voorblad!$F$41)</f>
        <v>0</v>
      </c>
      <c r="CM198" s="9">
        <f>GN198*($Q198*$S198)/(1+Voorblad!$K$44)^(CM$56-Voorblad!$F$41)</f>
        <v>0</v>
      </c>
      <c r="CN198" s="9">
        <f>GO198*($Q198*$S198)/(1+Voorblad!$K$44)^(CN$56-Voorblad!$F$41)</f>
        <v>0</v>
      </c>
      <c r="CO198" s="9">
        <f>GP198*($Q198*$S198)/(1+Voorblad!$K$44)^(CO$56-Voorblad!$F$41)</f>
        <v>0</v>
      </c>
      <c r="CP198" s="9">
        <f>GQ198*($Q198*$S198)/(1+Voorblad!$K$44)^(CP$56-Voorblad!$F$41)</f>
        <v>0</v>
      </c>
      <c r="CQ198" s="9">
        <f>GR198*($Q198*$S198)/(1+Voorblad!$K$44)^(CQ$56-Voorblad!$F$41)</f>
        <v>0</v>
      </c>
      <c r="CR198" s="9">
        <f>GS198*($Q198*$S198)/(1+Voorblad!$K$44)^(CR$56-Voorblad!$F$41)</f>
        <v>0</v>
      </c>
      <c r="CS198" s="9">
        <f>GT198*($Q198*$S198)/(1+Voorblad!$K$44)^(CS$56-Voorblad!$F$41)</f>
        <v>0</v>
      </c>
      <c r="CT198" s="9">
        <f>GU198*($Q198*$S198)/(1+Voorblad!$K$44)^(CT$56-Voorblad!$F$41)</f>
        <v>0</v>
      </c>
      <c r="CU198" s="9">
        <f>GV198*($Q198*$S198)/(1+Voorblad!$K$44)^(CU$56-Voorblad!$F$41)</f>
        <v>0</v>
      </c>
      <c r="CV198" s="9">
        <f>GW198*($Q198*$S198)/(1+Voorblad!$K$44)^(CV$56-Voorblad!$F$41)</f>
        <v>0</v>
      </c>
      <c r="CW198" s="9">
        <f>GX198*($Q198*$S198)/(1+Voorblad!$K$44)^(CW$56-Voorblad!$F$41)</f>
        <v>0</v>
      </c>
      <c r="CX198" s="9">
        <f>GY198*($Q198*$S198)/(1+Voorblad!$K$44)^(CX$56-Voorblad!$F$41)</f>
        <v>0</v>
      </c>
      <c r="CY198" s="9">
        <f>GZ198*($Q198*$S198)/(1+Voorblad!$K$44)^(CY$56-Voorblad!$F$41)</f>
        <v>0</v>
      </c>
      <c r="CZ198" s="9">
        <f>HA198*($Q198*$S198)/(1+Voorblad!$K$44)^(CZ$56-Voorblad!$F$41)</f>
        <v>0</v>
      </c>
      <c r="DA198" s="9">
        <f>HB198*($Q198*$S198)/(1+Voorblad!$K$44)^(DA$56-Voorblad!$F$41)</f>
        <v>0</v>
      </c>
      <c r="DB198" s="9">
        <f>HC198*($Q198*$S198)/(1+Voorblad!$K$44)^(DB$56-Voorblad!$F$41)</f>
        <v>0</v>
      </c>
      <c r="DC198" s="9">
        <f>HD198*($Q198*$S198)/(1+Voorblad!$K$44)^(DC$56-Voorblad!$F$41)</f>
        <v>0</v>
      </c>
      <c r="DD198" s="9">
        <f>HE198*($Q198*$S198)/(1+Voorblad!$K$44)^(DD$56-Voorblad!$F$41)</f>
        <v>0</v>
      </c>
      <c r="DE198" s="9">
        <f>HF198*($Q198*$S198)/(1+Voorblad!$K$44)^(DE$56-Voorblad!$F$41)</f>
        <v>0</v>
      </c>
      <c r="DF198" s="9">
        <f>HG198*($Q198*$S198)/(1+Voorblad!$K$44)^(DF$56-Voorblad!$F$41)</f>
        <v>0</v>
      </c>
      <c r="DG198" s="9">
        <f>HH198*($Q198*$S198)/(1+Voorblad!$K$44)^(DG$56-Voorblad!$F$41)</f>
        <v>0</v>
      </c>
      <c r="DH198" s="9">
        <f>HI198*($Q198*$S198)/(1+Voorblad!$K$44)^(DH$56-Voorblad!$F$41)</f>
        <v>0</v>
      </c>
      <c r="DI198" s="9">
        <f>HJ198*($Q198*$S198)/(1+Voorblad!$K$44)^(DI$56-Voorblad!$F$41)</f>
        <v>0</v>
      </c>
      <c r="DJ198" s="9">
        <f>HK198*($Q198*$S198)/(1+Voorblad!$K$44)^(DJ$56-Voorblad!$F$41)</f>
        <v>0</v>
      </c>
      <c r="DK198" s="9">
        <f>HL198*($Q198*$S198)/(1+Voorblad!$K$44)^(DK$56-Voorblad!$F$41)</f>
        <v>0</v>
      </c>
      <c r="DL198" s="9">
        <f>HM198*($Q198*$S198)/(1+Voorblad!$K$44)^(DL$56-Voorblad!$F$41)</f>
        <v>0</v>
      </c>
      <c r="DM198" s="9">
        <f>HN198*($Q198*$S198)/(1+Voorblad!$K$44)^(DM$56-Voorblad!$F$41)</f>
        <v>0</v>
      </c>
      <c r="DN198" s="9">
        <f>HO198*($Q198*$S198)/(1+Voorblad!$K$44)^(DN$56-Voorblad!$F$41)</f>
        <v>0</v>
      </c>
      <c r="DO198" s="9">
        <f>HP198*($Q198*$S198)/(1+Voorblad!$K$44)^(DO$56-Voorblad!$F$41)</f>
        <v>0</v>
      </c>
      <c r="DP198" s="9">
        <f>HQ198*($Q198*$S198)/(1+Voorblad!$K$44)^(DP$56-Voorblad!$F$41)</f>
        <v>0</v>
      </c>
      <c r="DQ198" s="9">
        <f>HR198*($Q198*$S198)/(1+Voorblad!$K$44)^(DQ$56-Voorblad!$F$41)</f>
        <v>0</v>
      </c>
      <c r="DR198" s="9">
        <f>HS198*($Q198*$S198)/(1+Voorblad!$K$44)^(DR$56-Voorblad!$F$41)</f>
        <v>0</v>
      </c>
      <c r="DS198" s="9">
        <f>HT198*($Q198*$S198)/(1+Voorblad!$K$44)^(DS$56-Voorblad!$F$41)</f>
        <v>0</v>
      </c>
      <c r="DT198" s="9">
        <f>HU198*($Q198*$S198)/(1+Voorblad!$K$44)^(DT$56-Voorblad!$F$41)</f>
        <v>0</v>
      </c>
      <c r="DU198" s="9">
        <f>HV198*($Q198*$S198)/(1+Voorblad!$K$44)^(DU$56-Voorblad!$F$41)</f>
        <v>0</v>
      </c>
      <c r="DV198" s="9">
        <f>HW198*($Q198*$S198)/(1+Voorblad!$K$44)^(DV$56-Voorblad!$F$41)</f>
        <v>0</v>
      </c>
      <c r="DW198" s="9">
        <f>HX198*($Q198*$S198)/(1+Voorblad!$K$44)^(DW$56-Voorblad!$F$41)</f>
        <v>0</v>
      </c>
      <c r="DX198" s="9">
        <f>HY198*($Q198*$S198)/(1+Voorblad!$K$44)^(DX$56-Voorblad!$F$41)</f>
        <v>0</v>
      </c>
      <c r="DY198" s="9">
        <f>HZ198*($Q198*$S198)/(1+Voorblad!$K$44)^(DY$56-Voorblad!$F$41)</f>
        <v>0</v>
      </c>
      <c r="DZ198" s="9">
        <f>IA198*($Q198*$S198)/(1+Voorblad!$K$44)^(DZ$56-Voorblad!$F$41)</f>
        <v>0</v>
      </c>
      <c r="EA198" s="9">
        <f>IB198*($Q198*$S198)/(1+Voorblad!$K$44)^(EA$56-Voorblad!$F$41)</f>
        <v>0</v>
      </c>
      <c r="EB198" s="9">
        <f>IC198*($Q198*$S198)/(1+Voorblad!$K$44)^(EB$56-Voorblad!$F$41)</f>
        <v>0</v>
      </c>
      <c r="EE198" s="8">
        <v>0</v>
      </c>
      <c r="EF198" s="8">
        <f>IF(EF$56-Voorblad!$F$41&gt;Voorblad!$K$41,0,IF($U198=0,0,IF($U198&lt;1,1/$U198,IF((EF$56-Voorblad!$F$41)/$U198-SUM($EE198:EE198)=1,1,0))))</f>
        <v>0</v>
      </c>
      <c r="EG198" s="8">
        <f>IF(EG$56-Voorblad!$F$41&gt;Voorblad!$K$41,0,IF($U198=0,0,IF($U198&lt;1,1/$U198,IF((EG$56-Voorblad!$F$41)/$U198-SUM($EE198:EF198)=1,1,0))))</f>
        <v>0</v>
      </c>
      <c r="EH198" s="8">
        <f>IF(EH$56-Voorblad!$F$41&gt;Voorblad!$K$41,0,IF($U198=0,0,IF($U198&lt;1,1/$U198,IF((EH$56-Voorblad!$F$41)/$U198-SUM($EE198:EG198)=1,1,0))))</f>
        <v>0</v>
      </c>
      <c r="EI198" s="8">
        <f>IF(EI$56-Voorblad!$F$41&gt;Voorblad!$K$41,0,IF($U198=0,0,IF($U198&lt;1,1/$U198,IF((EI$56-Voorblad!$F$41)/$U198-SUM($EE198:EH198)=1,1,0))))</f>
        <v>0</v>
      </c>
      <c r="EJ198" s="8">
        <f>IF(EJ$56-Voorblad!$F$41&gt;Voorblad!$K$41,0,IF($U198=0,0,IF($U198&lt;1,1/$U198,IF((EJ$56-Voorblad!$F$41)/$U198-SUM($EE198:EI198)=1,1,0))))</f>
        <v>0</v>
      </c>
      <c r="EK198" s="8">
        <f>IF(EK$56-Voorblad!$F$41&gt;Voorblad!$K$41,0,IF($U198=0,0,IF($U198&lt;1,1/$U198,IF((EK$56-Voorblad!$F$41)/$U198-SUM($EE198:EJ198)=1,1,0))))</f>
        <v>0</v>
      </c>
      <c r="EL198" s="8">
        <f>IF(EL$56-Voorblad!$F$41&gt;Voorblad!$K$41,0,IF($U198=0,0,IF($U198&lt;1,1/$U198,IF((EL$56-Voorblad!$F$41)/$U198-SUM($EE198:EK198)=1,1,0))))</f>
        <v>0</v>
      </c>
      <c r="EM198" s="8">
        <f>IF(EM$56-Voorblad!$F$41&gt;Voorblad!$K$41,0,IF($U198=0,0,IF($U198&lt;1,1/$U198,IF((EM$56-Voorblad!$F$41)/$U198-SUM($EE198:EL198)=1,1,0))))</f>
        <v>0</v>
      </c>
      <c r="EN198" s="8">
        <f>IF(EN$56-Voorblad!$F$41&gt;Voorblad!$K$41,0,IF($U198=0,0,IF($U198&lt;1,1/$U198,IF((EN$56-Voorblad!$F$41)/$U198-SUM($EE198:EM198)=1,1,0))))</f>
        <v>0</v>
      </c>
      <c r="EO198" s="8">
        <f>IF(EO$56-Voorblad!$F$41&gt;Voorblad!$K$41,0,IF($U198=0,0,IF($U198&lt;1,1/$U198,IF((EO$56-Voorblad!$F$41)/$U198-SUM($EE198:EN198)=1,1,0))))</f>
        <v>0</v>
      </c>
      <c r="EP198" s="8">
        <f>IF(EP$56-Voorblad!$F$41&gt;Voorblad!$K$41,0,IF($U198=0,0,IF($U198&lt;1,1/$U198,IF((EP$56-Voorblad!$F$41)/$U198-SUM($EE198:EO198)=1,1,0))))</f>
        <v>0</v>
      </c>
      <c r="EQ198" s="8">
        <f>IF(EQ$56-Voorblad!$F$41&gt;Voorblad!$K$41,0,IF($U198=0,0,IF($U198&lt;1,1/$U198,IF((EQ$56-Voorblad!$F$41)/$U198-SUM($EE198:EP198)=1,1,0))))</f>
        <v>0</v>
      </c>
      <c r="ER198" s="8">
        <f>IF(ER$56-Voorblad!$F$41&gt;Voorblad!$K$41,0,IF($U198=0,0,IF($U198&lt;1,1/$U198,IF((ER$56-Voorblad!$F$41)/$U198-SUM($EE198:EQ198)=1,1,0))))</f>
        <v>0</v>
      </c>
      <c r="ES198" s="8">
        <f>IF(ES$56-Voorblad!$F$41&gt;Voorblad!$K$41,0,IF($U198=0,0,IF($U198&lt;1,1/$U198,IF((ES$56-Voorblad!$F$41)/$U198-SUM($EE198:ER198)=1,1,0))))</f>
        <v>0</v>
      </c>
      <c r="ET198" s="8">
        <f>IF(ET$56-Voorblad!$F$41&gt;Voorblad!$K$41,0,IF($U198=0,0,IF($U198&lt;1,1/$U198,IF((ET$56-Voorblad!$F$41)/$U198-SUM($EE198:ES198)=1,1,0))))</f>
        <v>0</v>
      </c>
      <c r="EU198" s="8">
        <f>IF(EU$56-Voorblad!$F$41&gt;Voorblad!$K$41,0,IF($U198=0,0,IF($U198&lt;1,1/$U198,IF((EU$56-Voorblad!$F$41)/$U198-SUM($EE198:ET198)=1,1,0))))</f>
        <v>1</v>
      </c>
      <c r="EV198" s="8">
        <f>IF(EV$56-Voorblad!$F$41&gt;Voorblad!$K$41,0,IF($U198=0,0,IF($U198&lt;1,1/$U198,IF((EV$56-Voorblad!$F$41)/$U198-SUM($EE198:EU198)=1,1,0))))</f>
        <v>0</v>
      </c>
      <c r="EW198" s="8">
        <f>IF(EW$56-Voorblad!$F$41&gt;Voorblad!$K$41,0,IF($U198=0,0,IF($U198&lt;1,1/$U198,IF((EW$56-Voorblad!$F$41)/$U198-SUM($EE198:EV198)=1,1,0))))</f>
        <v>0</v>
      </c>
      <c r="EX198" s="8">
        <f>IF(EX$56-Voorblad!$F$41&gt;Voorblad!$K$41,0,IF($U198=0,0,IF($U198&lt;1,1/$U198,IF((EX$56-Voorblad!$F$41)/$U198-SUM($EE198:EW198)=1,1,0))))</f>
        <v>0</v>
      </c>
      <c r="EY198" s="8">
        <f>IF(EY$56-Voorblad!$F$41&gt;Voorblad!$K$41,0,IF($U198=0,0,IF($U198&lt;1,1/$U198,IF((EY$56-Voorblad!$F$41)/$U198-SUM($EE198:EX198)=1,1,0))))</f>
        <v>0</v>
      </c>
      <c r="EZ198" s="8">
        <f>IF(EZ$56-Voorblad!$F$41&gt;Voorblad!$K$41,0,IF($U198=0,0,IF($U198&lt;1,1/$U198,IF((EZ$56-Voorblad!$F$41)/$U198-SUM($EE198:EY198)=1,1,0))))</f>
        <v>0</v>
      </c>
      <c r="FA198" s="8">
        <f>IF(FA$56-Voorblad!$F$41&gt;Voorblad!$K$41,0,IF($U198=0,0,IF($U198&lt;1,1/$U198,IF((FA$56-Voorblad!$F$41)/$U198-SUM($EE198:EZ198)=1,1,0))))</f>
        <v>0</v>
      </c>
      <c r="FB198" s="8">
        <f>IF(FB$56-Voorblad!$F$41&gt;Voorblad!$K$41,0,IF($U198=0,0,IF($U198&lt;1,1/$U198,IF((FB$56-Voorblad!$F$41)/$U198-SUM($EE198:FA198)=1,1,0))))</f>
        <v>0</v>
      </c>
      <c r="FC198" s="8">
        <f>IF(FC$56-Voorblad!$F$41&gt;Voorblad!$K$41,0,IF($U198=0,0,IF($U198&lt;1,1/$U198,IF((FC$56-Voorblad!$F$41)/$U198-SUM($EE198:FB198)=1,1,0))))</f>
        <v>0</v>
      </c>
      <c r="FD198" s="8">
        <f>IF(FD$56-Voorblad!$F$41&gt;Voorblad!$K$41,0,IF($U198=0,0,IF($U198&lt;1,1/$U198,IF((FD$56-Voorblad!$F$41)/$U198-SUM($EE198:FC198)=1,1,0))))</f>
        <v>0</v>
      </c>
      <c r="FE198" s="8">
        <f>IF(FE$56-Voorblad!$F$41&gt;Voorblad!$K$41,0,IF($U198=0,0,IF($U198&lt;1,1/$U198,IF((FE$56-Voorblad!$F$41)/$U198-SUM($EE198:FD198)=1,1,0))))</f>
        <v>0</v>
      </c>
      <c r="FF198" s="8">
        <f>IF(FF$56-Voorblad!$F$41&gt;Voorblad!$K$41,0,IF($U198=0,0,IF($U198&lt;1,1/$U198,IF((FF$56-Voorblad!$F$41)/$U198-SUM($EE198:FE198)=1,1,0))))</f>
        <v>0</v>
      </c>
      <c r="FG198" s="8">
        <f>IF(FG$56-Voorblad!$F$41&gt;Voorblad!$K$41,0,IF($U198=0,0,IF($U198&lt;1,1/$U198,IF((FG$56-Voorblad!$F$41)/$U198-SUM($EE198:FF198)=1,1,0))))</f>
        <v>0</v>
      </c>
      <c r="FH198" s="8">
        <f>IF(FH$56-Voorblad!$F$41&gt;Voorblad!$K$41,0,IF($U198=0,0,IF($U198&lt;1,1/$U198,IF((FH$56-Voorblad!$F$41)/$U198-SUM($EE198:FG198)=1,1,0))))</f>
        <v>0</v>
      </c>
      <c r="FI198" s="8">
        <f>IF(FI$56-Voorblad!$F$41&gt;Voorblad!$K$41,0,IF($U198=0,0,IF($U198&lt;1,1/$U198,IF((FI$56-Voorblad!$F$41)/$U198-SUM($EE198:FH198)=1,1,0))))</f>
        <v>0</v>
      </c>
      <c r="FJ198" s="8">
        <f>IF(FJ$56-Voorblad!$F$41&gt;Voorblad!$K$41,0,IF($U198=0,0,IF($U198&lt;1,1/$U198,IF((FJ$56-Voorblad!$F$41)/$U198-SUM($EE198:FI198)=1,1,0))))</f>
        <v>1</v>
      </c>
      <c r="FK198" s="8">
        <f>IF(FK$56-Voorblad!$F$41&gt;Voorblad!$K$41,0,IF($U198=0,0,IF($U198&lt;1,1/$U198,IF((FK$56-Voorblad!$F$41)/$U198-SUM($EE198:FJ198)=1,1,0))))</f>
        <v>0</v>
      </c>
      <c r="FL198" s="8">
        <f>IF(FL$56-Voorblad!$F$41&gt;Voorblad!$K$41,0,IF($U198=0,0,IF($U198&lt;1,1/$U198,IF((FL$56-Voorblad!$F$41)/$U198-SUM($EE198:FK198)=1,1,0))))</f>
        <v>0</v>
      </c>
      <c r="FM198" s="8">
        <f>IF(FM$56-Voorblad!$F$41&gt;Voorblad!$K$41,0,IF($U198=0,0,IF($U198&lt;1,1/$U198,IF((FM$56-Voorblad!$F$41)/$U198-SUM($EE198:FL198)=1,1,0))))</f>
        <v>0</v>
      </c>
      <c r="FN198" s="8">
        <f>IF(FN$56-Voorblad!$F$41&gt;Voorblad!$K$41,0,IF($U198=0,0,IF($U198&lt;1,1/$U198,IF((FN$56-Voorblad!$F$41)/$U198-SUM($EE198:FM198)=1,1,0))))</f>
        <v>0</v>
      </c>
      <c r="FO198" s="8">
        <f>IF(FO$56-Voorblad!$F$41&gt;Voorblad!$K$41,0,IF($U198=0,0,IF($U198&lt;1,1/$U198,IF((FO$56-Voorblad!$F$41)/$U198-SUM($EE198:FN198)=1,1,0))))</f>
        <v>0</v>
      </c>
      <c r="FP198" s="8">
        <f>IF(FP$56-Voorblad!$F$41&gt;Voorblad!$K$41,0,IF($U198=0,0,IF($U198&lt;1,1/$U198,IF((FP$56-Voorblad!$F$41)/$U198-SUM($EE198:FO198)=1,1,0))))</f>
        <v>0</v>
      </c>
      <c r="FQ198" s="8">
        <f>IF(FQ$56-Voorblad!$F$41&gt;Voorblad!$K$41,0,IF($U198=0,0,IF($U198&lt;1,1/$U198,IF((FQ$56-Voorblad!$F$41)/$U198-SUM($EE198:FP198)=1,1,0))))</f>
        <v>0</v>
      </c>
      <c r="FR198" s="8">
        <f>IF(FR$56-Voorblad!$F$41&gt;Voorblad!$K$41,0,IF($U198=0,0,IF($U198&lt;1,1/$U198,IF((FR$56-Voorblad!$F$41)/$U198-SUM($EE198:FQ198)=1,1,0))))</f>
        <v>0</v>
      </c>
      <c r="FS198" s="8">
        <f>IF(FS$56-Voorblad!$F$41&gt;Voorblad!$K$41,0,IF($U198=0,0,IF($U198&lt;1,1/$U198,IF((FS$56-Voorblad!$F$41)/$U198-SUM($EE198:FR198)=1,1,0))))</f>
        <v>0</v>
      </c>
      <c r="FT198" s="8">
        <f>IF(FT$56-Voorblad!$F$41&gt;Voorblad!$K$41,0,IF($U198=0,0,IF($U198&lt;1,1/$U198,IF((FT$56-Voorblad!$F$41)/$U198-SUM($EE198:FS198)=1,1,0))))</f>
        <v>0</v>
      </c>
      <c r="FU198" s="8">
        <f>IF(FU$56-Voorblad!$F$41&gt;Voorblad!$K$41,0,IF($U198=0,0,IF($U198&lt;1,1/$U198,IF((FU$56-Voorblad!$F$41)/$U198-SUM($EE198:FT198)=1,1,0))))</f>
        <v>0</v>
      </c>
      <c r="FV198" s="8">
        <f>IF(FV$56-Voorblad!$F$41&gt;Voorblad!$K$41,0,IF($U198=0,0,IF($U198&lt;1,1/$U198,IF((FV$56-Voorblad!$F$41)/$U198-SUM($EE198:FU198)=1,1,0))))</f>
        <v>0</v>
      </c>
      <c r="FW198" s="8">
        <f>IF(FW$56-Voorblad!$F$41&gt;Voorblad!$K$41,0,IF($U198=0,0,IF($U198&lt;1,1/$U198,IF((FW$56-Voorblad!$F$41)/$U198-SUM($EE198:FV198)=1,1,0))))</f>
        <v>0</v>
      </c>
      <c r="FX198" s="8">
        <f>IF(FX$56-Voorblad!$F$41&gt;Voorblad!$K$41,0,IF($U198=0,0,IF($U198&lt;1,1/$U198,IF((FX$56-Voorblad!$F$41)/$U198-SUM($EE198:FW198)=1,1,0))))</f>
        <v>0</v>
      </c>
      <c r="FY198" s="8">
        <f>IF(FY$56-Voorblad!$F$41&gt;Voorblad!$K$41,0,IF($U198=0,0,IF($U198&lt;1,1/$U198,IF((FY$56-Voorblad!$F$41)/$U198-SUM($EE198:FX198)=1,1,0))))</f>
        <v>1</v>
      </c>
      <c r="FZ198" s="8">
        <f>IF(FZ$56-Voorblad!$F$41&gt;Voorblad!$K$41,0,IF($U198=0,0,IF($U198&lt;1,1/$U198,IF((FZ$56-Voorblad!$F$41)/$U198-SUM($EE198:FY198)=1,1,0))))</f>
        <v>0</v>
      </c>
      <c r="GA198" s="8">
        <f>IF(GA$56-Voorblad!$F$41&gt;Voorblad!$K$41,0,IF($U198=0,0,IF($U198&lt;1,1/$U198,IF((GA$56-Voorblad!$F$41)/$U198-SUM($EE198:FZ198)=1,1,0))))</f>
        <v>0</v>
      </c>
      <c r="GB198" s="8">
        <f>IF(GB$56-Voorblad!$F$41&gt;Voorblad!$K$41,0,IF($U198=0,0,IF($U198&lt;1,1/$U198,IF((GB$56-Voorblad!$F$41)/$U198-SUM($EE198:GA198)=1,1,0))))</f>
        <v>0</v>
      </c>
      <c r="GC198" s="8">
        <f>IF(GC$56-Voorblad!$F$41&gt;Voorblad!$K$41,0,IF($U198=0,0,IF($U198&lt;1,1/$U198,IF((GC$56-Voorblad!$F$41)/$U198-SUM($EE198:GB198)=1,1,0))))</f>
        <v>0</v>
      </c>
      <c r="GD198" s="8">
        <f>IF(GD$56-Voorblad!$F$41&gt;Voorblad!$K$41,0,IF($U198=0,0,IF($U198&lt;1,1/$U198,IF((GD$56-Voorblad!$F$41)/$U198-SUM($EE198:GC198)=1,1,0))))</f>
        <v>0</v>
      </c>
      <c r="GE198" s="8">
        <f>IF(GE$56-Voorblad!$F$41&gt;Voorblad!$K$41,0,IF($U198=0,0,IF($U198&lt;1,1/$U198,IF((GE$56-Voorblad!$F$41)/$U198-SUM($EE198:GD198)=1,1,0))))</f>
        <v>0</v>
      </c>
      <c r="GF198" s="8">
        <f>IF(GF$56-Voorblad!$F$41&gt;Voorblad!$K$41,0,IF($U198=0,0,IF($U198&lt;1,1/$U198,IF((GF$56-Voorblad!$F$41)/$U198-SUM($EE198:GE198)=1,1,0))))</f>
        <v>0</v>
      </c>
      <c r="GG198" s="8">
        <f>IF(GG$56-Voorblad!$F$41&gt;Voorblad!$K$41,0,IF($U198=0,0,IF($U198&lt;1,1/$U198,IF((GG$56-Voorblad!$F$41)/$U198-SUM($EE198:GF198)=1,1,0))))</f>
        <v>0</v>
      </c>
      <c r="GH198" s="8">
        <f>IF(GH$56-Voorblad!$F$41&gt;Voorblad!$K$41,0,IF($U198=0,0,IF($U198&lt;1,1/$U198,IF((GH$56-Voorblad!$F$41)/$U198-SUM($EE198:GG198)=1,1,0))))</f>
        <v>0</v>
      </c>
      <c r="GI198" s="8">
        <f>IF(GI$56-Voorblad!$F$41&gt;Voorblad!$K$41,0,IF($U198=0,0,IF($U198&lt;1,1/$U198,IF((GI$56-Voorblad!$F$41)/$U198-SUM($EE198:GH198)=1,1,0))))</f>
        <v>0</v>
      </c>
      <c r="GJ198" s="8">
        <f>IF(GJ$56-Voorblad!$F$41&gt;Voorblad!$K$41,0,IF($U198=0,0,IF($U198&lt;1,1/$U198,IF((GJ$56-Voorblad!$F$41)/$U198-SUM($EE198:GI198)=1,1,0))))</f>
        <v>0</v>
      </c>
      <c r="GK198" s="8">
        <f>IF(GK$56-Voorblad!$F$41&gt;Voorblad!$K$41,0,IF($U198=0,0,IF($U198&lt;1,1/$U198,IF((GK$56-Voorblad!$F$41)/$U198-SUM($EE198:GJ198)=1,1,0))))</f>
        <v>0</v>
      </c>
      <c r="GL198" s="8">
        <f>IF(GL$56-Voorblad!$F$41&gt;Voorblad!$K$41,0,IF($U198=0,0,IF($U198&lt;1,1/$U198,IF((GL$56-Voorblad!$F$41)/$U198-SUM($EE198:GK198)=1,1,0))))</f>
        <v>0</v>
      </c>
      <c r="GM198" s="8">
        <f>IF(GM$56-Voorblad!$F$41&gt;Voorblad!$K$41,0,IF($U198=0,0,IF($U198&lt;1,1/$U198,IF((GM$56-Voorblad!$F$41)/$U198-SUM($EE198:GL198)=1,1,0))))</f>
        <v>0</v>
      </c>
      <c r="GN198" s="8">
        <f>IF(GN$56-Voorblad!$F$41&gt;Voorblad!$K$41,0,IF($U198=0,0,IF($U198&lt;1,1/$U198,IF((GN$56-Voorblad!$F$41)/$U198-SUM($EE198:GM198)=1,1,0))))</f>
        <v>1</v>
      </c>
      <c r="GO198" s="8">
        <f>IF(GO$56-Voorblad!$F$41&gt;Voorblad!$K$41,0,IF($U198=0,0,IF($U198&lt;1,1/$U198,IF((GO$56-Voorblad!$F$41)/$U198-SUM($EE198:GN198)=1,1,0))))</f>
        <v>0</v>
      </c>
      <c r="GP198" s="8">
        <f>IF(GP$56-Voorblad!$F$41&gt;Voorblad!$K$41,0,IF($U198=0,0,IF($U198&lt;1,1/$U198,IF((GP$56-Voorblad!$F$41)/$U198-SUM($EE198:GO198)=1,1,0))))</f>
        <v>0</v>
      </c>
      <c r="GQ198" s="8">
        <f>IF(GQ$56-Voorblad!$F$41&gt;Voorblad!$K$41,0,IF($U198=0,0,IF($U198&lt;1,1/$U198,IF((GQ$56-Voorblad!$F$41)/$U198-SUM($EE198:GP198)=1,1,0))))</f>
        <v>0</v>
      </c>
      <c r="GR198" s="8">
        <f>IF(GR$56-Voorblad!$F$41&gt;Voorblad!$K$41,0,IF($U198=0,0,IF($U198&lt;1,1/$U198,IF((GR$56-Voorblad!$F$41)/$U198-SUM($EE198:GQ198)=1,1,0))))</f>
        <v>0</v>
      </c>
      <c r="GS198" s="8">
        <f>IF(GS$56-Voorblad!$F$41&gt;Voorblad!$K$41,0,IF($U198=0,0,IF($U198&lt;1,1/$U198,IF((GS$56-Voorblad!$F$41)/$U198-SUM($EE198:GR198)=1,1,0))))</f>
        <v>0</v>
      </c>
      <c r="GT198" s="8">
        <f>IF(GT$56-Voorblad!$F$41&gt;Voorblad!$K$41,0,IF($U198=0,0,IF($U198&lt;1,1/$U198,IF((GT$56-Voorblad!$F$41)/$U198-SUM($EE198:GS198)=1,1,0))))</f>
        <v>0</v>
      </c>
      <c r="GU198" s="8">
        <f>IF(GU$56-Voorblad!$F$41&gt;Voorblad!$K$41,0,IF($U198=0,0,IF($U198&lt;1,1/$U198,IF((GU$56-Voorblad!$F$41)/$U198-SUM($EE198:GT198)=1,1,0))))</f>
        <v>0</v>
      </c>
      <c r="GV198" s="8">
        <f>IF(GV$56-Voorblad!$F$41&gt;Voorblad!$K$41,0,IF($U198=0,0,IF($U198&lt;1,1/$U198,IF((GV$56-Voorblad!$F$41)/$U198-SUM($EE198:GU198)=1,1,0))))</f>
        <v>0</v>
      </c>
      <c r="GW198" s="8">
        <f>IF(GW$56-Voorblad!$F$41&gt;Voorblad!$K$41,0,IF($U198=0,0,IF($U198&lt;1,1/$U198,IF((GW$56-Voorblad!$F$41)/$U198-SUM($EE198:GV198)=1,1,0))))</f>
        <v>0</v>
      </c>
      <c r="GX198" s="8">
        <f>IF(GX$56-Voorblad!$F$41&gt;Voorblad!$K$41,0,IF($U198=0,0,IF($U198&lt;1,1/$U198,IF((GX$56-Voorblad!$F$41)/$U198-SUM($EE198:GW198)=1,1,0))))</f>
        <v>0</v>
      </c>
      <c r="GY198" s="8">
        <f>IF(GY$56-Voorblad!$F$41&gt;Voorblad!$K$41,0,IF($U198=0,0,IF($U198&lt;1,1/$U198,IF((GY$56-Voorblad!$F$41)/$U198-SUM($EE198:GX198)=1,1,0))))</f>
        <v>0</v>
      </c>
      <c r="GZ198" s="8">
        <f>IF(GZ$56-Voorblad!$F$41&gt;Voorblad!$K$41,0,IF($U198=0,0,IF($U198&lt;1,1/$U198,IF((GZ$56-Voorblad!$F$41)/$U198-SUM($EE198:GY198)=1,1,0))))</f>
        <v>0</v>
      </c>
      <c r="HA198" s="8">
        <f>IF(HA$56-Voorblad!$F$41&gt;Voorblad!$K$41,0,IF($U198=0,0,IF($U198&lt;1,1/$U198,IF((HA$56-Voorblad!$F$41)/$U198-SUM($EE198:GZ198)=1,1,0))))</f>
        <v>0</v>
      </c>
      <c r="HB198" s="8">
        <f>IF(HB$56-Voorblad!$F$41&gt;Voorblad!$K$41,0,IF($U198=0,0,IF($U198&lt;1,1/$U198,IF((HB$56-Voorblad!$F$41)/$U198-SUM($EE198:HA198)=1,1,0))))</f>
        <v>0</v>
      </c>
      <c r="HC198" s="8">
        <f>IF(HC$56-Voorblad!$F$41&gt;Voorblad!$K$41,0,IF($U198=0,0,IF($U198&lt;1,1/$U198,IF((HC$56-Voorblad!$F$41)/$U198-SUM($EE198:HB198)=1,1,0))))</f>
        <v>0</v>
      </c>
      <c r="HD198" s="8">
        <f>IF(HD$56-Voorblad!$F$41&gt;Voorblad!$K$41,0,IF($U198=0,0,IF($U198&lt;1,1/$U198,IF((HD$56-Voorblad!$F$41)/$U198-SUM($EE198:HC198)=1,1,0))))</f>
        <v>0</v>
      </c>
      <c r="HE198" s="8">
        <f>IF(HE$56-Voorblad!$F$41&gt;Voorblad!$K$41,0,IF($U198=0,0,IF($U198&lt;1,1/$U198,IF((HE$56-Voorblad!$F$41)/$U198-SUM($EE198:HD198)=1,1,0))))</f>
        <v>0</v>
      </c>
      <c r="HF198" s="8">
        <f>IF(HF$56-Voorblad!$F$41&gt;Voorblad!$K$41,0,IF($U198=0,0,IF($U198&lt;1,1/$U198,IF((HF$56-Voorblad!$F$41)/$U198-SUM($EE198:HE198)=1,1,0))))</f>
        <v>0</v>
      </c>
      <c r="HG198" s="8">
        <f>IF(HG$56-Voorblad!$F$41&gt;Voorblad!$K$41,0,IF($U198=0,0,IF($U198&lt;1,1/$U198,IF((HG$56-Voorblad!$F$41)/$U198-SUM($EE198:HF198)=1,1,0))))</f>
        <v>0</v>
      </c>
      <c r="HH198" s="8">
        <f>IF(HH$56-Voorblad!$F$41&gt;Voorblad!$K$41,0,IF($U198=0,0,IF($U198&lt;1,1/$U198,IF((HH$56-Voorblad!$F$41)/$U198-SUM($EE198:HG198)=1,1,0))))</f>
        <v>0</v>
      </c>
      <c r="HI198" s="8">
        <f>IF(HI$56-Voorblad!$F$41&gt;Voorblad!$K$41,0,IF($U198=0,0,IF($U198&lt;1,1/$U198,IF((HI$56-Voorblad!$F$41)/$U198-SUM($EE198:HH198)=1,1,0))))</f>
        <v>0</v>
      </c>
      <c r="HJ198" s="8">
        <f>IF(HJ$56-Voorblad!$F$41&gt;Voorblad!$K$41,0,IF($U198=0,0,IF($U198&lt;1,1/$U198,IF((HJ$56-Voorblad!$F$41)/$U198-SUM($EE198:HI198)=1,1,0))))</f>
        <v>0</v>
      </c>
      <c r="HK198" s="8">
        <f>IF(HK$56-Voorblad!$F$41&gt;Voorblad!$K$41,0,IF($U198=0,0,IF($U198&lt;1,1/$U198,IF((HK$56-Voorblad!$F$41)/$U198-SUM($EE198:HJ198)=1,1,0))))</f>
        <v>0</v>
      </c>
      <c r="HL198" s="8">
        <f>IF(HL$56-Voorblad!$F$41&gt;Voorblad!$K$41,0,IF($U198=0,0,IF($U198&lt;1,1/$U198,IF((HL$56-Voorblad!$F$41)/$U198-SUM($EE198:HK198)=1,1,0))))</f>
        <v>0</v>
      </c>
      <c r="HM198" s="8">
        <f>IF(HM$56-Voorblad!$F$41&gt;Voorblad!$K$41,0,IF($U198=0,0,IF($U198&lt;1,1/$U198,IF((HM$56-Voorblad!$F$41)/$U198-SUM($EE198:HL198)=1,1,0))))</f>
        <v>0</v>
      </c>
      <c r="HN198" s="8">
        <f>IF(HN$56-Voorblad!$F$41&gt;Voorblad!$K$41,0,IF($U198=0,0,IF($U198&lt;1,1/$U198,IF((HN$56-Voorblad!$F$41)/$U198-SUM($EE198:HM198)=1,1,0))))</f>
        <v>0</v>
      </c>
      <c r="HO198" s="8">
        <f>IF(HO$56-Voorblad!$F$41&gt;Voorblad!$K$41,0,IF($U198=0,0,IF($U198&lt;1,1/$U198,IF((HO$56-Voorblad!$F$41)/$U198-SUM($EE198:HN198)=1,1,0))))</f>
        <v>0</v>
      </c>
      <c r="HP198" s="8">
        <f>IF(HP$56-Voorblad!$F$41&gt;Voorblad!$K$41,0,IF($U198=0,0,IF($U198&lt;1,1/$U198,IF((HP$56-Voorblad!$F$41)/$U198-SUM($EE198:HO198)=1,1,0))))</f>
        <v>0</v>
      </c>
      <c r="HQ198" s="8">
        <f>IF(HQ$56-Voorblad!$F$41&gt;Voorblad!$K$41,0,IF($U198=0,0,IF($U198&lt;1,1/$U198,IF((HQ$56-Voorblad!$F$41)/$U198-SUM($EE198:HP198)=1,1,0))))</f>
        <v>0</v>
      </c>
      <c r="HR198" s="8">
        <f>IF(HR$56-Voorblad!$F$41&gt;Voorblad!$K$41,0,IF($U198=0,0,IF($U198&lt;1,1/$U198,IF((HR$56-Voorblad!$F$41)/$U198-SUM($EE198:HQ198)=1,1,0))))</f>
        <v>0</v>
      </c>
      <c r="HS198" s="8">
        <f>IF(HS$56-Voorblad!$F$41&gt;Voorblad!$K$41,0,IF($U198=0,0,IF($U198&lt;1,1/$U198,IF((HS$56-Voorblad!$F$41)/$U198-SUM($EE198:HR198)=1,1,0))))</f>
        <v>0</v>
      </c>
      <c r="HT198" s="8">
        <f>IF(HT$56-Voorblad!$F$41&gt;Voorblad!$K$41,0,IF($U198=0,0,IF($U198&lt;1,1/$U198,IF((HT$56-Voorblad!$F$41)/$U198-SUM($EE198:HS198)=1,1,0))))</f>
        <v>0</v>
      </c>
      <c r="HU198" s="8">
        <f>IF(HU$56-Voorblad!$F$41&gt;Voorblad!$K$41,0,IF($U198=0,0,IF($U198&lt;1,1/$U198,IF((HU$56-Voorblad!$F$41)/$U198-SUM($EE198:HT198)=1,1,0))))</f>
        <v>0</v>
      </c>
      <c r="HV198" s="8">
        <f>IF(HV$56-Voorblad!$F$41&gt;Voorblad!$K$41,0,IF($U198=0,0,IF($U198&lt;1,1/$U198,IF((HV$56-Voorblad!$F$41)/$U198-SUM($EE198:HU198)=1,1,0))))</f>
        <v>0</v>
      </c>
      <c r="HW198" s="8">
        <f>IF(HW$56-Voorblad!$F$41&gt;Voorblad!$K$41,0,IF($U198=0,0,IF($U198&lt;1,1/$U198,IF((HW$56-Voorblad!$F$41)/$U198-SUM($EE198:HV198)=1,1,0))))</f>
        <v>0</v>
      </c>
      <c r="HX198" s="8">
        <f>IF(HX$56-Voorblad!$F$41&gt;Voorblad!$K$41,0,IF($U198=0,0,IF($U198&lt;1,1/$U198,IF((HX$56-Voorblad!$F$41)/$U198-SUM($EE198:HW198)=1,1,0))))</f>
        <v>0</v>
      </c>
      <c r="HY198" s="8">
        <f>IF(HY$56-Voorblad!$F$41&gt;Voorblad!$K$41,0,IF($U198=0,0,IF($U198&lt;1,1/$U198,IF((HY$56-Voorblad!$F$41)/$U198-SUM($EE198:HX198)=1,1,0))))</f>
        <v>0</v>
      </c>
      <c r="HZ198" s="8">
        <f>IF(HZ$56-Voorblad!$F$41&gt;Voorblad!$K$41,0,IF($U198=0,0,IF($U198&lt;1,1/$U198,IF((HZ$56-Voorblad!$F$41)/$U198-SUM($EE198:HY198)=1,1,0))))</f>
        <v>0</v>
      </c>
      <c r="IA198" s="8">
        <f>IF(IA$56-Voorblad!$F$41&gt;Voorblad!$K$41,0,IF($U198=0,0,IF($U198&lt;1,1/$U198,IF((IA$56-Voorblad!$F$41)/$U198-SUM($EE198:HZ198)=1,1,0))))</f>
        <v>0</v>
      </c>
      <c r="IB198" s="8">
        <f>IF(IB$56-Voorblad!$F$41&gt;Voorblad!$K$41,0,IF($U198=0,0,IF($U198&lt;1,1/$U198,IF((IB$56-Voorblad!$F$41)/$U198-SUM($EE198:IA198)=1,1,0))))</f>
        <v>0</v>
      </c>
    </row>
    <row r="199" spans="2:236" ht="12" hidden="1" customHeight="1" outlineLevel="1" x14ac:dyDescent="0.25">
      <c r="S199" s="14"/>
      <c r="T199" s="9"/>
      <c r="U199" s="14"/>
      <c r="V199" s="14"/>
      <c r="Y199" s="23">
        <f>SUM(Y195:Y198)</f>
        <v>0</v>
      </c>
      <c r="Z199" s="24"/>
      <c r="AA199" s="23">
        <f>SUM(AA195:AA198)</f>
        <v>0</v>
      </c>
      <c r="AC199" s="9">
        <f>$Y199*(Voorblad!$K$44*(1+Voorblad!$K$44)^Voorblad!$K$41)/((1+Voorblad!$K$44)^Voorblad!$K$41-1)</f>
        <v>0</v>
      </c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E199" s="8"/>
      <c r="EF199" s="8"/>
      <c r="EG199" s="8"/>
      <c r="EH199" s="8"/>
      <c r="EI199" s="8"/>
      <c r="EJ199" s="8"/>
      <c r="EK199" s="8"/>
      <c r="EL199" s="8"/>
      <c r="EM199" s="8"/>
      <c r="EN199" s="8"/>
      <c r="EO199" s="8"/>
      <c r="EP199" s="8"/>
      <c r="EQ199" s="8"/>
      <c r="ER199" s="8"/>
      <c r="ES199" s="8"/>
      <c r="ET199" s="8"/>
      <c r="EU199" s="8"/>
      <c r="EV199" s="8"/>
      <c r="EW199" s="8"/>
      <c r="EX199" s="8"/>
      <c r="EY199" s="8"/>
      <c r="EZ199" s="8"/>
      <c r="FA199" s="8"/>
      <c r="FB199" s="8"/>
      <c r="FC199" s="8"/>
      <c r="FD199" s="8"/>
      <c r="FE199" s="8"/>
      <c r="FF199" s="8"/>
      <c r="FG199" s="8"/>
      <c r="FH199" s="8"/>
      <c r="FI199" s="8"/>
      <c r="FJ199" s="8"/>
      <c r="FK199" s="8"/>
      <c r="FL199" s="8"/>
      <c r="FM199" s="8"/>
      <c r="FN199" s="8"/>
      <c r="FO199" s="8"/>
      <c r="FP199" s="8"/>
      <c r="FQ199" s="8"/>
      <c r="FR199" s="8"/>
      <c r="FS199" s="8"/>
      <c r="FT199" s="8"/>
      <c r="FU199" s="8"/>
      <c r="FV199" s="8"/>
      <c r="FW199" s="8"/>
      <c r="FX199" s="8"/>
      <c r="FY199" s="8"/>
      <c r="FZ199" s="8"/>
      <c r="GA199" s="8"/>
      <c r="GB199" s="8"/>
      <c r="GC199" s="8"/>
      <c r="GD199" s="8"/>
      <c r="GE199" s="8"/>
      <c r="GF199" s="8"/>
      <c r="GG199" s="8"/>
      <c r="GH199" s="8"/>
      <c r="GI199" s="8"/>
      <c r="GJ199" s="8"/>
      <c r="GK199" s="8"/>
      <c r="GL199" s="8"/>
      <c r="GM199" s="8"/>
      <c r="GN199" s="8"/>
      <c r="GO199" s="8"/>
      <c r="GP199" s="8"/>
      <c r="GQ199" s="8"/>
      <c r="GR199" s="8"/>
      <c r="GS199" s="8"/>
      <c r="GT199" s="8"/>
      <c r="GU199" s="8"/>
      <c r="GV199" s="8"/>
      <c r="GW199" s="8"/>
      <c r="GX199" s="8"/>
      <c r="GY199" s="8"/>
      <c r="GZ199" s="8"/>
      <c r="HA199" s="8"/>
      <c r="HB199" s="8"/>
      <c r="HC199" s="8"/>
      <c r="HD199" s="8"/>
      <c r="HE199" s="8"/>
      <c r="HF199" s="8"/>
      <c r="HG199" s="8"/>
      <c r="HH199" s="8"/>
      <c r="HI199" s="8"/>
      <c r="HJ199" s="8"/>
      <c r="HK199" s="8"/>
      <c r="HL199" s="8"/>
      <c r="HM199" s="8"/>
      <c r="HN199" s="8"/>
      <c r="HO199" s="8"/>
      <c r="HP199" s="8"/>
      <c r="HQ199" s="8"/>
      <c r="HR199" s="8"/>
      <c r="HS199" s="8"/>
      <c r="HT199" s="8"/>
      <c r="HU199" s="8"/>
      <c r="HV199" s="8"/>
      <c r="HW199" s="8"/>
      <c r="HX199" s="8"/>
      <c r="HY199" s="8"/>
      <c r="HZ199" s="8"/>
      <c r="IA199" s="8"/>
      <c r="IB199" s="8"/>
    </row>
    <row r="200" spans="2:236" hidden="1" outlineLevel="1" x14ac:dyDescent="0.25">
      <c r="B200" s="2" t="s">
        <v>269</v>
      </c>
      <c r="C200" s="2"/>
      <c r="S200" s="14"/>
      <c r="T200" s="9"/>
      <c r="U200" s="14"/>
      <c r="V200" s="14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/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/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E200" s="8"/>
      <c r="EF200" s="8"/>
      <c r="EG200" s="8"/>
      <c r="EH200" s="8"/>
      <c r="EI200" s="8"/>
      <c r="EJ200" s="8"/>
      <c r="EK200" s="8"/>
      <c r="EL200" s="8"/>
      <c r="EM200" s="8"/>
      <c r="EN200" s="8"/>
      <c r="EO200" s="8"/>
      <c r="EP200" s="8"/>
      <c r="EQ200" s="8"/>
      <c r="ER200" s="8"/>
      <c r="ES200" s="8"/>
      <c r="ET200" s="8"/>
      <c r="EU200" s="8"/>
      <c r="EV200" s="8"/>
      <c r="EW200" s="8"/>
      <c r="EX200" s="8"/>
      <c r="EY200" s="8"/>
      <c r="EZ200" s="8"/>
      <c r="FA200" s="8"/>
      <c r="FB200" s="8"/>
      <c r="FC200" s="8"/>
      <c r="FD200" s="8"/>
      <c r="FE200" s="8"/>
      <c r="FF200" s="8"/>
      <c r="FG200" s="8"/>
      <c r="FH200" s="8"/>
      <c r="FI200" s="8"/>
      <c r="FJ200" s="8"/>
      <c r="FK200" s="8"/>
      <c r="FL200" s="8"/>
      <c r="FM200" s="8"/>
      <c r="FN200" s="8"/>
      <c r="FO200" s="8"/>
      <c r="FP200" s="8"/>
      <c r="FQ200" s="8"/>
      <c r="FR200" s="8"/>
      <c r="FS200" s="8"/>
      <c r="FT200" s="8"/>
      <c r="FU200" s="8"/>
      <c r="FV200" s="8"/>
      <c r="FW200" s="8"/>
      <c r="FX200" s="8"/>
      <c r="FY200" s="8"/>
      <c r="FZ200" s="8"/>
      <c r="GA200" s="8"/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</row>
    <row r="201" spans="2:236" ht="12" hidden="1" customHeight="1" outlineLevel="1" x14ac:dyDescent="0.25">
      <c r="B201" s="1">
        <v>1</v>
      </c>
      <c r="F201" s="1" t="s">
        <v>23</v>
      </c>
      <c r="I201" s="1" t="s">
        <v>48</v>
      </c>
      <c r="K201" s="1" t="s">
        <v>85</v>
      </c>
      <c r="O201" s="1" t="s">
        <v>222</v>
      </c>
      <c r="P201" s="1" t="s">
        <v>223</v>
      </c>
      <c r="Q201" s="84">
        <f>5%*Q196</f>
        <v>0</v>
      </c>
      <c r="R201" s="1" t="s">
        <v>35</v>
      </c>
      <c r="S201" s="14">
        <f>$H$10*500</f>
        <v>1190</v>
      </c>
      <c r="T201" s="9">
        <f>Q201*S201</f>
        <v>0</v>
      </c>
      <c r="U201" s="14">
        <v>50</v>
      </c>
      <c r="V201" s="14"/>
      <c r="Y201" s="9">
        <f t="shared" si="199"/>
        <v>0</v>
      </c>
      <c r="Z201" s="82"/>
      <c r="AA201" s="82"/>
      <c r="AC201" s="229">
        <f>$Y201*(Voorblad!$K$44*(1+Voorblad!$K$44)^Voorblad!$K$41)/((1+Voorblad!$K$44)^Voorblad!$K$41-1)</f>
        <v>0</v>
      </c>
      <c r="AE201" s="9">
        <f>EF201*($Q201*$S201)/(1+Voorblad!$K$44)^(AE$56-Voorblad!$F$41)</f>
        <v>0</v>
      </c>
      <c r="AF201" s="9">
        <f>EG201*($Q201*$S201)/(1+Voorblad!$K$44)^(AF$56-Voorblad!$F$41)</f>
        <v>0</v>
      </c>
      <c r="AG201" s="9">
        <f>EH201*($Q201*$S201)/(1+Voorblad!$K$44)^(AG$56-Voorblad!$F$41)</f>
        <v>0</v>
      </c>
      <c r="AH201" s="9">
        <f>EI201*($Q201*$S201)/(1+Voorblad!$K$44)^(AH$56-Voorblad!$F$41)</f>
        <v>0</v>
      </c>
      <c r="AI201" s="9">
        <f>EJ201*($Q201*$S201)/(1+Voorblad!$K$44)^(AI$56-Voorblad!$F$41)</f>
        <v>0</v>
      </c>
      <c r="AJ201" s="9">
        <f>EK201*($Q201*$S201)/(1+Voorblad!$K$44)^(AJ$56-Voorblad!$F$41)</f>
        <v>0</v>
      </c>
      <c r="AK201" s="9">
        <f>EL201*($Q201*$S201)/(1+Voorblad!$K$44)^(AK$56-Voorblad!$F$41)</f>
        <v>0</v>
      </c>
      <c r="AL201" s="9">
        <f>EM201*($Q201*$S201)/(1+Voorblad!$K$44)^(AL$56-Voorblad!$F$41)</f>
        <v>0</v>
      </c>
      <c r="AM201" s="9">
        <f>EN201*($Q201*$S201)/(1+Voorblad!$K$44)^(AM$56-Voorblad!$F$41)</f>
        <v>0</v>
      </c>
      <c r="AN201" s="9">
        <f>EO201*($Q201*$S201)/(1+Voorblad!$K$44)^(AN$56-Voorblad!$F$41)</f>
        <v>0</v>
      </c>
      <c r="AO201" s="9">
        <f>EP201*($Q201*$S201)/(1+Voorblad!$K$44)^(AO$56-Voorblad!$F$41)</f>
        <v>0</v>
      </c>
      <c r="AP201" s="9">
        <f>EQ201*($Q201*$S201)/(1+Voorblad!$K$44)^(AP$56-Voorblad!$F$41)</f>
        <v>0</v>
      </c>
      <c r="AQ201" s="9">
        <f>ER201*($Q201*$S201)/(1+Voorblad!$K$44)^(AQ$56-Voorblad!$F$41)</f>
        <v>0</v>
      </c>
      <c r="AR201" s="9">
        <f>ES201*($Q201*$S201)/(1+Voorblad!$K$44)^(AR$56-Voorblad!$F$41)</f>
        <v>0</v>
      </c>
      <c r="AS201" s="9">
        <f>ET201*($Q201*$S201)/(1+Voorblad!$K$44)^(AS$56-Voorblad!$F$41)</f>
        <v>0</v>
      </c>
      <c r="AT201" s="9">
        <f>EU201*($Q201*$S201)/(1+Voorblad!$K$44)^(AT$56-Voorblad!$F$41)</f>
        <v>0</v>
      </c>
      <c r="AU201" s="9">
        <f>EV201*($Q201*$S201)/(1+Voorblad!$K$44)^(AU$56-Voorblad!$F$41)</f>
        <v>0</v>
      </c>
      <c r="AV201" s="9">
        <f>EW201*($Q201*$S201)/(1+Voorblad!$K$44)^(AV$56-Voorblad!$F$41)</f>
        <v>0</v>
      </c>
      <c r="AW201" s="9">
        <f>EX201*($Q201*$S201)/(1+Voorblad!$K$44)^(AW$56-Voorblad!$F$41)</f>
        <v>0</v>
      </c>
      <c r="AX201" s="9">
        <f>EY201*($Q201*$S201)/(1+Voorblad!$K$44)^(AX$56-Voorblad!$F$41)</f>
        <v>0</v>
      </c>
      <c r="AY201" s="9">
        <f>EZ201*($Q201*$S201)/(1+Voorblad!$K$44)^(AY$56-Voorblad!$F$41)</f>
        <v>0</v>
      </c>
      <c r="AZ201" s="9">
        <f>FA201*($Q201*$S201)/(1+Voorblad!$K$44)^(AZ$56-Voorblad!$F$41)</f>
        <v>0</v>
      </c>
      <c r="BA201" s="9">
        <f>FB201*($Q201*$S201)/(1+Voorblad!$K$44)^(BA$56-Voorblad!$F$41)</f>
        <v>0</v>
      </c>
      <c r="BB201" s="9">
        <f>FC201*($Q201*$S201)/(1+Voorblad!$K$44)^(BB$56-Voorblad!$F$41)</f>
        <v>0</v>
      </c>
      <c r="BC201" s="9">
        <f>FD201*($Q201*$S201)/(1+Voorblad!$K$44)^(BC$56-Voorblad!$F$41)</f>
        <v>0</v>
      </c>
      <c r="BD201" s="9">
        <f>FE201*($Q201*$S201)/(1+Voorblad!$K$44)^(BD$56-Voorblad!$F$41)</f>
        <v>0</v>
      </c>
      <c r="BE201" s="9">
        <f>FF201*($Q201*$S201)/(1+Voorblad!$K$44)^(BE$56-Voorblad!$F$41)</f>
        <v>0</v>
      </c>
      <c r="BF201" s="9">
        <f>FG201*($Q201*$S201)/(1+Voorblad!$K$44)^(BF$56-Voorblad!$F$41)</f>
        <v>0</v>
      </c>
      <c r="BG201" s="9">
        <f>FH201*($Q201*$S201)/(1+Voorblad!$K$44)^(BG$56-Voorblad!$F$41)</f>
        <v>0</v>
      </c>
      <c r="BH201" s="9">
        <f>FI201*($Q201*$S201)/(1+Voorblad!$K$44)^(BH$56-Voorblad!$F$41)</f>
        <v>0</v>
      </c>
      <c r="BI201" s="9">
        <f>FJ201*($Q201*$S201)/(1+Voorblad!$K$44)^(BI$56-Voorblad!$F$41)</f>
        <v>0</v>
      </c>
      <c r="BJ201" s="9">
        <f>FK201*($Q201*$S201)/(1+Voorblad!$K$44)^(BJ$56-Voorblad!$F$41)</f>
        <v>0</v>
      </c>
      <c r="BK201" s="9">
        <f>FL201*($Q201*$S201)/(1+Voorblad!$K$44)^(BK$56-Voorblad!$F$41)</f>
        <v>0</v>
      </c>
      <c r="BL201" s="9">
        <f>FM201*($Q201*$S201)/(1+Voorblad!$K$44)^(BL$56-Voorblad!$F$41)</f>
        <v>0</v>
      </c>
      <c r="BM201" s="9">
        <f>FN201*($Q201*$S201)/(1+Voorblad!$K$44)^(BM$56-Voorblad!$F$41)</f>
        <v>0</v>
      </c>
      <c r="BN201" s="9">
        <f>FO201*($Q201*$S201)/(1+Voorblad!$K$44)^(BN$56-Voorblad!$F$41)</f>
        <v>0</v>
      </c>
      <c r="BO201" s="9">
        <f>FP201*($Q201*$S201)/(1+Voorblad!$K$44)^(BO$56-Voorblad!$F$41)</f>
        <v>0</v>
      </c>
      <c r="BP201" s="9">
        <f>FQ201*($Q201*$S201)/(1+Voorblad!$K$44)^(BP$56-Voorblad!$F$41)</f>
        <v>0</v>
      </c>
      <c r="BQ201" s="9">
        <f>FR201*($Q201*$S201)/(1+Voorblad!$K$44)^(BQ$56-Voorblad!$F$41)</f>
        <v>0</v>
      </c>
      <c r="BR201" s="9">
        <f>FS201*($Q201*$S201)/(1+Voorblad!$K$44)^(BR$56-Voorblad!$F$41)</f>
        <v>0</v>
      </c>
      <c r="BS201" s="9">
        <f>FT201*($Q201*$S201)/(1+Voorblad!$K$44)^(BS$56-Voorblad!$F$41)</f>
        <v>0</v>
      </c>
      <c r="BT201" s="9">
        <f>FU201*($Q201*$S201)/(1+Voorblad!$K$44)^(BT$56-Voorblad!$F$41)</f>
        <v>0</v>
      </c>
      <c r="BU201" s="9">
        <f>FV201*($Q201*$S201)/(1+Voorblad!$K$44)^(BU$56-Voorblad!$F$41)</f>
        <v>0</v>
      </c>
      <c r="BV201" s="9">
        <f>FW201*($Q201*$S201)/(1+Voorblad!$K$44)^(BV$56-Voorblad!$F$41)</f>
        <v>0</v>
      </c>
      <c r="BW201" s="9">
        <f>FX201*($Q201*$S201)/(1+Voorblad!$K$44)^(BW$56-Voorblad!$F$41)</f>
        <v>0</v>
      </c>
      <c r="BX201" s="9">
        <f>FY201*($Q201*$S201)/(1+Voorblad!$K$44)^(BX$56-Voorblad!$F$41)</f>
        <v>0</v>
      </c>
      <c r="BY201" s="9">
        <f>FZ201*($Q201*$S201)/(1+Voorblad!$K$44)^(BY$56-Voorblad!$F$41)</f>
        <v>0</v>
      </c>
      <c r="BZ201" s="9">
        <f>GA201*($Q201*$S201)/(1+Voorblad!$K$44)^(BZ$56-Voorblad!$F$41)</f>
        <v>0</v>
      </c>
      <c r="CA201" s="9">
        <f>GB201*($Q201*$S201)/(1+Voorblad!$K$44)^(CA$56-Voorblad!$F$41)</f>
        <v>0</v>
      </c>
      <c r="CB201" s="9">
        <f>GC201*($Q201*$S201)/(1+Voorblad!$K$44)^(CB$56-Voorblad!$F$41)</f>
        <v>0</v>
      </c>
      <c r="CC201" s="9">
        <f>GD201*($Q201*$S201)/(1+Voorblad!$K$44)^(CC$56-Voorblad!$F$41)</f>
        <v>0</v>
      </c>
      <c r="CD201" s="9">
        <f>GE201*($Q201*$S201)/(1+Voorblad!$K$44)^(CD$56-Voorblad!$F$41)</f>
        <v>0</v>
      </c>
      <c r="CE201" s="9">
        <f>GF201*($Q201*$S201)/(1+Voorblad!$K$44)^(CE$56-Voorblad!$F$41)</f>
        <v>0</v>
      </c>
      <c r="CF201" s="9">
        <f>GG201*($Q201*$S201)/(1+Voorblad!$K$44)^(CF$56-Voorblad!$F$41)</f>
        <v>0</v>
      </c>
      <c r="CG201" s="9">
        <f>GH201*($Q201*$S201)/(1+Voorblad!$K$44)^(CG$56-Voorblad!$F$41)</f>
        <v>0</v>
      </c>
      <c r="CH201" s="9">
        <f>GI201*($Q201*$S201)/(1+Voorblad!$K$44)^(CH$56-Voorblad!$F$41)</f>
        <v>0</v>
      </c>
      <c r="CI201" s="9">
        <f>GJ201*($Q201*$S201)/(1+Voorblad!$K$44)^(CI$56-Voorblad!$F$41)</f>
        <v>0</v>
      </c>
      <c r="CJ201" s="9">
        <f>GK201*($Q201*$S201)/(1+Voorblad!$K$44)^(CJ$56-Voorblad!$F$41)</f>
        <v>0</v>
      </c>
      <c r="CK201" s="9">
        <f>GL201*($Q201*$S201)/(1+Voorblad!$K$44)^(CK$56-Voorblad!$F$41)</f>
        <v>0</v>
      </c>
      <c r="CL201" s="9">
        <f>GM201*($Q201*$S201)/(1+Voorblad!$K$44)^(CL$56-Voorblad!$F$41)</f>
        <v>0</v>
      </c>
      <c r="CM201" s="9">
        <f>GN201*($Q201*$S201)/(1+Voorblad!$K$44)^(CM$56-Voorblad!$F$41)</f>
        <v>0</v>
      </c>
      <c r="CN201" s="9">
        <f>GO201*($Q201*$S201)/(1+Voorblad!$K$44)^(CN$56-Voorblad!$F$41)</f>
        <v>0</v>
      </c>
      <c r="CO201" s="9">
        <f>GP201*($Q201*$S201)/(1+Voorblad!$K$44)^(CO$56-Voorblad!$F$41)</f>
        <v>0</v>
      </c>
      <c r="CP201" s="9">
        <f>GQ201*($Q201*$S201)/(1+Voorblad!$K$44)^(CP$56-Voorblad!$F$41)</f>
        <v>0</v>
      </c>
      <c r="CQ201" s="9">
        <f>GR201*($Q201*$S201)/(1+Voorblad!$K$44)^(CQ$56-Voorblad!$F$41)</f>
        <v>0</v>
      </c>
      <c r="CR201" s="9">
        <f>GS201*($Q201*$S201)/(1+Voorblad!$K$44)^(CR$56-Voorblad!$F$41)</f>
        <v>0</v>
      </c>
      <c r="CS201" s="9">
        <f>GT201*($Q201*$S201)/(1+Voorblad!$K$44)^(CS$56-Voorblad!$F$41)</f>
        <v>0</v>
      </c>
      <c r="CT201" s="9">
        <f>GU201*($Q201*$S201)/(1+Voorblad!$K$44)^(CT$56-Voorblad!$F$41)</f>
        <v>0</v>
      </c>
      <c r="CU201" s="9">
        <f>GV201*($Q201*$S201)/(1+Voorblad!$K$44)^(CU$56-Voorblad!$F$41)</f>
        <v>0</v>
      </c>
      <c r="CV201" s="9">
        <f>GW201*($Q201*$S201)/(1+Voorblad!$K$44)^(CV$56-Voorblad!$F$41)</f>
        <v>0</v>
      </c>
      <c r="CW201" s="9">
        <f>GX201*($Q201*$S201)/(1+Voorblad!$K$44)^(CW$56-Voorblad!$F$41)</f>
        <v>0</v>
      </c>
      <c r="CX201" s="9">
        <f>GY201*($Q201*$S201)/(1+Voorblad!$K$44)^(CX$56-Voorblad!$F$41)</f>
        <v>0</v>
      </c>
      <c r="CY201" s="9">
        <f>GZ201*($Q201*$S201)/(1+Voorblad!$K$44)^(CY$56-Voorblad!$F$41)</f>
        <v>0</v>
      </c>
      <c r="CZ201" s="9">
        <f>HA201*($Q201*$S201)/(1+Voorblad!$K$44)^(CZ$56-Voorblad!$F$41)</f>
        <v>0</v>
      </c>
      <c r="DA201" s="9">
        <f>HB201*($Q201*$S201)/(1+Voorblad!$K$44)^(DA$56-Voorblad!$F$41)</f>
        <v>0</v>
      </c>
      <c r="DB201" s="9">
        <f>HC201*($Q201*$S201)/(1+Voorblad!$K$44)^(DB$56-Voorblad!$F$41)</f>
        <v>0</v>
      </c>
      <c r="DC201" s="9">
        <f>HD201*($Q201*$S201)/(1+Voorblad!$K$44)^(DC$56-Voorblad!$F$41)</f>
        <v>0</v>
      </c>
      <c r="DD201" s="9">
        <f>HE201*($Q201*$S201)/(1+Voorblad!$K$44)^(DD$56-Voorblad!$F$41)</f>
        <v>0</v>
      </c>
      <c r="DE201" s="9">
        <f>HF201*($Q201*$S201)/(1+Voorblad!$K$44)^(DE$56-Voorblad!$F$41)</f>
        <v>0</v>
      </c>
      <c r="DF201" s="9">
        <f>HG201*($Q201*$S201)/(1+Voorblad!$K$44)^(DF$56-Voorblad!$F$41)</f>
        <v>0</v>
      </c>
      <c r="DG201" s="9">
        <f>HH201*($Q201*$S201)/(1+Voorblad!$K$44)^(DG$56-Voorblad!$F$41)</f>
        <v>0</v>
      </c>
      <c r="DH201" s="9">
        <f>HI201*($Q201*$S201)/(1+Voorblad!$K$44)^(DH$56-Voorblad!$F$41)</f>
        <v>0</v>
      </c>
      <c r="DI201" s="9">
        <f>HJ201*($Q201*$S201)/(1+Voorblad!$K$44)^(DI$56-Voorblad!$F$41)</f>
        <v>0</v>
      </c>
      <c r="DJ201" s="9">
        <f>HK201*($Q201*$S201)/(1+Voorblad!$K$44)^(DJ$56-Voorblad!$F$41)</f>
        <v>0</v>
      </c>
      <c r="DK201" s="9">
        <f>HL201*($Q201*$S201)/(1+Voorblad!$K$44)^(DK$56-Voorblad!$F$41)</f>
        <v>0</v>
      </c>
      <c r="DL201" s="9">
        <f>HM201*($Q201*$S201)/(1+Voorblad!$K$44)^(DL$56-Voorblad!$F$41)</f>
        <v>0</v>
      </c>
      <c r="DM201" s="9">
        <f>HN201*($Q201*$S201)/(1+Voorblad!$K$44)^(DM$56-Voorblad!$F$41)</f>
        <v>0</v>
      </c>
      <c r="DN201" s="9">
        <f>HO201*($Q201*$S201)/(1+Voorblad!$K$44)^(DN$56-Voorblad!$F$41)</f>
        <v>0</v>
      </c>
      <c r="DO201" s="9">
        <f>HP201*($Q201*$S201)/(1+Voorblad!$K$44)^(DO$56-Voorblad!$F$41)</f>
        <v>0</v>
      </c>
      <c r="DP201" s="9">
        <f>HQ201*($Q201*$S201)/(1+Voorblad!$K$44)^(DP$56-Voorblad!$F$41)</f>
        <v>0</v>
      </c>
      <c r="DQ201" s="9">
        <f>HR201*($Q201*$S201)/(1+Voorblad!$K$44)^(DQ$56-Voorblad!$F$41)</f>
        <v>0</v>
      </c>
      <c r="DR201" s="9">
        <f>HS201*($Q201*$S201)/(1+Voorblad!$K$44)^(DR$56-Voorblad!$F$41)</f>
        <v>0</v>
      </c>
      <c r="DS201" s="9">
        <f>HT201*($Q201*$S201)/(1+Voorblad!$K$44)^(DS$56-Voorblad!$F$41)</f>
        <v>0</v>
      </c>
      <c r="DT201" s="9">
        <f>HU201*($Q201*$S201)/(1+Voorblad!$K$44)^(DT$56-Voorblad!$F$41)</f>
        <v>0</v>
      </c>
      <c r="DU201" s="9">
        <f>HV201*($Q201*$S201)/(1+Voorblad!$K$44)^(DU$56-Voorblad!$F$41)</f>
        <v>0</v>
      </c>
      <c r="DV201" s="9">
        <f>HW201*($Q201*$S201)/(1+Voorblad!$K$44)^(DV$56-Voorblad!$F$41)</f>
        <v>0</v>
      </c>
      <c r="DW201" s="9">
        <f>HX201*($Q201*$S201)/(1+Voorblad!$K$44)^(DW$56-Voorblad!$F$41)</f>
        <v>0</v>
      </c>
      <c r="DX201" s="9">
        <f>HY201*($Q201*$S201)/(1+Voorblad!$K$44)^(DX$56-Voorblad!$F$41)</f>
        <v>0</v>
      </c>
      <c r="DY201" s="9">
        <f>HZ201*($Q201*$S201)/(1+Voorblad!$K$44)^(DY$56-Voorblad!$F$41)</f>
        <v>0</v>
      </c>
      <c r="DZ201" s="9">
        <f>IA201*($Q201*$S201)/(1+Voorblad!$K$44)^(DZ$56-Voorblad!$F$41)</f>
        <v>0</v>
      </c>
      <c r="EA201" s="9">
        <f>IB201*($Q201*$S201)/(1+Voorblad!$K$44)^(EA$56-Voorblad!$F$41)</f>
        <v>0</v>
      </c>
      <c r="EB201" s="9">
        <f>IC201*($Q201*$S201)/(1+Voorblad!$K$44)^(EB$56-Voorblad!$F$41)</f>
        <v>0</v>
      </c>
      <c r="EE201" s="8">
        <v>0</v>
      </c>
      <c r="EF201" s="8">
        <f>IF(EF$56-Voorblad!$F$41&gt;Voorblad!$K$41,0,IF($U201=0,0,IF($U201&lt;1,1/$U201,IF((EF$56-Voorblad!$F$41)/$U201-SUM($EE201:EE201)=1,1,0))))</f>
        <v>0</v>
      </c>
      <c r="EG201" s="8">
        <f>IF(EG$56-Voorblad!$F$41&gt;Voorblad!$K$41,0,IF($U201=0,0,IF($U201&lt;1,1/$U201,IF((EG$56-Voorblad!$F$41)/$U201-SUM($EE201:EF201)=1,1,0))))</f>
        <v>0</v>
      </c>
      <c r="EH201" s="8">
        <f>IF(EH$56-Voorblad!$F$41&gt;Voorblad!$K$41,0,IF($U201=0,0,IF($U201&lt;1,1/$U201,IF((EH$56-Voorblad!$F$41)/$U201-SUM($EE201:EG201)=1,1,0))))</f>
        <v>0</v>
      </c>
      <c r="EI201" s="8">
        <f>IF(EI$56-Voorblad!$F$41&gt;Voorblad!$K$41,0,IF($U201=0,0,IF($U201&lt;1,1/$U201,IF((EI$56-Voorblad!$F$41)/$U201-SUM($EE201:EH201)=1,1,0))))</f>
        <v>0</v>
      </c>
      <c r="EJ201" s="8">
        <f>IF(EJ$56-Voorblad!$F$41&gt;Voorblad!$K$41,0,IF($U201=0,0,IF($U201&lt;1,1/$U201,IF((EJ$56-Voorblad!$F$41)/$U201-SUM($EE201:EI201)=1,1,0))))</f>
        <v>0</v>
      </c>
      <c r="EK201" s="8">
        <f>IF(EK$56-Voorblad!$F$41&gt;Voorblad!$K$41,0,IF($U201=0,0,IF($U201&lt;1,1/$U201,IF((EK$56-Voorblad!$F$41)/$U201-SUM($EE201:EJ201)=1,1,0))))</f>
        <v>0</v>
      </c>
      <c r="EL201" s="8">
        <f>IF(EL$56-Voorblad!$F$41&gt;Voorblad!$K$41,0,IF($U201=0,0,IF($U201&lt;1,1/$U201,IF((EL$56-Voorblad!$F$41)/$U201-SUM($EE201:EK201)=1,1,0))))</f>
        <v>0</v>
      </c>
      <c r="EM201" s="8">
        <f>IF(EM$56-Voorblad!$F$41&gt;Voorblad!$K$41,0,IF($U201=0,0,IF($U201&lt;1,1/$U201,IF((EM$56-Voorblad!$F$41)/$U201-SUM($EE201:EL201)=1,1,0))))</f>
        <v>0</v>
      </c>
      <c r="EN201" s="8">
        <f>IF(EN$56-Voorblad!$F$41&gt;Voorblad!$K$41,0,IF($U201=0,0,IF($U201&lt;1,1/$U201,IF((EN$56-Voorblad!$F$41)/$U201-SUM($EE201:EM201)=1,1,0))))</f>
        <v>0</v>
      </c>
      <c r="EO201" s="8">
        <f>IF(EO$56-Voorblad!$F$41&gt;Voorblad!$K$41,0,IF($U201=0,0,IF($U201&lt;1,1/$U201,IF((EO$56-Voorblad!$F$41)/$U201-SUM($EE201:EN201)=1,1,0))))</f>
        <v>0</v>
      </c>
      <c r="EP201" s="8">
        <f>IF(EP$56-Voorblad!$F$41&gt;Voorblad!$K$41,0,IF($U201=0,0,IF($U201&lt;1,1/$U201,IF((EP$56-Voorblad!$F$41)/$U201-SUM($EE201:EO201)=1,1,0))))</f>
        <v>0</v>
      </c>
      <c r="EQ201" s="8">
        <f>IF(EQ$56-Voorblad!$F$41&gt;Voorblad!$K$41,0,IF($U201=0,0,IF($U201&lt;1,1/$U201,IF((EQ$56-Voorblad!$F$41)/$U201-SUM($EE201:EP201)=1,1,0))))</f>
        <v>0</v>
      </c>
      <c r="ER201" s="8">
        <f>IF(ER$56-Voorblad!$F$41&gt;Voorblad!$K$41,0,IF($U201=0,0,IF($U201&lt;1,1/$U201,IF((ER$56-Voorblad!$F$41)/$U201-SUM($EE201:EQ201)=1,1,0))))</f>
        <v>0</v>
      </c>
      <c r="ES201" s="8">
        <f>IF(ES$56-Voorblad!$F$41&gt;Voorblad!$K$41,0,IF($U201=0,0,IF($U201&lt;1,1/$U201,IF((ES$56-Voorblad!$F$41)/$U201-SUM($EE201:ER201)=1,1,0))))</f>
        <v>0</v>
      </c>
      <c r="ET201" s="8">
        <f>IF(ET$56-Voorblad!$F$41&gt;Voorblad!$K$41,0,IF($U201=0,0,IF($U201&lt;1,1/$U201,IF((ET$56-Voorblad!$F$41)/$U201-SUM($EE201:ES201)=1,1,0))))</f>
        <v>0</v>
      </c>
      <c r="EU201" s="8">
        <f>IF(EU$56-Voorblad!$F$41&gt;Voorblad!$K$41,0,IF($U201=0,0,IF($U201&lt;1,1/$U201,IF((EU$56-Voorblad!$F$41)/$U201-SUM($EE201:ET201)=1,1,0))))</f>
        <v>0</v>
      </c>
      <c r="EV201" s="8">
        <f>IF(EV$56-Voorblad!$F$41&gt;Voorblad!$K$41,0,IF($U201=0,0,IF($U201&lt;1,1/$U201,IF((EV$56-Voorblad!$F$41)/$U201-SUM($EE201:EU201)=1,1,0))))</f>
        <v>0</v>
      </c>
      <c r="EW201" s="8">
        <f>IF(EW$56-Voorblad!$F$41&gt;Voorblad!$K$41,0,IF($U201=0,0,IF($U201&lt;1,1/$U201,IF((EW$56-Voorblad!$F$41)/$U201-SUM($EE201:EV201)=1,1,0))))</f>
        <v>0</v>
      </c>
      <c r="EX201" s="8">
        <f>IF(EX$56-Voorblad!$F$41&gt;Voorblad!$K$41,0,IF($U201=0,0,IF($U201&lt;1,1/$U201,IF((EX$56-Voorblad!$F$41)/$U201-SUM($EE201:EW201)=1,1,0))))</f>
        <v>0</v>
      </c>
      <c r="EY201" s="8">
        <f>IF(EY$56-Voorblad!$F$41&gt;Voorblad!$K$41,0,IF($U201=0,0,IF($U201&lt;1,1/$U201,IF((EY$56-Voorblad!$F$41)/$U201-SUM($EE201:EX201)=1,1,0))))</f>
        <v>0</v>
      </c>
      <c r="EZ201" s="8">
        <f>IF(EZ$56-Voorblad!$F$41&gt;Voorblad!$K$41,0,IF($U201=0,0,IF($U201&lt;1,1/$U201,IF((EZ$56-Voorblad!$F$41)/$U201-SUM($EE201:EY201)=1,1,0))))</f>
        <v>0</v>
      </c>
      <c r="FA201" s="8">
        <f>IF(FA$56-Voorblad!$F$41&gt;Voorblad!$K$41,0,IF($U201=0,0,IF($U201&lt;1,1/$U201,IF((FA$56-Voorblad!$F$41)/$U201-SUM($EE201:EZ201)=1,1,0))))</f>
        <v>0</v>
      </c>
      <c r="FB201" s="8">
        <f>IF(FB$56-Voorblad!$F$41&gt;Voorblad!$K$41,0,IF($U201=0,0,IF($U201&lt;1,1/$U201,IF((FB$56-Voorblad!$F$41)/$U201-SUM($EE201:FA201)=1,1,0))))</f>
        <v>0</v>
      </c>
      <c r="FC201" s="8">
        <f>IF(FC$56-Voorblad!$F$41&gt;Voorblad!$K$41,0,IF($U201=0,0,IF($U201&lt;1,1/$U201,IF((FC$56-Voorblad!$F$41)/$U201-SUM($EE201:FB201)=1,1,0))))</f>
        <v>0</v>
      </c>
      <c r="FD201" s="8">
        <f>IF(FD$56-Voorblad!$F$41&gt;Voorblad!$K$41,0,IF($U201=0,0,IF($U201&lt;1,1/$U201,IF((FD$56-Voorblad!$F$41)/$U201-SUM($EE201:FC201)=1,1,0))))</f>
        <v>0</v>
      </c>
      <c r="FE201" s="8">
        <f>IF(FE$56-Voorblad!$F$41&gt;Voorblad!$K$41,0,IF($U201=0,0,IF($U201&lt;1,1/$U201,IF((FE$56-Voorblad!$F$41)/$U201-SUM($EE201:FD201)=1,1,0))))</f>
        <v>0</v>
      </c>
      <c r="FF201" s="8">
        <f>IF(FF$56-Voorblad!$F$41&gt;Voorblad!$K$41,0,IF($U201=0,0,IF($U201&lt;1,1/$U201,IF((FF$56-Voorblad!$F$41)/$U201-SUM($EE201:FE201)=1,1,0))))</f>
        <v>0</v>
      </c>
      <c r="FG201" s="8">
        <f>IF(FG$56-Voorblad!$F$41&gt;Voorblad!$K$41,0,IF($U201=0,0,IF($U201&lt;1,1/$U201,IF((FG$56-Voorblad!$F$41)/$U201-SUM($EE201:FF201)=1,1,0))))</f>
        <v>0</v>
      </c>
      <c r="FH201" s="8">
        <f>IF(FH$56-Voorblad!$F$41&gt;Voorblad!$K$41,0,IF($U201=0,0,IF($U201&lt;1,1/$U201,IF((FH$56-Voorblad!$F$41)/$U201-SUM($EE201:FG201)=1,1,0))))</f>
        <v>0</v>
      </c>
      <c r="FI201" s="8">
        <f>IF(FI$56-Voorblad!$F$41&gt;Voorblad!$K$41,0,IF($U201=0,0,IF($U201&lt;1,1/$U201,IF((FI$56-Voorblad!$F$41)/$U201-SUM($EE201:FH201)=1,1,0))))</f>
        <v>0</v>
      </c>
      <c r="FJ201" s="8">
        <f>IF(FJ$56-Voorblad!$F$41&gt;Voorblad!$K$41,0,IF($U201=0,0,IF($U201&lt;1,1/$U201,IF((FJ$56-Voorblad!$F$41)/$U201-SUM($EE201:FI201)=1,1,0))))</f>
        <v>0</v>
      </c>
      <c r="FK201" s="8">
        <f>IF(FK$56-Voorblad!$F$41&gt;Voorblad!$K$41,0,IF($U201=0,0,IF($U201&lt;1,1/$U201,IF((FK$56-Voorblad!$F$41)/$U201-SUM($EE201:FJ201)=1,1,0))))</f>
        <v>0</v>
      </c>
      <c r="FL201" s="8">
        <f>IF(FL$56-Voorblad!$F$41&gt;Voorblad!$K$41,0,IF($U201=0,0,IF($U201&lt;1,1/$U201,IF((FL$56-Voorblad!$F$41)/$U201-SUM($EE201:FK201)=1,1,0))))</f>
        <v>0</v>
      </c>
      <c r="FM201" s="8">
        <f>IF(FM$56-Voorblad!$F$41&gt;Voorblad!$K$41,0,IF($U201=0,0,IF($U201&lt;1,1/$U201,IF((FM$56-Voorblad!$F$41)/$U201-SUM($EE201:FL201)=1,1,0))))</f>
        <v>0</v>
      </c>
      <c r="FN201" s="8">
        <f>IF(FN$56-Voorblad!$F$41&gt;Voorblad!$K$41,0,IF($U201=0,0,IF($U201&lt;1,1/$U201,IF((FN$56-Voorblad!$F$41)/$U201-SUM($EE201:FM201)=1,1,0))))</f>
        <v>0</v>
      </c>
      <c r="FO201" s="8">
        <f>IF(FO$56-Voorblad!$F$41&gt;Voorblad!$K$41,0,IF($U201=0,0,IF($U201&lt;1,1/$U201,IF((FO$56-Voorblad!$F$41)/$U201-SUM($EE201:FN201)=1,1,0))))</f>
        <v>0</v>
      </c>
      <c r="FP201" s="8">
        <f>IF(FP$56-Voorblad!$F$41&gt;Voorblad!$K$41,0,IF($U201=0,0,IF($U201&lt;1,1/$U201,IF((FP$56-Voorblad!$F$41)/$U201-SUM($EE201:FO201)=1,1,0))))</f>
        <v>0</v>
      </c>
      <c r="FQ201" s="8">
        <f>IF(FQ$56-Voorblad!$F$41&gt;Voorblad!$K$41,0,IF($U201=0,0,IF($U201&lt;1,1/$U201,IF((FQ$56-Voorblad!$F$41)/$U201-SUM($EE201:FP201)=1,1,0))))</f>
        <v>0</v>
      </c>
      <c r="FR201" s="8">
        <f>IF(FR$56-Voorblad!$F$41&gt;Voorblad!$K$41,0,IF($U201=0,0,IF($U201&lt;1,1/$U201,IF((FR$56-Voorblad!$F$41)/$U201-SUM($EE201:FQ201)=1,1,0))))</f>
        <v>0</v>
      </c>
      <c r="FS201" s="8">
        <f>IF(FS$56-Voorblad!$F$41&gt;Voorblad!$K$41,0,IF($U201=0,0,IF($U201&lt;1,1/$U201,IF((FS$56-Voorblad!$F$41)/$U201-SUM($EE201:FR201)=1,1,0))))</f>
        <v>0</v>
      </c>
      <c r="FT201" s="8">
        <f>IF(FT$56-Voorblad!$F$41&gt;Voorblad!$K$41,0,IF($U201=0,0,IF($U201&lt;1,1/$U201,IF((FT$56-Voorblad!$F$41)/$U201-SUM($EE201:FS201)=1,1,0))))</f>
        <v>0</v>
      </c>
      <c r="FU201" s="8">
        <f>IF(FU$56-Voorblad!$F$41&gt;Voorblad!$K$41,0,IF($U201=0,0,IF($U201&lt;1,1/$U201,IF((FU$56-Voorblad!$F$41)/$U201-SUM($EE201:FT201)=1,1,0))))</f>
        <v>0</v>
      </c>
      <c r="FV201" s="8">
        <f>IF(FV$56-Voorblad!$F$41&gt;Voorblad!$K$41,0,IF($U201=0,0,IF($U201&lt;1,1/$U201,IF((FV$56-Voorblad!$F$41)/$U201-SUM($EE201:FU201)=1,1,0))))</f>
        <v>0</v>
      </c>
      <c r="FW201" s="8">
        <f>IF(FW$56-Voorblad!$F$41&gt;Voorblad!$K$41,0,IF($U201=0,0,IF($U201&lt;1,1/$U201,IF((FW$56-Voorblad!$F$41)/$U201-SUM($EE201:FV201)=1,1,0))))</f>
        <v>0</v>
      </c>
      <c r="FX201" s="8">
        <f>IF(FX$56-Voorblad!$F$41&gt;Voorblad!$K$41,0,IF($U201=0,0,IF($U201&lt;1,1/$U201,IF((FX$56-Voorblad!$F$41)/$U201-SUM($EE201:FW201)=1,1,0))))</f>
        <v>0</v>
      </c>
      <c r="FY201" s="8">
        <f>IF(FY$56-Voorblad!$F$41&gt;Voorblad!$K$41,0,IF($U201=0,0,IF($U201&lt;1,1/$U201,IF((FY$56-Voorblad!$F$41)/$U201-SUM($EE201:FX201)=1,1,0))))</f>
        <v>0</v>
      </c>
      <c r="FZ201" s="8">
        <f>IF(FZ$56-Voorblad!$F$41&gt;Voorblad!$K$41,0,IF($U201=0,0,IF($U201&lt;1,1/$U201,IF((FZ$56-Voorblad!$F$41)/$U201-SUM($EE201:FY201)=1,1,0))))</f>
        <v>0</v>
      </c>
      <c r="GA201" s="8">
        <f>IF(GA$56-Voorblad!$F$41&gt;Voorblad!$K$41,0,IF($U201=0,0,IF($U201&lt;1,1/$U201,IF((GA$56-Voorblad!$F$41)/$U201-SUM($EE201:FZ201)=1,1,0))))</f>
        <v>0</v>
      </c>
      <c r="GB201" s="8">
        <f>IF(GB$56-Voorblad!$F$41&gt;Voorblad!$K$41,0,IF($U201=0,0,IF($U201&lt;1,1/$U201,IF((GB$56-Voorblad!$F$41)/$U201-SUM($EE201:GA201)=1,1,0))))</f>
        <v>0</v>
      </c>
      <c r="GC201" s="8">
        <f>IF(GC$56-Voorblad!$F$41&gt;Voorblad!$K$41,0,IF($U201=0,0,IF($U201&lt;1,1/$U201,IF((GC$56-Voorblad!$F$41)/$U201-SUM($EE201:GB201)=1,1,0))))</f>
        <v>0</v>
      </c>
      <c r="GD201" s="8">
        <f>IF(GD$56-Voorblad!$F$41&gt;Voorblad!$K$41,0,IF($U201=0,0,IF($U201&lt;1,1/$U201,IF((GD$56-Voorblad!$F$41)/$U201-SUM($EE201:GC201)=1,1,0))))</f>
        <v>1</v>
      </c>
      <c r="GE201" s="8">
        <f>IF(GE$56-Voorblad!$F$41&gt;Voorblad!$K$41,0,IF($U201=0,0,IF($U201&lt;1,1/$U201,IF((GE$56-Voorblad!$F$41)/$U201-SUM($EE201:GD201)=1,1,0))))</f>
        <v>0</v>
      </c>
      <c r="GF201" s="8">
        <f>IF(GF$56-Voorblad!$F$41&gt;Voorblad!$K$41,0,IF($U201=0,0,IF($U201&lt;1,1/$U201,IF((GF$56-Voorblad!$F$41)/$U201-SUM($EE201:GE201)=1,1,0))))</f>
        <v>0</v>
      </c>
      <c r="GG201" s="8">
        <f>IF(GG$56-Voorblad!$F$41&gt;Voorblad!$K$41,0,IF($U201=0,0,IF($U201&lt;1,1/$U201,IF((GG$56-Voorblad!$F$41)/$U201-SUM($EE201:GF201)=1,1,0))))</f>
        <v>0</v>
      </c>
      <c r="GH201" s="8">
        <f>IF(GH$56-Voorblad!$F$41&gt;Voorblad!$K$41,0,IF($U201=0,0,IF($U201&lt;1,1/$U201,IF((GH$56-Voorblad!$F$41)/$U201-SUM($EE201:GG201)=1,1,0))))</f>
        <v>0</v>
      </c>
      <c r="GI201" s="8">
        <f>IF(GI$56-Voorblad!$F$41&gt;Voorblad!$K$41,0,IF($U201=0,0,IF($U201&lt;1,1/$U201,IF((GI$56-Voorblad!$F$41)/$U201-SUM($EE201:GH201)=1,1,0))))</f>
        <v>0</v>
      </c>
      <c r="GJ201" s="8">
        <f>IF(GJ$56-Voorblad!$F$41&gt;Voorblad!$K$41,0,IF($U201=0,0,IF($U201&lt;1,1/$U201,IF((GJ$56-Voorblad!$F$41)/$U201-SUM($EE201:GI201)=1,1,0))))</f>
        <v>0</v>
      </c>
      <c r="GK201" s="8">
        <f>IF(GK$56-Voorblad!$F$41&gt;Voorblad!$K$41,0,IF($U201=0,0,IF($U201&lt;1,1/$U201,IF((GK$56-Voorblad!$F$41)/$U201-SUM($EE201:GJ201)=1,1,0))))</f>
        <v>0</v>
      </c>
      <c r="GL201" s="8">
        <f>IF(GL$56-Voorblad!$F$41&gt;Voorblad!$K$41,0,IF($U201=0,0,IF($U201&lt;1,1/$U201,IF((GL$56-Voorblad!$F$41)/$U201-SUM($EE201:GK201)=1,1,0))))</f>
        <v>0</v>
      </c>
      <c r="GM201" s="8">
        <f>IF(GM$56-Voorblad!$F$41&gt;Voorblad!$K$41,0,IF($U201=0,0,IF($U201&lt;1,1/$U201,IF((GM$56-Voorblad!$F$41)/$U201-SUM($EE201:GL201)=1,1,0))))</f>
        <v>0</v>
      </c>
      <c r="GN201" s="8">
        <f>IF(GN$56-Voorblad!$F$41&gt;Voorblad!$K$41,0,IF($U201=0,0,IF($U201&lt;1,1/$U201,IF((GN$56-Voorblad!$F$41)/$U201-SUM($EE201:GM201)=1,1,0))))</f>
        <v>0</v>
      </c>
      <c r="GO201" s="8">
        <f>IF(GO$56-Voorblad!$F$41&gt;Voorblad!$K$41,0,IF($U201=0,0,IF($U201&lt;1,1/$U201,IF((GO$56-Voorblad!$F$41)/$U201-SUM($EE201:GN201)=1,1,0))))</f>
        <v>0</v>
      </c>
      <c r="GP201" s="8">
        <f>IF(GP$56-Voorblad!$F$41&gt;Voorblad!$K$41,0,IF($U201=0,0,IF($U201&lt;1,1/$U201,IF((GP$56-Voorblad!$F$41)/$U201-SUM($EE201:GO201)=1,1,0))))</f>
        <v>0</v>
      </c>
      <c r="GQ201" s="8">
        <f>IF(GQ$56-Voorblad!$F$41&gt;Voorblad!$K$41,0,IF($U201=0,0,IF($U201&lt;1,1/$U201,IF((GQ$56-Voorblad!$F$41)/$U201-SUM($EE201:GP201)=1,1,0))))</f>
        <v>0</v>
      </c>
      <c r="GR201" s="8">
        <f>IF(GR$56-Voorblad!$F$41&gt;Voorblad!$K$41,0,IF($U201=0,0,IF($U201&lt;1,1/$U201,IF((GR$56-Voorblad!$F$41)/$U201-SUM($EE201:GQ201)=1,1,0))))</f>
        <v>0</v>
      </c>
      <c r="GS201" s="8">
        <f>IF(GS$56-Voorblad!$F$41&gt;Voorblad!$K$41,0,IF($U201=0,0,IF($U201&lt;1,1/$U201,IF((GS$56-Voorblad!$F$41)/$U201-SUM($EE201:GR201)=1,1,0))))</f>
        <v>0</v>
      </c>
      <c r="GT201" s="8">
        <f>IF(GT$56-Voorblad!$F$41&gt;Voorblad!$K$41,0,IF($U201=0,0,IF($U201&lt;1,1/$U201,IF((GT$56-Voorblad!$F$41)/$U201-SUM($EE201:GS201)=1,1,0))))</f>
        <v>0</v>
      </c>
      <c r="GU201" s="8">
        <f>IF(GU$56-Voorblad!$F$41&gt;Voorblad!$K$41,0,IF($U201=0,0,IF($U201&lt;1,1/$U201,IF((GU$56-Voorblad!$F$41)/$U201-SUM($EE201:GT201)=1,1,0))))</f>
        <v>0</v>
      </c>
      <c r="GV201" s="8">
        <f>IF(GV$56-Voorblad!$F$41&gt;Voorblad!$K$41,0,IF($U201=0,0,IF($U201&lt;1,1/$U201,IF((GV$56-Voorblad!$F$41)/$U201-SUM($EE201:GU201)=1,1,0))))</f>
        <v>0</v>
      </c>
      <c r="GW201" s="8">
        <f>IF(GW$56-Voorblad!$F$41&gt;Voorblad!$K$41,0,IF($U201=0,0,IF($U201&lt;1,1/$U201,IF((GW$56-Voorblad!$F$41)/$U201-SUM($EE201:GV201)=1,1,0))))</f>
        <v>0</v>
      </c>
      <c r="GX201" s="8">
        <f>IF(GX$56-Voorblad!$F$41&gt;Voorblad!$K$41,0,IF($U201=0,0,IF($U201&lt;1,1/$U201,IF((GX$56-Voorblad!$F$41)/$U201-SUM($EE201:GW201)=1,1,0))))</f>
        <v>0</v>
      </c>
      <c r="GY201" s="8">
        <f>IF(GY$56-Voorblad!$F$41&gt;Voorblad!$K$41,0,IF($U201=0,0,IF($U201&lt;1,1/$U201,IF((GY$56-Voorblad!$F$41)/$U201-SUM($EE201:GX201)=1,1,0))))</f>
        <v>0</v>
      </c>
      <c r="GZ201" s="8">
        <f>IF(GZ$56-Voorblad!$F$41&gt;Voorblad!$K$41,0,IF($U201=0,0,IF($U201&lt;1,1/$U201,IF((GZ$56-Voorblad!$F$41)/$U201-SUM($EE201:GY201)=1,1,0))))</f>
        <v>0</v>
      </c>
      <c r="HA201" s="8">
        <f>IF(HA$56-Voorblad!$F$41&gt;Voorblad!$K$41,0,IF($U201=0,0,IF($U201&lt;1,1/$U201,IF((HA$56-Voorblad!$F$41)/$U201-SUM($EE201:GZ201)=1,1,0))))</f>
        <v>0</v>
      </c>
      <c r="HB201" s="8">
        <f>IF(HB$56-Voorblad!$F$41&gt;Voorblad!$K$41,0,IF($U201=0,0,IF($U201&lt;1,1/$U201,IF((HB$56-Voorblad!$F$41)/$U201-SUM($EE201:HA201)=1,1,0))))</f>
        <v>0</v>
      </c>
      <c r="HC201" s="8">
        <f>IF(HC$56-Voorblad!$F$41&gt;Voorblad!$K$41,0,IF($U201=0,0,IF($U201&lt;1,1/$U201,IF((HC$56-Voorblad!$F$41)/$U201-SUM($EE201:HB201)=1,1,0))))</f>
        <v>0</v>
      </c>
      <c r="HD201" s="8">
        <f>IF(HD$56-Voorblad!$F$41&gt;Voorblad!$K$41,0,IF($U201=0,0,IF($U201&lt;1,1/$U201,IF((HD$56-Voorblad!$F$41)/$U201-SUM($EE201:HC201)=1,1,0))))</f>
        <v>0</v>
      </c>
      <c r="HE201" s="8">
        <f>IF(HE$56-Voorblad!$F$41&gt;Voorblad!$K$41,0,IF($U201=0,0,IF($U201&lt;1,1/$U201,IF((HE$56-Voorblad!$F$41)/$U201-SUM($EE201:HD201)=1,1,0))))</f>
        <v>0</v>
      </c>
      <c r="HF201" s="8">
        <f>IF(HF$56-Voorblad!$F$41&gt;Voorblad!$K$41,0,IF($U201=0,0,IF($U201&lt;1,1/$U201,IF((HF$56-Voorblad!$F$41)/$U201-SUM($EE201:HE201)=1,1,0))))</f>
        <v>0</v>
      </c>
      <c r="HG201" s="8">
        <f>IF(HG$56-Voorblad!$F$41&gt;Voorblad!$K$41,0,IF($U201=0,0,IF($U201&lt;1,1/$U201,IF((HG$56-Voorblad!$F$41)/$U201-SUM($EE201:HF201)=1,1,0))))</f>
        <v>0</v>
      </c>
      <c r="HH201" s="8">
        <f>IF(HH$56-Voorblad!$F$41&gt;Voorblad!$K$41,0,IF($U201=0,0,IF($U201&lt;1,1/$U201,IF((HH$56-Voorblad!$F$41)/$U201-SUM($EE201:HG201)=1,1,0))))</f>
        <v>0</v>
      </c>
      <c r="HI201" s="8">
        <f>IF(HI$56-Voorblad!$F$41&gt;Voorblad!$K$41,0,IF($U201=0,0,IF($U201&lt;1,1/$U201,IF((HI$56-Voorblad!$F$41)/$U201-SUM($EE201:HH201)=1,1,0))))</f>
        <v>0</v>
      </c>
      <c r="HJ201" s="8">
        <f>IF(HJ$56-Voorblad!$F$41&gt;Voorblad!$K$41,0,IF($U201=0,0,IF($U201&lt;1,1/$U201,IF((HJ$56-Voorblad!$F$41)/$U201-SUM($EE201:HI201)=1,1,0))))</f>
        <v>0</v>
      </c>
      <c r="HK201" s="8">
        <f>IF(HK$56-Voorblad!$F$41&gt;Voorblad!$K$41,0,IF($U201=0,0,IF($U201&lt;1,1/$U201,IF((HK$56-Voorblad!$F$41)/$U201-SUM($EE201:HJ201)=1,1,0))))</f>
        <v>0</v>
      </c>
      <c r="HL201" s="8">
        <f>IF(HL$56-Voorblad!$F$41&gt;Voorblad!$K$41,0,IF($U201=0,0,IF($U201&lt;1,1/$U201,IF((HL$56-Voorblad!$F$41)/$U201-SUM($EE201:HK201)=1,1,0))))</f>
        <v>0</v>
      </c>
      <c r="HM201" s="8">
        <f>IF(HM$56-Voorblad!$F$41&gt;Voorblad!$K$41,0,IF($U201=0,0,IF($U201&lt;1,1/$U201,IF((HM$56-Voorblad!$F$41)/$U201-SUM($EE201:HL201)=1,1,0))))</f>
        <v>0</v>
      </c>
      <c r="HN201" s="8">
        <f>IF(HN$56-Voorblad!$F$41&gt;Voorblad!$K$41,0,IF($U201=0,0,IF($U201&lt;1,1/$U201,IF((HN$56-Voorblad!$F$41)/$U201-SUM($EE201:HM201)=1,1,0))))</f>
        <v>0</v>
      </c>
      <c r="HO201" s="8">
        <f>IF(HO$56-Voorblad!$F$41&gt;Voorblad!$K$41,0,IF($U201=0,0,IF($U201&lt;1,1/$U201,IF((HO$56-Voorblad!$F$41)/$U201-SUM($EE201:HN201)=1,1,0))))</f>
        <v>0</v>
      </c>
      <c r="HP201" s="8">
        <f>IF(HP$56-Voorblad!$F$41&gt;Voorblad!$K$41,0,IF($U201=0,0,IF($U201&lt;1,1/$U201,IF((HP$56-Voorblad!$F$41)/$U201-SUM($EE201:HO201)=1,1,0))))</f>
        <v>0</v>
      </c>
      <c r="HQ201" s="8">
        <f>IF(HQ$56-Voorblad!$F$41&gt;Voorblad!$K$41,0,IF($U201=0,0,IF($U201&lt;1,1/$U201,IF((HQ$56-Voorblad!$F$41)/$U201-SUM($EE201:HP201)=1,1,0))))</f>
        <v>0</v>
      </c>
      <c r="HR201" s="8">
        <f>IF(HR$56-Voorblad!$F$41&gt;Voorblad!$K$41,0,IF($U201=0,0,IF($U201&lt;1,1/$U201,IF((HR$56-Voorblad!$F$41)/$U201-SUM($EE201:HQ201)=1,1,0))))</f>
        <v>0</v>
      </c>
      <c r="HS201" s="8">
        <f>IF(HS$56-Voorblad!$F$41&gt;Voorblad!$K$41,0,IF($U201=0,0,IF($U201&lt;1,1/$U201,IF((HS$56-Voorblad!$F$41)/$U201-SUM($EE201:HR201)=1,1,0))))</f>
        <v>0</v>
      </c>
      <c r="HT201" s="8">
        <f>IF(HT$56-Voorblad!$F$41&gt;Voorblad!$K$41,0,IF($U201=0,0,IF($U201&lt;1,1/$U201,IF((HT$56-Voorblad!$F$41)/$U201-SUM($EE201:HS201)=1,1,0))))</f>
        <v>0</v>
      </c>
      <c r="HU201" s="8">
        <f>IF(HU$56-Voorblad!$F$41&gt;Voorblad!$K$41,0,IF($U201=0,0,IF($U201&lt;1,1/$U201,IF((HU$56-Voorblad!$F$41)/$U201-SUM($EE201:HT201)=1,1,0))))</f>
        <v>0</v>
      </c>
      <c r="HV201" s="8">
        <f>IF(HV$56-Voorblad!$F$41&gt;Voorblad!$K$41,0,IF($U201=0,0,IF($U201&lt;1,1/$U201,IF((HV$56-Voorblad!$F$41)/$U201-SUM($EE201:HU201)=1,1,0))))</f>
        <v>0</v>
      </c>
      <c r="HW201" s="8">
        <f>IF(HW$56-Voorblad!$F$41&gt;Voorblad!$K$41,0,IF($U201=0,0,IF($U201&lt;1,1/$U201,IF((HW$56-Voorblad!$F$41)/$U201-SUM($EE201:HV201)=1,1,0))))</f>
        <v>0</v>
      </c>
      <c r="HX201" s="8">
        <f>IF(HX$56-Voorblad!$F$41&gt;Voorblad!$K$41,0,IF($U201=0,0,IF($U201&lt;1,1/$U201,IF((HX$56-Voorblad!$F$41)/$U201-SUM($EE201:HW201)=1,1,0))))</f>
        <v>0</v>
      </c>
      <c r="HY201" s="8">
        <f>IF(HY$56-Voorblad!$F$41&gt;Voorblad!$K$41,0,IF($U201=0,0,IF($U201&lt;1,1/$U201,IF((HY$56-Voorblad!$F$41)/$U201-SUM($EE201:HX201)=1,1,0))))</f>
        <v>0</v>
      </c>
      <c r="HZ201" s="8">
        <f>IF(HZ$56-Voorblad!$F$41&gt;Voorblad!$K$41,0,IF($U201=0,0,IF($U201&lt;1,1/$U201,IF((HZ$56-Voorblad!$F$41)/$U201-SUM($EE201:HY201)=1,1,0))))</f>
        <v>0</v>
      </c>
      <c r="IA201" s="8">
        <f>IF(IA$56-Voorblad!$F$41&gt;Voorblad!$K$41,0,IF($U201=0,0,IF($U201&lt;1,1/$U201,IF((IA$56-Voorblad!$F$41)/$U201-SUM($EE201:HZ201)=1,1,0))))</f>
        <v>0</v>
      </c>
      <c r="IB201" s="8">
        <f>IF(IB$56-Voorblad!$F$41&gt;Voorblad!$K$41,0,IF($U201=0,0,IF($U201&lt;1,1/$U201,IF((IB$56-Voorblad!$F$41)/$U201-SUM($EE201:IA201)=1,1,0))))</f>
        <v>0</v>
      </c>
    </row>
    <row r="202" spans="2:236" hidden="1" outlineLevel="1" x14ac:dyDescent="0.25">
      <c r="B202" s="2" t="s">
        <v>270</v>
      </c>
      <c r="C202" s="2"/>
      <c r="D202" s="15"/>
      <c r="S202" s="14"/>
      <c r="U202" s="14"/>
      <c r="V202" s="14"/>
      <c r="Y202" s="23">
        <f>SUM(Y201)</f>
        <v>0</v>
      </c>
      <c r="Z202" s="24"/>
      <c r="AA202" s="23">
        <f>SUM(AA201)</f>
        <v>0</v>
      </c>
      <c r="AC202" s="9">
        <f>$Y202*(Voorblad!$K$44*(1+Voorblad!$K$44)^Voorblad!$K$41)/((1+Voorblad!$K$44)^Voorblad!$K$41-1)</f>
        <v>0</v>
      </c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E202" s="8"/>
      <c r="EF202" s="8"/>
      <c r="EG202" s="8"/>
      <c r="EH202" s="8"/>
      <c r="EI202" s="8"/>
      <c r="EJ202" s="8"/>
      <c r="EK202" s="8"/>
      <c r="EL202" s="8"/>
      <c r="EM202" s="8"/>
      <c r="EN202" s="8"/>
      <c r="EO202" s="8"/>
      <c r="EP202" s="8"/>
      <c r="EQ202" s="8"/>
      <c r="ER202" s="8"/>
      <c r="ES202" s="8"/>
      <c r="ET202" s="8"/>
      <c r="EU202" s="8"/>
      <c r="EV202" s="8"/>
      <c r="EW202" s="8"/>
      <c r="EX202" s="8"/>
      <c r="EY202" s="8"/>
      <c r="EZ202" s="8"/>
      <c r="FA202" s="8"/>
      <c r="FB202" s="8"/>
      <c r="FC202" s="8"/>
      <c r="FD202" s="8"/>
      <c r="FE202" s="8"/>
      <c r="FF202" s="8"/>
      <c r="FG202" s="8"/>
      <c r="FH202" s="8"/>
      <c r="FI202" s="8"/>
      <c r="FJ202" s="8"/>
      <c r="FK202" s="8"/>
      <c r="FL202" s="8"/>
      <c r="FM202" s="8"/>
      <c r="FN202" s="8"/>
      <c r="FO202" s="8"/>
      <c r="FP202" s="8"/>
      <c r="FQ202" s="8"/>
      <c r="FR202" s="8"/>
      <c r="FS202" s="8"/>
      <c r="FT202" s="8"/>
      <c r="FU202" s="8"/>
      <c r="FV202" s="8"/>
      <c r="FW202" s="8"/>
      <c r="FX202" s="8"/>
      <c r="FY202" s="8"/>
      <c r="FZ202" s="8"/>
      <c r="GA202" s="8"/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</row>
    <row r="203" spans="2:236" hidden="1" outlineLevel="1" x14ac:dyDescent="0.25">
      <c r="S203" s="14"/>
      <c r="U203" s="14"/>
      <c r="V203" s="14"/>
      <c r="Y203" s="9"/>
      <c r="Z203" s="9"/>
      <c r="AA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E203" s="8"/>
      <c r="EF203" s="8"/>
      <c r="EG203" s="8"/>
      <c r="EH203" s="8"/>
      <c r="EI203" s="8"/>
      <c r="EJ203" s="8"/>
      <c r="EK203" s="8"/>
      <c r="EL203" s="8"/>
      <c r="EM203" s="8"/>
      <c r="EN203" s="8"/>
      <c r="EO203" s="8"/>
      <c r="EP203" s="8"/>
      <c r="EQ203" s="8"/>
      <c r="ER203" s="8"/>
      <c r="ES203" s="8"/>
      <c r="ET203" s="8"/>
      <c r="EU203" s="8"/>
      <c r="EV203" s="8"/>
      <c r="EW203" s="8"/>
      <c r="EX203" s="8"/>
      <c r="EY203" s="8"/>
      <c r="EZ203" s="8"/>
      <c r="FA203" s="8"/>
      <c r="FB203" s="8"/>
      <c r="FC203" s="8"/>
      <c r="FD203" s="8"/>
      <c r="FE203" s="8"/>
      <c r="FF203" s="8"/>
      <c r="FG203" s="8"/>
      <c r="FH203" s="8"/>
      <c r="FI203" s="8"/>
      <c r="FJ203" s="8"/>
      <c r="FK203" s="8"/>
      <c r="FL203" s="8"/>
      <c r="FM203" s="8"/>
      <c r="FN203" s="8"/>
      <c r="FO203" s="8"/>
      <c r="FP203" s="8"/>
      <c r="FQ203" s="8"/>
      <c r="FR203" s="8"/>
      <c r="FS203" s="8"/>
      <c r="FT203" s="8"/>
      <c r="FU203" s="8"/>
      <c r="FV203" s="8"/>
      <c r="FW203" s="8"/>
      <c r="FX203" s="8"/>
      <c r="FY203" s="8"/>
      <c r="FZ203" s="8"/>
      <c r="GA203" s="8"/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</row>
    <row r="204" spans="2:236" hidden="1" outlineLevel="1" x14ac:dyDescent="0.25">
      <c r="B204" s="14">
        <v>1</v>
      </c>
      <c r="C204" s="14"/>
      <c r="F204" s="1" t="s">
        <v>26</v>
      </c>
      <c r="I204" s="1" t="s">
        <v>49</v>
      </c>
      <c r="K204" s="1" t="s">
        <v>107</v>
      </c>
      <c r="O204" s="1" t="s">
        <v>57</v>
      </c>
      <c r="P204" s="1" t="s">
        <v>230</v>
      </c>
      <c r="Q204" s="83">
        <v>0</v>
      </c>
      <c r="R204" s="81" t="s">
        <v>35</v>
      </c>
      <c r="S204" s="81">
        <v>0</v>
      </c>
      <c r="T204" s="9">
        <f>Q204*S204</f>
        <v>0</v>
      </c>
      <c r="U204" s="11">
        <v>1</v>
      </c>
      <c r="V204" s="14">
        <f>Voorblad!F25+100</f>
        <v>2020</v>
      </c>
      <c r="W204" s="9">
        <f>Voorblad!K85</f>
        <v>0</v>
      </c>
      <c r="X204" s="6"/>
      <c r="Y204" s="9">
        <f t="shared" si="199"/>
        <v>0</v>
      </c>
      <c r="Z204" s="82"/>
      <c r="AA204" s="82"/>
      <c r="AC204" s="9">
        <f>$Y204*(Voorblad!$K$44*(1+Voorblad!$K$44)^Voorblad!$K$41)/((1+Voorblad!$K$44)^Voorblad!$K$41-1)</f>
        <v>0</v>
      </c>
      <c r="AE204" s="9">
        <f>IF($W204=AE$56,EF204*($Q204*$S204)/(1+Voorblad!$K$44)^(AE$56-Voorblad!$F$41),0)</f>
        <v>0</v>
      </c>
      <c r="AF204" s="9">
        <f>IF($W204=AF$56,EG204*($Q204*$S204)/(1+Voorblad!$K$44)^(AF$56-Voorblad!$F$41),0)</f>
        <v>0</v>
      </c>
      <c r="AG204" s="9">
        <f>IF($W204=AG$56,EH204*($Q204*$S204)/(1+Voorblad!$K$44)^(AG$56-Voorblad!$F$41),0)</f>
        <v>0</v>
      </c>
      <c r="AH204" s="9">
        <f>IF($W204=AH$56,EI204*($Q204*$S204)/(1+Voorblad!$K$44)^(AH$56-Voorblad!$F$41),0)</f>
        <v>0</v>
      </c>
      <c r="AI204" s="9">
        <f>IF($W204=AI$56,EJ204*($Q204*$S204)/(1+Voorblad!$K$44)^(AI$56-Voorblad!$F$41),0)</f>
        <v>0</v>
      </c>
      <c r="AJ204" s="9">
        <f>IF($W204=AJ$56,EK204*($Q204*$S204)/(1+Voorblad!$K$44)^(AJ$56-Voorblad!$F$41),0)</f>
        <v>0</v>
      </c>
      <c r="AK204" s="9">
        <f>IF($W204=AK$56,EL204*($Q204*$S204)/(1+Voorblad!$K$44)^(AK$56-Voorblad!$F$41),0)</f>
        <v>0</v>
      </c>
      <c r="AL204" s="9">
        <f>IF($W204=AL$56,EM204*($Q204*$S204)/(1+Voorblad!$K$44)^(AL$56-Voorblad!$F$41),0)</f>
        <v>0</v>
      </c>
      <c r="AM204" s="9">
        <f>IF($W204=AM$56,EN204*($Q204*$S204)/(1+Voorblad!$K$44)^(AM$56-Voorblad!$F$41),0)</f>
        <v>0</v>
      </c>
      <c r="AN204" s="9">
        <f>IF($W204=AN$56,EO204*($Q204*$S204)/(1+Voorblad!$K$44)^(AN$56-Voorblad!$F$41),0)</f>
        <v>0</v>
      </c>
      <c r="AO204" s="9">
        <f>IF($W204=AO$56,EP204*($Q204*$S204)/(1+Voorblad!$K$44)^(AO$56-Voorblad!$F$41),0)</f>
        <v>0</v>
      </c>
      <c r="AP204" s="9">
        <f>IF($W204=AP$56,EQ204*($Q204*$S204)/(1+Voorblad!$K$44)^(AP$56-Voorblad!$F$41),0)</f>
        <v>0</v>
      </c>
      <c r="AQ204" s="9">
        <f>IF($W204=AQ$56,ER204*($Q204*$S204)/(1+Voorblad!$K$44)^(AQ$56-Voorblad!$F$41),0)</f>
        <v>0</v>
      </c>
      <c r="AR204" s="9">
        <f>IF($W204=AR$56,ES204*($Q204*$S204)/(1+Voorblad!$K$44)^(AR$56-Voorblad!$F$41),0)</f>
        <v>0</v>
      </c>
      <c r="AS204" s="9">
        <f>IF($W204=AS$56,ET204*($Q204*$S204)/(1+Voorblad!$K$44)^(AS$56-Voorblad!$F$41),0)</f>
        <v>0</v>
      </c>
      <c r="AT204" s="9">
        <f>IF($W204=AT$56,EU204*($Q204*$S204)/(1+Voorblad!$K$44)^(AT$56-Voorblad!$F$41),0)</f>
        <v>0</v>
      </c>
      <c r="AU204" s="9">
        <f>IF($W204=AU$56,EV204*($Q204*$S204)/(1+Voorblad!$K$44)^(AU$56-Voorblad!$F$41),0)</f>
        <v>0</v>
      </c>
      <c r="AV204" s="9">
        <f>IF($W204=AV$56,EW204*($Q204*$S204)/(1+Voorblad!$K$44)^(AV$56-Voorblad!$F$41),0)</f>
        <v>0</v>
      </c>
      <c r="AW204" s="9">
        <f>IF($W204=AW$56,EX204*($Q204*$S204)/(1+Voorblad!$K$44)^(AW$56-Voorblad!$F$41),0)</f>
        <v>0</v>
      </c>
      <c r="AX204" s="9">
        <f>IF($W204=AX$56,EY204*($Q204*$S204)/(1+Voorblad!$K$44)^(AX$56-Voorblad!$F$41),0)</f>
        <v>0</v>
      </c>
      <c r="AY204" s="9">
        <f>IF($W204=AY$56,EZ204*($Q204*$S204)/(1+Voorblad!$K$44)^(AY$56-Voorblad!$F$41),0)</f>
        <v>0</v>
      </c>
      <c r="AZ204" s="9">
        <f>IF($W204=AZ$56,FA204*($Q204*$S204)/(1+Voorblad!$K$44)^(AZ$56-Voorblad!$F$41),0)</f>
        <v>0</v>
      </c>
      <c r="BA204" s="9">
        <f>IF($W204=BA$56,FB204*($Q204*$S204)/(1+Voorblad!$K$44)^(BA$56-Voorblad!$F$41),0)</f>
        <v>0</v>
      </c>
      <c r="BB204" s="9">
        <f>IF($W204=BB$56,FC204*($Q204*$S204)/(1+Voorblad!$K$44)^(BB$56-Voorblad!$F$41),0)</f>
        <v>0</v>
      </c>
      <c r="BC204" s="9">
        <f>IF($W204=BC$56,FD204*($Q204*$S204)/(1+Voorblad!$K$44)^(BC$56-Voorblad!$F$41),0)</f>
        <v>0</v>
      </c>
      <c r="BD204" s="9">
        <f>IF($W204=BD$56,FE204*($Q204*$S204)/(1+Voorblad!$K$44)^(BD$56-Voorblad!$F$41),0)</f>
        <v>0</v>
      </c>
      <c r="BE204" s="9">
        <f>IF($W204=BE$56,FF204*($Q204*$S204)/(1+Voorblad!$K$44)^(BE$56-Voorblad!$F$41),0)</f>
        <v>0</v>
      </c>
      <c r="BF204" s="9">
        <f>IF($W204=BF$56,FG204*($Q204*$S204)/(1+Voorblad!$K$44)^(BF$56-Voorblad!$F$41),0)</f>
        <v>0</v>
      </c>
      <c r="BG204" s="9">
        <f>IF($W204=BG$56,FH204*($Q204*$S204)/(1+Voorblad!$K$44)^(BG$56-Voorblad!$F$41),0)</f>
        <v>0</v>
      </c>
      <c r="BH204" s="9">
        <f>IF($W204=BH$56,FI204*($Q204*$S204)/(1+Voorblad!$K$44)^(BH$56-Voorblad!$F$41),0)</f>
        <v>0</v>
      </c>
      <c r="BI204" s="9">
        <f>IF($W204=BI$56,FJ204*($Q204*$S204)/(1+Voorblad!$K$44)^(BI$56-Voorblad!$F$41),0)</f>
        <v>0</v>
      </c>
      <c r="BJ204" s="9">
        <f>IF($W204=BJ$56,FK204*($Q204*$S204)/(1+Voorblad!$K$44)^(BJ$56-Voorblad!$F$41),0)</f>
        <v>0</v>
      </c>
      <c r="BK204" s="9">
        <f>IF($W204=BK$56,FL204*($Q204*$S204)/(1+Voorblad!$K$44)^(BK$56-Voorblad!$F$41),0)</f>
        <v>0</v>
      </c>
      <c r="BL204" s="9">
        <f>IF($W204=BL$56,FM204*($Q204*$S204)/(1+Voorblad!$K$44)^(BL$56-Voorblad!$F$41),0)</f>
        <v>0</v>
      </c>
      <c r="BM204" s="9">
        <f>IF($W204=BM$56,FN204*($Q204*$S204)/(1+Voorblad!$K$44)^(BM$56-Voorblad!$F$41),0)</f>
        <v>0</v>
      </c>
      <c r="BN204" s="9">
        <f>IF($W204=BN$56,FO204*($Q204*$S204)/(1+Voorblad!$K$44)^(BN$56-Voorblad!$F$41),0)</f>
        <v>0</v>
      </c>
      <c r="BO204" s="9">
        <f>IF($W204=BO$56,FP204*($Q204*$S204)/(1+Voorblad!$K$44)^(BO$56-Voorblad!$F$41),0)</f>
        <v>0</v>
      </c>
      <c r="BP204" s="9">
        <f>IF($W204=BP$56,FQ204*($Q204*$S204)/(1+Voorblad!$K$44)^(BP$56-Voorblad!$F$41),0)</f>
        <v>0</v>
      </c>
      <c r="BQ204" s="9">
        <f>IF($W204=BQ$56,FR204*($Q204*$S204)/(1+Voorblad!$K$44)^(BQ$56-Voorblad!$F$41),0)</f>
        <v>0</v>
      </c>
      <c r="BR204" s="9">
        <f>IF($W204=BR$56,FS204*($Q204*$S204)/(1+Voorblad!$K$44)^(BR$56-Voorblad!$F$41),0)</f>
        <v>0</v>
      </c>
      <c r="BS204" s="9">
        <f>IF($W204=BS$56,FT204*($Q204*$S204)/(1+Voorblad!$K$44)^(BS$56-Voorblad!$F$41),0)</f>
        <v>0</v>
      </c>
      <c r="BT204" s="9">
        <f>IF($W204=BT$56,FU204*($Q204*$S204)/(1+Voorblad!$K$44)^(BT$56-Voorblad!$F$41),0)</f>
        <v>0</v>
      </c>
      <c r="BU204" s="9">
        <f>IF($W204=BU$56,FV204*($Q204*$S204)/(1+Voorblad!$K$44)^(BU$56-Voorblad!$F$41),0)</f>
        <v>0</v>
      </c>
      <c r="BV204" s="9">
        <f>IF($W204=BV$56,FW204*($Q204*$S204)/(1+Voorblad!$K$44)^(BV$56-Voorblad!$F$41),0)</f>
        <v>0</v>
      </c>
      <c r="BW204" s="9">
        <f>IF($W204=BW$56,FX204*($Q204*$S204)/(1+Voorblad!$K$44)^(BW$56-Voorblad!$F$41),0)</f>
        <v>0</v>
      </c>
      <c r="BX204" s="9">
        <f>IF($W204=BX$56,FY204*($Q204*$S204)/(1+Voorblad!$K$44)^(BX$56-Voorblad!$F$41),0)</f>
        <v>0</v>
      </c>
      <c r="BY204" s="9">
        <f>IF($W204=BY$56,FZ204*($Q204*$S204)/(1+Voorblad!$K$44)^(BY$56-Voorblad!$F$41),0)</f>
        <v>0</v>
      </c>
      <c r="BZ204" s="9">
        <f>IF($W204=BZ$56,GA204*($Q204*$S204)/(1+Voorblad!$K$44)^(BZ$56-Voorblad!$F$41),0)</f>
        <v>0</v>
      </c>
      <c r="CA204" s="9">
        <f>IF($W204=CA$56,GB204*($Q204*$S204)/(1+Voorblad!$K$44)^(CA$56-Voorblad!$F$41),0)</f>
        <v>0</v>
      </c>
      <c r="CB204" s="9">
        <f>IF($W204=CB$56,GC204*($Q204*$S204)/(1+Voorblad!$K$44)^(CB$56-Voorblad!$F$41),0)</f>
        <v>0</v>
      </c>
      <c r="CC204" s="9">
        <f>IF($W204=CC$56,GD204*($Q204*$S204)/(1+Voorblad!$K$44)^(CC$56-Voorblad!$F$41),0)</f>
        <v>0</v>
      </c>
      <c r="CD204" s="9">
        <f>IF($W204=CD$56,GE204*($Q204*$S204)/(1+Voorblad!$K$44)^(CD$56-Voorblad!$F$41),0)</f>
        <v>0</v>
      </c>
      <c r="CE204" s="9">
        <f>IF($W204=CE$56,GF204*($Q204*$S204)/(1+Voorblad!$K$44)^(CE$56-Voorblad!$F$41),0)</f>
        <v>0</v>
      </c>
      <c r="CF204" s="9">
        <f>IF($W204=CF$56,GG204*($Q204*$S204)/(1+Voorblad!$K$44)^(CF$56-Voorblad!$F$41),0)</f>
        <v>0</v>
      </c>
      <c r="CG204" s="9">
        <f>IF($W204=CG$56,GH204*($Q204*$S204)/(1+Voorblad!$K$44)^(CG$56-Voorblad!$F$41),0)</f>
        <v>0</v>
      </c>
      <c r="CH204" s="9">
        <f>IF($W204=CH$56,GI204*($Q204*$S204)/(1+Voorblad!$K$44)^(CH$56-Voorblad!$F$41),0)</f>
        <v>0</v>
      </c>
      <c r="CI204" s="9">
        <f>IF($W204=CI$56,GJ204*($Q204*$S204)/(1+Voorblad!$K$44)^(CI$56-Voorblad!$F$41),0)</f>
        <v>0</v>
      </c>
      <c r="CJ204" s="9">
        <f>IF($W204=CJ$56,GK204*($Q204*$S204)/(1+Voorblad!$K$44)^(CJ$56-Voorblad!$F$41),0)</f>
        <v>0</v>
      </c>
      <c r="CK204" s="9">
        <f>IF($W204=CK$56,GL204*($Q204*$S204)/(1+Voorblad!$K$44)^(CK$56-Voorblad!$F$41),0)</f>
        <v>0</v>
      </c>
      <c r="CL204" s="9">
        <f>IF($W204=CL$56,GM204*($Q204*$S204)/(1+Voorblad!$K$44)^(CL$56-Voorblad!$F$41),0)</f>
        <v>0</v>
      </c>
      <c r="CM204" s="9">
        <f>IF($W204=CM$56,GN204*($Q204*$S204)/(1+Voorblad!$K$44)^(CM$56-Voorblad!$F$41),0)</f>
        <v>0</v>
      </c>
      <c r="CN204" s="9">
        <f>IF($W204=CN$56,GO204*($Q204*$S204)/(1+Voorblad!$K$44)^(CN$56-Voorblad!$F$41),0)</f>
        <v>0</v>
      </c>
      <c r="CO204" s="9">
        <f>IF($W204=CO$56,GP204*($Q204*$S204)/(1+Voorblad!$K$44)^(CO$56-Voorblad!$F$41),0)</f>
        <v>0</v>
      </c>
      <c r="CP204" s="9">
        <f>IF($W204=CP$56,GQ204*($Q204*$S204)/(1+Voorblad!$K$44)^(CP$56-Voorblad!$F$41),0)</f>
        <v>0</v>
      </c>
      <c r="CQ204" s="9">
        <f>IF($W204=CQ$56,GR204*($Q204*$S204)/(1+Voorblad!$K$44)^(CQ$56-Voorblad!$F$41),0)</f>
        <v>0</v>
      </c>
      <c r="CR204" s="9">
        <f>IF($W204=CR$56,GS204*($Q204*$S204)/(1+Voorblad!$K$44)^(CR$56-Voorblad!$F$41),0)</f>
        <v>0</v>
      </c>
      <c r="CS204" s="9">
        <f>IF($W204=CS$56,GT204*($Q204*$S204)/(1+Voorblad!$K$44)^(CS$56-Voorblad!$F$41),0)</f>
        <v>0</v>
      </c>
      <c r="CT204" s="9">
        <f>IF($W204=CT$56,GU204*($Q204*$S204)/(1+Voorblad!$K$44)^(CT$56-Voorblad!$F$41),0)</f>
        <v>0</v>
      </c>
      <c r="CU204" s="9">
        <f>IF($W204=CU$56,GV204*($Q204*$S204)/(1+Voorblad!$K$44)^(CU$56-Voorblad!$F$41),0)</f>
        <v>0</v>
      </c>
      <c r="CV204" s="9">
        <f>IF($W204=CV$56,GW204*($Q204*$S204)/(1+Voorblad!$K$44)^(CV$56-Voorblad!$F$41),0)</f>
        <v>0</v>
      </c>
      <c r="CW204" s="9">
        <f>IF($W204=CW$56,GX204*($Q204*$S204)/(1+Voorblad!$K$44)^(CW$56-Voorblad!$F$41),0)</f>
        <v>0</v>
      </c>
      <c r="CX204" s="9">
        <f>IF($W204=CX$56,GY204*($Q204*$S204)/(1+Voorblad!$K$44)^(CX$56-Voorblad!$F$41),0)</f>
        <v>0</v>
      </c>
      <c r="CY204" s="9">
        <f>IF($W204=CY$56,GZ204*($Q204*$S204)/(1+Voorblad!$K$44)^(CY$56-Voorblad!$F$41),0)</f>
        <v>0</v>
      </c>
      <c r="CZ204" s="9">
        <f>IF($W204=CZ$56,HA204*($Q204*$S204)/(1+Voorblad!$K$44)^(CZ$56-Voorblad!$F$41),0)</f>
        <v>0</v>
      </c>
      <c r="DA204" s="9">
        <f>IF($W204=DA$56,HB204*($Q204*$S204)/(1+Voorblad!$K$44)^(DA$56-Voorblad!$F$41),0)</f>
        <v>0</v>
      </c>
      <c r="DB204" s="9">
        <f>IF($W204=DB$56,HC204*($Q204*$S204)/(1+Voorblad!$K$44)^(DB$56-Voorblad!$F$41),0)</f>
        <v>0</v>
      </c>
      <c r="DC204" s="9">
        <f>IF($W204=DC$56,HD204*($Q204*$S204)/(1+Voorblad!$K$44)^(DC$56-Voorblad!$F$41),0)</f>
        <v>0</v>
      </c>
      <c r="DD204" s="9">
        <f>IF($W204=DD$56,HE204*($Q204*$S204)/(1+Voorblad!$K$44)^(DD$56-Voorblad!$F$41),0)</f>
        <v>0</v>
      </c>
      <c r="DE204" s="9">
        <f>IF($W204=DE$56,HF204*($Q204*$S204)/(1+Voorblad!$K$44)^(DE$56-Voorblad!$F$41),0)</f>
        <v>0</v>
      </c>
      <c r="DF204" s="9">
        <f>IF($W204=DF$56,HG204*($Q204*$S204)/(1+Voorblad!$K$44)^(DF$56-Voorblad!$F$41),0)</f>
        <v>0</v>
      </c>
      <c r="DG204" s="9">
        <f>IF($W204=DG$56,HH204*($Q204*$S204)/(1+Voorblad!$K$44)^(DG$56-Voorblad!$F$41),0)</f>
        <v>0</v>
      </c>
      <c r="DH204" s="9">
        <f>IF($W204=DH$56,HI204*($Q204*$S204)/(1+Voorblad!$K$44)^(DH$56-Voorblad!$F$41),0)</f>
        <v>0</v>
      </c>
      <c r="DI204" s="9">
        <f>IF($W204=DI$56,HJ204*($Q204*$S204)/(1+Voorblad!$K$44)^(DI$56-Voorblad!$F$41),0)</f>
        <v>0</v>
      </c>
      <c r="DJ204" s="9">
        <f>IF($W204=DJ$56,HK204*($Q204*$S204)/(1+Voorblad!$K$44)^(DJ$56-Voorblad!$F$41),0)</f>
        <v>0</v>
      </c>
      <c r="DK204" s="9">
        <f>IF($W204=DK$56,HL204*($Q204*$S204)/(1+Voorblad!$K$44)^(DK$56-Voorblad!$F$41),0)</f>
        <v>0</v>
      </c>
      <c r="DL204" s="9">
        <f>IF($W204=DL$56,HM204*($Q204*$S204)/(1+Voorblad!$K$44)^(DL$56-Voorblad!$F$41),0)</f>
        <v>0</v>
      </c>
      <c r="DM204" s="9">
        <f>IF($W204=DM$56,HN204*($Q204*$S204)/(1+Voorblad!$K$44)^(DM$56-Voorblad!$F$41),0)</f>
        <v>0</v>
      </c>
      <c r="DN204" s="9">
        <f>IF($W204=DN$56,HO204*($Q204*$S204)/(1+Voorblad!$K$44)^(DN$56-Voorblad!$F$41),0)</f>
        <v>0</v>
      </c>
      <c r="DO204" s="9">
        <f>IF($W204=DO$56,HP204*($Q204*$S204)/(1+Voorblad!$K$44)^(DO$56-Voorblad!$F$41),0)</f>
        <v>0</v>
      </c>
      <c r="DP204" s="9">
        <f>IF($W204=DP$56,HQ204*($Q204*$S204)/(1+Voorblad!$K$44)^(DP$56-Voorblad!$F$41),0)</f>
        <v>0</v>
      </c>
      <c r="DQ204" s="9">
        <f>IF($W204=DQ$56,HR204*($Q204*$S204)/(1+Voorblad!$K$44)^(DQ$56-Voorblad!$F$41),0)</f>
        <v>0</v>
      </c>
      <c r="DR204" s="9">
        <f>IF($W204=DR$56,HS204*($Q204*$S204)/(1+Voorblad!$K$44)^(DR$56-Voorblad!$F$41),0)</f>
        <v>0</v>
      </c>
      <c r="DS204" s="9">
        <f>IF($W204=DS$56,HT204*($Q204*$S204)/(1+Voorblad!$K$44)^(DS$56-Voorblad!$F$41),0)</f>
        <v>0</v>
      </c>
      <c r="DT204" s="9">
        <f>IF($W204=DT$56,HU204*($Q204*$S204)/(1+Voorblad!$K$44)^(DT$56-Voorblad!$F$41),0)</f>
        <v>0</v>
      </c>
      <c r="DU204" s="9">
        <f>IF($W204=DU$56,HV204*($Q204*$S204)/(1+Voorblad!$K$44)^(DU$56-Voorblad!$F$41),0)</f>
        <v>0</v>
      </c>
      <c r="DV204" s="9">
        <f>IF($W204=DV$56,HW204*($Q204*$S204)/(1+Voorblad!$K$44)^(DV$56-Voorblad!$F$41),0)</f>
        <v>0</v>
      </c>
      <c r="DW204" s="9">
        <f>IF($W204=DW$56,HX204*($Q204*$S204)/(1+Voorblad!$K$44)^(DW$56-Voorblad!$F$41),0)</f>
        <v>0</v>
      </c>
      <c r="DX204" s="9">
        <f>IF($W204=DX$56,HY204*($Q204*$S204)/(1+Voorblad!$K$44)^(DX$56-Voorblad!$F$41),0)</f>
        <v>0</v>
      </c>
      <c r="DY204" s="9">
        <f>IF($W204=DY$56,HZ204*($Q204*$S204)/(1+Voorblad!$K$44)^(DY$56-Voorblad!$F$41),0)</f>
        <v>0</v>
      </c>
      <c r="DZ204" s="9">
        <f>IF($W204=DZ$56,IA204*($Q204*$S204)/(1+Voorblad!$K$44)^(DZ$56-Voorblad!$F$41),0)</f>
        <v>0</v>
      </c>
      <c r="EA204" s="9">
        <f>IF($W204=EA$56,IB204*($Q204*$S204)/(1+Voorblad!$K$44)^(EA$56-Voorblad!$F$41),0)</f>
        <v>0</v>
      </c>
      <c r="EB204" s="9">
        <f>IF($W204=EB$56,IC204*($Q204*$S204)/(1+Voorblad!$K$44)^(EB$56-Voorblad!$F$41),0)</f>
        <v>0</v>
      </c>
      <c r="EE204" s="8">
        <v>0</v>
      </c>
      <c r="EF204" s="8">
        <f>IF(EF$56-Voorblad!$F$41&gt;Voorblad!$K$41,0,IF($U204=0,0,IF($U204&lt;1,1/$U204,IF((EF$56-Voorblad!$F$41)/$U204-SUM($EE204:EE204)=1,1,0))))</f>
        <v>0</v>
      </c>
      <c r="EG204" s="8">
        <f>IF(EG$56-Voorblad!$F$41&gt;Voorblad!$K$41,0,IF($U204=0,0,IF($U204&lt;1,1/$U204,IF((EG$56-Voorblad!$F$41)/$U204-SUM($EE204:EF204)=1,1,0))))</f>
        <v>1</v>
      </c>
      <c r="EH204" s="8">
        <f>IF(EH$56-Voorblad!$F$41&gt;Voorblad!$K$41,0,IF($U204=0,0,IF($U204&lt;1,1/$U204,IF((EH$56-Voorblad!$F$41)/$U204-SUM($EE204:EG204)=1,1,0))))</f>
        <v>1</v>
      </c>
      <c r="EI204" s="8">
        <f>IF(EI$56-Voorblad!$F$41&gt;Voorblad!$K$41,0,IF($U204=0,0,IF($U204&lt;1,1/$U204,IF((EI$56-Voorblad!$F$41)/$U204-SUM($EE204:EH204)=1,1,0))))</f>
        <v>1</v>
      </c>
      <c r="EJ204" s="8">
        <f>IF(EJ$56-Voorblad!$F$41&gt;Voorblad!$K$41,0,IF($U204=0,0,IF($U204&lt;1,1/$U204,IF((EJ$56-Voorblad!$F$41)/$U204-SUM($EE204:EI204)=1,1,0))))</f>
        <v>1</v>
      </c>
      <c r="EK204" s="8">
        <f>IF(EK$56-Voorblad!$F$41&gt;Voorblad!$K$41,0,IF($U204=0,0,IF($U204&lt;1,1/$U204,IF((EK$56-Voorblad!$F$41)/$U204-SUM($EE204:EJ204)=1,1,0))))</f>
        <v>1</v>
      </c>
      <c r="EL204" s="8">
        <f>IF(EL$56-Voorblad!$F$41&gt;Voorblad!$K$41,0,IF($U204=0,0,IF($U204&lt;1,1/$U204,IF((EL$56-Voorblad!$F$41)/$U204-SUM($EE204:EK204)=1,1,0))))</f>
        <v>1</v>
      </c>
      <c r="EM204" s="8">
        <f>IF(EM$56-Voorblad!$F$41&gt;Voorblad!$K$41,0,IF($U204=0,0,IF($U204&lt;1,1/$U204,IF((EM$56-Voorblad!$F$41)/$U204-SUM($EE204:EL204)=1,1,0))))</f>
        <v>1</v>
      </c>
      <c r="EN204" s="8">
        <f>IF(EN$56-Voorblad!$F$41&gt;Voorblad!$K$41,0,IF($U204=0,0,IF($U204&lt;1,1/$U204,IF((EN$56-Voorblad!$F$41)/$U204-SUM($EE204:EM204)=1,1,0))))</f>
        <v>1</v>
      </c>
      <c r="EO204" s="8">
        <f>IF(EO$56-Voorblad!$F$41&gt;Voorblad!$K$41,0,IF($U204=0,0,IF($U204&lt;1,1/$U204,IF((EO$56-Voorblad!$F$41)/$U204-SUM($EE204:EN204)=1,1,0))))</f>
        <v>1</v>
      </c>
      <c r="EP204" s="8">
        <f>IF(EP$56-Voorblad!$F$41&gt;Voorblad!$K$41,0,IF($U204=0,0,IF($U204&lt;1,1/$U204,IF((EP$56-Voorblad!$F$41)/$U204-SUM($EE204:EO204)=1,1,0))))</f>
        <v>1</v>
      </c>
      <c r="EQ204" s="8">
        <f>IF(EQ$56-Voorblad!$F$41&gt;Voorblad!$K$41,0,IF($U204=0,0,IF($U204&lt;1,1/$U204,IF((EQ$56-Voorblad!$F$41)/$U204-SUM($EE204:EP204)=1,1,0))))</f>
        <v>1</v>
      </c>
      <c r="ER204" s="8">
        <f>IF(ER$56-Voorblad!$F$41&gt;Voorblad!$K$41,0,IF($U204=0,0,IF($U204&lt;1,1/$U204,IF((ER$56-Voorblad!$F$41)/$U204-SUM($EE204:EQ204)=1,1,0))))</f>
        <v>1</v>
      </c>
      <c r="ES204" s="8">
        <f>IF(ES$56-Voorblad!$F$41&gt;Voorblad!$K$41,0,IF($U204=0,0,IF($U204&lt;1,1/$U204,IF((ES$56-Voorblad!$F$41)/$U204-SUM($EE204:ER204)=1,1,0))))</f>
        <v>1</v>
      </c>
      <c r="ET204" s="8">
        <f>IF(ET$56-Voorblad!$F$41&gt;Voorblad!$K$41,0,IF($U204=0,0,IF($U204&lt;1,1/$U204,IF((ET$56-Voorblad!$F$41)/$U204-SUM($EE204:ES204)=1,1,0))))</f>
        <v>1</v>
      </c>
      <c r="EU204" s="8">
        <f>IF(EU$56-Voorblad!$F$41&gt;Voorblad!$K$41,0,IF($U204=0,0,IF($U204&lt;1,1/$U204,IF((EU$56-Voorblad!$F$41)/$U204-SUM($EE204:ET204)=1,1,0))))</f>
        <v>1</v>
      </c>
      <c r="EV204" s="8">
        <f>IF(EV$56-Voorblad!$F$41&gt;Voorblad!$K$41,0,IF($U204=0,0,IF($U204&lt;1,1/$U204,IF((EV$56-Voorblad!$F$41)/$U204-SUM($EE204:EU204)=1,1,0))))</f>
        <v>1</v>
      </c>
      <c r="EW204" s="8">
        <f>IF(EW$56-Voorblad!$F$41&gt;Voorblad!$K$41,0,IF($U204=0,0,IF($U204&lt;1,1/$U204,IF((EW$56-Voorblad!$F$41)/$U204-SUM($EE204:EV204)=1,1,0))))</f>
        <v>1</v>
      </c>
      <c r="EX204" s="8">
        <f>IF(EX$56-Voorblad!$F$41&gt;Voorblad!$K$41,0,IF($U204=0,0,IF($U204&lt;1,1/$U204,IF((EX$56-Voorblad!$F$41)/$U204-SUM($EE204:EW204)=1,1,0))))</f>
        <v>1</v>
      </c>
      <c r="EY204" s="8">
        <f>IF(EY$56-Voorblad!$F$41&gt;Voorblad!$K$41,0,IF($U204=0,0,IF($U204&lt;1,1/$U204,IF((EY$56-Voorblad!$F$41)/$U204-SUM($EE204:EX204)=1,1,0))))</f>
        <v>1</v>
      </c>
      <c r="EZ204" s="8">
        <f>IF(EZ$56-Voorblad!$F$41&gt;Voorblad!$K$41,0,IF($U204=0,0,IF($U204&lt;1,1/$U204,IF((EZ$56-Voorblad!$F$41)/$U204-SUM($EE204:EY204)=1,1,0))))</f>
        <v>1</v>
      </c>
      <c r="FA204" s="8">
        <f>IF(FA$56-Voorblad!$F$41&gt;Voorblad!$K$41,0,IF($U204=0,0,IF($U204&lt;1,1/$U204,IF((FA$56-Voorblad!$F$41)/$U204-SUM($EE204:EZ204)=1,1,0))))</f>
        <v>1</v>
      </c>
      <c r="FB204" s="8">
        <f>IF(FB$56-Voorblad!$F$41&gt;Voorblad!$K$41,0,IF($U204=0,0,IF($U204&lt;1,1/$U204,IF((FB$56-Voorblad!$F$41)/$U204-SUM($EE204:FA204)=1,1,0))))</f>
        <v>1</v>
      </c>
      <c r="FC204" s="8">
        <f>IF(FC$56-Voorblad!$F$41&gt;Voorblad!$K$41,0,IF($U204=0,0,IF($U204&lt;1,1/$U204,IF((FC$56-Voorblad!$F$41)/$U204-SUM($EE204:FB204)=1,1,0))))</f>
        <v>1</v>
      </c>
      <c r="FD204" s="8">
        <f>IF(FD$56-Voorblad!$F$41&gt;Voorblad!$K$41,0,IF($U204=0,0,IF($U204&lt;1,1/$U204,IF((FD$56-Voorblad!$F$41)/$U204-SUM($EE204:FC204)=1,1,0))))</f>
        <v>1</v>
      </c>
      <c r="FE204" s="8">
        <f>IF(FE$56-Voorblad!$F$41&gt;Voorblad!$K$41,0,IF($U204=0,0,IF($U204&lt;1,1/$U204,IF((FE$56-Voorblad!$F$41)/$U204-SUM($EE204:FD204)=1,1,0))))</f>
        <v>1</v>
      </c>
      <c r="FF204" s="8">
        <f>IF(FF$56-Voorblad!$F$41&gt;Voorblad!$K$41,0,IF($U204=0,0,IF($U204&lt;1,1/$U204,IF((FF$56-Voorblad!$F$41)/$U204-SUM($EE204:FE204)=1,1,0))))</f>
        <v>1</v>
      </c>
      <c r="FG204" s="8">
        <f>IF(FG$56-Voorblad!$F$41&gt;Voorblad!$K$41,0,IF($U204=0,0,IF($U204&lt;1,1/$U204,IF((FG$56-Voorblad!$F$41)/$U204-SUM($EE204:FF204)=1,1,0))))</f>
        <v>1</v>
      </c>
      <c r="FH204" s="8">
        <f>IF(FH$56-Voorblad!$F$41&gt;Voorblad!$K$41,0,IF($U204=0,0,IF($U204&lt;1,1/$U204,IF((FH$56-Voorblad!$F$41)/$U204-SUM($EE204:FG204)=1,1,0))))</f>
        <v>1</v>
      </c>
      <c r="FI204" s="8">
        <f>IF(FI$56-Voorblad!$F$41&gt;Voorblad!$K$41,0,IF($U204=0,0,IF($U204&lt;1,1/$U204,IF((FI$56-Voorblad!$F$41)/$U204-SUM($EE204:FH204)=1,1,0))))</f>
        <v>1</v>
      </c>
      <c r="FJ204" s="8">
        <f>IF(FJ$56-Voorblad!$F$41&gt;Voorblad!$K$41,0,IF($U204=0,0,IF($U204&lt;1,1/$U204,IF((FJ$56-Voorblad!$F$41)/$U204-SUM($EE204:FI204)=1,1,0))))</f>
        <v>1</v>
      </c>
      <c r="FK204" s="8">
        <f>IF(FK$56-Voorblad!$F$41&gt;Voorblad!$K$41,0,IF($U204=0,0,IF($U204&lt;1,1/$U204,IF((FK$56-Voorblad!$F$41)/$U204-SUM($EE204:FJ204)=1,1,0))))</f>
        <v>1</v>
      </c>
      <c r="FL204" s="8">
        <f>IF(FL$56-Voorblad!$F$41&gt;Voorblad!$K$41,0,IF($U204=0,0,IF($U204&lt;1,1/$U204,IF((FL$56-Voorblad!$F$41)/$U204-SUM($EE204:FK204)=1,1,0))))</f>
        <v>1</v>
      </c>
      <c r="FM204" s="8">
        <f>IF(FM$56-Voorblad!$F$41&gt;Voorblad!$K$41,0,IF($U204=0,0,IF($U204&lt;1,1/$U204,IF((FM$56-Voorblad!$F$41)/$U204-SUM($EE204:FL204)=1,1,0))))</f>
        <v>1</v>
      </c>
      <c r="FN204" s="8">
        <f>IF(FN$56-Voorblad!$F$41&gt;Voorblad!$K$41,0,IF($U204=0,0,IF($U204&lt;1,1/$U204,IF((FN$56-Voorblad!$F$41)/$U204-SUM($EE204:FM204)=1,1,0))))</f>
        <v>1</v>
      </c>
      <c r="FO204" s="8">
        <f>IF(FO$56-Voorblad!$F$41&gt;Voorblad!$K$41,0,IF($U204=0,0,IF($U204&lt;1,1/$U204,IF((FO$56-Voorblad!$F$41)/$U204-SUM($EE204:FN204)=1,1,0))))</f>
        <v>1</v>
      </c>
      <c r="FP204" s="8">
        <f>IF(FP$56-Voorblad!$F$41&gt;Voorblad!$K$41,0,IF($U204=0,0,IF($U204&lt;1,1/$U204,IF((FP$56-Voorblad!$F$41)/$U204-SUM($EE204:FO204)=1,1,0))))</f>
        <v>1</v>
      </c>
      <c r="FQ204" s="8">
        <f>IF(FQ$56-Voorblad!$F$41&gt;Voorblad!$K$41,0,IF($U204=0,0,IF($U204&lt;1,1/$U204,IF((FQ$56-Voorblad!$F$41)/$U204-SUM($EE204:FP204)=1,1,0))))</f>
        <v>1</v>
      </c>
      <c r="FR204" s="8">
        <f>IF(FR$56-Voorblad!$F$41&gt;Voorblad!$K$41,0,IF($U204=0,0,IF($U204&lt;1,1/$U204,IF((FR$56-Voorblad!$F$41)/$U204-SUM($EE204:FQ204)=1,1,0))))</f>
        <v>1</v>
      </c>
      <c r="FS204" s="8">
        <f>IF(FS$56-Voorblad!$F$41&gt;Voorblad!$K$41,0,IF($U204=0,0,IF($U204&lt;1,1/$U204,IF((FS$56-Voorblad!$F$41)/$U204-SUM($EE204:FR204)=1,1,0))))</f>
        <v>1</v>
      </c>
      <c r="FT204" s="8">
        <f>IF(FT$56-Voorblad!$F$41&gt;Voorblad!$K$41,0,IF($U204=0,0,IF($U204&lt;1,1/$U204,IF((FT$56-Voorblad!$F$41)/$U204-SUM($EE204:FS204)=1,1,0))))</f>
        <v>1</v>
      </c>
      <c r="FU204" s="8">
        <f>IF(FU$56-Voorblad!$F$41&gt;Voorblad!$K$41,0,IF($U204=0,0,IF($U204&lt;1,1/$U204,IF((FU$56-Voorblad!$F$41)/$U204-SUM($EE204:FT204)=1,1,0))))</f>
        <v>1</v>
      </c>
      <c r="FV204" s="8">
        <f>IF(FV$56-Voorblad!$F$41&gt;Voorblad!$K$41,0,IF($U204=0,0,IF($U204&lt;1,1/$U204,IF((FV$56-Voorblad!$F$41)/$U204-SUM($EE204:FU204)=1,1,0))))</f>
        <v>1</v>
      </c>
      <c r="FW204" s="8">
        <f>IF(FW$56-Voorblad!$F$41&gt;Voorblad!$K$41,0,IF($U204=0,0,IF($U204&lt;1,1/$U204,IF((FW$56-Voorblad!$F$41)/$U204-SUM($EE204:FV204)=1,1,0))))</f>
        <v>1</v>
      </c>
      <c r="FX204" s="8">
        <f>IF(FX$56-Voorblad!$F$41&gt;Voorblad!$K$41,0,IF($U204=0,0,IF($U204&lt;1,1/$U204,IF((FX$56-Voorblad!$F$41)/$U204-SUM($EE204:FW204)=1,1,0))))</f>
        <v>1</v>
      </c>
      <c r="FY204" s="8">
        <f>IF(FY$56-Voorblad!$F$41&gt;Voorblad!$K$41,0,IF($U204=0,0,IF($U204&lt;1,1/$U204,IF((FY$56-Voorblad!$F$41)/$U204-SUM($EE204:FX204)=1,1,0))))</f>
        <v>1</v>
      </c>
      <c r="FZ204" s="8">
        <f>IF(FZ$56-Voorblad!$F$41&gt;Voorblad!$K$41,0,IF($U204=0,0,IF($U204&lt;1,1/$U204,IF((FZ$56-Voorblad!$F$41)/$U204-SUM($EE204:FY204)=1,1,0))))</f>
        <v>1</v>
      </c>
      <c r="GA204" s="8">
        <f>IF(GA$56-Voorblad!$F$41&gt;Voorblad!$K$41,0,IF($U204=0,0,IF($U204&lt;1,1/$U204,IF((GA$56-Voorblad!$F$41)/$U204-SUM($EE204:FZ204)=1,1,0))))</f>
        <v>1</v>
      </c>
      <c r="GB204" s="8">
        <f>IF(GB$56-Voorblad!$F$41&gt;Voorblad!$K$41,0,IF($U204=0,0,IF($U204&lt;1,1/$U204,IF((GB$56-Voorblad!$F$41)/$U204-SUM($EE204:GA204)=1,1,0))))</f>
        <v>1</v>
      </c>
      <c r="GC204" s="8">
        <f>IF(GC$56-Voorblad!$F$41&gt;Voorblad!$K$41,0,IF($U204=0,0,IF($U204&lt;1,1/$U204,IF((GC$56-Voorblad!$F$41)/$U204-SUM($EE204:GB204)=1,1,0))))</f>
        <v>1</v>
      </c>
      <c r="GD204" s="8">
        <f>IF(GD$56-Voorblad!$F$41&gt;Voorblad!$K$41,0,IF($U204=0,0,IF($U204&lt;1,1/$U204,IF((GD$56-Voorblad!$F$41)/$U204-SUM($EE204:GC204)=1,1,0))))</f>
        <v>1</v>
      </c>
      <c r="GE204" s="8">
        <f>IF(GE$56-Voorblad!$F$41&gt;Voorblad!$K$41,0,IF($U204=0,0,IF($U204&lt;1,1/$U204,IF((GE$56-Voorblad!$F$41)/$U204-SUM($EE204:GD204)=1,1,0))))</f>
        <v>1</v>
      </c>
      <c r="GF204" s="8">
        <f>IF(GF$56-Voorblad!$F$41&gt;Voorblad!$K$41,0,IF($U204=0,0,IF($U204&lt;1,1/$U204,IF((GF$56-Voorblad!$F$41)/$U204-SUM($EE204:GE204)=1,1,0))))</f>
        <v>1</v>
      </c>
      <c r="GG204" s="8">
        <f>IF(GG$56-Voorblad!$F$41&gt;Voorblad!$K$41,0,IF($U204=0,0,IF($U204&lt;1,1/$U204,IF((GG$56-Voorblad!$F$41)/$U204-SUM($EE204:GF204)=1,1,0))))</f>
        <v>1</v>
      </c>
      <c r="GH204" s="8">
        <f>IF(GH$56-Voorblad!$F$41&gt;Voorblad!$K$41,0,IF($U204=0,0,IF($U204&lt;1,1/$U204,IF((GH$56-Voorblad!$F$41)/$U204-SUM($EE204:GG204)=1,1,0))))</f>
        <v>1</v>
      </c>
      <c r="GI204" s="8">
        <f>IF(GI$56-Voorblad!$F$41&gt;Voorblad!$K$41,0,IF($U204=0,0,IF($U204&lt;1,1/$U204,IF((GI$56-Voorblad!$F$41)/$U204-SUM($EE204:GH204)=1,1,0))))</f>
        <v>1</v>
      </c>
      <c r="GJ204" s="8">
        <f>IF(GJ$56-Voorblad!$F$41&gt;Voorblad!$K$41,0,IF($U204=0,0,IF($U204&lt;1,1/$U204,IF((GJ$56-Voorblad!$F$41)/$U204-SUM($EE204:GI204)=1,1,0))))</f>
        <v>1</v>
      </c>
      <c r="GK204" s="8">
        <f>IF(GK$56-Voorblad!$F$41&gt;Voorblad!$K$41,0,IF($U204=0,0,IF($U204&lt;1,1/$U204,IF((GK$56-Voorblad!$F$41)/$U204-SUM($EE204:GJ204)=1,1,0))))</f>
        <v>1</v>
      </c>
      <c r="GL204" s="8">
        <f>IF(GL$56-Voorblad!$F$41&gt;Voorblad!$K$41,0,IF($U204=0,0,IF($U204&lt;1,1/$U204,IF((GL$56-Voorblad!$F$41)/$U204-SUM($EE204:GK204)=1,1,0))))</f>
        <v>1</v>
      </c>
      <c r="GM204" s="8">
        <f>IF(GM$56-Voorblad!$F$41&gt;Voorblad!$K$41,0,IF($U204=0,0,IF($U204&lt;1,1/$U204,IF((GM$56-Voorblad!$F$41)/$U204-SUM($EE204:GL204)=1,1,0))))</f>
        <v>1</v>
      </c>
      <c r="GN204" s="8">
        <f>IF(GN$56-Voorblad!$F$41&gt;Voorblad!$K$41,0,IF($U204=0,0,IF($U204&lt;1,1/$U204,IF((GN$56-Voorblad!$F$41)/$U204-SUM($EE204:GM204)=1,1,0))))</f>
        <v>1</v>
      </c>
      <c r="GO204" s="8">
        <f>IF(GO$56-Voorblad!$F$41&gt;Voorblad!$K$41,0,IF($U204=0,0,IF($U204&lt;1,1/$U204,IF((GO$56-Voorblad!$F$41)/$U204-SUM($EE204:GN204)=1,1,0))))</f>
        <v>1</v>
      </c>
      <c r="GP204" s="8">
        <f>IF(GP$56-Voorblad!$F$41&gt;Voorblad!$K$41,0,IF($U204=0,0,IF($U204&lt;1,1/$U204,IF((GP$56-Voorblad!$F$41)/$U204-SUM($EE204:GO204)=1,1,0))))</f>
        <v>1</v>
      </c>
      <c r="GQ204" s="8">
        <f>IF(GQ$56-Voorblad!$F$41&gt;Voorblad!$K$41,0,IF($U204=0,0,IF($U204&lt;1,1/$U204,IF((GQ$56-Voorblad!$F$41)/$U204-SUM($EE204:GP204)=1,1,0))))</f>
        <v>1</v>
      </c>
      <c r="GR204" s="8">
        <f>IF(GR$56-Voorblad!$F$41&gt;Voorblad!$K$41,0,IF($U204=0,0,IF($U204&lt;1,1/$U204,IF((GR$56-Voorblad!$F$41)/$U204-SUM($EE204:GQ204)=1,1,0))))</f>
        <v>1</v>
      </c>
      <c r="GS204" s="8">
        <f>IF(GS$56-Voorblad!$F$41&gt;Voorblad!$K$41,0,IF($U204=0,0,IF($U204&lt;1,1/$U204,IF((GS$56-Voorblad!$F$41)/$U204-SUM($EE204:GR204)=1,1,0))))</f>
        <v>1</v>
      </c>
      <c r="GT204" s="8">
        <f>IF(GT$56-Voorblad!$F$41&gt;Voorblad!$K$41,0,IF($U204=0,0,IF($U204&lt;1,1/$U204,IF((GT$56-Voorblad!$F$41)/$U204-SUM($EE204:GS204)=1,1,0))))</f>
        <v>1</v>
      </c>
      <c r="GU204" s="8">
        <f>IF(GU$56-Voorblad!$F$41&gt;Voorblad!$K$41,0,IF($U204=0,0,IF($U204&lt;1,1/$U204,IF((GU$56-Voorblad!$F$41)/$U204-SUM($EE204:GT204)=1,1,0))))</f>
        <v>1</v>
      </c>
      <c r="GV204" s="8">
        <f>IF(GV$56-Voorblad!$F$41&gt;Voorblad!$K$41,0,IF($U204=0,0,IF($U204&lt;1,1/$U204,IF((GV$56-Voorblad!$F$41)/$U204-SUM($EE204:GU204)=1,1,0))))</f>
        <v>1</v>
      </c>
      <c r="GW204" s="8">
        <f>IF(GW$56-Voorblad!$F$41&gt;Voorblad!$K$41,0,IF($U204=0,0,IF($U204&lt;1,1/$U204,IF((GW$56-Voorblad!$F$41)/$U204-SUM($EE204:GV204)=1,1,0))))</f>
        <v>1</v>
      </c>
      <c r="GX204" s="8">
        <f>IF(GX$56-Voorblad!$F$41&gt;Voorblad!$K$41,0,IF($U204=0,0,IF($U204&lt;1,1/$U204,IF((GX$56-Voorblad!$F$41)/$U204-SUM($EE204:GW204)=1,1,0))))</f>
        <v>1</v>
      </c>
      <c r="GY204" s="8">
        <f>IF(GY$56-Voorblad!$F$41&gt;Voorblad!$K$41,0,IF($U204=0,0,IF($U204&lt;1,1/$U204,IF((GY$56-Voorblad!$F$41)/$U204-SUM($EE204:GX204)=1,1,0))))</f>
        <v>1</v>
      </c>
      <c r="GZ204" s="8">
        <f>IF(GZ$56-Voorblad!$F$41&gt;Voorblad!$K$41,0,IF($U204=0,0,IF($U204&lt;1,1/$U204,IF((GZ$56-Voorblad!$F$41)/$U204-SUM($EE204:GY204)=1,1,0))))</f>
        <v>1</v>
      </c>
      <c r="HA204" s="8">
        <f>IF(HA$56-Voorblad!$F$41&gt;Voorblad!$K$41,0,IF($U204=0,0,IF($U204&lt;1,1/$U204,IF((HA$56-Voorblad!$F$41)/$U204-SUM($EE204:GZ204)=1,1,0))))</f>
        <v>1</v>
      </c>
      <c r="HB204" s="8">
        <f>IF(HB$56-Voorblad!$F$41&gt;Voorblad!$K$41,0,IF($U204=0,0,IF($U204&lt;1,1/$U204,IF((HB$56-Voorblad!$F$41)/$U204-SUM($EE204:HA204)=1,1,0))))</f>
        <v>0</v>
      </c>
      <c r="HC204" s="8">
        <f>IF(HC$56-Voorblad!$F$41&gt;Voorblad!$K$41,0,IF($U204=0,0,IF($U204&lt;1,1/$U204,IF((HC$56-Voorblad!$F$41)/$U204-SUM($EE204:HB204)=1,1,0))))</f>
        <v>0</v>
      </c>
      <c r="HD204" s="8">
        <f>IF(HD$56-Voorblad!$F$41&gt;Voorblad!$K$41,0,IF($U204=0,0,IF($U204&lt;1,1/$U204,IF((HD$56-Voorblad!$F$41)/$U204-SUM($EE204:HC204)=1,1,0))))</f>
        <v>0</v>
      </c>
      <c r="HE204" s="8">
        <f>IF(HE$56-Voorblad!$F$41&gt;Voorblad!$K$41,0,IF($U204=0,0,IF($U204&lt;1,1/$U204,IF((HE$56-Voorblad!$F$41)/$U204-SUM($EE204:HD204)=1,1,0))))</f>
        <v>0</v>
      </c>
      <c r="HF204" s="8">
        <f>IF(HF$56-Voorblad!$F$41&gt;Voorblad!$K$41,0,IF($U204=0,0,IF($U204&lt;1,1/$U204,IF((HF$56-Voorblad!$F$41)/$U204-SUM($EE204:HE204)=1,1,0))))</f>
        <v>0</v>
      </c>
      <c r="HG204" s="8">
        <f>IF(HG$56-Voorblad!$F$41&gt;Voorblad!$K$41,0,IF($U204=0,0,IF($U204&lt;1,1/$U204,IF((HG$56-Voorblad!$F$41)/$U204-SUM($EE204:HF204)=1,1,0))))</f>
        <v>0</v>
      </c>
      <c r="HH204" s="8">
        <f>IF(HH$56-Voorblad!$F$41&gt;Voorblad!$K$41,0,IF($U204=0,0,IF($U204&lt;1,1/$U204,IF((HH$56-Voorblad!$F$41)/$U204-SUM($EE204:HG204)=1,1,0))))</f>
        <v>0</v>
      </c>
      <c r="HI204" s="8">
        <f>IF(HI$56-Voorblad!$F$41&gt;Voorblad!$K$41,0,IF($U204=0,0,IF($U204&lt;1,1/$U204,IF((HI$56-Voorblad!$F$41)/$U204-SUM($EE204:HH204)=1,1,0))))</f>
        <v>0</v>
      </c>
      <c r="HJ204" s="8">
        <f>IF(HJ$56-Voorblad!$F$41&gt;Voorblad!$K$41,0,IF($U204=0,0,IF($U204&lt;1,1/$U204,IF((HJ$56-Voorblad!$F$41)/$U204-SUM($EE204:HI204)=1,1,0))))</f>
        <v>0</v>
      </c>
      <c r="HK204" s="8">
        <f>IF(HK$56-Voorblad!$F$41&gt;Voorblad!$K$41,0,IF($U204=0,0,IF($U204&lt;1,1/$U204,IF((HK$56-Voorblad!$F$41)/$U204-SUM($EE204:HJ204)=1,1,0))))</f>
        <v>0</v>
      </c>
      <c r="HL204" s="8">
        <f>IF(HL$56-Voorblad!$F$41&gt;Voorblad!$K$41,0,IF($U204=0,0,IF($U204&lt;1,1/$U204,IF((HL$56-Voorblad!$F$41)/$U204-SUM($EE204:HK204)=1,1,0))))</f>
        <v>0</v>
      </c>
      <c r="HM204" s="8">
        <f>IF(HM$56-Voorblad!$F$41&gt;Voorblad!$K$41,0,IF($U204=0,0,IF($U204&lt;1,1/$U204,IF((HM$56-Voorblad!$F$41)/$U204-SUM($EE204:HL204)=1,1,0))))</f>
        <v>0</v>
      </c>
      <c r="HN204" s="8">
        <f>IF(HN$56-Voorblad!$F$41&gt;Voorblad!$K$41,0,IF($U204=0,0,IF($U204&lt;1,1/$U204,IF((HN$56-Voorblad!$F$41)/$U204-SUM($EE204:HM204)=1,1,0))))</f>
        <v>0</v>
      </c>
      <c r="HO204" s="8">
        <f>IF(HO$56-Voorblad!$F$41&gt;Voorblad!$K$41,0,IF($U204=0,0,IF($U204&lt;1,1/$U204,IF((HO$56-Voorblad!$F$41)/$U204-SUM($EE204:HN204)=1,1,0))))</f>
        <v>0</v>
      </c>
      <c r="HP204" s="8">
        <f>IF(HP$56-Voorblad!$F$41&gt;Voorblad!$K$41,0,IF($U204=0,0,IF($U204&lt;1,1/$U204,IF((HP$56-Voorblad!$F$41)/$U204-SUM($EE204:HO204)=1,1,0))))</f>
        <v>0</v>
      </c>
      <c r="HQ204" s="8">
        <f>IF(HQ$56-Voorblad!$F$41&gt;Voorblad!$K$41,0,IF($U204=0,0,IF($U204&lt;1,1/$U204,IF((HQ$56-Voorblad!$F$41)/$U204-SUM($EE204:HP204)=1,1,0))))</f>
        <v>0</v>
      </c>
      <c r="HR204" s="8">
        <f>IF(HR$56-Voorblad!$F$41&gt;Voorblad!$K$41,0,IF($U204=0,0,IF($U204&lt;1,1/$U204,IF((HR$56-Voorblad!$F$41)/$U204-SUM($EE204:HQ204)=1,1,0))))</f>
        <v>0</v>
      </c>
      <c r="HS204" s="8">
        <f>IF(HS$56-Voorblad!$F$41&gt;Voorblad!$K$41,0,IF($U204=0,0,IF($U204&lt;1,1/$U204,IF((HS$56-Voorblad!$F$41)/$U204-SUM($EE204:HR204)=1,1,0))))</f>
        <v>0</v>
      </c>
      <c r="HT204" s="8">
        <f>IF(HT$56-Voorblad!$F$41&gt;Voorblad!$K$41,0,IF($U204=0,0,IF($U204&lt;1,1/$U204,IF((HT$56-Voorblad!$F$41)/$U204-SUM($EE204:HS204)=1,1,0))))</f>
        <v>0</v>
      </c>
      <c r="HU204" s="8">
        <f>IF(HU$56-Voorblad!$F$41&gt;Voorblad!$K$41,0,IF($U204=0,0,IF($U204&lt;1,1/$U204,IF((HU$56-Voorblad!$F$41)/$U204-SUM($EE204:HT204)=1,1,0))))</f>
        <v>0</v>
      </c>
      <c r="HV204" s="8">
        <f>IF(HV$56-Voorblad!$F$41&gt;Voorblad!$K$41,0,IF($U204=0,0,IF($U204&lt;1,1/$U204,IF((HV$56-Voorblad!$F$41)/$U204-SUM($EE204:HU204)=1,1,0))))</f>
        <v>0</v>
      </c>
      <c r="HW204" s="8">
        <f>IF(HW$56-Voorblad!$F$41&gt;Voorblad!$K$41,0,IF($U204=0,0,IF($U204&lt;1,1/$U204,IF((HW$56-Voorblad!$F$41)/$U204-SUM($EE204:HV204)=1,1,0))))</f>
        <v>0</v>
      </c>
      <c r="HX204" s="8">
        <f>IF(HX$56-Voorblad!$F$41&gt;Voorblad!$K$41,0,IF($U204=0,0,IF($U204&lt;1,1/$U204,IF((HX$56-Voorblad!$F$41)/$U204-SUM($EE204:HW204)=1,1,0))))</f>
        <v>0</v>
      </c>
      <c r="HY204" s="8">
        <f>IF(HY$56-Voorblad!$F$41&gt;Voorblad!$K$41,0,IF($U204=0,0,IF($U204&lt;1,1/$U204,IF((HY$56-Voorblad!$F$41)/$U204-SUM($EE204:HX204)=1,1,0))))</f>
        <v>0</v>
      </c>
      <c r="HZ204" s="8">
        <f>IF(HZ$56-Voorblad!$F$41&gt;Voorblad!$K$41,0,IF($U204=0,0,IF($U204&lt;1,1/$U204,IF((HZ$56-Voorblad!$F$41)/$U204-SUM($EE204:HY204)=1,1,0))))</f>
        <v>0</v>
      </c>
      <c r="IA204" s="8">
        <f>IF(IA$56-Voorblad!$F$41&gt;Voorblad!$K$41,0,IF($U204=0,0,IF($U204&lt;1,1/$U204,IF((IA$56-Voorblad!$F$41)/$U204-SUM($EE204:HZ204)=1,1,0))))</f>
        <v>0</v>
      </c>
      <c r="IB204" s="8">
        <f>IF(IB$56-Voorblad!$F$41&gt;Voorblad!$K$41,0,IF($U204=0,0,IF($U204&lt;1,1/$U204,IF((IB$56-Voorblad!$F$41)/$U204-SUM($EE204:IA204)=1,1,0))))</f>
        <v>0</v>
      </c>
    </row>
    <row r="205" spans="2:236" hidden="1" outlineLevel="1" x14ac:dyDescent="0.25">
      <c r="B205" s="14">
        <v>1</v>
      </c>
      <c r="C205" s="14"/>
      <c r="F205" s="1" t="s">
        <v>58</v>
      </c>
      <c r="I205" s="1" t="s">
        <v>66</v>
      </c>
      <c r="K205" s="1" t="s">
        <v>64</v>
      </c>
      <c r="O205" s="1" t="s">
        <v>99</v>
      </c>
      <c r="Q205" s="81">
        <v>0</v>
      </c>
      <c r="R205" s="1" t="s">
        <v>33</v>
      </c>
      <c r="S205" s="21">
        <f>2%*T204</f>
        <v>0</v>
      </c>
      <c r="T205" s="14">
        <f>Q205*S205</f>
        <v>0</v>
      </c>
      <c r="U205" s="11">
        <v>1</v>
      </c>
      <c r="V205" s="14"/>
      <c r="W205" s="81">
        <v>0</v>
      </c>
      <c r="X205" s="6"/>
      <c r="Y205" s="9">
        <f t="shared" si="199"/>
        <v>0</v>
      </c>
      <c r="Z205" s="82"/>
      <c r="AA205" s="82"/>
      <c r="AC205" s="9">
        <f>$Y205*(Voorblad!$K$44*(1+Voorblad!$K$44)^Voorblad!$K$41)/((1+Voorblad!$K$44)^Voorblad!$K$41-1)</f>
        <v>0</v>
      </c>
      <c r="AE205" s="9">
        <f>IF($W205=AE$56,EF205*($Q205*$S205)/(1+Voorblad!$K$44)^(AE$56-Voorblad!$F$41),0)</f>
        <v>0</v>
      </c>
      <c r="AF205" s="9">
        <f>IF($W205=AF$56,EG205*($Q205*$S205)/(1+Voorblad!$K$44)^(AF$56-Voorblad!$F$41),0)</f>
        <v>0</v>
      </c>
      <c r="AG205" s="9">
        <f>IF($W205=AG$56,EH205*($Q205*$S205)/(1+Voorblad!$K$44)^(AG$56-Voorblad!$F$41),0)</f>
        <v>0</v>
      </c>
      <c r="AH205" s="9">
        <f>IF($W205=AH$56,EI205*($Q205*$S205)/(1+Voorblad!$K$44)^(AH$56-Voorblad!$F$41),0)</f>
        <v>0</v>
      </c>
      <c r="AI205" s="9">
        <f>IF($W205=AI$56,EJ205*($Q205*$S205)/(1+Voorblad!$K$44)^(AI$56-Voorblad!$F$41),0)</f>
        <v>0</v>
      </c>
      <c r="AJ205" s="9">
        <f>IF($W205=AJ$56,EK205*($Q205*$S205)/(1+Voorblad!$K$44)^(AJ$56-Voorblad!$F$41),0)</f>
        <v>0</v>
      </c>
      <c r="AK205" s="9">
        <f>IF($W205=AK$56,EL205*($Q205*$S205)/(1+Voorblad!$K$44)^(AK$56-Voorblad!$F$41),0)</f>
        <v>0</v>
      </c>
      <c r="AL205" s="9">
        <f>IF($W205=AL$56,EM205*($Q205*$S205)/(1+Voorblad!$K$44)^(AL$56-Voorblad!$F$41),0)</f>
        <v>0</v>
      </c>
      <c r="AM205" s="9">
        <f>IF($W205=AM$56,EN205*($Q205*$S205)/(1+Voorblad!$K$44)^(AM$56-Voorblad!$F$41),0)</f>
        <v>0</v>
      </c>
      <c r="AN205" s="9">
        <f>IF($W205=AN$56,EO205*($Q205*$S205)/(1+Voorblad!$K$44)^(AN$56-Voorblad!$F$41),0)</f>
        <v>0</v>
      </c>
      <c r="AO205" s="9">
        <f>IF($W205=AO$56,EP205*($Q205*$S205)/(1+Voorblad!$K$44)^(AO$56-Voorblad!$F$41),0)</f>
        <v>0</v>
      </c>
      <c r="AP205" s="9">
        <f>IF($W205=AP$56,EQ205*($Q205*$S205)/(1+Voorblad!$K$44)^(AP$56-Voorblad!$F$41),0)</f>
        <v>0</v>
      </c>
      <c r="AQ205" s="9">
        <f>IF($W205=AQ$56,ER205*($Q205*$S205)/(1+Voorblad!$K$44)^(AQ$56-Voorblad!$F$41),0)</f>
        <v>0</v>
      </c>
      <c r="AR205" s="9">
        <f>IF($W205=AR$56,ES205*($Q205*$S205)/(1+Voorblad!$K$44)^(AR$56-Voorblad!$F$41),0)</f>
        <v>0</v>
      </c>
      <c r="AS205" s="9">
        <f>IF($W205=AS$56,ET205*($Q205*$S205)/(1+Voorblad!$K$44)^(AS$56-Voorblad!$F$41),0)</f>
        <v>0</v>
      </c>
      <c r="AT205" s="9">
        <f>IF($W205=AT$56,EU205*($Q205*$S205)/(1+Voorblad!$K$44)^(AT$56-Voorblad!$F$41),0)</f>
        <v>0</v>
      </c>
      <c r="AU205" s="9">
        <f>IF($W205=AU$56,EV205*($Q205*$S205)/(1+Voorblad!$K$44)^(AU$56-Voorblad!$F$41),0)</f>
        <v>0</v>
      </c>
      <c r="AV205" s="9">
        <f>IF($W205=AV$56,EW205*($Q205*$S205)/(1+Voorblad!$K$44)^(AV$56-Voorblad!$F$41),0)</f>
        <v>0</v>
      </c>
      <c r="AW205" s="9">
        <f>IF($W205=AW$56,EX205*($Q205*$S205)/(1+Voorblad!$K$44)^(AW$56-Voorblad!$F$41),0)</f>
        <v>0</v>
      </c>
      <c r="AX205" s="9">
        <f>IF($W205=AX$56,EY205*($Q205*$S205)/(1+Voorblad!$K$44)^(AX$56-Voorblad!$F$41),0)</f>
        <v>0</v>
      </c>
      <c r="AY205" s="9">
        <f>IF($W205=AY$56,EZ205*($Q205*$S205)/(1+Voorblad!$K$44)^(AY$56-Voorblad!$F$41),0)</f>
        <v>0</v>
      </c>
      <c r="AZ205" s="9">
        <f>IF($W205=AZ$56,FA205*($Q205*$S205)/(1+Voorblad!$K$44)^(AZ$56-Voorblad!$F$41),0)</f>
        <v>0</v>
      </c>
      <c r="BA205" s="9">
        <f>IF($W205=BA$56,FB205*($Q205*$S205)/(1+Voorblad!$K$44)^(BA$56-Voorblad!$F$41),0)</f>
        <v>0</v>
      </c>
      <c r="BB205" s="9">
        <f>IF($W205=BB$56,FC205*($Q205*$S205)/(1+Voorblad!$K$44)^(BB$56-Voorblad!$F$41),0)</f>
        <v>0</v>
      </c>
      <c r="BC205" s="9">
        <f>IF($W205=BC$56,FD205*($Q205*$S205)/(1+Voorblad!$K$44)^(BC$56-Voorblad!$F$41),0)</f>
        <v>0</v>
      </c>
      <c r="BD205" s="9">
        <f>IF($W205=BD$56,FE205*($Q205*$S205)/(1+Voorblad!$K$44)^(BD$56-Voorblad!$F$41),0)</f>
        <v>0</v>
      </c>
      <c r="BE205" s="9">
        <f>IF($W205=BE$56,FF205*($Q205*$S205)/(1+Voorblad!$K$44)^(BE$56-Voorblad!$F$41),0)</f>
        <v>0</v>
      </c>
      <c r="BF205" s="9">
        <f>IF($W205=BF$56,FG205*($Q205*$S205)/(1+Voorblad!$K$44)^(BF$56-Voorblad!$F$41),0)</f>
        <v>0</v>
      </c>
      <c r="BG205" s="9">
        <f>IF($W205=BG$56,FH205*($Q205*$S205)/(1+Voorblad!$K$44)^(BG$56-Voorblad!$F$41),0)</f>
        <v>0</v>
      </c>
      <c r="BH205" s="9">
        <f>IF($W205=BH$56,FI205*($Q205*$S205)/(1+Voorblad!$K$44)^(BH$56-Voorblad!$F$41),0)</f>
        <v>0</v>
      </c>
      <c r="BI205" s="9">
        <f>IF($W205=BI$56,FJ205*($Q205*$S205)/(1+Voorblad!$K$44)^(BI$56-Voorblad!$F$41),0)</f>
        <v>0</v>
      </c>
      <c r="BJ205" s="9">
        <f>IF($W205=BJ$56,FK205*($Q205*$S205)/(1+Voorblad!$K$44)^(BJ$56-Voorblad!$F$41),0)</f>
        <v>0</v>
      </c>
      <c r="BK205" s="9">
        <f>IF($W205=BK$56,FL205*($Q205*$S205)/(1+Voorblad!$K$44)^(BK$56-Voorblad!$F$41),0)</f>
        <v>0</v>
      </c>
      <c r="BL205" s="9">
        <f>IF($W205=BL$56,FM205*($Q205*$S205)/(1+Voorblad!$K$44)^(BL$56-Voorblad!$F$41),0)</f>
        <v>0</v>
      </c>
      <c r="BM205" s="9">
        <f>IF($W205=BM$56,FN205*($Q205*$S205)/(1+Voorblad!$K$44)^(BM$56-Voorblad!$F$41),0)</f>
        <v>0</v>
      </c>
      <c r="BN205" s="9">
        <f>IF($W205=BN$56,FO205*($Q205*$S205)/(1+Voorblad!$K$44)^(BN$56-Voorblad!$F$41),0)</f>
        <v>0</v>
      </c>
      <c r="BO205" s="9">
        <f>IF($W205=BO$56,FP205*($Q205*$S205)/(1+Voorblad!$K$44)^(BO$56-Voorblad!$F$41),0)</f>
        <v>0</v>
      </c>
      <c r="BP205" s="9">
        <f>IF($W205=BP$56,FQ205*($Q205*$S205)/(1+Voorblad!$K$44)^(BP$56-Voorblad!$F$41),0)</f>
        <v>0</v>
      </c>
      <c r="BQ205" s="9">
        <f>IF($W205=BQ$56,FR205*($Q205*$S205)/(1+Voorblad!$K$44)^(BQ$56-Voorblad!$F$41),0)</f>
        <v>0</v>
      </c>
      <c r="BR205" s="9">
        <f>IF($W205=BR$56,FS205*($Q205*$S205)/(1+Voorblad!$K$44)^(BR$56-Voorblad!$F$41),0)</f>
        <v>0</v>
      </c>
      <c r="BS205" s="9">
        <f>IF($W205=BS$56,FT205*($Q205*$S205)/(1+Voorblad!$K$44)^(BS$56-Voorblad!$F$41),0)</f>
        <v>0</v>
      </c>
      <c r="BT205" s="9">
        <f>IF($W205=BT$56,FU205*($Q205*$S205)/(1+Voorblad!$K$44)^(BT$56-Voorblad!$F$41),0)</f>
        <v>0</v>
      </c>
      <c r="BU205" s="9">
        <f>IF($W205=BU$56,FV205*($Q205*$S205)/(1+Voorblad!$K$44)^(BU$56-Voorblad!$F$41),0)</f>
        <v>0</v>
      </c>
      <c r="BV205" s="9">
        <f>IF($W205=BV$56,FW205*($Q205*$S205)/(1+Voorblad!$K$44)^(BV$56-Voorblad!$F$41),0)</f>
        <v>0</v>
      </c>
      <c r="BW205" s="9">
        <f>IF($W205=BW$56,FX205*($Q205*$S205)/(1+Voorblad!$K$44)^(BW$56-Voorblad!$F$41),0)</f>
        <v>0</v>
      </c>
      <c r="BX205" s="9">
        <f>IF($W205=BX$56,FY205*($Q205*$S205)/(1+Voorblad!$K$44)^(BX$56-Voorblad!$F$41),0)</f>
        <v>0</v>
      </c>
      <c r="BY205" s="9">
        <f>IF($W205=BY$56,FZ205*($Q205*$S205)/(1+Voorblad!$K$44)^(BY$56-Voorblad!$F$41),0)</f>
        <v>0</v>
      </c>
      <c r="BZ205" s="9">
        <f>IF($W205=BZ$56,GA205*($Q205*$S205)/(1+Voorblad!$K$44)^(BZ$56-Voorblad!$F$41),0)</f>
        <v>0</v>
      </c>
      <c r="CA205" s="9">
        <f>IF($W205=CA$56,GB205*($Q205*$S205)/(1+Voorblad!$K$44)^(CA$56-Voorblad!$F$41),0)</f>
        <v>0</v>
      </c>
      <c r="CB205" s="9">
        <f>IF($W205=CB$56,GC205*($Q205*$S205)/(1+Voorblad!$K$44)^(CB$56-Voorblad!$F$41),0)</f>
        <v>0</v>
      </c>
      <c r="CC205" s="9">
        <f>IF($W205=CC$56,GD205*($Q205*$S205)/(1+Voorblad!$K$44)^(CC$56-Voorblad!$F$41),0)</f>
        <v>0</v>
      </c>
      <c r="CD205" s="9">
        <f>IF($W205=CD$56,GE205*($Q205*$S205)/(1+Voorblad!$K$44)^(CD$56-Voorblad!$F$41),0)</f>
        <v>0</v>
      </c>
      <c r="CE205" s="9">
        <f>IF($W205=CE$56,GF205*($Q205*$S205)/(1+Voorblad!$K$44)^(CE$56-Voorblad!$F$41),0)</f>
        <v>0</v>
      </c>
      <c r="CF205" s="9">
        <f>IF($W205=CF$56,GG205*($Q205*$S205)/(1+Voorblad!$K$44)^(CF$56-Voorblad!$F$41),0)</f>
        <v>0</v>
      </c>
      <c r="CG205" s="9">
        <f>IF($W205=CG$56,GH205*($Q205*$S205)/(1+Voorblad!$K$44)^(CG$56-Voorblad!$F$41),0)</f>
        <v>0</v>
      </c>
      <c r="CH205" s="9">
        <f>IF($W205=CH$56,GI205*($Q205*$S205)/(1+Voorblad!$K$44)^(CH$56-Voorblad!$F$41),0)</f>
        <v>0</v>
      </c>
      <c r="CI205" s="9">
        <f>IF($W205=CI$56,GJ205*($Q205*$S205)/(1+Voorblad!$K$44)^(CI$56-Voorblad!$F$41),0)</f>
        <v>0</v>
      </c>
      <c r="CJ205" s="9">
        <f>IF($W205=CJ$56,GK205*($Q205*$S205)/(1+Voorblad!$K$44)^(CJ$56-Voorblad!$F$41),0)</f>
        <v>0</v>
      </c>
      <c r="CK205" s="9">
        <f>IF($W205=CK$56,GL205*($Q205*$S205)/(1+Voorblad!$K$44)^(CK$56-Voorblad!$F$41),0)</f>
        <v>0</v>
      </c>
      <c r="CL205" s="9">
        <f>IF($W205=CL$56,GM205*($Q205*$S205)/(1+Voorblad!$K$44)^(CL$56-Voorblad!$F$41),0)</f>
        <v>0</v>
      </c>
      <c r="CM205" s="9">
        <f>IF($W205=CM$56,GN205*($Q205*$S205)/(1+Voorblad!$K$44)^(CM$56-Voorblad!$F$41),0)</f>
        <v>0</v>
      </c>
      <c r="CN205" s="9">
        <f>IF($W205=CN$56,GO205*($Q205*$S205)/(1+Voorblad!$K$44)^(CN$56-Voorblad!$F$41),0)</f>
        <v>0</v>
      </c>
      <c r="CO205" s="9">
        <f>IF($W205=CO$56,GP205*($Q205*$S205)/(1+Voorblad!$K$44)^(CO$56-Voorblad!$F$41),0)</f>
        <v>0</v>
      </c>
      <c r="CP205" s="9">
        <f>IF($W205=CP$56,GQ205*($Q205*$S205)/(1+Voorblad!$K$44)^(CP$56-Voorblad!$F$41),0)</f>
        <v>0</v>
      </c>
      <c r="CQ205" s="9">
        <f>IF($W205=CQ$56,GR205*($Q205*$S205)/(1+Voorblad!$K$44)^(CQ$56-Voorblad!$F$41),0)</f>
        <v>0</v>
      </c>
      <c r="CR205" s="9">
        <f>IF($W205=CR$56,GS205*($Q205*$S205)/(1+Voorblad!$K$44)^(CR$56-Voorblad!$F$41),0)</f>
        <v>0</v>
      </c>
      <c r="CS205" s="9">
        <f>IF($W205=CS$56,GT205*($Q205*$S205)/(1+Voorblad!$K$44)^(CS$56-Voorblad!$F$41),0)</f>
        <v>0</v>
      </c>
      <c r="CT205" s="9">
        <f>IF($W205=CT$56,GU205*($Q205*$S205)/(1+Voorblad!$K$44)^(CT$56-Voorblad!$F$41),0)</f>
        <v>0</v>
      </c>
      <c r="CU205" s="9">
        <f>IF($W205=CU$56,GV205*($Q205*$S205)/(1+Voorblad!$K$44)^(CU$56-Voorblad!$F$41),0)</f>
        <v>0</v>
      </c>
      <c r="CV205" s="9">
        <f>IF($W205=CV$56,GW205*($Q205*$S205)/(1+Voorblad!$K$44)^(CV$56-Voorblad!$F$41),0)</f>
        <v>0</v>
      </c>
      <c r="CW205" s="9">
        <f>IF($W205=CW$56,GX205*($Q205*$S205)/(1+Voorblad!$K$44)^(CW$56-Voorblad!$F$41),0)</f>
        <v>0</v>
      </c>
      <c r="CX205" s="9">
        <f>IF($W205=CX$56,GY205*($Q205*$S205)/(1+Voorblad!$K$44)^(CX$56-Voorblad!$F$41),0)</f>
        <v>0</v>
      </c>
      <c r="CY205" s="9">
        <f>IF($W205=CY$56,GZ205*($Q205*$S205)/(1+Voorblad!$K$44)^(CY$56-Voorblad!$F$41),0)</f>
        <v>0</v>
      </c>
      <c r="CZ205" s="9">
        <f>IF($W205=CZ$56,HA205*($Q205*$S205)/(1+Voorblad!$K$44)^(CZ$56-Voorblad!$F$41),0)</f>
        <v>0</v>
      </c>
      <c r="DA205" s="9">
        <f>IF($W205=DA$56,HB205*($Q205*$S205)/(1+Voorblad!$K$44)^(DA$56-Voorblad!$F$41),0)</f>
        <v>0</v>
      </c>
      <c r="DB205" s="9">
        <f>IF($W205=DB$56,HC205*($Q205*$S205)/(1+Voorblad!$K$44)^(DB$56-Voorblad!$F$41),0)</f>
        <v>0</v>
      </c>
      <c r="DC205" s="9">
        <f>IF($W205=DC$56,HD205*($Q205*$S205)/(1+Voorblad!$K$44)^(DC$56-Voorblad!$F$41),0)</f>
        <v>0</v>
      </c>
      <c r="DD205" s="9">
        <f>IF($W205=DD$56,HE205*($Q205*$S205)/(1+Voorblad!$K$44)^(DD$56-Voorblad!$F$41),0)</f>
        <v>0</v>
      </c>
      <c r="DE205" s="9">
        <f>IF($W205=DE$56,HF205*($Q205*$S205)/(1+Voorblad!$K$44)^(DE$56-Voorblad!$F$41),0)</f>
        <v>0</v>
      </c>
      <c r="DF205" s="9">
        <f>IF($W205=DF$56,HG205*($Q205*$S205)/(1+Voorblad!$K$44)^(DF$56-Voorblad!$F$41),0)</f>
        <v>0</v>
      </c>
      <c r="DG205" s="9">
        <f>IF($W205=DG$56,HH205*($Q205*$S205)/(1+Voorblad!$K$44)^(DG$56-Voorblad!$F$41),0)</f>
        <v>0</v>
      </c>
      <c r="DH205" s="9">
        <f>IF($W205=DH$56,HI205*($Q205*$S205)/(1+Voorblad!$K$44)^(DH$56-Voorblad!$F$41),0)</f>
        <v>0</v>
      </c>
      <c r="DI205" s="9">
        <f>IF($W205=DI$56,HJ205*($Q205*$S205)/(1+Voorblad!$K$44)^(DI$56-Voorblad!$F$41),0)</f>
        <v>0</v>
      </c>
      <c r="DJ205" s="9">
        <f>IF($W205=DJ$56,HK205*($Q205*$S205)/(1+Voorblad!$K$44)^(DJ$56-Voorblad!$F$41),0)</f>
        <v>0</v>
      </c>
      <c r="DK205" s="9">
        <f>IF($W205=DK$56,HL205*($Q205*$S205)/(1+Voorblad!$K$44)^(DK$56-Voorblad!$F$41),0)</f>
        <v>0</v>
      </c>
      <c r="DL205" s="9">
        <f>IF($W205=DL$56,HM205*($Q205*$S205)/(1+Voorblad!$K$44)^(DL$56-Voorblad!$F$41),0)</f>
        <v>0</v>
      </c>
      <c r="DM205" s="9">
        <f>IF($W205=DM$56,HN205*($Q205*$S205)/(1+Voorblad!$K$44)^(DM$56-Voorblad!$F$41),0)</f>
        <v>0</v>
      </c>
      <c r="DN205" s="9">
        <f>IF($W205=DN$56,HO205*($Q205*$S205)/(1+Voorblad!$K$44)^(DN$56-Voorblad!$F$41),0)</f>
        <v>0</v>
      </c>
      <c r="DO205" s="9">
        <f>IF($W205=DO$56,HP205*($Q205*$S205)/(1+Voorblad!$K$44)^(DO$56-Voorblad!$F$41),0)</f>
        <v>0</v>
      </c>
      <c r="DP205" s="9">
        <f>IF($W205=DP$56,HQ205*($Q205*$S205)/(1+Voorblad!$K$44)^(DP$56-Voorblad!$F$41),0)</f>
        <v>0</v>
      </c>
      <c r="DQ205" s="9">
        <f>IF($W205=DQ$56,HR205*($Q205*$S205)/(1+Voorblad!$K$44)^(DQ$56-Voorblad!$F$41),0)</f>
        <v>0</v>
      </c>
      <c r="DR205" s="9">
        <f>IF($W205=DR$56,HS205*($Q205*$S205)/(1+Voorblad!$K$44)^(DR$56-Voorblad!$F$41),0)</f>
        <v>0</v>
      </c>
      <c r="DS205" s="9">
        <f>IF($W205=DS$56,HT205*($Q205*$S205)/(1+Voorblad!$K$44)^(DS$56-Voorblad!$F$41),0)</f>
        <v>0</v>
      </c>
      <c r="DT205" s="9">
        <f>IF($W205=DT$56,HU205*($Q205*$S205)/(1+Voorblad!$K$44)^(DT$56-Voorblad!$F$41),0)</f>
        <v>0</v>
      </c>
      <c r="DU205" s="9">
        <f>IF($W205=DU$56,HV205*($Q205*$S205)/(1+Voorblad!$K$44)^(DU$56-Voorblad!$F$41),0)</f>
        <v>0</v>
      </c>
      <c r="DV205" s="9">
        <f>IF($W205=DV$56,HW205*($Q205*$S205)/(1+Voorblad!$K$44)^(DV$56-Voorblad!$F$41),0)</f>
        <v>0</v>
      </c>
      <c r="DW205" s="9">
        <f>IF($W205=DW$56,HX205*($Q205*$S205)/(1+Voorblad!$K$44)^(DW$56-Voorblad!$F$41),0)</f>
        <v>0</v>
      </c>
      <c r="DX205" s="9">
        <f>IF($W205=DX$56,HY205*($Q205*$S205)/(1+Voorblad!$K$44)^(DX$56-Voorblad!$F$41),0)</f>
        <v>0</v>
      </c>
      <c r="DY205" s="9">
        <f>IF($W205=DY$56,HZ205*($Q205*$S205)/(1+Voorblad!$K$44)^(DY$56-Voorblad!$F$41),0)</f>
        <v>0</v>
      </c>
      <c r="DZ205" s="9">
        <f>IF($W205=DZ$56,IA205*($Q205*$S205)/(1+Voorblad!$K$44)^(DZ$56-Voorblad!$F$41),0)</f>
        <v>0</v>
      </c>
      <c r="EA205" s="9">
        <f>IF($W205=EA$56,IB205*($Q205*$S205)/(1+Voorblad!$K$44)^(EA$56-Voorblad!$F$41),0)</f>
        <v>0</v>
      </c>
      <c r="EB205" s="9">
        <f>IF($W205=EB$56,IC205*($Q205*$S205)/(1+Voorblad!$K$44)^(EB$56-Voorblad!$F$41),0)</f>
        <v>0</v>
      </c>
      <c r="EE205" s="8">
        <v>0</v>
      </c>
      <c r="EF205" s="8">
        <f>IF(EF$56-Voorblad!$F$41&gt;Voorblad!$K$41,0,IF($U205=0,0,IF($U205&lt;1,1/$U205,IF((EF$56-Voorblad!$F$41)/$U205-SUM($EE205:EE205)=1,1,0))))</f>
        <v>0</v>
      </c>
      <c r="EG205" s="8">
        <f>IF(EG$56-Voorblad!$F$41&gt;Voorblad!$K$41,0,IF($U205=0,0,IF($U205&lt;1,1/$U205,IF((EG$56-Voorblad!$F$41)/$U205-SUM($EE205:EF205)=1,1,0))))</f>
        <v>1</v>
      </c>
      <c r="EH205" s="8">
        <f>IF(EH$56-Voorblad!$F$41&gt;Voorblad!$K$41,0,IF($U205=0,0,IF($U205&lt;1,1/$U205,IF((EH$56-Voorblad!$F$41)/$U205-SUM($EE205:EG205)=1,1,0))))</f>
        <v>1</v>
      </c>
      <c r="EI205" s="8">
        <f>IF(EI$56-Voorblad!$F$41&gt;Voorblad!$K$41,0,IF($U205=0,0,IF($U205&lt;1,1/$U205,IF((EI$56-Voorblad!$F$41)/$U205-SUM($EE205:EH205)=1,1,0))))</f>
        <v>1</v>
      </c>
      <c r="EJ205" s="8">
        <f>IF(EJ$56-Voorblad!$F$41&gt;Voorblad!$K$41,0,IF($U205=0,0,IF($U205&lt;1,1/$U205,IF((EJ$56-Voorblad!$F$41)/$U205-SUM($EE205:EI205)=1,1,0))))</f>
        <v>1</v>
      </c>
      <c r="EK205" s="8">
        <f>IF(EK$56-Voorblad!$F$41&gt;Voorblad!$K$41,0,IF($U205=0,0,IF($U205&lt;1,1/$U205,IF((EK$56-Voorblad!$F$41)/$U205-SUM($EE205:EJ205)=1,1,0))))</f>
        <v>1</v>
      </c>
      <c r="EL205" s="8">
        <f>IF(EL$56-Voorblad!$F$41&gt;Voorblad!$K$41,0,IF($U205=0,0,IF($U205&lt;1,1/$U205,IF((EL$56-Voorblad!$F$41)/$U205-SUM($EE205:EK205)=1,1,0))))</f>
        <v>1</v>
      </c>
      <c r="EM205" s="8">
        <f>IF(EM$56-Voorblad!$F$41&gt;Voorblad!$K$41,0,IF($U205=0,0,IF($U205&lt;1,1/$U205,IF((EM$56-Voorblad!$F$41)/$U205-SUM($EE205:EL205)=1,1,0))))</f>
        <v>1</v>
      </c>
      <c r="EN205" s="8">
        <f>IF(EN$56-Voorblad!$F$41&gt;Voorblad!$K$41,0,IF($U205=0,0,IF($U205&lt;1,1/$U205,IF((EN$56-Voorblad!$F$41)/$U205-SUM($EE205:EM205)=1,1,0))))</f>
        <v>1</v>
      </c>
      <c r="EO205" s="8">
        <f>IF(EO$56-Voorblad!$F$41&gt;Voorblad!$K$41,0,IF($U205=0,0,IF($U205&lt;1,1/$U205,IF((EO$56-Voorblad!$F$41)/$U205-SUM($EE205:EN205)=1,1,0))))</f>
        <v>1</v>
      </c>
      <c r="EP205" s="8">
        <f>IF(EP$56-Voorblad!$F$41&gt;Voorblad!$K$41,0,IF($U205=0,0,IF($U205&lt;1,1/$U205,IF((EP$56-Voorblad!$F$41)/$U205-SUM($EE205:EO205)=1,1,0))))</f>
        <v>1</v>
      </c>
      <c r="EQ205" s="8">
        <f>IF(EQ$56-Voorblad!$F$41&gt;Voorblad!$K$41,0,IF($U205=0,0,IF($U205&lt;1,1/$U205,IF((EQ$56-Voorblad!$F$41)/$U205-SUM($EE205:EP205)=1,1,0))))</f>
        <v>1</v>
      </c>
      <c r="ER205" s="8">
        <f>IF(ER$56-Voorblad!$F$41&gt;Voorblad!$K$41,0,IF($U205=0,0,IF($U205&lt;1,1/$U205,IF((ER$56-Voorblad!$F$41)/$U205-SUM($EE205:EQ205)=1,1,0))))</f>
        <v>1</v>
      </c>
      <c r="ES205" s="8">
        <f>IF(ES$56-Voorblad!$F$41&gt;Voorblad!$K$41,0,IF($U205=0,0,IF($U205&lt;1,1/$U205,IF((ES$56-Voorblad!$F$41)/$U205-SUM($EE205:ER205)=1,1,0))))</f>
        <v>1</v>
      </c>
      <c r="ET205" s="8">
        <f>IF(ET$56-Voorblad!$F$41&gt;Voorblad!$K$41,0,IF($U205=0,0,IF($U205&lt;1,1/$U205,IF((ET$56-Voorblad!$F$41)/$U205-SUM($EE205:ES205)=1,1,0))))</f>
        <v>1</v>
      </c>
      <c r="EU205" s="8">
        <f>IF(EU$56-Voorblad!$F$41&gt;Voorblad!$K$41,0,IF($U205=0,0,IF($U205&lt;1,1/$U205,IF((EU$56-Voorblad!$F$41)/$U205-SUM($EE205:ET205)=1,1,0))))</f>
        <v>1</v>
      </c>
      <c r="EV205" s="8">
        <f>IF(EV$56-Voorblad!$F$41&gt;Voorblad!$K$41,0,IF($U205=0,0,IF($U205&lt;1,1/$U205,IF((EV$56-Voorblad!$F$41)/$U205-SUM($EE205:EU205)=1,1,0))))</f>
        <v>1</v>
      </c>
      <c r="EW205" s="8">
        <f>IF(EW$56-Voorblad!$F$41&gt;Voorblad!$K$41,0,IF($U205=0,0,IF($U205&lt;1,1/$U205,IF((EW$56-Voorblad!$F$41)/$U205-SUM($EE205:EV205)=1,1,0))))</f>
        <v>1</v>
      </c>
      <c r="EX205" s="8">
        <f>IF(EX$56-Voorblad!$F$41&gt;Voorblad!$K$41,0,IF($U205=0,0,IF($U205&lt;1,1/$U205,IF((EX$56-Voorblad!$F$41)/$U205-SUM($EE205:EW205)=1,1,0))))</f>
        <v>1</v>
      </c>
      <c r="EY205" s="8">
        <f>IF(EY$56-Voorblad!$F$41&gt;Voorblad!$K$41,0,IF($U205=0,0,IF($U205&lt;1,1/$U205,IF((EY$56-Voorblad!$F$41)/$U205-SUM($EE205:EX205)=1,1,0))))</f>
        <v>1</v>
      </c>
      <c r="EZ205" s="8">
        <f>IF(EZ$56-Voorblad!$F$41&gt;Voorblad!$K$41,0,IF($U205=0,0,IF($U205&lt;1,1/$U205,IF((EZ$56-Voorblad!$F$41)/$U205-SUM($EE205:EY205)=1,1,0))))</f>
        <v>1</v>
      </c>
      <c r="FA205" s="8">
        <f>IF(FA$56-Voorblad!$F$41&gt;Voorblad!$K$41,0,IF($U205=0,0,IF($U205&lt;1,1/$U205,IF((FA$56-Voorblad!$F$41)/$U205-SUM($EE205:EZ205)=1,1,0))))</f>
        <v>1</v>
      </c>
      <c r="FB205" s="8">
        <f>IF(FB$56-Voorblad!$F$41&gt;Voorblad!$K$41,0,IF($U205=0,0,IF($U205&lt;1,1/$U205,IF((FB$56-Voorblad!$F$41)/$U205-SUM($EE205:FA205)=1,1,0))))</f>
        <v>1</v>
      </c>
      <c r="FC205" s="8">
        <f>IF(FC$56-Voorblad!$F$41&gt;Voorblad!$K$41,0,IF($U205=0,0,IF($U205&lt;1,1/$U205,IF((FC$56-Voorblad!$F$41)/$U205-SUM($EE205:FB205)=1,1,0))))</f>
        <v>1</v>
      </c>
      <c r="FD205" s="8">
        <f>IF(FD$56-Voorblad!$F$41&gt;Voorblad!$K$41,0,IF($U205=0,0,IF($U205&lt;1,1/$U205,IF((FD$56-Voorblad!$F$41)/$U205-SUM($EE205:FC205)=1,1,0))))</f>
        <v>1</v>
      </c>
      <c r="FE205" s="8">
        <f>IF(FE$56-Voorblad!$F$41&gt;Voorblad!$K$41,0,IF($U205=0,0,IF($U205&lt;1,1/$U205,IF((FE$56-Voorblad!$F$41)/$U205-SUM($EE205:FD205)=1,1,0))))</f>
        <v>1</v>
      </c>
      <c r="FF205" s="8">
        <f>IF(FF$56-Voorblad!$F$41&gt;Voorblad!$K$41,0,IF($U205=0,0,IF($U205&lt;1,1/$U205,IF((FF$56-Voorblad!$F$41)/$U205-SUM($EE205:FE205)=1,1,0))))</f>
        <v>1</v>
      </c>
      <c r="FG205" s="8">
        <f>IF(FG$56-Voorblad!$F$41&gt;Voorblad!$K$41,0,IF($U205=0,0,IF($U205&lt;1,1/$U205,IF((FG$56-Voorblad!$F$41)/$U205-SUM($EE205:FF205)=1,1,0))))</f>
        <v>1</v>
      </c>
      <c r="FH205" s="8">
        <f>IF(FH$56-Voorblad!$F$41&gt;Voorblad!$K$41,0,IF($U205=0,0,IF($U205&lt;1,1/$U205,IF((FH$56-Voorblad!$F$41)/$U205-SUM($EE205:FG205)=1,1,0))))</f>
        <v>1</v>
      </c>
      <c r="FI205" s="8">
        <f>IF(FI$56-Voorblad!$F$41&gt;Voorblad!$K$41,0,IF($U205=0,0,IF($U205&lt;1,1/$U205,IF((FI$56-Voorblad!$F$41)/$U205-SUM($EE205:FH205)=1,1,0))))</f>
        <v>1</v>
      </c>
      <c r="FJ205" s="8">
        <f>IF(FJ$56-Voorblad!$F$41&gt;Voorblad!$K$41,0,IF($U205=0,0,IF($U205&lt;1,1/$U205,IF((FJ$56-Voorblad!$F$41)/$U205-SUM($EE205:FI205)=1,1,0))))</f>
        <v>1</v>
      </c>
      <c r="FK205" s="8">
        <f>IF(FK$56-Voorblad!$F$41&gt;Voorblad!$K$41,0,IF($U205=0,0,IF($U205&lt;1,1/$U205,IF((FK$56-Voorblad!$F$41)/$U205-SUM($EE205:FJ205)=1,1,0))))</f>
        <v>1</v>
      </c>
      <c r="FL205" s="8">
        <f>IF(FL$56-Voorblad!$F$41&gt;Voorblad!$K$41,0,IF($U205=0,0,IF($U205&lt;1,1/$U205,IF((FL$56-Voorblad!$F$41)/$U205-SUM($EE205:FK205)=1,1,0))))</f>
        <v>1</v>
      </c>
      <c r="FM205" s="8">
        <f>IF(FM$56-Voorblad!$F$41&gt;Voorblad!$K$41,0,IF($U205=0,0,IF($U205&lt;1,1/$U205,IF((FM$56-Voorblad!$F$41)/$U205-SUM($EE205:FL205)=1,1,0))))</f>
        <v>1</v>
      </c>
      <c r="FN205" s="8">
        <f>IF(FN$56-Voorblad!$F$41&gt;Voorblad!$K$41,0,IF($U205=0,0,IF($U205&lt;1,1/$U205,IF((FN$56-Voorblad!$F$41)/$U205-SUM($EE205:FM205)=1,1,0))))</f>
        <v>1</v>
      </c>
      <c r="FO205" s="8">
        <f>IF(FO$56-Voorblad!$F$41&gt;Voorblad!$K$41,0,IF($U205=0,0,IF($U205&lt;1,1/$U205,IF((FO$56-Voorblad!$F$41)/$U205-SUM($EE205:FN205)=1,1,0))))</f>
        <v>1</v>
      </c>
      <c r="FP205" s="8">
        <f>IF(FP$56-Voorblad!$F$41&gt;Voorblad!$K$41,0,IF($U205=0,0,IF($U205&lt;1,1/$U205,IF((FP$56-Voorblad!$F$41)/$U205-SUM($EE205:FO205)=1,1,0))))</f>
        <v>1</v>
      </c>
      <c r="FQ205" s="8">
        <f>IF(FQ$56-Voorblad!$F$41&gt;Voorblad!$K$41,0,IF($U205=0,0,IF($U205&lt;1,1/$U205,IF((FQ$56-Voorblad!$F$41)/$U205-SUM($EE205:FP205)=1,1,0))))</f>
        <v>1</v>
      </c>
      <c r="FR205" s="8">
        <f>IF(FR$56-Voorblad!$F$41&gt;Voorblad!$K$41,0,IF($U205=0,0,IF($U205&lt;1,1/$U205,IF((FR$56-Voorblad!$F$41)/$U205-SUM($EE205:FQ205)=1,1,0))))</f>
        <v>1</v>
      </c>
      <c r="FS205" s="8">
        <f>IF(FS$56-Voorblad!$F$41&gt;Voorblad!$K$41,0,IF($U205=0,0,IF($U205&lt;1,1/$U205,IF((FS$56-Voorblad!$F$41)/$U205-SUM($EE205:FR205)=1,1,0))))</f>
        <v>1</v>
      </c>
      <c r="FT205" s="8">
        <f>IF(FT$56-Voorblad!$F$41&gt;Voorblad!$K$41,0,IF($U205=0,0,IF($U205&lt;1,1/$U205,IF((FT$56-Voorblad!$F$41)/$U205-SUM($EE205:FS205)=1,1,0))))</f>
        <v>1</v>
      </c>
      <c r="FU205" s="8">
        <f>IF(FU$56-Voorblad!$F$41&gt;Voorblad!$K$41,0,IF($U205=0,0,IF($U205&lt;1,1/$U205,IF((FU$56-Voorblad!$F$41)/$U205-SUM($EE205:FT205)=1,1,0))))</f>
        <v>1</v>
      </c>
      <c r="FV205" s="8">
        <f>IF(FV$56-Voorblad!$F$41&gt;Voorblad!$K$41,0,IF($U205=0,0,IF($U205&lt;1,1/$U205,IF((FV$56-Voorblad!$F$41)/$U205-SUM($EE205:FU205)=1,1,0))))</f>
        <v>1</v>
      </c>
      <c r="FW205" s="8">
        <f>IF(FW$56-Voorblad!$F$41&gt;Voorblad!$K$41,0,IF($U205=0,0,IF($U205&lt;1,1/$U205,IF((FW$56-Voorblad!$F$41)/$U205-SUM($EE205:FV205)=1,1,0))))</f>
        <v>1</v>
      </c>
      <c r="FX205" s="8">
        <f>IF(FX$56-Voorblad!$F$41&gt;Voorblad!$K$41,0,IF($U205=0,0,IF($U205&lt;1,1/$U205,IF((FX$56-Voorblad!$F$41)/$U205-SUM($EE205:FW205)=1,1,0))))</f>
        <v>1</v>
      </c>
      <c r="FY205" s="8">
        <f>IF(FY$56-Voorblad!$F$41&gt;Voorblad!$K$41,0,IF($U205=0,0,IF($U205&lt;1,1/$U205,IF((FY$56-Voorblad!$F$41)/$U205-SUM($EE205:FX205)=1,1,0))))</f>
        <v>1</v>
      </c>
      <c r="FZ205" s="8">
        <f>IF(FZ$56-Voorblad!$F$41&gt;Voorblad!$K$41,0,IF($U205=0,0,IF($U205&lt;1,1/$U205,IF((FZ$56-Voorblad!$F$41)/$U205-SUM($EE205:FY205)=1,1,0))))</f>
        <v>1</v>
      </c>
      <c r="GA205" s="8">
        <f>IF(GA$56-Voorblad!$F$41&gt;Voorblad!$K$41,0,IF($U205=0,0,IF($U205&lt;1,1/$U205,IF((GA$56-Voorblad!$F$41)/$U205-SUM($EE205:FZ205)=1,1,0))))</f>
        <v>1</v>
      </c>
      <c r="GB205" s="8">
        <f>IF(GB$56-Voorblad!$F$41&gt;Voorblad!$K$41,0,IF($U205=0,0,IF($U205&lt;1,1/$U205,IF((GB$56-Voorblad!$F$41)/$U205-SUM($EE205:GA205)=1,1,0))))</f>
        <v>1</v>
      </c>
      <c r="GC205" s="8">
        <f>IF(GC$56-Voorblad!$F$41&gt;Voorblad!$K$41,0,IF($U205=0,0,IF($U205&lt;1,1/$U205,IF((GC$56-Voorblad!$F$41)/$U205-SUM($EE205:GB205)=1,1,0))))</f>
        <v>1</v>
      </c>
      <c r="GD205" s="8">
        <f>IF(GD$56-Voorblad!$F$41&gt;Voorblad!$K$41,0,IF($U205=0,0,IF($U205&lt;1,1/$U205,IF((GD$56-Voorblad!$F$41)/$U205-SUM($EE205:GC205)=1,1,0))))</f>
        <v>1</v>
      </c>
      <c r="GE205" s="8">
        <f>IF(GE$56-Voorblad!$F$41&gt;Voorblad!$K$41,0,IF($U205=0,0,IF($U205&lt;1,1/$U205,IF((GE$56-Voorblad!$F$41)/$U205-SUM($EE205:GD205)=1,1,0))))</f>
        <v>1</v>
      </c>
      <c r="GF205" s="8">
        <f>IF(GF$56-Voorblad!$F$41&gt;Voorblad!$K$41,0,IF($U205=0,0,IF($U205&lt;1,1/$U205,IF((GF$56-Voorblad!$F$41)/$U205-SUM($EE205:GE205)=1,1,0))))</f>
        <v>1</v>
      </c>
      <c r="GG205" s="8">
        <f>IF(GG$56-Voorblad!$F$41&gt;Voorblad!$K$41,0,IF($U205=0,0,IF($U205&lt;1,1/$U205,IF((GG$56-Voorblad!$F$41)/$U205-SUM($EE205:GF205)=1,1,0))))</f>
        <v>1</v>
      </c>
      <c r="GH205" s="8">
        <f>IF(GH$56-Voorblad!$F$41&gt;Voorblad!$K$41,0,IF($U205=0,0,IF($U205&lt;1,1/$U205,IF((GH$56-Voorblad!$F$41)/$U205-SUM($EE205:GG205)=1,1,0))))</f>
        <v>1</v>
      </c>
      <c r="GI205" s="8">
        <f>IF(GI$56-Voorblad!$F$41&gt;Voorblad!$K$41,0,IF($U205=0,0,IF($U205&lt;1,1/$U205,IF((GI$56-Voorblad!$F$41)/$U205-SUM($EE205:GH205)=1,1,0))))</f>
        <v>1</v>
      </c>
      <c r="GJ205" s="8">
        <f>IF(GJ$56-Voorblad!$F$41&gt;Voorblad!$K$41,0,IF($U205=0,0,IF($U205&lt;1,1/$U205,IF((GJ$56-Voorblad!$F$41)/$U205-SUM($EE205:GI205)=1,1,0))))</f>
        <v>1</v>
      </c>
      <c r="GK205" s="8">
        <f>IF(GK$56-Voorblad!$F$41&gt;Voorblad!$K$41,0,IF($U205=0,0,IF($U205&lt;1,1/$U205,IF((GK$56-Voorblad!$F$41)/$U205-SUM($EE205:GJ205)=1,1,0))))</f>
        <v>1</v>
      </c>
      <c r="GL205" s="8">
        <f>IF(GL$56-Voorblad!$F$41&gt;Voorblad!$K$41,0,IF($U205=0,0,IF($U205&lt;1,1/$U205,IF((GL$56-Voorblad!$F$41)/$U205-SUM($EE205:GK205)=1,1,0))))</f>
        <v>1</v>
      </c>
      <c r="GM205" s="8">
        <f>IF(GM$56-Voorblad!$F$41&gt;Voorblad!$K$41,0,IF($U205=0,0,IF($U205&lt;1,1/$U205,IF((GM$56-Voorblad!$F$41)/$U205-SUM($EE205:GL205)=1,1,0))))</f>
        <v>1</v>
      </c>
      <c r="GN205" s="8">
        <f>IF(GN$56-Voorblad!$F$41&gt;Voorblad!$K$41,0,IF($U205=0,0,IF($U205&lt;1,1/$U205,IF((GN$56-Voorblad!$F$41)/$U205-SUM($EE205:GM205)=1,1,0))))</f>
        <v>1</v>
      </c>
      <c r="GO205" s="8">
        <f>IF(GO$56-Voorblad!$F$41&gt;Voorblad!$K$41,0,IF($U205=0,0,IF($U205&lt;1,1/$U205,IF((GO$56-Voorblad!$F$41)/$U205-SUM($EE205:GN205)=1,1,0))))</f>
        <v>1</v>
      </c>
      <c r="GP205" s="8">
        <f>IF(GP$56-Voorblad!$F$41&gt;Voorblad!$K$41,0,IF($U205=0,0,IF($U205&lt;1,1/$U205,IF((GP$56-Voorblad!$F$41)/$U205-SUM($EE205:GO205)=1,1,0))))</f>
        <v>1</v>
      </c>
      <c r="GQ205" s="8">
        <f>IF(GQ$56-Voorblad!$F$41&gt;Voorblad!$K$41,0,IF($U205=0,0,IF($U205&lt;1,1/$U205,IF((GQ$56-Voorblad!$F$41)/$U205-SUM($EE205:GP205)=1,1,0))))</f>
        <v>1</v>
      </c>
      <c r="GR205" s="8">
        <f>IF(GR$56-Voorblad!$F$41&gt;Voorblad!$K$41,0,IF($U205=0,0,IF($U205&lt;1,1/$U205,IF((GR$56-Voorblad!$F$41)/$U205-SUM($EE205:GQ205)=1,1,0))))</f>
        <v>1</v>
      </c>
      <c r="GS205" s="8">
        <f>IF(GS$56-Voorblad!$F$41&gt;Voorblad!$K$41,0,IF($U205=0,0,IF($U205&lt;1,1/$U205,IF((GS$56-Voorblad!$F$41)/$U205-SUM($EE205:GR205)=1,1,0))))</f>
        <v>1</v>
      </c>
      <c r="GT205" s="8">
        <f>IF(GT$56-Voorblad!$F$41&gt;Voorblad!$K$41,0,IF($U205=0,0,IF($U205&lt;1,1/$U205,IF((GT$56-Voorblad!$F$41)/$U205-SUM($EE205:GS205)=1,1,0))))</f>
        <v>1</v>
      </c>
      <c r="GU205" s="8">
        <f>IF(GU$56-Voorblad!$F$41&gt;Voorblad!$K$41,0,IF($U205=0,0,IF($U205&lt;1,1/$U205,IF((GU$56-Voorblad!$F$41)/$U205-SUM($EE205:GT205)=1,1,0))))</f>
        <v>1</v>
      </c>
      <c r="GV205" s="8">
        <f>IF(GV$56-Voorblad!$F$41&gt;Voorblad!$K$41,0,IF($U205=0,0,IF($U205&lt;1,1/$U205,IF((GV$56-Voorblad!$F$41)/$U205-SUM($EE205:GU205)=1,1,0))))</f>
        <v>1</v>
      </c>
      <c r="GW205" s="8">
        <f>IF(GW$56-Voorblad!$F$41&gt;Voorblad!$K$41,0,IF($U205=0,0,IF($U205&lt;1,1/$U205,IF((GW$56-Voorblad!$F$41)/$U205-SUM($EE205:GV205)=1,1,0))))</f>
        <v>1</v>
      </c>
      <c r="GX205" s="8">
        <f>IF(GX$56-Voorblad!$F$41&gt;Voorblad!$K$41,0,IF($U205=0,0,IF($U205&lt;1,1/$U205,IF((GX$56-Voorblad!$F$41)/$U205-SUM($EE205:GW205)=1,1,0))))</f>
        <v>1</v>
      </c>
      <c r="GY205" s="8">
        <f>IF(GY$56-Voorblad!$F$41&gt;Voorblad!$K$41,0,IF($U205=0,0,IF($U205&lt;1,1/$U205,IF((GY$56-Voorblad!$F$41)/$U205-SUM($EE205:GX205)=1,1,0))))</f>
        <v>1</v>
      </c>
      <c r="GZ205" s="8">
        <f>IF(GZ$56-Voorblad!$F$41&gt;Voorblad!$K$41,0,IF($U205=0,0,IF($U205&lt;1,1/$U205,IF((GZ$56-Voorblad!$F$41)/$U205-SUM($EE205:GY205)=1,1,0))))</f>
        <v>1</v>
      </c>
      <c r="HA205" s="8">
        <f>IF(HA$56-Voorblad!$F$41&gt;Voorblad!$K$41,0,IF($U205=0,0,IF($U205&lt;1,1/$U205,IF((HA$56-Voorblad!$F$41)/$U205-SUM($EE205:GZ205)=1,1,0))))</f>
        <v>1</v>
      </c>
      <c r="HB205" s="8">
        <f>IF(HB$56-Voorblad!$F$41&gt;Voorblad!$K$41,0,IF($U205=0,0,IF($U205&lt;1,1/$U205,IF((HB$56-Voorblad!$F$41)/$U205-SUM($EE205:HA205)=1,1,0))))</f>
        <v>0</v>
      </c>
      <c r="HC205" s="8">
        <f>IF(HC$56-Voorblad!$F$41&gt;Voorblad!$K$41,0,IF($U205=0,0,IF($U205&lt;1,1/$U205,IF((HC$56-Voorblad!$F$41)/$U205-SUM($EE205:HB205)=1,1,0))))</f>
        <v>0</v>
      </c>
      <c r="HD205" s="8">
        <f>IF(HD$56-Voorblad!$F$41&gt;Voorblad!$K$41,0,IF($U205=0,0,IF($U205&lt;1,1/$U205,IF((HD$56-Voorblad!$F$41)/$U205-SUM($EE205:HC205)=1,1,0))))</f>
        <v>0</v>
      </c>
      <c r="HE205" s="8">
        <f>IF(HE$56-Voorblad!$F$41&gt;Voorblad!$K$41,0,IF($U205=0,0,IF($U205&lt;1,1/$U205,IF((HE$56-Voorblad!$F$41)/$U205-SUM($EE205:HD205)=1,1,0))))</f>
        <v>0</v>
      </c>
      <c r="HF205" s="8">
        <f>IF(HF$56-Voorblad!$F$41&gt;Voorblad!$K$41,0,IF($U205=0,0,IF($U205&lt;1,1/$U205,IF((HF$56-Voorblad!$F$41)/$U205-SUM($EE205:HE205)=1,1,0))))</f>
        <v>0</v>
      </c>
      <c r="HG205" s="8">
        <f>IF(HG$56-Voorblad!$F$41&gt;Voorblad!$K$41,0,IF($U205=0,0,IF($U205&lt;1,1/$U205,IF((HG$56-Voorblad!$F$41)/$U205-SUM($EE205:HF205)=1,1,0))))</f>
        <v>0</v>
      </c>
      <c r="HH205" s="8">
        <f>IF(HH$56-Voorblad!$F$41&gt;Voorblad!$K$41,0,IF($U205=0,0,IF($U205&lt;1,1/$U205,IF((HH$56-Voorblad!$F$41)/$U205-SUM($EE205:HG205)=1,1,0))))</f>
        <v>0</v>
      </c>
      <c r="HI205" s="8">
        <f>IF(HI$56-Voorblad!$F$41&gt;Voorblad!$K$41,0,IF($U205=0,0,IF($U205&lt;1,1/$U205,IF((HI$56-Voorblad!$F$41)/$U205-SUM($EE205:HH205)=1,1,0))))</f>
        <v>0</v>
      </c>
      <c r="HJ205" s="8">
        <f>IF(HJ$56-Voorblad!$F$41&gt;Voorblad!$K$41,0,IF($U205=0,0,IF($U205&lt;1,1/$U205,IF((HJ$56-Voorblad!$F$41)/$U205-SUM($EE205:HI205)=1,1,0))))</f>
        <v>0</v>
      </c>
      <c r="HK205" s="8">
        <f>IF(HK$56-Voorblad!$F$41&gt;Voorblad!$K$41,0,IF($U205=0,0,IF($U205&lt;1,1/$U205,IF((HK$56-Voorblad!$F$41)/$U205-SUM($EE205:HJ205)=1,1,0))))</f>
        <v>0</v>
      </c>
      <c r="HL205" s="8">
        <f>IF(HL$56-Voorblad!$F$41&gt;Voorblad!$K$41,0,IF($U205=0,0,IF($U205&lt;1,1/$U205,IF((HL$56-Voorblad!$F$41)/$U205-SUM($EE205:HK205)=1,1,0))))</f>
        <v>0</v>
      </c>
      <c r="HM205" s="8">
        <f>IF(HM$56-Voorblad!$F$41&gt;Voorblad!$K$41,0,IF($U205=0,0,IF($U205&lt;1,1/$U205,IF((HM$56-Voorblad!$F$41)/$U205-SUM($EE205:HL205)=1,1,0))))</f>
        <v>0</v>
      </c>
      <c r="HN205" s="8">
        <f>IF(HN$56-Voorblad!$F$41&gt;Voorblad!$K$41,0,IF($U205=0,0,IF($U205&lt;1,1/$U205,IF((HN$56-Voorblad!$F$41)/$U205-SUM($EE205:HM205)=1,1,0))))</f>
        <v>0</v>
      </c>
      <c r="HO205" s="8">
        <f>IF(HO$56-Voorblad!$F$41&gt;Voorblad!$K$41,0,IF($U205=0,0,IF($U205&lt;1,1/$U205,IF((HO$56-Voorblad!$F$41)/$U205-SUM($EE205:HN205)=1,1,0))))</f>
        <v>0</v>
      </c>
      <c r="HP205" s="8">
        <f>IF(HP$56-Voorblad!$F$41&gt;Voorblad!$K$41,0,IF($U205=0,0,IF($U205&lt;1,1/$U205,IF((HP$56-Voorblad!$F$41)/$U205-SUM($EE205:HO205)=1,1,0))))</f>
        <v>0</v>
      </c>
      <c r="HQ205" s="8">
        <f>IF(HQ$56-Voorblad!$F$41&gt;Voorblad!$K$41,0,IF($U205=0,0,IF($U205&lt;1,1/$U205,IF((HQ$56-Voorblad!$F$41)/$U205-SUM($EE205:HP205)=1,1,0))))</f>
        <v>0</v>
      </c>
      <c r="HR205" s="8">
        <f>IF(HR$56-Voorblad!$F$41&gt;Voorblad!$K$41,0,IF($U205=0,0,IF($U205&lt;1,1/$U205,IF((HR$56-Voorblad!$F$41)/$U205-SUM($EE205:HQ205)=1,1,0))))</f>
        <v>0</v>
      </c>
      <c r="HS205" s="8">
        <f>IF(HS$56-Voorblad!$F$41&gt;Voorblad!$K$41,0,IF($U205=0,0,IF($U205&lt;1,1/$U205,IF((HS$56-Voorblad!$F$41)/$U205-SUM($EE205:HR205)=1,1,0))))</f>
        <v>0</v>
      </c>
      <c r="HT205" s="8">
        <f>IF(HT$56-Voorblad!$F$41&gt;Voorblad!$K$41,0,IF($U205=0,0,IF($U205&lt;1,1/$U205,IF((HT$56-Voorblad!$F$41)/$U205-SUM($EE205:HS205)=1,1,0))))</f>
        <v>0</v>
      </c>
      <c r="HU205" s="8">
        <f>IF(HU$56-Voorblad!$F$41&gt;Voorblad!$K$41,0,IF($U205=0,0,IF($U205&lt;1,1/$U205,IF((HU$56-Voorblad!$F$41)/$U205-SUM($EE205:HT205)=1,1,0))))</f>
        <v>0</v>
      </c>
      <c r="HV205" s="8">
        <f>IF(HV$56-Voorblad!$F$41&gt;Voorblad!$K$41,0,IF($U205=0,0,IF($U205&lt;1,1/$U205,IF((HV$56-Voorblad!$F$41)/$U205-SUM($EE205:HU205)=1,1,0))))</f>
        <v>0</v>
      </c>
      <c r="HW205" s="8">
        <f>IF(HW$56-Voorblad!$F$41&gt;Voorblad!$K$41,0,IF($U205=0,0,IF($U205&lt;1,1/$U205,IF((HW$56-Voorblad!$F$41)/$U205-SUM($EE205:HV205)=1,1,0))))</f>
        <v>0</v>
      </c>
      <c r="HX205" s="8">
        <f>IF(HX$56-Voorblad!$F$41&gt;Voorblad!$K$41,0,IF($U205=0,0,IF($U205&lt;1,1/$U205,IF((HX$56-Voorblad!$F$41)/$U205-SUM($EE205:HW205)=1,1,0))))</f>
        <v>0</v>
      </c>
      <c r="HY205" s="8">
        <f>IF(HY$56-Voorblad!$F$41&gt;Voorblad!$K$41,0,IF($U205=0,0,IF($U205&lt;1,1/$U205,IF((HY$56-Voorblad!$F$41)/$U205-SUM($EE205:HX205)=1,1,0))))</f>
        <v>0</v>
      </c>
      <c r="HZ205" s="8">
        <f>IF(HZ$56-Voorblad!$F$41&gt;Voorblad!$K$41,0,IF($U205=0,0,IF($U205&lt;1,1/$U205,IF((HZ$56-Voorblad!$F$41)/$U205-SUM($EE205:HY205)=1,1,0))))</f>
        <v>0</v>
      </c>
      <c r="IA205" s="8">
        <f>IF(IA$56-Voorblad!$F$41&gt;Voorblad!$K$41,0,IF($U205=0,0,IF($U205&lt;1,1/$U205,IF((IA$56-Voorblad!$F$41)/$U205-SUM($EE205:HZ205)=1,1,0))))</f>
        <v>0</v>
      </c>
      <c r="IB205" s="8">
        <f>IF(IB$56-Voorblad!$F$41&gt;Voorblad!$K$41,0,IF($U205=0,0,IF($U205&lt;1,1/$U205,IF((IB$56-Voorblad!$F$41)/$U205-SUM($EE205:IA205)=1,1,0))))</f>
        <v>0</v>
      </c>
    </row>
    <row r="206" spans="2:236" hidden="1" outlineLevel="1" x14ac:dyDescent="0.25">
      <c r="B206" s="14">
        <v>1</v>
      </c>
      <c r="C206" s="14"/>
      <c r="F206" s="1" t="s">
        <v>58</v>
      </c>
      <c r="I206" s="1" t="s">
        <v>66</v>
      </c>
      <c r="K206" s="1" t="s">
        <v>65</v>
      </c>
      <c r="O206" s="1" t="s">
        <v>100</v>
      </c>
      <c r="Q206" s="81">
        <v>0</v>
      </c>
      <c r="R206" s="1" t="s">
        <v>33</v>
      </c>
      <c r="S206" s="21">
        <f>4%*T204</f>
        <v>0</v>
      </c>
      <c r="T206" s="14">
        <f>Q206*S206</f>
        <v>0</v>
      </c>
      <c r="U206" s="11">
        <v>1</v>
      </c>
      <c r="V206" s="14"/>
      <c r="W206" s="81">
        <v>0</v>
      </c>
      <c r="X206" s="6"/>
      <c r="Y206" s="9">
        <f t="shared" si="199"/>
        <v>0</v>
      </c>
      <c r="Z206" s="82"/>
      <c r="AA206" s="82"/>
      <c r="AC206" s="9">
        <f>$Y206*(Voorblad!$K$44*(1+Voorblad!$K$44)^Voorblad!$K$41)/((1+Voorblad!$K$44)^Voorblad!$K$41-1)</f>
        <v>0</v>
      </c>
      <c r="AE206" s="9">
        <f>IF($W206=AE$56,EF206*($Q206*$S206)/(1+Voorblad!$K$44)^(AE$56-Voorblad!$F$41),0)</f>
        <v>0</v>
      </c>
      <c r="AF206" s="9">
        <f>IF($W206=AF$56,EG206*($Q206*$S206)/(1+Voorblad!$K$44)^(AF$56-Voorblad!$F$41),0)</f>
        <v>0</v>
      </c>
      <c r="AG206" s="9">
        <f>IF($W206=AG$56,EH206*($Q206*$S206)/(1+Voorblad!$K$44)^(AG$56-Voorblad!$F$41),0)</f>
        <v>0</v>
      </c>
      <c r="AH206" s="9">
        <f>IF($W206=AH$56,EI206*($Q206*$S206)/(1+Voorblad!$K$44)^(AH$56-Voorblad!$F$41),0)</f>
        <v>0</v>
      </c>
      <c r="AI206" s="9">
        <f>IF($W206=AI$56,EJ206*($Q206*$S206)/(1+Voorblad!$K$44)^(AI$56-Voorblad!$F$41),0)</f>
        <v>0</v>
      </c>
      <c r="AJ206" s="9">
        <f>IF($W206=AJ$56,EK206*($Q206*$S206)/(1+Voorblad!$K$44)^(AJ$56-Voorblad!$F$41),0)</f>
        <v>0</v>
      </c>
      <c r="AK206" s="9">
        <f>IF($W206=AK$56,EL206*($Q206*$S206)/(1+Voorblad!$K$44)^(AK$56-Voorblad!$F$41),0)</f>
        <v>0</v>
      </c>
      <c r="AL206" s="9">
        <f>IF($W206=AL$56,EM206*($Q206*$S206)/(1+Voorblad!$K$44)^(AL$56-Voorblad!$F$41),0)</f>
        <v>0</v>
      </c>
      <c r="AM206" s="9">
        <f>IF($W206=AM$56,EN206*($Q206*$S206)/(1+Voorblad!$K$44)^(AM$56-Voorblad!$F$41),0)</f>
        <v>0</v>
      </c>
      <c r="AN206" s="9">
        <f>IF($W206=AN$56,EO206*($Q206*$S206)/(1+Voorblad!$K$44)^(AN$56-Voorblad!$F$41),0)</f>
        <v>0</v>
      </c>
      <c r="AO206" s="9">
        <f>IF($W206=AO$56,EP206*($Q206*$S206)/(1+Voorblad!$K$44)^(AO$56-Voorblad!$F$41),0)</f>
        <v>0</v>
      </c>
      <c r="AP206" s="9">
        <f>IF($W206=AP$56,EQ206*($Q206*$S206)/(1+Voorblad!$K$44)^(AP$56-Voorblad!$F$41),0)</f>
        <v>0</v>
      </c>
      <c r="AQ206" s="9">
        <f>IF($W206=AQ$56,ER206*($Q206*$S206)/(1+Voorblad!$K$44)^(AQ$56-Voorblad!$F$41),0)</f>
        <v>0</v>
      </c>
      <c r="AR206" s="9">
        <f>IF($W206=AR$56,ES206*($Q206*$S206)/(1+Voorblad!$K$44)^(AR$56-Voorblad!$F$41),0)</f>
        <v>0</v>
      </c>
      <c r="AS206" s="9">
        <f>IF($W206=AS$56,ET206*($Q206*$S206)/(1+Voorblad!$K$44)^(AS$56-Voorblad!$F$41),0)</f>
        <v>0</v>
      </c>
      <c r="AT206" s="9">
        <f>IF($W206=AT$56,EU206*($Q206*$S206)/(1+Voorblad!$K$44)^(AT$56-Voorblad!$F$41),0)</f>
        <v>0</v>
      </c>
      <c r="AU206" s="9">
        <f>IF($W206=AU$56,EV206*($Q206*$S206)/(1+Voorblad!$K$44)^(AU$56-Voorblad!$F$41),0)</f>
        <v>0</v>
      </c>
      <c r="AV206" s="9">
        <f>IF($W206=AV$56,EW206*($Q206*$S206)/(1+Voorblad!$K$44)^(AV$56-Voorblad!$F$41),0)</f>
        <v>0</v>
      </c>
      <c r="AW206" s="9">
        <f>IF($W206=AW$56,EX206*($Q206*$S206)/(1+Voorblad!$K$44)^(AW$56-Voorblad!$F$41),0)</f>
        <v>0</v>
      </c>
      <c r="AX206" s="9">
        <f>IF($W206=AX$56,EY206*($Q206*$S206)/(1+Voorblad!$K$44)^(AX$56-Voorblad!$F$41),0)</f>
        <v>0</v>
      </c>
      <c r="AY206" s="9">
        <f>IF($W206=AY$56,EZ206*($Q206*$S206)/(1+Voorblad!$K$44)^(AY$56-Voorblad!$F$41),0)</f>
        <v>0</v>
      </c>
      <c r="AZ206" s="9">
        <f>IF($W206=AZ$56,FA206*($Q206*$S206)/(1+Voorblad!$K$44)^(AZ$56-Voorblad!$F$41),0)</f>
        <v>0</v>
      </c>
      <c r="BA206" s="9">
        <f>IF($W206=BA$56,FB206*($Q206*$S206)/(1+Voorblad!$K$44)^(BA$56-Voorblad!$F$41),0)</f>
        <v>0</v>
      </c>
      <c r="BB206" s="9">
        <f>IF($W206=BB$56,FC206*($Q206*$S206)/(1+Voorblad!$K$44)^(BB$56-Voorblad!$F$41),0)</f>
        <v>0</v>
      </c>
      <c r="BC206" s="9">
        <f>IF($W206=BC$56,FD206*($Q206*$S206)/(1+Voorblad!$K$44)^(BC$56-Voorblad!$F$41),0)</f>
        <v>0</v>
      </c>
      <c r="BD206" s="9">
        <f>IF($W206=BD$56,FE206*($Q206*$S206)/(1+Voorblad!$K$44)^(BD$56-Voorblad!$F$41),0)</f>
        <v>0</v>
      </c>
      <c r="BE206" s="9">
        <f>IF($W206=BE$56,FF206*($Q206*$S206)/(1+Voorblad!$K$44)^(BE$56-Voorblad!$F$41),0)</f>
        <v>0</v>
      </c>
      <c r="BF206" s="9">
        <f>IF($W206=BF$56,FG206*($Q206*$S206)/(1+Voorblad!$K$44)^(BF$56-Voorblad!$F$41),0)</f>
        <v>0</v>
      </c>
      <c r="BG206" s="9">
        <f>IF($W206=BG$56,FH206*($Q206*$S206)/(1+Voorblad!$K$44)^(BG$56-Voorblad!$F$41),0)</f>
        <v>0</v>
      </c>
      <c r="BH206" s="9">
        <f>IF($W206=BH$56,FI206*($Q206*$S206)/(1+Voorblad!$K$44)^(BH$56-Voorblad!$F$41),0)</f>
        <v>0</v>
      </c>
      <c r="BI206" s="9">
        <f>IF($W206=BI$56,FJ206*($Q206*$S206)/(1+Voorblad!$K$44)^(BI$56-Voorblad!$F$41),0)</f>
        <v>0</v>
      </c>
      <c r="BJ206" s="9">
        <f>IF($W206=BJ$56,FK206*($Q206*$S206)/(1+Voorblad!$K$44)^(BJ$56-Voorblad!$F$41),0)</f>
        <v>0</v>
      </c>
      <c r="BK206" s="9">
        <f>IF($W206=BK$56,FL206*($Q206*$S206)/(1+Voorblad!$K$44)^(BK$56-Voorblad!$F$41),0)</f>
        <v>0</v>
      </c>
      <c r="BL206" s="9">
        <f>IF($W206=BL$56,FM206*($Q206*$S206)/(1+Voorblad!$K$44)^(BL$56-Voorblad!$F$41),0)</f>
        <v>0</v>
      </c>
      <c r="BM206" s="9">
        <f>IF($W206=BM$56,FN206*($Q206*$S206)/(1+Voorblad!$K$44)^(BM$56-Voorblad!$F$41),0)</f>
        <v>0</v>
      </c>
      <c r="BN206" s="9">
        <f>IF($W206=BN$56,FO206*($Q206*$S206)/(1+Voorblad!$K$44)^(BN$56-Voorblad!$F$41),0)</f>
        <v>0</v>
      </c>
      <c r="BO206" s="9">
        <f>IF($W206=BO$56,FP206*($Q206*$S206)/(1+Voorblad!$K$44)^(BO$56-Voorblad!$F$41),0)</f>
        <v>0</v>
      </c>
      <c r="BP206" s="9">
        <f>IF($W206=BP$56,FQ206*($Q206*$S206)/(1+Voorblad!$K$44)^(BP$56-Voorblad!$F$41),0)</f>
        <v>0</v>
      </c>
      <c r="BQ206" s="9">
        <f>IF($W206=BQ$56,FR206*($Q206*$S206)/(1+Voorblad!$K$44)^(BQ$56-Voorblad!$F$41),0)</f>
        <v>0</v>
      </c>
      <c r="BR206" s="9">
        <f>IF($W206=BR$56,FS206*($Q206*$S206)/(1+Voorblad!$K$44)^(BR$56-Voorblad!$F$41),0)</f>
        <v>0</v>
      </c>
      <c r="BS206" s="9">
        <f>IF($W206=BS$56,FT206*($Q206*$S206)/(1+Voorblad!$K$44)^(BS$56-Voorblad!$F$41),0)</f>
        <v>0</v>
      </c>
      <c r="BT206" s="9">
        <f>IF($W206=BT$56,FU206*($Q206*$S206)/(1+Voorblad!$K$44)^(BT$56-Voorblad!$F$41),0)</f>
        <v>0</v>
      </c>
      <c r="BU206" s="9">
        <f>IF($W206=BU$56,FV206*($Q206*$S206)/(1+Voorblad!$K$44)^(BU$56-Voorblad!$F$41),0)</f>
        <v>0</v>
      </c>
      <c r="BV206" s="9">
        <f>IF($W206=BV$56,FW206*($Q206*$S206)/(1+Voorblad!$K$44)^(BV$56-Voorblad!$F$41),0)</f>
        <v>0</v>
      </c>
      <c r="BW206" s="9">
        <f>IF($W206=BW$56,FX206*($Q206*$S206)/(1+Voorblad!$K$44)^(BW$56-Voorblad!$F$41),0)</f>
        <v>0</v>
      </c>
      <c r="BX206" s="9">
        <f>IF($W206=BX$56,FY206*($Q206*$S206)/(1+Voorblad!$K$44)^(BX$56-Voorblad!$F$41),0)</f>
        <v>0</v>
      </c>
      <c r="BY206" s="9">
        <f>IF($W206=BY$56,FZ206*($Q206*$S206)/(1+Voorblad!$K$44)^(BY$56-Voorblad!$F$41),0)</f>
        <v>0</v>
      </c>
      <c r="BZ206" s="9">
        <f>IF($W206=BZ$56,GA206*($Q206*$S206)/(1+Voorblad!$K$44)^(BZ$56-Voorblad!$F$41),0)</f>
        <v>0</v>
      </c>
      <c r="CA206" s="9">
        <f>IF($W206=CA$56,GB206*($Q206*$S206)/(1+Voorblad!$K$44)^(CA$56-Voorblad!$F$41),0)</f>
        <v>0</v>
      </c>
      <c r="CB206" s="9">
        <f>IF($W206=CB$56,GC206*($Q206*$S206)/(1+Voorblad!$K$44)^(CB$56-Voorblad!$F$41),0)</f>
        <v>0</v>
      </c>
      <c r="CC206" s="9">
        <f>IF($W206=CC$56,GD206*($Q206*$S206)/(1+Voorblad!$K$44)^(CC$56-Voorblad!$F$41),0)</f>
        <v>0</v>
      </c>
      <c r="CD206" s="9">
        <f>IF($W206=CD$56,GE206*($Q206*$S206)/(1+Voorblad!$K$44)^(CD$56-Voorblad!$F$41),0)</f>
        <v>0</v>
      </c>
      <c r="CE206" s="9">
        <f>IF($W206=CE$56,GF206*($Q206*$S206)/(1+Voorblad!$K$44)^(CE$56-Voorblad!$F$41),0)</f>
        <v>0</v>
      </c>
      <c r="CF206" s="9">
        <f>IF($W206=CF$56,GG206*($Q206*$S206)/(1+Voorblad!$K$44)^(CF$56-Voorblad!$F$41),0)</f>
        <v>0</v>
      </c>
      <c r="CG206" s="9">
        <f>IF($W206=CG$56,GH206*($Q206*$S206)/(1+Voorblad!$K$44)^(CG$56-Voorblad!$F$41),0)</f>
        <v>0</v>
      </c>
      <c r="CH206" s="9">
        <f>IF($W206=CH$56,GI206*($Q206*$S206)/(1+Voorblad!$K$44)^(CH$56-Voorblad!$F$41),0)</f>
        <v>0</v>
      </c>
      <c r="CI206" s="9">
        <f>IF($W206=CI$56,GJ206*($Q206*$S206)/(1+Voorblad!$K$44)^(CI$56-Voorblad!$F$41),0)</f>
        <v>0</v>
      </c>
      <c r="CJ206" s="9">
        <f>IF($W206=CJ$56,GK206*($Q206*$S206)/(1+Voorblad!$K$44)^(CJ$56-Voorblad!$F$41),0)</f>
        <v>0</v>
      </c>
      <c r="CK206" s="9">
        <f>IF($W206=CK$56,GL206*($Q206*$S206)/(1+Voorblad!$K$44)^(CK$56-Voorblad!$F$41),0)</f>
        <v>0</v>
      </c>
      <c r="CL206" s="9">
        <f>IF($W206=CL$56,GM206*($Q206*$S206)/(1+Voorblad!$K$44)^(CL$56-Voorblad!$F$41),0)</f>
        <v>0</v>
      </c>
      <c r="CM206" s="9">
        <f>IF($W206=CM$56,GN206*($Q206*$S206)/(1+Voorblad!$K$44)^(CM$56-Voorblad!$F$41),0)</f>
        <v>0</v>
      </c>
      <c r="CN206" s="9">
        <f>IF($W206=CN$56,GO206*($Q206*$S206)/(1+Voorblad!$K$44)^(CN$56-Voorblad!$F$41),0)</f>
        <v>0</v>
      </c>
      <c r="CO206" s="9">
        <f>IF($W206=CO$56,GP206*($Q206*$S206)/(1+Voorblad!$K$44)^(CO$56-Voorblad!$F$41),0)</f>
        <v>0</v>
      </c>
      <c r="CP206" s="9">
        <f>IF($W206=CP$56,GQ206*($Q206*$S206)/(1+Voorblad!$K$44)^(CP$56-Voorblad!$F$41),0)</f>
        <v>0</v>
      </c>
      <c r="CQ206" s="9">
        <f>IF($W206=CQ$56,GR206*($Q206*$S206)/(1+Voorblad!$K$44)^(CQ$56-Voorblad!$F$41),0)</f>
        <v>0</v>
      </c>
      <c r="CR206" s="9">
        <f>IF($W206=CR$56,GS206*($Q206*$S206)/(1+Voorblad!$K$44)^(CR$56-Voorblad!$F$41),0)</f>
        <v>0</v>
      </c>
      <c r="CS206" s="9">
        <f>IF($W206=CS$56,GT206*($Q206*$S206)/(1+Voorblad!$K$44)^(CS$56-Voorblad!$F$41),0)</f>
        <v>0</v>
      </c>
      <c r="CT206" s="9">
        <f>IF($W206=CT$56,GU206*($Q206*$S206)/(1+Voorblad!$K$44)^(CT$56-Voorblad!$F$41),0)</f>
        <v>0</v>
      </c>
      <c r="CU206" s="9">
        <f>IF($W206=CU$56,GV206*($Q206*$S206)/(1+Voorblad!$K$44)^(CU$56-Voorblad!$F$41),0)</f>
        <v>0</v>
      </c>
      <c r="CV206" s="9">
        <f>IF($W206=CV$56,GW206*($Q206*$S206)/(1+Voorblad!$K$44)^(CV$56-Voorblad!$F$41),0)</f>
        <v>0</v>
      </c>
      <c r="CW206" s="9">
        <f>IF($W206=CW$56,GX206*($Q206*$S206)/(1+Voorblad!$K$44)^(CW$56-Voorblad!$F$41),0)</f>
        <v>0</v>
      </c>
      <c r="CX206" s="9">
        <f>IF($W206=CX$56,GY206*($Q206*$S206)/(1+Voorblad!$K$44)^(CX$56-Voorblad!$F$41),0)</f>
        <v>0</v>
      </c>
      <c r="CY206" s="9">
        <f>IF($W206=CY$56,GZ206*($Q206*$S206)/(1+Voorblad!$K$44)^(CY$56-Voorblad!$F$41),0)</f>
        <v>0</v>
      </c>
      <c r="CZ206" s="9">
        <f>IF($W206=CZ$56,HA206*($Q206*$S206)/(1+Voorblad!$K$44)^(CZ$56-Voorblad!$F$41),0)</f>
        <v>0</v>
      </c>
      <c r="DA206" s="9">
        <f>IF($W206=DA$56,HB206*($Q206*$S206)/(1+Voorblad!$K$44)^(DA$56-Voorblad!$F$41),0)</f>
        <v>0</v>
      </c>
      <c r="DB206" s="9">
        <f>IF($W206=DB$56,HC206*($Q206*$S206)/(1+Voorblad!$K$44)^(DB$56-Voorblad!$F$41),0)</f>
        <v>0</v>
      </c>
      <c r="DC206" s="9">
        <f>IF($W206=DC$56,HD206*($Q206*$S206)/(1+Voorblad!$K$44)^(DC$56-Voorblad!$F$41),0)</f>
        <v>0</v>
      </c>
      <c r="DD206" s="9">
        <f>IF($W206=DD$56,HE206*($Q206*$S206)/(1+Voorblad!$K$44)^(DD$56-Voorblad!$F$41),0)</f>
        <v>0</v>
      </c>
      <c r="DE206" s="9">
        <f>IF($W206=DE$56,HF206*($Q206*$S206)/(1+Voorblad!$K$44)^(DE$56-Voorblad!$F$41),0)</f>
        <v>0</v>
      </c>
      <c r="DF206" s="9">
        <f>IF($W206=DF$56,HG206*($Q206*$S206)/(1+Voorblad!$K$44)^(DF$56-Voorblad!$F$41),0)</f>
        <v>0</v>
      </c>
      <c r="DG206" s="9">
        <f>IF($W206=DG$56,HH206*($Q206*$S206)/(1+Voorblad!$K$44)^(DG$56-Voorblad!$F$41),0)</f>
        <v>0</v>
      </c>
      <c r="DH206" s="9">
        <f>IF($W206=DH$56,HI206*($Q206*$S206)/(1+Voorblad!$K$44)^(DH$56-Voorblad!$F$41),0)</f>
        <v>0</v>
      </c>
      <c r="DI206" s="9">
        <f>IF($W206=DI$56,HJ206*($Q206*$S206)/(1+Voorblad!$K$44)^(DI$56-Voorblad!$F$41),0)</f>
        <v>0</v>
      </c>
      <c r="DJ206" s="9">
        <f>IF($W206=DJ$56,HK206*($Q206*$S206)/(1+Voorblad!$K$44)^(DJ$56-Voorblad!$F$41),0)</f>
        <v>0</v>
      </c>
      <c r="DK206" s="9">
        <f>IF($W206=DK$56,HL206*($Q206*$S206)/(1+Voorblad!$K$44)^(DK$56-Voorblad!$F$41),0)</f>
        <v>0</v>
      </c>
      <c r="DL206" s="9">
        <f>IF($W206=DL$56,HM206*($Q206*$S206)/(1+Voorblad!$K$44)^(DL$56-Voorblad!$F$41),0)</f>
        <v>0</v>
      </c>
      <c r="DM206" s="9">
        <f>IF($W206=DM$56,HN206*($Q206*$S206)/(1+Voorblad!$K$44)^(DM$56-Voorblad!$F$41),0)</f>
        <v>0</v>
      </c>
      <c r="DN206" s="9">
        <f>IF($W206=DN$56,HO206*($Q206*$S206)/(1+Voorblad!$K$44)^(DN$56-Voorblad!$F$41),0)</f>
        <v>0</v>
      </c>
      <c r="DO206" s="9">
        <f>IF($W206=DO$56,HP206*($Q206*$S206)/(1+Voorblad!$K$44)^(DO$56-Voorblad!$F$41),0)</f>
        <v>0</v>
      </c>
      <c r="DP206" s="9">
        <f>IF($W206=DP$56,HQ206*($Q206*$S206)/(1+Voorblad!$K$44)^(DP$56-Voorblad!$F$41),0)</f>
        <v>0</v>
      </c>
      <c r="DQ206" s="9">
        <f>IF($W206=DQ$56,HR206*($Q206*$S206)/(1+Voorblad!$K$44)^(DQ$56-Voorblad!$F$41),0)</f>
        <v>0</v>
      </c>
      <c r="DR206" s="9">
        <f>IF($W206=DR$56,HS206*($Q206*$S206)/(1+Voorblad!$K$44)^(DR$56-Voorblad!$F$41),0)</f>
        <v>0</v>
      </c>
      <c r="DS206" s="9">
        <f>IF($W206=DS$56,HT206*($Q206*$S206)/(1+Voorblad!$K$44)^(DS$56-Voorblad!$F$41),0)</f>
        <v>0</v>
      </c>
      <c r="DT206" s="9">
        <f>IF($W206=DT$56,HU206*($Q206*$S206)/(1+Voorblad!$K$44)^(DT$56-Voorblad!$F$41),0)</f>
        <v>0</v>
      </c>
      <c r="DU206" s="9">
        <f>IF($W206=DU$56,HV206*($Q206*$S206)/(1+Voorblad!$K$44)^(DU$56-Voorblad!$F$41),0)</f>
        <v>0</v>
      </c>
      <c r="DV206" s="9">
        <f>IF($W206=DV$56,HW206*($Q206*$S206)/(1+Voorblad!$K$44)^(DV$56-Voorblad!$F$41),0)</f>
        <v>0</v>
      </c>
      <c r="DW206" s="9">
        <f>IF($W206=DW$56,HX206*($Q206*$S206)/(1+Voorblad!$K$44)^(DW$56-Voorblad!$F$41),0)</f>
        <v>0</v>
      </c>
      <c r="DX206" s="9">
        <f>IF($W206=DX$56,HY206*($Q206*$S206)/(1+Voorblad!$K$44)^(DX$56-Voorblad!$F$41),0)</f>
        <v>0</v>
      </c>
      <c r="DY206" s="9">
        <f>IF($W206=DY$56,HZ206*($Q206*$S206)/(1+Voorblad!$K$44)^(DY$56-Voorblad!$F$41),0)</f>
        <v>0</v>
      </c>
      <c r="DZ206" s="9">
        <f>IF($W206=DZ$56,IA206*($Q206*$S206)/(1+Voorblad!$K$44)^(DZ$56-Voorblad!$F$41),0)</f>
        <v>0</v>
      </c>
      <c r="EA206" s="9">
        <f>IF($W206=EA$56,IB206*($Q206*$S206)/(1+Voorblad!$K$44)^(EA$56-Voorblad!$F$41),0)</f>
        <v>0</v>
      </c>
      <c r="EB206" s="9">
        <f>IF($W206=EB$56,IC206*($Q206*$S206)/(1+Voorblad!$K$44)^(EB$56-Voorblad!$F$41),0)</f>
        <v>0</v>
      </c>
      <c r="EE206" s="8">
        <v>0</v>
      </c>
      <c r="EF206" s="8">
        <f>IF(EF$56-Voorblad!$F$41&gt;Voorblad!$K$41,0,IF($U206=0,0,IF($U206&lt;1,1/$U206,IF((EF$56-Voorblad!$F$41)/$U206-SUM($EE206:EE206)=1,1,0))))</f>
        <v>0</v>
      </c>
      <c r="EG206" s="8">
        <f>IF(EG$56-Voorblad!$F$41&gt;Voorblad!$K$41,0,IF($U206=0,0,IF($U206&lt;1,1/$U206,IF((EG$56-Voorblad!$F$41)/$U206-SUM($EE206:EF206)=1,1,0))))</f>
        <v>1</v>
      </c>
      <c r="EH206" s="8">
        <f>IF(EH$56-Voorblad!$F$41&gt;Voorblad!$K$41,0,IF($U206=0,0,IF($U206&lt;1,1/$U206,IF((EH$56-Voorblad!$F$41)/$U206-SUM($EE206:EG206)=1,1,0))))</f>
        <v>1</v>
      </c>
      <c r="EI206" s="8">
        <f>IF(EI$56-Voorblad!$F$41&gt;Voorblad!$K$41,0,IF($U206=0,0,IF($U206&lt;1,1/$U206,IF((EI$56-Voorblad!$F$41)/$U206-SUM($EE206:EH206)=1,1,0))))</f>
        <v>1</v>
      </c>
      <c r="EJ206" s="8">
        <f>IF(EJ$56-Voorblad!$F$41&gt;Voorblad!$K$41,0,IF($U206=0,0,IF($U206&lt;1,1/$U206,IF((EJ$56-Voorblad!$F$41)/$U206-SUM($EE206:EI206)=1,1,0))))</f>
        <v>1</v>
      </c>
      <c r="EK206" s="8">
        <f>IF(EK$56-Voorblad!$F$41&gt;Voorblad!$K$41,0,IF($U206=0,0,IF($U206&lt;1,1/$U206,IF((EK$56-Voorblad!$F$41)/$U206-SUM($EE206:EJ206)=1,1,0))))</f>
        <v>1</v>
      </c>
      <c r="EL206" s="8">
        <f>IF(EL$56-Voorblad!$F$41&gt;Voorblad!$K$41,0,IF($U206=0,0,IF($U206&lt;1,1/$U206,IF((EL$56-Voorblad!$F$41)/$U206-SUM($EE206:EK206)=1,1,0))))</f>
        <v>1</v>
      </c>
      <c r="EM206" s="8">
        <f>IF(EM$56-Voorblad!$F$41&gt;Voorblad!$K$41,0,IF($U206=0,0,IF($U206&lt;1,1/$U206,IF((EM$56-Voorblad!$F$41)/$U206-SUM($EE206:EL206)=1,1,0))))</f>
        <v>1</v>
      </c>
      <c r="EN206" s="8">
        <f>IF(EN$56-Voorblad!$F$41&gt;Voorblad!$K$41,0,IF($U206=0,0,IF($U206&lt;1,1/$U206,IF((EN$56-Voorblad!$F$41)/$U206-SUM($EE206:EM206)=1,1,0))))</f>
        <v>1</v>
      </c>
      <c r="EO206" s="8">
        <f>IF(EO$56-Voorblad!$F$41&gt;Voorblad!$K$41,0,IF($U206=0,0,IF($U206&lt;1,1/$U206,IF((EO$56-Voorblad!$F$41)/$U206-SUM($EE206:EN206)=1,1,0))))</f>
        <v>1</v>
      </c>
      <c r="EP206" s="8">
        <f>IF(EP$56-Voorblad!$F$41&gt;Voorblad!$K$41,0,IF($U206=0,0,IF($U206&lt;1,1/$U206,IF((EP$56-Voorblad!$F$41)/$U206-SUM($EE206:EO206)=1,1,0))))</f>
        <v>1</v>
      </c>
      <c r="EQ206" s="8">
        <f>IF(EQ$56-Voorblad!$F$41&gt;Voorblad!$K$41,0,IF($U206=0,0,IF($U206&lt;1,1/$U206,IF((EQ$56-Voorblad!$F$41)/$U206-SUM($EE206:EP206)=1,1,0))))</f>
        <v>1</v>
      </c>
      <c r="ER206" s="8">
        <f>IF(ER$56-Voorblad!$F$41&gt;Voorblad!$K$41,0,IF($U206=0,0,IF($U206&lt;1,1/$U206,IF((ER$56-Voorblad!$F$41)/$U206-SUM($EE206:EQ206)=1,1,0))))</f>
        <v>1</v>
      </c>
      <c r="ES206" s="8">
        <f>IF(ES$56-Voorblad!$F$41&gt;Voorblad!$K$41,0,IF($U206=0,0,IF($U206&lt;1,1/$U206,IF((ES$56-Voorblad!$F$41)/$U206-SUM($EE206:ER206)=1,1,0))))</f>
        <v>1</v>
      </c>
      <c r="ET206" s="8">
        <f>IF(ET$56-Voorblad!$F$41&gt;Voorblad!$K$41,0,IF($U206=0,0,IF($U206&lt;1,1/$U206,IF((ET$56-Voorblad!$F$41)/$U206-SUM($EE206:ES206)=1,1,0))))</f>
        <v>1</v>
      </c>
      <c r="EU206" s="8">
        <f>IF(EU$56-Voorblad!$F$41&gt;Voorblad!$K$41,0,IF($U206=0,0,IF($U206&lt;1,1/$U206,IF((EU$56-Voorblad!$F$41)/$U206-SUM($EE206:ET206)=1,1,0))))</f>
        <v>1</v>
      </c>
      <c r="EV206" s="8">
        <f>IF(EV$56-Voorblad!$F$41&gt;Voorblad!$K$41,0,IF($U206=0,0,IF($U206&lt;1,1/$U206,IF((EV$56-Voorblad!$F$41)/$U206-SUM($EE206:EU206)=1,1,0))))</f>
        <v>1</v>
      </c>
      <c r="EW206" s="8">
        <f>IF(EW$56-Voorblad!$F$41&gt;Voorblad!$K$41,0,IF($U206=0,0,IF($U206&lt;1,1/$U206,IF((EW$56-Voorblad!$F$41)/$U206-SUM($EE206:EV206)=1,1,0))))</f>
        <v>1</v>
      </c>
      <c r="EX206" s="8">
        <f>IF(EX$56-Voorblad!$F$41&gt;Voorblad!$K$41,0,IF($U206=0,0,IF($U206&lt;1,1/$U206,IF((EX$56-Voorblad!$F$41)/$U206-SUM($EE206:EW206)=1,1,0))))</f>
        <v>1</v>
      </c>
      <c r="EY206" s="8">
        <f>IF(EY$56-Voorblad!$F$41&gt;Voorblad!$K$41,0,IF($U206=0,0,IF($U206&lt;1,1/$U206,IF((EY$56-Voorblad!$F$41)/$U206-SUM($EE206:EX206)=1,1,0))))</f>
        <v>1</v>
      </c>
      <c r="EZ206" s="8">
        <f>IF(EZ$56-Voorblad!$F$41&gt;Voorblad!$K$41,0,IF($U206=0,0,IF($U206&lt;1,1/$U206,IF((EZ$56-Voorblad!$F$41)/$U206-SUM($EE206:EY206)=1,1,0))))</f>
        <v>1</v>
      </c>
      <c r="FA206" s="8">
        <f>IF(FA$56-Voorblad!$F$41&gt;Voorblad!$K$41,0,IF($U206=0,0,IF($U206&lt;1,1/$U206,IF((FA$56-Voorblad!$F$41)/$U206-SUM($EE206:EZ206)=1,1,0))))</f>
        <v>1</v>
      </c>
      <c r="FB206" s="8">
        <f>IF(FB$56-Voorblad!$F$41&gt;Voorblad!$K$41,0,IF($U206=0,0,IF($U206&lt;1,1/$U206,IF((FB$56-Voorblad!$F$41)/$U206-SUM($EE206:FA206)=1,1,0))))</f>
        <v>1</v>
      </c>
      <c r="FC206" s="8">
        <f>IF(FC$56-Voorblad!$F$41&gt;Voorblad!$K$41,0,IF($U206=0,0,IF($U206&lt;1,1/$U206,IF((FC$56-Voorblad!$F$41)/$U206-SUM($EE206:FB206)=1,1,0))))</f>
        <v>1</v>
      </c>
      <c r="FD206" s="8">
        <f>IF(FD$56-Voorblad!$F$41&gt;Voorblad!$K$41,0,IF($U206=0,0,IF($U206&lt;1,1/$U206,IF((FD$56-Voorblad!$F$41)/$U206-SUM($EE206:FC206)=1,1,0))))</f>
        <v>1</v>
      </c>
      <c r="FE206" s="8">
        <f>IF(FE$56-Voorblad!$F$41&gt;Voorblad!$K$41,0,IF($U206=0,0,IF($U206&lt;1,1/$U206,IF((FE$56-Voorblad!$F$41)/$U206-SUM($EE206:FD206)=1,1,0))))</f>
        <v>1</v>
      </c>
      <c r="FF206" s="8">
        <f>IF(FF$56-Voorblad!$F$41&gt;Voorblad!$K$41,0,IF($U206=0,0,IF($U206&lt;1,1/$U206,IF((FF$56-Voorblad!$F$41)/$U206-SUM($EE206:FE206)=1,1,0))))</f>
        <v>1</v>
      </c>
      <c r="FG206" s="8">
        <f>IF(FG$56-Voorblad!$F$41&gt;Voorblad!$K$41,0,IF($U206=0,0,IF($U206&lt;1,1/$U206,IF((FG$56-Voorblad!$F$41)/$U206-SUM($EE206:FF206)=1,1,0))))</f>
        <v>1</v>
      </c>
      <c r="FH206" s="8">
        <f>IF(FH$56-Voorblad!$F$41&gt;Voorblad!$K$41,0,IF($U206=0,0,IF($U206&lt;1,1/$U206,IF((FH$56-Voorblad!$F$41)/$U206-SUM($EE206:FG206)=1,1,0))))</f>
        <v>1</v>
      </c>
      <c r="FI206" s="8">
        <f>IF(FI$56-Voorblad!$F$41&gt;Voorblad!$K$41,0,IF($U206=0,0,IF($U206&lt;1,1/$U206,IF((FI$56-Voorblad!$F$41)/$U206-SUM($EE206:FH206)=1,1,0))))</f>
        <v>1</v>
      </c>
      <c r="FJ206" s="8">
        <f>IF(FJ$56-Voorblad!$F$41&gt;Voorblad!$K$41,0,IF($U206=0,0,IF($U206&lt;1,1/$U206,IF((FJ$56-Voorblad!$F$41)/$U206-SUM($EE206:FI206)=1,1,0))))</f>
        <v>1</v>
      </c>
      <c r="FK206" s="8">
        <f>IF(FK$56-Voorblad!$F$41&gt;Voorblad!$K$41,0,IF($U206=0,0,IF($U206&lt;1,1/$U206,IF((FK$56-Voorblad!$F$41)/$U206-SUM($EE206:FJ206)=1,1,0))))</f>
        <v>1</v>
      </c>
      <c r="FL206" s="8">
        <f>IF(FL$56-Voorblad!$F$41&gt;Voorblad!$K$41,0,IF($U206=0,0,IF($U206&lt;1,1/$U206,IF((FL$56-Voorblad!$F$41)/$U206-SUM($EE206:FK206)=1,1,0))))</f>
        <v>1</v>
      </c>
      <c r="FM206" s="8">
        <f>IF(FM$56-Voorblad!$F$41&gt;Voorblad!$K$41,0,IF($U206=0,0,IF($U206&lt;1,1/$U206,IF((FM$56-Voorblad!$F$41)/$U206-SUM($EE206:FL206)=1,1,0))))</f>
        <v>1</v>
      </c>
      <c r="FN206" s="8">
        <f>IF(FN$56-Voorblad!$F$41&gt;Voorblad!$K$41,0,IF($U206=0,0,IF($U206&lt;1,1/$U206,IF((FN$56-Voorblad!$F$41)/$U206-SUM($EE206:FM206)=1,1,0))))</f>
        <v>1</v>
      </c>
      <c r="FO206" s="8">
        <f>IF(FO$56-Voorblad!$F$41&gt;Voorblad!$K$41,0,IF($U206=0,0,IF($U206&lt;1,1/$U206,IF((FO$56-Voorblad!$F$41)/$U206-SUM($EE206:FN206)=1,1,0))))</f>
        <v>1</v>
      </c>
      <c r="FP206" s="8">
        <f>IF(FP$56-Voorblad!$F$41&gt;Voorblad!$K$41,0,IF($U206=0,0,IF($U206&lt;1,1/$U206,IF((FP$56-Voorblad!$F$41)/$U206-SUM($EE206:FO206)=1,1,0))))</f>
        <v>1</v>
      </c>
      <c r="FQ206" s="8">
        <f>IF(FQ$56-Voorblad!$F$41&gt;Voorblad!$K$41,0,IF($U206=0,0,IF($U206&lt;1,1/$U206,IF((FQ$56-Voorblad!$F$41)/$U206-SUM($EE206:FP206)=1,1,0))))</f>
        <v>1</v>
      </c>
      <c r="FR206" s="8">
        <f>IF(FR$56-Voorblad!$F$41&gt;Voorblad!$K$41,0,IF($U206=0,0,IF($U206&lt;1,1/$U206,IF((FR$56-Voorblad!$F$41)/$U206-SUM($EE206:FQ206)=1,1,0))))</f>
        <v>1</v>
      </c>
      <c r="FS206" s="8">
        <f>IF(FS$56-Voorblad!$F$41&gt;Voorblad!$K$41,0,IF($U206=0,0,IF($U206&lt;1,1/$U206,IF((FS$56-Voorblad!$F$41)/$U206-SUM($EE206:FR206)=1,1,0))))</f>
        <v>1</v>
      </c>
      <c r="FT206" s="8">
        <f>IF(FT$56-Voorblad!$F$41&gt;Voorblad!$K$41,0,IF($U206=0,0,IF($U206&lt;1,1/$U206,IF((FT$56-Voorblad!$F$41)/$U206-SUM($EE206:FS206)=1,1,0))))</f>
        <v>1</v>
      </c>
      <c r="FU206" s="8">
        <f>IF(FU$56-Voorblad!$F$41&gt;Voorblad!$K$41,0,IF($U206=0,0,IF($U206&lt;1,1/$U206,IF((FU$56-Voorblad!$F$41)/$U206-SUM($EE206:FT206)=1,1,0))))</f>
        <v>1</v>
      </c>
      <c r="FV206" s="8">
        <f>IF(FV$56-Voorblad!$F$41&gt;Voorblad!$K$41,0,IF($U206=0,0,IF($U206&lt;1,1/$U206,IF((FV$56-Voorblad!$F$41)/$U206-SUM($EE206:FU206)=1,1,0))))</f>
        <v>1</v>
      </c>
      <c r="FW206" s="8">
        <f>IF(FW$56-Voorblad!$F$41&gt;Voorblad!$K$41,0,IF($U206=0,0,IF($U206&lt;1,1/$U206,IF((FW$56-Voorblad!$F$41)/$U206-SUM($EE206:FV206)=1,1,0))))</f>
        <v>1</v>
      </c>
      <c r="FX206" s="8">
        <f>IF(FX$56-Voorblad!$F$41&gt;Voorblad!$K$41,0,IF($U206=0,0,IF($U206&lt;1,1/$U206,IF((FX$56-Voorblad!$F$41)/$U206-SUM($EE206:FW206)=1,1,0))))</f>
        <v>1</v>
      </c>
      <c r="FY206" s="8">
        <f>IF(FY$56-Voorblad!$F$41&gt;Voorblad!$K$41,0,IF($U206=0,0,IF($U206&lt;1,1/$U206,IF((FY$56-Voorblad!$F$41)/$U206-SUM($EE206:FX206)=1,1,0))))</f>
        <v>1</v>
      </c>
      <c r="FZ206" s="8">
        <f>IF(FZ$56-Voorblad!$F$41&gt;Voorblad!$K$41,0,IF($U206=0,0,IF($U206&lt;1,1/$U206,IF((FZ$56-Voorblad!$F$41)/$U206-SUM($EE206:FY206)=1,1,0))))</f>
        <v>1</v>
      </c>
      <c r="GA206" s="8">
        <f>IF(GA$56-Voorblad!$F$41&gt;Voorblad!$K$41,0,IF($U206=0,0,IF($U206&lt;1,1/$U206,IF((GA$56-Voorblad!$F$41)/$U206-SUM($EE206:FZ206)=1,1,0))))</f>
        <v>1</v>
      </c>
      <c r="GB206" s="8">
        <f>IF(GB$56-Voorblad!$F$41&gt;Voorblad!$K$41,0,IF($U206=0,0,IF($U206&lt;1,1/$U206,IF((GB$56-Voorblad!$F$41)/$U206-SUM($EE206:GA206)=1,1,0))))</f>
        <v>1</v>
      </c>
      <c r="GC206" s="8">
        <f>IF(GC$56-Voorblad!$F$41&gt;Voorblad!$K$41,0,IF($U206=0,0,IF($U206&lt;1,1/$U206,IF((GC$56-Voorblad!$F$41)/$U206-SUM($EE206:GB206)=1,1,0))))</f>
        <v>1</v>
      </c>
      <c r="GD206" s="8">
        <f>IF(GD$56-Voorblad!$F$41&gt;Voorblad!$K$41,0,IF($U206=0,0,IF($U206&lt;1,1/$U206,IF((GD$56-Voorblad!$F$41)/$U206-SUM($EE206:GC206)=1,1,0))))</f>
        <v>1</v>
      </c>
      <c r="GE206" s="8">
        <f>IF(GE$56-Voorblad!$F$41&gt;Voorblad!$K$41,0,IF($U206=0,0,IF($U206&lt;1,1/$U206,IF((GE$56-Voorblad!$F$41)/$U206-SUM($EE206:GD206)=1,1,0))))</f>
        <v>1</v>
      </c>
      <c r="GF206" s="8">
        <f>IF(GF$56-Voorblad!$F$41&gt;Voorblad!$K$41,0,IF($U206=0,0,IF($U206&lt;1,1/$U206,IF((GF$56-Voorblad!$F$41)/$U206-SUM($EE206:GE206)=1,1,0))))</f>
        <v>1</v>
      </c>
      <c r="GG206" s="8">
        <f>IF(GG$56-Voorblad!$F$41&gt;Voorblad!$K$41,0,IF($U206=0,0,IF($U206&lt;1,1/$U206,IF((GG$56-Voorblad!$F$41)/$U206-SUM($EE206:GF206)=1,1,0))))</f>
        <v>1</v>
      </c>
      <c r="GH206" s="8">
        <f>IF(GH$56-Voorblad!$F$41&gt;Voorblad!$K$41,0,IF($U206=0,0,IF($U206&lt;1,1/$U206,IF((GH$56-Voorblad!$F$41)/$U206-SUM($EE206:GG206)=1,1,0))))</f>
        <v>1</v>
      </c>
      <c r="GI206" s="8">
        <f>IF(GI$56-Voorblad!$F$41&gt;Voorblad!$K$41,0,IF($U206=0,0,IF($U206&lt;1,1/$U206,IF((GI$56-Voorblad!$F$41)/$U206-SUM($EE206:GH206)=1,1,0))))</f>
        <v>1</v>
      </c>
      <c r="GJ206" s="8">
        <f>IF(GJ$56-Voorblad!$F$41&gt;Voorblad!$K$41,0,IF($U206=0,0,IF($U206&lt;1,1/$U206,IF((GJ$56-Voorblad!$F$41)/$U206-SUM($EE206:GI206)=1,1,0))))</f>
        <v>1</v>
      </c>
      <c r="GK206" s="8">
        <f>IF(GK$56-Voorblad!$F$41&gt;Voorblad!$K$41,0,IF($U206=0,0,IF($U206&lt;1,1/$U206,IF((GK$56-Voorblad!$F$41)/$U206-SUM($EE206:GJ206)=1,1,0))))</f>
        <v>1</v>
      </c>
      <c r="GL206" s="8">
        <f>IF(GL$56-Voorblad!$F$41&gt;Voorblad!$K$41,0,IF($U206=0,0,IF($U206&lt;1,1/$U206,IF((GL$56-Voorblad!$F$41)/$U206-SUM($EE206:GK206)=1,1,0))))</f>
        <v>1</v>
      </c>
      <c r="GM206" s="8">
        <f>IF(GM$56-Voorblad!$F$41&gt;Voorblad!$K$41,0,IF($U206=0,0,IF($U206&lt;1,1/$U206,IF((GM$56-Voorblad!$F$41)/$U206-SUM($EE206:GL206)=1,1,0))))</f>
        <v>1</v>
      </c>
      <c r="GN206" s="8">
        <f>IF(GN$56-Voorblad!$F$41&gt;Voorblad!$K$41,0,IF($U206=0,0,IF($U206&lt;1,1/$U206,IF((GN$56-Voorblad!$F$41)/$U206-SUM($EE206:GM206)=1,1,0))))</f>
        <v>1</v>
      </c>
      <c r="GO206" s="8">
        <f>IF(GO$56-Voorblad!$F$41&gt;Voorblad!$K$41,0,IF($U206=0,0,IF($U206&lt;1,1/$U206,IF((GO$56-Voorblad!$F$41)/$U206-SUM($EE206:GN206)=1,1,0))))</f>
        <v>1</v>
      </c>
      <c r="GP206" s="8">
        <f>IF(GP$56-Voorblad!$F$41&gt;Voorblad!$K$41,0,IF($U206=0,0,IF($U206&lt;1,1/$U206,IF((GP$56-Voorblad!$F$41)/$U206-SUM($EE206:GO206)=1,1,0))))</f>
        <v>1</v>
      </c>
      <c r="GQ206" s="8">
        <f>IF(GQ$56-Voorblad!$F$41&gt;Voorblad!$K$41,0,IF($U206=0,0,IF($U206&lt;1,1/$U206,IF((GQ$56-Voorblad!$F$41)/$U206-SUM($EE206:GP206)=1,1,0))))</f>
        <v>1</v>
      </c>
      <c r="GR206" s="8">
        <f>IF(GR$56-Voorblad!$F$41&gt;Voorblad!$K$41,0,IF($U206=0,0,IF($U206&lt;1,1/$U206,IF((GR$56-Voorblad!$F$41)/$U206-SUM($EE206:GQ206)=1,1,0))))</f>
        <v>1</v>
      </c>
      <c r="GS206" s="8">
        <f>IF(GS$56-Voorblad!$F$41&gt;Voorblad!$K$41,0,IF($U206=0,0,IF($U206&lt;1,1/$U206,IF((GS$56-Voorblad!$F$41)/$U206-SUM($EE206:GR206)=1,1,0))))</f>
        <v>1</v>
      </c>
      <c r="GT206" s="8">
        <f>IF(GT$56-Voorblad!$F$41&gt;Voorblad!$K$41,0,IF($U206=0,0,IF($U206&lt;1,1/$U206,IF((GT$56-Voorblad!$F$41)/$U206-SUM($EE206:GS206)=1,1,0))))</f>
        <v>1</v>
      </c>
      <c r="GU206" s="8">
        <f>IF(GU$56-Voorblad!$F$41&gt;Voorblad!$K$41,0,IF($U206=0,0,IF($U206&lt;1,1/$U206,IF((GU$56-Voorblad!$F$41)/$U206-SUM($EE206:GT206)=1,1,0))))</f>
        <v>1</v>
      </c>
      <c r="GV206" s="8">
        <f>IF(GV$56-Voorblad!$F$41&gt;Voorblad!$K$41,0,IF($U206=0,0,IF($U206&lt;1,1/$U206,IF((GV$56-Voorblad!$F$41)/$U206-SUM($EE206:GU206)=1,1,0))))</f>
        <v>1</v>
      </c>
      <c r="GW206" s="8">
        <f>IF(GW$56-Voorblad!$F$41&gt;Voorblad!$K$41,0,IF($U206=0,0,IF($U206&lt;1,1/$U206,IF((GW$56-Voorblad!$F$41)/$U206-SUM($EE206:GV206)=1,1,0))))</f>
        <v>1</v>
      </c>
      <c r="GX206" s="8">
        <f>IF(GX$56-Voorblad!$F$41&gt;Voorblad!$K$41,0,IF($U206=0,0,IF($U206&lt;1,1/$U206,IF((GX$56-Voorblad!$F$41)/$U206-SUM($EE206:GW206)=1,1,0))))</f>
        <v>1</v>
      </c>
      <c r="GY206" s="8">
        <f>IF(GY$56-Voorblad!$F$41&gt;Voorblad!$K$41,0,IF($U206=0,0,IF($U206&lt;1,1/$U206,IF((GY$56-Voorblad!$F$41)/$U206-SUM($EE206:GX206)=1,1,0))))</f>
        <v>1</v>
      </c>
      <c r="GZ206" s="8">
        <f>IF(GZ$56-Voorblad!$F$41&gt;Voorblad!$K$41,0,IF($U206=0,0,IF($U206&lt;1,1/$U206,IF((GZ$56-Voorblad!$F$41)/$U206-SUM($EE206:GY206)=1,1,0))))</f>
        <v>1</v>
      </c>
      <c r="HA206" s="8">
        <f>IF(HA$56-Voorblad!$F$41&gt;Voorblad!$K$41,0,IF($U206=0,0,IF($U206&lt;1,1/$U206,IF((HA$56-Voorblad!$F$41)/$U206-SUM($EE206:GZ206)=1,1,0))))</f>
        <v>1</v>
      </c>
      <c r="HB206" s="8">
        <f>IF(HB$56-Voorblad!$F$41&gt;Voorblad!$K$41,0,IF($U206=0,0,IF($U206&lt;1,1/$U206,IF((HB$56-Voorblad!$F$41)/$U206-SUM($EE206:HA206)=1,1,0))))</f>
        <v>0</v>
      </c>
      <c r="HC206" s="8">
        <f>IF(HC$56-Voorblad!$F$41&gt;Voorblad!$K$41,0,IF($U206=0,0,IF($U206&lt;1,1/$U206,IF((HC$56-Voorblad!$F$41)/$U206-SUM($EE206:HB206)=1,1,0))))</f>
        <v>0</v>
      </c>
      <c r="HD206" s="8">
        <f>IF(HD$56-Voorblad!$F$41&gt;Voorblad!$K$41,0,IF($U206=0,0,IF($U206&lt;1,1/$U206,IF((HD$56-Voorblad!$F$41)/$U206-SUM($EE206:HC206)=1,1,0))))</f>
        <v>0</v>
      </c>
      <c r="HE206" s="8">
        <f>IF(HE$56-Voorblad!$F$41&gt;Voorblad!$K$41,0,IF($U206=0,0,IF($U206&lt;1,1/$U206,IF((HE$56-Voorblad!$F$41)/$U206-SUM($EE206:HD206)=1,1,0))))</f>
        <v>0</v>
      </c>
      <c r="HF206" s="8">
        <f>IF(HF$56-Voorblad!$F$41&gt;Voorblad!$K$41,0,IF($U206=0,0,IF($U206&lt;1,1/$U206,IF((HF$56-Voorblad!$F$41)/$U206-SUM($EE206:HE206)=1,1,0))))</f>
        <v>0</v>
      </c>
      <c r="HG206" s="8">
        <f>IF(HG$56-Voorblad!$F$41&gt;Voorblad!$K$41,0,IF($U206=0,0,IF($U206&lt;1,1/$U206,IF((HG$56-Voorblad!$F$41)/$U206-SUM($EE206:HF206)=1,1,0))))</f>
        <v>0</v>
      </c>
      <c r="HH206" s="8">
        <f>IF(HH$56-Voorblad!$F$41&gt;Voorblad!$K$41,0,IF($U206=0,0,IF($U206&lt;1,1/$U206,IF((HH$56-Voorblad!$F$41)/$U206-SUM($EE206:HG206)=1,1,0))))</f>
        <v>0</v>
      </c>
      <c r="HI206" s="8">
        <f>IF(HI$56-Voorblad!$F$41&gt;Voorblad!$K$41,0,IF($U206=0,0,IF($U206&lt;1,1/$U206,IF((HI$56-Voorblad!$F$41)/$U206-SUM($EE206:HH206)=1,1,0))))</f>
        <v>0</v>
      </c>
      <c r="HJ206" s="8">
        <f>IF(HJ$56-Voorblad!$F$41&gt;Voorblad!$K$41,0,IF($U206=0,0,IF($U206&lt;1,1/$U206,IF((HJ$56-Voorblad!$F$41)/$U206-SUM($EE206:HI206)=1,1,0))))</f>
        <v>0</v>
      </c>
      <c r="HK206" s="8">
        <f>IF(HK$56-Voorblad!$F$41&gt;Voorblad!$K$41,0,IF($U206=0,0,IF($U206&lt;1,1/$U206,IF((HK$56-Voorblad!$F$41)/$U206-SUM($EE206:HJ206)=1,1,0))))</f>
        <v>0</v>
      </c>
      <c r="HL206" s="8">
        <f>IF(HL$56-Voorblad!$F$41&gt;Voorblad!$K$41,0,IF($U206=0,0,IF($U206&lt;1,1/$U206,IF((HL$56-Voorblad!$F$41)/$U206-SUM($EE206:HK206)=1,1,0))))</f>
        <v>0</v>
      </c>
      <c r="HM206" s="8">
        <f>IF(HM$56-Voorblad!$F$41&gt;Voorblad!$K$41,0,IF($U206=0,0,IF($U206&lt;1,1/$U206,IF((HM$56-Voorblad!$F$41)/$U206-SUM($EE206:HL206)=1,1,0))))</f>
        <v>0</v>
      </c>
      <c r="HN206" s="8">
        <f>IF(HN$56-Voorblad!$F$41&gt;Voorblad!$K$41,0,IF($U206=0,0,IF($U206&lt;1,1/$U206,IF((HN$56-Voorblad!$F$41)/$U206-SUM($EE206:HM206)=1,1,0))))</f>
        <v>0</v>
      </c>
      <c r="HO206" s="8">
        <f>IF(HO$56-Voorblad!$F$41&gt;Voorblad!$K$41,0,IF($U206=0,0,IF($U206&lt;1,1/$U206,IF((HO$56-Voorblad!$F$41)/$U206-SUM($EE206:HN206)=1,1,0))))</f>
        <v>0</v>
      </c>
      <c r="HP206" s="8">
        <f>IF(HP$56-Voorblad!$F$41&gt;Voorblad!$K$41,0,IF($U206=0,0,IF($U206&lt;1,1/$U206,IF((HP$56-Voorblad!$F$41)/$U206-SUM($EE206:HO206)=1,1,0))))</f>
        <v>0</v>
      </c>
      <c r="HQ206" s="8">
        <f>IF(HQ$56-Voorblad!$F$41&gt;Voorblad!$K$41,0,IF($U206=0,0,IF($U206&lt;1,1/$U206,IF((HQ$56-Voorblad!$F$41)/$U206-SUM($EE206:HP206)=1,1,0))))</f>
        <v>0</v>
      </c>
      <c r="HR206" s="8">
        <f>IF(HR$56-Voorblad!$F$41&gt;Voorblad!$K$41,0,IF($U206=0,0,IF($U206&lt;1,1/$U206,IF((HR$56-Voorblad!$F$41)/$U206-SUM($EE206:HQ206)=1,1,0))))</f>
        <v>0</v>
      </c>
      <c r="HS206" s="8">
        <f>IF(HS$56-Voorblad!$F$41&gt;Voorblad!$K$41,0,IF($U206=0,0,IF($U206&lt;1,1/$U206,IF((HS$56-Voorblad!$F$41)/$U206-SUM($EE206:HR206)=1,1,0))))</f>
        <v>0</v>
      </c>
      <c r="HT206" s="8">
        <f>IF(HT$56-Voorblad!$F$41&gt;Voorblad!$K$41,0,IF($U206=0,0,IF($U206&lt;1,1/$U206,IF((HT$56-Voorblad!$F$41)/$U206-SUM($EE206:HS206)=1,1,0))))</f>
        <v>0</v>
      </c>
      <c r="HU206" s="8">
        <f>IF(HU$56-Voorblad!$F$41&gt;Voorblad!$K$41,0,IF($U206=0,0,IF($U206&lt;1,1/$U206,IF((HU$56-Voorblad!$F$41)/$U206-SUM($EE206:HT206)=1,1,0))))</f>
        <v>0</v>
      </c>
      <c r="HV206" s="8">
        <f>IF(HV$56-Voorblad!$F$41&gt;Voorblad!$K$41,0,IF($U206=0,0,IF($U206&lt;1,1/$U206,IF((HV$56-Voorblad!$F$41)/$U206-SUM($EE206:HU206)=1,1,0))))</f>
        <v>0</v>
      </c>
      <c r="HW206" s="8">
        <f>IF(HW$56-Voorblad!$F$41&gt;Voorblad!$K$41,0,IF($U206=0,0,IF($U206&lt;1,1/$U206,IF((HW$56-Voorblad!$F$41)/$U206-SUM($EE206:HV206)=1,1,0))))</f>
        <v>0</v>
      </c>
      <c r="HX206" s="8">
        <f>IF(HX$56-Voorblad!$F$41&gt;Voorblad!$K$41,0,IF($U206=0,0,IF($U206&lt;1,1/$U206,IF((HX$56-Voorblad!$F$41)/$U206-SUM($EE206:HW206)=1,1,0))))</f>
        <v>0</v>
      </c>
      <c r="HY206" s="8">
        <f>IF(HY$56-Voorblad!$F$41&gt;Voorblad!$K$41,0,IF($U206=0,0,IF($U206&lt;1,1/$U206,IF((HY$56-Voorblad!$F$41)/$U206-SUM($EE206:HX206)=1,1,0))))</f>
        <v>0</v>
      </c>
      <c r="HZ206" s="8">
        <f>IF(HZ$56-Voorblad!$F$41&gt;Voorblad!$K$41,0,IF($U206=0,0,IF($U206&lt;1,1/$U206,IF((HZ$56-Voorblad!$F$41)/$U206-SUM($EE206:HY206)=1,1,0))))</f>
        <v>0</v>
      </c>
      <c r="IA206" s="8">
        <f>IF(IA$56-Voorblad!$F$41&gt;Voorblad!$K$41,0,IF($U206=0,0,IF($U206&lt;1,1/$U206,IF((IA$56-Voorblad!$F$41)/$U206-SUM($EE206:HZ206)=1,1,0))))</f>
        <v>0</v>
      </c>
      <c r="IB206" s="8">
        <f>IF(IB$56-Voorblad!$F$41&gt;Voorblad!$K$41,0,IF($U206=0,0,IF($U206&lt;1,1/$U206,IF((IB$56-Voorblad!$F$41)/$U206-SUM($EE206:IA206)=1,1,0))))</f>
        <v>0</v>
      </c>
    </row>
    <row r="207" spans="2:236" hidden="1" outlineLevel="1" x14ac:dyDescent="0.25">
      <c r="B207" s="14">
        <v>1</v>
      </c>
      <c r="C207" s="14"/>
      <c r="F207" s="1" t="s">
        <v>58</v>
      </c>
      <c r="I207" s="1" t="s">
        <v>66</v>
      </c>
      <c r="K207" s="1" t="s">
        <v>89</v>
      </c>
      <c r="O207" s="1" t="s">
        <v>101</v>
      </c>
      <c r="Q207" s="81">
        <v>0</v>
      </c>
      <c r="R207" s="1" t="s">
        <v>33</v>
      </c>
      <c r="S207" s="21">
        <f>7%*T204</f>
        <v>0</v>
      </c>
      <c r="T207" s="14">
        <f>Q207*S207</f>
        <v>0</v>
      </c>
      <c r="U207" s="11">
        <v>1</v>
      </c>
      <c r="V207" s="14"/>
      <c r="W207" s="81">
        <v>0</v>
      </c>
      <c r="X207" s="6"/>
      <c r="Y207" s="9">
        <f t="shared" si="199"/>
        <v>0</v>
      </c>
      <c r="Z207" s="82"/>
      <c r="AA207" s="82"/>
      <c r="AC207" s="229">
        <f>$Y207*(Voorblad!$K$44*(1+Voorblad!$K$44)^Voorblad!$K$41)/((1+Voorblad!$K$44)^Voorblad!$K$41-1)</f>
        <v>0</v>
      </c>
      <c r="AE207" s="9">
        <f>IF($W207=AE$56,EF207*($Q207*$S207)/(1+Voorblad!$K$44)^(AE$56-Voorblad!$F$41),0)</f>
        <v>0</v>
      </c>
      <c r="AF207" s="9">
        <f>IF($W207=AF$56,EG207*($Q207*$S207)/(1+Voorblad!$K$44)^(AF$56-Voorblad!$F$41),0)</f>
        <v>0</v>
      </c>
      <c r="AG207" s="9">
        <f>IF($W207=AG$56,EH207*($Q207*$S207)/(1+Voorblad!$K$44)^(AG$56-Voorblad!$F$41),0)</f>
        <v>0</v>
      </c>
      <c r="AH207" s="9">
        <f>IF($W207=AH$56,EI207*($Q207*$S207)/(1+Voorblad!$K$44)^(AH$56-Voorblad!$F$41),0)</f>
        <v>0</v>
      </c>
      <c r="AI207" s="9">
        <f>IF($W207=AI$56,EJ207*($Q207*$S207)/(1+Voorblad!$K$44)^(AI$56-Voorblad!$F$41),0)</f>
        <v>0</v>
      </c>
      <c r="AJ207" s="9">
        <f>IF($W207=AJ$56,EK207*($Q207*$S207)/(1+Voorblad!$K$44)^(AJ$56-Voorblad!$F$41),0)</f>
        <v>0</v>
      </c>
      <c r="AK207" s="9">
        <f>IF($W207=AK$56,EL207*($Q207*$S207)/(1+Voorblad!$K$44)^(AK$56-Voorblad!$F$41),0)</f>
        <v>0</v>
      </c>
      <c r="AL207" s="9">
        <f>IF($W207=AL$56,EM207*($Q207*$S207)/(1+Voorblad!$K$44)^(AL$56-Voorblad!$F$41),0)</f>
        <v>0</v>
      </c>
      <c r="AM207" s="9">
        <f>IF($W207=AM$56,EN207*($Q207*$S207)/(1+Voorblad!$K$44)^(AM$56-Voorblad!$F$41),0)</f>
        <v>0</v>
      </c>
      <c r="AN207" s="9">
        <f>IF($W207=AN$56,EO207*($Q207*$S207)/(1+Voorblad!$K$44)^(AN$56-Voorblad!$F$41),0)</f>
        <v>0</v>
      </c>
      <c r="AO207" s="9">
        <f>IF($W207=AO$56,EP207*($Q207*$S207)/(1+Voorblad!$K$44)^(AO$56-Voorblad!$F$41),0)</f>
        <v>0</v>
      </c>
      <c r="AP207" s="9">
        <f>IF($W207=AP$56,EQ207*($Q207*$S207)/(1+Voorblad!$K$44)^(AP$56-Voorblad!$F$41),0)</f>
        <v>0</v>
      </c>
      <c r="AQ207" s="9">
        <f>IF($W207=AQ$56,ER207*($Q207*$S207)/(1+Voorblad!$K$44)^(AQ$56-Voorblad!$F$41),0)</f>
        <v>0</v>
      </c>
      <c r="AR207" s="9">
        <f>IF($W207=AR$56,ES207*($Q207*$S207)/(1+Voorblad!$K$44)^(AR$56-Voorblad!$F$41),0)</f>
        <v>0</v>
      </c>
      <c r="AS207" s="9">
        <f>IF($W207=AS$56,ET207*($Q207*$S207)/(1+Voorblad!$K$44)^(AS$56-Voorblad!$F$41),0)</f>
        <v>0</v>
      </c>
      <c r="AT207" s="9">
        <f>IF($W207=AT$56,EU207*($Q207*$S207)/(1+Voorblad!$K$44)^(AT$56-Voorblad!$F$41),0)</f>
        <v>0</v>
      </c>
      <c r="AU207" s="9">
        <f>IF($W207=AU$56,EV207*($Q207*$S207)/(1+Voorblad!$K$44)^(AU$56-Voorblad!$F$41),0)</f>
        <v>0</v>
      </c>
      <c r="AV207" s="9">
        <f>IF($W207=AV$56,EW207*($Q207*$S207)/(1+Voorblad!$K$44)^(AV$56-Voorblad!$F$41),0)</f>
        <v>0</v>
      </c>
      <c r="AW207" s="9">
        <f>IF($W207=AW$56,EX207*($Q207*$S207)/(1+Voorblad!$K$44)^(AW$56-Voorblad!$F$41),0)</f>
        <v>0</v>
      </c>
      <c r="AX207" s="9">
        <f>IF($W207=AX$56,EY207*($Q207*$S207)/(1+Voorblad!$K$44)^(AX$56-Voorblad!$F$41),0)</f>
        <v>0</v>
      </c>
      <c r="AY207" s="9">
        <f>IF($W207=AY$56,EZ207*($Q207*$S207)/(1+Voorblad!$K$44)^(AY$56-Voorblad!$F$41),0)</f>
        <v>0</v>
      </c>
      <c r="AZ207" s="9">
        <f>IF($W207=AZ$56,FA207*($Q207*$S207)/(1+Voorblad!$K$44)^(AZ$56-Voorblad!$F$41),0)</f>
        <v>0</v>
      </c>
      <c r="BA207" s="9">
        <f>IF($W207=BA$56,FB207*($Q207*$S207)/(1+Voorblad!$K$44)^(BA$56-Voorblad!$F$41),0)</f>
        <v>0</v>
      </c>
      <c r="BB207" s="9">
        <f>IF($W207=BB$56,FC207*($Q207*$S207)/(1+Voorblad!$K$44)^(BB$56-Voorblad!$F$41),0)</f>
        <v>0</v>
      </c>
      <c r="BC207" s="9">
        <f>IF($W207=BC$56,FD207*($Q207*$S207)/(1+Voorblad!$K$44)^(BC$56-Voorblad!$F$41),0)</f>
        <v>0</v>
      </c>
      <c r="BD207" s="9">
        <f>IF($W207=BD$56,FE207*($Q207*$S207)/(1+Voorblad!$K$44)^(BD$56-Voorblad!$F$41),0)</f>
        <v>0</v>
      </c>
      <c r="BE207" s="9">
        <f>IF($W207=BE$56,FF207*($Q207*$S207)/(1+Voorblad!$K$44)^(BE$56-Voorblad!$F$41),0)</f>
        <v>0</v>
      </c>
      <c r="BF207" s="9">
        <f>IF($W207=BF$56,FG207*($Q207*$S207)/(1+Voorblad!$K$44)^(BF$56-Voorblad!$F$41),0)</f>
        <v>0</v>
      </c>
      <c r="BG207" s="9">
        <f>IF($W207=BG$56,FH207*($Q207*$S207)/(1+Voorblad!$K$44)^(BG$56-Voorblad!$F$41),0)</f>
        <v>0</v>
      </c>
      <c r="BH207" s="9">
        <f>IF($W207=BH$56,FI207*($Q207*$S207)/(1+Voorblad!$K$44)^(BH$56-Voorblad!$F$41),0)</f>
        <v>0</v>
      </c>
      <c r="BI207" s="9">
        <f>IF($W207=BI$56,FJ207*($Q207*$S207)/(1+Voorblad!$K$44)^(BI$56-Voorblad!$F$41),0)</f>
        <v>0</v>
      </c>
      <c r="BJ207" s="9">
        <f>IF($W207=BJ$56,FK207*($Q207*$S207)/(1+Voorblad!$K$44)^(BJ$56-Voorblad!$F$41),0)</f>
        <v>0</v>
      </c>
      <c r="BK207" s="9">
        <f>IF($W207=BK$56,FL207*($Q207*$S207)/(1+Voorblad!$K$44)^(BK$56-Voorblad!$F$41),0)</f>
        <v>0</v>
      </c>
      <c r="BL207" s="9">
        <f>IF($W207=BL$56,FM207*($Q207*$S207)/(1+Voorblad!$K$44)^(BL$56-Voorblad!$F$41),0)</f>
        <v>0</v>
      </c>
      <c r="BM207" s="9">
        <f>IF($W207=BM$56,FN207*($Q207*$S207)/(1+Voorblad!$K$44)^(BM$56-Voorblad!$F$41),0)</f>
        <v>0</v>
      </c>
      <c r="BN207" s="9">
        <f>IF($W207=BN$56,FO207*($Q207*$S207)/(1+Voorblad!$K$44)^(BN$56-Voorblad!$F$41),0)</f>
        <v>0</v>
      </c>
      <c r="BO207" s="9">
        <f>IF($W207=BO$56,FP207*($Q207*$S207)/(1+Voorblad!$K$44)^(BO$56-Voorblad!$F$41),0)</f>
        <v>0</v>
      </c>
      <c r="BP207" s="9">
        <f>IF($W207=BP$56,FQ207*($Q207*$S207)/(1+Voorblad!$K$44)^(BP$56-Voorblad!$F$41),0)</f>
        <v>0</v>
      </c>
      <c r="BQ207" s="9">
        <f>IF($W207=BQ$56,FR207*($Q207*$S207)/(1+Voorblad!$K$44)^(BQ$56-Voorblad!$F$41),0)</f>
        <v>0</v>
      </c>
      <c r="BR207" s="9">
        <f>IF($W207=BR$56,FS207*($Q207*$S207)/(1+Voorblad!$K$44)^(BR$56-Voorblad!$F$41),0)</f>
        <v>0</v>
      </c>
      <c r="BS207" s="9">
        <f>IF($W207=BS$56,FT207*($Q207*$S207)/(1+Voorblad!$K$44)^(BS$56-Voorblad!$F$41),0)</f>
        <v>0</v>
      </c>
      <c r="BT207" s="9">
        <f>IF($W207=BT$56,FU207*($Q207*$S207)/(1+Voorblad!$K$44)^(BT$56-Voorblad!$F$41),0)</f>
        <v>0</v>
      </c>
      <c r="BU207" s="9">
        <f>IF($W207=BU$56,FV207*($Q207*$S207)/(1+Voorblad!$K$44)^(BU$56-Voorblad!$F$41),0)</f>
        <v>0</v>
      </c>
      <c r="BV207" s="9">
        <f>IF($W207=BV$56,FW207*($Q207*$S207)/(1+Voorblad!$K$44)^(BV$56-Voorblad!$F$41),0)</f>
        <v>0</v>
      </c>
      <c r="BW207" s="9">
        <f>IF($W207=BW$56,FX207*($Q207*$S207)/(1+Voorblad!$K$44)^(BW$56-Voorblad!$F$41),0)</f>
        <v>0</v>
      </c>
      <c r="BX207" s="9">
        <f>IF($W207=BX$56,FY207*($Q207*$S207)/(1+Voorblad!$K$44)^(BX$56-Voorblad!$F$41),0)</f>
        <v>0</v>
      </c>
      <c r="BY207" s="9">
        <f>IF($W207=BY$56,FZ207*($Q207*$S207)/(1+Voorblad!$K$44)^(BY$56-Voorblad!$F$41),0)</f>
        <v>0</v>
      </c>
      <c r="BZ207" s="9">
        <f>IF($W207=BZ$56,GA207*($Q207*$S207)/(1+Voorblad!$K$44)^(BZ$56-Voorblad!$F$41),0)</f>
        <v>0</v>
      </c>
      <c r="CA207" s="9">
        <f>IF($W207=CA$56,GB207*($Q207*$S207)/(1+Voorblad!$K$44)^(CA$56-Voorblad!$F$41),0)</f>
        <v>0</v>
      </c>
      <c r="CB207" s="9">
        <f>IF($W207=CB$56,GC207*($Q207*$S207)/(1+Voorblad!$K$44)^(CB$56-Voorblad!$F$41),0)</f>
        <v>0</v>
      </c>
      <c r="CC207" s="9">
        <f>IF($W207=CC$56,GD207*($Q207*$S207)/(1+Voorblad!$K$44)^(CC$56-Voorblad!$F$41),0)</f>
        <v>0</v>
      </c>
      <c r="CD207" s="9">
        <f>IF($W207=CD$56,GE207*($Q207*$S207)/(1+Voorblad!$K$44)^(CD$56-Voorblad!$F$41),0)</f>
        <v>0</v>
      </c>
      <c r="CE207" s="9">
        <f>IF($W207=CE$56,GF207*($Q207*$S207)/(1+Voorblad!$K$44)^(CE$56-Voorblad!$F$41),0)</f>
        <v>0</v>
      </c>
      <c r="CF207" s="9">
        <f>IF($W207=CF$56,GG207*($Q207*$S207)/(1+Voorblad!$K$44)^(CF$56-Voorblad!$F$41),0)</f>
        <v>0</v>
      </c>
      <c r="CG207" s="9">
        <f>IF($W207=CG$56,GH207*($Q207*$S207)/(1+Voorblad!$K$44)^(CG$56-Voorblad!$F$41),0)</f>
        <v>0</v>
      </c>
      <c r="CH207" s="9">
        <f>IF($W207=CH$56,GI207*($Q207*$S207)/(1+Voorblad!$K$44)^(CH$56-Voorblad!$F$41),0)</f>
        <v>0</v>
      </c>
      <c r="CI207" s="9">
        <f>IF($W207=CI$56,GJ207*($Q207*$S207)/(1+Voorblad!$K$44)^(CI$56-Voorblad!$F$41),0)</f>
        <v>0</v>
      </c>
      <c r="CJ207" s="9">
        <f>IF($W207=CJ$56,GK207*($Q207*$S207)/(1+Voorblad!$K$44)^(CJ$56-Voorblad!$F$41),0)</f>
        <v>0</v>
      </c>
      <c r="CK207" s="9">
        <f>IF($W207=CK$56,GL207*($Q207*$S207)/(1+Voorblad!$K$44)^(CK$56-Voorblad!$F$41),0)</f>
        <v>0</v>
      </c>
      <c r="CL207" s="9">
        <f>IF($W207=CL$56,GM207*($Q207*$S207)/(1+Voorblad!$K$44)^(CL$56-Voorblad!$F$41),0)</f>
        <v>0</v>
      </c>
      <c r="CM207" s="9">
        <f>IF($W207=CM$56,GN207*($Q207*$S207)/(1+Voorblad!$K$44)^(CM$56-Voorblad!$F$41),0)</f>
        <v>0</v>
      </c>
      <c r="CN207" s="9">
        <f>IF($W207=CN$56,GO207*($Q207*$S207)/(1+Voorblad!$K$44)^(CN$56-Voorblad!$F$41),0)</f>
        <v>0</v>
      </c>
      <c r="CO207" s="9">
        <f>IF($W207=CO$56,GP207*($Q207*$S207)/(1+Voorblad!$K$44)^(CO$56-Voorblad!$F$41),0)</f>
        <v>0</v>
      </c>
      <c r="CP207" s="9">
        <f>IF($W207=CP$56,GQ207*($Q207*$S207)/(1+Voorblad!$K$44)^(CP$56-Voorblad!$F$41),0)</f>
        <v>0</v>
      </c>
      <c r="CQ207" s="9">
        <f>IF($W207=CQ$56,GR207*($Q207*$S207)/(1+Voorblad!$K$44)^(CQ$56-Voorblad!$F$41),0)</f>
        <v>0</v>
      </c>
      <c r="CR207" s="9">
        <f>IF($W207=CR$56,GS207*($Q207*$S207)/(1+Voorblad!$K$44)^(CR$56-Voorblad!$F$41),0)</f>
        <v>0</v>
      </c>
      <c r="CS207" s="9">
        <f>IF($W207=CS$56,GT207*($Q207*$S207)/(1+Voorblad!$K$44)^(CS$56-Voorblad!$F$41),0)</f>
        <v>0</v>
      </c>
      <c r="CT207" s="9">
        <f>IF($W207=CT$56,GU207*($Q207*$S207)/(1+Voorblad!$K$44)^(CT$56-Voorblad!$F$41),0)</f>
        <v>0</v>
      </c>
      <c r="CU207" s="9">
        <f>IF($W207=CU$56,GV207*($Q207*$S207)/(1+Voorblad!$K$44)^(CU$56-Voorblad!$F$41),0)</f>
        <v>0</v>
      </c>
      <c r="CV207" s="9">
        <f>IF($W207=CV$56,GW207*($Q207*$S207)/(1+Voorblad!$K$44)^(CV$56-Voorblad!$F$41),0)</f>
        <v>0</v>
      </c>
      <c r="CW207" s="9">
        <f>IF($W207=CW$56,GX207*($Q207*$S207)/(1+Voorblad!$K$44)^(CW$56-Voorblad!$F$41),0)</f>
        <v>0</v>
      </c>
      <c r="CX207" s="9">
        <f>IF($W207=CX$56,GY207*($Q207*$S207)/(1+Voorblad!$K$44)^(CX$56-Voorblad!$F$41),0)</f>
        <v>0</v>
      </c>
      <c r="CY207" s="9">
        <f>IF($W207=CY$56,GZ207*($Q207*$S207)/(1+Voorblad!$K$44)^(CY$56-Voorblad!$F$41),0)</f>
        <v>0</v>
      </c>
      <c r="CZ207" s="9">
        <f>IF($W207=CZ$56,HA207*($Q207*$S207)/(1+Voorblad!$K$44)^(CZ$56-Voorblad!$F$41),0)</f>
        <v>0</v>
      </c>
      <c r="DA207" s="9">
        <f>IF($W207=DA$56,HB207*($Q207*$S207)/(1+Voorblad!$K$44)^(DA$56-Voorblad!$F$41),0)</f>
        <v>0</v>
      </c>
      <c r="DB207" s="9">
        <f>IF($W207=DB$56,HC207*($Q207*$S207)/(1+Voorblad!$K$44)^(DB$56-Voorblad!$F$41),0)</f>
        <v>0</v>
      </c>
      <c r="DC207" s="9">
        <f>IF($W207=DC$56,HD207*($Q207*$S207)/(1+Voorblad!$K$44)^(DC$56-Voorblad!$F$41),0)</f>
        <v>0</v>
      </c>
      <c r="DD207" s="9">
        <f>IF($W207=DD$56,HE207*($Q207*$S207)/(1+Voorblad!$K$44)^(DD$56-Voorblad!$F$41),0)</f>
        <v>0</v>
      </c>
      <c r="DE207" s="9">
        <f>IF($W207=DE$56,HF207*($Q207*$S207)/(1+Voorblad!$K$44)^(DE$56-Voorblad!$F$41),0)</f>
        <v>0</v>
      </c>
      <c r="DF207" s="9">
        <f>IF($W207=DF$56,HG207*($Q207*$S207)/(1+Voorblad!$K$44)^(DF$56-Voorblad!$F$41),0)</f>
        <v>0</v>
      </c>
      <c r="DG207" s="9">
        <f>IF($W207=DG$56,HH207*($Q207*$S207)/(1+Voorblad!$K$44)^(DG$56-Voorblad!$F$41),0)</f>
        <v>0</v>
      </c>
      <c r="DH207" s="9">
        <f>IF($W207=DH$56,HI207*($Q207*$S207)/(1+Voorblad!$K$44)^(DH$56-Voorblad!$F$41),0)</f>
        <v>0</v>
      </c>
      <c r="DI207" s="9">
        <f>IF($W207=DI$56,HJ207*($Q207*$S207)/(1+Voorblad!$K$44)^(DI$56-Voorblad!$F$41),0)</f>
        <v>0</v>
      </c>
      <c r="DJ207" s="9">
        <f>IF($W207=DJ$56,HK207*($Q207*$S207)/(1+Voorblad!$K$44)^(DJ$56-Voorblad!$F$41),0)</f>
        <v>0</v>
      </c>
      <c r="DK207" s="9">
        <f>IF($W207=DK$56,HL207*($Q207*$S207)/(1+Voorblad!$K$44)^(DK$56-Voorblad!$F$41),0)</f>
        <v>0</v>
      </c>
      <c r="DL207" s="9">
        <f>IF($W207=DL$56,HM207*($Q207*$S207)/(1+Voorblad!$K$44)^(DL$56-Voorblad!$F$41),0)</f>
        <v>0</v>
      </c>
      <c r="DM207" s="9">
        <f>IF($W207=DM$56,HN207*($Q207*$S207)/(1+Voorblad!$K$44)^(DM$56-Voorblad!$F$41),0)</f>
        <v>0</v>
      </c>
      <c r="DN207" s="9">
        <f>IF($W207=DN$56,HO207*($Q207*$S207)/(1+Voorblad!$K$44)^(DN$56-Voorblad!$F$41),0)</f>
        <v>0</v>
      </c>
      <c r="DO207" s="9">
        <f>IF($W207=DO$56,HP207*($Q207*$S207)/(1+Voorblad!$K$44)^(DO$56-Voorblad!$F$41),0)</f>
        <v>0</v>
      </c>
      <c r="DP207" s="9">
        <f>IF($W207=DP$56,HQ207*($Q207*$S207)/(1+Voorblad!$K$44)^(DP$56-Voorblad!$F$41),0)</f>
        <v>0</v>
      </c>
      <c r="DQ207" s="9">
        <f>IF($W207=DQ$56,HR207*($Q207*$S207)/(1+Voorblad!$K$44)^(DQ$56-Voorblad!$F$41),0)</f>
        <v>0</v>
      </c>
      <c r="DR207" s="9">
        <f>IF($W207=DR$56,HS207*($Q207*$S207)/(1+Voorblad!$K$44)^(DR$56-Voorblad!$F$41),0)</f>
        <v>0</v>
      </c>
      <c r="DS207" s="9">
        <f>IF($W207=DS$56,HT207*($Q207*$S207)/(1+Voorblad!$K$44)^(DS$56-Voorblad!$F$41),0)</f>
        <v>0</v>
      </c>
      <c r="DT207" s="9">
        <f>IF($W207=DT$56,HU207*($Q207*$S207)/(1+Voorblad!$K$44)^(DT$56-Voorblad!$F$41),0)</f>
        <v>0</v>
      </c>
      <c r="DU207" s="9">
        <f>IF($W207=DU$56,HV207*($Q207*$S207)/(1+Voorblad!$K$44)^(DU$56-Voorblad!$F$41),0)</f>
        <v>0</v>
      </c>
      <c r="DV207" s="9">
        <f>IF($W207=DV$56,HW207*($Q207*$S207)/(1+Voorblad!$K$44)^(DV$56-Voorblad!$F$41),0)</f>
        <v>0</v>
      </c>
      <c r="DW207" s="9">
        <f>IF($W207=DW$56,HX207*($Q207*$S207)/(1+Voorblad!$K$44)^(DW$56-Voorblad!$F$41),0)</f>
        <v>0</v>
      </c>
      <c r="DX207" s="9">
        <f>IF($W207=DX$56,HY207*($Q207*$S207)/(1+Voorblad!$K$44)^(DX$56-Voorblad!$F$41),0)</f>
        <v>0</v>
      </c>
      <c r="DY207" s="9">
        <f>IF($W207=DY$56,HZ207*($Q207*$S207)/(1+Voorblad!$K$44)^(DY$56-Voorblad!$F$41),0)</f>
        <v>0</v>
      </c>
      <c r="DZ207" s="9">
        <f>IF($W207=DZ$56,IA207*($Q207*$S207)/(1+Voorblad!$K$44)^(DZ$56-Voorblad!$F$41),0)</f>
        <v>0</v>
      </c>
      <c r="EA207" s="9">
        <f>IF($W207=EA$56,IB207*($Q207*$S207)/(1+Voorblad!$K$44)^(EA$56-Voorblad!$F$41),0)</f>
        <v>0</v>
      </c>
      <c r="EB207" s="9">
        <f>IF($W207=EB$56,IC207*($Q207*$S207)/(1+Voorblad!$K$44)^(EB$56-Voorblad!$F$41),0)</f>
        <v>0</v>
      </c>
      <c r="EE207" s="8">
        <v>0</v>
      </c>
      <c r="EF207" s="8">
        <f>IF(EF$56-Voorblad!$F$41&gt;Voorblad!$K$41,0,IF($U207=0,0,IF($U207&lt;1,1/$U207,IF((EF$56-Voorblad!$F$41)/$U207-SUM($EE207:EE207)=1,1,0))))</f>
        <v>0</v>
      </c>
      <c r="EG207" s="8">
        <f>IF(EG$56-Voorblad!$F$41&gt;Voorblad!$K$41,0,IF($U207=0,0,IF($U207&lt;1,1/$U207,IF((EG$56-Voorblad!$F$41)/$U207-SUM($EE207:EF207)=1,1,0))))</f>
        <v>1</v>
      </c>
      <c r="EH207" s="8">
        <f>IF(EH$56-Voorblad!$F$41&gt;Voorblad!$K$41,0,IF($U207=0,0,IF($U207&lt;1,1/$U207,IF((EH$56-Voorblad!$F$41)/$U207-SUM($EE207:EG207)=1,1,0))))</f>
        <v>1</v>
      </c>
      <c r="EI207" s="8">
        <f>IF(EI$56-Voorblad!$F$41&gt;Voorblad!$K$41,0,IF($U207=0,0,IF($U207&lt;1,1/$U207,IF((EI$56-Voorblad!$F$41)/$U207-SUM($EE207:EH207)=1,1,0))))</f>
        <v>1</v>
      </c>
      <c r="EJ207" s="8">
        <f>IF(EJ$56-Voorblad!$F$41&gt;Voorblad!$K$41,0,IF($U207=0,0,IF($U207&lt;1,1/$U207,IF((EJ$56-Voorblad!$F$41)/$U207-SUM($EE207:EI207)=1,1,0))))</f>
        <v>1</v>
      </c>
      <c r="EK207" s="8">
        <f>IF(EK$56-Voorblad!$F$41&gt;Voorblad!$K$41,0,IF($U207=0,0,IF($U207&lt;1,1/$U207,IF((EK$56-Voorblad!$F$41)/$U207-SUM($EE207:EJ207)=1,1,0))))</f>
        <v>1</v>
      </c>
      <c r="EL207" s="8">
        <f>IF(EL$56-Voorblad!$F$41&gt;Voorblad!$K$41,0,IF($U207=0,0,IF($U207&lt;1,1/$U207,IF((EL$56-Voorblad!$F$41)/$U207-SUM($EE207:EK207)=1,1,0))))</f>
        <v>1</v>
      </c>
      <c r="EM207" s="8">
        <f>IF(EM$56-Voorblad!$F$41&gt;Voorblad!$K$41,0,IF($U207=0,0,IF($U207&lt;1,1/$U207,IF((EM$56-Voorblad!$F$41)/$U207-SUM($EE207:EL207)=1,1,0))))</f>
        <v>1</v>
      </c>
      <c r="EN207" s="8">
        <f>IF(EN$56-Voorblad!$F$41&gt;Voorblad!$K$41,0,IF($U207=0,0,IF($U207&lt;1,1/$U207,IF((EN$56-Voorblad!$F$41)/$U207-SUM($EE207:EM207)=1,1,0))))</f>
        <v>1</v>
      </c>
      <c r="EO207" s="8">
        <f>IF(EO$56-Voorblad!$F$41&gt;Voorblad!$K$41,0,IF($U207=0,0,IF($U207&lt;1,1/$U207,IF((EO$56-Voorblad!$F$41)/$U207-SUM($EE207:EN207)=1,1,0))))</f>
        <v>1</v>
      </c>
      <c r="EP207" s="8">
        <f>IF(EP$56-Voorblad!$F$41&gt;Voorblad!$K$41,0,IF($U207=0,0,IF($U207&lt;1,1/$U207,IF((EP$56-Voorblad!$F$41)/$U207-SUM($EE207:EO207)=1,1,0))))</f>
        <v>1</v>
      </c>
      <c r="EQ207" s="8">
        <f>IF(EQ$56-Voorblad!$F$41&gt;Voorblad!$K$41,0,IF($U207=0,0,IF($U207&lt;1,1/$U207,IF((EQ$56-Voorblad!$F$41)/$U207-SUM($EE207:EP207)=1,1,0))))</f>
        <v>1</v>
      </c>
      <c r="ER207" s="8">
        <f>IF(ER$56-Voorblad!$F$41&gt;Voorblad!$K$41,0,IF($U207=0,0,IF($U207&lt;1,1/$U207,IF((ER$56-Voorblad!$F$41)/$U207-SUM($EE207:EQ207)=1,1,0))))</f>
        <v>1</v>
      </c>
      <c r="ES207" s="8">
        <f>IF(ES$56-Voorblad!$F$41&gt;Voorblad!$K$41,0,IF($U207=0,0,IF($U207&lt;1,1/$U207,IF((ES$56-Voorblad!$F$41)/$U207-SUM($EE207:ER207)=1,1,0))))</f>
        <v>1</v>
      </c>
      <c r="ET207" s="8">
        <f>IF(ET$56-Voorblad!$F$41&gt;Voorblad!$K$41,0,IF($U207=0,0,IF($U207&lt;1,1/$U207,IF((ET$56-Voorblad!$F$41)/$U207-SUM($EE207:ES207)=1,1,0))))</f>
        <v>1</v>
      </c>
      <c r="EU207" s="8">
        <f>IF(EU$56-Voorblad!$F$41&gt;Voorblad!$K$41,0,IF($U207=0,0,IF($U207&lt;1,1/$U207,IF((EU$56-Voorblad!$F$41)/$U207-SUM($EE207:ET207)=1,1,0))))</f>
        <v>1</v>
      </c>
      <c r="EV207" s="8">
        <f>IF(EV$56-Voorblad!$F$41&gt;Voorblad!$K$41,0,IF($U207=0,0,IF($U207&lt;1,1/$U207,IF((EV$56-Voorblad!$F$41)/$U207-SUM($EE207:EU207)=1,1,0))))</f>
        <v>1</v>
      </c>
      <c r="EW207" s="8">
        <f>IF(EW$56-Voorblad!$F$41&gt;Voorblad!$K$41,0,IF($U207=0,0,IF($U207&lt;1,1/$U207,IF((EW$56-Voorblad!$F$41)/$U207-SUM($EE207:EV207)=1,1,0))))</f>
        <v>1</v>
      </c>
      <c r="EX207" s="8">
        <f>IF(EX$56-Voorblad!$F$41&gt;Voorblad!$K$41,0,IF($U207=0,0,IF($U207&lt;1,1/$U207,IF((EX$56-Voorblad!$F$41)/$U207-SUM($EE207:EW207)=1,1,0))))</f>
        <v>1</v>
      </c>
      <c r="EY207" s="8">
        <f>IF(EY$56-Voorblad!$F$41&gt;Voorblad!$K$41,0,IF($U207=0,0,IF($U207&lt;1,1/$U207,IF((EY$56-Voorblad!$F$41)/$U207-SUM($EE207:EX207)=1,1,0))))</f>
        <v>1</v>
      </c>
      <c r="EZ207" s="8">
        <f>IF(EZ$56-Voorblad!$F$41&gt;Voorblad!$K$41,0,IF($U207=0,0,IF($U207&lt;1,1/$U207,IF((EZ$56-Voorblad!$F$41)/$U207-SUM($EE207:EY207)=1,1,0))))</f>
        <v>1</v>
      </c>
      <c r="FA207" s="8">
        <f>IF(FA$56-Voorblad!$F$41&gt;Voorblad!$K$41,0,IF($U207=0,0,IF($U207&lt;1,1/$U207,IF((FA$56-Voorblad!$F$41)/$U207-SUM($EE207:EZ207)=1,1,0))))</f>
        <v>1</v>
      </c>
      <c r="FB207" s="8">
        <f>IF(FB$56-Voorblad!$F$41&gt;Voorblad!$K$41,0,IF($U207=0,0,IF($U207&lt;1,1/$U207,IF((FB$56-Voorblad!$F$41)/$U207-SUM($EE207:FA207)=1,1,0))))</f>
        <v>1</v>
      </c>
      <c r="FC207" s="8">
        <f>IF(FC$56-Voorblad!$F$41&gt;Voorblad!$K$41,0,IF($U207=0,0,IF($U207&lt;1,1/$U207,IF((FC$56-Voorblad!$F$41)/$U207-SUM($EE207:FB207)=1,1,0))))</f>
        <v>1</v>
      </c>
      <c r="FD207" s="8">
        <f>IF(FD$56-Voorblad!$F$41&gt;Voorblad!$K$41,0,IF($U207=0,0,IF($U207&lt;1,1/$U207,IF((FD$56-Voorblad!$F$41)/$U207-SUM($EE207:FC207)=1,1,0))))</f>
        <v>1</v>
      </c>
      <c r="FE207" s="8">
        <f>IF(FE$56-Voorblad!$F$41&gt;Voorblad!$K$41,0,IF($U207=0,0,IF($U207&lt;1,1/$U207,IF((FE$56-Voorblad!$F$41)/$U207-SUM($EE207:FD207)=1,1,0))))</f>
        <v>1</v>
      </c>
      <c r="FF207" s="8">
        <f>IF(FF$56-Voorblad!$F$41&gt;Voorblad!$K$41,0,IF($U207=0,0,IF($U207&lt;1,1/$U207,IF((FF$56-Voorblad!$F$41)/$U207-SUM($EE207:FE207)=1,1,0))))</f>
        <v>1</v>
      </c>
      <c r="FG207" s="8">
        <f>IF(FG$56-Voorblad!$F$41&gt;Voorblad!$K$41,0,IF($U207=0,0,IF($U207&lt;1,1/$U207,IF((FG$56-Voorblad!$F$41)/$U207-SUM($EE207:FF207)=1,1,0))))</f>
        <v>1</v>
      </c>
      <c r="FH207" s="8">
        <f>IF(FH$56-Voorblad!$F$41&gt;Voorblad!$K$41,0,IF($U207=0,0,IF($U207&lt;1,1/$U207,IF((FH$56-Voorblad!$F$41)/$U207-SUM($EE207:FG207)=1,1,0))))</f>
        <v>1</v>
      </c>
      <c r="FI207" s="8">
        <f>IF(FI$56-Voorblad!$F$41&gt;Voorblad!$K$41,0,IF($U207=0,0,IF($U207&lt;1,1/$U207,IF((FI$56-Voorblad!$F$41)/$U207-SUM($EE207:FH207)=1,1,0))))</f>
        <v>1</v>
      </c>
      <c r="FJ207" s="8">
        <f>IF(FJ$56-Voorblad!$F$41&gt;Voorblad!$K$41,0,IF($U207=0,0,IF($U207&lt;1,1/$U207,IF((FJ$56-Voorblad!$F$41)/$U207-SUM($EE207:FI207)=1,1,0))))</f>
        <v>1</v>
      </c>
      <c r="FK207" s="8">
        <f>IF(FK$56-Voorblad!$F$41&gt;Voorblad!$K$41,0,IF($U207=0,0,IF($U207&lt;1,1/$U207,IF((FK$56-Voorblad!$F$41)/$U207-SUM($EE207:FJ207)=1,1,0))))</f>
        <v>1</v>
      </c>
      <c r="FL207" s="8">
        <f>IF(FL$56-Voorblad!$F$41&gt;Voorblad!$K$41,0,IF($U207=0,0,IF($U207&lt;1,1/$U207,IF((FL$56-Voorblad!$F$41)/$U207-SUM($EE207:FK207)=1,1,0))))</f>
        <v>1</v>
      </c>
      <c r="FM207" s="8">
        <f>IF(FM$56-Voorblad!$F$41&gt;Voorblad!$K$41,0,IF($U207=0,0,IF($U207&lt;1,1/$U207,IF((FM$56-Voorblad!$F$41)/$U207-SUM($EE207:FL207)=1,1,0))))</f>
        <v>1</v>
      </c>
      <c r="FN207" s="8">
        <f>IF(FN$56-Voorblad!$F$41&gt;Voorblad!$K$41,0,IF($U207=0,0,IF($U207&lt;1,1/$U207,IF((FN$56-Voorblad!$F$41)/$U207-SUM($EE207:FM207)=1,1,0))))</f>
        <v>1</v>
      </c>
      <c r="FO207" s="8">
        <f>IF(FO$56-Voorblad!$F$41&gt;Voorblad!$K$41,0,IF($U207=0,0,IF($U207&lt;1,1/$U207,IF((FO$56-Voorblad!$F$41)/$U207-SUM($EE207:FN207)=1,1,0))))</f>
        <v>1</v>
      </c>
      <c r="FP207" s="8">
        <f>IF(FP$56-Voorblad!$F$41&gt;Voorblad!$K$41,0,IF($U207=0,0,IF($U207&lt;1,1/$U207,IF((FP$56-Voorblad!$F$41)/$U207-SUM($EE207:FO207)=1,1,0))))</f>
        <v>1</v>
      </c>
      <c r="FQ207" s="8">
        <f>IF(FQ$56-Voorblad!$F$41&gt;Voorblad!$K$41,0,IF($U207=0,0,IF($U207&lt;1,1/$U207,IF((FQ$56-Voorblad!$F$41)/$U207-SUM($EE207:FP207)=1,1,0))))</f>
        <v>1</v>
      </c>
      <c r="FR207" s="8">
        <f>IF(FR$56-Voorblad!$F$41&gt;Voorblad!$K$41,0,IF($U207=0,0,IF($U207&lt;1,1/$U207,IF((FR$56-Voorblad!$F$41)/$U207-SUM($EE207:FQ207)=1,1,0))))</f>
        <v>1</v>
      </c>
      <c r="FS207" s="8">
        <f>IF(FS$56-Voorblad!$F$41&gt;Voorblad!$K$41,0,IF($U207=0,0,IF($U207&lt;1,1/$U207,IF((FS$56-Voorblad!$F$41)/$U207-SUM($EE207:FR207)=1,1,0))))</f>
        <v>1</v>
      </c>
      <c r="FT207" s="8">
        <f>IF(FT$56-Voorblad!$F$41&gt;Voorblad!$K$41,0,IF($U207=0,0,IF($U207&lt;1,1/$U207,IF((FT$56-Voorblad!$F$41)/$U207-SUM($EE207:FS207)=1,1,0))))</f>
        <v>1</v>
      </c>
      <c r="FU207" s="8">
        <f>IF(FU$56-Voorblad!$F$41&gt;Voorblad!$K$41,0,IF($U207=0,0,IF($U207&lt;1,1/$U207,IF((FU$56-Voorblad!$F$41)/$U207-SUM($EE207:FT207)=1,1,0))))</f>
        <v>1</v>
      </c>
      <c r="FV207" s="8">
        <f>IF(FV$56-Voorblad!$F$41&gt;Voorblad!$K$41,0,IF($U207=0,0,IF($U207&lt;1,1/$U207,IF((FV$56-Voorblad!$F$41)/$U207-SUM($EE207:FU207)=1,1,0))))</f>
        <v>1</v>
      </c>
      <c r="FW207" s="8">
        <f>IF(FW$56-Voorblad!$F$41&gt;Voorblad!$K$41,0,IF($U207=0,0,IF($U207&lt;1,1/$U207,IF((FW$56-Voorblad!$F$41)/$U207-SUM($EE207:FV207)=1,1,0))))</f>
        <v>1</v>
      </c>
      <c r="FX207" s="8">
        <f>IF(FX$56-Voorblad!$F$41&gt;Voorblad!$K$41,0,IF($U207=0,0,IF($U207&lt;1,1/$U207,IF((FX$56-Voorblad!$F$41)/$U207-SUM($EE207:FW207)=1,1,0))))</f>
        <v>1</v>
      </c>
      <c r="FY207" s="8">
        <f>IF(FY$56-Voorblad!$F$41&gt;Voorblad!$K$41,0,IF($U207=0,0,IF($U207&lt;1,1/$U207,IF((FY$56-Voorblad!$F$41)/$U207-SUM($EE207:FX207)=1,1,0))))</f>
        <v>1</v>
      </c>
      <c r="FZ207" s="8">
        <f>IF(FZ$56-Voorblad!$F$41&gt;Voorblad!$K$41,0,IF($U207=0,0,IF($U207&lt;1,1/$U207,IF((FZ$56-Voorblad!$F$41)/$U207-SUM($EE207:FY207)=1,1,0))))</f>
        <v>1</v>
      </c>
      <c r="GA207" s="8">
        <f>IF(GA$56-Voorblad!$F$41&gt;Voorblad!$K$41,0,IF($U207=0,0,IF($U207&lt;1,1/$U207,IF((GA$56-Voorblad!$F$41)/$U207-SUM($EE207:FZ207)=1,1,0))))</f>
        <v>1</v>
      </c>
      <c r="GB207" s="8">
        <f>IF(GB$56-Voorblad!$F$41&gt;Voorblad!$K$41,0,IF($U207=0,0,IF($U207&lt;1,1/$U207,IF((GB$56-Voorblad!$F$41)/$U207-SUM($EE207:GA207)=1,1,0))))</f>
        <v>1</v>
      </c>
      <c r="GC207" s="8">
        <f>IF(GC$56-Voorblad!$F$41&gt;Voorblad!$K$41,0,IF($U207=0,0,IF($U207&lt;1,1/$U207,IF((GC$56-Voorblad!$F$41)/$U207-SUM($EE207:GB207)=1,1,0))))</f>
        <v>1</v>
      </c>
      <c r="GD207" s="8">
        <f>IF(GD$56-Voorblad!$F$41&gt;Voorblad!$K$41,0,IF($U207=0,0,IF($U207&lt;1,1/$U207,IF((GD$56-Voorblad!$F$41)/$U207-SUM($EE207:GC207)=1,1,0))))</f>
        <v>1</v>
      </c>
      <c r="GE207" s="8">
        <f>IF(GE$56-Voorblad!$F$41&gt;Voorblad!$K$41,0,IF($U207=0,0,IF($U207&lt;1,1/$U207,IF((GE$56-Voorblad!$F$41)/$U207-SUM($EE207:GD207)=1,1,0))))</f>
        <v>1</v>
      </c>
      <c r="GF207" s="8">
        <f>IF(GF$56-Voorblad!$F$41&gt;Voorblad!$K$41,0,IF($U207=0,0,IF($U207&lt;1,1/$U207,IF((GF$56-Voorblad!$F$41)/$U207-SUM($EE207:GE207)=1,1,0))))</f>
        <v>1</v>
      </c>
      <c r="GG207" s="8">
        <f>IF(GG$56-Voorblad!$F$41&gt;Voorblad!$K$41,0,IF($U207=0,0,IF($U207&lt;1,1/$U207,IF((GG$56-Voorblad!$F$41)/$U207-SUM($EE207:GF207)=1,1,0))))</f>
        <v>1</v>
      </c>
      <c r="GH207" s="8">
        <f>IF(GH$56-Voorblad!$F$41&gt;Voorblad!$K$41,0,IF($U207=0,0,IF($U207&lt;1,1/$U207,IF((GH$56-Voorblad!$F$41)/$U207-SUM($EE207:GG207)=1,1,0))))</f>
        <v>1</v>
      </c>
      <c r="GI207" s="8">
        <f>IF(GI$56-Voorblad!$F$41&gt;Voorblad!$K$41,0,IF($U207=0,0,IF($U207&lt;1,1/$U207,IF((GI$56-Voorblad!$F$41)/$U207-SUM($EE207:GH207)=1,1,0))))</f>
        <v>1</v>
      </c>
      <c r="GJ207" s="8">
        <f>IF(GJ$56-Voorblad!$F$41&gt;Voorblad!$K$41,0,IF($U207=0,0,IF($U207&lt;1,1/$U207,IF((GJ$56-Voorblad!$F$41)/$U207-SUM($EE207:GI207)=1,1,0))))</f>
        <v>1</v>
      </c>
      <c r="GK207" s="8">
        <f>IF(GK$56-Voorblad!$F$41&gt;Voorblad!$K$41,0,IF($U207=0,0,IF($U207&lt;1,1/$U207,IF((GK$56-Voorblad!$F$41)/$U207-SUM($EE207:GJ207)=1,1,0))))</f>
        <v>1</v>
      </c>
      <c r="GL207" s="8">
        <f>IF(GL$56-Voorblad!$F$41&gt;Voorblad!$K$41,0,IF($U207=0,0,IF($U207&lt;1,1/$U207,IF((GL$56-Voorblad!$F$41)/$U207-SUM($EE207:GK207)=1,1,0))))</f>
        <v>1</v>
      </c>
      <c r="GM207" s="8">
        <f>IF(GM$56-Voorblad!$F$41&gt;Voorblad!$K$41,0,IF($U207=0,0,IF($U207&lt;1,1/$U207,IF((GM$56-Voorblad!$F$41)/$U207-SUM($EE207:GL207)=1,1,0))))</f>
        <v>1</v>
      </c>
      <c r="GN207" s="8">
        <f>IF(GN$56-Voorblad!$F$41&gt;Voorblad!$K$41,0,IF($U207=0,0,IF($U207&lt;1,1/$U207,IF((GN$56-Voorblad!$F$41)/$U207-SUM($EE207:GM207)=1,1,0))))</f>
        <v>1</v>
      </c>
      <c r="GO207" s="8">
        <f>IF(GO$56-Voorblad!$F$41&gt;Voorblad!$K$41,0,IF($U207=0,0,IF($U207&lt;1,1/$U207,IF((GO$56-Voorblad!$F$41)/$U207-SUM($EE207:GN207)=1,1,0))))</f>
        <v>1</v>
      </c>
      <c r="GP207" s="8">
        <f>IF(GP$56-Voorblad!$F$41&gt;Voorblad!$K$41,0,IF($U207=0,0,IF($U207&lt;1,1/$U207,IF((GP$56-Voorblad!$F$41)/$U207-SUM($EE207:GO207)=1,1,0))))</f>
        <v>1</v>
      </c>
      <c r="GQ207" s="8">
        <f>IF(GQ$56-Voorblad!$F$41&gt;Voorblad!$K$41,0,IF($U207=0,0,IF($U207&lt;1,1/$U207,IF((GQ$56-Voorblad!$F$41)/$U207-SUM($EE207:GP207)=1,1,0))))</f>
        <v>1</v>
      </c>
      <c r="GR207" s="8">
        <f>IF(GR$56-Voorblad!$F$41&gt;Voorblad!$K$41,0,IF($U207=0,0,IF($U207&lt;1,1/$U207,IF((GR$56-Voorblad!$F$41)/$U207-SUM($EE207:GQ207)=1,1,0))))</f>
        <v>1</v>
      </c>
      <c r="GS207" s="8">
        <f>IF(GS$56-Voorblad!$F$41&gt;Voorblad!$K$41,0,IF($U207=0,0,IF($U207&lt;1,1/$U207,IF((GS$56-Voorblad!$F$41)/$U207-SUM($EE207:GR207)=1,1,0))))</f>
        <v>1</v>
      </c>
      <c r="GT207" s="8">
        <f>IF(GT$56-Voorblad!$F$41&gt;Voorblad!$K$41,0,IF($U207=0,0,IF($U207&lt;1,1/$U207,IF((GT$56-Voorblad!$F$41)/$U207-SUM($EE207:GS207)=1,1,0))))</f>
        <v>1</v>
      </c>
      <c r="GU207" s="8">
        <f>IF(GU$56-Voorblad!$F$41&gt;Voorblad!$K$41,0,IF($U207=0,0,IF($U207&lt;1,1/$U207,IF((GU$56-Voorblad!$F$41)/$U207-SUM($EE207:GT207)=1,1,0))))</f>
        <v>1</v>
      </c>
      <c r="GV207" s="8">
        <f>IF(GV$56-Voorblad!$F$41&gt;Voorblad!$K$41,0,IF($U207=0,0,IF($U207&lt;1,1/$U207,IF((GV$56-Voorblad!$F$41)/$U207-SUM($EE207:GU207)=1,1,0))))</f>
        <v>1</v>
      </c>
      <c r="GW207" s="8">
        <f>IF(GW$56-Voorblad!$F$41&gt;Voorblad!$K$41,0,IF($U207=0,0,IF($U207&lt;1,1/$U207,IF((GW$56-Voorblad!$F$41)/$U207-SUM($EE207:GV207)=1,1,0))))</f>
        <v>1</v>
      </c>
      <c r="GX207" s="8">
        <f>IF(GX$56-Voorblad!$F$41&gt;Voorblad!$K$41,0,IF($U207=0,0,IF($U207&lt;1,1/$U207,IF((GX$56-Voorblad!$F$41)/$U207-SUM($EE207:GW207)=1,1,0))))</f>
        <v>1</v>
      </c>
      <c r="GY207" s="8">
        <f>IF(GY$56-Voorblad!$F$41&gt;Voorblad!$K$41,0,IF($U207=0,0,IF($U207&lt;1,1/$U207,IF((GY$56-Voorblad!$F$41)/$U207-SUM($EE207:GX207)=1,1,0))))</f>
        <v>1</v>
      </c>
      <c r="GZ207" s="8">
        <f>IF(GZ$56-Voorblad!$F$41&gt;Voorblad!$K$41,0,IF($U207=0,0,IF($U207&lt;1,1/$U207,IF((GZ$56-Voorblad!$F$41)/$U207-SUM($EE207:GY207)=1,1,0))))</f>
        <v>1</v>
      </c>
      <c r="HA207" s="8">
        <f>IF(HA$56-Voorblad!$F$41&gt;Voorblad!$K$41,0,IF($U207=0,0,IF($U207&lt;1,1/$U207,IF((HA$56-Voorblad!$F$41)/$U207-SUM($EE207:GZ207)=1,1,0))))</f>
        <v>1</v>
      </c>
      <c r="HB207" s="8">
        <f>IF(HB$56-Voorblad!$F$41&gt;Voorblad!$K$41,0,IF($U207=0,0,IF($U207&lt;1,1/$U207,IF((HB$56-Voorblad!$F$41)/$U207-SUM($EE207:HA207)=1,1,0))))</f>
        <v>0</v>
      </c>
      <c r="HC207" s="8">
        <f>IF(HC$56-Voorblad!$F$41&gt;Voorblad!$K$41,0,IF($U207=0,0,IF($U207&lt;1,1/$U207,IF((HC$56-Voorblad!$F$41)/$U207-SUM($EE207:HB207)=1,1,0))))</f>
        <v>0</v>
      </c>
      <c r="HD207" s="8">
        <f>IF(HD$56-Voorblad!$F$41&gt;Voorblad!$K$41,0,IF($U207=0,0,IF($U207&lt;1,1/$U207,IF((HD$56-Voorblad!$F$41)/$U207-SUM($EE207:HC207)=1,1,0))))</f>
        <v>0</v>
      </c>
      <c r="HE207" s="8">
        <f>IF(HE$56-Voorblad!$F$41&gt;Voorblad!$K$41,0,IF($U207=0,0,IF($U207&lt;1,1/$U207,IF((HE$56-Voorblad!$F$41)/$U207-SUM($EE207:HD207)=1,1,0))))</f>
        <v>0</v>
      </c>
      <c r="HF207" s="8">
        <f>IF(HF$56-Voorblad!$F$41&gt;Voorblad!$K$41,0,IF($U207=0,0,IF($U207&lt;1,1/$U207,IF((HF$56-Voorblad!$F$41)/$U207-SUM($EE207:HE207)=1,1,0))))</f>
        <v>0</v>
      </c>
      <c r="HG207" s="8">
        <f>IF(HG$56-Voorblad!$F$41&gt;Voorblad!$K$41,0,IF($U207=0,0,IF($U207&lt;1,1/$U207,IF((HG$56-Voorblad!$F$41)/$U207-SUM($EE207:HF207)=1,1,0))))</f>
        <v>0</v>
      </c>
      <c r="HH207" s="8">
        <f>IF(HH$56-Voorblad!$F$41&gt;Voorblad!$K$41,0,IF($U207=0,0,IF($U207&lt;1,1/$U207,IF((HH$56-Voorblad!$F$41)/$U207-SUM($EE207:HG207)=1,1,0))))</f>
        <v>0</v>
      </c>
      <c r="HI207" s="8">
        <f>IF(HI$56-Voorblad!$F$41&gt;Voorblad!$K$41,0,IF($U207=0,0,IF($U207&lt;1,1/$U207,IF((HI$56-Voorblad!$F$41)/$U207-SUM($EE207:HH207)=1,1,0))))</f>
        <v>0</v>
      </c>
      <c r="HJ207" s="8">
        <f>IF(HJ$56-Voorblad!$F$41&gt;Voorblad!$K$41,0,IF($U207=0,0,IF($U207&lt;1,1/$U207,IF((HJ$56-Voorblad!$F$41)/$U207-SUM($EE207:HI207)=1,1,0))))</f>
        <v>0</v>
      </c>
      <c r="HK207" s="8">
        <f>IF(HK$56-Voorblad!$F$41&gt;Voorblad!$K$41,0,IF($U207=0,0,IF($U207&lt;1,1/$U207,IF((HK$56-Voorblad!$F$41)/$U207-SUM($EE207:HJ207)=1,1,0))))</f>
        <v>0</v>
      </c>
      <c r="HL207" s="8">
        <f>IF(HL$56-Voorblad!$F$41&gt;Voorblad!$K$41,0,IF($U207=0,0,IF($U207&lt;1,1/$U207,IF((HL$56-Voorblad!$F$41)/$U207-SUM($EE207:HK207)=1,1,0))))</f>
        <v>0</v>
      </c>
      <c r="HM207" s="8">
        <f>IF(HM$56-Voorblad!$F$41&gt;Voorblad!$K$41,0,IF($U207=0,0,IF($U207&lt;1,1/$U207,IF((HM$56-Voorblad!$F$41)/$U207-SUM($EE207:HL207)=1,1,0))))</f>
        <v>0</v>
      </c>
      <c r="HN207" s="8">
        <f>IF(HN$56-Voorblad!$F$41&gt;Voorblad!$K$41,0,IF($U207=0,0,IF($U207&lt;1,1/$U207,IF((HN$56-Voorblad!$F$41)/$U207-SUM($EE207:HM207)=1,1,0))))</f>
        <v>0</v>
      </c>
      <c r="HO207" s="8">
        <f>IF(HO$56-Voorblad!$F$41&gt;Voorblad!$K$41,0,IF($U207=0,0,IF($U207&lt;1,1/$U207,IF((HO$56-Voorblad!$F$41)/$U207-SUM($EE207:HN207)=1,1,0))))</f>
        <v>0</v>
      </c>
      <c r="HP207" s="8">
        <f>IF(HP$56-Voorblad!$F$41&gt;Voorblad!$K$41,0,IF($U207=0,0,IF($U207&lt;1,1/$U207,IF((HP$56-Voorblad!$F$41)/$U207-SUM($EE207:HO207)=1,1,0))))</f>
        <v>0</v>
      </c>
      <c r="HQ207" s="8">
        <f>IF(HQ$56-Voorblad!$F$41&gt;Voorblad!$K$41,0,IF($U207=0,0,IF($U207&lt;1,1/$U207,IF((HQ$56-Voorblad!$F$41)/$U207-SUM($EE207:HP207)=1,1,0))))</f>
        <v>0</v>
      </c>
      <c r="HR207" s="8">
        <f>IF(HR$56-Voorblad!$F$41&gt;Voorblad!$K$41,0,IF($U207=0,0,IF($U207&lt;1,1/$U207,IF((HR$56-Voorblad!$F$41)/$U207-SUM($EE207:HQ207)=1,1,0))))</f>
        <v>0</v>
      </c>
      <c r="HS207" s="8">
        <f>IF(HS$56-Voorblad!$F$41&gt;Voorblad!$K$41,0,IF($U207=0,0,IF($U207&lt;1,1/$U207,IF((HS$56-Voorblad!$F$41)/$U207-SUM($EE207:HR207)=1,1,0))))</f>
        <v>0</v>
      </c>
      <c r="HT207" s="8">
        <f>IF(HT$56-Voorblad!$F$41&gt;Voorblad!$K$41,0,IF($U207=0,0,IF($U207&lt;1,1/$U207,IF((HT$56-Voorblad!$F$41)/$U207-SUM($EE207:HS207)=1,1,0))))</f>
        <v>0</v>
      </c>
      <c r="HU207" s="8">
        <f>IF(HU$56-Voorblad!$F$41&gt;Voorblad!$K$41,0,IF($U207=0,0,IF($U207&lt;1,1/$U207,IF((HU$56-Voorblad!$F$41)/$U207-SUM($EE207:HT207)=1,1,0))))</f>
        <v>0</v>
      </c>
      <c r="HV207" s="8">
        <f>IF(HV$56-Voorblad!$F$41&gt;Voorblad!$K$41,0,IF($U207=0,0,IF($U207&lt;1,1/$U207,IF((HV$56-Voorblad!$F$41)/$U207-SUM($EE207:HU207)=1,1,0))))</f>
        <v>0</v>
      </c>
      <c r="HW207" s="8">
        <f>IF(HW$56-Voorblad!$F$41&gt;Voorblad!$K$41,0,IF($U207=0,0,IF($U207&lt;1,1/$U207,IF((HW$56-Voorblad!$F$41)/$U207-SUM($EE207:HV207)=1,1,0))))</f>
        <v>0</v>
      </c>
      <c r="HX207" s="8">
        <f>IF(HX$56-Voorblad!$F$41&gt;Voorblad!$K$41,0,IF($U207=0,0,IF($U207&lt;1,1/$U207,IF((HX$56-Voorblad!$F$41)/$U207-SUM($EE207:HW207)=1,1,0))))</f>
        <v>0</v>
      </c>
      <c r="HY207" s="8">
        <f>IF(HY$56-Voorblad!$F$41&gt;Voorblad!$K$41,0,IF($U207=0,0,IF($U207&lt;1,1/$U207,IF((HY$56-Voorblad!$F$41)/$U207-SUM($EE207:HX207)=1,1,0))))</f>
        <v>0</v>
      </c>
      <c r="HZ207" s="8">
        <f>IF(HZ$56-Voorblad!$F$41&gt;Voorblad!$K$41,0,IF($U207=0,0,IF($U207&lt;1,1/$U207,IF((HZ$56-Voorblad!$F$41)/$U207-SUM($EE207:HY207)=1,1,0))))</f>
        <v>0</v>
      </c>
      <c r="IA207" s="8">
        <f>IF(IA$56-Voorblad!$F$41&gt;Voorblad!$K$41,0,IF($U207=0,0,IF($U207&lt;1,1/$U207,IF((IA$56-Voorblad!$F$41)/$U207-SUM($EE207:HZ207)=1,1,0))))</f>
        <v>0</v>
      </c>
      <c r="IB207" s="8">
        <f>IF(IB$56-Voorblad!$F$41&gt;Voorblad!$K$41,0,IF($U207=0,0,IF($U207&lt;1,1/$U207,IF((IB$56-Voorblad!$F$41)/$U207-SUM($EE207:IA207)=1,1,0))))</f>
        <v>0</v>
      </c>
    </row>
    <row r="208" spans="2:236" hidden="1" outlineLevel="1" x14ac:dyDescent="0.25">
      <c r="B208" s="2" t="s">
        <v>271</v>
      </c>
      <c r="C208" s="2"/>
      <c r="D208" s="15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14"/>
      <c r="R208" s="14"/>
      <c r="S208" s="14"/>
      <c r="T208" s="26">
        <f>SUM(T204:T207)</f>
        <v>0</v>
      </c>
      <c r="U208" s="14"/>
      <c r="V208" s="14"/>
      <c r="W208" s="14"/>
      <c r="X208" s="6"/>
      <c r="Y208" s="23">
        <f>SUM(Y204:Y207)</f>
        <v>0</v>
      </c>
      <c r="Z208" s="24"/>
      <c r="AA208" s="23">
        <f>SUM(AA204:AA207)</f>
        <v>0</v>
      </c>
      <c r="AC208" s="9">
        <f>$Y208*(Voorblad!$K$44*(1+Voorblad!$K$44)^Voorblad!$K$41)/((1+Voorblad!$K$44)^Voorblad!$K$41-1)</f>
        <v>0</v>
      </c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E208" s="8"/>
      <c r="EF208" s="8"/>
      <c r="EG208" s="8"/>
      <c r="EH208" s="8"/>
      <c r="EI208" s="8"/>
      <c r="EJ208" s="8"/>
      <c r="EK208" s="8"/>
      <c r="EL208" s="8"/>
      <c r="EM208" s="8"/>
      <c r="EN208" s="8"/>
      <c r="EO208" s="8"/>
      <c r="EP208" s="8"/>
      <c r="EQ208" s="8"/>
      <c r="ER208" s="8"/>
      <c r="ES208" s="8"/>
      <c r="ET208" s="8"/>
      <c r="EU208" s="8"/>
      <c r="EV208" s="8"/>
      <c r="EW208" s="8"/>
      <c r="EX208" s="8"/>
      <c r="EY208" s="8"/>
      <c r="EZ208" s="8"/>
      <c r="FA208" s="8"/>
      <c r="FB208" s="8"/>
      <c r="FC208" s="8"/>
      <c r="FD208" s="8"/>
      <c r="FE208" s="8"/>
      <c r="FF208" s="8"/>
      <c r="FG208" s="8"/>
      <c r="FH208" s="8"/>
      <c r="FI208" s="8"/>
      <c r="FJ208" s="8"/>
      <c r="FK208" s="8"/>
      <c r="FL208" s="8"/>
      <c r="FM208" s="8"/>
      <c r="FN208" s="8"/>
      <c r="FO208" s="8"/>
      <c r="FP208" s="8"/>
      <c r="FQ208" s="8"/>
      <c r="FR208" s="8"/>
      <c r="FS208" s="8"/>
      <c r="FT208" s="8"/>
      <c r="FU208" s="8"/>
      <c r="FV208" s="8"/>
      <c r="FW208" s="8"/>
      <c r="FX208" s="8"/>
      <c r="FY208" s="8"/>
      <c r="FZ208" s="8"/>
      <c r="GA208" s="8"/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</row>
    <row r="209" spans="2:236" ht="12" customHeight="1" collapsed="1" x14ac:dyDescent="0.25">
      <c r="S209" s="14"/>
      <c r="U209" s="14"/>
      <c r="V209" s="14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E209" s="8"/>
      <c r="EF209" s="8"/>
      <c r="EG209" s="8"/>
      <c r="EH209" s="8"/>
      <c r="EI209" s="8"/>
      <c r="EJ209" s="8"/>
      <c r="EK209" s="8"/>
      <c r="EL209" s="8"/>
      <c r="EM209" s="8"/>
      <c r="EN209" s="8"/>
      <c r="EO209" s="8"/>
      <c r="EP209" s="8"/>
      <c r="EQ209" s="8"/>
      <c r="ER209" s="8"/>
      <c r="ES209" s="8"/>
      <c r="ET209" s="8"/>
      <c r="EU209" s="8"/>
      <c r="EV209" s="8"/>
      <c r="EW209" s="8"/>
      <c r="EX209" s="8"/>
      <c r="EY209" s="8"/>
      <c r="EZ209" s="8"/>
      <c r="FA209" s="8"/>
      <c r="FB209" s="8"/>
      <c r="FC209" s="8"/>
      <c r="FD209" s="8"/>
      <c r="FE209" s="8"/>
      <c r="FF209" s="8"/>
      <c r="FG209" s="8"/>
      <c r="FH209" s="8"/>
      <c r="FI209" s="8"/>
      <c r="FJ209" s="8"/>
      <c r="FK209" s="8"/>
      <c r="FL209" s="8"/>
      <c r="FM209" s="8"/>
      <c r="FN209" s="8"/>
      <c r="FO209" s="8"/>
      <c r="FP209" s="8"/>
      <c r="FQ209" s="8"/>
      <c r="FR209" s="8"/>
      <c r="FS209" s="8"/>
      <c r="FT209" s="8"/>
      <c r="FU209" s="8"/>
      <c r="FV209" s="8"/>
      <c r="FW209" s="8"/>
      <c r="FX209" s="8"/>
      <c r="FY209" s="8"/>
      <c r="FZ209" s="8"/>
      <c r="GA209" s="8"/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</row>
    <row r="211" spans="2:236" ht="12" customHeight="1" x14ac:dyDescent="0.3">
      <c r="B211" s="19" t="s">
        <v>45</v>
      </c>
      <c r="C211" s="19"/>
    </row>
    <row r="212" spans="2:236" ht="12" customHeight="1" outlineLevel="1" x14ac:dyDescent="0.25">
      <c r="B212" s="1">
        <v>3</v>
      </c>
      <c r="F212" s="1" t="s">
        <v>23</v>
      </c>
      <c r="I212" s="1" t="s">
        <v>276</v>
      </c>
      <c r="K212" s="1" t="s">
        <v>86</v>
      </c>
      <c r="Q212" s="81">
        <v>1</v>
      </c>
      <c r="R212" s="1" t="s">
        <v>33</v>
      </c>
      <c r="S212" s="14">
        <f>$H$20*500</f>
        <v>885</v>
      </c>
      <c r="T212" s="9">
        <f>Q212*S212</f>
        <v>885</v>
      </c>
      <c r="U212" s="14">
        <v>5</v>
      </c>
      <c r="V212" s="14"/>
      <c r="Y212" s="9">
        <f t="shared" ref="Y212:Y224" si="200">SUM(AE212:EB212)</f>
        <v>5538.9619080568518</v>
      </c>
      <c r="Z212" s="83"/>
      <c r="AA212" s="83"/>
      <c r="AC212" s="9">
        <f>$Y212*(Voorblad!$K$44*(1+Voorblad!$K$44)^Voorblad!$K$41)/((1+Voorblad!$K$44)^Voorblad!$K$41-1)</f>
        <v>165.81258814202764</v>
      </c>
      <c r="AE212" s="9">
        <f>EF212*($Q212*$S212)/(1+Voorblad!$K$44)^(AE$56-Voorblad!$F$41)</f>
        <v>0</v>
      </c>
      <c r="AF212" s="9">
        <f>EG212*($Q212*$S212)/(1+Voorblad!$K$44)^(AF$56-Voorblad!$F$41)</f>
        <v>0</v>
      </c>
      <c r="AG212" s="9">
        <f>EH212*($Q212*$S212)/(1+Voorblad!$K$44)^(AG$56-Voorblad!$F$41)</f>
        <v>0</v>
      </c>
      <c r="AH212" s="9">
        <f>EI212*($Q212*$S212)/(1+Voorblad!$K$44)^(AH$56-Voorblad!$F$41)</f>
        <v>0</v>
      </c>
      <c r="AI212" s="9">
        <f>EJ212*($Q212*$S212)/(1+Voorblad!$K$44)^(AI$56-Voorblad!$F$41)</f>
        <v>0</v>
      </c>
      <c r="AJ212" s="9">
        <f>EK212*($Q212*$S212)/(1+Voorblad!$K$44)^(AJ$56-Voorblad!$F$41)</f>
        <v>782.21104453442274</v>
      </c>
      <c r="AK212" s="9">
        <f>EL212*($Q212*$S212)/(1+Voorblad!$K$44)^(AK$56-Voorblad!$F$41)</f>
        <v>0</v>
      </c>
      <c r="AL212" s="9">
        <f>EM212*($Q212*$S212)/(1+Voorblad!$K$44)^(AL$56-Voorblad!$F$41)</f>
        <v>0</v>
      </c>
      <c r="AM212" s="9">
        <f>EN212*($Q212*$S212)/(1+Voorblad!$K$44)^(AM$56-Voorblad!$F$41)</f>
        <v>0</v>
      </c>
      <c r="AN212" s="9">
        <f>EO212*($Q212*$S212)/(1+Voorblad!$K$44)^(AN$56-Voorblad!$F$41)</f>
        <v>0</v>
      </c>
      <c r="AO212" s="9">
        <f>EP212*($Q212*$S212)/(1+Voorblad!$K$44)^(AO$56-Voorblad!$F$41)</f>
        <v>691.36058552726843</v>
      </c>
      <c r="AP212" s="9">
        <f>EQ212*($Q212*$S212)/(1+Voorblad!$K$44)^(AP$56-Voorblad!$F$41)</f>
        <v>0</v>
      </c>
      <c r="AQ212" s="9">
        <f>ER212*($Q212*$S212)/(1+Voorblad!$K$44)^(AQ$56-Voorblad!$F$41)</f>
        <v>0</v>
      </c>
      <c r="AR212" s="9">
        <f>ES212*($Q212*$S212)/(1+Voorblad!$K$44)^(AR$56-Voorblad!$F$41)</f>
        <v>0</v>
      </c>
      <c r="AS212" s="9">
        <f>ET212*($Q212*$S212)/(1+Voorblad!$K$44)^(AS$56-Voorblad!$F$41)</f>
        <v>0</v>
      </c>
      <c r="AT212" s="9">
        <f>EU212*($Q212*$S212)/(1+Voorblad!$K$44)^(AT$56-Voorblad!$F$41)</f>
        <v>611.0620178025024</v>
      </c>
      <c r="AU212" s="9">
        <f>EV212*($Q212*$S212)/(1+Voorblad!$K$44)^(AU$56-Voorblad!$F$41)</f>
        <v>0</v>
      </c>
      <c r="AV212" s="9">
        <f>EW212*($Q212*$S212)/(1+Voorblad!$K$44)^(AV$56-Voorblad!$F$41)</f>
        <v>0</v>
      </c>
      <c r="AW212" s="9">
        <f>EX212*($Q212*$S212)/(1+Voorblad!$K$44)^(AW$56-Voorblad!$F$41)</f>
        <v>0</v>
      </c>
      <c r="AX212" s="9">
        <f>EY212*($Q212*$S212)/(1+Voorblad!$K$44)^(AX$56-Voorblad!$F$41)</f>
        <v>0</v>
      </c>
      <c r="AY212" s="9">
        <f>EZ212*($Q212*$S212)/(1+Voorblad!$K$44)^(AY$56-Voorblad!$F$41)</f>
        <v>540.08978443006492</v>
      </c>
      <c r="AZ212" s="9">
        <f>FA212*($Q212*$S212)/(1+Voorblad!$K$44)^(AZ$56-Voorblad!$F$41)</f>
        <v>0</v>
      </c>
      <c r="BA212" s="9">
        <f>FB212*($Q212*$S212)/(1+Voorblad!$K$44)^(BA$56-Voorblad!$F$41)</f>
        <v>0</v>
      </c>
      <c r="BB212" s="9">
        <f>FC212*($Q212*$S212)/(1+Voorblad!$K$44)^(BB$56-Voorblad!$F$41)</f>
        <v>0</v>
      </c>
      <c r="BC212" s="9">
        <f>FD212*($Q212*$S212)/(1+Voorblad!$K$44)^(BC$56-Voorblad!$F$41)</f>
        <v>0</v>
      </c>
      <c r="BD212" s="9">
        <f>FE212*($Q212*$S212)/(1+Voorblad!$K$44)^(BD$56-Voorblad!$F$41)</f>
        <v>477.36067166261267</v>
      </c>
      <c r="BE212" s="9">
        <f>FF212*($Q212*$S212)/(1+Voorblad!$K$44)^(BE$56-Voorblad!$F$41)</f>
        <v>0</v>
      </c>
      <c r="BF212" s="9">
        <f>FG212*($Q212*$S212)/(1+Voorblad!$K$44)^(BF$56-Voorblad!$F$41)</f>
        <v>0</v>
      </c>
      <c r="BG212" s="9">
        <f>FH212*($Q212*$S212)/(1+Voorblad!$K$44)^(BG$56-Voorblad!$F$41)</f>
        <v>0</v>
      </c>
      <c r="BH212" s="9">
        <f>FI212*($Q212*$S212)/(1+Voorblad!$K$44)^(BH$56-Voorblad!$F$41)</f>
        <v>0</v>
      </c>
      <c r="BI212" s="9">
        <f>FJ212*($Q212*$S212)/(1+Voorblad!$K$44)^(BI$56-Voorblad!$F$41)</f>
        <v>421.9172763851592</v>
      </c>
      <c r="BJ212" s="9">
        <f>FK212*($Q212*$S212)/(1+Voorblad!$K$44)^(BJ$56-Voorblad!$F$41)</f>
        <v>0</v>
      </c>
      <c r="BK212" s="9">
        <f>FL212*($Q212*$S212)/(1+Voorblad!$K$44)^(BK$56-Voorblad!$F$41)</f>
        <v>0</v>
      </c>
      <c r="BL212" s="9">
        <f>FM212*($Q212*$S212)/(1+Voorblad!$K$44)^(BL$56-Voorblad!$F$41)</f>
        <v>0</v>
      </c>
      <c r="BM212" s="9">
        <f>FN212*($Q212*$S212)/(1+Voorblad!$K$44)^(BM$56-Voorblad!$F$41)</f>
        <v>0</v>
      </c>
      <c r="BN212" s="9">
        <f>FO212*($Q212*$S212)/(1+Voorblad!$K$44)^(BN$56-Voorblad!$F$41)</f>
        <v>372.9133937495526</v>
      </c>
      <c r="BO212" s="9">
        <f>FP212*($Q212*$S212)/(1+Voorblad!$K$44)^(BO$56-Voorblad!$F$41)</f>
        <v>0</v>
      </c>
      <c r="BP212" s="9">
        <f>FQ212*($Q212*$S212)/(1+Voorblad!$K$44)^(BP$56-Voorblad!$F$41)</f>
        <v>0</v>
      </c>
      <c r="BQ212" s="9">
        <f>FR212*($Q212*$S212)/(1+Voorblad!$K$44)^(BQ$56-Voorblad!$F$41)</f>
        <v>0</v>
      </c>
      <c r="BR212" s="9">
        <f>FS212*($Q212*$S212)/(1+Voorblad!$K$44)^(BR$56-Voorblad!$F$41)</f>
        <v>0</v>
      </c>
      <c r="BS212" s="9">
        <f>FT212*($Q212*$S212)/(1+Voorblad!$K$44)^(BS$56-Voorblad!$F$41)</f>
        <v>329.60110197255818</v>
      </c>
      <c r="BT212" s="9">
        <f>FU212*($Q212*$S212)/(1+Voorblad!$K$44)^(BT$56-Voorblad!$F$41)</f>
        <v>0</v>
      </c>
      <c r="BU212" s="9">
        <f>FV212*($Q212*$S212)/(1+Voorblad!$K$44)^(BU$56-Voorblad!$F$41)</f>
        <v>0</v>
      </c>
      <c r="BV212" s="9">
        <f>FW212*($Q212*$S212)/(1+Voorblad!$K$44)^(BV$56-Voorblad!$F$41)</f>
        <v>0</v>
      </c>
      <c r="BW212" s="9">
        <f>FX212*($Q212*$S212)/(1+Voorblad!$K$44)^(BW$56-Voorblad!$F$41)</f>
        <v>0</v>
      </c>
      <c r="BX212" s="9">
        <f>FY212*($Q212*$S212)/(1+Voorblad!$K$44)^(BX$56-Voorblad!$F$41)</f>
        <v>291.3193471792672</v>
      </c>
      <c r="BY212" s="9">
        <f>FZ212*($Q212*$S212)/(1+Voorblad!$K$44)^(BY$56-Voorblad!$F$41)</f>
        <v>0</v>
      </c>
      <c r="BZ212" s="9">
        <f>GA212*($Q212*$S212)/(1+Voorblad!$K$44)^(BZ$56-Voorblad!$F$41)</f>
        <v>0</v>
      </c>
      <c r="CA212" s="9">
        <f>GB212*($Q212*$S212)/(1+Voorblad!$K$44)^(CA$56-Voorblad!$F$41)</f>
        <v>0</v>
      </c>
      <c r="CB212" s="9">
        <f>GC212*($Q212*$S212)/(1+Voorblad!$K$44)^(CB$56-Voorblad!$F$41)</f>
        <v>0</v>
      </c>
      <c r="CC212" s="9">
        <f>GD212*($Q212*$S212)/(1+Voorblad!$K$44)^(CC$56-Voorblad!$F$41)</f>
        <v>257.48385406800077</v>
      </c>
      <c r="CD212" s="9">
        <f>GE212*($Q212*$S212)/(1+Voorblad!$K$44)^(CD$56-Voorblad!$F$41)</f>
        <v>0</v>
      </c>
      <c r="CE212" s="9">
        <f>GF212*($Q212*$S212)/(1+Voorblad!$K$44)^(CE$56-Voorblad!$F$41)</f>
        <v>0</v>
      </c>
      <c r="CF212" s="9">
        <f>GG212*($Q212*$S212)/(1+Voorblad!$K$44)^(CF$56-Voorblad!$F$41)</f>
        <v>0</v>
      </c>
      <c r="CG212" s="9">
        <f>GH212*($Q212*$S212)/(1+Voorblad!$K$44)^(CG$56-Voorblad!$F$41)</f>
        <v>0</v>
      </c>
      <c r="CH212" s="9">
        <f>GI212*($Q212*$S212)/(1+Voorblad!$K$44)^(CH$56-Voorblad!$F$41)</f>
        <v>227.57820840822569</v>
      </c>
      <c r="CI212" s="9">
        <f>GJ212*($Q212*$S212)/(1+Voorblad!$K$44)^(CI$56-Voorblad!$F$41)</f>
        <v>0</v>
      </c>
      <c r="CJ212" s="9">
        <f>GK212*($Q212*$S212)/(1+Voorblad!$K$44)^(CJ$56-Voorblad!$F$41)</f>
        <v>0</v>
      </c>
      <c r="CK212" s="9">
        <f>GL212*($Q212*$S212)/(1+Voorblad!$K$44)^(CK$56-Voorblad!$F$41)</f>
        <v>0</v>
      </c>
      <c r="CL212" s="9">
        <f>GM212*($Q212*$S212)/(1+Voorblad!$K$44)^(CL$56-Voorblad!$F$41)</f>
        <v>0</v>
      </c>
      <c r="CM212" s="9">
        <f>GN212*($Q212*$S212)/(1+Voorblad!$K$44)^(CM$56-Voorblad!$F$41)</f>
        <v>201.14597526810255</v>
      </c>
      <c r="CN212" s="9">
        <f>GO212*($Q212*$S212)/(1+Voorblad!$K$44)^(CN$56-Voorblad!$F$41)</f>
        <v>0</v>
      </c>
      <c r="CO212" s="9">
        <f>GP212*($Q212*$S212)/(1+Voorblad!$K$44)^(CO$56-Voorblad!$F$41)</f>
        <v>0</v>
      </c>
      <c r="CP212" s="9">
        <f>GQ212*($Q212*$S212)/(1+Voorblad!$K$44)^(CP$56-Voorblad!$F$41)</f>
        <v>0</v>
      </c>
      <c r="CQ212" s="9">
        <f>GR212*($Q212*$S212)/(1+Voorblad!$K$44)^(CQ$56-Voorblad!$F$41)</f>
        <v>0</v>
      </c>
      <c r="CR212" s="9">
        <f>GS212*($Q212*$S212)/(1+Voorblad!$K$44)^(CR$56-Voorblad!$F$41)</f>
        <v>177.78373267611033</v>
      </c>
      <c r="CS212" s="9">
        <f>GT212*($Q212*$S212)/(1+Voorblad!$K$44)^(CS$56-Voorblad!$F$41)</f>
        <v>0</v>
      </c>
      <c r="CT212" s="9">
        <f>GU212*($Q212*$S212)/(1+Voorblad!$K$44)^(CT$56-Voorblad!$F$41)</f>
        <v>0</v>
      </c>
      <c r="CU212" s="9">
        <f>GV212*($Q212*$S212)/(1+Voorblad!$K$44)^(CU$56-Voorblad!$F$41)</f>
        <v>0</v>
      </c>
      <c r="CV212" s="9">
        <f>GW212*($Q212*$S212)/(1+Voorblad!$K$44)^(CV$56-Voorblad!$F$41)</f>
        <v>0</v>
      </c>
      <c r="CW212" s="9">
        <f>GX212*($Q212*$S212)/(1+Voorblad!$K$44)^(CW$56-Voorblad!$F$41)</f>
        <v>157.13491439300432</v>
      </c>
      <c r="CX212" s="9">
        <f>GY212*($Q212*$S212)/(1+Voorblad!$K$44)^(CX$56-Voorblad!$F$41)</f>
        <v>0</v>
      </c>
      <c r="CY212" s="9">
        <f>GZ212*($Q212*$S212)/(1+Voorblad!$K$44)^(CY$56-Voorblad!$F$41)</f>
        <v>0</v>
      </c>
      <c r="CZ212" s="9">
        <f>HA212*($Q212*$S212)/(1+Voorblad!$K$44)^(CZ$56-Voorblad!$F$41)</f>
        <v>0</v>
      </c>
      <c r="DA212" s="9">
        <f>HB212*($Q212*$S212)/(1+Voorblad!$K$44)^(DA$56-Voorblad!$F$41)</f>
        <v>0</v>
      </c>
      <c r="DB212" s="9">
        <f>HC212*($Q212*$S212)/(1+Voorblad!$K$44)^(DB$56-Voorblad!$F$41)</f>
        <v>0</v>
      </c>
      <c r="DC212" s="9">
        <f>HD212*($Q212*$S212)/(1+Voorblad!$K$44)^(DC$56-Voorblad!$F$41)</f>
        <v>0</v>
      </c>
      <c r="DD212" s="9">
        <f>HE212*($Q212*$S212)/(1+Voorblad!$K$44)^(DD$56-Voorblad!$F$41)</f>
        <v>0</v>
      </c>
      <c r="DE212" s="9">
        <f>HF212*($Q212*$S212)/(1+Voorblad!$K$44)^(DE$56-Voorblad!$F$41)</f>
        <v>0</v>
      </c>
      <c r="DF212" s="9">
        <f>HG212*($Q212*$S212)/(1+Voorblad!$K$44)^(DF$56-Voorblad!$F$41)</f>
        <v>0</v>
      </c>
      <c r="DG212" s="9">
        <f>HH212*($Q212*$S212)/(1+Voorblad!$K$44)^(DG$56-Voorblad!$F$41)</f>
        <v>0</v>
      </c>
      <c r="DH212" s="9">
        <f>HI212*($Q212*$S212)/(1+Voorblad!$K$44)^(DH$56-Voorblad!$F$41)</f>
        <v>0</v>
      </c>
      <c r="DI212" s="9">
        <f>HJ212*($Q212*$S212)/(1+Voorblad!$K$44)^(DI$56-Voorblad!$F$41)</f>
        <v>0</v>
      </c>
      <c r="DJ212" s="9">
        <f>HK212*($Q212*$S212)/(1+Voorblad!$K$44)^(DJ$56-Voorblad!$F$41)</f>
        <v>0</v>
      </c>
      <c r="DK212" s="9">
        <f>HL212*($Q212*$S212)/(1+Voorblad!$K$44)^(DK$56-Voorblad!$F$41)</f>
        <v>0</v>
      </c>
      <c r="DL212" s="9">
        <f>HM212*($Q212*$S212)/(1+Voorblad!$K$44)^(DL$56-Voorblad!$F$41)</f>
        <v>0</v>
      </c>
      <c r="DM212" s="9">
        <f>HN212*($Q212*$S212)/(1+Voorblad!$K$44)^(DM$56-Voorblad!$F$41)</f>
        <v>0</v>
      </c>
      <c r="DN212" s="9">
        <f>HO212*($Q212*$S212)/(1+Voorblad!$K$44)^(DN$56-Voorblad!$F$41)</f>
        <v>0</v>
      </c>
      <c r="DO212" s="9">
        <f>HP212*($Q212*$S212)/(1+Voorblad!$K$44)^(DO$56-Voorblad!$F$41)</f>
        <v>0</v>
      </c>
      <c r="DP212" s="9">
        <f>HQ212*($Q212*$S212)/(1+Voorblad!$K$44)^(DP$56-Voorblad!$F$41)</f>
        <v>0</v>
      </c>
      <c r="DQ212" s="9">
        <f>HR212*($Q212*$S212)/(1+Voorblad!$K$44)^(DQ$56-Voorblad!$F$41)</f>
        <v>0</v>
      </c>
      <c r="DR212" s="9">
        <f>HS212*($Q212*$S212)/(1+Voorblad!$K$44)^(DR$56-Voorblad!$F$41)</f>
        <v>0</v>
      </c>
      <c r="DS212" s="9">
        <f>HT212*($Q212*$S212)/(1+Voorblad!$K$44)^(DS$56-Voorblad!$F$41)</f>
        <v>0</v>
      </c>
      <c r="DT212" s="9">
        <f>HU212*($Q212*$S212)/(1+Voorblad!$K$44)^(DT$56-Voorblad!$F$41)</f>
        <v>0</v>
      </c>
      <c r="DU212" s="9">
        <f>HV212*($Q212*$S212)/(1+Voorblad!$K$44)^(DU$56-Voorblad!$F$41)</f>
        <v>0</v>
      </c>
      <c r="DV212" s="9">
        <f>HW212*($Q212*$S212)/(1+Voorblad!$K$44)^(DV$56-Voorblad!$F$41)</f>
        <v>0</v>
      </c>
      <c r="DW212" s="9">
        <f>HX212*($Q212*$S212)/(1+Voorblad!$K$44)^(DW$56-Voorblad!$F$41)</f>
        <v>0</v>
      </c>
      <c r="DX212" s="9">
        <f>HY212*($Q212*$S212)/(1+Voorblad!$K$44)^(DX$56-Voorblad!$F$41)</f>
        <v>0</v>
      </c>
      <c r="DY212" s="9">
        <f>HZ212*($Q212*$S212)/(1+Voorblad!$K$44)^(DY$56-Voorblad!$F$41)</f>
        <v>0</v>
      </c>
      <c r="DZ212" s="9">
        <f>IA212*($Q212*$S212)/(1+Voorblad!$K$44)^(DZ$56-Voorblad!$F$41)</f>
        <v>0</v>
      </c>
      <c r="EA212" s="9">
        <f>IB212*($Q212*$S212)/(1+Voorblad!$K$44)^(EA$56-Voorblad!$F$41)</f>
        <v>0</v>
      </c>
      <c r="EB212" s="9">
        <f>IC212*($Q212*$S212)/(1+Voorblad!$K$44)^(EB$56-Voorblad!$F$41)</f>
        <v>0</v>
      </c>
      <c r="EE212" s="8">
        <v>0</v>
      </c>
      <c r="EF212" s="8">
        <f>IF(EF$56-Voorblad!$F$41&gt;Voorblad!$K$41,0,IF($U212=0,0,IF($U212&lt;1,1/$U212,IF((EF$56-Voorblad!$F$41)/$U212-SUM($EE212:EE212)=1,1,0))))</f>
        <v>0</v>
      </c>
      <c r="EG212" s="8">
        <f>IF(EG$56-Voorblad!$F$41&gt;Voorblad!$K$41,0,IF($U212=0,0,IF($U212&lt;1,1/$U212,IF((EG$56-Voorblad!$F$41)/$U212-SUM($EE212:EF212)=1,1,0))))</f>
        <v>0</v>
      </c>
      <c r="EH212" s="8">
        <f>IF(EH$56-Voorblad!$F$41&gt;Voorblad!$K$41,0,IF($U212=0,0,IF($U212&lt;1,1/$U212,IF((EH$56-Voorblad!$F$41)/$U212-SUM($EE212:EG212)=1,1,0))))</f>
        <v>0</v>
      </c>
      <c r="EI212" s="8">
        <f>IF(EI$56-Voorblad!$F$41&gt;Voorblad!$K$41,0,IF($U212=0,0,IF($U212&lt;1,1/$U212,IF((EI$56-Voorblad!$F$41)/$U212-SUM($EE212:EH212)=1,1,0))))</f>
        <v>0</v>
      </c>
      <c r="EJ212" s="8">
        <f>IF(EJ$56-Voorblad!$F$41&gt;Voorblad!$K$41,0,IF($U212=0,0,IF($U212&lt;1,1/$U212,IF((EJ$56-Voorblad!$F$41)/$U212-SUM($EE212:EI212)=1,1,0))))</f>
        <v>0</v>
      </c>
      <c r="EK212" s="8">
        <f>IF(EK$56-Voorblad!$F$41&gt;Voorblad!$K$41,0,IF($U212=0,0,IF($U212&lt;1,1/$U212,IF((EK$56-Voorblad!$F$41)/$U212-SUM($EE212:EJ212)=1,1,0))))</f>
        <v>1</v>
      </c>
      <c r="EL212" s="8">
        <f>IF(EL$56-Voorblad!$F$41&gt;Voorblad!$K$41,0,IF($U212=0,0,IF($U212&lt;1,1/$U212,IF((EL$56-Voorblad!$F$41)/$U212-SUM($EE212:EK212)=1,1,0))))</f>
        <v>0</v>
      </c>
      <c r="EM212" s="8">
        <f>IF(EM$56-Voorblad!$F$41&gt;Voorblad!$K$41,0,IF($U212=0,0,IF($U212&lt;1,1/$U212,IF((EM$56-Voorblad!$F$41)/$U212-SUM($EE212:EL212)=1,1,0))))</f>
        <v>0</v>
      </c>
      <c r="EN212" s="8">
        <f>IF(EN$56-Voorblad!$F$41&gt;Voorblad!$K$41,0,IF($U212=0,0,IF($U212&lt;1,1/$U212,IF((EN$56-Voorblad!$F$41)/$U212-SUM($EE212:EM212)=1,1,0))))</f>
        <v>0</v>
      </c>
      <c r="EO212" s="8">
        <f>IF(EO$56-Voorblad!$F$41&gt;Voorblad!$K$41,0,IF($U212=0,0,IF($U212&lt;1,1/$U212,IF((EO$56-Voorblad!$F$41)/$U212-SUM($EE212:EN212)=1,1,0))))</f>
        <v>0</v>
      </c>
      <c r="EP212" s="8">
        <f>IF(EP$56-Voorblad!$F$41&gt;Voorblad!$K$41,0,IF($U212=0,0,IF($U212&lt;1,1/$U212,IF((EP$56-Voorblad!$F$41)/$U212-SUM($EE212:EO212)=1,1,0))))</f>
        <v>1</v>
      </c>
      <c r="EQ212" s="8">
        <f>IF(EQ$56-Voorblad!$F$41&gt;Voorblad!$K$41,0,IF($U212=0,0,IF($U212&lt;1,1/$U212,IF((EQ$56-Voorblad!$F$41)/$U212-SUM($EE212:EP212)=1,1,0))))</f>
        <v>0</v>
      </c>
      <c r="ER212" s="8">
        <f>IF(ER$56-Voorblad!$F$41&gt;Voorblad!$K$41,0,IF($U212=0,0,IF($U212&lt;1,1/$U212,IF((ER$56-Voorblad!$F$41)/$U212-SUM($EE212:EQ212)=1,1,0))))</f>
        <v>0</v>
      </c>
      <c r="ES212" s="8">
        <f>IF(ES$56-Voorblad!$F$41&gt;Voorblad!$K$41,0,IF($U212=0,0,IF($U212&lt;1,1/$U212,IF((ES$56-Voorblad!$F$41)/$U212-SUM($EE212:ER212)=1,1,0))))</f>
        <v>0</v>
      </c>
      <c r="ET212" s="8">
        <f>IF(ET$56-Voorblad!$F$41&gt;Voorblad!$K$41,0,IF($U212=0,0,IF($U212&lt;1,1/$U212,IF((ET$56-Voorblad!$F$41)/$U212-SUM($EE212:ES212)=1,1,0))))</f>
        <v>0</v>
      </c>
      <c r="EU212" s="8">
        <f>IF(EU$56-Voorblad!$F$41&gt;Voorblad!$K$41,0,IF($U212=0,0,IF($U212&lt;1,1/$U212,IF((EU$56-Voorblad!$F$41)/$U212-SUM($EE212:ET212)=1,1,0))))</f>
        <v>1</v>
      </c>
      <c r="EV212" s="8">
        <f>IF(EV$56-Voorblad!$F$41&gt;Voorblad!$K$41,0,IF($U212=0,0,IF($U212&lt;1,1/$U212,IF((EV$56-Voorblad!$F$41)/$U212-SUM($EE212:EU212)=1,1,0))))</f>
        <v>0</v>
      </c>
      <c r="EW212" s="8">
        <f>IF(EW$56-Voorblad!$F$41&gt;Voorblad!$K$41,0,IF($U212=0,0,IF($U212&lt;1,1/$U212,IF((EW$56-Voorblad!$F$41)/$U212-SUM($EE212:EV212)=1,1,0))))</f>
        <v>0</v>
      </c>
      <c r="EX212" s="8">
        <f>IF(EX$56-Voorblad!$F$41&gt;Voorblad!$K$41,0,IF($U212=0,0,IF($U212&lt;1,1/$U212,IF((EX$56-Voorblad!$F$41)/$U212-SUM($EE212:EW212)=1,1,0))))</f>
        <v>0</v>
      </c>
      <c r="EY212" s="8">
        <f>IF(EY$56-Voorblad!$F$41&gt;Voorblad!$K$41,0,IF($U212=0,0,IF($U212&lt;1,1/$U212,IF((EY$56-Voorblad!$F$41)/$U212-SUM($EE212:EX212)=1,1,0))))</f>
        <v>0</v>
      </c>
      <c r="EZ212" s="8">
        <f>IF(EZ$56-Voorblad!$F$41&gt;Voorblad!$K$41,0,IF($U212=0,0,IF($U212&lt;1,1/$U212,IF((EZ$56-Voorblad!$F$41)/$U212-SUM($EE212:EY212)=1,1,0))))</f>
        <v>1</v>
      </c>
      <c r="FA212" s="8">
        <f>IF(FA$56-Voorblad!$F$41&gt;Voorblad!$K$41,0,IF($U212=0,0,IF($U212&lt;1,1/$U212,IF((FA$56-Voorblad!$F$41)/$U212-SUM($EE212:EZ212)=1,1,0))))</f>
        <v>0</v>
      </c>
      <c r="FB212" s="8">
        <f>IF(FB$56-Voorblad!$F$41&gt;Voorblad!$K$41,0,IF($U212=0,0,IF($U212&lt;1,1/$U212,IF((FB$56-Voorblad!$F$41)/$U212-SUM($EE212:FA212)=1,1,0))))</f>
        <v>0</v>
      </c>
      <c r="FC212" s="8">
        <f>IF(FC$56-Voorblad!$F$41&gt;Voorblad!$K$41,0,IF($U212=0,0,IF($U212&lt;1,1/$U212,IF((FC$56-Voorblad!$F$41)/$U212-SUM($EE212:FB212)=1,1,0))))</f>
        <v>0</v>
      </c>
      <c r="FD212" s="8">
        <f>IF(FD$56-Voorblad!$F$41&gt;Voorblad!$K$41,0,IF($U212=0,0,IF($U212&lt;1,1/$U212,IF((FD$56-Voorblad!$F$41)/$U212-SUM($EE212:FC212)=1,1,0))))</f>
        <v>0</v>
      </c>
      <c r="FE212" s="8">
        <f>IF(FE$56-Voorblad!$F$41&gt;Voorblad!$K$41,0,IF($U212=0,0,IF($U212&lt;1,1/$U212,IF((FE$56-Voorblad!$F$41)/$U212-SUM($EE212:FD212)=1,1,0))))</f>
        <v>1</v>
      </c>
      <c r="FF212" s="8">
        <f>IF(FF$56-Voorblad!$F$41&gt;Voorblad!$K$41,0,IF($U212=0,0,IF($U212&lt;1,1/$U212,IF((FF$56-Voorblad!$F$41)/$U212-SUM($EE212:FE212)=1,1,0))))</f>
        <v>0</v>
      </c>
      <c r="FG212" s="8">
        <f>IF(FG$56-Voorblad!$F$41&gt;Voorblad!$K$41,0,IF($U212=0,0,IF($U212&lt;1,1/$U212,IF((FG$56-Voorblad!$F$41)/$U212-SUM($EE212:FF212)=1,1,0))))</f>
        <v>0</v>
      </c>
      <c r="FH212" s="8">
        <f>IF(FH$56-Voorblad!$F$41&gt;Voorblad!$K$41,0,IF($U212=0,0,IF($U212&lt;1,1/$U212,IF((FH$56-Voorblad!$F$41)/$U212-SUM($EE212:FG212)=1,1,0))))</f>
        <v>0</v>
      </c>
      <c r="FI212" s="8">
        <f>IF(FI$56-Voorblad!$F$41&gt;Voorblad!$K$41,0,IF($U212=0,0,IF($U212&lt;1,1/$U212,IF((FI$56-Voorblad!$F$41)/$U212-SUM($EE212:FH212)=1,1,0))))</f>
        <v>0</v>
      </c>
      <c r="FJ212" s="8">
        <f>IF(FJ$56-Voorblad!$F$41&gt;Voorblad!$K$41,0,IF($U212=0,0,IF($U212&lt;1,1/$U212,IF((FJ$56-Voorblad!$F$41)/$U212-SUM($EE212:FI212)=1,1,0))))</f>
        <v>1</v>
      </c>
      <c r="FK212" s="8">
        <f>IF(FK$56-Voorblad!$F$41&gt;Voorblad!$K$41,0,IF($U212=0,0,IF($U212&lt;1,1/$U212,IF((FK$56-Voorblad!$F$41)/$U212-SUM($EE212:FJ212)=1,1,0))))</f>
        <v>0</v>
      </c>
      <c r="FL212" s="8">
        <f>IF(FL$56-Voorblad!$F$41&gt;Voorblad!$K$41,0,IF($U212=0,0,IF($U212&lt;1,1/$U212,IF((FL$56-Voorblad!$F$41)/$U212-SUM($EE212:FK212)=1,1,0))))</f>
        <v>0</v>
      </c>
      <c r="FM212" s="8">
        <f>IF(FM$56-Voorblad!$F$41&gt;Voorblad!$K$41,0,IF($U212=0,0,IF($U212&lt;1,1/$U212,IF((FM$56-Voorblad!$F$41)/$U212-SUM($EE212:FL212)=1,1,0))))</f>
        <v>0</v>
      </c>
      <c r="FN212" s="8">
        <f>IF(FN$56-Voorblad!$F$41&gt;Voorblad!$K$41,0,IF($U212=0,0,IF($U212&lt;1,1/$U212,IF((FN$56-Voorblad!$F$41)/$U212-SUM($EE212:FM212)=1,1,0))))</f>
        <v>0</v>
      </c>
      <c r="FO212" s="8">
        <f>IF(FO$56-Voorblad!$F$41&gt;Voorblad!$K$41,0,IF($U212=0,0,IF($U212&lt;1,1/$U212,IF((FO$56-Voorblad!$F$41)/$U212-SUM($EE212:FN212)=1,1,0))))</f>
        <v>1</v>
      </c>
      <c r="FP212" s="8">
        <f>IF(FP$56-Voorblad!$F$41&gt;Voorblad!$K$41,0,IF($U212=0,0,IF($U212&lt;1,1/$U212,IF((FP$56-Voorblad!$F$41)/$U212-SUM($EE212:FO212)=1,1,0))))</f>
        <v>0</v>
      </c>
      <c r="FQ212" s="8">
        <f>IF(FQ$56-Voorblad!$F$41&gt;Voorblad!$K$41,0,IF($U212=0,0,IF($U212&lt;1,1/$U212,IF((FQ$56-Voorblad!$F$41)/$U212-SUM($EE212:FP212)=1,1,0))))</f>
        <v>0</v>
      </c>
      <c r="FR212" s="8">
        <f>IF(FR$56-Voorblad!$F$41&gt;Voorblad!$K$41,0,IF($U212=0,0,IF($U212&lt;1,1/$U212,IF((FR$56-Voorblad!$F$41)/$U212-SUM($EE212:FQ212)=1,1,0))))</f>
        <v>0</v>
      </c>
      <c r="FS212" s="8">
        <f>IF(FS$56-Voorblad!$F$41&gt;Voorblad!$K$41,0,IF($U212=0,0,IF($U212&lt;1,1/$U212,IF((FS$56-Voorblad!$F$41)/$U212-SUM($EE212:FR212)=1,1,0))))</f>
        <v>0</v>
      </c>
      <c r="FT212" s="8">
        <f>IF(FT$56-Voorblad!$F$41&gt;Voorblad!$K$41,0,IF($U212=0,0,IF($U212&lt;1,1/$U212,IF((FT$56-Voorblad!$F$41)/$U212-SUM($EE212:FS212)=1,1,0))))</f>
        <v>1</v>
      </c>
      <c r="FU212" s="8">
        <f>IF(FU$56-Voorblad!$F$41&gt;Voorblad!$K$41,0,IF($U212=0,0,IF($U212&lt;1,1/$U212,IF((FU$56-Voorblad!$F$41)/$U212-SUM($EE212:FT212)=1,1,0))))</f>
        <v>0</v>
      </c>
      <c r="FV212" s="8">
        <f>IF(FV$56-Voorblad!$F$41&gt;Voorblad!$K$41,0,IF($U212=0,0,IF($U212&lt;1,1/$U212,IF((FV$56-Voorblad!$F$41)/$U212-SUM($EE212:FU212)=1,1,0))))</f>
        <v>0</v>
      </c>
      <c r="FW212" s="8">
        <f>IF(FW$56-Voorblad!$F$41&gt;Voorblad!$K$41,0,IF($U212=0,0,IF($U212&lt;1,1/$U212,IF((FW$56-Voorblad!$F$41)/$U212-SUM($EE212:FV212)=1,1,0))))</f>
        <v>0</v>
      </c>
      <c r="FX212" s="8">
        <f>IF(FX$56-Voorblad!$F$41&gt;Voorblad!$K$41,0,IF($U212=0,0,IF($U212&lt;1,1/$U212,IF((FX$56-Voorblad!$F$41)/$U212-SUM($EE212:FW212)=1,1,0))))</f>
        <v>0</v>
      </c>
      <c r="FY212" s="8">
        <f>IF(FY$56-Voorblad!$F$41&gt;Voorblad!$K$41,0,IF($U212=0,0,IF($U212&lt;1,1/$U212,IF((FY$56-Voorblad!$F$41)/$U212-SUM($EE212:FX212)=1,1,0))))</f>
        <v>1</v>
      </c>
      <c r="FZ212" s="8">
        <f>IF(FZ$56-Voorblad!$F$41&gt;Voorblad!$K$41,0,IF($U212=0,0,IF($U212&lt;1,1/$U212,IF((FZ$56-Voorblad!$F$41)/$U212-SUM($EE212:FY212)=1,1,0))))</f>
        <v>0</v>
      </c>
      <c r="GA212" s="8">
        <f>IF(GA$56-Voorblad!$F$41&gt;Voorblad!$K$41,0,IF($U212=0,0,IF($U212&lt;1,1/$U212,IF((GA$56-Voorblad!$F$41)/$U212-SUM($EE212:FZ212)=1,1,0))))</f>
        <v>0</v>
      </c>
      <c r="GB212" s="8">
        <f>IF(GB$56-Voorblad!$F$41&gt;Voorblad!$K$41,0,IF($U212=0,0,IF($U212&lt;1,1/$U212,IF((GB$56-Voorblad!$F$41)/$U212-SUM($EE212:GA212)=1,1,0))))</f>
        <v>0</v>
      </c>
      <c r="GC212" s="8">
        <f>IF(GC$56-Voorblad!$F$41&gt;Voorblad!$K$41,0,IF($U212=0,0,IF($U212&lt;1,1/$U212,IF((GC$56-Voorblad!$F$41)/$U212-SUM($EE212:GB212)=1,1,0))))</f>
        <v>0</v>
      </c>
      <c r="GD212" s="8">
        <f>IF(GD$56-Voorblad!$F$41&gt;Voorblad!$K$41,0,IF($U212=0,0,IF($U212&lt;1,1/$U212,IF((GD$56-Voorblad!$F$41)/$U212-SUM($EE212:GC212)=1,1,0))))</f>
        <v>1</v>
      </c>
      <c r="GE212" s="8">
        <f>IF(GE$56-Voorblad!$F$41&gt;Voorblad!$K$41,0,IF($U212=0,0,IF($U212&lt;1,1/$U212,IF((GE$56-Voorblad!$F$41)/$U212-SUM($EE212:GD212)=1,1,0))))</f>
        <v>0</v>
      </c>
      <c r="GF212" s="8">
        <f>IF(GF$56-Voorblad!$F$41&gt;Voorblad!$K$41,0,IF($U212=0,0,IF($U212&lt;1,1/$U212,IF((GF$56-Voorblad!$F$41)/$U212-SUM($EE212:GE212)=1,1,0))))</f>
        <v>0</v>
      </c>
      <c r="GG212" s="8">
        <f>IF(GG$56-Voorblad!$F$41&gt;Voorblad!$K$41,0,IF($U212=0,0,IF($U212&lt;1,1/$U212,IF((GG$56-Voorblad!$F$41)/$U212-SUM($EE212:GF212)=1,1,0))))</f>
        <v>0</v>
      </c>
      <c r="GH212" s="8">
        <f>IF(GH$56-Voorblad!$F$41&gt;Voorblad!$K$41,0,IF($U212=0,0,IF($U212&lt;1,1/$U212,IF((GH$56-Voorblad!$F$41)/$U212-SUM($EE212:GG212)=1,1,0))))</f>
        <v>0</v>
      </c>
      <c r="GI212" s="8">
        <f>IF(GI$56-Voorblad!$F$41&gt;Voorblad!$K$41,0,IF($U212=0,0,IF($U212&lt;1,1/$U212,IF((GI$56-Voorblad!$F$41)/$U212-SUM($EE212:GH212)=1,1,0))))</f>
        <v>1</v>
      </c>
      <c r="GJ212" s="8">
        <f>IF(GJ$56-Voorblad!$F$41&gt;Voorblad!$K$41,0,IF($U212=0,0,IF($U212&lt;1,1/$U212,IF((GJ$56-Voorblad!$F$41)/$U212-SUM($EE212:GI212)=1,1,0))))</f>
        <v>0</v>
      </c>
      <c r="GK212" s="8">
        <f>IF(GK$56-Voorblad!$F$41&gt;Voorblad!$K$41,0,IF($U212=0,0,IF($U212&lt;1,1/$U212,IF((GK$56-Voorblad!$F$41)/$U212-SUM($EE212:GJ212)=1,1,0))))</f>
        <v>0</v>
      </c>
      <c r="GL212" s="8">
        <f>IF(GL$56-Voorblad!$F$41&gt;Voorblad!$K$41,0,IF($U212=0,0,IF($U212&lt;1,1/$U212,IF((GL$56-Voorblad!$F$41)/$U212-SUM($EE212:GK212)=1,1,0))))</f>
        <v>0</v>
      </c>
      <c r="GM212" s="8">
        <f>IF(GM$56-Voorblad!$F$41&gt;Voorblad!$K$41,0,IF($U212=0,0,IF($U212&lt;1,1/$U212,IF((GM$56-Voorblad!$F$41)/$U212-SUM($EE212:GL212)=1,1,0))))</f>
        <v>0</v>
      </c>
      <c r="GN212" s="8">
        <f>IF(GN$56-Voorblad!$F$41&gt;Voorblad!$K$41,0,IF($U212=0,0,IF($U212&lt;1,1/$U212,IF((GN$56-Voorblad!$F$41)/$U212-SUM($EE212:GM212)=1,1,0))))</f>
        <v>1</v>
      </c>
      <c r="GO212" s="8">
        <f>IF(GO$56-Voorblad!$F$41&gt;Voorblad!$K$41,0,IF($U212=0,0,IF($U212&lt;1,1/$U212,IF((GO$56-Voorblad!$F$41)/$U212-SUM($EE212:GN212)=1,1,0))))</f>
        <v>0</v>
      </c>
      <c r="GP212" s="8">
        <f>IF(GP$56-Voorblad!$F$41&gt;Voorblad!$K$41,0,IF($U212=0,0,IF($U212&lt;1,1/$U212,IF((GP$56-Voorblad!$F$41)/$U212-SUM($EE212:GO212)=1,1,0))))</f>
        <v>0</v>
      </c>
      <c r="GQ212" s="8">
        <f>IF(GQ$56-Voorblad!$F$41&gt;Voorblad!$K$41,0,IF($U212=0,0,IF($U212&lt;1,1/$U212,IF((GQ$56-Voorblad!$F$41)/$U212-SUM($EE212:GP212)=1,1,0))))</f>
        <v>0</v>
      </c>
      <c r="GR212" s="8">
        <f>IF(GR$56-Voorblad!$F$41&gt;Voorblad!$K$41,0,IF($U212=0,0,IF($U212&lt;1,1/$U212,IF((GR$56-Voorblad!$F$41)/$U212-SUM($EE212:GQ212)=1,1,0))))</f>
        <v>0</v>
      </c>
      <c r="GS212" s="8">
        <f>IF(GS$56-Voorblad!$F$41&gt;Voorblad!$K$41,0,IF($U212=0,0,IF($U212&lt;1,1/$U212,IF((GS$56-Voorblad!$F$41)/$U212-SUM($EE212:GR212)=1,1,0))))</f>
        <v>1</v>
      </c>
      <c r="GT212" s="8">
        <f>IF(GT$56-Voorblad!$F$41&gt;Voorblad!$K$41,0,IF($U212=0,0,IF($U212&lt;1,1/$U212,IF((GT$56-Voorblad!$F$41)/$U212-SUM($EE212:GS212)=1,1,0))))</f>
        <v>0</v>
      </c>
      <c r="GU212" s="8">
        <f>IF(GU$56-Voorblad!$F$41&gt;Voorblad!$K$41,0,IF($U212=0,0,IF($U212&lt;1,1/$U212,IF((GU$56-Voorblad!$F$41)/$U212-SUM($EE212:GT212)=1,1,0))))</f>
        <v>0</v>
      </c>
      <c r="GV212" s="8">
        <f>IF(GV$56-Voorblad!$F$41&gt;Voorblad!$K$41,0,IF($U212=0,0,IF($U212&lt;1,1/$U212,IF((GV$56-Voorblad!$F$41)/$U212-SUM($EE212:GU212)=1,1,0))))</f>
        <v>0</v>
      </c>
      <c r="GW212" s="8">
        <f>IF(GW$56-Voorblad!$F$41&gt;Voorblad!$K$41,0,IF($U212=0,0,IF($U212&lt;1,1/$U212,IF((GW$56-Voorblad!$F$41)/$U212-SUM($EE212:GV212)=1,1,0))))</f>
        <v>0</v>
      </c>
      <c r="GX212" s="8">
        <f>IF(GX$56-Voorblad!$F$41&gt;Voorblad!$K$41,0,IF($U212=0,0,IF($U212&lt;1,1/$U212,IF((GX$56-Voorblad!$F$41)/$U212-SUM($EE212:GW212)=1,1,0))))</f>
        <v>1</v>
      </c>
      <c r="GY212" s="8">
        <f>IF(GY$56-Voorblad!$F$41&gt;Voorblad!$K$41,0,IF($U212=0,0,IF($U212&lt;1,1/$U212,IF((GY$56-Voorblad!$F$41)/$U212-SUM($EE212:GX212)=1,1,0))))</f>
        <v>0</v>
      </c>
      <c r="GZ212" s="8">
        <f>IF(GZ$56-Voorblad!$F$41&gt;Voorblad!$K$41,0,IF($U212=0,0,IF($U212&lt;1,1/$U212,IF((GZ$56-Voorblad!$F$41)/$U212-SUM($EE212:GY212)=1,1,0))))</f>
        <v>0</v>
      </c>
      <c r="HA212" s="8">
        <f>IF(HA$56-Voorblad!$F$41&gt;Voorblad!$K$41,0,IF($U212=0,0,IF($U212&lt;1,1/$U212,IF((HA$56-Voorblad!$F$41)/$U212-SUM($EE212:GZ212)=1,1,0))))</f>
        <v>0</v>
      </c>
      <c r="HB212" s="8">
        <f>IF(HB$56-Voorblad!$F$41&gt;Voorblad!$K$41,0,IF($U212=0,0,IF($U212&lt;1,1/$U212,IF((HB$56-Voorblad!$F$41)/$U212-SUM($EE212:HA212)=1,1,0))))</f>
        <v>0</v>
      </c>
      <c r="HC212" s="8">
        <f>IF(HC$56-Voorblad!$F$41&gt;Voorblad!$K$41,0,IF($U212=0,0,IF($U212&lt;1,1/$U212,IF((HC$56-Voorblad!$F$41)/$U212-SUM($EE212:HB212)=1,1,0))))</f>
        <v>0</v>
      </c>
      <c r="HD212" s="8">
        <f>IF(HD$56-Voorblad!$F$41&gt;Voorblad!$K$41,0,IF($U212=0,0,IF($U212&lt;1,1/$U212,IF((HD$56-Voorblad!$F$41)/$U212-SUM($EE212:HC212)=1,1,0))))</f>
        <v>0</v>
      </c>
      <c r="HE212" s="8">
        <f>IF(HE$56-Voorblad!$F$41&gt;Voorblad!$K$41,0,IF($U212=0,0,IF($U212&lt;1,1/$U212,IF((HE$56-Voorblad!$F$41)/$U212-SUM($EE212:HD212)=1,1,0))))</f>
        <v>0</v>
      </c>
      <c r="HF212" s="8">
        <f>IF(HF$56-Voorblad!$F$41&gt;Voorblad!$K$41,0,IF($U212=0,0,IF($U212&lt;1,1/$U212,IF((HF$56-Voorblad!$F$41)/$U212-SUM($EE212:HE212)=1,1,0))))</f>
        <v>0</v>
      </c>
      <c r="HG212" s="8">
        <f>IF(HG$56-Voorblad!$F$41&gt;Voorblad!$K$41,0,IF($U212=0,0,IF($U212&lt;1,1/$U212,IF((HG$56-Voorblad!$F$41)/$U212-SUM($EE212:HF212)=1,1,0))))</f>
        <v>0</v>
      </c>
      <c r="HH212" s="8">
        <f>IF(HH$56-Voorblad!$F$41&gt;Voorblad!$K$41,0,IF($U212=0,0,IF($U212&lt;1,1/$U212,IF((HH$56-Voorblad!$F$41)/$U212-SUM($EE212:HG212)=1,1,0))))</f>
        <v>0</v>
      </c>
      <c r="HI212" s="8">
        <f>IF(HI$56-Voorblad!$F$41&gt;Voorblad!$K$41,0,IF($U212=0,0,IF($U212&lt;1,1/$U212,IF((HI$56-Voorblad!$F$41)/$U212-SUM($EE212:HH212)=1,1,0))))</f>
        <v>0</v>
      </c>
      <c r="HJ212" s="8">
        <f>IF(HJ$56-Voorblad!$F$41&gt;Voorblad!$K$41,0,IF($U212=0,0,IF($U212&lt;1,1/$U212,IF((HJ$56-Voorblad!$F$41)/$U212-SUM($EE212:HI212)=1,1,0))))</f>
        <v>0</v>
      </c>
      <c r="HK212" s="8">
        <f>IF(HK$56-Voorblad!$F$41&gt;Voorblad!$K$41,0,IF($U212=0,0,IF($U212&lt;1,1/$U212,IF((HK$56-Voorblad!$F$41)/$U212-SUM($EE212:HJ212)=1,1,0))))</f>
        <v>0</v>
      </c>
      <c r="HL212" s="8">
        <f>IF(HL$56-Voorblad!$F$41&gt;Voorblad!$K$41,0,IF($U212=0,0,IF($U212&lt;1,1/$U212,IF((HL$56-Voorblad!$F$41)/$U212-SUM($EE212:HK212)=1,1,0))))</f>
        <v>0</v>
      </c>
      <c r="HM212" s="8">
        <f>IF(HM$56-Voorblad!$F$41&gt;Voorblad!$K$41,0,IF($U212=0,0,IF($U212&lt;1,1/$U212,IF((HM$56-Voorblad!$F$41)/$U212-SUM($EE212:HL212)=1,1,0))))</f>
        <v>0</v>
      </c>
      <c r="HN212" s="8">
        <f>IF(HN$56-Voorblad!$F$41&gt;Voorblad!$K$41,0,IF($U212=0,0,IF($U212&lt;1,1/$U212,IF((HN$56-Voorblad!$F$41)/$U212-SUM($EE212:HM212)=1,1,0))))</f>
        <v>0</v>
      </c>
      <c r="HO212" s="8">
        <f>IF(HO$56-Voorblad!$F$41&gt;Voorblad!$K$41,0,IF($U212=0,0,IF($U212&lt;1,1/$U212,IF((HO$56-Voorblad!$F$41)/$U212-SUM($EE212:HN212)=1,1,0))))</f>
        <v>0</v>
      </c>
      <c r="HP212" s="8">
        <f>IF(HP$56-Voorblad!$F$41&gt;Voorblad!$K$41,0,IF($U212=0,0,IF($U212&lt;1,1/$U212,IF((HP$56-Voorblad!$F$41)/$U212-SUM($EE212:HO212)=1,1,0))))</f>
        <v>0</v>
      </c>
      <c r="HQ212" s="8">
        <f>IF(HQ$56-Voorblad!$F$41&gt;Voorblad!$K$41,0,IF($U212=0,0,IF($U212&lt;1,1/$U212,IF((HQ$56-Voorblad!$F$41)/$U212-SUM($EE212:HP212)=1,1,0))))</f>
        <v>0</v>
      </c>
      <c r="HR212" s="8">
        <f>IF(HR$56-Voorblad!$F$41&gt;Voorblad!$K$41,0,IF($U212=0,0,IF($U212&lt;1,1/$U212,IF((HR$56-Voorblad!$F$41)/$U212-SUM($EE212:HQ212)=1,1,0))))</f>
        <v>0</v>
      </c>
      <c r="HS212" s="8">
        <f>IF(HS$56-Voorblad!$F$41&gt;Voorblad!$K$41,0,IF($U212=0,0,IF($U212&lt;1,1/$U212,IF((HS$56-Voorblad!$F$41)/$U212-SUM($EE212:HR212)=1,1,0))))</f>
        <v>0</v>
      </c>
      <c r="HT212" s="8">
        <f>IF(HT$56-Voorblad!$F$41&gt;Voorblad!$K$41,0,IF($U212=0,0,IF($U212&lt;1,1/$U212,IF((HT$56-Voorblad!$F$41)/$U212-SUM($EE212:HS212)=1,1,0))))</f>
        <v>0</v>
      </c>
      <c r="HU212" s="8">
        <f>IF(HU$56-Voorblad!$F$41&gt;Voorblad!$K$41,0,IF($U212=0,0,IF($U212&lt;1,1/$U212,IF((HU$56-Voorblad!$F$41)/$U212-SUM($EE212:HT212)=1,1,0))))</f>
        <v>0</v>
      </c>
      <c r="HV212" s="8">
        <f>IF(HV$56-Voorblad!$F$41&gt;Voorblad!$K$41,0,IF($U212=0,0,IF($U212&lt;1,1/$U212,IF((HV$56-Voorblad!$F$41)/$U212-SUM($EE212:HU212)=1,1,0))))</f>
        <v>0</v>
      </c>
      <c r="HW212" s="8">
        <f>IF(HW$56-Voorblad!$F$41&gt;Voorblad!$K$41,0,IF($U212=0,0,IF($U212&lt;1,1/$U212,IF((HW$56-Voorblad!$F$41)/$U212-SUM($EE212:HV212)=1,1,0))))</f>
        <v>0</v>
      </c>
      <c r="HX212" s="8">
        <f>IF(HX$56-Voorblad!$F$41&gt;Voorblad!$K$41,0,IF($U212=0,0,IF($U212&lt;1,1/$U212,IF((HX$56-Voorblad!$F$41)/$U212-SUM($EE212:HW212)=1,1,0))))</f>
        <v>0</v>
      </c>
      <c r="HY212" s="8">
        <f>IF(HY$56-Voorblad!$F$41&gt;Voorblad!$K$41,0,IF($U212=0,0,IF($U212&lt;1,1/$U212,IF((HY$56-Voorblad!$F$41)/$U212-SUM($EE212:HX212)=1,1,0))))</f>
        <v>0</v>
      </c>
      <c r="HZ212" s="8">
        <f>IF(HZ$56-Voorblad!$F$41&gt;Voorblad!$K$41,0,IF($U212=0,0,IF($U212&lt;1,1/$U212,IF((HZ$56-Voorblad!$F$41)/$U212-SUM($EE212:HY212)=1,1,0))))</f>
        <v>0</v>
      </c>
      <c r="IA212" s="8">
        <f>IF(IA$56-Voorblad!$F$41&gt;Voorblad!$K$41,0,IF($U212=0,0,IF($U212&lt;1,1/$U212,IF((IA$56-Voorblad!$F$41)/$U212-SUM($EE212:HZ212)=1,1,0))))</f>
        <v>0</v>
      </c>
      <c r="IB212" s="8">
        <f>IF(IB$56-Voorblad!$F$41&gt;Voorblad!$K$41,0,IF($U212=0,0,IF($U212&lt;1,1/$U212,IF((IB$56-Voorblad!$F$41)/$U212-SUM($EE212:IA212)=1,1,0))))</f>
        <v>0</v>
      </c>
    </row>
    <row r="213" spans="2:236" ht="12" customHeight="1" outlineLevel="1" x14ac:dyDescent="0.25">
      <c r="B213" s="1">
        <v>3</v>
      </c>
      <c r="F213" s="1" t="s">
        <v>23</v>
      </c>
      <c r="I213" s="1" t="s">
        <v>277</v>
      </c>
      <c r="K213" s="1" t="s">
        <v>87</v>
      </c>
      <c r="O213" s="1" t="s">
        <v>134</v>
      </c>
      <c r="Q213" s="84">
        <f>(2*11.4*2.86)+(4*((3*2.86)/2))</f>
        <v>82.367999999999995</v>
      </c>
      <c r="R213" s="1" t="s">
        <v>35</v>
      </c>
      <c r="S213" s="21">
        <f>$H$20*15</f>
        <v>26.55</v>
      </c>
      <c r="T213" s="9">
        <f>Q213*S213</f>
        <v>2186.8703999999998</v>
      </c>
      <c r="U213" s="14">
        <v>10</v>
      </c>
      <c r="V213" s="14"/>
      <c r="Y213" s="9">
        <f t="shared" si="200"/>
        <v>6421.574408180797</v>
      </c>
      <c r="Z213" s="83"/>
      <c r="AA213" s="83"/>
      <c r="AC213" s="9">
        <f>$Y213*(Voorblad!$K$44*(1+Voorblad!$K$44)^Voorblad!$K$41)/((1+Voorblad!$K$44)^Voorblad!$K$41-1)</f>
        <v>192.23419302058477</v>
      </c>
      <c r="AE213" s="9">
        <f>EF213*($Q213*$S213)/(1+Voorblad!$K$44)^(AE$56-Voorblad!$F$41)</f>
        <v>0</v>
      </c>
      <c r="AF213" s="9">
        <f>EG213*($Q213*$S213)/(1+Voorblad!$K$44)^(AF$56-Voorblad!$F$41)</f>
        <v>0</v>
      </c>
      <c r="AG213" s="9">
        <f>EH213*($Q213*$S213)/(1+Voorblad!$K$44)^(AG$56-Voorblad!$F$41)</f>
        <v>0</v>
      </c>
      <c r="AH213" s="9">
        <f>EI213*($Q213*$S213)/(1+Voorblad!$K$44)^(AH$56-Voorblad!$F$41)</f>
        <v>0</v>
      </c>
      <c r="AI213" s="9">
        <f>EJ213*($Q213*$S213)/(1+Voorblad!$K$44)^(AI$56-Voorblad!$F$41)</f>
        <v>0</v>
      </c>
      <c r="AJ213" s="9">
        <f>EK213*($Q213*$S213)/(1+Voorblad!$K$44)^(AJ$56-Voorblad!$F$41)</f>
        <v>0</v>
      </c>
      <c r="AK213" s="9">
        <f>EL213*($Q213*$S213)/(1+Voorblad!$K$44)^(AK$56-Voorblad!$F$41)</f>
        <v>0</v>
      </c>
      <c r="AL213" s="9">
        <f>EM213*($Q213*$S213)/(1+Voorblad!$K$44)^(AL$56-Voorblad!$F$41)</f>
        <v>0</v>
      </c>
      <c r="AM213" s="9">
        <f>EN213*($Q213*$S213)/(1+Voorblad!$K$44)^(AM$56-Voorblad!$F$41)</f>
        <v>0</v>
      </c>
      <c r="AN213" s="9">
        <f>EO213*($Q213*$S213)/(1+Voorblad!$K$44)^(AN$56-Voorblad!$F$41)</f>
        <v>0</v>
      </c>
      <c r="AO213" s="9">
        <f>EP213*($Q213*$S213)/(1+Voorblad!$K$44)^(AO$56-Voorblad!$F$41)</f>
        <v>1708.3796612613014</v>
      </c>
      <c r="AP213" s="9">
        <f>EQ213*($Q213*$S213)/(1+Voorblad!$K$44)^(AP$56-Voorblad!$F$41)</f>
        <v>0</v>
      </c>
      <c r="AQ213" s="9">
        <f>ER213*($Q213*$S213)/(1+Voorblad!$K$44)^(AQ$56-Voorblad!$F$41)</f>
        <v>0</v>
      </c>
      <c r="AR213" s="9">
        <f>ES213*($Q213*$S213)/(1+Voorblad!$K$44)^(AR$56-Voorblad!$F$41)</f>
        <v>0</v>
      </c>
      <c r="AS213" s="9">
        <f>ET213*($Q213*$S213)/(1+Voorblad!$K$44)^(AS$56-Voorblad!$F$41)</f>
        <v>0</v>
      </c>
      <c r="AT213" s="9">
        <f>EU213*($Q213*$S213)/(1+Voorblad!$K$44)^(AT$56-Voorblad!$F$41)</f>
        <v>0</v>
      </c>
      <c r="AU213" s="9">
        <f>EV213*($Q213*$S213)/(1+Voorblad!$K$44)^(AU$56-Voorblad!$F$41)</f>
        <v>0</v>
      </c>
      <c r="AV213" s="9">
        <f>EW213*($Q213*$S213)/(1+Voorblad!$K$44)^(AV$56-Voorblad!$F$41)</f>
        <v>0</v>
      </c>
      <c r="AW213" s="9">
        <f>EX213*($Q213*$S213)/(1+Voorblad!$K$44)^(AW$56-Voorblad!$F$41)</f>
        <v>0</v>
      </c>
      <c r="AX213" s="9">
        <f>EY213*($Q213*$S213)/(1+Voorblad!$K$44)^(AX$56-Voorblad!$F$41)</f>
        <v>0</v>
      </c>
      <c r="AY213" s="9">
        <f>EZ213*($Q213*$S213)/(1+Voorblad!$K$44)^(AY$56-Voorblad!$F$41)</f>
        <v>1334.5834609180674</v>
      </c>
      <c r="AZ213" s="9">
        <f>FA213*($Q213*$S213)/(1+Voorblad!$K$44)^(AZ$56-Voorblad!$F$41)</f>
        <v>0</v>
      </c>
      <c r="BA213" s="9">
        <f>FB213*($Q213*$S213)/(1+Voorblad!$K$44)^(BA$56-Voorblad!$F$41)</f>
        <v>0</v>
      </c>
      <c r="BB213" s="9">
        <f>FC213*($Q213*$S213)/(1+Voorblad!$K$44)^(BB$56-Voorblad!$F$41)</f>
        <v>0</v>
      </c>
      <c r="BC213" s="9">
        <f>FD213*($Q213*$S213)/(1+Voorblad!$K$44)^(BC$56-Voorblad!$F$41)</f>
        <v>0</v>
      </c>
      <c r="BD213" s="9">
        <f>FE213*($Q213*$S213)/(1+Voorblad!$K$44)^(BD$56-Voorblad!$F$41)</f>
        <v>0</v>
      </c>
      <c r="BE213" s="9">
        <f>FF213*($Q213*$S213)/(1+Voorblad!$K$44)^(BE$56-Voorblad!$F$41)</f>
        <v>0</v>
      </c>
      <c r="BF213" s="9">
        <f>FG213*($Q213*$S213)/(1+Voorblad!$K$44)^(BF$56-Voorblad!$F$41)</f>
        <v>0</v>
      </c>
      <c r="BG213" s="9">
        <f>FH213*($Q213*$S213)/(1+Voorblad!$K$44)^(BG$56-Voorblad!$F$41)</f>
        <v>0</v>
      </c>
      <c r="BH213" s="9">
        <f>FI213*($Q213*$S213)/(1+Voorblad!$K$44)^(BH$56-Voorblad!$F$41)</f>
        <v>0</v>
      </c>
      <c r="BI213" s="9">
        <f>FJ213*($Q213*$S213)/(1+Voorblad!$K$44)^(BI$56-Voorblad!$F$41)</f>
        <v>1042.5744666387836</v>
      </c>
      <c r="BJ213" s="9">
        <f>FK213*($Q213*$S213)/(1+Voorblad!$K$44)^(BJ$56-Voorblad!$F$41)</f>
        <v>0</v>
      </c>
      <c r="BK213" s="9">
        <f>FL213*($Q213*$S213)/(1+Voorblad!$K$44)^(BK$56-Voorblad!$F$41)</f>
        <v>0</v>
      </c>
      <c r="BL213" s="9">
        <f>FM213*($Q213*$S213)/(1+Voorblad!$K$44)^(BL$56-Voorblad!$F$41)</f>
        <v>0</v>
      </c>
      <c r="BM213" s="9">
        <f>FN213*($Q213*$S213)/(1+Voorblad!$K$44)^(BM$56-Voorblad!$F$41)</f>
        <v>0</v>
      </c>
      <c r="BN213" s="9">
        <f>FO213*($Q213*$S213)/(1+Voorblad!$K$44)^(BN$56-Voorblad!$F$41)</f>
        <v>0</v>
      </c>
      <c r="BO213" s="9">
        <f>FP213*($Q213*$S213)/(1+Voorblad!$K$44)^(BO$56-Voorblad!$F$41)</f>
        <v>0</v>
      </c>
      <c r="BP213" s="9">
        <f>FQ213*($Q213*$S213)/(1+Voorblad!$K$44)^(BP$56-Voorblad!$F$41)</f>
        <v>0</v>
      </c>
      <c r="BQ213" s="9">
        <f>FR213*($Q213*$S213)/(1+Voorblad!$K$44)^(BQ$56-Voorblad!$F$41)</f>
        <v>0</v>
      </c>
      <c r="BR213" s="9">
        <f>FS213*($Q213*$S213)/(1+Voorblad!$K$44)^(BR$56-Voorblad!$F$41)</f>
        <v>0</v>
      </c>
      <c r="BS213" s="9">
        <f>FT213*($Q213*$S213)/(1+Voorblad!$K$44)^(BS$56-Voorblad!$F$41)</f>
        <v>814.45750701827001</v>
      </c>
      <c r="BT213" s="9">
        <f>FU213*($Q213*$S213)/(1+Voorblad!$K$44)^(BT$56-Voorblad!$F$41)</f>
        <v>0</v>
      </c>
      <c r="BU213" s="9">
        <f>FV213*($Q213*$S213)/(1+Voorblad!$K$44)^(BU$56-Voorblad!$F$41)</f>
        <v>0</v>
      </c>
      <c r="BV213" s="9">
        <f>FW213*($Q213*$S213)/(1+Voorblad!$K$44)^(BV$56-Voorblad!$F$41)</f>
        <v>0</v>
      </c>
      <c r="BW213" s="9">
        <f>FX213*($Q213*$S213)/(1+Voorblad!$K$44)^(BW$56-Voorblad!$F$41)</f>
        <v>0</v>
      </c>
      <c r="BX213" s="9">
        <f>FY213*($Q213*$S213)/(1+Voorblad!$K$44)^(BX$56-Voorblad!$F$41)</f>
        <v>0</v>
      </c>
      <c r="BY213" s="9">
        <f>FZ213*($Q213*$S213)/(1+Voorblad!$K$44)^(BY$56-Voorblad!$F$41)</f>
        <v>0</v>
      </c>
      <c r="BZ213" s="9">
        <f>GA213*($Q213*$S213)/(1+Voorblad!$K$44)^(BZ$56-Voorblad!$F$41)</f>
        <v>0</v>
      </c>
      <c r="CA213" s="9">
        <f>GB213*($Q213*$S213)/(1+Voorblad!$K$44)^(CA$56-Voorblad!$F$41)</f>
        <v>0</v>
      </c>
      <c r="CB213" s="9">
        <f>GC213*($Q213*$S213)/(1+Voorblad!$K$44)^(CB$56-Voorblad!$F$41)</f>
        <v>0</v>
      </c>
      <c r="CC213" s="9">
        <f>GD213*($Q213*$S213)/(1+Voorblad!$K$44)^(CC$56-Voorblad!$F$41)</f>
        <v>636.25290275619261</v>
      </c>
      <c r="CD213" s="9">
        <f>GE213*($Q213*$S213)/(1+Voorblad!$K$44)^(CD$56-Voorblad!$F$41)</f>
        <v>0</v>
      </c>
      <c r="CE213" s="9">
        <f>GF213*($Q213*$S213)/(1+Voorblad!$K$44)^(CE$56-Voorblad!$F$41)</f>
        <v>0</v>
      </c>
      <c r="CF213" s="9">
        <f>GG213*($Q213*$S213)/(1+Voorblad!$K$44)^(CF$56-Voorblad!$F$41)</f>
        <v>0</v>
      </c>
      <c r="CG213" s="9">
        <f>GH213*($Q213*$S213)/(1+Voorblad!$K$44)^(CG$56-Voorblad!$F$41)</f>
        <v>0</v>
      </c>
      <c r="CH213" s="9">
        <f>GI213*($Q213*$S213)/(1+Voorblad!$K$44)^(CH$56-Voorblad!$F$41)</f>
        <v>0</v>
      </c>
      <c r="CI213" s="9">
        <f>GJ213*($Q213*$S213)/(1+Voorblad!$K$44)^(CI$56-Voorblad!$F$41)</f>
        <v>0</v>
      </c>
      <c r="CJ213" s="9">
        <f>GK213*($Q213*$S213)/(1+Voorblad!$K$44)^(CJ$56-Voorblad!$F$41)</f>
        <v>0</v>
      </c>
      <c r="CK213" s="9">
        <f>GL213*($Q213*$S213)/(1+Voorblad!$K$44)^(CK$56-Voorblad!$F$41)</f>
        <v>0</v>
      </c>
      <c r="CL213" s="9">
        <f>GM213*($Q213*$S213)/(1+Voorblad!$K$44)^(CL$56-Voorblad!$F$41)</f>
        <v>0</v>
      </c>
      <c r="CM213" s="9">
        <f>GN213*($Q213*$S213)/(1+Voorblad!$K$44)^(CM$56-Voorblad!$F$41)</f>
        <v>497.03975072649206</v>
      </c>
      <c r="CN213" s="9">
        <f>GO213*($Q213*$S213)/(1+Voorblad!$K$44)^(CN$56-Voorblad!$F$41)</f>
        <v>0</v>
      </c>
      <c r="CO213" s="9">
        <f>GP213*($Q213*$S213)/(1+Voorblad!$K$44)^(CO$56-Voorblad!$F$41)</f>
        <v>0</v>
      </c>
      <c r="CP213" s="9">
        <f>GQ213*($Q213*$S213)/(1+Voorblad!$K$44)^(CP$56-Voorblad!$F$41)</f>
        <v>0</v>
      </c>
      <c r="CQ213" s="9">
        <f>GR213*($Q213*$S213)/(1+Voorblad!$K$44)^(CQ$56-Voorblad!$F$41)</f>
        <v>0</v>
      </c>
      <c r="CR213" s="9">
        <f>GS213*($Q213*$S213)/(1+Voorblad!$K$44)^(CR$56-Voorblad!$F$41)</f>
        <v>0</v>
      </c>
      <c r="CS213" s="9">
        <f>GT213*($Q213*$S213)/(1+Voorblad!$K$44)^(CS$56-Voorblad!$F$41)</f>
        <v>0</v>
      </c>
      <c r="CT213" s="9">
        <f>GU213*($Q213*$S213)/(1+Voorblad!$K$44)^(CT$56-Voorblad!$F$41)</f>
        <v>0</v>
      </c>
      <c r="CU213" s="9">
        <f>GV213*($Q213*$S213)/(1+Voorblad!$K$44)^(CU$56-Voorblad!$F$41)</f>
        <v>0</v>
      </c>
      <c r="CV213" s="9">
        <f>GW213*($Q213*$S213)/(1+Voorblad!$K$44)^(CV$56-Voorblad!$F$41)</f>
        <v>0</v>
      </c>
      <c r="CW213" s="9">
        <f>GX213*($Q213*$S213)/(1+Voorblad!$K$44)^(CW$56-Voorblad!$F$41)</f>
        <v>388.28665886168938</v>
      </c>
      <c r="CX213" s="9">
        <f>GY213*($Q213*$S213)/(1+Voorblad!$K$44)^(CX$56-Voorblad!$F$41)</f>
        <v>0</v>
      </c>
      <c r="CY213" s="9">
        <f>GZ213*($Q213*$S213)/(1+Voorblad!$K$44)^(CY$56-Voorblad!$F$41)</f>
        <v>0</v>
      </c>
      <c r="CZ213" s="9">
        <f>HA213*($Q213*$S213)/(1+Voorblad!$K$44)^(CZ$56-Voorblad!$F$41)</f>
        <v>0</v>
      </c>
      <c r="DA213" s="9">
        <f>HB213*($Q213*$S213)/(1+Voorblad!$K$44)^(DA$56-Voorblad!$F$41)</f>
        <v>0</v>
      </c>
      <c r="DB213" s="9">
        <f>HC213*($Q213*$S213)/(1+Voorblad!$K$44)^(DB$56-Voorblad!$F$41)</f>
        <v>0</v>
      </c>
      <c r="DC213" s="9">
        <f>HD213*($Q213*$S213)/(1+Voorblad!$K$44)^(DC$56-Voorblad!$F$41)</f>
        <v>0</v>
      </c>
      <c r="DD213" s="9">
        <f>HE213*($Q213*$S213)/(1+Voorblad!$K$44)^(DD$56-Voorblad!$F$41)</f>
        <v>0</v>
      </c>
      <c r="DE213" s="9">
        <f>HF213*($Q213*$S213)/(1+Voorblad!$K$44)^(DE$56-Voorblad!$F$41)</f>
        <v>0</v>
      </c>
      <c r="DF213" s="9">
        <f>HG213*($Q213*$S213)/(1+Voorblad!$K$44)^(DF$56-Voorblad!$F$41)</f>
        <v>0</v>
      </c>
      <c r="DG213" s="9">
        <f>HH213*($Q213*$S213)/(1+Voorblad!$K$44)^(DG$56-Voorblad!$F$41)</f>
        <v>0</v>
      </c>
      <c r="DH213" s="9">
        <f>HI213*($Q213*$S213)/(1+Voorblad!$K$44)^(DH$56-Voorblad!$F$41)</f>
        <v>0</v>
      </c>
      <c r="DI213" s="9">
        <f>HJ213*($Q213*$S213)/(1+Voorblad!$K$44)^(DI$56-Voorblad!$F$41)</f>
        <v>0</v>
      </c>
      <c r="DJ213" s="9">
        <f>HK213*($Q213*$S213)/(1+Voorblad!$K$44)^(DJ$56-Voorblad!$F$41)</f>
        <v>0</v>
      </c>
      <c r="DK213" s="9">
        <f>HL213*($Q213*$S213)/(1+Voorblad!$K$44)^(DK$56-Voorblad!$F$41)</f>
        <v>0</v>
      </c>
      <c r="DL213" s="9">
        <f>HM213*($Q213*$S213)/(1+Voorblad!$K$44)^(DL$56-Voorblad!$F$41)</f>
        <v>0</v>
      </c>
      <c r="DM213" s="9">
        <f>HN213*($Q213*$S213)/(1+Voorblad!$K$44)^(DM$56-Voorblad!$F$41)</f>
        <v>0</v>
      </c>
      <c r="DN213" s="9">
        <f>HO213*($Q213*$S213)/(1+Voorblad!$K$44)^(DN$56-Voorblad!$F$41)</f>
        <v>0</v>
      </c>
      <c r="DO213" s="9">
        <f>HP213*($Q213*$S213)/(1+Voorblad!$K$44)^(DO$56-Voorblad!$F$41)</f>
        <v>0</v>
      </c>
      <c r="DP213" s="9">
        <f>HQ213*($Q213*$S213)/(1+Voorblad!$K$44)^(DP$56-Voorblad!$F$41)</f>
        <v>0</v>
      </c>
      <c r="DQ213" s="9">
        <f>HR213*($Q213*$S213)/(1+Voorblad!$K$44)^(DQ$56-Voorblad!$F$41)</f>
        <v>0</v>
      </c>
      <c r="DR213" s="9">
        <f>HS213*($Q213*$S213)/(1+Voorblad!$K$44)^(DR$56-Voorblad!$F$41)</f>
        <v>0</v>
      </c>
      <c r="DS213" s="9">
        <f>HT213*($Q213*$S213)/(1+Voorblad!$K$44)^(DS$56-Voorblad!$F$41)</f>
        <v>0</v>
      </c>
      <c r="DT213" s="9">
        <f>HU213*($Q213*$S213)/(1+Voorblad!$K$44)^(DT$56-Voorblad!$F$41)</f>
        <v>0</v>
      </c>
      <c r="DU213" s="9">
        <f>HV213*($Q213*$S213)/(1+Voorblad!$K$44)^(DU$56-Voorblad!$F$41)</f>
        <v>0</v>
      </c>
      <c r="DV213" s="9">
        <f>HW213*($Q213*$S213)/(1+Voorblad!$K$44)^(DV$56-Voorblad!$F$41)</f>
        <v>0</v>
      </c>
      <c r="DW213" s="9">
        <f>HX213*($Q213*$S213)/(1+Voorblad!$K$44)^(DW$56-Voorblad!$F$41)</f>
        <v>0</v>
      </c>
      <c r="DX213" s="9">
        <f>HY213*($Q213*$S213)/(1+Voorblad!$K$44)^(DX$56-Voorblad!$F$41)</f>
        <v>0</v>
      </c>
      <c r="DY213" s="9">
        <f>HZ213*($Q213*$S213)/(1+Voorblad!$K$44)^(DY$56-Voorblad!$F$41)</f>
        <v>0</v>
      </c>
      <c r="DZ213" s="9">
        <f>IA213*($Q213*$S213)/(1+Voorblad!$K$44)^(DZ$56-Voorblad!$F$41)</f>
        <v>0</v>
      </c>
      <c r="EA213" s="9">
        <f>IB213*($Q213*$S213)/(1+Voorblad!$K$44)^(EA$56-Voorblad!$F$41)</f>
        <v>0</v>
      </c>
      <c r="EB213" s="9">
        <f>IC213*($Q213*$S213)/(1+Voorblad!$K$44)^(EB$56-Voorblad!$F$41)</f>
        <v>0</v>
      </c>
      <c r="EE213" s="8">
        <v>0</v>
      </c>
      <c r="EF213" s="8">
        <f>IF(EF$56-Voorblad!$F$41&gt;Voorblad!$K$41,0,IF($U213=0,0,IF($U213&lt;1,1/$U213,IF((EF$56-Voorblad!$F$41)/$U213-SUM($EE213:EE213)=1,1,0))))</f>
        <v>0</v>
      </c>
      <c r="EG213" s="8">
        <f>IF(EG$56-Voorblad!$F$41&gt;Voorblad!$K$41,0,IF($U213=0,0,IF($U213&lt;1,1/$U213,IF((EG$56-Voorblad!$F$41)/$U213-SUM($EE213:EF213)=1,1,0))))</f>
        <v>0</v>
      </c>
      <c r="EH213" s="8">
        <f>IF(EH$56-Voorblad!$F$41&gt;Voorblad!$K$41,0,IF($U213=0,0,IF($U213&lt;1,1/$U213,IF((EH$56-Voorblad!$F$41)/$U213-SUM($EE213:EG213)=1,1,0))))</f>
        <v>0</v>
      </c>
      <c r="EI213" s="8">
        <f>IF(EI$56-Voorblad!$F$41&gt;Voorblad!$K$41,0,IF($U213=0,0,IF($U213&lt;1,1/$U213,IF((EI$56-Voorblad!$F$41)/$U213-SUM($EE213:EH213)=1,1,0))))</f>
        <v>0</v>
      </c>
      <c r="EJ213" s="8">
        <f>IF(EJ$56-Voorblad!$F$41&gt;Voorblad!$K$41,0,IF($U213=0,0,IF($U213&lt;1,1/$U213,IF((EJ$56-Voorblad!$F$41)/$U213-SUM($EE213:EI213)=1,1,0))))</f>
        <v>0</v>
      </c>
      <c r="EK213" s="8">
        <f>IF(EK$56-Voorblad!$F$41&gt;Voorblad!$K$41,0,IF($U213=0,0,IF($U213&lt;1,1/$U213,IF((EK$56-Voorblad!$F$41)/$U213-SUM($EE213:EJ213)=1,1,0))))</f>
        <v>0</v>
      </c>
      <c r="EL213" s="8">
        <f>IF(EL$56-Voorblad!$F$41&gt;Voorblad!$K$41,0,IF($U213=0,0,IF($U213&lt;1,1/$U213,IF((EL$56-Voorblad!$F$41)/$U213-SUM($EE213:EK213)=1,1,0))))</f>
        <v>0</v>
      </c>
      <c r="EM213" s="8">
        <f>IF(EM$56-Voorblad!$F$41&gt;Voorblad!$K$41,0,IF($U213=0,0,IF($U213&lt;1,1/$U213,IF((EM$56-Voorblad!$F$41)/$U213-SUM($EE213:EL213)=1,1,0))))</f>
        <v>0</v>
      </c>
      <c r="EN213" s="8">
        <f>IF(EN$56-Voorblad!$F$41&gt;Voorblad!$K$41,0,IF($U213=0,0,IF($U213&lt;1,1/$U213,IF((EN$56-Voorblad!$F$41)/$U213-SUM($EE213:EM213)=1,1,0))))</f>
        <v>0</v>
      </c>
      <c r="EO213" s="8">
        <f>IF(EO$56-Voorblad!$F$41&gt;Voorblad!$K$41,0,IF($U213=0,0,IF($U213&lt;1,1/$U213,IF((EO$56-Voorblad!$F$41)/$U213-SUM($EE213:EN213)=1,1,0))))</f>
        <v>0</v>
      </c>
      <c r="EP213" s="8">
        <f>IF(EP$56-Voorblad!$F$41&gt;Voorblad!$K$41,0,IF($U213=0,0,IF($U213&lt;1,1/$U213,IF((EP$56-Voorblad!$F$41)/$U213-SUM($EE213:EO213)=1,1,0))))</f>
        <v>1</v>
      </c>
      <c r="EQ213" s="8">
        <f>IF(EQ$56-Voorblad!$F$41&gt;Voorblad!$K$41,0,IF($U213=0,0,IF($U213&lt;1,1/$U213,IF((EQ$56-Voorblad!$F$41)/$U213-SUM($EE213:EP213)=1,1,0))))</f>
        <v>0</v>
      </c>
      <c r="ER213" s="8">
        <f>IF(ER$56-Voorblad!$F$41&gt;Voorblad!$K$41,0,IF($U213=0,0,IF($U213&lt;1,1/$U213,IF((ER$56-Voorblad!$F$41)/$U213-SUM($EE213:EQ213)=1,1,0))))</f>
        <v>0</v>
      </c>
      <c r="ES213" s="8">
        <f>IF(ES$56-Voorblad!$F$41&gt;Voorblad!$K$41,0,IF($U213=0,0,IF($U213&lt;1,1/$U213,IF((ES$56-Voorblad!$F$41)/$U213-SUM($EE213:ER213)=1,1,0))))</f>
        <v>0</v>
      </c>
      <c r="ET213" s="8">
        <f>IF(ET$56-Voorblad!$F$41&gt;Voorblad!$K$41,0,IF($U213=0,0,IF($U213&lt;1,1/$U213,IF((ET$56-Voorblad!$F$41)/$U213-SUM($EE213:ES213)=1,1,0))))</f>
        <v>0</v>
      </c>
      <c r="EU213" s="8">
        <f>IF(EU$56-Voorblad!$F$41&gt;Voorblad!$K$41,0,IF($U213=0,0,IF($U213&lt;1,1/$U213,IF((EU$56-Voorblad!$F$41)/$U213-SUM($EE213:ET213)=1,1,0))))</f>
        <v>0</v>
      </c>
      <c r="EV213" s="8">
        <f>IF(EV$56-Voorblad!$F$41&gt;Voorblad!$K$41,0,IF($U213=0,0,IF($U213&lt;1,1/$U213,IF((EV$56-Voorblad!$F$41)/$U213-SUM($EE213:EU213)=1,1,0))))</f>
        <v>0</v>
      </c>
      <c r="EW213" s="8">
        <f>IF(EW$56-Voorblad!$F$41&gt;Voorblad!$K$41,0,IF($U213=0,0,IF($U213&lt;1,1/$U213,IF((EW$56-Voorblad!$F$41)/$U213-SUM($EE213:EV213)=1,1,0))))</f>
        <v>0</v>
      </c>
      <c r="EX213" s="8">
        <f>IF(EX$56-Voorblad!$F$41&gt;Voorblad!$K$41,0,IF($U213=0,0,IF($U213&lt;1,1/$U213,IF((EX$56-Voorblad!$F$41)/$U213-SUM($EE213:EW213)=1,1,0))))</f>
        <v>0</v>
      </c>
      <c r="EY213" s="8">
        <f>IF(EY$56-Voorblad!$F$41&gt;Voorblad!$K$41,0,IF($U213=0,0,IF($U213&lt;1,1/$U213,IF((EY$56-Voorblad!$F$41)/$U213-SUM($EE213:EX213)=1,1,0))))</f>
        <v>0</v>
      </c>
      <c r="EZ213" s="8">
        <f>IF(EZ$56-Voorblad!$F$41&gt;Voorblad!$K$41,0,IF($U213=0,0,IF($U213&lt;1,1/$U213,IF((EZ$56-Voorblad!$F$41)/$U213-SUM($EE213:EY213)=1,1,0))))</f>
        <v>1</v>
      </c>
      <c r="FA213" s="8">
        <f>IF(FA$56-Voorblad!$F$41&gt;Voorblad!$K$41,0,IF($U213=0,0,IF($U213&lt;1,1/$U213,IF((FA$56-Voorblad!$F$41)/$U213-SUM($EE213:EZ213)=1,1,0))))</f>
        <v>0</v>
      </c>
      <c r="FB213" s="8">
        <f>IF(FB$56-Voorblad!$F$41&gt;Voorblad!$K$41,0,IF($U213=0,0,IF($U213&lt;1,1/$U213,IF((FB$56-Voorblad!$F$41)/$U213-SUM($EE213:FA213)=1,1,0))))</f>
        <v>0</v>
      </c>
      <c r="FC213" s="8">
        <f>IF(FC$56-Voorblad!$F$41&gt;Voorblad!$K$41,0,IF($U213=0,0,IF($U213&lt;1,1/$U213,IF((FC$56-Voorblad!$F$41)/$U213-SUM($EE213:FB213)=1,1,0))))</f>
        <v>0</v>
      </c>
      <c r="FD213" s="8">
        <f>IF(FD$56-Voorblad!$F$41&gt;Voorblad!$K$41,0,IF($U213=0,0,IF($U213&lt;1,1/$U213,IF((FD$56-Voorblad!$F$41)/$U213-SUM($EE213:FC213)=1,1,0))))</f>
        <v>0</v>
      </c>
      <c r="FE213" s="8">
        <f>IF(FE$56-Voorblad!$F$41&gt;Voorblad!$K$41,0,IF($U213=0,0,IF($U213&lt;1,1/$U213,IF((FE$56-Voorblad!$F$41)/$U213-SUM($EE213:FD213)=1,1,0))))</f>
        <v>0</v>
      </c>
      <c r="FF213" s="8">
        <f>IF(FF$56-Voorblad!$F$41&gt;Voorblad!$K$41,0,IF($U213=0,0,IF($U213&lt;1,1/$U213,IF((FF$56-Voorblad!$F$41)/$U213-SUM($EE213:FE213)=1,1,0))))</f>
        <v>0</v>
      </c>
      <c r="FG213" s="8">
        <f>IF(FG$56-Voorblad!$F$41&gt;Voorblad!$K$41,0,IF($U213=0,0,IF($U213&lt;1,1/$U213,IF((FG$56-Voorblad!$F$41)/$U213-SUM($EE213:FF213)=1,1,0))))</f>
        <v>0</v>
      </c>
      <c r="FH213" s="8">
        <f>IF(FH$56-Voorblad!$F$41&gt;Voorblad!$K$41,0,IF($U213=0,0,IF($U213&lt;1,1/$U213,IF((FH$56-Voorblad!$F$41)/$U213-SUM($EE213:FG213)=1,1,0))))</f>
        <v>0</v>
      </c>
      <c r="FI213" s="8">
        <f>IF(FI$56-Voorblad!$F$41&gt;Voorblad!$K$41,0,IF($U213=0,0,IF($U213&lt;1,1/$U213,IF((FI$56-Voorblad!$F$41)/$U213-SUM($EE213:FH213)=1,1,0))))</f>
        <v>0</v>
      </c>
      <c r="FJ213" s="8">
        <f>IF(FJ$56-Voorblad!$F$41&gt;Voorblad!$K$41,0,IF($U213=0,0,IF($U213&lt;1,1/$U213,IF((FJ$56-Voorblad!$F$41)/$U213-SUM($EE213:FI213)=1,1,0))))</f>
        <v>1</v>
      </c>
      <c r="FK213" s="8">
        <f>IF(FK$56-Voorblad!$F$41&gt;Voorblad!$K$41,0,IF($U213=0,0,IF($U213&lt;1,1/$U213,IF((FK$56-Voorblad!$F$41)/$U213-SUM($EE213:FJ213)=1,1,0))))</f>
        <v>0</v>
      </c>
      <c r="FL213" s="8">
        <f>IF(FL$56-Voorblad!$F$41&gt;Voorblad!$K$41,0,IF($U213=0,0,IF($U213&lt;1,1/$U213,IF((FL$56-Voorblad!$F$41)/$U213-SUM($EE213:FK213)=1,1,0))))</f>
        <v>0</v>
      </c>
      <c r="FM213" s="8">
        <f>IF(FM$56-Voorblad!$F$41&gt;Voorblad!$K$41,0,IF($U213=0,0,IF($U213&lt;1,1/$U213,IF((FM$56-Voorblad!$F$41)/$U213-SUM($EE213:FL213)=1,1,0))))</f>
        <v>0</v>
      </c>
      <c r="FN213" s="8">
        <f>IF(FN$56-Voorblad!$F$41&gt;Voorblad!$K$41,0,IF($U213=0,0,IF($U213&lt;1,1/$U213,IF((FN$56-Voorblad!$F$41)/$U213-SUM($EE213:FM213)=1,1,0))))</f>
        <v>0</v>
      </c>
      <c r="FO213" s="8">
        <f>IF(FO$56-Voorblad!$F$41&gt;Voorblad!$K$41,0,IF($U213=0,0,IF($U213&lt;1,1/$U213,IF((FO$56-Voorblad!$F$41)/$U213-SUM($EE213:FN213)=1,1,0))))</f>
        <v>0</v>
      </c>
      <c r="FP213" s="8">
        <f>IF(FP$56-Voorblad!$F$41&gt;Voorblad!$K$41,0,IF($U213=0,0,IF($U213&lt;1,1/$U213,IF((FP$56-Voorblad!$F$41)/$U213-SUM($EE213:FO213)=1,1,0))))</f>
        <v>0</v>
      </c>
      <c r="FQ213" s="8">
        <f>IF(FQ$56-Voorblad!$F$41&gt;Voorblad!$K$41,0,IF($U213=0,0,IF($U213&lt;1,1/$U213,IF((FQ$56-Voorblad!$F$41)/$U213-SUM($EE213:FP213)=1,1,0))))</f>
        <v>0</v>
      </c>
      <c r="FR213" s="8">
        <f>IF(FR$56-Voorblad!$F$41&gt;Voorblad!$K$41,0,IF($U213=0,0,IF($U213&lt;1,1/$U213,IF((FR$56-Voorblad!$F$41)/$U213-SUM($EE213:FQ213)=1,1,0))))</f>
        <v>0</v>
      </c>
      <c r="FS213" s="8">
        <f>IF(FS$56-Voorblad!$F$41&gt;Voorblad!$K$41,0,IF($U213=0,0,IF($U213&lt;1,1/$U213,IF((FS$56-Voorblad!$F$41)/$U213-SUM($EE213:FR213)=1,1,0))))</f>
        <v>0</v>
      </c>
      <c r="FT213" s="8">
        <f>IF(FT$56-Voorblad!$F$41&gt;Voorblad!$K$41,0,IF($U213=0,0,IF($U213&lt;1,1/$U213,IF((FT$56-Voorblad!$F$41)/$U213-SUM($EE213:FS213)=1,1,0))))</f>
        <v>1</v>
      </c>
      <c r="FU213" s="8">
        <f>IF(FU$56-Voorblad!$F$41&gt;Voorblad!$K$41,0,IF($U213=0,0,IF($U213&lt;1,1/$U213,IF((FU$56-Voorblad!$F$41)/$U213-SUM($EE213:FT213)=1,1,0))))</f>
        <v>0</v>
      </c>
      <c r="FV213" s="8">
        <f>IF(FV$56-Voorblad!$F$41&gt;Voorblad!$K$41,0,IF($U213=0,0,IF($U213&lt;1,1/$U213,IF((FV$56-Voorblad!$F$41)/$U213-SUM($EE213:FU213)=1,1,0))))</f>
        <v>0</v>
      </c>
      <c r="FW213" s="8">
        <f>IF(FW$56-Voorblad!$F$41&gt;Voorblad!$K$41,0,IF($U213=0,0,IF($U213&lt;1,1/$U213,IF((FW$56-Voorblad!$F$41)/$U213-SUM($EE213:FV213)=1,1,0))))</f>
        <v>0</v>
      </c>
      <c r="FX213" s="8">
        <f>IF(FX$56-Voorblad!$F$41&gt;Voorblad!$K$41,0,IF($U213=0,0,IF($U213&lt;1,1/$U213,IF((FX$56-Voorblad!$F$41)/$U213-SUM($EE213:FW213)=1,1,0))))</f>
        <v>0</v>
      </c>
      <c r="FY213" s="8">
        <f>IF(FY$56-Voorblad!$F$41&gt;Voorblad!$K$41,0,IF($U213=0,0,IF($U213&lt;1,1/$U213,IF((FY$56-Voorblad!$F$41)/$U213-SUM($EE213:FX213)=1,1,0))))</f>
        <v>0</v>
      </c>
      <c r="FZ213" s="8">
        <f>IF(FZ$56-Voorblad!$F$41&gt;Voorblad!$K$41,0,IF($U213=0,0,IF($U213&lt;1,1/$U213,IF((FZ$56-Voorblad!$F$41)/$U213-SUM($EE213:FY213)=1,1,0))))</f>
        <v>0</v>
      </c>
      <c r="GA213" s="8">
        <f>IF(GA$56-Voorblad!$F$41&gt;Voorblad!$K$41,0,IF($U213=0,0,IF($U213&lt;1,1/$U213,IF((GA$56-Voorblad!$F$41)/$U213-SUM($EE213:FZ213)=1,1,0))))</f>
        <v>0</v>
      </c>
      <c r="GB213" s="8">
        <f>IF(GB$56-Voorblad!$F$41&gt;Voorblad!$K$41,0,IF($U213=0,0,IF($U213&lt;1,1/$U213,IF((GB$56-Voorblad!$F$41)/$U213-SUM($EE213:GA213)=1,1,0))))</f>
        <v>0</v>
      </c>
      <c r="GC213" s="8">
        <f>IF(GC$56-Voorblad!$F$41&gt;Voorblad!$K$41,0,IF($U213=0,0,IF($U213&lt;1,1/$U213,IF((GC$56-Voorblad!$F$41)/$U213-SUM($EE213:GB213)=1,1,0))))</f>
        <v>0</v>
      </c>
      <c r="GD213" s="8">
        <f>IF(GD$56-Voorblad!$F$41&gt;Voorblad!$K$41,0,IF($U213=0,0,IF($U213&lt;1,1/$U213,IF((GD$56-Voorblad!$F$41)/$U213-SUM($EE213:GC213)=1,1,0))))</f>
        <v>1</v>
      </c>
      <c r="GE213" s="8">
        <f>IF(GE$56-Voorblad!$F$41&gt;Voorblad!$K$41,0,IF($U213=0,0,IF($U213&lt;1,1/$U213,IF((GE$56-Voorblad!$F$41)/$U213-SUM($EE213:GD213)=1,1,0))))</f>
        <v>0</v>
      </c>
      <c r="GF213" s="8">
        <f>IF(GF$56-Voorblad!$F$41&gt;Voorblad!$K$41,0,IF($U213=0,0,IF($U213&lt;1,1/$U213,IF((GF$56-Voorblad!$F$41)/$U213-SUM($EE213:GE213)=1,1,0))))</f>
        <v>0</v>
      </c>
      <c r="GG213" s="8">
        <f>IF(GG$56-Voorblad!$F$41&gt;Voorblad!$K$41,0,IF($U213=0,0,IF($U213&lt;1,1/$U213,IF((GG$56-Voorblad!$F$41)/$U213-SUM($EE213:GF213)=1,1,0))))</f>
        <v>0</v>
      </c>
      <c r="GH213" s="8">
        <f>IF(GH$56-Voorblad!$F$41&gt;Voorblad!$K$41,0,IF($U213=0,0,IF($U213&lt;1,1/$U213,IF((GH$56-Voorblad!$F$41)/$U213-SUM($EE213:GG213)=1,1,0))))</f>
        <v>0</v>
      </c>
      <c r="GI213" s="8">
        <f>IF(GI$56-Voorblad!$F$41&gt;Voorblad!$K$41,0,IF($U213=0,0,IF($U213&lt;1,1/$U213,IF((GI$56-Voorblad!$F$41)/$U213-SUM($EE213:GH213)=1,1,0))))</f>
        <v>0</v>
      </c>
      <c r="GJ213" s="8">
        <f>IF(GJ$56-Voorblad!$F$41&gt;Voorblad!$K$41,0,IF($U213=0,0,IF($U213&lt;1,1/$U213,IF((GJ$56-Voorblad!$F$41)/$U213-SUM($EE213:GI213)=1,1,0))))</f>
        <v>0</v>
      </c>
      <c r="GK213" s="8">
        <f>IF(GK$56-Voorblad!$F$41&gt;Voorblad!$K$41,0,IF($U213=0,0,IF($U213&lt;1,1/$U213,IF((GK$56-Voorblad!$F$41)/$U213-SUM($EE213:GJ213)=1,1,0))))</f>
        <v>0</v>
      </c>
      <c r="GL213" s="8">
        <f>IF(GL$56-Voorblad!$F$41&gt;Voorblad!$K$41,0,IF($U213=0,0,IF($U213&lt;1,1/$U213,IF((GL$56-Voorblad!$F$41)/$U213-SUM($EE213:GK213)=1,1,0))))</f>
        <v>0</v>
      </c>
      <c r="GM213" s="8">
        <f>IF(GM$56-Voorblad!$F$41&gt;Voorblad!$K$41,0,IF($U213=0,0,IF($U213&lt;1,1/$U213,IF((GM$56-Voorblad!$F$41)/$U213-SUM($EE213:GL213)=1,1,0))))</f>
        <v>0</v>
      </c>
      <c r="GN213" s="8">
        <f>IF(GN$56-Voorblad!$F$41&gt;Voorblad!$K$41,0,IF($U213=0,0,IF($U213&lt;1,1/$U213,IF((GN$56-Voorblad!$F$41)/$U213-SUM($EE213:GM213)=1,1,0))))</f>
        <v>1</v>
      </c>
      <c r="GO213" s="8">
        <f>IF(GO$56-Voorblad!$F$41&gt;Voorblad!$K$41,0,IF($U213=0,0,IF($U213&lt;1,1/$U213,IF((GO$56-Voorblad!$F$41)/$U213-SUM($EE213:GN213)=1,1,0))))</f>
        <v>0</v>
      </c>
      <c r="GP213" s="8">
        <f>IF(GP$56-Voorblad!$F$41&gt;Voorblad!$K$41,0,IF($U213=0,0,IF($U213&lt;1,1/$U213,IF((GP$56-Voorblad!$F$41)/$U213-SUM($EE213:GO213)=1,1,0))))</f>
        <v>0</v>
      </c>
      <c r="GQ213" s="8">
        <f>IF(GQ$56-Voorblad!$F$41&gt;Voorblad!$K$41,0,IF($U213=0,0,IF($U213&lt;1,1/$U213,IF((GQ$56-Voorblad!$F$41)/$U213-SUM($EE213:GP213)=1,1,0))))</f>
        <v>0</v>
      </c>
      <c r="GR213" s="8">
        <f>IF(GR$56-Voorblad!$F$41&gt;Voorblad!$K$41,0,IF($U213=0,0,IF($U213&lt;1,1/$U213,IF((GR$56-Voorblad!$F$41)/$U213-SUM($EE213:GQ213)=1,1,0))))</f>
        <v>0</v>
      </c>
      <c r="GS213" s="8">
        <f>IF(GS$56-Voorblad!$F$41&gt;Voorblad!$K$41,0,IF($U213=0,0,IF($U213&lt;1,1/$U213,IF((GS$56-Voorblad!$F$41)/$U213-SUM($EE213:GR213)=1,1,0))))</f>
        <v>0</v>
      </c>
      <c r="GT213" s="8">
        <f>IF(GT$56-Voorblad!$F$41&gt;Voorblad!$K$41,0,IF($U213=0,0,IF($U213&lt;1,1/$U213,IF((GT$56-Voorblad!$F$41)/$U213-SUM($EE213:GS213)=1,1,0))))</f>
        <v>0</v>
      </c>
      <c r="GU213" s="8">
        <f>IF(GU$56-Voorblad!$F$41&gt;Voorblad!$K$41,0,IF($U213=0,0,IF($U213&lt;1,1/$U213,IF((GU$56-Voorblad!$F$41)/$U213-SUM($EE213:GT213)=1,1,0))))</f>
        <v>0</v>
      </c>
      <c r="GV213" s="8">
        <f>IF(GV$56-Voorblad!$F$41&gt;Voorblad!$K$41,0,IF($U213=0,0,IF($U213&lt;1,1/$U213,IF((GV$56-Voorblad!$F$41)/$U213-SUM($EE213:GU213)=1,1,0))))</f>
        <v>0</v>
      </c>
      <c r="GW213" s="8">
        <f>IF(GW$56-Voorblad!$F$41&gt;Voorblad!$K$41,0,IF($U213=0,0,IF($U213&lt;1,1/$U213,IF((GW$56-Voorblad!$F$41)/$U213-SUM($EE213:GV213)=1,1,0))))</f>
        <v>0</v>
      </c>
      <c r="GX213" s="8">
        <f>IF(GX$56-Voorblad!$F$41&gt;Voorblad!$K$41,0,IF($U213=0,0,IF($U213&lt;1,1/$U213,IF((GX$56-Voorblad!$F$41)/$U213-SUM($EE213:GW213)=1,1,0))))</f>
        <v>1</v>
      </c>
      <c r="GY213" s="8">
        <f>IF(GY$56-Voorblad!$F$41&gt;Voorblad!$K$41,0,IF($U213=0,0,IF($U213&lt;1,1/$U213,IF((GY$56-Voorblad!$F$41)/$U213-SUM($EE213:GX213)=1,1,0))))</f>
        <v>0</v>
      </c>
      <c r="GZ213" s="8">
        <f>IF(GZ$56-Voorblad!$F$41&gt;Voorblad!$K$41,0,IF($U213=0,0,IF($U213&lt;1,1/$U213,IF((GZ$56-Voorblad!$F$41)/$U213-SUM($EE213:GY213)=1,1,0))))</f>
        <v>0</v>
      </c>
      <c r="HA213" s="8">
        <f>IF(HA$56-Voorblad!$F$41&gt;Voorblad!$K$41,0,IF($U213=0,0,IF($U213&lt;1,1/$U213,IF((HA$56-Voorblad!$F$41)/$U213-SUM($EE213:GZ213)=1,1,0))))</f>
        <v>0</v>
      </c>
      <c r="HB213" s="8">
        <f>IF(HB$56-Voorblad!$F$41&gt;Voorblad!$K$41,0,IF($U213=0,0,IF($U213&lt;1,1/$U213,IF((HB$56-Voorblad!$F$41)/$U213-SUM($EE213:HA213)=1,1,0))))</f>
        <v>0</v>
      </c>
      <c r="HC213" s="8">
        <f>IF(HC$56-Voorblad!$F$41&gt;Voorblad!$K$41,0,IF($U213=0,0,IF($U213&lt;1,1/$U213,IF((HC$56-Voorblad!$F$41)/$U213-SUM($EE213:HB213)=1,1,0))))</f>
        <v>0</v>
      </c>
      <c r="HD213" s="8">
        <f>IF(HD$56-Voorblad!$F$41&gt;Voorblad!$K$41,0,IF($U213=0,0,IF($U213&lt;1,1/$U213,IF((HD$56-Voorblad!$F$41)/$U213-SUM($EE213:HC213)=1,1,0))))</f>
        <v>0</v>
      </c>
      <c r="HE213" s="8">
        <f>IF(HE$56-Voorblad!$F$41&gt;Voorblad!$K$41,0,IF($U213=0,0,IF($U213&lt;1,1/$U213,IF((HE$56-Voorblad!$F$41)/$U213-SUM($EE213:HD213)=1,1,0))))</f>
        <v>0</v>
      </c>
      <c r="HF213" s="8">
        <f>IF(HF$56-Voorblad!$F$41&gt;Voorblad!$K$41,0,IF($U213=0,0,IF($U213&lt;1,1/$U213,IF((HF$56-Voorblad!$F$41)/$U213-SUM($EE213:HE213)=1,1,0))))</f>
        <v>0</v>
      </c>
      <c r="HG213" s="8">
        <f>IF(HG$56-Voorblad!$F$41&gt;Voorblad!$K$41,0,IF($U213=0,0,IF($U213&lt;1,1/$U213,IF((HG$56-Voorblad!$F$41)/$U213-SUM($EE213:HF213)=1,1,0))))</f>
        <v>0</v>
      </c>
      <c r="HH213" s="8">
        <f>IF(HH$56-Voorblad!$F$41&gt;Voorblad!$K$41,0,IF($U213=0,0,IF($U213&lt;1,1/$U213,IF((HH$56-Voorblad!$F$41)/$U213-SUM($EE213:HG213)=1,1,0))))</f>
        <v>0</v>
      </c>
      <c r="HI213" s="8">
        <f>IF(HI$56-Voorblad!$F$41&gt;Voorblad!$K$41,0,IF($U213=0,0,IF($U213&lt;1,1/$U213,IF((HI$56-Voorblad!$F$41)/$U213-SUM($EE213:HH213)=1,1,0))))</f>
        <v>0</v>
      </c>
      <c r="HJ213" s="8">
        <f>IF(HJ$56-Voorblad!$F$41&gt;Voorblad!$K$41,0,IF($U213=0,0,IF($U213&lt;1,1/$U213,IF((HJ$56-Voorblad!$F$41)/$U213-SUM($EE213:HI213)=1,1,0))))</f>
        <v>0</v>
      </c>
      <c r="HK213" s="8">
        <f>IF(HK$56-Voorblad!$F$41&gt;Voorblad!$K$41,0,IF($U213=0,0,IF($U213&lt;1,1/$U213,IF((HK$56-Voorblad!$F$41)/$U213-SUM($EE213:HJ213)=1,1,0))))</f>
        <v>0</v>
      </c>
      <c r="HL213" s="8">
        <f>IF(HL$56-Voorblad!$F$41&gt;Voorblad!$K$41,0,IF($U213=0,0,IF($U213&lt;1,1/$U213,IF((HL$56-Voorblad!$F$41)/$U213-SUM($EE213:HK213)=1,1,0))))</f>
        <v>0</v>
      </c>
      <c r="HM213" s="8">
        <f>IF(HM$56-Voorblad!$F$41&gt;Voorblad!$K$41,0,IF($U213=0,0,IF($U213&lt;1,1/$U213,IF((HM$56-Voorblad!$F$41)/$U213-SUM($EE213:HL213)=1,1,0))))</f>
        <v>0</v>
      </c>
      <c r="HN213" s="8">
        <f>IF(HN$56-Voorblad!$F$41&gt;Voorblad!$K$41,0,IF($U213=0,0,IF($U213&lt;1,1/$U213,IF((HN$56-Voorblad!$F$41)/$U213-SUM($EE213:HM213)=1,1,0))))</f>
        <v>0</v>
      </c>
      <c r="HO213" s="8">
        <f>IF(HO$56-Voorblad!$F$41&gt;Voorblad!$K$41,0,IF($U213=0,0,IF($U213&lt;1,1/$U213,IF((HO$56-Voorblad!$F$41)/$U213-SUM($EE213:HN213)=1,1,0))))</f>
        <v>0</v>
      </c>
      <c r="HP213" s="8">
        <f>IF(HP$56-Voorblad!$F$41&gt;Voorblad!$K$41,0,IF($U213=0,0,IF($U213&lt;1,1/$U213,IF((HP$56-Voorblad!$F$41)/$U213-SUM($EE213:HO213)=1,1,0))))</f>
        <v>0</v>
      </c>
      <c r="HQ213" s="8">
        <f>IF(HQ$56-Voorblad!$F$41&gt;Voorblad!$K$41,0,IF($U213=0,0,IF($U213&lt;1,1/$U213,IF((HQ$56-Voorblad!$F$41)/$U213-SUM($EE213:HP213)=1,1,0))))</f>
        <v>0</v>
      </c>
      <c r="HR213" s="8">
        <f>IF(HR$56-Voorblad!$F$41&gt;Voorblad!$K$41,0,IF($U213=0,0,IF($U213&lt;1,1/$U213,IF((HR$56-Voorblad!$F$41)/$U213-SUM($EE213:HQ213)=1,1,0))))</f>
        <v>0</v>
      </c>
      <c r="HS213" s="8">
        <f>IF(HS$56-Voorblad!$F$41&gt;Voorblad!$K$41,0,IF($U213=0,0,IF($U213&lt;1,1/$U213,IF((HS$56-Voorblad!$F$41)/$U213-SUM($EE213:HR213)=1,1,0))))</f>
        <v>0</v>
      </c>
      <c r="HT213" s="8">
        <f>IF(HT$56-Voorblad!$F$41&gt;Voorblad!$K$41,0,IF($U213=0,0,IF($U213&lt;1,1/$U213,IF((HT$56-Voorblad!$F$41)/$U213-SUM($EE213:HS213)=1,1,0))))</f>
        <v>0</v>
      </c>
      <c r="HU213" s="8">
        <f>IF(HU$56-Voorblad!$F$41&gt;Voorblad!$K$41,0,IF($U213=0,0,IF($U213&lt;1,1/$U213,IF((HU$56-Voorblad!$F$41)/$U213-SUM($EE213:HT213)=1,1,0))))</f>
        <v>0</v>
      </c>
      <c r="HV213" s="8">
        <f>IF(HV$56-Voorblad!$F$41&gt;Voorblad!$K$41,0,IF($U213=0,0,IF($U213&lt;1,1/$U213,IF((HV$56-Voorblad!$F$41)/$U213-SUM($EE213:HU213)=1,1,0))))</f>
        <v>0</v>
      </c>
      <c r="HW213" s="8">
        <f>IF(HW$56-Voorblad!$F$41&gt;Voorblad!$K$41,0,IF($U213=0,0,IF($U213&lt;1,1/$U213,IF((HW$56-Voorblad!$F$41)/$U213-SUM($EE213:HV213)=1,1,0))))</f>
        <v>0</v>
      </c>
      <c r="HX213" s="8">
        <f>IF(HX$56-Voorblad!$F$41&gt;Voorblad!$K$41,0,IF($U213=0,0,IF($U213&lt;1,1/$U213,IF((HX$56-Voorblad!$F$41)/$U213-SUM($EE213:HW213)=1,1,0))))</f>
        <v>0</v>
      </c>
      <c r="HY213" s="8">
        <f>IF(HY$56-Voorblad!$F$41&gt;Voorblad!$K$41,0,IF($U213=0,0,IF($U213&lt;1,1/$U213,IF((HY$56-Voorblad!$F$41)/$U213-SUM($EE213:HX213)=1,1,0))))</f>
        <v>0</v>
      </c>
      <c r="HZ213" s="8">
        <f>IF(HZ$56-Voorblad!$F$41&gt;Voorblad!$K$41,0,IF($U213=0,0,IF($U213&lt;1,1/$U213,IF((HZ$56-Voorblad!$F$41)/$U213-SUM($EE213:HY213)=1,1,0))))</f>
        <v>0</v>
      </c>
      <c r="IA213" s="8">
        <f>IF(IA$56-Voorblad!$F$41&gt;Voorblad!$K$41,0,IF($U213=0,0,IF($U213&lt;1,1/$U213,IF((IA$56-Voorblad!$F$41)/$U213-SUM($EE213:HZ213)=1,1,0))))</f>
        <v>0</v>
      </c>
      <c r="IB213" s="8">
        <f>IF(IB$56-Voorblad!$F$41&gt;Voorblad!$K$41,0,IF($U213=0,0,IF($U213&lt;1,1/$U213,IF((IB$56-Voorblad!$F$41)/$U213-SUM($EE213:IA213)=1,1,0))))</f>
        <v>0</v>
      </c>
    </row>
    <row r="214" spans="2:236" ht="12" customHeight="1" outlineLevel="1" x14ac:dyDescent="0.25">
      <c r="B214" s="1">
        <v>3</v>
      </c>
      <c r="F214" s="1" t="s">
        <v>23</v>
      </c>
      <c r="I214" s="1" t="s">
        <v>277</v>
      </c>
      <c r="K214" s="1" t="s">
        <v>84</v>
      </c>
      <c r="O214" s="1" t="s">
        <v>133</v>
      </c>
      <c r="Q214" s="81">
        <f>(2*11.4*2.5)+(4*((2.5*2.5)/2))</f>
        <v>69.5</v>
      </c>
      <c r="R214" s="1" t="s">
        <v>35</v>
      </c>
      <c r="S214" s="21">
        <f>$H$20*20</f>
        <v>35.4</v>
      </c>
      <c r="T214" s="9">
        <f>Q214*S214</f>
        <v>2460.2999999999997</v>
      </c>
      <c r="U214" s="14">
        <v>10</v>
      </c>
      <c r="V214" s="14"/>
      <c r="Y214" s="9">
        <f t="shared" si="200"/>
        <v>7224.4791078827593</v>
      </c>
      <c r="Z214" s="83"/>
      <c r="AA214" s="83"/>
      <c r="AC214" s="9">
        <f>$Y214*(Voorblad!$K$44*(1+Voorblad!$K$44)^Voorblad!$K$41)/((1+Voorblad!$K$44)^Voorblad!$K$41-1)</f>
        <v>216.26969073638045</v>
      </c>
      <c r="AE214" s="9">
        <f>EF214*($Q214*$S214)/(1+Voorblad!$K$44)^(AE$56-Voorblad!$F$41)</f>
        <v>0</v>
      </c>
      <c r="AF214" s="9">
        <f>EG214*($Q214*$S214)/(1+Voorblad!$K$44)^(AF$56-Voorblad!$F$41)</f>
        <v>0</v>
      </c>
      <c r="AG214" s="9">
        <f>EH214*($Q214*$S214)/(1+Voorblad!$K$44)^(AG$56-Voorblad!$F$41)</f>
        <v>0</v>
      </c>
      <c r="AH214" s="9">
        <f>EI214*($Q214*$S214)/(1+Voorblad!$K$44)^(AH$56-Voorblad!$F$41)</f>
        <v>0</v>
      </c>
      <c r="AI214" s="9">
        <f>EJ214*($Q214*$S214)/(1+Voorblad!$K$44)^(AI$56-Voorblad!$F$41)</f>
        <v>0</v>
      </c>
      <c r="AJ214" s="9">
        <f>EK214*($Q214*$S214)/(1+Voorblad!$K$44)^(AJ$56-Voorblad!$F$41)</f>
        <v>0</v>
      </c>
      <c r="AK214" s="9">
        <f>EL214*($Q214*$S214)/(1+Voorblad!$K$44)^(AK$56-Voorblad!$F$41)</f>
        <v>0</v>
      </c>
      <c r="AL214" s="9">
        <f>EM214*($Q214*$S214)/(1+Voorblad!$K$44)^(AL$56-Voorblad!$F$41)</f>
        <v>0</v>
      </c>
      <c r="AM214" s="9">
        <f>EN214*($Q214*$S214)/(1+Voorblad!$K$44)^(AM$56-Voorblad!$F$41)</f>
        <v>0</v>
      </c>
      <c r="AN214" s="9">
        <f>EO214*($Q214*$S214)/(1+Voorblad!$K$44)^(AN$56-Voorblad!$F$41)</f>
        <v>0</v>
      </c>
      <c r="AO214" s="9">
        <f>EP214*($Q214*$S214)/(1+Voorblad!$K$44)^(AO$56-Voorblad!$F$41)</f>
        <v>1921.9824277658061</v>
      </c>
      <c r="AP214" s="9">
        <f>EQ214*($Q214*$S214)/(1+Voorblad!$K$44)^(AP$56-Voorblad!$F$41)</f>
        <v>0</v>
      </c>
      <c r="AQ214" s="9">
        <f>ER214*($Q214*$S214)/(1+Voorblad!$K$44)^(AQ$56-Voorblad!$F$41)</f>
        <v>0</v>
      </c>
      <c r="AR214" s="9">
        <f>ES214*($Q214*$S214)/(1+Voorblad!$K$44)^(AR$56-Voorblad!$F$41)</f>
        <v>0</v>
      </c>
      <c r="AS214" s="9">
        <f>ET214*($Q214*$S214)/(1+Voorblad!$K$44)^(AS$56-Voorblad!$F$41)</f>
        <v>0</v>
      </c>
      <c r="AT214" s="9">
        <f>EU214*($Q214*$S214)/(1+Voorblad!$K$44)^(AT$56-Voorblad!$F$41)</f>
        <v>0</v>
      </c>
      <c r="AU214" s="9">
        <f>EV214*($Q214*$S214)/(1+Voorblad!$K$44)^(AU$56-Voorblad!$F$41)</f>
        <v>0</v>
      </c>
      <c r="AV214" s="9">
        <f>EW214*($Q214*$S214)/(1+Voorblad!$K$44)^(AV$56-Voorblad!$F$41)</f>
        <v>0</v>
      </c>
      <c r="AW214" s="9">
        <f>EX214*($Q214*$S214)/(1+Voorblad!$K$44)^(AW$56-Voorblad!$F$41)</f>
        <v>0</v>
      </c>
      <c r="AX214" s="9">
        <f>EY214*($Q214*$S214)/(1+Voorblad!$K$44)^(AX$56-Voorblad!$F$41)</f>
        <v>0</v>
      </c>
      <c r="AY214" s="9">
        <f>EZ214*($Q214*$S214)/(1+Voorblad!$K$44)^(AY$56-Voorblad!$F$41)</f>
        <v>1501.4496007155801</v>
      </c>
      <c r="AZ214" s="9">
        <f>FA214*($Q214*$S214)/(1+Voorblad!$K$44)^(AZ$56-Voorblad!$F$41)</f>
        <v>0</v>
      </c>
      <c r="BA214" s="9">
        <f>FB214*($Q214*$S214)/(1+Voorblad!$K$44)^(BA$56-Voorblad!$F$41)</f>
        <v>0</v>
      </c>
      <c r="BB214" s="9">
        <f>FC214*($Q214*$S214)/(1+Voorblad!$K$44)^(BB$56-Voorblad!$F$41)</f>
        <v>0</v>
      </c>
      <c r="BC214" s="9">
        <f>FD214*($Q214*$S214)/(1+Voorblad!$K$44)^(BC$56-Voorblad!$F$41)</f>
        <v>0</v>
      </c>
      <c r="BD214" s="9">
        <f>FE214*($Q214*$S214)/(1+Voorblad!$K$44)^(BD$56-Voorblad!$F$41)</f>
        <v>0</v>
      </c>
      <c r="BE214" s="9">
        <f>FF214*($Q214*$S214)/(1+Voorblad!$K$44)^(BE$56-Voorblad!$F$41)</f>
        <v>0</v>
      </c>
      <c r="BF214" s="9">
        <f>FG214*($Q214*$S214)/(1+Voorblad!$K$44)^(BF$56-Voorblad!$F$41)</f>
        <v>0</v>
      </c>
      <c r="BG214" s="9">
        <f>FH214*($Q214*$S214)/(1+Voorblad!$K$44)^(BG$56-Voorblad!$F$41)</f>
        <v>0</v>
      </c>
      <c r="BH214" s="9">
        <f>FI214*($Q214*$S214)/(1+Voorblad!$K$44)^(BH$56-Voorblad!$F$41)</f>
        <v>0</v>
      </c>
      <c r="BI214" s="9">
        <f>FJ214*($Q214*$S214)/(1+Voorblad!$K$44)^(BI$56-Voorblad!$F$41)</f>
        <v>1172.9300283507423</v>
      </c>
      <c r="BJ214" s="9">
        <f>FK214*($Q214*$S214)/(1+Voorblad!$K$44)^(BJ$56-Voorblad!$F$41)</f>
        <v>0</v>
      </c>
      <c r="BK214" s="9">
        <f>FL214*($Q214*$S214)/(1+Voorblad!$K$44)^(BK$56-Voorblad!$F$41)</f>
        <v>0</v>
      </c>
      <c r="BL214" s="9">
        <f>FM214*($Q214*$S214)/(1+Voorblad!$K$44)^(BL$56-Voorblad!$F$41)</f>
        <v>0</v>
      </c>
      <c r="BM214" s="9">
        <f>FN214*($Q214*$S214)/(1+Voorblad!$K$44)^(BM$56-Voorblad!$F$41)</f>
        <v>0</v>
      </c>
      <c r="BN214" s="9">
        <f>FO214*($Q214*$S214)/(1+Voorblad!$K$44)^(BN$56-Voorblad!$F$41)</f>
        <v>0</v>
      </c>
      <c r="BO214" s="9">
        <f>FP214*($Q214*$S214)/(1+Voorblad!$K$44)^(BO$56-Voorblad!$F$41)</f>
        <v>0</v>
      </c>
      <c r="BP214" s="9">
        <f>FQ214*($Q214*$S214)/(1+Voorblad!$K$44)^(BP$56-Voorblad!$F$41)</f>
        <v>0</v>
      </c>
      <c r="BQ214" s="9">
        <f>FR214*($Q214*$S214)/(1+Voorblad!$K$44)^(BQ$56-Voorblad!$F$41)</f>
        <v>0</v>
      </c>
      <c r="BR214" s="9">
        <f>FS214*($Q214*$S214)/(1+Voorblad!$K$44)^(BR$56-Voorblad!$F$41)</f>
        <v>0</v>
      </c>
      <c r="BS214" s="9">
        <f>FT214*($Q214*$S214)/(1+Voorblad!$K$44)^(BS$56-Voorblad!$F$41)</f>
        <v>916.29106348371158</v>
      </c>
      <c r="BT214" s="9">
        <f>FU214*($Q214*$S214)/(1+Voorblad!$K$44)^(BT$56-Voorblad!$F$41)</f>
        <v>0</v>
      </c>
      <c r="BU214" s="9">
        <f>FV214*($Q214*$S214)/(1+Voorblad!$K$44)^(BU$56-Voorblad!$F$41)</f>
        <v>0</v>
      </c>
      <c r="BV214" s="9">
        <f>FW214*($Q214*$S214)/(1+Voorblad!$K$44)^(BV$56-Voorblad!$F$41)</f>
        <v>0</v>
      </c>
      <c r="BW214" s="9">
        <f>FX214*($Q214*$S214)/(1+Voorblad!$K$44)^(BW$56-Voorblad!$F$41)</f>
        <v>0</v>
      </c>
      <c r="BX214" s="9">
        <f>FY214*($Q214*$S214)/(1+Voorblad!$K$44)^(BX$56-Voorblad!$F$41)</f>
        <v>0</v>
      </c>
      <c r="BY214" s="9">
        <f>FZ214*($Q214*$S214)/(1+Voorblad!$K$44)^(BY$56-Voorblad!$F$41)</f>
        <v>0</v>
      </c>
      <c r="BZ214" s="9">
        <f>GA214*($Q214*$S214)/(1+Voorblad!$K$44)^(BZ$56-Voorblad!$F$41)</f>
        <v>0</v>
      </c>
      <c r="CA214" s="9">
        <f>GB214*($Q214*$S214)/(1+Voorblad!$K$44)^(CA$56-Voorblad!$F$41)</f>
        <v>0</v>
      </c>
      <c r="CB214" s="9">
        <f>GC214*($Q214*$S214)/(1+Voorblad!$K$44)^(CB$56-Voorblad!$F$41)</f>
        <v>0</v>
      </c>
      <c r="CC214" s="9">
        <f>GD214*($Q214*$S214)/(1+Voorblad!$K$44)^(CC$56-Voorblad!$F$41)</f>
        <v>715.8051143090421</v>
      </c>
      <c r="CD214" s="9">
        <f>GE214*($Q214*$S214)/(1+Voorblad!$K$44)^(CD$56-Voorblad!$F$41)</f>
        <v>0</v>
      </c>
      <c r="CE214" s="9">
        <f>GF214*($Q214*$S214)/(1+Voorblad!$K$44)^(CE$56-Voorblad!$F$41)</f>
        <v>0</v>
      </c>
      <c r="CF214" s="9">
        <f>GG214*($Q214*$S214)/(1+Voorblad!$K$44)^(CF$56-Voorblad!$F$41)</f>
        <v>0</v>
      </c>
      <c r="CG214" s="9">
        <f>GH214*($Q214*$S214)/(1+Voorblad!$K$44)^(CG$56-Voorblad!$F$41)</f>
        <v>0</v>
      </c>
      <c r="CH214" s="9">
        <f>GI214*($Q214*$S214)/(1+Voorblad!$K$44)^(CH$56-Voorblad!$F$41)</f>
        <v>0</v>
      </c>
      <c r="CI214" s="9">
        <f>GJ214*($Q214*$S214)/(1+Voorblad!$K$44)^(CI$56-Voorblad!$F$41)</f>
        <v>0</v>
      </c>
      <c r="CJ214" s="9">
        <f>GK214*($Q214*$S214)/(1+Voorblad!$K$44)^(CJ$56-Voorblad!$F$41)</f>
        <v>0</v>
      </c>
      <c r="CK214" s="9">
        <f>GL214*($Q214*$S214)/(1+Voorblad!$K$44)^(CK$56-Voorblad!$F$41)</f>
        <v>0</v>
      </c>
      <c r="CL214" s="9">
        <f>GM214*($Q214*$S214)/(1+Voorblad!$K$44)^(CL$56-Voorblad!$F$41)</f>
        <v>0</v>
      </c>
      <c r="CM214" s="9">
        <f>GN214*($Q214*$S214)/(1+Voorblad!$K$44)^(CM$56-Voorblad!$F$41)</f>
        <v>559.185811245325</v>
      </c>
      <c r="CN214" s="9">
        <f>GO214*($Q214*$S214)/(1+Voorblad!$K$44)^(CN$56-Voorblad!$F$41)</f>
        <v>0</v>
      </c>
      <c r="CO214" s="9">
        <f>GP214*($Q214*$S214)/(1+Voorblad!$K$44)^(CO$56-Voorblad!$F$41)</f>
        <v>0</v>
      </c>
      <c r="CP214" s="9">
        <f>GQ214*($Q214*$S214)/(1+Voorblad!$K$44)^(CP$56-Voorblad!$F$41)</f>
        <v>0</v>
      </c>
      <c r="CQ214" s="9">
        <f>GR214*($Q214*$S214)/(1+Voorblad!$K$44)^(CQ$56-Voorblad!$F$41)</f>
        <v>0</v>
      </c>
      <c r="CR214" s="9">
        <f>GS214*($Q214*$S214)/(1+Voorblad!$K$44)^(CR$56-Voorblad!$F$41)</f>
        <v>0</v>
      </c>
      <c r="CS214" s="9">
        <f>GT214*($Q214*$S214)/(1+Voorblad!$K$44)^(CS$56-Voorblad!$F$41)</f>
        <v>0</v>
      </c>
      <c r="CT214" s="9">
        <f>GU214*($Q214*$S214)/(1+Voorblad!$K$44)^(CT$56-Voorblad!$F$41)</f>
        <v>0</v>
      </c>
      <c r="CU214" s="9">
        <f>GV214*($Q214*$S214)/(1+Voorblad!$K$44)^(CU$56-Voorblad!$F$41)</f>
        <v>0</v>
      </c>
      <c r="CV214" s="9">
        <f>GW214*($Q214*$S214)/(1+Voorblad!$K$44)^(CV$56-Voorblad!$F$41)</f>
        <v>0</v>
      </c>
      <c r="CW214" s="9">
        <f>GX214*($Q214*$S214)/(1+Voorblad!$K$44)^(CW$56-Voorblad!$F$41)</f>
        <v>436.83506201255199</v>
      </c>
      <c r="CX214" s="9">
        <f>GY214*($Q214*$S214)/(1+Voorblad!$K$44)^(CX$56-Voorblad!$F$41)</f>
        <v>0</v>
      </c>
      <c r="CY214" s="9">
        <f>GZ214*($Q214*$S214)/(1+Voorblad!$K$44)^(CY$56-Voorblad!$F$41)</f>
        <v>0</v>
      </c>
      <c r="CZ214" s="9">
        <f>HA214*($Q214*$S214)/(1+Voorblad!$K$44)^(CZ$56-Voorblad!$F$41)</f>
        <v>0</v>
      </c>
      <c r="DA214" s="9">
        <f>HB214*($Q214*$S214)/(1+Voorblad!$K$44)^(DA$56-Voorblad!$F$41)</f>
        <v>0</v>
      </c>
      <c r="DB214" s="9">
        <f>HC214*($Q214*$S214)/(1+Voorblad!$K$44)^(DB$56-Voorblad!$F$41)</f>
        <v>0</v>
      </c>
      <c r="DC214" s="9">
        <f>HD214*($Q214*$S214)/(1+Voorblad!$K$44)^(DC$56-Voorblad!$F$41)</f>
        <v>0</v>
      </c>
      <c r="DD214" s="9">
        <f>HE214*($Q214*$S214)/(1+Voorblad!$K$44)^(DD$56-Voorblad!$F$41)</f>
        <v>0</v>
      </c>
      <c r="DE214" s="9">
        <f>HF214*($Q214*$S214)/(1+Voorblad!$K$44)^(DE$56-Voorblad!$F$41)</f>
        <v>0</v>
      </c>
      <c r="DF214" s="9">
        <f>HG214*($Q214*$S214)/(1+Voorblad!$K$44)^(DF$56-Voorblad!$F$41)</f>
        <v>0</v>
      </c>
      <c r="DG214" s="9">
        <f>HH214*($Q214*$S214)/(1+Voorblad!$K$44)^(DG$56-Voorblad!$F$41)</f>
        <v>0</v>
      </c>
      <c r="DH214" s="9">
        <f>HI214*($Q214*$S214)/(1+Voorblad!$K$44)^(DH$56-Voorblad!$F$41)</f>
        <v>0</v>
      </c>
      <c r="DI214" s="9">
        <f>HJ214*($Q214*$S214)/(1+Voorblad!$K$44)^(DI$56-Voorblad!$F$41)</f>
        <v>0</v>
      </c>
      <c r="DJ214" s="9">
        <f>HK214*($Q214*$S214)/(1+Voorblad!$K$44)^(DJ$56-Voorblad!$F$41)</f>
        <v>0</v>
      </c>
      <c r="DK214" s="9">
        <f>HL214*($Q214*$S214)/(1+Voorblad!$K$44)^(DK$56-Voorblad!$F$41)</f>
        <v>0</v>
      </c>
      <c r="DL214" s="9">
        <f>HM214*($Q214*$S214)/(1+Voorblad!$K$44)^(DL$56-Voorblad!$F$41)</f>
        <v>0</v>
      </c>
      <c r="DM214" s="9">
        <f>HN214*($Q214*$S214)/(1+Voorblad!$K$44)^(DM$56-Voorblad!$F$41)</f>
        <v>0</v>
      </c>
      <c r="DN214" s="9">
        <f>HO214*($Q214*$S214)/(1+Voorblad!$K$44)^(DN$56-Voorblad!$F$41)</f>
        <v>0</v>
      </c>
      <c r="DO214" s="9">
        <f>HP214*($Q214*$S214)/(1+Voorblad!$K$44)^(DO$56-Voorblad!$F$41)</f>
        <v>0</v>
      </c>
      <c r="DP214" s="9">
        <f>HQ214*($Q214*$S214)/(1+Voorblad!$K$44)^(DP$56-Voorblad!$F$41)</f>
        <v>0</v>
      </c>
      <c r="DQ214" s="9">
        <f>HR214*($Q214*$S214)/(1+Voorblad!$K$44)^(DQ$56-Voorblad!$F$41)</f>
        <v>0</v>
      </c>
      <c r="DR214" s="9">
        <f>HS214*($Q214*$S214)/(1+Voorblad!$K$44)^(DR$56-Voorblad!$F$41)</f>
        <v>0</v>
      </c>
      <c r="DS214" s="9">
        <f>HT214*($Q214*$S214)/(1+Voorblad!$K$44)^(DS$56-Voorblad!$F$41)</f>
        <v>0</v>
      </c>
      <c r="DT214" s="9">
        <f>HU214*($Q214*$S214)/(1+Voorblad!$K$44)^(DT$56-Voorblad!$F$41)</f>
        <v>0</v>
      </c>
      <c r="DU214" s="9">
        <f>HV214*($Q214*$S214)/(1+Voorblad!$K$44)^(DU$56-Voorblad!$F$41)</f>
        <v>0</v>
      </c>
      <c r="DV214" s="9">
        <f>HW214*($Q214*$S214)/(1+Voorblad!$K$44)^(DV$56-Voorblad!$F$41)</f>
        <v>0</v>
      </c>
      <c r="DW214" s="9">
        <f>HX214*($Q214*$S214)/(1+Voorblad!$K$44)^(DW$56-Voorblad!$F$41)</f>
        <v>0</v>
      </c>
      <c r="DX214" s="9">
        <f>HY214*($Q214*$S214)/(1+Voorblad!$K$44)^(DX$56-Voorblad!$F$41)</f>
        <v>0</v>
      </c>
      <c r="DY214" s="9">
        <f>HZ214*($Q214*$S214)/(1+Voorblad!$K$44)^(DY$56-Voorblad!$F$41)</f>
        <v>0</v>
      </c>
      <c r="DZ214" s="9">
        <f>IA214*($Q214*$S214)/(1+Voorblad!$K$44)^(DZ$56-Voorblad!$F$41)</f>
        <v>0</v>
      </c>
      <c r="EA214" s="9">
        <f>IB214*($Q214*$S214)/(1+Voorblad!$K$44)^(EA$56-Voorblad!$F$41)</f>
        <v>0</v>
      </c>
      <c r="EB214" s="9">
        <f>IC214*($Q214*$S214)/(1+Voorblad!$K$44)^(EB$56-Voorblad!$F$41)</f>
        <v>0</v>
      </c>
      <c r="EE214" s="8">
        <v>0</v>
      </c>
      <c r="EF214" s="8">
        <f>IF(EF$56-Voorblad!$F$41&gt;Voorblad!$K$41,0,IF($U214=0,0,IF($U214&lt;1,1/$U214,IF((EF$56-Voorblad!$F$41)/$U214-SUM($EE214:EE214)=1,1,0))))</f>
        <v>0</v>
      </c>
      <c r="EG214" s="8">
        <f>IF(EG$56-Voorblad!$F$41&gt;Voorblad!$K$41,0,IF($U214=0,0,IF($U214&lt;1,1/$U214,IF((EG$56-Voorblad!$F$41)/$U214-SUM($EE214:EF214)=1,1,0))))</f>
        <v>0</v>
      </c>
      <c r="EH214" s="8">
        <f>IF(EH$56-Voorblad!$F$41&gt;Voorblad!$K$41,0,IF($U214=0,0,IF($U214&lt;1,1/$U214,IF((EH$56-Voorblad!$F$41)/$U214-SUM($EE214:EG214)=1,1,0))))</f>
        <v>0</v>
      </c>
      <c r="EI214" s="8">
        <f>IF(EI$56-Voorblad!$F$41&gt;Voorblad!$K$41,0,IF($U214=0,0,IF($U214&lt;1,1/$U214,IF((EI$56-Voorblad!$F$41)/$U214-SUM($EE214:EH214)=1,1,0))))</f>
        <v>0</v>
      </c>
      <c r="EJ214" s="8">
        <f>IF(EJ$56-Voorblad!$F$41&gt;Voorblad!$K$41,0,IF($U214=0,0,IF($U214&lt;1,1/$U214,IF((EJ$56-Voorblad!$F$41)/$U214-SUM($EE214:EI214)=1,1,0))))</f>
        <v>0</v>
      </c>
      <c r="EK214" s="8">
        <f>IF(EK$56-Voorblad!$F$41&gt;Voorblad!$K$41,0,IF($U214=0,0,IF($U214&lt;1,1/$U214,IF((EK$56-Voorblad!$F$41)/$U214-SUM($EE214:EJ214)=1,1,0))))</f>
        <v>0</v>
      </c>
      <c r="EL214" s="8">
        <f>IF(EL$56-Voorblad!$F$41&gt;Voorblad!$K$41,0,IF($U214=0,0,IF($U214&lt;1,1/$U214,IF((EL$56-Voorblad!$F$41)/$U214-SUM($EE214:EK214)=1,1,0))))</f>
        <v>0</v>
      </c>
      <c r="EM214" s="8">
        <f>IF(EM$56-Voorblad!$F$41&gt;Voorblad!$K$41,0,IF($U214=0,0,IF($U214&lt;1,1/$U214,IF((EM$56-Voorblad!$F$41)/$U214-SUM($EE214:EL214)=1,1,0))))</f>
        <v>0</v>
      </c>
      <c r="EN214" s="8">
        <f>IF(EN$56-Voorblad!$F$41&gt;Voorblad!$K$41,0,IF($U214=0,0,IF($U214&lt;1,1/$U214,IF((EN$56-Voorblad!$F$41)/$U214-SUM($EE214:EM214)=1,1,0))))</f>
        <v>0</v>
      </c>
      <c r="EO214" s="8">
        <f>IF(EO$56-Voorblad!$F$41&gt;Voorblad!$K$41,0,IF($U214=0,0,IF($U214&lt;1,1/$U214,IF((EO$56-Voorblad!$F$41)/$U214-SUM($EE214:EN214)=1,1,0))))</f>
        <v>0</v>
      </c>
      <c r="EP214" s="8">
        <f>IF(EP$56-Voorblad!$F$41&gt;Voorblad!$K$41,0,IF($U214=0,0,IF($U214&lt;1,1/$U214,IF((EP$56-Voorblad!$F$41)/$U214-SUM($EE214:EO214)=1,1,0))))</f>
        <v>1</v>
      </c>
      <c r="EQ214" s="8">
        <f>IF(EQ$56-Voorblad!$F$41&gt;Voorblad!$K$41,0,IF($U214=0,0,IF($U214&lt;1,1/$U214,IF((EQ$56-Voorblad!$F$41)/$U214-SUM($EE214:EP214)=1,1,0))))</f>
        <v>0</v>
      </c>
      <c r="ER214" s="8">
        <f>IF(ER$56-Voorblad!$F$41&gt;Voorblad!$K$41,0,IF($U214=0,0,IF($U214&lt;1,1/$U214,IF((ER$56-Voorblad!$F$41)/$U214-SUM($EE214:EQ214)=1,1,0))))</f>
        <v>0</v>
      </c>
      <c r="ES214" s="8">
        <f>IF(ES$56-Voorblad!$F$41&gt;Voorblad!$K$41,0,IF($U214=0,0,IF($U214&lt;1,1/$U214,IF((ES$56-Voorblad!$F$41)/$U214-SUM($EE214:ER214)=1,1,0))))</f>
        <v>0</v>
      </c>
      <c r="ET214" s="8">
        <f>IF(ET$56-Voorblad!$F$41&gt;Voorblad!$K$41,0,IF($U214=0,0,IF($U214&lt;1,1/$U214,IF((ET$56-Voorblad!$F$41)/$U214-SUM($EE214:ES214)=1,1,0))))</f>
        <v>0</v>
      </c>
      <c r="EU214" s="8">
        <f>IF(EU$56-Voorblad!$F$41&gt;Voorblad!$K$41,0,IF($U214=0,0,IF($U214&lt;1,1/$U214,IF((EU$56-Voorblad!$F$41)/$U214-SUM($EE214:ET214)=1,1,0))))</f>
        <v>0</v>
      </c>
      <c r="EV214" s="8">
        <f>IF(EV$56-Voorblad!$F$41&gt;Voorblad!$K$41,0,IF($U214=0,0,IF($U214&lt;1,1/$U214,IF((EV$56-Voorblad!$F$41)/$U214-SUM($EE214:EU214)=1,1,0))))</f>
        <v>0</v>
      </c>
      <c r="EW214" s="8">
        <f>IF(EW$56-Voorblad!$F$41&gt;Voorblad!$K$41,0,IF($U214=0,0,IF($U214&lt;1,1/$U214,IF((EW$56-Voorblad!$F$41)/$U214-SUM($EE214:EV214)=1,1,0))))</f>
        <v>0</v>
      </c>
      <c r="EX214" s="8">
        <f>IF(EX$56-Voorblad!$F$41&gt;Voorblad!$K$41,0,IF($U214=0,0,IF($U214&lt;1,1/$U214,IF((EX$56-Voorblad!$F$41)/$U214-SUM($EE214:EW214)=1,1,0))))</f>
        <v>0</v>
      </c>
      <c r="EY214" s="8">
        <f>IF(EY$56-Voorblad!$F$41&gt;Voorblad!$K$41,0,IF($U214=0,0,IF($U214&lt;1,1/$U214,IF((EY$56-Voorblad!$F$41)/$U214-SUM($EE214:EX214)=1,1,0))))</f>
        <v>0</v>
      </c>
      <c r="EZ214" s="8">
        <f>IF(EZ$56-Voorblad!$F$41&gt;Voorblad!$K$41,0,IF($U214=0,0,IF($U214&lt;1,1/$U214,IF((EZ$56-Voorblad!$F$41)/$U214-SUM($EE214:EY214)=1,1,0))))</f>
        <v>1</v>
      </c>
      <c r="FA214" s="8">
        <f>IF(FA$56-Voorblad!$F$41&gt;Voorblad!$K$41,0,IF($U214=0,0,IF($U214&lt;1,1/$U214,IF((FA$56-Voorblad!$F$41)/$U214-SUM($EE214:EZ214)=1,1,0))))</f>
        <v>0</v>
      </c>
      <c r="FB214" s="8">
        <f>IF(FB$56-Voorblad!$F$41&gt;Voorblad!$K$41,0,IF($U214=0,0,IF($U214&lt;1,1/$U214,IF((FB$56-Voorblad!$F$41)/$U214-SUM($EE214:FA214)=1,1,0))))</f>
        <v>0</v>
      </c>
      <c r="FC214" s="8">
        <f>IF(FC$56-Voorblad!$F$41&gt;Voorblad!$K$41,0,IF($U214=0,0,IF($U214&lt;1,1/$U214,IF((FC$56-Voorblad!$F$41)/$U214-SUM($EE214:FB214)=1,1,0))))</f>
        <v>0</v>
      </c>
      <c r="FD214" s="8">
        <f>IF(FD$56-Voorblad!$F$41&gt;Voorblad!$K$41,0,IF($U214=0,0,IF($U214&lt;1,1/$U214,IF((FD$56-Voorblad!$F$41)/$U214-SUM($EE214:FC214)=1,1,0))))</f>
        <v>0</v>
      </c>
      <c r="FE214" s="8">
        <f>IF(FE$56-Voorblad!$F$41&gt;Voorblad!$K$41,0,IF($U214=0,0,IF($U214&lt;1,1/$U214,IF((FE$56-Voorblad!$F$41)/$U214-SUM($EE214:FD214)=1,1,0))))</f>
        <v>0</v>
      </c>
      <c r="FF214" s="8">
        <f>IF(FF$56-Voorblad!$F$41&gt;Voorblad!$K$41,0,IF($U214=0,0,IF($U214&lt;1,1/$U214,IF((FF$56-Voorblad!$F$41)/$U214-SUM($EE214:FE214)=1,1,0))))</f>
        <v>0</v>
      </c>
      <c r="FG214" s="8">
        <f>IF(FG$56-Voorblad!$F$41&gt;Voorblad!$K$41,0,IF($U214=0,0,IF($U214&lt;1,1/$U214,IF((FG$56-Voorblad!$F$41)/$U214-SUM($EE214:FF214)=1,1,0))))</f>
        <v>0</v>
      </c>
      <c r="FH214" s="8">
        <f>IF(FH$56-Voorblad!$F$41&gt;Voorblad!$K$41,0,IF($U214=0,0,IF($U214&lt;1,1/$U214,IF((FH$56-Voorblad!$F$41)/$U214-SUM($EE214:FG214)=1,1,0))))</f>
        <v>0</v>
      </c>
      <c r="FI214" s="8">
        <f>IF(FI$56-Voorblad!$F$41&gt;Voorblad!$K$41,0,IF($U214=0,0,IF($U214&lt;1,1/$U214,IF((FI$56-Voorblad!$F$41)/$U214-SUM($EE214:FH214)=1,1,0))))</f>
        <v>0</v>
      </c>
      <c r="FJ214" s="8">
        <f>IF(FJ$56-Voorblad!$F$41&gt;Voorblad!$K$41,0,IF($U214=0,0,IF($U214&lt;1,1/$U214,IF((FJ$56-Voorblad!$F$41)/$U214-SUM($EE214:FI214)=1,1,0))))</f>
        <v>1</v>
      </c>
      <c r="FK214" s="8">
        <f>IF(FK$56-Voorblad!$F$41&gt;Voorblad!$K$41,0,IF($U214=0,0,IF($U214&lt;1,1/$U214,IF((FK$56-Voorblad!$F$41)/$U214-SUM($EE214:FJ214)=1,1,0))))</f>
        <v>0</v>
      </c>
      <c r="FL214" s="8">
        <f>IF(FL$56-Voorblad!$F$41&gt;Voorblad!$K$41,0,IF($U214=0,0,IF($U214&lt;1,1/$U214,IF((FL$56-Voorblad!$F$41)/$U214-SUM($EE214:FK214)=1,1,0))))</f>
        <v>0</v>
      </c>
      <c r="FM214" s="8">
        <f>IF(FM$56-Voorblad!$F$41&gt;Voorblad!$K$41,0,IF($U214=0,0,IF($U214&lt;1,1/$U214,IF((FM$56-Voorblad!$F$41)/$U214-SUM($EE214:FL214)=1,1,0))))</f>
        <v>0</v>
      </c>
      <c r="FN214" s="8">
        <f>IF(FN$56-Voorblad!$F$41&gt;Voorblad!$K$41,0,IF($U214=0,0,IF($U214&lt;1,1/$U214,IF((FN$56-Voorblad!$F$41)/$U214-SUM($EE214:FM214)=1,1,0))))</f>
        <v>0</v>
      </c>
      <c r="FO214" s="8">
        <f>IF(FO$56-Voorblad!$F$41&gt;Voorblad!$K$41,0,IF($U214=0,0,IF($U214&lt;1,1/$U214,IF((FO$56-Voorblad!$F$41)/$U214-SUM($EE214:FN214)=1,1,0))))</f>
        <v>0</v>
      </c>
      <c r="FP214" s="8">
        <f>IF(FP$56-Voorblad!$F$41&gt;Voorblad!$K$41,0,IF($U214=0,0,IF($U214&lt;1,1/$U214,IF((FP$56-Voorblad!$F$41)/$U214-SUM($EE214:FO214)=1,1,0))))</f>
        <v>0</v>
      </c>
      <c r="FQ214" s="8">
        <f>IF(FQ$56-Voorblad!$F$41&gt;Voorblad!$K$41,0,IF($U214=0,0,IF($U214&lt;1,1/$U214,IF((FQ$56-Voorblad!$F$41)/$U214-SUM($EE214:FP214)=1,1,0))))</f>
        <v>0</v>
      </c>
      <c r="FR214" s="8">
        <f>IF(FR$56-Voorblad!$F$41&gt;Voorblad!$K$41,0,IF($U214=0,0,IF($U214&lt;1,1/$U214,IF((FR$56-Voorblad!$F$41)/$U214-SUM($EE214:FQ214)=1,1,0))))</f>
        <v>0</v>
      </c>
      <c r="FS214" s="8">
        <f>IF(FS$56-Voorblad!$F$41&gt;Voorblad!$K$41,0,IF($U214=0,0,IF($U214&lt;1,1/$U214,IF((FS$56-Voorblad!$F$41)/$U214-SUM($EE214:FR214)=1,1,0))))</f>
        <v>0</v>
      </c>
      <c r="FT214" s="8">
        <f>IF(FT$56-Voorblad!$F$41&gt;Voorblad!$K$41,0,IF($U214=0,0,IF($U214&lt;1,1/$U214,IF((FT$56-Voorblad!$F$41)/$U214-SUM($EE214:FS214)=1,1,0))))</f>
        <v>1</v>
      </c>
      <c r="FU214" s="8">
        <f>IF(FU$56-Voorblad!$F$41&gt;Voorblad!$K$41,0,IF($U214=0,0,IF($U214&lt;1,1/$U214,IF((FU$56-Voorblad!$F$41)/$U214-SUM($EE214:FT214)=1,1,0))))</f>
        <v>0</v>
      </c>
      <c r="FV214" s="8">
        <f>IF(FV$56-Voorblad!$F$41&gt;Voorblad!$K$41,0,IF($U214=0,0,IF($U214&lt;1,1/$U214,IF((FV$56-Voorblad!$F$41)/$U214-SUM($EE214:FU214)=1,1,0))))</f>
        <v>0</v>
      </c>
      <c r="FW214" s="8">
        <f>IF(FW$56-Voorblad!$F$41&gt;Voorblad!$K$41,0,IF($U214=0,0,IF($U214&lt;1,1/$U214,IF((FW$56-Voorblad!$F$41)/$U214-SUM($EE214:FV214)=1,1,0))))</f>
        <v>0</v>
      </c>
      <c r="FX214" s="8">
        <f>IF(FX$56-Voorblad!$F$41&gt;Voorblad!$K$41,0,IF($U214=0,0,IF($U214&lt;1,1/$U214,IF((FX$56-Voorblad!$F$41)/$U214-SUM($EE214:FW214)=1,1,0))))</f>
        <v>0</v>
      </c>
      <c r="FY214" s="8">
        <f>IF(FY$56-Voorblad!$F$41&gt;Voorblad!$K$41,0,IF($U214=0,0,IF($U214&lt;1,1/$U214,IF((FY$56-Voorblad!$F$41)/$U214-SUM($EE214:FX214)=1,1,0))))</f>
        <v>0</v>
      </c>
      <c r="FZ214" s="8">
        <f>IF(FZ$56-Voorblad!$F$41&gt;Voorblad!$K$41,0,IF($U214=0,0,IF($U214&lt;1,1/$U214,IF((FZ$56-Voorblad!$F$41)/$U214-SUM($EE214:FY214)=1,1,0))))</f>
        <v>0</v>
      </c>
      <c r="GA214" s="8">
        <f>IF(GA$56-Voorblad!$F$41&gt;Voorblad!$K$41,0,IF($U214=0,0,IF($U214&lt;1,1/$U214,IF((GA$56-Voorblad!$F$41)/$U214-SUM($EE214:FZ214)=1,1,0))))</f>
        <v>0</v>
      </c>
      <c r="GB214" s="8">
        <f>IF(GB$56-Voorblad!$F$41&gt;Voorblad!$K$41,0,IF($U214=0,0,IF($U214&lt;1,1/$U214,IF((GB$56-Voorblad!$F$41)/$U214-SUM($EE214:GA214)=1,1,0))))</f>
        <v>0</v>
      </c>
      <c r="GC214" s="8">
        <f>IF(GC$56-Voorblad!$F$41&gt;Voorblad!$K$41,0,IF($U214=0,0,IF($U214&lt;1,1/$U214,IF((GC$56-Voorblad!$F$41)/$U214-SUM($EE214:GB214)=1,1,0))))</f>
        <v>0</v>
      </c>
      <c r="GD214" s="8">
        <f>IF(GD$56-Voorblad!$F$41&gt;Voorblad!$K$41,0,IF($U214=0,0,IF($U214&lt;1,1/$U214,IF((GD$56-Voorblad!$F$41)/$U214-SUM($EE214:GC214)=1,1,0))))</f>
        <v>1</v>
      </c>
      <c r="GE214" s="8">
        <f>IF(GE$56-Voorblad!$F$41&gt;Voorblad!$K$41,0,IF($U214=0,0,IF($U214&lt;1,1/$U214,IF((GE$56-Voorblad!$F$41)/$U214-SUM($EE214:GD214)=1,1,0))))</f>
        <v>0</v>
      </c>
      <c r="GF214" s="8">
        <f>IF(GF$56-Voorblad!$F$41&gt;Voorblad!$K$41,0,IF($U214=0,0,IF($U214&lt;1,1/$U214,IF((GF$56-Voorblad!$F$41)/$U214-SUM($EE214:GE214)=1,1,0))))</f>
        <v>0</v>
      </c>
      <c r="GG214" s="8">
        <f>IF(GG$56-Voorblad!$F$41&gt;Voorblad!$K$41,0,IF($U214=0,0,IF($U214&lt;1,1/$U214,IF((GG$56-Voorblad!$F$41)/$U214-SUM($EE214:GF214)=1,1,0))))</f>
        <v>0</v>
      </c>
      <c r="GH214" s="8">
        <f>IF(GH$56-Voorblad!$F$41&gt;Voorblad!$K$41,0,IF($U214=0,0,IF($U214&lt;1,1/$U214,IF((GH$56-Voorblad!$F$41)/$U214-SUM($EE214:GG214)=1,1,0))))</f>
        <v>0</v>
      </c>
      <c r="GI214" s="8">
        <f>IF(GI$56-Voorblad!$F$41&gt;Voorblad!$K$41,0,IF($U214=0,0,IF($U214&lt;1,1/$U214,IF((GI$56-Voorblad!$F$41)/$U214-SUM($EE214:GH214)=1,1,0))))</f>
        <v>0</v>
      </c>
      <c r="GJ214" s="8">
        <f>IF(GJ$56-Voorblad!$F$41&gt;Voorblad!$K$41,0,IF($U214=0,0,IF($U214&lt;1,1/$U214,IF((GJ$56-Voorblad!$F$41)/$U214-SUM($EE214:GI214)=1,1,0))))</f>
        <v>0</v>
      </c>
      <c r="GK214" s="8">
        <f>IF(GK$56-Voorblad!$F$41&gt;Voorblad!$K$41,0,IF($U214=0,0,IF($U214&lt;1,1/$U214,IF((GK$56-Voorblad!$F$41)/$U214-SUM($EE214:GJ214)=1,1,0))))</f>
        <v>0</v>
      </c>
      <c r="GL214" s="8">
        <f>IF(GL$56-Voorblad!$F$41&gt;Voorblad!$K$41,0,IF($U214=0,0,IF($U214&lt;1,1/$U214,IF((GL$56-Voorblad!$F$41)/$U214-SUM($EE214:GK214)=1,1,0))))</f>
        <v>0</v>
      </c>
      <c r="GM214" s="8">
        <f>IF(GM$56-Voorblad!$F$41&gt;Voorblad!$K$41,0,IF($U214=0,0,IF($U214&lt;1,1/$U214,IF((GM$56-Voorblad!$F$41)/$U214-SUM($EE214:GL214)=1,1,0))))</f>
        <v>0</v>
      </c>
      <c r="GN214" s="8">
        <f>IF(GN$56-Voorblad!$F$41&gt;Voorblad!$K$41,0,IF($U214=0,0,IF($U214&lt;1,1/$U214,IF((GN$56-Voorblad!$F$41)/$U214-SUM($EE214:GM214)=1,1,0))))</f>
        <v>1</v>
      </c>
      <c r="GO214" s="8">
        <f>IF(GO$56-Voorblad!$F$41&gt;Voorblad!$K$41,0,IF($U214=0,0,IF($U214&lt;1,1/$U214,IF((GO$56-Voorblad!$F$41)/$U214-SUM($EE214:GN214)=1,1,0))))</f>
        <v>0</v>
      </c>
      <c r="GP214" s="8">
        <f>IF(GP$56-Voorblad!$F$41&gt;Voorblad!$K$41,0,IF($U214=0,0,IF($U214&lt;1,1/$U214,IF((GP$56-Voorblad!$F$41)/$U214-SUM($EE214:GO214)=1,1,0))))</f>
        <v>0</v>
      </c>
      <c r="GQ214" s="8">
        <f>IF(GQ$56-Voorblad!$F$41&gt;Voorblad!$K$41,0,IF($U214=0,0,IF($U214&lt;1,1/$U214,IF((GQ$56-Voorblad!$F$41)/$U214-SUM($EE214:GP214)=1,1,0))))</f>
        <v>0</v>
      </c>
      <c r="GR214" s="8">
        <f>IF(GR$56-Voorblad!$F$41&gt;Voorblad!$K$41,0,IF($U214=0,0,IF($U214&lt;1,1/$U214,IF((GR$56-Voorblad!$F$41)/$U214-SUM($EE214:GQ214)=1,1,0))))</f>
        <v>0</v>
      </c>
      <c r="GS214" s="8">
        <f>IF(GS$56-Voorblad!$F$41&gt;Voorblad!$K$41,0,IF($U214=0,0,IF($U214&lt;1,1/$U214,IF((GS$56-Voorblad!$F$41)/$U214-SUM($EE214:GR214)=1,1,0))))</f>
        <v>0</v>
      </c>
      <c r="GT214" s="8">
        <f>IF(GT$56-Voorblad!$F$41&gt;Voorblad!$K$41,0,IF($U214=0,0,IF($U214&lt;1,1/$U214,IF((GT$56-Voorblad!$F$41)/$U214-SUM($EE214:GS214)=1,1,0))))</f>
        <v>0</v>
      </c>
      <c r="GU214" s="8">
        <f>IF(GU$56-Voorblad!$F$41&gt;Voorblad!$K$41,0,IF($U214=0,0,IF($U214&lt;1,1/$U214,IF((GU$56-Voorblad!$F$41)/$U214-SUM($EE214:GT214)=1,1,0))))</f>
        <v>0</v>
      </c>
      <c r="GV214" s="8">
        <f>IF(GV$56-Voorblad!$F$41&gt;Voorblad!$K$41,0,IF($U214=0,0,IF($U214&lt;1,1/$U214,IF((GV$56-Voorblad!$F$41)/$U214-SUM($EE214:GU214)=1,1,0))))</f>
        <v>0</v>
      </c>
      <c r="GW214" s="8">
        <f>IF(GW$56-Voorblad!$F$41&gt;Voorblad!$K$41,0,IF($U214=0,0,IF($U214&lt;1,1/$U214,IF((GW$56-Voorblad!$F$41)/$U214-SUM($EE214:GV214)=1,1,0))))</f>
        <v>0</v>
      </c>
      <c r="GX214" s="8">
        <f>IF(GX$56-Voorblad!$F$41&gt;Voorblad!$K$41,0,IF($U214=0,0,IF($U214&lt;1,1/$U214,IF((GX$56-Voorblad!$F$41)/$U214-SUM($EE214:GW214)=1,1,0))))</f>
        <v>1</v>
      </c>
      <c r="GY214" s="8">
        <f>IF(GY$56-Voorblad!$F$41&gt;Voorblad!$K$41,0,IF($U214=0,0,IF($U214&lt;1,1/$U214,IF((GY$56-Voorblad!$F$41)/$U214-SUM($EE214:GX214)=1,1,0))))</f>
        <v>0</v>
      </c>
      <c r="GZ214" s="8">
        <f>IF(GZ$56-Voorblad!$F$41&gt;Voorblad!$K$41,0,IF($U214=0,0,IF($U214&lt;1,1/$U214,IF((GZ$56-Voorblad!$F$41)/$U214-SUM($EE214:GY214)=1,1,0))))</f>
        <v>0</v>
      </c>
      <c r="HA214" s="8">
        <f>IF(HA$56-Voorblad!$F$41&gt;Voorblad!$K$41,0,IF($U214=0,0,IF($U214&lt;1,1/$U214,IF((HA$56-Voorblad!$F$41)/$U214-SUM($EE214:GZ214)=1,1,0))))</f>
        <v>0</v>
      </c>
      <c r="HB214" s="8">
        <f>IF(HB$56-Voorblad!$F$41&gt;Voorblad!$K$41,0,IF($U214=0,0,IF($U214&lt;1,1/$U214,IF((HB$56-Voorblad!$F$41)/$U214-SUM($EE214:HA214)=1,1,0))))</f>
        <v>0</v>
      </c>
      <c r="HC214" s="8">
        <f>IF(HC$56-Voorblad!$F$41&gt;Voorblad!$K$41,0,IF($U214=0,0,IF($U214&lt;1,1/$U214,IF((HC$56-Voorblad!$F$41)/$U214-SUM($EE214:HB214)=1,1,0))))</f>
        <v>0</v>
      </c>
      <c r="HD214" s="8">
        <f>IF(HD$56-Voorblad!$F$41&gt;Voorblad!$K$41,0,IF($U214=0,0,IF($U214&lt;1,1/$U214,IF((HD$56-Voorblad!$F$41)/$U214-SUM($EE214:HC214)=1,1,0))))</f>
        <v>0</v>
      </c>
      <c r="HE214" s="8">
        <f>IF(HE$56-Voorblad!$F$41&gt;Voorblad!$K$41,0,IF($U214=0,0,IF($U214&lt;1,1/$U214,IF((HE$56-Voorblad!$F$41)/$U214-SUM($EE214:HD214)=1,1,0))))</f>
        <v>0</v>
      </c>
      <c r="HF214" s="8">
        <f>IF(HF$56-Voorblad!$F$41&gt;Voorblad!$K$41,0,IF($U214=0,0,IF($U214&lt;1,1/$U214,IF((HF$56-Voorblad!$F$41)/$U214-SUM($EE214:HE214)=1,1,0))))</f>
        <v>0</v>
      </c>
      <c r="HG214" s="8">
        <f>IF(HG$56-Voorblad!$F$41&gt;Voorblad!$K$41,0,IF($U214=0,0,IF($U214&lt;1,1/$U214,IF((HG$56-Voorblad!$F$41)/$U214-SUM($EE214:HF214)=1,1,0))))</f>
        <v>0</v>
      </c>
      <c r="HH214" s="8">
        <f>IF(HH$56-Voorblad!$F$41&gt;Voorblad!$K$41,0,IF($U214=0,0,IF($U214&lt;1,1/$U214,IF((HH$56-Voorblad!$F$41)/$U214-SUM($EE214:HG214)=1,1,0))))</f>
        <v>0</v>
      </c>
      <c r="HI214" s="8">
        <f>IF(HI$56-Voorblad!$F$41&gt;Voorblad!$K$41,0,IF($U214=0,0,IF($U214&lt;1,1/$U214,IF((HI$56-Voorblad!$F$41)/$U214-SUM($EE214:HH214)=1,1,0))))</f>
        <v>0</v>
      </c>
      <c r="HJ214" s="8">
        <f>IF(HJ$56-Voorblad!$F$41&gt;Voorblad!$K$41,0,IF($U214=0,0,IF($U214&lt;1,1/$U214,IF((HJ$56-Voorblad!$F$41)/$U214-SUM($EE214:HI214)=1,1,0))))</f>
        <v>0</v>
      </c>
      <c r="HK214" s="8">
        <f>IF(HK$56-Voorblad!$F$41&gt;Voorblad!$K$41,0,IF($U214=0,0,IF($U214&lt;1,1/$U214,IF((HK$56-Voorblad!$F$41)/$U214-SUM($EE214:HJ214)=1,1,0))))</f>
        <v>0</v>
      </c>
      <c r="HL214" s="8">
        <f>IF(HL$56-Voorblad!$F$41&gt;Voorblad!$K$41,0,IF($U214=0,0,IF($U214&lt;1,1/$U214,IF((HL$56-Voorblad!$F$41)/$U214-SUM($EE214:HK214)=1,1,0))))</f>
        <v>0</v>
      </c>
      <c r="HM214" s="8">
        <f>IF(HM$56-Voorblad!$F$41&gt;Voorblad!$K$41,0,IF($U214=0,0,IF($U214&lt;1,1/$U214,IF((HM$56-Voorblad!$F$41)/$U214-SUM($EE214:HL214)=1,1,0))))</f>
        <v>0</v>
      </c>
      <c r="HN214" s="8">
        <f>IF(HN$56-Voorblad!$F$41&gt;Voorblad!$K$41,0,IF($U214=0,0,IF($U214&lt;1,1/$U214,IF((HN$56-Voorblad!$F$41)/$U214-SUM($EE214:HM214)=1,1,0))))</f>
        <v>0</v>
      </c>
      <c r="HO214" s="8">
        <f>IF(HO$56-Voorblad!$F$41&gt;Voorblad!$K$41,0,IF($U214=0,0,IF($U214&lt;1,1/$U214,IF((HO$56-Voorblad!$F$41)/$U214-SUM($EE214:HN214)=1,1,0))))</f>
        <v>0</v>
      </c>
      <c r="HP214" s="8">
        <f>IF(HP$56-Voorblad!$F$41&gt;Voorblad!$K$41,0,IF($U214=0,0,IF($U214&lt;1,1/$U214,IF((HP$56-Voorblad!$F$41)/$U214-SUM($EE214:HO214)=1,1,0))))</f>
        <v>0</v>
      </c>
      <c r="HQ214" s="8">
        <f>IF(HQ$56-Voorblad!$F$41&gt;Voorblad!$K$41,0,IF($U214=0,0,IF($U214&lt;1,1/$U214,IF((HQ$56-Voorblad!$F$41)/$U214-SUM($EE214:HP214)=1,1,0))))</f>
        <v>0</v>
      </c>
      <c r="HR214" s="8">
        <f>IF(HR$56-Voorblad!$F$41&gt;Voorblad!$K$41,0,IF($U214=0,0,IF($U214&lt;1,1/$U214,IF((HR$56-Voorblad!$F$41)/$U214-SUM($EE214:HQ214)=1,1,0))))</f>
        <v>0</v>
      </c>
      <c r="HS214" s="8">
        <f>IF(HS$56-Voorblad!$F$41&gt;Voorblad!$K$41,0,IF($U214=0,0,IF($U214&lt;1,1/$U214,IF((HS$56-Voorblad!$F$41)/$U214-SUM($EE214:HR214)=1,1,0))))</f>
        <v>0</v>
      </c>
      <c r="HT214" s="8">
        <f>IF(HT$56-Voorblad!$F$41&gt;Voorblad!$K$41,0,IF($U214=0,0,IF($U214&lt;1,1/$U214,IF((HT$56-Voorblad!$F$41)/$U214-SUM($EE214:HS214)=1,1,0))))</f>
        <v>0</v>
      </c>
      <c r="HU214" s="8">
        <f>IF(HU$56-Voorblad!$F$41&gt;Voorblad!$K$41,0,IF($U214=0,0,IF($U214&lt;1,1/$U214,IF((HU$56-Voorblad!$F$41)/$U214-SUM($EE214:HT214)=1,1,0))))</f>
        <v>0</v>
      </c>
      <c r="HV214" s="8">
        <f>IF(HV$56-Voorblad!$F$41&gt;Voorblad!$K$41,0,IF($U214=0,0,IF($U214&lt;1,1/$U214,IF((HV$56-Voorblad!$F$41)/$U214-SUM($EE214:HU214)=1,1,0))))</f>
        <v>0</v>
      </c>
      <c r="HW214" s="8">
        <f>IF(HW$56-Voorblad!$F$41&gt;Voorblad!$K$41,0,IF($U214=0,0,IF($U214&lt;1,1/$U214,IF((HW$56-Voorblad!$F$41)/$U214-SUM($EE214:HV214)=1,1,0))))</f>
        <v>0</v>
      </c>
      <c r="HX214" s="8">
        <f>IF(HX$56-Voorblad!$F$41&gt;Voorblad!$K$41,0,IF($U214=0,0,IF($U214&lt;1,1/$U214,IF((HX$56-Voorblad!$F$41)/$U214-SUM($EE214:HW214)=1,1,0))))</f>
        <v>0</v>
      </c>
      <c r="HY214" s="8">
        <f>IF(HY$56-Voorblad!$F$41&gt;Voorblad!$K$41,0,IF($U214=0,0,IF($U214&lt;1,1/$U214,IF((HY$56-Voorblad!$F$41)/$U214-SUM($EE214:HX214)=1,1,0))))</f>
        <v>0</v>
      </c>
      <c r="HZ214" s="8">
        <f>IF(HZ$56-Voorblad!$F$41&gt;Voorblad!$K$41,0,IF($U214=0,0,IF($U214&lt;1,1/$U214,IF((HZ$56-Voorblad!$F$41)/$U214-SUM($EE214:HY214)=1,1,0))))</f>
        <v>0</v>
      </c>
      <c r="IA214" s="8">
        <f>IF(IA$56-Voorblad!$F$41&gt;Voorblad!$K$41,0,IF($U214=0,0,IF($U214&lt;1,1/$U214,IF((IA$56-Voorblad!$F$41)/$U214-SUM($EE214:HZ214)=1,1,0))))</f>
        <v>0</v>
      </c>
      <c r="IB214" s="8">
        <f>IF(IB$56-Voorblad!$F$41&gt;Voorblad!$K$41,0,IF($U214=0,0,IF($U214&lt;1,1/$U214,IF((IB$56-Voorblad!$F$41)/$U214-SUM($EE214:IA214)=1,1,0))))</f>
        <v>0</v>
      </c>
    </row>
    <row r="215" spans="2:236" ht="12" customHeight="1" outlineLevel="1" x14ac:dyDescent="0.25">
      <c r="B215" s="1">
        <v>3</v>
      </c>
      <c r="F215" s="1" t="s">
        <v>23</v>
      </c>
      <c r="I215" s="1" t="s">
        <v>277</v>
      </c>
      <c r="K215" s="1" t="s">
        <v>88</v>
      </c>
      <c r="O215" s="1" t="s">
        <v>218</v>
      </c>
      <c r="P215" s="1" t="s">
        <v>174</v>
      </c>
      <c r="Q215" s="84">
        <f>2.5%*((2*11.4*2.86)+(4*((3*2.86)/2)))</f>
        <v>2.0592000000000001</v>
      </c>
      <c r="R215" s="1" t="s">
        <v>35</v>
      </c>
      <c r="S215" s="14">
        <f>$H$20*500</f>
        <v>885</v>
      </c>
      <c r="T215" s="9">
        <f>Q215*S215</f>
        <v>1822.3920000000001</v>
      </c>
      <c r="U215" s="14">
        <v>10</v>
      </c>
      <c r="V215" s="14"/>
      <c r="Y215" s="9">
        <f t="shared" si="200"/>
        <v>5351.3120068173312</v>
      </c>
      <c r="Z215" s="83"/>
      <c r="AA215" s="83"/>
      <c r="AC215" s="229">
        <f>$Y215*(Voorblad!$K$44*(1+Voorblad!$K$44)^Voorblad!$K$41)/((1+Voorblad!$K$44)^Voorblad!$K$41-1)</f>
        <v>160.1951608504873</v>
      </c>
      <c r="AE215" s="9">
        <f>EF215*($Q215*$S215)/(1+Voorblad!$K$44)^(AE$56-Voorblad!$F$41)</f>
        <v>0</v>
      </c>
      <c r="AF215" s="9">
        <f>EG215*($Q215*$S215)/(1+Voorblad!$K$44)^(AF$56-Voorblad!$F$41)</f>
        <v>0</v>
      </c>
      <c r="AG215" s="9">
        <f>EH215*($Q215*$S215)/(1+Voorblad!$K$44)^(AG$56-Voorblad!$F$41)</f>
        <v>0</v>
      </c>
      <c r="AH215" s="9">
        <f>EI215*($Q215*$S215)/(1+Voorblad!$K$44)^(AH$56-Voorblad!$F$41)</f>
        <v>0</v>
      </c>
      <c r="AI215" s="9">
        <f>EJ215*($Q215*$S215)/(1+Voorblad!$K$44)^(AI$56-Voorblad!$F$41)</f>
        <v>0</v>
      </c>
      <c r="AJ215" s="9">
        <f>EK215*($Q215*$S215)/(1+Voorblad!$K$44)^(AJ$56-Voorblad!$F$41)</f>
        <v>0</v>
      </c>
      <c r="AK215" s="9">
        <f>EL215*($Q215*$S215)/(1+Voorblad!$K$44)^(AK$56-Voorblad!$F$41)</f>
        <v>0</v>
      </c>
      <c r="AL215" s="9">
        <f>EM215*($Q215*$S215)/(1+Voorblad!$K$44)^(AL$56-Voorblad!$F$41)</f>
        <v>0</v>
      </c>
      <c r="AM215" s="9">
        <f>EN215*($Q215*$S215)/(1+Voorblad!$K$44)^(AM$56-Voorblad!$F$41)</f>
        <v>0</v>
      </c>
      <c r="AN215" s="9">
        <f>EO215*($Q215*$S215)/(1+Voorblad!$K$44)^(AN$56-Voorblad!$F$41)</f>
        <v>0</v>
      </c>
      <c r="AO215" s="9">
        <f>EP215*($Q215*$S215)/(1+Voorblad!$K$44)^(AO$56-Voorblad!$F$41)</f>
        <v>1423.6497177177512</v>
      </c>
      <c r="AP215" s="9">
        <f>EQ215*($Q215*$S215)/(1+Voorblad!$K$44)^(AP$56-Voorblad!$F$41)</f>
        <v>0</v>
      </c>
      <c r="AQ215" s="9">
        <f>ER215*($Q215*$S215)/(1+Voorblad!$K$44)^(AQ$56-Voorblad!$F$41)</f>
        <v>0</v>
      </c>
      <c r="AR215" s="9">
        <f>ES215*($Q215*$S215)/(1+Voorblad!$K$44)^(AR$56-Voorblad!$F$41)</f>
        <v>0</v>
      </c>
      <c r="AS215" s="9">
        <f>ET215*($Q215*$S215)/(1+Voorblad!$K$44)^(AS$56-Voorblad!$F$41)</f>
        <v>0</v>
      </c>
      <c r="AT215" s="9">
        <f>EU215*($Q215*$S215)/(1+Voorblad!$K$44)^(AT$56-Voorblad!$F$41)</f>
        <v>0</v>
      </c>
      <c r="AU215" s="9">
        <f>EV215*($Q215*$S215)/(1+Voorblad!$K$44)^(AU$56-Voorblad!$F$41)</f>
        <v>0</v>
      </c>
      <c r="AV215" s="9">
        <f>EW215*($Q215*$S215)/(1+Voorblad!$K$44)^(AV$56-Voorblad!$F$41)</f>
        <v>0</v>
      </c>
      <c r="AW215" s="9">
        <f>EX215*($Q215*$S215)/(1+Voorblad!$K$44)^(AW$56-Voorblad!$F$41)</f>
        <v>0</v>
      </c>
      <c r="AX215" s="9">
        <f>EY215*($Q215*$S215)/(1+Voorblad!$K$44)^(AX$56-Voorblad!$F$41)</f>
        <v>0</v>
      </c>
      <c r="AY215" s="9">
        <f>EZ215*($Q215*$S215)/(1+Voorblad!$K$44)^(AY$56-Voorblad!$F$41)</f>
        <v>1112.1528840983897</v>
      </c>
      <c r="AZ215" s="9">
        <f>FA215*($Q215*$S215)/(1+Voorblad!$K$44)^(AZ$56-Voorblad!$F$41)</f>
        <v>0</v>
      </c>
      <c r="BA215" s="9">
        <f>FB215*($Q215*$S215)/(1+Voorblad!$K$44)^(BA$56-Voorblad!$F$41)</f>
        <v>0</v>
      </c>
      <c r="BB215" s="9">
        <f>FC215*($Q215*$S215)/(1+Voorblad!$K$44)^(BB$56-Voorblad!$F$41)</f>
        <v>0</v>
      </c>
      <c r="BC215" s="9">
        <f>FD215*($Q215*$S215)/(1+Voorblad!$K$44)^(BC$56-Voorblad!$F$41)</f>
        <v>0</v>
      </c>
      <c r="BD215" s="9">
        <f>FE215*($Q215*$S215)/(1+Voorblad!$K$44)^(BD$56-Voorblad!$F$41)</f>
        <v>0</v>
      </c>
      <c r="BE215" s="9">
        <f>FF215*($Q215*$S215)/(1+Voorblad!$K$44)^(BE$56-Voorblad!$F$41)</f>
        <v>0</v>
      </c>
      <c r="BF215" s="9">
        <f>FG215*($Q215*$S215)/(1+Voorblad!$K$44)^(BF$56-Voorblad!$F$41)</f>
        <v>0</v>
      </c>
      <c r="BG215" s="9">
        <f>FH215*($Q215*$S215)/(1+Voorblad!$K$44)^(BG$56-Voorblad!$F$41)</f>
        <v>0</v>
      </c>
      <c r="BH215" s="9">
        <f>FI215*($Q215*$S215)/(1+Voorblad!$K$44)^(BH$56-Voorblad!$F$41)</f>
        <v>0</v>
      </c>
      <c r="BI215" s="9">
        <f>FJ215*($Q215*$S215)/(1+Voorblad!$K$44)^(BI$56-Voorblad!$F$41)</f>
        <v>868.81205553231985</v>
      </c>
      <c r="BJ215" s="9">
        <f>FK215*($Q215*$S215)/(1+Voorblad!$K$44)^(BJ$56-Voorblad!$F$41)</f>
        <v>0</v>
      </c>
      <c r="BK215" s="9">
        <f>FL215*($Q215*$S215)/(1+Voorblad!$K$44)^(BK$56-Voorblad!$F$41)</f>
        <v>0</v>
      </c>
      <c r="BL215" s="9">
        <f>FM215*($Q215*$S215)/(1+Voorblad!$K$44)^(BL$56-Voorblad!$F$41)</f>
        <v>0</v>
      </c>
      <c r="BM215" s="9">
        <f>FN215*($Q215*$S215)/(1+Voorblad!$K$44)^(BM$56-Voorblad!$F$41)</f>
        <v>0</v>
      </c>
      <c r="BN215" s="9">
        <f>FO215*($Q215*$S215)/(1+Voorblad!$K$44)^(BN$56-Voorblad!$F$41)</f>
        <v>0</v>
      </c>
      <c r="BO215" s="9">
        <f>FP215*($Q215*$S215)/(1+Voorblad!$K$44)^(BO$56-Voorblad!$F$41)</f>
        <v>0</v>
      </c>
      <c r="BP215" s="9">
        <f>FQ215*($Q215*$S215)/(1+Voorblad!$K$44)^(BP$56-Voorblad!$F$41)</f>
        <v>0</v>
      </c>
      <c r="BQ215" s="9">
        <f>FR215*($Q215*$S215)/(1+Voorblad!$K$44)^(BQ$56-Voorblad!$F$41)</f>
        <v>0</v>
      </c>
      <c r="BR215" s="9">
        <f>FS215*($Q215*$S215)/(1+Voorblad!$K$44)^(BR$56-Voorblad!$F$41)</f>
        <v>0</v>
      </c>
      <c r="BS215" s="9">
        <f>FT215*($Q215*$S215)/(1+Voorblad!$K$44)^(BS$56-Voorblad!$F$41)</f>
        <v>678.71458918189182</v>
      </c>
      <c r="BT215" s="9">
        <f>FU215*($Q215*$S215)/(1+Voorblad!$K$44)^(BT$56-Voorblad!$F$41)</f>
        <v>0</v>
      </c>
      <c r="BU215" s="9">
        <f>FV215*($Q215*$S215)/(1+Voorblad!$K$44)^(BU$56-Voorblad!$F$41)</f>
        <v>0</v>
      </c>
      <c r="BV215" s="9">
        <f>FW215*($Q215*$S215)/(1+Voorblad!$K$44)^(BV$56-Voorblad!$F$41)</f>
        <v>0</v>
      </c>
      <c r="BW215" s="9">
        <f>FX215*($Q215*$S215)/(1+Voorblad!$K$44)^(BW$56-Voorblad!$F$41)</f>
        <v>0</v>
      </c>
      <c r="BX215" s="9">
        <f>FY215*($Q215*$S215)/(1+Voorblad!$K$44)^(BX$56-Voorblad!$F$41)</f>
        <v>0</v>
      </c>
      <c r="BY215" s="9">
        <f>FZ215*($Q215*$S215)/(1+Voorblad!$K$44)^(BY$56-Voorblad!$F$41)</f>
        <v>0</v>
      </c>
      <c r="BZ215" s="9">
        <f>GA215*($Q215*$S215)/(1+Voorblad!$K$44)^(BZ$56-Voorblad!$F$41)</f>
        <v>0</v>
      </c>
      <c r="CA215" s="9">
        <f>GB215*($Q215*$S215)/(1+Voorblad!$K$44)^(CA$56-Voorblad!$F$41)</f>
        <v>0</v>
      </c>
      <c r="CB215" s="9">
        <f>GC215*($Q215*$S215)/(1+Voorblad!$K$44)^(CB$56-Voorblad!$F$41)</f>
        <v>0</v>
      </c>
      <c r="CC215" s="9">
        <f>GD215*($Q215*$S215)/(1+Voorblad!$K$44)^(CC$56-Voorblad!$F$41)</f>
        <v>530.2107522968272</v>
      </c>
      <c r="CD215" s="9">
        <f>GE215*($Q215*$S215)/(1+Voorblad!$K$44)^(CD$56-Voorblad!$F$41)</f>
        <v>0</v>
      </c>
      <c r="CE215" s="9">
        <f>GF215*($Q215*$S215)/(1+Voorblad!$K$44)^(CE$56-Voorblad!$F$41)</f>
        <v>0</v>
      </c>
      <c r="CF215" s="9">
        <f>GG215*($Q215*$S215)/(1+Voorblad!$K$44)^(CF$56-Voorblad!$F$41)</f>
        <v>0</v>
      </c>
      <c r="CG215" s="9">
        <f>GH215*($Q215*$S215)/(1+Voorblad!$K$44)^(CG$56-Voorblad!$F$41)</f>
        <v>0</v>
      </c>
      <c r="CH215" s="9">
        <f>GI215*($Q215*$S215)/(1+Voorblad!$K$44)^(CH$56-Voorblad!$F$41)</f>
        <v>0</v>
      </c>
      <c r="CI215" s="9">
        <f>GJ215*($Q215*$S215)/(1+Voorblad!$K$44)^(CI$56-Voorblad!$F$41)</f>
        <v>0</v>
      </c>
      <c r="CJ215" s="9">
        <f>GK215*($Q215*$S215)/(1+Voorblad!$K$44)^(CJ$56-Voorblad!$F$41)</f>
        <v>0</v>
      </c>
      <c r="CK215" s="9">
        <f>GL215*($Q215*$S215)/(1+Voorblad!$K$44)^(CK$56-Voorblad!$F$41)</f>
        <v>0</v>
      </c>
      <c r="CL215" s="9">
        <f>GM215*($Q215*$S215)/(1+Voorblad!$K$44)^(CL$56-Voorblad!$F$41)</f>
        <v>0</v>
      </c>
      <c r="CM215" s="9">
        <f>GN215*($Q215*$S215)/(1+Voorblad!$K$44)^(CM$56-Voorblad!$F$41)</f>
        <v>414.19979227207676</v>
      </c>
      <c r="CN215" s="9">
        <f>GO215*($Q215*$S215)/(1+Voorblad!$K$44)^(CN$56-Voorblad!$F$41)</f>
        <v>0</v>
      </c>
      <c r="CO215" s="9">
        <f>GP215*($Q215*$S215)/(1+Voorblad!$K$44)^(CO$56-Voorblad!$F$41)</f>
        <v>0</v>
      </c>
      <c r="CP215" s="9">
        <f>GQ215*($Q215*$S215)/(1+Voorblad!$K$44)^(CP$56-Voorblad!$F$41)</f>
        <v>0</v>
      </c>
      <c r="CQ215" s="9">
        <f>GR215*($Q215*$S215)/(1+Voorblad!$K$44)^(CQ$56-Voorblad!$F$41)</f>
        <v>0</v>
      </c>
      <c r="CR215" s="9">
        <f>GS215*($Q215*$S215)/(1+Voorblad!$K$44)^(CR$56-Voorblad!$F$41)</f>
        <v>0</v>
      </c>
      <c r="CS215" s="9">
        <f>GT215*($Q215*$S215)/(1+Voorblad!$K$44)^(CS$56-Voorblad!$F$41)</f>
        <v>0</v>
      </c>
      <c r="CT215" s="9">
        <f>GU215*($Q215*$S215)/(1+Voorblad!$K$44)^(CT$56-Voorblad!$F$41)</f>
        <v>0</v>
      </c>
      <c r="CU215" s="9">
        <f>GV215*($Q215*$S215)/(1+Voorblad!$K$44)^(CU$56-Voorblad!$F$41)</f>
        <v>0</v>
      </c>
      <c r="CV215" s="9">
        <f>GW215*($Q215*$S215)/(1+Voorblad!$K$44)^(CV$56-Voorblad!$F$41)</f>
        <v>0</v>
      </c>
      <c r="CW215" s="9">
        <f>GX215*($Q215*$S215)/(1+Voorblad!$K$44)^(CW$56-Voorblad!$F$41)</f>
        <v>323.57221571807452</v>
      </c>
      <c r="CX215" s="9">
        <f>GY215*($Q215*$S215)/(1+Voorblad!$K$44)^(CX$56-Voorblad!$F$41)</f>
        <v>0</v>
      </c>
      <c r="CY215" s="9">
        <f>GZ215*($Q215*$S215)/(1+Voorblad!$K$44)^(CY$56-Voorblad!$F$41)</f>
        <v>0</v>
      </c>
      <c r="CZ215" s="9">
        <f>HA215*($Q215*$S215)/(1+Voorblad!$K$44)^(CZ$56-Voorblad!$F$41)</f>
        <v>0</v>
      </c>
      <c r="DA215" s="9">
        <f>HB215*($Q215*$S215)/(1+Voorblad!$K$44)^(DA$56-Voorblad!$F$41)</f>
        <v>0</v>
      </c>
      <c r="DB215" s="9">
        <f>HC215*($Q215*$S215)/(1+Voorblad!$K$44)^(DB$56-Voorblad!$F$41)</f>
        <v>0</v>
      </c>
      <c r="DC215" s="9">
        <f>HD215*($Q215*$S215)/(1+Voorblad!$K$44)^(DC$56-Voorblad!$F$41)</f>
        <v>0</v>
      </c>
      <c r="DD215" s="9">
        <f>HE215*($Q215*$S215)/(1+Voorblad!$K$44)^(DD$56-Voorblad!$F$41)</f>
        <v>0</v>
      </c>
      <c r="DE215" s="9">
        <f>HF215*($Q215*$S215)/(1+Voorblad!$K$44)^(DE$56-Voorblad!$F$41)</f>
        <v>0</v>
      </c>
      <c r="DF215" s="9">
        <f>HG215*($Q215*$S215)/(1+Voorblad!$K$44)^(DF$56-Voorblad!$F$41)</f>
        <v>0</v>
      </c>
      <c r="DG215" s="9">
        <f>HH215*($Q215*$S215)/(1+Voorblad!$K$44)^(DG$56-Voorblad!$F$41)</f>
        <v>0</v>
      </c>
      <c r="DH215" s="9">
        <f>HI215*($Q215*$S215)/(1+Voorblad!$K$44)^(DH$56-Voorblad!$F$41)</f>
        <v>0</v>
      </c>
      <c r="DI215" s="9">
        <f>HJ215*($Q215*$S215)/(1+Voorblad!$K$44)^(DI$56-Voorblad!$F$41)</f>
        <v>0</v>
      </c>
      <c r="DJ215" s="9">
        <f>HK215*($Q215*$S215)/(1+Voorblad!$K$44)^(DJ$56-Voorblad!$F$41)</f>
        <v>0</v>
      </c>
      <c r="DK215" s="9">
        <f>HL215*($Q215*$S215)/(1+Voorblad!$K$44)^(DK$56-Voorblad!$F$41)</f>
        <v>0</v>
      </c>
      <c r="DL215" s="9">
        <f>HM215*($Q215*$S215)/(1+Voorblad!$K$44)^(DL$56-Voorblad!$F$41)</f>
        <v>0</v>
      </c>
      <c r="DM215" s="9">
        <f>HN215*($Q215*$S215)/(1+Voorblad!$K$44)^(DM$56-Voorblad!$F$41)</f>
        <v>0</v>
      </c>
      <c r="DN215" s="9">
        <f>HO215*($Q215*$S215)/(1+Voorblad!$K$44)^(DN$56-Voorblad!$F$41)</f>
        <v>0</v>
      </c>
      <c r="DO215" s="9">
        <f>HP215*($Q215*$S215)/(1+Voorblad!$K$44)^(DO$56-Voorblad!$F$41)</f>
        <v>0</v>
      </c>
      <c r="DP215" s="9">
        <f>HQ215*($Q215*$S215)/(1+Voorblad!$K$44)^(DP$56-Voorblad!$F$41)</f>
        <v>0</v>
      </c>
      <c r="DQ215" s="9">
        <f>HR215*($Q215*$S215)/(1+Voorblad!$K$44)^(DQ$56-Voorblad!$F$41)</f>
        <v>0</v>
      </c>
      <c r="DR215" s="9">
        <f>HS215*($Q215*$S215)/(1+Voorblad!$K$44)^(DR$56-Voorblad!$F$41)</f>
        <v>0</v>
      </c>
      <c r="DS215" s="9">
        <f>HT215*($Q215*$S215)/(1+Voorblad!$K$44)^(DS$56-Voorblad!$F$41)</f>
        <v>0</v>
      </c>
      <c r="DT215" s="9">
        <f>HU215*($Q215*$S215)/(1+Voorblad!$K$44)^(DT$56-Voorblad!$F$41)</f>
        <v>0</v>
      </c>
      <c r="DU215" s="9">
        <f>HV215*($Q215*$S215)/(1+Voorblad!$K$44)^(DU$56-Voorblad!$F$41)</f>
        <v>0</v>
      </c>
      <c r="DV215" s="9">
        <f>HW215*($Q215*$S215)/(1+Voorblad!$K$44)^(DV$56-Voorblad!$F$41)</f>
        <v>0</v>
      </c>
      <c r="DW215" s="9">
        <f>HX215*($Q215*$S215)/(1+Voorblad!$K$44)^(DW$56-Voorblad!$F$41)</f>
        <v>0</v>
      </c>
      <c r="DX215" s="9">
        <f>HY215*($Q215*$S215)/(1+Voorblad!$K$44)^(DX$56-Voorblad!$F$41)</f>
        <v>0</v>
      </c>
      <c r="DY215" s="9">
        <f>HZ215*($Q215*$S215)/(1+Voorblad!$K$44)^(DY$56-Voorblad!$F$41)</f>
        <v>0</v>
      </c>
      <c r="DZ215" s="9">
        <f>IA215*($Q215*$S215)/(1+Voorblad!$K$44)^(DZ$56-Voorblad!$F$41)</f>
        <v>0</v>
      </c>
      <c r="EA215" s="9">
        <f>IB215*($Q215*$S215)/(1+Voorblad!$K$44)^(EA$56-Voorblad!$F$41)</f>
        <v>0</v>
      </c>
      <c r="EB215" s="9">
        <f>IC215*($Q215*$S215)/(1+Voorblad!$K$44)^(EB$56-Voorblad!$F$41)</f>
        <v>0</v>
      </c>
      <c r="EE215" s="8">
        <v>0</v>
      </c>
      <c r="EF215" s="8">
        <f>IF(EF$56-Voorblad!$F$41&gt;Voorblad!$K$41,0,IF($U215=0,0,IF($U215&lt;1,1/$U215,IF((EF$56-Voorblad!$F$41)/$U215-SUM($EE215:EE215)=1,1,0))))</f>
        <v>0</v>
      </c>
      <c r="EG215" s="8">
        <f>IF(EG$56-Voorblad!$F$41&gt;Voorblad!$K$41,0,IF($U215=0,0,IF($U215&lt;1,1/$U215,IF((EG$56-Voorblad!$F$41)/$U215-SUM($EE215:EF215)=1,1,0))))</f>
        <v>0</v>
      </c>
      <c r="EH215" s="8">
        <f>IF(EH$56-Voorblad!$F$41&gt;Voorblad!$K$41,0,IF($U215=0,0,IF($U215&lt;1,1/$U215,IF((EH$56-Voorblad!$F$41)/$U215-SUM($EE215:EG215)=1,1,0))))</f>
        <v>0</v>
      </c>
      <c r="EI215" s="8">
        <f>IF(EI$56-Voorblad!$F$41&gt;Voorblad!$K$41,0,IF($U215=0,0,IF($U215&lt;1,1/$U215,IF((EI$56-Voorblad!$F$41)/$U215-SUM($EE215:EH215)=1,1,0))))</f>
        <v>0</v>
      </c>
      <c r="EJ215" s="8">
        <f>IF(EJ$56-Voorblad!$F$41&gt;Voorblad!$K$41,0,IF($U215=0,0,IF($U215&lt;1,1/$U215,IF((EJ$56-Voorblad!$F$41)/$U215-SUM($EE215:EI215)=1,1,0))))</f>
        <v>0</v>
      </c>
      <c r="EK215" s="8">
        <f>IF(EK$56-Voorblad!$F$41&gt;Voorblad!$K$41,0,IF($U215=0,0,IF($U215&lt;1,1/$U215,IF((EK$56-Voorblad!$F$41)/$U215-SUM($EE215:EJ215)=1,1,0))))</f>
        <v>0</v>
      </c>
      <c r="EL215" s="8">
        <f>IF(EL$56-Voorblad!$F$41&gt;Voorblad!$K$41,0,IF($U215=0,0,IF($U215&lt;1,1/$U215,IF((EL$56-Voorblad!$F$41)/$U215-SUM($EE215:EK215)=1,1,0))))</f>
        <v>0</v>
      </c>
      <c r="EM215" s="8">
        <f>IF(EM$56-Voorblad!$F$41&gt;Voorblad!$K$41,0,IF($U215=0,0,IF($U215&lt;1,1/$U215,IF((EM$56-Voorblad!$F$41)/$U215-SUM($EE215:EL215)=1,1,0))))</f>
        <v>0</v>
      </c>
      <c r="EN215" s="8">
        <f>IF(EN$56-Voorblad!$F$41&gt;Voorblad!$K$41,0,IF($U215=0,0,IF($U215&lt;1,1/$U215,IF((EN$56-Voorblad!$F$41)/$U215-SUM($EE215:EM215)=1,1,0))))</f>
        <v>0</v>
      </c>
      <c r="EO215" s="8">
        <f>IF(EO$56-Voorblad!$F$41&gt;Voorblad!$K$41,0,IF($U215=0,0,IF($U215&lt;1,1/$U215,IF((EO$56-Voorblad!$F$41)/$U215-SUM($EE215:EN215)=1,1,0))))</f>
        <v>0</v>
      </c>
      <c r="EP215" s="8">
        <f>IF(EP$56-Voorblad!$F$41&gt;Voorblad!$K$41,0,IF($U215=0,0,IF($U215&lt;1,1/$U215,IF((EP$56-Voorblad!$F$41)/$U215-SUM($EE215:EO215)=1,1,0))))</f>
        <v>1</v>
      </c>
      <c r="EQ215" s="8">
        <f>IF(EQ$56-Voorblad!$F$41&gt;Voorblad!$K$41,0,IF($U215=0,0,IF($U215&lt;1,1/$U215,IF((EQ$56-Voorblad!$F$41)/$U215-SUM($EE215:EP215)=1,1,0))))</f>
        <v>0</v>
      </c>
      <c r="ER215" s="8">
        <f>IF(ER$56-Voorblad!$F$41&gt;Voorblad!$K$41,0,IF($U215=0,0,IF($U215&lt;1,1/$U215,IF((ER$56-Voorblad!$F$41)/$U215-SUM($EE215:EQ215)=1,1,0))))</f>
        <v>0</v>
      </c>
      <c r="ES215" s="8">
        <f>IF(ES$56-Voorblad!$F$41&gt;Voorblad!$K$41,0,IF($U215=0,0,IF($U215&lt;1,1/$U215,IF((ES$56-Voorblad!$F$41)/$U215-SUM($EE215:ER215)=1,1,0))))</f>
        <v>0</v>
      </c>
      <c r="ET215" s="8">
        <f>IF(ET$56-Voorblad!$F$41&gt;Voorblad!$K$41,0,IF($U215=0,0,IF($U215&lt;1,1/$U215,IF((ET$56-Voorblad!$F$41)/$U215-SUM($EE215:ES215)=1,1,0))))</f>
        <v>0</v>
      </c>
      <c r="EU215" s="8">
        <f>IF(EU$56-Voorblad!$F$41&gt;Voorblad!$K$41,0,IF($U215=0,0,IF($U215&lt;1,1/$U215,IF((EU$56-Voorblad!$F$41)/$U215-SUM($EE215:ET215)=1,1,0))))</f>
        <v>0</v>
      </c>
      <c r="EV215" s="8">
        <f>IF(EV$56-Voorblad!$F$41&gt;Voorblad!$K$41,0,IF($U215=0,0,IF($U215&lt;1,1/$U215,IF((EV$56-Voorblad!$F$41)/$U215-SUM($EE215:EU215)=1,1,0))))</f>
        <v>0</v>
      </c>
      <c r="EW215" s="8">
        <f>IF(EW$56-Voorblad!$F$41&gt;Voorblad!$K$41,0,IF($U215=0,0,IF($U215&lt;1,1/$U215,IF((EW$56-Voorblad!$F$41)/$U215-SUM($EE215:EV215)=1,1,0))))</f>
        <v>0</v>
      </c>
      <c r="EX215" s="8">
        <f>IF(EX$56-Voorblad!$F$41&gt;Voorblad!$K$41,0,IF($U215=0,0,IF($U215&lt;1,1/$U215,IF((EX$56-Voorblad!$F$41)/$U215-SUM($EE215:EW215)=1,1,0))))</f>
        <v>0</v>
      </c>
      <c r="EY215" s="8">
        <f>IF(EY$56-Voorblad!$F$41&gt;Voorblad!$K$41,0,IF($U215=0,0,IF($U215&lt;1,1/$U215,IF((EY$56-Voorblad!$F$41)/$U215-SUM($EE215:EX215)=1,1,0))))</f>
        <v>0</v>
      </c>
      <c r="EZ215" s="8">
        <f>IF(EZ$56-Voorblad!$F$41&gt;Voorblad!$K$41,0,IF($U215=0,0,IF($U215&lt;1,1/$U215,IF((EZ$56-Voorblad!$F$41)/$U215-SUM($EE215:EY215)=1,1,0))))</f>
        <v>1</v>
      </c>
      <c r="FA215" s="8">
        <f>IF(FA$56-Voorblad!$F$41&gt;Voorblad!$K$41,0,IF($U215=0,0,IF($U215&lt;1,1/$U215,IF((FA$56-Voorblad!$F$41)/$U215-SUM($EE215:EZ215)=1,1,0))))</f>
        <v>0</v>
      </c>
      <c r="FB215" s="8">
        <f>IF(FB$56-Voorblad!$F$41&gt;Voorblad!$K$41,0,IF($U215=0,0,IF($U215&lt;1,1/$U215,IF((FB$56-Voorblad!$F$41)/$U215-SUM($EE215:FA215)=1,1,0))))</f>
        <v>0</v>
      </c>
      <c r="FC215" s="8">
        <f>IF(FC$56-Voorblad!$F$41&gt;Voorblad!$K$41,0,IF($U215=0,0,IF($U215&lt;1,1/$U215,IF((FC$56-Voorblad!$F$41)/$U215-SUM($EE215:FB215)=1,1,0))))</f>
        <v>0</v>
      </c>
      <c r="FD215" s="8">
        <f>IF(FD$56-Voorblad!$F$41&gt;Voorblad!$K$41,0,IF($U215=0,0,IF($U215&lt;1,1/$U215,IF((FD$56-Voorblad!$F$41)/$U215-SUM($EE215:FC215)=1,1,0))))</f>
        <v>0</v>
      </c>
      <c r="FE215" s="8">
        <f>IF(FE$56-Voorblad!$F$41&gt;Voorblad!$K$41,0,IF($U215=0,0,IF($U215&lt;1,1/$U215,IF((FE$56-Voorblad!$F$41)/$U215-SUM($EE215:FD215)=1,1,0))))</f>
        <v>0</v>
      </c>
      <c r="FF215" s="8">
        <f>IF(FF$56-Voorblad!$F$41&gt;Voorblad!$K$41,0,IF($U215=0,0,IF($U215&lt;1,1/$U215,IF((FF$56-Voorblad!$F$41)/$U215-SUM($EE215:FE215)=1,1,0))))</f>
        <v>0</v>
      </c>
      <c r="FG215" s="8">
        <f>IF(FG$56-Voorblad!$F$41&gt;Voorblad!$K$41,0,IF($U215=0,0,IF($U215&lt;1,1/$U215,IF((FG$56-Voorblad!$F$41)/$U215-SUM($EE215:FF215)=1,1,0))))</f>
        <v>0</v>
      </c>
      <c r="FH215" s="8">
        <f>IF(FH$56-Voorblad!$F$41&gt;Voorblad!$K$41,0,IF($U215=0,0,IF($U215&lt;1,1/$U215,IF((FH$56-Voorblad!$F$41)/$U215-SUM($EE215:FG215)=1,1,0))))</f>
        <v>0</v>
      </c>
      <c r="FI215" s="8">
        <f>IF(FI$56-Voorblad!$F$41&gt;Voorblad!$K$41,0,IF($U215=0,0,IF($U215&lt;1,1/$U215,IF((FI$56-Voorblad!$F$41)/$U215-SUM($EE215:FH215)=1,1,0))))</f>
        <v>0</v>
      </c>
      <c r="FJ215" s="8">
        <f>IF(FJ$56-Voorblad!$F$41&gt;Voorblad!$K$41,0,IF($U215=0,0,IF($U215&lt;1,1/$U215,IF((FJ$56-Voorblad!$F$41)/$U215-SUM($EE215:FI215)=1,1,0))))</f>
        <v>1</v>
      </c>
      <c r="FK215" s="8">
        <f>IF(FK$56-Voorblad!$F$41&gt;Voorblad!$K$41,0,IF($U215=0,0,IF($U215&lt;1,1/$U215,IF((FK$56-Voorblad!$F$41)/$U215-SUM($EE215:FJ215)=1,1,0))))</f>
        <v>0</v>
      </c>
      <c r="FL215" s="8">
        <f>IF(FL$56-Voorblad!$F$41&gt;Voorblad!$K$41,0,IF($U215=0,0,IF($U215&lt;1,1/$U215,IF((FL$56-Voorblad!$F$41)/$U215-SUM($EE215:FK215)=1,1,0))))</f>
        <v>0</v>
      </c>
      <c r="FM215" s="8">
        <f>IF(FM$56-Voorblad!$F$41&gt;Voorblad!$K$41,0,IF($U215=0,0,IF($U215&lt;1,1/$U215,IF((FM$56-Voorblad!$F$41)/$U215-SUM($EE215:FL215)=1,1,0))))</f>
        <v>0</v>
      </c>
      <c r="FN215" s="8">
        <f>IF(FN$56-Voorblad!$F$41&gt;Voorblad!$K$41,0,IF($U215=0,0,IF($U215&lt;1,1/$U215,IF((FN$56-Voorblad!$F$41)/$U215-SUM($EE215:FM215)=1,1,0))))</f>
        <v>0</v>
      </c>
      <c r="FO215" s="8">
        <f>IF(FO$56-Voorblad!$F$41&gt;Voorblad!$K$41,0,IF($U215=0,0,IF($U215&lt;1,1/$U215,IF((FO$56-Voorblad!$F$41)/$U215-SUM($EE215:FN215)=1,1,0))))</f>
        <v>0</v>
      </c>
      <c r="FP215" s="8">
        <f>IF(FP$56-Voorblad!$F$41&gt;Voorblad!$K$41,0,IF($U215=0,0,IF($U215&lt;1,1/$U215,IF((FP$56-Voorblad!$F$41)/$U215-SUM($EE215:FO215)=1,1,0))))</f>
        <v>0</v>
      </c>
      <c r="FQ215" s="8">
        <f>IF(FQ$56-Voorblad!$F$41&gt;Voorblad!$K$41,0,IF($U215=0,0,IF($U215&lt;1,1/$U215,IF((FQ$56-Voorblad!$F$41)/$U215-SUM($EE215:FP215)=1,1,0))))</f>
        <v>0</v>
      </c>
      <c r="FR215" s="8">
        <f>IF(FR$56-Voorblad!$F$41&gt;Voorblad!$K$41,0,IF($U215=0,0,IF($U215&lt;1,1/$U215,IF((FR$56-Voorblad!$F$41)/$U215-SUM($EE215:FQ215)=1,1,0))))</f>
        <v>0</v>
      </c>
      <c r="FS215" s="8">
        <f>IF(FS$56-Voorblad!$F$41&gt;Voorblad!$K$41,0,IF($U215=0,0,IF($U215&lt;1,1/$U215,IF((FS$56-Voorblad!$F$41)/$U215-SUM($EE215:FR215)=1,1,0))))</f>
        <v>0</v>
      </c>
      <c r="FT215" s="8">
        <f>IF(FT$56-Voorblad!$F$41&gt;Voorblad!$K$41,0,IF($U215=0,0,IF($U215&lt;1,1/$U215,IF((FT$56-Voorblad!$F$41)/$U215-SUM($EE215:FS215)=1,1,0))))</f>
        <v>1</v>
      </c>
      <c r="FU215" s="8">
        <f>IF(FU$56-Voorblad!$F$41&gt;Voorblad!$K$41,0,IF($U215=0,0,IF($U215&lt;1,1/$U215,IF((FU$56-Voorblad!$F$41)/$U215-SUM($EE215:FT215)=1,1,0))))</f>
        <v>0</v>
      </c>
      <c r="FV215" s="8">
        <f>IF(FV$56-Voorblad!$F$41&gt;Voorblad!$K$41,0,IF($U215=0,0,IF($U215&lt;1,1/$U215,IF((FV$56-Voorblad!$F$41)/$U215-SUM($EE215:FU215)=1,1,0))))</f>
        <v>0</v>
      </c>
      <c r="FW215" s="8">
        <f>IF(FW$56-Voorblad!$F$41&gt;Voorblad!$K$41,0,IF($U215=0,0,IF($U215&lt;1,1/$U215,IF((FW$56-Voorblad!$F$41)/$U215-SUM($EE215:FV215)=1,1,0))))</f>
        <v>0</v>
      </c>
      <c r="FX215" s="8">
        <f>IF(FX$56-Voorblad!$F$41&gt;Voorblad!$K$41,0,IF($U215=0,0,IF($U215&lt;1,1/$U215,IF((FX$56-Voorblad!$F$41)/$U215-SUM($EE215:FW215)=1,1,0))))</f>
        <v>0</v>
      </c>
      <c r="FY215" s="8">
        <f>IF(FY$56-Voorblad!$F$41&gt;Voorblad!$K$41,0,IF($U215=0,0,IF($U215&lt;1,1/$U215,IF((FY$56-Voorblad!$F$41)/$U215-SUM($EE215:FX215)=1,1,0))))</f>
        <v>0</v>
      </c>
      <c r="FZ215" s="8">
        <f>IF(FZ$56-Voorblad!$F$41&gt;Voorblad!$K$41,0,IF($U215=0,0,IF($U215&lt;1,1/$U215,IF((FZ$56-Voorblad!$F$41)/$U215-SUM($EE215:FY215)=1,1,0))))</f>
        <v>0</v>
      </c>
      <c r="GA215" s="8">
        <f>IF(GA$56-Voorblad!$F$41&gt;Voorblad!$K$41,0,IF($U215=0,0,IF($U215&lt;1,1/$U215,IF((GA$56-Voorblad!$F$41)/$U215-SUM($EE215:FZ215)=1,1,0))))</f>
        <v>0</v>
      </c>
      <c r="GB215" s="8">
        <f>IF(GB$56-Voorblad!$F$41&gt;Voorblad!$K$41,0,IF($U215=0,0,IF($U215&lt;1,1/$U215,IF((GB$56-Voorblad!$F$41)/$U215-SUM($EE215:GA215)=1,1,0))))</f>
        <v>0</v>
      </c>
      <c r="GC215" s="8">
        <f>IF(GC$56-Voorblad!$F$41&gt;Voorblad!$K$41,0,IF($U215=0,0,IF($U215&lt;1,1/$U215,IF((GC$56-Voorblad!$F$41)/$U215-SUM($EE215:GB215)=1,1,0))))</f>
        <v>0</v>
      </c>
      <c r="GD215" s="8">
        <f>IF(GD$56-Voorblad!$F$41&gt;Voorblad!$K$41,0,IF($U215=0,0,IF($U215&lt;1,1/$U215,IF((GD$56-Voorblad!$F$41)/$U215-SUM($EE215:GC215)=1,1,0))))</f>
        <v>1</v>
      </c>
      <c r="GE215" s="8">
        <f>IF(GE$56-Voorblad!$F$41&gt;Voorblad!$K$41,0,IF($U215=0,0,IF($U215&lt;1,1/$U215,IF((GE$56-Voorblad!$F$41)/$U215-SUM($EE215:GD215)=1,1,0))))</f>
        <v>0</v>
      </c>
      <c r="GF215" s="8">
        <f>IF(GF$56-Voorblad!$F$41&gt;Voorblad!$K$41,0,IF($U215=0,0,IF($U215&lt;1,1/$U215,IF((GF$56-Voorblad!$F$41)/$U215-SUM($EE215:GE215)=1,1,0))))</f>
        <v>0</v>
      </c>
      <c r="GG215" s="8">
        <f>IF(GG$56-Voorblad!$F$41&gt;Voorblad!$K$41,0,IF($U215=0,0,IF($U215&lt;1,1/$U215,IF((GG$56-Voorblad!$F$41)/$U215-SUM($EE215:GF215)=1,1,0))))</f>
        <v>0</v>
      </c>
      <c r="GH215" s="8">
        <f>IF(GH$56-Voorblad!$F$41&gt;Voorblad!$K$41,0,IF($U215=0,0,IF($U215&lt;1,1/$U215,IF((GH$56-Voorblad!$F$41)/$U215-SUM($EE215:GG215)=1,1,0))))</f>
        <v>0</v>
      </c>
      <c r="GI215" s="8">
        <f>IF(GI$56-Voorblad!$F$41&gt;Voorblad!$K$41,0,IF($U215=0,0,IF($U215&lt;1,1/$U215,IF((GI$56-Voorblad!$F$41)/$U215-SUM($EE215:GH215)=1,1,0))))</f>
        <v>0</v>
      </c>
      <c r="GJ215" s="8">
        <f>IF(GJ$56-Voorblad!$F$41&gt;Voorblad!$K$41,0,IF($U215=0,0,IF($U215&lt;1,1/$U215,IF((GJ$56-Voorblad!$F$41)/$U215-SUM($EE215:GI215)=1,1,0))))</f>
        <v>0</v>
      </c>
      <c r="GK215" s="8">
        <f>IF(GK$56-Voorblad!$F$41&gt;Voorblad!$K$41,0,IF($U215=0,0,IF($U215&lt;1,1/$U215,IF((GK$56-Voorblad!$F$41)/$U215-SUM($EE215:GJ215)=1,1,0))))</f>
        <v>0</v>
      </c>
      <c r="GL215" s="8">
        <f>IF(GL$56-Voorblad!$F$41&gt;Voorblad!$K$41,0,IF($U215=0,0,IF($U215&lt;1,1/$U215,IF((GL$56-Voorblad!$F$41)/$U215-SUM($EE215:GK215)=1,1,0))))</f>
        <v>0</v>
      </c>
      <c r="GM215" s="8">
        <f>IF(GM$56-Voorblad!$F$41&gt;Voorblad!$K$41,0,IF($U215=0,0,IF($U215&lt;1,1/$U215,IF((GM$56-Voorblad!$F$41)/$U215-SUM($EE215:GL215)=1,1,0))))</f>
        <v>0</v>
      </c>
      <c r="GN215" s="8">
        <f>IF(GN$56-Voorblad!$F$41&gt;Voorblad!$K$41,0,IF($U215=0,0,IF($U215&lt;1,1/$U215,IF((GN$56-Voorblad!$F$41)/$U215-SUM($EE215:GM215)=1,1,0))))</f>
        <v>1</v>
      </c>
      <c r="GO215" s="8">
        <f>IF(GO$56-Voorblad!$F$41&gt;Voorblad!$K$41,0,IF($U215=0,0,IF($U215&lt;1,1/$U215,IF((GO$56-Voorblad!$F$41)/$U215-SUM($EE215:GN215)=1,1,0))))</f>
        <v>0</v>
      </c>
      <c r="GP215" s="8">
        <f>IF(GP$56-Voorblad!$F$41&gt;Voorblad!$K$41,0,IF($U215=0,0,IF($U215&lt;1,1/$U215,IF((GP$56-Voorblad!$F$41)/$U215-SUM($EE215:GO215)=1,1,0))))</f>
        <v>0</v>
      </c>
      <c r="GQ215" s="8">
        <f>IF(GQ$56-Voorblad!$F$41&gt;Voorblad!$K$41,0,IF($U215=0,0,IF($U215&lt;1,1/$U215,IF((GQ$56-Voorblad!$F$41)/$U215-SUM($EE215:GP215)=1,1,0))))</f>
        <v>0</v>
      </c>
      <c r="GR215" s="8">
        <f>IF(GR$56-Voorblad!$F$41&gt;Voorblad!$K$41,0,IF($U215=0,0,IF($U215&lt;1,1/$U215,IF((GR$56-Voorblad!$F$41)/$U215-SUM($EE215:GQ215)=1,1,0))))</f>
        <v>0</v>
      </c>
      <c r="GS215" s="8">
        <f>IF(GS$56-Voorblad!$F$41&gt;Voorblad!$K$41,0,IF($U215=0,0,IF($U215&lt;1,1/$U215,IF((GS$56-Voorblad!$F$41)/$U215-SUM($EE215:GR215)=1,1,0))))</f>
        <v>0</v>
      </c>
      <c r="GT215" s="8">
        <f>IF(GT$56-Voorblad!$F$41&gt;Voorblad!$K$41,0,IF($U215=0,0,IF($U215&lt;1,1/$U215,IF((GT$56-Voorblad!$F$41)/$U215-SUM($EE215:GS215)=1,1,0))))</f>
        <v>0</v>
      </c>
      <c r="GU215" s="8">
        <f>IF(GU$56-Voorblad!$F$41&gt;Voorblad!$K$41,0,IF($U215=0,0,IF($U215&lt;1,1/$U215,IF((GU$56-Voorblad!$F$41)/$U215-SUM($EE215:GT215)=1,1,0))))</f>
        <v>0</v>
      </c>
      <c r="GV215" s="8">
        <f>IF(GV$56-Voorblad!$F$41&gt;Voorblad!$K$41,0,IF($U215=0,0,IF($U215&lt;1,1/$U215,IF((GV$56-Voorblad!$F$41)/$U215-SUM($EE215:GU215)=1,1,0))))</f>
        <v>0</v>
      </c>
      <c r="GW215" s="8">
        <f>IF(GW$56-Voorblad!$F$41&gt;Voorblad!$K$41,0,IF($U215=0,0,IF($U215&lt;1,1/$U215,IF((GW$56-Voorblad!$F$41)/$U215-SUM($EE215:GV215)=1,1,0))))</f>
        <v>0</v>
      </c>
      <c r="GX215" s="8">
        <f>IF(GX$56-Voorblad!$F$41&gt;Voorblad!$K$41,0,IF($U215=0,0,IF($U215&lt;1,1/$U215,IF((GX$56-Voorblad!$F$41)/$U215-SUM($EE215:GW215)=1,1,0))))</f>
        <v>1</v>
      </c>
      <c r="GY215" s="8">
        <f>IF(GY$56-Voorblad!$F$41&gt;Voorblad!$K$41,0,IF($U215=0,0,IF($U215&lt;1,1/$U215,IF((GY$56-Voorblad!$F$41)/$U215-SUM($EE215:GX215)=1,1,0))))</f>
        <v>0</v>
      </c>
      <c r="GZ215" s="8">
        <f>IF(GZ$56-Voorblad!$F$41&gt;Voorblad!$K$41,0,IF($U215=0,0,IF($U215&lt;1,1/$U215,IF((GZ$56-Voorblad!$F$41)/$U215-SUM($EE215:GY215)=1,1,0))))</f>
        <v>0</v>
      </c>
      <c r="HA215" s="8">
        <f>IF(HA$56-Voorblad!$F$41&gt;Voorblad!$K$41,0,IF($U215=0,0,IF($U215&lt;1,1/$U215,IF((HA$56-Voorblad!$F$41)/$U215-SUM($EE215:GZ215)=1,1,0))))</f>
        <v>0</v>
      </c>
      <c r="HB215" s="8">
        <f>IF(HB$56-Voorblad!$F$41&gt;Voorblad!$K$41,0,IF($U215=0,0,IF($U215&lt;1,1/$U215,IF((HB$56-Voorblad!$F$41)/$U215-SUM($EE215:HA215)=1,1,0))))</f>
        <v>0</v>
      </c>
      <c r="HC215" s="8">
        <f>IF(HC$56-Voorblad!$F$41&gt;Voorblad!$K$41,0,IF($U215=0,0,IF($U215&lt;1,1/$U215,IF((HC$56-Voorblad!$F$41)/$U215-SUM($EE215:HB215)=1,1,0))))</f>
        <v>0</v>
      </c>
      <c r="HD215" s="8">
        <f>IF(HD$56-Voorblad!$F$41&gt;Voorblad!$K$41,0,IF($U215=0,0,IF($U215&lt;1,1/$U215,IF((HD$56-Voorblad!$F$41)/$U215-SUM($EE215:HC215)=1,1,0))))</f>
        <v>0</v>
      </c>
      <c r="HE215" s="8">
        <f>IF(HE$56-Voorblad!$F$41&gt;Voorblad!$K$41,0,IF($U215=0,0,IF($U215&lt;1,1/$U215,IF((HE$56-Voorblad!$F$41)/$U215-SUM($EE215:HD215)=1,1,0))))</f>
        <v>0</v>
      </c>
      <c r="HF215" s="8">
        <f>IF(HF$56-Voorblad!$F$41&gt;Voorblad!$K$41,0,IF($U215=0,0,IF($U215&lt;1,1/$U215,IF((HF$56-Voorblad!$F$41)/$U215-SUM($EE215:HE215)=1,1,0))))</f>
        <v>0</v>
      </c>
      <c r="HG215" s="8">
        <f>IF(HG$56-Voorblad!$F$41&gt;Voorblad!$K$41,0,IF($U215=0,0,IF($U215&lt;1,1/$U215,IF((HG$56-Voorblad!$F$41)/$U215-SUM($EE215:HF215)=1,1,0))))</f>
        <v>0</v>
      </c>
      <c r="HH215" s="8">
        <f>IF(HH$56-Voorblad!$F$41&gt;Voorblad!$K$41,0,IF($U215=0,0,IF($U215&lt;1,1/$U215,IF((HH$56-Voorblad!$F$41)/$U215-SUM($EE215:HG215)=1,1,0))))</f>
        <v>0</v>
      </c>
      <c r="HI215" s="8">
        <f>IF(HI$56-Voorblad!$F$41&gt;Voorblad!$K$41,0,IF($U215=0,0,IF($U215&lt;1,1/$U215,IF((HI$56-Voorblad!$F$41)/$U215-SUM($EE215:HH215)=1,1,0))))</f>
        <v>0</v>
      </c>
      <c r="HJ215" s="8">
        <f>IF(HJ$56-Voorblad!$F$41&gt;Voorblad!$K$41,0,IF($U215=0,0,IF($U215&lt;1,1/$U215,IF((HJ$56-Voorblad!$F$41)/$U215-SUM($EE215:HI215)=1,1,0))))</f>
        <v>0</v>
      </c>
      <c r="HK215" s="8">
        <f>IF(HK$56-Voorblad!$F$41&gt;Voorblad!$K$41,0,IF($U215=0,0,IF($U215&lt;1,1/$U215,IF((HK$56-Voorblad!$F$41)/$U215-SUM($EE215:HJ215)=1,1,0))))</f>
        <v>0</v>
      </c>
      <c r="HL215" s="8">
        <f>IF(HL$56-Voorblad!$F$41&gt;Voorblad!$K$41,0,IF($U215=0,0,IF($U215&lt;1,1/$U215,IF((HL$56-Voorblad!$F$41)/$U215-SUM($EE215:HK215)=1,1,0))))</f>
        <v>0</v>
      </c>
      <c r="HM215" s="8">
        <f>IF(HM$56-Voorblad!$F$41&gt;Voorblad!$K$41,0,IF($U215=0,0,IF($U215&lt;1,1/$U215,IF((HM$56-Voorblad!$F$41)/$U215-SUM($EE215:HL215)=1,1,0))))</f>
        <v>0</v>
      </c>
      <c r="HN215" s="8">
        <f>IF(HN$56-Voorblad!$F$41&gt;Voorblad!$K$41,0,IF($U215=0,0,IF($U215&lt;1,1/$U215,IF((HN$56-Voorblad!$F$41)/$U215-SUM($EE215:HM215)=1,1,0))))</f>
        <v>0</v>
      </c>
      <c r="HO215" s="8">
        <f>IF(HO$56-Voorblad!$F$41&gt;Voorblad!$K$41,0,IF($U215=0,0,IF($U215&lt;1,1/$U215,IF((HO$56-Voorblad!$F$41)/$U215-SUM($EE215:HN215)=1,1,0))))</f>
        <v>0</v>
      </c>
      <c r="HP215" s="8">
        <f>IF(HP$56-Voorblad!$F$41&gt;Voorblad!$K$41,0,IF($U215=0,0,IF($U215&lt;1,1/$U215,IF((HP$56-Voorblad!$F$41)/$U215-SUM($EE215:HO215)=1,1,0))))</f>
        <v>0</v>
      </c>
      <c r="HQ215" s="8">
        <f>IF(HQ$56-Voorblad!$F$41&gt;Voorblad!$K$41,0,IF($U215=0,0,IF($U215&lt;1,1/$U215,IF((HQ$56-Voorblad!$F$41)/$U215-SUM($EE215:HP215)=1,1,0))))</f>
        <v>0</v>
      </c>
      <c r="HR215" s="8">
        <f>IF(HR$56-Voorblad!$F$41&gt;Voorblad!$K$41,0,IF($U215=0,0,IF($U215&lt;1,1/$U215,IF((HR$56-Voorblad!$F$41)/$U215-SUM($EE215:HQ215)=1,1,0))))</f>
        <v>0</v>
      </c>
      <c r="HS215" s="8">
        <f>IF(HS$56-Voorblad!$F$41&gt;Voorblad!$K$41,0,IF($U215=0,0,IF($U215&lt;1,1/$U215,IF((HS$56-Voorblad!$F$41)/$U215-SUM($EE215:HR215)=1,1,0))))</f>
        <v>0</v>
      </c>
      <c r="HT215" s="8">
        <f>IF(HT$56-Voorblad!$F$41&gt;Voorblad!$K$41,0,IF($U215=0,0,IF($U215&lt;1,1/$U215,IF((HT$56-Voorblad!$F$41)/$U215-SUM($EE215:HS215)=1,1,0))))</f>
        <v>0</v>
      </c>
      <c r="HU215" s="8">
        <f>IF(HU$56-Voorblad!$F$41&gt;Voorblad!$K$41,0,IF($U215=0,0,IF($U215&lt;1,1/$U215,IF((HU$56-Voorblad!$F$41)/$U215-SUM($EE215:HT215)=1,1,0))))</f>
        <v>0</v>
      </c>
      <c r="HV215" s="8">
        <f>IF(HV$56-Voorblad!$F$41&gt;Voorblad!$K$41,0,IF($U215=0,0,IF($U215&lt;1,1/$U215,IF((HV$56-Voorblad!$F$41)/$U215-SUM($EE215:HU215)=1,1,0))))</f>
        <v>0</v>
      </c>
      <c r="HW215" s="8">
        <f>IF(HW$56-Voorblad!$F$41&gt;Voorblad!$K$41,0,IF($U215=0,0,IF($U215&lt;1,1/$U215,IF((HW$56-Voorblad!$F$41)/$U215-SUM($EE215:HV215)=1,1,0))))</f>
        <v>0</v>
      </c>
      <c r="HX215" s="8">
        <f>IF(HX$56-Voorblad!$F$41&gt;Voorblad!$K$41,0,IF($U215=0,0,IF($U215&lt;1,1/$U215,IF((HX$56-Voorblad!$F$41)/$U215-SUM($EE215:HW215)=1,1,0))))</f>
        <v>0</v>
      </c>
      <c r="HY215" s="8">
        <f>IF(HY$56-Voorblad!$F$41&gt;Voorblad!$K$41,0,IF($U215=0,0,IF($U215&lt;1,1/$U215,IF((HY$56-Voorblad!$F$41)/$U215-SUM($EE215:HX215)=1,1,0))))</f>
        <v>0</v>
      </c>
      <c r="HZ215" s="8">
        <f>IF(HZ$56-Voorblad!$F$41&gt;Voorblad!$K$41,0,IF($U215=0,0,IF($U215&lt;1,1/$U215,IF((HZ$56-Voorblad!$F$41)/$U215-SUM($EE215:HY215)=1,1,0))))</f>
        <v>0</v>
      </c>
      <c r="IA215" s="8">
        <f>IF(IA$56-Voorblad!$F$41&gt;Voorblad!$K$41,0,IF($U215=0,0,IF($U215&lt;1,1/$U215,IF((IA$56-Voorblad!$F$41)/$U215-SUM($EE215:HZ215)=1,1,0))))</f>
        <v>0</v>
      </c>
      <c r="IB215" s="8">
        <f>IF(IB$56-Voorblad!$F$41&gt;Voorblad!$K$41,0,IF($U215=0,0,IF($U215&lt;1,1/$U215,IF((IB$56-Voorblad!$F$41)/$U215-SUM($EE215:IA215)=1,1,0))))</f>
        <v>0</v>
      </c>
    </row>
    <row r="216" spans="2:236" ht="12" customHeight="1" outlineLevel="1" x14ac:dyDescent="0.25">
      <c r="S216" s="14"/>
      <c r="T216" s="9"/>
      <c r="U216" s="14"/>
      <c r="V216" s="14"/>
      <c r="Y216" s="23">
        <f>SUM(Y212:Y215)</f>
        <v>24536.327430937738</v>
      </c>
      <c r="Z216" s="24"/>
      <c r="AA216" s="23">
        <f>SUM(AA212:AA215)</f>
        <v>0</v>
      </c>
      <c r="AC216" s="9">
        <f>$Y216*(Voorblad!$K$44*(1+Voorblad!$K$44)^Voorblad!$K$41)/((1+Voorblad!$K$44)^Voorblad!$K$41-1)</f>
        <v>734.5116327494801</v>
      </c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/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/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/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E216" s="8"/>
      <c r="EF216" s="8"/>
      <c r="EG216" s="8"/>
      <c r="EH216" s="8"/>
      <c r="EI216" s="8"/>
      <c r="EJ216" s="8"/>
      <c r="EK216" s="8"/>
      <c r="EL216" s="8"/>
      <c r="EM216" s="8"/>
      <c r="EN216" s="8"/>
      <c r="EO216" s="8"/>
      <c r="EP216" s="8"/>
      <c r="EQ216" s="8"/>
      <c r="ER216" s="8"/>
      <c r="ES216" s="8"/>
      <c r="ET216" s="8"/>
      <c r="EU216" s="8"/>
      <c r="EV216" s="8"/>
      <c r="EW216" s="8"/>
      <c r="EX216" s="8"/>
      <c r="EY216" s="8"/>
      <c r="EZ216" s="8"/>
      <c r="FA216" s="8"/>
      <c r="FB216" s="8"/>
      <c r="FC216" s="8"/>
      <c r="FD216" s="8"/>
      <c r="FE216" s="8"/>
      <c r="FF216" s="8"/>
      <c r="FG216" s="8"/>
      <c r="FH216" s="8"/>
      <c r="FI216" s="8"/>
      <c r="FJ216" s="8"/>
      <c r="FK216" s="8"/>
      <c r="FL216" s="8"/>
      <c r="FM216" s="8"/>
      <c r="FN216" s="8"/>
      <c r="FO216" s="8"/>
      <c r="FP216" s="8"/>
      <c r="FQ216" s="8"/>
      <c r="FR216" s="8"/>
      <c r="FS216" s="8"/>
      <c r="FT216" s="8"/>
      <c r="FU216" s="8"/>
      <c r="FV216" s="8"/>
      <c r="FW216" s="8"/>
      <c r="FX216" s="8"/>
      <c r="FY216" s="8"/>
      <c r="FZ216" s="8"/>
      <c r="GA216" s="8"/>
      <c r="GB216" s="8"/>
      <c r="GC216" s="8"/>
      <c r="GD216" s="8"/>
      <c r="GE216" s="8"/>
      <c r="GF216" s="8"/>
      <c r="GG216" s="8"/>
      <c r="GH216" s="8"/>
      <c r="GI216" s="8"/>
      <c r="GJ216" s="8"/>
      <c r="GK216" s="8"/>
      <c r="GL216" s="8"/>
      <c r="GM216" s="8"/>
      <c r="GN216" s="8"/>
      <c r="GO216" s="8"/>
      <c r="GP216" s="8"/>
      <c r="GQ216" s="8"/>
      <c r="GR216" s="8"/>
      <c r="GS216" s="8"/>
      <c r="GT216" s="8"/>
      <c r="GU216" s="8"/>
      <c r="GV216" s="8"/>
      <c r="GW216" s="8"/>
      <c r="GX216" s="8"/>
      <c r="GY216" s="8"/>
      <c r="GZ216" s="8"/>
      <c r="HA216" s="8"/>
      <c r="HB216" s="8"/>
      <c r="HC216" s="8"/>
      <c r="HD216" s="8"/>
      <c r="HE216" s="8"/>
      <c r="HF216" s="8"/>
      <c r="HG216" s="8"/>
      <c r="HH216" s="8"/>
      <c r="HI216" s="8"/>
      <c r="HJ216" s="8"/>
      <c r="HK216" s="8"/>
      <c r="HL216" s="8"/>
      <c r="HM216" s="8"/>
      <c r="HN216" s="8"/>
      <c r="HO216" s="8"/>
      <c r="HP216" s="8"/>
      <c r="HQ216" s="8"/>
      <c r="HR216" s="8"/>
      <c r="HS216" s="8"/>
      <c r="HT216" s="8"/>
      <c r="HU216" s="8"/>
      <c r="HV216" s="8"/>
      <c r="HW216" s="8"/>
      <c r="HX216" s="8"/>
      <c r="HY216" s="8"/>
      <c r="HZ216" s="8"/>
      <c r="IA216" s="8"/>
      <c r="IB216" s="8"/>
    </row>
    <row r="217" spans="2:236" outlineLevel="1" x14ac:dyDescent="0.25">
      <c r="B217" s="2" t="s">
        <v>269</v>
      </c>
      <c r="C217" s="2"/>
      <c r="S217" s="14"/>
      <c r="T217" s="9"/>
      <c r="U217" s="14"/>
      <c r="V217" s="14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E217" s="8"/>
      <c r="EF217" s="8"/>
      <c r="EG217" s="8"/>
      <c r="EH217" s="8"/>
      <c r="EI217" s="8"/>
      <c r="EJ217" s="8"/>
      <c r="EK217" s="8"/>
      <c r="EL217" s="8"/>
      <c r="EM217" s="8"/>
      <c r="EN217" s="8"/>
      <c r="EO217" s="8"/>
      <c r="EP217" s="8"/>
      <c r="EQ217" s="8"/>
      <c r="ER217" s="8"/>
      <c r="ES217" s="8"/>
      <c r="ET217" s="8"/>
      <c r="EU217" s="8"/>
      <c r="EV217" s="8"/>
      <c r="EW217" s="8"/>
      <c r="EX217" s="8"/>
      <c r="EY217" s="8"/>
      <c r="EZ217" s="8"/>
      <c r="FA217" s="8"/>
      <c r="FB217" s="8"/>
      <c r="FC217" s="8"/>
      <c r="FD217" s="8"/>
      <c r="FE217" s="8"/>
      <c r="FF217" s="8"/>
      <c r="FG217" s="8"/>
      <c r="FH217" s="8"/>
      <c r="FI217" s="8"/>
      <c r="FJ217" s="8"/>
      <c r="FK217" s="8"/>
      <c r="FL217" s="8"/>
      <c r="FM217" s="8"/>
      <c r="FN217" s="8"/>
      <c r="FO217" s="8"/>
      <c r="FP217" s="8"/>
      <c r="FQ217" s="8"/>
      <c r="FR217" s="8"/>
      <c r="FS217" s="8"/>
      <c r="FT217" s="8"/>
      <c r="FU217" s="8"/>
      <c r="FV217" s="8"/>
      <c r="FW217" s="8"/>
      <c r="FX217" s="8"/>
      <c r="FY217" s="8"/>
      <c r="FZ217" s="8"/>
      <c r="GA217" s="8"/>
      <c r="GB217" s="8"/>
      <c r="GC217" s="8"/>
      <c r="GD217" s="8"/>
      <c r="GE217" s="8"/>
      <c r="GF217" s="8"/>
      <c r="GG217" s="8"/>
      <c r="GH217" s="8"/>
      <c r="GI217" s="8"/>
      <c r="GJ217" s="8"/>
      <c r="GK217" s="8"/>
      <c r="GL217" s="8"/>
      <c r="GM217" s="8"/>
      <c r="GN217" s="8"/>
      <c r="GO217" s="8"/>
      <c r="GP217" s="8"/>
      <c r="GQ217" s="8"/>
      <c r="GR217" s="8"/>
      <c r="GS217" s="8"/>
      <c r="GT217" s="8"/>
      <c r="GU217" s="8"/>
      <c r="GV217" s="8"/>
      <c r="GW217" s="8"/>
      <c r="GX217" s="8"/>
      <c r="GY217" s="8"/>
      <c r="GZ217" s="8"/>
      <c r="HA217" s="8"/>
      <c r="HB217" s="8"/>
      <c r="HC217" s="8"/>
      <c r="HD217" s="8"/>
      <c r="HE217" s="8"/>
      <c r="HF217" s="8"/>
      <c r="HG217" s="8"/>
      <c r="HH217" s="8"/>
      <c r="HI217" s="8"/>
      <c r="HJ217" s="8"/>
      <c r="HK217" s="8"/>
      <c r="HL217" s="8"/>
      <c r="HM217" s="8"/>
      <c r="HN217" s="8"/>
      <c r="HO217" s="8"/>
      <c r="HP217" s="8"/>
      <c r="HQ217" s="8"/>
      <c r="HR217" s="8"/>
      <c r="HS217" s="8"/>
      <c r="HT217" s="8"/>
      <c r="HU217" s="8"/>
      <c r="HV217" s="8"/>
      <c r="HW217" s="8"/>
      <c r="HX217" s="8"/>
      <c r="HY217" s="8"/>
      <c r="HZ217" s="8"/>
      <c r="IA217" s="8"/>
      <c r="IB217" s="8"/>
    </row>
    <row r="218" spans="2:236" ht="12" customHeight="1" outlineLevel="1" x14ac:dyDescent="0.25">
      <c r="B218" s="1">
        <v>1</v>
      </c>
      <c r="F218" s="1" t="s">
        <v>23</v>
      </c>
      <c r="I218" s="1" t="s">
        <v>48</v>
      </c>
      <c r="K218" s="1" t="s">
        <v>221</v>
      </c>
      <c r="O218" s="1" t="s">
        <v>219</v>
      </c>
      <c r="P218" s="1" t="s">
        <v>220</v>
      </c>
      <c r="Q218" s="84">
        <f>10%*((2*11.4*2.86)+(4*((3*2.86)/2)))</f>
        <v>8.2368000000000006</v>
      </c>
      <c r="R218" s="1" t="s">
        <v>35</v>
      </c>
      <c r="S218" s="14">
        <f>$H$10*500</f>
        <v>1190</v>
      </c>
      <c r="T218" s="9">
        <f>Q218*S218</f>
        <v>9801.7920000000013</v>
      </c>
      <c r="U218" s="14">
        <v>30</v>
      </c>
      <c r="V218" s="14"/>
      <c r="Y218" s="9">
        <f>SUM(AE218:EB218)</f>
        <v>6900.7190910157387</v>
      </c>
      <c r="Z218" s="83"/>
      <c r="AA218" s="83"/>
      <c r="AC218" s="229">
        <f>$Y218*(Voorblad!$K$44*(1+Voorblad!$K$44)^Voorblad!$K$41)/((1+Voorblad!$K$44)^Voorblad!$K$41-1)</f>
        <v>206.57771465408598</v>
      </c>
      <c r="AE218" s="9">
        <f>EF218*($Q218*$S218)/(1+Voorblad!$K$44)^(AE$56-Voorblad!$F$41)</f>
        <v>0</v>
      </c>
      <c r="AF218" s="9">
        <f>EG218*($Q218*$S218)/(1+Voorblad!$K$44)^(AF$56-Voorblad!$F$41)</f>
        <v>0</v>
      </c>
      <c r="AG218" s="9">
        <f>EH218*($Q218*$S218)/(1+Voorblad!$K$44)^(AG$56-Voorblad!$F$41)</f>
        <v>0</v>
      </c>
      <c r="AH218" s="9">
        <f>EI218*($Q218*$S218)/(1+Voorblad!$K$44)^(AH$56-Voorblad!$F$41)</f>
        <v>0</v>
      </c>
      <c r="AI218" s="9">
        <f>EJ218*($Q218*$S218)/(1+Voorblad!$K$44)^(AI$56-Voorblad!$F$41)</f>
        <v>0</v>
      </c>
      <c r="AJ218" s="9">
        <f>EK218*($Q218*$S218)/(1+Voorblad!$K$44)^(AJ$56-Voorblad!$F$41)</f>
        <v>0</v>
      </c>
      <c r="AK218" s="9">
        <f>EL218*($Q218*$S218)/(1+Voorblad!$K$44)^(AK$56-Voorblad!$F$41)</f>
        <v>0</v>
      </c>
      <c r="AL218" s="9">
        <f>EM218*($Q218*$S218)/(1+Voorblad!$K$44)^(AL$56-Voorblad!$F$41)</f>
        <v>0</v>
      </c>
      <c r="AM218" s="9">
        <f>EN218*($Q218*$S218)/(1+Voorblad!$K$44)^(AM$56-Voorblad!$F$41)</f>
        <v>0</v>
      </c>
      <c r="AN218" s="9">
        <f>EO218*($Q218*$S218)/(1+Voorblad!$K$44)^(AN$56-Voorblad!$F$41)</f>
        <v>0</v>
      </c>
      <c r="AO218" s="9">
        <f>EP218*($Q218*$S218)/(1+Voorblad!$K$44)^(AO$56-Voorblad!$F$41)</f>
        <v>0</v>
      </c>
      <c r="AP218" s="9">
        <f>EQ218*($Q218*$S218)/(1+Voorblad!$K$44)^(AP$56-Voorblad!$F$41)</f>
        <v>0</v>
      </c>
      <c r="AQ218" s="9">
        <f>ER218*($Q218*$S218)/(1+Voorblad!$K$44)^(AQ$56-Voorblad!$F$41)</f>
        <v>0</v>
      </c>
      <c r="AR218" s="9">
        <f>ES218*($Q218*$S218)/(1+Voorblad!$K$44)^(AR$56-Voorblad!$F$41)</f>
        <v>0</v>
      </c>
      <c r="AS218" s="9">
        <f>ET218*($Q218*$S218)/(1+Voorblad!$K$44)^(AS$56-Voorblad!$F$41)</f>
        <v>0</v>
      </c>
      <c r="AT218" s="9">
        <f>EU218*($Q218*$S218)/(1+Voorblad!$K$44)^(AT$56-Voorblad!$F$41)</f>
        <v>0</v>
      </c>
      <c r="AU218" s="9">
        <f>EV218*($Q218*$S218)/(1+Voorblad!$K$44)^(AU$56-Voorblad!$F$41)</f>
        <v>0</v>
      </c>
      <c r="AV218" s="9">
        <f>EW218*($Q218*$S218)/(1+Voorblad!$K$44)^(AV$56-Voorblad!$F$41)</f>
        <v>0</v>
      </c>
      <c r="AW218" s="9">
        <f>EX218*($Q218*$S218)/(1+Voorblad!$K$44)^(AW$56-Voorblad!$F$41)</f>
        <v>0</v>
      </c>
      <c r="AX218" s="9">
        <f>EY218*($Q218*$S218)/(1+Voorblad!$K$44)^(AX$56-Voorblad!$F$41)</f>
        <v>0</v>
      </c>
      <c r="AY218" s="9">
        <f>EZ218*($Q218*$S218)/(1+Voorblad!$K$44)^(AY$56-Voorblad!$F$41)</f>
        <v>0</v>
      </c>
      <c r="AZ218" s="9">
        <f>FA218*($Q218*$S218)/(1+Voorblad!$K$44)^(AZ$56-Voorblad!$F$41)</f>
        <v>0</v>
      </c>
      <c r="BA218" s="9">
        <f>FB218*($Q218*$S218)/(1+Voorblad!$K$44)^(BA$56-Voorblad!$F$41)</f>
        <v>0</v>
      </c>
      <c r="BB218" s="9">
        <f>FC218*($Q218*$S218)/(1+Voorblad!$K$44)^(BB$56-Voorblad!$F$41)</f>
        <v>0</v>
      </c>
      <c r="BC218" s="9">
        <f>FD218*($Q218*$S218)/(1+Voorblad!$K$44)^(BC$56-Voorblad!$F$41)</f>
        <v>0</v>
      </c>
      <c r="BD218" s="9">
        <f>FE218*($Q218*$S218)/(1+Voorblad!$K$44)^(BD$56-Voorblad!$F$41)</f>
        <v>0</v>
      </c>
      <c r="BE218" s="9">
        <f>FF218*($Q218*$S218)/(1+Voorblad!$K$44)^(BE$56-Voorblad!$F$41)</f>
        <v>0</v>
      </c>
      <c r="BF218" s="9">
        <f>FG218*($Q218*$S218)/(1+Voorblad!$K$44)^(BF$56-Voorblad!$F$41)</f>
        <v>0</v>
      </c>
      <c r="BG218" s="9">
        <f>FH218*($Q218*$S218)/(1+Voorblad!$K$44)^(BG$56-Voorblad!$F$41)</f>
        <v>0</v>
      </c>
      <c r="BH218" s="9">
        <f>FI218*($Q218*$S218)/(1+Voorblad!$K$44)^(BH$56-Voorblad!$F$41)</f>
        <v>0</v>
      </c>
      <c r="BI218" s="9">
        <f>FJ218*($Q218*$S218)/(1+Voorblad!$K$44)^(BI$56-Voorblad!$F$41)</f>
        <v>4672.9326376653589</v>
      </c>
      <c r="BJ218" s="9">
        <f>FK218*($Q218*$S218)/(1+Voorblad!$K$44)^(BJ$56-Voorblad!$F$41)</f>
        <v>0</v>
      </c>
      <c r="BK218" s="9">
        <f>FL218*($Q218*$S218)/(1+Voorblad!$K$44)^(BK$56-Voorblad!$F$41)</f>
        <v>0</v>
      </c>
      <c r="BL218" s="9">
        <f>FM218*($Q218*$S218)/(1+Voorblad!$K$44)^(BL$56-Voorblad!$F$41)</f>
        <v>0</v>
      </c>
      <c r="BM218" s="9">
        <f>FN218*($Q218*$S218)/(1+Voorblad!$K$44)^(BM$56-Voorblad!$F$41)</f>
        <v>0</v>
      </c>
      <c r="BN218" s="9">
        <f>FO218*($Q218*$S218)/(1+Voorblad!$K$44)^(BN$56-Voorblad!$F$41)</f>
        <v>0</v>
      </c>
      <c r="BO218" s="9">
        <f>FP218*($Q218*$S218)/(1+Voorblad!$K$44)^(BO$56-Voorblad!$F$41)</f>
        <v>0</v>
      </c>
      <c r="BP218" s="9">
        <f>FQ218*($Q218*$S218)/(1+Voorblad!$K$44)^(BP$56-Voorblad!$F$41)</f>
        <v>0</v>
      </c>
      <c r="BQ218" s="9">
        <f>FR218*($Q218*$S218)/(1+Voorblad!$K$44)^(BQ$56-Voorblad!$F$41)</f>
        <v>0</v>
      </c>
      <c r="BR218" s="9">
        <f>FS218*($Q218*$S218)/(1+Voorblad!$K$44)^(BR$56-Voorblad!$F$41)</f>
        <v>0</v>
      </c>
      <c r="BS218" s="9">
        <f>FT218*($Q218*$S218)/(1+Voorblad!$K$44)^(BS$56-Voorblad!$F$41)</f>
        <v>0</v>
      </c>
      <c r="BT218" s="9">
        <f>FU218*($Q218*$S218)/(1+Voorblad!$K$44)^(BT$56-Voorblad!$F$41)</f>
        <v>0</v>
      </c>
      <c r="BU218" s="9">
        <f>FV218*($Q218*$S218)/(1+Voorblad!$K$44)^(BU$56-Voorblad!$F$41)</f>
        <v>0</v>
      </c>
      <c r="BV218" s="9">
        <f>FW218*($Q218*$S218)/(1+Voorblad!$K$44)^(BV$56-Voorblad!$F$41)</f>
        <v>0</v>
      </c>
      <c r="BW218" s="9">
        <f>FX218*($Q218*$S218)/(1+Voorblad!$K$44)^(BW$56-Voorblad!$F$41)</f>
        <v>0</v>
      </c>
      <c r="BX218" s="9">
        <f>FY218*($Q218*$S218)/(1+Voorblad!$K$44)^(BX$56-Voorblad!$F$41)</f>
        <v>0</v>
      </c>
      <c r="BY218" s="9">
        <f>FZ218*($Q218*$S218)/(1+Voorblad!$K$44)^(BY$56-Voorblad!$F$41)</f>
        <v>0</v>
      </c>
      <c r="BZ218" s="9">
        <f>GA218*($Q218*$S218)/(1+Voorblad!$K$44)^(BZ$56-Voorblad!$F$41)</f>
        <v>0</v>
      </c>
      <c r="CA218" s="9">
        <f>GB218*($Q218*$S218)/(1+Voorblad!$K$44)^(CA$56-Voorblad!$F$41)</f>
        <v>0</v>
      </c>
      <c r="CB218" s="9">
        <f>GC218*($Q218*$S218)/(1+Voorblad!$K$44)^(CB$56-Voorblad!$F$41)</f>
        <v>0</v>
      </c>
      <c r="CC218" s="9">
        <f>GD218*($Q218*$S218)/(1+Voorblad!$K$44)^(CC$56-Voorblad!$F$41)</f>
        <v>0</v>
      </c>
      <c r="CD218" s="9">
        <f>GE218*($Q218*$S218)/(1+Voorblad!$K$44)^(CD$56-Voorblad!$F$41)</f>
        <v>0</v>
      </c>
      <c r="CE218" s="9">
        <f>GF218*($Q218*$S218)/(1+Voorblad!$K$44)^(CE$56-Voorblad!$F$41)</f>
        <v>0</v>
      </c>
      <c r="CF218" s="9">
        <f>GG218*($Q218*$S218)/(1+Voorblad!$K$44)^(CF$56-Voorblad!$F$41)</f>
        <v>0</v>
      </c>
      <c r="CG218" s="9">
        <f>GH218*($Q218*$S218)/(1+Voorblad!$K$44)^(CG$56-Voorblad!$F$41)</f>
        <v>0</v>
      </c>
      <c r="CH218" s="9">
        <f>GI218*($Q218*$S218)/(1+Voorblad!$K$44)^(CH$56-Voorblad!$F$41)</f>
        <v>0</v>
      </c>
      <c r="CI218" s="9">
        <f>GJ218*($Q218*$S218)/(1+Voorblad!$K$44)^(CI$56-Voorblad!$F$41)</f>
        <v>0</v>
      </c>
      <c r="CJ218" s="9">
        <f>GK218*($Q218*$S218)/(1+Voorblad!$K$44)^(CJ$56-Voorblad!$F$41)</f>
        <v>0</v>
      </c>
      <c r="CK218" s="9">
        <f>GL218*($Q218*$S218)/(1+Voorblad!$K$44)^(CK$56-Voorblad!$F$41)</f>
        <v>0</v>
      </c>
      <c r="CL218" s="9">
        <f>GM218*($Q218*$S218)/(1+Voorblad!$K$44)^(CL$56-Voorblad!$F$41)</f>
        <v>0</v>
      </c>
      <c r="CM218" s="9">
        <f>GN218*($Q218*$S218)/(1+Voorblad!$K$44)^(CM$56-Voorblad!$F$41)</f>
        <v>2227.7864533503794</v>
      </c>
      <c r="CN218" s="9">
        <f>GO218*($Q218*$S218)/(1+Voorblad!$K$44)^(CN$56-Voorblad!$F$41)</f>
        <v>0</v>
      </c>
      <c r="CO218" s="9">
        <f>GP218*($Q218*$S218)/(1+Voorblad!$K$44)^(CO$56-Voorblad!$F$41)</f>
        <v>0</v>
      </c>
      <c r="CP218" s="9">
        <f>GQ218*($Q218*$S218)/(1+Voorblad!$K$44)^(CP$56-Voorblad!$F$41)</f>
        <v>0</v>
      </c>
      <c r="CQ218" s="9">
        <f>GR218*($Q218*$S218)/(1+Voorblad!$K$44)^(CQ$56-Voorblad!$F$41)</f>
        <v>0</v>
      </c>
      <c r="CR218" s="9">
        <f>GS218*($Q218*$S218)/(1+Voorblad!$K$44)^(CR$56-Voorblad!$F$41)</f>
        <v>0</v>
      </c>
      <c r="CS218" s="9">
        <f>GT218*($Q218*$S218)/(1+Voorblad!$K$44)^(CS$56-Voorblad!$F$41)</f>
        <v>0</v>
      </c>
      <c r="CT218" s="9">
        <f>GU218*($Q218*$S218)/(1+Voorblad!$K$44)^(CT$56-Voorblad!$F$41)</f>
        <v>0</v>
      </c>
      <c r="CU218" s="9">
        <f>GV218*($Q218*$S218)/(1+Voorblad!$K$44)^(CU$56-Voorblad!$F$41)</f>
        <v>0</v>
      </c>
      <c r="CV218" s="9">
        <f>GW218*($Q218*$S218)/(1+Voorblad!$K$44)^(CV$56-Voorblad!$F$41)</f>
        <v>0</v>
      </c>
      <c r="CW218" s="9">
        <f>GX218*($Q218*$S218)/(1+Voorblad!$K$44)^(CW$56-Voorblad!$F$41)</f>
        <v>0</v>
      </c>
      <c r="CX218" s="9">
        <f>GY218*($Q218*$S218)/(1+Voorblad!$K$44)^(CX$56-Voorblad!$F$41)</f>
        <v>0</v>
      </c>
      <c r="CY218" s="9">
        <f>GZ218*($Q218*$S218)/(1+Voorblad!$K$44)^(CY$56-Voorblad!$F$41)</f>
        <v>0</v>
      </c>
      <c r="CZ218" s="9">
        <f>HA218*($Q218*$S218)/(1+Voorblad!$K$44)^(CZ$56-Voorblad!$F$41)</f>
        <v>0</v>
      </c>
      <c r="DA218" s="9">
        <f>HB218*($Q218*$S218)/(1+Voorblad!$K$44)^(DA$56-Voorblad!$F$41)</f>
        <v>0</v>
      </c>
      <c r="DB218" s="9">
        <f>HC218*($Q218*$S218)/(1+Voorblad!$K$44)^(DB$56-Voorblad!$F$41)</f>
        <v>0</v>
      </c>
      <c r="DC218" s="9">
        <f>HD218*($Q218*$S218)/(1+Voorblad!$K$44)^(DC$56-Voorblad!$F$41)</f>
        <v>0</v>
      </c>
      <c r="DD218" s="9">
        <f>HE218*($Q218*$S218)/(1+Voorblad!$K$44)^(DD$56-Voorblad!$F$41)</f>
        <v>0</v>
      </c>
      <c r="DE218" s="9">
        <f>HF218*($Q218*$S218)/(1+Voorblad!$K$44)^(DE$56-Voorblad!$F$41)</f>
        <v>0</v>
      </c>
      <c r="DF218" s="9">
        <f>HG218*($Q218*$S218)/(1+Voorblad!$K$44)^(DF$56-Voorblad!$F$41)</f>
        <v>0</v>
      </c>
      <c r="DG218" s="9">
        <f>HH218*($Q218*$S218)/(1+Voorblad!$K$44)^(DG$56-Voorblad!$F$41)</f>
        <v>0</v>
      </c>
      <c r="DH218" s="9">
        <f>HI218*($Q218*$S218)/(1+Voorblad!$K$44)^(DH$56-Voorblad!$F$41)</f>
        <v>0</v>
      </c>
      <c r="DI218" s="9">
        <f>HJ218*($Q218*$S218)/(1+Voorblad!$K$44)^(DI$56-Voorblad!$F$41)</f>
        <v>0</v>
      </c>
      <c r="DJ218" s="9">
        <f>HK218*($Q218*$S218)/(1+Voorblad!$K$44)^(DJ$56-Voorblad!$F$41)</f>
        <v>0</v>
      </c>
      <c r="DK218" s="9">
        <f>HL218*($Q218*$S218)/(1+Voorblad!$K$44)^(DK$56-Voorblad!$F$41)</f>
        <v>0</v>
      </c>
      <c r="DL218" s="9">
        <f>HM218*($Q218*$S218)/(1+Voorblad!$K$44)^(DL$56-Voorblad!$F$41)</f>
        <v>0</v>
      </c>
      <c r="DM218" s="9">
        <f>HN218*($Q218*$S218)/(1+Voorblad!$K$44)^(DM$56-Voorblad!$F$41)</f>
        <v>0</v>
      </c>
      <c r="DN218" s="9">
        <f>HO218*($Q218*$S218)/(1+Voorblad!$K$44)^(DN$56-Voorblad!$F$41)</f>
        <v>0</v>
      </c>
      <c r="DO218" s="9">
        <f>HP218*($Q218*$S218)/(1+Voorblad!$K$44)^(DO$56-Voorblad!$F$41)</f>
        <v>0</v>
      </c>
      <c r="DP218" s="9">
        <f>HQ218*($Q218*$S218)/(1+Voorblad!$K$44)^(DP$56-Voorblad!$F$41)</f>
        <v>0</v>
      </c>
      <c r="DQ218" s="9">
        <f>HR218*($Q218*$S218)/(1+Voorblad!$K$44)^(DQ$56-Voorblad!$F$41)</f>
        <v>0</v>
      </c>
      <c r="DR218" s="9">
        <f>HS218*($Q218*$S218)/(1+Voorblad!$K$44)^(DR$56-Voorblad!$F$41)</f>
        <v>0</v>
      </c>
      <c r="DS218" s="9">
        <f>HT218*($Q218*$S218)/(1+Voorblad!$K$44)^(DS$56-Voorblad!$F$41)</f>
        <v>0</v>
      </c>
      <c r="DT218" s="9">
        <f>HU218*($Q218*$S218)/(1+Voorblad!$K$44)^(DT$56-Voorblad!$F$41)</f>
        <v>0</v>
      </c>
      <c r="DU218" s="9">
        <f>HV218*($Q218*$S218)/(1+Voorblad!$K$44)^(DU$56-Voorblad!$F$41)</f>
        <v>0</v>
      </c>
      <c r="DV218" s="9">
        <f>HW218*($Q218*$S218)/(1+Voorblad!$K$44)^(DV$56-Voorblad!$F$41)</f>
        <v>0</v>
      </c>
      <c r="DW218" s="9">
        <f>HX218*($Q218*$S218)/(1+Voorblad!$K$44)^(DW$56-Voorblad!$F$41)</f>
        <v>0</v>
      </c>
      <c r="DX218" s="9">
        <f>HY218*($Q218*$S218)/(1+Voorblad!$K$44)^(DX$56-Voorblad!$F$41)</f>
        <v>0</v>
      </c>
      <c r="DY218" s="9">
        <f>HZ218*($Q218*$S218)/(1+Voorblad!$K$44)^(DY$56-Voorblad!$F$41)</f>
        <v>0</v>
      </c>
      <c r="DZ218" s="9">
        <f>IA218*($Q218*$S218)/(1+Voorblad!$K$44)^(DZ$56-Voorblad!$F$41)</f>
        <v>0</v>
      </c>
      <c r="EA218" s="9">
        <f>IB218*($Q218*$S218)/(1+Voorblad!$K$44)^(EA$56-Voorblad!$F$41)</f>
        <v>0</v>
      </c>
      <c r="EB218" s="9">
        <f>IC218*($Q218*$S218)/(1+Voorblad!$K$44)^(EB$56-Voorblad!$F$41)</f>
        <v>0</v>
      </c>
      <c r="EE218" s="8">
        <v>0</v>
      </c>
      <c r="EF218" s="8">
        <f>IF(EF$56-Voorblad!$F$41&gt;Voorblad!$K$41,0,IF($U218=0,0,IF($U218&lt;1,1/$U218,IF((EF$56-Voorblad!$F$41)/$U218-SUM($EE218:EE218)=1,1,0))))</f>
        <v>0</v>
      </c>
      <c r="EG218" s="8">
        <f>IF(EG$56-Voorblad!$F$41&gt;Voorblad!$K$41,0,IF($U218=0,0,IF($U218&lt;1,1/$U218,IF((EG$56-Voorblad!$F$41)/$U218-SUM($EE218:EF218)=1,1,0))))</f>
        <v>0</v>
      </c>
      <c r="EH218" s="8">
        <f>IF(EH$56-Voorblad!$F$41&gt;Voorblad!$K$41,0,IF($U218=0,0,IF($U218&lt;1,1/$U218,IF((EH$56-Voorblad!$F$41)/$U218-SUM($EE218:EG218)=1,1,0))))</f>
        <v>0</v>
      </c>
      <c r="EI218" s="8">
        <f>IF(EI$56-Voorblad!$F$41&gt;Voorblad!$K$41,0,IF($U218=0,0,IF($U218&lt;1,1/$U218,IF((EI$56-Voorblad!$F$41)/$U218-SUM($EE218:EH218)=1,1,0))))</f>
        <v>0</v>
      </c>
      <c r="EJ218" s="8">
        <f>IF(EJ$56-Voorblad!$F$41&gt;Voorblad!$K$41,0,IF($U218=0,0,IF($U218&lt;1,1/$U218,IF((EJ$56-Voorblad!$F$41)/$U218-SUM($EE218:EI218)=1,1,0))))</f>
        <v>0</v>
      </c>
      <c r="EK218" s="8">
        <f>IF(EK$56-Voorblad!$F$41&gt;Voorblad!$K$41,0,IF($U218=0,0,IF($U218&lt;1,1/$U218,IF((EK$56-Voorblad!$F$41)/$U218-SUM($EE218:EJ218)=1,1,0))))</f>
        <v>0</v>
      </c>
      <c r="EL218" s="8">
        <f>IF(EL$56-Voorblad!$F$41&gt;Voorblad!$K$41,0,IF($U218=0,0,IF($U218&lt;1,1/$U218,IF((EL$56-Voorblad!$F$41)/$U218-SUM($EE218:EK218)=1,1,0))))</f>
        <v>0</v>
      </c>
      <c r="EM218" s="8">
        <f>IF(EM$56-Voorblad!$F$41&gt;Voorblad!$K$41,0,IF($U218=0,0,IF($U218&lt;1,1/$U218,IF((EM$56-Voorblad!$F$41)/$U218-SUM($EE218:EL218)=1,1,0))))</f>
        <v>0</v>
      </c>
      <c r="EN218" s="8">
        <f>IF(EN$56-Voorblad!$F$41&gt;Voorblad!$K$41,0,IF($U218=0,0,IF($U218&lt;1,1/$U218,IF((EN$56-Voorblad!$F$41)/$U218-SUM($EE218:EM218)=1,1,0))))</f>
        <v>0</v>
      </c>
      <c r="EO218" s="8">
        <f>IF(EO$56-Voorblad!$F$41&gt;Voorblad!$K$41,0,IF($U218=0,0,IF($U218&lt;1,1/$U218,IF((EO$56-Voorblad!$F$41)/$U218-SUM($EE218:EN218)=1,1,0))))</f>
        <v>0</v>
      </c>
      <c r="EP218" s="8">
        <f>IF(EP$56-Voorblad!$F$41&gt;Voorblad!$K$41,0,IF($U218=0,0,IF($U218&lt;1,1/$U218,IF((EP$56-Voorblad!$F$41)/$U218-SUM($EE218:EO218)=1,1,0))))</f>
        <v>0</v>
      </c>
      <c r="EQ218" s="8">
        <f>IF(EQ$56-Voorblad!$F$41&gt;Voorblad!$K$41,0,IF($U218=0,0,IF($U218&lt;1,1/$U218,IF((EQ$56-Voorblad!$F$41)/$U218-SUM($EE218:EP218)=1,1,0))))</f>
        <v>0</v>
      </c>
      <c r="ER218" s="8">
        <f>IF(ER$56-Voorblad!$F$41&gt;Voorblad!$K$41,0,IF($U218=0,0,IF($U218&lt;1,1/$U218,IF((ER$56-Voorblad!$F$41)/$U218-SUM($EE218:EQ218)=1,1,0))))</f>
        <v>0</v>
      </c>
      <c r="ES218" s="8">
        <f>IF(ES$56-Voorblad!$F$41&gt;Voorblad!$K$41,0,IF($U218=0,0,IF($U218&lt;1,1/$U218,IF((ES$56-Voorblad!$F$41)/$U218-SUM($EE218:ER218)=1,1,0))))</f>
        <v>0</v>
      </c>
      <c r="ET218" s="8">
        <f>IF(ET$56-Voorblad!$F$41&gt;Voorblad!$K$41,0,IF($U218=0,0,IF($U218&lt;1,1/$U218,IF((ET$56-Voorblad!$F$41)/$U218-SUM($EE218:ES218)=1,1,0))))</f>
        <v>0</v>
      </c>
      <c r="EU218" s="8">
        <f>IF(EU$56-Voorblad!$F$41&gt;Voorblad!$K$41,0,IF($U218=0,0,IF($U218&lt;1,1/$U218,IF((EU$56-Voorblad!$F$41)/$U218-SUM($EE218:ET218)=1,1,0))))</f>
        <v>0</v>
      </c>
      <c r="EV218" s="8">
        <f>IF(EV$56-Voorblad!$F$41&gt;Voorblad!$K$41,0,IF($U218=0,0,IF($U218&lt;1,1/$U218,IF((EV$56-Voorblad!$F$41)/$U218-SUM($EE218:EU218)=1,1,0))))</f>
        <v>0</v>
      </c>
      <c r="EW218" s="8">
        <f>IF(EW$56-Voorblad!$F$41&gt;Voorblad!$K$41,0,IF($U218=0,0,IF($U218&lt;1,1/$U218,IF((EW$56-Voorblad!$F$41)/$U218-SUM($EE218:EV218)=1,1,0))))</f>
        <v>0</v>
      </c>
      <c r="EX218" s="8">
        <f>IF(EX$56-Voorblad!$F$41&gt;Voorblad!$K$41,0,IF($U218=0,0,IF($U218&lt;1,1/$U218,IF((EX$56-Voorblad!$F$41)/$U218-SUM($EE218:EW218)=1,1,0))))</f>
        <v>0</v>
      </c>
      <c r="EY218" s="8">
        <f>IF(EY$56-Voorblad!$F$41&gt;Voorblad!$K$41,0,IF($U218=0,0,IF($U218&lt;1,1/$U218,IF((EY$56-Voorblad!$F$41)/$U218-SUM($EE218:EX218)=1,1,0))))</f>
        <v>0</v>
      </c>
      <c r="EZ218" s="8">
        <f>IF(EZ$56-Voorblad!$F$41&gt;Voorblad!$K$41,0,IF($U218=0,0,IF($U218&lt;1,1/$U218,IF((EZ$56-Voorblad!$F$41)/$U218-SUM($EE218:EY218)=1,1,0))))</f>
        <v>0</v>
      </c>
      <c r="FA218" s="8">
        <f>IF(FA$56-Voorblad!$F$41&gt;Voorblad!$K$41,0,IF($U218=0,0,IF($U218&lt;1,1/$U218,IF((FA$56-Voorblad!$F$41)/$U218-SUM($EE218:EZ218)=1,1,0))))</f>
        <v>0</v>
      </c>
      <c r="FB218" s="8">
        <f>IF(FB$56-Voorblad!$F$41&gt;Voorblad!$K$41,0,IF($U218=0,0,IF($U218&lt;1,1/$U218,IF((FB$56-Voorblad!$F$41)/$U218-SUM($EE218:FA218)=1,1,0))))</f>
        <v>0</v>
      </c>
      <c r="FC218" s="8">
        <f>IF(FC$56-Voorblad!$F$41&gt;Voorblad!$K$41,0,IF($U218=0,0,IF($U218&lt;1,1/$U218,IF((FC$56-Voorblad!$F$41)/$U218-SUM($EE218:FB218)=1,1,0))))</f>
        <v>0</v>
      </c>
      <c r="FD218" s="8">
        <f>IF(FD$56-Voorblad!$F$41&gt;Voorblad!$K$41,0,IF($U218=0,0,IF($U218&lt;1,1/$U218,IF((FD$56-Voorblad!$F$41)/$U218-SUM($EE218:FC218)=1,1,0))))</f>
        <v>0</v>
      </c>
      <c r="FE218" s="8">
        <f>IF(FE$56-Voorblad!$F$41&gt;Voorblad!$K$41,0,IF($U218=0,0,IF($U218&lt;1,1/$U218,IF((FE$56-Voorblad!$F$41)/$U218-SUM($EE218:FD218)=1,1,0))))</f>
        <v>0</v>
      </c>
      <c r="FF218" s="8">
        <f>IF(FF$56-Voorblad!$F$41&gt;Voorblad!$K$41,0,IF($U218=0,0,IF($U218&lt;1,1/$U218,IF((FF$56-Voorblad!$F$41)/$U218-SUM($EE218:FE218)=1,1,0))))</f>
        <v>0</v>
      </c>
      <c r="FG218" s="8">
        <f>IF(FG$56-Voorblad!$F$41&gt;Voorblad!$K$41,0,IF($U218=0,0,IF($U218&lt;1,1/$U218,IF((FG$56-Voorblad!$F$41)/$U218-SUM($EE218:FF218)=1,1,0))))</f>
        <v>0</v>
      </c>
      <c r="FH218" s="8">
        <f>IF(FH$56-Voorblad!$F$41&gt;Voorblad!$K$41,0,IF($U218=0,0,IF($U218&lt;1,1/$U218,IF((FH$56-Voorblad!$F$41)/$U218-SUM($EE218:FG218)=1,1,0))))</f>
        <v>0</v>
      </c>
      <c r="FI218" s="8">
        <f>IF(FI$56-Voorblad!$F$41&gt;Voorblad!$K$41,0,IF($U218=0,0,IF($U218&lt;1,1/$U218,IF((FI$56-Voorblad!$F$41)/$U218-SUM($EE218:FH218)=1,1,0))))</f>
        <v>0</v>
      </c>
      <c r="FJ218" s="8">
        <f>IF(FJ$56-Voorblad!$F$41&gt;Voorblad!$K$41,0,IF($U218=0,0,IF($U218&lt;1,1/$U218,IF((FJ$56-Voorblad!$F$41)/$U218-SUM($EE218:FI218)=1,1,0))))</f>
        <v>1</v>
      </c>
      <c r="FK218" s="8">
        <f>IF(FK$56-Voorblad!$F$41&gt;Voorblad!$K$41,0,IF($U218=0,0,IF($U218&lt;1,1/$U218,IF((FK$56-Voorblad!$F$41)/$U218-SUM($EE218:FJ218)=1,1,0))))</f>
        <v>0</v>
      </c>
      <c r="FL218" s="8">
        <f>IF(FL$56-Voorblad!$F$41&gt;Voorblad!$K$41,0,IF($U218=0,0,IF($U218&lt;1,1/$U218,IF((FL$56-Voorblad!$F$41)/$U218-SUM($EE218:FK218)=1,1,0))))</f>
        <v>0</v>
      </c>
      <c r="FM218" s="8">
        <f>IF(FM$56-Voorblad!$F$41&gt;Voorblad!$K$41,0,IF($U218=0,0,IF($U218&lt;1,1/$U218,IF((FM$56-Voorblad!$F$41)/$U218-SUM($EE218:FL218)=1,1,0))))</f>
        <v>0</v>
      </c>
      <c r="FN218" s="8">
        <f>IF(FN$56-Voorblad!$F$41&gt;Voorblad!$K$41,0,IF($U218=0,0,IF($U218&lt;1,1/$U218,IF((FN$56-Voorblad!$F$41)/$U218-SUM($EE218:FM218)=1,1,0))))</f>
        <v>0</v>
      </c>
      <c r="FO218" s="8">
        <f>IF(FO$56-Voorblad!$F$41&gt;Voorblad!$K$41,0,IF($U218=0,0,IF($U218&lt;1,1/$U218,IF((FO$56-Voorblad!$F$41)/$U218-SUM($EE218:FN218)=1,1,0))))</f>
        <v>0</v>
      </c>
      <c r="FP218" s="8">
        <f>IF(FP$56-Voorblad!$F$41&gt;Voorblad!$K$41,0,IF($U218=0,0,IF($U218&lt;1,1/$U218,IF((FP$56-Voorblad!$F$41)/$U218-SUM($EE218:FO218)=1,1,0))))</f>
        <v>0</v>
      </c>
      <c r="FQ218" s="8">
        <f>IF(FQ$56-Voorblad!$F$41&gt;Voorblad!$K$41,0,IF($U218=0,0,IF($U218&lt;1,1/$U218,IF((FQ$56-Voorblad!$F$41)/$U218-SUM($EE218:FP218)=1,1,0))))</f>
        <v>0</v>
      </c>
      <c r="FR218" s="8">
        <f>IF(FR$56-Voorblad!$F$41&gt;Voorblad!$K$41,0,IF($U218=0,0,IF($U218&lt;1,1/$U218,IF((FR$56-Voorblad!$F$41)/$U218-SUM($EE218:FQ218)=1,1,0))))</f>
        <v>0</v>
      </c>
      <c r="FS218" s="8">
        <f>IF(FS$56-Voorblad!$F$41&gt;Voorblad!$K$41,0,IF($U218=0,0,IF($U218&lt;1,1/$U218,IF((FS$56-Voorblad!$F$41)/$U218-SUM($EE218:FR218)=1,1,0))))</f>
        <v>0</v>
      </c>
      <c r="FT218" s="8">
        <f>IF(FT$56-Voorblad!$F$41&gt;Voorblad!$K$41,0,IF($U218=0,0,IF($U218&lt;1,1/$U218,IF((FT$56-Voorblad!$F$41)/$U218-SUM($EE218:FS218)=1,1,0))))</f>
        <v>0</v>
      </c>
      <c r="FU218" s="8">
        <f>IF(FU$56-Voorblad!$F$41&gt;Voorblad!$K$41,0,IF($U218=0,0,IF($U218&lt;1,1/$U218,IF((FU$56-Voorblad!$F$41)/$U218-SUM($EE218:FT218)=1,1,0))))</f>
        <v>0</v>
      </c>
      <c r="FV218" s="8">
        <f>IF(FV$56-Voorblad!$F$41&gt;Voorblad!$K$41,0,IF($U218=0,0,IF($U218&lt;1,1/$U218,IF((FV$56-Voorblad!$F$41)/$U218-SUM($EE218:FU218)=1,1,0))))</f>
        <v>0</v>
      </c>
      <c r="FW218" s="8">
        <f>IF(FW$56-Voorblad!$F$41&gt;Voorblad!$K$41,0,IF($U218=0,0,IF($U218&lt;1,1/$U218,IF((FW$56-Voorblad!$F$41)/$U218-SUM($EE218:FV218)=1,1,0))))</f>
        <v>0</v>
      </c>
      <c r="FX218" s="8">
        <f>IF(FX$56-Voorblad!$F$41&gt;Voorblad!$K$41,0,IF($U218=0,0,IF($U218&lt;1,1/$U218,IF((FX$56-Voorblad!$F$41)/$U218-SUM($EE218:FW218)=1,1,0))))</f>
        <v>0</v>
      </c>
      <c r="FY218" s="8">
        <f>IF(FY$56-Voorblad!$F$41&gt;Voorblad!$K$41,0,IF($U218=0,0,IF($U218&lt;1,1/$U218,IF((FY$56-Voorblad!$F$41)/$U218-SUM($EE218:FX218)=1,1,0))))</f>
        <v>0</v>
      </c>
      <c r="FZ218" s="8">
        <f>IF(FZ$56-Voorblad!$F$41&gt;Voorblad!$K$41,0,IF($U218=0,0,IF($U218&lt;1,1/$U218,IF((FZ$56-Voorblad!$F$41)/$U218-SUM($EE218:FY218)=1,1,0))))</f>
        <v>0</v>
      </c>
      <c r="GA218" s="8">
        <f>IF(GA$56-Voorblad!$F$41&gt;Voorblad!$K$41,0,IF($U218=0,0,IF($U218&lt;1,1/$U218,IF((GA$56-Voorblad!$F$41)/$U218-SUM($EE218:FZ218)=1,1,0))))</f>
        <v>0</v>
      </c>
      <c r="GB218" s="8">
        <f>IF(GB$56-Voorblad!$F$41&gt;Voorblad!$K$41,0,IF($U218=0,0,IF($U218&lt;1,1/$U218,IF((GB$56-Voorblad!$F$41)/$U218-SUM($EE218:GA218)=1,1,0))))</f>
        <v>0</v>
      </c>
      <c r="GC218" s="8">
        <f>IF(GC$56-Voorblad!$F$41&gt;Voorblad!$K$41,0,IF($U218=0,0,IF($U218&lt;1,1/$U218,IF((GC$56-Voorblad!$F$41)/$U218-SUM($EE218:GB218)=1,1,0))))</f>
        <v>0</v>
      </c>
      <c r="GD218" s="8">
        <f>IF(GD$56-Voorblad!$F$41&gt;Voorblad!$K$41,0,IF($U218=0,0,IF($U218&lt;1,1/$U218,IF((GD$56-Voorblad!$F$41)/$U218-SUM($EE218:GC218)=1,1,0))))</f>
        <v>0</v>
      </c>
      <c r="GE218" s="8">
        <f>IF(GE$56-Voorblad!$F$41&gt;Voorblad!$K$41,0,IF($U218=0,0,IF($U218&lt;1,1/$U218,IF((GE$56-Voorblad!$F$41)/$U218-SUM($EE218:GD218)=1,1,0))))</f>
        <v>0</v>
      </c>
      <c r="GF218" s="8">
        <f>IF(GF$56-Voorblad!$F$41&gt;Voorblad!$K$41,0,IF($U218=0,0,IF($U218&lt;1,1/$U218,IF((GF$56-Voorblad!$F$41)/$U218-SUM($EE218:GE218)=1,1,0))))</f>
        <v>0</v>
      </c>
      <c r="GG218" s="8">
        <f>IF(GG$56-Voorblad!$F$41&gt;Voorblad!$K$41,0,IF($U218=0,0,IF($U218&lt;1,1/$U218,IF((GG$56-Voorblad!$F$41)/$U218-SUM($EE218:GF218)=1,1,0))))</f>
        <v>0</v>
      </c>
      <c r="GH218" s="8">
        <f>IF(GH$56-Voorblad!$F$41&gt;Voorblad!$K$41,0,IF($U218=0,0,IF($U218&lt;1,1/$U218,IF((GH$56-Voorblad!$F$41)/$U218-SUM($EE218:GG218)=1,1,0))))</f>
        <v>0</v>
      </c>
      <c r="GI218" s="8">
        <f>IF(GI$56-Voorblad!$F$41&gt;Voorblad!$K$41,0,IF($U218=0,0,IF($U218&lt;1,1/$U218,IF((GI$56-Voorblad!$F$41)/$U218-SUM($EE218:GH218)=1,1,0))))</f>
        <v>0</v>
      </c>
      <c r="GJ218" s="8">
        <f>IF(GJ$56-Voorblad!$F$41&gt;Voorblad!$K$41,0,IF($U218=0,0,IF($U218&lt;1,1/$U218,IF((GJ$56-Voorblad!$F$41)/$U218-SUM($EE218:GI218)=1,1,0))))</f>
        <v>0</v>
      </c>
      <c r="GK218" s="8">
        <f>IF(GK$56-Voorblad!$F$41&gt;Voorblad!$K$41,0,IF($U218=0,0,IF($U218&lt;1,1/$U218,IF((GK$56-Voorblad!$F$41)/$U218-SUM($EE218:GJ218)=1,1,0))))</f>
        <v>0</v>
      </c>
      <c r="GL218" s="8">
        <f>IF(GL$56-Voorblad!$F$41&gt;Voorblad!$K$41,0,IF($U218=0,0,IF($U218&lt;1,1/$U218,IF((GL$56-Voorblad!$F$41)/$U218-SUM($EE218:GK218)=1,1,0))))</f>
        <v>0</v>
      </c>
      <c r="GM218" s="8">
        <f>IF(GM$56-Voorblad!$F$41&gt;Voorblad!$K$41,0,IF($U218=0,0,IF($U218&lt;1,1/$U218,IF((GM$56-Voorblad!$F$41)/$U218-SUM($EE218:GL218)=1,1,0))))</f>
        <v>0</v>
      </c>
      <c r="GN218" s="8">
        <f>IF(GN$56-Voorblad!$F$41&gt;Voorblad!$K$41,0,IF($U218=0,0,IF($U218&lt;1,1/$U218,IF((GN$56-Voorblad!$F$41)/$U218-SUM($EE218:GM218)=1,1,0))))</f>
        <v>1</v>
      </c>
      <c r="GO218" s="8">
        <f>IF(GO$56-Voorblad!$F$41&gt;Voorblad!$K$41,0,IF($U218=0,0,IF($U218&lt;1,1/$U218,IF((GO$56-Voorblad!$F$41)/$U218-SUM($EE218:GN218)=1,1,0))))</f>
        <v>0</v>
      </c>
      <c r="GP218" s="8">
        <f>IF(GP$56-Voorblad!$F$41&gt;Voorblad!$K$41,0,IF($U218=0,0,IF($U218&lt;1,1/$U218,IF((GP$56-Voorblad!$F$41)/$U218-SUM($EE218:GO218)=1,1,0))))</f>
        <v>0</v>
      </c>
      <c r="GQ218" s="8">
        <f>IF(GQ$56-Voorblad!$F$41&gt;Voorblad!$K$41,0,IF($U218=0,0,IF($U218&lt;1,1/$U218,IF((GQ$56-Voorblad!$F$41)/$U218-SUM($EE218:GP218)=1,1,0))))</f>
        <v>0</v>
      </c>
      <c r="GR218" s="8">
        <f>IF(GR$56-Voorblad!$F$41&gt;Voorblad!$K$41,0,IF($U218=0,0,IF($U218&lt;1,1/$U218,IF((GR$56-Voorblad!$F$41)/$U218-SUM($EE218:GQ218)=1,1,0))))</f>
        <v>0</v>
      </c>
      <c r="GS218" s="8">
        <f>IF(GS$56-Voorblad!$F$41&gt;Voorblad!$K$41,0,IF($U218=0,0,IF($U218&lt;1,1/$U218,IF((GS$56-Voorblad!$F$41)/$U218-SUM($EE218:GR218)=1,1,0))))</f>
        <v>0</v>
      </c>
      <c r="GT218" s="8">
        <f>IF(GT$56-Voorblad!$F$41&gt;Voorblad!$K$41,0,IF($U218=0,0,IF($U218&lt;1,1/$U218,IF((GT$56-Voorblad!$F$41)/$U218-SUM($EE218:GS218)=1,1,0))))</f>
        <v>0</v>
      </c>
      <c r="GU218" s="8">
        <f>IF(GU$56-Voorblad!$F$41&gt;Voorblad!$K$41,0,IF($U218=0,0,IF($U218&lt;1,1/$U218,IF((GU$56-Voorblad!$F$41)/$U218-SUM($EE218:GT218)=1,1,0))))</f>
        <v>0</v>
      </c>
      <c r="GV218" s="8">
        <f>IF(GV$56-Voorblad!$F$41&gt;Voorblad!$K$41,0,IF($U218=0,0,IF($U218&lt;1,1/$U218,IF((GV$56-Voorblad!$F$41)/$U218-SUM($EE218:GU218)=1,1,0))))</f>
        <v>0</v>
      </c>
      <c r="GW218" s="8">
        <f>IF(GW$56-Voorblad!$F$41&gt;Voorblad!$K$41,0,IF($U218=0,0,IF($U218&lt;1,1/$U218,IF((GW$56-Voorblad!$F$41)/$U218-SUM($EE218:GV218)=1,1,0))))</f>
        <v>0</v>
      </c>
      <c r="GX218" s="8">
        <f>IF(GX$56-Voorblad!$F$41&gt;Voorblad!$K$41,0,IF($U218=0,0,IF($U218&lt;1,1/$U218,IF((GX$56-Voorblad!$F$41)/$U218-SUM($EE218:GW218)=1,1,0))))</f>
        <v>0</v>
      </c>
      <c r="GY218" s="8">
        <f>IF(GY$56-Voorblad!$F$41&gt;Voorblad!$K$41,0,IF($U218=0,0,IF($U218&lt;1,1/$U218,IF((GY$56-Voorblad!$F$41)/$U218-SUM($EE218:GX218)=1,1,0))))</f>
        <v>0</v>
      </c>
      <c r="GZ218" s="8">
        <f>IF(GZ$56-Voorblad!$F$41&gt;Voorblad!$K$41,0,IF($U218=0,0,IF($U218&lt;1,1/$U218,IF((GZ$56-Voorblad!$F$41)/$U218-SUM($EE218:GY218)=1,1,0))))</f>
        <v>0</v>
      </c>
      <c r="HA218" s="8">
        <f>IF(HA$56-Voorblad!$F$41&gt;Voorblad!$K$41,0,IF($U218=0,0,IF($U218&lt;1,1/$U218,IF((HA$56-Voorblad!$F$41)/$U218-SUM($EE218:GZ218)=1,1,0))))</f>
        <v>0</v>
      </c>
      <c r="HB218" s="8">
        <f>IF(HB$56-Voorblad!$F$41&gt;Voorblad!$K$41,0,IF($U218=0,0,IF($U218&lt;1,1/$U218,IF((HB$56-Voorblad!$F$41)/$U218-SUM($EE218:HA218)=1,1,0))))</f>
        <v>0</v>
      </c>
      <c r="HC218" s="8">
        <f>IF(HC$56-Voorblad!$F$41&gt;Voorblad!$K$41,0,IF($U218=0,0,IF($U218&lt;1,1/$U218,IF((HC$56-Voorblad!$F$41)/$U218-SUM($EE218:HB218)=1,1,0))))</f>
        <v>0</v>
      </c>
      <c r="HD218" s="8">
        <f>IF(HD$56-Voorblad!$F$41&gt;Voorblad!$K$41,0,IF($U218=0,0,IF($U218&lt;1,1/$U218,IF((HD$56-Voorblad!$F$41)/$U218-SUM($EE218:HC218)=1,1,0))))</f>
        <v>0</v>
      </c>
      <c r="HE218" s="8">
        <f>IF(HE$56-Voorblad!$F$41&gt;Voorblad!$K$41,0,IF($U218=0,0,IF($U218&lt;1,1/$U218,IF((HE$56-Voorblad!$F$41)/$U218-SUM($EE218:HD218)=1,1,0))))</f>
        <v>0</v>
      </c>
      <c r="HF218" s="8">
        <f>IF(HF$56-Voorblad!$F$41&gt;Voorblad!$K$41,0,IF($U218=0,0,IF($U218&lt;1,1/$U218,IF((HF$56-Voorblad!$F$41)/$U218-SUM($EE218:HE218)=1,1,0))))</f>
        <v>0</v>
      </c>
      <c r="HG218" s="8">
        <f>IF(HG$56-Voorblad!$F$41&gt;Voorblad!$K$41,0,IF($U218=0,0,IF($U218&lt;1,1/$U218,IF((HG$56-Voorblad!$F$41)/$U218-SUM($EE218:HF218)=1,1,0))))</f>
        <v>0</v>
      </c>
      <c r="HH218" s="8">
        <f>IF(HH$56-Voorblad!$F$41&gt;Voorblad!$K$41,0,IF($U218=0,0,IF($U218&lt;1,1/$U218,IF((HH$56-Voorblad!$F$41)/$U218-SUM($EE218:HG218)=1,1,0))))</f>
        <v>0</v>
      </c>
      <c r="HI218" s="8">
        <f>IF(HI$56-Voorblad!$F$41&gt;Voorblad!$K$41,0,IF($U218=0,0,IF($U218&lt;1,1/$U218,IF((HI$56-Voorblad!$F$41)/$U218-SUM($EE218:HH218)=1,1,0))))</f>
        <v>0</v>
      </c>
      <c r="HJ218" s="8">
        <f>IF(HJ$56-Voorblad!$F$41&gt;Voorblad!$K$41,0,IF($U218=0,0,IF($U218&lt;1,1/$U218,IF((HJ$56-Voorblad!$F$41)/$U218-SUM($EE218:HI218)=1,1,0))))</f>
        <v>0</v>
      </c>
      <c r="HK218" s="8">
        <f>IF(HK$56-Voorblad!$F$41&gt;Voorblad!$K$41,0,IF($U218=0,0,IF($U218&lt;1,1/$U218,IF((HK$56-Voorblad!$F$41)/$U218-SUM($EE218:HJ218)=1,1,0))))</f>
        <v>0</v>
      </c>
      <c r="HL218" s="8">
        <f>IF(HL$56-Voorblad!$F$41&gt;Voorblad!$K$41,0,IF($U218=0,0,IF($U218&lt;1,1/$U218,IF((HL$56-Voorblad!$F$41)/$U218-SUM($EE218:HK218)=1,1,0))))</f>
        <v>0</v>
      </c>
      <c r="HM218" s="8">
        <f>IF(HM$56-Voorblad!$F$41&gt;Voorblad!$K$41,0,IF($U218=0,0,IF($U218&lt;1,1/$U218,IF((HM$56-Voorblad!$F$41)/$U218-SUM($EE218:HL218)=1,1,0))))</f>
        <v>0</v>
      </c>
      <c r="HN218" s="8">
        <f>IF(HN$56-Voorblad!$F$41&gt;Voorblad!$K$41,0,IF($U218=0,0,IF($U218&lt;1,1/$U218,IF((HN$56-Voorblad!$F$41)/$U218-SUM($EE218:HM218)=1,1,0))))</f>
        <v>0</v>
      </c>
      <c r="HO218" s="8">
        <f>IF(HO$56-Voorblad!$F$41&gt;Voorblad!$K$41,0,IF($U218=0,0,IF($U218&lt;1,1/$U218,IF((HO$56-Voorblad!$F$41)/$U218-SUM($EE218:HN218)=1,1,0))))</f>
        <v>0</v>
      </c>
      <c r="HP218" s="8">
        <f>IF(HP$56-Voorblad!$F$41&gt;Voorblad!$K$41,0,IF($U218=0,0,IF($U218&lt;1,1/$U218,IF((HP$56-Voorblad!$F$41)/$U218-SUM($EE218:HO218)=1,1,0))))</f>
        <v>0</v>
      </c>
      <c r="HQ218" s="8">
        <f>IF(HQ$56-Voorblad!$F$41&gt;Voorblad!$K$41,0,IF($U218=0,0,IF($U218&lt;1,1/$U218,IF((HQ$56-Voorblad!$F$41)/$U218-SUM($EE218:HP218)=1,1,0))))</f>
        <v>0</v>
      </c>
      <c r="HR218" s="8">
        <f>IF(HR$56-Voorblad!$F$41&gt;Voorblad!$K$41,0,IF($U218=0,0,IF($U218&lt;1,1/$U218,IF((HR$56-Voorblad!$F$41)/$U218-SUM($EE218:HQ218)=1,1,0))))</f>
        <v>0</v>
      </c>
      <c r="HS218" s="8">
        <f>IF(HS$56-Voorblad!$F$41&gt;Voorblad!$K$41,0,IF($U218=0,0,IF($U218&lt;1,1/$U218,IF((HS$56-Voorblad!$F$41)/$U218-SUM($EE218:HR218)=1,1,0))))</f>
        <v>0</v>
      </c>
      <c r="HT218" s="8">
        <f>IF(HT$56-Voorblad!$F$41&gt;Voorblad!$K$41,0,IF($U218=0,0,IF($U218&lt;1,1/$U218,IF((HT$56-Voorblad!$F$41)/$U218-SUM($EE218:HS218)=1,1,0))))</f>
        <v>0</v>
      </c>
      <c r="HU218" s="8">
        <f>IF(HU$56-Voorblad!$F$41&gt;Voorblad!$K$41,0,IF($U218=0,0,IF($U218&lt;1,1/$U218,IF((HU$56-Voorblad!$F$41)/$U218-SUM($EE218:HT218)=1,1,0))))</f>
        <v>0</v>
      </c>
      <c r="HV218" s="8">
        <f>IF(HV$56-Voorblad!$F$41&gt;Voorblad!$K$41,0,IF($U218=0,0,IF($U218&lt;1,1/$U218,IF((HV$56-Voorblad!$F$41)/$U218-SUM($EE218:HU218)=1,1,0))))</f>
        <v>0</v>
      </c>
      <c r="HW218" s="8">
        <f>IF(HW$56-Voorblad!$F$41&gt;Voorblad!$K$41,0,IF($U218=0,0,IF($U218&lt;1,1/$U218,IF((HW$56-Voorblad!$F$41)/$U218-SUM($EE218:HV218)=1,1,0))))</f>
        <v>0</v>
      </c>
      <c r="HX218" s="8">
        <f>IF(HX$56-Voorblad!$F$41&gt;Voorblad!$K$41,0,IF($U218=0,0,IF($U218&lt;1,1/$U218,IF((HX$56-Voorblad!$F$41)/$U218-SUM($EE218:HW218)=1,1,0))))</f>
        <v>0</v>
      </c>
      <c r="HY218" s="8">
        <f>IF(HY$56-Voorblad!$F$41&gt;Voorblad!$K$41,0,IF($U218=0,0,IF($U218&lt;1,1/$U218,IF((HY$56-Voorblad!$F$41)/$U218-SUM($EE218:HX218)=1,1,0))))</f>
        <v>0</v>
      </c>
      <c r="HZ218" s="8">
        <f>IF(HZ$56-Voorblad!$F$41&gt;Voorblad!$K$41,0,IF($U218=0,0,IF($U218&lt;1,1/$U218,IF((HZ$56-Voorblad!$F$41)/$U218-SUM($EE218:HY218)=1,1,0))))</f>
        <v>0</v>
      </c>
      <c r="IA218" s="8">
        <f>IF(IA$56-Voorblad!$F$41&gt;Voorblad!$K$41,0,IF($U218=0,0,IF($U218&lt;1,1/$U218,IF((IA$56-Voorblad!$F$41)/$U218-SUM($EE218:HZ218)=1,1,0))))</f>
        <v>0</v>
      </c>
      <c r="IB218" s="8">
        <f>IF(IB$56-Voorblad!$F$41&gt;Voorblad!$K$41,0,IF($U218=0,0,IF($U218&lt;1,1/$U218,IF((IB$56-Voorblad!$F$41)/$U218-SUM($EE218:IA218)=1,1,0))))</f>
        <v>0</v>
      </c>
    </row>
    <row r="219" spans="2:236" outlineLevel="1" x14ac:dyDescent="0.25">
      <c r="B219" s="2" t="s">
        <v>270</v>
      </c>
      <c r="C219" s="2"/>
      <c r="D219" s="15"/>
      <c r="E219" s="15"/>
      <c r="S219" s="14"/>
      <c r="T219" s="9"/>
      <c r="U219" s="14"/>
      <c r="V219" s="14"/>
      <c r="Y219" s="23">
        <f>SUM(Y218)</f>
        <v>6900.7190910157387</v>
      </c>
      <c r="Z219" s="24"/>
      <c r="AA219" s="23">
        <f>SUM(AA218)</f>
        <v>0</v>
      </c>
      <c r="AC219" s="9">
        <f>$Y219*(Voorblad!$K$44*(1+Voorblad!$K$44)^Voorblad!$K$41)/((1+Voorblad!$K$44)^Voorblad!$K$41-1)</f>
        <v>206.57771465408598</v>
      </c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E219" s="8"/>
      <c r="EF219" s="8"/>
      <c r="EG219" s="8"/>
      <c r="EH219" s="8"/>
      <c r="EI219" s="8"/>
      <c r="EJ219" s="8"/>
      <c r="EK219" s="8"/>
      <c r="EL219" s="8"/>
      <c r="EM219" s="8"/>
      <c r="EN219" s="8"/>
      <c r="EO219" s="8"/>
      <c r="EP219" s="8"/>
      <c r="EQ219" s="8"/>
      <c r="ER219" s="8"/>
      <c r="ES219" s="8"/>
      <c r="ET219" s="8"/>
      <c r="EU219" s="8"/>
      <c r="EV219" s="8"/>
      <c r="EW219" s="8"/>
      <c r="EX219" s="8"/>
      <c r="EY219" s="8"/>
      <c r="EZ219" s="8"/>
      <c r="FA219" s="8"/>
      <c r="FB219" s="8"/>
      <c r="FC219" s="8"/>
      <c r="FD219" s="8"/>
      <c r="FE219" s="8"/>
      <c r="FF219" s="8"/>
      <c r="FG219" s="8"/>
      <c r="FH219" s="8"/>
      <c r="FI219" s="8"/>
      <c r="FJ219" s="8"/>
      <c r="FK219" s="8"/>
      <c r="FL219" s="8"/>
      <c r="FM219" s="8"/>
      <c r="FN219" s="8"/>
      <c r="FO219" s="8"/>
      <c r="FP219" s="8"/>
      <c r="FQ219" s="8"/>
      <c r="FR219" s="8"/>
      <c r="FS219" s="8"/>
      <c r="FT219" s="8"/>
      <c r="FU219" s="8"/>
      <c r="FV219" s="8"/>
      <c r="FW219" s="8"/>
      <c r="FX219" s="8"/>
      <c r="FY219" s="8"/>
      <c r="FZ219" s="8"/>
      <c r="GA219" s="8"/>
      <c r="GB219" s="8"/>
      <c r="GC219" s="8"/>
      <c r="GD219" s="8"/>
      <c r="GE219" s="8"/>
      <c r="GF219" s="8"/>
      <c r="GG219" s="8"/>
      <c r="GH219" s="8"/>
      <c r="GI219" s="8"/>
      <c r="GJ219" s="8"/>
      <c r="GK219" s="8"/>
      <c r="GL219" s="8"/>
      <c r="GM219" s="8"/>
      <c r="GN219" s="8"/>
      <c r="GO219" s="8"/>
      <c r="GP219" s="8"/>
      <c r="GQ219" s="8"/>
      <c r="GR219" s="8"/>
      <c r="GS219" s="8"/>
      <c r="GT219" s="8"/>
      <c r="GU219" s="8"/>
      <c r="GV219" s="8"/>
      <c r="GW219" s="8"/>
      <c r="GX219" s="8"/>
      <c r="GY219" s="8"/>
      <c r="GZ219" s="8"/>
      <c r="HA219" s="8"/>
      <c r="HB219" s="8"/>
      <c r="HC219" s="8"/>
      <c r="HD219" s="8"/>
      <c r="HE219" s="8"/>
      <c r="HF219" s="8"/>
      <c r="HG219" s="8"/>
      <c r="HH219" s="8"/>
      <c r="HI219" s="8"/>
      <c r="HJ219" s="8"/>
      <c r="HK219" s="8"/>
      <c r="HL219" s="8"/>
      <c r="HM219" s="8"/>
      <c r="HN219" s="8"/>
      <c r="HO219" s="8"/>
      <c r="HP219" s="8"/>
      <c r="HQ219" s="8"/>
      <c r="HR219" s="8"/>
      <c r="HS219" s="8"/>
      <c r="HT219" s="8"/>
      <c r="HU219" s="8"/>
      <c r="HV219" s="8"/>
      <c r="HW219" s="8"/>
      <c r="HX219" s="8"/>
      <c r="HY219" s="8"/>
      <c r="HZ219" s="8"/>
      <c r="IA219" s="8"/>
      <c r="IB219" s="8"/>
    </row>
    <row r="220" spans="2:236" outlineLevel="1" x14ac:dyDescent="0.25">
      <c r="S220" s="14"/>
      <c r="T220" s="9"/>
      <c r="U220" s="14"/>
      <c r="V220" s="14"/>
      <c r="Y220" s="9"/>
      <c r="Z220" s="9"/>
      <c r="AA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E220" s="8"/>
      <c r="EF220" s="8"/>
      <c r="EG220" s="8"/>
      <c r="EH220" s="8"/>
      <c r="EI220" s="8"/>
      <c r="EJ220" s="8"/>
      <c r="EK220" s="8"/>
      <c r="EL220" s="8"/>
      <c r="EM220" s="8"/>
      <c r="EN220" s="8"/>
      <c r="EO220" s="8"/>
      <c r="EP220" s="8"/>
      <c r="EQ220" s="8"/>
      <c r="ER220" s="8"/>
      <c r="ES220" s="8"/>
      <c r="ET220" s="8"/>
      <c r="EU220" s="8"/>
      <c r="EV220" s="8"/>
      <c r="EW220" s="8"/>
      <c r="EX220" s="8"/>
      <c r="EY220" s="8"/>
      <c r="EZ220" s="8"/>
      <c r="FA220" s="8"/>
      <c r="FB220" s="8"/>
      <c r="FC220" s="8"/>
      <c r="FD220" s="8"/>
      <c r="FE220" s="8"/>
      <c r="FF220" s="8"/>
      <c r="FG220" s="8"/>
      <c r="FH220" s="8"/>
      <c r="FI220" s="8"/>
      <c r="FJ220" s="8"/>
      <c r="FK220" s="8"/>
      <c r="FL220" s="8"/>
      <c r="FM220" s="8"/>
      <c r="FN220" s="8"/>
      <c r="FO220" s="8"/>
      <c r="FP220" s="8"/>
      <c r="FQ220" s="8"/>
      <c r="FR220" s="8"/>
      <c r="FS220" s="8"/>
      <c r="FT220" s="8"/>
      <c r="FU220" s="8"/>
      <c r="FV220" s="8"/>
      <c r="FW220" s="8"/>
      <c r="FX220" s="8"/>
      <c r="FY220" s="8"/>
      <c r="FZ220" s="8"/>
      <c r="GA220" s="8"/>
      <c r="GB220" s="8"/>
      <c r="GC220" s="8"/>
      <c r="GD220" s="8"/>
      <c r="GE220" s="8"/>
      <c r="GF220" s="8"/>
      <c r="GG220" s="8"/>
      <c r="GH220" s="8"/>
      <c r="GI220" s="8"/>
      <c r="GJ220" s="8"/>
      <c r="GK220" s="8"/>
      <c r="GL220" s="8"/>
      <c r="GM220" s="8"/>
      <c r="GN220" s="8"/>
      <c r="GO220" s="8"/>
      <c r="GP220" s="8"/>
      <c r="GQ220" s="8"/>
      <c r="GR220" s="8"/>
      <c r="GS220" s="8"/>
      <c r="GT220" s="8"/>
      <c r="GU220" s="8"/>
      <c r="GV220" s="8"/>
      <c r="GW220" s="8"/>
      <c r="GX220" s="8"/>
      <c r="GY220" s="8"/>
      <c r="GZ220" s="8"/>
      <c r="HA220" s="8"/>
      <c r="HB220" s="8"/>
      <c r="HC220" s="8"/>
      <c r="HD220" s="8"/>
      <c r="HE220" s="8"/>
      <c r="HF220" s="8"/>
      <c r="HG220" s="8"/>
      <c r="HH220" s="8"/>
      <c r="HI220" s="8"/>
      <c r="HJ220" s="8"/>
      <c r="HK220" s="8"/>
      <c r="HL220" s="8"/>
      <c r="HM220" s="8"/>
      <c r="HN220" s="8"/>
      <c r="HO220" s="8"/>
      <c r="HP220" s="8"/>
      <c r="HQ220" s="8"/>
      <c r="HR220" s="8"/>
      <c r="HS220" s="8"/>
      <c r="HT220" s="8"/>
      <c r="HU220" s="8"/>
      <c r="HV220" s="8"/>
      <c r="HW220" s="8"/>
      <c r="HX220" s="8"/>
      <c r="HY220" s="8"/>
      <c r="HZ220" s="8"/>
      <c r="IA220" s="8"/>
      <c r="IB220" s="8"/>
    </row>
    <row r="221" spans="2:236" outlineLevel="1" x14ac:dyDescent="0.25">
      <c r="B221" s="14">
        <v>1</v>
      </c>
      <c r="C221" s="14"/>
      <c r="F221" s="1" t="s">
        <v>26</v>
      </c>
      <c r="I221" s="1" t="s">
        <v>49</v>
      </c>
      <c r="K221" s="1" t="s">
        <v>107</v>
      </c>
      <c r="O221" s="1" t="s">
        <v>57</v>
      </c>
      <c r="P221" s="1" t="s">
        <v>312</v>
      </c>
      <c r="Q221" s="84">
        <f>(8.43*8.02)+(2*(15.9*1.705))</f>
        <v>121.82759999999999</v>
      </c>
      <c r="R221" s="81" t="s">
        <v>33</v>
      </c>
      <c r="S221" s="81">
        <v>1610</v>
      </c>
      <c r="T221" s="21">
        <f>Q221*S221</f>
        <v>196142.43599999999</v>
      </c>
      <c r="U221" s="11">
        <v>1</v>
      </c>
      <c r="V221" s="14">
        <f>Voorblad!F25+100</f>
        <v>2020</v>
      </c>
      <c r="W221" s="9">
        <f>Voorblad!K89</f>
        <v>2101</v>
      </c>
      <c r="X221" s="6"/>
      <c r="Y221" s="9">
        <f t="shared" si="200"/>
        <v>32339.208854951205</v>
      </c>
      <c r="Z221" s="83" t="s">
        <v>310</v>
      </c>
      <c r="AA221" s="83">
        <v>52</v>
      </c>
      <c r="AC221" s="9">
        <f>$Y221*(Voorblad!$K$44*(1+Voorblad!$K$44)^Voorblad!$K$41)/((1+Voorblad!$K$44)^Voorblad!$K$41-1)</f>
        <v>968.09618981225151</v>
      </c>
      <c r="AE221" s="9">
        <f>IF($W221=AE$56,EF221*($Q221*$S221)/(1+Voorblad!$K$44)^(AE$56-Voorblad!$F$41),0)</f>
        <v>0</v>
      </c>
      <c r="AF221" s="9">
        <f>IF($W221=AF$56,EG221*($Q221*$S221)/(1+Voorblad!$K$44)^(AF$56-Voorblad!$F$41),0)</f>
        <v>0</v>
      </c>
      <c r="AG221" s="9">
        <f>IF($W221=AG$56,EH221*($Q221*$S221)/(1+Voorblad!$K$44)^(AG$56-Voorblad!$F$41),0)</f>
        <v>0</v>
      </c>
      <c r="AH221" s="9">
        <f>IF($W221=AH$56,EI221*($Q221*$S221)/(1+Voorblad!$K$44)^(AH$56-Voorblad!$F$41),0)</f>
        <v>0</v>
      </c>
      <c r="AI221" s="9">
        <f>IF($W221=AI$56,EJ221*($Q221*$S221)/(1+Voorblad!$K$44)^(AI$56-Voorblad!$F$41),0)</f>
        <v>0</v>
      </c>
      <c r="AJ221" s="9">
        <f>IF($W221=AJ$56,EK221*($Q221*$S221)/(1+Voorblad!$K$44)^(AJ$56-Voorblad!$F$41),0)</f>
        <v>0</v>
      </c>
      <c r="AK221" s="9">
        <f>IF($W221=AK$56,EL221*($Q221*$S221)/(1+Voorblad!$K$44)^(AK$56-Voorblad!$F$41),0)</f>
        <v>0</v>
      </c>
      <c r="AL221" s="9">
        <f>IF($W221=AL$56,EM221*($Q221*$S221)/(1+Voorblad!$K$44)^(AL$56-Voorblad!$F$41),0)</f>
        <v>0</v>
      </c>
      <c r="AM221" s="9">
        <f>IF($W221=AM$56,EN221*($Q221*$S221)/(1+Voorblad!$K$44)^(AM$56-Voorblad!$F$41),0)</f>
        <v>0</v>
      </c>
      <c r="AN221" s="9">
        <f>IF($W221=AN$56,EO221*($Q221*$S221)/(1+Voorblad!$K$44)^(AN$56-Voorblad!$F$41),0)</f>
        <v>0</v>
      </c>
      <c r="AO221" s="9">
        <f>IF($W221=AO$56,EP221*($Q221*$S221)/(1+Voorblad!$K$44)^(AO$56-Voorblad!$F$41),0)</f>
        <v>0</v>
      </c>
      <c r="AP221" s="9">
        <f>IF($W221=AP$56,EQ221*($Q221*$S221)/(1+Voorblad!$K$44)^(AP$56-Voorblad!$F$41),0)</f>
        <v>0</v>
      </c>
      <c r="AQ221" s="9">
        <f>IF($W221=AQ$56,ER221*($Q221*$S221)/(1+Voorblad!$K$44)^(AQ$56-Voorblad!$F$41),0)</f>
        <v>0</v>
      </c>
      <c r="AR221" s="9">
        <f>IF($W221=AR$56,ES221*($Q221*$S221)/(1+Voorblad!$K$44)^(AR$56-Voorblad!$F$41),0)</f>
        <v>0</v>
      </c>
      <c r="AS221" s="9">
        <f>IF($W221=AS$56,ET221*($Q221*$S221)/(1+Voorblad!$K$44)^(AS$56-Voorblad!$F$41),0)</f>
        <v>0</v>
      </c>
      <c r="AT221" s="9">
        <f>IF($W221=AT$56,EU221*($Q221*$S221)/(1+Voorblad!$K$44)^(AT$56-Voorblad!$F$41),0)</f>
        <v>0</v>
      </c>
      <c r="AU221" s="9">
        <f>IF($W221=AU$56,EV221*($Q221*$S221)/(1+Voorblad!$K$44)^(AU$56-Voorblad!$F$41),0)</f>
        <v>0</v>
      </c>
      <c r="AV221" s="9">
        <f>IF($W221=AV$56,EW221*($Q221*$S221)/(1+Voorblad!$K$44)^(AV$56-Voorblad!$F$41),0)</f>
        <v>0</v>
      </c>
      <c r="AW221" s="9">
        <f>IF($W221=AW$56,EX221*($Q221*$S221)/(1+Voorblad!$K$44)^(AW$56-Voorblad!$F$41),0)</f>
        <v>0</v>
      </c>
      <c r="AX221" s="9">
        <f>IF($W221=AX$56,EY221*($Q221*$S221)/(1+Voorblad!$K$44)^(AX$56-Voorblad!$F$41),0)</f>
        <v>0</v>
      </c>
      <c r="AY221" s="9">
        <f>IF($W221=AY$56,EZ221*($Q221*$S221)/(1+Voorblad!$K$44)^(AY$56-Voorblad!$F$41),0)</f>
        <v>0</v>
      </c>
      <c r="AZ221" s="9">
        <f>IF($W221=AZ$56,FA221*($Q221*$S221)/(1+Voorblad!$K$44)^(AZ$56-Voorblad!$F$41),0)</f>
        <v>0</v>
      </c>
      <c r="BA221" s="9">
        <f>IF($W221=BA$56,FB221*($Q221*$S221)/(1+Voorblad!$K$44)^(BA$56-Voorblad!$F$41),0)</f>
        <v>0</v>
      </c>
      <c r="BB221" s="9">
        <f>IF($W221=BB$56,FC221*($Q221*$S221)/(1+Voorblad!$K$44)^(BB$56-Voorblad!$F$41),0)</f>
        <v>0</v>
      </c>
      <c r="BC221" s="9">
        <f>IF($W221=BC$56,FD221*($Q221*$S221)/(1+Voorblad!$K$44)^(BC$56-Voorblad!$F$41),0)</f>
        <v>0</v>
      </c>
      <c r="BD221" s="9">
        <f>IF($W221=BD$56,FE221*($Q221*$S221)/(1+Voorblad!$K$44)^(BD$56-Voorblad!$F$41),0)</f>
        <v>0</v>
      </c>
      <c r="BE221" s="9">
        <f>IF($W221=BE$56,FF221*($Q221*$S221)/(1+Voorblad!$K$44)^(BE$56-Voorblad!$F$41),0)</f>
        <v>0</v>
      </c>
      <c r="BF221" s="9">
        <f>IF($W221=BF$56,FG221*($Q221*$S221)/(1+Voorblad!$K$44)^(BF$56-Voorblad!$F$41),0)</f>
        <v>0</v>
      </c>
      <c r="BG221" s="9">
        <f>IF($W221=BG$56,FH221*($Q221*$S221)/(1+Voorblad!$K$44)^(BG$56-Voorblad!$F$41),0)</f>
        <v>0</v>
      </c>
      <c r="BH221" s="9">
        <f>IF($W221=BH$56,FI221*($Q221*$S221)/(1+Voorblad!$K$44)^(BH$56-Voorblad!$F$41),0)</f>
        <v>0</v>
      </c>
      <c r="BI221" s="9">
        <f>IF($W221=BI$56,FJ221*($Q221*$S221)/(1+Voorblad!$K$44)^(BI$56-Voorblad!$F$41),0)</f>
        <v>0</v>
      </c>
      <c r="BJ221" s="9">
        <f>IF($W221=BJ$56,FK221*($Q221*$S221)/(1+Voorblad!$K$44)^(BJ$56-Voorblad!$F$41),0)</f>
        <v>0</v>
      </c>
      <c r="BK221" s="9">
        <f>IF($W221=BK$56,FL221*($Q221*$S221)/(1+Voorblad!$K$44)^(BK$56-Voorblad!$F$41),0)</f>
        <v>0</v>
      </c>
      <c r="BL221" s="9">
        <f>IF($W221=BL$56,FM221*($Q221*$S221)/(1+Voorblad!$K$44)^(BL$56-Voorblad!$F$41),0)</f>
        <v>0</v>
      </c>
      <c r="BM221" s="9">
        <f>IF($W221=BM$56,FN221*($Q221*$S221)/(1+Voorblad!$K$44)^(BM$56-Voorblad!$F$41),0)</f>
        <v>0</v>
      </c>
      <c r="BN221" s="9">
        <f>IF($W221=BN$56,FO221*($Q221*$S221)/(1+Voorblad!$K$44)^(BN$56-Voorblad!$F$41),0)</f>
        <v>0</v>
      </c>
      <c r="BO221" s="9">
        <f>IF($W221=BO$56,FP221*($Q221*$S221)/(1+Voorblad!$K$44)^(BO$56-Voorblad!$F$41),0)</f>
        <v>0</v>
      </c>
      <c r="BP221" s="9">
        <f>IF($W221=BP$56,FQ221*($Q221*$S221)/(1+Voorblad!$K$44)^(BP$56-Voorblad!$F$41),0)</f>
        <v>0</v>
      </c>
      <c r="BQ221" s="9">
        <f>IF($W221=BQ$56,FR221*($Q221*$S221)/(1+Voorblad!$K$44)^(BQ$56-Voorblad!$F$41),0)</f>
        <v>0</v>
      </c>
      <c r="BR221" s="9">
        <f>IF($W221=BR$56,FS221*($Q221*$S221)/(1+Voorblad!$K$44)^(BR$56-Voorblad!$F$41),0)</f>
        <v>0</v>
      </c>
      <c r="BS221" s="9">
        <f>IF($W221=BS$56,FT221*($Q221*$S221)/(1+Voorblad!$K$44)^(BS$56-Voorblad!$F$41),0)</f>
        <v>0</v>
      </c>
      <c r="BT221" s="9">
        <f>IF($W221=BT$56,FU221*($Q221*$S221)/(1+Voorblad!$K$44)^(BT$56-Voorblad!$F$41),0)</f>
        <v>0</v>
      </c>
      <c r="BU221" s="9">
        <f>IF($W221=BU$56,FV221*($Q221*$S221)/(1+Voorblad!$K$44)^(BU$56-Voorblad!$F$41),0)</f>
        <v>0</v>
      </c>
      <c r="BV221" s="9">
        <f>IF($W221=BV$56,FW221*($Q221*$S221)/(1+Voorblad!$K$44)^(BV$56-Voorblad!$F$41),0)</f>
        <v>0</v>
      </c>
      <c r="BW221" s="9">
        <f>IF($W221=BW$56,FX221*($Q221*$S221)/(1+Voorblad!$K$44)^(BW$56-Voorblad!$F$41),0)</f>
        <v>0</v>
      </c>
      <c r="BX221" s="9">
        <f>IF($W221=BX$56,FY221*($Q221*$S221)/(1+Voorblad!$K$44)^(BX$56-Voorblad!$F$41),0)</f>
        <v>0</v>
      </c>
      <c r="BY221" s="9">
        <f>IF($W221=BY$56,FZ221*($Q221*$S221)/(1+Voorblad!$K$44)^(BY$56-Voorblad!$F$41),0)</f>
        <v>0</v>
      </c>
      <c r="BZ221" s="9">
        <f>IF($W221=BZ$56,GA221*($Q221*$S221)/(1+Voorblad!$K$44)^(BZ$56-Voorblad!$F$41),0)</f>
        <v>0</v>
      </c>
      <c r="CA221" s="9">
        <f>IF($W221=CA$56,GB221*($Q221*$S221)/(1+Voorblad!$K$44)^(CA$56-Voorblad!$F$41),0)</f>
        <v>0</v>
      </c>
      <c r="CB221" s="9">
        <f>IF($W221=CB$56,GC221*($Q221*$S221)/(1+Voorblad!$K$44)^(CB$56-Voorblad!$F$41),0)</f>
        <v>0</v>
      </c>
      <c r="CC221" s="9">
        <f>IF($W221=CC$56,GD221*($Q221*$S221)/(1+Voorblad!$K$44)^(CC$56-Voorblad!$F$41),0)</f>
        <v>0</v>
      </c>
      <c r="CD221" s="9">
        <f>IF($W221=CD$56,GE221*($Q221*$S221)/(1+Voorblad!$K$44)^(CD$56-Voorblad!$F$41),0)</f>
        <v>0</v>
      </c>
      <c r="CE221" s="9">
        <f>IF($W221=CE$56,GF221*($Q221*$S221)/(1+Voorblad!$K$44)^(CE$56-Voorblad!$F$41),0)</f>
        <v>0</v>
      </c>
      <c r="CF221" s="9">
        <f>IF($W221=CF$56,GG221*($Q221*$S221)/(1+Voorblad!$K$44)^(CF$56-Voorblad!$F$41),0)</f>
        <v>0</v>
      </c>
      <c r="CG221" s="9">
        <f>IF($W221=CG$56,GH221*($Q221*$S221)/(1+Voorblad!$K$44)^(CG$56-Voorblad!$F$41),0)</f>
        <v>0</v>
      </c>
      <c r="CH221" s="9">
        <f>IF($W221=CH$56,GI221*($Q221*$S221)/(1+Voorblad!$K$44)^(CH$56-Voorblad!$F$41),0)</f>
        <v>0</v>
      </c>
      <c r="CI221" s="9">
        <f>IF($W221=CI$56,GJ221*($Q221*$S221)/(1+Voorblad!$K$44)^(CI$56-Voorblad!$F$41),0)</f>
        <v>0</v>
      </c>
      <c r="CJ221" s="9">
        <f>IF($W221=CJ$56,GK221*($Q221*$S221)/(1+Voorblad!$K$44)^(CJ$56-Voorblad!$F$41),0)</f>
        <v>0</v>
      </c>
      <c r="CK221" s="9">
        <f>IF($W221=CK$56,GL221*($Q221*$S221)/(1+Voorblad!$K$44)^(CK$56-Voorblad!$F$41),0)</f>
        <v>0</v>
      </c>
      <c r="CL221" s="9">
        <f>IF($W221=CL$56,GM221*($Q221*$S221)/(1+Voorblad!$K$44)^(CL$56-Voorblad!$F$41),0)</f>
        <v>0</v>
      </c>
      <c r="CM221" s="9">
        <f>IF($W221=CM$56,GN221*($Q221*$S221)/(1+Voorblad!$K$44)^(CM$56-Voorblad!$F$41),0)</f>
        <v>0</v>
      </c>
      <c r="CN221" s="9">
        <f>IF($W221=CN$56,GO221*($Q221*$S221)/(1+Voorblad!$K$44)^(CN$56-Voorblad!$F$41),0)</f>
        <v>0</v>
      </c>
      <c r="CO221" s="9">
        <f>IF($W221=CO$56,GP221*($Q221*$S221)/(1+Voorblad!$K$44)^(CO$56-Voorblad!$F$41),0)</f>
        <v>0</v>
      </c>
      <c r="CP221" s="9">
        <f>IF($W221=CP$56,GQ221*($Q221*$S221)/(1+Voorblad!$K$44)^(CP$56-Voorblad!$F$41),0)</f>
        <v>0</v>
      </c>
      <c r="CQ221" s="9">
        <f>IF($W221=CQ$56,GR221*($Q221*$S221)/(1+Voorblad!$K$44)^(CQ$56-Voorblad!$F$41),0)</f>
        <v>0</v>
      </c>
      <c r="CR221" s="9">
        <f>IF($W221=CR$56,GS221*($Q221*$S221)/(1+Voorblad!$K$44)^(CR$56-Voorblad!$F$41),0)</f>
        <v>0</v>
      </c>
      <c r="CS221" s="9">
        <f>IF($W221=CS$56,GT221*($Q221*$S221)/(1+Voorblad!$K$44)^(CS$56-Voorblad!$F$41),0)</f>
        <v>0</v>
      </c>
      <c r="CT221" s="9">
        <f>IF($W221=CT$56,GU221*($Q221*$S221)/(1+Voorblad!$K$44)^(CT$56-Voorblad!$F$41),0)</f>
        <v>0</v>
      </c>
      <c r="CU221" s="9">
        <f>IF($W221=CU$56,GV221*($Q221*$S221)/(1+Voorblad!$K$44)^(CU$56-Voorblad!$F$41),0)</f>
        <v>0</v>
      </c>
      <c r="CV221" s="9">
        <f>IF($W221=CV$56,GW221*($Q221*$S221)/(1+Voorblad!$K$44)^(CV$56-Voorblad!$F$41),0)</f>
        <v>0</v>
      </c>
      <c r="CW221" s="9">
        <f>IF($W221=CW$56,GX221*($Q221*$S221)/(1+Voorblad!$K$44)^(CW$56-Voorblad!$F$41),0)</f>
        <v>0</v>
      </c>
      <c r="CX221" s="9">
        <f>IF($W221=CX$56,GY221*($Q221*$S221)/(1+Voorblad!$K$44)^(CX$56-Voorblad!$F$41),0)</f>
        <v>0</v>
      </c>
      <c r="CY221" s="9">
        <f>IF($W221=CY$56,GZ221*($Q221*$S221)/(1+Voorblad!$K$44)^(CY$56-Voorblad!$F$41),0)</f>
        <v>0</v>
      </c>
      <c r="CZ221" s="9">
        <f>IF($W221=CZ$56,HA221*($Q221*$S221)/(1+Voorblad!$K$44)^(CZ$56-Voorblad!$F$41),0)</f>
        <v>32339.208854951205</v>
      </c>
      <c r="DA221" s="9">
        <f>IF($W221=DA$56,HB221*($Q221*$S221)/(1+Voorblad!$K$44)^(DA$56-Voorblad!$F$41),0)</f>
        <v>0</v>
      </c>
      <c r="DB221" s="9">
        <f>IF($W221=DB$56,HC221*($Q221*$S221)/(1+Voorblad!$K$44)^(DB$56-Voorblad!$F$41),0)</f>
        <v>0</v>
      </c>
      <c r="DC221" s="9">
        <f>IF($W221=DC$56,HD221*($Q221*$S221)/(1+Voorblad!$K$44)^(DC$56-Voorblad!$F$41),0)</f>
        <v>0</v>
      </c>
      <c r="DD221" s="9">
        <f>IF($W221=DD$56,HE221*($Q221*$S221)/(1+Voorblad!$K$44)^(DD$56-Voorblad!$F$41),0)</f>
        <v>0</v>
      </c>
      <c r="DE221" s="9">
        <f>IF($W221=DE$56,HF221*($Q221*$S221)/(1+Voorblad!$K$44)^(DE$56-Voorblad!$F$41),0)</f>
        <v>0</v>
      </c>
      <c r="DF221" s="9">
        <f>IF($W221=DF$56,HG221*($Q221*$S221)/(1+Voorblad!$K$44)^(DF$56-Voorblad!$F$41),0)</f>
        <v>0</v>
      </c>
      <c r="DG221" s="9">
        <f>IF($W221=DG$56,HH221*($Q221*$S221)/(1+Voorblad!$K$44)^(DG$56-Voorblad!$F$41),0)</f>
        <v>0</v>
      </c>
      <c r="DH221" s="9">
        <f>IF($W221=DH$56,HI221*($Q221*$S221)/(1+Voorblad!$K$44)^(DH$56-Voorblad!$F$41),0)</f>
        <v>0</v>
      </c>
      <c r="DI221" s="9">
        <f>IF($W221=DI$56,HJ221*($Q221*$S221)/(1+Voorblad!$K$44)^(DI$56-Voorblad!$F$41),0)</f>
        <v>0</v>
      </c>
      <c r="DJ221" s="9">
        <f>IF($W221=DJ$56,HK221*($Q221*$S221)/(1+Voorblad!$K$44)^(DJ$56-Voorblad!$F$41),0)</f>
        <v>0</v>
      </c>
      <c r="DK221" s="9">
        <f>IF($W221=DK$56,HL221*($Q221*$S221)/(1+Voorblad!$K$44)^(DK$56-Voorblad!$F$41),0)</f>
        <v>0</v>
      </c>
      <c r="DL221" s="9">
        <f>IF($W221=DL$56,HM221*($Q221*$S221)/(1+Voorblad!$K$44)^(DL$56-Voorblad!$F$41),0)</f>
        <v>0</v>
      </c>
      <c r="DM221" s="9">
        <f>IF($W221=DM$56,HN221*($Q221*$S221)/(1+Voorblad!$K$44)^(DM$56-Voorblad!$F$41),0)</f>
        <v>0</v>
      </c>
      <c r="DN221" s="9">
        <f>IF($W221=DN$56,HO221*($Q221*$S221)/(1+Voorblad!$K$44)^(DN$56-Voorblad!$F$41),0)</f>
        <v>0</v>
      </c>
      <c r="DO221" s="9">
        <f>IF($W221=DO$56,HP221*($Q221*$S221)/(1+Voorblad!$K$44)^(DO$56-Voorblad!$F$41),0)</f>
        <v>0</v>
      </c>
      <c r="DP221" s="9">
        <f>IF($W221=DP$56,HQ221*($Q221*$S221)/(1+Voorblad!$K$44)^(DP$56-Voorblad!$F$41),0)</f>
        <v>0</v>
      </c>
      <c r="DQ221" s="9">
        <f>IF($W221=DQ$56,HR221*($Q221*$S221)/(1+Voorblad!$K$44)^(DQ$56-Voorblad!$F$41),0)</f>
        <v>0</v>
      </c>
      <c r="DR221" s="9">
        <f>IF($W221=DR$56,HS221*($Q221*$S221)/(1+Voorblad!$K$44)^(DR$56-Voorblad!$F$41),0)</f>
        <v>0</v>
      </c>
      <c r="DS221" s="9">
        <f>IF($W221=DS$56,HT221*($Q221*$S221)/(1+Voorblad!$K$44)^(DS$56-Voorblad!$F$41),0)</f>
        <v>0</v>
      </c>
      <c r="DT221" s="9">
        <f>IF($W221=DT$56,HU221*($Q221*$S221)/(1+Voorblad!$K$44)^(DT$56-Voorblad!$F$41),0)</f>
        <v>0</v>
      </c>
      <c r="DU221" s="9">
        <f>IF($W221=DU$56,HV221*($Q221*$S221)/(1+Voorblad!$K$44)^(DU$56-Voorblad!$F$41),0)</f>
        <v>0</v>
      </c>
      <c r="DV221" s="9">
        <f>IF($W221=DV$56,HW221*($Q221*$S221)/(1+Voorblad!$K$44)^(DV$56-Voorblad!$F$41),0)</f>
        <v>0</v>
      </c>
      <c r="DW221" s="9">
        <f>IF($W221=DW$56,HX221*($Q221*$S221)/(1+Voorblad!$K$44)^(DW$56-Voorblad!$F$41),0)</f>
        <v>0</v>
      </c>
      <c r="DX221" s="9">
        <f>IF($W221=DX$56,HY221*($Q221*$S221)/(1+Voorblad!$K$44)^(DX$56-Voorblad!$F$41),0)</f>
        <v>0</v>
      </c>
      <c r="DY221" s="9">
        <f>IF($W221=DY$56,HZ221*($Q221*$S221)/(1+Voorblad!$K$44)^(DY$56-Voorblad!$F$41),0)</f>
        <v>0</v>
      </c>
      <c r="DZ221" s="9">
        <f>IF($W221=DZ$56,IA221*($Q221*$S221)/(1+Voorblad!$K$44)^(DZ$56-Voorblad!$F$41),0)</f>
        <v>0</v>
      </c>
      <c r="EA221" s="9">
        <f>IF($W221=EA$56,IB221*($Q221*$S221)/(1+Voorblad!$K$44)^(EA$56-Voorblad!$F$41),0)</f>
        <v>0</v>
      </c>
      <c r="EB221" s="9">
        <f>IF($W221=EB$56,IC221*($Q221*$S221)/(1+Voorblad!$K$44)^(EB$56-Voorblad!$F$41),0)</f>
        <v>0</v>
      </c>
      <c r="EE221" s="8">
        <v>0</v>
      </c>
      <c r="EF221" s="8">
        <f>IF(EF$56-Voorblad!$F$41&gt;Voorblad!$K$41,0,IF($U221=0,0,IF($U221&lt;1,1/$U221,IF((EF$56-Voorblad!$F$41)/$U221-SUM($EE221:EE221)=1,1,0))))</f>
        <v>0</v>
      </c>
      <c r="EG221" s="8">
        <f>IF(EG$56-Voorblad!$F$41&gt;Voorblad!$K$41,0,IF($U221=0,0,IF($U221&lt;1,1/$U221,IF((EG$56-Voorblad!$F$41)/$U221-SUM($EE221:EF221)=1,1,0))))</f>
        <v>1</v>
      </c>
      <c r="EH221" s="8">
        <f>IF(EH$56-Voorblad!$F$41&gt;Voorblad!$K$41,0,IF($U221=0,0,IF($U221&lt;1,1/$U221,IF((EH$56-Voorblad!$F$41)/$U221-SUM($EE221:EG221)=1,1,0))))</f>
        <v>1</v>
      </c>
      <c r="EI221" s="8">
        <f>IF(EI$56-Voorblad!$F$41&gt;Voorblad!$K$41,0,IF($U221=0,0,IF($U221&lt;1,1/$U221,IF((EI$56-Voorblad!$F$41)/$U221-SUM($EE221:EH221)=1,1,0))))</f>
        <v>1</v>
      </c>
      <c r="EJ221" s="8">
        <f>IF(EJ$56-Voorblad!$F$41&gt;Voorblad!$K$41,0,IF($U221=0,0,IF($U221&lt;1,1/$U221,IF((EJ$56-Voorblad!$F$41)/$U221-SUM($EE221:EI221)=1,1,0))))</f>
        <v>1</v>
      </c>
      <c r="EK221" s="8">
        <f>IF(EK$56-Voorblad!$F$41&gt;Voorblad!$K$41,0,IF($U221=0,0,IF($U221&lt;1,1/$U221,IF((EK$56-Voorblad!$F$41)/$U221-SUM($EE221:EJ221)=1,1,0))))</f>
        <v>1</v>
      </c>
      <c r="EL221" s="8">
        <f>IF(EL$56-Voorblad!$F$41&gt;Voorblad!$K$41,0,IF($U221=0,0,IF($U221&lt;1,1/$U221,IF((EL$56-Voorblad!$F$41)/$U221-SUM($EE221:EK221)=1,1,0))))</f>
        <v>1</v>
      </c>
      <c r="EM221" s="8">
        <f>IF(EM$56-Voorblad!$F$41&gt;Voorblad!$K$41,0,IF($U221=0,0,IF($U221&lt;1,1/$U221,IF((EM$56-Voorblad!$F$41)/$U221-SUM($EE221:EL221)=1,1,0))))</f>
        <v>1</v>
      </c>
      <c r="EN221" s="8">
        <f>IF(EN$56-Voorblad!$F$41&gt;Voorblad!$K$41,0,IF($U221=0,0,IF($U221&lt;1,1/$U221,IF((EN$56-Voorblad!$F$41)/$U221-SUM($EE221:EM221)=1,1,0))))</f>
        <v>1</v>
      </c>
      <c r="EO221" s="8">
        <f>IF(EO$56-Voorblad!$F$41&gt;Voorblad!$K$41,0,IF($U221=0,0,IF($U221&lt;1,1/$U221,IF((EO$56-Voorblad!$F$41)/$U221-SUM($EE221:EN221)=1,1,0))))</f>
        <v>1</v>
      </c>
      <c r="EP221" s="8">
        <f>IF(EP$56-Voorblad!$F$41&gt;Voorblad!$K$41,0,IF($U221=0,0,IF($U221&lt;1,1/$U221,IF((EP$56-Voorblad!$F$41)/$U221-SUM($EE221:EO221)=1,1,0))))</f>
        <v>1</v>
      </c>
      <c r="EQ221" s="8">
        <f>IF(EQ$56-Voorblad!$F$41&gt;Voorblad!$K$41,0,IF($U221=0,0,IF($U221&lt;1,1/$U221,IF((EQ$56-Voorblad!$F$41)/$U221-SUM($EE221:EP221)=1,1,0))))</f>
        <v>1</v>
      </c>
      <c r="ER221" s="8">
        <f>IF(ER$56-Voorblad!$F$41&gt;Voorblad!$K$41,0,IF($U221=0,0,IF($U221&lt;1,1/$U221,IF((ER$56-Voorblad!$F$41)/$U221-SUM($EE221:EQ221)=1,1,0))))</f>
        <v>1</v>
      </c>
      <c r="ES221" s="8">
        <f>IF(ES$56-Voorblad!$F$41&gt;Voorblad!$K$41,0,IF($U221=0,0,IF($U221&lt;1,1/$U221,IF((ES$56-Voorblad!$F$41)/$U221-SUM($EE221:ER221)=1,1,0))))</f>
        <v>1</v>
      </c>
      <c r="ET221" s="8">
        <f>IF(ET$56-Voorblad!$F$41&gt;Voorblad!$K$41,0,IF($U221=0,0,IF($U221&lt;1,1/$U221,IF((ET$56-Voorblad!$F$41)/$U221-SUM($EE221:ES221)=1,1,0))))</f>
        <v>1</v>
      </c>
      <c r="EU221" s="8">
        <f>IF(EU$56-Voorblad!$F$41&gt;Voorblad!$K$41,0,IF($U221=0,0,IF($U221&lt;1,1/$U221,IF((EU$56-Voorblad!$F$41)/$U221-SUM($EE221:ET221)=1,1,0))))</f>
        <v>1</v>
      </c>
      <c r="EV221" s="8">
        <f>IF(EV$56-Voorblad!$F$41&gt;Voorblad!$K$41,0,IF($U221=0,0,IF($U221&lt;1,1/$U221,IF((EV$56-Voorblad!$F$41)/$U221-SUM($EE221:EU221)=1,1,0))))</f>
        <v>1</v>
      </c>
      <c r="EW221" s="8">
        <f>IF(EW$56-Voorblad!$F$41&gt;Voorblad!$K$41,0,IF($U221=0,0,IF($U221&lt;1,1/$U221,IF((EW$56-Voorblad!$F$41)/$U221-SUM($EE221:EV221)=1,1,0))))</f>
        <v>1</v>
      </c>
      <c r="EX221" s="8">
        <f>IF(EX$56-Voorblad!$F$41&gt;Voorblad!$K$41,0,IF($U221=0,0,IF($U221&lt;1,1/$U221,IF((EX$56-Voorblad!$F$41)/$U221-SUM($EE221:EW221)=1,1,0))))</f>
        <v>1</v>
      </c>
      <c r="EY221" s="8">
        <f>IF(EY$56-Voorblad!$F$41&gt;Voorblad!$K$41,0,IF($U221=0,0,IF($U221&lt;1,1/$U221,IF((EY$56-Voorblad!$F$41)/$U221-SUM($EE221:EX221)=1,1,0))))</f>
        <v>1</v>
      </c>
      <c r="EZ221" s="8">
        <f>IF(EZ$56-Voorblad!$F$41&gt;Voorblad!$K$41,0,IF($U221=0,0,IF($U221&lt;1,1/$U221,IF((EZ$56-Voorblad!$F$41)/$U221-SUM($EE221:EY221)=1,1,0))))</f>
        <v>1</v>
      </c>
      <c r="FA221" s="8">
        <f>IF(FA$56-Voorblad!$F$41&gt;Voorblad!$K$41,0,IF($U221=0,0,IF($U221&lt;1,1/$U221,IF((FA$56-Voorblad!$F$41)/$U221-SUM($EE221:EZ221)=1,1,0))))</f>
        <v>1</v>
      </c>
      <c r="FB221" s="8">
        <f>IF(FB$56-Voorblad!$F$41&gt;Voorblad!$K$41,0,IF($U221=0,0,IF($U221&lt;1,1/$U221,IF((FB$56-Voorblad!$F$41)/$U221-SUM($EE221:FA221)=1,1,0))))</f>
        <v>1</v>
      </c>
      <c r="FC221" s="8">
        <f>IF(FC$56-Voorblad!$F$41&gt;Voorblad!$K$41,0,IF($U221=0,0,IF($U221&lt;1,1/$U221,IF((FC$56-Voorblad!$F$41)/$U221-SUM($EE221:FB221)=1,1,0))))</f>
        <v>1</v>
      </c>
      <c r="FD221" s="8">
        <f>IF(FD$56-Voorblad!$F$41&gt;Voorblad!$K$41,0,IF($U221=0,0,IF($U221&lt;1,1/$U221,IF((FD$56-Voorblad!$F$41)/$U221-SUM($EE221:FC221)=1,1,0))))</f>
        <v>1</v>
      </c>
      <c r="FE221" s="8">
        <f>IF(FE$56-Voorblad!$F$41&gt;Voorblad!$K$41,0,IF($U221=0,0,IF($U221&lt;1,1/$U221,IF((FE$56-Voorblad!$F$41)/$U221-SUM($EE221:FD221)=1,1,0))))</f>
        <v>1</v>
      </c>
      <c r="FF221" s="8">
        <f>IF(FF$56-Voorblad!$F$41&gt;Voorblad!$K$41,0,IF($U221=0,0,IF($U221&lt;1,1/$U221,IF((FF$56-Voorblad!$F$41)/$U221-SUM($EE221:FE221)=1,1,0))))</f>
        <v>1</v>
      </c>
      <c r="FG221" s="8">
        <f>IF(FG$56-Voorblad!$F$41&gt;Voorblad!$K$41,0,IF($U221=0,0,IF($U221&lt;1,1/$U221,IF((FG$56-Voorblad!$F$41)/$U221-SUM($EE221:FF221)=1,1,0))))</f>
        <v>1</v>
      </c>
      <c r="FH221" s="8">
        <f>IF(FH$56-Voorblad!$F$41&gt;Voorblad!$K$41,0,IF($U221=0,0,IF($U221&lt;1,1/$U221,IF((FH$56-Voorblad!$F$41)/$U221-SUM($EE221:FG221)=1,1,0))))</f>
        <v>1</v>
      </c>
      <c r="FI221" s="8">
        <f>IF(FI$56-Voorblad!$F$41&gt;Voorblad!$K$41,0,IF($U221=0,0,IF($U221&lt;1,1/$U221,IF((FI$56-Voorblad!$F$41)/$U221-SUM($EE221:FH221)=1,1,0))))</f>
        <v>1</v>
      </c>
      <c r="FJ221" s="8">
        <f>IF(FJ$56-Voorblad!$F$41&gt;Voorblad!$K$41,0,IF($U221=0,0,IF($U221&lt;1,1/$U221,IF((FJ$56-Voorblad!$F$41)/$U221-SUM($EE221:FI221)=1,1,0))))</f>
        <v>1</v>
      </c>
      <c r="FK221" s="8">
        <f>IF(FK$56-Voorblad!$F$41&gt;Voorblad!$K$41,0,IF($U221=0,0,IF($U221&lt;1,1/$U221,IF((FK$56-Voorblad!$F$41)/$U221-SUM($EE221:FJ221)=1,1,0))))</f>
        <v>1</v>
      </c>
      <c r="FL221" s="8">
        <f>IF(FL$56-Voorblad!$F$41&gt;Voorblad!$K$41,0,IF($U221=0,0,IF($U221&lt;1,1/$U221,IF((FL$56-Voorblad!$F$41)/$U221-SUM($EE221:FK221)=1,1,0))))</f>
        <v>1</v>
      </c>
      <c r="FM221" s="8">
        <f>IF(FM$56-Voorblad!$F$41&gt;Voorblad!$K$41,0,IF($U221=0,0,IF($U221&lt;1,1/$U221,IF((FM$56-Voorblad!$F$41)/$U221-SUM($EE221:FL221)=1,1,0))))</f>
        <v>1</v>
      </c>
      <c r="FN221" s="8">
        <f>IF(FN$56-Voorblad!$F$41&gt;Voorblad!$K$41,0,IF($U221=0,0,IF($U221&lt;1,1/$U221,IF((FN$56-Voorblad!$F$41)/$U221-SUM($EE221:FM221)=1,1,0))))</f>
        <v>1</v>
      </c>
      <c r="FO221" s="8">
        <f>IF(FO$56-Voorblad!$F$41&gt;Voorblad!$K$41,0,IF($U221=0,0,IF($U221&lt;1,1/$U221,IF((FO$56-Voorblad!$F$41)/$U221-SUM($EE221:FN221)=1,1,0))))</f>
        <v>1</v>
      </c>
      <c r="FP221" s="8">
        <f>IF(FP$56-Voorblad!$F$41&gt;Voorblad!$K$41,0,IF($U221=0,0,IF($U221&lt;1,1/$U221,IF((FP$56-Voorblad!$F$41)/$U221-SUM($EE221:FO221)=1,1,0))))</f>
        <v>1</v>
      </c>
      <c r="FQ221" s="8">
        <f>IF(FQ$56-Voorblad!$F$41&gt;Voorblad!$K$41,0,IF($U221=0,0,IF($U221&lt;1,1/$U221,IF((FQ$56-Voorblad!$F$41)/$U221-SUM($EE221:FP221)=1,1,0))))</f>
        <v>1</v>
      </c>
      <c r="FR221" s="8">
        <f>IF(FR$56-Voorblad!$F$41&gt;Voorblad!$K$41,0,IF($U221=0,0,IF($U221&lt;1,1/$U221,IF((FR$56-Voorblad!$F$41)/$U221-SUM($EE221:FQ221)=1,1,0))))</f>
        <v>1</v>
      </c>
      <c r="FS221" s="8">
        <f>IF(FS$56-Voorblad!$F$41&gt;Voorblad!$K$41,0,IF($U221=0,0,IF($U221&lt;1,1/$U221,IF((FS$56-Voorblad!$F$41)/$U221-SUM($EE221:FR221)=1,1,0))))</f>
        <v>1</v>
      </c>
      <c r="FT221" s="8">
        <f>IF(FT$56-Voorblad!$F$41&gt;Voorblad!$K$41,0,IF($U221=0,0,IF($U221&lt;1,1/$U221,IF((FT$56-Voorblad!$F$41)/$U221-SUM($EE221:FS221)=1,1,0))))</f>
        <v>1</v>
      </c>
      <c r="FU221" s="8">
        <f>IF(FU$56-Voorblad!$F$41&gt;Voorblad!$K$41,0,IF($U221=0,0,IF($U221&lt;1,1/$U221,IF((FU$56-Voorblad!$F$41)/$U221-SUM($EE221:FT221)=1,1,0))))</f>
        <v>1</v>
      </c>
      <c r="FV221" s="8">
        <f>IF(FV$56-Voorblad!$F$41&gt;Voorblad!$K$41,0,IF($U221=0,0,IF($U221&lt;1,1/$U221,IF((FV$56-Voorblad!$F$41)/$U221-SUM($EE221:FU221)=1,1,0))))</f>
        <v>1</v>
      </c>
      <c r="FW221" s="8">
        <f>IF(FW$56-Voorblad!$F$41&gt;Voorblad!$K$41,0,IF($U221=0,0,IF($U221&lt;1,1/$U221,IF((FW$56-Voorblad!$F$41)/$U221-SUM($EE221:FV221)=1,1,0))))</f>
        <v>1</v>
      </c>
      <c r="FX221" s="8">
        <f>IF(FX$56-Voorblad!$F$41&gt;Voorblad!$K$41,0,IF($U221=0,0,IF($U221&lt;1,1/$U221,IF((FX$56-Voorblad!$F$41)/$U221-SUM($EE221:FW221)=1,1,0))))</f>
        <v>1</v>
      </c>
      <c r="FY221" s="8">
        <f>IF(FY$56-Voorblad!$F$41&gt;Voorblad!$K$41,0,IF($U221=0,0,IF($U221&lt;1,1/$U221,IF((FY$56-Voorblad!$F$41)/$U221-SUM($EE221:FX221)=1,1,0))))</f>
        <v>1</v>
      </c>
      <c r="FZ221" s="8">
        <f>IF(FZ$56-Voorblad!$F$41&gt;Voorblad!$K$41,0,IF($U221=0,0,IF($U221&lt;1,1/$U221,IF((FZ$56-Voorblad!$F$41)/$U221-SUM($EE221:FY221)=1,1,0))))</f>
        <v>1</v>
      </c>
      <c r="GA221" s="8">
        <f>IF(GA$56-Voorblad!$F$41&gt;Voorblad!$K$41,0,IF($U221=0,0,IF($U221&lt;1,1/$U221,IF((GA$56-Voorblad!$F$41)/$U221-SUM($EE221:FZ221)=1,1,0))))</f>
        <v>1</v>
      </c>
      <c r="GB221" s="8">
        <f>IF(GB$56-Voorblad!$F$41&gt;Voorblad!$K$41,0,IF($U221=0,0,IF($U221&lt;1,1/$U221,IF((GB$56-Voorblad!$F$41)/$U221-SUM($EE221:GA221)=1,1,0))))</f>
        <v>1</v>
      </c>
      <c r="GC221" s="8">
        <f>IF(GC$56-Voorblad!$F$41&gt;Voorblad!$K$41,0,IF($U221=0,0,IF($U221&lt;1,1/$U221,IF((GC$56-Voorblad!$F$41)/$U221-SUM($EE221:GB221)=1,1,0))))</f>
        <v>1</v>
      </c>
      <c r="GD221" s="8">
        <f>IF(GD$56-Voorblad!$F$41&gt;Voorblad!$K$41,0,IF($U221=0,0,IF($U221&lt;1,1/$U221,IF((GD$56-Voorblad!$F$41)/$U221-SUM($EE221:GC221)=1,1,0))))</f>
        <v>1</v>
      </c>
      <c r="GE221" s="8">
        <f>IF(GE$56-Voorblad!$F$41&gt;Voorblad!$K$41,0,IF($U221=0,0,IF($U221&lt;1,1/$U221,IF((GE$56-Voorblad!$F$41)/$U221-SUM($EE221:GD221)=1,1,0))))</f>
        <v>1</v>
      </c>
      <c r="GF221" s="8">
        <f>IF(GF$56-Voorblad!$F$41&gt;Voorblad!$K$41,0,IF($U221=0,0,IF($U221&lt;1,1/$U221,IF((GF$56-Voorblad!$F$41)/$U221-SUM($EE221:GE221)=1,1,0))))</f>
        <v>1</v>
      </c>
      <c r="GG221" s="8">
        <f>IF(GG$56-Voorblad!$F$41&gt;Voorblad!$K$41,0,IF($U221=0,0,IF($U221&lt;1,1/$U221,IF((GG$56-Voorblad!$F$41)/$U221-SUM($EE221:GF221)=1,1,0))))</f>
        <v>1</v>
      </c>
      <c r="GH221" s="8">
        <f>IF(GH$56-Voorblad!$F$41&gt;Voorblad!$K$41,0,IF($U221=0,0,IF($U221&lt;1,1/$U221,IF((GH$56-Voorblad!$F$41)/$U221-SUM($EE221:GG221)=1,1,0))))</f>
        <v>1</v>
      </c>
      <c r="GI221" s="8">
        <f>IF(GI$56-Voorblad!$F$41&gt;Voorblad!$K$41,0,IF($U221=0,0,IF($U221&lt;1,1/$U221,IF((GI$56-Voorblad!$F$41)/$U221-SUM($EE221:GH221)=1,1,0))))</f>
        <v>1</v>
      </c>
      <c r="GJ221" s="8">
        <f>IF(GJ$56-Voorblad!$F$41&gt;Voorblad!$K$41,0,IF($U221=0,0,IF($U221&lt;1,1/$U221,IF((GJ$56-Voorblad!$F$41)/$U221-SUM($EE221:GI221)=1,1,0))))</f>
        <v>1</v>
      </c>
      <c r="GK221" s="8">
        <f>IF(GK$56-Voorblad!$F$41&gt;Voorblad!$K$41,0,IF($U221=0,0,IF($U221&lt;1,1/$U221,IF((GK$56-Voorblad!$F$41)/$U221-SUM($EE221:GJ221)=1,1,0))))</f>
        <v>1</v>
      </c>
      <c r="GL221" s="8">
        <f>IF(GL$56-Voorblad!$F$41&gt;Voorblad!$K$41,0,IF($U221=0,0,IF($U221&lt;1,1/$U221,IF((GL$56-Voorblad!$F$41)/$U221-SUM($EE221:GK221)=1,1,0))))</f>
        <v>1</v>
      </c>
      <c r="GM221" s="8">
        <f>IF(GM$56-Voorblad!$F$41&gt;Voorblad!$K$41,0,IF($U221=0,0,IF($U221&lt;1,1/$U221,IF((GM$56-Voorblad!$F$41)/$U221-SUM($EE221:GL221)=1,1,0))))</f>
        <v>1</v>
      </c>
      <c r="GN221" s="8">
        <f>IF(GN$56-Voorblad!$F$41&gt;Voorblad!$K$41,0,IF($U221=0,0,IF($U221&lt;1,1/$U221,IF((GN$56-Voorblad!$F$41)/$U221-SUM($EE221:GM221)=1,1,0))))</f>
        <v>1</v>
      </c>
      <c r="GO221" s="8">
        <f>IF(GO$56-Voorblad!$F$41&gt;Voorblad!$K$41,0,IF($U221=0,0,IF($U221&lt;1,1/$U221,IF((GO$56-Voorblad!$F$41)/$U221-SUM($EE221:GN221)=1,1,0))))</f>
        <v>1</v>
      </c>
      <c r="GP221" s="8">
        <f>IF(GP$56-Voorblad!$F$41&gt;Voorblad!$K$41,0,IF($U221=0,0,IF($U221&lt;1,1/$U221,IF((GP$56-Voorblad!$F$41)/$U221-SUM($EE221:GO221)=1,1,0))))</f>
        <v>1</v>
      </c>
      <c r="GQ221" s="8">
        <f>IF(GQ$56-Voorblad!$F$41&gt;Voorblad!$K$41,0,IF($U221=0,0,IF($U221&lt;1,1/$U221,IF((GQ$56-Voorblad!$F$41)/$U221-SUM($EE221:GP221)=1,1,0))))</f>
        <v>1</v>
      </c>
      <c r="GR221" s="8">
        <f>IF(GR$56-Voorblad!$F$41&gt;Voorblad!$K$41,0,IF($U221=0,0,IF($U221&lt;1,1/$U221,IF((GR$56-Voorblad!$F$41)/$U221-SUM($EE221:GQ221)=1,1,0))))</f>
        <v>1</v>
      </c>
      <c r="GS221" s="8">
        <f>IF(GS$56-Voorblad!$F$41&gt;Voorblad!$K$41,0,IF($U221=0,0,IF($U221&lt;1,1/$U221,IF((GS$56-Voorblad!$F$41)/$U221-SUM($EE221:GR221)=1,1,0))))</f>
        <v>1</v>
      </c>
      <c r="GT221" s="8">
        <f>IF(GT$56-Voorblad!$F$41&gt;Voorblad!$K$41,0,IF($U221=0,0,IF($U221&lt;1,1/$U221,IF((GT$56-Voorblad!$F$41)/$U221-SUM($EE221:GS221)=1,1,0))))</f>
        <v>1</v>
      </c>
      <c r="GU221" s="8">
        <f>IF(GU$56-Voorblad!$F$41&gt;Voorblad!$K$41,0,IF($U221=0,0,IF($U221&lt;1,1/$U221,IF((GU$56-Voorblad!$F$41)/$U221-SUM($EE221:GT221)=1,1,0))))</f>
        <v>1</v>
      </c>
      <c r="GV221" s="8">
        <f>IF(GV$56-Voorblad!$F$41&gt;Voorblad!$K$41,0,IF($U221=0,0,IF($U221&lt;1,1/$U221,IF((GV$56-Voorblad!$F$41)/$U221-SUM($EE221:GU221)=1,1,0))))</f>
        <v>1</v>
      </c>
      <c r="GW221" s="8">
        <f>IF(GW$56-Voorblad!$F$41&gt;Voorblad!$K$41,0,IF($U221=0,0,IF($U221&lt;1,1/$U221,IF((GW$56-Voorblad!$F$41)/$U221-SUM($EE221:GV221)=1,1,0))))</f>
        <v>1</v>
      </c>
      <c r="GX221" s="8">
        <f>IF(GX$56-Voorblad!$F$41&gt;Voorblad!$K$41,0,IF($U221=0,0,IF($U221&lt;1,1/$U221,IF((GX$56-Voorblad!$F$41)/$U221-SUM($EE221:GW221)=1,1,0))))</f>
        <v>1</v>
      </c>
      <c r="GY221" s="8">
        <f>IF(GY$56-Voorblad!$F$41&gt;Voorblad!$K$41,0,IF($U221=0,0,IF($U221&lt;1,1/$U221,IF((GY$56-Voorblad!$F$41)/$U221-SUM($EE221:GX221)=1,1,0))))</f>
        <v>1</v>
      </c>
      <c r="GZ221" s="8">
        <f>IF(GZ$56-Voorblad!$F$41&gt;Voorblad!$K$41,0,IF($U221=0,0,IF($U221&lt;1,1/$U221,IF((GZ$56-Voorblad!$F$41)/$U221-SUM($EE221:GY221)=1,1,0))))</f>
        <v>1</v>
      </c>
      <c r="HA221" s="8">
        <f>IF(HA$56-Voorblad!$F$41&gt;Voorblad!$K$41,0,IF($U221=0,0,IF($U221&lt;1,1/$U221,IF((HA$56-Voorblad!$F$41)/$U221-SUM($EE221:GZ221)=1,1,0))))</f>
        <v>1</v>
      </c>
      <c r="HB221" s="8">
        <f>IF(HB$56-Voorblad!$F$41&gt;Voorblad!$K$41,0,IF($U221=0,0,IF($U221&lt;1,1/$U221,IF((HB$56-Voorblad!$F$41)/$U221-SUM($EE221:HA221)=1,1,0))))</f>
        <v>0</v>
      </c>
      <c r="HC221" s="8">
        <f>IF(HC$56-Voorblad!$F$41&gt;Voorblad!$K$41,0,IF($U221=0,0,IF($U221&lt;1,1/$U221,IF((HC$56-Voorblad!$F$41)/$U221-SUM($EE221:HB221)=1,1,0))))</f>
        <v>0</v>
      </c>
      <c r="HD221" s="8">
        <f>IF(HD$56-Voorblad!$F$41&gt;Voorblad!$K$41,0,IF($U221=0,0,IF($U221&lt;1,1/$U221,IF((HD$56-Voorblad!$F$41)/$U221-SUM($EE221:HC221)=1,1,0))))</f>
        <v>0</v>
      </c>
      <c r="HE221" s="8">
        <f>IF(HE$56-Voorblad!$F$41&gt;Voorblad!$K$41,0,IF($U221=0,0,IF($U221&lt;1,1/$U221,IF((HE$56-Voorblad!$F$41)/$U221-SUM($EE221:HD221)=1,1,0))))</f>
        <v>0</v>
      </c>
      <c r="HF221" s="8">
        <f>IF(HF$56-Voorblad!$F$41&gt;Voorblad!$K$41,0,IF($U221=0,0,IF($U221&lt;1,1/$U221,IF((HF$56-Voorblad!$F$41)/$U221-SUM($EE221:HE221)=1,1,0))))</f>
        <v>0</v>
      </c>
      <c r="HG221" s="8">
        <f>IF(HG$56-Voorblad!$F$41&gt;Voorblad!$K$41,0,IF($U221=0,0,IF($U221&lt;1,1/$U221,IF((HG$56-Voorblad!$F$41)/$U221-SUM($EE221:HF221)=1,1,0))))</f>
        <v>0</v>
      </c>
      <c r="HH221" s="8">
        <f>IF(HH$56-Voorblad!$F$41&gt;Voorblad!$K$41,0,IF($U221=0,0,IF($U221&lt;1,1/$U221,IF((HH$56-Voorblad!$F$41)/$U221-SUM($EE221:HG221)=1,1,0))))</f>
        <v>0</v>
      </c>
      <c r="HI221" s="8">
        <f>IF(HI$56-Voorblad!$F$41&gt;Voorblad!$K$41,0,IF($U221=0,0,IF($U221&lt;1,1/$U221,IF((HI$56-Voorblad!$F$41)/$U221-SUM($EE221:HH221)=1,1,0))))</f>
        <v>0</v>
      </c>
      <c r="HJ221" s="8">
        <f>IF(HJ$56-Voorblad!$F$41&gt;Voorblad!$K$41,0,IF($U221=0,0,IF($U221&lt;1,1/$U221,IF((HJ$56-Voorblad!$F$41)/$U221-SUM($EE221:HI221)=1,1,0))))</f>
        <v>0</v>
      </c>
      <c r="HK221" s="8">
        <f>IF(HK$56-Voorblad!$F$41&gt;Voorblad!$K$41,0,IF($U221=0,0,IF($U221&lt;1,1/$U221,IF((HK$56-Voorblad!$F$41)/$U221-SUM($EE221:HJ221)=1,1,0))))</f>
        <v>0</v>
      </c>
      <c r="HL221" s="8">
        <f>IF(HL$56-Voorblad!$F$41&gt;Voorblad!$K$41,0,IF($U221=0,0,IF($U221&lt;1,1/$U221,IF((HL$56-Voorblad!$F$41)/$U221-SUM($EE221:HK221)=1,1,0))))</f>
        <v>0</v>
      </c>
      <c r="HM221" s="8">
        <f>IF(HM$56-Voorblad!$F$41&gt;Voorblad!$K$41,0,IF($U221=0,0,IF($U221&lt;1,1/$U221,IF((HM$56-Voorblad!$F$41)/$U221-SUM($EE221:HL221)=1,1,0))))</f>
        <v>0</v>
      </c>
      <c r="HN221" s="8">
        <f>IF(HN$56-Voorblad!$F$41&gt;Voorblad!$K$41,0,IF($U221=0,0,IF($U221&lt;1,1/$U221,IF((HN$56-Voorblad!$F$41)/$U221-SUM($EE221:HM221)=1,1,0))))</f>
        <v>0</v>
      </c>
      <c r="HO221" s="8">
        <f>IF(HO$56-Voorblad!$F$41&gt;Voorblad!$K$41,0,IF($U221=0,0,IF($U221&lt;1,1/$U221,IF((HO$56-Voorblad!$F$41)/$U221-SUM($EE221:HN221)=1,1,0))))</f>
        <v>0</v>
      </c>
      <c r="HP221" s="8">
        <f>IF(HP$56-Voorblad!$F$41&gt;Voorblad!$K$41,0,IF($U221=0,0,IF($U221&lt;1,1/$U221,IF((HP$56-Voorblad!$F$41)/$U221-SUM($EE221:HO221)=1,1,0))))</f>
        <v>0</v>
      </c>
      <c r="HQ221" s="8">
        <f>IF(HQ$56-Voorblad!$F$41&gt;Voorblad!$K$41,0,IF($U221=0,0,IF($U221&lt;1,1/$U221,IF((HQ$56-Voorblad!$F$41)/$U221-SUM($EE221:HP221)=1,1,0))))</f>
        <v>0</v>
      </c>
      <c r="HR221" s="8">
        <f>IF(HR$56-Voorblad!$F$41&gt;Voorblad!$K$41,0,IF($U221=0,0,IF($U221&lt;1,1/$U221,IF((HR$56-Voorblad!$F$41)/$U221-SUM($EE221:HQ221)=1,1,0))))</f>
        <v>0</v>
      </c>
      <c r="HS221" s="8">
        <f>IF(HS$56-Voorblad!$F$41&gt;Voorblad!$K$41,0,IF($U221=0,0,IF($U221&lt;1,1/$U221,IF((HS$56-Voorblad!$F$41)/$U221-SUM($EE221:HR221)=1,1,0))))</f>
        <v>0</v>
      </c>
      <c r="HT221" s="8">
        <f>IF(HT$56-Voorblad!$F$41&gt;Voorblad!$K$41,0,IF($U221=0,0,IF($U221&lt;1,1/$U221,IF((HT$56-Voorblad!$F$41)/$U221-SUM($EE221:HS221)=1,1,0))))</f>
        <v>0</v>
      </c>
      <c r="HU221" s="8">
        <f>IF(HU$56-Voorblad!$F$41&gt;Voorblad!$K$41,0,IF($U221=0,0,IF($U221&lt;1,1/$U221,IF((HU$56-Voorblad!$F$41)/$U221-SUM($EE221:HT221)=1,1,0))))</f>
        <v>0</v>
      </c>
      <c r="HV221" s="8">
        <f>IF(HV$56-Voorblad!$F$41&gt;Voorblad!$K$41,0,IF($U221=0,0,IF($U221&lt;1,1/$U221,IF((HV$56-Voorblad!$F$41)/$U221-SUM($EE221:HU221)=1,1,0))))</f>
        <v>0</v>
      </c>
      <c r="HW221" s="8">
        <f>IF(HW$56-Voorblad!$F$41&gt;Voorblad!$K$41,0,IF($U221=0,0,IF($U221&lt;1,1/$U221,IF((HW$56-Voorblad!$F$41)/$U221-SUM($EE221:HV221)=1,1,0))))</f>
        <v>0</v>
      </c>
      <c r="HX221" s="8">
        <f>IF(HX$56-Voorblad!$F$41&gt;Voorblad!$K$41,0,IF($U221=0,0,IF($U221&lt;1,1/$U221,IF((HX$56-Voorblad!$F$41)/$U221-SUM($EE221:HW221)=1,1,0))))</f>
        <v>0</v>
      </c>
      <c r="HY221" s="8">
        <f>IF(HY$56-Voorblad!$F$41&gt;Voorblad!$K$41,0,IF($U221=0,0,IF($U221&lt;1,1/$U221,IF((HY$56-Voorblad!$F$41)/$U221-SUM($EE221:HX221)=1,1,0))))</f>
        <v>0</v>
      </c>
      <c r="HZ221" s="8">
        <f>IF(HZ$56-Voorblad!$F$41&gt;Voorblad!$K$41,0,IF($U221=0,0,IF($U221&lt;1,1/$U221,IF((HZ$56-Voorblad!$F$41)/$U221-SUM($EE221:HY221)=1,1,0))))</f>
        <v>0</v>
      </c>
      <c r="IA221" s="8">
        <f>IF(IA$56-Voorblad!$F$41&gt;Voorblad!$K$41,0,IF($U221=0,0,IF($U221&lt;1,1/$U221,IF((IA$56-Voorblad!$F$41)/$U221-SUM($EE221:HZ221)=1,1,0))))</f>
        <v>0</v>
      </c>
      <c r="IB221" s="8">
        <f>IF(IB$56-Voorblad!$F$41&gt;Voorblad!$K$41,0,IF($U221=0,0,IF($U221&lt;1,1/$U221,IF((IB$56-Voorblad!$F$41)/$U221-SUM($EE221:IA221)=1,1,0))))</f>
        <v>0</v>
      </c>
    </row>
    <row r="222" spans="2:236" outlineLevel="1" x14ac:dyDescent="0.25">
      <c r="B222" s="14">
        <v>1</v>
      </c>
      <c r="C222" s="14"/>
      <c r="F222" s="1" t="s">
        <v>58</v>
      </c>
      <c r="I222" s="1" t="s">
        <v>66</v>
      </c>
      <c r="K222" s="1" t="s">
        <v>64</v>
      </c>
      <c r="O222" s="1" t="s">
        <v>99</v>
      </c>
      <c r="Q222" s="81">
        <v>0</v>
      </c>
      <c r="R222" s="1" t="s">
        <v>33</v>
      </c>
      <c r="S222" s="21">
        <f>2%*T221</f>
        <v>3922.84872</v>
      </c>
      <c r="T222" s="21">
        <f>Q222*S222</f>
        <v>0</v>
      </c>
      <c r="U222" s="11">
        <v>1</v>
      </c>
      <c r="V222" s="14"/>
      <c r="W222" s="81">
        <v>0</v>
      </c>
      <c r="X222" s="6"/>
      <c r="Y222" s="9">
        <f t="shared" si="200"/>
        <v>0</v>
      </c>
      <c r="Z222" s="83"/>
      <c r="AA222" s="83"/>
      <c r="AC222" s="9">
        <f>$Y222*(Voorblad!$K$44*(1+Voorblad!$K$44)^Voorblad!$K$41)/((1+Voorblad!$K$44)^Voorblad!$K$41-1)</f>
        <v>0</v>
      </c>
      <c r="AE222" s="9">
        <f>IF($W222=AE$56,EF222*($Q222*$S222)/(1+Voorblad!$K$44)^(AE$56-Voorblad!$F$41),0)</f>
        <v>0</v>
      </c>
      <c r="AF222" s="9">
        <f>IF($W222=AF$56,EG222*($Q222*$S222)/(1+Voorblad!$K$44)^(AF$56-Voorblad!$F$41),0)</f>
        <v>0</v>
      </c>
      <c r="AG222" s="9">
        <f>IF($W222=AG$56,EH222*($Q222*$S222)/(1+Voorblad!$K$44)^(AG$56-Voorblad!$F$41),0)</f>
        <v>0</v>
      </c>
      <c r="AH222" s="9">
        <f>IF($W222=AH$56,EI222*($Q222*$S222)/(1+Voorblad!$K$44)^(AH$56-Voorblad!$F$41),0)</f>
        <v>0</v>
      </c>
      <c r="AI222" s="9">
        <f>IF($W222=AI$56,EJ222*($Q222*$S222)/(1+Voorblad!$K$44)^(AI$56-Voorblad!$F$41),0)</f>
        <v>0</v>
      </c>
      <c r="AJ222" s="9">
        <f>IF($W222=AJ$56,EK222*($Q222*$S222)/(1+Voorblad!$K$44)^(AJ$56-Voorblad!$F$41),0)</f>
        <v>0</v>
      </c>
      <c r="AK222" s="9">
        <f>IF($W222=AK$56,EL222*($Q222*$S222)/(1+Voorblad!$K$44)^(AK$56-Voorblad!$F$41),0)</f>
        <v>0</v>
      </c>
      <c r="AL222" s="9">
        <f>IF($W222=AL$56,EM222*($Q222*$S222)/(1+Voorblad!$K$44)^(AL$56-Voorblad!$F$41),0)</f>
        <v>0</v>
      </c>
      <c r="AM222" s="9">
        <f>IF($W222=AM$56,EN222*($Q222*$S222)/(1+Voorblad!$K$44)^(AM$56-Voorblad!$F$41),0)</f>
        <v>0</v>
      </c>
      <c r="AN222" s="9">
        <f>IF($W222=AN$56,EO222*($Q222*$S222)/(1+Voorblad!$K$44)^(AN$56-Voorblad!$F$41),0)</f>
        <v>0</v>
      </c>
      <c r="AO222" s="9">
        <f>IF($W222=AO$56,EP222*($Q222*$S222)/(1+Voorblad!$K$44)^(AO$56-Voorblad!$F$41),0)</f>
        <v>0</v>
      </c>
      <c r="AP222" s="9">
        <f>IF($W222=AP$56,EQ222*($Q222*$S222)/(1+Voorblad!$K$44)^(AP$56-Voorblad!$F$41),0)</f>
        <v>0</v>
      </c>
      <c r="AQ222" s="9">
        <f>IF($W222=AQ$56,ER222*($Q222*$S222)/(1+Voorblad!$K$44)^(AQ$56-Voorblad!$F$41),0)</f>
        <v>0</v>
      </c>
      <c r="AR222" s="9">
        <f>IF($W222=AR$56,ES222*($Q222*$S222)/(1+Voorblad!$K$44)^(AR$56-Voorblad!$F$41),0)</f>
        <v>0</v>
      </c>
      <c r="AS222" s="9">
        <f>IF($W222=AS$56,ET222*($Q222*$S222)/(1+Voorblad!$K$44)^(AS$56-Voorblad!$F$41),0)</f>
        <v>0</v>
      </c>
      <c r="AT222" s="9">
        <f>IF($W222=AT$56,EU222*($Q222*$S222)/(1+Voorblad!$K$44)^(AT$56-Voorblad!$F$41),0)</f>
        <v>0</v>
      </c>
      <c r="AU222" s="9">
        <f>IF($W222=AU$56,EV222*($Q222*$S222)/(1+Voorblad!$K$44)^(AU$56-Voorblad!$F$41),0)</f>
        <v>0</v>
      </c>
      <c r="AV222" s="9">
        <f>IF($W222=AV$56,EW222*($Q222*$S222)/(1+Voorblad!$K$44)^(AV$56-Voorblad!$F$41),0)</f>
        <v>0</v>
      </c>
      <c r="AW222" s="9">
        <f>IF($W222=AW$56,EX222*($Q222*$S222)/(1+Voorblad!$K$44)^(AW$56-Voorblad!$F$41),0)</f>
        <v>0</v>
      </c>
      <c r="AX222" s="9">
        <f>IF($W222=AX$56,EY222*($Q222*$S222)/(1+Voorblad!$K$44)^(AX$56-Voorblad!$F$41),0)</f>
        <v>0</v>
      </c>
      <c r="AY222" s="9">
        <f>IF($W222=AY$56,EZ222*($Q222*$S222)/(1+Voorblad!$K$44)^(AY$56-Voorblad!$F$41),0)</f>
        <v>0</v>
      </c>
      <c r="AZ222" s="9">
        <f>IF($W222=AZ$56,FA222*($Q222*$S222)/(1+Voorblad!$K$44)^(AZ$56-Voorblad!$F$41),0)</f>
        <v>0</v>
      </c>
      <c r="BA222" s="9">
        <f>IF($W222=BA$56,FB222*($Q222*$S222)/(1+Voorblad!$K$44)^(BA$56-Voorblad!$F$41),0)</f>
        <v>0</v>
      </c>
      <c r="BB222" s="9">
        <f>IF($W222=BB$56,FC222*($Q222*$S222)/(1+Voorblad!$K$44)^(BB$56-Voorblad!$F$41),0)</f>
        <v>0</v>
      </c>
      <c r="BC222" s="9">
        <f>IF($W222=BC$56,FD222*($Q222*$S222)/(1+Voorblad!$K$44)^(BC$56-Voorblad!$F$41),0)</f>
        <v>0</v>
      </c>
      <c r="BD222" s="9">
        <f>IF($W222=BD$56,FE222*($Q222*$S222)/(1+Voorblad!$K$44)^(BD$56-Voorblad!$F$41),0)</f>
        <v>0</v>
      </c>
      <c r="BE222" s="9">
        <f>IF($W222=BE$56,FF222*($Q222*$S222)/(1+Voorblad!$K$44)^(BE$56-Voorblad!$F$41),0)</f>
        <v>0</v>
      </c>
      <c r="BF222" s="9">
        <f>IF($W222=BF$56,FG222*($Q222*$S222)/(1+Voorblad!$K$44)^(BF$56-Voorblad!$F$41),0)</f>
        <v>0</v>
      </c>
      <c r="BG222" s="9">
        <f>IF($W222=BG$56,FH222*($Q222*$S222)/(1+Voorblad!$K$44)^(BG$56-Voorblad!$F$41),0)</f>
        <v>0</v>
      </c>
      <c r="BH222" s="9">
        <f>IF($W222=BH$56,FI222*($Q222*$S222)/(1+Voorblad!$K$44)^(BH$56-Voorblad!$F$41),0)</f>
        <v>0</v>
      </c>
      <c r="BI222" s="9">
        <f>IF($W222=BI$56,FJ222*($Q222*$S222)/(1+Voorblad!$K$44)^(BI$56-Voorblad!$F$41),0)</f>
        <v>0</v>
      </c>
      <c r="BJ222" s="9">
        <f>IF($W222=BJ$56,FK222*($Q222*$S222)/(1+Voorblad!$K$44)^(BJ$56-Voorblad!$F$41),0)</f>
        <v>0</v>
      </c>
      <c r="BK222" s="9">
        <f>IF($W222=BK$56,FL222*($Q222*$S222)/(1+Voorblad!$K$44)^(BK$56-Voorblad!$F$41),0)</f>
        <v>0</v>
      </c>
      <c r="BL222" s="9">
        <f>IF($W222=BL$56,FM222*($Q222*$S222)/(1+Voorblad!$K$44)^(BL$56-Voorblad!$F$41),0)</f>
        <v>0</v>
      </c>
      <c r="BM222" s="9">
        <f>IF($W222=BM$56,FN222*($Q222*$S222)/(1+Voorblad!$K$44)^(BM$56-Voorblad!$F$41),0)</f>
        <v>0</v>
      </c>
      <c r="BN222" s="9">
        <f>IF($W222=BN$56,FO222*($Q222*$S222)/(1+Voorblad!$K$44)^(BN$56-Voorblad!$F$41),0)</f>
        <v>0</v>
      </c>
      <c r="BO222" s="9">
        <f>IF($W222=BO$56,FP222*($Q222*$S222)/(1+Voorblad!$K$44)^(BO$56-Voorblad!$F$41),0)</f>
        <v>0</v>
      </c>
      <c r="BP222" s="9">
        <f>IF($W222=BP$56,FQ222*($Q222*$S222)/(1+Voorblad!$K$44)^(BP$56-Voorblad!$F$41),0)</f>
        <v>0</v>
      </c>
      <c r="BQ222" s="9">
        <f>IF($W222=BQ$56,FR222*($Q222*$S222)/(1+Voorblad!$K$44)^(BQ$56-Voorblad!$F$41),0)</f>
        <v>0</v>
      </c>
      <c r="BR222" s="9">
        <f>IF($W222=BR$56,FS222*($Q222*$S222)/(1+Voorblad!$K$44)^(BR$56-Voorblad!$F$41),0)</f>
        <v>0</v>
      </c>
      <c r="BS222" s="9">
        <f>IF($W222=BS$56,FT222*($Q222*$S222)/(1+Voorblad!$K$44)^(BS$56-Voorblad!$F$41),0)</f>
        <v>0</v>
      </c>
      <c r="BT222" s="9">
        <f>IF($W222=BT$56,FU222*($Q222*$S222)/(1+Voorblad!$K$44)^(BT$56-Voorblad!$F$41),0)</f>
        <v>0</v>
      </c>
      <c r="BU222" s="9">
        <f>IF($W222=BU$56,FV222*($Q222*$S222)/(1+Voorblad!$K$44)^(BU$56-Voorblad!$F$41),0)</f>
        <v>0</v>
      </c>
      <c r="BV222" s="9">
        <f>IF($W222=BV$56,FW222*($Q222*$S222)/(1+Voorblad!$K$44)^(BV$56-Voorblad!$F$41),0)</f>
        <v>0</v>
      </c>
      <c r="BW222" s="9">
        <f>IF($W222=BW$56,FX222*($Q222*$S222)/(1+Voorblad!$K$44)^(BW$56-Voorblad!$F$41),0)</f>
        <v>0</v>
      </c>
      <c r="BX222" s="9">
        <f>IF($W222=BX$56,FY222*($Q222*$S222)/(1+Voorblad!$K$44)^(BX$56-Voorblad!$F$41),0)</f>
        <v>0</v>
      </c>
      <c r="BY222" s="9">
        <f>IF($W222=BY$56,FZ222*($Q222*$S222)/(1+Voorblad!$K$44)^(BY$56-Voorblad!$F$41),0)</f>
        <v>0</v>
      </c>
      <c r="BZ222" s="9">
        <f>IF($W222=BZ$56,GA222*($Q222*$S222)/(1+Voorblad!$K$44)^(BZ$56-Voorblad!$F$41),0)</f>
        <v>0</v>
      </c>
      <c r="CA222" s="9">
        <f>IF($W222=CA$56,GB222*($Q222*$S222)/(1+Voorblad!$K$44)^(CA$56-Voorblad!$F$41),0)</f>
        <v>0</v>
      </c>
      <c r="CB222" s="9">
        <f>IF($W222=CB$56,GC222*($Q222*$S222)/(1+Voorblad!$K$44)^(CB$56-Voorblad!$F$41),0)</f>
        <v>0</v>
      </c>
      <c r="CC222" s="9">
        <f>IF($W222=CC$56,GD222*($Q222*$S222)/(1+Voorblad!$K$44)^(CC$56-Voorblad!$F$41),0)</f>
        <v>0</v>
      </c>
      <c r="CD222" s="9">
        <f>IF($W222=CD$56,GE222*($Q222*$S222)/(1+Voorblad!$K$44)^(CD$56-Voorblad!$F$41),0)</f>
        <v>0</v>
      </c>
      <c r="CE222" s="9">
        <f>IF($W222=CE$56,GF222*($Q222*$S222)/(1+Voorblad!$K$44)^(CE$56-Voorblad!$F$41),0)</f>
        <v>0</v>
      </c>
      <c r="CF222" s="9">
        <f>IF($W222=CF$56,GG222*($Q222*$S222)/(1+Voorblad!$K$44)^(CF$56-Voorblad!$F$41),0)</f>
        <v>0</v>
      </c>
      <c r="CG222" s="9">
        <f>IF($W222=CG$56,GH222*($Q222*$S222)/(1+Voorblad!$K$44)^(CG$56-Voorblad!$F$41),0)</f>
        <v>0</v>
      </c>
      <c r="CH222" s="9">
        <f>IF($W222=CH$56,GI222*($Q222*$S222)/(1+Voorblad!$K$44)^(CH$56-Voorblad!$F$41),0)</f>
        <v>0</v>
      </c>
      <c r="CI222" s="9">
        <f>IF($W222=CI$56,GJ222*($Q222*$S222)/(1+Voorblad!$K$44)^(CI$56-Voorblad!$F$41),0)</f>
        <v>0</v>
      </c>
      <c r="CJ222" s="9">
        <f>IF($W222=CJ$56,GK222*($Q222*$S222)/(1+Voorblad!$K$44)^(CJ$56-Voorblad!$F$41),0)</f>
        <v>0</v>
      </c>
      <c r="CK222" s="9">
        <f>IF($W222=CK$56,GL222*($Q222*$S222)/(1+Voorblad!$K$44)^(CK$56-Voorblad!$F$41),0)</f>
        <v>0</v>
      </c>
      <c r="CL222" s="9">
        <f>IF($W222=CL$56,GM222*($Q222*$S222)/(1+Voorblad!$K$44)^(CL$56-Voorblad!$F$41),0)</f>
        <v>0</v>
      </c>
      <c r="CM222" s="9">
        <f>IF($W222=CM$56,GN222*($Q222*$S222)/(1+Voorblad!$K$44)^(CM$56-Voorblad!$F$41),0)</f>
        <v>0</v>
      </c>
      <c r="CN222" s="9">
        <f>IF($W222=CN$56,GO222*($Q222*$S222)/(1+Voorblad!$K$44)^(CN$56-Voorblad!$F$41),0)</f>
        <v>0</v>
      </c>
      <c r="CO222" s="9">
        <f>IF($W222=CO$56,GP222*($Q222*$S222)/(1+Voorblad!$K$44)^(CO$56-Voorblad!$F$41),0)</f>
        <v>0</v>
      </c>
      <c r="CP222" s="9">
        <f>IF($W222=CP$56,GQ222*($Q222*$S222)/(1+Voorblad!$K$44)^(CP$56-Voorblad!$F$41),0)</f>
        <v>0</v>
      </c>
      <c r="CQ222" s="9">
        <f>IF($W222=CQ$56,GR222*($Q222*$S222)/(1+Voorblad!$K$44)^(CQ$56-Voorblad!$F$41),0)</f>
        <v>0</v>
      </c>
      <c r="CR222" s="9">
        <f>IF($W222=CR$56,GS222*($Q222*$S222)/(1+Voorblad!$K$44)^(CR$56-Voorblad!$F$41),0)</f>
        <v>0</v>
      </c>
      <c r="CS222" s="9">
        <f>IF($W222=CS$56,GT222*($Q222*$S222)/(1+Voorblad!$K$44)^(CS$56-Voorblad!$F$41),0)</f>
        <v>0</v>
      </c>
      <c r="CT222" s="9">
        <f>IF($W222=CT$56,GU222*($Q222*$S222)/(1+Voorblad!$K$44)^(CT$56-Voorblad!$F$41),0)</f>
        <v>0</v>
      </c>
      <c r="CU222" s="9">
        <f>IF($W222=CU$56,GV222*($Q222*$S222)/(1+Voorblad!$K$44)^(CU$56-Voorblad!$F$41),0)</f>
        <v>0</v>
      </c>
      <c r="CV222" s="9">
        <f>IF($W222=CV$56,GW222*($Q222*$S222)/(1+Voorblad!$K$44)^(CV$56-Voorblad!$F$41),0)</f>
        <v>0</v>
      </c>
      <c r="CW222" s="9">
        <f>IF($W222=CW$56,GX222*($Q222*$S222)/(1+Voorblad!$K$44)^(CW$56-Voorblad!$F$41),0)</f>
        <v>0</v>
      </c>
      <c r="CX222" s="9">
        <f>IF($W222=CX$56,GY222*($Q222*$S222)/(1+Voorblad!$K$44)^(CX$56-Voorblad!$F$41),0)</f>
        <v>0</v>
      </c>
      <c r="CY222" s="9">
        <f>IF($W222=CY$56,GZ222*($Q222*$S222)/(1+Voorblad!$K$44)^(CY$56-Voorblad!$F$41),0)</f>
        <v>0</v>
      </c>
      <c r="CZ222" s="9">
        <f>IF($W222=CZ$56,HA222*($Q222*$S222)/(1+Voorblad!$K$44)^(CZ$56-Voorblad!$F$41),0)</f>
        <v>0</v>
      </c>
      <c r="DA222" s="9">
        <f>IF($W222=DA$56,HB222*($Q222*$S222)/(1+Voorblad!$K$44)^(DA$56-Voorblad!$F$41),0)</f>
        <v>0</v>
      </c>
      <c r="DB222" s="9">
        <f>IF($W222=DB$56,HC222*($Q222*$S222)/(1+Voorblad!$K$44)^(DB$56-Voorblad!$F$41),0)</f>
        <v>0</v>
      </c>
      <c r="DC222" s="9">
        <f>IF($W222=DC$56,HD222*($Q222*$S222)/(1+Voorblad!$K$44)^(DC$56-Voorblad!$F$41),0)</f>
        <v>0</v>
      </c>
      <c r="DD222" s="9">
        <f>IF($W222=DD$56,HE222*($Q222*$S222)/(1+Voorblad!$K$44)^(DD$56-Voorblad!$F$41),0)</f>
        <v>0</v>
      </c>
      <c r="DE222" s="9">
        <f>IF($W222=DE$56,HF222*($Q222*$S222)/(1+Voorblad!$K$44)^(DE$56-Voorblad!$F$41),0)</f>
        <v>0</v>
      </c>
      <c r="DF222" s="9">
        <f>IF($W222=DF$56,HG222*($Q222*$S222)/(1+Voorblad!$K$44)^(DF$56-Voorblad!$F$41),0)</f>
        <v>0</v>
      </c>
      <c r="DG222" s="9">
        <f>IF($W222=DG$56,HH222*($Q222*$S222)/(1+Voorblad!$K$44)^(DG$56-Voorblad!$F$41),0)</f>
        <v>0</v>
      </c>
      <c r="DH222" s="9">
        <f>IF($W222=DH$56,HI222*($Q222*$S222)/(1+Voorblad!$K$44)^(DH$56-Voorblad!$F$41),0)</f>
        <v>0</v>
      </c>
      <c r="DI222" s="9">
        <f>IF($W222=DI$56,HJ222*($Q222*$S222)/(1+Voorblad!$K$44)^(DI$56-Voorblad!$F$41),0)</f>
        <v>0</v>
      </c>
      <c r="DJ222" s="9">
        <f>IF($W222=DJ$56,HK222*($Q222*$S222)/(1+Voorblad!$K$44)^(DJ$56-Voorblad!$F$41),0)</f>
        <v>0</v>
      </c>
      <c r="DK222" s="9">
        <f>IF($W222=DK$56,HL222*($Q222*$S222)/(1+Voorblad!$K$44)^(DK$56-Voorblad!$F$41),0)</f>
        <v>0</v>
      </c>
      <c r="DL222" s="9">
        <f>IF($W222=DL$56,HM222*($Q222*$S222)/(1+Voorblad!$K$44)^(DL$56-Voorblad!$F$41),0)</f>
        <v>0</v>
      </c>
      <c r="DM222" s="9">
        <f>IF($W222=DM$56,HN222*($Q222*$S222)/(1+Voorblad!$K$44)^(DM$56-Voorblad!$F$41),0)</f>
        <v>0</v>
      </c>
      <c r="DN222" s="9">
        <f>IF($W222=DN$56,HO222*($Q222*$S222)/(1+Voorblad!$K$44)^(DN$56-Voorblad!$F$41),0)</f>
        <v>0</v>
      </c>
      <c r="DO222" s="9">
        <f>IF($W222=DO$56,HP222*($Q222*$S222)/(1+Voorblad!$K$44)^(DO$56-Voorblad!$F$41),0)</f>
        <v>0</v>
      </c>
      <c r="DP222" s="9">
        <f>IF($W222=DP$56,HQ222*($Q222*$S222)/(1+Voorblad!$K$44)^(DP$56-Voorblad!$F$41),0)</f>
        <v>0</v>
      </c>
      <c r="DQ222" s="9">
        <f>IF($W222=DQ$56,HR222*($Q222*$S222)/(1+Voorblad!$K$44)^(DQ$56-Voorblad!$F$41),0)</f>
        <v>0</v>
      </c>
      <c r="DR222" s="9">
        <f>IF($W222=DR$56,HS222*($Q222*$S222)/(1+Voorblad!$K$44)^(DR$56-Voorblad!$F$41),0)</f>
        <v>0</v>
      </c>
      <c r="DS222" s="9">
        <f>IF($W222=DS$56,HT222*($Q222*$S222)/(1+Voorblad!$K$44)^(DS$56-Voorblad!$F$41),0)</f>
        <v>0</v>
      </c>
      <c r="DT222" s="9">
        <f>IF($W222=DT$56,HU222*($Q222*$S222)/(1+Voorblad!$K$44)^(DT$56-Voorblad!$F$41),0)</f>
        <v>0</v>
      </c>
      <c r="DU222" s="9">
        <f>IF($W222=DU$56,HV222*($Q222*$S222)/(1+Voorblad!$K$44)^(DU$56-Voorblad!$F$41),0)</f>
        <v>0</v>
      </c>
      <c r="DV222" s="9">
        <f>IF($W222=DV$56,HW222*($Q222*$S222)/(1+Voorblad!$K$44)^(DV$56-Voorblad!$F$41),0)</f>
        <v>0</v>
      </c>
      <c r="DW222" s="9">
        <f>IF($W222=DW$56,HX222*($Q222*$S222)/(1+Voorblad!$K$44)^(DW$56-Voorblad!$F$41),0)</f>
        <v>0</v>
      </c>
      <c r="DX222" s="9">
        <f>IF($W222=DX$56,HY222*($Q222*$S222)/(1+Voorblad!$K$44)^(DX$56-Voorblad!$F$41),0)</f>
        <v>0</v>
      </c>
      <c r="DY222" s="9">
        <f>IF($W222=DY$56,HZ222*($Q222*$S222)/(1+Voorblad!$K$44)^(DY$56-Voorblad!$F$41),0)</f>
        <v>0</v>
      </c>
      <c r="DZ222" s="9">
        <f>IF($W222=DZ$56,IA222*($Q222*$S222)/(1+Voorblad!$K$44)^(DZ$56-Voorblad!$F$41),0)</f>
        <v>0</v>
      </c>
      <c r="EA222" s="9">
        <f>IF($W222=EA$56,IB222*($Q222*$S222)/(1+Voorblad!$K$44)^(EA$56-Voorblad!$F$41),0)</f>
        <v>0</v>
      </c>
      <c r="EB222" s="9">
        <f>IF($W222=EB$56,IC222*($Q222*$S222)/(1+Voorblad!$K$44)^(EB$56-Voorblad!$F$41),0)</f>
        <v>0</v>
      </c>
      <c r="EE222" s="8">
        <v>0</v>
      </c>
      <c r="EF222" s="8">
        <f>IF(EF$56-Voorblad!$F$41&gt;Voorblad!$K$41,0,IF($U222=0,0,IF($U222&lt;1,1/$U222,IF((EF$56-Voorblad!$F$41)/$U222-SUM($EE222:EE222)=1,1,0))))</f>
        <v>0</v>
      </c>
      <c r="EG222" s="8">
        <f>IF(EG$56-Voorblad!$F$41&gt;Voorblad!$K$41,0,IF($U222=0,0,IF($U222&lt;1,1/$U222,IF((EG$56-Voorblad!$F$41)/$U222-SUM($EE222:EF222)=1,1,0))))</f>
        <v>1</v>
      </c>
      <c r="EH222" s="8">
        <f>IF(EH$56-Voorblad!$F$41&gt;Voorblad!$K$41,0,IF($U222=0,0,IF($U222&lt;1,1/$U222,IF((EH$56-Voorblad!$F$41)/$U222-SUM($EE222:EG222)=1,1,0))))</f>
        <v>1</v>
      </c>
      <c r="EI222" s="8">
        <f>IF(EI$56-Voorblad!$F$41&gt;Voorblad!$K$41,0,IF($U222=0,0,IF($U222&lt;1,1/$U222,IF((EI$56-Voorblad!$F$41)/$U222-SUM($EE222:EH222)=1,1,0))))</f>
        <v>1</v>
      </c>
      <c r="EJ222" s="8">
        <f>IF(EJ$56-Voorblad!$F$41&gt;Voorblad!$K$41,0,IF($U222=0,0,IF($U222&lt;1,1/$U222,IF((EJ$56-Voorblad!$F$41)/$U222-SUM($EE222:EI222)=1,1,0))))</f>
        <v>1</v>
      </c>
      <c r="EK222" s="8">
        <f>IF(EK$56-Voorblad!$F$41&gt;Voorblad!$K$41,0,IF($U222=0,0,IF($U222&lt;1,1/$U222,IF((EK$56-Voorblad!$F$41)/$U222-SUM($EE222:EJ222)=1,1,0))))</f>
        <v>1</v>
      </c>
      <c r="EL222" s="8">
        <f>IF(EL$56-Voorblad!$F$41&gt;Voorblad!$K$41,0,IF($U222=0,0,IF($U222&lt;1,1/$U222,IF((EL$56-Voorblad!$F$41)/$U222-SUM($EE222:EK222)=1,1,0))))</f>
        <v>1</v>
      </c>
      <c r="EM222" s="8">
        <f>IF(EM$56-Voorblad!$F$41&gt;Voorblad!$K$41,0,IF($U222=0,0,IF($U222&lt;1,1/$U222,IF((EM$56-Voorblad!$F$41)/$U222-SUM($EE222:EL222)=1,1,0))))</f>
        <v>1</v>
      </c>
      <c r="EN222" s="8">
        <f>IF(EN$56-Voorblad!$F$41&gt;Voorblad!$K$41,0,IF($U222=0,0,IF($U222&lt;1,1/$U222,IF((EN$56-Voorblad!$F$41)/$U222-SUM($EE222:EM222)=1,1,0))))</f>
        <v>1</v>
      </c>
      <c r="EO222" s="8">
        <f>IF(EO$56-Voorblad!$F$41&gt;Voorblad!$K$41,0,IF($U222=0,0,IF($U222&lt;1,1/$U222,IF((EO$56-Voorblad!$F$41)/$U222-SUM($EE222:EN222)=1,1,0))))</f>
        <v>1</v>
      </c>
      <c r="EP222" s="8">
        <f>IF(EP$56-Voorblad!$F$41&gt;Voorblad!$K$41,0,IF($U222=0,0,IF($U222&lt;1,1/$U222,IF((EP$56-Voorblad!$F$41)/$U222-SUM($EE222:EO222)=1,1,0))))</f>
        <v>1</v>
      </c>
      <c r="EQ222" s="8">
        <f>IF(EQ$56-Voorblad!$F$41&gt;Voorblad!$K$41,0,IF($U222=0,0,IF($U222&lt;1,1/$U222,IF((EQ$56-Voorblad!$F$41)/$U222-SUM($EE222:EP222)=1,1,0))))</f>
        <v>1</v>
      </c>
      <c r="ER222" s="8">
        <f>IF(ER$56-Voorblad!$F$41&gt;Voorblad!$K$41,0,IF($U222=0,0,IF($U222&lt;1,1/$U222,IF((ER$56-Voorblad!$F$41)/$U222-SUM($EE222:EQ222)=1,1,0))))</f>
        <v>1</v>
      </c>
      <c r="ES222" s="8">
        <f>IF(ES$56-Voorblad!$F$41&gt;Voorblad!$K$41,0,IF($U222=0,0,IF($U222&lt;1,1/$U222,IF((ES$56-Voorblad!$F$41)/$U222-SUM($EE222:ER222)=1,1,0))))</f>
        <v>1</v>
      </c>
      <c r="ET222" s="8">
        <f>IF(ET$56-Voorblad!$F$41&gt;Voorblad!$K$41,0,IF($U222=0,0,IF($U222&lt;1,1/$U222,IF((ET$56-Voorblad!$F$41)/$U222-SUM($EE222:ES222)=1,1,0))))</f>
        <v>1</v>
      </c>
      <c r="EU222" s="8">
        <f>IF(EU$56-Voorblad!$F$41&gt;Voorblad!$K$41,0,IF($U222=0,0,IF($U222&lt;1,1/$U222,IF((EU$56-Voorblad!$F$41)/$U222-SUM($EE222:ET222)=1,1,0))))</f>
        <v>1</v>
      </c>
      <c r="EV222" s="8">
        <f>IF(EV$56-Voorblad!$F$41&gt;Voorblad!$K$41,0,IF($U222=0,0,IF($U222&lt;1,1/$U222,IF((EV$56-Voorblad!$F$41)/$U222-SUM($EE222:EU222)=1,1,0))))</f>
        <v>1</v>
      </c>
      <c r="EW222" s="8">
        <f>IF(EW$56-Voorblad!$F$41&gt;Voorblad!$K$41,0,IF($U222=0,0,IF($U222&lt;1,1/$U222,IF((EW$56-Voorblad!$F$41)/$U222-SUM($EE222:EV222)=1,1,0))))</f>
        <v>1</v>
      </c>
      <c r="EX222" s="8">
        <f>IF(EX$56-Voorblad!$F$41&gt;Voorblad!$K$41,0,IF($U222=0,0,IF($U222&lt;1,1/$U222,IF((EX$56-Voorblad!$F$41)/$U222-SUM($EE222:EW222)=1,1,0))))</f>
        <v>1</v>
      </c>
      <c r="EY222" s="8">
        <f>IF(EY$56-Voorblad!$F$41&gt;Voorblad!$K$41,0,IF($U222=0,0,IF($U222&lt;1,1/$U222,IF((EY$56-Voorblad!$F$41)/$U222-SUM($EE222:EX222)=1,1,0))))</f>
        <v>1</v>
      </c>
      <c r="EZ222" s="8">
        <f>IF(EZ$56-Voorblad!$F$41&gt;Voorblad!$K$41,0,IF($U222=0,0,IF($U222&lt;1,1/$U222,IF((EZ$56-Voorblad!$F$41)/$U222-SUM($EE222:EY222)=1,1,0))))</f>
        <v>1</v>
      </c>
      <c r="FA222" s="8">
        <f>IF(FA$56-Voorblad!$F$41&gt;Voorblad!$K$41,0,IF($U222=0,0,IF($U222&lt;1,1/$U222,IF((FA$56-Voorblad!$F$41)/$U222-SUM($EE222:EZ222)=1,1,0))))</f>
        <v>1</v>
      </c>
      <c r="FB222" s="8">
        <f>IF(FB$56-Voorblad!$F$41&gt;Voorblad!$K$41,0,IF($U222=0,0,IF($U222&lt;1,1/$U222,IF((FB$56-Voorblad!$F$41)/$U222-SUM($EE222:FA222)=1,1,0))))</f>
        <v>1</v>
      </c>
      <c r="FC222" s="8">
        <f>IF(FC$56-Voorblad!$F$41&gt;Voorblad!$K$41,0,IF($U222=0,0,IF($U222&lt;1,1/$U222,IF((FC$56-Voorblad!$F$41)/$U222-SUM($EE222:FB222)=1,1,0))))</f>
        <v>1</v>
      </c>
      <c r="FD222" s="8">
        <f>IF(FD$56-Voorblad!$F$41&gt;Voorblad!$K$41,0,IF($U222=0,0,IF($U222&lt;1,1/$U222,IF((FD$56-Voorblad!$F$41)/$U222-SUM($EE222:FC222)=1,1,0))))</f>
        <v>1</v>
      </c>
      <c r="FE222" s="8">
        <f>IF(FE$56-Voorblad!$F$41&gt;Voorblad!$K$41,0,IF($U222=0,0,IF($U222&lt;1,1/$U222,IF((FE$56-Voorblad!$F$41)/$U222-SUM($EE222:FD222)=1,1,0))))</f>
        <v>1</v>
      </c>
      <c r="FF222" s="8">
        <f>IF(FF$56-Voorblad!$F$41&gt;Voorblad!$K$41,0,IF($U222=0,0,IF($U222&lt;1,1/$U222,IF((FF$56-Voorblad!$F$41)/$U222-SUM($EE222:FE222)=1,1,0))))</f>
        <v>1</v>
      </c>
      <c r="FG222" s="8">
        <f>IF(FG$56-Voorblad!$F$41&gt;Voorblad!$K$41,0,IF($U222=0,0,IF($U222&lt;1,1/$U222,IF((FG$56-Voorblad!$F$41)/$U222-SUM($EE222:FF222)=1,1,0))))</f>
        <v>1</v>
      </c>
      <c r="FH222" s="8">
        <f>IF(FH$56-Voorblad!$F$41&gt;Voorblad!$K$41,0,IF($U222=0,0,IF($U222&lt;1,1/$U222,IF((FH$56-Voorblad!$F$41)/$U222-SUM($EE222:FG222)=1,1,0))))</f>
        <v>1</v>
      </c>
      <c r="FI222" s="8">
        <f>IF(FI$56-Voorblad!$F$41&gt;Voorblad!$K$41,0,IF($U222=0,0,IF($U222&lt;1,1/$U222,IF((FI$56-Voorblad!$F$41)/$U222-SUM($EE222:FH222)=1,1,0))))</f>
        <v>1</v>
      </c>
      <c r="FJ222" s="8">
        <f>IF(FJ$56-Voorblad!$F$41&gt;Voorblad!$K$41,0,IF($U222=0,0,IF($U222&lt;1,1/$U222,IF((FJ$56-Voorblad!$F$41)/$U222-SUM($EE222:FI222)=1,1,0))))</f>
        <v>1</v>
      </c>
      <c r="FK222" s="8">
        <f>IF(FK$56-Voorblad!$F$41&gt;Voorblad!$K$41,0,IF($U222=0,0,IF($U222&lt;1,1/$U222,IF((FK$56-Voorblad!$F$41)/$U222-SUM($EE222:FJ222)=1,1,0))))</f>
        <v>1</v>
      </c>
      <c r="FL222" s="8">
        <f>IF(FL$56-Voorblad!$F$41&gt;Voorblad!$K$41,0,IF($U222=0,0,IF($U222&lt;1,1/$U222,IF((FL$56-Voorblad!$F$41)/$U222-SUM($EE222:FK222)=1,1,0))))</f>
        <v>1</v>
      </c>
      <c r="FM222" s="8">
        <f>IF(FM$56-Voorblad!$F$41&gt;Voorblad!$K$41,0,IF($U222=0,0,IF($U222&lt;1,1/$U222,IF((FM$56-Voorblad!$F$41)/$U222-SUM($EE222:FL222)=1,1,0))))</f>
        <v>1</v>
      </c>
      <c r="FN222" s="8">
        <f>IF(FN$56-Voorblad!$F$41&gt;Voorblad!$K$41,0,IF($U222=0,0,IF($U222&lt;1,1/$U222,IF((FN$56-Voorblad!$F$41)/$U222-SUM($EE222:FM222)=1,1,0))))</f>
        <v>1</v>
      </c>
      <c r="FO222" s="8">
        <f>IF(FO$56-Voorblad!$F$41&gt;Voorblad!$K$41,0,IF($U222=0,0,IF($U222&lt;1,1/$U222,IF((FO$56-Voorblad!$F$41)/$U222-SUM($EE222:FN222)=1,1,0))))</f>
        <v>1</v>
      </c>
      <c r="FP222" s="8">
        <f>IF(FP$56-Voorblad!$F$41&gt;Voorblad!$K$41,0,IF($U222=0,0,IF($U222&lt;1,1/$U222,IF((FP$56-Voorblad!$F$41)/$U222-SUM($EE222:FO222)=1,1,0))))</f>
        <v>1</v>
      </c>
      <c r="FQ222" s="8">
        <f>IF(FQ$56-Voorblad!$F$41&gt;Voorblad!$K$41,0,IF($U222=0,0,IF($U222&lt;1,1/$U222,IF((FQ$56-Voorblad!$F$41)/$U222-SUM($EE222:FP222)=1,1,0))))</f>
        <v>1</v>
      </c>
      <c r="FR222" s="8">
        <f>IF(FR$56-Voorblad!$F$41&gt;Voorblad!$K$41,0,IF($U222=0,0,IF($U222&lt;1,1/$U222,IF((FR$56-Voorblad!$F$41)/$U222-SUM($EE222:FQ222)=1,1,0))))</f>
        <v>1</v>
      </c>
      <c r="FS222" s="8">
        <f>IF(FS$56-Voorblad!$F$41&gt;Voorblad!$K$41,0,IF($U222=0,0,IF($U222&lt;1,1/$U222,IF((FS$56-Voorblad!$F$41)/$U222-SUM($EE222:FR222)=1,1,0))))</f>
        <v>1</v>
      </c>
      <c r="FT222" s="8">
        <f>IF(FT$56-Voorblad!$F$41&gt;Voorblad!$K$41,0,IF($U222=0,0,IF($U222&lt;1,1/$U222,IF((FT$56-Voorblad!$F$41)/$U222-SUM($EE222:FS222)=1,1,0))))</f>
        <v>1</v>
      </c>
      <c r="FU222" s="8">
        <f>IF(FU$56-Voorblad!$F$41&gt;Voorblad!$K$41,0,IF($U222=0,0,IF($U222&lt;1,1/$U222,IF((FU$56-Voorblad!$F$41)/$U222-SUM($EE222:FT222)=1,1,0))))</f>
        <v>1</v>
      </c>
      <c r="FV222" s="8">
        <f>IF(FV$56-Voorblad!$F$41&gt;Voorblad!$K$41,0,IF($U222=0,0,IF($U222&lt;1,1/$U222,IF((FV$56-Voorblad!$F$41)/$U222-SUM($EE222:FU222)=1,1,0))))</f>
        <v>1</v>
      </c>
      <c r="FW222" s="8">
        <f>IF(FW$56-Voorblad!$F$41&gt;Voorblad!$K$41,0,IF($U222=0,0,IF($U222&lt;1,1/$U222,IF((FW$56-Voorblad!$F$41)/$U222-SUM($EE222:FV222)=1,1,0))))</f>
        <v>1</v>
      </c>
      <c r="FX222" s="8">
        <f>IF(FX$56-Voorblad!$F$41&gt;Voorblad!$K$41,0,IF($U222=0,0,IF($U222&lt;1,1/$U222,IF((FX$56-Voorblad!$F$41)/$U222-SUM($EE222:FW222)=1,1,0))))</f>
        <v>1</v>
      </c>
      <c r="FY222" s="8">
        <f>IF(FY$56-Voorblad!$F$41&gt;Voorblad!$K$41,0,IF($U222=0,0,IF($U222&lt;1,1/$U222,IF((FY$56-Voorblad!$F$41)/$U222-SUM($EE222:FX222)=1,1,0))))</f>
        <v>1</v>
      </c>
      <c r="FZ222" s="8">
        <f>IF(FZ$56-Voorblad!$F$41&gt;Voorblad!$K$41,0,IF($U222=0,0,IF($U222&lt;1,1/$U222,IF((FZ$56-Voorblad!$F$41)/$U222-SUM($EE222:FY222)=1,1,0))))</f>
        <v>1</v>
      </c>
      <c r="GA222" s="8">
        <f>IF(GA$56-Voorblad!$F$41&gt;Voorblad!$K$41,0,IF($U222=0,0,IF($U222&lt;1,1/$U222,IF((GA$56-Voorblad!$F$41)/$U222-SUM($EE222:FZ222)=1,1,0))))</f>
        <v>1</v>
      </c>
      <c r="GB222" s="8">
        <f>IF(GB$56-Voorblad!$F$41&gt;Voorblad!$K$41,0,IF($U222=0,0,IF($U222&lt;1,1/$U222,IF((GB$56-Voorblad!$F$41)/$U222-SUM($EE222:GA222)=1,1,0))))</f>
        <v>1</v>
      </c>
      <c r="GC222" s="8">
        <f>IF(GC$56-Voorblad!$F$41&gt;Voorblad!$K$41,0,IF($U222=0,0,IF($U222&lt;1,1/$U222,IF((GC$56-Voorblad!$F$41)/$U222-SUM($EE222:GB222)=1,1,0))))</f>
        <v>1</v>
      </c>
      <c r="GD222" s="8">
        <f>IF(GD$56-Voorblad!$F$41&gt;Voorblad!$K$41,0,IF($U222=0,0,IF($U222&lt;1,1/$U222,IF((GD$56-Voorblad!$F$41)/$U222-SUM($EE222:GC222)=1,1,0))))</f>
        <v>1</v>
      </c>
      <c r="GE222" s="8">
        <f>IF(GE$56-Voorblad!$F$41&gt;Voorblad!$K$41,0,IF($U222=0,0,IF($U222&lt;1,1/$U222,IF((GE$56-Voorblad!$F$41)/$U222-SUM($EE222:GD222)=1,1,0))))</f>
        <v>1</v>
      </c>
      <c r="GF222" s="8">
        <f>IF(GF$56-Voorblad!$F$41&gt;Voorblad!$K$41,0,IF($U222=0,0,IF($U222&lt;1,1/$U222,IF((GF$56-Voorblad!$F$41)/$U222-SUM($EE222:GE222)=1,1,0))))</f>
        <v>1</v>
      </c>
      <c r="GG222" s="8">
        <f>IF(GG$56-Voorblad!$F$41&gt;Voorblad!$K$41,0,IF($U222=0,0,IF($U222&lt;1,1/$U222,IF((GG$56-Voorblad!$F$41)/$U222-SUM($EE222:GF222)=1,1,0))))</f>
        <v>1</v>
      </c>
      <c r="GH222" s="8">
        <f>IF(GH$56-Voorblad!$F$41&gt;Voorblad!$K$41,0,IF($U222=0,0,IF($U222&lt;1,1/$U222,IF((GH$56-Voorblad!$F$41)/$U222-SUM($EE222:GG222)=1,1,0))))</f>
        <v>1</v>
      </c>
      <c r="GI222" s="8">
        <f>IF(GI$56-Voorblad!$F$41&gt;Voorblad!$K$41,0,IF($U222=0,0,IF($U222&lt;1,1/$U222,IF((GI$56-Voorblad!$F$41)/$U222-SUM($EE222:GH222)=1,1,0))))</f>
        <v>1</v>
      </c>
      <c r="GJ222" s="8">
        <f>IF(GJ$56-Voorblad!$F$41&gt;Voorblad!$K$41,0,IF($U222=0,0,IF($U222&lt;1,1/$U222,IF((GJ$56-Voorblad!$F$41)/$U222-SUM($EE222:GI222)=1,1,0))))</f>
        <v>1</v>
      </c>
      <c r="GK222" s="8">
        <f>IF(GK$56-Voorblad!$F$41&gt;Voorblad!$K$41,0,IF($U222=0,0,IF($U222&lt;1,1/$U222,IF((GK$56-Voorblad!$F$41)/$U222-SUM($EE222:GJ222)=1,1,0))))</f>
        <v>1</v>
      </c>
      <c r="GL222" s="8">
        <f>IF(GL$56-Voorblad!$F$41&gt;Voorblad!$K$41,0,IF($U222=0,0,IF($U222&lt;1,1/$U222,IF((GL$56-Voorblad!$F$41)/$U222-SUM($EE222:GK222)=1,1,0))))</f>
        <v>1</v>
      </c>
      <c r="GM222" s="8">
        <f>IF(GM$56-Voorblad!$F$41&gt;Voorblad!$K$41,0,IF($U222=0,0,IF($U222&lt;1,1/$U222,IF((GM$56-Voorblad!$F$41)/$U222-SUM($EE222:GL222)=1,1,0))))</f>
        <v>1</v>
      </c>
      <c r="GN222" s="8">
        <f>IF(GN$56-Voorblad!$F$41&gt;Voorblad!$K$41,0,IF($U222=0,0,IF($U222&lt;1,1/$U222,IF((GN$56-Voorblad!$F$41)/$U222-SUM($EE222:GM222)=1,1,0))))</f>
        <v>1</v>
      </c>
      <c r="GO222" s="8">
        <f>IF(GO$56-Voorblad!$F$41&gt;Voorblad!$K$41,0,IF($U222=0,0,IF($U222&lt;1,1/$U222,IF((GO$56-Voorblad!$F$41)/$U222-SUM($EE222:GN222)=1,1,0))))</f>
        <v>1</v>
      </c>
      <c r="GP222" s="8">
        <f>IF(GP$56-Voorblad!$F$41&gt;Voorblad!$K$41,0,IF($U222=0,0,IF($U222&lt;1,1/$U222,IF((GP$56-Voorblad!$F$41)/$U222-SUM($EE222:GO222)=1,1,0))))</f>
        <v>1</v>
      </c>
      <c r="GQ222" s="8">
        <f>IF(GQ$56-Voorblad!$F$41&gt;Voorblad!$K$41,0,IF($U222=0,0,IF($U222&lt;1,1/$U222,IF((GQ$56-Voorblad!$F$41)/$U222-SUM($EE222:GP222)=1,1,0))))</f>
        <v>1</v>
      </c>
      <c r="GR222" s="8">
        <f>IF(GR$56-Voorblad!$F$41&gt;Voorblad!$K$41,0,IF($U222=0,0,IF($U222&lt;1,1/$U222,IF((GR$56-Voorblad!$F$41)/$U222-SUM($EE222:GQ222)=1,1,0))))</f>
        <v>1</v>
      </c>
      <c r="GS222" s="8">
        <f>IF(GS$56-Voorblad!$F$41&gt;Voorblad!$K$41,0,IF($U222=0,0,IF($U222&lt;1,1/$U222,IF((GS$56-Voorblad!$F$41)/$U222-SUM($EE222:GR222)=1,1,0))))</f>
        <v>1</v>
      </c>
      <c r="GT222" s="8">
        <f>IF(GT$56-Voorblad!$F$41&gt;Voorblad!$K$41,0,IF($U222=0,0,IF($U222&lt;1,1/$U222,IF((GT$56-Voorblad!$F$41)/$U222-SUM($EE222:GS222)=1,1,0))))</f>
        <v>1</v>
      </c>
      <c r="GU222" s="8">
        <f>IF(GU$56-Voorblad!$F$41&gt;Voorblad!$K$41,0,IF($U222=0,0,IF($U222&lt;1,1/$U222,IF((GU$56-Voorblad!$F$41)/$U222-SUM($EE222:GT222)=1,1,0))))</f>
        <v>1</v>
      </c>
      <c r="GV222" s="8">
        <f>IF(GV$56-Voorblad!$F$41&gt;Voorblad!$K$41,0,IF($U222=0,0,IF($U222&lt;1,1/$U222,IF((GV$56-Voorblad!$F$41)/$U222-SUM($EE222:GU222)=1,1,0))))</f>
        <v>1</v>
      </c>
      <c r="GW222" s="8">
        <f>IF(GW$56-Voorblad!$F$41&gt;Voorblad!$K$41,0,IF($U222=0,0,IF($U222&lt;1,1/$U222,IF((GW$56-Voorblad!$F$41)/$U222-SUM($EE222:GV222)=1,1,0))))</f>
        <v>1</v>
      </c>
      <c r="GX222" s="8">
        <f>IF(GX$56-Voorblad!$F$41&gt;Voorblad!$K$41,0,IF($U222=0,0,IF($U222&lt;1,1/$U222,IF((GX$56-Voorblad!$F$41)/$U222-SUM($EE222:GW222)=1,1,0))))</f>
        <v>1</v>
      </c>
      <c r="GY222" s="8">
        <f>IF(GY$56-Voorblad!$F$41&gt;Voorblad!$K$41,0,IF($U222=0,0,IF($U222&lt;1,1/$U222,IF((GY$56-Voorblad!$F$41)/$U222-SUM($EE222:GX222)=1,1,0))))</f>
        <v>1</v>
      </c>
      <c r="GZ222" s="8">
        <f>IF(GZ$56-Voorblad!$F$41&gt;Voorblad!$K$41,0,IF($U222=0,0,IF($U222&lt;1,1/$U222,IF((GZ$56-Voorblad!$F$41)/$U222-SUM($EE222:GY222)=1,1,0))))</f>
        <v>1</v>
      </c>
      <c r="HA222" s="8">
        <f>IF(HA$56-Voorblad!$F$41&gt;Voorblad!$K$41,0,IF($U222=0,0,IF($U222&lt;1,1/$U222,IF((HA$56-Voorblad!$F$41)/$U222-SUM($EE222:GZ222)=1,1,0))))</f>
        <v>1</v>
      </c>
      <c r="HB222" s="8">
        <f>IF(HB$56-Voorblad!$F$41&gt;Voorblad!$K$41,0,IF($U222=0,0,IF($U222&lt;1,1/$U222,IF((HB$56-Voorblad!$F$41)/$U222-SUM($EE222:HA222)=1,1,0))))</f>
        <v>0</v>
      </c>
      <c r="HC222" s="8">
        <f>IF(HC$56-Voorblad!$F$41&gt;Voorblad!$K$41,0,IF($U222=0,0,IF($U222&lt;1,1/$U222,IF((HC$56-Voorblad!$F$41)/$U222-SUM($EE222:HB222)=1,1,0))))</f>
        <v>0</v>
      </c>
      <c r="HD222" s="8">
        <f>IF(HD$56-Voorblad!$F$41&gt;Voorblad!$K$41,0,IF($U222=0,0,IF($U222&lt;1,1/$U222,IF((HD$56-Voorblad!$F$41)/$U222-SUM($EE222:HC222)=1,1,0))))</f>
        <v>0</v>
      </c>
      <c r="HE222" s="8">
        <f>IF(HE$56-Voorblad!$F$41&gt;Voorblad!$K$41,0,IF($U222=0,0,IF($U222&lt;1,1/$U222,IF((HE$56-Voorblad!$F$41)/$U222-SUM($EE222:HD222)=1,1,0))))</f>
        <v>0</v>
      </c>
      <c r="HF222" s="8">
        <f>IF(HF$56-Voorblad!$F$41&gt;Voorblad!$K$41,0,IF($U222=0,0,IF($U222&lt;1,1/$U222,IF((HF$56-Voorblad!$F$41)/$U222-SUM($EE222:HE222)=1,1,0))))</f>
        <v>0</v>
      </c>
      <c r="HG222" s="8">
        <f>IF(HG$56-Voorblad!$F$41&gt;Voorblad!$K$41,0,IF($U222=0,0,IF($U222&lt;1,1/$U222,IF((HG$56-Voorblad!$F$41)/$U222-SUM($EE222:HF222)=1,1,0))))</f>
        <v>0</v>
      </c>
      <c r="HH222" s="8">
        <f>IF(HH$56-Voorblad!$F$41&gt;Voorblad!$K$41,0,IF($U222=0,0,IF($U222&lt;1,1/$U222,IF((HH$56-Voorblad!$F$41)/$U222-SUM($EE222:HG222)=1,1,0))))</f>
        <v>0</v>
      </c>
      <c r="HI222" s="8">
        <f>IF(HI$56-Voorblad!$F$41&gt;Voorblad!$K$41,0,IF($U222=0,0,IF($U222&lt;1,1/$U222,IF((HI$56-Voorblad!$F$41)/$U222-SUM($EE222:HH222)=1,1,0))))</f>
        <v>0</v>
      </c>
      <c r="HJ222" s="8">
        <f>IF(HJ$56-Voorblad!$F$41&gt;Voorblad!$K$41,0,IF($U222=0,0,IF($U222&lt;1,1/$U222,IF((HJ$56-Voorblad!$F$41)/$U222-SUM($EE222:HI222)=1,1,0))))</f>
        <v>0</v>
      </c>
      <c r="HK222" s="8">
        <f>IF(HK$56-Voorblad!$F$41&gt;Voorblad!$K$41,0,IF($U222=0,0,IF($U222&lt;1,1/$U222,IF((HK$56-Voorblad!$F$41)/$U222-SUM($EE222:HJ222)=1,1,0))))</f>
        <v>0</v>
      </c>
      <c r="HL222" s="8">
        <f>IF(HL$56-Voorblad!$F$41&gt;Voorblad!$K$41,0,IF($U222=0,0,IF($U222&lt;1,1/$U222,IF((HL$56-Voorblad!$F$41)/$U222-SUM($EE222:HK222)=1,1,0))))</f>
        <v>0</v>
      </c>
      <c r="HM222" s="8">
        <f>IF(HM$56-Voorblad!$F$41&gt;Voorblad!$K$41,0,IF($U222=0,0,IF($U222&lt;1,1/$U222,IF((HM$56-Voorblad!$F$41)/$U222-SUM($EE222:HL222)=1,1,0))))</f>
        <v>0</v>
      </c>
      <c r="HN222" s="8">
        <f>IF(HN$56-Voorblad!$F$41&gt;Voorblad!$K$41,0,IF($U222=0,0,IF($U222&lt;1,1/$U222,IF((HN$56-Voorblad!$F$41)/$U222-SUM($EE222:HM222)=1,1,0))))</f>
        <v>0</v>
      </c>
      <c r="HO222" s="8">
        <f>IF(HO$56-Voorblad!$F$41&gt;Voorblad!$K$41,0,IF($U222=0,0,IF($U222&lt;1,1/$U222,IF((HO$56-Voorblad!$F$41)/$U222-SUM($EE222:HN222)=1,1,0))))</f>
        <v>0</v>
      </c>
      <c r="HP222" s="8">
        <f>IF(HP$56-Voorblad!$F$41&gt;Voorblad!$K$41,0,IF($U222=0,0,IF($U222&lt;1,1/$U222,IF((HP$56-Voorblad!$F$41)/$U222-SUM($EE222:HO222)=1,1,0))))</f>
        <v>0</v>
      </c>
      <c r="HQ222" s="8">
        <f>IF(HQ$56-Voorblad!$F$41&gt;Voorblad!$K$41,0,IF($U222=0,0,IF($U222&lt;1,1/$U222,IF((HQ$56-Voorblad!$F$41)/$U222-SUM($EE222:HP222)=1,1,0))))</f>
        <v>0</v>
      </c>
      <c r="HR222" s="8">
        <f>IF(HR$56-Voorblad!$F$41&gt;Voorblad!$K$41,0,IF($U222=0,0,IF($U222&lt;1,1/$U222,IF((HR$56-Voorblad!$F$41)/$U222-SUM($EE222:HQ222)=1,1,0))))</f>
        <v>0</v>
      </c>
      <c r="HS222" s="8">
        <f>IF(HS$56-Voorblad!$F$41&gt;Voorblad!$K$41,0,IF($U222=0,0,IF($U222&lt;1,1/$U222,IF((HS$56-Voorblad!$F$41)/$U222-SUM($EE222:HR222)=1,1,0))))</f>
        <v>0</v>
      </c>
      <c r="HT222" s="8">
        <f>IF(HT$56-Voorblad!$F$41&gt;Voorblad!$K$41,0,IF($U222=0,0,IF($U222&lt;1,1/$U222,IF((HT$56-Voorblad!$F$41)/$U222-SUM($EE222:HS222)=1,1,0))))</f>
        <v>0</v>
      </c>
      <c r="HU222" s="8">
        <f>IF(HU$56-Voorblad!$F$41&gt;Voorblad!$K$41,0,IF($U222=0,0,IF($U222&lt;1,1/$U222,IF((HU$56-Voorblad!$F$41)/$U222-SUM($EE222:HT222)=1,1,0))))</f>
        <v>0</v>
      </c>
      <c r="HV222" s="8">
        <f>IF(HV$56-Voorblad!$F$41&gt;Voorblad!$K$41,0,IF($U222=0,0,IF($U222&lt;1,1/$U222,IF((HV$56-Voorblad!$F$41)/$U222-SUM($EE222:HU222)=1,1,0))))</f>
        <v>0</v>
      </c>
      <c r="HW222" s="8">
        <f>IF(HW$56-Voorblad!$F$41&gt;Voorblad!$K$41,0,IF($U222=0,0,IF($U222&lt;1,1/$U222,IF((HW$56-Voorblad!$F$41)/$U222-SUM($EE222:HV222)=1,1,0))))</f>
        <v>0</v>
      </c>
      <c r="HX222" s="8">
        <f>IF(HX$56-Voorblad!$F$41&gt;Voorblad!$K$41,0,IF($U222=0,0,IF($U222&lt;1,1/$U222,IF((HX$56-Voorblad!$F$41)/$U222-SUM($EE222:HW222)=1,1,0))))</f>
        <v>0</v>
      </c>
      <c r="HY222" s="8">
        <f>IF(HY$56-Voorblad!$F$41&gt;Voorblad!$K$41,0,IF($U222=0,0,IF($U222&lt;1,1/$U222,IF((HY$56-Voorblad!$F$41)/$U222-SUM($EE222:HX222)=1,1,0))))</f>
        <v>0</v>
      </c>
      <c r="HZ222" s="8">
        <f>IF(HZ$56-Voorblad!$F$41&gt;Voorblad!$K$41,0,IF($U222=0,0,IF($U222&lt;1,1/$U222,IF((HZ$56-Voorblad!$F$41)/$U222-SUM($EE222:HY222)=1,1,0))))</f>
        <v>0</v>
      </c>
      <c r="IA222" s="8">
        <f>IF(IA$56-Voorblad!$F$41&gt;Voorblad!$K$41,0,IF($U222=0,0,IF($U222&lt;1,1/$U222,IF((IA$56-Voorblad!$F$41)/$U222-SUM($EE222:HZ222)=1,1,0))))</f>
        <v>0</v>
      </c>
      <c r="IB222" s="8">
        <f>IF(IB$56-Voorblad!$F$41&gt;Voorblad!$K$41,0,IF($U222=0,0,IF($U222&lt;1,1/$U222,IF((IB$56-Voorblad!$F$41)/$U222-SUM($EE222:IA222)=1,1,0))))</f>
        <v>0</v>
      </c>
    </row>
    <row r="223" spans="2:236" outlineLevel="1" x14ac:dyDescent="0.25">
      <c r="B223" s="14">
        <v>1</v>
      </c>
      <c r="C223" s="14"/>
      <c r="F223" s="1" t="s">
        <v>58</v>
      </c>
      <c r="I223" s="1" t="s">
        <v>66</v>
      </c>
      <c r="K223" s="1" t="s">
        <v>65</v>
      </c>
      <c r="O223" s="1" t="s">
        <v>100</v>
      </c>
      <c r="Q223" s="81">
        <v>0</v>
      </c>
      <c r="R223" s="1" t="s">
        <v>33</v>
      </c>
      <c r="S223" s="21">
        <f>4%*T221</f>
        <v>7845.6974399999999</v>
      </c>
      <c r="T223" s="14">
        <f>Q223*S223</f>
        <v>0</v>
      </c>
      <c r="U223" s="11">
        <v>1</v>
      </c>
      <c r="V223" s="14"/>
      <c r="W223" s="81">
        <v>0</v>
      </c>
      <c r="X223" s="6"/>
      <c r="Y223" s="9">
        <f t="shared" si="200"/>
        <v>0</v>
      </c>
      <c r="Z223" s="83"/>
      <c r="AA223" s="83"/>
      <c r="AC223" s="9">
        <f>$Y223*(Voorblad!$K$44*(1+Voorblad!$K$44)^Voorblad!$K$41)/((1+Voorblad!$K$44)^Voorblad!$K$41-1)</f>
        <v>0</v>
      </c>
      <c r="AE223" s="9">
        <f>IF($W223=AE$56,EF223*($Q223*$S223)/(1+Voorblad!$K$44)^(AE$56-Voorblad!$F$41),0)</f>
        <v>0</v>
      </c>
      <c r="AF223" s="9">
        <f>IF($W223=AF$56,EG223*($Q223*$S223)/(1+Voorblad!$K$44)^(AF$56-Voorblad!$F$41),0)</f>
        <v>0</v>
      </c>
      <c r="AG223" s="9">
        <f>IF($W223=AG$56,EH223*($Q223*$S223)/(1+Voorblad!$K$44)^(AG$56-Voorblad!$F$41),0)</f>
        <v>0</v>
      </c>
      <c r="AH223" s="9">
        <f>IF($W223=AH$56,EI223*($Q223*$S223)/(1+Voorblad!$K$44)^(AH$56-Voorblad!$F$41),0)</f>
        <v>0</v>
      </c>
      <c r="AI223" s="9">
        <f>IF($W223=AI$56,EJ223*($Q223*$S223)/(1+Voorblad!$K$44)^(AI$56-Voorblad!$F$41),0)</f>
        <v>0</v>
      </c>
      <c r="AJ223" s="9">
        <f>IF($W223=AJ$56,EK223*($Q223*$S223)/(1+Voorblad!$K$44)^(AJ$56-Voorblad!$F$41),0)</f>
        <v>0</v>
      </c>
      <c r="AK223" s="9">
        <f>IF($W223=AK$56,EL223*($Q223*$S223)/(1+Voorblad!$K$44)^(AK$56-Voorblad!$F$41),0)</f>
        <v>0</v>
      </c>
      <c r="AL223" s="9">
        <f>IF($W223=AL$56,EM223*($Q223*$S223)/(1+Voorblad!$K$44)^(AL$56-Voorblad!$F$41),0)</f>
        <v>0</v>
      </c>
      <c r="AM223" s="9">
        <f>IF($W223=AM$56,EN223*($Q223*$S223)/(1+Voorblad!$K$44)^(AM$56-Voorblad!$F$41),0)</f>
        <v>0</v>
      </c>
      <c r="AN223" s="9">
        <f>IF($W223=AN$56,EO223*($Q223*$S223)/(1+Voorblad!$K$44)^(AN$56-Voorblad!$F$41),0)</f>
        <v>0</v>
      </c>
      <c r="AO223" s="9">
        <f>IF($W223=AO$56,EP223*($Q223*$S223)/(1+Voorblad!$K$44)^(AO$56-Voorblad!$F$41),0)</f>
        <v>0</v>
      </c>
      <c r="AP223" s="9">
        <f>IF($W223=AP$56,EQ223*($Q223*$S223)/(1+Voorblad!$K$44)^(AP$56-Voorblad!$F$41),0)</f>
        <v>0</v>
      </c>
      <c r="AQ223" s="9">
        <f>IF($W223=AQ$56,ER223*($Q223*$S223)/(1+Voorblad!$K$44)^(AQ$56-Voorblad!$F$41),0)</f>
        <v>0</v>
      </c>
      <c r="AR223" s="9">
        <f>IF($W223=AR$56,ES223*($Q223*$S223)/(1+Voorblad!$K$44)^(AR$56-Voorblad!$F$41),0)</f>
        <v>0</v>
      </c>
      <c r="AS223" s="9">
        <f>IF($W223=AS$56,ET223*($Q223*$S223)/(1+Voorblad!$K$44)^(AS$56-Voorblad!$F$41),0)</f>
        <v>0</v>
      </c>
      <c r="AT223" s="9">
        <f>IF($W223=AT$56,EU223*($Q223*$S223)/(1+Voorblad!$K$44)^(AT$56-Voorblad!$F$41),0)</f>
        <v>0</v>
      </c>
      <c r="AU223" s="9">
        <f>IF($W223=AU$56,EV223*($Q223*$S223)/(1+Voorblad!$K$44)^(AU$56-Voorblad!$F$41),0)</f>
        <v>0</v>
      </c>
      <c r="AV223" s="9">
        <f>IF($W223=AV$56,EW223*($Q223*$S223)/(1+Voorblad!$K$44)^(AV$56-Voorblad!$F$41),0)</f>
        <v>0</v>
      </c>
      <c r="AW223" s="9">
        <f>IF($W223=AW$56,EX223*($Q223*$S223)/(1+Voorblad!$K$44)^(AW$56-Voorblad!$F$41),0)</f>
        <v>0</v>
      </c>
      <c r="AX223" s="9">
        <f>IF($W223=AX$56,EY223*($Q223*$S223)/(1+Voorblad!$K$44)^(AX$56-Voorblad!$F$41),0)</f>
        <v>0</v>
      </c>
      <c r="AY223" s="9">
        <f>IF($W223=AY$56,EZ223*($Q223*$S223)/(1+Voorblad!$K$44)^(AY$56-Voorblad!$F$41),0)</f>
        <v>0</v>
      </c>
      <c r="AZ223" s="9">
        <f>IF($W223=AZ$56,FA223*($Q223*$S223)/(1+Voorblad!$K$44)^(AZ$56-Voorblad!$F$41),0)</f>
        <v>0</v>
      </c>
      <c r="BA223" s="9">
        <f>IF($W223=BA$56,FB223*($Q223*$S223)/(1+Voorblad!$K$44)^(BA$56-Voorblad!$F$41),0)</f>
        <v>0</v>
      </c>
      <c r="BB223" s="9">
        <f>IF($W223=BB$56,FC223*($Q223*$S223)/(1+Voorblad!$K$44)^(BB$56-Voorblad!$F$41),0)</f>
        <v>0</v>
      </c>
      <c r="BC223" s="9">
        <f>IF($W223=BC$56,FD223*($Q223*$S223)/(1+Voorblad!$K$44)^(BC$56-Voorblad!$F$41),0)</f>
        <v>0</v>
      </c>
      <c r="BD223" s="9">
        <f>IF($W223=BD$56,FE223*($Q223*$S223)/(1+Voorblad!$K$44)^(BD$56-Voorblad!$F$41),0)</f>
        <v>0</v>
      </c>
      <c r="BE223" s="9">
        <f>IF($W223=BE$56,FF223*($Q223*$S223)/(1+Voorblad!$K$44)^(BE$56-Voorblad!$F$41),0)</f>
        <v>0</v>
      </c>
      <c r="BF223" s="9">
        <f>IF($W223=BF$56,FG223*($Q223*$S223)/(1+Voorblad!$K$44)^(BF$56-Voorblad!$F$41),0)</f>
        <v>0</v>
      </c>
      <c r="BG223" s="9">
        <f>IF($W223=BG$56,FH223*($Q223*$S223)/(1+Voorblad!$K$44)^(BG$56-Voorblad!$F$41),0)</f>
        <v>0</v>
      </c>
      <c r="BH223" s="9">
        <f>IF($W223=BH$56,FI223*($Q223*$S223)/(1+Voorblad!$K$44)^(BH$56-Voorblad!$F$41),0)</f>
        <v>0</v>
      </c>
      <c r="BI223" s="9">
        <f>IF($W223=BI$56,FJ223*($Q223*$S223)/(1+Voorblad!$K$44)^(BI$56-Voorblad!$F$41),0)</f>
        <v>0</v>
      </c>
      <c r="BJ223" s="9">
        <f>IF($W223=BJ$56,FK223*($Q223*$S223)/(1+Voorblad!$K$44)^(BJ$56-Voorblad!$F$41),0)</f>
        <v>0</v>
      </c>
      <c r="BK223" s="9">
        <f>IF($W223=BK$56,FL223*($Q223*$S223)/(1+Voorblad!$K$44)^(BK$56-Voorblad!$F$41),0)</f>
        <v>0</v>
      </c>
      <c r="BL223" s="9">
        <f>IF($W223=BL$56,FM223*($Q223*$S223)/(1+Voorblad!$K$44)^(BL$56-Voorblad!$F$41),0)</f>
        <v>0</v>
      </c>
      <c r="BM223" s="9">
        <f>IF($W223=BM$56,FN223*($Q223*$S223)/(1+Voorblad!$K$44)^(BM$56-Voorblad!$F$41),0)</f>
        <v>0</v>
      </c>
      <c r="BN223" s="9">
        <f>IF($W223=BN$56,FO223*($Q223*$S223)/(1+Voorblad!$K$44)^(BN$56-Voorblad!$F$41),0)</f>
        <v>0</v>
      </c>
      <c r="BO223" s="9">
        <f>IF($W223=BO$56,FP223*($Q223*$S223)/(1+Voorblad!$K$44)^(BO$56-Voorblad!$F$41),0)</f>
        <v>0</v>
      </c>
      <c r="BP223" s="9">
        <f>IF($W223=BP$56,FQ223*($Q223*$S223)/(1+Voorblad!$K$44)^(BP$56-Voorblad!$F$41),0)</f>
        <v>0</v>
      </c>
      <c r="BQ223" s="9">
        <f>IF($W223=BQ$56,FR223*($Q223*$S223)/(1+Voorblad!$K$44)^(BQ$56-Voorblad!$F$41),0)</f>
        <v>0</v>
      </c>
      <c r="BR223" s="9">
        <f>IF($W223=BR$56,FS223*($Q223*$S223)/(1+Voorblad!$K$44)^(BR$56-Voorblad!$F$41),0)</f>
        <v>0</v>
      </c>
      <c r="BS223" s="9">
        <f>IF($W223=BS$56,FT223*($Q223*$S223)/(1+Voorblad!$K$44)^(BS$56-Voorblad!$F$41),0)</f>
        <v>0</v>
      </c>
      <c r="BT223" s="9">
        <f>IF($W223=BT$56,FU223*($Q223*$S223)/(1+Voorblad!$K$44)^(BT$56-Voorblad!$F$41),0)</f>
        <v>0</v>
      </c>
      <c r="BU223" s="9">
        <f>IF($W223=BU$56,FV223*($Q223*$S223)/(1+Voorblad!$K$44)^(BU$56-Voorblad!$F$41),0)</f>
        <v>0</v>
      </c>
      <c r="BV223" s="9">
        <f>IF($W223=BV$56,FW223*($Q223*$S223)/(1+Voorblad!$K$44)^(BV$56-Voorblad!$F$41),0)</f>
        <v>0</v>
      </c>
      <c r="BW223" s="9">
        <f>IF($W223=BW$56,FX223*($Q223*$S223)/(1+Voorblad!$K$44)^(BW$56-Voorblad!$F$41),0)</f>
        <v>0</v>
      </c>
      <c r="BX223" s="9">
        <f>IF($W223=BX$56,FY223*($Q223*$S223)/(1+Voorblad!$K$44)^(BX$56-Voorblad!$F$41),0)</f>
        <v>0</v>
      </c>
      <c r="BY223" s="9">
        <f>IF($W223=BY$56,FZ223*($Q223*$S223)/(1+Voorblad!$K$44)^(BY$56-Voorblad!$F$41),0)</f>
        <v>0</v>
      </c>
      <c r="BZ223" s="9">
        <f>IF($W223=BZ$56,GA223*($Q223*$S223)/(1+Voorblad!$K$44)^(BZ$56-Voorblad!$F$41),0)</f>
        <v>0</v>
      </c>
      <c r="CA223" s="9">
        <f>IF($W223=CA$56,GB223*($Q223*$S223)/(1+Voorblad!$K$44)^(CA$56-Voorblad!$F$41),0)</f>
        <v>0</v>
      </c>
      <c r="CB223" s="9">
        <f>IF($W223=CB$56,GC223*($Q223*$S223)/(1+Voorblad!$K$44)^(CB$56-Voorblad!$F$41),0)</f>
        <v>0</v>
      </c>
      <c r="CC223" s="9">
        <f>IF($W223=CC$56,GD223*($Q223*$S223)/(1+Voorblad!$K$44)^(CC$56-Voorblad!$F$41),0)</f>
        <v>0</v>
      </c>
      <c r="CD223" s="9">
        <f>IF($W223=CD$56,GE223*($Q223*$S223)/(1+Voorblad!$K$44)^(CD$56-Voorblad!$F$41),0)</f>
        <v>0</v>
      </c>
      <c r="CE223" s="9">
        <f>IF($W223=CE$56,GF223*($Q223*$S223)/(1+Voorblad!$K$44)^(CE$56-Voorblad!$F$41),0)</f>
        <v>0</v>
      </c>
      <c r="CF223" s="9">
        <f>IF($W223=CF$56,GG223*($Q223*$S223)/(1+Voorblad!$K$44)^(CF$56-Voorblad!$F$41),0)</f>
        <v>0</v>
      </c>
      <c r="CG223" s="9">
        <f>IF($W223=CG$56,GH223*($Q223*$S223)/(1+Voorblad!$K$44)^(CG$56-Voorblad!$F$41),0)</f>
        <v>0</v>
      </c>
      <c r="CH223" s="9">
        <f>IF($W223=CH$56,GI223*($Q223*$S223)/(1+Voorblad!$K$44)^(CH$56-Voorblad!$F$41),0)</f>
        <v>0</v>
      </c>
      <c r="CI223" s="9">
        <f>IF($W223=CI$56,GJ223*($Q223*$S223)/(1+Voorblad!$K$44)^(CI$56-Voorblad!$F$41),0)</f>
        <v>0</v>
      </c>
      <c r="CJ223" s="9">
        <f>IF($W223=CJ$56,GK223*($Q223*$S223)/(1+Voorblad!$K$44)^(CJ$56-Voorblad!$F$41),0)</f>
        <v>0</v>
      </c>
      <c r="CK223" s="9">
        <f>IF($W223=CK$56,GL223*($Q223*$S223)/(1+Voorblad!$K$44)^(CK$56-Voorblad!$F$41),0)</f>
        <v>0</v>
      </c>
      <c r="CL223" s="9">
        <f>IF($W223=CL$56,GM223*($Q223*$S223)/(1+Voorblad!$K$44)^(CL$56-Voorblad!$F$41),0)</f>
        <v>0</v>
      </c>
      <c r="CM223" s="9">
        <f>IF($W223=CM$56,GN223*($Q223*$S223)/(1+Voorblad!$K$44)^(CM$56-Voorblad!$F$41),0)</f>
        <v>0</v>
      </c>
      <c r="CN223" s="9">
        <f>IF($W223=CN$56,GO223*($Q223*$S223)/(1+Voorblad!$K$44)^(CN$56-Voorblad!$F$41),0)</f>
        <v>0</v>
      </c>
      <c r="CO223" s="9">
        <f>IF($W223=CO$56,GP223*($Q223*$S223)/(1+Voorblad!$K$44)^(CO$56-Voorblad!$F$41),0)</f>
        <v>0</v>
      </c>
      <c r="CP223" s="9">
        <f>IF($W223=CP$56,GQ223*($Q223*$S223)/(1+Voorblad!$K$44)^(CP$56-Voorblad!$F$41),0)</f>
        <v>0</v>
      </c>
      <c r="CQ223" s="9">
        <f>IF($W223=CQ$56,GR223*($Q223*$S223)/(1+Voorblad!$K$44)^(CQ$56-Voorblad!$F$41),0)</f>
        <v>0</v>
      </c>
      <c r="CR223" s="9">
        <f>IF($W223=CR$56,GS223*($Q223*$S223)/(1+Voorblad!$K$44)^(CR$56-Voorblad!$F$41),0)</f>
        <v>0</v>
      </c>
      <c r="CS223" s="9">
        <f>IF($W223=CS$56,GT223*($Q223*$S223)/(1+Voorblad!$K$44)^(CS$56-Voorblad!$F$41),0)</f>
        <v>0</v>
      </c>
      <c r="CT223" s="9">
        <f>IF($W223=CT$56,GU223*($Q223*$S223)/(1+Voorblad!$K$44)^(CT$56-Voorblad!$F$41),0)</f>
        <v>0</v>
      </c>
      <c r="CU223" s="9">
        <f>IF($W223=CU$56,GV223*($Q223*$S223)/(1+Voorblad!$K$44)^(CU$56-Voorblad!$F$41),0)</f>
        <v>0</v>
      </c>
      <c r="CV223" s="9">
        <f>IF($W223=CV$56,GW223*($Q223*$S223)/(1+Voorblad!$K$44)^(CV$56-Voorblad!$F$41),0)</f>
        <v>0</v>
      </c>
      <c r="CW223" s="9">
        <f>IF($W223=CW$56,GX223*($Q223*$S223)/(1+Voorblad!$K$44)^(CW$56-Voorblad!$F$41),0)</f>
        <v>0</v>
      </c>
      <c r="CX223" s="9">
        <f>IF($W223=CX$56,GY223*($Q223*$S223)/(1+Voorblad!$K$44)^(CX$56-Voorblad!$F$41),0)</f>
        <v>0</v>
      </c>
      <c r="CY223" s="9">
        <f>IF($W223=CY$56,GZ223*($Q223*$S223)/(1+Voorblad!$K$44)^(CY$56-Voorblad!$F$41),0)</f>
        <v>0</v>
      </c>
      <c r="CZ223" s="9">
        <f>IF($W223=CZ$56,HA223*($Q223*$S223)/(1+Voorblad!$K$44)^(CZ$56-Voorblad!$F$41),0)</f>
        <v>0</v>
      </c>
      <c r="DA223" s="9">
        <f>IF($W223=DA$56,HB223*($Q223*$S223)/(1+Voorblad!$K$44)^(DA$56-Voorblad!$F$41),0)</f>
        <v>0</v>
      </c>
      <c r="DB223" s="9">
        <f>IF($W223=DB$56,HC223*($Q223*$S223)/(1+Voorblad!$K$44)^(DB$56-Voorblad!$F$41),0)</f>
        <v>0</v>
      </c>
      <c r="DC223" s="9">
        <f>IF($W223=DC$56,HD223*($Q223*$S223)/(1+Voorblad!$K$44)^(DC$56-Voorblad!$F$41),0)</f>
        <v>0</v>
      </c>
      <c r="DD223" s="9">
        <f>IF($W223=DD$56,HE223*($Q223*$S223)/(1+Voorblad!$K$44)^(DD$56-Voorblad!$F$41),0)</f>
        <v>0</v>
      </c>
      <c r="DE223" s="9">
        <f>IF($W223=DE$56,HF223*($Q223*$S223)/(1+Voorblad!$K$44)^(DE$56-Voorblad!$F$41),0)</f>
        <v>0</v>
      </c>
      <c r="DF223" s="9">
        <f>IF($W223=DF$56,HG223*($Q223*$S223)/(1+Voorblad!$K$44)^(DF$56-Voorblad!$F$41),0)</f>
        <v>0</v>
      </c>
      <c r="DG223" s="9">
        <f>IF($W223=DG$56,HH223*($Q223*$S223)/(1+Voorblad!$K$44)^(DG$56-Voorblad!$F$41),0)</f>
        <v>0</v>
      </c>
      <c r="DH223" s="9">
        <f>IF($W223=DH$56,HI223*($Q223*$S223)/(1+Voorblad!$K$44)^(DH$56-Voorblad!$F$41),0)</f>
        <v>0</v>
      </c>
      <c r="DI223" s="9">
        <f>IF($W223=DI$56,HJ223*($Q223*$S223)/(1+Voorblad!$K$44)^(DI$56-Voorblad!$F$41),0)</f>
        <v>0</v>
      </c>
      <c r="DJ223" s="9">
        <f>IF($W223=DJ$56,HK223*($Q223*$S223)/(1+Voorblad!$K$44)^(DJ$56-Voorblad!$F$41),0)</f>
        <v>0</v>
      </c>
      <c r="DK223" s="9">
        <f>IF($W223=DK$56,HL223*($Q223*$S223)/(1+Voorblad!$K$44)^(DK$56-Voorblad!$F$41),0)</f>
        <v>0</v>
      </c>
      <c r="DL223" s="9">
        <f>IF($W223=DL$56,HM223*($Q223*$S223)/(1+Voorblad!$K$44)^(DL$56-Voorblad!$F$41),0)</f>
        <v>0</v>
      </c>
      <c r="DM223" s="9">
        <f>IF($W223=DM$56,HN223*($Q223*$S223)/(1+Voorblad!$K$44)^(DM$56-Voorblad!$F$41),0)</f>
        <v>0</v>
      </c>
      <c r="DN223" s="9">
        <f>IF($W223=DN$56,HO223*($Q223*$S223)/(1+Voorblad!$K$44)^(DN$56-Voorblad!$F$41),0)</f>
        <v>0</v>
      </c>
      <c r="DO223" s="9">
        <f>IF($W223=DO$56,HP223*($Q223*$S223)/(1+Voorblad!$K$44)^(DO$56-Voorblad!$F$41),0)</f>
        <v>0</v>
      </c>
      <c r="DP223" s="9">
        <f>IF($W223=DP$56,HQ223*($Q223*$S223)/(1+Voorblad!$K$44)^(DP$56-Voorblad!$F$41),0)</f>
        <v>0</v>
      </c>
      <c r="DQ223" s="9">
        <f>IF($W223=DQ$56,HR223*($Q223*$S223)/(1+Voorblad!$K$44)^(DQ$56-Voorblad!$F$41),0)</f>
        <v>0</v>
      </c>
      <c r="DR223" s="9">
        <f>IF($W223=DR$56,HS223*($Q223*$S223)/(1+Voorblad!$K$44)^(DR$56-Voorblad!$F$41),0)</f>
        <v>0</v>
      </c>
      <c r="DS223" s="9">
        <f>IF($W223=DS$56,HT223*($Q223*$S223)/(1+Voorblad!$K$44)^(DS$56-Voorblad!$F$41),0)</f>
        <v>0</v>
      </c>
      <c r="DT223" s="9">
        <f>IF($W223=DT$56,HU223*($Q223*$S223)/(1+Voorblad!$K$44)^(DT$56-Voorblad!$F$41),0)</f>
        <v>0</v>
      </c>
      <c r="DU223" s="9">
        <f>IF($W223=DU$56,HV223*($Q223*$S223)/(1+Voorblad!$K$44)^(DU$56-Voorblad!$F$41),0)</f>
        <v>0</v>
      </c>
      <c r="DV223" s="9">
        <f>IF($W223=DV$56,HW223*($Q223*$S223)/(1+Voorblad!$K$44)^(DV$56-Voorblad!$F$41),0)</f>
        <v>0</v>
      </c>
      <c r="DW223" s="9">
        <f>IF($W223=DW$56,HX223*($Q223*$S223)/(1+Voorblad!$K$44)^(DW$56-Voorblad!$F$41),0)</f>
        <v>0</v>
      </c>
      <c r="DX223" s="9">
        <f>IF($W223=DX$56,HY223*($Q223*$S223)/(1+Voorblad!$K$44)^(DX$56-Voorblad!$F$41),0)</f>
        <v>0</v>
      </c>
      <c r="DY223" s="9">
        <f>IF($W223=DY$56,HZ223*($Q223*$S223)/(1+Voorblad!$K$44)^(DY$56-Voorblad!$F$41),0)</f>
        <v>0</v>
      </c>
      <c r="DZ223" s="9">
        <f>IF($W223=DZ$56,IA223*($Q223*$S223)/(1+Voorblad!$K$44)^(DZ$56-Voorblad!$F$41),0)</f>
        <v>0</v>
      </c>
      <c r="EA223" s="9">
        <f>IF($W223=EA$56,IB223*($Q223*$S223)/(1+Voorblad!$K$44)^(EA$56-Voorblad!$F$41),0)</f>
        <v>0</v>
      </c>
      <c r="EB223" s="9">
        <f>IF($W223=EB$56,IC223*($Q223*$S223)/(1+Voorblad!$K$44)^(EB$56-Voorblad!$F$41),0)</f>
        <v>0</v>
      </c>
      <c r="EE223" s="8">
        <v>0</v>
      </c>
      <c r="EF223" s="8">
        <f>IF(EF$56-Voorblad!$F$41&gt;Voorblad!$K$41,0,IF($U223=0,0,IF($U223&lt;1,1/$U223,IF((EF$56-Voorblad!$F$41)/$U223-SUM($EE223:EE223)=1,1,0))))</f>
        <v>0</v>
      </c>
      <c r="EG223" s="8">
        <f>IF(EG$56-Voorblad!$F$41&gt;Voorblad!$K$41,0,IF($U223=0,0,IF($U223&lt;1,1/$U223,IF((EG$56-Voorblad!$F$41)/$U223-SUM($EE223:EF223)=1,1,0))))</f>
        <v>1</v>
      </c>
      <c r="EH223" s="8">
        <f>IF(EH$56-Voorblad!$F$41&gt;Voorblad!$K$41,0,IF($U223=0,0,IF($U223&lt;1,1/$U223,IF((EH$56-Voorblad!$F$41)/$U223-SUM($EE223:EG223)=1,1,0))))</f>
        <v>1</v>
      </c>
      <c r="EI223" s="8">
        <f>IF(EI$56-Voorblad!$F$41&gt;Voorblad!$K$41,0,IF($U223=0,0,IF($U223&lt;1,1/$U223,IF((EI$56-Voorblad!$F$41)/$U223-SUM($EE223:EH223)=1,1,0))))</f>
        <v>1</v>
      </c>
      <c r="EJ223" s="8">
        <f>IF(EJ$56-Voorblad!$F$41&gt;Voorblad!$K$41,0,IF($U223=0,0,IF($U223&lt;1,1/$U223,IF((EJ$56-Voorblad!$F$41)/$U223-SUM($EE223:EI223)=1,1,0))))</f>
        <v>1</v>
      </c>
      <c r="EK223" s="8">
        <f>IF(EK$56-Voorblad!$F$41&gt;Voorblad!$K$41,0,IF($U223=0,0,IF($U223&lt;1,1/$U223,IF((EK$56-Voorblad!$F$41)/$U223-SUM($EE223:EJ223)=1,1,0))))</f>
        <v>1</v>
      </c>
      <c r="EL223" s="8">
        <f>IF(EL$56-Voorblad!$F$41&gt;Voorblad!$K$41,0,IF($U223=0,0,IF($U223&lt;1,1/$U223,IF((EL$56-Voorblad!$F$41)/$U223-SUM($EE223:EK223)=1,1,0))))</f>
        <v>1</v>
      </c>
      <c r="EM223" s="8">
        <f>IF(EM$56-Voorblad!$F$41&gt;Voorblad!$K$41,0,IF($U223=0,0,IF($U223&lt;1,1/$U223,IF((EM$56-Voorblad!$F$41)/$U223-SUM($EE223:EL223)=1,1,0))))</f>
        <v>1</v>
      </c>
      <c r="EN223" s="8">
        <f>IF(EN$56-Voorblad!$F$41&gt;Voorblad!$K$41,0,IF($U223=0,0,IF($U223&lt;1,1/$U223,IF((EN$56-Voorblad!$F$41)/$U223-SUM($EE223:EM223)=1,1,0))))</f>
        <v>1</v>
      </c>
      <c r="EO223" s="8">
        <f>IF(EO$56-Voorblad!$F$41&gt;Voorblad!$K$41,0,IF($U223=0,0,IF($U223&lt;1,1/$U223,IF((EO$56-Voorblad!$F$41)/$U223-SUM($EE223:EN223)=1,1,0))))</f>
        <v>1</v>
      </c>
      <c r="EP223" s="8">
        <f>IF(EP$56-Voorblad!$F$41&gt;Voorblad!$K$41,0,IF($U223=0,0,IF($U223&lt;1,1/$U223,IF((EP$56-Voorblad!$F$41)/$U223-SUM($EE223:EO223)=1,1,0))))</f>
        <v>1</v>
      </c>
      <c r="EQ223" s="8">
        <f>IF(EQ$56-Voorblad!$F$41&gt;Voorblad!$K$41,0,IF($U223=0,0,IF($U223&lt;1,1/$U223,IF((EQ$56-Voorblad!$F$41)/$U223-SUM($EE223:EP223)=1,1,0))))</f>
        <v>1</v>
      </c>
      <c r="ER223" s="8">
        <f>IF(ER$56-Voorblad!$F$41&gt;Voorblad!$K$41,0,IF($U223=0,0,IF($U223&lt;1,1/$U223,IF((ER$56-Voorblad!$F$41)/$U223-SUM($EE223:EQ223)=1,1,0))))</f>
        <v>1</v>
      </c>
      <c r="ES223" s="8">
        <f>IF(ES$56-Voorblad!$F$41&gt;Voorblad!$K$41,0,IF($U223=0,0,IF($U223&lt;1,1/$U223,IF((ES$56-Voorblad!$F$41)/$U223-SUM($EE223:ER223)=1,1,0))))</f>
        <v>1</v>
      </c>
      <c r="ET223" s="8">
        <f>IF(ET$56-Voorblad!$F$41&gt;Voorblad!$K$41,0,IF($U223=0,0,IF($U223&lt;1,1/$U223,IF((ET$56-Voorblad!$F$41)/$U223-SUM($EE223:ES223)=1,1,0))))</f>
        <v>1</v>
      </c>
      <c r="EU223" s="8">
        <f>IF(EU$56-Voorblad!$F$41&gt;Voorblad!$K$41,0,IF($U223=0,0,IF($U223&lt;1,1/$U223,IF((EU$56-Voorblad!$F$41)/$U223-SUM($EE223:ET223)=1,1,0))))</f>
        <v>1</v>
      </c>
      <c r="EV223" s="8">
        <f>IF(EV$56-Voorblad!$F$41&gt;Voorblad!$K$41,0,IF($U223=0,0,IF($U223&lt;1,1/$U223,IF((EV$56-Voorblad!$F$41)/$U223-SUM($EE223:EU223)=1,1,0))))</f>
        <v>1</v>
      </c>
      <c r="EW223" s="8">
        <f>IF(EW$56-Voorblad!$F$41&gt;Voorblad!$K$41,0,IF($U223=0,0,IF($U223&lt;1,1/$U223,IF((EW$56-Voorblad!$F$41)/$U223-SUM($EE223:EV223)=1,1,0))))</f>
        <v>1</v>
      </c>
      <c r="EX223" s="8">
        <f>IF(EX$56-Voorblad!$F$41&gt;Voorblad!$K$41,0,IF($U223=0,0,IF($U223&lt;1,1/$U223,IF((EX$56-Voorblad!$F$41)/$U223-SUM($EE223:EW223)=1,1,0))))</f>
        <v>1</v>
      </c>
      <c r="EY223" s="8">
        <f>IF(EY$56-Voorblad!$F$41&gt;Voorblad!$K$41,0,IF($U223=0,0,IF($U223&lt;1,1/$U223,IF((EY$56-Voorblad!$F$41)/$U223-SUM($EE223:EX223)=1,1,0))))</f>
        <v>1</v>
      </c>
      <c r="EZ223" s="8">
        <f>IF(EZ$56-Voorblad!$F$41&gt;Voorblad!$K$41,0,IF($U223=0,0,IF($U223&lt;1,1/$U223,IF((EZ$56-Voorblad!$F$41)/$U223-SUM($EE223:EY223)=1,1,0))))</f>
        <v>1</v>
      </c>
      <c r="FA223" s="8">
        <f>IF(FA$56-Voorblad!$F$41&gt;Voorblad!$K$41,0,IF($U223=0,0,IF($U223&lt;1,1/$U223,IF((FA$56-Voorblad!$F$41)/$U223-SUM($EE223:EZ223)=1,1,0))))</f>
        <v>1</v>
      </c>
      <c r="FB223" s="8">
        <f>IF(FB$56-Voorblad!$F$41&gt;Voorblad!$K$41,0,IF($U223=0,0,IF($U223&lt;1,1/$U223,IF((FB$56-Voorblad!$F$41)/$U223-SUM($EE223:FA223)=1,1,0))))</f>
        <v>1</v>
      </c>
      <c r="FC223" s="8">
        <f>IF(FC$56-Voorblad!$F$41&gt;Voorblad!$K$41,0,IF($U223=0,0,IF($U223&lt;1,1/$U223,IF((FC$56-Voorblad!$F$41)/$U223-SUM($EE223:FB223)=1,1,0))))</f>
        <v>1</v>
      </c>
      <c r="FD223" s="8">
        <f>IF(FD$56-Voorblad!$F$41&gt;Voorblad!$K$41,0,IF($U223=0,0,IF($U223&lt;1,1/$U223,IF((FD$56-Voorblad!$F$41)/$U223-SUM($EE223:FC223)=1,1,0))))</f>
        <v>1</v>
      </c>
      <c r="FE223" s="8">
        <f>IF(FE$56-Voorblad!$F$41&gt;Voorblad!$K$41,0,IF($U223=0,0,IF($U223&lt;1,1/$U223,IF((FE$56-Voorblad!$F$41)/$U223-SUM($EE223:FD223)=1,1,0))))</f>
        <v>1</v>
      </c>
      <c r="FF223" s="8">
        <f>IF(FF$56-Voorblad!$F$41&gt;Voorblad!$K$41,0,IF($U223=0,0,IF($U223&lt;1,1/$U223,IF((FF$56-Voorblad!$F$41)/$U223-SUM($EE223:FE223)=1,1,0))))</f>
        <v>1</v>
      </c>
      <c r="FG223" s="8">
        <f>IF(FG$56-Voorblad!$F$41&gt;Voorblad!$K$41,0,IF($U223=0,0,IF($U223&lt;1,1/$U223,IF((FG$56-Voorblad!$F$41)/$U223-SUM($EE223:FF223)=1,1,0))))</f>
        <v>1</v>
      </c>
      <c r="FH223" s="8">
        <f>IF(FH$56-Voorblad!$F$41&gt;Voorblad!$K$41,0,IF($U223=0,0,IF($U223&lt;1,1/$U223,IF((FH$56-Voorblad!$F$41)/$U223-SUM($EE223:FG223)=1,1,0))))</f>
        <v>1</v>
      </c>
      <c r="FI223" s="8">
        <f>IF(FI$56-Voorblad!$F$41&gt;Voorblad!$K$41,0,IF($U223=0,0,IF($U223&lt;1,1/$U223,IF((FI$56-Voorblad!$F$41)/$U223-SUM($EE223:FH223)=1,1,0))))</f>
        <v>1</v>
      </c>
      <c r="FJ223" s="8">
        <f>IF(FJ$56-Voorblad!$F$41&gt;Voorblad!$K$41,0,IF($U223=0,0,IF($U223&lt;1,1/$U223,IF((FJ$56-Voorblad!$F$41)/$U223-SUM($EE223:FI223)=1,1,0))))</f>
        <v>1</v>
      </c>
      <c r="FK223" s="8">
        <f>IF(FK$56-Voorblad!$F$41&gt;Voorblad!$K$41,0,IF($U223=0,0,IF($U223&lt;1,1/$U223,IF((FK$56-Voorblad!$F$41)/$U223-SUM($EE223:FJ223)=1,1,0))))</f>
        <v>1</v>
      </c>
      <c r="FL223" s="8">
        <f>IF(FL$56-Voorblad!$F$41&gt;Voorblad!$K$41,0,IF($U223=0,0,IF($U223&lt;1,1/$U223,IF((FL$56-Voorblad!$F$41)/$U223-SUM($EE223:FK223)=1,1,0))))</f>
        <v>1</v>
      </c>
      <c r="FM223" s="8">
        <f>IF(FM$56-Voorblad!$F$41&gt;Voorblad!$K$41,0,IF($U223=0,0,IF($U223&lt;1,1/$U223,IF((FM$56-Voorblad!$F$41)/$U223-SUM($EE223:FL223)=1,1,0))))</f>
        <v>1</v>
      </c>
      <c r="FN223" s="8">
        <f>IF(FN$56-Voorblad!$F$41&gt;Voorblad!$K$41,0,IF($U223=0,0,IF($U223&lt;1,1/$U223,IF((FN$56-Voorblad!$F$41)/$U223-SUM($EE223:FM223)=1,1,0))))</f>
        <v>1</v>
      </c>
      <c r="FO223" s="8">
        <f>IF(FO$56-Voorblad!$F$41&gt;Voorblad!$K$41,0,IF($U223=0,0,IF($U223&lt;1,1/$U223,IF((FO$56-Voorblad!$F$41)/$U223-SUM($EE223:FN223)=1,1,0))))</f>
        <v>1</v>
      </c>
      <c r="FP223" s="8">
        <f>IF(FP$56-Voorblad!$F$41&gt;Voorblad!$K$41,0,IF($U223=0,0,IF($U223&lt;1,1/$U223,IF((FP$56-Voorblad!$F$41)/$U223-SUM($EE223:FO223)=1,1,0))))</f>
        <v>1</v>
      </c>
      <c r="FQ223" s="8">
        <f>IF(FQ$56-Voorblad!$F$41&gt;Voorblad!$K$41,0,IF($U223=0,0,IF($U223&lt;1,1/$U223,IF((FQ$56-Voorblad!$F$41)/$U223-SUM($EE223:FP223)=1,1,0))))</f>
        <v>1</v>
      </c>
      <c r="FR223" s="8">
        <f>IF(FR$56-Voorblad!$F$41&gt;Voorblad!$K$41,0,IF($U223=0,0,IF($U223&lt;1,1/$U223,IF((FR$56-Voorblad!$F$41)/$U223-SUM($EE223:FQ223)=1,1,0))))</f>
        <v>1</v>
      </c>
      <c r="FS223" s="8">
        <f>IF(FS$56-Voorblad!$F$41&gt;Voorblad!$K$41,0,IF($U223=0,0,IF($U223&lt;1,1/$U223,IF((FS$56-Voorblad!$F$41)/$U223-SUM($EE223:FR223)=1,1,0))))</f>
        <v>1</v>
      </c>
      <c r="FT223" s="8">
        <f>IF(FT$56-Voorblad!$F$41&gt;Voorblad!$K$41,0,IF($U223=0,0,IF($U223&lt;1,1/$U223,IF((FT$56-Voorblad!$F$41)/$U223-SUM($EE223:FS223)=1,1,0))))</f>
        <v>1</v>
      </c>
      <c r="FU223" s="8">
        <f>IF(FU$56-Voorblad!$F$41&gt;Voorblad!$K$41,0,IF($U223=0,0,IF($U223&lt;1,1/$U223,IF((FU$56-Voorblad!$F$41)/$U223-SUM($EE223:FT223)=1,1,0))))</f>
        <v>1</v>
      </c>
      <c r="FV223" s="8">
        <f>IF(FV$56-Voorblad!$F$41&gt;Voorblad!$K$41,0,IF($U223=0,0,IF($U223&lt;1,1/$U223,IF((FV$56-Voorblad!$F$41)/$U223-SUM($EE223:FU223)=1,1,0))))</f>
        <v>1</v>
      </c>
      <c r="FW223" s="8">
        <f>IF(FW$56-Voorblad!$F$41&gt;Voorblad!$K$41,0,IF($U223=0,0,IF($U223&lt;1,1/$U223,IF((FW$56-Voorblad!$F$41)/$U223-SUM($EE223:FV223)=1,1,0))))</f>
        <v>1</v>
      </c>
      <c r="FX223" s="8">
        <f>IF(FX$56-Voorblad!$F$41&gt;Voorblad!$K$41,0,IF($U223=0,0,IF($U223&lt;1,1/$U223,IF((FX$56-Voorblad!$F$41)/$U223-SUM($EE223:FW223)=1,1,0))))</f>
        <v>1</v>
      </c>
      <c r="FY223" s="8">
        <f>IF(FY$56-Voorblad!$F$41&gt;Voorblad!$K$41,0,IF($U223=0,0,IF($U223&lt;1,1/$U223,IF((FY$56-Voorblad!$F$41)/$U223-SUM($EE223:FX223)=1,1,0))))</f>
        <v>1</v>
      </c>
      <c r="FZ223" s="8">
        <f>IF(FZ$56-Voorblad!$F$41&gt;Voorblad!$K$41,0,IF($U223=0,0,IF($U223&lt;1,1/$U223,IF((FZ$56-Voorblad!$F$41)/$U223-SUM($EE223:FY223)=1,1,0))))</f>
        <v>1</v>
      </c>
      <c r="GA223" s="8">
        <f>IF(GA$56-Voorblad!$F$41&gt;Voorblad!$K$41,0,IF($U223=0,0,IF($U223&lt;1,1/$U223,IF((GA$56-Voorblad!$F$41)/$U223-SUM($EE223:FZ223)=1,1,0))))</f>
        <v>1</v>
      </c>
      <c r="GB223" s="8">
        <f>IF(GB$56-Voorblad!$F$41&gt;Voorblad!$K$41,0,IF($U223=0,0,IF($U223&lt;1,1/$U223,IF((GB$56-Voorblad!$F$41)/$U223-SUM($EE223:GA223)=1,1,0))))</f>
        <v>1</v>
      </c>
      <c r="GC223" s="8">
        <f>IF(GC$56-Voorblad!$F$41&gt;Voorblad!$K$41,0,IF($U223=0,0,IF($U223&lt;1,1/$U223,IF((GC$56-Voorblad!$F$41)/$U223-SUM($EE223:GB223)=1,1,0))))</f>
        <v>1</v>
      </c>
      <c r="GD223" s="8">
        <f>IF(GD$56-Voorblad!$F$41&gt;Voorblad!$K$41,0,IF($U223=0,0,IF($U223&lt;1,1/$U223,IF((GD$56-Voorblad!$F$41)/$U223-SUM($EE223:GC223)=1,1,0))))</f>
        <v>1</v>
      </c>
      <c r="GE223" s="8">
        <f>IF(GE$56-Voorblad!$F$41&gt;Voorblad!$K$41,0,IF($U223=0,0,IF($U223&lt;1,1/$U223,IF((GE$56-Voorblad!$F$41)/$U223-SUM($EE223:GD223)=1,1,0))))</f>
        <v>1</v>
      </c>
      <c r="GF223" s="8">
        <f>IF(GF$56-Voorblad!$F$41&gt;Voorblad!$K$41,0,IF($U223=0,0,IF($U223&lt;1,1/$U223,IF((GF$56-Voorblad!$F$41)/$U223-SUM($EE223:GE223)=1,1,0))))</f>
        <v>1</v>
      </c>
      <c r="GG223" s="8">
        <f>IF(GG$56-Voorblad!$F$41&gt;Voorblad!$K$41,0,IF($U223=0,0,IF($U223&lt;1,1/$U223,IF((GG$56-Voorblad!$F$41)/$U223-SUM($EE223:GF223)=1,1,0))))</f>
        <v>1</v>
      </c>
      <c r="GH223" s="8">
        <f>IF(GH$56-Voorblad!$F$41&gt;Voorblad!$K$41,0,IF($U223=0,0,IF($U223&lt;1,1/$U223,IF((GH$56-Voorblad!$F$41)/$U223-SUM($EE223:GG223)=1,1,0))))</f>
        <v>1</v>
      </c>
      <c r="GI223" s="8">
        <f>IF(GI$56-Voorblad!$F$41&gt;Voorblad!$K$41,0,IF($U223=0,0,IF($U223&lt;1,1/$U223,IF((GI$56-Voorblad!$F$41)/$U223-SUM($EE223:GH223)=1,1,0))))</f>
        <v>1</v>
      </c>
      <c r="GJ223" s="8">
        <f>IF(GJ$56-Voorblad!$F$41&gt;Voorblad!$K$41,0,IF($U223=0,0,IF($U223&lt;1,1/$U223,IF((GJ$56-Voorblad!$F$41)/$U223-SUM($EE223:GI223)=1,1,0))))</f>
        <v>1</v>
      </c>
      <c r="GK223" s="8">
        <f>IF(GK$56-Voorblad!$F$41&gt;Voorblad!$K$41,0,IF($U223=0,0,IF($U223&lt;1,1/$U223,IF((GK$56-Voorblad!$F$41)/$U223-SUM($EE223:GJ223)=1,1,0))))</f>
        <v>1</v>
      </c>
      <c r="GL223" s="8">
        <f>IF(GL$56-Voorblad!$F$41&gt;Voorblad!$K$41,0,IF($U223=0,0,IF($U223&lt;1,1/$U223,IF((GL$56-Voorblad!$F$41)/$U223-SUM($EE223:GK223)=1,1,0))))</f>
        <v>1</v>
      </c>
      <c r="GM223" s="8">
        <f>IF(GM$56-Voorblad!$F$41&gt;Voorblad!$K$41,0,IF($U223=0,0,IF($U223&lt;1,1/$U223,IF((GM$56-Voorblad!$F$41)/$U223-SUM($EE223:GL223)=1,1,0))))</f>
        <v>1</v>
      </c>
      <c r="GN223" s="8">
        <f>IF(GN$56-Voorblad!$F$41&gt;Voorblad!$K$41,0,IF($U223=0,0,IF($U223&lt;1,1/$U223,IF((GN$56-Voorblad!$F$41)/$U223-SUM($EE223:GM223)=1,1,0))))</f>
        <v>1</v>
      </c>
      <c r="GO223" s="8">
        <f>IF(GO$56-Voorblad!$F$41&gt;Voorblad!$K$41,0,IF($U223=0,0,IF($U223&lt;1,1/$U223,IF((GO$56-Voorblad!$F$41)/$U223-SUM($EE223:GN223)=1,1,0))))</f>
        <v>1</v>
      </c>
      <c r="GP223" s="8">
        <f>IF(GP$56-Voorblad!$F$41&gt;Voorblad!$K$41,0,IF($U223=0,0,IF($U223&lt;1,1/$U223,IF((GP$56-Voorblad!$F$41)/$U223-SUM($EE223:GO223)=1,1,0))))</f>
        <v>1</v>
      </c>
      <c r="GQ223" s="8">
        <f>IF(GQ$56-Voorblad!$F$41&gt;Voorblad!$K$41,0,IF($U223=0,0,IF($U223&lt;1,1/$U223,IF((GQ$56-Voorblad!$F$41)/$U223-SUM($EE223:GP223)=1,1,0))))</f>
        <v>1</v>
      </c>
      <c r="GR223" s="8">
        <f>IF(GR$56-Voorblad!$F$41&gt;Voorblad!$K$41,0,IF($U223=0,0,IF($U223&lt;1,1/$U223,IF((GR$56-Voorblad!$F$41)/$U223-SUM($EE223:GQ223)=1,1,0))))</f>
        <v>1</v>
      </c>
      <c r="GS223" s="8">
        <f>IF(GS$56-Voorblad!$F$41&gt;Voorblad!$K$41,0,IF($U223=0,0,IF($U223&lt;1,1/$U223,IF((GS$56-Voorblad!$F$41)/$U223-SUM($EE223:GR223)=1,1,0))))</f>
        <v>1</v>
      </c>
      <c r="GT223" s="8">
        <f>IF(GT$56-Voorblad!$F$41&gt;Voorblad!$K$41,0,IF($U223=0,0,IF($U223&lt;1,1/$U223,IF((GT$56-Voorblad!$F$41)/$U223-SUM($EE223:GS223)=1,1,0))))</f>
        <v>1</v>
      </c>
      <c r="GU223" s="8">
        <f>IF(GU$56-Voorblad!$F$41&gt;Voorblad!$K$41,0,IF($U223=0,0,IF($U223&lt;1,1/$U223,IF((GU$56-Voorblad!$F$41)/$U223-SUM($EE223:GT223)=1,1,0))))</f>
        <v>1</v>
      </c>
      <c r="GV223" s="8">
        <f>IF(GV$56-Voorblad!$F$41&gt;Voorblad!$K$41,0,IF($U223=0,0,IF($U223&lt;1,1/$U223,IF((GV$56-Voorblad!$F$41)/$U223-SUM($EE223:GU223)=1,1,0))))</f>
        <v>1</v>
      </c>
      <c r="GW223" s="8">
        <f>IF(GW$56-Voorblad!$F$41&gt;Voorblad!$K$41,0,IF($U223=0,0,IF($U223&lt;1,1/$U223,IF((GW$56-Voorblad!$F$41)/$U223-SUM($EE223:GV223)=1,1,0))))</f>
        <v>1</v>
      </c>
      <c r="GX223" s="8">
        <f>IF(GX$56-Voorblad!$F$41&gt;Voorblad!$K$41,0,IF($U223=0,0,IF($U223&lt;1,1/$U223,IF((GX$56-Voorblad!$F$41)/$U223-SUM($EE223:GW223)=1,1,0))))</f>
        <v>1</v>
      </c>
      <c r="GY223" s="8">
        <f>IF(GY$56-Voorblad!$F$41&gt;Voorblad!$K$41,0,IF($U223=0,0,IF($U223&lt;1,1/$U223,IF((GY$56-Voorblad!$F$41)/$U223-SUM($EE223:GX223)=1,1,0))))</f>
        <v>1</v>
      </c>
      <c r="GZ223" s="8">
        <f>IF(GZ$56-Voorblad!$F$41&gt;Voorblad!$K$41,0,IF($U223=0,0,IF($U223&lt;1,1/$U223,IF((GZ$56-Voorblad!$F$41)/$U223-SUM($EE223:GY223)=1,1,0))))</f>
        <v>1</v>
      </c>
      <c r="HA223" s="8">
        <f>IF(HA$56-Voorblad!$F$41&gt;Voorblad!$K$41,0,IF($U223=0,0,IF($U223&lt;1,1/$U223,IF((HA$56-Voorblad!$F$41)/$U223-SUM($EE223:GZ223)=1,1,0))))</f>
        <v>1</v>
      </c>
      <c r="HB223" s="8">
        <f>IF(HB$56-Voorblad!$F$41&gt;Voorblad!$K$41,0,IF($U223=0,0,IF($U223&lt;1,1/$U223,IF((HB$56-Voorblad!$F$41)/$U223-SUM($EE223:HA223)=1,1,0))))</f>
        <v>0</v>
      </c>
      <c r="HC223" s="8">
        <f>IF(HC$56-Voorblad!$F$41&gt;Voorblad!$K$41,0,IF($U223=0,0,IF($U223&lt;1,1/$U223,IF((HC$56-Voorblad!$F$41)/$U223-SUM($EE223:HB223)=1,1,0))))</f>
        <v>0</v>
      </c>
      <c r="HD223" s="8">
        <f>IF(HD$56-Voorblad!$F$41&gt;Voorblad!$K$41,0,IF($U223=0,0,IF($U223&lt;1,1/$U223,IF((HD$56-Voorblad!$F$41)/$U223-SUM($EE223:HC223)=1,1,0))))</f>
        <v>0</v>
      </c>
      <c r="HE223" s="8">
        <f>IF(HE$56-Voorblad!$F$41&gt;Voorblad!$K$41,0,IF($U223=0,0,IF($U223&lt;1,1/$U223,IF((HE$56-Voorblad!$F$41)/$U223-SUM($EE223:HD223)=1,1,0))))</f>
        <v>0</v>
      </c>
      <c r="HF223" s="8">
        <f>IF(HF$56-Voorblad!$F$41&gt;Voorblad!$K$41,0,IF($U223=0,0,IF($U223&lt;1,1/$U223,IF((HF$56-Voorblad!$F$41)/$U223-SUM($EE223:HE223)=1,1,0))))</f>
        <v>0</v>
      </c>
      <c r="HG223" s="8">
        <f>IF(HG$56-Voorblad!$F$41&gt;Voorblad!$K$41,0,IF($U223=0,0,IF($U223&lt;1,1/$U223,IF((HG$56-Voorblad!$F$41)/$U223-SUM($EE223:HF223)=1,1,0))))</f>
        <v>0</v>
      </c>
      <c r="HH223" s="8">
        <f>IF(HH$56-Voorblad!$F$41&gt;Voorblad!$K$41,0,IF($U223=0,0,IF($U223&lt;1,1/$U223,IF((HH$56-Voorblad!$F$41)/$U223-SUM($EE223:HG223)=1,1,0))))</f>
        <v>0</v>
      </c>
      <c r="HI223" s="8">
        <f>IF(HI$56-Voorblad!$F$41&gt;Voorblad!$K$41,0,IF($U223=0,0,IF($U223&lt;1,1/$U223,IF((HI$56-Voorblad!$F$41)/$U223-SUM($EE223:HH223)=1,1,0))))</f>
        <v>0</v>
      </c>
      <c r="HJ223" s="8">
        <f>IF(HJ$56-Voorblad!$F$41&gt;Voorblad!$K$41,0,IF($U223=0,0,IF($U223&lt;1,1/$U223,IF((HJ$56-Voorblad!$F$41)/$U223-SUM($EE223:HI223)=1,1,0))))</f>
        <v>0</v>
      </c>
      <c r="HK223" s="8">
        <f>IF(HK$56-Voorblad!$F$41&gt;Voorblad!$K$41,0,IF($U223=0,0,IF($U223&lt;1,1/$U223,IF((HK$56-Voorblad!$F$41)/$U223-SUM($EE223:HJ223)=1,1,0))))</f>
        <v>0</v>
      </c>
      <c r="HL223" s="8">
        <f>IF(HL$56-Voorblad!$F$41&gt;Voorblad!$K$41,0,IF($U223=0,0,IF($U223&lt;1,1/$U223,IF((HL$56-Voorblad!$F$41)/$U223-SUM($EE223:HK223)=1,1,0))))</f>
        <v>0</v>
      </c>
      <c r="HM223" s="8">
        <f>IF(HM$56-Voorblad!$F$41&gt;Voorblad!$K$41,0,IF($U223=0,0,IF($U223&lt;1,1/$U223,IF((HM$56-Voorblad!$F$41)/$U223-SUM($EE223:HL223)=1,1,0))))</f>
        <v>0</v>
      </c>
      <c r="HN223" s="8">
        <f>IF(HN$56-Voorblad!$F$41&gt;Voorblad!$K$41,0,IF($U223=0,0,IF($U223&lt;1,1/$U223,IF((HN$56-Voorblad!$F$41)/$U223-SUM($EE223:HM223)=1,1,0))))</f>
        <v>0</v>
      </c>
      <c r="HO223" s="8">
        <f>IF(HO$56-Voorblad!$F$41&gt;Voorblad!$K$41,0,IF($U223=0,0,IF($U223&lt;1,1/$U223,IF((HO$56-Voorblad!$F$41)/$U223-SUM($EE223:HN223)=1,1,0))))</f>
        <v>0</v>
      </c>
      <c r="HP223" s="8">
        <f>IF(HP$56-Voorblad!$F$41&gt;Voorblad!$K$41,0,IF($U223=0,0,IF($U223&lt;1,1/$U223,IF((HP$56-Voorblad!$F$41)/$U223-SUM($EE223:HO223)=1,1,0))))</f>
        <v>0</v>
      </c>
      <c r="HQ223" s="8">
        <f>IF(HQ$56-Voorblad!$F$41&gt;Voorblad!$K$41,0,IF($U223=0,0,IF($U223&lt;1,1/$U223,IF((HQ$56-Voorblad!$F$41)/$U223-SUM($EE223:HP223)=1,1,0))))</f>
        <v>0</v>
      </c>
      <c r="HR223" s="8">
        <f>IF(HR$56-Voorblad!$F$41&gt;Voorblad!$K$41,0,IF($U223=0,0,IF($U223&lt;1,1/$U223,IF((HR$56-Voorblad!$F$41)/$U223-SUM($EE223:HQ223)=1,1,0))))</f>
        <v>0</v>
      </c>
      <c r="HS223" s="8">
        <f>IF(HS$56-Voorblad!$F$41&gt;Voorblad!$K$41,0,IF($U223=0,0,IF($U223&lt;1,1/$U223,IF((HS$56-Voorblad!$F$41)/$U223-SUM($EE223:HR223)=1,1,0))))</f>
        <v>0</v>
      </c>
      <c r="HT223" s="8">
        <f>IF(HT$56-Voorblad!$F$41&gt;Voorblad!$K$41,0,IF($U223=0,0,IF($U223&lt;1,1/$U223,IF((HT$56-Voorblad!$F$41)/$U223-SUM($EE223:HS223)=1,1,0))))</f>
        <v>0</v>
      </c>
      <c r="HU223" s="8">
        <f>IF(HU$56-Voorblad!$F$41&gt;Voorblad!$K$41,0,IF($U223=0,0,IF($U223&lt;1,1/$U223,IF((HU$56-Voorblad!$F$41)/$U223-SUM($EE223:HT223)=1,1,0))))</f>
        <v>0</v>
      </c>
      <c r="HV223" s="8">
        <f>IF(HV$56-Voorblad!$F$41&gt;Voorblad!$K$41,0,IF($U223=0,0,IF($U223&lt;1,1/$U223,IF((HV$56-Voorblad!$F$41)/$U223-SUM($EE223:HU223)=1,1,0))))</f>
        <v>0</v>
      </c>
      <c r="HW223" s="8">
        <f>IF(HW$56-Voorblad!$F$41&gt;Voorblad!$K$41,0,IF($U223=0,0,IF($U223&lt;1,1/$U223,IF((HW$56-Voorblad!$F$41)/$U223-SUM($EE223:HV223)=1,1,0))))</f>
        <v>0</v>
      </c>
      <c r="HX223" s="8">
        <f>IF(HX$56-Voorblad!$F$41&gt;Voorblad!$K$41,0,IF($U223=0,0,IF($U223&lt;1,1/$U223,IF((HX$56-Voorblad!$F$41)/$U223-SUM($EE223:HW223)=1,1,0))))</f>
        <v>0</v>
      </c>
      <c r="HY223" s="8">
        <f>IF(HY$56-Voorblad!$F$41&gt;Voorblad!$K$41,0,IF($U223=0,0,IF($U223&lt;1,1/$U223,IF((HY$56-Voorblad!$F$41)/$U223-SUM($EE223:HX223)=1,1,0))))</f>
        <v>0</v>
      </c>
      <c r="HZ223" s="8">
        <f>IF(HZ$56-Voorblad!$F$41&gt;Voorblad!$K$41,0,IF($U223=0,0,IF($U223&lt;1,1/$U223,IF((HZ$56-Voorblad!$F$41)/$U223-SUM($EE223:HY223)=1,1,0))))</f>
        <v>0</v>
      </c>
      <c r="IA223" s="8">
        <f>IF(IA$56-Voorblad!$F$41&gt;Voorblad!$K$41,0,IF($U223=0,0,IF($U223&lt;1,1/$U223,IF((IA$56-Voorblad!$F$41)/$U223-SUM($EE223:HZ223)=1,1,0))))</f>
        <v>0</v>
      </c>
      <c r="IB223" s="8">
        <f>IF(IB$56-Voorblad!$F$41&gt;Voorblad!$K$41,0,IF($U223=0,0,IF($U223&lt;1,1/$U223,IF((IB$56-Voorblad!$F$41)/$U223-SUM($EE223:IA223)=1,1,0))))</f>
        <v>0</v>
      </c>
    </row>
    <row r="224" spans="2:236" outlineLevel="1" x14ac:dyDescent="0.25">
      <c r="B224" s="14">
        <v>1</v>
      </c>
      <c r="C224" s="14"/>
      <c r="F224" s="1" t="s">
        <v>58</v>
      </c>
      <c r="I224" s="1" t="s">
        <v>66</v>
      </c>
      <c r="K224" s="1" t="s">
        <v>89</v>
      </c>
      <c r="O224" s="1" t="s">
        <v>101</v>
      </c>
      <c r="Q224" s="81">
        <v>0</v>
      </c>
      <c r="R224" s="1" t="s">
        <v>33</v>
      </c>
      <c r="S224" s="21">
        <f>7%*T221</f>
        <v>13729.970520000001</v>
      </c>
      <c r="T224" s="14">
        <f>Q224*S224</f>
        <v>0</v>
      </c>
      <c r="U224" s="11">
        <v>1</v>
      </c>
      <c r="V224" s="14"/>
      <c r="W224" s="81">
        <v>0</v>
      </c>
      <c r="X224" s="6"/>
      <c r="Y224" s="9">
        <f t="shared" si="200"/>
        <v>0</v>
      </c>
      <c r="Z224" s="83"/>
      <c r="AA224" s="83"/>
      <c r="AC224" s="229">
        <f>$Y224*(Voorblad!$K$44*(1+Voorblad!$K$44)^Voorblad!$K$41)/((1+Voorblad!$K$44)^Voorblad!$K$41-1)</f>
        <v>0</v>
      </c>
      <c r="AE224" s="9">
        <f>IF($W224=AE$56,EF224*($Q224*$S224)/(1+Voorblad!$K$44)^(AE$56-Voorblad!$F$41),0)</f>
        <v>0</v>
      </c>
      <c r="AF224" s="9">
        <f>IF($W224=AF$56,EG224*($Q224*$S224)/(1+Voorblad!$K$44)^(AF$56-Voorblad!$F$41),0)</f>
        <v>0</v>
      </c>
      <c r="AG224" s="9">
        <f>IF($W224=AG$56,EH224*($Q224*$S224)/(1+Voorblad!$K$44)^(AG$56-Voorblad!$F$41),0)</f>
        <v>0</v>
      </c>
      <c r="AH224" s="9">
        <f>IF($W224=AH$56,EI224*($Q224*$S224)/(1+Voorblad!$K$44)^(AH$56-Voorblad!$F$41),0)</f>
        <v>0</v>
      </c>
      <c r="AI224" s="9">
        <f>IF($W224=AI$56,EJ224*($Q224*$S224)/(1+Voorblad!$K$44)^(AI$56-Voorblad!$F$41),0)</f>
        <v>0</v>
      </c>
      <c r="AJ224" s="9">
        <f>IF($W224=AJ$56,EK224*($Q224*$S224)/(1+Voorblad!$K$44)^(AJ$56-Voorblad!$F$41),0)</f>
        <v>0</v>
      </c>
      <c r="AK224" s="9">
        <f>IF($W224=AK$56,EL224*($Q224*$S224)/(1+Voorblad!$K$44)^(AK$56-Voorblad!$F$41),0)</f>
        <v>0</v>
      </c>
      <c r="AL224" s="9">
        <f>IF($W224=AL$56,EM224*($Q224*$S224)/(1+Voorblad!$K$44)^(AL$56-Voorblad!$F$41),0)</f>
        <v>0</v>
      </c>
      <c r="AM224" s="9">
        <f>IF($W224=AM$56,EN224*($Q224*$S224)/(1+Voorblad!$K$44)^(AM$56-Voorblad!$F$41),0)</f>
        <v>0</v>
      </c>
      <c r="AN224" s="9">
        <f>IF($W224=AN$56,EO224*($Q224*$S224)/(1+Voorblad!$K$44)^(AN$56-Voorblad!$F$41),0)</f>
        <v>0</v>
      </c>
      <c r="AO224" s="9">
        <f>IF($W224=AO$56,EP224*($Q224*$S224)/(1+Voorblad!$K$44)^(AO$56-Voorblad!$F$41),0)</f>
        <v>0</v>
      </c>
      <c r="AP224" s="9">
        <f>IF($W224=AP$56,EQ224*($Q224*$S224)/(1+Voorblad!$K$44)^(AP$56-Voorblad!$F$41),0)</f>
        <v>0</v>
      </c>
      <c r="AQ224" s="9">
        <f>IF($W224=AQ$56,ER224*($Q224*$S224)/(1+Voorblad!$K$44)^(AQ$56-Voorblad!$F$41),0)</f>
        <v>0</v>
      </c>
      <c r="AR224" s="9">
        <f>IF($W224=AR$56,ES224*($Q224*$S224)/(1+Voorblad!$K$44)^(AR$56-Voorblad!$F$41),0)</f>
        <v>0</v>
      </c>
      <c r="AS224" s="9">
        <f>IF($W224=AS$56,ET224*($Q224*$S224)/(1+Voorblad!$K$44)^(AS$56-Voorblad!$F$41),0)</f>
        <v>0</v>
      </c>
      <c r="AT224" s="9">
        <f>IF($W224=AT$56,EU224*($Q224*$S224)/(1+Voorblad!$K$44)^(AT$56-Voorblad!$F$41),0)</f>
        <v>0</v>
      </c>
      <c r="AU224" s="9">
        <f>IF($W224=AU$56,EV224*($Q224*$S224)/(1+Voorblad!$K$44)^(AU$56-Voorblad!$F$41),0)</f>
        <v>0</v>
      </c>
      <c r="AV224" s="9">
        <f>IF($W224=AV$56,EW224*($Q224*$S224)/(1+Voorblad!$K$44)^(AV$56-Voorblad!$F$41),0)</f>
        <v>0</v>
      </c>
      <c r="AW224" s="9">
        <f>IF($W224=AW$56,EX224*($Q224*$S224)/(1+Voorblad!$K$44)^(AW$56-Voorblad!$F$41),0)</f>
        <v>0</v>
      </c>
      <c r="AX224" s="9">
        <f>IF($W224=AX$56,EY224*($Q224*$S224)/(1+Voorblad!$K$44)^(AX$56-Voorblad!$F$41),0)</f>
        <v>0</v>
      </c>
      <c r="AY224" s="9">
        <f>IF($W224=AY$56,EZ224*($Q224*$S224)/(1+Voorblad!$K$44)^(AY$56-Voorblad!$F$41),0)</f>
        <v>0</v>
      </c>
      <c r="AZ224" s="9">
        <f>IF($W224=AZ$56,FA224*($Q224*$S224)/(1+Voorblad!$K$44)^(AZ$56-Voorblad!$F$41),0)</f>
        <v>0</v>
      </c>
      <c r="BA224" s="9">
        <f>IF($W224=BA$56,FB224*($Q224*$S224)/(1+Voorblad!$K$44)^(BA$56-Voorblad!$F$41),0)</f>
        <v>0</v>
      </c>
      <c r="BB224" s="9">
        <f>IF($W224=BB$56,FC224*($Q224*$S224)/(1+Voorblad!$K$44)^(BB$56-Voorblad!$F$41),0)</f>
        <v>0</v>
      </c>
      <c r="BC224" s="9">
        <f>IF($W224=BC$56,FD224*($Q224*$S224)/(1+Voorblad!$K$44)^(BC$56-Voorblad!$F$41),0)</f>
        <v>0</v>
      </c>
      <c r="BD224" s="9">
        <f>IF($W224=BD$56,FE224*($Q224*$S224)/(1+Voorblad!$K$44)^(BD$56-Voorblad!$F$41),0)</f>
        <v>0</v>
      </c>
      <c r="BE224" s="9">
        <f>IF($W224=BE$56,FF224*($Q224*$S224)/(1+Voorblad!$K$44)^(BE$56-Voorblad!$F$41),0)</f>
        <v>0</v>
      </c>
      <c r="BF224" s="9">
        <f>IF($W224=BF$56,FG224*($Q224*$S224)/(1+Voorblad!$K$44)^(BF$56-Voorblad!$F$41),0)</f>
        <v>0</v>
      </c>
      <c r="BG224" s="9">
        <f>IF($W224=BG$56,FH224*($Q224*$S224)/(1+Voorblad!$K$44)^(BG$56-Voorblad!$F$41),0)</f>
        <v>0</v>
      </c>
      <c r="BH224" s="9">
        <f>IF($W224=BH$56,FI224*($Q224*$S224)/(1+Voorblad!$K$44)^(BH$56-Voorblad!$F$41),0)</f>
        <v>0</v>
      </c>
      <c r="BI224" s="9">
        <f>IF($W224=BI$56,FJ224*($Q224*$S224)/(1+Voorblad!$K$44)^(BI$56-Voorblad!$F$41),0)</f>
        <v>0</v>
      </c>
      <c r="BJ224" s="9">
        <f>IF($W224=BJ$56,FK224*($Q224*$S224)/(1+Voorblad!$K$44)^(BJ$56-Voorblad!$F$41),0)</f>
        <v>0</v>
      </c>
      <c r="BK224" s="9">
        <f>IF($W224=BK$56,FL224*($Q224*$S224)/(1+Voorblad!$K$44)^(BK$56-Voorblad!$F$41),0)</f>
        <v>0</v>
      </c>
      <c r="BL224" s="9">
        <f>IF($W224=BL$56,FM224*($Q224*$S224)/(1+Voorblad!$K$44)^(BL$56-Voorblad!$F$41),0)</f>
        <v>0</v>
      </c>
      <c r="BM224" s="9">
        <f>IF($W224=BM$56,FN224*($Q224*$S224)/(1+Voorblad!$K$44)^(BM$56-Voorblad!$F$41),0)</f>
        <v>0</v>
      </c>
      <c r="BN224" s="9">
        <f>IF($W224=BN$56,FO224*($Q224*$S224)/(1+Voorblad!$K$44)^(BN$56-Voorblad!$F$41),0)</f>
        <v>0</v>
      </c>
      <c r="BO224" s="9">
        <f>IF($W224=BO$56,FP224*($Q224*$S224)/(1+Voorblad!$K$44)^(BO$56-Voorblad!$F$41),0)</f>
        <v>0</v>
      </c>
      <c r="BP224" s="9">
        <f>IF($W224=BP$56,FQ224*($Q224*$S224)/(1+Voorblad!$K$44)^(BP$56-Voorblad!$F$41),0)</f>
        <v>0</v>
      </c>
      <c r="BQ224" s="9">
        <f>IF($W224=BQ$56,FR224*($Q224*$S224)/(1+Voorblad!$K$44)^(BQ$56-Voorblad!$F$41),0)</f>
        <v>0</v>
      </c>
      <c r="BR224" s="9">
        <f>IF($W224=BR$56,FS224*($Q224*$S224)/(1+Voorblad!$K$44)^(BR$56-Voorblad!$F$41),0)</f>
        <v>0</v>
      </c>
      <c r="BS224" s="9">
        <f>IF($W224=BS$56,FT224*($Q224*$S224)/(1+Voorblad!$K$44)^(BS$56-Voorblad!$F$41),0)</f>
        <v>0</v>
      </c>
      <c r="BT224" s="9">
        <f>IF($W224=BT$56,FU224*($Q224*$S224)/(1+Voorblad!$K$44)^(BT$56-Voorblad!$F$41),0)</f>
        <v>0</v>
      </c>
      <c r="BU224" s="9">
        <f>IF($W224=BU$56,FV224*($Q224*$S224)/(1+Voorblad!$K$44)^(BU$56-Voorblad!$F$41),0)</f>
        <v>0</v>
      </c>
      <c r="BV224" s="9">
        <f>IF($W224=BV$56,FW224*($Q224*$S224)/(1+Voorblad!$K$44)^(BV$56-Voorblad!$F$41),0)</f>
        <v>0</v>
      </c>
      <c r="BW224" s="9">
        <f>IF($W224=BW$56,FX224*($Q224*$S224)/(1+Voorblad!$K$44)^(BW$56-Voorblad!$F$41),0)</f>
        <v>0</v>
      </c>
      <c r="BX224" s="9">
        <f>IF($W224=BX$56,FY224*($Q224*$S224)/(1+Voorblad!$K$44)^(BX$56-Voorblad!$F$41),0)</f>
        <v>0</v>
      </c>
      <c r="BY224" s="9">
        <f>IF($W224=BY$56,FZ224*($Q224*$S224)/(1+Voorblad!$K$44)^(BY$56-Voorblad!$F$41),0)</f>
        <v>0</v>
      </c>
      <c r="BZ224" s="9">
        <f>IF($W224=BZ$56,GA224*($Q224*$S224)/(1+Voorblad!$K$44)^(BZ$56-Voorblad!$F$41),0)</f>
        <v>0</v>
      </c>
      <c r="CA224" s="9">
        <f>IF($W224=CA$56,GB224*($Q224*$S224)/(1+Voorblad!$K$44)^(CA$56-Voorblad!$F$41),0)</f>
        <v>0</v>
      </c>
      <c r="CB224" s="9">
        <f>IF($W224=CB$56,GC224*($Q224*$S224)/(1+Voorblad!$K$44)^(CB$56-Voorblad!$F$41),0)</f>
        <v>0</v>
      </c>
      <c r="CC224" s="9">
        <f>IF($W224=CC$56,GD224*($Q224*$S224)/(1+Voorblad!$K$44)^(CC$56-Voorblad!$F$41),0)</f>
        <v>0</v>
      </c>
      <c r="CD224" s="9">
        <f>IF($W224=CD$56,GE224*($Q224*$S224)/(1+Voorblad!$K$44)^(CD$56-Voorblad!$F$41),0)</f>
        <v>0</v>
      </c>
      <c r="CE224" s="9">
        <f>IF($W224=CE$56,GF224*($Q224*$S224)/(1+Voorblad!$K$44)^(CE$56-Voorblad!$F$41),0)</f>
        <v>0</v>
      </c>
      <c r="CF224" s="9">
        <f>IF($W224=CF$56,GG224*($Q224*$S224)/(1+Voorblad!$K$44)^(CF$56-Voorblad!$F$41),0)</f>
        <v>0</v>
      </c>
      <c r="CG224" s="9">
        <f>IF($W224=CG$56,GH224*($Q224*$S224)/(1+Voorblad!$K$44)^(CG$56-Voorblad!$F$41),0)</f>
        <v>0</v>
      </c>
      <c r="CH224" s="9">
        <f>IF($W224=CH$56,GI224*($Q224*$S224)/(1+Voorblad!$K$44)^(CH$56-Voorblad!$F$41),0)</f>
        <v>0</v>
      </c>
      <c r="CI224" s="9">
        <f>IF($W224=CI$56,GJ224*($Q224*$S224)/(1+Voorblad!$K$44)^(CI$56-Voorblad!$F$41),0)</f>
        <v>0</v>
      </c>
      <c r="CJ224" s="9">
        <f>IF($W224=CJ$56,GK224*($Q224*$S224)/(1+Voorblad!$K$44)^(CJ$56-Voorblad!$F$41),0)</f>
        <v>0</v>
      </c>
      <c r="CK224" s="9">
        <f>IF($W224=CK$56,GL224*($Q224*$S224)/(1+Voorblad!$K$44)^(CK$56-Voorblad!$F$41),0)</f>
        <v>0</v>
      </c>
      <c r="CL224" s="9">
        <f>IF($W224=CL$56,GM224*($Q224*$S224)/(1+Voorblad!$K$44)^(CL$56-Voorblad!$F$41),0)</f>
        <v>0</v>
      </c>
      <c r="CM224" s="9">
        <f>IF($W224=CM$56,GN224*($Q224*$S224)/(1+Voorblad!$K$44)^(CM$56-Voorblad!$F$41),0)</f>
        <v>0</v>
      </c>
      <c r="CN224" s="9">
        <f>IF($W224=CN$56,GO224*($Q224*$S224)/(1+Voorblad!$K$44)^(CN$56-Voorblad!$F$41),0)</f>
        <v>0</v>
      </c>
      <c r="CO224" s="9">
        <f>IF($W224=CO$56,GP224*($Q224*$S224)/(1+Voorblad!$K$44)^(CO$56-Voorblad!$F$41),0)</f>
        <v>0</v>
      </c>
      <c r="CP224" s="9">
        <f>IF($W224=CP$56,GQ224*($Q224*$S224)/(1+Voorblad!$K$44)^(CP$56-Voorblad!$F$41),0)</f>
        <v>0</v>
      </c>
      <c r="CQ224" s="9">
        <f>IF($W224=CQ$56,GR224*($Q224*$S224)/(1+Voorblad!$K$44)^(CQ$56-Voorblad!$F$41),0)</f>
        <v>0</v>
      </c>
      <c r="CR224" s="9">
        <f>IF($W224=CR$56,GS224*($Q224*$S224)/(1+Voorblad!$K$44)^(CR$56-Voorblad!$F$41),0)</f>
        <v>0</v>
      </c>
      <c r="CS224" s="9">
        <f>IF($W224=CS$56,GT224*($Q224*$S224)/(1+Voorblad!$K$44)^(CS$56-Voorblad!$F$41),0)</f>
        <v>0</v>
      </c>
      <c r="CT224" s="9">
        <f>IF($W224=CT$56,GU224*($Q224*$S224)/(1+Voorblad!$K$44)^(CT$56-Voorblad!$F$41),0)</f>
        <v>0</v>
      </c>
      <c r="CU224" s="9">
        <f>IF($W224=CU$56,GV224*($Q224*$S224)/(1+Voorblad!$K$44)^(CU$56-Voorblad!$F$41),0)</f>
        <v>0</v>
      </c>
      <c r="CV224" s="9">
        <f>IF($W224=CV$56,GW224*($Q224*$S224)/(1+Voorblad!$K$44)^(CV$56-Voorblad!$F$41),0)</f>
        <v>0</v>
      </c>
      <c r="CW224" s="9">
        <f>IF($W224=CW$56,GX224*($Q224*$S224)/(1+Voorblad!$K$44)^(CW$56-Voorblad!$F$41),0)</f>
        <v>0</v>
      </c>
      <c r="CX224" s="9">
        <f>IF($W224=CX$56,GY224*($Q224*$S224)/(1+Voorblad!$K$44)^(CX$56-Voorblad!$F$41),0)</f>
        <v>0</v>
      </c>
      <c r="CY224" s="9">
        <f>IF($W224=CY$56,GZ224*($Q224*$S224)/(1+Voorblad!$K$44)^(CY$56-Voorblad!$F$41),0)</f>
        <v>0</v>
      </c>
      <c r="CZ224" s="9">
        <f>IF($W224=CZ$56,HA224*($Q224*$S224)/(1+Voorblad!$K$44)^(CZ$56-Voorblad!$F$41),0)</f>
        <v>0</v>
      </c>
      <c r="DA224" s="9">
        <f>IF($W224=DA$56,HB224*($Q224*$S224)/(1+Voorblad!$K$44)^(DA$56-Voorblad!$F$41),0)</f>
        <v>0</v>
      </c>
      <c r="DB224" s="9">
        <f>IF($W224=DB$56,HC224*($Q224*$S224)/(1+Voorblad!$K$44)^(DB$56-Voorblad!$F$41),0)</f>
        <v>0</v>
      </c>
      <c r="DC224" s="9">
        <f>IF($W224=DC$56,HD224*($Q224*$S224)/(1+Voorblad!$K$44)^(DC$56-Voorblad!$F$41),0)</f>
        <v>0</v>
      </c>
      <c r="DD224" s="9">
        <f>IF($W224=DD$56,HE224*($Q224*$S224)/(1+Voorblad!$K$44)^(DD$56-Voorblad!$F$41),0)</f>
        <v>0</v>
      </c>
      <c r="DE224" s="9">
        <f>IF($W224=DE$56,HF224*($Q224*$S224)/(1+Voorblad!$K$44)^(DE$56-Voorblad!$F$41),0)</f>
        <v>0</v>
      </c>
      <c r="DF224" s="9">
        <f>IF($W224=DF$56,HG224*($Q224*$S224)/(1+Voorblad!$K$44)^(DF$56-Voorblad!$F$41),0)</f>
        <v>0</v>
      </c>
      <c r="DG224" s="9">
        <f>IF($W224=DG$56,HH224*($Q224*$S224)/(1+Voorblad!$K$44)^(DG$56-Voorblad!$F$41),0)</f>
        <v>0</v>
      </c>
      <c r="DH224" s="9">
        <f>IF($W224=DH$56,HI224*($Q224*$S224)/(1+Voorblad!$K$44)^(DH$56-Voorblad!$F$41),0)</f>
        <v>0</v>
      </c>
      <c r="DI224" s="9">
        <f>IF($W224=DI$56,HJ224*($Q224*$S224)/(1+Voorblad!$K$44)^(DI$56-Voorblad!$F$41),0)</f>
        <v>0</v>
      </c>
      <c r="DJ224" s="9">
        <f>IF($W224=DJ$56,HK224*($Q224*$S224)/(1+Voorblad!$K$44)^(DJ$56-Voorblad!$F$41),0)</f>
        <v>0</v>
      </c>
      <c r="DK224" s="9">
        <f>IF($W224=DK$56,HL224*($Q224*$S224)/(1+Voorblad!$K$44)^(DK$56-Voorblad!$F$41),0)</f>
        <v>0</v>
      </c>
      <c r="DL224" s="9">
        <f>IF($W224=DL$56,HM224*($Q224*$S224)/(1+Voorblad!$K$44)^(DL$56-Voorblad!$F$41),0)</f>
        <v>0</v>
      </c>
      <c r="DM224" s="9">
        <f>IF($W224=DM$56,HN224*($Q224*$S224)/(1+Voorblad!$K$44)^(DM$56-Voorblad!$F$41),0)</f>
        <v>0</v>
      </c>
      <c r="DN224" s="9">
        <f>IF($W224=DN$56,HO224*($Q224*$S224)/(1+Voorblad!$K$44)^(DN$56-Voorblad!$F$41),0)</f>
        <v>0</v>
      </c>
      <c r="DO224" s="9">
        <f>IF($W224=DO$56,HP224*($Q224*$S224)/(1+Voorblad!$K$44)^(DO$56-Voorblad!$F$41),0)</f>
        <v>0</v>
      </c>
      <c r="DP224" s="9">
        <f>IF($W224=DP$56,HQ224*($Q224*$S224)/(1+Voorblad!$K$44)^(DP$56-Voorblad!$F$41),0)</f>
        <v>0</v>
      </c>
      <c r="DQ224" s="9">
        <f>IF($W224=DQ$56,HR224*($Q224*$S224)/(1+Voorblad!$K$44)^(DQ$56-Voorblad!$F$41),0)</f>
        <v>0</v>
      </c>
      <c r="DR224" s="9">
        <f>IF($W224=DR$56,HS224*($Q224*$S224)/(1+Voorblad!$K$44)^(DR$56-Voorblad!$F$41),0)</f>
        <v>0</v>
      </c>
      <c r="DS224" s="9">
        <f>IF($W224=DS$56,HT224*($Q224*$S224)/(1+Voorblad!$K$44)^(DS$56-Voorblad!$F$41),0)</f>
        <v>0</v>
      </c>
      <c r="DT224" s="9">
        <f>IF($W224=DT$56,HU224*($Q224*$S224)/(1+Voorblad!$K$44)^(DT$56-Voorblad!$F$41),0)</f>
        <v>0</v>
      </c>
      <c r="DU224" s="9">
        <f>IF($W224=DU$56,HV224*($Q224*$S224)/(1+Voorblad!$K$44)^(DU$56-Voorblad!$F$41),0)</f>
        <v>0</v>
      </c>
      <c r="DV224" s="9">
        <f>IF($W224=DV$56,HW224*($Q224*$S224)/(1+Voorblad!$K$44)^(DV$56-Voorblad!$F$41),0)</f>
        <v>0</v>
      </c>
      <c r="DW224" s="9">
        <f>IF($W224=DW$56,HX224*($Q224*$S224)/(1+Voorblad!$K$44)^(DW$56-Voorblad!$F$41),0)</f>
        <v>0</v>
      </c>
      <c r="DX224" s="9">
        <f>IF($W224=DX$56,HY224*($Q224*$S224)/(1+Voorblad!$K$44)^(DX$56-Voorblad!$F$41),0)</f>
        <v>0</v>
      </c>
      <c r="DY224" s="9">
        <f>IF($W224=DY$56,HZ224*($Q224*$S224)/(1+Voorblad!$K$44)^(DY$56-Voorblad!$F$41),0)</f>
        <v>0</v>
      </c>
      <c r="DZ224" s="9">
        <f>IF($W224=DZ$56,IA224*($Q224*$S224)/(1+Voorblad!$K$44)^(DZ$56-Voorblad!$F$41),0)</f>
        <v>0</v>
      </c>
      <c r="EA224" s="9">
        <f>IF($W224=EA$56,IB224*($Q224*$S224)/(1+Voorblad!$K$44)^(EA$56-Voorblad!$F$41),0)</f>
        <v>0</v>
      </c>
      <c r="EB224" s="9">
        <f>IF($W224=EB$56,IC224*($Q224*$S224)/(1+Voorblad!$K$44)^(EB$56-Voorblad!$F$41),0)</f>
        <v>0</v>
      </c>
      <c r="EE224" s="8">
        <v>0</v>
      </c>
      <c r="EF224" s="8">
        <f>IF(EF$56-Voorblad!$F$41&gt;Voorblad!$K$41,0,IF($U224=0,0,IF($U224&lt;1,1/$U224,IF((EF$56-Voorblad!$F$41)/$U224-SUM($EE224:EE224)=1,1,0))))</f>
        <v>0</v>
      </c>
      <c r="EG224" s="8">
        <f>IF(EG$56-Voorblad!$F$41&gt;Voorblad!$K$41,0,IF($U224=0,0,IF($U224&lt;1,1/$U224,IF((EG$56-Voorblad!$F$41)/$U224-SUM($EE224:EF224)=1,1,0))))</f>
        <v>1</v>
      </c>
      <c r="EH224" s="8">
        <f>IF(EH$56-Voorblad!$F$41&gt;Voorblad!$K$41,0,IF($U224=0,0,IF($U224&lt;1,1/$U224,IF((EH$56-Voorblad!$F$41)/$U224-SUM($EE224:EG224)=1,1,0))))</f>
        <v>1</v>
      </c>
      <c r="EI224" s="8">
        <f>IF(EI$56-Voorblad!$F$41&gt;Voorblad!$K$41,0,IF($U224=0,0,IF($U224&lt;1,1/$U224,IF((EI$56-Voorblad!$F$41)/$U224-SUM($EE224:EH224)=1,1,0))))</f>
        <v>1</v>
      </c>
      <c r="EJ224" s="8">
        <f>IF(EJ$56-Voorblad!$F$41&gt;Voorblad!$K$41,0,IF($U224=0,0,IF($U224&lt;1,1/$U224,IF((EJ$56-Voorblad!$F$41)/$U224-SUM($EE224:EI224)=1,1,0))))</f>
        <v>1</v>
      </c>
      <c r="EK224" s="8">
        <f>IF(EK$56-Voorblad!$F$41&gt;Voorblad!$K$41,0,IF($U224=0,0,IF($U224&lt;1,1/$U224,IF((EK$56-Voorblad!$F$41)/$U224-SUM($EE224:EJ224)=1,1,0))))</f>
        <v>1</v>
      </c>
      <c r="EL224" s="8">
        <f>IF(EL$56-Voorblad!$F$41&gt;Voorblad!$K$41,0,IF($U224=0,0,IF($U224&lt;1,1/$U224,IF((EL$56-Voorblad!$F$41)/$U224-SUM($EE224:EK224)=1,1,0))))</f>
        <v>1</v>
      </c>
      <c r="EM224" s="8">
        <f>IF(EM$56-Voorblad!$F$41&gt;Voorblad!$K$41,0,IF($U224=0,0,IF($U224&lt;1,1/$U224,IF((EM$56-Voorblad!$F$41)/$U224-SUM($EE224:EL224)=1,1,0))))</f>
        <v>1</v>
      </c>
      <c r="EN224" s="8">
        <f>IF(EN$56-Voorblad!$F$41&gt;Voorblad!$K$41,0,IF($U224=0,0,IF($U224&lt;1,1/$U224,IF((EN$56-Voorblad!$F$41)/$U224-SUM($EE224:EM224)=1,1,0))))</f>
        <v>1</v>
      </c>
      <c r="EO224" s="8">
        <f>IF(EO$56-Voorblad!$F$41&gt;Voorblad!$K$41,0,IF($U224=0,0,IF($U224&lt;1,1/$U224,IF((EO$56-Voorblad!$F$41)/$U224-SUM($EE224:EN224)=1,1,0))))</f>
        <v>1</v>
      </c>
      <c r="EP224" s="8">
        <f>IF(EP$56-Voorblad!$F$41&gt;Voorblad!$K$41,0,IF($U224=0,0,IF($U224&lt;1,1/$U224,IF((EP$56-Voorblad!$F$41)/$U224-SUM($EE224:EO224)=1,1,0))))</f>
        <v>1</v>
      </c>
      <c r="EQ224" s="8">
        <f>IF(EQ$56-Voorblad!$F$41&gt;Voorblad!$K$41,0,IF($U224=0,0,IF($U224&lt;1,1/$U224,IF((EQ$56-Voorblad!$F$41)/$U224-SUM($EE224:EP224)=1,1,0))))</f>
        <v>1</v>
      </c>
      <c r="ER224" s="8">
        <f>IF(ER$56-Voorblad!$F$41&gt;Voorblad!$K$41,0,IF($U224=0,0,IF($U224&lt;1,1/$U224,IF((ER$56-Voorblad!$F$41)/$U224-SUM($EE224:EQ224)=1,1,0))))</f>
        <v>1</v>
      </c>
      <c r="ES224" s="8">
        <f>IF(ES$56-Voorblad!$F$41&gt;Voorblad!$K$41,0,IF($U224=0,0,IF($U224&lt;1,1/$U224,IF((ES$56-Voorblad!$F$41)/$U224-SUM($EE224:ER224)=1,1,0))))</f>
        <v>1</v>
      </c>
      <c r="ET224" s="8">
        <f>IF(ET$56-Voorblad!$F$41&gt;Voorblad!$K$41,0,IF($U224=0,0,IF($U224&lt;1,1/$U224,IF((ET$56-Voorblad!$F$41)/$U224-SUM($EE224:ES224)=1,1,0))))</f>
        <v>1</v>
      </c>
      <c r="EU224" s="8">
        <f>IF(EU$56-Voorblad!$F$41&gt;Voorblad!$K$41,0,IF($U224=0,0,IF($U224&lt;1,1/$U224,IF((EU$56-Voorblad!$F$41)/$U224-SUM($EE224:ET224)=1,1,0))))</f>
        <v>1</v>
      </c>
      <c r="EV224" s="8">
        <f>IF(EV$56-Voorblad!$F$41&gt;Voorblad!$K$41,0,IF($U224=0,0,IF($U224&lt;1,1/$U224,IF((EV$56-Voorblad!$F$41)/$U224-SUM($EE224:EU224)=1,1,0))))</f>
        <v>1</v>
      </c>
      <c r="EW224" s="8">
        <f>IF(EW$56-Voorblad!$F$41&gt;Voorblad!$K$41,0,IF($U224=0,0,IF($U224&lt;1,1/$U224,IF((EW$56-Voorblad!$F$41)/$U224-SUM($EE224:EV224)=1,1,0))))</f>
        <v>1</v>
      </c>
      <c r="EX224" s="8">
        <f>IF(EX$56-Voorblad!$F$41&gt;Voorblad!$K$41,0,IF($U224=0,0,IF($U224&lt;1,1/$U224,IF((EX$56-Voorblad!$F$41)/$U224-SUM($EE224:EW224)=1,1,0))))</f>
        <v>1</v>
      </c>
      <c r="EY224" s="8">
        <f>IF(EY$56-Voorblad!$F$41&gt;Voorblad!$K$41,0,IF($U224=0,0,IF($U224&lt;1,1/$U224,IF((EY$56-Voorblad!$F$41)/$U224-SUM($EE224:EX224)=1,1,0))))</f>
        <v>1</v>
      </c>
      <c r="EZ224" s="8">
        <f>IF(EZ$56-Voorblad!$F$41&gt;Voorblad!$K$41,0,IF($U224=0,0,IF($U224&lt;1,1/$U224,IF((EZ$56-Voorblad!$F$41)/$U224-SUM($EE224:EY224)=1,1,0))))</f>
        <v>1</v>
      </c>
      <c r="FA224" s="8">
        <f>IF(FA$56-Voorblad!$F$41&gt;Voorblad!$K$41,0,IF($U224=0,0,IF($U224&lt;1,1/$U224,IF((FA$56-Voorblad!$F$41)/$U224-SUM($EE224:EZ224)=1,1,0))))</f>
        <v>1</v>
      </c>
      <c r="FB224" s="8">
        <f>IF(FB$56-Voorblad!$F$41&gt;Voorblad!$K$41,0,IF($U224=0,0,IF($U224&lt;1,1/$U224,IF((FB$56-Voorblad!$F$41)/$U224-SUM($EE224:FA224)=1,1,0))))</f>
        <v>1</v>
      </c>
      <c r="FC224" s="8">
        <f>IF(FC$56-Voorblad!$F$41&gt;Voorblad!$K$41,0,IF($U224=0,0,IF($U224&lt;1,1/$U224,IF((FC$56-Voorblad!$F$41)/$U224-SUM($EE224:FB224)=1,1,0))))</f>
        <v>1</v>
      </c>
      <c r="FD224" s="8">
        <f>IF(FD$56-Voorblad!$F$41&gt;Voorblad!$K$41,0,IF($U224=0,0,IF($U224&lt;1,1/$U224,IF((FD$56-Voorblad!$F$41)/$U224-SUM($EE224:FC224)=1,1,0))))</f>
        <v>1</v>
      </c>
      <c r="FE224" s="8">
        <f>IF(FE$56-Voorblad!$F$41&gt;Voorblad!$K$41,0,IF($U224=0,0,IF($U224&lt;1,1/$U224,IF((FE$56-Voorblad!$F$41)/$U224-SUM($EE224:FD224)=1,1,0))))</f>
        <v>1</v>
      </c>
      <c r="FF224" s="8">
        <f>IF(FF$56-Voorblad!$F$41&gt;Voorblad!$K$41,0,IF($U224=0,0,IF($U224&lt;1,1/$U224,IF((FF$56-Voorblad!$F$41)/$U224-SUM($EE224:FE224)=1,1,0))))</f>
        <v>1</v>
      </c>
      <c r="FG224" s="8">
        <f>IF(FG$56-Voorblad!$F$41&gt;Voorblad!$K$41,0,IF($U224=0,0,IF($U224&lt;1,1/$U224,IF((FG$56-Voorblad!$F$41)/$U224-SUM($EE224:FF224)=1,1,0))))</f>
        <v>1</v>
      </c>
      <c r="FH224" s="8">
        <f>IF(FH$56-Voorblad!$F$41&gt;Voorblad!$K$41,0,IF($U224=0,0,IF($U224&lt;1,1/$U224,IF((FH$56-Voorblad!$F$41)/$U224-SUM($EE224:FG224)=1,1,0))))</f>
        <v>1</v>
      </c>
      <c r="FI224" s="8">
        <f>IF(FI$56-Voorblad!$F$41&gt;Voorblad!$K$41,0,IF($U224=0,0,IF($U224&lt;1,1/$U224,IF((FI$56-Voorblad!$F$41)/$U224-SUM($EE224:FH224)=1,1,0))))</f>
        <v>1</v>
      </c>
      <c r="FJ224" s="8">
        <f>IF(FJ$56-Voorblad!$F$41&gt;Voorblad!$K$41,0,IF($U224=0,0,IF($U224&lt;1,1/$U224,IF((FJ$56-Voorblad!$F$41)/$U224-SUM($EE224:FI224)=1,1,0))))</f>
        <v>1</v>
      </c>
      <c r="FK224" s="8">
        <f>IF(FK$56-Voorblad!$F$41&gt;Voorblad!$K$41,0,IF($U224=0,0,IF($U224&lt;1,1/$U224,IF((FK$56-Voorblad!$F$41)/$U224-SUM($EE224:FJ224)=1,1,0))))</f>
        <v>1</v>
      </c>
      <c r="FL224" s="8">
        <f>IF(FL$56-Voorblad!$F$41&gt;Voorblad!$K$41,0,IF($U224=0,0,IF($U224&lt;1,1/$U224,IF((FL$56-Voorblad!$F$41)/$U224-SUM($EE224:FK224)=1,1,0))))</f>
        <v>1</v>
      </c>
      <c r="FM224" s="8">
        <f>IF(FM$56-Voorblad!$F$41&gt;Voorblad!$K$41,0,IF($U224=0,0,IF($U224&lt;1,1/$U224,IF((FM$56-Voorblad!$F$41)/$U224-SUM($EE224:FL224)=1,1,0))))</f>
        <v>1</v>
      </c>
      <c r="FN224" s="8">
        <f>IF(FN$56-Voorblad!$F$41&gt;Voorblad!$K$41,0,IF($U224=0,0,IF($U224&lt;1,1/$U224,IF((FN$56-Voorblad!$F$41)/$U224-SUM($EE224:FM224)=1,1,0))))</f>
        <v>1</v>
      </c>
      <c r="FO224" s="8">
        <f>IF(FO$56-Voorblad!$F$41&gt;Voorblad!$K$41,0,IF($U224=0,0,IF($U224&lt;1,1/$U224,IF((FO$56-Voorblad!$F$41)/$U224-SUM($EE224:FN224)=1,1,0))))</f>
        <v>1</v>
      </c>
      <c r="FP224" s="8">
        <f>IF(FP$56-Voorblad!$F$41&gt;Voorblad!$K$41,0,IF($U224=0,0,IF($U224&lt;1,1/$U224,IF((FP$56-Voorblad!$F$41)/$U224-SUM($EE224:FO224)=1,1,0))))</f>
        <v>1</v>
      </c>
      <c r="FQ224" s="8">
        <f>IF(FQ$56-Voorblad!$F$41&gt;Voorblad!$K$41,0,IF($U224=0,0,IF($U224&lt;1,1/$U224,IF((FQ$56-Voorblad!$F$41)/$U224-SUM($EE224:FP224)=1,1,0))))</f>
        <v>1</v>
      </c>
      <c r="FR224" s="8">
        <f>IF(FR$56-Voorblad!$F$41&gt;Voorblad!$K$41,0,IF($U224=0,0,IF($U224&lt;1,1/$U224,IF((FR$56-Voorblad!$F$41)/$U224-SUM($EE224:FQ224)=1,1,0))))</f>
        <v>1</v>
      </c>
      <c r="FS224" s="8">
        <f>IF(FS$56-Voorblad!$F$41&gt;Voorblad!$K$41,0,IF($U224=0,0,IF($U224&lt;1,1/$U224,IF((FS$56-Voorblad!$F$41)/$U224-SUM($EE224:FR224)=1,1,0))))</f>
        <v>1</v>
      </c>
      <c r="FT224" s="8">
        <f>IF(FT$56-Voorblad!$F$41&gt;Voorblad!$K$41,0,IF($U224=0,0,IF($U224&lt;1,1/$U224,IF((FT$56-Voorblad!$F$41)/$U224-SUM($EE224:FS224)=1,1,0))))</f>
        <v>1</v>
      </c>
      <c r="FU224" s="8">
        <f>IF(FU$56-Voorblad!$F$41&gt;Voorblad!$K$41,0,IF($U224=0,0,IF($U224&lt;1,1/$U224,IF((FU$56-Voorblad!$F$41)/$U224-SUM($EE224:FT224)=1,1,0))))</f>
        <v>1</v>
      </c>
      <c r="FV224" s="8">
        <f>IF(FV$56-Voorblad!$F$41&gt;Voorblad!$K$41,0,IF($U224=0,0,IF($U224&lt;1,1/$U224,IF((FV$56-Voorblad!$F$41)/$U224-SUM($EE224:FU224)=1,1,0))))</f>
        <v>1</v>
      </c>
      <c r="FW224" s="8">
        <f>IF(FW$56-Voorblad!$F$41&gt;Voorblad!$K$41,0,IF($U224=0,0,IF($U224&lt;1,1/$U224,IF((FW$56-Voorblad!$F$41)/$U224-SUM($EE224:FV224)=1,1,0))))</f>
        <v>1</v>
      </c>
      <c r="FX224" s="8">
        <f>IF(FX$56-Voorblad!$F$41&gt;Voorblad!$K$41,0,IF($U224=0,0,IF($U224&lt;1,1/$U224,IF((FX$56-Voorblad!$F$41)/$U224-SUM($EE224:FW224)=1,1,0))))</f>
        <v>1</v>
      </c>
      <c r="FY224" s="8">
        <f>IF(FY$56-Voorblad!$F$41&gt;Voorblad!$K$41,0,IF($U224=0,0,IF($U224&lt;1,1/$U224,IF((FY$56-Voorblad!$F$41)/$U224-SUM($EE224:FX224)=1,1,0))))</f>
        <v>1</v>
      </c>
      <c r="FZ224" s="8">
        <f>IF(FZ$56-Voorblad!$F$41&gt;Voorblad!$K$41,0,IF($U224=0,0,IF($U224&lt;1,1/$U224,IF((FZ$56-Voorblad!$F$41)/$U224-SUM($EE224:FY224)=1,1,0))))</f>
        <v>1</v>
      </c>
      <c r="GA224" s="8">
        <f>IF(GA$56-Voorblad!$F$41&gt;Voorblad!$K$41,0,IF($U224=0,0,IF($U224&lt;1,1/$U224,IF((GA$56-Voorblad!$F$41)/$U224-SUM($EE224:FZ224)=1,1,0))))</f>
        <v>1</v>
      </c>
      <c r="GB224" s="8">
        <f>IF(GB$56-Voorblad!$F$41&gt;Voorblad!$K$41,0,IF($U224=0,0,IF($U224&lt;1,1/$U224,IF((GB$56-Voorblad!$F$41)/$U224-SUM($EE224:GA224)=1,1,0))))</f>
        <v>1</v>
      </c>
      <c r="GC224" s="8">
        <f>IF(GC$56-Voorblad!$F$41&gt;Voorblad!$K$41,0,IF($U224=0,0,IF($U224&lt;1,1/$U224,IF((GC$56-Voorblad!$F$41)/$U224-SUM($EE224:GB224)=1,1,0))))</f>
        <v>1</v>
      </c>
      <c r="GD224" s="8">
        <f>IF(GD$56-Voorblad!$F$41&gt;Voorblad!$K$41,0,IF($U224=0,0,IF($U224&lt;1,1/$U224,IF((GD$56-Voorblad!$F$41)/$U224-SUM($EE224:GC224)=1,1,0))))</f>
        <v>1</v>
      </c>
      <c r="GE224" s="8">
        <f>IF(GE$56-Voorblad!$F$41&gt;Voorblad!$K$41,0,IF($U224=0,0,IF($U224&lt;1,1/$U224,IF((GE$56-Voorblad!$F$41)/$U224-SUM($EE224:GD224)=1,1,0))))</f>
        <v>1</v>
      </c>
      <c r="GF224" s="8">
        <f>IF(GF$56-Voorblad!$F$41&gt;Voorblad!$K$41,0,IF($U224=0,0,IF($U224&lt;1,1/$U224,IF((GF$56-Voorblad!$F$41)/$U224-SUM($EE224:GE224)=1,1,0))))</f>
        <v>1</v>
      </c>
      <c r="GG224" s="8">
        <f>IF(GG$56-Voorblad!$F$41&gt;Voorblad!$K$41,0,IF($U224=0,0,IF($U224&lt;1,1/$U224,IF((GG$56-Voorblad!$F$41)/$U224-SUM($EE224:GF224)=1,1,0))))</f>
        <v>1</v>
      </c>
      <c r="GH224" s="8">
        <f>IF(GH$56-Voorblad!$F$41&gt;Voorblad!$K$41,0,IF($U224=0,0,IF($U224&lt;1,1/$U224,IF((GH$56-Voorblad!$F$41)/$U224-SUM($EE224:GG224)=1,1,0))))</f>
        <v>1</v>
      </c>
      <c r="GI224" s="8">
        <f>IF(GI$56-Voorblad!$F$41&gt;Voorblad!$K$41,0,IF($U224=0,0,IF($U224&lt;1,1/$U224,IF((GI$56-Voorblad!$F$41)/$U224-SUM($EE224:GH224)=1,1,0))))</f>
        <v>1</v>
      </c>
      <c r="GJ224" s="8">
        <f>IF(GJ$56-Voorblad!$F$41&gt;Voorblad!$K$41,0,IF($U224=0,0,IF($U224&lt;1,1/$U224,IF((GJ$56-Voorblad!$F$41)/$U224-SUM($EE224:GI224)=1,1,0))))</f>
        <v>1</v>
      </c>
      <c r="GK224" s="8">
        <f>IF(GK$56-Voorblad!$F$41&gt;Voorblad!$K$41,0,IF($U224=0,0,IF($U224&lt;1,1/$U224,IF((GK$56-Voorblad!$F$41)/$U224-SUM($EE224:GJ224)=1,1,0))))</f>
        <v>1</v>
      </c>
      <c r="GL224" s="8">
        <f>IF(GL$56-Voorblad!$F$41&gt;Voorblad!$K$41,0,IF($U224=0,0,IF($U224&lt;1,1/$U224,IF((GL$56-Voorblad!$F$41)/$U224-SUM($EE224:GK224)=1,1,0))))</f>
        <v>1</v>
      </c>
      <c r="GM224" s="8">
        <f>IF(GM$56-Voorblad!$F$41&gt;Voorblad!$K$41,0,IF($U224=0,0,IF($U224&lt;1,1/$U224,IF((GM$56-Voorblad!$F$41)/$U224-SUM($EE224:GL224)=1,1,0))))</f>
        <v>1</v>
      </c>
      <c r="GN224" s="8">
        <f>IF(GN$56-Voorblad!$F$41&gt;Voorblad!$K$41,0,IF($U224=0,0,IF($U224&lt;1,1/$U224,IF((GN$56-Voorblad!$F$41)/$U224-SUM($EE224:GM224)=1,1,0))))</f>
        <v>1</v>
      </c>
      <c r="GO224" s="8">
        <f>IF(GO$56-Voorblad!$F$41&gt;Voorblad!$K$41,0,IF($U224=0,0,IF($U224&lt;1,1/$U224,IF((GO$56-Voorblad!$F$41)/$U224-SUM($EE224:GN224)=1,1,0))))</f>
        <v>1</v>
      </c>
      <c r="GP224" s="8">
        <f>IF(GP$56-Voorblad!$F$41&gt;Voorblad!$K$41,0,IF($U224=0,0,IF($U224&lt;1,1/$U224,IF((GP$56-Voorblad!$F$41)/$U224-SUM($EE224:GO224)=1,1,0))))</f>
        <v>1</v>
      </c>
      <c r="GQ224" s="8">
        <f>IF(GQ$56-Voorblad!$F$41&gt;Voorblad!$K$41,0,IF($U224=0,0,IF($U224&lt;1,1/$U224,IF((GQ$56-Voorblad!$F$41)/$U224-SUM($EE224:GP224)=1,1,0))))</f>
        <v>1</v>
      </c>
      <c r="GR224" s="8">
        <f>IF(GR$56-Voorblad!$F$41&gt;Voorblad!$K$41,0,IF($U224=0,0,IF($U224&lt;1,1/$U224,IF((GR$56-Voorblad!$F$41)/$U224-SUM($EE224:GQ224)=1,1,0))))</f>
        <v>1</v>
      </c>
      <c r="GS224" s="8">
        <f>IF(GS$56-Voorblad!$F$41&gt;Voorblad!$K$41,0,IF($U224=0,0,IF($U224&lt;1,1/$U224,IF((GS$56-Voorblad!$F$41)/$U224-SUM($EE224:GR224)=1,1,0))))</f>
        <v>1</v>
      </c>
      <c r="GT224" s="8">
        <f>IF(GT$56-Voorblad!$F$41&gt;Voorblad!$K$41,0,IF($U224=0,0,IF($U224&lt;1,1/$U224,IF((GT$56-Voorblad!$F$41)/$U224-SUM($EE224:GS224)=1,1,0))))</f>
        <v>1</v>
      </c>
      <c r="GU224" s="8">
        <f>IF(GU$56-Voorblad!$F$41&gt;Voorblad!$K$41,0,IF($U224=0,0,IF($U224&lt;1,1/$U224,IF((GU$56-Voorblad!$F$41)/$U224-SUM($EE224:GT224)=1,1,0))))</f>
        <v>1</v>
      </c>
      <c r="GV224" s="8">
        <f>IF(GV$56-Voorblad!$F$41&gt;Voorblad!$K$41,0,IF($U224=0,0,IF($U224&lt;1,1/$U224,IF((GV$56-Voorblad!$F$41)/$U224-SUM($EE224:GU224)=1,1,0))))</f>
        <v>1</v>
      </c>
      <c r="GW224" s="8">
        <f>IF(GW$56-Voorblad!$F$41&gt;Voorblad!$K$41,0,IF($U224=0,0,IF($U224&lt;1,1/$U224,IF((GW$56-Voorblad!$F$41)/$U224-SUM($EE224:GV224)=1,1,0))))</f>
        <v>1</v>
      </c>
      <c r="GX224" s="8">
        <f>IF(GX$56-Voorblad!$F$41&gt;Voorblad!$K$41,0,IF($U224=0,0,IF($U224&lt;1,1/$U224,IF((GX$56-Voorblad!$F$41)/$U224-SUM($EE224:GW224)=1,1,0))))</f>
        <v>1</v>
      </c>
      <c r="GY224" s="8">
        <f>IF(GY$56-Voorblad!$F$41&gt;Voorblad!$K$41,0,IF($U224=0,0,IF($U224&lt;1,1/$U224,IF((GY$56-Voorblad!$F$41)/$U224-SUM($EE224:GX224)=1,1,0))))</f>
        <v>1</v>
      </c>
      <c r="GZ224" s="8">
        <f>IF(GZ$56-Voorblad!$F$41&gt;Voorblad!$K$41,0,IF($U224=0,0,IF($U224&lt;1,1/$U224,IF((GZ$56-Voorblad!$F$41)/$U224-SUM($EE224:GY224)=1,1,0))))</f>
        <v>1</v>
      </c>
      <c r="HA224" s="8">
        <f>IF(HA$56-Voorblad!$F$41&gt;Voorblad!$K$41,0,IF($U224=0,0,IF($U224&lt;1,1/$U224,IF((HA$56-Voorblad!$F$41)/$U224-SUM($EE224:GZ224)=1,1,0))))</f>
        <v>1</v>
      </c>
      <c r="HB224" s="8">
        <f>IF(HB$56-Voorblad!$F$41&gt;Voorblad!$K$41,0,IF($U224=0,0,IF($U224&lt;1,1/$U224,IF((HB$56-Voorblad!$F$41)/$U224-SUM($EE224:HA224)=1,1,0))))</f>
        <v>0</v>
      </c>
      <c r="HC224" s="8">
        <f>IF(HC$56-Voorblad!$F$41&gt;Voorblad!$K$41,0,IF($U224=0,0,IF($U224&lt;1,1/$U224,IF((HC$56-Voorblad!$F$41)/$U224-SUM($EE224:HB224)=1,1,0))))</f>
        <v>0</v>
      </c>
      <c r="HD224" s="8">
        <f>IF(HD$56-Voorblad!$F$41&gt;Voorblad!$K$41,0,IF($U224=0,0,IF($U224&lt;1,1/$U224,IF((HD$56-Voorblad!$F$41)/$U224-SUM($EE224:HC224)=1,1,0))))</f>
        <v>0</v>
      </c>
      <c r="HE224" s="8">
        <f>IF(HE$56-Voorblad!$F$41&gt;Voorblad!$K$41,0,IF($U224=0,0,IF($U224&lt;1,1/$U224,IF((HE$56-Voorblad!$F$41)/$U224-SUM($EE224:HD224)=1,1,0))))</f>
        <v>0</v>
      </c>
      <c r="HF224" s="8">
        <f>IF(HF$56-Voorblad!$F$41&gt;Voorblad!$K$41,0,IF($U224=0,0,IF($U224&lt;1,1/$U224,IF((HF$56-Voorblad!$F$41)/$U224-SUM($EE224:HE224)=1,1,0))))</f>
        <v>0</v>
      </c>
      <c r="HG224" s="8">
        <f>IF(HG$56-Voorblad!$F$41&gt;Voorblad!$K$41,0,IF($U224=0,0,IF($U224&lt;1,1/$U224,IF((HG$56-Voorblad!$F$41)/$U224-SUM($EE224:HF224)=1,1,0))))</f>
        <v>0</v>
      </c>
      <c r="HH224" s="8">
        <f>IF(HH$56-Voorblad!$F$41&gt;Voorblad!$K$41,0,IF($U224=0,0,IF($U224&lt;1,1/$U224,IF((HH$56-Voorblad!$F$41)/$U224-SUM($EE224:HG224)=1,1,0))))</f>
        <v>0</v>
      </c>
      <c r="HI224" s="8">
        <f>IF(HI$56-Voorblad!$F$41&gt;Voorblad!$K$41,0,IF($U224=0,0,IF($U224&lt;1,1/$U224,IF((HI$56-Voorblad!$F$41)/$U224-SUM($EE224:HH224)=1,1,0))))</f>
        <v>0</v>
      </c>
      <c r="HJ224" s="8">
        <f>IF(HJ$56-Voorblad!$F$41&gt;Voorblad!$K$41,0,IF($U224=0,0,IF($U224&lt;1,1/$U224,IF((HJ$56-Voorblad!$F$41)/$U224-SUM($EE224:HI224)=1,1,0))))</f>
        <v>0</v>
      </c>
      <c r="HK224" s="8">
        <f>IF(HK$56-Voorblad!$F$41&gt;Voorblad!$K$41,0,IF($U224=0,0,IF($U224&lt;1,1/$U224,IF((HK$56-Voorblad!$F$41)/$U224-SUM($EE224:HJ224)=1,1,0))))</f>
        <v>0</v>
      </c>
      <c r="HL224" s="8">
        <f>IF(HL$56-Voorblad!$F$41&gt;Voorblad!$K$41,0,IF($U224=0,0,IF($U224&lt;1,1/$U224,IF((HL$56-Voorblad!$F$41)/$U224-SUM($EE224:HK224)=1,1,0))))</f>
        <v>0</v>
      </c>
      <c r="HM224" s="8">
        <f>IF(HM$56-Voorblad!$F$41&gt;Voorblad!$K$41,0,IF($U224=0,0,IF($U224&lt;1,1/$U224,IF((HM$56-Voorblad!$F$41)/$U224-SUM($EE224:HL224)=1,1,0))))</f>
        <v>0</v>
      </c>
      <c r="HN224" s="8">
        <f>IF(HN$56-Voorblad!$F$41&gt;Voorblad!$K$41,0,IF($U224=0,0,IF($U224&lt;1,1/$U224,IF((HN$56-Voorblad!$F$41)/$U224-SUM($EE224:HM224)=1,1,0))))</f>
        <v>0</v>
      </c>
      <c r="HO224" s="8">
        <f>IF(HO$56-Voorblad!$F$41&gt;Voorblad!$K$41,0,IF($U224=0,0,IF($U224&lt;1,1/$U224,IF((HO$56-Voorblad!$F$41)/$U224-SUM($EE224:HN224)=1,1,0))))</f>
        <v>0</v>
      </c>
      <c r="HP224" s="8">
        <f>IF(HP$56-Voorblad!$F$41&gt;Voorblad!$K$41,0,IF($U224=0,0,IF($U224&lt;1,1/$U224,IF((HP$56-Voorblad!$F$41)/$U224-SUM($EE224:HO224)=1,1,0))))</f>
        <v>0</v>
      </c>
      <c r="HQ224" s="8">
        <f>IF(HQ$56-Voorblad!$F$41&gt;Voorblad!$K$41,0,IF($U224=0,0,IF($U224&lt;1,1/$U224,IF((HQ$56-Voorblad!$F$41)/$U224-SUM($EE224:HP224)=1,1,0))))</f>
        <v>0</v>
      </c>
      <c r="HR224" s="8">
        <f>IF(HR$56-Voorblad!$F$41&gt;Voorblad!$K$41,0,IF($U224=0,0,IF($U224&lt;1,1/$U224,IF((HR$56-Voorblad!$F$41)/$U224-SUM($EE224:HQ224)=1,1,0))))</f>
        <v>0</v>
      </c>
      <c r="HS224" s="8">
        <f>IF(HS$56-Voorblad!$F$41&gt;Voorblad!$K$41,0,IF($U224=0,0,IF($U224&lt;1,1/$U224,IF((HS$56-Voorblad!$F$41)/$U224-SUM($EE224:HR224)=1,1,0))))</f>
        <v>0</v>
      </c>
      <c r="HT224" s="8">
        <f>IF(HT$56-Voorblad!$F$41&gt;Voorblad!$K$41,0,IF($U224=0,0,IF($U224&lt;1,1/$U224,IF((HT$56-Voorblad!$F$41)/$U224-SUM($EE224:HS224)=1,1,0))))</f>
        <v>0</v>
      </c>
      <c r="HU224" s="8">
        <f>IF(HU$56-Voorblad!$F$41&gt;Voorblad!$K$41,0,IF($U224=0,0,IF($U224&lt;1,1/$U224,IF((HU$56-Voorblad!$F$41)/$U224-SUM($EE224:HT224)=1,1,0))))</f>
        <v>0</v>
      </c>
      <c r="HV224" s="8">
        <f>IF(HV$56-Voorblad!$F$41&gt;Voorblad!$K$41,0,IF($U224=0,0,IF($U224&lt;1,1/$U224,IF((HV$56-Voorblad!$F$41)/$U224-SUM($EE224:HU224)=1,1,0))))</f>
        <v>0</v>
      </c>
      <c r="HW224" s="8">
        <f>IF(HW$56-Voorblad!$F$41&gt;Voorblad!$K$41,0,IF($U224=0,0,IF($U224&lt;1,1/$U224,IF((HW$56-Voorblad!$F$41)/$U224-SUM($EE224:HV224)=1,1,0))))</f>
        <v>0</v>
      </c>
      <c r="HX224" s="8">
        <f>IF(HX$56-Voorblad!$F$41&gt;Voorblad!$K$41,0,IF($U224=0,0,IF($U224&lt;1,1/$U224,IF((HX$56-Voorblad!$F$41)/$U224-SUM($EE224:HW224)=1,1,0))))</f>
        <v>0</v>
      </c>
      <c r="HY224" s="8">
        <f>IF(HY$56-Voorblad!$F$41&gt;Voorblad!$K$41,0,IF($U224=0,0,IF($U224&lt;1,1/$U224,IF((HY$56-Voorblad!$F$41)/$U224-SUM($EE224:HX224)=1,1,0))))</f>
        <v>0</v>
      </c>
      <c r="HZ224" s="8">
        <f>IF(HZ$56-Voorblad!$F$41&gt;Voorblad!$K$41,0,IF($U224=0,0,IF($U224&lt;1,1/$U224,IF((HZ$56-Voorblad!$F$41)/$U224-SUM($EE224:HY224)=1,1,0))))</f>
        <v>0</v>
      </c>
      <c r="IA224" s="8">
        <f>IF(IA$56-Voorblad!$F$41&gt;Voorblad!$K$41,0,IF($U224=0,0,IF($U224&lt;1,1/$U224,IF((IA$56-Voorblad!$F$41)/$U224-SUM($EE224:HZ224)=1,1,0))))</f>
        <v>0</v>
      </c>
      <c r="IB224" s="8">
        <f>IF(IB$56-Voorblad!$F$41&gt;Voorblad!$K$41,0,IF($U224=0,0,IF($U224&lt;1,1/$U224,IF((IB$56-Voorblad!$F$41)/$U224-SUM($EE224:IA224)=1,1,0))))</f>
        <v>0</v>
      </c>
    </row>
    <row r="225" spans="2:236" outlineLevel="1" x14ac:dyDescent="0.25">
      <c r="B225" s="2" t="s">
        <v>273</v>
      </c>
      <c r="C225" s="2"/>
      <c r="D225" s="15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14"/>
      <c r="R225" s="14"/>
      <c r="S225" s="14"/>
      <c r="T225" s="26">
        <f>SUM(T221:T224)</f>
        <v>196142.43599999999</v>
      </c>
      <c r="U225" s="14"/>
      <c r="V225" s="14"/>
      <c r="W225" s="14"/>
      <c r="X225" s="6"/>
      <c r="Y225" s="23">
        <f>SUM(Y221:Y224)</f>
        <v>32339.208854951205</v>
      </c>
      <c r="Z225" s="24"/>
      <c r="AA225" s="23">
        <f>SUM(AA221:AA224)</f>
        <v>52</v>
      </c>
      <c r="AC225" s="9">
        <f>$Y225*(Voorblad!$K$44*(1+Voorblad!$K$44)^Voorblad!$K$41)/((1+Voorblad!$K$44)^Voorblad!$K$41-1)</f>
        <v>968.09618981225151</v>
      </c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E225" s="8"/>
      <c r="EF225" s="8"/>
      <c r="EG225" s="8"/>
      <c r="EH225" s="8"/>
      <c r="EI225" s="8"/>
      <c r="EJ225" s="8"/>
      <c r="EK225" s="8"/>
      <c r="EL225" s="8"/>
      <c r="EM225" s="8"/>
      <c r="EN225" s="8"/>
      <c r="EO225" s="8"/>
      <c r="EP225" s="8"/>
      <c r="EQ225" s="8"/>
      <c r="ER225" s="8"/>
      <c r="ES225" s="8"/>
      <c r="ET225" s="8"/>
      <c r="EU225" s="8"/>
      <c r="EV225" s="8"/>
      <c r="EW225" s="8"/>
      <c r="EX225" s="8"/>
      <c r="EY225" s="8"/>
      <c r="EZ225" s="8"/>
      <c r="FA225" s="8"/>
      <c r="FB225" s="8"/>
      <c r="FC225" s="8"/>
      <c r="FD225" s="8"/>
      <c r="FE225" s="8"/>
      <c r="FF225" s="8"/>
      <c r="FG225" s="8"/>
      <c r="FH225" s="8"/>
      <c r="FI225" s="8"/>
      <c r="FJ225" s="8"/>
      <c r="FK225" s="8"/>
      <c r="FL225" s="8"/>
      <c r="FM225" s="8"/>
      <c r="FN225" s="8"/>
      <c r="FO225" s="8"/>
      <c r="FP225" s="8"/>
      <c r="FQ225" s="8"/>
      <c r="FR225" s="8"/>
      <c r="FS225" s="8"/>
      <c r="FT225" s="8"/>
      <c r="FU225" s="8"/>
      <c r="FV225" s="8"/>
      <c r="FW225" s="8"/>
      <c r="FX225" s="8"/>
      <c r="FY225" s="8"/>
      <c r="FZ225" s="8"/>
      <c r="GA225" s="8"/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</row>
    <row r="226" spans="2:236" ht="12" customHeight="1" x14ac:dyDescent="0.25">
      <c r="S226" s="14"/>
      <c r="U226" s="14"/>
      <c r="V226" s="14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E226" s="8"/>
      <c r="EF226" s="8"/>
      <c r="EG226" s="8"/>
      <c r="EH226" s="8"/>
      <c r="EI226" s="8"/>
      <c r="EJ226" s="8"/>
      <c r="EK226" s="8"/>
      <c r="EL226" s="8"/>
      <c r="EM226" s="8"/>
      <c r="EN226" s="8"/>
      <c r="EO226" s="8"/>
      <c r="EP226" s="8"/>
      <c r="EQ226" s="8"/>
      <c r="ER226" s="8"/>
      <c r="ES226" s="8"/>
      <c r="ET226" s="8"/>
      <c r="EU226" s="8"/>
      <c r="EV226" s="8"/>
      <c r="EW226" s="8"/>
      <c r="EX226" s="8"/>
      <c r="EY226" s="8"/>
      <c r="EZ226" s="8"/>
      <c r="FA226" s="8"/>
      <c r="FB226" s="8"/>
      <c r="FC226" s="8"/>
      <c r="FD226" s="8"/>
      <c r="FE226" s="8"/>
      <c r="FF226" s="8"/>
      <c r="FG226" s="8"/>
      <c r="FH226" s="8"/>
      <c r="FI226" s="8"/>
      <c r="FJ226" s="8"/>
      <c r="FK226" s="8"/>
      <c r="FL226" s="8"/>
      <c r="FM226" s="8"/>
      <c r="FN226" s="8"/>
      <c r="FO226" s="8"/>
      <c r="FP226" s="8"/>
      <c r="FQ226" s="8"/>
      <c r="FR226" s="8"/>
      <c r="FS226" s="8"/>
      <c r="FT226" s="8"/>
      <c r="FU226" s="8"/>
      <c r="FV226" s="8"/>
      <c r="FW226" s="8"/>
      <c r="FX226" s="8"/>
      <c r="FY226" s="8"/>
      <c r="FZ226" s="8"/>
      <c r="GA226" s="8"/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</row>
    <row r="228" spans="2:236" ht="12" customHeight="1" x14ac:dyDescent="0.3">
      <c r="B228" s="19" t="s">
        <v>105</v>
      </c>
      <c r="C228" s="19"/>
    </row>
    <row r="229" spans="2:236" outlineLevel="1" x14ac:dyDescent="0.25">
      <c r="B229" s="14">
        <v>1</v>
      </c>
      <c r="C229" s="14"/>
      <c r="F229" s="1" t="s">
        <v>26</v>
      </c>
      <c r="I229" s="1" t="s">
        <v>49</v>
      </c>
      <c r="K229" s="1" t="s">
        <v>262</v>
      </c>
      <c r="P229" s="1" t="s">
        <v>318</v>
      </c>
      <c r="Q229" s="84">
        <f>2*15.9*0.035</f>
        <v>1.1130000000000002</v>
      </c>
      <c r="R229" s="1" t="s">
        <v>102</v>
      </c>
      <c r="S229" s="1">
        <v>-200</v>
      </c>
      <c r="T229" s="21">
        <f t="shared" ref="T229:T236" si="201">Q229*S229</f>
        <v>-222.60000000000005</v>
      </c>
      <c r="U229" s="11">
        <v>1</v>
      </c>
      <c r="V229" s="14">
        <f>Voorblad!F24+100</f>
        <v>2101</v>
      </c>
      <c r="W229" s="9">
        <f>Voorblad!$K$77</f>
        <v>2101</v>
      </c>
      <c r="X229" s="6"/>
      <c r="Y229" s="9">
        <f t="shared" ref="Y229" si="202">SUM(AE229:EB229)</f>
        <v>-36.701430031755805</v>
      </c>
      <c r="AE229" s="9">
        <f>IF($W229=AE$56,EF229*($Q229*$S229)/(1+Voorblad!$K$44)^(AE$56-Voorblad!$F$41),0)</f>
        <v>0</v>
      </c>
      <c r="AF229" s="9">
        <f>IF($W229=AF$56,EG229*($Q229*$S229)/(1+Voorblad!$K$44)^(AF$56-Voorblad!$F$41),0)</f>
        <v>0</v>
      </c>
      <c r="AG229" s="9">
        <f>IF($W229=AG$56,EH229*($Q229*$S229)/(1+Voorblad!$K$44)^(AG$56-Voorblad!$F$41),0)</f>
        <v>0</v>
      </c>
      <c r="AH229" s="9">
        <f>IF($W229=AH$56,EI229*($Q229*$S229)/(1+Voorblad!$K$44)^(AH$56-Voorblad!$F$41),0)</f>
        <v>0</v>
      </c>
      <c r="AI229" s="9">
        <f>IF($W229=AI$56,EJ229*($Q229*$S229)/(1+Voorblad!$K$44)^(AI$56-Voorblad!$F$41),0)</f>
        <v>0</v>
      </c>
      <c r="AJ229" s="9">
        <f>IF($W229=AJ$56,EK229*($Q229*$S229)/(1+Voorblad!$K$44)^(AJ$56-Voorblad!$F$41),0)</f>
        <v>0</v>
      </c>
      <c r="AK229" s="9">
        <f>IF($W229=AK$56,EL229*($Q229*$S229)/(1+Voorblad!$K$44)^(AK$56-Voorblad!$F$41),0)</f>
        <v>0</v>
      </c>
      <c r="AL229" s="9">
        <f>IF($W229=AL$56,EM229*($Q229*$S229)/(1+Voorblad!$K$44)^(AL$56-Voorblad!$F$41),0)</f>
        <v>0</v>
      </c>
      <c r="AM229" s="9">
        <f>IF($W229=AM$56,EN229*($Q229*$S229)/(1+Voorblad!$K$44)^(AM$56-Voorblad!$F$41),0)</f>
        <v>0</v>
      </c>
      <c r="AN229" s="9">
        <f>IF($W229=AN$56,EO229*($Q229*$S229)/(1+Voorblad!$K$44)^(AN$56-Voorblad!$F$41),0)</f>
        <v>0</v>
      </c>
      <c r="AO229" s="9">
        <f>IF($W229=AO$56,EP229*($Q229*$S229)/(1+Voorblad!$K$44)^(AO$56-Voorblad!$F$41),0)</f>
        <v>0</v>
      </c>
      <c r="AP229" s="9">
        <f>IF($W229=AP$56,EQ229*($Q229*$S229)/(1+Voorblad!$K$44)^(AP$56-Voorblad!$F$41),0)</f>
        <v>0</v>
      </c>
      <c r="AQ229" s="9">
        <f>IF($W229=AQ$56,ER229*($Q229*$S229)/(1+Voorblad!$K$44)^(AQ$56-Voorblad!$F$41),0)</f>
        <v>0</v>
      </c>
      <c r="AR229" s="9">
        <f>IF($W229=AR$56,ES229*($Q229*$S229)/(1+Voorblad!$K$44)^(AR$56-Voorblad!$F$41),0)</f>
        <v>0</v>
      </c>
      <c r="AS229" s="9">
        <f>IF($W229=AS$56,ET229*($Q229*$S229)/(1+Voorblad!$K$44)^(AS$56-Voorblad!$F$41),0)</f>
        <v>0</v>
      </c>
      <c r="AT229" s="9">
        <f>IF($W229=AT$56,EU229*($Q229*$S229)/(1+Voorblad!$K$44)^(AT$56-Voorblad!$F$41),0)</f>
        <v>0</v>
      </c>
      <c r="AU229" s="9">
        <f>IF($W229=AU$56,EV229*($Q229*$S229)/(1+Voorblad!$K$44)^(AU$56-Voorblad!$F$41),0)</f>
        <v>0</v>
      </c>
      <c r="AV229" s="9">
        <f>IF($W229=AV$56,EW229*($Q229*$S229)/(1+Voorblad!$K$44)^(AV$56-Voorblad!$F$41),0)</f>
        <v>0</v>
      </c>
      <c r="AW229" s="9">
        <f>IF($W229=AW$56,EX229*($Q229*$S229)/(1+Voorblad!$K$44)^(AW$56-Voorblad!$F$41),0)</f>
        <v>0</v>
      </c>
      <c r="AX229" s="9">
        <f>IF($W229=AX$56,EY229*($Q229*$S229)/(1+Voorblad!$K$44)^(AX$56-Voorblad!$F$41),0)</f>
        <v>0</v>
      </c>
      <c r="AY229" s="9">
        <f>IF($W229=AY$56,EZ229*($Q229*$S229)/(1+Voorblad!$K$44)^(AY$56-Voorblad!$F$41),0)</f>
        <v>0</v>
      </c>
      <c r="AZ229" s="9">
        <f>IF($W229=AZ$56,FA229*($Q229*$S229)/(1+Voorblad!$K$44)^(AZ$56-Voorblad!$F$41),0)</f>
        <v>0</v>
      </c>
      <c r="BA229" s="9">
        <f>IF($W229=BA$56,FB229*($Q229*$S229)/(1+Voorblad!$K$44)^(BA$56-Voorblad!$F$41),0)</f>
        <v>0</v>
      </c>
      <c r="BB229" s="9">
        <f>IF($W229=BB$56,FC229*($Q229*$S229)/(1+Voorblad!$K$44)^(BB$56-Voorblad!$F$41),0)</f>
        <v>0</v>
      </c>
      <c r="BC229" s="9">
        <f>IF($W229=BC$56,FD229*($Q229*$S229)/(1+Voorblad!$K$44)^(BC$56-Voorblad!$F$41),0)</f>
        <v>0</v>
      </c>
      <c r="BD229" s="9">
        <f>IF($W229=BD$56,FE229*($Q229*$S229)/(1+Voorblad!$K$44)^(BD$56-Voorblad!$F$41),0)</f>
        <v>0</v>
      </c>
      <c r="BE229" s="9">
        <f>IF($W229=BE$56,FF229*($Q229*$S229)/(1+Voorblad!$K$44)^(BE$56-Voorblad!$F$41),0)</f>
        <v>0</v>
      </c>
      <c r="BF229" s="9">
        <f>IF($W229=BF$56,FG229*($Q229*$S229)/(1+Voorblad!$K$44)^(BF$56-Voorblad!$F$41),0)</f>
        <v>0</v>
      </c>
      <c r="BG229" s="9">
        <f>IF($W229=BG$56,FH229*($Q229*$S229)/(1+Voorblad!$K$44)^(BG$56-Voorblad!$F$41),0)</f>
        <v>0</v>
      </c>
      <c r="BH229" s="9">
        <f>IF($W229=BH$56,FI229*($Q229*$S229)/(1+Voorblad!$K$44)^(BH$56-Voorblad!$F$41),0)</f>
        <v>0</v>
      </c>
      <c r="BI229" s="9">
        <f>IF($W229=BI$56,FJ229*($Q229*$S229)/(1+Voorblad!$K$44)^(BI$56-Voorblad!$F$41),0)</f>
        <v>0</v>
      </c>
      <c r="BJ229" s="9">
        <f>IF($W229=BJ$56,FK229*($Q229*$S229)/(1+Voorblad!$K$44)^(BJ$56-Voorblad!$F$41),0)</f>
        <v>0</v>
      </c>
      <c r="BK229" s="9">
        <f>IF($W229=BK$56,FL229*($Q229*$S229)/(1+Voorblad!$K$44)^(BK$56-Voorblad!$F$41),0)</f>
        <v>0</v>
      </c>
      <c r="BL229" s="9">
        <f>IF($W229=BL$56,FM229*($Q229*$S229)/(1+Voorblad!$K$44)^(BL$56-Voorblad!$F$41),0)</f>
        <v>0</v>
      </c>
      <c r="BM229" s="9">
        <f>IF($W229=BM$56,FN229*($Q229*$S229)/(1+Voorblad!$K$44)^(BM$56-Voorblad!$F$41),0)</f>
        <v>0</v>
      </c>
      <c r="BN229" s="9">
        <f>IF($W229=BN$56,FO229*($Q229*$S229)/(1+Voorblad!$K$44)^(BN$56-Voorblad!$F$41),0)</f>
        <v>0</v>
      </c>
      <c r="BO229" s="9">
        <f>IF($W229=BO$56,FP229*($Q229*$S229)/(1+Voorblad!$K$44)^(BO$56-Voorblad!$F$41),0)</f>
        <v>0</v>
      </c>
      <c r="BP229" s="9">
        <f>IF($W229=BP$56,FQ229*($Q229*$S229)/(1+Voorblad!$K$44)^(BP$56-Voorblad!$F$41),0)</f>
        <v>0</v>
      </c>
      <c r="BQ229" s="9">
        <f>IF($W229=BQ$56,FR229*($Q229*$S229)/(1+Voorblad!$K$44)^(BQ$56-Voorblad!$F$41),0)</f>
        <v>0</v>
      </c>
      <c r="BR229" s="9">
        <f>IF($W229=BR$56,FS229*($Q229*$S229)/(1+Voorblad!$K$44)^(BR$56-Voorblad!$F$41),0)</f>
        <v>0</v>
      </c>
      <c r="BS229" s="9">
        <f>IF($W229=BS$56,FT229*($Q229*$S229)/(1+Voorblad!$K$44)^(BS$56-Voorblad!$F$41),0)</f>
        <v>0</v>
      </c>
      <c r="BT229" s="9">
        <f>IF($W229=BT$56,FU229*($Q229*$S229)/(1+Voorblad!$K$44)^(BT$56-Voorblad!$F$41),0)</f>
        <v>0</v>
      </c>
      <c r="BU229" s="9">
        <f>IF($W229=BU$56,FV229*($Q229*$S229)/(1+Voorblad!$K$44)^(BU$56-Voorblad!$F$41),0)</f>
        <v>0</v>
      </c>
      <c r="BV229" s="9">
        <f>IF($W229=BV$56,FW229*($Q229*$S229)/(1+Voorblad!$K$44)^(BV$56-Voorblad!$F$41),0)</f>
        <v>0</v>
      </c>
      <c r="BW229" s="9">
        <f>IF($W229=BW$56,FX229*($Q229*$S229)/(1+Voorblad!$K$44)^(BW$56-Voorblad!$F$41),0)</f>
        <v>0</v>
      </c>
      <c r="BX229" s="9">
        <f>IF($W229=BX$56,FY229*($Q229*$S229)/(1+Voorblad!$K$44)^(BX$56-Voorblad!$F$41),0)</f>
        <v>0</v>
      </c>
      <c r="BY229" s="9">
        <f>IF($W229=BY$56,FZ229*($Q229*$S229)/(1+Voorblad!$K$44)^(BY$56-Voorblad!$F$41),0)</f>
        <v>0</v>
      </c>
      <c r="BZ229" s="9">
        <f>IF($W229=BZ$56,GA229*($Q229*$S229)/(1+Voorblad!$K$44)^(BZ$56-Voorblad!$F$41),0)</f>
        <v>0</v>
      </c>
      <c r="CA229" s="9">
        <f>IF($W229=CA$56,GB229*($Q229*$S229)/(1+Voorblad!$K$44)^(CA$56-Voorblad!$F$41),0)</f>
        <v>0</v>
      </c>
      <c r="CB229" s="9">
        <f>IF($W229=CB$56,GC229*($Q229*$S229)/(1+Voorblad!$K$44)^(CB$56-Voorblad!$F$41),0)</f>
        <v>0</v>
      </c>
      <c r="CC229" s="9">
        <f>IF($W229=CC$56,GD229*($Q229*$S229)/(1+Voorblad!$K$44)^(CC$56-Voorblad!$F$41),0)</f>
        <v>0</v>
      </c>
      <c r="CD229" s="9">
        <f>IF($W229=CD$56,GE229*($Q229*$S229)/(1+Voorblad!$K$44)^(CD$56-Voorblad!$F$41),0)</f>
        <v>0</v>
      </c>
      <c r="CE229" s="9">
        <f>IF($W229=CE$56,GF229*($Q229*$S229)/(1+Voorblad!$K$44)^(CE$56-Voorblad!$F$41),0)</f>
        <v>0</v>
      </c>
      <c r="CF229" s="9">
        <f>IF($W229=CF$56,GG229*($Q229*$S229)/(1+Voorblad!$K$44)^(CF$56-Voorblad!$F$41),0)</f>
        <v>0</v>
      </c>
      <c r="CG229" s="9">
        <f>IF($W229=CG$56,GH229*($Q229*$S229)/(1+Voorblad!$K$44)^(CG$56-Voorblad!$F$41),0)</f>
        <v>0</v>
      </c>
      <c r="CH229" s="9">
        <f>IF($W229=CH$56,GI229*($Q229*$S229)/(1+Voorblad!$K$44)^(CH$56-Voorblad!$F$41),0)</f>
        <v>0</v>
      </c>
      <c r="CI229" s="9">
        <f>IF($W229=CI$56,GJ229*($Q229*$S229)/(1+Voorblad!$K$44)^(CI$56-Voorblad!$F$41),0)</f>
        <v>0</v>
      </c>
      <c r="CJ229" s="9">
        <f>IF($W229=CJ$56,GK229*($Q229*$S229)/(1+Voorblad!$K$44)^(CJ$56-Voorblad!$F$41),0)</f>
        <v>0</v>
      </c>
      <c r="CK229" s="9">
        <f>IF($W229=CK$56,GL229*($Q229*$S229)/(1+Voorblad!$K$44)^(CK$56-Voorblad!$F$41),0)</f>
        <v>0</v>
      </c>
      <c r="CL229" s="9">
        <f>IF($W229=CL$56,GM229*($Q229*$S229)/(1+Voorblad!$K$44)^(CL$56-Voorblad!$F$41),0)</f>
        <v>0</v>
      </c>
      <c r="CM229" s="9">
        <f>IF($W229=CM$56,GN229*($Q229*$S229)/(1+Voorblad!$K$44)^(CM$56-Voorblad!$F$41),0)</f>
        <v>0</v>
      </c>
      <c r="CN229" s="9">
        <f>IF($W229=CN$56,GO229*($Q229*$S229)/(1+Voorblad!$K$44)^(CN$56-Voorblad!$F$41),0)</f>
        <v>0</v>
      </c>
      <c r="CO229" s="9">
        <f>IF($W229=CO$56,GP229*($Q229*$S229)/(1+Voorblad!$K$44)^(CO$56-Voorblad!$F$41),0)</f>
        <v>0</v>
      </c>
      <c r="CP229" s="9">
        <f>IF($W229=CP$56,GQ229*($Q229*$S229)/(1+Voorblad!$K$44)^(CP$56-Voorblad!$F$41),0)</f>
        <v>0</v>
      </c>
      <c r="CQ229" s="9">
        <f>IF($W229=CQ$56,GR229*($Q229*$S229)/(1+Voorblad!$K$44)^(CQ$56-Voorblad!$F$41),0)</f>
        <v>0</v>
      </c>
      <c r="CR229" s="9">
        <f>IF($W229=CR$56,GS229*($Q229*$S229)/(1+Voorblad!$K$44)^(CR$56-Voorblad!$F$41),0)</f>
        <v>0</v>
      </c>
      <c r="CS229" s="9">
        <f>IF($W229=CS$56,GT229*($Q229*$S229)/(1+Voorblad!$K$44)^(CS$56-Voorblad!$F$41),0)</f>
        <v>0</v>
      </c>
      <c r="CT229" s="9">
        <f>IF($W229=CT$56,GU229*($Q229*$S229)/(1+Voorblad!$K$44)^(CT$56-Voorblad!$F$41),0)</f>
        <v>0</v>
      </c>
      <c r="CU229" s="9">
        <f>IF($W229=CU$56,GV229*($Q229*$S229)/(1+Voorblad!$K$44)^(CU$56-Voorblad!$F$41),0)</f>
        <v>0</v>
      </c>
      <c r="CV229" s="9">
        <f>IF($W229=CV$56,GW229*($Q229*$S229)/(1+Voorblad!$K$44)^(CV$56-Voorblad!$F$41),0)</f>
        <v>0</v>
      </c>
      <c r="CW229" s="9">
        <f>IF($W229=CW$56,GX229*($Q229*$S229)/(1+Voorblad!$K$44)^(CW$56-Voorblad!$F$41),0)</f>
        <v>0</v>
      </c>
      <c r="CX229" s="9">
        <f>IF($W229=CX$56,GY229*($Q229*$S229)/(1+Voorblad!$K$44)^(CX$56-Voorblad!$F$41),0)</f>
        <v>0</v>
      </c>
      <c r="CY229" s="9">
        <f>IF($W229=CY$56,GZ229*($Q229*$S229)/(1+Voorblad!$K$44)^(CY$56-Voorblad!$F$41),0)</f>
        <v>0</v>
      </c>
      <c r="CZ229" s="9">
        <f>IF($W229=CZ$56,HA229*($Q229*$S229)/(1+Voorblad!$K$44)^(CZ$56-Voorblad!$F$41),0)</f>
        <v>-36.701430031755805</v>
      </c>
      <c r="DA229" s="9">
        <f>IF($W229=DA$56,HB229*($Q229*$S229)/(1+Voorblad!$K$44)^(DA$56-Voorblad!$F$41),0)</f>
        <v>0</v>
      </c>
      <c r="DB229" s="9">
        <f>IF($W229=DB$56,HC229*($Q229*$S229)/(1+Voorblad!$K$44)^(DB$56-Voorblad!$F$41),0)</f>
        <v>0</v>
      </c>
      <c r="DC229" s="9">
        <f>IF($W229=DC$56,HD229*($Q229*$S229)/(1+Voorblad!$K$44)^(DC$56-Voorblad!$F$41),0)</f>
        <v>0</v>
      </c>
      <c r="DD229" s="9">
        <f>IF($W229=DD$56,HE229*($Q229*$S229)/(1+Voorblad!$K$44)^(DD$56-Voorblad!$F$41),0)</f>
        <v>0</v>
      </c>
      <c r="DE229" s="9">
        <f>IF($W229=DE$56,HF229*($Q229*$S229)/(1+Voorblad!$K$44)^(DE$56-Voorblad!$F$41),0)</f>
        <v>0</v>
      </c>
      <c r="DF229" s="9">
        <f>IF($W229=DF$56,HG229*($Q229*$S229)/(1+Voorblad!$K$44)^(DF$56-Voorblad!$F$41),0)</f>
        <v>0</v>
      </c>
      <c r="DG229" s="9">
        <f>IF($W229=DG$56,HH229*($Q229*$S229)/(1+Voorblad!$K$44)^(DG$56-Voorblad!$F$41),0)</f>
        <v>0</v>
      </c>
      <c r="DH229" s="9">
        <f>IF($W229=DH$56,HI229*($Q229*$S229)/(1+Voorblad!$K$44)^(DH$56-Voorblad!$F$41),0)</f>
        <v>0</v>
      </c>
      <c r="DI229" s="9">
        <f>IF($W229=DI$56,HJ229*($Q229*$S229)/(1+Voorblad!$K$44)^(DI$56-Voorblad!$F$41),0)</f>
        <v>0</v>
      </c>
      <c r="DJ229" s="9">
        <f>IF($W229=DJ$56,HK229*($Q229*$S229)/(1+Voorblad!$K$44)^(DJ$56-Voorblad!$F$41),0)</f>
        <v>0</v>
      </c>
      <c r="DK229" s="9">
        <f>IF($W229=DK$56,HL229*($Q229*$S229)/(1+Voorblad!$K$44)^(DK$56-Voorblad!$F$41),0)</f>
        <v>0</v>
      </c>
      <c r="DL229" s="9">
        <f>IF($W229=DL$56,HM229*($Q229*$S229)/(1+Voorblad!$K$44)^(DL$56-Voorblad!$F$41),0)</f>
        <v>0</v>
      </c>
      <c r="DM229" s="9">
        <f>IF($W229=DM$56,HN229*($Q229*$S229)/(1+Voorblad!$K$44)^(DM$56-Voorblad!$F$41),0)</f>
        <v>0</v>
      </c>
      <c r="DN229" s="9">
        <f>IF($W229=DN$56,HO229*($Q229*$S229)/(1+Voorblad!$K$44)^(DN$56-Voorblad!$F$41),0)</f>
        <v>0</v>
      </c>
      <c r="DO229" s="9">
        <f>IF($W229=DO$56,HP229*($Q229*$S229)/(1+Voorblad!$K$44)^(DO$56-Voorblad!$F$41),0)</f>
        <v>0</v>
      </c>
      <c r="DP229" s="9">
        <f>IF($W229=DP$56,HQ229*($Q229*$S229)/(1+Voorblad!$K$44)^(DP$56-Voorblad!$F$41),0)</f>
        <v>0</v>
      </c>
      <c r="DQ229" s="9">
        <f>IF($W229=DQ$56,HR229*($Q229*$S229)/(1+Voorblad!$K$44)^(DQ$56-Voorblad!$F$41),0)</f>
        <v>0</v>
      </c>
      <c r="DR229" s="9">
        <f>IF($W229=DR$56,HS229*($Q229*$S229)/(1+Voorblad!$K$44)^(DR$56-Voorblad!$F$41),0)</f>
        <v>0</v>
      </c>
      <c r="DS229" s="9">
        <f>IF($W229=DS$56,HT229*($Q229*$S229)/(1+Voorblad!$K$44)^(DS$56-Voorblad!$F$41),0)</f>
        <v>0</v>
      </c>
      <c r="DT229" s="9">
        <f>IF($W229=DT$56,HU229*($Q229*$S229)/(1+Voorblad!$K$44)^(DT$56-Voorblad!$F$41),0)</f>
        <v>0</v>
      </c>
      <c r="DU229" s="9">
        <f>IF($W229=DU$56,HV229*($Q229*$S229)/(1+Voorblad!$K$44)^(DU$56-Voorblad!$F$41),0)</f>
        <v>0</v>
      </c>
      <c r="DV229" s="9">
        <f>IF($W229=DV$56,HW229*($Q229*$S229)/(1+Voorblad!$K$44)^(DV$56-Voorblad!$F$41),0)</f>
        <v>0</v>
      </c>
      <c r="DW229" s="9">
        <f>IF($W229=DW$56,HX229*($Q229*$S229)/(1+Voorblad!$K$44)^(DW$56-Voorblad!$F$41),0)</f>
        <v>0</v>
      </c>
      <c r="DX229" s="9">
        <f>IF($W229=DX$56,HY229*($Q229*$S229)/(1+Voorblad!$K$44)^(DX$56-Voorblad!$F$41),0)</f>
        <v>0</v>
      </c>
      <c r="DY229" s="9">
        <f>IF($W229=DY$56,HZ229*($Q229*$S229)/(1+Voorblad!$K$44)^(DY$56-Voorblad!$F$41),0)</f>
        <v>0</v>
      </c>
      <c r="DZ229" s="9">
        <f>IF($W229=DZ$56,IA229*($Q229*$S229)/(1+Voorblad!$K$44)^(DZ$56-Voorblad!$F$41),0)</f>
        <v>0</v>
      </c>
      <c r="EA229" s="9">
        <f>IF($W229=EA$56,IB229*($Q229*$S229)/(1+Voorblad!$K$44)^(EA$56-Voorblad!$F$41),0)</f>
        <v>0</v>
      </c>
      <c r="EB229" s="9">
        <f>IF($W229=EB$56,IC229*($Q229*$S229)/(1+Voorblad!$K$44)^(EB$56-Voorblad!$F$41),0)</f>
        <v>0</v>
      </c>
      <c r="EE229" s="8">
        <v>0</v>
      </c>
      <c r="EF229" s="8">
        <f>IF(EF$56-Voorblad!$F$41&gt;Voorblad!$K$41,0,IF($U229=0,0,IF($U229&lt;1,1/$U229,IF((EF$56-Voorblad!$F$41)/$U229-SUM($EE229:EE229)=1,1,0))))</f>
        <v>0</v>
      </c>
      <c r="EG229" s="8">
        <f>IF(EG$56-Voorblad!$F$41&gt;Voorblad!$K$41,0,IF($U229=0,0,IF($U229&lt;1,1/$U229,IF((EG$56-Voorblad!$F$41)/$U229-SUM($EE229:EF229)=1,1,0))))</f>
        <v>1</v>
      </c>
      <c r="EH229" s="8">
        <f>IF(EH$56-Voorblad!$F$41&gt;Voorblad!$K$41,0,IF($U229=0,0,IF($U229&lt;1,1/$U229,IF((EH$56-Voorblad!$F$41)/$U229-SUM($EE229:EG229)=1,1,0))))</f>
        <v>1</v>
      </c>
      <c r="EI229" s="8">
        <f>IF(EI$56-Voorblad!$F$41&gt;Voorblad!$K$41,0,IF($U229=0,0,IF($U229&lt;1,1/$U229,IF((EI$56-Voorblad!$F$41)/$U229-SUM($EE229:EH229)=1,1,0))))</f>
        <v>1</v>
      </c>
      <c r="EJ229" s="8">
        <f>IF(EJ$56-Voorblad!$F$41&gt;Voorblad!$K$41,0,IF($U229=0,0,IF($U229&lt;1,1/$U229,IF((EJ$56-Voorblad!$F$41)/$U229-SUM($EE229:EI229)=1,1,0))))</f>
        <v>1</v>
      </c>
      <c r="EK229" s="8">
        <f>IF(EK$56-Voorblad!$F$41&gt;Voorblad!$K$41,0,IF($U229=0,0,IF($U229&lt;1,1/$U229,IF((EK$56-Voorblad!$F$41)/$U229-SUM($EE229:EJ229)=1,1,0))))</f>
        <v>1</v>
      </c>
      <c r="EL229" s="8">
        <f>IF(EL$56-Voorblad!$F$41&gt;Voorblad!$K$41,0,IF($U229=0,0,IF($U229&lt;1,1/$U229,IF((EL$56-Voorblad!$F$41)/$U229-SUM($EE229:EK229)=1,1,0))))</f>
        <v>1</v>
      </c>
      <c r="EM229" s="8">
        <f>IF(EM$56-Voorblad!$F$41&gt;Voorblad!$K$41,0,IF($U229=0,0,IF($U229&lt;1,1/$U229,IF((EM$56-Voorblad!$F$41)/$U229-SUM($EE229:EL229)=1,1,0))))</f>
        <v>1</v>
      </c>
      <c r="EN229" s="8">
        <f>IF(EN$56-Voorblad!$F$41&gt;Voorblad!$K$41,0,IF($U229=0,0,IF($U229&lt;1,1/$U229,IF((EN$56-Voorblad!$F$41)/$U229-SUM($EE229:EM229)=1,1,0))))</f>
        <v>1</v>
      </c>
      <c r="EO229" s="8">
        <f>IF(EO$56-Voorblad!$F$41&gt;Voorblad!$K$41,0,IF($U229=0,0,IF($U229&lt;1,1/$U229,IF((EO$56-Voorblad!$F$41)/$U229-SUM($EE229:EN229)=1,1,0))))</f>
        <v>1</v>
      </c>
      <c r="EP229" s="8">
        <f>IF(EP$56-Voorblad!$F$41&gt;Voorblad!$K$41,0,IF($U229=0,0,IF($U229&lt;1,1/$U229,IF((EP$56-Voorblad!$F$41)/$U229-SUM($EE229:EO229)=1,1,0))))</f>
        <v>1</v>
      </c>
      <c r="EQ229" s="8">
        <f>IF(EQ$56-Voorblad!$F$41&gt;Voorblad!$K$41,0,IF($U229=0,0,IF($U229&lt;1,1/$U229,IF((EQ$56-Voorblad!$F$41)/$U229-SUM($EE229:EP229)=1,1,0))))</f>
        <v>1</v>
      </c>
      <c r="ER229" s="8">
        <f>IF(ER$56-Voorblad!$F$41&gt;Voorblad!$K$41,0,IF($U229=0,0,IF($U229&lt;1,1/$U229,IF((ER$56-Voorblad!$F$41)/$U229-SUM($EE229:EQ229)=1,1,0))))</f>
        <v>1</v>
      </c>
      <c r="ES229" s="8">
        <f>IF(ES$56-Voorblad!$F$41&gt;Voorblad!$K$41,0,IF($U229=0,0,IF($U229&lt;1,1/$U229,IF((ES$56-Voorblad!$F$41)/$U229-SUM($EE229:ER229)=1,1,0))))</f>
        <v>1</v>
      </c>
      <c r="ET229" s="8">
        <f>IF(ET$56-Voorblad!$F$41&gt;Voorblad!$K$41,0,IF($U229=0,0,IF($U229&lt;1,1/$U229,IF((ET$56-Voorblad!$F$41)/$U229-SUM($EE229:ES229)=1,1,0))))</f>
        <v>1</v>
      </c>
      <c r="EU229" s="8">
        <f>IF(EU$56-Voorblad!$F$41&gt;Voorblad!$K$41,0,IF($U229=0,0,IF($U229&lt;1,1/$U229,IF((EU$56-Voorblad!$F$41)/$U229-SUM($EE229:ET229)=1,1,0))))</f>
        <v>1</v>
      </c>
      <c r="EV229" s="8">
        <f>IF(EV$56-Voorblad!$F$41&gt;Voorblad!$K$41,0,IF($U229=0,0,IF($U229&lt;1,1/$U229,IF((EV$56-Voorblad!$F$41)/$U229-SUM($EE229:EU229)=1,1,0))))</f>
        <v>1</v>
      </c>
      <c r="EW229" s="8">
        <f>IF(EW$56-Voorblad!$F$41&gt;Voorblad!$K$41,0,IF($U229=0,0,IF($U229&lt;1,1/$U229,IF((EW$56-Voorblad!$F$41)/$U229-SUM($EE229:EV229)=1,1,0))))</f>
        <v>1</v>
      </c>
      <c r="EX229" s="8">
        <f>IF(EX$56-Voorblad!$F$41&gt;Voorblad!$K$41,0,IF($U229=0,0,IF($U229&lt;1,1/$U229,IF((EX$56-Voorblad!$F$41)/$U229-SUM($EE229:EW229)=1,1,0))))</f>
        <v>1</v>
      </c>
      <c r="EY229" s="8">
        <f>IF(EY$56-Voorblad!$F$41&gt;Voorblad!$K$41,0,IF($U229=0,0,IF($U229&lt;1,1/$U229,IF((EY$56-Voorblad!$F$41)/$U229-SUM($EE229:EX229)=1,1,0))))</f>
        <v>1</v>
      </c>
      <c r="EZ229" s="8">
        <f>IF(EZ$56-Voorblad!$F$41&gt;Voorblad!$K$41,0,IF($U229=0,0,IF($U229&lt;1,1/$U229,IF((EZ$56-Voorblad!$F$41)/$U229-SUM($EE229:EY229)=1,1,0))))</f>
        <v>1</v>
      </c>
      <c r="FA229" s="8">
        <f>IF(FA$56-Voorblad!$F$41&gt;Voorblad!$K$41,0,IF($U229=0,0,IF($U229&lt;1,1/$U229,IF((FA$56-Voorblad!$F$41)/$U229-SUM($EE229:EZ229)=1,1,0))))</f>
        <v>1</v>
      </c>
      <c r="FB229" s="8">
        <f>IF(FB$56-Voorblad!$F$41&gt;Voorblad!$K$41,0,IF($U229=0,0,IF($U229&lt;1,1/$U229,IF((FB$56-Voorblad!$F$41)/$U229-SUM($EE229:FA229)=1,1,0))))</f>
        <v>1</v>
      </c>
      <c r="FC229" s="8">
        <f>IF(FC$56-Voorblad!$F$41&gt;Voorblad!$K$41,0,IF($U229=0,0,IF($U229&lt;1,1/$U229,IF((FC$56-Voorblad!$F$41)/$U229-SUM($EE229:FB229)=1,1,0))))</f>
        <v>1</v>
      </c>
      <c r="FD229" s="8">
        <f>IF(FD$56-Voorblad!$F$41&gt;Voorblad!$K$41,0,IF($U229=0,0,IF($U229&lt;1,1/$U229,IF((FD$56-Voorblad!$F$41)/$U229-SUM($EE229:FC229)=1,1,0))))</f>
        <v>1</v>
      </c>
      <c r="FE229" s="8">
        <f>IF(FE$56-Voorblad!$F$41&gt;Voorblad!$K$41,0,IF($U229=0,0,IF($U229&lt;1,1/$U229,IF((FE$56-Voorblad!$F$41)/$U229-SUM($EE229:FD229)=1,1,0))))</f>
        <v>1</v>
      </c>
      <c r="FF229" s="8">
        <f>IF(FF$56-Voorblad!$F$41&gt;Voorblad!$K$41,0,IF($U229=0,0,IF($U229&lt;1,1/$U229,IF((FF$56-Voorblad!$F$41)/$U229-SUM($EE229:FE229)=1,1,0))))</f>
        <v>1</v>
      </c>
      <c r="FG229" s="8">
        <f>IF(FG$56-Voorblad!$F$41&gt;Voorblad!$K$41,0,IF($U229=0,0,IF($U229&lt;1,1/$U229,IF((FG$56-Voorblad!$F$41)/$U229-SUM($EE229:FF229)=1,1,0))))</f>
        <v>1</v>
      </c>
      <c r="FH229" s="8">
        <f>IF(FH$56-Voorblad!$F$41&gt;Voorblad!$K$41,0,IF($U229=0,0,IF($U229&lt;1,1/$U229,IF((FH$56-Voorblad!$F$41)/$U229-SUM($EE229:FG229)=1,1,0))))</f>
        <v>1</v>
      </c>
      <c r="FI229" s="8">
        <f>IF(FI$56-Voorblad!$F$41&gt;Voorblad!$K$41,0,IF($U229=0,0,IF($U229&lt;1,1/$U229,IF((FI$56-Voorblad!$F$41)/$U229-SUM($EE229:FH229)=1,1,0))))</f>
        <v>1</v>
      </c>
      <c r="FJ229" s="8">
        <f>IF(FJ$56-Voorblad!$F$41&gt;Voorblad!$K$41,0,IF($U229=0,0,IF($U229&lt;1,1/$U229,IF((FJ$56-Voorblad!$F$41)/$U229-SUM($EE229:FI229)=1,1,0))))</f>
        <v>1</v>
      </c>
      <c r="FK229" s="8">
        <f>IF(FK$56-Voorblad!$F$41&gt;Voorblad!$K$41,0,IF($U229=0,0,IF($U229&lt;1,1/$U229,IF((FK$56-Voorblad!$F$41)/$U229-SUM($EE229:FJ229)=1,1,0))))</f>
        <v>1</v>
      </c>
      <c r="FL229" s="8">
        <f>IF(FL$56-Voorblad!$F$41&gt;Voorblad!$K$41,0,IF($U229=0,0,IF($U229&lt;1,1/$U229,IF((FL$56-Voorblad!$F$41)/$U229-SUM($EE229:FK229)=1,1,0))))</f>
        <v>1</v>
      </c>
      <c r="FM229" s="8">
        <f>IF(FM$56-Voorblad!$F$41&gt;Voorblad!$K$41,0,IF($U229=0,0,IF($U229&lt;1,1/$U229,IF((FM$56-Voorblad!$F$41)/$U229-SUM($EE229:FL229)=1,1,0))))</f>
        <v>1</v>
      </c>
      <c r="FN229" s="8">
        <f>IF(FN$56-Voorblad!$F$41&gt;Voorblad!$K$41,0,IF($U229=0,0,IF($U229&lt;1,1/$U229,IF((FN$56-Voorblad!$F$41)/$U229-SUM($EE229:FM229)=1,1,0))))</f>
        <v>1</v>
      </c>
      <c r="FO229" s="8">
        <f>IF(FO$56-Voorblad!$F$41&gt;Voorblad!$K$41,0,IF($U229=0,0,IF($U229&lt;1,1/$U229,IF((FO$56-Voorblad!$F$41)/$U229-SUM($EE229:FN229)=1,1,0))))</f>
        <v>1</v>
      </c>
      <c r="FP229" s="8">
        <f>IF(FP$56-Voorblad!$F$41&gt;Voorblad!$K$41,0,IF($U229=0,0,IF($U229&lt;1,1/$U229,IF((FP$56-Voorblad!$F$41)/$U229-SUM($EE229:FO229)=1,1,0))))</f>
        <v>1</v>
      </c>
      <c r="FQ229" s="8">
        <f>IF(FQ$56-Voorblad!$F$41&gt;Voorblad!$K$41,0,IF($U229=0,0,IF($U229&lt;1,1/$U229,IF((FQ$56-Voorblad!$F$41)/$U229-SUM($EE229:FP229)=1,1,0))))</f>
        <v>1</v>
      </c>
      <c r="FR229" s="8">
        <f>IF(FR$56-Voorblad!$F$41&gt;Voorblad!$K$41,0,IF($U229=0,0,IF($U229&lt;1,1/$U229,IF((FR$56-Voorblad!$F$41)/$U229-SUM($EE229:FQ229)=1,1,0))))</f>
        <v>1</v>
      </c>
      <c r="FS229" s="8">
        <f>IF(FS$56-Voorblad!$F$41&gt;Voorblad!$K$41,0,IF($U229=0,0,IF($U229&lt;1,1/$U229,IF((FS$56-Voorblad!$F$41)/$U229-SUM($EE229:FR229)=1,1,0))))</f>
        <v>1</v>
      </c>
      <c r="FT229" s="8">
        <f>IF(FT$56-Voorblad!$F$41&gt;Voorblad!$K$41,0,IF($U229=0,0,IF($U229&lt;1,1/$U229,IF((FT$56-Voorblad!$F$41)/$U229-SUM($EE229:FS229)=1,1,0))))</f>
        <v>1</v>
      </c>
      <c r="FU229" s="8">
        <f>IF(FU$56-Voorblad!$F$41&gt;Voorblad!$K$41,0,IF($U229=0,0,IF($U229&lt;1,1/$U229,IF((FU$56-Voorblad!$F$41)/$U229-SUM($EE229:FT229)=1,1,0))))</f>
        <v>1</v>
      </c>
      <c r="FV229" s="8">
        <f>IF(FV$56-Voorblad!$F$41&gt;Voorblad!$K$41,0,IF($U229=0,0,IF($U229&lt;1,1/$U229,IF((FV$56-Voorblad!$F$41)/$U229-SUM($EE229:FU229)=1,1,0))))</f>
        <v>1</v>
      </c>
      <c r="FW229" s="8">
        <f>IF(FW$56-Voorblad!$F$41&gt;Voorblad!$K$41,0,IF($U229=0,0,IF($U229&lt;1,1/$U229,IF((FW$56-Voorblad!$F$41)/$U229-SUM($EE229:FV229)=1,1,0))))</f>
        <v>1</v>
      </c>
      <c r="FX229" s="8">
        <f>IF(FX$56-Voorblad!$F$41&gt;Voorblad!$K$41,0,IF($U229=0,0,IF($U229&lt;1,1/$U229,IF((FX$56-Voorblad!$F$41)/$U229-SUM($EE229:FW229)=1,1,0))))</f>
        <v>1</v>
      </c>
      <c r="FY229" s="8">
        <f>IF(FY$56-Voorblad!$F$41&gt;Voorblad!$K$41,0,IF($U229=0,0,IF($U229&lt;1,1/$U229,IF((FY$56-Voorblad!$F$41)/$U229-SUM($EE229:FX229)=1,1,0))))</f>
        <v>1</v>
      </c>
      <c r="FZ229" s="8">
        <f>IF(FZ$56-Voorblad!$F$41&gt;Voorblad!$K$41,0,IF($U229=0,0,IF($U229&lt;1,1/$U229,IF((FZ$56-Voorblad!$F$41)/$U229-SUM($EE229:FY229)=1,1,0))))</f>
        <v>1</v>
      </c>
      <c r="GA229" s="8">
        <f>IF(GA$56-Voorblad!$F$41&gt;Voorblad!$K$41,0,IF($U229=0,0,IF($U229&lt;1,1/$U229,IF((GA$56-Voorblad!$F$41)/$U229-SUM($EE229:FZ229)=1,1,0))))</f>
        <v>1</v>
      </c>
      <c r="GB229" s="8">
        <f>IF(GB$56-Voorblad!$F$41&gt;Voorblad!$K$41,0,IF($U229=0,0,IF($U229&lt;1,1/$U229,IF((GB$56-Voorblad!$F$41)/$U229-SUM($EE229:GA229)=1,1,0))))</f>
        <v>1</v>
      </c>
      <c r="GC229" s="8">
        <f>IF(GC$56-Voorblad!$F$41&gt;Voorblad!$K$41,0,IF($U229=0,0,IF($U229&lt;1,1/$U229,IF((GC$56-Voorblad!$F$41)/$U229-SUM($EE229:GB229)=1,1,0))))</f>
        <v>1</v>
      </c>
      <c r="GD229" s="8">
        <f>IF(GD$56-Voorblad!$F$41&gt;Voorblad!$K$41,0,IF($U229=0,0,IF($U229&lt;1,1/$U229,IF((GD$56-Voorblad!$F$41)/$U229-SUM($EE229:GC229)=1,1,0))))</f>
        <v>1</v>
      </c>
      <c r="GE229" s="8">
        <f>IF(GE$56-Voorblad!$F$41&gt;Voorblad!$K$41,0,IF($U229=0,0,IF($U229&lt;1,1/$U229,IF((GE$56-Voorblad!$F$41)/$U229-SUM($EE229:GD229)=1,1,0))))</f>
        <v>1</v>
      </c>
      <c r="GF229" s="8">
        <f>IF(GF$56-Voorblad!$F$41&gt;Voorblad!$K$41,0,IF($U229=0,0,IF($U229&lt;1,1/$U229,IF((GF$56-Voorblad!$F$41)/$U229-SUM($EE229:GE229)=1,1,0))))</f>
        <v>1</v>
      </c>
      <c r="GG229" s="8">
        <f>IF(GG$56-Voorblad!$F$41&gt;Voorblad!$K$41,0,IF($U229=0,0,IF($U229&lt;1,1/$U229,IF((GG$56-Voorblad!$F$41)/$U229-SUM($EE229:GF229)=1,1,0))))</f>
        <v>1</v>
      </c>
      <c r="GH229" s="8">
        <f>IF(GH$56-Voorblad!$F$41&gt;Voorblad!$K$41,0,IF($U229=0,0,IF($U229&lt;1,1/$U229,IF((GH$56-Voorblad!$F$41)/$U229-SUM($EE229:GG229)=1,1,0))))</f>
        <v>1</v>
      </c>
      <c r="GI229" s="8">
        <f>IF(GI$56-Voorblad!$F$41&gt;Voorblad!$K$41,0,IF($U229=0,0,IF($U229&lt;1,1/$U229,IF((GI$56-Voorblad!$F$41)/$U229-SUM($EE229:GH229)=1,1,0))))</f>
        <v>1</v>
      </c>
      <c r="GJ229" s="8">
        <f>IF(GJ$56-Voorblad!$F$41&gt;Voorblad!$K$41,0,IF($U229=0,0,IF($U229&lt;1,1/$U229,IF((GJ$56-Voorblad!$F$41)/$U229-SUM($EE229:GI229)=1,1,0))))</f>
        <v>1</v>
      </c>
      <c r="GK229" s="8">
        <f>IF(GK$56-Voorblad!$F$41&gt;Voorblad!$K$41,0,IF($U229=0,0,IF($U229&lt;1,1/$U229,IF((GK$56-Voorblad!$F$41)/$U229-SUM($EE229:GJ229)=1,1,0))))</f>
        <v>1</v>
      </c>
      <c r="GL229" s="8">
        <f>IF(GL$56-Voorblad!$F$41&gt;Voorblad!$K$41,0,IF($U229=0,0,IF($U229&lt;1,1/$U229,IF((GL$56-Voorblad!$F$41)/$U229-SUM($EE229:GK229)=1,1,0))))</f>
        <v>1</v>
      </c>
      <c r="GM229" s="8">
        <f>IF(GM$56-Voorblad!$F$41&gt;Voorblad!$K$41,0,IF($U229=0,0,IF($U229&lt;1,1/$U229,IF((GM$56-Voorblad!$F$41)/$U229-SUM($EE229:GL229)=1,1,0))))</f>
        <v>1</v>
      </c>
      <c r="GN229" s="8">
        <f>IF(GN$56-Voorblad!$F$41&gt;Voorblad!$K$41,0,IF($U229=0,0,IF($U229&lt;1,1/$U229,IF((GN$56-Voorblad!$F$41)/$U229-SUM($EE229:GM229)=1,1,0))))</f>
        <v>1</v>
      </c>
      <c r="GO229" s="8">
        <f>IF(GO$56-Voorblad!$F$41&gt;Voorblad!$K$41,0,IF($U229=0,0,IF($U229&lt;1,1/$U229,IF((GO$56-Voorblad!$F$41)/$U229-SUM($EE229:GN229)=1,1,0))))</f>
        <v>1</v>
      </c>
      <c r="GP229" s="8">
        <f>IF(GP$56-Voorblad!$F$41&gt;Voorblad!$K$41,0,IF($U229=0,0,IF($U229&lt;1,1/$U229,IF((GP$56-Voorblad!$F$41)/$U229-SUM($EE229:GO229)=1,1,0))))</f>
        <v>1</v>
      </c>
      <c r="GQ229" s="8">
        <f>IF(GQ$56-Voorblad!$F$41&gt;Voorblad!$K$41,0,IF($U229=0,0,IF($U229&lt;1,1/$U229,IF((GQ$56-Voorblad!$F$41)/$U229-SUM($EE229:GP229)=1,1,0))))</f>
        <v>1</v>
      </c>
      <c r="GR229" s="8">
        <f>IF(GR$56-Voorblad!$F$41&gt;Voorblad!$K$41,0,IF($U229=0,0,IF($U229&lt;1,1/$U229,IF((GR$56-Voorblad!$F$41)/$U229-SUM($EE229:GQ229)=1,1,0))))</f>
        <v>1</v>
      </c>
      <c r="GS229" s="8">
        <f>IF(GS$56-Voorblad!$F$41&gt;Voorblad!$K$41,0,IF($U229=0,0,IF($U229&lt;1,1/$U229,IF((GS$56-Voorblad!$F$41)/$U229-SUM($EE229:GR229)=1,1,0))))</f>
        <v>1</v>
      </c>
      <c r="GT229" s="8">
        <f>IF(GT$56-Voorblad!$F$41&gt;Voorblad!$K$41,0,IF($U229=0,0,IF($U229&lt;1,1/$U229,IF((GT$56-Voorblad!$F$41)/$U229-SUM($EE229:GS229)=1,1,0))))</f>
        <v>1</v>
      </c>
      <c r="GU229" s="8">
        <f>IF(GU$56-Voorblad!$F$41&gt;Voorblad!$K$41,0,IF($U229=0,0,IF($U229&lt;1,1/$U229,IF((GU$56-Voorblad!$F$41)/$U229-SUM($EE229:GT229)=1,1,0))))</f>
        <v>1</v>
      </c>
      <c r="GV229" s="8">
        <f>IF(GV$56-Voorblad!$F$41&gt;Voorblad!$K$41,0,IF($U229=0,0,IF($U229&lt;1,1/$U229,IF((GV$56-Voorblad!$F$41)/$U229-SUM($EE229:GU229)=1,1,0))))</f>
        <v>1</v>
      </c>
      <c r="GW229" s="8">
        <f>IF(GW$56-Voorblad!$F$41&gt;Voorblad!$K$41,0,IF($U229=0,0,IF($U229&lt;1,1/$U229,IF((GW$56-Voorblad!$F$41)/$U229-SUM($EE229:GV229)=1,1,0))))</f>
        <v>1</v>
      </c>
      <c r="GX229" s="8">
        <f>IF(GX$56-Voorblad!$F$41&gt;Voorblad!$K$41,0,IF($U229=0,0,IF($U229&lt;1,1/$U229,IF((GX$56-Voorblad!$F$41)/$U229-SUM($EE229:GW229)=1,1,0))))</f>
        <v>1</v>
      </c>
      <c r="GY229" s="8">
        <f>IF(GY$56-Voorblad!$F$41&gt;Voorblad!$K$41,0,IF($U229=0,0,IF($U229&lt;1,1/$U229,IF((GY$56-Voorblad!$F$41)/$U229-SUM($EE229:GX229)=1,1,0))))</f>
        <v>1</v>
      </c>
      <c r="GZ229" s="8">
        <f>IF(GZ$56-Voorblad!$F$41&gt;Voorblad!$K$41,0,IF($U229=0,0,IF($U229&lt;1,1/$U229,IF((GZ$56-Voorblad!$F$41)/$U229-SUM($EE229:GY229)=1,1,0))))</f>
        <v>1</v>
      </c>
      <c r="HA229" s="8">
        <f>IF(HA$56-Voorblad!$F$41&gt;Voorblad!$K$41,0,IF($U229=0,0,IF($U229&lt;1,1/$U229,IF((HA$56-Voorblad!$F$41)/$U229-SUM($EE229:GZ229)=1,1,0))))</f>
        <v>1</v>
      </c>
      <c r="HB229" s="8">
        <f>IF(HB$56-Voorblad!$F$41&gt;Voorblad!$K$41,0,IF($U229=0,0,IF($U229&lt;1,1/$U229,IF((HB$56-Voorblad!$F$41)/$U229-SUM($EE229:HA229)=1,1,0))))</f>
        <v>0</v>
      </c>
      <c r="HC229" s="8">
        <f>IF(HC$56-Voorblad!$F$41&gt;Voorblad!$K$41,0,IF($U229=0,0,IF($U229&lt;1,1/$U229,IF((HC$56-Voorblad!$F$41)/$U229-SUM($EE229:HB229)=1,1,0))))</f>
        <v>0</v>
      </c>
      <c r="HD229" s="8">
        <f>IF(HD$56-Voorblad!$F$41&gt;Voorblad!$K$41,0,IF($U229=0,0,IF($U229&lt;1,1/$U229,IF((HD$56-Voorblad!$F$41)/$U229-SUM($EE229:HC229)=1,1,0))))</f>
        <v>0</v>
      </c>
      <c r="HE229" s="8">
        <f>IF(HE$56-Voorblad!$F$41&gt;Voorblad!$K$41,0,IF($U229=0,0,IF($U229&lt;1,1/$U229,IF((HE$56-Voorblad!$F$41)/$U229-SUM($EE229:HD229)=1,1,0))))</f>
        <v>0</v>
      </c>
      <c r="HF229" s="8">
        <f>IF(HF$56-Voorblad!$F$41&gt;Voorblad!$K$41,0,IF($U229=0,0,IF($U229&lt;1,1/$U229,IF((HF$56-Voorblad!$F$41)/$U229-SUM($EE229:HE229)=1,1,0))))</f>
        <v>0</v>
      </c>
      <c r="HG229" s="8">
        <f>IF(HG$56-Voorblad!$F$41&gt;Voorblad!$K$41,0,IF($U229=0,0,IF($U229&lt;1,1/$U229,IF((HG$56-Voorblad!$F$41)/$U229-SUM($EE229:HF229)=1,1,0))))</f>
        <v>0</v>
      </c>
      <c r="HH229" s="8">
        <f>IF(HH$56-Voorblad!$F$41&gt;Voorblad!$K$41,0,IF($U229=0,0,IF($U229&lt;1,1/$U229,IF((HH$56-Voorblad!$F$41)/$U229-SUM($EE229:HG229)=1,1,0))))</f>
        <v>0</v>
      </c>
      <c r="HI229" s="8">
        <f>IF(HI$56-Voorblad!$F$41&gt;Voorblad!$K$41,0,IF($U229=0,0,IF($U229&lt;1,1/$U229,IF((HI$56-Voorblad!$F$41)/$U229-SUM($EE229:HH229)=1,1,0))))</f>
        <v>0</v>
      </c>
      <c r="HJ229" s="8">
        <f>IF(HJ$56-Voorblad!$F$41&gt;Voorblad!$K$41,0,IF($U229=0,0,IF($U229&lt;1,1/$U229,IF((HJ$56-Voorblad!$F$41)/$U229-SUM($EE229:HI229)=1,1,0))))</f>
        <v>0</v>
      </c>
      <c r="HK229" s="8">
        <f>IF(HK$56-Voorblad!$F$41&gt;Voorblad!$K$41,0,IF($U229=0,0,IF($U229&lt;1,1/$U229,IF((HK$56-Voorblad!$F$41)/$U229-SUM($EE229:HJ229)=1,1,0))))</f>
        <v>0</v>
      </c>
      <c r="HL229" s="8">
        <f>IF(HL$56-Voorblad!$F$41&gt;Voorblad!$K$41,0,IF($U229=0,0,IF($U229&lt;1,1/$U229,IF((HL$56-Voorblad!$F$41)/$U229-SUM($EE229:HK229)=1,1,0))))</f>
        <v>0</v>
      </c>
      <c r="HM229" s="8">
        <f>IF(HM$56-Voorblad!$F$41&gt;Voorblad!$K$41,0,IF($U229=0,0,IF($U229&lt;1,1/$U229,IF((HM$56-Voorblad!$F$41)/$U229-SUM($EE229:HL229)=1,1,0))))</f>
        <v>0</v>
      </c>
      <c r="HN229" s="8">
        <f>IF(HN$56-Voorblad!$F$41&gt;Voorblad!$K$41,0,IF($U229=0,0,IF($U229&lt;1,1/$U229,IF((HN$56-Voorblad!$F$41)/$U229-SUM($EE229:HM229)=1,1,0))))</f>
        <v>0</v>
      </c>
      <c r="HO229" s="8">
        <f>IF(HO$56-Voorblad!$F$41&gt;Voorblad!$K$41,0,IF($U229=0,0,IF($U229&lt;1,1/$U229,IF((HO$56-Voorblad!$F$41)/$U229-SUM($EE229:HN229)=1,1,0))))</f>
        <v>0</v>
      </c>
      <c r="HP229" s="8">
        <f>IF(HP$56-Voorblad!$F$41&gt;Voorblad!$K$41,0,IF($U229=0,0,IF($U229&lt;1,1/$U229,IF((HP$56-Voorblad!$F$41)/$U229-SUM($EE229:HO229)=1,1,0))))</f>
        <v>0</v>
      </c>
      <c r="HQ229" s="8">
        <f>IF(HQ$56-Voorblad!$F$41&gt;Voorblad!$K$41,0,IF($U229=0,0,IF($U229&lt;1,1/$U229,IF((HQ$56-Voorblad!$F$41)/$U229-SUM($EE229:HP229)=1,1,0))))</f>
        <v>0</v>
      </c>
      <c r="HR229" s="8">
        <f>IF(HR$56-Voorblad!$F$41&gt;Voorblad!$K$41,0,IF($U229=0,0,IF($U229&lt;1,1/$U229,IF((HR$56-Voorblad!$F$41)/$U229-SUM($EE229:HQ229)=1,1,0))))</f>
        <v>0</v>
      </c>
      <c r="HS229" s="8">
        <f>IF(HS$56-Voorblad!$F$41&gt;Voorblad!$K$41,0,IF($U229=0,0,IF($U229&lt;1,1/$U229,IF((HS$56-Voorblad!$F$41)/$U229-SUM($EE229:HR229)=1,1,0))))</f>
        <v>0</v>
      </c>
      <c r="HT229" s="8">
        <f>IF(HT$56-Voorblad!$F$41&gt;Voorblad!$K$41,0,IF($U229=0,0,IF($U229&lt;1,1/$U229,IF((HT$56-Voorblad!$F$41)/$U229-SUM($EE229:HS229)=1,1,0))))</f>
        <v>0</v>
      </c>
      <c r="HU229" s="8">
        <f>IF(HU$56-Voorblad!$F$41&gt;Voorblad!$K$41,0,IF($U229=0,0,IF($U229&lt;1,1/$U229,IF((HU$56-Voorblad!$F$41)/$U229-SUM($EE229:HT229)=1,1,0))))</f>
        <v>0</v>
      </c>
      <c r="HV229" s="8">
        <f>IF(HV$56-Voorblad!$F$41&gt;Voorblad!$K$41,0,IF($U229=0,0,IF($U229&lt;1,1/$U229,IF((HV$56-Voorblad!$F$41)/$U229-SUM($EE229:HU229)=1,1,0))))</f>
        <v>0</v>
      </c>
      <c r="HW229" s="8">
        <f>IF(HW$56-Voorblad!$F$41&gt;Voorblad!$K$41,0,IF($U229=0,0,IF($U229&lt;1,1/$U229,IF((HW$56-Voorblad!$F$41)/$U229-SUM($EE229:HV229)=1,1,0))))</f>
        <v>0</v>
      </c>
      <c r="HX229" s="8">
        <f>IF(HX$56-Voorblad!$F$41&gt;Voorblad!$K$41,0,IF($U229=0,0,IF($U229&lt;1,1/$U229,IF((HX$56-Voorblad!$F$41)/$U229-SUM($EE229:HW229)=1,1,0))))</f>
        <v>0</v>
      </c>
      <c r="HY229" s="8">
        <f>IF(HY$56-Voorblad!$F$41&gt;Voorblad!$K$41,0,IF($U229=0,0,IF($U229&lt;1,1/$U229,IF((HY$56-Voorblad!$F$41)/$U229-SUM($EE229:HX229)=1,1,0))))</f>
        <v>0</v>
      </c>
      <c r="HZ229" s="8">
        <f>IF(HZ$56-Voorblad!$F$41&gt;Voorblad!$K$41,0,IF($U229=0,0,IF($U229&lt;1,1/$U229,IF((HZ$56-Voorblad!$F$41)/$U229-SUM($EE229:HY229)=1,1,0))))</f>
        <v>0</v>
      </c>
      <c r="IA229" s="8">
        <f>IF(IA$56-Voorblad!$F$41&gt;Voorblad!$K$41,0,IF($U229=0,0,IF($U229&lt;1,1/$U229,IF((IA$56-Voorblad!$F$41)/$U229-SUM($EE229:HZ229)=1,1,0))))</f>
        <v>0</v>
      </c>
      <c r="IB229" s="8">
        <f>IF(IB$56-Voorblad!$F$41&gt;Voorblad!$K$41,0,IF($U229=0,0,IF($U229&lt;1,1/$U229,IF((IB$56-Voorblad!$F$41)/$U229-SUM($EE229:IA229)=1,1,0))))</f>
        <v>0</v>
      </c>
    </row>
    <row r="230" spans="2:236" outlineLevel="1" x14ac:dyDescent="0.25">
      <c r="B230" s="14">
        <v>1</v>
      </c>
      <c r="C230" s="14"/>
      <c r="F230" s="1" t="s">
        <v>26</v>
      </c>
      <c r="I230" s="1" t="s">
        <v>49</v>
      </c>
      <c r="K230" s="1" t="s">
        <v>263</v>
      </c>
      <c r="O230" s="1" t="s">
        <v>104</v>
      </c>
      <c r="P230" s="1" t="s">
        <v>314</v>
      </c>
      <c r="Q230" s="83">
        <f>2*96</f>
        <v>192</v>
      </c>
      <c r="R230" s="1" t="s">
        <v>102</v>
      </c>
      <c r="S230" s="1">
        <v>-50</v>
      </c>
      <c r="T230" s="21">
        <f t="shared" si="201"/>
        <v>-9600</v>
      </c>
      <c r="U230" s="11">
        <v>1</v>
      </c>
      <c r="V230" s="14">
        <f>Voorblad!F24+100</f>
        <v>2101</v>
      </c>
      <c r="W230" s="9">
        <f>Voorblad!$K$77</f>
        <v>2101</v>
      </c>
      <c r="X230" s="6"/>
      <c r="Y230" s="9">
        <f t="shared" ref="Y230" si="203">SUM(AE230:EB230)</f>
        <v>-1582.8109986741044</v>
      </c>
      <c r="AE230" s="9">
        <f>IF($W230=AE$56,EF230*($Q230*$S230)/(1+Voorblad!$K$44)^(AE$56-Voorblad!$F$41),0)</f>
        <v>0</v>
      </c>
      <c r="AF230" s="9">
        <f>IF($W230=AF$56,EG230*($Q230*$S230)/(1+Voorblad!$K$44)^(AF$56-Voorblad!$F$41),0)</f>
        <v>0</v>
      </c>
      <c r="AG230" s="9">
        <f>IF($W230=AG$56,EH230*($Q230*$S230)/(1+Voorblad!$K$44)^(AG$56-Voorblad!$F$41),0)</f>
        <v>0</v>
      </c>
      <c r="AH230" s="9">
        <f>IF($W230=AH$56,EI230*($Q230*$S230)/(1+Voorblad!$K$44)^(AH$56-Voorblad!$F$41),0)</f>
        <v>0</v>
      </c>
      <c r="AI230" s="9">
        <f>IF($W230=AI$56,EJ230*($Q230*$S230)/(1+Voorblad!$K$44)^(AI$56-Voorblad!$F$41),0)</f>
        <v>0</v>
      </c>
      <c r="AJ230" s="9">
        <f>IF($W230=AJ$56,EK230*($Q230*$S230)/(1+Voorblad!$K$44)^(AJ$56-Voorblad!$F$41),0)</f>
        <v>0</v>
      </c>
      <c r="AK230" s="9">
        <f>IF($W230=AK$56,EL230*($Q230*$S230)/(1+Voorblad!$K$44)^(AK$56-Voorblad!$F$41),0)</f>
        <v>0</v>
      </c>
      <c r="AL230" s="9">
        <f>IF($W230=AL$56,EM230*($Q230*$S230)/(1+Voorblad!$K$44)^(AL$56-Voorblad!$F$41),0)</f>
        <v>0</v>
      </c>
      <c r="AM230" s="9">
        <f>IF($W230=AM$56,EN230*($Q230*$S230)/(1+Voorblad!$K$44)^(AM$56-Voorblad!$F$41),0)</f>
        <v>0</v>
      </c>
      <c r="AN230" s="9">
        <f>IF($W230=AN$56,EO230*($Q230*$S230)/(1+Voorblad!$K$44)^(AN$56-Voorblad!$F$41),0)</f>
        <v>0</v>
      </c>
      <c r="AO230" s="9">
        <f>IF($W230=AO$56,EP230*($Q230*$S230)/(1+Voorblad!$K$44)^(AO$56-Voorblad!$F$41),0)</f>
        <v>0</v>
      </c>
      <c r="AP230" s="9">
        <f>IF($W230=AP$56,EQ230*($Q230*$S230)/(1+Voorblad!$K$44)^(AP$56-Voorblad!$F$41),0)</f>
        <v>0</v>
      </c>
      <c r="AQ230" s="9">
        <f>IF($W230=AQ$56,ER230*($Q230*$S230)/(1+Voorblad!$K$44)^(AQ$56-Voorblad!$F$41),0)</f>
        <v>0</v>
      </c>
      <c r="AR230" s="9">
        <f>IF($W230=AR$56,ES230*($Q230*$S230)/(1+Voorblad!$K$44)^(AR$56-Voorblad!$F$41),0)</f>
        <v>0</v>
      </c>
      <c r="AS230" s="9">
        <f>IF($W230=AS$56,ET230*($Q230*$S230)/(1+Voorblad!$K$44)^(AS$56-Voorblad!$F$41),0)</f>
        <v>0</v>
      </c>
      <c r="AT230" s="9">
        <f>IF($W230=AT$56,EU230*($Q230*$S230)/(1+Voorblad!$K$44)^(AT$56-Voorblad!$F$41),0)</f>
        <v>0</v>
      </c>
      <c r="AU230" s="9">
        <f>IF($W230=AU$56,EV230*($Q230*$S230)/(1+Voorblad!$K$44)^(AU$56-Voorblad!$F$41),0)</f>
        <v>0</v>
      </c>
      <c r="AV230" s="9">
        <f>IF($W230=AV$56,EW230*($Q230*$S230)/(1+Voorblad!$K$44)^(AV$56-Voorblad!$F$41),0)</f>
        <v>0</v>
      </c>
      <c r="AW230" s="9">
        <f>IF($W230=AW$56,EX230*($Q230*$S230)/(1+Voorblad!$K$44)^(AW$56-Voorblad!$F$41),0)</f>
        <v>0</v>
      </c>
      <c r="AX230" s="9">
        <f>IF($W230=AX$56,EY230*($Q230*$S230)/(1+Voorblad!$K$44)^(AX$56-Voorblad!$F$41),0)</f>
        <v>0</v>
      </c>
      <c r="AY230" s="9">
        <f>IF($W230=AY$56,EZ230*($Q230*$S230)/(1+Voorblad!$K$44)^(AY$56-Voorblad!$F$41),0)</f>
        <v>0</v>
      </c>
      <c r="AZ230" s="9">
        <f>IF($W230=AZ$56,FA230*($Q230*$S230)/(1+Voorblad!$K$44)^(AZ$56-Voorblad!$F$41),0)</f>
        <v>0</v>
      </c>
      <c r="BA230" s="9">
        <f>IF($W230=BA$56,FB230*($Q230*$S230)/(1+Voorblad!$K$44)^(BA$56-Voorblad!$F$41),0)</f>
        <v>0</v>
      </c>
      <c r="BB230" s="9">
        <f>IF($W230=BB$56,FC230*($Q230*$S230)/(1+Voorblad!$K$44)^(BB$56-Voorblad!$F$41),0)</f>
        <v>0</v>
      </c>
      <c r="BC230" s="9">
        <f>IF($W230=BC$56,FD230*($Q230*$S230)/(1+Voorblad!$K$44)^(BC$56-Voorblad!$F$41),0)</f>
        <v>0</v>
      </c>
      <c r="BD230" s="9">
        <f>IF($W230=BD$56,FE230*($Q230*$S230)/(1+Voorblad!$K$44)^(BD$56-Voorblad!$F$41),0)</f>
        <v>0</v>
      </c>
      <c r="BE230" s="9">
        <f>IF($W230=BE$56,FF230*($Q230*$S230)/(1+Voorblad!$K$44)^(BE$56-Voorblad!$F$41),0)</f>
        <v>0</v>
      </c>
      <c r="BF230" s="9">
        <f>IF($W230=BF$56,FG230*($Q230*$S230)/(1+Voorblad!$K$44)^(BF$56-Voorblad!$F$41),0)</f>
        <v>0</v>
      </c>
      <c r="BG230" s="9">
        <f>IF($W230=BG$56,FH230*($Q230*$S230)/(1+Voorblad!$K$44)^(BG$56-Voorblad!$F$41),0)</f>
        <v>0</v>
      </c>
      <c r="BH230" s="9">
        <f>IF($W230=BH$56,FI230*($Q230*$S230)/(1+Voorblad!$K$44)^(BH$56-Voorblad!$F$41),0)</f>
        <v>0</v>
      </c>
      <c r="BI230" s="9">
        <f>IF($W230=BI$56,FJ230*($Q230*$S230)/(1+Voorblad!$K$44)^(BI$56-Voorblad!$F$41),0)</f>
        <v>0</v>
      </c>
      <c r="BJ230" s="9">
        <f>IF($W230=BJ$56,FK230*($Q230*$S230)/(1+Voorblad!$K$44)^(BJ$56-Voorblad!$F$41),0)</f>
        <v>0</v>
      </c>
      <c r="BK230" s="9">
        <f>IF($W230=BK$56,FL230*($Q230*$S230)/(1+Voorblad!$K$44)^(BK$56-Voorblad!$F$41),0)</f>
        <v>0</v>
      </c>
      <c r="BL230" s="9">
        <f>IF($W230=BL$56,FM230*($Q230*$S230)/(1+Voorblad!$K$44)^(BL$56-Voorblad!$F$41),0)</f>
        <v>0</v>
      </c>
      <c r="BM230" s="9">
        <f>IF($W230=BM$56,FN230*($Q230*$S230)/(1+Voorblad!$K$44)^(BM$56-Voorblad!$F$41),0)</f>
        <v>0</v>
      </c>
      <c r="BN230" s="9">
        <f>IF($W230=BN$56,FO230*($Q230*$S230)/(1+Voorblad!$K$44)^(BN$56-Voorblad!$F$41),0)</f>
        <v>0</v>
      </c>
      <c r="BO230" s="9">
        <f>IF($W230=BO$56,FP230*($Q230*$S230)/(1+Voorblad!$K$44)^(BO$56-Voorblad!$F$41),0)</f>
        <v>0</v>
      </c>
      <c r="BP230" s="9">
        <f>IF($W230=BP$56,FQ230*($Q230*$S230)/(1+Voorblad!$K$44)^(BP$56-Voorblad!$F$41),0)</f>
        <v>0</v>
      </c>
      <c r="BQ230" s="9">
        <f>IF($W230=BQ$56,FR230*($Q230*$S230)/(1+Voorblad!$K$44)^(BQ$56-Voorblad!$F$41),0)</f>
        <v>0</v>
      </c>
      <c r="BR230" s="9">
        <f>IF($W230=BR$56,FS230*($Q230*$S230)/(1+Voorblad!$K$44)^(BR$56-Voorblad!$F$41),0)</f>
        <v>0</v>
      </c>
      <c r="BS230" s="9">
        <f>IF($W230=BS$56,FT230*($Q230*$S230)/(1+Voorblad!$K$44)^(BS$56-Voorblad!$F$41),0)</f>
        <v>0</v>
      </c>
      <c r="BT230" s="9">
        <f>IF($W230=BT$56,FU230*($Q230*$S230)/(1+Voorblad!$K$44)^(BT$56-Voorblad!$F$41),0)</f>
        <v>0</v>
      </c>
      <c r="BU230" s="9">
        <f>IF($W230=BU$56,FV230*($Q230*$S230)/(1+Voorblad!$K$44)^(BU$56-Voorblad!$F$41),0)</f>
        <v>0</v>
      </c>
      <c r="BV230" s="9">
        <f>IF($W230=BV$56,FW230*($Q230*$S230)/(1+Voorblad!$K$44)^(BV$56-Voorblad!$F$41),0)</f>
        <v>0</v>
      </c>
      <c r="BW230" s="9">
        <f>IF($W230=BW$56,FX230*($Q230*$S230)/(1+Voorblad!$K$44)^(BW$56-Voorblad!$F$41),0)</f>
        <v>0</v>
      </c>
      <c r="BX230" s="9">
        <f>IF($W230=BX$56,FY230*($Q230*$S230)/(1+Voorblad!$K$44)^(BX$56-Voorblad!$F$41),0)</f>
        <v>0</v>
      </c>
      <c r="BY230" s="9">
        <f>IF($W230=BY$56,FZ230*($Q230*$S230)/(1+Voorblad!$K$44)^(BY$56-Voorblad!$F$41),0)</f>
        <v>0</v>
      </c>
      <c r="BZ230" s="9">
        <f>IF($W230=BZ$56,GA230*($Q230*$S230)/(1+Voorblad!$K$44)^(BZ$56-Voorblad!$F$41),0)</f>
        <v>0</v>
      </c>
      <c r="CA230" s="9">
        <f>IF($W230=CA$56,GB230*($Q230*$S230)/(1+Voorblad!$K$44)^(CA$56-Voorblad!$F$41),0)</f>
        <v>0</v>
      </c>
      <c r="CB230" s="9">
        <f>IF($W230=CB$56,GC230*($Q230*$S230)/(1+Voorblad!$K$44)^(CB$56-Voorblad!$F$41),0)</f>
        <v>0</v>
      </c>
      <c r="CC230" s="9">
        <f>IF($W230=CC$56,GD230*($Q230*$S230)/(1+Voorblad!$K$44)^(CC$56-Voorblad!$F$41),0)</f>
        <v>0</v>
      </c>
      <c r="CD230" s="9">
        <f>IF($W230=CD$56,GE230*($Q230*$S230)/(1+Voorblad!$K$44)^(CD$56-Voorblad!$F$41),0)</f>
        <v>0</v>
      </c>
      <c r="CE230" s="9">
        <f>IF($W230=CE$56,GF230*($Q230*$S230)/(1+Voorblad!$K$44)^(CE$56-Voorblad!$F$41),0)</f>
        <v>0</v>
      </c>
      <c r="CF230" s="9">
        <f>IF($W230=CF$56,GG230*($Q230*$S230)/(1+Voorblad!$K$44)^(CF$56-Voorblad!$F$41),0)</f>
        <v>0</v>
      </c>
      <c r="CG230" s="9">
        <f>IF($W230=CG$56,GH230*($Q230*$S230)/(1+Voorblad!$K$44)^(CG$56-Voorblad!$F$41),0)</f>
        <v>0</v>
      </c>
      <c r="CH230" s="9">
        <f>IF($W230=CH$56,GI230*($Q230*$S230)/(1+Voorblad!$K$44)^(CH$56-Voorblad!$F$41),0)</f>
        <v>0</v>
      </c>
      <c r="CI230" s="9">
        <f>IF($W230=CI$56,GJ230*($Q230*$S230)/(1+Voorblad!$K$44)^(CI$56-Voorblad!$F$41),0)</f>
        <v>0</v>
      </c>
      <c r="CJ230" s="9">
        <f>IF($W230=CJ$56,GK230*($Q230*$S230)/(1+Voorblad!$K$44)^(CJ$56-Voorblad!$F$41),0)</f>
        <v>0</v>
      </c>
      <c r="CK230" s="9">
        <f>IF($W230=CK$56,GL230*($Q230*$S230)/(1+Voorblad!$K$44)^(CK$56-Voorblad!$F$41),0)</f>
        <v>0</v>
      </c>
      <c r="CL230" s="9">
        <f>IF($W230=CL$56,GM230*($Q230*$S230)/(1+Voorblad!$K$44)^(CL$56-Voorblad!$F$41),0)</f>
        <v>0</v>
      </c>
      <c r="CM230" s="9">
        <f>IF($W230=CM$56,GN230*($Q230*$S230)/(1+Voorblad!$K$44)^(CM$56-Voorblad!$F$41),0)</f>
        <v>0</v>
      </c>
      <c r="CN230" s="9">
        <f>IF($W230=CN$56,GO230*($Q230*$S230)/(1+Voorblad!$K$44)^(CN$56-Voorblad!$F$41),0)</f>
        <v>0</v>
      </c>
      <c r="CO230" s="9">
        <f>IF($W230=CO$56,GP230*($Q230*$S230)/(1+Voorblad!$K$44)^(CO$56-Voorblad!$F$41),0)</f>
        <v>0</v>
      </c>
      <c r="CP230" s="9">
        <f>IF($W230=CP$56,GQ230*($Q230*$S230)/(1+Voorblad!$K$44)^(CP$56-Voorblad!$F$41),0)</f>
        <v>0</v>
      </c>
      <c r="CQ230" s="9">
        <f>IF($W230=CQ$56,GR230*($Q230*$S230)/(1+Voorblad!$K$44)^(CQ$56-Voorblad!$F$41),0)</f>
        <v>0</v>
      </c>
      <c r="CR230" s="9">
        <f>IF($W230=CR$56,GS230*($Q230*$S230)/(1+Voorblad!$K$44)^(CR$56-Voorblad!$F$41),0)</f>
        <v>0</v>
      </c>
      <c r="CS230" s="9">
        <f>IF($W230=CS$56,GT230*($Q230*$S230)/(1+Voorblad!$K$44)^(CS$56-Voorblad!$F$41),0)</f>
        <v>0</v>
      </c>
      <c r="CT230" s="9">
        <f>IF($W230=CT$56,GU230*($Q230*$S230)/(1+Voorblad!$K$44)^(CT$56-Voorblad!$F$41),0)</f>
        <v>0</v>
      </c>
      <c r="CU230" s="9">
        <f>IF($W230=CU$56,GV230*($Q230*$S230)/(1+Voorblad!$K$44)^(CU$56-Voorblad!$F$41),0)</f>
        <v>0</v>
      </c>
      <c r="CV230" s="9">
        <f>IF($W230=CV$56,GW230*($Q230*$S230)/(1+Voorblad!$K$44)^(CV$56-Voorblad!$F$41),0)</f>
        <v>0</v>
      </c>
      <c r="CW230" s="9">
        <f>IF($W230=CW$56,GX230*($Q230*$S230)/(1+Voorblad!$K$44)^(CW$56-Voorblad!$F$41),0)</f>
        <v>0</v>
      </c>
      <c r="CX230" s="9">
        <f>IF($W230=CX$56,GY230*($Q230*$S230)/(1+Voorblad!$K$44)^(CX$56-Voorblad!$F$41),0)</f>
        <v>0</v>
      </c>
      <c r="CY230" s="9">
        <f>IF($W230=CY$56,GZ230*($Q230*$S230)/(1+Voorblad!$K$44)^(CY$56-Voorblad!$F$41),0)</f>
        <v>0</v>
      </c>
      <c r="CZ230" s="9">
        <f>IF($W230=CZ$56,HA230*($Q230*$S230)/(1+Voorblad!$K$44)^(CZ$56-Voorblad!$F$41),0)</f>
        <v>-1582.8109986741044</v>
      </c>
      <c r="DA230" s="9">
        <f>IF($W230=DA$56,HB230*($Q230*$S230)/(1+Voorblad!$K$44)^(DA$56-Voorblad!$F$41),0)</f>
        <v>0</v>
      </c>
      <c r="DB230" s="9">
        <f>IF($W230=DB$56,HC230*($Q230*$S230)/(1+Voorblad!$K$44)^(DB$56-Voorblad!$F$41),0)</f>
        <v>0</v>
      </c>
      <c r="DC230" s="9">
        <f>IF($W230=DC$56,HD230*($Q230*$S230)/(1+Voorblad!$K$44)^(DC$56-Voorblad!$F$41),0)</f>
        <v>0</v>
      </c>
      <c r="DD230" s="9">
        <f>IF($W230=DD$56,HE230*($Q230*$S230)/(1+Voorblad!$K$44)^(DD$56-Voorblad!$F$41),0)</f>
        <v>0</v>
      </c>
      <c r="DE230" s="9">
        <f>IF($W230=DE$56,HF230*($Q230*$S230)/(1+Voorblad!$K$44)^(DE$56-Voorblad!$F$41),0)</f>
        <v>0</v>
      </c>
      <c r="DF230" s="9">
        <f>IF($W230=DF$56,HG230*($Q230*$S230)/(1+Voorblad!$K$44)^(DF$56-Voorblad!$F$41),0)</f>
        <v>0</v>
      </c>
      <c r="DG230" s="9">
        <f>IF($W230=DG$56,HH230*($Q230*$S230)/(1+Voorblad!$K$44)^(DG$56-Voorblad!$F$41),0)</f>
        <v>0</v>
      </c>
      <c r="DH230" s="9">
        <f>IF($W230=DH$56,HI230*($Q230*$S230)/(1+Voorblad!$K$44)^(DH$56-Voorblad!$F$41),0)</f>
        <v>0</v>
      </c>
      <c r="DI230" s="9">
        <f>IF($W230=DI$56,HJ230*($Q230*$S230)/(1+Voorblad!$K$44)^(DI$56-Voorblad!$F$41),0)</f>
        <v>0</v>
      </c>
      <c r="DJ230" s="9">
        <f>IF($W230=DJ$56,HK230*($Q230*$S230)/(1+Voorblad!$K$44)^(DJ$56-Voorblad!$F$41),0)</f>
        <v>0</v>
      </c>
      <c r="DK230" s="9">
        <f>IF($W230=DK$56,HL230*($Q230*$S230)/(1+Voorblad!$K$44)^(DK$56-Voorblad!$F$41),0)</f>
        <v>0</v>
      </c>
      <c r="DL230" s="9">
        <f>IF($W230=DL$56,HM230*($Q230*$S230)/(1+Voorblad!$K$44)^(DL$56-Voorblad!$F$41),0)</f>
        <v>0</v>
      </c>
      <c r="DM230" s="9">
        <f>IF($W230=DM$56,HN230*($Q230*$S230)/(1+Voorblad!$K$44)^(DM$56-Voorblad!$F$41),0)</f>
        <v>0</v>
      </c>
      <c r="DN230" s="9">
        <f>IF($W230=DN$56,HO230*($Q230*$S230)/(1+Voorblad!$K$44)^(DN$56-Voorblad!$F$41),0)</f>
        <v>0</v>
      </c>
      <c r="DO230" s="9">
        <f>IF($W230=DO$56,HP230*($Q230*$S230)/(1+Voorblad!$K$44)^(DO$56-Voorblad!$F$41),0)</f>
        <v>0</v>
      </c>
      <c r="DP230" s="9">
        <f>IF($W230=DP$56,HQ230*($Q230*$S230)/(1+Voorblad!$K$44)^(DP$56-Voorblad!$F$41),0)</f>
        <v>0</v>
      </c>
      <c r="DQ230" s="9">
        <f>IF($W230=DQ$56,HR230*($Q230*$S230)/(1+Voorblad!$K$44)^(DQ$56-Voorblad!$F$41),0)</f>
        <v>0</v>
      </c>
      <c r="DR230" s="9">
        <f>IF($W230=DR$56,HS230*($Q230*$S230)/(1+Voorblad!$K$44)^(DR$56-Voorblad!$F$41),0)</f>
        <v>0</v>
      </c>
      <c r="DS230" s="9">
        <f>IF($W230=DS$56,HT230*($Q230*$S230)/(1+Voorblad!$K$44)^(DS$56-Voorblad!$F$41),0)</f>
        <v>0</v>
      </c>
      <c r="DT230" s="9">
        <f>IF($W230=DT$56,HU230*($Q230*$S230)/(1+Voorblad!$K$44)^(DT$56-Voorblad!$F$41),0)</f>
        <v>0</v>
      </c>
      <c r="DU230" s="9">
        <f>IF($W230=DU$56,HV230*($Q230*$S230)/(1+Voorblad!$K$44)^(DU$56-Voorblad!$F$41),0)</f>
        <v>0</v>
      </c>
      <c r="DV230" s="9">
        <f>IF($W230=DV$56,HW230*($Q230*$S230)/(1+Voorblad!$K$44)^(DV$56-Voorblad!$F$41),0)</f>
        <v>0</v>
      </c>
      <c r="DW230" s="9">
        <f>IF($W230=DW$56,HX230*($Q230*$S230)/(1+Voorblad!$K$44)^(DW$56-Voorblad!$F$41),0)</f>
        <v>0</v>
      </c>
      <c r="DX230" s="9">
        <f>IF($W230=DX$56,HY230*($Q230*$S230)/(1+Voorblad!$K$44)^(DX$56-Voorblad!$F$41),0)</f>
        <v>0</v>
      </c>
      <c r="DY230" s="9">
        <f>IF($W230=DY$56,HZ230*($Q230*$S230)/(1+Voorblad!$K$44)^(DY$56-Voorblad!$F$41),0)</f>
        <v>0</v>
      </c>
      <c r="DZ230" s="9">
        <f>IF($W230=DZ$56,IA230*($Q230*$S230)/(1+Voorblad!$K$44)^(DZ$56-Voorblad!$F$41),0)</f>
        <v>0</v>
      </c>
      <c r="EA230" s="9">
        <f>IF($W230=EA$56,IB230*($Q230*$S230)/(1+Voorblad!$K$44)^(EA$56-Voorblad!$F$41),0)</f>
        <v>0</v>
      </c>
      <c r="EB230" s="9">
        <f>IF($W230=EB$56,IC230*($Q230*$S230)/(1+Voorblad!$K$44)^(EB$56-Voorblad!$F$41),0)</f>
        <v>0</v>
      </c>
      <c r="EE230" s="8">
        <v>0</v>
      </c>
      <c r="EF230" s="8">
        <f>IF(EF$56-Voorblad!$F$41&gt;Voorblad!$K$41,0,IF($U230=0,0,IF($U230&lt;1,1/$U230,IF((EF$56-Voorblad!$F$41)/$U230-SUM($EE230:EE230)=1,1,0))))</f>
        <v>0</v>
      </c>
      <c r="EG230" s="8">
        <f>IF(EG$56-Voorblad!$F$41&gt;Voorblad!$K$41,0,IF($U230=0,0,IF($U230&lt;1,1/$U230,IF((EG$56-Voorblad!$F$41)/$U230-SUM($EE230:EF230)=1,1,0))))</f>
        <v>1</v>
      </c>
      <c r="EH230" s="8">
        <f>IF(EH$56-Voorblad!$F$41&gt;Voorblad!$K$41,0,IF($U230=0,0,IF($U230&lt;1,1/$U230,IF((EH$56-Voorblad!$F$41)/$U230-SUM($EE230:EG230)=1,1,0))))</f>
        <v>1</v>
      </c>
      <c r="EI230" s="8">
        <f>IF(EI$56-Voorblad!$F$41&gt;Voorblad!$K$41,0,IF($U230=0,0,IF($U230&lt;1,1/$U230,IF((EI$56-Voorblad!$F$41)/$U230-SUM($EE230:EH230)=1,1,0))))</f>
        <v>1</v>
      </c>
      <c r="EJ230" s="8">
        <f>IF(EJ$56-Voorblad!$F$41&gt;Voorblad!$K$41,0,IF($U230=0,0,IF($U230&lt;1,1/$U230,IF((EJ$56-Voorblad!$F$41)/$U230-SUM($EE230:EI230)=1,1,0))))</f>
        <v>1</v>
      </c>
      <c r="EK230" s="8">
        <f>IF(EK$56-Voorblad!$F$41&gt;Voorblad!$K$41,0,IF($U230=0,0,IF($U230&lt;1,1/$U230,IF((EK$56-Voorblad!$F$41)/$U230-SUM($EE230:EJ230)=1,1,0))))</f>
        <v>1</v>
      </c>
      <c r="EL230" s="8">
        <f>IF(EL$56-Voorblad!$F$41&gt;Voorblad!$K$41,0,IF($U230=0,0,IF($U230&lt;1,1/$U230,IF((EL$56-Voorblad!$F$41)/$U230-SUM($EE230:EK230)=1,1,0))))</f>
        <v>1</v>
      </c>
      <c r="EM230" s="8">
        <f>IF(EM$56-Voorblad!$F$41&gt;Voorblad!$K$41,0,IF($U230=0,0,IF($U230&lt;1,1/$U230,IF((EM$56-Voorblad!$F$41)/$U230-SUM($EE230:EL230)=1,1,0))))</f>
        <v>1</v>
      </c>
      <c r="EN230" s="8">
        <f>IF(EN$56-Voorblad!$F$41&gt;Voorblad!$K$41,0,IF($U230=0,0,IF($U230&lt;1,1/$U230,IF((EN$56-Voorblad!$F$41)/$U230-SUM($EE230:EM230)=1,1,0))))</f>
        <v>1</v>
      </c>
      <c r="EO230" s="8">
        <f>IF(EO$56-Voorblad!$F$41&gt;Voorblad!$K$41,0,IF($U230=0,0,IF($U230&lt;1,1/$U230,IF((EO$56-Voorblad!$F$41)/$U230-SUM($EE230:EN230)=1,1,0))))</f>
        <v>1</v>
      </c>
      <c r="EP230" s="8">
        <f>IF(EP$56-Voorblad!$F$41&gt;Voorblad!$K$41,0,IF($U230=0,0,IF($U230&lt;1,1/$U230,IF((EP$56-Voorblad!$F$41)/$U230-SUM($EE230:EO230)=1,1,0))))</f>
        <v>1</v>
      </c>
      <c r="EQ230" s="8">
        <f>IF(EQ$56-Voorblad!$F$41&gt;Voorblad!$K$41,0,IF($U230=0,0,IF($U230&lt;1,1/$U230,IF((EQ$56-Voorblad!$F$41)/$U230-SUM($EE230:EP230)=1,1,0))))</f>
        <v>1</v>
      </c>
      <c r="ER230" s="8">
        <f>IF(ER$56-Voorblad!$F$41&gt;Voorblad!$K$41,0,IF($U230=0,0,IF($U230&lt;1,1/$U230,IF((ER$56-Voorblad!$F$41)/$U230-SUM($EE230:EQ230)=1,1,0))))</f>
        <v>1</v>
      </c>
      <c r="ES230" s="8">
        <f>IF(ES$56-Voorblad!$F$41&gt;Voorblad!$K$41,0,IF($U230=0,0,IF($U230&lt;1,1/$U230,IF((ES$56-Voorblad!$F$41)/$U230-SUM($EE230:ER230)=1,1,0))))</f>
        <v>1</v>
      </c>
      <c r="ET230" s="8">
        <f>IF(ET$56-Voorblad!$F$41&gt;Voorblad!$K$41,0,IF($U230=0,0,IF($U230&lt;1,1/$U230,IF((ET$56-Voorblad!$F$41)/$U230-SUM($EE230:ES230)=1,1,0))))</f>
        <v>1</v>
      </c>
      <c r="EU230" s="8">
        <f>IF(EU$56-Voorblad!$F$41&gt;Voorblad!$K$41,0,IF($U230=0,0,IF($U230&lt;1,1/$U230,IF((EU$56-Voorblad!$F$41)/$U230-SUM($EE230:ET230)=1,1,0))))</f>
        <v>1</v>
      </c>
      <c r="EV230" s="8">
        <f>IF(EV$56-Voorblad!$F$41&gt;Voorblad!$K$41,0,IF($U230=0,0,IF($U230&lt;1,1/$U230,IF((EV$56-Voorblad!$F$41)/$U230-SUM($EE230:EU230)=1,1,0))))</f>
        <v>1</v>
      </c>
      <c r="EW230" s="8">
        <f>IF(EW$56-Voorblad!$F$41&gt;Voorblad!$K$41,0,IF($U230=0,0,IF($U230&lt;1,1/$U230,IF((EW$56-Voorblad!$F$41)/$U230-SUM($EE230:EV230)=1,1,0))))</f>
        <v>1</v>
      </c>
      <c r="EX230" s="8">
        <f>IF(EX$56-Voorblad!$F$41&gt;Voorblad!$K$41,0,IF($U230=0,0,IF($U230&lt;1,1/$U230,IF((EX$56-Voorblad!$F$41)/$U230-SUM($EE230:EW230)=1,1,0))))</f>
        <v>1</v>
      </c>
      <c r="EY230" s="8">
        <f>IF(EY$56-Voorblad!$F$41&gt;Voorblad!$K$41,0,IF($U230=0,0,IF($U230&lt;1,1/$U230,IF((EY$56-Voorblad!$F$41)/$U230-SUM($EE230:EX230)=1,1,0))))</f>
        <v>1</v>
      </c>
      <c r="EZ230" s="8">
        <f>IF(EZ$56-Voorblad!$F$41&gt;Voorblad!$K$41,0,IF($U230=0,0,IF($U230&lt;1,1/$U230,IF((EZ$56-Voorblad!$F$41)/$U230-SUM($EE230:EY230)=1,1,0))))</f>
        <v>1</v>
      </c>
      <c r="FA230" s="8">
        <f>IF(FA$56-Voorblad!$F$41&gt;Voorblad!$K$41,0,IF($U230=0,0,IF($U230&lt;1,1/$U230,IF((FA$56-Voorblad!$F$41)/$U230-SUM($EE230:EZ230)=1,1,0))))</f>
        <v>1</v>
      </c>
      <c r="FB230" s="8">
        <f>IF(FB$56-Voorblad!$F$41&gt;Voorblad!$K$41,0,IF($U230=0,0,IF($U230&lt;1,1/$U230,IF((FB$56-Voorblad!$F$41)/$U230-SUM($EE230:FA230)=1,1,0))))</f>
        <v>1</v>
      </c>
      <c r="FC230" s="8">
        <f>IF(FC$56-Voorblad!$F$41&gt;Voorblad!$K$41,0,IF($U230=0,0,IF($U230&lt;1,1/$U230,IF((FC$56-Voorblad!$F$41)/$U230-SUM($EE230:FB230)=1,1,0))))</f>
        <v>1</v>
      </c>
      <c r="FD230" s="8">
        <f>IF(FD$56-Voorblad!$F$41&gt;Voorblad!$K$41,0,IF($U230=0,0,IF($U230&lt;1,1/$U230,IF((FD$56-Voorblad!$F$41)/$U230-SUM($EE230:FC230)=1,1,0))))</f>
        <v>1</v>
      </c>
      <c r="FE230" s="8">
        <f>IF(FE$56-Voorblad!$F$41&gt;Voorblad!$K$41,0,IF($U230=0,0,IF($U230&lt;1,1/$U230,IF((FE$56-Voorblad!$F$41)/$U230-SUM($EE230:FD230)=1,1,0))))</f>
        <v>1</v>
      </c>
      <c r="FF230" s="8">
        <f>IF(FF$56-Voorblad!$F$41&gt;Voorblad!$K$41,0,IF($U230=0,0,IF($U230&lt;1,1/$U230,IF((FF$56-Voorblad!$F$41)/$U230-SUM($EE230:FE230)=1,1,0))))</f>
        <v>1</v>
      </c>
      <c r="FG230" s="8">
        <f>IF(FG$56-Voorblad!$F$41&gt;Voorblad!$K$41,0,IF($U230=0,0,IF($U230&lt;1,1/$U230,IF((FG$56-Voorblad!$F$41)/$U230-SUM($EE230:FF230)=1,1,0))))</f>
        <v>1</v>
      </c>
      <c r="FH230" s="8">
        <f>IF(FH$56-Voorblad!$F$41&gt;Voorblad!$K$41,0,IF($U230=0,0,IF($U230&lt;1,1/$U230,IF((FH$56-Voorblad!$F$41)/$U230-SUM($EE230:FG230)=1,1,0))))</f>
        <v>1</v>
      </c>
      <c r="FI230" s="8">
        <f>IF(FI$56-Voorblad!$F$41&gt;Voorblad!$K$41,0,IF($U230=0,0,IF($U230&lt;1,1/$U230,IF((FI$56-Voorblad!$F$41)/$U230-SUM($EE230:FH230)=1,1,0))))</f>
        <v>1</v>
      </c>
      <c r="FJ230" s="8">
        <f>IF(FJ$56-Voorblad!$F$41&gt;Voorblad!$K$41,0,IF($U230=0,0,IF($U230&lt;1,1/$U230,IF((FJ$56-Voorblad!$F$41)/$U230-SUM($EE230:FI230)=1,1,0))))</f>
        <v>1</v>
      </c>
      <c r="FK230" s="8">
        <f>IF(FK$56-Voorblad!$F$41&gt;Voorblad!$K$41,0,IF($U230=0,0,IF($U230&lt;1,1/$U230,IF((FK$56-Voorblad!$F$41)/$U230-SUM($EE230:FJ230)=1,1,0))))</f>
        <v>1</v>
      </c>
      <c r="FL230" s="8">
        <f>IF(FL$56-Voorblad!$F$41&gt;Voorblad!$K$41,0,IF($U230=0,0,IF($U230&lt;1,1/$U230,IF((FL$56-Voorblad!$F$41)/$U230-SUM($EE230:FK230)=1,1,0))))</f>
        <v>1</v>
      </c>
      <c r="FM230" s="8">
        <f>IF(FM$56-Voorblad!$F$41&gt;Voorblad!$K$41,0,IF($U230=0,0,IF($U230&lt;1,1/$U230,IF((FM$56-Voorblad!$F$41)/$U230-SUM($EE230:FL230)=1,1,0))))</f>
        <v>1</v>
      </c>
      <c r="FN230" s="8">
        <f>IF(FN$56-Voorblad!$F$41&gt;Voorblad!$K$41,0,IF($U230=0,0,IF($U230&lt;1,1/$U230,IF((FN$56-Voorblad!$F$41)/$U230-SUM($EE230:FM230)=1,1,0))))</f>
        <v>1</v>
      </c>
      <c r="FO230" s="8">
        <f>IF(FO$56-Voorblad!$F$41&gt;Voorblad!$K$41,0,IF($U230=0,0,IF($U230&lt;1,1/$U230,IF((FO$56-Voorblad!$F$41)/$U230-SUM($EE230:FN230)=1,1,0))))</f>
        <v>1</v>
      </c>
      <c r="FP230" s="8">
        <f>IF(FP$56-Voorblad!$F$41&gt;Voorblad!$K$41,0,IF($U230=0,0,IF($U230&lt;1,1/$U230,IF((FP$56-Voorblad!$F$41)/$U230-SUM($EE230:FO230)=1,1,0))))</f>
        <v>1</v>
      </c>
      <c r="FQ230" s="8">
        <f>IF(FQ$56-Voorblad!$F$41&gt;Voorblad!$K$41,0,IF($U230=0,0,IF($U230&lt;1,1/$U230,IF((FQ$56-Voorblad!$F$41)/$U230-SUM($EE230:FP230)=1,1,0))))</f>
        <v>1</v>
      </c>
      <c r="FR230" s="8">
        <f>IF(FR$56-Voorblad!$F$41&gt;Voorblad!$K$41,0,IF($U230=0,0,IF($U230&lt;1,1/$U230,IF((FR$56-Voorblad!$F$41)/$U230-SUM($EE230:FQ230)=1,1,0))))</f>
        <v>1</v>
      </c>
      <c r="FS230" s="8">
        <f>IF(FS$56-Voorblad!$F$41&gt;Voorblad!$K$41,0,IF($U230=0,0,IF($U230&lt;1,1/$U230,IF((FS$56-Voorblad!$F$41)/$U230-SUM($EE230:FR230)=1,1,0))))</f>
        <v>1</v>
      </c>
      <c r="FT230" s="8">
        <f>IF(FT$56-Voorblad!$F$41&gt;Voorblad!$K$41,0,IF($U230=0,0,IF($U230&lt;1,1/$U230,IF((FT$56-Voorblad!$F$41)/$U230-SUM($EE230:FS230)=1,1,0))))</f>
        <v>1</v>
      </c>
      <c r="FU230" s="8">
        <f>IF(FU$56-Voorblad!$F$41&gt;Voorblad!$K$41,0,IF($U230=0,0,IF($U230&lt;1,1/$U230,IF((FU$56-Voorblad!$F$41)/$U230-SUM($EE230:FT230)=1,1,0))))</f>
        <v>1</v>
      </c>
      <c r="FV230" s="8">
        <f>IF(FV$56-Voorblad!$F$41&gt;Voorblad!$K$41,0,IF($U230=0,0,IF($U230&lt;1,1/$U230,IF((FV$56-Voorblad!$F$41)/$U230-SUM($EE230:FU230)=1,1,0))))</f>
        <v>1</v>
      </c>
      <c r="FW230" s="8">
        <f>IF(FW$56-Voorblad!$F$41&gt;Voorblad!$K$41,0,IF($U230=0,0,IF($U230&lt;1,1/$U230,IF((FW$56-Voorblad!$F$41)/$U230-SUM($EE230:FV230)=1,1,0))))</f>
        <v>1</v>
      </c>
      <c r="FX230" s="8">
        <f>IF(FX$56-Voorblad!$F$41&gt;Voorblad!$K$41,0,IF($U230=0,0,IF($U230&lt;1,1/$U230,IF((FX$56-Voorblad!$F$41)/$U230-SUM($EE230:FW230)=1,1,0))))</f>
        <v>1</v>
      </c>
      <c r="FY230" s="8">
        <f>IF(FY$56-Voorblad!$F$41&gt;Voorblad!$K$41,0,IF($U230=0,0,IF($U230&lt;1,1/$U230,IF((FY$56-Voorblad!$F$41)/$U230-SUM($EE230:FX230)=1,1,0))))</f>
        <v>1</v>
      </c>
      <c r="FZ230" s="8">
        <f>IF(FZ$56-Voorblad!$F$41&gt;Voorblad!$K$41,0,IF($U230=0,0,IF($U230&lt;1,1/$U230,IF((FZ$56-Voorblad!$F$41)/$U230-SUM($EE230:FY230)=1,1,0))))</f>
        <v>1</v>
      </c>
      <c r="GA230" s="8">
        <f>IF(GA$56-Voorblad!$F$41&gt;Voorblad!$K$41,0,IF($U230=0,0,IF($U230&lt;1,1/$U230,IF((GA$56-Voorblad!$F$41)/$U230-SUM($EE230:FZ230)=1,1,0))))</f>
        <v>1</v>
      </c>
      <c r="GB230" s="8">
        <f>IF(GB$56-Voorblad!$F$41&gt;Voorblad!$K$41,0,IF($U230=0,0,IF($U230&lt;1,1/$U230,IF((GB$56-Voorblad!$F$41)/$U230-SUM($EE230:GA230)=1,1,0))))</f>
        <v>1</v>
      </c>
      <c r="GC230" s="8">
        <f>IF(GC$56-Voorblad!$F$41&gt;Voorblad!$K$41,0,IF($U230=0,0,IF($U230&lt;1,1/$U230,IF((GC$56-Voorblad!$F$41)/$U230-SUM($EE230:GB230)=1,1,0))))</f>
        <v>1</v>
      </c>
      <c r="GD230" s="8">
        <f>IF(GD$56-Voorblad!$F$41&gt;Voorblad!$K$41,0,IF($U230=0,0,IF($U230&lt;1,1/$U230,IF((GD$56-Voorblad!$F$41)/$U230-SUM($EE230:GC230)=1,1,0))))</f>
        <v>1</v>
      </c>
      <c r="GE230" s="8">
        <f>IF(GE$56-Voorblad!$F$41&gt;Voorblad!$K$41,0,IF($U230=0,0,IF($U230&lt;1,1/$U230,IF((GE$56-Voorblad!$F$41)/$U230-SUM($EE230:GD230)=1,1,0))))</f>
        <v>1</v>
      </c>
      <c r="GF230" s="8">
        <f>IF(GF$56-Voorblad!$F$41&gt;Voorblad!$K$41,0,IF($U230=0,0,IF($U230&lt;1,1/$U230,IF((GF$56-Voorblad!$F$41)/$U230-SUM($EE230:GE230)=1,1,0))))</f>
        <v>1</v>
      </c>
      <c r="GG230" s="8">
        <f>IF(GG$56-Voorblad!$F$41&gt;Voorblad!$K$41,0,IF($U230=0,0,IF($U230&lt;1,1/$U230,IF((GG$56-Voorblad!$F$41)/$U230-SUM($EE230:GF230)=1,1,0))))</f>
        <v>1</v>
      </c>
      <c r="GH230" s="8">
        <f>IF(GH$56-Voorblad!$F$41&gt;Voorblad!$K$41,0,IF($U230=0,0,IF($U230&lt;1,1/$U230,IF((GH$56-Voorblad!$F$41)/$U230-SUM($EE230:GG230)=1,1,0))))</f>
        <v>1</v>
      </c>
      <c r="GI230" s="8">
        <f>IF(GI$56-Voorblad!$F$41&gt;Voorblad!$K$41,0,IF($U230=0,0,IF($U230&lt;1,1/$U230,IF((GI$56-Voorblad!$F$41)/$U230-SUM($EE230:GH230)=1,1,0))))</f>
        <v>1</v>
      </c>
      <c r="GJ230" s="8">
        <f>IF(GJ$56-Voorblad!$F$41&gt;Voorblad!$K$41,0,IF($U230=0,0,IF($U230&lt;1,1/$U230,IF((GJ$56-Voorblad!$F$41)/$U230-SUM($EE230:GI230)=1,1,0))))</f>
        <v>1</v>
      </c>
      <c r="GK230" s="8">
        <f>IF(GK$56-Voorblad!$F$41&gt;Voorblad!$K$41,0,IF($U230=0,0,IF($U230&lt;1,1/$U230,IF((GK$56-Voorblad!$F$41)/$U230-SUM($EE230:GJ230)=1,1,0))))</f>
        <v>1</v>
      </c>
      <c r="GL230" s="8">
        <f>IF(GL$56-Voorblad!$F$41&gt;Voorblad!$K$41,0,IF($U230=0,0,IF($U230&lt;1,1/$U230,IF((GL$56-Voorblad!$F$41)/$U230-SUM($EE230:GK230)=1,1,0))))</f>
        <v>1</v>
      </c>
      <c r="GM230" s="8">
        <f>IF(GM$56-Voorblad!$F$41&gt;Voorblad!$K$41,0,IF($U230=0,0,IF($U230&lt;1,1/$U230,IF((GM$56-Voorblad!$F$41)/$U230-SUM($EE230:GL230)=1,1,0))))</f>
        <v>1</v>
      </c>
      <c r="GN230" s="8">
        <f>IF(GN$56-Voorblad!$F$41&gt;Voorblad!$K$41,0,IF($U230=0,0,IF($U230&lt;1,1/$U230,IF((GN$56-Voorblad!$F$41)/$U230-SUM($EE230:GM230)=1,1,0))))</f>
        <v>1</v>
      </c>
      <c r="GO230" s="8">
        <f>IF(GO$56-Voorblad!$F$41&gt;Voorblad!$K$41,0,IF($U230=0,0,IF($U230&lt;1,1/$U230,IF((GO$56-Voorblad!$F$41)/$U230-SUM($EE230:GN230)=1,1,0))))</f>
        <v>1</v>
      </c>
      <c r="GP230" s="8">
        <f>IF(GP$56-Voorblad!$F$41&gt;Voorblad!$K$41,0,IF($U230=0,0,IF($U230&lt;1,1/$U230,IF((GP$56-Voorblad!$F$41)/$U230-SUM($EE230:GO230)=1,1,0))))</f>
        <v>1</v>
      </c>
      <c r="GQ230" s="8">
        <f>IF(GQ$56-Voorblad!$F$41&gt;Voorblad!$K$41,0,IF($U230=0,0,IF($U230&lt;1,1/$U230,IF((GQ$56-Voorblad!$F$41)/$U230-SUM($EE230:GP230)=1,1,0))))</f>
        <v>1</v>
      </c>
      <c r="GR230" s="8">
        <f>IF(GR$56-Voorblad!$F$41&gt;Voorblad!$K$41,0,IF($U230=0,0,IF($U230&lt;1,1/$U230,IF((GR$56-Voorblad!$F$41)/$U230-SUM($EE230:GQ230)=1,1,0))))</f>
        <v>1</v>
      </c>
      <c r="GS230" s="8">
        <f>IF(GS$56-Voorblad!$F$41&gt;Voorblad!$K$41,0,IF($U230=0,0,IF($U230&lt;1,1/$U230,IF((GS$56-Voorblad!$F$41)/$U230-SUM($EE230:GR230)=1,1,0))))</f>
        <v>1</v>
      </c>
      <c r="GT230" s="8">
        <f>IF(GT$56-Voorblad!$F$41&gt;Voorblad!$K$41,0,IF($U230=0,0,IF($U230&lt;1,1/$U230,IF((GT$56-Voorblad!$F$41)/$U230-SUM($EE230:GS230)=1,1,0))))</f>
        <v>1</v>
      </c>
      <c r="GU230" s="8">
        <f>IF(GU$56-Voorblad!$F$41&gt;Voorblad!$K$41,0,IF($U230=0,0,IF($U230&lt;1,1/$U230,IF((GU$56-Voorblad!$F$41)/$U230-SUM($EE230:GT230)=1,1,0))))</f>
        <v>1</v>
      </c>
      <c r="GV230" s="8">
        <f>IF(GV$56-Voorblad!$F$41&gt;Voorblad!$K$41,0,IF($U230=0,0,IF($U230&lt;1,1/$U230,IF((GV$56-Voorblad!$F$41)/$U230-SUM($EE230:GU230)=1,1,0))))</f>
        <v>1</v>
      </c>
      <c r="GW230" s="8">
        <f>IF(GW$56-Voorblad!$F$41&gt;Voorblad!$K$41,0,IF($U230=0,0,IF($U230&lt;1,1/$U230,IF((GW$56-Voorblad!$F$41)/$U230-SUM($EE230:GV230)=1,1,0))))</f>
        <v>1</v>
      </c>
      <c r="GX230" s="8">
        <f>IF(GX$56-Voorblad!$F$41&gt;Voorblad!$K$41,0,IF($U230=0,0,IF($U230&lt;1,1/$U230,IF((GX$56-Voorblad!$F$41)/$U230-SUM($EE230:GW230)=1,1,0))))</f>
        <v>1</v>
      </c>
      <c r="GY230" s="8">
        <f>IF(GY$56-Voorblad!$F$41&gt;Voorblad!$K$41,0,IF($U230=0,0,IF($U230&lt;1,1/$U230,IF((GY$56-Voorblad!$F$41)/$U230-SUM($EE230:GX230)=1,1,0))))</f>
        <v>1</v>
      </c>
      <c r="GZ230" s="8">
        <f>IF(GZ$56-Voorblad!$F$41&gt;Voorblad!$K$41,0,IF($U230=0,0,IF($U230&lt;1,1/$U230,IF((GZ$56-Voorblad!$F$41)/$U230-SUM($EE230:GY230)=1,1,0))))</f>
        <v>1</v>
      </c>
      <c r="HA230" s="8">
        <f>IF(HA$56-Voorblad!$F$41&gt;Voorblad!$K$41,0,IF($U230=0,0,IF($U230&lt;1,1/$U230,IF((HA$56-Voorblad!$F$41)/$U230-SUM($EE230:GZ230)=1,1,0))))</f>
        <v>1</v>
      </c>
      <c r="HB230" s="8">
        <f>IF(HB$56-Voorblad!$F$41&gt;Voorblad!$K$41,0,IF($U230=0,0,IF($U230&lt;1,1/$U230,IF((HB$56-Voorblad!$F$41)/$U230-SUM($EE230:HA230)=1,1,0))))</f>
        <v>0</v>
      </c>
      <c r="HC230" s="8">
        <f>IF(HC$56-Voorblad!$F$41&gt;Voorblad!$K$41,0,IF($U230=0,0,IF($U230&lt;1,1/$U230,IF((HC$56-Voorblad!$F$41)/$U230-SUM($EE230:HB230)=1,1,0))))</f>
        <v>0</v>
      </c>
      <c r="HD230" s="8">
        <f>IF(HD$56-Voorblad!$F$41&gt;Voorblad!$K$41,0,IF($U230=0,0,IF($U230&lt;1,1/$U230,IF((HD$56-Voorblad!$F$41)/$U230-SUM($EE230:HC230)=1,1,0))))</f>
        <v>0</v>
      </c>
      <c r="HE230" s="8">
        <f>IF(HE$56-Voorblad!$F$41&gt;Voorblad!$K$41,0,IF($U230=0,0,IF($U230&lt;1,1/$U230,IF((HE$56-Voorblad!$F$41)/$U230-SUM($EE230:HD230)=1,1,0))))</f>
        <v>0</v>
      </c>
      <c r="HF230" s="8">
        <f>IF(HF$56-Voorblad!$F$41&gt;Voorblad!$K$41,0,IF($U230=0,0,IF($U230&lt;1,1/$U230,IF((HF$56-Voorblad!$F$41)/$U230-SUM($EE230:HE230)=1,1,0))))</f>
        <v>0</v>
      </c>
      <c r="HG230" s="8">
        <f>IF(HG$56-Voorblad!$F$41&gt;Voorblad!$K$41,0,IF($U230=0,0,IF($U230&lt;1,1/$U230,IF((HG$56-Voorblad!$F$41)/$U230-SUM($EE230:HF230)=1,1,0))))</f>
        <v>0</v>
      </c>
      <c r="HH230" s="8">
        <f>IF(HH$56-Voorblad!$F$41&gt;Voorblad!$K$41,0,IF($U230=0,0,IF($U230&lt;1,1/$U230,IF((HH$56-Voorblad!$F$41)/$U230-SUM($EE230:HG230)=1,1,0))))</f>
        <v>0</v>
      </c>
      <c r="HI230" s="8">
        <f>IF(HI$56-Voorblad!$F$41&gt;Voorblad!$K$41,0,IF($U230=0,0,IF($U230&lt;1,1/$U230,IF((HI$56-Voorblad!$F$41)/$U230-SUM($EE230:HH230)=1,1,0))))</f>
        <v>0</v>
      </c>
      <c r="HJ230" s="8">
        <f>IF(HJ$56-Voorblad!$F$41&gt;Voorblad!$K$41,0,IF($U230=0,0,IF($U230&lt;1,1/$U230,IF((HJ$56-Voorblad!$F$41)/$U230-SUM($EE230:HI230)=1,1,0))))</f>
        <v>0</v>
      </c>
      <c r="HK230" s="8">
        <f>IF(HK$56-Voorblad!$F$41&gt;Voorblad!$K$41,0,IF($U230=0,0,IF($U230&lt;1,1/$U230,IF((HK$56-Voorblad!$F$41)/$U230-SUM($EE230:HJ230)=1,1,0))))</f>
        <v>0</v>
      </c>
      <c r="HL230" s="8">
        <f>IF(HL$56-Voorblad!$F$41&gt;Voorblad!$K$41,0,IF($U230=0,0,IF($U230&lt;1,1/$U230,IF((HL$56-Voorblad!$F$41)/$U230-SUM($EE230:HK230)=1,1,0))))</f>
        <v>0</v>
      </c>
      <c r="HM230" s="8">
        <f>IF(HM$56-Voorblad!$F$41&gt;Voorblad!$K$41,0,IF($U230=0,0,IF($U230&lt;1,1/$U230,IF((HM$56-Voorblad!$F$41)/$U230-SUM($EE230:HL230)=1,1,0))))</f>
        <v>0</v>
      </c>
      <c r="HN230" s="8">
        <f>IF(HN$56-Voorblad!$F$41&gt;Voorblad!$K$41,0,IF($U230=0,0,IF($U230&lt;1,1/$U230,IF((HN$56-Voorblad!$F$41)/$U230-SUM($EE230:HM230)=1,1,0))))</f>
        <v>0</v>
      </c>
      <c r="HO230" s="8">
        <f>IF(HO$56-Voorblad!$F$41&gt;Voorblad!$K$41,0,IF($U230=0,0,IF($U230&lt;1,1/$U230,IF((HO$56-Voorblad!$F$41)/$U230-SUM($EE230:HN230)=1,1,0))))</f>
        <v>0</v>
      </c>
      <c r="HP230" s="8">
        <f>IF(HP$56-Voorblad!$F$41&gt;Voorblad!$K$41,0,IF($U230=0,0,IF($U230&lt;1,1/$U230,IF((HP$56-Voorblad!$F$41)/$U230-SUM($EE230:HO230)=1,1,0))))</f>
        <v>0</v>
      </c>
      <c r="HQ230" s="8">
        <f>IF(HQ$56-Voorblad!$F$41&gt;Voorblad!$K$41,0,IF($U230=0,0,IF($U230&lt;1,1/$U230,IF((HQ$56-Voorblad!$F$41)/$U230-SUM($EE230:HP230)=1,1,0))))</f>
        <v>0</v>
      </c>
      <c r="HR230" s="8">
        <f>IF(HR$56-Voorblad!$F$41&gt;Voorblad!$K$41,0,IF($U230=0,0,IF($U230&lt;1,1/$U230,IF((HR$56-Voorblad!$F$41)/$U230-SUM($EE230:HQ230)=1,1,0))))</f>
        <v>0</v>
      </c>
      <c r="HS230" s="8">
        <f>IF(HS$56-Voorblad!$F$41&gt;Voorblad!$K$41,0,IF($U230=0,0,IF($U230&lt;1,1/$U230,IF((HS$56-Voorblad!$F$41)/$U230-SUM($EE230:HR230)=1,1,0))))</f>
        <v>0</v>
      </c>
      <c r="HT230" s="8">
        <f>IF(HT$56-Voorblad!$F$41&gt;Voorblad!$K$41,0,IF($U230=0,0,IF($U230&lt;1,1/$U230,IF((HT$56-Voorblad!$F$41)/$U230-SUM($EE230:HS230)=1,1,0))))</f>
        <v>0</v>
      </c>
      <c r="HU230" s="8">
        <f>IF(HU$56-Voorblad!$F$41&gt;Voorblad!$K$41,0,IF($U230=0,0,IF($U230&lt;1,1/$U230,IF((HU$56-Voorblad!$F$41)/$U230-SUM($EE230:HT230)=1,1,0))))</f>
        <v>0</v>
      </c>
      <c r="HV230" s="8">
        <f>IF(HV$56-Voorblad!$F$41&gt;Voorblad!$K$41,0,IF($U230=0,0,IF($U230&lt;1,1/$U230,IF((HV$56-Voorblad!$F$41)/$U230-SUM($EE230:HU230)=1,1,0))))</f>
        <v>0</v>
      </c>
      <c r="HW230" s="8">
        <f>IF(HW$56-Voorblad!$F$41&gt;Voorblad!$K$41,0,IF($U230=0,0,IF($U230&lt;1,1/$U230,IF((HW$56-Voorblad!$F$41)/$U230-SUM($EE230:HV230)=1,1,0))))</f>
        <v>0</v>
      </c>
      <c r="HX230" s="8">
        <f>IF(HX$56-Voorblad!$F$41&gt;Voorblad!$K$41,0,IF($U230=0,0,IF($U230&lt;1,1/$U230,IF((HX$56-Voorblad!$F$41)/$U230-SUM($EE230:HW230)=1,1,0))))</f>
        <v>0</v>
      </c>
      <c r="HY230" s="8">
        <f>IF(HY$56-Voorblad!$F$41&gt;Voorblad!$K$41,0,IF($U230=0,0,IF($U230&lt;1,1/$U230,IF((HY$56-Voorblad!$F$41)/$U230-SUM($EE230:HX230)=1,1,0))))</f>
        <v>0</v>
      </c>
      <c r="HZ230" s="8">
        <f>IF(HZ$56-Voorblad!$F$41&gt;Voorblad!$K$41,0,IF($U230=0,0,IF($U230&lt;1,1/$U230,IF((HZ$56-Voorblad!$F$41)/$U230-SUM($EE230:HY230)=1,1,0))))</f>
        <v>0</v>
      </c>
      <c r="IA230" s="8">
        <f>IF(IA$56-Voorblad!$F$41&gt;Voorblad!$K$41,0,IF($U230=0,0,IF($U230&lt;1,1/$U230,IF((IA$56-Voorblad!$F$41)/$U230-SUM($EE230:HZ230)=1,1,0))))</f>
        <v>0</v>
      </c>
      <c r="IB230" s="8">
        <f>IF(IB$56-Voorblad!$F$41&gt;Voorblad!$K$41,0,IF($U230=0,0,IF($U230&lt;1,1/$U230,IF((IB$56-Voorblad!$F$41)/$U230-SUM($EE230:IA230)=1,1,0))))</f>
        <v>0</v>
      </c>
    </row>
    <row r="231" spans="2:236" outlineLevel="1" x14ac:dyDescent="0.25">
      <c r="B231" s="14">
        <v>1</v>
      </c>
      <c r="C231" s="14"/>
      <c r="F231" s="1" t="s">
        <v>26</v>
      </c>
      <c r="I231" s="1" t="s">
        <v>49</v>
      </c>
      <c r="K231" s="1" t="s">
        <v>264</v>
      </c>
      <c r="O231" s="1" t="s">
        <v>103</v>
      </c>
      <c r="Q231" s="83">
        <f>0.5*Q230</f>
        <v>96</v>
      </c>
      <c r="R231" s="1" t="s">
        <v>102</v>
      </c>
      <c r="S231" s="1">
        <v>-200</v>
      </c>
      <c r="T231" s="21">
        <f t="shared" si="201"/>
        <v>-19200</v>
      </c>
      <c r="U231" s="11">
        <v>1</v>
      </c>
      <c r="V231" s="14">
        <f>Voorblad!F24+100</f>
        <v>2101</v>
      </c>
      <c r="W231" s="9">
        <f>Voorblad!$K$77</f>
        <v>2101</v>
      </c>
      <c r="X231" s="6"/>
      <c r="Y231" s="9">
        <f t="shared" ref="Y231:Y234" si="204">SUM(AE231:EB231)</f>
        <v>-3165.6219973482089</v>
      </c>
      <c r="AE231" s="9">
        <f>IF($W231=AE$56,EF231*($Q231*$S231)/(1+Voorblad!$K$44)^(AE$56-Voorblad!$F$41),0)</f>
        <v>0</v>
      </c>
      <c r="AF231" s="9">
        <f>IF($W231=AF$56,EG231*($Q231*$S231)/(1+Voorblad!$K$44)^(AF$56-Voorblad!$F$41),0)</f>
        <v>0</v>
      </c>
      <c r="AG231" s="9">
        <f>IF($W231=AG$56,EH231*($Q231*$S231)/(1+Voorblad!$K$44)^(AG$56-Voorblad!$F$41),0)</f>
        <v>0</v>
      </c>
      <c r="AH231" s="9">
        <f>IF($W231=AH$56,EI231*($Q231*$S231)/(1+Voorblad!$K$44)^(AH$56-Voorblad!$F$41),0)</f>
        <v>0</v>
      </c>
      <c r="AI231" s="9">
        <f>IF($W231=AI$56,EJ231*($Q231*$S231)/(1+Voorblad!$K$44)^(AI$56-Voorblad!$F$41),0)</f>
        <v>0</v>
      </c>
      <c r="AJ231" s="9">
        <f>IF($W231=AJ$56,EK231*($Q231*$S231)/(1+Voorblad!$K$44)^(AJ$56-Voorblad!$F$41),0)</f>
        <v>0</v>
      </c>
      <c r="AK231" s="9">
        <f>IF($W231=AK$56,EL231*($Q231*$S231)/(1+Voorblad!$K$44)^(AK$56-Voorblad!$F$41),0)</f>
        <v>0</v>
      </c>
      <c r="AL231" s="9">
        <f>IF($W231=AL$56,EM231*($Q231*$S231)/(1+Voorblad!$K$44)^(AL$56-Voorblad!$F$41),0)</f>
        <v>0</v>
      </c>
      <c r="AM231" s="9">
        <f>IF($W231=AM$56,EN231*($Q231*$S231)/(1+Voorblad!$K$44)^(AM$56-Voorblad!$F$41),0)</f>
        <v>0</v>
      </c>
      <c r="AN231" s="9">
        <f>IF($W231=AN$56,EO231*($Q231*$S231)/(1+Voorblad!$K$44)^(AN$56-Voorblad!$F$41),0)</f>
        <v>0</v>
      </c>
      <c r="AO231" s="9">
        <f>IF($W231=AO$56,EP231*($Q231*$S231)/(1+Voorblad!$K$44)^(AO$56-Voorblad!$F$41),0)</f>
        <v>0</v>
      </c>
      <c r="AP231" s="9">
        <f>IF($W231=AP$56,EQ231*($Q231*$S231)/(1+Voorblad!$K$44)^(AP$56-Voorblad!$F$41),0)</f>
        <v>0</v>
      </c>
      <c r="AQ231" s="9">
        <f>IF($W231=AQ$56,ER231*($Q231*$S231)/(1+Voorblad!$K$44)^(AQ$56-Voorblad!$F$41),0)</f>
        <v>0</v>
      </c>
      <c r="AR231" s="9">
        <f>IF($W231=AR$56,ES231*($Q231*$S231)/(1+Voorblad!$K$44)^(AR$56-Voorblad!$F$41),0)</f>
        <v>0</v>
      </c>
      <c r="AS231" s="9">
        <f>IF($W231=AS$56,ET231*($Q231*$S231)/(1+Voorblad!$K$44)^(AS$56-Voorblad!$F$41),0)</f>
        <v>0</v>
      </c>
      <c r="AT231" s="9">
        <f>IF($W231=AT$56,EU231*($Q231*$S231)/(1+Voorblad!$K$44)^(AT$56-Voorblad!$F$41),0)</f>
        <v>0</v>
      </c>
      <c r="AU231" s="9">
        <f>IF($W231=AU$56,EV231*($Q231*$S231)/(1+Voorblad!$K$44)^(AU$56-Voorblad!$F$41),0)</f>
        <v>0</v>
      </c>
      <c r="AV231" s="9">
        <f>IF($W231=AV$56,EW231*($Q231*$S231)/(1+Voorblad!$K$44)^(AV$56-Voorblad!$F$41),0)</f>
        <v>0</v>
      </c>
      <c r="AW231" s="9">
        <f>IF($W231=AW$56,EX231*($Q231*$S231)/(1+Voorblad!$K$44)^(AW$56-Voorblad!$F$41),0)</f>
        <v>0</v>
      </c>
      <c r="AX231" s="9">
        <f>IF($W231=AX$56,EY231*($Q231*$S231)/(1+Voorblad!$K$44)^(AX$56-Voorblad!$F$41),0)</f>
        <v>0</v>
      </c>
      <c r="AY231" s="9">
        <f>IF($W231=AY$56,EZ231*($Q231*$S231)/(1+Voorblad!$K$44)^(AY$56-Voorblad!$F$41),0)</f>
        <v>0</v>
      </c>
      <c r="AZ231" s="9">
        <f>IF($W231=AZ$56,FA231*($Q231*$S231)/(1+Voorblad!$K$44)^(AZ$56-Voorblad!$F$41),0)</f>
        <v>0</v>
      </c>
      <c r="BA231" s="9">
        <f>IF($W231=BA$56,FB231*($Q231*$S231)/(1+Voorblad!$K$44)^(BA$56-Voorblad!$F$41),0)</f>
        <v>0</v>
      </c>
      <c r="BB231" s="9">
        <f>IF($W231=BB$56,FC231*($Q231*$S231)/(1+Voorblad!$K$44)^(BB$56-Voorblad!$F$41),0)</f>
        <v>0</v>
      </c>
      <c r="BC231" s="9">
        <f>IF($W231=BC$56,FD231*($Q231*$S231)/(1+Voorblad!$K$44)^(BC$56-Voorblad!$F$41),0)</f>
        <v>0</v>
      </c>
      <c r="BD231" s="9">
        <f>IF($W231=BD$56,FE231*($Q231*$S231)/(1+Voorblad!$K$44)^(BD$56-Voorblad!$F$41),0)</f>
        <v>0</v>
      </c>
      <c r="BE231" s="9">
        <f>IF($W231=BE$56,FF231*($Q231*$S231)/(1+Voorblad!$K$44)^(BE$56-Voorblad!$F$41),0)</f>
        <v>0</v>
      </c>
      <c r="BF231" s="9">
        <f>IF($W231=BF$56,FG231*($Q231*$S231)/(1+Voorblad!$K$44)^(BF$56-Voorblad!$F$41),0)</f>
        <v>0</v>
      </c>
      <c r="BG231" s="9">
        <f>IF($W231=BG$56,FH231*($Q231*$S231)/(1+Voorblad!$K$44)^(BG$56-Voorblad!$F$41),0)</f>
        <v>0</v>
      </c>
      <c r="BH231" s="9">
        <f>IF($W231=BH$56,FI231*($Q231*$S231)/(1+Voorblad!$K$44)^(BH$56-Voorblad!$F$41),0)</f>
        <v>0</v>
      </c>
      <c r="BI231" s="9">
        <f>IF($W231=BI$56,FJ231*($Q231*$S231)/(1+Voorblad!$K$44)^(BI$56-Voorblad!$F$41),0)</f>
        <v>0</v>
      </c>
      <c r="BJ231" s="9">
        <f>IF($W231=BJ$56,FK231*($Q231*$S231)/(1+Voorblad!$K$44)^(BJ$56-Voorblad!$F$41),0)</f>
        <v>0</v>
      </c>
      <c r="BK231" s="9">
        <f>IF($W231=BK$56,FL231*($Q231*$S231)/(1+Voorblad!$K$44)^(BK$56-Voorblad!$F$41),0)</f>
        <v>0</v>
      </c>
      <c r="BL231" s="9">
        <f>IF($W231=BL$56,FM231*($Q231*$S231)/(1+Voorblad!$K$44)^(BL$56-Voorblad!$F$41),0)</f>
        <v>0</v>
      </c>
      <c r="BM231" s="9">
        <f>IF($W231=BM$56,FN231*($Q231*$S231)/(1+Voorblad!$K$44)^(BM$56-Voorblad!$F$41),0)</f>
        <v>0</v>
      </c>
      <c r="BN231" s="9">
        <f>IF($W231=BN$56,FO231*($Q231*$S231)/(1+Voorblad!$K$44)^(BN$56-Voorblad!$F$41),0)</f>
        <v>0</v>
      </c>
      <c r="BO231" s="9">
        <f>IF($W231=BO$56,FP231*($Q231*$S231)/(1+Voorblad!$K$44)^(BO$56-Voorblad!$F$41),0)</f>
        <v>0</v>
      </c>
      <c r="BP231" s="9">
        <f>IF($W231=BP$56,FQ231*($Q231*$S231)/(1+Voorblad!$K$44)^(BP$56-Voorblad!$F$41),0)</f>
        <v>0</v>
      </c>
      <c r="BQ231" s="9">
        <f>IF($W231=BQ$56,FR231*($Q231*$S231)/(1+Voorblad!$K$44)^(BQ$56-Voorblad!$F$41),0)</f>
        <v>0</v>
      </c>
      <c r="BR231" s="9">
        <f>IF($W231=BR$56,FS231*($Q231*$S231)/(1+Voorblad!$K$44)^(BR$56-Voorblad!$F$41),0)</f>
        <v>0</v>
      </c>
      <c r="BS231" s="9">
        <f>IF($W231=BS$56,FT231*($Q231*$S231)/(1+Voorblad!$K$44)^(BS$56-Voorblad!$F$41),0)</f>
        <v>0</v>
      </c>
      <c r="BT231" s="9">
        <f>IF($W231=BT$56,FU231*($Q231*$S231)/(1+Voorblad!$K$44)^(BT$56-Voorblad!$F$41),0)</f>
        <v>0</v>
      </c>
      <c r="BU231" s="9">
        <f>IF($W231=BU$56,FV231*($Q231*$S231)/(1+Voorblad!$K$44)^(BU$56-Voorblad!$F$41),0)</f>
        <v>0</v>
      </c>
      <c r="BV231" s="9">
        <f>IF($W231=BV$56,FW231*($Q231*$S231)/(1+Voorblad!$K$44)^(BV$56-Voorblad!$F$41),0)</f>
        <v>0</v>
      </c>
      <c r="BW231" s="9">
        <f>IF($W231=BW$56,FX231*($Q231*$S231)/(1+Voorblad!$K$44)^(BW$56-Voorblad!$F$41),0)</f>
        <v>0</v>
      </c>
      <c r="BX231" s="9">
        <f>IF($W231=BX$56,FY231*($Q231*$S231)/(1+Voorblad!$K$44)^(BX$56-Voorblad!$F$41),0)</f>
        <v>0</v>
      </c>
      <c r="BY231" s="9">
        <f>IF($W231=BY$56,FZ231*($Q231*$S231)/(1+Voorblad!$K$44)^(BY$56-Voorblad!$F$41),0)</f>
        <v>0</v>
      </c>
      <c r="BZ231" s="9">
        <f>IF($W231=BZ$56,GA231*($Q231*$S231)/(1+Voorblad!$K$44)^(BZ$56-Voorblad!$F$41),0)</f>
        <v>0</v>
      </c>
      <c r="CA231" s="9">
        <f>IF($W231=CA$56,GB231*($Q231*$S231)/(1+Voorblad!$K$44)^(CA$56-Voorblad!$F$41),0)</f>
        <v>0</v>
      </c>
      <c r="CB231" s="9">
        <f>IF($W231=CB$56,GC231*($Q231*$S231)/(1+Voorblad!$K$44)^(CB$56-Voorblad!$F$41),0)</f>
        <v>0</v>
      </c>
      <c r="CC231" s="9">
        <f>IF($W231=CC$56,GD231*($Q231*$S231)/(1+Voorblad!$K$44)^(CC$56-Voorblad!$F$41),0)</f>
        <v>0</v>
      </c>
      <c r="CD231" s="9">
        <f>IF($W231=CD$56,GE231*($Q231*$S231)/(1+Voorblad!$K$44)^(CD$56-Voorblad!$F$41),0)</f>
        <v>0</v>
      </c>
      <c r="CE231" s="9">
        <f>IF($W231=CE$56,GF231*($Q231*$S231)/(1+Voorblad!$K$44)^(CE$56-Voorblad!$F$41),0)</f>
        <v>0</v>
      </c>
      <c r="CF231" s="9">
        <f>IF($W231=CF$56,GG231*($Q231*$S231)/(1+Voorblad!$K$44)^(CF$56-Voorblad!$F$41),0)</f>
        <v>0</v>
      </c>
      <c r="CG231" s="9">
        <f>IF($W231=CG$56,GH231*($Q231*$S231)/(1+Voorblad!$K$44)^(CG$56-Voorblad!$F$41),0)</f>
        <v>0</v>
      </c>
      <c r="CH231" s="9">
        <f>IF($W231=CH$56,GI231*($Q231*$S231)/(1+Voorblad!$K$44)^(CH$56-Voorblad!$F$41),0)</f>
        <v>0</v>
      </c>
      <c r="CI231" s="9">
        <f>IF($W231=CI$56,GJ231*($Q231*$S231)/(1+Voorblad!$K$44)^(CI$56-Voorblad!$F$41),0)</f>
        <v>0</v>
      </c>
      <c r="CJ231" s="9">
        <f>IF($W231=CJ$56,GK231*($Q231*$S231)/(1+Voorblad!$K$44)^(CJ$56-Voorblad!$F$41),0)</f>
        <v>0</v>
      </c>
      <c r="CK231" s="9">
        <f>IF($W231=CK$56,GL231*($Q231*$S231)/(1+Voorblad!$K$44)^(CK$56-Voorblad!$F$41),0)</f>
        <v>0</v>
      </c>
      <c r="CL231" s="9">
        <f>IF($W231=CL$56,GM231*($Q231*$S231)/(1+Voorblad!$K$44)^(CL$56-Voorblad!$F$41),0)</f>
        <v>0</v>
      </c>
      <c r="CM231" s="9">
        <f>IF($W231=CM$56,GN231*($Q231*$S231)/(1+Voorblad!$K$44)^(CM$56-Voorblad!$F$41),0)</f>
        <v>0</v>
      </c>
      <c r="CN231" s="9">
        <f>IF($W231=CN$56,GO231*($Q231*$S231)/(1+Voorblad!$K$44)^(CN$56-Voorblad!$F$41),0)</f>
        <v>0</v>
      </c>
      <c r="CO231" s="9">
        <f>IF($W231=CO$56,GP231*($Q231*$S231)/(1+Voorblad!$K$44)^(CO$56-Voorblad!$F$41),0)</f>
        <v>0</v>
      </c>
      <c r="CP231" s="9">
        <f>IF($W231=CP$56,GQ231*($Q231*$S231)/(1+Voorblad!$K$44)^(CP$56-Voorblad!$F$41),0)</f>
        <v>0</v>
      </c>
      <c r="CQ231" s="9">
        <f>IF($W231=CQ$56,GR231*($Q231*$S231)/(1+Voorblad!$K$44)^(CQ$56-Voorblad!$F$41),0)</f>
        <v>0</v>
      </c>
      <c r="CR231" s="9">
        <f>IF($W231=CR$56,GS231*($Q231*$S231)/(1+Voorblad!$K$44)^(CR$56-Voorblad!$F$41),0)</f>
        <v>0</v>
      </c>
      <c r="CS231" s="9">
        <f>IF($W231=CS$56,GT231*($Q231*$S231)/(1+Voorblad!$K$44)^(CS$56-Voorblad!$F$41),0)</f>
        <v>0</v>
      </c>
      <c r="CT231" s="9">
        <f>IF($W231=CT$56,GU231*($Q231*$S231)/(1+Voorblad!$K$44)^(CT$56-Voorblad!$F$41),0)</f>
        <v>0</v>
      </c>
      <c r="CU231" s="9">
        <f>IF($W231=CU$56,GV231*($Q231*$S231)/(1+Voorblad!$K$44)^(CU$56-Voorblad!$F$41),0)</f>
        <v>0</v>
      </c>
      <c r="CV231" s="9">
        <f>IF($W231=CV$56,GW231*($Q231*$S231)/(1+Voorblad!$K$44)^(CV$56-Voorblad!$F$41),0)</f>
        <v>0</v>
      </c>
      <c r="CW231" s="9">
        <f>IF($W231=CW$56,GX231*($Q231*$S231)/(1+Voorblad!$K$44)^(CW$56-Voorblad!$F$41),0)</f>
        <v>0</v>
      </c>
      <c r="CX231" s="9">
        <f>IF($W231=CX$56,GY231*($Q231*$S231)/(1+Voorblad!$K$44)^(CX$56-Voorblad!$F$41),0)</f>
        <v>0</v>
      </c>
      <c r="CY231" s="9">
        <f>IF($W231=CY$56,GZ231*($Q231*$S231)/(1+Voorblad!$K$44)^(CY$56-Voorblad!$F$41),0)</f>
        <v>0</v>
      </c>
      <c r="CZ231" s="9">
        <f>IF($W231=CZ$56,HA231*($Q231*$S231)/(1+Voorblad!$K$44)^(CZ$56-Voorblad!$F$41),0)</f>
        <v>-3165.6219973482089</v>
      </c>
      <c r="DA231" s="9">
        <f>IF($W231=DA$56,HB231*($Q231*$S231)/(1+Voorblad!$K$44)^(DA$56-Voorblad!$F$41),0)</f>
        <v>0</v>
      </c>
      <c r="DB231" s="9">
        <f>IF($W231=DB$56,HC231*($Q231*$S231)/(1+Voorblad!$K$44)^(DB$56-Voorblad!$F$41),0)</f>
        <v>0</v>
      </c>
      <c r="DC231" s="9">
        <f>IF($W231=DC$56,HD231*($Q231*$S231)/(1+Voorblad!$K$44)^(DC$56-Voorblad!$F$41),0)</f>
        <v>0</v>
      </c>
      <c r="DD231" s="9">
        <f>IF($W231=DD$56,HE231*($Q231*$S231)/(1+Voorblad!$K$44)^(DD$56-Voorblad!$F$41),0)</f>
        <v>0</v>
      </c>
      <c r="DE231" s="9">
        <f>IF($W231=DE$56,HF231*($Q231*$S231)/(1+Voorblad!$K$44)^(DE$56-Voorblad!$F$41),0)</f>
        <v>0</v>
      </c>
      <c r="DF231" s="9">
        <f>IF($W231=DF$56,HG231*($Q231*$S231)/(1+Voorblad!$K$44)^(DF$56-Voorblad!$F$41),0)</f>
        <v>0</v>
      </c>
      <c r="DG231" s="9">
        <f>IF($W231=DG$56,HH231*($Q231*$S231)/(1+Voorblad!$K$44)^(DG$56-Voorblad!$F$41),0)</f>
        <v>0</v>
      </c>
      <c r="DH231" s="9">
        <f>IF($W231=DH$56,HI231*($Q231*$S231)/(1+Voorblad!$K$44)^(DH$56-Voorblad!$F$41),0)</f>
        <v>0</v>
      </c>
      <c r="DI231" s="9">
        <f>IF($W231=DI$56,HJ231*($Q231*$S231)/(1+Voorblad!$K$44)^(DI$56-Voorblad!$F$41),0)</f>
        <v>0</v>
      </c>
      <c r="DJ231" s="9">
        <f>IF($W231=DJ$56,HK231*($Q231*$S231)/(1+Voorblad!$K$44)^(DJ$56-Voorblad!$F$41),0)</f>
        <v>0</v>
      </c>
      <c r="DK231" s="9">
        <f>IF($W231=DK$56,HL231*($Q231*$S231)/(1+Voorblad!$K$44)^(DK$56-Voorblad!$F$41),0)</f>
        <v>0</v>
      </c>
      <c r="DL231" s="9">
        <f>IF($W231=DL$56,HM231*($Q231*$S231)/(1+Voorblad!$K$44)^(DL$56-Voorblad!$F$41),0)</f>
        <v>0</v>
      </c>
      <c r="DM231" s="9">
        <f>IF($W231=DM$56,HN231*($Q231*$S231)/(1+Voorblad!$K$44)^(DM$56-Voorblad!$F$41),0)</f>
        <v>0</v>
      </c>
      <c r="DN231" s="9">
        <f>IF($W231=DN$56,HO231*($Q231*$S231)/(1+Voorblad!$K$44)^(DN$56-Voorblad!$F$41),0)</f>
        <v>0</v>
      </c>
      <c r="DO231" s="9">
        <f>IF($W231=DO$56,HP231*($Q231*$S231)/(1+Voorblad!$K$44)^(DO$56-Voorblad!$F$41),0)</f>
        <v>0</v>
      </c>
      <c r="DP231" s="9">
        <f>IF($W231=DP$56,HQ231*($Q231*$S231)/(1+Voorblad!$K$44)^(DP$56-Voorblad!$F$41),0)</f>
        <v>0</v>
      </c>
      <c r="DQ231" s="9">
        <f>IF($W231=DQ$56,HR231*($Q231*$S231)/(1+Voorblad!$K$44)^(DQ$56-Voorblad!$F$41),0)</f>
        <v>0</v>
      </c>
      <c r="DR231" s="9">
        <f>IF($W231=DR$56,HS231*($Q231*$S231)/(1+Voorblad!$K$44)^(DR$56-Voorblad!$F$41),0)</f>
        <v>0</v>
      </c>
      <c r="DS231" s="9">
        <f>IF($W231=DS$56,HT231*($Q231*$S231)/(1+Voorblad!$K$44)^(DS$56-Voorblad!$F$41),0)</f>
        <v>0</v>
      </c>
      <c r="DT231" s="9">
        <f>IF($W231=DT$56,HU231*($Q231*$S231)/(1+Voorblad!$K$44)^(DT$56-Voorblad!$F$41),0)</f>
        <v>0</v>
      </c>
      <c r="DU231" s="9">
        <f>IF($W231=DU$56,HV231*($Q231*$S231)/(1+Voorblad!$K$44)^(DU$56-Voorblad!$F$41),0)</f>
        <v>0</v>
      </c>
      <c r="DV231" s="9">
        <f>IF($W231=DV$56,HW231*($Q231*$S231)/(1+Voorblad!$K$44)^(DV$56-Voorblad!$F$41),0)</f>
        <v>0</v>
      </c>
      <c r="DW231" s="9">
        <f>IF($W231=DW$56,HX231*($Q231*$S231)/(1+Voorblad!$K$44)^(DW$56-Voorblad!$F$41),0)</f>
        <v>0</v>
      </c>
      <c r="DX231" s="9">
        <f>IF($W231=DX$56,HY231*($Q231*$S231)/(1+Voorblad!$K$44)^(DX$56-Voorblad!$F$41),0)</f>
        <v>0</v>
      </c>
      <c r="DY231" s="9">
        <f>IF($W231=DY$56,HZ231*($Q231*$S231)/(1+Voorblad!$K$44)^(DY$56-Voorblad!$F$41),0)</f>
        <v>0</v>
      </c>
      <c r="DZ231" s="9">
        <f>IF($W231=DZ$56,IA231*($Q231*$S231)/(1+Voorblad!$K$44)^(DZ$56-Voorblad!$F$41),0)</f>
        <v>0</v>
      </c>
      <c r="EA231" s="9">
        <f>IF($W231=EA$56,IB231*($Q231*$S231)/(1+Voorblad!$K$44)^(EA$56-Voorblad!$F$41),0)</f>
        <v>0</v>
      </c>
      <c r="EB231" s="9">
        <f>IF($W231=EB$56,IC231*($Q231*$S231)/(1+Voorblad!$K$44)^(EB$56-Voorblad!$F$41),0)</f>
        <v>0</v>
      </c>
      <c r="EE231" s="8">
        <v>0</v>
      </c>
      <c r="EF231" s="8">
        <f>IF(EF$56-Voorblad!$F$41&gt;Voorblad!$K$41,0,IF($U231=0,0,IF($U231&lt;1,1/$U231,IF((EF$56-Voorblad!$F$41)/$U231-SUM($EE231:EE231)=1,1,0))))</f>
        <v>0</v>
      </c>
      <c r="EG231" s="8">
        <f>IF(EG$56-Voorblad!$F$41&gt;Voorblad!$K$41,0,IF($U231=0,0,IF($U231&lt;1,1/$U231,IF((EG$56-Voorblad!$F$41)/$U231-SUM($EE231:EF231)=1,1,0))))</f>
        <v>1</v>
      </c>
      <c r="EH231" s="8">
        <f>IF(EH$56-Voorblad!$F$41&gt;Voorblad!$K$41,0,IF($U231=0,0,IF($U231&lt;1,1/$U231,IF((EH$56-Voorblad!$F$41)/$U231-SUM($EE231:EG231)=1,1,0))))</f>
        <v>1</v>
      </c>
      <c r="EI231" s="8">
        <f>IF(EI$56-Voorblad!$F$41&gt;Voorblad!$K$41,0,IF($U231=0,0,IF($U231&lt;1,1/$U231,IF((EI$56-Voorblad!$F$41)/$U231-SUM($EE231:EH231)=1,1,0))))</f>
        <v>1</v>
      </c>
      <c r="EJ231" s="8">
        <f>IF(EJ$56-Voorblad!$F$41&gt;Voorblad!$K$41,0,IF($U231=0,0,IF($U231&lt;1,1/$U231,IF((EJ$56-Voorblad!$F$41)/$U231-SUM($EE231:EI231)=1,1,0))))</f>
        <v>1</v>
      </c>
      <c r="EK231" s="8">
        <f>IF(EK$56-Voorblad!$F$41&gt;Voorblad!$K$41,0,IF($U231=0,0,IF($U231&lt;1,1/$U231,IF((EK$56-Voorblad!$F$41)/$U231-SUM($EE231:EJ231)=1,1,0))))</f>
        <v>1</v>
      </c>
      <c r="EL231" s="8">
        <f>IF(EL$56-Voorblad!$F$41&gt;Voorblad!$K$41,0,IF($U231=0,0,IF($U231&lt;1,1/$U231,IF((EL$56-Voorblad!$F$41)/$U231-SUM($EE231:EK231)=1,1,0))))</f>
        <v>1</v>
      </c>
      <c r="EM231" s="8">
        <f>IF(EM$56-Voorblad!$F$41&gt;Voorblad!$K$41,0,IF($U231=0,0,IF($U231&lt;1,1/$U231,IF((EM$56-Voorblad!$F$41)/$U231-SUM($EE231:EL231)=1,1,0))))</f>
        <v>1</v>
      </c>
      <c r="EN231" s="8">
        <f>IF(EN$56-Voorblad!$F$41&gt;Voorblad!$K$41,0,IF($U231=0,0,IF($U231&lt;1,1/$U231,IF((EN$56-Voorblad!$F$41)/$U231-SUM($EE231:EM231)=1,1,0))))</f>
        <v>1</v>
      </c>
      <c r="EO231" s="8">
        <f>IF(EO$56-Voorblad!$F$41&gt;Voorblad!$K$41,0,IF($U231=0,0,IF($U231&lt;1,1/$U231,IF((EO$56-Voorblad!$F$41)/$U231-SUM($EE231:EN231)=1,1,0))))</f>
        <v>1</v>
      </c>
      <c r="EP231" s="8">
        <f>IF(EP$56-Voorblad!$F$41&gt;Voorblad!$K$41,0,IF($U231=0,0,IF($U231&lt;1,1/$U231,IF((EP$56-Voorblad!$F$41)/$U231-SUM($EE231:EO231)=1,1,0))))</f>
        <v>1</v>
      </c>
      <c r="EQ231" s="8">
        <f>IF(EQ$56-Voorblad!$F$41&gt;Voorblad!$K$41,0,IF($U231=0,0,IF($U231&lt;1,1/$U231,IF((EQ$56-Voorblad!$F$41)/$U231-SUM($EE231:EP231)=1,1,0))))</f>
        <v>1</v>
      </c>
      <c r="ER231" s="8">
        <f>IF(ER$56-Voorblad!$F$41&gt;Voorblad!$K$41,0,IF($U231=0,0,IF($U231&lt;1,1/$U231,IF((ER$56-Voorblad!$F$41)/$U231-SUM($EE231:EQ231)=1,1,0))))</f>
        <v>1</v>
      </c>
      <c r="ES231" s="8">
        <f>IF(ES$56-Voorblad!$F$41&gt;Voorblad!$K$41,0,IF($U231=0,0,IF($U231&lt;1,1/$U231,IF((ES$56-Voorblad!$F$41)/$U231-SUM($EE231:ER231)=1,1,0))))</f>
        <v>1</v>
      </c>
      <c r="ET231" s="8">
        <f>IF(ET$56-Voorblad!$F$41&gt;Voorblad!$K$41,0,IF($U231=0,0,IF($U231&lt;1,1/$U231,IF((ET$56-Voorblad!$F$41)/$U231-SUM($EE231:ES231)=1,1,0))))</f>
        <v>1</v>
      </c>
      <c r="EU231" s="8">
        <f>IF(EU$56-Voorblad!$F$41&gt;Voorblad!$K$41,0,IF($U231=0,0,IF($U231&lt;1,1/$U231,IF((EU$56-Voorblad!$F$41)/$U231-SUM($EE231:ET231)=1,1,0))))</f>
        <v>1</v>
      </c>
      <c r="EV231" s="8">
        <f>IF(EV$56-Voorblad!$F$41&gt;Voorblad!$K$41,0,IF($U231=0,0,IF($U231&lt;1,1/$U231,IF((EV$56-Voorblad!$F$41)/$U231-SUM($EE231:EU231)=1,1,0))))</f>
        <v>1</v>
      </c>
      <c r="EW231" s="8">
        <f>IF(EW$56-Voorblad!$F$41&gt;Voorblad!$K$41,0,IF($U231=0,0,IF($U231&lt;1,1/$U231,IF((EW$56-Voorblad!$F$41)/$U231-SUM($EE231:EV231)=1,1,0))))</f>
        <v>1</v>
      </c>
      <c r="EX231" s="8">
        <f>IF(EX$56-Voorblad!$F$41&gt;Voorblad!$K$41,0,IF($U231=0,0,IF($U231&lt;1,1/$U231,IF((EX$56-Voorblad!$F$41)/$U231-SUM($EE231:EW231)=1,1,0))))</f>
        <v>1</v>
      </c>
      <c r="EY231" s="8">
        <f>IF(EY$56-Voorblad!$F$41&gt;Voorblad!$K$41,0,IF($U231=0,0,IF($U231&lt;1,1/$U231,IF((EY$56-Voorblad!$F$41)/$U231-SUM($EE231:EX231)=1,1,0))))</f>
        <v>1</v>
      </c>
      <c r="EZ231" s="8">
        <f>IF(EZ$56-Voorblad!$F$41&gt;Voorblad!$K$41,0,IF($U231=0,0,IF($U231&lt;1,1/$U231,IF((EZ$56-Voorblad!$F$41)/$U231-SUM($EE231:EY231)=1,1,0))))</f>
        <v>1</v>
      </c>
      <c r="FA231" s="8">
        <f>IF(FA$56-Voorblad!$F$41&gt;Voorblad!$K$41,0,IF($U231=0,0,IF($U231&lt;1,1/$U231,IF((FA$56-Voorblad!$F$41)/$U231-SUM($EE231:EZ231)=1,1,0))))</f>
        <v>1</v>
      </c>
      <c r="FB231" s="8">
        <f>IF(FB$56-Voorblad!$F$41&gt;Voorblad!$K$41,0,IF($U231=0,0,IF($U231&lt;1,1/$U231,IF((FB$56-Voorblad!$F$41)/$U231-SUM($EE231:FA231)=1,1,0))))</f>
        <v>1</v>
      </c>
      <c r="FC231" s="8">
        <f>IF(FC$56-Voorblad!$F$41&gt;Voorblad!$K$41,0,IF($U231=0,0,IF($U231&lt;1,1/$U231,IF((FC$56-Voorblad!$F$41)/$U231-SUM($EE231:FB231)=1,1,0))))</f>
        <v>1</v>
      </c>
      <c r="FD231" s="8">
        <f>IF(FD$56-Voorblad!$F$41&gt;Voorblad!$K$41,0,IF($U231=0,0,IF($U231&lt;1,1/$U231,IF((FD$56-Voorblad!$F$41)/$U231-SUM($EE231:FC231)=1,1,0))))</f>
        <v>1</v>
      </c>
      <c r="FE231" s="8">
        <f>IF(FE$56-Voorblad!$F$41&gt;Voorblad!$K$41,0,IF($U231=0,0,IF($U231&lt;1,1/$U231,IF((FE$56-Voorblad!$F$41)/$U231-SUM($EE231:FD231)=1,1,0))))</f>
        <v>1</v>
      </c>
      <c r="FF231" s="8">
        <f>IF(FF$56-Voorblad!$F$41&gt;Voorblad!$K$41,0,IF($U231=0,0,IF($U231&lt;1,1/$U231,IF((FF$56-Voorblad!$F$41)/$U231-SUM($EE231:FE231)=1,1,0))))</f>
        <v>1</v>
      </c>
      <c r="FG231" s="8">
        <f>IF(FG$56-Voorblad!$F$41&gt;Voorblad!$K$41,0,IF($U231=0,0,IF($U231&lt;1,1/$U231,IF((FG$56-Voorblad!$F$41)/$U231-SUM($EE231:FF231)=1,1,0))))</f>
        <v>1</v>
      </c>
      <c r="FH231" s="8">
        <f>IF(FH$56-Voorblad!$F$41&gt;Voorblad!$K$41,0,IF($U231=0,0,IF($U231&lt;1,1/$U231,IF((FH$56-Voorblad!$F$41)/$U231-SUM($EE231:FG231)=1,1,0))))</f>
        <v>1</v>
      </c>
      <c r="FI231" s="8">
        <f>IF(FI$56-Voorblad!$F$41&gt;Voorblad!$K$41,0,IF($U231=0,0,IF($U231&lt;1,1/$U231,IF((FI$56-Voorblad!$F$41)/$U231-SUM($EE231:FH231)=1,1,0))))</f>
        <v>1</v>
      </c>
      <c r="FJ231" s="8">
        <f>IF(FJ$56-Voorblad!$F$41&gt;Voorblad!$K$41,0,IF($U231=0,0,IF($U231&lt;1,1/$U231,IF((FJ$56-Voorblad!$F$41)/$U231-SUM($EE231:FI231)=1,1,0))))</f>
        <v>1</v>
      </c>
      <c r="FK231" s="8">
        <f>IF(FK$56-Voorblad!$F$41&gt;Voorblad!$K$41,0,IF($U231=0,0,IF($U231&lt;1,1/$U231,IF((FK$56-Voorblad!$F$41)/$U231-SUM($EE231:FJ231)=1,1,0))))</f>
        <v>1</v>
      </c>
      <c r="FL231" s="8">
        <f>IF(FL$56-Voorblad!$F$41&gt;Voorblad!$K$41,0,IF($U231=0,0,IF($U231&lt;1,1/$U231,IF((FL$56-Voorblad!$F$41)/$U231-SUM($EE231:FK231)=1,1,0))))</f>
        <v>1</v>
      </c>
      <c r="FM231" s="8">
        <f>IF(FM$56-Voorblad!$F$41&gt;Voorblad!$K$41,0,IF($U231=0,0,IF($U231&lt;1,1/$U231,IF((FM$56-Voorblad!$F$41)/$U231-SUM($EE231:FL231)=1,1,0))))</f>
        <v>1</v>
      </c>
      <c r="FN231" s="8">
        <f>IF(FN$56-Voorblad!$F$41&gt;Voorblad!$K$41,0,IF($U231=0,0,IF($U231&lt;1,1/$U231,IF((FN$56-Voorblad!$F$41)/$U231-SUM($EE231:FM231)=1,1,0))))</f>
        <v>1</v>
      </c>
      <c r="FO231" s="8">
        <f>IF(FO$56-Voorblad!$F$41&gt;Voorblad!$K$41,0,IF($U231=0,0,IF($U231&lt;1,1/$U231,IF((FO$56-Voorblad!$F$41)/$U231-SUM($EE231:FN231)=1,1,0))))</f>
        <v>1</v>
      </c>
      <c r="FP231" s="8">
        <f>IF(FP$56-Voorblad!$F$41&gt;Voorblad!$K$41,0,IF($U231=0,0,IF($U231&lt;1,1/$U231,IF((FP$56-Voorblad!$F$41)/$U231-SUM($EE231:FO231)=1,1,0))))</f>
        <v>1</v>
      </c>
      <c r="FQ231" s="8">
        <f>IF(FQ$56-Voorblad!$F$41&gt;Voorblad!$K$41,0,IF($U231=0,0,IF($U231&lt;1,1/$U231,IF((FQ$56-Voorblad!$F$41)/$U231-SUM($EE231:FP231)=1,1,0))))</f>
        <v>1</v>
      </c>
      <c r="FR231" s="8">
        <f>IF(FR$56-Voorblad!$F$41&gt;Voorblad!$K$41,0,IF($U231=0,0,IF($U231&lt;1,1/$U231,IF((FR$56-Voorblad!$F$41)/$U231-SUM($EE231:FQ231)=1,1,0))))</f>
        <v>1</v>
      </c>
      <c r="FS231" s="8">
        <f>IF(FS$56-Voorblad!$F$41&gt;Voorblad!$K$41,0,IF($U231=0,0,IF($U231&lt;1,1/$U231,IF((FS$56-Voorblad!$F$41)/$U231-SUM($EE231:FR231)=1,1,0))))</f>
        <v>1</v>
      </c>
      <c r="FT231" s="8">
        <f>IF(FT$56-Voorblad!$F$41&gt;Voorblad!$K$41,0,IF($U231=0,0,IF($U231&lt;1,1/$U231,IF((FT$56-Voorblad!$F$41)/$U231-SUM($EE231:FS231)=1,1,0))))</f>
        <v>1</v>
      </c>
      <c r="FU231" s="8">
        <f>IF(FU$56-Voorblad!$F$41&gt;Voorblad!$K$41,0,IF($U231=0,0,IF($U231&lt;1,1/$U231,IF((FU$56-Voorblad!$F$41)/$U231-SUM($EE231:FT231)=1,1,0))))</f>
        <v>1</v>
      </c>
      <c r="FV231" s="8">
        <f>IF(FV$56-Voorblad!$F$41&gt;Voorblad!$K$41,0,IF($U231=0,0,IF($U231&lt;1,1/$U231,IF((FV$56-Voorblad!$F$41)/$U231-SUM($EE231:FU231)=1,1,0))))</f>
        <v>1</v>
      </c>
      <c r="FW231" s="8">
        <f>IF(FW$56-Voorblad!$F$41&gt;Voorblad!$K$41,0,IF($U231=0,0,IF($U231&lt;1,1/$U231,IF((FW$56-Voorblad!$F$41)/$U231-SUM($EE231:FV231)=1,1,0))))</f>
        <v>1</v>
      </c>
      <c r="FX231" s="8">
        <f>IF(FX$56-Voorblad!$F$41&gt;Voorblad!$K$41,0,IF($U231=0,0,IF($U231&lt;1,1/$U231,IF((FX$56-Voorblad!$F$41)/$U231-SUM($EE231:FW231)=1,1,0))))</f>
        <v>1</v>
      </c>
      <c r="FY231" s="8">
        <f>IF(FY$56-Voorblad!$F$41&gt;Voorblad!$K$41,0,IF($U231=0,0,IF($U231&lt;1,1/$U231,IF((FY$56-Voorblad!$F$41)/$U231-SUM($EE231:FX231)=1,1,0))))</f>
        <v>1</v>
      </c>
      <c r="FZ231" s="8">
        <f>IF(FZ$56-Voorblad!$F$41&gt;Voorblad!$K$41,0,IF($U231=0,0,IF($U231&lt;1,1/$U231,IF((FZ$56-Voorblad!$F$41)/$U231-SUM($EE231:FY231)=1,1,0))))</f>
        <v>1</v>
      </c>
      <c r="GA231" s="8">
        <f>IF(GA$56-Voorblad!$F$41&gt;Voorblad!$K$41,0,IF($U231=0,0,IF($U231&lt;1,1/$U231,IF((GA$56-Voorblad!$F$41)/$U231-SUM($EE231:FZ231)=1,1,0))))</f>
        <v>1</v>
      </c>
      <c r="GB231" s="8">
        <f>IF(GB$56-Voorblad!$F$41&gt;Voorblad!$K$41,0,IF($U231=0,0,IF($U231&lt;1,1/$U231,IF((GB$56-Voorblad!$F$41)/$U231-SUM($EE231:GA231)=1,1,0))))</f>
        <v>1</v>
      </c>
      <c r="GC231" s="8">
        <f>IF(GC$56-Voorblad!$F$41&gt;Voorblad!$K$41,0,IF($U231=0,0,IF($U231&lt;1,1/$U231,IF((GC$56-Voorblad!$F$41)/$U231-SUM($EE231:GB231)=1,1,0))))</f>
        <v>1</v>
      </c>
      <c r="GD231" s="8">
        <f>IF(GD$56-Voorblad!$F$41&gt;Voorblad!$K$41,0,IF($U231=0,0,IF($U231&lt;1,1/$U231,IF((GD$56-Voorblad!$F$41)/$U231-SUM($EE231:GC231)=1,1,0))))</f>
        <v>1</v>
      </c>
      <c r="GE231" s="8">
        <f>IF(GE$56-Voorblad!$F$41&gt;Voorblad!$K$41,0,IF($U231=0,0,IF($U231&lt;1,1/$U231,IF((GE$56-Voorblad!$F$41)/$U231-SUM($EE231:GD231)=1,1,0))))</f>
        <v>1</v>
      </c>
      <c r="GF231" s="8">
        <f>IF(GF$56-Voorblad!$F$41&gt;Voorblad!$K$41,0,IF($U231=0,0,IF($U231&lt;1,1/$U231,IF((GF$56-Voorblad!$F$41)/$U231-SUM($EE231:GE231)=1,1,0))))</f>
        <v>1</v>
      </c>
      <c r="GG231" s="8">
        <f>IF(GG$56-Voorblad!$F$41&gt;Voorblad!$K$41,0,IF($U231=0,0,IF($U231&lt;1,1/$U231,IF((GG$56-Voorblad!$F$41)/$U231-SUM($EE231:GF231)=1,1,0))))</f>
        <v>1</v>
      </c>
      <c r="GH231" s="8">
        <f>IF(GH$56-Voorblad!$F$41&gt;Voorblad!$K$41,0,IF($U231=0,0,IF($U231&lt;1,1/$U231,IF((GH$56-Voorblad!$F$41)/$U231-SUM($EE231:GG231)=1,1,0))))</f>
        <v>1</v>
      </c>
      <c r="GI231" s="8">
        <f>IF(GI$56-Voorblad!$F$41&gt;Voorblad!$K$41,0,IF($U231=0,0,IF($U231&lt;1,1/$U231,IF((GI$56-Voorblad!$F$41)/$U231-SUM($EE231:GH231)=1,1,0))))</f>
        <v>1</v>
      </c>
      <c r="GJ231" s="8">
        <f>IF(GJ$56-Voorblad!$F$41&gt;Voorblad!$K$41,0,IF($U231=0,0,IF($U231&lt;1,1/$U231,IF((GJ$56-Voorblad!$F$41)/$U231-SUM($EE231:GI231)=1,1,0))))</f>
        <v>1</v>
      </c>
      <c r="GK231" s="8">
        <f>IF(GK$56-Voorblad!$F$41&gt;Voorblad!$K$41,0,IF($U231=0,0,IF($U231&lt;1,1/$U231,IF((GK$56-Voorblad!$F$41)/$U231-SUM($EE231:GJ231)=1,1,0))))</f>
        <v>1</v>
      </c>
      <c r="GL231" s="8">
        <f>IF(GL$56-Voorblad!$F$41&gt;Voorblad!$K$41,0,IF($U231=0,0,IF($U231&lt;1,1/$U231,IF((GL$56-Voorblad!$F$41)/$U231-SUM($EE231:GK231)=1,1,0))))</f>
        <v>1</v>
      </c>
      <c r="GM231" s="8">
        <f>IF(GM$56-Voorblad!$F$41&gt;Voorblad!$K$41,0,IF($U231=0,0,IF($U231&lt;1,1/$U231,IF((GM$56-Voorblad!$F$41)/$U231-SUM($EE231:GL231)=1,1,0))))</f>
        <v>1</v>
      </c>
      <c r="GN231" s="8">
        <f>IF(GN$56-Voorblad!$F$41&gt;Voorblad!$K$41,0,IF($U231=0,0,IF($U231&lt;1,1/$U231,IF((GN$56-Voorblad!$F$41)/$U231-SUM($EE231:GM231)=1,1,0))))</f>
        <v>1</v>
      </c>
      <c r="GO231" s="8">
        <f>IF(GO$56-Voorblad!$F$41&gt;Voorblad!$K$41,0,IF($U231=0,0,IF($U231&lt;1,1/$U231,IF((GO$56-Voorblad!$F$41)/$U231-SUM($EE231:GN231)=1,1,0))))</f>
        <v>1</v>
      </c>
      <c r="GP231" s="8">
        <f>IF(GP$56-Voorblad!$F$41&gt;Voorblad!$K$41,0,IF($U231=0,0,IF($U231&lt;1,1/$U231,IF((GP$56-Voorblad!$F$41)/$U231-SUM($EE231:GO231)=1,1,0))))</f>
        <v>1</v>
      </c>
      <c r="GQ231" s="8">
        <f>IF(GQ$56-Voorblad!$F$41&gt;Voorblad!$K$41,0,IF($U231=0,0,IF($U231&lt;1,1/$U231,IF((GQ$56-Voorblad!$F$41)/$U231-SUM($EE231:GP231)=1,1,0))))</f>
        <v>1</v>
      </c>
      <c r="GR231" s="8">
        <f>IF(GR$56-Voorblad!$F$41&gt;Voorblad!$K$41,0,IF($U231=0,0,IF($U231&lt;1,1/$U231,IF((GR$56-Voorblad!$F$41)/$U231-SUM($EE231:GQ231)=1,1,0))))</f>
        <v>1</v>
      </c>
      <c r="GS231" s="8">
        <f>IF(GS$56-Voorblad!$F$41&gt;Voorblad!$K$41,0,IF($U231=0,0,IF($U231&lt;1,1/$U231,IF((GS$56-Voorblad!$F$41)/$U231-SUM($EE231:GR231)=1,1,0))))</f>
        <v>1</v>
      </c>
      <c r="GT231" s="8">
        <f>IF(GT$56-Voorblad!$F$41&gt;Voorblad!$K$41,0,IF($U231=0,0,IF($U231&lt;1,1/$U231,IF((GT$56-Voorblad!$F$41)/$U231-SUM($EE231:GS231)=1,1,0))))</f>
        <v>1</v>
      </c>
      <c r="GU231" s="8">
        <f>IF(GU$56-Voorblad!$F$41&gt;Voorblad!$K$41,0,IF($U231=0,0,IF($U231&lt;1,1/$U231,IF((GU$56-Voorblad!$F$41)/$U231-SUM($EE231:GT231)=1,1,0))))</f>
        <v>1</v>
      </c>
      <c r="GV231" s="8">
        <f>IF(GV$56-Voorblad!$F$41&gt;Voorblad!$K$41,0,IF($U231=0,0,IF($U231&lt;1,1/$U231,IF((GV$56-Voorblad!$F$41)/$U231-SUM($EE231:GU231)=1,1,0))))</f>
        <v>1</v>
      </c>
      <c r="GW231" s="8">
        <f>IF(GW$56-Voorblad!$F$41&gt;Voorblad!$K$41,0,IF($U231=0,0,IF($U231&lt;1,1/$U231,IF((GW$56-Voorblad!$F$41)/$U231-SUM($EE231:GV231)=1,1,0))))</f>
        <v>1</v>
      </c>
      <c r="GX231" s="8">
        <f>IF(GX$56-Voorblad!$F$41&gt;Voorblad!$K$41,0,IF($U231=0,0,IF($U231&lt;1,1/$U231,IF((GX$56-Voorblad!$F$41)/$U231-SUM($EE231:GW231)=1,1,0))))</f>
        <v>1</v>
      </c>
      <c r="GY231" s="8">
        <f>IF(GY$56-Voorblad!$F$41&gt;Voorblad!$K$41,0,IF($U231=0,0,IF($U231&lt;1,1/$U231,IF((GY$56-Voorblad!$F$41)/$U231-SUM($EE231:GX231)=1,1,0))))</f>
        <v>1</v>
      </c>
      <c r="GZ231" s="8">
        <f>IF(GZ$56-Voorblad!$F$41&gt;Voorblad!$K$41,0,IF($U231=0,0,IF($U231&lt;1,1/$U231,IF((GZ$56-Voorblad!$F$41)/$U231-SUM($EE231:GY231)=1,1,0))))</f>
        <v>1</v>
      </c>
      <c r="HA231" s="8">
        <f>IF(HA$56-Voorblad!$F$41&gt;Voorblad!$K$41,0,IF($U231=0,0,IF($U231&lt;1,1/$U231,IF((HA$56-Voorblad!$F$41)/$U231-SUM($EE231:GZ231)=1,1,0))))</f>
        <v>1</v>
      </c>
      <c r="HB231" s="8">
        <f>IF(HB$56-Voorblad!$F$41&gt;Voorblad!$K$41,0,IF($U231=0,0,IF($U231&lt;1,1/$U231,IF((HB$56-Voorblad!$F$41)/$U231-SUM($EE231:HA231)=1,1,0))))</f>
        <v>0</v>
      </c>
      <c r="HC231" s="8">
        <f>IF(HC$56-Voorblad!$F$41&gt;Voorblad!$K$41,0,IF($U231=0,0,IF($U231&lt;1,1/$U231,IF((HC$56-Voorblad!$F$41)/$U231-SUM($EE231:HB231)=1,1,0))))</f>
        <v>0</v>
      </c>
      <c r="HD231" s="8">
        <f>IF(HD$56-Voorblad!$F$41&gt;Voorblad!$K$41,0,IF($U231=0,0,IF($U231&lt;1,1/$U231,IF((HD$56-Voorblad!$F$41)/$U231-SUM($EE231:HC231)=1,1,0))))</f>
        <v>0</v>
      </c>
      <c r="HE231" s="8">
        <f>IF(HE$56-Voorblad!$F$41&gt;Voorblad!$K$41,0,IF($U231=0,0,IF($U231&lt;1,1/$U231,IF((HE$56-Voorblad!$F$41)/$U231-SUM($EE231:HD231)=1,1,0))))</f>
        <v>0</v>
      </c>
      <c r="HF231" s="8">
        <f>IF(HF$56-Voorblad!$F$41&gt;Voorblad!$K$41,0,IF($U231=0,0,IF($U231&lt;1,1/$U231,IF((HF$56-Voorblad!$F$41)/$U231-SUM($EE231:HE231)=1,1,0))))</f>
        <v>0</v>
      </c>
      <c r="HG231" s="8">
        <f>IF(HG$56-Voorblad!$F$41&gt;Voorblad!$K$41,0,IF($U231=0,0,IF($U231&lt;1,1/$U231,IF((HG$56-Voorblad!$F$41)/$U231-SUM($EE231:HF231)=1,1,0))))</f>
        <v>0</v>
      </c>
      <c r="HH231" s="8">
        <f>IF(HH$56-Voorblad!$F$41&gt;Voorblad!$K$41,0,IF($U231=0,0,IF($U231&lt;1,1/$U231,IF((HH$56-Voorblad!$F$41)/$U231-SUM($EE231:HG231)=1,1,0))))</f>
        <v>0</v>
      </c>
      <c r="HI231" s="8">
        <f>IF(HI$56-Voorblad!$F$41&gt;Voorblad!$K$41,0,IF($U231=0,0,IF($U231&lt;1,1/$U231,IF((HI$56-Voorblad!$F$41)/$U231-SUM($EE231:HH231)=1,1,0))))</f>
        <v>0</v>
      </c>
      <c r="HJ231" s="8">
        <f>IF(HJ$56-Voorblad!$F$41&gt;Voorblad!$K$41,0,IF($U231=0,0,IF($U231&lt;1,1/$U231,IF((HJ$56-Voorblad!$F$41)/$U231-SUM($EE231:HI231)=1,1,0))))</f>
        <v>0</v>
      </c>
      <c r="HK231" s="8">
        <f>IF(HK$56-Voorblad!$F$41&gt;Voorblad!$K$41,0,IF($U231=0,0,IF($U231&lt;1,1/$U231,IF((HK$56-Voorblad!$F$41)/$U231-SUM($EE231:HJ231)=1,1,0))))</f>
        <v>0</v>
      </c>
      <c r="HL231" s="8">
        <f>IF(HL$56-Voorblad!$F$41&gt;Voorblad!$K$41,0,IF($U231=0,0,IF($U231&lt;1,1/$U231,IF((HL$56-Voorblad!$F$41)/$U231-SUM($EE231:HK231)=1,1,0))))</f>
        <v>0</v>
      </c>
      <c r="HM231" s="8">
        <f>IF(HM$56-Voorblad!$F$41&gt;Voorblad!$K$41,0,IF($U231=0,0,IF($U231&lt;1,1/$U231,IF((HM$56-Voorblad!$F$41)/$U231-SUM($EE231:HL231)=1,1,0))))</f>
        <v>0</v>
      </c>
      <c r="HN231" s="8">
        <f>IF(HN$56-Voorblad!$F$41&gt;Voorblad!$K$41,0,IF($U231=0,0,IF($U231&lt;1,1/$U231,IF((HN$56-Voorblad!$F$41)/$U231-SUM($EE231:HM231)=1,1,0))))</f>
        <v>0</v>
      </c>
      <c r="HO231" s="8">
        <f>IF(HO$56-Voorblad!$F$41&gt;Voorblad!$K$41,0,IF($U231=0,0,IF($U231&lt;1,1/$U231,IF((HO$56-Voorblad!$F$41)/$U231-SUM($EE231:HN231)=1,1,0))))</f>
        <v>0</v>
      </c>
      <c r="HP231" s="8">
        <f>IF(HP$56-Voorblad!$F$41&gt;Voorblad!$K$41,0,IF($U231=0,0,IF($U231&lt;1,1/$U231,IF((HP$56-Voorblad!$F$41)/$U231-SUM($EE231:HO231)=1,1,0))))</f>
        <v>0</v>
      </c>
      <c r="HQ231" s="8">
        <f>IF(HQ$56-Voorblad!$F$41&gt;Voorblad!$K$41,0,IF($U231=0,0,IF($U231&lt;1,1/$U231,IF((HQ$56-Voorblad!$F$41)/$U231-SUM($EE231:HP231)=1,1,0))))</f>
        <v>0</v>
      </c>
      <c r="HR231" s="8">
        <f>IF(HR$56-Voorblad!$F$41&gt;Voorblad!$K$41,0,IF($U231=0,0,IF($U231&lt;1,1/$U231,IF((HR$56-Voorblad!$F$41)/$U231-SUM($EE231:HQ231)=1,1,0))))</f>
        <v>0</v>
      </c>
      <c r="HS231" s="8">
        <f>IF(HS$56-Voorblad!$F$41&gt;Voorblad!$K$41,0,IF($U231=0,0,IF($U231&lt;1,1/$U231,IF((HS$56-Voorblad!$F$41)/$U231-SUM($EE231:HR231)=1,1,0))))</f>
        <v>0</v>
      </c>
      <c r="HT231" s="8">
        <f>IF(HT$56-Voorblad!$F$41&gt;Voorblad!$K$41,0,IF($U231=0,0,IF($U231&lt;1,1/$U231,IF((HT$56-Voorblad!$F$41)/$U231-SUM($EE231:HS231)=1,1,0))))</f>
        <v>0</v>
      </c>
      <c r="HU231" s="8">
        <f>IF(HU$56-Voorblad!$F$41&gt;Voorblad!$K$41,0,IF($U231=0,0,IF($U231&lt;1,1/$U231,IF((HU$56-Voorblad!$F$41)/$U231-SUM($EE231:HT231)=1,1,0))))</f>
        <v>0</v>
      </c>
      <c r="HV231" s="8">
        <f>IF(HV$56-Voorblad!$F$41&gt;Voorblad!$K$41,0,IF($U231=0,0,IF($U231&lt;1,1/$U231,IF((HV$56-Voorblad!$F$41)/$U231-SUM($EE231:HU231)=1,1,0))))</f>
        <v>0</v>
      </c>
      <c r="HW231" s="8">
        <f>IF(HW$56-Voorblad!$F$41&gt;Voorblad!$K$41,0,IF($U231=0,0,IF($U231&lt;1,1/$U231,IF((HW$56-Voorblad!$F$41)/$U231-SUM($EE231:HV231)=1,1,0))))</f>
        <v>0</v>
      </c>
      <c r="HX231" s="8">
        <f>IF(HX$56-Voorblad!$F$41&gt;Voorblad!$K$41,0,IF($U231=0,0,IF($U231&lt;1,1/$U231,IF((HX$56-Voorblad!$F$41)/$U231-SUM($EE231:HW231)=1,1,0))))</f>
        <v>0</v>
      </c>
      <c r="HY231" s="8">
        <f>IF(HY$56-Voorblad!$F$41&gt;Voorblad!$K$41,0,IF($U231=0,0,IF($U231&lt;1,1/$U231,IF((HY$56-Voorblad!$F$41)/$U231-SUM($EE231:HX231)=1,1,0))))</f>
        <v>0</v>
      </c>
      <c r="HZ231" s="8">
        <f>IF(HZ$56-Voorblad!$F$41&gt;Voorblad!$K$41,0,IF($U231=0,0,IF($U231&lt;1,1/$U231,IF((HZ$56-Voorblad!$F$41)/$U231-SUM($EE231:HY231)=1,1,0))))</f>
        <v>0</v>
      </c>
      <c r="IA231" s="8">
        <f>IF(IA$56-Voorblad!$F$41&gt;Voorblad!$K$41,0,IF($U231=0,0,IF($U231&lt;1,1/$U231,IF((IA$56-Voorblad!$F$41)/$U231-SUM($EE231:HZ231)=1,1,0))))</f>
        <v>0</v>
      </c>
      <c r="IB231" s="8">
        <f>IF(IB$56-Voorblad!$F$41&gt;Voorblad!$K$41,0,IF($U231=0,0,IF($U231&lt;1,1/$U231,IF((IB$56-Voorblad!$F$41)/$U231-SUM($EE231:IA231)=1,1,0))))</f>
        <v>0</v>
      </c>
    </row>
    <row r="232" spans="2:236" outlineLevel="1" x14ac:dyDescent="0.25">
      <c r="B232" s="14">
        <v>1</v>
      </c>
      <c r="C232" s="14"/>
      <c r="F232" s="1" t="s">
        <v>26</v>
      </c>
      <c r="I232" s="1" t="s">
        <v>49</v>
      </c>
      <c r="K232" s="1" t="s">
        <v>265</v>
      </c>
      <c r="O232" s="1" t="s">
        <v>138</v>
      </c>
      <c r="P232" s="1" t="s">
        <v>315</v>
      </c>
      <c r="Q232" s="83">
        <f>2.3*725</f>
        <v>1667.4999999999998</v>
      </c>
      <c r="R232" s="1" t="s">
        <v>102</v>
      </c>
      <c r="S232" s="1">
        <v>-50</v>
      </c>
      <c r="T232" s="21">
        <f t="shared" si="201"/>
        <v>-83374.999999999985</v>
      </c>
      <c r="U232" s="11">
        <v>1</v>
      </c>
      <c r="V232" s="14">
        <f>Voorblad!F24+100</f>
        <v>2101</v>
      </c>
      <c r="W232" s="9">
        <f>Voorblad!$K$77</f>
        <v>2101</v>
      </c>
      <c r="X232" s="6"/>
      <c r="Y232" s="9">
        <f t="shared" ref="Y232" si="205">SUM(AE232:EB232)</f>
        <v>-13746.548647338899</v>
      </c>
      <c r="AE232" s="9">
        <f>IF($W232=AE$56,EF232*($Q232*$S232)/(1+Voorblad!$K$44)^(AE$56-Voorblad!$F$41),0)</f>
        <v>0</v>
      </c>
      <c r="AF232" s="9">
        <f>IF($W232=AF$56,EG232*($Q232*$S232)/(1+Voorblad!$K$44)^(AF$56-Voorblad!$F$41),0)</f>
        <v>0</v>
      </c>
      <c r="AG232" s="9">
        <f>IF($W232=AG$56,EH232*($Q232*$S232)/(1+Voorblad!$K$44)^(AG$56-Voorblad!$F$41),0)</f>
        <v>0</v>
      </c>
      <c r="AH232" s="9">
        <f>IF($W232=AH$56,EI232*($Q232*$S232)/(1+Voorblad!$K$44)^(AH$56-Voorblad!$F$41),0)</f>
        <v>0</v>
      </c>
      <c r="AI232" s="9">
        <f>IF($W232=AI$56,EJ232*($Q232*$S232)/(1+Voorblad!$K$44)^(AI$56-Voorblad!$F$41),0)</f>
        <v>0</v>
      </c>
      <c r="AJ232" s="9">
        <f>IF($W232=AJ$56,EK232*($Q232*$S232)/(1+Voorblad!$K$44)^(AJ$56-Voorblad!$F$41),0)</f>
        <v>0</v>
      </c>
      <c r="AK232" s="9">
        <f>IF($W232=AK$56,EL232*($Q232*$S232)/(1+Voorblad!$K$44)^(AK$56-Voorblad!$F$41),0)</f>
        <v>0</v>
      </c>
      <c r="AL232" s="9">
        <f>IF($W232=AL$56,EM232*($Q232*$S232)/(1+Voorblad!$K$44)^(AL$56-Voorblad!$F$41),0)</f>
        <v>0</v>
      </c>
      <c r="AM232" s="9">
        <f>IF($W232=AM$56,EN232*($Q232*$S232)/(1+Voorblad!$K$44)^(AM$56-Voorblad!$F$41),0)</f>
        <v>0</v>
      </c>
      <c r="AN232" s="9">
        <f>IF($W232=AN$56,EO232*($Q232*$S232)/(1+Voorblad!$K$44)^(AN$56-Voorblad!$F$41),0)</f>
        <v>0</v>
      </c>
      <c r="AO232" s="9">
        <f>IF($W232=AO$56,EP232*($Q232*$S232)/(1+Voorblad!$K$44)^(AO$56-Voorblad!$F$41),0)</f>
        <v>0</v>
      </c>
      <c r="AP232" s="9">
        <f>IF($W232=AP$56,EQ232*($Q232*$S232)/(1+Voorblad!$K$44)^(AP$56-Voorblad!$F$41),0)</f>
        <v>0</v>
      </c>
      <c r="AQ232" s="9">
        <f>IF($W232=AQ$56,ER232*($Q232*$S232)/(1+Voorblad!$K$44)^(AQ$56-Voorblad!$F$41),0)</f>
        <v>0</v>
      </c>
      <c r="AR232" s="9">
        <f>IF($W232=AR$56,ES232*($Q232*$S232)/(1+Voorblad!$K$44)^(AR$56-Voorblad!$F$41),0)</f>
        <v>0</v>
      </c>
      <c r="AS232" s="9">
        <f>IF($W232=AS$56,ET232*($Q232*$S232)/(1+Voorblad!$K$44)^(AS$56-Voorblad!$F$41),0)</f>
        <v>0</v>
      </c>
      <c r="AT232" s="9">
        <f>IF($W232=AT$56,EU232*($Q232*$S232)/(1+Voorblad!$K$44)^(AT$56-Voorblad!$F$41),0)</f>
        <v>0</v>
      </c>
      <c r="AU232" s="9">
        <f>IF($W232=AU$56,EV232*($Q232*$S232)/(1+Voorblad!$K$44)^(AU$56-Voorblad!$F$41),0)</f>
        <v>0</v>
      </c>
      <c r="AV232" s="9">
        <f>IF($W232=AV$56,EW232*($Q232*$S232)/(1+Voorblad!$K$44)^(AV$56-Voorblad!$F$41),0)</f>
        <v>0</v>
      </c>
      <c r="AW232" s="9">
        <f>IF($W232=AW$56,EX232*($Q232*$S232)/(1+Voorblad!$K$44)^(AW$56-Voorblad!$F$41),0)</f>
        <v>0</v>
      </c>
      <c r="AX232" s="9">
        <f>IF($W232=AX$56,EY232*($Q232*$S232)/(1+Voorblad!$K$44)^(AX$56-Voorblad!$F$41),0)</f>
        <v>0</v>
      </c>
      <c r="AY232" s="9">
        <f>IF($W232=AY$56,EZ232*($Q232*$S232)/(1+Voorblad!$K$44)^(AY$56-Voorblad!$F$41),0)</f>
        <v>0</v>
      </c>
      <c r="AZ232" s="9">
        <f>IF($W232=AZ$56,FA232*($Q232*$S232)/(1+Voorblad!$K$44)^(AZ$56-Voorblad!$F$41),0)</f>
        <v>0</v>
      </c>
      <c r="BA232" s="9">
        <f>IF($W232=BA$56,FB232*($Q232*$S232)/(1+Voorblad!$K$44)^(BA$56-Voorblad!$F$41),0)</f>
        <v>0</v>
      </c>
      <c r="BB232" s="9">
        <f>IF($W232=BB$56,FC232*($Q232*$S232)/(1+Voorblad!$K$44)^(BB$56-Voorblad!$F$41),0)</f>
        <v>0</v>
      </c>
      <c r="BC232" s="9">
        <f>IF($W232=BC$56,FD232*($Q232*$S232)/(1+Voorblad!$K$44)^(BC$56-Voorblad!$F$41),0)</f>
        <v>0</v>
      </c>
      <c r="BD232" s="9">
        <f>IF($W232=BD$56,FE232*($Q232*$S232)/(1+Voorblad!$K$44)^(BD$56-Voorblad!$F$41),0)</f>
        <v>0</v>
      </c>
      <c r="BE232" s="9">
        <f>IF($W232=BE$56,FF232*($Q232*$S232)/(1+Voorblad!$K$44)^(BE$56-Voorblad!$F$41),0)</f>
        <v>0</v>
      </c>
      <c r="BF232" s="9">
        <f>IF($W232=BF$56,FG232*($Q232*$S232)/(1+Voorblad!$K$44)^(BF$56-Voorblad!$F$41),0)</f>
        <v>0</v>
      </c>
      <c r="BG232" s="9">
        <f>IF($W232=BG$56,FH232*($Q232*$S232)/(1+Voorblad!$K$44)^(BG$56-Voorblad!$F$41),0)</f>
        <v>0</v>
      </c>
      <c r="BH232" s="9">
        <f>IF($W232=BH$56,FI232*($Q232*$S232)/(1+Voorblad!$K$44)^(BH$56-Voorblad!$F$41),0)</f>
        <v>0</v>
      </c>
      <c r="BI232" s="9">
        <f>IF($W232=BI$56,FJ232*($Q232*$S232)/(1+Voorblad!$K$44)^(BI$56-Voorblad!$F$41),0)</f>
        <v>0</v>
      </c>
      <c r="BJ232" s="9">
        <f>IF($W232=BJ$56,FK232*($Q232*$S232)/(1+Voorblad!$K$44)^(BJ$56-Voorblad!$F$41),0)</f>
        <v>0</v>
      </c>
      <c r="BK232" s="9">
        <f>IF($W232=BK$56,FL232*($Q232*$S232)/(1+Voorblad!$K$44)^(BK$56-Voorblad!$F$41),0)</f>
        <v>0</v>
      </c>
      <c r="BL232" s="9">
        <f>IF($W232=BL$56,FM232*($Q232*$S232)/(1+Voorblad!$K$44)^(BL$56-Voorblad!$F$41),0)</f>
        <v>0</v>
      </c>
      <c r="BM232" s="9">
        <f>IF($W232=BM$56,FN232*($Q232*$S232)/(1+Voorblad!$K$44)^(BM$56-Voorblad!$F$41),0)</f>
        <v>0</v>
      </c>
      <c r="BN232" s="9">
        <f>IF($W232=BN$56,FO232*($Q232*$S232)/(1+Voorblad!$K$44)^(BN$56-Voorblad!$F$41),0)</f>
        <v>0</v>
      </c>
      <c r="BO232" s="9">
        <f>IF($W232=BO$56,FP232*($Q232*$S232)/(1+Voorblad!$K$44)^(BO$56-Voorblad!$F$41),0)</f>
        <v>0</v>
      </c>
      <c r="BP232" s="9">
        <f>IF($W232=BP$56,FQ232*($Q232*$S232)/(1+Voorblad!$K$44)^(BP$56-Voorblad!$F$41),0)</f>
        <v>0</v>
      </c>
      <c r="BQ232" s="9">
        <f>IF($W232=BQ$56,FR232*($Q232*$S232)/(1+Voorblad!$K$44)^(BQ$56-Voorblad!$F$41),0)</f>
        <v>0</v>
      </c>
      <c r="BR232" s="9">
        <f>IF($W232=BR$56,FS232*($Q232*$S232)/(1+Voorblad!$K$44)^(BR$56-Voorblad!$F$41),0)</f>
        <v>0</v>
      </c>
      <c r="BS232" s="9">
        <f>IF($W232=BS$56,FT232*($Q232*$S232)/(1+Voorblad!$K$44)^(BS$56-Voorblad!$F$41),0)</f>
        <v>0</v>
      </c>
      <c r="BT232" s="9">
        <f>IF($W232=BT$56,FU232*($Q232*$S232)/(1+Voorblad!$K$44)^(BT$56-Voorblad!$F$41),0)</f>
        <v>0</v>
      </c>
      <c r="BU232" s="9">
        <f>IF($W232=BU$56,FV232*($Q232*$S232)/(1+Voorblad!$K$44)^(BU$56-Voorblad!$F$41),0)</f>
        <v>0</v>
      </c>
      <c r="BV232" s="9">
        <f>IF($W232=BV$56,FW232*($Q232*$S232)/(1+Voorblad!$K$44)^(BV$56-Voorblad!$F$41),0)</f>
        <v>0</v>
      </c>
      <c r="BW232" s="9">
        <f>IF($W232=BW$56,FX232*($Q232*$S232)/(1+Voorblad!$K$44)^(BW$56-Voorblad!$F$41),0)</f>
        <v>0</v>
      </c>
      <c r="BX232" s="9">
        <f>IF($W232=BX$56,FY232*($Q232*$S232)/(1+Voorblad!$K$44)^(BX$56-Voorblad!$F$41),0)</f>
        <v>0</v>
      </c>
      <c r="BY232" s="9">
        <f>IF($W232=BY$56,FZ232*($Q232*$S232)/(1+Voorblad!$K$44)^(BY$56-Voorblad!$F$41),0)</f>
        <v>0</v>
      </c>
      <c r="BZ232" s="9">
        <f>IF($W232=BZ$56,GA232*($Q232*$S232)/(1+Voorblad!$K$44)^(BZ$56-Voorblad!$F$41),0)</f>
        <v>0</v>
      </c>
      <c r="CA232" s="9">
        <f>IF($W232=CA$56,GB232*($Q232*$S232)/(1+Voorblad!$K$44)^(CA$56-Voorblad!$F$41),0)</f>
        <v>0</v>
      </c>
      <c r="CB232" s="9">
        <f>IF($W232=CB$56,GC232*($Q232*$S232)/(1+Voorblad!$K$44)^(CB$56-Voorblad!$F$41),0)</f>
        <v>0</v>
      </c>
      <c r="CC232" s="9">
        <f>IF($W232=CC$56,GD232*($Q232*$S232)/(1+Voorblad!$K$44)^(CC$56-Voorblad!$F$41),0)</f>
        <v>0</v>
      </c>
      <c r="CD232" s="9">
        <f>IF($W232=CD$56,GE232*($Q232*$S232)/(1+Voorblad!$K$44)^(CD$56-Voorblad!$F$41),0)</f>
        <v>0</v>
      </c>
      <c r="CE232" s="9">
        <f>IF($W232=CE$56,GF232*($Q232*$S232)/(1+Voorblad!$K$44)^(CE$56-Voorblad!$F$41),0)</f>
        <v>0</v>
      </c>
      <c r="CF232" s="9">
        <f>IF($W232=CF$56,GG232*($Q232*$S232)/(1+Voorblad!$K$44)^(CF$56-Voorblad!$F$41),0)</f>
        <v>0</v>
      </c>
      <c r="CG232" s="9">
        <f>IF($W232=CG$56,GH232*($Q232*$S232)/(1+Voorblad!$K$44)^(CG$56-Voorblad!$F$41),0)</f>
        <v>0</v>
      </c>
      <c r="CH232" s="9">
        <f>IF($W232=CH$56,GI232*($Q232*$S232)/(1+Voorblad!$K$44)^(CH$56-Voorblad!$F$41),0)</f>
        <v>0</v>
      </c>
      <c r="CI232" s="9">
        <f>IF($W232=CI$56,GJ232*($Q232*$S232)/(1+Voorblad!$K$44)^(CI$56-Voorblad!$F$41),0)</f>
        <v>0</v>
      </c>
      <c r="CJ232" s="9">
        <f>IF($W232=CJ$56,GK232*($Q232*$S232)/(1+Voorblad!$K$44)^(CJ$56-Voorblad!$F$41),0)</f>
        <v>0</v>
      </c>
      <c r="CK232" s="9">
        <f>IF($W232=CK$56,GL232*($Q232*$S232)/(1+Voorblad!$K$44)^(CK$56-Voorblad!$F$41),0)</f>
        <v>0</v>
      </c>
      <c r="CL232" s="9">
        <f>IF($W232=CL$56,GM232*($Q232*$S232)/(1+Voorblad!$K$44)^(CL$56-Voorblad!$F$41),0)</f>
        <v>0</v>
      </c>
      <c r="CM232" s="9">
        <f>IF($W232=CM$56,GN232*($Q232*$S232)/(1+Voorblad!$K$44)^(CM$56-Voorblad!$F$41),0)</f>
        <v>0</v>
      </c>
      <c r="CN232" s="9">
        <f>IF($W232=CN$56,GO232*($Q232*$S232)/(1+Voorblad!$K$44)^(CN$56-Voorblad!$F$41),0)</f>
        <v>0</v>
      </c>
      <c r="CO232" s="9">
        <f>IF($W232=CO$56,GP232*($Q232*$S232)/(1+Voorblad!$K$44)^(CO$56-Voorblad!$F$41),0)</f>
        <v>0</v>
      </c>
      <c r="CP232" s="9">
        <f>IF($W232=CP$56,GQ232*($Q232*$S232)/(1+Voorblad!$K$44)^(CP$56-Voorblad!$F$41),0)</f>
        <v>0</v>
      </c>
      <c r="CQ232" s="9">
        <f>IF($W232=CQ$56,GR232*($Q232*$S232)/(1+Voorblad!$K$44)^(CQ$56-Voorblad!$F$41),0)</f>
        <v>0</v>
      </c>
      <c r="CR232" s="9">
        <f>IF($W232=CR$56,GS232*($Q232*$S232)/(1+Voorblad!$K$44)^(CR$56-Voorblad!$F$41),0)</f>
        <v>0</v>
      </c>
      <c r="CS232" s="9">
        <f>IF($W232=CS$56,GT232*($Q232*$S232)/(1+Voorblad!$K$44)^(CS$56-Voorblad!$F$41),0)</f>
        <v>0</v>
      </c>
      <c r="CT232" s="9">
        <f>IF($W232=CT$56,GU232*($Q232*$S232)/(1+Voorblad!$K$44)^(CT$56-Voorblad!$F$41),0)</f>
        <v>0</v>
      </c>
      <c r="CU232" s="9">
        <f>IF($W232=CU$56,GV232*($Q232*$S232)/(1+Voorblad!$K$44)^(CU$56-Voorblad!$F$41),0)</f>
        <v>0</v>
      </c>
      <c r="CV232" s="9">
        <f>IF($W232=CV$56,GW232*($Q232*$S232)/(1+Voorblad!$K$44)^(CV$56-Voorblad!$F$41),0)</f>
        <v>0</v>
      </c>
      <c r="CW232" s="9">
        <f>IF($W232=CW$56,GX232*($Q232*$S232)/(1+Voorblad!$K$44)^(CW$56-Voorblad!$F$41),0)</f>
        <v>0</v>
      </c>
      <c r="CX232" s="9">
        <f>IF($W232=CX$56,GY232*($Q232*$S232)/(1+Voorblad!$K$44)^(CX$56-Voorblad!$F$41),0)</f>
        <v>0</v>
      </c>
      <c r="CY232" s="9">
        <f>IF($W232=CY$56,GZ232*($Q232*$S232)/(1+Voorblad!$K$44)^(CY$56-Voorblad!$F$41),0)</f>
        <v>0</v>
      </c>
      <c r="CZ232" s="9">
        <f>IF($W232=CZ$56,HA232*($Q232*$S232)/(1+Voorblad!$K$44)^(CZ$56-Voorblad!$F$41),0)</f>
        <v>-13746.548647338899</v>
      </c>
      <c r="DA232" s="9">
        <f>IF($W232=DA$56,HB232*($Q232*$S232)/(1+Voorblad!$K$44)^(DA$56-Voorblad!$F$41),0)</f>
        <v>0</v>
      </c>
      <c r="DB232" s="9">
        <f>IF($W232=DB$56,HC232*($Q232*$S232)/(1+Voorblad!$K$44)^(DB$56-Voorblad!$F$41),0)</f>
        <v>0</v>
      </c>
      <c r="DC232" s="9">
        <f>IF($W232=DC$56,HD232*($Q232*$S232)/(1+Voorblad!$K$44)^(DC$56-Voorblad!$F$41),0)</f>
        <v>0</v>
      </c>
      <c r="DD232" s="9">
        <f>IF($W232=DD$56,HE232*($Q232*$S232)/(1+Voorblad!$K$44)^(DD$56-Voorblad!$F$41),0)</f>
        <v>0</v>
      </c>
      <c r="DE232" s="9">
        <f>IF($W232=DE$56,HF232*($Q232*$S232)/(1+Voorblad!$K$44)^(DE$56-Voorblad!$F$41),0)</f>
        <v>0</v>
      </c>
      <c r="DF232" s="9">
        <f>IF($W232=DF$56,HG232*($Q232*$S232)/(1+Voorblad!$K$44)^(DF$56-Voorblad!$F$41),0)</f>
        <v>0</v>
      </c>
      <c r="DG232" s="9">
        <f>IF($W232=DG$56,HH232*($Q232*$S232)/(1+Voorblad!$K$44)^(DG$56-Voorblad!$F$41),0)</f>
        <v>0</v>
      </c>
      <c r="DH232" s="9">
        <f>IF($W232=DH$56,HI232*($Q232*$S232)/(1+Voorblad!$K$44)^(DH$56-Voorblad!$F$41),0)</f>
        <v>0</v>
      </c>
      <c r="DI232" s="9">
        <f>IF($W232=DI$56,HJ232*($Q232*$S232)/(1+Voorblad!$K$44)^(DI$56-Voorblad!$F$41),0)</f>
        <v>0</v>
      </c>
      <c r="DJ232" s="9">
        <f>IF($W232=DJ$56,HK232*($Q232*$S232)/(1+Voorblad!$K$44)^(DJ$56-Voorblad!$F$41),0)</f>
        <v>0</v>
      </c>
      <c r="DK232" s="9">
        <f>IF($W232=DK$56,HL232*($Q232*$S232)/(1+Voorblad!$K$44)^(DK$56-Voorblad!$F$41),0)</f>
        <v>0</v>
      </c>
      <c r="DL232" s="9">
        <f>IF($W232=DL$56,HM232*($Q232*$S232)/(1+Voorblad!$K$44)^(DL$56-Voorblad!$F$41),0)</f>
        <v>0</v>
      </c>
      <c r="DM232" s="9">
        <f>IF($W232=DM$56,HN232*($Q232*$S232)/(1+Voorblad!$K$44)^(DM$56-Voorblad!$F$41),0)</f>
        <v>0</v>
      </c>
      <c r="DN232" s="9">
        <f>IF($W232=DN$56,HO232*($Q232*$S232)/(1+Voorblad!$K$44)^(DN$56-Voorblad!$F$41),0)</f>
        <v>0</v>
      </c>
      <c r="DO232" s="9">
        <f>IF($W232=DO$56,HP232*($Q232*$S232)/(1+Voorblad!$K$44)^(DO$56-Voorblad!$F$41),0)</f>
        <v>0</v>
      </c>
      <c r="DP232" s="9">
        <f>IF($W232=DP$56,HQ232*($Q232*$S232)/(1+Voorblad!$K$44)^(DP$56-Voorblad!$F$41),0)</f>
        <v>0</v>
      </c>
      <c r="DQ232" s="9">
        <f>IF($W232=DQ$56,HR232*($Q232*$S232)/(1+Voorblad!$K$44)^(DQ$56-Voorblad!$F$41),0)</f>
        <v>0</v>
      </c>
      <c r="DR232" s="9">
        <f>IF($W232=DR$56,HS232*($Q232*$S232)/(1+Voorblad!$K$44)^(DR$56-Voorblad!$F$41),0)</f>
        <v>0</v>
      </c>
      <c r="DS232" s="9">
        <f>IF($W232=DS$56,HT232*($Q232*$S232)/(1+Voorblad!$K$44)^(DS$56-Voorblad!$F$41),0)</f>
        <v>0</v>
      </c>
      <c r="DT232" s="9">
        <f>IF($W232=DT$56,HU232*($Q232*$S232)/(1+Voorblad!$K$44)^(DT$56-Voorblad!$F$41),0)</f>
        <v>0</v>
      </c>
      <c r="DU232" s="9">
        <f>IF($W232=DU$56,HV232*($Q232*$S232)/(1+Voorblad!$K$44)^(DU$56-Voorblad!$F$41),0)</f>
        <v>0</v>
      </c>
      <c r="DV232" s="9">
        <f>IF($W232=DV$56,HW232*($Q232*$S232)/(1+Voorblad!$K$44)^(DV$56-Voorblad!$F$41),0)</f>
        <v>0</v>
      </c>
      <c r="DW232" s="9">
        <f>IF($W232=DW$56,HX232*($Q232*$S232)/(1+Voorblad!$K$44)^(DW$56-Voorblad!$F$41),0)</f>
        <v>0</v>
      </c>
      <c r="DX232" s="9">
        <f>IF($W232=DX$56,HY232*($Q232*$S232)/(1+Voorblad!$K$44)^(DX$56-Voorblad!$F$41),0)</f>
        <v>0</v>
      </c>
      <c r="DY232" s="9">
        <f>IF($W232=DY$56,HZ232*($Q232*$S232)/(1+Voorblad!$K$44)^(DY$56-Voorblad!$F$41),0)</f>
        <v>0</v>
      </c>
      <c r="DZ232" s="9">
        <f>IF($W232=DZ$56,IA232*($Q232*$S232)/(1+Voorblad!$K$44)^(DZ$56-Voorblad!$F$41),0)</f>
        <v>0</v>
      </c>
      <c r="EA232" s="9">
        <f>IF($W232=EA$56,IB232*($Q232*$S232)/(1+Voorblad!$K$44)^(EA$56-Voorblad!$F$41),0)</f>
        <v>0</v>
      </c>
      <c r="EB232" s="9">
        <f>IF($W232=EB$56,IC232*($Q232*$S232)/(1+Voorblad!$K$44)^(EB$56-Voorblad!$F$41),0)</f>
        <v>0</v>
      </c>
      <c r="EE232" s="8">
        <v>0</v>
      </c>
      <c r="EF232" s="8">
        <f>IF(EF$56-Voorblad!$F$41&gt;Voorblad!$K$41,0,IF($U232=0,0,IF($U232&lt;1,1/$U232,IF((EF$56-Voorblad!$F$41)/$U232-SUM($EE232:EE232)=1,1,0))))</f>
        <v>0</v>
      </c>
      <c r="EG232" s="8">
        <f>IF(EG$56-Voorblad!$F$41&gt;Voorblad!$K$41,0,IF($U232=0,0,IF($U232&lt;1,1/$U232,IF((EG$56-Voorblad!$F$41)/$U232-SUM($EE232:EF232)=1,1,0))))</f>
        <v>1</v>
      </c>
      <c r="EH232" s="8">
        <f>IF(EH$56-Voorblad!$F$41&gt;Voorblad!$K$41,0,IF($U232=0,0,IF($U232&lt;1,1/$U232,IF((EH$56-Voorblad!$F$41)/$U232-SUM($EE232:EG232)=1,1,0))))</f>
        <v>1</v>
      </c>
      <c r="EI232" s="8">
        <f>IF(EI$56-Voorblad!$F$41&gt;Voorblad!$K$41,0,IF($U232=0,0,IF($U232&lt;1,1/$U232,IF((EI$56-Voorblad!$F$41)/$U232-SUM($EE232:EH232)=1,1,0))))</f>
        <v>1</v>
      </c>
      <c r="EJ232" s="8">
        <f>IF(EJ$56-Voorblad!$F$41&gt;Voorblad!$K$41,0,IF($U232=0,0,IF($U232&lt;1,1/$U232,IF((EJ$56-Voorblad!$F$41)/$U232-SUM($EE232:EI232)=1,1,0))))</f>
        <v>1</v>
      </c>
      <c r="EK232" s="8">
        <f>IF(EK$56-Voorblad!$F$41&gt;Voorblad!$K$41,0,IF($U232=0,0,IF($U232&lt;1,1/$U232,IF((EK$56-Voorblad!$F$41)/$U232-SUM($EE232:EJ232)=1,1,0))))</f>
        <v>1</v>
      </c>
      <c r="EL232" s="8">
        <f>IF(EL$56-Voorblad!$F$41&gt;Voorblad!$K$41,0,IF($U232=0,0,IF($U232&lt;1,1/$U232,IF((EL$56-Voorblad!$F$41)/$U232-SUM($EE232:EK232)=1,1,0))))</f>
        <v>1</v>
      </c>
      <c r="EM232" s="8">
        <f>IF(EM$56-Voorblad!$F$41&gt;Voorblad!$K$41,0,IF($U232=0,0,IF($U232&lt;1,1/$U232,IF((EM$56-Voorblad!$F$41)/$U232-SUM($EE232:EL232)=1,1,0))))</f>
        <v>1</v>
      </c>
      <c r="EN232" s="8">
        <f>IF(EN$56-Voorblad!$F$41&gt;Voorblad!$K$41,0,IF($U232=0,0,IF($U232&lt;1,1/$U232,IF((EN$56-Voorblad!$F$41)/$U232-SUM($EE232:EM232)=1,1,0))))</f>
        <v>1</v>
      </c>
      <c r="EO232" s="8">
        <f>IF(EO$56-Voorblad!$F$41&gt;Voorblad!$K$41,0,IF($U232=0,0,IF($U232&lt;1,1/$U232,IF((EO$56-Voorblad!$F$41)/$U232-SUM($EE232:EN232)=1,1,0))))</f>
        <v>1</v>
      </c>
      <c r="EP232" s="8">
        <f>IF(EP$56-Voorblad!$F$41&gt;Voorblad!$K$41,0,IF($U232=0,0,IF($U232&lt;1,1/$U232,IF((EP$56-Voorblad!$F$41)/$U232-SUM($EE232:EO232)=1,1,0))))</f>
        <v>1</v>
      </c>
      <c r="EQ232" s="8">
        <f>IF(EQ$56-Voorblad!$F$41&gt;Voorblad!$K$41,0,IF($U232=0,0,IF($U232&lt;1,1/$U232,IF((EQ$56-Voorblad!$F$41)/$U232-SUM($EE232:EP232)=1,1,0))))</f>
        <v>1</v>
      </c>
      <c r="ER232" s="8">
        <f>IF(ER$56-Voorblad!$F$41&gt;Voorblad!$K$41,0,IF($U232=0,0,IF($U232&lt;1,1/$U232,IF((ER$56-Voorblad!$F$41)/$U232-SUM($EE232:EQ232)=1,1,0))))</f>
        <v>1</v>
      </c>
      <c r="ES232" s="8">
        <f>IF(ES$56-Voorblad!$F$41&gt;Voorblad!$K$41,0,IF($U232=0,0,IF($U232&lt;1,1/$U232,IF((ES$56-Voorblad!$F$41)/$U232-SUM($EE232:ER232)=1,1,0))))</f>
        <v>1</v>
      </c>
      <c r="ET232" s="8">
        <f>IF(ET$56-Voorblad!$F$41&gt;Voorblad!$K$41,0,IF($U232=0,0,IF($U232&lt;1,1/$U232,IF((ET$56-Voorblad!$F$41)/$U232-SUM($EE232:ES232)=1,1,0))))</f>
        <v>1</v>
      </c>
      <c r="EU232" s="8">
        <f>IF(EU$56-Voorblad!$F$41&gt;Voorblad!$K$41,0,IF($U232=0,0,IF($U232&lt;1,1/$U232,IF((EU$56-Voorblad!$F$41)/$U232-SUM($EE232:ET232)=1,1,0))))</f>
        <v>1</v>
      </c>
      <c r="EV232" s="8">
        <f>IF(EV$56-Voorblad!$F$41&gt;Voorblad!$K$41,0,IF($U232=0,0,IF($U232&lt;1,1/$U232,IF((EV$56-Voorblad!$F$41)/$U232-SUM($EE232:EU232)=1,1,0))))</f>
        <v>1</v>
      </c>
      <c r="EW232" s="8">
        <f>IF(EW$56-Voorblad!$F$41&gt;Voorblad!$K$41,0,IF($U232=0,0,IF($U232&lt;1,1/$U232,IF((EW$56-Voorblad!$F$41)/$U232-SUM($EE232:EV232)=1,1,0))))</f>
        <v>1</v>
      </c>
      <c r="EX232" s="8">
        <f>IF(EX$56-Voorblad!$F$41&gt;Voorblad!$K$41,0,IF($U232=0,0,IF($U232&lt;1,1/$U232,IF((EX$56-Voorblad!$F$41)/$U232-SUM($EE232:EW232)=1,1,0))))</f>
        <v>1</v>
      </c>
      <c r="EY232" s="8">
        <f>IF(EY$56-Voorblad!$F$41&gt;Voorblad!$K$41,0,IF($U232=0,0,IF($U232&lt;1,1/$U232,IF((EY$56-Voorblad!$F$41)/$U232-SUM($EE232:EX232)=1,1,0))))</f>
        <v>1</v>
      </c>
      <c r="EZ232" s="8">
        <f>IF(EZ$56-Voorblad!$F$41&gt;Voorblad!$K$41,0,IF($U232=0,0,IF($U232&lt;1,1/$U232,IF((EZ$56-Voorblad!$F$41)/$U232-SUM($EE232:EY232)=1,1,0))))</f>
        <v>1</v>
      </c>
      <c r="FA232" s="8">
        <f>IF(FA$56-Voorblad!$F$41&gt;Voorblad!$K$41,0,IF($U232=0,0,IF($U232&lt;1,1/$U232,IF((FA$56-Voorblad!$F$41)/$U232-SUM($EE232:EZ232)=1,1,0))))</f>
        <v>1</v>
      </c>
      <c r="FB232" s="8">
        <f>IF(FB$56-Voorblad!$F$41&gt;Voorblad!$K$41,0,IF($U232=0,0,IF($U232&lt;1,1/$U232,IF((FB$56-Voorblad!$F$41)/$U232-SUM($EE232:FA232)=1,1,0))))</f>
        <v>1</v>
      </c>
      <c r="FC232" s="8">
        <f>IF(FC$56-Voorblad!$F$41&gt;Voorblad!$K$41,0,IF($U232=0,0,IF($U232&lt;1,1/$U232,IF((FC$56-Voorblad!$F$41)/$U232-SUM($EE232:FB232)=1,1,0))))</f>
        <v>1</v>
      </c>
      <c r="FD232" s="8">
        <f>IF(FD$56-Voorblad!$F$41&gt;Voorblad!$K$41,0,IF($U232=0,0,IF($U232&lt;1,1/$U232,IF((FD$56-Voorblad!$F$41)/$U232-SUM($EE232:FC232)=1,1,0))))</f>
        <v>1</v>
      </c>
      <c r="FE232" s="8">
        <f>IF(FE$56-Voorblad!$F$41&gt;Voorblad!$K$41,0,IF($U232=0,0,IF($U232&lt;1,1/$U232,IF((FE$56-Voorblad!$F$41)/$U232-SUM($EE232:FD232)=1,1,0))))</f>
        <v>1</v>
      </c>
      <c r="FF232" s="8">
        <f>IF(FF$56-Voorblad!$F$41&gt;Voorblad!$K$41,0,IF($U232=0,0,IF($U232&lt;1,1/$U232,IF((FF$56-Voorblad!$F$41)/$U232-SUM($EE232:FE232)=1,1,0))))</f>
        <v>1</v>
      </c>
      <c r="FG232" s="8">
        <f>IF(FG$56-Voorblad!$F$41&gt;Voorblad!$K$41,0,IF($U232=0,0,IF($U232&lt;1,1/$U232,IF((FG$56-Voorblad!$F$41)/$U232-SUM($EE232:FF232)=1,1,0))))</f>
        <v>1</v>
      </c>
      <c r="FH232" s="8">
        <f>IF(FH$56-Voorblad!$F$41&gt;Voorblad!$K$41,0,IF($U232=0,0,IF($U232&lt;1,1/$U232,IF((FH$56-Voorblad!$F$41)/$U232-SUM($EE232:FG232)=1,1,0))))</f>
        <v>1</v>
      </c>
      <c r="FI232" s="8">
        <f>IF(FI$56-Voorblad!$F$41&gt;Voorblad!$K$41,0,IF($U232=0,0,IF($U232&lt;1,1/$U232,IF((FI$56-Voorblad!$F$41)/$U232-SUM($EE232:FH232)=1,1,0))))</f>
        <v>1</v>
      </c>
      <c r="FJ232" s="8">
        <f>IF(FJ$56-Voorblad!$F$41&gt;Voorblad!$K$41,0,IF($U232=0,0,IF($U232&lt;1,1/$U232,IF((FJ$56-Voorblad!$F$41)/$U232-SUM($EE232:FI232)=1,1,0))))</f>
        <v>1</v>
      </c>
      <c r="FK232" s="8">
        <f>IF(FK$56-Voorblad!$F$41&gt;Voorblad!$K$41,0,IF($U232=0,0,IF($U232&lt;1,1/$U232,IF((FK$56-Voorblad!$F$41)/$U232-SUM($EE232:FJ232)=1,1,0))))</f>
        <v>1</v>
      </c>
      <c r="FL232" s="8">
        <f>IF(FL$56-Voorblad!$F$41&gt;Voorblad!$K$41,0,IF($U232=0,0,IF($U232&lt;1,1/$U232,IF((FL$56-Voorblad!$F$41)/$U232-SUM($EE232:FK232)=1,1,0))))</f>
        <v>1</v>
      </c>
      <c r="FM232" s="8">
        <f>IF(FM$56-Voorblad!$F$41&gt;Voorblad!$K$41,0,IF($U232=0,0,IF($U232&lt;1,1/$U232,IF((FM$56-Voorblad!$F$41)/$U232-SUM($EE232:FL232)=1,1,0))))</f>
        <v>1</v>
      </c>
      <c r="FN232" s="8">
        <f>IF(FN$56-Voorblad!$F$41&gt;Voorblad!$K$41,0,IF($U232=0,0,IF($U232&lt;1,1/$U232,IF((FN$56-Voorblad!$F$41)/$U232-SUM($EE232:FM232)=1,1,0))))</f>
        <v>1</v>
      </c>
      <c r="FO232" s="8">
        <f>IF(FO$56-Voorblad!$F$41&gt;Voorblad!$K$41,0,IF($U232=0,0,IF($U232&lt;1,1/$U232,IF((FO$56-Voorblad!$F$41)/$U232-SUM($EE232:FN232)=1,1,0))))</f>
        <v>1</v>
      </c>
      <c r="FP232" s="8">
        <f>IF(FP$56-Voorblad!$F$41&gt;Voorblad!$K$41,0,IF($U232=0,0,IF($U232&lt;1,1/$U232,IF((FP$56-Voorblad!$F$41)/$U232-SUM($EE232:FO232)=1,1,0))))</f>
        <v>1</v>
      </c>
      <c r="FQ232" s="8">
        <f>IF(FQ$56-Voorblad!$F$41&gt;Voorblad!$K$41,0,IF($U232=0,0,IF($U232&lt;1,1/$U232,IF((FQ$56-Voorblad!$F$41)/$U232-SUM($EE232:FP232)=1,1,0))))</f>
        <v>1</v>
      </c>
      <c r="FR232" s="8">
        <f>IF(FR$56-Voorblad!$F$41&gt;Voorblad!$K$41,0,IF($U232=0,0,IF($U232&lt;1,1/$U232,IF((FR$56-Voorblad!$F$41)/$U232-SUM($EE232:FQ232)=1,1,0))))</f>
        <v>1</v>
      </c>
      <c r="FS232" s="8">
        <f>IF(FS$56-Voorblad!$F$41&gt;Voorblad!$K$41,0,IF($U232=0,0,IF($U232&lt;1,1/$U232,IF((FS$56-Voorblad!$F$41)/$U232-SUM($EE232:FR232)=1,1,0))))</f>
        <v>1</v>
      </c>
      <c r="FT232" s="8">
        <f>IF(FT$56-Voorblad!$F$41&gt;Voorblad!$K$41,0,IF($U232=0,0,IF($U232&lt;1,1/$U232,IF((FT$56-Voorblad!$F$41)/$U232-SUM($EE232:FS232)=1,1,0))))</f>
        <v>1</v>
      </c>
      <c r="FU232" s="8">
        <f>IF(FU$56-Voorblad!$F$41&gt;Voorblad!$K$41,0,IF($U232=0,0,IF($U232&lt;1,1/$U232,IF((FU$56-Voorblad!$F$41)/$U232-SUM($EE232:FT232)=1,1,0))))</f>
        <v>1</v>
      </c>
      <c r="FV232" s="8">
        <f>IF(FV$56-Voorblad!$F$41&gt;Voorblad!$K$41,0,IF($U232=0,0,IF($U232&lt;1,1/$U232,IF((FV$56-Voorblad!$F$41)/$U232-SUM($EE232:FU232)=1,1,0))))</f>
        <v>1</v>
      </c>
      <c r="FW232" s="8">
        <f>IF(FW$56-Voorblad!$F$41&gt;Voorblad!$K$41,0,IF($U232=0,0,IF($U232&lt;1,1/$U232,IF((FW$56-Voorblad!$F$41)/$U232-SUM($EE232:FV232)=1,1,0))))</f>
        <v>1</v>
      </c>
      <c r="FX232" s="8">
        <f>IF(FX$56-Voorblad!$F$41&gt;Voorblad!$K$41,0,IF($U232=0,0,IF($U232&lt;1,1/$U232,IF((FX$56-Voorblad!$F$41)/$U232-SUM($EE232:FW232)=1,1,0))))</f>
        <v>1</v>
      </c>
      <c r="FY232" s="8">
        <f>IF(FY$56-Voorblad!$F$41&gt;Voorblad!$K$41,0,IF($U232=0,0,IF($U232&lt;1,1/$U232,IF((FY$56-Voorblad!$F$41)/$U232-SUM($EE232:FX232)=1,1,0))))</f>
        <v>1</v>
      </c>
      <c r="FZ232" s="8">
        <f>IF(FZ$56-Voorblad!$F$41&gt;Voorblad!$K$41,0,IF($U232=0,0,IF($U232&lt;1,1/$U232,IF((FZ$56-Voorblad!$F$41)/$U232-SUM($EE232:FY232)=1,1,0))))</f>
        <v>1</v>
      </c>
      <c r="GA232" s="8">
        <f>IF(GA$56-Voorblad!$F$41&gt;Voorblad!$K$41,0,IF($U232=0,0,IF($U232&lt;1,1/$U232,IF((GA$56-Voorblad!$F$41)/$U232-SUM($EE232:FZ232)=1,1,0))))</f>
        <v>1</v>
      </c>
      <c r="GB232" s="8">
        <f>IF(GB$56-Voorblad!$F$41&gt;Voorblad!$K$41,0,IF($U232=0,0,IF($U232&lt;1,1/$U232,IF((GB$56-Voorblad!$F$41)/$U232-SUM($EE232:GA232)=1,1,0))))</f>
        <v>1</v>
      </c>
      <c r="GC232" s="8">
        <f>IF(GC$56-Voorblad!$F$41&gt;Voorblad!$K$41,0,IF($U232=0,0,IF($U232&lt;1,1/$U232,IF((GC$56-Voorblad!$F$41)/$U232-SUM($EE232:GB232)=1,1,0))))</f>
        <v>1</v>
      </c>
      <c r="GD232" s="8">
        <f>IF(GD$56-Voorblad!$F$41&gt;Voorblad!$K$41,0,IF($U232=0,0,IF($U232&lt;1,1/$U232,IF((GD$56-Voorblad!$F$41)/$U232-SUM($EE232:GC232)=1,1,0))))</f>
        <v>1</v>
      </c>
      <c r="GE232" s="8">
        <f>IF(GE$56-Voorblad!$F$41&gt;Voorblad!$K$41,0,IF($U232=0,0,IF($U232&lt;1,1/$U232,IF((GE$56-Voorblad!$F$41)/$U232-SUM($EE232:GD232)=1,1,0))))</f>
        <v>1</v>
      </c>
      <c r="GF232" s="8">
        <f>IF(GF$56-Voorblad!$F$41&gt;Voorblad!$K$41,0,IF($U232=0,0,IF($U232&lt;1,1/$U232,IF((GF$56-Voorblad!$F$41)/$U232-SUM($EE232:GE232)=1,1,0))))</f>
        <v>1</v>
      </c>
      <c r="GG232" s="8">
        <f>IF(GG$56-Voorblad!$F$41&gt;Voorblad!$K$41,0,IF($U232=0,0,IF($U232&lt;1,1/$U232,IF((GG$56-Voorblad!$F$41)/$U232-SUM($EE232:GF232)=1,1,0))))</f>
        <v>1</v>
      </c>
      <c r="GH232" s="8">
        <f>IF(GH$56-Voorblad!$F$41&gt;Voorblad!$K$41,0,IF($U232=0,0,IF($U232&lt;1,1/$U232,IF((GH$56-Voorblad!$F$41)/$U232-SUM($EE232:GG232)=1,1,0))))</f>
        <v>1</v>
      </c>
      <c r="GI232" s="8">
        <f>IF(GI$56-Voorblad!$F$41&gt;Voorblad!$K$41,0,IF($U232=0,0,IF($U232&lt;1,1/$U232,IF((GI$56-Voorblad!$F$41)/$U232-SUM($EE232:GH232)=1,1,0))))</f>
        <v>1</v>
      </c>
      <c r="GJ232" s="8">
        <f>IF(GJ$56-Voorblad!$F$41&gt;Voorblad!$K$41,0,IF($U232=0,0,IF($U232&lt;1,1/$U232,IF((GJ$56-Voorblad!$F$41)/$U232-SUM($EE232:GI232)=1,1,0))))</f>
        <v>1</v>
      </c>
      <c r="GK232" s="8">
        <f>IF(GK$56-Voorblad!$F$41&gt;Voorblad!$K$41,0,IF($U232=0,0,IF($U232&lt;1,1/$U232,IF((GK$56-Voorblad!$F$41)/$U232-SUM($EE232:GJ232)=1,1,0))))</f>
        <v>1</v>
      </c>
      <c r="GL232" s="8">
        <f>IF(GL$56-Voorblad!$F$41&gt;Voorblad!$K$41,0,IF($U232=0,0,IF($U232&lt;1,1/$U232,IF((GL$56-Voorblad!$F$41)/$U232-SUM($EE232:GK232)=1,1,0))))</f>
        <v>1</v>
      </c>
      <c r="GM232" s="8">
        <f>IF(GM$56-Voorblad!$F$41&gt;Voorblad!$K$41,0,IF($U232=0,0,IF($U232&lt;1,1/$U232,IF((GM$56-Voorblad!$F$41)/$U232-SUM($EE232:GL232)=1,1,0))))</f>
        <v>1</v>
      </c>
      <c r="GN232" s="8">
        <f>IF(GN$56-Voorblad!$F$41&gt;Voorblad!$K$41,0,IF($U232=0,0,IF($U232&lt;1,1/$U232,IF((GN$56-Voorblad!$F$41)/$U232-SUM($EE232:GM232)=1,1,0))))</f>
        <v>1</v>
      </c>
      <c r="GO232" s="8">
        <f>IF(GO$56-Voorblad!$F$41&gt;Voorblad!$K$41,0,IF($U232=0,0,IF($U232&lt;1,1/$U232,IF((GO$56-Voorblad!$F$41)/$U232-SUM($EE232:GN232)=1,1,0))))</f>
        <v>1</v>
      </c>
      <c r="GP232" s="8">
        <f>IF(GP$56-Voorblad!$F$41&gt;Voorblad!$K$41,0,IF($U232=0,0,IF($U232&lt;1,1/$U232,IF((GP$56-Voorblad!$F$41)/$U232-SUM($EE232:GO232)=1,1,0))))</f>
        <v>1</v>
      </c>
      <c r="GQ232" s="8">
        <f>IF(GQ$56-Voorblad!$F$41&gt;Voorblad!$K$41,0,IF($U232=0,0,IF($U232&lt;1,1/$U232,IF((GQ$56-Voorblad!$F$41)/$U232-SUM($EE232:GP232)=1,1,0))))</f>
        <v>1</v>
      </c>
      <c r="GR232" s="8">
        <f>IF(GR$56-Voorblad!$F$41&gt;Voorblad!$K$41,0,IF($U232=0,0,IF($U232&lt;1,1/$U232,IF((GR$56-Voorblad!$F$41)/$U232-SUM($EE232:GQ232)=1,1,0))))</f>
        <v>1</v>
      </c>
      <c r="GS232" s="8">
        <f>IF(GS$56-Voorblad!$F$41&gt;Voorblad!$K$41,0,IF($U232=0,0,IF($U232&lt;1,1/$U232,IF((GS$56-Voorblad!$F$41)/$U232-SUM($EE232:GR232)=1,1,0))))</f>
        <v>1</v>
      </c>
      <c r="GT232" s="8">
        <f>IF(GT$56-Voorblad!$F$41&gt;Voorblad!$K$41,0,IF($U232=0,0,IF($U232&lt;1,1/$U232,IF((GT$56-Voorblad!$F$41)/$U232-SUM($EE232:GS232)=1,1,0))))</f>
        <v>1</v>
      </c>
      <c r="GU232" s="8">
        <f>IF(GU$56-Voorblad!$F$41&gt;Voorblad!$K$41,0,IF($U232=0,0,IF($U232&lt;1,1/$U232,IF((GU$56-Voorblad!$F$41)/$U232-SUM($EE232:GT232)=1,1,0))))</f>
        <v>1</v>
      </c>
      <c r="GV232" s="8">
        <f>IF(GV$56-Voorblad!$F$41&gt;Voorblad!$K$41,0,IF($U232=0,0,IF($U232&lt;1,1/$U232,IF((GV$56-Voorblad!$F$41)/$U232-SUM($EE232:GU232)=1,1,0))))</f>
        <v>1</v>
      </c>
      <c r="GW232" s="8">
        <f>IF(GW$56-Voorblad!$F$41&gt;Voorblad!$K$41,0,IF($U232=0,0,IF($U232&lt;1,1/$U232,IF((GW$56-Voorblad!$F$41)/$U232-SUM($EE232:GV232)=1,1,0))))</f>
        <v>1</v>
      </c>
      <c r="GX232" s="8">
        <f>IF(GX$56-Voorblad!$F$41&gt;Voorblad!$K$41,0,IF($U232=0,0,IF($U232&lt;1,1/$U232,IF((GX$56-Voorblad!$F$41)/$U232-SUM($EE232:GW232)=1,1,0))))</f>
        <v>1</v>
      </c>
      <c r="GY232" s="8">
        <f>IF(GY$56-Voorblad!$F$41&gt;Voorblad!$K$41,0,IF($U232=0,0,IF($U232&lt;1,1/$U232,IF((GY$56-Voorblad!$F$41)/$U232-SUM($EE232:GX232)=1,1,0))))</f>
        <v>1</v>
      </c>
      <c r="GZ232" s="8">
        <f>IF(GZ$56-Voorblad!$F$41&gt;Voorblad!$K$41,0,IF($U232=0,0,IF($U232&lt;1,1/$U232,IF((GZ$56-Voorblad!$F$41)/$U232-SUM($EE232:GY232)=1,1,0))))</f>
        <v>1</v>
      </c>
      <c r="HA232" s="8">
        <f>IF(HA$56-Voorblad!$F$41&gt;Voorblad!$K$41,0,IF($U232=0,0,IF($U232&lt;1,1/$U232,IF((HA$56-Voorblad!$F$41)/$U232-SUM($EE232:GZ232)=1,1,0))))</f>
        <v>1</v>
      </c>
      <c r="HB232" s="8">
        <f>IF(HB$56-Voorblad!$F$41&gt;Voorblad!$K$41,0,IF($U232=0,0,IF($U232&lt;1,1/$U232,IF((HB$56-Voorblad!$F$41)/$U232-SUM($EE232:HA232)=1,1,0))))</f>
        <v>0</v>
      </c>
      <c r="HC232" s="8">
        <f>IF(HC$56-Voorblad!$F$41&gt;Voorblad!$K$41,0,IF($U232=0,0,IF($U232&lt;1,1/$U232,IF((HC$56-Voorblad!$F$41)/$U232-SUM($EE232:HB232)=1,1,0))))</f>
        <v>0</v>
      </c>
      <c r="HD232" s="8">
        <f>IF(HD$56-Voorblad!$F$41&gt;Voorblad!$K$41,0,IF($U232=0,0,IF($U232&lt;1,1/$U232,IF((HD$56-Voorblad!$F$41)/$U232-SUM($EE232:HC232)=1,1,0))))</f>
        <v>0</v>
      </c>
      <c r="HE232" s="8">
        <f>IF(HE$56-Voorblad!$F$41&gt;Voorblad!$K$41,0,IF($U232=0,0,IF($U232&lt;1,1/$U232,IF((HE$56-Voorblad!$F$41)/$U232-SUM($EE232:HD232)=1,1,0))))</f>
        <v>0</v>
      </c>
      <c r="HF232" s="8">
        <f>IF(HF$56-Voorblad!$F$41&gt;Voorblad!$K$41,0,IF($U232=0,0,IF($U232&lt;1,1/$U232,IF((HF$56-Voorblad!$F$41)/$U232-SUM($EE232:HE232)=1,1,0))))</f>
        <v>0</v>
      </c>
      <c r="HG232" s="8">
        <f>IF(HG$56-Voorblad!$F$41&gt;Voorblad!$K$41,0,IF($U232=0,0,IF($U232&lt;1,1/$U232,IF((HG$56-Voorblad!$F$41)/$U232-SUM($EE232:HF232)=1,1,0))))</f>
        <v>0</v>
      </c>
      <c r="HH232" s="8">
        <f>IF(HH$56-Voorblad!$F$41&gt;Voorblad!$K$41,0,IF($U232=0,0,IF($U232&lt;1,1/$U232,IF((HH$56-Voorblad!$F$41)/$U232-SUM($EE232:HG232)=1,1,0))))</f>
        <v>0</v>
      </c>
      <c r="HI232" s="8">
        <f>IF(HI$56-Voorblad!$F$41&gt;Voorblad!$K$41,0,IF($U232=0,0,IF($U232&lt;1,1/$U232,IF((HI$56-Voorblad!$F$41)/$U232-SUM($EE232:HH232)=1,1,0))))</f>
        <v>0</v>
      </c>
      <c r="HJ232" s="8">
        <f>IF(HJ$56-Voorblad!$F$41&gt;Voorblad!$K$41,0,IF($U232=0,0,IF($U232&lt;1,1/$U232,IF((HJ$56-Voorblad!$F$41)/$U232-SUM($EE232:HI232)=1,1,0))))</f>
        <v>0</v>
      </c>
      <c r="HK232" s="8">
        <f>IF(HK$56-Voorblad!$F$41&gt;Voorblad!$K$41,0,IF($U232=0,0,IF($U232&lt;1,1/$U232,IF((HK$56-Voorblad!$F$41)/$U232-SUM($EE232:HJ232)=1,1,0))))</f>
        <v>0</v>
      </c>
      <c r="HL232" s="8">
        <f>IF(HL$56-Voorblad!$F$41&gt;Voorblad!$K$41,0,IF($U232=0,0,IF($U232&lt;1,1/$U232,IF((HL$56-Voorblad!$F$41)/$U232-SUM($EE232:HK232)=1,1,0))))</f>
        <v>0</v>
      </c>
      <c r="HM232" s="8">
        <f>IF(HM$56-Voorblad!$F$41&gt;Voorblad!$K$41,0,IF($U232=0,0,IF($U232&lt;1,1/$U232,IF((HM$56-Voorblad!$F$41)/$U232-SUM($EE232:HL232)=1,1,0))))</f>
        <v>0</v>
      </c>
      <c r="HN232" s="8">
        <f>IF(HN$56-Voorblad!$F$41&gt;Voorblad!$K$41,0,IF($U232=0,0,IF($U232&lt;1,1/$U232,IF((HN$56-Voorblad!$F$41)/$U232-SUM($EE232:HM232)=1,1,0))))</f>
        <v>0</v>
      </c>
      <c r="HO232" s="8">
        <f>IF(HO$56-Voorblad!$F$41&gt;Voorblad!$K$41,0,IF($U232=0,0,IF($U232&lt;1,1/$U232,IF((HO$56-Voorblad!$F$41)/$U232-SUM($EE232:HN232)=1,1,0))))</f>
        <v>0</v>
      </c>
      <c r="HP232" s="8">
        <f>IF(HP$56-Voorblad!$F$41&gt;Voorblad!$K$41,0,IF($U232=0,0,IF($U232&lt;1,1/$U232,IF((HP$56-Voorblad!$F$41)/$U232-SUM($EE232:HO232)=1,1,0))))</f>
        <v>0</v>
      </c>
      <c r="HQ232" s="8">
        <f>IF(HQ$56-Voorblad!$F$41&gt;Voorblad!$K$41,0,IF($U232=0,0,IF($U232&lt;1,1/$U232,IF((HQ$56-Voorblad!$F$41)/$U232-SUM($EE232:HP232)=1,1,0))))</f>
        <v>0</v>
      </c>
      <c r="HR232" s="8">
        <f>IF(HR$56-Voorblad!$F$41&gt;Voorblad!$K$41,0,IF($U232=0,0,IF($U232&lt;1,1/$U232,IF((HR$56-Voorblad!$F$41)/$U232-SUM($EE232:HQ232)=1,1,0))))</f>
        <v>0</v>
      </c>
      <c r="HS232" s="8">
        <f>IF(HS$56-Voorblad!$F$41&gt;Voorblad!$K$41,0,IF($U232=0,0,IF($U232&lt;1,1/$U232,IF((HS$56-Voorblad!$F$41)/$U232-SUM($EE232:HR232)=1,1,0))))</f>
        <v>0</v>
      </c>
      <c r="HT232" s="8">
        <f>IF(HT$56-Voorblad!$F$41&gt;Voorblad!$K$41,0,IF($U232=0,0,IF($U232&lt;1,1/$U232,IF((HT$56-Voorblad!$F$41)/$U232-SUM($EE232:HS232)=1,1,0))))</f>
        <v>0</v>
      </c>
      <c r="HU232" s="8">
        <f>IF(HU$56-Voorblad!$F$41&gt;Voorblad!$K$41,0,IF($U232=0,0,IF($U232&lt;1,1/$U232,IF((HU$56-Voorblad!$F$41)/$U232-SUM($EE232:HT232)=1,1,0))))</f>
        <v>0</v>
      </c>
      <c r="HV232" s="8">
        <f>IF(HV$56-Voorblad!$F$41&gt;Voorblad!$K$41,0,IF($U232=0,0,IF($U232&lt;1,1/$U232,IF((HV$56-Voorblad!$F$41)/$U232-SUM($EE232:HU232)=1,1,0))))</f>
        <v>0</v>
      </c>
      <c r="HW232" s="8">
        <f>IF(HW$56-Voorblad!$F$41&gt;Voorblad!$K$41,0,IF($U232=0,0,IF($U232&lt;1,1/$U232,IF((HW$56-Voorblad!$F$41)/$U232-SUM($EE232:HV232)=1,1,0))))</f>
        <v>0</v>
      </c>
      <c r="HX232" s="8">
        <f>IF(HX$56-Voorblad!$F$41&gt;Voorblad!$K$41,0,IF($U232=0,0,IF($U232&lt;1,1/$U232,IF((HX$56-Voorblad!$F$41)/$U232-SUM($EE232:HW232)=1,1,0))))</f>
        <v>0</v>
      </c>
      <c r="HY232" s="8">
        <f>IF(HY$56-Voorblad!$F$41&gt;Voorblad!$K$41,0,IF($U232=0,0,IF($U232&lt;1,1/$U232,IF((HY$56-Voorblad!$F$41)/$U232-SUM($EE232:HX232)=1,1,0))))</f>
        <v>0</v>
      </c>
      <c r="HZ232" s="8">
        <f>IF(HZ$56-Voorblad!$F$41&gt;Voorblad!$K$41,0,IF($U232=0,0,IF($U232&lt;1,1/$U232,IF((HZ$56-Voorblad!$F$41)/$U232-SUM($EE232:HY232)=1,1,0))))</f>
        <v>0</v>
      </c>
      <c r="IA232" s="8">
        <f>IF(IA$56-Voorblad!$F$41&gt;Voorblad!$K$41,0,IF($U232=0,0,IF($U232&lt;1,1/$U232,IF((IA$56-Voorblad!$F$41)/$U232-SUM($EE232:HZ232)=1,1,0))))</f>
        <v>0</v>
      </c>
      <c r="IB232" s="8">
        <f>IF(IB$56-Voorblad!$F$41&gt;Voorblad!$K$41,0,IF($U232=0,0,IF($U232&lt;1,1/$U232,IF((IB$56-Voorblad!$F$41)/$U232-SUM($EE232:IA232)=1,1,0))))</f>
        <v>0</v>
      </c>
    </row>
    <row r="233" spans="2:236" outlineLevel="1" x14ac:dyDescent="0.25">
      <c r="B233" s="14">
        <v>1</v>
      </c>
      <c r="C233" s="14"/>
      <c r="F233" s="1" t="s">
        <v>26</v>
      </c>
      <c r="I233" s="1" t="s">
        <v>49</v>
      </c>
      <c r="K233" s="1" t="s">
        <v>266</v>
      </c>
      <c r="O233" s="1" t="s">
        <v>137</v>
      </c>
      <c r="Q233" s="83">
        <v>0</v>
      </c>
      <c r="R233" s="1" t="s">
        <v>102</v>
      </c>
      <c r="S233" s="1">
        <v>-200</v>
      </c>
      <c r="T233" s="21">
        <f t="shared" si="201"/>
        <v>0</v>
      </c>
      <c r="U233" s="11">
        <v>1</v>
      </c>
      <c r="V233" s="14">
        <f>Voorblad!F24+100</f>
        <v>2101</v>
      </c>
      <c r="W233" s="9">
        <f>Voorblad!$K$77</f>
        <v>2101</v>
      </c>
      <c r="X233" s="6"/>
      <c r="Y233" s="9">
        <f t="shared" ref="Y233" si="206">SUM(AE233:EB233)</f>
        <v>0</v>
      </c>
      <c r="AE233" s="9">
        <f>IF($W233=AE$56,EF233*($Q233*$S233)/(1+Voorblad!$K$44)^(AE$56-Voorblad!$F$41),0)</f>
        <v>0</v>
      </c>
      <c r="AF233" s="9">
        <f>IF($W233=AF$56,EG233*($Q233*$S233)/(1+Voorblad!$K$44)^(AF$56-Voorblad!$F$41),0)</f>
        <v>0</v>
      </c>
      <c r="AG233" s="9">
        <f>IF($W233=AG$56,EH233*($Q233*$S233)/(1+Voorblad!$K$44)^(AG$56-Voorblad!$F$41),0)</f>
        <v>0</v>
      </c>
      <c r="AH233" s="9">
        <f>IF($W233=AH$56,EI233*($Q233*$S233)/(1+Voorblad!$K$44)^(AH$56-Voorblad!$F$41),0)</f>
        <v>0</v>
      </c>
      <c r="AI233" s="9">
        <f>IF($W233=AI$56,EJ233*($Q233*$S233)/(1+Voorblad!$K$44)^(AI$56-Voorblad!$F$41),0)</f>
        <v>0</v>
      </c>
      <c r="AJ233" s="9">
        <f>IF($W233=AJ$56,EK233*($Q233*$S233)/(1+Voorblad!$K$44)^(AJ$56-Voorblad!$F$41),0)</f>
        <v>0</v>
      </c>
      <c r="AK233" s="9">
        <f>IF($W233=AK$56,EL233*($Q233*$S233)/(1+Voorblad!$K$44)^(AK$56-Voorblad!$F$41),0)</f>
        <v>0</v>
      </c>
      <c r="AL233" s="9">
        <f>IF($W233=AL$56,EM233*($Q233*$S233)/(1+Voorblad!$K$44)^(AL$56-Voorblad!$F$41),0)</f>
        <v>0</v>
      </c>
      <c r="AM233" s="9">
        <f>IF($W233=AM$56,EN233*($Q233*$S233)/(1+Voorblad!$K$44)^(AM$56-Voorblad!$F$41),0)</f>
        <v>0</v>
      </c>
      <c r="AN233" s="9">
        <f>IF($W233=AN$56,EO233*($Q233*$S233)/(1+Voorblad!$K$44)^(AN$56-Voorblad!$F$41),0)</f>
        <v>0</v>
      </c>
      <c r="AO233" s="9">
        <f>IF($W233=AO$56,EP233*($Q233*$S233)/(1+Voorblad!$K$44)^(AO$56-Voorblad!$F$41),0)</f>
        <v>0</v>
      </c>
      <c r="AP233" s="9">
        <f>IF($W233=AP$56,EQ233*($Q233*$S233)/(1+Voorblad!$K$44)^(AP$56-Voorblad!$F$41),0)</f>
        <v>0</v>
      </c>
      <c r="AQ233" s="9">
        <f>IF($W233=AQ$56,ER233*($Q233*$S233)/(1+Voorblad!$K$44)^(AQ$56-Voorblad!$F$41),0)</f>
        <v>0</v>
      </c>
      <c r="AR233" s="9">
        <f>IF($W233=AR$56,ES233*($Q233*$S233)/(1+Voorblad!$K$44)^(AR$56-Voorblad!$F$41),0)</f>
        <v>0</v>
      </c>
      <c r="AS233" s="9">
        <f>IF($W233=AS$56,ET233*($Q233*$S233)/(1+Voorblad!$K$44)^(AS$56-Voorblad!$F$41),0)</f>
        <v>0</v>
      </c>
      <c r="AT233" s="9">
        <f>IF($W233=AT$56,EU233*($Q233*$S233)/(1+Voorblad!$K$44)^(AT$56-Voorblad!$F$41),0)</f>
        <v>0</v>
      </c>
      <c r="AU233" s="9">
        <f>IF($W233=AU$56,EV233*($Q233*$S233)/(1+Voorblad!$K$44)^(AU$56-Voorblad!$F$41),0)</f>
        <v>0</v>
      </c>
      <c r="AV233" s="9">
        <f>IF($W233=AV$56,EW233*($Q233*$S233)/(1+Voorblad!$K$44)^(AV$56-Voorblad!$F$41),0)</f>
        <v>0</v>
      </c>
      <c r="AW233" s="9">
        <f>IF($W233=AW$56,EX233*($Q233*$S233)/(1+Voorblad!$K$44)^(AW$56-Voorblad!$F$41),0)</f>
        <v>0</v>
      </c>
      <c r="AX233" s="9">
        <f>IF($W233=AX$56,EY233*($Q233*$S233)/(1+Voorblad!$K$44)^(AX$56-Voorblad!$F$41),0)</f>
        <v>0</v>
      </c>
      <c r="AY233" s="9">
        <f>IF($W233=AY$56,EZ233*($Q233*$S233)/(1+Voorblad!$K$44)^(AY$56-Voorblad!$F$41),0)</f>
        <v>0</v>
      </c>
      <c r="AZ233" s="9">
        <f>IF($W233=AZ$56,FA233*($Q233*$S233)/(1+Voorblad!$K$44)^(AZ$56-Voorblad!$F$41),0)</f>
        <v>0</v>
      </c>
      <c r="BA233" s="9">
        <f>IF($W233=BA$56,FB233*($Q233*$S233)/(1+Voorblad!$K$44)^(BA$56-Voorblad!$F$41),0)</f>
        <v>0</v>
      </c>
      <c r="BB233" s="9">
        <f>IF($W233=BB$56,FC233*($Q233*$S233)/(1+Voorblad!$K$44)^(BB$56-Voorblad!$F$41),0)</f>
        <v>0</v>
      </c>
      <c r="BC233" s="9">
        <f>IF($W233=BC$56,FD233*($Q233*$S233)/(1+Voorblad!$K$44)^(BC$56-Voorblad!$F$41),0)</f>
        <v>0</v>
      </c>
      <c r="BD233" s="9">
        <f>IF($W233=BD$56,FE233*($Q233*$S233)/(1+Voorblad!$K$44)^(BD$56-Voorblad!$F$41),0)</f>
        <v>0</v>
      </c>
      <c r="BE233" s="9">
        <f>IF($W233=BE$56,FF233*($Q233*$S233)/(1+Voorblad!$K$44)^(BE$56-Voorblad!$F$41),0)</f>
        <v>0</v>
      </c>
      <c r="BF233" s="9">
        <f>IF($W233=BF$56,FG233*($Q233*$S233)/(1+Voorblad!$K$44)^(BF$56-Voorblad!$F$41),0)</f>
        <v>0</v>
      </c>
      <c r="BG233" s="9">
        <f>IF($W233=BG$56,FH233*($Q233*$S233)/(1+Voorblad!$K$44)^(BG$56-Voorblad!$F$41),0)</f>
        <v>0</v>
      </c>
      <c r="BH233" s="9">
        <f>IF($W233=BH$56,FI233*($Q233*$S233)/(1+Voorblad!$K$44)^(BH$56-Voorblad!$F$41),0)</f>
        <v>0</v>
      </c>
      <c r="BI233" s="9">
        <f>IF($W233=BI$56,FJ233*($Q233*$S233)/(1+Voorblad!$K$44)^(BI$56-Voorblad!$F$41),0)</f>
        <v>0</v>
      </c>
      <c r="BJ233" s="9">
        <f>IF($W233=BJ$56,FK233*($Q233*$S233)/(1+Voorblad!$K$44)^(BJ$56-Voorblad!$F$41),0)</f>
        <v>0</v>
      </c>
      <c r="BK233" s="9">
        <f>IF($W233=BK$56,FL233*($Q233*$S233)/(1+Voorblad!$K$44)^(BK$56-Voorblad!$F$41),0)</f>
        <v>0</v>
      </c>
      <c r="BL233" s="9">
        <f>IF($W233=BL$56,FM233*($Q233*$S233)/(1+Voorblad!$K$44)^(BL$56-Voorblad!$F$41),0)</f>
        <v>0</v>
      </c>
      <c r="BM233" s="9">
        <f>IF($W233=BM$56,FN233*($Q233*$S233)/(1+Voorblad!$K$44)^(BM$56-Voorblad!$F$41),0)</f>
        <v>0</v>
      </c>
      <c r="BN233" s="9">
        <f>IF($W233=BN$56,FO233*($Q233*$S233)/(1+Voorblad!$K$44)^(BN$56-Voorblad!$F$41),0)</f>
        <v>0</v>
      </c>
      <c r="BO233" s="9">
        <f>IF($W233=BO$56,FP233*($Q233*$S233)/(1+Voorblad!$K$44)^(BO$56-Voorblad!$F$41),0)</f>
        <v>0</v>
      </c>
      <c r="BP233" s="9">
        <f>IF($W233=BP$56,FQ233*($Q233*$S233)/(1+Voorblad!$K$44)^(BP$56-Voorblad!$F$41),0)</f>
        <v>0</v>
      </c>
      <c r="BQ233" s="9">
        <f>IF($W233=BQ$56,FR233*($Q233*$S233)/(1+Voorblad!$K$44)^(BQ$56-Voorblad!$F$41),0)</f>
        <v>0</v>
      </c>
      <c r="BR233" s="9">
        <f>IF($W233=BR$56,FS233*($Q233*$S233)/(1+Voorblad!$K$44)^(BR$56-Voorblad!$F$41),0)</f>
        <v>0</v>
      </c>
      <c r="BS233" s="9">
        <f>IF($W233=BS$56,FT233*($Q233*$S233)/(1+Voorblad!$K$44)^(BS$56-Voorblad!$F$41),0)</f>
        <v>0</v>
      </c>
      <c r="BT233" s="9">
        <f>IF($W233=BT$56,FU233*($Q233*$S233)/(1+Voorblad!$K$44)^(BT$56-Voorblad!$F$41),0)</f>
        <v>0</v>
      </c>
      <c r="BU233" s="9">
        <f>IF($W233=BU$56,FV233*($Q233*$S233)/(1+Voorblad!$K$44)^(BU$56-Voorblad!$F$41),0)</f>
        <v>0</v>
      </c>
      <c r="BV233" s="9">
        <f>IF($W233=BV$56,FW233*($Q233*$S233)/(1+Voorblad!$K$44)^(BV$56-Voorblad!$F$41),0)</f>
        <v>0</v>
      </c>
      <c r="BW233" s="9">
        <f>IF($W233=BW$56,FX233*($Q233*$S233)/(1+Voorblad!$K$44)^(BW$56-Voorblad!$F$41),0)</f>
        <v>0</v>
      </c>
      <c r="BX233" s="9">
        <f>IF($W233=BX$56,FY233*($Q233*$S233)/(1+Voorblad!$K$44)^(BX$56-Voorblad!$F$41),0)</f>
        <v>0</v>
      </c>
      <c r="BY233" s="9">
        <f>IF($W233=BY$56,FZ233*($Q233*$S233)/(1+Voorblad!$K$44)^(BY$56-Voorblad!$F$41),0)</f>
        <v>0</v>
      </c>
      <c r="BZ233" s="9">
        <f>IF($W233=BZ$56,GA233*($Q233*$S233)/(1+Voorblad!$K$44)^(BZ$56-Voorblad!$F$41),0)</f>
        <v>0</v>
      </c>
      <c r="CA233" s="9">
        <f>IF($W233=CA$56,GB233*($Q233*$S233)/(1+Voorblad!$K$44)^(CA$56-Voorblad!$F$41),0)</f>
        <v>0</v>
      </c>
      <c r="CB233" s="9">
        <f>IF($W233=CB$56,GC233*($Q233*$S233)/(1+Voorblad!$K$44)^(CB$56-Voorblad!$F$41),0)</f>
        <v>0</v>
      </c>
      <c r="CC233" s="9">
        <f>IF($W233=CC$56,GD233*($Q233*$S233)/(1+Voorblad!$K$44)^(CC$56-Voorblad!$F$41),0)</f>
        <v>0</v>
      </c>
      <c r="CD233" s="9">
        <f>IF($W233=CD$56,GE233*($Q233*$S233)/(1+Voorblad!$K$44)^(CD$56-Voorblad!$F$41),0)</f>
        <v>0</v>
      </c>
      <c r="CE233" s="9">
        <f>IF($W233=CE$56,GF233*($Q233*$S233)/(1+Voorblad!$K$44)^(CE$56-Voorblad!$F$41),0)</f>
        <v>0</v>
      </c>
      <c r="CF233" s="9">
        <f>IF($W233=CF$56,GG233*($Q233*$S233)/(1+Voorblad!$K$44)^(CF$56-Voorblad!$F$41),0)</f>
        <v>0</v>
      </c>
      <c r="CG233" s="9">
        <f>IF($W233=CG$56,GH233*($Q233*$S233)/(1+Voorblad!$K$44)^(CG$56-Voorblad!$F$41),0)</f>
        <v>0</v>
      </c>
      <c r="CH233" s="9">
        <f>IF($W233=CH$56,GI233*($Q233*$S233)/(1+Voorblad!$K$44)^(CH$56-Voorblad!$F$41),0)</f>
        <v>0</v>
      </c>
      <c r="CI233" s="9">
        <f>IF($W233=CI$56,GJ233*($Q233*$S233)/(1+Voorblad!$K$44)^(CI$56-Voorblad!$F$41),0)</f>
        <v>0</v>
      </c>
      <c r="CJ233" s="9">
        <f>IF($W233=CJ$56,GK233*($Q233*$S233)/(1+Voorblad!$K$44)^(CJ$56-Voorblad!$F$41),0)</f>
        <v>0</v>
      </c>
      <c r="CK233" s="9">
        <f>IF($W233=CK$56,GL233*($Q233*$S233)/(1+Voorblad!$K$44)^(CK$56-Voorblad!$F$41),0)</f>
        <v>0</v>
      </c>
      <c r="CL233" s="9">
        <f>IF($W233=CL$56,GM233*($Q233*$S233)/(1+Voorblad!$K$44)^(CL$56-Voorblad!$F$41),0)</f>
        <v>0</v>
      </c>
      <c r="CM233" s="9">
        <f>IF($W233=CM$56,GN233*($Q233*$S233)/(1+Voorblad!$K$44)^(CM$56-Voorblad!$F$41),0)</f>
        <v>0</v>
      </c>
      <c r="CN233" s="9">
        <f>IF($W233=CN$56,GO233*($Q233*$S233)/(1+Voorblad!$K$44)^(CN$56-Voorblad!$F$41),0)</f>
        <v>0</v>
      </c>
      <c r="CO233" s="9">
        <f>IF($W233=CO$56,GP233*($Q233*$S233)/(1+Voorblad!$K$44)^(CO$56-Voorblad!$F$41),0)</f>
        <v>0</v>
      </c>
      <c r="CP233" s="9">
        <f>IF($W233=CP$56,GQ233*($Q233*$S233)/(1+Voorblad!$K$44)^(CP$56-Voorblad!$F$41),0)</f>
        <v>0</v>
      </c>
      <c r="CQ233" s="9">
        <f>IF($W233=CQ$56,GR233*($Q233*$S233)/(1+Voorblad!$K$44)^(CQ$56-Voorblad!$F$41),0)</f>
        <v>0</v>
      </c>
      <c r="CR233" s="9">
        <f>IF($W233=CR$56,GS233*($Q233*$S233)/(1+Voorblad!$K$44)^(CR$56-Voorblad!$F$41),0)</f>
        <v>0</v>
      </c>
      <c r="CS233" s="9">
        <f>IF($W233=CS$56,GT233*($Q233*$S233)/(1+Voorblad!$K$44)^(CS$56-Voorblad!$F$41),0)</f>
        <v>0</v>
      </c>
      <c r="CT233" s="9">
        <f>IF($W233=CT$56,GU233*($Q233*$S233)/(1+Voorblad!$K$44)^(CT$56-Voorblad!$F$41),0)</f>
        <v>0</v>
      </c>
      <c r="CU233" s="9">
        <f>IF($W233=CU$56,GV233*($Q233*$S233)/(1+Voorblad!$K$44)^(CU$56-Voorblad!$F$41),0)</f>
        <v>0</v>
      </c>
      <c r="CV233" s="9">
        <f>IF($W233=CV$56,GW233*($Q233*$S233)/(1+Voorblad!$K$44)^(CV$56-Voorblad!$F$41),0)</f>
        <v>0</v>
      </c>
      <c r="CW233" s="9">
        <f>IF($W233=CW$56,GX233*($Q233*$S233)/(1+Voorblad!$K$44)^(CW$56-Voorblad!$F$41),0)</f>
        <v>0</v>
      </c>
      <c r="CX233" s="9">
        <f>IF($W233=CX$56,GY233*($Q233*$S233)/(1+Voorblad!$K$44)^(CX$56-Voorblad!$F$41),0)</f>
        <v>0</v>
      </c>
      <c r="CY233" s="9">
        <f>IF($W233=CY$56,GZ233*($Q233*$S233)/(1+Voorblad!$K$44)^(CY$56-Voorblad!$F$41),0)</f>
        <v>0</v>
      </c>
      <c r="CZ233" s="9">
        <f>IF($W233=CZ$56,HA233*($Q233*$S233)/(1+Voorblad!$K$44)^(CZ$56-Voorblad!$F$41),0)</f>
        <v>0</v>
      </c>
      <c r="DA233" s="9">
        <f>IF($W233=DA$56,HB233*($Q233*$S233)/(1+Voorblad!$K$44)^(DA$56-Voorblad!$F$41),0)</f>
        <v>0</v>
      </c>
      <c r="DB233" s="9">
        <f>IF($W233=DB$56,HC233*($Q233*$S233)/(1+Voorblad!$K$44)^(DB$56-Voorblad!$F$41),0)</f>
        <v>0</v>
      </c>
      <c r="DC233" s="9">
        <f>IF($W233=DC$56,HD233*($Q233*$S233)/(1+Voorblad!$K$44)^(DC$56-Voorblad!$F$41),0)</f>
        <v>0</v>
      </c>
      <c r="DD233" s="9">
        <f>IF($W233=DD$56,HE233*($Q233*$S233)/(1+Voorblad!$K$44)^(DD$56-Voorblad!$F$41),0)</f>
        <v>0</v>
      </c>
      <c r="DE233" s="9">
        <f>IF($W233=DE$56,HF233*($Q233*$S233)/(1+Voorblad!$K$44)^(DE$56-Voorblad!$F$41),0)</f>
        <v>0</v>
      </c>
      <c r="DF233" s="9">
        <f>IF($W233=DF$56,HG233*($Q233*$S233)/(1+Voorblad!$K$44)^(DF$56-Voorblad!$F$41),0)</f>
        <v>0</v>
      </c>
      <c r="DG233" s="9">
        <f>IF($W233=DG$56,HH233*($Q233*$S233)/(1+Voorblad!$K$44)^(DG$56-Voorblad!$F$41),0)</f>
        <v>0</v>
      </c>
      <c r="DH233" s="9">
        <f>IF($W233=DH$56,HI233*($Q233*$S233)/(1+Voorblad!$K$44)^(DH$56-Voorblad!$F$41),0)</f>
        <v>0</v>
      </c>
      <c r="DI233" s="9">
        <f>IF($W233=DI$56,HJ233*($Q233*$S233)/(1+Voorblad!$K$44)^(DI$56-Voorblad!$F$41),0)</f>
        <v>0</v>
      </c>
      <c r="DJ233" s="9">
        <f>IF($W233=DJ$56,HK233*($Q233*$S233)/(1+Voorblad!$K$44)^(DJ$56-Voorblad!$F$41),0)</f>
        <v>0</v>
      </c>
      <c r="DK233" s="9">
        <f>IF($W233=DK$56,HL233*($Q233*$S233)/(1+Voorblad!$K$44)^(DK$56-Voorblad!$F$41),0)</f>
        <v>0</v>
      </c>
      <c r="DL233" s="9">
        <f>IF($W233=DL$56,HM233*($Q233*$S233)/(1+Voorblad!$K$44)^(DL$56-Voorblad!$F$41),0)</f>
        <v>0</v>
      </c>
      <c r="DM233" s="9">
        <f>IF($W233=DM$56,HN233*($Q233*$S233)/(1+Voorblad!$K$44)^(DM$56-Voorblad!$F$41),0)</f>
        <v>0</v>
      </c>
      <c r="DN233" s="9">
        <f>IF($W233=DN$56,HO233*($Q233*$S233)/(1+Voorblad!$K$44)^(DN$56-Voorblad!$F$41),0)</f>
        <v>0</v>
      </c>
      <c r="DO233" s="9">
        <f>IF($W233=DO$56,HP233*($Q233*$S233)/(1+Voorblad!$K$44)^(DO$56-Voorblad!$F$41),0)</f>
        <v>0</v>
      </c>
      <c r="DP233" s="9">
        <f>IF($W233=DP$56,HQ233*($Q233*$S233)/(1+Voorblad!$K$44)^(DP$56-Voorblad!$F$41),0)</f>
        <v>0</v>
      </c>
      <c r="DQ233" s="9">
        <f>IF($W233=DQ$56,HR233*($Q233*$S233)/(1+Voorblad!$K$44)^(DQ$56-Voorblad!$F$41),0)</f>
        <v>0</v>
      </c>
      <c r="DR233" s="9">
        <f>IF($W233=DR$56,HS233*($Q233*$S233)/(1+Voorblad!$K$44)^(DR$56-Voorblad!$F$41),0)</f>
        <v>0</v>
      </c>
      <c r="DS233" s="9">
        <f>IF($W233=DS$56,HT233*($Q233*$S233)/(1+Voorblad!$K$44)^(DS$56-Voorblad!$F$41),0)</f>
        <v>0</v>
      </c>
      <c r="DT233" s="9">
        <f>IF($W233=DT$56,HU233*($Q233*$S233)/(1+Voorblad!$K$44)^(DT$56-Voorblad!$F$41),0)</f>
        <v>0</v>
      </c>
      <c r="DU233" s="9">
        <f>IF($W233=DU$56,HV233*($Q233*$S233)/(1+Voorblad!$K$44)^(DU$56-Voorblad!$F$41),0)</f>
        <v>0</v>
      </c>
      <c r="DV233" s="9">
        <f>IF($W233=DV$56,HW233*($Q233*$S233)/(1+Voorblad!$K$44)^(DV$56-Voorblad!$F$41),0)</f>
        <v>0</v>
      </c>
      <c r="DW233" s="9">
        <f>IF($W233=DW$56,HX233*($Q233*$S233)/(1+Voorblad!$K$44)^(DW$56-Voorblad!$F$41),0)</f>
        <v>0</v>
      </c>
      <c r="DX233" s="9">
        <f>IF($W233=DX$56,HY233*($Q233*$S233)/(1+Voorblad!$K$44)^(DX$56-Voorblad!$F$41),0)</f>
        <v>0</v>
      </c>
      <c r="DY233" s="9">
        <f>IF($W233=DY$56,HZ233*($Q233*$S233)/(1+Voorblad!$K$44)^(DY$56-Voorblad!$F$41),0)</f>
        <v>0</v>
      </c>
      <c r="DZ233" s="9">
        <f>IF($W233=DZ$56,IA233*($Q233*$S233)/(1+Voorblad!$K$44)^(DZ$56-Voorblad!$F$41),0)</f>
        <v>0</v>
      </c>
      <c r="EA233" s="9">
        <f>IF($W233=EA$56,IB233*($Q233*$S233)/(1+Voorblad!$K$44)^(EA$56-Voorblad!$F$41),0)</f>
        <v>0</v>
      </c>
      <c r="EB233" s="9">
        <f>IF($W233=EB$56,IC233*($Q233*$S233)/(1+Voorblad!$K$44)^(EB$56-Voorblad!$F$41),0)</f>
        <v>0</v>
      </c>
      <c r="EE233" s="8">
        <v>0</v>
      </c>
      <c r="EF233" s="8">
        <f>IF(EF$56-Voorblad!$F$41&gt;Voorblad!$K$41,0,IF($U233=0,0,IF($U233&lt;1,1/$U233,IF((EF$56-Voorblad!$F$41)/$U233-SUM($EE233:EE233)=1,1,0))))</f>
        <v>0</v>
      </c>
      <c r="EG233" s="8">
        <f>IF(EG$56-Voorblad!$F$41&gt;Voorblad!$K$41,0,IF($U233=0,0,IF($U233&lt;1,1/$U233,IF((EG$56-Voorblad!$F$41)/$U233-SUM($EE233:EF233)=1,1,0))))</f>
        <v>1</v>
      </c>
      <c r="EH233" s="8">
        <f>IF(EH$56-Voorblad!$F$41&gt;Voorblad!$K$41,0,IF($U233=0,0,IF($U233&lt;1,1/$U233,IF((EH$56-Voorblad!$F$41)/$U233-SUM($EE233:EG233)=1,1,0))))</f>
        <v>1</v>
      </c>
      <c r="EI233" s="8">
        <f>IF(EI$56-Voorblad!$F$41&gt;Voorblad!$K$41,0,IF($U233=0,0,IF($U233&lt;1,1/$U233,IF((EI$56-Voorblad!$F$41)/$U233-SUM($EE233:EH233)=1,1,0))))</f>
        <v>1</v>
      </c>
      <c r="EJ233" s="8">
        <f>IF(EJ$56-Voorblad!$F$41&gt;Voorblad!$K$41,0,IF($U233=0,0,IF($U233&lt;1,1/$U233,IF((EJ$56-Voorblad!$F$41)/$U233-SUM($EE233:EI233)=1,1,0))))</f>
        <v>1</v>
      </c>
      <c r="EK233" s="8">
        <f>IF(EK$56-Voorblad!$F$41&gt;Voorblad!$K$41,0,IF($U233=0,0,IF($U233&lt;1,1/$U233,IF((EK$56-Voorblad!$F$41)/$U233-SUM($EE233:EJ233)=1,1,0))))</f>
        <v>1</v>
      </c>
      <c r="EL233" s="8">
        <f>IF(EL$56-Voorblad!$F$41&gt;Voorblad!$K$41,0,IF($U233=0,0,IF($U233&lt;1,1/$U233,IF((EL$56-Voorblad!$F$41)/$U233-SUM($EE233:EK233)=1,1,0))))</f>
        <v>1</v>
      </c>
      <c r="EM233" s="8">
        <f>IF(EM$56-Voorblad!$F$41&gt;Voorblad!$K$41,0,IF($U233=0,0,IF($U233&lt;1,1/$U233,IF((EM$56-Voorblad!$F$41)/$U233-SUM($EE233:EL233)=1,1,0))))</f>
        <v>1</v>
      </c>
      <c r="EN233" s="8">
        <f>IF(EN$56-Voorblad!$F$41&gt;Voorblad!$K$41,0,IF($U233=0,0,IF($U233&lt;1,1/$U233,IF((EN$56-Voorblad!$F$41)/$U233-SUM($EE233:EM233)=1,1,0))))</f>
        <v>1</v>
      </c>
      <c r="EO233" s="8">
        <f>IF(EO$56-Voorblad!$F$41&gt;Voorblad!$K$41,0,IF($U233=0,0,IF($U233&lt;1,1/$U233,IF((EO$56-Voorblad!$F$41)/$U233-SUM($EE233:EN233)=1,1,0))))</f>
        <v>1</v>
      </c>
      <c r="EP233" s="8">
        <f>IF(EP$56-Voorblad!$F$41&gt;Voorblad!$K$41,0,IF($U233=0,0,IF($U233&lt;1,1/$U233,IF((EP$56-Voorblad!$F$41)/$U233-SUM($EE233:EO233)=1,1,0))))</f>
        <v>1</v>
      </c>
      <c r="EQ233" s="8">
        <f>IF(EQ$56-Voorblad!$F$41&gt;Voorblad!$K$41,0,IF($U233=0,0,IF($U233&lt;1,1/$U233,IF((EQ$56-Voorblad!$F$41)/$U233-SUM($EE233:EP233)=1,1,0))))</f>
        <v>1</v>
      </c>
      <c r="ER233" s="8">
        <f>IF(ER$56-Voorblad!$F$41&gt;Voorblad!$K$41,0,IF($U233=0,0,IF($U233&lt;1,1/$U233,IF((ER$56-Voorblad!$F$41)/$U233-SUM($EE233:EQ233)=1,1,0))))</f>
        <v>1</v>
      </c>
      <c r="ES233" s="8">
        <f>IF(ES$56-Voorblad!$F$41&gt;Voorblad!$K$41,0,IF($U233=0,0,IF($U233&lt;1,1/$U233,IF((ES$56-Voorblad!$F$41)/$U233-SUM($EE233:ER233)=1,1,0))))</f>
        <v>1</v>
      </c>
      <c r="ET233" s="8">
        <f>IF(ET$56-Voorblad!$F$41&gt;Voorblad!$K$41,0,IF($U233=0,0,IF($U233&lt;1,1/$U233,IF((ET$56-Voorblad!$F$41)/$U233-SUM($EE233:ES233)=1,1,0))))</f>
        <v>1</v>
      </c>
      <c r="EU233" s="8">
        <f>IF(EU$56-Voorblad!$F$41&gt;Voorblad!$K$41,0,IF($U233=0,0,IF($U233&lt;1,1/$U233,IF((EU$56-Voorblad!$F$41)/$U233-SUM($EE233:ET233)=1,1,0))))</f>
        <v>1</v>
      </c>
      <c r="EV233" s="8">
        <f>IF(EV$56-Voorblad!$F$41&gt;Voorblad!$K$41,0,IF($U233=0,0,IF($U233&lt;1,1/$U233,IF((EV$56-Voorblad!$F$41)/$U233-SUM($EE233:EU233)=1,1,0))))</f>
        <v>1</v>
      </c>
      <c r="EW233" s="8">
        <f>IF(EW$56-Voorblad!$F$41&gt;Voorblad!$K$41,0,IF($U233=0,0,IF($U233&lt;1,1/$U233,IF((EW$56-Voorblad!$F$41)/$U233-SUM($EE233:EV233)=1,1,0))))</f>
        <v>1</v>
      </c>
      <c r="EX233" s="8">
        <f>IF(EX$56-Voorblad!$F$41&gt;Voorblad!$K$41,0,IF($U233=0,0,IF($U233&lt;1,1/$U233,IF((EX$56-Voorblad!$F$41)/$U233-SUM($EE233:EW233)=1,1,0))))</f>
        <v>1</v>
      </c>
      <c r="EY233" s="8">
        <f>IF(EY$56-Voorblad!$F$41&gt;Voorblad!$K$41,0,IF($U233=0,0,IF($U233&lt;1,1/$U233,IF((EY$56-Voorblad!$F$41)/$U233-SUM($EE233:EX233)=1,1,0))))</f>
        <v>1</v>
      </c>
      <c r="EZ233" s="8">
        <f>IF(EZ$56-Voorblad!$F$41&gt;Voorblad!$K$41,0,IF($U233=0,0,IF($U233&lt;1,1/$U233,IF((EZ$56-Voorblad!$F$41)/$U233-SUM($EE233:EY233)=1,1,0))))</f>
        <v>1</v>
      </c>
      <c r="FA233" s="8">
        <f>IF(FA$56-Voorblad!$F$41&gt;Voorblad!$K$41,0,IF($U233=0,0,IF($U233&lt;1,1/$U233,IF((FA$56-Voorblad!$F$41)/$U233-SUM($EE233:EZ233)=1,1,0))))</f>
        <v>1</v>
      </c>
      <c r="FB233" s="8">
        <f>IF(FB$56-Voorblad!$F$41&gt;Voorblad!$K$41,0,IF($U233=0,0,IF($U233&lt;1,1/$U233,IF((FB$56-Voorblad!$F$41)/$U233-SUM($EE233:FA233)=1,1,0))))</f>
        <v>1</v>
      </c>
      <c r="FC233" s="8">
        <f>IF(FC$56-Voorblad!$F$41&gt;Voorblad!$K$41,0,IF($U233=0,0,IF($U233&lt;1,1/$U233,IF((FC$56-Voorblad!$F$41)/$U233-SUM($EE233:FB233)=1,1,0))))</f>
        <v>1</v>
      </c>
      <c r="FD233" s="8">
        <f>IF(FD$56-Voorblad!$F$41&gt;Voorblad!$K$41,0,IF($U233=0,0,IF($U233&lt;1,1/$U233,IF((FD$56-Voorblad!$F$41)/$U233-SUM($EE233:FC233)=1,1,0))))</f>
        <v>1</v>
      </c>
      <c r="FE233" s="8">
        <f>IF(FE$56-Voorblad!$F$41&gt;Voorblad!$K$41,0,IF($U233=0,0,IF($U233&lt;1,1/$U233,IF((FE$56-Voorblad!$F$41)/$U233-SUM($EE233:FD233)=1,1,0))))</f>
        <v>1</v>
      </c>
      <c r="FF233" s="8">
        <f>IF(FF$56-Voorblad!$F$41&gt;Voorblad!$K$41,0,IF($U233=0,0,IF($U233&lt;1,1/$U233,IF((FF$56-Voorblad!$F$41)/$U233-SUM($EE233:FE233)=1,1,0))))</f>
        <v>1</v>
      </c>
      <c r="FG233" s="8">
        <f>IF(FG$56-Voorblad!$F$41&gt;Voorblad!$K$41,0,IF($U233=0,0,IF($U233&lt;1,1/$U233,IF((FG$56-Voorblad!$F$41)/$U233-SUM($EE233:FF233)=1,1,0))))</f>
        <v>1</v>
      </c>
      <c r="FH233" s="8">
        <f>IF(FH$56-Voorblad!$F$41&gt;Voorblad!$K$41,0,IF($U233=0,0,IF($U233&lt;1,1/$U233,IF((FH$56-Voorblad!$F$41)/$U233-SUM($EE233:FG233)=1,1,0))))</f>
        <v>1</v>
      </c>
      <c r="FI233" s="8">
        <f>IF(FI$56-Voorblad!$F$41&gt;Voorblad!$K$41,0,IF($U233=0,0,IF($U233&lt;1,1/$U233,IF((FI$56-Voorblad!$F$41)/$U233-SUM($EE233:FH233)=1,1,0))))</f>
        <v>1</v>
      </c>
      <c r="FJ233" s="8">
        <f>IF(FJ$56-Voorblad!$F$41&gt;Voorblad!$K$41,0,IF($U233=0,0,IF($U233&lt;1,1/$U233,IF((FJ$56-Voorblad!$F$41)/$U233-SUM($EE233:FI233)=1,1,0))))</f>
        <v>1</v>
      </c>
      <c r="FK233" s="8">
        <f>IF(FK$56-Voorblad!$F$41&gt;Voorblad!$K$41,0,IF($U233=0,0,IF($U233&lt;1,1/$U233,IF((FK$56-Voorblad!$F$41)/$U233-SUM($EE233:FJ233)=1,1,0))))</f>
        <v>1</v>
      </c>
      <c r="FL233" s="8">
        <f>IF(FL$56-Voorblad!$F$41&gt;Voorblad!$K$41,0,IF($U233=0,0,IF($U233&lt;1,1/$U233,IF((FL$56-Voorblad!$F$41)/$U233-SUM($EE233:FK233)=1,1,0))))</f>
        <v>1</v>
      </c>
      <c r="FM233" s="8">
        <f>IF(FM$56-Voorblad!$F$41&gt;Voorblad!$K$41,0,IF($U233=0,0,IF($U233&lt;1,1/$U233,IF((FM$56-Voorblad!$F$41)/$U233-SUM($EE233:FL233)=1,1,0))))</f>
        <v>1</v>
      </c>
      <c r="FN233" s="8">
        <f>IF(FN$56-Voorblad!$F$41&gt;Voorblad!$K$41,0,IF($U233=0,0,IF($U233&lt;1,1/$U233,IF((FN$56-Voorblad!$F$41)/$U233-SUM($EE233:FM233)=1,1,0))))</f>
        <v>1</v>
      </c>
      <c r="FO233" s="8">
        <f>IF(FO$56-Voorblad!$F$41&gt;Voorblad!$K$41,0,IF($U233=0,0,IF($U233&lt;1,1/$U233,IF((FO$56-Voorblad!$F$41)/$U233-SUM($EE233:FN233)=1,1,0))))</f>
        <v>1</v>
      </c>
      <c r="FP233" s="8">
        <f>IF(FP$56-Voorblad!$F$41&gt;Voorblad!$K$41,0,IF($U233=0,0,IF($U233&lt;1,1/$U233,IF((FP$56-Voorblad!$F$41)/$U233-SUM($EE233:FO233)=1,1,0))))</f>
        <v>1</v>
      </c>
      <c r="FQ233" s="8">
        <f>IF(FQ$56-Voorblad!$F$41&gt;Voorblad!$K$41,0,IF($U233=0,0,IF($U233&lt;1,1/$U233,IF((FQ$56-Voorblad!$F$41)/$U233-SUM($EE233:FP233)=1,1,0))))</f>
        <v>1</v>
      </c>
      <c r="FR233" s="8">
        <f>IF(FR$56-Voorblad!$F$41&gt;Voorblad!$K$41,0,IF($U233=0,0,IF($U233&lt;1,1/$U233,IF((FR$56-Voorblad!$F$41)/$U233-SUM($EE233:FQ233)=1,1,0))))</f>
        <v>1</v>
      </c>
      <c r="FS233" s="8">
        <f>IF(FS$56-Voorblad!$F$41&gt;Voorblad!$K$41,0,IF($U233=0,0,IF($U233&lt;1,1/$U233,IF((FS$56-Voorblad!$F$41)/$U233-SUM($EE233:FR233)=1,1,0))))</f>
        <v>1</v>
      </c>
      <c r="FT233" s="8">
        <f>IF(FT$56-Voorblad!$F$41&gt;Voorblad!$K$41,0,IF($U233=0,0,IF($U233&lt;1,1/$U233,IF((FT$56-Voorblad!$F$41)/$U233-SUM($EE233:FS233)=1,1,0))))</f>
        <v>1</v>
      </c>
      <c r="FU233" s="8">
        <f>IF(FU$56-Voorblad!$F$41&gt;Voorblad!$K$41,0,IF($U233=0,0,IF($U233&lt;1,1/$U233,IF((FU$56-Voorblad!$F$41)/$U233-SUM($EE233:FT233)=1,1,0))))</f>
        <v>1</v>
      </c>
      <c r="FV233" s="8">
        <f>IF(FV$56-Voorblad!$F$41&gt;Voorblad!$K$41,0,IF($U233=0,0,IF($U233&lt;1,1/$U233,IF((FV$56-Voorblad!$F$41)/$U233-SUM($EE233:FU233)=1,1,0))))</f>
        <v>1</v>
      </c>
      <c r="FW233" s="8">
        <f>IF(FW$56-Voorblad!$F$41&gt;Voorblad!$K$41,0,IF($U233=0,0,IF($U233&lt;1,1/$U233,IF((FW$56-Voorblad!$F$41)/$U233-SUM($EE233:FV233)=1,1,0))))</f>
        <v>1</v>
      </c>
      <c r="FX233" s="8">
        <f>IF(FX$56-Voorblad!$F$41&gt;Voorblad!$K$41,0,IF($U233=0,0,IF($U233&lt;1,1/$U233,IF((FX$56-Voorblad!$F$41)/$U233-SUM($EE233:FW233)=1,1,0))))</f>
        <v>1</v>
      </c>
      <c r="FY233" s="8">
        <f>IF(FY$56-Voorblad!$F$41&gt;Voorblad!$K$41,0,IF($U233=0,0,IF($U233&lt;1,1/$U233,IF((FY$56-Voorblad!$F$41)/$U233-SUM($EE233:FX233)=1,1,0))))</f>
        <v>1</v>
      </c>
      <c r="FZ233" s="8">
        <f>IF(FZ$56-Voorblad!$F$41&gt;Voorblad!$K$41,0,IF($U233=0,0,IF($U233&lt;1,1/$U233,IF((FZ$56-Voorblad!$F$41)/$U233-SUM($EE233:FY233)=1,1,0))))</f>
        <v>1</v>
      </c>
      <c r="GA233" s="8">
        <f>IF(GA$56-Voorblad!$F$41&gt;Voorblad!$K$41,0,IF($U233=0,0,IF($U233&lt;1,1/$U233,IF((GA$56-Voorblad!$F$41)/$U233-SUM($EE233:FZ233)=1,1,0))))</f>
        <v>1</v>
      </c>
      <c r="GB233" s="8">
        <f>IF(GB$56-Voorblad!$F$41&gt;Voorblad!$K$41,0,IF($U233=0,0,IF($U233&lt;1,1/$U233,IF((GB$56-Voorblad!$F$41)/$U233-SUM($EE233:GA233)=1,1,0))))</f>
        <v>1</v>
      </c>
      <c r="GC233" s="8">
        <f>IF(GC$56-Voorblad!$F$41&gt;Voorblad!$K$41,0,IF($U233=0,0,IF($U233&lt;1,1/$U233,IF((GC$56-Voorblad!$F$41)/$U233-SUM($EE233:GB233)=1,1,0))))</f>
        <v>1</v>
      </c>
      <c r="GD233" s="8">
        <f>IF(GD$56-Voorblad!$F$41&gt;Voorblad!$K$41,0,IF($U233=0,0,IF($U233&lt;1,1/$U233,IF((GD$56-Voorblad!$F$41)/$U233-SUM($EE233:GC233)=1,1,0))))</f>
        <v>1</v>
      </c>
      <c r="GE233" s="8">
        <f>IF(GE$56-Voorblad!$F$41&gt;Voorblad!$K$41,0,IF($U233=0,0,IF($U233&lt;1,1/$U233,IF((GE$56-Voorblad!$F$41)/$U233-SUM($EE233:GD233)=1,1,0))))</f>
        <v>1</v>
      </c>
      <c r="GF233" s="8">
        <f>IF(GF$56-Voorblad!$F$41&gt;Voorblad!$K$41,0,IF($U233=0,0,IF($U233&lt;1,1/$U233,IF((GF$56-Voorblad!$F$41)/$U233-SUM($EE233:GE233)=1,1,0))))</f>
        <v>1</v>
      </c>
      <c r="GG233" s="8">
        <f>IF(GG$56-Voorblad!$F$41&gt;Voorblad!$K$41,0,IF($U233=0,0,IF($U233&lt;1,1/$U233,IF((GG$56-Voorblad!$F$41)/$U233-SUM($EE233:GF233)=1,1,0))))</f>
        <v>1</v>
      </c>
      <c r="GH233" s="8">
        <f>IF(GH$56-Voorblad!$F$41&gt;Voorblad!$K$41,0,IF($U233=0,0,IF($U233&lt;1,1/$U233,IF((GH$56-Voorblad!$F$41)/$U233-SUM($EE233:GG233)=1,1,0))))</f>
        <v>1</v>
      </c>
      <c r="GI233" s="8">
        <f>IF(GI$56-Voorblad!$F$41&gt;Voorblad!$K$41,0,IF($U233=0,0,IF($U233&lt;1,1/$U233,IF((GI$56-Voorblad!$F$41)/$U233-SUM($EE233:GH233)=1,1,0))))</f>
        <v>1</v>
      </c>
      <c r="GJ233" s="8">
        <f>IF(GJ$56-Voorblad!$F$41&gt;Voorblad!$K$41,0,IF($U233=0,0,IF($U233&lt;1,1/$U233,IF((GJ$56-Voorblad!$F$41)/$U233-SUM($EE233:GI233)=1,1,0))))</f>
        <v>1</v>
      </c>
      <c r="GK233" s="8">
        <f>IF(GK$56-Voorblad!$F$41&gt;Voorblad!$K$41,0,IF($U233=0,0,IF($U233&lt;1,1/$U233,IF((GK$56-Voorblad!$F$41)/$U233-SUM($EE233:GJ233)=1,1,0))))</f>
        <v>1</v>
      </c>
      <c r="GL233" s="8">
        <f>IF(GL$56-Voorblad!$F$41&gt;Voorblad!$K$41,0,IF($U233=0,0,IF($U233&lt;1,1/$U233,IF((GL$56-Voorblad!$F$41)/$U233-SUM($EE233:GK233)=1,1,0))))</f>
        <v>1</v>
      </c>
      <c r="GM233" s="8">
        <f>IF(GM$56-Voorblad!$F$41&gt;Voorblad!$K$41,0,IF($U233=0,0,IF($U233&lt;1,1/$U233,IF((GM$56-Voorblad!$F$41)/$U233-SUM($EE233:GL233)=1,1,0))))</f>
        <v>1</v>
      </c>
      <c r="GN233" s="8">
        <f>IF(GN$56-Voorblad!$F$41&gt;Voorblad!$K$41,0,IF($U233=0,0,IF($U233&lt;1,1/$U233,IF((GN$56-Voorblad!$F$41)/$U233-SUM($EE233:GM233)=1,1,0))))</f>
        <v>1</v>
      </c>
      <c r="GO233" s="8">
        <f>IF(GO$56-Voorblad!$F$41&gt;Voorblad!$K$41,0,IF($U233=0,0,IF($U233&lt;1,1/$U233,IF((GO$56-Voorblad!$F$41)/$U233-SUM($EE233:GN233)=1,1,0))))</f>
        <v>1</v>
      </c>
      <c r="GP233" s="8">
        <f>IF(GP$56-Voorblad!$F$41&gt;Voorblad!$K$41,0,IF($U233=0,0,IF($U233&lt;1,1/$U233,IF((GP$56-Voorblad!$F$41)/$U233-SUM($EE233:GO233)=1,1,0))))</f>
        <v>1</v>
      </c>
      <c r="GQ233" s="8">
        <f>IF(GQ$56-Voorblad!$F$41&gt;Voorblad!$K$41,0,IF($U233=0,0,IF($U233&lt;1,1/$U233,IF((GQ$56-Voorblad!$F$41)/$U233-SUM($EE233:GP233)=1,1,0))))</f>
        <v>1</v>
      </c>
      <c r="GR233" s="8">
        <f>IF(GR$56-Voorblad!$F$41&gt;Voorblad!$K$41,0,IF($U233=0,0,IF($U233&lt;1,1/$U233,IF((GR$56-Voorblad!$F$41)/$U233-SUM($EE233:GQ233)=1,1,0))))</f>
        <v>1</v>
      </c>
      <c r="GS233" s="8">
        <f>IF(GS$56-Voorblad!$F$41&gt;Voorblad!$K$41,0,IF($U233=0,0,IF($U233&lt;1,1/$U233,IF((GS$56-Voorblad!$F$41)/$U233-SUM($EE233:GR233)=1,1,0))))</f>
        <v>1</v>
      </c>
      <c r="GT233" s="8">
        <f>IF(GT$56-Voorblad!$F$41&gt;Voorblad!$K$41,0,IF($U233=0,0,IF($U233&lt;1,1/$U233,IF((GT$56-Voorblad!$F$41)/$U233-SUM($EE233:GS233)=1,1,0))))</f>
        <v>1</v>
      </c>
      <c r="GU233" s="8">
        <f>IF(GU$56-Voorblad!$F$41&gt;Voorblad!$K$41,0,IF($U233=0,0,IF($U233&lt;1,1/$U233,IF((GU$56-Voorblad!$F$41)/$U233-SUM($EE233:GT233)=1,1,0))))</f>
        <v>1</v>
      </c>
      <c r="GV233" s="8">
        <f>IF(GV$56-Voorblad!$F$41&gt;Voorblad!$K$41,0,IF($U233=0,0,IF($U233&lt;1,1/$U233,IF((GV$56-Voorblad!$F$41)/$U233-SUM($EE233:GU233)=1,1,0))))</f>
        <v>1</v>
      </c>
      <c r="GW233" s="8">
        <f>IF(GW$56-Voorblad!$F$41&gt;Voorblad!$K$41,0,IF($U233=0,0,IF($U233&lt;1,1/$U233,IF((GW$56-Voorblad!$F$41)/$U233-SUM($EE233:GV233)=1,1,0))))</f>
        <v>1</v>
      </c>
      <c r="GX233" s="8">
        <f>IF(GX$56-Voorblad!$F$41&gt;Voorblad!$K$41,0,IF($U233=0,0,IF($U233&lt;1,1/$U233,IF((GX$56-Voorblad!$F$41)/$U233-SUM($EE233:GW233)=1,1,0))))</f>
        <v>1</v>
      </c>
      <c r="GY233" s="8">
        <f>IF(GY$56-Voorblad!$F$41&gt;Voorblad!$K$41,0,IF($U233=0,0,IF($U233&lt;1,1/$U233,IF((GY$56-Voorblad!$F$41)/$U233-SUM($EE233:GX233)=1,1,0))))</f>
        <v>1</v>
      </c>
      <c r="GZ233" s="8">
        <f>IF(GZ$56-Voorblad!$F$41&gt;Voorblad!$K$41,0,IF($U233=0,0,IF($U233&lt;1,1/$U233,IF((GZ$56-Voorblad!$F$41)/$U233-SUM($EE233:GY233)=1,1,0))))</f>
        <v>1</v>
      </c>
      <c r="HA233" s="8">
        <f>IF(HA$56-Voorblad!$F$41&gt;Voorblad!$K$41,0,IF($U233=0,0,IF($U233&lt;1,1/$U233,IF((HA$56-Voorblad!$F$41)/$U233-SUM($EE233:GZ233)=1,1,0))))</f>
        <v>1</v>
      </c>
      <c r="HB233" s="8">
        <f>IF(HB$56-Voorblad!$F$41&gt;Voorblad!$K$41,0,IF($U233=0,0,IF($U233&lt;1,1/$U233,IF((HB$56-Voorblad!$F$41)/$U233-SUM($EE233:HA233)=1,1,0))))</f>
        <v>0</v>
      </c>
      <c r="HC233" s="8">
        <f>IF(HC$56-Voorblad!$F$41&gt;Voorblad!$K$41,0,IF($U233=0,0,IF($U233&lt;1,1/$U233,IF((HC$56-Voorblad!$F$41)/$U233-SUM($EE233:HB233)=1,1,0))))</f>
        <v>0</v>
      </c>
      <c r="HD233" s="8">
        <f>IF(HD$56-Voorblad!$F$41&gt;Voorblad!$K$41,0,IF($U233=0,0,IF($U233&lt;1,1/$U233,IF((HD$56-Voorblad!$F$41)/$U233-SUM($EE233:HC233)=1,1,0))))</f>
        <v>0</v>
      </c>
      <c r="HE233" s="8">
        <f>IF(HE$56-Voorblad!$F$41&gt;Voorblad!$K$41,0,IF($U233=0,0,IF($U233&lt;1,1/$U233,IF((HE$56-Voorblad!$F$41)/$U233-SUM($EE233:HD233)=1,1,0))))</f>
        <v>0</v>
      </c>
      <c r="HF233" s="8">
        <f>IF(HF$56-Voorblad!$F$41&gt;Voorblad!$K$41,0,IF($U233=0,0,IF($U233&lt;1,1/$U233,IF((HF$56-Voorblad!$F$41)/$U233-SUM($EE233:HE233)=1,1,0))))</f>
        <v>0</v>
      </c>
      <c r="HG233" s="8">
        <f>IF(HG$56-Voorblad!$F$41&gt;Voorblad!$K$41,0,IF($U233=0,0,IF($U233&lt;1,1/$U233,IF((HG$56-Voorblad!$F$41)/$U233-SUM($EE233:HF233)=1,1,0))))</f>
        <v>0</v>
      </c>
      <c r="HH233" s="8">
        <f>IF(HH$56-Voorblad!$F$41&gt;Voorblad!$K$41,0,IF($U233=0,0,IF($U233&lt;1,1/$U233,IF((HH$56-Voorblad!$F$41)/$U233-SUM($EE233:HG233)=1,1,0))))</f>
        <v>0</v>
      </c>
      <c r="HI233" s="8">
        <f>IF(HI$56-Voorblad!$F$41&gt;Voorblad!$K$41,0,IF($U233=0,0,IF($U233&lt;1,1/$U233,IF((HI$56-Voorblad!$F$41)/$U233-SUM($EE233:HH233)=1,1,0))))</f>
        <v>0</v>
      </c>
      <c r="HJ233" s="8">
        <f>IF(HJ$56-Voorblad!$F$41&gt;Voorblad!$K$41,0,IF($U233=0,0,IF($U233&lt;1,1/$U233,IF((HJ$56-Voorblad!$F$41)/$U233-SUM($EE233:HI233)=1,1,0))))</f>
        <v>0</v>
      </c>
      <c r="HK233" s="8">
        <f>IF(HK$56-Voorblad!$F$41&gt;Voorblad!$K$41,0,IF($U233=0,0,IF($U233&lt;1,1/$U233,IF((HK$56-Voorblad!$F$41)/$U233-SUM($EE233:HJ233)=1,1,0))))</f>
        <v>0</v>
      </c>
      <c r="HL233" s="8">
        <f>IF(HL$56-Voorblad!$F$41&gt;Voorblad!$K$41,0,IF($U233=0,0,IF($U233&lt;1,1/$U233,IF((HL$56-Voorblad!$F$41)/$U233-SUM($EE233:HK233)=1,1,0))))</f>
        <v>0</v>
      </c>
      <c r="HM233" s="8">
        <f>IF(HM$56-Voorblad!$F$41&gt;Voorblad!$K$41,0,IF($U233=0,0,IF($U233&lt;1,1/$U233,IF((HM$56-Voorblad!$F$41)/$U233-SUM($EE233:HL233)=1,1,0))))</f>
        <v>0</v>
      </c>
      <c r="HN233" s="8">
        <f>IF(HN$56-Voorblad!$F$41&gt;Voorblad!$K$41,0,IF($U233=0,0,IF($U233&lt;1,1/$U233,IF((HN$56-Voorblad!$F$41)/$U233-SUM($EE233:HM233)=1,1,0))))</f>
        <v>0</v>
      </c>
      <c r="HO233" s="8">
        <f>IF(HO$56-Voorblad!$F$41&gt;Voorblad!$K$41,0,IF($U233=0,0,IF($U233&lt;1,1/$U233,IF((HO$56-Voorblad!$F$41)/$U233-SUM($EE233:HN233)=1,1,0))))</f>
        <v>0</v>
      </c>
      <c r="HP233" s="8">
        <f>IF(HP$56-Voorblad!$F$41&gt;Voorblad!$K$41,0,IF($U233=0,0,IF($U233&lt;1,1/$U233,IF((HP$56-Voorblad!$F$41)/$U233-SUM($EE233:HO233)=1,1,0))))</f>
        <v>0</v>
      </c>
      <c r="HQ233" s="8">
        <f>IF(HQ$56-Voorblad!$F$41&gt;Voorblad!$K$41,0,IF($U233=0,0,IF($U233&lt;1,1/$U233,IF((HQ$56-Voorblad!$F$41)/$U233-SUM($EE233:HP233)=1,1,0))))</f>
        <v>0</v>
      </c>
      <c r="HR233" s="8">
        <f>IF(HR$56-Voorblad!$F$41&gt;Voorblad!$K$41,0,IF($U233=0,0,IF($U233&lt;1,1/$U233,IF((HR$56-Voorblad!$F$41)/$U233-SUM($EE233:HQ233)=1,1,0))))</f>
        <v>0</v>
      </c>
      <c r="HS233" s="8">
        <f>IF(HS$56-Voorblad!$F$41&gt;Voorblad!$K$41,0,IF($U233=0,0,IF($U233&lt;1,1/$U233,IF((HS$56-Voorblad!$F$41)/$U233-SUM($EE233:HR233)=1,1,0))))</f>
        <v>0</v>
      </c>
      <c r="HT233" s="8">
        <f>IF(HT$56-Voorblad!$F$41&gt;Voorblad!$K$41,0,IF($U233=0,0,IF($U233&lt;1,1/$U233,IF((HT$56-Voorblad!$F$41)/$U233-SUM($EE233:HS233)=1,1,0))))</f>
        <v>0</v>
      </c>
      <c r="HU233" s="8">
        <f>IF(HU$56-Voorblad!$F$41&gt;Voorblad!$K$41,0,IF($U233=0,0,IF($U233&lt;1,1/$U233,IF((HU$56-Voorblad!$F$41)/$U233-SUM($EE233:HT233)=1,1,0))))</f>
        <v>0</v>
      </c>
      <c r="HV233" s="8">
        <f>IF(HV$56-Voorblad!$F$41&gt;Voorblad!$K$41,0,IF($U233=0,0,IF($U233&lt;1,1/$U233,IF((HV$56-Voorblad!$F$41)/$U233-SUM($EE233:HU233)=1,1,0))))</f>
        <v>0</v>
      </c>
      <c r="HW233" s="8">
        <f>IF(HW$56-Voorblad!$F$41&gt;Voorblad!$K$41,0,IF($U233=0,0,IF($U233&lt;1,1/$U233,IF((HW$56-Voorblad!$F$41)/$U233-SUM($EE233:HV233)=1,1,0))))</f>
        <v>0</v>
      </c>
      <c r="HX233" s="8">
        <f>IF(HX$56-Voorblad!$F$41&gt;Voorblad!$K$41,0,IF($U233=0,0,IF($U233&lt;1,1/$U233,IF((HX$56-Voorblad!$F$41)/$U233-SUM($EE233:HW233)=1,1,0))))</f>
        <v>0</v>
      </c>
      <c r="HY233" s="8">
        <f>IF(HY$56-Voorblad!$F$41&gt;Voorblad!$K$41,0,IF($U233=0,0,IF($U233&lt;1,1/$U233,IF((HY$56-Voorblad!$F$41)/$U233-SUM($EE233:HX233)=1,1,0))))</f>
        <v>0</v>
      </c>
      <c r="HZ233" s="8">
        <f>IF(HZ$56-Voorblad!$F$41&gt;Voorblad!$K$41,0,IF($U233=0,0,IF($U233&lt;1,1/$U233,IF((HZ$56-Voorblad!$F$41)/$U233-SUM($EE233:HY233)=1,1,0))))</f>
        <v>0</v>
      </c>
      <c r="IA233" s="8">
        <f>IF(IA$56-Voorblad!$F$41&gt;Voorblad!$K$41,0,IF($U233=0,0,IF($U233&lt;1,1/$U233,IF((IA$56-Voorblad!$F$41)/$U233-SUM($EE233:HZ233)=1,1,0))))</f>
        <v>0</v>
      </c>
      <c r="IB233" s="8">
        <f>IF(IB$56-Voorblad!$F$41&gt;Voorblad!$K$41,0,IF($U233=0,0,IF($U233&lt;1,1/$U233,IF((IB$56-Voorblad!$F$41)/$U233-SUM($EE233:IA233)=1,1,0))))</f>
        <v>0</v>
      </c>
    </row>
    <row r="234" spans="2:236" outlineLevel="1" x14ac:dyDescent="0.25">
      <c r="B234" s="14">
        <v>1</v>
      </c>
      <c r="C234" s="14"/>
      <c r="F234" s="1" t="s">
        <v>26</v>
      </c>
      <c r="I234" s="1" t="s">
        <v>49</v>
      </c>
      <c r="K234" s="1" t="s">
        <v>267</v>
      </c>
      <c r="O234" s="1" t="s">
        <v>106</v>
      </c>
      <c r="Q234" s="83">
        <v>0</v>
      </c>
      <c r="R234" s="1" t="s">
        <v>102</v>
      </c>
      <c r="S234" s="1">
        <v>-50</v>
      </c>
      <c r="T234" s="14">
        <f t="shared" si="201"/>
        <v>0</v>
      </c>
      <c r="U234" s="11">
        <v>1</v>
      </c>
      <c r="V234" s="14">
        <f>Voorblad!F24+100</f>
        <v>2101</v>
      </c>
      <c r="W234" s="9">
        <f>Voorblad!$K$77</f>
        <v>2101</v>
      </c>
      <c r="X234" s="6"/>
      <c r="Y234" s="9">
        <f t="shared" si="204"/>
        <v>0</v>
      </c>
      <c r="AE234" s="9">
        <f>IF($W234=AE$56,EF234*($Q234*$S234)/(1+Voorblad!$K$44)^(AE$56-Voorblad!$F$41),0)</f>
        <v>0</v>
      </c>
      <c r="AF234" s="9">
        <f>IF($W234=AF$56,EG234*($Q234*$S234)/(1+Voorblad!$K$44)^(AF$56-Voorblad!$F$41),0)</f>
        <v>0</v>
      </c>
      <c r="AG234" s="9">
        <f>IF($W234=AG$56,EH234*($Q234*$S234)/(1+Voorblad!$K$44)^(AG$56-Voorblad!$F$41),0)</f>
        <v>0</v>
      </c>
      <c r="AH234" s="9">
        <f>IF($W234=AH$56,EI234*($Q234*$S234)/(1+Voorblad!$K$44)^(AH$56-Voorblad!$F$41),0)</f>
        <v>0</v>
      </c>
      <c r="AI234" s="9">
        <f>IF($W234=AI$56,EJ234*($Q234*$S234)/(1+Voorblad!$K$44)^(AI$56-Voorblad!$F$41),0)</f>
        <v>0</v>
      </c>
      <c r="AJ234" s="9">
        <f>IF($W234=AJ$56,EK234*($Q234*$S234)/(1+Voorblad!$K$44)^(AJ$56-Voorblad!$F$41),0)</f>
        <v>0</v>
      </c>
      <c r="AK234" s="9">
        <f>IF($W234=AK$56,EL234*($Q234*$S234)/(1+Voorblad!$K$44)^(AK$56-Voorblad!$F$41),0)</f>
        <v>0</v>
      </c>
      <c r="AL234" s="9">
        <f>IF($W234=AL$56,EM234*($Q234*$S234)/(1+Voorblad!$K$44)^(AL$56-Voorblad!$F$41),0)</f>
        <v>0</v>
      </c>
      <c r="AM234" s="9">
        <f>IF($W234=AM$56,EN234*($Q234*$S234)/(1+Voorblad!$K$44)^(AM$56-Voorblad!$F$41),0)</f>
        <v>0</v>
      </c>
      <c r="AN234" s="9">
        <f>IF($W234=AN$56,EO234*($Q234*$S234)/(1+Voorblad!$K$44)^(AN$56-Voorblad!$F$41),0)</f>
        <v>0</v>
      </c>
      <c r="AO234" s="9">
        <f>IF($W234=AO$56,EP234*($Q234*$S234)/(1+Voorblad!$K$44)^(AO$56-Voorblad!$F$41),0)</f>
        <v>0</v>
      </c>
      <c r="AP234" s="9">
        <f>IF($W234=AP$56,EQ234*($Q234*$S234)/(1+Voorblad!$K$44)^(AP$56-Voorblad!$F$41),0)</f>
        <v>0</v>
      </c>
      <c r="AQ234" s="9">
        <f>IF($W234=AQ$56,ER234*($Q234*$S234)/(1+Voorblad!$K$44)^(AQ$56-Voorblad!$F$41),0)</f>
        <v>0</v>
      </c>
      <c r="AR234" s="9">
        <f>IF($W234=AR$56,ES234*($Q234*$S234)/(1+Voorblad!$K$44)^(AR$56-Voorblad!$F$41),0)</f>
        <v>0</v>
      </c>
      <c r="AS234" s="9">
        <f>IF($W234=AS$56,ET234*($Q234*$S234)/(1+Voorblad!$K$44)^(AS$56-Voorblad!$F$41),0)</f>
        <v>0</v>
      </c>
      <c r="AT234" s="9">
        <f>IF($W234=AT$56,EU234*($Q234*$S234)/(1+Voorblad!$K$44)^(AT$56-Voorblad!$F$41),0)</f>
        <v>0</v>
      </c>
      <c r="AU234" s="9">
        <f>IF($W234=AU$56,EV234*($Q234*$S234)/(1+Voorblad!$K$44)^(AU$56-Voorblad!$F$41),0)</f>
        <v>0</v>
      </c>
      <c r="AV234" s="9">
        <f>IF($W234=AV$56,EW234*($Q234*$S234)/(1+Voorblad!$K$44)^(AV$56-Voorblad!$F$41),0)</f>
        <v>0</v>
      </c>
      <c r="AW234" s="9">
        <f>IF($W234=AW$56,EX234*($Q234*$S234)/(1+Voorblad!$K$44)^(AW$56-Voorblad!$F$41),0)</f>
        <v>0</v>
      </c>
      <c r="AX234" s="9">
        <f>IF($W234=AX$56,EY234*($Q234*$S234)/(1+Voorblad!$K$44)^(AX$56-Voorblad!$F$41),0)</f>
        <v>0</v>
      </c>
      <c r="AY234" s="9">
        <f>IF($W234=AY$56,EZ234*($Q234*$S234)/(1+Voorblad!$K$44)^(AY$56-Voorblad!$F$41),0)</f>
        <v>0</v>
      </c>
      <c r="AZ234" s="9">
        <f>IF($W234=AZ$56,FA234*($Q234*$S234)/(1+Voorblad!$K$44)^(AZ$56-Voorblad!$F$41),0)</f>
        <v>0</v>
      </c>
      <c r="BA234" s="9">
        <f>IF($W234=BA$56,FB234*($Q234*$S234)/(1+Voorblad!$K$44)^(BA$56-Voorblad!$F$41),0)</f>
        <v>0</v>
      </c>
      <c r="BB234" s="9">
        <f>IF($W234=BB$56,FC234*($Q234*$S234)/(1+Voorblad!$K$44)^(BB$56-Voorblad!$F$41),0)</f>
        <v>0</v>
      </c>
      <c r="BC234" s="9">
        <f>IF($W234=BC$56,FD234*($Q234*$S234)/(1+Voorblad!$K$44)^(BC$56-Voorblad!$F$41),0)</f>
        <v>0</v>
      </c>
      <c r="BD234" s="9">
        <f>IF($W234=BD$56,FE234*($Q234*$S234)/(1+Voorblad!$K$44)^(BD$56-Voorblad!$F$41),0)</f>
        <v>0</v>
      </c>
      <c r="BE234" s="9">
        <f>IF($W234=BE$56,FF234*($Q234*$S234)/(1+Voorblad!$K$44)^(BE$56-Voorblad!$F$41),0)</f>
        <v>0</v>
      </c>
      <c r="BF234" s="9">
        <f>IF($W234=BF$56,FG234*($Q234*$S234)/(1+Voorblad!$K$44)^(BF$56-Voorblad!$F$41),0)</f>
        <v>0</v>
      </c>
      <c r="BG234" s="9">
        <f>IF($W234=BG$56,FH234*($Q234*$S234)/(1+Voorblad!$K$44)^(BG$56-Voorblad!$F$41),0)</f>
        <v>0</v>
      </c>
      <c r="BH234" s="9">
        <f>IF($W234=BH$56,FI234*($Q234*$S234)/(1+Voorblad!$K$44)^(BH$56-Voorblad!$F$41),0)</f>
        <v>0</v>
      </c>
      <c r="BI234" s="9">
        <f>IF($W234=BI$56,FJ234*($Q234*$S234)/(1+Voorblad!$K$44)^(BI$56-Voorblad!$F$41),0)</f>
        <v>0</v>
      </c>
      <c r="BJ234" s="9">
        <f>IF($W234=BJ$56,FK234*($Q234*$S234)/(1+Voorblad!$K$44)^(BJ$56-Voorblad!$F$41),0)</f>
        <v>0</v>
      </c>
      <c r="BK234" s="9">
        <f>IF($W234=BK$56,FL234*($Q234*$S234)/(1+Voorblad!$K$44)^(BK$56-Voorblad!$F$41),0)</f>
        <v>0</v>
      </c>
      <c r="BL234" s="9">
        <f>IF($W234=BL$56,FM234*($Q234*$S234)/(1+Voorblad!$K$44)^(BL$56-Voorblad!$F$41),0)</f>
        <v>0</v>
      </c>
      <c r="BM234" s="9">
        <f>IF($W234=BM$56,FN234*($Q234*$S234)/(1+Voorblad!$K$44)^(BM$56-Voorblad!$F$41),0)</f>
        <v>0</v>
      </c>
      <c r="BN234" s="9">
        <f>IF($W234=BN$56,FO234*($Q234*$S234)/(1+Voorblad!$K$44)^(BN$56-Voorblad!$F$41),0)</f>
        <v>0</v>
      </c>
      <c r="BO234" s="9">
        <f>IF($W234=BO$56,FP234*($Q234*$S234)/(1+Voorblad!$K$44)^(BO$56-Voorblad!$F$41),0)</f>
        <v>0</v>
      </c>
      <c r="BP234" s="9">
        <f>IF($W234=BP$56,FQ234*($Q234*$S234)/(1+Voorblad!$K$44)^(BP$56-Voorblad!$F$41),0)</f>
        <v>0</v>
      </c>
      <c r="BQ234" s="9">
        <f>IF($W234=BQ$56,FR234*($Q234*$S234)/(1+Voorblad!$K$44)^(BQ$56-Voorblad!$F$41),0)</f>
        <v>0</v>
      </c>
      <c r="BR234" s="9">
        <f>IF($W234=BR$56,FS234*($Q234*$S234)/(1+Voorblad!$K$44)^(BR$56-Voorblad!$F$41),0)</f>
        <v>0</v>
      </c>
      <c r="BS234" s="9">
        <f>IF($W234=BS$56,FT234*($Q234*$S234)/(1+Voorblad!$K$44)^(BS$56-Voorblad!$F$41),0)</f>
        <v>0</v>
      </c>
      <c r="BT234" s="9">
        <f>IF($W234=BT$56,FU234*($Q234*$S234)/(1+Voorblad!$K$44)^(BT$56-Voorblad!$F$41),0)</f>
        <v>0</v>
      </c>
      <c r="BU234" s="9">
        <f>IF($W234=BU$56,FV234*($Q234*$S234)/(1+Voorblad!$K$44)^(BU$56-Voorblad!$F$41),0)</f>
        <v>0</v>
      </c>
      <c r="BV234" s="9">
        <f>IF($W234=BV$56,FW234*($Q234*$S234)/(1+Voorblad!$K$44)^(BV$56-Voorblad!$F$41),0)</f>
        <v>0</v>
      </c>
      <c r="BW234" s="9">
        <f>IF($W234=BW$56,FX234*($Q234*$S234)/(1+Voorblad!$K$44)^(BW$56-Voorblad!$F$41),0)</f>
        <v>0</v>
      </c>
      <c r="BX234" s="9">
        <f>IF($W234=BX$56,FY234*($Q234*$S234)/(1+Voorblad!$K$44)^(BX$56-Voorblad!$F$41),0)</f>
        <v>0</v>
      </c>
      <c r="BY234" s="9">
        <f>IF($W234=BY$56,FZ234*($Q234*$S234)/(1+Voorblad!$K$44)^(BY$56-Voorblad!$F$41),0)</f>
        <v>0</v>
      </c>
      <c r="BZ234" s="9">
        <f>IF($W234=BZ$56,GA234*($Q234*$S234)/(1+Voorblad!$K$44)^(BZ$56-Voorblad!$F$41),0)</f>
        <v>0</v>
      </c>
      <c r="CA234" s="9">
        <f>IF($W234=CA$56,GB234*($Q234*$S234)/(1+Voorblad!$K$44)^(CA$56-Voorblad!$F$41),0)</f>
        <v>0</v>
      </c>
      <c r="CB234" s="9">
        <f>IF($W234=CB$56,GC234*($Q234*$S234)/(1+Voorblad!$K$44)^(CB$56-Voorblad!$F$41),0)</f>
        <v>0</v>
      </c>
      <c r="CC234" s="9">
        <f>IF($W234=CC$56,GD234*($Q234*$S234)/(1+Voorblad!$K$44)^(CC$56-Voorblad!$F$41),0)</f>
        <v>0</v>
      </c>
      <c r="CD234" s="9">
        <f>IF($W234=CD$56,GE234*($Q234*$S234)/(1+Voorblad!$K$44)^(CD$56-Voorblad!$F$41),0)</f>
        <v>0</v>
      </c>
      <c r="CE234" s="9">
        <f>IF($W234=CE$56,GF234*($Q234*$S234)/(1+Voorblad!$K$44)^(CE$56-Voorblad!$F$41),0)</f>
        <v>0</v>
      </c>
      <c r="CF234" s="9">
        <f>IF($W234=CF$56,GG234*($Q234*$S234)/(1+Voorblad!$K$44)^(CF$56-Voorblad!$F$41),0)</f>
        <v>0</v>
      </c>
      <c r="CG234" s="9">
        <f>IF($W234=CG$56,GH234*($Q234*$S234)/(1+Voorblad!$K$44)^(CG$56-Voorblad!$F$41),0)</f>
        <v>0</v>
      </c>
      <c r="CH234" s="9">
        <f>IF($W234=CH$56,GI234*($Q234*$S234)/(1+Voorblad!$K$44)^(CH$56-Voorblad!$F$41),0)</f>
        <v>0</v>
      </c>
      <c r="CI234" s="9">
        <f>IF($W234=CI$56,GJ234*($Q234*$S234)/(1+Voorblad!$K$44)^(CI$56-Voorblad!$F$41),0)</f>
        <v>0</v>
      </c>
      <c r="CJ234" s="9">
        <f>IF($W234=CJ$56,GK234*($Q234*$S234)/(1+Voorblad!$K$44)^(CJ$56-Voorblad!$F$41),0)</f>
        <v>0</v>
      </c>
      <c r="CK234" s="9">
        <f>IF($W234=CK$56,GL234*($Q234*$S234)/(1+Voorblad!$K$44)^(CK$56-Voorblad!$F$41),0)</f>
        <v>0</v>
      </c>
      <c r="CL234" s="9">
        <f>IF($W234=CL$56,GM234*($Q234*$S234)/(1+Voorblad!$K$44)^(CL$56-Voorblad!$F$41),0)</f>
        <v>0</v>
      </c>
      <c r="CM234" s="9">
        <f>IF($W234=CM$56,GN234*($Q234*$S234)/(1+Voorblad!$K$44)^(CM$56-Voorblad!$F$41),0)</f>
        <v>0</v>
      </c>
      <c r="CN234" s="9">
        <f>IF($W234=CN$56,GO234*($Q234*$S234)/(1+Voorblad!$K$44)^(CN$56-Voorblad!$F$41),0)</f>
        <v>0</v>
      </c>
      <c r="CO234" s="9">
        <f>IF($W234=CO$56,GP234*($Q234*$S234)/(1+Voorblad!$K$44)^(CO$56-Voorblad!$F$41),0)</f>
        <v>0</v>
      </c>
      <c r="CP234" s="9">
        <f>IF($W234=CP$56,GQ234*($Q234*$S234)/(1+Voorblad!$K$44)^(CP$56-Voorblad!$F$41),0)</f>
        <v>0</v>
      </c>
      <c r="CQ234" s="9">
        <f>IF($W234=CQ$56,GR234*($Q234*$S234)/(1+Voorblad!$K$44)^(CQ$56-Voorblad!$F$41),0)</f>
        <v>0</v>
      </c>
      <c r="CR234" s="9">
        <f>IF($W234=CR$56,GS234*($Q234*$S234)/(1+Voorblad!$K$44)^(CR$56-Voorblad!$F$41),0)</f>
        <v>0</v>
      </c>
      <c r="CS234" s="9">
        <f>IF($W234=CS$56,GT234*($Q234*$S234)/(1+Voorblad!$K$44)^(CS$56-Voorblad!$F$41),0)</f>
        <v>0</v>
      </c>
      <c r="CT234" s="9">
        <f>IF($W234=CT$56,GU234*($Q234*$S234)/(1+Voorblad!$K$44)^(CT$56-Voorblad!$F$41),0)</f>
        <v>0</v>
      </c>
      <c r="CU234" s="9">
        <f>IF($W234=CU$56,GV234*($Q234*$S234)/(1+Voorblad!$K$44)^(CU$56-Voorblad!$F$41),0)</f>
        <v>0</v>
      </c>
      <c r="CV234" s="9">
        <f>IF($W234=CV$56,GW234*($Q234*$S234)/(1+Voorblad!$K$44)^(CV$56-Voorblad!$F$41),0)</f>
        <v>0</v>
      </c>
      <c r="CW234" s="9">
        <f>IF($W234=CW$56,GX234*($Q234*$S234)/(1+Voorblad!$K$44)^(CW$56-Voorblad!$F$41),0)</f>
        <v>0</v>
      </c>
      <c r="CX234" s="9">
        <f>IF($W234=CX$56,GY234*($Q234*$S234)/(1+Voorblad!$K$44)^(CX$56-Voorblad!$F$41),0)</f>
        <v>0</v>
      </c>
      <c r="CY234" s="9">
        <f>IF($W234=CY$56,GZ234*($Q234*$S234)/(1+Voorblad!$K$44)^(CY$56-Voorblad!$F$41),0)</f>
        <v>0</v>
      </c>
      <c r="CZ234" s="9">
        <f>IF($W234=CZ$56,HA234*($Q234*$S234)/(1+Voorblad!$K$44)^(CZ$56-Voorblad!$F$41),0)</f>
        <v>0</v>
      </c>
      <c r="DA234" s="9">
        <f>IF($W234=DA$56,HB234*($Q234*$S234)/(1+Voorblad!$K$44)^(DA$56-Voorblad!$F$41),0)</f>
        <v>0</v>
      </c>
      <c r="DB234" s="9">
        <f>IF($W234=DB$56,HC234*($Q234*$S234)/(1+Voorblad!$K$44)^(DB$56-Voorblad!$F$41),0)</f>
        <v>0</v>
      </c>
      <c r="DC234" s="9">
        <f>IF($W234=DC$56,HD234*($Q234*$S234)/(1+Voorblad!$K$44)^(DC$56-Voorblad!$F$41),0)</f>
        <v>0</v>
      </c>
      <c r="DD234" s="9">
        <f>IF($W234=DD$56,HE234*($Q234*$S234)/(1+Voorblad!$K$44)^(DD$56-Voorblad!$F$41),0)</f>
        <v>0</v>
      </c>
      <c r="DE234" s="9">
        <f>IF($W234=DE$56,HF234*($Q234*$S234)/(1+Voorblad!$K$44)^(DE$56-Voorblad!$F$41),0)</f>
        <v>0</v>
      </c>
      <c r="DF234" s="9">
        <f>IF($W234=DF$56,HG234*($Q234*$S234)/(1+Voorblad!$K$44)^(DF$56-Voorblad!$F$41),0)</f>
        <v>0</v>
      </c>
      <c r="DG234" s="9">
        <f>IF($W234=DG$56,HH234*($Q234*$S234)/(1+Voorblad!$K$44)^(DG$56-Voorblad!$F$41),0)</f>
        <v>0</v>
      </c>
      <c r="DH234" s="9">
        <f>IF($W234=DH$56,HI234*($Q234*$S234)/(1+Voorblad!$K$44)^(DH$56-Voorblad!$F$41),0)</f>
        <v>0</v>
      </c>
      <c r="DI234" s="9">
        <f>IF($W234=DI$56,HJ234*($Q234*$S234)/(1+Voorblad!$K$44)^(DI$56-Voorblad!$F$41),0)</f>
        <v>0</v>
      </c>
      <c r="DJ234" s="9">
        <f>IF($W234=DJ$56,HK234*($Q234*$S234)/(1+Voorblad!$K$44)^(DJ$56-Voorblad!$F$41),0)</f>
        <v>0</v>
      </c>
      <c r="DK234" s="9">
        <f>IF($W234=DK$56,HL234*($Q234*$S234)/(1+Voorblad!$K$44)^(DK$56-Voorblad!$F$41),0)</f>
        <v>0</v>
      </c>
      <c r="DL234" s="9">
        <f>IF($W234=DL$56,HM234*($Q234*$S234)/(1+Voorblad!$K$44)^(DL$56-Voorblad!$F$41),0)</f>
        <v>0</v>
      </c>
      <c r="DM234" s="9">
        <f>IF($W234=DM$56,HN234*($Q234*$S234)/(1+Voorblad!$K$44)^(DM$56-Voorblad!$F$41),0)</f>
        <v>0</v>
      </c>
      <c r="DN234" s="9">
        <f>IF($W234=DN$56,HO234*($Q234*$S234)/(1+Voorblad!$K$44)^(DN$56-Voorblad!$F$41),0)</f>
        <v>0</v>
      </c>
      <c r="DO234" s="9">
        <f>IF($W234=DO$56,HP234*($Q234*$S234)/(1+Voorblad!$K$44)^(DO$56-Voorblad!$F$41),0)</f>
        <v>0</v>
      </c>
      <c r="DP234" s="9">
        <f>IF($W234=DP$56,HQ234*($Q234*$S234)/(1+Voorblad!$K$44)^(DP$56-Voorblad!$F$41),0)</f>
        <v>0</v>
      </c>
      <c r="DQ234" s="9">
        <f>IF($W234=DQ$56,HR234*($Q234*$S234)/(1+Voorblad!$K$44)^(DQ$56-Voorblad!$F$41),0)</f>
        <v>0</v>
      </c>
      <c r="DR234" s="9">
        <f>IF($W234=DR$56,HS234*($Q234*$S234)/(1+Voorblad!$K$44)^(DR$56-Voorblad!$F$41),0)</f>
        <v>0</v>
      </c>
      <c r="DS234" s="9">
        <f>IF($W234=DS$56,HT234*($Q234*$S234)/(1+Voorblad!$K$44)^(DS$56-Voorblad!$F$41),0)</f>
        <v>0</v>
      </c>
      <c r="DT234" s="9">
        <f>IF($W234=DT$56,HU234*($Q234*$S234)/(1+Voorblad!$K$44)^(DT$56-Voorblad!$F$41),0)</f>
        <v>0</v>
      </c>
      <c r="DU234" s="9">
        <f>IF($W234=DU$56,HV234*($Q234*$S234)/(1+Voorblad!$K$44)^(DU$56-Voorblad!$F$41),0)</f>
        <v>0</v>
      </c>
      <c r="DV234" s="9">
        <f>IF($W234=DV$56,HW234*($Q234*$S234)/(1+Voorblad!$K$44)^(DV$56-Voorblad!$F$41),0)</f>
        <v>0</v>
      </c>
      <c r="DW234" s="9">
        <f>IF($W234=DW$56,HX234*($Q234*$S234)/(1+Voorblad!$K$44)^(DW$56-Voorblad!$F$41),0)</f>
        <v>0</v>
      </c>
      <c r="DX234" s="9">
        <f>IF($W234=DX$56,HY234*($Q234*$S234)/(1+Voorblad!$K$44)^(DX$56-Voorblad!$F$41),0)</f>
        <v>0</v>
      </c>
      <c r="DY234" s="9">
        <f>IF($W234=DY$56,HZ234*($Q234*$S234)/(1+Voorblad!$K$44)^(DY$56-Voorblad!$F$41),0)</f>
        <v>0</v>
      </c>
      <c r="DZ234" s="9">
        <f>IF($W234=DZ$56,IA234*($Q234*$S234)/(1+Voorblad!$K$44)^(DZ$56-Voorblad!$F$41),0)</f>
        <v>0</v>
      </c>
      <c r="EA234" s="9">
        <f>IF($W234=EA$56,IB234*($Q234*$S234)/(1+Voorblad!$K$44)^(EA$56-Voorblad!$F$41),0)</f>
        <v>0</v>
      </c>
      <c r="EB234" s="9">
        <f>IF($W234=EB$56,IC234*($Q234*$S234)/(1+Voorblad!$K$44)^(EB$56-Voorblad!$F$41),0)</f>
        <v>0</v>
      </c>
      <c r="EE234" s="8">
        <v>0</v>
      </c>
      <c r="EF234" s="8">
        <f>IF(EF$56-Voorblad!$F$41&gt;Voorblad!$K$41,0,IF($U234=0,0,IF($U234&lt;1,1/$U234,IF((EF$56-Voorblad!$F$41)/$U234-SUM($EE234:EE234)=1,1,0))))</f>
        <v>0</v>
      </c>
      <c r="EG234" s="8">
        <f>IF(EG$56-Voorblad!$F$41&gt;Voorblad!$K$41,0,IF($U234=0,0,IF($U234&lt;1,1/$U234,IF((EG$56-Voorblad!$F$41)/$U234-SUM($EE234:EF234)=1,1,0))))</f>
        <v>1</v>
      </c>
      <c r="EH234" s="8">
        <f>IF(EH$56-Voorblad!$F$41&gt;Voorblad!$K$41,0,IF($U234=0,0,IF($U234&lt;1,1/$U234,IF((EH$56-Voorblad!$F$41)/$U234-SUM($EE234:EG234)=1,1,0))))</f>
        <v>1</v>
      </c>
      <c r="EI234" s="8">
        <f>IF(EI$56-Voorblad!$F$41&gt;Voorblad!$K$41,0,IF($U234=0,0,IF($U234&lt;1,1/$U234,IF((EI$56-Voorblad!$F$41)/$U234-SUM($EE234:EH234)=1,1,0))))</f>
        <v>1</v>
      </c>
      <c r="EJ234" s="8">
        <f>IF(EJ$56-Voorblad!$F$41&gt;Voorblad!$K$41,0,IF($U234=0,0,IF($U234&lt;1,1/$U234,IF((EJ$56-Voorblad!$F$41)/$U234-SUM($EE234:EI234)=1,1,0))))</f>
        <v>1</v>
      </c>
      <c r="EK234" s="8">
        <f>IF(EK$56-Voorblad!$F$41&gt;Voorblad!$K$41,0,IF($U234=0,0,IF($U234&lt;1,1/$U234,IF((EK$56-Voorblad!$F$41)/$U234-SUM($EE234:EJ234)=1,1,0))))</f>
        <v>1</v>
      </c>
      <c r="EL234" s="8">
        <f>IF(EL$56-Voorblad!$F$41&gt;Voorblad!$K$41,0,IF($U234=0,0,IF($U234&lt;1,1/$U234,IF((EL$56-Voorblad!$F$41)/$U234-SUM($EE234:EK234)=1,1,0))))</f>
        <v>1</v>
      </c>
      <c r="EM234" s="8">
        <f>IF(EM$56-Voorblad!$F$41&gt;Voorblad!$K$41,0,IF($U234=0,0,IF($U234&lt;1,1/$U234,IF((EM$56-Voorblad!$F$41)/$U234-SUM($EE234:EL234)=1,1,0))))</f>
        <v>1</v>
      </c>
      <c r="EN234" s="8">
        <f>IF(EN$56-Voorblad!$F$41&gt;Voorblad!$K$41,0,IF($U234=0,0,IF($U234&lt;1,1/$U234,IF((EN$56-Voorblad!$F$41)/$U234-SUM($EE234:EM234)=1,1,0))))</f>
        <v>1</v>
      </c>
      <c r="EO234" s="8">
        <f>IF(EO$56-Voorblad!$F$41&gt;Voorblad!$K$41,0,IF($U234=0,0,IF($U234&lt;1,1/$U234,IF((EO$56-Voorblad!$F$41)/$U234-SUM($EE234:EN234)=1,1,0))))</f>
        <v>1</v>
      </c>
      <c r="EP234" s="8">
        <f>IF(EP$56-Voorblad!$F$41&gt;Voorblad!$K$41,0,IF($U234=0,0,IF($U234&lt;1,1/$U234,IF((EP$56-Voorblad!$F$41)/$U234-SUM($EE234:EO234)=1,1,0))))</f>
        <v>1</v>
      </c>
      <c r="EQ234" s="8">
        <f>IF(EQ$56-Voorblad!$F$41&gt;Voorblad!$K$41,0,IF($U234=0,0,IF($U234&lt;1,1/$U234,IF((EQ$56-Voorblad!$F$41)/$U234-SUM($EE234:EP234)=1,1,0))))</f>
        <v>1</v>
      </c>
      <c r="ER234" s="8">
        <f>IF(ER$56-Voorblad!$F$41&gt;Voorblad!$K$41,0,IF($U234=0,0,IF($U234&lt;1,1/$U234,IF((ER$56-Voorblad!$F$41)/$U234-SUM($EE234:EQ234)=1,1,0))))</f>
        <v>1</v>
      </c>
      <c r="ES234" s="8">
        <f>IF(ES$56-Voorblad!$F$41&gt;Voorblad!$K$41,0,IF($U234=0,0,IF($U234&lt;1,1/$U234,IF((ES$56-Voorblad!$F$41)/$U234-SUM($EE234:ER234)=1,1,0))))</f>
        <v>1</v>
      </c>
      <c r="ET234" s="8">
        <f>IF(ET$56-Voorblad!$F$41&gt;Voorblad!$K$41,0,IF($U234=0,0,IF($U234&lt;1,1/$U234,IF((ET$56-Voorblad!$F$41)/$U234-SUM($EE234:ES234)=1,1,0))))</f>
        <v>1</v>
      </c>
      <c r="EU234" s="8">
        <f>IF(EU$56-Voorblad!$F$41&gt;Voorblad!$K$41,0,IF($U234=0,0,IF($U234&lt;1,1/$U234,IF((EU$56-Voorblad!$F$41)/$U234-SUM($EE234:ET234)=1,1,0))))</f>
        <v>1</v>
      </c>
      <c r="EV234" s="8">
        <f>IF(EV$56-Voorblad!$F$41&gt;Voorblad!$K$41,0,IF($U234=0,0,IF($U234&lt;1,1/$U234,IF((EV$56-Voorblad!$F$41)/$U234-SUM($EE234:EU234)=1,1,0))))</f>
        <v>1</v>
      </c>
      <c r="EW234" s="8">
        <f>IF(EW$56-Voorblad!$F$41&gt;Voorblad!$K$41,0,IF($U234=0,0,IF($U234&lt;1,1/$U234,IF((EW$56-Voorblad!$F$41)/$U234-SUM($EE234:EV234)=1,1,0))))</f>
        <v>1</v>
      </c>
      <c r="EX234" s="8">
        <f>IF(EX$56-Voorblad!$F$41&gt;Voorblad!$K$41,0,IF($U234=0,0,IF($U234&lt;1,1/$U234,IF((EX$56-Voorblad!$F$41)/$U234-SUM($EE234:EW234)=1,1,0))))</f>
        <v>1</v>
      </c>
      <c r="EY234" s="8">
        <f>IF(EY$56-Voorblad!$F$41&gt;Voorblad!$K$41,0,IF($U234=0,0,IF($U234&lt;1,1/$U234,IF((EY$56-Voorblad!$F$41)/$U234-SUM($EE234:EX234)=1,1,0))))</f>
        <v>1</v>
      </c>
      <c r="EZ234" s="8">
        <f>IF(EZ$56-Voorblad!$F$41&gt;Voorblad!$K$41,0,IF($U234=0,0,IF($U234&lt;1,1/$U234,IF((EZ$56-Voorblad!$F$41)/$U234-SUM($EE234:EY234)=1,1,0))))</f>
        <v>1</v>
      </c>
      <c r="FA234" s="8">
        <f>IF(FA$56-Voorblad!$F$41&gt;Voorblad!$K$41,0,IF($U234=0,0,IF($U234&lt;1,1/$U234,IF((FA$56-Voorblad!$F$41)/$U234-SUM($EE234:EZ234)=1,1,0))))</f>
        <v>1</v>
      </c>
      <c r="FB234" s="8">
        <f>IF(FB$56-Voorblad!$F$41&gt;Voorblad!$K$41,0,IF($U234=0,0,IF($U234&lt;1,1/$U234,IF((FB$56-Voorblad!$F$41)/$U234-SUM($EE234:FA234)=1,1,0))))</f>
        <v>1</v>
      </c>
      <c r="FC234" s="8">
        <f>IF(FC$56-Voorblad!$F$41&gt;Voorblad!$K$41,0,IF($U234=0,0,IF($U234&lt;1,1/$U234,IF((FC$56-Voorblad!$F$41)/$U234-SUM($EE234:FB234)=1,1,0))))</f>
        <v>1</v>
      </c>
      <c r="FD234" s="8">
        <f>IF(FD$56-Voorblad!$F$41&gt;Voorblad!$K$41,0,IF($U234=0,0,IF($U234&lt;1,1/$U234,IF((FD$56-Voorblad!$F$41)/$U234-SUM($EE234:FC234)=1,1,0))))</f>
        <v>1</v>
      </c>
      <c r="FE234" s="8">
        <f>IF(FE$56-Voorblad!$F$41&gt;Voorblad!$K$41,0,IF($U234=0,0,IF($U234&lt;1,1/$U234,IF((FE$56-Voorblad!$F$41)/$U234-SUM($EE234:FD234)=1,1,0))))</f>
        <v>1</v>
      </c>
      <c r="FF234" s="8">
        <f>IF(FF$56-Voorblad!$F$41&gt;Voorblad!$K$41,0,IF($U234=0,0,IF($U234&lt;1,1/$U234,IF((FF$56-Voorblad!$F$41)/$U234-SUM($EE234:FE234)=1,1,0))))</f>
        <v>1</v>
      </c>
      <c r="FG234" s="8">
        <f>IF(FG$56-Voorblad!$F$41&gt;Voorblad!$K$41,0,IF($U234=0,0,IF($U234&lt;1,1/$U234,IF((FG$56-Voorblad!$F$41)/$U234-SUM($EE234:FF234)=1,1,0))))</f>
        <v>1</v>
      </c>
      <c r="FH234" s="8">
        <f>IF(FH$56-Voorblad!$F$41&gt;Voorblad!$K$41,0,IF($U234=0,0,IF($U234&lt;1,1/$U234,IF((FH$56-Voorblad!$F$41)/$U234-SUM($EE234:FG234)=1,1,0))))</f>
        <v>1</v>
      </c>
      <c r="FI234" s="8">
        <f>IF(FI$56-Voorblad!$F$41&gt;Voorblad!$K$41,0,IF($U234=0,0,IF($U234&lt;1,1/$U234,IF((FI$56-Voorblad!$F$41)/$U234-SUM($EE234:FH234)=1,1,0))))</f>
        <v>1</v>
      </c>
      <c r="FJ234" s="8">
        <f>IF(FJ$56-Voorblad!$F$41&gt;Voorblad!$K$41,0,IF($U234=0,0,IF($U234&lt;1,1/$U234,IF((FJ$56-Voorblad!$F$41)/$U234-SUM($EE234:FI234)=1,1,0))))</f>
        <v>1</v>
      </c>
      <c r="FK234" s="8">
        <f>IF(FK$56-Voorblad!$F$41&gt;Voorblad!$K$41,0,IF($U234=0,0,IF($U234&lt;1,1/$U234,IF((FK$56-Voorblad!$F$41)/$U234-SUM($EE234:FJ234)=1,1,0))))</f>
        <v>1</v>
      </c>
      <c r="FL234" s="8">
        <f>IF(FL$56-Voorblad!$F$41&gt;Voorblad!$K$41,0,IF($U234=0,0,IF($U234&lt;1,1/$U234,IF((FL$56-Voorblad!$F$41)/$U234-SUM($EE234:FK234)=1,1,0))))</f>
        <v>1</v>
      </c>
      <c r="FM234" s="8">
        <f>IF(FM$56-Voorblad!$F$41&gt;Voorblad!$K$41,0,IF($U234=0,0,IF($U234&lt;1,1/$U234,IF((FM$56-Voorblad!$F$41)/$U234-SUM($EE234:FL234)=1,1,0))))</f>
        <v>1</v>
      </c>
      <c r="FN234" s="8">
        <f>IF(FN$56-Voorblad!$F$41&gt;Voorblad!$K$41,0,IF($U234=0,0,IF($U234&lt;1,1/$U234,IF((FN$56-Voorblad!$F$41)/$U234-SUM($EE234:FM234)=1,1,0))))</f>
        <v>1</v>
      </c>
      <c r="FO234" s="8">
        <f>IF(FO$56-Voorblad!$F$41&gt;Voorblad!$K$41,0,IF($U234=0,0,IF($U234&lt;1,1/$U234,IF((FO$56-Voorblad!$F$41)/$U234-SUM($EE234:FN234)=1,1,0))))</f>
        <v>1</v>
      </c>
      <c r="FP234" s="8">
        <f>IF(FP$56-Voorblad!$F$41&gt;Voorblad!$K$41,0,IF($U234=0,0,IF($U234&lt;1,1/$U234,IF((FP$56-Voorblad!$F$41)/$U234-SUM($EE234:FO234)=1,1,0))))</f>
        <v>1</v>
      </c>
      <c r="FQ234" s="8">
        <f>IF(FQ$56-Voorblad!$F$41&gt;Voorblad!$K$41,0,IF($U234=0,0,IF($U234&lt;1,1/$U234,IF((FQ$56-Voorblad!$F$41)/$U234-SUM($EE234:FP234)=1,1,0))))</f>
        <v>1</v>
      </c>
      <c r="FR234" s="8">
        <f>IF(FR$56-Voorblad!$F$41&gt;Voorblad!$K$41,0,IF($U234=0,0,IF($U234&lt;1,1/$U234,IF((FR$56-Voorblad!$F$41)/$U234-SUM($EE234:FQ234)=1,1,0))))</f>
        <v>1</v>
      </c>
      <c r="FS234" s="8">
        <f>IF(FS$56-Voorblad!$F$41&gt;Voorblad!$K$41,0,IF($U234=0,0,IF($U234&lt;1,1/$U234,IF((FS$56-Voorblad!$F$41)/$U234-SUM($EE234:FR234)=1,1,0))))</f>
        <v>1</v>
      </c>
      <c r="FT234" s="8">
        <f>IF(FT$56-Voorblad!$F$41&gt;Voorblad!$K$41,0,IF($U234=0,0,IF($U234&lt;1,1/$U234,IF((FT$56-Voorblad!$F$41)/$U234-SUM($EE234:FS234)=1,1,0))))</f>
        <v>1</v>
      </c>
      <c r="FU234" s="8">
        <f>IF(FU$56-Voorblad!$F$41&gt;Voorblad!$K$41,0,IF($U234=0,0,IF($U234&lt;1,1/$U234,IF((FU$56-Voorblad!$F$41)/$U234-SUM($EE234:FT234)=1,1,0))))</f>
        <v>1</v>
      </c>
      <c r="FV234" s="8">
        <f>IF(FV$56-Voorblad!$F$41&gt;Voorblad!$K$41,0,IF($U234=0,0,IF($U234&lt;1,1/$U234,IF((FV$56-Voorblad!$F$41)/$U234-SUM($EE234:FU234)=1,1,0))))</f>
        <v>1</v>
      </c>
      <c r="FW234" s="8">
        <f>IF(FW$56-Voorblad!$F$41&gt;Voorblad!$K$41,0,IF($U234=0,0,IF($U234&lt;1,1/$U234,IF((FW$56-Voorblad!$F$41)/$U234-SUM($EE234:FV234)=1,1,0))))</f>
        <v>1</v>
      </c>
      <c r="FX234" s="8">
        <f>IF(FX$56-Voorblad!$F$41&gt;Voorblad!$K$41,0,IF($U234=0,0,IF($U234&lt;1,1/$U234,IF((FX$56-Voorblad!$F$41)/$U234-SUM($EE234:FW234)=1,1,0))))</f>
        <v>1</v>
      </c>
      <c r="FY234" s="8">
        <f>IF(FY$56-Voorblad!$F$41&gt;Voorblad!$K$41,0,IF($U234=0,0,IF($U234&lt;1,1/$U234,IF((FY$56-Voorblad!$F$41)/$U234-SUM($EE234:FX234)=1,1,0))))</f>
        <v>1</v>
      </c>
      <c r="FZ234" s="8">
        <f>IF(FZ$56-Voorblad!$F$41&gt;Voorblad!$K$41,0,IF($U234=0,0,IF($U234&lt;1,1/$U234,IF((FZ$56-Voorblad!$F$41)/$U234-SUM($EE234:FY234)=1,1,0))))</f>
        <v>1</v>
      </c>
      <c r="GA234" s="8">
        <f>IF(GA$56-Voorblad!$F$41&gt;Voorblad!$K$41,0,IF($U234=0,0,IF($U234&lt;1,1/$U234,IF((GA$56-Voorblad!$F$41)/$U234-SUM($EE234:FZ234)=1,1,0))))</f>
        <v>1</v>
      </c>
      <c r="GB234" s="8">
        <f>IF(GB$56-Voorblad!$F$41&gt;Voorblad!$K$41,0,IF($U234=0,0,IF($U234&lt;1,1/$U234,IF((GB$56-Voorblad!$F$41)/$U234-SUM($EE234:GA234)=1,1,0))))</f>
        <v>1</v>
      </c>
      <c r="GC234" s="8">
        <f>IF(GC$56-Voorblad!$F$41&gt;Voorblad!$K$41,0,IF($U234=0,0,IF($U234&lt;1,1/$U234,IF((GC$56-Voorblad!$F$41)/$U234-SUM($EE234:GB234)=1,1,0))))</f>
        <v>1</v>
      </c>
      <c r="GD234" s="8">
        <f>IF(GD$56-Voorblad!$F$41&gt;Voorblad!$K$41,0,IF($U234=0,0,IF($U234&lt;1,1/$U234,IF((GD$56-Voorblad!$F$41)/$U234-SUM($EE234:GC234)=1,1,0))))</f>
        <v>1</v>
      </c>
      <c r="GE234" s="8">
        <f>IF(GE$56-Voorblad!$F$41&gt;Voorblad!$K$41,0,IF($U234=0,0,IF($U234&lt;1,1/$U234,IF((GE$56-Voorblad!$F$41)/$U234-SUM($EE234:GD234)=1,1,0))))</f>
        <v>1</v>
      </c>
      <c r="GF234" s="8">
        <f>IF(GF$56-Voorblad!$F$41&gt;Voorblad!$K$41,0,IF($U234=0,0,IF($U234&lt;1,1/$U234,IF((GF$56-Voorblad!$F$41)/$U234-SUM($EE234:GE234)=1,1,0))))</f>
        <v>1</v>
      </c>
      <c r="GG234" s="8">
        <f>IF(GG$56-Voorblad!$F$41&gt;Voorblad!$K$41,0,IF($U234=0,0,IF($U234&lt;1,1/$U234,IF((GG$56-Voorblad!$F$41)/$U234-SUM($EE234:GF234)=1,1,0))))</f>
        <v>1</v>
      </c>
      <c r="GH234" s="8">
        <f>IF(GH$56-Voorblad!$F$41&gt;Voorblad!$K$41,0,IF($U234=0,0,IF($U234&lt;1,1/$U234,IF((GH$56-Voorblad!$F$41)/$U234-SUM($EE234:GG234)=1,1,0))))</f>
        <v>1</v>
      </c>
      <c r="GI234" s="8">
        <f>IF(GI$56-Voorblad!$F$41&gt;Voorblad!$K$41,0,IF($U234=0,0,IF($U234&lt;1,1/$U234,IF((GI$56-Voorblad!$F$41)/$U234-SUM($EE234:GH234)=1,1,0))))</f>
        <v>1</v>
      </c>
      <c r="GJ234" s="8">
        <f>IF(GJ$56-Voorblad!$F$41&gt;Voorblad!$K$41,0,IF($U234=0,0,IF($U234&lt;1,1/$U234,IF((GJ$56-Voorblad!$F$41)/$U234-SUM($EE234:GI234)=1,1,0))))</f>
        <v>1</v>
      </c>
      <c r="GK234" s="8">
        <f>IF(GK$56-Voorblad!$F$41&gt;Voorblad!$K$41,0,IF($U234=0,0,IF($U234&lt;1,1/$U234,IF((GK$56-Voorblad!$F$41)/$U234-SUM($EE234:GJ234)=1,1,0))))</f>
        <v>1</v>
      </c>
      <c r="GL234" s="8">
        <f>IF(GL$56-Voorblad!$F$41&gt;Voorblad!$K$41,0,IF($U234=0,0,IF($U234&lt;1,1/$U234,IF((GL$56-Voorblad!$F$41)/$U234-SUM($EE234:GK234)=1,1,0))))</f>
        <v>1</v>
      </c>
      <c r="GM234" s="8">
        <f>IF(GM$56-Voorblad!$F$41&gt;Voorblad!$K$41,0,IF($U234=0,0,IF($U234&lt;1,1/$U234,IF((GM$56-Voorblad!$F$41)/$U234-SUM($EE234:GL234)=1,1,0))))</f>
        <v>1</v>
      </c>
      <c r="GN234" s="8">
        <f>IF(GN$56-Voorblad!$F$41&gt;Voorblad!$K$41,0,IF($U234=0,0,IF($U234&lt;1,1/$U234,IF((GN$56-Voorblad!$F$41)/$U234-SUM($EE234:GM234)=1,1,0))))</f>
        <v>1</v>
      </c>
      <c r="GO234" s="8">
        <f>IF(GO$56-Voorblad!$F$41&gt;Voorblad!$K$41,0,IF($U234=0,0,IF($U234&lt;1,1/$U234,IF((GO$56-Voorblad!$F$41)/$U234-SUM($EE234:GN234)=1,1,0))))</f>
        <v>1</v>
      </c>
      <c r="GP234" s="8">
        <f>IF(GP$56-Voorblad!$F$41&gt;Voorblad!$K$41,0,IF($U234=0,0,IF($U234&lt;1,1/$U234,IF((GP$56-Voorblad!$F$41)/$U234-SUM($EE234:GO234)=1,1,0))))</f>
        <v>1</v>
      </c>
      <c r="GQ234" s="8">
        <f>IF(GQ$56-Voorblad!$F$41&gt;Voorblad!$K$41,0,IF($U234=0,0,IF($U234&lt;1,1/$U234,IF((GQ$56-Voorblad!$F$41)/$U234-SUM($EE234:GP234)=1,1,0))))</f>
        <v>1</v>
      </c>
      <c r="GR234" s="8">
        <f>IF(GR$56-Voorblad!$F$41&gt;Voorblad!$K$41,0,IF($U234=0,0,IF($U234&lt;1,1/$U234,IF((GR$56-Voorblad!$F$41)/$U234-SUM($EE234:GQ234)=1,1,0))))</f>
        <v>1</v>
      </c>
      <c r="GS234" s="8">
        <f>IF(GS$56-Voorblad!$F$41&gt;Voorblad!$K$41,0,IF($U234=0,0,IF($U234&lt;1,1/$U234,IF((GS$56-Voorblad!$F$41)/$U234-SUM($EE234:GR234)=1,1,0))))</f>
        <v>1</v>
      </c>
      <c r="GT234" s="8">
        <f>IF(GT$56-Voorblad!$F$41&gt;Voorblad!$K$41,0,IF($U234=0,0,IF($U234&lt;1,1/$U234,IF((GT$56-Voorblad!$F$41)/$U234-SUM($EE234:GS234)=1,1,0))))</f>
        <v>1</v>
      </c>
      <c r="GU234" s="8">
        <f>IF(GU$56-Voorblad!$F$41&gt;Voorblad!$K$41,0,IF($U234=0,0,IF($U234&lt;1,1/$U234,IF((GU$56-Voorblad!$F$41)/$U234-SUM($EE234:GT234)=1,1,0))))</f>
        <v>1</v>
      </c>
      <c r="GV234" s="8">
        <f>IF(GV$56-Voorblad!$F$41&gt;Voorblad!$K$41,0,IF($U234=0,0,IF($U234&lt;1,1/$U234,IF((GV$56-Voorblad!$F$41)/$U234-SUM($EE234:GU234)=1,1,0))))</f>
        <v>1</v>
      </c>
      <c r="GW234" s="8">
        <f>IF(GW$56-Voorblad!$F$41&gt;Voorblad!$K$41,0,IF($U234=0,0,IF($U234&lt;1,1/$U234,IF((GW$56-Voorblad!$F$41)/$U234-SUM($EE234:GV234)=1,1,0))))</f>
        <v>1</v>
      </c>
      <c r="GX234" s="8">
        <f>IF(GX$56-Voorblad!$F$41&gt;Voorblad!$K$41,0,IF($U234=0,0,IF($U234&lt;1,1/$U234,IF((GX$56-Voorblad!$F$41)/$U234-SUM($EE234:GW234)=1,1,0))))</f>
        <v>1</v>
      </c>
      <c r="GY234" s="8">
        <f>IF(GY$56-Voorblad!$F$41&gt;Voorblad!$K$41,0,IF($U234=0,0,IF($U234&lt;1,1/$U234,IF((GY$56-Voorblad!$F$41)/$U234-SUM($EE234:GX234)=1,1,0))))</f>
        <v>1</v>
      </c>
      <c r="GZ234" s="8">
        <f>IF(GZ$56-Voorblad!$F$41&gt;Voorblad!$K$41,0,IF($U234=0,0,IF($U234&lt;1,1/$U234,IF((GZ$56-Voorblad!$F$41)/$U234-SUM($EE234:GY234)=1,1,0))))</f>
        <v>1</v>
      </c>
      <c r="HA234" s="8">
        <f>IF(HA$56-Voorblad!$F$41&gt;Voorblad!$K$41,0,IF($U234=0,0,IF($U234&lt;1,1/$U234,IF((HA$56-Voorblad!$F$41)/$U234-SUM($EE234:GZ234)=1,1,0))))</f>
        <v>1</v>
      </c>
      <c r="HB234" s="8">
        <f>IF(HB$56-Voorblad!$F$41&gt;Voorblad!$K$41,0,IF($U234=0,0,IF($U234&lt;1,1/$U234,IF((HB$56-Voorblad!$F$41)/$U234-SUM($EE234:HA234)=1,1,0))))</f>
        <v>0</v>
      </c>
      <c r="HC234" s="8">
        <f>IF(HC$56-Voorblad!$F$41&gt;Voorblad!$K$41,0,IF($U234=0,0,IF($U234&lt;1,1/$U234,IF((HC$56-Voorblad!$F$41)/$U234-SUM($EE234:HB234)=1,1,0))))</f>
        <v>0</v>
      </c>
      <c r="HD234" s="8">
        <f>IF(HD$56-Voorblad!$F$41&gt;Voorblad!$K$41,0,IF($U234=0,0,IF($U234&lt;1,1/$U234,IF((HD$56-Voorblad!$F$41)/$U234-SUM($EE234:HC234)=1,1,0))))</f>
        <v>0</v>
      </c>
      <c r="HE234" s="8">
        <f>IF(HE$56-Voorblad!$F$41&gt;Voorblad!$K$41,0,IF($U234=0,0,IF($U234&lt;1,1/$U234,IF((HE$56-Voorblad!$F$41)/$U234-SUM($EE234:HD234)=1,1,0))))</f>
        <v>0</v>
      </c>
      <c r="HF234" s="8">
        <f>IF(HF$56-Voorblad!$F$41&gt;Voorblad!$K$41,0,IF($U234=0,0,IF($U234&lt;1,1/$U234,IF((HF$56-Voorblad!$F$41)/$U234-SUM($EE234:HE234)=1,1,0))))</f>
        <v>0</v>
      </c>
      <c r="HG234" s="8">
        <f>IF(HG$56-Voorblad!$F$41&gt;Voorblad!$K$41,0,IF($U234=0,0,IF($U234&lt;1,1/$U234,IF((HG$56-Voorblad!$F$41)/$U234-SUM($EE234:HF234)=1,1,0))))</f>
        <v>0</v>
      </c>
      <c r="HH234" s="8">
        <f>IF(HH$56-Voorblad!$F$41&gt;Voorblad!$K$41,0,IF($U234=0,0,IF($U234&lt;1,1/$U234,IF((HH$56-Voorblad!$F$41)/$U234-SUM($EE234:HG234)=1,1,0))))</f>
        <v>0</v>
      </c>
      <c r="HI234" s="8">
        <f>IF(HI$56-Voorblad!$F$41&gt;Voorblad!$K$41,0,IF($U234=0,0,IF($U234&lt;1,1/$U234,IF((HI$56-Voorblad!$F$41)/$U234-SUM($EE234:HH234)=1,1,0))))</f>
        <v>0</v>
      </c>
      <c r="HJ234" s="8">
        <f>IF(HJ$56-Voorblad!$F$41&gt;Voorblad!$K$41,0,IF($U234=0,0,IF($U234&lt;1,1/$U234,IF((HJ$56-Voorblad!$F$41)/$U234-SUM($EE234:HI234)=1,1,0))))</f>
        <v>0</v>
      </c>
      <c r="HK234" s="8">
        <f>IF(HK$56-Voorblad!$F$41&gt;Voorblad!$K$41,0,IF($U234=0,0,IF($U234&lt;1,1/$U234,IF((HK$56-Voorblad!$F$41)/$U234-SUM($EE234:HJ234)=1,1,0))))</f>
        <v>0</v>
      </c>
      <c r="HL234" s="8">
        <f>IF(HL$56-Voorblad!$F$41&gt;Voorblad!$K$41,0,IF($U234=0,0,IF($U234&lt;1,1/$U234,IF((HL$56-Voorblad!$F$41)/$U234-SUM($EE234:HK234)=1,1,0))))</f>
        <v>0</v>
      </c>
      <c r="HM234" s="8">
        <f>IF(HM$56-Voorblad!$F$41&gt;Voorblad!$K$41,0,IF($U234=0,0,IF($U234&lt;1,1/$U234,IF((HM$56-Voorblad!$F$41)/$U234-SUM($EE234:HL234)=1,1,0))))</f>
        <v>0</v>
      </c>
      <c r="HN234" s="8">
        <f>IF(HN$56-Voorblad!$F$41&gt;Voorblad!$K$41,0,IF($U234=0,0,IF($U234&lt;1,1/$U234,IF((HN$56-Voorblad!$F$41)/$U234-SUM($EE234:HM234)=1,1,0))))</f>
        <v>0</v>
      </c>
      <c r="HO234" s="8">
        <f>IF(HO$56-Voorblad!$F$41&gt;Voorblad!$K$41,0,IF($U234=0,0,IF($U234&lt;1,1/$U234,IF((HO$56-Voorblad!$F$41)/$U234-SUM($EE234:HN234)=1,1,0))))</f>
        <v>0</v>
      </c>
      <c r="HP234" s="8">
        <f>IF(HP$56-Voorblad!$F$41&gt;Voorblad!$K$41,0,IF($U234=0,0,IF($U234&lt;1,1/$U234,IF((HP$56-Voorblad!$F$41)/$U234-SUM($EE234:HO234)=1,1,0))))</f>
        <v>0</v>
      </c>
      <c r="HQ234" s="8">
        <f>IF(HQ$56-Voorblad!$F$41&gt;Voorblad!$K$41,0,IF($U234=0,0,IF($U234&lt;1,1/$U234,IF((HQ$56-Voorblad!$F$41)/$U234-SUM($EE234:HP234)=1,1,0))))</f>
        <v>0</v>
      </c>
      <c r="HR234" s="8">
        <f>IF(HR$56-Voorblad!$F$41&gt;Voorblad!$K$41,0,IF($U234=0,0,IF($U234&lt;1,1/$U234,IF((HR$56-Voorblad!$F$41)/$U234-SUM($EE234:HQ234)=1,1,0))))</f>
        <v>0</v>
      </c>
      <c r="HS234" s="8">
        <f>IF(HS$56-Voorblad!$F$41&gt;Voorblad!$K$41,0,IF($U234=0,0,IF($U234&lt;1,1/$U234,IF((HS$56-Voorblad!$F$41)/$U234-SUM($EE234:HR234)=1,1,0))))</f>
        <v>0</v>
      </c>
      <c r="HT234" s="8">
        <f>IF(HT$56-Voorblad!$F$41&gt;Voorblad!$K$41,0,IF($U234=0,0,IF($U234&lt;1,1/$U234,IF((HT$56-Voorblad!$F$41)/$U234-SUM($EE234:HS234)=1,1,0))))</f>
        <v>0</v>
      </c>
      <c r="HU234" s="8">
        <f>IF(HU$56-Voorblad!$F$41&gt;Voorblad!$K$41,0,IF($U234=0,0,IF($U234&lt;1,1/$U234,IF((HU$56-Voorblad!$F$41)/$U234-SUM($EE234:HT234)=1,1,0))))</f>
        <v>0</v>
      </c>
      <c r="HV234" s="8">
        <f>IF(HV$56-Voorblad!$F$41&gt;Voorblad!$K$41,0,IF($U234=0,0,IF($U234&lt;1,1/$U234,IF((HV$56-Voorblad!$F$41)/$U234-SUM($EE234:HU234)=1,1,0))))</f>
        <v>0</v>
      </c>
      <c r="HW234" s="8">
        <f>IF(HW$56-Voorblad!$F$41&gt;Voorblad!$K$41,0,IF($U234=0,0,IF($U234&lt;1,1/$U234,IF((HW$56-Voorblad!$F$41)/$U234-SUM($EE234:HV234)=1,1,0))))</f>
        <v>0</v>
      </c>
      <c r="HX234" s="8">
        <f>IF(HX$56-Voorblad!$F$41&gt;Voorblad!$K$41,0,IF($U234=0,0,IF($U234&lt;1,1/$U234,IF((HX$56-Voorblad!$F$41)/$U234-SUM($EE234:HW234)=1,1,0))))</f>
        <v>0</v>
      </c>
      <c r="HY234" s="8">
        <f>IF(HY$56-Voorblad!$F$41&gt;Voorblad!$K$41,0,IF($U234=0,0,IF($U234&lt;1,1/$U234,IF((HY$56-Voorblad!$F$41)/$U234-SUM($EE234:HX234)=1,1,0))))</f>
        <v>0</v>
      </c>
      <c r="HZ234" s="8">
        <f>IF(HZ$56-Voorblad!$F$41&gt;Voorblad!$K$41,0,IF($U234=0,0,IF($U234&lt;1,1/$U234,IF((HZ$56-Voorblad!$F$41)/$U234-SUM($EE234:HY234)=1,1,0))))</f>
        <v>0</v>
      </c>
      <c r="IA234" s="8">
        <f>IF(IA$56-Voorblad!$F$41&gt;Voorblad!$K$41,0,IF($U234=0,0,IF($U234&lt;1,1/$U234,IF((IA$56-Voorblad!$F$41)/$U234-SUM($EE234:HZ234)=1,1,0))))</f>
        <v>0</v>
      </c>
      <c r="IB234" s="8">
        <f>IF(IB$56-Voorblad!$F$41&gt;Voorblad!$K$41,0,IF($U234=0,0,IF($U234&lt;1,1/$U234,IF((IB$56-Voorblad!$F$41)/$U234-SUM($EE234:IA234)=1,1,0))))</f>
        <v>0</v>
      </c>
    </row>
    <row r="235" spans="2:236" outlineLevel="1" x14ac:dyDescent="0.25">
      <c r="B235" s="14">
        <v>1</v>
      </c>
      <c r="C235" s="14"/>
      <c r="F235" s="1" t="s">
        <v>26</v>
      </c>
      <c r="I235" s="1" t="s">
        <v>49</v>
      </c>
      <c r="K235" s="1" t="s">
        <v>45</v>
      </c>
      <c r="O235" s="1" t="s">
        <v>106</v>
      </c>
      <c r="P235" s="1" t="s">
        <v>316</v>
      </c>
      <c r="Q235" s="83">
        <f>1.8*96</f>
        <v>172.8</v>
      </c>
      <c r="R235" s="1" t="s">
        <v>102</v>
      </c>
      <c r="S235" s="1">
        <v>-50</v>
      </c>
      <c r="T235" s="14">
        <f t="shared" si="201"/>
        <v>-8640</v>
      </c>
      <c r="U235" s="11">
        <v>1</v>
      </c>
      <c r="V235" s="14">
        <f>Voorblad!F24+100</f>
        <v>2101</v>
      </c>
      <c r="W235" s="9">
        <f>Voorblad!$K$77</f>
        <v>2101</v>
      </c>
      <c r="X235" s="6"/>
      <c r="Y235" s="9">
        <f t="shared" ref="Y235" si="207">SUM(AE235:EB235)</f>
        <v>-1424.5298988066938</v>
      </c>
      <c r="AE235" s="9">
        <f>IF($W235=AE$56,EF235*($Q235*$S235)/(1+Voorblad!$K$44)^(AE$56-Voorblad!$F$41),0)</f>
        <v>0</v>
      </c>
      <c r="AF235" s="9">
        <f>IF($W235=AF$56,EG235*($Q235*$S235)/(1+Voorblad!$K$44)^(AF$56-Voorblad!$F$41),0)</f>
        <v>0</v>
      </c>
      <c r="AG235" s="9">
        <f>IF($W235=AG$56,EH235*($Q235*$S235)/(1+Voorblad!$K$44)^(AG$56-Voorblad!$F$41),0)</f>
        <v>0</v>
      </c>
      <c r="AH235" s="9">
        <f>IF($W235=AH$56,EI235*($Q235*$S235)/(1+Voorblad!$K$44)^(AH$56-Voorblad!$F$41),0)</f>
        <v>0</v>
      </c>
      <c r="AI235" s="9">
        <f>IF($W235=AI$56,EJ235*($Q235*$S235)/(1+Voorblad!$K$44)^(AI$56-Voorblad!$F$41),0)</f>
        <v>0</v>
      </c>
      <c r="AJ235" s="9">
        <f>IF($W235=AJ$56,EK235*($Q235*$S235)/(1+Voorblad!$K$44)^(AJ$56-Voorblad!$F$41),0)</f>
        <v>0</v>
      </c>
      <c r="AK235" s="9">
        <f>IF($W235=AK$56,EL235*($Q235*$S235)/(1+Voorblad!$K$44)^(AK$56-Voorblad!$F$41),0)</f>
        <v>0</v>
      </c>
      <c r="AL235" s="9">
        <f>IF($W235=AL$56,EM235*($Q235*$S235)/(1+Voorblad!$K$44)^(AL$56-Voorblad!$F$41),0)</f>
        <v>0</v>
      </c>
      <c r="AM235" s="9">
        <f>IF($W235=AM$56,EN235*($Q235*$S235)/(1+Voorblad!$K$44)^(AM$56-Voorblad!$F$41),0)</f>
        <v>0</v>
      </c>
      <c r="AN235" s="9">
        <f>IF($W235=AN$56,EO235*($Q235*$S235)/(1+Voorblad!$K$44)^(AN$56-Voorblad!$F$41),0)</f>
        <v>0</v>
      </c>
      <c r="AO235" s="9">
        <f>IF($W235=AO$56,EP235*($Q235*$S235)/(1+Voorblad!$K$44)^(AO$56-Voorblad!$F$41),0)</f>
        <v>0</v>
      </c>
      <c r="AP235" s="9">
        <f>IF($W235=AP$56,EQ235*($Q235*$S235)/(1+Voorblad!$K$44)^(AP$56-Voorblad!$F$41),0)</f>
        <v>0</v>
      </c>
      <c r="AQ235" s="9">
        <f>IF($W235=AQ$56,ER235*($Q235*$S235)/(1+Voorblad!$K$44)^(AQ$56-Voorblad!$F$41),0)</f>
        <v>0</v>
      </c>
      <c r="AR235" s="9">
        <f>IF($W235=AR$56,ES235*($Q235*$S235)/(1+Voorblad!$K$44)^(AR$56-Voorblad!$F$41),0)</f>
        <v>0</v>
      </c>
      <c r="AS235" s="9">
        <f>IF($W235=AS$56,ET235*($Q235*$S235)/(1+Voorblad!$K$44)^(AS$56-Voorblad!$F$41),0)</f>
        <v>0</v>
      </c>
      <c r="AT235" s="9">
        <f>IF($W235=AT$56,EU235*($Q235*$S235)/(1+Voorblad!$K$44)^(AT$56-Voorblad!$F$41),0)</f>
        <v>0</v>
      </c>
      <c r="AU235" s="9">
        <f>IF($W235=AU$56,EV235*($Q235*$S235)/(1+Voorblad!$K$44)^(AU$56-Voorblad!$F$41),0)</f>
        <v>0</v>
      </c>
      <c r="AV235" s="9">
        <f>IF($W235=AV$56,EW235*($Q235*$S235)/(1+Voorblad!$K$44)^(AV$56-Voorblad!$F$41),0)</f>
        <v>0</v>
      </c>
      <c r="AW235" s="9">
        <f>IF($W235=AW$56,EX235*($Q235*$S235)/(1+Voorblad!$K$44)^(AW$56-Voorblad!$F$41),0)</f>
        <v>0</v>
      </c>
      <c r="AX235" s="9">
        <f>IF($W235=AX$56,EY235*($Q235*$S235)/(1+Voorblad!$K$44)^(AX$56-Voorblad!$F$41),0)</f>
        <v>0</v>
      </c>
      <c r="AY235" s="9">
        <f>IF($W235=AY$56,EZ235*($Q235*$S235)/(1+Voorblad!$K$44)^(AY$56-Voorblad!$F$41),0)</f>
        <v>0</v>
      </c>
      <c r="AZ235" s="9">
        <f>IF($W235=AZ$56,FA235*($Q235*$S235)/(1+Voorblad!$K$44)^(AZ$56-Voorblad!$F$41),0)</f>
        <v>0</v>
      </c>
      <c r="BA235" s="9">
        <f>IF($W235=BA$56,FB235*($Q235*$S235)/(1+Voorblad!$K$44)^(BA$56-Voorblad!$F$41),0)</f>
        <v>0</v>
      </c>
      <c r="BB235" s="9">
        <f>IF($W235=BB$56,FC235*($Q235*$S235)/(1+Voorblad!$K$44)^(BB$56-Voorblad!$F$41),0)</f>
        <v>0</v>
      </c>
      <c r="BC235" s="9">
        <f>IF($W235=BC$56,FD235*($Q235*$S235)/(1+Voorblad!$K$44)^(BC$56-Voorblad!$F$41),0)</f>
        <v>0</v>
      </c>
      <c r="BD235" s="9">
        <f>IF($W235=BD$56,FE235*($Q235*$S235)/(1+Voorblad!$K$44)^(BD$56-Voorblad!$F$41),0)</f>
        <v>0</v>
      </c>
      <c r="BE235" s="9">
        <f>IF($W235=BE$56,FF235*($Q235*$S235)/(1+Voorblad!$K$44)^(BE$56-Voorblad!$F$41),0)</f>
        <v>0</v>
      </c>
      <c r="BF235" s="9">
        <f>IF($W235=BF$56,FG235*($Q235*$S235)/(1+Voorblad!$K$44)^(BF$56-Voorblad!$F$41),0)</f>
        <v>0</v>
      </c>
      <c r="BG235" s="9">
        <f>IF($W235=BG$56,FH235*($Q235*$S235)/(1+Voorblad!$K$44)^(BG$56-Voorblad!$F$41),0)</f>
        <v>0</v>
      </c>
      <c r="BH235" s="9">
        <f>IF($W235=BH$56,FI235*($Q235*$S235)/(1+Voorblad!$K$44)^(BH$56-Voorblad!$F$41),0)</f>
        <v>0</v>
      </c>
      <c r="BI235" s="9">
        <f>IF($W235=BI$56,FJ235*($Q235*$S235)/(1+Voorblad!$K$44)^(BI$56-Voorblad!$F$41),0)</f>
        <v>0</v>
      </c>
      <c r="BJ235" s="9">
        <f>IF($W235=BJ$56,FK235*($Q235*$S235)/(1+Voorblad!$K$44)^(BJ$56-Voorblad!$F$41),0)</f>
        <v>0</v>
      </c>
      <c r="BK235" s="9">
        <f>IF($W235=BK$56,FL235*($Q235*$S235)/(1+Voorblad!$K$44)^(BK$56-Voorblad!$F$41),0)</f>
        <v>0</v>
      </c>
      <c r="BL235" s="9">
        <f>IF($W235=BL$56,FM235*($Q235*$S235)/(1+Voorblad!$K$44)^(BL$56-Voorblad!$F$41),0)</f>
        <v>0</v>
      </c>
      <c r="BM235" s="9">
        <f>IF($W235=BM$56,FN235*($Q235*$S235)/(1+Voorblad!$K$44)^(BM$56-Voorblad!$F$41),0)</f>
        <v>0</v>
      </c>
      <c r="BN235" s="9">
        <f>IF($W235=BN$56,FO235*($Q235*$S235)/(1+Voorblad!$K$44)^(BN$56-Voorblad!$F$41),0)</f>
        <v>0</v>
      </c>
      <c r="BO235" s="9">
        <f>IF($W235=BO$56,FP235*($Q235*$S235)/(1+Voorblad!$K$44)^(BO$56-Voorblad!$F$41),0)</f>
        <v>0</v>
      </c>
      <c r="BP235" s="9">
        <f>IF($W235=BP$56,FQ235*($Q235*$S235)/(1+Voorblad!$K$44)^(BP$56-Voorblad!$F$41),0)</f>
        <v>0</v>
      </c>
      <c r="BQ235" s="9">
        <f>IF($W235=BQ$56,FR235*($Q235*$S235)/(1+Voorblad!$K$44)^(BQ$56-Voorblad!$F$41),0)</f>
        <v>0</v>
      </c>
      <c r="BR235" s="9">
        <f>IF($W235=BR$56,FS235*($Q235*$S235)/(1+Voorblad!$K$44)^(BR$56-Voorblad!$F$41),0)</f>
        <v>0</v>
      </c>
      <c r="BS235" s="9">
        <f>IF($W235=BS$56,FT235*($Q235*$S235)/(1+Voorblad!$K$44)^(BS$56-Voorblad!$F$41),0)</f>
        <v>0</v>
      </c>
      <c r="BT235" s="9">
        <f>IF($W235=BT$56,FU235*($Q235*$S235)/(1+Voorblad!$K$44)^(BT$56-Voorblad!$F$41),0)</f>
        <v>0</v>
      </c>
      <c r="BU235" s="9">
        <f>IF($W235=BU$56,FV235*($Q235*$S235)/(1+Voorblad!$K$44)^(BU$56-Voorblad!$F$41),0)</f>
        <v>0</v>
      </c>
      <c r="BV235" s="9">
        <f>IF($W235=BV$56,FW235*($Q235*$S235)/(1+Voorblad!$K$44)^(BV$56-Voorblad!$F$41),0)</f>
        <v>0</v>
      </c>
      <c r="BW235" s="9">
        <f>IF($W235=BW$56,FX235*($Q235*$S235)/(1+Voorblad!$K$44)^(BW$56-Voorblad!$F$41),0)</f>
        <v>0</v>
      </c>
      <c r="BX235" s="9">
        <f>IF($W235=BX$56,FY235*($Q235*$S235)/(1+Voorblad!$K$44)^(BX$56-Voorblad!$F$41),0)</f>
        <v>0</v>
      </c>
      <c r="BY235" s="9">
        <f>IF($W235=BY$56,FZ235*($Q235*$S235)/(1+Voorblad!$K$44)^(BY$56-Voorblad!$F$41),0)</f>
        <v>0</v>
      </c>
      <c r="BZ235" s="9">
        <f>IF($W235=BZ$56,GA235*($Q235*$S235)/(1+Voorblad!$K$44)^(BZ$56-Voorblad!$F$41),0)</f>
        <v>0</v>
      </c>
      <c r="CA235" s="9">
        <f>IF($W235=CA$56,GB235*($Q235*$S235)/(1+Voorblad!$K$44)^(CA$56-Voorblad!$F$41),0)</f>
        <v>0</v>
      </c>
      <c r="CB235" s="9">
        <f>IF($W235=CB$56,GC235*($Q235*$S235)/(1+Voorblad!$K$44)^(CB$56-Voorblad!$F$41),0)</f>
        <v>0</v>
      </c>
      <c r="CC235" s="9">
        <f>IF($W235=CC$56,GD235*($Q235*$S235)/(1+Voorblad!$K$44)^(CC$56-Voorblad!$F$41),0)</f>
        <v>0</v>
      </c>
      <c r="CD235" s="9">
        <f>IF($W235=CD$56,GE235*($Q235*$S235)/(1+Voorblad!$K$44)^(CD$56-Voorblad!$F$41),0)</f>
        <v>0</v>
      </c>
      <c r="CE235" s="9">
        <f>IF($W235=CE$56,GF235*($Q235*$S235)/(1+Voorblad!$K$44)^(CE$56-Voorblad!$F$41),0)</f>
        <v>0</v>
      </c>
      <c r="CF235" s="9">
        <f>IF($W235=CF$56,GG235*($Q235*$S235)/(1+Voorblad!$K$44)^(CF$56-Voorblad!$F$41),0)</f>
        <v>0</v>
      </c>
      <c r="CG235" s="9">
        <f>IF($W235=CG$56,GH235*($Q235*$S235)/(1+Voorblad!$K$44)^(CG$56-Voorblad!$F$41),0)</f>
        <v>0</v>
      </c>
      <c r="CH235" s="9">
        <f>IF($W235=CH$56,GI235*($Q235*$S235)/(1+Voorblad!$K$44)^(CH$56-Voorblad!$F$41),0)</f>
        <v>0</v>
      </c>
      <c r="CI235" s="9">
        <f>IF($W235=CI$56,GJ235*($Q235*$S235)/(1+Voorblad!$K$44)^(CI$56-Voorblad!$F$41),0)</f>
        <v>0</v>
      </c>
      <c r="CJ235" s="9">
        <f>IF($W235=CJ$56,GK235*($Q235*$S235)/(1+Voorblad!$K$44)^(CJ$56-Voorblad!$F$41),0)</f>
        <v>0</v>
      </c>
      <c r="CK235" s="9">
        <f>IF($W235=CK$56,GL235*($Q235*$S235)/(1+Voorblad!$K$44)^(CK$56-Voorblad!$F$41),0)</f>
        <v>0</v>
      </c>
      <c r="CL235" s="9">
        <f>IF($W235=CL$56,GM235*($Q235*$S235)/(1+Voorblad!$K$44)^(CL$56-Voorblad!$F$41),0)</f>
        <v>0</v>
      </c>
      <c r="CM235" s="9">
        <f>IF($W235=CM$56,GN235*($Q235*$S235)/(1+Voorblad!$K$44)^(CM$56-Voorblad!$F$41),0)</f>
        <v>0</v>
      </c>
      <c r="CN235" s="9">
        <f>IF($W235=CN$56,GO235*($Q235*$S235)/(1+Voorblad!$K$44)^(CN$56-Voorblad!$F$41),0)</f>
        <v>0</v>
      </c>
      <c r="CO235" s="9">
        <f>IF($W235=CO$56,GP235*($Q235*$S235)/(1+Voorblad!$K$44)^(CO$56-Voorblad!$F$41),0)</f>
        <v>0</v>
      </c>
      <c r="CP235" s="9">
        <f>IF($W235=CP$56,GQ235*($Q235*$S235)/(1+Voorblad!$K$44)^(CP$56-Voorblad!$F$41),0)</f>
        <v>0</v>
      </c>
      <c r="CQ235" s="9">
        <f>IF($W235=CQ$56,GR235*($Q235*$S235)/(1+Voorblad!$K$44)^(CQ$56-Voorblad!$F$41),0)</f>
        <v>0</v>
      </c>
      <c r="CR235" s="9">
        <f>IF($W235=CR$56,GS235*($Q235*$S235)/(1+Voorblad!$K$44)^(CR$56-Voorblad!$F$41),0)</f>
        <v>0</v>
      </c>
      <c r="CS235" s="9">
        <f>IF($W235=CS$56,GT235*($Q235*$S235)/(1+Voorblad!$K$44)^(CS$56-Voorblad!$F$41),0)</f>
        <v>0</v>
      </c>
      <c r="CT235" s="9">
        <f>IF($W235=CT$56,GU235*($Q235*$S235)/(1+Voorblad!$K$44)^(CT$56-Voorblad!$F$41),0)</f>
        <v>0</v>
      </c>
      <c r="CU235" s="9">
        <f>IF($W235=CU$56,GV235*($Q235*$S235)/(1+Voorblad!$K$44)^(CU$56-Voorblad!$F$41),0)</f>
        <v>0</v>
      </c>
      <c r="CV235" s="9">
        <f>IF($W235=CV$56,GW235*($Q235*$S235)/(1+Voorblad!$K$44)^(CV$56-Voorblad!$F$41),0)</f>
        <v>0</v>
      </c>
      <c r="CW235" s="9">
        <f>IF($W235=CW$56,GX235*($Q235*$S235)/(1+Voorblad!$K$44)^(CW$56-Voorblad!$F$41),0)</f>
        <v>0</v>
      </c>
      <c r="CX235" s="9">
        <f>IF($W235=CX$56,GY235*($Q235*$S235)/(1+Voorblad!$K$44)^(CX$56-Voorblad!$F$41),0)</f>
        <v>0</v>
      </c>
      <c r="CY235" s="9">
        <f>IF($W235=CY$56,GZ235*($Q235*$S235)/(1+Voorblad!$K$44)^(CY$56-Voorblad!$F$41),0)</f>
        <v>0</v>
      </c>
      <c r="CZ235" s="9">
        <f>IF($W235=CZ$56,HA235*($Q235*$S235)/(1+Voorblad!$K$44)^(CZ$56-Voorblad!$F$41),0)</f>
        <v>-1424.5298988066938</v>
      </c>
      <c r="DA235" s="9">
        <f>IF($W235=DA$56,HB235*($Q235*$S235)/(1+Voorblad!$K$44)^(DA$56-Voorblad!$F$41),0)</f>
        <v>0</v>
      </c>
      <c r="DB235" s="9">
        <f>IF($W235=DB$56,HC235*($Q235*$S235)/(1+Voorblad!$K$44)^(DB$56-Voorblad!$F$41),0)</f>
        <v>0</v>
      </c>
      <c r="DC235" s="9">
        <f>IF($W235=DC$56,HD235*($Q235*$S235)/(1+Voorblad!$K$44)^(DC$56-Voorblad!$F$41),0)</f>
        <v>0</v>
      </c>
      <c r="DD235" s="9">
        <f>IF($W235=DD$56,HE235*($Q235*$S235)/(1+Voorblad!$K$44)^(DD$56-Voorblad!$F$41),0)</f>
        <v>0</v>
      </c>
      <c r="DE235" s="9">
        <f>IF($W235=DE$56,HF235*($Q235*$S235)/(1+Voorblad!$K$44)^(DE$56-Voorblad!$F$41),0)</f>
        <v>0</v>
      </c>
      <c r="DF235" s="9">
        <f>IF($W235=DF$56,HG235*($Q235*$S235)/(1+Voorblad!$K$44)^(DF$56-Voorblad!$F$41),0)</f>
        <v>0</v>
      </c>
      <c r="DG235" s="9">
        <f>IF($W235=DG$56,HH235*($Q235*$S235)/(1+Voorblad!$K$44)^(DG$56-Voorblad!$F$41),0)</f>
        <v>0</v>
      </c>
      <c r="DH235" s="9">
        <f>IF($W235=DH$56,HI235*($Q235*$S235)/(1+Voorblad!$K$44)^(DH$56-Voorblad!$F$41),0)</f>
        <v>0</v>
      </c>
      <c r="DI235" s="9">
        <f>IF($W235=DI$56,HJ235*($Q235*$S235)/(1+Voorblad!$K$44)^(DI$56-Voorblad!$F$41),0)</f>
        <v>0</v>
      </c>
      <c r="DJ235" s="9">
        <f>IF($W235=DJ$56,HK235*($Q235*$S235)/(1+Voorblad!$K$44)^(DJ$56-Voorblad!$F$41),0)</f>
        <v>0</v>
      </c>
      <c r="DK235" s="9">
        <f>IF($W235=DK$56,HL235*($Q235*$S235)/(1+Voorblad!$K$44)^(DK$56-Voorblad!$F$41),0)</f>
        <v>0</v>
      </c>
      <c r="DL235" s="9">
        <f>IF($W235=DL$56,HM235*($Q235*$S235)/(1+Voorblad!$K$44)^(DL$56-Voorblad!$F$41),0)</f>
        <v>0</v>
      </c>
      <c r="DM235" s="9">
        <f>IF($W235=DM$56,HN235*($Q235*$S235)/(1+Voorblad!$K$44)^(DM$56-Voorblad!$F$41),0)</f>
        <v>0</v>
      </c>
      <c r="DN235" s="9">
        <f>IF($W235=DN$56,HO235*($Q235*$S235)/(1+Voorblad!$K$44)^(DN$56-Voorblad!$F$41),0)</f>
        <v>0</v>
      </c>
      <c r="DO235" s="9">
        <f>IF($W235=DO$56,HP235*($Q235*$S235)/(1+Voorblad!$K$44)^(DO$56-Voorblad!$F$41),0)</f>
        <v>0</v>
      </c>
      <c r="DP235" s="9">
        <f>IF($W235=DP$56,HQ235*($Q235*$S235)/(1+Voorblad!$K$44)^(DP$56-Voorblad!$F$41),0)</f>
        <v>0</v>
      </c>
      <c r="DQ235" s="9">
        <f>IF($W235=DQ$56,HR235*($Q235*$S235)/(1+Voorblad!$K$44)^(DQ$56-Voorblad!$F$41),0)</f>
        <v>0</v>
      </c>
      <c r="DR235" s="9">
        <f>IF($W235=DR$56,HS235*($Q235*$S235)/(1+Voorblad!$K$44)^(DR$56-Voorblad!$F$41),0)</f>
        <v>0</v>
      </c>
      <c r="DS235" s="9">
        <f>IF($W235=DS$56,HT235*($Q235*$S235)/(1+Voorblad!$K$44)^(DS$56-Voorblad!$F$41),0)</f>
        <v>0</v>
      </c>
      <c r="DT235" s="9">
        <f>IF($W235=DT$56,HU235*($Q235*$S235)/(1+Voorblad!$K$44)^(DT$56-Voorblad!$F$41),0)</f>
        <v>0</v>
      </c>
      <c r="DU235" s="9">
        <f>IF($W235=DU$56,HV235*($Q235*$S235)/(1+Voorblad!$K$44)^(DU$56-Voorblad!$F$41),0)</f>
        <v>0</v>
      </c>
      <c r="DV235" s="9">
        <f>IF($W235=DV$56,HW235*($Q235*$S235)/(1+Voorblad!$K$44)^(DV$56-Voorblad!$F$41),0)</f>
        <v>0</v>
      </c>
      <c r="DW235" s="9">
        <f>IF($W235=DW$56,HX235*($Q235*$S235)/(1+Voorblad!$K$44)^(DW$56-Voorblad!$F$41),0)</f>
        <v>0</v>
      </c>
      <c r="DX235" s="9">
        <f>IF($W235=DX$56,HY235*($Q235*$S235)/(1+Voorblad!$K$44)^(DX$56-Voorblad!$F$41),0)</f>
        <v>0</v>
      </c>
      <c r="DY235" s="9">
        <f>IF($W235=DY$56,HZ235*($Q235*$S235)/(1+Voorblad!$K$44)^(DY$56-Voorblad!$F$41),0)</f>
        <v>0</v>
      </c>
      <c r="DZ235" s="9">
        <f>IF($W235=DZ$56,IA235*($Q235*$S235)/(1+Voorblad!$K$44)^(DZ$56-Voorblad!$F$41),0)</f>
        <v>0</v>
      </c>
      <c r="EA235" s="9">
        <f>IF($W235=EA$56,IB235*($Q235*$S235)/(1+Voorblad!$K$44)^(EA$56-Voorblad!$F$41),0)</f>
        <v>0</v>
      </c>
      <c r="EB235" s="9">
        <f>IF($W235=EB$56,IC235*($Q235*$S235)/(1+Voorblad!$K$44)^(EB$56-Voorblad!$F$41),0)</f>
        <v>0</v>
      </c>
      <c r="EE235" s="8">
        <v>0</v>
      </c>
      <c r="EF235" s="8">
        <f>IF(EF$56-Voorblad!$F$41&gt;Voorblad!$K$41,0,IF($U235=0,0,IF($U235&lt;1,1/$U235,IF((EF$56-Voorblad!$F$41)/$U235-SUM($EE235:EE235)=1,1,0))))</f>
        <v>0</v>
      </c>
      <c r="EG235" s="8">
        <f>IF(EG$56-Voorblad!$F$41&gt;Voorblad!$K$41,0,IF($U235=0,0,IF($U235&lt;1,1/$U235,IF((EG$56-Voorblad!$F$41)/$U235-SUM($EE235:EF235)=1,1,0))))</f>
        <v>1</v>
      </c>
      <c r="EH235" s="8">
        <f>IF(EH$56-Voorblad!$F$41&gt;Voorblad!$K$41,0,IF($U235=0,0,IF($U235&lt;1,1/$U235,IF((EH$56-Voorblad!$F$41)/$U235-SUM($EE235:EG235)=1,1,0))))</f>
        <v>1</v>
      </c>
      <c r="EI235" s="8">
        <f>IF(EI$56-Voorblad!$F$41&gt;Voorblad!$K$41,0,IF($U235=0,0,IF($U235&lt;1,1/$U235,IF((EI$56-Voorblad!$F$41)/$U235-SUM($EE235:EH235)=1,1,0))))</f>
        <v>1</v>
      </c>
      <c r="EJ235" s="8">
        <f>IF(EJ$56-Voorblad!$F$41&gt;Voorblad!$K$41,0,IF($U235=0,0,IF($U235&lt;1,1/$U235,IF((EJ$56-Voorblad!$F$41)/$U235-SUM($EE235:EI235)=1,1,0))))</f>
        <v>1</v>
      </c>
      <c r="EK235" s="8">
        <f>IF(EK$56-Voorblad!$F$41&gt;Voorblad!$K$41,0,IF($U235=0,0,IF($U235&lt;1,1/$U235,IF((EK$56-Voorblad!$F$41)/$U235-SUM($EE235:EJ235)=1,1,0))))</f>
        <v>1</v>
      </c>
      <c r="EL235" s="8">
        <f>IF(EL$56-Voorblad!$F$41&gt;Voorblad!$K$41,0,IF($U235=0,0,IF($U235&lt;1,1/$U235,IF((EL$56-Voorblad!$F$41)/$U235-SUM($EE235:EK235)=1,1,0))))</f>
        <v>1</v>
      </c>
      <c r="EM235" s="8">
        <f>IF(EM$56-Voorblad!$F$41&gt;Voorblad!$K$41,0,IF($U235=0,0,IF($U235&lt;1,1/$U235,IF((EM$56-Voorblad!$F$41)/$U235-SUM($EE235:EL235)=1,1,0))))</f>
        <v>1</v>
      </c>
      <c r="EN235" s="8">
        <f>IF(EN$56-Voorblad!$F$41&gt;Voorblad!$K$41,0,IF($U235=0,0,IF($U235&lt;1,1/$U235,IF((EN$56-Voorblad!$F$41)/$U235-SUM($EE235:EM235)=1,1,0))))</f>
        <v>1</v>
      </c>
      <c r="EO235" s="8">
        <f>IF(EO$56-Voorblad!$F$41&gt;Voorblad!$K$41,0,IF($U235=0,0,IF($U235&lt;1,1/$U235,IF((EO$56-Voorblad!$F$41)/$U235-SUM($EE235:EN235)=1,1,0))))</f>
        <v>1</v>
      </c>
      <c r="EP235" s="8">
        <f>IF(EP$56-Voorblad!$F$41&gt;Voorblad!$K$41,0,IF($U235=0,0,IF($U235&lt;1,1/$U235,IF((EP$56-Voorblad!$F$41)/$U235-SUM($EE235:EO235)=1,1,0))))</f>
        <v>1</v>
      </c>
      <c r="EQ235" s="8">
        <f>IF(EQ$56-Voorblad!$F$41&gt;Voorblad!$K$41,0,IF($U235=0,0,IF($U235&lt;1,1/$U235,IF((EQ$56-Voorblad!$F$41)/$U235-SUM($EE235:EP235)=1,1,0))))</f>
        <v>1</v>
      </c>
      <c r="ER235" s="8">
        <f>IF(ER$56-Voorblad!$F$41&gt;Voorblad!$K$41,0,IF($U235=0,0,IF($U235&lt;1,1/$U235,IF((ER$56-Voorblad!$F$41)/$U235-SUM($EE235:EQ235)=1,1,0))))</f>
        <v>1</v>
      </c>
      <c r="ES235" s="8">
        <f>IF(ES$56-Voorblad!$F$41&gt;Voorblad!$K$41,0,IF($U235=0,0,IF($U235&lt;1,1/$U235,IF((ES$56-Voorblad!$F$41)/$U235-SUM($EE235:ER235)=1,1,0))))</f>
        <v>1</v>
      </c>
      <c r="ET235" s="8">
        <f>IF(ET$56-Voorblad!$F$41&gt;Voorblad!$K$41,0,IF($U235=0,0,IF($U235&lt;1,1/$U235,IF((ET$56-Voorblad!$F$41)/$U235-SUM($EE235:ES235)=1,1,0))))</f>
        <v>1</v>
      </c>
      <c r="EU235" s="8">
        <f>IF(EU$56-Voorblad!$F$41&gt;Voorblad!$K$41,0,IF($U235=0,0,IF($U235&lt;1,1/$U235,IF((EU$56-Voorblad!$F$41)/$U235-SUM($EE235:ET235)=1,1,0))))</f>
        <v>1</v>
      </c>
      <c r="EV235" s="8">
        <f>IF(EV$56-Voorblad!$F$41&gt;Voorblad!$K$41,0,IF($U235=0,0,IF($U235&lt;1,1/$U235,IF((EV$56-Voorblad!$F$41)/$U235-SUM($EE235:EU235)=1,1,0))))</f>
        <v>1</v>
      </c>
      <c r="EW235" s="8">
        <f>IF(EW$56-Voorblad!$F$41&gt;Voorblad!$K$41,0,IF($U235=0,0,IF($U235&lt;1,1/$U235,IF((EW$56-Voorblad!$F$41)/$U235-SUM($EE235:EV235)=1,1,0))))</f>
        <v>1</v>
      </c>
      <c r="EX235" s="8">
        <f>IF(EX$56-Voorblad!$F$41&gt;Voorblad!$K$41,0,IF($U235=0,0,IF($U235&lt;1,1/$U235,IF((EX$56-Voorblad!$F$41)/$U235-SUM($EE235:EW235)=1,1,0))))</f>
        <v>1</v>
      </c>
      <c r="EY235" s="8">
        <f>IF(EY$56-Voorblad!$F$41&gt;Voorblad!$K$41,0,IF($U235=0,0,IF($U235&lt;1,1/$U235,IF((EY$56-Voorblad!$F$41)/$U235-SUM($EE235:EX235)=1,1,0))))</f>
        <v>1</v>
      </c>
      <c r="EZ235" s="8">
        <f>IF(EZ$56-Voorblad!$F$41&gt;Voorblad!$K$41,0,IF($U235=0,0,IF($U235&lt;1,1/$U235,IF((EZ$56-Voorblad!$F$41)/$U235-SUM($EE235:EY235)=1,1,0))))</f>
        <v>1</v>
      </c>
      <c r="FA235" s="8">
        <f>IF(FA$56-Voorblad!$F$41&gt;Voorblad!$K$41,0,IF($U235=0,0,IF($U235&lt;1,1/$U235,IF((FA$56-Voorblad!$F$41)/$U235-SUM($EE235:EZ235)=1,1,0))))</f>
        <v>1</v>
      </c>
      <c r="FB235" s="8">
        <f>IF(FB$56-Voorblad!$F$41&gt;Voorblad!$K$41,0,IF($U235=0,0,IF($U235&lt;1,1/$U235,IF((FB$56-Voorblad!$F$41)/$U235-SUM($EE235:FA235)=1,1,0))))</f>
        <v>1</v>
      </c>
      <c r="FC235" s="8">
        <f>IF(FC$56-Voorblad!$F$41&gt;Voorblad!$K$41,0,IF($U235=0,0,IF($U235&lt;1,1/$U235,IF((FC$56-Voorblad!$F$41)/$U235-SUM($EE235:FB235)=1,1,0))))</f>
        <v>1</v>
      </c>
      <c r="FD235" s="8">
        <f>IF(FD$56-Voorblad!$F$41&gt;Voorblad!$K$41,0,IF($U235=0,0,IF($U235&lt;1,1/$U235,IF((FD$56-Voorblad!$F$41)/$U235-SUM($EE235:FC235)=1,1,0))))</f>
        <v>1</v>
      </c>
      <c r="FE235" s="8">
        <f>IF(FE$56-Voorblad!$F$41&gt;Voorblad!$K$41,0,IF($U235=0,0,IF($U235&lt;1,1/$U235,IF((FE$56-Voorblad!$F$41)/$U235-SUM($EE235:FD235)=1,1,0))))</f>
        <v>1</v>
      </c>
      <c r="FF235" s="8">
        <f>IF(FF$56-Voorblad!$F$41&gt;Voorblad!$K$41,0,IF($U235=0,0,IF($U235&lt;1,1/$U235,IF((FF$56-Voorblad!$F$41)/$U235-SUM($EE235:FE235)=1,1,0))))</f>
        <v>1</v>
      </c>
      <c r="FG235" s="8">
        <f>IF(FG$56-Voorblad!$F$41&gt;Voorblad!$K$41,0,IF($U235=0,0,IF($U235&lt;1,1/$U235,IF((FG$56-Voorblad!$F$41)/$U235-SUM($EE235:FF235)=1,1,0))))</f>
        <v>1</v>
      </c>
      <c r="FH235" s="8">
        <f>IF(FH$56-Voorblad!$F$41&gt;Voorblad!$K$41,0,IF($U235=0,0,IF($U235&lt;1,1/$U235,IF((FH$56-Voorblad!$F$41)/$U235-SUM($EE235:FG235)=1,1,0))))</f>
        <v>1</v>
      </c>
      <c r="FI235" s="8">
        <f>IF(FI$56-Voorblad!$F$41&gt;Voorblad!$K$41,0,IF($U235=0,0,IF($U235&lt;1,1/$U235,IF((FI$56-Voorblad!$F$41)/$U235-SUM($EE235:FH235)=1,1,0))))</f>
        <v>1</v>
      </c>
      <c r="FJ235" s="8">
        <f>IF(FJ$56-Voorblad!$F$41&gt;Voorblad!$K$41,0,IF($U235=0,0,IF($U235&lt;1,1/$U235,IF((FJ$56-Voorblad!$F$41)/$U235-SUM($EE235:FI235)=1,1,0))))</f>
        <v>1</v>
      </c>
      <c r="FK235" s="8">
        <f>IF(FK$56-Voorblad!$F$41&gt;Voorblad!$K$41,0,IF($U235=0,0,IF($U235&lt;1,1/$U235,IF((FK$56-Voorblad!$F$41)/$U235-SUM($EE235:FJ235)=1,1,0))))</f>
        <v>1</v>
      </c>
      <c r="FL235" s="8">
        <f>IF(FL$56-Voorblad!$F$41&gt;Voorblad!$K$41,0,IF($U235=0,0,IF($U235&lt;1,1/$U235,IF((FL$56-Voorblad!$F$41)/$U235-SUM($EE235:FK235)=1,1,0))))</f>
        <v>1</v>
      </c>
      <c r="FM235" s="8">
        <f>IF(FM$56-Voorblad!$F$41&gt;Voorblad!$K$41,0,IF($U235=0,0,IF($U235&lt;1,1/$U235,IF((FM$56-Voorblad!$F$41)/$U235-SUM($EE235:FL235)=1,1,0))))</f>
        <v>1</v>
      </c>
      <c r="FN235" s="8">
        <f>IF(FN$56-Voorblad!$F$41&gt;Voorblad!$K$41,0,IF($U235=0,0,IF($U235&lt;1,1/$U235,IF((FN$56-Voorblad!$F$41)/$U235-SUM($EE235:FM235)=1,1,0))))</f>
        <v>1</v>
      </c>
      <c r="FO235" s="8">
        <f>IF(FO$56-Voorblad!$F$41&gt;Voorblad!$K$41,0,IF($U235=0,0,IF($U235&lt;1,1/$U235,IF((FO$56-Voorblad!$F$41)/$U235-SUM($EE235:FN235)=1,1,0))))</f>
        <v>1</v>
      </c>
      <c r="FP235" s="8">
        <f>IF(FP$56-Voorblad!$F$41&gt;Voorblad!$K$41,0,IF($U235=0,0,IF($U235&lt;1,1/$U235,IF((FP$56-Voorblad!$F$41)/$U235-SUM($EE235:FO235)=1,1,0))))</f>
        <v>1</v>
      </c>
      <c r="FQ235" s="8">
        <f>IF(FQ$56-Voorblad!$F$41&gt;Voorblad!$K$41,0,IF($U235=0,0,IF($U235&lt;1,1/$U235,IF((FQ$56-Voorblad!$F$41)/$U235-SUM($EE235:FP235)=1,1,0))))</f>
        <v>1</v>
      </c>
      <c r="FR235" s="8">
        <f>IF(FR$56-Voorblad!$F$41&gt;Voorblad!$K$41,0,IF($U235=0,0,IF($U235&lt;1,1/$U235,IF((FR$56-Voorblad!$F$41)/$U235-SUM($EE235:FQ235)=1,1,0))))</f>
        <v>1</v>
      </c>
      <c r="FS235" s="8">
        <f>IF(FS$56-Voorblad!$F$41&gt;Voorblad!$K$41,0,IF($U235=0,0,IF($U235&lt;1,1/$U235,IF((FS$56-Voorblad!$F$41)/$U235-SUM($EE235:FR235)=1,1,0))))</f>
        <v>1</v>
      </c>
      <c r="FT235" s="8">
        <f>IF(FT$56-Voorblad!$F$41&gt;Voorblad!$K$41,0,IF($U235=0,0,IF($U235&lt;1,1/$U235,IF((FT$56-Voorblad!$F$41)/$U235-SUM($EE235:FS235)=1,1,0))))</f>
        <v>1</v>
      </c>
      <c r="FU235" s="8">
        <f>IF(FU$56-Voorblad!$F$41&gt;Voorblad!$K$41,0,IF($U235=0,0,IF($U235&lt;1,1/$U235,IF((FU$56-Voorblad!$F$41)/$U235-SUM($EE235:FT235)=1,1,0))))</f>
        <v>1</v>
      </c>
      <c r="FV235" s="8">
        <f>IF(FV$56-Voorblad!$F$41&gt;Voorblad!$K$41,0,IF($U235=0,0,IF($U235&lt;1,1/$U235,IF((FV$56-Voorblad!$F$41)/$U235-SUM($EE235:FU235)=1,1,0))))</f>
        <v>1</v>
      </c>
      <c r="FW235" s="8">
        <f>IF(FW$56-Voorblad!$F$41&gt;Voorblad!$K$41,0,IF($U235=0,0,IF($U235&lt;1,1/$U235,IF((FW$56-Voorblad!$F$41)/$U235-SUM($EE235:FV235)=1,1,0))))</f>
        <v>1</v>
      </c>
      <c r="FX235" s="8">
        <f>IF(FX$56-Voorblad!$F$41&gt;Voorblad!$K$41,0,IF($U235=0,0,IF($U235&lt;1,1/$U235,IF((FX$56-Voorblad!$F$41)/$U235-SUM($EE235:FW235)=1,1,0))))</f>
        <v>1</v>
      </c>
      <c r="FY235" s="8">
        <f>IF(FY$56-Voorblad!$F$41&gt;Voorblad!$K$41,0,IF($U235=0,0,IF($U235&lt;1,1/$U235,IF((FY$56-Voorblad!$F$41)/$U235-SUM($EE235:FX235)=1,1,0))))</f>
        <v>1</v>
      </c>
      <c r="FZ235" s="8">
        <f>IF(FZ$56-Voorblad!$F$41&gt;Voorblad!$K$41,0,IF($U235=0,0,IF($U235&lt;1,1/$U235,IF((FZ$56-Voorblad!$F$41)/$U235-SUM($EE235:FY235)=1,1,0))))</f>
        <v>1</v>
      </c>
      <c r="GA235" s="8">
        <f>IF(GA$56-Voorblad!$F$41&gt;Voorblad!$K$41,0,IF($U235=0,0,IF($U235&lt;1,1/$U235,IF((GA$56-Voorblad!$F$41)/$U235-SUM($EE235:FZ235)=1,1,0))))</f>
        <v>1</v>
      </c>
      <c r="GB235" s="8">
        <f>IF(GB$56-Voorblad!$F$41&gt;Voorblad!$K$41,0,IF($U235=0,0,IF($U235&lt;1,1/$U235,IF((GB$56-Voorblad!$F$41)/$U235-SUM($EE235:GA235)=1,1,0))))</f>
        <v>1</v>
      </c>
      <c r="GC235" s="8">
        <f>IF(GC$56-Voorblad!$F$41&gt;Voorblad!$K$41,0,IF($U235=0,0,IF($U235&lt;1,1/$U235,IF((GC$56-Voorblad!$F$41)/$U235-SUM($EE235:GB235)=1,1,0))))</f>
        <v>1</v>
      </c>
      <c r="GD235" s="8">
        <f>IF(GD$56-Voorblad!$F$41&gt;Voorblad!$K$41,0,IF($U235=0,0,IF($U235&lt;1,1/$U235,IF((GD$56-Voorblad!$F$41)/$U235-SUM($EE235:GC235)=1,1,0))))</f>
        <v>1</v>
      </c>
      <c r="GE235" s="8">
        <f>IF(GE$56-Voorblad!$F$41&gt;Voorblad!$K$41,0,IF($U235=0,0,IF($U235&lt;1,1/$U235,IF((GE$56-Voorblad!$F$41)/$U235-SUM($EE235:GD235)=1,1,0))))</f>
        <v>1</v>
      </c>
      <c r="GF235" s="8">
        <f>IF(GF$56-Voorblad!$F$41&gt;Voorblad!$K$41,0,IF($U235=0,0,IF($U235&lt;1,1/$U235,IF((GF$56-Voorblad!$F$41)/$U235-SUM($EE235:GE235)=1,1,0))))</f>
        <v>1</v>
      </c>
      <c r="GG235" s="8">
        <f>IF(GG$56-Voorblad!$F$41&gt;Voorblad!$K$41,0,IF($U235=0,0,IF($U235&lt;1,1/$U235,IF((GG$56-Voorblad!$F$41)/$U235-SUM($EE235:GF235)=1,1,0))))</f>
        <v>1</v>
      </c>
      <c r="GH235" s="8">
        <f>IF(GH$56-Voorblad!$F$41&gt;Voorblad!$K$41,0,IF($U235=0,0,IF($U235&lt;1,1/$U235,IF((GH$56-Voorblad!$F$41)/$U235-SUM($EE235:GG235)=1,1,0))))</f>
        <v>1</v>
      </c>
      <c r="GI235" s="8">
        <f>IF(GI$56-Voorblad!$F$41&gt;Voorblad!$K$41,0,IF($U235=0,0,IF($U235&lt;1,1/$U235,IF((GI$56-Voorblad!$F$41)/$U235-SUM($EE235:GH235)=1,1,0))))</f>
        <v>1</v>
      </c>
      <c r="GJ235" s="8">
        <f>IF(GJ$56-Voorblad!$F$41&gt;Voorblad!$K$41,0,IF($U235=0,0,IF($U235&lt;1,1/$U235,IF((GJ$56-Voorblad!$F$41)/$U235-SUM($EE235:GI235)=1,1,0))))</f>
        <v>1</v>
      </c>
      <c r="GK235" s="8">
        <f>IF(GK$56-Voorblad!$F$41&gt;Voorblad!$K$41,0,IF($U235=0,0,IF($U235&lt;1,1/$U235,IF((GK$56-Voorblad!$F$41)/$U235-SUM($EE235:GJ235)=1,1,0))))</f>
        <v>1</v>
      </c>
      <c r="GL235" s="8">
        <f>IF(GL$56-Voorblad!$F$41&gt;Voorblad!$K$41,0,IF($U235=0,0,IF($U235&lt;1,1/$U235,IF((GL$56-Voorblad!$F$41)/$U235-SUM($EE235:GK235)=1,1,0))))</f>
        <v>1</v>
      </c>
      <c r="GM235" s="8">
        <f>IF(GM$56-Voorblad!$F$41&gt;Voorblad!$K$41,0,IF($U235=0,0,IF($U235&lt;1,1/$U235,IF((GM$56-Voorblad!$F$41)/$U235-SUM($EE235:GL235)=1,1,0))))</f>
        <v>1</v>
      </c>
      <c r="GN235" s="8">
        <f>IF(GN$56-Voorblad!$F$41&gt;Voorblad!$K$41,0,IF($U235=0,0,IF($U235&lt;1,1/$U235,IF((GN$56-Voorblad!$F$41)/$U235-SUM($EE235:GM235)=1,1,0))))</f>
        <v>1</v>
      </c>
      <c r="GO235" s="8">
        <f>IF(GO$56-Voorblad!$F$41&gt;Voorblad!$K$41,0,IF($U235=0,0,IF($U235&lt;1,1/$U235,IF((GO$56-Voorblad!$F$41)/$U235-SUM($EE235:GN235)=1,1,0))))</f>
        <v>1</v>
      </c>
      <c r="GP235" s="8">
        <f>IF(GP$56-Voorblad!$F$41&gt;Voorblad!$K$41,0,IF($U235=0,0,IF($U235&lt;1,1/$U235,IF((GP$56-Voorblad!$F$41)/$U235-SUM($EE235:GO235)=1,1,0))))</f>
        <v>1</v>
      </c>
      <c r="GQ235" s="8">
        <f>IF(GQ$56-Voorblad!$F$41&gt;Voorblad!$K$41,0,IF($U235=0,0,IF($U235&lt;1,1/$U235,IF((GQ$56-Voorblad!$F$41)/$U235-SUM($EE235:GP235)=1,1,0))))</f>
        <v>1</v>
      </c>
      <c r="GR235" s="8">
        <f>IF(GR$56-Voorblad!$F$41&gt;Voorblad!$K$41,0,IF($U235=0,0,IF($U235&lt;1,1/$U235,IF((GR$56-Voorblad!$F$41)/$U235-SUM($EE235:GQ235)=1,1,0))))</f>
        <v>1</v>
      </c>
      <c r="GS235" s="8">
        <f>IF(GS$56-Voorblad!$F$41&gt;Voorblad!$K$41,0,IF($U235=0,0,IF($U235&lt;1,1/$U235,IF((GS$56-Voorblad!$F$41)/$U235-SUM($EE235:GR235)=1,1,0))))</f>
        <v>1</v>
      </c>
      <c r="GT235" s="8">
        <f>IF(GT$56-Voorblad!$F$41&gt;Voorblad!$K$41,0,IF($U235=0,0,IF($U235&lt;1,1/$U235,IF((GT$56-Voorblad!$F$41)/$U235-SUM($EE235:GS235)=1,1,0))))</f>
        <v>1</v>
      </c>
      <c r="GU235" s="8">
        <f>IF(GU$56-Voorblad!$F$41&gt;Voorblad!$K$41,0,IF($U235=0,0,IF($U235&lt;1,1/$U235,IF((GU$56-Voorblad!$F$41)/$U235-SUM($EE235:GT235)=1,1,0))))</f>
        <v>1</v>
      </c>
      <c r="GV235" s="8">
        <f>IF(GV$56-Voorblad!$F$41&gt;Voorblad!$K$41,0,IF($U235=0,0,IF($U235&lt;1,1/$U235,IF((GV$56-Voorblad!$F$41)/$U235-SUM($EE235:GU235)=1,1,0))))</f>
        <v>1</v>
      </c>
      <c r="GW235" s="8">
        <f>IF(GW$56-Voorblad!$F$41&gt;Voorblad!$K$41,0,IF($U235=0,0,IF($U235&lt;1,1/$U235,IF((GW$56-Voorblad!$F$41)/$U235-SUM($EE235:GV235)=1,1,0))))</f>
        <v>1</v>
      </c>
      <c r="GX235" s="8">
        <f>IF(GX$56-Voorblad!$F$41&gt;Voorblad!$K$41,0,IF($U235=0,0,IF($U235&lt;1,1/$U235,IF((GX$56-Voorblad!$F$41)/$U235-SUM($EE235:GW235)=1,1,0))))</f>
        <v>1</v>
      </c>
      <c r="GY235" s="8">
        <f>IF(GY$56-Voorblad!$F$41&gt;Voorblad!$K$41,0,IF($U235=0,0,IF($U235&lt;1,1/$U235,IF((GY$56-Voorblad!$F$41)/$U235-SUM($EE235:GX235)=1,1,0))))</f>
        <v>1</v>
      </c>
      <c r="GZ235" s="8">
        <f>IF(GZ$56-Voorblad!$F$41&gt;Voorblad!$K$41,0,IF($U235=0,0,IF($U235&lt;1,1/$U235,IF((GZ$56-Voorblad!$F$41)/$U235-SUM($EE235:GY235)=1,1,0))))</f>
        <v>1</v>
      </c>
      <c r="HA235" s="8">
        <f>IF(HA$56-Voorblad!$F$41&gt;Voorblad!$K$41,0,IF($U235=0,0,IF($U235&lt;1,1/$U235,IF((HA$56-Voorblad!$F$41)/$U235-SUM($EE235:GZ235)=1,1,0))))</f>
        <v>1</v>
      </c>
      <c r="HB235" s="8">
        <f>IF(HB$56-Voorblad!$F$41&gt;Voorblad!$K$41,0,IF($U235=0,0,IF($U235&lt;1,1/$U235,IF((HB$56-Voorblad!$F$41)/$U235-SUM($EE235:HA235)=1,1,0))))</f>
        <v>0</v>
      </c>
      <c r="HC235" s="8">
        <f>IF(HC$56-Voorblad!$F$41&gt;Voorblad!$K$41,0,IF($U235=0,0,IF($U235&lt;1,1/$U235,IF((HC$56-Voorblad!$F$41)/$U235-SUM($EE235:HB235)=1,1,0))))</f>
        <v>0</v>
      </c>
      <c r="HD235" s="8">
        <f>IF(HD$56-Voorblad!$F$41&gt;Voorblad!$K$41,0,IF($U235=0,0,IF($U235&lt;1,1/$U235,IF((HD$56-Voorblad!$F$41)/$U235-SUM($EE235:HC235)=1,1,0))))</f>
        <v>0</v>
      </c>
      <c r="HE235" s="8">
        <f>IF(HE$56-Voorblad!$F$41&gt;Voorblad!$K$41,0,IF($U235=0,0,IF($U235&lt;1,1/$U235,IF((HE$56-Voorblad!$F$41)/$U235-SUM($EE235:HD235)=1,1,0))))</f>
        <v>0</v>
      </c>
      <c r="HF235" s="8">
        <f>IF(HF$56-Voorblad!$F$41&gt;Voorblad!$K$41,0,IF($U235=0,0,IF($U235&lt;1,1/$U235,IF((HF$56-Voorblad!$F$41)/$U235-SUM($EE235:HE235)=1,1,0))))</f>
        <v>0</v>
      </c>
      <c r="HG235" s="8">
        <f>IF(HG$56-Voorblad!$F$41&gt;Voorblad!$K$41,0,IF($U235=0,0,IF($U235&lt;1,1/$U235,IF((HG$56-Voorblad!$F$41)/$U235-SUM($EE235:HF235)=1,1,0))))</f>
        <v>0</v>
      </c>
      <c r="HH235" s="8">
        <f>IF(HH$56-Voorblad!$F$41&gt;Voorblad!$K$41,0,IF($U235=0,0,IF($U235&lt;1,1/$U235,IF((HH$56-Voorblad!$F$41)/$U235-SUM($EE235:HG235)=1,1,0))))</f>
        <v>0</v>
      </c>
      <c r="HI235" s="8">
        <f>IF(HI$56-Voorblad!$F$41&gt;Voorblad!$K$41,0,IF($U235=0,0,IF($U235&lt;1,1/$U235,IF((HI$56-Voorblad!$F$41)/$U235-SUM($EE235:HH235)=1,1,0))))</f>
        <v>0</v>
      </c>
      <c r="HJ235" s="8">
        <f>IF(HJ$56-Voorblad!$F$41&gt;Voorblad!$K$41,0,IF($U235=0,0,IF($U235&lt;1,1/$U235,IF((HJ$56-Voorblad!$F$41)/$U235-SUM($EE235:HI235)=1,1,0))))</f>
        <v>0</v>
      </c>
      <c r="HK235" s="8">
        <f>IF(HK$56-Voorblad!$F$41&gt;Voorblad!$K$41,0,IF($U235=0,0,IF($U235&lt;1,1/$U235,IF((HK$56-Voorblad!$F$41)/$U235-SUM($EE235:HJ235)=1,1,0))))</f>
        <v>0</v>
      </c>
      <c r="HL235" s="8">
        <f>IF(HL$56-Voorblad!$F$41&gt;Voorblad!$K$41,0,IF($U235=0,0,IF($U235&lt;1,1/$U235,IF((HL$56-Voorblad!$F$41)/$U235-SUM($EE235:HK235)=1,1,0))))</f>
        <v>0</v>
      </c>
      <c r="HM235" s="8">
        <f>IF(HM$56-Voorblad!$F$41&gt;Voorblad!$K$41,0,IF($U235=0,0,IF($U235&lt;1,1/$U235,IF((HM$56-Voorblad!$F$41)/$U235-SUM($EE235:HL235)=1,1,0))))</f>
        <v>0</v>
      </c>
      <c r="HN235" s="8">
        <f>IF(HN$56-Voorblad!$F$41&gt;Voorblad!$K$41,0,IF($U235=0,0,IF($U235&lt;1,1/$U235,IF((HN$56-Voorblad!$F$41)/$U235-SUM($EE235:HM235)=1,1,0))))</f>
        <v>0</v>
      </c>
      <c r="HO235" s="8">
        <f>IF(HO$56-Voorblad!$F$41&gt;Voorblad!$K$41,0,IF($U235=0,0,IF($U235&lt;1,1/$U235,IF((HO$56-Voorblad!$F$41)/$U235-SUM($EE235:HN235)=1,1,0))))</f>
        <v>0</v>
      </c>
      <c r="HP235" s="8">
        <f>IF(HP$56-Voorblad!$F$41&gt;Voorblad!$K$41,0,IF($U235=0,0,IF($U235&lt;1,1/$U235,IF((HP$56-Voorblad!$F$41)/$U235-SUM($EE235:HO235)=1,1,0))))</f>
        <v>0</v>
      </c>
      <c r="HQ235" s="8">
        <f>IF(HQ$56-Voorblad!$F$41&gt;Voorblad!$K$41,0,IF($U235=0,0,IF($U235&lt;1,1/$U235,IF((HQ$56-Voorblad!$F$41)/$U235-SUM($EE235:HP235)=1,1,0))))</f>
        <v>0</v>
      </c>
      <c r="HR235" s="8">
        <f>IF(HR$56-Voorblad!$F$41&gt;Voorblad!$K$41,0,IF($U235=0,0,IF($U235&lt;1,1/$U235,IF((HR$56-Voorblad!$F$41)/$U235-SUM($EE235:HQ235)=1,1,0))))</f>
        <v>0</v>
      </c>
      <c r="HS235" s="8">
        <f>IF(HS$56-Voorblad!$F$41&gt;Voorblad!$K$41,0,IF($U235=0,0,IF($U235&lt;1,1/$U235,IF((HS$56-Voorblad!$F$41)/$U235-SUM($EE235:HR235)=1,1,0))))</f>
        <v>0</v>
      </c>
      <c r="HT235" s="8">
        <f>IF(HT$56-Voorblad!$F$41&gt;Voorblad!$K$41,0,IF($U235=0,0,IF($U235&lt;1,1/$U235,IF((HT$56-Voorblad!$F$41)/$U235-SUM($EE235:HS235)=1,1,0))))</f>
        <v>0</v>
      </c>
      <c r="HU235" s="8">
        <f>IF(HU$56-Voorblad!$F$41&gt;Voorblad!$K$41,0,IF($U235=0,0,IF($U235&lt;1,1/$U235,IF((HU$56-Voorblad!$F$41)/$U235-SUM($EE235:HT235)=1,1,0))))</f>
        <v>0</v>
      </c>
      <c r="HV235" s="8">
        <f>IF(HV$56-Voorblad!$F$41&gt;Voorblad!$K$41,0,IF($U235=0,0,IF($U235&lt;1,1/$U235,IF((HV$56-Voorblad!$F$41)/$U235-SUM($EE235:HU235)=1,1,0))))</f>
        <v>0</v>
      </c>
      <c r="HW235" s="8">
        <f>IF(HW$56-Voorblad!$F$41&gt;Voorblad!$K$41,0,IF($U235=0,0,IF($U235&lt;1,1/$U235,IF((HW$56-Voorblad!$F$41)/$U235-SUM($EE235:HV235)=1,1,0))))</f>
        <v>0</v>
      </c>
      <c r="HX235" s="8">
        <f>IF(HX$56-Voorblad!$F$41&gt;Voorblad!$K$41,0,IF($U235=0,0,IF($U235&lt;1,1/$U235,IF((HX$56-Voorblad!$F$41)/$U235-SUM($EE235:HW235)=1,1,0))))</f>
        <v>0</v>
      </c>
      <c r="HY235" s="8">
        <f>IF(HY$56-Voorblad!$F$41&gt;Voorblad!$K$41,0,IF($U235=0,0,IF($U235&lt;1,1/$U235,IF((HY$56-Voorblad!$F$41)/$U235-SUM($EE235:HX235)=1,1,0))))</f>
        <v>0</v>
      </c>
      <c r="HZ235" s="8">
        <f>IF(HZ$56-Voorblad!$F$41&gt;Voorblad!$K$41,0,IF($U235=0,0,IF($U235&lt;1,1/$U235,IF((HZ$56-Voorblad!$F$41)/$U235-SUM($EE235:HY235)=1,1,0))))</f>
        <v>0</v>
      </c>
      <c r="IA235" s="8">
        <f>IF(IA$56-Voorblad!$F$41&gt;Voorblad!$K$41,0,IF($U235=0,0,IF($U235&lt;1,1/$U235,IF((IA$56-Voorblad!$F$41)/$U235-SUM($EE235:HZ235)=1,1,0))))</f>
        <v>0</v>
      </c>
      <c r="IB235" s="8">
        <f>IF(IB$56-Voorblad!$F$41&gt;Voorblad!$K$41,0,IF($U235=0,0,IF($U235&lt;1,1/$U235,IF((IB$56-Voorblad!$F$41)/$U235-SUM($EE235:IA235)=1,1,0))))</f>
        <v>0</v>
      </c>
    </row>
    <row r="236" spans="2:236" outlineLevel="1" x14ac:dyDescent="0.25">
      <c r="B236" s="14">
        <v>1</v>
      </c>
      <c r="C236" s="14"/>
      <c r="F236" s="1" t="s">
        <v>26</v>
      </c>
      <c r="I236" s="1" t="s">
        <v>49</v>
      </c>
      <c r="Q236" s="83">
        <v>0</v>
      </c>
      <c r="R236" s="81" t="s">
        <v>102</v>
      </c>
      <c r="S236" s="81">
        <v>0</v>
      </c>
      <c r="T236" s="14">
        <f t="shared" si="201"/>
        <v>0</v>
      </c>
      <c r="U236" s="11">
        <v>1</v>
      </c>
      <c r="V236" s="14">
        <f>Voorblad!F24+100</f>
        <v>2101</v>
      </c>
      <c r="W236" s="9">
        <f>Voorblad!$K$77</f>
        <v>2101</v>
      </c>
      <c r="X236" s="6"/>
      <c r="Y236" s="9">
        <f t="shared" ref="Y236" si="208">SUM(AE236:EB236)</f>
        <v>0</v>
      </c>
      <c r="AE236" s="9">
        <f>IF($W236=AE$56,EF236*($Q236*$S236)/(1+Voorblad!$K$44)^(AE$56-Voorblad!$F$41),0)</f>
        <v>0</v>
      </c>
      <c r="AF236" s="9">
        <f>IF($W236=AF$56,EG236*($Q236*$S236)/(1+Voorblad!$K$44)^(AF$56-Voorblad!$F$41),0)</f>
        <v>0</v>
      </c>
      <c r="AG236" s="9">
        <f>IF($W236=AG$56,EH236*($Q236*$S236)/(1+Voorblad!$K$44)^(AG$56-Voorblad!$F$41),0)</f>
        <v>0</v>
      </c>
      <c r="AH236" s="9">
        <f>IF($W236=AH$56,EI236*($Q236*$S236)/(1+Voorblad!$K$44)^(AH$56-Voorblad!$F$41),0)</f>
        <v>0</v>
      </c>
      <c r="AI236" s="9">
        <f>IF($W236=AI$56,EJ236*($Q236*$S236)/(1+Voorblad!$K$44)^(AI$56-Voorblad!$F$41),0)</f>
        <v>0</v>
      </c>
      <c r="AJ236" s="9">
        <f>IF($W236=AJ$56,EK236*($Q236*$S236)/(1+Voorblad!$K$44)^(AJ$56-Voorblad!$F$41),0)</f>
        <v>0</v>
      </c>
      <c r="AK236" s="9">
        <f>IF($W236=AK$56,EL236*($Q236*$S236)/(1+Voorblad!$K$44)^(AK$56-Voorblad!$F$41),0)</f>
        <v>0</v>
      </c>
      <c r="AL236" s="9">
        <f>IF($W236=AL$56,EM236*($Q236*$S236)/(1+Voorblad!$K$44)^(AL$56-Voorblad!$F$41),0)</f>
        <v>0</v>
      </c>
      <c r="AM236" s="9">
        <f>IF($W236=AM$56,EN236*($Q236*$S236)/(1+Voorblad!$K$44)^(AM$56-Voorblad!$F$41),0)</f>
        <v>0</v>
      </c>
      <c r="AN236" s="9">
        <f>IF($W236=AN$56,EO236*($Q236*$S236)/(1+Voorblad!$K$44)^(AN$56-Voorblad!$F$41),0)</f>
        <v>0</v>
      </c>
      <c r="AO236" s="9">
        <f>IF($W236=AO$56,EP236*($Q236*$S236)/(1+Voorblad!$K$44)^(AO$56-Voorblad!$F$41),0)</f>
        <v>0</v>
      </c>
      <c r="AP236" s="9">
        <f>IF($W236=AP$56,EQ236*($Q236*$S236)/(1+Voorblad!$K$44)^(AP$56-Voorblad!$F$41),0)</f>
        <v>0</v>
      </c>
      <c r="AQ236" s="9">
        <f>IF($W236=AQ$56,ER236*($Q236*$S236)/(1+Voorblad!$K$44)^(AQ$56-Voorblad!$F$41),0)</f>
        <v>0</v>
      </c>
      <c r="AR236" s="9">
        <f>IF($W236=AR$56,ES236*($Q236*$S236)/(1+Voorblad!$K$44)^(AR$56-Voorblad!$F$41),0)</f>
        <v>0</v>
      </c>
      <c r="AS236" s="9">
        <f>IF($W236=AS$56,ET236*($Q236*$S236)/(1+Voorblad!$K$44)^(AS$56-Voorblad!$F$41),0)</f>
        <v>0</v>
      </c>
      <c r="AT236" s="9">
        <f>IF($W236=AT$56,EU236*($Q236*$S236)/(1+Voorblad!$K$44)^(AT$56-Voorblad!$F$41),0)</f>
        <v>0</v>
      </c>
      <c r="AU236" s="9">
        <f>IF($W236=AU$56,EV236*($Q236*$S236)/(1+Voorblad!$K$44)^(AU$56-Voorblad!$F$41),0)</f>
        <v>0</v>
      </c>
      <c r="AV236" s="9">
        <f>IF($W236=AV$56,EW236*($Q236*$S236)/(1+Voorblad!$K$44)^(AV$56-Voorblad!$F$41),0)</f>
        <v>0</v>
      </c>
      <c r="AW236" s="9">
        <f>IF($W236=AW$56,EX236*($Q236*$S236)/(1+Voorblad!$K$44)^(AW$56-Voorblad!$F$41),0)</f>
        <v>0</v>
      </c>
      <c r="AX236" s="9">
        <f>IF($W236=AX$56,EY236*($Q236*$S236)/(1+Voorblad!$K$44)^(AX$56-Voorblad!$F$41),0)</f>
        <v>0</v>
      </c>
      <c r="AY236" s="9">
        <f>IF($W236=AY$56,EZ236*($Q236*$S236)/(1+Voorblad!$K$44)^(AY$56-Voorblad!$F$41),0)</f>
        <v>0</v>
      </c>
      <c r="AZ236" s="9">
        <f>IF($W236=AZ$56,FA236*($Q236*$S236)/(1+Voorblad!$K$44)^(AZ$56-Voorblad!$F$41),0)</f>
        <v>0</v>
      </c>
      <c r="BA236" s="9">
        <f>IF($W236=BA$56,FB236*($Q236*$S236)/(1+Voorblad!$K$44)^(BA$56-Voorblad!$F$41),0)</f>
        <v>0</v>
      </c>
      <c r="BB236" s="9">
        <f>IF($W236=BB$56,FC236*($Q236*$S236)/(1+Voorblad!$K$44)^(BB$56-Voorblad!$F$41),0)</f>
        <v>0</v>
      </c>
      <c r="BC236" s="9">
        <f>IF($W236=BC$56,FD236*($Q236*$S236)/(1+Voorblad!$K$44)^(BC$56-Voorblad!$F$41),0)</f>
        <v>0</v>
      </c>
      <c r="BD236" s="9">
        <f>IF($W236=BD$56,FE236*($Q236*$S236)/(1+Voorblad!$K$44)^(BD$56-Voorblad!$F$41),0)</f>
        <v>0</v>
      </c>
      <c r="BE236" s="9">
        <f>IF($W236=BE$56,FF236*($Q236*$S236)/(1+Voorblad!$K$44)^(BE$56-Voorblad!$F$41),0)</f>
        <v>0</v>
      </c>
      <c r="BF236" s="9">
        <f>IF($W236=BF$56,FG236*($Q236*$S236)/(1+Voorblad!$K$44)^(BF$56-Voorblad!$F$41),0)</f>
        <v>0</v>
      </c>
      <c r="BG236" s="9">
        <f>IF($W236=BG$56,FH236*($Q236*$S236)/(1+Voorblad!$K$44)^(BG$56-Voorblad!$F$41),0)</f>
        <v>0</v>
      </c>
      <c r="BH236" s="9">
        <f>IF($W236=BH$56,FI236*($Q236*$S236)/(1+Voorblad!$K$44)^(BH$56-Voorblad!$F$41),0)</f>
        <v>0</v>
      </c>
      <c r="BI236" s="9">
        <f>IF($W236=BI$56,FJ236*($Q236*$S236)/(1+Voorblad!$K$44)^(BI$56-Voorblad!$F$41),0)</f>
        <v>0</v>
      </c>
      <c r="BJ236" s="9">
        <f>IF($W236=BJ$56,FK236*($Q236*$S236)/(1+Voorblad!$K$44)^(BJ$56-Voorblad!$F$41),0)</f>
        <v>0</v>
      </c>
      <c r="BK236" s="9">
        <f>IF($W236=BK$56,FL236*($Q236*$S236)/(1+Voorblad!$K$44)^(BK$56-Voorblad!$F$41),0)</f>
        <v>0</v>
      </c>
      <c r="BL236" s="9">
        <f>IF($W236=BL$56,FM236*($Q236*$S236)/(1+Voorblad!$K$44)^(BL$56-Voorblad!$F$41),0)</f>
        <v>0</v>
      </c>
      <c r="BM236" s="9">
        <f>IF($W236=BM$56,FN236*($Q236*$S236)/(1+Voorblad!$K$44)^(BM$56-Voorblad!$F$41),0)</f>
        <v>0</v>
      </c>
      <c r="BN236" s="9">
        <f>IF($W236=BN$56,FO236*($Q236*$S236)/(1+Voorblad!$K$44)^(BN$56-Voorblad!$F$41),0)</f>
        <v>0</v>
      </c>
      <c r="BO236" s="9">
        <f>IF($W236=BO$56,FP236*($Q236*$S236)/(1+Voorblad!$K$44)^(BO$56-Voorblad!$F$41),0)</f>
        <v>0</v>
      </c>
      <c r="BP236" s="9">
        <f>IF($W236=BP$56,FQ236*($Q236*$S236)/(1+Voorblad!$K$44)^(BP$56-Voorblad!$F$41),0)</f>
        <v>0</v>
      </c>
      <c r="BQ236" s="9">
        <f>IF($W236=BQ$56,FR236*($Q236*$S236)/(1+Voorblad!$K$44)^(BQ$56-Voorblad!$F$41),0)</f>
        <v>0</v>
      </c>
      <c r="BR236" s="9">
        <f>IF($W236=BR$56,FS236*($Q236*$S236)/(1+Voorblad!$K$44)^(BR$56-Voorblad!$F$41),0)</f>
        <v>0</v>
      </c>
      <c r="BS236" s="9">
        <f>IF($W236=BS$56,FT236*($Q236*$S236)/(1+Voorblad!$K$44)^(BS$56-Voorblad!$F$41),0)</f>
        <v>0</v>
      </c>
      <c r="BT236" s="9">
        <f>IF($W236=BT$56,FU236*($Q236*$S236)/(1+Voorblad!$K$44)^(BT$56-Voorblad!$F$41),0)</f>
        <v>0</v>
      </c>
      <c r="BU236" s="9">
        <f>IF($W236=BU$56,FV236*($Q236*$S236)/(1+Voorblad!$K$44)^(BU$56-Voorblad!$F$41),0)</f>
        <v>0</v>
      </c>
      <c r="BV236" s="9">
        <f>IF($W236=BV$56,FW236*($Q236*$S236)/(1+Voorblad!$K$44)^(BV$56-Voorblad!$F$41),0)</f>
        <v>0</v>
      </c>
      <c r="BW236" s="9">
        <f>IF($W236=BW$56,FX236*($Q236*$S236)/(1+Voorblad!$K$44)^(BW$56-Voorblad!$F$41),0)</f>
        <v>0</v>
      </c>
      <c r="BX236" s="9">
        <f>IF($W236=BX$56,FY236*($Q236*$S236)/(1+Voorblad!$K$44)^(BX$56-Voorblad!$F$41),0)</f>
        <v>0</v>
      </c>
      <c r="BY236" s="9">
        <f>IF($W236=BY$56,FZ236*($Q236*$S236)/(1+Voorblad!$K$44)^(BY$56-Voorblad!$F$41),0)</f>
        <v>0</v>
      </c>
      <c r="BZ236" s="9">
        <f>IF($W236=BZ$56,GA236*($Q236*$S236)/(1+Voorblad!$K$44)^(BZ$56-Voorblad!$F$41),0)</f>
        <v>0</v>
      </c>
      <c r="CA236" s="9">
        <f>IF($W236=CA$56,GB236*($Q236*$S236)/(1+Voorblad!$K$44)^(CA$56-Voorblad!$F$41),0)</f>
        <v>0</v>
      </c>
      <c r="CB236" s="9">
        <f>IF($W236=CB$56,GC236*($Q236*$S236)/(1+Voorblad!$K$44)^(CB$56-Voorblad!$F$41),0)</f>
        <v>0</v>
      </c>
      <c r="CC236" s="9">
        <f>IF($W236=CC$56,GD236*($Q236*$S236)/(1+Voorblad!$K$44)^(CC$56-Voorblad!$F$41),0)</f>
        <v>0</v>
      </c>
      <c r="CD236" s="9">
        <f>IF($W236=CD$56,GE236*($Q236*$S236)/(1+Voorblad!$K$44)^(CD$56-Voorblad!$F$41),0)</f>
        <v>0</v>
      </c>
      <c r="CE236" s="9">
        <f>IF($W236=CE$56,GF236*($Q236*$S236)/(1+Voorblad!$K$44)^(CE$56-Voorblad!$F$41),0)</f>
        <v>0</v>
      </c>
      <c r="CF236" s="9">
        <f>IF($W236=CF$56,GG236*($Q236*$S236)/(1+Voorblad!$K$44)^(CF$56-Voorblad!$F$41),0)</f>
        <v>0</v>
      </c>
      <c r="CG236" s="9">
        <f>IF($W236=CG$56,GH236*($Q236*$S236)/(1+Voorblad!$K$44)^(CG$56-Voorblad!$F$41),0)</f>
        <v>0</v>
      </c>
      <c r="CH236" s="9">
        <f>IF($W236=CH$56,GI236*($Q236*$S236)/(1+Voorblad!$K$44)^(CH$56-Voorblad!$F$41),0)</f>
        <v>0</v>
      </c>
      <c r="CI236" s="9">
        <f>IF($W236=CI$56,GJ236*($Q236*$S236)/(1+Voorblad!$K$44)^(CI$56-Voorblad!$F$41),0)</f>
        <v>0</v>
      </c>
      <c r="CJ236" s="9">
        <f>IF($W236=CJ$56,GK236*($Q236*$S236)/(1+Voorblad!$K$44)^(CJ$56-Voorblad!$F$41),0)</f>
        <v>0</v>
      </c>
      <c r="CK236" s="9">
        <f>IF($W236=CK$56,GL236*($Q236*$S236)/(1+Voorblad!$K$44)^(CK$56-Voorblad!$F$41),0)</f>
        <v>0</v>
      </c>
      <c r="CL236" s="9">
        <f>IF($W236=CL$56,GM236*($Q236*$S236)/(1+Voorblad!$K$44)^(CL$56-Voorblad!$F$41),0)</f>
        <v>0</v>
      </c>
      <c r="CM236" s="9">
        <f>IF($W236=CM$56,GN236*($Q236*$S236)/(1+Voorblad!$K$44)^(CM$56-Voorblad!$F$41),0)</f>
        <v>0</v>
      </c>
      <c r="CN236" s="9">
        <f>IF($W236=CN$56,GO236*($Q236*$S236)/(1+Voorblad!$K$44)^(CN$56-Voorblad!$F$41),0)</f>
        <v>0</v>
      </c>
      <c r="CO236" s="9">
        <f>IF($W236=CO$56,GP236*($Q236*$S236)/(1+Voorblad!$K$44)^(CO$56-Voorblad!$F$41),0)</f>
        <v>0</v>
      </c>
      <c r="CP236" s="9">
        <f>IF($W236=CP$56,GQ236*($Q236*$S236)/(1+Voorblad!$K$44)^(CP$56-Voorblad!$F$41),0)</f>
        <v>0</v>
      </c>
      <c r="CQ236" s="9">
        <f>IF($W236=CQ$56,GR236*($Q236*$S236)/(1+Voorblad!$K$44)^(CQ$56-Voorblad!$F$41),0)</f>
        <v>0</v>
      </c>
      <c r="CR236" s="9">
        <f>IF($W236=CR$56,GS236*($Q236*$S236)/(1+Voorblad!$K$44)^(CR$56-Voorblad!$F$41),0)</f>
        <v>0</v>
      </c>
      <c r="CS236" s="9">
        <f>IF($W236=CS$56,GT236*($Q236*$S236)/(1+Voorblad!$K$44)^(CS$56-Voorblad!$F$41),0)</f>
        <v>0</v>
      </c>
      <c r="CT236" s="9">
        <f>IF($W236=CT$56,GU236*($Q236*$S236)/(1+Voorblad!$K$44)^(CT$56-Voorblad!$F$41),0)</f>
        <v>0</v>
      </c>
      <c r="CU236" s="9">
        <f>IF($W236=CU$56,GV236*($Q236*$S236)/(1+Voorblad!$K$44)^(CU$56-Voorblad!$F$41),0)</f>
        <v>0</v>
      </c>
      <c r="CV236" s="9">
        <f>IF($W236=CV$56,GW236*($Q236*$S236)/(1+Voorblad!$K$44)^(CV$56-Voorblad!$F$41),0)</f>
        <v>0</v>
      </c>
      <c r="CW236" s="9">
        <f>IF($W236=CW$56,GX236*($Q236*$S236)/(1+Voorblad!$K$44)^(CW$56-Voorblad!$F$41),0)</f>
        <v>0</v>
      </c>
      <c r="CX236" s="9">
        <f>IF($W236=CX$56,GY236*($Q236*$S236)/(1+Voorblad!$K$44)^(CX$56-Voorblad!$F$41),0)</f>
        <v>0</v>
      </c>
      <c r="CY236" s="9">
        <f>IF($W236=CY$56,GZ236*($Q236*$S236)/(1+Voorblad!$K$44)^(CY$56-Voorblad!$F$41),0)</f>
        <v>0</v>
      </c>
      <c r="CZ236" s="9">
        <f>IF($W236=CZ$56,HA236*($Q236*$S236)/(1+Voorblad!$K$44)^(CZ$56-Voorblad!$F$41),0)</f>
        <v>0</v>
      </c>
      <c r="DA236" s="9">
        <f>IF($W236=DA$56,HB236*($Q236*$S236)/(1+Voorblad!$K$44)^(DA$56-Voorblad!$F$41),0)</f>
        <v>0</v>
      </c>
      <c r="DB236" s="9">
        <f>IF($W236=DB$56,HC236*($Q236*$S236)/(1+Voorblad!$K$44)^(DB$56-Voorblad!$F$41),0)</f>
        <v>0</v>
      </c>
      <c r="DC236" s="9">
        <f>IF($W236=DC$56,HD236*($Q236*$S236)/(1+Voorblad!$K$44)^(DC$56-Voorblad!$F$41),0)</f>
        <v>0</v>
      </c>
      <c r="DD236" s="9">
        <f>IF($W236=DD$56,HE236*($Q236*$S236)/(1+Voorblad!$K$44)^(DD$56-Voorblad!$F$41),0)</f>
        <v>0</v>
      </c>
      <c r="DE236" s="9">
        <f>IF($W236=DE$56,HF236*($Q236*$S236)/(1+Voorblad!$K$44)^(DE$56-Voorblad!$F$41),0)</f>
        <v>0</v>
      </c>
      <c r="DF236" s="9">
        <f>IF($W236=DF$56,HG236*($Q236*$S236)/(1+Voorblad!$K$44)^(DF$56-Voorblad!$F$41),0)</f>
        <v>0</v>
      </c>
      <c r="DG236" s="9">
        <f>IF($W236=DG$56,HH236*($Q236*$S236)/(1+Voorblad!$K$44)^(DG$56-Voorblad!$F$41),0)</f>
        <v>0</v>
      </c>
      <c r="DH236" s="9">
        <f>IF($W236=DH$56,HI236*($Q236*$S236)/(1+Voorblad!$K$44)^(DH$56-Voorblad!$F$41),0)</f>
        <v>0</v>
      </c>
      <c r="DI236" s="9">
        <f>IF($W236=DI$56,HJ236*($Q236*$S236)/(1+Voorblad!$K$44)^(DI$56-Voorblad!$F$41),0)</f>
        <v>0</v>
      </c>
      <c r="DJ236" s="9">
        <f>IF($W236=DJ$56,HK236*($Q236*$S236)/(1+Voorblad!$K$44)^(DJ$56-Voorblad!$F$41),0)</f>
        <v>0</v>
      </c>
      <c r="DK236" s="9">
        <f>IF($W236=DK$56,HL236*($Q236*$S236)/(1+Voorblad!$K$44)^(DK$56-Voorblad!$F$41),0)</f>
        <v>0</v>
      </c>
      <c r="DL236" s="9">
        <f>IF($W236=DL$56,HM236*($Q236*$S236)/(1+Voorblad!$K$44)^(DL$56-Voorblad!$F$41),0)</f>
        <v>0</v>
      </c>
      <c r="DM236" s="9">
        <f>IF($W236=DM$56,HN236*($Q236*$S236)/(1+Voorblad!$K$44)^(DM$56-Voorblad!$F$41),0)</f>
        <v>0</v>
      </c>
      <c r="DN236" s="9">
        <f>IF($W236=DN$56,HO236*($Q236*$S236)/(1+Voorblad!$K$44)^(DN$56-Voorblad!$F$41),0)</f>
        <v>0</v>
      </c>
      <c r="DO236" s="9">
        <f>IF($W236=DO$56,HP236*($Q236*$S236)/(1+Voorblad!$K$44)^(DO$56-Voorblad!$F$41),0)</f>
        <v>0</v>
      </c>
      <c r="DP236" s="9">
        <f>IF($W236=DP$56,HQ236*($Q236*$S236)/(1+Voorblad!$K$44)^(DP$56-Voorblad!$F$41),0)</f>
        <v>0</v>
      </c>
      <c r="DQ236" s="9">
        <f>IF($W236=DQ$56,HR236*($Q236*$S236)/(1+Voorblad!$K$44)^(DQ$56-Voorblad!$F$41),0)</f>
        <v>0</v>
      </c>
      <c r="DR236" s="9">
        <f>IF($W236=DR$56,HS236*($Q236*$S236)/(1+Voorblad!$K$44)^(DR$56-Voorblad!$F$41),0)</f>
        <v>0</v>
      </c>
      <c r="DS236" s="9">
        <f>IF($W236=DS$56,HT236*($Q236*$S236)/(1+Voorblad!$K$44)^(DS$56-Voorblad!$F$41),0)</f>
        <v>0</v>
      </c>
      <c r="DT236" s="9">
        <f>IF($W236=DT$56,HU236*($Q236*$S236)/(1+Voorblad!$K$44)^(DT$56-Voorblad!$F$41),0)</f>
        <v>0</v>
      </c>
      <c r="DU236" s="9">
        <f>IF($W236=DU$56,HV236*($Q236*$S236)/(1+Voorblad!$K$44)^(DU$56-Voorblad!$F$41),0)</f>
        <v>0</v>
      </c>
      <c r="DV236" s="9">
        <f>IF($W236=DV$56,HW236*($Q236*$S236)/(1+Voorblad!$K$44)^(DV$56-Voorblad!$F$41),0)</f>
        <v>0</v>
      </c>
      <c r="DW236" s="9">
        <f>IF($W236=DW$56,HX236*($Q236*$S236)/(1+Voorblad!$K$44)^(DW$56-Voorblad!$F$41),0)</f>
        <v>0</v>
      </c>
      <c r="DX236" s="9">
        <f>IF($W236=DX$56,HY236*($Q236*$S236)/(1+Voorblad!$K$44)^(DX$56-Voorblad!$F$41),0)</f>
        <v>0</v>
      </c>
      <c r="DY236" s="9">
        <f>IF($W236=DY$56,HZ236*($Q236*$S236)/(1+Voorblad!$K$44)^(DY$56-Voorblad!$F$41),0)</f>
        <v>0</v>
      </c>
      <c r="DZ236" s="9">
        <f>IF($W236=DZ$56,IA236*($Q236*$S236)/(1+Voorblad!$K$44)^(DZ$56-Voorblad!$F$41),0)</f>
        <v>0</v>
      </c>
      <c r="EA236" s="9">
        <f>IF($W236=EA$56,IB236*($Q236*$S236)/(1+Voorblad!$K$44)^(EA$56-Voorblad!$F$41),0)</f>
        <v>0</v>
      </c>
      <c r="EB236" s="9">
        <f>IF($W236=EB$56,IC236*($Q236*$S236)/(1+Voorblad!$K$44)^(EB$56-Voorblad!$F$41),0)</f>
        <v>0</v>
      </c>
      <c r="EE236" s="8">
        <v>0</v>
      </c>
      <c r="EF236" s="8">
        <f>IF(EF$56-Voorblad!$F$41&gt;Voorblad!$K$41,0,IF($U236=0,0,IF($U236&lt;1,1/$U236,IF((EF$56-Voorblad!$F$41)/$U236-SUM($EE236:EE236)=1,1,0))))</f>
        <v>0</v>
      </c>
      <c r="EG236" s="8">
        <f>IF(EG$56-Voorblad!$F$41&gt;Voorblad!$K$41,0,IF($U236=0,0,IF($U236&lt;1,1/$U236,IF((EG$56-Voorblad!$F$41)/$U236-SUM($EE236:EF236)=1,1,0))))</f>
        <v>1</v>
      </c>
      <c r="EH236" s="8">
        <f>IF(EH$56-Voorblad!$F$41&gt;Voorblad!$K$41,0,IF($U236=0,0,IF($U236&lt;1,1/$U236,IF((EH$56-Voorblad!$F$41)/$U236-SUM($EE236:EG236)=1,1,0))))</f>
        <v>1</v>
      </c>
      <c r="EI236" s="8">
        <f>IF(EI$56-Voorblad!$F$41&gt;Voorblad!$K$41,0,IF($U236=0,0,IF($U236&lt;1,1/$U236,IF((EI$56-Voorblad!$F$41)/$U236-SUM($EE236:EH236)=1,1,0))))</f>
        <v>1</v>
      </c>
      <c r="EJ236" s="8">
        <f>IF(EJ$56-Voorblad!$F$41&gt;Voorblad!$K$41,0,IF($U236=0,0,IF($U236&lt;1,1/$U236,IF((EJ$56-Voorblad!$F$41)/$U236-SUM($EE236:EI236)=1,1,0))))</f>
        <v>1</v>
      </c>
      <c r="EK236" s="8">
        <f>IF(EK$56-Voorblad!$F$41&gt;Voorblad!$K$41,0,IF($U236=0,0,IF($U236&lt;1,1/$U236,IF((EK$56-Voorblad!$F$41)/$U236-SUM($EE236:EJ236)=1,1,0))))</f>
        <v>1</v>
      </c>
      <c r="EL236" s="8">
        <f>IF(EL$56-Voorblad!$F$41&gt;Voorblad!$K$41,0,IF($U236=0,0,IF($U236&lt;1,1/$U236,IF((EL$56-Voorblad!$F$41)/$U236-SUM($EE236:EK236)=1,1,0))))</f>
        <v>1</v>
      </c>
      <c r="EM236" s="8">
        <f>IF(EM$56-Voorblad!$F$41&gt;Voorblad!$K$41,0,IF($U236=0,0,IF($U236&lt;1,1/$U236,IF((EM$56-Voorblad!$F$41)/$U236-SUM($EE236:EL236)=1,1,0))))</f>
        <v>1</v>
      </c>
      <c r="EN236" s="8">
        <f>IF(EN$56-Voorblad!$F$41&gt;Voorblad!$K$41,0,IF($U236=0,0,IF($U236&lt;1,1/$U236,IF((EN$56-Voorblad!$F$41)/$U236-SUM($EE236:EM236)=1,1,0))))</f>
        <v>1</v>
      </c>
      <c r="EO236" s="8">
        <f>IF(EO$56-Voorblad!$F$41&gt;Voorblad!$K$41,0,IF($U236=0,0,IF($U236&lt;1,1/$U236,IF((EO$56-Voorblad!$F$41)/$U236-SUM($EE236:EN236)=1,1,0))))</f>
        <v>1</v>
      </c>
      <c r="EP236" s="8">
        <f>IF(EP$56-Voorblad!$F$41&gt;Voorblad!$K$41,0,IF($U236=0,0,IF($U236&lt;1,1/$U236,IF((EP$56-Voorblad!$F$41)/$U236-SUM($EE236:EO236)=1,1,0))))</f>
        <v>1</v>
      </c>
      <c r="EQ236" s="8">
        <f>IF(EQ$56-Voorblad!$F$41&gt;Voorblad!$K$41,0,IF($U236=0,0,IF($U236&lt;1,1/$U236,IF((EQ$56-Voorblad!$F$41)/$U236-SUM($EE236:EP236)=1,1,0))))</f>
        <v>1</v>
      </c>
      <c r="ER236" s="8">
        <f>IF(ER$56-Voorblad!$F$41&gt;Voorblad!$K$41,0,IF($U236=0,0,IF($U236&lt;1,1/$U236,IF((ER$56-Voorblad!$F$41)/$U236-SUM($EE236:EQ236)=1,1,0))))</f>
        <v>1</v>
      </c>
      <c r="ES236" s="8">
        <f>IF(ES$56-Voorblad!$F$41&gt;Voorblad!$K$41,0,IF($U236=0,0,IF($U236&lt;1,1/$U236,IF((ES$56-Voorblad!$F$41)/$U236-SUM($EE236:ER236)=1,1,0))))</f>
        <v>1</v>
      </c>
      <c r="ET236" s="8">
        <f>IF(ET$56-Voorblad!$F$41&gt;Voorblad!$K$41,0,IF($U236=0,0,IF($U236&lt;1,1/$U236,IF((ET$56-Voorblad!$F$41)/$U236-SUM($EE236:ES236)=1,1,0))))</f>
        <v>1</v>
      </c>
      <c r="EU236" s="8">
        <f>IF(EU$56-Voorblad!$F$41&gt;Voorblad!$K$41,0,IF($U236=0,0,IF($U236&lt;1,1/$U236,IF((EU$56-Voorblad!$F$41)/$U236-SUM($EE236:ET236)=1,1,0))))</f>
        <v>1</v>
      </c>
      <c r="EV236" s="8">
        <f>IF(EV$56-Voorblad!$F$41&gt;Voorblad!$K$41,0,IF($U236=0,0,IF($U236&lt;1,1/$U236,IF((EV$56-Voorblad!$F$41)/$U236-SUM($EE236:EU236)=1,1,0))))</f>
        <v>1</v>
      </c>
      <c r="EW236" s="8">
        <f>IF(EW$56-Voorblad!$F$41&gt;Voorblad!$K$41,0,IF($U236=0,0,IF($U236&lt;1,1/$U236,IF((EW$56-Voorblad!$F$41)/$U236-SUM($EE236:EV236)=1,1,0))))</f>
        <v>1</v>
      </c>
      <c r="EX236" s="8">
        <f>IF(EX$56-Voorblad!$F$41&gt;Voorblad!$K$41,0,IF($U236=0,0,IF($U236&lt;1,1/$U236,IF((EX$56-Voorblad!$F$41)/$U236-SUM($EE236:EW236)=1,1,0))))</f>
        <v>1</v>
      </c>
      <c r="EY236" s="8">
        <f>IF(EY$56-Voorblad!$F$41&gt;Voorblad!$K$41,0,IF($U236=0,0,IF($U236&lt;1,1/$U236,IF((EY$56-Voorblad!$F$41)/$U236-SUM($EE236:EX236)=1,1,0))))</f>
        <v>1</v>
      </c>
      <c r="EZ236" s="8">
        <f>IF(EZ$56-Voorblad!$F$41&gt;Voorblad!$K$41,0,IF($U236=0,0,IF($U236&lt;1,1/$U236,IF((EZ$56-Voorblad!$F$41)/$U236-SUM($EE236:EY236)=1,1,0))))</f>
        <v>1</v>
      </c>
      <c r="FA236" s="8">
        <f>IF(FA$56-Voorblad!$F$41&gt;Voorblad!$K$41,0,IF($U236=0,0,IF($U236&lt;1,1/$U236,IF((FA$56-Voorblad!$F$41)/$U236-SUM($EE236:EZ236)=1,1,0))))</f>
        <v>1</v>
      </c>
      <c r="FB236" s="8">
        <f>IF(FB$56-Voorblad!$F$41&gt;Voorblad!$K$41,0,IF($U236=0,0,IF($U236&lt;1,1/$U236,IF((FB$56-Voorblad!$F$41)/$U236-SUM($EE236:FA236)=1,1,0))))</f>
        <v>1</v>
      </c>
      <c r="FC236" s="8">
        <f>IF(FC$56-Voorblad!$F$41&gt;Voorblad!$K$41,0,IF($U236=0,0,IF($U236&lt;1,1/$U236,IF((FC$56-Voorblad!$F$41)/$U236-SUM($EE236:FB236)=1,1,0))))</f>
        <v>1</v>
      </c>
      <c r="FD236" s="8">
        <f>IF(FD$56-Voorblad!$F$41&gt;Voorblad!$K$41,0,IF($U236=0,0,IF($U236&lt;1,1/$U236,IF((FD$56-Voorblad!$F$41)/$U236-SUM($EE236:FC236)=1,1,0))))</f>
        <v>1</v>
      </c>
      <c r="FE236" s="8">
        <f>IF(FE$56-Voorblad!$F$41&gt;Voorblad!$K$41,0,IF($U236=0,0,IF($U236&lt;1,1/$U236,IF((FE$56-Voorblad!$F$41)/$U236-SUM($EE236:FD236)=1,1,0))))</f>
        <v>1</v>
      </c>
      <c r="FF236" s="8">
        <f>IF(FF$56-Voorblad!$F$41&gt;Voorblad!$K$41,0,IF($U236=0,0,IF($U236&lt;1,1/$U236,IF((FF$56-Voorblad!$F$41)/$U236-SUM($EE236:FE236)=1,1,0))))</f>
        <v>1</v>
      </c>
      <c r="FG236" s="8">
        <f>IF(FG$56-Voorblad!$F$41&gt;Voorblad!$K$41,0,IF($U236=0,0,IF($U236&lt;1,1/$U236,IF((FG$56-Voorblad!$F$41)/$U236-SUM($EE236:FF236)=1,1,0))))</f>
        <v>1</v>
      </c>
      <c r="FH236" s="8">
        <f>IF(FH$56-Voorblad!$F$41&gt;Voorblad!$K$41,0,IF($U236=0,0,IF($U236&lt;1,1/$U236,IF((FH$56-Voorblad!$F$41)/$U236-SUM($EE236:FG236)=1,1,0))))</f>
        <v>1</v>
      </c>
      <c r="FI236" s="8">
        <f>IF(FI$56-Voorblad!$F$41&gt;Voorblad!$K$41,0,IF($U236=0,0,IF($U236&lt;1,1/$U236,IF((FI$56-Voorblad!$F$41)/$U236-SUM($EE236:FH236)=1,1,0))))</f>
        <v>1</v>
      </c>
      <c r="FJ236" s="8">
        <f>IF(FJ$56-Voorblad!$F$41&gt;Voorblad!$K$41,0,IF($U236=0,0,IF($U236&lt;1,1/$U236,IF((FJ$56-Voorblad!$F$41)/$U236-SUM($EE236:FI236)=1,1,0))))</f>
        <v>1</v>
      </c>
      <c r="FK236" s="8">
        <f>IF(FK$56-Voorblad!$F$41&gt;Voorblad!$K$41,0,IF($U236=0,0,IF($U236&lt;1,1/$U236,IF((FK$56-Voorblad!$F$41)/$U236-SUM($EE236:FJ236)=1,1,0))))</f>
        <v>1</v>
      </c>
      <c r="FL236" s="8">
        <f>IF(FL$56-Voorblad!$F$41&gt;Voorblad!$K$41,0,IF($U236=0,0,IF($U236&lt;1,1/$U236,IF((FL$56-Voorblad!$F$41)/$U236-SUM($EE236:FK236)=1,1,0))))</f>
        <v>1</v>
      </c>
      <c r="FM236" s="8">
        <f>IF(FM$56-Voorblad!$F$41&gt;Voorblad!$K$41,0,IF($U236=0,0,IF($U236&lt;1,1/$U236,IF((FM$56-Voorblad!$F$41)/$U236-SUM($EE236:FL236)=1,1,0))))</f>
        <v>1</v>
      </c>
      <c r="FN236" s="8">
        <f>IF(FN$56-Voorblad!$F$41&gt;Voorblad!$K$41,0,IF($U236=0,0,IF($U236&lt;1,1/$U236,IF((FN$56-Voorblad!$F$41)/$U236-SUM($EE236:FM236)=1,1,0))))</f>
        <v>1</v>
      </c>
      <c r="FO236" s="8">
        <f>IF(FO$56-Voorblad!$F$41&gt;Voorblad!$K$41,0,IF($U236=0,0,IF($U236&lt;1,1/$U236,IF((FO$56-Voorblad!$F$41)/$U236-SUM($EE236:FN236)=1,1,0))))</f>
        <v>1</v>
      </c>
      <c r="FP236" s="8">
        <f>IF(FP$56-Voorblad!$F$41&gt;Voorblad!$K$41,0,IF($U236=0,0,IF($U236&lt;1,1/$U236,IF((FP$56-Voorblad!$F$41)/$U236-SUM($EE236:FO236)=1,1,0))))</f>
        <v>1</v>
      </c>
      <c r="FQ236" s="8">
        <f>IF(FQ$56-Voorblad!$F$41&gt;Voorblad!$K$41,0,IF($U236=0,0,IF($U236&lt;1,1/$U236,IF((FQ$56-Voorblad!$F$41)/$U236-SUM($EE236:FP236)=1,1,0))))</f>
        <v>1</v>
      </c>
      <c r="FR236" s="8">
        <f>IF(FR$56-Voorblad!$F$41&gt;Voorblad!$K$41,0,IF($U236=0,0,IF($U236&lt;1,1/$U236,IF((FR$56-Voorblad!$F$41)/$U236-SUM($EE236:FQ236)=1,1,0))))</f>
        <v>1</v>
      </c>
      <c r="FS236" s="8">
        <f>IF(FS$56-Voorblad!$F$41&gt;Voorblad!$K$41,0,IF($U236=0,0,IF($U236&lt;1,1/$U236,IF((FS$56-Voorblad!$F$41)/$U236-SUM($EE236:FR236)=1,1,0))))</f>
        <v>1</v>
      </c>
      <c r="FT236" s="8">
        <f>IF(FT$56-Voorblad!$F$41&gt;Voorblad!$K$41,0,IF($U236=0,0,IF($U236&lt;1,1/$U236,IF((FT$56-Voorblad!$F$41)/$U236-SUM($EE236:FS236)=1,1,0))))</f>
        <v>1</v>
      </c>
      <c r="FU236" s="8">
        <f>IF(FU$56-Voorblad!$F$41&gt;Voorblad!$K$41,0,IF($U236=0,0,IF($U236&lt;1,1/$U236,IF((FU$56-Voorblad!$F$41)/$U236-SUM($EE236:FT236)=1,1,0))))</f>
        <v>1</v>
      </c>
      <c r="FV236" s="8">
        <f>IF(FV$56-Voorblad!$F$41&gt;Voorblad!$K$41,0,IF($U236=0,0,IF($U236&lt;1,1/$U236,IF((FV$56-Voorblad!$F$41)/$U236-SUM($EE236:FU236)=1,1,0))))</f>
        <v>1</v>
      </c>
      <c r="FW236" s="8">
        <f>IF(FW$56-Voorblad!$F$41&gt;Voorblad!$K$41,0,IF($U236=0,0,IF($U236&lt;1,1/$U236,IF((FW$56-Voorblad!$F$41)/$U236-SUM($EE236:FV236)=1,1,0))))</f>
        <v>1</v>
      </c>
      <c r="FX236" s="8">
        <f>IF(FX$56-Voorblad!$F$41&gt;Voorblad!$K$41,0,IF($U236=0,0,IF($U236&lt;1,1/$U236,IF((FX$56-Voorblad!$F$41)/$U236-SUM($EE236:FW236)=1,1,0))))</f>
        <v>1</v>
      </c>
      <c r="FY236" s="8">
        <f>IF(FY$56-Voorblad!$F$41&gt;Voorblad!$K$41,0,IF($U236=0,0,IF($U236&lt;1,1/$U236,IF((FY$56-Voorblad!$F$41)/$U236-SUM($EE236:FX236)=1,1,0))))</f>
        <v>1</v>
      </c>
      <c r="FZ236" s="8">
        <f>IF(FZ$56-Voorblad!$F$41&gt;Voorblad!$K$41,0,IF($U236=0,0,IF($U236&lt;1,1/$U236,IF((FZ$56-Voorblad!$F$41)/$U236-SUM($EE236:FY236)=1,1,0))))</f>
        <v>1</v>
      </c>
      <c r="GA236" s="8">
        <f>IF(GA$56-Voorblad!$F$41&gt;Voorblad!$K$41,0,IF($U236=0,0,IF($U236&lt;1,1/$U236,IF((GA$56-Voorblad!$F$41)/$U236-SUM($EE236:FZ236)=1,1,0))))</f>
        <v>1</v>
      </c>
      <c r="GB236" s="8">
        <f>IF(GB$56-Voorblad!$F$41&gt;Voorblad!$K$41,0,IF($U236=0,0,IF($U236&lt;1,1/$U236,IF((GB$56-Voorblad!$F$41)/$U236-SUM($EE236:GA236)=1,1,0))))</f>
        <v>1</v>
      </c>
      <c r="GC236" s="8">
        <f>IF(GC$56-Voorblad!$F$41&gt;Voorblad!$K$41,0,IF($U236=0,0,IF($U236&lt;1,1/$U236,IF((GC$56-Voorblad!$F$41)/$U236-SUM($EE236:GB236)=1,1,0))))</f>
        <v>1</v>
      </c>
      <c r="GD236" s="8">
        <f>IF(GD$56-Voorblad!$F$41&gt;Voorblad!$K$41,0,IF($U236=0,0,IF($U236&lt;1,1/$U236,IF((GD$56-Voorblad!$F$41)/$U236-SUM($EE236:GC236)=1,1,0))))</f>
        <v>1</v>
      </c>
      <c r="GE236" s="8">
        <f>IF(GE$56-Voorblad!$F$41&gt;Voorblad!$K$41,0,IF($U236=0,0,IF($U236&lt;1,1/$U236,IF((GE$56-Voorblad!$F$41)/$U236-SUM($EE236:GD236)=1,1,0))))</f>
        <v>1</v>
      </c>
      <c r="GF236" s="8">
        <f>IF(GF$56-Voorblad!$F$41&gt;Voorblad!$K$41,0,IF($U236=0,0,IF($U236&lt;1,1/$U236,IF((GF$56-Voorblad!$F$41)/$U236-SUM($EE236:GE236)=1,1,0))))</f>
        <v>1</v>
      </c>
      <c r="GG236" s="8">
        <f>IF(GG$56-Voorblad!$F$41&gt;Voorblad!$K$41,0,IF($U236=0,0,IF($U236&lt;1,1/$U236,IF((GG$56-Voorblad!$F$41)/$U236-SUM($EE236:GF236)=1,1,0))))</f>
        <v>1</v>
      </c>
      <c r="GH236" s="8">
        <f>IF(GH$56-Voorblad!$F$41&gt;Voorblad!$K$41,0,IF($U236=0,0,IF($U236&lt;1,1/$U236,IF((GH$56-Voorblad!$F$41)/$U236-SUM($EE236:GG236)=1,1,0))))</f>
        <v>1</v>
      </c>
      <c r="GI236" s="8">
        <f>IF(GI$56-Voorblad!$F$41&gt;Voorblad!$K$41,0,IF($U236=0,0,IF($U236&lt;1,1/$U236,IF((GI$56-Voorblad!$F$41)/$U236-SUM($EE236:GH236)=1,1,0))))</f>
        <v>1</v>
      </c>
      <c r="GJ236" s="8">
        <f>IF(GJ$56-Voorblad!$F$41&gt;Voorblad!$K$41,0,IF($U236=0,0,IF($U236&lt;1,1/$U236,IF((GJ$56-Voorblad!$F$41)/$U236-SUM($EE236:GI236)=1,1,0))))</f>
        <v>1</v>
      </c>
      <c r="GK236" s="8">
        <f>IF(GK$56-Voorblad!$F$41&gt;Voorblad!$K$41,0,IF($U236=0,0,IF($U236&lt;1,1/$U236,IF((GK$56-Voorblad!$F$41)/$U236-SUM($EE236:GJ236)=1,1,0))))</f>
        <v>1</v>
      </c>
      <c r="GL236" s="8">
        <f>IF(GL$56-Voorblad!$F$41&gt;Voorblad!$K$41,0,IF($U236=0,0,IF($U236&lt;1,1/$U236,IF((GL$56-Voorblad!$F$41)/$U236-SUM($EE236:GK236)=1,1,0))))</f>
        <v>1</v>
      </c>
      <c r="GM236" s="8">
        <f>IF(GM$56-Voorblad!$F$41&gt;Voorblad!$K$41,0,IF($U236=0,0,IF($U236&lt;1,1/$U236,IF((GM$56-Voorblad!$F$41)/$U236-SUM($EE236:GL236)=1,1,0))))</f>
        <v>1</v>
      </c>
      <c r="GN236" s="8">
        <f>IF(GN$56-Voorblad!$F$41&gt;Voorblad!$K$41,0,IF($U236=0,0,IF($U236&lt;1,1/$U236,IF((GN$56-Voorblad!$F$41)/$U236-SUM($EE236:GM236)=1,1,0))))</f>
        <v>1</v>
      </c>
      <c r="GO236" s="8">
        <f>IF(GO$56-Voorblad!$F$41&gt;Voorblad!$K$41,0,IF($U236=0,0,IF($U236&lt;1,1/$U236,IF((GO$56-Voorblad!$F$41)/$U236-SUM($EE236:GN236)=1,1,0))))</f>
        <v>1</v>
      </c>
      <c r="GP236" s="8">
        <f>IF(GP$56-Voorblad!$F$41&gt;Voorblad!$K$41,0,IF($U236=0,0,IF($U236&lt;1,1/$U236,IF((GP$56-Voorblad!$F$41)/$U236-SUM($EE236:GO236)=1,1,0))))</f>
        <v>1</v>
      </c>
      <c r="GQ236" s="8">
        <f>IF(GQ$56-Voorblad!$F$41&gt;Voorblad!$K$41,0,IF($U236=0,0,IF($U236&lt;1,1/$U236,IF((GQ$56-Voorblad!$F$41)/$U236-SUM($EE236:GP236)=1,1,0))))</f>
        <v>1</v>
      </c>
      <c r="GR236" s="8">
        <f>IF(GR$56-Voorblad!$F$41&gt;Voorblad!$K$41,0,IF($U236=0,0,IF($U236&lt;1,1/$U236,IF((GR$56-Voorblad!$F$41)/$U236-SUM($EE236:GQ236)=1,1,0))))</f>
        <v>1</v>
      </c>
      <c r="GS236" s="8">
        <f>IF(GS$56-Voorblad!$F$41&gt;Voorblad!$K$41,0,IF($U236=0,0,IF($U236&lt;1,1/$U236,IF((GS$56-Voorblad!$F$41)/$U236-SUM($EE236:GR236)=1,1,0))))</f>
        <v>1</v>
      </c>
      <c r="GT236" s="8">
        <f>IF(GT$56-Voorblad!$F$41&gt;Voorblad!$K$41,0,IF($U236=0,0,IF($U236&lt;1,1/$U236,IF((GT$56-Voorblad!$F$41)/$U236-SUM($EE236:GS236)=1,1,0))))</f>
        <v>1</v>
      </c>
      <c r="GU236" s="8">
        <f>IF(GU$56-Voorblad!$F$41&gt;Voorblad!$K$41,0,IF($U236=0,0,IF($U236&lt;1,1/$U236,IF((GU$56-Voorblad!$F$41)/$U236-SUM($EE236:GT236)=1,1,0))))</f>
        <v>1</v>
      </c>
      <c r="GV236" s="8">
        <f>IF(GV$56-Voorblad!$F$41&gt;Voorblad!$K$41,0,IF($U236=0,0,IF($U236&lt;1,1/$U236,IF((GV$56-Voorblad!$F$41)/$U236-SUM($EE236:GU236)=1,1,0))))</f>
        <v>1</v>
      </c>
      <c r="GW236" s="8">
        <f>IF(GW$56-Voorblad!$F$41&gt;Voorblad!$K$41,0,IF($U236=0,0,IF($U236&lt;1,1/$U236,IF((GW$56-Voorblad!$F$41)/$U236-SUM($EE236:GV236)=1,1,0))))</f>
        <v>1</v>
      </c>
      <c r="GX236" s="8">
        <f>IF(GX$56-Voorblad!$F$41&gt;Voorblad!$K$41,0,IF($U236=0,0,IF($U236&lt;1,1/$U236,IF((GX$56-Voorblad!$F$41)/$U236-SUM($EE236:GW236)=1,1,0))))</f>
        <v>1</v>
      </c>
      <c r="GY236" s="8">
        <f>IF(GY$56-Voorblad!$F$41&gt;Voorblad!$K$41,0,IF($U236=0,0,IF($U236&lt;1,1/$U236,IF((GY$56-Voorblad!$F$41)/$U236-SUM($EE236:GX236)=1,1,0))))</f>
        <v>1</v>
      </c>
      <c r="GZ236" s="8">
        <f>IF(GZ$56-Voorblad!$F$41&gt;Voorblad!$K$41,0,IF($U236=0,0,IF($U236&lt;1,1/$U236,IF((GZ$56-Voorblad!$F$41)/$U236-SUM($EE236:GY236)=1,1,0))))</f>
        <v>1</v>
      </c>
      <c r="HA236" s="8">
        <f>IF(HA$56-Voorblad!$F$41&gt;Voorblad!$K$41,0,IF($U236=0,0,IF($U236&lt;1,1/$U236,IF((HA$56-Voorblad!$F$41)/$U236-SUM($EE236:GZ236)=1,1,0))))</f>
        <v>1</v>
      </c>
      <c r="HB236" s="8">
        <f>IF(HB$56-Voorblad!$F$41&gt;Voorblad!$K$41,0,IF($U236=0,0,IF($U236&lt;1,1/$U236,IF((HB$56-Voorblad!$F$41)/$U236-SUM($EE236:HA236)=1,1,0))))</f>
        <v>0</v>
      </c>
      <c r="HC236" s="8">
        <f>IF(HC$56-Voorblad!$F$41&gt;Voorblad!$K$41,0,IF($U236=0,0,IF($U236&lt;1,1/$U236,IF((HC$56-Voorblad!$F$41)/$U236-SUM($EE236:HB236)=1,1,0))))</f>
        <v>0</v>
      </c>
      <c r="HD236" s="8">
        <f>IF(HD$56-Voorblad!$F$41&gt;Voorblad!$K$41,0,IF($U236=0,0,IF($U236&lt;1,1/$U236,IF((HD$56-Voorblad!$F$41)/$U236-SUM($EE236:HC236)=1,1,0))))</f>
        <v>0</v>
      </c>
      <c r="HE236" s="8">
        <f>IF(HE$56-Voorblad!$F$41&gt;Voorblad!$K$41,0,IF($U236=0,0,IF($U236&lt;1,1/$U236,IF((HE$56-Voorblad!$F$41)/$U236-SUM($EE236:HD236)=1,1,0))))</f>
        <v>0</v>
      </c>
      <c r="HF236" s="8">
        <f>IF(HF$56-Voorblad!$F$41&gt;Voorblad!$K$41,0,IF($U236=0,0,IF($U236&lt;1,1/$U236,IF((HF$56-Voorblad!$F$41)/$U236-SUM($EE236:HE236)=1,1,0))))</f>
        <v>0</v>
      </c>
      <c r="HG236" s="8">
        <f>IF(HG$56-Voorblad!$F$41&gt;Voorblad!$K$41,0,IF($U236=0,0,IF($U236&lt;1,1/$U236,IF((HG$56-Voorblad!$F$41)/$U236-SUM($EE236:HF236)=1,1,0))))</f>
        <v>0</v>
      </c>
      <c r="HH236" s="8">
        <f>IF(HH$56-Voorblad!$F$41&gt;Voorblad!$K$41,0,IF($U236=0,0,IF($U236&lt;1,1/$U236,IF((HH$56-Voorblad!$F$41)/$U236-SUM($EE236:HG236)=1,1,0))))</f>
        <v>0</v>
      </c>
      <c r="HI236" s="8">
        <f>IF(HI$56-Voorblad!$F$41&gt;Voorblad!$K$41,0,IF($U236=0,0,IF($U236&lt;1,1/$U236,IF((HI$56-Voorblad!$F$41)/$U236-SUM($EE236:HH236)=1,1,0))))</f>
        <v>0</v>
      </c>
      <c r="HJ236" s="8">
        <f>IF(HJ$56-Voorblad!$F$41&gt;Voorblad!$K$41,0,IF($U236=0,0,IF($U236&lt;1,1/$U236,IF((HJ$56-Voorblad!$F$41)/$U236-SUM($EE236:HI236)=1,1,0))))</f>
        <v>0</v>
      </c>
      <c r="HK236" s="8">
        <f>IF(HK$56-Voorblad!$F$41&gt;Voorblad!$K$41,0,IF($U236=0,0,IF($U236&lt;1,1/$U236,IF((HK$56-Voorblad!$F$41)/$U236-SUM($EE236:HJ236)=1,1,0))))</f>
        <v>0</v>
      </c>
      <c r="HL236" s="8">
        <f>IF(HL$56-Voorblad!$F$41&gt;Voorblad!$K$41,0,IF($U236=0,0,IF($U236&lt;1,1/$U236,IF((HL$56-Voorblad!$F$41)/$U236-SUM($EE236:HK236)=1,1,0))))</f>
        <v>0</v>
      </c>
      <c r="HM236" s="8">
        <f>IF(HM$56-Voorblad!$F$41&gt;Voorblad!$K$41,0,IF($U236=0,0,IF($U236&lt;1,1/$U236,IF((HM$56-Voorblad!$F$41)/$U236-SUM($EE236:HL236)=1,1,0))))</f>
        <v>0</v>
      </c>
      <c r="HN236" s="8">
        <f>IF(HN$56-Voorblad!$F$41&gt;Voorblad!$K$41,0,IF($U236=0,0,IF($U236&lt;1,1/$U236,IF((HN$56-Voorblad!$F$41)/$U236-SUM($EE236:HM236)=1,1,0))))</f>
        <v>0</v>
      </c>
      <c r="HO236" s="8">
        <f>IF(HO$56-Voorblad!$F$41&gt;Voorblad!$K$41,0,IF($U236=0,0,IF($U236&lt;1,1/$U236,IF((HO$56-Voorblad!$F$41)/$U236-SUM($EE236:HN236)=1,1,0))))</f>
        <v>0</v>
      </c>
      <c r="HP236" s="8">
        <f>IF(HP$56-Voorblad!$F$41&gt;Voorblad!$K$41,0,IF($U236=0,0,IF($U236&lt;1,1/$U236,IF((HP$56-Voorblad!$F$41)/$U236-SUM($EE236:HO236)=1,1,0))))</f>
        <v>0</v>
      </c>
      <c r="HQ236" s="8">
        <f>IF(HQ$56-Voorblad!$F$41&gt;Voorblad!$K$41,0,IF($U236=0,0,IF($U236&lt;1,1/$U236,IF((HQ$56-Voorblad!$F$41)/$U236-SUM($EE236:HP236)=1,1,0))))</f>
        <v>0</v>
      </c>
      <c r="HR236" s="8">
        <f>IF(HR$56-Voorblad!$F$41&gt;Voorblad!$K$41,0,IF($U236=0,0,IF($U236&lt;1,1/$U236,IF((HR$56-Voorblad!$F$41)/$U236-SUM($EE236:HQ236)=1,1,0))))</f>
        <v>0</v>
      </c>
      <c r="HS236" s="8">
        <f>IF(HS$56-Voorblad!$F$41&gt;Voorblad!$K$41,0,IF($U236=0,0,IF($U236&lt;1,1/$U236,IF((HS$56-Voorblad!$F$41)/$U236-SUM($EE236:HR236)=1,1,0))))</f>
        <v>0</v>
      </c>
      <c r="HT236" s="8">
        <f>IF(HT$56-Voorblad!$F$41&gt;Voorblad!$K$41,0,IF($U236=0,0,IF($U236&lt;1,1/$U236,IF((HT$56-Voorblad!$F$41)/$U236-SUM($EE236:HS236)=1,1,0))))</f>
        <v>0</v>
      </c>
      <c r="HU236" s="8">
        <f>IF(HU$56-Voorblad!$F$41&gt;Voorblad!$K$41,0,IF($U236=0,0,IF($U236&lt;1,1/$U236,IF((HU$56-Voorblad!$F$41)/$U236-SUM($EE236:HT236)=1,1,0))))</f>
        <v>0</v>
      </c>
      <c r="HV236" s="8">
        <f>IF(HV$56-Voorblad!$F$41&gt;Voorblad!$K$41,0,IF($U236=0,0,IF($U236&lt;1,1/$U236,IF((HV$56-Voorblad!$F$41)/$U236-SUM($EE236:HU236)=1,1,0))))</f>
        <v>0</v>
      </c>
      <c r="HW236" s="8">
        <f>IF(HW$56-Voorblad!$F$41&gt;Voorblad!$K$41,0,IF($U236=0,0,IF($U236&lt;1,1/$U236,IF((HW$56-Voorblad!$F$41)/$U236-SUM($EE236:HV236)=1,1,0))))</f>
        <v>0</v>
      </c>
      <c r="HX236" s="8">
        <f>IF(HX$56-Voorblad!$F$41&gt;Voorblad!$K$41,0,IF($U236=0,0,IF($U236&lt;1,1/$U236,IF((HX$56-Voorblad!$F$41)/$U236-SUM($EE236:HW236)=1,1,0))))</f>
        <v>0</v>
      </c>
      <c r="HY236" s="8">
        <f>IF(HY$56-Voorblad!$F$41&gt;Voorblad!$K$41,0,IF($U236=0,0,IF($U236&lt;1,1/$U236,IF((HY$56-Voorblad!$F$41)/$U236-SUM($EE236:HX236)=1,1,0))))</f>
        <v>0</v>
      </c>
      <c r="HZ236" s="8">
        <f>IF(HZ$56-Voorblad!$F$41&gt;Voorblad!$K$41,0,IF($U236=0,0,IF($U236&lt;1,1/$U236,IF((HZ$56-Voorblad!$F$41)/$U236-SUM($EE236:HY236)=1,1,0))))</f>
        <v>0</v>
      </c>
      <c r="IA236" s="8">
        <f>IF(IA$56-Voorblad!$F$41&gt;Voorblad!$K$41,0,IF($U236=0,0,IF($U236&lt;1,1/$U236,IF((IA$56-Voorblad!$F$41)/$U236-SUM($EE236:HZ236)=1,1,0))))</f>
        <v>0</v>
      </c>
      <c r="IB236" s="8">
        <f>IF(IB$56-Voorblad!$F$41&gt;Voorblad!$K$41,0,IF($U236=0,0,IF($U236&lt;1,1/$U236,IF((IB$56-Voorblad!$F$41)/$U236-SUM($EE236:IA236)=1,1,0))))</f>
        <v>0</v>
      </c>
    </row>
    <row r="237" spans="2:236" outlineLevel="1" x14ac:dyDescent="0.25">
      <c r="B237" s="2" t="s">
        <v>272</v>
      </c>
      <c r="C237" s="2"/>
      <c r="D237" s="15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14"/>
      <c r="R237" s="14"/>
      <c r="S237" s="14"/>
      <c r="T237" s="26">
        <f>SUM(T229:T236)</f>
        <v>-121037.59999999998</v>
      </c>
      <c r="U237" s="14"/>
      <c r="V237" s="14"/>
      <c r="W237" s="14"/>
      <c r="X237" s="6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E237" s="8"/>
      <c r="EF237" s="8"/>
      <c r="EG237" s="8"/>
      <c r="EH237" s="8"/>
      <c r="EI237" s="8"/>
      <c r="EJ237" s="8"/>
      <c r="EK237" s="8"/>
      <c r="EL237" s="8"/>
      <c r="EM237" s="8"/>
      <c r="EN237" s="8"/>
      <c r="EO237" s="8"/>
      <c r="EP237" s="8"/>
      <c r="EQ237" s="8"/>
      <c r="ER237" s="8"/>
      <c r="ES237" s="8"/>
      <c r="ET237" s="8"/>
      <c r="EU237" s="8"/>
      <c r="EV237" s="8"/>
      <c r="EW237" s="8"/>
      <c r="EX237" s="8"/>
      <c r="EY237" s="8"/>
      <c r="EZ237" s="8"/>
      <c r="FA237" s="8"/>
      <c r="FB237" s="8"/>
      <c r="FC237" s="8"/>
      <c r="FD237" s="8"/>
      <c r="FE237" s="8"/>
      <c r="FF237" s="8"/>
      <c r="FG237" s="8"/>
      <c r="FH237" s="8"/>
      <c r="FI237" s="8"/>
      <c r="FJ237" s="8"/>
      <c r="FK237" s="8"/>
      <c r="FL237" s="8"/>
      <c r="FM237" s="8"/>
      <c r="FN237" s="8"/>
      <c r="FO237" s="8"/>
      <c r="FP237" s="8"/>
      <c r="FQ237" s="8"/>
      <c r="FR237" s="8"/>
      <c r="FS237" s="8"/>
      <c r="FT237" s="8"/>
      <c r="FU237" s="8"/>
      <c r="FV237" s="8"/>
      <c r="FW237" s="8"/>
      <c r="FX237" s="8"/>
      <c r="FY237" s="8"/>
      <c r="FZ237" s="8"/>
      <c r="GA237" s="8"/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</row>
  </sheetData>
  <mergeCells count="2">
    <mergeCell ref="B24:I24"/>
    <mergeCell ref="B52:K52"/>
  </mergeCells>
  <pageMargins left="0.7" right="0.7" top="0.75" bottom="0.75" header="0.3" footer="0.3"/>
  <pageSetup paperSize="8" scale="16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C69E904C370F54C9CE6EEABC53B0B66" ma:contentTypeVersion="8" ma:contentTypeDescription="Een nieuw document maken." ma:contentTypeScope="" ma:versionID="66519ed3d1c7135c4310e69bd38b3bec">
  <xsd:schema xmlns:xsd="http://www.w3.org/2001/XMLSchema" xmlns:xs="http://www.w3.org/2001/XMLSchema" xmlns:p="http://schemas.microsoft.com/office/2006/metadata/properties" xmlns:ns3="de75ed97-d5d0-480f-8c5e-5314c0bb5094" targetNamespace="http://schemas.microsoft.com/office/2006/metadata/properties" ma:root="true" ma:fieldsID="c80864161cd51b9bec900a05199ecfeb" ns3:_="">
    <xsd:import namespace="de75ed97-d5d0-480f-8c5e-5314c0bb509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5ed97-d5d0-480f-8c5e-5314c0bb50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BE7987-5940-42B3-A8E9-EDAEAF82DEB9}">
  <ds:schemaRefs>
    <ds:schemaRef ds:uri="http://schemas.microsoft.com/office/2006/documentManagement/types"/>
    <ds:schemaRef ds:uri="de75ed97-d5d0-480f-8c5e-5314c0bb5094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0B0E375-92CD-4828-A54C-432322757A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9832EF-48DA-4E4D-8F7E-B2B38D8AE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75ed97-d5d0-480f-8c5e-5314c0bb50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2</vt:i4>
      </vt:variant>
    </vt:vector>
  </HeadingPairs>
  <TitlesOfParts>
    <vt:vector size="4" baseType="lpstr">
      <vt:lpstr>Voorblad</vt:lpstr>
      <vt:lpstr>Berekening MJOP+LTP</vt:lpstr>
      <vt:lpstr>'Berekening MJOP+LTP'!Afdrukbereik</vt:lpstr>
      <vt:lpstr>Voorblad!Afdrukbereik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O-Prognose | Software voor meerjarenonderhoudsplannen</dc:title>
  <dc:subject>Meerjarenonderhoudsplan</dc:subject>
  <dc:creator>Plandatis BV</dc:creator>
  <cp:keywords>O-Prognose Vastgoed</cp:keywords>
  <cp:lastModifiedBy>Alberti RH (Ron)</cp:lastModifiedBy>
  <cp:lastPrinted>2019-12-06T14:01:21Z</cp:lastPrinted>
  <dcterms:created xsi:type="dcterms:W3CDTF">2018-12-06T11:34:38Z</dcterms:created>
  <dcterms:modified xsi:type="dcterms:W3CDTF">2019-12-10T08:48:37Z</dcterms:modified>
  <cp:category>mjop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0x0101006C69E904C370F54C9CE6EEABC53B0B66</vt:lpwstr>
  </property>
</Properties>
</file>