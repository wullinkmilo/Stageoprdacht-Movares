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6F55AB99-C405-4CD9-B474-096ECC321444}" xr6:coauthVersionLast="36" xr6:coauthVersionMax="36" xr10:uidLastSave="{00000000-0000-0000-0000-000000000000}"/>
  <bookViews>
    <workbookView xWindow="5580" yWindow="0" windowWidth="19560" windowHeight="9528" activeTab="1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6" i="1" l="1"/>
  <c r="N62" i="2" l="1"/>
  <c r="O62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M62" i="2"/>
  <c r="L62" i="2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Q232" i="1" l="1"/>
  <c r="Q230" i="1"/>
  <c r="Q137" i="1"/>
  <c r="Q115" i="1"/>
  <c r="Q197" i="1"/>
  <c r="Q196" i="1"/>
  <c r="Q204" i="1"/>
  <c r="Q149" i="1"/>
  <c r="Q146" i="1"/>
  <c r="Q141" i="1"/>
  <c r="Q136" i="1"/>
  <c r="Q135" i="1"/>
  <c r="Q124" i="1"/>
  <c r="Q119" i="1"/>
  <c r="Q113" i="1"/>
  <c r="Q110" i="1"/>
  <c r="Q46" i="1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92" i="2" s="1"/>
  <c r="N76" i="2"/>
  <c r="AA125" i="1"/>
  <c r="N75" i="2" s="1"/>
  <c r="B75" i="2"/>
  <c r="D76" i="2"/>
  <c r="D75" i="2"/>
  <c r="B71" i="2"/>
  <c r="D72" i="2"/>
  <c r="D71" i="2"/>
  <c r="N93" i="2" l="1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AA46" i="1"/>
  <c r="N59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K42" i="2" l="1"/>
  <c r="J93" i="2" s="1"/>
  <c r="D73" i="2"/>
  <c r="Q233" i="1"/>
  <c r="E104" i="2" s="1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V187" i="1" l="1"/>
  <c r="T111" i="1" l="1"/>
  <c r="T236" i="1"/>
  <c r="V231" i="1"/>
  <c r="V230" i="1"/>
  <c r="T234" i="1"/>
  <c r="Q231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<sst xmlns="http://schemas.openxmlformats.org/spreadsheetml/2006/main" count="1026" uniqueCount="318">
  <si>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</si>
  <si>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</si>
  <si>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</si>
  <si>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</si>
  <si>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</si>
  <si>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</si>
  <si>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</si>
  <si>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</si>
  <si>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</si>
  <si>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</si>
  <si>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</si>
  <si>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</si>
  <si>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</si>
  <si>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</si>
  <si>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</si>
  <si>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</si>
  <si>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</si>
  <si>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</si>
  <si>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</si>
  <si>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</si>
  <si>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</si>
  <si>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</si>
  <si>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</si>
  <si>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</si>
  <si>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</si>
  <si>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</si>
  <si>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</si>
  <si>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</si>
  <si>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</si>
  <si>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</si>
  <si>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</si>
  <si>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</si>
  <si>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</si>
  <si>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</si>
  <si>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</si>
  <si>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</si>
  <si>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</si>
  <si>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</si>
  <si>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</si>
  <si>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</si>
  <si>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</si>
  <si>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</si>
  <si>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</si>
  <si>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</si>
  <si>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</si>
  <si>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</si>
  <si>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</si>
  <si>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</si>
  <si>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</si>
  <si>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</si>
  <si>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</si>
  <si>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</si>
  <si>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</si>
  <si>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</si>
  <si>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</si>
  <si>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</si>
  <si>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</si>
  <si>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</si>
  <si>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</si>
  <si>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</si>
  <si>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</si>
  <si>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</si>
  <si>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</si>
  <si>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</si>
  <si>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</si>
  <si>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</si>
  <si>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</si>
  <si>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</si>
  <si>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</si>
  <si>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</si>
  <si>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</si>
  <si>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</si>
  <si>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</si>
  <si>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</si>
  <si>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</si>
  <si>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</si>
  <si>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</si>
  <si>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</si>
  <si>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</si>
  <si>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</si>
  <si>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</si>
  <si>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</si>
  <si>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</si>
  <si>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</si>
  <si>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</si>
  <si>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</si>
  <si>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</si>
  <si>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</si>
  <si>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</si>
  <si>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</si>
  <si>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</si>
  <si>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</si>
  <si>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</si>
  <si>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</si>
  <si>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</si>
  <si>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</si>
  <si>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</si>
  <si>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</si>
  <si>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</si>
  <si>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</si>
  <si>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</si>
  <si>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</si>
  <si>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</si>
  <si>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</si>
  <si>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</si>
  <si>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</si>
  <si>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</si>
  <si>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</si>
  <si>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</si>
  <si>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</si>
  <si>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</si>
  <si>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</si>
  <si>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</si>
  <si>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</si>
  <si>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</si>
  <si>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</si>
  <si>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</si>
  <si>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</si>
  <si>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</si>
  <si>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</si>
  <si>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</si>
  <si>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</si>
  <si>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</si>
  <si>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</si>
  <si>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</si>
  <si>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</si>
  <si>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</si>
  <si>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</si>
  <si>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</si>
  <si>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</si>
  <si>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</si>
  <si>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</si>
  <si>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</si>
  <si>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</si>
  <si>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</si>
  <si>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</si>
  <si>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</si>
  <si>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</si>
  <si>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</si>
  <si>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</si>
  <si>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</si>
  <si>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</si>
  <si>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</si>
  <si>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</si>
  <si>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</si>
  <si>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t>4x52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</si>
  <si>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</si>
  <si>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</si>
  <si>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</si>
  <si>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</si>
  <si>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</si>
  <si>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</si>
  <si>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</si>
  <si>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</si>
  <si>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</si>
  <si>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</si>
  <si>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</si>
  <si>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</si>
  <si>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</si>
  <si>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</si>
  <si>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</si>
  <si>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</si>
  <si>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</si>
  <si>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</si>
  <si>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</si>
  <si>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</si>
  <si>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</si>
  <si>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</si>
  <si>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</si>
  <si>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</si>
  <si>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</si>
  <si>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</si>
  <si>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</si>
  <si>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</si>
  <si>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</si>
  <si>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</si>
  <si>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</si>
  <si>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</si>
  <si>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</si>
  <si>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</si>
  <si>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</si>
  <si>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</si>
  <si>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</si>
  <si>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</si>
  <si>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</si>
  <si>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</si>
  <si>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</si>
  <si>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</si>
  <si>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</si>
  <si>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</si>
  <si>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</si>
  <si>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</si>
  <si>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</si>
  <si>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</si>
  <si>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</si>
  <si>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</si>
  <si>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</si>
  <si>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</si>
  <si>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</si>
  <si>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</si>
  <si>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</si>
  <si>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</si>
  <si>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</si>
  <si>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</si>
  <si>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</si>
  <si>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</si>
  <si>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</si>
  <si>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</si>
  <si>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</si>
  <si>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</si>
  <si>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</si>
  <si>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</si>
  <si>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</si>
  <si>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</si>
  <si>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</si>
  <si>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</si>
  <si>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</si>
  <si>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</si>
  <si>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</si>
  <si>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</si>
  <si>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</si>
  <si>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</si>
  <si>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</si>
  <si>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</si>
  <si>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</si>
  <si>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</si>
  <si>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</si>
  <si>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</si>
  <si>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</si>
  <si>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</si>
  <si>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</si>
  <si>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</si>
  <si>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</si>
  <si>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2 landhfd + 3 tussenstpnt+ tunnelvloer 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</si>
  <si>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</si>
  <si>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</si>
  <si>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</si>
  <si>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</si>
  <si>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</si>
  <si>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</si>
  <si>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</si>
  <si>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</si>
  <si>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</si>
  <si>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</si>
  <si>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</si>
  <si>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</si>
  <si>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</si>
  <si>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</si>
  <si>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</si>
  <si>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</si>
  <si>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</si>
  <si>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</si>
  <si>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</si>
  <si>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</si>
  <si>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</si>
  <si>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</si>
  <si>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</si>
  <si>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</si>
  <si>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</si>
  <si>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</si>
  <si>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</si>
  <si>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</si>
  <si>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</si>
  <si>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</si>
  <si>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</si>
  <si>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</si>
  <si>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</si>
  <si>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</si>
  <si>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</si>
  <si>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</si>
  <si>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</si>
  <si>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</si>
  <si>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</si>
  <si>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</si>
  <si>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</si>
  <si>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</si>
  <si>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</si>
  <si>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</si>
  <si>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</si>
  <si>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</si>
  <si>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Breda</t>
  </si>
  <si>
    <t>insp</t>
  </si>
  <si>
    <t>ko</t>
  </si>
  <si>
    <t>KW20-544-0020</t>
  </si>
  <si>
    <t>Spoorviaduct Doornboslaan</t>
  </si>
  <si>
    <t>vervanging folieconstructie</t>
  </si>
  <si>
    <t>uitvoeren BHM uit oplossingenbuffet cf rapport Movares D90-MGE-KA-1600264 d.d. 26-07-2016</t>
  </si>
  <si>
    <t>aanbrengen hoogtebeperkingsborden ivm beperkte hoogte</t>
  </si>
  <si>
    <t>vervanging gesloten deel tunnel BxL</t>
  </si>
  <si>
    <t>Σ: van 2 landhfdn (wand) + 3 tussenstnpntn (wand)</t>
  </si>
  <si>
    <t>spoordek+PV-paden: 485 m3</t>
  </si>
  <si>
    <t>Σ: 2 landhfdn + 3 tussenstnpntn + vloer: 1110 m3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</si>
  <si>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</si>
  <si>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</si>
  <si>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</si>
  <si>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</si>
  <si>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</si>
  <si>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</si>
  <si>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</si>
  <si>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</si>
  <si>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</si>
  <si>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</si>
  <si>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</si>
  <si>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</si>
  <si>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</si>
  <si>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</si>
  <si>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</si>
  <si>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</si>
  <si>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</si>
  <si>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</si>
  <si>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</si>
  <si>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</si>
  <si>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</si>
  <si>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</si>
  <si>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</si>
  <si>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Totaal kosten cat. 2 (advies IB tlv ProRail AM)</t>
  </si>
  <si>
    <t>(Constructie) staal geluidscherm</t>
  </si>
  <si>
    <t>stijlen geluidscherm h=3,0m, 2x42,8 m á 50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</si>
</sst>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5" fillId="8" borderId="0" xfId="0" applyFont="1" applyFill="1"/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view="pageBreakPreview" zoomScale="70" zoomScaleNormal="90" zoomScaleSheetLayoutView="70" workbookViewId="0">
      <selection activeCell="T24" sqref="T24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248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150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127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115</v>
      </c>
      <c r="C9" s="93"/>
      <c r="D9" s="94"/>
      <c r="E9" s="94"/>
      <c r="F9" s="137" t="s">
        <v>121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116</v>
      </c>
      <c r="C10" s="93"/>
      <c r="D10" s="94"/>
      <c r="E10" s="94"/>
      <c r="F10" s="138" t="s">
        <v>122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117</v>
      </c>
      <c r="C11" s="93"/>
      <c r="D11" s="94"/>
      <c r="E11" s="94"/>
      <c r="F11" s="138" t="s">
        <v>123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118</v>
      </c>
      <c r="C12" s="93"/>
      <c r="D12" s="94"/>
      <c r="E12" s="94"/>
      <c r="F12" s="137" t="s">
        <v>124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119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120</v>
      </c>
      <c r="C14" s="96"/>
      <c r="D14" s="97"/>
      <c r="E14" s="97"/>
      <c r="F14" s="140" t="s">
        <v>125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126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128</v>
      </c>
      <c r="C17" s="99"/>
      <c r="D17" s="94"/>
      <c r="E17" s="94"/>
      <c r="F17" s="141">
        <v>10592913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283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284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129</v>
      </c>
      <c r="C21" s="99"/>
      <c r="D21" s="94"/>
      <c r="E21" s="94"/>
      <c r="F21" s="142">
        <v>544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130</v>
      </c>
      <c r="C22" s="99"/>
      <c r="D22" s="94"/>
      <c r="E22" s="94"/>
      <c r="F22" s="141">
        <v>1.468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280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1970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1970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>
        <v>2016</v>
      </c>
      <c r="G26" s="227" t="s">
        <v>285</v>
      </c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113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43429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227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230</v>
      </c>
      <c r="C33" s="101"/>
      <c r="D33" s="97"/>
      <c r="E33" s="97"/>
      <c r="F33" s="144" t="s">
        <v>234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146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249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132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131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250</v>
      </c>
      <c r="C41" s="41"/>
      <c r="D41" s="40"/>
      <c r="E41" s="40"/>
      <c r="F41" s="102">
        <v>2028</v>
      </c>
      <c r="G41" s="41"/>
      <c r="H41" s="131" t="s">
        <v>251</v>
      </c>
      <c r="I41" s="40"/>
      <c r="J41" s="40"/>
      <c r="K41" s="103">
        <f>F24+100-F41</f>
        <v>42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252</v>
      </c>
      <c r="I42" s="40"/>
      <c r="J42" s="40"/>
      <c r="K42" s="46">
        <f>F41+K41</f>
        <v>2070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133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245</v>
      </c>
      <c r="C48" s="164" t="s">
        <v>246</v>
      </c>
      <c r="D48" s="67" t="str">
        <f>'Berekening MJOP+LTP'!K28</f>
        <v>Omschrijving</v>
      </c>
      <c r="E48" s="67"/>
      <c r="F48" s="68"/>
      <c r="G48" s="69"/>
      <c r="H48" s="151" t="s">
        <v>226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295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uitvoeren BHM uit oplossingenbuffet cf rapport Movares D90-MGE-KA-1600264 d.d. 26-07-2016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10000</v>
      </c>
      <c r="M52" s="64">
        <f>'Berekening MJOP+LTP'!Y39</f>
        <v>9518.1439619274242</v>
      </c>
      <c r="N52" s="61">
        <f>'Berekening MJOP+LTP'!AA39</f>
        <v>0</v>
      </c>
      <c r="O52" s="255">
        <f>'Berekening MJOP+LTP'!AC39</f>
        <v>1087.5313568317961</v>
      </c>
      <c r="P52" s="234"/>
    </row>
    <row r="53" spans="2:16" x14ac:dyDescent="0.3">
      <c r="B53" s="109">
        <f>'Berekening MJOP+LTP'!B40</f>
        <v>1</v>
      </c>
      <c r="C53" s="66">
        <f>'Berekening MJOP+LTP'!D40</f>
        <v>3</v>
      </c>
      <c r="D53" s="145" t="str">
        <f>'Berekening MJOP+LTP'!K40</f>
        <v>aanbrengen hoogtebeperkingsborden ivm beperkte hoogte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1500</v>
      </c>
      <c r="M53" s="64">
        <f>'Berekening MJOP+LTP'!Y40</f>
        <v>1427.7215942891137</v>
      </c>
      <c r="N53" s="61">
        <f>'Berekening MJOP+LTP'!AA40</f>
        <v>0</v>
      </c>
      <c r="O53" s="255">
        <f>'Berekening MJOP+LTP'!AC40</f>
        <v>163.12970352476941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143</v>
      </c>
      <c r="I59" s="127"/>
      <c r="J59" s="56">
        <f>F24+100</f>
        <v>2070</v>
      </c>
      <c r="K59" s="159">
        <v>2070</v>
      </c>
      <c r="L59" s="156">
        <f>'Berekening MJOP+LTP'!T46</f>
        <v>7807779.0000000009</v>
      </c>
      <c r="M59" s="128">
        <f>'Berekening MJOP+LTP'!Y46</f>
        <v>0</v>
      </c>
      <c r="N59" s="129">
        <f>'Berekening MJOP+LTP'!AA46</f>
        <v>208</v>
      </c>
      <c r="O59" s="257">
        <f>'Berekening MJOP+LTP'!AC46</f>
        <v>0</v>
      </c>
      <c r="P59" s="235"/>
    </row>
    <row r="60" spans="2:16" x14ac:dyDescent="0.3">
      <c r="B60" s="207" t="s">
        <v>308</v>
      </c>
      <c r="C60" s="189"/>
      <c r="D60" s="208"/>
      <c r="E60" s="208"/>
      <c r="F60" s="189"/>
      <c r="G60" s="190" t="s">
        <v>152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315</v>
      </c>
      <c r="C61" s="194"/>
      <c r="D61" s="212"/>
      <c r="E61" s="212"/>
      <c r="F61" s="194"/>
      <c r="G61" s="195" t="s">
        <v>152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309</v>
      </c>
      <c r="C62" s="194"/>
      <c r="D62" s="212"/>
      <c r="E62" s="212"/>
      <c r="F62" s="194"/>
      <c r="G62" s="195" t="s">
        <v>152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310</v>
      </c>
      <c r="C63" s="194"/>
      <c r="D63" s="212"/>
      <c r="E63" s="212"/>
      <c r="F63" s="194"/>
      <c r="G63" s="195" t="s">
        <v>152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11500</v>
      </c>
      <c r="M63" s="214">
        <f>SUMIF(B51:B58,1,M51:M58)</f>
        <v>10945.865556216539</v>
      </c>
      <c r="N63" s="247">
        <f>SUMIF(B51:B58,1,N51:N58)</f>
        <v>0</v>
      </c>
      <c r="O63" s="259">
        <f>SUMIF(B51:B58,1,O51:O58)</f>
        <v>1250.6610603565655</v>
      </c>
      <c r="P63" s="236"/>
    </row>
    <row r="64" spans="2:16" x14ac:dyDescent="0.3">
      <c r="B64" s="211" t="s">
        <v>278</v>
      </c>
      <c r="C64" s="194"/>
      <c r="D64" s="212"/>
      <c r="E64" s="212"/>
      <c r="F64" s="194"/>
      <c r="G64" s="195" t="s">
        <v>152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16500</v>
      </c>
      <c r="M64" s="214">
        <f>SUM(M51:M58)</f>
        <v>15588.862610815284</v>
      </c>
      <c r="N64" s="247">
        <f>SUM(N51:N58)</f>
        <v>0</v>
      </c>
      <c r="O64" s="259">
        <f>SUM(O51:O58)</f>
        <v>1781.1641612501246</v>
      </c>
      <c r="P64" s="236"/>
    </row>
    <row r="65" spans="2:16" x14ac:dyDescent="0.3">
      <c r="B65" s="211" t="s">
        <v>311</v>
      </c>
      <c r="C65" s="194"/>
      <c r="D65" s="212"/>
      <c r="E65" s="212"/>
      <c r="F65" s="194"/>
      <c r="G65" s="205" t="s">
        <v>262</v>
      </c>
      <c r="H65" s="196"/>
      <c r="I65" s="213"/>
      <c r="J65" s="197"/>
      <c r="K65" s="224">
        <f>K59</f>
        <v>2070</v>
      </c>
      <c r="L65" s="214">
        <f>L59</f>
        <v>7807779.0000000009</v>
      </c>
      <c r="M65" s="214">
        <f>M59</f>
        <v>0</v>
      </c>
      <c r="N65" s="248">
        <f>N59</f>
        <v>208</v>
      </c>
      <c r="O65" s="259">
        <f>O59</f>
        <v>0</v>
      </c>
      <c r="P65" s="237"/>
    </row>
    <row r="66" spans="2:16" ht="15" thickBot="1" x14ac:dyDescent="0.35">
      <c r="B66" s="215" t="s">
        <v>279</v>
      </c>
      <c r="C66" s="199"/>
      <c r="D66" s="216"/>
      <c r="E66" s="216"/>
      <c r="F66" s="199"/>
      <c r="G66" s="200" t="s">
        <v>152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7835779.0000000009</v>
      </c>
      <c r="M66" s="218">
        <f>SUM(M49:M59)</f>
        <v>25898.425662075417</v>
      </c>
      <c r="N66" s="249">
        <f>SUM(N49:N59)</f>
        <v>208</v>
      </c>
      <c r="O66" s="260">
        <f>SUM(O49:O59)</f>
        <v>2959.1220843838551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247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245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141</v>
      </c>
      <c r="O69" s="130" t="s">
        <v>295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143</v>
      </c>
      <c r="I73" s="35"/>
      <c r="J73" s="35">
        <f>F24+100</f>
        <v>2070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182918.07649328379</v>
      </c>
      <c r="N75" s="61">
        <f>'Berekening MJOP+LTP'!AA125</f>
        <v>0</v>
      </c>
      <c r="O75" s="261">
        <f>'Berekening MJOP+LTP'!AC125</f>
        <v>7084.1896818576788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21853.312597473479</v>
      </c>
      <c r="N76" s="61">
        <f>'Berekening MJOP+LTP'!AA147</f>
        <v>0</v>
      </c>
      <c r="O76" s="261">
        <f>'Berekening MJOP+LTP'!AC147</f>
        <v>846.35162683397402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143</v>
      </c>
      <c r="I77" s="35"/>
      <c r="J77" s="35">
        <f>F24+100</f>
        <v>2070</v>
      </c>
      <c r="K77" s="90">
        <v>2070</v>
      </c>
      <c r="L77" s="64">
        <f>'Berekening MJOP+LTP'!T154</f>
        <v>5397462</v>
      </c>
      <c r="M77" s="64">
        <f>'Berekening MJOP+LTP'!Y154</f>
        <v>1913318.3952839563</v>
      </c>
      <c r="N77" s="61">
        <f>'Berekening MJOP+LTP'!AA149</f>
        <v>104</v>
      </c>
      <c r="O77" s="261">
        <f>'Berekening MJOP+LTP'!AC154</f>
        <v>74100.442634365711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143</v>
      </c>
      <c r="I81" s="35"/>
      <c r="J81" s="35">
        <f>F24+100</f>
        <v>2070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84121.586310819097</v>
      </c>
      <c r="N83" s="61">
        <f>'Berekening MJOP+LTP'!AA199</f>
        <v>0</v>
      </c>
      <c r="O83" s="261">
        <f>'Berekening MJOP+LTP'!AC199</f>
        <v>3257.9244500555728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143</v>
      </c>
      <c r="I85" s="35"/>
      <c r="J85" s="35">
        <f>F25+100</f>
        <v>2070</v>
      </c>
      <c r="K85" s="90">
        <v>2070</v>
      </c>
      <c r="L85" s="64">
        <f>'Berekening MJOP+LTP'!T208</f>
        <v>2403450</v>
      </c>
      <c r="M85" s="64">
        <f>'Berekening MJOP+LTP'!Y208</f>
        <v>851986.56278547668</v>
      </c>
      <c r="N85" s="61">
        <f>'Berekening MJOP+LTP'!AA204</f>
        <v>104</v>
      </c>
      <c r="O85" s="261">
        <f>'Berekening MJOP+LTP'!AC208</f>
        <v>32996.38030792366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143</v>
      </c>
      <c r="I89" s="35"/>
      <c r="J89" s="35">
        <f>F25+100</f>
        <v>2070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-376126</v>
      </c>
      <c r="M91" s="64"/>
      <c r="N91" s="251"/>
      <c r="O91" s="262"/>
      <c r="P91" s="241"/>
      <c r="Q91" s="27"/>
    </row>
    <row r="92" spans="2:17" x14ac:dyDescent="0.3">
      <c r="B92" s="207" t="s">
        <v>312</v>
      </c>
      <c r="C92" s="208"/>
      <c r="D92" s="208"/>
      <c r="E92" s="208"/>
      <c r="F92" s="189"/>
      <c r="G92" s="204" t="s">
        <v>153</v>
      </c>
      <c r="H92" s="191">
        <f>F41</f>
        <v>2028</v>
      </c>
      <c r="I92" s="209" t="s">
        <v>29</v>
      </c>
      <c r="J92" s="192">
        <f>K42</f>
        <v>2070</v>
      </c>
      <c r="K92" s="219"/>
      <c r="L92" s="220"/>
      <c r="M92" s="220">
        <f t="shared" ref="M92:O94" si="1">M71+M75+M79+M83+M87</f>
        <v>267039.66280410287</v>
      </c>
      <c r="N92" s="267">
        <f t="shared" si="1"/>
        <v>0</v>
      </c>
      <c r="O92" s="263">
        <f t="shared" si="1"/>
        <v>10342.114131913251</v>
      </c>
      <c r="P92" s="242"/>
    </row>
    <row r="93" spans="2:17" x14ac:dyDescent="0.3">
      <c r="B93" s="211" t="s">
        <v>313</v>
      </c>
      <c r="C93" s="212"/>
      <c r="D93" s="212"/>
      <c r="E93" s="212"/>
      <c r="F93" s="194"/>
      <c r="G93" s="205" t="s">
        <v>153</v>
      </c>
      <c r="H93" s="196">
        <f>F41</f>
        <v>2028</v>
      </c>
      <c r="I93" s="213" t="s">
        <v>29</v>
      </c>
      <c r="J93" s="197">
        <f>K42</f>
        <v>2070</v>
      </c>
      <c r="K93" s="221"/>
      <c r="L93" s="222"/>
      <c r="M93" s="222">
        <f t="shared" si="1"/>
        <v>21853.312597473479</v>
      </c>
      <c r="N93" s="252">
        <f t="shared" si="1"/>
        <v>0</v>
      </c>
      <c r="O93" s="264">
        <f t="shared" si="1"/>
        <v>846.35162683397402</v>
      </c>
      <c r="P93" s="243"/>
    </row>
    <row r="94" spans="2:17" x14ac:dyDescent="0.3">
      <c r="B94" s="211" t="s">
        <v>311</v>
      </c>
      <c r="C94" s="212"/>
      <c r="D94" s="212"/>
      <c r="E94" s="212"/>
      <c r="F94" s="194"/>
      <c r="G94" s="205" t="s">
        <v>262</v>
      </c>
      <c r="H94" s="196"/>
      <c r="I94" s="213"/>
      <c r="J94" s="197"/>
      <c r="K94" s="225">
        <f>K59</f>
        <v>2070</v>
      </c>
      <c r="L94" s="222">
        <f>L73+L77+L81+L85+L89</f>
        <v>7800912</v>
      </c>
      <c r="M94" s="222">
        <f t="shared" si="1"/>
        <v>2765304.958069433</v>
      </c>
      <c r="N94" s="252">
        <f t="shared" si="1"/>
        <v>208</v>
      </c>
      <c r="O94" s="264">
        <f t="shared" si="1"/>
        <v>107096.82294228938</v>
      </c>
      <c r="P94" s="243"/>
    </row>
    <row r="95" spans="2:17" ht="15" thickBot="1" x14ac:dyDescent="0.35">
      <c r="B95" s="215" t="s">
        <v>314</v>
      </c>
      <c r="C95" s="216"/>
      <c r="D95" s="216"/>
      <c r="E95" s="216"/>
      <c r="F95" s="199"/>
      <c r="G95" s="206" t="s">
        <v>262</v>
      </c>
      <c r="H95" s="201"/>
      <c r="I95" s="217"/>
      <c r="J95" s="202"/>
      <c r="K95" s="226">
        <f>K59</f>
        <v>2070</v>
      </c>
      <c r="L95" s="223">
        <f>L91</f>
        <v>-376126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263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264</v>
      </c>
      <c r="F99" s="177" t="s">
        <v>265</v>
      </c>
    </row>
    <row r="100" spans="3:6" x14ac:dyDescent="0.3">
      <c r="C100" s="185" t="str">
        <f>'Berekening MJOP+LTP'!K229</f>
        <v>(Constructie) staal spoordek</v>
      </c>
      <c r="D100" s="180"/>
      <c r="E100" s="61">
        <f>'Berekening MJOP+LTP'!Q229</f>
        <v>0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970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485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2553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510.6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 t="str">
        <f>'Berekening MJOP+LTP'!K236</f>
        <v>(Constructie) staal geluidscherm</v>
      </c>
      <c r="D107" s="181"/>
      <c r="E107" s="182">
        <f>'Berekening MJOP+LTP'!Q236</f>
        <v>4.28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abSelected="1" topLeftCell="D1" zoomScale="90" zoomScaleNormal="90" zoomScaleSheetLayoutView="90" workbookViewId="0">
      <pane ySplit="2" topLeftCell="A3" activePane="bottomLeft" state="frozen"/>
      <selection pane="bottomLeft" activeCell="N154" sqref="N154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240</v>
      </c>
      <c r="C1" s="3" t="s">
        <v>241</v>
      </c>
      <c r="D1" s="3" t="s">
        <v>243</v>
      </c>
      <c r="E1" s="3" t="s">
        <v>238</v>
      </c>
      <c r="F1" s="3" t="s">
        <v>0</v>
      </c>
      <c r="G1" s="3"/>
      <c r="H1" s="3"/>
      <c r="I1" s="3" t="s">
        <v>235</v>
      </c>
      <c r="J1" s="3"/>
      <c r="K1" s="3" t="s">
        <v>11</v>
      </c>
      <c r="L1" s="3"/>
      <c r="M1" s="3"/>
      <c r="N1" s="3"/>
      <c r="O1" s="3" t="s">
        <v>54</v>
      </c>
      <c r="P1" s="3" t="s">
        <v>137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142</v>
      </c>
      <c r="X1" s="3"/>
      <c r="Y1" s="20" t="s">
        <v>68</v>
      </c>
      <c r="Z1" s="20" t="s">
        <v>140</v>
      </c>
      <c r="AA1" s="20" t="s">
        <v>144</v>
      </c>
      <c r="AC1" s="20" t="s">
        <v>293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239</v>
      </c>
      <c r="C2" s="3" t="s">
        <v>244</v>
      </c>
      <c r="D2" s="3" t="s">
        <v>242</v>
      </c>
      <c r="E2" s="3" t="s">
        <v>237</v>
      </c>
      <c r="F2" s="3"/>
      <c r="G2" s="3"/>
      <c r="H2" s="3"/>
      <c r="I2" s="3" t="s">
        <v>236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294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301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258</v>
      </c>
      <c r="K9" s="1" t="s">
        <v>25</v>
      </c>
    </row>
    <row r="10" spans="2:236" ht="13.8" x14ac:dyDescent="0.3">
      <c r="B10" s="170"/>
      <c r="D10" s="168" t="s">
        <v>261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300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259</v>
      </c>
    </row>
    <row r="15" spans="2:236" ht="13.8" x14ac:dyDescent="0.3">
      <c r="B15" s="170"/>
      <c r="D15" s="168" t="s">
        <v>260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302</v>
      </c>
      <c r="K17" s="1" t="s">
        <v>254</v>
      </c>
    </row>
    <row r="18" spans="2:236" ht="13.8" x14ac:dyDescent="0.3">
      <c r="B18" s="170"/>
      <c r="D18" s="1" t="s">
        <v>40</v>
      </c>
      <c r="K18" s="1" t="s">
        <v>255</v>
      </c>
    </row>
    <row r="19" spans="2:236" ht="13.8" x14ac:dyDescent="0.3">
      <c r="B19" s="170"/>
      <c r="D19" s="1" t="s">
        <v>259</v>
      </c>
      <c r="K19" s="1" t="s">
        <v>256</v>
      </c>
    </row>
    <row r="20" spans="2:236" ht="13.8" x14ac:dyDescent="0.3">
      <c r="B20" s="170"/>
      <c r="D20" s="168" t="s">
        <v>260</v>
      </c>
      <c r="H20" s="172">
        <v>1.77</v>
      </c>
      <c r="I20" s="167">
        <v>1.77</v>
      </c>
    </row>
    <row r="21" spans="2:236" x14ac:dyDescent="0.25">
      <c r="K21" s="25" t="s">
        <v>149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257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240</v>
      </c>
      <c r="C28" s="3" t="s">
        <v>241</v>
      </c>
      <c r="D28" s="3" t="s">
        <v>243</v>
      </c>
      <c r="E28" s="3" t="s">
        <v>238</v>
      </c>
      <c r="F28" s="3" t="s">
        <v>0</v>
      </c>
      <c r="G28" s="3"/>
      <c r="H28" s="3"/>
      <c r="I28" s="3" t="s">
        <v>235</v>
      </c>
      <c r="J28" s="3"/>
      <c r="K28" s="3" t="s">
        <v>11</v>
      </c>
      <c r="L28" s="3"/>
      <c r="M28" s="3"/>
      <c r="N28" s="3"/>
      <c r="O28" s="3" t="s">
        <v>54</v>
      </c>
      <c r="P28" s="3" t="s">
        <v>137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142</v>
      </c>
      <c r="X28" s="3"/>
      <c r="Y28" s="20" t="s">
        <v>68</v>
      </c>
      <c r="Z28" s="20" t="s">
        <v>140</v>
      </c>
      <c r="AA28" s="20" t="s">
        <v>144</v>
      </c>
      <c r="AC28" s="20" t="s">
        <v>293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239</v>
      </c>
      <c r="C29" s="3" t="s">
        <v>244</v>
      </c>
      <c r="D29" s="3" t="s">
        <v>242</v>
      </c>
      <c r="E29" s="3" t="s">
        <v>237</v>
      </c>
      <c r="F29" s="3"/>
      <c r="G29" s="3"/>
      <c r="H29" s="3"/>
      <c r="I29" s="3" t="s">
        <v>236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294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296</v>
      </c>
      <c r="K31" s="1" t="s">
        <v>297</v>
      </c>
      <c r="O31" s="1" t="s">
        <v>306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282</v>
      </c>
      <c r="K32" s="1" t="s">
        <v>151</v>
      </c>
      <c r="O32" s="1" t="s">
        <v>306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305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299</v>
      </c>
      <c r="I35" s="1" t="s">
        <v>298</v>
      </c>
      <c r="K35" s="1" t="s">
        <v>304</v>
      </c>
      <c r="O35" s="1" t="s">
        <v>307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303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112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112</v>
      </c>
      <c r="F39" s="76" t="s">
        <v>21</v>
      </c>
      <c r="G39" s="76"/>
      <c r="H39" s="76"/>
      <c r="I39" s="76" t="s">
        <v>282</v>
      </c>
      <c r="J39" s="76"/>
      <c r="K39" s="76" t="s">
        <v>286</v>
      </c>
      <c r="L39" s="76"/>
      <c r="M39" s="76"/>
      <c r="N39" s="76"/>
      <c r="O39" s="77"/>
      <c r="P39" s="77"/>
      <c r="Q39" s="81">
        <v>1</v>
      </c>
      <c r="R39" s="81" t="s">
        <v>33</v>
      </c>
      <c r="S39" s="81">
        <v>10000</v>
      </c>
      <c r="T39" s="9">
        <f t="shared" si="4"/>
        <v>10000</v>
      </c>
      <c r="U39" s="11">
        <v>1</v>
      </c>
      <c r="V39" s="14"/>
      <c r="W39" s="9">
        <f>Voorblad!K52</f>
        <v>2020</v>
      </c>
      <c r="Y39" s="9">
        <f t="shared" ref="Y39:Y45" si="5">SUM(AE39:EB39)</f>
        <v>9518.1439619274242</v>
      </c>
      <c r="Z39" s="82"/>
      <c r="AA39" s="82"/>
      <c r="AC39" s="9">
        <f>$Y39*(Voorblad!$K$44*(1+Voorblad!$K$44)^Voorblad!$K$37)/((1+Voorblad!$K$44)^Voorblad!$K$37-1)</f>
        <v>1087.5313568317961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9518.1439619274242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1</v>
      </c>
      <c r="C40" s="76" t="s">
        <v>22</v>
      </c>
      <c r="D40" s="76">
        <v>3</v>
      </c>
      <c r="E40" s="76" t="s">
        <v>112</v>
      </c>
      <c r="F40" s="76" t="s">
        <v>21</v>
      </c>
      <c r="G40" s="76"/>
      <c r="H40" s="76"/>
      <c r="I40" s="76" t="s">
        <v>282</v>
      </c>
      <c r="J40" s="76"/>
      <c r="K40" s="79" t="s">
        <v>287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2020</v>
      </c>
      <c r="Y40" s="9">
        <f t="shared" si="5"/>
        <v>1427.7215942891137</v>
      </c>
      <c r="Z40" s="82"/>
      <c r="AA40" s="82"/>
      <c r="AC40" s="9">
        <f>$Y40*(Voorblad!$K$44*(1+Voorblad!$K$44)^Voorblad!$K$37)/((1+Voorblad!$K$44)^Voorblad!$K$37-1)</f>
        <v>163.12970352476941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1427.7215942891137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231</v>
      </c>
      <c r="P46" s="14" t="s">
        <v>288</v>
      </c>
      <c r="Q46" s="83">
        <f>21.8*31.5</f>
        <v>686.7</v>
      </c>
      <c r="R46" s="81" t="s">
        <v>35</v>
      </c>
      <c r="S46" s="81">
        <v>11370</v>
      </c>
      <c r="T46" s="9">
        <f t="shared" si="4"/>
        <v>7807779.0000000009</v>
      </c>
      <c r="U46" s="11">
        <v>1</v>
      </c>
      <c r="V46" s="1">
        <f>Voorblad!F24+100</f>
        <v>2070</v>
      </c>
      <c r="W46" s="9">
        <f>Voorblad!K59</f>
        <v>2070</v>
      </c>
      <c r="X46" s="6"/>
      <c r="Y46" s="9">
        <f>SUM(AE46:EB46)</f>
        <v>0</v>
      </c>
      <c r="Z46" s="82" t="s">
        <v>145</v>
      </c>
      <c r="AA46" s="82">
        <f>4*52</f>
        <v>208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272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253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240</v>
      </c>
      <c r="C54" s="3"/>
      <c r="D54" s="3"/>
      <c r="E54" s="3"/>
      <c r="F54" s="3" t="s">
        <v>0</v>
      </c>
      <c r="G54" s="3"/>
      <c r="H54" s="3"/>
      <c r="I54" s="3" t="s">
        <v>235</v>
      </c>
      <c r="J54" s="3"/>
      <c r="K54" s="3" t="s">
        <v>11</v>
      </c>
      <c r="L54" s="3"/>
      <c r="M54" s="3"/>
      <c r="N54" s="3"/>
      <c r="O54" s="3" t="s">
        <v>54</v>
      </c>
      <c r="P54" s="3" t="s">
        <v>137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142</v>
      </c>
      <c r="X54" s="6"/>
      <c r="Y54" s="20" t="s">
        <v>68</v>
      </c>
      <c r="Z54" s="20" t="s">
        <v>140</v>
      </c>
      <c r="AA54" s="20" t="s">
        <v>144</v>
      </c>
      <c r="AC54" s="20" t="s">
        <v>293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239</v>
      </c>
      <c r="I55" s="3" t="s">
        <v>236</v>
      </c>
      <c r="O55" s="14"/>
      <c r="P55" s="14"/>
      <c r="V55" s="3" t="s">
        <v>70</v>
      </c>
      <c r="AC55" s="20" t="s">
        <v>294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281</v>
      </c>
      <c r="K58" s="1" t="s">
        <v>297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282</v>
      </c>
      <c r="K59" s="1" t="s">
        <v>110</v>
      </c>
      <c r="N59" s="3"/>
      <c r="O59" s="1" t="s">
        <v>135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282</v>
      </c>
      <c r="K60" s="1" t="s">
        <v>154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282</v>
      </c>
      <c r="K61" s="1" t="s">
        <v>147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282</v>
      </c>
      <c r="K62" s="14" t="s">
        <v>166</v>
      </c>
      <c r="L62" s="14"/>
      <c r="M62" s="14"/>
      <c r="N62" s="3"/>
      <c r="P62" s="1" t="s">
        <v>186</v>
      </c>
      <c r="Q62" s="81">
        <v>0</v>
      </c>
      <c r="R62" s="147" t="s">
        <v>198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282</v>
      </c>
      <c r="K63" s="14" t="s">
        <v>170</v>
      </c>
      <c r="L63" s="14"/>
      <c r="M63" s="14"/>
      <c r="N63" s="3"/>
      <c r="O63" s="1" t="s">
        <v>172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282</v>
      </c>
      <c r="K64" s="14" t="s">
        <v>205</v>
      </c>
      <c r="L64" s="14"/>
      <c r="M64" s="14"/>
      <c r="N64" s="3"/>
      <c r="O64" s="1" t="s">
        <v>173</v>
      </c>
      <c r="P64" s="1" t="s">
        <v>176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282</v>
      </c>
      <c r="K65" s="14" t="s">
        <v>171</v>
      </c>
      <c r="L65" s="14"/>
      <c r="M65" s="14"/>
      <c r="N65" s="3"/>
      <c r="O65" s="1" t="s">
        <v>174</v>
      </c>
      <c r="P65" s="1" t="s">
        <v>177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282</v>
      </c>
      <c r="K66" s="14" t="s">
        <v>169</v>
      </c>
      <c r="L66" s="14"/>
      <c r="M66" s="14"/>
      <c r="N66" s="3"/>
      <c r="O66" s="1" t="s">
        <v>174</v>
      </c>
      <c r="P66" s="1" t="s">
        <v>177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282</v>
      </c>
      <c r="K67" s="14" t="s">
        <v>191</v>
      </c>
      <c r="L67" s="14"/>
      <c r="M67" s="14"/>
      <c r="N67" s="3"/>
      <c r="O67" s="1" t="s">
        <v>175</v>
      </c>
      <c r="P67" s="1" t="s">
        <v>178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282</v>
      </c>
      <c r="K68" s="14" t="s">
        <v>95</v>
      </c>
      <c r="L68" s="14"/>
      <c r="M68" s="14"/>
      <c r="N68" s="3"/>
      <c r="O68" s="1" t="s">
        <v>180</v>
      </c>
      <c r="P68" s="1" t="s">
        <v>179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282</v>
      </c>
      <c r="K69" s="14" t="s">
        <v>53</v>
      </c>
      <c r="L69" s="14"/>
      <c r="M69" s="14"/>
      <c r="N69" s="3"/>
      <c r="O69" s="1" t="s">
        <v>180</v>
      </c>
      <c r="P69" s="1" t="s">
        <v>181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282</v>
      </c>
      <c r="K70" s="14" t="s">
        <v>193</v>
      </c>
      <c r="L70" s="14"/>
      <c r="M70" s="14"/>
      <c r="N70" s="3"/>
      <c r="O70" s="1" t="s">
        <v>180</v>
      </c>
      <c r="P70" s="1" t="s">
        <v>182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282</v>
      </c>
      <c r="K71" s="14" t="s">
        <v>156</v>
      </c>
      <c r="L71" s="14"/>
      <c r="M71" s="14"/>
      <c r="N71" s="3"/>
      <c r="O71" s="1" t="s">
        <v>180</v>
      </c>
      <c r="P71" s="1" t="s">
        <v>183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282</v>
      </c>
      <c r="K72" s="14" t="s">
        <v>167</v>
      </c>
      <c r="L72" s="14"/>
      <c r="M72" s="14"/>
      <c r="N72" s="3"/>
      <c r="O72" s="1" t="s">
        <v>180</v>
      </c>
      <c r="P72" s="1" t="s">
        <v>184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282</v>
      </c>
      <c r="K73" s="14" t="s">
        <v>168</v>
      </c>
      <c r="L73" s="14"/>
      <c r="M73" s="14"/>
      <c r="N73" s="3"/>
      <c r="O73" s="1" t="s">
        <v>180</v>
      </c>
      <c r="P73" s="1" t="s">
        <v>185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273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148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195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195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195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195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195</v>
      </c>
      <c r="K80" s="1" t="s">
        <v>59</v>
      </c>
      <c r="N80" s="3"/>
      <c r="O80" s="1" t="s">
        <v>189</v>
      </c>
      <c r="P80" s="1" t="s">
        <v>179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195</v>
      </c>
      <c r="K81" s="1" t="s">
        <v>50</v>
      </c>
      <c r="N81" s="3"/>
      <c r="O81" s="1" t="s">
        <v>189</v>
      </c>
      <c r="P81" s="1" t="s">
        <v>181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195</v>
      </c>
      <c r="K82" s="14" t="s">
        <v>192</v>
      </c>
      <c r="N82" s="3"/>
      <c r="O82" s="1" t="s">
        <v>189</v>
      </c>
      <c r="P82" s="1" t="s">
        <v>182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195</v>
      </c>
      <c r="K83" s="14" t="s">
        <v>157</v>
      </c>
      <c r="N83" s="3"/>
      <c r="O83" s="1" t="s">
        <v>189</v>
      </c>
      <c r="P83" s="1" t="s">
        <v>183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195</v>
      </c>
      <c r="K84" s="14" t="s">
        <v>187</v>
      </c>
      <c r="N84" s="3"/>
      <c r="O84" s="1" t="s">
        <v>189</v>
      </c>
      <c r="P84" s="1" t="s">
        <v>184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195</v>
      </c>
      <c r="K85" s="14" t="s">
        <v>188</v>
      </c>
      <c r="N85" s="3"/>
      <c r="O85" s="1" t="s">
        <v>189</v>
      </c>
      <c r="P85" s="1" t="s">
        <v>185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204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162</v>
      </c>
      <c r="N87" s="3"/>
      <c r="P87" s="14" t="s">
        <v>196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190</v>
      </c>
      <c r="N88" s="3"/>
      <c r="P88" s="14" t="s">
        <v>196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194</v>
      </c>
      <c r="N89" s="3"/>
      <c r="P89" s="14" t="s">
        <v>196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136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197</v>
      </c>
      <c r="N94" s="3"/>
      <c r="Q94" s="81">
        <v>0</v>
      </c>
      <c r="R94" s="147" t="s">
        <v>198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274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2070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155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158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159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275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281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4226.5158760641407</v>
      </c>
      <c r="Z109" s="82"/>
      <c r="AA109" s="82"/>
      <c r="AC109" s="9">
        <f>$Y109*(Voorblad!$K$44*(1+Voorblad!$K$44)^Voorblad!$K$41)/((1+Voorblad!$K$44)^Voorblad!$K$41-1)</f>
        <v>163.6877050832131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282</v>
      </c>
      <c r="K110" s="1" t="s">
        <v>114</v>
      </c>
      <c r="O110" s="1" t="s">
        <v>228</v>
      </c>
      <c r="P110" s="14" t="s">
        <v>229</v>
      </c>
      <c r="Q110" s="83">
        <f>50%*((2*21.8*31.5)+(2*(21.8+31.5)*0.7))</f>
        <v>724.01</v>
      </c>
      <c r="R110" s="1" t="s">
        <v>35</v>
      </c>
      <c r="S110" s="21">
        <f>$H$20*15</f>
        <v>26.55</v>
      </c>
      <c r="T110" s="9">
        <f t="shared" si="20"/>
        <v>19222.465500000002</v>
      </c>
      <c r="U110" s="14">
        <v>10</v>
      </c>
      <c r="V110" s="14"/>
      <c r="Y110" s="9">
        <f t="shared" si="21"/>
        <v>43070.6761040274</v>
      </c>
      <c r="Z110" s="82"/>
      <c r="AA110" s="82"/>
      <c r="AC110" s="9">
        <f>$Y110*(Voorblad!$K$44*(1+Voorblad!$K$44)^Voorblad!$K$41)/((1+Voorblad!$K$44)^Voorblad!$K$41-1)</f>
        <v>1668.0737360475584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15016.559325827931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11730.912144756339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9164.1698182685741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7159.0348151745557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282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282</v>
      </c>
      <c r="K112" s="1" t="s">
        <v>147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282</v>
      </c>
      <c r="K113" s="1" t="s">
        <v>161</v>
      </c>
      <c r="P113" s="1" t="s">
        <v>186</v>
      </c>
      <c r="Q113" s="83">
        <f>4*31.5</f>
        <v>126</v>
      </c>
      <c r="R113" s="147" t="s">
        <v>198</v>
      </c>
      <c r="S113" s="21">
        <f>$H$20*350</f>
        <v>619.5</v>
      </c>
      <c r="T113" s="9">
        <f t="shared" si="20"/>
        <v>78057</v>
      </c>
      <c r="U113" s="14">
        <v>15</v>
      </c>
      <c r="V113" s="14"/>
      <c r="Y113" s="9">
        <f>SUM(AE113:EB113)</f>
        <v>91108.773747351748</v>
      </c>
      <c r="Z113" s="82"/>
      <c r="AA113" s="82"/>
      <c r="AC113" s="9">
        <f>$Y113*(Voorblad!$K$44*(1+Voorblad!$K$44)^Voorblad!$K$41)/((1+Voorblad!$K$44)^Voorblad!$K$41-1)</f>
        <v>3528.5295323526611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53895.669970180716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37213.10377717104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282</v>
      </c>
      <c r="K114" s="14" t="s">
        <v>170</v>
      </c>
      <c r="L114" s="14"/>
      <c r="M114" s="14"/>
      <c r="O114" s="1" t="s">
        <v>172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282</v>
      </c>
      <c r="K115" s="14" t="s">
        <v>164</v>
      </c>
      <c r="O115" s="14" t="s">
        <v>160</v>
      </c>
      <c r="P115" s="14" t="s">
        <v>201</v>
      </c>
      <c r="Q115" s="84">
        <f>2.5%*((2*42.8)+(1*31.5))</f>
        <v>2.9275000000000002</v>
      </c>
      <c r="R115" s="14" t="s">
        <v>34</v>
      </c>
      <c r="S115" s="21">
        <f>$H$20*1000</f>
        <v>1770</v>
      </c>
      <c r="T115" s="21">
        <f t="shared" si="20"/>
        <v>5181.6750000000002</v>
      </c>
      <c r="U115" s="14">
        <v>15</v>
      </c>
      <c r="Y115" s="21">
        <f t="shared" si="22"/>
        <v>6048.0937674687593</v>
      </c>
      <c r="Z115" s="149"/>
      <c r="AA115" s="149"/>
      <c r="AC115" s="9">
        <f>$Y115*(Voorblad!$K$44*(1+Voorblad!$K$44)^Voorblad!$K$41)/((1+Voorblad!$K$44)^Voorblad!$K$41-1)</f>
        <v>234.23515206263986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3577.7681142336519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2470.325653235107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282</v>
      </c>
      <c r="K116" s="14" t="s">
        <v>199</v>
      </c>
      <c r="L116" s="14"/>
      <c r="M116" s="14"/>
      <c r="O116" s="1" t="s">
        <v>173</v>
      </c>
      <c r="P116" s="1" t="s">
        <v>176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282</v>
      </c>
      <c r="K117" s="14" t="s">
        <v>200</v>
      </c>
      <c r="L117" s="14"/>
      <c r="M117" s="14"/>
      <c r="O117" s="1" t="s">
        <v>174</v>
      </c>
      <c r="P117" s="1" t="s">
        <v>177</v>
      </c>
      <c r="Q117" s="83">
        <v>0</v>
      </c>
      <c r="R117" s="1" t="s">
        <v>34</v>
      </c>
      <c r="S117" s="14">
        <f>$H$20*500</f>
        <v>885</v>
      </c>
      <c r="T117" s="9">
        <f t="shared" si="20"/>
        <v>0</v>
      </c>
      <c r="U117" s="14">
        <v>15</v>
      </c>
      <c r="V117" s="14"/>
      <c r="Y117" s="9">
        <f t="shared" si="22"/>
        <v>0</v>
      </c>
      <c r="Z117" s="82"/>
      <c r="AA117" s="82"/>
      <c r="AC117" s="9">
        <f>$Y117*(Voorblad!$K$44*(1+Voorblad!$K$44)^Voorblad!$K$41)/((1+Voorblad!$K$44)^Voorblad!$K$41-1)</f>
        <v>0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0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0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282</v>
      </c>
      <c r="K118" s="14" t="s">
        <v>213</v>
      </c>
      <c r="L118" s="14"/>
      <c r="M118" s="14"/>
      <c r="O118" s="1" t="s">
        <v>174</v>
      </c>
      <c r="P118" s="1" t="s">
        <v>177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282</v>
      </c>
      <c r="K119" s="14" t="s">
        <v>191</v>
      </c>
      <c r="L119" s="14"/>
      <c r="M119" s="14"/>
      <c r="O119" s="1" t="s">
        <v>175</v>
      </c>
      <c r="P119" s="1" t="s">
        <v>178</v>
      </c>
      <c r="Q119" s="228">
        <f>2.5%*2*42.8*3</f>
        <v>6.42</v>
      </c>
      <c r="R119" s="1" t="s">
        <v>35</v>
      </c>
      <c r="S119" s="14">
        <f>$H$20*500</f>
        <v>885</v>
      </c>
      <c r="T119" s="9">
        <f t="shared" si="20"/>
        <v>5681.7</v>
      </c>
      <c r="U119" s="14">
        <v>15</v>
      </c>
      <c r="V119" s="14"/>
      <c r="Y119" s="9">
        <f t="shared" si="22"/>
        <v>6631.7270686847878</v>
      </c>
      <c r="Z119" s="82"/>
      <c r="AA119" s="82"/>
      <c r="AC119" s="9">
        <f>$Y119*(Voorblad!$K$44*(1+Voorblad!$K$44)^Voorblad!$K$41)/((1+Voorblad!$K$44)^Voorblad!$K$41-1)</f>
        <v>256.83854419165635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3923.0181542920654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2708.7089143927219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282</v>
      </c>
      <c r="K120" s="1" t="s">
        <v>208</v>
      </c>
      <c r="O120" s="1" t="s">
        <v>180</v>
      </c>
      <c r="P120" s="1" t="s">
        <v>181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282</v>
      </c>
      <c r="K121" s="14" t="s">
        <v>207</v>
      </c>
      <c r="L121" s="14"/>
      <c r="M121" s="14"/>
      <c r="O121" s="1" t="s">
        <v>180</v>
      </c>
      <c r="P121" s="1" t="s">
        <v>182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282</v>
      </c>
      <c r="K122" s="14" t="s">
        <v>203</v>
      </c>
      <c r="L122" s="14"/>
      <c r="M122" s="14"/>
      <c r="O122" s="1" t="s">
        <v>180</v>
      </c>
      <c r="P122" s="1" t="s">
        <v>183</v>
      </c>
      <c r="Q122" s="83">
        <v>0</v>
      </c>
      <c r="R122" s="1" t="s">
        <v>34</v>
      </c>
      <c r="S122" s="14">
        <f>$H$20*100</f>
        <v>177</v>
      </c>
      <c r="T122" s="1">
        <f t="shared" si="20"/>
        <v>0</v>
      </c>
      <c r="U122" s="14">
        <v>15</v>
      </c>
      <c r="V122" s="14"/>
      <c r="Y122" s="9">
        <f t="shared" si="23"/>
        <v>0</v>
      </c>
      <c r="Z122" s="82"/>
      <c r="AA122" s="82"/>
      <c r="AC122" s="9">
        <f>$Y122*(Voorblad!$K$44*(1+Voorblad!$K$44)^Voorblad!$K$41)/((1+Voorblad!$K$44)^Voorblad!$K$41-1)</f>
        <v>0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0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0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282</v>
      </c>
      <c r="K123" s="14" t="s">
        <v>202</v>
      </c>
      <c r="L123" s="14"/>
      <c r="M123" s="14"/>
      <c r="O123" s="1" t="s">
        <v>180</v>
      </c>
      <c r="P123" s="1" t="s">
        <v>184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282</v>
      </c>
      <c r="K124" s="14" t="s">
        <v>209</v>
      </c>
      <c r="L124" s="14"/>
      <c r="M124" s="14"/>
      <c r="O124" s="1" t="s">
        <v>180</v>
      </c>
      <c r="P124" s="1" t="s">
        <v>185</v>
      </c>
      <c r="Q124" s="228">
        <f>2*42.8*3</f>
        <v>256.79999999999995</v>
      </c>
      <c r="R124" s="1" t="s">
        <v>35</v>
      </c>
      <c r="S124" s="21">
        <f>$H$20*0.6*100</f>
        <v>106.2</v>
      </c>
      <c r="T124" s="9">
        <f t="shared" si="20"/>
        <v>27272.159999999996</v>
      </c>
      <c r="U124" s="14">
        <v>15</v>
      </c>
      <c r="V124" s="14"/>
      <c r="Y124" s="9">
        <f t="shared" si="23"/>
        <v>31832.289929686973</v>
      </c>
      <c r="Z124" s="82"/>
      <c r="AA124" s="82"/>
      <c r="AC124" s="229">
        <f>$Y124*(Voorblad!$K$44*(1+Voorblad!$K$44)^Voorblad!$K$41)/((1+Voorblad!$K$44)^Voorblad!$K$41-1)</f>
        <v>1232.8250121199501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18830.487140601912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13001.802789085063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273</v>
      </c>
      <c r="C125" s="2"/>
      <c r="S125" s="14"/>
      <c r="U125" s="14"/>
      <c r="V125" s="14"/>
      <c r="Y125" s="23">
        <f>SUM(Y109:Y124)</f>
        <v>182918.07649328379</v>
      </c>
      <c r="Z125" s="24"/>
      <c r="AA125" s="23">
        <f>SUM(AA109:AA124)</f>
        <v>0</v>
      </c>
      <c r="AC125" s="9">
        <f>$Y125*(Voorblad!$K$44*(1+Voorblad!$K$44)^Voorblad!$K$41)/((1+Voorblad!$K$44)^Voorblad!$K$41-1)</f>
        <v>7084.1896818576788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15707.9199113552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80838.005397110843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12271.001929186405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64980.028228537667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7488.635917147114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148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195</v>
      </c>
      <c r="K131" s="1" t="s">
        <v>214</v>
      </c>
      <c r="O131" s="1" t="s">
        <v>189</v>
      </c>
      <c r="P131" s="1" t="s">
        <v>181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195</v>
      </c>
      <c r="K132" s="14" t="s">
        <v>215</v>
      </c>
      <c r="O132" s="1" t="s">
        <v>189</v>
      </c>
      <c r="P132" s="1" t="s">
        <v>182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195</v>
      </c>
      <c r="K133" s="1" t="s">
        <v>211</v>
      </c>
      <c r="O133" s="1" t="s">
        <v>189</v>
      </c>
      <c r="P133" s="1" t="s">
        <v>183</v>
      </c>
      <c r="Q133" s="81">
        <v>0</v>
      </c>
      <c r="R133" s="1" t="s">
        <v>34</v>
      </c>
      <c r="S133" s="21">
        <f>$H$10*125</f>
        <v>297.5</v>
      </c>
      <c r="T133" s="9">
        <f t="shared" si="104"/>
        <v>0</v>
      </c>
      <c r="U133" s="14">
        <v>30</v>
      </c>
      <c r="V133" s="14"/>
      <c r="Y133" s="9">
        <f t="shared" si="21"/>
        <v>0</v>
      </c>
      <c r="Z133" s="82"/>
      <c r="AA133" s="82"/>
      <c r="AC133" s="9">
        <f>$Y133*(Voorblad!$K$44*(1+Voorblad!$K$44)^Voorblad!$K$41)/((1+Voorblad!$K$44)^Voorblad!$K$41-1)</f>
        <v>0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0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195</v>
      </c>
      <c r="K134" s="14" t="s">
        <v>212</v>
      </c>
      <c r="O134" s="1" t="s">
        <v>189</v>
      </c>
      <c r="P134" s="1" t="s">
        <v>184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195</v>
      </c>
      <c r="K135" s="14" t="s">
        <v>210</v>
      </c>
      <c r="O135" s="1" t="s">
        <v>189</v>
      </c>
      <c r="P135" s="1" t="s">
        <v>185</v>
      </c>
      <c r="Q135" s="228">
        <f>2*42.8*3</f>
        <v>256.79999999999995</v>
      </c>
      <c r="R135" s="1" t="s">
        <v>35</v>
      </c>
      <c r="S135" s="21">
        <f>$H$10*0.6*125</f>
        <v>178.5</v>
      </c>
      <c r="T135" s="9">
        <f t="shared" si="104"/>
        <v>45838.799999999988</v>
      </c>
      <c r="U135" s="14">
        <v>30</v>
      </c>
      <c r="V135" s="14"/>
      <c r="Y135" s="9">
        <f t="shared" si="107"/>
        <v>21853.312597473479</v>
      </c>
      <c r="Z135" s="82"/>
      <c r="AA135" s="82"/>
      <c r="AC135" s="9">
        <f>$Y135*(Voorblad!$K$44*(1+Voorblad!$K$44)^Voorblad!$K$41)/((1+Voorblad!$K$44)^Voorblad!$K$41-1)</f>
        <v>846.35162683397402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21853.312597473479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186</v>
      </c>
      <c r="Q136" s="83">
        <f>4*31.5</f>
        <v>126</v>
      </c>
      <c r="R136" s="147" t="s">
        <v>198</v>
      </c>
      <c r="S136" s="14">
        <f>$H$10*500</f>
        <v>1190</v>
      </c>
      <c r="T136" s="9">
        <f t="shared" si="104"/>
        <v>149940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163</v>
      </c>
      <c r="O137" s="14" t="s">
        <v>216</v>
      </c>
      <c r="P137" s="14" t="s">
        <v>219</v>
      </c>
      <c r="Q137" s="84">
        <f>7.5%*((2*42.8)+(1*31.5))</f>
        <v>8.7824999999999989</v>
      </c>
      <c r="R137" s="14" t="s">
        <v>34</v>
      </c>
      <c r="S137" s="21">
        <f>$H$10*1000</f>
        <v>2380</v>
      </c>
      <c r="T137" s="21">
        <f t="shared" si="104"/>
        <v>20902.349999999999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206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162</v>
      </c>
      <c r="P139" s="14" t="s">
        <v>196</v>
      </c>
      <c r="Q139" s="81">
        <v>0</v>
      </c>
      <c r="R139" s="1" t="s">
        <v>34</v>
      </c>
      <c r="S139" s="14">
        <f>$H$10*400</f>
        <v>952</v>
      </c>
      <c r="T139" s="1">
        <f t="shared" si="104"/>
        <v>0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190</v>
      </c>
      <c r="P140" s="14" t="s">
        <v>196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194</v>
      </c>
      <c r="P141" s="14" t="s">
        <v>196</v>
      </c>
      <c r="Q141" s="228">
        <f>2*42.8*3</f>
        <v>256.79999999999995</v>
      </c>
      <c r="R141" s="1" t="s">
        <v>35</v>
      </c>
      <c r="S141" s="14">
        <f>$H$10*400</f>
        <v>952</v>
      </c>
      <c r="T141" s="9">
        <f t="shared" si="104"/>
        <v>244473.59999999995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136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197</v>
      </c>
      <c r="Q146" s="83">
        <f>4*31.5</f>
        <v>126</v>
      </c>
      <c r="R146" s="147" t="s">
        <v>198</v>
      </c>
      <c r="S146" s="14">
        <f>$H$10*500</f>
        <v>1190</v>
      </c>
      <c r="T146" s="1">
        <f t="shared" si="104"/>
        <v>149940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274</v>
      </c>
      <c r="C147" s="2"/>
      <c r="D147" s="22"/>
      <c r="N147" s="6"/>
      <c r="S147" s="14"/>
      <c r="U147" s="14"/>
      <c r="V147" s="14"/>
      <c r="Y147" s="23">
        <f>SUM(Y127:Y146)</f>
        <v>21853.312597473479</v>
      </c>
      <c r="Z147" s="24"/>
      <c r="AA147" s="23">
        <f>SUM(AA127:AA146)</f>
        <v>0</v>
      </c>
      <c r="AC147" s="9">
        <f>$Y147*(Voorblad!$K$44*(1+Voorblad!$K$44)^Voorblad!$K$41)/((1+Voorblad!$K$44)^Voorblad!$K$41-1)</f>
        <v>846.35162683397402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21853.312597473479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232</v>
      </c>
      <c r="Q149" s="83">
        <f>21.8*31.5</f>
        <v>686.7</v>
      </c>
      <c r="R149" s="81" t="s">
        <v>35</v>
      </c>
      <c r="S149" s="81">
        <v>7860</v>
      </c>
      <c r="T149" s="21">
        <f>Q149*S149</f>
        <v>5397462</v>
      </c>
      <c r="U149" s="11">
        <v>1</v>
      </c>
      <c r="V149" s="14">
        <f>Voorblad!F24+100</f>
        <v>2070</v>
      </c>
      <c r="W149" s="9">
        <f>Voorblad!K77</f>
        <v>2070</v>
      </c>
      <c r="X149" s="6"/>
      <c r="Y149" s="9">
        <f t="shared" si="21"/>
        <v>1913318.3952839563</v>
      </c>
      <c r="Z149" s="82" t="s">
        <v>292</v>
      </c>
      <c r="AA149" s="82">
        <v>104</v>
      </c>
      <c r="AC149" s="9">
        <f>$Y149*(Voorblad!$K$44*(1+Voorblad!$K$44)^Voorblad!$K$41)/((1+Voorblad!$K$44)^Voorblad!$K$41-1)</f>
        <v>74100.442634365711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1913318.3952839563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107949.24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215898.48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377822.34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275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5397462</v>
      </c>
      <c r="U154" s="14"/>
      <c r="V154" s="14"/>
      <c r="W154" s="14"/>
      <c r="X154" s="6"/>
      <c r="Y154" s="23">
        <f>SUM(Y149:Y153)</f>
        <v>1913318.3952839563</v>
      </c>
      <c r="Z154" s="24"/>
      <c r="AA154" s="23">
        <f>SUM(AA149:AA153)</f>
        <v>104</v>
      </c>
      <c r="AC154" s="9">
        <f>$Y154*(Voorblad!$K$44*(1+Voorblad!$K$44)^Voorblad!$K$41)/((1+Voorblad!$K$44)^Voorblad!$K$41-1)</f>
        <v>74100.442634365711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281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282</v>
      </c>
      <c r="K159" s="1" t="s">
        <v>111</v>
      </c>
      <c r="O159" s="1" t="s">
        <v>135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282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282</v>
      </c>
      <c r="K161" s="1" t="s">
        <v>147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282</v>
      </c>
      <c r="K162" s="1" t="s">
        <v>217</v>
      </c>
      <c r="P162" s="1" t="s">
        <v>186</v>
      </c>
      <c r="Q162" s="83">
        <v>0</v>
      </c>
      <c r="R162" s="147" t="s">
        <v>198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282</v>
      </c>
      <c r="K163" s="14" t="s">
        <v>164</v>
      </c>
      <c r="O163" s="14" t="s">
        <v>160</v>
      </c>
      <c r="P163" s="14" t="s">
        <v>201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282</v>
      </c>
      <c r="K164" s="14" t="s">
        <v>199</v>
      </c>
      <c r="L164" s="14"/>
      <c r="M164" s="14"/>
      <c r="O164" s="1" t="s">
        <v>173</v>
      </c>
      <c r="P164" s="1" t="s">
        <v>176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282</v>
      </c>
      <c r="K165" s="14" t="s">
        <v>200</v>
      </c>
      <c r="L165" s="14"/>
      <c r="M165" s="14"/>
      <c r="O165" s="1" t="s">
        <v>174</v>
      </c>
      <c r="P165" s="1" t="s">
        <v>177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282</v>
      </c>
      <c r="K166" s="14" t="s">
        <v>213</v>
      </c>
      <c r="L166" s="14"/>
      <c r="M166" s="14"/>
      <c r="O166" s="1" t="s">
        <v>174</v>
      </c>
      <c r="P166" s="1" t="s">
        <v>177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282</v>
      </c>
      <c r="K167" s="14" t="s">
        <v>191</v>
      </c>
      <c r="L167" s="14"/>
      <c r="M167" s="14"/>
      <c r="O167" s="1" t="s">
        <v>175</v>
      </c>
      <c r="P167" s="1" t="s">
        <v>178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282</v>
      </c>
      <c r="K168" s="14" t="s">
        <v>207</v>
      </c>
      <c r="L168" s="14"/>
      <c r="M168" s="14"/>
      <c r="O168" s="1" t="s">
        <v>180</v>
      </c>
      <c r="P168" s="1" t="s">
        <v>182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282</v>
      </c>
      <c r="K169" s="14" t="s">
        <v>203</v>
      </c>
      <c r="L169" s="14"/>
      <c r="M169" s="14"/>
      <c r="O169" s="1" t="s">
        <v>180</v>
      </c>
      <c r="P169" s="1" t="s">
        <v>183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282</v>
      </c>
      <c r="K170" s="14" t="s">
        <v>202</v>
      </c>
      <c r="L170" s="14"/>
      <c r="M170" s="14"/>
      <c r="O170" s="1" t="s">
        <v>180</v>
      </c>
      <c r="P170" s="1" t="s">
        <v>184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282</v>
      </c>
      <c r="K171" s="14" t="s">
        <v>209</v>
      </c>
      <c r="L171" s="14"/>
      <c r="M171" s="14"/>
      <c r="O171" s="1" t="s">
        <v>180</v>
      </c>
      <c r="P171" s="1" t="s">
        <v>185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273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195</v>
      </c>
      <c r="K174" s="14" t="s">
        <v>215</v>
      </c>
      <c r="O174" s="1" t="s">
        <v>189</v>
      </c>
      <c r="P174" s="1" t="s">
        <v>182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195</v>
      </c>
      <c r="K175" s="1" t="s">
        <v>211</v>
      </c>
      <c r="O175" s="1" t="s">
        <v>189</v>
      </c>
      <c r="P175" s="1" t="s">
        <v>183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195</v>
      </c>
      <c r="K176" s="14" t="s">
        <v>212</v>
      </c>
      <c r="O176" s="1" t="s">
        <v>189</v>
      </c>
      <c r="P176" s="1" t="s">
        <v>184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195</v>
      </c>
      <c r="K177" s="14" t="s">
        <v>210</v>
      </c>
      <c r="O177" s="1" t="s">
        <v>189</v>
      </c>
      <c r="P177" s="1" t="s">
        <v>185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186</v>
      </c>
      <c r="Q178" s="83">
        <v>0</v>
      </c>
      <c r="R178" s="147" t="s">
        <v>198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163</v>
      </c>
      <c r="O179" s="14" t="s">
        <v>216</v>
      </c>
      <c r="P179" s="14" t="s">
        <v>219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206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218</v>
      </c>
      <c r="P181" s="14" t="s">
        <v>196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165</v>
      </c>
      <c r="P182" s="14" t="s">
        <v>196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194</v>
      </c>
      <c r="P183" s="14" t="s">
        <v>196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197</v>
      </c>
      <c r="Q184" s="81">
        <v>0</v>
      </c>
      <c r="R184" s="147" t="s">
        <v>198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274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2070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275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281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4226.5158760641407</v>
      </c>
      <c r="Z195" s="82"/>
      <c r="AA195" s="82"/>
      <c r="AC195" s="9">
        <f>$Y195*(Voorblad!$K$44*(1+Voorblad!$K$44)^Voorblad!$K$41)/((1+Voorblad!$K$44)^Voorblad!$K$41-1)</f>
        <v>163.6877050832131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282</v>
      </c>
      <c r="K196" s="1" t="s">
        <v>83</v>
      </c>
      <c r="O196" s="1" t="s">
        <v>135</v>
      </c>
      <c r="P196" s="1" t="s">
        <v>289</v>
      </c>
      <c r="Q196" s="84">
        <f>(4*2.5*21)+(4*4*21)</f>
        <v>546</v>
      </c>
      <c r="R196" s="1" t="s">
        <v>35</v>
      </c>
      <c r="S196" s="21">
        <f>$H$20*15</f>
        <v>26.55</v>
      </c>
      <c r="T196" s="9">
        <f>Q196*S196</f>
        <v>14496.300000000001</v>
      </c>
      <c r="U196" s="14">
        <v>10</v>
      </c>
      <c r="V196" s="14"/>
      <c r="Y196" s="9">
        <f t="shared" si="199"/>
        <v>32481.028097400533</v>
      </c>
      <c r="Z196" s="82"/>
      <c r="AA196" s="82"/>
      <c r="AC196" s="9">
        <f>$Y196*(Voorblad!$K$44*(1+Voorblad!$K$44)^Voorblad!$K$41)/((1+Voorblad!$K$44)^Voorblad!$K$41-1)</f>
        <v>1257.9498347840042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11324.486390936658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8846.6706689644634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6911.0049871889078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5398.8660503105029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282</v>
      </c>
      <c r="K197" s="1" t="s">
        <v>84</v>
      </c>
      <c r="O197" s="1" t="s">
        <v>134</v>
      </c>
      <c r="Q197" s="84">
        <f>(4*2.5*21)+(4*2.5*21)</f>
        <v>420</v>
      </c>
      <c r="R197" s="1" t="s">
        <v>35</v>
      </c>
      <c r="S197" s="21">
        <f>$H$20*20</f>
        <v>35.4</v>
      </c>
      <c r="T197" s="1">
        <f>Q197*S197</f>
        <v>14868</v>
      </c>
      <c r="U197" s="14">
        <v>10</v>
      </c>
      <c r="V197" s="14"/>
      <c r="Y197" s="9">
        <f>SUM(AE197:EB197)</f>
        <v>33313.874971692851</v>
      </c>
      <c r="Z197" s="82"/>
      <c r="AA197" s="82"/>
      <c r="AC197" s="9">
        <f>$Y197*(Voorblad!$K$44*(1+Voorblad!$K$44)^Voorblad!$K$41)/((1+Voorblad!$K$44)^Voorblad!$K$41-1)</f>
        <v>1290.2049587528247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11614.857836858109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9073.5083784250892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7088.2102432706743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5537.2985131389769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282</v>
      </c>
      <c r="K198" s="1" t="s">
        <v>82</v>
      </c>
      <c r="O198" s="1" t="s">
        <v>220</v>
      </c>
      <c r="P198" s="1" t="s">
        <v>176</v>
      </c>
      <c r="Q198" s="84">
        <f>2.5%*Q196</f>
        <v>13.65</v>
      </c>
      <c r="R198" s="1" t="s">
        <v>35</v>
      </c>
      <c r="S198" s="14">
        <f>$H$20*500</f>
        <v>885</v>
      </c>
      <c r="T198" s="9">
        <f>Q198*S198</f>
        <v>12080.25</v>
      </c>
      <c r="U198" s="14">
        <v>15</v>
      </c>
      <c r="V198" s="14"/>
      <c r="Y198" s="9">
        <f t="shared" si="199"/>
        <v>14100.16736566158</v>
      </c>
      <c r="Z198" s="82"/>
      <c r="AA198" s="82"/>
      <c r="AC198" s="229">
        <f>$Y198*(Voorblad!$K$44*(1+Voorblad!$K$44)^Voorblad!$K$41)/((1+Voorblad!$K$44)^Voorblad!$K$41-1)</f>
        <v>546.08195143553098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8340.9965430041575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5759.1708226574228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84121.586310819097</v>
      </c>
      <c r="Z199" s="24"/>
      <c r="AA199" s="23">
        <f>SUM(AA195:AA198)</f>
        <v>0</v>
      </c>
      <c r="AC199" s="9">
        <f>$Y199*(Voorblad!$K$44*(1+Voorblad!$K$44)^Voorblad!$K$41)/((1+Voorblad!$K$44)^Voorblad!$K$41-1)</f>
        <v>3257.9244500555728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273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224</v>
      </c>
      <c r="P201" s="1" t="s">
        <v>225</v>
      </c>
      <c r="Q201" s="84">
        <f>5%*Q196</f>
        <v>27.3</v>
      </c>
      <c r="R201" s="1" t="s">
        <v>35</v>
      </c>
      <c r="S201" s="14">
        <f>$H$10*500</f>
        <v>1190</v>
      </c>
      <c r="T201" s="9">
        <f>Q201*S201</f>
        <v>32487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274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233</v>
      </c>
      <c r="Q204" s="83">
        <f>21.8*31.5</f>
        <v>686.7</v>
      </c>
      <c r="R204" s="81" t="s">
        <v>35</v>
      </c>
      <c r="S204" s="81">
        <v>3500</v>
      </c>
      <c r="T204" s="9">
        <f>Q204*S204</f>
        <v>2403450</v>
      </c>
      <c r="U204" s="11">
        <v>1</v>
      </c>
      <c r="V204" s="14">
        <f>Voorblad!F25+100</f>
        <v>2070</v>
      </c>
      <c r="W204" s="9">
        <f>Voorblad!K85</f>
        <v>2070</v>
      </c>
      <c r="X204" s="6"/>
      <c r="Y204" s="9">
        <f t="shared" si="199"/>
        <v>851986.56278547668</v>
      </c>
      <c r="Z204" s="82" t="s">
        <v>292</v>
      </c>
      <c r="AA204" s="82">
        <v>104</v>
      </c>
      <c r="AC204" s="9">
        <f>$Y204*(Voorblad!$K$44*(1+Voorblad!$K$44)^Voorblad!$K$41)/((1+Voorblad!$K$44)^Voorblad!$K$41-1)</f>
        <v>32996.38030792366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851986.56278547668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48069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96138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168241.50000000003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275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2403450</v>
      </c>
      <c r="U208" s="14"/>
      <c r="V208" s="14"/>
      <c r="W208" s="14"/>
      <c r="X208" s="6"/>
      <c r="Y208" s="23">
        <f>SUM(Y204:Y207)</f>
        <v>851986.56278547668</v>
      </c>
      <c r="Z208" s="24"/>
      <c r="AA208" s="23">
        <f>SUM(AA204:AA207)</f>
        <v>104</v>
      </c>
      <c r="AC208" s="9">
        <f>$Y208*(Voorblad!$K$44*(1+Voorblad!$K$44)^Voorblad!$K$41)/((1+Voorblad!$K$44)^Voorblad!$K$41-1)</f>
        <v>32996.38030792366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281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282</v>
      </c>
      <c r="K213" s="1" t="s">
        <v>87</v>
      </c>
      <c r="O213" s="1" t="s">
        <v>135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282</v>
      </c>
      <c r="K214" s="1" t="s">
        <v>84</v>
      </c>
      <c r="O214" s="1" t="s">
        <v>134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282</v>
      </c>
      <c r="K215" s="1" t="s">
        <v>88</v>
      </c>
      <c r="O215" s="1" t="s">
        <v>220</v>
      </c>
      <c r="P215" s="1" t="s">
        <v>176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273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223</v>
      </c>
      <c r="O218" s="1" t="s">
        <v>221</v>
      </c>
      <c r="P218" s="1" t="s">
        <v>222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274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2070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277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266</v>
      </c>
      <c r="Q229" s="84"/>
      <c r="R229" s="1" t="s">
        <v>102</v>
      </c>
      <c r="S229" s="1">
        <v>-200</v>
      </c>
      <c r="T229" s="21">
        <f t="shared" ref="T229:T236" si="201">Q229*S229</f>
        <v>0</v>
      </c>
      <c r="U229" s="11">
        <v>1</v>
      </c>
      <c r="V229" s="14">
        <f>Voorblad!F24+100</f>
        <v>2070</v>
      </c>
      <c r="W229" s="9">
        <f>Voorblad!$K$77</f>
        <v>2070</v>
      </c>
      <c r="X229" s="6"/>
      <c r="Y229" s="9">
        <f t="shared" ref="Y229" si="202">SUM(AE229:EB229)</f>
        <v>0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267</v>
      </c>
      <c r="O230" s="1" t="s">
        <v>104</v>
      </c>
      <c r="P230" s="1" t="s">
        <v>290</v>
      </c>
      <c r="Q230" s="83">
        <f>2*485</f>
        <v>970</v>
      </c>
      <c r="R230" s="1" t="s">
        <v>102</v>
      </c>
      <c r="S230" s="1">
        <v>-50</v>
      </c>
      <c r="T230" s="21">
        <f t="shared" si="201"/>
        <v>-48500</v>
      </c>
      <c r="U230" s="11">
        <v>1</v>
      </c>
      <c r="V230" s="14">
        <f>Voorblad!F24+100</f>
        <v>2070</v>
      </c>
      <c r="W230" s="9">
        <f>Voorblad!$K$77</f>
        <v>2070</v>
      </c>
      <c r="X230" s="6"/>
      <c r="Y230" s="9">
        <f t="shared" ref="Y230" si="203">SUM(AE230:EB230)</f>
        <v>-17192.514217102758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-17192.514217102758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268</v>
      </c>
      <c r="O231" s="1" t="s">
        <v>103</v>
      </c>
      <c r="Q231" s="83">
        <f>0.5*Q230</f>
        <v>485</v>
      </c>
      <c r="R231" s="1" t="s">
        <v>102</v>
      </c>
      <c r="S231" s="1">
        <v>-200</v>
      </c>
      <c r="T231" s="21">
        <f t="shared" si="201"/>
        <v>-97000</v>
      </c>
      <c r="U231" s="11">
        <v>1</v>
      </c>
      <c r="V231" s="14">
        <f>Voorblad!F24+100</f>
        <v>2070</v>
      </c>
      <c r="W231" s="9">
        <f>Voorblad!$K$77</f>
        <v>2070</v>
      </c>
      <c r="X231" s="6"/>
      <c r="Y231" s="9">
        <f t="shared" ref="Y231:Y234" si="204">SUM(AE231:EB231)</f>
        <v>-34385.028434205517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-34385.028434205517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269</v>
      </c>
      <c r="O232" s="1" t="s">
        <v>139</v>
      </c>
      <c r="P232" s="1" t="s">
        <v>291</v>
      </c>
      <c r="Q232" s="83">
        <f>2.3*1110</f>
        <v>2553</v>
      </c>
      <c r="R232" s="1" t="s">
        <v>102</v>
      </c>
      <c r="S232" s="1">
        <v>-50</v>
      </c>
      <c r="T232" s="21">
        <f t="shared" si="201"/>
        <v>-127650</v>
      </c>
      <c r="U232" s="11">
        <v>1</v>
      </c>
      <c r="V232" s="14">
        <f>Voorblad!F24+100</f>
        <v>2070</v>
      </c>
      <c r="W232" s="9">
        <f>Voorblad!$K$77</f>
        <v>2070</v>
      </c>
      <c r="X232" s="6"/>
      <c r="Y232" s="9">
        <f t="shared" ref="Y232" si="205">SUM(AE232:EB232)</f>
        <v>-45249.98844975602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-45249.98844975602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270</v>
      </c>
      <c r="O233" s="1" t="s">
        <v>138</v>
      </c>
      <c r="Q233" s="83">
        <f>0.2*Q232</f>
        <v>510.6</v>
      </c>
      <c r="R233" s="1" t="s">
        <v>102</v>
      </c>
      <c r="S233" s="1">
        <v>-200</v>
      </c>
      <c r="T233" s="21">
        <f t="shared" si="201"/>
        <v>-102120</v>
      </c>
      <c r="U233" s="11">
        <v>1</v>
      </c>
      <c r="V233" s="14">
        <f>Voorblad!F24+100</f>
        <v>2070</v>
      </c>
      <c r="W233" s="9">
        <f>Voorblad!$K$77</f>
        <v>2070</v>
      </c>
      <c r="X233" s="6"/>
      <c r="Y233" s="9">
        <f t="shared" ref="Y233" si="206">SUM(AE233:EB233)</f>
        <v>-36199.990759804816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-36199.990759804816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271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2070</v>
      </c>
      <c r="W234" s="9">
        <f>Voorblad!$K$77</f>
        <v>2070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Q235" s="83">
        <v>0</v>
      </c>
      <c r="R235" s="1" t="s">
        <v>102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2070</v>
      </c>
      <c r="W235" s="9">
        <f>Voorblad!$K$77</f>
        <v>2070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316</v>
      </c>
      <c r="P236" s="1" t="s">
        <v>317</v>
      </c>
      <c r="Q236" s="84">
        <f>2*42.8*0.05</f>
        <v>4.28</v>
      </c>
      <c r="R236" s="81" t="s">
        <v>102</v>
      </c>
      <c r="S236" s="81">
        <v>-200</v>
      </c>
      <c r="T236" s="14">
        <f t="shared" si="201"/>
        <v>-856</v>
      </c>
      <c r="U236" s="11">
        <v>1</v>
      </c>
      <c r="V236" s="14">
        <f>Voorblad!F24+100</f>
        <v>2070</v>
      </c>
      <c r="W236" s="9">
        <f>Voorblad!$K$77</f>
        <v>2070</v>
      </c>
      <c r="X236" s="6"/>
      <c r="Y236" s="9">
        <f t="shared" ref="Y236" si="208">SUM(AE236:EB236)</f>
        <v>-303.43901381113318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-303.43901381113318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276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-376126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2019-12-12T10:44:33Z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