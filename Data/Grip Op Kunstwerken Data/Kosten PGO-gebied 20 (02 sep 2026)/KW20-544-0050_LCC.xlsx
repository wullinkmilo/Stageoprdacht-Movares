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D0030877-FCA5-4A17-A96B-68C8C1DAC36C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2" i="1" l="1"/>
  <c r="Q230" i="1"/>
  <c r="Q229" i="1"/>
  <c r="Q133" i="1"/>
  <c r="Q197" i="1"/>
  <c r="Q196" i="1"/>
  <c r="Q146" i="1"/>
  <c r="Q139" i="1"/>
  <c r="Q137" i="1"/>
  <c r="Q136" i="1"/>
  <c r="Q122" i="1"/>
  <c r="Q117" i="1"/>
  <c r="Q115" i="1"/>
  <c r="Q113" i="1"/>
  <c r="Q110" i="1"/>
  <c r="Q204" i="1"/>
  <c r="Q46" i="1"/>
  <c r="S40" i="1"/>
  <c r="Q40" i="1"/>
  <c r="S39" i="1"/>
  <c r="Q233" i="1" l="1"/>
  <c r="Q231" i="1"/>
  <c r="Q201" i="1"/>
  <c r="AA46" i="1"/>
  <c r="Q198" i="1" l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6" i="2" l="1"/>
  <c r="L64" i="2"/>
  <c r="L62" i="2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DA232" i="1" s="1"/>
  <c r="HB233" i="1"/>
  <c r="DA233" i="1"/>
  <c r="HB93" i="1"/>
  <c r="DA93" i="1" s="1"/>
  <c r="DA235" i="1"/>
  <c r="HB235" i="1"/>
  <c r="HB229" i="1"/>
  <c r="DA229" i="1" s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DA236" i="1" s="1"/>
  <c r="HB110" i="1"/>
  <c r="DA110" i="1" s="1"/>
  <c r="DA230" i="1"/>
  <c r="HB218" i="1"/>
  <c r="DA218" i="1" s="1"/>
  <c r="HB231" i="1"/>
  <c r="DA231" i="1" s="1"/>
  <c r="HB234" i="1"/>
  <c r="DA234" i="1" s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3" i="2" s="1"/>
  <c r="M53" i="2"/>
  <c r="M63" i="2" s="1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<sst xmlns="http://schemas.openxmlformats.org/spreadsheetml/2006/main" count="1030" uniqueCount="319">
  <si>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</si>
  <si>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</si>
  <si>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</si>
  <si>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</si>
  <si>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</si>
  <si>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</si>
  <si>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</si>
  <si>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</si>
  <si>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</si>
  <si>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</si>
  <si>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</si>
  <si>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</si>
  <si>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</si>
  <si>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</si>
  <si>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</si>
  <si>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</si>
  <si>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</si>
  <si>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</si>
  <si>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</si>
  <si>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</si>
  <si>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</si>
  <si>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</si>
  <si>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</si>
  <si>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</si>
  <si>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</si>
  <si>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</si>
  <si>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</si>
  <si>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</si>
  <si>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</si>
  <si>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</si>
  <si>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</si>
  <si>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</si>
  <si>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</si>
  <si>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</si>
  <si>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</si>
  <si>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</si>
  <si>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</si>
  <si>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</si>
  <si>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</si>
  <si>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</si>
  <si>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</si>
  <si>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</si>
  <si>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</si>
  <si>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</si>
  <si>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</si>
  <si>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</si>
  <si>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</si>
  <si>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</si>
  <si>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</si>
  <si>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</si>
  <si>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</si>
  <si>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</si>
  <si>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</si>
  <si>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</si>
  <si>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</si>
  <si>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</si>
  <si>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</si>
  <si>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</si>
  <si>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</si>
  <si>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</si>
  <si>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</si>
  <si>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</si>
  <si>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</si>
  <si>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</si>
  <si>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</si>
  <si>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</si>
  <si>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</si>
  <si>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</si>
  <si>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</si>
  <si>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</si>
  <si>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</si>
  <si>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</si>
  <si>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</si>
  <si>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</si>
  <si>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</si>
  <si>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</si>
  <si>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</si>
  <si>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</si>
  <si>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</si>
  <si>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</si>
  <si>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</si>
  <si>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</si>
  <si>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</si>
  <si>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</si>
  <si>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</si>
  <si>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</si>
  <si>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</si>
  <si>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</si>
  <si>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</si>
  <si>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</si>
  <si>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</si>
  <si>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</si>
  <si>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</si>
  <si>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</si>
  <si>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</si>
  <si>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</si>
  <si>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</si>
  <si>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</si>
  <si>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</si>
  <si>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</si>
  <si>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</si>
  <si>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</si>
  <si>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</si>
  <si>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</si>
  <si>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</si>
  <si>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</si>
  <si>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</si>
  <si>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</si>
  <si>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</si>
  <si>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</si>
  <si>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</si>
  <si>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</si>
  <si>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</si>
  <si>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</si>
  <si>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</si>
  <si>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</si>
  <si>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</si>
  <si>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</si>
  <si>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</si>
  <si>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</si>
  <si>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</si>
  <si>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</si>
  <si>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</si>
  <si>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</si>
  <si>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</si>
  <si>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</si>
  <si>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</si>
  <si>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</si>
  <si>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</si>
  <si>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</si>
  <si>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</si>
  <si>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</si>
  <si>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</si>
  <si>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</si>
  <si>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</si>
  <si>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</si>
  <si>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</si>
  <si>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</si>
  <si>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</si>
  <si>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</si>
  <si>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</si>
  <si>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</si>
  <si>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</si>
  <si>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</si>
  <si>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</si>
  <si>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</si>
  <si>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</si>
  <si>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</si>
  <si>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</si>
  <si>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</si>
  <si>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</si>
  <si>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</si>
  <si>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</si>
  <si>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</si>
  <si>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</si>
  <si>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</si>
  <si>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</si>
  <si>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</si>
  <si>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</si>
  <si>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</si>
  <si>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</si>
  <si>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</si>
  <si>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</si>
  <si>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</si>
  <si>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</si>
  <si>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</si>
  <si>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</si>
  <si>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</si>
  <si>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</si>
  <si>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</si>
  <si>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</si>
  <si>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</si>
  <si>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</si>
  <si>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</si>
  <si>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</si>
  <si>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</si>
  <si>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</si>
  <si>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</si>
  <si>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</si>
  <si>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</si>
  <si>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</si>
  <si>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</si>
  <si>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</si>
  <si>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</si>
  <si>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</si>
  <si>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</si>
  <si>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</si>
  <si>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</si>
  <si>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</si>
  <si>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</si>
  <si>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</si>
  <si>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</si>
  <si>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</si>
  <si>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</si>
  <si>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</si>
  <si>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</si>
  <si>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</si>
  <si>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</si>
  <si>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</si>
  <si>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</si>
  <si>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</si>
  <si>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</si>
  <si>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</si>
  <si>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</si>
  <si>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</si>
  <si>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</si>
  <si>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</si>
  <si>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</si>
  <si>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</si>
  <si>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</si>
  <si>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</si>
  <si>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</si>
  <si>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</si>
  <si>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</si>
  <si>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</si>
  <si>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</si>
  <si>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</si>
  <si>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</si>
  <si>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</si>
  <si>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</si>
  <si>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</si>
  <si>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</si>
  <si>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</si>
  <si>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</si>
  <si>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</si>
  <si>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</si>
  <si>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</si>
  <si>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</si>
  <si>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</si>
  <si>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</si>
  <si>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</si>
  <si>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</si>
  <si>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</si>
  <si>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</si>
  <si>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</si>
  <si>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</si>
  <si>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</si>
  <si>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</si>
  <si>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</si>
  <si>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</si>
  <si>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</si>
  <si>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</si>
  <si>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</si>
  <si>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</si>
  <si>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</si>
  <si>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</si>
  <si>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</si>
  <si>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</si>
  <si>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</si>
  <si>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</si>
  <si>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</si>
  <si>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</si>
  <si>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</si>
  <si>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</si>
  <si>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</si>
  <si>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</si>
  <si>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</si>
  <si>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</si>
  <si>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</si>
  <si>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</si>
  <si>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</si>
  <si>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</si>
  <si>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</si>
  <si>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</si>
  <si>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</si>
  <si>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</si>
  <si>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</si>
  <si>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</si>
  <si>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</si>
  <si>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</si>
  <si>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</si>
  <si>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</si>
  <si>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</si>
  <si>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</si>
  <si>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</si>
  <si>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</si>
  <si>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</si>
  <si>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</si>
  <si>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</si>
  <si>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</si>
  <si>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</si>
  <si>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</si>
  <si>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</si>
  <si>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</si>
  <si>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</si>
  <si>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</si>
  <si>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</si>
  <si>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</si>
  <si>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</si>
  <si>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</si>
  <si>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</si>
  <si>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</si>
  <si>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</si>
  <si>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</si>
  <si>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</si>
  <si>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</si>
  <si>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</si>
  <si>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</si>
  <si>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</si>
  <si>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alleen spoordek</t>
  </si>
  <si>
    <t>Totaal kosten cat. 2 (advies IB tlv ProRail AM)</t>
  </si>
  <si>
    <t>4x52</t>
  </si>
  <si>
    <t>Gewapend beton (paalfundering)</t>
  </si>
  <si>
    <t>10592917 + 10592918 + 10592919</t>
  </si>
  <si>
    <t>KW20-544-0050a</t>
  </si>
  <si>
    <t>Spoorviaduct Markbrug</t>
  </si>
  <si>
    <t>Breda</t>
  </si>
  <si>
    <t>Gewapend betonnen (voorgespannen)</t>
  </si>
  <si>
    <t>Betonnen balkroosterdek incl. landhoofden en 2 tussensteunpunten. Verdiepte vloer odg niet meegerekend.</t>
  </si>
  <si>
    <t>aanbrengen hoogtebeperkingsborden Markkade h=4,3m</t>
  </si>
  <si>
    <t>aanbrengen taludbekleding onder lekkende dilatatievoegen tpv overgang spoordek-landhoofd/baan</t>
  </si>
  <si>
    <t>op 4 locaties een strook van 1 m breed aanbrengen</t>
  </si>
  <si>
    <t>spoordek LxB</t>
  </si>
  <si>
    <t>2 landhfdn + 2 tussensteunpntn (allen laaggefundeerd)</t>
  </si>
  <si>
    <t>Σ: van 2 landhfdn + vleugelwandn + 2tussenstnpntn</t>
  </si>
  <si>
    <t xml:space="preserve">Σ: van 2 landhfdn + vleugelwandn + 2 tussenstnpntn </t>
  </si>
  <si>
    <t>leuningen 2x99,4 m1 á 35 kg/m1</t>
  </si>
  <si>
    <t>spoordek+PV-paden: 2235 m3</t>
  </si>
  <si>
    <t>Σ: 2 landhfdn + 2 tussenstnpntn: 900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</si>
</sst>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S21" sqref="S21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147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 t="s">
        <v>303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304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305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544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23.41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306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1971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1971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307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302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308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143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43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2071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aanbrengen hoogtebeperkingsborden Markkade h=4,3m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1770</v>
      </c>
      <c r="M52" s="64">
        <f>'Berekening MJOP+LTP'!Y39</f>
        <v>1684.7114812611542</v>
      </c>
      <c r="N52" s="61">
        <f>'Berekening MJOP+LTP'!AA39</f>
        <v>0</v>
      </c>
      <c r="O52" s="255">
        <f>'Berekening MJOP+LTP'!AC39</f>
        <v>192.49305015922792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aanbrengen taludbekleding onder lekkende dilatatievoegen tpv overgang spoordek-landhoofd/baan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4248</v>
      </c>
      <c r="M53" s="64">
        <f>'Berekening MJOP+LTP'!Y40</f>
        <v>4043.3075550267699</v>
      </c>
      <c r="N53" s="61">
        <f>'Berekening MJOP+LTP'!AA40</f>
        <v>0</v>
      </c>
      <c r="O53" s="255">
        <f>'Berekening MJOP+LTP'!AC40</f>
        <v>461.98332038214699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2071</v>
      </c>
      <c r="K59" s="159">
        <v>2071</v>
      </c>
      <c r="L59" s="156">
        <f>'Berekening MJOP+LTP'!T46</f>
        <v>26457393.600000001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300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6018</v>
      </c>
      <c r="M63" s="214">
        <f>SUMIF(B51:B58,1,M51:M58)</f>
        <v>5728.0190362879239</v>
      </c>
      <c r="N63" s="247">
        <f>SUMIF(B51:B58,1,N51:N58)</f>
        <v>0</v>
      </c>
      <c r="O63" s="259">
        <f>SUMIF(B51:B58,1,O51:O58)</f>
        <v>654.47637054137488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11018</v>
      </c>
      <c r="M64" s="214">
        <f>SUM(M51:M58)</f>
        <v>10371.016090886669</v>
      </c>
      <c r="N64" s="247">
        <f>SUM(N51:N58)</f>
        <v>0</v>
      </c>
      <c r="O64" s="259">
        <f>SUM(O51:O58)</f>
        <v>1184.9794714349341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2071</v>
      </c>
      <c r="L65" s="214">
        <f>L59</f>
        <v>26457393.600000001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26479911.600000001</v>
      </c>
      <c r="M66" s="218">
        <f>SUM(M49:M59)</f>
        <v>20680.579142146806</v>
      </c>
      <c r="N66" s="249">
        <f>SUM(N49:N59)</f>
        <v>208</v>
      </c>
      <c r="O66" s="260">
        <f>SUM(O49:O59)</f>
        <v>2362.9373945686648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2071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450878.35943290923</v>
      </c>
      <c r="N75" s="61">
        <f>'Berekening MJOP+LTP'!AA125</f>
        <v>0</v>
      </c>
      <c r="O75" s="261">
        <f>'Berekening MJOP+LTP'!AC125</f>
        <v>17231.16562300015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28195.992629658158</v>
      </c>
      <c r="N76" s="61">
        <f>'Berekening MJOP+LTP'!AA147</f>
        <v>0</v>
      </c>
      <c r="O76" s="261">
        <f>'Berekening MJOP+LTP'!AC147</f>
        <v>1077.5629584830979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2071</v>
      </c>
      <c r="K77" s="90">
        <v>2071</v>
      </c>
      <c r="L77" s="64">
        <f>'Berekening MJOP+LTP'!T154</f>
        <v>23451168</v>
      </c>
      <c r="M77" s="64">
        <f>'Berekening MJOP+LTP'!Y154</f>
        <v>8110325.1545922095</v>
      </c>
      <c r="N77" s="61">
        <f>'Berekening MJOP+LTP'!AA149</f>
        <v>104</v>
      </c>
      <c r="O77" s="261">
        <f>'Berekening MJOP+LTP'!AC154</f>
        <v>309951.34956340154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2071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68741.614291926569</v>
      </c>
      <c r="N83" s="61">
        <f>'Berekening MJOP+LTP'!AA199</f>
        <v>0</v>
      </c>
      <c r="O83" s="261">
        <f>'Berekening MJOP+LTP'!AC199</f>
        <v>2627.0902479027368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2071</v>
      </c>
      <c r="K85" s="90">
        <v>2071</v>
      </c>
      <c r="L85" s="64">
        <f>'Berekening MJOP+LTP'!T208</f>
        <v>3018063.36</v>
      </c>
      <c r="M85" s="64">
        <f>'Berekening MJOP+LTP'!Y208</f>
        <v>1043763.5851127364</v>
      </c>
      <c r="N85" s="61">
        <f>'Berekening MJOP+LTP'!AA204</f>
        <v>104</v>
      </c>
      <c r="O85" s="261">
        <f>'Berekening MJOP+LTP'!AC208</f>
        <v>39889.39107424645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2071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-858191.6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2071</v>
      </c>
      <c r="K92" s="219"/>
      <c r="L92" s="220"/>
      <c r="M92" s="220">
        <f t="shared" ref="M92:O94" si="1">M71+M75+M79+M83+M87</f>
        <v>519619.97372483579</v>
      </c>
      <c r="N92" s="267">
        <f t="shared" si="1"/>
        <v>0</v>
      </c>
      <c r="O92" s="263">
        <f t="shared" si="1"/>
        <v>19858.255870902885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2071</v>
      </c>
      <c r="K93" s="221"/>
      <c r="L93" s="222"/>
      <c r="M93" s="222">
        <f t="shared" si="1"/>
        <v>28195.992629658158</v>
      </c>
      <c r="N93" s="252">
        <f t="shared" si="1"/>
        <v>0</v>
      </c>
      <c r="O93" s="264">
        <f t="shared" si="1"/>
        <v>1077.5629584830979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2071</v>
      </c>
      <c r="L94" s="222">
        <f>L73+L77+L81+L85+L89</f>
        <v>26469231.359999999</v>
      </c>
      <c r="M94" s="222">
        <f t="shared" si="1"/>
        <v>9154088.7397049461</v>
      </c>
      <c r="N94" s="252">
        <f t="shared" si="1"/>
        <v>208</v>
      </c>
      <c r="O94" s="264">
        <f t="shared" si="1"/>
        <v>349840.74063764798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2071</v>
      </c>
      <c r="L95" s="223">
        <f>L91</f>
        <v>-858191.6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6.9580000000000011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4470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2235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2070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414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106" activePane="bottomLeft" state="frozen"/>
      <selection pane="bottomLeft" activeCell="S138" sqref="S138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251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8">
        <v>2</v>
      </c>
      <c r="C38" s="120" t="s">
        <v>22</v>
      </c>
      <c r="D38" s="78">
        <v>1</v>
      </c>
      <c r="E38" s="120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8">
        <v>1</v>
      </c>
      <c r="C39" s="120" t="s">
        <v>22</v>
      </c>
      <c r="D39" s="78">
        <v>2</v>
      </c>
      <c r="E39" s="120" t="s">
        <v>22</v>
      </c>
      <c r="F39" s="76" t="s">
        <v>23</v>
      </c>
      <c r="G39" s="76"/>
      <c r="H39" s="76"/>
      <c r="I39" s="76" t="s">
        <v>275</v>
      </c>
      <c r="J39" s="76"/>
      <c r="K39" s="76" t="s">
        <v>309</v>
      </c>
      <c r="L39" s="76"/>
      <c r="M39" s="76"/>
      <c r="N39" s="76"/>
      <c r="O39" s="77"/>
      <c r="P39" s="77"/>
      <c r="Q39" s="81">
        <v>2</v>
      </c>
      <c r="R39" s="81" t="s">
        <v>75</v>
      </c>
      <c r="S39" s="81">
        <f>H15*500</f>
        <v>885</v>
      </c>
      <c r="T39" s="9">
        <f t="shared" si="4"/>
        <v>1770</v>
      </c>
      <c r="U39" s="11">
        <v>1</v>
      </c>
      <c r="V39" s="14"/>
      <c r="W39" s="9">
        <f>Voorblad!K52</f>
        <v>2020</v>
      </c>
      <c r="Y39" s="9">
        <f t="shared" ref="Y39:Y45" si="5">SUM(AE39:EB39)</f>
        <v>1684.7114812611542</v>
      </c>
      <c r="Z39" s="82"/>
      <c r="AA39" s="82"/>
      <c r="AC39" s="9">
        <f>$Y39*(Voorblad!$K$44*(1+Voorblad!$K$44)^Voorblad!$K$37)/((1+Voorblad!$K$44)^Voorblad!$K$37-1)</f>
        <v>192.49305015922792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1684.7114812611542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22</v>
      </c>
      <c r="D40" s="78">
        <v>3</v>
      </c>
      <c r="E40" s="76" t="s">
        <v>22</v>
      </c>
      <c r="F40" s="76" t="s">
        <v>23</v>
      </c>
      <c r="G40" s="76"/>
      <c r="H40" s="76"/>
      <c r="I40" s="76" t="s">
        <v>275</v>
      </c>
      <c r="J40" s="76"/>
      <c r="K40" s="79" t="s">
        <v>310</v>
      </c>
      <c r="L40" s="76"/>
      <c r="M40" s="76"/>
      <c r="N40" s="76"/>
      <c r="O40" s="77"/>
      <c r="P40" s="77" t="s">
        <v>311</v>
      </c>
      <c r="Q40" s="81">
        <f>4*1*6</f>
        <v>24</v>
      </c>
      <c r="R40" s="81" t="s">
        <v>35</v>
      </c>
      <c r="S40" s="81">
        <f>H15*100</f>
        <v>177</v>
      </c>
      <c r="T40" s="9">
        <f t="shared" si="4"/>
        <v>4248</v>
      </c>
      <c r="U40" s="11">
        <v>1</v>
      </c>
      <c r="V40" s="14"/>
      <c r="W40" s="9">
        <f>Voorblad!K53</f>
        <v>2020</v>
      </c>
      <c r="Y40" s="9">
        <f t="shared" si="5"/>
        <v>4043.3075550267699</v>
      </c>
      <c r="Z40" s="82"/>
      <c r="AA40" s="82"/>
      <c r="AC40" s="9">
        <f>$Y40*(Voorblad!$K$44*(1+Voorblad!$K$44)^Voorblad!$K$37)/((1+Voorblad!$K$44)^Voorblad!$K$37-1)</f>
        <v>461.98332038214699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4043.3075550267699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312</v>
      </c>
      <c r="Q46" s="83">
        <f>89.4*22.8</f>
        <v>2038.3200000000002</v>
      </c>
      <c r="R46" s="81" t="s">
        <v>35</v>
      </c>
      <c r="S46" s="81">
        <v>12980</v>
      </c>
      <c r="T46" s="9">
        <f t="shared" si="4"/>
        <v>26457393.600000001</v>
      </c>
      <c r="U46" s="11">
        <v>1</v>
      </c>
      <c r="V46" s="1">
        <f>Voorblad!F24+100</f>
        <v>2071</v>
      </c>
      <c r="W46" s="9">
        <f>Voorblad!K59</f>
        <v>2071</v>
      </c>
      <c r="X46" s="6"/>
      <c r="Y46" s="9">
        <f>SUM(AE46:EB46)</f>
        <v>0</v>
      </c>
      <c r="Z46" s="82" t="s">
        <v>301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2071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4226.5158760641407</v>
      </c>
      <c r="Z109" s="82"/>
      <c r="AA109" s="82"/>
      <c r="AC109" s="9">
        <f>$Y109*(Voorblad!$K$44*(1+Voorblad!$K$44)^Voorblad!$K$41)/((1+Voorblad!$K$44)^Voorblad!$K$41-1)</f>
        <v>161.52426379544963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14" t="s">
        <v>226</v>
      </c>
      <c r="Q110" s="83">
        <f>50%*(((2*89.4*22.8)+(2*(89.4+22.8)*1.55)))</f>
        <v>2212.23</v>
      </c>
      <c r="R110" s="1" t="s">
        <v>35</v>
      </c>
      <c r="S110" s="21">
        <f>$H$20*15</f>
        <v>26.55</v>
      </c>
      <c r="T110" s="9">
        <f t="shared" si="20"/>
        <v>58734.7065</v>
      </c>
      <c r="U110" s="14">
        <v>10</v>
      </c>
      <c r="V110" s="14"/>
      <c r="Y110" s="9">
        <f t="shared" si="21"/>
        <v>131603.48862255015</v>
      </c>
      <c r="Z110" s="82"/>
      <c r="AA110" s="82"/>
      <c r="AC110" s="9">
        <f>$Y110*(Voorblad!$K$44*(1+Voorblad!$K$44)^Voorblad!$K$41)/((1+Voorblad!$K$44)^Voorblad!$K$41-1)</f>
        <v>5029.4751601561593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45883.458843629676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35844.084714291675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28001.341690126221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21874.603374502571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3">
        <f>4*89.4</f>
        <v>357.6</v>
      </c>
      <c r="R113" s="147" t="s">
        <v>195</v>
      </c>
      <c r="S113" s="21">
        <f>$H$20*350</f>
        <v>619.5</v>
      </c>
      <c r="T113" s="9">
        <f t="shared" si="20"/>
        <v>221533.2</v>
      </c>
      <c r="U113" s="14">
        <v>15</v>
      </c>
      <c r="V113" s="14"/>
      <c r="Y113" s="9">
        <f>SUM(AE113:EB113)</f>
        <v>258575.37692105549</v>
      </c>
      <c r="Z113" s="82"/>
      <c r="AA113" s="82"/>
      <c r="AC113" s="9">
        <f>$Y113*(Voorblad!$K$44*(1+Voorblad!$K$44)^Voorblad!$K$41)/((1+Voorblad!$K$44)^Voorblad!$K$41-1)</f>
        <v>9881.9449914614615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152961.04429632242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105614.33262473306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84">
        <f>2.5%*2*(5+89.4+5)</f>
        <v>4.9700000000000006</v>
      </c>
      <c r="R115" s="14" t="s">
        <v>34</v>
      </c>
      <c r="S115" s="21">
        <f>$H$20*1000</f>
        <v>1770</v>
      </c>
      <c r="T115" s="21">
        <f t="shared" si="20"/>
        <v>8796.9000000000015</v>
      </c>
      <c r="U115" s="14">
        <v>15</v>
      </c>
      <c r="Y115" s="21">
        <f t="shared" si="22"/>
        <v>10267.814184225357</v>
      </c>
      <c r="Z115" s="149"/>
      <c r="AA115" s="149"/>
      <c r="AC115" s="9">
        <f>$Y115*(Voorblad!$K$44*(1+Voorblad!$K$44)^Voorblad!$K$41)/((1+Voorblad!$K$44)^Voorblad!$K$41-1)</f>
        <v>392.40385592492373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6073.9564569568747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4193.8577272684834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84">
        <f>2.5%*2*(5+89.4+5)</f>
        <v>4.9700000000000006</v>
      </c>
      <c r="R117" s="1" t="s">
        <v>34</v>
      </c>
      <c r="S117" s="14">
        <f>$H$20*500</f>
        <v>885</v>
      </c>
      <c r="T117" s="9">
        <f t="shared" si="20"/>
        <v>4398.4500000000007</v>
      </c>
      <c r="U117" s="14">
        <v>15</v>
      </c>
      <c r="V117" s="14"/>
      <c r="Y117" s="9">
        <f t="shared" si="22"/>
        <v>5133.9070921126786</v>
      </c>
      <c r="Z117" s="82"/>
      <c r="AA117" s="82"/>
      <c r="AC117" s="9">
        <f>$Y117*(Voorblad!$K$44*(1+Voorblad!$K$44)^Voorblad!$K$41)/((1+Voorblad!$K$44)^Voorblad!$K$41-1)</f>
        <v>196.20192796246187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3036.9782284784374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2096.9288636342417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3">
        <f>2*(5+89.4+5)</f>
        <v>198.8</v>
      </c>
      <c r="R122" s="1" t="s">
        <v>34</v>
      </c>
      <c r="S122" s="14">
        <f>$H$20*100</f>
        <v>177</v>
      </c>
      <c r="T122" s="9">
        <f t="shared" si="20"/>
        <v>35187.599999999999</v>
      </c>
      <c r="U122" s="14">
        <v>15</v>
      </c>
      <c r="V122" s="14"/>
      <c r="Y122" s="9">
        <f t="shared" si="23"/>
        <v>41071.256736901429</v>
      </c>
      <c r="Z122" s="82"/>
      <c r="AA122" s="82"/>
      <c r="AC122" s="9">
        <f>$Y122*(Voorblad!$K$44*(1+Voorblad!$K$44)^Voorblad!$K$41)/((1+Voorblad!$K$44)^Voorblad!$K$41-1)</f>
        <v>1569.6154236996949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24295.825827827495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16775.43090907393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450878.35943290923</v>
      </c>
      <c r="Z125" s="24"/>
      <c r="AA125" s="23">
        <f>SUM(AA109:AA124)</f>
        <v>0</v>
      </c>
      <c r="AC125" s="9">
        <f>$Y125*(Voorblad!$K$44*(1+Voorblad!$K$44)^Voorblad!$K$41)/((1+Voorblad!$K$44)^Voorblad!$K$41-1)</f>
        <v>17231.16562300015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46574.819429156945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186978.86682738771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36384.174498721739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157103.8090912211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22204.20447647513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3">
        <f>2*(5+89.4+5)</f>
        <v>198.8</v>
      </c>
      <c r="R133" s="1" t="s">
        <v>34</v>
      </c>
      <c r="S133" s="21">
        <f>$H$10*125</f>
        <v>297.5</v>
      </c>
      <c r="T133" s="9">
        <f t="shared" si="104"/>
        <v>59143</v>
      </c>
      <c r="U133" s="14">
        <v>30</v>
      </c>
      <c r="V133" s="14"/>
      <c r="Y133" s="9">
        <f t="shared" si="21"/>
        <v>28195.992629658158</v>
      </c>
      <c r="Z133" s="82"/>
      <c r="AA133" s="82"/>
      <c r="AC133" s="9">
        <f>$Y133*(Voorblad!$K$44*(1+Voorblad!$K$44)^Voorblad!$K$41)/((1+Voorblad!$K$44)^Voorblad!$K$41-1)</f>
        <v>1077.5629584830979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28195.992629658158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3">
        <f>4*89.4</f>
        <v>357.6</v>
      </c>
      <c r="R136" s="147" t="s">
        <v>195</v>
      </c>
      <c r="S136" s="14">
        <f>$H$10*500</f>
        <v>1190</v>
      </c>
      <c r="T136" s="9">
        <f t="shared" si="104"/>
        <v>425544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7.5%*2*(5+89.4+5)</f>
        <v>14.91</v>
      </c>
      <c r="R137" s="14" t="s">
        <v>34</v>
      </c>
      <c r="S137" s="21">
        <f>$H$10*1000</f>
        <v>2380</v>
      </c>
      <c r="T137" s="21">
        <f t="shared" si="104"/>
        <v>35485.800000000003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3">
        <f>2*(5+89.4+5)</f>
        <v>198.8</v>
      </c>
      <c r="R139" s="1" t="s">
        <v>34</v>
      </c>
      <c r="S139" s="14">
        <f>$H$10*400</f>
        <v>952</v>
      </c>
      <c r="T139" s="9">
        <f t="shared" si="104"/>
        <v>189257.60000000001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36</v>
      </c>
      <c r="R142" s="1" t="s">
        <v>75</v>
      </c>
      <c r="S142" s="14">
        <f>$H$10*1500</f>
        <v>3570</v>
      </c>
      <c r="T142" s="9">
        <f t="shared" si="104"/>
        <v>128520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2*89.4</f>
        <v>178.8</v>
      </c>
      <c r="R146" s="147" t="s">
        <v>195</v>
      </c>
      <c r="S146" s="14">
        <f>$H$10*500</f>
        <v>1190</v>
      </c>
      <c r="T146" s="9">
        <f t="shared" si="104"/>
        <v>212772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28195.992629658158</v>
      </c>
      <c r="Z147" s="24"/>
      <c r="AA147" s="23">
        <f>SUM(AA127:AA146)</f>
        <v>0</v>
      </c>
      <c r="AC147" s="9">
        <f>$Y147*(Voorblad!$K$44*(1+Voorblad!$K$44)^Voorblad!$K$41)/((1+Voorblad!$K$44)^Voorblad!$K$41-1)</f>
        <v>1077.5629584830979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28195.992629658158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299</v>
      </c>
      <c r="Q149" s="83">
        <v>2039.232</v>
      </c>
      <c r="R149" s="81" t="s">
        <v>35</v>
      </c>
      <c r="S149" s="81">
        <v>11500</v>
      </c>
      <c r="T149" s="21">
        <f>Q149*S149</f>
        <v>23451168</v>
      </c>
      <c r="U149" s="11">
        <v>1</v>
      </c>
      <c r="V149" s="14">
        <f>Voorblad!F24+100</f>
        <v>2071</v>
      </c>
      <c r="W149" s="9">
        <f>Voorblad!K77</f>
        <v>2071</v>
      </c>
      <c r="X149" s="6"/>
      <c r="Y149" s="9">
        <f t="shared" si="21"/>
        <v>8110325.1545922095</v>
      </c>
      <c r="Z149" s="82" t="s">
        <v>276</v>
      </c>
      <c r="AA149" s="82">
        <v>104</v>
      </c>
      <c r="AC149" s="9">
        <f>$Y149*(Voorblad!$K$44*(1+Voorblad!$K$44)^Voorblad!$K$41)/((1+Voorblad!$K$44)^Voorblad!$K$41-1)</f>
        <v>309951.34956340154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8110325.1545922095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469023.36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938046.72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1641581.7600000002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23451168</v>
      </c>
      <c r="U154" s="14"/>
      <c r="V154" s="14"/>
      <c r="W154" s="14"/>
      <c r="X154" s="6"/>
      <c r="Y154" s="23">
        <f>SUM(Y149:Y153)</f>
        <v>8110325.1545922095</v>
      </c>
      <c r="Z154" s="24"/>
      <c r="AA154" s="23">
        <f>SUM(AA149:AA153)</f>
        <v>104</v>
      </c>
      <c r="AC154" s="9">
        <f>$Y154*(Voorblad!$K$44*(1+Voorblad!$K$44)^Voorblad!$K$41)/((1+Voorblad!$K$44)^Voorblad!$K$41-1)</f>
        <v>309951.34956340154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2071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4226.5158760641407</v>
      </c>
      <c r="Z195" s="82"/>
      <c r="AA195" s="82"/>
      <c r="AC195" s="9">
        <f>$Y195*(Voorblad!$K$44*(1+Voorblad!$K$44)^Voorblad!$K$41)/((1+Voorblad!$K$44)^Voorblad!$K$41-1)</f>
        <v>161.52426379544963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314</v>
      </c>
      <c r="Q196" s="84">
        <f>(2*((21.4*3)+(2*(3.5*5)/2)))+((2*2*21.4*3)+(2*2*1*3))</f>
        <v>432.19999999999993</v>
      </c>
      <c r="R196" s="1" t="s">
        <v>35</v>
      </c>
      <c r="S196" s="21">
        <f>$H$20*15</f>
        <v>26.55</v>
      </c>
      <c r="T196" s="9">
        <f>Q196*S196</f>
        <v>11474.909999999998</v>
      </c>
      <c r="U196" s="14">
        <v>10</v>
      </c>
      <c r="V196" s="14"/>
      <c r="Y196" s="9">
        <f t="shared" si="199"/>
        <v>25711.172790652945</v>
      </c>
      <c r="Z196" s="82"/>
      <c r="AA196" s="82"/>
      <c r="AC196" s="9">
        <f>$Y196*(Voorblad!$K$44*(1+Voorblad!$K$44)^Voorblad!$K$41)/((1+Voorblad!$K$44)^Voorblad!$K$41-1)</f>
        <v>982.60088879523903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8964.1813519465613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7002.8041449202201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5470.579405609973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4273.6078881761887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P197" s="1" t="s">
        <v>315</v>
      </c>
      <c r="Q197" s="84">
        <f>(2*((21.4*2.5)+(2*(3.5*2.5)/2)))+((2*2*21.4*2.5)+(2*2*1*2.5))</f>
        <v>348.5</v>
      </c>
      <c r="R197" s="1" t="s">
        <v>35</v>
      </c>
      <c r="S197" s="21">
        <f>$H$20*20</f>
        <v>35.4</v>
      </c>
      <c r="T197" s="9">
        <f>Q197*S197</f>
        <v>12336.9</v>
      </c>
      <c r="U197" s="14">
        <v>10</v>
      </c>
      <c r="V197" s="14"/>
      <c r="Y197" s="9">
        <f>SUM(AE197:EB197)</f>
        <v>27642.584351511803</v>
      </c>
      <c r="Z197" s="82"/>
      <c r="AA197" s="82"/>
      <c r="AC197" s="9">
        <f>$Y197*(Voorblad!$K$44*(1+Voorblad!$K$44)^Voorblad!$K$41)/((1+Voorblad!$K$44)^Voorblad!$K$41-1)</f>
        <v>1056.4134189268573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9637.5665622501219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7528.8515949551038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5881.5268328091188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4594.6393614974604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10.805</v>
      </c>
      <c r="R198" s="1" t="s">
        <v>35</v>
      </c>
      <c r="S198" s="14">
        <f>$H$20*500</f>
        <v>885</v>
      </c>
      <c r="T198" s="9">
        <f>Q198*S198</f>
        <v>9562.4249999999993</v>
      </c>
      <c r="U198" s="14">
        <v>15</v>
      </c>
      <c r="V198" s="14"/>
      <c r="Y198" s="9">
        <f t="shared" si="199"/>
        <v>11161.341273697682</v>
      </c>
      <c r="Z198" s="82"/>
      <c r="AA198" s="82"/>
      <c r="AC198" s="229">
        <f>$Y198*(Voorblad!$K$44*(1+Voorblad!$K$44)^Voorblad!$K$41)/((1+Voorblad!$K$44)^Voorblad!$K$41-1)</f>
        <v>426.55167638519117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6602.5251023560377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4558.8161713416448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68741.614291926569</v>
      </c>
      <c r="Z199" s="24"/>
      <c r="AA199" s="23">
        <f>SUM(AA195:AA198)</f>
        <v>0</v>
      </c>
      <c r="AC199" s="9">
        <f>$Y199*(Voorblad!$K$44*(1+Voorblad!$K$44)^Voorblad!$K$41)/((1+Voorblad!$K$44)^Voorblad!$K$41-1)</f>
        <v>2627.0902479027368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21.61</v>
      </c>
      <c r="R201" s="1" t="s">
        <v>35</v>
      </c>
      <c r="S201" s="14">
        <f>$H$10*500</f>
        <v>1190</v>
      </c>
      <c r="T201" s="9">
        <f>Q201*S201</f>
        <v>25715.899999999998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313</v>
      </c>
      <c r="Q204" s="83">
        <f>89.44*22.8</f>
        <v>2039.232</v>
      </c>
      <c r="R204" s="81" t="s">
        <v>35</v>
      </c>
      <c r="S204" s="81">
        <v>1480</v>
      </c>
      <c r="T204" s="9">
        <f>Q204*S204</f>
        <v>3018063.36</v>
      </c>
      <c r="U204" s="11">
        <v>1</v>
      </c>
      <c r="V204" s="14">
        <f>Voorblad!F25+100</f>
        <v>2071</v>
      </c>
      <c r="W204" s="9">
        <f>Voorblad!K85</f>
        <v>2071</v>
      </c>
      <c r="X204" s="6"/>
      <c r="Y204" s="9">
        <f t="shared" si="199"/>
        <v>1043763.5851127364</v>
      </c>
      <c r="Z204" s="83" t="s">
        <v>276</v>
      </c>
      <c r="AA204" s="83">
        <v>104</v>
      </c>
      <c r="AC204" s="9">
        <f>$Y204*(Voorblad!$K$44*(1+Voorblad!$K$44)^Voorblad!$K$41)/((1+Voorblad!$K$44)^Voorblad!$K$41-1)</f>
        <v>39889.39107424645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1043763.5851127364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60361.267200000002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120722.5344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211264.43520000001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3018063.36</v>
      </c>
      <c r="U208" s="14"/>
      <c r="V208" s="14"/>
      <c r="W208" s="14"/>
      <c r="X208" s="6"/>
      <c r="Y208" s="23">
        <f>SUM(Y204:Y207)</f>
        <v>1043763.5851127364</v>
      </c>
      <c r="Z208" s="24"/>
      <c r="AA208" s="23">
        <f>SUM(AA204:AA207)</f>
        <v>104</v>
      </c>
      <c r="AC208" s="9">
        <f>$Y208*(Voorblad!$K$44*(1+Voorblad!$K$44)^Voorblad!$K$41)/((1+Voorblad!$K$44)^Voorblad!$K$41-1)</f>
        <v>39889.39107424645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2071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316</v>
      </c>
      <c r="Q229" s="84">
        <f>2*99.4*0.035</f>
        <v>6.9580000000000011</v>
      </c>
      <c r="R229" s="1" t="s">
        <v>101</v>
      </c>
      <c r="S229" s="1">
        <v>-200</v>
      </c>
      <c r="T229" s="21">
        <f t="shared" ref="T229:T236" si="201">Q229*S229</f>
        <v>-1391.6000000000001</v>
      </c>
      <c r="U229" s="11">
        <v>1</v>
      </c>
      <c r="V229" s="14">
        <f>Voorblad!F24+100</f>
        <v>2071</v>
      </c>
      <c r="W229" s="9">
        <f>Voorblad!$K$77</f>
        <v>2071</v>
      </c>
      <c r="X229" s="6"/>
      <c r="Y229" s="9">
        <f t="shared" ref="Y229" si="202">SUM(AE229:EB229)</f>
        <v>-481.26935447865623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-481.26935447865623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317</v>
      </c>
      <c r="Q230" s="83">
        <f>2*2235</f>
        <v>4470</v>
      </c>
      <c r="R230" s="1" t="s">
        <v>101</v>
      </c>
      <c r="S230" s="1">
        <v>-50</v>
      </c>
      <c r="T230" s="21">
        <f t="shared" si="201"/>
        <v>-223500</v>
      </c>
      <c r="U230" s="11">
        <v>1</v>
      </c>
      <c r="V230" s="14">
        <f>Voorblad!F24+100</f>
        <v>2071</v>
      </c>
      <c r="W230" s="9">
        <f>Voorblad!$K$77</f>
        <v>2071</v>
      </c>
      <c r="X230" s="6"/>
      <c r="Y230" s="9">
        <f t="shared" ref="Y230" si="203">SUM(AE230:EB230)</f>
        <v>-77294.984712546458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-77294.984712546458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2235</v>
      </c>
      <c r="R231" s="1" t="s">
        <v>101</v>
      </c>
      <c r="S231" s="1">
        <v>-200</v>
      </c>
      <c r="T231" s="21">
        <f t="shared" si="201"/>
        <v>-447000</v>
      </c>
      <c r="U231" s="11">
        <v>1</v>
      </c>
      <c r="V231" s="14">
        <f>Voorblad!F24+100</f>
        <v>2071</v>
      </c>
      <c r="W231" s="9">
        <f>Voorblad!$K$77</f>
        <v>2071</v>
      </c>
      <c r="X231" s="6"/>
      <c r="Y231" s="9">
        <f t="shared" ref="Y231:Y234" si="204">SUM(AE231:EB231)</f>
        <v>-154589.96942509292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-154589.96942509292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P232" s="1" t="s">
        <v>318</v>
      </c>
      <c r="Q232" s="83">
        <f>2.3*900</f>
        <v>2070</v>
      </c>
      <c r="R232" s="1" t="s">
        <v>101</v>
      </c>
      <c r="S232" s="1">
        <v>-50</v>
      </c>
      <c r="T232" s="21">
        <f t="shared" si="201"/>
        <v>-103500</v>
      </c>
      <c r="U232" s="11">
        <v>1</v>
      </c>
      <c r="V232" s="14">
        <f>Voorblad!F24+100</f>
        <v>2071</v>
      </c>
      <c r="W232" s="9">
        <f>Voorblad!$K$77</f>
        <v>2071</v>
      </c>
      <c r="X232" s="6"/>
      <c r="Y232" s="9">
        <f t="shared" ref="Y232" si="205">SUM(AE232:EB232)</f>
        <v>-35794.321779635611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-35794.321779635611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414</v>
      </c>
      <c r="R233" s="1" t="s">
        <v>101</v>
      </c>
      <c r="S233" s="1">
        <v>-200</v>
      </c>
      <c r="T233" s="21">
        <f t="shared" si="201"/>
        <v>-82800</v>
      </c>
      <c r="U233" s="11">
        <v>1</v>
      </c>
      <c r="V233" s="14">
        <f>Voorblad!F24+100</f>
        <v>2071</v>
      </c>
      <c r="W233" s="9">
        <f>Voorblad!$K$77</f>
        <v>2071</v>
      </c>
      <c r="X233" s="6"/>
      <c r="Y233" s="9">
        <f t="shared" ref="Y233" si="206">SUM(AE233:EB233)</f>
        <v>-28635.457423708489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-28635.457423708489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2071</v>
      </c>
      <c r="W234" s="9">
        <f>Voorblad!$K$77</f>
        <v>2071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2071</v>
      </c>
      <c r="W235" s="9">
        <f>Voorblad!$K$77</f>
        <v>2071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2071</v>
      </c>
      <c r="W236" s="9">
        <f>Voorblad!$K$77</f>
        <v>2071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-858191.6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2019-12-11T13:56:26Z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