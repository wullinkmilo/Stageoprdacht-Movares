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920F0323-0A0C-4D9F-8D20-AECC47D54E6E}" xr6:coauthVersionLast="36" xr6:coauthVersionMax="36" xr10:uidLastSave="{00000000-0000-0000-0000-000000000000}"/>
  <bookViews>
    <workbookView xWindow="5580" yWindow="0" windowWidth="19560" windowHeight="9525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N62" i="2" l="1"/>
  <c r="O64" i="2"/>
  <c r="O62" i="2"/>
  <c r="O63" i="2"/>
  <c r="O94" i="2" l="1"/>
  <c r="O93" i="2"/>
  <c r="O92" i="2"/>
  <c r="N94" i="2"/>
  <c r="N93" i="2"/>
  <c r="N92" i="2"/>
  <c r="M94" i="2"/>
  <c r="M93" i="2"/>
  <c r="M92" i="2"/>
  <c r="N61" i="2"/>
  <c r="N60" i="2"/>
  <c r="H61" i="2"/>
  <c r="Q232" i="1"/>
  <c r="Q233" i="1" s="1"/>
  <c r="Q230" i="1"/>
  <c r="Q231" i="1" s="1"/>
  <c r="T229" i="1"/>
  <c r="V229" i="1"/>
  <c r="W229" i="1"/>
  <c r="Q204" i="1"/>
  <c r="Q197" i="1"/>
  <c r="Q196" i="1"/>
  <c r="Q201" i="1" s="1"/>
  <c r="Q149" i="1"/>
  <c r="Q146" i="1"/>
  <c r="Q145" i="1"/>
  <c r="Q139" i="1"/>
  <c r="Q137" i="1"/>
  <c r="Q136" i="1"/>
  <c r="Q133" i="1"/>
  <c r="Q122" i="1"/>
  <c r="Q117" i="1"/>
  <c r="Q115" i="1"/>
  <c r="Q113" i="1"/>
  <c r="Q110" i="1"/>
  <c r="Q46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3" i="2" l="1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AC125" i="1"/>
  <c r="O75" i="2" s="1"/>
  <c r="M76" i="2"/>
  <c r="AC147" i="1"/>
  <c r="O76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AC208" i="1"/>
  <c r="O85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<sst xmlns="http://schemas.openxmlformats.org/spreadsheetml/2006/main" count="1025" uniqueCount="318">
  <si>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</si>
  <si>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</si>
  <si>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</si>
  <si>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</si>
  <si>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</si>
  <si>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</si>
  <si>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</si>
  <si>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</si>
  <si>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</si>
  <si>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</si>
  <si>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</si>
  <si>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</si>
  <si>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</si>
  <si>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</si>
  <si>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</si>
  <si>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</si>
  <si>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</si>
  <si>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</si>
  <si>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</si>
  <si>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</si>
  <si>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</si>
  <si>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</si>
  <si>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</si>
  <si>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</si>
  <si>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</si>
  <si>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</si>
  <si>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</si>
  <si>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</si>
  <si>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</si>
  <si>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</si>
  <si>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</si>
  <si>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</si>
  <si>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</si>
  <si>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</si>
  <si>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</si>
  <si>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</si>
  <si>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</si>
  <si>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</si>
  <si>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</si>
  <si>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</si>
  <si>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</si>
  <si>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</si>
  <si>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</si>
  <si>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</si>
  <si>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</si>
  <si>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</si>
  <si>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</si>
  <si>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</si>
  <si>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</si>
  <si>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</si>
  <si>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</si>
  <si>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</si>
  <si>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</si>
  <si>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</si>
  <si>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</si>
  <si>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</si>
  <si>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</si>
  <si>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</si>
  <si>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</si>
  <si>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</si>
  <si>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</si>
  <si>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</si>
  <si>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</si>
  <si>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</si>
  <si>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</si>
  <si>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</si>
  <si>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</si>
  <si>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</si>
  <si>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</si>
  <si>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</si>
  <si>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</si>
  <si>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</si>
  <si>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</si>
  <si>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</si>
  <si>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</si>
  <si>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</si>
  <si>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</si>
  <si>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</si>
  <si>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</si>
  <si>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</si>
  <si>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</si>
  <si>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</si>
  <si>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</si>
  <si>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</si>
  <si>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</si>
  <si>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</si>
  <si>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</si>
  <si>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</si>
  <si>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</si>
  <si>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</si>
  <si>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</si>
  <si>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</si>
  <si>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</si>
  <si>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</si>
  <si>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</si>
  <si>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</si>
  <si>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</si>
  <si>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</si>
  <si>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</si>
  <si>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</si>
  <si>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</si>
  <si>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</si>
  <si>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</si>
  <si>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</si>
  <si>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</si>
  <si>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</si>
  <si>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</si>
  <si>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</si>
  <si>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</si>
  <si>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</si>
  <si>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</si>
  <si>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</si>
  <si>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</si>
  <si>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</si>
  <si>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</si>
  <si>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</si>
  <si>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</si>
  <si>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</si>
  <si>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</si>
  <si>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</si>
  <si>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</si>
  <si>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</si>
  <si>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</si>
  <si>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</si>
  <si>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</si>
  <si>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</si>
  <si>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</si>
  <si>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</si>
  <si>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</si>
  <si>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</si>
  <si>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</si>
  <si>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</si>
  <si>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</si>
  <si>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</si>
  <si>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</si>
  <si>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</si>
  <si>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</si>
  <si>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</si>
  <si>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</si>
  <si>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</si>
  <si>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</si>
  <si>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</si>
  <si>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</si>
  <si>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</si>
  <si>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</si>
  <si>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t>4x52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</si>
  <si>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</si>
  <si>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</si>
  <si>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</si>
  <si>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</si>
  <si>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</si>
  <si>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</si>
  <si>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</si>
  <si>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</si>
  <si>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</si>
  <si>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</si>
  <si>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</si>
  <si>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</si>
  <si>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</si>
  <si>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</si>
  <si>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</si>
  <si>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</si>
  <si>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</si>
  <si>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</si>
  <si>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</si>
  <si>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</si>
  <si>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</si>
  <si>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</si>
  <si>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</si>
  <si>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</si>
  <si>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</si>
  <si>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</si>
  <si>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</si>
  <si>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</si>
  <si>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</si>
  <si>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</si>
  <si>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</si>
  <si>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</si>
  <si>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</si>
  <si>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</si>
  <si>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</si>
  <si>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</si>
  <si>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</si>
  <si>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</si>
  <si>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</si>
  <si>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</si>
  <si>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</si>
  <si>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</si>
  <si>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</si>
  <si>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</si>
  <si>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</si>
  <si>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</si>
  <si>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</si>
  <si>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</si>
  <si>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</si>
  <si>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</si>
  <si>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</si>
  <si>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</si>
  <si>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</si>
  <si>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</si>
  <si>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</si>
  <si>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</si>
  <si>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</si>
  <si>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</si>
  <si>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</si>
  <si>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</si>
  <si>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</si>
  <si>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</si>
  <si>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</si>
  <si>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</si>
  <si>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</si>
  <si>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</si>
  <si>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</si>
  <si>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</si>
  <si>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</si>
  <si>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</si>
  <si>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</si>
  <si>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</si>
  <si>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</si>
  <si>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</si>
  <si>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</si>
  <si>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</si>
  <si>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</si>
  <si>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</si>
  <si>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</si>
  <si>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</si>
  <si>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</si>
  <si>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</si>
  <si>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</si>
  <si>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</si>
  <si>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</si>
  <si>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</si>
  <si>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</si>
  <si>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2 landhfd + 3 tussenstpnt+ tunnelvloer 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</si>
  <si>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</si>
  <si>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</si>
  <si>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</si>
  <si>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</si>
  <si>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</si>
  <si>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</si>
  <si>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</si>
  <si>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</si>
  <si>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</si>
  <si>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</si>
  <si>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</si>
  <si>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</si>
  <si>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</si>
  <si>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</si>
  <si>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</si>
  <si>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</si>
  <si>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</si>
  <si>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</si>
  <si>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</si>
  <si>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</si>
  <si>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</si>
  <si>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</si>
  <si>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</si>
  <si>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</si>
  <si>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</si>
  <si>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</si>
  <si>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</si>
  <si>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</si>
  <si>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</si>
  <si>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</si>
  <si>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</si>
  <si>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</si>
  <si>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</si>
  <si>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</si>
  <si>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</si>
  <si>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</si>
  <si>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</si>
  <si>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</si>
  <si>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</si>
  <si>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</si>
  <si>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</si>
  <si>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</si>
  <si>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</si>
  <si>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</si>
  <si>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</si>
  <si>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</si>
  <si>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</si>
  <si>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</si>
  <si>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</si>
  <si>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</si>
  <si>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</si>
  <si>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</si>
  <si>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</si>
  <si>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</si>
  <si>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</si>
  <si>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</si>
  <si>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</si>
  <si>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</si>
  <si>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</si>
  <si>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</si>
  <si>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</si>
  <si>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</si>
  <si>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</si>
  <si>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</si>
  <si>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</si>
  <si>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</si>
  <si>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</si>
  <si>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</si>
  <si>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</si>
  <si>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</si>
  <si>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</si>
  <si>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</si>
  <si>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KW20-123-0080</t>
  </si>
  <si>
    <t>Onderdoorgang Statenlaan</t>
  </si>
  <si>
    <t>Tilburg</t>
  </si>
  <si>
    <t>ja</t>
  </si>
  <si>
    <t>pve/pp</t>
  </si>
  <si>
    <t>BHM2a in pve: reinigen en herstellen betonoppervlak zijkant voetbrug (=BHM2a in pve)</t>
  </si>
  <si>
    <t>BHM2b in pve: nader onderzoek naar chlorideaantasting en waterindringing bovenzijde voetbrug</t>
  </si>
  <si>
    <t>Σ: van 2 landhfdn + 3 tussenstnpntn + vleugelwandn</t>
  </si>
  <si>
    <t>spoordek+PV-paden: 400 m3</t>
  </si>
  <si>
    <t>Σ: 2 landhfdn + 3 tussenstnpntn + vloer: 1050 m3</t>
  </si>
  <si>
    <t>Totaal kosten cat. 2 (advies IB tlv ProRail AM)</t>
  </si>
  <si>
    <t>leuningen 2x43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</si>
</sst>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topLeftCell="A19" zoomScale="90" zoomScaleNormal="90" zoomScaleSheetLayoutView="90" workbookViewId="0">
      <selection activeCell="T36" sqref="T36"/>
    </sheetView>
  </sheetViews>
  <sheetFormatPr defaultRowHeight="15" outlineLevelRow="1" x14ac:dyDescent="0.25"/>
  <cols>
    <col min="1" max="1" width="3.28515625" customWidth="1"/>
    <col min="2" max="3" width="5.7109375" customWidth="1"/>
    <col min="4" max="4" width="38.5703125" customWidth="1"/>
    <col min="5" max="5" width="9.85546875" customWidth="1"/>
    <col min="6" max="6" width="9.28515625" customWidth="1"/>
    <col min="7" max="7" width="14.7109375" customWidth="1"/>
    <col min="8" max="8" width="9.28515625" customWidth="1"/>
    <col min="9" max="9" width="1.42578125" customWidth="1"/>
    <col min="10" max="11" width="9.7109375" customWidth="1"/>
    <col min="12" max="13" width="11.7109375" customWidth="1"/>
    <col min="14" max="14" width="7.42578125" customWidth="1"/>
    <col min="15" max="16" width="9.7109375" customWidth="1"/>
    <col min="19" max="19" width="11.85546875" customWidth="1"/>
  </cols>
  <sheetData>
    <row r="5" spans="2:16" ht="18.75" x14ac:dyDescent="0.3">
      <c r="B5" s="28" t="s">
        <v>248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.75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.75" outlineLevel="1" thickBot="1" x14ac:dyDescent="0.3">
      <c r="B7" s="271" t="s">
        <v>150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25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25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25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25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25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25">
      <c r="B13" s="92" t="s">
        <v>119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.75" thickBot="1" x14ac:dyDescent="0.3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25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25">
      <c r="B17" s="98" t="s">
        <v>128</v>
      </c>
      <c r="C17" s="99"/>
      <c r="D17" s="94"/>
      <c r="E17" s="94"/>
      <c r="F17" s="141">
        <v>10592573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25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25">
      <c r="B19" s="98" t="s">
        <v>1</v>
      </c>
      <c r="C19" s="99"/>
      <c r="D19" s="94"/>
      <c r="E19" s="94"/>
      <c r="F19" s="141" t="s">
        <v>306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25">
      <c r="B20" s="98" t="s">
        <v>4</v>
      </c>
      <c r="C20" s="99"/>
      <c r="D20" s="94"/>
      <c r="E20" s="94"/>
      <c r="F20" s="141" t="s">
        <v>307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25">
      <c r="B21" s="98" t="s">
        <v>129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25">
      <c r="B22" s="98" t="s">
        <v>130</v>
      </c>
      <c r="C22" s="99"/>
      <c r="D22" s="94"/>
      <c r="E22" s="94"/>
      <c r="F22" s="141">
        <v>18.850000000000001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25">
      <c r="B23" s="98" t="s">
        <v>3</v>
      </c>
      <c r="C23" s="99"/>
      <c r="D23" s="94"/>
      <c r="E23" s="94"/>
      <c r="F23" s="141" t="s">
        <v>308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25">
      <c r="B24" s="98" t="s">
        <v>5</v>
      </c>
      <c r="C24" s="99"/>
      <c r="D24" s="94"/>
      <c r="E24" s="94"/>
      <c r="F24" s="141">
        <v>1967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25">
      <c r="B25" s="98" t="s">
        <v>6</v>
      </c>
      <c r="C25" s="99"/>
      <c r="D25" s="94"/>
      <c r="E25" s="94"/>
      <c r="F25" s="141">
        <v>1967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25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25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25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25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25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25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25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227</v>
      </c>
      <c r="K32" s="162">
        <v>2017</v>
      </c>
      <c r="L32" s="31"/>
      <c r="M32" s="31"/>
      <c r="N32" s="31"/>
      <c r="O32" s="32"/>
      <c r="P32" s="86"/>
    </row>
    <row r="33" spans="2:16" ht="15.75" thickBot="1" x14ac:dyDescent="0.3">
      <c r="B33" s="100" t="s">
        <v>230</v>
      </c>
      <c r="C33" s="101"/>
      <c r="D33" s="97"/>
      <c r="E33" s="97"/>
      <c r="F33" s="144" t="s">
        <v>234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.75" thickBot="1" x14ac:dyDescent="0.3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.75" outlineLevel="1" thickBot="1" x14ac:dyDescent="0.3">
      <c r="B35" s="268" t="s">
        <v>146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25">
      <c r="B36" s="110" t="s">
        <v>249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25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25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25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25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25">
      <c r="B41" s="39" t="s">
        <v>250</v>
      </c>
      <c r="C41" s="41"/>
      <c r="D41" s="40"/>
      <c r="E41" s="40"/>
      <c r="F41" s="102">
        <v>2028</v>
      </c>
      <c r="G41" s="41"/>
      <c r="H41" s="131" t="s">
        <v>251</v>
      </c>
      <c r="I41" s="40"/>
      <c r="J41" s="40"/>
      <c r="K41" s="103">
        <f>F24+100-F41</f>
        <v>39</v>
      </c>
      <c r="L41" s="42"/>
      <c r="M41" s="42"/>
      <c r="N41" s="43"/>
      <c r="O41" s="44"/>
      <c r="P41" s="232"/>
    </row>
    <row r="42" spans="2:16" x14ac:dyDescent="0.25">
      <c r="B42" s="45"/>
      <c r="C42" s="40"/>
      <c r="D42" s="40"/>
      <c r="E42" s="40"/>
      <c r="F42" s="40"/>
      <c r="G42" s="54"/>
      <c r="H42" s="133" t="s">
        <v>252</v>
      </c>
      <c r="I42" s="40"/>
      <c r="J42" s="40"/>
      <c r="K42" s="46">
        <f>F41+K41</f>
        <v>2067</v>
      </c>
      <c r="L42" s="43"/>
      <c r="M42" s="43"/>
      <c r="N42" s="43"/>
      <c r="O42" s="44"/>
      <c r="P42" s="232"/>
    </row>
    <row r="43" spans="2:16" x14ac:dyDescent="0.25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25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.75" thickBot="1" x14ac:dyDescent="0.3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25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" customHeight="1" x14ac:dyDescent="0.25">
      <c r="B48" s="163" t="s">
        <v>245</v>
      </c>
      <c r="C48" s="164" t="s">
        <v>246</v>
      </c>
      <c r="D48" s="67" t="str">
        <f>'Berekening MJOP+LTP'!K28</f>
        <v>Omschrijving</v>
      </c>
      <c r="E48" s="67"/>
      <c r="F48" s="68"/>
      <c r="G48" s="69"/>
      <c r="H48" s="151" t="s">
        <v>226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286</v>
      </c>
      <c r="P48" s="233"/>
    </row>
    <row r="49" spans="2:16" x14ac:dyDescent="0.25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25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25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25">
      <c r="B52" s="109">
        <f>'Berekening MJOP+LTP'!B39</f>
        <v>1</v>
      </c>
      <c r="C52" s="66">
        <f>'Berekening MJOP+LTP'!D39</f>
        <v>2</v>
      </c>
      <c r="D52" s="145" t="str">
        <f>'Berekening MJOP+LTP'!K39</f>
        <v>BHM2a in pve: reinigen en herstellen betonoppervlak zijkant voetbrug (=BHM2a in pve)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10085</v>
      </c>
      <c r="M52" s="64">
        <f>'Berekening MJOP+LTP'!Y39</f>
        <v>9599.0481856038077</v>
      </c>
      <c r="N52" s="61">
        <f>'Berekening MJOP+LTP'!AA39</f>
        <v>0</v>
      </c>
      <c r="O52" s="255">
        <f>'Berekening MJOP+LTP'!AC39</f>
        <v>1096.7753733648665</v>
      </c>
      <c r="P52" s="234"/>
    </row>
    <row r="53" spans="2:16" x14ac:dyDescent="0.25">
      <c r="B53" s="109">
        <f>'Berekening MJOP+LTP'!B40</f>
        <v>2</v>
      </c>
      <c r="C53" s="66">
        <f>'Berekening MJOP+LTP'!D40</f>
        <v>3</v>
      </c>
      <c r="D53" s="145" t="str">
        <f>'Berekening MJOP+LTP'!K40</f>
        <v>BHM2b in pve: nader onderzoek naar chlorideaantasting en waterindringing bovenzijde voetbrug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5000</v>
      </c>
      <c r="M53" s="64">
        <f>'Berekening MJOP+LTP'!Y40</f>
        <v>4759.0719809637121</v>
      </c>
      <c r="N53" s="61">
        <f>'Berekening MJOP+LTP'!AA40</f>
        <v>0</v>
      </c>
      <c r="O53" s="255">
        <f>'Berekening MJOP+LTP'!AC40</f>
        <v>543.76567841589804</v>
      </c>
      <c r="P53" s="234"/>
    </row>
    <row r="54" spans="2:16" x14ac:dyDescent="0.25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25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25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25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25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.75" thickBot="1" x14ac:dyDescent="0.3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2067</v>
      </c>
      <c r="K59" s="159">
        <v>2067</v>
      </c>
      <c r="L59" s="156">
        <f>'Berekening MJOP+LTP'!T46</f>
        <v>8135400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25">
      <c r="B60" s="207" t="s">
        <v>299</v>
      </c>
      <c r="C60" s="189"/>
      <c r="D60" s="208"/>
      <c r="E60" s="208"/>
      <c r="F60" s="189"/>
      <c r="G60" s="190" t="s">
        <v>152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25">
      <c r="B61" s="211" t="s">
        <v>316</v>
      </c>
      <c r="C61" s="194"/>
      <c r="D61" s="212"/>
      <c r="E61" s="212"/>
      <c r="F61" s="194"/>
      <c r="G61" s="195" t="s">
        <v>152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25">
      <c r="B62" s="211" t="s">
        <v>300</v>
      </c>
      <c r="C62" s="194"/>
      <c r="D62" s="212"/>
      <c r="E62" s="212"/>
      <c r="F62" s="194"/>
      <c r="G62" s="195" t="s">
        <v>152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10000</v>
      </c>
      <c r="M62" s="214">
        <f>SUMIF(B51:B58,2,M51:M58)</f>
        <v>9402.0690355624574</v>
      </c>
      <c r="N62" s="247">
        <f>SUMIF(B51:B58,2,N51:N58)</f>
        <v>0</v>
      </c>
      <c r="O62" s="259">
        <f>SUMIF(B51:B58,2,O51:O58)</f>
        <v>1074.2687793094572</v>
      </c>
      <c r="P62" s="236"/>
    </row>
    <row r="63" spans="2:16" x14ac:dyDescent="0.25">
      <c r="B63" s="211" t="s">
        <v>301</v>
      </c>
      <c r="C63" s="194"/>
      <c r="D63" s="212"/>
      <c r="E63" s="212"/>
      <c r="F63" s="194"/>
      <c r="G63" s="195" t="s">
        <v>152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10085</v>
      </c>
      <c r="M63" s="214">
        <f>SUMIF(B51:B58,1,M51:M58)</f>
        <v>9599.0481856038077</v>
      </c>
      <c r="N63" s="247">
        <f>SUMIF(B51:B58,1,N51:N58)</f>
        <v>0</v>
      </c>
      <c r="O63" s="259">
        <f>SUMIF(B51:B58,1,O51:O58)</f>
        <v>1096.7753733648665</v>
      </c>
      <c r="P63" s="236"/>
    </row>
    <row r="64" spans="2:16" x14ac:dyDescent="0.25">
      <c r="B64" s="211" t="s">
        <v>278</v>
      </c>
      <c r="C64" s="194"/>
      <c r="D64" s="212"/>
      <c r="E64" s="212"/>
      <c r="F64" s="194"/>
      <c r="G64" s="195" t="s">
        <v>152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20085</v>
      </c>
      <c r="M64" s="214">
        <f>SUM(M51:M58)</f>
        <v>19001.117221166263</v>
      </c>
      <c r="N64" s="247">
        <f>SUM(N51:N58)</f>
        <v>0</v>
      </c>
      <c r="O64" s="259">
        <f>SUM(O51:O58)</f>
        <v>2171.0441526743234</v>
      </c>
      <c r="P64" s="236"/>
    </row>
    <row r="65" spans="2:16" x14ac:dyDescent="0.25">
      <c r="B65" s="211" t="s">
        <v>302</v>
      </c>
      <c r="C65" s="194"/>
      <c r="D65" s="212"/>
      <c r="E65" s="212"/>
      <c r="F65" s="194"/>
      <c r="G65" s="205" t="s">
        <v>262</v>
      </c>
      <c r="H65" s="196"/>
      <c r="I65" s="213"/>
      <c r="J65" s="197"/>
      <c r="K65" s="224">
        <f>K59</f>
        <v>2067</v>
      </c>
      <c r="L65" s="214">
        <f>L59</f>
        <v>8135400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.75" thickBot="1" x14ac:dyDescent="0.3">
      <c r="B66" s="215" t="s">
        <v>279</v>
      </c>
      <c r="C66" s="199"/>
      <c r="D66" s="216"/>
      <c r="E66" s="216"/>
      <c r="F66" s="199"/>
      <c r="G66" s="200" t="s">
        <v>152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8166985</v>
      </c>
      <c r="M66" s="218">
        <f>SUM(M49:M59)</f>
        <v>29310.680272426402</v>
      </c>
      <c r="N66" s="249">
        <f>SUM(N49:N59)</f>
        <v>208</v>
      </c>
      <c r="O66" s="260">
        <f>SUM(O49:O59)</f>
        <v>3349.0020758080545</v>
      </c>
      <c r="P66" s="237"/>
    </row>
    <row r="67" spans="2:16" x14ac:dyDescent="0.25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25">
      <c r="B68" s="114" t="s">
        <v>247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25">
      <c r="B69" s="165" t="s">
        <v>245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141</v>
      </c>
      <c r="O69" s="130" t="s">
        <v>286</v>
      </c>
      <c r="P69" s="239"/>
    </row>
    <row r="70" spans="2:16" x14ac:dyDescent="0.25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25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25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25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2067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25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25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140806.81186505541</v>
      </c>
      <c r="N75" s="61">
        <f>'Berekening MJOP+LTP'!AA125</f>
        <v>0</v>
      </c>
      <c r="O75" s="261">
        <f>'Berekening MJOP+LTP'!AC125</f>
        <v>5693.685838981356</v>
      </c>
      <c r="P75" s="234"/>
    </row>
    <row r="76" spans="2:16" x14ac:dyDescent="0.25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12197.461600355138</v>
      </c>
      <c r="N76" s="61">
        <f>'Berekening MJOP+LTP'!AA147</f>
        <v>0</v>
      </c>
      <c r="O76" s="261">
        <f>'Berekening MJOP+LTP'!AC147</f>
        <v>493.21842789834682</v>
      </c>
      <c r="P76" s="234"/>
    </row>
    <row r="77" spans="2:16" x14ac:dyDescent="0.25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2067</v>
      </c>
      <c r="K77" s="90">
        <v>2067</v>
      </c>
      <c r="L77" s="64">
        <f>'Berekening MJOP+LTP'!T154</f>
        <v>5364450</v>
      </c>
      <c r="M77" s="64">
        <f>'Berekening MJOP+LTP'!Y154</f>
        <v>2047832.5957780867</v>
      </c>
      <c r="N77" s="61">
        <f>'Berekening MJOP+LTP'!AA149</f>
        <v>104</v>
      </c>
      <c r="O77" s="261">
        <f>'Berekening MJOP+LTP'!AC154</f>
        <v>82806.472902464462</v>
      </c>
      <c r="P77" s="234"/>
    </row>
    <row r="78" spans="2:16" x14ac:dyDescent="0.25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25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25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25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2067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25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25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70761.38886370571</v>
      </c>
      <c r="N83" s="61">
        <f>'Berekening MJOP+LTP'!AA199</f>
        <v>0</v>
      </c>
      <c r="O83" s="261">
        <f>'Berekening MJOP+LTP'!AC199</f>
        <v>2861.3183721967489</v>
      </c>
      <c r="P83" s="234"/>
    </row>
    <row r="84" spans="2:17" x14ac:dyDescent="0.25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25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2067</v>
      </c>
      <c r="K85" s="90">
        <v>2067</v>
      </c>
      <c r="L85" s="64">
        <f>'Berekening MJOP+LTP'!T208</f>
        <v>2770950</v>
      </c>
      <c r="M85" s="64">
        <f>'Berekening MJOP+LTP'!Y208</f>
        <v>1057786.3026538207</v>
      </c>
      <c r="N85" s="61">
        <f>'Berekening MJOP+LTP'!AA204</f>
        <v>104</v>
      </c>
      <c r="O85" s="261">
        <f>'Berekening MJOP+LTP'!AC208</f>
        <v>42772.809158270451</v>
      </c>
      <c r="P85" s="234"/>
    </row>
    <row r="86" spans="2:17" x14ac:dyDescent="0.25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25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25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25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2067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25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.75" thickBot="1" x14ac:dyDescent="0.3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-337952</v>
      </c>
      <c r="M91" s="64"/>
      <c r="N91" s="251"/>
      <c r="O91" s="262"/>
      <c r="P91" s="241"/>
      <c r="Q91" s="27"/>
    </row>
    <row r="92" spans="2:17" x14ac:dyDescent="0.25">
      <c r="B92" s="207" t="s">
        <v>303</v>
      </c>
      <c r="C92" s="208"/>
      <c r="D92" s="208"/>
      <c r="E92" s="208"/>
      <c r="F92" s="189"/>
      <c r="G92" s="204" t="s">
        <v>153</v>
      </c>
      <c r="H92" s="191">
        <f>F41</f>
        <v>2028</v>
      </c>
      <c r="I92" s="209" t="s">
        <v>29</v>
      </c>
      <c r="J92" s="192">
        <f>K42</f>
        <v>2067</v>
      </c>
      <c r="K92" s="219"/>
      <c r="L92" s="220"/>
      <c r="M92" s="220">
        <f t="shared" ref="M92:O94" si="1">M71+M75+M79+M83+M87</f>
        <v>211568.20072876112</v>
      </c>
      <c r="N92" s="267">
        <f t="shared" si="1"/>
        <v>0</v>
      </c>
      <c r="O92" s="263">
        <f t="shared" si="1"/>
        <v>8555.004211178104</v>
      </c>
      <c r="P92" s="242"/>
    </row>
    <row r="93" spans="2:17" x14ac:dyDescent="0.25">
      <c r="B93" s="211" t="s">
        <v>304</v>
      </c>
      <c r="C93" s="212"/>
      <c r="D93" s="212"/>
      <c r="E93" s="212"/>
      <c r="F93" s="194"/>
      <c r="G93" s="205" t="s">
        <v>153</v>
      </c>
      <c r="H93" s="196">
        <f>F41</f>
        <v>2028</v>
      </c>
      <c r="I93" s="213" t="s">
        <v>29</v>
      </c>
      <c r="J93" s="197">
        <f>K42</f>
        <v>2067</v>
      </c>
      <c r="K93" s="221"/>
      <c r="L93" s="222"/>
      <c r="M93" s="222">
        <f t="shared" si="1"/>
        <v>12197.461600355138</v>
      </c>
      <c r="N93" s="252">
        <f t="shared" si="1"/>
        <v>0</v>
      </c>
      <c r="O93" s="264">
        <f t="shared" si="1"/>
        <v>493.21842789834682</v>
      </c>
      <c r="P93" s="243"/>
    </row>
    <row r="94" spans="2:17" x14ac:dyDescent="0.25">
      <c r="B94" s="211" t="s">
        <v>302</v>
      </c>
      <c r="C94" s="212"/>
      <c r="D94" s="212"/>
      <c r="E94" s="212"/>
      <c r="F94" s="194"/>
      <c r="G94" s="205" t="s">
        <v>262</v>
      </c>
      <c r="H94" s="196"/>
      <c r="I94" s="213"/>
      <c r="J94" s="197"/>
      <c r="K94" s="225">
        <f>K59</f>
        <v>2067</v>
      </c>
      <c r="L94" s="222">
        <f>L73+L77+L81+L85+L89</f>
        <v>8135400</v>
      </c>
      <c r="M94" s="222">
        <f t="shared" si="1"/>
        <v>3105618.8984319074</v>
      </c>
      <c r="N94" s="252">
        <f t="shared" si="1"/>
        <v>208</v>
      </c>
      <c r="O94" s="264">
        <f t="shared" si="1"/>
        <v>125579.28206073491</v>
      </c>
      <c r="P94" s="243"/>
    </row>
    <row r="95" spans="2:17" ht="15.75" thickBot="1" x14ac:dyDescent="0.3">
      <c r="B95" s="215" t="s">
        <v>305</v>
      </c>
      <c r="C95" s="216"/>
      <c r="D95" s="216"/>
      <c r="E95" s="216"/>
      <c r="F95" s="199"/>
      <c r="G95" s="206" t="s">
        <v>262</v>
      </c>
      <c r="H95" s="201"/>
      <c r="I95" s="217"/>
      <c r="J95" s="202"/>
      <c r="K95" s="226">
        <f>K59</f>
        <v>2067</v>
      </c>
      <c r="L95" s="223">
        <f>L91</f>
        <v>-337952</v>
      </c>
      <c r="M95" s="223"/>
      <c r="N95" s="253"/>
      <c r="O95" s="265"/>
      <c r="P95" s="243"/>
    </row>
    <row r="97" spans="3:6" ht="15.75" thickBot="1" x14ac:dyDescent="0.3"/>
    <row r="98" spans="3:6" x14ac:dyDescent="0.25">
      <c r="C98" s="173" t="s">
        <v>263</v>
      </c>
      <c r="D98" s="174"/>
      <c r="E98" s="174"/>
      <c r="F98" s="175"/>
    </row>
    <row r="99" spans="3:6" x14ac:dyDescent="0.25">
      <c r="C99" s="176" t="s">
        <v>11</v>
      </c>
      <c r="D99" s="178"/>
      <c r="E99" s="179" t="s">
        <v>264</v>
      </c>
      <c r="F99" s="177" t="s">
        <v>265</v>
      </c>
    </row>
    <row r="100" spans="3:6" x14ac:dyDescent="0.25">
      <c r="C100" s="185" t="str">
        <f>'Berekening MJOP+LTP'!K229</f>
        <v>(Constructie) staal spoordek</v>
      </c>
      <c r="D100" s="180"/>
      <c r="E100" s="228">
        <f>'Berekening MJOP+LTP'!Q229</f>
        <v>3.0100000000000002</v>
      </c>
      <c r="F100" s="183" t="str">
        <f>'Berekening MJOP+LTP'!R229</f>
        <v>ton</v>
      </c>
    </row>
    <row r="101" spans="3:6" x14ac:dyDescent="0.25">
      <c r="C101" s="186" t="str">
        <f>'Berekening MJOP+LTP'!K230</f>
        <v>Beton spoordek</v>
      </c>
      <c r="D101" s="180"/>
      <c r="E101" s="57">
        <f>'Berekening MJOP+LTP'!Q230</f>
        <v>800</v>
      </c>
      <c r="F101" s="183" t="str">
        <f>'Berekening MJOP+LTP'!R230</f>
        <v>ton</v>
      </c>
    </row>
    <row r="102" spans="3:6" x14ac:dyDescent="0.25">
      <c r="C102" s="186" t="str">
        <f>'Berekening MJOP+LTP'!K231</f>
        <v>Betonstaal spoordek</v>
      </c>
      <c r="D102" s="180"/>
      <c r="E102" s="57">
        <f>'Berekening MJOP+LTP'!Q231</f>
        <v>400</v>
      </c>
      <c r="F102" s="183" t="str">
        <f>'Berekening MJOP+LTP'!R231</f>
        <v>ton</v>
      </c>
    </row>
    <row r="103" spans="3:6" x14ac:dyDescent="0.25">
      <c r="C103" s="186" t="str">
        <f>'Berekening MJOP+LTP'!K232</f>
        <v>Beton onderbouw</v>
      </c>
      <c r="D103" s="180"/>
      <c r="E103" s="57">
        <f>'Berekening MJOP+LTP'!Q232</f>
        <v>2415</v>
      </c>
      <c r="F103" s="183" t="str">
        <f>'Berekening MJOP+LTP'!R232</f>
        <v>ton</v>
      </c>
    </row>
    <row r="104" spans="3:6" x14ac:dyDescent="0.25">
      <c r="C104" s="186" t="str">
        <f>'Berekening MJOP+LTP'!K233</f>
        <v>Betonstaal onderbouw</v>
      </c>
      <c r="D104" s="180"/>
      <c r="E104" s="61">
        <f>'Berekening MJOP+LTP'!Q233</f>
        <v>483</v>
      </c>
      <c r="F104" s="183" t="str">
        <f>'Berekening MJOP+LTP'!R233</f>
        <v>ton</v>
      </c>
    </row>
    <row r="105" spans="3:6" x14ac:dyDescent="0.25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25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.75" thickBot="1" x14ac:dyDescent="0.3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N1" zoomScale="90" zoomScaleNormal="90" zoomScaleSheetLayoutView="90" workbookViewId="0">
      <pane ySplit="2" topLeftCell="A19" activePane="bottomLeft" state="frozen"/>
      <selection pane="bottomLeft" activeCell="Q230" sqref="Q230:Q233"/>
    </sheetView>
  </sheetViews>
  <sheetFormatPr defaultColWidth="8.85546875" defaultRowHeight="12" outlineLevelRow="2" outlineLevelCol="1" x14ac:dyDescent="0.2"/>
  <cols>
    <col min="1" max="1" width="4.42578125" style="1" bestFit="1" customWidth="1"/>
    <col min="2" max="5" width="6.28515625" style="1" customWidth="1"/>
    <col min="6" max="6" width="7.28515625" style="1" customWidth="1"/>
    <col min="7" max="7" width="10.7109375" style="1" customWidth="1"/>
    <col min="8" max="8" width="5" style="1" customWidth="1"/>
    <col min="9" max="9" width="5.7109375" style="1" customWidth="1"/>
    <col min="10" max="10" width="8.5703125" style="1" customWidth="1"/>
    <col min="11" max="11" width="13" style="1" customWidth="1"/>
    <col min="12" max="12" width="8.85546875" style="1" customWidth="1"/>
    <col min="13" max="13" width="7.140625" style="1" customWidth="1"/>
    <col min="14" max="14" width="45.5703125" style="1" customWidth="1"/>
    <col min="15" max="15" width="44" style="1" customWidth="1" outlineLevel="1"/>
    <col min="16" max="16" width="39.28515625" style="1" customWidth="1" outlineLevel="1"/>
    <col min="17" max="17" width="6.85546875" style="1" customWidth="1"/>
    <col min="18" max="18" width="7" style="1" customWidth="1"/>
    <col min="19" max="19" width="10.5703125" style="1" customWidth="1"/>
    <col min="20" max="20" width="9.28515625" style="1" customWidth="1"/>
    <col min="21" max="21" width="7.7109375" style="1" customWidth="1"/>
    <col min="22" max="22" width="8.85546875" style="1" customWidth="1"/>
    <col min="23" max="23" width="7.7109375" style="1" customWidth="1"/>
    <col min="24" max="24" width="4.28515625" style="1" customWidth="1"/>
    <col min="25" max="25" width="10.42578125" style="1" customWidth="1"/>
    <col min="26" max="26" width="6.5703125" style="1" customWidth="1"/>
    <col min="27" max="27" width="7.28515625" style="1" customWidth="1"/>
    <col min="28" max="28" width="3.42578125" style="1" customWidth="1"/>
    <col min="29" max="29" width="8.7109375" style="1" customWidth="1"/>
    <col min="30" max="30" width="3.7109375" style="1" customWidth="1"/>
    <col min="31" max="32" width="7.7109375" style="1" customWidth="1"/>
    <col min="33" max="33" width="8.28515625" style="1" customWidth="1"/>
    <col min="34" max="40" width="7.7109375" style="1" customWidth="1" outlineLevel="1"/>
    <col min="41" max="41" width="9.28515625" style="1" customWidth="1" outlineLevel="1"/>
    <col min="42" max="46" width="7.7109375" style="1" customWidth="1" outlineLevel="1"/>
    <col min="47" max="131" width="8.85546875" style="1" customWidth="1" outlineLevel="1"/>
    <col min="132" max="132" width="8.85546875" style="1" customWidth="1" outlineLevel="1" collapsed="1"/>
    <col min="133" max="133" width="8.85546875" style="1" customWidth="1" outlineLevel="1"/>
    <col min="134" max="134" width="8.85546875" style="1"/>
    <col min="135" max="236" width="8.85546875" style="1" customWidth="1" outlineLevel="1"/>
    <col min="237" max="16384" width="8.85546875" style="1"/>
  </cols>
  <sheetData>
    <row r="1" spans="2:236" ht="15" customHeight="1" x14ac:dyDescent="0.25">
      <c r="B1" s="3" t="s">
        <v>240</v>
      </c>
      <c r="C1" s="3" t="s">
        <v>241</v>
      </c>
      <c r="D1" s="3" t="s">
        <v>243</v>
      </c>
      <c r="E1" s="3" t="s">
        <v>238</v>
      </c>
      <c r="F1" s="3" t="s">
        <v>0</v>
      </c>
      <c r="G1" s="3"/>
      <c r="H1" s="3"/>
      <c r="I1" s="3" t="s">
        <v>235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284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">
      <c r="B2" s="3" t="s">
        <v>239</v>
      </c>
      <c r="C2" s="3" t="s">
        <v>244</v>
      </c>
      <c r="D2" s="3" t="s">
        <v>242</v>
      </c>
      <c r="E2" s="3" t="s">
        <v>237</v>
      </c>
      <c r="F2" s="3"/>
      <c r="G2" s="3"/>
      <c r="H2" s="3"/>
      <c r="I2" s="3" t="s">
        <v>236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285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.75" x14ac:dyDescent="0.3">
      <c r="B5" s="13" t="s">
        <v>12</v>
      </c>
      <c r="C5" s="3"/>
    </row>
    <row r="7" spans="2:236" ht="12.75" x14ac:dyDescent="0.2">
      <c r="B7" s="169" t="s">
        <v>14</v>
      </c>
      <c r="D7" s="1" t="s">
        <v>292</v>
      </c>
      <c r="K7" s="1" t="s">
        <v>19</v>
      </c>
    </row>
    <row r="8" spans="2:236" ht="12.75" x14ac:dyDescent="0.2">
      <c r="B8" s="170"/>
      <c r="D8" s="1" t="s">
        <v>41</v>
      </c>
      <c r="K8" s="1" t="s">
        <v>13</v>
      </c>
    </row>
    <row r="9" spans="2:236" ht="12.75" x14ac:dyDescent="0.2">
      <c r="B9" s="170"/>
      <c r="D9" s="1" t="s">
        <v>258</v>
      </c>
      <c r="K9" s="1" t="s">
        <v>25</v>
      </c>
    </row>
    <row r="10" spans="2:236" ht="12.75" x14ac:dyDescent="0.2">
      <c r="B10" s="170"/>
      <c r="D10" s="168" t="s">
        <v>261</v>
      </c>
      <c r="H10" s="171">
        <v>2.38</v>
      </c>
      <c r="I10" s="167">
        <v>2.38</v>
      </c>
    </row>
    <row r="11" spans="2:236" ht="12.75" x14ac:dyDescent="0.2">
      <c r="B11" s="170"/>
    </row>
    <row r="12" spans="2:236" ht="12.75" x14ac:dyDescent="0.2">
      <c r="B12" s="169" t="s">
        <v>15</v>
      </c>
      <c r="D12" s="1" t="s">
        <v>291</v>
      </c>
      <c r="K12" s="1" t="s">
        <v>18</v>
      </c>
    </row>
    <row r="13" spans="2:236" ht="12.75" x14ac:dyDescent="0.2">
      <c r="B13" s="170"/>
      <c r="D13" s="1" t="s">
        <v>16</v>
      </c>
      <c r="K13" s="1" t="s">
        <v>20</v>
      </c>
    </row>
    <row r="14" spans="2:236" ht="12.75" x14ac:dyDescent="0.2">
      <c r="B14" s="170"/>
      <c r="D14" s="1" t="s">
        <v>259</v>
      </c>
    </row>
    <row r="15" spans="2:236" ht="12.75" x14ac:dyDescent="0.2">
      <c r="B15" s="170"/>
      <c r="D15" s="168" t="s">
        <v>260</v>
      </c>
      <c r="E15" s="14"/>
      <c r="F15" s="14"/>
      <c r="G15" s="14"/>
      <c r="H15" s="166">
        <v>1.77</v>
      </c>
    </row>
    <row r="16" spans="2:236" ht="12.75" x14ac:dyDescent="0.2">
      <c r="B16" s="170"/>
    </row>
    <row r="17" spans="2:236" ht="12.75" x14ac:dyDescent="0.2">
      <c r="B17" s="169" t="s">
        <v>17</v>
      </c>
      <c r="D17" s="1" t="s">
        <v>293</v>
      </c>
      <c r="K17" s="1" t="s">
        <v>254</v>
      </c>
    </row>
    <row r="18" spans="2:236" ht="12.75" x14ac:dyDescent="0.2">
      <c r="B18" s="170"/>
      <c r="D18" s="1" t="s">
        <v>40</v>
      </c>
      <c r="K18" s="1" t="s">
        <v>255</v>
      </c>
    </row>
    <row r="19" spans="2:236" ht="12.75" x14ac:dyDescent="0.2">
      <c r="B19" s="170"/>
      <c r="D19" s="1" t="s">
        <v>259</v>
      </c>
      <c r="K19" s="1" t="s">
        <v>256</v>
      </c>
    </row>
    <row r="20" spans="2:236" ht="12.75" x14ac:dyDescent="0.2">
      <c r="B20" s="170"/>
      <c r="D20" s="168" t="s">
        <v>260</v>
      </c>
      <c r="H20" s="172">
        <v>1.77</v>
      </c>
      <c r="I20" s="167">
        <v>1.77</v>
      </c>
    </row>
    <row r="21" spans="2:236" x14ac:dyDescent="0.2">
      <c r="K21" s="25" t="s">
        <v>149</v>
      </c>
    </row>
    <row r="22" spans="2:236" x14ac:dyDescent="0.2">
      <c r="K22" s="25"/>
    </row>
    <row r="23" spans="2:236" ht="12.75" thickBot="1" x14ac:dyDescent="0.25"/>
    <row r="24" spans="2:236" ht="16.899999999999999" customHeight="1" thickBot="1" x14ac:dyDescent="0.25">
      <c r="B24" s="274" t="s">
        <v>257</v>
      </c>
      <c r="C24" s="275"/>
      <c r="D24" s="275"/>
      <c r="E24" s="275"/>
      <c r="F24" s="275"/>
      <c r="G24" s="275"/>
      <c r="H24" s="275"/>
      <c r="I24" s="276"/>
    </row>
    <row r="25" spans="2:236" x14ac:dyDescent="0.2">
      <c r="K25" s="5"/>
      <c r="L25" s="5"/>
      <c r="M25" s="5"/>
      <c r="N25" s="5"/>
      <c r="O25" s="5"/>
      <c r="P25" s="5"/>
      <c r="Q25" s="5"/>
      <c r="R25" s="5"/>
      <c r="S25" s="5"/>
    </row>
    <row r="26" spans="2:236" ht="18.75" x14ac:dyDescent="0.3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.75" x14ac:dyDescent="0.3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25">
      <c r="B28" s="3" t="s">
        <v>240</v>
      </c>
      <c r="C28" s="3" t="s">
        <v>241</v>
      </c>
      <c r="D28" s="3" t="s">
        <v>243</v>
      </c>
      <c r="E28" s="3" t="s">
        <v>238</v>
      </c>
      <c r="F28" s="3" t="s">
        <v>0</v>
      </c>
      <c r="G28" s="3"/>
      <c r="H28" s="3"/>
      <c r="I28" s="3" t="s">
        <v>235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284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">
      <c r="B29" s="3" t="s">
        <v>239</v>
      </c>
      <c r="C29" s="3" t="s">
        <v>244</v>
      </c>
      <c r="D29" s="3" t="s">
        <v>242</v>
      </c>
      <c r="E29" s="3" t="s">
        <v>237</v>
      </c>
      <c r="F29" s="3"/>
      <c r="G29" s="3"/>
      <c r="H29" s="3"/>
      <c r="I29" s="3" t="s">
        <v>236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285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287</v>
      </c>
      <c r="K31" s="1" t="s">
        <v>288</v>
      </c>
      <c r="O31" s="1" t="s">
        <v>297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281</v>
      </c>
      <c r="K32" s="1" t="s">
        <v>151</v>
      </c>
      <c r="O32" s="1" t="s">
        <v>297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">
      <c r="B33" s="2" t="s">
        <v>296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">
      <c r="B35" s="1">
        <v>2</v>
      </c>
      <c r="C35" s="1" t="s">
        <v>112</v>
      </c>
      <c r="D35" s="1" t="s">
        <v>112</v>
      </c>
      <c r="E35" s="1" t="s">
        <v>112</v>
      </c>
      <c r="F35" s="1" t="s">
        <v>290</v>
      </c>
      <c r="I35" s="1" t="s">
        <v>289</v>
      </c>
      <c r="K35" s="1" t="s">
        <v>295</v>
      </c>
      <c r="O35" s="1" t="s">
        <v>298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">
      <c r="B36" s="2" t="s">
        <v>294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">
      <c r="B38" s="76">
        <v>2</v>
      </c>
      <c r="C38" s="76" t="s">
        <v>309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">
      <c r="B39" s="76">
        <v>1</v>
      </c>
      <c r="C39" s="76" t="s">
        <v>309</v>
      </c>
      <c r="D39" s="78">
        <v>2</v>
      </c>
      <c r="E39" s="76" t="s">
        <v>309</v>
      </c>
      <c r="F39" s="76" t="s">
        <v>310</v>
      </c>
      <c r="G39" s="76"/>
      <c r="H39" s="76"/>
      <c r="I39" s="76" t="s">
        <v>48</v>
      </c>
      <c r="J39" s="76"/>
      <c r="K39" s="76" t="s">
        <v>311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10085</v>
      </c>
      <c r="T39" s="9">
        <f t="shared" si="4"/>
        <v>10085</v>
      </c>
      <c r="U39" s="11">
        <v>1</v>
      </c>
      <c r="V39" s="14"/>
      <c r="W39" s="9">
        <f>Voorblad!K52</f>
        <v>2020</v>
      </c>
      <c r="Y39" s="9">
        <f t="shared" ref="Y39:Y45" si="5">SUM(AE39:EB39)</f>
        <v>9599.0481856038077</v>
      </c>
      <c r="Z39" s="82"/>
      <c r="AA39" s="82"/>
      <c r="AC39" s="9">
        <f>$Y39*(Voorblad!$K$44*(1+Voorblad!$K$44)^Voorblad!$K$37)/((1+Voorblad!$K$44)^Voorblad!$K$37-1)</f>
        <v>1096.7753733648665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9599.0481856038077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">
      <c r="B40" s="76">
        <v>2</v>
      </c>
      <c r="C40" s="76" t="s">
        <v>309</v>
      </c>
      <c r="D40" s="76">
        <v>3</v>
      </c>
      <c r="E40" s="76" t="s">
        <v>22</v>
      </c>
      <c r="F40" s="76" t="s">
        <v>21</v>
      </c>
      <c r="G40" s="76"/>
      <c r="H40" s="76"/>
      <c r="I40" s="76" t="s">
        <v>47</v>
      </c>
      <c r="J40" s="76"/>
      <c r="K40" s="79" t="s">
        <v>312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5000</v>
      </c>
      <c r="T40" s="9">
        <f t="shared" si="4"/>
        <v>5000</v>
      </c>
      <c r="U40" s="11">
        <v>1</v>
      </c>
      <c r="V40" s="14"/>
      <c r="W40" s="9">
        <f>Voorblad!K53</f>
        <v>2020</v>
      </c>
      <c r="Y40" s="9">
        <f t="shared" si="5"/>
        <v>4759.0719809637121</v>
      </c>
      <c r="Z40" s="82"/>
      <c r="AA40" s="82"/>
      <c r="AC40" s="9">
        <f>$Y40*(Voorblad!$K$44*(1+Voorblad!$K$44)^Voorblad!$K$37)/((1+Voorblad!$K$44)^Voorblad!$K$37-1)</f>
        <v>543.76567841589804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4759.0719809637121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231</v>
      </c>
      <c r="P46" s="14" t="s">
        <v>282</v>
      </c>
      <c r="Q46" s="83">
        <f>35*19.5</f>
        <v>682.5</v>
      </c>
      <c r="R46" s="81" t="s">
        <v>35</v>
      </c>
      <c r="S46" s="81">
        <v>11920</v>
      </c>
      <c r="T46" s="9">
        <f t="shared" si="4"/>
        <v>8135400</v>
      </c>
      <c r="U46" s="11">
        <v>1</v>
      </c>
      <c r="V46" s="1">
        <f>Voorblad!F24+100</f>
        <v>2067</v>
      </c>
      <c r="W46" s="9">
        <f>Voorblad!K59</f>
        <v>2067</v>
      </c>
      <c r="X46" s="6"/>
      <c r="Y46" s="9">
        <f>SUM(AE46:EB46)</f>
        <v>0</v>
      </c>
      <c r="Z46" s="82" t="s">
        <v>145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">
      <c r="B47" s="2" t="s">
        <v>272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.75" x14ac:dyDescent="0.3">
      <c r="B50" s="17" t="s">
        <v>253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75" thickBot="1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899999999999999" customHeight="1" thickBot="1" x14ac:dyDescent="0.3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25">
      <c r="B54" s="3" t="s">
        <v>240</v>
      </c>
      <c r="C54" s="3"/>
      <c r="D54" s="3"/>
      <c r="E54" s="3"/>
      <c r="F54" s="3" t="s">
        <v>0</v>
      </c>
      <c r="G54" s="3"/>
      <c r="H54" s="3"/>
      <c r="I54" s="3" t="s">
        <v>235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284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">
      <c r="B55" s="3" t="s">
        <v>239</v>
      </c>
      <c r="I55" s="3" t="s">
        <v>236</v>
      </c>
      <c r="O55" s="14"/>
      <c r="P55" s="14"/>
      <c r="V55" s="3" t="s">
        <v>70</v>
      </c>
      <c r="AC55" s="20" t="s">
        <v>285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25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">
      <c r="B58" s="1">
        <v>3</v>
      </c>
      <c r="F58" s="1" t="s">
        <v>23</v>
      </c>
      <c r="I58" s="1" t="s">
        <v>280</v>
      </c>
      <c r="K58" s="1" t="s">
        <v>288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">
      <c r="B59" s="1">
        <v>3</v>
      </c>
      <c r="F59" s="1" t="s">
        <v>23</v>
      </c>
      <c r="I59" s="1" t="s">
        <v>281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">
      <c r="B60" s="1">
        <v>3</v>
      </c>
      <c r="F60" s="1" t="s">
        <v>23</v>
      </c>
      <c r="I60" s="1" t="s">
        <v>281</v>
      </c>
      <c r="K60" s="1" t="s">
        <v>154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">
      <c r="B61" s="1">
        <v>3</v>
      </c>
      <c r="F61" s="1" t="s">
        <v>23</v>
      </c>
      <c r="I61" s="1" t="s">
        <v>281</v>
      </c>
      <c r="K61" s="1" t="s">
        <v>147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">
      <c r="B62" s="1">
        <v>3</v>
      </c>
      <c r="F62" s="1" t="s">
        <v>23</v>
      </c>
      <c r="I62" s="1" t="s">
        <v>281</v>
      </c>
      <c r="K62" s="14" t="s">
        <v>166</v>
      </c>
      <c r="L62" s="14"/>
      <c r="M62" s="14"/>
      <c r="N62" s="3"/>
      <c r="P62" s="1" t="s">
        <v>186</v>
      </c>
      <c r="Q62" s="81">
        <v>0</v>
      </c>
      <c r="R62" s="147" t="s">
        <v>198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">
      <c r="B63" s="1">
        <v>3</v>
      </c>
      <c r="F63" s="1" t="s">
        <v>23</v>
      </c>
      <c r="I63" s="1" t="s">
        <v>281</v>
      </c>
      <c r="K63" s="14" t="s">
        <v>170</v>
      </c>
      <c r="L63" s="14"/>
      <c r="M63" s="14"/>
      <c r="N63" s="3"/>
      <c r="O63" s="1" t="s">
        <v>172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">
      <c r="B64" s="1">
        <v>3</v>
      </c>
      <c r="F64" s="1" t="s">
        <v>23</v>
      </c>
      <c r="I64" s="1" t="s">
        <v>281</v>
      </c>
      <c r="K64" s="14" t="s">
        <v>205</v>
      </c>
      <c r="L64" s="14"/>
      <c r="M64" s="14"/>
      <c r="N64" s="3"/>
      <c r="O64" s="1" t="s">
        <v>173</v>
      </c>
      <c r="P64" s="1" t="s">
        <v>176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">
      <c r="B65" s="1">
        <v>3</v>
      </c>
      <c r="F65" s="1" t="s">
        <v>23</v>
      </c>
      <c r="I65" s="1" t="s">
        <v>281</v>
      </c>
      <c r="K65" s="14" t="s">
        <v>171</v>
      </c>
      <c r="L65" s="14"/>
      <c r="M65" s="14"/>
      <c r="N65" s="3"/>
      <c r="O65" s="1" t="s">
        <v>174</v>
      </c>
      <c r="P65" s="1" t="s">
        <v>177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">
      <c r="B66" s="1">
        <v>3</v>
      </c>
      <c r="F66" s="1" t="s">
        <v>23</v>
      </c>
      <c r="I66" s="1" t="s">
        <v>281</v>
      </c>
      <c r="K66" s="14" t="s">
        <v>169</v>
      </c>
      <c r="L66" s="14"/>
      <c r="M66" s="14"/>
      <c r="N66" s="3"/>
      <c r="O66" s="1" t="s">
        <v>174</v>
      </c>
      <c r="P66" s="1" t="s">
        <v>177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">
      <c r="B67" s="1">
        <v>3</v>
      </c>
      <c r="F67" s="1" t="s">
        <v>23</v>
      </c>
      <c r="I67" s="1" t="s">
        <v>281</v>
      </c>
      <c r="K67" s="14" t="s">
        <v>191</v>
      </c>
      <c r="L67" s="14"/>
      <c r="M67" s="14"/>
      <c r="N67" s="3"/>
      <c r="O67" s="1" t="s">
        <v>175</v>
      </c>
      <c r="P67" s="1" t="s">
        <v>178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">
      <c r="B68" s="1">
        <v>3</v>
      </c>
      <c r="F68" s="1" t="s">
        <v>23</v>
      </c>
      <c r="I68" s="1" t="s">
        <v>281</v>
      </c>
      <c r="K68" s="14" t="s">
        <v>95</v>
      </c>
      <c r="L68" s="14"/>
      <c r="M68" s="14"/>
      <c r="N68" s="3"/>
      <c r="O68" s="1" t="s">
        <v>180</v>
      </c>
      <c r="P68" s="1" t="s">
        <v>179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">
      <c r="B69" s="1">
        <v>3</v>
      </c>
      <c r="F69" s="1" t="s">
        <v>23</v>
      </c>
      <c r="I69" s="1" t="s">
        <v>281</v>
      </c>
      <c r="K69" s="14" t="s">
        <v>53</v>
      </c>
      <c r="L69" s="14"/>
      <c r="M69" s="14"/>
      <c r="N69" s="3"/>
      <c r="O69" s="1" t="s">
        <v>180</v>
      </c>
      <c r="P69" s="1" t="s">
        <v>181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">
      <c r="B70" s="1">
        <v>3</v>
      </c>
      <c r="F70" s="1" t="s">
        <v>23</v>
      </c>
      <c r="I70" s="1" t="s">
        <v>281</v>
      </c>
      <c r="K70" s="14" t="s">
        <v>193</v>
      </c>
      <c r="L70" s="14"/>
      <c r="M70" s="14"/>
      <c r="N70" s="3"/>
      <c r="O70" s="1" t="s">
        <v>180</v>
      </c>
      <c r="P70" s="1" t="s">
        <v>182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">
      <c r="B71" s="1">
        <v>3</v>
      </c>
      <c r="F71" s="1" t="s">
        <v>23</v>
      </c>
      <c r="I71" s="1" t="s">
        <v>281</v>
      </c>
      <c r="K71" s="14" t="s">
        <v>156</v>
      </c>
      <c r="L71" s="14"/>
      <c r="M71" s="14"/>
      <c r="N71" s="3"/>
      <c r="O71" s="1" t="s">
        <v>180</v>
      </c>
      <c r="P71" s="1" t="s">
        <v>183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">
      <c r="B72" s="1">
        <v>3</v>
      </c>
      <c r="F72" s="1" t="s">
        <v>23</v>
      </c>
      <c r="I72" s="1" t="s">
        <v>281</v>
      </c>
      <c r="K72" s="14" t="s">
        <v>167</v>
      </c>
      <c r="L72" s="14"/>
      <c r="M72" s="14"/>
      <c r="N72" s="3"/>
      <c r="O72" s="1" t="s">
        <v>180</v>
      </c>
      <c r="P72" s="1" t="s">
        <v>184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">
      <c r="B73" s="1">
        <v>3</v>
      </c>
      <c r="F73" s="1" t="s">
        <v>23</v>
      </c>
      <c r="I73" s="1" t="s">
        <v>281</v>
      </c>
      <c r="K73" s="14" t="s">
        <v>168</v>
      </c>
      <c r="L73" s="14"/>
      <c r="M73" s="14"/>
      <c r="N73" s="3"/>
      <c r="O73" s="1" t="s">
        <v>180</v>
      </c>
      <c r="P73" s="1" t="s">
        <v>185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">
      <c r="B74" s="2" t="s">
        <v>273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">
      <c r="J75" s="150" t="s">
        <v>148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">
      <c r="B76" s="1">
        <v>1</v>
      </c>
      <c r="F76" s="1" t="s">
        <v>23</v>
      </c>
      <c r="I76" s="1" t="s">
        <v>195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">
      <c r="B77" s="1">
        <v>1</v>
      </c>
      <c r="F77" s="1" t="s">
        <v>23</v>
      </c>
      <c r="I77" s="1" t="s">
        <v>195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">
      <c r="B78" s="1">
        <v>1</v>
      </c>
      <c r="F78" s="1" t="s">
        <v>23</v>
      </c>
      <c r="I78" s="1" t="s">
        <v>195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">
      <c r="B79" s="1">
        <v>1</v>
      </c>
      <c r="F79" s="1" t="s">
        <v>23</v>
      </c>
      <c r="I79" s="1" t="s">
        <v>195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">
      <c r="B80" s="1">
        <v>1</v>
      </c>
      <c r="F80" s="1" t="s">
        <v>23</v>
      </c>
      <c r="I80" s="1" t="s">
        <v>195</v>
      </c>
      <c r="K80" s="1" t="s">
        <v>59</v>
      </c>
      <c r="N80" s="3"/>
      <c r="O80" s="1" t="s">
        <v>189</v>
      </c>
      <c r="P80" s="1" t="s">
        <v>179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">
      <c r="B81" s="1">
        <v>1</v>
      </c>
      <c r="F81" s="1" t="s">
        <v>23</v>
      </c>
      <c r="I81" s="1" t="s">
        <v>195</v>
      </c>
      <c r="K81" s="1" t="s">
        <v>50</v>
      </c>
      <c r="N81" s="3"/>
      <c r="O81" s="1" t="s">
        <v>189</v>
      </c>
      <c r="P81" s="1" t="s">
        <v>181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">
      <c r="B82" s="1">
        <v>1</v>
      </c>
      <c r="F82" s="1" t="s">
        <v>23</v>
      </c>
      <c r="I82" s="1" t="s">
        <v>195</v>
      </c>
      <c r="K82" s="14" t="s">
        <v>192</v>
      </c>
      <c r="N82" s="3"/>
      <c r="O82" s="1" t="s">
        <v>189</v>
      </c>
      <c r="P82" s="1" t="s">
        <v>182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">
      <c r="B83" s="1">
        <v>1</v>
      </c>
      <c r="F83" s="1" t="s">
        <v>23</v>
      </c>
      <c r="I83" s="1" t="s">
        <v>195</v>
      </c>
      <c r="K83" s="14" t="s">
        <v>157</v>
      </c>
      <c r="N83" s="3"/>
      <c r="O83" s="1" t="s">
        <v>189</v>
      </c>
      <c r="P83" s="1" t="s">
        <v>183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">
      <c r="B84" s="1">
        <v>1</v>
      </c>
      <c r="F84" s="1" t="s">
        <v>23</v>
      </c>
      <c r="I84" s="1" t="s">
        <v>195</v>
      </c>
      <c r="K84" s="14" t="s">
        <v>187</v>
      </c>
      <c r="N84" s="3"/>
      <c r="O84" s="1" t="s">
        <v>189</v>
      </c>
      <c r="P84" s="1" t="s">
        <v>184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">
      <c r="B85" s="1">
        <v>1</v>
      </c>
      <c r="F85" s="1" t="s">
        <v>23</v>
      </c>
      <c r="I85" s="1" t="s">
        <v>195</v>
      </c>
      <c r="K85" s="14" t="s">
        <v>188</v>
      </c>
      <c r="N85" s="3"/>
      <c r="O85" s="1" t="s">
        <v>189</v>
      </c>
      <c r="P85" s="1" t="s">
        <v>185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">
      <c r="B86" s="1">
        <v>1</v>
      </c>
      <c r="F86" s="1" t="s">
        <v>23</v>
      </c>
      <c r="I86" s="1" t="s">
        <v>49</v>
      </c>
      <c r="K86" s="14" t="s">
        <v>204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">
      <c r="B87" s="1">
        <v>1</v>
      </c>
      <c r="F87" s="1" t="s">
        <v>23</v>
      </c>
      <c r="I87" s="1" t="s">
        <v>49</v>
      </c>
      <c r="K87" s="14" t="s">
        <v>162</v>
      </c>
      <c r="N87" s="3"/>
      <c r="P87" s="14" t="s">
        <v>196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">
      <c r="B88" s="1">
        <v>1</v>
      </c>
      <c r="F88" s="1" t="s">
        <v>23</v>
      </c>
      <c r="I88" s="1" t="s">
        <v>49</v>
      </c>
      <c r="K88" s="14" t="s">
        <v>190</v>
      </c>
      <c r="N88" s="3"/>
      <c r="P88" s="14" t="s">
        <v>196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">
      <c r="B89" s="1">
        <v>1</v>
      </c>
      <c r="F89" s="1" t="s">
        <v>23</v>
      </c>
      <c r="I89" s="1" t="s">
        <v>49</v>
      </c>
      <c r="K89" s="14" t="s">
        <v>194</v>
      </c>
      <c r="N89" s="3"/>
      <c r="P89" s="14" t="s">
        <v>196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">
      <c r="B94" s="1">
        <v>1</v>
      </c>
      <c r="F94" s="1" t="s">
        <v>23</v>
      </c>
      <c r="I94" s="1" t="s">
        <v>48</v>
      </c>
      <c r="K94" s="148" t="s">
        <v>197</v>
      </c>
      <c r="N94" s="3"/>
      <c r="Q94" s="81">
        <v>0</v>
      </c>
      <c r="R94" s="147" t="s">
        <v>198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">
      <c r="B95" s="2" t="s">
        <v>274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2067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">
      <c r="B99" s="14">
        <v>1</v>
      </c>
      <c r="C99" s="14"/>
      <c r="F99" s="1" t="s">
        <v>55</v>
      </c>
      <c r="I99" s="1" t="s">
        <v>67</v>
      </c>
      <c r="K99" s="14" t="s">
        <v>155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">
      <c r="B100" s="14">
        <v>1</v>
      </c>
      <c r="C100" s="14"/>
      <c r="F100" s="1" t="s">
        <v>55</v>
      </c>
      <c r="I100" s="1" t="s">
        <v>67</v>
      </c>
      <c r="K100" s="14" t="s">
        <v>158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">
      <c r="B101" s="14">
        <v>1</v>
      </c>
      <c r="C101" s="14"/>
      <c r="F101" s="1" t="s">
        <v>55</v>
      </c>
      <c r="I101" s="1" t="s">
        <v>67</v>
      </c>
      <c r="K101" s="14" t="s">
        <v>159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">
      <c r="B105" s="2" t="s">
        <v>275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25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">
      <c r="B109" s="1">
        <v>3</v>
      </c>
      <c r="F109" s="1" t="s">
        <v>23</v>
      </c>
      <c r="I109" s="1" t="s">
        <v>280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3896.9147740915828</v>
      </c>
      <c r="Z109" s="82"/>
      <c r="AA109" s="82"/>
      <c r="AC109" s="9">
        <f>$Y109*(Voorblad!$K$44*(1+Voorblad!$K$44)^Voorblad!$K$41)/((1+Voorblad!$K$44)^Voorblad!$K$41-1)</f>
        <v>157.57624344358095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">
      <c r="B110" s="1">
        <v>3</v>
      </c>
      <c r="F110" s="1" t="s">
        <v>23</v>
      </c>
      <c r="I110" s="1" t="s">
        <v>281</v>
      </c>
      <c r="K110" s="1" t="s">
        <v>114</v>
      </c>
      <c r="O110" s="1" t="s">
        <v>228</v>
      </c>
      <c r="P110" s="14" t="s">
        <v>229</v>
      </c>
      <c r="Q110" s="83">
        <f>50%*((2*35*19.5)+(2*(35+19.5)*1))</f>
        <v>737</v>
      </c>
      <c r="R110" s="1" t="s">
        <v>35</v>
      </c>
      <c r="S110" s="21">
        <f>$H$20*15</f>
        <v>26.55</v>
      </c>
      <c r="T110" s="9">
        <f t="shared" si="20"/>
        <v>19567.350000000002</v>
      </c>
      <c r="U110" s="14">
        <v>10</v>
      </c>
      <c r="V110" s="14"/>
      <c r="Y110" s="9">
        <f t="shared" si="21"/>
        <v>36555.958660632517</v>
      </c>
      <c r="Z110" s="82"/>
      <c r="AA110" s="82"/>
      <c r="AC110" s="9">
        <f>$Y110*(Voorblad!$K$44*(1+Voorblad!$K$44)^Voorblad!$K$41)/((1+Voorblad!$K$44)^Voorblad!$K$41-1)</f>
        <v>1478.1823506941123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15285.982546007908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11941.385133748736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9328.5909808758697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">
      <c r="B111" s="1">
        <v>3</v>
      </c>
      <c r="F111" s="1" t="s">
        <v>23</v>
      </c>
      <c r="I111" s="1" t="s">
        <v>281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">
      <c r="B112" s="1">
        <v>3</v>
      </c>
      <c r="F112" s="1" t="s">
        <v>23</v>
      </c>
      <c r="I112" s="1" t="s">
        <v>281</v>
      </c>
      <c r="K112" s="1" t="s">
        <v>147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">
      <c r="B113" s="1">
        <v>3</v>
      </c>
      <c r="F113" s="1" t="s">
        <v>23</v>
      </c>
      <c r="I113" s="1" t="s">
        <v>281</v>
      </c>
      <c r="K113" s="1" t="s">
        <v>161</v>
      </c>
      <c r="P113" s="1" t="s">
        <v>186</v>
      </c>
      <c r="Q113" s="83">
        <f>3*35</f>
        <v>105</v>
      </c>
      <c r="R113" s="147" t="s">
        <v>198</v>
      </c>
      <c r="S113" s="21">
        <f>$H$20*350</f>
        <v>619.5</v>
      </c>
      <c r="T113" s="9">
        <f t="shared" si="20"/>
        <v>65047.5</v>
      </c>
      <c r="U113" s="14">
        <v>15</v>
      </c>
      <c r="V113" s="14"/>
      <c r="Y113" s="9">
        <f>SUM(AE113:EB113)</f>
        <v>75923.978122793138</v>
      </c>
      <c r="Z113" s="82"/>
      <c r="AA113" s="82"/>
      <c r="AC113" s="9">
        <f>$Y113*(Voorblad!$K$44*(1+Voorblad!$K$44)^Voorblad!$K$41)/((1+Voorblad!$K$44)^Voorblad!$K$41-1)</f>
        <v>3070.0736232219174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44913.058308483931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31010.9198143092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">
      <c r="B114" s="1">
        <v>3</v>
      </c>
      <c r="F114" s="1" t="s">
        <v>23</v>
      </c>
      <c r="I114" s="1" t="s">
        <v>281</v>
      </c>
      <c r="K114" s="14" t="s">
        <v>170</v>
      </c>
      <c r="L114" s="14"/>
      <c r="M114" s="14"/>
      <c r="O114" s="1" t="s">
        <v>172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">
      <c r="B115" s="14">
        <v>3</v>
      </c>
      <c r="F115" s="14" t="s">
        <v>23</v>
      </c>
      <c r="I115" s="1" t="s">
        <v>281</v>
      </c>
      <c r="K115" s="14" t="s">
        <v>164</v>
      </c>
      <c r="O115" s="14" t="s">
        <v>160</v>
      </c>
      <c r="P115" s="14" t="s">
        <v>201</v>
      </c>
      <c r="Q115" s="84">
        <f>2.5%*2*43</f>
        <v>2.15</v>
      </c>
      <c r="R115" s="14" t="s">
        <v>34</v>
      </c>
      <c r="S115" s="21">
        <f>$H$20*1000</f>
        <v>1770</v>
      </c>
      <c r="T115" s="21">
        <f t="shared" si="20"/>
        <v>3805.5</v>
      </c>
      <c r="U115" s="14">
        <v>15</v>
      </c>
      <c r="Y115" s="21">
        <f t="shared" si="22"/>
        <v>4441.8109650069446</v>
      </c>
      <c r="Z115" s="149"/>
      <c r="AA115" s="149"/>
      <c r="AC115" s="9">
        <f>$Y115*(Voorblad!$K$44*(1+Voorblad!$K$44)^Voorblad!$K$41)/((1+Voorblad!$K$44)^Voorblad!$K$41-1)</f>
        <v>179.60974938577203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2627.5666765507603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1814.2442884561844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">
      <c r="B116" s="1">
        <v>3</v>
      </c>
      <c r="F116" s="1" t="s">
        <v>23</v>
      </c>
      <c r="I116" s="1" t="s">
        <v>281</v>
      </c>
      <c r="K116" s="14" t="s">
        <v>199</v>
      </c>
      <c r="L116" s="14"/>
      <c r="M116" s="14"/>
      <c r="O116" s="1" t="s">
        <v>173</v>
      </c>
      <c r="P116" s="1" t="s">
        <v>176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">
      <c r="B117" s="1">
        <v>3</v>
      </c>
      <c r="F117" s="1" t="s">
        <v>23</v>
      </c>
      <c r="I117" s="1" t="s">
        <v>281</v>
      </c>
      <c r="K117" s="14" t="s">
        <v>200</v>
      </c>
      <c r="L117" s="14"/>
      <c r="M117" s="14"/>
      <c r="O117" s="1" t="s">
        <v>174</v>
      </c>
      <c r="P117" s="1" t="s">
        <v>177</v>
      </c>
      <c r="Q117" s="84">
        <f>2.5%*2*43</f>
        <v>2.15</v>
      </c>
      <c r="R117" s="1" t="s">
        <v>34</v>
      </c>
      <c r="S117" s="14">
        <f>$H$20*500</f>
        <v>885</v>
      </c>
      <c r="T117" s="9">
        <f t="shared" si="20"/>
        <v>1902.75</v>
      </c>
      <c r="U117" s="14">
        <v>15</v>
      </c>
      <c r="V117" s="14"/>
      <c r="Y117" s="9">
        <f t="shared" si="22"/>
        <v>2220.9054825034723</v>
      </c>
      <c r="Z117" s="82"/>
      <c r="AA117" s="82"/>
      <c r="AC117" s="9">
        <f>$Y117*(Voorblad!$K$44*(1+Voorblad!$K$44)^Voorblad!$K$41)/((1+Voorblad!$K$44)^Voorblad!$K$41-1)</f>
        <v>89.804874692886017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1313.7833382753802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907.12214422809222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">
      <c r="B118" s="1">
        <v>3</v>
      </c>
      <c r="F118" s="1" t="s">
        <v>23</v>
      </c>
      <c r="I118" s="1" t="s">
        <v>281</v>
      </c>
      <c r="K118" s="14" t="s">
        <v>213</v>
      </c>
      <c r="L118" s="14"/>
      <c r="M118" s="14"/>
      <c r="O118" s="1" t="s">
        <v>174</v>
      </c>
      <c r="P118" s="1" t="s">
        <v>177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">
      <c r="B119" s="1">
        <v>3</v>
      </c>
      <c r="F119" s="1" t="s">
        <v>23</v>
      </c>
      <c r="I119" s="1" t="s">
        <v>281</v>
      </c>
      <c r="K119" s="14" t="s">
        <v>191</v>
      </c>
      <c r="L119" s="14"/>
      <c r="M119" s="14"/>
      <c r="O119" s="1" t="s">
        <v>175</v>
      </c>
      <c r="P119" s="1" t="s">
        <v>178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">
      <c r="B120" s="1">
        <v>3</v>
      </c>
      <c r="F120" s="1" t="s">
        <v>23</v>
      </c>
      <c r="I120" s="1" t="s">
        <v>281</v>
      </c>
      <c r="K120" s="1" t="s">
        <v>208</v>
      </c>
      <c r="O120" s="1" t="s">
        <v>180</v>
      </c>
      <c r="P120" s="1" t="s">
        <v>181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">
      <c r="B121" s="1">
        <v>3</v>
      </c>
      <c r="F121" s="1" t="s">
        <v>23</v>
      </c>
      <c r="I121" s="1" t="s">
        <v>281</v>
      </c>
      <c r="K121" s="14" t="s">
        <v>207</v>
      </c>
      <c r="L121" s="14"/>
      <c r="M121" s="14"/>
      <c r="O121" s="1" t="s">
        <v>180</v>
      </c>
      <c r="P121" s="1" t="s">
        <v>182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">
      <c r="B122" s="1">
        <v>3</v>
      </c>
      <c r="F122" s="1" t="s">
        <v>23</v>
      </c>
      <c r="I122" s="1" t="s">
        <v>281</v>
      </c>
      <c r="K122" s="14" t="s">
        <v>203</v>
      </c>
      <c r="L122" s="14"/>
      <c r="M122" s="14"/>
      <c r="O122" s="1" t="s">
        <v>180</v>
      </c>
      <c r="P122" s="1" t="s">
        <v>183</v>
      </c>
      <c r="Q122" s="83">
        <f>2*43</f>
        <v>86</v>
      </c>
      <c r="R122" s="1" t="s">
        <v>34</v>
      </c>
      <c r="S122" s="14">
        <f>$H$20*100</f>
        <v>177</v>
      </c>
      <c r="T122" s="1">
        <f t="shared" si="20"/>
        <v>15222</v>
      </c>
      <c r="U122" s="14">
        <v>15</v>
      </c>
      <c r="V122" s="14"/>
      <c r="Y122" s="9">
        <f t="shared" si="23"/>
        <v>17767.243860027778</v>
      </c>
      <c r="Z122" s="82"/>
      <c r="AA122" s="82"/>
      <c r="AC122" s="9">
        <f>$Y122*(Voorblad!$K$44*(1+Voorblad!$K$44)^Voorblad!$K$41)/((1+Voorblad!$K$44)^Voorblad!$K$41-1)</f>
        <v>718.43899754308813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10510.266706203041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7256.9771538247378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">
      <c r="B123" s="1">
        <v>3</v>
      </c>
      <c r="F123" s="1" t="s">
        <v>23</v>
      </c>
      <c r="I123" s="1" t="s">
        <v>281</v>
      </c>
      <c r="K123" s="14" t="s">
        <v>202</v>
      </c>
      <c r="L123" s="14"/>
      <c r="M123" s="14"/>
      <c r="O123" s="1" t="s">
        <v>180</v>
      </c>
      <c r="P123" s="1" t="s">
        <v>184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">
      <c r="B124" s="1">
        <v>3</v>
      </c>
      <c r="F124" s="1" t="s">
        <v>23</v>
      </c>
      <c r="I124" s="1" t="s">
        <v>281</v>
      </c>
      <c r="K124" s="14" t="s">
        <v>209</v>
      </c>
      <c r="L124" s="14"/>
      <c r="M124" s="14"/>
      <c r="O124" s="1" t="s">
        <v>180</v>
      </c>
      <c r="P124" s="1" t="s">
        <v>185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">
      <c r="B125" s="2" t="s">
        <v>273</v>
      </c>
      <c r="C125" s="2"/>
      <c r="S125" s="14"/>
      <c r="U125" s="14"/>
      <c r="V125" s="14"/>
      <c r="Y125" s="23">
        <f>SUM(Y109:Y124)</f>
        <v>140806.81186505541</v>
      </c>
      <c r="Z125" s="24"/>
      <c r="AA125" s="23">
        <f>SUM(AA109:AA124)</f>
        <v>0</v>
      </c>
      <c r="AC125" s="9">
        <f>$Y125*(Voorblad!$K$44*(1+Voorblad!$K$44)^Voorblad!$K$41)/((1+Voorblad!$K$44)^Voorblad!$K$41-1)</f>
        <v>5693.685838981356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15977.343131535177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59975.737047315619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12481.474918178801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50739.77165807924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">
      <c r="J126" s="150" t="s">
        <v>148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">
      <c r="B131" s="1">
        <v>1</v>
      </c>
      <c r="F131" s="1" t="s">
        <v>23</v>
      </c>
      <c r="I131" s="1" t="s">
        <v>195</v>
      </c>
      <c r="K131" s="1" t="s">
        <v>214</v>
      </c>
      <c r="O131" s="1" t="s">
        <v>189</v>
      </c>
      <c r="P131" s="1" t="s">
        <v>181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">
      <c r="B132" s="1">
        <v>1</v>
      </c>
      <c r="F132" s="1" t="s">
        <v>23</v>
      </c>
      <c r="I132" s="1" t="s">
        <v>195</v>
      </c>
      <c r="K132" s="14" t="s">
        <v>215</v>
      </c>
      <c r="O132" s="1" t="s">
        <v>189</v>
      </c>
      <c r="P132" s="1" t="s">
        <v>182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">
      <c r="B133" s="1">
        <v>1</v>
      </c>
      <c r="F133" s="1" t="s">
        <v>23</v>
      </c>
      <c r="I133" s="1" t="s">
        <v>195</v>
      </c>
      <c r="K133" s="1" t="s">
        <v>211</v>
      </c>
      <c r="O133" s="1" t="s">
        <v>189</v>
      </c>
      <c r="P133" s="1" t="s">
        <v>183</v>
      </c>
      <c r="Q133" s="81">
        <f>2*43</f>
        <v>86</v>
      </c>
      <c r="R133" s="1" t="s">
        <v>34</v>
      </c>
      <c r="S133" s="21">
        <f>$H$10*125</f>
        <v>297.5</v>
      </c>
      <c r="T133" s="9">
        <f t="shared" si="104"/>
        <v>25585</v>
      </c>
      <c r="U133" s="14">
        <v>30</v>
      </c>
      <c r="V133" s="14"/>
      <c r="Y133" s="9">
        <f t="shared" si="21"/>
        <v>12197.461600355138</v>
      </c>
      <c r="Z133" s="82"/>
      <c r="AA133" s="82"/>
      <c r="AC133" s="9">
        <f>$Y133*(Voorblad!$K$44*(1+Voorblad!$K$44)^Voorblad!$K$41)/((1+Voorblad!$K$44)^Voorblad!$K$41-1)</f>
        <v>493.21842789834682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12197.461600355138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">
      <c r="B134" s="1">
        <v>1</v>
      </c>
      <c r="F134" s="1" t="s">
        <v>23</v>
      </c>
      <c r="I134" s="1" t="s">
        <v>195</v>
      </c>
      <c r="K134" s="14" t="s">
        <v>212</v>
      </c>
      <c r="O134" s="1" t="s">
        <v>189</v>
      </c>
      <c r="P134" s="1" t="s">
        <v>184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">
      <c r="B135" s="1">
        <v>1</v>
      </c>
      <c r="F135" s="1" t="s">
        <v>23</v>
      </c>
      <c r="I135" s="1" t="s">
        <v>195</v>
      </c>
      <c r="K135" s="14" t="s">
        <v>210</v>
      </c>
      <c r="O135" s="1" t="s">
        <v>189</v>
      </c>
      <c r="P135" s="1" t="s">
        <v>185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186</v>
      </c>
      <c r="Q136" s="83">
        <f>3*35</f>
        <v>105</v>
      </c>
      <c r="R136" s="147" t="s">
        <v>198</v>
      </c>
      <c r="S136" s="14">
        <f>$H$10*500</f>
        <v>1190</v>
      </c>
      <c r="T136" s="9">
        <f t="shared" si="104"/>
        <v>124950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">
      <c r="B137" s="1">
        <v>1</v>
      </c>
      <c r="C137" s="1"/>
      <c r="F137" s="14" t="s">
        <v>23</v>
      </c>
      <c r="I137" s="14" t="s">
        <v>48</v>
      </c>
      <c r="J137" s="1"/>
      <c r="K137" s="14" t="s">
        <v>163</v>
      </c>
      <c r="O137" s="14" t="s">
        <v>216</v>
      </c>
      <c r="P137" s="14" t="s">
        <v>219</v>
      </c>
      <c r="Q137" s="84">
        <f>7.5%*2*43</f>
        <v>6.45</v>
      </c>
      <c r="R137" s="14" t="s">
        <v>34</v>
      </c>
      <c r="S137" s="21">
        <f>$H$10*1000</f>
        <v>2380</v>
      </c>
      <c r="T137" s="21">
        <f t="shared" si="104"/>
        <v>15351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">
      <c r="B138" s="1">
        <v>1</v>
      </c>
      <c r="F138" s="1" t="s">
        <v>23</v>
      </c>
      <c r="I138" s="1" t="s">
        <v>49</v>
      </c>
      <c r="K138" s="14" t="s">
        <v>206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">
      <c r="B139" s="1">
        <v>1</v>
      </c>
      <c r="F139" s="1" t="s">
        <v>23</v>
      </c>
      <c r="I139" s="1" t="s">
        <v>49</v>
      </c>
      <c r="K139" s="14" t="s">
        <v>162</v>
      </c>
      <c r="P139" s="14" t="s">
        <v>196</v>
      </c>
      <c r="Q139" s="81">
        <f>2*43</f>
        <v>86</v>
      </c>
      <c r="R139" s="1" t="s">
        <v>34</v>
      </c>
      <c r="S139" s="14">
        <f>$H$10*400</f>
        <v>952</v>
      </c>
      <c r="T139" s="1">
        <f t="shared" si="104"/>
        <v>81872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">
      <c r="B140" s="1">
        <v>1</v>
      </c>
      <c r="F140" s="1" t="s">
        <v>23</v>
      </c>
      <c r="I140" s="1" t="s">
        <v>49</v>
      </c>
      <c r="K140" s="14" t="s">
        <v>190</v>
      </c>
      <c r="P140" s="14" t="s">
        <v>196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">
      <c r="B141" s="1">
        <v>1</v>
      </c>
      <c r="F141" s="1" t="s">
        <v>23</v>
      </c>
      <c r="I141" s="1" t="s">
        <v>49</v>
      </c>
      <c r="K141" s="14" t="s">
        <v>194</v>
      </c>
      <c r="P141" s="14" t="s">
        <v>196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f>5*19.5</f>
        <v>97.5</v>
      </c>
      <c r="R145" s="1" t="s">
        <v>34</v>
      </c>
      <c r="S145" s="14">
        <f>$H$10*700</f>
        <v>1666</v>
      </c>
      <c r="T145" s="1">
        <f t="shared" si="104"/>
        <v>162435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">
      <c r="B146" s="1">
        <v>1</v>
      </c>
      <c r="F146" s="1" t="s">
        <v>23</v>
      </c>
      <c r="I146" s="1" t="s">
        <v>48</v>
      </c>
      <c r="K146" s="148" t="s">
        <v>197</v>
      </c>
      <c r="Q146" s="83">
        <f>3*35</f>
        <v>105</v>
      </c>
      <c r="R146" s="147" t="s">
        <v>198</v>
      </c>
      <c r="S146" s="14">
        <f>$H$10*500</f>
        <v>1190</v>
      </c>
      <c r="T146" s="1">
        <f t="shared" si="104"/>
        <v>124950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">
      <c r="B147" s="2" t="s">
        <v>274</v>
      </c>
      <c r="C147" s="2"/>
      <c r="D147" s="22"/>
      <c r="N147" s="6"/>
      <c r="S147" s="14"/>
      <c r="U147" s="14"/>
      <c r="V147" s="14"/>
      <c r="Y147" s="23">
        <f>SUM(Y127:Y146)</f>
        <v>12197.461600355138</v>
      </c>
      <c r="Z147" s="24"/>
      <c r="AA147" s="23">
        <f>SUM(AA127:AA146)</f>
        <v>0</v>
      </c>
      <c r="AC147" s="9">
        <f>$Y147*(Voorblad!$K$44*(1+Voorblad!$K$44)^Voorblad!$K$41)/((1+Voorblad!$K$44)^Voorblad!$K$41-1)</f>
        <v>493.21842789834682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12197.461600355138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232</v>
      </c>
      <c r="Q149" s="83">
        <f>35*19.5</f>
        <v>682.5</v>
      </c>
      <c r="R149" s="81" t="s">
        <v>35</v>
      </c>
      <c r="S149" s="81">
        <v>7860</v>
      </c>
      <c r="T149" s="21">
        <f>Q149*S149</f>
        <v>5364450</v>
      </c>
      <c r="U149" s="11">
        <v>1</v>
      </c>
      <c r="V149" s="14">
        <f>Voorblad!F24+100</f>
        <v>2067</v>
      </c>
      <c r="W149" s="9">
        <f>Voorblad!K77</f>
        <v>2067</v>
      </c>
      <c r="X149" s="6"/>
      <c r="Y149" s="9">
        <f t="shared" si="21"/>
        <v>2047832.5957780867</v>
      </c>
      <c r="Z149" s="82" t="s">
        <v>283</v>
      </c>
      <c r="AA149" s="82">
        <v>104</v>
      </c>
      <c r="AC149" s="9">
        <f>$Y149*(Voorblad!$K$44*(1+Voorblad!$K$44)^Voorblad!$K$41)/((1+Voorblad!$K$44)^Voorblad!$K$41-1)</f>
        <v>82806.472902464462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2047832.5957780867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107289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214578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375511.50000000006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">
      <c r="B154" s="2" t="s">
        <v>275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5364450</v>
      </c>
      <c r="U154" s="14"/>
      <c r="V154" s="14"/>
      <c r="W154" s="14"/>
      <c r="X154" s="6"/>
      <c r="Y154" s="23">
        <f>SUM(Y149:Y153)</f>
        <v>2047832.5957780867</v>
      </c>
      <c r="Z154" s="24"/>
      <c r="AA154" s="23">
        <f>SUM(AA149:AA153)</f>
        <v>104</v>
      </c>
      <c r="AC154" s="9">
        <f>$Y154*(Voorblad!$K$44*(1+Voorblad!$K$44)^Voorblad!$K$41)/((1+Voorblad!$K$44)^Voorblad!$K$41-1)</f>
        <v>82806.472902464462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25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">
      <c r="B158" s="1">
        <v>3</v>
      </c>
      <c r="F158" s="1" t="s">
        <v>23</v>
      </c>
      <c r="I158" s="1" t="s">
        <v>280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">
      <c r="B159" s="1">
        <v>3</v>
      </c>
      <c r="F159" s="1" t="s">
        <v>23</v>
      </c>
      <c r="I159" s="1" t="s">
        <v>281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">
      <c r="B160" s="1">
        <v>3</v>
      </c>
      <c r="F160" s="1" t="s">
        <v>23</v>
      </c>
      <c r="I160" s="1" t="s">
        <v>281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">
      <c r="B161" s="1">
        <v>3</v>
      </c>
      <c r="F161" s="1" t="s">
        <v>23</v>
      </c>
      <c r="I161" s="1" t="s">
        <v>281</v>
      </c>
      <c r="K161" s="1" t="s">
        <v>147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">
      <c r="B162" s="1">
        <v>3</v>
      </c>
      <c r="F162" s="1" t="s">
        <v>23</v>
      </c>
      <c r="I162" s="1" t="s">
        <v>281</v>
      </c>
      <c r="K162" s="1" t="s">
        <v>217</v>
      </c>
      <c r="P162" s="1" t="s">
        <v>186</v>
      </c>
      <c r="Q162" s="83">
        <v>0</v>
      </c>
      <c r="R162" s="147" t="s">
        <v>198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">
      <c r="B163" s="14">
        <v>3</v>
      </c>
      <c r="F163" s="14" t="s">
        <v>23</v>
      </c>
      <c r="I163" s="14" t="s">
        <v>281</v>
      </c>
      <c r="K163" s="14" t="s">
        <v>164</v>
      </c>
      <c r="O163" s="14" t="s">
        <v>160</v>
      </c>
      <c r="P163" s="14" t="s">
        <v>201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">
      <c r="B164" s="1">
        <v>3</v>
      </c>
      <c r="F164" s="1" t="s">
        <v>23</v>
      </c>
      <c r="I164" s="14" t="s">
        <v>281</v>
      </c>
      <c r="K164" s="14" t="s">
        <v>199</v>
      </c>
      <c r="L164" s="14"/>
      <c r="M164" s="14"/>
      <c r="O164" s="1" t="s">
        <v>173</v>
      </c>
      <c r="P164" s="1" t="s">
        <v>176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">
      <c r="B165" s="1">
        <v>3</v>
      </c>
      <c r="F165" s="1" t="s">
        <v>23</v>
      </c>
      <c r="I165" s="14" t="s">
        <v>281</v>
      </c>
      <c r="K165" s="14" t="s">
        <v>200</v>
      </c>
      <c r="L165" s="14"/>
      <c r="M165" s="14"/>
      <c r="O165" s="1" t="s">
        <v>174</v>
      </c>
      <c r="P165" s="1" t="s">
        <v>177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">
      <c r="B166" s="1">
        <v>3</v>
      </c>
      <c r="F166" s="1" t="s">
        <v>23</v>
      </c>
      <c r="I166" s="14" t="s">
        <v>281</v>
      </c>
      <c r="K166" s="14" t="s">
        <v>213</v>
      </c>
      <c r="L166" s="14"/>
      <c r="M166" s="14"/>
      <c r="O166" s="1" t="s">
        <v>174</v>
      </c>
      <c r="P166" s="1" t="s">
        <v>177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">
      <c r="B167" s="1">
        <v>3</v>
      </c>
      <c r="F167" s="1" t="s">
        <v>23</v>
      </c>
      <c r="I167" s="14" t="s">
        <v>281</v>
      </c>
      <c r="K167" s="14" t="s">
        <v>191</v>
      </c>
      <c r="L167" s="14"/>
      <c r="M167" s="14"/>
      <c r="O167" s="1" t="s">
        <v>175</v>
      </c>
      <c r="P167" s="1" t="s">
        <v>178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">
      <c r="B168" s="1">
        <v>3</v>
      </c>
      <c r="F168" s="1" t="s">
        <v>23</v>
      </c>
      <c r="I168" s="14" t="s">
        <v>281</v>
      </c>
      <c r="K168" s="14" t="s">
        <v>207</v>
      </c>
      <c r="L168" s="14"/>
      <c r="M168" s="14"/>
      <c r="O168" s="1" t="s">
        <v>180</v>
      </c>
      <c r="P168" s="1" t="s">
        <v>182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">
      <c r="B169" s="1">
        <v>3</v>
      </c>
      <c r="F169" s="1" t="s">
        <v>23</v>
      </c>
      <c r="I169" s="14" t="s">
        <v>281</v>
      </c>
      <c r="K169" s="14" t="s">
        <v>203</v>
      </c>
      <c r="L169" s="14"/>
      <c r="M169" s="14"/>
      <c r="O169" s="1" t="s">
        <v>180</v>
      </c>
      <c r="P169" s="1" t="s">
        <v>183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">
      <c r="B170" s="1">
        <v>3</v>
      </c>
      <c r="F170" s="1" t="s">
        <v>23</v>
      </c>
      <c r="I170" s="14" t="s">
        <v>281</v>
      </c>
      <c r="K170" s="14" t="s">
        <v>202</v>
      </c>
      <c r="L170" s="14"/>
      <c r="M170" s="14"/>
      <c r="O170" s="1" t="s">
        <v>180</v>
      </c>
      <c r="P170" s="1" t="s">
        <v>184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">
      <c r="B171" s="1">
        <v>3</v>
      </c>
      <c r="F171" s="1" t="s">
        <v>23</v>
      </c>
      <c r="I171" s="14" t="s">
        <v>281</v>
      </c>
      <c r="K171" s="14" t="s">
        <v>209</v>
      </c>
      <c r="L171" s="14"/>
      <c r="M171" s="14"/>
      <c r="O171" s="1" t="s">
        <v>180</v>
      </c>
      <c r="P171" s="1" t="s">
        <v>185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">
      <c r="B173" s="2" t="s">
        <v>273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">
      <c r="B174" s="1">
        <v>1</v>
      </c>
      <c r="F174" s="1" t="s">
        <v>23</v>
      </c>
      <c r="I174" s="1" t="s">
        <v>195</v>
      </c>
      <c r="K174" s="14" t="s">
        <v>215</v>
      </c>
      <c r="O174" s="1" t="s">
        <v>189</v>
      </c>
      <c r="P174" s="1" t="s">
        <v>182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">
      <c r="B175" s="1">
        <v>1</v>
      </c>
      <c r="F175" s="1" t="s">
        <v>23</v>
      </c>
      <c r="I175" s="1" t="s">
        <v>195</v>
      </c>
      <c r="K175" s="1" t="s">
        <v>211</v>
      </c>
      <c r="O175" s="1" t="s">
        <v>189</v>
      </c>
      <c r="P175" s="1" t="s">
        <v>183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">
      <c r="B176" s="1">
        <v>1</v>
      </c>
      <c r="F176" s="1" t="s">
        <v>23</v>
      </c>
      <c r="I176" s="1" t="s">
        <v>195</v>
      </c>
      <c r="K176" s="14" t="s">
        <v>212</v>
      </c>
      <c r="O176" s="1" t="s">
        <v>189</v>
      </c>
      <c r="P176" s="1" t="s">
        <v>184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">
      <c r="B177" s="1">
        <v>1</v>
      </c>
      <c r="F177" s="1" t="s">
        <v>23</v>
      </c>
      <c r="I177" s="1" t="s">
        <v>195</v>
      </c>
      <c r="K177" s="14" t="s">
        <v>210</v>
      </c>
      <c r="O177" s="1" t="s">
        <v>189</v>
      </c>
      <c r="P177" s="1" t="s">
        <v>185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186</v>
      </c>
      <c r="Q178" s="83">
        <v>0</v>
      </c>
      <c r="R178" s="147" t="s">
        <v>198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">
      <c r="B179" s="1">
        <v>1</v>
      </c>
      <c r="C179" s="1"/>
      <c r="F179" s="14" t="s">
        <v>23</v>
      </c>
      <c r="I179" s="14" t="s">
        <v>48</v>
      </c>
      <c r="J179" s="1"/>
      <c r="K179" s="14" t="s">
        <v>163</v>
      </c>
      <c r="O179" s="14" t="s">
        <v>216</v>
      </c>
      <c r="P179" s="14" t="s">
        <v>219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">
      <c r="B180" s="1">
        <v>1</v>
      </c>
      <c r="F180" s="1" t="s">
        <v>23</v>
      </c>
      <c r="I180" s="1" t="s">
        <v>49</v>
      </c>
      <c r="K180" s="14" t="s">
        <v>206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">
      <c r="B181" s="1">
        <v>1</v>
      </c>
      <c r="F181" s="1" t="s">
        <v>23</v>
      </c>
      <c r="I181" s="1" t="s">
        <v>49</v>
      </c>
      <c r="K181" s="14" t="s">
        <v>218</v>
      </c>
      <c r="P181" s="14" t="s">
        <v>196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">
      <c r="B182" s="1">
        <v>1</v>
      </c>
      <c r="F182" s="1" t="s">
        <v>23</v>
      </c>
      <c r="I182" s="1" t="s">
        <v>49</v>
      </c>
      <c r="K182" s="14" t="s">
        <v>165</v>
      </c>
      <c r="P182" s="14" t="s">
        <v>196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">
      <c r="B183" s="1">
        <v>1</v>
      </c>
      <c r="F183" s="1" t="s">
        <v>23</v>
      </c>
      <c r="I183" s="1" t="s">
        <v>49</v>
      </c>
      <c r="K183" s="14" t="s">
        <v>194</v>
      </c>
      <c r="P183" s="14" t="s">
        <v>196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">
      <c r="B184" s="1">
        <v>1</v>
      </c>
      <c r="F184" s="1" t="s">
        <v>23</v>
      </c>
      <c r="I184" s="1" t="s">
        <v>48</v>
      </c>
      <c r="K184" s="148" t="s">
        <v>197</v>
      </c>
      <c r="Q184" s="81">
        <v>0</v>
      </c>
      <c r="R184" s="147" t="s">
        <v>198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">
      <c r="B185" s="2" t="s">
        <v>274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2067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">
      <c r="B191" s="2" t="s">
        <v>275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25">
      <c r="B194" s="19" t="s">
        <v>46</v>
      </c>
      <c r="C194" s="19"/>
      <c r="S194" s="14"/>
    </row>
    <row r="195" spans="2:236" ht="12" customHeight="1" outlineLevel="1" x14ac:dyDescent="0.2">
      <c r="B195" s="1">
        <v>3</v>
      </c>
      <c r="F195" s="1" t="s">
        <v>23</v>
      </c>
      <c r="I195" s="1" t="s">
        <v>280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3896.9147740915828</v>
      </c>
      <c r="Z195" s="82"/>
      <c r="AA195" s="82"/>
      <c r="AC195" s="9">
        <f>$Y195*(Voorblad!$K$44*(1+Voorblad!$K$44)^Voorblad!$K$41)/((1+Voorblad!$K$44)^Voorblad!$K$41-1)</f>
        <v>157.57624344358095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">
      <c r="B196" s="1">
        <v>3</v>
      </c>
      <c r="F196" s="1" t="s">
        <v>23</v>
      </c>
      <c r="I196" s="1" t="s">
        <v>281</v>
      </c>
      <c r="K196" s="1" t="s">
        <v>83</v>
      </c>
      <c r="O196" s="1" t="s">
        <v>135</v>
      </c>
      <c r="P196" s="1" t="s">
        <v>313</v>
      </c>
      <c r="Q196" s="84">
        <f>(4*2.5*19.5)+(4*4*19.5)+(4*((2.5*4)/2))</f>
        <v>527</v>
      </c>
      <c r="R196" s="1" t="s">
        <v>35</v>
      </c>
      <c r="S196" s="21">
        <f>$H$20*15</f>
        <v>26.55</v>
      </c>
      <c r="T196" s="9">
        <f>Q196*S196</f>
        <v>13991.85</v>
      </c>
      <c r="U196" s="14">
        <v>10</v>
      </c>
      <c r="V196" s="14"/>
      <c r="Y196" s="9">
        <f t="shared" si="199"/>
        <v>26139.742488674809</v>
      </c>
      <c r="Z196" s="82"/>
      <c r="AA196" s="82"/>
      <c r="AC196" s="9">
        <f>$Y196*(Voorblad!$K$44*(1+Voorblad!$K$44)^Voorblad!$K$41)/((1+Voorblad!$K$44)^Voorblad!$K$41-1)</f>
        <v>1056.9906361137002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10930.410857186114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8538.8194918393256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6670.5121396493669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">
      <c r="B197" s="1">
        <v>3</v>
      </c>
      <c r="F197" s="1" t="s">
        <v>23</v>
      </c>
      <c r="I197" s="1" t="s">
        <v>281</v>
      </c>
      <c r="K197" s="1" t="s">
        <v>84</v>
      </c>
      <c r="O197" s="1" t="s">
        <v>134</v>
      </c>
      <c r="Q197" s="84">
        <f>((4*2.5*19.5)+(4*2.5*19.5)+(4*((2.5*4)/2)))</f>
        <v>410</v>
      </c>
      <c r="R197" s="1" t="s">
        <v>35</v>
      </c>
      <c r="S197" s="21">
        <f>$H$20*20</f>
        <v>35.4</v>
      </c>
      <c r="T197" s="1">
        <f>Q197*S197</f>
        <v>14514</v>
      </c>
      <c r="U197" s="14">
        <v>10</v>
      </c>
      <c r="V197" s="14"/>
      <c r="Y197" s="9">
        <f>SUM(AE197:EB197)</f>
        <v>27115.229400016877</v>
      </c>
      <c r="Z197" s="82"/>
      <c r="AA197" s="82"/>
      <c r="AC197" s="9">
        <f>$Y197*(Voorblad!$K$44*(1+Voorblad!$K$44)^Voorblad!$K$41)/((1+Voorblad!$K$44)^Voorblad!$K$41-1)</f>
        <v>1096.4355744632942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11338.313602647202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8857.4724646530631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6919.4433327166107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">
      <c r="B198" s="1">
        <v>3</v>
      </c>
      <c r="F198" s="1" t="s">
        <v>23</v>
      </c>
      <c r="I198" s="1" t="s">
        <v>281</v>
      </c>
      <c r="K198" s="1" t="s">
        <v>82</v>
      </c>
      <c r="O198" s="1" t="s">
        <v>220</v>
      </c>
      <c r="P198" s="1" t="s">
        <v>176</v>
      </c>
      <c r="Q198" s="84">
        <f>2.5%*Q196</f>
        <v>13.175000000000001</v>
      </c>
      <c r="R198" s="1" t="s">
        <v>35</v>
      </c>
      <c r="S198" s="14">
        <f>$H$20*500</f>
        <v>885</v>
      </c>
      <c r="T198" s="9">
        <f>Q198*S198</f>
        <v>11659.875</v>
      </c>
      <c r="U198" s="14">
        <v>15</v>
      </c>
      <c r="V198" s="14"/>
      <c r="Y198" s="9">
        <f t="shared" si="199"/>
        <v>13609.502200922441</v>
      </c>
      <c r="Z198" s="82"/>
      <c r="AA198" s="82"/>
      <c r="AC198" s="229">
        <f>$Y198*(Voorblad!$K$44*(1+Voorblad!$K$44)^Voorblad!$K$41)/((1+Voorblad!$K$44)^Voorblad!$K$41-1)</f>
        <v>550.31591817617357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8050.7420845479692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5558.7601163744721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">
      <c r="S199" s="14"/>
      <c r="T199" s="9"/>
      <c r="U199" s="14"/>
      <c r="V199" s="14"/>
      <c r="Y199" s="23">
        <f>SUM(Y195:Y198)</f>
        <v>70761.38886370571</v>
      </c>
      <c r="Z199" s="24"/>
      <c r="AA199" s="23">
        <f>SUM(AA195:AA198)</f>
        <v>0</v>
      </c>
      <c r="AC199" s="9">
        <f>$Y199*(Voorblad!$K$44*(1+Voorblad!$K$44)^Voorblad!$K$41)/((1+Voorblad!$K$44)^Voorblad!$K$41-1)</f>
        <v>2861.3183721967489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">
      <c r="B200" s="2" t="s">
        <v>273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224</v>
      </c>
      <c r="P201" s="1" t="s">
        <v>225</v>
      </c>
      <c r="Q201" s="84">
        <f>5%*Q196</f>
        <v>26.35</v>
      </c>
      <c r="R201" s="1" t="s">
        <v>35</v>
      </c>
      <c r="S201" s="14">
        <f>$H$10*500</f>
        <v>1190</v>
      </c>
      <c r="T201" s="9">
        <f>Q201*S201</f>
        <v>31356.5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">
      <c r="B202" s="2" t="s">
        <v>274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233</v>
      </c>
      <c r="Q204" s="83">
        <f>35*19.5</f>
        <v>682.5</v>
      </c>
      <c r="R204" s="81" t="s">
        <v>35</v>
      </c>
      <c r="S204" s="81">
        <v>4060</v>
      </c>
      <c r="T204" s="9">
        <f>Q204*S204</f>
        <v>2770950</v>
      </c>
      <c r="U204" s="11">
        <v>1</v>
      </c>
      <c r="V204" s="14">
        <f>Voorblad!F25+100</f>
        <v>2067</v>
      </c>
      <c r="W204" s="9">
        <f>Voorblad!K85</f>
        <v>2067</v>
      </c>
      <c r="X204" s="6"/>
      <c r="Y204" s="9">
        <f t="shared" si="199"/>
        <v>1057786.3026538207</v>
      </c>
      <c r="Z204" s="82" t="s">
        <v>283</v>
      </c>
      <c r="AA204" s="82">
        <v>104</v>
      </c>
      <c r="AC204" s="9">
        <f>$Y204*(Voorblad!$K$44*(1+Voorblad!$K$44)^Voorblad!$K$41)/((1+Voorblad!$K$44)^Voorblad!$K$41-1)</f>
        <v>42772.809158270451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1057786.3026538207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55419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110838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193966.50000000003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">
      <c r="B208" s="2" t="s">
        <v>275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2770950</v>
      </c>
      <c r="U208" s="14"/>
      <c r="V208" s="14"/>
      <c r="W208" s="14"/>
      <c r="X208" s="6"/>
      <c r="Y208" s="23">
        <f>SUM(Y204:Y207)</f>
        <v>1057786.3026538207</v>
      </c>
      <c r="Z208" s="24"/>
      <c r="AA208" s="23">
        <f>SUM(AA204:AA207)</f>
        <v>104</v>
      </c>
      <c r="AC208" s="9">
        <f>$Y208*(Voorblad!$K$44*(1+Voorblad!$K$44)^Voorblad!$K$41)/((1+Voorblad!$K$44)^Voorblad!$K$41-1)</f>
        <v>42772.809158270451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25">
      <c r="B211" s="19" t="s">
        <v>45</v>
      </c>
      <c r="C211" s="19"/>
    </row>
    <row r="212" spans="2:236" ht="12" hidden="1" customHeight="1" outlineLevel="1" x14ac:dyDescent="0.2">
      <c r="B212" s="1">
        <v>3</v>
      </c>
      <c r="F212" s="1" t="s">
        <v>23</v>
      </c>
      <c r="I212" s="1" t="s">
        <v>280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">
      <c r="B213" s="1">
        <v>3</v>
      </c>
      <c r="F213" s="1" t="s">
        <v>23</v>
      </c>
      <c r="I213" s="1" t="s">
        <v>281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">
      <c r="B214" s="1">
        <v>3</v>
      </c>
      <c r="F214" s="1" t="s">
        <v>23</v>
      </c>
      <c r="I214" s="1" t="s">
        <v>281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">
      <c r="B215" s="1">
        <v>3</v>
      </c>
      <c r="F215" s="1" t="s">
        <v>23</v>
      </c>
      <c r="I215" s="1" t="s">
        <v>281</v>
      </c>
      <c r="K215" s="1" t="s">
        <v>88</v>
      </c>
      <c r="O215" s="1" t="s">
        <v>220</v>
      </c>
      <c r="P215" s="1" t="s">
        <v>176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">
      <c r="B217" s="2" t="s">
        <v>273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">
      <c r="B218" s="1">
        <v>1</v>
      </c>
      <c r="F218" s="1" t="s">
        <v>23</v>
      </c>
      <c r="I218" s="1" t="s">
        <v>48</v>
      </c>
      <c r="K218" s="1" t="s">
        <v>223</v>
      </c>
      <c r="O218" s="1" t="s">
        <v>221</v>
      </c>
      <c r="P218" s="1" t="s">
        <v>222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">
      <c r="B219" s="2" t="s">
        <v>274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2067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">
      <c r="B225" s="2" t="s">
        <v>277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25">
      <c r="B228" s="19" t="s">
        <v>105</v>
      </c>
      <c r="C228" s="19"/>
    </row>
    <row r="229" spans="2:236" outlineLevel="1" x14ac:dyDescent="0.2">
      <c r="B229" s="14">
        <v>1</v>
      </c>
      <c r="C229" s="14"/>
      <c r="F229" s="1" t="s">
        <v>26</v>
      </c>
      <c r="I229" s="1" t="s">
        <v>49</v>
      </c>
      <c r="K229" s="1" t="s">
        <v>266</v>
      </c>
      <c r="P229" s="1" t="s">
        <v>317</v>
      </c>
      <c r="Q229" s="84">
        <f>86*0.035</f>
        <v>3.0100000000000002</v>
      </c>
      <c r="R229" s="1" t="s">
        <v>102</v>
      </c>
      <c r="S229" s="1">
        <v>-200</v>
      </c>
      <c r="T229" s="21">
        <f t="shared" ref="T229:T236" si="201">Q229*S229</f>
        <v>-602</v>
      </c>
      <c r="U229" s="11">
        <v>1</v>
      </c>
      <c r="V229" s="14">
        <f>Voorblad!F24+100</f>
        <v>2067</v>
      </c>
      <c r="W229" s="9">
        <f>Voorblad!$K$77</f>
        <v>2067</v>
      </c>
      <c r="X229" s="6"/>
      <c r="Y229" s="9">
        <f t="shared" ref="Y229" si="202">SUM(AE229:EB229)</f>
        <v>-229.80831635273105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-229.80831635273105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">
      <c r="B230" s="14">
        <v>1</v>
      </c>
      <c r="C230" s="14"/>
      <c r="F230" s="1" t="s">
        <v>26</v>
      </c>
      <c r="I230" s="1" t="s">
        <v>49</v>
      </c>
      <c r="K230" s="1" t="s">
        <v>267</v>
      </c>
      <c r="O230" s="1" t="s">
        <v>104</v>
      </c>
      <c r="P230" s="1" t="s">
        <v>314</v>
      </c>
      <c r="Q230" s="83">
        <f>2*400</f>
        <v>800</v>
      </c>
      <c r="R230" s="1" t="s">
        <v>102</v>
      </c>
      <c r="S230" s="1">
        <v>-50</v>
      </c>
      <c r="T230" s="21">
        <f t="shared" si="201"/>
        <v>-40000</v>
      </c>
      <c r="U230" s="11">
        <v>1</v>
      </c>
      <c r="V230" s="14">
        <f>Voorblad!F24+100</f>
        <v>2067</v>
      </c>
      <c r="W230" s="9">
        <f>Voorblad!$K$77</f>
        <v>2067</v>
      </c>
      <c r="X230" s="6"/>
      <c r="Y230" s="9">
        <f t="shared" ref="Y230" si="203">SUM(AE230:EB230)</f>
        <v>-15269.655571610037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-15269.655571610037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">
      <c r="B231" s="14">
        <v>1</v>
      </c>
      <c r="C231" s="14"/>
      <c r="F231" s="1" t="s">
        <v>26</v>
      </c>
      <c r="I231" s="1" t="s">
        <v>49</v>
      </c>
      <c r="K231" s="1" t="s">
        <v>268</v>
      </c>
      <c r="O231" s="1" t="s">
        <v>103</v>
      </c>
      <c r="Q231" s="83">
        <f>0.5*Q230</f>
        <v>400</v>
      </c>
      <c r="R231" s="1" t="s">
        <v>102</v>
      </c>
      <c r="S231" s="1">
        <v>-200</v>
      </c>
      <c r="T231" s="21">
        <f t="shared" si="201"/>
        <v>-80000</v>
      </c>
      <c r="U231" s="11">
        <v>1</v>
      </c>
      <c r="V231" s="14">
        <f>Voorblad!F24+100</f>
        <v>2067</v>
      </c>
      <c r="W231" s="9">
        <f>Voorblad!$K$77</f>
        <v>2067</v>
      </c>
      <c r="X231" s="6"/>
      <c r="Y231" s="9">
        <f t="shared" ref="Y231:Y234" si="204">SUM(AE231:EB231)</f>
        <v>-30539.311143220075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-30539.311143220075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">
      <c r="B232" s="14">
        <v>1</v>
      </c>
      <c r="C232" s="14"/>
      <c r="F232" s="1" t="s">
        <v>26</v>
      </c>
      <c r="I232" s="1" t="s">
        <v>49</v>
      </c>
      <c r="K232" s="1" t="s">
        <v>269</v>
      </c>
      <c r="O232" s="1" t="s">
        <v>139</v>
      </c>
      <c r="P232" s="1" t="s">
        <v>315</v>
      </c>
      <c r="Q232" s="83">
        <f>2.3*1050</f>
        <v>2415</v>
      </c>
      <c r="R232" s="1" t="s">
        <v>102</v>
      </c>
      <c r="S232" s="1">
        <v>-50</v>
      </c>
      <c r="T232" s="21">
        <f t="shared" si="201"/>
        <v>-120750</v>
      </c>
      <c r="U232" s="11">
        <v>1</v>
      </c>
      <c r="V232" s="14">
        <f>Voorblad!F24+100</f>
        <v>2067</v>
      </c>
      <c r="W232" s="9">
        <f>Voorblad!$K$77</f>
        <v>2067</v>
      </c>
      <c r="X232" s="6"/>
      <c r="Y232" s="9">
        <f t="shared" ref="Y232" si="205">SUM(AE232:EB232)</f>
        <v>-46095.2727567978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-46095.2727567978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">
      <c r="B233" s="14">
        <v>1</v>
      </c>
      <c r="C233" s="14"/>
      <c r="F233" s="1" t="s">
        <v>26</v>
      </c>
      <c r="I233" s="1" t="s">
        <v>49</v>
      </c>
      <c r="K233" s="1" t="s">
        <v>270</v>
      </c>
      <c r="O233" s="1" t="s">
        <v>138</v>
      </c>
      <c r="Q233" s="83">
        <f>0.2*Q232</f>
        <v>483</v>
      </c>
      <c r="R233" s="1" t="s">
        <v>102</v>
      </c>
      <c r="S233" s="1">
        <v>-200</v>
      </c>
      <c r="T233" s="21">
        <f t="shared" si="201"/>
        <v>-96600</v>
      </c>
      <c r="U233" s="11">
        <v>1</v>
      </c>
      <c r="V233" s="14">
        <f>Voorblad!F24+100</f>
        <v>2067</v>
      </c>
      <c r="W233" s="9">
        <f>Voorblad!$K$77</f>
        <v>2067</v>
      </c>
      <c r="X233" s="6"/>
      <c r="Y233" s="9">
        <f t="shared" ref="Y233" si="206">SUM(AE233:EB233)</f>
        <v>-36876.218205438243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-36876.218205438243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">
      <c r="B234" s="14">
        <v>1</v>
      </c>
      <c r="C234" s="14"/>
      <c r="F234" s="1" t="s">
        <v>26</v>
      </c>
      <c r="I234" s="1" t="s">
        <v>49</v>
      </c>
      <c r="K234" s="1" t="s">
        <v>271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2067</v>
      </c>
      <c r="W234" s="9">
        <f>Voorblad!$K$77</f>
        <v>2067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2067</v>
      </c>
      <c r="W235" s="9">
        <f>Voorblad!$K$77</f>
        <v>2067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2067</v>
      </c>
      <c r="W236" s="9">
        <f>Voorblad!$K$77</f>
        <v>2067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">
      <c r="B237" s="2" t="s">
        <v>276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-337952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2019-12-11T13:06:50Z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