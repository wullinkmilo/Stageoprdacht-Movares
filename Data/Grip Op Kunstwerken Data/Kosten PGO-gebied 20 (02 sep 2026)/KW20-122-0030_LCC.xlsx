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B3004172-4CD0-4BFF-9FDE-EAFF94D28CCC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233" i="1"/>
  <c r="Q231" i="1"/>
  <c r="Q236" i="1" l="1"/>
  <c r="Q229" i="1" l="1"/>
  <c r="Q197" i="1"/>
  <c r="Q196" i="1"/>
  <c r="Q204" i="1"/>
  <c r="Q149" i="1"/>
  <c r="Q146" i="1"/>
  <c r="Q141" i="1"/>
  <c r="Q139" i="1"/>
  <c r="Q136" i="1"/>
  <c r="Q135" i="1"/>
  <c r="Q133" i="1"/>
  <c r="Q124" i="1"/>
  <c r="Q119" i="1"/>
  <c r="Q122" i="1"/>
  <c r="Q117" i="1"/>
  <c r="Q113" i="1"/>
  <c r="Q115" i="1"/>
  <c r="Q110" i="1"/>
  <c r="Q46" i="1"/>
  <c r="S39" i="1"/>
  <c r="N94" i="2" l="1"/>
  <c r="N93" i="2"/>
  <c r="N92" i="2"/>
  <c r="N61" i="2"/>
  <c r="N60" i="2"/>
  <c r="H61" i="2"/>
  <c r="T229" i="1"/>
  <c r="V229" i="1"/>
  <c r="W229" i="1"/>
  <c r="Q201" i="1"/>
  <c r="Q137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2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<sst xmlns="http://schemas.openxmlformats.org/spreadsheetml/2006/main" count="1025" uniqueCount="321">
  <si>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</si>
  <si>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</si>
  <si>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</si>
  <si>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</si>
  <si>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</si>
  <si>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</si>
  <si>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</si>
  <si>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</si>
  <si>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</si>
  <si>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</si>
  <si>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</si>
  <si>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</si>
  <si>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</si>
  <si>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</si>
  <si>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</si>
  <si>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</si>
  <si>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</si>
  <si>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</si>
  <si>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</si>
  <si>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</si>
  <si>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</si>
  <si>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</si>
  <si>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</si>
  <si>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</si>
  <si>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</si>
  <si>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</si>
  <si>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</si>
  <si>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</si>
  <si>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</si>
  <si>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</si>
  <si>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</si>
  <si>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</si>
  <si>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</si>
  <si>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</si>
  <si>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</si>
  <si>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</si>
  <si>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</si>
  <si>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</si>
  <si>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</si>
  <si>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</si>
  <si>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</si>
  <si>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</si>
  <si>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</si>
  <si>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</si>
  <si>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</si>
  <si>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</si>
  <si>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</si>
  <si>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</si>
  <si>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</si>
  <si>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</si>
  <si>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</si>
  <si>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</si>
  <si>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</si>
  <si>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</si>
  <si>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</si>
  <si>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</si>
  <si>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</si>
  <si>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</si>
  <si>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</si>
  <si>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</si>
  <si>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</si>
  <si>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</si>
  <si>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</si>
  <si>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</si>
  <si>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</si>
  <si>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</si>
  <si>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</si>
  <si>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</si>
  <si>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</si>
  <si>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</si>
  <si>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</si>
  <si>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</si>
  <si>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</si>
  <si>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</si>
  <si>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</si>
  <si>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</si>
  <si>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</si>
  <si>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</si>
  <si>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</si>
  <si>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</si>
  <si>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</si>
  <si>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</si>
  <si>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</si>
  <si>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</si>
  <si>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</si>
  <si>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</si>
  <si>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</si>
  <si>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</si>
  <si>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</si>
  <si>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</si>
  <si>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</si>
  <si>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</si>
  <si>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</si>
  <si>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</si>
  <si>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</si>
  <si>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</si>
  <si>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</si>
  <si>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</si>
  <si>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</si>
  <si>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</si>
  <si>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</si>
  <si>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</si>
  <si>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</si>
  <si>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</si>
  <si>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</si>
  <si>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</si>
  <si>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</si>
  <si>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</si>
  <si>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</si>
  <si>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</si>
  <si>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</si>
  <si>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</si>
  <si>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</si>
  <si>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</si>
  <si>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</si>
  <si>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</si>
  <si>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</si>
  <si>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</si>
  <si>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</si>
  <si>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</si>
  <si>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</si>
  <si>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</si>
  <si>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</si>
  <si>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</si>
  <si>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</si>
  <si>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</si>
  <si>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</si>
  <si>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</si>
  <si>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</si>
  <si>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</si>
  <si>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</si>
  <si>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</si>
  <si>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</si>
  <si>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</si>
  <si>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</si>
  <si>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</si>
  <si>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</si>
  <si>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</si>
  <si>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</si>
  <si>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</si>
  <si>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</si>
  <si>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</si>
  <si>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</si>
  <si>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</si>
  <si>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</si>
  <si>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</si>
  <si>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</si>
  <si>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</si>
  <si>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</si>
  <si>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</si>
  <si>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</si>
  <si>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</si>
  <si>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</si>
  <si>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</si>
  <si>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</si>
  <si>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</si>
  <si>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</si>
  <si>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</si>
  <si>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</si>
  <si>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</si>
  <si>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</si>
  <si>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</si>
  <si>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</si>
  <si>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</si>
  <si>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</si>
  <si>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</si>
  <si>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</si>
  <si>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</si>
  <si>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</si>
  <si>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</si>
  <si>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</si>
  <si>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</si>
  <si>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</si>
  <si>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</si>
  <si>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</si>
  <si>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</si>
  <si>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</si>
  <si>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</si>
  <si>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</si>
  <si>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</si>
  <si>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</si>
  <si>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</si>
  <si>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</si>
  <si>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</si>
  <si>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</si>
  <si>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</si>
  <si>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</si>
  <si>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</si>
  <si>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</si>
  <si>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</si>
  <si>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</si>
  <si>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</si>
  <si>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</si>
  <si>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</si>
  <si>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</si>
  <si>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</si>
  <si>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</si>
  <si>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</si>
  <si>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</si>
  <si>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</si>
  <si>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</si>
  <si>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</si>
  <si>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</si>
  <si>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</si>
  <si>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</si>
  <si>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</si>
  <si>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</si>
  <si>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</si>
  <si>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</si>
  <si>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</si>
  <si>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</si>
  <si>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</si>
  <si>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</si>
  <si>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</si>
  <si>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</si>
  <si>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</si>
  <si>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</si>
  <si>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</si>
  <si>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</si>
  <si>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</si>
  <si>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</si>
  <si>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</si>
  <si>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</si>
  <si>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</si>
  <si>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</si>
  <si>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</si>
  <si>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</si>
  <si>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</si>
  <si>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</si>
  <si>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</si>
  <si>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</si>
  <si>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</si>
  <si>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</si>
  <si>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</si>
  <si>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</si>
  <si>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</si>
  <si>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</si>
  <si>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</si>
  <si>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</si>
  <si>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</si>
  <si>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</si>
  <si>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</si>
  <si>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</si>
  <si>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</si>
  <si>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</si>
  <si>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</si>
  <si>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</si>
  <si>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</si>
  <si>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</si>
  <si>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</si>
  <si>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</si>
  <si>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</si>
  <si>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</si>
  <si>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</si>
  <si>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</si>
  <si>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</si>
  <si>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</si>
  <si>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</si>
  <si>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</si>
  <si>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</si>
  <si>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</si>
  <si>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</si>
  <si>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</si>
  <si>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</si>
  <si>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</si>
  <si>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</si>
  <si>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</si>
  <si>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</si>
  <si>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</si>
  <si>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</si>
  <si>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</si>
  <si>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</si>
  <si>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</si>
  <si>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</si>
  <si>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</si>
  <si>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</si>
  <si>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</si>
  <si>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</si>
  <si>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</si>
  <si>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</si>
  <si>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</si>
  <si>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</si>
  <si>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</si>
  <si>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</si>
  <si>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</si>
  <si>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</si>
  <si>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</si>
  <si>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</si>
  <si>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</si>
  <si>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</si>
  <si>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</si>
  <si>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</si>
  <si>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</si>
  <si>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</si>
  <si>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</si>
  <si>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</si>
  <si>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</si>
  <si>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</si>
  <si>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</si>
  <si>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</si>
  <si>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</si>
  <si>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</si>
  <si>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</si>
  <si>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</si>
  <si>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</si>
  <si>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ja</t>
  </si>
  <si>
    <t>Totaal kosten cat. 2 (advies IB tlv ProRail AM)</t>
  </si>
  <si>
    <t>10735924 + 10877247</t>
  </si>
  <si>
    <t>KW20-122-0030</t>
  </si>
  <si>
    <t>Onderdoorgang Meester Bierensweg</t>
  </si>
  <si>
    <t>Breda</t>
  </si>
  <si>
    <t>meten afstand rand PV-voorziening tot hart nevenspoor, indien afstand &lt;2,50m dan doorgetrokken lijn aanbrengen op passeerpad op 2,5m uit hart nevenspoor</t>
  </si>
  <si>
    <t>no/ko</t>
  </si>
  <si>
    <r>
      <t xml:space="preserve">voer in: 2,5% x oppervlak scherm </t>
    </r>
    <r>
      <rPr>
        <sz val="9"/>
        <color rgb="FFFF0000"/>
        <rFont val="Calibri"/>
        <family val="2"/>
      </rPr>
      <t>h=2,0m</t>
    </r>
  </si>
  <si>
    <t>Σ: van 2 landhfdn</t>
  </si>
  <si>
    <t>2 landhfd</t>
  </si>
  <si>
    <t>leuningen 2x21,57 m1 á 35 kg/m1</t>
  </si>
  <si>
    <t>(Constructie) staal geluidscherm</t>
  </si>
  <si>
    <t>stijlen geluidscherm h=2,0m á 25 kg/m2 scherm</t>
  </si>
  <si>
    <t>Σ: 2 landhfdn + vloer: 830 m3</t>
  </si>
  <si>
    <t>spoordek+PV-paden: 575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</si>
</sst>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S101" sqref="S101"/>
    </sheetView>
  </sheetViews>
  <sheetFormatPr defaultRowHeight="14.4" outlineLevelRow="1" x14ac:dyDescent="0.3"/>
  <cols>
    <col min="1" max="1" width="3.33203125" customWidth="1"/>
    <col min="2" max="3" width="5.6640625" customWidth="1"/>
    <col min="4" max="4" width="38.5546875" customWidth="1"/>
    <col min="5" max="5" width="9.88671875" customWidth="1"/>
    <col min="6" max="6" width="9.33203125" customWidth="1"/>
    <col min="7" max="7" width="14.6640625" customWidth="1"/>
    <col min="8" max="8" width="9.33203125" customWidth="1"/>
    <col min="9" max="9" width="1.44140625" customWidth="1"/>
    <col min="10" max="11" width="9.6640625" customWidth="1"/>
    <col min="12" max="13" width="11.664062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247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150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29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 t="s">
        <v>307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20.824999999999999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310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227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230</v>
      </c>
      <c r="C33" s="101"/>
      <c r="D33" s="97"/>
      <c r="E33" s="97"/>
      <c r="F33" s="144" t="s">
        <v>233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146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0"/>
    </row>
    <row r="36" spans="2:16" x14ac:dyDescent="0.3">
      <c r="B36" s="110" t="s">
        <v>248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1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1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1"/>
    </row>
    <row r="41" spans="2:16" x14ac:dyDescent="0.3">
      <c r="B41" s="39" t="s">
        <v>249</v>
      </c>
      <c r="C41" s="41"/>
      <c r="D41" s="40"/>
      <c r="E41" s="40"/>
      <c r="F41" s="102">
        <v>2028</v>
      </c>
      <c r="G41" s="41"/>
      <c r="H41" s="131" t="s">
        <v>250</v>
      </c>
      <c r="I41" s="40"/>
      <c r="J41" s="40"/>
      <c r="K41" s="103">
        <f>F24+100-F41</f>
        <v>76</v>
      </c>
      <c r="L41" s="42"/>
      <c r="M41" s="42"/>
      <c r="N41" s="43"/>
      <c r="O41" s="44"/>
      <c r="P41" s="231"/>
    </row>
    <row r="42" spans="2:16" x14ac:dyDescent="0.3">
      <c r="B42" s="45"/>
      <c r="C42" s="40"/>
      <c r="D42" s="40"/>
      <c r="E42" s="40"/>
      <c r="F42" s="40"/>
      <c r="G42" s="54"/>
      <c r="H42" s="133" t="s">
        <v>251</v>
      </c>
      <c r="I42" s="40"/>
      <c r="J42" s="40"/>
      <c r="K42" s="46">
        <f>F41+K41</f>
        <v>2104</v>
      </c>
      <c r="L42" s="43"/>
      <c r="M42" s="43"/>
      <c r="N42" s="43"/>
      <c r="O42" s="44"/>
      <c r="P42" s="231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1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1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5" customHeight="1" x14ac:dyDescent="0.3">
      <c r="B48" s="163" t="s">
        <v>244</v>
      </c>
      <c r="C48" s="164" t="s">
        <v>245</v>
      </c>
      <c r="D48" s="67" t="str">
        <f>'Berekening MJOP+LTP'!K28</f>
        <v>Omschrijving</v>
      </c>
      <c r="E48" s="67"/>
      <c r="F48" s="68"/>
      <c r="G48" s="69"/>
      <c r="H48" s="151" t="s">
        <v>226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3" t="str">
        <f>'Berekening MJOP+LTP'!AA28</f>
        <v>TVP duur</v>
      </c>
      <c r="O48" s="130" t="s">
        <v>285</v>
      </c>
      <c r="P48" s="232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4"/>
      <c r="O49" s="253">
        <f>'Berekening MJOP+LTP'!AC33</f>
        <v>731.6641072480279</v>
      </c>
      <c r="P49" s="232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4"/>
      <c r="O50" s="253">
        <f>'Berekening MJOP+LTP'!AC36</f>
        <v>446.29381588570288</v>
      </c>
      <c r="P50" s="232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4">
        <f>'Berekening MJOP+LTP'!AC38</f>
        <v>530.50310089355912</v>
      </c>
      <c r="P51" s="233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meten afstand rand PV-voorziening tot hart nevenspoor, indien afstand &lt;2,50m dan doorgetrokken lijn aanbrengen op passeerpad op 2,5m uit hart nevenspoor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1770</v>
      </c>
      <c r="M52" s="64">
        <f>'Berekening MJOP+LTP'!Y39</f>
        <v>1684.7114812611542</v>
      </c>
      <c r="N52" s="61">
        <f>'Berekening MJOP+LTP'!AA39</f>
        <v>0</v>
      </c>
      <c r="O52" s="254">
        <f>'Berekening MJOP+LTP'!AC39</f>
        <v>192.49305015922792</v>
      </c>
      <c r="P52" s="233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4">
        <f>'Berekening MJOP+LTP'!AC40</f>
        <v>0</v>
      </c>
      <c r="P53" s="233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4">
        <f>'Berekening MJOP+LTP'!AC41</f>
        <v>0</v>
      </c>
      <c r="P54" s="233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4">
        <f>'Berekening MJOP+LTP'!AC42</f>
        <v>0</v>
      </c>
      <c r="P55" s="233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4">
        <f>'Berekening MJOP+LTP'!AC43</f>
        <v>0</v>
      </c>
      <c r="P56" s="233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4">
        <f>'Berekening MJOP+LTP'!AC44</f>
        <v>0</v>
      </c>
      <c r="P57" s="233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5">
        <f>'Berekening MJOP+LTP'!AC45</f>
        <v>0</v>
      </c>
      <c r="P58" s="233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2104</v>
      </c>
      <c r="K59" s="159">
        <v>2104</v>
      </c>
      <c r="L59" s="156">
        <f>'Berekening MJOP+LTP'!T46</f>
        <v>6379008.2640000004</v>
      </c>
      <c r="M59" s="128">
        <f>'Berekening MJOP+LTP'!Y46</f>
        <v>0</v>
      </c>
      <c r="N59" s="129">
        <f>'Berekening MJOP+LTP'!AA46</f>
        <v>208</v>
      </c>
      <c r="O59" s="256">
        <f>'Berekening MJOP+LTP'!AC46</f>
        <v>0</v>
      </c>
      <c r="P59" s="234"/>
    </row>
    <row r="60" spans="2:16" x14ac:dyDescent="0.3">
      <c r="B60" s="206" t="s">
        <v>298</v>
      </c>
      <c r="C60" s="188"/>
      <c r="D60" s="207"/>
      <c r="E60" s="207"/>
      <c r="F60" s="188"/>
      <c r="G60" s="189" t="s">
        <v>152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5">
        <f t="shared" si="0"/>
        <v>0</v>
      </c>
      <c r="O60" s="257">
        <f t="shared" si="0"/>
        <v>731.6641072480279</v>
      </c>
      <c r="P60" s="235"/>
    </row>
    <row r="61" spans="2:16" x14ac:dyDescent="0.3">
      <c r="B61" s="210" t="s">
        <v>306</v>
      </c>
      <c r="C61" s="193"/>
      <c r="D61" s="211"/>
      <c r="E61" s="211"/>
      <c r="F61" s="193"/>
      <c r="G61" s="194" t="s">
        <v>152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6">
        <f t="shared" si="0"/>
        <v>0</v>
      </c>
      <c r="O61" s="258">
        <f t="shared" si="0"/>
        <v>446.29381588570288</v>
      </c>
      <c r="P61" s="235"/>
    </row>
    <row r="62" spans="2:16" x14ac:dyDescent="0.3">
      <c r="B62" s="210" t="s">
        <v>299</v>
      </c>
      <c r="C62" s="193"/>
      <c r="D62" s="211"/>
      <c r="E62" s="211"/>
      <c r="F62" s="193"/>
      <c r="G62" s="194" t="s">
        <v>152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5000</v>
      </c>
      <c r="M62" s="213">
        <f>SUMIF(B51:B58,2,M51:M58)</f>
        <v>4642.9970545987444</v>
      </c>
      <c r="N62" s="246">
        <f>SUMIF(B51:B58,2,N51:N58)</f>
        <v>0</v>
      </c>
      <c r="O62" s="258">
        <f>SUMIF(B51:B58,2,O51:O58)</f>
        <v>530.50310089355912</v>
      </c>
      <c r="P62" s="235"/>
    </row>
    <row r="63" spans="2:16" x14ac:dyDescent="0.3">
      <c r="B63" s="210" t="s">
        <v>300</v>
      </c>
      <c r="C63" s="193"/>
      <c r="D63" s="211"/>
      <c r="E63" s="211"/>
      <c r="F63" s="193"/>
      <c r="G63" s="194" t="s">
        <v>152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1770</v>
      </c>
      <c r="M63" s="213">
        <f>SUMIF(B51:B58,1,M51:M58)</f>
        <v>1684.7114812611542</v>
      </c>
      <c r="N63" s="246">
        <f>SUMIF(B51:B58,1,N51:N58)</f>
        <v>0</v>
      </c>
      <c r="O63" s="258">
        <f>SUMIF(B51:B58,1,O51:O58)</f>
        <v>192.49305015922792</v>
      </c>
      <c r="P63" s="235"/>
    </row>
    <row r="64" spans="2:16" x14ac:dyDescent="0.3">
      <c r="B64" s="210" t="s">
        <v>277</v>
      </c>
      <c r="C64" s="193"/>
      <c r="D64" s="211"/>
      <c r="E64" s="211"/>
      <c r="F64" s="193"/>
      <c r="G64" s="194" t="s">
        <v>152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6770</v>
      </c>
      <c r="M64" s="213">
        <f>SUM(M51:M58)</f>
        <v>6327.7085358598988</v>
      </c>
      <c r="N64" s="246">
        <f>SUM(N51:N58)</f>
        <v>0</v>
      </c>
      <c r="O64" s="258">
        <f>SUM(O51:O58)</f>
        <v>722.99615105278701</v>
      </c>
      <c r="P64" s="235"/>
    </row>
    <row r="65" spans="2:16" x14ac:dyDescent="0.3">
      <c r="B65" s="210" t="s">
        <v>301</v>
      </c>
      <c r="C65" s="193"/>
      <c r="D65" s="211"/>
      <c r="E65" s="211"/>
      <c r="F65" s="193"/>
      <c r="G65" s="204" t="s">
        <v>261</v>
      </c>
      <c r="H65" s="195"/>
      <c r="I65" s="212"/>
      <c r="J65" s="196"/>
      <c r="K65" s="223">
        <f>K59</f>
        <v>2104</v>
      </c>
      <c r="L65" s="213">
        <f>L59</f>
        <v>6379008.2640000004</v>
      </c>
      <c r="M65" s="213">
        <f>M59</f>
        <v>0</v>
      </c>
      <c r="N65" s="247">
        <f>N59</f>
        <v>208</v>
      </c>
      <c r="O65" s="258">
        <f>O59</f>
        <v>0</v>
      </c>
      <c r="P65" s="236"/>
    </row>
    <row r="66" spans="2:16" ht="15" thickBot="1" x14ac:dyDescent="0.35">
      <c r="B66" s="214" t="s">
        <v>278</v>
      </c>
      <c r="C66" s="198"/>
      <c r="D66" s="215"/>
      <c r="E66" s="215"/>
      <c r="F66" s="198"/>
      <c r="G66" s="199" t="s">
        <v>152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6397278.2640000004</v>
      </c>
      <c r="M66" s="217">
        <f>SUM(M49:M59)</f>
        <v>16637.271587120034</v>
      </c>
      <c r="N66" s="248">
        <f>SUM(N49:N59)</f>
        <v>208</v>
      </c>
      <c r="O66" s="259">
        <f>SUM(O49:O59)</f>
        <v>1900.9540741865178</v>
      </c>
      <c r="P66" s="236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246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7"/>
    </row>
    <row r="69" spans="2:16" ht="24" x14ac:dyDescent="0.3">
      <c r="B69" s="165" t="s">
        <v>244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9" t="s">
        <v>141</v>
      </c>
      <c r="O69" s="130" t="s">
        <v>285</v>
      </c>
      <c r="P69" s="238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0"/>
      <c r="P70" s="239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0">
        <f>'Berekening MJOP+LTP'!AC74</f>
        <v>0</v>
      </c>
      <c r="P71" s="233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0">
        <f>'Berekening MJOP+LTP'!AC95</f>
        <v>0</v>
      </c>
      <c r="P72" s="233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2104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0">
        <f>'Berekening MJOP+LTP'!AC105</f>
        <v>0</v>
      </c>
      <c r="P73" s="233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0">
        <f>'Berekening MJOP+LTP'!AA145</f>
        <v>0</v>
      </c>
      <c r="P74" s="233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205934.98724216319</v>
      </c>
      <c r="N75" s="61">
        <f>'Berekening MJOP+LTP'!AA125</f>
        <v>0</v>
      </c>
      <c r="O75" s="260">
        <f>'Berekening MJOP+LTP'!AC125</f>
        <v>6079.1100950950013</v>
      </c>
      <c r="P75" s="233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140708.09685704927</v>
      </c>
      <c r="N76" s="61">
        <f>'Berekening MJOP+LTP'!AA147</f>
        <v>0</v>
      </c>
      <c r="O76" s="260">
        <f>'Berekening MJOP+LTP'!AC147</f>
        <v>4153.6410277843388</v>
      </c>
      <c r="P76" s="233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2104</v>
      </c>
      <c r="K77" s="90">
        <v>2104</v>
      </c>
      <c r="L77" s="64">
        <f>'Berekening MJOP+LTP'!T154</f>
        <v>4206292.3619999997</v>
      </c>
      <c r="M77" s="64">
        <f>'Berekening MJOP+LTP'!Y154</f>
        <v>643999.73053326539</v>
      </c>
      <c r="N77" s="61">
        <f>'Berekening MJOP+LTP'!AA149</f>
        <v>104</v>
      </c>
      <c r="O77" s="260">
        <f>'Berekening MJOP+LTP'!AC154</f>
        <v>19010.588319893253</v>
      </c>
      <c r="P77" s="233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0">
        <f>'Berekening MJOP+LTP'!AA196</f>
        <v>0</v>
      </c>
      <c r="P78" s="233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0">
        <f>'Berekening MJOP+LTP'!AC172</f>
        <v>0</v>
      </c>
      <c r="P79" s="233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0">
        <f>'Berekening MJOP+LTP'!AC185</f>
        <v>0</v>
      </c>
      <c r="P80" s="233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2104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0">
        <f>'Berekening MJOP+LTP'!AC191</f>
        <v>0</v>
      </c>
      <c r="P81" s="233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0"/>
      <c r="P82" s="233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81894.110238575697</v>
      </c>
      <c r="N83" s="61">
        <f>'Berekening MJOP+LTP'!AA199</f>
        <v>0</v>
      </c>
      <c r="O83" s="260">
        <f>'Berekening MJOP+LTP'!AC199</f>
        <v>2417.4780543469487</v>
      </c>
      <c r="P83" s="233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7949.2393834887507</v>
      </c>
      <c r="N84" s="61">
        <f>'Berekening MJOP+LTP'!AA202</f>
        <v>0</v>
      </c>
      <c r="O84" s="260">
        <f>'Berekening MJOP+LTP'!AC202</f>
        <v>234.65804442286284</v>
      </c>
      <c r="P84" s="233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2104</v>
      </c>
      <c r="K85" s="90">
        <v>2104</v>
      </c>
      <c r="L85" s="64">
        <f>'Berekening MJOP+LTP'!T208</f>
        <v>2172715.9020000002</v>
      </c>
      <c r="M85" s="64">
        <f>'Berekening MJOP+LTP'!Y208</f>
        <v>332651.26030089793</v>
      </c>
      <c r="N85" s="61">
        <f>'Berekening MJOP+LTP'!AA204</f>
        <v>104</v>
      </c>
      <c r="O85" s="260">
        <f>'Berekening MJOP+LTP'!AC208</f>
        <v>9819.7186486980445</v>
      </c>
      <c r="P85" s="233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0"/>
      <c r="P86" s="233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0">
        <f>'Berekening MJOP+LTP'!AC216</f>
        <v>0</v>
      </c>
      <c r="P87" s="233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0">
        <f>'Berekening MJOP+LTP'!AC219</f>
        <v>0</v>
      </c>
      <c r="P88" s="233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2104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0">
        <f>'Berekening MJOP+LTP'!AC225</f>
        <v>0</v>
      </c>
      <c r="P89" s="233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0"/>
      <c r="P90" s="239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-344957.1</v>
      </c>
      <c r="M91" s="64"/>
      <c r="N91" s="250"/>
      <c r="O91" s="261"/>
      <c r="P91" s="240"/>
      <c r="Q91" s="27"/>
    </row>
    <row r="92" spans="2:17" x14ac:dyDescent="0.3">
      <c r="B92" s="206" t="s">
        <v>302</v>
      </c>
      <c r="C92" s="207"/>
      <c r="D92" s="207"/>
      <c r="E92" s="207"/>
      <c r="F92" s="188"/>
      <c r="G92" s="203" t="s">
        <v>153</v>
      </c>
      <c r="H92" s="190">
        <f>F41</f>
        <v>2028</v>
      </c>
      <c r="I92" s="208" t="s">
        <v>29</v>
      </c>
      <c r="J92" s="191">
        <f>K42</f>
        <v>2104</v>
      </c>
      <c r="K92" s="218"/>
      <c r="L92" s="219"/>
      <c r="M92" s="219">
        <f t="shared" ref="M92:O94" si="1">M71+M75+M79+M83+M87</f>
        <v>287829.09748073888</v>
      </c>
      <c r="N92" s="266">
        <f t="shared" si="1"/>
        <v>0</v>
      </c>
      <c r="O92" s="262">
        <f t="shared" si="1"/>
        <v>8496.58814944195</v>
      </c>
      <c r="P92" s="241"/>
    </row>
    <row r="93" spans="2:17" x14ac:dyDescent="0.3">
      <c r="B93" s="210" t="s">
        <v>303</v>
      </c>
      <c r="C93" s="211"/>
      <c r="D93" s="211"/>
      <c r="E93" s="211"/>
      <c r="F93" s="193"/>
      <c r="G93" s="204" t="s">
        <v>153</v>
      </c>
      <c r="H93" s="195">
        <f>F41</f>
        <v>2028</v>
      </c>
      <c r="I93" s="212" t="s">
        <v>29</v>
      </c>
      <c r="J93" s="196">
        <f>K42</f>
        <v>2104</v>
      </c>
      <c r="K93" s="220"/>
      <c r="L93" s="221"/>
      <c r="M93" s="221">
        <f t="shared" si="1"/>
        <v>148657.33624053802</v>
      </c>
      <c r="N93" s="251">
        <f t="shared" si="1"/>
        <v>0</v>
      </c>
      <c r="O93" s="263">
        <f t="shared" si="1"/>
        <v>4388.2990722072018</v>
      </c>
      <c r="P93" s="242"/>
    </row>
    <row r="94" spans="2:17" x14ac:dyDescent="0.3">
      <c r="B94" s="210" t="s">
        <v>301</v>
      </c>
      <c r="C94" s="211"/>
      <c r="D94" s="211"/>
      <c r="E94" s="211"/>
      <c r="F94" s="193"/>
      <c r="G94" s="204" t="s">
        <v>261</v>
      </c>
      <c r="H94" s="195"/>
      <c r="I94" s="212"/>
      <c r="J94" s="196"/>
      <c r="K94" s="224">
        <f>K59</f>
        <v>2104</v>
      </c>
      <c r="L94" s="221">
        <f>L73+L77+L81+L85+L89</f>
        <v>6379008.2640000004</v>
      </c>
      <c r="M94" s="221">
        <f t="shared" si="1"/>
        <v>976650.99083416327</v>
      </c>
      <c r="N94" s="251">
        <f t="shared" si="1"/>
        <v>208</v>
      </c>
      <c r="O94" s="263">
        <f t="shared" si="1"/>
        <v>28830.3069685913</v>
      </c>
      <c r="P94" s="242"/>
    </row>
    <row r="95" spans="2:17" ht="15" thickBot="1" x14ac:dyDescent="0.35">
      <c r="B95" s="214" t="s">
        <v>304</v>
      </c>
      <c r="C95" s="215"/>
      <c r="D95" s="215"/>
      <c r="E95" s="215"/>
      <c r="F95" s="198"/>
      <c r="G95" s="205" t="s">
        <v>261</v>
      </c>
      <c r="H95" s="200"/>
      <c r="I95" s="216"/>
      <c r="J95" s="201"/>
      <c r="K95" s="225">
        <f>K59</f>
        <v>2104</v>
      </c>
      <c r="L95" s="222">
        <f>L91</f>
        <v>-344957.1</v>
      </c>
      <c r="M95" s="222"/>
      <c r="N95" s="252"/>
      <c r="O95" s="264"/>
      <c r="P95" s="242"/>
    </row>
    <row r="97" spans="3:6" ht="15" thickBot="1" x14ac:dyDescent="0.35"/>
    <row r="98" spans="3:6" x14ac:dyDescent="0.3">
      <c r="C98" s="173" t="s">
        <v>262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263</v>
      </c>
      <c r="F99" s="177" t="s">
        <v>264</v>
      </c>
    </row>
    <row r="100" spans="3:6" x14ac:dyDescent="0.3">
      <c r="C100" s="184" t="str">
        <f>'Berekening MJOP+LTP'!K229</f>
        <v>(Constructie) staal spoordek</v>
      </c>
      <c r="D100" s="180"/>
      <c r="E100" s="227">
        <f>'Berekening MJOP+LTP'!Q229</f>
        <v>1.5099000000000002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1150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57">
        <f>'Berekening MJOP+LTP'!Q231</f>
        <v>575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57">
        <f>'Berekening MJOP+LTP'!Q232</f>
        <v>1908.9999999999998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381.79999999999995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 t="str">
        <f>'Berekening MJOP+LTP'!K236</f>
        <v>(Constructie) staal geluidscherm</v>
      </c>
      <c r="D107" s="181"/>
      <c r="E107" s="267">
        <f>'Berekening MJOP+LTP'!Q236</f>
        <v>1.7256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Normal="100" zoomScaleSheetLayoutView="90" workbookViewId="0">
      <pane ySplit="2" topLeftCell="A155" activePane="bottomLeft" state="frozen"/>
      <selection pane="bottomLeft" activeCell="S240" sqref="S24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6640625" style="1" customWidth="1"/>
    <col min="8" max="8" width="5" style="1" customWidth="1"/>
    <col min="9" max="9" width="5.664062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3320312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6640625" style="1" customWidth="1"/>
    <col min="22" max="22" width="8.88671875" style="1" customWidth="1"/>
    <col min="23" max="23" width="7.664062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33203125" style="1" customWidth="1"/>
    <col min="28" max="28" width="3.44140625" style="1" customWidth="1"/>
    <col min="29" max="29" width="8.6640625" style="1" customWidth="1"/>
    <col min="30" max="30" width="3.6640625" style="1" customWidth="1"/>
    <col min="31" max="32" width="7.6640625" style="1" customWidth="1"/>
    <col min="33" max="33" width="8.33203125" style="1" customWidth="1"/>
    <col min="34" max="40" width="7.6640625" style="1" customWidth="1" outlineLevel="1"/>
    <col min="41" max="41" width="9.33203125" style="1" customWidth="1" outlineLevel="1"/>
    <col min="42" max="46" width="7.664062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239</v>
      </c>
      <c r="C1" s="3" t="s">
        <v>240</v>
      </c>
      <c r="D1" s="3" t="s">
        <v>242</v>
      </c>
      <c r="E1" s="3" t="s">
        <v>237</v>
      </c>
      <c r="F1" s="3" t="s">
        <v>0</v>
      </c>
      <c r="G1" s="3"/>
      <c r="H1" s="3"/>
      <c r="I1" s="3" t="s">
        <v>234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238</v>
      </c>
      <c r="C2" s="3" t="s">
        <v>243</v>
      </c>
      <c r="D2" s="3" t="s">
        <v>241</v>
      </c>
      <c r="E2" s="3" t="s">
        <v>236</v>
      </c>
      <c r="F2" s="3"/>
      <c r="G2" s="3"/>
      <c r="H2" s="3"/>
      <c r="I2" s="3" t="s">
        <v>235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291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257</v>
      </c>
      <c r="K9" s="1" t="s">
        <v>25</v>
      </c>
    </row>
    <row r="10" spans="2:236" ht="13.8" x14ac:dyDescent="0.3">
      <c r="B10" s="170"/>
      <c r="D10" s="168" t="s">
        <v>260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290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258</v>
      </c>
    </row>
    <row r="15" spans="2:236" ht="13.8" x14ac:dyDescent="0.3">
      <c r="B15" s="170"/>
      <c r="D15" s="168" t="s">
        <v>259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292</v>
      </c>
      <c r="K17" s="1" t="s">
        <v>253</v>
      </c>
    </row>
    <row r="18" spans="2:236" ht="13.8" x14ac:dyDescent="0.3">
      <c r="B18" s="170"/>
      <c r="D18" s="1" t="s">
        <v>40</v>
      </c>
      <c r="K18" s="1" t="s">
        <v>254</v>
      </c>
    </row>
    <row r="19" spans="2:236" ht="13.8" x14ac:dyDescent="0.3">
      <c r="B19" s="170"/>
      <c r="D19" s="1" t="s">
        <v>258</v>
      </c>
      <c r="K19" s="1" t="s">
        <v>255</v>
      </c>
    </row>
    <row r="20" spans="2:236" ht="13.8" x14ac:dyDescent="0.3">
      <c r="B20" s="170"/>
      <c r="D20" s="168" t="s">
        <v>259</v>
      </c>
      <c r="H20" s="172">
        <v>1.77</v>
      </c>
      <c r="I20" s="167">
        <v>1.77</v>
      </c>
    </row>
    <row r="21" spans="2:236" x14ac:dyDescent="0.25">
      <c r="K21" s="25" t="s">
        <v>149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256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239</v>
      </c>
      <c r="C28" s="3" t="s">
        <v>240</v>
      </c>
      <c r="D28" s="3" t="s">
        <v>242</v>
      </c>
      <c r="E28" s="3" t="s">
        <v>237</v>
      </c>
      <c r="F28" s="3" t="s">
        <v>0</v>
      </c>
      <c r="G28" s="3"/>
      <c r="H28" s="3"/>
      <c r="I28" s="3" t="s">
        <v>234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238</v>
      </c>
      <c r="C29" s="3" t="s">
        <v>243</v>
      </c>
      <c r="D29" s="3" t="s">
        <v>241</v>
      </c>
      <c r="E29" s="3" t="s">
        <v>236</v>
      </c>
      <c r="F29" s="3"/>
      <c r="G29" s="3"/>
      <c r="H29" s="3"/>
      <c r="I29" s="3" t="s">
        <v>235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286</v>
      </c>
      <c r="K31" s="1" t="s">
        <v>287</v>
      </c>
      <c r="O31" s="1" t="s">
        <v>296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280</v>
      </c>
      <c r="K32" s="1" t="s">
        <v>151</v>
      </c>
      <c r="O32" s="1" t="s">
        <v>296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8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5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289</v>
      </c>
      <c r="I35" s="1" t="s">
        <v>288</v>
      </c>
      <c r="K35" s="1" t="s">
        <v>294</v>
      </c>
      <c r="O35" s="1" t="s">
        <v>297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8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305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305</v>
      </c>
      <c r="D39" s="78">
        <v>2</v>
      </c>
      <c r="E39" s="76" t="s">
        <v>305</v>
      </c>
      <c r="F39" s="76" t="s">
        <v>21</v>
      </c>
      <c r="G39" s="76"/>
      <c r="H39" s="76"/>
      <c r="I39" s="76" t="s">
        <v>312</v>
      </c>
      <c r="J39" s="76"/>
      <c r="K39" s="76" t="s">
        <v>311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3">
        <f>H15*1000</f>
        <v>1770</v>
      </c>
      <c r="T39" s="9">
        <f t="shared" si="4"/>
        <v>1770</v>
      </c>
      <c r="U39" s="11">
        <v>1</v>
      </c>
      <c r="V39" s="14"/>
      <c r="W39" s="9">
        <f>Voorblad!K52</f>
        <v>2020</v>
      </c>
      <c r="Y39" s="9">
        <f t="shared" ref="Y39:Y45" si="5">SUM(AE39:EB39)</f>
        <v>1684.7114812611542</v>
      </c>
      <c r="Z39" s="82"/>
      <c r="AA39" s="82"/>
      <c r="AC39" s="9">
        <f>$Y39*(Voorblad!$K$44*(1+Voorblad!$K$44)^Voorblad!$K$37)/((1+Voorblad!$K$44)^Voorblad!$K$37-1)</f>
        <v>192.49305015922792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1684.7114812611542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231</v>
      </c>
      <c r="P46" s="14" t="s">
        <v>281</v>
      </c>
      <c r="Q46" s="83">
        <f>24.81*21.57</f>
        <v>535.15170000000001</v>
      </c>
      <c r="R46" s="81" t="s">
        <v>35</v>
      </c>
      <c r="S46" s="81">
        <v>11920</v>
      </c>
      <c r="T46" s="9">
        <f t="shared" si="4"/>
        <v>6379008.2640000004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2" t="s">
        <v>145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271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252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239</v>
      </c>
      <c r="C54" s="3"/>
      <c r="D54" s="3"/>
      <c r="E54" s="3"/>
      <c r="F54" s="3" t="s">
        <v>0</v>
      </c>
      <c r="G54" s="3"/>
      <c r="H54" s="3"/>
      <c r="I54" s="3" t="s">
        <v>234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238</v>
      </c>
      <c r="I55" s="3" t="s">
        <v>235</v>
      </c>
      <c r="O55" s="14"/>
      <c r="P55" s="14"/>
      <c r="V55" s="3" t="s">
        <v>70</v>
      </c>
      <c r="AC55" s="20" t="s">
        <v>284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279</v>
      </c>
      <c r="K58" s="1" t="s">
        <v>287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280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280</v>
      </c>
      <c r="K60" s="1" t="s">
        <v>154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280</v>
      </c>
      <c r="K61" s="1" t="s">
        <v>147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280</v>
      </c>
      <c r="K62" s="14" t="s">
        <v>166</v>
      </c>
      <c r="L62" s="14"/>
      <c r="M62" s="14"/>
      <c r="N62" s="3"/>
      <c r="P62" s="1" t="s">
        <v>186</v>
      </c>
      <c r="Q62" s="81">
        <v>0</v>
      </c>
      <c r="R62" s="147" t="s">
        <v>198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280</v>
      </c>
      <c r="K63" s="14" t="s">
        <v>170</v>
      </c>
      <c r="L63" s="14"/>
      <c r="M63" s="14"/>
      <c r="N63" s="3"/>
      <c r="O63" s="1" t="s">
        <v>172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280</v>
      </c>
      <c r="K64" s="14" t="s">
        <v>205</v>
      </c>
      <c r="L64" s="14"/>
      <c r="M64" s="14"/>
      <c r="N64" s="3"/>
      <c r="O64" s="1" t="s">
        <v>173</v>
      </c>
      <c r="P64" s="1" t="s">
        <v>176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280</v>
      </c>
      <c r="K65" s="14" t="s">
        <v>171</v>
      </c>
      <c r="L65" s="14"/>
      <c r="M65" s="14"/>
      <c r="N65" s="3"/>
      <c r="O65" s="1" t="s">
        <v>174</v>
      </c>
      <c r="P65" s="1" t="s">
        <v>177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280</v>
      </c>
      <c r="K66" s="14" t="s">
        <v>169</v>
      </c>
      <c r="L66" s="14"/>
      <c r="M66" s="14"/>
      <c r="N66" s="3"/>
      <c r="O66" s="1" t="s">
        <v>174</v>
      </c>
      <c r="P66" s="1" t="s">
        <v>177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280</v>
      </c>
      <c r="K67" s="14" t="s">
        <v>191</v>
      </c>
      <c r="L67" s="14"/>
      <c r="M67" s="14"/>
      <c r="N67" s="3"/>
      <c r="O67" s="1" t="s">
        <v>175</v>
      </c>
      <c r="P67" s="1" t="s">
        <v>178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280</v>
      </c>
      <c r="K68" s="14" t="s">
        <v>95</v>
      </c>
      <c r="L68" s="14"/>
      <c r="M68" s="14"/>
      <c r="N68" s="3"/>
      <c r="O68" s="1" t="s">
        <v>180</v>
      </c>
      <c r="P68" s="1" t="s">
        <v>179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280</v>
      </c>
      <c r="K69" s="14" t="s">
        <v>53</v>
      </c>
      <c r="L69" s="14"/>
      <c r="M69" s="14"/>
      <c r="N69" s="3"/>
      <c r="O69" s="1" t="s">
        <v>180</v>
      </c>
      <c r="P69" s="1" t="s">
        <v>181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280</v>
      </c>
      <c r="K70" s="14" t="s">
        <v>193</v>
      </c>
      <c r="L70" s="14"/>
      <c r="M70" s="14"/>
      <c r="N70" s="3"/>
      <c r="O70" s="1" t="s">
        <v>180</v>
      </c>
      <c r="P70" s="1" t="s">
        <v>182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280</v>
      </c>
      <c r="K71" s="14" t="s">
        <v>156</v>
      </c>
      <c r="L71" s="14"/>
      <c r="M71" s="14"/>
      <c r="N71" s="3"/>
      <c r="O71" s="1" t="s">
        <v>180</v>
      </c>
      <c r="P71" s="1" t="s">
        <v>183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280</v>
      </c>
      <c r="K72" s="14" t="s">
        <v>167</v>
      </c>
      <c r="L72" s="14"/>
      <c r="M72" s="14"/>
      <c r="N72" s="3"/>
      <c r="O72" s="1" t="s">
        <v>180</v>
      </c>
      <c r="P72" s="1" t="s">
        <v>184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280</v>
      </c>
      <c r="K73" s="14" t="s">
        <v>168</v>
      </c>
      <c r="L73" s="14"/>
      <c r="M73" s="14"/>
      <c r="N73" s="3"/>
      <c r="O73" s="1" t="s">
        <v>180</v>
      </c>
      <c r="P73" s="1" t="s">
        <v>185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8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272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148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195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195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195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195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195</v>
      </c>
      <c r="K80" s="1" t="s">
        <v>59</v>
      </c>
      <c r="N80" s="3"/>
      <c r="O80" s="1" t="s">
        <v>189</v>
      </c>
      <c r="P80" s="1" t="s">
        <v>179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195</v>
      </c>
      <c r="K81" s="1" t="s">
        <v>50</v>
      </c>
      <c r="N81" s="3"/>
      <c r="O81" s="1" t="s">
        <v>189</v>
      </c>
      <c r="P81" s="1" t="s">
        <v>181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195</v>
      </c>
      <c r="K82" s="14" t="s">
        <v>192</v>
      </c>
      <c r="N82" s="3"/>
      <c r="O82" s="1" t="s">
        <v>189</v>
      </c>
      <c r="P82" s="1" t="s">
        <v>182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195</v>
      </c>
      <c r="K83" s="14" t="s">
        <v>157</v>
      </c>
      <c r="N83" s="3"/>
      <c r="O83" s="1" t="s">
        <v>189</v>
      </c>
      <c r="P83" s="1" t="s">
        <v>183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195</v>
      </c>
      <c r="K84" s="14" t="s">
        <v>187</v>
      </c>
      <c r="N84" s="3"/>
      <c r="O84" s="1" t="s">
        <v>189</v>
      </c>
      <c r="P84" s="1" t="s">
        <v>184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195</v>
      </c>
      <c r="K85" s="14" t="s">
        <v>188</v>
      </c>
      <c r="N85" s="3"/>
      <c r="O85" s="1" t="s">
        <v>189</v>
      </c>
      <c r="P85" s="1" t="s">
        <v>185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204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162</v>
      </c>
      <c r="N87" s="3"/>
      <c r="P87" s="14" t="s">
        <v>196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190</v>
      </c>
      <c r="N88" s="3"/>
      <c r="P88" s="14" t="s">
        <v>196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194</v>
      </c>
      <c r="N89" s="3"/>
      <c r="P89" s="14" t="s">
        <v>196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197</v>
      </c>
      <c r="N94" s="3"/>
      <c r="Q94" s="81">
        <v>0</v>
      </c>
      <c r="R94" s="147" t="s">
        <v>198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8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273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155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158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159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8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274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279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280</v>
      </c>
      <c r="K110" s="1" t="s">
        <v>114</v>
      </c>
      <c r="O110" s="1" t="s">
        <v>228</v>
      </c>
      <c r="P110" s="14" t="s">
        <v>229</v>
      </c>
      <c r="Q110" s="83">
        <f>50%*((2*24.81*21.57)+(2*(24.81+21.57)*1.9))</f>
        <v>623.27369999999996</v>
      </c>
      <c r="R110" s="1" t="s">
        <v>35</v>
      </c>
      <c r="S110" s="21">
        <f>$H$20*15</f>
        <v>26.55</v>
      </c>
      <c r="T110" s="9">
        <f t="shared" si="20"/>
        <v>16547.916734999999</v>
      </c>
      <c r="U110" s="14">
        <v>10</v>
      </c>
      <c r="V110" s="14"/>
      <c r="Y110" s="9">
        <f t="shared" si="21"/>
        <v>48591.667167008483</v>
      </c>
      <c r="Z110" s="82"/>
      <c r="AA110" s="82"/>
      <c r="AC110" s="9">
        <f>$Y110*(Voorblad!$K$44*(1+Voorblad!$K$44)^Voorblad!$K$41)/((1+Voorblad!$K$44)^Voorblad!$K$41-1)</f>
        <v>1434.4046068534124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12927.206105272411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10098.712748217868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7889.0982583950235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6162.9509505154083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4814.4874324566863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3761.069887363763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2938.1417847873317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280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280</v>
      </c>
      <c r="K112" s="1" t="s">
        <v>147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280</v>
      </c>
      <c r="K113" s="1" t="s">
        <v>161</v>
      </c>
      <c r="P113" s="1" t="s">
        <v>186</v>
      </c>
      <c r="Q113" s="83">
        <f>4*21.57</f>
        <v>86.28</v>
      </c>
      <c r="R113" s="147" t="s">
        <v>198</v>
      </c>
      <c r="S113" s="21">
        <f>$H$20*350</f>
        <v>619.5</v>
      </c>
      <c r="T113" s="9">
        <f t="shared" si="20"/>
        <v>53450.46</v>
      </c>
      <c r="U113" s="14">
        <v>15</v>
      </c>
      <c r="V113" s="14"/>
      <c r="Y113" s="9">
        <f>SUM(AE113:EB113)</f>
        <v>100518.81334511052</v>
      </c>
      <c r="Z113" s="82"/>
      <c r="AA113" s="82"/>
      <c r="AC113" s="9">
        <f>$Y113*(Voorblad!$K$44*(1+Voorblad!$K$44)^Voorblad!$K$41)/((1+Voorblad!$K$44)^Voorblad!$K$41-1)</f>
        <v>2967.2710846101527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36905.701627199938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25482.115824558074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17594.523292239021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12148.412322292321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8388.0602788211636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280</v>
      </c>
      <c r="K114" s="14" t="s">
        <v>170</v>
      </c>
      <c r="L114" s="14"/>
      <c r="M114" s="14"/>
      <c r="O114" s="1" t="s">
        <v>172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280</v>
      </c>
      <c r="K115" s="14" t="s">
        <v>164</v>
      </c>
      <c r="O115" s="14" t="s">
        <v>160</v>
      </c>
      <c r="P115" s="14" t="s">
        <v>201</v>
      </c>
      <c r="Q115" s="84">
        <f>2.5%*4*(3+21.57+3)</f>
        <v>2.7570000000000001</v>
      </c>
      <c r="R115" s="14" t="s">
        <v>34</v>
      </c>
      <c r="S115" s="21">
        <f>$H$20*1000</f>
        <v>1770</v>
      </c>
      <c r="T115" s="21">
        <f t="shared" si="20"/>
        <v>4879.8900000000003</v>
      </c>
      <c r="U115" s="14">
        <v>15</v>
      </c>
      <c r="Y115" s="21">
        <f t="shared" si="22"/>
        <v>9177.1100202817979</v>
      </c>
      <c r="Z115" s="149"/>
      <c r="AA115" s="149"/>
      <c r="AC115" s="9">
        <f>$Y115*(Voorblad!$K$44*(1+Voorblad!$K$44)^Voorblad!$K$41)/((1+Voorblad!$K$44)^Voorblad!$K$41-1)</f>
        <v>270.90424466091105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3369.3959661629983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2326.4518619877681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1606.3348803464794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1109.1189076283176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765.80840415623391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280</v>
      </c>
      <c r="K116" s="14" t="s">
        <v>199</v>
      </c>
      <c r="L116" s="14"/>
      <c r="M116" s="14"/>
      <c r="O116" s="1" t="s">
        <v>173</v>
      </c>
      <c r="P116" s="1" t="s">
        <v>176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280</v>
      </c>
      <c r="K117" s="14" t="s">
        <v>200</v>
      </c>
      <c r="L117" s="14"/>
      <c r="M117" s="14"/>
      <c r="O117" s="1" t="s">
        <v>174</v>
      </c>
      <c r="P117" s="1" t="s">
        <v>177</v>
      </c>
      <c r="Q117" s="84">
        <f>2.5%*2*21.57</f>
        <v>1.0785</v>
      </c>
      <c r="R117" s="1" t="s">
        <v>34</v>
      </c>
      <c r="S117" s="14">
        <f>$H$20*500</f>
        <v>885</v>
      </c>
      <c r="T117" s="9">
        <f t="shared" si="20"/>
        <v>954.47249999999997</v>
      </c>
      <c r="U117" s="14">
        <v>15</v>
      </c>
      <c r="V117" s="14"/>
      <c r="Y117" s="9">
        <f t="shared" si="22"/>
        <v>1794.9788097341163</v>
      </c>
      <c r="Z117" s="82"/>
      <c r="AA117" s="82"/>
      <c r="AC117" s="9">
        <f>$Y117*(Voorblad!$K$44*(1+Voorblad!$K$44)^Voorblad!$K$41)/((1+Voorblad!$K$44)^Voorblad!$K$41-1)</f>
        <v>52.986983653752716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659.03038619999882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455.03778258139414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314.18791593283964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216.93593432664861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149.78679069323508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280</v>
      </c>
      <c r="K118" s="14" t="s">
        <v>213</v>
      </c>
      <c r="L118" s="14"/>
      <c r="M118" s="14"/>
      <c r="O118" s="1" t="s">
        <v>174</v>
      </c>
      <c r="P118" s="1" t="s">
        <v>177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280</v>
      </c>
      <c r="K119" s="14" t="s">
        <v>191</v>
      </c>
      <c r="L119" s="14"/>
      <c r="M119" s="14"/>
      <c r="O119" s="1" t="s">
        <v>175</v>
      </c>
      <c r="P119" s="1" t="s">
        <v>313</v>
      </c>
      <c r="Q119" s="84">
        <f>2.5%*(2*51.57*2)</f>
        <v>5.157</v>
      </c>
      <c r="R119" s="1" t="s">
        <v>35</v>
      </c>
      <c r="S119" s="14">
        <f>$H$20*500</f>
        <v>885</v>
      </c>
      <c r="T119" s="9">
        <f t="shared" si="20"/>
        <v>4563.9449999999997</v>
      </c>
      <c r="U119" s="14">
        <v>15</v>
      </c>
      <c r="V119" s="14"/>
      <c r="Y119" s="9">
        <f t="shared" si="22"/>
        <v>8582.9445728315604</v>
      </c>
      <c r="Z119" s="82"/>
      <c r="AA119" s="82"/>
      <c r="AC119" s="9">
        <f>$Y119*(Voorblad!$K$44*(1+Voorblad!$K$44)^Voorblad!$K$41)/((1+Voorblad!$K$44)^Voorblad!$K$41-1)</f>
        <v>253.36474242225569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3151.2468258075046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2175.8273943182658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1502.3338734034808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1037.3097944576048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716.22668484470398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280</v>
      </c>
      <c r="K120" s="1" t="s">
        <v>208</v>
      </c>
      <c r="O120" s="1" t="s">
        <v>180</v>
      </c>
      <c r="P120" s="1" t="s">
        <v>181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280</v>
      </c>
      <c r="K121" s="14" t="s">
        <v>207</v>
      </c>
      <c r="L121" s="14"/>
      <c r="M121" s="14"/>
      <c r="O121" s="1" t="s">
        <v>180</v>
      </c>
      <c r="P121" s="1" t="s">
        <v>182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280</v>
      </c>
      <c r="K122" s="14" t="s">
        <v>203</v>
      </c>
      <c r="L122" s="14"/>
      <c r="M122" s="14"/>
      <c r="O122" s="1" t="s">
        <v>180</v>
      </c>
      <c r="P122" s="1" t="s">
        <v>183</v>
      </c>
      <c r="Q122" s="83">
        <f>2*21.57</f>
        <v>43.14</v>
      </c>
      <c r="R122" s="1" t="s">
        <v>34</v>
      </c>
      <c r="S122" s="14">
        <f>$H$20*100</f>
        <v>177</v>
      </c>
      <c r="T122" s="1">
        <f t="shared" si="20"/>
        <v>7635.78</v>
      </c>
      <c r="U122" s="14">
        <v>15</v>
      </c>
      <c r="V122" s="14"/>
      <c r="Y122" s="9">
        <f t="shared" si="23"/>
        <v>14359.830477872931</v>
      </c>
      <c r="Z122" s="82"/>
      <c r="AA122" s="82"/>
      <c r="AC122" s="9">
        <f>$Y122*(Voorblad!$K$44*(1+Voorblad!$K$44)^Voorblad!$K$41)/((1+Voorblad!$K$44)^Voorblad!$K$41-1)</f>
        <v>423.89586923002173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5272.2430895999905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3640.3022606511531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2513.5033274627172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1735.4874746131889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1198.2943255458806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280</v>
      </c>
      <c r="K123" s="14" t="s">
        <v>202</v>
      </c>
      <c r="L123" s="14"/>
      <c r="M123" s="14"/>
      <c r="O123" s="1" t="s">
        <v>180</v>
      </c>
      <c r="P123" s="1" t="s">
        <v>184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280</v>
      </c>
      <c r="K124" s="14" t="s">
        <v>209</v>
      </c>
      <c r="L124" s="14"/>
      <c r="M124" s="14"/>
      <c r="O124" s="1" t="s">
        <v>180</v>
      </c>
      <c r="P124" s="1" t="s">
        <v>185</v>
      </c>
      <c r="Q124" s="84">
        <f>2*21.57*2</f>
        <v>86.28</v>
      </c>
      <c r="R124" s="1" t="s">
        <v>35</v>
      </c>
      <c r="S124" s="21">
        <f>$H$20*0.6*100</f>
        <v>106.2</v>
      </c>
      <c r="T124" s="9">
        <f t="shared" si="20"/>
        <v>9162.9359999999997</v>
      </c>
      <c r="U124" s="14">
        <v>15</v>
      </c>
      <c r="V124" s="14"/>
      <c r="Y124" s="9">
        <f t="shared" si="23"/>
        <v>17231.796573447518</v>
      </c>
      <c r="Z124" s="82"/>
      <c r="AA124" s="82"/>
      <c r="AC124" s="228">
        <f>$Y124*(Voorblad!$K$44*(1+Voorblad!$K$44)^Voorblad!$K$41)/((1+Voorblad!$K$44)^Voorblad!$K$41-1)</f>
        <v>508.67504307602616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6326.691707519989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4368.3627127813843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3016.2039929552607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2082.5849695358265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1437.9531906550567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272</v>
      </c>
      <c r="C125" s="2"/>
      <c r="S125" s="14"/>
      <c r="U125" s="14"/>
      <c r="V125" s="14"/>
      <c r="Y125" s="23">
        <f>SUM(Y109:Y124)</f>
        <v>205934.98724216319</v>
      </c>
      <c r="Z125" s="24"/>
      <c r="AA125" s="23">
        <f>SUM(AA109:AA124)</f>
        <v>0</v>
      </c>
      <c r="AC125" s="9">
        <f>$Y125*(Voorblad!$K$44*(1+Voorblad!$K$44)^Voorblad!$K$41)/((1+Voorblad!$K$44)^Voorblad!$K$41-1)</f>
        <v>6079.1100950950013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13618.56669079968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56295.371620292928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10638.802532647933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46759.113371658219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6492.5520524879666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26838.406629519061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5071.9712865246875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22292.065265485773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3095.276699180336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12795.014042535686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148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195</v>
      </c>
      <c r="K131" s="1" t="s">
        <v>214</v>
      </c>
      <c r="O131" s="1" t="s">
        <v>189</v>
      </c>
      <c r="P131" s="1" t="s">
        <v>181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195</v>
      </c>
      <c r="K132" s="14" t="s">
        <v>215</v>
      </c>
      <c r="O132" s="1" t="s">
        <v>189</v>
      </c>
      <c r="P132" s="1" t="s">
        <v>182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195</v>
      </c>
      <c r="K133" s="1" t="s">
        <v>211</v>
      </c>
      <c r="O133" s="1" t="s">
        <v>189</v>
      </c>
      <c r="P133" s="1" t="s">
        <v>183</v>
      </c>
      <c r="Q133" s="84">
        <f>2*21.57</f>
        <v>43.14</v>
      </c>
      <c r="R133" s="1" t="s">
        <v>34</v>
      </c>
      <c r="S133" s="21">
        <f>$H$10*125</f>
        <v>297.5</v>
      </c>
      <c r="T133" s="9">
        <f t="shared" si="104"/>
        <v>12834.15</v>
      </c>
      <c r="U133" s="14">
        <v>30</v>
      </c>
      <c r="V133" s="14"/>
      <c r="Y133" s="9">
        <f t="shared" si="21"/>
        <v>9035.5787923228345</v>
      </c>
      <c r="Z133" s="82"/>
      <c r="AA133" s="82"/>
      <c r="AC133" s="9">
        <f>$Y133*(Voorblad!$K$44*(1+Voorblad!$K$44)^Voorblad!$K$41)/((1+Voorblad!$K$44)^Voorblad!$K$41-1)</f>
        <v>266.72630516564311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6118.5871330153568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2916.9916593074781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195</v>
      </c>
      <c r="K134" s="14" t="s">
        <v>212</v>
      </c>
      <c r="O134" s="1" t="s">
        <v>189</v>
      </c>
      <c r="P134" s="1" t="s">
        <v>184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195</v>
      </c>
      <c r="K135" s="14" t="s">
        <v>210</v>
      </c>
      <c r="O135" s="1" t="s">
        <v>189</v>
      </c>
      <c r="P135" s="1" t="s">
        <v>185</v>
      </c>
      <c r="Q135" s="84">
        <f>2*21.57*2</f>
        <v>86.28</v>
      </c>
      <c r="R135" s="1" t="s">
        <v>35</v>
      </c>
      <c r="S135" s="21">
        <f>$H$10*0.6*125</f>
        <v>178.5</v>
      </c>
      <c r="T135" s="9">
        <f t="shared" si="104"/>
        <v>15400.98</v>
      </c>
      <c r="U135" s="14">
        <v>30</v>
      </c>
      <c r="V135" s="14"/>
      <c r="Y135" s="9">
        <f t="shared" si="107"/>
        <v>10842.694550787401</v>
      </c>
      <c r="Z135" s="82"/>
      <c r="AA135" s="82"/>
      <c r="AC135" s="9">
        <f>$Y135*(Voorblad!$K$44*(1+Voorblad!$K$44)^Voorblad!$K$41)/((1+Voorblad!$K$44)^Voorblad!$K$41-1)</f>
        <v>320.07156619877173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7342.3045596184274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3500.3899911689741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186</v>
      </c>
      <c r="Q136" s="83">
        <f>4*21.57</f>
        <v>86.28</v>
      </c>
      <c r="R136" s="147" t="s">
        <v>198</v>
      </c>
      <c r="S136" s="14">
        <f>$H$10*500</f>
        <v>1190</v>
      </c>
      <c r="T136" s="9">
        <f t="shared" si="104"/>
        <v>102673.2</v>
      </c>
      <c r="U136" s="14">
        <v>50</v>
      </c>
      <c r="V136" s="14"/>
      <c r="Y136" s="9">
        <f>SUM(AE136:EB136)</f>
        <v>29871.967509033511</v>
      </c>
      <c r="Z136" s="82"/>
      <c r="AA136" s="82"/>
      <c r="AC136" s="9">
        <f>$Y136*(Voorblad!$K$44*(1+Voorblad!$K$44)^Voorblad!$K$41)/((1+Voorblad!$K$44)^Voorblad!$K$41-1)</f>
        <v>881.80732024410315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29871.967509033511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163</v>
      </c>
      <c r="O137" s="14" t="s">
        <v>216</v>
      </c>
      <c r="P137" s="14" t="s">
        <v>219</v>
      </c>
      <c r="Q137" s="84">
        <f>7.5%*2*43</f>
        <v>6.45</v>
      </c>
      <c r="R137" s="14" t="s">
        <v>34</v>
      </c>
      <c r="S137" s="21">
        <f>$H$10*1000</f>
        <v>2380</v>
      </c>
      <c r="T137" s="21">
        <f t="shared" si="104"/>
        <v>15351</v>
      </c>
      <c r="U137" s="14">
        <v>50</v>
      </c>
      <c r="Y137" s="21">
        <f t="shared" ref="Y137" si="108">SUM(AE137:EB137)</f>
        <v>4466.2538347998643</v>
      </c>
      <c r="Z137" s="149"/>
      <c r="AA137" s="149"/>
      <c r="AC137" s="9">
        <f>$Y137*(Voorblad!$K$44*(1+Voorblad!$K$44)^Voorblad!$K$41)/((1+Voorblad!$K$44)^Voorblad!$K$41-1)</f>
        <v>131.84184551632973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4466.2538347998643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206</v>
      </c>
      <c r="Q138" s="81">
        <v>0</v>
      </c>
      <c r="R138" s="1" t="s">
        <v>35</v>
      </c>
      <c r="S138" s="14">
        <f>$H$10*2000</f>
        <v>4760</v>
      </c>
      <c r="T138" s="9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162</v>
      </c>
      <c r="P139" s="14" t="s">
        <v>196</v>
      </c>
      <c r="Q139" s="84">
        <f>2*21.57</f>
        <v>43.14</v>
      </c>
      <c r="R139" s="1" t="s">
        <v>34</v>
      </c>
      <c r="S139" s="14">
        <f>$H$10*400</f>
        <v>952</v>
      </c>
      <c r="T139" s="9">
        <f t="shared" si="104"/>
        <v>41069.279999999999</v>
      </c>
      <c r="U139" s="14">
        <v>50</v>
      </c>
      <c r="V139" s="14"/>
      <c r="Y139" s="9">
        <f t="shared" si="107"/>
        <v>11948.787003613405</v>
      </c>
      <c r="Z139" s="82"/>
      <c r="AA139" s="82"/>
      <c r="AC139" s="9">
        <f>$Y139*(Voorblad!$K$44*(1+Voorblad!$K$44)^Voorblad!$K$41)/((1+Voorblad!$K$44)^Voorblad!$K$41-1)</f>
        <v>352.72292809764127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11948.787003613405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190</v>
      </c>
      <c r="P140" s="14" t="s">
        <v>196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194</v>
      </c>
      <c r="P141" s="14" t="s">
        <v>196</v>
      </c>
      <c r="Q141" s="84">
        <f>2*21.57*2</f>
        <v>86.28</v>
      </c>
      <c r="R141" s="1" t="s">
        <v>35</v>
      </c>
      <c r="S141" s="14">
        <f>$H$10*400</f>
        <v>952</v>
      </c>
      <c r="T141" s="9">
        <f t="shared" si="104"/>
        <v>82138.559999999998</v>
      </c>
      <c r="U141" s="14">
        <v>50</v>
      </c>
      <c r="V141" s="14"/>
      <c r="Y141" s="9">
        <f t="shared" si="107"/>
        <v>23897.574007226809</v>
      </c>
      <c r="Z141" s="82"/>
      <c r="AA141" s="82"/>
      <c r="AC141" s="9">
        <f>$Y141*(Voorblad!$K$44*(1+Voorblad!$K$44)^Voorblad!$K$41)/((1+Voorblad!$K$44)^Voorblad!$K$41-1)</f>
        <v>705.44585619528254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23897.574007226809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20</v>
      </c>
      <c r="R142" s="1" t="s">
        <v>75</v>
      </c>
      <c r="S142" s="14">
        <f>$H$10*1500</f>
        <v>3570</v>
      </c>
      <c r="T142" s="9">
        <f t="shared" si="104"/>
        <v>71400</v>
      </c>
      <c r="U142" s="14">
        <v>50</v>
      </c>
      <c r="V142" s="14"/>
      <c r="Y142" s="9">
        <f>SUM(AE142:EB142)</f>
        <v>20773.273650231928</v>
      </c>
      <c r="Z142" s="82"/>
      <c r="AA142" s="82"/>
      <c r="AC142" s="9">
        <f>$Y142*(Voorblad!$K$44*(1+Voorblad!$K$44)^Voorblad!$K$41)/((1+Voorblad!$K$44)^Voorblad!$K$41-1)</f>
        <v>613.21788612246394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20773.273650231928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197</v>
      </c>
      <c r="Q146" s="83">
        <f>4*21.57</f>
        <v>86.28</v>
      </c>
      <c r="R146" s="147" t="s">
        <v>198</v>
      </c>
      <c r="S146" s="14">
        <f>$H$10*500</f>
        <v>1190</v>
      </c>
      <c r="T146" s="9">
        <f t="shared" si="104"/>
        <v>102673.2</v>
      </c>
      <c r="U146" s="14">
        <v>50</v>
      </c>
      <c r="V146" s="14"/>
      <c r="Y146" s="9">
        <f>SUM(AE146:EB146)</f>
        <v>29871.967509033511</v>
      </c>
      <c r="Z146" s="82"/>
      <c r="AA146" s="82"/>
      <c r="AC146" s="228">
        <f>$Y146*(Voorblad!$K$44*(1+Voorblad!$K$44)^Voorblad!$K$41)/((1+Voorblad!$K$44)^Voorblad!$K$41-1)</f>
        <v>881.80732024410315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29871.967509033511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273</v>
      </c>
      <c r="C147" s="2"/>
      <c r="D147" s="22"/>
      <c r="N147" s="6"/>
      <c r="S147" s="14"/>
      <c r="U147" s="14"/>
      <c r="V147" s="14"/>
      <c r="Y147" s="23">
        <f>SUM(Y127:Y146)</f>
        <v>140708.09685704927</v>
      </c>
      <c r="Z147" s="24"/>
      <c r="AA147" s="23">
        <f>SUM(AA127:AA146)</f>
        <v>0</v>
      </c>
      <c r="AC147" s="9">
        <f>$Y147*(Voorblad!$K$44*(1+Voorblad!$K$44)^Voorblad!$K$41)/((1+Voorblad!$K$44)^Voorblad!$K$41-1)</f>
        <v>4153.6410277843388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13460.891692633784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120829.82351393903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6417.3816504764527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232</v>
      </c>
      <c r="Q149" s="83">
        <f>24.81*21.57</f>
        <v>535.15170000000001</v>
      </c>
      <c r="R149" s="81" t="s">
        <v>35</v>
      </c>
      <c r="S149" s="81">
        <v>7860</v>
      </c>
      <c r="T149" s="21">
        <f>Q149*S149</f>
        <v>4206292.3619999997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643999.73053326539</v>
      </c>
      <c r="Z149" s="82" t="s">
        <v>282</v>
      </c>
      <c r="AA149" s="82">
        <v>104</v>
      </c>
      <c r="AC149" s="9">
        <f>$Y149*(Voorblad!$K$44*(1+Voorblad!$K$44)^Voorblad!$K$41)/((1+Voorblad!$K$44)^Voorblad!$K$41-1)</f>
        <v>19010.588319893253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643999.73053326539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84125.847240000003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168251.69448000001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294440.46534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8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274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4206292.3619999997</v>
      </c>
      <c r="U154" s="14"/>
      <c r="V154" s="14"/>
      <c r="W154" s="14"/>
      <c r="X154" s="6"/>
      <c r="Y154" s="23">
        <f>SUM(Y149:Y153)</f>
        <v>643999.73053326539</v>
      </c>
      <c r="Z154" s="24"/>
      <c r="AA154" s="23">
        <f>SUM(AA149:AA153)</f>
        <v>104</v>
      </c>
      <c r="AC154" s="9">
        <f>$Y154*(Voorblad!$K$44*(1+Voorblad!$K$44)^Voorblad!$K$41)/((1+Voorblad!$K$44)^Voorblad!$K$41-1)</f>
        <v>19010.588319893253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279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280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280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280</v>
      </c>
      <c r="K161" s="1" t="s">
        <v>147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280</v>
      </c>
      <c r="K162" s="1" t="s">
        <v>217</v>
      </c>
      <c r="P162" s="1" t="s">
        <v>186</v>
      </c>
      <c r="Q162" s="83">
        <v>0</v>
      </c>
      <c r="R162" s="147" t="s">
        <v>198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280</v>
      </c>
      <c r="K163" s="14" t="s">
        <v>164</v>
      </c>
      <c r="O163" s="14" t="s">
        <v>160</v>
      </c>
      <c r="P163" s="14" t="s">
        <v>201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280</v>
      </c>
      <c r="K164" s="14" t="s">
        <v>199</v>
      </c>
      <c r="L164" s="14"/>
      <c r="M164" s="14"/>
      <c r="O164" s="1" t="s">
        <v>173</v>
      </c>
      <c r="P164" s="1" t="s">
        <v>176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280</v>
      </c>
      <c r="K165" s="14" t="s">
        <v>200</v>
      </c>
      <c r="L165" s="14"/>
      <c r="M165" s="14"/>
      <c r="O165" s="1" t="s">
        <v>174</v>
      </c>
      <c r="P165" s="1" t="s">
        <v>177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280</v>
      </c>
      <c r="K166" s="14" t="s">
        <v>213</v>
      </c>
      <c r="L166" s="14"/>
      <c r="M166" s="14"/>
      <c r="O166" s="1" t="s">
        <v>174</v>
      </c>
      <c r="P166" s="1" t="s">
        <v>177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280</v>
      </c>
      <c r="K167" s="14" t="s">
        <v>191</v>
      </c>
      <c r="L167" s="14"/>
      <c r="M167" s="14"/>
      <c r="O167" s="1" t="s">
        <v>175</v>
      </c>
      <c r="P167" s="1" t="s">
        <v>178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280</v>
      </c>
      <c r="K168" s="14" t="s">
        <v>207</v>
      </c>
      <c r="L168" s="14"/>
      <c r="M168" s="14"/>
      <c r="O168" s="1" t="s">
        <v>180</v>
      </c>
      <c r="P168" s="1" t="s">
        <v>182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280</v>
      </c>
      <c r="K169" s="14" t="s">
        <v>203</v>
      </c>
      <c r="L169" s="14"/>
      <c r="M169" s="14"/>
      <c r="O169" s="1" t="s">
        <v>180</v>
      </c>
      <c r="P169" s="1" t="s">
        <v>183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280</v>
      </c>
      <c r="K170" s="14" t="s">
        <v>202</v>
      </c>
      <c r="L170" s="14"/>
      <c r="M170" s="14"/>
      <c r="O170" s="1" t="s">
        <v>180</v>
      </c>
      <c r="P170" s="1" t="s">
        <v>184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280</v>
      </c>
      <c r="K171" s="14" t="s">
        <v>209</v>
      </c>
      <c r="L171" s="14"/>
      <c r="M171" s="14"/>
      <c r="O171" s="1" t="s">
        <v>180</v>
      </c>
      <c r="P171" s="1" t="s">
        <v>185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8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272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195</v>
      </c>
      <c r="K174" s="14" t="s">
        <v>215</v>
      </c>
      <c r="O174" s="1" t="s">
        <v>189</v>
      </c>
      <c r="P174" s="1" t="s">
        <v>182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195</v>
      </c>
      <c r="K175" s="1" t="s">
        <v>211</v>
      </c>
      <c r="O175" s="1" t="s">
        <v>189</v>
      </c>
      <c r="P175" s="1" t="s">
        <v>183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195</v>
      </c>
      <c r="K176" s="14" t="s">
        <v>212</v>
      </c>
      <c r="O176" s="1" t="s">
        <v>189</v>
      </c>
      <c r="P176" s="1" t="s">
        <v>184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195</v>
      </c>
      <c r="K177" s="14" t="s">
        <v>210</v>
      </c>
      <c r="O177" s="1" t="s">
        <v>189</v>
      </c>
      <c r="P177" s="1" t="s">
        <v>185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186</v>
      </c>
      <c r="Q178" s="83">
        <v>0</v>
      </c>
      <c r="R178" s="147" t="s">
        <v>198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163</v>
      </c>
      <c r="O179" s="14" t="s">
        <v>216</v>
      </c>
      <c r="P179" s="14" t="s">
        <v>219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206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218</v>
      </c>
      <c r="P181" s="14" t="s">
        <v>196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165</v>
      </c>
      <c r="P182" s="14" t="s">
        <v>196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194</v>
      </c>
      <c r="P183" s="14" t="s">
        <v>196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197</v>
      </c>
      <c r="Q184" s="81">
        <v>0</v>
      </c>
      <c r="R184" s="147" t="s">
        <v>198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8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273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8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274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279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280</v>
      </c>
      <c r="K196" s="1" t="s">
        <v>83</v>
      </c>
      <c r="O196" s="1" t="s">
        <v>135</v>
      </c>
      <c r="P196" s="1" t="s">
        <v>314</v>
      </c>
      <c r="Q196" s="84">
        <f>2*5.6*41</f>
        <v>459.2</v>
      </c>
      <c r="R196" s="1" t="s">
        <v>35</v>
      </c>
      <c r="S196" s="21">
        <f>$H$20*15</f>
        <v>26.55</v>
      </c>
      <c r="T196" s="9">
        <f>Q196*S196</f>
        <v>12191.76</v>
      </c>
      <c r="U196" s="14">
        <v>10</v>
      </c>
      <c r="V196" s="14"/>
      <c r="Y196" s="9">
        <f t="shared" si="199"/>
        <v>35800.152586400327</v>
      </c>
      <c r="Z196" s="82"/>
      <c r="AA196" s="82"/>
      <c r="AC196" s="9">
        <f>$Y196*(Voorblad!$K$44*(1+Voorblad!$K$44)^Voorblad!$K$41)/((1+Voorblad!$K$44)^Voorblad!$K$41-1)</f>
        <v>1056.8047319613954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9524.1834262236498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7440.276870308574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5812.332399481953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4540.584780773961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3547.0975736407786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2770.986955293381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2164.6905806780278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280</v>
      </c>
      <c r="K197" s="1" t="s">
        <v>84</v>
      </c>
      <c r="O197" s="1" t="s">
        <v>134</v>
      </c>
      <c r="Q197" s="84">
        <f>2*2.5*41</f>
        <v>205</v>
      </c>
      <c r="R197" s="1" t="s">
        <v>35</v>
      </c>
      <c r="S197" s="21">
        <f>$H$20*20</f>
        <v>35.4</v>
      </c>
      <c r="T197" s="1">
        <f>Q197*S197</f>
        <v>7257</v>
      </c>
      <c r="U197" s="14">
        <v>10</v>
      </c>
      <c r="V197" s="14"/>
      <c r="Y197" s="9">
        <f>SUM(AE197:EB197)</f>
        <v>21309.614634762096</v>
      </c>
      <c r="Z197" s="82"/>
      <c r="AA197" s="82"/>
      <c r="AC197" s="9">
        <f>$Y197*(Voorblad!$K$44*(1+Voorblad!$K$44)^Voorblad!$K$41)/((1+Voorblad!$K$44)^Voorblad!$K$41-1)</f>
        <v>629.05043569130657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5669.156801323601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4428.7362323265315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3459.7216663583054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2702.729036174977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2111.3676033576062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1649.3969971984409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1288.5062980226355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280</v>
      </c>
      <c r="K198" s="1" t="s">
        <v>82</v>
      </c>
      <c r="O198" s="1" t="s">
        <v>220</v>
      </c>
      <c r="P198" s="1" t="s">
        <v>176</v>
      </c>
      <c r="Q198" s="84">
        <f>2.5%*Q196</f>
        <v>11.48</v>
      </c>
      <c r="R198" s="1" t="s">
        <v>35</v>
      </c>
      <c r="S198" s="14">
        <f>$H$20*500</f>
        <v>885</v>
      </c>
      <c r="T198" s="9">
        <f>Q198*S198</f>
        <v>10159.800000000001</v>
      </c>
      <c r="U198" s="14">
        <v>15</v>
      </c>
      <c r="V198" s="14"/>
      <c r="Y198" s="9">
        <f t="shared" si="199"/>
        <v>19106.496741537005</v>
      </c>
      <c r="Z198" s="82"/>
      <c r="AA198" s="82"/>
      <c r="AC198" s="228">
        <f>$Y198*(Voorblad!$K$44*(1+Voorblad!$K$44)^Voorblad!$K$41)/((1+Voorblad!$K$44)^Voorblad!$K$41-1)</f>
        <v>564.01536610577784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7014.991964372728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4843.6103329016278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3344.3461056179876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2309.1557960778177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1594.3925425668417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81894.110238575697</v>
      </c>
      <c r="Z199" s="24"/>
      <c r="AA199" s="23">
        <f>SUM(AA195:AA198)</f>
        <v>0</v>
      </c>
      <c r="AC199" s="9">
        <f>$Y199*(Voorblad!$K$44*(1+Voorblad!$K$44)^Voorblad!$K$41)/((1+Voorblad!$K$44)^Voorblad!$K$41-1)</f>
        <v>2417.4780543469487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272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224</v>
      </c>
      <c r="P201" s="1" t="s">
        <v>225</v>
      </c>
      <c r="Q201" s="84">
        <f>5%*Q196</f>
        <v>22.96</v>
      </c>
      <c r="R201" s="1" t="s">
        <v>35</v>
      </c>
      <c r="S201" s="14">
        <f>$H$10*500</f>
        <v>1190</v>
      </c>
      <c r="T201" s="9">
        <f>Q201*S201</f>
        <v>27322.400000000001</v>
      </c>
      <c r="U201" s="14">
        <v>50</v>
      </c>
      <c r="V201" s="14"/>
      <c r="Y201" s="9">
        <f t="shared" si="199"/>
        <v>7949.2393834887507</v>
      </c>
      <c r="Z201" s="82"/>
      <c r="AA201" s="82"/>
      <c r="AC201" s="228">
        <f>$Y201*(Voorblad!$K$44*(1+Voorblad!$K$44)^Voorblad!$K$41)/((1+Voorblad!$K$44)^Voorblad!$K$41-1)</f>
        <v>234.65804442286284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7949.2393834887507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273</v>
      </c>
      <c r="C202" s="2"/>
      <c r="D202" s="15"/>
      <c r="S202" s="14"/>
      <c r="U202" s="14"/>
      <c r="V202" s="14"/>
      <c r="Y202" s="23">
        <f>SUM(Y201)</f>
        <v>7949.2393834887507</v>
      </c>
      <c r="Z202" s="24"/>
      <c r="AA202" s="23">
        <f>SUM(AA201)</f>
        <v>0</v>
      </c>
      <c r="AC202" s="9">
        <f>$Y202*(Voorblad!$K$44*(1+Voorblad!$K$44)^Voorblad!$K$41)/((1+Voorblad!$K$44)^Voorblad!$K$41-1)</f>
        <v>234.65804442286284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315</v>
      </c>
      <c r="Q204" s="83">
        <f>24.81*21.57</f>
        <v>535.15170000000001</v>
      </c>
      <c r="R204" s="81" t="s">
        <v>35</v>
      </c>
      <c r="S204" s="81">
        <v>4060</v>
      </c>
      <c r="T204" s="9">
        <f>Q204*S204</f>
        <v>2172715.9020000002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332651.26030089793</v>
      </c>
      <c r="Z204" s="82" t="s">
        <v>282</v>
      </c>
      <c r="AA204" s="82">
        <v>104</v>
      </c>
      <c r="AC204" s="9">
        <f>$Y204*(Voorblad!$K$44*(1+Voorblad!$K$44)^Voorblad!$K$41)/((1+Voorblad!$K$44)^Voorblad!$K$41-1)</f>
        <v>9819.7186486980445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332651.26030089793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43454.318040000006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86908.636080000011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152090.11314000003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8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274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2172715.9020000002</v>
      </c>
      <c r="U208" s="14"/>
      <c r="V208" s="14"/>
      <c r="W208" s="14"/>
      <c r="X208" s="6"/>
      <c r="Y208" s="23">
        <f>SUM(Y204:Y207)</f>
        <v>332651.26030089793</v>
      </c>
      <c r="Z208" s="24"/>
      <c r="AA208" s="23">
        <f>SUM(AA204:AA207)</f>
        <v>104</v>
      </c>
      <c r="AC208" s="9">
        <f>$Y208*(Voorblad!$K$44*(1+Voorblad!$K$44)^Voorblad!$K$41)/((1+Voorblad!$K$44)^Voorblad!$K$41-1)</f>
        <v>9819.7186486980445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279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280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280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280</v>
      </c>
      <c r="K215" s="1" t="s">
        <v>88</v>
      </c>
      <c r="O215" s="1" t="s">
        <v>220</v>
      </c>
      <c r="P215" s="1" t="s">
        <v>176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8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272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223</v>
      </c>
      <c r="O218" s="1" t="s">
        <v>221</v>
      </c>
      <c r="P218" s="1" t="s">
        <v>222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8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273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8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276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265</v>
      </c>
      <c r="P229" s="1" t="s">
        <v>316</v>
      </c>
      <c r="Q229" s="84">
        <f>2*21.57*0.035</f>
        <v>1.5099000000000002</v>
      </c>
      <c r="R229" s="1" t="s">
        <v>102</v>
      </c>
      <c r="S229" s="1">
        <v>-200</v>
      </c>
      <c r="T229" s="21">
        <f t="shared" ref="T229:T236" si="201">Q229*S229</f>
        <v>-301.98000000000008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-46.234313235889033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-46.234313235889033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266</v>
      </c>
      <c r="O230" s="1" t="s">
        <v>104</v>
      </c>
      <c r="P230" s="1" t="s">
        <v>320</v>
      </c>
      <c r="Q230" s="83">
        <f>2*575</f>
        <v>1150</v>
      </c>
      <c r="R230" s="1" t="s">
        <v>102</v>
      </c>
      <c r="S230" s="1">
        <v>-50</v>
      </c>
      <c r="T230" s="21">
        <f t="shared" si="201"/>
        <v>-57500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-8803.4737766197049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-8803.4737766197049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267</v>
      </c>
      <c r="O231" s="1" t="s">
        <v>103</v>
      </c>
      <c r="Q231" s="83">
        <f>0.5*Q230</f>
        <v>575</v>
      </c>
      <c r="R231" s="1" t="s">
        <v>102</v>
      </c>
      <c r="S231" s="1">
        <v>-200</v>
      </c>
      <c r="T231" s="21">
        <f t="shared" si="201"/>
        <v>-115000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-17606.94755323941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-17606.94755323941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268</v>
      </c>
      <c r="O232" s="1" t="s">
        <v>139</v>
      </c>
      <c r="P232" s="1" t="s">
        <v>319</v>
      </c>
      <c r="Q232" s="83">
        <f>2.3*830</f>
        <v>1908.9999999999998</v>
      </c>
      <c r="R232" s="1" t="s">
        <v>102</v>
      </c>
      <c r="S232" s="1">
        <v>-50</v>
      </c>
      <c r="T232" s="21">
        <f t="shared" si="201"/>
        <v>-95449.999999999985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-14613.766469188709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-14613.766469188709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269</v>
      </c>
      <c r="O233" s="1" t="s">
        <v>138</v>
      </c>
      <c r="Q233" s="83">
        <f>0.2*Q232</f>
        <v>381.79999999999995</v>
      </c>
      <c r="R233" s="1" t="s">
        <v>102</v>
      </c>
      <c r="S233" s="1">
        <v>-200</v>
      </c>
      <c r="T233" s="21">
        <f t="shared" si="201"/>
        <v>-76359.999999999985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-11691.013175350967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-11691.013175350967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270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317</v>
      </c>
      <c r="P236" s="1" t="s">
        <v>318</v>
      </c>
      <c r="Q236" s="84">
        <f>2*21.57*2*0.02</f>
        <v>1.7256</v>
      </c>
      <c r="R236" s="81" t="s">
        <v>102</v>
      </c>
      <c r="S236" s="81">
        <v>-200</v>
      </c>
      <c r="T236" s="21">
        <f t="shared" si="201"/>
        <v>-345.12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-52.839215126730309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-52.839215126730309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275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-344957.1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2019-12-11T13:53:30Z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