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6A32C869-7897-4C68-8C62-AF30C56CD611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29" i="1" l="1"/>
  <c r="Q236" i="1"/>
  <c r="N61" i="2" l="1"/>
  <c r="N60" i="2"/>
  <c r="J61" i="2"/>
  <c r="H61" i="2"/>
  <c r="Q233" i="1" l="1"/>
  <c r="Q232" i="1"/>
  <c r="Q230" i="1"/>
  <c r="Q231" i="1" s="1"/>
  <c r="Q204" i="1"/>
  <c r="Q198" i="1"/>
  <c r="Q197" i="1"/>
  <c r="Q196" i="1"/>
  <c r="Q201" i="1" s="1"/>
  <c r="AA46" i="1"/>
  <c r="W149" i="1"/>
  <c r="W46" i="1"/>
  <c r="Q119" i="1"/>
  <c r="Q117" i="1"/>
  <c r="Q149" i="1"/>
  <c r="Q146" i="1"/>
  <c r="Q141" i="1"/>
  <c r="Q139" i="1"/>
  <c r="Q137" i="1"/>
  <c r="Q136" i="1"/>
  <c r="Q135" i="1"/>
  <c r="Q133" i="1"/>
  <c r="Q115" i="1"/>
  <c r="Q113" i="1"/>
  <c r="Q110" i="1"/>
  <c r="Q46" i="1"/>
  <c r="D50" i="2" l="1"/>
  <c r="D49" i="2"/>
  <c r="L50" i="2"/>
  <c r="L61" i="2" s="1"/>
  <c r="C50" i="2"/>
  <c r="B50" i="2"/>
  <c r="T36" i="1"/>
  <c r="T35" i="1"/>
  <c r="O78" i="2" l="1"/>
  <c r="O74" i="2"/>
  <c r="K41" i="2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92" i="2" s="1"/>
  <c r="N76" i="2"/>
  <c r="AA125" i="1"/>
  <c r="N75" i="2" s="1"/>
  <c r="B75" i="2"/>
  <c r="D76" i="2"/>
  <c r="D75" i="2"/>
  <c r="B71" i="2"/>
  <c r="D72" i="2"/>
  <c r="D71" i="2"/>
  <c r="L60" i="2" l="1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N65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6" i="2" l="1"/>
  <c r="N64" i="2"/>
  <c r="N63" i="2"/>
  <c r="N62" i="2"/>
  <c r="N9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s="1"/>
  <c r="L91" i="2" s="1"/>
  <c r="L95" i="2" s="1"/>
  <c r="T44" i="1" l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4" i="2" l="1"/>
  <c r="L66" i="2"/>
  <c r="L62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AN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M125" i="1" l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M62" i="2" l="1"/>
  <c r="O62" i="2"/>
  <c r="AE39" i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M52" i="2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M63" i="2" l="1"/>
  <c r="M64" i="2"/>
  <c r="O64" i="2"/>
  <c r="O63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M65" i="2" s="1"/>
  <c r="AC46" i="1"/>
  <c r="O59" i="2" s="1"/>
  <c r="O65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6" i="2" l="1"/>
  <c r="O60" i="2"/>
  <c r="M66" i="2"/>
  <c r="M6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Alberti RH (Ron)</author>
  </authors>
  <commentList>
    <comment ref="Q117" authorId="0" shapeId="0" xr:uid="{B4C78449-69EF-4C33-A191-807BAECE937E}">
      <text>
        <r>
          <rPr>
            <b/>
            <sz val="9"/>
            <color indexed="81"/>
            <rFont val="Tahoma"/>
            <family val="2"/>
          </rPr>
          <t>Alberti RH (Ron):</t>
        </r>
        <r>
          <rPr>
            <sz val="9"/>
            <color indexed="81"/>
            <rFont val="Tahoma"/>
            <family val="2"/>
          </rPr>
          <t xml:space="preserve">
stijlenhekwerk aan zuidzijde lg 40m
</t>
        </r>
      </text>
    </comment>
    <comment ref="Q119" authorId="0" shapeId="0" xr:uid="{4BCCBD41-17B3-4EF2-AA07-1CD0BB1501D8}">
      <text>
        <r>
          <rPr>
            <b/>
            <sz val="9"/>
            <color indexed="81"/>
            <rFont val="Tahoma"/>
            <family val="2"/>
          </rPr>
          <t>Alberti RH (Ron):</t>
        </r>
        <r>
          <rPr>
            <sz val="9"/>
            <color indexed="81"/>
            <rFont val="Tahoma"/>
            <family val="2"/>
          </rPr>
          <t xml:space="preserve">
geluidscherm h=1,0m aan noordzijde lg 50m</t>
        </r>
      </text>
    </comment>
  </commentList>
</comments>
</file>

<file path=xl/sharedStrings.xml><?xml version="1.0" encoding="utf-8"?>
<sst xmlns="http://schemas.openxmlformats.org/spreadsheetml/2006/main" count="1032" uniqueCount="321">
  <si>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</si>
  <si>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</si>
  <si>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</si>
  <si>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</si>
  <si>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</si>
  <si>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</si>
  <si>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</si>
  <si>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</si>
  <si>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</si>
  <si>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</si>
  <si>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</si>
  <si>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</si>
  <si>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</si>
  <si>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</si>
  <si>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</si>
  <si>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</si>
  <si>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</si>
  <si>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</si>
  <si>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</si>
  <si>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</si>
  <si>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</si>
  <si>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</si>
  <si>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</si>
  <si>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</si>
  <si>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</si>
  <si>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</si>
  <si>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</si>
  <si>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</si>
  <si>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</si>
  <si>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</si>
  <si>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</si>
  <si>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</si>
  <si>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</si>
  <si>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</si>
  <si>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</si>
  <si>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</si>
  <si>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</si>
  <si>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</si>
  <si>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</si>
  <si>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</si>
  <si>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</si>
  <si>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</si>
  <si>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</si>
  <si>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</si>
  <si>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</si>
  <si>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</si>
  <si>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</si>
  <si>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</si>
  <si>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</si>
  <si>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</si>
  <si>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</si>
  <si>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</si>
  <si>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</si>
  <si>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</si>
  <si>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</si>
  <si>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</si>
  <si>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</si>
  <si>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</si>
  <si>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</si>
  <si>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</si>
  <si>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</si>
  <si>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</si>
  <si>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</si>
  <si>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</si>
  <si>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</si>
  <si>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</si>
  <si>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</si>
  <si>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</si>
  <si>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</si>
  <si>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</si>
  <si>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</si>
  <si>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</si>
  <si>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</si>
  <si>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</si>
  <si>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</si>
  <si>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</si>
  <si>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</si>
  <si>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</si>
  <si>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</si>
  <si>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</si>
  <si>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</si>
  <si>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</si>
  <si>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</si>
  <si>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</si>
  <si>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</si>
  <si>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</si>
  <si>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</si>
  <si>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</si>
  <si>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</si>
  <si>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</si>
  <si>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Gewapend betonnen plaat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</si>
  <si>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</si>
  <si>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</si>
  <si>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</si>
  <si>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</si>
  <si>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</si>
  <si>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</si>
  <si>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</si>
  <si>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</si>
  <si>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</si>
  <si>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</si>
  <si>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</si>
  <si>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</si>
  <si>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</si>
  <si>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</si>
  <si>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</si>
  <si>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</si>
  <si>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</si>
  <si>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</si>
  <si>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</si>
  <si>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</si>
  <si>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</si>
  <si>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</si>
  <si>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Gewapend beton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</si>
  <si>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</si>
  <si>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</si>
  <si>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</si>
  <si>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</si>
  <si>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</si>
  <si>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</si>
  <si>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</si>
  <si>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</si>
  <si>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</si>
  <si>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</si>
  <si>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</si>
  <si>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</si>
  <si>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</si>
  <si>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</si>
  <si>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</si>
  <si>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</si>
  <si>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</si>
  <si>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</si>
  <si>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</si>
  <si>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</si>
  <si>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</si>
  <si>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</si>
  <si>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</si>
  <si>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</si>
  <si>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</si>
  <si>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</si>
  <si>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</si>
  <si>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</si>
  <si>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</si>
  <si>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</si>
  <si>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</si>
  <si>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</si>
  <si>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</si>
  <si>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</si>
  <si>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</si>
  <si>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</si>
  <si>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</si>
  <si>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</si>
  <si>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</si>
  <si>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</si>
  <si>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</si>
  <si>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</si>
  <si>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</si>
  <si>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</si>
  <si>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</si>
  <si>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</si>
  <si>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</si>
  <si>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</si>
  <si>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</si>
  <si>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</si>
  <si>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</si>
  <si>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</si>
  <si>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</si>
  <si>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</si>
  <si>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</si>
  <si>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</si>
  <si>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</si>
  <si>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</si>
  <si>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</si>
  <si>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</si>
  <si>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</si>
  <si>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</si>
  <si>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</si>
  <si>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</si>
  <si>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</si>
  <si>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</si>
  <si>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</si>
  <si>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</si>
  <si>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</si>
  <si>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</si>
  <si>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</si>
  <si>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</si>
  <si>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</si>
  <si>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</si>
  <si>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</si>
  <si>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</si>
  <si>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</si>
  <si>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</si>
  <si>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</si>
  <si>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</si>
  <si>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</si>
  <si>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</si>
  <si>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</si>
  <si>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</si>
  <si>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</si>
  <si>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</si>
  <si>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</si>
  <si>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</si>
  <si>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</si>
  <si>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</si>
  <si>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</si>
  <si>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</si>
  <si>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</si>
  <si>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</si>
  <si>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</si>
  <si>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</si>
  <si>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</si>
  <si>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</si>
  <si>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</si>
  <si>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</si>
  <si>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</si>
  <si>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</si>
  <si>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</si>
  <si>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</si>
  <si>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</si>
  <si>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</si>
  <si>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</si>
  <si>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</si>
  <si>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</si>
  <si>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</si>
  <si>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</si>
  <si>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</si>
  <si>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</si>
  <si>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</si>
  <si>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</si>
  <si>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</si>
  <si>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</si>
  <si>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alleen spoordek van tunnel</t>
  </si>
  <si>
    <t xml:space="preserve">2 landhfd + 3 tussenstpnt+ tunnelvloer </t>
  </si>
  <si>
    <t xml:space="preserve">Van de odg is alleen het gesloten deel (tunneldeel) in beschouwing genomen incl.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</si>
  <si>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</si>
  <si>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</si>
  <si>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</si>
  <si>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</si>
  <si>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</si>
  <si>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</si>
  <si>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</si>
  <si>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</si>
  <si>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</si>
  <si>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</si>
  <si>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</si>
  <si>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</si>
  <si>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</si>
  <si>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</si>
  <si>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</si>
  <si>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</si>
  <si>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</si>
  <si>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</si>
  <si>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</si>
  <si>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</si>
  <si>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</si>
  <si>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</si>
  <si>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</si>
  <si>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</si>
  <si>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</si>
  <si>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</si>
  <si>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</si>
  <si>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</si>
  <si>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</si>
  <si>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</si>
  <si>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</si>
  <si>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</si>
  <si>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</si>
  <si>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</si>
  <si>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</si>
  <si>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</si>
  <si>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</si>
  <si>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</si>
  <si>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</si>
  <si>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</si>
  <si>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</si>
  <si>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</si>
  <si>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</si>
  <si>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</si>
  <si>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</si>
  <si>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Breda</t>
  </si>
  <si>
    <t>insp</t>
  </si>
  <si>
    <t>ko</t>
  </si>
  <si>
    <t>vervanging gesloten deel tunnel BxL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</si>
  <si>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</si>
  <si>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</si>
  <si>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</si>
  <si>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</si>
  <si>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</si>
  <si>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</si>
  <si>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</si>
  <si>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</si>
  <si>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</si>
  <si>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</si>
  <si>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</si>
  <si>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</si>
  <si>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</si>
  <si>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</si>
  <si>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</si>
  <si>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</si>
  <si>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</si>
  <si>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</si>
  <si>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</si>
  <si>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</si>
  <si>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</si>
  <si>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</si>
  <si>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KW20-544-0010</t>
  </si>
  <si>
    <t>Soorviaduct Terheijdenstraat</t>
  </si>
  <si>
    <t>ja</t>
  </si>
  <si>
    <t>pve/pp</t>
  </si>
  <si>
    <t>leuning vervangen door hoger spijlenhekwerk, ophogen wanden kabelgoten, nieuwe voetpadplaten</t>
  </si>
  <si>
    <t>beheersing functioneren van de waterhuishouding</t>
  </si>
  <si>
    <t>plaatsen hoogtebeperkingsborden</t>
  </si>
  <si>
    <t>3x52</t>
  </si>
  <si>
    <t>6x52</t>
  </si>
  <si>
    <t>Σ: van 2 landhfdn (wand) + 3 tussenstnpntn (kolomrij)</t>
  </si>
  <si>
    <t>spoordek+PV-paden: 1250 m3</t>
  </si>
  <si>
    <t>Σ: 2 landhfdn + 3 tussenstnpntn + vloer: 2520 m3</t>
  </si>
  <si>
    <t>Totaal kosten cat. 2 (advies IB tlv ProRail AM)</t>
  </si>
  <si>
    <t>leuning 40 m1 á 35 kg/m1</t>
  </si>
  <si>
    <t>stijlen geluidscherm h=1,0m, 50 m1 á 25 kg/m1</t>
  </si>
  <si>
    <t>(Constructie) staal geluidscherm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</si>
</sst>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3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topLeftCell="A13" zoomScale="70" zoomScaleNormal="90" zoomScaleSheetLayoutView="70" workbookViewId="0">
      <selection activeCell="R27" sqref="R27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247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1" t="s">
        <v>149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3"/>
      <c r="P7" s="230"/>
    </row>
    <row r="8" spans="2:16" x14ac:dyDescent="0.3">
      <c r="B8" s="110" t="s">
        <v>127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115</v>
      </c>
      <c r="C9" s="93"/>
      <c r="D9" s="94"/>
      <c r="E9" s="94"/>
      <c r="F9" s="137" t="s">
        <v>121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116</v>
      </c>
      <c r="C10" s="93"/>
      <c r="D10" s="94"/>
      <c r="E10" s="94"/>
      <c r="F10" s="138" t="s">
        <v>122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117</v>
      </c>
      <c r="C11" s="93"/>
      <c r="D11" s="94"/>
      <c r="E11" s="94"/>
      <c r="F11" s="138" t="s">
        <v>123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118</v>
      </c>
      <c r="C12" s="93"/>
      <c r="D12" s="94"/>
      <c r="E12" s="94"/>
      <c r="F12" s="137" t="s">
        <v>124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119</v>
      </c>
      <c r="C13" s="93"/>
      <c r="D13" s="94"/>
      <c r="E13" s="94"/>
      <c r="F13" s="139">
        <v>43794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120</v>
      </c>
      <c r="C14" s="96"/>
      <c r="D14" s="97"/>
      <c r="E14" s="97"/>
      <c r="F14" s="140" t="s">
        <v>125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126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128</v>
      </c>
      <c r="C17" s="99"/>
      <c r="D17" s="94"/>
      <c r="E17" s="94"/>
      <c r="F17" s="141">
        <v>10592911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305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306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129</v>
      </c>
      <c r="C21" s="99"/>
      <c r="D21" s="94"/>
      <c r="E21" s="94"/>
      <c r="F21" s="142">
        <v>544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130</v>
      </c>
      <c r="C22" s="99"/>
      <c r="D22" s="94"/>
      <c r="E22" s="94"/>
      <c r="F22" s="141">
        <v>0.92800000000000005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279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1962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1962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93</v>
      </c>
      <c r="C26" s="99"/>
      <c r="D26" s="94"/>
      <c r="E26" s="94"/>
      <c r="F26" s="141" t="s">
        <v>112</v>
      </c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90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94</v>
      </c>
      <c r="C28" s="99"/>
      <c r="D28" s="94"/>
      <c r="E28" s="94"/>
      <c r="F28" s="141" t="s">
        <v>113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43429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>
        <v>43013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>
        <v>43013</v>
      </c>
      <c r="G32" s="38"/>
      <c r="H32" s="38"/>
      <c r="I32" s="38"/>
      <c r="J32" s="161" t="s">
        <v>226</v>
      </c>
      <c r="K32" s="162">
        <v>2017</v>
      </c>
      <c r="L32" s="31"/>
      <c r="M32" s="31"/>
      <c r="N32" s="31"/>
      <c r="O32" s="32"/>
      <c r="P32" s="86"/>
    </row>
    <row r="33" spans="2:16" ht="15" thickBot="1" x14ac:dyDescent="0.35">
      <c r="B33" s="100" t="s">
        <v>229</v>
      </c>
      <c r="C33" s="101"/>
      <c r="D33" s="97"/>
      <c r="E33" s="97"/>
      <c r="F33" s="144" t="s">
        <v>233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8" t="s">
        <v>145</v>
      </c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70"/>
      <c r="P35" s="231"/>
    </row>
    <row r="36" spans="2:16" x14ac:dyDescent="0.3">
      <c r="B36" s="110" t="s">
        <v>248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132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92</v>
      </c>
      <c r="C38" s="40"/>
      <c r="D38" s="43"/>
      <c r="E38" s="43"/>
      <c r="F38" s="46">
        <f>F37+5</f>
        <v>2023</v>
      </c>
      <c r="G38" s="43"/>
      <c r="H38" s="132" t="s">
        <v>131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91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249</v>
      </c>
      <c r="C41" s="41"/>
      <c r="D41" s="40"/>
      <c r="E41" s="40"/>
      <c r="F41" s="102">
        <v>2028</v>
      </c>
      <c r="G41" s="41"/>
      <c r="H41" s="131" t="s">
        <v>250</v>
      </c>
      <c r="I41" s="40"/>
      <c r="J41" s="40"/>
      <c r="K41" s="103">
        <f>F24+100-F41</f>
        <v>34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251</v>
      </c>
      <c r="I42" s="40"/>
      <c r="J42" s="40"/>
      <c r="K42" s="46">
        <f>F41+K41</f>
        <v>2062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133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244</v>
      </c>
      <c r="C48" s="164" t="s">
        <v>245</v>
      </c>
      <c r="D48" s="67" t="str">
        <f>'Berekening MJOP+LTP'!K28</f>
        <v>Omschrijving</v>
      </c>
      <c r="E48" s="67"/>
      <c r="F48" s="68"/>
      <c r="G48" s="69"/>
      <c r="H48" s="151" t="s">
        <v>225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285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1</v>
      </c>
      <c r="C52" s="66">
        <f>'Berekening MJOP+LTP'!D39</f>
        <v>2</v>
      </c>
      <c r="D52" s="145" t="str">
        <f>'Berekening MJOP+LTP'!K39</f>
        <v>leuning vervangen door hoger spijlenhekwerk, ophogen wanden kabelgoten, nieuwe voetpadplaten</v>
      </c>
      <c r="E52" s="188"/>
      <c r="F52" s="31"/>
      <c r="G52" s="35"/>
      <c r="H52" s="35"/>
      <c r="I52" s="35"/>
      <c r="J52" s="35"/>
      <c r="K52" s="91">
        <v>2020</v>
      </c>
      <c r="L52" s="64">
        <f>'Berekening MJOP+LTP'!T39</f>
        <v>148885</v>
      </c>
      <c r="M52" s="64">
        <f>'Berekening MJOP+LTP'!Y39</f>
        <v>141710.88637715648</v>
      </c>
      <c r="N52" s="61">
        <f>'Berekening MJOP+LTP'!AA39</f>
        <v>0</v>
      </c>
      <c r="O52" s="255">
        <f>'Berekening MJOP+LTP'!AC39</f>
        <v>16191.7106061902</v>
      </c>
      <c r="P52" s="234"/>
    </row>
    <row r="53" spans="2:16" x14ac:dyDescent="0.3">
      <c r="B53" s="109">
        <f>'Berekening MJOP+LTP'!B40</f>
        <v>1</v>
      </c>
      <c r="C53" s="66">
        <f>'Berekening MJOP+LTP'!D40</f>
        <v>3</v>
      </c>
      <c r="D53" s="145" t="str">
        <f>'Berekening MJOP+LTP'!K40</f>
        <v>beheersing functioneren van de waterhuishouding</v>
      </c>
      <c r="E53" s="188"/>
      <c r="F53" s="31"/>
      <c r="G53" s="35"/>
      <c r="H53" s="35"/>
      <c r="I53" s="35"/>
      <c r="J53" s="35"/>
      <c r="K53" s="91">
        <v>2020</v>
      </c>
      <c r="L53" s="64">
        <f>'Berekening MJOP+LTP'!T40</f>
        <v>82584</v>
      </c>
      <c r="M53" s="64">
        <f>'Berekening MJOP+LTP'!Y40</f>
        <v>78604.640095181443</v>
      </c>
      <c r="N53" s="61">
        <f>'Berekening MJOP+LTP'!AA40</f>
        <v>0</v>
      </c>
      <c r="O53" s="255">
        <f>'Berekening MJOP+LTP'!AC40</f>
        <v>8981.2689572597046</v>
      </c>
      <c r="P53" s="234"/>
    </row>
    <row r="54" spans="2:16" x14ac:dyDescent="0.3">
      <c r="B54" s="109">
        <f>'Berekening MJOP+LTP'!B41</f>
        <v>1</v>
      </c>
      <c r="C54" s="66">
        <f>'Berekening MJOP+LTP'!D41</f>
        <v>4</v>
      </c>
      <c r="D54" s="145" t="str">
        <f>'Berekening MJOP+LTP'!K41</f>
        <v>plaatsen hoogtebeperkingsborden</v>
      </c>
      <c r="E54" s="188"/>
      <c r="F54" s="31"/>
      <c r="G54" s="35"/>
      <c r="H54" s="35"/>
      <c r="I54" s="35"/>
      <c r="J54" s="35"/>
      <c r="K54" s="91">
        <v>2020</v>
      </c>
      <c r="L54" s="64">
        <f>'Berekening MJOP+LTP'!T41</f>
        <v>1783</v>
      </c>
      <c r="M54" s="64">
        <f>'Berekening MJOP+LTP'!Y41</f>
        <v>1697.0850684116599</v>
      </c>
      <c r="N54" s="61">
        <f>'Berekening MJOP+LTP'!AA41</f>
        <v>0</v>
      </c>
      <c r="O54" s="255">
        <f>'Berekening MJOP+LTP'!AC41</f>
        <v>193.90684092310926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143</v>
      </c>
      <c r="I59" s="127"/>
      <c r="J59" s="56">
        <f>F24+100</f>
        <v>2062</v>
      </c>
      <c r="K59" s="159">
        <v>2062</v>
      </c>
      <c r="L59" s="156">
        <f>'Berekening MJOP+LTP'!T46</f>
        <v>21255863.199999999</v>
      </c>
      <c r="M59" s="128">
        <f>'Berekening MJOP+LTP'!Y46</f>
        <v>0</v>
      </c>
      <c r="N59" s="129">
        <f>'Berekening MJOP+LTP'!AA46</f>
        <v>312</v>
      </c>
      <c r="O59" s="257">
        <f>'Berekening MJOP+LTP'!AC46</f>
        <v>0</v>
      </c>
      <c r="P59" s="235"/>
    </row>
    <row r="60" spans="2:16" x14ac:dyDescent="0.3">
      <c r="B60" s="207" t="s">
        <v>298</v>
      </c>
      <c r="C60" s="189"/>
      <c r="D60" s="208"/>
      <c r="E60" s="208"/>
      <c r="F60" s="189"/>
      <c r="G60" s="190" t="s">
        <v>151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317</v>
      </c>
      <c r="C61" s="194"/>
      <c r="D61" s="212"/>
      <c r="E61" s="212"/>
      <c r="F61" s="194"/>
      <c r="G61" s="195" t="s">
        <v>151</v>
      </c>
      <c r="H61" s="196">
        <f>F37</f>
        <v>2018</v>
      </c>
      <c r="I61" s="213" t="s">
        <v>29</v>
      </c>
      <c r="J61" s="197">
        <f>K37</f>
        <v>10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299</v>
      </c>
      <c r="C62" s="194"/>
      <c r="D62" s="212"/>
      <c r="E62" s="212"/>
      <c r="F62" s="194"/>
      <c r="G62" s="195" t="s">
        <v>151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5000</v>
      </c>
      <c r="M62" s="214">
        <f>SUMIF(B51:B58,2,M51:M58)</f>
        <v>4642.9970545987444</v>
      </c>
      <c r="N62" s="247">
        <f>SUMIF(B51:B58,2,N51:N58)</f>
        <v>0</v>
      </c>
      <c r="O62" s="259">
        <f>SUMIF(B51:B58,2,O51:O58)</f>
        <v>530.50310089355912</v>
      </c>
      <c r="P62" s="236"/>
    </row>
    <row r="63" spans="2:16" x14ac:dyDescent="0.3">
      <c r="B63" s="211" t="s">
        <v>300</v>
      </c>
      <c r="C63" s="194"/>
      <c r="D63" s="212"/>
      <c r="E63" s="212"/>
      <c r="F63" s="194"/>
      <c r="G63" s="195" t="s">
        <v>151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233252</v>
      </c>
      <c r="M63" s="214">
        <f>SUMIF(B51:B58,1,M51:M58)</f>
        <v>222012.61154074958</v>
      </c>
      <c r="N63" s="247">
        <f>SUMIF(B51:B58,1,N51:N58)</f>
        <v>0</v>
      </c>
      <c r="O63" s="259">
        <f>SUMIF(B51:B58,1,O51:O58)</f>
        <v>25366.88640437301</v>
      </c>
      <c r="P63" s="236"/>
    </row>
    <row r="64" spans="2:16" x14ac:dyDescent="0.3">
      <c r="B64" s="211" t="s">
        <v>277</v>
      </c>
      <c r="C64" s="194"/>
      <c r="D64" s="212"/>
      <c r="E64" s="212"/>
      <c r="F64" s="194"/>
      <c r="G64" s="195" t="s">
        <v>151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238252</v>
      </c>
      <c r="M64" s="214">
        <f>SUM(M51:M58)</f>
        <v>226655.60859534831</v>
      </c>
      <c r="N64" s="247">
        <f>SUM(N51:N58)</f>
        <v>0</v>
      </c>
      <c r="O64" s="259">
        <f>SUM(O51:O58)</f>
        <v>25897.389505266572</v>
      </c>
      <c r="P64" s="236"/>
    </row>
    <row r="65" spans="2:16" x14ac:dyDescent="0.3">
      <c r="B65" s="211" t="s">
        <v>301</v>
      </c>
      <c r="C65" s="194"/>
      <c r="D65" s="212"/>
      <c r="E65" s="212"/>
      <c r="F65" s="194"/>
      <c r="G65" s="205" t="s">
        <v>261</v>
      </c>
      <c r="H65" s="196"/>
      <c r="I65" s="213"/>
      <c r="J65" s="197"/>
      <c r="K65" s="224">
        <f>K59</f>
        <v>2062</v>
      </c>
      <c r="L65" s="214">
        <f>L59</f>
        <v>21255863.199999999</v>
      </c>
      <c r="M65" s="214">
        <f>M59</f>
        <v>0</v>
      </c>
      <c r="N65" s="248">
        <f>N59</f>
        <v>312</v>
      </c>
      <c r="O65" s="259">
        <f>O59</f>
        <v>0</v>
      </c>
      <c r="P65" s="237"/>
    </row>
    <row r="66" spans="2:16" ht="15" thickBot="1" x14ac:dyDescent="0.35">
      <c r="B66" s="215" t="s">
        <v>278</v>
      </c>
      <c r="C66" s="199"/>
      <c r="D66" s="216"/>
      <c r="E66" s="216"/>
      <c r="F66" s="199"/>
      <c r="G66" s="200" t="s">
        <v>151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21505615.199999999</v>
      </c>
      <c r="M66" s="218">
        <f>SUM(M49:M59)</f>
        <v>236965.17164660848</v>
      </c>
      <c r="N66" s="249">
        <f>SUM(N49:N59)</f>
        <v>312</v>
      </c>
      <c r="O66" s="260">
        <f>SUM(O49:O59)</f>
        <v>27075.347428400302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246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244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141</v>
      </c>
      <c r="O69" s="130" t="s">
        <v>285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143</v>
      </c>
      <c r="I73" s="35"/>
      <c r="J73" s="35">
        <f>F24+100</f>
        <v>2062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252947.42008682879</v>
      </c>
      <c r="N75" s="61">
        <f>'Berekening MJOP+LTP'!AA125</f>
        <v>0</v>
      </c>
      <c r="O75" s="261">
        <f>'Berekening MJOP+LTP'!AC125</f>
        <v>11131.394081483753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9928.1664188937175</v>
      </c>
      <c r="N76" s="61">
        <f>'Berekening MJOP+LTP'!AA147</f>
        <v>0</v>
      </c>
      <c r="O76" s="261">
        <f>'Berekening MJOP+LTP'!AC147</f>
        <v>436.90634550580995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143</v>
      </c>
      <c r="I77" s="35"/>
      <c r="J77" s="35">
        <f>F24+100</f>
        <v>2062</v>
      </c>
      <c r="K77" s="90">
        <v>2062</v>
      </c>
      <c r="L77" s="64">
        <f>'Berekening MJOP+LTP'!T154</f>
        <v>14016030.599999998</v>
      </c>
      <c r="M77" s="64">
        <f>'Berekening MJOP+LTP'!Y154</f>
        <v>6053598.5043979269</v>
      </c>
      <c r="N77" s="61">
        <f>'Berekening MJOP+LTP'!AA149</f>
        <v>156</v>
      </c>
      <c r="O77" s="261">
        <f>'Berekening MJOP+LTP'!AC154</f>
        <v>266399.20083155169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143</v>
      </c>
      <c r="I81" s="35"/>
      <c r="J81" s="35">
        <f>F24+100</f>
        <v>2062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42537.457501118908</v>
      </c>
      <c r="N83" s="61">
        <f>'Berekening MJOP+LTP'!AA199</f>
        <v>0</v>
      </c>
      <c r="O83" s="261">
        <f>'Berekening MJOP+LTP'!AC199</f>
        <v>1871.9352919542875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61">
        <f>'Berekening MJOP+LTP'!AC202</f>
        <v>0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143</v>
      </c>
      <c r="I85" s="35"/>
      <c r="J85" s="35">
        <f>F25+100</f>
        <v>2062</v>
      </c>
      <c r="K85" s="90">
        <v>2062</v>
      </c>
      <c r="L85" s="64">
        <f>'Berekening MJOP+LTP'!T208</f>
        <v>7239832.5999999996</v>
      </c>
      <c r="M85" s="64">
        <f>'Berekening MJOP+LTP'!Y208</f>
        <v>3126922.3826788277</v>
      </c>
      <c r="N85" s="61">
        <f>'Berekening MJOP+LTP'!AA204</f>
        <v>156</v>
      </c>
      <c r="O85" s="261">
        <f>'Berekening MJOP+LTP'!AC208</f>
        <v>137605.69406820612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1">
        <f>'Berekening MJOP+LTP'!AC216</f>
        <v>0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1">
        <f>'Berekening MJOP+LTP'!AC219</f>
        <v>0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143</v>
      </c>
      <c r="I89" s="35"/>
      <c r="J89" s="35">
        <f>F25+100</f>
        <v>2062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1">
        <f>'Berekening MJOP+LTP'!AC225</f>
        <v>0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-897170</v>
      </c>
      <c r="M91" s="64"/>
      <c r="N91" s="251"/>
      <c r="O91" s="262"/>
      <c r="P91" s="241"/>
      <c r="Q91" s="27"/>
    </row>
    <row r="92" spans="2:17" x14ac:dyDescent="0.3">
      <c r="B92" s="207" t="s">
        <v>302</v>
      </c>
      <c r="C92" s="208"/>
      <c r="D92" s="208"/>
      <c r="E92" s="208"/>
      <c r="F92" s="189"/>
      <c r="G92" s="204" t="s">
        <v>152</v>
      </c>
      <c r="H92" s="191">
        <f>F41</f>
        <v>2028</v>
      </c>
      <c r="I92" s="209" t="s">
        <v>29</v>
      </c>
      <c r="J92" s="192">
        <f>K42</f>
        <v>2062</v>
      </c>
      <c r="K92" s="219"/>
      <c r="L92" s="220"/>
      <c r="M92" s="220">
        <f t="shared" ref="M92:O94" si="1">M71+M75+M79+M83+M87</f>
        <v>295484.8775879477</v>
      </c>
      <c r="N92" s="267">
        <f t="shared" si="1"/>
        <v>0</v>
      </c>
      <c r="O92" s="263">
        <f t="shared" si="1"/>
        <v>13003.32937343804</v>
      </c>
      <c r="P92" s="242"/>
    </row>
    <row r="93" spans="2:17" x14ac:dyDescent="0.3">
      <c r="B93" s="211" t="s">
        <v>303</v>
      </c>
      <c r="C93" s="212"/>
      <c r="D93" s="212"/>
      <c r="E93" s="212"/>
      <c r="F93" s="194"/>
      <c r="G93" s="205" t="s">
        <v>152</v>
      </c>
      <c r="H93" s="196">
        <f>F41</f>
        <v>2028</v>
      </c>
      <c r="I93" s="213" t="s">
        <v>29</v>
      </c>
      <c r="J93" s="197">
        <f>K42</f>
        <v>2062</v>
      </c>
      <c r="K93" s="221"/>
      <c r="L93" s="222"/>
      <c r="M93" s="222">
        <f t="shared" si="1"/>
        <v>9928.1664188937175</v>
      </c>
      <c r="N93" s="252">
        <f t="shared" si="1"/>
        <v>0</v>
      </c>
      <c r="O93" s="264">
        <f t="shared" si="1"/>
        <v>436.90634550580995</v>
      </c>
      <c r="P93" s="243"/>
    </row>
    <row r="94" spans="2:17" x14ac:dyDescent="0.3">
      <c r="B94" s="211" t="s">
        <v>301</v>
      </c>
      <c r="C94" s="212"/>
      <c r="D94" s="212"/>
      <c r="E94" s="212"/>
      <c r="F94" s="194"/>
      <c r="G94" s="205" t="s">
        <v>261</v>
      </c>
      <c r="H94" s="196"/>
      <c r="I94" s="213"/>
      <c r="J94" s="197"/>
      <c r="K94" s="225">
        <f>K59</f>
        <v>2062</v>
      </c>
      <c r="L94" s="222">
        <f>L73+L77+L81+L85+L89</f>
        <v>21255863.199999996</v>
      </c>
      <c r="M94" s="222">
        <f t="shared" si="1"/>
        <v>9180520.8870767541</v>
      </c>
      <c r="N94" s="252">
        <f t="shared" si="1"/>
        <v>312</v>
      </c>
      <c r="O94" s="264">
        <f t="shared" si="1"/>
        <v>404004.89489975781</v>
      </c>
      <c r="P94" s="243"/>
    </row>
    <row r="95" spans="2:17" ht="15" thickBot="1" x14ac:dyDescent="0.35">
      <c r="B95" s="215" t="s">
        <v>304</v>
      </c>
      <c r="C95" s="216"/>
      <c r="D95" s="216"/>
      <c r="E95" s="216"/>
      <c r="F95" s="199"/>
      <c r="G95" s="206" t="s">
        <v>261</v>
      </c>
      <c r="H95" s="201"/>
      <c r="I95" s="217"/>
      <c r="J95" s="202"/>
      <c r="K95" s="226">
        <f>K59</f>
        <v>2062</v>
      </c>
      <c r="L95" s="223">
        <f>L91</f>
        <v>-897170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262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263</v>
      </c>
      <c r="F99" s="177" t="s">
        <v>264</v>
      </c>
    </row>
    <row r="100" spans="3:6" x14ac:dyDescent="0.3">
      <c r="C100" s="185" t="str">
        <f>'Berekening MJOP+LTP'!K229</f>
        <v>(Constructie) staal spoordek</v>
      </c>
      <c r="D100" s="180"/>
      <c r="E100" s="228">
        <f>'Berekening MJOP+LTP'!Q229</f>
        <v>1.4000000000000001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2500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1250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57">
        <f>'Berekening MJOP+LTP'!Q232</f>
        <v>5796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1159.2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0</v>
      </c>
      <c r="F106" s="183" t="str">
        <f>'Berekening MJOP+LTP'!R235</f>
        <v>ton</v>
      </c>
    </row>
    <row r="107" spans="3:6" ht="15" thickBot="1" x14ac:dyDescent="0.35">
      <c r="C107" s="187" t="str">
        <f>'Berekening MJOP+LTP'!K236</f>
        <v>(Constructie) staal geluidscherm</v>
      </c>
      <c r="D107" s="181"/>
      <c r="E107" s="182">
        <f>'Berekening MJOP+LTP'!Q236</f>
        <v>1.25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L1" zoomScale="90" zoomScaleNormal="90" zoomScaleSheetLayoutView="90" workbookViewId="0">
      <pane ySplit="2" topLeftCell="A196" activePane="bottomLeft" state="frozen"/>
      <selection pane="bottomLeft" activeCell="P239" sqref="P239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239</v>
      </c>
      <c r="C1" s="3" t="s">
        <v>240</v>
      </c>
      <c r="D1" s="3" t="s">
        <v>242</v>
      </c>
      <c r="E1" s="3" t="s">
        <v>237</v>
      </c>
      <c r="F1" s="3" t="s">
        <v>0</v>
      </c>
      <c r="G1" s="3"/>
      <c r="H1" s="3"/>
      <c r="I1" s="3" t="s">
        <v>234</v>
      </c>
      <c r="J1" s="3"/>
      <c r="K1" s="3" t="s">
        <v>11</v>
      </c>
      <c r="L1" s="3"/>
      <c r="M1" s="3"/>
      <c r="N1" s="3"/>
      <c r="O1" s="3" t="s">
        <v>54</v>
      </c>
      <c r="P1" s="3" t="s">
        <v>137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142</v>
      </c>
      <c r="X1" s="3"/>
      <c r="Y1" s="20" t="s">
        <v>68</v>
      </c>
      <c r="Z1" s="20" t="s">
        <v>140</v>
      </c>
      <c r="AA1" s="20" t="s">
        <v>144</v>
      </c>
      <c r="AC1" s="20" t="s">
        <v>283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238</v>
      </c>
      <c r="C2" s="3" t="s">
        <v>243</v>
      </c>
      <c r="D2" s="3" t="s">
        <v>241</v>
      </c>
      <c r="E2" s="3" t="s">
        <v>236</v>
      </c>
      <c r="F2" s="3"/>
      <c r="G2" s="3"/>
      <c r="H2" s="3"/>
      <c r="I2" s="3" t="s">
        <v>235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284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291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257</v>
      </c>
      <c r="K9" s="1" t="s">
        <v>25</v>
      </c>
    </row>
    <row r="10" spans="2:236" ht="13.8" x14ac:dyDescent="0.3">
      <c r="B10" s="170"/>
      <c r="D10" s="168" t="s">
        <v>260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290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258</v>
      </c>
    </row>
    <row r="15" spans="2:236" ht="13.8" x14ac:dyDescent="0.3">
      <c r="B15" s="170"/>
      <c r="D15" s="168" t="s">
        <v>259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292</v>
      </c>
      <c r="K17" s="1" t="s">
        <v>253</v>
      </c>
    </row>
    <row r="18" spans="2:236" ht="13.8" x14ac:dyDescent="0.3">
      <c r="B18" s="170"/>
      <c r="D18" s="1" t="s">
        <v>40</v>
      </c>
      <c r="K18" s="1" t="s">
        <v>254</v>
      </c>
    </row>
    <row r="19" spans="2:236" ht="13.8" x14ac:dyDescent="0.3">
      <c r="B19" s="170"/>
      <c r="D19" s="1" t="s">
        <v>258</v>
      </c>
      <c r="K19" s="1" t="s">
        <v>255</v>
      </c>
    </row>
    <row r="20" spans="2:236" ht="13.8" x14ac:dyDescent="0.3">
      <c r="B20" s="170"/>
      <c r="D20" s="168" t="s">
        <v>259</v>
      </c>
      <c r="H20" s="172">
        <v>1.77</v>
      </c>
      <c r="I20" s="167">
        <v>1.77</v>
      </c>
    </row>
    <row r="21" spans="2:236" x14ac:dyDescent="0.25">
      <c r="K21" s="25" t="s">
        <v>148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4" t="s">
        <v>256</v>
      </c>
      <c r="C24" s="275"/>
      <c r="D24" s="275"/>
      <c r="E24" s="275"/>
      <c r="F24" s="275"/>
      <c r="G24" s="275"/>
      <c r="H24" s="275"/>
      <c r="I24" s="276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239</v>
      </c>
      <c r="C28" s="3" t="s">
        <v>240</v>
      </c>
      <c r="D28" s="3" t="s">
        <v>242</v>
      </c>
      <c r="E28" s="3" t="s">
        <v>237</v>
      </c>
      <c r="F28" s="3" t="s">
        <v>0</v>
      </c>
      <c r="G28" s="3"/>
      <c r="H28" s="3"/>
      <c r="I28" s="3" t="s">
        <v>234</v>
      </c>
      <c r="J28" s="3"/>
      <c r="K28" s="3" t="s">
        <v>11</v>
      </c>
      <c r="L28" s="3"/>
      <c r="M28" s="3"/>
      <c r="N28" s="3"/>
      <c r="O28" s="3" t="s">
        <v>54</v>
      </c>
      <c r="P28" s="3" t="s">
        <v>137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142</v>
      </c>
      <c r="X28" s="3"/>
      <c r="Y28" s="20" t="s">
        <v>68</v>
      </c>
      <c r="Z28" s="20" t="s">
        <v>140</v>
      </c>
      <c r="AA28" s="20" t="s">
        <v>144</v>
      </c>
      <c r="AC28" s="20" t="s">
        <v>283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238</v>
      </c>
      <c r="C29" s="3" t="s">
        <v>243</v>
      </c>
      <c r="D29" s="3" t="s">
        <v>241</v>
      </c>
      <c r="E29" s="3" t="s">
        <v>236</v>
      </c>
      <c r="F29" s="3"/>
      <c r="G29" s="3"/>
      <c r="H29" s="3"/>
      <c r="I29" s="3" t="s">
        <v>235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284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112</v>
      </c>
      <c r="E31" s="1" t="s">
        <v>112</v>
      </c>
      <c r="F31" s="1" t="s">
        <v>23</v>
      </c>
      <c r="I31" s="1" t="s">
        <v>286</v>
      </c>
      <c r="K31" s="1" t="s">
        <v>287</v>
      </c>
      <c r="O31" s="1" t="s">
        <v>296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112</v>
      </c>
      <c r="E32" s="1" t="s">
        <v>112</v>
      </c>
      <c r="F32" s="1" t="s">
        <v>23</v>
      </c>
      <c r="I32" s="1" t="s">
        <v>281</v>
      </c>
      <c r="K32" s="1" t="s">
        <v>150</v>
      </c>
      <c r="O32" s="1" t="s">
        <v>296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295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112</v>
      </c>
      <c r="D35" s="1" t="s">
        <v>112</v>
      </c>
      <c r="E35" s="1" t="s">
        <v>112</v>
      </c>
      <c r="F35" s="1" t="s">
        <v>289</v>
      </c>
      <c r="I35" s="1" t="s">
        <v>288</v>
      </c>
      <c r="K35" s="1" t="s">
        <v>294</v>
      </c>
      <c r="O35" s="1" t="s">
        <v>297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293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307</v>
      </c>
      <c r="D38" s="76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1</v>
      </c>
      <c r="C39" s="76" t="s">
        <v>307</v>
      </c>
      <c r="D39" s="78">
        <v>2</v>
      </c>
      <c r="E39" s="76" t="s">
        <v>307</v>
      </c>
      <c r="F39" s="76" t="s">
        <v>308</v>
      </c>
      <c r="G39" s="76"/>
      <c r="H39" s="76"/>
      <c r="I39" s="76" t="s">
        <v>48</v>
      </c>
      <c r="J39" s="76"/>
      <c r="K39" s="76" t="s">
        <v>309</v>
      </c>
      <c r="L39" s="76"/>
      <c r="M39" s="76"/>
      <c r="N39" s="76"/>
      <c r="O39" s="77"/>
      <c r="P39" s="77"/>
      <c r="Q39" s="81">
        <v>1</v>
      </c>
      <c r="R39" s="81" t="s">
        <v>33</v>
      </c>
      <c r="S39" s="81">
        <v>148885</v>
      </c>
      <c r="T39" s="9">
        <f t="shared" si="4"/>
        <v>148885</v>
      </c>
      <c r="U39" s="11">
        <v>1</v>
      </c>
      <c r="V39" s="14"/>
      <c r="W39" s="9">
        <f>Voorblad!K52</f>
        <v>2020</v>
      </c>
      <c r="Y39" s="9">
        <f t="shared" ref="Y39:Y45" si="5">SUM(AE39:EB39)</f>
        <v>141710.88637715648</v>
      </c>
      <c r="Z39" s="82"/>
      <c r="AA39" s="82"/>
      <c r="AC39" s="9">
        <f>$Y39*(Voorblad!$K$44*(1+Voorblad!$K$44)^Voorblad!$K$37)/((1+Voorblad!$K$44)^Voorblad!$K$37-1)</f>
        <v>16191.7106061902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141710.88637715648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>
        <v>1</v>
      </c>
      <c r="C40" s="76" t="s">
        <v>307</v>
      </c>
      <c r="D40" s="76">
        <v>3</v>
      </c>
      <c r="E40" s="76" t="s">
        <v>307</v>
      </c>
      <c r="F40" s="76" t="s">
        <v>21</v>
      </c>
      <c r="G40" s="76"/>
      <c r="H40" s="76"/>
      <c r="I40" s="76" t="s">
        <v>48</v>
      </c>
      <c r="J40" s="76"/>
      <c r="K40" s="79" t="s">
        <v>310</v>
      </c>
      <c r="L40" s="76"/>
      <c r="M40" s="76"/>
      <c r="N40" s="76"/>
      <c r="O40" s="77"/>
      <c r="P40" s="77"/>
      <c r="Q40" s="81">
        <v>1</v>
      </c>
      <c r="R40" s="81" t="s">
        <v>33</v>
      </c>
      <c r="S40" s="81">
        <v>82584</v>
      </c>
      <c r="T40" s="9">
        <f t="shared" si="4"/>
        <v>82584</v>
      </c>
      <c r="U40" s="11">
        <v>1</v>
      </c>
      <c r="V40" s="14"/>
      <c r="W40" s="9">
        <f>Voorblad!K53</f>
        <v>2020</v>
      </c>
      <c r="Y40" s="9">
        <f t="shared" si="5"/>
        <v>78604.640095181443</v>
      </c>
      <c r="Z40" s="82"/>
      <c r="AA40" s="82"/>
      <c r="AC40" s="9">
        <f>$Y40*(Voorblad!$K$44*(1+Voorblad!$K$44)^Voorblad!$K$37)/((1+Voorblad!$K$44)^Voorblad!$K$37-1)</f>
        <v>8981.2689572597046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78604.640095181443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>
        <v>1</v>
      </c>
      <c r="C41" s="76" t="s">
        <v>307</v>
      </c>
      <c r="D41" s="76">
        <v>4</v>
      </c>
      <c r="E41" s="76" t="s">
        <v>307</v>
      </c>
      <c r="F41" s="76" t="s">
        <v>21</v>
      </c>
      <c r="G41" s="76"/>
      <c r="H41" s="76"/>
      <c r="I41" s="76" t="s">
        <v>48</v>
      </c>
      <c r="J41" s="76"/>
      <c r="K41" s="76" t="s">
        <v>311</v>
      </c>
      <c r="L41" s="76"/>
      <c r="M41" s="76"/>
      <c r="N41" s="76"/>
      <c r="O41" s="77"/>
      <c r="P41" s="77"/>
      <c r="Q41" s="81">
        <v>1</v>
      </c>
      <c r="R41" s="81" t="s">
        <v>33</v>
      </c>
      <c r="S41" s="81">
        <v>1783</v>
      </c>
      <c r="T41" s="9">
        <f t="shared" si="4"/>
        <v>1783</v>
      </c>
      <c r="U41" s="11">
        <v>1</v>
      </c>
      <c r="V41" s="14"/>
      <c r="W41" s="9">
        <f>Voorblad!K54</f>
        <v>2020</v>
      </c>
      <c r="Y41" s="9">
        <f t="shared" si="5"/>
        <v>1697.0850684116599</v>
      </c>
      <c r="Z41" s="82"/>
      <c r="AA41" s="82"/>
      <c r="AC41" s="9">
        <f>$Y41*(Voorblad!$K$44*(1+Voorblad!$K$44)^Voorblad!$K$37)/((1+Voorblad!$K$44)^Voorblad!$K$37-1)</f>
        <v>193.90684092310926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1697.0850684116599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112</v>
      </c>
      <c r="E46" s="76" t="s">
        <v>112</v>
      </c>
      <c r="F46" s="1" t="s">
        <v>27</v>
      </c>
      <c r="I46" s="1" t="s">
        <v>49</v>
      </c>
      <c r="K46" s="1" t="s">
        <v>109</v>
      </c>
      <c r="O46" s="14" t="s">
        <v>230</v>
      </c>
      <c r="P46" s="14" t="s">
        <v>282</v>
      </c>
      <c r="Q46" s="83">
        <f>(31.75+10.15+14)*31.9</f>
        <v>1783.2099999999998</v>
      </c>
      <c r="R46" s="81" t="s">
        <v>35</v>
      </c>
      <c r="S46" s="81">
        <v>11920</v>
      </c>
      <c r="T46" s="9">
        <f t="shared" si="4"/>
        <v>21255863.199999999</v>
      </c>
      <c r="U46" s="11">
        <v>1</v>
      </c>
      <c r="V46" s="1">
        <f>Voorblad!F24+100</f>
        <v>2062</v>
      </c>
      <c r="W46" s="9">
        <f>Voorblad!K77</f>
        <v>2062</v>
      </c>
      <c r="X46" s="6"/>
      <c r="Y46" s="9">
        <f>SUM(AE46:EB46)</f>
        <v>0</v>
      </c>
      <c r="Z46" s="82" t="s">
        <v>313</v>
      </c>
      <c r="AA46" s="82">
        <f>6*52</f>
        <v>312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271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252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7" t="s">
        <v>72</v>
      </c>
      <c r="C52" s="278"/>
      <c r="D52" s="279"/>
      <c r="E52" s="279"/>
      <c r="F52" s="279"/>
      <c r="G52" s="279"/>
      <c r="H52" s="279"/>
      <c r="I52" s="279"/>
      <c r="J52" s="279"/>
      <c r="K52" s="280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239</v>
      </c>
      <c r="C54" s="3"/>
      <c r="D54" s="3"/>
      <c r="E54" s="3"/>
      <c r="F54" s="3" t="s">
        <v>0</v>
      </c>
      <c r="G54" s="3"/>
      <c r="H54" s="3"/>
      <c r="I54" s="3" t="s">
        <v>234</v>
      </c>
      <c r="J54" s="3"/>
      <c r="K54" s="3" t="s">
        <v>11</v>
      </c>
      <c r="L54" s="3"/>
      <c r="M54" s="3"/>
      <c r="N54" s="3"/>
      <c r="O54" s="3" t="s">
        <v>54</v>
      </c>
      <c r="P54" s="3" t="s">
        <v>137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142</v>
      </c>
      <c r="X54" s="6"/>
      <c r="Y54" s="20" t="s">
        <v>68</v>
      </c>
      <c r="Z54" s="20" t="s">
        <v>140</v>
      </c>
      <c r="AA54" s="20" t="s">
        <v>144</v>
      </c>
      <c r="AC54" s="20" t="s">
        <v>283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238</v>
      </c>
      <c r="I55" s="3" t="s">
        <v>235</v>
      </c>
      <c r="O55" s="14"/>
      <c r="P55" s="14"/>
      <c r="V55" s="3" t="s">
        <v>70</v>
      </c>
      <c r="AC55" s="20" t="s">
        <v>284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280</v>
      </c>
      <c r="K58" s="1" t="s">
        <v>287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0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0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0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0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0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0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0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0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281</v>
      </c>
      <c r="K59" s="1" t="s">
        <v>110</v>
      </c>
      <c r="N59" s="3"/>
      <c r="O59" s="1" t="s">
        <v>135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0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0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0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0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281</v>
      </c>
      <c r="K60" s="1" t="s">
        <v>153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0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0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0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0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281</v>
      </c>
      <c r="K61" s="1" t="s">
        <v>146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0</v>
      </c>
      <c r="FP61" s="8">
        <f>IF(FP$56-Voorblad!$F$41&gt;Voorblad!$K$41,0,IF($U61=0,0,IF($U61&lt;1,1/$U61,IF((FP$56-Voorblad!$F$41)/$U61-SUM($EE61:FO61)=1,1,0))))</f>
        <v>0</v>
      </c>
      <c r="FQ61" s="8">
        <f>IF(FQ$56-Voorblad!$F$41&gt;Voorblad!$K$41,0,IF($U61=0,0,IF($U61&lt;1,1/$U61,IF((FQ$56-Voorblad!$F$41)/$U61-SUM($EE61:FP61)=1,1,0))))</f>
        <v>0</v>
      </c>
      <c r="FR61" s="8">
        <f>IF(FR$56-Voorblad!$F$41&gt;Voorblad!$K$41,0,IF($U61=0,0,IF($U61&lt;1,1/$U61,IF((FR$56-Voorblad!$F$41)/$U61-SUM($EE61:FQ61)=1,1,0))))</f>
        <v>0</v>
      </c>
      <c r="FS61" s="8">
        <f>IF(FS$56-Voorblad!$F$41&gt;Voorblad!$K$41,0,IF($U61=0,0,IF($U61&lt;1,1/$U61,IF((FS$56-Voorblad!$F$41)/$U61-SUM($EE61:FR61)=1,1,0))))</f>
        <v>0</v>
      </c>
      <c r="FT61" s="8">
        <f>IF(FT$56-Voorblad!$F$41&gt;Voorblad!$K$41,0,IF($U61=0,0,IF($U61&lt;1,1/$U61,IF((FT$56-Voorblad!$F$41)/$U61-SUM($EE61:FS61)=1,1,0))))</f>
        <v>0</v>
      </c>
      <c r="FU61" s="8">
        <f>IF(FU$56-Voorblad!$F$41&gt;Voorblad!$K$41,0,IF($U61=0,0,IF($U61&lt;1,1/$U61,IF((FU$56-Voorblad!$F$41)/$U61-SUM($EE61:FT61)=1,1,0))))</f>
        <v>0</v>
      </c>
      <c r="FV61" s="8">
        <f>IF(FV$56-Voorblad!$F$41&gt;Voorblad!$K$41,0,IF($U61=0,0,IF($U61&lt;1,1/$U61,IF((FV$56-Voorblad!$F$41)/$U61-SUM($EE61:FU61)=1,1,0))))</f>
        <v>0</v>
      </c>
      <c r="FW61" s="8">
        <f>IF(FW$56-Voorblad!$F$41&gt;Voorblad!$K$41,0,IF($U61=0,0,IF($U61&lt;1,1/$U61,IF((FW$56-Voorblad!$F$41)/$U61-SUM($EE61:FV61)=1,1,0))))</f>
        <v>0</v>
      </c>
      <c r="FX61" s="8">
        <f>IF(FX$56-Voorblad!$F$41&gt;Voorblad!$K$41,0,IF($U61=0,0,IF($U61&lt;1,1/$U61,IF((FX$56-Voorblad!$F$41)/$U61-SUM($EE61:FW61)=1,1,0))))</f>
        <v>0</v>
      </c>
      <c r="FY61" s="8">
        <f>IF(FY$56-Voorblad!$F$41&gt;Voorblad!$K$41,0,IF($U61=0,0,IF($U61&lt;1,1/$U61,IF((FY$56-Voorblad!$F$41)/$U61-SUM($EE61:FX61)=1,1,0))))</f>
        <v>0</v>
      </c>
      <c r="FZ61" s="8">
        <f>IF(FZ$56-Voorblad!$F$41&gt;Voorblad!$K$41,0,IF($U61=0,0,IF($U61&lt;1,1/$U61,IF((FZ$56-Voorblad!$F$41)/$U61-SUM($EE61:FY61)=1,1,0))))</f>
        <v>0</v>
      </c>
      <c r="GA61" s="8">
        <f>IF(GA$56-Voorblad!$F$41&gt;Voorblad!$K$41,0,IF($U61=0,0,IF($U61&lt;1,1/$U61,IF((GA$56-Voorblad!$F$41)/$U61-SUM($EE61:FZ61)=1,1,0))))</f>
        <v>0</v>
      </c>
      <c r="GB61" s="8">
        <f>IF(GB$56-Voorblad!$F$41&gt;Voorblad!$K$41,0,IF($U61=0,0,IF($U61&lt;1,1/$U61,IF((GB$56-Voorblad!$F$41)/$U61-SUM($EE61:GA61)=1,1,0))))</f>
        <v>0</v>
      </c>
      <c r="GC61" s="8">
        <f>IF(GC$56-Voorblad!$F$41&gt;Voorblad!$K$41,0,IF($U61=0,0,IF($U61&lt;1,1/$U61,IF((GC$56-Voorblad!$F$41)/$U61-SUM($EE61:GB61)=1,1,0))))</f>
        <v>0</v>
      </c>
      <c r="GD61" s="8">
        <f>IF(GD$56-Voorblad!$F$41&gt;Voorblad!$K$41,0,IF($U61=0,0,IF($U61&lt;1,1/$U61,IF((GD$56-Voorblad!$F$41)/$U61-SUM($EE61:GC61)=1,1,0))))</f>
        <v>0</v>
      </c>
      <c r="GE61" s="8">
        <f>IF(GE$56-Voorblad!$F$41&gt;Voorblad!$K$41,0,IF($U61=0,0,IF($U61&lt;1,1/$U61,IF((GE$56-Voorblad!$F$41)/$U61-SUM($EE61:GD61)=1,1,0))))</f>
        <v>0</v>
      </c>
      <c r="GF61" s="8">
        <f>IF(GF$56-Voorblad!$F$41&gt;Voorblad!$K$41,0,IF($U61=0,0,IF($U61&lt;1,1/$U61,IF((GF$56-Voorblad!$F$41)/$U61-SUM($EE61:GE61)=1,1,0))))</f>
        <v>0</v>
      </c>
      <c r="GG61" s="8">
        <f>IF(GG$56-Voorblad!$F$41&gt;Voorblad!$K$41,0,IF($U61=0,0,IF($U61&lt;1,1/$U61,IF((GG$56-Voorblad!$F$41)/$U61-SUM($EE61:GF61)=1,1,0))))</f>
        <v>0</v>
      </c>
      <c r="GH61" s="8">
        <f>IF(GH$56-Voorblad!$F$41&gt;Voorblad!$K$41,0,IF($U61=0,0,IF($U61&lt;1,1/$U61,IF((GH$56-Voorblad!$F$41)/$U61-SUM($EE61:GG61)=1,1,0))))</f>
        <v>0</v>
      </c>
      <c r="GI61" s="8">
        <f>IF(GI$56-Voorblad!$F$41&gt;Voorblad!$K$41,0,IF($U61=0,0,IF($U61&lt;1,1/$U61,IF((GI$56-Voorblad!$F$41)/$U61-SUM($EE61:GH61)=1,1,0))))</f>
        <v>0</v>
      </c>
      <c r="GJ61" s="8">
        <f>IF(GJ$56-Voorblad!$F$41&gt;Voorblad!$K$41,0,IF($U61=0,0,IF($U61&lt;1,1/$U61,IF((GJ$56-Voorblad!$F$41)/$U61-SUM($EE61:GI61)=1,1,0))))</f>
        <v>0</v>
      </c>
      <c r="GK61" s="8">
        <f>IF(GK$56-Voorblad!$F$41&gt;Voorblad!$K$41,0,IF($U61=0,0,IF($U61&lt;1,1/$U61,IF((GK$56-Voorblad!$F$41)/$U61-SUM($EE61:GJ61)=1,1,0))))</f>
        <v>0</v>
      </c>
      <c r="GL61" s="8">
        <f>IF(GL$56-Voorblad!$F$41&gt;Voorblad!$K$41,0,IF($U61=0,0,IF($U61&lt;1,1/$U61,IF((GL$56-Voorblad!$F$41)/$U61-SUM($EE61:GK61)=1,1,0))))</f>
        <v>0</v>
      </c>
      <c r="GM61" s="8">
        <f>IF(GM$56-Voorblad!$F$41&gt;Voorblad!$K$41,0,IF($U61=0,0,IF($U61&lt;1,1/$U61,IF((GM$56-Voorblad!$F$41)/$U61-SUM($EE61:GL61)=1,1,0))))</f>
        <v>0</v>
      </c>
      <c r="GN61" s="8">
        <f>IF(GN$56-Voorblad!$F$41&gt;Voorblad!$K$41,0,IF($U61=0,0,IF($U61&lt;1,1/$U61,IF((GN$56-Voorblad!$F$41)/$U61-SUM($EE61:GM61)=1,1,0))))</f>
        <v>0</v>
      </c>
      <c r="GO61" s="8">
        <f>IF(GO$56-Voorblad!$F$41&gt;Voorblad!$K$41,0,IF($U61=0,0,IF($U61&lt;1,1/$U61,IF((GO$56-Voorblad!$F$41)/$U61-SUM($EE61:GN61)=1,1,0))))</f>
        <v>0</v>
      </c>
      <c r="GP61" s="8">
        <f>IF(GP$56-Voorblad!$F$41&gt;Voorblad!$K$41,0,IF($U61=0,0,IF($U61&lt;1,1/$U61,IF((GP$56-Voorblad!$F$41)/$U61-SUM($EE61:GO61)=1,1,0))))</f>
        <v>0</v>
      </c>
      <c r="GQ61" s="8">
        <f>IF(GQ$56-Voorblad!$F$41&gt;Voorblad!$K$41,0,IF($U61=0,0,IF($U61&lt;1,1/$U61,IF((GQ$56-Voorblad!$F$41)/$U61-SUM($EE61:GP61)=1,1,0))))</f>
        <v>0</v>
      </c>
      <c r="GR61" s="8">
        <f>IF(GR$56-Voorblad!$F$41&gt;Voorblad!$K$41,0,IF($U61=0,0,IF($U61&lt;1,1/$U61,IF((GR$56-Voorblad!$F$41)/$U61-SUM($EE61:GQ61)=1,1,0))))</f>
        <v>0</v>
      </c>
      <c r="GS61" s="8">
        <f>IF(GS$56-Voorblad!$F$41&gt;Voorblad!$K$41,0,IF($U61=0,0,IF($U61&lt;1,1/$U61,IF((GS$56-Voorblad!$F$41)/$U61-SUM($EE61:GR61)=1,1,0))))</f>
        <v>0</v>
      </c>
      <c r="GT61" s="8">
        <f>IF(GT$56-Voorblad!$F$41&gt;Voorblad!$K$41,0,IF($U61=0,0,IF($U61&lt;1,1/$U61,IF((GT$56-Voorblad!$F$41)/$U61-SUM($EE61:GS61)=1,1,0))))</f>
        <v>0</v>
      </c>
      <c r="GU61" s="8">
        <f>IF(GU$56-Voorblad!$F$41&gt;Voorblad!$K$41,0,IF($U61=0,0,IF($U61&lt;1,1/$U61,IF((GU$56-Voorblad!$F$41)/$U61-SUM($EE61:GT61)=1,1,0))))</f>
        <v>0</v>
      </c>
      <c r="GV61" s="8">
        <f>IF(GV$56-Voorblad!$F$41&gt;Voorblad!$K$41,0,IF($U61=0,0,IF($U61&lt;1,1/$U61,IF((GV$56-Voorblad!$F$41)/$U61-SUM($EE61:GU61)=1,1,0))))</f>
        <v>0</v>
      </c>
      <c r="GW61" s="8">
        <f>IF(GW$56-Voorblad!$F$41&gt;Voorblad!$K$41,0,IF($U61=0,0,IF($U61&lt;1,1/$U61,IF((GW$56-Voorblad!$F$41)/$U61-SUM($EE61:GV61)=1,1,0))))</f>
        <v>0</v>
      </c>
      <c r="GX61" s="8">
        <f>IF(GX$56-Voorblad!$F$41&gt;Voorblad!$K$41,0,IF($U61=0,0,IF($U61&lt;1,1/$U61,IF((GX$56-Voorblad!$F$41)/$U61-SUM($EE61:GW61)=1,1,0))))</f>
        <v>0</v>
      </c>
      <c r="GY61" s="8">
        <f>IF(GY$56-Voorblad!$F$41&gt;Voorblad!$K$41,0,IF($U61=0,0,IF($U61&lt;1,1/$U61,IF((GY$56-Voorblad!$F$41)/$U61-SUM($EE61:GX61)=1,1,0))))</f>
        <v>0</v>
      </c>
      <c r="GZ61" s="8">
        <f>IF(GZ$56-Voorblad!$F$41&gt;Voorblad!$K$41,0,IF($U61=0,0,IF($U61&lt;1,1/$U61,IF((GZ$56-Voorblad!$F$41)/$U61-SUM($EE61:GY61)=1,1,0))))</f>
        <v>0</v>
      </c>
      <c r="HA61" s="8">
        <f>IF(HA$56-Voorblad!$F$41&gt;Voorblad!$K$41,0,IF($U61=0,0,IF($U61&lt;1,1/$U61,IF((HA$56-Voorblad!$F$41)/$U61-SUM($EE61:GZ61)=1,1,0))))</f>
        <v>0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281</v>
      </c>
      <c r="K62" s="14" t="s">
        <v>165</v>
      </c>
      <c r="L62" s="14"/>
      <c r="M62" s="14"/>
      <c r="N62" s="3"/>
      <c r="P62" s="1" t="s">
        <v>185</v>
      </c>
      <c r="Q62" s="81">
        <v>0</v>
      </c>
      <c r="R62" s="147" t="s">
        <v>197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0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0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0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0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281</v>
      </c>
      <c r="K63" s="14" t="s">
        <v>169</v>
      </c>
      <c r="L63" s="14"/>
      <c r="M63" s="14"/>
      <c r="N63" s="3"/>
      <c r="O63" s="1" t="s">
        <v>171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0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0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281</v>
      </c>
      <c r="K64" s="14" t="s">
        <v>204</v>
      </c>
      <c r="L64" s="14"/>
      <c r="M64" s="14"/>
      <c r="N64" s="3"/>
      <c r="O64" s="1" t="s">
        <v>172</v>
      </c>
      <c r="P64" s="1" t="s">
        <v>175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0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0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281</v>
      </c>
      <c r="K65" s="14" t="s">
        <v>170</v>
      </c>
      <c r="L65" s="14"/>
      <c r="M65" s="14"/>
      <c r="N65" s="3"/>
      <c r="O65" s="1" t="s">
        <v>173</v>
      </c>
      <c r="P65" s="1" t="s">
        <v>176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0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0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281</v>
      </c>
      <c r="K66" s="14" t="s">
        <v>168</v>
      </c>
      <c r="L66" s="14"/>
      <c r="M66" s="14"/>
      <c r="N66" s="3"/>
      <c r="O66" s="1" t="s">
        <v>173</v>
      </c>
      <c r="P66" s="1" t="s">
        <v>176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0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0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281</v>
      </c>
      <c r="K67" s="14" t="s">
        <v>190</v>
      </c>
      <c r="L67" s="14"/>
      <c r="M67" s="14"/>
      <c r="N67" s="3"/>
      <c r="O67" s="1" t="s">
        <v>174</v>
      </c>
      <c r="P67" s="1" t="s">
        <v>177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0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0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281</v>
      </c>
      <c r="K68" s="14" t="s">
        <v>95</v>
      </c>
      <c r="L68" s="14"/>
      <c r="M68" s="14"/>
      <c r="N68" s="3"/>
      <c r="O68" s="1" t="s">
        <v>179</v>
      </c>
      <c r="P68" s="1" t="s">
        <v>178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0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0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281</v>
      </c>
      <c r="K69" s="14" t="s">
        <v>53</v>
      </c>
      <c r="L69" s="14"/>
      <c r="M69" s="14"/>
      <c r="N69" s="3"/>
      <c r="O69" s="1" t="s">
        <v>179</v>
      </c>
      <c r="P69" s="1" t="s">
        <v>180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0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0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281</v>
      </c>
      <c r="K70" s="14" t="s">
        <v>192</v>
      </c>
      <c r="L70" s="14"/>
      <c r="M70" s="14"/>
      <c r="N70" s="3"/>
      <c r="O70" s="1" t="s">
        <v>179</v>
      </c>
      <c r="P70" s="1" t="s">
        <v>181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0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0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281</v>
      </c>
      <c r="K71" s="14" t="s">
        <v>155</v>
      </c>
      <c r="L71" s="14"/>
      <c r="M71" s="14"/>
      <c r="N71" s="3"/>
      <c r="O71" s="1" t="s">
        <v>179</v>
      </c>
      <c r="P71" s="1" t="s">
        <v>182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0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0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281</v>
      </c>
      <c r="K72" s="14" t="s">
        <v>166</v>
      </c>
      <c r="L72" s="14"/>
      <c r="M72" s="14"/>
      <c r="N72" s="3"/>
      <c r="O72" s="1" t="s">
        <v>179</v>
      </c>
      <c r="P72" s="1" t="s">
        <v>183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0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0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281</v>
      </c>
      <c r="K73" s="14" t="s">
        <v>167</v>
      </c>
      <c r="L73" s="14"/>
      <c r="M73" s="14"/>
      <c r="N73" s="3"/>
      <c r="O73" s="1" t="s">
        <v>179</v>
      </c>
      <c r="P73" s="1" t="s">
        <v>184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0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0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272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147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194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0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0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0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0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0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194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0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0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0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194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0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194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0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194</v>
      </c>
      <c r="K80" s="1" t="s">
        <v>59</v>
      </c>
      <c r="N80" s="3"/>
      <c r="O80" s="1" t="s">
        <v>188</v>
      </c>
      <c r="P80" s="1" t="s">
        <v>178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0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194</v>
      </c>
      <c r="K81" s="1" t="s">
        <v>50</v>
      </c>
      <c r="N81" s="3"/>
      <c r="O81" s="1" t="s">
        <v>188</v>
      </c>
      <c r="P81" s="1" t="s">
        <v>180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0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194</v>
      </c>
      <c r="K82" s="14" t="s">
        <v>191</v>
      </c>
      <c r="N82" s="3"/>
      <c r="O82" s="1" t="s">
        <v>188</v>
      </c>
      <c r="P82" s="1" t="s">
        <v>181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0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194</v>
      </c>
      <c r="K83" s="14" t="s">
        <v>156</v>
      </c>
      <c r="N83" s="3"/>
      <c r="O83" s="1" t="s">
        <v>188</v>
      </c>
      <c r="P83" s="1" t="s">
        <v>182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0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194</v>
      </c>
      <c r="K84" s="14" t="s">
        <v>186</v>
      </c>
      <c r="N84" s="3"/>
      <c r="O84" s="1" t="s">
        <v>188</v>
      </c>
      <c r="P84" s="1" t="s">
        <v>183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0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194</v>
      </c>
      <c r="K85" s="14" t="s">
        <v>187</v>
      </c>
      <c r="N85" s="3"/>
      <c r="O85" s="1" t="s">
        <v>188</v>
      </c>
      <c r="P85" s="1" t="s">
        <v>184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0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203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0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161</v>
      </c>
      <c r="N87" s="3"/>
      <c r="P87" s="14" t="s">
        <v>195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0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189</v>
      </c>
      <c r="N88" s="3"/>
      <c r="P88" s="14" t="s">
        <v>195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0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193</v>
      </c>
      <c r="N89" s="3"/>
      <c r="P89" s="14" t="s">
        <v>195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0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0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0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0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136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0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196</v>
      </c>
      <c r="N94" s="3"/>
      <c r="Q94" s="81">
        <v>0</v>
      </c>
      <c r="R94" s="147" t="s">
        <v>197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0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273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2062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0</v>
      </c>
      <c r="FP97" s="8">
        <f>IF(FP$56-Voorblad!$F$41&gt;Voorblad!$K$41,0,IF($U97=0,0,IF($U97&lt;1,1/$U97,IF((FP$56-Voorblad!$F$41)/$U97-SUM($EE97:FO97)=1,1,0))))</f>
        <v>0</v>
      </c>
      <c r="FQ97" s="8">
        <f>IF(FQ$56-Voorblad!$F$41&gt;Voorblad!$K$41,0,IF($U97=0,0,IF($U97&lt;1,1/$U97,IF((FQ$56-Voorblad!$F$41)/$U97-SUM($EE97:FP97)=1,1,0))))</f>
        <v>0</v>
      </c>
      <c r="FR97" s="8">
        <f>IF(FR$56-Voorblad!$F$41&gt;Voorblad!$K$41,0,IF($U97=0,0,IF($U97&lt;1,1/$U97,IF((FR$56-Voorblad!$F$41)/$U97-SUM($EE97:FQ97)=1,1,0))))</f>
        <v>0</v>
      </c>
      <c r="FS97" s="8">
        <f>IF(FS$56-Voorblad!$F$41&gt;Voorblad!$K$41,0,IF($U97=0,0,IF($U97&lt;1,1/$U97,IF((FS$56-Voorblad!$F$41)/$U97-SUM($EE97:FR97)=1,1,0))))</f>
        <v>0</v>
      </c>
      <c r="FT97" s="8">
        <f>IF(FT$56-Voorblad!$F$41&gt;Voorblad!$K$41,0,IF($U97=0,0,IF($U97&lt;1,1/$U97,IF((FT$56-Voorblad!$F$41)/$U97-SUM($EE97:FS97)=1,1,0))))</f>
        <v>0</v>
      </c>
      <c r="FU97" s="8">
        <f>IF(FU$56-Voorblad!$F$41&gt;Voorblad!$K$41,0,IF($U97=0,0,IF($U97&lt;1,1/$U97,IF((FU$56-Voorblad!$F$41)/$U97-SUM($EE97:FT97)=1,1,0))))</f>
        <v>0</v>
      </c>
      <c r="FV97" s="8">
        <f>IF(FV$56-Voorblad!$F$41&gt;Voorblad!$K$41,0,IF($U97=0,0,IF($U97&lt;1,1/$U97,IF((FV$56-Voorblad!$F$41)/$U97-SUM($EE97:FU97)=1,1,0))))</f>
        <v>0</v>
      </c>
      <c r="FW97" s="8">
        <f>IF(FW$56-Voorblad!$F$41&gt;Voorblad!$K$41,0,IF($U97=0,0,IF($U97&lt;1,1/$U97,IF((FW$56-Voorblad!$F$41)/$U97-SUM($EE97:FV97)=1,1,0))))</f>
        <v>0</v>
      </c>
      <c r="FX97" s="8">
        <f>IF(FX$56-Voorblad!$F$41&gt;Voorblad!$K$41,0,IF($U97=0,0,IF($U97&lt;1,1/$U97,IF((FX$56-Voorblad!$F$41)/$U97-SUM($EE97:FW97)=1,1,0))))</f>
        <v>0</v>
      </c>
      <c r="FY97" s="8">
        <f>IF(FY$56-Voorblad!$F$41&gt;Voorblad!$K$41,0,IF($U97=0,0,IF($U97&lt;1,1/$U97,IF((FY$56-Voorblad!$F$41)/$U97-SUM($EE97:FX97)=1,1,0))))</f>
        <v>0</v>
      </c>
      <c r="FZ97" s="8">
        <f>IF(FZ$56-Voorblad!$F$41&gt;Voorblad!$K$41,0,IF($U97=0,0,IF($U97&lt;1,1/$U97,IF((FZ$56-Voorblad!$F$41)/$U97-SUM($EE97:FY97)=1,1,0))))</f>
        <v>0</v>
      </c>
      <c r="GA97" s="8">
        <f>IF(GA$56-Voorblad!$F$41&gt;Voorblad!$K$41,0,IF($U97=0,0,IF($U97&lt;1,1/$U97,IF((GA$56-Voorblad!$F$41)/$U97-SUM($EE97:FZ97)=1,1,0))))</f>
        <v>0</v>
      </c>
      <c r="GB97" s="8">
        <f>IF(GB$56-Voorblad!$F$41&gt;Voorblad!$K$41,0,IF($U97=0,0,IF($U97&lt;1,1/$U97,IF((GB$56-Voorblad!$F$41)/$U97-SUM($EE97:GA97)=1,1,0))))</f>
        <v>0</v>
      </c>
      <c r="GC97" s="8">
        <f>IF(GC$56-Voorblad!$F$41&gt;Voorblad!$K$41,0,IF($U97=0,0,IF($U97&lt;1,1/$U97,IF((GC$56-Voorblad!$F$41)/$U97-SUM($EE97:GB97)=1,1,0))))</f>
        <v>0</v>
      </c>
      <c r="GD97" s="8">
        <f>IF(GD$56-Voorblad!$F$41&gt;Voorblad!$K$41,0,IF($U97=0,0,IF($U97&lt;1,1/$U97,IF((GD$56-Voorblad!$F$41)/$U97-SUM($EE97:GC97)=1,1,0))))</f>
        <v>0</v>
      </c>
      <c r="GE97" s="8">
        <f>IF(GE$56-Voorblad!$F$41&gt;Voorblad!$K$41,0,IF($U97=0,0,IF($U97&lt;1,1/$U97,IF((GE$56-Voorblad!$F$41)/$U97-SUM($EE97:GD97)=1,1,0))))</f>
        <v>0</v>
      </c>
      <c r="GF97" s="8">
        <f>IF(GF$56-Voorblad!$F$41&gt;Voorblad!$K$41,0,IF($U97=0,0,IF($U97&lt;1,1/$U97,IF((GF$56-Voorblad!$F$41)/$U97-SUM($EE97:GE97)=1,1,0))))</f>
        <v>0</v>
      </c>
      <c r="GG97" s="8">
        <f>IF(GG$56-Voorblad!$F$41&gt;Voorblad!$K$41,0,IF($U97=0,0,IF($U97&lt;1,1/$U97,IF((GG$56-Voorblad!$F$41)/$U97-SUM($EE97:GF97)=1,1,0))))</f>
        <v>0</v>
      </c>
      <c r="GH97" s="8">
        <f>IF(GH$56-Voorblad!$F$41&gt;Voorblad!$K$41,0,IF($U97=0,0,IF($U97&lt;1,1/$U97,IF((GH$56-Voorblad!$F$41)/$U97-SUM($EE97:GG97)=1,1,0))))</f>
        <v>0</v>
      </c>
      <c r="GI97" s="8">
        <f>IF(GI$56-Voorblad!$F$41&gt;Voorblad!$K$41,0,IF($U97=0,0,IF($U97&lt;1,1/$U97,IF((GI$56-Voorblad!$F$41)/$U97-SUM($EE97:GH97)=1,1,0))))</f>
        <v>0</v>
      </c>
      <c r="GJ97" s="8">
        <f>IF(GJ$56-Voorblad!$F$41&gt;Voorblad!$K$41,0,IF($U97=0,0,IF($U97&lt;1,1/$U97,IF((GJ$56-Voorblad!$F$41)/$U97-SUM($EE97:GI97)=1,1,0))))</f>
        <v>0</v>
      </c>
      <c r="GK97" s="8">
        <f>IF(GK$56-Voorblad!$F$41&gt;Voorblad!$K$41,0,IF($U97=0,0,IF($U97&lt;1,1/$U97,IF((GK$56-Voorblad!$F$41)/$U97-SUM($EE97:GJ97)=1,1,0))))</f>
        <v>0</v>
      </c>
      <c r="GL97" s="8">
        <f>IF(GL$56-Voorblad!$F$41&gt;Voorblad!$K$41,0,IF($U97=0,0,IF($U97&lt;1,1/$U97,IF((GL$56-Voorblad!$F$41)/$U97-SUM($EE97:GK97)=1,1,0))))</f>
        <v>0</v>
      </c>
      <c r="GM97" s="8">
        <f>IF(GM$56-Voorblad!$F$41&gt;Voorblad!$K$41,0,IF($U97=0,0,IF($U97&lt;1,1/$U97,IF((GM$56-Voorblad!$F$41)/$U97-SUM($EE97:GL97)=1,1,0))))</f>
        <v>0</v>
      </c>
      <c r="GN97" s="8">
        <f>IF(GN$56-Voorblad!$F$41&gt;Voorblad!$K$41,0,IF($U97=0,0,IF($U97&lt;1,1/$U97,IF((GN$56-Voorblad!$F$41)/$U97-SUM($EE97:GM97)=1,1,0))))</f>
        <v>0</v>
      </c>
      <c r="GO97" s="8">
        <f>IF(GO$56-Voorblad!$F$41&gt;Voorblad!$K$41,0,IF($U97=0,0,IF($U97&lt;1,1/$U97,IF((GO$56-Voorblad!$F$41)/$U97-SUM($EE97:GN97)=1,1,0))))</f>
        <v>0</v>
      </c>
      <c r="GP97" s="8">
        <f>IF(GP$56-Voorblad!$F$41&gt;Voorblad!$K$41,0,IF($U97=0,0,IF($U97&lt;1,1/$U97,IF((GP$56-Voorblad!$F$41)/$U97-SUM($EE97:GO97)=1,1,0))))</f>
        <v>0</v>
      </c>
      <c r="GQ97" s="8">
        <f>IF(GQ$56-Voorblad!$F$41&gt;Voorblad!$K$41,0,IF($U97=0,0,IF($U97&lt;1,1/$U97,IF((GQ$56-Voorblad!$F$41)/$U97-SUM($EE97:GP97)=1,1,0))))</f>
        <v>0</v>
      </c>
      <c r="GR97" s="8">
        <f>IF(GR$56-Voorblad!$F$41&gt;Voorblad!$K$41,0,IF($U97=0,0,IF($U97&lt;1,1/$U97,IF((GR$56-Voorblad!$F$41)/$U97-SUM($EE97:GQ97)=1,1,0))))</f>
        <v>0</v>
      </c>
      <c r="GS97" s="8">
        <f>IF(GS$56-Voorblad!$F$41&gt;Voorblad!$K$41,0,IF($U97=0,0,IF($U97&lt;1,1/$U97,IF((GS$56-Voorblad!$F$41)/$U97-SUM($EE97:GR97)=1,1,0))))</f>
        <v>0</v>
      </c>
      <c r="GT97" s="8">
        <f>IF(GT$56-Voorblad!$F$41&gt;Voorblad!$K$41,0,IF($U97=0,0,IF($U97&lt;1,1/$U97,IF((GT$56-Voorblad!$F$41)/$U97-SUM($EE97:GS97)=1,1,0))))</f>
        <v>0</v>
      </c>
      <c r="GU97" s="8">
        <f>IF(GU$56-Voorblad!$F$41&gt;Voorblad!$K$41,0,IF($U97=0,0,IF($U97&lt;1,1/$U97,IF((GU$56-Voorblad!$F$41)/$U97-SUM($EE97:GT97)=1,1,0))))</f>
        <v>0</v>
      </c>
      <c r="GV97" s="8">
        <f>IF(GV$56-Voorblad!$F$41&gt;Voorblad!$K$41,0,IF($U97=0,0,IF($U97&lt;1,1/$U97,IF((GV$56-Voorblad!$F$41)/$U97-SUM($EE97:GU97)=1,1,0))))</f>
        <v>0</v>
      </c>
      <c r="GW97" s="8">
        <f>IF(GW$56-Voorblad!$F$41&gt;Voorblad!$K$41,0,IF($U97=0,0,IF($U97&lt;1,1/$U97,IF((GW$56-Voorblad!$F$41)/$U97-SUM($EE97:GV97)=1,1,0))))</f>
        <v>0</v>
      </c>
      <c r="GX97" s="8">
        <f>IF(GX$56-Voorblad!$F$41&gt;Voorblad!$K$41,0,IF($U97=0,0,IF($U97&lt;1,1/$U97,IF((GX$56-Voorblad!$F$41)/$U97-SUM($EE97:GW97)=1,1,0))))</f>
        <v>0</v>
      </c>
      <c r="GY97" s="8">
        <f>IF(GY$56-Voorblad!$F$41&gt;Voorblad!$K$41,0,IF($U97=0,0,IF($U97&lt;1,1/$U97,IF((GY$56-Voorblad!$F$41)/$U97-SUM($EE97:GX97)=1,1,0))))</f>
        <v>0</v>
      </c>
      <c r="GZ97" s="8">
        <f>IF(GZ$56-Voorblad!$F$41&gt;Voorblad!$K$41,0,IF($U97=0,0,IF($U97&lt;1,1/$U97,IF((GZ$56-Voorblad!$F$41)/$U97-SUM($EE97:GY97)=1,1,0))))</f>
        <v>0</v>
      </c>
      <c r="HA97" s="8">
        <f>IF(HA$56-Voorblad!$F$41&gt;Voorblad!$K$41,0,IF($U97=0,0,IF($U97&lt;1,1/$U97,IF((HA$56-Voorblad!$F$41)/$U97-SUM($EE97:GZ97)=1,1,0))))</f>
        <v>0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0</v>
      </c>
      <c r="FP98" s="8">
        <f>IF(FP$56-Voorblad!$F$41&gt;Voorblad!$K$41,0,IF($U98=0,0,IF($U98&lt;1,1/$U98,IF((FP$56-Voorblad!$F$41)/$U98-SUM($EE98:FO98)=1,1,0))))</f>
        <v>0</v>
      </c>
      <c r="FQ98" s="8">
        <f>IF(FQ$56-Voorblad!$F$41&gt;Voorblad!$K$41,0,IF($U98=0,0,IF($U98&lt;1,1/$U98,IF((FQ$56-Voorblad!$F$41)/$U98-SUM($EE98:FP98)=1,1,0))))</f>
        <v>0</v>
      </c>
      <c r="FR98" s="8">
        <f>IF(FR$56-Voorblad!$F$41&gt;Voorblad!$K$41,0,IF($U98=0,0,IF($U98&lt;1,1/$U98,IF((FR$56-Voorblad!$F$41)/$U98-SUM($EE98:FQ98)=1,1,0))))</f>
        <v>0</v>
      </c>
      <c r="FS98" s="8">
        <f>IF(FS$56-Voorblad!$F$41&gt;Voorblad!$K$41,0,IF($U98=0,0,IF($U98&lt;1,1/$U98,IF((FS$56-Voorblad!$F$41)/$U98-SUM($EE98:FR98)=1,1,0))))</f>
        <v>0</v>
      </c>
      <c r="FT98" s="8">
        <f>IF(FT$56-Voorblad!$F$41&gt;Voorblad!$K$41,0,IF($U98=0,0,IF($U98&lt;1,1/$U98,IF((FT$56-Voorblad!$F$41)/$U98-SUM($EE98:FS98)=1,1,0))))</f>
        <v>0</v>
      </c>
      <c r="FU98" s="8">
        <f>IF(FU$56-Voorblad!$F$41&gt;Voorblad!$K$41,0,IF($U98=0,0,IF($U98&lt;1,1/$U98,IF((FU$56-Voorblad!$F$41)/$U98-SUM($EE98:FT98)=1,1,0))))</f>
        <v>0</v>
      </c>
      <c r="FV98" s="8">
        <f>IF(FV$56-Voorblad!$F$41&gt;Voorblad!$K$41,0,IF($U98=0,0,IF($U98&lt;1,1/$U98,IF((FV$56-Voorblad!$F$41)/$U98-SUM($EE98:FU98)=1,1,0))))</f>
        <v>0</v>
      </c>
      <c r="FW98" s="8">
        <f>IF(FW$56-Voorblad!$F$41&gt;Voorblad!$K$41,0,IF($U98=0,0,IF($U98&lt;1,1/$U98,IF((FW$56-Voorblad!$F$41)/$U98-SUM($EE98:FV98)=1,1,0))))</f>
        <v>0</v>
      </c>
      <c r="FX98" s="8">
        <f>IF(FX$56-Voorblad!$F$41&gt;Voorblad!$K$41,0,IF($U98=0,0,IF($U98&lt;1,1/$U98,IF((FX$56-Voorblad!$F$41)/$U98-SUM($EE98:FW98)=1,1,0))))</f>
        <v>0</v>
      </c>
      <c r="FY98" s="8">
        <f>IF(FY$56-Voorblad!$F$41&gt;Voorblad!$K$41,0,IF($U98=0,0,IF($U98&lt;1,1/$U98,IF((FY$56-Voorblad!$F$41)/$U98-SUM($EE98:FX98)=1,1,0))))</f>
        <v>0</v>
      </c>
      <c r="FZ98" s="8">
        <f>IF(FZ$56-Voorblad!$F$41&gt;Voorblad!$K$41,0,IF($U98=0,0,IF($U98&lt;1,1/$U98,IF((FZ$56-Voorblad!$F$41)/$U98-SUM($EE98:FY98)=1,1,0))))</f>
        <v>0</v>
      </c>
      <c r="GA98" s="8">
        <f>IF(GA$56-Voorblad!$F$41&gt;Voorblad!$K$41,0,IF($U98=0,0,IF($U98&lt;1,1/$U98,IF((GA$56-Voorblad!$F$41)/$U98-SUM($EE98:FZ98)=1,1,0))))</f>
        <v>0</v>
      </c>
      <c r="GB98" s="8">
        <f>IF(GB$56-Voorblad!$F$41&gt;Voorblad!$K$41,0,IF($U98=0,0,IF($U98&lt;1,1/$U98,IF((GB$56-Voorblad!$F$41)/$U98-SUM($EE98:GA98)=1,1,0))))</f>
        <v>0</v>
      </c>
      <c r="GC98" s="8">
        <f>IF(GC$56-Voorblad!$F$41&gt;Voorblad!$K$41,0,IF($U98=0,0,IF($U98&lt;1,1/$U98,IF((GC$56-Voorblad!$F$41)/$U98-SUM($EE98:GB98)=1,1,0))))</f>
        <v>0</v>
      </c>
      <c r="GD98" s="8">
        <f>IF(GD$56-Voorblad!$F$41&gt;Voorblad!$K$41,0,IF($U98=0,0,IF($U98&lt;1,1/$U98,IF((GD$56-Voorblad!$F$41)/$U98-SUM($EE98:GC98)=1,1,0))))</f>
        <v>0</v>
      </c>
      <c r="GE98" s="8">
        <f>IF(GE$56-Voorblad!$F$41&gt;Voorblad!$K$41,0,IF($U98=0,0,IF($U98&lt;1,1/$U98,IF((GE$56-Voorblad!$F$41)/$U98-SUM($EE98:GD98)=1,1,0))))</f>
        <v>0</v>
      </c>
      <c r="GF98" s="8">
        <f>IF(GF$56-Voorblad!$F$41&gt;Voorblad!$K$41,0,IF($U98=0,0,IF($U98&lt;1,1/$U98,IF((GF$56-Voorblad!$F$41)/$U98-SUM($EE98:GE98)=1,1,0))))</f>
        <v>0</v>
      </c>
      <c r="GG98" s="8">
        <f>IF(GG$56-Voorblad!$F$41&gt;Voorblad!$K$41,0,IF($U98=0,0,IF($U98&lt;1,1/$U98,IF((GG$56-Voorblad!$F$41)/$U98-SUM($EE98:GF98)=1,1,0))))</f>
        <v>0</v>
      </c>
      <c r="GH98" s="8">
        <f>IF(GH$56-Voorblad!$F$41&gt;Voorblad!$K$41,0,IF($U98=0,0,IF($U98&lt;1,1/$U98,IF((GH$56-Voorblad!$F$41)/$U98-SUM($EE98:GG98)=1,1,0))))</f>
        <v>0</v>
      </c>
      <c r="GI98" s="8">
        <f>IF(GI$56-Voorblad!$F$41&gt;Voorblad!$K$41,0,IF($U98=0,0,IF($U98&lt;1,1/$U98,IF((GI$56-Voorblad!$F$41)/$U98-SUM($EE98:GH98)=1,1,0))))</f>
        <v>0</v>
      </c>
      <c r="GJ98" s="8">
        <f>IF(GJ$56-Voorblad!$F$41&gt;Voorblad!$K$41,0,IF($U98=0,0,IF($U98&lt;1,1/$U98,IF((GJ$56-Voorblad!$F$41)/$U98-SUM($EE98:GI98)=1,1,0))))</f>
        <v>0</v>
      </c>
      <c r="GK98" s="8">
        <f>IF(GK$56-Voorblad!$F$41&gt;Voorblad!$K$41,0,IF($U98=0,0,IF($U98&lt;1,1/$U98,IF((GK$56-Voorblad!$F$41)/$U98-SUM($EE98:GJ98)=1,1,0))))</f>
        <v>0</v>
      </c>
      <c r="GL98" s="8">
        <f>IF(GL$56-Voorblad!$F$41&gt;Voorblad!$K$41,0,IF($U98=0,0,IF($U98&lt;1,1/$U98,IF((GL$56-Voorblad!$F$41)/$U98-SUM($EE98:GK98)=1,1,0))))</f>
        <v>0</v>
      </c>
      <c r="GM98" s="8">
        <f>IF(GM$56-Voorblad!$F$41&gt;Voorblad!$K$41,0,IF($U98=0,0,IF($U98&lt;1,1/$U98,IF((GM$56-Voorblad!$F$41)/$U98-SUM($EE98:GL98)=1,1,0))))</f>
        <v>0</v>
      </c>
      <c r="GN98" s="8">
        <f>IF(GN$56-Voorblad!$F$41&gt;Voorblad!$K$41,0,IF($U98=0,0,IF($U98&lt;1,1/$U98,IF((GN$56-Voorblad!$F$41)/$U98-SUM($EE98:GM98)=1,1,0))))</f>
        <v>0</v>
      </c>
      <c r="GO98" s="8">
        <f>IF(GO$56-Voorblad!$F$41&gt;Voorblad!$K$41,0,IF($U98=0,0,IF($U98&lt;1,1/$U98,IF((GO$56-Voorblad!$F$41)/$U98-SUM($EE98:GN98)=1,1,0))))</f>
        <v>0</v>
      </c>
      <c r="GP98" s="8">
        <f>IF(GP$56-Voorblad!$F$41&gt;Voorblad!$K$41,0,IF($U98=0,0,IF($U98&lt;1,1/$U98,IF((GP$56-Voorblad!$F$41)/$U98-SUM($EE98:GO98)=1,1,0))))</f>
        <v>0</v>
      </c>
      <c r="GQ98" s="8">
        <f>IF(GQ$56-Voorblad!$F$41&gt;Voorblad!$K$41,0,IF($U98=0,0,IF($U98&lt;1,1/$U98,IF((GQ$56-Voorblad!$F$41)/$U98-SUM($EE98:GP98)=1,1,0))))</f>
        <v>0</v>
      </c>
      <c r="GR98" s="8">
        <f>IF(GR$56-Voorblad!$F$41&gt;Voorblad!$K$41,0,IF($U98=0,0,IF($U98&lt;1,1/$U98,IF((GR$56-Voorblad!$F$41)/$U98-SUM($EE98:GQ98)=1,1,0))))</f>
        <v>0</v>
      </c>
      <c r="GS98" s="8">
        <f>IF(GS$56-Voorblad!$F$41&gt;Voorblad!$K$41,0,IF($U98=0,0,IF($U98&lt;1,1/$U98,IF((GS$56-Voorblad!$F$41)/$U98-SUM($EE98:GR98)=1,1,0))))</f>
        <v>0</v>
      </c>
      <c r="GT98" s="8">
        <f>IF(GT$56-Voorblad!$F$41&gt;Voorblad!$K$41,0,IF($U98=0,0,IF($U98&lt;1,1/$U98,IF((GT$56-Voorblad!$F$41)/$U98-SUM($EE98:GS98)=1,1,0))))</f>
        <v>0</v>
      </c>
      <c r="GU98" s="8">
        <f>IF(GU$56-Voorblad!$F$41&gt;Voorblad!$K$41,0,IF($U98=0,0,IF($U98&lt;1,1/$U98,IF((GU$56-Voorblad!$F$41)/$U98-SUM($EE98:GT98)=1,1,0))))</f>
        <v>0</v>
      </c>
      <c r="GV98" s="8">
        <f>IF(GV$56-Voorblad!$F$41&gt;Voorblad!$K$41,0,IF($U98=0,0,IF($U98&lt;1,1/$U98,IF((GV$56-Voorblad!$F$41)/$U98-SUM($EE98:GU98)=1,1,0))))</f>
        <v>0</v>
      </c>
      <c r="GW98" s="8">
        <f>IF(GW$56-Voorblad!$F$41&gt;Voorblad!$K$41,0,IF($U98=0,0,IF($U98&lt;1,1/$U98,IF((GW$56-Voorblad!$F$41)/$U98-SUM($EE98:GV98)=1,1,0))))</f>
        <v>0</v>
      </c>
      <c r="GX98" s="8">
        <f>IF(GX$56-Voorblad!$F$41&gt;Voorblad!$K$41,0,IF($U98=0,0,IF($U98&lt;1,1/$U98,IF((GX$56-Voorblad!$F$41)/$U98-SUM($EE98:GW98)=1,1,0))))</f>
        <v>0</v>
      </c>
      <c r="GY98" s="8">
        <f>IF(GY$56-Voorblad!$F$41&gt;Voorblad!$K$41,0,IF($U98=0,0,IF($U98&lt;1,1/$U98,IF((GY$56-Voorblad!$F$41)/$U98-SUM($EE98:GX98)=1,1,0))))</f>
        <v>0</v>
      </c>
      <c r="GZ98" s="8">
        <f>IF(GZ$56-Voorblad!$F$41&gt;Voorblad!$K$41,0,IF($U98=0,0,IF($U98&lt;1,1/$U98,IF((GZ$56-Voorblad!$F$41)/$U98-SUM($EE98:GY98)=1,1,0))))</f>
        <v>0</v>
      </c>
      <c r="HA98" s="8">
        <f>IF(HA$56-Voorblad!$F$41&gt;Voorblad!$K$41,0,IF($U98=0,0,IF($U98&lt;1,1/$U98,IF((HA$56-Voorblad!$F$41)/$U98-SUM($EE98:GZ98)=1,1,0))))</f>
        <v>0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154</v>
      </c>
      <c r="N99" s="3"/>
      <c r="O99" s="1" t="s">
        <v>96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0</v>
      </c>
      <c r="FP99" s="8">
        <f>IF(FP$56-Voorblad!$F$41&gt;Voorblad!$K$41,0,IF($U99=0,0,IF($U99&lt;1,1/$U99,IF((FP$56-Voorblad!$F$41)/$U99-SUM($EE99:FO99)=1,1,0))))</f>
        <v>0</v>
      </c>
      <c r="FQ99" s="8">
        <f>IF(FQ$56-Voorblad!$F$41&gt;Voorblad!$K$41,0,IF($U99=0,0,IF($U99&lt;1,1/$U99,IF((FQ$56-Voorblad!$F$41)/$U99-SUM($EE99:FP99)=1,1,0))))</f>
        <v>0</v>
      </c>
      <c r="FR99" s="8">
        <f>IF(FR$56-Voorblad!$F$41&gt;Voorblad!$K$41,0,IF($U99=0,0,IF($U99&lt;1,1/$U99,IF((FR$56-Voorblad!$F$41)/$U99-SUM($EE99:FQ99)=1,1,0))))</f>
        <v>0</v>
      </c>
      <c r="FS99" s="8">
        <f>IF(FS$56-Voorblad!$F$41&gt;Voorblad!$K$41,0,IF($U99=0,0,IF($U99&lt;1,1/$U99,IF((FS$56-Voorblad!$F$41)/$U99-SUM($EE99:FR99)=1,1,0))))</f>
        <v>0</v>
      </c>
      <c r="FT99" s="8">
        <f>IF(FT$56-Voorblad!$F$41&gt;Voorblad!$K$41,0,IF($U99=0,0,IF($U99&lt;1,1/$U99,IF((FT$56-Voorblad!$F$41)/$U99-SUM($EE99:FS99)=1,1,0))))</f>
        <v>0</v>
      </c>
      <c r="FU99" s="8">
        <f>IF(FU$56-Voorblad!$F$41&gt;Voorblad!$K$41,0,IF($U99=0,0,IF($U99&lt;1,1/$U99,IF((FU$56-Voorblad!$F$41)/$U99-SUM($EE99:FT99)=1,1,0))))</f>
        <v>0</v>
      </c>
      <c r="FV99" s="8">
        <f>IF(FV$56-Voorblad!$F$41&gt;Voorblad!$K$41,0,IF($U99=0,0,IF($U99&lt;1,1/$U99,IF((FV$56-Voorblad!$F$41)/$U99-SUM($EE99:FU99)=1,1,0))))</f>
        <v>0</v>
      </c>
      <c r="FW99" s="8">
        <f>IF(FW$56-Voorblad!$F$41&gt;Voorblad!$K$41,0,IF($U99=0,0,IF($U99&lt;1,1/$U99,IF((FW$56-Voorblad!$F$41)/$U99-SUM($EE99:FV99)=1,1,0))))</f>
        <v>0</v>
      </c>
      <c r="FX99" s="8">
        <f>IF(FX$56-Voorblad!$F$41&gt;Voorblad!$K$41,0,IF($U99=0,0,IF($U99&lt;1,1/$U99,IF((FX$56-Voorblad!$F$41)/$U99-SUM($EE99:FW99)=1,1,0))))</f>
        <v>0</v>
      </c>
      <c r="FY99" s="8">
        <f>IF(FY$56-Voorblad!$F$41&gt;Voorblad!$K$41,0,IF($U99=0,0,IF($U99&lt;1,1/$U99,IF((FY$56-Voorblad!$F$41)/$U99-SUM($EE99:FX99)=1,1,0))))</f>
        <v>0</v>
      </c>
      <c r="FZ99" s="8">
        <f>IF(FZ$56-Voorblad!$F$41&gt;Voorblad!$K$41,0,IF($U99=0,0,IF($U99&lt;1,1/$U99,IF((FZ$56-Voorblad!$F$41)/$U99-SUM($EE99:FY99)=1,1,0))))</f>
        <v>0</v>
      </c>
      <c r="GA99" s="8">
        <f>IF(GA$56-Voorblad!$F$41&gt;Voorblad!$K$41,0,IF($U99=0,0,IF($U99&lt;1,1/$U99,IF((GA$56-Voorblad!$F$41)/$U99-SUM($EE99:FZ99)=1,1,0))))</f>
        <v>0</v>
      </c>
      <c r="GB99" s="8">
        <f>IF(GB$56-Voorblad!$F$41&gt;Voorblad!$K$41,0,IF($U99=0,0,IF($U99&lt;1,1/$U99,IF((GB$56-Voorblad!$F$41)/$U99-SUM($EE99:GA99)=1,1,0))))</f>
        <v>0</v>
      </c>
      <c r="GC99" s="8">
        <f>IF(GC$56-Voorblad!$F$41&gt;Voorblad!$K$41,0,IF($U99=0,0,IF($U99&lt;1,1/$U99,IF((GC$56-Voorblad!$F$41)/$U99-SUM($EE99:GB99)=1,1,0))))</f>
        <v>0</v>
      </c>
      <c r="GD99" s="8">
        <f>IF(GD$56-Voorblad!$F$41&gt;Voorblad!$K$41,0,IF($U99=0,0,IF($U99&lt;1,1/$U99,IF((GD$56-Voorblad!$F$41)/$U99-SUM($EE99:GC99)=1,1,0))))</f>
        <v>0</v>
      </c>
      <c r="GE99" s="8">
        <f>IF(GE$56-Voorblad!$F$41&gt;Voorblad!$K$41,0,IF($U99=0,0,IF($U99&lt;1,1/$U99,IF((GE$56-Voorblad!$F$41)/$U99-SUM($EE99:GD99)=1,1,0))))</f>
        <v>0</v>
      </c>
      <c r="GF99" s="8">
        <f>IF(GF$56-Voorblad!$F$41&gt;Voorblad!$K$41,0,IF($U99=0,0,IF($U99&lt;1,1/$U99,IF((GF$56-Voorblad!$F$41)/$U99-SUM($EE99:GE99)=1,1,0))))</f>
        <v>0</v>
      </c>
      <c r="GG99" s="8">
        <f>IF(GG$56-Voorblad!$F$41&gt;Voorblad!$K$41,0,IF($U99=0,0,IF($U99&lt;1,1/$U99,IF((GG$56-Voorblad!$F$41)/$U99-SUM($EE99:GF99)=1,1,0))))</f>
        <v>0</v>
      </c>
      <c r="GH99" s="8">
        <f>IF(GH$56-Voorblad!$F$41&gt;Voorblad!$K$41,0,IF($U99=0,0,IF($U99&lt;1,1/$U99,IF((GH$56-Voorblad!$F$41)/$U99-SUM($EE99:GG99)=1,1,0))))</f>
        <v>0</v>
      </c>
      <c r="GI99" s="8">
        <f>IF(GI$56-Voorblad!$F$41&gt;Voorblad!$K$41,0,IF($U99=0,0,IF($U99&lt;1,1/$U99,IF((GI$56-Voorblad!$F$41)/$U99-SUM($EE99:GH99)=1,1,0))))</f>
        <v>0</v>
      </c>
      <c r="GJ99" s="8">
        <f>IF(GJ$56-Voorblad!$F$41&gt;Voorblad!$K$41,0,IF($U99=0,0,IF($U99&lt;1,1/$U99,IF((GJ$56-Voorblad!$F$41)/$U99-SUM($EE99:GI99)=1,1,0))))</f>
        <v>0</v>
      </c>
      <c r="GK99" s="8">
        <f>IF(GK$56-Voorblad!$F$41&gt;Voorblad!$K$41,0,IF($U99=0,0,IF($U99&lt;1,1/$U99,IF((GK$56-Voorblad!$F$41)/$U99-SUM($EE99:GJ99)=1,1,0))))</f>
        <v>0</v>
      </c>
      <c r="GL99" s="8">
        <f>IF(GL$56-Voorblad!$F$41&gt;Voorblad!$K$41,0,IF($U99=0,0,IF($U99&lt;1,1/$U99,IF((GL$56-Voorblad!$F$41)/$U99-SUM($EE99:GK99)=1,1,0))))</f>
        <v>0</v>
      </c>
      <c r="GM99" s="8">
        <f>IF(GM$56-Voorblad!$F$41&gt;Voorblad!$K$41,0,IF($U99=0,0,IF($U99&lt;1,1/$U99,IF((GM$56-Voorblad!$F$41)/$U99-SUM($EE99:GL99)=1,1,0))))</f>
        <v>0</v>
      </c>
      <c r="GN99" s="8">
        <f>IF(GN$56-Voorblad!$F$41&gt;Voorblad!$K$41,0,IF($U99=0,0,IF($U99&lt;1,1/$U99,IF((GN$56-Voorblad!$F$41)/$U99-SUM($EE99:GM99)=1,1,0))))</f>
        <v>0</v>
      </c>
      <c r="GO99" s="8">
        <f>IF(GO$56-Voorblad!$F$41&gt;Voorblad!$K$41,0,IF($U99=0,0,IF($U99&lt;1,1/$U99,IF((GO$56-Voorblad!$F$41)/$U99-SUM($EE99:GN99)=1,1,0))))</f>
        <v>0</v>
      </c>
      <c r="GP99" s="8">
        <f>IF(GP$56-Voorblad!$F$41&gt;Voorblad!$K$41,0,IF($U99=0,0,IF($U99&lt;1,1/$U99,IF((GP$56-Voorblad!$F$41)/$U99-SUM($EE99:GO99)=1,1,0))))</f>
        <v>0</v>
      </c>
      <c r="GQ99" s="8">
        <f>IF(GQ$56-Voorblad!$F$41&gt;Voorblad!$K$41,0,IF($U99=0,0,IF($U99&lt;1,1/$U99,IF((GQ$56-Voorblad!$F$41)/$U99-SUM($EE99:GP99)=1,1,0))))</f>
        <v>0</v>
      </c>
      <c r="GR99" s="8">
        <f>IF(GR$56-Voorblad!$F$41&gt;Voorblad!$K$41,0,IF($U99=0,0,IF($U99&lt;1,1/$U99,IF((GR$56-Voorblad!$F$41)/$U99-SUM($EE99:GQ99)=1,1,0))))</f>
        <v>0</v>
      </c>
      <c r="GS99" s="8">
        <f>IF(GS$56-Voorblad!$F$41&gt;Voorblad!$K$41,0,IF($U99=0,0,IF($U99&lt;1,1/$U99,IF((GS$56-Voorblad!$F$41)/$U99-SUM($EE99:GR99)=1,1,0))))</f>
        <v>0</v>
      </c>
      <c r="GT99" s="8">
        <f>IF(GT$56-Voorblad!$F$41&gt;Voorblad!$K$41,0,IF($U99=0,0,IF($U99&lt;1,1/$U99,IF((GT$56-Voorblad!$F$41)/$U99-SUM($EE99:GS99)=1,1,0))))</f>
        <v>0</v>
      </c>
      <c r="GU99" s="8">
        <f>IF(GU$56-Voorblad!$F$41&gt;Voorblad!$K$41,0,IF($U99=0,0,IF($U99&lt;1,1/$U99,IF((GU$56-Voorblad!$F$41)/$U99-SUM($EE99:GT99)=1,1,0))))</f>
        <v>0</v>
      </c>
      <c r="GV99" s="8">
        <f>IF(GV$56-Voorblad!$F$41&gt;Voorblad!$K$41,0,IF($U99=0,0,IF($U99&lt;1,1/$U99,IF((GV$56-Voorblad!$F$41)/$U99-SUM($EE99:GU99)=1,1,0))))</f>
        <v>0</v>
      </c>
      <c r="GW99" s="8">
        <f>IF(GW$56-Voorblad!$F$41&gt;Voorblad!$K$41,0,IF($U99=0,0,IF($U99&lt;1,1/$U99,IF((GW$56-Voorblad!$F$41)/$U99-SUM($EE99:GV99)=1,1,0))))</f>
        <v>0</v>
      </c>
      <c r="GX99" s="8">
        <f>IF(GX$56-Voorblad!$F$41&gt;Voorblad!$K$41,0,IF($U99=0,0,IF($U99&lt;1,1/$U99,IF((GX$56-Voorblad!$F$41)/$U99-SUM($EE99:GW99)=1,1,0))))</f>
        <v>0</v>
      </c>
      <c r="GY99" s="8">
        <f>IF(GY$56-Voorblad!$F$41&gt;Voorblad!$K$41,0,IF($U99=0,0,IF($U99&lt;1,1/$U99,IF((GY$56-Voorblad!$F$41)/$U99-SUM($EE99:GX99)=1,1,0))))</f>
        <v>0</v>
      </c>
      <c r="GZ99" s="8">
        <f>IF(GZ$56-Voorblad!$F$41&gt;Voorblad!$K$41,0,IF($U99=0,0,IF($U99&lt;1,1/$U99,IF((GZ$56-Voorblad!$F$41)/$U99-SUM($EE99:GY99)=1,1,0))))</f>
        <v>0</v>
      </c>
      <c r="HA99" s="8">
        <f>IF(HA$56-Voorblad!$F$41&gt;Voorblad!$K$41,0,IF($U99=0,0,IF($U99&lt;1,1/$U99,IF((HA$56-Voorblad!$F$41)/$U99-SUM($EE99:GZ99)=1,1,0))))</f>
        <v>0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157</v>
      </c>
      <c r="N100" s="3"/>
      <c r="O100" s="1" t="s">
        <v>97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0</v>
      </c>
      <c r="FP100" s="8">
        <f>IF(FP$56-Voorblad!$F$41&gt;Voorblad!$K$41,0,IF($U100=0,0,IF($U100&lt;1,1/$U100,IF((FP$56-Voorblad!$F$41)/$U100-SUM($EE100:FO100)=1,1,0))))</f>
        <v>0</v>
      </c>
      <c r="FQ100" s="8">
        <f>IF(FQ$56-Voorblad!$F$41&gt;Voorblad!$K$41,0,IF($U100=0,0,IF($U100&lt;1,1/$U100,IF((FQ$56-Voorblad!$F$41)/$U100-SUM($EE100:FP100)=1,1,0))))</f>
        <v>0</v>
      </c>
      <c r="FR100" s="8">
        <f>IF(FR$56-Voorblad!$F$41&gt;Voorblad!$K$41,0,IF($U100=0,0,IF($U100&lt;1,1/$U100,IF((FR$56-Voorblad!$F$41)/$U100-SUM($EE100:FQ100)=1,1,0))))</f>
        <v>0</v>
      </c>
      <c r="FS100" s="8">
        <f>IF(FS$56-Voorblad!$F$41&gt;Voorblad!$K$41,0,IF($U100=0,0,IF($U100&lt;1,1/$U100,IF((FS$56-Voorblad!$F$41)/$U100-SUM($EE100:FR100)=1,1,0))))</f>
        <v>0</v>
      </c>
      <c r="FT100" s="8">
        <f>IF(FT$56-Voorblad!$F$41&gt;Voorblad!$K$41,0,IF($U100=0,0,IF($U100&lt;1,1/$U100,IF((FT$56-Voorblad!$F$41)/$U100-SUM($EE100:FS100)=1,1,0))))</f>
        <v>0</v>
      </c>
      <c r="FU100" s="8">
        <f>IF(FU$56-Voorblad!$F$41&gt;Voorblad!$K$41,0,IF($U100=0,0,IF($U100&lt;1,1/$U100,IF((FU$56-Voorblad!$F$41)/$U100-SUM($EE100:FT100)=1,1,0))))</f>
        <v>0</v>
      </c>
      <c r="FV100" s="8">
        <f>IF(FV$56-Voorblad!$F$41&gt;Voorblad!$K$41,0,IF($U100=0,0,IF($U100&lt;1,1/$U100,IF((FV$56-Voorblad!$F$41)/$U100-SUM($EE100:FU100)=1,1,0))))</f>
        <v>0</v>
      </c>
      <c r="FW100" s="8">
        <f>IF(FW$56-Voorblad!$F$41&gt;Voorblad!$K$41,0,IF($U100=0,0,IF($U100&lt;1,1/$U100,IF((FW$56-Voorblad!$F$41)/$U100-SUM($EE100:FV100)=1,1,0))))</f>
        <v>0</v>
      </c>
      <c r="FX100" s="8">
        <f>IF(FX$56-Voorblad!$F$41&gt;Voorblad!$K$41,0,IF($U100=0,0,IF($U100&lt;1,1/$U100,IF((FX$56-Voorblad!$F$41)/$U100-SUM($EE100:FW100)=1,1,0))))</f>
        <v>0</v>
      </c>
      <c r="FY100" s="8">
        <f>IF(FY$56-Voorblad!$F$41&gt;Voorblad!$K$41,0,IF($U100=0,0,IF($U100&lt;1,1/$U100,IF((FY$56-Voorblad!$F$41)/$U100-SUM($EE100:FX100)=1,1,0))))</f>
        <v>0</v>
      </c>
      <c r="FZ100" s="8">
        <f>IF(FZ$56-Voorblad!$F$41&gt;Voorblad!$K$41,0,IF($U100=0,0,IF($U100&lt;1,1/$U100,IF((FZ$56-Voorblad!$F$41)/$U100-SUM($EE100:FY100)=1,1,0))))</f>
        <v>0</v>
      </c>
      <c r="GA100" s="8">
        <f>IF(GA$56-Voorblad!$F$41&gt;Voorblad!$K$41,0,IF($U100=0,0,IF($U100&lt;1,1/$U100,IF((GA$56-Voorblad!$F$41)/$U100-SUM($EE100:FZ100)=1,1,0))))</f>
        <v>0</v>
      </c>
      <c r="GB100" s="8">
        <f>IF(GB$56-Voorblad!$F$41&gt;Voorblad!$K$41,0,IF($U100=0,0,IF($U100&lt;1,1/$U100,IF((GB$56-Voorblad!$F$41)/$U100-SUM($EE100:GA100)=1,1,0))))</f>
        <v>0</v>
      </c>
      <c r="GC100" s="8">
        <f>IF(GC$56-Voorblad!$F$41&gt;Voorblad!$K$41,0,IF($U100=0,0,IF($U100&lt;1,1/$U100,IF((GC$56-Voorblad!$F$41)/$U100-SUM($EE100:GB100)=1,1,0))))</f>
        <v>0</v>
      </c>
      <c r="GD100" s="8">
        <f>IF(GD$56-Voorblad!$F$41&gt;Voorblad!$K$41,0,IF($U100=0,0,IF($U100&lt;1,1/$U100,IF((GD$56-Voorblad!$F$41)/$U100-SUM($EE100:GC100)=1,1,0))))</f>
        <v>0</v>
      </c>
      <c r="GE100" s="8">
        <f>IF(GE$56-Voorblad!$F$41&gt;Voorblad!$K$41,0,IF($U100=0,0,IF($U100&lt;1,1/$U100,IF((GE$56-Voorblad!$F$41)/$U100-SUM($EE100:GD100)=1,1,0))))</f>
        <v>0</v>
      </c>
      <c r="GF100" s="8">
        <f>IF(GF$56-Voorblad!$F$41&gt;Voorblad!$K$41,0,IF($U100=0,0,IF($U100&lt;1,1/$U100,IF((GF$56-Voorblad!$F$41)/$U100-SUM($EE100:GE100)=1,1,0))))</f>
        <v>0</v>
      </c>
      <c r="GG100" s="8">
        <f>IF(GG$56-Voorblad!$F$41&gt;Voorblad!$K$41,0,IF($U100=0,0,IF($U100&lt;1,1/$U100,IF((GG$56-Voorblad!$F$41)/$U100-SUM($EE100:GF100)=1,1,0))))</f>
        <v>0</v>
      </c>
      <c r="GH100" s="8">
        <f>IF(GH$56-Voorblad!$F$41&gt;Voorblad!$K$41,0,IF($U100=0,0,IF($U100&lt;1,1/$U100,IF((GH$56-Voorblad!$F$41)/$U100-SUM($EE100:GG100)=1,1,0))))</f>
        <v>0</v>
      </c>
      <c r="GI100" s="8">
        <f>IF(GI$56-Voorblad!$F$41&gt;Voorblad!$K$41,0,IF($U100=0,0,IF($U100&lt;1,1/$U100,IF((GI$56-Voorblad!$F$41)/$U100-SUM($EE100:GH100)=1,1,0))))</f>
        <v>0</v>
      </c>
      <c r="GJ100" s="8">
        <f>IF(GJ$56-Voorblad!$F$41&gt;Voorblad!$K$41,0,IF($U100=0,0,IF($U100&lt;1,1/$U100,IF((GJ$56-Voorblad!$F$41)/$U100-SUM($EE100:GI100)=1,1,0))))</f>
        <v>0</v>
      </c>
      <c r="GK100" s="8">
        <f>IF(GK$56-Voorblad!$F$41&gt;Voorblad!$K$41,0,IF($U100=0,0,IF($U100&lt;1,1/$U100,IF((GK$56-Voorblad!$F$41)/$U100-SUM($EE100:GJ100)=1,1,0))))</f>
        <v>0</v>
      </c>
      <c r="GL100" s="8">
        <f>IF(GL$56-Voorblad!$F$41&gt;Voorblad!$K$41,0,IF($U100=0,0,IF($U100&lt;1,1/$U100,IF((GL$56-Voorblad!$F$41)/$U100-SUM($EE100:GK100)=1,1,0))))</f>
        <v>0</v>
      </c>
      <c r="GM100" s="8">
        <f>IF(GM$56-Voorblad!$F$41&gt;Voorblad!$K$41,0,IF($U100=0,0,IF($U100&lt;1,1/$U100,IF((GM$56-Voorblad!$F$41)/$U100-SUM($EE100:GL100)=1,1,0))))</f>
        <v>0</v>
      </c>
      <c r="GN100" s="8">
        <f>IF(GN$56-Voorblad!$F$41&gt;Voorblad!$K$41,0,IF($U100=0,0,IF($U100&lt;1,1/$U100,IF((GN$56-Voorblad!$F$41)/$U100-SUM($EE100:GM100)=1,1,0))))</f>
        <v>0</v>
      </c>
      <c r="GO100" s="8">
        <f>IF(GO$56-Voorblad!$F$41&gt;Voorblad!$K$41,0,IF($U100=0,0,IF($U100&lt;1,1/$U100,IF((GO$56-Voorblad!$F$41)/$U100-SUM($EE100:GN100)=1,1,0))))</f>
        <v>0</v>
      </c>
      <c r="GP100" s="8">
        <f>IF(GP$56-Voorblad!$F$41&gt;Voorblad!$K$41,0,IF($U100=0,0,IF($U100&lt;1,1/$U100,IF((GP$56-Voorblad!$F$41)/$U100-SUM($EE100:GO100)=1,1,0))))</f>
        <v>0</v>
      </c>
      <c r="GQ100" s="8">
        <f>IF(GQ$56-Voorblad!$F$41&gt;Voorblad!$K$41,0,IF($U100=0,0,IF($U100&lt;1,1/$U100,IF((GQ$56-Voorblad!$F$41)/$U100-SUM($EE100:GP100)=1,1,0))))</f>
        <v>0</v>
      </c>
      <c r="GR100" s="8">
        <f>IF(GR$56-Voorblad!$F$41&gt;Voorblad!$K$41,0,IF($U100=0,0,IF($U100&lt;1,1/$U100,IF((GR$56-Voorblad!$F$41)/$U100-SUM($EE100:GQ100)=1,1,0))))</f>
        <v>0</v>
      </c>
      <c r="GS100" s="8">
        <f>IF(GS$56-Voorblad!$F$41&gt;Voorblad!$K$41,0,IF($U100=0,0,IF($U100&lt;1,1/$U100,IF((GS$56-Voorblad!$F$41)/$U100-SUM($EE100:GR100)=1,1,0))))</f>
        <v>0</v>
      </c>
      <c r="GT100" s="8">
        <f>IF(GT$56-Voorblad!$F$41&gt;Voorblad!$K$41,0,IF($U100=0,0,IF($U100&lt;1,1/$U100,IF((GT$56-Voorblad!$F$41)/$U100-SUM($EE100:GS100)=1,1,0))))</f>
        <v>0</v>
      </c>
      <c r="GU100" s="8">
        <f>IF(GU$56-Voorblad!$F$41&gt;Voorblad!$K$41,0,IF($U100=0,0,IF($U100&lt;1,1/$U100,IF((GU$56-Voorblad!$F$41)/$U100-SUM($EE100:GT100)=1,1,0))))</f>
        <v>0</v>
      </c>
      <c r="GV100" s="8">
        <f>IF(GV$56-Voorblad!$F$41&gt;Voorblad!$K$41,0,IF($U100=0,0,IF($U100&lt;1,1/$U100,IF((GV$56-Voorblad!$F$41)/$U100-SUM($EE100:GU100)=1,1,0))))</f>
        <v>0</v>
      </c>
      <c r="GW100" s="8">
        <f>IF(GW$56-Voorblad!$F$41&gt;Voorblad!$K$41,0,IF($U100=0,0,IF($U100&lt;1,1/$U100,IF((GW$56-Voorblad!$F$41)/$U100-SUM($EE100:GV100)=1,1,0))))</f>
        <v>0</v>
      </c>
      <c r="GX100" s="8">
        <f>IF(GX$56-Voorblad!$F$41&gt;Voorblad!$K$41,0,IF($U100=0,0,IF($U100&lt;1,1/$U100,IF((GX$56-Voorblad!$F$41)/$U100-SUM($EE100:GW100)=1,1,0))))</f>
        <v>0</v>
      </c>
      <c r="GY100" s="8">
        <f>IF(GY$56-Voorblad!$F$41&gt;Voorblad!$K$41,0,IF($U100=0,0,IF($U100&lt;1,1/$U100,IF((GY$56-Voorblad!$F$41)/$U100-SUM($EE100:GX100)=1,1,0))))</f>
        <v>0</v>
      </c>
      <c r="GZ100" s="8">
        <f>IF(GZ$56-Voorblad!$F$41&gt;Voorblad!$K$41,0,IF($U100=0,0,IF($U100&lt;1,1/$U100,IF((GZ$56-Voorblad!$F$41)/$U100-SUM($EE100:GY100)=1,1,0))))</f>
        <v>0</v>
      </c>
      <c r="HA100" s="8">
        <f>IF(HA$56-Voorblad!$F$41&gt;Voorblad!$K$41,0,IF($U100=0,0,IF($U100&lt;1,1/$U100,IF((HA$56-Voorblad!$F$41)/$U100-SUM($EE100:GZ100)=1,1,0))))</f>
        <v>0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158</v>
      </c>
      <c r="N101" s="3"/>
      <c r="O101" s="1" t="s">
        <v>98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0</v>
      </c>
      <c r="FP101" s="8">
        <f>IF(FP$56-Voorblad!$F$41&gt;Voorblad!$K$41,0,IF($U101=0,0,IF($U101&lt;1,1/$U101,IF((FP$56-Voorblad!$F$41)/$U101-SUM($EE101:FO101)=1,1,0))))</f>
        <v>0</v>
      </c>
      <c r="FQ101" s="8">
        <f>IF(FQ$56-Voorblad!$F$41&gt;Voorblad!$K$41,0,IF($U101=0,0,IF($U101&lt;1,1/$U101,IF((FQ$56-Voorblad!$F$41)/$U101-SUM($EE101:FP101)=1,1,0))))</f>
        <v>0</v>
      </c>
      <c r="FR101" s="8">
        <f>IF(FR$56-Voorblad!$F$41&gt;Voorblad!$K$41,0,IF($U101=0,0,IF($U101&lt;1,1/$U101,IF((FR$56-Voorblad!$F$41)/$U101-SUM($EE101:FQ101)=1,1,0))))</f>
        <v>0</v>
      </c>
      <c r="FS101" s="8">
        <f>IF(FS$56-Voorblad!$F$41&gt;Voorblad!$K$41,0,IF($U101=0,0,IF($U101&lt;1,1/$U101,IF((FS$56-Voorblad!$F$41)/$U101-SUM($EE101:FR101)=1,1,0))))</f>
        <v>0</v>
      </c>
      <c r="FT101" s="8">
        <f>IF(FT$56-Voorblad!$F$41&gt;Voorblad!$K$41,0,IF($U101=0,0,IF($U101&lt;1,1/$U101,IF((FT$56-Voorblad!$F$41)/$U101-SUM($EE101:FS101)=1,1,0))))</f>
        <v>0</v>
      </c>
      <c r="FU101" s="8">
        <f>IF(FU$56-Voorblad!$F$41&gt;Voorblad!$K$41,0,IF($U101=0,0,IF($U101&lt;1,1/$U101,IF((FU$56-Voorblad!$F$41)/$U101-SUM($EE101:FT101)=1,1,0))))</f>
        <v>0</v>
      </c>
      <c r="FV101" s="8">
        <f>IF(FV$56-Voorblad!$F$41&gt;Voorblad!$K$41,0,IF($U101=0,0,IF($U101&lt;1,1/$U101,IF((FV$56-Voorblad!$F$41)/$U101-SUM($EE101:FU101)=1,1,0))))</f>
        <v>0</v>
      </c>
      <c r="FW101" s="8">
        <f>IF(FW$56-Voorblad!$F$41&gt;Voorblad!$K$41,0,IF($U101=0,0,IF($U101&lt;1,1/$U101,IF((FW$56-Voorblad!$F$41)/$U101-SUM($EE101:FV101)=1,1,0))))</f>
        <v>0</v>
      </c>
      <c r="FX101" s="8">
        <f>IF(FX$56-Voorblad!$F$41&gt;Voorblad!$K$41,0,IF($U101=0,0,IF($U101&lt;1,1/$U101,IF((FX$56-Voorblad!$F$41)/$U101-SUM($EE101:FW101)=1,1,0))))</f>
        <v>0</v>
      </c>
      <c r="FY101" s="8">
        <f>IF(FY$56-Voorblad!$F$41&gt;Voorblad!$K$41,0,IF($U101=0,0,IF($U101&lt;1,1/$U101,IF((FY$56-Voorblad!$F$41)/$U101-SUM($EE101:FX101)=1,1,0))))</f>
        <v>0</v>
      </c>
      <c r="FZ101" s="8">
        <f>IF(FZ$56-Voorblad!$F$41&gt;Voorblad!$K$41,0,IF($U101=0,0,IF($U101&lt;1,1/$U101,IF((FZ$56-Voorblad!$F$41)/$U101-SUM($EE101:FY101)=1,1,0))))</f>
        <v>0</v>
      </c>
      <c r="GA101" s="8">
        <f>IF(GA$56-Voorblad!$F$41&gt;Voorblad!$K$41,0,IF($U101=0,0,IF($U101&lt;1,1/$U101,IF((GA$56-Voorblad!$F$41)/$U101-SUM($EE101:FZ101)=1,1,0))))</f>
        <v>0</v>
      </c>
      <c r="GB101" s="8">
        <f>IF(GB$56-Voorblad!$F$41&gt;Voorblad!$K$41,0,IF($U101=0,0,IF($U101&lt;1,1/$U101,IF((GB$56-Voorblad!$F$41)/$U101-SUM($EE101:GA101)=1,1,0))))</f>
        <v>0</v>
      </c>
      <c r="GC101" s="8">
        <f>IF(GC$56-Voorblad!$F$41&gt;Voorblad!$K$41,0,IF($U101=0,0,IF($U101&lt;1,1/$U101,IF((GC$56-Voorblad!$F$41)/$U101-SUM($EE101:GB101)=1,1,0))))</f>
        <v>0</v>
      </c>
      <c r="GD101" s="8">
        <f>IF(GD$56-Voorblad!$F$41&gt;Voorblad!$K$41,0,IF($U101=0,0,IF($U101&lt;1,1/$U101,IF((GD$56-Voorblad!$F$41)/$U101-SUM($EE101:GC101)=1,1,0))))</f>
        <v>0</v>
      </c>
      <c r="GE101" s="8">
        <f>IF(GE$56-Voorblad!$F$41&gt;Voorblad!$K$41,0,IF($U101=0,0,IF($U101&lt;1,1/$U101,IF((GE$56-Voorblad!$F$41)/$U101-SUM($EE101:GD101)=1,1,0))))</f>
        <v>0</v>
      </c>
      <c r="GF101" s="8">
        <f>IF(GF$56-Voorblad!$F$41&gt;Voorblad!$K$41,0,IF($U101=0,0,IF($U101&lt;1,1/$U101,IF((GF$56-Voorblad!$F$41)/$U101-SUM($EE101:GE101)=1,1,0))))</f>
        <v>0</v>
      </c>
      <c r="GG101" s="8">
        <f>IF(GG$56-Voorblad!$F$41&gt;Voorblad!$K$41,0,IF($U101=0,0,IF($U101&lt;1,1/$U101,IF((GG$56-Voorblad!$F$41)/$U101-SUM($EE101:GF101)=1,1,0))))</f>
        <v>0</v>
      </c>
      <c r="GH101" s="8">
        <f>IF(GH$56-Voorblad!$F$41&gt;Voorblad!$K$41,0,IF($U101=0,0,IF($U101&lt;1,1/$U101,IF((GH$56-Voorblad!$F$41)/$U101-SUM($EE101:GG101)=1,1,0))))</f>
        <v>0</v>
      </c>
      <c r="GI101" s="8">
        <f>IF(GI$56-Voorblad!$F$41&gt;Voorblad!$K$41,0,IF($U101=0,0,IF($U101&lt;1,1/$U101,IF((GI$56-Voorblad!$F$41)/$U101-SUM($EE101:GH101)=1,1,0))))</f>
        <v>0</v>
      </c>
      <c r="GJ101" s="8">
        <f>IF(GJ$56-Voorblad!$F$41&gt;Voorblad!$K$41,0,IF($U101=0,0,IF($U101&lt;1,1/$U101,IF((GJ$56-Voorblad!$F$41)/$U101-SUM($EE101:GI101)=1,1,0))))</f>
        <v>0</v>
      </c>
      <c r="GK101" s="8">
        <f>IF(GK$56-Voorblad!$F$41&gt;Voorblad!$K$41,0,IF($U101=0,0,IF($U101&lt;1,1/$U101,IF((GK$56-Voorblad!$F$41)/$U101-SUM($EE101:GJ101)=1,1,0))))</f>
        <v>0</v>
      </c>
      <c r="GL101" s="8">
        <f>IF(GL$56-Voorblad!$F$41&gt;Voorblad!$K$41,0,IF($U101=0,0,IF($U101&lt;1,1/$U101,IF((GL$56-Voorblad!$F$41)/$U101-SUM($EE101:GK101)=1,1,0))))</f>
        <v>0</v>
      </c>
      <c r="GM101" s="8">
        <f>IF(GM$56-Voorblad!$F$41&gt;Voorblad!$K$41,0,IF($U101=0,0,IF($U101&lt;1,1/$U101,IF((GM$56-Voorblad!$F$41)/$U101-SUM($EE101:GL101)=1,1,0))))</f>
        <v>0</v>
      </c>
      <c r="GN101" s="8">
        <f>IF(GN$56-Voorblad!$F$41&gt;Voorblad!$K$41,0,IF($U101=0,0,IF($U101&lt;1,1/$U101,IF((GN$56-Voorblad!$F$41)/$U101-SUM($EE101:GM101)=1,1,0))))</f>
        <v>0</v>
      </c>
      <c r="GO101" s="8">
        <f>IF(GO$56-Voorblad!$F$41&gt;Voorblad!$K$41,0,IF($U101=0,0,IF($U101&lt;1,1/$U101,IF((GO$56-Voorblad!$F$41)/$U101-SUM($EE101:GN101)=1,1,0))))</f>
        <v>0</v>
      </c>
      <c r="GP101" s="8">
        <f>IF(GP$56-Voorblad!$F$41&gt;Voorblad!$K$41,0,IF($U101=0,0,IF($U101&lt;1,1/$U101,IF((GP$56-Voorblad!$F$41)/$U101-SUM($EE101:GO101)=1,1,0))))</f>
        <v>0</v>
      </c>
      <c r="GQ101" s="8">
        <f>IF(GQ$56-Voorblad!$F$41&gt;Voorblad!$K$41,0,IF($U101=0,0,IF($U101&lt;1,1/$U101,IF((GQ$56-Voorblad!$F$41)/$U101-SUM($EE101:GP101)=1,1,0))))</f>
        <v>0</v>
      </c>
      <c r="GR101" s="8">
        <f>IF(GR$56-Voorblad!$F$41&gt;Voorblad!$K$41,0,IF($U101=0,0,IF($U101&lt;1,1/$U101,IF((GR$56-Voorblad!$F$41)/$U101-SUM($EE101:GQ101)=1,1,0))))</f>
        <v>0</v>
      </c>
      <c r="GS101" s="8">
        <f>IF(GS$56-Voorblad!$F$41&gt;Voorblad!$K$41,0,IF($U101=0,0,IF($U101&lt;1,1/$U101,IF((GS$56-Voorblad!$F$41)/$U101-SUM($EE101:GR101)=1,1,0))))</f>
        <v>0</v>
      </c>
      <c r="GT101" s="8">
        <f>IF(GT$56-Voorblad!$F$41&gt;Voorblad!$K$41,0,IF($U101=0,0,IF($U101&lt;1,1/$U101,IF((GT$56-Voorblad!$F$41)/$U101-SUM($EE101:GS101)=1,1,0))))</f>
        <v>0</v>
      </c>
      <c r="GU101" s="8">
        <f>IF(GU$56-Voorblad!$F$41&gt;Voorblad!$K$41,0,IF($U101=0,0,IF($U101&lt;1,1/$U101,IF((GU$56-Voorblad!$F$41)/$U101-SUM($EE101:GT101)=1,1,0))))</f>
        <v>0</v>
      </c>
      <c r="GV101" s="8">
        <f>IF(GV$56-Voorblad!$F$41&gt;Voorblad!$K$41,0,IF($U101=0,0,IF($U101&lt;1,1/$U101,IF((GV$56-Voorblad!$F$41)/$U101-SUM($EE101:GU101)=1,1,0))))</f>
        <v>0</v>
      </c>
      <c r="GW101" s="8">
        <f>IF(GW$56-Voorblad!$F$41&gt;Voorblad!$K$41,0,IF($U101=0,0,IF($U101&lt;1,1/$U101,IF((GW$56-Voorblad!$F$41)/$U101-SUM($EE101:GV101)=1,1,0))))</f>
        <v>0</v>
      </c>
      <c r="GX101" s="8">
        <f>IF(GX$56-Voorblad!$F$41&gt;Voorblad!$K$41,0,IF($U101=0,0,IF($U101&lt;1,1/$U101,IF((GX$56-Voorblad!$F$41)/$U101-SUM($EE101:GW101)=1,1,0))))</f>
        <v>0</v>
      </c>
      <c r="GY101" s="8">
        <f>IF(GY$56-Voorblad!$F$41&gt;Voorblad!$K$41,0,IF($U101=0,0,IF($U101&lt;1,1/$U101,IF((GY$56-Voorblad!$F$41)/$U101-SUM($EE101:GX101)=1,1,0))))</f>
        <v>0</v>
      </c>
      <c r="GZ101" s="8">
        <f>IF(GZ$56-Voorblad!$F$41&gt;Voorblad!$K$41,0,IF($U101=0,0,IF($U101&lt;1,1/$U101,IF((GZ$56-Voorblad!$F$41)/$U101-SUM($EE101:GY101)=1,1,0))))</f>
        <v>0</v>
      </c>
      <c r="HA101" s="8">
        <f>IF(HA$56-Voorblad!$F$41&gt;Voorblad!$K$41,0,IF($U101=0,0,IF($U101&lt;1,1/$U101,IF((HA$56-Voorblad!$F$41)/$U101-SUM($EE101:GZ101)=1,1,0))))</f>
        <v>0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99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0</v>
      </c>
      <c r="FP102" s="8">
        <f>IF(FP$56-Voorblad!$F$41&gt;Voorblad!$K$41,0,IF($U102=0,0,IF($U102&lt;1,1/$U102,IF((FP$56-Voorblad!$F$41)/$U102-SUM($EE102:FO102)=1,1,0))))</f>
        <v>0</v>
      </c>
      <c r="FQ102" s="8">
        <f>IF(FQ$56-Voorblad!$F$41&gt;Voorblad!$K$41,0,IF($U102=0,0,IF($U102&lt;1,1/$U102,IF((FQ$56-Voorblad!$F$41)/$U102-SUM($EE102:FP102)=1,1,0))))</f>
        <v>0</v>
      </c>
      <c r="FR102" s="8">
        <f>IF(FR$56-Voorblad!$F$41&gt;Voorblad!$K$41,0,IF($U102=0,0,IF($U102&lt;1,1/$U102,IF((FR$56-Voorblad!$F$41)/$U102-SUM($EE102:FQ102)=1,1,0))))</f>
        <v>0</v>
      </c>
      <c r="FS102" s="8">
        <f>IF(FS$56-Voorblad!$F$41&gt;Voorblad!$K$41,0,IF($U102=0,0,IF($U102&lt;1,1/$U102,IF((FS$56-Voorblad!$F$41)/$U102-SUM($EE102:FR102)=1,1,0))))</f>
        <v>0</v>
      </c>
      <c r="FT102" s="8">
        <f>IF(FT$56-Voorblad!$F$41&gt;Voorblad!$K$41,0,IF($U102=0,0,IF($U102&lt;1,1/$U102,IF((FT$56-Voorblad!$F$41)/$U102-SUM($EE102:FS102)=1,1,0))))</f>
        <v>0</v>
      </c>
      <c r="FU102" s="8">
        <f>IF(FU$56-Voorblad!$F$41&gt;Voorblad!$K$41,0,IF($U102=0,0,IF($U102&lt;1,1/$U102,IF((FU$56-Voorblad!$F$41)/$U102-SUM($EE102:FT102)=1,1,0))))</f>
        <v>0</v>
      </c>
      <c r="FV102" s="8">
        <f>IF(FV$56-Voorblad!$F$41&gt;Voorblad!$K$41,0,IF($U102=0,0,IF($U102&lt;1,1/$U102,IF((FV$56-Voorblad!$F$41)/$U102-SUM($EE102:FU102)=1,1,0))))</f>
        <v>0</v>
      </c>
      <c r="FW102" s="8">
        <f>IF(FW$56-Voorblad!$F$41&gt;Voorblad!$K$41,0,IF($U102=0,0,IF($U102&lt;1,1/$U102,IF((FW$56-Voorblad!$F$41)/$U102-SUM($EE102:FV102)=1,1,0))))</f>
        <v>0</v>
      </c>
      <c r="FX102" s="8">
        <f>IF(FX$56-Voorblad!$F$41&gt;Voorblad!$K$41,0,IF($U102=0,0,IF($U102&lt;1,1/$U102,IF((FX$56-Voorblad!$F$41)/$U102-SUM($EE102:FW102)=1,1,0))))</f>
        <v>0</v>
      </c>
      <c r="FY102" s="8">
        <f>IF(FY$56-Voorblad!$F$41&gt;Voorblad!$K$41,0,IF($U102=0,0,IF($U102&lt;1,1/$U102,IF((FY$56-Voorblad!$F$41)/$U102-SUM($EE102:FX102)=1,1,0))))</f>
        <v>0</v>
      </c>
      <c r="FZ102" s="8">
        <f>IF(FZ$56-Voorblad!$F$41&gt;Voorblad!$K$41,0,IF($U102=0,0,IF($U102&lt;1,1/$U102,IF((FZ$56-Voorblad!$F$41)/$U102-SUM($EE102:FY102)=1,1,0))))</f>
        <v>0</v>
      </c>
      <c r="GA102" s="8">
        <f>IF(GA$56-Voorblad!$F$41&gt;Voorblad!$K$41,0,IF($U102=0,0,IF($U102&lt;1,1/$U102,IF((GA$56-Voorblad!$F$41)/$U102-SUM($EE102:FZ102)=1,1,0))))</f>
        <v>0</v>
      </c>
      <c r="GB102" s="8">
        <f>IF(GB$56-Voorblad!$F$41&gt;Voorblad!$K$41,0,IF($U102=0,0,IF($U102&lt;1,1/$U102,IF((GB$56-Voorblad!$F$41)/$U102-SUM($EE102:GA102)=1,1,0))))</f>
        <v>0</v>
      </c>
      <c r="GC102" s="8">
        <f>IF(GC$56-Voorblad!$F$41&gt;Voorblad!$K$41,0,IF($U102=0,0,IF($U102&lt;1,1/$U102,IF((GC$56-Voorblad!$F$41)/$U102-SUM($EE102:GB102)=1,1,0))))</f>
        <v>0</v>
      </c>
      <c r="GD102" s="8">
        <f>IF(GD$56-Voorblad!$F$41&gt;Voorblad!$K$41,0,IF($U102=0,0,IF($U102&lt;1,1/$U102,IF((GD$56-Voorblad!$F$41)/$U102-SUM($EE102:GC102)=1,1,0))))</f>
        <v>0</v>
      </c>
      <c r="GE102" s="8">
        <f>IF(GE$56-Voorblad!$F$41&gt;Voorblad!$K$41,0,IF($U102=0,0,IF($U102&lt;1,1/$U102,IF((GE$56-Voorblad!$F$41)/$U102-SUM($EE102:GD102)=1,1,0))))</f>
        <v>0</v>
      </c>
      <c r="GF102" s="8">
        <f>IF(GF$56-Voorblad!$F$41&gt;Voorblad!$K$41,0,IF($U102=0,0,IF($U102&lt;1,1/$U102,IF((GF$56-Voorblad!$F$41)/$U102-SUM($EE102:GE102)=1,1,0))))</f>
        <v>0</v>
      </c>
      <c r="GG102" s="8">
        <f>IF(GG$56-Voorblad!$F$41&gt;Voorblad!$K$41,0,IF($U102=0,0,IF($U102&lt;1,1/$U102,IF((GG$56-Voorblad!$F$41)/$U102-SUM($EE102:GF102)=1,1,0))))</f>
        <v>0</v>
      </c>
      <c r="GH102" s="8">
        <f>IF(GH$56-Voorblad!$F$41&gt;Voorblad!$K$41,0,IF($U102=0,0,IF($U102&lt;1,1/$U102,IF((GH$56-Voorblad!$F$41)/$U102-SUM($EE102:GG102)=1,1,0))))</f>
        <v>0</v>
      </c>
      <c r="GI102" s="8">
        <f>IF(GI$56-Voorblad!$F$41&gt;Voorblad!$K$41,0,IF($U102=0,0,IF($U102&lt;1,1/$U102,IF((GI$56-Voorblad!$F$41)/$U102-SUM($EE102:GH102)=1,1,0))))</f>
        <v>0</v>
      </c>
      <c r="GJ102" s="8">
        <f>IF(GJ$56-Voorblad!$F$41&gt;Voorblad!$K$41,0,IF($U102=0,0,IF($U102&lt;1,1/$U102,IF((GJ$56-Voorblad!$F$41)/$U102-SUM($EE102:GI102)=1,1,0))))</f>
        <v>0</v>
      </c>
      <c r="GK102" s="8">
        <f>IF(GK$56-Voorblad!$F$41&gt;Voorblad!$K$41,0,IF($U102=0,0,IF($U102&lt;1,1/$U102,IF((GK$56-Voorblad!$F$41)/$U102-SUM($EE102:GJ102)=1,1,0))))</f>
        <v>0</v>
      </c>
      <c r="GL102" s="8">
        <f>IF(GL$56-Voorblad!$F$41&gt;Voorblad!$K$41,0,IF($U102=0,0,IF($U102&lt;1,1/$U102,IF((GL$56-Voorblad!$F$41)/$U102-SUM($EE102:GK102)=1,1,0))))</f>
        <v>0</v>
      </c>
      <c r="GM102" s="8">
        <f>IF(GM$56-Voorblad!$F$41&gt;Voorblad!$K$41,0,IF($U102=0,0,IF($U102&lt;1,1/$U102,IF((GM$56-Voorblad!$F$41)/$U102-SUM($EE102:GL102)=1,1,0))))</f>
        <v>0</v>
      </c>
      <c r="GN102" s="8">
        <f>IF(GN$56-Voorblad!$F$41&gt;Voorblad!$K$41,0,IF($U102=0,0,IF($U102&lt;1,1/$U102,IF((GN$56-Voorblad!$F$41)/$U102-SUM($EE102:GM102)=1,1,0))))</f>
        <v>0</v>
      </c>
      <c r="GO102" s="8">
        <f>IF(GO$56-Voorblad!$F$41&gt;Voorblad!$K$41,0,IF($U102=0,0,IF($U102&lt;1,1/$U102,IF((GO$56-Voorblad!$F$41)/$U102-SUM($EE102:GN102)=1,1,0))))</f>
        <v>0</v>
      </c>
      <c r="GP102" s="8">
        <f>IF(GP$56-Voorblad!$F$41&gt;Voorblad!$K$41,0,IF($U102=0,0,IF($U102&lt;1,1/$U102,IF((GP$56-Voorblad!$F$41)/$U102-SUM($EE102:GO102)=1,1,0))))</f>
        <v>0</v>
      </c>
      <c r="GQ102" s="8">
        <f>IF(GQ$56-Voorblad!$F$41&gt;Voorblad!$K$41,0,IF($U102=0,0,IF($U102&lt;1,1/$U102,IF((GQ$56-Voorblad!$F$41)/$U102-SUM($EE102:GP102)=1,1,0))))</f>
        <v>0</v>
      </c>
      <c r="GR102" s="8">
        <f>IF(GR$56-Voorblad!$F$41&gt;Voorblad!$K$41,0,IF($U102=0,0,IF($U102&lt;1,1/$U102,IF((GR$56-Voorblad!$F$41)/$U102-SUM($EE102:GQ102)=1,1,0))))</f>
        <v>0</v>
      </c>
      <c r="GS102" s="8">
        <f>IF(GS$56-Voorblad!$F$41&gt;Voorblad!$K$41,0,IF($U102=0,0,IF($U102&lt;1,1/$U102,IF((GS$56-Voorblad!$F$41)/$U102-SUM($EE102:GR102)=1,1,0))))</f>
        <v>0</v>
      </c>
      <c r="GT102" s="8">
        <f>IF(GT$56-Voorblad!$F$41&gt;Voorblad!$K$41,0,IF($U102=0,0,IF($U102&lt;1,1/$U102,IF((GT$56-Voorblad!$F$41)/$U102-SUM($EE102:GS102)=1,1,0))))</f>
        <v>0</v>
      </c>
      <c r="GU102" s="8">
        <f>IF(GU$56-Voorblad!$F$41&gt;Voorblad!$K$41,0,IF($U102=0,0,IF($U102&lt;1,1/$U102,IF((GU$56-Voorblad!$F$41)/$U102-SUM($EE102:GT102)=1,1,0))))</f>
        <v>0</v>
      </c>
      <c r="GV102" s="8">
        <f>IF(GV$56-Voorblad!$F$41&gt;Voorblad!$K$41,0,IF($U102=0,0,IF($U102&lt;1,1/$U102,IF((GV$56-Voorblad!$F$41)/$U102-SUM($EE102:GU102)=1,1,0))))</f>
        <v>0</v>
      </c>
      <c r="GW102" s="8">
        <f>IF(GW$56-Voorblad!$F$41&gt;Voorblad!$K$41,0,IF($U102=0,0,IF($U102&lt;1,1/$U102,IF((GW$56-Voorblad!$F$41)/$U102-SUM($EE102:GV102)=1,1,0))))</f>
        <v>0</v>
      </c>
      <c r="GX102" s="8">
        <f>IF(GX$56-Voorblad!$F$41&gt;Voorblad!$K$41,0,IF($U102=0,0,IF($U102&lt;1,1/$U102,IF((GX$56-Voorblad!$F$41)/$U102-SUM($EE102:GW102)=1,1,0))))</f>
        <v>0</v>
      </c>
      <c r="GY102" s="8">
        <f>IF(GY$56-Voorblad!$F$41&gt;Voorblad!$K$41,0,IF($U102=0,0,IF($U102&lt;1,1/$U102,IF((GY$56-Voorblad!$F$41)/$U102-SUM($EE102:GX102)=1,1,0))))</f>
        <v>0</v>
      </c>
      <c r="GZ102" s="8">
        <f>IF(GZ$56-Voorblad!$F$41&gt;Voorblad!$K$41,0,IF($U102=0,0,IF($U102&lt;1,1/$U102,IF((GZ$56-Voorblad!$F$41)/$U102-SUM($EE102:GY102)=1,1,0))))</f>
        <v>0</v>
      </c>
      <c r="HA102" s="8">
        <f>IF(HA$56-Voorblad!$F$41&gt;Voorblad!$K$41,0,IF($U102=0,0,IF($U102&lt;1,1/$U102,IF((HA$56-Voorblad!$F$41)/$U102-SUM($EE102:GZ102)=1,1,0))))</f>
        <v>0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100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0</v>
      </c>
      <c r="FP103" s="8">
        <f>IF(FP$56-Voorblad!$F$41&gt;Voorblad!$K$41,0,IF($U103=0,0,IF($U103&lt;1,1/$U103,IF((FP$56-Voorblad!$F$41)/$U103-SUM($EE103:FO103)=1,1,0))))</f>
        <v>0</v>
      </c>
      <c r="FQ103" s="8">
        <f>IF(FQ$56-Voorblad!$F$41&gt;Voorblad!$K$41,0,IF($U103=0,0,IF($U103&lt;1,1/$U103,IF((FQ$56-Voorblad!$F$41)/$U103-SUM($EE103:FP103)=1,1,0))))</f>
        <v>0</v>
      </c>
      <c r="FR103" s="8">
        <f>IF(FR$56-Voorblad!$F$41&gt;Voorblad!$K$41,0,IF($U103=0,0,IF($U103&lt;1,1/$U103,IF((FR$56-Voorblad!$F$41)/$U103-SUM($EE103:FQ103)=1,1,0))))</f>
        <v>0</v>
      </c>
      <c r="FS103" s="8">
        <f>IF(FS$56-Voorblad!$F$41&gt;Voorblad!$K$41,0,IF($U103=0,0,IF($U103&lt;1,1/$U103,IF((FS$56-Voorblad!$F$41)/$U103-SUM($EE103:FR103)=1,1,0))))</f>
        <v>0</v>
      </c>
      <c r="FT103" s="8">
        <f>IF(FT$56-Voorblad!$F$41&gt;Voorblad!$K$41,0,IF($U103=0,0,IF($U103&lt;1,1/$U103,IF((FT$56-Voorblad!$F$41)/$U103-SUM($EE103:FS103)=1,1,0))))</f>
        <v>0</v>
      </c>
      <c r="FU103" s="8">
        <f>IF(FU$56-Voorblad!$F$41&gt;Voorblad!$K$41,0,IF($U103=0,0,IF($U103&lt;1,1/$U103,IF((FU$56-Voorblad!$F$41)/$U103-SUM($EE103:FT103)=1,1,0))))</f>
        <v>0</v>
      </c>
      <c r="FV103" s="8">
        <f>IF(FV$56-Voorblad!$F$41&gt;Voorblad!$K$41,0,IF($U103=0,0,IF($U103&lt;1,1/$U103,IF((FV$56-Voorblad!$F$41)/$U103-SUM($EE103:FU103)=1,1,0))))</f>
        <v>0</v>
      </c>
      <c r="FW103" s="8">
        <f>IF(FW$56-Voorblad!$F$41&gt;Voorblad!$K$41,0,IF($U103=0,0,IF($U103&lt;1,1/$U103,IF((FW$56-Voorblad!$F$41)/$U103-SUM($EE103:FV103)=1,1,0))))</f>
        <v>0</v>
      </c>
      <c r="FX103" s="8">
        <f>IF(FX$56-Voorblad!$F$41&gt;Voorblad!$K$41,0,IF($U103=0,0,IF($U103&lt;1,1/$U103,IF((FX$56-Voorblad!$F$41)/$U103-SUM($EE103:FW103)=1,1,0))))</f>
        <v>0</v>
      </c>
      <c r="FY103" s="8">
        <f>IF(FY$56-Voorblad!$F$41&gt;Voorblad!$K$41,0,IF($U103=0,0,IF($U103&lt;1,1/$U103,IF((FY$56-Voorblad!$F$41)/$U103-SUM($EE103:FX103)=1,1,0))))</f>
        <v>0</v>
      </c>
      <c r="FZ103" s="8">
        <f>IF(FZ$56-Voorblad!$F$41&gt;Voorblad!$K$41,0,IF($U103=0,0,IF($U103&lt;1,1/$U103,IF((FZ$56-Voorblad!$F$41)/$U103-SUM($EE103:FY103)=1,1,0))))</f>
        <v>0</v>
      </c>
      <c r="GA103" s="8">
        <f>IF(GA$56-Voorblad!$F$41&gt;Voorblad!$K$41,0,IF($U103=0,0,IF($U103&lt;1,1/$U103,IF((GA$56-Voorblad!$F$41)/$U103-SUM($EE103:FZ103)=1,1,0))))</f>
        <v>0</v>
      </c>
      <c r="GB103" s="8">
        <f>IF(GB$56-Voorblad!$F$41&gt;Voorblad!$K$41,0,IF($U103=0,0,IF($U103&lt;1,1/$U103,IF((GB$56-Voorblad!$F$41)/$U103-SUM($EE103:GA103)=1,1,0))))</f>
        <v>0</v>
      </c>
      <c r="GC103" s="8">
        <f>IF(GC$56-Voorblad!$F$41&gt;Voorblad!$K$41,0,IF($U103=0,0,IF($U103&lt;1,1/$U103,IF((GC$56-Voorblad!$F$41)/$U103-SUM($EE103:GB103)=1,1,0))))</f>
        <v>0</v>
      </c>
      <c r="GD103" s="8">
        <f>IF(GD$56-Voorblad!$F$41&gt;Voorblad!$K$41,0,IF($U103=0,0,IF($U103&lt;1,1/$U103,IF((GD$56-Voorblad!$F$41)/$U103-SUM($EE103:GC103)=1,1,0))))</f>
        <v>0</v>
      </c>
      <c r="GE103" s="8">
        <f>IF(GE$56-Voorblad!$F$41&gt;Voorblad!$K$41,0,IF($U103=0,0,IF($U103&lt;1,1/$U103,IF((GE$56-Voorblad!$F$41)/$U103-SUM($EE103:GD103)=1,1,0))))</f>
        <v>0</v>
      </c>
      <c r="GF103" s="8">
        <f>IF(GF$56-Voorblad!$F$41&gt;Voorblad!$K$41,0,IF($U103=0,0,IF($U103&lt;1,1/$U103,IF((GF$56-Voorblad!$F$41)/$U103-SUM($EE103:GE103)=1,1,0))))</f>
        <v>0</v>
      </c>
      <c r="GG103" s="8">
        <f>IF(GG$56-Voorblad!$F$41&gt;Voorblad!$K$41,0,IF($U103=0,0,IF($U103&lt;1,1/$U103,IF((GG$56-Voorblad!$F$41)/$U103-SUM($EE103:GF103)=1,1,0))))</f>
        <v>0</v>
      </c>
      <c r="GH103" s="8">
        <f>IF(GH$56-Voorblad!$F$41&gt;Voorblad!$K$41,0,IF($U103=0,0,IF($U103&lt;1,1/$U103,IF((GH$56-Voorblad!$F$41)/$U103-SUM($EE103:GG103)=1,1,0))))</f>
        <v>0</v>
      </c>
      <c r="GI103" s="8">
        <f>IF(GI$56-Voorblad!$F$41&gt;Voorblad!$K$41,0,IF($U103=0,0,IF($U103&lt;1,1/$U103,IF((GI$56-Voorblad!$F$41)/$U103-SUM($EE103:GH103)=1,1,0))))</f>
        <v>0</v>
      </c>
      <c r="GJ103" s="8">
        <f>IF(GJ$56-Voorblad!$F$41&gt;Voorblad!$K$41,0,IF($U103=0,0,IF($U103&lt;1,1/$U103,IF((GJ$56-Voorblad!$F$41)/$U103-SUM($EE103:GI103)=1,1,0))))</f>
        <v>0</v>
      </c>
      <c r="GK103" s="8">
        <f>IF(GK$56-Voorblad!$F$41&gt;Voorblad!$K$41,0,IF($U103=0,0,IF($U103&lt;1,1/$U103,IF((GK$56-Voorblad!$F$41)/$U103-SUM($EE103:GJ103)=1,1,0))))</f>
        <v>0</v>
      </c>
      <c r="GL103" s="8">
        <f>IF(GL$56-Voorblad!$F$41&gt;Voorblad!$K$41,0,IF($U103=0,0,IF($U103&lt;1,1/$U103,IF((GL$56-Voorblad!$F$41)/$U103-SUM($EE103:GK103)=1,1,0))))</f>
        <v>0</v>
      </c>
      <c r="GM103" s="8">
        <f>IF(GM$56-Voorblad!$F$41&gt;Voorblad!$K$41,0,IF($U103=0,0,IF($U103&lt;1,1/$U103,IF((GM$56-Voorblad!$F$41)/$U103-SUM($EE103:GL103)=1,1,0))))</f>
        <v>0</v>
      </c>
      <c r="GN103" s="8">
        <f>IF(GN$56-Voorblad!$F$41&gt;Voorblad!$K$41,0,IF($U103=0,0,IF($U103&lt;1,1/$U103,IF((GN$56-Voorblad!$F$41)/$U103-SUM($EE103:GM103)=1,1,0))))</f>
        <v>0</v>
      </c>
      <c r="GO103" s="8">
        <f>IF(GO$56-Voorblad!$F$41&gt;Voorblad!$K$41,0,IF($U103=0,0,IF($U103&lt;1,1/$U103,IF((GO$56-Voorblad!$F$41)/$U103-SUM($EE103:GN103)=1,1,0))))</f>
        <v>0</v>
      </c>
      <c r="GP103" s="8">
        <f>IF(GP$56-Voorblad!$F$41&gt;Voorblad!$K$41,0,IF($U103=0,0,IF($U103&lt;1,1/$U103,IF((GP$56-Voorblad!$F$41)/$U103-SUM($EE103:GO103)=1,1,0))))</f>
        <v>0</v>
      </c>
      <c r="GQ103" s="8">
        <f>IF(GQ$56-Voorblad!$F$41&gt;Voorblad!$K$41,0,IF($U103=0,0,IF($U103&lt;1,1/$U103,IF((GQ$56-Voorblad!$F$41)/$U103-SUM($EE103:GP103)=1,1,0))))</f>
        <v>0</v>
      </c>
      <c r="GR103" s="8">
        <f>IF(GR$56-Voorblad!$F$41&gt;Voorblad!$K$41,0,IF($U103=0,0,IF($U103&lt;1,1/$U103,IF((GR$56-Voorblad!$F$41)/$U103-SUM($EE103:GQ103)=1,1,0))))</f>
        <v>0</v>
      </c>
      <c r="GS103" s="8">
        <f>IF(GS$56-Voorblad!$F$41&gt;Voorblad!$K$41,0,IF($U103=0,0,IF($U103&lt;1,1/$U103,IF((GS$56-Voorblad!$F$41)/$U103-SUM($EE103:GR103)=1,1,0))))</f>
        <v>0</v>
      </c>
      <c r="GT103" s="8">
        <f>IF(GT$56-Voorblad!$F$41&gt;Voorblad!$K$41,0,IF($U103=0,0,IF($U103&lt;1,1/$U103,IF((GT$56-Voorblad!$F$41)/$U103-SUM($EE103:GS103)=1,1,0))))</f>
        <v>0</v>
      </c>
      <c r="GU103" s="8">
        <f>IF(GU$56-Voorblad!$F$41&gt;Voorblad!$K$41,0,IF($U103=0,0,IF($U103&lt;1,1/$U103,IF((GU$56-Voorblad!$F$41)/$U103-SUM($EE103:GT103)=1,1,0))))</f>
        <v>0</v>
      </c>
      <c r="GV103" s="8">
        <f>IF(GV$56-Voorblad!$F$41&gt;Voorblad!$K$41,0,IF($U103=0,0,IF($U103&lt;1,1/$U103,IF((GV$56-Voorblad!$F$41)/$U103-SUM($EE103:GU103)=1,1,0))))</f>
        <v>0</v>
      </c>
      <c r="GW103" s="8">
        <f>IF(GW$56-Voorblad!$F$41&gt;Voorblad!$K$41,0,IF($U103=0,0,IF($U103&lt;1,1/$U103,IF((GW$56-Voorblad!$F$41)/$U103-SUM($EE103:GV103)=1,1,0))))</f>
        <v>0</v>
      </c>
      <c r="GX103" s="8">
        <f>IF(GX$56-Voorblad!$F$41&gt;Voorblad!$K$41,0,IF($U103=0,0,IF($U103&lt;1,1/$U103,IF((GX$56-Voorblad!$F$41)/$U103-SUM($EE103:GW103)=1,1,0))))</f>
        <v>0</v>
      </c>
      <c r="GY103" s="8">
        <f>IF(GY$56-Voorblad!$F$41&gt;Voorblad!$K$41,0,IF($U103=0,0,IF($U103&lt;1,1/$U103,IF((GY$56-Voorblad!$F$41)/$U103-SUM($EE103:GX103)=1,1,0))))</f>
        <v>0</v>
      </c>
      <c r="GZ103" s="8">
        <f>IF(GZ$56-Voorblad!$F$41&gt;Voorblad!$K$41,0,IF($U103=0,0,IF($U103&lt;1,1/$U103,IF((GZ$56-Voorblad!$F$41)/$U103-SUM($EE103:GY103)=1,1,0))))</f>
        <v>0</v>
      </c>
      <c r="HA103" s="8">
        <f>IF(HA$56-Voorblad!$F$41&gt;Voorblad!$K$41,0,IF($U103=0,0,IF($U103&lt;1,1/$U103,IF((HA$56-Voorblad!$F$41)/$U103-SUM($EE103:GZ103)=1,1,0))))</f>
        <v>0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101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0</v>
      </c>
      <c r="FP104" s="8">
        <f>IF(FP$56-Voorblad!$F$41&gt;Voorblad!$K$41,0,IF($U104=0,0,IF($U104&lt;1,1/$U104,IF((FP$56-Voorblad!$F$41)/$U104-SUM($EE104:FO104)=1,1,0))))</f>
        <v>0</v>
      </c>
      <c r="FQ104" s="8">
        <f>IF(FQ$56-Voorblad!$F$41&gt;Voorblad!$K$41,0,IF($U104=0,0,IF($U104&lt;1,1/$U104,IF((FQ$56-Voorblad!$F$41)/$U104-SUM($EE104:FP104)=1,1,0))))</f>
        <v>0</v>
      </c>
      <c r="FR104" s="8">
        <f>IF(FR$56-Voorblad!$F$41&gt;Voorblad!$K$41,0,IF($U104=0,0,IF($U104&lt;1,1/$U104,IF((FR$56-Voorblad!$F$41)/$U104-SUM($EE104:FQ104)=1,1,0))))</f>
        <v>0</v>
      </c>
      <c r="FS104" s="8">
        <f>IF(FS$56-Voorblad!$F$41&gt;Voorblad!$K$41,0,IF($U104=0,0,IF($U104&lt;1,1/$U104,IF((FS$56-Voorblad!$F$41)/$U104-SUM($EE104:FR104)=1,1,0))))</f>
        <v>0</v>
      </c>
      <c r="FT104" s="8">
        <f>IF(FT$56-Voorblad!$F$41&gt;Voorblad!$K$41,0,IF($U104=0,0,IF($U104&lt;1,1/$U104,IF((FT$56-Voorblad!$F$41)/$U104-SUM($EE104:FS104)=1,1,0))))</f>
        <v>0</v>
      </c>
      <c r="FU104" s="8">
        <f>IF(FU$56-Voorblad!$F$41&gt;Voorblad!$K$41,0,IF($U104=0,0,IF($U104&lt;1,1/$U104,IF((FU$56-Voorblad!$F$41)/$U104-SUM($EE104:FT104)=1,1,0))))</f>
        <v>0</v>
      </c>
      <c r="FV104" s="8">
        <f>IF(FV$56-Voorblad!$F$41&gt;Voorblad!$K$41,0,IF($U104=0,0,IF($U104&lt;1,1/$U104,IF((FV$56-Voorblad!$F$41)/$U104-SUM($EE104:FU104)=1,1,0))))</f>
        <v>0</v>
      </c>
      <c r="FW104" s="8">
        <f>IF(FW$56-Voorblad!$F$41&gt;Voorblad!$K$41,0,IF($U104=0,0,IF($U104&lt;1,1/$U104,IF((FW$56-Voorblad!$F$41)/$U104-SUM($EE104:FV104)=1,1,0))))</f>
        <v>0</v>
      </c>
      <c r="FX104" s="8">
        <f>IF(FX$56-Voorblad!$F$41&gt;Voorblad!$K$41,0,IF($U104=0,0,IF($U104&lt;1,1/$U104,IF((FX$56-Voorblad!$F$41)/$U104-SUM($EE104:FW104)=1,1,0))))</f>
        <v>0</v>
      </c>
      <c r="FY104" s="8">
        <f>IF(FY$56-Voorblad!$F$41&gt;Voorblad!$K$41,0,IF($U104=0,0,IF($U104&lt;1,1/$U104,IF((FY$56-Voorblad!$F$41)/$U104-SUM($EE104:FX104)=1,1,0))))</f>
        <v>0</v>
      </c>
      <c r="FZ104" s="8">
        <f>IF(FZ$56-Voorblad!$F$41&gt;Voorblad!$K$41,0,IF($U104=0,0,IF($U104&lt;1,1/$U104,IF((FZ$56-Voorblad!$F$41)/$U104-SUM($EE104:FY104)=1,1,0))))</f>
        <v>0</v>
      </c>
      <c r="GA104" s="8">
        <f>IF(GA$56-Voorblad!$F$41&gt;Voorblad!$K$41,0,IF($U104=0,0,IF($U104&lt;1,1/$U104,IF((GA$56-Voorblad!$F$41)/$U104-SUM($EE104:FZ104)=1,1,0))))</f>
        <v>0</v>
      </c>
      <c r="GB104" s="8">
        <f>IF(GB$56-Voorblad!$F$41&gt;Voorblad!$K$41,0,IF($U104=0,0,IF($U104&lt;1,1/$U104,IF((GB$56-Voorblad!$F$41)/$U104-SUM($EE104:GA104)=1,1,0))))</f>
        <v>0</v>
      </c>
      <c r="GC104" s="8">
        <f>IF(GC$56-Voorblad!$F$41&gt;Voorblad!$K$41,0,IF($U104=0,0,IF($U104&lt;1,1/$U104,IF((GC$56-Voorblad!$F$41)/$U104-SUM($EE104:GB104)=1,1,0))))</f>
        <v>0</v>
      </c>
      <c r="GD104" s="8">
        <f>IF(GD$56-Voorblad!$F$41&gt;Voorblad!$K$41,0,IF($U104=0,0,IF($U104&lt;1,1/$U104,IF((GD$56-Voorblad!$F$41)/$U104-SUM($EE104:GC104)=1,1,0))))</f>
        <v>0</v>
      </c>
      <c r="GE104" s="8">
        <f>IF(GE$56-Voorblad!$F$41&gt;Voorblad!$K$41,0,IF($U104=0,0,IF($U104&lt;1,1/$U104,IF((GE$56-Voorblad!$F$41)/$U104-SUM($EE104:GD104)=1,1,0))))</f>
        <v>0</v>
      </c>
      <c r="GF104" s="8">
        <f>IF(GF$56-Voorblad!$F$41&gt;Voorblad!$K$41,0,IF($U104=0,0,IF($U104&lt;1,1/$U104,IF((GF$56-Voorblad!$F$41)/$U104-SUM($EE104:GE104)=1,1,0))))</f>
        <v>0</v>
      </c>
      <c r="GG104" s="8">
        <f>IF(GG$56-Voorblad!$F$41&gt;Voorblad!$K$41,0,IF($U104=0,0,IF($U104&lt;1,1/$U104,IF((GG$56-Voorblad!$F$41)/$U104-SUM($EE104:GF104)=1,1,0))))</f>
        <v>0</v>
      </c>
      <c r="GH104" s="8">
        <f>IF(GH$56-Voorblad!$F$41&gt;Voorblad!$K$41,0,IF($U104=0,0,IF($U104&lt;1,1/$U104,IF((GH$56-Voorblad!$F$41)/$U104-SUM($EE104:GG104)=1,1,0))))</f>
        <v>0</v>
      </c>
      <c r="GI104" s="8">
        <f>IF(GI$56-Voorblad!$F$41&gt;Voorblad!$K$41,0,IF($U104=0,0,IF($U104&lt;1,1/$U104,IF((GI$56-Voorblad!$F$41)/$U104-SUM($EE104:GH104)=1,1,0))))</f>
        <v>0</v>
      </c>
      <c r="GJ104" s="8">
        <f>IF(GJ$56-Voorblad!$F$41&gt;Voorblad!$K$41,0,IF($U104=0,0,IF($U104&lt;1,1/$U104,IF((GJ$56-Voorblad!$F$41)/$U104-SUM($EE104:GI104)=1,1,0))))</f>
        <v>0</v>
      </c>
      <c r="GK104" s="8">
        <f>IF(GK$56-Voorblad!$F$41&gt;Voorblad!$K$41,0,IF($U104=0,0,IF($U104&lt;1,1/$U104,IF((GK$56-Voorblad!$F$41)/$U104-SUM($EE104:GJ104)=1,1,0))))</f>
        <v>0</v>
      </c>
      <c r="GL104" s="8">
        <f>IF(GL$56-Voorblad!$F$41&gt;Voorblad!$K$41,0,IF($U104=0,0,IF($U104&lt;1,1/$U104,IF((GL$56-Voorblad!$F$41)/$U104-SUM($EE104:GK104)=1,1,0))))</f>
        <v>0</v>
      </c>
      <c r="GM104" s="8">
        <f>IF(GM$56-Voorblad!$F$41&gt;Voorblad!$K$41,0,IF($U104=0,0,IF($U104&lt;1,1/$U104,IF((GM$56-Voorblad!$F$41)/$U104-SUM($EE104:GL104)=1,1,0))))</f>
        <v>0</v>
      </c>
      <c r="GN104" s="8">
        <f>IF(GN$56-Voorblad!$F$41&gt;Voorblad!$K$41,0,IF($U104=0,0,IF($U104&lt;1,1/$U104,IF((GN$56-Voorblad!$F$41)/$U104-SUM($EE104:GM104)=1,1,0))))</f>
        <v>0</v>
      </c>
      <c r="GO104" s="8">
        <f>IF(GO$56-Voorblad!$F$41&gt;Voorblad!$K$41,0,IF($U104=0,0,IF($U104&lt;1,1/$U104,IF((GO$56-Voorblad!$F$41)/$U104-SUM($EE104:GN104)=1,1,0))))</f>
        <v>0</v>
      </c>
      <c r="GP104" s="8">
        <f>IF(GP$56-Voorblad!$F$41&gt;Voorblad!$K$41,0,IF($U104=0,0,IF($U104&lt;1,1/$U104,IF((GP$56-Voorblad!$F$41)/$U104-SUM($EE104:GO104)=1,1,0))))</f>
        <v>0</v>
      </c>
      <c r="GQ104" s="8">
        <f>IF(GQ$56-Voorblad!$F$41&gt;Voorblad!$K$41,0,IF($U104=0,0,IF($U104&lt;1,1/$U104,IF((GQ$56-Voorblad!$F$41)/$U104-SUM($EE104:GP104)=1,1,0))))</f>
        <v>0</v>
      </c>
      <c r="GR104" s="8">
        <f>IF(GR$56-Voorblad!$F$41&gt;Voorblad!$K$41,0,IF($U104=0,0,IF($U104&lt;1,1/$U104,IF((GR$56-Voorblad!$F$41)/$U104-SUM($EE104:GQ104)=1,1,0))))</f>
        <v>0</v>
      </c>
      <c r="GS104" s="8">
        <f>IF(GS$56-Voorblad!$F$41&gt;Voorblad!$K$41,0,IF($U104=0,0,IF($U104&lt;1,1/$U104,IF((GS$56-Voorblad!$F$41)/$U104-SUM($EE104:GR104)=1,1,0))))</f>
        <v>0</v>
      </c>
      <c r="GT104" s="8">
        <f>IF(GT$56-Voorblad!$F$41&gt;Voorblad!$K$41,0,IF($U104=0,0,IF($U104&lt;1,1/$U104,IF((GT$56-Voorblad!$F$41)/$U104-SUM($EE104:GS104)=1,1,0))))</f>
        <v>0</v>
      </c>
      <c r="GU104" s="8">
        <f>IF(GU$56-Voorblad!$F$41&gt;Voorblad!$K$41,0,IF($U104=0,0,IF($U104&lt;1,1/$U104,IF((GU$56-Voorblad!$F$41)/$U104-SUM($EE104:GT104)=1,1,0))))</f>
        <v>0</v>
      </c>
      <c r="GV104" s="8">
        <f>IF(GV$56-Voorblad!$F$41&gt;Voorblad!$K$41,0,IF($U104=0,0,IF($U104&lt;1,1/$U104,IF((GV$56-Voorblad!$F$41)/$U104-SUM($EE104:GU104)=1,1,0))))</f>
        <v>0</v>
      </c>
      <c r="GW104" s="8">
        <f>IF(GW$56-Voorblad!$F$41&gt;Voorblad!$K$41,0,IF($U104=0,0,IF($U104&lt;1,1/$U104,IF((GW$56-Voorblad!$F$41)/$U104-SUM($EE104:GV104)=1,1,0))))</f>
        <v>0</v>
      </c>
      <c r="GX104" s="8">
        <f>IF(GX$56-Voorblad!$F$41&gt;Voorblad!$K$41,0,IF($U104=0,0,IF($U104&lt;1,1/$U104,IF((GX$56-Voorblad!$F$41)/$U104-SUM($EE104:GW104)=1,1,0))))</f>
        <v>0</v>
      </c>
      <c r="GY104" s="8">
        <f>IF(GY$56-Voorblad!$F$41&gt;Voorblad!$K$41,0,IF($U104=0,0,IF($U104&lt;1,1/$U104,IF((GY$56-Voorblad!$F$41)/$U104-SUM($EE104:GX104)=1,1,0))))</f>
        <v>0</v>
      </c>
      <c r="GZ104" s="8">
        <f>IF(GZ$56-Voorblad!$F$41&gt;Voorblad!$K$41,0,IF($U104=0,0,IF($U104&lt;1,1/$U104,IF((GZ$56-Voorblad!$F$41)/$U104-SUM($EE104:GY104)=1,1,0))))</f>
        <v>0</v>
      </c>
      <c r="HA104" s="8">
        <f>IF(HA$56-Voorblad!$F$41&gt;Voorblad!$K$41,0,IF($U104=0,0,IF($U104&lt;1,1/$U104,IF((HA$56-Voorblad!$F$41)/$U104-SUM($EE104:GZ104)=1,1,0))))</f>
        <v>0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274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280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3524.0013803420302</v>
      </c>
      <c r="Z109" s="82"/>
      <c r="AA109" s="82"/>
      <c r="AC109" s="9">
        <f>$Y109*(Voorblad!$K$44*(1+Voorblad!$K$44)^Voorblad!$K$41)/((1+Voorblad!$K$44)^Voorblad!$K$41-1)</f>
        <v>155.07985056662943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0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0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0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0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0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0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0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0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0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0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0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0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0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0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0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0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281</v>
      </c>
      <c r="K110" s="1" t="s">
        <v>114</v>
      </c>
      <c r="O110" s="1" t="s">
        <v>227</v>
      </c>
      <c r="P110" s="14" t="s">
        <v>228</v>
      </c>
      <c r="Q110" s="83">
        <f>50%*((2*(31.75+10.15+14)*31.9)+(2*(31.75+10.15+14)+31.9)*0.7)</f>
        <v>1833.5049999999999</v>
      </c>
      <c r="R110" s="1" t="s">
        <v>35</v>
      </c>
      <c r="S110" s="21">
        <f>$H$20*15</f>
        <v>26.55</v>
      </c>
      <c r="T110" s="9">
        <f t="shared" si="20"/>
        <v>48679.55775</v>
      </c>
      <c r="U110" s="14">
        <v>10</v>
      </c>
      <c r="V110" s="14"/>
      <c r="Y110" s="9">
        <f t="shared" si="21"/>
        <v>90943.735392215749</v>
      </c>
      <c r="Z110" s="82"/>
      <c r="AA110" s="82"/>
      <c r="AC110" s="9">
        <f>$Y110*(Voorblad!$K$44*(1+Voorblad!$K$44)^Voorblad!$K$41)/((1+Voorblad!$K$44)^Voorblad!$K$41-1)</f>
        <v>4002.1383003053911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38028.392711015229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29707.719606043382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23207.623075157138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0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0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0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0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0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0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0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0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281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0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0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0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0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281</v>
      </c>
      <c r="K112" s="1" t="s">
        <v>146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0</v>
      </c>
      <c r="FP112" s="8">
        <f>IF(FP$56-Voorblad!$F$41&gt;Voorblad!$K$41,0,IF($U112=0,0,IF($U112&lt;1,1/$U112,IF((FP$56-Voorblad!$F$41)/$U112-SUM($EE112:FO112)=1,1,0))))</f>
        <v>0</v>
      </c>
      <c r="FQ112" s="8">
        <f>IF(FQ$56-Voorblad!$F$41&gt;Voorblad!$K$41,0,IF($U112=0,0,IF($U112&lt;1,1/$U112,IF((FQ$56-Voorblad!$F$41)/$U112-SUM($EE112:FP112)=1,1,0))))</f>
        <v>0</v>
      </c>
      <c r="FR112" s="8">
        <f>IF(FR$56-Voorblad!$F$41&gt;Voorblad!$K$41,0,IF($U112=0,0,IF($U112&lt;1,1/$U112,IF((FR$56-Voorblad!$F$41)/$U112-SUM($EE112:FQ112)=1,1,0))))</f>
        <v>0</v>
      </c>
      <c r="FS112" s="8">
        <f>IF(FS$56-Voorblad!$F$41&gt;Voorblad!$K$41,0,IF($U112=0,0,IF($U112&lt;1,1/$U112,IF((FS$56-Voorblad!$F$41)/$U112-SUM($EE112:FR112)=1,1,0))))</f>
        <v>0</v>
      </c>
      <c r="FT112" s="8">
        <f>IF(FT$56-Voorblad!$F$41&gt;Voorblad!$K$41,0,IF($U112=0,0,IF($U112&lt;1,1/$U112,IF((FT$56-Voorblad!$F$41)/$U112-SUM($EE112:FS112)=1,1,0))))</f>
        <v>0</v>
      </c>
      <c r="FU112" s="8">
        <f>IF(FU$56-Voorblad!$F$41&gt;Voorblad!$K$41,0,IF($U112=0,0,IF($U112&lt;1,1/$U112,IF((FU$56-Voorblad!$F$41)/$U112-SUM($EE112:FT112)=1,1,0))))</f>
        <v>0</v>
      </c>
      <c r="FV112" s="8">
        <f>IF(FV$56-Voorblad!$F$41&gt;Voorblad!$K$41,0,IF($U112=0,0,IF($U112&lt;1,1/$U112,IF((FV$56-Voorblad!$F$41)/$U112-SUM($EE112:FU112)=1,1,0))))</f>
        <v>0</v>
      </c>
      <c r="FW112" s="8">
        <f>IF(FW$56-Voorblad!$F$41&gt;Voorblad!$K$41,0,IF($U112=0,0,IF($U112&lt;1,1/$U112,IF((FW$56-Voorblad!$F$41)/$U112-SUM($EE112:FV112)=1,1,0))))</f>
        <v>0</v>
      </c>
      <c r="FX112" s="8">
        <f>IF(FX$56-Voorblad!$F$41&gt;Voorblad!$K$41,0,IF($U112=0,0,IF($U112&lt;1,1/$U112,IF((FX$56-Voorblad!$F$41)/$U112-SUM($EE112:FW112)=1,1,0))))</f>
        <v>0</v>
      </c>
      <c r="FY112" s="8">
        <f>IF(FY$56-Voorblad!$F$41&gt;Voorblad!$K$41,0,IF($U112=0,0,IF($U112&lt;1,1/$U112,IF((FY$56-Voorblad!$F$41)/$U112-SUM($EE112:FX112)=1,1,0))))</f>
        <v>0</v>
      </c>
      <c r="FZ112" s="8">
        <f>IF(FZ$56-Voorblad!$F$41&gt;Voorblad!$K$41,0,IF($U112=0,0,IF($U112&lt;1,1/$U112,IF((FZ$56-Voorblad!$F$41)/$U112-SUM($EE112:FY112)=1,1,0))))</f>
        <v>0</v>
      </c>
      <c r="GA112" s="8">
        <f>IF(GA$56-Voorblad!$F$41&gt;Voorblad!$K$41,0,IF($U112=0,0,IF($U112&lt;1,1/$U112,IF((GA$56-Voorblad!$F$41)/$U112-SUM($EE112:FZ112)=1,1,0))))</f>
        <v>0</v>
      </c>
      <c r="GB112" s="8">
        <f>IF(GB$56-Voorblad!$F$41&gt;Voorblad!$K$41,0,IF($U112=0,0,IF($U112&lt;1,1/$U112,IF((GB$56-Voorblad!$F$41)/$U112-SUM($EE112:GA112)=1,1,0))))</f>
        <v>0</v>
      </c>
      <c r="GC112" s="8">
        <f>IF(GC$56-Voorblad!$F$41&gt;Voorblad!$K$41,0,IF($U112=0,0,IF($U112&lt;1,1/$U112,IF((GC$56-Voorblad!$F$41)/$U112-SUM($EE112:GB112)=1,1,0))))</f>
        <v>0</v>
      </c>
      <c r="GD112" s="8">
        <f>IF(GD$56-Voorblad!$F$41&gt;Voorblad!$K$41,0,IF($U112=0,0,IF($U112&lt;1,1/$U112,IF((GD$56-Voorblad!$F$41)/$U112-SUM($EE112:GC112)=1,1,0))))</f>
        <v>0</v>
      </c>
      <c r="GE112" s="8">
        <f>IF(GE$56-Voorblad!$F$41&gt;Voorblad!$K$41,0,IF($U112=0,0,IF($U112&lt;1,1/$U112,IF((GE$56-Voorblad!$F$41)/$U112-SUM($EE112:GD112)=1,1,0))))</f>
        <v>0</v>
      </c>
      <c r="GF112" s="8">
        <f>IF(GF$56-Voorblad!$F$41&gt;Voorblad!$K$41,0,IF($U112=0,0,IF($U112&lt;1,1/$U112,IF((GF$56-Voorblad!$F$41)/$U112-SUM($EE112:GE112)=1,1,0))))</f>
        <v>0</v>
      </c>
      <c r="GG112" s="8">
        <f>IF(GG$56-Voorblad!$F$41&gt;Voorblad!$K$41,0,IF($U112=0,0,IF($U112&lt;1,1/$U112,IF((GG$56-Voorblad!$F$41)/$U112-SUM($EE112:GF112)=1,1,0))))</f>
        <v>0</v>
      </c>
      <c r="GH112" s="8">
        <f>IF(GH$56-Voorblad!$F$41&gt;Voorblad!$K$41,0,IF($U112=0,0,IF($U112&lt;1,1/$U112,IF((GH$56-Voorblad!$F$41)/$U112-SUM($EE112:GG112)=1,1,0))))</f>
        <v>0</v>
      </c>
      <c r="GI112" s="8">
        <f>IF(GI$56-Voorblad!$F$41&gt;Voorblad!$K$41,0,IF($U112=0,0,IF($U112&lt;1,1/$U112,IF((GI$56-Voorblad!$F$41)/$U112-SUM($EE112:GH112)=1,1,0))))</f>
        <v>0</v>
      </c>
      <c r="GJ112" s="8">
        <f>IF(GJ$56-Voorblad!$F$41&gt;Voorblad!$K$41,0,IF($U112=0,0,IF($U112&lt;1,1/$U112,IF((GJ$56-Voorblad!$F$41)/$U112-SUM($EE112:GI112)=1,1,0))))</f>
        <v>0</v>
      </c>
      <c r="GK112" s="8">
        <f>IF(GK$56-Voorblad!$F$41&gt;Voorblad!$K$41,0,IF($U112=0,0,IF($U112&lt;1,1/$U112,IF((GK$56-Voorblad!$F$41)/$U112-SUM($EE112:GJ112)=1,1,0))))</f>
        <v>0</v>
      </c>
      <c r="GL112" s="8">
        <f>IF(GL$56-Voorblad!$F$41&gt;Voorblad!$K$41,0,IF($U112=0,0,IF($U112&lt;1,1/$U112,IF((GL$56-Voorblad!$F$41)/$U112-SUM($EE112:GK112)=1,1,0))))</f>
        <v>0</v>
      </c>
      <c r="GM112" s="8">
        <f>IF(GM$56-Voorblad!$F$41&gt;Voorblad!$K$41,0,IF($U112=0,0,IF($U112&lt;1,1/$U112,IF((GM$56-Voorblad!$F$41)/$U112-SUM($EE112:GL112)=1,1,0))))</f>
        <v>0</v>
      </c>
      <c r="GN112" s="8">
        <f>IF(GN$56-Voorblad!$F$41&gt;Voorblad!$K$41,0,IF($U112=0,0,IF($U112&lt;1,1/$U112,IF((GN$56-Voorblad!$F$41)/$U112-SUM($EE112:GM112)=1,1,0))))</f>
        <v>0</v>
      </c>
      <c r="GO112" s="8">
        <f>IF(GO$56-Voorblad!$F$41&gt;Voorblad!$K$41,0,IF($U112=0,0,IF($U112&lt;1,1/$U112,IF((GO$56-Voorblad!$F$41)/$U112-SUM($EE112:GN112)=1,1,0))))</f>
        <v>0</v>
      </c>
      <c r="GP112" s="8">
        <f>IF(GP$56-Voorblad!$F$41&gt;Voorblad!$K$41,0,IF($U112=0,0,IF($U112&lt;1,1/$U112,IF((GP$56-Voorblad!$F$41)/$U112-SUM($EE112:GO112)=1,1,0))))</f>
        <v>0</v>
      </c>
      <c r="GQ112" s="8">
        <f>IF(GQ$56-Voorblad!$F$41&gt;Voorblad!$K$41,0,IF($U112=0,0,IF($U112&lt;1,1/$U112,IF((GQ$56-Voorblad!$F$41)/$U112-SUM($EE112:GP112)=1,1,0))))</f>
        <v>0</v>
      </c>
      <c r="GR112" s="8">
        <f>IF(GR$56-Voorblad!$F$41&gt;Voorblad!$K$41,0,IF($U112=0,0,IF($U112&lt;1,1/$U112,IF((GR$56-Voorblad!$F$41)/$U112-SUM($EE112:GQ112)=1,1,0))))</f>
        <v>0</v>
      </c>
      <c r="GS112" s="8">
        <f>IF(GS$56-Voorblad!$F$41&gt;Voorblad!$K$41,0,IF($U112=0,0,IF($U112&lt;1,1/$U112,IF((GS$56-Voorblad!$F$41)/$U112-SUM($EE112:GR112)=1,1,0))))</f>
        <v>0</v>
      </c>
      <c r="GT112" s="8">
        <f>IF(GT$56-Voorblad!$F$41&gt;Voorblad!$K$41,0,IF($U112=0,0,IF($U112&lt;1,1/$U112,IF((GT$56-Voorblad!$F$41)/$U112-SUM($EE112:GS112)=1,1,0))))</f>
        <v>0</v>
      </c>
      <c r="GU112" s="8">
        <f>IF(GU$56-Voorblad!$F$41&gt;Voorblad!$K$41,0,IF($U112=0,0,IF($U112&lt;1,1/$U112,IF((GU$56-Voorblad!$F$41)/$U112-SUM($EE112:GT112)=1,1,0))))</f>
        <v>0</v>
      </c>
      <c r="GV112" s="8">
        <f>IF(GV$56-Voorblad!$F$41&gt;Voorblad!$K$41,0,IF($U112=0,0,IF($U112&lt;1,1/$U112,IF((GV$56-Voorblad!$F$41)/$U112-SUM($EE112:GU112)=1,1,0))))</f>
        <v>0</v>
      </c>
      <c r="GW112" s="8">
        <f>IF(GW$56-Voorblad!$F$41&gt;Voorblad!$K$41,0,IF($U112=0,0,IF($U112&lt;1,1/$U112,IF((GW$56-Voorblad!$F$41)/$U112-SUM($EE112:GV112)=1,1,0))))</f>
        <v>0</v>
      </c>
      <c r="GX112" s="8">
        <f>IF(GX$56-Voorblad!$F$41&gt;Voorblad!$K$41,0,IF($U112=0,0,IF($U112&lt;1,1/$U112,IF((GX$56-Voorblad!$F$41)/$U112-SUM($EE112:GW112)=1,1,0))))</f>
        <v>0</v>
      </c>
      <c r="GY112" s="8">
        <f>IF(GY$56-Voorblad!$F$41&gt;Voorblad!$K$41,0,IF($U112=0,0,IF($U112&lt;1,1/$U112,IF((GY$56-Voorblad!$F$41)/$U112-SUM($EE112:GX112)=1,1,0))))</f>
        <v>0</v>
      </c>
      <c r="GZ112" s="8">
        <f>IF(GZ$56-Voorblad!$F$41&gt;Voorblad!$K$41,0,IF($U112=0,0,IF($U112&lt;1,1/$U112,IF((GZ$56-Voorblad!$F$41)/$U112-SUM($EE112:GY112)=1,1,0))))</f>
        <v>0</v>
      </c>
      <c r="HA112" s="8">
        <f>IF(HA$56-Voorblad!$F$41&gt;Voorblad!$K$41,0,IF($U112=0,0,IF($U112&lt;1,1/$U112,IF((HA$56-Voorblad!$F$41)/$U112-SUM($EE112:GZ112)=1,1,0))))</f>
        <v>0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281</v>
      </c>
      <c r="K113" s="1" t="s">
        <v>160</v>
      </c>
      <c r="P113" s="1" t="s">
        <v>185</v>
      </c>
      <c r="Q113" s="83">
        <f>6*31.9</f>
        <v>191.39999999999998</v>
      </c>
      <c r="R113" s="147" t="s">
        <v>197</v>
      </c>
      <c r="S113" s="21">
        <f>$H$20*350</f>
        <v>619.5</v>
      </c>
      <c r="T113" s="9">
        <f t="shared" si="20"/>
        <v>118572.29999999999</v>
      </c>
      <c r="U113" s="14">
        <v>15</v>
      </c>
      <c r="V113" s="14"/>
      <c r="Y113" s="9">
        <f>SUM(AE113:EB113)</f>
        <v>138398.56583526288</v>
      </c>
      <c r="Z113" s="82"/>
      <c r="AA113" s="82"/>
      <c r="AC113" s="9">
        <f>$Y113*(Voorblad!$K$44*(1+Voorblad!$K$44)^Voorblad!$K$41)/((1+Voorblad!$K$44)^Voorblad!$K$41-1)</f>
        <v>6090.4711979100493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81870.08914517927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56528.476690083618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0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0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0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0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281</v>
      </c>
      <c r="K114" s="14" t="s">
        <v>169</v>
      </c>
      <c r="L114" s="14"/>
      <c r="M114" s="14"/>
      <c r="O114" s="1" t="s">
        <v>171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0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0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281</v>
      </c>
      <c r="K115" s="14" t="s">
        <v>163</v>
      </c>
      <c r="O115" s="14" t="s">
        <v>159</v>
      </c>
      <c r="P115" s="14" t="s">
        <v>200</v>
      </c>
      <c r="Q115" s="84">
        <f>2.5%*2*31.9</f>
        <v>1.595</v>
      </c>
      <c r="R115" s="14" t="s">
        <v>34</v>
      </c>
      <c r="S115" s="21">
        <f>$H$20*1000</f>
        <v>1770</v>
      </c>
      <c r="T115" s="21">
        <f t="shared" si="20"/>
        <v>2823.15</v>
      </c>
      <c r="U115" s="14">
        <v>15</v>
      </c>
      <c r="Y115" s="21">
        <f t="shared" si="22"/>
        <v>3295.2039484586403</v>
      </c>
      <c r="Z115" s="149"/>
      <c r="AA115" s="149"/>
      <c r="AC115" s="9">
        <f>$Y115*(Voorblad!$K$44*(1+Voorblad!$K$44)^Voorblad!$K$41)/((1+Voorblad!$K$44)^Voorblad!$K$41-1)</f>
        <v>145.01121899785835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1949.2878367899827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1345.9161116686578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0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0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0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0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281</v>
      </c>
      <c r="K116" s="14" t="s">
        <v>198</v>
      </c>
      <c r="L116" s="14"/>
      <c r="M116" s="14"/>
      <c r="O116" s="1" t="s">
        <v>172</v>
      </c>
      <c r="P116" s="1" t="s">
        <v>175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0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0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281</v>
      </c>
      <c r="K117" s="14" t="s">
        <v>199</v>
      </c>
      <c r="L117" s="14"/>
      <c r="M117" s="14"/>
      <c r="O117" s="1" t="s">
        <v>173</v>
      </c>
      <c r="P117" s="1" t="s">
        <v>176</v>
      </c>
      <c r="Q117" s="84">
        <f>2.5%*1*40</f>
        <v>1</v>
      </c>
      <c r="R117" s="1" t="s">
        <v>34</v>
      </c>
      <c r="S117" s="14">
        <f>$H$20*500</f>
        <v>885</v>
      </c>
      <c r="T117" s="9">
        <f t="shared" si="20"/>
        <v>885</v>
      </c>
      <c r="U117" s="14">
        <v>15</v>
      </c>
      <c r="V117" s="14"/>
      <c r="Y117" s="9">
        <f t="shared" si="22"/>
        <v>1032.9792941876617</v>
      </c>
      <c r="Z117" s="82"/>
      <c r="AA117" s="82"/>
      <c r="AC117" s="9">
        <f>$Y117*(Voorblad!$K$44*(1+Voorblad!$K$44)^Voorblad!$K$41)/((1+Voorblad!$K$44)^Voorblad!$K$41-1)</f>
        <v>45.458062381773779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611.0620178025024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421.9172763851592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0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0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0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281</v>
      </c>
      <c r="K118" s="14" t="s">
        <v>212</v>
      </c>
      <c r="L118" s="14"/>
      <c r="M118" s="14"/>
      <c r="O118" s="1" t="s">
        <v>173</v>
      </c>
      <c r="P118" s="1" t="s">
        <v>176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0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0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281</v>
      </c>
      <c r="K119" s="14" t="s">
        <v>190</v>
      </c>
      <c r="L119" s="14"/>
      <c r="M119" s="14"/>
      <c r="O119" s="1" t="s">
        <v>174</v>
      </c>
      <c r="P119" s="1" t="s">
        <v>177</v>
      </c>
      <c r="Q119" s="81">
        <f>2.5%*50*1</f>
        <v>1.25</v>
      </c>
      <c r="R119" s="1" t="s">
        <v>35</v>
      </c>
      <c r="S119" s="14">
        <f>$H$20*500</f>
        <v>885</v>
      </c>
      <c r="T119" s="9">
        <f t="shared" si="20"/>
        <v>1106.25</v>
      </c>
      <c r="U119" s="14">
        <v>15</v>
      </c>
      <c r="V119" s="14"/>
      <c r="Y119" s="9">
        <f t="shared" si="22"/>
        <v>1291.224117734577</v>
      </c>
      <c r="Z119" s="82"/>
      <c r="AA119" s="82"/>
      <c r="AC119" s="9">
        <f>$Y119*(Voorblad!$K$44*(1+Voorblad!$K$44)^Voorblad!$K$41)/((1+Voorblad!$K$44)^Voorblad!$K$41-1)</f>
        <v>56.822577977217222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763.827522253128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527.39659548144903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0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0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281</v>
      </c>
      <c r="K120" s="1" t="s">
        <v>207</v>
      </c>
      <c r="O120" s="1" t="s">
        <v>179</v>
      </c>
      <c r="P120" s="1" t="s">
        <v>180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0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0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281</v>
      </c>
      <c r="K121" s="14" t="s">
        <v>206</v>
      </c>
      <c r="L121" s="14"/>
      <c r="M121" s="14"/>
      <c r="O121" s="1" t="s">
        <v>179</v>
      </c>
      <c r="P121" s="1" t="s">
        <v>181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0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0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281</v>
      </c>
      <c r="K122" s="14" t="s">
        <v>202</v>
      </c>
      <c r="L122" s="14"/>
      <c r="M122" s="14"/>
      <c r="O122" s="1" t="s">
        <v>179</v>
      </c>
      <c r="P122" s="1" t="s">
        <v>182</v>
      </c>
      <c r="Q122" s="83">
        <v>40</v>
      </c>
      <c r="R122" s="1" t="s">
        <v>34</v>
      </c>
      <c r="S122" s="14">
        <f>$H$20*100</f>
        <v>177</v>
      </c>
      <c r="T122" s="1">
        <f t="shared" si="20"/>
        <v>7080</v>
      </c>
      <c r="U122" s="14">
        <v>15</v>
      </c>
      <c r="V122" s="14"/>
      <c r="Y122" s="9">
        <f t="shared" si="23"/>
        <v>8263.8343535012937</v>
      </c>
      <c r="Z122" s="82"/>
      <c r="AA122" s="82"/>
      <c r="AC122" s="9">
        <f>$Y122*(Voorblad!$K$44*(1+Voorblad!$K$44)^Voorblad!$K$41)/((1+Voorblad!$K$44)^Voorblad!$K$41-1)</f>
        <v>363.66449905419023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4888.4961424200192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3375.3382110812736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0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0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0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281</v>
      </c>
      <c r="K123" s="14" t="s">
        <v>201</v>
      </c>
      <c r="L123" s="14"/>
      <c r="M123" s="14"/>
      <c r="O123" s="1" t="s">
        <v>179</v>
      </c>
      <c r="P123" s="1" t="s">
        <v>183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0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0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281</v>
      </c>
      <c r="K124" s="14" t="s">
        <v>208</v>
      </c>
      <c r="L124" s="14"/>
      <c r="M124" s="14"/>
      <c r="O124" s="1" t="s">
        <v>179</v>
      </c>
      <c r="P124" s="1" t="s">
        <v>184</v>
      </c>
      <c r="Q124" s="81">
        <v>50</v>
      </c>
      <c r="R124" s="1" t="s">
        <v>35</v>
      </c>
      <c r="S124" s="21">
        <f>$H$20*0.6*100</f>
        <v>106.2</v>
      </c>
      <c r="T124" s="9">
        <f t="shared" si="20"/>
        <v>5310</v>
      </c>
      <c r="U124" s="14">
        <v>15</v>
      </c>
      <c r="V124" s="14"/>
      <c r="Y124" s="9">
        <f t="shared" si="23"/>
        <v>6197.8757651259693</v>
      </c>
      <c r="Z124" s="82"/>
      <c r="AA124" s="82"/>
      <c r="AC124" s="229">
        <f>$Y124*(Voorblad!$K$44*(1+Voorblad!$K$44)^Voorblad!$K$41)/((1+Voorblad!$K$44)^Voorblad!$K$41-1)</f>
        <v>272.74837429064269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3666.3721068150144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2531.503658310955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0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0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272</v>
      </c>
      <c r="C125" s="2"/>
      <c r="S125" s="14"/>
      <c r="U125" s="14"/>
      <c r="V125" s="14"/>
      <c r="Y125" s="23">
        <f>SUM(Y109:Y124)</f>
        <v>252947.42008682879</v>
      </c>
      <c r="Z125" s="24"/>
      <c r="AA125" s="23">
        <f>SUM(AA109:AA124)</f>
        <v>0</v>
      </c>
      <c r="AC125" s="9">
        <f>$Y125*(Voorblad!$K$44*(1+Voorblad!$K$44)^Voorblad!$K$41)/((1+Voorblad!$K$44)^Voorblad!$K$41-1)</f>
        <v>11131.394081483753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38719.753296542498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94360.196789062407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30247.809390473445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88360.08889455341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0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0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0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0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0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0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0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0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147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0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0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0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0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0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0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0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0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0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0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194</v>
      </c>
      <c r="K131" s="1" t="s">
        <v>213</v>
      </c>
      <c r="O131" s="1" t="s">
        <v>188</v>
      </c>
      <c r="P131" s="1" t="s">
        <v>180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0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194</v>
      </c>
      <c r="K132" s="14" t="s">
        <v>214</v>
      </c>
      <c r="O132" s="1" t="s">
        <v>188</v>
      </c>
      <c r="P132" s="1" t="s">
        <v>181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0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194</v>
      </c>
      <c r="K133" s="1" t="s">
        <v>210</v>
      </c>
      <c r="O133" s="1" t="s">
        <v>188</v>
      </c>
      <c r="P133" s="1" t="s">
        <v>182</v>
      </c>
      <c r="Q133" s="81">
        <f>1*40</f>
        <v>40</v>
      </c>
      <c r="R133" s="1" t="s">
        <v>34</v>
      </c>
      <c r="S133" s="21">
        <f>$H$10*125</f>
        <v>297.5</v>
      </c>
      <c r="T133" s="9">
        <f t="shared" si="104"/>
        <v>11900</v>
      </c>
      <c r="U133" s="14">
        <v>30</v>
      </c>
      <c r="V133" s="14"/>
      <c r="Y133" s="9">
        <f t="shared" si="21"/>
        <v>5673.2379536535527</v>
      </c>
      <c r="Z133" s="82"/>
      <c r="AA133" s="82"/>
      <c r="AC133" s="9">
        <f>$Y133*(Voorblad!$K$44*(1+Voorblad!$K$44)^Voorblad!$K$41)/((1+Voorblad!$K$44)^Voorblad!$K$41-1)</f>
        <v>249.66076886046281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5673.2379536535527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0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194</v>
      </c>
      <c r="K134" s="14" t="s">
        <v>211</v>
      </c>
      <c r="O134" s="1" t="s">
        <v>188</v>
      </c>
      <c r="P134" s="1" t="s">
        <v>183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0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194</v>
      </c>
      <c r="K135" s="14" t="s">
        <v>209</v>
      </c>
      <c r="O135" s="1" t="s">
        <v>188</v>
      </c>
      <c r="P135" s="1" t="s">
        <v>184</v>
      </c>
      <c r="Q135" s="81">
        <f>50*1</f>
        <v>50</v>
      </c>
      <c r="R135" s="1" t="s">
        <v>35</v>
      </c>
      <c r="S135" s="21">
        <f>$H$10*0.6*125</f>
        <v>178.5</v>
      </c>
      <c r="T135" s="9">
        <f t="shared" si="104"/>
        <v>8925</v>
      </c>
      <c r="U135" s="14">
        <v>30</v>
      </c>
      <c r="V135" s="14"/>
      <c r="Y135" s="9">
        <f t="shared" si="107"/>
        <v>4254.9284652401648</v>
      </c>
      <c r="Z135" s="82"/>
      <c r="AA135" s="82"/>
      <c r="AC135" s="9">
        <f>$Y135*(Voorblad!$K$44*(1+Voorblad!$K$44)^Voorblad!$K$41)/((1+Voorblad!$K$44)^Voorblad!$K$41-1)</f>
        <v>187.24557664534711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4254.9284652401648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0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185</v>
      </c>
      <c r="Q136" s="83">
        <f>6*31.9</f>
        <v>191.39999999999998</v>
      </c>
      <c r="R136" s="147" t="s">
        <v>197</v>
      </c>
      <c r="S136" s="14">
        <f>$H$10*500</f>
        <v>1190</v>
      </c>
      <c r="T136" s="9">
        <f t="shared" si="104"/>
        <v>227765.99999999997</v>
      </c>
      <c r="U136" s="14">
        <v>50</v>
      </c>
      <c r="V136" s="14"/>
      <c r="Y136" s="9">
        <f>SUM(AE136:EB136)</f>
        <v>0</v>
      </c>
      <c r="Z136" s="82"/>
      <c r="AA136" s="82"/>
      <c r="AC136" s="9">
        <f>$Y136*(Voorblad!$K$44*(1+Voorblad!$K$44)^Voorblad!$K$41)/((1+Voorblad!$K$44)^Voorblad!$K$41-1)</f>
        <v>0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0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0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162</v>
      </c>
      <c r="O137" s="14" t="s">
        <v>215</v>
      </c>
      <c r="P137" s="14" t="s">
        <v>218</v>
      </c>
      <c r="Q137" s="84">
        <f>7.5%*2*31.9</f>
        <v>4.7849999999999993</v>
      </c>
      <c r="R137" s="14" t="s">
        <v>34</v>
      </c>
      <c r="S137" s="21">
        <f>$H$10*1000</f>
        <v>2380</v>
      </c>
      <c r="T137" s="21">
        <f t="shared" si="104"/>
        <v>11388.299999999997</v>
      </c>
      <c r="U137" s="14">
        <v>50</v>
      </c>
      <c r="Y137" s="21">
        <f t="shared" ref="Y137" si="108">SUM(AE137:EB137)</f>
        <v>0</v>
      </c>
      <c r="Z137" s="149"/>
      <c r="AA137" s="149"/>
      <c r="AC137" s="9">
        <f>$Y137*(Voorblad!$K$44*(1+Voorblad!$K$44)^Voorblad!$K$41)/((1+Voorblad!$K$44)^Voorblad!$K$41-1)</f>
        <v>0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0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0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205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0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161</v>
      </c>
      <c r="P139" s="14" t="s">
        <v>195</v>
      </c>
      <c r="Q139" s="81">
        <f>1*40</f>
        <v>40</v>
      </c>
      <c r="R139" s="1" t="s">
        <v>34</v>
      </c>
      <c r="S139" s="14">
        <f>$H$10*400</f>
        <v>952</v>
      </c>
      <c r="T139" s="1">
        <f t="shared" si="104"/>
        <v>38080</v>
      </c>
      <c r="U139" s="14">
        <v>50</v>
      </c>
      <c r="V139" s="14"/>
      <c r="Y139" s="9">
        <f t="shared" si="107"/>
        <v>0</v>
      </c>
      <c r="Z139" s="82"/>
      <c r="AA139" s="82"/>
      <c r="AC139" s="9">
        <f>$Y139*(Voorblad!$K$44*(1+Voorblad!$K$44)^Voorblad!$K$41)/((1+Voorblad!$K$44)^Voorblad!$K$41-1)</f>
        <v>0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0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0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189</v>
      </c>
      <c r="P140" s="14" t="s">
        <v>195</v>
      </c>
      <c r="Q140" s="81">
        <v>0</v>
      </c>
      <c r="R140" s="1" t="s">
        <v>34</v>
      </c>
      <c r="S140" s="14">
        <f>$H$10*400</f>
        <v>952</v>
      </c>
      <c r="T140" s="1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0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193</v>
      </c>
      <c r="P141" s="14" t="s">
        <v>195</v>
      </c>
      <c r="Q141" s="81">
        <f>50*1</f>
        <v>50</v>
      </c>
      <c r="R141" s="1" t="s">
        <v>35</v>
      </c>
      <c r="S141" s="14">
        <f>$H$10*400</f>
        <v>952</v>
      </c>
      <c r="T141" s="9">
        <f t="shared" si="104"/>
        <v>47600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0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1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0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1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0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1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0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136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1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0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196</v>
      </c>
      <c r="Q146" s="83">
        <f>6*31.9</f>
        <v>191.39999999999998</v>
      </c>
      <c r="R146" s="147" t="s">
        <v>197</v>
      </c>
      <c r="S146" s="14">
        <f>$H$10*500</f>
        <v>1190</v>
      </c>
      <c r="T146" s="1">
        <f t="shared" si="104"/>
        <v>227765.99999999997</v>
      </c>
      <c r="U146" s="14">
        <v>50</v>
      </c>
      <c r="V146" s="14"/>
      <c r="Y146" s="9">
        <f>SUM(AE146:EB146)</f>
        <v>0</v>
      </c>
      <c r="Z146" s="82"/>
      <c r="AA146" s="82"/>
      <c r="AC146" s="229">
        <f>$Y146*(Voorblad!$K$44*(1+Voorblad!$K$44)^Voorblad!$K$41)/((1+Voorblad!$K$44)^Voorblad!$K$41-1)</f>
        <v>0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0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0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273</v>
      </c>
      <c r="C147" s="2"/>
      <c r="D147" s="22"/>
      <c r="N147" s="6"/>
      <c r="S147" s="14"/>
      <c r="U147" s="14"/>
      <c r="V147" s="14"/>
      <c r="Y147" s="23">
        <f>SUM(Y127:Y146)</f>
        <v>9928.1664188937175</v>
      </c>
      <c r="Z147" s="24"/>
      <c r="AA147" s="23">
        <f>SUM(AA127:AA146)</f>
        <v>0</v>
      </c>
      <c r="AC147" s="9">
        <f>$Y147*(Voorblad!$K$44*(1+Voorblad!$K$44)^Voorblad!$K$41)/((1+Voorblad!$K$44)^Voorblad!$K$41-1)</f>
        <v>436.90634550580995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9928.1664188937175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0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0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108</v>
      </c>
      <c r="O149" s="1" t="s">
        <v>57</v>
      </c>
      <c r="P149" s="14" t="s">
        <v>231</v>
      </c>
      <c r="Q149" s="83">
        <f>(31.75+10.15+14)*31.9</f>
        <v>1783.2099999999998</v>
      </c>
      <c r="R149" s="81" t="s">
        <v>35</v>
      </c>
      <c r="S149" s="81">
        <v>7860</v>
      </c>
      <c r="T149" s="21">
        <f>Q149*S149</f>
        <v>14016030.599999998</v>
      </c>
      <c r="U149" s="11">
        <v>1</v>
      </c>
      <c r="V149" s="14">
        <f>Voorblad!F24+100</f>
        <v>2062</v>
      </c>
      <c r="W149" s="9">
        <f>Voorblad!K77</f>
        <v>2062</v>
      </c>
      <c r="X149" s="6"/>
      <c r="Y149" s="9">
        <f t="shared" si="21"/>
        <v>6053598.5043979269</v>
      </c>
      <c r="Z149" s="82" t="s">
        <v>312</v>
      </c>
      <c r="AA149" s="82">
        <v>156</v>
      </c>
      <c r="AC149" s="9">
        <f>$Y149*(Voorblad!$K$44*(1+Voorblad!$K$44)^Voorblad!$K$41)/((1+Voorblad!$K$44)^Voorblad!$K$41-1)</f>
        <v>266399.20083155169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6053598.5043979269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0</v>
      </c>
      <c r="FP149" s="8">
        <f>IF(FP$56-Voorblad!$F$41&gt;Voorblad!$K$41,0,IF($U149=0,0,IF($U149&lt;1,1/$U149,IF((FP$56-Voorblad!$F$41)/$U149-SUM($EE149:FO149)=1,1,0))))</f>
        <v>0</v>
      </c>
      <c r="FQ149" s="8">
        <f>IF(FQ$56-Voorblad!$F$41&gt;Voorblad!$K$41,0,IF($U149=0,0,IF($U149&lt;1,1/$U149,IF((FQ$56-Voorblad!$F$41)/$U149-SUM($EE149:FP149)=1,1,0))))</f>
        <v>0</v>
      </c>
      <c r="FR149" s="8">
        <f>IF(FR$56-Voorblad!$F$41&gt;Voorblad!$K$41,0,IF($U149=0,0,IF($U149&lt;1,1/$U149,IF((FR$56-Voorblad!$F$41)/$U149-SUM($EE149:FQ149)=1,1,0))))</f>
        <v>0</v>
      </c>
      <c r="FS149" s="8">
        <f>IF(FS$56-Voorblad!$F$41&gt;Voorblad!$K$41,0,IF($U149=0,0,IF($U149&lt;1,1/$U149,IF((FS$56-Voorblad!$F$41)/$U149-SUM($EE149:FR149)=1,1,0))))</f>
        <v>0</v>
      </c>
      <c r="FT149" s="8">
        <f>IF(FT$56-Voorblad!$F$41&gt;Voorblad!$K$41,0,IF($U149=0,0,IF($U149&lt;1,1/$U149,IF((FT$56-Voorblad!$F$41)/$U149-SUM($EE149:FS149)=1,1,0))))</f>
        <v>0</v>
      </c>
      <c r="FU149" s="8">
        <f>IF(FU$56-Voorblad!$F$41&gt;Voorblad!$K$41,0,IF($U149=0,0,IF($U149&lt;1,1/$U149,IF((FU$56-Voorblad!$F$41)/$U149-SUM($EE149:FT149)=1,1,0))))</f>
        <v>0</v>
      </c>
      <c r="FV149" s="8">
        <f>IF(FV$56-Voorblad!$F$41&gt;Voorblad!$K$41,0,IF($U149=0,0,IF($U149&lt;1,1/$U149,IF((FV$56-Voorblad!$F$41)/$U149-SUM($EE149:FU149)=1,1,0))))</f>
        <v>0</v>
      </c>
      <c r="FW149" s="8">
        <f>IF(FW$56-Voorblad!$F$41&gt;Voorblad!$K$41,0,IF($U149=0,0,IF($U149&lt;1,1/$U149,IF((FW$56-Voorblad!$F$41)/$U149-SUM($EE149:FV149)=1,1,0))))</f>
        <v>0</v>
      </c>
      <c r="FX149" s="8">
        <f>IF(FX$56-Voorblad!$F$41&gt;Voorblad!$K$41,0,IF($U149=0,0,IF($U149&lt;1,1/$U149,IF((FX$56-Voorblad!$F$41)/$U149-SUM($EE149:FW149)=1,1,0))))</f>
        <v>0</v>
      </c>
      <c r="FY149" s="8">
        <f>IF(FY$56-Voorblad!$F$41&gt;Voorblad!$K$41,0,IF($U149=0,0,IF($U149&lt;1,1/$U149,IF((FY$56-Voorblad!$F$41)/$U149-SUM($EE149:FX149)=1,1,0))))</f>
        <v>0</v>
      </c>
      <c r="FZ149" s="8">
        <f>IF(FZ$56-Voorblad!$F$41&gt;Voorblad!$K$41,0,IF($U149=0,0,IF($U149&lt;1,1/$U149,IF((FZ$56-Voorblad!$F$41)/$U149-SUM($EE149:FY149)=1,1,0))))</f>
        <v>0</v>
      </c>
      <c r="GA149" s="8">
        <f>IF(GA$56-Voorblad!$F$41&gt;Voorblad!$K$41,0,IF($U149=0,0,IF($U149&lt;1,1/$U149,IF((GA$56-Voorblad!$F$41)/$U149-SUM($EE149:FZ149)=1,1,0))))</f>
        <v>0</v>
      </c>
      <c r="GB149" s="8">
        <f>IF(GB$56-Voorblad!$F$41&gt;Voorblad!$K$41,0,IF($U149=0,0,IF($U149&lt;1,1/$U149,IF((GB$56-Voorblad!$F$41)/$U149-SUM($EE149:GA149)=1,1,0))))</f>
        <v>0</v>
      </c>
      <c r="GC149" s="8">
        <f>IF(GC$56-Voorblad!$F$41&gt;Voorblad!$K$41,0,IF($U149=0,0,IF($U149&lt;1,1/$U149,IF((GC$56-Voorblad!$F$41)/$U149-SUM($EE149:GB149)=1,1,0))))</f>
        <v>0</v>
      </c>
      <c r="GD149" s="8">
        <f>IF(GD$56-Voorblad!$F$41&gt;Voorblad!$K$41,0,IF($U149=0,0,IF($U149&lt;1,1/$U149,IF((GD$56-Voorblad!$F$41)/$U149-SUM($EE149:GC149)=1,1,0))))</f>
        <v>0</v>
      </c>
      <c r="GE149" s="8">
        <f>IF(GE$56-Voorblad!$F$41&gt;Voorblad!$K$41,0,IF($U149=0,0,IF($U149&lt;1,1/$U149,IF((GE$56-Voorblad!$F$41)/$U149-SUM($EE149:GD149)=1,1,0))))</f>
        <v>0</v>
      </c>
      <c r="GF149" s="8">
        <f>IF(GF$56-Voorblad!$F$41&gt;Voorblad!$K$41,0,IF($U149=0,0,IF($U149&lt;1,1/$U149,IF((GF$56-Voorblad!$F$41)/$U149-SUM($EE149:GE149)=1,1,0))))</f>
        <v>0</v>
      </c>
      <c r="GG149" s="8">
        <f>IF(GG$56-Voorblad!$F$41&gt;Voorblad!$K$41,0,IF($U149=0,0,IF($U149&lt;1,1/$U149,IF((GG$56-Voorblad!$F$41)/$U149-SUM($EE149:GF149)=1,1,0))))</f>
        <v>0</v>
      </c>
      <c r="GH149" s="8">
        <f>IF(GH$56-Voorblad!$F$41&gt;Voorblad!$K$41,0,IF($U149=0,0,IF($U149&lt;1,1/$U149,IF((GH$56-Voorblad!$F$41)/$U149-SUM($EE149:GG149)=1,1,0))))</f>
        <v>0</v>
      </c>
      <c r="GI149" s="8">
        <f>IF(GI$56-Voorblad!$F$41&gt;Voorblad!$K$41,0,IF($U149=0,0,IF($U149&lt;1,1/$U149,IF((GI$56-Voorblad!$F$41)/$U149-SUM($EE149:GH149)=1,1,0))))</f>
        <v>0</v>
      </c>
      <c r="GJ149" s="8">
        <f>IF(GJ$56-Voorblad!$F$41&gt;Voorblad!$K$41,0,IF($U149=0,0,IF($U149&lt;1,1/$U149,IF((GJ$56-Voorblad!$F$41)/$U149-SUM($EE149:GI149)=1,1,0))))</f>
        <v>0</v>
      </c>
      <c r="GK149" s="8">
        <f>IF(GK$56-Voorblad!$F$41&gt;Voorblad!$K$41,0,IF($U149=0,0,IF($U149&lt;1,1/$U149,IF((GK$56-Voorblad!$F$41)/$U149-SUM($EE149:GJ149)=1,1,0))))</f>
        <v>0</v>
      </c>
      <c r="GL149" s="8">
        <f>IF(GL$56-Voorblad!$F$41&gt;Voorblad!$K$41,0,IF($U149=0,0,IF($U149&lt;1,1/$U149,IF((GL$56-Voorblad!$F$41)/$U149-SUM($EE149:GK149)=1,1,0))))</f>
        <v>0</v>
      </c>
      <c r="GM149" s="8">
        <f>IF(GM$56-Voorblad!$F$41&gt;Voorblad!$K$41,0,IF($U149=0,0,IF($U149&lt;1,1/$U149,IF((GM$56-Voorblad!$F$41)/$U149-SUM($EE149:GL149)=1,1,0))))</f>
        <v>0</v>
      </c>
      <c r="GN149" s="8">
        <f>IF(GN$56-Voorblad!$F$41&gt;Voorblad!$K$41,0,IF($U149=0,0,IF($U149&lt;1,1/$U149,IF((GN$56-Voorblad!$F$41)/$U149-SUM($EE149:GM149)=1,1,0))))</f>
        <v>0</v>
      </c>
      <c r="GO149" s="8">
        <f>IF(GO$56-Voorblad!$F$41&gt;Voorblad!$K$41,0,IF($U149=0,0,IF($U149&lt;1,1/$U149,IF((GO$56-Voorblad!$F$41)/$U149-SUM($EE149:GN149)=1,1,0))))</f>
        <v>0</v>
      </c>
      <c r="GP149" s="8">
        <f>IF(GP$56-Voorblad!$F$41&gt;Voorblad!$K$41,0,IF($U149=0,0,IF($U149&lt;1,1/$U149,IF((GP$56-Voorblad!$F$41)/$U149-SUM($EE149:GO149)=1,1,0))))</f>
        <v>0</v>
      </c>
      <c r="GQ149" s="8">
        <f>IF(GQ$56-Voorblad!$F$41&gt;Voorblad!$K$41,0,IF($U149=0,0,IF($U149&lt;1,1/$U149,IF((GQ$56-Voorblad!$F$41)/$U149-SUM($EE149:GP149)=1,1,0))))</f>
        <v>0</v>
      </c>
      <c r="GR149" s="8">
        <f>IF(GR$56-Voorblad!$F$41&gt;Voorblad!$K$41,0,IF($U149=0,0,IF($U149&lt;1,1/$U149,IF((GR$56-Voorblad!$F$41)/$U149-SUM($EE149:GQ149)=1,1,0))))</f>
        <v>0</v>
      </c>
      <c r="GS149" s="8">
        <f>IF(GS$56-Voorblad!$F$41&gt;Voorblad!$K$41,0,IF($U149=0,0,IF($U149&lt;1,1/$U149,IF((GS$56-Voorblad!$F$41)/$U149-SUM($EE149:GR149)=1,1,0))))</f>
        <v>0</v>
      </c>
      <c r="GT149" s="8">
        <f>IF(GT$56-Voorblad!$F$41&gt;Voorblad!$K$41,0,IF($U149=0,0,IF($U149&lt;1,1/$U149,IF((GT$56-Voorblad!$F$41)/$U149-SUM($EE149:GS149)=1,1,0))))</f>
        <v>0</v>
      </c>
      <c r="GU149" s="8">
        <f>IF(GU$56-Voorblad!$F$41&gt;Voorblad!$K$41,0,IF($U149=0,0,IF($U149&lt;1,1/$U149,IF((GU$56-Voorblad!$F$41)/$U149-SUM($EE149:GT149)=1,1,0))))</f>
        <v>0</v>
      </c>
      <c r="GV149" s="8">
        <f>IF(GV$56-Voorblad!$F$41&gt;Voorblad!$K$41,0,IF($U149=0,0,IF($U149&lt;1,1/$U149,IF((GV$56-Voorblad!$F$41)/$U149-SUM($EE149:GU149)=1,1,0))))</f>
        <v>0</v>
      </c>
      <c r="GW149" s="8">
        <f>IF(GW$56-Voorblad!$F$41&gt;Voorblad!$K$41,0,IF($U149=0,0,IF($U149&lt;1,1/$U149,IF((GW$56-Voorblad!$F$41)/$U149-SUM($EE149:GV149)=1,1,0))))</f>
        <v>0</v>
      </c>
      <c r="GX149" s="8">
        <f>IF(GX$56-Voorblad!$F$41&gt;Voorblad!$K$41,0,IF($U149=0,0,IF($U149&lt;1,1/$U149,IF((GX$56-Voorblad!$F$41)/$U149-SUM($EE149:GW149)=1,1,0))))</f>
        <v>0</v>
      </c>
      <c r="GY149" s="8">
        <f>IF(GY$56-Voorblad!$F$41&gt;Voorblad!$K$41,0,IF($U149=0,0,IF($U149&lt;1,1/$U149,IF((GY$56-Voorblad!$F$41)/$U149-SUM($EE149:GX149)=1,1,0))))</f>
        <v>0</v>
      </c>
      <c r="GZ149" s="8">
        <f>IF(GZ$56-Voorblad!$F$41&gt;Voorblad!$K$41,0,IF($U149=0,0,IF($U149&lt;1,1/$U149,IF((GZ$56-Voorblad!$F$41)/$U149-SUM($EE149:GY149)=1,1,0))))</f>
        <v>0</v>
      </c>
      <c r="HA149" s="8">
        <f>IF(HA$56-Voorblad!$F$41&gt;Voorblad!$K$41,0,IF($U149=0,0,IF($U149&lt;1,1/$U149,IF((HA$56-Voorblad!$F$41)/$U149-SUM($EE149:GZ149)=1,1,0))))</f>
        <v>0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0</v>
      </c>
      <c r="FP150" s="8">
        <f>IF(FP$56-Voorblad!$F$41&gt;Voorblad!$K$41,0,IF($U150=0,0,IF($U150&lt;1,1/$U150,IF((FP$56-Voorblad!$F$41)/$U150-SUM($EE150:FO150)=1,1,0))))</f>
        <v>0</v>
      </c>
      <c r="FQ150" s="8">
        <f>IF(FQ$56-Voorblad!$F$41&gt;Voorblad!$K$41,0,IF($U150=0,0,IF($U150&lt;1,1/$U150,IF((FQ$56-Voorblad!$F$41)/$U150-SUM($EE150:FP150)=1,1,0))))</f>
        <v>0</v>
      </c>
      <c r="FR150" s="8">
        <f>IF(FR$56-Voorblad!$F$41&gt;Voorblad!$K$41,0,IF($U150=0,0,IF($U150&lt;1,1/$U150,IF((FR$56-Voorblad!$F$41)/$U150-SUM($EE150:FQ150)=1,1,0))))</f>
        <v>0</v>
      </c>
      <c r="FS150" s="8">
        <f>IF(FS$56-Voorblad!$F$41&gt;Voorblad!$K$41,0,IF($U150=0,0,IF($U150&lt;1,1/$U150,IF((FS$56-Voorblad!$F$41)/$U150-SUM($EE150:FR150)=1,1,0))))</f>
        <v>0</v>
      </c>
      <c r="FT150" s="8">
        <f>IF(FT$56-Voorblad!$F$41&gt;Voorblad!$K$41,0,IF($U150=0,0,IF($U150&lt;1,1/$U150,IF((FT$56-Voorblad!$F$41)/$U150-SUM($EE150:FS150)=1,1,0))))</f>
        <v>0</v>
      </c>
      <c r="FU150" s="8">
        <f>IF(FU$56-Voorblad!$F$41&gt;Voorblad!$K$41,0,IF($U150=0,0,IF($U150&lt;1,1/$U150,IF((FU$56-Voorblad!$F$41)/$U150-SUM($EE150:FT150)=1,1,0))))</f>
        <v>0</v>
      </c>
      <c r="FV150" s="8">
        <f>IF(FV$56-Voorblad!$F$41&gt;Voorblad!$K$41,0,IF($U150=0,0,IF($U150&lt;1,1/$U150,IF((FV$56-Voorblad!$F$41)/$U150-SUM($EE150:FU150)=1,1,0))))</f>
        <v>0</v>
      </c>
      <c r="FW150" s="8">
        <f>IF(FW$56-Voorblad!$F$41&gt;Voorblad!$K$41,0,IF($U150=0,0,IF($U150&lt;1,1/$U150,IF((FW$56-Voorblad!$F$41)/$U150-SUM($EE150:FV150)=1,1,0))))</f>
        <v>0</v>
      </c>
      <c r="FX150" s="8">
        <f>IF(FX$56-Voorblad!$F$41&gt;Voorblad!$K$41,0,IF($U150=0,0,IF($U150&lt;1,1/$U150,IF((FX$56-Voorblad!$F$41)/$U150-SUM($EE150:FW150)=1,1,0))))</f>
        <v>0</v>
      </c>
      <c r="FY150" s="8">
        <f>IF(FY$56-Voorblad!$F$41&gt;Voorblad!$K$41,0,IF($U150=0,0,IF($U150&lt;1,1/$U150,IF((FY$56-Voorblad!$F$41)/$U150-SUM($EE150:FX150)=1,1,0))))</f>
        <v>0</v>
      </c>
      <c r="FZ150" s="8">
        <f>IF(FZ$56-Voorblad!$F$41&gt;Voorblad!$K$41,0,IF($U150=0,0,IF($U150&lt;1,1/$U150,IF((FZ$56-Voorblad!$F$41)/$U150-SUM($EE150:FY150)=1,1,0))))</f>
        <v>0</v>
      </c>
      <c r="GA150" s="8">
        <f>IF(GA$56-Voorblad!$F$41&gt;Voorblad!$K$41,0,IF($U150=0,0,IF($U150&lt;1,1/$U150,IF((GA$56-Voorblad!$F$41)/$U150-SUM($EE150:FZ150)=1,1,0))))</f>
        <v>0</v>
      </c>
      <c r="GB150" s="8">
        <f>IF(GB$56-Voorblad!$F$41&gt;Voorblad!$K$41,0,IF($U150=0,0,IF($U150&lt;1,1/$U150,IF((GB$56-Voorblad!$F$41)/$U150-SUM($EE150:GA150)=1,1,0))))</f>
        <v>0</v>
      </c>
      <c r="GC150" s="8">
        <f>IF(GC$56-Voorblad!$F$41&gt;Voorblad!$K$41,0,IF($U150=0,0,IF($U150&lt;1,1/$U150,IF((GC$56-Voorblad!$F$41)/$U150-SUM($EE150:GB150)=1,1,0))))</f>
        <v>0</v>
      </c>
      <c r="GD150" s="8">
        <f>IF(GD$56-Voorblad!$F$41&gt;Voorblad!$K$41,0,IF($U150=0,0,IF($U150&lt;1,1/$U150,IF((GD$56-Voorblad!$F$41)/$U150-SUM($EE150:GC150)=1,1,0))))</f>
        <v>0</v>
      </c>
      <c r="GE150" s="8">
        <f>IF(GE$56-Voorblad!$F$41&gt;Voorblad!$K$41,0,IF($U150=0,0,IF($U150&lt;1,1/$U150,IF((GE$56-Voorblad!$F$41)/$U150-SUM($EE150:GD150)=1,1,0))))</f>
        <v>0</v>
      </c>
      <c r="GF150" s="8">
        <f>IF(GF$56-Voorblad!$F$41&gt;Voorblad!$K$41,0,IF($U150=0,0,IF($U150&lt;1,1/$U150,IF((GF$56-Voorblad!$F$41)/$U150-SUM($EE150:GE150)=1,1,0))))</f>
        <v>0</v>
      </c>
      <c r="GG150" s="8">
        <f>IF(GG$56-Voorblad!$F$41&gt;Voorblad!$K$41,0,IF($U150=0,0,IF($U150&lt;1,1/$U150,IF((GG$56-Voorblad!$F$41)/$U150-SUM($EE150:GF150)=1,1,0))))</f>
        <v>0</v>
      </c>
      <c r="GH150" s="8">
        <f>IF(GH$56-Voorblad!$F$41&gt;Voorblad!$K$41,0,IF($U150=0,0,IF($U150&lt;1,1/$U150,IF((GH$56-Voorblad!$F$41)/$U150-SUM($EE150:GG150)=1,1,0))))</f>
        <v>0</v>
      </c>
      <c r="GI150" s="8">
        <f>IF(GI$56-Voorblad!$F$41&gt;Voorblad!$K$41,0,IF($U150=0,0,IF($U150&lt;1,1/$U150,IF((GI$56-Voorblad!$F$41)/$U150-SUM($EE150:GH150)=1,1,0))))</f>
        <v>0</v>
      </c>
      <c r="GJ150" s="8">
        <f>IF(GJ$56-Voorblad!$F$41&gt;Voorblad!$K$41,0,IF($U150=0,0,IF($U150&lt;1,1/$U150,IF((GJ$56-Voorblad!$F$41)/$U150-SUM($EE150:GI150)=1,1,0))))</f>
        <v>0</v>
      </c>
      <c r="GK150" s="8">
        <f>IF(GK$56-Voorblad!$F$41&gt;Voorblad!$K$41,0,IF($U150=0,0,IF($U150&lt;1,1/$U150,IF((GK$56-Voorblad!$F$41)/$U150-SUM($EE150:GJ150)=1,1,0))))</f>
        <v>0</v>
      </c>
      <c r="GL150" s="8">
        <f>IF(GL$56-Voorblad!$F$41&gt;Voorblad!$K$41,0,IF($U150=0,0,IF($U150&lt;1,1/$U150,IF((GL$56-Voorblad!$F$41)/$U150-SUM($EE150:GK150)=1,1,0))))</f>
        <v>0</v>
      </c>
      <c r="GM150" s="8">
        <f>IF(GM$56-Voorblad!$F$41&gt;Voorblad!$K$41,0,IF($U150=0,0,IF($U150&lt;1,1/$U150,IF((GM$56-Voorblad!$F$41)/$U150-SUM($EE150:GL150)=1,1,0))))</f>
        <v>0</v>
      </c>
      <c r="GN150" s="8">
        <f>IF(GN$56-Voorblad!$F$41&gt;Voorblad!$K$41,0,IF($U150=0,0,IF($U150&lt;1,1/$U150,IF((GN$56-Voorblad!$F$41)/$U150-SUM($EE150:GM150)=1,1,0))))</f>
        <v>0</v>
      </c>
      <c r="GO150" s="8">
        <f>IF(GO$56-Voorblad!$F$41&gt;Voorblad!$K$41,0,IF($U150=0,0,IF($U150&lt;1,1/$U150,IF((GO$56-Voorblad!$F$41)/$U150-SUM($EE150:GN150)=1,1,0))))</f>
        <v>0</v>
      </c>
      <c r="GP150" s="8">
        <f>IF(GP$56-Voorblad!$F$41&gt;Voorblad!$K$41,0,IF($U150=0,0,IF($U150&lt;1,1/$U150,IF((GP$56-Voorblad!$F$41)/$U150-SUM($EE150:GO150)=1,1,0))))</f>
        <v>0</v>
      </c>
      <c r="GQ150" s="8">
        <f>IF(GQ$56-Voorblad!$F$41&gt;Voorblad!$K$41,0,IF($U150=0,0,IF($U150&lt;1,1/$U150,IF((GQ$56-Voorblad!$F$41)/$U150-SUM($EE150:GP150)=1,1,0))))</f>
        <v>0</v>
      </c>
      <c r="GR150" s="8">
        <f>IF(GR$56-Voorblad!$F$41&gt;Voorblad!$K$41,0,IF($U150=0,0,IF($U150&lt;1,1/$U150,IF((GR$56-Voorblad!$F$41)/$U150-SUM($EE150:GQ150)=1,1,0))))</f>
        <v>0</v>
      </c>
      <c r="GS150" s="8">
        <f>IF(GS$56-Voorblad!$F$41&gt;Voorblad!$K$41,0,IF($U150=0,0,IF($U150&lt;1,1/$U150,IF((GS$56-Voorblad!$F$41)/$U150-SUM($EE150:GR150)=1,1,0))))</f>
        <v>0</v>
      </c>
      <c r="GT150" s="8">
        <f>IF(GT$56-Voorblad!$F$41&gt;Voorblad!$K$41,0,IF($U150=0,0,IF($U150&lt;1,1/$U150,IF((GT$56-Voorblad!$F$41)/$U150-SUM($EE150:GS150)=1,1,0))))</f>
        <v>0</v>
      </c>
      <c r="GU150" s="8">
        <f>IF(GU$56-Voorblad!$F$41&gt;Voorblad!$K$41,0,IF($U150=0,0,IF($U150&lt;1,1/$U150,IF((GU$56-Voorblad!$F$41)/$U150-SUM($EE150:GT150)=1,1,0))))</f>
        <v>0</v>
      </c>
      <c r="GV150" s="8">
        <f>IF(GV$56-Voorblad!$F$41&gt;Voorblad!$K$41,0,IF($U150=0,0,IF($U150&lt;1,1/$U150,IF((GV$56-Voorblad!$F$41)/$U150-SUM($EE150:GU150)=1,1,0))))</f>
        <v>0</v>
      </c>
      <c r="GW150" s="8">
        <f>IF(GW$56-Voorblad!$F$41&gt;Voorblad!$K$41,0,IF($U150=0,0,IF($U150&lt;1,1/$U150,IF((GW$56-Voorblad!$F$41)/$U150-SUM($EE150:GV150)=1,1,0))))</f>
        <v>0</v>
      </c>
      <c r="GX150" s="8">
        <f>IF(GX$56-Voorblad!$F$41&gt;Voorblad!$K$41,0,IF($U150=0,0,IF($U150&lt;1,1/$U150,IF((GX$56-Voorblad!$F$41)/$U150-SUM($EE150:GW150)=1,1,0))))</f>
        <v>0</v>
      </c>
      <c r="GY150" s="8">
        <f>IF(GY$56-Voorblad!$F$41&gt;Voorblad!$K$41,0,IF($U150=0,0,IF($U150&lt;1,1/$U150,IF((GY$56-Voorblad!$F$41)/$U150-SUM($EE150:GX150)=1,1,0))))</f>
        <v>0</v>
      </c>
      <c r="GZ150" s="8">
        <f>IF(GZ$56-Voorblad!$F$41&gt;Voorblad!$K$41,0,IF($U150=0,0,IF($U150&lt;1,1/$U150,IF((GZ$56-Voorblad!$F$41)/$U150-SUM($EE150:GY150)=1,1,0))))</f>
        <v>0</v>
      </c>
      <c r="HA150" s="8">
        <f>IF(HA$56-Voorblad!$F$41&gt;Voorblad!$K$41,0,IF($U150=0,0,IF($U150&lt;1,1/$U150,IF((HA$56-Voorblad!$F$41)/$U150-SUM($EE150:GZ150)=1,1,0))))</f>
        <v>0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99</v>
      </c>
      <c r="Q151" s="81">
        <v>0</v>
      </c>
      <c r="R151" s="1" t="s">
        <v>33</v>
      </c>
      <c r="S151" s="21">
        <f>2%*T149</f>
        <v>280320.61199999996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0</v>
      </c>
      <c r="FP151" s="8">
        <f>IF(FP$56-Voorblad!$F$41&gt;Voorblad!$K$41,0,IF($U151=0,0,IF($U151&lt;1,1/$U151,IF((FP$56-Voorblad!$F$41)/$U151-SUM($EE151:FO151)=1,1,0))))</f>
        <v>0</v>
      </c>
      <c r="FQ151" s="8">
        <f>IF(FQ$56-Voorblad!$F$41&gt;Voorblad!$K$41,0,IF($U151=0,0,IF($U151&lt;1,1/$U151,IF((FQ$56-Voorblad!$F$41)/$U151-SUM($EE151:FP151)=1,1,0))))</f>
        <v>0</v>
      </c>
      <c r="FR151" s="8">
        <f>IF(FR$56-Voorblad!$F$41&gt;Voorblad!$K$41,0,IF($U151=0,0,IF($U151&lt;1,1/$U151,IF((FR$56-Voorblad!$F$41)/$U151-SUM($EE151:FQ151)=1,1,0))))</f>
        <v>0</v>
      </c>
      <c r="FS151" s="8">
        <f>IF(FS$56-Voorblad!$F$41&gt;Voorblad!$K$41,0,IF($U151=0,0,IF($U151&lt;1,1/$U151,IF((FS$56-Voorblad!$F$41)/$U151-SUM($EE151:FR151)=1,1,0))))</f>
        <v>0</v>
      </c>
      <c r="FT151" s="8">
        <f>IF(FT$56-Voorblad!$F$41&gt;Voorblad!$K$41,0,IF($U151=0,0,IF($U151&lt;1,1/$U151,IF((FT$56-Voorblad!$F$41)/$U151-SUM($EE151:FS151)=1,1,0))))</f>
        <v>0</v>
      </c>
      <c r="FU151" s="8">
        <f>IF(FU$56-Voorblad!$F$41&gt;Voorblad!$K$41,0,IF($U151=0,0,IF($U151&lt;1,1/$U151,IF((FU$56-Voorblad!$F$41)/$U151-SUM($EE151:FT151)=1,1,0))))</f>
        <v>0</v>
      </c>
      <c r="FV151" s="8">
        <f>IF(FV$56-Voorblad!$F$41&gt;Voorblad!$K$41,0,IF($U151=0,0,IF($U151&lt;1,1/$U151,IF((FV$56-Voorblad!$F$41)/$U151-SUM($EE151:FU151)=1,1,0))))</f>
        <v>0</v>
      </c>
      <c r="FW151" s="8">
        <f>IF(FW$56-Voorblad!$F$41&gt;Voorblad!$K$41,0,IF($U151=0,0,IF($U151&lt;1,1/$U151,IF((FW$56-Voorblad!$F$41)/$U151-SUM($EE151:FV151)=1,1,0))))</f>
        <v>0</v>
      </c>
      <c r="FX151" s="8">
        <f>IF(FX$56-Voorblad!$F$41&gt;Voorblad!$K$41,0,IF($U151=0,0,IF($U151&lt;1,1/$U151,IF((FX$56-Voorblad!$F$41)/$U151-SUM($EE151:FW151)=1,1,0))))</f>
        <v>0</v>
      </c>
      <c r="FY151" s="8">
        <f>IF(FY$56-Voorblad!$F$41&gt;Voorblad!$K$41,0,IF($U151=0,0,IF($U151&lt;1,1/$U151,IF((FY$56-Voorblad!$F$41)/$U151-SUM($EE151:FX151)=1,1,0))))</f>
        <v>0</v>
      </c>
      <c r="FZ151" s="8">
        <f>IF(FZ$56-Voorblad!$F$41&gt;Voorblad!$K$41,0,IF($U151=0,0,IF($U151&lt;1,1/$U151,IF((FZ$56-Voorblad!$F$41)/$U151-SUM($EE151:FY151)=1,1,0))))</f>
        <v>0</v>
      </c>
      <c r="GA151" s="8">
        <f>IF(GA$56-Voorblad!$F$41&gt;Voorblad!$K$41,0,IF($U151=0,0,IF($U151&lt;1,1/$U151,IF((GA$56-Voorblad!$F$41)/$U151-SUM($EE151:FZ151)=1,1,0))))</f>
        <v>0</v>
      </c>
      <c r="GB151" s="8">
        <f>IF(GB$56-Voorblad!$F$41&gt;Voorblad!$K$41,0,IF($U151=0,0,IF($U151&lt;1,1/$U151,IF((GB$56-Voorblad!$F$41)/$U151-SUM($EE151:GA151)=1,1,0))))</f>
        <v>0</v>
      </c>
      <c r="GC151" s="8">
        <f>IF(GC$56-Voorblad!$F$41&gt;Voorblad!$K$41,0,IF($U151=0,0,IF($U151&lt;1,1/$U151,IF((GC$56-Voorblad!$F$41)/$U151-SUM($EE151:GB151)=1,1,0))))</f>
        <v>0</v>
      </c>
      <c r="GD151" s="8">
        <f>IF(GD$56-Voorblad!$F$41&gt;Voorblad!$K$41,0,IF($U151=0,0,IF($U151&lt;1,1/$U151,IF((GD$56-Voorblad!$F$41)/$U151-SUM($EE151:GC151)=1,1,0))))</f>
        <v>0</v>
      </c>
      <c r="GE151" s="8">
        <f>IF(GE$56-Voorblad!$F$41&gt;Voorblad!$K$41,0,IF($U151=0,0,IF($U151&lt;1,1/$U151,IF((GE$56-Voorblad!$F$41)/$U151-SUM($EE151:GD151)=1,1,0))))</f>
        <v>0</v>
      </c>
      <c r="GF151" s="8">
        <f>IF(GF$56-Voorblad!$F$41&gt;Voorblad!$K$41,0,IF($U151=0,0,IF($U151&lt;1,1/$U151,IF((GF$56-Voorblad!$F$41)/$U151-SUM($EE151:GE151)=1,1,0))))</f>
        <v>0</v>
      </c>
      <c r="GG151" s="8">
        <f>IF(GG$56-Voorblad!$F$41&gt;Voorblad!$K$41,0,IF($U151=0,0,IF($U151&lt;1,1/$U151,IF((GG$56-Voorblad!$F$41)/$U151-SUM($EE151:GF151)=1,1,0))))</f>
        <v>0</v>
      </c>
      <c r="GH151" s="8">
        <f>IF(GH$56-Voorblad!$F$41&gt;Voorblad!$K$41,0,IF($U151=0,0,IF($U151&lt;1,1/$U151,IF((GH$56-Voorblad!$F$41)/$U151-SUM($EE151:GG151)=1,1,0))))</f>
        <v>0</v>
      </c>
      <c r="GI151" s="8">
        <f>IF(GI$56-Voorblad!$F$41&gt;Voorblad!$K$41,0,IF($U151=0,0,IF($U151&lt;1,1/$U151,IF((GI$56-Voorblad!$F$41)/$U151-SUM($EE151:GH151)=1,1,0))))</f>
        <v>0</v>
      </c>
      <c r="GJ151" s="8">
        <f>IF(GJ$56-Voorblad!$F$41&gt;Voorblad!$K$41,0,IF($U151=0,0,IF($U151&lt;1,1/$U151,IF((GJ$56-Voorblad!$F$41)/$U151-SUM($EE151:GI151)=1,1,0))))</f>
        <v>0</v>
      </c>
      <c r="GK151" s="8">
        <f>IF(GK$56-Voorblad!$F$41&gt;Voorblad!$K$41,0,IF($U151=0,0,IF($U151&lt;1,1/$U151,IF((GK$56-Voorblad!$F$41)/$U151-SUM($EE151:GJ151)=1,1,0))))</f>
        <v>0</v>
      </c>
      <c r="GL151" s="8">
        <f>IF(GL$56-Voorblad!$F$41&gt;Voorblad!$K$41,0,IF($U151=0,0,IF($U151&lt;1,1/$U151,IF((GL$56-Voorblad!$F$41)/$U151-SUM($EE151:GK151)=1,1,0))))</f>
        <v>0</v>
      </c>
      <c r="GM151" s="8">
        <f>IF(GM$56-Voorblad!$F$41&gt;Voorblad!$K$41,0,IF($U151=0,0,IF($U151&lt;1,1/$U151,IF((GM$56-Voorblad!$F$41)/$U151-SUM($EE151:GL151)=1,1,0))))</f>
        <v>0</v>
      </c>
      <c r="GN151" s="8">
        <f>IF(GN$56-Voorblad!$F$41&gt;Voorblad!$K$41,0,IF($U151=0,0,IF($U151&lt;1,1/$U151,IF((GN$56-Voorblad!$F$41)/$U151-SUM($EE151:GM151)=1,1,0))))</f>
        <v>0</v>
      </c>
      <c r="GO151" s="8">
        <f>IF(GO$56-Voorblad!$F$41&gt;Voorblad!$K$41,0,IF($U151=0,0,IF($U151&lt;1,1/$U151,IF((GO$56-Voorblad!$F$41)/$U151-SUM($EE151:GN151)=1,1,0))))</f>
        <v>0</v>
      </c>
      <c r="GP151" s="8">
        <f>IF(GP$56-Voorblad!$F$41&gt;Voorblad!$K$41,0,IF($U151=0,0,IF($U151&lt;1,1/$U151,IF((GP$56-Voorblad!$F$41)/$U151-SUM($EE151:GO151)=1,1,0))))</f>
        <v>0</v>
      </c>
      <c r="GQ151" s="8">
        <f>IF(GQ$56-Voorblad!$F$41&gt;Voorblad!$K$41,0,IF($U151=0,0,IF($U151&lt;1,1/$U151,IF((GQ$56-Voorblad!$F$41)/$U151-SUM($EE151:GP151)=1,1,0))))</f>
        <v>0</v>
      </c>
      <c r="GR151" s="8">
        <f>IF(GR$56-Voorblad!$F$41&gt;Voorblad!$K$41,0,IF($U151=0,0,IF($U151&lt;1,1/$U151,IF((GR$56-Voorblad!$F$41)/$U151-SUM($EE151:GQ151)=1,1,0))))</f>
        <v>0</v>
      </c>
      <c r="GS151" s="8">
        <f>IF(GS$56-Voorblad!$F$41&gt;Voorblad!$K$41,0,IF($U151=0,0,IF($U151&lt;1,1/$U151,IF((GS$56-Voorblad!$F$41)/$U151-SUM($EE151:GR151)=1,1,0))))</f>
        <v>0</v>
      </c>
      <c r="GT151" s="8">
        <f>IF(GT$56-Voorblad!$F$41&gt;Voorblad!$K$41,0,IF($U151=0,0,IF($U151&lt;1,1/$U151,IF((GT$56-Voorblad!$F$41)/$U151-SUM($EE151:GS151)=1,1,0))))</f>
        <v>0</v>
      </c>
      <c r="GU151" s="8">
        <f>IF(GU$56-Voorblad!$F$41&gt;Voorblad!$K$41,0,IF($U151=0,0,IF($U151&lt;1,1/$U151,IF((GU$56-Voorblad!$F$41)/$U151-SUM($EE151:GT151)=1,1,0))))</f>
        <v>0</v>
      </c>
      <c r="GV151" s="8">
        <f>IF(GV$56-Voorblad!$F$41&gt;Voorblad!$K$41,0,IF($U151=0,0,IF($U151&lt;1,1/$U151,IF((GV$56-Voorblad!$F$41)/$U151-SUM($EE151:GU151)=1,1,0))))</f>
        <v>0</v>
      </c>
      <c r="GW151" s="8">
        <f>IF(GW$56-Voorblad!$F$41&gt;Voorblad!$K$41,0,IF($U151=0,0,IF($U151&lt;1,1/$U151,IF((GW$56-Voorblad!$F$41)/$U151-SUM($EE151:GV151)=1,1,0))))</f>
        <v>0</v>
      </c>
      <c r="GX151" s="8">
        <f>IF(GX$56-Voorblad!$F$41&gt;Voorblad!$K$41,0,IF($U151=0,0,IF($U151&lt;1,1/$U151,IF((GX$56-Voorblad!$F$41)/$U151-SUM($EE151:GW151)=1,1,0))))</f>
        <v>0</v>
      </c>
      <c r="GY151" s="8">
        <f>IF(GY$56-Voorblad!$F$41&gt;Voorblad!$K$41,0,IF($U151=0,0,IF($U151&lt;1,1/$U151,IF((GY$56-Voorblad!$F$41)/$U151-SUM($EE151:GX151)=1,1,0))))</f>
        <v>0</v>
      </c>
      <c r="GZ151" s="8">
        <f>IF(GZ$56-Voorblad!$F$41&gt;Voorblad!$K$41,0,IF($U151=0,0,IF($U151&lt;1,1/$U151,IF((GZ$56-Voorblad!$F$41)/$U151-SUM($EE151:GY151)=1,1,0))))</f>
        <v>0</v>
      </c>
      <c r="HA151" s="8">
        <f>IF(HA$56-Voorblad!$F$41&gt;Voorblad!$K$41,0,IF($U151=0,0,IF($U151&lt;1,1/$U151,IF((HA$56-Voorblad!$F$41)/$U151-SUM($EE151:GZ151)=1,1,0))))</f>
        <v>0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100</v>
      </c>
      <c r="Q152" s="81">
        <v>0</v>
      </c>
      <c r="R152" s="1" t="s">
        <v>33</v>
      </c>
      <c r="S152" s="21">
        <f>4%*T149</f>
        <v>560641.22399999993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0</v>
      </c>
      <c r="FP152" s="8">
        <f>IF(FP$56-Voorblad!$F$41&gt;Voorblad!$K$41,0,IF($U152=0,0,IF($U152&lt;1,1/$U152,IF((FP$56-Voorblad!$F$41)/$U152-SUM($EE152:FO152)=1,1,0))))</f>
        <v>0</v>
      </c>
      <c r="FQ152" s="8">
        <f>IF(FQ$56-Voorblad!$F$41&gt;Voorblad!$K$41,0,IF($U152=0,0,IF($U152&lt;1,1/$U152,IF((FQ$56-Voorblad!$F$41)/$U152-SUM($EE152:FP152)=1,1,0))))</f>
        <v>0</v>
      </c>
      <c r="FR152" s="8">
        <f>IF(FR$56-Voorblad!$F$41&gt;Voorblad!$K$41,0,IF($U152=0,0,IF($U152&lt;1,1/$U152,IF((FR$56-Voorblad!$F$41)/$U152-SUM($EE152:FQ152)=1,1,0))))</f>
        <v>0</v>
      </c>
      <c r="FS152" s="8">
        <f>IF(FS$56-Voorblad!$F$41&gt;Voorblad!$K$41,0,IF($U152=0,0,IF($U152&lt;1,1/$U152,IF((FS$56-Voorblad!$F$41)/$U152-SUM($EE152:FR152)=1,1,0))))</f>
        <v>0</v>
      </c>
      <c r="FT152" s="8">
        <f>IF(FT$56-Voorblad!$F$41&gt;Voorblad!$K$41,0,IF($U152=0,0,IF($U152&lt;1,1/$U152,IF((FT$56-Voorblad!$F$41)/$U152-SUM($EE152:FS152)=1,1,0))))</f>
        <v>0</v>
      </c>
      <c r="FU152" s="8">
        <f>IF(FU$56-Voorblad!$F$41&gt;Voorblad!$K$41,0,IF($U152=0,0,IF($U152&lt;1,1/$U152,IF((FU$56-Voorblad!$F$41)/$U152-SUM($EE152:FT152)=1,1,0))))</f>
        <v>0</v>
      </c>
      <c r="FV152" s="8">
        <f>IF(FV$56-Voorblad!$F$41&gt;Voorblad!$K$41,0,IF($U152=0,0,IF($U152&lt;1,1/$U152,IF((FV$56-Voorblad!$F$41)/$U152-SUM($EE152:FU152)=1,1,0))))</f>
        <v>0</v>
      </c>
      <c r="FW152" s="8">
        <f>IF(FW$56-Voorblad!$F$41&gt;Voorblad!$K$41,0,IF($U152=0,0,IF($U152&lt;1,1/$U152,IF((FW$56-Voorblad!$F$41)/$U152-SUM($EE152:FV152)=1,1,0))))</f>
        <v>0</v>
      </c>
      <c r="FX152" s="8">
        <f>IF(FX$56-Voorblad!$F$41&gt;Voorblad!$K$41,0,IF($U152=0,0,IF($U152&lt;1,1/$U152,IF((FX$56-Voorblad!$F$41)/$U152-SUM($EE152:FW152)=1,1,0))))</f>
        <v>0</v>
      </c>
      <c r="FY152" s="8">
        <f>IF(FY$56-Voorblad!$F$41&gt;Voorblad!$K$41,0,IF($U152=0,0,IF($U152&lt;1,1/$U152,IF((FY$56-Voorblad!$F$41)/$U152-SUM($EE152:FX152)=1,1,0))))</f>
        <v>0</v>
      </c>
      <c r="FZ152" s="8">
        <f>IF(FZ$56-Voorblad!$F$41&gt;Voorblad!$K$41,0,IF($U152=0,0,IF($U152&lt;1,1/$U152,IF((FZ$56-Voorblad!$F$41)/$U152-SUM($EE152:FY152)=1,1,0))))</f>
        <v>0</v>
      </c>
      <c r="GA152" s="8">
        <f>IF(GA$56-Voorblad!$F$41&gt;Voorblad!$K$41,0,IF($U152=0,0,IF($U152&lt;1,1/$U152,IF((GA$56-Voorblad!$F$41)/$U152-SUM($EE152:FZ152)=1,1,0))))</f>
        <v>0</v>
      </c>
      <c r="GB152" s="8">
        <f>IF(GB$56-Voorblad!$F$41&gt;Voorblad!$K$41,0,IF($U152=0,0,IF($U152&lt;1,1/$U152,IF((GB$56-Voorblad!$F$41)/$U152-SUM($EE152:GA152)=1,1,0))))</f>
        <v>0</v>
      </c>
      <c r="GC152" s="8">
        <f>IF(GC$56-Voorblad!$F$41&gt;Voorblad!$K$41,0,IF($U152=0,0,IF($U152&lt;1,1/$U152,IF((GC$56-Voorblad!$F$41)/$U152-SUM($EE152:GB152)=1,1,0))))</f>
        <v>0</v>
      </c>
      <c r="GD152" s="8">
        <f>IF(GD$56-Voorblad!$F$41&gt;Voorblad!$K$41,0,IF($U152=0,0,IF($U152&lt;1,1/$U152,IF((GD$56-Voorblad!$F$41)/$U152-SUM($EE152:GC152)=1,1,0))))</f>
        <v>0</v>
      </c>
      <c r="GE152" s="8">
        <f>IF(GE$56-Voorblad!$F$41&gt;Voorblad!$K$41,0,IF($U152=0,0,IF($U152&lt;1,1/$U152,IF((GE$56-Voorblad!$F$41)/$U152-SUM($EE152:GD152)=1,1,0))))</f>
        <v>0</v>
      </c>
      <c r="GF152" s="8">
        <f>IF(GF$56-Voorblad!$F$41&gt;Voorblad!$K$41,0,IF($U152=0,0,IF($U152&lt;1,1/$U152,IF((GF$56-Voorblad!$F$41)/$U152-SUM($EE152:GE152)=1,1,0))))</f>
        <v>0</v>
      </c>
      <c r="GG152" s="8">
        <f>IF(GG$56-Voorblad!$F$41&gt;Voorblad!$K$41,0,IF($U152=0,0,IF($U152&lt;1,1/$U152,IF((GG$56-Voorblad!$F$41)/$U152-SUM($EE152:GF152)=1,1,0))))</f>
        <v>0</v>
      </c>
      <c r="GH152" s="8">
        <f>IF(GH$56-Voorblad!$F$41&gt;Voorblad!$K$41,0,IF($U152=0,0,IF($U152&lt;1,1/$U152,IF((GH$56-Voorblad!$F$41)/$U152-SUM($EE152:GG152)=1,1,0))))</f>
        <v>0</v>
      </c>
      <c r="GI152" s="8">
        <f>IF(GI$56-Voorblad!$F$41&gt;Voorblad!$K$41,0,IF($U152=0,0,IF($U152&lt;1,1/$U152,IF((GI$56-Voorblad!$F$41)/$U152-SUM($EE152:GH152)=1,1,0))))</f>
        <v>0</v>
      </c>
      <c r="GJ152" s="8">
        <f>IF(GJ$56-Voorblad!$F$41&gt;Voorblad!$K$41,0,IF($U152=0,0,IF($U152&lt;1,1/$U152,IF((GJ$56-Voorblad!$F$41)/$U152-SUM($EE152:GI152)=1,1,0))))</f>
        <v>0</v>
      </c>
      <c r="GK152" s="8">
        <f>IF(GK$56-Voorblad!$F$41&gt;Voorblad!$K$41,0,IF($U152=0,0,IF($U152&lt;1,1/$U152,IF((GK$56-Voorblad!$F$41)/$U152-SUM($EE152:GJ152)=1,1,0))))</f>
        <v>0</v>
      </c>
      <c r="GL152" s="8">
        <f>IF(GL$56-Voorblad!$F$41&gt;Voorblad!$K$41,0,IF($U152=0,0,IF($U152&lt;1,1/$U152,IF((GL$56-Voorblad!$F$41)/$U152-SUM($EE152:GK152)=1,1,0))))</f>
        <v>0</v>
      </c>
      <c r="GM152" s="8">
        <f>IF(GM$56-Voorblad!$F$41&gt;Voorblad!$K$41,0,IF($U152=0,0,IF($U152&lt;1,1/$U152,IF((GM$56-Voorblad!$F$41)/$U152-SUM($EE152:GL152)=1,1,0))))</f>
        <v>0</v>
      </c>
      <c r="GN152" s="8">
        <f>IF(GN$56-Voorblad!$F$41&gt;Voorblad!$K$41,0,IF($U152=0,0,IF($U152&lt;1,1/$U152,IF((GN$56-Voorblad!$F$41)/$U152-SUM($EE152:GM152)=1,1,0))))</f>
        <v>0</v>
      </c>
      <c r="GO152" s="8">
        <f>IF(GO$56-Voorblad!$F$41&gt;Voorblad!$K$41,0,IF($U152=0,0,IF($U152&lt;1,1/$U152,IF((GO$56-Voorblad!$F$41)/$U152-SUM($EE152:GN152)=1,1,0))))</f>
        <v>0</v>
      </c>
      <c r="GP152" s="8">
        <f>IF(GP$56-Voorblad!$F$41&gt;Voorblad!$K$41,0,IF($U152=0,0,IF($U152&lt;1,1/$U152,IF((GP$56-Voorblad!$F$41)/$U152-SUM($EE152:GO152)=1,1,0))))</f>
        <v>0</v>
      </c>
      <c r="GQ152" s="8">
        <f>IF(GQ$56-Voorblad!$F$41&gt;Voorblad!$K$41,0,IF($U152=0,0,IF($U152&lt;1,1/$U152,IF((GQ$56-Voorblad!$F$41)/$U152-SUM($EE152:GP152)=1,1,0))))</f>
        <v>0</v>
      </c>
      <c r="GR152" s="8">
        <f>IF(GR$56-Voorblad!$F$41&gt;Voorblad!$K$41,0,IF($U152=0,0,IF($U152&lt;1,1/$U152,IF((GR$56-Voorblad!$F$41)/$U152-SUM($EE152:GQ152)=1,1,0))))</f>
        <v>0</v>
      </c>
      <c r="GS152" s="8">
        <f>IF(GS$56-Voorblad!$F$41&gt;Voorblad!$K$41,0,IF($U152=0,0,IF($U152&lt;1,1/$U152,IF((GS$56-Voorblad!$F$41)/$U152-SUM($EE152:GR152)=1,1,0))))</f>
        <v>0</v>
      </c>
      <c r="GT152" s="8">
        <f>IF(GT$56-Voorblad!$F$41&gt;Voorblad!$K$41,0,IF($U152=0,0,IF($U152&lt;1,1/$U152,IF((GT$56-Voorblad!$F$41)/$U152-SUM($EE152:GS152)=1,1,0))))</f>
        <v>0</v>
      </c>
      <c r="GU152" s="8">
        <f>IF(GU$56-Voorblad!$F$41&gt;Voorblad!$K$41,0,IF($U152=0,0,IF($U152&lt;1,1/$U152,IF((GU$56-Voorblad!$F$41)/$U152-SUM($EE152:GT152)=1,1,0))))</f>
        <v>0</v>
      </c>
      <c r="GV152" s="8">
        <f>IF(GV$56-Voorblad!$F$41&gt;Voorblad!$K$41,0,IF($U152=0,0,IF($U152&lt;1,1/$U152,IF((GV$56-Voorblad!$F$41)/$U152-SUM($EE152:GU152)=1,1,0))))</f>
        <v>0</v>
      </c>
      <c r="GW152" s="8">
        <f>IF(GW$56-Voorblad!$F$41&gt;Voorblad!$K$41,0,IF($U152=0,0,IF($U152&lt;1,1/$U152,IF((GW$56-Voorblad!$F$41)/$U152-SUM($EE152:GV152)=1,1,0))))</f>
        <v>0</v>
      </c>
      <c r="GX152" s="8">
        <f>IF(GX$56-Voorblad!$F$41&gt;Voorblad!$K$41,0,IF($U152=0,0,IF($U152&lt;1,1/$U152,IF((GX$56-Voorblad!$F$41)/$U152-SUM($EE152:GW152)=1,1,0))))</f>
        <v>0</v>
      </c>
      <c r="GY152" s="8">
        <f>IF(GY$56-Voorblad!$F$41&gt;Voorblad!$K$41,0,IF($U152=0,0,IF($U152&lt;1,1/$U152,IF((GY$56-Voorblad!$F$41)/$U152-SUM($EE152:GX152)=1,1,0))))</f>
        <v>0</v>
      </c>
      <c r="GZ152" s="8">
        <f>IF(GZ$56-Voorblad!$F$41&gt;Voorblad!$K$41,0,IF($U152=0,0,IF($U152&lt;1,1/$U152,IF((GZ$56-Voorblad!$F$41)/$U152-SUM($EE152:GY152)=1,1,0))))</f>
        <v>0</v>
      </c>
      <c r="HA152" s="8">
        <f>IF(HA$56-Voorblad!$F$41&gt;Voorblad!$K$41,0,IF($U152=0,0,IF($U152&lt;1,1/$U152,IF((HA$56-Voorblad!$F$41)/$U152-SUM($EE152:GZ152)=1,1,0))))</f>
        <v>0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101</v>
      </c>
      <c r="Q153" s="81">
        <v>0</v>
      </c>
      <c r="R153" s="1" t="s">
        <v>33</v>
      </c>
      <c r="S153" s="21">
        <f>7%*T149</f>
        <v>981122.14199999999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0</v>
      </c>
      <c r="FP153" s="8">
        <f>IF(FP$56-Voorblad!$F$41&gt;Voorblad!$K$41,0,IF($U153=0,0,IF($U153&lt;1,1/$U153,IF((FP$56-Voorblad!$F$41)/$U153-SUM($EE153:FO153)=1,1,0))))</f>
        <v>0</v>
      </c>
      <c r="FQ153" s="8">
        <f>IF(FQ$56-Voorblad!$F$41&gt;Voorblad!$K$41,0,IF($U153=0,0,IF($U153&lt;1,1/$U153,IF((FQ$56-Voorblad!$F$41)/$U153-SUM($EE153:FP153)=1,1,0))))</f>
        <v>0</v>
      </c>
      <c r="FR153" s="8">
        <f>IF(FR$56-Voorblad!$F$41&gt;Voorblad!$K$41,0,IF($U153=0,0,IF($U153&lt;1,1/$U153,IF((FR$56-Voorblad!$F$41)/$U153-SUM($EE153:FQ153)=1,1,0))))</f>
        <v>0</v>
      </c>
      <c r="FS153" s="8">
        <f>IF(FS$56-Voorblad!$F$41&gt;Voorblad!$K$41,0,IF($U153=0,0,IF($U153&lt;1,1/$U153,IF((FS$56-Voorblad!$F$41)/$U153-SUM($EE153:FR153)=1,1,0))))</f>
        <v>0</v>
      </c>
      <c r="FT153" s="8">
        <f>IF(FT$56-Voorblad!$F$41&gt;Voorblad!$K$41,0,IF($U153=0,0,IF($U153&lt;1,1/$U153,IF((FT$56-Voorblad!$F$41)/$U153-SUM($EE153:FS153)=1,1,0))))</f>
        <v>0</v>
      </c>
      <c r="FU153" s="8">
        <f>IF(FU$56-Voorblad!$F$41&gt;Voorblad!$K$41,0,IF($U153=0,0,IF($U153&lt;1,1/$U153,IF((FU$56-Voorblad!$F$41)/$U153-SUM($EE153:FT153)=1,1,0))))</f>
        <v>0</v>
      </c>
      <c r="FV153" s="8">
        <f>IF(FV$56-Voorblad!$F$41&gt;Voorblad!$K$41,0,IF($U153=0,0,IF($U153&lt;1,1/$U153,IF((FV$56-Voorblad!$F$41)/$U153-SUM($EE153:FU153)=1,1,0))))</f>
        <v>0</v>
      </c>
      <c r="FW153" s="8">
        <f>IF(FW$56-Voorblad!$F$41&gt;Voorblad!$K$41,0,IF($U153=0,0,IF($U153&lt;1,1/$U153,IF((FW$56-Voorblad!$F$41)/$U153-SUM($EE153:FV153)=1,1,0))))</f>
        <v>0</v>
      </c>
      <c r="FX153" s="8">
        <f>IF(FX$56-Voorblad!$F$41&gt;Voorblad!$K$41,0,IF($U153=0,0,IF($U153&lt;1,1/$U153,IF((FX$56-Voorblad!$F$41)/$U153-SUM($EE153:FW153)=1,1,0))))</f>
        <v>0</v>
      </c>
      <c r="FY153" s="8">
        <f>IF(FY$56-Voorblad!$F$41&gt;Voorblad!$K$41,0,IF($U153=0,0,IF($U153&lt;1,1/$U153,IF((FY$56-Voorblad!$F$41)/$U153-SUM($EE153:FX153)=1,1,0))))</f>
        <v>0</v>
      </c>
      <c r="FZ153" s="8">
        <f>IF(FZ$56-Voorblad!$F$41&gt;Voorblad!$K$41,0,IF($U153=0,0,IF($U153&lt;1,1/$U153,IF((FZ$56-Voorblad!$F$41)/$U153-SUM($EE153:FY153)=1,1,0))))</f>
        <v>0</v>
      </c>
      <c r="GA153" s="8">
        <f>IF(GA$56-Voorblad!$F$41&gt;Voorblad!$K$41,0,IF($U153=0,0,IF($U153&lt;1,1/$U153,IF((GA$56-Voorblad!$F$41)/$U153-SUM($EE153:FZ153)=1,1,0))))</f>
        <v>0</v>
      </c>
      <c r="GB153" s="8">
        <f>IF(GB$56-Voorblad!$F$41&gt;Voorblad!$K$41,0,IF($U153=0,0,IF($U153&lt;1,1/$U153,IF((GB$56-Voorblad!$F$41)/$U153-SUM($EE153:GA153)=1,1,0))))</f>
        <v>0</v>
      </c>
      <c r="GC153" s="8">
        <f>IF(GC$56-Voorblad!$F$41&gt;Voorblad!$K$41,0,IF($U153=0,0,IF($U153&lt;1,1/$U153,IF((GC$56-Voorblad!$F$41)/$U153-SUM($EE153:GB153)=1,1,0))))</f>
        <v>0</v>
      </c>
      <c r="GD153" s="8">
        <f>IF(GD$56-Voorblad!$F$41&gt;Voorblad!$K$41,0,IF($U153=0,0,IF($U153&lt;1,1/$U153,IF((GD$56-Voorblad!$F$41)/$U153-SUM($EE153:GC153)=1,1,0))))</f>
        <v>0</v>
      </c>
      <c r="GE153" s="8">
        <f>IF(GE$56-Voorblad!$F$41&gt;Voorblad!$K$41,0,IF($U153=0,0,IF($U153&lt;1,1/$U153,IF((GE$56-Voorblad!$F$41)/$U153-SUM($EE153:GD153)=1,1,0))))</f>
        <v>0</v>
      </c>
      <c r="GF153" s="8">
        <f>IF(GF$56-Voorblad!$F$41&gt;Voorblad!$K$41,0,IF($U153=0,0,IF($U153&lt;1,1/$U153,IF((GF$56-Voorblad!$F$41)/$U153-SUM($EE153:GE153)=1,1,0))))</f>
        <v>0</v>
      </c>
      <c r="GG153" s="8">
        <f>IF(GG$56-Voorblad!$F$41&gt;Voorblad!$K$41,0,IF($U153=0,0,IF($U153&lt;1,1/$U153,IF((GG$56-Voorblad!$F$41)/$U153-SUM($EE153:GF153)=1,1,0))))</f>
        <v>0</v>
      </c>
      <c r="GH153" s="8">
        <f>IF(GH$56-Voorblad!$F$41&gt;Voorblad!$K$41,0,IF($U153=0,0,IF($U153&lt;1,1/$U153,IF((GH$56-Voorblad!$F$41)/$U153-SUM($EE153:GG153)=1,1,0))))</f>
        <v>0</v>
      </c>
      <c r="GI153" s="8">
        <f>IF(GI$56-Voorblad!$F$41&gt;Voorblad!$K$41,0,IF($U153=0,0,IF($U153&lt;1,1/$U153,IF((GI$56-Voorblad!$F$41)/$U153-SUM($EE153:GH153)=1,1,0))))</f>
        <v>0</v>
      </c>
      <c r="GJ153" s="8">
        <f>IF(GJ$56-Voorblad!$F$41&gt;Voorblad!$K$41,0,IF($U153=0,0,IF($U153&lt;1,1/$U153,IF((GJ$56-Voorblad!$F$41)/$U153-SUM($EE153:GI153)=1,1,0))))</f>
        <v>0</v>
      </c>
      <c r="GK153" s="8">
        <f>IF(GK$56-Voorblad!$F$41&gt;Voorblad!$K$41,0,IF($U153=0,0,IF($U153&lt;1,1/$U153,IF((GK$56-Voorblad!$F$41)/$U153-SUM($EE153:GJ153)=1,1,0))))</f>
        <v>0</v>
      </c>
      <c r="GL153" s="8">
        <f>IF(GL$56-Voorblad!$F$41&gt;Voorblad!$K$41,0,IF($U153=0,0,IF($U153&lt;1,1/$U153,IF((GL$56-Voorblad!$F$41)/$U153-SUM($EE153:GK153)=1,1,0))))</f>
        <v>0</v>
      </c>
      <c r="GM153" s="8">
        <f>IF(GM$56-Voorblad!$F$41&gt;Voorblad!$K$41,0,IF($U153=0,0,IF($U153&lt;1,1/$U153,IF((GM$56-Voorblad!$F$41)/$U153-SUM($EE153:GL153)=1,1,0))))</f>
        <v>0</v>
      </c>
      <c r="GN153" s="8">
        <f>IF(GN$56-Voorblad!$F$41&gt;Voorblad!$K$41,0,IF($U153=0,0,IF($U153&lt;1,1/$U153,IF((GN$56-Voorblad!$F$41)/$U153-SUM($EE153:GM153)=1,1,0))))</f>
        <v>0</v>
      </c>
      <c r="GO153" s="8">
        <f>IF(GO$56-Voorblad!$F$41&gt;Voorblad!$K$41,0,IF($U153=0,0,IF($U153&lt;1,1/$U153,IF((GO$56-Voorblad!$F$41)/$U153-SUM($EE153:GN153)=1,1,0))))</f>
        <v>0</v>
      </c>
      <c r="GP153" s="8">
        <f>IF(GP$56-Voorblad!$F$41&gt;Voorblad!$K$41,0,IF($U153=0,0,IF($U153&lt;1,1/$U153,IF((GP$56-Voorblad!$F$41)/$U153-SUM($EE153:GO153)=1,1,0))))</f>
        <v>0</v>
      </c>
      <c r="GQ153" s="8">
        <f>IF(GQ$56-Voorblad!$F$41&gt;Voorblad!$K$41,0,IF($U153=0,0,IF($U153&lt;1,1/$U153,IF((GQ$56-Voorblad!$F$41)/$U153-SUM($EE153:GP153)=1,1,0))))</f>
        <v>0</v>
      </c>
      <c r="GR153" s="8">
        <f>IF(GR$56-Voorblad!$F$41&gt;Voorblad!$K$41,0,IF($U153=0,0,IF($U153&lt;1,1/$U153,IF((GR$56-Voorblad!$F$41)/$U153-SUM($EE153:GQ153)=1,1,0))))</f>
        <v>0</v>
      </c>
      <c r="GS153" s="8">
        <f>IF(GS$56-Voorblad!$F$41&gt;Voorblad!$K$41,0,IF($U153=0,0,IF($U153&lt;1,1/$U153,IF((GS$56-Voorblad!$F$41)/$U153-SUM($EE153:GR153)=1,1,0))))</f>
        <v>0</v>
      </c>
      <c r="GT153" s="8">
        <f>IF(GT$56-Voorblad!$F$41&gt;Voorblad!$K$41,0,IF($U153=0,0,IF($U153&lt;1,1/$U153,IF((GT$56-Voorblad!$F$41)/$U153-SUM($EE153:GS153)=1,1,0))))</f>
        <v>0</v>
      </c>
      <c r="GU153" s="8">
        <f>IF(GU$56-Voorblad!$F$41&gt;Voorblad!$K$41,0,IF($U153=0,0,IF($U153&lt;1,1/$U153,IF((GU$56-Voorblad!$F$41)/$U153-SUM($EE153:GT153)=1,1,0))))</f>
        <v>0</v>
      </c>
      <c r="GV153" s="8">
        <f>IF(GV$56-Voorblad!$F$41&gt;Voorblad!$K$41,0,IF($U153=0,0,IF($U153&lt;1,1/$U153,IF((GV$56-Voorblad!$F$41)/$U153-SUM($EE153:GU153)=1,1,0))))</f>
        <v>0</v>
      </c>
      <c r="GW153" s="8">
        <f>IF(GW$56-Voorblad!$F$41&gt;Voorblad!$K$41,0,IF($U153=0,0,IF($U153&lt;1,1/$U153,IF((GW$56-Voorblad!$F$41)/$U153-SUM($EE153:GV153)=1,1,0))))</f>
        <v>0</v>
      </c>
      <c r="GX153" s="8">
        <f>IF(GX$56-Voorblad!$F$41&gt;Voorblad!$K$41,0,IF($U153=0,0,IF($U153&lt;1,1/$U153,IF((GX$56-Voorblad!$F$41)/$U153-SUM($EE153:GW153)=1,1,0))))</f>
        <v>0</v>
      </c>
      <c r="GY153" s="8">
        <f>IF(GY$56-Voorblad!$F$41&gt;Voorblad!$K$41,0,IF($U153=0,0,IF($U153&lt;1,1/$U153,IF((GY$56-Voorblad!$F$41)/$U153-SUM($EE153:GX153)=1,1,0))))</f>
        <v>0</v>
      </c>
      <c r="GZ153" s="8">
        <f>IF(GZ$56-Voorblad!$F$41&gt;Voorblad!$K$41,0,IF($U153=0,0,IF($U153&lt;1,1/$U153,IF((GZ$56-Voorblad!$F$41)/$U153-SUM($EE153:GY153)=1,1,0))))</f>
        <v>0</v>
      </c>
      <c r="HA153" s="8">
        <f>IF(HA$56-Voorblad!$F$41&gt;Voorblad!$K$41,0,IF($U153=0,0,IF($U153&lt;1,1/$U153,IF((HA$56-Voorblad!$F$41)/$U153-SUM($EE153:GZ153)=1,1,0))))</f>
        <v>0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274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14016030.599999998</v>
      </c>
      <c r="U154" s="14"/>
      <c r="V154" s="14"/>
      <c r="W154" s="14"/>
      <c r="X154" s="6"/>
      <c r="Y154" s="23">
        <f>SUM(Y149:Y153)</f>
        <v>6053598.5043979269</v>
      </c>
      <c r="Z154" s="24"/>
      <c r="AA154" s="23">
        <f>SUM(AA149:AA153)</f>
        <v>156</v>
      </c>
      <c r="AC154" s="9">
        <f>$Y154*(Voorblad!$K$44*(1+Voorblad!$K$44)^Voorblad!$K$41)/((1+Voorblad!$K$44)^Voorblad!$K$41-1)</f>
        <v>266399.20083155169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280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0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0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0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0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0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0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0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0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281</v>
      </c>
      <c r="K159" s="1" t="s">
        <v>111</v>
      </c>
      <c r="O159" s="1" t="s">
        <v>135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0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0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0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0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281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0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0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0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0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281</v>
      </c>
      <c r="K161" s="1" t="s">
        <v>146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0</v>
      </c>
      <c r="FP161" s="8">
        <f>IF(FP$56-Voorblad!$F$41&gt;Voorblad!$K$41,0,IF($U161=0,0,IF($U161&lt;1,1/$U161,IF((FP$56-Voorblad!$F$41)/$U161-SUM($EE161:FO161)=1,1,0))))</f>
        <v>0</v>
      </c>
      <c r="FQ161" s="8">
        <f>IF(FQ$56-Voorblad!$F$41&gt;Voorblad!$K$41,0,IF($U161=0,0,IF($U161&lt;1,1/$U161,IF((FQ$56-Voorblad!$F$41)/$U161-SUM($EE161:FP161)=1,1,0))))</f>
        <v>0</v>
      </c>
      <c r="FR161" s="8">
        <f>IF(FR$56-Voorblad!$F$41&gt;Voorblad!$K$41,0,IF($U161=0,0,IF($U161&lt;1,1/$U161,IF((FR$56-Voorblad!$F$41)/$U161-SUM($EE161:FQ161)=1,1,0))))</f>
        <v>0</v>
      </c>
      <c r="FS161" s="8">
        <f>IF(FS$56-Voorblad!$F$41&gt;Voorblad!$K$41,0,IF($U161=0,0,IF($U161&lt;1,1/$U161,IF((FS$56-Voorblad!$F$41)/$U161-SUM($EE161:FR161)=1,1,0))))</f>
        <v>0</v>
      </c>
      <c r="FT161" s="8">
        <f>IF(FT$56-Voorblad!$F$41&gt;Voorblad!$K$41,0,IF($U161=0,0,IF($U161&lt;1,1/$U161,IF((FT$56-Voorblad!$F$41)/$U161-SUM($EE161:FS161)=1,1,0))))</f>
        <v>0</v>
      </c>
      <c r="FU161" s="8">
        <f>IF(FU$56-Voorblad!$F$41&gt;Voorblad!$K$41,0,IF($U161=0,0,IF($U161&lt;1,1/$U161,IF((FU$56-Voorblad!$F$41)/$U161-SUM($EE161:FT161)=1,1,0))))</f>
        <v>0</v>
      </c>
      <c r="FV161" s="8">
        <f>IF(FV$56-Voorblad!$F$41&gt;Voorblad!$K$41,0,IF($U161=0,0,IF($U161&lt;1,1/$U161,IF((FV$56-Voorblad!$F$41)/$U161-SUM($EE161:FU161)=1,1,0))))</f>
        <v>0</v>
      </c>
      <c r="FW161" s="8">
        <f>IF(FW$56-Voorblad!$F$41&gt;Voorblad!$K$41,0,IF($U161=0,0,IF($U161&lt;1,1/$U161,IF((FW$56-Voorblad!$F$41)/$U161-SUM($EE161:FV161)=1,1,0))))</f>
        <v>0</v>
      </c>
      <c r="FX161" s="8">
        <f>IF(FX$56-Voorblad!$F$41&gt;Voorblad!$K$41,0,IF($U161=0,0,IF($U161&lt;1,1/$U161,IF((FX$56-Voorblad!$F$41)/$U161-SUM($EE161:FW161)=1,1,0))))</f>
        <v>0</v>
      </c>
      <c r="FY161" s="8">
        <f>IF(FY$56-Voorblad!$F$41&gt;Voorblad!$K$41,0,IF($U161=0,0,IF($U161&lt;1,1/$U161,IF((FY$56-Voorblad!$F$41)/$U161-SUM($EE161:FX161)=1,1,0))))</f>
        <v>0</v>
      </c>
      <c r="FZ161" s="8">
        <f>IF(FZ$56-Voorblad!$F$41&gt;Voorblad!$K$41,0,IF($U161=0,0,IF($U161&lt;1,1/$U161,IF((FZ$56-Voorblad!$F$41)/$U161-SUM($EE161:FY161)=1,1,0))))</f>
        <v>0</v>
      </c>
      <c r="GA161" s="8">
        <f>IF(GA$56-Voorblad!$F$41&gt;Voorblad!$K$41,0,IF($U161=0,0,IF($U161&lt;1,1/$U161,IF((GA$56-Voorblad!$F$41)/$U161-SUM($EE161:FZ161)=1,1,0))))</f>
        <v>0</v>
      </c>
      <c r="GB161" s="8">
        <f>IF(GB$56-Voorblad!$F$41&gt;Voorblad!$K$41,0,IF($U161=0,0,IF($U161&lt;1,1/$U161,IF((GB$56-Voorblad!$F$41)/$U161-SUM($EE161:GA161)=1,1,0))))</f>
        <v>0</v>
      </c>
      <c r="GC161" s="8">
        <f>IF(GC$56-Voorblad!$F$41&gt;Voorblad!$K$41,0,IF($U161=0,0,IF($U161&lt;1,1/$U161,IF((GC$56-Voorblad!$F$41)/$U161-SUM($EE161:GB161)=1,1,0))))</f>
        <v>0</v>
      </c>
      <c r="GD161" s="8">
        <f>IF(GD$56-Voorblad!$F$41&gt;Voorblad!$K$41,0,IF($U161=0,0,IF($U161&lt;1,1/$U161,IF((GD$56-Voorblad!$F$41)/$U161-SUM($EE161:GC161)=1,1,0))))</f>
        <v>0</v>
      </c>
      <c r="GE161" s="8">
        <f>IF(GE$56-Voorblad!$F$41&gt;Voorblad!$K$41,0,IF($U161=0,0,IF($U161&lt;1,1/$U161,IF((GE$56-Voorblad!$F$41)/$U161-SUM($EE161:GD161)=1,1,0))))</f>
        <v>0</v>
      </c>
      <c r="GF161" s="8">
        <f>IF(GF$56-Voorblad!$F$41&gt;Voorblad!$K$41,0,IF($U161=0,0,IF($U161&lt;1,1/$U161,IF((GF$56-Voorblad!$F$41)/$U161-SUM($EE161:GE161)=1,1,0))))</f>
        <v>0</v>
      </c>
      <c r="GG161" s="8">
        <f>IF(GG$56-Voorblad!$F$41&gt;Voorblad!$K$41,0,IF($U161=0,0,IF($U161&lt;1,1/$U161,IF((GG$56-Voorblad!$F$41)/$U161-SUM($EE161:GF161)=1,1,0))))</f>
        <v>0</v>
      </c>
      <c r="GH161" s="8">
        <f>IF(GH$56-Voorblad!$F$41&gt;Voorblad!$K$41,0,IF($U161=0,0,IF($U161&lt;1,1/$U161,IF((GH$56-Voorblad!$F$41)/$U161-SUM($EE161:GG161)=1,1,0))))</f>
        <v>0</v>
      </c>
      <c r="GI161" s="8">
        <f>IF(GI$56-Voorblad!$F$41&gt;Voorblad!$K$41,0,IF($U161=0,0,IF($U161&lt;1,1/$U161,IF((GI$56-Voorblad!$F$41)/$U161-SUM($EE161:GH161)=1,1,0))))</f>
        <v>0</v>
      </c>
      <c r="GJ161" s="8">
        <f>IF(GJ$56-Voorblad!$F$41&gt;Voorblad!$K$41,0,IF($U161=0,0,IF($U161&lt;1,1/$U161,IF((GJ$56-Voorblad!$F$41)/$U161-SUM($EE161:GI161)=1,1,0))))</f>
        <v>0</v>
      </c>
      <c r="GK161" s="8">
        <f>IF(GK$56-Voorblad!$F$41&gt;Voorblad!$K$41,0,IF($U161=0,0,IF($U161&lt;1,1/$U161,IF((GK$56-Voorblad!$F$41)/$U161-SUM($EE161:GJ161)=1,1,0))))</f>
        <v>0</v>
      </c>
      <c r="GL161" s="8">
        <f>IF(GL$56-Voorblad!$F$41&gt;Voorblad!$K$41,0,IF($U161=0,0,IF($U161&lt;1,1/$U161,IF((GL$56-Voorblad!$F$41)/$U161-SUM($EE161:GK161)=1,1,0))))</f>
        <v>0</v>
      </c>
      <c r="GM161" s="8">
        <f>IF(GM$56-Voorblad!$F$41&gt;Voorblad!$K$41,0,IF($U161=0,0,IF($U161&lt;1,1/$U161,IF((GM$56-Voorblad!$F$41)/$U161-SUM($EE161:GL161)=1,1,0))))</f>
        <v>0</v>
      </c>
      <c r="GN161" s="8">
        <f>IF(GN$56-Voorblad!$F$41&gt;Voorblad!$K$41,0,IF($U161=0,0,IF($U161&lt;1,1/$U161,IF((GN$56-Voorblad!$F$41)/$U161-SUM($EE161:GM161)=1,1,0))))</f>
        <v>0</v>
      </c>
      <c r="GO161" s="8">
        <f>IF(GO$56-Voorblad!$F$41&gt;Voorblad!$K$41,0,IF($U161=0,0,IF($U161&lt;1,1/$U161,IF((GO$56-Voorblad!$F$41)/$U161-SUM($EE161:GN161)=1,1,0))))</f>
        <v>0</v>
      </c>
      <c r="GP161" s="8">
        <f>IF(GP$56-Voorblad!$F$41&gt;Voorblad!$K$41,0,IF($U161=0,0,IF($U161&lt;1,1/$U161,IF((GP$56-Voorblad!$F$41)/$U161-SUM($EE161:GO161)=1,1,0))))</f>
        <v>0</v>
      </c>
      <c r="GQ161" s="8">
        <f>IF(GQ$56-Voorblad!$F$41&gt;Voorblad!$K$41,0,IF($U161=0,0,IF($U161&lt;1,1/$U161,IF((GQ$56-Voorblad!$F$41)/$U161-SUM($EE161:GP161)=1,1,0))))</f>
        <v>0</v>
      </c>
      <c r="GR161" s="8">
        <f>IF(GR$56-Voorblad!$F$41&gt;Voorblad!$K$41,0,IF($U161=0,0,IF($U161&lt;1,1/$U161,IF((GR$56-Voorblad!$F$41)/$U161-SUM($EE161:GQ161)=1,1,0))))</f>
        <v>0</v>
      </c>
      <c r="GS161" s="8">
        <f>IF(GS$56-Voorblad!$F$41&gt;Voorblad!$K$41,0,IF($U161=0,0,IF($U161&lt;1,1/$U161,IF((GS$56-Voorblad!$F$41)/$U161-SUM($EE161:GR161)=1,1,0))))</f>
        <v>0</v>
      </c>
      <c r="GT161" s="8">
        <f>IF(GT$56-Voorblad!$F$41&gt;Voorblad!$K$41,0,IF($U161=0,0,IF($U161&lt;1,1/$U161,IF((GT$56-Voorblad!$F$41)/$U161-SUM($EE161:GS161)=1,1,0))))</f>
        <v>0</v>
      </c>
      <c r="GU161" s="8">
        <f>IF(GU$56-Voorblad!$F$41&gt;Voorblad!$K$41,0,IF($U161=0,0,IF($U161&lt;1,1/$U161,IF((GU$56-Voorblad!$F$41)/$U161-SUM($EE161:GT161)=1,1,0))))</f>
        <v>0</v>
      </c>
      <c r="GV161" s="8">
        <f>IF(GV$56-Voorblad!$F$41&gt;Voorblad!$K$41,0,IF($U161=0,0,IF($U161&lt;1,1/$U161,IF((GV$56-Voorblad!$F$41)/$U161-SUM($EE161:GU161)=1,1,0))))</f>
        <v>0</v>
      </c>
      <c r="GW161" s="8">
        <f>IF(GW$56-Voorblad!$F$41&gt;Voorblad!$K$41,0,IF($U161=0,0,IF($U161&lt;1,1/$U161,IF((GW$56-Voorblad!$F$41)/$U161-SUM($EE161:GV161)=1,1,0))))</f>
        <v>0</v>
      </c>
      <c r="GX161" s="8">
        <f>IF(GX$56-Voorblad!$F$41&gt;Voorblad!$K$41,0,IF($U161=0,0,IF($U161&lt;1,1/$U161,IF((GX$56-Voorblad!$F$41)/$U161-SUM($EE161:GW161)=1,1,0))))</f>
        <v>0</v>
      </c>
      <c r="GY161" s="8">
        <f>IF(GY$56-Voorblad!$F$41&gt;Voorblad!$K$41,0,IF($U161=0,0,IF($U161&lt;1,1/$U161,IF((GY$56-Voorblad!$F$41)/$U161-SUM($EE161:GX161)=1,1,0))))</f>
        <v>0</v>
      </c>
      <c r="GZ161" s="8">
        <f>IF(GZ$56-Voorblad!$F$41&gt;Voorblad!$K$41,0,IF($U161=0,0,IF($U161&lt;1,1/$U161,IF((GZ$56-Voorblad!$F$41)/$U161-SUM($EE161:GY161)=1,1,0))))</f>
        <v>0</v>
      </c>
      <c r="HA161" s="8">
        <f>IF(HA$56-Voorblad!$F$41&gt;Voorblad!$K$41,0,IF($U161=0,0,IF($U161&lt;1,1/$U161,IF((HA$56-Voorblad!$F$41)/$U161-SUM($EE161:GZ161)=1,1,0))))</f>
        <v>0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281</v>
      </c>
      <c r="K162" s="1" t="s">
        <v>216</v>
      </c>
      <c r="P162" s="1" t="s">
        <v>185</v>
      </c>
      <c r="Q162" s="83">
        <v>0</v>
      </c>
      <c r="R162" s="147" t="s">
        <v>197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0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0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0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0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281</v>
      </c>
      <c r="K163" s="14" t="s">
        <v>163</v>
      </c>
      <c r="O163" s="14" t="s">
        <v>159</v>
      </c>
      <c r="P163" s="14" t="s">
        <v>200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0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0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281</v>
      </c>
      <c r="K164" s="14" t="s">
        <v>198</v>
      </c>
      <c r="L164" s="14"/>
      <c r="M164" s="14"/>
      <c r="O164" s="1" t="s">
        <v>172</v>
      </c>
      <c r="P164" s="1" t="s">
        <v>175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0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0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281</v>
      </c>
      <c r="K165" s="14" t="s">
        <v>199</v>
      </c>
      <c r="L165" s="14"/>
      <c r="M165" s="14"/>
      <c r="O165" s="1" t="s">
        <v>173</v>
      </c>
      <c r="P165" s="1" t="s">
        <v>176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0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0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281</v>
      </c>
      <c r="K166" s="14" t="s">
        <v>212</v>
      </c>
      <c r="L166" s="14"/>
      <c r="M166" s="14"/>
      <c r="O166" s="1" t="s">
        <v>173</v>
      </c>
      <c r="P166" s="1" t="s">
        <v>176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0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0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281</v>
      </c>
      <c r="K167" s="14" t="s">
        <v>190</v>
      </c>
      <c r="L167" s="14"/>
      <c r="M167" s="14"/>
      <c r="O167" s="1" t="s">
        <v>174</v>
      </c>
      <c r="P167" s="1" t="s">
        <v>177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0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0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281</v>
      </c>
      <c r="K168" s="14" t="s">
        <v>206</v>
      </c>
      <c r="L168" s="14"/>
      <c r="M168" s="14"/>
      <c r="O168" s="1" t="s">
        <v>179</v>
      </c>
      <c r="P168" s="1" t="s">
        <v>181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0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0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281</v>
      </c>
      <c r="K169" s="14" t="s">
        <v>202</v>
      </c>
      <c r="L169" s="14"/>
      <c r="M169" s="14"/>
      <c r="O169" s="1" t="s">
        <v>179</v>
      </c>
      <c r="P169" s="1" t="s">
        <v>182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0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0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281</v>
      </c>
      <c r="K170" s="14" t="s">
        <v>201</v>
      </c>
      <c r="L170" s="14"/>
      <c r="M170" s="14"/>
      <c r="O170" s="1" t="s">
        <v>179</v>
      </c>
      <c r="P170" s="1" t="s">
        <v>183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0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0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281</v>
      </c>
      <c r="K171" s="14" t="s">
        <v>208</v>
      </c>
      <c r="L171" s="14"/>
      <c r="M171" s="14"/>
      <c r="O171" s="1" t="s">
        <v>179</v>
      </c>
      <c r="P171" s="1" t="s">
        <v>184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0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0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272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194</v>
      </c>
      <c r="K174" s="14" t="s">
        <v>214</v>
      </c>
      <c r="O174" s="1" t="s">
        <v>188</v>
      </c>
      <c r="P174" s="1" t="s">
        <v>181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0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194</v>
      </c>
      <c r="K175" s="1" t="s">
        <v>210</v>
      </c>
      <c r="O175" s="1" t="s">
        <v>188</v>
      </c>
      <c r="P175" s="1" t="s">
        <v>182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0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194</v>
      </c>
      <c r="K176" s="14" t="s">
        <v>211</v>
      </c>
      <c r="O176" s="1" t="s">
        <v>188</v>
      </c>
      <c r="P176" s="1" t="s">
        <v>183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0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194</v>
      </c>
      <c r="K177" s="14" t="s">
        <v>209</v>
      </c>
      <c r="O177" s="1" t="s">
        <v>188</v>
      </c>
      <c r="P177" s="1" t="s">
        <v>184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0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185</v>
      </c>
      <c r="Q178" s="83">
        <v>0</v>
      </c>
      <c r="R178" s="147" t="s">
        <v>197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0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162</v>
      </c>
      <c r="O179" s="14" t="s">
        <v>215</v>
      </c>
      <c r="P179" s="14" t="s">
        <v>218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0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205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0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217</v>
      </c>
      <c r="P181" s="14" t="s">
        <v>195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0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164</v>
      </c>
      <c r="P182" s="14" t="s">
        <v>195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0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193</v>
      </c>
      <c r="P183" s="14" t="s">
        <v>195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0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196</v>
      </c>
      <c r="Q184" s="81">
        <v>0</v>
      </c>
      <c r="R184" s="147" t="s">
        <v>197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0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273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108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2062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0</v>
      </c>
      <c r="FP187" s="8">
        <f>IF(FP$56-Voorblad!$F$41&gt;Voorblad!$K$41,0,IF($U187=0,0,IF($U187&lt;1,1/$U187,IF((FP$56-Voorblad!$F$41)/$U187-SUM($EE187:FO187)=1,1,0))))</f>
        <v>0</v>
      </c>
      <c r="FQ187" s="8">
        <f>IF(FQ$56-Voorblad!$F$41&gt;Voorblad!$K$41,0,IF($U187=0,0,IF($U187&lt;1,1/$U187,IF((FQ$56-Voorblad!$F$41)/$U187-SUM($EE187:FP187)=1,1,0))))</f>
        <v>0</v>
      </c>
      <c r="FR187" s="8">
        <f>IF(FR$56-Voorblad!$F$41&gt;Voorblad!$K$41,0,IF($U187=0,0,IF($U187&lt;1,1/$U187,IF((FR$56-Voorblad!$F$41)/$U187-SUM($EE187:FQ187)=1,1,0))))</f>
        <v>0</v>
      </c>
      <c r="FS187" s="8">
        <f>IF(FS$56-Voorblad!$F$41&gt;Voorblad!$K$41,0,IF($U187=0,0,IF($U187&lt;1,1/$U187,IF((FS$56-Voorblad!$F$41)/$U187-SUM($EE187:FR187)=1,1,0))))</f>
        <v>0</v>
      </c>
      <c r="FT187" s="8">
        <f>IF(FT$56-Voorblad!$F$41&gt;Voorblad!$K$41,0,IF($U187=0,0,IF($U187&lt;1,1/$U187,IF((FT$56-Voorblad!$F$41)/$U187-SUM($EE187:FS187)=1,1,0))))</f>
        <v>0</v>
      </c>
      <c r="FU187" s="8">
        <f>IF(FU$56-Voorblad!$F$41&gt;Voorblad!$K$41,0,IF($U187=0,0,IF($U187&lt;1,1/$U187,IF((FU$56-Voorblad!$F$41)/$U187-SUM($EE187:FT187)=1,1,0))))</f>
        <v>0</v>
      </c>
      <c r="FV187" s="8">
        <f>IF(FV$56-Voorblad!$F$41&gt;Voorblad!$K$41,0,IF($U187=0,0,IF($U187&lt;1,1/$U187,IF((FV$56-Voorblad!$F$41)/$U187-SUM($EE187:FU187)=1,1,0))))</f>
        <v>0</v>
      </c>
      <c r="FW187" s="8">
        <f>IF(FW$56-Voorblad!$F$41&gt;Voorblad!$K$41,0,IF($U187=0,0,IF($U187&lt;1,1/$U187,IF((FW$56-Voorblad!$F$41)/$U187-SUM($EE187:FV187)=1,1,0))))</f>
        <v>0</v>
      </c>
      <c r="FX187" s="8">
        <f>IF(FX$56-Voorblad!$F$41&gt;Voorblad!$K$41,0,IF($U187=0,0,IF($U187&lt;1,1/$U187,IF((FX$56-Voorblad!$F$41)/$U187-SUM($EE187:FW187)=1,1,0))))</f>
        <v>0</v>
      </c>
      <c r="FY187" s="8">
        <f>IF(FY$56-Voorblad!$F$41&gt;Voorblad!$K$41,0,IF($U187=0,0,IF($U187&lt;1,1/$U187,IF((FY$56-Voorblad!$F$41)/$U187-SUM($EE187:FX187)=1,1,0))))</f>
        <v>0</v>
      </c>
      <c r="FZ187" s="8">
        <f>IF(FZ$56-Voorblad!$F$41&gt;Voorblad!$K$41,0,IF($U187=0,0,IF($U187&lt;1,1/$U187,IF((FZ$56-Voorblad!$F$41)/$U187-SUM($EE187:FY187)=1,1,0))))</f>
        <v>0</v>
      </c>
      <c r="GA187" s="8">
        <f>IF(GA$56-Voorblad!$F$41&gt;Voorblad!$K$41,0,IF($U187=0,0,IF($U187&lt;1,1/$U187,IF((GA$56-Voorblad!$F$41)/$U187-SUM($EE187:FZ187)=1,1,0))))</f>
        <v>0</v>
      </c>
      <c r="GB187" s="8">
        <f>IF(GB$56-Voorblad!$F$41&gt;Voorblad!$K$41,0,IF($U187=0,0,IF($U187&lt;1,1/$U187,IF((GB$56-Voorblad!$F$41)/$U187-SUM($EE187:GA187)=1,1,0))))</f>
        <v>0</v>
      </c>
      <c r="GC187" s="8">
        <f>IF(GC$56-Voorblad!$F$41&gt;Voorblad!$K$41,0,IF($U187=0,0,IF($U187&lt;1,1/$U187,IF((GC$56-Voorblad!$F$41)/$U187-SUM($EE187:GB187)=1,1,0))))</f>
        <v>0</v>
      </c>
      <c r="GD187" s="8">
        <f>IF(GD$56-Voorblad!$F$41&gt;Voorblad!$K$41,0,IF($U187=0,0,IF($U187&lt;1,1/$U187,IF((GD$56-Voorblad!$F$41)/$U187-SUM($EE187:GC187)=1,1,0))))</f>
        <v>0</v>
      </c>
      <c r="GE187" s="8">
        <f>IF(GE$56-Voorblad!$F$41&gt;Voorblad!$K$41,0,IF($U187=0,0,IF($U187&lt;1,1/$U187,IF((GE$56-Voorblad!$F$41)/$U187-SUM($EE187:GD187)=1,1,0))))</f>
        <v>0</v>
      </c>
      <c r="GF187" s="8">
        <f>IF(GF$56-Voorblad!$F$41&gt;Voorblad!$K$41,0,IF($U187=0,0,IF($U187&lt;1,1/$U187,IF((GF$56-Voorblad!$F$41)/$U187-SUM($EE187:GE187)=1,1,0))))</f>
        <v>0</v>
      </c>
      <c r="GG187" s="8">
        <f>IF(GG$56-Voorblad!$F$41&gt;Voorblad!$K$41,0,IF($U187=0,0,IF($U187&lt;1,1/$U187,IF((GG$56-Voorblad!$F$41)/$U187-SUM($EE187:GF187)=1,1,0))))</f>
        <v>0</v>
      </c>
      <c r="GH187" s="8">
        <f>IF(GH$56-Voorblad!$F$41&gt;Voorblad!$K$41,0,IF($U187=0,0,IF($U187&lt;1,1/$U187,IF((GH$56-Voorblad!$F$41)/$U187-SUM($EE187:GG187)=1,1,0))))</f>
        <v>0</v>
      </c>
      <c r="GI187" s="8">
        <f>IF(GI$56-Voorblad!$F$41&gt;Voorblad!$K$41,0,IF($U187=0,0,IF($U187&lt;1,1/$U187,IF((GI$56-Voorblad!$F$41)/$U187-SUM($EE187:GH187)=1,1,0))))</f>
        <v>0</v>
      </c>
      <c r="GJ187" s="8">
        <f>IF(GJ$56-Voorblad!$F$41&gt;Voorblad!$K$41,0,IF($U187=0,0,IF($U187&lt;1,1/$U187,IF((GJ$56-Voorblad!$F$41)/$U187-SUM($EE187:GI187)=1,1,0))))</f>
        <v>0</v>
      </c>
      <c r="GK187" s="8">
        <f>IF(GK$56-Voorblad!$F$41&gt;Voorblad!$K$41,0,IF($U187=0,0,IF($U187&lt;1,1/$U187,IF((GK$56-Voorblad!$F$41)/$U187-SUM($EE187:GJ187)=1,1,0))))</f>
        <v>0</v>
      </c>
      <c r="GL187" s="8">
        <f>IF(GL$56-Voorblad!$F$41&gt;Voorblad!$K$41,0,IF($U187=0,0,IF($U187&lt;1,1/$U187,IF((GL$56-Voorblad!$F$41)/$U187-SUM($EE187:GK187)=1,1,0))))</f>
        <v>0</v>
      </c>
      <c r="GM187" s="8">
        <f>IF(GM$56-Voorblad!$F$41&gt;Voorblad!$K$41,0,IF($U187=0,0,IF($U187&lt;1,1/$U187,IF((GM$56-Voorblad!$F$41)/$U187-SUM($EE187:GL187)=1,1,0))))</f>
        <v>0</v>
      </c>
      <c r="GN187" s="8">
        <f>IF(GN$56-Voorblad!$F$41&gt;Voorblad!$K$41,0,IF($U187=0,0,IF($U187&lt;1,1/$U187,IF((GN$56-Voorblad!$F$41)/$U187-SUM($EE187:GM187)=1,1,0))))</f>
        <v>0</v>
      </c>
      <c r="GO187" s="8">
        <f>IF(GO$56-Voorblad!$F$41&gt;Voorblad!$K$41,0,IF($U187=0,0,IF($U187&lt;1,1/$U187,IF((GO$56-Voorblad!$F$41)/$U187-SUM($EE187:GN187)=1,1,0))))</f>
        <v>0</v>
      </c>
      <c r="GP187" s="8">
        <f>IF(GP$56-Voorblad!$F$41&gt;Voorblad!$K$41,0,IF($U187=0,0,IF($U187&lt;1,1/$U187,IF((GP$56-Voorblad!$F$41)/$U187-SUM($EE187:GO187)=1,1,0))))</f>
        <v>0</v>
      </c>
      <c r="GQ187" s="8">
        <f>IF(GQ$56-Voorblad!$F$41&gt;Voorblad!$K$41,0,IF($U187=0,0,IF($U187&lt;1,1/$U187,IF((GQ$56-Voorblad!$F$41)/$U187-SUM($EE187:GP187)=1,1,0))))</f>
        <v>0</v>
      </c>
      <c r="GR187" s="8">
        <f>IF(GR$56-Voorblad!$F$41&gt;Voorblad!$K$41,0,IF($U187=0,0,IF($U187&lt;1,1/$U187,IF((GR$56-Voorblad!$F$41)/$U187-SUM($EE187:GQ187)=1,1,0))))</f>
        <v>0</v>
      </c>
      <c r="GS187" s="8">
        <f>IF(GS$56-Voorblad!$F$41&gt;Voorblad!$K$41,0,IF($U187=0,0,IF($U187&lt;1,1/$U187,IF((GS$56-Voorblad!$F$41)/$U187-SUM($EE187:GR187)=1,1,0))))</f>
        <v>0</v>
      </c>
      <c r="GT187" s="8">
        <f>IF(GT$56-Voorblad!$F$41&gt;Voorblad!$K$41,0,IF($U187=0,0,IF($U187&lt;1,1/$U187,IF((GT$56-Voorblad!$F$41)/$U187-SUM($EE187:GS187)=1,1,0))))</f>
        <v>0</v>
      </c>
      <c r="GU187" s="8">
        <f>IF(GU$56-Voorblad!$F$41&gt;Voorblad!$K$41,0,IF($U187=0,0,IF($U187&lt;1,1/$U187,IF((GU$56-Voorblad!$F$41)/$U187-SUM($EE187:GT187)=1,1,0))))</f>
        <v>0</v>
      </c>
      <c r="GV187" s="8">
        <f>IF(GV$56-Voorblad!$F$41&gt;Voorblad!$K$41,0,IF($U187=0,0,IF($U187&lt;1,1/$U187,IF((GV$56-Voorblad!$F$41)/$U187-SUM($EE187:GU187)=1,1,0))))</f>
        <v>0</v>
      </c>
      <c r="GW187" s="8">
        <f>IF(GW$56-Voorblad!$F$41&gt;Voorblad!$K$41,0,IF($U187=0,0,IF($U187&lt;1,1/$U187,IF((GW$56-Voorblad!$F$41)/$U187-SUM($EE187:GV187)=1,1,0))))</f>
        <v>0</v>
      </c>
      <c r="GX187" s="8">
        <f>IF(GX$56-Voorblad!$F$41&gt;Voorblad!$K$41,0,IF($U187=0,0,IF($U187&lt;1,1/$U187,IF((GX$56-Voorblad!$F$41)/$U187-SUM($EE187:GW187)=1,1,0))))</f>
        <v>0</v>
      </c>
      <c r="GY187" s="8">
        <f>IF(GY$56-Voorblad!$F$41&gt;Voorblad!$K$41,0,IF($U187=0,0,IF($U187&lt;1,1/$U187,IF((GY$56-Voorblad!$F$41)/$U187-SUM($EE187:GX187)=1,1,0))))</f>
        <v>0</v>
      </c>
      <c r="GZ187" s="8">
        <f>IF(GZ$56-Voorblad!$F$41&gt;Voorblad!$K$41,0,IF($U187=0,0,IF($U187&lt;1,1/$U187,IF((GZ$56-Voorblad!$F$41)/$U187-SUM($EE187:GY187)=1,1,0))))</f>
        <v>0</v>
      </c>
      <c r="HA187" s="8">
        <f>IF(HA$56-Voorblad!$F$41&gt;Voorblad!$K$41,0,IF($U187=0,0,IF($U187&lt;1,1/$U187,IF((HA$56-Voorblad!$F$41)/$U187-SUM($EE187:GZ187)=1,1,0))))</f>
        <v>0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99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0</v>
      </c>
      <c r="FP188" s="8">
        <f>IF(FP$56-Voorblad!$F$41&gt;Voorblad!$K$41,0,IF($U188=0,0,IF($U188&lt;1,1/$U188,IF((FP$56-Voorblad!$F$41)/$U188-SUM($EE188:FO188)=1,1,0))))</f>
        <v>0</v>
      </c>
      <c r="FQ188" s="8">
        <f>IF(FQ$56-Voorblad!$F$41&gt;Voorblad!$K$41,0,IF($U188=0,0,IF($U188&lt;1,1/$U188,IF((FQ$56-Voorblad!$F$41)/$U188-SUM($EE188:FP188)=1,1,0))))</f>
        <v>0</v>
      </c>
      <c r="FR188" s="8">
        <f>IF(FR$56-Voorblad!$F$41&gt;Voorblad!$K$41,0,IF($U188=0,0,IF($U188&lt;1,1/$U188,IF((FR$56-Voorblad!$F$41)/$U188-SUM($EE188:FQ188)=1,1,0))))</f>
        <v>0</v>
      </c>
      <c r="FS188" s="8">
        <f>IF(FS$56-Voorblad!$F$41&gt;Voorblad!$K$41,0,IF($U188=0,0,IF($U188&lt;1,1/$U188,IF((FS$56-Voorblad!$F$41)/$U188-SUM($EE188:FR188)=1,1,0))))</f>
        <v>0</v>
      </c>
      <c r="FT188" s="8">
        <f>IF(FT$56-Voorblad!$F$41&gt;Voorblad!$K$41,0,IF($U188=0,0,IF($U188&lt;1,1/$U188,IF((FT$56-Voorblad!$F$41)/$U188-SUM($EE188:FS188)=1,1,0))))</f>
        <v>0</v>
      </c>
      <c r="FU188" s="8">
        <f>IF(FU$56-Voorblad!$F$41&gt;Voorblad!$K$41,0,IF($U188=0,0,IF($U188&lt;1,1/$U188,IF((FU$56-Voorblad!$F$41)/$U188-SUM($EE188:FT188)=1,1,0))))</f>
        <v>0</v>
      </c>
      <c r="FV188" s="8">
        <f>IF(FV$56-Voorblad!$F$41&gt;Voorblad!$K$41,0,IF($U188=0,0,IF($U188&lt;1,1/$U188,IF((FV$56-Voorblad!$F$41)/$U188-SUM($EE188:FU188)=1,1,0))))</f>
        <v>0</v>
      </c>
      <c r="FW188" s="8">
        <f>IF(FW$56-Voorblad!$F$41&gt;Voorblad!$K$41,0,IF($U188=0,0,IF($U188&lt;1,1/$U188,IF((FW$56-Voorblad!$F$41)/$U188-SUM($EE188:FV188)=1,1,0))))</f>
        <v>0</v>
      </c>
      <c r="FX188" s="8">
        <f>IF(FX$56-Voorblad!$F$41&gt;Voorblad!$K$41,0,IF($U188=0,0,IF($U188&lt;1,1/$U188,IF((FX$56-Voorblad!$F$41)/$U188-SUM($EE188:FW188)=1,1,0))))</f>
        <v>0</v>
      </c>
      <c r="FY188" s="8">
        <f>IF(FY$56-Voorblad!$F$41&gt;Voorblad!$K$41,0,IF($U188=0,0,IF($U188&lt;1,1/$U188,IF((FY$56-Voorblad!$F$41)/$U188-SUM($EE188:FX188)=1,1,0))))</f>
        <v>0</v>
      </c>
      <c r="FZ188" s="8">
        <f>IF(FZ$56-Voorblad!$F$41&gt;Voorblad!$K$41,0,IF($U188=0,0,IF($U188&lt;1,1/$U188,IF((FZ$56-Voorblad!$F$41)/$U188-SUM($EE188:FY188)=1,1,0))))</f>
        <v>0</v>
      </c>
      <c r="GA188" s="8">
        <f>IF(GA$56-Voorblad!$F$41&gt;Voorblad!$K$41,0,IF($U188=0,0,IF($U188&lt;1,1/$U188,IF((GA$56-Voorblad!$F$41)/$U188-SUM($EE188:FZ188)=1,1,0))))</f>
        <v>0</v>
      </c>
      <c r="GB188" s="8">
        <f>IF(GB$56-Voorblad!$F$41&gt;Voorblad!$K$41,0,IF($U188=0,0,IF($U188&lt;1,1/$U188,IF((GB$56-Voorblad!$F$41)/$U188-SUM($EE188:GA188)=1,1,0))))</f>
        <v>0</v>
      </c>
      <c r="GC188" s="8">
        <f>IF(GC$56-Voorblad!$F$41&gt;Voorblad!$K$41,0,IF($U188=0,0,IF($U188&lt;1,1/$U188,IF((GC$56-Voorblad!$F$41)/$U188-SUM($EE188:GB188)=1,1,0))))</f>
        <v>0</v>
      </c>
      <c r="GD188" s="8">
        <f>IF(GD$56-Voorblad!$F$41&gt;Voorblad!$K$41,0,IF($U188=0,0,IF($U188&lt;1,1/$U188,IF((GD$56-Voorblad!$F$41)/$U188-SUM($EE188:GC188)=1,1,0))))</f>
        <v>0</v>
      </c>
      <c r="GE188" s="8">
        <f>IF(GE$56-Voorblad!$F$41&gt;Voorblad!$K$41,0,IF($U188=0,0,IF($U188&lt;1,1/$U188,IF((GE$56-Voorblad!$F$41)/$U188-SUM($EE188:GD188)=1,1,0))))</f>
        <v>0</v>
      </c>
      <c r="GF188" s="8">
        <f>IF(GF$56-Voorblad!$F$41&gt;Voorblad!$K$41,0,IF($U188=0,0,IF($U188&lt;1,1/$U188,IF((GF$56-Voorblad!$F$41)/$U188-SUM($EE188:GE188)=1,1,0))))</f>
        <v>0</v>
      </c>
      <c r="GG188" s="8">
        <f>IF(GG$56-Voorblad!$F$41&gt;Voorblad!$K$41,0,IF($U188=0,0,IF($U188&lt;1,1/$U188,IF((GG$56-Voorblad!$F$41)/$U188-SUM($EE188:GF188)=1,1,0))))</f>
        <v>0</v>
      </c>
      <c r="GH188" s="8">
        <f>IF(GH$56-Voorblad!$F$41&gt;Voorblad!$K$41,0,IF($U188=0,0,IF($U188&lt;1,1/$U188,IF((GH$56-Voorblad!$F$41)/$U188-SUM($EE188:GG188)=1,1,0))))</f>
        <v>0</v>
      </c>
      <c r="GI188" s="8">
        <f>IF(GI$56-Voorblad!$F$41&gt;Voorblad!$K$41,0,IF($U188=0,0,IF($U188&lt;1,1/$U188,IF((GI$56-Voorblad!$F$41)/$U188-SUM($EE188:GH188)=1,1,0))))</f>
        <v>0</v>
      </c>
      <c r="GJ188" s="8">
        <f>IF(GJ$56-Voorblad!$F$41&gt;Voorblad!$K$41,0,IF($U188=0,0,IF($U188&lt;1,1/$U188,IF((GJ$56-Voorblad!$F$41)/$U188-SUM($EE188:GI188)=1,1,0))))</f>
        <v>0</v>
      </c>
      <c r="GK188" s="8">
        <f>IF(GK$56-Voorblad!$F$41&gt;Voorblad!$K$41,0,IF($U188=0,0,IF($U188&lt;1,1/$U188,IF((GK$56-Voorblad!$F$41)/$U188-SUM($EE188:GJ188)=1,1,0))))</f>
        <v>0</v>
      </c>
      <c r="GL188" s="8">
        <f>IF(GL$56-Voorblad!$F$41&gt;Voorblad!$K$41,0,IF($U188=0,0,IF($U188&lt;1,1/$U188,IF((GL$56-Voorblad!$F$41)/$U188-SUM($EE188:GK188)=1,1,0))))</f>
        <v>0</v>
      </c>
      <c r="GM188" s="8">
        <f>IF(GM$56-Voorblad!$F$41&gt;Voorblad!$K$41,0,IF($U188=0,0,IF($U188&lt;1,1/$U188,IF((GM$56-Voorblad!$F$41)/$U188-SUM($EE188:GL188)=1,1,0))))</f>
        <v>0</v>
      </c>
      <c r="GN188" s="8">
        <f>IF(GN$56-Voorblad!$F$41&gt;Voorblad!$K$41,0,IF($U188=0,0,IF($U188&lt;1,1/$U188,IF((GN$56-Voorblad!$F$41)/$U188-SUM($EE188:GM188)=1,1,0))))</f>
        <v>0</v>
      </c>
      <c r="GO188" s="8">
        <f>IF(GO$56-Voorblad!$F$41&gt;Voorblad!$K$41,0,IF($U188=0,0,IF($U188&lt;1,1/$U188,IF((GO$56-Voorblad!$F$41)/$U188-SUM($EE188:GN188)=1,1,0))))</f>
        <v>0</v>
      </c>
      <c r="GP188" s="8">
        <f>IF(GP$56-Voorblad!$F$41&gt;Voorblad!$K$41,0,IF($U188=0,0,IF($U188&lt;1,1/$U188,IF((GP$56-Voorblad!$F$41)/$U188-SUM($EE188:GO188)=1,1,0))))</f>
        <v>0</v>
      </c>
      <c r="GQ188" s="8">
        <f>IF(GQ$56-Voorblad!$F$41&gt;Voorblad!$K$41,0,IF($U188=0,0,IF($U188&lt;1,1/$U188,IF((GQ$56-Voorblad!$F$41)/$U188-SUM($EE188:GP188)=1,1,0))))</f>
        <v>0</v>
      </c>
      <c r="GR188" s="8">
        <f>IF(GR$56-Voorblad!$F$41&gt;Voorblad!$K$41,0,IF($U188=0,0,IF($U188&lt;1,1/$U188,IF((GR$56-Voorblad!$F$41)/$U188-SUM($EE188:GQ188)=1,1,0))))</f>
        <v>0</v>
      </c>
      <c r="GS188" s="8">
        <f>IF(GS$56-Voorblad!$F$41&gt;Voorblad!$K$41,0,IF($U188=0,0,IF($U188&lt;1,1/$U188,IF((GS$56-Voorblad!$F$41)/$U188-SUM($EE188:GR188)=1,1,0))))</f>
        <v>0</v>
      </c>
      <c r="GT188" s="8">
        <f>IF(GT$56-Voorblad!$F$41&gt;Voorblad!$K$41,0,IF($U188=0,0,IF($U188&lt;1,1/$U188,IF((GT$56-Voorblad!$F$41)/$U188-SUM($EE188:GS188)=1,1,0))))</f>
        <v>0</v>
      </c>
      <c r="GU188" s="8">
        <f>IF(GU$56-Voorblad!$F$41&gt;Voorblad!$K$41,0,IF($U188=0,0,IF($U188&lt;1,1/$U188,IF((GU$56-Voorblad!$F$41)/$U188-SUM($EE188:GT188)=1,1,0))))</f>
        <v>0</v>
      </c>
      <c r="GV188" s="8">
        <f>IF(GV$56-Voorblad!$F$41&gt;Voorblad!$K$41,0,IF($U188=0,0,IF($U188&lt;1,1/$U188,IF((GV$56-Voorblad!$F$41)/$U188-SUM($EE188:GU188)=1,1,0))))</f>
        <v>0</v>
      </c>
      <c r="GW188" s="8">
        <f>IF(GW$56-Voorblad!$F$41&gt;Voorblad!$K$41,0,IF($U188=0,0,IF($U188&lt;1,1/$U188,IF((GW$56-Voorblad!$F$41)/$U188-SUM($EE188:GV188)=1,1,0))))</f>
        <v>0</v>
      </c>
      <c r="GX188" s="8">
        <f>IF(GX$56-Voorblad!$F$41&gt;Voorblad!$K$41,0,IF($U188=0,0,IF($U188&lt;1,1/$U188,IF((GX$56-Voorblad!$F$41)/$U188-SUM($EE188:GW188)=1,1,0))))</f>
        <v>0</v>
      </c>
      <c r="GY188" s="8">
        <f>IF(GY$56-Voorblad!$F$41&gt;Voorblad!$K$41,0,IF($U188=0,0,IF($U188&lt;1,1/$U188,IF((GY$56-Voorblad!$F$41)/$U188-SUM($EE188:GX188)=1,1,0))))</f>
        <v>0</v>
      </c>
      <c r="GZ188" s="8">
        <f>IF(GZ$56-Voorblad!$F$41&gt;Voorblad!$K$41,0,IF($U188=0,0,IF($U188&lt;1,1/$U188,IF((GZ$56-Voorblad!$F$41)/$U188-SUM($EE188:GY188)=1,1,0))))</f>
        <v>0</v>
      </c>
      <c r="HA188" s="8">
        <f>IF(HA$56-Voorblad!$F$41&gt;Voorblad!$K$41,0,IF($U188=0,0,IF($U188&lt;1,1/$U188,IF((HA$56-Voorblad!$F$41)/$U188-SUM($EE188:GZ188)=1,1,0))))</f>
        <v>0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100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0</v>
      </c>
      <c r="FP189" s="8">
        <f>IF(FP$56-Voorblad!$F$41&gt;Voorblad!$K$41,0,IF($U189=0,0,IF($U189&lt;1,1/$U189,IF((FP$56-Voorblad!$F$41)/$U189-SUM($EE189:FO189)=1,1,0))))</f>
        <v>0</v>
      </c>
      <c r="FQ189" s="8">
        <f>IF(FQ$56-Voorblad!$F$41&gt;Voorblad!$K$41,0,IF($U189=0,0,IF($U189&lt;1,1/$U189,IF((FQ$56-Voorblad!$F$41)/$U189-SUM($EE189:FP189)=1,1,0))))</f>
        <v>0</v>
      </c>
      <c r="FR189" s="8">
        <f>IF(FR$56-Voorblad!$F$41&gt;Voorblad!$K$41,0,IF($U189=0,0,IF($U189&lt;1,1/$U189,IF((FR$56-Voorblad!$F$41)/$U189-SUM($EE189:FQ189)=1,1,0))))</f>
        <v>0</v>
      </c>
      <c r="FS189" s="8">
        <f>IF(FS$56-Voorblad!$F$41&gt;Voorblad!$K$41,0,IF($U189=0,0,IF($U189&lt;1,1/$U189,IF((FS$56-Voorblad!$F$41)/$U189-SUM($EE189:FR189)=1,1,0))))</f>
        <v>0</v>
      </c>
      <c r="FT189" s="8">
        <f>IF(FT$56-Voorblad!$F$41&gt;Voorblad!$K$41,0,IF($U189=0,0,IF($U189&lt;1,1/$U189,IF((FT$56-Voorblad!$F$41)/$U189-SUM($EE189:FS189)=1,1,0))))</f>
        <v>0</v>
      </c>
      <c r="FU189" s="8">
        <f>IF(FU$56-Voorblad!$F$41&gt;Voorblad!$K$41,0,IF($U189=0,0,IF($U189&lt;1,1/$U189,IF((FU$56-Voorblad!$F$41)/$U189-SUM($EE189:FT189)=1,1,0))))</f>
        <v>0</v>
      </c>
      <c r="FV189" s="8">
        <f>IF(FV$56-Voorblad!$F$41&gt;Voorblad!$K$41,0,IF($U189=0,0,IF($U189&lt;1,1/$U189,IF((FV$56-Voorblad!$F$41)/$U189-SUM($EE189:FU189)=1,1,0))))</f>
        <v>0</v>
      </c>
      <c r="FW189" s="8">
        <f>IF(FW$56-Voorblad!$F$41&gt;Voorblad!$K$41,0,IF($U189=0,0,IF($U189&lt;1,1/$U189,IF((FW$56-Voorblad!$F$41)/$U189-SUM($EE189:FV189)=1,1,0))))</f>
        <v>0</v>
      </c>
      <c r="FX189" s="8">
        <f>IF(FX$56-Voorblad!$F$41&gt;Voorblad!$K$41,0,IF($U189=0,0,IF($U189&lt;1,1/$U189,IF((FX$56-Voorblad!$F$41)/$U189-SUM($EE189:FW189)=1,1,0))))</f>
        <v>0</v>
      </c>
      <c r="FY189" s="8">
        <f>IF(FY$56-Voorblad!$F$41&gt;Voorblad!$K$41,0,IF($U189=0,0,IF($U189&lt;1,1/$U189,IF((FY$56-Voorblad!$F$41)/$U189-SUM($EE189:FX189)=1,1,0))))</f>
        <v>0</v>
      </c>
      <c r="FZ189" s="8">
        <f>IF(FZ$56-Voorblad!$F$41&gt;Voorblad!$K$41,0,IF($U189=0,0,IF($U189&lt;1,1/$U189,IF((FZ$56-Voorblad!$F$41)/$U189-SUM($EE189:FY189)=1,1,0))))</f>
        <v>0</v>
      </c>
      <c r="GA189" s="8">
        <f>IF(GA$56-Voorblad!$F$41&gt;Voorblad!$K$41,0,IF($U189=0,0,IF($U189&lt;1,1/$U189,IF((GA$56-Voorblad!$F$41)/$U189-SUM($EE189:FZ189)=1,1,0))))</f>
        <v>0</v>
      </c>
      <c r="GB189" s="8">
        <f>IF(GB$56-Voorblad!$F$41&gt;Voorblad!$K$41,0,IF($U189=0,0,IF($U189&lt;1,1/$U189,IF((GB$56-Voorblad!$F$41)/$U189-SUM($EE189:GA189)=1,1,0))))</f>
        <v>0</v>
      </c>
      <c r="GC189" s="8">
        <f>IF(GC$56-Voorblad!$F$41&gt;Voorblad!$K$41,0,IF($U189=0,0,IF($U189&lt;1,1/$U189,IF((GC$56-Voorblad!$F$41)/$U189-SUM($EE189:GB189)=1,1,0))))</f>
        <v>0</v>
      </c>
      <c r="GD189" s="8">
        <f>IF(GD$56-Voorblad!$F$41&gt;Voorblad!$K$41,0,IF($U189=0,0,IF($U189&lt;1,1/$U189,IF((GD$56-Voorblad!$F$41)/$U189-SUM($EE189:GC189)=1,1,0))))</f>
        <v>0</v>
      </c>
      <c r="GE189" s="8">
        <f>IF(GE$56-Voorblad!$F$41&gt;Voorblad!$K$41,0,IF($U189=0,0,IF($U189&lt;1,1/$U189,IF((GE$56-Voorblad!$F$41)/$U189-SUM($EE189:GD189)=1,1,0))))</f>
        <v>0</v>
      </c>
      <c r="GF189" s="8">
        <f>IF(GF$56-Voorblad!$F$41&gt;Voorblad!$K$41,0,IF($U189=0,0,IF($U189&lt;1,1/$U189,IF((GF$56-Voorblad!$F$41)/$U189-SUM($EE189:GE189)=1,1,0))))</f>
        <v>0</v>
      </c>
      <c r="GG189" s="8">
        <f>IF(GG$56-Voorblad!$F$41&gt;Voorblad!$K$41,0,IF($U189=0,0,IF($U189&lt;1,1/$U189,IF((GG$56-Voorblad!$F$41)/$U189-SUM($EE189:GF189)=1,1,0))))</f>
        <v>0</v>
      </c>
      <c r="GH189" s="8">
        <f>IF(GH$56-Voorblad!$F$41&gt;Voorblad!$K$41,0,IF($U189=0,0,IF($U189&lt;1,1/$U189,IF((GH$56-Voorblad!$F$41)/$U189-SUM($EE189:GG189)=1,1,0))))</f>
        <v>0</v>
      </c>
      <c r="GI189" s="8">
        <f>IF(GI$56-Voorblad!$F$41&gt;Voorblad!$K$41,0,IF($U189=0,0,IF($U189&lt;1,1/$U189,IF((GI$56-Voorblad!$F$41)/$U189-SUM($EE189:GH189)=1,1,0))))</f>
        <v>0</v>
      </c>
      <c r="GJ189" s="8">
        <f>IF(GJ$56-Voorblad!$F$41&gt;Voorblad!$K$41,0,IF($U189=0,0,IF($U189&lt;1,1/$U189,IF((GJ$56-Voorblad!$F$41)/$U189-SUM($EE189:GI189)=1,1,0))))</f>
        <v>0</v>
      </c>
      <c r="GK189" s="8">
        <f>IF(GK$56-Voorblad!$F$41&gt;Voorblad!$K$41,0,IF($U189=0,0,IF($U189&lt;1,1/$U189,IF((GK$56-Voorblad!$F$41)/$U189-SUM($EE189:GJ189)=1,1,0))))</f>
        <v>0</v>
      </c>
      <c r="GL189" s="8">
        <f>IF(GL$56-Voorblad!$F$41&gt;Voorblad!$K$41,0,IF($U189=0,0,IF($U189&lt;1,1/$U189,IF((GL$56-Voorblad!$F$41)/$U189-SUM($EE189:GK189)=1,1,0))))</f>
        <v>0</v>
      </c>
      <c r="GM189" s="8">
        <f>IF(GM$56-Voorblad!$F$41&gt;Voorblad!$K$41,0,IF($U189=0,0,IF($U189&lt;1,1/$U189,IF((GM$56-Voorblad!$F$41)/$U189-SUM($EE189:GL189)=1,1,0))))</f>
        <v>0</v>
      </c>
      <c r="GN189" s="8">
        <f>IF(GN$56-Voorblad!$F$41&gt;Voorblad!$K$41,0,IF($U189=0,0,IF($U189&lt;1,1/$U189,IF((GN$56-Voorblad!$F$41)/$U189-SUM($EE189:GM189)=1,1,0))))</f>
        <v>0</v>
      </c>
      <c r="GO189" s="8">
        <f>IF(GO$56-Voorblad!$F$41&gt;Voorblad!$K$41,0,IF($U189=0,0,IF($U189&lt;1,1/$U189,IF((GO$56-Voorblad!$F$41)/$U189-SUM($EE189:GN189)=1,1,0))))</f>
        <v>0</v>
      </c>
      <c r="GP189" s="8">
        <f>IF(GP$56-Voorblad!$F$41&gt;Voorblad!$K$41,0,IF($U189=0,0,IF($U189&lt;1,1/$U189,IF((GP$56-Voorblad!$F$41)/$U189-SUM($EE189:GO189)=1,1,0))))</f>
        <v>0</v>
      </c>
      <c r="GQ189" s="8">
        <f>IF(GQ$56-Voorblad!$F$41&gt;Voorblad!$K$41,0,IF($U189=0,0,IF($U189&lt;1,1/$U189,IF((GQ$56-Voorblad!$F$41)/$U189-SUM($EE189:GP189)=1,1,0))))</f>
        <v>0</v>
      </c>
      <c r="GR189" s="8">
        <f>IF(GR$56-Voorblad!$F$41&gt;Voorblad!$K$41,0,IF($U189=0,0,IF($U189&lt;1,1/$U189,IF((GR$56-Voorblad!$F$41)/$U189-SUM($EE189:GQ189)=1,1,0))))</f>
        <v>0</v>
      </c>
      <c r="GS189" s="8">
        <f>IF(GS$56-Voorblad!$F$41&gt;Voorblad!$K$41,0,IF($U189=0,0,IF($U189&lt;1,1/$U189,IF((GS$56-Voorblad!$F$41)/$U189-SUM($EE189:GR189)=1,1,0))))</f>
        <v>0</v>
      </c>
      <c r="GT189" s="8">
        <f>IF(GT$56-Voorblad!$F$41&gt;Voorblad!$K$41,0,IF($U189=0,0,IF($U189&lt;1,1/$U189,IF((GT$56-Voorblad!$F$41)/$U189-SUM($EE189:GS189)=1,1,0))))</f>
        <v>0</v>
      </c>
      <c r="GU189" s="8">
        <f>IF(GU$56-Voorblad!$F$41&gt;Voorblad!$K$41,0,IF($U189=0,0,IF($U189&lt;1,1/$U189,IF((GU$56-Voorblad!$F$41)/$U189-SUM($EE189:GT189)=1,1,0))))</f>
        <v>0</v>
      </c>
      <c r="GV189" s="8">
        <f>IF(GV$56-Voorblad!$F$41&gt;Voorblad!$K$41,0,IF($U189=0,0,IF($U189&lt;1,1/$U189,IF((GV$56-Voorblad!$F$41)/$U189-SUM($EE189:GU189)=1,1,0))))</f>
        <v>0</v>
      </c>
      <c r="GW189" s="8">
        <f>IF(GW$56-Voorblad!$F$41&gt;Voorblad!$K$41,0,IF($U189=0,0,IF($U189&lt;1,1/$U189,IF((GW$56-Voorblad!$F$41)/$U189-SUM($EE189:GV189)=1,1,0))))</f>
        <v>0</v>
      </c>
      <c r="GX189" s="8">
        <f>IF(GX$56-Voorblad!$F$41&gt;Voorblad!$K$41,0,IF($U189=0,0,IF($U189&lt;1,1/$U189,IF((GX$56-Voorblad!$F$41)/$U189-SUM($EE189:GW189)=1,1,0))))</f>
        <v>0</v>
      </c>
      <c r="GY189" s="8">
        <f>IF(GY$56-Voorblad!$F$41&gt;Voorblad!$K$41,0,IF($U189=0,0,IF($U189&lt;1,1/$U189,IF((GY$56-Voorblad!$F$41)/$U189-SUM($EE189:GX189)=1,1,0))))</f>
        <v>0</v>
      </c>
      <c r="GZ189" s="8">
        <f>IF(GZ$56-Voorblad!$F$41&gt;Voorblad!$K$41,0,IF($U189=0,0,IF($U189&lt;1,1/$U189,IF((GZ$56-Voorblad!$F$41)/$U189-SUM($EE189:GY189)=1,1,0))))</f>
        <v>0</v>
      </c>
      <c r="HA189" s="8">
        <f>IF(HA$56-Voorblad!$F$41&gt;Voorblad!$K$41,0,IF($U189=0,0,IF($U189&lt;1,1/$U189,IF((HA$56-Voorblad!$F$41)/$U189-SUM($EE189:GZ189)=1,1,0))))</f>
        <v>0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101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0</v>
      </c>
      <c r="FP190" s="8">
        <f>IF(FP$56-Voorblad!$F$41&gt;Voorblad!$K$41,0,IF($U190=0,0,IF($U190&lt;1,1/$U190,IF((FP$56-Voorblad!$F$41)/$U190-SUM($EE190:FO190)=1,1,0))))</f>
        <v>0</v>
      </c>
      <c r="FQ190" s="8">
        <f>IF(FQ$56-Voorblad!$F$41&gt;Voorblad!$K$41,0,IF($U190=0,0,IF($U190&lt;1,1/$U190,IF((FQ$56-Voorblad!$F$41)/$U190-SUM($EE190:FP190)=1,1,0))))</f>
        <v>0</v>
      </c>
      <c r="FR190" s="8">
        <f>IF(FR$56-Voorblad!$F$41&gt;Voorblad!$K$41,0,IF($U190=0,0,IF($U190&lt;1,1/$U190,IF((FR$56-Voorblad!$F$41)/$U190-SUM($EE190:FQ190)=1,1,0))))</f>
        <v>0</v>
      </c>
      <c r="FS190" s="8">
        <f>IF(FS$56-Voorblad!$F$41&gt;Voorblad!$K$41,0,IF($U190=0,0,IF($U190&lt;1,1/$U190,IF((FS$56-Voorblad!$F$41)/$U190-SUM($EE190:FR190)=1,1,0))))</f>
        <v>0</v>
      </c>
      <c r="FT190" s="8">
        <f>IF(FT$56-Voorblad!$F$41&gt;Voorblad!$K$41,0,IF($U190=0,0,IF($U190&lt;1,1/$U190,IF((FT$56-Voorblad!$F$41)/$U190-SUM($EE190:FS190)=1,1,0))))</f>
        <v>0</v>
      </c>
      <c r="FU190" s="8">
        <f>IF(FU$56-Voorblad!$F$41&gt;Voorblad!$K$41,0,IF($U190=0,0,IF($U190&lt;1,1/$U190,IF((FU$56-Voorblad!$F$41)/$U190-SUM($EE190:FT190)=1,1,0))))</f>
        <v>0</v>
      </c>
      <c r="FV190" s="8">
        <f>IF(FV$56-Voorblad!$F$41&gt;Voorblad!$K$41,0,IF($U190=0,0,IF($U190&lt;1,1/$U190,IF((FV$56-Voorblad!$F$41)/$U190-SUM($EE190:FU190)=1,1,0))))</f>
        <v>0</v>
      </c>
      <c r="FW190" s="8">
        <f>IF(FW$56-Voorblad!$F$41&gt;Voorblad!$K$41,0,IF($U190=0,0,IF($U190&lt;1,1/$U190,IF((FW$56-Voorblad!$F$41)/$U190-SUM($EE190:FV190)=1,1,0))))</f>
        <v>0</v>
      </c>
      <c r="FX190" s="8">
        <f>IF(FX$56-Voorblad!$F$41&gt;Voorblad!$K$41,0,IF($U190=0,0,IF($U190&lt;1,1/$U190,IF((FX$56-Voorblad!$F$41)/$U190-SUM($EE190:FW190)=1,1,0))))</f>
        <v>0</v>
      </c>
      <c r="FY190" s="8">
        <f>IF(FY$56-Voorblad!$F$41&gt;Voorblad!$K$41,0,IF($U190=0,0,IF($U190&lt;1,1/$U190,IF((FY$56-Voorblad!$F$41)/$U190-SUM($EE190:FX190)=1,1,0))))</f>
        <v>0</v>
      </c>
      <c r="FZ190" s="8">
        <f>IF(FZ$56-Voorblad!$F$41&gt;Voorblad!$K$41,0,IF($U190=0,0,IF($U190&lt;1,1/$U190,IF((FZ$56-Voorblad!$F$41)/$U190-SUM($EE190:FY190)=1,1,0))))</f>
        <v>0</v>
      </c>
      <c r="GA190" s="8">
        <f>IF(GA$56-Voorblad!$F$41&gt;Voorblad!$K$41,0,IF($U190=0,0,IF($U190&lt;1,1/$U190,IF((GA$56-Voorblad!$F$41)/$U190-SUM($EE190:FZ190)=1,1,0))))</f>
        <v>0</v>
      </c>
      <c r="GB190" s="8">
        <f>IF(GB$56-Voorblad!$F$41&gt;Voorblad!$K$41,0,IF($U190=0,0,IF($U190&lt;1,1/$U190,IF((GB$56-Voorblad!$F$41)/$U190-SUM($EE190:GA190)=1,1,0))))</f>
        <v>0</v>
      </c>
      <c r="GC190" s="8">
        <f>IF(GC$56-Voorblad!$F$41&gt;Voorblad!$K$41,0,IF($U190=0,0,IF($U190&lt;1,1/$U190,IF((GC$56-Voorblad!$F$41)/$U190-SUM($EE190:GB190)=1,1,0))))</f>
        <v>0</v>
      </c>
      <c r="GD190" s="8">
        <f>IF(GD$56-Voorblad!$F$41&gt;Voorblad!$K$41,0,IF($U190=0,0,IF($U190&lt;1,1/$U190,IF((GD$56-Voorblad!$F$41)/$U190-SUM($EE190:GC190)=1,1,0))))</f>
        <v>0</v>
      </c>
      <c r="GE190" s="8">
        <f>IF(GE$56-Voorblad!$F$41&gt;Voorblad!$K$41,0,IF($U190=0,0,IF($U190&lt;1,1/$U190,IF((GE$56-Voorblad!$F$41)/$U190-SUM($EE190:GD190)=1,1,0))))</f>
        <v>0</v>
      </c>
      <c r="GF190" s="8">
        <f>IF(GF$56-Voorblad!$F$41&gt;Voorblad!$K$41,0,IF($U190=0,0,IF($U190&lt;1,1/$U190,IF((GF$56-Voorblad!$F$41)/$U190-SUM($EE190:GE190)=1,1,0))))</f>
        <v>0</v>
      </c>
      <c r="GG190" s="8">
        <f>IF(GG$56-Voorblad!$F$41&gt;Voorblad!$K$41,0,IF($U190=0,0,IF($U190&lt;1,1/$U190,IF((GG$56-Voorblad!$F$41)/$U190-SUM($EE190:GF190)=1,1,0))))</f>
        <v>0</v>
      </c>
      <c r="GH190" s="8">
        <f>IF(GH$56-Voorblad!$F$41&gt;Voorblad!$K$41,0,IF($U190=0,0,IF($U190&lt;1,1/$U190,IF((GH$56-Voorblad!$F$41)/$U190-SUM($EE190:GG190)=1,1,0))))</f>
        <v>0</v>
      </c>
      <c r="GI190" s="8">
        <f>IF(GI$56-Voorblad!$F$41&gt;Voorblad!$K$41,0,IF($U190=0,0,IF($U190&lt;1,1/$U190,IF((GI$56-Voorblad!$F$41)/$U190-SUM($EE190:GH190)=1,1,0))))</f>
        <v>0</v>
      </c>
      <c r="GJ190" s="8">
        <f>IF(GJ$56-Voorblad!$F$41&gt;Voorblad!$K$41,0,IF($U190=0,0,IF($U190&lt;1,1/$U190,IF((GJ$56-Voorblad!$F$41)/$U190-SUM($EE190:GI190)=1,1,0))))</f>
        <v>0</v>
      </c>
      <c r="GK190" s="8">
        <f>IF(GK$56-Voorblad!$F$41&gt;Voorblad!$K$41,0,IF($U190=0,0,IF($U190&lt;1,1/$U190,IF((GK$56-Voorblad!$F$41)/$U190-SUM($EE190:GJ190)=1,1,0))))</f>
        <v>0</v>
      </c>
      <c r="GL190" s="8">
        <f>IF(GL$56-Voorblad!$F$41&gt;Voorblad!$K$41,0,IF($U190=0,0,IF($U190&lt;1,1/$U190,IF((GL$56-Voorblad!$F$41)/$U190-SUM($EE190:GK190)=1,1,0))))</f>
        <v>0</v>
      </c>
      <c r="GM190" s="8">
        <f>IF(GM$56-Voorblad!$F$41&gt;Voorblad!$K$41,0,IF($U190=0,0,IF($U190&lt;1,1/$U190,IF((GM$56-Voorblad!$F$41)/$U190-SUM($EE190:GL190)=1,1,0))))</f>
        <v>0</v>
      </c>
      <c r="GN190" s="8">
        <f>IF(GN$56-Voorblad!$F$41&gt;Voorblad!$K$41,0,IF($U190=0,0,IF($U190&lt;1,1/$U190,IF((GN$56-Voorblad!$F$41)/$U190-SUM($EE190:GM190)=1,1,0))))</f>
        <v>0</v>
      </c>
      <c r="GO190" s="8">
        <f>IF(GO$56-Voorblad!$F$41&gt;Voorblad!$K$41,0,IF($U190=0,0,IF($U190&lt;1,1/$U190,IF((GO$56-Voorblad!$F$41)/$U190-SUM($EE190:GN190)=1,1,0))))</f>
        <v>0</v>
      </c>
      <c r="GP190" s="8">
        <f>IF(GP$56-Voorblad!$F$41&gt;Voorblad!$K$41,0,IF($U190=0,0,IF($U190&lt;1,1/$U190,IF((GP$56-Voorblad!$F$41)/$U190-SUM($EE190:GO190)=1,1,0))))</f>
        <v>0</v>
      </c>
      <c r="GQ190" s="8">
        <f>IF(GQ$56-Voorblad!$F$41&gt;Voorblad!$K$41,0,IF($U190=0,0,IF($U190&lt;1,1/$U190,IF((GQ$56-Voorblad!$F$41)/$U190-SUM($EE190:GP190)=1,1,0))))</f>
        <v>0</v>
      </c>
      <c r="GR190" s="8">
        <f>IF(GR$56-Voorblad!$F$41&gt;Voorblad!$K$41,0,IF($U190=0,0,IF($U190&lt;1,1/$U190,IF((GR$56-Voorblad!$F$41)/$U190-SUM($EE190:GQ190)=1,1,0))))</f>
        <v>0</v>
      </c>
      <c r="GS190" s="8">
        <f>IF(GS$56-Voorblad!$F$41&gt;Voorblad!$K$41,0,IF($U190=0,0,IF($U190&lt;1,1/$U190,IF((GS$56-Voorblad!$F$41)/$U190-SUM($EE190:GR190)=1,1,0))))</f>
        <v>0</v>
      </c>
      <c r="GT190" s="8">
        <f>IF(GT$56-Voorblad!$F$41&gt;Voorblad!$K$41,0,IF($U190=0,0,IF($U190&lt;1,1/$U190,IF((GT$56-Voorblad!$F$41)/$U190-SUM($EE190:GS190)=1,1,0))))</f>
        <v>0</v>
      </c>
      <c r="GU190" s="8">
        <f>IF(GU$56-Voorblad!$F$41&gt;Voorblad!$K$41,0,IF($U190=0,0,IF($U190&lt;1,1/$U190,IF((GU$56-Voorblad!$F$41)/$U190-SUM($EE190:GT190)=1,1,0))))</f>
        <v>0</v>
      </c>
      <c r="GV190" s="8">
        <f>IF(GV$56-Voorblad!$F$41&gt;Voorblad!$K$41,0,IF($U190=0,0,IF($U190&lt;1,1/$U190,IF((GV$56-Voorblad!$F$41)/$U190-SUM($EE190:GU190)=1,1,0))))</f>
        <v>0</v>
      </c>
      <c r="GW190" s="8">
        <f>IF(GW$56-Voorblad!$F$41&gt;Voorblad!$K$41,0,IF($U190=0,0,IF($U190&lt;1,1/$U190,IF((GW$56-Voorblad!$F$41)/$U190-SUM($EE190:GV190)=1,1,0))))</f>
        <v>0</v>
      </c>
      <c r="GX190" s="8">
        <f>IF(GX$56-Voorblad!$F$41&gt;Voorblad!$K$41,0,IF($U190=0,0,IF($U190&lt;1,1/$U190,IF((GX$56-Voorblad!$F$41)/$U190-SUM($EE190:GW190)=1,1,0))))</f>
        <v>0</v>
      </c>
      <c r="GY190" s="8">
        <f>IF(GY$56-Voorblad!$F$41&gt;Voorblad!$K$41,0,IF($U190=0,0,IF($U190&lt;1,1/$U190,IF((GY$56-Voorblad!$F$41)/$U190-SUM($EE190:GX190)=1,1,0))))</f>
        <v>0</v>
      </c>
      <c r="GZ190" s="8">
        <f>IF(GZ$56-Voorblad!$F$41&gt;Voorblad!$K$41,0,IF($U190=0,0,IF($U190&lt;1,1/$U190,IF((GZ$56-Voorblad!$F$41)/$U190-SUM($EE190:GY190)=1,1,0))))</f>
        <v>0</v>
      </c>
      <c r="HA190" s="8">
        <f>IF(HA$56-Voorblad!$F$41&gt;Voorblad!$K$41,0,IF($U190=0,0,IF($U190&lt;1,1/$U190,IF((HA$56-Voorblad!$F$41)/$U190-SUM($EE190:GZ190)=1,1,0))))</f>
        <v>0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274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customHeight="1" outlineLevel="1" x14ac:dyDescent="0.25">
      <c r="B195" s="1">
        <v>3</v>
      </c>
      <c r="F195" s="1" t="s">
        <v>23</v>
      </c>
      <c r="I195" s="1" t="s">
        <v>280</v>
      </c>
      <c r="K195" s="1" t="s">
        <v>86</v>
      </c>
      <c r="Q195" s="81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3524.0013803420302</v>
      </c>
      <c r="Z195" s="82"/>
      <c r="AA195" s="82"/>
      <c r="AC195" s="9">
        <f>$Y195*(Voorblad!$K$44*(1+Voorblad!$K$44)^Voorblad!$K$41)/((1+Voorblad!$K$44)^Voorblad!$K$41-1)</f>
        <v>155.07985056662943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0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0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0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0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0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0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0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0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0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0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0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0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0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0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0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0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5">
      <c r="B196" s="1">
        <v>3</v>
      </c>
      <c r="F196" s="1" t="s">
        <v>23</v>
      </c>
      <c r="I196" s="1" t="s">
        <v>281</v>
      </c>
      <c r="K196" s="1" t="s">
        <v>83</v>
      </c>
      <c r="O196" s="1" t="s">
        <v>135</v>
      </c>
      <c r="P196" s="1" t="s">
        <v>314</v>
      </c>
      <c r="Q196" s="84">
        <f>(2*2.5*31.9)+(2*2.5*(20%*31.9))+(4*4*(20%*31.9))</f>
        <v>293.48</v>
      </c>
      <c r="R196" s="1" t="s">
        <v>35</v>
      </c>
      <c r="S196" s="21">
        <f>$H$20*15</f>
        <v>26.55</v>
      </c>
      <c r="T196" s="9">
        <f>Q196*S196</f>
        <v>7791.8940000000011</v>
      </c>
      <c r="U196" s="14">
        <v>10</v>
      </c>
      <c r="V196" s="14"/>
      <c r="Y196" s="9">
        <f t="shared" si="199"/>
        <v>14556.910105457842</v>
      </c>
      <c r="Z196" s="82"/>
      <c r="AA196" s="82"/>
      <c r="AC196" s="9">
        <f>$Y196*(Voorblad!$K$44*(1+Voorblad!$K$44)^Voorblad!$K$41)/((1+Voorblad!$K$44)^Voorblad!$K$41-1)</f>
        <v>640.60231544153214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6087.0151392162834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4755.1664980360638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3714.728468205496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0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0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0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0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0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5">
      <c r="B197" s="1">
        <v>3</v>
      </c>
      <c r="F197" s="1" t="s">
        <v>23</v>
      </c>
      <c r="I197" s="1" t="s">
        <v>281</v>
      </c>
      <c r="K197" s="1" t="s">
        <v>84</v>
      </c>
      <c r="O197" s="1" t="s">
        <v>134</v>
      </c>
      <c r="Q197" s="84">
        <f>(2*2.5*31.9)+(2*2.5*(20%*31.9))+(4*2.5*(20%*31.9))</f>
        <v>255.2</v>
      </c>
      <c r="R197" s="1" t="s">
        <v>35</v>
      </c>
      <c r="S197" s="21">
        <f>$H$20*20</f>
        <v>35.4</v>
      </c>
      <c r="T197" s="1">
        <f>Q197*S197</f>
        <v>9034.08</v>
      </c>
      <c r="U197" s="14">
        <v>10</v>
      </c>
      <c r="V197" s="14"/>
      <c r="Y197" s="9">
        <f>SUM(AE197:EB197)</f>
        <v>16877.576933864162</v>
      </c>
      <c r="Z197" s="82"/>
      <c r="AA197" s="82"/>
      <c r="AC197" s="9">
        <f>$Y197*(Voorblad!$K$44*(1+Voorblad!$K$44)^Voorblad!$K$41)/((1+Voorblad!$K$44)^Voorblad!$K$41-1)</f>
        <v>742.72732225105165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7057.4088570623562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5513.2365194621025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4306.9315573397053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0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0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0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0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0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5">
      <c r="B198" s="1">
        <v>3</v>
      </c>
      <c r="F198" s="1" t="s">
        <v>23</v>
      </c>
      <c r="I198" s="1" t="s">
        <v>281</v>
      </c>
      <c r="K198" s="1" t="s">
        <v>82</v>
      </c>
      <c r="O198" s="1" t="s">
        <v>219</v>
      </c>
      <c r="P198" s="1" t="s">
        <v>175</v>
      </c>
      <c r="Q198" s="84">
        <f>2.5%*Q196</f>
        <v>7.3370000000000006</v>
      </c>
      <c r="R198" s="1" t="s">
        <v>35</v>
      </c>
      <c r="S198" s="14">
        <f>$H$20*500</f>
        <v>885</v>
      </c>
      <c r="T198" s="9">
        <f>Q198*S198</f>
        <v>6493.2450000000008</v>
      </c>
      <c r="U198" s="14">
        <v>15</v>
      </c>
      <c r="V198" s="14"/>
      <c r="Y198" s="9">
        <f t="shared" si="199"/>
        <v>7578.969081454874</v>
      </c>
      <c r="Z198" s="82"/>
      <c r="AA198" s="82"/>
      <c r="AC198" s="229">
        <f>$Y198*(Voorblad!$K$44*(1+Voorblad!$K$44)^Voorblad!$K$41)/((1+Voorblad!$K$44)^Voorblad!$K$41-1)</f>
        <v>333.52580369507422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4483.3620246169612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3095.6070568379132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0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0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5">
      <c r="S199" s="14"/>
      <c r="T199" s="9"/>
      <c r="U199" s="14"/>
      <c r="V199" s="14"/>
      <c r="Y199" s="23">
        <f>SUM(Y195:Y198)</f>
        <v>42537.457501118908</v>
      </c>
      <c r="Z199" s="24"/>
      <c r="AA199" s="23">
        <f>SUM(AA195:AA198)</f>
        <v>0</v>
      </c>
      <c r="AC199" s="9">
        <f>$Y199*(Voorblad!$K$44*(1+Voorblad!$K$44)^Voorblad!$K$41)/((1+Voorblad!$K$44)^Voorblad!$K$41-1)</f>
        <v>1871.9352919542875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5">
      <c r="B200" s="2" t="s">
        <v>272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223</v>
      </c>
      <c r="P201" s="1" t="s">
        <v>224</v>
      </c>
      <c r="Q201" s="84">
        <f>5%*Q196</f>
        <v>14.674000000000001</v>
      </c>
      <c r="R201" s="1" t="s">
        <v>35</v>
      </c>
      <c r="S201" s="14">
        <f>$H$10*500</f>
        <v>1190</v>
      </c>
      <c r="T201" s="9">
        <f>Q201*S201</f>
        <v>17462.060000000001</v>
      </c>
      <c r="U201" s="14">
        <v>50</v>
      </c>
      <c r="V201" s="14"/>
      <c r="Y201" s="9">
        <f t="shared" si="199"/>
        <v>0</v>
      </c>
      <c r="Z201" s="82"/>
      <c r="AA201" s="82"/>
      <c r="AC201" s="229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0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5">
      <c r="B202" s="2" t="s">
        <v>273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107</v>
      </c>
      <c r="O204" s="1" t="s">
        <v>57</v>
      </c>
      <c r="P204" s="1" t="s">
        <v>232</v>
      </c>
      <c r="Q204" s="83">
        <f>(31.75+10.15+14)*31.9</f>
        <v>1783.2099999999998</v>
      </c>
      <c r="R204" s="81" t="s">
        <v>35</v>
      </c>
      <c r="S204" s="81">
        <v>4060</v>
      </c>
      <c r="T204" s="9">
        <f>Q204*S204</f>
        <v>7239832.5999999996</v>
      </c>
      <c r="U204" s="11">
        <v>1</v>
      </c>
      <c r="V204" s="14">
        <f>Voorblad!F25+100</f>
        <v>2062</v>
      </c>
      <c r="W204" s="9">
        <f>Voorblad!K85</f>
        <v>2062</v>
      </c>
      <c r="X204" s="6"/>
      <c r="Y204" s="9">
        <f t="shared" si="199"/>
        <v>3126922.3826788277</v>
      </c>
      <c r="Z204" s="82" t="s">
        <v>312</v>
      </c>
      <c r="AA204" s="82">
        <v>156</v>
      </c>
      <c r="AC204" s="9">
        <f>$Y204*(Voorblad!$K$44*(1+Voorblad!$K$44)^Voorblad!$K$41)/((1+Voorblad!$K$44)^Voorblad!$K$41-1)</f>
        <v>137605.69406820612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3126922.3826788277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0</v>
      </c>
      <c r="FP204" s="8">
        <f>IF(FP$56-Voorblad!$F$41&gt;Voorblad!$K$41,0,IF($U204=0,0,IF($U204&lt;1,1/$U204,IF((FP$56-Voorblad!$F$41)/$U204-SUM($EE204:FO204)=1,1,0))))</f>
        <v>0</v>
      </c>
      <c r="FQ204" s="8">
        <f>IF(FQ$56-Voorblad!$F$41&gt;Voorblad!$K$41,0,IF($U204=0,0,IF($U204&lt;1,1/$U204,IF((FQ$56-Voorblad!$F$41)/$U204-SUM($EE204:FP204)=1,1,0))))</f>
        <v>0</v>
      </c>
      <c r="FR204" s="8">
        <f>IF(FR$56-Voorblad!$F$41&gt;Voorblad!$K$41,0,IF($U204=0,0,IF($U204&lt;1,1/$U204,IF((FR$56-Voorblad!$F$41)/$U204-SUM($EE204:FQ204)=1,1,0))))</f>
        <v>0</v>
      </c>
      <c r="FS204" s="8">
        <f>IF(FS$56-Voorblad!$F$41&gt;Voorblad!$K$41,0,IF($U204=0,0,IF($U204&lt;1,1/$U204,IF((FS$56-Voorblad!$F$41)/$U204-SUM($EE204:FR204)=1,1,0))))</f>
        <v>0</v>
      </c>
      <c r="FT204" s="8">
        <f>IF(FT$56-Voorblad!$F$41&gt;Voorblad!$K$41,0,IF($U204=0,0,IF($U204&lt;1,1/$U204,IF((FT$56-Voorblad!$F$41)/$U204-SUM($EE204:FS204)=1,1,0))))</f>
        <v>0</v>
      </c>
      <c r="FU204" s="8">
        <f>IF(FU$56-Voorblad!$F$41&gt;Voorblad!$K$41,0,IF($U204=0,0,IF($U204&lt;1,1/$U204,IF((FU$56-Voorblad!$F$41)/$U204-SUM($EE204:FT204)=1,1,0))))</f>
        <v>0</v>
      </c>
      <c r="FV204" s="8">
        <f>IF(FV$56-Voorblad!$F$41&gt;Voorblad!$K$41,0,IF($U204=0,0,IF($U204&lt;1,1/$U204,IF((FV$56-Voorblad!$F$41)/$U204-SUM($EE204:FU204)=1,1,0))))</f>
        <v>0</v>
      </c>
      <c r="FW204" s="8">
        <f>IF(FW$56-Voorblad!$F$41&gt;Voorblad!$K$41,0,IF($U204=0,0,IF($U204&lt;1,1/$U204,IF((FW$56-Voorblad!$F$41)/$U204-SUM($EE204:FV204)=1,1,0))))</f>
        <v>0</v>
      </c>
      <c r="FX204" s="8">
        <f>IF(FX$56-Voorblad!$F$41&gt;Voorblad!$K$41,0,IF($U204=0,0,IF($U204&lt;1,1/$U204,IF((FX$56-Voorblad!$F$41)/$U204-SUM($EE204:FW204)=1,1,0))))</f>
        <v>0</v>
      </c>
      <c r="FY204" s="8">
        <f>IF(FY$56-Voorblad!$F$41&gt;Voorblad!$K$41,0,IF($U204=0,0,IF($U204&lt;1,1/$U204,IF((FY$56-Voorblad!$F$41)/$U204-SUM($EE204:FX204)=1,1,0))))</f>
        <v>0</v>
      </c>
      <c r="FZ204" s="8">
        <f>IF(FZ$56-Voorblad!$F$41&gt;Voorblad!$K$41,0,IF($U204=0,0,IF($U204&lt;1,1/$U204,IF((FZ$56-Voorblad!$F$41)/$U204-SUM($EE204:FY204)=1,1,0))))</f>
        <v>0</v>
      </c>
      <c r="GA204" s="8">
        <f>IF(GA$56-Voorblad!$F$41&gt;Voorblad!$K$41,0,IF($U204=0,0,IF($U204&lt;1,1/$U204,IF((GA$56-Voorblad!$F$41)/$U204-SUM($EE204:FZ204)=1,1,0))))</f>
        <v>0</v>
      </c>
      <c r="GB204" s="8">
        <f>IF(GB$56-Voorblad!$F$41&gt;Voorblad!$K$41,0,IF($U204=0,0,IF($U204&lt;1,1/$U204,IF((GB$56-Voorblad!$F$41)/$U204-SUM($EE204:GA204)=1,1,0))))</f>
        <v>0</v>
      </c>
      <c r="GC204" s="8">
        <f>IF(GC$56-Voorblad!$F$41&gt;Voorblad!$K$41,0,IF($U204=0,0,IF($U204&lt;1,1/$U204,IF((GC$56-Voorblad!$F$41)/$U204-SUM($EE204:GB204)=1,1,0))))</f>
        <v>0</v>
      </c>
      <c r="GD204" s="8">
        <f>IF(GD$56-Voorblad!$F$41&gt;Voorblad!$K$41,0,IF($U204=0,0,IF($U204&lt;1,1/$U204,IF((GD$56-Voorblad!$F$41)/$U204-SUM($EE204:GC204)=1,1,0))))</f>
        <v>0</v>
      </c>
      <c r="GE204" s="8">
        <f>IF(GE$56-Voorblad!$F$41&gt;Voorblad!$K$41,0,IF($U204=0,0,IF($U204&lt;1,1/$U204,IF((GE$56-Voorblad!$F$41)/$U204-SUM($EE204:GD204)=1,1,0))))</f>
        <v>0</v>
      </c>
      <c r="GF204" s="8">
        <f>IF(GF$56-Voorblad!$F$41&gt;Voorblad!$K$41,0,IF($U204=0,0,IF($U204&lt;1,1/$U204,IF((GF$56-Voorblad!$F$41)/$U204-SUM($EE204:GE204)=1,1,0))))</f>
        <v>0</v>
      </c>
      <c r="GG204" s="8">
        <f>IF(GG$56-Voorblad!$F$41&gt;Voorblad!$K$41,0,IF($U204=0,0,IF($U204&lt;1,1/$U204,IF((GG$56-Voorblad!$F$41)/$U204-SUM($EE204:GF204)=1,1,0))))</f>
        <v>0</v>
      </c>
      <c r="GH204" s="8">
        <f>IF(GH$56-Voorblad!$F$41&gt;Voorblad!$K$41,0,IF($U204=0,0,IF($U204&lt;1,1/$U204,IF((GH$56-Voorblad!$F$41)/$U204-SUM($EE204:GG204)=1,1,0))))</f>
        <v>0</v>
      </c>
      <c r="GI204" s="8">
        <f>IF(GI$56-Voorblad!$F$41&gt;Voorblad!$K$41,0,IF($U204=0,0,IF($U204&lt;1,1/$U204,IF((GI$56-Voorblad!$F$41)/$U204-SUM($EE204:GH204)=1,1,0))))</f>
        <v>0</v>
      </c>
      <c r="GJ204" s="8">
        <f>IF(GJ$56-Voorblad!$F$41&gt;Voorblad!$K$41,0,IF($U204=0,0,IF($U204&lt;1,1/$U204,IF((GJ$56-Voorblad!$F$41)/$U204-SUM($EE204:GI204)=1,1,0))))</f>
        <v>0</v>
      </c>
      <c r="GK204" s="8">
        <f>IF(GK$56-Voorblad!$F$41&gt;Voorblad!$K$41,0,IF($U204=0,0,IF($U204&lt;1,1/$U204,IF((GK$56-Voorblad!$F$41)/$U204-SUM($EE204:GJ204)=1,1,0))))</f>
        <v>0</v>
      </c>
      <c r="GL204" s="8">
        <f>IF(GL$56-Voorblad!$F$41&gt;Voorblad!$K$41,0,IF($U204=0,0,IF($U204&lt;1,1/$U204,IF((GL$56-Voorblad!$F$41)/$U204-SUM($EE204:GK204)=1,1,0))))</f>
        <v>0</v>
      </c>
      <c r="GM204" s="8">
        <f>IF(GM$56-Voorblad!$F$41&gt;Voorblad!$K$41,0,IF($U204=0,0,IF($U204&lt;1,1/$U204,IF((GM$56-Voorblad!$F$41)/$U204-SUM($EE204:GL204)=1,1,0))))</f>
        <v>0</v>
      </c>
      <c r="GN204" s="8">
        <f>IF(GN$56-Voorblad!$F$41&gt;Voorblad!$K$41,0,IF($U204=0,0,IF($U204&lt;1,1/$U204,IF((GN$56-Voorblad!$F$41)/$U204-SUM($EE204:GM204)=1,1,0))))</f>
        <v>0</v>
      </c>
      <c r="GO204" s="8">
        <f>IF(GO$56-Voorblad!$F$41&gt;Voorblad!$K$41,0,IF($U204=0,0,IF($U204&lt;1,1/$U204,IF((GO$56-Voorblad!$F$41)/$U204-SUM($EE204:GN204)=1,1,0))))</f>
        <v>0</v>
      </c>
      <c r="GP204" s="8">
        <f>IF(GP$56-Voorblad!$F$41&gt;Voorblad!$K$41,0,IF($U204=0,0,IF($U204&lt;1,1/$U204,IF((GP$56-Voorblad!$F$41)/$U204-SUM($EE204:GO204)=1,1,0))))</f>
        <v>0</v>
      </c>
      <c r="GQ204" s="8">
        <f>IF(GQ$56-Voorblad!$F$41&gt;Voorblad!$K$41,0,IF($U204=0,0,IF($U204&lt;1,1/$U204,IF((GQ$56-Voorblad!$F$41)/$U204-SUM($EE204:GP204)=1,1,0))))</f>
        <v>0</v>
      </c>
      <c r="GR204" s="8">
        <f>IF(GR$56-Voorblad!$F$41&gt;Voorblad!$K$41,0,IF($U204=0,0,IF($U204&lt;1,1/$U204,IF((GR$56-Voorblad!$F$41)/$U204-SUM($EE204:GQ204)=1,1,0))))</f>
        <v>0</v>
      </c>
      <c r="GS204" s="8">
        <f>IF(GS$56-Voorblad!$F$41&gt;Voorblad!$K$41,0,IF($U204=0,0,IF($U204&lt;1,1/$U204,IF((GS$56-Voorblad!$F$41)/$U204-SUM($EE204:GR204)=1,1,0))))</f>
        <v>0</v>
      </c>
      <c r="GT204" s="8">
        <f>IF(GT$56-Voorblad!$F$41&gt;Voorblad!$K$41,0,IF($U204=0,0,IF($U204&lt;1,1/$U204,IF((GT$56-Voorblad!$F$41)/$U204-SUM($EE204:GS204)=1,1,0))))</f>
        <v>0</v>
      </c>
      <c r="GU204" s="8">
        <f>IF(GU$56-Voorblad!$F$41&gt;Voorblad!$K$41,0,IF($U204=0,0,IF($U204&lt;1,1/$U204,IF((GU$56-Voorblad!$F$41)/$U204-SUM($EE204:GT204)=1,1,0))))</f>
        <v>0</v>
      </c>
      <c r="GV204" s="8">
        <f>IF(GV$56-Voorblad!$F$41&gt;Voorblad!$K$41,0,IF($U204=0,0,IF($U204&lt;1,1/$U204,IF((GV$56-Voorblad!$F$41)/$U204-SUM($EE204:GU204)=1,1,0))))</f>
        <v>0</v>
      </c>
      <c r="GW204" s="8">
        <f>IF(GW$56-Voorblad!$F$41&gt;Voorblad!$K$41,0,IF($U204=0,0,IF($U204&lt;1,1/$U204,IF((GW$56-Voorblad!$F$41)/$U204-SUM($EE204:GV204)=1,1,0))))</f>
        <v>0</v>
      </c>
      <c r="GX204" s="8">
        <f>IF(GX$56-Voorblad!$F$41&gt;Voorblad!$K$41,0,IF($U204=0,0,IF($U204&lt;1,1/$U204,IF((GX$56-Voorblad!$F$41)/$U204-SUM($EE204:GW204)=1,1,0))))</f>
        <v>0</v>
      </c>
      <c r="GY204" s="8">
        <f>IF(GY$56-Voorblad!$F$41&gt;Voorblad!$K$41,0,IF($U204=0,0,IF($U204&lt;1,1/$U204,IF((GY$56-Voorblad!$F$41)/$U204-SUM($EE204:GX204)=1,1,0))))</f>
        <v>0</v>
      </c>
      <c r="GZ204" s="8">
        <f>IF(GZ$56-Voorblad!$F$41&gt;Voorblad!$K$41,0,IF($U204=0,0,IF($U204&lt;1,1/$U204,IF((GZ$56-Voorblad!$F$41)/$U204-SUM($EE204:GY204)=1,1,0))))</f>
        <v>0</v>
      </c>
      <c r="HA204" s="8">
        <f>IF(HA$56-Voorblad!$F$41&gt;Voorblad!$K$41,0,IF($U204=0,0,IF($U204&lt;1,1/$U204,IF((HA$56-Voorblad!$F$41)/$U204-SUM($EE204:GZ204)=1,1,0))))</f>
        <v>0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99</v>
      </c>
      <c r="Q205" s="81">
        <v>0</v>
      </c>
      <c r="R205" s="1" t="s">
        <v>33</v>
      </c>
      <c r="S205" s="21">
        <f>2%*T204</f>
        <v>144796.652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0</v>
      </c>
      <c r="FP205" s="8">
        <f>IF(FP$56-Voorblad!$F$41&gt;Voorblad!$K$41,0,IF($U205=0,0,IF($U205&lt;1,1/$U205,IF((FP$56-Voorblad!$F$41)/$U205-SUM($EE205:FO205)=1,1,0))))</f>
        <v>0</v>
      </c>
      <c r="FQ205" s="8">
        <f>IF(FQ$56-Voorblad!$F$41&gt;Voorblad!$K$41,0,IF($U205=0,0,IF($U205&lt;1,1/$U205,IF((FQ$56-Voorblad!$F$41)/$U205-SUM($EE205:FP205)=1,1,0))))</f>
        <v>0</v>
      </c>
      <c r="FR205" s="8">
        <f>IF(FR$56-Voorblad!$F$41&gt;Voorblad!$K$41,0,IF($U205=0,0,IF($U205&lt;1,1/$U205,IF((FR$56-Voorblad!$F$41)/$U205-SUM($EE205:FQ205)=1,1,0))))</f>
        <v>0</v>
      </c>
      <c r="FS205" s="8">
        <f>IF(FS$56-Voorblad!$F$41&gt;Voorblad!$K$41,0,IF($U205=0,0,IF($U205&lt;1,1/$U205,IF((FS$56-Voorblad!$F$41)/$U205-SUM($EE205:FR205)=1,1,0))))</f>
        <v>0</v>
      </c>
      <c r="FT205" s="8">
        <f>IF(FT$56-Voorblad!$F$41&gt;Voorblad!$K$41,0,IF($U205=0,0,IF($U205&lt;1,1/$U205,IF((FT$56-Voorblad!$F$41)/$U205-SUM($EE205:FS205)=1,1,0))))</f>
        <v>0</v>
      </c>
      <c r="FU205" s="8">
        <f>IF(FU$56-Voorblad!$F$41&gt;Voorblad!$K$41,0,IF($U205=0,0,IF($U205&lt;1,1/$U205,IF((FU$56-Voorblad!$F$41)/$U205-SUM($EE205:FT205)=1,1,0))))</f>
        <v>0</v>
      </c>
      <c r="FV205" s="8">
        <f>IF(FV$56-Voorblad!$F$41&gt;Voorblad!$K$41,0,IF($U205=0,0,IF($U205&lt;1,1/$U205,IF((FV$56-Voorblad!$F$41)/$U205-SUM($EE205:FU205)=1,1,0))))</f>
        <v>0</v>
      </c>
      <c r="FW205" s="8">
        <f>IF(FW$56-Voorblad!$F$41&gt;Voorblad!$K$41,0,IF($U205=0,0,IF($U205&lt;1,1/$U205,IF((FW$56-Voorblad!$F$41)/$U205-SUM($EE205:FV205)=1,1,0))))</f>
        <v>0</v>
      </c>
      <c r="FX205" s="8">
        <f>IF(FX$56-Voorblad!$F$41&gt;Voorblad!$K$41,0,IF($U205=0,0,IF($U205&lt;1,1/$U205,IF((FX$56-Voorblad!$F$41)/$U205-SUM($EE205:FW205)=1,1,0))))</f>
        <v>0</v>
      </c>
      <c r="FY205" s="8">
        <f>IF(FY$56-Voorblad!$F$41&gt;Voorblad!$K$41,0,IF($U205=0,0,IF($U205&lt;1,1/$U205,IF((FY$56-Voorblad!$F$41)/$U205-SUM($EE205:FX205)=1,1,0))))</f>
        <v>0</v>
      </c>
      <c r="FZ205" s="8">
        <f>IF(FZ$56-Voorblad!$F$41&gt;Voorblad!$K$41,0,IF($U205=0,0,IF($U205&lt;1,1/$U205,IF((FZ$56-Voorblad!$F$41)/$U205-SUM($EE205:FY205)=1,1,0))))</f>
        <v>0</v>
      </c>
      <c r="GA205" s="8">
        <f>IF(GA$56-Voorblad!$F$41&gt;Voorblad!$K$41,0,IF($U205=0,0,IF($U205&lt;1,1/$U205,IF((GA$56-Voorblad!$F$41)/$U205-SUM($EE205:FZ205)=1,1,0))))</f>
        <v>0</v>
      </c>
      <c r="GB205" s="8">
        <f>IF(GB$56-Voorblad!$F$41&gt;Voorblad!$K$41,0,IF($U205=0,0,IF($U205&lt;1,1/$U205,IF((GB$56-Voorblad!$F$41)/$U205-SUM($EE205:GA205)=1,1,0))))</f>
        <v>0</v>
      </c>
      <c r="GC205" s="8">
        <f>IF(GC$56-Voorblad!$F$41&gt;Voorblad!$K$41,0,IF($U205=0,0,IF($U205&lt;1,1/$U205,IF((GC$56-Voorblad!$F$41)/$U205-SUM($EE205:GB205)=1,1,0))))</f>
        <v>0</v>
      </c>
      <c r="GD205" s="8">
        <f>IF(GD$56-Voorblad!$F$41&gt;Voorblad!$K$41,0,IF($U205=0,0,IF($U205&lt;1,1/$U205,IF((GD$56-Voorblad!$F$41)/$U205-SUM($EE205:GC205)=1,1,0))))</f>
        <v>0</v>
      </c>
      <c r="GE205" s="8">
        <f>IF(GE$56-Voorblad!$F$41&gt;Voorblad!$K$41,0,IF($U205=0,0,IF($U205&lt;1,1/$U205,IF((GE$56-Voorblad!$F$41)/$U205-SUM($EE205:GD205)=1,1,0))))</f>
        <v>0</v>
      </c>
      <c r="GF205" s="8">
        <f>IF(GF$56-Voorblad!$F$41&gt;Voorblad!$K$41,0,IF($U205=0,0,IF($U205&lt;1,1/$U205,IF((GF$56-Voorblad!$F$41)/$U205-SUM($EE205:GE205)=1,1,0))))</f>
        <v>0</v>
      </c>
      <c r="GG205" s="8">
        <f>IF(GG$56-Voorblad!$F$41&gt;Voorblad!$K$41,0,IF($U205=0,0,IF($U205&lt;1,1/$U205,IF((GG$56-Voorblad!$F$41)/$U205-SUM($EE205:GF205)=1,1,0))))</f>
        <v>0</v>
      </c>
      <c r="GH205" s="8">
        <f>IF(GH$56-Voorblad!$F$41&gt;Voorblad!$K$41,0,IF($U205=0,0,IF($U205&lt;1,1/$U205,IF((GH$56-Voorblad!$F$41)/$U205-SUM($EE205:GG205)=1,1,0))))</f>
        <v>0</v>
      </c>
      <c r="GI205" s="8">
        <f>IF(GI$56-Voorblad!$F$41&gt;Voorblad!$K$41,0,IF($U205=0,0,IF($U205&lt;1,1/$U205,IF((GI$56-Voorblad!$F$41)/$U205-SUM($EE205:GH205)=1,1,0))))</f>
        <v>0</v>
      </c>
      <c r="GJ205" s="8">
        <f>IF(GJ$56-Voorblad!$F$41&gt;Voorblad!$K$41,0,IF($U205=0,0,IF($U205&lt;1,1/$U205,IF((GJ$56-Voorblad!$F$41)/$U205-SUM($EE205:GI205)=1,1,0))))</f>
        <v>0</v>
      </c>
      <c r="GK205" s="8">
        <f>IF(GK$56-Voorblad!$F$41&gt;Voorblad!$K$41,0,IF($U205=0,0,IF($U205&lt;1,1/$U205,IF((GK$56-Voorblad!$F$41)/$U205-SUM($EE205:GJ205)=1,1,0))))</f>
        <v>0</v>
      </c>
      <c r="GL205" s="8">
        <f>IF(GL$56-Voorblad!$F$41&gt;Voorblad!$K$41,0,IF($U205=0,0,IF($U205&lt;1,1/$U205,IF((GL$56-Voorblad!$F$41)/$U205-SUM($EE205:GK205)=1,1,0))))</f>
        <v>0</v>
      </c>
      <c r="GM205" s="8">
        <f>IF(GM$56-Voorblad!$F$41&gt;Voorblad!$K$41,0,IF($U205=0,0,IF($U205&lt;1,1/$U205,IF((GM$56-Voorblad!$F$41)/$U205-SUM($EE205:GL205)=1,1,0))))</f>
        <v>0</v>
      </c>
      <c r="GN205" s="8">
        <f>IF(GN$56-Voorblad!$F$41&gt;Voorblad!$K$41,0,IF($U205=0,0,IF($U205&lt;1,1/$U205,IF((GN$56-Voorblad!$F$41)/$U205-SUM($EE205:GM205)=1,1,0))))</f>
        <v>0</v>
      </c>
      <c r="GO205" s="8">
        <f>IF(GO$56-Voorblad!$F$41&gt;Voorblad!$K$41,0,IF($U205=0,0,IF($U205&lt;1,1/$U205,IF((GO$56-Voorblad!$F$41)/$U205-SUM($EE205:GN205)=1,1,0))))</f>
        <v>0</v>
      </c>
      <c r="GP205" s="8">
        <f>IF(GP$56-Voorblad!$F$41&gt;Voorblad!$K$41,0,IF($U205=0,0,IF($U205&lt;1,1/$U205,IF((GP$56-Voorblad!$F$41)/$U205-SUM($EE205:GO205)=1,1,0))))</f>
        <v>0</v>
      </c>
      <c r="GQ205" s="8">
        <f>IF(GQ$56-Voorblad!$F$41&gt;Voorblad!$K$41,0,IF($U205=0,0,IF($U205&lt;1,1/$U205,IF((GQ$56-Voorblad!$F$41)/$U205-SUM($EE205:GP205)=1,1,0))))</f>
        <v>0</v>
      </c>
      <c r="GR205" s="8">
        <f>IF(GR$56-Voorblad!$F$41&gt;Voorblad!$K$41,0,IF($U205=0,0,IF($U205&lt;1,1/$U205,IF((GR$56-Voorblad!$F$41)/$U205-SUM($EE205:GQ205)=1,1,0))))</f>
        <v>0</v>
      </c>
      <c r="GS205" s="8">
        <f>IF(GS$56-Voorblad!$F$41&gt;Voorblad!$K$41,0,IF($U205=0,0,IF($U205&lt;1,1/$U205,IF((GS$56-Voorblad!$F$41)/$U205-SUM($EE205:GR205)=1,1,0))))</f>
        <v>0</v>
      </c>
      <c r="GT205" s="8">
        <f>IF(GT$56-Voorblad!$F$41&gt;Voorblad!$K$41,0,IF($U205=0,0,IF($U205&lt;1,1/$U205,IF((GT$56-Voorblad!$F$41)/$U205-SUM($EE205:GS205)=1,1,0))))</f>
        <v>0</v>
      </c>
      <c r="GU205" s="8">
        <f>IF(GU$56-Voorblad!$F$41&gt;Voorblad!$K$41,0,IF($U205=0,0,IF($U205&lt;1,1/$U205,IF((GU$56-Voorblad!$F$41)/$U205-SUM($EE205:GT205)=1,1,0))))</f>
        <v>0</v>
      </c>
      <c r="GV205" s="8">
        <f>IF(GV$56-Voorblad!$F$41&gt;Voorblad!$K$41,0,IF($U205=0,0,IF($U205&lt;1,1/$U205,IF((GV$56-Voorblad!$F$41)/$U205-SUM($EE205:GU205)=1,1,0))))</f>
        <v>0</v>
      </c>
      <c r="GW205" s="8">
        <f>IF(GW$56-Voorblad!$F$41&gt;Voorblad!$K$41,0,IF($U205=0,0,IF($U205&lt;1,1/$U205,IF((GW$56-Voorblad!$F$41)/$U205-SUM($EE205:GV205)=1,1,0))))</f>
        <v>0</v>
      </c>
      <c r="GX205" s="8">
        <f>IF(GX$56-Voorblad!$F$41&gt;Voorblad!$K$41,0,IF($U205=0,0,IF($U205&lt;1,1/$U205,IF((GX$56-Voorblad!$F$41)/$U205-SUM($EE205:GW205)=1,1,0))))</f>
        <v>0</v>
      </c>
      <c r="GY205" s="8">
        <f>IF(GY$56-Voorblad!$F$41&gt;Voorblad!$K$41,0,IF($U205=0,0,IF($U205&lt;1,1/$U205,IF((GY$56-Voorblad!$F$41)/$U205-SUM($EE205:GX205)=1,1,0))))</f>
        <v>0</v>
      </c>
      <c r="GZ205" s="8">
        <f>IF(GZ$56-Voorblad!$F$41&gt;Voorblad!$K$41,0,IF($U205=0,0,IF($U205&lt;1,1/$U205,IF((GZ$56-Voorblad!$F$41)/$U205-SUM($EE205:GY205)=1,1,0))))</f>
        <v>0</v>
      </c>
      <c r="HA205" s="8">
        <f>IF(HA$56-Voorblad!$F$41&gt;Voorblad!$K$41,0,IF($U205=0,0,IF($U205&lt;1,1/$U205,IF((HA$56-Voorblad!$F$41)/$U205-SUM($EE205:GZ205)=1,1,0))))</f>
        <v>0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100</v>
      </c>
      <c r="Q206" s="81">
        <v>0</v>
      </c>
      <c r="R206" s="1" t="s">
        <v>33</v>
      </c>
      <c r="S206" s="21">
        <f>4%*T204</f>
        <v>289593.304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0</v>
      </c>
      <c r="FP206" s="8">
        <f>IF(FP$56-Voorblad!$F$41&gt;Voorblad!$K$41,0,IF($U206=0,0,IF($U206&lt;1,1/$U206,IF((FP$56-Voorblad!$F$41)/$U206-SUM($EE206:FO206)=1,1,0))))</f>
        <v>0</v>
      </c>
      <c r="FQ206" s="8">
        <f>IF(FQ$56-Voorblad!$F$41&gt;Voorblad!$K$41,0,IF($U206=0,0,IF($U206&lt;1,1/$U206,IF((FQ$56-Voorblad!$F$41)/$U206-SUM($EE206:FP206)=1,1,0))))</f>
        <v>0</v>
      </c>
      <c r="FR206" s="8">
        <f>IF(FR$56-Voorblad!$F$41&gt;Voorblad!$K$41,0,IF($U206=0,0,IF($U206&lt;1,1/$U206,IF((FR$56-Voorblad!$F$41)/$U206-SUM($EE206:FQ206)=1,1,0))))</f>
        <v>0</v>
      </c>
      <c r="FS206" s="8">
        <f>IF(FS$56-Voorblad!$F$41&gt;Voorblad!$K$41,0,IF($U206=0,0,IF($U206&lt;1,1/$U206,IF((FS$56-Voorblad!$F$41)/$U206-SUM($EE206:FR206)=1,1,0))))</f>
        <v>0</v>
      </c>
      <c r="FT206" s="8">
        <f>IF(FT$56-Voorblad!$F$41&gt;Voorblad!$K$41,0,IF($U206=0,0,IF($U206&lt;1,1/$U206,IF((FT$56-Voorblad!$F$41)/$U206-SUM($EE206:FS206)=1,1,0))))</f>
        <v>0</v>
      </c>
      <c r="FU206" s="8">
        <f>IF(FU$56-Voorblad!$F$41&gt;Voorblad!$K$41,0,IF($U206=0,0,IF($U206&lt;1,1/$U206,IF((FU$56-Voorblad!$F$41)/$U206-SUM($EE206:FT206)=1,1,0))))</f>
        <v>0</v>
      </c>
      <c r="FV206" s="8">
        <f>IF(FV$56-Voorblad!$F$41&gt;Voorblad!$K$41,0,IF($U206=0,0,IF($U206&lt;1,1/$U206,IF((FV$56-Voorblad!$F$41)/$U206-SUM($EE206:FU206)=1,1,0))))</f>
        <v>0</v>
      </c>
      <c r="FW206" s="8">
        <f>IF(FW$56-Voorblad!$F$41&gt;Voorblad!$K$41,0,IF($U206=0,0,IF($U206&lt;1,1/$U206,IF((FW$56-Voorblad!$F$41)/$U206-SUM($EE206:FV206)=1,1,0))))</f>
        <v>0</v>
      </c>
      <c r="FX206" s="8">
        <f>IF(FX$56-Voorblad!$F$41&gt;Voorblad!$K$41,0,IF($U206=0,0,IF($U206&lt;1,1/$U206,IF((FX$56-Voorblad!$F$41)/$U206-SUM($EE206:FW206)=1,1,0))))</f>
        <v>0</v>
      </c>
      <c r="FY206" s="8">
        <f>IF(FY$56-Voorblad!$F$41&gt;Voorblad!$K$41,0,IF($U206=0,0,IF($U206&lt;1,1/$U206,IF((FY$56-Voorblad!$F$41)/$U206-SUM($EE206:FX206)=1,1,0))))</f>
        <v>0</v>
      </c>
      <c r="FZ206" s="8">
        <f>IF(FZ$56-Voorblad!$F$41&gt;Voorblad!$K$41,0,IF($U206=0,0,IF($U206&lt;1,1/$U206,IF((FZ$56-Voorblad!$F$41)/$U206-SUM($EE206:FY206)=1,1,0))))</f>
        <v>0</v>
      </c>
      <c r="GA206" s="8">
        <f>IF(GA$56-Voorblad!$F$41&gt;Voorblad!$K$41,0,IF($U206=0,0,IF($U206&lt;1,1/$U206,IF((GA$56-Voorblad!$F$41)/$U206-SUM($EE206:FZ206)=1,1,0))))</f>
        <v>0</v>
      </c>
      <c r="GB206" s="8">
        <f>IF(GB$56-Voorblad!$F$41&gt;Voorblad!$K$41,0,IF($U206=0,0,IF($U206&lt;1,1/$U206,IF((GB$56-Voorblad!$F$41)/$U206-SUM($EE206:GA206)=1,1,0))))</f>
        <v>0</v>
      </c>
      <c r="GC206" s="8">
        <f>IF(GC$56-Voorblad!$F$41&gt;Voorblad!$K$41,0,IF($U206=0,0,IF($U206&lt;1,1/$U206,IF((GC$56-Voorblad!$F$41)/$U206-SUM($EE206:GB206)=1,1,0))))</f>
        <v>0</v>
      </c>
      <c r="GD206" s="8">
        <f>IF(GD$56-Voorblad!$F$41&gt;Voorblad!$K$41,0,IF($U206=0,0,IF($U206&lt;1,1/$U206,IF((GD$56-Voorblad!$F$41)/$U206-SUM($EE206:GC206)=1,1,0))))</f>
        <v>0</v>
      </c>
      <c r="GE206" s="8">
        <f>IF(GE$56-Voorblad!$F$41&gt;Voorblad!$K$41,0,IF($U206=0,0,IF($U206&lt;1,1/$U206,IF((GE$56-Voorblad!$F$41)/$U206-SUM($EE206:GD206)=1,1,0))))</f>
        <v>0</v>
      </c>
      <c r="GF206" s="8">
        <f>IF(GF$56-Voorblad!$F$41&gt;Voorblad!$K$41,0,IF($U206=0,0,IF($U206&lt;1,1/$U206,IF((GF$56-Voorblad!$F$41)/$U206-SUM($EE206:GE206)=1,1,0))))</f>
        <v>0</v>
      </c>
      <c r="GG206" s="8">
        <f>IF(GG$56-Voorblad!$F$41&gt;Voorblad!$K$41,0,IF($U206=0,0,IF($U206&lt;1,1/$U206,IF((GG$56-Voorblad!$F$41)/$U206-SUM($EE206:GF206)=1,1,0))))</f>
        <v>0</v>
      </c>
      <c r="GH206" s="8">
        <f>IF(GH$56-Voorblad!$F$41&gt;Voorblad!$K$41,0,IF($U206=0,0,IF($U206&lt;1,1/$U206,IF((GH$56-Voorblad!$F$41)/$U206-SUM($EE206:GG206)=1,1,0))))</f>
        <v>0</v>
      </c>
      <c r="GI206" s="8">
        <f>IF(GI$56-Voorblad!$F$41&gt;Voorblad!$K$41,0,IF($U206=0,0,IF($U206&lt;1,1/$U206,IF((GI$56-Voorblad!$F$41)/$U206-SUM($EE206:GH206)=1,1,0))))</f>
        <v>0</v>
      </c>
      <c r="GJ206" s="8">
        <f>IF(GJ$56-Voorblad!$F$41&gt;Voorblad!$K$41,0,IF($U206=0,0,IF($U206&lt;1,1/$U206,IF((GJ$56-Voorblad!$F$41)/$U206-SUM($EE206:GI206)=1,1,0))))</f>
        <v>0</v>
      </c>
      <c r="GK206" s="8">
        <f>IF(GK$56-Voorblad!$F$41&gt;Voorblad!$K$41,0,IF($U206=0,0,IF($U206&lt;1,1/$U206,IF((GK$56-Voorblad!$F$41)/$U206-SUM($EE206:GJ206)=1,1,0))))</f>
        <v>0</v>
      </c>
      <c r="GL206" s="8">
        <f>IF(GL$56-Voorblad!$F$41&gt;Voorblad!$K$41,0,IF($U206=0,0,IF($U206&lt;1,1/$U206,IF((GL$56-Voorblad!$F$41)/$U206-SUM($EE206:GK206)=1,1,0))))</f>
        <v>0</v>
      </c>
      <c r="GM206" s="8">
        <f>IF(GM$56-Voorblad!$F$41&gt;Voorblad!$K$41,0,IF($U206=0,0,IF($U206&lt;1,1/$U206,IF((GM$56-Voorblad!$F$41)/$U206-SUM($EE206:GL206)=1,1,0))))</f>
        <v>0</v>
      </c>
      <c r="GN206" s="8">
        <f>IF(GN$56-Voorblad!$F$41&gt;Voorblad!$K$41,0,IF($U206=0,0,IF($U206&lt;1,1/$U206,IF((GN$56-Voorblad!$F$41)/$U206-SUM($EE206:GM206)=1,1,0))))</f>
        <v>0</v>
      </c>
      <c r="GO206" s="8">
        <f>IF(GO$56-Voorblad!$F$41&gt;Voorblad!$K$41,0,IF($U206=0,0,IF($U206&lt;1,1/$U206,IF((GO$56-Voorblad!$F$41)/$U206-SUM($EE206:GN206)=1,1,0))))</f>
        <v>0</v>
      </c>
      <c r="GP206" s="8">
        <f>IF(GP$56-Voorblad!$F$41&gt;Voorblad!$K$41,0,IF($U206=0,0,IF($U206&lt;1,1/$U206,IF((GP$56-Voorblad!$F$41)/$U206-SUM($EE206:GO206)=1,1,0))))</f>
        <v>0</v>
      </c>
      <c r="GQ206" s="8">
        <f>IF(GQ$56-Voorblad!$F$41&gt;Voorblad!$K$41,0,IF($U206=0,0,IF($U206&lt;1,1/$U206,IF((GQ$56-Voorblad!$F$41)/$U206-SUM($EE206:GP206)=1,1,0))))</f>
        <v>0</v>
      </c>
      <c r="GR206" s="8">
        <f>IF(GR$56-Voorblad!$F$41&gt;Voorblad!$K$41,0,IF($U206=0,0,IF($U206&lt;1,1/$U206,IF((GR$56-Voorblad!$F$41)/$U206-SUM($EE206:GQ206)=1,1,0))))</f>
        <v>0</v>
      </c>
      <c r="GS206" s="8">
        <f>IF(GS$56-Voorblad!$F$41&gt;Voorblad!$K$41,0,IF($U206=0,0,IF($U206&lt;1,1/$U206,IF((GS$56-Voorblad!$F$41)/$U206-SUM($EE206:GR206)=1,1,0))))</f>
        <v>0</v>
      </c>
      <c r="GT206" s="8">
        <f>IF(GT$56-Voorblad!$F$41&gt;Voorblad!$K$41,0,IF($U206=0,0,IF($U206&lt;1,1/$U206,IF((GT$56-Voorblad!$F$41)/$U206-SUM($EE206:GS206)=1,1,0))))</f>
        <v>0</v>
      </c>
      <c r="GU206" s="8">
        <f>IF(GU$56-Voorblad!$F$41&gt;Voorblad!$K$41,0,IF($U206=0,0,IF($U206&lt;1,1/$U206,IF((GU$56-Voorblad!$F$41)/$U206-SUM($EE206:GT206)=1,1,0))))</f>
        <v>0</v>
      </c>
      <c r="GV206" s="8">
        <f>IF(GV$56-Voorblad!$F$41&gt;Voorblad!$K$41,0,IF($U206=0,0,IF($U206&lt;1,1/$U206,IF((GV$56-Voorblad!$F$41)/$U206-SUM($EE206:GU206)=1,1,0))))</f>
        <v>0</v>
      </c>
      <c r="GW206" s="8">
        <f>IF(GW$56-Voorblad!$F$41&gt;Voorblad!$K$41,0,IF($U206=0,0,IF($U206&lt;1,1/$U206,IF((GW$56-Voorblad!$F$41)/$U206-SUM($EE206:GV206)=1,1,0))))</f>
        <v>0</v>
      </c>
      <c r="GX206" s="8">
        <f>IF(GX$56-Voorblad!$F$41&gt;Voorblad!$K$41,0,IF($U206=0,0,IF($U206&lt;1,1/$U206,IF((GX$56-Voorblad!$F$41)/$U206-SUM($EE206:GW206)=1,1,0))))</f>
        <v>0</v>
      </c>
      <c r="GY206" s="8">
        <f>IF(GY$56-Voorblad!$F$41&gt;Voorblad!$K$41,0,IF($U206=0,0,IF($U206&lt;1,1/$U206,IF((GY$56-Voorblad!$F$41)/$U206-SUM($EE206:GX206)=1,1,0))))</f>
        <v>0</v>
      </c>
      <c r="GZ206" s="8">
        <f>IF(GZ$56-Voorblad!$F$41&gt;Voorblad!$K$41,0,IF($U206=0,0,IF($U206&lt;1,1/$U206,IF((GZ$56-Voorblad!$F$41)/$U206-SUM($EE206:GY206)=1,1,0))))</f>
        <v>0</v>
      </c>
      <c r="HA206" s="8">
        <f>IF(HA$56-Voorblad!$F$41&gt;Voorblad!$K$41,0,IF($U206=0,0,IF($U206&lt;1,1/$U206,IF((HA$56-Voorblad!$F$41)/$U206-SUM($EE206:GZ206)=1,1,0))))</f>
        <v>0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101</v>
      </c>
      <c r="Q207" s="81">
        <v>0</v>
      </c>
      <c r="R207" s="1" t="s">
        <v>33</v>
      </c>
      <c r="S207" s="21">
        <f>7%*T204</f>
        <v>506788.28200000001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0</v>
      </c>
      <c r="FP207" s="8">
        <f>IF(FP$56-Voorblad!$F$41&gt;Voorblad!$K$41,0,IF($U207=0,0,IF($U207&lt;1,1/$U207,IF((FP$56-Voorblad!$F$41)/$U207-SUM($EE207:FO207)=1,1,0))))</f>
        <v>0</v>
      </c>
      <c r="FQ207" s="8">
        <f>IF(FQ$56-Voorblad!$F$41&gt;Voorblad!$K$41,0,IF($U207=0,0,IF($U207&lt;1,1/$U207,IF((FQ$56-Voorblad!$F$41)/$U207-SUM($EE207:FP207)=1,1,0))))</f>
        <v>0</v>
      </c>
      <c r="FR207" s="8">
        <f>IF(FR$56-Voorblad!$F$41&gt;Voorblad!$K$41,0,IF($U207=0,0,IF($U207&lt;1,1/$U207,IF((FR$56-Voorblad!$F$41)/$U207-SUM($EE207:FQ207)=1,1,0))))</f>
        <v>0</v>
      </c>
      <c r="FS207" s="8">
        <f>IF(FS$56-Voorblad!$F$41&gt;Voorblad!$K$41,0,IF($U207=0,0,IF($U207&lt;1,1/$U207,IF((FS$56-Voorblad!$F$41)/$U207-SUM($EE207:FR207)=1,1,0))))</f>
        <v>0</v>
      </c>
      <c r="FT207" s="8">
        <f>IF(FT$56-Voorblad!$F$41&gt;Voorblad!$K$41,0,IF($U207=0,0,IF($U207&lt;1,1/$U207,IF((FT$56-Voorblad!$F$41)/$U207-SUM($EE207:FS207)=1,1,0))))</f>
        <v>0</v>
      </c>
      <c r="FU207" s="8">
        <f>IF(FU$56-Voorblad!$F$41&gt;Voorblad!$K$41,0,IF($U207=0,0,IF($U207&lt;1,1/$U207,IF((FU$56-Voorblad!$F$41)/$U207-SUM($EE207:FT207)=1,1,0))))</f>
        <v>0</v>
      </c>
      <c r="FV207" s="8">
        <f>IF(FV$56-Voorblad!$F$41&gt;Voorblad!$K$41,0,IF($U207=0,0,IF($U207&lt;1,1/$U207,IF((FV$56-Voorblad!$F$41)/$U207-SUM($EE207:FU207)=1,1,0))))</f>
        <v>0</v>
      </c>
      <c r="FW207" s="8">
        <f>IF(FW$56-Voorblad!$F$41&gt;Voorblad!$K$41,0,IF($U207=0,0,IF($U207&lt;1,1/$U207,IF((FW$56-Voorblad!$F$41)/$U207-SUM($EE207:FV207)=1,1,0))))</f>
        <v>0</v>
      </c>
      <c r="FX207" s="8">
        <f>IF(FX$56-Voorblad!$F$41&gt;Voorblad!$K$41,0,IF($U207=0,0,IF($U207&lt;1,1/$U207,IF((FX$56-Voorblad!$F$41)/$U207-SUM($EE207:FW207)=1,1,0))))</f>
        <v>0</v>
      </c>
      <c r="FY207" s="8">
        <f>IF(FY$56-Voorblad!$F$41&gt;Voorblad!$K$41,0,IF($U207=0,0,IF($U207&lt;1,1/$U207,IF((FY$56-Voorblad!$F$41)/$U207-SUM($EE207:FX207)=1,1,0))))</f>
        <v>0</v>
      </c>
      <c r="FZ207" s="8">
        <f>IF(FZ$56-Voorblad!$F$41&gt;Voorblad!$K$41,0,IF($U207=0,0,IF($U207&lt;1,1/$U207,IF((FZ$56-Voorblad!$F$41)/$U207-SUM($EE207:FY207)=1,1,0))))</f>
        <v>0</v>
      </c>
      <c r="GA207" s="8">
        <f>IF(GA$56-Voorblad!$F$41&gt;Voorblad!$K$41,0,IF($U207=0,0,IF($U207&lt;1,1/$U207,IF((GA$56-Voorblad!$F$41)/$U207-SUM($EE207:FZ207)=1,1,0))))</f>
        <v>0</v>
      </c>
      <c r="GB207" s="8">
        <f>IF(GB$56-Voorblad!$F$41&gt;Voorblad!$K$41,0,IF($U207=0,0,IF($U207&lt;1,1/$U207,IF((GB$56-Voorblad!$F$41)/$U207-SUM($EE207:GA207)=1,1,0))))</f>
        <v>0</v>
      </c>
      <c r="GC207" s="8">
        <f>IF(GC$56-Voorblad!$F$41&gt;Voorblad!$K$41,0,IF($U207=0,0,IF($U207&lt;1,1/$U207,IF((GC$56-Voorblad!$F$41)/$U207-SUM($EE207:GB207)=1,1,0))))</f>
        <v>0</v>
      </c>
      <c r="GD207" s="8">
        <f>IF(GD$56-Voorblad!$F$41&gt;Voorblad!$K$41,0,IF($U207=0,0,IF($U207&lt;1,1/$U207,IF((GD$56-Voorblad!$F$41)/$U207-SUM($EE207:GC207)=1,1,0))))</f>
        <v>0</v>
      </c>
      <c r="GE207" s="8">
        <f>IF(GE$56-Voorblad!$F$41&gt;Voorblad!$K$41,0,IF($U207=0,0,IF($U207&lt;1,1/$U207,IF((GE$56-Voorblad!$F$41)/$U207-SUM($EE207:GD207)=1,1,0))))</f>
        <v>0</v>
      </c>
      <c r="GF207" s="8">
        <f>IF(GF$56-Voorblad!$F$41&gt;Voorblad!$K$41,0,IF($U207=0,0,IF($U207&lt;1,1/$U207,IF((GF$56-Voorblad!$F$41)/$U207-SUM($EE207:GE207)=1,1,0))))</f>
        <v>0</v>
      </c>
      <c r="GG207" s="8">
        <f>IF(GG$56-Voorblad!$F$41&gt;Voorblad!$K$41,0,IF($U207=0,0,IF($U207&lt;1,1/$U207,IF((GG$56-Voorblad!$F$41)/$U207-SUM($EE207:GF207)=1,1,0))))</f>
        <v>0</v>
      </c>
      <c r="GH207" s="8">
        <f>IF(GH$56-Voorblad!$F$41&gt;Voorblad!$K$41,0,IF($U207=0,0,IF($U207&lt;1,1/$U207,IF((GH$56-Voorblad!$F$41)/$U207-SUM($EE207:GG207)=1,1,0))))</f>
        <v>0</v>
      </c>
      <c r="GI207" s="8">
        <f>IF(GI$56-Voorblad!$F$41&gt;Voorblad!$K$41,0,IF($U207=0,0,IF($U207&lt;1,1/$U207,IF((GI$56-Voorblad!$F$41)/$U207-SUM($EE207:GH207)=1,1,0))))</f>
        <v>0</v>
      </c>
      <c r="GJ207" s="8">
        <f>IF(GJ$56-Voorblad!$F$41&gt;Voorblad!$K$41,0,IF($U207=0,0,IF($U207&lt;1,1/$U207,IF((GJ$56-Voorblad!$F$41)/$U207-SUM($EE207:GI207)=1,1,0))))</f>
        <v>0</v>
      </c>
      <c r="GK207" s="8">
        <f>IF(GK$56-Voorblad!$F$41&gt;Voorblad!$K$41,0,IF($U207=0,0,IF($U207&lt;1,1/$U207,IF((GK$56-Voorblad!$F$41)/$U207-SUM($EE207:GJ207)=1,1,0))))</f>
        <v>0</v>
      </c>
      <c r="GL207" s="8">
        <f>IF(GL$56-Voorblad!$F$41&gt;Voorblad!$K$41,0,IF($U207=0,0,IF($U207&lt;1,1/$U207,IF((GL$56-Voorblad!$F$41)/$U207-SUM($EE207:GK207)=1,1,0))))</f>
        <v>0</v>
      </c>
      <c r="GM207" s="8">
        <f>IF(GM$56-Voorblad!$F$41&gt;Voorblad!$K$41,0,IF($U207=0,0,IF($U207&lt;1,1/$U207,IF((GM$56-Voorblad!$F$41)/$U207-SUM($EE207:GL207)=1,1,0))))</f>
        <v>0</v>
      </c>
      <c r="GN207" s="8">
        <f>IF(GN$56-Voorblad!$F$41&gt;Voorblad!$K$41,0,IF($U207=0,0,IF($U207&lt;1,1/$U207,IF((GN$56-Voorblad!$F$41)/$U207-SUM($EE207:GM207)=1,1,0))))</f>
        <v>0</v>
      </c>
      <c r="GO207" s="8">
        <f>IF(GO$56-Voorblad!$F$41&gt;Voorblad!$K$41,0,IF($U207=0,0,IF($U207&lt;1,1/$U207,IF((GO$56-Voorblad!$F$41)/$U207-SUM($EE207:GN207)=1,1,0))))</f>
        <v>0</v>
      </c>
      <c r="GP207" s="8">
        <f>IF(GP$56-Voorblad!$F$41&gt;Voorblad!$K$41,0,IF($U207=0,0,IF($U207&lt;1,1/$U207,IF((GP$56-Voorblad!$F$41)/$U207-SUM($EE207:GO207)=1,1,0))))</f>
        <v>0</v>
      </c>
      <c r="GQ207" s="8">
        <f>IF(GQ$56-Voorblad!$F$41&gt;Voorblad!$K$41,0,IF($U207=0,0,IF($U207&lt;1,1/$U207,IF((GQ$56-Voorblad!$F$41)/$U207-SUM($EE207:GP207)=1,1,0))))</f>
        <v>0</v>
      </c>
      <c r="GR207" s="8">
        <f>IF(GR$56-Voorblad!$F$41&gt;Voorblad!$K$41,0,IF($U207=0,0,IF($U207&lt;1,1/$U207,IF((GR$56-Voorblad!$F$41)/$U207-SUM($EE207:GQ207)=1,1,0))))</f>
        <v>0</v>
      </c>
      <c r="GS207" s="8">
        <f>IF(GS$56-Voorblad!$F$41&gt;Voorblad!$K$41,0,IF($U207=0,0,IF($U207&lt;1,1/$U207,IF((GS$56-Voorblad!$F$41)/$U207-SUM($EE207:GR207)=1,1,0))))</f>
        <v>0</v>
      </c>
      <c r="GT207" s="8">
        <f>IF(GT$56-Voorblad!$F$41&gt;Voorblad!$K$41,0,IF($U207=0,0,IF($U207&lt;1,1/$U207,IF((GT$56-Voorblad!$F$41)/$U207-SUM($EE207:GS207)=1,1,0))))</f>
        <v>0</v>
      </c>
      <c r="GU207" s="8">
        <f>IF(GU$56-Voorblad!$F$41&gt;Voorblad!$K$41,0,IF($U207=0,0,IF($U207&lt;1,1/$U207,IF((GU$56-Voorblad!$F$41)/$U207-SUM($EE207:GT207)=1,1,0))))</f>
        <v>0</v>
      </c>
      <c r="GV207" s="8">
        <f>IF(GV$56-Voorblad!$F$41&gt;Voorblad!$K$41,0,IF($U207=0,0,IF($U207&lt;1,1/$U207,IF((GV$56-Voorblad!$F$41)/$U207-SUM($EE207:GU207)=1,1,0))))</f>
        <v>0</v>
      </c>
      <c r="GW207" s="8">
        <f>IF(GW$56-Voorblad!$F$41&gt;Voorblad!$K$41,0,IF($U207=0,0,IF($U207&lt;1,1/$U207,IF((GW$56-Voorblad!$F$41)/$U207-SUM($EE207:GV207)=1,1,0))))</f>
        <v>0</v>
      </c>
      <c r="GX207" s="8">
        <f>IF(GX$56-Voorblad!$F$41&gt;Voorblad!$K$41,0,IF($U207=0,0,IF($U207&lt;1,1/$U207,IF((GX$56-Voorblad!$F$41)/$U207-SUM($EE207:GW207)=1,1,0))))</f>
        <v>0</v>
      </c>
      <c r="GY207" s="8">
        <f>IF(GY$56-Voorblad!$F$41&gt;Voorblad!$K$41,0,IF($U207=0,0,IF($U207&lt;1,1/$U207,IF((GY$56-Voorblad!$F$41)/$U207-SUM($EE207:GX207)=1,1,0))))</f>
        <v>0</v>
      </c>
      <c r="GZ207" s="8">
        <f>IF(GZ$56-Voorblad!$F$41&gt;Voorblad!$K$41,0,IF($U207=0,0,IF($U207&lt;1,1/$U207,IF((GZ$56-Voorblad!$F$41)/$U207-SUM($EE207:GY207)=1,1,0))))</f>
        <v>0</v>
      </c>
      <c r="HA207" s="8">
        <f>IF(HA$56-Voorblad!$F$41&gt;Voorblad!$K$41,0,IF($U207=0,0,IF($U207&lt;1,1/$U207,IF((HA$56-Voorblad!$F$41)/$U207-SUM($EE207:GZ207)=1,1,0))))</f>
        <v>0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5">
      <c r="B208" s="2" t="s">
        <v>274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7239832.5999999996</v>
      </c>
      <c r="U208" s="14"/>
      <c r="V208" s="14"/>
      <c r="W208" s="14"/>
      <c r="X208" s="6"/>
      <c r="Y208" s="23">
        <f>SUM(Y204:Y207)</f>
        <v>3126922.3826788277</v>
      </c>
      <c r="Z208" s="24"/>
      <c r="AA208" s="23">
        <f>SUM(AA204:AA207)</f>
        <v>156</v>
      </c>
      <c r="AC208" s="9">
        <f>$Y208*(Voorblad!$K$44*(1+Voorblad!$K$44)^Voorblad!$K$41)/((1+Voorblad!$K$44)^Voorblad!$K$41-1)</f>
        <v>137605.69406820612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280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0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0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0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0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0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0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0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0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281</v>
      </c>
      <c r="K213" s="1" t="s">
        <v>87</v>
      </c>
      <c r="O213" s="1" t="s">
        <v>135</v>
      </c>
      <c r="Q213" s="81">
        <v>0</v>
      </c>
      <c r="R213" s="1" t="s">
        <v>35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0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0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0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0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281</v>
      </c>
      <c r="K214" s="1" t="s">
        <v>84</v>
      </c>
      <c r="O214" s="1" t="s">
        <v>134</v>
      </c>
      <c r="Q214" s="81">
        <v>0</v>
      </c>
      <c r="R214" s="1" t="s">
        <v>35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0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0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0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0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281</v>
      </c>
      <c r="K215" s="1" t="s">
        <v>88</v>
      </c>
      <c r="O215" s="1" t="s">
        <v>219</v>
      </c>
      <c r="P215" s="1" t="s">
        <v>175</v>
      </c>
      <c r="Q215" s="81">
        <v>0</v>
      </c>
      <c r="R215" s="1" t="s">
        <v>35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9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0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0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0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0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272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222</v>
      </c>
      <c r="O218" s="1" t="s">
        <v>220</v>
      </c>
      <c r="P218" s="1" t="s">
        <v>221</v>
      </c>
      <c r="Q218" s="81">
        <v>0</v>
      </c>
      <c r="R218" s="1" t="s">
        <v>35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9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0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273</v>
      </c>
      <c r="C219" s="2"/>
      <c r="D219" s="15"/>
      <c r="E219" s="15"/>
      <c r="S219" s="14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107</v>
      </c>
      <c r="O221" s="1" t="s">
        <v>57</v>
      </c>
      <c r="Q221" s="81">
        <v>0</v>
      </c>
      <c r="R221" s="81" t="s">
        <v>33</v>
      </c>
      <c r="S221" s="81">
        <v>0</v>
      </c>
      <c r="T221" s="14">
        <f>Q221*S221</f>
        <v>0</v>
      </c>
      <c r="U221" s="11">
        <v>1</v>
      </c>
      <c r="V221" s="14">
        <f>Voorblad!F25+100</f>
        <v>2062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0</v>
      </c>
      <c r="FP221" s="8">
        <f>IF(FP$56-Voorblad!$F$41&gt;Voorblad!$K$41,0,IF($U221=0,0,IF($U221&lt;1,1/$U221,IF((FP$56-Voorblad!$F$41)/$U221-SUM($EE221:FO221)=1,1,0))))</f>
        <v>0</v>
      </c>
      <c r="FQ221" s="8">
        <f>IF(FQ$56-Voorblad!$F$41&gt;Voorblad!$K$41,0,IF($U221=0,0,IF($U221&lt;1,1/$U221,IF((FQ$56-Voorblad!$F$41)/$U221-SUM($EE221:FP221)=1,1,0))))</f>
        <v>0</v>
      </c>
      <c r="FR221" s="8">
        <f>IF(FR$56-Voorblad!$F$41&gt;Voorblad!$K$41,0,IF($U221=0,0,IF($U221&lt;1,1/$U221,IF((FR$56-Voorblad!$F$41)/$U221-SUM($EE221:FQ221)=1,1,0))))</f>
        <v>0</v>
      </c>
      <c r="FS221" s="8">
        <f>IF(FS$56-Voorblad!$F$41&gt;Voorblad!$K$41,0,IF($U221=0,0,IF($U221&lt;1,1/$U221,IF((FS$56-Voorblad!$F$41)/$U221-SUM($EE221:FR221)=1,1,0))))</f>
        <v>0</v>
      </c>
      <c r="FT221" s="8">
        <f>IF(FT$56-Voorblad!$F$41&gt;Voorblad!$K$41,0,IF($U221=0,0,IF($U221&lt;1,1/$U221,IF((FT$56-Voorblad!$F$41)/$U221-SUM($EE221:FS221)=1,1,0))))</f>
        <v>0</v>
      </c>
      <c r="FU221" s="8">
        <f>IF(FU$56-Voorblad!$F$41&gt;Voorblad!$K$41,0,IF($U221=0,0,IF($U221&lt;1,1/$U221,IF((FU$56-Voorblad!$F$41)/$U221-SUM($EE221:FT221)=1,1,0))))</f>
        <v>0</v>
      </c>
      <c r="FV221" s="8">
        <f>IF(FV$56-Voorblad!$F$41&gt;Voorblad!$K$41,0,IF($U221=0,0,IF($U221&lt;1,1/$U221,IF((FV$56-Voorblad!$F$41)/$U221-SUM($EE221:FU221)=1,1,0))))</f>
        <v>0</v>
      </c>
      <c r="FW221" s="8">
        <f>IF(FW$56-Voorblad!$F$41&gt;Voorblad!$K$41,0,IF($U221=0,0,IF($U221&lt;1,1/$U221,IF((FW$56-Voorblad!$F$41)/$U221-SUM($EE221:FV221)=1,1,0))))</f>
        <v>0</v>
      </c>
      <c r="FX221" s="8">
        <f>IF(FX$56-Voorblad!$F$41&gt;Voorblad!$K$41,0,IF($U221=0,0,IF($U221&lt;1,1/$U221,IF((FX$56-Voorblad!$F$41)/$U221-SUM($EE221:FW221)=1,1,0))))</f>
        <v>0</v>
      </c>
      <c r="FY221" s="8">
        <f>IF(FY$56-Voorblad!$F$41&gt;Voorblad!$K$41,0,IF($U221=0,0,IF($U221&lt;1,1/$U221,IF((FY$56-Voorblad!$F$41)/$U221-SUM($EE221:FX221)=1,1,0))))</f>
        <v>0</v>
      </c>
      <c r="FZ221" s="8">
        <f>IF(FZ$56-Voorblad!$F$41&gt;Voorblad!$K$41,0,IF($U221=0,0,IF($U221&lt;1,1/$U221,IF((FZ$56-Voorblad!$F$41)/$U221-SUM($EE221:FY221)=1,1,0))))</f>
        <v>0</v>
      </c>
      <c r="GA221" s="8">
        <f>IF(GA$56-Voorblad!$F$41&gt;Voorblad!$K$41,0,IF($U221=0,0,IF($U221&lt;1,1/$U221,IF((GA$56-Voorblad!$F$41)/$U221-SUM($EE221:FZ221)=1,1,0))))</f>
        <v>0</v>
      </c>
      <c r="GB221" s="8">
        <f>IF(GB$56-Voorblad!$F$41&gt;Voorblad!$K$41,0,IF($U221=0,0,IF($U221&lt;1,1/$U221,IF((GB$56-Voorblad!$F$41)/$U221-SUM($EE221:GA221)=1,1,0))))</f>
        <v>0</v>
      </c>
      <c r="GC221" s="8">
        <f>IF(GC$56-Voorblad!$F$41&gt;Voorblad!$K$41,0,IF($U221=0,0,IF($U221&lt;1,1/$U221,IF((GC$56-Voorblad!$F$41)/$U221-SUM($EE221:GB221)=1,1,0))))</f>
        <v>0</v>
      </c>
      <c r="GD221" s="8">
        <f>IF(GD$56-Voorblad!$F$41&gt;Voorblad!$K$41,0,IF($U221=0,0,IF($U221&lt;1,1/$U221,IF((GD$56-Voorblad!$F$41)/$U221-SUM($EE221:GC221)=1,1,0))))</f>
        <v>0</v>
      </c>
      <c r="GE221" s="8">
        <f>IF(GE$56-Voorblad!$F$41&gt;Voorblad!$K$41,0,IF($U221=0,0,IF($U221&lt;1,1/$U221,IF((GE$56-Voorblad!$F$41)/$U221-SUM($EE221:GD221)=1,1,0))))</f>
        <v>0</v>
      </c>
      <c r="GF221" s="8">
        <f>IF(GF$56-Voorblad!$F$41&gt;Voorblad!$K$41,0,IF($U221=0,0,IF($U221&lt;1,1/$U221,IF((GF$56-Voorblad!$F$41)/$U221-SUM($EE221:GE221)=1,1,0))))</f>
        <v>0</v>
      </c>
      <c r="GG221" s="8">
        <f>IF(GG$56-Voorblad!$F$41&gt;Voorblad!$K$41,0,IF($U221=0,0,IF($U221&lt;1,1/$U221,IF((GG$56-Voorblad!$F$41)/$U221-SUM($EE221:GF221)=1,1,0))))</f>
        <v>0</v>
      </c>
      <c r="GH221" s="8">
        <f>IF(GH$56-Voorblad!$F$41&gt;Voorblad!$K$41,0,IF($U221=0,0,IF($U221&lt;1,1/$U221,IF((GH$56-Voorblad!$F$41)/$U221-SUM($EE221:GG221)=1,1,0))))</f>
        <v>0</v>
      </c>
      <c r="GI221" s="8">
        <f>IF(GI$56-Voorblad!$F$41&gt;Voorblad!$K$41,0,IF($U221=0,0,IF($U221&lt;1,1/$U221,IF((GI$56-Voorblad!$F$41)/$U221-SUM($EE221:GH221)=1,1,0))))</f>
        <v>0</v>
      </c>
      <c r="GJ221" s="8">
        <f>IF(GJ$56-Voorblad!$F$41&gt;Voorblad!$K$41,0,IF($U221=0,0,IF($U221&lt;1,1/$U221,IF((GJ$56-Voorblad!$F$41)/$U221-SUM($EE221:GI221)=1,1,0))))</f>
        <v>0</v>
      </c>
      <c r="GK221" s="8">
        <f>IF(GK$56-Voorblad!$F$41&gt;Voorblad!$K$41,0,IF($U221=0,0,IF($U221&lt;1,1/$U221,IF((GK$56-Voorblad!$F$41)/$U221-SUM($EE221:GJ221)=1,1,0))))</f>
        <v>0</v>
      </c>
      <c r="GL221" s="8">
        <f>IF(GL$56-Voorblad!$F$41&gt;Voorblad!$K$41,0,IF($U221=0,0,IF($U221&lt;1,1/$U221,IF((GL$56-Voorblad!$F$41)/$U221-SUM($EE221:GK221)=1,1,0))))</f>
        <v>0</v>
      </c>
      <c r="GM221" s="8">
        <f>IF(GM$56-Voorblad!$F$41&gt;Voorblad!$K$41,0,IF($U221=0,0,IF($U221&lt;1,1/$U221,IF((GM$56-Voorblad!$F$41)/$U221-SUM($EE221:GL221)=1,1,0))))</f>
        <v>0</v>
      </c>
      <c r="GN221" s="8">
        <f>IF(GN$56-Voorblad!$F$41&gt;Voorblad!$K$41,0,IF($U221=0,0,IF($U221&lt;1,1/$U221,IF((GN$56-Voorblad!$F$41)/$U221-SUM($EE221:GM221)=1,1,0))))</f>
        <v>0</v>
      </c>
      <c r="GO221" s="8">
        <f>IF(GO$56-Voorblad!$F$41&gt;Voorblad!$K$41,0,IF($U221=0,0,IF($U221&lt;1,1/$U221,IF((GO$56-Voorblad!$F$41)/$U221-SUM($EE221:GN221)=1,1,0))))</f>
        <v>0</v>
      </c>
      <c r="GP221" s="8">
        <f>IF(GP$56-Voorblad!$F$41&gt;Voorblad!$K$41,0,IF($U221=0,0,IF($U221&lt;1,1/$U221,IF((GP$56-Voorblad!$F$41)/$U221-SUM($EE221:GO221)=1,1,0))))</f>
        <v>0</v>
      </c>
      <c r="GQ221" s="8">
        <f>IF(GQ$56-Voorblad!$F$41&gt;Voorblad!$K$41,0,IF($U221=0,0,IF($U221&lt;1,1/$U221,IF((GQ$56-Voorblad!$F$41)/$U221-SUM($EE221:GP221)=1,1,0))))</f>
        <v>0</v>
      </c>
      <c r="GR221" s="8">
        <f>IF(GR$56-Voorblad!$F$41&gt;Voorblad!$K$41,0,IF($U221=0,0,IF($U221&lt;1,1/$U221,IF((GR$56-Voorblad!$F$41)/$U221-SUM($EE221:GQ221)=1,1,0))))</f>
        <v>0</v>
      </c>
      <c r="GS221" s="8">
        <f>IF(GS$56-Voorblad!$F$41&gt;Voorblad!$K$41,0,IF($U221=0,0,IF($U221&lt;1,1/$U221,IF((GS$56-Voorblad!$F$41)/$U221-SUM($EE221:GR221)=1,1,0))))</f>
        <v>0</v>
      </c>
      <c r="GT221" s="8">
        <f>IF(GT$56-Voorblad!$F$41&gt;Voorblad!$K$41,0,IF($U221=0,0,IF($U221&lt;1,1/$U221,IF((GT$56-Voorblad!$F$41)/$U221-SUM($EE221:GS221)=1,1,0))))</f>
        <v>0</v>
      </c>
      <c r="GU221" s="8">
        <f>IF(GU$56-Voorblad!$F$41&gt;Voorblad!$K$41,0,IF($U221=0,0,IF($U221&lt;1,1/$U221,IF((GU$56-Voorblad!$F$41)/$U221-SUM($EE221:GT221)=1,1,0))))</f>
        <v>0</v>
      </c>
      <c r="GV221" s="8">
        <f>IF(GV$56-Voorblad!$F$41&gt;Voorblad!$K$41,0,IF($U221=0,0,IF($U221&lt;1,1/$U221,IF((GV$56-Voorblad!$F$41)/$U221-SUM($EE221:GU221)=1,1,0))))</f>
        <v>0</v>
      </c>
      <c r="GW221" s="8">
        <f>IF(GW$56-Voorblad!$F$41&gt;Voorblad!$K$41,0,IF($U221=0,0,IF($U221&lt;1,1/$U221,IF((GW$56-Voorblad!$F$41)/$U221-SUM($EE221:GV221)=1,1,0))))</f>
        <v>0</v>
      </c>
      <c r="GX221" s="8">
        <f>IF(GX$56-Voorblad!$F$41&gt;Voorblad!$K$41,0,IF($U221=0,0,IF($U221&lt;1,1/$U221,IF((GX$56-Voorblad!$F$41)/$U221-SUM($EE221:GW221)=1,1,0))))</f>
        <v>0</v>
      </c>
      <c r="GY221" s="8">
        <f>IF(GY$56-Voorblad!$F$41&gt;Voorblad!$K$41,0,IF($U221=0,0,IF($U221&lt;1,1/$U221,IF((GY$56-Voorblad!$F$41)/$U221-SUM($EE221:GX221)=1,1,0))))</f>
        <v>0</v>
      </c>
      <c r="GZ221" s="8">
        <f>IF(GZ$56-Voorblad!$F$41&gt;Voorblad!$K$41,0,IF($U221=0,0,IF($U221&lt;1,1/$U221,IF((GZ$56-Voorblad!$F$41)/$U221-SUM($EE221:GY221)=1,1,0))))</f>
        <v>0</v>
      </c>
      <c r="HA221" s="8">
        <f>IF(HA$56-Voorblad!$F$41&gt;Voorblad!$K$41,0,IF($U221=0,0,IF($U221&lt;1,1/$U221,IF((HA$56-Voorblad!$F$41)/$U221-SUM($EE221:GZ221)=1,1,0))))</f>
        <v>0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99</v>
      </c>
      <c r="Q222" s="81">
        <v>0</v>
      </c>
      <c r="R222" s="1" t="s">
        <v>33</v>
      </c>
      <c r="S222" s="14">
        <f>2%*T221</f>
        <v>0</v>
      </c>
      <c r="T222" s="14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0</v>
      </c>
      <c r="FP222" s="8">
        <f>IF(FP$56-Voorblad!$F$41&gt;Voorblad!$K$41,0,IF($U222=0,0,IF($U222&lt;1,1/$U222,IF((FP$56-Voorblad!$F$41)/$U222-SUM($EE222:FO222)=1,1,0))))</f>
        <v>0</v>
      </c>
      <c r="FQ222" s="8">
        <f>IF(FQ$56-Voorblad!$F$41&gt;Voorblad!$K$41,0,IF($U222=0,0,IF($U222&lt;1,1/$U222,IF((FQ$56-Voorblad!$F$41)/$U222-SUM($EE222:FP222)=1,1,0))))</f>
        <v>0</v>
      </c>
      <c r="FR222" s="8">
        <f>IF(FR$56-Voorblad!$F$41&gt;Voorblad!$K$41,0,IF($U222=0,0,IF($U222&lt;1,1/$U222,IF((FR$56-Voorblad!$F$41)/$U222-SUM($EE222:FQ222)=1,1,0))))</f>
        <v>0</v>
      </c>
      <c r="FS222" s="8">
        <f>IF(FS$56-Voorblad!$F$41&gt;Voorblad!$K$41,0,IF($U222=0,0,IF($U222&lt;1,1/$U222,IF((FS$56-Voorblad!$F$41)/$U222-SUM($EE222:FR222)=1,1,0))))</f>
        <v>0</v>
      </c>
      <c r="FT222" s="8">
        <f>IF(FT$56-Voorblad!$F$41&gt;Voorblad!$K$41,0,IF($U222=0,0,IF($U222&lt;1,1/$U222,IF((FT$56-Voorblad!$F$41)/$U222-SUM($EE222:FS222)=1,1,0))))</f>
        <v>0</v>
      </c>
      <c r="FU222" s="8">
        <f>IF(FU$56-Voorblad!$F$41&gt;Voorblad!$K$41,0,IF($U222=0,0,IF($U222&lt;1,1/$U222,IF((FU$56-Voorblad!$F$41)/$U222-SUM($EE222:FT222)=1,1,0))))</f>
        <v>0</v>
      </c>
      <c r="FV222" s="8">
        <f>IF(FV$56-Voorblad!$F$41&gt;Voorblad!$K$41,0,IF($U222=0,0,IF($U222&lt;1,1/$U222,IF((FV$56-Voorblad!$F$41)/$U222-SUM($EE222:FU222)=1,1,0))))</f>
        <v>0</v>
      </c>
      <c r="FW222" s="8">
        <f>IF(FW$56-Voorblad!$F$41&gt;Voorblad!$K$41,0,IF($U222=0,0,IF($U222&lt;1,1/$U222,IF((FW$56-Voorblad!$F$41)/$U222-SUM($EE222:FV222)=1,1,0))))</f>
        <v>0</v>
      </c>
      <c r="FX222" s="8">
        <f>IF(FX$56-Voorblad!$F$41&gt;Voorblad!$K$41,0,IF($U222=0,0,IF($U222&lt;1,1/$U222,IF((FX$56-Voorblad!$F$41)/$U222-SUM($EE222:FW222)=1,1,0))))</f>
        <v>0</v>
      </c>
      <c r="FY222" s="8">
        <f>IF(FY$56-Voorblad!$F$41&gt;Voorblad!$K$41,0,IF($U222=0,0,IF($U222&lt;1,1/$U222,IF((FY$56-Voorblad!$F$41)/$U222-SUM($EE222:FX222)=1,1,0))))</f>
        <v>0</v>
      </c>
      <c r="FZ222" s="8">
        <f>IF(FZ$56-Voorblad!$F$41&gt;Voorblad!$K$41,0,IF($U222=0,0,IF($U222&lt;1,1/$U222,IF((FZ$56-Voorblad!$F$41)/$U222-SUM($EE222:FY222)=1,1,0))))</f>
        <v>0</v>
      </c>
      <c r="GA222" s="8">
        <f>IF(GA$56-Voorblad!$F$41&gt;Voorblad!$K$41,0,IF($U222=0,0,IF($U222&lt;1,1/$U222,IF((GA$56-Voorblad!$F$41)/$U222-SUM($EE222:FZ222)=1,1,0))))</f>
        <v>0</v>
      </c>
      <c r="GB222" s="8">
        <f>IF(GB$56-Voorblad!$F$41&gt;Voorblad!$K$41,0,IF($U222=0,0,IF($U222&lt;1,1/$U222,IF((GB$56-Voorblad!$F$41)/$U222-SUM($EE222:GA222)=1,1,0))))</f>
        <v>0</v>
      </c>
      <c r="GC222" s="8">
        <f>IF(GC$56-Voorblad!$F$41&gt;Voorblad!$K$41,0,IF($U222=0,0,IF($U222&lt;1,1/$U222,IF((GC$56-Voorblad!$F$41)/$U222-SUM($EE222:GB222)=1,1,0))))</f>
        <v>0</v>
      </c>
      <c r="GD222" s="8">
        <f>IF(GD$56-Voorblad!$F$41&gt;Voorblad!$K$41,0,IF($U222=0,0,IF($U222&lt;1,1/$U222,IF((GD$56-Voorblad!$F$41)/$U222-SUM($EE222:GC222)=1,1,0))))</f>
        <v>0</v>
      </c>
      <c r="GE222" s="8">
        <f>IF(GE$56-Voorblad!$F$41&gt;Voorblad!$K$41,0,IF($U222=0,0,IF($U222&lt;1,1/$U222,IF((GE$56-Voorblad!$F$41)/$U222-SUM($EE222:GD222)=1,1,0))))</f>
        <v>0</v>
      </c>
      <c r="GF222" s="8">
        <f>IF(GF$56-Voorblad!$F$41&gt;Voorblad!$K$41,0,IF($U222=0,0,IF($U222&lt;1,1/$U222,IF((GF$56-Voorblad!$F$41)/$U222-SUM($EE222:GE222)=1,1,0))))</f>
        <v>0</v>
      </c>
      <c r="GG222" s="8">
        <f>IF(GG$56-Voorblad!$F$41&gt;Voorblad!$K$41,0,IF($U222=0,0,IF($U222&lt;1,1/$U222,IF((GG$56-Voorblad!$F$41)/$U222-SUM($EE222:GF222)=1,1,0))))</f>
        <v>0</v>
      </c>
      <c r="GH222" s="8">
        <f>IF(GH$56-Voorblad!$F$41&gt;Voorblad!$K$41,0,IF($U222=0,0,IF($U222&lt;1,1/$U222,IF((GH$56-Voorblad!$F$41)/$U222-SUM($EE222:GG222)=1,1,0))))</f>
        <v>0</v>
      </c>
      <c r="GI222" s="8">
        <f>IF(GI$56-Voorblad!$F$41&gt;Voorblad!$K$41,0,IF($U222=0,0,IF($U222&lt;1,1/$U222,IF((GI$56-Voorblad!$F$41)/$U222-SUM($EE222:GH222)=1,1,0))))</f>
        <v>0</v>
      </c>
      <c r="GJ222" s="8">
        <f>IF(GJ$56-Voorblad!$F$41&gt;Voorblad!$K$41,0,IF($U222=0,0,IF($U222&lt;1,1/$U222,IF((GJ$56-Voorblad!$F$41)/$U222-SUM($EE222:GI222)=1,1,0))))</f>
        <v>0</v>
      </c>
      <c r="GK222" s="8">
        <f>IF(GK$56-Voorblad!$F$41&gt;Voorblad!$K$41,0,IF($U222=0,0,IF($U222&lt;1,1/$U222,IF((GK$56-Voorblad!$F$41)/$U222-SUM($EE222:GJ222)=1,1,0))))</f>
        <v>0</v>
      </c>
      <c r="GL222" s="8">
        <f>IF(GL$56-Voorblad!$F$41&gt;Voorblad!$K$41,0,IF($U222=0,0,IF($U222&lt;1,1/$U222,IF((GL$56-Voorblad!$F$41)/$U222-SUM($EE222:GK222)=1,1,0))))</f>
        <v>0</v>
      </c>
      <c r="GM222" s="8">
        <f>IF(GM$56-Voorblad!$F$41&gt;Voorblad!$K$41,0,IF($U222=0,0,IF($U222&lt;1,1/$U222,IF((GM$56-Voorblad!$F$41)/$U222-SUM($EE222:GL222)=1,1,0))))</f>
        <v>0</v>
      </c>
      <c r="GN222" s="8">
        <f>IF(GN$56-Voorblad!$F$41&gt;Voorblad!$K$41,0,IF($U222=0,0,IF($U222&lt;1,1/$U222,IF((GN$56-Voorblad!$F$41)/$U222-SUM($EE222:GM222)=1,1,0))))</f>
        <v>0</v>
      </c>
      <c r="GO222" s="8">
        <f>IF(GO$56-Voorblad!$F$41&gt;Voorblad!$K$41,0,IF($U222=0,0,IF($U222&lt;1,1/$U222,IF((GO$56-Voorblad!$F$41)/$U222-SUM($EE222:GN222)=1,1,0))))</f>
        <v>0</v>
      </c>
      <c r="GP222" s="8">
        <f>IF(GP$56-Voorblad!$F$41&gt;Voorblad!$K$41,0,IF($U222=0,0,IF($U222&lt;1,1/$U222,IF((GP$56-Voorblad!$F$41)/$U222-SUM($EE222:GO222)=1,1,0))))</f>
        <v>0</v>
      </c>
      <c r="GQ222" s="8">
        <f>IF(GQ$56-Voorblad!$F$41&gt;Voorblad!$K$41,0,IF($U222=0,0,IF($U222&lt;1,1/$U222,IF((GQ$56-Voorblad!$F$41)/$U222-SUM($EE222:GP222)=1,1,0))))</f>
        <v>0</v>
      </c>
      <c r="GR222" s="8">
        <f>IF(GR$56-Voorblad!$F$41&gt;Voorblad!$K$41,0,IF($U222=0,0,IF($U222&lt;1,1/$U222,IF((GR$56-Voorblad!$F$41)/$U222-SUM($EE222:GQ222)=1,1,0))))</f>
        <v>0</v>
      </c>
      <c r="GS222" s="8">
        <f>IF(GS$56-Voorblad!$F$41&gt;Voorblad!$K$41,0,IF($U222=0,0,IF($U222&lt;1,1/$U222,IF((GS$56-Voorblad!$F$41)/$U222-SUM($EE222:GR222)=1,1,0))))</f>
        <v>0</v>
      </c>
      <c r="GT222" s="8">
        <f>IF(GT$56-Voorblad!$F$41&gt;Voorblad!$K$41,0,IF($U222=0,0,IF($U222&lt;1,1/$U222,IF((GT$56-Voorblad!$F$41)/$U222-SUM($EE222:GS222)=1,1,0))))</f>
        <v>0</v>
      </c>
      <c r="GU222" s="8">
        <f>IF(GU$56-Voorblad!$F$41&gt;Voorblad!$K$41,0,IF($U222=0,0,IF($U222&lt;1,1/$U222,IF((GU$56-Voorblad!$F$41)/$U222-SUM($EE222:GT222)=1,1,0))))</f>
        <v>0</v>
      </c>
      <c r="GV222" s="8">
        <f>IF(GV$56-Voorblad!$F$41&gt;Voorblad!$K$41,0,IF($U222=0,0,IF($U222&lt;1,1/$U222,IF((GV$56-Voorblad!$F$41)/$U222-SUM($EE222:GU222)=1,1,0))))</f>
        <v>0</v>
      </c>
      <c r="GW222" s="8">
        <f>IF(GW$56-Voorblad!$F$41&gt;Voorblad!$K$41,0,IF($U222=0,0,IF($U222&lt;1,1/$U222,IF((GW$56-Voorblad!$F$41)/$U222-SUM($EE222:GV222)=1,1,0))))</f>
        <v>0</v>
      </c>
      <c r="GX222" s="8">
        <f>IF(GX$56-Voorblad!$F$41&gt;Voorblad!$K$41,0,IF($U222=0,0,IF($U222&lt;1,1/$U222,IF((GX$56-Voorblad!$F$41)/$U222-SUM($EE222:GW222)=1,1,0))))</f>
        <v>0</v>
      </c>
      <c r="GY222" s="8">
        <f>IF(GY$56-Voorblad!$F$41&gt;Voorblad!$K$41,0,IF($U222=0,0,IF($U222&lt;1,1/$U222,IF((GY$56-Voorblad!$F$41)/$U222-SUM($EE222:GX222)=1,1,0))))</f>
        <v>0</v>
      </c>
      <c r="GZ222" s="8">
        <f>IF(GZ$56-Voorblad!$F$41&gt;Voorblad!$K$41,0,IF($U222=0,0,IF($U222&lt;1,1/$U222,IF((GZ$56-Voorblad!$F$41)/$U222-SUM($EE222:GY222)=1,1,0))))</f>
        <v>0</v>
      </c>
      <c r="HA222" s="8">
        <f>IF(HA$56-Voorblad!$F$41&gt;Voorblad!$K$41,0,IF($U222=0,0,IF($U222&lt;1,1/$U222,IF((HA$56-Voorblad!$F$41)/$U222-SUM($EE222:GZ222)=1,1,0))))</f>
        <v>0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100</v>
      </c>
      <c r="Q223" s="81">
        <v>0</v>
      </c>
      <c r="R223" s="1" t="s">
        <v>33</v>
      </c>
      <c r="S223" s="14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0</v>
      </c>
      <c r="FP223" s="8">
        <f>IF(FP$56-Voorblad!$F$41&gt;Voorblad!$K$41,0,IF($U223=0,0,IF($U223&lt;1,1/$U223,IF((FP$56-Voorblad!$F$41)/$U223-SUM($EE223:FO223)=1,1,0))))</f>
        <v>0</v>
      </c>
      <c r="FQ223" s="8">
        <f>IF(FQ$56-Voorblad!$F$41&gt;Voorblad!$K$41,0,IF($U223=0,0,IF($U223&lt;1,1/$U223,IF((FQ$56-Voorblad!$F$41)/$U223-SUM($EE223:FP223)=1,1,0))))</f>
        <v>0</v>
      </c>
      <c r="FR223" s="8">
        <f>IF(FR$56-Voorblad!$F$41&gt;Voorblad!$K$41,0,IF($U223=0,0,IF($U223&lt;1,1/$U223,IF((FR$56-Voorblad!$F$41)/$U223-SUM($EE223:FQ223)=1,1,0))))</f>
        <v>0</v>
      </c>
      <c r="FS223" s="8">
        <f>IF(FS$56-Voorblad!$F$41&gt;Voorblad!$K$41,0,IF($U223=0,0,IF($U223&lt;1,1/$U223,IF((FS$56-Voorblad!$F$41)/$U223-SUM($EE223:FR223)=1,1,0))))</f>
        <v>0</v>
      </c>
      <c r="FT223" s="8">
        <f>IF(FT$56-Voorblad!$F$41&gt;Voorblad!$K$41,0,IF($U223=0,0,IF($U223&lt;1,1/$U223,IF((FT$56-Voorblad!$F$41)/$U223-SUM($EE223:FS223)=1,1,0))))</f>
        <v>0</v>
      </c>
      <c r="FU223" s="8">
        <f>IF(FU$56-Voorblad!$F$41&gt;Voorblad!$K$41,0,IF($U223=0,0,IF($U223&lt;1,1/$U223,IF((FU$56-Voorblad!$F$41)/$U223-SUM($EE223:FT223)=1,1,0))))</f>
        <v>0</v>
      </c>
      <c r="FV223" s="8">
        <f>IF(FV$56-Voorblad!$F$41&gt;Voorblad!$K$41,0,IF($U223=0,0,IF($U223&lt;1,1/$U223,IF((FV$56-Voorblad!$F$41)/$U223-SUM($EE223:FU223)=1,1,0))))</f>
        <v>0</v>
      </c>
      <c r="FW223" s="8">
        <f>IF(FW$56-Voorblad!$F$41&gt;Voorblad!$K$41,0,IF($U223=0,0,IF($U223&lt;1,1/$U223,IF((FW$56-Voorblad!$F$41)/$U223-SUM($EE223:FV223)=1,1,0))))</f>
        <v>0</v>
      </c>
      <c r="FX223" s="8">
        <f>IF(FX$56-Voorblad!$F$41&gt;Voorblad!$K$41,0,IF($U223=0,0,IF($U223&lt;1,1/$U223,IF((FX$56-Voorblad!$F$41)/$U223-SUM($EE223:FW223)=1,1,0))))</f>
        <v>0</v>
      </c>
      <c r="FY223" s="8">
        <f>IF(FY$56-Voorblad!$F$41&gt;Voorblad!$K$41,0,IF($U223=0,0,IF($U223&lt;1,1/$U223,IF((FY$56-Voorblad!$F$41)/$U223-SUM($EE223:FX223)=1,1,0))))</f>
        <v>0</v>
      </c>
      <c r="FZ223" s="8">
        <f>IF(FZ$56-Voorblad!$F$41&gt;Voorblad!$K$41,0,IF($U223=0,0,IF($U223&lt;1,1/$U223,IF((FZ$56-Voorblad!$F$41)/$U223-SUM($EE223:FY223)=1,1,0))))</f>
        <v>0</v>
      </c>
      <c r="GA223" s="8">
        <f>IF(GA$56-Voorblad!$F$41&gt;Voorblad!$K$41,0,IF($U223=0,0,IF($U223&lt;1,1/$U223,IF((GA$56-Voorblad!$F$41)/$U223-SUM($EE223:FZ223)=1,1,0))))</f>
        <v>0</v>
      </c>
      <c r="GB223" s="8">
        <f>IF(GB$56-Voorblad!$F$41&gt;Voorblad!$K$41,0,IF($U223=0,0,IF($U223&lt;1,1/$U223,IF((GB$56-Voorblad!$F$41)/$U223-SUM($EE223:GA223)=1,1,0))))</f>
        <v>0</v>
      </c>
      <c r="GC223" s="8">
        <f>IF(GC$56-Voorblad!$F$41&gt;Voorblad!$K$41,0,IF($U223=0,0,IF($U223&lt;1,1/$U223,IF((GC$56-Voorblad!$F$41)/$U223-SUM($EE223:GB223)=1,1,0))))</f>
        <v>0</v>
      </c>
      <c r="GD223" s="8">
        <f>IF(GD$56-Voorblad!$F$41&gt;Voorblad!$K$41,0,IF($U223=0,0,IF($U223&lt;1,1/$U223,IF((GD$56-Voorblad!$F$41)/$U223-SUM($EE223:GC223)=1,1,0))))</f>
        <v>0</v>
      </c>
      <c r="GE223" s="8">
        <f>IF(GE$56-Voorblad!$F$41&gt;Voorblad!$K$41,0,IF($U223=0,0,IF($U223&lt;1,1/$U223,IF((GE$56-Voorblad!$F$41)/$U223-SUM($EE223:GD223)=1,1,0))))</f>
        <v>0</v>
      </c>
      <c r="GF223" s="8">
        <f>IF(GF$56-Voorblad!$F$41&gt;Voorblad!$K$41,0,IF($U223=0,0,IF($U223&lt;1,1/$U223,IF((GF$56-Voorblad!$F$41)/$U223-SUM($EE223:GE223)=1,1,0))))</f>
        <v>0</v>
      </c>
      <c r="GG223" s="8">
        <f>IF(GG$56-Voorblad!$F$41&gt;Voorblad!$K$41,0,IF($U223=0,0,IF($U223&lt;1,1/$U223,IF((GG$56-Voorblad!$F$41)/$U223-SUM($EE223:GF223)=1,1,0))))</f>
        <v>0</v>
      </c>
      <c r="GH223" s="8">
        <f>IF(GH$56-Voorblad!$F$41&gt;Voorblad!$K$41,0,IF($U223=0,0,IF($U223&lt;1,1/$U223,IF((GH$56-Voorblad!$F$41)/$U223-SUM($EE223:GG223)=1,1,0))))</f>
        <v>0</v>
      </c>
      <c r="GI223" s="8">
        <f>IF(GI$56-Voorblad!$F$41&gt;Voorblad!$K$41,0,IF($U223=0,0,IF($U223&lt;1,1/$U223,IF((GI$56-Voorblad!$F$41)/$U223-SUM($EE223:GH223)=1,1,0))))</f>
        <v>0</v>
      </c>
      <c r="GJ223" s="8">
        <f>IF(GJ$56-Voorblad!$F$41&gt;Voorblad!$K$41,0,IF($U223=0,0,IF($U223&lt;1,1/$U223,IF((GJ$56-Voorblad!$F$41)/$U223-SUM($EE223:GI223)=1,1,0))))</f>
        <v>0</v>
      </c>
      <c r="GK223" s="8">
        <f>IF(GK$56-Voorblad!$F$41&gt;Voorblad!$K$41,0,IF($U223=0,0,IF($U223&lt;1,1/$U223,IF((GK$56-Voorblad!$F$41)/$U223-SUM($EE223:GJ223)=1,1,0))))</f>
        <v>0</v>
      </c>
      <c r="GL223" s="8">
        <f>IF(GL$56-Voorblad!$F$41&gt;Voorblad!$K$41,0,IF($U223=0,0,IF($U223&lt;1,1/$U223,IF((GL$56-Voorblad!$F$41)/$U223-SUM($EE223:GK223)=1,1,0))))</f>
        <v>0</v>
      </c>
      <c r="GM223" s="8">
        <f>IF(GM$56-Voorblad!$F$41&gt;Voorblad!$K$41,0,IF($U223=0,0,IF($U223&lt;1,1/$U223,IF((GM$56-Voorblad!$F$41)/$U223-SUM($EE223:GL223)=1,1,0))))</f>
        <v>0</v>
      </c>
      <c r="GN223" s="8">
        <f>IF(GN$56-Voorblad!$F$41&gt;Voorblad!$K$41,0,IF($U223=0,0,IF($U223&lt;1,1/$U223,IF((GN$56-Voorblad!$F$41)/$U223-SUM($EE223:GM223)=1,1,0))))</f>
        <v>0</v>
      </c>
      <c r="GO223" s="8">
        <f>IF(GO$56-Voorblad!$F$41&gt;Voorblad!$K$41,0,IF($U223=0,0,IF($U223&lt;1,1/$U223,IF((GO$56-Voorblad!$F$41)/$U223-SUM($EE223:GN223)=1,1,0))))</f>
        <v>0</v>
      </c>
      <c r="GP223" s="8">
        <f>IF(GP$56-Voorblad!$F$41&gt;Voorblad!$K$41,0,IF($U223=0,0,IF($U223&lt;1,1/$U223,IF((GP$56-Voorblad!$F$41)/$U223-SUM($EE223:GO223)=1,1,0))))</f>
        <v>0</v>
      </c>
      <c r="GQ223" s="8">
        <f>IF(GQ$56-Voorblad!$F$41&gt;Voorblad!$K$41,0,IF($U223=0,0,IF($U223&lt;1,1/$U223,IF((GQ$56-Voorblad!$F$41)/$U223-SUM($EE223:GP223)=1,1,0))))</f>
        <v>0</v>
      </c>
      <c r="GR223" s="8">
        <f>IF(GR$56-Voorblad!$F$41&gt;Voorblad!$K$41,0,IF($U223=0,0,IF($U223&lt;1,1/$U223,IF((GR$56-Voorblad!$F$41)/$U223-SUM($EE223:GQ223)=1,1,0))))</f>
        <v>0</v>
      </c>
      <c r="GS223" s="8">
        <f>IF(GS$56-Voorblad!$F$41&gt;Voorblad!$K$41,0,IF($U223=0,0,IF($U223&lt;1,1/$U223,IF((GS$56-Voorblad!$F$41)/$U223-SUM($EE223:GR223)=1,1,0))))</f>
        <v>0</v>
      </c>
      <c r="GT223" s="8">
        <f>IF(GT$56-Voorblad!$F$41&gt;Voorblad!$K$41,0,IF($U223=0,0,IF($U223&lt;1,1/$U223,IF((GT$56-Voorblad!$F$41)/$U223-SUM($EE223:GS223)=1,1,0))))</f>
        <v>0</v>
      </c>
      <c r="GU223" s="8">
        <f>IF(GU$56-Voorblad!$F$41&gt;Voorblad!$K$41,0,IF($U223=0,0,IF($U223&lt;1,1/$U223,IF((GU$56-Voorblad!$F$41)/$U223-SUM($EE223:GT223)=1,1,0))))</f>
        <v>0</v>
      </c>
      <c r="GV223" s="8">
        <f>IF(GV$56-Voorblad!$F$41&gt;Voorblad!$K$41,0,IF($U223=0,0,IF($U223&lt;1,1/$U223,IF((GV$56-Voorblad!$F$41)/$U223-SUM($EE223:GU223)=1,1,0))))</f>
        <v>0</v>
      </c>
      <c r="GW223" s="8">
        <f>IF(GW$56-Voorblad!$F$41&gt;Voorblad!$K$41,0,IF($U223=0,0,IF($U223&lt;1,1/$U223,IF((GW$56-Voorblad!$F$41)/$U223-SUM($EE223:GV223)=1,1,0))))</f>
        <v>0</v>
      </c>
      <c r="GX223" s="8">
        <f>IF(GX$56-Voorblad!$F$41&gt;Voorblad!$K$41,0,IF($U223=0,0,IF($U223&lt;1,1/$U223,IF((GX$56-Voorblad!$F$41)/$U223-SUM($EE223:GW223)=1,1,0))))</f>
        <v>0</v>
      </c>
      <c r="GY223" s="8">
        <f>IF(GY$56-Voorblad!$F$41&gt;Voorblad!$K$41,0,IF($U223=0,0,IF($U223&lt;1,1/$U223,IF((GY$56-Voorblad!$F$41)/$U223-SUM($EE223:GX223)=1,1,0))))</f>
        <v>0</v>
      </c>
      <c r="GZ223" s="8">
        <f>IF(GZ$56-Voorblad!$F$41&gt;Voorblad!$K$41,0,IF($U223=0,0,IF($U223&lt;1,1/$U223,IF((GZ$56-Voorblad!$F$41)/$U223-SUM($EE223:GY223)=1,1,0))))</f>
        <v>0</v>
      </c>
      <c r="HA223" s="8">
        <f>IF(HA$56-Voorblad!$F$41&gt;Voorblad!$K$41,0,IF($U223=0,0,IF($U223&lt;1,1/$U223,IF((HA$56-Voorblad!$F$41)/$U223-SUM($EE223:GZ223)=1,1,0))))</f>
        <v>0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101</v>
      </c>
      <c r="Q224" s="81">
        <v>0</v>
      </c>
      <c r="R224" s="1" t="s">
        <v>33</v>
      </c>
      <c r="S224" s="14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0</v>
      </c>
      <c r="FP224" s="8">
        <f>IF(FP$56-Voorblad!$F$41&gt;Voorblad!$K$41,0,IF($U224=0,0,IF($U224&lt;1,1/$U224,IF((FP$56-Voorblad!$F$41)/$U224-SUM($EE224:FO224)=1,1,0))))</f>
        <v>0</v>
      </c>
      <c r="FQ224" s="8">
        <f>IF(FQ$56-Voorblad!$F$41&gt;Voorblad!$K$41,0,IF($U224=0,0,IF($U224&lt;1,1/$U224,IF((FQ$56-Voorblad!$F$41)/$U224-SUM($EE224:FP224)=1,1,0))))</f>
        <v>0</v>
      </c>
      <c r="FR224" s="8">
        <f>IF(FR$56-Voorblad!$F$41&gt;Voorblad!$K$41,0,IF($U224=0,0,IF($U224&lt;1,1/$U224,IF((FR$56-Voorblad!$F$41)/$U224-SUM($EE224:FQ224)=1,1,0))))</f>
        <v>0</v>
      </c>
      <c r="FS224" s="8">
        <f>IF(FS$56-Voorblad!$F$41&gt;Voorblad!$K$41,0,IF($U224=0,0,IF($U224&lt;1,1/$U224,IF((FS$56-Voorblad!$F$41)/$U224-SUM($EE224:FR224)=1,1,0))))</f>
        <v>0</v>
      </c>
      <c r="FT224" s="8">
        <f>IF(FT$56-Voorblad!$F$41&gt;Voorblad!$K$41,0,IF($U224=0,0,IF($U224&lt;1,1/$U224,IF((FT$56-Voorblad!$F$41)/$U224-SUM($EE224:FS224)=1,1,0))))</f>
        <v>0</v>
      </c>
      <c r="FU224" s="8">
        <f>IF(FU$56-Voorblad!$F$41&gt;Voorblad!$K$41,0,IF($U224=0,0,IF($U224&lt;1,1/$U224,IF((FU$56-Voorblad!$F$41)/$U224-SUM($EE224:FT224)=1,1,0))))</f>
        <v>0</v>
      </c>
      <c r="FV224" s="8">
        <f>IF(FV$56-Voorblad!$F$41&gt;Voorblad!$K$41,0,IF($U224=0,0,IF($U224&lt;1,1/$U224,IF((FV$56-Voorblad!$F$41)/$U224-SUM($EE224:FU224)=1,1,0))))</f>
        <v>0</v>
      </c>
      <c r="FW224" s="8">
        <f>IF(FW$56-Voorblad!$F$41&gt;Voorblad!$K$41,0,IF($U224=0,0,IF($U224&lt;1,1/$U224,IF((FW$56-Voorblad!$F$41)/$U224-SUM($EE224:FV224)=1,1,0))))</f>
        <v>0</v>
      </c>
      <c r="FX224" s="8">
        <f>IF(FX$56-Voorblad!$F$41&gt;Voorblad!$K$41,0,IF($U224=0,0,IF($U224&lt;1,1/$U224,IF((FX$56-Voorblad!$F$41)/$U224-SUM($EE224:FW224)=1,1,0))))</f>
        <v>0</v>
      </c>
      <c r="FY224" s="8">
        <f>IF(FY$56-Voorblad!$F$41&gt;Voorblad!$K$41,0,IF($U224=0,0,IF($U224&lt;1,1/$U224,IF((FY$56-Voorblad!$F$41)/$U224-SUM($EE224:FX224)=1,1,0))))</f>
        <v>0</v>
      </c>
      <c r="FZ224" s="8">
        <f>IF(FZ$56-Voorblad!$F$41&gt;Voorblad!$K$41,0,IF($U224=0,0,IF($U224&lt;1,1/$U224,IF((FZ$56-Voorblad!$F$41)/$U224-SUM($EE224:FY224)=1,1,0))))</f>
        <v>0</v>
      </c>
      <c r="GA224" s="8">
        <f>IF(GA$56-Voorblad!$F$41&gt;Voorblad!$K$41,0,IF($U224=0,0,IF($U224&lt;1,1/$U224,IF((GA$56-Voorblad!$F$41)/$U224-SUM($EE224:FZ224)=1,1,0))))</f>
        <v>0</v>
      </c>
      <c r="GB224" s="8">
        <f>IF(GB$56-Voorblad!$F$41&gt;Voorblad!$K$41,0,IF($U224=0,0,IF($U224&lt;1,1/$U224,IF((GB$56-Voorblad!$F$41)/$U224-SUM($EE224:GA224)=1,1,0))))</f>
        <v>0</v>
      </c>
      <c r="GC224" s="8">
        <f>IF(GC$56-Voorblad!$F$41&gt;Voorblad!$K$41,0,IF($U224=0,0,IF($U224&lt;1,1/$U224,IF((GC$56-Voorblad!$F$41)/$U224-SUM($EE224:GB224)=1,1,0))))</f>
        <v>0</v>
      </c>
      <c r="GD224" s="8">
        <f>IF(GD$56-Voorblad!$F$41&gt;Voorblad!$K$41,0,IF($U224=0,0,IF($U224&lt;1,1/$U224,IF((GD$56-Voorblad!$F$41)/$U224-SUM($EE224:GC224)=1,1,0))))</f>
        <v>0</v>
      </c>
      <c r="GE224" s="8">
        <f>IF(GE$56-Voorblad!$F$41&gt;Voorblad!$K$41,0,IF($U224=0,0,IF($U224&lt;1,1/$U224,IF((GE$56-Voorblad!$F$41)/$U224-SUM($EE224:GD224)=1,1,0))))</f>
        <v>0</v>
      </c>
      <c r="GF224" s="8">
        <f>IF(GF$56-Voorblad!$F$41&gt;Voorblad!$K$41,0,IF($U224=0,0,IF($U224&lt;1,1/$U224,IF((GF$56-Voorblad!$F$41)/$U224-SUM($EE224:GE224)=1,1,0))))</f>
        <v>0</v>
      </c>
      <c r="GG224" s="8">
        <f>IF(GG$56-Voorblad!$F$41&gt;Voorblad!$K$41,0,IF($U224=0,0,IF($U224&lt;1,1/$U224,IF((GG$56-Voorblad!$F$41)/$U224-SUM($EE224:GF224)=1,1,0))))</f>
        <v>0</v>
      </c>
      <c r="GH224" s="8">
        <f>IF(GH$56-Voorblad!$F$41&gt;Voorblad!$K$41,0,IF($U224=0,0,IF($U224&lt;1,1/$U224,IF((GH$56-Voorblad!$F$41)/$U224-SUM($EE224:GG224)=1,1,0))))</f>
        <v>0</v>
      </c>
      <c r="GI224" s="8">
        <f>IF(GI$56-Voorblad!$F$41&gt;Voorblad!$K$41,0,IF($U224=0,0,IF($U224&lt;1,1/$U224,IF((GI$56-Voorblad!$F$41)/$U224-SUM($EE224:GH224)=1,1,0))))</f>
        <v>0</v>
      </c>
      <c r="GJ224" s="8">
        <f>IF(GJ$56-Voorblad!$F$41&gt;Voorblad!$K$41,0,IF($U224=0,0,IF($U224&lt;1,1/$U224,IF((GJ$56-Voorblad!$F$41)/$U224-SUM($EE224:GI224)=1,1,0))))</f>
        <v>0</v>
      </c>
      <c r="GK224" s="8">
        <f>IF(GK$56-Voorblad!$F$41&gt;Voorblad!$K$41,0,IF($U224=0,0,IF($U224&lt;1,1/$U224,IF((GK$56-Voorblad!$F$41)/$U224-SUM($EE224:GJ224)=1,1,0))))</f>
        <v>0</v>
      </c>
      <c r="GL224" s="8">
        <f>IF(GL$56-Voorblad!$F$41&gt;Voorblad!$K$41,0,IF($U224=0,0,IF($U224&lt;1,1/$U224,IF((GL$56-Voorblad!$F$41)/$U224-SUM($EE224:GK224)=1,1,0))))</f>
        <v>0</v>
      </c>
      <c r="GM224" s="8">
        <f>IF(GM$56-Voorblad!$F$41&gt;Voorblad!$K$41,0,IF($U224=0,0,IF($U224&lt;1,1/$U224,IF((GM$56-Voorblad!$F$41)/$U224-SUM($EE224:GL224)=1,1,0))))</f>
        <v>0</v>
      </c>
      <c r="GN224" s="8">
        <f>IF(GN$56-Voorblad!$F$41&gt;Voorblad!$K$41,0,IF($U224=0,0,IF($U224&lt;1,1/$U224,IF((GN$56-Voorblad!$F$41)/$U224-SUM($EE224:GM224)=1,1,0))))</f>
        <v>0</v>
      </c>
      <c r="GO224" s="8">
        <f>IF(GO$56-Voorblad!$F$41&gt;Voorblad!$K$41,0,IF($U224=0,0,IF($U224&lt;1,1/$U224,IF((GO$56-Voorblad!$F$41)/$U224-SUM($EE224:GN224)=1,1,0))))</f>
        <v>0</v>
      </c>
      <c r="GP224" s="8">
        <f>IF(GP$56-Voorblad!$F$41&gt;Voorblad!$K$41,0,IF($U224=0,0,IF($U224&lt;1,1/$U224,IF((GP$56-Voorblad!$F$41)/$U224-SUM($EE224:GO224)=1,1,0))))</f>
        <v>0</v>
      </c>
      <c r="GQ224" s="8">
        <f>IF(GQ$56-Voorblad!$F$41&gt;Voorblad!$K$41,0,IF($U224=0,0,IF($U224&lt;1,1/$U224,IF((GQ$56-Voorblad!$F$41)/$U224-SUM($EE224:GP224)=1,1,0))))</f>
        <v>0</v>
      </c>
      <c r="GR224" s="8">
        <f>IF(GR$56-Voorblad!$F$41&gt;Voorblad!$K$41,0,IF($U224=0,0,IF($U224&lt;1,1/$U224,IF((GR$56-Voorblad!$F$41)/$U224-SUM($EE224:GQ224)=1,1,0))))</f>
        <v>0</v>
      </c>
      <c r="GS224" s="8">
        <f>IF(GS$56-Voorblad!$F$41&gt;Voorblad!$K$41,0,IF($U224=0,0,IF($U224&lt;1,1/$U224,IF((GS$56-Voorblad!$F$41)/$U224-SUM($EE224:GR224)=1,1,0))))</f>
        <v>0</v>
      </c>
      <c r="GT224" s="8">
        <f>IF(GT$56-Voorblad!$F$41&gt;Voorblad!$K$41,0,IF($U224=0,0,IF($U224&lt;1,1/$U224,IF((GT$56-Voorblad!$F$41)/$U224-SUM($EE224:GS224)=1,1,0))))</f>
        <v>0</v>
      </c>
      <c r="GU224" s="8">
        <f>IF(GU$56-Voorblad!$F$41&gt;Voorblad!$K$41,0,IF($U224=0,0,IF($U224&lt;1,1/$U224,IF((GU$56-Voorblad!$F$41)/$U224-SUM($EE224:GT224)=1,1,0))))</f>
        <v>0</v>
      </c>
      <c r="GV224" s="8">
        <f>IF(GV$56-Voorblad!$F$41&gt;Voorblad!$K$41,0,IF($U224=0,0,IF($U224&lt;1,1/$U224,IF((GV$56-Voorblad!$F$41)/$U224-SUM($EE224:GU224)=1,1,0))))</f>
        <v>0</v>
      </c>
      <c r="GW224" s="8">
        <f>IF(GW$56-Voorblad!$F$41&gt;Voorblad!$K$41,0,IF($U224=0,0,IF($U224&lt;1,1/$U224,IF((GW$56-Voorblad!$F$41)/$U224-SUM($EE224:GV224)=1,1,0))))</f>
        <v>0</v>
      </c>
      <c r="GX224" s="8">
        <f>IF(GX$56-Voorblad!$F$41&gt;Voorblad!$K$41,0,IF($U224=0,0,IF($U224&lt;1,1/$U224,IF((GX$56-Voorblad!$F$41)/$U224-SUM($EE224:GW224)=1,1,0))))</f>
        <v>0</v>
      </c>
      <c r="GY224" s="8">
        <f>IF(GY$56-Voorblad!$F$41&gt;Voorblad!$K$41,0,IF($U224=0,0,IF($U224&lt;1,1/$U224,IF((GY$56-Voorblad!$F$41)/$U224-SUM($EE224:GX224)=1,1,0))))</f>
        <v>0</v>
      </c>
      <c r="GZ224" s="8">
        <f>IF(GZ$56-Voorblad!$F$41&gt;Voorblad!$K$41,0,IF($U224=0,0,IF($U224&lt;1,1/$U224,IF((GZ$56-Voorblad!$F$41)/$U224-SUM($EE224:GY224)=1,1,0))))</f>
        <v>0</v>
      </c>
      <c r="HA224" s="8">
        <f>IF(HA$56-Voorblad!$F$41&gt;Voorblad!$K$41,0,IF($U224=0,0,IF($U224&lt;1,1/$U224,IF((HA$56-Voorblad!$F$41)/$U224-SUM($EE224:GZ224)=1,1,0))))</f>
        <v>0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276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105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265</v>
      </c>
      <c r="P229" s="1" t="s">
        <v>318</v>
      </c>
      <c r="Q229" s="84">
        <f>40*0.035</f>
        <v>1.4000000000000001</v>
      </c>
      <c r="R229" s="1" t="s">
        <v>102</v>
      </c>
      <c r="S229" s="1">
        <v>-200</v>
      </c>
      <c r="T229" s="21">
        <f t="shared" ref="T229:T236" si="201">Q229*S229</f>
        <v>-280</v>
      </c>
      <c r="U229" s="11">
        <v>1</v>
      </c>
      <c r="V229" s="14">
        <f>Voorblad!F24+100</f>
        <v>2062</v>
      </c>
      <c r="W229" s="9">
        <f>Voorblad!$K$77</f>
        <v>2062</v>
      </c>
      <c r="X229" s="6"/>
      <c r="Y229" s="9">
        <f t="shared" ref="Y229" si="202">SUM(AE229:EB229)</f>
        <v>-120.93349605211478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-120.93349605211478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0</v>
      </c>
      <c r="FP229" s="8">
        <f>IF(FP$56-Voorblad!$F$41&gt;Voorblad!$K$41,0,IF($U229=0,0,IF($U229&lt;1,1/$U229,IF((FP$56-Voorblad!$F$41)/$U229-SUM($EE229:FO229)=1,1,0))))</f>
        <v>0</v>
      </c>
      <c r="FQ229" s="8">
        <f>IF(FQ$56-Voorblad!$F$41&gt;Voorblad!$K$41,0,IF($U229=0,0,IF($U229&lt;1,1/$U229,IF((FQ$56-Voorblad!$F$41)/$U229-SUM($EE229:FP229)=1,1,0))))</f>
        <v>0</v>
      </c>
      <c r="FR229" s="8">
        <f>IF(FR$56-Voorblad!$F$41&gt;Voorblad!$K$41,0,IF($U229=0,0,IF($U229&lt;1,1/$U229,IF((FR$56-Voorblad!$F$41)/$U229-SUM($EE229:FQ229)=1,1,0))))</f>
        <v>0</v>
      </c>
      <c r="FS229" s="8">
        <f>IF(FS$56-Voorblad!$F$41&gt;Voorblad!$K$41,0,IF($U229=0,0,IF($U229&lt;1,1/$U229,IF((FS$56-Voorblad!$F$41)/$U229-SUM($EE229:FR229)=1,1,0))))</f>
        <v>0</v>
      </c>
      <c r="FT229" s="8">
        <f>IF(FT$56-Voorblad!$F$41&gt;Voorblad!$K$41,0,IF($U229=0,0,IF($U229&lt;1,1/$U229,IF((FT$56-Voorblad!$F$41)/$U229-SUM($EE229:FS229)=1,1,0))))</f>
        <v>0</v>
      </c>
      <c r="FU229" s="8">
        <f>IF(FU$56-Voorblad!$F$41&gt;Voorblad!$K$41,0,IF($U229=0,0,IF($U229&lt;1,1/$U229,IF((FU$56-Voorblad!$F$41)/$U229-SUM($EE229:FT229)=1,1,0))))</f>
        <v>0</v>
      </c>
      <c r="FV229" s="8">
        <f>IF(FV$56-Voorblad!$F$41&gt;Voorblad!$K$41,0,IF($U229=0,0,IF($U229&lt;1,1/$U229,IF((FV$56-Voorblad!$F$41)/$U229-SUM($EE229:FU229)=1,1,0))))</f>
        <v>0</v>
      </c>
      <c r="FW229" s="8">
        <f>IF(FW$56-Voorblad!$F$41&gt;Voorblad!$K$41,0,IF($U229=0,0,IF($U229&lt;1,1/$U229,IF((FW$56-Voorblad!$F$41)/$U229-SUM($EE229:FV229)=1,1,0))))</f>
        <v>0</v>
      </c>
      <c r="FX229" s="8">
        <f>IF(FX$56-Voorblad!$F$41&gt;Voorblad!$K$41,0,IF($U229=0,0,IF($U229&lt;1,1/$U229,IF((FX$56-Voorblad!$F$41)/$U229-SUM($EE229:FW229)=1,1,0))))</f>
        <v>0</v>
      </c>
      <c r="FY229" s="8">
        <f>IF(FY$56-Voorblad!$F$41&gt;Voorblad!$K$41,0,IF($U229=0,0,IF($U229&lt;1,1/$U229,IF((FY$56-Voorblad!$F$41)/$U229-SUM($EE229:FX229)=1,1,0))))</f>
        <v>0</v>
      </c>
      <c r="FZ229" s="8">
        <f>IF(FZ$56-Voorblad!$F$41&gt;Voorblad!$K$41,0,IF($U229=0,0,IF($U229&lt;1,1/$U229,IF((FZ$56-Voorblad!$F$41)/$U229-SUM($EE229:FY229)=1,1,0))))</f>
        <v>0</v>
      </c>
      <c r="GA229" s="8">
        <f>IF(GA$56-Voorblad!$F$41&gt;Voorblad!$K$41,0,IF($U229=0,0,IF($U229&lt;1,1/$U229,IF((GA$56-Voorblad!$F$41)/$U229-SUM($EE229:FZ229)=1,1,0))))</f>
        <v>0</v>
      </c>
      <c r="GB229" s="8">
        <f>IF(GB$56-Voorblad!$F$41&gt;Voorblad!$K$41,0,IF($U229=0,0,IF($U229&lt;1,1/$U229,IF((GB$56-Voorblad!$F$41)/$U229-SUM($EE229:GA229)=1,1,0))))</f>
        <v>0</v>
      </c>
      <c r="GC229" s="8">
        <f>IF(GC$56-Voorblad!$F$41&gt;Voorblad!$K$41,0,IF($U229=0,0,IF($U229&lt;1,1/$U229,IF((GC$56-Voorblad!$F$41)/$U229-SUM($EE229:GB229)=1,1,0))))</f>
        <v>0</v>
      </c>
      <c r="GD229" s="8">
        <f>IF(GD$56-Voorblad!$F$41&gt;Voorblad!$K$41,0,IF($U229=0,0,IF($U229&lt;1,1/$U229,IF((GD$56-Voorblad!$F$41)/$U229-SUM($EE229:GC229)=1,1,0))))</f>
        <v>0</v>
      </c>
      <c r="GE229" s="8">
        <f>IF(GE$56-Voorblad!$F$41&gt;Voorblad!$K$41,0,IF($U229=0,0,IF($U229&lt;1,1/$U229,IF((GE$56-Voorblad!$F$41)/$U229-SUM($EE229:GD229)=1,1,0))))</f>
        <v>0</v>
      </c>
      <c r="GF229" s="8">
        <f>IF(GF$56-Voorblad!$F$41&gt;Voorblad!$K$41,0,IF($U229=0,0,IF($U229&lt;1,1/$U229,IF((GF$56-Voorblad!$F$41)/$U229-SUM($EE229:GE229)=1,1,0))))</f>
        <v>0</v>
      </c>
      <c r="GG229" s="8">
        <f>IF(GG$56-Voorblad!$F$41&gt;Voorblad!$K$41,0,IF($U229=0,0,IF($U229&lt;1,1/$U229,IF((GG$56-Voorblad!$F$41)/$U229-SUM($EE229:GF229)=1,1,0))))</f>
        <v>0</v>
      </c>
      <c r="GH229" s="8">
        <f>IF(GH$56-Voorblad!$F$41&gt;Voorblad!$K$41,0,IF($U229=0,0,IF($U229&lt;1,1/$U229,IF((GH$56-Voorblad!$F$41)/$U229-SUM($EE229:GG229)=1,1,0))))</f>
        <v>0</v>
      </c>
      <c r="GI229" s="8">
        <f>IF(GI$56-Voorblad!$F$41&gt;Voorblad!$K$41,0,IF($U229=0,0,IF($U229&lt;1,1/$U229,IF((GI$56-Voorblad!$F$41)/$U229-SUM($EE229:GH229)=1,1,0))))</f>
        <v>0</v>
      </c>
      <c r="GJ229" s="8">
        <f>IF(GJ$56-Voorblad!$F$41&gt;Voorblad!$K$41,0,IF($U229=0,0,IF($U229&lt;1,1/$U229,IF((GJ$56-Voorblad!$F$41)/$U229-SUM($EE229:GI229)=1,1,0))))</f>
        <v>0</v>
      </c>
      <c r="GK229" s="8">
        <f>IF(GK$56-Voorblad!$F$41&gt;Voorblad!$K$41,0,IF($U229=0,0,IF($U229&lt;1,1/$U229,IF((GK$56-Voorblad!$F$41)/$U229-SUM($EE229:GJ229)=1,1,0))))</f>
        <v>0</v>
      </c>
      <c r="GL229" s="8">
        <f>IF(GL$56-Voorblad!$F$41&gt;Voorblad!$K$41,0,IF($U229=0,0,IF($U229&lt;1,1/$U229,IF((GL$56-Voorblad!$F$41)/$U229-SUM($EE229:GK229)=1,1,0))))</f>
        <v>0</v>
      </c>
      <c r="GM229" s="8">
        <f>IF(GM$56-Voorblad!$F$41&gt;Voorblad!$K$41,0,IF($U229=0,0,IF($U229&lt;1,1/$U229,IF((GM$56-Voorblad!$F$41)/$U229-SUM($EE229:GL229)=1,1,0))))</f>
        <v>0</v>
      </c>
      <c r="GN229" s="8">
        <f>IF(GN$56-Voorblad!$F$41&gt;Voorblad!$K$41,0,IF($U229=0,0,IF($U229&lt;1,1/$U229,IF((GN$56-Voorblad!$F$41)/$U229-SUM($EE229:GM229)=1,1,0))))</f>
        <v>0</v>
      </c>
      <c r="GO229" s="8">
        <f>IF(GO$56-Voorblad!$F$41&gt;Voorblad!$K$41,0,IF($U229=0,0,IF($U229&lt;1,1/$U229,IF((GO$56-Voorblad!$F$41)/$U229-SUM($EE229:GN229)=1,1,0))))</f>
        <v>0</v>
      </c>
      <c r="GP229" s="8">
        <f>IF(GP$56-Voorblad!$F$41&gt;Voorblad!$K$41,0,IF($U229=0,0,IF($U229&lt;1,1/$U229,IF((GP$56-Voorblad!$F$41)/$U229-SUM($EE229:GO229)=1,1,0))))</f>
        <v>0</v>
      </c>
      <c r="GQ229" s="8">
        <f>IF(GQ$56-Voorblad!$F$41&gt;Voorblad!$K$41,0,IF($U229=0,0,IF($U229&lt;1,1/$U229,IF((GQ$56-Voorblad!$F$41)/$U229-SUM($EE229:GP229)=1,1,0))))</f>
        <v>0</v>
      </c>
      <c r="GR229" s="8">
        <f>IF(GR$56-Voorblad!$F$41&gt;Voorblad!$K$41,0,IF($U229=0,0,IF($U229&lt;1,1/$U229,IF((GR$56-Voorblad!$F$41)/$U229-SUM($EE229:GQ229)=1,1,0))))</f>
        <v>0</v>
      </c>
      <c r="GS229" s="8">
        <f>IF(GS$56-Voorblad!$F$41&gt;Voorblad!$K$41,0,IF($U229=0,0,IF($U229&lt;1,1/$U229,IF((GS$56-Voorblad!$F$41)/$U229-SUM($EE229:GR229)=1,1,0))))</f>
        <v>0</v>
      </c>
      <c r="GT229" s="8">
        <f>IF(GT$56-Voorblad!$F$41&gt;Voorblad!$K$41,0,IF($U229=0,0,IF($U229&lt;1,1/$U229,IF((GT$56-Voorblad!$F$41)/$U229-SUM($EE229:GS229)=1,1,0))))</f>
        <v>0</v>
      </c>
      <c r="GU229" s="8">
        <f>IF(GU$56-Voorblad!$F$41&gt;Voorblad!$K$41,0,IF($U229=0,0,IF($U229&lt;1,1/$U229,IF((GU$56-Voorblad!$F$41)/$U229-SUM($EE229:GT229)=1,1,0))))</f>
        <v>0</v>
      </c>
      <c r="GV229" s="8">
        <f>IF(GV$56-Voorblad!$F$41&gt;Voorblad!$K$41,0,IF($U229=0,0,IF($U229&lt;1,1/$U229,IF((GV$56-Voorblad!$F$41)/$U229-SUM($EE229:GU229)=1,1,0))))</f>
        <v>0</v>
      </c>
      <c r="GW229" s="8">
        <f>IF(GW$56-Voorblad!$F$41&gt;Voorblad!$K$41,0,IF($U229=0,0,IF($U229&lt;1,1/$U229,IF((GW$56-Voorblad!$F$41)/$U229-SUM($EE229:GV229)=1,1,0))))</f>
        <v>0</v>
      </c>
      <c r="GX229" s="8">
        <f>IF(GX$56-Voorblad!$F$41&gt;Voorblad!$K$41,0,IF($U229=0,0,IF($U229&lt;1,1/$U229,IF((GX$56-Voorblad!$F$41)/$U229-SUM($EE229:GW229)=1,1,0))))</f>
        <v>0</v>
      </c>
      <c r="GY229" s="8">
        <f>IF(GY$56-Voorblad!$F$41&gt;Voorblad!$K$41,0,IF($U229=0,0,IF($U229&lt;1,1/$U229,IF((GY$56-Voorblad!$F$41)/$U229-SUM($EE229:GX229)=1,1,0))))</f>
        <v>0</v>
      </c>
      <c r="GZ229" s="8">
        <f>IF(GZ$56-Voorblad!$F$41&gt;Voorblad!$K$41,0,IF($U229=0,0,IF($U229&lt;1,1/$U229,IF((GZ$56-Voorblad!$F$41)/$U229-SUM($EE229:GY229)=1,1,0))))</f>
        <v>0</v>
      </c>
      <c r="HA229" s="8">
        <f>IF(HA$56-Voorblad!$F$41&gt;Voorblad!$K$41,0,IF($U229=0,0,IF($U229&lt;1,1/$U229,IF((HA$56-Voorblad!$F$41)/$U229-SUM($EE229:GZ229)=1,1,0))))</f>
        <v>0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266</v>
      </c>
      <c r="O230" s="1" t="s">
        <v>104</v>
      </c>
      <c r="P230" s="1" t="s">
        <v>315</v>
      </c>
      <c r="Q230" s="83">
        <f>2*1250</f>
        <v>2500</v>
      </c>
      <c r="R230" s="1" t="s">
        <v>102</v>
      </c>
      <c r="S230" s="1">
        <v>-50</v>
      </c>
      <c r="T230" s="21">
        <f t="shared" si="201"/>
        <v>-125000</v>
      </c>
      <c r="U230" s="11">
        <v>1</v>
      </c>
      <c r="V230" s="14">
        <f>Voorblad!F24+100</f>
        <v>2062</v>
      </c>
      <c r="W230" s="9">
        <f>Voorblad!$K$77</f>
        <v>2062</v>
      </c>
      <c r="X230" s="6"/>
      <c r="Y230" s="9">
        <f t="shared" ref="Y230" si="203">SUM(AE230:EB230)</f>
        <v>-53988.167880408379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-53988.167880408379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0</v>
      </c>
      <c r="FP230" s="8">
        <f>IF(FP$56-Voorblad!$F$41&gt;Voorblad!$K$41,0,IF($U230=0,0,IF($U230&lt;1,1/$U230,IF((FP$56-Voorblad!$F$41)/$U230-SUM($EE230:FO230)=1,1,0))))</f>
        <v>0</v>
      </c>
      <c r="FQ230" s="8">
        <f>IF(FQ$56-Voorblad!$F$41&gt;Voorblad!$K$41,0,IF($U230=0,0,IF($U230&lt;1,1/$U230,IF((FQ$56-Voorblad!$F$41)/$U230-SUM($EE230:FP230)=1,1,0))))</f>
        <v>0</v>
      </c>
      <c r="FR230" s="8">
        <f>IF(FR$56-Voorblad!$F$41&gt;Voorblad!$K$41,0,IF($U230=0,0,IF($U230&lt;1,1/$U230,IF((FR$56-Voorblad!$F$41)/$U230-SUM($EE230:FQ230)=1,1,0))))</f>
        <v>0</v>
      </c>
      <c r="FS230" s="8">
        <f>IF(FS$56-Voorblad!$F$41&gt;Voorblad!$K$41,0,IF($U230=0,0,IF($U230&lt;1,1/$U230,IF((FS$56-Voorblad!$F$41)/$U230-SUM($EE230:FR230)=1,1,0))))</f>
        <v>0</v>
      </c>
      <c r="FT230" s="8">
        <f>IF(FT$56-Voorblad!$F$41&gt;Voorblad!$K$41,0,IF($U230=0,0,IF($U230&lt;1,1/$U230,IF((FT$56-Voorblad!$F$41)/$U230-SUM($EE230:FS230)=1,1,0))))</f>
        <v>0</v>
      </c>
      <c r="FU230" s="8">
        <f>IF(FU$56-Voorblad!$F$41&gt;Voorblad!$K$41,0,IF($U230=0,0,IF($U230&lt;1,1/$U230,IF((FU$56-Voorblad!$F$41)/$U230-SUM($EE230:FT230)=1,1,0))))</f>
        <v>0</v>
      </c>
      <c r="FV230" s="8">
        <f>IF(FV$56-Voorblad!$F$41&gt;Voorblad!$K$41,0,IF($U230=0,0,IF($U230&lt;1,1/$U230,IF((FV$56-Voorblad!$F$41)/$U230-SUM($EE230:FU230)=1,1,0))))</f>
        <v>0</v>
      </c>
      <c r="FW230" s="8">
        <f>IF(FW$56-Voorblad!$F$41&gt;Voorblad!$K$41,0,IF($U230=0,0,IF($U230&lt;1,1/$U230,IF((FW$56-Voorblad!$F$41)/$U230-SUM($EE230:FV230)=1,1,0))))</f>
        <v>0</v>
      </c>
      <c r="FX230" s="8">
        <f>IF(FX$56-Voorblad!$F$41&gt;Voorblad!$K$41,0,IF($U230=0,0,IF($U230&lt;1,1/$U230,IF((FX$56-Voorblad!$F$41)/$U230-SUM($EE230:FW230)=1,1,0))))</f>
        <v>0</v>
      </c>
      <c r="FY230" s="8">
        <f>IF(FY$56-Voorblad!$F$41&gt;Voorblad!$K$41,0,IF($U230=0,0,IF($U230&lt;1,1/$U230,IF((FY$56-Voorblad!$F$41)/$U230-SUM($EE230:FX230)=1,1,0))))</f>
        <v>0</v>
      </c>
      <c r="FZ230" s="8">
        <f>IF(FZ$56-Voorblad!$F$41&gt;Voorblad!$K$41,0,IF($U230=0,0,IF($U230&lt;1,1/$U230,IF((FZ$56-Voorblad!$F$41)/$U230-SUM($EE230:FY230)=1,1,0))))</f>
        <v>0</v>
      </c>
      <c r="GA230" s="8">
        <f>IF(GA$56-Voorblad!$F$41&gt;Voorblad!$K$41,0,IF($U230=0,0,IF($U230&lt;1,1/$U230,IF((GA$56-Voorblad!$F$41)/$U230-SUM($EE230:FZ230)=1,1,0))))</f>
        <v>0</v>
      </c>
      <c r="GB230" s="8">
        <f>IF(GB$56-Voorblad!$F$41&gt;Voorblad!$K$41,0,IF($U230=0,0,IF($U230&lt;1,1/$U230,IF((GB$56-Voorblad!$F$41)/$U230-SUM($EE230:GA230)=1,1,0))))</f>
        <v>0</v>
      </c>
      <c r="GC230" s="8">
        <f>IF(GC$56-Voorblad!$F$41&gt;Voorblad!$K$41,0,IF($U230=0,0,IF($U230&lt;1,1/$U230,IF((GC$56-Voorblad!$F$41)/$U230-SUM($EE230:GB230)=1,1,0))))</f>
        <v>0</v>
      </c>
      <c r="GD230" s="8">
        <f>IF(GD$56-Voorblad!$F$41&gt;Voorblad!$K$41,0,IF($U230=0,0,IF($U230&lt;1,1/$U230,IF((GD$56-Voorblad!$F$41)/$U230-SUM($EE230:GC230)=1,1,0))))</f>
        <v>0</v>
      </c>
      <c r="GE230" s="8">
        <f>IF(GE$56-Voorblad!$F$41&gt;Voorblad!$K$41,0,IF($U230=0,0,IF($U230&lt;1,1/$U230,IF((GE$56-Voorblad!$F$41)/$U230-SUM($EE230:GD230)=1,1,0))))</f>
        <v>0</v>
      </c>
      <c r="GF230" s="8">
        <f>IF(GF$56-Voorblad!$F$41&gt;Voorblad!$K$41,0,IF($U230=0,0,IF($U230&lt;1,1/$U230,IF((GF$56-Voorblad!$F$41)/$U230-SUM($EE230:GE230)=1,1,0))))</f>
        <v>0</v>
      </c>
      <c r="GG230" s="8">
        <f>IF(GG$56-Voorblad!$F$41&gt;Voorblad!$K$41,0,IF($U230=0,0,IF($U230&lt;1,1/$U230,IF((GG$56-Voorblad!$F$41)/$U230-SUM($EE230:GF230)=1,1,0))))</f>
        <v>0</v>
      </c>
      <c r="GH230" s="8">
        <f>IF(GH$56-Voorblad!$F$41&gt;Voorblad!$K$41,0,IF($U230=0,0,IF($U230&lt;1,1/$U230,IF((GH$56-Voorblad!$F$41)/$U230-SUM($EE230:GG230)=1,1,0))))</f>
        <v>0</v>
      </c>
      <c r="GI230" s="8">
        <f>IF(GI$56-Voorblad!$F$41&gt;Voorblad!$K$41,0,IF($U230=0,0,IF($U230&lt;1,1/$U230,IF((GI$56-Voorblad!$F$41)/$U230-SUM($EE230:GH230)=1,1,0))))</f>
        <v>0</v>
      </c>
      <c r="GJ230" s="8">
        <f>IF(GJ$56-Voorblad!$F$41&gt;Voorblad!$K$41,0,IF($U230=0,0,IF($U230&lt;1,1/$U230,IF((GJ$56-Voorblad!$F$41)/$U230-SUM($EE230:GI230)=1,1,0))))</f>
        <v>0</v>
      </c>
      <c r="GK230" s="8">
        <f>IF(GK$56-Voorblad!$F$41&gt;Voorblad!$K$41,0,IF($U230=0,0,IF($U230&lt;1,1/$U230,IF((GK$56-Voorblad!$F$41)/$U230-SUM($EE230:GJ230)=1,1,0))))</f>
        <v>0</v>
      </c>
      <c r="GL230" s="8">
        <f>IF(GL$56-Voorblad!$F$41&gt;Voorblad!$K$41,0,IF($U230=0,0,IF($U230&lt;1,1/$U230,IF((GL$56-Voorblad!$F$41)/$U230-SUM($EE230:GK230)=1,1,0))))</f>
        <v>0</v>
      </c>
      <c r="GM230" s="8">
        <f>IF(GM$56-Voorblad!$F$41&gt;Voorblad!$K$41,0,IF($U230=0,0,IF($U230&lt;1,1/$U230,IF((GM$56-Voorblad!$F$41)/$U230-SUM($EE230:GL230)=1,1,0))))</f>
        <v>0</v>
      </c>
      <c r="GN230" s="8">
        <f>IF(GN$56-Voorblad!$F$41&gt;Voorblad!$K$41,0,IF($U230=0,0,IF($U230&lt;1,1/$U230,IF((GN$56-Voorblad!$F$41)/$U230-SUM($EE230:GM230)=1,1,0))))</f>
        <v>0</v>
      </c>
      <c r="GO230" s="8">
        <f>IF(GO$56-Voorblad!$F$41&gt;Voorblad!$K$41,0,IF($U230=0,0,IF($U230&lt;1,1/$U230,IF((GO$56-Voorblad!$F$41)/$U230-SUM($EE230:GN230)=1,1,0))))</f>
        <v>0</v>
      </c>
      <c r="GP230" s="8">
        <f>IF(GP$56-Voorblad!$F$41&gt;Voorblad!$K$41,0,IF($U230=0,0,IF($U230&lt;1,1/$U230,IF((GP$56-Voorblad!$F$41)/$U230-SUM($EE230:GO230)=1,1,0))))</f>
        <v>0</v>
      </c>
      <c r="GQ230" s="8">
        <f>IF(GQ$56-Voorblad!$F$41&gt;Voorblad!$K$41,0,IF($U230=0,0,IF($U230&lt;1,1/$U230,IF((GQ$56-Voorblad!$F$41)/$U230-SUM($EE230:GP230)=1,1,0))))</f>
        <v>0</v>
      </c>
      <c r="GR230" s="8">
        <f>IF(GR$56-Voorblad!$F$41&gt;Voorblad!$K$41,0,IF($U230=0,0,IF($U230&lt;1,1/$U230,IF((GR$56-Voorblad!$F$41)/$U230-SUM($EE230:GQ230)=1,1,0))))</f>
        <v>0</v>
      </c>
      <c r="GS230" s="8">
        <f>IF(GS$56-Voorblad!$F$41&gt;Voorblad!$K$41,0,IF($U230=0,0,IF($U230&lt;1,1/$U230,IF((GS$56-Voorblad!$F$41)/$U230-SUM($EE230:GR230)=1,1,0))))</f>
        <v>0</v>
      </c>
      <c r="GT230" s="8">
        <f>IF(GT$56-Voorblad!$F$41&gt;Voorblad!$K$41,0,IF($U230=0,0,IF($U230&lt;1,1/$U230,IF((GT$56-Voorblad!$F$41)/$U230-SUM($EE230:GS230)=1,1,0))))</f>
        <v>0</v>
      </c>
      <c r="GU230" s="8">
        <f>IF(GU$56-Voorblad!$F$41&gt;Voorblad!$K$41,0,IF($U230=0,0,IF($U230&lt;1,1/$U230,IF((GU$56-Voorblad!$F$41)/$U230-SUM($EE230:GT230)=1,1,0))))</f>
        <v>0</v>
      </c>
      <c r="GV230" s="8">
        <f>IF(GV$56-Voorblad!$F$41&gt;Voorblad!$K$41,0,IF($U230=0,0,IF($U230&lt;1,1/$U230,IF((GV$56-Voorblad!$F$41)/$U230-SUM($EE230:GU230)=1,1,0))))</f>
        <v>0</v>
      </c>
      <c r="GW230" s="8">
        <f>IF(GW$56-Voorblad!$F$41&gt;Voorblad!$K$41,0,IF($U230=0,0,IF($U230&lt;1,1/$U230,IF((GW$56-Voorblad!$F$41)/$U230-SUM($EE230:GV230)=1,1,0))))</f>
        <v>0</v>
      </c>
      <c r="GX230" s="8">
        <f>IF(GX$56-Voorblad!$F$41&gt;Voorblad!$K$41,0,IF($U230=0,0,IF($U230&lt;1,1/$U230,IF((GX$56-Voorblad!$F$41)/$U230-SUM($EE230:GW230)=1,1,0))))</f>
        <v>0</v>
      </c>
      <c r="GY230" s="8">
        <f>IF(GY$56-Voorblad!$F$41&gt;Voorblad!$K$41,0,IF($U230=0,0,IF($U230&lt;1,1/$U230,IF((GY$56-Voorblad!$F$41)/$U230-SUM($EE230:GX230)=1,1,0))))</f>
        <v>0</v>
      </c>
      <c r="GZ230" s="8">
        <f>IF(GZ$56-Voorblad!$F$41&gt;Voorblad!$K$41,0,IF($U230=0,0,IF($U230&lt;1,1/$U230,IF((GZ$56-Voorblad!$F$41)/$U230-SUM($EE230:GY230)=1,1,0))))</f>
        <v>0</v>
      </c>
      <c r="HA230" s="8">
        <f>IF(HA$56-Voorblad!$F$41&gt;Voorblad!$K$41,0,IF($U230=0,0,IF($U230&lt;1,1/$U230,IF((HA$56-Voorblad!$F$41)/$U230-SUM($EE230:GZ230)=1,1,0))))</f>
        <v>0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267</v>
      </c>
      <c r="O231" s="1" t="s">
        <v>103</v>
      </c>
      <c r="Q231" s="83">
        <f>0.5*Q230</f>
        <v>1250</v>
      </c>
      <c r="R231" s="1" t="s">
        <v>102</v>
      </c>
      <c r="S231" s="1">
        <v>-200</v>
      </c>
      <c r="T231" s="21">
        <f t="shared" si="201"/>
        <v>-250000</v>
      </c>
      <c r="U231" s="11">
        <v>1</v>
      </c>
      <c r="V231" s="14">
        <f>Voorblad!F24+100</f>
        <v>2062</v>
      </c>
      <c r="W231" s="9">
        <f>Voorblad!$K$77</f>
        <v>2062</v>
      </c>
      <c r="X231" s="6"/>
      <c r="Y231" s="9">
        <f t="shared" ref="Y231:Y234" si="204">SUM(AE231:EB231)</f>
        <v>-107976.33576081676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-107976.33576081676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0</v>
      </c>
      <c r="FP231" s="8">
        <f>IF(FP$56-Voorblad!$F$41&gt;Voorblad!$K$41,0,IF($U231=0,0,IF($U231&lt;1,1/$U231,IF((FP$56-Voorblad!$F$41)/$U231-SUM($EE231:FO231)=1,1,0))))</f>
        <v>0</v>
      </c>
      <c r="FQ231" s="8">
        <f>IF(FQ$56-Voorblad!$F$41&gt;Voorblad!$K$41,0,IF($U231=0,0,IF($U231&lt;1,1/$U231,IF((FQ$56-Voorblad!$F$41)/$U231-SUM($EE231:FP231)=1,1,0))))</f>
        <v>0</v>
      </c>
      <c r="FR231" s="8">
        <f>IF(FR$56-Voorblad!$F$41&gt;Voorblad!$K$41,0,IF($U231=0,0,IF($U231&lt;1,1/$U231,IF((FR$56-Voorblad!$F$41)/$U231-SUM($EE231:FQ231)=1,1,0))))</f>
        <v>0</v>
      </c>
      <c r="FS231" s="8">
        <f>IF(FS$56-Voorblad!$F$41&gt;Voorblad!$K$41,0,IF($U231=0,0,IF($U231&lt;1,1/$U231,IF((FS$56-Voorblad!$F$41)/$U231-SUM($EE231:FR231)=1,1,0))))</f>
        <v>0</v>
      </c>
      <c r="FT231" s="8">
        <f>IF(FT$56-Voorblad!$F$41&gt;Voorblad!$K$41,0,IF($U231=0,0,IF($U231&lt;1,1/$U231,IF((FT$56-Voorblad!$F$41)/$U231-SUM($EE231:FS231)=1,1,0))))</f>
        <v>0</v>
      </c>
      <c r="FU231" s="8">
        <f>IF(FU$56-Voorblad!$F$41&gt;Voorblad!$K$41,0,IF($U231=0,0,IF($U231&lt;1,1/$U231,IF((FU$56-Voorblad!$F$41)/$U231-SUM($EE231:FT231)=1,1,0))))</f>
        <v>0</v>
      </c>
      <c r="FV231" s="8">
        <f>IF(FV$56-Voorblad!$F$41&gt;Voorblad!$K$41,0,IF($U231=0,0,IF($U231&lt;1,1/$U231,IF((FV$56-Voorblad!$F$41)/$U231-SUM($EE231:FU231)=1,1,0))))</f>
        <v>0</v>
      </c>
      <c r="FW231" s="8">
        <f>IF(FW$56-Voorblad!$F$41&gt;Voorblad!$K$41,0,IF($U231=0,0,IF($U231&lt;1,1/$U231,IF((FW$56-Voorblad!$F$41)/$U231-SUM($EE231:FV231)=1,1,0))))</f>
        <v>0</v>
      </c>
      <c r="FX231" s="8">
        <f>IF(FX$56-Voorblad!$F$41&gt;Voorblad!$K$41,0,IF($U231=0,0,IF($U231&lt;1,1/$U231,IF((FX$56-Voorblad!$F$41)/$U231-SUM($EE231:FW231)=1,1,0))))</f>
        <v>0</v>
      </c>
      <c r="FY231" s="8">
        <f>IF(FY$56-Voorblad!$F$41&gt;Voorblad!$K$41,0,IF($U231=0,0,IF($U231&lt;1,1/$U231,IF((FY$56-Voorblad!$F$41)/$U231-SUM($EE231:FX231)=1,1,0))))</f>
        <v>0</v>
      </c>
      <c r="FZ231" s="8">
        <f>IF(FZ$56-Voorblad!$F$41&gt;Voorblad!$K$41,0,IF($U231=0,0,IF($U231&lt;1,1/$U231,IF((FZ$56-Voorblad!$F$41)/$U231-SUM($EE231:FY231)=1,1,0))))</f>
        <v>0</v>
      </c>
      <c r="GA231" s="8">
        <f>IF(GA$56-Voorblad!$F$41&gt;Voorblad!$K$41,0,IF($U231=0,0,IF($U231&lt;1,1/$U231,IF((GA$56-Voorblad!$F$41)/$U231-SUM($EE231:FZ231)=1,1,0))))</f>
        <v>0</v>
      </c>
      <c r="GB231" s="8">
        <f>IF(GB$56-Voorblad!$F$41&gt;Voorblad!$K$41,0,IF($U231=0,0,IF($U231&lt;1,1/$U231,IF((GB$56-Voorblad!$F$41)/$U231-SUM($EE231:GA231)=1,1,0))))</f>
        <v>0</v>
      </c>
      <c r="GC231" s="8">
        <f>IF(GC$56-Voorblad!$F$41&gt;Voorblad!$K$41,0,IF($U231=0,0,IF($U231&lt;1,1/$U231,IF((GC$56-Voorblad!$F$41)/$U231-SUM($EE231:GB231)=1,1,0))))</f>
        <v>0</v>
      </c>
      <c r="GD231" s="8">
        <f>IF(GD$56-Voorblad!$F$41&gt;Voorblad!$K$41,0,IF($U231=0,0,IF($U231&lt;1,1/$U231,IF((GD$56-Voorblad!$F$41)/$U231-SUM($EE231:GC231)=1,1,0))))</f>
        <v>0</v>
      </c>
      <c r="GE231" s="8">
        <f>IF(GE$56-Voorblad!$F$41&gt;Voorblad!$K$41,0,IF($U231=0,0,IF($U231&lt;1,1/$U231,IF((GE$56-Voorblad!$F$41)/$U231-SUM($EE231:GD231)=1,1,0))))</f>
        <v>0</v>
      </c>
      <c r="GF231" s="8">
        <f>IF(GF$56-Voorblad!$F$41&gt;Voorblad!$K$41,0,IF($U231=0,0,IF($U231&lt;1,1/$U231,IF((GF$56-Voorblad!$F$41)/$U231-SUM($EE231:GE231)=1,1,0))))</f>
        <v>0</v>
      </c>
      <c r="GG231" s="8">
        <f>IF(GG$56-Voorblad!$F$41&gt;Voorblad!$K$41,0,IF($U231=0,0,IF($U231&lt;1,1/$U231,IF((GG$56-Voorblad!$F$41)/$U231-SUM($EE231:GF231)=1,1,0))))</f>
        <v>0</v>
      </c>
      <c r="GH231" s="8">
        <f>IF(GH$56-Voorblad!$F$41&gt;Voorblad!$K$41,0,IF($U231=0,0,IF($U231&lt;1,1/$U231,IF((GH$56-Voorblad!$F$41)/$U231-SUM($EE231:GG231)=1,1,0))))</f>
        <v>0</v>
      </c>
      <c r="GI231" s="8">
        <f>IF(GI$56-Voorblad!$F$41&gt;Voorblad!$K$41,0,IF($U231=0,0,IF($U231&lt;1,1/$U231,IF((GI$56-Voorblad!$F$41)/$U231-SUM($EE231:GH231)=1,1,0))))</f>
        <v>0</v>
      </c>
      <c r="GJ231" s="8">
        <f>IF(GJ$56-Voorblad!$F$41&gt;Voorblad!$K$41,0,IF($U231=0,0,IF($U231&lt;1,1/$U231,IF((GJ$56-Voorblad!$F$41)/$U231-SUM($EE231:GI231)=1,1,0))))</f>
        <v>0</v>
      </c>
      <c r="GK231" s="8">
        <f>IF(GK$56-Voorblad!$F$41&gt;Voorblad!$K$41,0,IF($U231=0,0,IF($U231&lt;1,1/$U231,IF((GK$56-Voorblad!$F$41)/$U231-SUM($EE231:GJ231)=1,1,0))))</f>
        <v>0</v>
      </c>
      <c r="GL231" s="8">
        <f>IF(GL$56-Voorblad!$F$41&gt;Voorblad!$K$41,0,IF($U231=0,0,IF($U231&lt;1,1/$U231,IF((GL$56-Voorblad!$F$41)/$U231-SUM($EE231:GK231)=1,1,0))))</f>
        <v>0</v>
      </c>
      <c r="GM231" s="8">
        <f>IF(GM$56-Voorblad!$F$41&gt;Voorblad!$K$41,0,IF($U231=0,0,IF($U231&lt;1,1/$U231,IF((GM$56-Voorblad!$F$41)/$U231-SUM($EE231:GL231)=1,1,0))))</f>
        <v>0</v>
      </c>
      <c r="GN231" s="8">
        <f>IF(GN$56-Voorblad!$F$41&gt;Voorblad!$K$41,0,IF($U231=0,0,IF($U231&lt;1,1/$U231,IF((GN$56-Voorblad!$F$41)/$U231-SUM($EE231:GM231)=1,1,0))))</f>
        <v>0</v>
      </c>
      <c r="GO231" s="8">
        <f>IF(GO$56-Voorblad!$F$41&gt;Voorblad!$K$41,0,IF($U231=0,0,IF($U231&lt;1,1/$U231,IF((GO$56-Voorblad!$F$41)/$U231-SUM($EE231:GN231)=1,1,0))))</f>
        <v>0</v>
      </c>
      <c r="GP231" s="8">
        <f>IF(GP$56-Voorblad!$F$41&gt;Voorblad!$K$41,0,IF($U231=0,0,IF($U231&lt;1,1/$U231,IF((GP$56-Voorblad!$F$41)/$U231-SUM($EE231:GO231)=1,1,0))))</f>
        <v>0</v>
      </c>
      <c r="GQ231" s="8">
        <f>IF(GQ$56-Voorblad!$F$41&gt;Voorblad!$K$41,0,IF($U231=0,0,IF($U231&lt;1,1/$U231,IF((GQ$56-Voorblad!$F$41)/$U231-SUM($EE231:GP231)=1,1,0))))</f>
        <v>0</v>
      </c>
      <c r="GR231" s="8">
        <f>IF(GR$56-Voorblad!$F$41&gt;Voorblad!$K$41,0,IF($U231=0,0,IF($U231&lt;1,1/$U231,IF((GR$56-Voorblad!$F$41)/$U231-SUM($EE231:GQ231)=1,1,0))))</f>
        <v>0</v>
      </c>
      <c r="GS231" s="8">
        <f>IF(GS$56-Voorblad!$F$41&gt;Voorblad!$K$41,0,IF($U231=0,0,IF($U231&lt;1,1/$U231,IF((GS$56-Voorblad!$F$41)/$U231-SUM($EE231:GR231)=1,1,0))))</f>
        <v>0</v>
      </c>
      <c r="GT231" s="8">
        <f>IF(GT$56-Voorblad!$F$41&gt;Voorblad!$K$41,0,IF($U231=0,0,IF($U231&lt;1,1/$U231,IF((GT$56-Voorblad!$F$41)/$U231-SUM($EE231:GS231)=1,1,0))))</f>
        <v>0</v>
      </c>
      <c r="GU231" s="8">
        <f>IF(GU$56-Voorblad!$F$41&gt;Voorblad!$K$41,0,IF($U231=0,0,IF($U231&lt;1,1/$U231,IF((GU$56-Voorblad!$F$41)/$U231-SUM($EE231:GT231)=1,1,0))))</f>
        <v>0</v>
      </c>
      <c r="GV231" s="8">
        <f>IF(GV$56-Voorblad!$F$41&gt;Voorblad!$K$41,0,IF($U231=0,0,IF($U231&lt;1,1/$U231,IF((GV$56-Voorblad!$F$41)/$U231-SUM($EE231:GU231)=1,1,0))))</f>
        <v>0</v>
      </c>
      <c r="GW231" s="8">
        <f>IF(GW$56-Voorblad!$F$41&gt;Voorblad!$K$41,0,IF($U231=0,0,IF($U231&lt;1,1/$U231,IF((GW$56-Voorblad!$F$41)/$U231-SUM($EE231:GV231)=1,1,0))))</f>
        <v>0</v>
      </c>
      <c r="GX231" s="8">
        <f>IF(GX$56-Voorblad!$F$41&gt;Voorblad!$K$41,0,IF($U231=0,0,IF($U231&lt;1,1/$U231,IF((GX$56-Voorblad!$F$41)/$U231-SUM($EE231:GW231)=1,1,0))))</f>
        <v>0</v>
      </c>
      <c r="GY231" s="8">
        <f>IF(GY$56-Voorblad!$F$41&gt;Voorblad!$K$41,0,IF($U231=0,0,IF($U231&lt;1,1/$U231,IF((GY$56-Voorblad!$F$41)/$U231-SUM($EE231:GX231)=1,1,0))))</f>
        <v>0</v>
      </c>
      <c r="GZ231" s="8">
        <f>IF(GZ$56-Voorblad!$F$41&gt;Voorblad!$K$41,0,IF($U231=0,0,IF($U231&lt;1,1/$U231,IF((GZ$56-Voorblad!$F$41)/$U231-SUM($EE231:GY231)=1,1,0))))</f>
        <v>0</v>
      </c>
      <c r="HA231" s="8">
        <f>IF(HA$56-Voorblad!$F$41&gt;Voorblad!$K$41,0,IF($U231=0,0,IF($U231&lt;1,1/$U231,IF((HA$56-Voorblad!$F$41)/$U231-SUM($EE231:GZ231)=1,1,0))))</f>
        <v>0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268</v>
      </c>
      <c r="O232" s="1" t="s">
        <v>139</v>
      </c>
      <c r="P232" s="1" t="s">
        <v>316</v>
      </c>
      <c r="Q232" s="83">
        <f>2.3*2520</f>
        <v>5796</v>
      </c>
      <c r="R232" s="1" t="s">
        <v>102</v>
      </c>
      <c r="S232" s="1">
        <v>-50</v>
      </c>
      <c r="T232" s="21">
        <f t="shared" si="201"/>
        <v>-289800</v>
      </c>
      <c r="U232" s="11">
        <v>1</v>
      </c>
      <c r="V232" s="14">
        <f>Voorblad!F24+100</f>
        <v>2062</v>
      </c>
      <c r="W232" s="9">
        <f>Voorblad!$K$77</f>
        <v>2062</v>
      </c>
      <c r="X232" s="6"/>
      <c r="Y232" s="9">
        <f t="shared" ref="Y232" si="205">SUM(AE232:EB232)</f>
        <v>-125166.16841393879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-125166.16841393879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0</v>
      </c>
      <c r="FP232" s="8">
        <f>IF(FP$56-Voorblad!$F$41&gt;Voorblad!$K$41,0,IF($U232=0,0,IF($U232&lt;1,1/$U232,IF((FP$56-Voorblad!$F$41)/$U232-SUM($EE232:FO232)=1,1,0))))</f>
        <v>0</v>
      </c>
      <c r="FQ232" s="8">
        <f>IF(FQ$56-Voorblad!$F$41&gt;Voorblad!$K$41,0,IF($U232=0,0,IF($U232&lt;1,1/$U232,IF((FQ$56-Voorblad!$F$41)/$U232-SUM($EE232:FP232)=1,1,0))))</f>
        <v>0</v>
      </c>
      <c r="FR232" s="8">
        <f>IF(FR$56-Voorblad!$F$41&gt;Voorblad!$K$41,0,IF($U232=0,0,IF($U232&lt;1,1/$U232,IF((FR$56-Voorblad!$F$41)/$U232-SUM($EE232:FQ232)=1,1,0))))</f>
        <v>0</v>
      </c>
      <c r="FS232" s="8">
        <f>IF(FS$56-Voorblad!$F$41&gt;Voorblad!$K$41,0,IF($U232=0,0,IF($U232&lt;1,1/$U232,IF((FS$56-Voorblad!$F$41)/$U232-SUM($EE232:FR232)=1,1,0))))</f>
        <v>0</v>
      </c>
      <c r="FT232" s="8">
        <f>IF(FT$56-Voorblad!$F$41&gt;Voorblad!$K$41,0,IF($U232=0,0,IF($U232&lt;1,1/$U232,IF((FT$56-Voorblad!$F$41)/$U232-SUM($EE232:FS232)=1,1,0))))</f>
        <v>0</v>
      </c>
      <c r="FU232" s="8">
        <f>IF(FU$56-Voorblad!$F$41&gt;Voorblad!$K$41,0,IF($U232=0,0,IF($U232&lt;1,1/$U232,IF((FU$56-Voorblad!$F$41)/$U232-SUM($EE232:FT232)=1,1,0))))</f>
        <v>0</v>
      </c>
      <c r="FV232" s="8">
        <f>IF(FV$56-Voorblad!$F$41&gt;Voorblad!$K$41,0,IF($U232=0,0,IF($U232&lt;1,1/$U232,IF((FV$56-Voorblad!$F$41)/$U232-SUM($EE232:FU232)=1,1,0))))</f>
        <v>0</v>
      </c>
      <c r="FW232" s="8">
        <f>IF(FW$56-Voorblad!$F$41&gt;Voorblad!$K$41,0,IF($U232=0,0,IF($U232&lt;1,1/$U232,IF((FW$56-Voorblad!$F$41)/$U232-SUM($EE232:FV232)=1,1,0))))</f>
        <v>0</v>
      </c>
      <c r="FX232" s="8">
        <f>IF(FX$56-Voorblad!$F$41&gt;Voorblad!$K$41,0,IF($U232=0,0,IF($U232&lt;1,1/$U232,IF((FX$56-Voorblad!$F$41)/$U232-SUM($EE232:FW232)=1,1,0))))</f>
        <v>0</v>
      </c>
      <c r="FY232" s="8">
        <f>IF(FY$56-Voorblad!$F$41&gt;Voorblad!$K$41,0,IF($U232=0,0,IF($U232&lt;1,1/$U232,IF((FY$56-Voorblad!$F$41)/$U232-SUM($EE232:FX232)=1,1,0))))</f>
        <v>0</v>
      </c>
      <c r="FZ232" s="8">
        <f>IF(FZ$56-Voorblad!$F$41&gt;Voorblad!$K$41,0,IF($U232=0,0,IF($U232&lt;1,1/$U232,IF((FZ$56-Voorblad!$F$41)/$U232-SUM($EE232:FY232)=1,1,0))))</f>
        <v>0</v>
      </c>
      <c r="GA232" s="8">
        <f>IF(GA$56-Voorblad!$F$41&gt;Voorblad!$K$41,0,IF($U232=0,0,IF($U232&lt;1,1/$U232,IF((GA$56-Voorblad!$F$41)/$U232-SUM($EE232:FZ232)=1,1,0))))</f>
        <v>0</v>
      </c>
      <c r="GB232" s="8">
        <f>IF(GB$56-Voorblad!$F$41&gt;Voorblad!$K$41,0,IF($U232=0,0,IF($U232&lt;1,1/$U232,IF((GB$56-Voorblad!$F$41)/$U232-SUM($EE232:GA232)=1,1,0))))</f>
        <v>0</v>
      </c>
      <c r="GC232" s="8">
        <f>IF(GC$56-Voorblad!$F$41&gt;Voorblad!$K$41,0,IF($U232=0,0,IF($U232&lt;1,1/$U232,IF((GC$56-Voorblad!$F$41)/$U232-SUM($EE232:GB232)=1,1,0))))</f>
        <v>0</v>
      </c>
      <c r="GD232" s="8">
        <f>IF(GD$56-Voorblad!$F$41&gt;Voorblad!$K$41,0,IF($U232=0,0,IF($U232&lt;1,1/$U232,IF((GD$56-Voorblad!$F$41)/$U232-SUM($EE232:GC232)=1,1,0))))</f>
        <v>0</v>
      </c>
      <c r="GE232" s="8">
        <f>IF(GE$56-Voorblad!$F$41&gt;Voorblad!$K$41,0,IF($U232=0,0,IF($U232&lt;1,1/$U232,IF((GE$56-Voorblad!$F$41)/$U232-SUM($EE232:GD232)=1,1,0))))</f>
        <v>0</v>
      </c>
      <c r="GF232" s="8">
        <f>IF(GF$56-Voorblad!$F$41&gt;Voorblad!$K$41,0,IF($U232=0,0,IF($U232&lt;1,1/$U232,IF((GF$56-Voorblad!$F$41)/$U232-SUM($EE232:GE232)=1,1,0))))</f>
        <v>0</v>
      </c>
      <c r="GG232" s="8">
        <f>IF(GG$56-Voorblad!$F$41&gt;Voorblad!$K$41,0,IF($U232=0,0,IF($U232&lt;1,1/$U232,IF((GG$56-Voorblad!$F$41)/$U232-SUM($EE232:GF232)=1,1,0))))</f>
        <v>0</v>
      </c>
      <c r="GH232" s="8">
        <f>IF(GH$56-Voorblad!$F$41&gt;Voorblad!$K$41,0,IF($U232=0,0,IF($U232&lt;1,1/$U232,IF((GH$56-Voorblad!$F$41)/$U232-SUM($EE232:GG232)=1,1,0))))</f>
        <v>0</v>
      </c>
      <c r="GI232" s="8">
        <f>IF(GI$56-Voorblad!$F$41&gt;Voorblad!$K$41,0,IF($U232=0,0,IF($U232&lt;1,1/$U232,IF((GI$56-Voorblad!$F$41)/$U232-SUM($EE232:GH232)=1,1,0))))</f>
        <v>0</v>
      </c>
      <c r="GJ232" s="8">
        <f>IF(GJ$56-Voorblad!$F$41&gt;Voorblad!$K$41,0,IF($U232=0,0,IF($U232&lt;1,1/$U232,IF((GJ$56-Voorblad!$F$41)/$U232-SUM($EE232:GI232)=1,1,0))))</f>
        <v>0</v>
      </c>
      <c r="GK232" s="8">
        <f>IF(GK$56-Voorblad!$F$41&gt;Voorblad!$K$41,0,IF($U232=0,0,IF($U232&lt;1,1/$U232,IF((GK$56-Voorblad!$F$41)/$U232-SUM($EE232:GJ232)=1,1,0))))</f>
        <v>0</v>
      </c>
      <c r="GL232" s="8">
        <f>IF(GL$56-Voorblad!$F$41&gt;Voorblad!$K$41,0,IF($U232=0,0,IF($U232&lt;1,1/$U232,IF((GL$56-Voorblad!$F$41)/$U232-SUM($EE232:GK232)=1,1,0))))</f>
        <v>0</v>
      </c>
      <c r="GM232" s="8">
        <f>IF(GM$56-Voorblad!$F$41&gt;Voorblad!$K$41,0,IF($U232=0,0,IF($U232&lt;1,1/$U232,IF((GM$56-Voorblad!$F$41)/$U232-SUM($EE232:GL232)=1,1,0))))</f>
        <v>0</v>
      </c>
      <c r="GN232" s="8">
        <f>IF(GN$56-Voorblad!$F$41&gt;Voorblad!$K$41,0,IF($U232=0,0,IF($U232&lt;1,1/$U232,IF((GN$56-Voorblad!$F$41)/$U232-SUM($EE232:GM232)=1,1,0))))</f>
        <v>0</v>
      </c>
      <c r="GO232" s="8">
        <f>IF(GO$56-Voorblad!$F$41&gt;Voorblad!$K$41,0,IF($U232=0,0,IF($U232&lt;1,1/$U232,IF((GO$56-Voorblad!$F$41)/$U232-SUM($EE232:GN232)=1,1,0))))</f>
        <v>0</v>
      </c>
      <c r="GP232" s="8">
        <f>IF(GP$56-Voorblad!$F$41&gt;Voorblad!$K$41,0,IF($U232=0,0,IF($U232&lt;1,1/$U232,IF((GP$56-Voorblad!$F$41)/$U232-SUM($EE232:GO232)=1,1,0))))</f>
        <v>0</v>
      </c>
      <c r="GQ232" s="8">
        <f>IF(GQ$56-Voorblad!$F$41&gt;Voorblad!$K$41,0,IF($U232=0,0,IF($U232&lt;1,1/$U232,IF((GQ$56-Voorblad!$F$41)/$U232-SUM($EE232:GP232)=1,1,0))))</f>
        <v>0</v>
      </c>
      <c r="GR232" s="8">
        <f>IF(GR$56-Voorblad!$F$41&gt;Voorblad!$K$41,0,IF($U232=0,0,IF($U232&lt;1,1/$U232,IF((GR$56-Voorblad!$F$41)/$U232-SUM($EE232:GQ232)=1,1,0))))</f>
        <v>0</v>
      </c>
      <c r="GS232" s="8">
        <f>IF(GS$56-Voorblad!$F$41&gt;Voorblad!$K$41,0,IF($U232=0,0,IF($U232&lt;1,1/$U232,IF((GS$56-Voorblad!$F$41)/$U232-SUM($EE232:GR232)=1,1,0))))</f>
        <v>0</v>
      </c>
      <c r="GT232" s="8">
        <f>IF(GT$56-Voorblad!$F$41&gt;Voorblad!$K$41,0,IF($U232=0,0,IF($U232&lt;1,1/$U232,IF((GT$56-Voorblad!$F$41)/$U232-SUM($EE232:GS232)=1,1,0))))</f>
        <v>0</v>
      </c>
      <c r="GU232" s="8">
        <f>IF(GU$56-Voorblad!$F$41&gt;Voorblad!$K$41,0,IF($U232=0,0,IF($U232&lt;1,1/$U232,IF((GU$56-Voorblad!$F$41)/$U232-SUM($EE232:GT232)=1,1,0))))</f>
        <v>0</v>
      </c>
      <c r="GV232" s="8">
        <f>IF(GV$56-Voorblad!$F$41&gt;Voorblad!$K$41,0,IF($U232=0,0,IF($U232&lt;1,1/$U232,IF((GV$56-Voorblad!$F$41)/$U232-SUM($EE232:GU232)=1,1,0))))</f>
        <v>0</v>
      </c>
      <c r="GW232" s="8">
        <f>IF(GW$56-Voorblad!$F$41&gt;Voorblad!$K$41,0,IF($U232=0,0,IF($U232&lt;1,1/$U232,IF((GW$56-Voorblad!$F$41)/$U232-SUM($EE232:GV232)=1,1,0))))</f>
        <v>0</v>
      </c>
      <c r="GX232" s="8">
        <f>IF(GX$56-Voorblad!$F$41&gt;Voorblad!$K$41,0,IF($U232=0,0,IF($U232&lt;1,1/$U232,IF((GX$56-Voorblad!$F$41)/$U232-SUM($EE232:GW232)=1,1,0))))</f>
        <v>0</v>
      </c>
      <c r="GY232" s="8">
        <f>IF(GY$56-Voorblad!$F$41&gt;Voorblad!$K$41,0,IF($U232=0,0,IF($U232&lt;1,1/$U232,IF((GY$56-Voorblad!$F$41)/$U232-SUM($EE232:GX232)=1,1,0))))</f>
        <v>0</v>
      </c>
      <c r="GZ232" s="8">
        <f>IF(GZ$56-Voorblad!$F$41&gt;Voorblad!$K$41,0,IF($U232=0,0,IF($U232&lt;1,1/$U232,IF((GZ$56-Voorblad!$F$41)/$U232-SUM($EE232:GY232)=1,1,0))))</f>
        <v>0</v>
      </c>
      <c r="HA232" s="8">
        <f>IF(HA$56-Voorblad!$F$41&gt;Voorblad!$K$41,0,IF($U232=0,0,IF($U232&lt;1,1/$U232,IF((HA$56-Voorblad!$F$41)/$U232-SUM($EE232:GZ232)=1,1,0))))</f>
        <v>0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269</v>
      </c>
      <c r="O233" s="1" t="s">
        <v>138</v>
      </c>
      <c r="Q233" s="83">
        <f>0.2*Q232</f>
        <v>1159.2</v>
      </c>
      <c r="R233" s="1" t="s">
        <v>102</v>
      </c>
      <c r="S233" s="1">
        <v>-200</v>
      </c>
      <c r="T233" s="21">
        <f t="shared" si="201"/>
        <v>-231840</v>
      </c>
      <c r="U233" s="11">
        <v>1</v>
      </c>
      <c r="V233" s="14">
        <f>Voorblad!F24+100</f>
        <v>2062</v>
      </c>
      <c r="W233" s="9">
        <f>Voorblad!$K$77</f>
        <v>2062</v>
      </c>
      <c r="X233" s="6"/>
      <c r="Y233" s="9">
        <f t="shared" ref="Y233" si="206">SUM(AE233:EB233)</f>
        <v>-100132.93473115104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-100132.93473115104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0</v>
      </c>
      <c r="FP233" s="8">
        <f>IF(FP$56-Voorblad!$F$41&gt;Voorblad!$K$41,0,IF($U233=0,0,IF($U233&lt;1,1/$U233,IF((FP$56-Voorblad!$F$41)/$U233-SUM($EE233:FO233)=1,1,0))))</f>
        <v>0</v>
      </c>
      <c r="FQ233" s="8">
        <f>IF(FQ$56-Voorblad!$F$41&gt;Voorblad!$K$41,0,IF($U233=0,0,IF($U233&lt;1,1/$U233,IF((FQ$56-Voorblad!$F$41)/$U233-SUM($EE233:FP233)=1,1,0))))</f>
        <v>0</v>
      </c>
      <c r="FR233" s="8">
        <f>IF(FR$56-Voorblad!$F$41&gt;Voorblad!$K$41,0,IF($U233=0,0,IF($U233&lt;1,1/$U233,IF((FR$56-Voorblad!$F$41)/$U233-SUM($EE233:FQ233)=1,1,0))))</f>
        <v>0</v>
      </c>
      <c r="FS233" s="8">
        <f>IF(FS$56-Voorblad!$F$41&gt;Voorblad!$K$41,0,IF($U233=0,0,IF($U233&lt;1,1/$U233,IF((FS$56-Voorblad!$F$41)/$U233-SUM($EE233:FR233)=1,1,0))))</f>
        <v>0</v>
      </c>
      <c r="FT233" s="8">
        <f>IF(FT$56-Voorblad!$F$41&gt;Voorblad!$K$41,0,IF($U233=0,0,IF($U233&lt;1,1/$U233,IF((FT$56-Voorblad!$F$41)/$U233-SUM($EE233:FS233)=1,1,0))))</f>
        <v>0</v>
      </c>
      <c r="FU233" s="8">
        <f>IF(FU$56-Voorblad!$F$41&gt;Voorblad!$K$41,0,IF($U233=0,0,IF($U233&lt;1,1/$U233,IF((FU$56-Voorblad!$F$41)/$U233-SUM($EE233:FT233)=1,1,0))))</f>
        <v>0</v>
      </c>
      <c r="FV233" s="8">
        <f>IF(FV$56-Voorblad!$F$41&gt;Voorblad!$K$41,0,IF($U233=0,0,IF($U233&lt;1,1/$U233,IF((FV$56-Voorblad!$F$41)/$U233-SUM($EE233:FU233)=1,1,0))))</f>
        <v>0</v>
      </c>
      <c r="FW233" s="8">
        <f>IF(FW$56-Voorblad!$F$41&gt;Voorblad!$K$41,0,IF($U233=0,0,IF($U233&lt;1,1/$U233,IF((FW$56-Voorblad!$F$41)/$U233-SUM($EE233:FV233)=1,1,0))))</f>
        <v>0</v>
      </c>
      <c r="FX233" s="8">
        <f>IF(FX$56-Voorblad!$F$41&gt;Voorblad!$K$41,0,IF($U233=0,0,IF($U233&lt;1,1/$U233,IF((FX$56-Voorblad!$F$41)/$U233-SUM($EE233:FW233)=1,1,0))))</f>
        <v>0</v>
      </c>
      <c r="FY233" s="8">
        <f>IF(FY$56-Voorblad!$F$41&gt;Voorblad!$K$41,0,IF($U233=0,0,IF($U233&lt;1,1/$U233,IF((FY$56-Voorblad!$F$41)/$U233-SUM($EE233:FX233)=1,1,0))))</f>
        <v>0</v>
      </c>
      <c r="FZ233" s="8">
        <f>IF(FZ$56-Voorblad!$F$41&gt;Voorblad!$K$41,0,IF($U233=0,0,IF($U233&lt;1,1/$U233,IF((FZ$56-Voorblad!$F$41)/$U233-SUM($EE233:FY233)=1,1,0))))</f>
        <v>0</v>
      </c>
      <c r="GA233" s="8">
        <f>IF(GA$56-Voorblad!$F$41&gt;Voorblad!$K$41,0,IF($U233=0,0,IF($U233&lt;1,1/$U233,IF((GA$56-Voorblad!$F$41)/$U233-SUM($EE233:FZ233)=1,1,0))))</f>
        <v>0</v>
      </c>
      <c r="GB233" s="8">
        <f>IF(GB$56-Voorblad!$F$41&gt;Voorblad!$K$41,0,IF($U233=0,0,IF($U233&lt;1,1/$U233,IF((GB$56-Voorblad!$F$41)/$U233-SUM($EE233:GA233)=1,1,0))))</f>
        <v>0</v>
      </c>
      <c r="GC233" s="8">
        <f>IF(GC$56-Voorblad!$F$41&gt;Voorblad!$K$41,0,IF($U233=0,0,IF($U233&lt;1,1/$U233,IF((GC$56-Voorblad!$F$41)/$U233-SUM($EE233:GB233)=1,1,0))))</f>
        <v>0</v>
      </c>
      <c r="GD233" s="8">
        <f>IF(GD$56-Voorblad!$F$41&gt;Voorblad!$K$41,0,IF($U233=0,0,IF($U233&lt;1,1/$U233,IF((GD$56-Voorblad!$F$41)/$U233-SUM($EE233:GC233)=1,1,0))))</f>
        <v>0</v>
      </c>
      <c r="GE233" s="8">
        <f>IF(GE$56-Voorblad!$F$41&gt;Voorblad!$K$41,0,IF($U233=0,0,IF($U233&lt;1,1/$U233,IF((GE$56-Voorblad!$F$41)/$U233-SUM($EE233:GD233)=1,1,0))))</f>
        <v>0</v>
      </c>
      <c r="GF233" s="8">
        <f>IF(GF$56-Voorblad!$F$41&gt;Voorblad!$K$41,0,IF($U233=0,0,IF($U233&lt;1,1/$U233,IF((GF$56-Voorblad!$F$41)/$U233-SUM($EE233:GE233)=1,1,0))))</f>
        <v>0</v>
      </c>
      <c r="GG233" s="8">
        <f>IF(GG$56-Voorblad!$F$41&gt;Voorblad!$K$41,0,IF($U233=0,0,IF($U233&lt;1,1/$U233,IF((GG$56-Voorblad!$F$41)/$U233-SUM($EE233:GF233)=1,1,0))))</f>
        <v>0</v>
      </c>
      <c r="GH233" s="8">
        <f>IF(GH$56-Voorblad!$F$41&gt;Voorblad!$K$41,0,IF($U233=0,0,IF($U233&lt;1,1/$U233,IF((GH$56-Voorblad!$F$41)/$U233-SUM($EE233:GG233)=1,1,0))))</f>
        <v>0</v>
      </c>
      <c r="GI233" s="8">
        <f>IF(GI$56-Voorblad!$F$41&gt;Voorblad!$K$41,0,IF($U233=0,0,IF($U233&lt;1,1/$U233,IF((GI$56-Voorblad!$F$41)/$U233-SUM($EE233:GH233)=1,1,0))))</f>
        <v>0</v>
      </c>
      <c r="GJ233" s="8">
        <f>IF(GJ$56-Voorblad!$F$41&gt;Voorblad!$K$41,0,IF($U233=0,0,IF($U233&lt;1,1/$U233,IF((GJ$56-Voorblad!$F$41)/$U233-SUM($EE233:GI233)=1,1,0))))</f>
        <v>0</v>
      </c>
      <c r="GK233" s="8">
        <f>IF(GK$56-Voorblad!$F$41&gt;Voorblad!$K$41,0,IF($U233=0,0,IF($U233&lt;1,1/$U233,IF((GK$56-Voorblad!$F$41)/$U233-SUM($EE233:GJ233)=1,1,0))))</f>
        <v>0</v>
      </c>
      <c r="GL233" s="8">
        <f>IF(GL$56-Voorblad!$F$41&gt;Voorblad!$K$41,0,IF($U233=0,0,IF($U233&lt;1,1/$U233,IF((GL$56-Voorblad!$F$41)/$U233-SUM($EE233:GK233)=1,1,0))))</f>
        <v>0</v>
      </c>
      <c r="GM233" s="8">
        <f>IF(GM$56-Voorblad!$F$41&gt;Voorblad!$K$41,0,IF($U233=0,0,IF($U233&lt;1,1/$U233,IF((GM$56-Voorblad!$F$41)/$U233-SUM($EE233:GL233)=1,1,0))))</f>
        <v>0</v>
      </c>
      <c r="GN233" s="8">
        <f>IF(GN$56-Voorblad!$F$41&gt;Voorblad!$K$41,0,IF($U233=0,0,IF($U233&lt;1,1/$U233,IF((GN$56-Voorblad!$F$41)/$U233-SUM($EE233:GM233)=1,1,0))))</f>
        <v>0</v>
      </c>
      <c r="GO233" s="8">
        <f>IF(GO$56-Voorblad!$F$41&gt;Voorblad!$K$41,0,IF($U233=0,0,IF($U233&lt;1,1/$U233,IF((GO$56-Voorblad!$F$41)/$U233-SUM($EE233:GN233)=1,1,0))))</f>
        <v>0</v>
      </c>
      <c r="GP233" s="8">
        <f>IF(GP$56-Voorblad!$F$41&gt;Voorblad!$K$41,0,IF($U233=0,0,IF($U233&lt;1,1/$U233,IF((GP$56-Voorblad!$F$41)/$U233-SUM($EE233:GO233)=1,1,0))))</f>
        <v>0</v>
      </c>
      <c r="GQ233" s="8">
        <f>IF(GQ$56-Voorblad!$F$41&gt;Voorblad!$K$41,0,IF($U233=0,0,IF($U233&lt;1,1/$U233,IF((GQ$56-Voorblad!$F$41)/$U233-SUM($EE233:GP233)=1,1,0))))</f>
        <v>0</v>
      </c>
      <c r="GR233" s="8">
        <f>IF(GR$56-Voorblad!$F$41&gt;Voorblad!$K$41,0,IF($U233=0,0,IF($U233&lt;1,1/$U233,IF((GR$56-Voorblad!$F$41)/$U233-SUM($EE233:GQ233)=1,1,0))))</f>
        <v>0</v>
      </c>
      <c r="GS233" s="8">
        <f>IF(GS$56-Voorblad!$F$41&gt;Voorblad!$K$41,0,IF($U233=0,0,IF($U233&lt;1,1/$U233,IF((GS$56-Voorblad!$F$41)/$U233-SUM($EE233:GR233)=1,1,0))))</f>
        <v>0</v>
      </c>
      <c r="GT233" s="8">
        <f>IF(GT$56-Voorblad!$F$41&gt;Voorblad!$K$41,0,IF($U233=0,0,IF($U233&lt;1,1/$U233,IF((GT$56-Voorblad!$F$41)/$U233-SUM($EE233:GS233)=1,1,0))))</f>
        <v>0</v>
      </c>
      <c r="GU233" s="8">
        <f>IF(GU$56-Voorblad!$F$41&gt;Voorblad!$K$41,0,IF($U233=0,0,IF($U233&lt;1,1/$U233,IF((GU$56-Voorblad!$F$41)/$U233-SUM($EE233:GT233)=1,1,0))))</f>
        <v>0</v>
      </c>
      <c r="GV233" s="8">
        <f>IF(GV$56-Voorblad!$F$41&gt;Voorblad!$K$41,0,IF($U233=0,0,IF($U233&lt;1,1/$U233,IF((GV$56-Voorblad!$F$41)/$U233-SUM($EE233:GU233)=1,1,0))))</f>
        <v>0</v>
      </c>
      <c r="GW233" s="8">
        <f>IF(GW$56-Voorblad!$F$41&gt;Voorblad!$K$41,0,IF($U233=0,0,IF($U233&lt;1,1/$U233,IF((GW$56-Voorblad!$F$41)/$U233-SUM($EE233:GV233)=1,1,0))))</f>
        <v>0</v>
      </c>
      <c r="GX233" s="8">
        <f>IF(GX$56-Voorblad!$F$41&gt;Voorblad!$K$41,0,IF($U233=0,0,IF($U233&lt;1,1/$U233,IF((GX$56-Voorblad!$F$41)/$U233-SUM($EE233:GW233)=1,1,0))))</f>
        <v>0</v>
      </c>
      <c r="GY233" s="8">
        <f>IF(GY$56-Voorblad!$F$41&gt;Voorblad!$K$41,0,IF($U233=0,0,IF($U233&lt;1,1/$U233,IF((GY$56-Voorblad!$F$41)/$U233-SUM($EE233:GX233)=1,1,0))))</f>
        <v>0</v>
      </c>
      <c r="GZ233" s="8">
        <f>IF(GZ$56-Voorblad!$F$41&gt;Voorblad!$K$41,0,IF($U233=0,0,IF($U233&lt;1,1/$U233,IF((GZ$56-Voorblad!$F$41)/$U233-SUM($EE233:GY233)=1,1,0))))</f>
        <v>0</v>
      </c>
      <c r="HA233" s="8">
        <f>IF(HA$56-Voorblad!$F$41&gt;Voorblad!$K$41,0,IF($U233=0,0,IF($U233&lt;1,1/$U233,IF((HA$56-Voorblad!$F$41)/$U233-SUM($EE233:GZ233)=1,1,0))))</f>
        <v>0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270</v>
      </c>
      <c r="O234" s="1" t="s">
        <v>106</v>
      </c>
      <c r="Q234" s="83">
        <v>0</v>
      </c>
      <c r="R234" s="1" t="s">
        <v>102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2062</v>
      </c>
      <c r="W234" s="9">
        <f>Voorblad!$K$77</f>
        <v>2062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0</v>
      </c>
      <c r="FP234" s="8">
        <f>IF(FP$56-Voorblad!$F$41&gt;Voorblad!$K$41,0,IF($U234=0,0,IF($U234&lt;1,1/$U234,IF((FP$56-Voorblad!$F$41)/$U234-SUM($EE234:FO234)=1,1,0))))</f>
        <v>0</v>
      </c>
      <c r="FQ234" s="8">
        <f>IF(FQ$56-Voorblad!$F$41&gt;Voorblad!$K$41,0,IF($U234=0,0,IF($U234&lt;1,1/$U234,IF((FQ$56-Voorblad!$F$41)/$U234-SUM($EE234:FP234)=1,1,0))))</f>
        <v>0</v>
      </c>
      <c r="FR234" s="8">
        <f>IF(FR$56-Voorblad!$F$41&gt;Voorblad!$K$41,0,IF($U234=0,0,IF($U234&lt;1,1/$U234,IF((FR$56-Voorblad!$F$41)/$U234-SUM($EE234:FQ234)=1,1,0))))</f>
        <v>0</v>
      </c>
      <c r="FS234" s="8">
        <f>IF(FS$56-Voorblad!$F$41&gt;Voorblad!$K$41,0,IF($U234=0,0,IF($U234&lt;1,1/$U234,IF((FS$56-Voorblad!$F$41)/$U234-SUM($EE234:FR234)=1,1,0))))</f>
        <v>0</v>
      </c>
      <c r="FT234" s="8">
        <f>IF(FT$56-Voorblad!$F$41&gt;Voorblad!$K$41,0,IF($U234=0,0,IF($U234&lt;1,1/$U234,IF((FT$56-Voorblad!$F$41)/$U234-SUM($EE234:FS234)=1,1,0))))</f>
        <v>0</v>
      </c>
      <c r="FU234" s="8">
        <f>IF(FU$56-Voorblad!$F$41&gt;Voorblad!$K$41,0,IF($U234=0,0,IF($U234&lt;1,1/$U234,IF((FU$56-Voorblad!$F$41)/$U234-SUM($EE234:FT234)=1,1,0))))</f>
        <v>0</v>
      </c>
      <c r="FV234" s="8">
        <f>IF(FV$56-Voorblad!$F$41&gt;Voorblad!$K$41,0,IF($U234=0,0,IF($U234&lt;1,1/$U234,IF((FV$56-Voorblad!$F$41)/$U234-SUM($EE234:FU234)=1,1,0))))</f>
        <v>0</v>
      </c>
      <c r="FW234" s="8">
        <f>IF(FW$56-Voorblad!$F$41&gt;Voorblad!$K$41,0,IF($U234=0,0,IF($U234&lt;1,1/$U234,IF((FW$56-Voorblad!$F$41)/$U234-SUM($EE234:FV234)=1,1,0))))</f>
        <v>0</v>
      </c>
      <c r="FX234" s="8">
        <f>IF(FX$56-Voorblad!$F$41&gt;Voorblad!$K$41,0,IF($U234=0,0,IF($U234&lt;1,1/$U234,IF((FX$56-Voorblad!$F$41)/$U234-SUM($EE234:FW234)=1,1,0))))</f>
        <v>0</v>
      </c>
      <c r="FY234" s="8">
        <f>IF(FY$56-Voorblad!$F$41&gt;Voorblad!$K$41,0,IF($U234=0,0,IF($U234&lt;1,1/$U234,IF((FY$56-Voorblad!$F$41)/$U234-SUM($EE234:FX234)=1,1,0))))</f>
        <v>0</v>
      </c>
      <c r="FZ234" s="8">
        <f>IF(FZ$56-Voorblad!$F$41&gt;Voorblad!$K$41,0,IF($U234=0,0,IF($U234&lt;1,1/$U234,IF((FZ$56-Voorblad!$F$41)/$U234-SUM($EE234:FY234)=1,1,0))))</f>
        <v>0</v>
      </c>
      <c r="GA234" s="8">
        <f>IF(GA$56-Voorblad!$F$41&gt;Voorblad!$K$41,0,IF($U234=0,0,IF($U234&lt;1,1/$U234,IF((GA$56-Voorblad!$F$41)/$U234-SUM($EE234:FZ234)=1,1,0))))</f>
        <v>0</v>
      </c>
      <c r="GB234" s="8">
        <f>IF(GB$56-Voorblad!$F$41&gt;Voorblad!$K$41,0,IF($U234=0,0,IF($U234&lt;1,1/$U234,IF((GB$56-Voorblad!$F$41)/$U234-SUM($EE234:GA234)=1,1,0))))</f>
        <v>0</v>
      </c>
      <c r="GC234" s="8">
        <f>IF(GC$56-Voorblad!$F$41&gt;Voorblad!$K$41,0,IF($U234=0,0,IF($U234&lt;1,1/$U234,IF((GC$56-Voorblad!$F$41)/$U234-SUM($EE234:GB234)=1,1,0))))</f>
        <v>0</v>
      </c>
      <c r="GD234" s="8">
        <f>IF(GD$56-Voorblad!$F$41&gt;Voorblad!$K$41,0,IF($U234=0,0,IF($U234&lt;1,1/$U234,IF((GD$56-Voorblad!$F$41)/$U234-SUM($EE234:GC234)=1,1,0))))</f>
        <v>0</v>
      </c>
      <c r="GE234" s="8">
        <f>IF(GE$56-Voorblad!$F$41&gt;Voorblad!$K$41,0,IF($U234=0,0,IF($U234&lt;1,1/$U234,IF((GE$56-Voorblad!$F$41)/$U234-SUM($EE234:GD234)=1,1,0))))</f>
        <v>0</v>
      </c>
      <c r="GF234" s="8">
        <f>IF(GF$56-Voorblad!$F$41&gt;Voorblad!$K$41,0,IF($U234=0,0,IF($U234&lt;1,1/$U234,IF((GF$56-Voorblad!$F$41)/$U234-SUM($EE234:GE234)=1,1,0))))</f>
        <v>0</v>
      </c>
      <c r="GG234" s="8">
        <f>IF(GG$56-Voorblad!$F$41&gt;Voorblad!$K$41,0,IF($U234=0,0,IF($U234&lt;1,1/$U234,IF((GG$56-Voorblad!$F$41)/$U234-SUM($EE234:GF234)=1,1,0))))</f>
        <v>0</v>
      </c>
      <c r="GH234" s="8">
        <f>IF(GH$56-Voorblad!$F$41&gt;Voorblad!$K$41,0,IF($U234=0,0,IF($U234&lt;1,1/$U234,IF((GH$56-Voorblad!$F$41)/$U234-SUM($EE234:GG234)=1,1,0))))</f>
        <v>0</v>
      </c>
      <c r="GI234" s="8">
        <f>IF(GI$56-Voorblad!$F$41&gt;Voorblad!$K$41,0,IF($U234=0,0,IF($U234&lt;1,1/$U234,IF((GI$56-Voorblad!$F$41)/$U234-SUM($EE234:GH234)=1,1,0))))</f>
        <v>0</v>
      </c>
      <c r="GJ234" s="8">
        <f>IF(GJ$56-Voorblad!$F$41&gt;Voorblad!$K$41,0,IF($U234=0,0,IF($U234&lt;1,1/$U234,IF((GJ$56-Voorblad!$F$41)/$U234-SUM($EE234:GI234)=1,1,0))))</f>
        <v>0</v>
      </c>
      <c r="GK234" s="8">
        <f>IF(GK$56-Voorblad!$F$41&gt;Voorblad!$K$41,0,IF($U234=0,0,IF($U234&lt;1,1/$U234,IF((GK$56-Voorblad!$F$41)/$U234-SUM($EE234:GJ234)=1,1,0))))</f>
        <v>0</v>
      </c>
      <c r="GL234" s="8">
        <f>IF(GL$56-Voorblad!$F$41&gt;Voorblad!$K$41,0,IF($U234=0,0,IF($U234&lt;1,1/$U234,IF((GL$56-Voorblad!$F$41)/$U234-SUM($EE234:GK234)=1,1,0))))</f>
        <v>0</v>
      </c>
      <c r="GM234" s="8">
        <f>IF(GM$56-Voorblad!$F$41&gt;Voorblad!$K$41,0,IF($U234=0,0,IF($U234&lt;1,1/$U234,IF((GM$56-Voorblad!$F$41)/$U234-SUM($EE234:GL234)=1,1,0))))</f>
        <v>0</v>
      </c>
      <c r="GN234" s="8">
        <f>IF(GN$56-Voorblad!$F$41&gt;Voorblad!$K$41,0,IF($U234=0,0,IF($U234&lt;1,1/$U234,IF((GN$56-Voorblad!$F$41)/$U234-SUM($EE234:GM234)=1,1,0))))</f>
        <v>0</v>
      </c>
      <c r="GO234" s="8">
        <f>IF(GO$56-Voorblad!$F$41&gt;Voorblad!$K$41,0,IF($U234=0,0,IF($U234&lt;1,1/$U234,IF((GO$56-Voorblad!$F$41)/$U234-SUM($EE234:GN234)=1,1,0))))</f>
        <v>0</v>
      </c>
      <c r="GP234" s="8">
        <f>IF(GP$56-Voorblad!$F$41&gt;Voorblad!$K$41,0,IF($U234=0,0,IF($U234&lt;1,1/$U234,IF((GP$56-Voorblad!$F$41)/$U234-SUM($EE234:GO234)=1,1,0))))</f>
        <v>0</v>
      </c>
      <c r="GQ234" s="8">
        <f>IF(GQ$56-Voorblad!$F$41&gt;Voorblad!$K$41,0,IF($U234=0,0,IF($U234&lt;1,1/$U234,IF((GQ$56-Voorblad!$F$41)/$U234-SUM($EE234:GP234)=1,1,0))))</f>
        <v>0</v>
      </c>
      <c r="GR234" s="8">
        <f>IF(GR$56-Voorblad!$F$41&gt;Voorblad!$K$41,0,IF($U234=0,0,IF($U234&lt;1,1/$U234,IF((GR$56-Voorblad!$F$41)/$U234-SUM($EE234:GQ234)=1,1,0))))</f>
        <v>0</v>
      </c>
      <c r="GS234" s="8">
        <f>IF(GS$56-Voorblad!$F$41&gt;Voorblad!$K$41,0,IF($U234=0,0,IF($U234&lt;1,1/$U234,IF((GS$56-Voorblad!$F$41)/$U234-SUM($EE234:GR234)=1,1,0))))</f>
        <v>0</v>
      </c>
      <c r="GT234" s="8">
        <f>IF(GT$56-Voorblad!$F$41&gt;Voorblad!$K$41,0,IF($U234=0,0,IF($U234&lt;1,1/$U234,IF((GT$56-Voorblad!$F$41)/$U234-SUM($EE234:GS234)=1,1,0))))</f>
        <v>0</v>
      </c>
      <c r="GU234" s="8">
        <f>IF(GU$56-Voorblad!$F$41&gt;Voorblad!$K$41,0,IF($U234=0,0,IF($U234&lt;1,1/$U234,IF((GU$56-Voorblad!$F$41)/$U234-SUM($EE234:GT234)=1,1,0))))</f>
        <v>0</v>
      </c>
      <c r="GV234" s="8">
        <f>IF(GV$56-Voorblad!$F$41&gt;Voorblad!$K$41,0,IF($U234=0,0,IF($U234&lt;1,1/$U234,IF((GV$56-Voorblad!$F$41)/$U234-SUM($EE234:GU234)=1,1,0))))</f>
        <v>0</v>
      </c>
      <c r="GW234" s="8">
        <f>IF(GW$56-Voorblad!$F$41&gt;Voorblad!$K$41,0,IF($U234=0,0,IF($U234&lt;1,1/$U234,IF((GW$56-Voorblad!$F$41)/$U234-SUM($EE234:GV234)=1,1,0))))</f>
        <v>0</v>
      </c>
      <c r="GX234" s="8">
        <f>IF(GX$56-Voorblad!$F$41&gt;Voorblad!$K$41,0,IF($U234=0,0,IF($U234&lt;1,1/$U234,IF((GX$56-Voorblad!$F$41)/$U234-SUM($EE234:GW234)=1,1,0))))</f>
        <v>0</v>
      </c>
      <c r="GY234" s="8">
        <f>IF(GY$56-Voorblad!$F$41&gt;Voorblad!$K$41,0,IF($U234=0,0,IF($U234&lt;1,1/$U234,IF((GY$56-Voorblad!$F$41)/$U234-SUM($EE234:GX234)=1,1,0))))</f>
        <v>0</v>
      </c>
      <c r="GZ234" s="8">
        <f>IF(GZ$56-Voorblad!$F$41&gt;Voorblad!$K$41,0,IF($U234=0,0,IF($U234&lt;1,1/$U234,IF((GZ$56-Voorblad!$F$41)/$U234-SUM($EE234:GY234)=1,1,0))))</f>
        <v>0</v>
      </c>
      <c r="HA234" s="8">
        <f>IF(HA$56-Voorblad!$F$41&gt;Voorblad!$K$41,0,IF($U234=0,0,IF($U234&lt;1,1/$U234,IF((HA$56-Voorblad!$F$41)/$U234-SUM($EE234:GZ234)=1,1,0))))</f>
        <v>0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106</v>
      </c>
      <c r="Q235" s="83">
        <v>0</v>
      </c>
      <c r="R235" s="1" t="s">
        <v>102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2062</v>
      </c>
      <c r="W235" s="9">
        <f>Voorblad!$K$77</f>
        <v>2062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0</v>
      </c>
      <c r="FP235" s="8">
        <f>IF(FP$56-Voorblad!$F$41&gt;Voorblad!$K$41,0,IF($U235=0,0,IF($U235&lt;1,1/$U235,IF((FP$56-Voorblad!$F$41)/$U235-SUM($EE235:FO235)=1,1,0))))</f>
        <v>0</v>
      </c>
      <c r="FQ235" s="8">
        <f>IF(FQ$56-Voorblad!$F$41&gt;Voorblad!$K$41,0,IF($U235=0,0,IF($U235&lt;1,1/$U235,IF((FQ$56-Voorblad!$F$41)/$U235-SUM($EE235:FP235)=1,1,0))))</f>
        <v>0</v>
      </c>
      <c r="FR235" s="8">
        <f>IF(FR$56-Voorblad!$F$41&gt;Voorblad!$K$41,0,IF($U235=0,0,IF($U235&lt;1,1/$U235,IF((FR$56-Voorblad!$F$41)/$U235-SUM($EE235:FQ235)=1,1,0))))</f>
        <v>0</v>
      </c>
      <c r="FS235" s="8">
        <f>IF(FS$56-Voorblad!$F$41&gt;Voorblad!$K$41,0,IF($U235=0,0,IF($U235&lt;1,1/$U235,IF((FS$56-Voorblad!$F$41)/$U235-SUM($EE235:FR235)=1,1,0))))</f>
        <v>0</v>
      </c>
      <c r="FT235" s="8">
        <f>IF(FT$56-Voorblad!$F$41&gt;Voorblad!$K$41,0,IF($U235=0,0,IF($U235&lt;1,1/$U235,IF((FT$56-Voorblad!$F$41)/$U235-SUM($EE235:FS235)=1,1,0))))</f>
        <v>0</v>
      </c>
      <c r="FU235" s="8">
        <f>IF(FU$56-Voorblad!$F$41&gt;Voorblad!$K$41,0,IF($U235=0,0,IF($U235&lt;1,1/$U235,IF((FU$56-Voorblad!$F$41)/$U235-SUM($EE235:FT235)=1,1,0))))</f>
        <v>0</v>
      </c>
      <c r="FV235" s="8">
        <f>IF(FV$56-Voorblad!$F$41&gt;Voorblad!$K$41,0,IF($U235=0,0,IF($U235&lt;1,1/$U235,IF((FV$56-Voorblad!$F$41)/$U235-SUM($EE235:FU235)=1,1,0))))</f>
        <v>0</v>
      </c>
      <c r="FW235" s="8">
        <f>IF(FW$56-Voorblad!$F$41&gt;Voorblad!$K$41,0,IF($U235=0,0,IF($U235&lt;1,1/$U235,IF((FW$56-Voorblad!$F$41)/$U235-SUM($EE235:FV235)=1,1,0))))</f>
        <v>0</v>
      </c>
      <c r="FX235" s="8">
        <f>IF(FX$56-Voorblad!$F$41&gt;Voorblad!$K$41,0,IF($U235=0,0,IF($U235&lt;1,1/$U235,IF((FX$56-Voorblad!$F$41)/$U235-SUM($EE235:FW235)=1,1,0))))</f>
        <v>0</v>
      </c>
      <c r="FY235" s="8">
        <f>IF(FY$56-Voorblad!$F$41&gt;Voorblad!$K$41,0,IF($U235=0,0,IF($U235&lt;1,1/$U235,IF((FY$56-Voorblad!$F$41)/$U235-SUM($EE235:FX235)=1,1,0))))</f>
        <v>0</v>
      </c>
      <c r="FZ235" s="8">
        <f>IF(FZ$56-Voorblad!$F$41&gt;Voorblad!$K$41,0,IF($U235=0,0,IF($U235&lt;1,1/$U235,IF((FZ$56-Voorblad!$F$41)/$U235-SUM($EE235:FY235)=1,1,0))))</f>
        <v>0</v>
      </c>
      <c r="GA235" s="8">
        <f>IF(GA$56-Voorblad!$F$41&gt;Voorblad!$K$41,0,IF($U235=0,0,IF($U235&lt;1,1/$U235,IF((GA$56-Voorblad!$F$41)/$U235-SUM($EE235:FZ235)=1,1,0))))</f>
        <v>0</v>
      </c>
      <c r="GB235" s="8">
        <f>IF(GB$56-Voorblad!$F$41&gt;Voorblad!$K$41,0,IF($U235=0,0,IF($U235&lt;1,1/$U235,IF((GB$56-Voorblad!$F$41)/$U235-SUM($EE235:GA235)=1,1,0))))</f>
        <v>0</v>
      </c>
      <c r="GC235" s="8">
        <f>IF(GC$56-Voorblad!$F$41&gt;Voorblad!$K$41,0,IF($U235=0,0,IF($U235&lt;1,1/$U235,IF((GC$56-Voorblad!$F$41)/$U235-SUM($EE235:GB235)=1,1,0))))</f>
        <v>0</v>
      </c>
      <c r="GD235" s="8">
        <f>IF(GD$56-Voorblad!$F$41&gt;Voorblad!$K$41,0,IF($U235=0,0,IF($U235&lt;1,1/$U235,IF((GD$56-Voorblad!$F$41)/$U235-SUM($EE235:GC235)=1,1,0))))</f>
        <v>0</v>
      </c>
      <c r="GE235" s="8">
        <f>IF(GE$56-Voorblad!$F$41&gt;Voorblad!$K$41,0,IF($U235=0,0,IF($U235&lt;1,1/$U235,IF((GE$56-Voorblad!$F$41)/$U235-SUM($EE235:GD235)=1,1,0))))</f>
        <v>0</v>
      </c>
      <c r="GF235" s="8">
        <f>IF(GF$56-Voorblad!$F$41&gt;Voorblad!$K$41,0,IF($U235=0,0,IF($U235&lt;1,1/$U235,IF((GF$56-Voorblad!$F$41)/$U235-SUM($EE235:GE235)=1,1,0))))</f>
        <v>0</v>
      </c>
      <c r="GG235" s="8">
        <f>IF(GG$56-Voorblad!$F$41&gt;Voorblad!$K$41,0,IF($U235=0,0,IF($U235&lt;1,1/$U235,IF((GG$56-Voorblad!$F$41)/$U235-SUM($EE235:GF235)=1,1,0))))</f>
        <v>0</v>
      </c>
      <c r="GH235" s="8">
        <f>IF(GH$56-Voorblad!$F$41&gt;Voorblad!$K$41,0,IF($U235=0,0,IF($U235&lt;1,1/$U235,IF((GH$56-Voorblad!$F$41)/$U235-SUM($EE235:GG235)=1,1,0))))</f>
        <v>0</v>
      </c>
      <c r="GI235" s="8">
        <f>IF(GI$56-Voorblad!$F$41&gt;Voorblad!$K$41,0,IF($U235=0,0,IF($U235&lt;1,1/$U235,IF((GI$56-Voorblad!$F$41)/$U235-SUM($EE235:GH235)=1,1,0))))</f>
        <v>0</v>
      </c>
      <c r="GJ235" s="8">
        <f>IF(GJ$56-Voorblad!$F$41&gt;Voorblad!$K$41,0,IF($U235=0,0,IF($U235&lt;1,1/$U235,IF((GJ$56-Voorblad!$F$41)/$U235-SUM($EE235:GI235)=1,1,0))))</f>
        <v>0</v>
      </c>
      <c r="GK235" s="8">
        <f>IF(GK$56-Voorblad!$F$41&gt;Voorblad!$K$41,0,IF($U235=0,0,IF($U235&lt;1,1/$U235,IF((GK$56-Voorblad!$F$41)/$U235-SUM($EE235:GJ235)=1,1,0))))</f>
        <v>0</v>
      </c>
      <c r="GL235" s="8">
        <f>IF(GL$56-Voorblad!$F$41&gt;Voorblad!$K$41,0,IF($U235=0,0,IF($U235&lt;1,1/$U235,IF((GL$56-Voorblad!$F$41)/$U235-SUM($EE235:GK235)=1,1,0))))</f>
        <v>0</v>
      </c>
      <c r="GM235" s="8">
        <f>IF(GM$56-Voorblad!$F$41&gt;Voorblad!$K$41,0,IF($U235=0,0,IF($U235&lt;1,1/$U235,IF((GM$56-Voorblad!$F$41)/$U235-SUM($EE235:GL235)=1,1,0))))</f>
        <v>0</v>
      </c>
      <c r="GN235" s="8">
        <f>IF(GN$56-Voorblad!$F$41&gt;Voorblad!$K$41,0,IF($U235=0,0,IF($U235&lt;1,1/$U235,IF((GN$56-Voorblad!$F$41)/$U235-SUM($EE235:GM235)=1,1,0))))</f>
        <v>0</v>
      </c>
      <c r="GO235" s="8">
        <f>IF(GO$56-Voorblad!$F$41&gt;Voorblad!$K$41,0,IF($U235=0,0,IF($U235&lt;1,1/$U235,IF((GO$56-Voorblad!$F$41)/$U235-SUM($EE235:GN235)=1,1,0))))</f>
        <v>0</v>
      </c>
      <c r="GP235" s="8">
        <f>IF(GP$56-Voorblad!$F$41&gt;Voorblad!$K$41,0,IF($U235=0,0,IF($U235&lt;1,1/$U235,IF((GP$56-Voorblad!$F$41)/$U235-SUM($EE235:GO235)=1,1,0))))</f>
        <v>0</v>
      </c>
      <c r="GQ235" s="8">
        <f>IF(GQ$56-Voorblad!$F$41&gt;Voorblad!$K$41,0,IF($U235=0,0,IF($U235&lt;1,1/$U235,IF((GQ$56-Voorblad!$F$41)/$U235-SUM($EE235:GP235)=1,1,0))))</f>
        <v>0</v>
      </c>
      <c r="GR235" s="8">
        <f>IF(GR$56-Voorblad!$F$41&gt;Voorblad!$K$41,0,IF($U235=0,0,IF($U235&lt;1,1/$U235,IF((GR$56-Voorblad!$F$41)/$U235-SUM($EE235:GQ235)=1,1,0))))</f>
        <v>0</v>
      </c>
      <c r="GS235" s="8">
        <f>IF(GS$56-Voorblad!$F$41&gt;Voorblad!$K$41,0,IF($U235=0,0,IF($U235&lt;1,1/$U235,IF((GS$56-Voorblad!$F$41)/$U235-SUM($EE235:GR235)=1,1,0))))</f>
        <v>0</v>
      </c>
      <c r="GT235" s="8">
        <f>IF(GT$56-Voorblad!$F$41&gt;Voorblad!$K$41,0,IF($U235=0,0,IF($U235&lt;1,1/$U235,IF((GT$56-Voorblad!$F$41)/$U235-SUM($EE235:GS235)=1,1,0))))</f>
        <v>0</v>
      </c>
      <c r="GU235" s="8">
        <f>IF(GU$56-Voorblad!$F$41&gt;Voorblad!$K$41,0,IF($U235=0,0,IF($U235&lt;1,1/$U235,IF((GU$56-Voorblad!$F$41)/$U235-SUM($EE235:GT235)=1,1,0))))</f>
        <v>0</v>
      </c>
      <c r="GV235" s="8">
        <f>IF(GV$56-Voorblad!$F$41&gt;Voorblad!$K$41,0,IF($U235=0,0,IF($U235&lt;1,1/$U235,IF((GV$56-Voorblad!$F$41)/$U235-SUM($EE235:GU235)=1,1,0))))</f>
        <v>0</v>
      </c>
      <c r="GW235" s="8">
        <f>IF(GW$56-Voorblad!$F$41&gt;Voorblad!$K$41,0,IF($U235=0,0,IF($U235&lt;1,1/$U235,IF((GW$56-Voorblad!$F$41)/$U235-SUM($EE235:GV235)=1,1,0))))</f>
        <v>0</v>
      </c>
      <c r="GX235" s="8">
        <f>IF(GX$56-Voorblad!$F$41&gt;Voorblad!$K$41,0,IF($U235=0,0,IF($U235&lt;1,1/$U235,IF((GX$56-Voorblad!$F$41)/$U235-SUM($EE235:GW235)=1,1,0))))</f>
        <v>0</v>
      </c>
      <c r="GY235" s="8">
        <f>IF(GY$56-Voorblad!$F$41&gt;Voorblad!$K$41,0,IF($U235=0,0,IF($U235&lt;1,1/$U235,IF((GY$56-Voorblad!$F$41)/$U235-SUM($EE235:GX235)=1,1,0))))</f>
        <v>0</v>
      </c>
      <c r="GZ235" s="8">
        <f>IF(GZ$56-Voorblad!$F$41&gt;Voorblad!$K$41,0,IF($U235=0,0,IF($U235&lt;1,1/$U235,IF((GZ$56-Voorblad!$F$41)/$U235-SUM($EE235:GY235)=1,1,0))))</f>
        <v>0</v>
      </c>
      <c r="HA235" s="8">
        <f>IF(HA$56-Voorblad!$F$41&gt;Voorblad!$K$41,0,IF($U235=0,0,IF($U235&lt;1,1/$U235,IF((HA$56-Voorblad!$F$41)/$U235-SUM($EE235:GZ235)=1,1,0))))</f>
        <v>0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K236" s="1" t="s">
        <v>320</v>
      </c>
      <c r="P236" s="1" t="s">
        <v>319</v>
      </c>
      <c r="Q236" s="84">
        <f>50*0.025</f>
        <v>1.25</v>
      </c>
      <c r="R236" s="81" t="s">
        <v>102</v>
      </c>
      <c r="S236" s="81">
        <v>-200</v>
      </c>
      <c r="T236" s="14">
        <f t="shared" si="201"/>
        <v>-250</v>
      </c>
      <c r="U236" s="11">
        <v>1</v>
      </c>
      <c r="V236" s="14">
        <f>Voorblad!F24+100</f>
        <v>2062</v>
      </c>
      <c r="W236" s="9">
        <f>Voorblad!$K$77</f>
        <v>2062</v>
      </c>
      <c r="X236" s="6"/>
      <c r="Y236" s="9">
        <f t="shared" ref="Y236" si="208">SUM(AE236:EB236)</f>
        <v>-107.97633576081677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-107.97633576081677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0</v>
      </c>
      <c r="FP236" s="8">
        <f>IF(FP$56-Voorblad!$F$41&gt;Voorblad!$K$41,0,IF($U236=0,0,IF($U236&lt;1,1/$U236,IF((FP$56-Voorblad!$F$41)/$U236-SUM($EE236:FO236)=1,1,0))))</f>
        <v>0</v>
      </c>
      <c r="FQ236" s="8">
        <f>IF(FQ$56-Voorblad!$F$41&gt;Voorblad!$K$41,0,IF($U236=0,0,IF($U236&lt;1,1/$U236,IF((FQ$56-Voorblad!$F$41)/$U236-SUM($EE236:FP236)=1,1,0))))</f>
        <v>0</v>
      </c>
      <c r="FR236" s="8">
        <f>IF(FR$56-Voorblad!$F$41&gt;Voorblad!$K$41,0,IF($U236=0,0,IF($U236&lt;1,1/$U236,IF((FR$56-Voorblad!$F$41)/$U236-SUM($EE236:FQ236)=1,1,0))))</f>
        <v>0</v>
      </c>
      <c r="FS236" s="8">
        <f>IF(FS$56-Voorblad!$F$41&gt;Voorblad!$K$41,0,IF($U236=0,0,IF($U236&lt;1,1/$U236,IF((FS$56-Voorblad!$F$41)/$U236-SUM($EE236:FR236)=1,1,0))))</f>
        <v>0</v>
      </c>
      <c r="FT236" s="8">
        <f>IF(FT$56-Voorblad!$F$41&gt;Voorblad!$K$41,0,IF($U236=0,0,IF($U236&lt;1,1/$U236,IF((FT$56-Voorblad!$F$41)/$U236-SUM($EE236:FS236)=1,1,0))))</f>
        <v>0</v>
      </c>
      <c r="FU236" s="8">
        <f>IF(FU$56-Voorblad!$F$41&gt;Voorblad!$K$41,0,IF($U236=0,0,IF($U236&lt;1,1/$U236,IF((FU$56-Voorblad!$F$41)/$U236-SUM($EE236:FT236)=1,1,0))))</f>
        <v>0</v>
      </c>
      <c r="FV236" s="8">
        <f>IF(FV$56-Voorblad!$F$41&gt;Voorblad!$K$41,0,IF($U236=0,0,IF($U236&lt;1,1/$U236,IF((FV$56-Voorblad!$F$41)/$U236-SUM($EE236:FU236)=1,1,0))))</f>
        <v>0</v>
      </c>
      <c r="FW236" s="8">
        <f>IF(FW$56-Voorblad!$F$41&gt;Voorblad!$K$41,0,IF($U236=0,0,IF($U236&lt;1,1/$U236,IF((FW$56-Voorblad!$F$41)/$U236-SUM($EE236:FV236)=1,1,0))))</f>
        <v>0</v>
      </c>
      <c r="FX236" s="8">
        <f>IF(FX$56-Voorblad!$F$41&gt;Voorblad!$K$41,0,IF($U236=0,0,IF($U236&lt;1,1/$U236,IF((FX$56-Voorblad!$F$41)/$U236-SUM($EE236:FW236)=1,1,0))))</f>
        <v>0</v>
      </c>
      <c r="FY236" s="8">
        <f>IF(FY$56-Voorblad!$F$41&gt;Voorblad!$K$41,0,IF($U236=0,0,IF($U236&lt;1,1/$U236,IF((FY$56-Voorblad!$F$41)/$U236-SUM($EE236:FX236)=1,1,0))))</f>
        <v>0</v>
      </c>
      <c r="FZ236" s="8">
        <f>IF(FZ$56-Voorblad!$F$41&gt;Voorblad!$K$41,0,IF($U236=0,0,IF($U236&lt;1,1/$U236,IF((FZ$56-Voorblad!$F$41)/$U236-SUM($EE236:FY236)=1,1,0))))</f>
        <v>0</v>
      </c>
      <c r="GA236" s="8">
        <f>IF(GA$56-Voorblad!$F$41&gt;Voorblad!$K$41,0,IF($U236=0,0,IF($U236&lt;1,1/$U236,IF((GA$56-Voorblad!$F$41)/$U236-SUM($EE236:FZ236)=1,1,0))))</f>
        <v>0</v>
      </c>
      <c r="GB236" s="8">
        <f>IF(GB$56-Voorblad!$F$41&gt;Voorblad!$K$41,0,IF($U236=0,0,IF($U236&lt;1,1/$U236,IF((GB$56-Voorblad!$F$41)/$U236-SUM($EE236:GA236)=1,1,0))))</f>
        <v>0</v>
      </c>
      <c r="GC236" s="8">
        <f>IF(GC$56-Voorblad!$F$41&gt;Voorblad!$K$41,0,IF($U236=0,0,IF($U236&lt;1,1/$U236,IF((GC$56-Voorblad!$F$41)/$U236-SUM($EE236:GB236)=1,1,0))))</f>
        <v>0</v>
      </c>
      <c r="GD236" s="8">
        <f>IF(GD$56-Voorblad!$F$41&gt;Voorblad!$K$41,0,IF($U236=0,0,IF($U236&lt;1,1/$U236,IF((GD$56-Voorblad!$F$41)/$U236-SUM($EE236:GC236)=1,1,0))))</f>
        <v>0</v>
      </c>
      <c r="GE236" s="8">
        <f>IF(GE$56-Voorblad!$F$41&gt;Voorblad!$K$41,0,IF($U236=0,0,IF($U236&lt;1,1/$U236,IF((GE$56-Voorblad!$F$41)/$U236-SUM($EE236:GD236)=1,1,0))))</f>
        <v>0</v>
      </c>
      <c r="GF236" s="8">
        <f>IF(GF$56-Voorblad!$F$41&gt;Voorblad!$K$41,0,IF($U236=0,0,IF($U236&lt;1,1/$U236,IF((GF$56-Voorblad!$F$41)/$U236-SUM($EE236:GE236)=1,1,0))))</f>
        <v>0</v>
      </c>
      <c r="GG236" s="8">
        <f>IF(GG$56-Voorblad!$F$41&gt;Voorblad!$K$41,0,IF($U236=0,0,IF($U236&lt;1,1/$U236,IF((GG$56-Voorblad!$F$41)/$U236-SUM($EE236:GF236)=1,1,0))))</f>
        <v>0</v>
      </c>
      <c r="GH236" s="8">
        <f>IF(GH$56-Voorblad!$F$41&gt;Voorblad!$K$41,0,IF($U236=0,0,IF($U236&lt;1,1/$U236,IF((GH$56-Voorblad!$F$41)/$U236-SUM($EE236:GG236)=1,1,0))))</f>
        <v>0</v>
      </c>
      <c r="GI236" s="8">
        <f>IF(GI$56-Voorblad!$F$41&gt;Voorblad!$K$41,0,IF($U236=0,0,IF($U236&lt;1,1/$U236,IF((GI$56-Voorblad!$F$41)/$U236-SUM($EE236:GH236)=1,1,0))))</f>
        <v>0</v>
      </c>
      <c r="GJ236" s="8">
        <f>IF(GJ$56-Voorblad!$F$41&gt;Voorblad!$K$41,0,IF($U236=0,0,IF($U236&lt;1,1/$U236,IF((GJ$56-Voorblad!$F$41)/$U236-SUM($EE236:GI236)=1,1,0))))</f>
        <v>0</v>
      </c>
      <c r="GK236" s="8">
        <f>IF(GK$56-Voorblad!$F$41&gt;Voorblad!$K$41,0,IF($U236=0,0,IF($U236&lt;1,1/$U236,IF((GK$56-Voorblad!$F$41)/$U236-SUM($EE236:GJ236)=1,1,0))))</f>
        <v>0</v>
      </c>
      <c r="GL236" s="8">
        <f>IF(GL$56-Voorblad!$F$41&gt;Voorblad!$K$41,0,IF($U236=0,0,IF($U236&lt;1,1/$U236,IF((GL$56-Voorblad!$F$41)/$U236-SUM($EE236:GK236)=1,1,0))))</f>
        <v>0</v>
      </c>
      <c r="GM236" s="8">
        <f>IF(GM$56-Voorblad!$F$41&gt;Voorblad!$K$41,0,IF($U236=0,0,IF($U236&lt;1,1/$U236,IF((GM$56-Voorblad!$F$41)/$U236-SUM($EE236:GL236)=1,1,0))))</f>
        <v>0</v>
      </c>
      <c r="GN236" s="8">
        <f>IF(GN$56-Voorblad!$F$41&gt;Voorblad!$K$41,0,IF($U236=0,0,IF($U236&lt;1,1/$U236,IF((GN$56-Voorblad!$F$41)/$U236-SUM($EE236:GM236)=1,1,0))))</f>
        <v>0</v>
      </c>
      <c r="GO236" s="8">
        <f>IF(GO$56-Voorblad!$F$41&gt;Voorblad!$K$41,0,IF($U236=0,0,IF($U236&lt;1,1/$U236,IF((GO$56-Voorblad!$F$41)/$U236-SUM($EE236:GN236)=1,1,0))))</f>
        <v>0</v>
      </c>
      <c r="GP236" s="8">
        <f>IF(GP$56-Voorblad!$F$41&gt;Voorblad!$K$41,0,IF($U236=0,0,IF($U236&lt;1,1/$U236,IF((GP$56-Voorblad!$F$41)/$U236-SUM($EE236:GO236)=1,1,0))))</f>
        <v>0</v>
      </c>
      <c r="GQ236" s="8">
        <f>IF(GQ$56-Voorblad!$F$41&gt;Voorblad!$K$41,0,IF($U236=0,0,IF($U236&lt;1,1/$U236,IF((GQ$56-Voorblad!$F$41)/$U236-SUM($EE236:GP236)=1,1,0))))</f>
        <v>0</v>
      </c>
      <c r="GR236" s="8">
        <f>IF(GR$56-Voorblad!$F$41&gt;Voorblad!$K$41,0,IF($U236=0,0,IF($U236&lt;1,1/$U236,IF((GR$56-Voorblad!$F$41)/$U236-SUM($EE236:GQ236)=1,1,0))))</f>
        <v>0</v>
      </c>
      <c r="GS236" s="8">
        <f>IF(GS$56-Voorblad!$F$41&gt;Voorblad!$K$41,0,IF($U236=0,0,IF($U236&lt;1,1/$U236,IF((GS$56-Voorblad!$F$41)/$U236-SUM($EE236:GR236)=1,1,0))))</f>
        <v>0</v>
      </c>
      <c r="GT236" s="8">
        <f>IF(GT$56-Voorblad!$F$41&gt;Voorblad!$K$41,0,IF($U236=0,0,IF($U236&lt;1,1/$U236,IF((GT$56-Voorblad!$F$41)/$U236-SUM($EE236:GS236)=1,1,0))))</f>
        <v>0</v>
      </c>
      <c r="GU236" s="8">
        <f>IF(GU$56-Voorblad!$F$41&gt;Voorblad!$K$41,0,IF($U236=0,0,IF($U236&lt;1,1/$U236,IF((GU$56-Voorblad!$F$41)/$U236-SUM($EE236:GT236)=1,1,0))))</f>
        <v>0</v>
      </c>
      <c r="GV236" s="8">
        <f>IF(GV$56-Voorblad!$F$41&gt;Voorblad!$K$41,0,IF($U236=0,0,IF($U236&lt;1,1/$U236,IF((GV$56-Voorblad!$F$41)/$U236-SUM($EE236:GU236)=1,1,0))))</f>
        <v>0</v>
      </c>
      <c r="GW236" s="8">
        <f>IF(GW$56-Voorblad!$F$41&gt;Voorblad!$K$41,0,IF($U236=0,0,IF($U236&lt;1,1/$U236,IF((GW$56-Voorblad!$F$41)/$U236-SUM($EE236:GV236)=1,1,0))))</f>
        <v>0</v>
      </c>
      <c r="GX236" s="8">
        <f>IF(GX$56-Voorblad!$F$41&gt;Voorblad!$K$41,0,IF($U236=0,0,IF($U236&lt;1,1/$U236,IF((GX$56-Voorblad!$F$41)/$U236-SUM($EE236:GW236)=1,1,0))))</f>
        <v>0</v>
      </c>
      <c r="GY236" s="8">
        <f>IF(GY$56-Voorblad!$F$41&gt;Voorblad!$K$41,0,IF($U236=0,0,IF($U236&lt;1,1/$U236,IF((GY$56-Voorblad!$F$41)/$U236-SUM($EE236:GX236)=1,1,0))))</f>
        <v>0</v>
      </c>
      <c r="GZ236" s="8">
        <f>IF(GZ$56-Voorblad!$F$41&gt;Voorblad!$K$41,0,IF($U236=0,0,IF($U236&lt;1,1/$U236,IF((GZ$56-Voorblad!$F$41)/$U236-SUM($EE236:GY236)=1,1,0))))</f>
        <v>0</v>
      </c>
      <c r="HA236" s="8">
        <f>IF(HA$56-Voorblad!$F$41&gt;Voorblad!$K$41,0,IF($U236=0,0,IF($U236&lt;1,1/$U236,IF((HA$56-Voorblad!$F$41)/$U236-SUM($EE236:GZ236)=1,1,0))))</f>
        <v>0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275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-897170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9E904C370F54C9CE6EEABC53B0B66" ma:contentTypeVersion="8" ma:contentTypeDescription="Een nieuw document maken." ma:contentTypeScope="" ma:versionID="66519ed3d1c7135c4310e69bd38b3bec">
  <xsd:schema xmlns:xsd="http://www.w3.org/2001/XMLSchema" xmlns:xs="http://www.w3.org/2001/XMLSchema" xmlns:p="http://schemas.microsoft.com/office/2006/metadata/properties" xmlns:ns3="de75ed97-d5d0-480f-8c5e-5314c0bb5094" targetNamespace="http://schemas.microsoft.com/office/2006/metadata/properties" ma:root="true" ma:fieldsID="c80864161cd51b9bec900a05199ecfeb" ns3:_="">
    <xsd:import namespace="de75ed97-d5d0-480f-8c5e-5314c0bb50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ed97-d5d0-480f-8c5e-5314c0bb50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9832EF-48DA-4E4D-8F7E-B2B38D8AE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75ed97-d5d0-480f-8c5e-5314c0bb5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BE7987-5940-42B3-A8E9-EDAEAF82DEB9}">
  <ds:schemaRefs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e75ed97-d5d0-480f-8c5e-5314c0bb5094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2019-12-10T08:28:04Z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0x0101006C69E904C370F54C9CE6EEABC53B0B66</vt:lpwstr>
  </property>
</Properties>
</file>