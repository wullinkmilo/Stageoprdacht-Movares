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0197537-4501-4258-A405-FDE5366190D0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15" i="1" l="1"/>
  <c r="Q137" i="1" l="1"/>
  <c r="Q139" i="1"/>
  <c r="Q229" i="1"/>
  <c r="Q136" i="1"/>
  <c r="Q133" i="1"/>
  <c r="Q122" i="1"/>
  <c r="Q117" i="1"/>
  <c r="Q146" i="1" l="1"/>
  <c r="Q113" i="1"/>
  <c r="Q230" i="1"/>
  <c r="Q149" i="1"/>
  <c r="Q46" i="1"/>
  <c r="S39" i="1"/>
  <c r="Q39" i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<sst xmlns="http://schemas.openxmlformats.org/spreadsheetml/2006/main" count="1025" uniqueCount="313">
  <si>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</si>
  <si>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</si>
  <si>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</si>
  <si>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</si>
  <si>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</si>
  <si>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</si>
  <si>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</si>
  <si>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</si>
  <si>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</si>
  <si>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</si>
  <si>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</si>
  <si>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</si>
  <si>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</si>
  <si>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</si>
  <si>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</si>
  <si>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</si>
  <si>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</si>
  <si>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</si>
  <si>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</si>
  <si>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</si>
  <si>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</si>
  <si>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</si>
  <si>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</si>
  <si>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</si>
  <si>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</si>
  <si>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</si>
  <si>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</si>
  <si>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</si>
  <si>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</si>
  <si>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</si>
  <si>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</si>
  <si>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</si>
  <si>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</si>
  <si>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</si>
  <si>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</si>
  <si>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</si>
  <si>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</si>
  <si>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</si>
  <si>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</si>
  <si>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</si>
  <si>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</si>
  <si>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</si>
  <si>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</si>
  <si>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</si>
  <si>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</si>
  <si>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</si>
  <si>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</si>
  <si>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</si>
  <si>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</si>
  <si>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</si>
  <si>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</si>
  <si>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</si>
  <si>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</si>
  <si>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</si>
  <si>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</si>
  <si>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</si>
  <si>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</si>
  <si>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</si>
  <si>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</si>
  <si>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</si>
  <si>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</si>
  <si>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</si>
  <si>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</si>
  <si>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</si>
  <si>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</si>
  <si>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</si>
  <si>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</si>
  <si>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</si>
  <si>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</si>
  <si>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</si>
  <si>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</si>
  <si>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</si>
  <si>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</si>
  <si>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</si>
  <si>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</si>
  <si>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</si>
  <si>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</si>
  <si>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</si>
  <si>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</si>
  <si>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</si>
  <si>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</si>
  <si>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</si>
  <si>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</si>
  <si>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</si>
  <si>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</si>
  <si>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</si>
  <si>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</si>
  <si>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</si>
  <si>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</si>
  <si>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</si>
  <si>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</si>
  <si>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</si>
  <si>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</si>
  <si>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</si>
  <si>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</si>
  <si>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</si>
  <si>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</si>
  <si>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</si>
  <si>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</si>
  <si>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</si>
  <si>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</si>
  <si>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</si>
  <si>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</si>
  <si>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</si>
  <si>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</si>
  <si>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</si>
  <si>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</si>
  <si>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</si>
  <si>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</si>
  <si>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</si>
  <si>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</si>
  <si>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</si>
  <si>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</si>
  <si>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</si>
  <si>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</si>
  <si>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</si>
  <si>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</si>
  <si>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</si>
  <si>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</si>
  <si>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</si>
  <si>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</si>
  <si>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</si>
  <si>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</si>
  <si>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</si>
  <si>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</si>
  <si>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</si>
  <si>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</si>
  <si>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</si>
  <si>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</si>
  <si>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</si>
  <si>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</si>
  <si>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</si>
  <si>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</si>
  <si>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</si>
  <si>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</si>
  <si>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</si>
  <si>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</si>
  <si>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</si>
  <si>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</si>
  <si>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</si>
  <si>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</si>
  <si>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</si>
  <si>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</si>
  <si>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</si>
  <si>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</si>
  <si>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</si>
  <si>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</si>
  <si>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</si>
  <si>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</si>
  <si>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</si>
  <si>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</si>
  <si>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</si>
  <si>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</si>
  <si>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</si>
  <si>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</si>
  <si>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</si>
  <si>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</si>
  <si>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</si>
  <si>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</si>
  <si>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</si>
  <si>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</si>
  <si>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</si>
  <si>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</si>
  <si>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</si>
  <si>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</si>
  <si>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</si>
  <si>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</si>
  <si>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</si>
  <si>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</si>
  <si>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</si>
  <si>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</si>
  <si>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</si>
  <si>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</si>
  <si>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</si>
  <si>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</si>
  <si>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</si>
  <si>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</si>
  <si>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</si>
  <si>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</si>
  <si>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</si>
  <si>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</si>
  <si>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</si>
  <si>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</si>
  <si>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</si>
  <si>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</si>
  <si>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</si>
  <si>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</si>
  <si>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</si>
  <si>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</si>
  <si>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</si>
  <si>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</si>
  <si>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</si>
  <si>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</si>
  <si>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</si>
  <si>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</si>
  <si>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</si>
  <si>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</si>
  <si>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</si>
  <si>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</si>
  <si>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</si>
  <si>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</si>
  <si>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</si>
  <si>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</si>
  <si>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</si>
  <si>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</si>
  <si>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</si>
  <si>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</si>
  <si>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</si>
  <si>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</si>
  <si>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</si>
  <si>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</si>
  <si>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</si>
  <si>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</si>
  <si>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</si>
  <si>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</si>
  <si>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</si>
  <si>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</si>
  <si>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</si>
  <si>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</si>
  <si>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</si>
  <si>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</si>
  <si>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</si>
  <si>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</si>
  <si>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</si>
  <si>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</si>
  <si>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</si>
  <si>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</si>
  <si>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</si>
  <si>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</si>
  <si>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</si>
  <si>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</si>
  <si>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</si>
  <si>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</si>
  <si>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</si>
  <si>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</si>
  <si>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</si>
  <si>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</si>
  <si>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</si>
  <si>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</si>
  <si>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</si>
  <si>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</si>
  <si>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</si>
  <si>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</si>
  <si>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</si>
  <si>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</si>
  <si>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</si>
  <si>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</si>
  <si>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</si>
  <si>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</si>
  <si>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</si>
  <si>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</si>
  <si>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</si>
  <si>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</si>
  <si>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</si>
  <si>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</si>
  <si>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</si>
  <si>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</si>
  <si>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</si>
  <si>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</si>
  <si>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</si>
  <si>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</si>
  <si>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</si>
  <si>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</si>
  <si>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</si>
  <si>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</si>
  <si>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</si>
  <si>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</si>
  <si>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</si>
  <si>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</si>
  <si>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</si>
  <si>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</si>
  <si>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</si>
  <si>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</si>
  <si>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</si>
  <si>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</si>
  <si>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</si>
  <si>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</si>
  <si>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</si>
  <si>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</si>
  <si>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</si>
  <si>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</si>
  <si>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</si>
  <si>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</si>
  <si>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</si>
  <si>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</si>
  <si>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</si>
  <si>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</si>
  <si>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</si>
  <si>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</si>
  <si>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</si>
  <si>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</si>
  <si>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</si>
  <si>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</si>
  <si>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</si>
  <si>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</si>
  <si>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</si>
  <si>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</si>
  <si>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</si>
  <si>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</si>
  <si>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</si>
  <si>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</si>
  <si>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</si>
  <si>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</si>
  <si>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KW20-122-0011</t>
  </si>
  <si>
    <t>Duiker (spoorviaduct) bij Vossendaal</t>
  </si>
  <si>
    <t>Etten-Leur</t>
  </si>
  <si>
    <t>Gewapend betonnen duiker</t>
  </si>
  <si>
    <t>uitvoeren nadere inspectie inwendige conditie duiker conform B2 CUR 117</t>
  </si>
  <si>
    <t>aanbrengen fysieke afscheiding op de 2,50m grens tussen spoor en onderhoudspad aan beide zijden</t>
  </si>
  <si>
    <t>duiker: 50 m3</t>
  </si>
  <si>
    <t>zicht gedeelte betonwerk</t>
  </si>
  <si>
    <r>
      <t xml:space="preserve">vervanging gehele duiker BxL, </t>
    </r>
    <r>
      <rPr>
        <sz val="9"/>
        <color rgb="FFFF0000"/>
        <rFont val="Calibri"/>
        <family val="2"/>
      </rPr>
      <t>uitw BxH: 2,6x2,1m</t>
    </r>
  </si>
  <si>
    <t>leuningen 2x4,5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</si>
</sst>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Q15" sqref="Q15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43809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10592532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11.664999999999999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1984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1984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306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56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2084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fysieke afscheiding op de 2,50m grens tussen spoor en onderhoudspad aan beide zijden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2832</v>
      </c>
      <c r="M52" s="64">
        <f>'Berekening MJOP+LTP'!Y39</f>
        <v>2695.5383700178468</v>
      </c>
      <c r="N52" s="61">
        <f>'Berekening MJOP+LTP'!AA39</f>
        <v>0</v>
      </c>
      <c r="O52" s="255">
        <f>'Berekening MJOP+LTP'!AC39</f>
        <v>307.98888025476464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uitvoeren nadere inspectie inwendige conditie duiker conform B2 CUR 117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5000</v>
      </c>
      <c r="M53" s="64">
        <f>'Berekening MJOP+LTP'!Y40</f>
        <v>4759.0719809637121</v>
      </c>
      <c r="N53" s="61">
        <f>'Berekening MJOP+LTP'!AA40</f>
        <v>0</v>
      </c>
      <c r="O53" s="255">
        <f>'Berekening MJOP+LTP'!AC40</f>
        <v>543.76567841589804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2084</v>
      </c>
      <c r="K59" s="159">
        <v>2084</v>
      </c>
      <c r="L59" s="156">
        <f>'Berekening MJOP+LTP'!T46</f>
        <v>202878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10000</v>
      </c>
      <c r="M62" s="214">
        <f>SUMIF(B51:B58,2,M51:M58)</f>
        <v>9402.0690355624574</v>
      </c>
      <c r="N62" s="247">
        <f>SUMIF(B51:B58,2,N51:N58)</f>
        <v>0</v>
      </c>
      <c r="O62" s="259">
        <f>SUMIF(B51:B58,2,O51:O58)</f>
        <v>1074.2687793094572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2832</v>
      </c>
      <c r="M63" s="214">
        <f>SUMIF(B51:B58,1,M51:M58)</f>
        <v>2695.5383700178468</v>
      </c>
      <c r="N63" s="247">
        <f>SUMIF(B51:B58,1,N51:N58)</f>
        <v>0</v>
      </c>
      <c r="O63" s="259">
        <f>SUMIF(B51:B58,1,O51:O58)</f>
        <v>307.98888025476464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12832</v>
      </c>
      <c r="M64" s="214">
        <f>SUM(M51:M58)</f>
        <v>12097.607405580304</v>
      </c>
      <c r="N64" s="247">
        <f>SUM(N51:N58)</f>
        <v>0</v>
      </c>
      <c r="O64" s="259">
        <f>SUM(O51:O58)</f>
        <v>1382.2576595642217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2084</v>
      </c>
      <c r="L65" s="214">
        <f>L59</f>
        <v>202878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227210</v>
      </c>
      <c r="M66" s="218">
        <f>SUM(M49:M59)</f>
        <v>22407.170456840438</v>
      </c>
      <c r="N66" s="249">
        <f>SUM(N49:N59)</f>
        <v>52</v>
      </c>
      <c r="O66" s="260">
        <f>SUM(O49:O59)</f>
        <v>2560.2155826979524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2084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14865.774077963437</v>
      </c>
      <c r="N75" s="61">
        <f>'Berekening MJOP+LTP'!AA125</f>
        <v>0</v>
      </c>
      <c r="O75" s="261">
        <f>'Berekening MJOP+LTP'!AC125</f>
        <v>496.10694500098259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7640.0247010930962</v>
      </c>
      <c r="N76" s="61">
        <f>'Berekening MJOP+LTP'!AA147</f>
        <v>0</v>
      </c>
      <c r="O76" s="261">
        <f>'Berekening MJOP+LTP'!AC147</f>
        <v>254.96615879625935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2084</v>
      </c>
      <c r="K77" s="90">
        <v>2084</v>
      </c>
      <c r="L77" s="64">
        <f>'Berekening MJOP+LTP'!T154</f>
        <v>202878</v>
      </c>
      <c r="M77" s="64">
        <f>'Berekening MJOP+LTP'!Y154</f>
        <v>50897.739303231654</v>
      </c>
      <c r="N77" s="61">
        <f>'Berekening MJOP+LTP'!AA149</f>
        <v>52</v>
      </c>
      <c r="O77" s="261">
        <f>'Berekening MJOP+LTP'!AC154</f>
        <v>1698.5810372709475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2084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2084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2084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-15063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2084</v>
      </c>
      <c r="K92" s="219"/>
      <c r="L92" s="220"/>
      <c r="M92" s="220">
        <f t="shared" ref="M92:O94" si="1">M71+M75+M79+M83+M87</f>
        <v>14865.774077963437</v>
      </c>
      <c r="N92" s="267">
        <f t="shared" si="1"/>
        <v>0</v>
      </c>
      <c r="O92" s="263">
        <f t="shared" si="1"/>
        <v>496.10694500098259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2084</v>
      </c>
      <c r="K93" s="221"/>
      <c r="L93" s="222"/>
      <c r="M93" s="222">
        <f t="shared" si="1"/>
        <v>7640.0247010930962</v>
      </c>
      <c r="N93" s="252">
        <f t="shared" si="1"/>
        <v>0</v>
      </c>
      <c r="O93" s="264">
        <f t="shared" si="1"/>
        <v>254.96615879625935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2084</v>
      </c>
      <c r="L94" s="222">
        <f>L73+L77+L81+L85+L89</f>
        <v>202878</v>
      </c>
      <c r="M94" s="222">
        <f t="shared" si="1"/>
        <v>50897.739303231654</v>
      </c>
      <c r="N94" s="252">
        <f t="shared" si="1"/>
        <v>52</v>
      </c>
      <c r="O94" s="264">
        <f t="shared" si="1"/>
        <v>1698.5810372709475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2084</v>
      </c>
      <c r="L95" s="223">
        <f>L91</f>
        <v>-15063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0.31500000000000006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100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50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G1" zoomScale="90" zoomScaleNormal="90" zoomScaleSheetLayoutView="90" workbookViewId="0">
      <pane ySplit="2" topLeftCell="A106" activePane="bottomLeft" state="frozen"/>
      <selection pane="bottomLeft" activeCell="P106" sqref="P106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251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308</v>
      </c>
      <c r="L39" s="76"/>
      <c r="M39" s="76"/>
      <c r="N39" s="76"/>
      <c r="O39" s="77"/>
      <c r="P39" s="77"/>
      <c r="Q39" s="81">
        <f>2*8</f>
        <v>16</v>
      </c>
      <c r="R39" s="81" t="s">
        <v>34</v>
      </c>
      <c r="S39" s="83">
        <f>H15*100</f>
        <v>177</v>
      </c>
      <c r="T39" s="9">
        <f t="shared" si="4"/>
        <v>2832</v>
      </c>
      <c r="U39" s="11">
        <v>1</v>
      </c>
      <c r="V39" s="14"/>
      <c r="W39" s="9">
        <f>Voorblad!K52</f>
        <v>2020</v>
      </c>
      <c r="Y39" s="9">
        <f t="shared" ref="Y39:Y45" si="5">SUM(AE39:EB39)</f>
        <v>2695.5383700178468</v>
      </c>
      <c r="Z39" s="82"/>
      <c r="AA39" s="82"/>
      <c r="AC39" s="9">
        <f>$Y39*(Voorblad!$K$44*(1+Voorblad!$K$44)^Voorblad!$K$37)/((1+Voorblad!$K$44)^Voorblad!$K$37-1)</f>
        <v>307.98888025476464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2695.5383700178468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274</v>
      </c>
      <c r="J40" s="76"/>
      <c r="K40" s="79" t="s">
        <v>307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5000</v>
      </c>
      <c r="T40" s="9">
        <f t="shared" si="4"/>
        <v>5000</v>
      </c>
      <c r="U40" s="11">
        <v>1</v>
      </c>
      <c r="V40" s="14"/>
      <c r="W40" s="9">
        <f>Voorblad!K53</f>
        <v>2020</v>
      </c>
      <c r="Y40" s="9">
        <f t="shared" si="5"/>
        <v>4759.0719809637121</v>
      </c>
      <c r="Z40" s="82"/>
      <c r="AA40" s="82"/>
      <c r="AC40" s="9">
        <f>$Y40*(Voorblad!$K$44*(1+Voorblad!$K$44)^Voorblad!$K$37)/((1+Voorblad!$K$44)^Voorblad!$K$37-1)</f>
        <v>543.76567841589804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4759.0719809637121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311</v>
      </c>
      <c r="Q46" s="268">
        <f>17*2.6</f>
        <v>44.2</v>
      </c>
      <c r="R46" s="81" t="s">
        <v>35</v>
      </c>
      <c r="S46" s="81">
        <v>4590</v>
      </c>
      <c r="T46" s="9">
        <f t="shared" si="4"/>
        <v>202878</v>
      </c>
      <c r="U46" s="11">
        <v>1</v>
      </c>
      <c r="V46" s="1">
        <f>Voorblad!F24+100</f>
        <v>2084</v>
      </c>
      <c r="W46" s="9">
        <f>Voorblad!K59</f>
        <v>2084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2084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5002.897285719635</v>
      </c>
      <c r="Z109" s="82"/>
      <c r="AA109" s="82"/>
      <c r="AC109" s="9">
        <f>$Y109*(Voorblad!$K$44*(1+Voorblad!$K$44)^Voorblad!$K$41)/((1+Voorblad!$K$44)^Voorblad!$K$41-1)</f>
        <v>166.95881933597221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310</v>
      </c>
      <c r="Q110" s="83">
        <v>30</v>
      </c>
      <c r="R110" s="1" t="s">
        <v>35</v>
      </c>
      <c r="S110" s="21">
        <f>$H$20*15</f>
        <v>26.55</v>
      </c>
      <c r="T110" s="9">
        <f t="shared" si="20"/>
        <v>796.5</v>
      </c>
      <c r="U110" s="14">
        <v>10</v>
      </c>
      <c r="V110" s="14"/>
      <c r="Y110" s="9">
        <f t="shared" si="21"/>
        <v>2016.4073421447463</v>
      </c>
      <c r="Z110" s="82"/>
      <c r="AA110" s="82"/>
      <c r="AC110" s="9">
        <f>$Y110*(Voorblad!$K$44*(1+Voorblad!$K$44)^Voorblad!$K$41)/((1+Voorblad!$K$44)^Voorblad!$K$41-1)</f>
        <v>67.292404764301821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622.22452697454162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486.0808059870584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379.72554874664326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296.64099177530233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231.73546866120068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2*2.6</f>
        <v>5.2</v>
      </c>
      <c r="R113" s="147" t="s">
        <v>195</v>
      </c>
      <c r="S113" s="21">
        <f>$H$20*350</f>
        <v>619.5</v>
      </c>
      <c r="T113" s="9">
        <f t="shared" si="20"/>
        <v>3221.4</v>
      </c>
      <c r="U113" s="14">
        <v>15</v>
      </c>
      <c r="V113" s="14"/>
      <c r="Y113" s="9">
        <f>SUM(AE113:EB113)</f>
        <v>4820.4470545756212</v>
      </c>
      <c r="Z113" s="82"/>
      <c r="AA113" s="82"/>
      <c r="AC113" s="9">
        <f>$Y113*(Voorblad!$K$44*(1+Voorblad!$K$44)^Voorblad!$K$41)/((1+Voorblad!$K$44)^Voorblad!$K$41-1)</f>
        <v>160.87001250271376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2224.2657448011087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1535.7788860419794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1060.4024237325325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4">
        <f>2.5%*2*2.6</f>
        <v>0.13</v>
      </c>
      <c r="R115" s="14" t="s">
        <v>34</v>
      </c>
      <c r="S115" s="21">
        <f>$H$20*1000</f>
        <v>1770</v>
      </c>
      <c r="T115" s="21">
        <f t="shared" si="20"/>
        <v>230.1</v>
      </c>
      <c r="U115" s="14">
        <v>15</v>
      </c>
      <c r="Y115" s="21">
        <f t="shared" si="22"/>
        <v>344.31764675540148</v>
      </c>
      <c r="Z115" s="149"/>
      <c r="AA115" s="149"/>
      <c r="AC115" s="9">
        <f>$Y115*(Voorblad!$K$44*(1+Voorblad!$K$44)^Voorblad!$K$41)/((1+Voorblad!$K$44)^Voorblad!$K$41-1)</f>
        <v>11.490715178765269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158.87612462865062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109.69849186014139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75.743030266609466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2.5%*2*4.5</f>
        <v>0.22500000000000001</v>
      </c>
      <c r="R117" s="1" t="s">
        <v>34</v>
      </c>
      <c r="S117" s="14">
        <f>$H$20*500</f>
        <v>885</v>
      </c>
      <c r="T117" s="9">
        <f t="shared" si="20"/>
        <v>199.125</v>
      </c>
      <c r="U117" s="14">
        <v>15</v>
      </c>
      <c r="V117" s="14"/>
      <c r="Y117" s="9">
        <f t="shared" si="22"/>
        <v>297.967194307559</v>
      </c>
      <c r="Z117" s="82"/>
      <c r="AA117" s="82"/>
      <c r="AC117" s="9">
        <f>$Y117*(Voorblad!$K$44*(1+Voorblad!$K$44)^Voorblad!$K$41)/((1+Voorblad!$K$44)^Voorblad!$K$41-1)</f>
        <v>9.943888135469944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137.48895400556304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94.931387186660814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65.546853115335111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4">
        <f>2*4.5</f>
        <v>9</v>
      </c>
      <c r="R122" s="1" t="s">
        <v>34</v>
      </c>
      <c r="S122" s="14">
        <f>$H$20*100</f>
        <v>177</v>
      </c>
      <c r="T122" s="9">
        <f t="shared" si="20"/>
        <v>1593</v>
      </c>
      <c r="U122" s="14">
        <v>15</v>
      </c>
      <c r="V122" s="14"/>
      <c r="Y122" s="9">
        <f t="shared" si="23"/>
        <v>2383.737554460472</v>
      </c>
      <c r="Z122" s="82"/>
      <c r="AA122" s="82"/>
      <c r="AC122" s="9">
        <f>$Y122*(Voorblad!$K$44*(1+Voorblad!$K$44)^Voorblad!$K$41)/((1+Voorblad!$K$44)^Voorblad!$K$41-1)</f>
        <v>79.551105083759552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1099.9116320445044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759.45109749328651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524.37482492268089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14865.774077963437</v>
      </c>
      <c r="Z125" s="24"/>
      <c r="AA125" s="23">
        <f>SUM(AA109:AA124)</f>
        <v>0</v>
      </c>
      <c r="AC125" s="9">
        <f>$Y125*(Voorblad!$K$44*(1+Voorblad!$K$44)^Voorblad!$K$41)/((1+Voorblad!$K$44)^Voorblad!$K$41-1)</f>
        <v>496.10694500098259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1313.58511250181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4231.6044732823293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1026.1705904171233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3301.5026877138703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626.24209374786051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2017.386479216425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489.21932272920145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2*4.5</f>
        <v>9</v>
      </c>
      <c r="R133" s="1" t="s">
        <v>34</v>
      </c>
      <c r="S133" s="21">
        <f>$H$10*125</f>
        <v>297.5</v>
      </c>
      <c r="T133" s="9">
        <f t="shared" si="104"/>
        <v>2677.5</v>
      </c>
      <c r="U133" s="14">
        <v>30</v>
      </c>
      <c r="V133" s="14"/>
      <c r="Y133" s="9">
        <f t="shared" si="21"/>
        <v>1276.4785395720494</v>
      </c>
      <c r="Z133" s="82"/>
      <c r="AA133" s="82"/>
      <c r="AC133" s="9">
        <f>$Y133*(Voorblad!$K$44*(1+Voorblad!$K$44)^Voorblad!$K$41)/((1+Voorblad!$K$44)^Voorblad!$K$41-1)</f>
        <v>42.599185572525613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1276.4785395720494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2*2.6</f>
        <v>5.2</v>
      </c>
      <c r="R136" s="147" t="s">
        <v>195</v>
      </c>
      <c r="S136" s="14">
        <f>$H$10*500</f>
        <v>1190</v>
      </c>
      <c r="T136" s="9">
        <f t="shared" si="104"/>
        <v>6188</v>
      </c>
      <c r="U136" s="14">
        <v>50</v>
      </c>
      <c r="V136" s="14"/>
      <c r="Y136" s="9">
        <f>SUM(AE136:EB136)</f>
        <v>1800.3503830201003</v>
      </c>
      <c r="Z136" s="82"/>
      <c r="AA136" s="82"/>
      <c r="AC136" s="9">
        <f>$Y136*(Voorblad!$K$44*(1+Voorblad!$K$44)^Voorblad!$K$41)/((1+Voorblad!$K$44)^Voorblad!$K$41-1)</f>
        <v>60.082059889195612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1800.3503830201003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7.5%*2*2.6</f>
        <v>0.39</v>
      </c>
      <c r="R137" s="14" t="s">
        <v>34</v>
      </c>
      <c r="S137" s="21">
        <f>$H$10*1000</f>
        <v>2380</v>
      </c>
      <c r="T137" s="21">
        <f t="shared" si="104"/>
        <v>928.2</v>
      </c>
      <c r="U137" s="14">
        <v>50</v>
      </c>
      <c r="Y137" s="21">
        <f t="shared" ref="Y137" si="108">SUM(AE137:EB137)</f>
        <v>270.05255745301508</v>
      </c>
      <c r="Z137" s="149"/>
      <c r="AA137" s="149"/>
      <c r="AC137" s="9">
        <f>$Y137*(Voorblad!$K$44*(1+Voorblad!$K$44)^Voorblad!$K$41)/((1+Voorblad!$K$44)^Voorblad!$K$41-1)</f>
        <v>9.0123089833793433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270.05255745301508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2*4.5</f>
        <v>9</v>
      </c>
      <c r="R139" s="1" t="s">
        <v>34</v>
      </c>
      <c r="S139" s="14">
        <f>$H$10*400</f>
        <v>952</v>
      </c>
      <c r="T139" s="9">
        <f t="shared" si="104"/>
        <v>8568</v>
      </c>
      <c r="U139" s="14">
        <v>50</v>
      </c>
      <c r="V139" s="14"/>
      <c r="Y139" s="9">
        <f t="shared" si="107"/>
        <v>2492.7928380278313</v>
      </c>
      <c r="Z139" s="82"/>
      <c r="AA139" s="82"/>
      <c r="AC139" s="9">
        <f>$Y139*(Voorblad!$K$44*(1+Voorblad!$K$44)^Voorblad!$K$41)/((1+Voorblad!$K$44)^Voorblad!$K$41-1)</f>
        <v>83.190544461963157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2492.7928380278313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2*2.6</f>
        <v>5.2</v>
      </c>
      <c r="R146" s="147" t="s">
        <v>195</v>
      </c>
      <c r="S146" s="14">
        <f>$H$10*500</f>
        <v>1190</v>
      </c>
      <c r="T146" s="9">
        <f t="shared" si="104"/>
        <v>6188</v>
      </c>
      <c r="U146" s="14">
        <v>50</v>
      </c>
      <c r="V146" s="14"/>
      <c r="Y146" s="9">
        <f>SUM(AE146:EB146)</f>
        <v>1800.3503830201003</v>
      </c>
      <c r="Z146" s="82"/>
      <c r="AA146" s="82"/>
      <c r="AC146" s="229">
        <f>$Y146*(Voorblad!$K$44*(1+Voorblad!$K$44)^Voorblad!$K$41)/((1+Voorblad!$K$44)^Voorblad!$K$41-1)</f>
        <v>60.082059889195612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1800.3503830201003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7640.0247010930962</v>
      </c>
      <c r="Z147" s="24"/>
      <c r="AA147" s="23">
        <f>SUM(AA127:AA146)</f>
        <v>0</v>
      </c>
      <c r="AC147" s="9">
        <f>$Y147*(Voorblad!$K$44*(1+Voorblad!$K$44)^Voorblad!$K$41)/((1+Voorblad!$K$44)^Voorblad!$K$41-1)</f>
        <v>254.96615879625935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1276.4785395720494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6363.5461615210479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268">
        <f>17*2.6</f>
        <v>44.2</v>
      </c>
      <c r="R149" s="81" t="s">
        <v>35</v>
      </c>
      <c r="S149" s="81">
        <v>4590</v>
      </c>
      <c r="T149" s="21">
        <f>Q149*S149</f>
        <v>202878</v>
      </c>
      <c r="U149" s="11">
        <v>1</v>
      </c>
      <c r="V149" s="14">
        <f>Voorblad!F24+100</f>
        <v>2084</v>
      </c>
      <c r="W149" s="9">
        <f>Voorblad!K77</f>
        <v>2084</v>
      </c>
      <c r="X149" s="6"/>
      <c r="Y149" s="9">
        <f t="shared" si="21"/>
        <v>50897.739303231654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1698.5810372709475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50897.739303231654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4057.56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8115.12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14201.460000000001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202878</v>
      </c>
      <c r="U154" s="14"/>
      <c r="V154" s="14"/>
      <c r="W154" s="14"/>
      <c r="X154" s="6"/>
      <c r="Y154" s="23">
        <f>SUM(Y149:Y153)</f>
        <v>50897.739303231654</v>
      </c>
      <c r="Z154" s="24"/>
      <c r="AA154" s="23">
        <f>SUM(AA149:AA153)</f>
        <v>52</v>
      </c>
      <c r="AC154" s="9">
        <f>$Y154*(Voorblad!$K$44*(1+Voorblad!$K$44)^Voorblad!$K$41)/((1+Voorblad!$K$44)^Voorblad!$K$41-1)</f>
        <v>1698.5810372709475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2084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2084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2084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312</v>
      </c>
      <c r="Q229" s="84">
        <f>2*4.5*0.035</f>
        <v>0.31500000000000006</v>
      </c>
      <c r="R229" s="1" t="s">
        <v>101</v>
      </c>
      <c r="S229" s="1">
        <v>-200</v>
      </c>
      <c r="T229" s="21">
        <f t="shared" ref="T229:T236" si="201">Q229*S229</f>
        <v>-63.000000000000014</v>
      </c>
      <c r="U229" s="11">
        <v>1</v>
      </c>
      <c r="V229" s="14">
        <f>Voorblad!F24+100</f>
        <v>2084</v>
      </c>
      <c r="W229" s="9">
        <f>Voorblad!$K$77</f>
        <v>2084</v>
      </c>
      <c r="X229" s="6"/>
      <c r="Y229" s="9">
        <f t="shared" ref="Y229" si="202">SUM(AE229:EB229)</f>
        <v>-15.805348909707286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-15.805348909707286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309</v>
      </c>
      <c r="Q230" s="83">
        <f>2*50</f>
        <v>100</v>
      </c>
      <c r="R230" s="1" t="s">
        <v>101</v>
      </c>
      <c r="S230" s="1">
        <v>-50</v>
      </c>
      <c r="T230" s="21">
        <f t="shared" si="201"/>
        <v>-5000</v>
      </c>
      <c r="U230" s="11">
        <v>1</v>
      </c>
      <c r="V230" s="14">
        <f>Voorblad!F24+100</f>
        <v>2084</v>
      </c>
      <c r="W230" s="9">
        <f>Voorblad!$K$77</f>
        <v>2084</v>
      </c>
      <c r="X230" s="6"/>
      <c r="Y230" s="9">
        <f t="shared" ref="Y230" si="203">SUM(AE230:EB230)</f>
        <v>-1254.392770611689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-1254.392770611689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50</v>
      </c>
      <c r="R231" s="1" t="s">
        <v>101</v>
      </c>
      <c r="S231" s="1">
        <v>-200</v>
      </c>
      <c r="T231" s="21">
        <f t="shared" si="201"/>
        <v>-10000</v>
      </c>
      <c r="U231" s="11">
        <v>1</v>
      </c>
      <c r="V231" s="14">
        <f>Voorblad!F24+100</f>
        <v>2084</v>
      </c>
      <c r="W231" s="9">
        <f>Voorblad!$K$77</f>
        <v>2084</v>
      </c>
      <c r="X231" s="6"/>
      <c r="Y231" s="9">
        <f t="shared" ref="Y231:Y234" si="204">SUM(AE231:EB231)</f>
        <v>-2508.785541223378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-2508.785541223378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2084</v>
      </c>
      <c r="W232" s="9">
        <f>Voorblad!$K$77</f>
        <v>2084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2084</v>
      </c>
      <c r="W233" s="9">
        <f>Voorblad!$K$77</f>
        <v>2084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2084</v>
      </c>
      <c r="W234" s="9">
        <f>Voorblad!$K$77</f>
        <v>2084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2084</v>
      </c>
      <c r="W235" s="9">
        <f>Voorblad!$K$77</f>
        <v>2084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2084</v>
      </c>
      <c r="W236" s="9">
        <f>Voorblad!$K$77</f>
        <v>2084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-15063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543A412F-54C9-493B-969B-05421DBCDAB4}"/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de75ed97-d5d0-480f-8c5e-5314c0bb5094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2019-12-11T15:01:35Z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