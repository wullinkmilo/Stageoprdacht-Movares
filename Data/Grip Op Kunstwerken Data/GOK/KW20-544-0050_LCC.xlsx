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D0030877-FCA5-4A17-A96B-68C8C1DAC36C}" xr6:coauthVersionLast="47" xr6:coauthVersionMax="47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29" i="1"/>
  <c r="Q133" i="1"/>
  <c r="Q197" i="1"/>
  <c r="Q196" i="1"/>
  <c r="Q146" i="1"/>
  <c r="Q139" i="1"/>
  <c r="Q137" i="1"/>
  <c r="Q136" i="1"/>
  <c r="Q122" i="1"/>
  <c r="Q117" i="1"/>
  <c r="Q115" i="1"/>
  <c r="Q113" i="1"/>
  <c r="Q110" i="1"/>
  <c r="Q204" i="1"/>
  <c r="Q46" i="1"/>
  <c r="S40" i="1"/>
  <c r="Q40" i="1"/>
  <c r="S39" i="1"/>
  <c r="Q233" i="1" l="1"/>
  <c r="Q231" i="1"/>
  <c r="Q201" i="1"/>
  <c r="AA46" i="1"/>
  <c r="Q198" i="1" l="1"/>
  <c r="N61" i="2" l="1"/>
  <c r="N60" i="2"/>
  <c r="H61" i="2"/>
  <c r="D50" i="2" l="1"/>
  <c r="D49" i="2"/>
  <c r="C50" i="2"/>
  <c r="B50" i="2"/>
  <c r="T35" i="1"/>
  <c r="T36" i="1" s="1"/>
  <c r="L50" i="2" s="1"/>
  <c r="L61" i="2" s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64" i="2" s="1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3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4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FW233" i="1"/>
  <c r="BV233" i="1" s="1"/>
  <c r="FW232" i="1"/>
  <c r="BV232" i="1" s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29" i="1"/>
  <c r="BV235" i="1"/>
  <c r="FW111" i="1"/>
  <c r="BV111" i="1" s="1"/>
  <c r="FW110" i="1"/>
  <c r="BV110" i="1" s="1"/>
  <c r="FW236" i="1"/>
  <c r="BV236" i="1" s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DA232" i="1" s="1"/>
  <c r="HB233" i="1"/>
  <c r="DA233" i="1"/>
  <c r="HB93" i="1"/>
  <c r="DA93" i="1" s="1"/>
  <c r="DA235" i="1"/>
  <c r="HB235" i="1"/>
  <c r="HB229" i="1"/>
  <c r="DA229" i="1" s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DA236" i="1" s="1"/>
  <c r="HB110" i="1"/>
  <c r="DA110" i="1" s="1"/>
  <c r="DA230" i="1"/>
  <c r="HB218" i="1"/>
  <c r="DA218" i="1" s="1"/>
  <c r="HB231" i="1"/>
  <c r="DA231" i="1" s="1"/>
  <c r="HB234" i="1"/>
  <c r="DA234" i="1" s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3" i="2" s="1"/>
  <c r="M53" i="2"/>
  <c r="M63" i="2" s="1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M65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l="1"/>
  <c r="O66" i="2"/>
  <c r="M60" i="2"/>
  <c r="M6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<sst xmlns="http://schemas.openxmlformats.org/spreadsheetml/2006/main" count="1030" uniqueCount="319">
  <si>
    <t>LIFE CYCLE COSTS; Korte Termijn (MJOP) en Lange Termijn (TLP)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</si>
  <si>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</si>
  <si>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Algemene gegevens</t>
  </si>
  <si>
    <t>Project</t>
  </si>
  <si>
    <t>ProRail, Grip op inspecties / Analyse kunstwerken; Opstellen PVE’s</t>
  </si>
  <si>
    <t>Projectnummer ProRail</t>
  </si>
  <si>
    <t>Nader in te vullen door ProRail</t>
  </si>
  <si>
    <t>Naam opsteller - functie</t>
  </si>
  <si>
    <t>R.H. Alberti - Adviseur civiele constructies &amp; assetmanagement</t>
  </si>
  <si>
    <t>Vakdiscipline</t>
  </si>
  <si>
    <t>Civiele techniek, Assetmanagement / instandhouding</t>
  </si>
  <si>
    <t>Datum MJOP / LT</t>
  </si>
  <si>
    <t>Versie - Status</t>
  </si>
  <si>
    <t>0.1 - CONCEPT</t>
  </si>
  <si>
    <t>Beheergegevens kunstwerk (input)</t>
  </si>
  <si>
    <t>SAP Equipmentnummer</t>
  </si>
  <si>
    <t>10592917 + 10592918 + 10592919</t>
  </si>
  <si>
    <t>PGO-contractgebied</t>
  </si>
  <si>
    <t>Kunstwerknummer</t>
  </si>
  <si>
    <t>KW20-544-0050a</t>
  </si>
  <si>
    <t>Kunstwerknaam</t>
  </si>
  <si>
    <t>Spoorviaduct Markbrug</t>
  </si>
  <si>
    <t>Geocode</t>
  </si>
  <si>
    <t>Kilometrering (km)</t>
  </si>
  <si>
    <t>Plaats</t>
  </si>
  <si>
    <t>Breda</t>
  </si>
  <si>
    <t>Bouwjaar bovenbouw</t>
  </si>
  <si>
    <t>Bouwjaar onderbouw</t>
  </si>
  <si>
    <t>Bouwjaar constructieve uitbreiding</t>
  </si>
  <si>
    <t>nvt</t>
  </si>
  <si>
    <t>Hoofddraagconstructie</t>
  </si>
  <si>
    <t>Gewapend betonnen (voorgespannen)</t>
  </si>
  <si>
    <t>Funderingsconstructie</t>
  </si>
  <si>
    <t>Gewapend beton (paalfundering)</t>
  </si>
  <si>
    <t>Laatste inspectie/opname</t>
  </si>
  <si>
    <t>Kunstwerkpaspoort</t>
  </si>
  <si>
    <t>Programma van Eisen</t>
  </si>
  <si>
    <t>SSK-kostenraming (obv PVE)</t>
  </si>
  <si>
    <t>Prijspijl SSK:</t>
  </si>
  <si>
    <t>Bijzonderheden t.a.v. de LCC analyse</t>
  </si>
  <si>
    <t>Betonnen balkroosterdek incl. landhoofden en 2 tussensteunpunten. Verdiepte vloer odg niet meegerekend.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</si>
  <si>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</si>
  <si>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Start- en looptijden MJOP / LTP (invoer)</t>
  </si>
  <si>
    <t>Start looptijd PGO-contract</t>
  </si>
  <si>
    <t>Looptijd MJOP</t>
  </si>
  <si>
    <t>Einde PGO-contract</t>
  </si>
  <si>
    <t>Einde looptijd MJOP</t>
  </si>
  <si>
    <t>Voorbereiding nieuw PGO-contract</t>
  </si>
  <si>
    <t>Start looptijd LTP</t>
  </si>
  <si>
    <t>Looptijd LTP</t>
  </si>
  <si>
    <t>Einde looptijd LTP</t>
  </si>
  <si>
    <t>Discontorente</t>
  </si>
  <si>
    <t>Uitkomsten MJOP</t>
  </si>
  <si>
    <t>Kosten   cat.</t>
  </si>
  <si>
    <t>BHM     nr.</t>
  </si>
  <si>
    <t>prijspeil SSK als onderdeel van PVE:</t>
  </si>
  <si>
    <t>Equiv. Jaarlast</t>
  </si>
  <si>
    <t>theor.einde.levensduur:</t>
  </si>
  <si>
    <t>Totaal kosten cat. 3 (tlv PGO-contract)</t>
  </si>
  <si>
    <t>periode beheer van - tot:</t>
  </si>
  <si>
    <t>-</t>
  </si>
  <si>
    <t>Totaal kosten cat. 2 (advies IB tlv ProRail AM)</t>
  </si>
  <si>
    <t>Totaal kosten BHM cat. 2 (tlv ProRail AM)</t>
  </si>
  <si>
    <t>Totaal kosten BHM cat. 1 (tlv ProRail Projecten)</t>
  </si>
  <si>
    <t>Totaal kosten BHM cat. 1+2</t>
  </si>
  <si>
    <t>Totaal kosten vervanging cat. 1 (tlv ProRail Projecten)</t>
  </si>
  <si>
    <t>vervangingsjaar:</t>
  </si>
  <si>
    <t>Totaal kosten cat. 1+2+3</t>
  </si>
  <si>
    <t>Uitkomsten LTP</t>
  </si>
  <si>
    <t>Omschrijving</t>
  </si>
  <si>
    <t>TVP-duur</t>
  </si>
  <si>
    <t>Totaal kosten klein cyclisch onderhoud cat. 3 (tlv PGO-contract)</t>
  </si>
  <si>
    <t>periode van - tot:</t>
  </si>
  <si>
    <t>Totaal kosten groot cyclisch onderhoud cat. 1 (ProRail Projecten)</t>
  </si>
  <si>
    <t>Totaal opbrengst Madaster (ProRail Projecten)</t>
  </si>
  <si>
    <t>Vrijkomende materialen bij vervanging (Madaster)</t>
  </si>
  <si>
    <t>hoev.heid</t>
  </si>
  <si>
    <t>eenheid</t>
  </si>
  <si>
    <t>Kosten</t>
  </si>
  <si>
    <t>BHM in</t>
  </si>
  <si>
    <t>BHM</t>
  </si>
  <si>
    <t>€ in PVE</t>
  </si>
  <si>
    <t>Thema</t>
  </si>
  <si>
    <t>Maat-</t>
  </si>
  <si>
    <t>Uitgangspunten</t>
  </si>
  <si>
    <t>Aanvullende informatie</t>
  </si>
  <si>
    <t>hoev</t>
  </si>
  <si>
    <t>eenh.</t>
  </si>
  <si>
    <t>eenh.prijs</t>
  </si>
  <si>
    <t>kosten</t>
  </si>
  <si>
    <t>freq</t>
  </si>
  <si>
    <t>theor.einde</t>
  </si>
  <si>
    <t>uitvoering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</si>
  <si>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</si>
  <si>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TVP</t>
  </si>
  <si>
    <t>TVP duur</t>
  </si>
  <si>
    <t>Equiv.</t>
  </si>
  <si>
    <t>(Netto Contante) Waarde tabel</t>
  </si>
  <si>
    <t>Onderwaterscherm wel/geen waarde</t>
  </si>
  <si>
    <t>cat.</t>
  </si>
  <si>
    <t>PVE j/n</t>
  </si>
  <si>
    <t>nr.</t>
  </si>
  <si>
    <t>j/n</t>
  </si>
  <si>
    <t>regel</t>
  </si>
  <si>
    <t>levensd</t>
  </si>
  <si>
    <t>jaarlast</t>
  </si>
  <si>
    <t>Kostencategorien</t>
  </si>
  <si>
    <t>Cat. 1</t>
  </si>
  <si>
    <t>Beheerkosten tlv ProRail Projecten (assetowner)</t>
  </si>
  <si>
    <t>Kosten voor de BHM opgenomen in de PVE's en dus ook in het productieplan (PP)</t>
  </si>
  <si>
    <t>(langcyclisch onderhoud, vervanging e.d.)</t>
  </si>
  <si>
    <t>Deze zijn ter verantwoording en rekening van ProRail Centraal, afdeling Projecten</t>
  </si>
  <si>
    <t>Kostenkengetallen zijn op niveau van investeringskosten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</si>
  <si>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</si>
  <si>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Factor van niveau BDBK -&gt; INV:</t>
  </si>
  <si>
    <t>Cat. 2</t>
  </si>
  <si>
    <t>Beheerkosten tlv ProRail AM (assetmanager)</t>
  </si>
  <si>
    <t>Deze BHM zijn nodig om het risicoprofiel van het betreffende KW te verlagen</t>
  </si>
  <si>
    <t>Regio Zuid</t>
  </si>
  <si>
    <t>Kosten voor de BHM en onderhoud om de functionaliteit van het KW te waarborgen en om degradatie v/h KW te voorkomen</t>
  </si>
  <si>
    <t>Kostenkengetallen zijn op niveau van bouwkosten</t>
  </si>
  <si>
    <t>Factor van niveau BDBK -&gt; BK:</t>
  </si>
  <si>
    <t>Cat. 3</t>
  </si>
  <si>
    <t>Beheerkosten tlv PGO-contract (service provider)</t>
  </si>
  <si>
    <t>in model opnemen startjaar (keuzejaar) voor LTP (los van startjaar PGO maar wel jaartal in zelfde kolom)</t>
  </si>
  <si>
    <t>(kortcyclisch onderhoud)</t>
  </si>
  <si>
    <t>vervangingskosten opnemen in LTP gekoppeld aan bouwjaar</t>
  </si>
  <si>
    <t>tbv LTP hoeveelheden uit paspoort overnemen? (bv LxB rijdek) tbv regulier onderhoud en vervanging</t>
  </si>
  <si>
    <t>Voor kosten kengetallen vervanging zie: "SO-kengetall_verv_kwn_ProRail Zuid"</t>
  </si>
  <si>
    <t>Alleen de cellen met licht blauwe arcering invullen/aanpassen</t>
  </si>
  <si>
    <t>MEERJARENONDERHOUDSPLAN (MJOP)</t>
  </si>
  <si>
    <t>nee</t>
  </si>
  <si>
    <t>waarborg functie</t>
  </si>
  <si>
    <t>FMECA</t>
  </si>
  <si>
    <t>uitvoeren risicoanalyses tbv PGO-contract (FMECA)</t>
  </si>
  <si>
    <t>PGO-contract (service provider)</t>
  </si>
  <si>
    <t>post</t>
  </si>
  <si>
    <t>ko</t>
  </si>
  <si>
    <t>schoonmaken/klein herstel oppervlak, anti-graffiti</t>
  </si>
  <si>
    <t>totaal PGO-contract (service provider)</t>
  </si>
  <si>
    <t>AM tbv PP</t>
  </si>
  <si>
    <t>advies</t>
  </si>
  <si>
    <t>advieswerk IB tbv vullen productieplan</t>
  </si>
  <si>
    <t>advieswerk IB tbv productie plan</t>
  </si>
  <si>
    <t>totaal advieswerk IB</t>
  </si>
  <si>
    <t>verlagen risicoprofiel</t>
  </si>
  <si>
    <t>no</t>
  </si>
  <si>
    <t>globale beschouwing constructieve veiligheid</t>
  </si>
  <si>
    <t>aanbrengen hoogtebeperkingsborden Markkade h=4,3m</t>
  </si>
  <si>
    <t>st</t>
  </si>
  <si>
    <t>aanbrengen taludbekleding onder lekkende dilatatievoegen tpv overgang spoordek-landhoofd/baan</t>
  </si>
  <si>
    <t>op 4 locaties een strook van 1 m breed aanbrengen</t>
  </si>
  <si>
    <t>m2</t>
  </si>
  <si>
    <t>einde levensduur</t>
  </si>
  <si>
    <t>vv</t>
  </si>
  <si>
    <t>vervangingskosten (incl. sloop bestaand)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</si>
  <si>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</si>
  <si>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spoordek LxB</t>
  </si>
  <si>
    <t>4x52</t>
  </si>
  <si>
    <t>totaal beheersmaatregelen</t>
  </si>
  <si>
    <t>LANGETERMIJNPLAN (LTP)</t>
  </si>
  <si>
    <t xml:space="preserve">Maak keuze uit één van de onderstaande type kunstwerk en type onderbouw </t>
  </si>
  <si>
    <t>Stalen kunstwerk</t>
  </si>
  <si>
    <t>insp</t>
  </si>
  <si>
    <t>schoonmaken staal oppervlak, graffiti, leksporen, aanslag</t>
  </si>
  <si>
    <t>over zichtoppervlak betonwerk</t>
  </si>
  <si>
    <t>aanbrengen anti-graffiti coating</t>
  </si>
  <si>
    <t>schoonmaken voegovergangen rijdek-baan (kortcyclisch onderhoud)</t>
  </si>
  <si>
    <t>m1</t>
  </si>
  <si>
    <t>herstel gebreken kunstwerk (incl. leuning, kabelkoker), roest-, aanrijschade e.d.</t>
  </si>
  <si>
    <t>aanname eenh.prijs per m1 kw per spoor</t>
  </si>
  <si>
    <t>m1 kw/sp</t>
  </si>
  <si>
    <t>herstel kleine gebreken inspectiewagen</t>
  </si>
  <si>
    <t>incl. aandrijflijn</t>
  </si>
  <si>
    <t>herstel kleine gebreken PV-bordes (roosters + draagbalken)</t>
  </si>
  <si>
    <t>obv 2,5% schade aan oppervlak</t>
  </si>
  <si>
    <t>voer in: 2,5% x oppervlak</t>
  </si>
  <si>
    <t>herstel kleine gebreken leuning</t>
  </si>
  <si>
    <t>obv 2,5% schade aan lengte</t>
  </si>
  <si>
    <t>voer in: 2,5% x lengte</t>
  </si>
  <si>
    <t>herstel kleine gebreken kabelkoker</t>
  </si>
  <si>
    <t>herstel kleine gebreken geluidscherm (stijlen + panelen)</t>
  </si>
  <si>
    <t>obv 2,5% schade aan oppervlak (stijlen en/of panelen)</t>
  </si>
  <si>
    <t>voer in: 2,5% x oppervlak scherm</t>
  </si>
  <si>
    <t>herstel conservering kunstwerk</t>
  </si>
  <si>
    <t>obv herstel 2,5% roestschade + overlagen</t>
  </si>
  <si>
    <t>obv opgave verfoppervlak paspoort</t>
  </si>
  <si>
    <t>herstel conservering inspectiewagen</t>
  </si>
  <si>
    <t>prijs obv 2,0 m2 per m1 inspectiewagen</t>
  </si>
  <si>
    <t>herstel conservering PV-bordes (roosters + draagbalken)</t>
  </si>
  <si>
    <t>prijs obv 1,5 m2 per m2 bordesoppervlak</t>
  </si>
  <si>
    <t>herstel conservering leuning</t>
  </si>
  <si>
    <t>prijs obv 1 m2 per m1 leuning</t>
  </si>
  <si>
    <t>herstel conservering kabelkoker</t>
  </si>
  <si>
    <t>prijs obv 1 m2 per m1 kabelkoker</t>
  </si>
  <si>
    <t>herstel conservering geluidscherm (stijlen)</t>
  </si>
  <si>
    <t>prijs obv 0,6 m2 per m2 schermoppervlak (stijlen hoh 2,0 m)</t>
  </si>
  <si>
    <t>totaal klein cyclisch onderhoud</t>
  </si>
  <si>
    <t xml:space="preserve">        open groep "vervangen voegovergangen" als het een kunstwerk voor autoverkeer betreft</t>
  </si>
  <si>
    <t>go/vv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</si>
  <si>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</si>
  <si>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</si>
  <si>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</si>
  <si>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</si>
  <si>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vervangen conservering kunstwerk</t>
  </si>
  <si>
    <t>obv herstel 7,5% roestschade + tussenlaag + overlagen</t>
  </si>
  <si>
    <t>vervangen conservering inspectiewagen</t>
  </si>
  <si>
    <t xml:space="preserve">vervangen conservering PV-bordes (roosters + draagbalken) </t>
  </si>
  <si>
    <t>vervangen conservering leuning</t>
  </si>
  <si>
    <t>vervangen conservering kabelkoker</t>
  </si>
  <si>
    <t>vervangen conservering geluidscherm (stijlen)</t>
  </si>
  <si>
    <t>vervangen PV-bordes (roosters + draagbalken)</t>
  </si>
  <si>
    <t>vervangen leuning</t>
  </si>
  <si>
    <t>incl. nieuwe bevestigingsmiddelen</t>
  </si>
  <si>
    <t>vervangen kabelkoker</t>
  </si>
  <si>
    <t>vervangen geluidscherm (stijlen en panelen)</t>
  </si>
  <si>
    <t>vervangen rubberopleggingen kunstwerk</t>
  </si>
  <si>
    <t>incl. vijzelwerk</t>
  </si>
  <si>
    <t>vervangen pot/bolsegment/rol- opleggingen kunstwerk</t>
  </si>
  <si>
    <t>vervangen rubber lijnopleggingen kunstwerk</t>
  </si>
  <si>
    <t>vervangen lijnopleggingen staal (railframe)</t>
  </si>
  <si>
    <t>go</t>
  </si>
  <si>
    <t>aanpassen kunstwerk door wijziging beleid door wet- en regelgeving</t>
  </si>
  <si>
    <t>totaal groot cyclisch onderhoud</t>
  </si>
  <si>
    <t>vervanging</t>
  </si>
  <si>
    <t>vervangen kunstwerk</t>
  </si>
  <si>
    <t>theoretische levensduur 100 jaar</t>
  </si>
  <si>
    <t>vervangen inspectiewagen</t>
  </si>
  <si>
    <t>theoretische levensduur 60 jaar</t>
  </si>
  <si>
    <t>uitstel conservering</t>
  </si>
  <si>
    <t>xoc</t>
  </si>
  <si>
    <t>extra kosten door 5 jaar uitstel conservering kunstwerk (incl. leuning)</t>
  </si>
  <si>
    <t>obv 25% van de conserveringskosten</t>
  </si>
  <si>
    <t>extra kosten door 10 jaar uitstel conservering kunstwerk (incl. leuning)</t>
  </si>
  <si>
    <t>obv 35% van de conserveringskosten</t>
  </si>
  <si>
    <t>extra kosten door 15 jaar uitstel conservering kunstwerk (incl. leuning)</t>
  </si>
  <si>
    <t>obv 50% van de conserveringskosten</t>
  </si>
  <si>
    <t>uitstel vervanging</t>
  </si>
  <si>
    <t>xo</t>
  </si>
  <si>
    <t>extra onderhoud door 5 jaar uitstel vervanging kunstwerk</t>
  </si>
  <si>
    <t>obv 2% van de vervangingskosten</t>
  </si>
  <si>
    <t>extra onderhoud door 10 jaar uitstel vervanging kunstwerk</t>
  </si>
  <si>
    <t>obv 4% van de vervangingskosten</t>
  </si>
  <si>
    <t>extra onderhoud door &gt;10 jaar uitstel vervanging kunstwerk</t>
  </si>
  <si>
    <t>obv 7% van de vervangingskosten</t>
  </si>
  <si>
    <t>totaal vervanging</t>
  </si>
  <si>
    <t>Betonnen kunstwerk</t>
  </si>
  <si>
    <t>kwaliteitsinspectie</t>
  </si>
  <si>
    <t>schoonmaken beton oppervlak, graffiti, leksporen, aanslag</t>
  </si>
  <si>
    <t>omhullend (zicht)oppervlak betonnen dek</t>
  </si>
  <si>
    <t>voer in:  50% van oppervlak</t>
  </si>
  <si>
    <t>aanbrengen ant-graffiti coating</t>
  </si>
  <si>
    <t>herstel kleine gebreken betonnen kunstwerk, scheuren, aanrijschade e.d.</t>
  </si>
  <si>
    <t>herstel kleine gebreken betonnen PV-voorzieningen en kabelgoten, m.n. voetpadplaten</t>
  </si>
  <si>
    <t>obv 2% schade lengte</t>
  </si>
  <si>
    <t>voer in: 2,5% x lengte per PV-pad</t>
  </si>
  <si>
    <t>herstel kleine gebreken stalen PV-bordes (roosters + draagbalken)</t>
  </si>
  <si>
    <t>herstel kleine gebreken stalen leuning</t>
  </si>
  <si>
    <t>herstel kleine gebreken stalen kabelkoker</t>
  </si>
  <si>
    <t>herstel conservering stalen inspectiewagen</t>
  </si>
  <si>
    <t>herstel conservering stalen PV-bordes (roosters + draagbalken)</t>
  </si>
  <si>
    <t>herstel conservering stalen leuning</t>
  </si>
  <si>
    <t>herstel conservering stalen kabelkoker</t>
  </si>
  <si>
    <t>herstel conservering geluidscherm (stalen stijlen)</t>
  </si>
  <si>
    <t>vervangen conservering stalen inspectiewagen</t>
  </si>
  <si>
    <t xml:space="preserve">vervangen conservering stalen PV-bordes (roosters + draagbalken) </t>
  </si>
  <si>
    <t>vervangen conservering stalen leuning</t>
  </si>
  <si>
    <t>vervangen conservering stalen kabelkoker</t>
  </si>
  <si>
    <t>vervangen conservering geluidscherm (stalen stijlen)</t>
  </si>
  <si>
    <t>herstel grote gebreken betonnen kunstwerk, scheuren, aantastingen e.d.</t>
  </si>
  <si>
    <t>herstel grote gebreken betonnen PV-voorzieningen en kabelgoten, m.n. voetpadplaten</t>
  </si>
  <si>
    <t>obv 7,5% schade aan lengte</t>
  </si>
  <si>
    <t>voer in: 7,5% x lengte per PV-pad</t>
  </si>
  <si>
    <t>vervangen stalen PV-bordes (roosters + draagbalken)</t>
  </si>
  <si>
    <t>vervangen kunstwerk (incl. sloop bestaand)</t>
  </si>
  <si>
    <t>alleen spoordek</t>
  </si>
  <si>
    <t>2x52</t>
  </si>
  <si>
    <t>Metselwerk kunstwerk</t>
  </si>
  <si>
    <t>schoonmaken metselwerk oppervlak, graffiti, leksporen, aanslag</t>
  </si>
  <si>
    <t>herstel kleine gebreken metselwerk kunstwerk, scheuren, aanrijschade e.d.</t>
  </si>
  <si>
    <t>herstel grote gebreken metselwerk kunstwerk, scheuren, aantastingen e.d.</t>
  </si>
  <si>
    <t>vervangen stalen leuning</t>
  </si>
  <si>
    <t>vervangen stalen kabelkoker</t>
  </si>
  <si>
    <t>Betonnen onderbouw</t>
  </si>
  <si>
    <t>schoonmaken betonoppervlak, graffiti, leksporen, aanslag</t>
  </si>
  <si>
    <t>Σ: van 2 landhfdn + vleugelwandn + 2tussenstnpntn</t>
  </si>
  <si>
    <t>over 2,5 m hoogte onderbouw</t>
  </si>
  <si>
    <t xml:space="preserve">Σ: van 2 landhfdn + vleugelwandn + 2 tussenstnpntn </t>
  </si>
  <si>
    <t>herstel kleine gebreken betonoppervlak, scheuren, aanrijschade e.d.</t>
  </si>
  <si>
    <t>obv 2,5% schade aan het oppervlak</t>
  </si>
  <si>
    <t>herstel grote gebreken betonoppervlak, scheuren, aantastingen e.d.</t>
  </si>
  <si>
    <t>obv 5% schade aan het oppervlak</t>
  </si>
  <si>
    <t>voer in: 5% x oppervlak</t>
  </si>
  <si>
    <t>vervangen onderbouw (incl. sloop bestaand)</t>
  </si>
  <si>
    <t>2 landhfdn + 2 tussensteunpntn (allen laaggefundeerd)</t>
  </si>
  <si>
    <t>Metselwerk onderbouw</t>
  </si>
  <si>
    <t>schoonmaken metselwerkoppervlak, graffiti, leksporen, aanslag</t>
  </si>
  <si>
    <t>herstel kleine gebreken metselwerkoppervlak, voegwerk, scheuren, aanrijschade e.d.</t>
  </si>
  <si>
    <t>herstel grote gebreken metselwerkoppervlak, voegwerk, stenen, scheuren, aantastingen e.d.</t>
  </si>
  <si>
    <t>obv 10% schade aan het oppervlak</t>
  </si>
  <si>
    <t>voer in: 10% x oppervlak</t>
  </si>
  <si>
    <t>Totaal vervanging</t>
  </si>
  <si>
    <t>Madaster (vrijkomende materialen)</t>
  </si>
  <si>
    <t>(Constructie) staal spoordek</t>
  </si>
  <si>
    <t>leuningen 2x99,4 m1 á 35 kg/m1</t>
  </si>
  <si>
    <t>ton</t>
  </si>
  <si>
    <t>Beton spoordek</t>
  </si>
  <si>
    <t>2,0 ton/m3 beton (LxBxD)</t>
  </si>
  <si>
    <t>spoordek+PV-paden: 2235 m3</t>
  </si>
  <si>
    <t>Betonstaal spoordek</t>
  </si>
  <si>
    <t>0,5 ton/m3 beton</t>
  </si>
  <si>
    <t>Beton onderbouw</t>
  </si>
  <si>
    <t>2,3 ton/m3 beton (LxBxD)</t>
  </si>
  <si>
    <t>Σ: 2 landhfdn + 2 tussenstnpntn: 900 m3</t>
  </si>
  <si>
    <t>Betonstaal onderbouw</t>
  </si>
  <si>
    <t>0,2 ton/m3 beton</t>
  </si>
  <si>
    <t>Metselwerk spoordek</t>
  </si>
  <si>
    <t>1,8 ton/m3 metselwerk</t>
  </si>
  <si>
    <t>totaal (opbrengst) madaster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</si>
</sst>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14" fontId="6" fillId="0" borderId="0" xfId="0" applyNumberFormat="1" applyFont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/>
    <xf numFmtId="0" fontId="7" fillId="4" borderId="0" xfId="0" applyFont="1" applyFill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0" fillId="3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21" sqref="S21"/>
    </sheetView>
  </sheetViews>
  <sheetFormatPr defaultRowHeight="14.45" outlineLevelRow="1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">
      <c r="B5" s="27" t="s">
        <v>0</v>
      </c>
      <c r="C5" s="27"/>
      <c r="D5" s="28"/>
      <c r="E5" s="28"/>
      <c r="F5" s="28"/>
      <c r="G5" s="28"/>
      <c r="H5" s="28"/>
      <c r="I5" s="28"/>
      <c r="J5" s="28"/>
      <c r="K5" s="28"/>
      <c r="L5" s="29"/>
      <c r="M5" s="29"/>
      <c r="N5" s="29"/>
      <c r="O5" s="29"/>
      <c r="P5" s="29"/>
    </row>
    <row r="6" spans="2:16" ht="15" thickBo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>
      <c r="B7" s="262" t="s">
        <v>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4"/>
      <c r="P7" s="224"/>
    </row>
    <row r="8" spans="2:16">
      <c r="B8" s="104" t="s">
        <v>2</v>
      </c>
      <c r="C8" s="105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7"/>
      <c r="P8" s="106"/>
    </row>
    <row r="9" spans="2:16">
      <c r="B9" s="87" t="s">
        <v>3</v>
      </c>
      <c r="C9" s="88"/>
      <c r="D9" s="89"/>
      <c r="E9" s="89"/>
      <c r="F9" s="131" t="s">
        <v>4</v>
      </c>
      <c r="G9" s="30"/>
      <c r="H9" s="30"/>
      <c r="I9" s="30"/>
      <c r="J9" s="30"/>
      <c r="K9" s="30"/>
      <c r="L9" s="30"/>
      <c r="M9" s="30"/>
      <c r="N9" s="30"/>
      <c r="O9" s="31"/>
      <c r="P9" s="1"/>
    </row>
    <row r="10" spans="2:16">
      <c r="B10" s="87" t="s">
        <v>5</v>
      </c>
      <c r="C10" s="88"/>
      <c r="D10" s="89"/>
      <c r="E10" s="89"/>
      <c r="F10" s="132" t="s">
        <v>6</v>
      </c>
      <c r="G10" s="30"/>
      <c r="H10" s="30"/>
      <c r="I10" s="30"/>
      <c r="J10" s="30"/>
      <c r="K10" s="30"/>
      <c r="L10" s="30"/>
      <c r="M10" s="30"/>
      <c r="N10" s="30"/>
      <c r="O10" s="31"/>
      <c r="P10" s="1"/>
    </row>
    <row r="11" spans="2:16">
      <c r="B11" s="87" t="s">
        <v>7</v>
      </c>
      <c r="C11" s="88"/>
      <c r="D11" s="89"/>
      <c r="E11" s="89"/>
      <c r="F11" s="132" t="s">
        <v>8</v>
      </c>
      <c r="G11" s="30"/>
      <c r="H11" s="30"/>
      <c r="I11" s="30"/>
      <c r="J11" s="30"/>
      <c r="K11" s="30"/>
      <c r="L11" s="30"/>
      <c r="M11" s="30"/>
      <c r="N11" s="30"/>
      <c r="O11" s="31"/>
      <c r="P11" s="1"/>
    </row>
    <row r="12" spans="2:16">
      <c r="B12" s="87" t="s">
        <v>9</v>
      </c>
      <c r="C12" s="88"/>
      <c r="D12" s="89"/>
      <c r="E12" s="89"/>
      <c r="F12" s="131" t="s">
        <v>10</v>
      </c>
      <c r="G12" s="30"/>
      <c r="H12" s="30"/>
      <c r="I12" s="30"/>
      <c r="J12" s="30"/>
      <c r="K12" s="30"/>
      <c r="L12" s="30"/>
      <c r="M12" s="30"/>
      <c r="N12" s="30"/>
      <c r="O12" s="31"/>
      <c r="P12" s="1"/>
    </row>
    <row r="13" spans="2:16">
      <c r="B13" s="87" t="s">
        <v>11</v>
      </c>
      <c r="C13" s="88"/>
      <c r="D13" s="89"/>
      <c r="E13" s="89"/>
      <c r="F13" s="133">
        <v>43797</v>
      </c>
      <c r="G13" s="30"/>
      <c r="H13" s="30"/>
      <c r="I13" s="30"/>
      <c r="J13" s="30"/>
      <c r="K13" s="30"/>
      <c r="L13" s="30"/>
      <c r="M13" s="30"/>
      <c r="N13" s="30"/>
      <c r="O13" s="31"/>
      <c r="P13" s="1"/>
    </row>
    <row r="14" spans="2:16" ht="15" thickBot="1">
      <c r="B14" s="90" t="s">
        <v>12</v>
      </c>
      <c r="C14" s="91"/>
      <c r="D14" s="92"/>
      <c r="E14" s="92"/>
      <c r="F14" s="134" t="s">
        <v>13</v>
      </c>
      <c r="G14" s="32"/>
      <c r="H14" s="32"/>
      <c r="I14" s="32"/>
      <c r="J14" s="32"/>
      <c r="K14" s="32"/>
      <c r="L14" s="32"/>
      <c r="M14" s="32"/>
      <c r="N14" s="32"/>
      <c r="O14" s="33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04" t="s">
        <v>14</v>
      </c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7"/>
      <c r="P16" s="106"/>
    </row>
    <row r="17" spans="2:18">
      <c r="B17" s="93" t="s">
        <v>15</v>
      </c>
      <c r="C17" s="94"/>
      <c r="D17" s="89"/>
      <c r="E17" s="89"/>
      <c r="F17" s="135" t="s">
        <v>16</v>
      </c>
      <c r="G17" s="34"/>
      <c r="H17" s="34"/>
      <c r="I17" s="34"/>
      <c r="J17" s="30"/>
      <c r="K17" s="30"/>
      <c r="L17" s="30"/>
      <c r="M17" s="30"/>
      <c r="N17" s="30"/>
      <c r="O17" s="31"/>
      <c r="P17" s="1"/>
    </row>
    <row r="18" spans="2:18">
      <c r="B18" s="93" t="s">
        <v>17</v>
      </c>
      <c r="C18" s="94"/>
      <c r="D18" s="89"/>
      <c r="E18" s="89"/>
      <c r="F18" s="135">
        <v>20</v>
      </c>
      <c r="G18" s="34"/>
      <c r="H18" s="34"/>
      <c r="I18" s="34"/>
      <c r="J18" s="30"/>
      <c r="K18" s="30"/>
      <c r="L18" s="30"/>
      <c r="M18" s="30"/>
      <c r="N18" s="30"/>
      <c r="O18" s="31"/>
      <c r="P18" s="1"/>
      <c r="R18" s="84"/>
    </row>
    <row r="19" spans="2:18">
      <c r="B19" s="93" t="s">
        <v>18</v>
      </c>
      <c r="C19" s="94"/>
      <c r="D19" s="89"/>
      <c r="E19" s="89"/>
      <c r="F19" s="135" t="s">
        <v>19</v>
      </c>
      <c r="G19" s="34"/>
      <c r="H19" s="34"/>
      <c r="I19" s="34"/>
      <c r="J19" s="30"/>
      <c r="K19" s="30"/>
      <c r="L19" s="30"/>
      <c r="M19" s="30"/>
      <c r="N19" s="30"/>
      <c r="O19" s="31"/>
      <c r="P19" s="1"/>
      <c r="R19" s="84"/>
    </row>
    <row r="20" spans="2:18">
      <c r="B20" s="93" t="s">
        <v>20</v>
      </c>
      <c r="C20" s="94"/>
      <c r="D20" s="89"/>
      <c r="E20" s="89"/>
      <c r="F20" s="135" t="s">
        <v>21</v>
      </c>
      <c r="G20" s="34"/>
      <c r="H20" s="34"/>
      <c r="I20" s="34"/>
      <c r="J20" s="30"/>
      <c r="K20" s="30"/>
      <c r="L20" s="30"/>
      <c r="M20" s="30"/>
      <c r="N20" s="30"/>
      <c r="O20" s="31"/>
      <c r="P20" s="1"/>
    </row>
    <row r="21" spans="2:18">
      <c r="B21" s="93" t="s">
        <v>22</v>
      </c>
      <c r="C21" s="94"/>
      <c r="D21" s="89"/>
      <c r="E21" s="89"/>
      <c r="F21" s="136">
        <v>544</v>
      </c>
      <c r="G21" s="35"/>
      <c r="H21" s="35"/>
      <c r="I21" s="35"/>
      <c r="J21" s="30"/>
      <c r="K21" s="30"/>
      <c r="L21" s="30"/>
      <c r="M21" s="30"/>
      <c r="N21" s="30"/>
      <c r="O21" s="31"/>
      <c r="P21" s="1"/>
    </row>
    <row r="22" spans="2:18">
      <c r="B22" s="93" t="s">
        <v>23</v>
      </c>
      <c r="C22" s="94"/>
      <c r="D22" s="89"/>
      <c r="E22" s="89"/>
      <c r="F22" s="135">
        <v>23.41</v>
      </c>
      <c r="G22" s="34"/>
      <c r="H22" s="34"/>
      <c r="I22" s="34"/>
      <c r="J22" s="30"/>
      <c r="K22" s="30"/>
      <c r="L22" s="30"/>
      <c r="M22" s="30"/>
      <c r="N22" s="30"/>
      <c r="O22" s="31"/>
      <c r="P22" s="1"/>
    </row>
    <row r="23" spans="2:18">
      <c r="B23" s="93" t="s">
        <v>24</v>
      </c>
      <c r="C23" s="94"/>
      <c r="D23" s="89"/>
      <c r="E23" s="89"/>
      <c r="F23" s="135" t="s">
        <v>25</v>
      </c>
      <c r="G23" s="34"/>
      <c r="H23" s="34"/>
      <c r="I23" s="34"/>
      <c r="J23" s="30"/>
      <c r="K23" s="30"/>
      <c r="L23" s="30"/>
      <c r="M23" s="30"/>
      <c r="N23" s="30"/>
      <c r="O23" s="31"/>
      <c r="P23" s="1"/>
    </row>
    <row r="24" spans="2:18">
      <c r="B24" s="93" t="s">
        <v>26</v>
      </c>
      <c r="C24" s="94"/>
      <c r="D24" s="89"/>
      <c r="E24" s="89"/>
      <c r="F24" s="135">
        <v>1971</v>
      </c>
      <c r="G24" s="34"/>
      <c r="H24" s="34"/>
      <c r="I24" s="34"/>
      <c r="J24" s="30"/>
      <c r="K24" s="30"/>
      <c r="L24" s="30"/>
      <c r="M24" s="30"/>
      <c r="N24" s="30"/>
      <c r="O24" s="31"/>
      <c r="P24" s="1"/>
    </row>
    <row r="25" spans="2:18">
      <c r="B25" s="93" t="s">
        <v>27</v>
      </c>
      <c r="C25" s="94"/>
      <c r="D25" s="89"/>
      <c r="E25" s="89"/>
      <c r="F25" s="135">
        <v>1971</v>
      </c>
      <c r="G25" s="34"/>
      <c r="H25" s="34"/>
      <c r="I25" s="34"/>
      <c r="J25" s="30"/>
      <c r="K25" s="30"/>
      <c r="L25" s="30"/>
      <c r="M25" s="30"/>
      <c r="N25" s="30"/>
      <c r="O25" s="31"/>
      <c r="P25" s="1"/>
    </row>
    <row r="26" spans="2:18">
      <c r="B26" s="93" t="s">
        <v>28</v>
      </c>
      <c r="C26" s="94"/>
      <c r="D26" s="89"/>
      <c r="E26" s="89"/>
      <c r="F26" s="135" t="s">
        <v>29</v>
      </c>
      <c r="G26" s="221"/>
      <c r="H26" s="34"/>
      <c r="I26" s="34"/>
      <c r="J26" s="30"/>
      <c r="K26" s="30"/>
      <c r="L26" s="30"/>
      <c r="M26" s="30"/>
      <c r="N26" s="30"/>
      <c r="O26" s="31"/>
      <c r="P26" s="1"/>
    </row>
    <row r="27" spans="2:18">
      <c r="B27" s="93" t="s">
        <v>30</v>
      </c>
      <c r="C27" s="94"/>
      <c r="D27" s="89"/>
      <c r="E27" s="89"/>
      <c r="F27" s="135" t="s">
        <v>31</v>
      </c>
      <c r="G27" s="34"/>
      <c r="H27" s="34"/>
      <c r="I27" s="34"/>
      <c r="J27" s="30"/>
      <c r="K27" s="30"/>
      <c r="L27" s="30"/>
      <c r="M27" s="30"/>
      <c r="N27" s="30"/>
      <c r="O27" s="31"/>
      <c r="P27" s="1"/>
    </row>
    <row r="28" spans="2:18">
      <c r="B28" s="93" t="s">
        <v>32</v>
      </c>
      <c r="C28" s="94"/>
      <c r="D28" s="89"/>
      <c r="E28" s="89"/>
      <c r="F28" s="135" t="s">
        <v>33</v>
      </c>
      <c r="G28" s="34"/>
      <c r="H28" s="34"/>
      <c r="I28" s="34"/>
      <c r="J28" s="30"/>
      <c r="K28" s="30"/>
      <c r="L28" s="30"/>
      <c r="M28" s="30"/>
      <c r="N28" s="30"/>
      <c r="O28" s="31"/>
      <c r="P28" s="1"/>
    </row>
    <row r="29" spans="2:18">
      <c r="B29" s="93" t="s">
        <v>34</v>
      </c>
      <c r="C29" s="94"/>
      <c r="D29" s="89"/>
      <c r="E29" s="89"/>
      <c r="F29" s="137">
        <v>42644</v>
      </c>
      <c r="G29" s="36"/>
      <c r="H29" s="36"/>
      <c r="I29" s="36"/>
      <c r="J29" s="30"/>
      <c r="K29" s="30"/>
      <c r="L29" s="30"/>
      <c r="M29" s="30"/>
      <c r="N29" s="30"/>
      <c r="O29" s="31"/>
      <c r="P29" s="1"/>
    </row>
    <row r="30" spans="2:18">
      <c r="B30" s="93" t="s">
        <v>35</v>
      </c>
      <c r="C30" s="94"/>
      <c r="D30" s="89"/>
      <c r="E30" s="89"/>
      <c r="F30" s="133">
        <v>42699</v>
      </c>
      <c r="G30" s="37"/>
      <c r="H30" s="37"/>
      <c r="I30" s="37"/>
      <c r="J30" s="30"/>
      <c r="K30" s="30"/>
      <c r="L30" s="30"/>
      <c r="M30" s="30"/>
      <c r="N30" s="30"/>
      <c r="O30" s="31"/>
      <c r="P30" s="1"/>
    </row>
    <row r="31" spans="2:18">
      <c r="B31" s="93" t="s">
        <v>36</v>
      </c>
      <c r="C31" s="94"/>
      <c r="D31" s="89"/>
      <c r="E31" s="89"/>
      <c r="F31" s="133" t="s">
        <v>29</v>
      </c>
      <c r="G31" s="37"/>
      <c r="H31" s="37"/>
      <c r="I31" s="37"/>
      <c r="J31" s="30"/>
      <c r="K31" s="30"/>
      <c r="L31" s="30"/>
      <c r="M31" s="30"/>
      <c r="N31" s="30"/>
      <c r="O31" s="31"/>
      <c r="P31" s="1"/>
    </row>
    <row r="32" spans="2:18">
      <c r="B32" s="93" t="s">
        <v>37</v>
      </c>
      <c r="C32" s="94"/>
      <c r="D32" s="89"/>
      <c r="E32" s="89"/>
      <c r="F32" s="133" t="s">
        <v>29</v>
      </c>
      <c r="G32" s="37"/>
      <c r="H32" s="37"/>
      <c r="I32" s="37"/>
      <c r="J32" s="155" t="s">
        <v>38</v>
      </c>
      <c r="K32" s="156"/>
      <c r="L32" s="30"/>
      <c r="M32" s="30"/>
      <c r="N32" s="30"/>
      <c r="O32" s="31"/>
      <c r="P32" s="1"/>
    </row>
    <row r="33" spans="2:16" ht="15" thickBot="1">
      <c r="B33" s="95" t="s">
        <v>39</v>
      </c>
      <c r="C33" s="96"/>
      <c r="D33" s="92"/>
      <c r="E33" s="92"/>
      <c r="F33" s="138" t="s">
        <v>40</v>
      </c>
      <c r="G33" s="146"/>
      <c r="H33" s="147"/>
      <c r="I33" s="147"/>
      <c r="J33" s="147"/>
      <c r="K33" s="147"/>
      <c r="L33" s="147"/>
      <c r="M33" s="32"/>
      <c r="N33" s="32"/>
      <c r="O33" s="33"/>
      <c r="P33" s="1"/>
    </row>
    <row r="34" spans="2:16" ht="15" thickBot="1">
      <c r="B34" s="2"/>
      <c r="C34" s="2"/>
      <c r="D34" s="1"/>
      <c r="E34" s="1"/>
      <c r="F34" s="1"/>
      <c r="G34" s="83"/>
      <c r="H34" s="4"/>
      <c r="I34" s="4"/>
      <c r="J34" s="1"/>
      <c r="K34" s="1"/>
      <c r="L34" s="1"/>
      <c r="M34" s="1"/>
      <c r="N34" s="1"/>
      <c r="O34" s="1"/>
      <c r="P34" s="1"/>
    </row>
    <row r="35" spans="2:16" ht="15" outlineLevel="1" thickBot="1">
      <c r="B35" s="259" t="s">
        <v>41</v>
      </c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1"/>
      <c r="P35" s="225"/>
    </row>
    <row r="36" spans="2:16">
      <c r="B36" s="104" t="s">
        <v>42</v>
      </c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  <c r="P36" s="106"/>
    </row>
    <row r="37" spans="2:16">
      <c r="B37" s="38" t="s">
        <v>43</v>
      </c>
      <c r="C37" s="40"/>
      <c r="D37" s="39"/>
      <c r="E37" s="39"/>
      <c r="F37" s="97">
        <v>2018</v>
      </c>
      <c r="G37" s="40"/>
      <c r="H37" s="125" t="s">
        <v>44</v>
      </c>
      <c r="I37" s="39"/>
      <c r="J37" s="39"/>
      <c r="K37" s="86">
        <v>10</v>
      </c>
      <c r="L37" s="41"/>
      <c r="M37" s="41"/>
      <c r="N37" s="42"/>
      <c r="O37" s="43"/>
    </row>
    <row r="38" spans="2:16">
      <c r="B38" s="44" t="s">
        <v>45</v>
      </c>
      <c r="C38" s="39"/>
      <c r="D38" s="42"/>
      <c r="E38" s="42"/>
      <c r="F38" s="45">
        <f>F37+5</f>
        <v>2023</v>
      </c>
      <c r="G38" s="42"/>
      <c r="H38" s="126" t="s">
        <v>46</v>
      </c>
      <c r="I38" s="42"/>
      <c r="J38" s="42"/>
      <c r="K38" s="45">
        <f>F37+K37</f>
        <v>2028</v>
      </c>
      <c r="L38" s="42"/>
      <c r="M38" s="42"/>
      <c r="N38" s="42"/>
      <c r="O38" s="46"/>
      <c r="P38" s="1"/>
    </row>
    <row r="39" spans="2:16">
      <c r="B39" s="44" t="s">
        <v>47</v>
      </c>
      <c r="C39" s="39"/>
      <c r="D39" s="39"/>
      <c r="E39" s="39"/>
      <c r="F39" s="45">
        <f>F38-2</f>
        <v>2021</v>
      </c>
      <c r="G39" s="39"/>
      <c r="H39" s="127"/>
      <c r="I39" s="39"/>
      <c r="J39" s="39"/>
      <c r="K39" s="45"/>
      <c r="L39" s="42"/>
      <c r="M39" s="42"/>
      <c r="N39" s="42"/>
      <c r="O39" s="43"/>
    </row>
    <row r="40" spans="2:16">
      <c r="B40" s="44"/>
      <c r="C40" s="39"/>
      <c r="D40" s="39"/>
      <c r="E40" s="39"/>
      <c r="F40" s="45"/>
      <c r="G40" s="39"/>
      <c r="H40" s="127"/>
      <c r="I40" s="39"/>
      <c r="J40" s="39"/>
      <c r="K40" s="45"/>
      <c r="L40" s="42"/>
      <c r="M40" s="42"/>
      <c r="N40" s="42"/>
      <c r="O40" s="43"/>
    </row>
    <row r="41" spans="2:16">
      <c r="B41" s="38" t="s">
        <v>48</v>
      </c>
      <c r="C41" s="40"/>
      <c r="D41" s="39"/>
      <c r="E41" s="39"/>
      <c r="F41" s="97">
        <v>2028</v>
      </c>
      <c r="G41" s="40"/>
      <c r="H41" s="125" t="s">
        <v>49</v>
      </c>
      <c r="I41" s="39"/>
      <c r="J41" s="39"/>
      <c r="K41" s="86">
        <f>F24+100-F41</f>
        <v>43</v>
      </c>
      <c r="L41" s="41"/>
      <c r="M41" s="41"/>
      <c r="N41" s="42"/>
      <c r="O41" s="43"/>
    </row>
    <row r="42" spans="2:16">
      <c r="B42" s="44"/>
      <c r="C42" s="39"/>
      <c r="D42" s="39"/>
      <c r="E42" s="39"/>
      <c r="F42" s="39"/>
      <c r="G42" s="53"/>
      <c r="H42" s="127" t="s">
        <v>50</v>
      </c>
      <c r="I42" s="39"/>
      <c r="J42" s="39"/>
      <c r="K42" s="45">
        <f>F41+K41</f>
        <v>2071</v>
      </c>
      <c r="L42" s="42"/>
      <c r="M42" s="42"/>
      <c r="N42" s="42"/>
      <c r="O42" s="43"/>
    </row>
    <row r="43" spans="2:16">
      <c r="B43" s="47"/>
      <c r="C43" s="42"/>
      <c r="D43" s="42"/>
      <c r="E43" s="42"/>
      <c r="F43" s="42"/>
      <c r="G43" s="53"/>
      <c r="H43" s="127"/>
      <c r="I43" s="39"/>
      <c r="J43" s="39"/>
      <c r="K43" s="45"/>
      <c r="L43" s="42"/>
      <c r="M43" s="42"/>
      <c r="N43" s="42"/>
      <c r="O43" s="43"/>
    </row>
    <row r="44" spans="2:16">
      <c r="B44" s="47"/>
      <c r="C44" s="42"/>
      <c r="D44" s="42"/>
      <c r="E44" s="42"/>
      <c r="F44" s="42"/>
      <c r="G44" s="129"/>
      <c r="H44" s="125" t="s">
        <v>51</v>
      </c>
      <c r="I44" s="48"/>
      <c r="J44" s="48"/>
      <c r="K44" s="98">
        <v>2.5000000000000001E-2</v>
      </c>
      <c r="L44" s="48"/>
      <c r="M44" s="48"/>
      <c r="N44" s="48"/>
      <c r="O44" s="43"/>
    </row>
    <row r="45" spans="2:16" ht="15" thickBot="1">
      <c r="B45" s="49"/>
      <c r="C45" s="64"/>
      <c r="D45" s="50"/>
      <c r="E45" s="50"/>
      <c r="F45" s="50"/>
      <c r="G45" s="130"/>
      <c r="H45" s="128"/>
      <c r="I45" s="51"/>
      <c r="J45" s="50"/>
      <c r="K45" s="50"/>
      <c r="L45" s="50"/>
      <c r="M45" s="50"/>
      <c r="N45" s="50"/>
      <c r="O45" s="52"/>
      <c r="P45" s="1"/>
    </row>
    <row r="46" spans="2:1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>
      <c r="B47" s="108" t="s">
        <v>52</v>
      </c>
      <c r="C47" s="109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1"/>
      <c r="P47" s="106"/>
    </row>
    <row r="48" spans="2:16" ht="28.9" customHeight="1">
      <c r="B48" s="157" t="s">
        <v>53</v>
      </c>
      <c r="C48" s="158" t="s">
        <v>54</v>
      </c>
      <c r="D48" s="66" t="str">
        <f>'Berekening MJOP+LTP'!K28</f>
        <v>Omschrijving</v>
      </c>
      <c r="E48" s="66"/>
      <c r="F48" s="67"/>
      <c r="G48" s="68"/>
      <c r="H48" s="145" t="s">
        <v>55</v>
      </c>
      <c r="I48" s="68"/>
      <c r="J48" s="68">
        <v>2017</v>
      </c>
      <c r="K48" s="69" t="str">
        <f>'Berekening MJOP+LTP'!W28</f>
        <v>uitvoering</v>
      </c>
      <c r="L48" s="69" t="str">
        <f>'Berekening MJOP+LTP'!T28</f>
        <v>kosten</v>
      </c>
      <c r="M48" s="69" t="str">
        <f>'Berekening MJOP+LTP'!Y28</f>
        <v>Σ NCW</v>
      </c>
      <c r="N48" s="236" t="str">
        <f>'Berekening MJOP+LTP'!AA28</f>
        <v>TVP duur</v>
      </c>
      <c r="O48" s="124" t="s">
        <v>56</v>
      </c>
      <c r="P48" s="226"/>
    </row>
    <row r="49" spans="2:16">
      <c r="B49" s="103">
        <f>'Berekening MJOP+LTP'!B31</f>
        <v>3</v>
      </c>
      <c r="C49" s="65" t="str">
        <f>'Berekening MJOP+LTP'!D31</f>
        <v>nvt</v>
      </c>
      <c r="D49" s="67" t="str">
        <f>'Berekening MJOP+LTP'!O31</f>
        <v>PGO-contract (service provider)</v>
      </c>
      <c r="E49" s="67"/>
      <c r="F49" s="67"/>
      <c r="G49" s="68"/>
      <c r="H49" s="68"/>
      <c r="I49" s="68"/>
      <c r="J49" s="68"/>
      <c r="K49" s="69"/>
      <c r="L49" s="63">
        <f>'Berekening MJOP+LTP'!T33</f>
        <v>6500</v>
      </c>
      <c r="M49" s="63">
        <f>'Berekening MJOP+LTP'!Y33</f>
        <v>6403.5710426315018</v>
      </c>
      <c r="N49" s="237"/>
      <c r="O49" s="246">
        <f>'Berekening MJOP+LTP'!AC33</f>
        <v>731.6641072480279</v>
      </c>
      <c r="P49" s="226"/>
    </row>
    <row r="50" spans="2:16">
      <c r="B50" s="103">
        <f>'Berekening MJOP+LTP'!B35</f>
        <v>2</v>
      </c>
      <c r="C50" s="65" t="str">
        <f>'Berekening MJOP+LTP'!D35</f>
        <v>nvt</v>
      </c>
      <c r="D50" s="67" t="str">
        <f>'Berekening MJOP+LTP'!O35</f>
        <v>advieswerk IB tbv productie plan</v>
      </c>
      <c r="E50" s="67"/>
      <c r="F50" s="67"/>
      <c r="G50" s="68"/>
      <c r="H50" s="68"/>
      <c r="I50" s="68"/>
      <c r="J50" s="68"/>
      <c r="K50" s="69"/>
      <c r="L50" s="63">
        <f>'Berekening MJOP+LTP'!T36</f>
        <v>5000</v>
      </c>
      <c r="M50" s="63">
        <f>'Berekening MJOP+LTP'!Y36</f>
        <v>3905.9920086286352</v>
      </c>
      <c r="N50" s="237"/>
      <c r="O50" s="246">
        <f>'Berekening MJOP+LTP'!AC36</f>
        <v>446.29381588570288</v>
      </c>
      <c r="P50" s="226"/>
    </row>
    <row r="51" spans="2:16">
      <c r="B51" s="103">
        <f>'Berekening MJOP+LTP'!B38</f>
        <v>2</v>
      </c>
      <c r="C51" s="65">
        <f>'Berekening MJOP+LTP'!D38</f>
        <v>1</v>
      </c>
      <c r="D51" s="139" t="str">
        <f>'Berekening MJOP+LTP'!K38</f>
        <v>globale beschouwing constructieve veiligheid</v>
      </c>
      <c r="E51" s="182"/>
      <c r="F51" s="30"/>
      <c r="G51" s="34"/>
      <c r="H51" s="34"/>
      <c r="I51" s="34"/>
      <c r="J51" s="34"/>
      <c r="K51" s="86">
        <v>2021</v>
      </c>
      <c r="L51" s="63">
        <f>'Berekening MJOP+LTP'!T38</f>
        <v>5000</v>
      </c>
      <c r="M51" s="63">
        <f>'Berekening MJOP+LTP'!Y38</f>
        <v>4642.9970545987444</v>
      </c>
      <c r="N51" s="60">
        <f>'Berekening MJOP+LTP'!AA38</f>
        <v>0</v>
      </c>
      <c r="O51" s="247">
        <f>'Berekening MJOP+LTP'!AC38</f>
        <v>530.50310089355912</v>
      </c>
      <c r="P51" s="227"/>
    </row>
    <row r="52" spans="2:16">
      <c r="B52" s="103">
        <f>'Berekening MJOP+LTP'!B39</f>
        <v>1</v>
      </c>
      <c r="C52" s="65">
        <f>'Berekening MJOP+LTP'!D39</f>
        <v>2</v>
      </c>
      <c r="D52" s="139" t="str">
        <f>'Berekening MJOP+LTP'!K39</f>
        <v>aanbrengen hoogtebeperkingsborden Markkade h=4,3m</v>
      </c>
      <c r="E52" s="182"/>
      <c r="F52" s="30"/>
      <c r="G52" s="34"/>
      <c r="H52" s="34"/>
      <c r="I52" s="34"/>
      <c r="J52" s="34"/>
      <c r="K52" s="86">
        <v>2020</v>
      </c>
      <c r="L52" s="63">
        <f>'Berekening MJOP+LTP'!T39</f>
        <v>1770</v>
      </c>
      <c r="M52" s="63">
        <f>'Berekening MJOP+LTP'!Y39</f>
        <v>1684.7114812611542</v>
      </c>
      <c r="N52" s="60">
        <f>'Berekening MJOP+LTP'!AA39</f>
        <v>0</v>
      </c>
      <c r="O52" s="247">
        <f>'Berekening MJOP+LTP'!AC39</f>
        <v>192.49305015922792</v>
      </c>
      <c r="P52" s="227"/>
    </row>
    <row r="53" spans="2:16">
      <c r="B53" s="103">
        <f>'Berekening MJOP+LTP'!B40</f>
        <v>1</v>
      </c>
      <c r="C53" s="65">
        <f>'Berekening MJOP+LTP'!D40</f>
        <v>3</v>
      </c>
      <c r="D53" s="139" t="str">
        <f>'Berekening MJOP+LTP'!K40</f>
        <v>aanbrengen taludbekleding onder lekkende dilatatievoegen tpv overgang spoordek-landhoofd/baan</v>
      </c>
      <c r="E53" s="182"/>
      <c r="F53" s="30"/>
      <c r="G53" s="34"/>
      <c r="H53" s="34"/>
      <c r="I53" s="34"/>
      <c r="J53" s="34"/>
      <c r="K53" s="86">
        <v>2020</v>
      </c>
      <c r="L53" s="63">
        <f>'Berekening MJOP+LTP'!T40</f>
        <v>4248</v>
      </c>
      <c r="M53" s="63">
        <f>'Berekening MJOP+LTP'!Y40</f>
        <v>4043.3075550267699</v>
      </c>
      <c r="N53" s="60">
        <f>'Berekening MJOP+LTP'!AA40</f>
        <v>0</v>
      </c>
      <c r="O53" s="247">
        <f>'Berekening MJOP+LTP'!AC40</f>
        <v>461.98332038214699</v>
      </c>
      <c r="P53" s="227"/>
    </row>
    <row r="54" spans="2:16">
      <c r="B54" s="103">
        <f>'Berekening MJOP+LTP'!B41</f>
        <v>0</v>
      </c>
      <c r="C54" s="65">
        <f>'Berekening MJOP+LTP'!D41</f>
        <v>4</v>
      </c>
      <c r="D54" s="139">
        <f>'Berekening MJOP+LTP'!K41</f>
        <v>0</v>
      </c>
      <c r="E54" s="182"/>
      <c r="F54" s="30"/>
      <c r="G54" s="34"/>
      <c r="H54" s="34"/>
      <c r="I54" s="34"/>
      <c r="J54" s="34"/>
      <c r="K54" s="86"/>
      <c r="L54" s="63">
        <f>'Berekening MJOP+LTP'!T41</f>
        <v>0</v>
      </c>
      <c r="M54" s="63">
        <f>'Berekening MJOP+LTP'!Y41</f>
        <v>0</v>
      </c>
      <c r="N54" s="60">
        <f>'Berekening MJOP+LTP'!AA41</f>
        <v>0</v>
      </c>
      <c r="O54" s="247">
        <f>'Berekening MJOP+LTP'!AC41</f>
        <v>0</v>
      </c>
      <c r="P54" s="227"/>
    </row>
    <row r="55" spans="2:16">
      <c r="B55" s="103">
        <f>'Berekening MJOP+LTP'!B42</f>
        <v>0</v>
      </c>
      <c r="C55" s="65">
        <f>'Berekening MJOP+LTP'!D42</f>
        <v>5</v>
      </c>
      <c r="D55" s="139">
        <f>'Berekening MJOP+LTP'!K42</f>
        <v>0</v>
      </c>
      <c r="E55" s="182"/>
      <c r="F55" s="30"/>
      <c r="G55" s="34"/>
      <c r="H55" s="34"/>
      <c r="I55" s="34"/>
      <c r="J55" s="34"/>
      <c r="K55" s="86"/>
      <c r="L55" s="63">
        <f>'Berekening MJOP+LTP'!T42</f>
        <v>0</v>
      </c>
      <c r="M55" s="63">
        <f>'Berekening MJOP+LTP'!Y42</f>
        <v>0</v>
      </c>
      <c r="N55" s="60">
        <f>'Berekening MJOP+LTP'!AA42</f>
        <v>0</v>
      </c>
      <c r="O55" s="247">
        <f>'Berekening MJOP+LTP'!AC42</f>
        <v>0</v>
      </c>
      <c r="P55" s="227"/>
    </row>
    <row r="56" spans="2:16">
      <c r="B56" s="103">
        <f>'Berekening MJOP+LTP'!B43</f>
        <v>0</v>
      </c>
      <c r="C56" s="65">
        <f>'Berekening MJOP+LTP'!D43</f>
        <v>6</v>
      </c>
      <c r="D56" s="139">
        <f>'Berekening MJOP+LTP'!K43</f>
        <v>0</v>
      </c>
      <c r="E56" s="182"/>
      <c r="F56" s="30"/>
      <c r="G56" s="34"/>
      <c r="H56" s="34"/>
      <c r="I56" s="34"/>
      <c r="J56" s="34"/>
      <c r="K56" s="86"/>
      <c r="L56" s="63">
        <f>'Berekening MJOP+LTP'!T43</f>
        <v>0</v>
      </c>
      <c r="M56" s="63">
        <f>'Berekening MJOP+LTP'!Y43</f>
        <v>0</v>
      </c>
      <c r="N56" s="60">
        <f>'Berekening MJOP+LTP'!AA43</f>
        <v>0</v>
      </c>
      <c r="O56" s="247">
        <f>'Berekening MJOP+LTP'!AC43</f>
        <v>0</v>
      </c>
      <c r="P56" s="227"/>
    </row>
    <row r="57" spans="2:16">
      <c r="B57" s="103">
        <f>'Berekening MJOP+LTP'!B44</f>
        <v>0</v>
      </c>
      <c r="C57" s="65">
        <f>'Berekening MJOP+LTP'!D44</f>
        <v>7</v>
      </c>
      <c r="D57" s="139">
        <f>'Berekening MJOP+LTP'!K44</f>
        <v>0</v>
      </c>
      <c r="E57" s="182"/>
      <c r="F57" s="30"/>
      <c r="G57" s="34"/>
      <c r="H57" s="34"/>
      <c r="I57" s="34"/>
      <c r="J57" s="34"/>
      <c r="K57" s="151"/>
      <c r="L57" s="148">
        <f>'Berekening MJOP+LTP'!T44</f>
        <v>0</v>
      </c>
      <c r="M57" s="63">
        <f>'Berekening MJOP+LTP'!Y44</f>
        <v>0</v>
      </c>
      <c r="N57" s="60">
        <f>'Berekening MJOP+LTP'!AA44</f>
        <v>0</v>
      </c>
      <c r="O57" s="247">
        <f>'Berekening MJOP+LTP'!AC44</f>
        <v>0</v>
      </c>
      <c r="P57" s="227"/>
    </row>
    <row r="58" spans="2:16">
      <c r="B58" s="115">
        <f>'Berekening MJOP+LTP'!B45</f>
        <v>0</v>
      </c>
      <c r="C58" s="116">
        <f>'Berekening MJOP+LTP'!D45</f>
        <v>8</v>
      </c>
      <c r="D58" s="139">
        <f>'Berekening MJOP+LTP'!K45</f>
        <v>0</v>
      </c>
      <c r="E58" s="182"/>
      <c r="F58" s="30"/>
      <c r="G58" s="55"/>
      <c r="H58" s="55"/>
      <c r="I58" s="55"/>
      <c r="J58" s="55"/>
      <c r="K58" s="152"/>
      <c r="L58" s="149">
        <f>'Berekening MJOP+LTP'!T45</f>
        <v>0</v>
      </c>
      <c r="M58" s="117">
        <f>'Berekening MJOP+LTP'!Y45</f>
        <v>0</v>
      </c>
      <c r="N58" s="118">
        <f>'Berekening MJOP+LTP'!AA45</f>
        <v>0</v>
      </c>
      <c r="O58" s="248">
        <f>'Berekening MJOP+LTP'!AC45</f>
        <v>0</v>
      </c>
      <c r="P58" s="227"/>
    </row>
    <row r="59" spans="2:16" ht="15" thickBot="1">
      <c r="B59" s="119">
        <f>'Berekening MJOP+LTP'!B46</f>
        <v>1</v>
      </c>
      <c r="C59" s="120" t="str">
        <f>'Berekening MJOP+LTP'!D46</f>
        <v>nvt</v>
      </c>
      <c r="D59" s="54" t="str">
        <f>'Berekening MJOP+LTP'!K46</f>
        <v>vervangingskosten (incl. sloop bestaand)</v>
      </c>
      <c r="E59" s="54"/>
      <c r="F59" s="54"/>
      <c r="G59" s="55"/>
      <c r="H59" s="121" t="s">
        <v>57</v>
      </c>
      <c r="I59" s="121"/>
      <c r="J59" s="55">
        <f>F24+100</f>
        <v>2071</v>
      </c>
      <c r="K59" s="153">
        <v>2071</v>
      </c>
      <c r="L59" s="150">
        <f>'Berekening MJOP+LTP'!T46</f>
        <v>26457393.600000001</v>
      </c>
      <c r="M59" s="122">
        <f>'Berekening MJOP+LTP'!Y46</f>
        <v>0</v>
      </c>
      <c r="N59" s="123">
        <f>'Berekening MJOP+LTP'!AA46</f>
        <v>208</v>
      </c>
      <c r="O59" s="249">
        <f>'Berekening MJOP+LTP'!AC46</f>
        <v>0</v>
      </c>
      <c r="P59" s="228"/>
    </row>
    <row r="60" spans="2:16">
      <c r="B60" s="201" t="s">
        <v>58</v>
      </c>
      <c r="C60" s="183"/>
      <c r="D60" s="202"/>
      <c r="E60" s="202"/>
      <c r="F60" s="183"/>
      <c r="G60" s="184" t="s">
        <v>59</v>
      </c>
      <c r="H60" s="185">
        <f>F37</f>
        <v>2018</v>
      </c>
      <c r="I60" s="203" t="s">
        <v>60</v>
      </c>
      <c r="J60" s="186">
        <f>K38</f>
        <v>2028</v>
      </c>
      <c r="K60" s="187"/>
      <c r="L60" s="204">
        <f t="shared" ref="L60:O61" si="0">L49</f>
        <v>6500</v>
      </c>
      <c r="M60" s="204">
        <f t="shared" si="0"/>
        <v>6403.5710426315018</v>
      </c>
      <c r="N60" s="238">
        <f t="shared" si="0"/>
        <v>0</v>
      </c>
      <c r="O60" s="250">
        <f t="shared" si="0"/>
        <v>731.6641072480279</v>
      </c>
      <c r="P60" s="229"/>
    </row>
    <row r="61" spans="2:16">
      <c r="B61" s="205" t="s">
        <v>61</v>
      </c>
      <c r="C61" s="188"/>
      <c r="D61" s="206"/>
      <c r="E61" s="206"/>
      <c r="F61" s="188"/>
      <c r="G61" s="189" t="s">
        <v>59</v>
      </c>
      <c r="H61" s="190">
        <f>F37</f>
        <v>2018</v>
      </c>
      <c r="I61" s="207" t="s">
        <v>60</v>
      </c>
      <c r="J61" s="191">
        <f>K38</f>
        <v>2028</v>
      </c>
      <c r="K61" s="192"/>
      <c r="L61" s="208">
        <f t="shared" si="0"/>
        <v>5000</v>
      </c>
      <c r="M61" s="208">
        <f t="shared" si="0"/>
        <v>3905.9920086286352</v>
      </c>
      <c r="N61" s="239">
        <f t="shared" si="0"/>
        <v>0</v>
      </c>
      <c r="O61" s="251">
        <f t="shared" si="0"/>
        <v>446.29381588570288</v>
      </c>
      <c r="P61" s="229"/>
    </row>
    <row r="62" spans="2:16">
      <c r="B62" s="205" t="s">
        <v>62</v>
      </c>
      <c r="C62" s="188"/>
      <c r="D62" s="206"/>
      <c r="E62" s="206"/>
      <c r="F62" s="188"/>
      <c r="G62" s="189" t="s">
        <v>59</v>
      </c>
      <c r="H62" s="190">
        <f>F37</f>
        <v>2018</v>
      </c>
      <c r="I62" s="207" t="s">
        <v>60</v>
      </c>
      <c r="J62" s="191">
        <f>K38</f>
        <v>2028</v>
      </c>
      <c r="K62" s="192"/>
      <c r="L62" s="208">
        <f>SUMIF(B51:B58,2,L51:L58)</f>
        <v>5000</v>
      </c>
      <c r="M62" s="208">
        <f>SUMIF(B51:B58,2,M51:M58)</f>
        <v>4642.9970545987444</v>
      </c>
      <c r="N62" s="239">
        <f>SUMIF(B51:B58,2,N51:N58)</f>
        <v>0</v>
      </c>
      <c r="O62" s="251">
        <f>SUMIF(B51:B58,2,O51:O58)</f>
        <v>530.50310089355912</v>
      </c>
      <c r="P62" s="229"/>
    </row>
    <row r="63" spans="2:16">
      <c r="B63" s="205" t="s">
        <v>63</v>
      </c>
      <c r="C63" s="188"/>
      <c r="D63" s="206"/>
      <c r="E63" s="206"/>
      <c r="F63" s="188"/>
      <c r="G63" s="189" t="s">
        <v>59</v>
      </c>
      <c r="H63" s="190">
        <f>F37</f>
        <v>2018</v>
      </c>
      <c r="I63" s="207" t="s">
        <v>60</v>
      </c>
      <c r="J63" s="191">
        <f>K38</f>
        <v>2028</v>
      </c>
      <c r="K63" s="192"/>
      <c r="L63" s="208">
        <f>SUMIF(B51:B58,1,L51:L58)</f>
        <v>6018</v>
      </c>
      <c r="M63" s="208">
        <f>SUMIF(B51:B58,1,M51:M58)</f>
        <v>5728.0190362879239</v>
      </c>
      <c r="N63" s="239">
        <f>SUMIF(B51:B58,1,N51:N58)</f>
        <v>0</v>
      </c>
      <c r="O63" s="251">
        <f>SUMIF(B51:B58,1,O51:O58)</f>
        <v>654.47637054137488</v>
      </c>
      <c r="P63" s="229"/>
    </row>
    <row r="64" spans="2:16">
      <c r="B64" s="205" t="s">
        <v>64</v>
      </c>
      <c r="C64" s="188"/>
      <c r="D64" s="206"/>
      <c r="E64" s="206"/>
      <c r="F64" s="188"/>
      <c r="G64" s="189" t="s">
        <v>59</v>
      </c>
      <c r="H64" s="190">
        <f>F37</f>
        <v>2018</v>
      </c>
      <c r="I64" s="207" t="s">
        <v>60</v>
      </c>
      <c r="J64" s="191">
        <f>K38</f>
        <v>2028</v>
      </c>
      <c r="K64" s="192"/>
      <c r="L64" s="208">
        <f>SUM(L51:L58)</f>
        <v>11018</v>
      </c>
      <c r="M64" s="208">
        <f>SUM(M51:M58)</f>
        <v>10371.016090886669</v>
      </c>
      <c r="N64" s="239">
        <f>SUM(N51:N58)</f>
        <v>0</v>
      </c>
      <c r="O64" s="251">
        <f>SUM(O51:O58)</f>
        <v>1184.9794714349341</v>
      </c>
      <c r="P64" s="229"/>
    </row>
    <row r="65" spans="2:16">
      <c r="B65" s="205" t="s">
        <v>65</v>
      </c>
      <c r="C65" s="188"/>
      <c r="D65" s="206"/>
      <c r="E65" s="206"/>
      <c r="F65" s="188"/>
      <c r="G65" s="199" t="s">
        <v>66</v>
      </c>
      <c r="H65" s="190"/>
      <c r="I65" s="207"/>
      <c r="J65" s="191"/>
      <c r="K65" s="218">
        <f>K59</f>
        <v>2071</v>
      </c>
      <c r="L65" s="208">
        <f>L59</f>
        <v>26457393.600000001</v>
      </c>
      <c r="M65" s="208">
        <f>M59</f>
        <v>0</v>
      </c>
      <c r="N65" s="240">
        <f>N59</f>
        <v>208</v>
      </c>
      <c r="O65" s="251">
        <f>O59</f>
        <v>0</v>
      </c>
      <c r="P65" s="230"/>
    </row>
    <row r="66" spans="2:16" ht="15" thickBot="1">
      <c r="B66" s="209" t="s">
        <v>67</v>
      </c>
      <c r="C66" s="193"/>
      <c r="D66" s="210"/>
      <c r="E66" s="210"/>
      <c r="F66" s="193"/>
      <c r="G66" s="194" t="s">
        <v>59</v>
      </c>
      <c r="H66" s="195">
        <f>F37</f>
        <v>2018</v>
      </c>
      <c r="I66" s="211" t="s">
        <v>60</v>
      </c>
      <c r="J66" s="196">
        <f>K38</f>
        <v>2028</v>
      </c>
      <c r="K66" s="197"/>
      <c r="L66" s="212">
        <f>SUM(L49:L59)</f>
        <v>26479911.600000001</v>
      </c>
      <c r="M66" s="212">
        <f>SUM(M49:M59)</f>
        <v>20680.579142146806</v>
      </c>
      <c r="N66" s="241">
        <f>SUM(N49:N59)</f>
        <v>208</v>
      </c>
      <c r="O66" s="252">
        <f>SUM(O49:O59)</f>
        <v>2362.9373945686648</v>
      </c>
      <c r="P66" s="230"/>
    </row>
    <row r="67" spans="2:16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>
      <c r="B68" s="108" t="s">
        <v>68</v>
      </c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2"/>
      <c r="O68" s="113"/>
      <c r="P68" s="231"/>
    </row>
    <row r="69" spans="2:16" ht="24">
      <c r="B69" s="159" t="s">
        <v>53</v>
      </c>
      <c r="C69" s="70" t="s">
        <v>69</v>
      </c>
      <c r="D69" s="70"/>
      <c r="E69" s="70"/>
      <c r="F69" s="70"/>
      <c r="G69" s="71"/>
      <c r="H69" s="71"/>
      <c r="I69" s="71"/>
      <c r="J69" s="71"/>
      <c r="K69" s="72" t="str">
        <f>'Berekening MJOP+LTP'!W54</f>
        <v>uitvoering</v>
      </c>
      <c r="L69" s="73" t="str">
        <f>'Berekening MJOP+LTP'!T54</f>
        <v>kosten</v>
      </c>
      <c r="M69" s="73" t="str">
        <f>'Berekening MJOP+LTP'!Y54</f>
        <v>Σ NCW</v>
      </c>
      <c r="N69" s="242" t="s">
        <v>70</v>
      </c>
      <c r="O69" s="124" t="s">
        <v>56</v>
      </c>
      <c r="P69" s="232"/>
    </row>
    <row r="70" spans="2:16">
      <c r="B70" s="99"/>
      <c r="C70" s="58" t="str">
        <f>'Berekening MJOP+LTP'!B57</f>
        <v>Stalen kunstwerk</v>
      </c>
      <c r="D70" s="30"/>
      <c r="E70" s="30"/>
      <c r="F70" s="30"/>
      <c r="G70" s="34"/>
      <c r="H70" s="34"/>
      <c r="I70" s="34"/>
      <c r="J70" s="34"/>
      <c r="K70" s="56"/>
      <c r="L70" s="59"/>
      <c r="M70" s="59"/>
      <c r="N70" s="56"/>
      <c r="O70" s="253"/>
      <c r="P70" s="161"/>
    </row>
    <row r="71" spans="2:16">
      <c r="B71" s="100">
        <f>'Berekening MJOP+LTP'!B58</f>
        <v>3</v>
      </c>
      <c r="C71" s="30"/>
      <c r="D71" s="102" t="str">
        <f>'Berekening MJOP+LTP'!B74</f>
        <v>totaal klein cyclisch onderhoud</v>
      </c>
      <c r="E71" s="102"/>
      <c r="F71" s="30"/>
      <c r="G71" s="34"/>
      <c r="H71" s="34"/>
      <c r="I71" s="34"/>
      <c r="J71" s="34"/>
      <c r="K71" s="56"/>
      <c r="L71" s="57"/>
      <c r="M71" s="63">
        <f>'Berekening MJOP+LTP'!Y74</f>
        <v>0</v>
      </c>
      <c r="N71" s="60">
        <f>'Berekening MJOP+LTP'!AA74</f>
        <v>0</v>
      </c>
      <c r="O71" s="253">
        <f>'Berekening MJOP+LTP'!AC74</f>
        <v>0</v>
      </c>
      <c r="P71" s="227"/>
    </row>
    <row r="72" spans="2:16">
      <c r="B72" s="100">
        <f>'Berekening MJOP+LTP'!B80</f>
        <v>1</v>
      </c>
      <c r="C72" s="30"/>
      <c r="D72" s="30" t="str">
        <f>'Berekening MJOP+LTP'!B95</f>
        <v>totaal groot cyclisch onderhoud</v>
      </c>
      <c r="E72" s="30"/>
      <c r="F72" s="30"/>
      <c r="G72" s="34"/>
      <c r="H72" s="34"/>
      <c r="I72" s="34"/>
      <c r="J72" s="34"/>
      <c r="K72" s="60"/>
      <c r="L72" s="57"/>
      <c r="M72" s="63">
        <f>'Berekening MJOP+LTP'!Y95</f>
        <v>0</v>
      </c>
      <c r="N72" s="60">
        <f>'Berekening MJOP+LTP'!AA95</f>
        <v>0</v>
      </c>
      <c r="O72" s="253">
        <f>'Berekening MJOP+LTP'!AC95</f>
        <v>0</v>
      </c>
      <c r="P72" s="227"/>
    </row>
    <row r="73" spans="2:16">
      <c r="B73" s="100">
        <f>'Berekening MJOP+LTP'!B97</f>
        <v>1</v>
      </c>
      <c r="C73" s="30"/>
      <c r="D73" s="30" t="str">
        <f>'Berekening MJOP+LTP'!B105</f>
        <v>totaal vervanging</v>
      </c>
      <c r="E73" s="30"/>
      <c r="F73" s="30"/>
      <c r="G73" s="34"/>
      <c r="H73" s="140" t="s">
        <v>57</v>
      </c>
      <c r="I73" s="34"/>
      <c r="J73" s="34">
        <f>F24+100</f>
        <v>2071</v>
      </c>
      <c r="K73" s="85"/>
      <c r="L73" s="63">
        <f>'Berekening MJOP+LTP'!T105</f>
        <v>0</v>
      </c>
      <c r="M73" s="63">
        <f>'Berekening MJOP+LTP'!Y105</f>
        <v>0</v>
      </c>
      <c r="N73" s="60">
        <f>'Berekening MJOP+LTP'!AA97</f>
        <v>0</v>
      </c>
      <c r="O73" s="253">
        <f>'Berekening MJOP+LTP'!AC105</f>
        <v>0</v>
      </c>
      <c r="P73" s="227"/>
    </row>
    <row r="74" spans="2:16">
      <c r="B74" s="99"/>
      <c r="C74" s="58" t="str">
        <f>'Berekening MJOP+LTP'!B108</f>
        <v>Betonnen kunstwerk</v>
      </c>
      <c r="D74" s="30"/>
      <c r="E74" s="30"/>
      <c r="F74" s="30"/>
      <c r="G74" s="34"/>
      <c r="H74" s="34"/>
      <c r="I74" s="34"/>
      <c r="J74" s="34"/>
      <c r="K74" s="56"/>
      <c r="L74" s="59"/>
      <c r="M74" s="63"/>
      <c r="N74" s="60"/>
      <c r="O74" s="253">
        <f>'Berekening MJOP+LTP'!AA145</f>
        <v>0</v>
      </c>
      <c r="P74" s="227"/>
    </row>
    <row r="75" spans="2:16">
      <c r="B75" s="100">
        <f>'Berekening MJOP+LTP'!B109</f>
        <v>3</v>
      </c>
      <c r="C75" s="30"/>
      <c r="D75" s="30" t="str">
        <f>'Berekening MJOP+LTP'!B125</f>
        <v>totaal klein cyclisch onderhoud</v>
      </c>
      <c r="E75" s="30"/>
      <c r="F75" s="30"/>
      <c r="G75" s="34"/>
      <c r="H75" s="34"/>
      <c r="I75" s="34"/>
      <c r="J75" s="34"/>
      <c r="K75" s="60"/>
      <c r="L75" s="57"/>
      <c r="M75" s="63">
        <f>'Berekening MJOP+LTP'!Y125</f>
        <v>450878.35943290923</v>
      </c>
      <c r="N75" s="60">
        <f>'Berekening MJOP+LTP'!AA125</f>
        <v>0</v>
      </c>
      <c r="O75" s="253">
        <f>'Berekening MJOP+LTP'!AC125</f>
        <v>17231.16562300015</v>
      </c>
      <c r="P75" s="227"/>
    </row>
    <row r="76" spans="2:16">
      <c r="B76" s="100">
        <f>'Berekening MJOP+LTP'!B131</f>
        <v>1</v>
      </c>
      <c r="C76" s="30"/>
      <c r="D76" s="30" t="str">
        <f>'Berekening MJOP+LTP'!B147</f>
        <v>totaal groot cyclisch onderhoud</v>
      </c>
      <c r="E76" s="30"/>
      <c r="F76" s="30"/>
      <c r="G76" s="34"/>
      <c r="H76" s="34"/>
      <c r="I76" s="34"/>
      <c r="J76" s="34"/>
      <c r="K76" s="60"/>
      <c r="L76" s="57"/>
      <c r="M76" s="63">
        <f>'Berekening MJOP+LTP'!Y147</f>
        <v>28195.992629658158</v>
      </c>
      <c r="N76" s="60">
        <f>'Berekening MJOP+LTP'!AA147</f>
        <v>0</v>
      </c>
      <c r="O76" s="253">
        <f>'Berekening MJOP+LTP'!AC147</f>
        <v>1077.5629584830979</v>
      </c>
      <c r="P76" s="227"/>
    </row>
    <row r="77" spans="2:16">
      <c r="B77" s="100">
        <f>'Berekening MJOP+LTP'!B149</f>
        <v>1</v>
      </c>
      <c r="C77" s="30"/>
      <c r="D77" s="30" t="str">
        <f>'Berekening MJOP+LTP'!B154</f>
        <v>totaal vervanging</v>
      </c>
      <c r="E77" s="30"/>
      <c r="F77" s="30"/>
      <c r="G77" s="34"/>
      <c r="H77" s="140" t="s">
        <v>57</v>
      </c>
      <c r="I77" s="34"/>
      <c r="J77" s="34">
        <f>F24+100</f>
        <v>2071</v>
      </c>
      <c r="K77" s="85">
        <v>2071</v>
      </c>
      <c r="L77" s="63">
        <f>'Berekening MJOP+LTP'!T154</f>
        <v>23451168</v>
      </c>
      <c r="M77" s="63">
        <f>'Berekening MJOP+LTP'!Y154</f>
        <v>8110325.1545922095</v>
      </c>
      <c r="N77" s="60">
        <f>'Berekening MJOP+LTP'!AA149</f>
        <v>104</v>
      </c>
      <c r="O77" s="253">
        <f>'Berekening MJOP+LTP'!AC154</f>
        <v>309951.34956340154</v>
      </c>
      <c r="P77" s="227"/>
    </row>
    <row r="78" spans="2:16">
      <c r="B78" s="99"/>
      <c r="C78" s="58" t="str">
        <f>'Berekening MJOP+LTP'!B157</f>
        <v>Metselwerk kunstwerk</v>
      </c>
      <c r="D78" s="30"/>
      <c r="E78" s="30"/>
      <c r="F78" s="30"/>
      <c r="G78" s="34"/>
      <c r="H78" s="34"/>
      <c r="I78" s="34"/>
      <c r="J78" s="34"/>
      <c r="K78" s="56"/>
      <c r="L78" s="59"/>
      <c r="M78" s="63"/>
      <c r="N78" s="60"/>
      <c r="O78" s="253">
        <f>'Berekening MJOP+LTP'!AA196</f>
        <v>0</v>
      </c>
      <c r="P78" s="227"/>
    </row>
    <row r="79" spans="2:16">
      <c r="B79" s="100">
        <f>'Berekening MJOP+LTP'!B158</f>
        <v>3</v>
      </c>
      <c r="C79" s="30"/>
      <c r="D79" s="30" t="str">
        <f>'Berekening MJOP+LTP'!B173</f>
        <v>totaal klein cyclisch onderhoud</v>
      </c>
      <c r="E79" s="30"/>
      <c r="F79" s="30"/>
      <c r="G79" s="34"/>
      <c r="H79" s="34"/>
      <c r="I79" s="34"/>
      <c r="J79" s="34"/>
      <c r="K79" s="60"/>
      <c r="L79" s="57"/>
      <c r="M79" s="63">
        <f>'Berekening MJOP+LTP'!Y172</f>
        <v>0</v>
      </c>
      <c r="N79" s="60">
        <f>'Berekening MJOP+LTP'!AA172</f>
        <v>0</v>
      </c>
      <c r="O79" s="253">
        <f>'Berekening MJOP+LTP'!AC172</f>
        <v>0</v>
      </c>
      <c r="P79" s="227"/>
    </row>
    <row r="80" spans="2:16">
      <c r="B80" s="100">
        <f>'Berekening MJOP+LTP'!B174</f>
        <v>1</v>
      </c>
      <c r="C80" s="30"/>
      <c r="D80" s="30" t="str">
        <f>'Berekening MJOP+LTP'!B185</f>
        <v>totaal groot cyclisch onderhoud</v>
      </c>
      <c r="E80" s="30"/>
      <c r="F80" s="30"/>
      <c r="G80" s="34"/>
      <c r="H80" s="34"/>
      <c r="I80" s="34"/>
      <c r="J80" s="34"/>
      <c r="K80" s="60"/>
      <c r="L80" s="57"/>
      <c r="M80" s="63">
        <f>'Berekening MJOP+LTP'!Y185</f>
        <v>0</v>
      </c>
      <c r="N80" s="60">
        <f>'Berekening MJOP+LTP'!AA185</f>
        <v>0</v>
      </c>
      <c r="O80" s="253">
        <f>'Berekening MJOP+LTP'!AC185</f>
        <v>0</v>
      </c>
      <c r="P80" s="227"/>
    </row>
    <row r="81" spans="2:17">
      <c r="B81" s="100">
        <f>'Berekening MJOP+LTP'!B187</f>
        <v>1</v>
      </c>
      <c r="C81" s="30"/>
      <c r="D81" s="30" t="str">
        <f>'Berekening MJOP+LTP'!B191</f>
        <v>totaal vervanging</v>
      </c>
      <c r="E81" s="30"/>
      <c r="F81" s="30"/>
      <c r="G81" s="34"/>
      <c r="H81" s="140" t="s">
        <v>57</v>
      </c>
      <c r="I81" s="34"/>
      <c r="J81" s="34">
        <f>F24+100</f>
        <v>2071</v>
      </c>
      <c r="K81" s="85"/>
      <c r="L81" s="63">
        <f>'Berekening MJOP+LTP'!Y191</f>
        <v>0</v>
      </c>
      <c r="M81" s="63">
        <f>'Berekening MJOP+LTP'!Y191</f>
        <v>0</v>
      </c>
      <c r="N81" s="60">
        <f>'Berekening MJOP+LTP'!AA187</f>
        <v>0</v>
      </c>
      <c r="O81" s="253">
        <f>'Berekening MJOP+LTP'!AC191</f>
        <v>0</v>
      </c>
      <c r="P81" s="227"/>
    </row>
    <row r="82" spans="2:17">
      <c r="B82" s="99"/>
      <c r="C82" s="58" t="str">
        <f>'Berekening MJOP+LTP'!B194</f>
        <v>Betonnen onderbouw</v>
      </c>
      <c r="D82" s="30"/>
      <c r="E82" s="30"/>
      <c r="F82" s="30"/>
      <c r="G82" s="34"/>
      <c r="H82" s="34"/>
      <c r="I82" s="34"/>
      <c r="J82" s="34"/>
      <c r="K82" s="56"/>
      <c r="L82" s="59"/>
      <c r="M82" s="63"/>
      <c r="N82" s="60"/>
      <c r="O82" s="253"/>
      <c r="P82" s="227"/>
    </row>
    <row r="83" spans="2:17">
      <c r="B83" s="100">
        <f>'Berekening MJOP+LTP'!B195</f>
        <v>3</v>
      </c>
      <c r="C83" s="30"/>
      <c r="D83" s="30" t="str">
        <f>'Berekening MJOP+LTP'!B200</f>
        <v>totaal klein cyclisch onderhoud</v>
      </c>
      <c r="E83" s="30"/>
      <c r="F83" s="30"/>
      <c r="G83" s="34"/>
      <c r="H83" s="34"/>
      <c r="I83" s="34"/>
      <c r="J83" s="34"/>
      <c r="K83" s="60"/>
      <c r="L83" s="57"/>
      <c r="M83" s="63">
        <f>'Berekening MJOP+LTP'!Y199</f>
        <v>68741.614291926569</v>
      </c>
      <c r="N83" s="60">
        <f>'Berekening MJOP+LTP'!AA199</f>
        <v>0</v>
      </c>
      <c r="O83" s="253">
        <f>'Berekening MJOP+LTP'!AC199</f>
        <v>2627.0902479027368</v>
      </c>
      <c r="P83" s="227"/>
    </row>
    <row r="84" spans="2:17">
      <c r="B84" s="100">
        <f>'Berekening MJOP+LTP'!B201</f>
        <v>1</v>
      </c>
      <c r="C84" s="30"/>
      <c r="D84" s="30" t="str">
        <f>'Berekening MJOP+LTP'!B202</f>
        <v>totaal groot cyclisch onderhoud</v>
      </c>
      <c r="E84" s="30"/>
      <c r="F84" s="30"/>
      <c r="G84" s="34"/>
      <c r="H84" s="34"/>
      <c r="I84" s="34"/>
      <c r="J84" s="34"/>
      <c r="K84" s="60"/>
      <c r="L84" s="57"/>
      <c r="M84" s="63">
        <f>'Berekening MJOP+LTP'!Y202</f>
        <v>0</v>
      </c>
      <c r="N84" s="60">
        <f>'Berekening MJOP+LTP'!AA202</f>
        <v>0</v>
      </c>
      <c r="O84" s="253">
        <f>'Berekening MJOP+LTP'!AC202</f>
        <v>0</v>
      </c>
      <c r="P84" s="227"/>
    </row>
    <row r="85" spans="2:17">
      <c r="B85" s="100">
        <f>'Berekening MJOP+LTP'!B204</f>
        <v>1</v>
      </c>
      <c r="C85" s="30"/>
      <c r="D85" s="30" t="str">
        <f>'Berekening MJOP+LTP'!B208</f>
        <v>totaal vervanging</v>
      </c>
      <c r="E85" s="30"/>
      <c r="F85" s="30"/>
      <c r="G85" s="34"/>
      <c r="H85" s="140" t="s">
        <v>57</v>
      </c>
      <c r="I85" s="34"/>
      <c r="J85" s="34">
        <f>F25+100</f>
        <v>2071</v>
      </c>
      <c r="K85" s="85">
        <v>2071</v>
      </c>
      <c r="L85" s="63">
        <f>'Berekening MJOP+LTP'!T208</f>
        <v>3018063.36</v>
      </c>
      <c r="M85" s="63">
        <f>'Berekening MJOP+LTP'!Y208</f>
        <v>1043763.5851127364</v>
      </c>
      <c r="N85" s="60">
        <f>'Berekening MJOP+LTP'!AA204</f>
        <v>104</v>
      </c>
      <c r="O85" s="253">
        <f>'Berekening MJOP+LTP'!AC208</f>
        <v>39889.39107424645</v>
      </c>
      <c r="P85" s="227"/>
    </row>
    <row r="86" spans="2:17">
      <c r="B86" s="99"/>
      <c r="C86" s="58" t="str">
        <f>'Berekening MJOP+LTP'!B211</f>
        <v>Metselwerk onderbouw</v>
      </c>
      <c r="D86" s="30"/>
      <c r="E86" s="30"/>
      <c r="F86" s="30"/>
      <c r="G86" s="34"/>
      <c r="H86" s="34"/>
      <c r="I86" s="34"/>
      <c r="J86" s="34"/>
      <c r="K86" s="56"/>
      <c r="L86" s="59"/>
      <c r="M86" s="63"/>
      <c r="N86" s="60"/>
      <c r="O86" s="253"/>
      <c r="P86" s="227"/>
    </row>
    <row r="87" spans="2:17">
      <c r="B87" s="100">
        <f>'Berekening MJOP+LTP'!B212</f>
        <v>3</v>
      </c>
      <c r="C87" s="30"/>
      <c r="D87" s="30" t="str">
        <f>'Berekening MJOP+LTP'!B217</f>
        <v>totaal klein cyclisch onderhoud</v>
      </c>
      <c r="E87" s="30"/>
      <c r="F87" s="30"/>
      <c r="G87" s="34"/>
      <c r="H87" s="34"/>
      <c r="I87" s="34"/>
      <c r="J87" s="34"/>
      <c r="K87" s="60"/>
      <c r="L87" s="57"/>
      <c r="M87" s="63">
        <f>'Berekening MJOP+LTP'!Y216</f>
        <v>0</v>
      </c>
      <c r="N87" s="60">
        <f>'Berekening MJOP+LTP'!AA216</f>
        <v>0</v>
      </c>
      <c r="O87" s="253">
        <f>'Berekening MJOP+LTP'!AC216</f>
        <v>0</v>
      </c>
      <c r="P87" s="227"/>
    </row>
    <row r="88" spans="2:17">
      <c r="B88" s="100">
        <f>'Berekening MJOP+LTP'!B218</f>
        <v>1</v>
      </c>
      <c r="C88" s="30"/>
      <c r="D88" s="30" t="str">
        <f>'Berekening MJOP+LTP'!B219</f>
        <v>totaal groot cyclisch onderhoud</v>
      </c>
      <c r="E88" s="30"/>
      <c r="F88" s="30"/>
      <c r="G88" s="34"/>
      <c r="H88" s="34"/>
      <c r="I88" s="34"/>
      <c r="J88" s="34"/>
      <c r="K88" s="60"/>
      <c r="L88" s="57"/>
      <c r="M88" s="63">
        <f>'Berekening MJOP+LTP'!Y219</f>
        <v>0</v>
      </c>
      <c r="N88" s="60">
        <f>'Berekening MJOP+LTP'!AA219</f>
        <v>0</v>
      </c>
      <c r="O88" s="253">
        <f>'Berekening MJOP+LTP'!AC219</f>
        <v>0</v>
      </c>
      <c r="P88" s="227"/>
    </row>
    <row r="89" spans="2:17">
      <c r="B89" s="100">
        <f>'Berekening MJOP+LTP'!B221</f>
        <v>1</v>
      </c>
      <c r="C89" s="30"/>
      <c r="D89" s="30" t="str">
        <f>'Berekening MJOP+LTP'!B225</f>
        <v>Totaal vervanging</v>
      </c>
      <c r="E89" s="30"/>
      <c r="F89" s="30"/>
      <c r="G89" s="34"/>
      <c r="H89" s="140" t="s">
        <v>57</v>
      </c>
      <c r="I89" s="34"/>
      <c r="J89" s="34">
        <f>F25+100</f>
        <v>2071</v>
      </c>
      <c r="K89" s="85"/>
      <c r="L89" s="63">
        <f>'Berekening MJOP+LTP'!T225</f>
        <v>0</v>
      </c>
      <c r="M89" s="63">
        <f>'Berekening MJOP+LTP'!Y225</f>
        <v>0</v>
      </c>
      <c r="N89" s="60">
        <f>'Berekening MJOP+LTP'!AA221</f>
        <v>0</v>
      </c>
      <c r="O89" s="253">
        <f>'Berekening MJOP+LTP'!AC225</f>
        <v>0</v>
      </c>
      <c r="P89" s="227"/>
    </row>
    <row r="90" spans="2:17">
      <c r="B90" s="99"/>
      <c r="C90" s="58" t="str">
        <f>'Berekening MJOP+LTP'!B228</f>
        <v>Madaster (vrijkomende materialen)</v>
      </c>
      <c r="D90" s="30"/>
      <c r="E90" s="30"/>
      <c r="F90" s="30"/>
      <c r="G90" s="34"/>
      <c r="H90" s="34"/>
      <c r="I90" s="34"/>
      <c r="J90" s="34"/>
      <c r="K90" s="56"/>
      <c r="L90" s="59"/>
      <c r="M90" s="63"/>
      <c r="N90" s="56"/>
      <c r="O90" s="253"/>
      <c r="P90" s="161"/>
    </row>
    <row r="91" spans="2:17" ht="15" thickBot="1">
      <c r="B91" s="101"/>
      <c r="C91" s="32"/>
      <c r="D91" s="32" t="str">
        <f>'Berekening MJOP+LTP'!B237</f>
        <v>totaal (opbrengst) madaster</v>
      </c>
      <c r="E91" s="32"/>
      <c r="F91" s="32"/>
      <c r="G91" s="61"/>
      <c r="H91" s="61"/>
      <c r="I91" s="61"/>
      <c r="J91" s="61"/>
      <c r="K91" s="62"/>
      <c r="L91" s="63">
        <f>'Berekening MJOP+LTP'!T237</f>
        <v>-858191.6</v>
      </c>
      <c r="M91" s="63"/>
      <c r="N91" s="243"/>
      <c r="O91" s="254"/>
      <c r="P91" s="233"/>
      <c r="Q91" s="26"/>
    </row>
    <row r="92" spans="2:17">
      <c r="B92" s="201" t="s">
        <v>71</v>
      </c>
      <c r="C92" s="202"/>
      <c r="D92" s="202"/>
      <c r="E92" s="202"/>
      <c r="F92" s="183"/>
      <c r="G92" s="198" t="s">
        <v>72</v>
      </c>
      <c r="H92" s="185">
        <f>F41</f>
        <v>2028</v>
      </c>
      <c r="I92" s="203" t="s">
        <v>60</v>
      </c>
      <c r="J92" s="186">
        <f>K42</f>
        <v>2071</v>
      </c>
      <c r="K92" s="213"/>
      <c r="L92" s="214"/>
      <c r="M92" s="214">
        <f t="shared" ref="M92:O94" si="1">M71+M75+M79+M83+M87</f>
        <v>519619.97372483579</v>
      </c>
      <c r="N92" s="258">
        <f t="shared" si="1"/>
        <v>0</v>
      </c>
      <c r="O92" s="255">
        <f t="shared" si="1"/>
        <v>19858.255870902885</v>
      </c>
      <c r="P92" s="234"/>
    </row>
    <row r="93" spans="2:17">
      <c r="B93" s="205" t="s">
        <v>73</v>
      </c>
      <c r="C93" s="206"/>
      <c r="D93" s="206"/>
      <c r="E93" s="206"/>
      <c r="F93" s="188"/>
      <c r="G93" s="199" t="s">
        <v>72</v>
      </c>
      <c r="H93" s="190">
        <f>F41</f>
        <v>2028</v>
      </c>
      <c r="I93" s="207" t="s">
        <v>60</v>
      </c>
      <c r="J93" s="191">
        <f>K42</f>
        <v>2071</v>
      </c>
      <c r="K93" s="215"/>
      <c r="L93" s="216"/>
      <c r="M93" s="216">
        <f t="shared" si="1"/>
        <v>28195.992629658158</v>
      </c>
      <c r="N93" s="244">
        <f t="shared" si="1"/>
        <v>0</v>
      </c>
      <c r="O93" s="256">
        <f t="shared" si="1"/>
        <v>1077.5629584830979</v>
      </c>
      <c r="P93" s="235"/>
    </row>
    <row r="94" spans="2:17">
      <c r="B94" s="205" t="s">
        <v>65</v>
      </c>
      <c r="C94" s="206"/>
      <c r="D94" s="206"/>
      <c r="E94" s="206"/>
      <c r="F94" s="188"/>
      <c r="G94" s="199" t="s">
        <v>66</v>
      </c>
      <c r="H94" s="190"/>
      <c r="I94" s="207"/>
      <c r="J94" s="191"/>
      <c r="K94" s="219">
        <f>K59</f>
        <v>2071</v>
      </c>
      <c r="L94" s="216">
        <f>L73+L77+L81+L85+L89</f>
        <v>26469231.359999999</v>
      </c>
      <c r="M94" s="216">
        <f t="shared" si="1"/>
        <v>9154088.7397049461</v>
      </c>
      <c r="N94" s="244">
        <f t="shared" si="1"/>
        <v>208</v>
      </c>
      <c r="O94" s="256">
        <f t="shared" si="1"/>
        <v>349840.74063764798</v>
      </c>
      <c r="P94" s="235"/>
    </row>
    <row r="95" spans="2:17" ht="15" thickBot="1">
      <c r="B95" s="209" t="s">
        <v>74</v>
      </c>
      <c r="C95" s="210"/>
      <c r="D95" s="210"/>
      <c r="E95" s="210"/>
      <c r="F95" s="193"/>
      <c r="G95" s="200" t="s">
        <v>66</v>
      </c>
      <c r="H95" s="195"/>
      <c r="I95" s="211"/>
      <c r="J95" s="196"/>
      <c r="K95" s="220">
        <f>K59</f>
        <v>2071</v>
      </c>
      <c r="L95" s="217">
        <f>L91</f>
        <v>-858191.6</v>
      </c>
      <c r="M95" s="217"/>
      <c r="N95" s="245"/>
      <c r="O95" s="257"/>
      <c r="P95" s="235"/>
    </row>
    <row r="97" spans="3:6" ht="15" thickBot="1"/>
    <row r="98" spans="3:6">
      <c r="C98" s="167" t="s">
        <v>75</v>
      </c>
      <c r="D98" s="168"/>
      <c r="E98" s="168"/>
      <c r="F98" s="169"/>
    </row>
    <row r="99" spans="3:6">
      <c r="C99" s="170" t="s">
        <v>69</v>
      </c>
      <c r="D99" s="172"/>
      <c r="E99" s="173" t="s">
        <v>76</v>
      </c>
      <c r="F99" s="171" t="s">
        <v>77</v>
      </c>
    </row>
    <row r="100" spans="3:6">
      <c r="C100" s="179" t="str">
        <f>'Berekening MJOP+LTP'!K229</f>
        <v>(Constructie) staal spoordek</v>
      </c>
      <c r="D100" s="174"/>
      <c r="E100" s="222">
        <f>'Berekening MJOP+LTP'!Q229</f>
        <v>6.9580000000000011</v>
      </c>
      <c r="F100" s="177" t="str">
        <f>'Berekening MJOP+LTP'!R229</f>
        <v>ton</v>
      </c>
    </row>
    <row r="101" spans="3:6">
      <c r="C101" s="180" t="str">
        <f>'Berekening MJOP+LTP'!K230</f>
        <v>Beton spoordek</v>
      </c>
      <c r="D101" s="174"/>
      <c r="E101" s="56">
        <f>'Berekening MJOP+LTP'!Q230</f>
        <v>4470</v>
      </c>
      <c r="F101" s="177" t="str">
        <f>'Berekening MJOP+LTP'!R230</f>
        <v>ton</v>
      </c>
    </row>
    <row r="102" spans="3:6">
      <c r="C102" s="180" t="str">
        <f>'Berekening MJOP+LTP'!K231</f>
        <v>Betonstaal spoordek</v>
      </c>
      <c r="D102" s="174"/>
      <c r="E102" s="56">
        <f>'Berekening MJOP+LTP'!Q231</f>
        <v>2235</v>
      </c>
      <c r="F102" s="177" t="str">
        <f>'Berekening MJOP+LTP'!R231</f>
        <v>ton</v>
      </c>
    </row>
    <row r="103" spans="3:6">
      <c r="C103" s="180" t="str">
        <f>'Berekening MJOP+LTP'!K232</f>
        <v>Beton onderbouw</v>
      </c>
      <c r="D103" s="174"/>
      <c r="E103" s="56">
        <f>'Berekening MJOP+LTP'!Q232</f>
        <v>2070</v>
      </c>
      <c r="F103" s="177" t="str">
        <f>'Berekening MJOP+LTP'!R232</f>
        <v>ton</v>
      </c>
    </row>
    <row r="104" spans="3:6">
      <c r="C104" s="180" t="str">
        <f>'Berekening MJOP+LTP'!K233</f>
        <v>Betonstaal onderbouw</v>
      </c>
      <c r="D104" s="174"/>
      <c r="E104" s="60">
        <f>'Berekening MJOP+LTP'!Q233</f>
        <v>414</v>
      </c>
      <c r="F104" s="177" t="str">
        <f>'Berekening MJOP+LTP'!R233</f>
        <v>ton</v>
      </c>
    </row>
    <row r="105" spans="3:6">
      <c r="C105" s="180" t="str">
        <f>'Berekening MJOP+LTP'!K234</f>
        <v>Metselwerk spoordek</v>
      </c>
      <c r="D105" s="174"/>
      <c r="E105" s="56">
        <f>'Berekening MJOP+LTP'!Q234</f>
        <v>0</v>
      </c>
      <c r="F105" s="177" t="str">
        <f>'Berekening MJOP+LTP'!R234</f>
        <v>ton</v>
      </c>
    </row>
    <row r="106" spans="3:6">
      <c r="C106" s="180" t="str">
        <f>'Berekening MJOP+LTP'!K235</f>
        <v>Metselwerk onderbouw</v>
      </c>
      <c r="D106" s="174"/>
      <c r="E106" s="56">
        <f>'Berekening MJOP+LTP'!Q235</f>
        <v>0</v>
      </c>
      <c r="F106" s="177" t="str">
        <f>'Berekening MJOP+LTP'!R235</f>
        <v>ton</v>
      </c>
    </row>
    <row r="107" spans="3:6" ht="15" thickBot="1">
      <c r="C107" s="181">
        <f>'Berekening MJOP+LTP'!K236</f>
        <v>0</v>
      </c>
      <c r="D107" s="175"/>
      <c r="E107" s="176">
        <f>'Berekening MJOP+LTP'!Q236</f>
        <v>0</v>
      </c>
      <c r="F107" s="178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106" activePane="bottomLeft" state="frozen"/>
      <selection pane="bottomLeft" activeCell="S138" sqref="S138"/>
    </sheetView>
  </sheetViews>
  <sheetFormatPr defaultColWidth="8.85546875" defaultRowHeight="12" outlineLevelRow="2" outlineLevelCol="1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/>
      <c r="H1" s="3"/>
      <c r="I1" s="3" t="s">
        <v>83</v>
      </c>
      <c r="J1" s="3"/>
      <c r="K1" s="3" t="s">
        <v>69</v>
      </c>
      <c r="L1" s="3"/>
      <c r="M1" s="3"/>
      <c r="N1" s="3"/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/>
      <c r="Y1" s="20" t="s">
        <v>93</v>
      </c>
      <c r="Z1" s="20" t="s">
        <v>94</v>
      </c>
      <c r="AA1" s="20" t="s">
        <v>95</v>
      </c>
      <c r="AC1" s="20" t="s">
        <v>96</v>
      </c>
      <c r="AE1" s="3" t="s">
        <v>97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98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>
      <c r="B2" s="3" t="s">
        <v>99</v>
      </c>
      <c r="C2" s="3" t="s">
        <v>100</v>
      </c>
      <c r="D2" s="3" t="s">
        <v>101</v>
      </c>
      <c r="E2" s="3" t="s">
        <v>102</v>
      </c>
      <c r="F2" s="3"/>
      <c r="G2" s="3"/>
      <c r="H2" s="3"/>
      <c r="I2" s="3" t="s">
        <v>103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104</v>
      </c>
      <c r="W2" s="3"/>
      <c r="X2" s="3"/>
      <c r="Y2" s="20"/>
      <c r="Z2" s="20"/>
      <c r="AA2" s="20"/>
      <c r="AC2" s="20" t="s">
        <v>105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>
      <c r="B5" s="13" t="s">
        <v>106</v>
      </c>
      <c r="C5" s="3"/>
    </row>
    <row r="7" spans="2:236" ht="13.9">
      <c r="B7" s="163" t="s">
        <v>107</v>
      </c>
      <c r="D7" s="1" t="s">
        <v>108</v>
      </c>
      <c r="K7" s="1" t="s">
        <v>109</v>
      </c>
    </row>
    <row r="8" spans="2:236" ht="13.9">
      <c r="B8" s="164"/>
      <c r="D8" s="1" t="s">
        <v>110</v>
      </c>
      <c r="K8" s="1" t="s">
        <v>111</v>
      </c>
    </row>
    <row r="9" spans="2:236" ht="13.9">
      <c r="B9" s="164"/>
      <c r="D9" s="1" t="s">
        <v>112</v>
      </c>
      <c r="K9" s="1" t="s">
        <v>113</v>
      </c>
    </row>
    <row r="10" spans="2:236" ht="13.9">
      <c r="B10" s="164"/>
      <c r="D10" s="162" t="s">
        <v>114</v>
      </c>
      <c r="H10" s="165">
        <v>2.38</v>
      </c>
      <c r="I10" s="161">
        <v>2.38</v>
      </c>
    </row>
    <row r="11" spans="2:236" ht="13.9">
      <c r="B11" s="164"/>
    </row>
    <row r="12" spans="2:236" ht="13.9">
      <c r="B12" s="163" t="s">
        <v>115</v>
      </c>
      <c r="D12" s="1" t="s">
        <v>116</v>
      </c>
      <c r="K12" s="1" t="s">
        <v>117</v>
      </c>
    </row>
    <row r="13" spans="2:236" ht="13.9">
      <c r="B13" s="164"/>
      <c r="D13" s="1" t="s">
        <v>118</v>
      </c>
      <c r="K13" s="1" t="s">
        <v>119</v>
      </c>
    </row>
    <row r="14" spans="2:236" ht="13.9">
      <c r="B14" s="164"/>
      <c r="D14" s="1" t="s">
        <v>120</v>
      </c>
    </row>
    <row r="15" spans="2:236" ht="13.9">
      <c r="B15" s="164"/>
      <c r="D15" s="162" t="s">
        <v>121</v>
      </c>
      <c r="E15" s="14"/>
      <c r="F15" s="14"/>
      <c r="G15" s="14"/>
      <c r="H15" s="160">
        <v>1.77</v>
      </c>
    </row>
    <row r="16" spans="2:236" ht="13.9">
      <c r="B16" s="164"/>
    </row>
    <row r="17" spans="2:236" ht="13.9">
      <c r="B17" s="163" t="s">
        <v>122</v>
      </c>
      <c r="D17" s="1" t="s">
        <v>123</v>
      </c>
      <c r="K17" s="1" t="s">
        <v>124</v>
      </c>
    </row>
    <row r="18" spans="2:236" ht="13.9">
      <c r="B18" s="164"/>
      <c r="D18" s="1" t="s">
        <v>125</v>
      </c>
      <c r="K18" s="1" t="s">
        <v>126</v>
      </c>
    </row>
    <row r="19" spans="2:236" ht="13.9">
      <c r="B19" s="164"/>
      <c r="D19" s="1" t="s">
        <v>120</v>
      </c>
      <c r="K19" s="1" t="s">
        <v>127</v>
      </c>
    </row>
    <row r="20" spans="2:236" ht="13.9">
      <c r="B20" s="164"/>
      <c r="D20" s="162" t="s">
        <v>121</v>
      </c>
      <c r="H20" s="166">
        <v>1.77</v>
      </c>
      <c r="I20" s="161">
        <v>1.77</v>
      </c>
    </row>
    <row r="21" spans="2:236">
      <c r="K21" s="24" t="s">
        <v>128</v>
      </c>
    </row>
    <row r="22" spans="2:236">
      <c r="K22" s="24"/>
    </row>
    <row r="23" spans="2:236" ht="12.6" thickBot="1"/>
    <row r="24" spans="2:236" ht="16.899999999999999" customHeight="1" thickBot="1">
      <c r="B24" s="265" t="s">
        <v>129</v>
      </c>
      <c r="C24" s="266"/>
      <c r="D24" s="266"/>
      <c r="E24" s="266"/>
      <c r="F24" s="266"/>
      <c r="G24" s="266"/>
      <c r="H24" s="266"/>
      <c r="I24" s="267"/>
    </row>
    <row r="25" spans="2:236">
      <c r="K25" s="5"/>
      <c r="L25" s="5"/>
      <c r="M25" s="5"/>
      <c r="N25" s="5"/>
      <c r="O25" s="5"/>
      <c r="P25" s="5"/>
      <c r="Q25" s="5"/>
      <c r="R25" s="5"/>
      <c r="S25" s="5"/>
    </row>
    <row r="26" spans="2:236" ht="18">
      <c r="B26" s="17" t="s">
        <v>130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>
      <c r="B28" s="3" t="s">
        <v>78</v>
      </c>
      <c r="C28" s="3" t="s">
        <v>79</v>
      </c>
      <c r="D28" s="3" t="s">
        <v>80</v>
      </c>
      <c r="E28" s="3" t="s">
        <v>81</v>
      </c>
      <c r="F28" s="3" t="s">
        <v>82</v>
      </c>
      <c r="G28" s="3"/>
      <c r="H28" s="3"/>
      <c r="I28" s="3" t="s">
        <v>83</v>
      </c>
      <c r="J28" s="3"/>
      <c r="K28" s="3" t="s">
        <v>69</v>
      </c>
      <c r="L28" s="3"/>
      <c r="M28" s="3"/>
      <c r="N28" s="3"/>
      <c r="O28" s="3" t="s">
        <v>84</v>
      </c>
      <c r="P28" s="3" t="s">
        <v>85</v>
      </c>
      <c r="Q28" s="3" t="s">
        <v>86</v>
      </c>
      <c r="R28" s="3" t="s">
        <v>87</v>
      </c>
      <c r="S28" s="154" t="s">
        <v>88</v>
      </c>
      <c r="T28" s="3" t="s">
        <v>89</v>
      </c>
      <c r="U28" s="3" t="s">
        <v>90</v>
      </c>
      <c r="V28" s="3" t="s">
        <v>91</v>
      </c>
      <c r="W28" s="3" t="s">
        <v>92</v>
      </c>
      <c r="X28" s="3"/>
      <c r="Y28" s="20" t="s">
        <v>93</v>
      </c>
      <c r="Z28" s="20" t="s">
        <v>94</v>
      </c>
      <c r="AA28" s="20" t="s">
        <v>95</v>
      </c>
      <c r="AC28" s="20" t="s">
        <v>96</v>
      </c>
      <c r="AE28" s="3" t="s">
        <v>97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98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>
      <c r="B29" s="3" t="s">
        <v>99</v>
      </c>
      <c r="C29" s="3" t="s">
        <v>100</v>
      </c>
      <c r="D29" s="3" t="s">
        <v>101</v>
      </c>
      <c r="E29" s="3" t="s">
        <v>102</v>
      </c>
      <c r="F29" s="3"/>
      <c r="G29" s="3"/>
      <c r="H29" s="3"/>
      <c r="I29" s="3" t="s">
        <v>103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104</v>
      </c>
      <c r="W29" s="3"/>
      <c r="X29" s="3"/>
      <c r="Y29" s="20"/>
      <c r="Z29" s="20"/>
      <c r="AA29" s="20"/>
      <c r="AC29" s="20" t="s">
        <v>105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>
      <c r="B31" s="1">
        <v>3</v>
      </c>
      <c r="C31" s="1" t="s">
        <v>131</v>
      </c>
      <c r="D31" s="1" t="s">
        <v>29</v>
      </c>
      <c r="E31" s="1" t="s">
        <v>29</v>
      </c>
      <c r="F31" s="1" t="s">
        <v>132</v>
      </c>
      <c r="I31" s="1" t="s">
        <v>133</v>
      </c>
      <c r="K31" s="1" t="s">
        <v>134</v>
      </c>
      <c r="O31" s="1" t="s">
        <v>135</v>
      </c>
      <c r="Q31" s="1">
        <v>1</v>
      </c>
      <c r="R31" s="1" t="s">
        <v>136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0"/>
      <c r="AA31" s="80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>
      <c r="B32" s="1">
        <v>3</v>
      </c>
      <c r="C32" s="1" t="s">
        <v>131</v>
      </c>
      <c r="D32" s="1" t="s">
        <v>29</v>
      </c>
      <c r="E32" s="1" t="s">
        <v>29</v>
      </c>
      <c r="F32" s="1" t="s">
        <v>132</v>
      </c>
      <c r="I32" s="1" t="s">
        <v>137</v>
      </c>
      <c r="K32" s="1" t="s">
        <v>138</v>
      </c>
      <c r="O32" s="1" t="s">
        <v>135</v>
      </c>
      <c r="Q32" s="1">
        <v>1</v>
      </c>
      <c r="R32" s="1" t="s">
        <v>136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0"/>
      <c r="AA32" s="80"/>
      <c r="AC32" s="223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>
      <c r="B33" s="2" t="s">
        <v>139</v>
      </c>
      <c r="C33" s="2"/>
      <c r="D33" s="2"/>
      <c r="O33" s="14"/>
      <c r="P33" s="14"/>
      <c r="S33" s="14"/>
      <c r="T33" s="25">
        <f>SUM(T31:T32)</f>
        <v>6500</v>
      </c>
      <c r="U33" s="14"/>
      <c r="V33" s="14"/>
      <c r="Y33" s="23">
        <f>SUM(Y31:Y32)</f>
        <v>6403.5710426315018</v>
      </c>
      <c r="Z33" s="12"/>
      <c r="AA33" s="12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>
      <c r="B34" s="2"/>
      <c r="C34" s="2"/>
      <c r="D34" s="2"/>
      <c r="O34" s="14"/>
      <c r="P34" s="14"/>
      <c r="S34" s="14"/>
      <c r="T34" s="9"/>
      <c r="U34" s="14"/>
      <c r="V34" s="14"/>
      <c r="Y34" s="12"/>
      <c r="Z34" s="12"/>
      <c r="AA34" s="12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>
      <c r="B35" s="1">
        <v>2</v>
      </c>
      <c r="C35" s="1" t="s">
        <v>29</v>
      </c>
      <c r="D35" s="1" t="s">
        <v>29</v>
      </c>
      <c r="E35" s="1" t="s">
        <v>29</v>
      </c>
      <c r="F35" s="1" t="s">
        <v>140</v>
      </c>
      <c r="I35" s="1" t="s">
        <v>141</v>
      </c>
      <c r="K35" s="1" t="s">
        <v>142</v>
      </c>
      <c r="O35" s="1" t="s">
        <v>143</v>
      </c>
      <c r="Q35" s="1">
        <v>1</v>
      </c>
      <c r="R35" s="1" t="s">
        <v>136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0"/>
      <c r="AA35" s="80"/>
      <c r="AC35" s="223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>
      <c r="B36" s="2" t="s">
        <v>144</v>
      </c>
      <c r="C36" s="2"/>
      <c r="D36" s="2"/>
      <c r="O36" s="14"/>
      <c r="P36" s="14"/>
      <c r="S36" s="14"/>
      <c r="T36" s="25">
        <f>SUM(T34:T35)</f>
        <v>5000</v>
      </c>
      <c r="U36" s="14"/>
      <c r="V36" s="14"/>
      <c r="Y36" s="23">
        <f>SUM(Y34:Y35)</f>
        <v>3905.9920086286352</v>
      </c>
      <c r="Z36" s="12"/>
      <c r="AA36" s="12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>
      <c r="B38" s="76">
        <v>2</v>
      </c>
      <c r="C38" s="114" t="s">
        <v>131</v>
      </c>
      <c r="D38" s="76">
        <v>1</v>
      </c>
      <c r="E38" s="114" t="s">
        <v>131</v>
      </c>
      <c r="F38" s="74" t="s">
        <v>145</v>
      </c>
      <c r="G38" s="74"/>
      <c r="H38" s="74"/>
      <c r="I38" s="74" t="s">
        <v>146</v>
      </c>
      <c r="J38" s="74"/>
      <c r="K38" s="74" t="s">
        <v>147</v>
      </c>
      <c r="L38" s="74"/>
      <c r="M38" s="74"/>
      <c r="N38" s="74"/>
      <c r="O38" s="75"/>
      <c r="P38" s="75"/>
      <c r="Q38" s="79">
        <v>1</v>
      </c>
      <c r="R38" s="79" t="s">
        <v>136</v>
      </c>
      <c r="S38" s="79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0"/>
      <c r="AA38" s="80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>
      <c r="B39" s="76">
        <v>1</v>
      </c>
      <c r="C39" s="114" t="s">
        <v>131</v>
      </c>
      <c r="D39" s="76">
        <v>2</v>
      </c>
      <c r="E39" s="114" t="s">
        <v>131</v>
      </c>
      <c r="F39" s="74" t="s">
        <v>132</v>
      </c>
      <c r="G39" s="74"/>
      <c r="H39" s="74"/>
      <c r="I39" s="74" t="s">
        <v>137</v>
      </c>
      <c r="J39" s="74"/>
      <c r="K39" s="74" t="s">
        <v>148</v>
      </c>
      <c r="L39" s="74"/>
      <c r="M39" s="74"/>
      <c r="N39" s="74"/>
      <c r="O39" s="75"/>
      <c r="P39" s="75"/>
      <c r="Q39" s="79">
        <v>2</v>
      </c>
      <c r="R39" s="79" t="s">
        <v>149</v>
      </c>
      <c r="S39" s="79">
        <f>H15*500</f>
        <v>885</v>
      </c>
      <c r="T39" s="9">
        <f t="shared" si="4"/>
        <v>1770</v>
      </c>
      <c r="U39" s="11">
        <v>1</v>
      </c>
      <c r="V39" s="14"/>
      <c r="W39" s="9">
        <f>Voorblad!K52</f>
        <v>2020</v>
      </c>
      <c r="Y39" s="9">
        <f t="shared" ref="Y39:Y45" si="5">SUM(AE39:EB39)</f>
        <v>1684.7114812611542</v>
      </c>
      <c r="Z39" s="80"/>
      <c r="AA39" s="80"/>
      <c r="AC39" s="9">
        <f>$Y39*(Voorblad!$K$44*(1+Voorblad!$K$44)^Voorblad!$K$37)/((1+Voorblad!$K$44)^Voorblad!$K$37-1)</f>
        <v>192.49305015922792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1684.7114812611542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>
      <c r="B40" s="74">
        <v>1</v>
      </c>
      <c r="C40" s="74" t="s">
        <v>131</v>
      </c>
      <c r="D40" s="76">
        <v>3</v>
      </c>
      <c r="E40" s="74" t="s">
        <v>131</v>
      </c>
      <c r="F40" s="74" t="s">
        <v>132</v>
      </c>
      <c r="G40" s="74"/>
      <c r="H40" s="74"/>
      <c r="I40" s="74" t="s">
        <v>137</v>
      </c>
      <c r="J40" s="74"/>
      <c r="K40" s="77" t="s">
        <v>150</v>
      </c>
      <c r="L40" s="74"/>
      <c r="M40" s="74"/>
      <c r="N40" s="74"/>
      <c r="O40" s="75"/>
      <c r="P40" s="75" t="s">
        <v>151</v>
      </c>
      <c r="Q40" s="79">
        <f>4*1*6</f>
        <v>24</v>
      </c>
      <c r="R40" s="79" t="s">
        <v>152</v>
      </c>
      <c r="S40" s="79">
        <f>H15*100</f>
        <v>177</v>
      </c>
      <c r="T40" s="9">
        <f t="shared" si="4"/>
        <v>4248</v>
      </c>
      <c r="U40" s="11">
        <v>1</v>
      </c>
      <c r="V40" s="14"/>
      <c r="W40" s="9">
        <f>Voorblad!K53</f>
        <v>2020</v>
      </c>
      <c r="Y40" s="9">
        <f t="shared" si="5"/>
        <v>4043.3075550267699</v>
      </c>
      <c r="Z40" s="80"/>
      <c r="AA40" s="80"/>
      <c r="AC40" s="9">
        <f>$Y40*(Voorblad!$K$44*(1+Voorblad!$K$44)^Voorblad!$K$37)/((1+Voorblad!$K$44)^Voorblad!$K$37-1)</f>
        <v>461.98332038214699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4043.3075550267699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>
      <c r="B41" s="74"/>
      <c r="C41" s="74"/>
      <c r="D41" s="74">
        <v>4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5"/>
      <c r="Q41" s="79">
        <v>1</v>
      </c>
      <c r="R41" s="79" t="s">
        <v>136</v>
      </c>
      <c r="S41" s="79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0"/>
      <c r="AA41" s="80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>
      <c r="B42" s="74"/>
      <c r="C42" s="74"/>
      <c r="D42" s="74">
        <v>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8"/>
      <c r="P42" s="78"/>
      <c r="Q42" s="79">
        <v>1</v>
      </c>
      <c r="R42" s="79" t="s">
        <v>136</v>
      </c>
      <c r="S42" s="79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0"/>
      <c r="AA42" s="80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>
      <c r="B43" s="74"/>
      <c r="C43" s="74"/>
      <c r="D43" s="74">
        <v>6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5"/>
      <c r="Q43" s="79">
        <v>1</v>
      </c>
      <c r="R43" s="79" t="s">
        <v>136</v>
      </c>
      <c r="S43" s="79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0"/>
      <c r="AA43" s="80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>
      <c r="B44" s="74"/>
      <c r="C44" s="74"/>
      <c r="D44" s="74">
        <v>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5"/>
      <c r="Q44" s="79">
        <v>1</v>
      </c>
      <c r="R44" s="79" t="s">
        <v>136</v>
      </c>
      <c r="S44" s="79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0"/>
      <c r="AA44" s="80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>
      <c r="B45" s="74"/>
      <c r="C45" s="74"/>
      <c r="D45" s="74">
        <v>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5"/>
      <c r="Q45" s="79">
        <v>1</v>
      </c>
      <c r="R45" s="79" t="s">
        <v>136</v>
      </c>
      <c r="S45" s="79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0"/>
      <c r="AA45" s="80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>
      <c r="B46" s="22">
        <v>1</v>
      </c>
      <c r="C46" s="114" t="s">
        <v>131</v>
      </c>
      <c r="D46" s="114" t="s">
        <v>29</v>
      </c>
      <c r="E46" s="74" t="s">
        <v>29</v>
      </c>
      <c r="F46" s="1" t="s">
        <v>153</v>
      </c>
      <c r="I46" s="1" t="s">
        <v>154</v>
      </c>
      <c r="K46" s="1" t="s">
        <v>155</v>
      </c>
      <c r="O46" s="14" t="s">
        <v>156</v>
      </c>
      <c r="P46" s="14" t="s">
        <v>157</v>
      </c>
      <c r="Q46" s="81">
        <f>89.4*22.8</f>
        <v>2038.3200000000002</v>
      </c>
      <c r="R46" s="79" t="s">
        <v>152</v>
      </c>
      <c r="S46" s="79">
        <v>12980</v>
      </c>
      <c r="T46" s="9">
        <f t="shared" si="4"/>
        <v>26457393.600000001</v>
      </c>
      <c r="U46" s="11">
        <v>1</v>
      </c>
      <c r="V46" s="1">
        <f>Voorblad!F24+100</f>
        <v>2071</v>
      </c>
      <c r="W46" s="9">
        <f>Voorblad!K59</f>
        <v>2071</v>
      </c>
      <c r="X46" s="6"/>
      <c r="Y46" s="9">
        <f>SUM(AE46:EB46)</f>
        <v>0</v>
      </c>
      <c r="Z46" s="80" t="s">
        <v>158</v>
      </c>
      <c r="AA46" s="80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>
      <c r="B47" s="2" t="s">
        <v>159</v>
      </c>
      <c r="C47" s="2"/>
      <c r="D47" s="2"/>
      <c r="O47" s="14"/>
      <c r="P47" s="14"/>
      <c r="S47" s="14"/>
      <c r="U47" s="14"/>
      <c r="V47" s="14"/>
      <c r="Z47" s="12"/>
      <c r="AA47" s="12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>
      <c r="B50" s="17" t="s">
        <v>160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>
      <c r="B52" s="268" t="s">
        <v>161</v>
      </c>
      <c r="C52" s="269"/>
      <c r="D52" s="270"/>
      <c r="E52" s="270"/>
      <c r="F52" s="270"/>
      <c r="G52" s="270"/>
      <c r="H52" s="270"/>
      <c r="I52" s="270"/>
      <c r="J52" s="270"/>
      <c r="K52" s="27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>
      <c r="B54" s="3" t="s">
        <v>78</v>
      </c>
      <c r="C54" s="3"/>
      <c r="D54" s="3"/>
      <c r="E54" s="3"/>
      <c r="F54" s="3" t="s">
        <v>82</v>
      </c>
      <c r="G54" s="3"/>
      <c r="H54" s="3"/>
      <c r="I54" s="3" t="s">
        <v>83</v>
      </c>
      <c r="J54" s="3"/>
      <c r="K54" s="3" t="s">
        <v>69</v>
      </c>
      <c r="L54" s="3"/>
      <c r="M54" s="3"/>
      <c r="N54" s="3"/>
      <c r="O54" s="3" t="s">
        <v>84</v>
      </c>
      <c r="P54" s="3" t="s">
        <v>85</v>
      </c>
      <c r="Q54" s="3" t="s">
        <v>86</v>
      </c>
      <c r="R54" s="3" t="s">
        <v>87</v>
      </c>
      <c r="S54" s="154" t="s">
        <v>88</v>
      </c>
      <c r="T54" s="3" t="s">
        <v>89</v>
      </c>
      <c r="U54" s="3" t="s">
        <v>90</v>
      </c>
      <c r="V54" s="3" t="s">
        <v>91</v>
      </c>
      <c r="W54" s="3" t="s">
        <v>92</v>
      </c>
      <c r="X54" s="6"/>
      <c r="Y54" s="20" t="s">
        <v>93</v>
      </c>
      <c r="Z54" s="20" t="s">
        <v>94</v>
      </c>
      <c r="AA54" s="20" t="s">
        <v>95</v>
      </c>
      <c r="AC54" s="20" t="s">
        <v>96</v>
      </c>
      <c r="AE54" s="12" t="s">
        <v>97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98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>
      <c r="B55" s="3" t="s">
        <v>99</v>
      </c>
      <c r="I55" s="3" t="s">
        <v>103</v>
      </c>
      <c r="O55" s="14"/>
      <c r="P55" s="14"/>
      <c r="V55" s="3" t="s">
        <v>104</v>
      </c>
      <c r="AC55" s="20" t="s">
        <v>105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>
      <c r="B57" s="19" t="s">
        <v>162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>
      <c r="B58" s="1">
        <v>3</v>
      </c>
      <c r="F58" s="1" t="s">
        <v>132</v>
      </c>
      <c r="I58" s="1" t="s">
        <v>163</v>
      </c>
      <c r="K58" s="1" t="s">
        <v>134</v>
      </c>
      <c r="N58" s="3"/>
      <c r="Q58" s="79">
        <v>0</v>
      </c>
      <c r="R58" s="1" t="s">
        <v>136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0"/>
      <c r="AA58" s="80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>
      <c r="B59" s="1">
        <v>3</v>
      </c>
      <c r="F59" s="1" t="s">
        <v>132</v>
      </c>
      <c r="I59" s="1" t="s">
        <v>137</v>
      </c>
      <c r="K59" s="1" t="s">
        <v>164</v>
      </c>
      <c r="N59" s="3"/>
      <c r="O59" s="1" t="s">
        <v>165</v>
      </c>
      <c r="Q59" s="81">
        <v>0</v>
      </c>
      <c r="R59" s="1" t="s">
        <v>152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0"/>
      <c r="AA59" s="80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>
      <c r="B60" s="1">
        <v>3</v>
      </c>
      <c r="F60" s="1" t="s">
        <v>132</v>
      </c>
      <c r="I60" s="1" t="s">
        <v>137</v>
      </c>
      <c r="K60" s="1" t="s">
        <v>166</v>
      </c>
      <c r="N60" s="3"/>
      <c r="Q60" s="81">
        <v>0</v>
      </c>
      <c r="R60" s="1" t="s">
        <v>152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0"/>
      <c r="AA60" s="80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>
      <c r="B61" s="1">
        <v>3</v>
      </c>
      <c r="F61" s="1" t="s">
        <v>132</v>
      </c>
      <c r="I61" s="1" t="s">
        <v>137</v>
      </c>
      <c r="K61" s="1" t="s">
        <v>167</v>
      </c>
      <c r="N61" s="3"/>
      <c r="Q61" s="79">
        <v>0</v>
      </c>
      <c r="R61" s="1" t="s">
        <v>168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0"/>
      <c r="AA61" s="80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>
      <c r="B62" s="1">
        <v>3</v>
      </c>
      <c r="F62" s="1" t="s">
        <v>132</v>
      </c>
      <c r="I62" s="1" t="s">
        <v>137</v>
      </c>
      <c r="K62" s="14" t="s">
        <v>169</v>
      </c>
      <c r="L62" s="14"/>
      <c r="M62" s="14"/>
      <c r="N62" s="3"/>
      <c r="P62" s="1" t="s">
        <v>170</v>
      </c>
      <c r="Q62" s="79">
        <v>0</v>
      </c>
      <c r="R62" s="141" t="s">
        <v>171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0"/>
      <c r="AA62" s="80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>
      <c r="B63" s="1">
        <v>3</v>
      </c>
      <c r="F63" s="1" t="s">
        <v>132</v>
      </c>
      <c r="I63" s="1" t="s">
        <v>137</v>
      </c>
      <c r="K63" s="14" t="s">
        <v>172</v>
      </c>
      <c r="L63" s="14"/>
      <c r="M63" s="14"/>
      <c r="N63" s="3"/>
      <c r="O63" s="1" t="s">
        <v>173</v>
      </c>
      <c r="Q63" s="79">
        <v>0</v>
      </c>
      <c r="R63" s="1" t="s">
        <v>136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0"/>
      <c r="AA63" s="80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>
      <c r="B64" s="1">
        <v>3</v>
      </c>
      <c r="F64" s="1" t="s">
        <v>132</v>
      </c>
      <c r="I64" s="1" t="s">
        <v>137</v>
      </c>
      <c r="K64" s="14" t="s">
        <v>174</v>
      </c>
      <c r="L64" s="14"/>
      <c r="M64" s="14"/>
      <c r="N64" s="3"/>
      <c r="O64" s="1" t="s">
        <v>175</v>
      </c>
      <c r="P64" s="1" t="s">
        <v>176</v>
      </c>
      <c r="Q64" s="79">
        <v>0</v>
      </c>
      <c r="R64" s="1" t="s">
        <v>152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0"/>
      <c r="AA64" s="80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>
      <c r="B65" s="1">
        <v>3</v>
      </c>
      <c r="F65" s="1" t="s">
        <v>132</v>
      </c>
      <c r="I65" s="1" t="s">
        <v>137</v>
      </c>
      <c r="K65" s="14" t="s">
        <v>177</v>
      </c>
      <c r="L65" s="14"/>
      <c r="M65" s="14"/>
      <c r="N65" s="3"/>
      <c r="O65" s="1" t="s">
        <v>178</v>
      </c>
      <c r="P65" s="1" t="s">
        <v>179</v>
      </c>
      <c r="Q65" s="79">
        <v>0</v>
      </c>
      <c r="R65" s="1" t="s">
        <v>168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0"/>
      <c r="AA65" s="80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>
      <c r="B66" s="1">
        <v>3</v>
      </c>
      <c r="F66" s="1" t="s">
        <v>132</v>
      </c>
      <c r="I66" s="1" t="s">
        <v>137</v>
      </c>
      <c r="K66" s="14" t="s">
        <v>180</v>
      </c>
      <c r="L66" s="14"/>
      <c r="M66" s="14"/>
      <c r="N66" s="3"/>
      <c r="O66" s="1" t="s">
        <v>178</v>
      </c>
      <c r="P66" s="1" t="s">
        <v>179</v>
      </c>
      <c r="Q66" s="79">
        <v>0</v>
      </c>
      <c r="R66" s="1" t="s">
        <v>168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0"/>
      <c r="AA66" s="80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>
      <c r="B67" s="1">
        <v>3</v>
      </c>
      <c r="F67" s="1" t="s">
        <v>132</v>
      </c>
      <c r="I67" s="1" t="s">
        <v>137</v>
      </c>
      <c r="K67" s="14" t="s">
        <v>181</v>
      </c>
      <c r="L67" s="14"/>
      <c r="M67" s="14"/>
      <c r="N67" s="3"/>
      <c r="O67" s="1" t="s">
        <v>182</v>
      </c>
      <c r="P67" s="1" t="s">
        <v>183</v>
      </c>
      <c r="Q67" s="79">
        <v>0</v>
      </c>
      <c r="R67" s="1" t="s">
        <v>152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0"/>
      <c r="AA67" s="80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>
      <c r="B68" s="1">
        <v>3</v>
      </c>
      <c r="F68" s="1" t="s">
        <v>132</v>
      </c>
      <c r="I68" s="1" t="s">
        <v>137</v>
      </c>
      <c r="K68" s="14" t="s">
        <v>184</v>
      </c>
      <c r="L68" s="14"/>
      <c r="M68" s="14"/>
      <c r="N68" s="3"/>
      <c r="O68" s="1" t="s">
        <v>185</v>
      </c>
      <c r="P68" s="1" t="s">
        <v>186</v>
      </c>
      <c r="Q68" s="79">
        <v>0</v>
      </c>
      <c r="R68" s="1" t="s">
        <v>152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0"/>
      <c r="AA68" s="80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>
      <c r="B69" s="1">
        <v>3</v>
      </c>
      <c r="F69" s="1" t="s">
        <v>132</v>
      </c>
      <c r="I69" s="1" t="s">
        <v>137</v>
      </c>
      <c r="K69" s="14" t="s">
        <v>187</v>
      </c>
      <c r="L69" s="14"/>
      <c r="M69" s="14"/>
      <c r="N69" s="3"/>
      <c r="O69" s="1" t="s">
        <v>185</v>
      </c>
      <c r="P69" s="1" t="s">
        <v>188</v>
      </c>
      <c r="Q69" s="79">
        <v>0</v>
      </c>
      <c r="R69" s="1" t="s">
        <v>168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0"/>
      <c r="AA69" s="80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>
      <c r="B70" s="1">
        <v>3</v>
      </c>
      <c r="F70" s="1" t="s">
        <v>132</v>
      </c>
      <c r="I70" s="1" t="s">
        <v>137</v>
      </c>
      <c r="K70" s="14" t="s">
        <v>189</v>
      </c>
      <c r="L70" s="14"/>
      <c r="M70" s="14"/>
      <c r="N70" s="3"/>
      <c r="O70" s="1" t="s">
        <v>185</v>
      </c>
      <c r="P70" s="1" t="s">
        <v>190</v>
      </c>
      <c r="Q70" s="79">
        <v>0</v>
      </c>
      <c r="R70" s="1" t="s">
        <v>152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0"/>
      <c r="AA70" s="80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>
      <c r="B71" s="1">
        <v>3</v>
      </c>
      <c r="F71" s="1" t="s">
        <v>132</v>
      </c>
      <c r="I71" s="1" t="s">
        <v>137</v>
      </c>
      <c r="K71" s="14" t="s">
        <v>191</v>
      </c>
      <c r="L71" s="14"/>
      <c r="M71" s="14"/>
      <c r="N71" s="3"/>
      <c r="O71" s="1" t="s">
        <v>185</v>
      </c>
      <c r="P71" s="1" t="s">
        <v>192</v>
      </c>
      <c r="Q71" s="79">
        <v>0</v>
      </c>
      <c r="R71" s="1" t="s">
        <v>168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0"/>
      <c r="AA71" s="80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>
      <c r="B72" s="1">
        <v>3</v>
      </c>
      <c r="F72" s="1" t="s">
        <v>132</v>
      </c>
      <c r="I72" s="1" t="s">
        <v>137</v>
      </c>
      <c r="K72" s="14" t="s">
        <v>193</v>
      </c>
      <c r="L72" s="14"/>
      <c r="M72" s="14"/>
      <c r="N72" s="3"/>
      <c r="O72" s="1" t="s">
        <v>185</v>
      </c>
      <c r="P72" s="1" t="s">
        <v>194</v>
      </c>
      <c r="Q72" s="79">
        <v>0</v>
      </c>
      <c r="R72" s="1" t="s">
        <v>168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0"/>
      <c r="AA72" s="80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>
      <c r="B73" s="1">
        <v>3</v>
      </c>
      <c r="F73" s="1" t="s">
        <v>132</v>
      </c>
      <c r="I73" s="1" t="s">
        <v>137</v>
      </c>
      <c r="K73" s="14" t="s">
        <v>195</v>
      </c>
      <c r="L73" s="14"/>
      <c r="M73" s="14"/>
      <c r="N73" s="3"/>
      <c r="O73" s="1" t="s">
        <v>185</v>
      </c>
      <c r="P73" s="1" t="s">
        <v>196</v>
      </c>
      <c r="Q73" s="79">
        <v>0</v>
      </c>
      <c r="R73" s="1" t="s">
        <v>152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0"/>
      <c r="AA73" s="80"/>
      <c r="AC73" s="223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>
      <c r="B74" s="2" t="s">
        <v>197</v>
      </c>
      <c r="C74" s="2"/>
      <c r="N74" s="3"/>
      <c r="S74" s="14"/>
      <c r="U74" s="14"/>
      <c r="V74" s="14"/>
      <c r="Y74" s="23">
        <f>SUM(Y58:Y73)</f>
        <v>0</v>
      </c>
      <c r="Z74" s="12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>
      <c r="J75" s="144" t="s">
        <v>198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>
      <c r="B76" s="1">
        <v>1</v>
      </c>
      <c r="F76" s="1" t="s">
        <v>132</v>
      </c>
      <c r="I76" s="1" t="s">
        <v>199</v>
      </c>
      <c r="K76" s="1" t="s">
        <v>200</v>
      </c>
      <c r="N76" s="3"/>
      <c r="Q76" s="79">
        <v>0</v>
      </c>
      <c r="R76" s="1" t="s">
        <v>168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0"/>
      <c r="AA76" s="80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>
      <c r="B77" s="1">
        <v>1</v>
      </c>
      <c r="F77" s="1" t="s">
        <v>132</v>
      </c>
      <c r="I77" s="1" t="s">
        <v>199</v>
      </c>
      <c r="K77" s="1" t="s">
        <v>201</v>
      </c>
      <c r="N77" s="3"/>
      <c r="Q77" s="79">
        <v>0</v>
      </c>
      <c r="R77" s="1" t="s">
        <v>168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0"/>
      <c r="AA77" s="80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>
      <c r="B78" s="1">
        <v>1</v>
      </c>
      <c r="F78" s="1" t="s">
        <v>132</v>
      </c>
      <c r="I78" s="1" t="s">
        <v>199</v>
      </c>
      <c r="K78" s="1" t="s">
        <v>202</v>
      </c>
      <c r="N78" s="3"/>
      <c r="Q78" s="79">
        <v>0</v>
      </c>
      <c r="R78" s="1" t="s">
        <v>168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0"/>
      <c r="AA78" s="80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>
      <c r="B79" s="1">
        <v>1</v>
      </c>
      <c r="F79" s="1" t="s">
        <v>132</v>
      </c>
      <c r="I79" s="1" t="s">
        <v>199</v>
      </c>
      <c r="K79" s="1" t="s">
        <v>203</v>
      </c>
      <c r="N79" s="3"/>
      <c r="Q79" s="79">
        <v>0</v>
      </c>
      <c r="R79" s="1" t="s">
        <v>168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0"/>
      <c r="AA79" s="80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>
      <c r="B80" s="1">
        <v>1</v>
      </c>
      <c r="F80" s="1" t="s">
        <v>132</v>
      </c>
      <c r="I80" s="1" t="s">
        <v>199</v>
      </c>
      <c r="K80" s="1" t="s">
        <v>204</v>
      </c>
      <c r="N80" s="3"/>
      <c r="O80" s="1" t="s">
        <v>205</v>
      </c>
      <c r="P80" s="1" t="s">
        <v>186</v>
      </c>
      <c r="Q80" s="79">
        <v>0</v>
      </c>
      <c r="R80" s="1" t="s">
        <v>152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0"/>
      <c r="AA80" s="80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>
      <c r="B81" s="1">
        <v>1</v>
      </c>
      <c r="F81" s="1" t="s">
        <v>132</v>
      </c>
      <c r="I81" s="1" t="s">
        <v>199</v>
      </c>
      <c r="K81" s="1" t="s">
        <v>206</v>
      </c>
      <c r="N81" s="3"/>
      <c r="O81" s="1" t="s">
        <v>205</v>
      </c>
      <c r="P81" s="1" t="s">
        <v>188</v>
      </c>
      <c r="Q81" s="79">
        <v>0</v>
      </c>
      <c r="R81" s="1" t="s">
        <v>168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0"/>
      <c r="AA81" s="80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>
      <c r="B82" s="1">
        <v>1</v>
      </c>
      <c r="F82" s="1" t="s">
        <v>132</v>
      </c>
      <c r="I82" s="1" t="s">
        <v>199</v>
      </c>
      <c r="K82" s="14" t="s">
        <v>207</v>
      </c>
      <c r="N82" s="3"/>
      <c r="O82" s="1" t="s">
        <v>205</v>
      </c>
      <c r="P82" s="1" t="s">
        <v>190</v>
      </c>
      <c r="Q82" s="79">
        <v>0</v>
      </c>
      <c r="R82" s="1" t="s">
        <v>152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0"/>
      <c r="AA82" s="80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>
      <c r="B83" s="1">
        <v>1</v>
      </c>
      <c r="F83" s="1" t="s">
        <v>132</v>
      </c>
      <c r="I83" s="1" t="s">
        <v>199</v>
      </c>
      <c r="K83" s="14" t="s">
        <v>208</v>
      </c>
      <c r="N83" s="3"/>
      <c r="O83" s="1" t="s">
        <v>205</v>
      </c>
      <c r="P83" s="1" t="s">
        <v>192</v>
      </c>
      <c r="Q83" s="79">
        <v>0</v>
      </c>
      <c r="R83" s="1" t="s">
        <v>168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0"/>
      <c r="AA83" s="80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>
      <c r="B84" s="1">
        <v>1</v>
      </c>
      <c r="F84" s="1" t="s">
        <v>132</v>
      </c>
      <c r="I84" s="1" t="s">
        <v>199</v>
      </c>
      <c r="K84" s="14" t="s">
        <v>209</v>
      </c>
      <c r="N84" s="3"/>
      <c r="O84" s="1" t="s">
        <v>205</v>
      </c>
      <c r="P84" s="1" t="s">
        <v>194</v>
      </c>
      <c r="Q84" s="79">
        <v>0</v>
      </c>
      <c r="R84" s="1" t="s">
        <v>168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0"/>
      <c r="AA84" s="80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>
      <c r="B85" s="1">
        <v>1</v>
      </c>
      <c r="F85" s="1" t="s">
        <v>132</v>
      </c>
      <c r="I85" s="1" t="s">
        <v>199</v>
      </c>
      <c r="K85" s="14" t="s">
        <v>210</v>
      </c>
      <c r="N85" s="3"/>
      <c r="O85" s="1" t="s">
        <v>205</v>
      </c>
      <c r="P85" s="1" t="s">
        <v>196</v>
      </c>
      <c r="Q85" s="79">
        <v>0</v>
      </c>
      <c r="R85" s="1" t="s">
        <v>152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0"/>
      <c r="AA85" s="80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>
      <c r="B86" s="1">
        <v>1</v>
      </c>
      <c r="F86" s="1" t="s">
        <v>132</v>
      </c>
      <c r="I86" s="1" t="s">
        <v>154</v>
      </c>
      <c r="K86" s="14" t="s">
        <v>211</v>
      </c>
      <c r="N86" s="3"/>
      <c r="Q86" s="79">
        <v>0</v>
      </c>
      <c r="R86" s="1" t="s">
        <v>152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0"/>
      <c r="AA86" s="80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>
      <c r="B87" s="1">
        <v>1</v>
      </c>
      <c r="F87" s="1" t="s">
        <v>132</v>
      </c>
      <c r="I87" s="1" t="s">
        <v>154</v>
      </c>
      <c r="K87" s="14" t="s">
        <v>212</v>
      </c>
      <c r="N87" s="3"/>
      <c r="P87" s="14" t="s">
        <v>213</v>
      </c>
      <c r="Q87" s="79">
        <v>0</v>
      </c>
      <c r="R87" s="1" t="s">
        <v>168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0"/>
      <c r="AA87" s="80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>
      <c r="B88" s="1">
        <v>1</v>
      </c>
      <c r="F88" s="1" t="s">
        <v>132</v>
      </c>
      <c r="I88" s="1" t="s">
        <v>154</v>
      </c>
      <c r="K88" s="14" t="s">
        <v>214</v>
      </c>
      <c r="N88" s="3"/>
      <c r="P88" s="14" t="s">
        <v>213</v>
      </c>
      <c r="Q88" s="79">
        <v>0</v>
      </c>
      <c r="R88" s="1" t="s">
        <v>168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0"/>
      <c r="AA88" s="80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>
      <c r="B89" s="1">
        <v>1</v>
      </c>
      <c r="F89" s="1" t="s">
        <v>132</v>
      </c>
      <c r="I89" s="1" t="s">
        <v>154</v>
      </c>
      <c r="K89" s="14" t="s">
        <v>215</v>
      </c>
      <c r="N89" s="3"/>
      <c r="P89" s="14" t="s">
        <v>213</v>
      </c>
      <c r="Q89" s="79">
        <v>0</v>
      </c>
      <c r="R89" s="1" t="s">
        <v>152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0"/>
      <c r="AA89" s="80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>
      <c r="B90" s="1">
        <v>1</v>
      </c>
      <c r="F90" s="1" t="s">
        <v>132</v>
      </c>
      <c r="I90" s="1" t="s">
        <v>154</v>
      </c>
      <c r="K90" s="1" t="s">
        <v>216</v>
      </c>
      <c r="N90" s="3"/>
      <c r="O90" s="1" t="s">
        <v>217</v>
      </c>
      <c r="Q90" s="79">
        <v>0</v>
      </c>
      <c r="R90" s="1" t="s">
        <v>149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0"/>
      <c r="AA90" s="80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>
      <c r="B91" s="1">
        <v>1</v>
      </c>
      <c r="F91" s="1" t="s">
        <v>132</v>
      </c>
      <c r="I91" s="1" t="s">
        <v>154</v>
      </c>
      <c r="K91" s="1" t="s">
        <v>218</v>
      </c>
      <c r="N91" s="3"/>
      <c r="O91" s="1" t="s">
        <v>217</v>
      </c>
      <c r="Q91" s="79">
        <v>0</v>
      </c>
      <c r="R91" s="1" t="s">
        <v>149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0"/>
      <c r="AA91" s="80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>
      <c r="B92" s="1">
        <v>1</v>
      </c>
      <c r="F92" s="1" t="s">
        <v>132</v>
      </c>
      <c r="I92" s="1" t="s">
        <v>154</v>
      </c>
      <c r="K92" s="1" t="s">
        <v>219</v>
      </c>
      <c r="N92" s="3"/>
      <c r="O92" s="1" t="s">
        <v>217</v>
      </c>
      <c r="Q92" s="79">
        <v>0</v>
      </c>
      <c r="R92" s="1" t="s">
        <v>168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0"/>
      <c r="AA92" s="80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>
      <c r="B93" s="1">
        <v>1</v>
      </c>
      <c r="F93" s="1" t="s">
        <v>132</v>
      </c>
      <c r="I93" s="1" t="s">
        <v>154</v>
      </c>
      <c r="K93" s="1" t="s">
        <v>220</v>
      </c>
      <c r="N93" s="3"/>
      <c r="O93" s="1" t="s">
        <v>217</v>
      </c>
      <c r="Q93" s="79">
        <v>0</v>
      </c>
      <c r="R93" s="1" t="s">
        <v>168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0"/>
      <c r="AA93" s="80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>
      <c r="B94" s="1">
        <v>1</v>
      </c>
      <c r="F94" s="1" t="s">
        <v>132</v>
      </c>
      <c r="I94" s="1" t="s">
        <v>221</v>
      </c>
      <c r="K94" s="142" t="s">
        <v>222</v>
      </c>
      <c r="N94" s="3"/>
      <c r="Q94" s="79">
        <v>0</v>
      </c>
      <c r="R94" s="141" t="s">
        <v>171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0"/>
      <c r="AA94" s="80"/>
      <c r="AC94" s="223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>
      <c r="B95" s="2" t="s">
        <v>223</v>
      </c>
      <c r="C95" s="2"/>
      <c r="N95" s="3"/>
      <c r="P95" s="6"/>
      <c r="S95" s="14"/>
      <c r="U95" s="14"/>
      <c r="V95" s="14"/>
      <c r="Y95" s="23">
        <f>SUM(Y76:Y94)</f>
        <v>0</v>
      </c>
      <c r="Z95" s="12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>
      <c r="B97" s="14">
        <v>1</v>
      </c>
      <c r="C97" s="14"/>
      <c r="F97" s="1" t="s">
        <v>224</v>
      </c>
      <c r="I97" s="1" t="s">
        <v>154</v>
      </c>
      <c r="K97" s="1" t="s">
        <v>225</v>
      </c>
      <c r="N97" s="3"/>
      <c r="O97" s="1" t="s">
        <v>226</v>
      </c>
      <c r="Q97" s="79">
        <v>0</v>
      </c>
      <c r="R97" s="79" t="s">
        <v>136</v>
      </c>
      <c r="S97" s="79">
        <v>0</v>
      </c>
      <c r="T97" s="14">
        <f t="shared" ref="T97:T104" si="19">Q97*S97</f>
        <v>0</v>
      </c>
      <c r="U97" s="11">
        <v>1</v>
      </c>
      <c r="V97" s="14">
        <f>Voorblad!F24+100</f>
        <v>2071</v>
      </c>
      <c r="W97" s="9">
        <f>Voorblad!K73</f>
        <v>0</v>
      </c>
      <c r="X97" s="6"/>
      <c r="Y97" s="9">
        <f t="shared" si="11"/>
        <v>0</v>
      </c>
      <c r="Z97" s="80"/>
      <c r="AA97" s="80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>
      <c r="B98" s="14">
        <v>1</v>
      </c>
      <c r="C98" s="14"/>
      <c r="F98" s="1" t="s">
        <v>224</v>
      </c>
      <c r="I98" s="1" t="s">
        <v>154</v>
      </c>
      <c r="K98" s="1" t="s">
        <v>227</v>
      </c>
      <c r="N98" s="3"/>
      <c r="O98" s="1" t="s">
        <v>228</v>
      </c>
      <c r="Q98" s="79">
        <v>0</v>
      </c>
      <c r="R98" s="79" t="s">
        <v>136</v>
      </c>
      <c r="S98" s="79">
        <v>0</v>
      </c>
      <c r="T98" s="14">
        <f t="shared" si="19"/>
        <v>0</v>
      </c>
      <c r="U98" s="11">
        <v>1</v>
      </c>
      <c r="V98" s="14"/>
      <c r="W98" s="79">
        <v>0</v>
      </c>
      <c r="X98" s="6"/>
      <c r="Y98" s="9">
        <f t="shared" si="11"/>
        <v>0</v>
      </c>
      <c r="Z98" s="80"/>
      <c r="AA98" s="80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>
      <c r="B99" s="14">
        <v>1</v>
      </c>
      <c r="C99" s="14"/>
      <c r="F99" s="1" t="s">
        <v>229</v>
      </c>
      <c r="I99" s="1" t="s">
        <v>230</v>
      </c>
      <c r="K99" s="14" t="s">
        <v>231</v>
      </c>
      <c r="N99" s="3"/>
      <c r="O99" s="1" t="s">
        <v>232</v>
      </c>
      <c r="Q99" s="1">
        <f>Q80</f>
        <v>0</v>
      </c>
      <c r="R99" s="1" t="s">
        <v>152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79">
        <v>0</v>
      </c>
      <c r="X99" s="6"/>
      <c r="Y99" s="9">
        <f t="shared" si="11"/>
        <v>0</v>
      </c>
      <c r="Z99" s="80"/>
      <c r="AA99" s="80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>
      <c r="B100" s="14">
        <v>1</v>
      </c>
      <c r="C100" s="14"/>
      <c r="F100" s="1" t="s">
        <v>229</v>
      </c>
      <c r="I100" s="1" t="s">
        <v>230</v>
      </c>
      <c r="K100" s="14" t="s">
        <v>233</v>
      </c>
      <c r="N100" s="3"/>
      <c r="O100" s="1" t="s">
        <v>234</v>
      </c>
      <c r="Q100" s="1">
        <f>Q80</f>
        <v>0</v>
      </c>
      <c r="R100" s="1" t="s">
        <v>152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79">
        <v>0</v>
      </c>
      <c r="X100" s="6"/>
      <c r="Y100" s="9">
        <f t="shared" si="11"/>
        <v>0</v>
      </c>
      <c r="Z100" s="80"/>
      <c r="AA100" s="80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>
      <c r="B101" s="14">
        <v>1</v>
      </c>
      <c r="C101" s="14"/>
      <c r="F101" s="1" t="s">
        <v>229</v>
      </c>
      <c r="I101" s="1" t="s">
        <v>230</v>
      </c>
      <c r="K101" s="14" t="s">
        <v>235</v>
      </c>
      <c r="N101" s="3"/>
      <c r="O101" s="1" t="s">
        <v>236</v>
      </c>
      <c r="Q101" s="1">
        <f>Q80</f>
        <v>0</v>
      </c>
      <c r="R101" s="1" t="s">
        <v>152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79">
        <v>0</v>
      </c>
      <c r="X101" s="6"/>
      <c r="Y101" s="9">
        <f t="shared" si="11"/>
        <v>0</v>
      </c>
      <c r="Z101" s="80"/>
      <c r="AA101" s="80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>
      <c r="B102" s="14">
        <v>1</v>
      </c>
      <c r="C102" s="14"/>
      <c r="F102" s="1" t="s">
        <v>237</v>
      </c>
      <c r="I102" s="1" t="s">
        <v>238</v>
      </c>
      <c r="K102" s="1" t="s">
        <v>239</v>
      </c>
      <c r="N102" s="3"/>
      <c r="O102" s="1" t="s">
        <v>240</v>
      </c>
      <c r="Q102" s="79">
        <v>0</v>
      </c>
      <c r="R102" s="1" t="s">
        <v>136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79">
        <v>0</v>
      </c>
      <c r="X102" s="6"/>
      <c r="Y102" s="9">
        <f t="shared" si="11"/>
        <v>0</v>
      </c>
      <c r="Z102" s="80"/>
      <c r="AA102" s="80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>
      <c r="B103" s="14">
        <v>1</v>
      </c>
      <c r="C103" s="14"/>
      <c r="F103" s="1" t="s">
        <v>237</v>
      </c>
      <c r="I103" s="1" t="s">
        <v>238</v>
      </c>
      <c r="K103" s="1" t="s">
        <v>241</v>
      </c>
      <c r="N103" s="3"/>
      <c r="O103" s="1" t="s">
        <v>242</v>
      </c>
      <c r="Q103" s="79">
        <v>0</v>
      </c>
      <c r="R103" s="1" t="s">
        <v>136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79">
        <v>0</v>
      </c>
      <c r="X103" s="6"/>
      <c r="Y103" s="9">
        <f t="shared" si="11"/>
        <v>0</v>
      </c>
      <c r="Z103" s="80"/>
      <c r="AA103" s="80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>
      <c r="B104" s="14">
        <v>1</v>
      </c>
      <c r="C104" s="14"/>
      <c r="F104" s="1" t="s">
        <v>237</v>
      </c>
      <c r="I104" s="1" t="s">
        <v>238</v>
      </c>
      <c r="K104" s="1" t="s">
        <v>243</v>
      </c>
      <c r="N104" s="3"/>
      <c r="O104" s="1" t="s">
        <v>244</v>
      </c>
      <c r="Q104" s="79">
        <v>0</v>
      </c>
      <c r="R104" s="1" t="s">
        <v>136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79">
        <v>0</v>
      </c>
      <c r="X104" s="6"/>
      <c r="Y104" s="9">
        <f t="shared" si="11"/>
        <v>0</v>
      </c>
      <c r="Z104" s="80"/>
      <c r="AA104" s="80"/>
      <c r="AC104" s="223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>
      <c r="B105" s="2" t="s">
        <v>245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5">
        <f>SUM(T97:T104)</f>
        <v>0</v>
      </c>
      <c r="U105" s="14"/>
      <c r="V105" s="14"/>
      <c r="W105" s="14"/>
      <c r="X105" s="6"/>
      <c r="Y105" s="23">
        <f>SUM(Y97:Y104)</f>
        <v>0</v>
      </c>
      <c r="Z105" s="12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>
      <c r="B108" s="19" t="s">
        <v>246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>
      <c r="B109" s="1">
        <v>3</v>
      </c>
      <c r="F109" s="1" t="s">
        <v>132</v>
      </c>
      <c r="I109" s="1" t="s">
        <v>163</v>
      </c>
      <c r="K109" s="1" t="s">
        <v>247</v>
      </c>
      <c r="P109" s="8"/>
      <c r="Q109" s="79">
        <v>1</v>
      </c>
      <c r="R109" s="1" t="s">
        <v>136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0"/>
      <c r="AA109" s="80"/>
      <c r="AC109" s="9">
        <f>$Y109*(Voorblad!$K$44*(1+Voorblad!$K$44)^Voorblad!$K$41)/((1+Voorblad!$K$44)^Voorblad!$K$41-1)</f>
        <v>161.52426379544963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>
      <c r="B110" s="1">
        <v>3</v>
      </c>
      <c r="F110" s="1" t="s">
        <v>132</v>
      </c>
      <c r="I110" s="1" t="s">
        <v>137</v>
      </c>
      <c r="K110" s="1" t="s">
        <v>248</v>
      </c>
      <c r="O110" s="1" t="s">
        <v>249</v>
      </c>
      <c r="P110" s="14" t="s">
        <v>250</v>
      </c>
      <c r="Q110" s="81">
        <f>50%*(((2*89.4*22.8)+(2*(89.4+22.8)*1.55)))</f>
        <v>2212.23</v>
      </c>
      <c r="R110" s="1" t="s">
        <v>152</v>
      </c>
      <c r="S110" s="21">
        <f>$H$20*15</f>
        <v>26.55</v>
      </c>
      <c r="T110" s="9">
        <f t="shared" si="20"/>
        <v>58734.7065</v>
      </c>
      <c r="U110" s="14">
        <v>10</v>
      </c>
      <c r="V110" s="14"/>
      <c r="Y110" s="9">
        <f t="shared" si="21"/>
        <v>131603.48862255015</v>
      </c>
      <c r="Z110" s="80"/>
      <c r="AA110" s="80"/>
      <c r="AC110" s="9">
        <f>$Y110*(Voorblad!$K$44*(1+Voorblad!$K$44)^Voorblad!$K$41)/((1+Voorblad!$K$44)^Voorblad!$K$41-1)</f>
        <v>5029.4751601561593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45883.458843629676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35844.084714291675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28001.341690126221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21874.603374502571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>
      <c r="B111" s="1">
        <v>3</v>
      </c>
      <c r="F111" s="1" t="s">
        <v>132</v>
      </c>
      <c r="I111" s="1" t="s">
        <v>137</v>
      </c>
      <c r="K111" s="1" t="s">
        <v>251</v>
      </c>
      <c r="P111" s="8"/>
      <c r="Q111" s="81">
        <v>0</v>
      </c>
      <c r="R111" s="1" t="s">
        <v>152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0"/>
      <c r="AA111" s="80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>
      <c r="B112" s="1">
        <v>3</v>
      </c>
      <c r="F112" s="1" t="s">
        <v>132</v>
      </c>
      <c r="I112" s="1" t="s">
        <v>137</v>
      </c>
      <c r="K112" s="1" t="s">
        <v>167</v>
      </c>
      <c r="Q112" s="79">
        <v>0</v>
      </c>
      <c r="R112" s="1" t="s">
        <v>168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0"/>
      <c r="AA112" s="80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>
      <c r="B113" s="1">
        <v>3</v>
      </c>
      <c r="F113" s="1" t="s">
        <v>132</v>
      </c>
      <c r="I113" s="1" t="s">
        <v>137</v>
      </c>
      <c r="K113" s="1" t="s">
        <v>252</v>
      </c>
      <c r="P113" s="1" t="s">
        <v>170</v>
      </c>
      <c r="Q113" s="81">
        <f>4*89.4</f>
        <v>357.6</v>
      </c>
      <c r="R113" s="141" t="s">
        <v>171</v>
      </c>
      <c r="S113" s="21">
        <f>$H$20*350</f>
        <v>619.5</v>
      </c>
      <c r="T113" s="9">
        <f t="shared" si="20"/>
        <v>221533.2</v>
      </c>
      <c r="U113" s="14">
        <v>15</v>
      </c>
      <c r="V113" s="14"/>
      <c r="Y113" s="9">
        <f>SUM(AE113:EB113)</f>
        <v>258575.37692105549</v>
      </c>
      <c r="Z113" s="80"/>
      <c r="AA113" s="80"/>
      <c r="AC113" s="9">
        <f>$Y113*(Voorblad!$K$44*(1+Voorblad!$K$44)^Voorblad!$K$41)/((1+Voorblad!$K$44)^Voorblad!$K$41-1)</f>
        <v>9881.9449914614615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152961.04429632242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105614.33262473306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>
      <c r="B114" s="1">
        <v>3</v>
      </c>
      <c r="F114" s="1" t="s">
        <v>132</v>
      </c>
      <c r="I114" s="1" t="s">
        <v>137</v>
      </c>
      <c r="K114" s="14" t="s">
        <v>172</v>
      </c>
      <c r="L114" s="14"/>
      <c r="M114" s="14"/>
      <c r="O114" s="1" t="s">
        <v>173</v>
      </c>
      <c r="Q114" s="79">
        <v>0</v>
      </c>
      <c r="R114" s="1" t="s">
        <v>136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0"/>
      <c r="AA114" s="80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>
      <c r="B115" s="14">
        <v>3</v>
      </c>
      <c r="F115" s="14" t="s">
        <v>132</v>
      </c>
      <c r="I115" s="1" t="s">
        <v>137</v>
      </c>
      <c r="K115" s="14" t="s">
        <v>253</v>
      </c>
      <c r="O115" s="14" t="s">
        <v>254</v>
      </c>
      <c r="P115" s="14" t="s">
        <v>255</v>
      </c>
      <c r="Q115" s="82">
        <f>2.5%*2*(5+89.4+5)</f>
        <v>4.9700000000000006</v>
      </c>
      <c r="R115" s="14" t="s">
        <v>168</v>
      </c>
      <c r="S115" s="21">
        <f>$H$20*1000</f>
        <v>1770</v>
      </c>
      <c r="T115" s="21">
        <f t="shared" si="20"/>
        <v>8796.9000000000015</v>
      </c>
      <c r="U115" s="14">
        <v>15</v>
      </c>
      <c r="Y115" s="21">
        <f t="shared" si="22"/>
        <v>10267.814184225357</v>
      </c>
      <c r="Z115" s="143"/>
      <c r="AA115" s="143"/>
      <c r="AC115" s="9">
        <f>$Y115*(Voorblad!$K$44*(1+Voorblad!$K$44)^Voorblad!$K$41)/((1+Voorblad!$K$44)^Voorblad!$K$41-1)</f>
        <v>392.40385592492373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6073.9564569568747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4193.8577272684834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>
      <c r="B116" s="1">
        <v>3</v>
      </c>
      <c r="F116" s="1" t="s">
        <v>132</v>
      </c>
      <c r="I116" s="1" t="s">
        <v>137</v>
      </c>
      <c r="K116" s="14" t="s">
        <v>256</v>
      </c>
      <c r="L116" s="14"/>
      <c r="M116" s="14"/>
      <c r="O116" s="1" t="s">
        <v>175</v>
      </c>
      <c r="P116" s="1" t="s">
        <v>176</v>
      </c>
      <c r="Q116" s="79">
        <v>0</v>
      </c>
      <c r="R116" s="1" t="s">
        <v>152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0"/>
      <c r="AA116" s="80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>
      <c r="B117" s="1">
        <v>3</v>
      </c>
      <c r="F117" s="1" t="s">
        <v>132</v>
      </c>
      <c r="I117" s="1" t="s">
        <v>137</v>
      </c>
      <c r="K117" s="14" t="s">
        <v>257</v>
      </c>
      <c r="L117" s="14"/>
      <c r="M117" s="14"/>
      <c r="O117" s="1" t="s">
        <v>178</v>
      </c>
      <c r="P117" s="1" t="s">
        <v>179</v>
      </c>
      <c r="Q117" s="82">
        <f>2.5%*2*(5+89.4+5)</f>
        <v>4.9700000000000006</v>
      </c>
      <c r="R117" s="1" t="s">
        <v>168</v>
      </c>
      <c r="S117" s="14">
        <f>$H$20*500</f>
        <v>885</v>
      </c>
      <c r="T117" s="9">
        <f t="shared" si="20"/>
        <v>4398.4500000000007</v>
      </c>
      <c r="U117" s="14">
        <v>15</v>
      </c>
      <c r="V117" s="14"/>
      <c r="Y117" s="9">
        <f t="shared" si="22"/>
        <v>5133.9070921126786</v>
      </c>
      <c r="Z117" s="80"/>
      <c r="AA117" s="80"/>
      <c r="AC117" s="9">
        <f>$Y117*(Voorblad!$K$44*(1+Voorblad!$K$44)^Voorblad!$K$41)/((1+Voorblad!$K$44)^Voorblad!$K$41-1)</f>
        <v>196.20192796246187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3036.9782284784374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2096.9288636342417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>
      <c r="B118" s="1">
        <v>3</v>
      </c>
      <c r="F118" s="1" t="s">
        <v>132</v>
      </c>
      <c r="I118" s="1" t="s">
        <v>137</v>
      </c>
      <c r="K118" s="14" t="s">
        <v>258</v>
      </c>
      <c r="L118" s="14"/>
      <c r="M118" s="14"/>
      <c r="O118" s="1" t="s">
        <v>178</v>
      </c>
      <c r="P118" s="1" t="s">
        <v>179</v>
      </c>
      <c r="Q118" s="79">
        <v>0</v>
      </c>
      <c r="R118" s="1" t="s">
        <v>168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0"/>
      <c r="AA118" s="80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>
      <c r="B119" s="1">
        <v>3</v>
      </c>
      <c r="F119" s="1" t="s">
        <v>132</v>
      </c>
      <c r="I119" s="1" t="s">
        <v>137</v>
      </c>
      <c r="K119" s="14" t="s">
        <v>181</v>
      </c>
      <c r="L119" s="14"/>
      <c r="M119" s="14"/>
      <c r="O119" s="1" t="s">
        <v>182</v>
      </c>
      <c r="P119" s="1" t="s">
        <v>183</v>
      </c>
      <c r="Q119" s="79">
        <v>0</v>
      </c>
      <c r="R119" s="1" t="s">
        <v>152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0"/>
      <c r="AA119" s="80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>
      <c r="B120" s="1">
        <v>3</v>
      </c>
      <c r="F120" s="1" t="s">
        <v>132</v>
      </c>
      <c r="I120" s="1" t="s">
        <v>137</v>
      </c>
      <c r="K120" s="1" t="s">
        <v>259</v>
      </c>
      <c r="O120" s="1" t="s">
        <v>185</v>
      </c>
      <c r="P120" s="1" t="s">
        <v>188</v>
      </c>
      <c r="Q120" s="79">
        <v>0</v>
      </c>
      <c r="R120" s="1" t="s">
        <v>168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0"/>
      <c r="AA120" s="80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>
      <c r="B121" s="1">
        <v>3</v>
      </c>
      <c r="F121" s="1" t="s">
        <v>132</v>
      </c>
      <c r="I121" s="1" t="s">
        <v>137</v>
      </c>
      <c r="K121" s="14" t="s">
        <v>260</v>
      </c>
      <c r="L121" s="14"/>
      <c r="M121" s="14"/>
      <c r="O121" s="1" t="s">
        <v>185</v>
      </c>
      <c r="P121" s="1" t="s">
        <v>190</v>
      </c>
      <c r="Q121" s="79">
        <v>0</v>
      </c>
      <c r="R121" s="1" t="s">
        <v>152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0"/>
      <c r="AA121" s="80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>
      <c r="B122" s="1">
        <v>3</v>
      </c>
      <c r="F122" s="1" t="s">
        <v>132</v>
      </c>
      <c r="I122" s="1" t="s">
        <v>137</v>
      </c>
      <c r="K122" s="14" t="s">
        <v>261</v>
      </c>
      <c r="L122" s="14"/>
      <c r="M122" s="14"/>
      <c r="O122" s="1" t="s">
        <v>185</v>
      </c>
      <c r="P122" s="1" t="s">
        <v>192</v>
      </c>
      <c r="Q122" s="81">
        <f>2*(5+89.4+5)</f>
        <v>198.8</v>
      </c>
      <c r="R122" s="1" t="s">
        <v>168</v>
      </c>
      <c r="S122" s="14">
        <f>$H$20*100</f>
        <v>177</v>
      </c>
      <c r="T122" s="9">
        <f t="shared" si="20"/>
        <v>35187.599999999999</v>
      </c>
      <c r="U122" s="14">
        <v>15</v>
      </c>
      <c r="V122" s="14"/>
      <c r="Y122" s="9">
        <f t="shared" si="23"/>
        <v>41071.256736901429</v>
      </c>
      <c r="Z122" s="80"/>
      <c r="AA122" s="80"/>
      <c r="AC122" s="9">
        <f>$Y122*(Voorblad!$K$44*(1+Voorblad!$K$44)^Voorblad!$K$41)/((1+Voorblad!$K$44)^Voorblad!$K$41-1)</f>
        <v>1569.6154236996949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24295.825827827495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16775.43090907393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>
      <c r="B123" s="1">
        <v>3</v>
      </c>
      <c r="F123" s="1" t="s">
        <v>132</v>
      </c>
      <c r="I123" s="1" t="s">
        <v>137</v>
      </c>
      <c r="K123" s="14" t="s">
        <v>262</v>
      </c>
      <c r="L123" s="14"/>
      <c r="M123" s="14"/>
      <c r="O123" s="1" t="s">
        <v>185</v>
      </c>
      <c r="P123" s="1" t="s">
        <v>194</v>
      </c>
      <c r="Q123" s="79">
        <v>0</v>
      </c>
      <c r="R123" s="1" t="s">
        <v>168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0"/>
      <c r="AA123" s="80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>
      <c r="B124" s="1">
        <v>3</v>
      </c>
      <c r="F124" s="1" t="s">
        <v>132</v>
      </c>
      <c r="I124" s="1" t="s">
        <v>137</v>
      </c>
      <c r="K124" s="14" t="s">
        <v>263</v>
      </c>
      <c r="L124" s="14"/>
      <c r="M124" s="14"/>
      <c r="O124" s="1" t="s">
        <v>185</v>
      </c>
      <c r="P124" s="1" t="s">
        <v>196</v>
      </c>
      <c r="Q124" s="79">
        <v>0</v>
      </c>
      <c r="R124" s="1" t="s">
        <v>152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0"/>
      <c r="AA124" s="80"/>
      <c r="AC124" s="223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>
      <c r="B125" s="2" t="s">
        <v>197</v>
      </c>
      <c r="C125" s="2"/>
      <c r="S125" s="14"/>
      <c r="U125" s="14"/>
      <c r="V125" s="14"/>
      <c r="Y125" s="23">
        <f>SUM(Y109:Y124)</f>
        <v>450878.35943290923</v>
      </c>
      <c r="Z125" s="12"/>
      <c r="AA125" s="23">
        <f>SUM(AA109:AA124)</f>
        <v>0</v>
      </c>
      <c r="AC125" s="9">
        <f>$Y125*(Voorblad!$K$44*(1+Voorblad!$K$44)^Voorblad!$K$41)/((1+Voorblad!$K$44)^Voorblad!$K$41-1)</f>
        <v>17231.16562300015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46574.819429156945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186978.86682738771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36384.174498721739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157103.8090912211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22204.20447647513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>
      <c r="J126" s="144" t="s">
        <v>198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>
      <c r="B127" s="1">
        <v>1</v>
      </c>
      <c r="D127" s="1" t="s">
        <v>60</v>
      </c>
      <c r="F127" s="1" t="s">
        <v>132</v>
      </c>
      <c r="I127" s="1" t="s">
        <v>154</v>
      </c>
      <c r="K127" s="1" t="s">
        <v>200</v>
      </c>
      <c r="Q127" s="79">
        <v>0</v>
      </c>
      <c r="R127" s="1" t="s">
        <v>168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0"/>
      <c r="AA127" s="80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>
      <c r="B128" s="1">
        <v>1</v>
      </c>
      <c r="D128" s="1" t="s">
        <v>60</v>
      </c>
      <c r="F128" s="1" t="s">
        <v>132</v>
      </c>
      <c r="I128" s="1" t="s">
        <v>154</v>
      </c>
      <c r="K128" s="1" t="s">
        <v>201</v>
      </c>
      <c r="Q128" s="79">
        <v>0</v>
      </c>
      <c r="R128" s="1" t="s">
        <v>168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0"/>
      <c r="AA128" s="80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>
      <c r="B129" s="1">
        <v>1</v>
      </c>
      <c r="D129" s="1" t="s">
        <v>60</v>
      </c>
      <c r="F129" s="1" t="s">
        <v>132</v>
      </c>
      <c r="I129" s="1" t="s">
        <v>154</v>
      </c>
      <c r="K129" s="1" t="s">
        <v>202</v>
      </c>
      <c r="Q129" s="79">
        <v>0</v>
      </c>
      <c r="R129" s="1" t="s">
        <v>168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0"/>
      <c r="AA129" s="80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>
      <c r="B130" s="1">
        <v>1</v>
      </c>
      <c r="D130" s="1" t="s">
        <v>60</v>
      </c>
      <c r="F130" s="1" t="s">
        <v>132</v>
      </c>
      <c r="I130" s="1" t="s">
        <v>154</v>
      </c>
      <c r="K130" s="1" t="s">
        <v>203</v>
      </c>
      <c r="Q130" s="79">
        <v>0</v>
      </c>
      <c r="R130" s="1" t="s">
        <v>168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0"/>
      <c r="AA130" s="80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>
      <c r="B131" s="1">
        <v>1</v>
      </c>
      <c r="F131" s="1" t="s">
        <v>132</v>
      </c>
      <c r="I131" s="1" t="s">
        <v>199</v>
      </c>
      <c r="K131" s="1" t="s">
        <v>264</v>
      </c>
      <c r="O131" s="1" t="s">
        <v>205</v>
      </c>
      <c r="P131" s="1" t="s">
        <v>188</v>
      </c>
      <c r="Q131" s="79">
        <v>0</v>
      </c>
      <c r="R131" s="1" t="s">
        <v>168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0"/>
      <c r="AA131" s="80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>
      <c r="B132" s="1">
        <v>1</v>
      </c>
      <c r="F132" s="1" t="s">
        <v>132</v>
      </c>
      <c r="I132" s="1" t="s">
        <v>199</v>
      </c>
      <c r="K132" s="14" t="s">
        <v>265</v>
      </c>
      <c r="O132" s="1" t="s">
        <v>205</v>
      </c>
      <c r="P132" s="1" t="s">
        <v>190</v>
      </c>
      <c r="Q132" s="79">
        <v>0</v>
      </c>
      <c r="R132" s="1" t="s">
        <v>152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0"/>
      <c r="AA132" s="80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>
      <c r="B133" s="1">
        <v>1</v>
      </c>
      <c r="F133" s="1" t="s">
        <v>132</v>
      </c>
      <c r="I133" s="1" t="s">
        <v>199</v>
      </c>
      <c r="K133" s="1" t="s">
        <v>266</v>
      </c>
      <c r="O133" s="1" t="s">
        <v>205</v>
      </c>
      <c r="P133" s="1" t="s">
        <v>192</v>
      </c>
      <c r="Q133" s="81">
        <f>2*(5+89.4+5)</f>
        <v>198.8</v>
      </c>
      <c r="R133" s="1" t="s">
        <v>168</v>
      </c>
      <c r="S133" s="21">
        <f>$H$10*125</f>
        <v>297.5</v>
      </c>
      <c r="T133" s="9">
        <f t="shared" si="104"/>
        <v>59143</v>
      </c>
      <c r="U133" s="14">
        <v>30</v>
      </c>
      <c r="V133" s="14"/>
      <c r="Y133" s="9">
        <f t="shared" si="21"/>
        <v>28195.992629658158</v>
      </c>
      <c r="Z133" s="80"/>
      <c r="AA133" s="80"/>
      <c r="AC133" s="9">
        <f>$Y133*(Voorblad!$K$44*(1+Voorblad!$K$44)^Voorblad!$K$41)/((1+Voorblad!$K$44)^Voorblad!$K$41-1)</f>
        <v>1077.5629584830979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28195.992629658158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>
      <c r="B134" s="1">
        <v>1</v>
      </c>
      <c r="F134" s="1" t="s">
        <v>132</v>
      </c>
      <c r="I134" s="1" t="s">
        <v>199</v>
      </c>
      <c r="K134" s="14" t="s">
        <v>267</v>
      </c>
      <c r="O134" s="1" t="s">
        <v>205</v>
      </c>
      <c r="P134" s="1" t="s">
        <v>194</v>
      </c>
      <c r="Q134" s="79">
        <v>0</v>
      </c>
      <c r="R134" s="1" t="s">
        <v>168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0"/>
      <c r="AA134" s="80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>
      <c r="B135" s="1">
        <v>1</v>
      </c>
      <c r="F135" s="1" t="s">
        <v>132</v>
      </c>
      <c r="I135" s="1" t="s">
        <v>199</v>
      </c>
      <c r="K135" s="14" t="s">
        <v>268</v>
      </c>
      <c r="O135" s="1" t="s">
        <v>205</v>
      </c>
      <c r="P135" s="1" t="s">
        <v>196</v>
      </c>
      <c r="Q135" s="79">
        <v>0</v>
      </c>
      <c r="R135" s="1" t="s">
        <v>152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0"/>
      <c r="AA135" s="80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>
      <c r="B136" s="1">
        <v>1</v>
      </c>
      <c r="F136" s="1" t="s">
        <v>132</v>
      </c>
      <c r="I136" s="1" t="s">
        <v>221</v>
      </c>
      <c r="K136" s="1" t="s">
        <v>269</v>
      </c>
      <c r="P136" s="1" t="s">
        <v>170</v>
      </c>
      <c r="Q136" s="81">
        <f>4*89.4</f>
        <v>357.6</v>
      </c>
      <c r="R136" s="141" t="s">
        <v>171</v>
      </c>
      <c r="S136" s="14">
        <f>$H$10*500</f>
        <v>1190</v>
      </c>
      <c r="T136" s="9">
        <f t="shared" si="104"/>
        <v>425544</v>
      </c>
      <c r="U136" s="14">
        <v>50</v>
      </c>
      <c r="V136" s="14"/>
      <c r="Y136" s="9">
        <f>SUM(AE136:EB136)</f>
        <v>0</v>
      </c>
      <c r="Z136" s="80"/>
      <c r="AA136" s="80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>
      <c r="B137" s="1">
        <v>1</v>
      </c>
      <c r="C137" s="1"/>
      <c r="F137" s="14" t="s">
        <v>132</v>
      </c>
      <c r="I137" s="14" t="s">
        <v>221</v>
      </c>
      <c r="J137" s="1"/>
      <c r="K137" s="14" t="s">
        <v>270</v>
      </c>
      <c r="O137" s="14" t="s">
        <v>271</v>
      </c>
      <c r="P137" s="14" t="s">
        <v>272</v>
      </c>
      <c r="Q137" s="82">
        <f>7.5%*2*(5+89.4+5)</f>
        <v>14.91</v>
      </c>
      <c r="R137" s="14" t="s">
        <v>168</v>
      </c>
      <c r="S137" s="21">
        <f>$H$10*1000</f>
        <v>2380</v>
      </c>
      <c r="T137" s="21">
        <f t="shared" si="104"/>
        <v>35485.800000000003</v>
      </c>
      <c r="U137" s="14">
        <v>50</v>
      </c>
      <c r="Y137" s="21">
        <f t="shared" ref="Y137" si="108">SUM(AE137:EB137)</f>
        <v>0</v>
      </c>
      <c r="Z137" s="143"/>
      <c r="AA137" s="143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>
      <c r="B138" s="1">
        <v>1</v>
      </c>
      <c r="F138" s="1" t="s">
        <v>132</v>
      </c>
      <c r="I138" s="1" t="s">
        <v>154</v>
      </c>
      <c r="K138" s="14" t="s">
        <v>273</v>
      </c>
      <c r="Q138" s="79">
        <v>0</v>
      </c>
      <c r="R138" s="1" t="s">
        <v>152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0"/>
      <c r="AA138" s="80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>
      <c r="B139" s="1">
        <v>1</v>
      </c>
      <c r="F139" s="1" t="s">
        <v>132</v>
      </c>
      <c r="I139" s="1" t="s">
        <v>154</v>
      </c>
      <c r="K139" s="14" t="s">
        <v>212</v>
      </c>
      <c r="P139" s="14" t="s">
        <v>213</v>
      </c>
      <c r="Q139" s="81">
        <f>2*(5+89.4+5)</f>
        <v>198.8</v>
      </c>
      <c r="R139" s="1" t="s">
        <v>168</v>
      </c>
      <c r="S139" s="14">
        <f>$H$10*400</f>
        <v>952</v>
      </c>
      <c r="T139" s="9">
        <f t="shared" si="104"/>
        <v>189257.60000000001</v>
      </c>
      <c r="U139" s="14">
        <v>50</v>
      </c>
      <c r="V139" s="14"/>
      <c r="Y139" s="9">
        <f t="shared" si="107"/>
        <v>0</v>
      </c>
      <c r="Z139" s="80"/>
      <c r="AA139" s="80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>
      <c r="B140" s="1">
        <v>1</v>
      </c>
      <c r="F140" s="1" t="s">
        <v>132</v>
      </c>
      <c r="I140" s="1" t="s">
        <v>154</v>
      </c>
      <c r="K140" s="14" t="s">
        <v>214</v>
      </c>
      <c r="P140" s="14" t="s">
        <v>213</v>
      </c>
      <c r="Q140" s="79">
        <v>0</v>
      </c>
      <c r="R140" s="1" t="s">
        <v>168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0"/>
      <c r="AA140" s="80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>
      <c r="B141" s="1">
        <v>1</v>
      </c>
      <c r="F141" s="1" t="s">
        <v>132</v>
      </c>
      <c r="I141" s="1" t="s">
        <v>154</v>
      </c>
      <c r="K141" s="14" t="s">
        <v>215</v>
      </c>
      <c r="P141" s="14" t="s">
        <v>213</v>
      </c>
      <c r="Q141" s="79">
        <v>0</v>
      </c>
      <c r="R141" s="1" t="s">
        <v>152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0"/>
      <c r="AA141" s="80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>
      <c r="B142" s="1">
        <v>1</v>
      </c>
      <c r="F142" s="1" t="s">
        <v>132</v>
      </c>
      <c r="I142" s="1" t="s">
        <v>154</v>
      </c>
      <c r="K142" s="1" t="s">
        <v>216</v>
      </c>
      <c r="O142" s="1" t="s">
        <v>217</v>
      </c>
      <c r="Q142" s="79">
        <v>36</v>
      </c>
      <c r="R142" s="1" t="s">
        <v>149</v>
      </c>
      <c r="S142" s="14">
        <f>$H$10*1500</f>
        <v>3570</v>
      </c>
      <c r="T142" s="9">
        <f t="shared" si="104"/>
        <v>128520</v>
      </c>
      <c r="U142" s="14">
        <v>50</v>
      </c>
      <c r="V142" s="14"/>
      <c r="Y142" s="9">
        <f>SUM(AE142:EB142)</f>
        <v>0</v>
      </c>
      <c r="Z142" s="80"/>
      <c r="AA142" s="80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>
      <c r="B143" s="1">
        <v>1</v>
      </c>
      <c r="F143" s="1" t="s">
        <v>132</v>
      </c>
      <c r="I143" s="1" t="s">
        <v>154</v>
      </c>
      <c r="K143" s="1" t="s">
        <v>218</v>
      </c>
      <c r="O143" s="1" t="s">
        <v>217</v>
      </c>
      <c r="Q143" s="79">
        <v>0</v>
      </c>
      <c r="R143" s="1" t="s">
        <v>149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0"/>
      <c r="AA143" s="80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>
      <c r="B144" s="1">
        <v>1</v>
      </c>
      <c r="F144" s="1" t="s">
        <v>132</v>
      </c>
      <c r="I144" s="1" t="s">
        <v>154</v>
      </c>
      <c r="K144" s="1" t="s">
        <v>219</v>
      </c>
      <c r="O144" s="1" t="s">
        <v>217</v>
      </c>
      <c r="Q144" s="79">
        <v>0</v>
      </c>
      <c r="R144" s="1" t="s">
        <v>168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0"/>
      <c r="AA144" s="80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>
      <c r="B145" s="1">
        <v>1</v>
      </c>
      <c r="F145" s="1" t="s">
        <v>132</v>
      </c>
      <c r="I145" s="1" t="s">
        <v>154</v>
      </c>
      <c r="K145" s="1" t="s">
        <v>220</v>
      </c>
      <c r="O145" s="1" t="s">
        <v>217</v>
      </c>
      <c r="Q145" s="79">
        <v>0</v>
      </c>
      <c r="R145" s="1" t="s">
        <v>168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0"/>
      <c r="AA145" s="80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>
      <c r="B146" s="1">
        <v>1</v>
      </c>
      <c r="F146" s="1" t="s">
        <v>132</v>
      </c>
      <c r="I146" s="1" t="s">
        <v>221</v>
      </c>
      <c r="K146" s="142" t="s">
        <v>222</v>
      </c>
      <c r="Q146" s="82">
        <f>2*89.4</f>
        <v>178.8</v>
      </c>
      <c r="R146" s="141" t="s">
        <v>171</v>
      </c>
      <c r="S146" s="14">
        <f>$H$10*500</f>
        <v>1190</v>
      </c>
      <c r="T146" s="9">
        <f t="shared" si="104"/>
        <v>212772</v>
      </c>
      <c r="U146" s="14">
        <v>50</v>
      </c>
      <c r="V146" s="14"/>
      <c r="Y146" s="9">
        <f>SUM(AE146:EB146)</f>
        <v>0</v>
      </c>
      <c r="Z146" s="80"/>
      <c r="AA146" s="80"/>
      <c r="AC146" s="223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>
      <c r="B147" s="2" t="s">
        <v>223</v>
      </c>
      <c r="C147" s="2"/>
      <c r="D147" s="22"/>
      <c r="N147" s="6"/>
      <c r="S147" s="14"/>
      <c r="U147" s="14"/>
      <c r="V147" s="14"/>
      <c r="Y147" s="23">
        <f>SUM(Y127:Y146)</f>
        <v>28195.992629658158</v>
      </c>
      <c r="Z147" s="12"/>
      <c r="AA147" s="23">
        <f>SUM(AA127:AA146)</f>
        <v>0</v>
      </c>
      <c r="AC147" s="9">
        <f>$Y147*(Voorblad!$K$44*(1+Voorblad!$K$44)^Voorblad!$K$41)/((1+Voorblad!$K$44)^Voorblad!$K$41-1)</f>
        <v>1077.5629584830979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28195.992629658158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>
      <c r="B149" s="14">
        <v>1</v>
      </c>
      <c r="C149" s="14"/>
      <c r="F149" s="1" t="s">
        <v>224</v>
      </c>
      <c r="I149" s="1" t="s">
        <v>154</v>
      </c>
      <c r="K149" s="1" t="s">
        <v>274</v>
      </c>
      <c r="O149" s="1" t="s">
        <v>226</v>
      </c>
      <c r="P149" s="14" t="s">
        <v>275</v>
      </c>
      <c r="Q149" s="81">
        <v>2039.232</v>
      </c>
      <c r="R149" s="79" t="s">
        <v>152</v>
      </c>
      <c r="S149" s="79">
        <v>11500</v>
      </c>
      <c r="T149" s="21">
        <f>Q149*S149</f>
        <v>23451168</v>
      </c>
      <c r="U149" s="11">
        <v>1</v>
      </c>
      <c r="V149" s="14">
        <f>Voorblad!F24+100</f>
        <v>2071</v>
      </c>
      <c r="W149" s="9">
        <f>Voorblad!K77</f>
        <v>2071</v>
      </c>
      <c r="X149" s="6"/>
      <c r="Y149" s="9">
        <f t="shared" si="21"/>
        <v>8110325.1545922095</v>
      </c>
      <c r="Z149" s="80" t="s">
        <v>276</v>
      </c>
      <c r="AA149" s="80">
        <v>104</v>
      </c>
      <c r="AC149" s="9">
        <f>$Y149*(Voorblad!$K$44*(1+Voorblad!$K$44)^Voorblad!$K$41)/((1+Voorblad!$K$44)^Voorblad!$K$41-1)</f>
        <v>309951.34956340154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8110325.1545922095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>
      <c r="B150" s="14">
        <v>1</v>
      </c>
      <c r="C150" s="14"/>
      <c r="F150" s="1" t="s">
        <v>224</v>
      </c>
      <c r="I150" s="1" t="s">
        <v>154</v>
      </c>
      <c r="K150" s="1" t="s">
        <v>227</v>
      </c>
      <c r="O150" s="1" t="s">
        <v>228</v>
      </c>
      <c r="Q150" s="79">
        <v>0</v>
      </c>
      <c r="R150" s="74" t="s">
        <v>136</v>
      </c>
      <c r="S150" s="79">
        <v>0</v>
      </c>
      <c r="T150" s="14">
        <f>Q150*S150</f>
        <v>0</v>
      </c>
      <c r="U150" s="11">
        <v>1</v>
      </c>
      <c r="V150" s="14"/>
      <c r="W150" s="79">
        <v>0</v>
      </c>
      <c r="X150" s="6"/>
      <c r="Y150" s="9">
        <f t="shared" si="21"/>
        <v>0</v>
      </c>
      <c r="Z150" s="80"/>
      <c r="AA150" s="80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>
      <c r="B151" s="14">
        <v>1</v>
      </c>
      <c r="C151" s="14"/>
      <c r="F151" s="1" t="s">
        <v>237</v>
      </c>
      <c r="I151" s="1" t="s">
        <v>238</v>
      </c>
      <c r="K151" s="1" t="s">
        <v>239</v>
      </c>
      <c r="O151" s="1" t="s">
        <v>240</v>
      </c>
      <c r="Q151" s="79">
        <v>0</v>
      </c>
      <c r="R151" s="1" t="s">
        <v>136</v>
      </c>
      <c r="S151" s="21">
        <f>2%*T149</f>
        <v>469023.36</v>
      </c>
      <c r="T151" s="21">
        <f>Q151*S151</f>
        <v>0</v>
      </c>
      <c r="U151" s="11">
        <v>1</v>
      </c>
      <c r="V151" s="14"/>
      <c r="W151" s="79">
        <v>0</v>
      </c>
      <c r="X151" s="6"/>
      <c r="Y151" s="9">
        <f t="shared" si="21"/>
        <v>0</v>
      </c>
      <c r="Z151" s="80"/>
      <c r="AA151" s="80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>
      <c r="B152" s="14">
        <v>1</v>
      </c>
      <c r="C152" s="14"/>
      <c r="F152" s="1" t="s">
        <v>237</v>
      </c>
      <c r="I152" s="1" t="s">
        <v>238</v>
      </c>
      <c r="K152" s="1" t="s">
        <v>241</v>
      </c>
      <c r="O152" s="1" t="s">
        <v>242</v>
      </c>
      <c r="Q152" s="79">
        <v>0</v>
      </c>
      <c r="R152" s="1" t="s">
        <v>136</v>
      </c>
      <c r="S152" s="21">
        <f>4%*T149</f>
        <v>938046.72</v>
      </c>
      <c r="T152" s="21">
        <f>Q152*S152</f>
        <v>0</v>
      </c>
      <c r="U152" s="11">
        <v>1</v>
      </c>
      <c r="V152" s="14"/>
      <c r="W152" s="79">
        <v>0</v>
      </c>
      <c r="X152" s="6"/>
      <c r="Y152" s="9">
        <f t="shared" si="21"/>
        <v>0</v>
      </c>
      <c r="Z152" s="80"/>
      <c r="AA152" s="80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>
      <c r="B153" s="14">
        <v>1</v>
      </c>
      <c r="C153" s="14"/>
      <c r="F153" s="1" t="s">
        <v>237</v>
      </c>
      <c r="I153" s="1" t="s">
        <v>238</v>
      </c>
      <c r="K153" s="1" t="s">
        <v>243</v>
      </c>
      <c r="O153" s="1" t="s">
        <v>244</v>
      </c>
      <c r="Q153" s="79">
        <v>0</v>
      </c>
      <c r="R153" s="1" t="s">
        <v>136</v>
      </c>
      <c r="S153" s="21">
        <f>7%*T149</f>
        <v>1641581.7600000002</v>
      </c>
      <c r="T153" s="21">
        <f>Q153*S153</f>
        <v>0</v>
      </c>
      <c r="U153" s="11">
        <v>1</v>
      </c>
      <c r="V153" s="14"/>
      <c r="W153" s="79">
        <v>0</v>
      </c>
      <c r="X153" s="6"/>
      <c r="Y153" s="9">
        <f t="shared" si="21"/>
        <v>0</v>
      </c>
      <c r="Z153" s="80"/>
      <c r="AA153" s="80"/>
      <c r="AC153" s="223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>
      <c r="B154" s="2" t="s">
        <v>245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5">
        <f>SUM(T149:T153)</f>
        <v>23451168</v>
      </c>
      <c r="U154" s="14"/>
      <c r="V154" s="14"/>
      <c r="W154" s="14"/>
      <c r="X154" s="6"/>
      <c r="Y154" s="23">
        <f>SUM(Y149:Y153)</f>
        <v>8110325.1545922095</v>
      </c>
      <c r="Z154" s="12"/>
      <c r="AA154" s="23">
        <f>SUM(AA149:AA153)</f>
        <v>104</v>
      </c>
      <c r="AC154" s="9">
        <f>$Y154*(Voorblad!$K$44*(1+Voorblad!$K$44)^Voorblad!$K$41)/((1+Voorblad!$K$44)^Voorblad!$K$41-1)</f>
        <v>309951.34956340154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12"/>
      <c r="Z155" s="12"/>
      <c r="AA155" s="12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>
      <c r="B157" s="19" t="s">
        <v>277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>
      <c r="B158" s="1">
        <v>3</v>
      </c>
      <c r="F158" s="1" t="s">
        <v>132</v>
      </c>
      <c r="I158" s="1" t="s">
        <v>163</v>
      </c>
      <c r="K158" s="1" t="s">
        <v>247</v>
      </c>
      <c r="Q158" s="79">
        <v>0</v>
      </c>
      <c r="R158" s="1" t="s">
        <v>136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0"/>
      <c r="AA158" s="80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>
      <c r="B159" s="1">
        <v>3</v>
      </c>
      <c r="F159" s="1" t="s">
        <v>132</v>
      </c>
      <c r="I159" s="1" t="s">
        <v>137</v>
      </c>
      <c r="K159" s="1" t="s">
        <v>278</v>
      </c>
      <c r="O159" s="1" t="s">
        <v>165</v>
      </c>
      <c r="Q159" s="81">
        <v>0</v>
      </c>
      <c r="R159" s="1" t="s">
        <v>152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0"/>
      <c r="AA159" s="80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>
      <c r="B160" s="1">
        <v>3</v>
      </c>
      <c r="F160" s="1" t="s">
        <v>132</v>
      </c>
      <c r="I160" s="1" t="s">
        <v>137</v>
      </c>
      <c r="K160" s="1" t="s">
        <v>251</v>
      </c>
      <c r="Q160" s="81">
        <v>0</v>
      </c>
      <c r="R160" s="1" t="s">
        <v>152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0"/>
      <c r="AA160" s="80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>
      <c r="B161" s="1">
        <v>3</v>
      </c>
      <c r="F161" s="1" t="s">
        <v>132</v>
      </c>
      <c r="I161" s="1" t="s">
        <v>137</v>
      </c>
      <c r="K161" s="1" t="s">
        <v>167</v>
      </c>
      <c r="Q161" s="79">
        <v>0</v>
      </c>
      <c r="R161" s="1" t="s">
        <v>168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0"/>
      <c r="AA161" s="80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>
      <c r="B162" s="1">
        <v>3</v>
      </c>
      <c r="F162" s="1" t="s">
        <v>132</v>
      </c>
      <c r="I162" s="1" t="s">
        <v>137</v>
      </c>
      <c r="K162" s="1" t="s">
        <v>279</v>
      </c>
      <c r="P162" s="1" t="s">
        <v>170</v>
      </c>
      <c r="Q162" s="81">
        <v>0</v>
      </c>
      <c r="R162" s="141" t="s">
        <v>171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0"/>
      <c r="AA162" s="80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>
      <c r="B163" s="14">
        <v>3</v>
      </c>
      <c r="F163" s="14" t="s">
        <v>132</v>
      </c>
      <c r="I163" s="14" t="s">
        <v>137</v>
      </c>
      <c r="K163" s="14" t="s">
        <v>253</v>
      </c>
      <c r="O163" s="14" t="s">
        <v>254</v>
      </c>
      <c r="P163" s="14" t="s">
        <v>255</v>
      </c>
      <c r="Q163" s="81">
        <v>0</v>
      </c>
      <c r="R163" s="14" t="s">
        <v>168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3"/>
      <c r="AA163" s="143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>
      <c r="B164" s="1">
        <v>3</v>
      </c>
      <c r="F164" s="1" t="s">
        <v>132</v>
      </c>
      <c r="I164" s="14" t="s">
        <v>137</v>
      </c>
      <c r="K164" s="14" t="s">
        <v>256</v>
      </c>
      <c r="L164" s="14"/>
      <c r="M164" s="14"/>
      <c r="O164" s="1" t="s">
        <v>175</v>
      </c>
      <c r="P164" s="1" t="s">
        <v>176</v>
      </c>
      <c r="Q164" s="79">
        <v>0</v>
      </c>
      <c r="R164" s="1" t="s">
        <v>152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0"/>
      <c r="AA164" s="80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>
      <c r="B165" s="1">
        <v>3</v>
      </c>
      <c r="F165" s="1" t="s">
        <v>132</v>
      </c>
      <c r="I165" s="14" t="s">
        <v>137</v>
      </c>
      <c r="K165" s="14" t="s">
        <v>257</v>
      </c>
      <c r="L165" s="14"/>
      <c r="M165" s="14"/>
      <c r="O165" s="1" t="s">
        <v>178</v>
      </c>
      <c r="P165" s="1" t="s">
        <v>179</v>
      </c>
      <c r="Q165" s="81">
        <v>0</v>
      </c>
      <c r="R165" s="1" t="s">
        <v>168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0"/>
      <c r="AA165" s="80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>
      <c r="B166" s="1">
        <v>3</v>
      </c>
      <c r="F166" s="1" t="s">
        <v>132</v>
      </c>
      <c r="I166" s="14" t="s">
        <v>137</v>
      </c>
      <c r="K166" s="14" t="s">
        <v>258</v>
      </c>
      <c r="L166" s="14"/>
      <c r="M166" s="14"/>
      <c r="O166" s="1" t="s">
        <v>178</v>
      </c>
      <c r="P166" s="1" t="s">
        <v>179</v>
      </c>
      <c r="Q166" s="79">
        <v>0</v>
      </c>
      <c r="R166" s="1" t="s">
        <v>168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0"/>
      <c r="AA166" s="80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>
      <c r="B167" s="1">
        <v>3</v>
      </c>
      <c r="F167" s="1" t="s">
        <v>132</v>
      </c>
      <c r="I167" s="14" t="s">
        <v>137</v>
      </c>
      <c r="K167" s="14" t="s">
        <v>181</v>
      </c>
      <c r="L167" s="14"/>
      <c r="M167" s="14"/>
      <c r="O167" s="1" t="s">
        <v>182</v>
      </c>
      <c r="P167" s="1" t="s">
        <v>183</v>
      </c>
      <c r="Q167" s="79">
        <v>0</v>
      </c>
      <c r="R167" s="1" t="s">
        <v>152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0"/>
      <c r="AA167" s="80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>
      <c r="B168" s="1">
        <v>3</v>
      </c>
      <c r="F168" s="1" t="s">
        <v>132</v>
      </c>
      <c r="I168" s="14" t="s">
        <v>137</v>
      </c>
      <c r="K168" s="14" t="s">
        <v>260</v>
      </c>
      <c r="L168" s="14"/>
      <c r="M168" s="14"/>
      <c r="O168" s="1" t="s">
        <v>185</v>
      </c>
      <c r="P168" s="1" t="s">
        <v>190</v>
      </c>
      <c r="Q168" s="79">
        <v>0</v>
      </c>
      <c r="R168" s="1" t="s">
        <v>152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0"/>
      <c r="AA168" s="80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>
      <c r="B169" s="1">
        <v>3</v>
      </c>
      <c r="F169" s="1" t="s">
        <v>132</v>
      </c>
      <c r="I169" s="14" t="s">
        <v>137</v>
      </c>
      <c r="K169" s="14" t="s">
        <v>261</v>
      </c>
      <c r="L169" s="14"/>
      <c r="M169" s="14"/>
      <c r="O169" s="1" t="s">
        <v>185</v>
      </c>
      <c r="P169" s="1" t="s">
        <v>192</v>
      </c>
      <c r="Q169" s="79">
        <v>0</v>
      </c>
      <c r="R169" s="1" t="s">
        <v>168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0"/>
      <c r="AA169" s="80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>
      <c r="B170" s="1">
        <v>3</v>
      </c>
      <c r="F170" s="1" t="s">
        <v>132</v>
      </c>
      <c r="I170" s="14" t="s">
        <v>137</v>
      </c>
      <c r="K170" s="14" t="s">
        <v>262</v>
      </c>
      <c r="L170" s="14"/>
      <c r="M170" s="14"/>
      <c r="O170" s="1" t="s">
        <v>185</v>
      </c>
      <c r="P170" s="1" t="s">
        <v>194</v>
      </c>
      <c r="Q170" s="79">
        <v>0</v>
      </c>
      <c r="R170" s="1" t="s">
        <v>168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0"/>
      <c r="AA170" s="80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>
      <c r="B171" s="1">
        <v>3</v>
      </c>
      <c r="F171" s="1" t="s">
        <v>132</v>
      </c>
      <c r="I171" s="14" t="s">
        <v>137</v>
      </c>
      <c r="K171" s="14" t="s">
        <v>263</v>
      </c>
      <c r="L171" s="14"/>
      <c r="M171" s="14"/>
      <c r="O171" s="1" t="s">
        <v>185</v>
      </c>
      <c r="P171" s="1" t="s">
        <v>196</v>
      </c>
      <c r="Q171" s="79">
        <v>0</v>
      </c>
      <c r="R171" s="1" t="s">
        <v>152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0"/>
      <c r="AA171" s="80"/>
      <c r="AC171" s="223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>
      <c r="Q172" s="79"/>
      <c r="S172" s="14"/>
      <c r="U172" s="14"/>
      <c r="V172" s="14"/>
      <c r="Y172" s="23">
        <f>SUM(Y158:Y171)</f>
        <v>0</v>
      </c>
      <c r="Z172" s="12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>
      <c r="B173" s="2" t="s">
        <v>197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>
      <c r="B174" s="1">
        <v>1</v>
      </c>
      <c r="F174" s="1" t="s">
        <v>132</v>
      </c>
      <c r="I174" s="1" t="s">
        <v>199</v>
      </c>
      <c r="K174" s="14" t="s">
        <v>265</v>
      </c>
      <c r="O174" s="1" t="s">
        <v>205</v>
      </c>
      <c r="P174" s="1" t="s">
        <v>190</v>
      </c>
      <c r="Q174" s="79">
        <v>0</v>
      </c>
      <c r="R174" s="1" t="s">
        <v>152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0"/>
      <c r="AA174" s="80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>
      <c r="B175" s="1">
        <v>1</v>
      </c>
      <c r="F175" s="1" t="s">
        <v>132</v>
      </c>
      <c r="I175" s="1" t="s">
        <v>199</v>
      </c>
      <c r="K175" s="1" t="s">
        <v>266</v>
      </c>
      <c r="O175" s="1" t="s">
        <v>205</v>
      </c>
      <c r="P175" s="1" t="s">
        <v>192</v>
      </c>
      <c r="Q175" s="79">
        <v>0</v>
      </c>
      <c r="R175" s="1" t="s">
        <v>168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0"/>
      <c r="AA175" s="80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>
      <c r="B176" s="1">
        <v>1</v>
      </c>
      <c r="F176" s="1" t="s">
        <v>132</v>
      </c>
      <c r="I176" s="1" t="s">
        <v>199</v>
      </c>
      <c r="K176" s="14" t="s">
        <v>267</v>
      </c>
      <c r="O176" s="1" t="s">
        <v>205</v>
      </c>
      <c r="P176" s="1" t="s">
        <v>194</v>
      </c>
      <c r="Q176" s="79">
        <v>0</v>
      </c>
      <c r="R176" s="1" t="s">
        <v>168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0"/>
      <c r="AA176" s="80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>
      <c r="B177" s="1">
        <v>1</v>
      </c>
      <c r="F177" s="1" t="s">
        <v>132</v>
      </c>
      <c r="I177" s="1" t="s">
        <v>199</v>
      </c>
      <c r="K177" s="14" t="s">
        <v>268</v>
      </c>
      <c r="O177" s="1" t="s">
        <v>205</v>
      </c>
      <c r="P177" s="1" t="s">
        <v>196</v>
      </c>
      <c r="Q177" s="79">
        <v>0</v>
      </c>
      <c r="R177" s="1" t="s">
        <v>152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0"/>
      <c r="AA177" s="80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>
      <c r="B178" s="1">
        <v>1</v>
      </c>
      <c r="F178" s="1" t="s">
        <v>132</v>
      </c>
      <c r="I178" s="1" t="s">
        <v>221</v>
      </c>
      <c r="K178" s="1" t="s">
        <v>280</v>
      </c>
      <c r="P178" s="1" t="s">
        <v>170</v>
      </c>
      <c r="Q178" s="81">
        <v>0</v>
      </c>
      <c r="R178" s="141" t="s">
        <v>171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0"/>
      <c r="AA178" s="80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>
      <c r="B179" s="1">
        <v>1</v>
      </c>
      <c r="C179" s="1"/>
      <c r="F179" s="14" t="s">
        <v>132</v>
      </c>
      <c r="I179" s="14" t="s">
        <v>221</v>
      </c>
      <c r="J179" s="1"/>
      <c r="K179" s="14" t="s">
        <v>270</v>
      </c>
      <c r="O179" s="14" t="s">
        <v>271</v>
      </c>
      <c r="P179" s="14" t="s">
        <v>272</v>
      </c>
      <c r="Q179" s="81">
        <v>0</v>
      </c>
      <c r="R179" s="14" t="s">
        <v>168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3"/>
      <c r="AA179" s="143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>
      <c r="B180" s="1">
        <v>1</v>
      </c>
      <c r="F180" s="1" t="s">
        <v>132</v>
      </c>
      <c r="I180" s="1" t="s">
        <v>154</v>
      </c>
      <c r="K180" s="14" t="s">
        <v>273</v>
      </c>
      <c r="Q180" s="79">
        <v>0</v>
      </c>
      <c r="R180" s="1" t="s">
        <v>152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0"/>
      <c r="AA180" s="80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>
      <c r="B181" s="1">
        <v>1</v>
      </c>
      <c r="F181" s="1" t="s">
        <v>132</v>
      </c>
      <c r="I181" s="1" t="s">
        <v>154</v>
      </c>
      <c r="K181" s="14" t="s">
        <v>281</v>
      </c>
      <c r="P181" s="14" t="s">
        <v>213</v>
      </c>
      <c r="Q181" s="79">
        <v>0</v>
      </c>
      <c r="R181" s="1" t="s">
        <v>168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0"/>
      <c r="AA181" s="80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>
      <c r="B182" s="1">
        <v>1</v>
      </c>
      <c r="F182" s="1" t="s">
        <v>132</v>
      </c>
      <c r="I182" s="1" t="s">
        <v>154</v>
      </c>
      <c r="K182" s="14" t="s">
        <v>282</v>
      </c>
      <c r="P182" s="14" t="s">
        <v>213</v>
      </c>
      <c r="Q182" s="79">
        <v>0</v>
      </c>
      <c r="R182" s="1" t="s">
        <v>168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0"/>
      <c r="AA182" s="80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>
      <c r="B183" s="1">
        <v>1</v>
      </c>
      <c r="F183" s="1" t="s">
        <v>132</v>
      </c>
      <c r="I183" s="1" t="s">
        <v>154</v>
      </c>
      <c r="K183" s="14" t="s">
        <v>215</v>
      </c>
      <c r="P183" s="14" t="s">
        <v>213</v>
      </c>
      <c r="Q183" s="79">
        <v>0</v>
      </c>
      <c r="R183" s="1" t="s">
        <v>152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0"/>
      <c r="AA183" s="80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>
      <c r="B184" s="1">
        <v>1</v>
      </c>
      <c r="F184" s="1" t="s">
        <v>132</v>
      </c>
      <c r="I184" s="1" t="s">
        <v>221</v>
      </c>
      <c r="K184" s="142" t="s">
        <v>222</v>
      </c>
      <c r="Q184" s="79">
        <v>0</v>
      </c>
      <c r="R184" s="141" t="s">
        <v>171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0"/>
      <c r="AA184" s="80"/>
      <c r="AC184" s="223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>
      <c r="B185" s="2" t="s">
        <v>223</v>
      </c>
      <c r="C185" s="2"/>
      <c r="D185" s="22"/>
      <c r="S185" s="14"/>
      <c r="U185" s="14"/>
      <c r="V185" s="14"/>
      <c r="Y185" s="23">
        <f>SUM(Y174:Y184)</f>
        <v>0</v>
      </c>
      <c r="Z185" s="12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>
      <c r="B187" s="14">
        <v>1</v>
      </c>
      <c r="C187" s="14"/>
      <c r="F187" s="1" t="s">
        <v>224</v>
      </c>
      <c r="I187" s="1" t="s">
        <v>154</v>
      </c>
      <c r="K187" s="1" t="s">
        <v>274</v>
      </c>
      <c r="O187" s="1" t="s">
        <v>226</v>
      </c>
      <c r="Q187" s="79">
        <v>0</v>
      </c>
      <c r="R187" s="79" t="s">
        <v>136</v>
      </c>
      <c r="S187" s="79">
        <v>0</v>
      </c>
      <c r="T187" s="14">
        <f>Q187*S187</f>
        <v>0</v>
      </c>
      <c r="U187" s="11">
        <v>1</v>
      </c>
      <c r="V187" s="14">
        <f>Voorblad!F24+100</f>
        <v>2071</v>
      </c>
      <c r="W187" s="9">
        <f>Voorblad!K81</f>
        <v>0</v>
      </c>
      <c r="X187" s="6"/>
      <c r="Y187" s="9">
        <f t="shared" si="190"/>
        <v>0</v>
      </c>
      <c r="Z187" s="80"/>
      <c r="AA187" s="80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>
      <c r="B188" s="14">
        <v>1</v>
      </c>
      <c r="C188" s="14"/>
      <c r="F188" s="1" t="s">
        <v>237</v>
      </c>
      <c r="I188" s="1" t="s">
        <v>238</v>
      </c>
      <c r="K188" s="1" t="s">
        <v>239</v>
      </c>
      <c r="O188" s="1" t="s">
        <v>240</v>
      </c>
      <c r="Q188" s="79">
        <v>0</v>
      </c>
      <c r="R188" s="1" t="s">
        <v>136</v>
      </c>
      <c r="S188" s="14">
        <f>2%*T187</f>
        <v>0</v>
      </c>
      <c r="T188" s="14">
        <f>Q188*S188</f>
        <v>0</v>
      </c>
      <c r="U188" s="11">
        <v>1</v>
      </c>
      <c r="V188" s="14"/>
      <c r="W188" s="79">
        <v>0</v>
      </c>
      <c r="X188" s="6"/>
      <c r="Y188" s="9">
        <f t="shared" si="190"/>
        <v>0</v>
      </c>
      <c r="Z188" s="80"/>
      <c r="AA188" s="80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>
      <c r="B189" s="14">
        <v>1</v>
      </c>
      <c r="C189" s="14"/>
      <c r="F189" s="1" t="s">
        <v>237</v>
      </c>
      <c r="I189" s="1" t="s">
        <v>238</v>
      </c>
      <c r="K189" s="1" t="s">
        <v>241</v>
      </c>
      <c r="O189" s="1" t="s">
        <v>242</v>
      </c>
      <c r="Q189" s="79">
        <v>0</v>
      </c>
      <c r="R189" s="1" t="s">
        <v>136</v>
      </c>
      <c r="S189" s="14">
        <f>4%*T187</f>
        <v>0</v>
      </c>
      <c r="T189" s="14">
        <f>Q189*S189</f>
        <v>0</v>
      </c>
      <c r="U189" s="11">
        <v>1</v>
      </c>
      <c r="V189" s="14"/>
      <c r="W189" s="79">
        <v>0</v>
      </c>
      <c r="X189" s="6"/>
      <c r="Y189" s="9">
        <f t="shared" si="190"/>
        <v>0</v>
      </c>
      <c r="Z189" s="80"/>
      <c r="AA189" s="80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>
      <c r="B190" s="14">
        <v>1</v>
      </c>
      <c r="C190" s="14"/>
      <c r="F190" s="1" t="s">
        <v>237</v>
      </c>
      <c r="I190" s="1" t="s">
        <v>238</v>
      </c>
      <c r="K190" s="1" t="s">
        <v>243</v>
      </c>
      <c r="O190" s="1" t="s">
        <v>244</v>
      </c>
      <c r="Q190" s="79">
        <v>0</v>
      </c>
      <c r="R190" s="1" t="s">
        <v>136</v>
      </c>
      <c r="S190" s="14">
        <f>7%*T187</f>
        <v>0</v>
      </c>
      <c r="T190" s="14">
        <f>Q190*S190</f>
        <v>0</v>
      </c>
      <c r="U190" s="11">
        <v>1</v>
      </c>
      <c r="V190" s="14"/>
      <c r="W190" s="79">
        <v>0</v>
      </c>
      <c r="X190" s="6"/>
      <c r="Y190" s="9">
        <f t="shared" si="190"/>
        <v>0</v>
      </c>
      <c r="Z190" s="80"/>
      <c r="AA190" s="80"/>
      <c r="AC190" s="223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>
      <c r="B191" s="2" t="s">
        <v>245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5">
        <f>SUM(T187:T190)</f>
        <v>0</v>
      </c>
      <c r="U191" s="14"/>
      <c r="V191" s="14"/>
      <c r="W191" s="14"/>
      <c r="X191" s="6"/>
      <c r="Y191" s="23">
        <f>SUM(Y187:Y190)</f>
        <v>0</v>
      </c>
      <c r="Z191" s="12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>
      <c r="B194" s="19" t="s">
        <v>283</v>
      </c>
      <c r="C194" s="19"/>
      <c r="S194" s="14"/>
    </row>
    <row r="195" spans="2:236" ht="12" customHeight="1" outlineLevel="1">
      <c r="B195" s="1">
        <v>3</v>
      </c>
      <c r="F195" s="1" t="s">
        <v>132</v>
      </c>
      <c r="I195" s="1" t="s">
        <v>163</v>
      </c>
      <c r="K195" s="1" t="s">
        <v>247</v>
      </c>
      <c r="Q195" s="79">
        <v>1</v>
      </c>
      <c r="R195" s="1" t="s">
        <v>136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0"/>
      <c r="AA195" s="80"/>
      <c r="AC195" s="9">
        <f>$Y195*(Voorblad!$K$44*(1+Voorblad!$K$44)^Voorblad!$K$41)/((1+Voorblad!$K$44)^Voorblad!$K$41-1)</f>
        <v>161.52426379544963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>
      <c r="B196" s="1">
        <v>3</v>
      </c>
      <c r="F196" s="1" t="s">
        <v>132</v>
      </c>
      <c r="I196" s="1" t="s">
        <v>137</v>
      </c>
      <c r="K196" s="1" t="s">
        <v>284</v>
      </c>
      <c r="O196" s="1" t="s">
        <v>165</v>
      </c>
      <c r="P196" s="1" t="s">
        <v>285</v>
      </c>
      <c r="Q196" s="82">
        <f>(2*((21.4*3)+(2*(3.5*5)/2)))+((2*2*21.4*3)+(2*2*1*3))</f>
        <v>432.19999999999993</v>
      </c>
      <c r="R196" s="1" t="s">
        <v>152</v>
      </c>
      <c r="S196" s="21">
        <f>$H$20*15</f>
        <v>26.55</v>
      </c>
      <c r="T196" s="9">
        <f>Q196*S196</f>
        <v>11474.909999999998</v>
      </c>
      <c r="U196" s="14">
        <v>10</v>
      </c>
      <c r="V196" s="14"/>
      <c r="Y196" s="9">
        <f t="shared" si="199"/>
        <v>25711.172790652945</v>
      </c>
      <c r="Z196" s="80"/>
      <c r="AA196" s="80"/>
      <c r="AC196" s="9">
        <f>$Y196*(Voorblad!$K$44*(1+Voorblad!$K$44)^Voorblad!$K$41)/((1+Voorblad!$K$44)^Voorblad!$K$41-1)</f>
        <v>982.60088879523903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8964.1813519465613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7002.8041449202201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5470.579405609973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4273.6078881761887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>
      <c r="B197" s="1">
        <v>3</v>
      </c>
      <c r="F197" s="1" t="s">
        <v>132</v>
      </c>
      <c r="I197" s="1" t="s">
        <v>137</v>
      </c>
      <c r="K197" s="1" t="s">
        <v>251</v>
      </c>
      <c r="O197" s="1" t="s">
        <v>286</v>
      </c>
      <c r="P197" s="1" t="s">
        <v>287</v>
      </c>
      <c r="Q197" s="82">
        <f>(2*((21.4*2.5)+(2*(3.5*2.5)/2)))+((2*2*21.4*2.5)+(2*2*1*2.5))</f>
        <v>348.5</v>
      </c>
      <c r="R197" s="1" t="s">
        <v>152</v>
      </c>
      <c r="S197" s="21">
        <f>$H$20*20</f>
        <v>35.4</v>
      </c>
      <c r="T197" s="9">
        <f>Q197*S197</f>
        <v>12336.9</v>
      </c>
      <c r="U197" s="14">
        <v>10</v>
      </c>
      <c r="V197" s="14"/>
      <c r="Y197" s="9">
        <f>SUM(AE197:EB197)</f>
        <v>27642.584351511803</v>
      </c>
      <c r="Z197" s="80"/>
      <c r="AA197" s="80"/>
      <c r="AC197" s="9">
        <f>$Y197*(Voorblad!$K$44*(1+Voorblad!$K$44)^Voorblad!$K$41)/((1+Voorblad!$K$44)^Voorblad!$K$41-1)</f>
        <v>1056.4134189268573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9637.5665622501219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7528.8515949551038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5881.5268328091188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4594.6393614974604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>
      <c r="B198" s="1">
        <v>3</v>
      </c>
      <c r="F198" s="1" t="s">
        <v>132</v>
      </c>
      <c r="I198" s="1" t="s">
        <v>137</v>
      </c>
      <c r="K198" s="1" t="s">
        <v>288</v>
      </c>
      <c r="O198" s="1" t="s">
        <v>289</v>
      </c>
      <c r="P198" s="1" t="s">
        <v>176</v>
      </c>
      <c r="Q198" s="82">
        <f>2.5%*Q196</f>
        <v>10.805</v>
      </c>
      <c r="R198" s="1" t="s">
        <v>152</v>
      </c>
      <c r="S198" s="14">
        <f>$H$20*500</f>
        <v>885</v>
      </c>
      <c r="T198" s="9">
        <f>Q198*S198</f>
        <v>9562.4249999999993</v>
      </c>
      <c r="U198" s="14">
        <v>15</v>
      </c>
      <c r="V198" s="14"/>
      <c r="Y198" s="9">
        <f t="shared" si="199"/>
        <v>11161.341273697682</v>
      </c>
      <c r="Z198" s="80"/>
      <c r="AA198" s="80"/>
      <c r="AC198" s="223">
        <f>$Y198*(Voorblad!$K$44*(1+Voorblad!$K$44)^Voorblad!$K$41)/((1+Voorblad!$K$44)^Voorblad!$K$41-1)</f>
        <v>426.55167638519117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6602.5251023560377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4558.8161713416448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>
      <c r="S199" s="14"/>
      <c r="T199" s="9"/>
      <c r="U199" s="14"/>
      <c r="V199" s="14"/>
      <c r="Y199" s="23">
        <f>SUM(Y195:Y198)</f>
        <v>68741.614291926569</v>
      </c>
      <c r="Z199" s="12"/>
      <c r="AA199" s="23">
        <f>SUM(AA195:AA198)</f>
        <v>0</v>
      </c>
      <c r="AC199" s="9">
        <f>$Y199*(Voorblad!$K$44*(1+Voorblad!$K$44)^Voorblad!$K$41)/((1+Voorblad!$K$44)^Voorblad!$K$41-1)</f>
        <v>2627.0902479027368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>
      <c r="B200" s="2" t="s">
        <v>197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>
      <c r="B201" s="1">
        <v>1</v>
      </c>
      <c r="F201" s="1" t="s">
        <v>132</v>
      </c>
      <c r="I201" s="1" t="s">
        <v>221</v>
      </c>
      <c r="K201" s="1" t="s">
        <v>290</v>
      </c>
      <c r="O201" s="1" t="s">
        <v>291</v>
      </c>
      <c r="P201" s="1" t="s">
        <v>292</v>
      </c>
      <c r="Q201" s="82">
        <f>5%*Q196</f>
        <v>21.61</v>
      </c>
      <c r="R201" s="1" t="s">
        <v>152</v>
      </c>
      <c r="S201" s="14">
        <f>$H$10*500</f>
        <v>1190</v>
      </c>
      <c r="T201" s="9">
        <f>Q201*S201</f>
        <v>25715.899999999998</v>
      </c>
      <c r="U201" s="14">
        <v>50</v>
      </c>
      <c r="V201" s="14"/>
      <c r="Y201" s="9">
        <f t="shared" si="199"/>
        <v>0</v>
      </c>
      <c r="Z201" s="80"/>
      <c r="AA201" s="80"/>
      <c r="AC201" s="223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>
      <c r="B202" s="2" t="s">
        <v>223</v>
      </c>
      <c r="C202" s="2"/>
      <c r="D202" s="15"/>
      <c r="S202" s="14"/>
      <c r="U202" s="14"/>
      <c r="V202" s="14"/>
      <c r="Y202" s="23">
        <f>SUM(Y201)</f>
        <v>0</v>
      </c>
      <c r="Z202" s="12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>
      <c r="B204" s="14">
        <v>1</v>
      </c>
      <c r="C204" s="14"/>
      <c r="F204" s="1" t="s">
        <v>224</v>
      </c>
      <c r="I204" s="1" t="s">
        <v>154</v>
      </c>
      <c r="K204" s="1" t="s">
        <v>293</v>
      </c>
      <c r="O204" s="1" t="s">
        <v>226</v>
      </c>
      <c r="P204" s="1" t="s">
        <v>294</v>
      </c>
      <c r="Q204" s="81">
        <f>89.44*22.8</f>
        <v>2039.232</v>
      </c>
      <c r="R204" s="79" t="s">
        <v>152</v>
      </c>
      <c r="S204" s="79">
        <v>1480</v>
      </c>
      <c r="T204" s="9">
        <f>Q204*S204</f>
        <v>3018063.36</v>
      </c>
      <c r="U204" s="11">
        <v>1</v>
      </c>
      <c r="V204" s="14">
        <f>Voorblad!F25+100</f>
        <v>2071</v>
      </c>
      <c r="W204" s="9">
        <f>Voorblad!K85</f>
        <v>2071</v>
      </c>
      <c r="X204" s="6"/>
      <c r="Y204" s="9">
        <f t="shared" si="199"/>
        <v>1043763.5851127364</v>
      </c>
      <c r="Z204" s="81" t="s">
        <v>276</v>
      </c>
      <c r="AA204" s="81">
        <v>104</v>
      </c>
      <c r="AC204" s="9">
        <f>$Y204*(Voorblad!$K$44*(1+Voorblad!$K$44)^Voorblad!$K$41)/((1+Voorblad!$K$44)^Voorblad!$K$41-1)</f>
        <v>39889.39107424645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1043763.5851127364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>
      <c r="B205" s="14">
        <v>1</v>
      </c>
      <c r="C205" s="14"/>
      <c r="F205" s="1" t="s">
        <v>237</v>
      </c>
      <c r="I205" s="1" t="s">
        <v>238</v>
      </c>
      <c r="K205" s="1" t="s">
        <v>239</v>
      </c>
      <c r="O205" s="1" t="s">
        <v>240</v>
      </c>
      <c r="Q205" s="79">
        <v>0</v>
      </c>
      <c r="R205" s="1" t="s">
        <v>136</v>
      </c>
      <c r="S205" s="21">
        <f>2%*T204</f>
        <v>60361.267200000002</v>
      </c>
      <c r="T205" s="14">
        <f>Q205*S205</f>
        <v>0</v>
      </c>
      <c r="U205" s="11">
        <v>1</v>
      </c>
      <c r="V205" s="14"/>
      <c r="W205" s="79">
        <v>0</v>
      </c>
      <c r="X205" s="6"/>
      <c r="Y205" s="9">
        <f t="shared" si="199"/>
        <v>0</v>
      </c>
      <c r="Z205" s="80"/>
      <c r="AA205" s="80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>
      <c r="B206" s="14">
        <v>1</v>
      </c>
      <c r="C206" s="14"/>
      <c r="F206" s="1" t="s">
        <v>237</v>
      </c>
      <c r="I206" s="1" t="s">
        <v>238</v>
      </c>
      <c r="K206" s="1" t="s">
        <v>241</v>
      </c>
      <c r="O206" s="1" t="s">
        <v>242</v>
      </c>
      <c r="Q206" s="79">
        <v>0</v>
      </c>
      <c r="R206" s="1" t="s">
        <v>136</v>
      </c>
      <c r="S206" s="21">
        <f>4%*T204</f>
        <v>120722.5344</v>
      </c>
      <c r="T206" s="14">
        <f>Q206*S206</f>
        <v>0</v>
      </c>
      <c r="U206" s="11">
        <v>1</v>
      </c>
      <c r="V206" s="14"/>
      <c r="W206" s="79">
        <v>0</v>
      </c>
      <c r="X206" s="6"/>
      <c r="Y206" s="9">
        <f t="shared" si="199"/>
        <v>0</v>
      </c>
      <c r="Z206" s="80"/>
      <c r="AA206" s="80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>
      <c r="B207" s="14">
        <v>1</v>
      </c>
      <c r="C207" s="14"/>
      <c r="F207" s="1" t="s">
        <v>237</v>
      </c>
      <c r="I207" s="1" t="s">
        <v>238</v>
      </c>
      <c r="K207" s="1" t="s">
        <v>243</v>
      </c>
      <c r="O207" s="1" t="s">
        <v>244</v>
      </c>
      <c r="Q207" s="79">
        <v>0</v>
      </c>
      <c r="R207" s="1" t="s">
        <v>136</v>
      </c>
      <c r="S207" s="21">
        <f>7%*T204</f>
        <v>211264.43520000001</v>
      </c>
      <c r="T207" s="14">
        <f>Q207*S207</f>
        <v>0</v>
      </c>
      <c r="U207" s="11">
        <v>1</v>
      </c>
      <c r="V207" s="14"/>
      <c r="W207" s="79">
        <v>0</v>
      </c>
      <c r="X207" s="6"/>
      <c r="Y207" s="9">
        <f t="shared" si="199"/>
        <v>0</v>
      </c>
      <c r="Z207" s="80"/>
      <c r="AA207" s="80"/>
      <c r="AC207" s="223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>
      <c r="B208" s="2" t="s">
        <v>245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5">
        <f>SUM(T204:T207)</f>
        <v>3018063.36</v>
      </c>
      <c r="U208" s="14"/>
      <c r="V208" s="14"/>
      <c r="W208" s="14"/>
      <c r="X208" s="6"/>
      <c r="Y208" s="23">
        <f>SUM(Y204:Y207)</f>
        <v>1043763.5851127364</v>
      </c>
      <c r="Z208" s="12"/>
      <c r="AA208" s="23">
        <f>SUM(AA204:AA207)</f>
        <v>104</v>
      </c>
      <c r="AC208" s="9">
        <f>$Y208*(Voorblad!$K$44*(1+Voorblad!$K$44)^Voorblad!$K$41)/((1+Voorblad!$K$44)^Voorblad!$K$41-1)</f>
        <v>39889.39107424645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>
      <c r="B211" s="19" t="s">
        <v>295</v>
      </c>
      <c r="C211" s="19"/>
    </row>
    <row r="212" spans="2:236" ht="12" hidden="1" customHeight="1" outlineLevel="1">
      <c r="B212" s="1">
        <v>3</v>
      </c>
      <c r="F212" s="1" t="s">
        <v>132</v>
      </c>
      <c r="I212" s="1" t="s">
        <v>163</v>
      </c>
      <c r="K212" s="1" t="s">
        <v>247</v>
      </c>
      <c r="Q212" s="79">
        <v>0</v>
      </c>
      <c r="R212" s="1" t="s">
        <v>136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1"/>
      <c r="AA212" s="81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>
      <c r="B213" s="1">
        <v>3</v>
      </c>
      <c r="F213" s="1" t="s">
        <v>132</v>
      </c>
      <c r="I213" s="1" t="s">
        <v>137</v>
      </c>
      <c r="K213" s="1" t="s">
        <v>296</v>
      </c>
      <c r="O213" s="1" t="s">
        <v>165</v>
      </c>
      <c r="Q213" s="82">
        <v>0</v>
      </c>
      <c r="R213" s="1" t="s">
        <v>152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1"/>
      <c r="AA213" s="81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>
      <c r="B214" s="1">
        <v>3</v>
      </c>
      <c r="F214" s="1" t="s">
        <v>132</v>
      </c>
      <c r="I214" s="1" t="s">
        <v>137</v>
      </c>
      <c r="K214" s="1" t="s">
        <v>251</v>
      </c>
      <c r="O214" s="1" t="s">
        <v>286</v>
      </c>
      <c r="Q214" s="79">
        <v>0</v>
      </c>
      <c r="R214" s="1" t="s">
        <v>152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1"/>
      <c r="AA214" s="81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>
      <c r="B215" s="1">
        <v>3</v>
      </c>
      <c r="F215" s="1" t="s">
        <v>132</v>
      </c>
      <c r="I215" s="1" t="s">
        <v>137</v>
      </c>
      <c r="K215" s="1" t="s">
        <v>297</v>
      </c>
      <c r="O215" s="1" t="s">
        <v>289</v>
      </c>
      <c r="P215" s="1" t="s">
        <v>176</v>
      </c>
      <c r="Q215" s="82">
        <v>0</v>
      </c>
      <c r="R215" s="1" t="s">
        <v>152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1"/>
      <c r="AA215" s="81"/>
      <c r="AC215" s="223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>
      <c r="S216" s="14"/>
      <c r="T216" s="9"/>
      <c r="U216" s="14"/>
      <c r="V216" s="14"/>
      <c r="Y216" s="23">
        <f>SUM(Y212:Y215)</f>
        <v>0</v>
      </c>
      <c r="Z216" s="12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>
      <c r="B217" s="2" t="s">
        <v>197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>
      <c r="B218" s="1">
        <v>1</v>
      </c>
      <c r="F218" s="1" t="s">
        <v>132</v>
      </c>
      <c r="I218" s="1" t="s">
        <v>221</v>
      </c>
      <c r="K218" s="1" t="s">
        <v>298</v>
      </c>
      <c r="O218" s="1" t="s">
        <v>299</v>
      </c>
      <c r="P218" s="1" t="s">
        <v>300</v>
      </c>
      <c r="Q218" s="82">
        <v>0</v>
      </c>
      <c r="R218" s="1" t="s">
        <v>152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1"/>
      <c r="AA218" s="81"/>
      <c r="AC218" s="223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>
      <c r="B219" s="2" t="s">
        <v>223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12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>
      <c r="B221" s="14">
        <v>1</v>
      </c>
      <c r="C221" s="14"/>
      <c r="F221" s="1" t="s">
        <v>224</v>
      </c>
      <c r="I221" s="1" t="s">
        <v>154</v>
      </c>
      <c r="K221" s="1" t="s">
        <v>293</v>
      </c>
      <c r="O221" s="1" t="s">
        <v>226</v>
      </c>
      <c r="Q221" s="82">
        <v>0</v>
      </c>
      <c r="R221" s="79" t="s">
        <v>136</v>
      </c>
      <c r="S221" s="79">
        <v>0</v>
      </c>
      <c r="T221" s="21">
        <f>Q221*S221</f>
        <v>0</v>
      </c>
      <c r="U221" s="11">
        <v>1</v>
      </c>
      <c r="V221" s="14">
        <f>Voorblad!F25+100</f>
        <v>2071</v>
      </c>
      <c r="W221" s="9">
        <f>Voorblad!K89</f>
        <v>0</v>
      </c>
      <c r="X221" s="6"/>
      <c r="Y221" s="9">
        <f t="shared" si="200"/>
        <v>0</v>
      </c>
      <c r="Z221" s="81"/>
      <c r="AA221" s="81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>
      <c r="B222" s="14">
        <v>1</v>
      </c>
      <c r="C222" s="14"/>
      <c r="F222" s="1" t="s">
        <v>237</v>
      </c>
      <c r="I222" s="1" t="s">
        <v>238</v>
      </c>
      <c r="K222" s="1" t="s">
        <v>239</v>
      </c>
      <c r="O222" s="1" t="s">
        <v>240</v>
      </c>
      <c r="Q222" s="79">
        <v>0</v>
      </c>
      <c r="R222" s="1" t="s">
        <v>136</v>
      </c>
      <c r="S222" s="21">
        <f>2%*T221</f>
        <v>0</v>
      </c>
      <c r="T222" s="21">
        <f>Q222*S222</f>
        <v>0</v>
      </c>
      <c r="U222" s="11">
        <v>1</v>
      </c>
      <c r="V222" s="14"/>
      <c r="W222" s="79">
        <v>0</v>
      </c>
      <c r="X222" s="6"/>
      <c r="Y222" s="9">
        <f t="shared" si="200"/>
        <v>0</v>
      </c>
      <c r="Z222" s="81"/>
      <c r="AA222" s="81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>
      <c r="B223" s="14">
        <v>1</v>
      </c>
      <c r="C223" s="14"/>
      <c r="F223" s="1" t="s">
        <v>237</v>
      </c>
      <c r="I223" s="1" t="s">
        <v>238</v>
      </c>
      <c r="K223" s="1" t="s">
        <v>241</v>
      </c>
      <c r="O223" s="1" t="s">
        <v>242</v>
      </c>
      <c r="Q223" s="79">
        <v>0</v>
      </c>
      <c r="R223" s="1" t="s">
        <v>136</v>
      </c>
      <c r="S223" s="21">
        <f>4%*T221</f>
        <v>0</v>
      </c>
      <c r="T223" s="14">
        <f>Q223*S223</f>
        <v>0</v>
      </c>
      <c r="U223" s="11">
        <v>1</v>
      </c>
      <c r="V223" s="14"/>
      <c r="W223" s="79">
        <v>0</v>
      </c>
      <c r="X223" s="6"/>
      <c r="Y223" s="9">
        <f t="shared" si="200"/>
        <v>0</v>
      </c>
      <c r="Z223" s="81"/>
      <c r="AA223" s="81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>
      <c r="B224" s="14">
        <v>1</v>
      </c>
      <c r="C224" s="14"/>
      <c r="F224" s="1" t="s">
        <v>237</v>
      </c>
      <c r="I224" s="1" t="s">
        <v>238</v>
      </c>
      <c r="K224" s="1" t="s">
        <v>243</v>
      </c>
      <c r="O224" s="1" t="s">
        <v>244</v>
      </c>
      <c r="Q224" s="79">
        <v>0</v>
      </c>
      <c r="R224" s="1" t="s">
        <v>136</v>
      </c>
      <c r="S224" s="21">
        <f>7%*T221</f>
        <v>0</v>
      </c>
      <c r="T224" s="14">
        <f>Q224*S224</f>
        <v>0</v>
      </c>
      <c r="U224" s="11">
        <v>1</v>
      </c>
      <c r="V224" s="14"/>
      <c r="W224" s="79">
        <v>0</v>
      </c>
      <c r="X224" s="6"/>
      <c r="Y224" s="9">
        <f t="shared" si="200"/>
        <v>0</v>
      </c>
      <c r="Z224" s="81"/>
      <c r="AA224" s="81"/>
      <c r="AC224" s="223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>
      <c r="B225" s="2" t="s">
        <v>301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5">
        <f>SUM(T221:T224)</f>
        <v>0</v>
      </c>
      <c r="U225" s="14"/>
      <c r="V225" s="14"/>
      <c r="W225" s="14"/>
      <c r="X225" s="6"/>
      <c r="Y225" s="23">
        <f>SUM(Y221:Y224)</f>
        <v>0</v>
      </c>
      <c r="Z225" s="12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>
      <c r="B228" s="19" t="s">
        <v>302</v>
      </c>
      <c r="C228" s="19"/>
    </row>
    <row r="229" spans="2:236" outlineLevel="1">
      <c r="B229" s="14">
        <v>1</v>
      </c>
      <c r="C229" s="14"/>
      <c r="F229" s="1" t="s">
        <v>224</v>
      </c>
      <c r="I229" s="1" t="s">
        <v>154</v>
      </c>
      <c r="K229" s="1" t="s">
        <v>303</v>
      </c>
      <c r="P229" s="1" t="s">
        <v>304</v>
      </c>
      <c r="Q229" s="82">
        <f>2*99.4*0.035</f>
        <v>6.9580000000000011</v>
      </c>
      <c r="R229" s="1" t="s">
        <v>305</v>
      </c>
      <c r="S229" s="1">
        <v>-200</v>
      </c>
      <c r="T229" s="21">
        <f t="shared" ref="T229:T236" si="201">Q229*S229</f>
        <v>-1391.6000000000001</v>
      </c>
      <c r="U229" s="11">
        <v>1</v>
      </c>
      <c r="V229" s="14">
        <f>Voorblad!F24+100</f>
        <v>2071</v>
      </c>
      <c r="W229" s="9">
        <f>Voorblad!$K$77</f>
        <v>2071</v>
      </c>
      <c r="X229" s="6"/>
      <c r="Y229" s="9">
        <f t="shared" ref="Y229" si="202">SUM(AE229:EB229)</f>
        <v>-481.26935447865623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-481.26935447865623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>
      <c r="B230" s="14">
        <v>1</v>
      </c>
      <c r="C230" s="14"/>
      <c r="F230" s="1" t="s">
        <v>224</v>
      </c>
      <c r="I230" s="1" t="s">
        <v>154</v>
      </c>
      <c r="K230" s="1" t="s">
        <v>306</v>
      </c>
      <c r="O230" s="1" t="s">
        <v>307</v>
      </c>
      <c r="P230" s="1" t="s">
        <v>308</v>
      </c>
      <c r="Q230" s="81">
        <f>2*2235</f>
        <v>4470</v>
      </c>
      <c r="R230" s="1" t="s">
        <v>305</v>
      </c>
      <c r="S230" s="1">
        <v>-50</v>
      </c>
      <c r="T230" s="21">
        <f t="shared" si="201"/>
        <v>-223500</v>
      </c>
      <c r="U230" s="11">
        <v>1</v>
      </c>
      <c r="V230" s="14">
        <f>Voorblad!F24+100</f>
        <v>2071</v>
      </c>
      <c r="W230" s="9">
        <f>Voorblad!$K$77</f>
        <v>2071</v>
      </c>
      <c r="X230" s="6"/>
      <c r="Y230" s="9">
        <f t="shared" ref="Y230" si="203">SUM(AE230:EB230)</f>
        <v>-77294.984712546458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-77294.984712546458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>
      <c r="B231" s="14">
        <v>1</v>
      </c>
      <c r="C231" s="14"/>
      <c r="F231" s="1" t="s">
        <v>224</v>
      </c>
      <c r="I231" s="1" t="s">
        <v>154</v>
      </c>
      <c r="K231" s="1" t="s">
        <v>309</v>
      </c>
      <c r="O231" s="1" t="s">
        <v>310</v>
      </c>
      <c r="Q231" s="81">
        <f>0.5*Q230</f>
        <v>2235</v>
      </c>
      <c r="R231" s="1" t="s">
        <v>305</v>
      </c>
      <c r="S231" s="1">
        <v>-200</v>
      </c>
      <c r="T231" s="21">
        <f t="shared" si="201"/>
        <v>-447000</v>
      </c>
      <c r="U231" s="11">
        <v>1</v>
      </c>
      <c r="V231" s="14">
        <f>Voorblad!F24+100</f>
        <v>2071</v>
      </c>
      <c r="W231" s="9">
        <f>Voorblad!$K$77</f>
        <v>2071</v>
      </c>
      <c r="X231" s="6"/>
      <c r="Y231" s="9">
        <f t="shared" ref="Y231:Y234" si="204">SUM(AE231:EB231)</f>
        <v>-154589.96942509292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-154589.96942509292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>
      <c r="B232" s="14">
        <v>1</v>
      </c>
      <c r="C232" s="14"/>
      <c r="F232" s="1" t="s">
        <v>224</v>
      </c>
      <c r="I232" s="1" t="s">
        <v>154</v>
      </c>
      <c r="K232" s="1" t="s">
        <v>311</v>
      </c>
      <c r="O232" s="1" t="s">
        <v>312</v>
      </c>
      <c r="P232" s="1" t="s">
        <v>313</v>
      </c>
      <c r="Q232" s="81">
        <f>2.3*900</f>
        <v>2070</v>
      </c>
      <c r="R232" s="1" t="s">
        <v>305</v>
      </c>
      <c r="S232" s="1">
        <v>-50</v>
      </c>
      <c r="T232" s="21">
        <f t="shared" si="201"/>
        <v>-103500</v>
      </c>
      <c r="U232" s="11">
        <v>1</v>
      </c>
      <c r="V232" s="14">
        <f>Voorblad!F24+100</f>
        <v>2071</v>
      </c>
      <c r="W232" s="9">
        <f>Voorblad!$K$77</f>
        <v>2071</v>
      </c>
      <c r="X232" s="6"/>
      <c r="Y232" s="9">
        <f t="shared" ref="Y232" si="205">SUM(AE232:EB232)</f>
        <v>-35794.321779635611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-35794.321779635611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>
      <c r="B233" s="14">
        <v>1</v>
      </c>
      <c r="C233" s="14"/>
      <c r="F233" s="1" t="s">
        <v>224</v>
      </c>
      <c r="I233" s="1" t="s">
        <v>154</v>
      </c>
      <c r="K233" s="1" t="s">
        <v>314</v>
      </c>
      <c r="O233" s="1" t="s">
        <v>315</v>
      </c>
      <c r="Q233" s="81">
        <f>0.2*Q232</f>
        <v>414</v>
      </c>
      <c r="R233" s="1" t="s">
        <v>305</v>
      </c>
      <c r="S233" s="1">
        <v>-200</v>
      </c>
      <c r="T233" s="21">
        <f t="shared" si="201"/>
        <v>-82800</v>
      </c>
      <c r="U233" s="11">
        <v>1</v>
      </c>
      <c r="V233" s="14">
        <f>Voorblad!F24+100</f>
        <v>2071</v>
      </c>
      <c r="W233" s="9">
        <f>Voorblad!$K$77</f>
        <v>2071</v>
      </c>
      <c r="X233" s="6"/>
      <c r="Y233" s="9">
        <f t="shared" ref="Y233" si="206">SUM(AE233:EB233)</f>
        <v>-28635.457423708489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-28635.457423708489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>
      <c r="B234" s="14">
        <v>1</v>
      </c>
      <c r="C234" s="14"/>
      <c r="F234" s="1" t="s">
        <v>224</v>
      </c>
      <c r="I234" s="1" t="s">
        <v>154</v>
      </c>
      <c r="K234" s="1" t="s">
        <v>316</v>
      </c>
      <c r="O234" s="1" t="s">
        <v>317</v>
      </c>
      <c r="Q234" s="81">
        <v>0</v>
      </c>
      <c r="R234" s="1" t="s">
        <v>305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2071</v>
      </c>
      <c r="W234" s="9">
        <f>Voorblad!$K$77</f>
        <v>2071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>
      <c r="B235" s="14">
        <v>1</v>
      </c>
      <c r="C235" s="14"/>
      <c r="F235" s="1" t="s">
        <v>224</v>
      </c>
      <c r="I235" s="1" t="s">
        <v>154</v>
      </c>
      <c r="K235" s="1" t="s">
        <v>295</v>
      </c>
      <c r="O235" s="1" t="s">
        <v>317</v>
      </c>
      <c r="Q235" s="81">
        <v>0</v>
      </c>
      <c r="R235" s="1" t="s">
        <v>305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2071</v>
      </c>
      <c r="W235" s="9">
        <f>Voorblad!$K$77</f>
        <v>2071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>
      <c r="B236" s="14">
        <v>1</v>
      </c>
      <c r="C236" s="14"/>
      <c r="F236" s="1" t="s">
        <v>224</v>
      </c>
      <c r="I236" s="1" t="s">
        <v>154</v>
      </c>
      <c r="Q236" s="81">
        <v>0</v>
      </c>
      <c r="R236" s="79" t="s">
        <v>305</v>
      </c>
      <c r="S236" s="79">
        <v>0</v>
      </c>
      <c r="T236" s="14">
        <f t="shared" si="201"/>
        <v>0</v>
      </c>
      <c r="U236" s="11">
        <v>1</v>
      </c>
      <c r="V236" s="14">
        <f>Voorblad!F24+100</f>
        <v>2071</v>
      </c>
      <c r="W236" s="9">
        <f>Voorblad!$K$77</f>
        <v>2071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>
      <c r="B237" s="2" t="s">
        <v>318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5">
        <f>SUM(T229:T236)</f>
        <v>-858191.6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A0B0E375-92CD-4828-A54C-432322757AF6}"/>
</file>

<file path=customXml/itemProps2.xml><?xml version="1.0" encoding="utf-8"?>
<ds:datastoreItem xmlns:ds="http://schemas.openxmlformats.org/officeDocument/2006/customXml" ds:itemID="{1A77A897-781E-40B4-82FE-DD994AA73B33}"/>
</file>

<file path=customXml/itemProps3.xml><?xml version="1.0" encoding="utf-8"?>
<ds:datastoreItem xmlns:ds="http://schemas.openxmlformats.org/officeDocument/2006/customXml" ds:itemID="{AFBE7987-5940-42B3-A8E9-EDAEAF82D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dc:description/>
  <cp:lastModifiedBy>Floor Rademaker</cp:lastModifiedBy>
  <cp:revision/>
  <dcterms:created xsi:type="dcterms:W3CDTF">2018-12-06T11:34:38Z</dcterms:created>
  <dcterms:modified xsi:type="dcterms:W3CDTF">2026-09-02T14:02:19Z</dcterms:modified>
  <cp:category>mjop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MediaServiceImageTags">
    <vt:lpwstr/>
  </property>
</Properties>
</file>