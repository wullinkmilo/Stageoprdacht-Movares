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77F3F4C7-02F5-4871-9394-6D93D2E6CFAB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2" i="1" l="1"/>
  <c r="Q230" i="1"/>
  <c r="Q149" i="1"/>
  <c r="Q146" i="1"/>
  <c r="Q136" i="1"/>
  <c r="Q113" i="1"/>
  <c r="Q46" i="1"/>
  <c r="Q137" i="1" l="1"/>
  <c r="Q233" i="1" l="1"/>
  <c r="Q231" i="1"/>
  <c r="N64" i="2" l="1"/>
  <c r="O61" i="2"/>
  <c r="N61" i="2"/>
  <c r="M61" i="2"/>
  <c r="L61" i="2"/>
  <c r="O60" i="2"/>
  <c r="N60" i="2"/>
  <c r="M60" i="2"/>
  <c r="L60" i="2"/>
  <c r="J61" i="2"/>
  <c r="H61" i="2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5" i="2"/>
  <c r="N63" i="2"/>
  <c r="N62" i="2"/>
  <c r="N94" i="2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4" i="2" l="1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6" i="2" l="1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FE232" i="1"/>
  <c r="BD232" i="1" s="1"/>
  <c r="FE233" i="1"/>
  <c r="BD233" i="1" s="1"/>
  <c r="FE93" i="1"/>
  <c r="BD93" i="1" s="1"/>
  <c r="FE160" i="1"/>
  <c r="BD160" i="1" s="1"/>
  <c r="FE60" i="1"/>
  <c r="BD60" i="1" s="1"/>
  <c r="FE159" i="1"/>
  <c r="BD159" i="1" s="1"/>
  <c r="FE59" i="1"/>
  <c r="BD59" i="1" s="1"/>
  <c r="FE229" i="1"/>
  <c r="BD229" i="1" s="1"/>
  <c r="FE235" i="1"/>
  <c r="BD235" i="1" s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3" i="1"/>
  <c r="FE197" i="1"/>
  <c r="BD197" i="1" s="1"/>
  <c r="FE224" i="1"/>
  <c r="FE222" i="1"/>
  <c r="FE223" i="1"/>
  <c r="FE221" i="1"/>
  <c r="BD221" i="1" s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FP232" i="1"/>
  <c r="BO232" i="1" s="1"/>
  <c r="FP233" i="1"/>
  <c r="BO233" i="1" s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29" i="1"/>
  <c r="BO235" i="1"/>
  <c r="FP229" i="1"/>
  <c r="FP111" i="1"/>
  <c r="BO111" i="1" s="1"/>
  <c r="FP110" i="1"/>
  <c r="BO110" i="1" s="1"/>
  <c r="FP236" i="1"/>
  <c r="BO236" i="1" s="1"/>
  <c r="BO231" i="1"/>
  <c r="FP218" i="1"/>
  <c r="BO218" i="1" s="1"/>
  <c r="FP234" i="1"/>
  <c r="BO234" i="1" s="1"/>
  <c r="FP231" i="1"/>
  <c r="FP230" i="1"/>
  <c r="BO230" i="1" s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FQ232" i="1"/>
  <c r="BP232" i="1" s="1"/>
  <c r="FQ233" i="1"/>
  <c r="BP233" i="1" s="1"/>
  <c r="FQ93" i="1"/>
  <c r="BP93" i="1" s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BP236" i="1" s="1"/>
  <c r="FQ110" i="1"/>
  <c r="BP110" i="1" s="1"/>
  <c r="BP231" i="1"/>
  <c r="FQ218" i="1"/>
  <c r="BP218" i="1" s="1"/>
  <c r="FQ231" i="1"/>
  <c r="FQ230" i="1"/>
  <c r="BP230" i="1" s="1"/>
  <c r="FQ234" i="1"/>
  <c r="BP234" i="1" s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GJ232" i="1"/>
  <c r="CI232" i="1" s="1"/>
  <c r="GJ233" i="1"/>
  <c r="CI233" i="1" s="1"/>
  <c r="GJ93" i="1"/>
  <c r="CI93" i="1" s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CI236" i="1" s="1"/>
  <c r="GJ218" i="1"/>
  <c r="CI218" i="1" s="1"/>
  <c r="GJ234" i="1"/>
  <c r="CI234" i="1" s="1"/>
  <c r="GJ230" i="1"/>
  <c r="GJ231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GK218" i="1"/>
  <c r="CJ218" i="1" s="1"/>
  <c r="GK234" i="1"/>
  <c r="CJ234" i="1" s="1"/>
  <c r="GK231" i="1"/>
  <c r="CJ231" i="1" s="1"/>
  <c r="GK230" i="1"/>
  <c r="CJ230" i="1" s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3" i="2" s="1"/>
  <c r="M52" i="2"/>
  <c r="M63" i="2" s="1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sharedStrings.xml><?xml version="1.0" encoding="utf-8"?>
<sst xmlns="http://schemas.openxmlformats.org/spreadsheetml/2006/main" count="1015" uniqueCount="311">
  <si>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</si>
  <si>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</si>
  <si>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</si>
  <si>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</si>
  <si>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</si>
  <si>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</si>
  <si>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</si>
  <si>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</si>
  <si>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</si>
  <si>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</si>
  <si>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</si>
  <si>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</si>
  <si>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</si>
  <si>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</si>
  <si>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</si>
  <si>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</si>
  <si>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</si>
  <si>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</si>
  <si>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</si>
  <si>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</si>
  <si>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</si>
  <si>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</si>
  <si>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</si>
  <si>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</si>
  <si>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</si>
  <si>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</si>
  <si>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</si>
  <si>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</si>
  <si>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</si>
  <si>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</si>
  <si>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</si>
  <si>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</si>
  <si>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</si>
  <si>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</si>
  <si>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</si>
  <si>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</si>
  <si>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</si>
  <si>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</si>
  <si>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</si>
  <si>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</si>
  <si>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</si>
  <si>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</si>
  <si>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</si>
  <si>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</si>
  <si>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</si>
  <si>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</si>
  <si>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</si>
  <si>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</si>
  <si>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</si>
  <si>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</si>
  <si>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</si>
  <si>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</si>
  <si>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</si>
  <si>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</si>
  <si>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</si>
  <si>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</si>
  <si>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</si>
  <si>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</si>
  <si>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</si>
  <si>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</si>
  <si>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</si>
  <si>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</si>
  <si>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</si>
  <si>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</si>
  <si>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</si>
  <si>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</si>
  <si>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</si>
  <si>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</si>
  <si>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</si>
  <si>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</si>
  <si>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</si>
  <si>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</si>
  <si>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</si>
  <si>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</si>
  <si>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</si>
  <si>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</si>
  <si>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</si>
  <si>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</si>
  <si>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</si>
  <si>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</si>
  <si>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</si>
  <si>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</si>
  <si>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</si>
  <si>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</si>
  <si>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</si>
  <si>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</si>
  <si>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</si>
  <si>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</si>
  <si>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</si>
  <si>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</si>
  <si>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</si>
  <si>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</si>
  <si>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</si>
  <si>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</si>
  <si>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</si>
  <si>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</si>
  <si>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</si>
  <si>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</si>
  <si>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</si>
  <si>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</si>
  <si>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</si>
  <si>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</si>
  <si>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</si>
  <si>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</si>
  <si>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</si>
  <si>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</si>
  <si>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</si>
  <si>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</si>
  <si>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</si>
  <si>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</si>
  <si>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</si>
  <si>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</si>
  <si>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</si>
  <si>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</si>
  <si>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</si>
  <si>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</si>
  <si>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</si>
  <si>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</si>
  <si>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</si>
  <si>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</si>
  <si>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</si>
  <si>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</si>
  <si>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</si>
  <si>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</si>
  <si>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</si>
  <si>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</si>
  <si>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</si>
  <si>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</si>
  <si>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</si>
  <si>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</si>
  <si>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</si>
  <si>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</si>
  <si>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</si>
  <si>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</si>
  <si>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</si>
  <si>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</si>
  <si>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</si>
  <si>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</si>
  <si>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</si>
  <si>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</si>
  <si>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</si>
  <si>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</si>
  <si>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</si>
  <si>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</si>
  <si>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</si>
  <si>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</si>
  <si>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</si>
  <si>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</si>
  <si>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</si>
  <si>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</si>
  <si>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</si>
  <si>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</si>
  <si>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</si>
  <si>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</si>
  <si>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</si>
  <si>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</si>
  <si>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</si>
  <si>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</si>
  <si>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</si>
  <si>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</si>
  <si>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</si>
  <si>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</si>
  <si>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</si>
  <si>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</si>
  <si>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</si>
  <si>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</si>
  <si>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</si>
  <si>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</si>
  <si>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</si>
  <si>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</si>
  <si>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</si>
  <si>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</si>
  <si>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</si>
  <si>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</si>
  <si>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</si>
  <si>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</si>
  <si>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</si>
  <si>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</si>
  <si>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</si>
  <si>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</si>
  <si>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</si>
  <si>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</si>
  <si>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</si>
  <si>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</si>
  <si>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</si>
  <si>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</si>
  <si>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</si>
  <si>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</si>
  <si>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</si>
  <si>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</si>
  <si>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</si>
  <si>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</si>
  <si>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</si>
  <si>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</si>
  <si>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</si>
  <si>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</si>
  <si>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</si>
  <si>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</si>
  <si>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</si>
  <si>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</si>
  <si>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</si>
  <si>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</si>
  <si>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</si>
  <si>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</si>
  <si>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</si>
  <si>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</si>
  <si>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</si>
  <si>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</si>
  <si>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</si>
  <si>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</si>
  <si>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</si>
  <si>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</si>
  <si>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</si>
  <si>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</si>
  <si>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</si>
  <si>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</si>
  <si>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</si>
  <si>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</si>
  <si>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</si>
  <si>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</si>
  <si>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</si>
  <si>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</si>
  <si>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</si>
  <si>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</si>
  <si>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</si>
  <si>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</si>
  <si>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</si>
  <si>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</si>
  <si>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</si>
  <si>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</si>
  <si>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</si>
  <si>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</si>
  <si>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</si>
  <si>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</si>
  <si>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</si>
  <si>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</si>
  <si>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</si>
  <si>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</si>
  <si>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</si>
  <si>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</si>
  <si>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</si>
  <si>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</si>
  <si>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</si>
  <si>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</si>
  <si>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</si>
  <si>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</si>
  <si>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</si>
  <si>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</si>
  <si>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</si>
  <si>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</si>
  <si>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</si>
  <si>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</si>
  <si>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</si>
  <si>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</si>
  <si>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</si>
  <si>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</si>
  <si>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</si>
  <si>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</si>
  <si>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</si>
  <si>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</si>
  <si>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</si>
  <si>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</si>
  <si>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</si>
  <si>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</si>
  <si>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</si>
  <si>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</si>
  <si>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</si>
  <si>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</si>
  <si>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</si>
  <si>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</si>
  <si>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</si>
  <si>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</si>
  <si>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</si>
  <si>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</si>
  <si>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</si>
  <si>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</si>
  <si>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Σ: van 2 landhfdn (wand) + 3 tussenstnpntn (wand)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</si>
  <si>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</si>
  <si>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</si>
  <si>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</si>
  <si>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</si>
  <si>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</si>
  <si>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</si>
  <si>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</si>
  <si>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</si>
  <si>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</si>
  <si>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</si>
  <si>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</si>
  <si>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</si>
  <si>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</si>
  <si>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</si>
  <si>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</si>
  <si>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</si>
  <si>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</si>
  <si>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</si>
  <si>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</si>
  <si>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</si>
  <si>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</si>
  <si>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</si>
  <si>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1x52</t>
  </si>
  <si>
    <t>alleen spoordek</t>
  </si>
  <si>
    <t>2 nieuwe betonnen landhoofden op palen</t>
  </si>
  <si>
    <t>Totaal kosten cat. 2 (advies IB tlv ProRail AM)</t>
  </si>
  <si>
    <t>Gewapend betonnen duiker</t>
  </si>
  <si>
    <t>zicht gedeelte betonwerk</t>
  </si>
  <si>
    <t>KW20-123-0033</t>
  </si>
  <si>
    <t>Faunapassage nabij Burg. Letschertweg</t>
  </si>
  <si>
    <t>Tilburg</t>
  </si>
  <si>
    <r>
      <t xml:space="preserve">vervanging gehele duiker BxL, </t>
    </r>
    <r>
      <rPr>
        <sz val="9"/>
        <color rgb="FFFF0000"/>
        <rFont val="Calibri"/>
        <family val="2"/>
      </rPr>
      <t>uitw BxH: 2,5x1,25m</t>
    </r>
  </si>
  <si>
    <t>duiker: 36,4 m3</t>
  </si>
  <si>
    <t>overgangsplaten 8 st: 11,52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</si>
</sst>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R107" sqref="R107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242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147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43811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>
        <v>10731869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305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306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14.128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307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2005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2005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303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111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42769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224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226</v>
      </c>
      <c r="C33" s="101"/>
      <c r="D33" s="97"/>
      <c r="E33" s="97"/>
      <c r="F33" s="144"/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143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243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244</v>
      </c>
      <c r="C41" s="41"/>
      <c r="D41" s="40"/>
      <c r="E41" s="40"/>
      <c r="F41" s="102">
        <v>2028</v>
      </c>
      <c r="G41" s="41"/>
      <c r="H41" s="131" t="s">
        <v>245</v>
      </c>
      <c r="I41" s="40"/>
      <c r="J41" s="40"/>
      <c r="K41" s="103">
        <f>F24+100-F41</f>
        <v>77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246</v>
      </c>
      <c r="I42" s="40"/>
      <c r="J42" s="40"/>
      <c r="K42" s="46">
        <f>F41+K41</f>
        <v>2105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239</v>
      </c>
      <c r="C48" s="164" t="s">
        <v>240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279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0</v>
      </c>
      <c r="C52" s="66">
        <f>'Berekening MJOP+LTP'!D39</f>
        <v>2</v>
      </c>
      <c r="D52" s="145">
        <f>'Berekening MJOP+LTP'!K39</f>
        <v>0</v>
      </c>
      <c r="E52" s="188"/>
      <c r="F52" s="31"/>
      <c r="G52" s="35"/>
      <c r="H52" s="35"/>
      <c r="I52" s="35"/>
      <c r="J52" s="35"/>
      <c r="K52" s="91"/>
      <c r="L52" s="64">
        <f>'Berekening MJOP+LTP'!T39</f>
        <v>0</v>
      </c>
      <c r="M52" s="64">
        <f>'Berekening MJOP+LTP'!Y39</f>
        <v>0</v>
      </c>
      <c r="N52" s="61">
        <f>'Berekening MJOP+LTP'!AA39</f>
        <v>0</v>
      </c>
      <c r="O52" s="255">
        <f>'Berekening MJOP+LTP'!AC39</f>
        <v>0</v>
      </c>
      <c r="P52" s="234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8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5">
        <f>'Berekening MJOP+LTP'!AC40</f>
        <v>0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2105</v>
      </c>
      <c r="K59" s="159">
        <v>2105</v>
      </c>
      <c r="L59" s="156">
        <f>'Berekening MJOP+LTP'!T46</f>
        <v>229600</v>
      </c>
      <c r="M59" s="128">
        <f>'Berekening MJOP+LTP'!Y46</f>
        <v>0</v>
      </c>
      <c r="N59" s="129">
        <f>'Berekening MJOP+LTP'!AA46</f>
        <v>52</v>
      </c>
      <c r="O59" s="257">
        <f>'Berekening MJOP+LTP'!AC46</f>
        <v>0</v>
      </c>
      <c r="P59" s="235"/>
    </row>
    <row r="60" spans="2:16" x14ac:dyDescent="0.3">
      <c r="B60" s="207" t="s">
        <v>292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302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293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5000</v>
      </c>
      <c r="M62" s="214">
        <f>SUMIF(B51:B58,2,M51:M58)</f>
        <v>4642.9970545987444</v>
      </c>
      <c r="N62" s="247">
        <f>SUMIF(B51:B58,2,N51:N58)</f>
        <v>0</v>
      </c>
      <c r="O62" s="259">
        <f>SUMIF(B51:B58,2,O51:O58)</f>
        <v>530.50310089355912</v>
      </c>
      <c r="P62" s="236"/>
    </row>
    <row r="63" spans="2:16" x14ac:dyDescent="0.3">
      <c r="B63" s="211" t="s">
        <v>294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0</v>
      </c>
      <c r="M63" s="214">
        <f>SUMIF(B51:B58,1,M51:M58)</f>
        <v>0</v>
      </c>
      <c r="N63" s="247">
        <f>SUMIF(B51:B58,1,N51:N58)</f>
        <v>0</v>
      </c>
      <c r="O63" s="259">
        <f>SUMIF(B51:B58,1,O51:O58)</f>
        <v>0</v>
      </c>
      <c r="P63" s="236"/>
    </row>
    <row r="64" spans="2:16" x14ac:dyDescent="0.3">
      <c r="B64" s="211" t="s">
        <v>272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5000</v>
      </c>
      <c r="M64" s="214">
        <f>SUM(M51:M58)</f>
        <v>4642.9970545987444</v>
      </c>
      <c r="N64" s="247">
        <f>SUM(N51:N58)</f>
        <v>0</v>
      </c>
      <c r="O64" s="259">
        <f>SUM(O51:O58)</f>
        <v>530.50310089355912</v>
      </c>
      <c r="P64" s="236"/>
    </row>
    <row r="65" spans="2:16" x14ac:dyDescent="0.3">
      <c r="B65" s="211" t="s">
        <v>295</v>
      </c>
      <c r="C65" s="194"/>
      <c r="D65" s="212"/>
      <c r="E65" s="212"/>
      <c r="F65" s="194"/>
      <c r="G65" s="205" t="s">
        <v>256</v>
      </c>
      <c r="H65" s="196"/>
      <c r="I65" s="213"/>
      <c r="J65" s="197"/>
      <c r="K65" s="224">
        <f>K59</f>
        <v>2105</v>
      </c>
      <c r="L65" s="214">
        <f>L59</f>
        <v>229600</v>
      </c>
      <c r="M65" s="214">
        <f>M59</f>
        <v>0</v>
      </c>
      <c r="N65" s="248">
        <f>N59</f>
        <v>52</v>
      </c>
      <c r="O65" s="259">
        <f>O59</f>
        <v>0</v>
      </c>
      <c r="P65" s="237"/>
    </row>
    <row r="66" spans="2:16" ht="15" thickBot="1" x14ac:dyDescent="0.35">
      <c r="B66" s="215" t="s">
        <v>273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246100</v>
      </c>
      <c r="M66" s="218">
        <f>SUM(M49:M59)</f>
        <v>14952.56010585888</v>
      </c>
      <c r="N66" s="249">
        <f>SUM(N49:N59)</f>
        <v>52</v>
      </c>
      <c r="O66" s="260">
        <f>SUM(O49:O59)</f>
        <v>1708.4610240272898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241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239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279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2105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12282.617769080061</v>
      </c>
      <c r="N75" s="61">
        <f>'Berekening MJOP+LTP'!AA125</f>
        <v>0</v>
      </c>
      <c r="O75" s="261">
        <f>'Berekening MJOP+LTP'!AC125</f>
        <v>360.98576121717804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3711.4915588414374</v>
      </c>
      <c r="N76" s="61">
        <f>'Berekening MJOP+LTP'!AA147</f>
        <v>0</v>
      </c>
      <c r="O76" s="261">
        <f>'Berekening MJOP+LTP'!AC147</f>
        <v>109.08062359412284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2105</v>
      </c>
      <c r="K77" s="90">
        <v>2105</v>
      </c>
      <c r="L77" s="64">
        <f>'Berekening MJOP+LTP'!T154</f>
        <v>229600</v>
      </c>
      <c r="M77" s="64">
        <f>'Berekening MJOP+LTP'!Y154</f>
        <v>34295.27175587503</v>
      </c>
      <c r="N77" s="61">
        <f>'Berekening MJOP+LTP'!AA149</f>
        <v>52</v>
      </c>
      <c r="O77" s="261">
        <f>'Berekening MJOP+LTP'!AC154</f>
        <v>1007.9369897929972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2105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2105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2105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-13304.64</v>
      </c>
      <c r="M91" s="64"/>
      <c r="N91" s="251"/>
      <c r="O91" s="262"/>
      <c r="P91" s="241"/>
      <c r="Q91" s="27"/>
    </row>
    <row r="92" spans="2:17" x14ac:dyDescent="0.3">
      <c r="B92" s="207" t="s">
        <v>296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2105</v>
      </c>
      <c r="K92" s="219"/>
      <c r="L92" s="220"/>
      <c r="M92" s="220">
        <f t="shared" ref="M92:O94" si="1">M71+M75+M79+M83+M87</f>
        <v>12282.617769080061</v>
      </c>
      <c r="N92" s="267">
        <f t="shared" si="1"/>
        <v>0</v>
      </c>
      <c r="O92" s="263">
        <f t="shared" si="1"/>
        <v>360.98576121717804</v>
      </c>
      <c r="P92" s="242"/>
    </row>
    <row r="93" spans="2:17" x14ac:dyDescent="0.3">
      <c r="B93" s="211" t="s">
        <v>297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2105</v>
      </c>
      <c r="K93" s="221"/>
      <c r="L93" s="222"/>
      <c r="M93" s="222">
        <f t="shared" si="1"/>
        <v>3711.4915588414374</v>
      </c>
      <c r="N93" s="252">
        <f t="shared" si="1"/>
        <v>0</v>
      </c>
      <c r="O93" s="264">
        <f t="shared" si="1"/>
        <v>109.08062359412284</v>
      </c>
      <c r="P93" s="243"/>
    </row>
    <row r="94" spans="2:17" x14ac:dyDescent="0.3">
      <c r="B94" s="211" t="s">
        <v>295</v>
      </c>
      <c r="C94" s="212"/>
      <c r="D94" s="212"/>
      <c r="E94" s="212"/>
      <c r="F94" s="194"/>
      <c r="G94" s="205" t="s">
        <v>256</v>
      </c>
      <c r="H94" s="196"/>
      <c r="I94" s="213"/>
      <c r="J94" s="197"/>
      <c r="K94" s="225">
        <f>K59</f>
        <v>2105</v>
      </c>
      <c r="L94" s="222">
        <f>L73+L77+L81+L85+L89</f>
        <v>229600</v>
      </c>
      <c r="M94" s="222">
        <f t="shared" si="1"/>
        <v>34295.27175587503</v>
      </c>
      <c r="N94" s="252">
        <f t="shared" si="1"/>
        <v>52</v>
      </c>
      <c r="O94" s="264">
        <f t="shared" si="1"/>
        <v>1007.9369897929972</v>
      </c>
      <c r="P94" s="243"/>
    </row>
    <row r="95" spans="2:17" ht="15" thickBot="1" x14ac:dyDescent="0.35">
      <c r="B95" s="215" t="s">
        <v>298</v>
      </c>
      <c r="C95" s="216"/>
      <c r="D95" s="216"/>
      <c r="E95" s="216"/>
      <c r="F95" s="199"/>
      <c r="G95" s="206" t="s">
        <v>256</v>
      </c>
      <c r="H95" s="201"/>
      <c r="I95" s="217"/>
      <c r="J95" s="202"/>
      <c r="K95" s="226">
        <f>K59</f>
        <v>2105</v>
      </c>
      <c r="L95" s="223">
        <f>L91</f>
        <v>-13304.64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257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258</v>
      </c>
      <c r="F99" s="177" t="s">
        <v>259</v>
      </c>
    </row>
    <row r="100" spans="3:6" x14ac:dyDescent="0.3">
      <c r="C100" s="185" t="str">
        <f>'Berekening MJOP+LTP'!K229</f>
        <v>(Constructie) staal spoordek</v>
      </c>
      <c r="D100" s="180"/>
      <c r="E100" s="61">
        <f>'Berekening MJOP+LTP'!Q229</f>
        <v>0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72.8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36.4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228">
        <f>'Berekening MJOP+LTP'!Q232</f>
        <v>26.495999999999999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228">
        <f>'Berekening MJOP+LTP'!Q233</f>
        <v>5.2991999999999999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zoomScale="90" zoomScaleNormal="90" zoomScaleSheetLayoutView="90" workbookViewId="0">
      <pane ySplit="2" topLeftCell="A139" activePane="bottomLeft" state="frozen"/>
      <selection pane="bottomLeft" activeCell="O244" sqref="O244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234</v>
      </c>
      <c r="C1" s="3" t="s">
        <v>235</v>
      </c>
      <c r="D1" s="3" t="s">
        <v>237</v>
      </c>
      <c r="E1" s="3" t="s">
        <v>232</v>
      </c>
      <c r="F1" s="3" t="s">
        <v>0</v>
      </c>
      <c r="G1" s="3"/>
      <c r="H1" s="3"/>
      <c r="I1" s="3" t="s">
        <v>229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277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233</v>
      </c>
      <c r="C2" s="3" t="s">
        <v>238</v>
      </c>
      <c r="D2" s="3" t="s">
        <v>236</v>
      </c>
      <c r="E2" s="3" t="s">
        <v>231</v>
      </c>
      <c r="F2" s="3"/>
      <c r="G2" s="3"/>
      <c r="H2" s="3"/>
      <c r="I2" s="3" t="s">
        <v>230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278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285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252</v>
      </c>
      <c r="K9" s="1" t="s">
        <v>25</v>
      </c>
    </row>
    <row r="10" spans="2:236" ht="13.8" x14ac:dyDescent="0.3">
      <c r="B10" s="170"/>
      <c r="D10" s="168" t="s">
        <v>255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284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253</v>
      </c>
    </row>
    <row r="15" spans="2:236" ht="13.8" x14ac:dyDescent="0.3">
      <c r="B15" s="170"/>
      <c r="D15" s="168" t="s">
        <v>254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286</v>
      </c>
      <c r="K17" s="1" t="s">
        <v>248</v>
      </c>
    </row>
    <row r="18" spans="2:236" ht="13.8" x14ac:dyDescent="0.3">
      <c r="B18" s="170"/>
      <c r="D18" s="1" t="s">
        <v>40</v>
      </c>
      <c r="K18" s="1" t="s">
        <v>249</v>
      </c>
    </row>
    <row r="19" spans="2:236" ht="13.8" x14ac:dyDescent="0.3">
      <c r="B19" s="170"/>
      <c r="D19" s="1" t="s">
        <v>253</v>
      </c>
      <c r="K19" s="1" t="s">
        <v>250</v>
      </c>
    </row>
    <row r="20" spans="2:236" ht="13.8" x14ac:dyDescent="0.3">
      <c r="B20" s="170"/>
      <c r="D20" s="168" t="s">
        <v>254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251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234</v>
      </c>
      <c r="C28" s="3" t="s">
        <v>235</v>
      </c>
      <c r="D28" s="3" t="s">
        <v>237</v>
      </c>
      <c r="E28" s="3" t="s">
        <v>232</v>
      </c>
      <c r="F28" s="3" t="s">
        <v>0</v>
      </c>
      <c r="G28" s="3"/>
      <c r="H28" s="3"/>
      <c r="I28" s="3" t="s">
        <v>229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277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233</v>
      </c>
      <c r="C29" s="3" t="s">
        <v>238</v>
      </c>
      <c r="D29" s="3" t="s">
        <v>236</v>
      </c>
      <c r="E29" s="3" t="s">
        <v>231</v>
      </c>
      <c r="F29" s="3"/>
      <c r="G29" s="3"/>
      <c r="H29" s="3"/>
      <c r="I29" s="3" t="s">
        <v>230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278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280</v>
      </c>
      <c r="K31" s="1" t="s">
        <v>281</v>
      </c>
      <c r="O31" s="1" t="s">
        <v>290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275</v>
      </c>
      <c r="K32" s="1" t="s">
        <v>148</v>
      </c>
      <c r="O32" s="1" t="s">
        <v>290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289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283</v>
      </c>
      <c r="I35" s="1" t="s">
        <v>282</v>
      </c>
      <c r="K35" s="1" t="s">
        <v>288</v>
      </c>
      <c r="O35" s="1" t="s">
        <v>291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287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8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/>
      <c r="C39" s="76"/>
      <c r="D39" s="78">
        <v>2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7"/>
      <c r="P39" s="77"/>
      <c r="Q39" s="81">
        <v>1</v>
      </c>
      <c r="R39" s="81" t="s">
        <v>33</v>
      </c>
      <c r="S39" s="81"/>
      <c r="T39" s="9">
        <f t="shared" si="4"/>
        <v>0</v>
      </c>
      <c r="U39" s="11">
        <v>1</v>
      </c>
      <c r="V39" s="14"/>
      <c r="W39" s="9">
        <f>Voorblad!K52</f>
        <v>0</v>
      </c>
      <c r="Y39" s="9">
        <f t="shared" ref="Y39:Y45" si="5">SUM(AE39:EB39)</f>
        <v>0</v>
      </c>
      <c r="Z39" s="82"/>
      <c r="AA39" s="82"/>
      <c r="AC39" s="9">
        <f>$Y39*(Voorblad!$K$44*(1+Voorblad!$K$44)^Voorblad!$K$37)/((1+Voorblad!$K$44)^Voorblad!$K$37-1)</f>
        <v>0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0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8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227</v>
      </c>
      <c r="P46" s="14" t="s">
        <v>308</v>
      </c>
      <c r="Q46" s="83">
        <f>22.4*2.5</f>
        <v>56</v>
      </c>
      <c r="R46" s="81" t="s">
        <v>35</v>
      </c>
      <c r="S46" s="81">
        <v>4100</v>
      </c>
      <c r="T46" s="9">
        <f t="shared" si="4"/>
        <v>229600</v>
      </c>
      <c r="U46" s="11">
        <v>1</v>
      </c>
      <c r="V46" s="1">
        <f>Voorblad!F24+100</f>
        <v>2105</v>
      </c>
      <c r="W46" s="9">
        <f>Voorblad!K59</f>
        <v>2105</v>
      </c>
      <c r="X46" s="6"/>
      <c r="Y46" s="9">
        <f>SUM(AE46:EB46)</f>
        <v>0</v>
      </c>
      <c r="Z46" s="82" t="s">
        <v>299</v>
      </c>
      <c r="AA46" s="82">
        <v>52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266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247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234</v>
      </c>
      <c r="C54" s="3"/>
      <c r="D54" s="3"/>
      <c r="E54" s="3"/>
      <c r="F54" s="3" t="s">
        <v>0</v>
      </c>
      <c r="G54" s="3"/>
      <c r="H54" s="3"/>
      <c r="I54" s="3" t="s">
        <v>229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277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233</v>
      </c>
      <c r="I55" s="3" t="s">
        <v>230</v>
      </c>
      <c r="O55" s="14"/>
      <c r="P55" s="14"/>
      <c r="V55" s="3" t="s">
        <v>70</v>
      </c>
      <c r="AC55" s="20" t="s">
        <v>278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274</v>
      </c>
      <c r="K58" s="1" t="s">
        <v>281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275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275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275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2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275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275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275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275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275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275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275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275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275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275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275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275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267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268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2105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1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1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1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1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1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1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1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1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269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274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82"/>
      <c r="AA109" s="82"/>
      <c r="AC109" s="9">
        <f>$Y109*(Voorblad!$K$44*(1+Voorblad!$K$44)^Voorblad!$K$41)/((1+Voorblad!$K$44)^Voorblad!$K$41-1)</f>
        <v>166.87172869052199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275</v>
      </c>
      <c r="K110" s="1" t="s">
        <v>112</v>
      </c>
      <c r="O110" s="1" t="s">
        <v>225</v>
      </c>
      <c r="P110" s="6" t="s">
        <v>304</v>
      </c>
      <c r="Q110" s="83">
        <v>10</v>
      </c>
      <c r="R110" s="1" t="s">
        <v>35</v>
      </c>
      <c r="S110" s="21">
        <f>$H$20*15</f>
        <v>26.55</v>
      </c>
      <c r="T110" s="9">
        <f t="shared" si="20"/>
        <v>265.5</v>
      </c>
      <c r="U110" s="14">
        <v>10</v>
      </c>
      <c r="V110" s="14"/>
      <c r="Y110" s="9">
        <f t="shared" si="21"/>
        <v>779.62004761324749</v>
      </c>
      <c r="Z110" s="82"/>
      <c r="AA110" s="82"/>
      <c r="AC110" s="9">
        <f>$Y110*(Voorblad!$K$44*(1+Voorblad!$K$44)^Voorblad!$K$41)/((1+Voorblad!$K$44)^Voorblad!$K$41-1)</f>
        <v>22.91300939579099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207.40817565818054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162.02693532901947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126.57518291554776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98.880330591767446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77.245156220400233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60.343792580430765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47.140474317901301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275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275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2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275</v>
      </c>
      <c r="K113" s="1" t="s">
        <v>158</v>
      </c>
      <c r="P113" s="1" t="s">
        <v>183</v>
      </c>
      <c r="Q113" s="84">
        <f>2*2.5</f>
        <v>5</v>
      </c>
      <c r="R113" s="147" t="s">
        <v>195</v>
      </c>
      <c r="S113" s="21">
        <f>$H$20*350</f>
        <v>619.5</v>
      </c>
      <c r="T113" s="9">
        <f t="shared" si="20"/>
        <v>3097.5</v>
      </c>
      <c r="U113" s="14">
        <v>15</v>
      </c>
      <c r="V113" s="14"/>
      <c r="Y113" s="9">
        <f>SUM(AE113:EB113)</f>
        <v>5825.1514455905499</v>
      </c>
      <c r="Z113" s="82"/>
      <c r="AA113" s="82"/>
      <c r="AC113" s="9">
        <f>$Y113*(Voorblad!$K$44*(1+Voorblad!$K$44)^Voorblad!$K$41)/((1+Voorblad!$K$44)^Voorblad!$K$41-1)</f>
        <v>171.20102313086508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2138.7170623087586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1476.7104673480571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1019.6177151274351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704.0109134383589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486.09528736793953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275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275</v>
      </c>
      <c r="K115" s="14" t="s">
        <v>161</v>
      </c>
      <c r="O115" s="14" t="s">
        <v>157</v>
      </c>
      <c r="P115" s="14" t="s">
        <v>198</v>
      </c>
      <c r="Q115" s="83">
        <v>0</v>
      </c>
      <c r="R115" s="14" t="s">
        <v>34</v>
      </c>
      <c r="S115" s="21">
        <f>$H$20*1000</f>
        <v>1770</v>
      </c>
      <c r="T115" s="21">
        <f t="shared" si="20"/>
        <v>0</v>
      </c>
      <c r="U115" s="14">
        <v>15</v>
      </c>
      <c r="Y115" s="21">
        <f t="shared" si="22"/>
        <v>0</v>
      </c>
      <c r="Z115" s="149"/>
      <c r="AA115" s="149"/>
      <c r="AC115" s="9">
        <f>$Y115*(Voorblad!$K$44*(1+Voorblad!$K$44)^Voorblad!$K$41)/((1+Voorblad!$K$44)^Voorblad!$K$41-1)</f>
        <v>0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0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0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275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275</v>
      </c>
      <c r="K117" s="14" t="s">
        <v>197</v>
      </c>
      <c r="L117" s="14"/>
      <c r="M117" s="14"/>
      <c r="O117" s="1" t="s">
        <v>171</v>
      </c>
      <c r="P117" s="1" t="s">
        <v>174</v>
      </c>
      <c r="Q117" s="83">
        <v>0</v>
      </c>
      <c r="R117" s="1" t="s">
        <v>34</v>
      </c>
      <c r="S117" s="14">
        <f>$H$20*500</f>
        <v>885</v>
      </c>
      <c r="T117" s="9">
        <f t="shared" si="20"/>
        <v>0</v>
      </c>
      <c r="U117" s="14">
        <v>15</v>
      </c>
      <c r="V117" s="14"/>
      <c r="Y117" s="9">
        <f t="shared" si="22"/>
        <v>0</v>
      </c>
      <c r="Z117" s="82"/>
      <c r="AA117" s="82"/>
      <c r="AC117" s="9">
        <f>$Y117*(Voorblad!$K$44*(1+Voorblad!$K$44)^Voorblad!$K$41)/((1+Voorblad!$K$44)^Voorblad!$K$41-1)</f>
        <v>0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0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0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275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275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275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275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275</v>
      </c>
      <c r="K122" s="14" t="s">
        <v>200</v>
      </c>
      <c r="L122" s="14"/>
      <c r="M122" s="14"/>
      <c r="O122" s="1" t="s">
        <v>177</v>
      </c>
      <c r="P122" s="1" t="s">
        <v>180</v>
      </c>
      <c r="Q122" s="83">
        <v>0</v>
      </c>
      <c r="R122" s="1" t="s">
        <v>34</v>
      </c>
      <c r="S122" s="14">
        <f>$H$20*100</f>
        <v>177</v>
      </c>
      <c r="T122" s="9">
        <f t="shared" si="20"/>
        <v>0</v>
      </c>
      <c r="U122" s="14">
        <v>15</v>
      </c>
      <c r="V122" s="14"/>
      <c r="Y122" s="9">
        <f t="shared" si="23"/>
        <v>0</v>
      </c>
      <c r="Z122" s="82"/>
      <c r="AA122" s="82"/>
      <c r="AC122" s="9">
        <f>$Y122*(Voorblad!$K$44*(1+Voorblad!$K$44)^Voorblad!$K$41)/((1+Voorblad!$K$44)^Voorblad!$K$41-1)</f>
        <v>0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0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0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275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275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267</v>
      </c>
      <c r="C125" s="2"/>
      <c r="S125" s="14"/>
      <c r="U125" s="14"/>
      <c r="V125" s="14"/>
      <c r="Y125" s="23">
        <f>SUM(Y109:Y124)</f>
        <v>12282.617769080061</v>
      </c>
      <c r="Z125" s="24"/>
      <c r="AA125" s="23">
        <f>SUM(AA109:AA124)</f>
        <v>0</v>
      </c>
      <c r="AC125" s="9">
        <f>$Y125*(Voorblad!$K$44*(1+Voorblad!$K$44)^Voorblad!$K$41)/((1+Voorblad!$K$44)^Voorblad!$K$41-1)</f>
        <v>360.98576121717804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898.76876118544897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2749.779080111261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702.11671975908439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2025.2029266487641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428.48143256432564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1310.9370623067023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334.72901028840101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965.50068128689213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204.27538871090562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624.97965518735077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1">
        <v>0</v>
      </c>
      <c r="R133" s="1" t="s">
        <v>34</v>
      </c>
      <c r="S133" s="21">
        <f>$H$10*125</f>
        <v>297.5</v>
      </c>
      <c r="T133" s="9">
        <f t="shared" si="104"/>
        <v>0</v>
      </c>
      <c r="U133" s="14">
        <v>30</v>
      </c>
      <c r="V133" s="14"/>
      <c r="Y133" s="9">
        <f t="shared" si="21"/>
        <v>0</v>
      </c>
      <c r="Z133" s="82"/>
      <c r="AA133" s="82"/>
      <c r="AC133" s="9">
        <f>$Y133*(Voorblad!$K$44*(1+Voorblad!$K$44)^Voorblad!$K$41)/((1+Voorblad!$K$44)^Voorblad!$K$41-1)</f>
        <v>0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0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4">
        <f>2*2.5</f>
        <v>5</v>
      </c>
      <c r="R136" s="147" t="s">
        <v>195</v>
      </c>
      <c r="S136" s="14">
        <f>$H$10*500</f>
        <v>1190</v>
      </c>
      <c r="T136" s="9">
        <f t="shared" si="104"/>
        <v>5950</v>
      </c>
      <c r="U136" s="14">
        <v>50</v>
      </c>
      <c r="V136" s="14"/>
      <c r="Y136" s="9">
        <f>SUM(AE136:EB136)</f>
        <v>1731.1061375193271</v>
      </c>
      <c r="Z136" s="82"/>
      <c r="AA136" s="82"/>
      <c r="AC136" s="9">
        <f>$Y136*(Voorblad!$K$44*(1+Voorblad!$K$44)^Voorblad!$K$41)/((1+Voorblad!$K$44)^Voorblad!$K$41-1)</f>
        <v>50.877156527109541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1731.1061375193271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4">
        <f>7.5%*2*2.4</f>
        <v>0.36</v>
      </c>
      <c r="R137" s="14" t="s">
        <v>34</v>
      </c>
      <c r="S137" s="21">
        <f>$H$10*1000</f>
        <v>2380</v>
      </c>
      <c r="T137" s="21">
        <f t="shared" si="104"/>
        <v>856.8</v>
      </c>
      <c r="U137" s="14">
        <v>50</v>
      </c>
      <c r="Y137" s="21">
        <f t="shared" ref="Y137" si="108">SUM(AE137:EB137)</f>
        <v>249.27928380278311</v>
      </c>
      <c r="Z137" s="149"/>
      <c r="AA137" s="149"/>
      <c r="AC137" s="9">
        <f>$Y137*(Voorblad!$K$44*(1+Voorblad!$K$44)^Voorblad!$K$41)/((1+Voorblad!$K$44)^Voorblad!$K$41-1)</f>
        <v>7.3263105399037736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249.27928380278311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1">
        <v>0</v>
      </c>
      <c r="R139" s="1" t="s">
        <v>34</v>
      </c>
      <c r="S139" s="14">
        <f>$H$10*400</f>
        <v>952</v>
      </c>
      <c r="T139" s="9">
        <f t="shared" si="104"/>
        <v>0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9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2*2.5</f>
        <v>5</v>
      </c>
      <c r="R146" s="147" t="s">
        <v>195</v>
      </c>
      <c r="S146" s="14">
        <f>$H$10*500</f>
        <v>1190</v>
      </c>
      <c r="T146" s="9">
        <f t="shared" si="104"/>
        <v>5950</v>
      </c>
      <c r="U146" s="14">
        <v>50</v>
      </c>
      <c r="V146" s="14"/>
      <c r="Y146" s="9">
        <f>SUM(AE146:EB146)</f>
        <v>1731.1061375193271</v>
      </c>
      <c r="Z146" s="82"/>
      <c r="AA146" s="82"/>
      <c r="AC146" s="229">
        <f>$Y146*(Voorblad!$K$44*(1+Voorblad!$K$44)^Voorblad!$K$41)/((1+Voorblad!$K$44)^Voorblad!$K$41-1)</f>
        <v>50.877156527109541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1731.1061375193271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268</v>
      </c>
      <c r="C147" s="2"/>
      <c r="D147" s="22"/>
      <c r="N147" s="6"/>
      <c r="S147" s="14"/>
      <c r="U147" s="14"/>
      <c r="V147" s="14"/>
      <c r="Y147" s="23">
        <f>SUM(Y127:Y146)</f>
        <v>3711.4915588414374</v>
      </c>
      <c r="Z147" s="24"/>
      <c r="AA147" s="23">
        <f>SUM(AA127:AA146)</f>
        <v>0</v>
      </c>
      <c r="AC147" s="9">
        <f>$Y147*(Voorblad!$K$44*(1+Voorblad!$K$44)^Voorblad!$K$41)/((1+Voorblad!$K$44)^Voorblad!$K$41-1)</f>
        <v>109.08062359412284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0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3711.4915588414374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300</v>
      </c>
      <c r="Q149" s="83">
        <f>22.4*2.5</f>
        <v>56</v>
      </c>
      <c r="R149" s="81" t="s">
        <v>35</v>
      </c>
      <c r="S149" s="81">
        <v>4100</v>
      </c>
      <c r="T149" s="21">
        <f>Q149*S149</f>
        <v>229600</v>
      </c>
      <c r="U149" s="11">
        <v>1</v>
      </c>
      <c r="V149" s="14">
        <f>Voorblad!F24+100</f>
        <v>2105</v>
      </c>
      <c r="W149" s="9">
        <f>Voorblad!K77</f>
        <v>2105</v>
      </c>
      <c r="X149" s="6"/>
      <c r="Y149" s="9">
        <f t="shared" si="21"/>
        <v>34295.27175587503</v>
      </c>
      <c r="Z149" s="82" t="s">
        <v>299</v>
      </c>
      <c r="AA149" s="82">
        <v>52</v>
      </c>
      <c r="AC149" s="9">
        <f>$Y149*(Voorblad!$K$44*(1+Voorblad!$K$44)^Voorblad!$K$41)/((1+Voorblad!$K$44)^Voorblad!$K$41-1)</f>
        <v>1007.9369897929972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34295.27175587503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1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1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4592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1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9184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1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16072.000000000002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1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269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229600</v>
      </c>
      <c r="U154" s="14"/>
      <c r="V154" s="14"/>
      <c r="W154" s="14"/>
      <c r="X154" s="6"/>
      <c r="Y154" s="23">
        <f>SUM(Y149:Y153)</f>
        <v>34295.27175587503</v>
      </c>
      <c r="Z154" s="24"/>
      <c r="AA154" s="23">
        <f>SUM(AA149:AA153)</f>
        <v>52</v>
      </c>
      <c r="AC154" s="9">
        <f>$Y154*(Voorblad!$K$44*(1+Voorblad!$K$44)^Voorblad!$K$41)/((1+Voorblad!$K$44)^Voorblad!$K$41-1)</f>
        <v>1007.9369897929972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274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275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275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275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2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275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275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275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275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275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275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275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275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275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275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267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268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2105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1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1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1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1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269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274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275</v>
      </c>
      <c r="K196" s="1" t="s">
        <v>83</v>
      </c>
      <c r="O196" s="1" t="s">
        <v>133</v>
      </c>
      <c r="P196" s="1" t="s">
        <v>276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275</v>
      </c>
      <c r="K197" s="1" t="s">
        <v>84</v>
      </c>
      <c r="O197" s="1" t="s">
        <v>132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275</v>
      </c>
      <c r="K198" s="1" t="s">
        <v>82</v>
      </c>
      <c r="O198" s="1" t="s">
        <v>217</v>
      </c>
      <c r="P198" s="1" t="s">
        <v>173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267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268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228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2105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1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1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1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1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269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274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9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275</v>
      </c>
      <c r="K213" s="1" t="s">
        <v>87</v>
      </c>
      <c r="O213" s="1" t="s">
        <v>133</v>
      </c>
      <c r="Q213" s="84">
        <v>0</v>
      </c>
      <c r="R213" s="1" t="s">
        <v>35</v>
      </c>
      <c r="S213" s="21">
        <f>$H$20*15</f>
        <v>26.55</v>
      </c>
      <c r="T213" s="9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275</v>
      </c>
      <c r="K214" s="1" t="s">
        <v>84</v>
      </c>
      <c r="O214" s="1" t="s">
        <v>132</v>
      </c>
      <c r="Q214" s="81">
        <v>0</v>
      </c>
      <c r="R214" s="1" t="s">
        <v>35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275</v>
      </c>
      <c r="K215" s="1" t="s">
        <v>88</v>
      </c>
      <c r="O215" s="1" t="s">
        <v>217</v>
      </c>
      <c r="P215" s="1" t="s">
        <v>173</v>
      </c>
      <c r="Q215" s="84">
        <v>0</v>
      </c>
      <c r="R215" s="1" t="s">
        <v>35</v>
      </c>
      <c r="S215" s="14">
        <f>$H$20*500</f>
        <v>885</v>
      </c>
      <c r="T215" s="9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T216" s="9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267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4">
        <v>0</v>
      </c>
      <c r="R218" s="1" t="s">
        <v>35</v>
      </c>
      <c r="S218" s="14">
        <f>$H$10*500</f>
        <v>1190</v>
      </c>
      <c r="T218" s="9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268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P221" s="1" t="s">
        <v>301</v>
      </c>
      <c r="Q221" s="84">
        <v>0</v>
      </c>
      <c r="R221" s="81" t="s">
        <v>33</v>
      </c>
      <c r="S221" s="81">
        <v>0</v>
      </c>
      <c r="T221" s="21">
        <f>Q221*S221</f>
        <v>0</v>
      </c>
      <c r="U221" s="11">
        <v>1</v>
      </c>
      <c r="V221" s="14">
        <f>Voorblad!F25+100</f>
        <v>2105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1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0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1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1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1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271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260</v>
      </c>
      <c r="Q229" s="84">
        <v>0</v>
      </c>
      <c r="R229" s="1" t="s">
        <v>101</v>
      </c>
      <c r="S229" s="1">
        <v>-200</v>
      </c>
      <c r="T229" s="21">
        <f t="shared" ref="T229:T236" si="201">Q229*S229</f>
        <v>0</v>
      </c>
      <c r="U229" s="11">
        <v>1</v>
      </c>
      <c r="V229" s="14">
        <f>Voorblad!F24+100</f>
        <v>2105</v>
      </c>
      <c r="W229" s="9">
        <f>Voorblad!$K$77</f>
        <v>2105</v>
      </c>
      <c r="X229" s="6"/>
      <c r="Y229" s="9">
        <f t="shared" ref="Y229" si="202">SUM(AE229:EB229)</f>
        <v>0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1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261</v>
      </c>
      <c r="O230" s="1" t="s">
        <v>103</v>
      </c>
      <c r="P230" s="1" t="s">
        <v>309</v>
      </c>
      <c r="Q230" s="83">
        <f>2*36.4</f>
        <v>72.8</v>
      </c>
      <c r="R230" s="1" t="s">
        <v>101</v>
      </c>
      <c r="S230" s="1">
        <v>-50</v>
      </c>
      <c r="T230" s="21">
        <f t="shared" si="201"/>
        <v>-3640</v>
      </c>
      <c r="U230" s="11">
        <v>1</v>
      </c>
      <c r="V230" s="14">
        <f>Voorblad!F24+100</f>
        <v>2105</v>
      </c>
      <c r="W230" s="9">
        <f>Voorblad!$K$77</f>
        <v>2105</v>
      </c>
      <c r="X230" s="6"/>
      <c r="Y230" s="9">
        <f t="shared" ref="Y230" si="203">SUM(AE230:EB230)</f>
        <v>-543.70552783704306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-543.70552783704306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1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262</v>
      </c>
      <c r="O231" s="1" t="s">
        <v>102</v>
      </c>
      <c r="Q231" s="83">
        <f>0.5*Q230</f>
        <v>36.4</v>
      </c>
      <c r="R231" s="1" t="s">
        <v>101</v>
      </c>
      <c r="S231" s="1">
        <v>-200</v>
      </c>
      <c r="T231" s="21">
        <f t="shared" si="201"/>
        <v>-7280</v>
      </c>
      <c r="U231" s="11">
        <v>1</v>
      </c>
      <c r="V231" s="14">
        <f>Voorblad!F24+100</f>
        <v>2105</v>
      </c>
      <c r="W231" s="9">
        <f>Voorblad!$K$77</f>
        <v>2105</v>
      </c>
      <c r="X231" s="6"/>
      <c r="Y231" s="9">
        <f t="shared" ref="Y231:Y234" si="204">SUM(AE231:EB231)</f>
        <v>-1087.4110556740861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-1087.4110556740861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1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263</v>
      </c>
      <c r="O232" s="1" t="s">
        <v>137</v>
      </c>
      <c r="P232" s="1" t="s">
        <v>310</v>
      </c>
      <c r="Q232" s="83">
        <f>2.3*11.52</f>
        <v>26.495999999999999</v>
      </c>
      <c r="R232" s="1" t="s">
        <v>101</v>
      </c>
      <c r="S232" s="1">
        <v>-50</v>
      </c>
      <c r="T232" s="21">
        <f t="shared" si="201"/>
        <v>-1324.8</v>
      </c>
      <c r="U232" s="11">
        <v>1</v>
      </c>
      <c r="V232" s="14">
        <f>Voorblad!F24+100</f>
        <v>2105</v>
      </c>
      <c r="W232" s="9">
        <f>Voorblad!$K$77</f>
        <v>2105</v>
      </c>
      <c r="X232" s="6"/>
      <c r="Y232" s="9">
        <f t="shared" ref="Y232" si="205">SUM(AE232:EB232)</f>
        <v>-197.88491298860293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-197.88491298860293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1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264</v>
      </c>
      <c r="O233" s="1" t="s">
        <v>136</v>
      </c>
      <c r="Q233" s="83">
        <f>0.2*Q232</f>
        <v>5.2991999999999999</v>
      </c>
      <c r="R233" s="1" t="s">
        <v>101</v>
      </c>
      <c r="S233" s="1">
        <v>-200</v>
      </c>
      <c r="T233" s="21">
        <f t="shared" si="201"/>
        <v>-1059.8399999999999</v>
      </c>
      <c r="U233" s="11">
        <v>1</v>
      </c>
      <c r="V233" s="14">
        <f>Voorblad!F24+100</f>
        <v>2105</v>
      </c>
      <c r="W233" s="9">
        <f>Voorblad!$K$77</f>
        <v>2105</v>
      </c>
      <c r="X233" s="6"/>
      <c r="Y233" s="9">
        <f t="shared" ref="Y233" si="206">SUM(AE233:EB233)</f>
        <v>-158.30793039088235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-158.30793039088235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1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265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2105</v>
      </c>
      <c r="W234" s="9">
        <f>Voorblad!$K$77</f>
        <v>2105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1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3">
        <v>0</v>
      </c>
      <c r="R235" s="1" t="s">
        <v>101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2105</v>
      </c>
      <c r="W235" s="9">
        <f>Voorblad!$K$77</f>
        <v>2105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1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2105</v>
      </c>
      <c r="W236" s="9">
        <f>Voorblad!$K$77</f>
        <v>2105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1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270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-13304.64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BE7987-5940-42B3-A8E9-EDAEAF82DEB9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1C5E98-DF18-4E48-9E82-2050FF95AA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2019-12-12T08:04:39Z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