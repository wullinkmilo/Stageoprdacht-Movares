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A81FE3F9-3154-4484-9D39-DE2D6088BD87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39" i="1" l="1"/>
  <c r="Q235" i="1" l="1"/>
  <c r="Q230" i="1"/>
  <c r="Q149" i="1"/>
  <c r="Q46" i="1"/>
  <c r="Q115" i="1" l="1"/>
  <c r="Q139" i="1" l="1"/>
  <c r="Q133" i="1"/>
  <c r="Q122" i="1"/>
  <c r="Q117" i="1"/>
  <c r="Q229" i="1"/>
  <c r="Q146" i="1"/>
  <c r="Q137" i="1"/>
  <c r="Q136" i="1"/>
  <c r="Q113" i="1"/>
  <c r="Q233" i="1" l="1"/>
  <c r="Q231" i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FE232" i="1"/>
  <c r="BD232" i="1" s="1"/>
  <c r="FE233" i="1"/>
  <c r="BD233" i="1" s="1"/>
  <c r="FE93" i="1"/>
  <c r="BD93" i="1" s="1"/>
  <c r="FE160" i="1"/>
  <c r="BD160" i="1" s="1"/>
  <c r="FE60" i="1"/>
  <c r="BD60" i="1" s="1"/>
  <c r="FE159" i="1"/>
  <c r="BD159" i="1" s="1"/>
  <c r="FE59" i="1"/>
  <c r="BD59" i="1" s="1"/>
  <c r="FE229" i="1"/>
  <c r="BD229" i="1" s="1"/>
  <c r="FE235" i="1"/>
  <c r="BD235" i="1" s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3" i="1"/>
  <c r="FE197" i="1"/>
  <c r="BD197" i="1" s="1"/>
  <c r="FE224" i="1"/>
  <c r="FE222" i="1"/>
  <c r="FE223" i="1"/>
  <c r="FE221" i="1"/>
  <c r="BD221" i="1" s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FP232" i="1"/>
  <c r="BO232" i="1" s="1"/>
  <c r="FP233" i="1"/>
  <c r="BO233" i="1" s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29" i="1"/>
  <c r="BO235" i="1"/>
  <c r="FP229" i="1"/>
  <c r="FP111" i="1"/>
  <c r="BO111" i="1" s="1"/>
  <c r="FP110" i="1"/>
  <c r="BO110" i="1" s="1"/>
  <c r="FP236" i="1"/>
  <c r="BO236" i="1" s="1"/>
  <c r="BO231" i="1"/>
  <c r="FP218" i="1"/>
  <c r="BO218" i="1" s="1"/>
  <c r="FP234" i="1"/>
  <c r="BO234" i="1" s="1"/>
  <c r="FP231" i="1"/>
  <c r="FP230" i="1"/>
  <c r="BO230" i="1" s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FQ232" i="1"/>
  <c r="BP232" i="1" s="1"/>
  <c r="FQ233" i="1"/>
  <c r="BP233" i="1" s="1"/>
  <c r="FQ93" i="1"/>
  <c r="BP93" i="1" s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BP236" i="1" s="1"/>
  <c r="FQ110" i="1"/>
  <c r="BP110" i="1" s="1"/>
  <c r="BP231" i="1"/>
  <c r="FQ218" i="1"/>
  <c r="BP218" i="1" s="1"/>
  <c r="FQ231" i="1"/>
  <c r="FQ230" i="1"/>
  <c r="BP230" i="1" s="1"/>
  <c r="FQ234" i="1"/>
  <c r="BP234" i="1" s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GJ232" i="1"/>
  <c r="CI232" i="1" s="1"/>
  <c r="GJ233" i="1"/>
  <c r="CI233" i="1" s="1"/>
  <c r="GJ93" i="1"/>
  <c r="CI93" i="1" s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CI236" i="1" s="1"/>
  <c r="GJ218" i="1"/>
  <c r="CI218" i="1" s="1"/>
  <c r="GJ234" i="1"/>
  <c r="CI234" i="1" s="1"/>
  <c r="GJ230" i="1"/>
  <c r="GJ231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M63" i="2" s="1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<sst xmlns="http://schemas.openxmlformats.org/spreadsheetml/2006/main" count="1026" uniqueCount="315">
  <si>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</si>
  <si>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</si>
  <si>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</si>
  <si>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</si>
  <si>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</si>
  <si>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</si>
  <si>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</si>
  <si>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</si>
  <si>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</si>
  <si>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</si>
  <si>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</si>
  <si>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</si>
  <si>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</si>
  <si>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</si>
  <si>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</si>
  <si>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</si>
  <si>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</si>
  <si>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</si>
  <si>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</si>
  <si>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</si>
  <si>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</si>
  <si>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</si>
  <si>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</si>
  <si>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</si>
  <si>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</si>
  <si>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</si>
  <si>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</si>
  <si>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</si>
  <si>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</si>
  <si>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</si>
  <si>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</si>
  <si>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</si>
  <si>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</si>
  <si>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</si>
  <si>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</si>
  <si>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</si>
  <si>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</si>
  <si>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</si>
  <si>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</si>
  <si>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</si>
  <si>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</si>
  <si>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</si>
  <si>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</si>
  <si>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</si>
  <si>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</si>
  <si>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</si>
  <si>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</si>
  <si>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</si>
  <si>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</si>
  <si>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</si>
  <si>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</si>
  <si>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</si>
  <si>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</si>
  <si>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</si>
  <si>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</si>
  <si>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</si>
  <si>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</si>
  <si>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</si>
  <si>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</si>
  <si>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</si>
  <si>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</si>
  <si>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</si>
  <si>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</si>
  <si>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</si>
  <si>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</si>
  <si>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</si>
  <si>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</si>
  <si>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</si>
  <si>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</si>
  <si>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</si>
  <si>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</si>
  <si>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</si>
  <si>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</si>
  <si>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</si>
  <si>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</si>
  <si>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</si>
  <si>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</si>
  <si>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</si>
  <si>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</si>
  <si>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</si>
  <si>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</si>
  <si>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</si>
  <si>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</si>
  <si>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</si>
  <si>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</si>
  <si>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</si>
  <si>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</si>
  <si>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</si>
  <si>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</si>
  <si>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</si>
  <si>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</si>
  <si>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</si>
  <si>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</si>
  <si>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</si>
  <si>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</si>
  <si>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</si>
  <si>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</si>
  <si>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</si>
  <si>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</si>
  <si>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</si>
  <si>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</si>
  <si>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</si>
  <si>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</si>
  <si>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</si>
  <si>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</si>
  <si>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</si>
  <si>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</si>
  <si>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</si>
  <si>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</si>
  <si>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</si>
  <si>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</si>
  <si>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</si>
  <si>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</si>
  <si>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</si>
  <si>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</si>
  <si>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</si>
  <si>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</si>
  <si>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</si>
  <si>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</si>
  <si>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</si>
  <si>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</si>
  <si>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</si>
  <si>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</si>
  <si>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</si>
  <si>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</si>
  <si>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</si>
  <si>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</si>
  <si>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</si>
  <si>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</si>
  <si>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</si>
  <si>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</si>
  <si>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</si>
  <si>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</si>
  <si>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</si>
  <si>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</si>
  <si>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</si>
  <si>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</si>
  <si>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</si>
  <si>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</si>
  <si>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</si>
  <si>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</si>
  <si>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</si>
  <si>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</si>
  <si>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</si>
  <si>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</si>
  <si>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</si>
  <si>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</si>
  <si>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</si>
  <si>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</si>
  <si>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</si>
  <si>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</si>
  <si>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</si>
  <si>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</si>
  <si>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</si>
  <si>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</si>
  <si>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</si>
  <si>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</si>
  <si>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</si>
  <si>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</si>
  <si>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</si>
  <si>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</si>
  <si>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</si>
  <si>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</si>
  <si>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</si>
  <si>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</si>
  <si>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</si>
  <si>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</si>
  <si>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</si>
  <si>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</si>
  <si>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</si>
  <si>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</si>
  <si>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</si>
  <si>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</si>
  <si>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</si>
  <si>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</si>
  <si>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</si>
  <si>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</si>
  <si>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</si>
  <si>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</si>
  <si>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</si>
  <si>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</si>
  <si>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</si>
  <si>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</si>
  <si>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</si>
  <si>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</si>
  <si>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</si>
  <si>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</si>
  <si>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</si>
  <si>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</si>
  <si>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</si>
  <si>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</si>
  <si>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</si>
  <si>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</si>
  <si>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</si>
  <si>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</si>
  <si>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</si>
  <si>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</si>
  <si>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</si>
  <si>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</si>
  <si>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</si>
  <si>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</si>
  <si>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</si>
  <si>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</si>
  <si>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</si>
  <si>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</si>
  <si>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</si>
  <si>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</si>
  <si>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</si>
  <si>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</si>
  <si>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</si>
  <si>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</si>
  <si>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</si>
  <si>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</si>
  <si>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</si>
  <si>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</si>
  <si>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</si>
  <si>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</si>
  <si>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</si>
  <si>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</si>
  <si>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</si>
  <si>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</si>
  <si>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</si>
  <si>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</si>
  <si>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</si>
  <si>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</si>
  <si>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</si>
  <si>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</si>
  <si>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</si>
  <si>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</si>
  <si>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</si>
  <si>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</si>
  <si>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</si>
  <si>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</si>
  <si>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</si>
  <si>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</si>
  <si>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</si>
  <si>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</si>
  <si>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</si>
  <si>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</si>
  <si>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</si>
  <si>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</si>
  <si>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</si>
  <si>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</si>
  <si>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</si>
  <si>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</si>
  <si>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</si>
  <si>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</si>
  <si>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</si>
  <si>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</si>
  <si>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</si>
  <si>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</si>
  <si>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</si>
  <si>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</si>
  <si>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</si>
  <si>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</si>
  <si>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</si>
  <si>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</si>
  <si>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</si>
  <si>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</si>
  <si>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</si>
  <si>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</si>
  <si>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</si>
  <si>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</si>
  <si>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</si>
  <si>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</si>
  <si>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</si>
  <si>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</si>
  <si>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</si>
  <si>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</si>
  <si>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</si>
  <si>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</si>
  <si>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</si>
  <si>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</si>
  <si>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</si>
  <si>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</si>
  <si>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</si>
  <si>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</si>
  <si>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</si>
  <si>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</si>
  <si>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</si>
  <si>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</si>
  <si>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</si>
  <si>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</si>
  <si>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</si>
  <si>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</si>
  <si>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</si>
  <si>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</si>
  <si>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</si>
  <si>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</si>
  <si>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</si>
  <si>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</si>
  <si>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</si>
  <si>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</si>
  <si>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</si>
  <si>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</si>
  <si>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</si>
  <si>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</si>
  <si>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</si>
  <si>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</si>
  <si>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</si>
  <si>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alleen spoordek</t>
  </si>
  <si>
    <t>2 nieuwe betonnen landhoofden op palen</t>
  </si>
  <si>
    <t>Totaal kosten cat. 2 (advies IB tlv ProRail AM)</t>
  </si>
  <si>
    <t>Gewapend betonnen duiker</t>
  </si>
  <si>
    <t>zicht gedeelte betonwerk</t>
  </si>
  <si>
    <t>Gilse Rijen</t>
  </si>
  <si>
    <t>leuningen 2x4,25 m1 á 35 kg/m1</t>
  </si>
  <si>
    <r>
      <t>vervanging gehele duiker BxL, uit</t>
    </r>
    <r>
      <rPr>
        <sz val="9"/>
        <color rgb="FFFF0000"/>
        <rFont val="Calibri"/>
        <family val="2"/>
      </rPr>
      <t>w BxH: 2,4x2,55m</t>
    </r>
  </si>
  <si>
    <t>KW20-123-0032</t>
  </si>
  <si>
    <t>Duiker (spoorviaduct) Broekdijk</t>
  </si>
  <si>
    <t>duiker: 51 m3</t>
  </si>
  <si>
    <t>restant oude metselwerkduiker: 100 m3</t>
  </si>
  <si>
    <t>aanbrengen fysieke afscheiding op de 2,50m grens tussen spoor en onderhoudspad aan zuidzijde</t>
  </si>
  <si>
    <t>insp/ko</t>
  </si>
  <si>
    <t>monitoren doorlopende krimpscheur halverwege duikerlengte (indien watervoerend scheur dan injecteren)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</si>
</sst>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S61" sqref="S61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43810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/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308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309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12.869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305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1966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1966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303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111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226</v>
      </c>
      <c r="C33" s="101"/>
      <c r="D33" s="97"/>
      <c r="E33" s="97"/>
      <c r="F33" s="144"/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243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244</v>
      </c>
      <c r="C41" s="41"/>
      <c r="D41" s="40"/>
      <c r="E41" s="40"/>
      <c r="F41" s="102">
        <v>2028</v>
      </c>
      <c r="G41" s="41"/>
      <c r="H41" s="131" t="s">
        <v>245</v>
      </c>
      <c r="I41" s="40"/>
      <c r="J41" s="40"/>
      <c r="K41" s="103">
        <f>F24+100-F41</f>
        <v>38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246</v>
      </c>
      <c r="I42" s="40"/>
      <c r="J42" s="40"/>
      <c r="K42" s="46">
        <f>F41+K41</f>
        <v>2066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239</v>
      </c>
      <c r="C48" s="164" t="s">
        <v>240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279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aanbrengen fysieke afscheiding op de 2,50m grens tussen spoor en onderhoudspad aan zuidzijde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1416</v>
      </c>
      <c r="M52" s="64">
        <f>'Berekening MJOP+LTP'!Y39</f>
        <v>1347.7691850089234</v>
      </c>
      <c r="N52" s="61">
        <f>'Berekening MJOP+LTP'!AA39</f>
        <v>0</v>
      </c>
      <c r="O52" s="255">
        <f>'Berekening MJOP+LTP'!AC39</f>
        <v>153.99444012738232</v>
      </c>
      <c r="P52" s="234"/>
    </row>
    <row r="53" spans="2:16" x14ac:dyDescent="0.3">
      <c r="B53" s="109">
        <f>'Berekening MJOP+LTP'!B40</f>
        <v>2</v>
      </c>
      <c r="C53" s="66">
        <f>'Berekening MJOP+LTP'!D40</f>
        <v>3</v>
      </c>
      <c r="D53" s="145" t="str">
        <f>'Berekening MJOP+LTP'!K40</f>
        <v>monitoren doorlopende krimpscheur halverwege duikerlengte (indien watervoerend scheur dan injecteren)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1500</v>
      </c>
      <c r="M53" s="64">
        <f>'Berekening MJOP+LTP'!Y40</f>
        <v>1427.7215942891137</v>
      </c>
      <c r="N53" s="61">
        <f>'Berekening MJOP+LTP'!AA40</f>
        <v>0</v>
      </c>
      <c r="O53" s="255">
        <f>'Berekening MJOP+LTP'!AC40</f>
        <v>163.12970352476941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2066</v>
      </c>
      <c r="K59" s="159">
        <v>2066</v>
      </c>
      <c r="L59" s="156">
        <f>'Berekening MJOP+LTP'!T46</f>
        <v>209304</v>
      </c>
      <c r="M59" s="128">
        <f>'Berekening MJOP+LTP'!Y46</f>
        <v>0</v>
      </c>
      <c r="N59" s="129">
        <f>'Berekening MJOP+LTP'!AA46</f>
        <v>52</v>
      </c>
      <c r="O59" s="257">
        <f>'Berekening MJOP+LTP'!AC46</f>
        <v>0</v>
      </c>
      <c r="P59" s="235"/>
    </row>
    <row r="60" spans="2:16" x14ac:dyDescent="0.3">
      <c r="B60" s="207" t="s">
        <v>292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302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293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6500</v>
      </c>
      <c r="M62" s="214">
        <f>SUMIF(B51:B58,2,M51:M58)</f>
        <v>6070.7186488878579</v>
      </c>
      <c r="N62" s="247">
        <f>SUMIF(B51:B58,2,N51:N58)</f>
        <v>0</v>
      </c>
      <c r="O62" s="259">
        <f>SUMIF(B51:B58,2,O51:O58)</f>
        <v>693.63280441832853</v>
      </c>
      <c r="P62" s="236"/>
    </row>
    <row r="63" spans="2:16" x14ac:dyDescent="0.3">
      <c r="B63" s="211" t="s">
        <v>294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1416</v>
      </c>
      <c r="M63" s="214">
        <f>SUMIF(B51:B58,1,M51:M58)</f>
        <v>1347.7691850089234</v>
      </c>
      <c r="N63" s="247">
        <f>SUMIF(B51:B58,1,N51:N58)</f>
        <v>0</v>
      </c>
      <c r="O63" s="259">
        <f>SUMIF(B51:B58,1,O51:O58)</f>
        <v>153.99444012738232</v>
      </c>
      <c r="P63" s="236"/>
    </row>
    <row r="64" spans="2:16" x14ac:dyDescent="0.3">
      <c r="B64" s="211" t="s">
        <v>272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7916</v>
      </c>
      <c r="M64" s="214">
        <f>SUM(M51:M58)</f>
        <v>7418.487833896781</v>
      </c>
      <c r="N64" s="247">
        <f>SUM(N51:N58)</f>
        <v>0</v>
      </c>
      <c r="O64" s="259">
        <f>SUM(O51:O58)</f>
        <v>847.62724454571082</v>
      </c>
      <c r="P64" s="236"/>
    </row>
    <row r="65" spans="2:16" x14ac:dyDescent="0.3">
      <c r="B65" s="211" t="s">
        <v>295</v>
      </c>
      <c r="C65" s="194"/>
      <c r="D65" s="212"/>
      <c r="E65" s="212"/>
      <c r="F65" s="194"/>
      <c r="G65" s="205" t="s">
        <v>256</v>
      </c>
      <c r="H65" s="196"/>
      <c r="I65" s="213"/>
      <c r="J65" s="197"/>
      <c r="K65" s="224">
        <f>K59</f>
        <v>2066</v>
      </c>
      <c r="L65" s="214">
        <f>L59</f>
        <v>209304</v>
      </c>
      <c r="M65" s="214">
        <f>M59</f>
        <v>0</v>
      </c>
      <c r="N65" s="248">
        <f>N59</f>
        <v>52</v>
      </c>
      <c r="O65" s="259">
        <f>O59</f>
        <v>0</v>
      </c>
      <c r="P65" s="237"/>
    </row>
    <row r="66" spans="2:16" ht="15" thickBot="1" x14ac:dyDescent="0.35">
      <c r="B66" s="215" t="s">
        <v>273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228720</v>
      </c>
      <c r="M66" s="218">
        <f>SUM(M49:M59)</f>
        <v>17728.050885156918</v>
      </c>
      <c r="N66" s="249">
        <f>SUM(N49:N59)</f>
        <v>52</v>
      </c>
      <c r="O66" s="260">
        <f>SUM(O49:O59)</f>
        <v>2025.5851676794416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241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279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2066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11079.24401500931</v>
      </c>
      <c r="N75" s="61">
        <f>'Berekening MJOP+LTP'!AA125</f>
        <v>0</v>
      </c>
      <c r="O75" s="261">
        <f>'Berekening MJOP+LTP'!AC125</f>
        <v>455.02585906952982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1205.56306515138</v>
      </c>
      <c r="N76" s="61">
        <f>'Berekening MJOP+LTP'!AA147</f>
        <v>0</v>
      </c>
      <c r="O76" s="261">
        <f>'Berekening MJOP+LTP'!AC147</f>
        <v>49.5126173446358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2066</v>
      </c>
      <c r="K77" s="90">
        <v>2066</v>
      </c>
      <c r="L77" s="64">
        <f>'Berekening MJOP+LTP'!T154</f>
        <v>209304</v>
      </c>
      <c r="M77" s="64">
        <f>'Berekening MJOP+LTP'!Y154</f>
        <v>81897.49973760685</v>
      </c>
      <c r="N77" s="61">
        <f>'Berekening MJOP+LTP'!AA149</f>
        <v>52</v>
      </c>
      <c r="O77" s="261">
        <f>'Berekening MJOP+LTP'!AC154</f>
        <v>3363.5399782933509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2066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2066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2066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-24359.5</v>
      </c>
      <c r="M91" s="64"/>
      <c r="N91" s="251"/>
      <c r="O91" s="262"/>
      <c r="P91" s="241"/>
      <c r="Q91" s="27"/>
    </row>
    <row r="92" spans="2:17" x14ac:dyDescent="0.3">
      <c r="B92" s="207" t="s">
        <v>296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2066</v>
      </c>
      <c r="K92" s="219"/>
      <c r="L92" s="220"/>
      <c r="M92" s="220">
        <f t="shared" ref="M92:O94" si="1">M71+M75+M79+M83+M87</f>
        <v>11079.24401500931</v>
      </c>
      <c r="N92" s="267">
        <f t="shared" si="1"/>
        <v>0</v>
      </c>
      <c r="O92" s="263">
        <f t="shared" si="1"/>
        <v>455.02585906952982</v>
      </c>
      <c r="P92" s="242"/>
    </row>
    <row r="93" spans="2:17" x14ac:dyDescent="0.3">
      <c r="B93" s="211" t="s">
        <v>297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2066</v>
      </c>
      <c r="K93" s="221"/>
      <c r="L93" s="222"/>
      <c r="M93" s="222">
        <f t="shared" si="1"/>
        <v>1205.56306515138</v>
      </c>
      <c r="N93" s="252">
        <f t="shared" si="1"/>
        <v>0</v>
      </c>
      <c r="O93" s="264">
        <f t="shared" si="1"/>
        <v>49.5126173446358</v>
      </c>
      <c r="P93" s="243"/>
    </row>
    <row r="94" spans="2:17" x14ac:dyDescent="0.3">
      <c r="B94" s="211" t="s">
        <v>295</v>
      </c>
      <c r="C94" s="212"/>
      <c r="D94" s="212"/>
      <c r="E94" s="212"/>
      <c r="F94" s="194"/>
      <c r="G94" s="205" t="s">
        <v>256</v>
      </c>
      <c r="H94" s="196"/>
      <c r="I94" s="213"/>
      <c r="J94" s="197"/>
      <c r="K94" s="225">
        <f>K59</f>
        <v>2066</v>
      </c>
      <c r="L94" s="222">
        <f>L73+L77+L81+L85+L89</f>
        <v>209304</v>
      </c>
      <c r="M94" s="222">
        <f t="shared" si="1"/>
        <v>81897.49973760685</v>
      </c>
      <c r="N94" s="252">
        <f t="shared" si="1"/>
        <v>52</v>
      </c>
      <c r="O94" s="264">
        <f t="shared" si="1"/>
        <v>3363.5399782933509</v>
      </c>
      <c r="P94" s="243"/>
    </row>
    <row r="95" spans="2:17" ht="15" thickBot="1" x14ac:dyDescent="0.35">
      <c r="B95" s="215" t="s">
        <v>298</v>
      </c>
      <c r="C95" s="216"/>
      <c r="D95" s="216"/>
      <c r="E95" s="216"/>
      <c r="F95" s="199"/>
      <c r="G95" s="206" t="s">
        <v>256</v>
      </c>
      <c r="H95" s="201"/>
      <c r="I95" s="217"/>
      <c r="J95" s="202"/>
      <c r="K95" s="226">
        <f>K59</f>
        <v>2066</v>
      </c>
      <c r="L95" s="223">
        <f>L91</f>
        <v>-24359.5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257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258</v>
      </c>
      <c r="F99" s="177" t="s">
        <v>259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0.29750000000000004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102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51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180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90" zoomScaleNormal="90" zoomScaleSheetLayoutView="90" workbookViewId="0">
      <pane ySplit="2" topLeftCell="A29" activePane="bottomLeft" state="frozen"/>
      <selection pane="bottomLeft" activeCell="N53" sqref="N53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285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252</v>
      </c>
      <c r="K9" s="1" t="s">
        <v>25</v>
      </c>
    </row>
    <row r="10" spans="2:236" ht="13.8" x14ac:dyDescent="0.3">
      <c r="B10" s="170"/>
      <c r="D10" s="168" t="s">
        <v>255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284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253</v>
      </c>
    </row>
    <row r="15" spans="2:236" ht="13.8" x14ac:dyDescent="0.3">
      <c r="B15" s="170"/>
      <c r="D15" s="168" t="s">
        <v>254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286</v>
      </c>
      <c r="K17" s="1" t="s">
        <v>248</v>
      </c>
    </row>
    <row r="18" spans="2:236" ht="13.8" x14ac:dyDescent="0.3">
      <c r="B18" s="170"/>
      <c r="D18" s="1" t="s">
        <v>40</v>
      </c>
      <c r="K18" s="1" t="s">
        <v>249</v>
      </c>
    </row>
    <row r="19" spans="2:236" ht="13.8" x14ac:dyDescent="0.3">
      <c r="B19" s="170"/>
      <c r="D19" s="1" t="s">
        <v>253</v>
      </c>
      <c r="K19" s="1" t="s">
        <v>250</v>
      </c>
    </row>
    <row r="20" spans="2:236" ht="13.8" x14ac:dyDescent="0.3">
      <c r="B20" s="170"/>
      <c r="D20" s="168" t="s">
        <v>254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251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47</v>
      </c>
      <c r="J39" s="76"/>
      <c r="K39" s="76" t="s">
        <v>312</v>
      </c>
      <c r="L39" s="76"/>
      <c r="M39" s="76"/>
      <c r="N39" s="76"/>
      <c r="O39" s="77"/>
      <c r="P39" s="77"/>
      <c r="Q39" s="81">
        <v>8</v>
      </c>
      <c r="R39" s="81" t="s">
        <v>34</v>
      </c>
      <c r="S39" s="83">
        <f>H15*100</f>
        <v>177</v>
      </c>
      <c r="T39" s="9">
        <f t="shared" si="4"/>
        <v>1416</v>
      </c>
      <c r="U39" s="11">
        <v>1</v>
      </c>
      <c r="V39" s="14"/>
      <c r="W39" s="9">
        <f>Voorblad!K52</f>
        <v>2020</v>
      </c>
      <c r="Y39" s="9">
        <f t="shared" ref="Y39:Y45" si="5">SUM(AE39:EB39)</f>
        <v>1347.7691850089234</v>
      </c>
      <c r="Z39" s="82"/>
      <c r="AA39" s="82"/>
      <c r="AC39" s="9">
        <f>$Y39*(Voorblad!$K$44*(1+Voorblad!$K$44)^Voorblad!$K$37)/((1+Voorblad!$K$44)^Voorblad!$K$37-1)</f>
        <v>153.99444012738232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1347.7691850089234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2</v>
      </c>
      <c r="C40" s="76" t="s">
        <v>22</v>
      </c>
      <c r="D40" s="78">
        <v>3</v>
      </c>
      <c r="E40" s="76" t="s">
        <v>22</v>
      </c>
      <c r="F40" s="76" t="s">
        <v>21</v>
      </c>
      <c r="G40" s="76"/>
      <c r="H40" s="76"/>
      <c r="I40" s="76" t="s">
        <v>313</v>
      </c>
      <c r="J40" s="76"/>
      <c r="K40" s="79" t="s">
        <v>314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1500</v>
      </c>
      <c r="T40" s="9">
        <f t="shared" si="4"/>
        <v>1500</v>
      </c>
      <c r="U40" s="11">
        <v>1</v>
      </c>
      <c r="V40" s="14"/>
      <c r="W40" s="9">
        <f>Voorblad!K53</f>
        <v>2020</v>
      </c>
      <c r="Y40" s="9">
        <f t="shared" si="5"/>
        <v>1427.7215942891137</v>
      </c>
      <c r="Z40" s="82"/>
      <c r="AA40" s="82"/>
      <c r="AC40" s="9">
        <f>$Y40*(Voorblad!$K$44*(1+Voorblad!$K$44)^Voorblad!$K$37)/((1+Voorblad!$K$44)^Voorblad!$K$37-1)</f>
        <v>163.12970352476941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1427.7215942891137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227</v>
      </c>
      <c r="P46" s="14" t="s">
        <v>307</v>
      </c>
      <c r="Q46" s="268">
        <f>19*2.4</f>
        <v>45.6</v>
      </c>
      <c r="R46" s="81" t="s">
        <v>35</v>
      </c>
      <c r="S46" s="81">
        <v>4590</v>
      </c>
      <c r="T46" s="9">
        <f t="shared" si="4"/>
        <v>209304</v>
      </c>
      <c r="U46" s="11">
        <v>1</v>
      </c>
      <c r="V46" s="1">
        <f>Voorblad!F24+100</f>
        <v>2066</v>
      </c>
      <c r="W46" s="9">
        <f>Voorblad!K59</f>
        <v>2066</v>
      </c>
      <c r="X46" s="6"/>
      <c r="Y46" s="9">
        <f>SUM(AE46:EB46)</f>
        <v>0</v>
      </c>
      <c r="Z46" s="82" t="s">
        <v>299</v>
      </c>
      <c r="AA46" s="82">
        <v>52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0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2066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0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0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0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0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0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0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0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0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3896.9147740915828</v>
      </c>
      <c r="Z109" s="82"/>
      <c r="AA109" s="82"/>
      <c r="AC109" s="9">
        <f>$Y109*(Voorblad!$K$44*(1+Voorblad!$K$44)^Voorblad!$K$41)/((1+Voorblad!$K$44)^Voorblad!$K$41-1)</f>
        <v>160.04674961572957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6" t="s">
        <v>304</v>
      </c>
      <c r="Q110" s="83">
        <v>30</v>
      </c>
      <c r="R110" s="1" t="s">
        <v>35</v>
      </c>
      <c r="S110" s="21">
        <f>$H$20*15</f>
        <v>26.55</v>
      </c>
      <c r="T110" s="9">
        <f t="shared" si="20"/>
        <v>796.5</v>
      </c>
      <c r="U110" s="14">
        <v>10</v>
      </c>
      <c r="V110" s="14"/>
      <c r="Y110" s="9">
        <f t="shared" si="21"/>
        <v>1488.0308817082432</v>
      </c>
      <c r="Z110" s="82"/>
      <c r="AA110" s="82"/>
      <c r="AC110" s="9">
        <f>$Y110*(Voorblad!$K$44*(1+Voorblad!$K$44)^Voorblad!$K$41)/((1+Voorblad!$K$44)^Voorblad!$K$41-1)</f>
        <v>61.113603902397159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622.22452697454162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486.0808059870584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379.72554874664326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0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4">
        <f>2*2.4</f>
        <v>4.8</v>
      </c>
      <c r="R113" s="147" t="s">
        <v>195</v>
      </c>
      <c r="S113" s="21">
        <f>$H$20*350</f>
        <v>619.5</v>
      </c>
      <c r="T113" s="9">
        <f t="shared" si="20"/>
        <v>2973.6</v>
      </c>
      <c r="U113" s="14">
        <v>15</v>
      </c>
      <c r="V113" s="14"/>
      <c r="Y113" s="9">
        <f>SUM(AE113:EB113)</f>
        <v>3470.8104284705432</v>
      </c>
      <c r="Z113" s="82"/>
      <c r="AA113" s="82"/>
      <c r="AC113" s="9">
        <f>$Y113*(Voorblad!$K$44*(1+Voorblad!$K$44)^Voorblad!$K$41)/((1+Voorblad!$K$44)^Voorblad!$K$41-1)</f>
        <v>142.54659385990291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2053.1683798164081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1417.6420486541349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268">
        <f>2.5%*2*2.4</f>
        <v>0.12</v>
      </c>
      <c r="R115" s="14" t="s">
        <v>34</v>
      </c>
      <c r="S115" s="21">
        <f>$H$20*1000</f>
        <v>1770</v>
      </c>
      <c r="T115" s="21">
        <f t="shared" si="20"/>
        <v>212.4</v>
      </c>
      <c r="U115" s="14">
        <v>15</v>
      </c>
      <c r="Y115" s="21">
        <f t="shared" si="22"/>
        <v>247.91503060503879</v>
      </c>
      <c r="Z115" s="149"/>
      <c r="AA115" s="149"/>
      <c r="AC115" s="9">
        <f>$Y115*(Voorblad!$K$44*(1+Voorblad!$K$44)^Voorblad!$K$41)/((1+Voorblad!$K$44)^Voorblad!$K$41-1)</f>
        <v>10.181899561421634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146.65488427260058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101.26014633243821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268">
        <f>2.5%*2*4.25</f>
        <v>0.21250000000000002</v>
      </c>
      <c r="R117" s="1" t="s">
        <v>34</v>
      </c>
      <c r="S117" s="14">
        <f>$H$20*500</f>
        <v>885</v>
      </c>
      <c r="T117" s="9">
        <f t="shared" si="20"/>
        <v>188.06250000000003</v>
      </c>
      <c r="U117" s="14">
        <v>15</v>
      </c>
      <c r="V117" s="14"/>
      <c r="Y117" s="9">
        <f t="shared" si="22"/>
        <v>219.50810001487812</v>
      </c>
      <c r="Z117" s="82"/>
      <c r="AA117" s="82"/>
      <c r="AC117" s="9">
        <f>$Y117*(Voorblad!$K$44*(1+Voorblad!$K$44)^Voorblad!$K$41)/((1+Voorblad!$K$44)^Voorblad!$K$41-1)</f>
        <v>9.0152235700087395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129.85067878303178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89.657421231846342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4">
        <f>2*4.25</f>
        <v>8.5</v>
      </c>
      <c r="R122" s="1" t="s">
        <v>34</v>
      </c>
      <c r="S122" s="14">
        <f>$H$20*100</f>
        <v>177</v>
      </c>
      <c r="T122" s="9">
        <f t="shared" si="20"/>
        <v>1504.5</v>
      </c>
      <c r="U122" s="14">
        <v>15</v>
      </c>
      <c r="V122" s="14"/>
      <c r="Y122" s="9">
        <f t="shared" si="23"/>
        <v>1756.0648001190248</v>
      </c>
      <c r="Z122" s="82"/>
      <c r="AA122" s="82"/>
      <c r="AC122" s="9">
        <f>$Y122*(Voorblad!$K$44*(1+Voorblad!$K$44)^Voorblad!$K$41)/((1+Voorblad!$K$44)^Voorblad!$K$41-1)</f>
        <v>72.121788560069916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1038.805430264254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717.25936985477063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11079.24401500931</v>
      </c>
      <c r="Z125" s="24"/>
      <c r="AA125" s="23">
        <f>SUM(AA109:AA124)</f>
        <v>0</v>
      </c>
      <c r="AC125" s="9">
        <f>$Y125*(Voorblad!$K$44*(1+Voorblad!$K$44)^Voorblad!$K$41)/((1+Voorblad!$K$44)^Voorblad!$K$41-1)</f>
        <v>455.02585906952982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1313.58511250181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3979.5413909387971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1026.1705904171233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3127.461811204993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f>2*4.25</f>
        <v>8.5</v>
      </c>
      <c r="R133" s="1" t="s">
        <v>34</v>
      </c>
      <c r="S133" s="21">
        <f>$H$10*125</f>
        <v>297.5</v>
      </c>
      <c r="T133" s="9">
        <f t="shared" si="104"/>
        <v>2528.75</v>
      </c>
      <c r="U133" s="14">
        <v>30</v>
      </c>
      <c r="V133" s="14"/>
      <c r="Y133" s="9">
        <f t="shared" si="21"/>
        <v>1205.56306515138</v>
      </c>
      <c r="Z133" s="82"/>
      <c r="AA133" s="82"/>
      <c r="AC133" s="9">
        <f>$Y133*(Voorblad!$K$44*(1+Voorblad!$K$44)^Voorblad!$K$41)/((1+Voorblad!$K$44)^Voorblad!$K$41-1)</f>
        <v>49.5126173446358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1205.56306515138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4">
        <f>2*2.4</f>
        <v>4.8</v>
      </c>
      <c r="R136" s="147" t="s">
        <v>195</v>
      </c>
      <c r="S136" s="14">
        <f>$H$10*500</f>
        <v>1190</v>
      </c>
      <c r="T136" s="9">
        <f t="shared" si="104"/>
        <v>5712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7.5%*2*2.4</f>
        <v>0.36</v>
      </c>
      <c r="R137" s="14" t="s">
        <v>34</v>
      </c>
      <c r="S137" s="21">
        <f>$H$10*1000</f>
        <v>2380</v>
      </c>
      <c r="T137" s="21">
        <f t="shared" si="104"/>
        <v>856.8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f>2*4.25</f>
        <v>8.5</v>
      </c>
      <c r="R139" s="1" t="s">
        <v>34</v>
      </c>
      <c r="S139" s="14">
        <f>$H$10*400</f>
        <v>952</v>
      </c>
      <c r="T139" s="9">
        <f t="shared" si="104"/>
        <v>8092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2*2.4</f>
        <v>4.8</v>
      </c>
      <c r="R146" s="147" t="s">
        <v>195</v>
      </c>
      <c r="S146" s="14">
        <f>$H$10*500</f>
        <v>1190</v>
      </c>
      <c r="T146" s="9">
        <f t="shared" si="104"/>
        <v>5712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1205.56306515138</v>
      </c>
      <c r="Z147" s="24"/>
      <c r="AA147" s="23">
        <f>SUM(AA127:AA146)</f>
        <v>0</v>
      </c>
      <c r="AC147" s="9">
        <f>$Y147*(Voorblad!$K$44*(1+Voorblad!$K$44)^Voorblad!$K$41)/((1+Voorblad!$K$44)^Voorblad!$K$41-1)</f>
        <v>49.5126173446358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1205.56306515138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300</v>
      </c>
      <c r="Q149" s="268">
        <f>19*2.4</f>
        <v>45.6</v>
      </c>
      <c r="R149" s="81" t="s">
        <v>35</v>
      </c>
      <c r="S149" s="81">
        <v>4590</v>
      </c>
      <c r="T149" s="21">
        <f>Q149*S149</f>
        <v>209304</v>
      </c>
      <c r="U149" s="11">
        <v>1</v>
      </c>
      <c r="V149" s="14">
        <f>Voorblad!F24+100</f>
        <v>2066</v>
      </c>
      <c r="W149" s="9">
        <f>Voorblad!K77</f>
        <v>2066</v>
      </c>
      <c r="X149" s="6"/>
      <c r="Y149" s="9">
        <f t="shared" si="21"/>
        <v>81897.49973760685</v>
      </c>
      <c r="Z149" s="82" t="s">
        <v>299</v>
      </c>
      <c r="AA149" s="82">
        <v>52</v>
      </c>
      <c r="AC149" s="9">
        <f>$Y149*(Voorblad!$K$44*(1+Voorblad!$K$44)^Voorblad!$K$41)/((1+Voorblad!$K$44)^Voorblad!$K$41-1)</f>
        <v>3363.5399782933509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81897.49973760685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0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0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4186.08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0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8372.16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0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14651.28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0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209304</v>
      </c>
      <c r="U154" s="14"/>
      <c r="V154" s="14"/>
      <c r="W154" s="14"/>
      <c r="X154" s="6"/>
      <c r="Y154" s="23">
        <f>SUM(Y149:Y153)</f>
        <v>81897.49973760685</v>
      </c>
      <c r="Z154" s="24"/>
      <c r="AA154" s="23">
        <f>SUM(AA149:AA153)</f>
        <v>52</v>
      </c>
      <c r="AC154" s="9">
        <f>$Y154*(Voorblad!$K$44*(1+Voorblad!$K$44)^Voorblad!$K$41)/((1+Voorblad!$K$44)^Voorblad!$K$41-1)</f>
        <v>3363.5399782933509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0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2066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0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0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0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0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1" t="s">
        <v>276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228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2066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0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0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0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0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301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2066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0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0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0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0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P229" s="1" t="s">
        <v>306</v>
      </c>
      <c r="Q229" s="84">
        <f>2*4.25*0.035</f>
        <v>0.29750000000000004</v>
      </c>
      <c r="R229" s="1" t="s">
        <v>101</v>
      </c>
      <c r="S229" s="1">
        <v>-200</v>
      </c>
      <c r="T229" s="21">
        <f t="shared" ref="T229:T236" si="201">Q229*S229</f>
        <v>-59.500000000000007</v>
      </c>
      <c r="U229" s="11">
        <v>1</v>
      </c>
      <c r="V229" s="14">
        <f>Voorblad!F24+100</f>
        <v>2066</v>
      </c>
      <c r="W229" s="9">
        <f>Voorblad!$K$77</f>
        <v>2066</v>
      </c>
      <c r="X229" s="6"/>
      <c r="Y229" s="9">
        <f t="shared" ref="Y229" si="202">SUM(AE229:EB229)</f>
        <v>-23.281452979339182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-23.281452979339182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0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310</v>
      </c>
      <c r="Q230" s="83">
        <f>2*51</f>
        <v>102</v>
      </c>
      <c r="R230" s="1" t="s">
        <v>101</v>
      </c>
      <c r="S230" s="1">
        <v>-50</v>
      </c>
      <c r="T230" s="21">
        <f t="shared" si="201"/>
        <v>-5100</v>
      </c>
      <c r="U230" s="11">
        <v>1</v>
      </c>
      <c r="V230" s="14">
        <f>Voorblad!F24+100</f>
        <v>2066</v>
      </c>
      <c r="W230" s="9">
        <f>Voorblad!$K$77</f>
        <v>2066</v>
      </c>
      <c r="X230" s="6"/>
      <c r="Y230" s="9">
        <f t="shared" ref="Y230" si="203">SUM(AE230:EB230)</f>
        <v>-1995.553112514787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-1995.553112514787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0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3">
        <f>0.5*Q230</f>
        <v>51</v>
      </c>
      <c r="R231" s="1" t="s">
        <v>101</v>
      </c>
      <c r="S231" s="1">
        <v>-200</v>
      </c>
      <c r="T231" s="21">
        <f t="shared" si="201"/>
        <v>-10200</v>
      </c>
      <c r="U231" s="11">
        <v>1</v>
      </c>
      <c r="V231" s="14">
        <f>Voorblad!F24+100</f>
        <v>2066</v>
      </c>
      <c r="W231" s="9">
        <f>Voorblad!$K$77</f>
        <v>2066</v>
      </c>
      <c r="X231" s="6"/>
      <c r="Y231" s="9">
        <f t="shared" ref="Y231:Y234" si="204">SUM(AE231:EB231)</f>
        <v>-3991.106225029574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-3991.106225029574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0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2066</v>
      </c>
      <c r="W232" s="9">
        <f>Voorblad!$K$77</f>
        <v>2066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0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2066</v>
      </c>
      <c r="W233" s="9">
        <f>Voorblad!$K$77</f>
        <v>2066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0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2066</v>
      </c>
      <c r="W234" s="9">
        <f>Voorblad!$K$77</f>
        <v>2066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0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P235" s="1" t="s">
        <v>311</v>
      </c>
      <c r="Q235" s="83">
        <f>1.8*100</f>
        <v>180</v>
      </c>
      <c r="R235" s="1" t="s">
        <v>101</v>
      </c>
      <c r="S235" s="1">
        <v>-50</v>
      </c>
      <c r="T235" s="14">
        <f t="shared" si="201"/>
        <v>-9000</v>
      </c>
      <c r="U235" s="11">
        <v>1</v>
      </c>
      <c r="V235" s="14">
        <f>Voorblad!F24+100</f>
        <v>2066</v>
      </c>
      <c r="W235" s="9">
        <f>Voorblad!$K$77</f>
        <v>2066</v>
      </c>
      <c r="X235" s="6"/>
      <c r="Y235" s="9">
        <f t="shared" ref="Y235" si="207">SUM(AE235:EB235)</f>
        <v>-3521.5643162025654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-3521.5643162025654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0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2066</v>
      </c>
      <c r="W236" s="9">
        <f>Voorblad!$K$77</f>
        <v>2066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0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-24359.5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de75ed97-d5d0-480f-8c5e-5314c0bb5094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8B9593-A3F0-4452-B2B7-BB762F97B5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2019-12-11T15:28:45Z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