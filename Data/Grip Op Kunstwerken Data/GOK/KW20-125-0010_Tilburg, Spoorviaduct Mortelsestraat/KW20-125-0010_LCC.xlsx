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99466637-C7DD-4FAA-813E-8756CBE7FB39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0" i="1" l="1"/>
  <c r="Q229" i="1" l="1"/>
  <c r="O66" i="2" l="1"/>
  <c r="N66" i="2"/>
  <c r="M66" i="2"/>
  <c r="L66" i="2"/>
  <c r="O65" i="2"/>
  <c r="N65" i="2"/>
  <c r="M65" i="2"/>
  <c r="L65" i="2"/>
  <c r="O64" i="2"/>
  <c r="N64" i="2"/>
  <c r="M64" i="2"/>
  <c r="L64" i="2"/>
  <c r="O63" i="2"/>
  <c r="N63" i="2"/>
  <c r="M63" i="2"/>
  <c r="L63" i="2"/>
  <c r="O62" i="2"/>
  <c r="N62" i="2"/>
  <c r="M62" i="2"/>
  <c r="L62" i="2"/>
  <c r="O61" i="2"/>
  <c r="N61" i="2"/>
  <c r="M61" i="2"/>
  <c r="L61" i="2"/>
  <c r="O60" i="2"/>
  <c r="N60" i="2"/>
  <c r="M60" i="2"/>
  <c r="L60" i="2"/>
  <c r="J61" i="2"/>
  <c r="H61" i="2"/>
  <c r="Q235" i="1" l="1"/>
  <c r="Q232" i="1"/>
  <c r="Q231" i="1"/>
  <c r="Q221" i="1"/>
  <c r="Q218" i="1"/>
  <c r="Q215" i="1"/>
  <c r="Q214" i="1"/>
  <c r="Q213" i="1"/>
  <c r="Q136" i="1"/>
  <c r="Q149" i="1"/>
  <c r="Q146" i="1"/>
  <c r="Q139" i="1"/>
  <c r="Q137" i="1"/>
  <c r="Q133" i="1"/>
  <c r="Q122" i="1"/>
  <c r="Q117" i="1"/>
  <c r="Q115" i="1"/>
  <c r="Q113" i="1"/>
  <c r="Q111" i="1"/>
  <c r="Q110" i="1"/>
  <c r="AA46" i="1"/>
  <c r="Q46" i="1"/>
  <c r="S39" i="1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94" i="2" l="1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EA46" i="1" l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<sst xmlns="http://schemas.openxmlformats.org/spreadsheetml/2006/main" count="1025" uniqueCount="319">
  <si>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</si>
  <si>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</si>
  <si>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</si>
  <si>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</si>
  <si>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</si>
  <si>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</si>
  <si>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</si>
  <si>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</si>
  <si>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</si>
  <si>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</si>
  <si>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</si>
  <si>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</si>
  <si>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</si>
  <si>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</si>
  <si>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</si>
  <si>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</si>
  <si>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</si>
  <si>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</si>
  <si>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</si>
  <si>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</si>
  <si>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</si>
  <si>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</si>
  <si>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</si>
  <si>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</si>
  <si>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</si>
  <si>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</si>
  <si>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</si>
  <si>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</si>
  <si>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</si>
  <si>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</si>
  <si>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</si>
  <si>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</si>
  <si>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</si>
  <si>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</si>
  <si>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</si>
  <si>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</si>
  <si>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</si>
  <si>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</si>
  <si>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</si>
  <si>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</si>
  <si>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</si>
  <si>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</si>
  <si>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</si>
  <si>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</si>
  <si>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</si>
  <si>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</si>
  <si>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</si>
  <si>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</si>
  <si>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</si>
  <si>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</si>
  <si>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</si>
  <si>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</si>
  <si>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</si>
  <si>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</si>
  <si>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</si>
  <si>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</si>
  <si>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</si>
  <si>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</si>
  <si>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</si>
  <si>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</si>
  <si>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</si>
  <si>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</si>
  <si>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</si>
  <si>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</si>
  <si>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</si>
  <si>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</si>
  <si>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</si>
  <si>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</si>
  <si>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</si>
  <si>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</si>
  <si>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</si>
  <si>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</si>
  <si>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</si>
  <si>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</si>
  <si>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</si>
  <si>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</si>
  <si>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</si>
  <si>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</si>
  <si>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</si>
  <si>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</si>
  <si>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</si>
  <si>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</si>
  <si>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</si>
  <si>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</si>
  <si>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</si>
  <si>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</si>
  <si>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</si>
  <si>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</si>
  <si>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</si>
  <si>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</si>
  <si>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</si>
  <si>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</si>
  <si>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</si>
  <si>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</si>
  <si>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</si>
  <si>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</si>
  <si>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</si>
  <si>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</si>
  <si>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</si>
  <si>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</si>
  <si>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</si>
  <si>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</si>
  <si>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</si>
  <si>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</si>
  <si>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</si>
  <si>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</si>
  <si>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</si>
  <si>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</si>
  <si>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</si>
  <si>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</si>
  <si>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</si>
  <si>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</si>
  <si>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</si>
  <si>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</si>
  <si>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</si>
  <si>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</si>
  <si>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</si>
  <si>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</si>
  <si>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</si>
  <si>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</si>
  <si>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</si>
  <si>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</si>
  <si>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</si>
  <si>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</si>
  <si>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</si>
  <si>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</si>
  <si>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</si>
  <si>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</si>
  <si>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</si>
  <si>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</si>
  <si>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</si>
  <si>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</si>
  <si>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</si>
  <si>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</si>
  <si>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</si>
  <si>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</si>
  <si>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</si>
  <si>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</si>
  <si>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</si>
  <si>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</si>
  <si>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</si>
  <si>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</si>
  <si>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</si>
  <si>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</si>
  <si>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</si>
  <si>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</si>
  <si>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</si>
  <si>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</si>
  <si>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</si>
  <si>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</si>
  <si>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</si>
  <si>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</si>
  <si>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</si>
  <si>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</si>
  <si>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</si>
  <si>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</si>
  <si>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</si>
  <si>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</si>
  <si>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</si>
  <si>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</si>
  <si>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</si>
  <si>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</si>
  <si>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</si>
  <si>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</si>
  <si>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</si>
  <si>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</si>
  <si>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</si>
  <si>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</si>
  <si>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</si>
  <si>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</si>
  <si>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</si>
  <si>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</si>
  <si>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</si>
  <si>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</si>
  <si>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</si>
  <si>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</si>
  <si>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</si>
  <si>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</si>
  <si>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</si>
  <si>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</si>
  <si>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</si>
  <si>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</si>
  <si>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</si>
  <si>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</si>
  <si>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</si>
  <si>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</si>
  <si>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</si>
  <si>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</si>
  <si>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</si>
  <si>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</si>
  <si>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</si>
  <si>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</si>
  <si>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</si>
  <si>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</si>
  <si>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</si>
  <si>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</si>
  <si>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</si>
  <si>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</si>
  <si>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</si>
  <si>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</si>
  <si>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</si>
  <si>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</si>
  <si>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</si>
  <si>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</si>
  <si>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</si>
  <si>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</si>
  <si>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</si>
  <si>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</si>
  <si>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</si>
  <si>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</si>
  <si>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</si>
  <si>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</si>
  <si>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</si>
  <si>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</si>
  <si>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</si>
  <si>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</si>
  <si>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</si>
  <si>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</si>
  <si>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</si>
  <si>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</si>
  <si>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</si>
  <si>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</si>
  <si>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</si>
  <si>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</si>
  <si>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</si>
  <si>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</si>
  <si>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</si>
  <si>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</si>
  <si>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</si>
  <si>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</si>
  <si>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</si>
  <si>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</si>
  <si>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</si>
  <si>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</si>
  <si>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</si>
  <si>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</si>
  <si>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</si>
  <si>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</si>
  <si>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</si>
  <si>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</si>
  <si>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</si>
  <si>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</si>
  <si>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</si>
  <si>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</si>
  <si>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</si>
  <si>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</si>
  <si>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</si>
  <si>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</si>
  <si>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</si>
  <si>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</si>
  <si>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</si>
  <si>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</si>
  <si>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</si>
  <si>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</si>
  <si>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</si>
  <si>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</si>
  <si>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</si>
  <si>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</si>
  <si>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</si>
  <si>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</si>
  <si>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</si>
  <si>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</si>
  <si>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</si>
  <si>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</si>
  <si>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</si>
  <si>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</si>
  <si>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</si>
  <si>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</si>
  <si>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</si>
  <si>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</si>
  <si>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</si>
  <si>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</si>
  <si>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</si>
  <si>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</si>
  <si>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</si>
  <si>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</si>
  <si>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</si>
  <si>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</si>
  <si>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</si>
  <si>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</si>
  <si>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</si>
  <si>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</si>
  <si>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</si>
  <si>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</si>
  <si>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</si>
  <si>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</si>
  <si>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</si>
  <si>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</si>
  <si>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</si>
  <si>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</si>
  <si>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</si>
  <si>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</si>
  <si>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</si>
  <si>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</si>
  <si>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</si>
  <si>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</si>
  <si>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</si>
  <si>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</si>
  <si>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</si>
  <si>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</si>
  <si>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</si>
  <si>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</si>
  <si>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10877277 + 10770560</t>
  </si>
  <si>
    <t>KW20-125-0010</t>
  </si>
  <si>
    <t>Spoorviaduct Mortelsestraat</t>
  </si>
  <si>
    <t>Tilburg</t>
  </si>
  <si>
    <t>Metselwerk (funderingsplaat + inwendige vulling (schale beton)</t>
  </si>
  <si>
    <t>Betonnen ES-dekken (2 stuks) lang 8,43 m1 + aan weerszijden prefab betonnen PV-ligger lang 15,9 m1</t>
  </si>
  <si>
    <t>aanbrengen afschermingshekwerk aan de zuidzijde van de spoorbaan</t>
  </si>
  <si>
    <t>geen pve+SSK aanname: 2x 50 m1</t>
  </si>
  <si>
    <t>1x52</t>
  </si>
  <si>
    <t>alleen spoordek</t>
  </si>
  <si>
    <t>2 nieuwe betonnen landhoofden op palen</t>
  </si>
  <si>
    <t>Totaal kosten cat. 2 (advies IB tlv ProRail AM)</t>
  </si>
  <si>
    <t>spoordek+PV-paden: 96 m3</t>
  </si>
  <si>
    <t>Σ: 2 landhfdn: 725 m3</t>
  </si>
  <si>
    <t>Σ: 2 landhfdn: 96 m3</t>
  </si>
  <si>
    <t>vnt</t>
  </si>
  <si>
    <t>leuningen 2x15,9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</si>
</sst>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70" zoomScaleNormal="90" zoomScaleSheetLayoutView="70" workbookViewId="0">
      <selection activeCell="R35" sqref="R35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244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148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 t="s">
        <v>302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303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304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125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24.343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305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2001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1920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306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42699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317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307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144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245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246</v>
      </c>
      <c r="C41" s="41"/>
      <c r="D41" s="40"/>
      <c r="E41" s="40"/>
      <c r="F41" s="102">
        <v>2028</v>
      </c>
      <c r="G41" s="41"/>
      <c r="H41" s="131" t="s">
        <v>247</v>
      </c>
      <c r="I41" s="40"/>
      <c r="J41" s="40"/>
      <c r="K41" s="103">
        <f>F24+100-F41</f>
        <v>73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248</v>
      </c>
      <c r="I42" s="40"/>
      <c r="J42" s="40"/>
      <c r="K42" s="46">
        <f>F41+K41</f>
        <v>2101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241</v>
      </c>
      <c r="C48" s="164" t="s">
        <v>242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282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aanbrengen afschermingshekwerk aan de zuidzijde van de spoorbaan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23800</v>
      </c>
      <c r="M52" s="64">
        <f>'Berekening MJOP+LTP'!Y39</f>
        <v>22653.182629387273</v>
      </c>
      <c r="N52" s="61">
        <f>'Berekening MJOP+LTP'!AA39</f>
        <v>0</v>
      </c>
      <c r="O52" s="255">
        <f>'Berekening MJOP+LTP'!AC39</f>
        <v>2588.324629259675</v>
      </c>
      <c r="P52" s="234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/>
      <c r="L53" s="64">
        <f>'Berekening MJOP+LTP'!T40</f>
        <v>1500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2101</v>
      </c>
      <c r="K59" s="159">
        <v>2101</v>
      </c>
      <c r="L59" s="156">
        <f>'Berekening MJOP+LTP'!T46</f>
        <v>1035534.5999999999</v>
      </c>
      <c r="M59" s="128">
        <f>'Berekening MJOP+LTP'!Y46</f>
        <v>0</v>
      </c>
      <c r="N59" s="129">
        <f>'Berekening MJOP+LTP'!AA46</f>
        <v>104</v>
      </c>
      <c r="O59" s="257">
        <f>'Berekening MJOP+LTP'!AC46</f>
        <v>0</v>
      </c>
      <c r="P59" s="235"/>
    </row>
    <row r="60" spans="2:16" x14ac:dyDescent="0.3">
      <c r="B60" s="207" t="s">
        <v>295</v>
      </c>
      <c r="C60" s="189"/>
      <c r="D60" s="208"/>
      <c r="E60" s="208"/>
      <c r="F60" s="189"/>
      <c r="G60" s="190" t="s">
        <v>150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313</v>
      </c>
      <c r="C61" s="194"/>
      <c r="D61" s="212"/>
      <c r="E61" s="212"/>
      <c r="F61" s="194"/>
      <c r="G61" s="195" t="s">
        <v>150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296</v>
      </c>
      <c r="C62" s="194"/>
      <c r="D62" s="212"/>
      <c r="E62" s="212"/>
      <c r="F62" s="194"/>
      <c r="G62" s="195" t="s">
        <v>150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297</v>
      </c>
      <c r="C63" s="194"/>
      <c r="D63" s="212"/>
      <c r="E63" s="212"/>
      <c r="F63" s="194"/>
      <c r="G63" s="195" t="s">
        <v>150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23800</v>
      </c>
      <c r="M63" s="214">
        <f>SUMIF(B51:B58,1,M51:M58)</f>
        <v>22653.182629387273</v>
      </c>
      <c r="N63" s="247">
        <f>SUMIF(B51:B58,1,N51:N58)</f>
        <v>0</v>
      </c>
      <c r="O63" s="259">
        <f>SUMIF(B51:B58,1,O51:O58)</f>
        <v>2588.324629259675</v>
      </c>
      <c r="P63" s="236"/>
    </row>
    <row r="64" spans="2:16" x14ac:dyDescent="0.3">
      <c r="B64" s="211" t="s">
        <v>274</v>
      </c>
      <c r="C64" s="194"/>
      <c r="D64" s="212"/>
      <c r="E64" s="212"/>
      <c r="F64" s="194"/>
      <c r="G64" s="195" t="s">
        <v>150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30300</v>
      </c>
      <c r="M64" s="214">
        <f>SUM(M51:M58)</f>
        <v>27296.179683986018</v>
      </c>
      <c r="N64" s="247">
        <f>SUM(N51:N58)</f>
        <v>0</v>
      </c>
      <c r="O64" s="259">
        <f>SUM(O51:O58)</f>
        <v>3118.8277301532344</v>
      </c>
      <c r="P64" s="236"/>
    </row>
    <row r="65" spans="2:16" x14ac:dyDescent="0.3">
      <c r="B65" s="211" t="s">
        <v>298</v>
      </c>
      <c r="C65" s="194"/>
      <c r="D65" s="212"/>
      <c r="E65" s="212"/>
      <c r="F65" s="194"/>
      <c r="G65" s="205" t="s">
        <v>258</v>
      </c>
      <c r="H65" s="196"/>
      <c r="I65" s="213"/>
      <c r="J65" s="197"/>
      <c r="K65" s="224">
        <f>K59</f>
        <v>2101</v>
      </c>
      <c r="L65" s="214">
        <f>L59</f>
        <v>1035534.5999999999</v>
      </c>
      <c r="M65" s="214">
        <f>M59</f>
        <v>0</v>
      </c>
      <c r="N65" s="248">
        <f>N59</f>
        <v>104</v>
      </c>
      <c r="O65" s="259">
        <f>O59</f>
        <v>0</v>
      </c>
      <c r="P65" s="237"/>
    </row>
    <row r="66" spans="2:16" ht="15" thickBot="1" x14ac:dyDescent="0.35">
      <c r="B66" s="215" t="s">
        <v>275</v>
      </c>
      <c r="C66" s="199"/>
      <c r="D66" s="216"/>
      <c r="E66" s="216"/>
      <c r="F66" s="199"/>
      <c r="G66" s="200" t="s">
        <v>150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1077334.5999999999</v>
      </c>
      <c r="M66" s="218">
        <f>SUM(M49:M59)</f>
        <v>37605.742735246153</v>
      </c>
      <c r="N66" s="249">
        <f>SUM(N49:N59)</f>
        <v>104</v>
      </c>
      <c r="O66" s="260">
        <f>SUM(O49:O59)</f>
        <v>4296.7856532869646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243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241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140</v>
      </c>
      <c r="O69" s="130" t="s">
        <v>282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2101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77771.272590053981</v>
      </c>
      <c r="N75" s="61">
        <f>'Berekening MJOP+LTP'!AA125</f>
        <v>0</v>
      </c>
      <c r="O75" s="261">
        <f>'Berekening MJOP+LTP'!AC125</f>
        <v>2328.1358863469591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50585.52768964781</v>
      </c>
      <c r="N76" s="61">
        <f>'Berekening MJOP+LTP'!AA147</f>
        <v>0</v>
      </c>
      <c r="O76" s="261">
        <f>'Berekening MJOP+LTP'!AC147</f>
        <v>1514.3121415133976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2101</v>
      </c>
      <c r="K77" s="90">
        <v>2101</v>
      </c>
      <c r="L77" s="64">
        <f>'Berekening MJOP+LTP'!T154</f>
        <v>839392.16399999987</v>
      </c>
      <c r="M77" s="64">
        <f>'Berekening MJOP+LTP'!Y154</f>
        <v>138395.7447270893</v>
      </c>
      <c r="N77" s="61">
        <f>'Berekening MJOP+LTP'!AA149</f>
        <v>52</v>
      </c>
      <c r="O77" s="261">
        <f>'Berekening MJOP+LTP'!AC154</f>
        <v>4142.9706508114368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2101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2020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24536.327430937738</v>
      </c>
      <c r="N87" s="61">
        <f>'Berekening MJOP+LTP'!AA216</f>
        <v>0</v>
      </c>
      <c r="O87" s="261">
        <f>'Berekening MJOP+LTP'!AC216</f>
        <v>734.5116327494801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6900.7190910157387</v>
      </c>
      <c r="N88" s="61">
        <f>'Berekening MJOP+LTP'!AA219</f>
        <v>0</v>
      </c>
      <c r="O88" s="261">
        <f>'Berekening MJOP+LTP'!AC219</f>
        <v>206.57771465408598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2020</v>
      </c>
      <c r="K89" s="90">
        <v>2101</v>
      </c>
      <c r="L89" s="64">
        <f>'Berekening MJOP+LTP'!T225</f>
        <v>196142.43599999999</v>
      </c>
      <c r="M89" s="64">
        <f>'Berekening MJOP+LTP'!Y225</f>
        <v>32339.208854951205</v>
      </c>
      <c r="N89" s="61">
        <f>'Berekening MJOP+LTP'!AA221</f>
        <v>52</v>
      </c>
      <c r="O89" s="261">
        <f>'Berekening MJOP+LTP'!AC225</f>
        <v>968.09618981225151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-121037.59999999998</v>
      </c>
      <c r="M91" s="64"/>
      <c r="N91" s="251"/>
      <c r="O91" s="262"/>
      <c r="P91" s="241"/>
      <c r="Q91" s="27"/>
    </row>
    <row r="92" spans="2:17" x14ac:dyDescent="0.3">
      <c r="B92" s="207" t="s">
        <v>299</v>
      </c>
      <c r="C92" s="208"/>
      <c r="D92" s="208"/>
      <c r="E92" s="208"/>
      <c r="F92" s="189"/>
      <c r="G92" s="204" t="s">
        <v>151</v>
      </c>
      <c r="H92" s="191">
        <f>F41</f>
        <v>2028</v>
      </c>
      <c r="I92" s="209" t="s">
        <v>29</v>
      </c>
      <c r="J92" s="192">
        <f>K42</f>
        <v>2101</v>
      </c>
      <c r="K92" s="219"/>
      <c r="L92" s="220"/>
      <c r="M92" s="220">
        <f t="shared" ref="M92:O94" si="1">M71+M75+M79+M83+M87</f>
        <v>102307.60002099173</v>
      </c>
      <c r="N92" s="267">
        <f t="shared" si="1"/>
        <v>0</v>
      </c>
      <c r="O92" s="263">
        <f t="shared" si="1"/>
        <v>3062.6475190964393</v>
      </c>
      <c r="P92" s="242"/>
    </row>
    <row r="93" spans="2:17" x14ac:dyDescent="0.3">
      <c r="B93" s="211" t="s">
        <v>300</v>
      </c>
      <c r="C93" s="212"/>
      <c r="D93" s="212"/>
      <c r="E93" s="212"/>
      <c r="F93" s="194"/>
      <c r="G93" s="205" t="s">
        <v>151</v>
      </c>
      <c r="H93" s="196">
        <f>F41</f>
        <v>2028</v>
      </c>
      <c r="I93" s="213" t="s">
        <v>29</v>
      </c>
      <c r="J93" s="197">
        <f>K42</f>
        <v>2101</v>
      </c>
      <c r="K93" s="221"/>
      <c r="L93" s="222"/>
      <c r="M93" s="222">
        <f t="shared" si="1"/>
        <v>57486.246780663547</v>
      </c>
      <c r="N93" s="252">
        <f t="shared" si="1"/>
        <v>0</v>
      </c>
      <c r="O93" s="264">
        <f t="shared" si="1"/>
        <v>1720.8898561674837</v>
      </c>
      <c r="P93" s="243"/>
    </row>
    <row r="94" spans="2:17" x14ac:dyDescent="0.3">
      <c r="B94" s="211" t="s">
        <v>298</v>
      </c>
      <c r="C94" s="212"/>
      <c r="D94" s="212"/>
      <c r="E94" s="212"/>
      <c r="F94" s="194"/>
      <c r="G94" s="205" t="s">
        <v>258</v>
      </c>
      <c r="H94" s="196"/>
      <c r="I94" s="213"/>
      <c r="J94" s="197"/>
      <c r="K94" s="225">
        <f>K59</f>
        <v>2101</v>
      </c>
      <c r="L94" s="222">
        <f>L73+L77+L81+L85+L89</f>
        <v>1035534.5999999999</v>
      </c>
      <c r="M94" s="222">
        <f t="shared" si="1"/>
        <v>170734.9535820405</v>
      </c>
      <c r="N94" s="252">
        <f t="shared" si="1"/>
        <v>104</v>
      </c>
      <c r="O94" s="264">
        <f t="shared" si="1"/>
        <v>5111.0668406236882</v>
      </c>
      <c r="P94" s="243"/>
    </row>
    <row r="95" spans="2:17" ht="15" thickBot="1" x14ac:dyDescent="0.35">
      <c r="B95" s="215" t="s">
        <v>301</v>
      </c>
      <c r="C95" s="216"/>
      <c r="D95" s="216"/>
      <c r="E95" s="216"/>
      <c r="F95" s="199"/>
      <c r="G95" s="206" t="s">
        <v>258</v>
      </c>
      <c r="H95" s="201"/>
      <c r="I95" s="217"/>
      <c r="J95" s="202"/>
      <c r="K95" s="226">
        <f>K59</f>
        <v>2101</v>
      </c>
      <c r="L95" s="223">
        <f>L91</f>
        <v>-121037.59999999998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259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260</v>
      </c>
      <c r="F99" s="177" t="s">
        <v>261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1.1130000000000002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192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96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61">
        <f>'Berekening MJOP+LTP'!Q232</f>
        <v>1667.4999999999998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61">
        <f>'Berekening MJOP+LTP'!Q235</f>
        <v>172.8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K1" zoomScale="90" zoomScaleNormal="90" zoomScaleSheetLayoutView="90" workbookViewId="0">
      <pane ySplit="2" topLeftCell="A209" activePane="bottomLeft" state="frozen"/>
      <selection pane="bottomLeft" activeCell="P241" sqref="P241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236</v>
      </c>
      <c r="C1" s="3" t="s">
        <v>237</v>
      </c>
      <c r="D1" s="3" t="s">
        <v>239</v>
      </c>
      <c r="E1" s="3" t="s">
        <v>234</v>
      </c>
      <c r="F1" s="3" t="s">
        <v>0</v>
      </c>
      <c r="G1" s="3"/>
      <c r="H1" s="3"/>
      <c r="I1" s="3" t="s">
        <v>231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280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235</v>
      </c>
      <c r="C2" s="3" t="s">
        <v>240</v>
      </c>
      <c r="D2" s="3" t="s">
        <v>238</v>
      </c>
      <c r="E2" s="3" t="s">
        <v>233</v>
      </c>
      <c r="F2" s="3"/>
      <c r="G2" s="3"/>
      <c r="H2" s="3"/>
      <c r="I2" s="3" t="s">
        <v>232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288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254</v>
      </c>
      <c r="K9" s="1" t="s">
        <v>25</v>
      </c>
    </row>
    <row r="10" spans="2:236" ht="13.8" x14ac:dyDescent="0.3">
      <c r="B10" s="170"/>
      <c r="D10" s="168" t="s">
        <v>257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287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255</v>
      </c>
    </row>
    <row r="15" spans="2:236" ht="13.8" x14ac:dyDescent="0.3">
      <c r="B15" s="170"/>
      <c r="D15" s="168" t="s">
        <v>256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289</v>
      </c>
      <c r="K17" s="1" t="s">
        <v>250</v>
      </c>
    </row>
    <row r="18" spans="2:236" ht="13.8" x14ac:dyDescent="0.3">
      <c r="B18" s="170"/>
      <c r="D18" s="1" t="s">
        <v>40</v>
      </c>
      <c r="K18" s="1" t="s">
        <v>251</v>
      </c>
    </row>
    <row r="19" spans="2:236" ht="13.8" x14ac:dyDescent="0.3">
      <c r="B19" s="170"/>
      <c r="D19" s="1" t="s">
        <v>255</v>
      </c>
      <c r="K19" s="1" t="s">
        <v>252</v>
      </c>
    </row>
    <row r="20" spans="2:236" ht="13.8" x14ac:dyDescent="0.3">
      <c r="B20" s="170"/>
      <c r="D20" s="168" t="s">
        <v>256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253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236</v>
      </c>
      <c r="C28" s="3" t="s">
        <v>237</v>
      </c>
      <c r="D28" s="3" t="s">
        <v>239</v>
      </c>
      <c r="E28" s="3" t="s">
        <v>234</v>
      </c>
      <c r="F28" s="3" t="s">
        <v>0</v>
      </c>
      <c r="G28" s="3"/>
      <c r="H28" s="3"/>
      <c r="I28" s="3" t="s">
        <v>231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280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235</v>
      </c>
      <c r="C29" s="3" t="s">
        <v>240</v>
      </c>
      <c r="D29" s="3" t="s">
        <v>238</v>
      </c>
      <c r="E29" s="3" t="s">
        <v>233</v>
      </c>
      <c r="F29" s="3"/>
      <c r="G29" s="3"/>
      <c r="H29" s="3"/>
      <c r="I29" s="3" t="s">
        <v>232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283</v>
      </c>
      <c r="K31" s="1" t="s">
        <v>284</v>
      </c>
      <c r="O31" s="1" t="s">
        <v>293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277</v>
      </c>
      <c r="K32" s="1" t="s">
        <v>149</v>
      </c>
      <c r="O32" s="1" t="s">
        <v>293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292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286</v>
      </c>
      <c r="I35" s="1" t="s">
        <v>285</v>
      </c>
      <c r="K35" s="1" t="s">
        <v>291</v>
      </c>
      <c r="O35" s="1" t="s">
        <v>294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290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8">
        <v>2</v>
      </c>
      <c r="C38" s="120" t="s">
        <v>22</v>
      </c>
      <c r="D38" s="78">
        <v>1</v>
      </c>
      <c r="E38" s="120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8">
        <v>1</v>
      </c>
      <c r="C39" s="120" t="s">
        <v>22</v>
      </c>
      <c r="D39" s="78">
        <v>2</v>
      </c>
      <c r="E39" s="120" t="s">
        <v>22</v>
      </c>
      <c r="F39" s="76" t="s">
        <v>21</v>
      </c>
      <c r="G39" s="76"/>
      <c r="H39" s="76"/>
      <c r="I39" s="76" t="s">
        <v>48</v>
      </c>
      <c r="J39" s="76"/>
      <c r="K39" s="76" t="s">
        <v>308</v>
      </c>
      <c r="L39" s="76"/>
      <c r="M39" s="76"/>
      <c r="N39" s="76"/>
      <c r="O39" s="77"/>
      <c r="P39" s="77" t="s">
        <v>309</v>
      </c>
      <c r="Q39" s="81">
        <v>100</v>
      </c>
      <c r="R39" s="81" t="s">
        <v>34</v>
      </c>
      <c r="S39" s="81">
        <f>$H$10*100</f>
        <v>238</v>
      </c>
      <c r="T39" s="9">
        <f t="shared" si="4"/>
        <v>23800</v>
      </c>
      <c r="U39" s="11">
        <v>1</v>
      </c>
      <c r="V39" s="14"/>
      <c r="W39" s="9">
        <f>Voorblad!K52</f>
        <v>2020</v>
      </c>
      <c r="Y39" s="9">
        <f t="shared" ref="Y39:Y45" si="5">SUM(AE39:EB39)</f>
        <v>22653.182629387273</v>
      </c>
      <c r="Z39" s="82"/>
      <c r="AA39" s="82"/>
      <c r="AC39" s="9">
        <f>$Y39*(Voorblad!$K$44*(1+Voorblad!$K$44)^Voorblad!$K$37)/((1+Voorblad!$K$44)^Voorblad!$K$37-1)</f>
        <v>2588.324629259675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22653.182629387273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8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1500</v>
      </c>
      <c r="T40" s="9">
        <f t="shared" si="4"/>
        <v>1500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229</v>
      </c>
      <c r="P46" s="14"/>
      <c r="Q46" s="83">
        <f>(8.43*8.02)+(2*(15.9*1.705))</f>
        <v>121.82759999999999</v>
      </c>
      <c r="R46" s="81" t="s">
        <v>35</v>
      </c>
      <c r="S46" s="81">
        <v>8500</v>
      </c>
      <c r="T46" s="9">
        <f t="shared" si="4"/>
        <v>1035534.5999999999</v>
      </c>
      <c r="U46" s="11">
        <v>1</v>
      </c>
      <c r="V46" s="1">
        <f>Voorblad!F24+100</f>
        <v>2101</v>
      </c>
      <c r="W46" s="9">
        <f>Voorblad!K59</f>
        <v>2101</v>
      </c>
      <c r="X46" s="6"/>
      <c r="Y46" s="9">
        <f>SUM(AE46:EB46)</f>
        <v>0</v>
      </c>
      <c r="Z46" s="82" t="s">
        <v>279</v>
      </c>
      <c r="AA46" s="82">
        <f>2*52</f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268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249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236</v>
      </c>
      <c r="C54" s="3"/>
      <c r="D54" s="3"/>
      <c r="E54" s="3"/>
      <c r="F54" s="3" t="s">
        <v>0</v>
      </c>
      <c r="G54" s="3"/>
      <c r="H54" s="3"/>
      <c r="I54" s="3" t="s">
        <v>231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280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235</v>
      </c>
      <c r="I55" s="3" t="s">
        <v>232</v>
      </c>
      <c r="O55" s="14"/>
      <c r="P55" s="14"/>
      <c r="V55" s="3" t="s">
        <v>70</v>
      </c>
      <c r="AC55" s="20" t="s">
        <v>281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276</v>
      </c>
      <c r="K58" s="1" t="s">
        <v>284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277</v>
      </c>
      <c r="K59" s="1" t="s">
        <v>110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277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277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277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277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277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277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277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277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277</v>
      </c>
      <c r="K68" s="14" t="s">
        <v>95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277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277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277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277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277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269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270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2101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271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276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5538.9619080568518</v>
      </c>
      <c r="Z109" s="82"/>
      <c r="AA109" s="82"/>
      <c r="AC109" s="9">
        <f>$Y109*(Voorblad!$K$44*(1+Voorblad!$K$44)^Voorblad!$K$41)/((1+Voorblad!$K$44)^Voorblad!$K$41-1)</f>
        <v>165.81258814202764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277</v>
      </c>
      <c r="K110" s="1" t="s">
        <v>113</v>
      </c>
      <c r="O110" s="1" t="s">
        <v>226</v>
      </c>
      <c r="P110" s="14" t="s">
        <v>227</v>
      </c>
      <c r="Q110" s="83">
        <f>50%*(((2*8.43*8.02)+(2*(8.43+8.02)*0.675))+((4*15.9*1.705)+(4*(15.9+1.705)*1.675)))</f>
        <v>191.90809999999999</v>
      </c>
      <c r="R110" s="1" t="s">
        <v>35</v>
      </c>
      <c r="S110" s="21">
        <f>$H$20*15</f>
        <v>26.55</v>
      </c>
      <c r="T110" s="9">
        <f t="shared" si="20"/>
        <v>5095.1600550000003</v>
      </c>
      <c r="U110" s="14">
        <v>10</v>
      </c>
      <c r="V110" s="14"/>
      <c r="Y110" s="9">
        <f t="shared" si="21"/>
        <v>14961.540205936788</v>
      </c>
      <c r="Z110" s="82"/>
      <c r="AA110" s="82"/>
      <c r="AC110" s="9">
        <f>$Y110*(Voorblad!$K$44*(1+Voorblad!$K$44)^Voorblad!$K$41)/((1+Voorblad!$K$44)^Voorblad!$K$41-1)</f>
        <v>447.8838716202128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3980.3308915027678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3109.4281307814999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2429.0802860475233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1897.5936371237967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1482.397116446019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1158.0462580904566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904.66388594472346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277</v>
      </c>
      <c r="K111" s="1" t="s">
        <v>84</v>
      </c>
      <c r="P111" s="8"/>
      <c r="Q111" s="83">
        <f>25%*(((2*8.43*8.02)+(2*(8.43+8.02)*0.675))+((4*15.9*1.705)+(4*(15.9+1.705)*1.675)))</f>
        <v>95.954049999999995</v>
      </c>
      <c r="R111" s="1" t="s">
        <v>35</v>
      </c>
      <c r="S111" s="21">
        <f>$H$20*20</f>
        <v>35.4</v>
      </c>
      <c r="T111" s="9">
        <f t="shared" si="20"/>
        <v>3396.7733699999999</v>
      </c>
      <c r="U111" s="14">
        <v>10</v>
      </c>
      <c r="V111" s="14"/>
      <c r="Y111" s="9">
        <f t="shared" si="21"/>
        <v>9974.3601372911908</v>
      </c>
      <c r="Z111" s="82"/>
      <c r="AA111" s="82"/>
      <c r="AC111" s="9">
        <f>$Y111*(Voorblad!$K$44*(1+Voorblad!$K$44)^Voorblad!$K$41)/((1+Voorblad!$K$44)^Voorblad!$K$41-1)</f>
        <v>298.5892477468085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2653.5539276685117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2072.9520871876666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1619.3868573650152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1265.0624247491978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988.26474429734594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772.03083872697096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603.10925729648227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277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277</v>
      </c>
      <c r="K113" s="1" t="s">
        <v>159</v>
      </c>
      <c r="P113" s="1" t="s">
        <v>184</v>
      </c>
      <c r="Q113" s="83">
        <f>2*15.9</f>
        <v>31.8</v>
      </c>
      <c r="R113" s="147" t="s">
        <v>196</v>
      </c>
      <c r="S113" s="21">
        <f>$H$20*350</f>
        <v>619.5</v>
      </c>
      <c r="T113" s="9">
        <f t="shared" si="20"/>
        <v>19700.100000000002</v>
      </c>
      <c r="U113" s="14">
        <v>15</v>
      </c>
      <c r="V113" s="14"/>
      <c r="Y113" s="9">
        <f>SUM(AE113:EB113)</f>
        <v>33956.397166295799</v>
      </c>
      <c r="Z113" s="82"/>
      <c r="AA113" s="82"/>
      <c r="AC113" s="9">
        <f>$Y113*(Voorblad!$K$44*(1+Voorblad!$K$44)^Voorblad!$K$41)/((1+Voorblad!$K$44)^Voorblad!$K$41-1)</f>
        <v>1016.5078207041406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13602.240516283706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9391.8785723336441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6484.7686682104877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4477.5094094679635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277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277</v>
      </c>
      <c r="K115" s="14" t="s">
        <v>162</v>
      </c>
      <c r="O115" s="14" t="s">
        <v>158</v>
      </c>
      <c r="P115" s="14" t="s">
        <v>199</v>
      </c>
      <c r="Q115" s="84">
        <f>2.5%*2*15.9</f>
        <v>0.79500000000000004</v>
      </c>
      <c r="R115" s="14" t="s">
        <v>34</v>
      </c>
      <c r="S115" s="21">
        <f>$H$20*1000</f>
        <v>1770</v>
      </c>
      <c r="T115" s="21">
        <f t="shared" si="20"/>
        <v>1407.15</v>
      </c>
      <c r="U115" s="14">
        <v>15</v>
      </c>
      <c r="Y115" s="21">
        <f t="shared" si="22"/>
        <v>2425.4569404497006</v>
      </c>
      <c r="Z115" s="149"/>
      <c r="AA115" s="149"/>
      <c r="AC115" s="9">
        <f>$Y115*(Voorblad!$K$44*(1+Voorblad!$K$44)^Voorblad!$K$41)/((1+Voorblad!$K$44)^Voorblad!$K$41-1)</f>
        <v>72.607701478867213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971.58860830597894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670.84846945240315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463.19776201503487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319.82210067628307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277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277</v>
      </c>
      <c r="K117" s="14" t="s">
        <v>198</v>
      </c>
      <c r="L117" s="14"/>
      <c r="M117" s="14"/>
      <c r="O117" s="1" t="s">
        <v>172</v>
      </c>
      <c r="P117" s="1" t="s">
        <v>175</v>
      </c>
      <c r="Q117" s="83">
        <f>2.5%*2*15.9</f>
        <v>0.79500000000000004</v>
      </c>
      <c r="R117" s="1" t="s">
        <v>34</v>
      </c>
      <c r="S117" s="14">
        <f>$H$20*500</f>
        <v>885</v>
      </c>
      <c r="T117" s="9">
        <f t="shared" si="20"/>
        <v>703.57500000000005</v>
      </c>
      <c r="U117" s="14">
        <v>15</v>
      </c>
      <c r="V117" s="14"/>
      <c r="Y117" s="9">
        <f t="shared" si="22"/>
        <v>1212.7284702248503</v>
      </c>
      <c r="Z117" s="82"/>
      <c r="AA117" s="82"/>
      <c r="AC117" s="9">
        <f>$Y117*(Voorblad!$K$44*(1+Voorblad!$K$44)^Voorblad!$K$41)/((1+Voorblad!$K$44)^Voorblad!$K$41-1)</f>
        <v>36.303850739433607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485.79430415298947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335.42423472620158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231.59888100751743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159.91105033814154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277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277</v>
      </c>
      <c r="K119" s="14" t="s">
        <v>189</v>
      </c>
      <c r="L119" s="14"/>
      <c r="M119" s="14"/>
      <c r="O119" s="1" t="s">
        <v>173</v>
      </c>
      <c r="P119" s="1" t="s">
        <v>176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277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277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277</v>
      </c>
      <c r="K122" s="14" t="s">
        <v>201</v>
      </c>
      <c r="L122" s="14"/>
      <c r="M122" s="14"/>
      <c r="O122" s="1" t="s">
        <v>178</v>
      </c>
      <c r="P122" s="1" t="s">
        <v>181</v>
      </c>
      <c r="Q122" s="83">
        <f>2*15.9</f>
        <v>31.8</v>
      </c>
      <c r="R122" s="1" t="s">
        <v>34</v>
      </c>
      <c r="S122" s="14">
        <f>$H$20*100</f>
        <v>177</v>
      </c>
      <c r="T122" s="9">
        <f t="shared" si="20"/>
        <v>5628.6</v>
      </c>
      <c r="U122" s="14">
        <v>15</v>
      </c>
      <c r="V122" s="14"/>
      <c r="Y122" s="9">
        <f t="shared" si="23"/>
        <v>9701.8277617988024</v>
      </c>
      <c r="Z122" s="82"/>
      <c r="AA122" s="82"/>
      <c r="AC122" s="9">
        <f>$Y122*(Voorblad!$K$44*(1+Voorblad!$K$44)^Voorblad!$K$41)/((1+Voorblad!$K$44)^Voorblad!$K$41-1)</f>
        <v>290.43080591546885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3886.3544332239157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2683.3938778096126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1852.7910480601395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1279.2884027051323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277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277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269</v>
      </c>
      <c r="C125" s="2"/>
      <c r="S125" s="14"/>
      <c r="U125" s="14"/>
      <c r="V125" s="14"/>
      <c r="Y125" s="23">
        <f>SUM(Y109:Y124)</f>
        <v>77771.272590053981</v>
      </c>
      <c r="Z125" s="24"/>
      <c r="AA125" s="23">
        <f>SUM(AA109:AA124)</f>
        <v>0</v>
      </c>
      <c r="AC125" s="9">
        <f>$Y125*(Voorblad!$K$44*(1+Voorblad!$K$44)^Voorblad!$K$41)/((1+Voorblad!$K$44)^Voorblad!$K$41-1)</f>
        <v>2328.1358863469591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7325.2454046985476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19557.03987976909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5722.4700023992318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17551.92957411956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3492.2571638455529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9323.6757064724479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2728.1457148113659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8367.7540352730502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1664.9080576342099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1">
        <f>2*15.9</f>
        <v>31.8</v>
      </c>
      <c r="R133" s="1" t="s">
        <v>34</v>
      </c>
      <c r="S133" s="21">
        <f>$H$10*125</f>
        <v>297.5</v>
      </c>
      <c r="T133" s="9">
        <f t="shared" si="104"/>
        <v>9460.5</v>
      </c>
      <c r="U133" s="14">
        <v>30</v>
      </c>
      <c r="V133" s="14"/>
      <c r="Y133" s="9">
        <f t="shared" si="21"/>
        <v>6660.44055623241</v>
      </c>
      <c r="Z133" s="82"/>
      <c r="AA133" s="82"/>
      <c r="AC133" s="9">
        <f>$Y133*(Voorblad!$K$44*(1+Voorblad!$K$44)^Voorblad!$K$41)/((1+Voorblad!$K$44)^Voorblad!$K$41-1)</f>
        <v>199.3848134591083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4510.2241731545746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2150.2163830778354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2*15.9</f>
        <v>31.8</v>
      </c>
      <c r="R136" s="147" t="s">
        <v>196</v>
      </c>
      <c r="S136" s="14">
        <f>$H$10*500</f>
        <v>1190</v>
      </c>
      <c r="T136" s="9">
        <f t="shared" si="104"/>
        <v>37842</v>
      </c>
      <c r="U136" s="14">
        <v>50</v>
      </c>
      <c r="V136" s="14"/>
      <c r="Y136" s="9">
        <f>SUM(AE136:EB136)</f>
        <v>11009.835034622922</v>
      </c>
      <c r="Z136" s="82"/>
      <c r="AA136" s="82"/>
      <c r="AC136" s="9">
        <f>$Y136*(Voorblad!$K$44*(1+Voorblad!$K$44)^Voorblad!$K$41)/((1+Voorblad!$K$44)^Voorblad!$K$41-1)</f>
        <v>329.58689234749284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11009.835034622922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7.5%*2*15.9</f>
        <v>2.3849999999999998</v>
      </c>
      <c r="R137" s="14" t="s">
        <v>34</v>
      </c>
      <c r="S137" s="21">
        <f>$H$10*1000</f>
        <v>2380</v>
      </c>
      <c r="T137" s="21">
        <f t="shared" si="104"/>
        <v>5676.2999999999993</v>
      </c>
      <c r="U137" s="14">
        <v>50</v>
      </c>
      <c r="Y137" s="21">
        <f t="shared" ref="Y137" si="108">SUM(AE137:EB137)</f>
        <v>1651.475255193438</v>
      </c>
      <c r="Z137" s="149"/>
      <c r="AA137" s="149"/>
      <c r="AC137" s="9">
        <f>$Y137*(Voorblad!$K$44*(1+Voorblad!$K$44)^Voorblad!$K$41)/((1+Voorblad!$K$44)^Voorblad!$K$41-1)</f>
        <v>49.438033852123915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1651.475255193438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1">
        <f>2*15.9</f>
        <v>31.8</v>
      </c>
      <c r="R139" s="1" t="s">
        <v>34</v>
      </c>
      <c r="S139" s="14">
        <f>$H$10*400</f>
        <v>952</v>
      </c>
      <c r="T139" s="9">
        <f t="shared" si="104"/>
        <v>30273.600000000002</v>
      </c>
      <c r="U139" s="14">
        <v>50</v>
      </c>
      <c r="V139" s="14"/>
      <c r="Y139" s="9">
        <f t="shared" si="107"/>
        <v>8807.8680276983378</v>
      </c>
      <c r="Z139" s="82"/>
      <c r="AA139" s="82"/>
      <c r="AC139" s="9">
        <f>$Y139*(Voorblad!$K$44*(1+Voorblad!$K$44)^Voorblad!$K$41)/((1+Voorblad!$K$44)^Voorblad!$K$41-1)</f>
        <v>263.66951387799423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8807.8680276983378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16</v>
      </c>
      <c r="R142" s="1" t="s">
        <v>75</v>
      </c>
      <c r="S142" s="14">
        <f>$H$10*1500</f>
        <v>3570</v>
      </c>
      <c r="T142" s="9">
        <f t="shared" si="104"/>
        <v>57120</v>
      </c>
      <c r="U142" s="14">
        <v>50</v>
      </c>
      <c r="V142" s="14"/>
      <c r="Y142" s="9">
        <f>SUM(AE142:EB142)</f>
        <v>16618.618920185541</v>
      </c>
      <c r="Z142" s="82"/>
      <c r="AA142" s="82"/>
      <c r="AC142" s="9">
        <f>$Y142*(Voorblad!$K$44*(1+Voorblad!$K$44)^Voorblad!$K$41)/((1+Voorblad!$K$44)^Voorblad!$K$41-1)</f>
        <v>497.48964882640422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16618.618920185541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4">
        <f>2*8.43</f>
        <v>16.86</v>
      </c>
      <c r="R146" s="147" t="s">
        <v>196</v>
      </c>
      <c r="S146" s="14">
        <f>$H$10*500</f>
        <v>1190</v>
      </c>
      <c r="T146" s="9">
        <f t="shared" si="104"/>
        <v>20063.399999999998</v>
      </c>
      <c r="U146" s="14">
        <v>50</v>
      </c>
      <c r="V146" s="14"/>
      <c r="Y146" s="9">
        <f>SUM(AE146:EB146)</f>
        <v>5837.289895715171</v>
      </c>
      <c r="Z146" s="82"/>
      <c r="AA146" s="82"/>
      <c r="AC146" s="229">
        <f>$Y146*(Voorblad!$K$44*(1+Voorblad!$K$44)^Voorblad!$K$41)/((1+Voorblad!$K$44)^Voorblad!$K$41-1)</f>
        <v>174.74323915027449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5837.289895715171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270</v>
      </c>
      <c r="C147" s="2"/>
      <c r="D147" s="22"/>
      <c r="N147" s="6"/>
      <c r="S147" s="14"/>
      <c r="U147" s="14"/>
      <c r="V147" s="14"/>
      <c r="Y147" s="23">
        <f>SUM(Y127:Y146)</f>
        <v>50585.52768964781</v>
      </c>
      <c r="Z147" s="24"/>
      <c r="AA147" s="23">
        <f>SUM(AA127:AA146)</f>
        <v>0</v>
      </c>
      <c r="AC147" s="9">
        <f>$Y147*(Voorblad!$K$44*(1+Voorblad!$K$44)^Voorblad!$K$41)/((1+Voorblad!$K$44)^Voorblad!$K$41-1)</f>
        <v>1514.3121415133976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4510.2241731545746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43925.087133415414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2150.2163830778354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311</v>
      </c>
      <c r="Q149" s="83">
        <f>(8.43*8.02)+(2*(15.9*1.705))</f>
        <v>121.82759999999999</v>
      </c>
      <c r="R149" s="81" t="s">
        <v>35</v>
      </c>
      <c r="S149" s="81">
        <v>6890</v>
      </c>
      <c r="T149" s="21">
        <f>Q149*S149</f>
        <v>839392.16399999987</v>
      </c>
      <c r="U149" s="11">
        <v>1</v>
      </c>
      <c r="V149" s="14">
        <f>Voorblad!F24+100</f>
        <v>2101</v>
      </c>
      <c r="W149" s="9">
        <f>Voorblad!K77</f>
        <v>2101</v>
      </c>
      <c r="X149" s="6"/>
      <c r="Y149" s="9">
        <f t="shared" si="21"/>
        <v>138395.7447270893</v>
      </c>
      <c r="Z149" s="82" t="s">
        <v>310</v>
      </c>
      <c r="AA149" s="82">
        <v>52</v>
      </c>
      <c r="AC149" s="9">
        <f>$Y149*(Voorblad!$K$44*(1+Voorblad!$K$44)^Voorblad!$K$41)/((1+Voorblad!$K$44)^Voorblad!$K$41-1)</f>
        <v>4142.9706508114368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138395.7447270893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16787.843279999997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33575.686559999995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58757.451479999996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271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839392.16399999987</v>
      </c>
      <c r="U154" s="14"/>
      <c r="V154" s="14"/>
      <c r="W154" s="14"/>
      <c r="X154" s="6"/>
      <c r="Y154" s="23">
        <f>SUM(Y149:Y153)</f>
        <v>138395.7447270893</v>
      </c>
      <c r="Z154" s="24"/>
      <c r="AA154" s="23">
        <f>SUM(AA149:AA153)</f>
        <v>52</v>
      </c>
      <c r="AC154" s="9">
        <f>$Y154*(Voorblad!$K$44*(1+Voorblad!$K$44)^Voorblad!$K$41)/((1+Voorblad!$K$44)^Voorblad!$K$41-1)</f>
        <v>4142.9706508114368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276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277</v>
      </c>
      <c r="K159" s="1" t="s">
        <v>111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277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277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277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277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277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277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277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277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277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277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277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277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269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270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2101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271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276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277</v>
      </c>
      <c r="K196" s="1" t="s">
        <v>83</v>
      </c>
      <c r="O196" s="1" t="s">
        <v>134</v>
      </c>
      <c r="P196" s="1" t="s">
        <v>278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277</v>
      </c>
      <c r="K197" s="1" t="s">
        <v>84</v>
      </c>
      <c r="O197" s="1" t="s">
        <v>133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277</v>
      </c>
      <c r="K198" s="1" t="s">
        <v>82</v>
      </c>
      <c r="O198" s="1" t="s">
        <v>218</v>
      </c>
      <c r="P198" s="1" t="s">
        <v>174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269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270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230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2020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271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customHeight="1" outlineLevel="1" x14ac:dyDescent="0.25">
      <c r="B212" s="1">
        <v>3</v>
      </c>
      <c r="F212" s="1" t="s">
        <v>23</v>
      </c>
      <c r="I212" s="1" t="s">
        <v>276</v>
      </c>
      <c r="K212" s="1" t="s">
        <v>86</v>
      </c>
      <c r="Q212" s="81">
        <v>1</v>
      </c>
      <c r="R212" s="1" t="s">
        <v>33</v>
      </c>
      <c r="S212" s="14">
        <f>$H$20*500</f>
        <v>885</v>
      </c>
      <c r="T212" s="9">
        <f>Q212*S212</f>
        <v>885</v>
      </c>
      <c r="U212" s="14">
        <v>5</v>
      </c>
      <c r="V212" s="14"/>
      <c r="Y212" s="9">
        <f t="shared" ref="Y212:Y224" si="200">SUM(AE212:EB212)</f>
        <v>5538.9619080568518</v>
      </c>
      <c r="Z212" s="83"/>
      <c r="AA212" s="83"/>
      <c r="AC212" s="9">
        <f>$Y212*(Voorblad!$K$44*(1+Voorblad!$K$44)^Voorblad!$K$41)/((1+Voorblad!$K$44)^Voorblad!$K$41-1)</f>
        <v>165.81258814202764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782.21104453442274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691.36058552726843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611.0620178025024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540.08978443006492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477.36067166261267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421.9172763851592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372.9133937495526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329.60110197255818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291.3193471792672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257.48385406800077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227.57820840822569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201.14597526810255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177.78373267611033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157.13491439300432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customHeight="1" outlineLevel="1" x14ac:dyDescent="0.25">
      <c r="B213" s="1">
        <v>3</v>
      </c>
      <c r="F213" s="1" t="s">
        <v>23</v>
      </c>
      <c r="I213" s="1" t="s">
        <v>277</v>
      </c>
      <c r="K213" s="1" t="s">
        <v>87</v>
      </c>
      <c r="O213" s="1" t="s">
        <v>134</v>
      </c>
      <c r="Q213" s="84">
        <f>(2*11.4*2.86)+(4*((3*2.86)/2))</f>
        <v>82.367999999999995</v>
      </c>
      <c r="R213" s="1" t="s">
        <v>35</v>
      </c>
      <c r="S213" s="21">
        <f>$H$20*15</f>
        <v>26.55</v>
      </c>
      <c r="T213" s="9">
        <f>Q213*S213</f>
        <v>2186.8703999999998</v>
      </c>
      <c r="U213" s="14">
        <v>10</v>
      </c>
      <c r="V213" s="14"/>
      <c r="Y213" s="9">
        <f t="shared" si="200"/>
        <v>6421.574408180797</v>
      </c>
      <c r="Z213" s="83"/>
      <c r="AA213" s="83"/>
      <c r="AC213" s="9">
        <f>$Y213*(Voorblad!$K$44*(1+Voorblad!$K$44)^Voorblad!$K$41)/((1+Voorblad!$K$44)^Voorblad!$K$41-1)</f>
        <v>192.23419302058477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1708.3796612613014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1334.5834609180674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1042.5744666387836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814.45750701827001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636.25290275619261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497.03975072649206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388.28665886168938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customHeight="1" outlineLevel="1" x14ac:dyDescent="0.25">
      <c r="B214" s="1">
        <v>3</v>
      </c>
      <c r="F214" s="1" t="s">
        <v>23</v>
      </c>
      <c r="I214" s="1" t="s">
        <v>277</v>
      </c>
      <c r="K214" s="1" t="s">
        <v>84</v>
      </c>
      <c r="O214" s="1" t="s">
        <v>133</v>
      </c>
      <c r="Q214" s="81">
        <f>(2*11.4*2.5)+(4*((2.5*2.5)/2))</f>
        <v>69.5</v>
      </c>
      <c r="R214" s="1" t="s">
        <v>35</v>
      </c>
      <c r="S214" s="21">
        <f>$H$20*20</f>
        <v>35.4</v>
      </c>
      <c r="T214" s="9">
        <f>Q214*S214</f>
        <v>2460.2999999999997</v>
      </c>
      <c r="U214" s="14">
        <v>10</v>
      </c>
      <c r="V214" s="14"/>
      <c r="Y214" s="9">
        <f t="shared" si="200"/>
        <v>7224.4791078827593</v>
      </c>
      <c r="Z214" s="83"/>
      <c r="AA214" s="83"/>
      <c r="AC214" s="9">
        <f>$Y214*(Voorblad!$K$44*(1+Voorblad!$K$44)^Voorblad!$K$41)/((1+Voorblad!$K$44)^Voorblad!$K$41-1)</f>
        <v>216.26969073638045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1921.9824277658061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1501.4496007155801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1172.9300283507423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916.29106348371158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715.8051143090421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559.185811245325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436.83506201255199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customHeight="1" outlineLevel="1" x14ac:dyDescent="0.25">
      <c r="B215" s="1">
        <v>3</v>
      </c>
      <c r="F215" s="1" t="s">
        <v>23</v>
      </c>
      <c r="I215" s="1" t="s">
        <v>277</v>
      </c>
      <c r="K215" s="1" t="s">
        <v>88</v>
      </c>
      <c r="O215" s="1" t="s">
        <v>218</v>
      </c>
      <c r="P215" s="1" t="s">
        <v>174</v>
      </c>
      <c r="Q215" s="84">
        <f>2.5%*((2*11.4*2.86)+(4*((3*2.86)/2)))</f>
        <v>2.0592000000000001</v>
      </c>
      <c r="R215" s="1" t="s">
        <v>35</v>
      </c>
      <c r="S215" s="14">
        <f>$H$20*500</f>
        <v>885</v>
      </c>
      <c r="T215" s="9">
        <f>Q215*S215</f>
        <v>1822.3920000000001</v>
      </c>
      <c r="U215" s="14">
        <v>10</v>
      </c>
      <c r="V215" s="14"/>
      <c r="Y215" s="9">
        <f t="shared" si="200"/>
        <v>5351.3120068173312</v>
      </c>
      <c r="Z215" s="83"/>
      <c r="AA215" s="83"/>
      <c r="AC215" s="229">
        <f>$Y215*(Voorblad!$K$44*(1+Voorblad!$K$44)^Voorblad!$K$41)/((1+Voorblad!$K$44)^Voorblad!$K$41-1)</f>
        <v>160.1951608504873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1423.6497177177512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1112.1528840983897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868.81205553231985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678.71458918189182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530.2107522968272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414.19979227207676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323.57221571807452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customHeight="1" outlineLevel="1" x14ac:dyDescent="0.25">
      <c r="S216" s="14"/>
      <c r="T216" s="9"/>
      <c r="U216" s="14"/>
      <c r="V216" s="14"/>
      <c r="Y216" s="23">
        <f>SUM(Y212:Y215)</f>
        <v>24536.327430937738</v>
      </c>
      <c r="Z216" s="24"/>
      <c r="AA216" s="23">
        <f>SUM(AA212:AA215)</f>
        <v>0</v>
      </c>
      <c r="AC216" s="9">
        <f>$Y216*(Voorblad!$K$44*(1+Voorblad!$K$44)^Voorblad!$K$41)/((1+Voorblad!$K$44)^Voorblad!$K$41-1)</f>
        <v>734.5116327494801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outlineLevel="1" x14ac:dyDescent="0.25">
      <c r="B217" s="2" t="s">
        <v>269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4">
        <f>10%*((2*11.4*2.86)+(4*((3*2.86)/2)))</f>
        <v>8.2368000000000006</v>
      </c>
      <c r="R218" s="1" t="s">
        <v>35</v>
      </c>
      <c r="S218" s="14">
        <f>$H$10*500</f>
        <v>1190</v>
      </c>
      <c r="T218" s="9">
        <f>Q218*S218</f>
        <v>9801.7920000000013</v>
      </c>
      <c r="U218" s="14">
        <v>30</v>
      </c>
      <c r="V218" s="14"/>
      <c r="Y218" s="9">
        <f>SUM(AE218:EB218)</f>
        <v>6900.7190910157387</v>
      </c>
      <c r="Z218" s="83"/>
      <c r="AA218" s="83"/>
      <c r="AC218" s="229">
        <f>$Y218*(Voorblad!$K$44*(1+Voorblad!$K$44)^Voorblad!$K$41)/((1+Voorblad!$K$44)^Voorblad!$K$41-1)</f>
        <v>206.57771465408598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4672.9326376653589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2227.7864533503794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outlineLevel="1" x14ac:dyDescent="0.25">
      <c r="B219" s="2" t="s">
        <v>270</v>
      </c>
      <c r="C219" s="2"/>
      <c r="D219" s="15"/>
      <c r="E219" s="15"/>
      <c r="S219" s="14"/>
      <c r="T219" s="9"/>
      <c r="U219" s="14"/>
      <c r="V219" s="14"/>
      <c r="Y219" s="23">
        <f>SUM(Y218)</f>
        <v>6900.7190910157387</v>
      </c>
      <c r="Z219" s="24"/>
      <c r="AA219" s="23">
        <f>SUM(AA218)</f>
        <v>0</v>
      </c>
      <c r="AC219" s="9">
        <f>$Y219*(Voorblad!$K$44*(1+Voorblad!$K$44)^Voorblad!$K$41)/((1+Voorblad!$K$44)^Voorblad!$K$41-1)</f>
        <v>206.57771465408598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P221" s="1" t="s">
        <v>312</v>
      </c>
      <c r="Q221" s="84">
        <f>(8.43*8.02)+(2*(15.9*1.705))</f>
        <v>121.82759999999999</v>
      </c>
      <c r="R221" s="81" t="s">
        <v>33</v>
      </c>
      <c r="S221" s="81">
        <v>1610</v>
      </c>
      <c r="T221" s="21">
        <f>Q221*S221</f>
        <v>196142.43599999999</v>
      </c>
      <c r="U221" s="11">
        <v>1</v>
      </c>
      <c r="V221" s="14">
        <f>Voorblad!F25+100</f>
        <v>2020</v>
      </c>
      <c r="W221" s="9">
        <f>Voorblad!K89</f>
        <v>2101</v>
      </c>
      <c r="X221" s="6"/>
      <c r="Y221" s="9">
        <f t="shared" si="200"/>
        <v>32339.208854951205</v>
      </c>
      <c r="Z221" s="83" t="s">
        <v>310</v>
      </c>
      <c r="AA221" s="83">
        <v>52</v>
      </c>
      <c r="AC221" s="9">
        <f>$Y221*(Voorblad!$K$44*(1+Voorblad!$K$44)^Voorblad!$K$41)/((1+Voorblad!$K$44)^Voorblad!$K$41-1)</f>
        <v>968.09618981225151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32339.208854951205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21">
        <f>2%*T221</f>
        <v>3922.84872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21">
        <f>4%*T221</f>
        <v>7845.6974399999999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21">
        <f>7%*T221</f>
        <v>13729.970520000001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outlineLevel="1" x14ac:dyDescent="0.25">
      <c r="B225" s="2" t="s">
        <v>273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196142.43599999999</v>
      </c>
      <c r="U225" s="14"/>
      <c r="V225" s="14"/>
      <c r="W225" s="14"/>
      <c r="X225" s="6"/>
      <c r="Y225" s="23">
        <f>SUM(Y221:Y224)</f>
        <v>32339.208854951205</v>
      </c>
      <c r="Z225" s="24"/>
      <c r="AA225" s="23">
        <f>SUM(AA221:AA224)</f>
        <v>52</v>
      </c>
      <c r="AC225" s="9">
        <f>$Y225*(Voorblad!$K$44*(1+Voorblad!$K$44)^Voorblad!$K$41)/((1+Voorblad!$K$44)^Voorblad!$K$41-1)</f>
        <v>968.09618981225151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262</v>
      </c>
      <c r="P229" s="1" t="s">
        <v>318</v>
      </c>
      <c r="Q229" s="84">
        <f>2*15.9*0.035</f>
        <v>1.1130000000000002</v>
      </c>
      <c r="R229" s="1" t="s">
        <v>102</v>
      </c>
      <c r="S229" s="1">
        <v>-200</v>
      </c>
      <c r="T229" s="21">
        <f t="shared" ref="T229:T236" si="201">Q229*S229</f>
        <v>-222.60000000000005</v>
      </c>
      <c r="U229" s="11">
        <v>1</v>
      </c>
      <c r="V229" s="14">
        <f>Voorblad!F24+100</f>
        <v>2101</v>
      </c>
      <c r="W229" s="9">
        <f>Voorblad!$K$77</f>
        <v>2101</v>
      </c>
      <c r="X229" s="6"/>
      <c r="Y229" s="9">
        <f t="shared" ref="Y229" si="202">SUM(AE229:EB229)</f>
        <v>-36.701430031755805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-36.701430031755805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263</v>
      </c>
      <c r="O230" s="1" t="s">
        <v>104</v>
      </c>
      <c r="P230" s="1" t="s">
        <v>314</v>
      </c>
      <c r="Q230" s="83">
        <f>2*96</f>
        <v>192</v>
      </c>
      <c r="R230" s="1" t="s">
        <v>102</v>
      </c>
      <c r="S230" s="1">
        <v>-50</v>
      </c>
      <c r="T230" s="21">
        <f t="shared" si="201"/>
        <v>-9600</v>
      </c>
      <c r="U230" s="11">
        <v>1</v>
      </c>
      <c r="V230" s="14">
        <f>Voorblad!F24+100</f>
        <v>2101</v>
      </c>
      <c r="W230" s="9">
        <f>Voorblad!$K$77</f>
        <v>2101</v>
      </c>
      <c r="X230" s="6"/>
      <c r="Y230" s="9">
        <f t="shared" ref="Y230" si="203">SUM(AE230:EB230)</f>
        <v>-1582.8109986741044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-1582.8109986741044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264</v>
      </c>
      <c r="O231" s="1" t="s">
        <v>103</v>
      </c>
      <c r="Q231" s="83">
        <f>0.5*Q230</f>
        <v>96</v>
      </c>
      <c r="R231" s="1" t="s">
        <v>102</v>
      </c>
      <c r="S231" s="1">
        <v>-200</v>
      </c>
      <c r="T231" s="21">
        <f t="shared" si="201"/>
        <v>-19200</v>
      </c>
      <c r="U231" s="11">
        <v>1</v>
      </c>
      <c r="V231" s="14">
        <f>Voorblad!F24+100</f>
        <v>2101</v>
      </c>
      <c r="W231" s="9">
        <f>Voorblad!$K$77</f>
        <v>2101</v>
      </c>
      <c r="X231" s="6"/>
      <c r="Y231" s="9">
        <f t="shared" ref="Y231:Y234" si="204">SUM(AE231:EB231)</f>
        <v>-3165.6219973482089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-3165.6219973482089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265</v>
      </c>
      <c r="O232" s="1" t="s">
        <v>138</v>
      </c>
      <c r="P232" s="1" t="s">
        <v>315</v>
      </c>
      <c r="Q232" s="83">
        <f>2.3*725</f>
        <v>1667.4999999999998</v>
      </c>
      <c r="R232" s="1" t="s">
        <v>102</v>
      </c>
      <c r="S232" s="1">
        <v>-50</v>
      </c>
      <c r="T232" s="21">
        <f t="shared" si="201"/>
        <v>-83374.999999999985</v>
      </c>
      <c r="U232" s="11">
        <v>1</v>
      </c>
      <c r="V232" s="14">
        <f>Voorblad!F24+100</f>
        <v>2101</v>
      </c>
      <c r="W232" s="9">
        <f>Voorblad!$K$77</f>
        <v>2101</v>
      </c>
      <c r="X232" s="6"/>
      <c r="Y232" s="9">
        <f t="shared" ref="Y232" si="205">SUM(AE232:EB232)</f>
        <v>-13746.548647338899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-13746.548647338899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266</v>
      </c>
      <c r="O233" s="1" t="s">
        <v>137</v>
      </c>
      <c r="Q233" s="83">
        <v>0</v>
      </c>
      <c r="R233" s="1" t="s">
        <v>102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2101</v>
      </c>
      <c r="W233" s="9">
        <f>Voorblad!$K$77</f>
        <v>2101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267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2101</v>
      </c>
      <c r="W234" s="9">
        <f>Voorblad!$K$77</f>
        <v>2101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P235" s="1" t="s">
        <v>316</v>
      </c>
      <c r="Q235" s="83">
        <f>1.8*96</f>
        <v>172.8</v>
      </c>
      <c r="R235" s="1" t="s">
        <v>102</v>
      </c>
      <c r="S235" s="1">
        <v>-50</v>
      </c>
      <c r="T235" s="14">
        <f t="shared" si="201"/>
        <v>-8640</v>
      </c>
      <c r="U235" s="11">
        <v>1</v>
      </c>
      <c r="V235" s="14">
        <f>Voorblad!F24+100</f>
        <v>2101</v>
      </c>
      <c r="W235" s="9">
        <f>Voorblad!$K$77</f>
        <v>2101</v>
      </c>
      <c r="X235" s="6"/>
      <c r="Y235" s="9">
        <f t="shared" ref="Y235" si="207">SUM(AE235:EB235)</f>
        <v>-1424.5298988066938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-1424.5298988066938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2101</v>
      </c>
      <c r="W236" s="9">
        <f>Voorblad!$K$77</f>
        <v>2101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272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-121037.59999999998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11438-7fb7-4ad2-a01e-4233376b6db1">
      <Terms xmlns="http://schemas.microsoft.com/office/infopath/2007/PartnerControls"/>
    </lcf76f155ced4ddcb4097134ff3c332f>
    <TaxCatchAll xmlns="d76e3cfc-259e-4508-8c9d-f857cf7f6b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5238A3E91B64C8377441354375F58" ma:contentTypeVersion="14" ma:contentTypeDescription="Een nieuw document maken." ma:contentTypeScope="" ma:versionID="235e429281f7f25c2ec836b4dfd26cea">
  <xsd:schema xmlns:xsd="http://www.w3.org/2001/XMLSchema" xmlns:xs="http://www.w3.org/2001/XMLSchema" xmlns:p="http://schemas.microsoft.com/office/2006/metadata/properties" xmlns:ns2="1f711438-7fb7-4ad2-a01e-4233376b6db1" xmlns:ns3="d76e3cfc-259e-4508-8c9d-f857cf7f6b13" targetNamespace="http://schemas.microsoft.com/office/2006/metadata/properties" ma:root="true" ma:fieldsID="21814819bbf100dccbed83767b517a05" ns2:_="" ns3:_="">
    <xsd:import namespace="1f711438-7fb7-4ad2-a01e-4233376b6db1"/>
    <xsd:import namespace="d76e3cfc-259e-4508-8c9d-f857cf7f6b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11438-7fb7-4ad2-a01e-4233376b6d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a76d5018-49ed-472c-b0f6-6ebde2ccc2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e3cfc-259e-4508-8c9d-f857cf7f6b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0b49ef-fc1b-4cd1-828a-78670aa4223b}" ma:internalName="TaxCatchAll" ma:showField="CatchAllData" ma:web="d76e3cfc-259e-4508-8c9d-f857cf7f6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20B6-964A-4F35-88BB-2AC53F85E1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2019-12-10T08:48:37Z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0x0101005745238A3E91B64C8377441354375F58</vt:lpwstr>
  </property>
</Properties>
</file>