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039B0438-EC14-491C-8805-CB585113E450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Q235" i="1" l="1"/>
  <c r="Q233" i="1"/>
  <c r="Q231" i="1"/>
  <c r="Q230" i="1"/>
  <c r="Q221" i="1"/>
  <c r="Q218" i="1"/>
  <c r="Q215" i="1"/>
  <c r="Q214" i="1"/>
  <c r="Q213" i="1"/>
  <c r="Q149" i="1"/>
  <c r="Q146" i="1"/>
  <c r="Q139" i="1"/>
  <c r="Q137" i="1"/>
  <c r="Q136" i="1"/>
  <c r="Q133" i="1"/>
  <c r="Q122" i="1"/>
  <c r="Q117" i="1"/>
  <c r="Q115" i="1"/>
  <c r="Q113" i="1"/>
  <c r="Q110" i="1"/>
  <c r="Q111" i="1" s="1"/>
  <c r="Q46" i="1"/>
  <c r="N66" i="2" l="1"/>
  <c r="N65" i="2"/>
  <c r="N64" i="2"/>
  <c r="O61" i="2"/>
  <c r="N61" i="2"/>
  <c r="M61" i="2"/>
  <c r="L61" i="2"/>
  <c r="O60" i="2"/>
  <c r="N60" i="2"/>
  <c r="M60" i="2"/>
  <c r="L60" i="2"/>
  <c r="J61" i="2"/>
  <c r="H61" i="2"/>
  <c r="AA46" i="1" l="1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O63" i="2" l="1"/>
  <c r="L63" i="2"/>
  <c r="N63" i="2"/>
  <c r="N62" i="2"/>
  <c r="M63" i="2"/>
  <c r="N94" i="2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4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6" i="2" l="1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GK218" i="1"/>
  <c r="CJ218" i="1" s="1"/>
  <c r="GK234" i="1"/>
  <c r="CJ234" i="1" s="1"/>
  <c r="GK231" i="1"/>
  <c r="CJ231" i="1" s="1"/>
  <c r="GK230" i="1"/>
  <c r="CJ230" i="1" s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sharedStrings.xml><?xml version="1.0" encoding="utf-8"?>
<sst xmlns="http://schemas.openxmlformats.org/spreadsheetml/2006/main" count="1024" uniqueCount="317">
  <si>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</si>
  <si>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</si>
  <si>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</si>
  <si>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</si>
  <si>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</si>
  <si>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</si>
  <si>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</si>
  <si>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</si>
  <si>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</si>
  <si>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</si>
  <si>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</si>
  <si>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</si>
  <si>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</si>
  <si>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</si>
  <si>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</si>
  <si>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</si>
  <si>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</si>
  <si>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</si>
  <si>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</si>
  <si>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</si>
  <si>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</si>
  <si>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</si>
  <si>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</si>
  <si>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</si>
  <si>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</si>
  <si>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</si>
  <si>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</si>
  <si>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</si>
  <si>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</si>
  <si>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</si>
  <si>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</si>
  <si>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</si>
  <si>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</si>
  <si>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</si>
  <si>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</si>
  <si>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</si>
  <si>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</si>
  <si>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</si>
  <si>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</si>
  <si>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</si>
  <si>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</si>
  <si>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</si>
  <si>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</si>
  <si>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</si>
  <si>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</si>
  <si>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</si>
  <si>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</si>
  <si>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</si>
  <si>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</si>
  <si>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</si>
  <si>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</si>
  <si>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</si>
  <si>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</si>
  <si>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</si>
  <si>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</si>
  <si>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</si>
  <si>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</si>
  <si>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</si>
  <si>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</si>
  <si>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</si>
  <si>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</si>
  <si>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</si>
  <si>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</si>
  <si>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</si>
  <si>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</si>
  <si>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</si>
  <si>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</si>
  <si>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</si>
  <si>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</si>
  <si>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</si>
  <si>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</si>
  <si>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</si>
  <si>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</si>
  <si>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</si>
  <si>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</si>
  <si>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</si>
  <si>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</si>
  <si>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</si>
  <si>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</si>
  <si>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</si>
  <si>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</si>
  <si>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</si>
  <si>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</si>
  <si>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</si>
  <si>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</si>
  <si>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</si>
  <si>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</si>
  <si>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</si>
  <si>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</si>
  <si>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</si>
  <si>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</si>
  <si>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</si>
  <si>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</si>
  <si>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</si>
  <si>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</si>
  <si>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</si>
  <si>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</si>
  <si>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</si>
  <si>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</si>
  <si>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</si>
  <si>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</si>
  <si>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</si>
  <si>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</si>
  <si>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</si>
  <si>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</si>
  <si>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</si>
  <si>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</si>
  <si>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</si>
  <si>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</si>
  <si>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</si>
  <si>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</si>
  <si>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</si>
  <si>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</si>
  <si>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</si>
  <si>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</si>
  <si>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</si>
  <si>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</si>
  <si>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</si>
  <si>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</si>
  <si>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</si>
  <si>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</si>
  <si>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</si>
  <si>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</si>
  <si>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</si>
  <si>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</si>
  <si>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</si>
  <si>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</si>
  <si>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</si>
  <si>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</si>
  <si>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</si>
  <si>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</si>
  <si>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</si>
  <si>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</si>
  <si>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</si>
  <si>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</si>
  <si>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</si>
  <si>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</si>
  <si>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</si>
  <si>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</si>
  <si>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</si>
  <si>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</si>
  <si>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</si>
  <si>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</si>
  <si>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</si>
  <si>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</si>
  <si>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</si>
  <si>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</si>
  <si>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</si>
  <si>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</si>
  <si>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</si>
  <si>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</si>
  <si>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</si>
  <si>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</si>
  <si>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</si>
  <si>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</si>
  <si>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</si>
  <si>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</si>
  <si>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</si>
  <si>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</si>
  <si>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</si>
  <si>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</si>
  <si>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</si>
  <si>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</si>
  <si>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</si>
  <si>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</si>
  <si>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</si>
  <si>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</si>
  <si>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</si>
  <si>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</si>
  <si>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</si>
  <si>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</si>
  <si>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</si>
  <si>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</si>
  <si>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</si>
  <si>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</si>
  <si>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</si>
  <si>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</si>
  <si>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</si>
  <si>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</si>
  <si>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</si>
  <si>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</si>
  <si>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</si>
  <si>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</si>
  <si>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</si>
  <si>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</si>
  <si>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</si>
  <si>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</si>
  <si>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</si>
  <si>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</si>
  <si>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</si>
  <si>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</si>
  <si>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</si>
  <si>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</si>
  <si>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</si>
  <si>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</si>
  <si>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</si>
  <si>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</si>
  <si>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</si>
  <si>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</si>
  <si>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</si>
  <si>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</si>
  <si>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</si>
  <si>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</si>
  <si>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</si>
  <si>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</si>
  <si>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</si>
  <si>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</si>
  <si>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</si>
  <si>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</si>
  <si>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</si>
  <si>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</si>
  <si>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</si>
  <si>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</si>
  <si>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</si>
  <si>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</si>
  <si>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</si>
  <si>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</si>
  <si>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</si>
  <si>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</si>
  <si>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</si>
  <si>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</si>
  <si>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</si>
  <si>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</si>
  <si>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</si>
  <si>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</si>
  <si>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</si>
  <si>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</si>
  <si>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</si>
  <si>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</si>
  <si>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</si>
  <si>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</si>
  <si>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</si>
  <si>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</si>
  <si>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</si>
  <si>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</si>
  <si>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</si>
  <si>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</si>
  <si>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</si>
  <si>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</si>
  <si>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</si>
  <si>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</si>
  <si>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</si>
  <si>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</si>
  <si>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</si>
  <si>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</si>
  <si>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</si>
  <si>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</si>
  <si>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</si>
  <si>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</si>
  <si>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</si>
  <si>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</si>
  <si>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</si>
  <si>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</si>
  <si>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</si>
  <si>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</si>
  <si>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</si>
  <si>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</si>
  <si>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</si>
  <si>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</si>
  <si>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</si>
  <si>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</si>
  <si>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</si>
  <si>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</si>
  <si>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</si>
  <si>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</si>
  <si>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</si>
  <si>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</si>
  <si>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</si>
  <si>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</si>
  <si>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</si>
  <si>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</si>
  <si>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</si>
  <si>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</si>
  <si>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</si>
  <si>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</si>
  <si>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</si>
  <si>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</si>
  <si>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Σ: van 2 landhfdn (wand) + 3 tussenstnpntn (wand)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</si>
  <si>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</si>
  <si>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</si>
  <si>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</si>
  <si>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</si>
  <si>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</si>
  <si>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</si>
  <si>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</si>
  <si>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</si>
  <si>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</si>
  <si>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</si>
  <si>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</si>
  <si>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</si>
  <si>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</si>
  <si>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</si>
  <si>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</si>
  <si>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</si>
  <si>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</si>
  <si>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</si>
  <si>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</si>
  <si>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</si>
  <si>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</si>
  <si>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</si>
  <si>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</si>
  <si>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1x52</t>
  </si>
  <si>
    <t>alleen spoordek</t>
  </si>
  <si>
    <t>2 nieuwe betonnen landhoofden op palen</t>
  </si>
  <si>
    <t>Totaal kosten cat. 2 (advies IB tlv ProRail AM)</t>
  </si>
  <si>
    <t>Metselwerk</t>
  </si>
  <si>
    <t>vervanging gehele duiker BxL</t>
  </si>
  <si>
    <t>KW20-123-0050</t>
  </si>
  <si>
    <t>Duiker (spoorviaduct) o/d Donge</t>
  </si>
  <si>
    <t>Tilburg</t>
  </si>
  <si>
    <t>Gewapend betonnen plaat</t>
  </si>
  <si>
    <t>Betonnen spoordek (1953) lang 8 m1 + prefab betonnen PV-pad (1994) lang 11 m1 aan zuidzijde</t>
  </si>
  <si>
    <t>ja</t>
  </si>
  <si>
    <t>uitvoeren nader archiefonderzoek kunstwerk</t>
  </si>
  <si>
    <t>uitvoeren nadere inspectie gehele constructie conform B2 CUR 117</t>
  </si>
  <si>
    <t>spoordek+PV-paden: 65 m3</t>
  </si>
  <si>
    <t>leuningen 2x11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</si>
</sst>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2" fontId="6" fillId="5" borderId="0" xfId="0" applyNumberFormat="1" applyFont="1" applyFill="1"/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J23" sqref="J23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243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2" t="s">
        <v>147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4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43798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>
        <v>10592569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307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308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15.26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309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1953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1862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>
        <v>1994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310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305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43031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>
        <v>43013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>
        <v>43013</v>
      </c>
      <c r="G32" s="38"/>
      <c r="H32" s="38"/>
      <c r="I32" s="38"/>
      <c r="J32" s="161" t="s">
        <v>224</v>
      </c>
      <c r="K32" s="162">
        <v>2017</v>
      </c>
      <c r="L32" s="31"/>
      <c r="M32" s="31"/>
      <c r="N32" s="31"/>
      <c r="O32" s="32"/>
      <c r="P32" s="86"/>
    </row>
    <row r="33" spans="2:16" ht="15" thickBot="1" x14ac:dyDescent="0.35">
      <c r="B33" s="100" t="s">
        <v>227</v>
      </c>
      <c r="C33" s="101"/>
      <c r="D33" s="97"/>
      <c r="E33" s="97"/>
      <c r="F33" s="144" t="s">
        <v>311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9" t="s">
        <v>143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1"/>
      <c r="P35" s="231"/>
    </row>
    <row r="36" spans="2:16" x14ac:dyDescent="0.3">
      <c r="B36" s="110" t="s">
        <v>244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245</v>
      </c>
      <c r="C41" s="41"/>
      <c r="D41" s="40"/>
      <c r="E41" s="40"/>
      <c r="F41" s="102">
        <v>2028</v>
      </c>
      <c r="G41" s="41"/>
      <c r="H41" s="131" t="s">
        <v>246</v>
      </c>
      <c r="I41" s="40"/>
      <c r="J41" s="40"/>
      <c r="K41" s="103">
        <f>F24+100-F41</f>
        <v>25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247</v>
      </c>
      <c r="I42" s="40"/>
      <c r="J42" s="40"/>
      <c r="K42" s="46">
        <f>F41+K41</f>
        <v>2053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240</v>
      </c>
      <c r="C48" s="164" t="s">
        <v>241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281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uitvoeren nader archiefonderzoek kunstwerk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500</v>
      </c>
      <c r="M52" s="64">
        <f>'Berekening MJOP+LTP'!Y39</f>
        <v>475.90719809637125</v>
      </c>
      <c r="N52" s="61">
        <f>'Berekening MJOP+LTP'!AA39</f>
        <v>0</v>
      </c>
      <c r="O52" s="255">
        <f>'Berekening MJOP+LTP'!AC39</f>
        <v>54.376567841589804</v>
      </c>
      <c r="P52" s="234"/>
    </row>
    <row r="53" spans="2:16" x14ac:dyDescent="0.3">
      <c r="B53" s="109">
        <f>'Berekening MJOP+LTP'!B40</f>
        <v>2</v>
      </c>
      <c r="C53" s="66">
        <f>'Berekening MJOP+LTP'!D40</f>
        <v>3</v>
      </c>
      <c r="D53" s="145" t="str">
        <f>'Berekening MJOP+LTP'!K40</f>
        <v>uitvoeren nadere inspectie gehele constructie conform B2 CUR 117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5000</v>
      </c>
      <c r="M53" s="64">
        <f>'Berekening MJOP+LTP'!Y40</f>
        <v>4759.0719809637121</v>
      </c>
      <c r="N53" s="61">
        <f>'Berekening MJOP+LTP'!AA40</f>
        <v>0</v>
      </c>
      <c r="O53" s="255">
        <f>'Berekening MJOP+LTP'!AC40</f>
        <v>543.76567841589804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2053</v>
      </c>
      <c r="K59" s="159">
        <v>2053</v>
      </c>
      <c r="L59" s="156">
        <f>'Berekening MJOP+LTP'!T46</f>
        <v>1065899.9999999998</v>
      </c>
      <c r="M59" s="128">
        <f>'Berekening MJOP+LTP'!Y46</f>
        <v>0</v>
      </c>
      <c r="N59" s="129">
        <f>'Berekening MJOP+LTP'!AA46</f>
        <v>104</v>
      </c>
      <c r="O59" s="257">
        <f>'Berekening MJOP+LTP'!AC46</f>
        <v>0</v>
      </c>
      <c r="P59" s="235"/>
    </row>
    <row r="60" spans="2:16" x14ac:dyDescent="0.3">
      <c r="B60" s="207" t="s">
        <v>294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304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295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10500</v>
      </c>
      <c r="M62" s="214">
        <f>SUMIF(B51:B58,2,M51:M58)</f>
        <v>9877.9762336588283</v>
      </c>
      <c r="N62" s="247">
        <f>SUMIF(B51:B58,2,N51:N58)</f>
        <v>0</v>
      </c>
      <c r="O62" s="259">
        <f>SUMIF(B51:B58,2,O51:O58)</f>
        <v>1128.645347151047</v>
      </c>
      <c r="P62" s="236"/>
    </row>
    <row r="63" spans="2:16" x14ac:dyDescent="0.3">
      <c r="B63" s="211" t="s">
        <v>296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0</v>
      </c>
      <c r="M63" s="214">
        <f>SUMIF(B51:B58,1,M51:M58)</f>
        <v>0</v>
      </c>
      <c r="N63" s="247">
        <f>SUMIF(B51:B58,1,N51:N58)</f>
        <v>0</v>
      </c>
      <c r="O63" s="259">
        <f>SUMIF(B51:B58,1,O51:O58)</f>
        <v>0</v>
      </c>
      <c r="P63" s="236"/>
    </row>
    <row r="64" spans="2:16" x14ac:dyDescent="0.3">
      <c r="B64" s="211" t="s">
        <v>273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10500</v>
      </c>
      <c r="M64" s="214">
        <f>SUM(M51:M58)</f>
        <v>9877.9762336588283</v>
      </c>
      <c r="N64" s="247">
        <f>SUM(N51:N58)</f>
        <v>0</v>
      </c>
      <c r="O64" s="259">
        <f>SUM(O51:O58)</f>
        <v>1128.645347151047</v>
      </c>
      <c r="P64" s="236"/>
    </row>
    <row r="65" spans="2:16" x14ac:dyDescent="0.3">
      <c r="B65" s="211" t="s">
        <v>297</v>
      </c>
      <c r="C65" s="194"/>
      <c r="D65" s="212"/>
      <c r="E65" s="212"/>
      <c r="F65" s="194"/>
      <c r="G65" s="205" t="s">
        <v>257</v>
      </c>
      <c r="H65" s="196"/>
      <c r="I65" s="213"/>
      <c r="J65" s="197"/>
      <c r="K65" s="224">
        <f>K59</f>
        <v>2053</v>
      </c>
      <c r="L65" s="214">
        <f>L59</f>
        <v>1065899.9999999998</v>
      </c>
      <c r="M65" s="214">
        <f>M59</f>
        <v>0</v>
      </c>
      <c r="N65" s="248">
        <f>N59</f>
        <v>104</v>
      </c>
      <c r="O65" s="259">
        <f>O59</f>
        <v>0</v>
      </c>
      <c r="P65" s="237"/>
    </row>
    <row r="66" spans="2:16" ht="15" thickBot="1" x14ac:dyDescent="0.35">
      <c r="B66" s="215" t="s">
        <v>274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1087899.9999999998</v>
      </c>
      <c r="M66" s="218">
        <f>SUM(M49:M59)</f>
        <v>20187.539284918963</v>
      </c>
      <c r="N66" s="249">
        <f>SUM(N49:N59)</f>
        <v>104</v>
      </c>
      <c r="O66" s="260">
        <f>SUM(O49:O59)</f>
        <v>2306.6032702847779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242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240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281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2053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20545.54742851431</v>
      </c>
      <c r="N75" s="61">
        <f>'Berekening MJOP+LTP'!AA125</f>
        <v>0</v>
      </c>
      <c r="O75" s="261">
        <f>'Berekening MJOP+LTP'!AC125</f>
        <v>1115.1285100726318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0</v>
      </c>
      <c r="N76" s="61">
        <f>'Berekening MJOP+LTP'!AA147</f>
        <v>0</v>
      </c>
      <c r="O76" s="261">
        <f>'Berekening MJOP+LTP'!AC147</f>
        <v>0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2053</v>
      </c>
      <c r="K77" s="90">
        <v>2053</v>
      </c>
      <c r="L77" s="64">
        <f>'Berekening MJOP+LTP'!T154</f>
        <v>864005.99999999988</v>
      </c>
      <c r="M77" s="64">
        <f>'Berekening MJOP+LTP'!Y154</f>
        <v>466036.70562771446</v>
      </c>
      <c r="N77" s="61">
        <f>'Berekening MJOP+LTP'!AA149</f>
        <v>52</v>
      </c>
      <c r="O77" s="261">
        <f>'Berekening MJOP+LTP'!AC154</f>
        <v>25294.571439091163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2053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1962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4509.0161516331245</v>
      </c>
      <c r="N87" s="61">
        <f>'Berekening MJOP+LTP'!AA216</f>
        <v>0</v>
      </c>
      <c r="O87" s="261">
        <f>'Berekening MJOP+LTP'!AC216</f>
        <v>244.73100464024353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1962</v>
      </c>
      <c r="K89" s="90">
        <v>2053</v>
      </c>
      <c r="L89" s="64">
        <f>'Berekening MJOP+LTP'!T225</f>
        <v>201893.99999999997</v>
      </c>
      <c r="M89" s="64">
        <f>'Berekening MJOP+LTP'!Y225</f>
        <v>108899.7236662729</v>
      </c>
      <c r="N89" s="61">
        <f>'Berekening MJOP+LTP'!AA221</f>
        <v>52</v>
      </c>
      <c r="O89" s="261">
        <f>'Berekening MJOP+LTP'!AC225</f>
        <v>5910.6328036192708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-22804</v>
      </c>
      <c r="M91" s="64"/>
      <c r="N91" s="251"/>
      <c r="O91" s="262"/>
      <c r="P91" s="241"/>
      <c r="Q91" s="27"/>
    </row>
    <row r="92" spans="2:17" x14ac:dyDescent="0.3">
      <c r="B92" s="207" t="s">
        <v>298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2053</v>
      </c>
      <c r="K92" s="219"/>
      <c r="L92" s="220"/>
      <c r="M92" s="220">
        <f t="shared" ref="M92:O94" si="1">M71+M75+M79+M83+M87</f>
        <v>25054.563580147435</v>
      </c>
      <c r="N92" s="267">
        <f t="shared" si="1"/>
        <v>0</v>
      </c>
      <c r="O92" s="263">
        <f t="shared" si="1"/>
        <v>1359.8595147128754</v>
      </c>
      <c r="P92" s="242"/>
    </row>
    <row r="93" spans="2:17" x14ac:dyDescent="0.3">
      <c r="B93" s="211" t="s">
        <v>299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2053</v>
      </c>
      <c r="K93" s="221"/>
      <c r="L93" s="222"/>
      <c r="M93" s="222">
        <f t="shared" si="1"/>
        <v>0</v>
      </c>
      <c r="N93" s="252">
        <f t="shared" si="1"/>
        <v>0</v>
      </c>
      <c r="O93" s="264">
        <f t="shared" si="1"/>
        <v>0</v>
      </c>
      <c r="P93" s="243"/>
    </row>
    <row r="94" spans="2:17" x14ac:dyDescent="0.3">
      <c r="B94" s="211" t="s">
        <v>297</v>
      </c>
      <c r="C94" s="212"/>
      <c r="D94" s="212"/>
      <c r="E94" s="212"/>
      <c r="F94" s="194"/>
      <c r="G94" s="205" t="s">
        <v>257</v>
      </c>
      <c r="H94" s="196"/>
      <c r="I94" s="213"/>
      <c r="J94" s="197"/>
      <c r="K94" s="225">
        <f>K59</f>
        <v>2053</v>
      </c>
      <c r="L94" s="222">
        <f>L73+L77+L81+L85+L89</f>
        <v>1065899.9999999998</v>
      </c>
      <c r="M94" s="222">
        <f t="shared" si="1"/>
        <v>574936.42929398734</v>
      </c>
      <c r="N94" s="252">
        <f t="shared" si="1"/>
        <v>104</v>
      </c>
      <c r="O94" s="264">
        <f t="shared" si="1"/>
        <v>31205.204242710435</v>
      </c>
      <c r="P94" s="243"/>
    </row>
    <row r="95" spans="2:17" ht="15" thickBot="1" x14ac:dyDescent="0.35">
      <c r="B95" s="215" t="s">
        <v>300</v>
      </c>
      <c r="C95" s="216"/>
      <c r="D95" s="216"/>
      <c r="E95" s="216"/>
      <c r="F95" s="199"/>
      <c r="G95" s="206" t="s">
        <v>257</v>
      </c>
      <c r="H95" s="201"/>
      <c r="I95" s="217"/>
      <c r="J95" s="202"/>
      <c r="K95" s="226">
        <f>K59</f>
        <v>2053</v>
      </c>
      <c r="L95" s="223">
        <f>L91</f>
        <v>-22804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258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259</v>
      </c>
      <c r="F99" s="177" t="s">
        <v>260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0.77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130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65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0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0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63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N1" zoomScale="90" zoomScaleNormal="90" zoomScaleSheetLayoutView="90" workbookViewId="0">
      <pane ySplit="2" topLeftCell="A213" activePane="bottomLeft" state="frozen"/>
      <selection pane="bottomLeft" activeCell="Q230" sqref="Q230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235</v>
      </c>
      <c r="C1" s="3" t="s">
        <v>236</v>
      </c>
      <c r="D1" s="3" t="s">
        <v>238</v>
      </c>
      <c r="E1" s="3" t="s">
        <v>233</v>
      </c>
      <c r="F1" s="3" t="s">
        <v>0</v>
      </c>
      <c r="G1" s="3"/>
      <c r="H1" s="3"/>
      <c r="I1" s="3" t="s">
        <v>230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279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234</v>
      </c>
      <c r="C2" s="3" t="s">
        <v>239</v>
      </c>
      <c r="D2" s="3" t="s">
        <v>237</v>
      </c>
      <c r="E2" s="3" t="s">
        <v>232</v>
      </c>
      <c r="F2" s="3"/>
      <c r="G2" s="3"/>
      <c r="H2" s="3"/>
      <c r="I2" s="3" t="s">
        <v>231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280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287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253</v>
      </c>
      <c r="K9" s="1" t="s">
        <v>25</v>
      </c>
    </row>
    <row r="10" spans="2:236" ht="13.8" x14ac:dyDescent="0.3">
      <c r="B10" s="170"/>
      <c r="D10" s="168" t="s">
        <v>256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286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254</v>
      </c>
    </row>
    <row r="15" spans="2:236" ht="13.8" x14ac:dyDescent="0.3">
      <c r="B15" s="170"/>
      <c r="D15" s="168" t="s">
        <v>255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288</v>
      </c>
      <c r="K17" s="1" t="s">
        <v>249</v>
      </c>
    </row>
    <row r="18" spans="2:236" ht="13.8" x14ac:dyDescent="0.3">
      <c r="B18" s="170"/>
      <c r="D18" s="1" t="s">
        <v>40</v>
      </c>
      <c r="K18" s="1" t="s">
        <v>250</v>
      </c>
    </row>
    <row r="19" spans="2:236" ht="13.8" x14ac:dyDescent="0.3">
      <c r="B19" s="170"/>
      <c r="D19" s="1" t="s">
        <v>254</v>
      </c>
      <c r="K19" s="1" t="s">
        <v>251</v>
      </c>
    </row>
    <row r="20" spans="2:236" ht="13.8" x14ac:dyDescent="0.3">
      <c r="B20" s="170"/>
      <c r="D20" s="168" t="s">
        <v>255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5" t="s">
        <v>252</v>
      </c>
      <c r="C24" s="276"/>
      <c r="D24" s="276"/>
      <c r="E24" s="276"/>
      <c r="F24" s="276"/>
      <c r="G24" s="276"/>
      <c r="H24" s="276"/>
      <c r="I24" s="277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235</v>
      </c>
      <c r="C28" s="3" t="s">
        <v>236</v>
      </c>
      <c r="D28" s="3" t="s">
        <v>238</v>
      </c>
      <c r="E28" s="3" t="s">
        <v>233</v>
      </c>
      <c r="F28" s="3" t="s">
        <v>0</v>
      </c>
      <c r="G28" s="3"/>
      <c r="H28" s="3"/>
      <c r="I28" s="3" t="s">
        <v>230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279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234</v>
      </c>
      <c r="C29" s="3" t="s">
        <v>239</v>
      </c>
      <c r="D29" s="3" t="s">
        <v>237</v>
      </c>
      <c r="E29" s="3" t="s">
        <v>232</v>
      </c>
      <c r="F29" s="3"/>
      <c r="G29" s="3"/>
      <c r="H29" s="3"/>
      <c r="I29" s="3" t="s">
        <v>231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280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282</v>
      </c>
      <c r="K31" s="1" t="s">
        <v>283</v>
      </c>
      <c r="O31" s="1" t="s">
        <v>292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276</v>
      </c>
      <c r="K32" s="1" t="s">
        <v>148</v>
      </c>
      <c r="O32" s="1" t="s">
        <v>292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291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285</v>
      </c>
      <c r="I35" s="1" t="s">
        <v>284</v>
      </c>
      <c r="K35" s="1" t="s">
        <v>290</v>
      </c>
      <c r="O35" s="1" t="s">
        <v>293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289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312</v>
      </c>
      <c r="D38" s="78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2</v>
      </c>
      <c r="C39" s="76" t="s">
        <v>312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47</v>
      </c>
      <c r="J39" s="76"/>
      <c r="K39" s="76" t="s">
        <v>313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500</v>
      </c>
      <c r="T39" s="9">
        <f t="shared" si="4"/>
        <v>500</v>
      </c>
      <c r="U39" s="11">
        <v>1</v>
      </c>
      <c r="V39" s="14"/>
      <c r="W39" s="9">
        <f>Voorblad!K52</f>
        <v>2020</v>
      </c>
      <c r="Y39" s="9">
        <f t="shared" ref="Y39:Y45" si="5">SUM(AE39:EB39)</f>
        <v>475.90719809637125</v>
      </c>
      <c r="Z39" s="82"/>
      <c r="AA39" s="82"/>
      <c r="AC39" s="9">
        <f>$Y39*(Voorblad!$K$44*(1+Voorblad!$K$44)^Voorblad!$K$37)/((1+Voorblad!$K$44)^Voorblad!$K$37-1)</f>
        <v>54.376567841589804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475.90719809637125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2</v>
      </c>
      <c r="C40" s="76" t="s">
        <v>312</v>
      </c>
      <c r="D40" s="78">
        <v>3</v>
      </c>
      <c r="E40" s="76" t="s">
        <v>22</v>
      </c>
      <c r="F40" s="76" t="s">
        <v>21</v>
      </c>
      <c r="G40" s="76"/>
      <c r="H40" s="76"/>
      <c r="I40" s="76" t="s">
        <v>275</v>
      </c>
      <c r="J40" s="76"/>
      <c r="K40" s="79" t="s">
        <v>314</v>
      </c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5000</v>
      </c>
      <c r="T40" s="9">
        <f t="shared" si="4"/>
        <v>5000</v>
      </c>
      <c r="U40" s="11">
        <v>1</v>
      </c>
      <c r="V40" s="14"/>
      <c r="W40" s="9">
        <f>Voorblad!K53</f>
        <v>2020</v>
      </c>
      <c r="Y40" s="9">
        <f t="shared" si="5"/>
        <v>4759.0719809637121</v>
      </c>
      <c r="Z40" s="82"/>
      <c r="AA40" s="82"/>
      <c r="AC40" s="9">
        <f>$Y40*(Voorblad!$K$44*(1+Voorblad!$K$44)^Voorblad!$K$37)/((1+Voorblad!$K$44)^Voorblad!$K$37-1)</f>
        <v>543.76567841589804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4759.0719809637121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228</v>
      </c>
      <c r="P46" s="14" t="s">
        <v>306</v>
      </c>
      <c r="Q46" s="268">
        <f>11*(1.7+8+1.7)</f>
        <v>125.39999999999998</v>
      </c>
      <c r="R46" s="81" t="s">
        <v>35</v>
      </c>
      <c r="S46" s="81">
        <v>8500</v>
      </c>
      <c r="T46" s="9">
        <f t="shared" si="4"/>
        <v>1065899.9999999998</v>
      </c>
      <c r="U46" s="11">
        <v>1</v>
      </c>
      <c r="V46" s="1">
        <f>Voorblad!F24+100</f>
        <v>2053</v>
      </c>
      <c r="W46" s="9">
        <f>Voorblad!K59</f>
        <v>2053</v>
      </c>
      <c r="X46" s="6"/>
      <c r="Y46" s="9">
        <f>SUM(AE46:EB46)</f>
        <v>0</v>
      </c>
      <c r="Z46" s="82" t="s">
        <v>278</v>
      </c>
      <c r="AA46" s="82">
        <f>2*52</f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267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248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8" t="s">
        <v>72</v>
      </c>
      <c r="C52" s="279"/>
      <c r="D52" s="280"/>
      <c r="E52" s="280"/>
      <c r="F52" s="280"/>
      <c r="G52" s="280"/>
      <c r="H52" s="280"/>
      <c r="I52" s="280"/>
      <c r="J52" s="280"/>
      <c r="K52" s="28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235</v>
      </c>
      <c r="C54" s="3"/>
      <c r="D54" s="3"/>
      <c r="E54" s="3"/>
      <c r="F54" s="3" t="s">
        <v>0</v>
      </c>
      <c r="G54" s="3"/>
      <c r="H54" s="3"/>
      <c r="I54" s="3" t="s">
        <v>230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279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234</v>
      </c>
      <c r="I55" s="3" t="s">
        <v>231</v>
      </c>
      <c r="O55" s="14"/>
      <c r="P55" s="14"/>
      <c r="V55" s="3" t="s">
        <v>70</v>
      </c>
      <c r="AC55" s="20" t="s">
        <v>280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275</v>
      </c>
      <c r="K58" s="1" t="s">
        <v>283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0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0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0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276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0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0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276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0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0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276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0</v>
      </c>
      <c r="FG61" s="8">
        <f>IF(FG$56-Voorblad!$F$41&gt;Voorblad!$K$41,0,IF($U61=0,0,IF($U61&lt;1,1/$U61,IF((FG$56-Voorblad!$F$41)/$U61-SUM($EE61:FF61)=1,1,0))))</f>
        <v>0</v>
      </c>
      <c r="FH61" s="8">
        <f>IF(FH$56-Voorblad!$F$41&gt;Voorblad!$K$41,0,IF($U61=0,0,IF($U61&lt;1,1/$U61,IF((FH$56-Voorblad!$F$41)/$U61-SUM($EE61:FG61)=1,1,0))))</f>
        <v>0</v>
      </c>
      <c r="FI61" s="8">
        <f>IF(FI$56-Voorblad!$F$41&gt;Voorblad!$K$41,0,IF($U61=0,0,IF($U61&lt;1,1/$U61,IF((FI$56-Voorblad!$F$41)/$U61-SUM($EE61:FH61)=1,1,0))))</f>
        <v>0</v>
      </c>
      <c r="FJ61" s="8">
        <f>IF(FJ$56-Voorblad!$F$41&gt;Voorblad!$K$41,0,IF($U61=0,0,IF($U61&lt;1,1/$U61,IF((FJ$56-Voorblad!$F$41)/$U61-SUM($EE61:FI61)=1,1,0))))</f>
        <v>0</v>
      </c>
      <c r="FK61" s="8">
        <f>IF(FK$56-Voorblad!$F$41&gt;Voorblad!$K$41,0,IF($U61=0,0,IF($U61&lt;1,1/$U61,IF((FK$56-Voorblad!$F$41)/$U61-SUM($EE61:FJ61)=1,1,0))))</f>
        <v>0</v>
      </c>
      <c r="FL61" s="8">
        <f>IF(FL$56-Voorblad!$F$41&gt;Voorblad!$K$41,0,IF($U61=0,0,IF($U61&lt;1,1/$U61,IF((FL$56-Voorblad!$F$41)/$U61-SUM($EE61:FK61)=1,1,0))))</f>
        <v>0</v>
      </c>
      <c r="FM61" s="8">
        <f>IF(FM$56-Voorblad!$F$41&gt;Voorblad!$K$41,0,IF($U61=0,0,IF($U61&lt;1,1/$U61,IF((FM$56-Voorblad!$F$41)/$U61-SUM($EE61:FL61)=1,1,0))))</f>
        <v>0</v>
      </c>
      <c r="FN61" s="8">
        <f>IF(FN$56-Voorblad!$F$41&gt;Voorblad!$K$41,0,IF($U61=0,0,IF($U61&lt;1,1/$U61,IF((FN$56-Voorblad!$F$41)/$U61-SUM($EE61:FM61)=1,1,0))))</f>
        <v>0</v>
      </c>
      <c r="FO61" s="8">
        <f>IF(FO$56-Voorblad!$F$41&gt;Voorblad!$K$41,0,IF($U61=0,0,IF($U61&lt;1,1/$U61,IF((FO$56-Voorblad!$F$41)/$U61-SUM($EE61:FN61)=1,1,0))))</f>
        <v>0</v>
      </c>
      <c r="FP61" s="8">
        <f>IF(FP$56-Voorblad!$F$41&gt;Voorblad!$K$41,0,IF($U61=0,0,IF($U61&lt;1,1/$U61,IF((FP$56-Voorblad!$F$41)/$U61-SUM($EE61:FO61)=1,1,0))))</f>
        <v>0</v>
      </c>
      <c r="FQ61" s="8">
        <f>IF(FQ$56-Voorblad!$F$41&gt;Voorblad!$K$41,0,IF($U61=0,0,IF($U61&lt;1,1/$U61,IF((FQ$56-Voorblad!$F$41)/$U61-SUM($EE61:FP61)=1,1,0))))</f>
        <v>0</v>
      </c>
      <c r="FR61" s="8">
        <f>IF(FR$56-Voorblad!$F$41&gt;Voorblad!$K$41,0,IF($U61=0,0,IF($U61&lt;1,1/$U61,IF((FR$56-Voorblad!$F$41)/$U61-SUM($EE61:FQ61)=1,1,0))))</f>
        <v>0</v>
      </c>
      <c r="FS61" s="8">
        <f>IF(FS$56-Voorblad!$F$41&gt;Voorblad!$K$41,0,IF($U61=0,0,IF($U61&lt;1,1/$U61,IF((FS$56-Voorblad!$F$41)/$U61-SUM($EE61:FR61)=1,1,0))))</f>
        <v>0</v>
      </c>
      <c r="FT61" s="8">
        <f>IF(FT$56-Voorblad!$F$41&gt;Voorblad!$K$41,0,IF($U61=0,0,IF($U61&lt;1,1/$U61,IF((FT$56-Voorblad!$F$41)/$U61-SUM($EE61:FS61)=1,1,0))))</f>
        <v>0</v>
      </c>
      <c r="FU61" s="8">
        <f>IF(FU$56-Voorblad!$F$41&gt;Voorblad!$K$41,0,IF($U61=0,0,IF($U61&lt;1,1/$U61,IF((FU$56-Voorblad!$F$41)/$U61-SUM($EE61:FT61)=1,1,0))))</f>
        <v>0</v>
      </c>
      <c r="FV61" s="8">
        <f>IF(FV$56-Voorblad!$F$41&gt;Voorblad!$K$41,0,IF($U61=0,0,IF($U61&lt;1,1/$U61,IF((FV$56-Voorblad!$F$41)/$U61-SUM($EE61:FU61)=1,1,0))))</f>
        <v>0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276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0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0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276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0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276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0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276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0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276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0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276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0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276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0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276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0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276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0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276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0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276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0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276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0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268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0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0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0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0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0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0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0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0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0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0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0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269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2053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0</v>
      </c>
      <c r="FG97" s="8">
        <f>IF(FG$56-Voorblad!$F$41&gt;Voorblad!$K$41,0,IF($U97=0,0,IF($U97&lt;1,1/$U97,IF((FG$56-Voorblad!$F$41)/$U97-SUM($EE97:FF97)=1,1,0))))</f>
        <v>0</v>
      </c>
      <c r="FH97" s="8">
        <f>IF(FH$56-Voorblad!$F$41&gt;Voorblad!$K$41,0,IF($U97=0,0,IF($U97&lt;1,1/$U97,IF((FH$56-Voorblad!$F$41)/$U97-SUM($EE97:FG97)=1,1,0))))</f>
        <v>0</v>
      </c>
      <c r="FI97" s="8">
        <f>IF(FI$56-Voorblad!$F$41&gt;Voorblad!$K$41,0,IF($U97=0,0,IF($U97&lt;1,1/$U97,IF((FI$56-Voorblad!$F$41)/$U97-SUM($EE97:FH97)=1,1,0))))</f>
        <v>0</v>
      </c>
      <c r="FJ97" s="8">
        <f>IF(FJ$56-Voorblad!$F$41&gt;Voorblad!$K$41,0,IF($U97=0,0,IF($U97&lt;1,1/$U97,IF((FJ$56-Voorblad!$F$41)/$U97-SUM($EE97:FI97)=1,1,0))))</f>
        <v>0</v>
      </c>
      <c r="FK97" s="8">
        <f>IF(FK$56-Voorblad!$F$41&gt;Voorblad!$K$41,0,IF($U97=0,0,IF($U97&lt;1,1/$U97,IF((FK$56-Voorblad!$F$41)/$U97-SUM($EE97:FJ97)=1,1,0))))</f>
        <v>0</v>
      </c>
      <c r="FL97" s="8">
        <f>IF(FL$56-Voorblad!$F$41&gt;Voorblad!$K$41,0,IF($U97=0,0,IF($U97&lt;1,1/$U97,IF((FL$56-Voorblad!$F$41)/$U97-SUM($EE97:FK97)=1,1,0))))</f>
        <v>0</v>
      </c>
      <c r="FM97" s="8">
        <f>IF(FM$56-Voorblad!$F$41&gt;Voorblad!$K$41,0,IF($U97=0,0,IF($U97&lt;1,1/$U97,IF((FM$56-Voorblad!$F$41)/$U97-SUM($EE97:FL97)=1,1,0))))</f>
        <v>0</v>
      </c>
      <c r="FN97" s="8">
        <f>IF(FN$56-Voorblad!$F$41&gt;Voorblad!$K$41,0,IF($U97=0,0,IF($U97&lt;1,1/$U97,IF((FN$56-Voorblad!$F$41)/$U97-SUM($EE97:FM97)=1,1,0))))</f>
        <v>0</v>
      </c>
      <c r="FO97" s="8">
        <f>IF(FO$56-Voorblad!$F$41&gt;Voorblad!$K$41,0,IF($U97=0,0,IF($U97&lt;1,1/$U97,IF((FO$56-Voorblad!$F$41)/$U97-SUM($EE97:FN97)=1,1,0))))</f>
        <v>0</v>
      </c>
      <c r="FP97" s="8">
        <f>IF(FP$56-Voorblad!$F$41&gt;Voorblad!$K$41,0,IF($U97=0,0,IF($U97&lt;1,1/$U97,IF((FP$56-Voorblad!$F$41)/$U97-SUM($EE97:FO97)=1,1,0))))</f>
        <v>0</v>
      </c>
      <c r="FQ97" s="8">
        <f>IF(FQ$56-Voorblad!$F$41&gt;Voorblad!$K$41,0,IF($U97=0,0,IF($U97&lt;1,1/$U97,IF((FQ$56-Voorblad!$F$41)/$U97-SUM($EE97:FP97)=1,1,0))))</f>
        <v>0</v>
      </c>
      <c r="FR97" s="8">
        <f>IF(FR$56-Voorblad!$F$41&gt;Voorblad!$K$41,0,IF($U97=0,0,IF($U97&lt;1,1/$U97,IF((FR$56-Voorblad!$F$41)/$U97-SUM($EE97:FQ97)=1,1,0))))</f>
        <v>0</v>
      </c>
      <c r="FS97" s="8">
        <f>IF(FS$56-Voorblad!$F$41&gt;Voorblad!$K$41,0,IF($U97=0,0,IF($U97&lt;1,1/$U97,IF((FS$56-Voorblad!$F$41)/$U97-SUM($EE97:FR97)=1,1,0))))</f>
        <v>0</v>
      </c>
      <c r="FT97" s="8">
        <f>IF(FT$56-Voorblad!$F$41&gt;Voorblad!$K$41,0,IF($U97=0,0,IF($U97&lt;1,1/$U97,IF((FT$56-Voorblad!$F$41)/$U97-SUM($EE97:FS97)=1,1,0))))</f>
        <v>0</v>
      </c>
      <c r="FU97" s="8">
        <f>IF(FU$56-Voorblad!$F$41&gt;Voorblad!$K$41,0,IF($U97=0,0,IF($U97&lt;1,1/$U97,IF((FU$56-Voorblad!$F$41)/$U97-SUM($EE97:FT97)=1,1,0))))</f>
        <v>0</v>
      </c>
      <c r="FV97" s="8">
        <f>IF(FV$56-Voorblad!$F$41&gt;Voorblad!$K$41,0,IF($U97=0,0,IF($U97&lt;1,1/$U97,IF((FV$56-Voorblad!$F$41)/$U97-SUM($EE97:FU97)=1,1,0))))</f>
        <v>0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0</v>
      </c>
      <c r="FG98" s="8">
        <f>IF(FG$56-Voorblad!$F$41&gt;Voorblad!$K$41,0,IF($U98=0,0,IF($U98&lt;1,1/$U98,IF((FG$56-Voorblad!$F$41)/$U98-SUM($EE98:FF98)=1,1,0))))</f>
        <v>0</v>
      </c>
      <c r="FH98" s="8">
        <f>IF(FH$56-Voorblad!$F$41&gt;Voorblad!$K$41,0,IF($U98=0,0,IF($U98&lt;1,1/$U98,IF((FH$56-Voorblad!$F$41)/$U98-SUM($EE98:FG98)=1,1,0))))</f>
        <v>0</v>
      </c>
      <c r="FI98" s="8">
        <f>IF(FI$56-Voorblad!$F$41&gt;Voorblad!$K$41,0,IF($U98=0,0,IF($U98&lt;1,1/$U98,IF((FI$56-Voorblad!$F$41)/$U98-SUM($EE98:FH98)=1,1,0))))</f>
        <v>0</v>
      </c>
      <c r="FJ98" s="8">
        <f>IF(FJ$56-Voorblad!$F$41&gt;Voorblad!$K$41,0,IF($U98=0,0,IF($U98&lt;1,1/$U98,IF((FJ$56-Voorblad!$F$41)/$U98-SUM($EE98:FI98)=1,1,0))))</f>
        <v>0</v>
      </c>
      <c r="FK98" s="8">
        <f>IF(FK$56-Voorblad!$F$41&gt;Voorblad!$K$41,0,IF($U98=0,0,IF($U98&lt;1,1/$U98,IF((FK$56-Voorblad!$F$41)/$U98-SUM($EE98:FJ98)=1,1,0))))</f>
        <v>0</v>
      </c>
      <c r="FL98" s="8">
        <f>IF(FL$56-Voorblad!$F$41&gt;Voorblad!$K$41,0,IF($U98=0,0,IF($U98&lt;1,1/$U98,IF((FL$56-Voorblad!$F$41)/$U98-SUM($EE98:FK98)=1,1,0))))</f>
        <v>0</v>
      </c>
      <c r="FM98" s="8">
        <f>IF(FM$56-Voorblad!$F$41&gt;Voorblad!$K$41,0,IF($U98=0,0,IF($U98&lt;1,1/$U98,IF((FM$56-Voorblad!$F$41)/$U98-SUM($EE98:FL98)=1,1,0))))</f>
        <v>0</v>
      </c>
      <c r="FN98" s="8">
        <f>IF(FN$56-Voorblad!$F$41&gt;Voorblad!$K$41,0,IF($U98=0,0,IF($U98&lt;1,1/$U98,IF((FN$56-Voorblad!$F$41)/$U98-SUM($EE98:FM98)=1,1,0))))</f>
        <v>0</v>
      </c>
      <c r="FO98" s="8">
        <f>IF(FO$56-Voorblad!$F$41&gt;Voorblad!$K$41,0,IF($U98=0,0,IF($U98&lt;1,1/$U98,IF((FO$56-Voorblad!$F$41)/$U98-SUM($EE98:FN98)=1,1,0))))</f>
        <v>0</v>
      </c>
      <c r="FP98" s="8">
        <f>IF(FP$56-Voorblad!$F$41&gt;Voorblad!$K$41,0,IF($U98=0,0,IF($U98&lt;1,1/$U98,IF((FP$56-Voorblad!$F$41)/$U98-SUM($EE98:FO98)=1,1,0))))</f>
        <v>0</v>
      </c>
      <c r="FQ98" s="8">
        <f>IF(FQ$56-Voorblad!$F$41&gt;Voorblad!$K$41,0,IF($U98=0,0,IF($U98&lt;1,1/$U98,IF((FQ$56-Voorblad!$F$41)/$U98-SUM($EE98:FP98)=1,1,0))))</f>
        <v>0</v>
      </c>
      <c r="FR98" s="8">
        <f>IF(FR$56-Voorblad!$F$41&gt;Voorblad!$K$41,0,IF($U98=0,0,IF($U98&lt;1,1/$U98,IF((FR$56-Voorblad!$F$41)/$U98-SUM($EE98:FQ98)=1,1,0))))</f>
        <v>0</v>
      </c>
      <c r="FS98" s="8">
        <f>IF(FS$56-Voorblad!$F$41&gt;Voorblad!$K$41,0,IF($U98=0,0,IF($U98&lt;1,1/$U98,IF((FS$56-Voorblad!$F$41)/$U98-SUM($EE98:FR98)=1,1,0))))</f>
        <v>0</v>
      </c>
      <c r="FT98" s="8">
        <f>IF(FT$56-Voorblad!$F$41&gt;Voorblad!$K$41,0,IF($U98=0,0,IF($U98&lt;1,1/$U98,IF((FT$56-Voorblad!$F$41)/$U98-SUM($EE98:FS98)=1,1,0))))</f>
        <v>0</v>
      </c>
      <c r="FU98" s="8">
        <f>IF(FU$56-Voorblad!$F$41&gt;Voorblad!$K$41,0,IF($U98=0,0,IF($U98&lt;1,1/$U98,IF((FU$56-Voorblad!$F$41)/$U98-SUM($EE98:FT98)=1,1,0))))</f>
        <v>0</v>
      </c>
      <c r="FV98" s="8">
        <f>IF(FV$56-Voorblad!$F$41&gt;Voorblad!$K$41,0,IF($U98=0,0,IF($U98&lt;1,1/$U98,IF((FV$56-Voorblad!$F$41)/$U98-SUM($EE98:FU98)=1,1,0))))</f>
        <v>0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0</v>
      </c>
      <c r="FG99" s="8">
        <f>IF(FG$56-Voorblad!$F$41&gt;Voorblad!$K$41,0,IF($U99=0,0,IF($U99&lt;1,1/$U99,IF((FG$56-Voorblad!$F$41)/$U99-SUM($EE99:FF99)=1,1,0))))</f>
        <v>0</v>
      </c>
      <c r="FH99" s="8">
        <f>IF(FH$56-Voorblad!$F$41&gt;Voorblad!$K$41,0,IF($U99=0,0,IF($U99&lt;1,1/$U99,IF((FH$56-Voorblad!$F$41)/$U99-SUM($EE99:FG99)=1,1,0))))</f>
        <v>0</v>
      </c>
      <c r="FI99" s="8">
        <f>IF(FI$56-Voorblad!$F$41&gt;Voorblad!$K$41,0,IF($U99=0,0,IF($U99&lt;1,1/$U99,IF((FI$56-Voorblad!$F$41)/$U99-SUM($EE99:FH99)=1,1,0))))</f>
        <v>0</v>
      </c>
      <c r="FJ99" s="8">
        <f>IF(FJ$56-Voorblad!$F$41&gt;Voorblad!$K$41,0,IF($U99=0,0,IF($U99&lt;1,1/$U99,IF((FJ$56-Voorblad!$F$41)/$U99-SUM($EE99:FI99)=1,1,0))))</f>
        <v>0</v>
      </c>
      <c r="FK99" s="8">
        <f>IF(FK$56-Voorblad!$F$41&gt;Voorblad!$K$41,0,IF($U99=0,0,IF($U99&lt;1,1/$U99,IF((FK$56-Voorblad!$F$41)/$U99-SUM($EE99:FJ99)=1,1,0))))</f>
        <v>0</v>
      </c>
      <c r="FL99" s="8">
        <f>IF(FL$56-Voorblad!$F$41&gt;Voorblad!$K$41,0,IF($U99=0,0,IF($U99&lt;1,1/$U99,IF((FL$56-Voorblad!$F$41)/$U99-SUM($EE99:FK99)=1,1,0))))</f>
        <v>0</v>
      </c>
      <c r="FM99" s="8">
        <f>IF(FM$56-Voorblad!$F$41&gt;Voorblad!$K$41,0,IF($U99=0,0,IF($U99&lt;1,1/$U99,IF((FM$56-Voorblad!$F$41)/$U99-SUM($EE99:FL99)=1,1,0))))</f>
        <v>0</v>
      </c>
      <c r="FN99" s="8">
        <f>IF(FN$56-Voorblad!$F$41&gt;Voorblad!$K$41,0,IF($U99=0,0,IF($U99&lt;1,1/$U99,IF((FN$56-Voorblad!$F$41)/$U99-SUM($EE99:FM99)=1,1,0))))</f>
        <v>0</v>
      </c>
      <c r="FO99" s="8">
        <f>IF(FO$56-Voorblad!$F$41&gt;Voorblad!$K$41,0,IF($U99=0,0,IF($U99&lt;1,1/$U99,IF((FO$56-Voorblad!$F$41)/$U99-SUM($EE99:FN99)=1,1,0))))</f>
        <v>0</v>
      </c>
      <c r="FP99" s="8">
        <f>IF(FP$56-Voorblad!$F$41&gt;Voorblad!$K$41,0,IF($U99=0,0,IF($U99&lt;1,1/$U99,IF((FP$56-Voorblad!$F$41)/$U99-SUM($EE99:FO99)=1,1,0))))</f>
        <v>0</v>
      </c>
      <c r="FQ99" s="8">
        <f>IF(FQ$56-Voorblad!$F$41&gt;Voorblad!$K$41,0,IF($U99=0,0,IF($U99&lt;1,1/$U99,IF((FQ$56-Voorblad!$F$41)/$U99-SUM($EE99:FP99)=1,1,0))))</f>
        <v>0</v>
      </c>
      <c r="FR99" s="8">
        <f>IF(FR$56-Voorblad!$F$41&gt;Voorblad!$K$41,0,IF($U99=0,0,IF($U99&lt;1,1/$U99,IF((FR$56-Voorblad!$F$41)/$U99-SUM($EE99:FQ99)=1,1,0))))</f>
        <v>0</v>
      </c>
      <c r="FS99" s="8">
        <f>IF(FS$56-Voorblad!$F$41&gt;Voorblad!$K$41,0,IF($U99=0,0,IF($U99&lt;1,1/$U99,IF((FS$56-Voorblad!$F$41)/$U99-SUM($EE99:FR99)=1,1,0))))</f>
        <v>0</v>
      </c>
      <c r="FT99" s="8">
        <f>IF(FT$56-Voorblad!$F$41&gt;Voorblad!$K$41,0,IF($U99=0,0,IF($U99&lt;1,1/$U99,IF((FT$56-Voorblad!$F$41)/$U99-SUM($EE99:FS99)=1,1,0))))</f>
        <v>0</v>
      </c>
      <c r="FU99" s="8">
        <f>IF(FU$56-Voorblad!$F$41&gt;Voorblad!$K$41,0,IF($U99=0,0,IF($U99&lt;1,1/$U99,IF((FU$56-Voorblad!$F$41)/$U99-SUM($EE99:FT99)=1,1,0))))</f>
        <v>0</v>
      </c>
      <c r="FV99" s="8">
        <f>IF(FV$56-Voorblad!$F$41&gt;Voorblad!$K$41,0,IF($U99=0,0,IF($U99&lt;1,1/$U99,IF((FV$56-Voorblad!$F$41)/$U99-SUM($EE99:FU99)=1,1,0))))</f>
        <v>0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0</v>
      </c>
      <c r="FG100" s="8">
        <f>IF(FG$56-Voorblad!$F$41&gt;Voorblad!$K$41,0,IF($U100=0,0,IF($U100&lt;1,1/$U100,IF((FG$56-Voorblad!$F$41)/$U100-SUM($EE100:FF100)=1,1,0))))</f>
        <v>0</v>
      </c>
      <c r="FH100" s="8">
        <f>IF(FH$56-Voorblad!$F$41&gt;Voorblad!$K$41,0,IF($U100=0,0,IF($U100&lt;1,1/$U100,IF((FH$56-Voorblad!$F$41)/$U100-SUM($EE100:FG100)=1,1,0))))</f>
        <v>0</v>
      </c>
      <c r="FI100" s="8">
        <f>IF(FI$56-Voorblad!$F$41&gt;Voorblad!$K$41,0,IF($U100=0,0,IF($U100&lt;1,1/$U100,IF((FI$56-Voorblad!$F$41)/$U100-SUM($EE100:FH100)=1,1,0))))</f>
        <v>0</v>
      </c>
      <c r="FJ100" s="8">
        <f>IF(FJ$56-Voorblad!$F$41&gt;Voorblad!$K$41,0,IF($U100=0,0,IF($U100&lt;1,1/$U100,IF((FJ$56-Voorblad!$F$41)/$U100-SUM($EE100:FI100)=1,1,0))))</f>
        <v>0</v>
      </c>
      <c r="FK100" s="8">
        <f>IF(FK$56-Voorblad!$F$41&gt;Voorblad!$K$41,0,IF($U100=0,0,IF($U100&lt;1,1/$U100,IF((FK$56-Voorblad!$F$41)/$U100-SUM($EE100:FJ100)=1,1,0))))</f>
        <v>0</v>
      </c>
      <c r="FL100" s="8">
        <f>IF(FL$56-Voorblad!$F$41&gt;Voorblad!$K$41,0,IF($U100=0,0,IF($U100&lt;1,1/$U100,IF((FL$56-Voorblad!$F$41)/$U100-SUM($EE100:FK100)=1,1,0))))</f>
        <v>0</v>
      </c>
      <c r="FM100" s="8">
        <f>IF(FM$56-Voorblad!$F$41&gt;Voorblad!$K$41,0,IF($U100=0,0,IF($U100&lt;1,1/$U100,IF((FM$56-Voorblad!$F$41)/$U100-SUM($EE100:FL100)=1,1,0))))</f>
        <v>0</v>
      </c>
      <c r="FN100" s="8">
        <f>IF(FN$56-Voorblad!$F$41&gt;Voorblad!$K$41,0,IF($U100=0,0,IF($U100&lt;1,1/$U100,IF((FN$56-Voorblad!$F$41)/$U100-SUM($EE100:FM100)=1,1,0))))</f>
        <v>0</v>
      </c>
      <c r="FO100" s="8">
        <f>IF(FO$56-Voorblad!$F$41&gt;Voorblad!$K$41,0,IF($U100=0,0,IF($U100&lt;1,1/$U100,IF((FO$56-Voorblad!$F$41)/$U100-SUM($EE100:FN100)=1,1,0))))</f>
        <v>0</v>
      </c>
      <c r="FP100" s="8">
        <f>IF(FP$56-Voorblad!$F$41&gt;Voorblad!$K$41,0,IF($U100=0,0,IF($U100&lt;1,1/$U100,IF((FP$56-Voorblad!$F$41)/$U100-SUM($EE100:FO100)=1,1,0))))</f>
        <v>0</v>
      </c>
      <c r="FQ100" s="8">
        <f>IF(FQ$56-Voorblad!$F$41&gt;Voorblad!$K$41,0,IF($U100=0,0,IF($U100&lt;1,1/$U100,IF((FQ$56-Voorblad!$F$41)/$U100-SUM($EE100:FP100)=1,1,0))))</f>
        <v>0</v>
      </c>
      <c r="FR100" s="8">
        <f>IF(FR$56-Voorblad!$F$41&gt;Voorblad!$K$41,0,IF($U100=0,0,IF($U100&lt;1,1/$U100,IF((FR$56-Voorblad!$F$41)/$U100-SUM($EE100:FQ100)=1,1,0))))</f>
        <v>0</v>
      </c>
      <c r="FS100" s="8">
        <f>IF(FS$56-Voorblad!$F$41&gt;Voorblad!$K$41,0,IF($U100=0,0,IF($U100&lt;1,1/$U100,IF((FS$56-Voorblad!$F$41)/$U100-SUM($EE100:FR100)=1,1,0))))</f>
        <v>0</v>
      </c>
      <c r="FT100" s="8">
        <f>IF(FT$56-Voorblad!$F$41&gt;Voorblad!$K$41,0,IF($U100=0,0,IF($U100&lt;1,1/$U100,IF((FT$56-Voorblad!$F$41)/$U100-SUM($EE100:FS100)=1,1,0))))</f>
        <v>0</v>
      </c>
      <c r="FU100" s="8">
        <f>IF(FU$56-Voorblad!$F$41&gt;Voorblad!$K$41,0,IF($U100=0,0,IF($U100&lt;1,1/$U100,IF((FU$56-Voorblad!$F$41)/$U100-SUM($EE100:FT100)=1,1,0))))</f>
        <v>0</v>
      </c>
      <c r="FV100" s="8">
        <f>IF(FV$56-Voorblad!$F$41&gt;Voorblad!$K$41,0,IF($U100=0,0,IF($U100&lt;1,1/$U100,IF((FV$56-Voorblad!$F$41)/$U100-SUM($EE100:FU100)=1,1,0))))</f>
        <v>0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0</v>
      </c>
      <c r="FG101" s="8">
        <f>IF(FG$56-Voorblad!$F$41&gt;Voorblad!$K$41,0,IF($U101=0,0,IF($U101&lt;1,1/$U101,IF((FG$56-Voorblad!$F$41)/$U101-SUM($EE101:FF101)=1,1,0))))</f>
        <v>0</v>
      </c>
      <c r="FH101" s="8">
        <f>IF(FH$56-Voorblad!$F$41&gt;Voorblad!$K$41,0,IF($U101=0,0,IF($U101&lt;1,1/$U101,IF((FH$56-Voorblad!$F$41)/$U101-SUM($EE101:FG101)=1,1,0))))</f>
        <v>0</v>
      </c>
      <c r="FI101" s="8">
        <f>IF(FI$56-Voorblad!$F$41&gt;Voorblad!$K$41,0,IF($U101=0,0,IF($U101&lt;1,1/$U101,IF((FI$56-Voorblad!$F$41)/$U101-SUM($EE101:FH101)=1,1,0))))</f>
        <v>0</v>
      </c>
      <c r="FJ101" s="8">
        <f>IF(FJ$56-Voorblad!$F$41&gt;Voorblad!$K$41,0,IF($U101=0,0,IF($U101&lt;1,1/$U101,IF((FJ$56-Voorblad!$F$41)/$U101-SUM($EE101:FI101)=1,1,0))))</f>
        <v>0</v>
      </c>
      <c r="FK101" s="8">
        <f>IF(FK$56-Voorblad!$F$41&gt;Voorblad!$K$41,0,IF($U101=0,0,IF($U101&lt;1,1/$U101,IF((FK$56-Voorblad!$F$41)/$U101-SUM($EE101:FJ101)=1,1,0))))</f>
        <v>0</v>
      </c>
      <c r="FL101" s="8">
        <f>IF(FL$56-Voorblad!$F$41&gt;Voorblad!$K$41,0,IF($U101=0,0,IF($U101&lt;1,1/$U101,IF((FL$56-Voorblad!$F$41)/$U101-SUM($EE101:FK101)=1,1,0))))</f>
        <v>0</v>
      </c>
      <c r="FM101" s="8">
        <f>IF(FM$56-Voorblad!$F$41&gt;Voorblad!$K$41,0,IF($U101=0,0,IF($U101&lt;1,1/$U101,IF((FM$56-Voorblad!$F$41)/$U101-SUM($EE101:FL101)=1,1,0))))</f>
        <v>0</v>
      </c>
      <c r="FN101" s="8">
        <f>IF(FN$56-Voorblad!$F$41&gt;Voorblad!$K$41,0,IF($U101=0,0,IF($U101&lt;1,1/$U101,IF((FN$56-Voorblad!$F$41)/$U101-SUM($EE101:FM101)=1,1,0))))</f>
        <v>0</v>
      </c>
      <c r="FO101" s="8">
        <f>IF(FO$56-Voorblad!$F$41&gt;Voorblad!$K$41,0,IF($U101=0,0,IF($U101&lt;1,1/$U101,IF((FO$56-Voorblad!$F$41)/$U101-SUM($EE101:FN101)=1,1,0))))</f>
        <v>0</v>
      </c>
      <c r="FP101" s="8">
        <f>IF(FP$56-Voorblad!$F$41&gt;Voorblad!$K$41,0,IF($U101=0,0,IF($U101&lt;1,1/$U101,IF((FP$56-Voorblad!$F$41)/$U101-SUM($EE101:FO101)=1,1,0))))</f>
        <v>0</v>
      </c>
      <c r="FQ101" s="8">
        <f>IF(FQ$56-Voorblad!$F$41&gt;Voorblad!$K$41,0,IF($U101=0,0,IF($U101&lt;1,1/$U101,IF((FQ$56-Voorblad!$F$41)/$U101-SUM($EE101:FP101)=1,1,0))))</f>
        <v>0</v>
      </c>
      <c r="FR101" s="8">
        <f>IF(FR$56-Voorblad!$F$41&gt;Voorblad!$K$41,0,IF($U101=0,0,IF($U101&lt;1,1/$U101,IF((FR$56-Voorblad!$F$41)/$U101-SUM($EE101:FQ101)=1,1,0))))</f>
        <v>0</v>
      </c>
      <c r="FS101" s="8">
        <f>IF(FS$56-Voorblad!$F$41&gt;Voorblad!$K$41,0,IF($U101=0,0,IF($U101&lt;1,1/$U101,IF((FS$56-Voorblad!$F$41)/$U101-SUM($EE101:FR101)=1,1,0))))</f>
        <v>0</v>
      </c>
      <c r="FT101" s="8">
        <f>IF(FT$56-Voorblad!$F$41&gt;Voorblad!$K$41,0,IF($U101=0,0,IF($U101&lt;1,1/$U101,IF((FT$56-Voorblad!$F$41)/$U101-SUM($EE101:FS101)=1,1,0))))</f>
        <v>0</v>
      </c>
      <c r="FU101" s="8">
        <f>IF(FU$56-Voorblad!$F$41&gt;Voorblad!$K$41,0,IF($U101=0,0,IF($U101&lt;1,1/$U101,IF((FU$56-Voorblad!$F$41)/$U101-SUM($EE101:FT101)=1,1,0))))</f>
        <v>0</v>
      </c>
      <c r="FV101" s="8">
        <f>IF(FV$56-Voorblad!$F$41&gt;Voorblad!$K$41,0,IF($U101=0,0,IF($U101&lt;1,1/$U101,IF((FV$56-Voorblad!$F$41)/$U101-SUM($EE101:FU101)=1,1,0))))</f>
        <v>0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0</v>
      </c>
      <c r="FG102" s="8">
        <f>IF(FG$56-Voorblad!$F$41&gt;Voorblad!$K$41,0,IF($U102=0,0,IF($U102&lt;1,1/$U102,IF((FG$56-Voorblad!$F$41)/$U102-SUM($EE102:FF102)=1,1,0))))</f>
        <v>0</v>
      </c>
      <c r="FH102" s="8">
        <f>IF(FH$56-Voorblad!$F$41&gt;Voorblad!$K$41,0,IF($U102=0,0,IF($U102&lt;1,1/$U102,IF((FH$56-Voorblad!$F$41)/$U102-SUM($EE102:FG102)=1,1,0))))</f>
        <v>0</v>
      </c>
      <c r="FI102" s="8">
        <f>IF(FI$56-Voorblad!$F$41&gt;Voorblad!$K$41,0,IF($U102=0,0,IF($U102&lt;1,1/$U102,IF((FI$56-Voorblad!$F$41)/$U102-SUM($EE102:FH102)=1,1,0))))</f>
        <v>0</v>
      </c>
      <c r="FJ102" s="8">
        <f>IF(FJ$56-Voorblad!$F$41&gt;Voorblad!$K$41,0,IF($U102=0,0,IF($U102&lt;1,1/$U102,IF((FJ$56-Voorblad!$F$41)/$U102-SUM($EE102:FI102)=1,1,0))))</f>
        <v>0</v>
      </c>
      <c r="FK102" s="8">
        <f>IF(FK$56-Voorblad!$F$41&gt;Voorblad!$K$41,0,IF($U102=0,0,IF($U102&lt;1,1/$U102,IF((FK$56-Voorblad!$F$41)/$U102-SUM($EE102:FJ102)=1,1,0))))</f>
        <v>0</v>
      </c>
      <c r="FL102" s="8">
        <f>IF(FL$56-Voorblad!$F$41&gt;Voorblad!$K$41,0,IF($U102=0,0,IF($U102&lt;1,1/$U102,IF((FL$56-Voorblad!$F$41)/$U102-SUM($EE102:FK102)=1,1,0))))</f>
        <v>0</v>
      </c>
      <c r="FM102" s="8">
        <f>IF(FM$56-Voorblad!$F$41&gt;Voorblad!$K$41,0,IF($U102=0,0,IF($U102&lt;1,1/$U102,IF((FM$56-Voorblad!$F$41)/$U102-SUM($EE102:FL102)=1,1,0))))</f>
        <v>0</v>
      </c>
      <c r="FN102" s="8">
        <f>IF(FN$56-Voorblad!$F$41&gt;Voorblad!$K$41,0,IF($U102=0,0,IF($U102&lt;1,1/$U102,IF((FN$56-Voorblad!$F$41)/$U102-SUM($EE102:FM102)=1,1,0))))</f>
        <v>0</v>
      </c>
      <c r="FO102" s="8">
        <f>IF(FO$56-Voorblad!$F$41&gt;Voorblad!$K$41,0,IF($U102=0,0,IF($U102&lt;1,1/$U102,IF((FO$56-Voorblad!$F$41)/$U102-SUM($EE102:FN102)=1,1,0))))</f>
        <v>0</v>
      </c>
      <c r="FP102" s="8">
        <f>IF(FP$56-Voorblad!$F$41&gt;Voorblad!$K$41,0,IF($U102=0,0,IF($U102&lt;1,1/$U102,IF((FP$56-Voorblad!$F$41)/$U102-SUM($EE102:FO102)=1,1,0))))</f>
        <v>0</v>
      </c>
      <c r="FQ102" s="8">
        <f>IF(FQ$56-Voorblad!$F$41&gt;Voorblad!$K$41,0,IF($U102=0,0,IF($U102&lt;1,1/$U102,IF((FQ$56-Voorblad!$F$41)/$U102-SUM($EE102:FP102)=1,1,0))))</f>
        <v>0</v>
      </c>
      <c r="FR102" s="8">
        <f>IF(FR$56-Voorblad!$F$41&gt;Voorblad!$K$41,0,IF($U102=0,0,IF($U102&lt;1,1/$U102,IF((FR$56-Voorblad!$F$41)/$U102-SUM($EE102:FQ102)=1,1,0))))</f>
        <v>0</v>
      </c>
      <c r="FS102" s="8">
        <f>IF(FS$56-Voorblad!$F$41&gt;Voorblad!$K$41,0,IF($U102=0,0,IF($U102&lt;1,1/$U102,IF((FS$56-Voorblad!$F$41)/$U102-SUM($EE102:FR102)=1,1,0))))</f>
        <v>0</v>
      </c>
      <c r="FT102" s="8">
        <f>IF(FT$56-Voorblad!$F$41&gt;Voorblad!$K$41,0,IF($U102=0,0,IF($U102&lt;1,1/$U102,IF((FT$56-Voorblad!$F$41)/$U102-SUM($EE102:FS102)=1,1,0))))</f>
        <v>0</v>
      </c>
      <c r="FU102" s="8">
        <f>IF(FU$56-Voorblad!$F$41&gt;Voorblad!$K$41,0,IF($U102=0,0,IF($U102&lt;1,1/$U102,IF((FU$56-Voorblad!$F$41)/$U102-SUM($EE102:FT102)=1,1,0))))</f>
        <v>0</v>
      </c>
      <c r="FV102" s="8">
        <f>IF(FV$56-Voorblad!$F$41&gt;Voorblad!$K$41,0,IF($U102=0,0,IF($U102&lt;1,1/$U102,IF((FV$56-Voorblad!$F$41)/$U102-SUM($EE102:FU102)=1,1,0))))</f>
        <v>0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0</v>
      </c>
      <c r="FG103" s="8">
        <f>IF(FG$56-Voorblad!$F$41&gt;Voorblad!$K$41,0,IF($U103=0,0,IF($U103&lt;1,1/$U103,IF((FG$56-Voorblad!$F$41)/$U103-SUM($EE103:FF103)=1,1,0))))</f>
        <v>0</v>
      </c>
      <c r="FH103" s="8">
        <f>IF(FH$56-Voorblad!$F$41&gt;Voorblad!$K$41,0,IF($U103=0,0,IF($U103&lt;1,1/$U103,IF((FH$56-Voorblad!$F$41)/$U103-SUM($EE103:FG103)=1,1,0))))</f>
        <v>0</v>
      </c>
      <c r="FI103" s="8">
        <f>IF(FI$56-Voorblad!$F$41&gt;Voorblad!$K$41,0,IF($U103=0,0,IF($U103&lt;1,1/$U103,IF((FI$56-Voorblad!$F$41)/$U103-SUM($EE103:FH103)=1,1,0))))</f>
        <v>0</v>
      </c>
      <c r="FJ103" s="8">
        <f>IF(FJ$56-Voorblad!$F$41&gt;Voorblad!$K$41,0,IF($U103=0,0,IF($U103&lt;1,1/$U103,IF((FJ$56-Voorblad!$F$41)/$U103-SUM($EE103:FI103)=1,1,0))))</f>
        <v>0</v>
      </c>
      <c r="FK103" s="8">
        <f>IF(FK$56-Voorblad!$F$41&gt;Voorblad!$K$41,0,IF($U103=0,0,IF($U103&lt;1,1/$U103,IF((FK$56-Voorblad!$F$41)/$U103-SUM($EE103:FJ103)=1,1,0))))</f>
        <v>0</v>
      </c>
      <c r="FL103" s="8">
        <f>IF(FL$56-Voorblad!$F$41&gt;Voorblad!$K$41,0,IF($U103=0,0,IF($U103&lt;1,1/$U103,IF((FL$56-Voorblad!$F$41)/$U103-SUM($EE103:FK103)=1,1,0))))</f>
        <v>0</v>
      </c>
      <c r="FM103" s="8">
        <f>IF(FM$56-Voorblad!$F$41&gt;Voorblad!$K$41,0,IF($U103=0,0,IF($U103&lt;1,1/$U103,IF((FM$56-Voorblad!$F$41)/$U103-SUM($EE103:FL103)=1,1,0))))</f>
        <v>0</v>
      </c>
      <c r="FN103" s="8">
        <f>IF(FN$56-Voorblad!$F$41&gt;Voorblad!$K$41,0,IF($U103=0,0,IF($U103&lt;1,1/$U103,IF((FN$56-Voorblad!$F$41)/$U103-SUM($EE103:FM103)=1,1,0))))</f>
        <v>0</v>
      </c>
      <c r="FO103" s="8">
        <f>IF(FO$56-Voorblad!$F$41&gt;Voorblad!$K$41,0,IF($U103=0,0,IF($U103&lt;1,1/$U103,IF((FO$56-Voorblad!$F$41)/$U103-SUM($EE103:FN103)=1,1,0))))</f>
        <v>0</v>
      </c>
      <c r="FP103" s="8">
        <f>IF(FP$56-Voorblad!$F$41&gt;Voorblad!$K$41,0,IF($U103=0,0,IF($U103&lt;1,1/$U103,IF((FP$56-Voorblad!$F$41)/$U103-SUM($EE103:FO103)=1,1,0))))</f>
        <v>0</v>
      </c>
      <c r="FQ103" s="8">
        <f>IF(FQ$56-Voorblad!$F$41&gt;Voorblad!$K$41,0,IF($U103=0,0,IF($U103&lt;1,1/$U103,IF((FQ$56-Voorblad!$F$41)/$U103-SUM($EE103:FP103)=1,1,0))))</f>
        <v>0</v>
      </c>
      <c r="FR103" s="8">
        <f>IF(FR$56-Voorblad!$F$41&gt;Voorblad!$K$41,0,IF($U103=0,0,IF($U103&lt;1,1/$U103,IF((FR$56-Voorblad!$F$41)/$U103-SUM($EE103:FQ103)=1,1,0))))</f>
        <v>0</v>
      </c>
      <c r="FS103" s="8">
        <f>IF(FS$56-Voorblad!$F$41&gt;Voorblad!$K$41,0,IF($U103=0,0,IF($U103&lt;1,1/$U103,IF((FS$56-Voorblad!$F$41)/$U103-SUM($EE103:FR103)=1,1,0))))</f>
        <v>0</v>
      </c>
      <c r="FT103" s="8">
        <f>IF(FT$56-Voorblad!$F$41&gt;Voorblad!$K$41,0,IF($U103=0,0,IF($U103&lt;1,1/$U103,IF((FT$56-Voorblad!$F$41)/$U103-SUM($EE103:FS103)=1,1,0))))</f>
        <v>0</v>
      </c>
      <c r="FU103" s="8">
        <f>IF(FU$56-Voorblad!$F$41&gt;Voorblad!$K$41,0,IF($U103=0,0,IF($U103&lt;1,1/$U103,IF((FU$56-Voorblad!$F$41)/$U103-SUM($EE103:FT103)=1,1,0))))</f>
        <v>0</v>
      </c>
      <c r="FV103" s="8">
        <f>IF(FV$56-Voorblad!$F$41&gt;Voorblad!$K$41,0,IF($U103=0,0,IF($U103&lt;1,1/$U103,IF((FV$56-Voorblad!$F$41)/$U103-SUM($EE103:FU103)=1,1,0))))</f>
        <v>0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0</v>
      </c>
      <c r="FG104" s="8">
        <f>IF(FG$56-Voorblad!$F$41&gt;Voorblad!$K$41,0,IF($U104=0,0,IF($U104&lt;1,1/$U104,IF((FG$56-Voorblad!$F$41)/$U104-SUM($EE104:FF104)=1,1,0))))</f>
        <v>0</v>
      </c>
      <c r="FH104" s="8">
        <f>IF(FH$56-Voorblad!$F$41&gt;Voorblad!$K$41,0,IF($U104=0,0,IF($U104&lt;1,1/$U104,IF((FH$56-Voorblad!$F$41)/$U104-SUM($EE104:FG104)=1,1,0))))</f>
        <v>0</v>
      </c>
      <c r="FI104" s="8">
        <f>IF(FI$56-Voorblad!$F$41&gt;Voorblad!$K$41,0,IF($U104=0,0,IF($U104&lt;1,1/$U104,IF((FI$56-Voorblad!$F$41)/$U104-SUM($EE104:FH104)=1,1,0))))</f>
        <v>0</v>
      </c>
      <c r="FJ104" s="8">
        <f>IF(FJ$56-Voorblad!$F$41&gt;Voorblad!$K$41,0,IF($U104=0,0,IF($U104&lt;1,1/$U104,IF((FJ$56-Voorblad!$F$41)/$U104-SUM($EE104:FI104)=1,1,0))))</f>
        <v>0</v>
      </c>
      <c r="FK104" s="8">
        <f>IF(FK$56-Voorblad!$F$41&gt;Voorblad!$K$41,0,IF($U104=0,0,IF($U104&lt;1,1/$U104,IF((FK$56-Voorblad!$F$41)/$U104-SUM($EE104:FJ104)=1,1,0))))</f>
        <v>0</v>
      </c>
      <c r="FL104" s="8">
        <f>IF(FL$56-Voorblad!$F$41&gt;Voorblad!$K$41,0,IF($U104=0,0,IF($U104&lt;1,1/$U104,IF((FL$56-Voorblad!$F$41)/$U104-SUM($EE104:FK104)=1,1,0))))</f>
        <v>0</v>
      </c>
      <c r="FM104" s="8">
        <f>IF(FM$56-Voorblad!$F$41&gt;Voorblad!$K$41,0,IF($U104=0,0,IF($U104&lt;1,1/$U104,IF((FM$56-Voorblad!$F$41)/$U104-SUM($EE104:FL104)=1,1,0))))</f>
        <v>0</v>
      </c>
      <c r="FN104" s="8">
        <f>IF(FN$56-Voorblad!$F$41&gt;Voorblad!$K$41,0,IF($U104=0,0,IF($U104&lt;1,1/$U104,IF((FN$56-Voorblad!$F$41)/$U104-SUM($EE104:FM104)=1,1,0))))</f>
        <v>0</v>
      </c>
      <c r="FO104" s="8">
        <f>IF(FO$56-Voorblad!$F$41&gt;Voorblad!$K$41,0,IF($U104=0,0,IF($U104&lt;1,1/$U104,IF((FO$56-Voorblad!$F$41)/$U104-SUM($EE104:FN104)=1,1,0))))</f>
        <v>0</v>
      </c>
      <c r="FP104" s="8">
        <f>IF(FP$56-Voorblad!$F$41&gt;Voorblad!$K$41,0,IF($U104=0,0,IF($U104&lt;1,1/$U104,IF((FP$56-Voorblad!$F$41)/$U104-SUM($EE104:FO104)=1,1,0))))</f>
        <v>0</v>
      </c>
      <c r="FQ104" s="8">
        <f>IF(FQ$56-Voorblad!$F$41&gt;Voorblad!$K$41,0,IF($U104=0,0,IF($U104&lt;1,1/$U104,IF((FQ$56-Voorblad!$F$41)/$U104-SUM($EE104:FP104)=1,1,0))))</f>
        <v>0</v>
      </c>
      <c r="FR104" s="8">
        <f>IF(FR$56-Voorblad!$F$41&gt;Voorblad!$K$41,0,IF($U104=0,0,IF($U104&lt;1,1/$U104,IF((FR$56-Voorblad!$F$41)/$U104-SUM($EE104:FQ104)=1,1,0))))</f>
        <v>0</v>
      </c>
      <c r="FS104" s="8">
        <f>IF(FS$56-Voorblad!$F$41&gt;Voorblad!$K$41,0,IF($U104=0,0,IF($U104&lt;1,1/$U104,IF((FS$56-Voorblad!$F$41)/$U104-SUM($EE104:FR104)=1,1,0))))</f>
        <v>0</v>
      </c>
      <c r="FT104" s="8">
        <f>IF(FT$56-Voorblad!$F$41&gt;Voorblad!$K$41,0,IF($U104=0,0,IF($U104&lt;1,1/$U104,IF((FT$56-Voorblad!$F$41)/$U104-SUM($EE104:FS104)=1,1,0))))</f>
        <v>0</v>
      </c>
      <c r="FU104" s="8">
        <f>IF(FU$56-Voorblad!$F$41&gt;Voorblad!$K$41,0,IF($U104=0,0,IF($U104&lt;1,1/$U104,IF((FU$56-Voorblad!$F$41)/$U104-SUM($EE104:FT104)=1,1,0))))</f>
        <v>0</v>
      </c>
      <c r="FV104" s="8">
        <f>IF(FV$56-Voorblad!$F$41&gt;Voorblad!$K$41,0,IF($U104=0,0,IF($U104&lt;1,1/$U104,IF((FV$56-Voorblad!$F$41)/$U104-SUM($EE104:FU104)=1,1,0))))</f>
        <v>0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270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275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3102.0841039568709</v>
      </c>
      <c r="Z109" s="82"/>
      <c r="AA109" s="82"/>
      <c r="AC109" s="9">
        <f>$Y109*(Voorblad!$K$44*(1+Voorblad!$K$44)^Voorblad!$K$41)/((1+Voorblad!$K$44)^Voorblad!$K$41-1)</f>
        <v>168.36847190377173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0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0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0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0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0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0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276</v>
      </c>
      <c r="K110" s="1" t="s">
        <v>112</v>
      </c>
      <c r="O110" s="1" t="s">
        <v>225</v>
      </c>
      <c r="P110" s="14" t="s">
        <v>226</v>
      </c>
      <c r="Q110" s="83">
        <f>50%*(((2*6.25*8)+(2*(6.25+8)*1))+((2*11*1.7)+(2*(11+1.7)*0.4)))</f>
        <v>88.03</v>
      </c>
      <c r="R110" s="1" t="s">
        <v>35</v>
      </c>
      <c r="S110" s="21">
        <f>$H$20*15</f>
        <v>26.55</v>
      </c>
      <c r="T110" s="9">
        <f t="shared" si="20"/>
        <v>2337.1965</v>
      </c>
      <c r="U110" s="14">
        <v>10</v>
      </c>
      <c r="V110" s="14"/>
      <c r="Y110" s="9">
        <f t="shared" si="21"/>
        <v>3252.1372820203214</v>
      </c>
      <c r="Z110" s="82"/>
      <c r="AA110" s="82"/>
      <c r="AC110" s="9">
        <f>$Y110*(Voorblad!$K$44*(1+Voorblad!$K$44)^Voorblad!$K$41)/((1+Voorblad!$K$44)^Voorblad!$K$41-1)</f>
        <v>176.51274634901384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1825.8141703189633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1426.3231117013584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0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0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0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0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276</v>
      </c>
      <c r="K111" s="1" t="s">
        <v>84</v>
      </c>
      <c r="P111" s="8"/>
      <c r="Q111" s="83">
        <f>25%*Q110</f>
        <v>22.0075</v>
      </c>
      <c r="R111" s="1" t="s">
        <v>35</v>
      </c>
      <c r="S111" s="21">
        <f>$H$20*20</f>
        <v>35.4</v>
      </c>
      <c r="T111" s="9">
        <f t="shared" si="20"/>
        <v>779.06549999999993</v>
      </c>
      <c r="U111" s="14">
        <v>10</v>
      </c>
      <c r="V111" s="14"/>
      <c r="Y111" s="9">
        <f t="shared" si="21"/>
        <v>1084.0457606734403</v>
      </c>
      <c r="Z111" s="82"/>
      <c r="AA111" s="82"/>
      <c r="AC111" s="9">
        <f>$Y111*(Voorblad!$K$44*(1+Voorblad!$K$44)^Voorblad!$K$41)/((1+Voorblad!$K$44)^Voorblad!$K$41-1)</f>
        <v>58.837582116337934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608.60472343965432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475.44103723378606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0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0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276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0</v>
      </c>
      <c r="FG112" s="8">
        <f>IF(FG$56-Voorblad!$F$41&gt;Voorblad!$K$41,0,IF($U112=0,0,IF($U112&lt;1,1/$U112,IF((FG$56-Voorblad!$F$41)/$U112-SUM($EE112:FF112)=1,1,0))))</f>
        <v>0</v>
      </c>
      <c r="FH112" s="8">
        <f>IF(FH$56-Voorblad!$F$41&gt;Voorblad!$K$41,0,IF($U112=0,0,IF($U112&lt;1,1/$U112,IF((FH$56-Voorblad!$F$41)/$U112-SUM($EE112:FG112)=1,1,0))))</f>
        <v>0</v>
      </c>
      <c r="FI112" s="8">
        <f>IF(FI$56-Voorblad!$F$41&gt;Voorblad!$K$41,0,IF($U112=0,0,IF($U112&lt;1,1/$U112,IF((FI$56-Voorblad!$F$41)/$U112-SUM($EE112:FH112)=1,1,0))))</f>
        <v>0</v>
      </c>
      <c r="FJ112" s="8">
        <f>IF(FJ$56-Voorblad!$F$41&gt;Voorblad!$K$41,0,IF($U112=0,0,IF($U112&lt;1,1/$U112,IF((FJ$56-Voorblad!$F$41)/$U112-SUM($EE112:FI112)=1,1,0))))</f>
        <v>0</v>
      </c>
      <c r="FK112" s="8">
        <f>IF(FK$56-Voorblad!$F$41&gt;Voorblad!$K$41,0,IF($U112=0,0,IF($U112&lt;1,1/$U112,IF((FK$56-Voorblad!$F$41)/$U112-SUM($EE112:FJ112)=1,1,0))))</f>
        <v>0</v>
      </c>
      <c r="FL112" s="8">
        <f>IF(FL$56-Voorblad!$F$41&gt;Voorblad!$K$41,0,IF($U112=0,0,IF($U112&lt;1,1/$U112,IF((FL$56-Voorblad!$F$41)/$U112-SUM($EE112:FK112)=1,1,0))))</f>
        <v>0</v>
      </c>
      <c r="FM112" s="8">
        <f>IF(FM$56-Voorblad!$F$41&gt;Voorblad!$K$41,0,IF($U112=0,0,IF($U112&lt;1,1/$U112,IF((FM$56-Voorblad!$F$41)/$U112-SUM($EE112:FL112)=1,1,0))))</f>
        <v>0</v>
      </c>
      <c r="FN112" s="8">
        <f>IF(FN$56-Voorblad!$F$41&gt;Voorblad!$K$41,0,IF($U112=0,0,IF($U112&lt;1,1/$U112,IF((FN$56-Voorblad!$F$41)/$U112-SUM($EE112:FM112)=1,1,0))))</f>
        <v>0</v>
      </c>
      <c r="FO112" s="8">
        <f>IF(FO$56-Voorblad!$F$41&gt;Voorblad!$K$41,0,IF($U112=0,0,IF($U112&lt;1,1/$U112,IF((FO$56-Voorblad!$F$41)/$U112-SUM($EE112:FN112)=1,1,0))))</f>
        <v>0</v>
      </c>
      <c r="FP112" s="8">
        <f>IF(FP$56-Voorblad!$F$41&gt;Voorblad!$K$41,0,IF($U112=0,0,IF($U112&lt;1,1/$U112,IF((FP$56-Voorblad!$F$41)/$U112-SUM($EE112:FO112)=1,1,0))))</f>
        <v>0</v>
      </c>
      <c r="FQ112" s="8">
        <f>IF(FQ$56-Voorblad!$F$41&gt;Voorblad!$K$41,0,IF($U112=0,0,IF($U112&lt;1,1/$U112,IF((FQ$56-Voorblad!$F$41)/$U112-SUM($EE112:FP112)=1,1,0))))</f>
        <v>0</v>
      </c>
      <c r="FR112" s="8">
        <f>IF(FR$56-Voorblad!$F$41&gt;Voorblad!$K$41,0,IF($U112=0,0,IF($U112&lt;1,1/$U112,IF((FR$56-Voorblad!$F$41)/$U112-SUM($EE112:FQ112)=1,1,0))))</f>
        <v>0</v>
      </c>
      <c r="FS112" s="8">
        <f>IF(FS$56-Voorblad!$F$41&gt;Voorblad!$K$41,0,IF($U112=0,0,IF($U112&lt;1,1/$U112,IF((FS$56-Voorblad!$F$41)/$U112-SUM($EE112:FR112)=1,1,0))))</f>
        <v>0</v>
      </c>
      <c r="FT112" s="8">
        <f>IF(FT$56-Voorblad!$F$41&gt;Voorblad!$K$41,0,IF($U112=0,0,IF($U112&lt;1,1/$U112,IF((FT$56-Voorblad!$F$41)/$U112-SUM($EE112:FS112)=1,1,0))))</f>
        <v>0</v>
      </c>
      <c r="FU112" s="8">
        <f>IF(FU$56-Voorblad!$F$41&gt;Voorblad!$K$41,0,IF($U112=0,0,IF($U112&lt;1,1/$U112,IF((FU$56-Voorblad!$F$41)/$U112-SUM($EE112:FT112)=1,1,0))))</f>
        <v>0</v>
      </c>
      <c r="FV112" s="8">
        <f>IF(FV$56-Voorblad!$F$41&gt;Voorblad!$K$41,0,IF($U112=0,0,IF($U112&lt;1,1/$U112,IF((FV$56-Voorblad!$F$41)/$U112-SUM($EE112:FU112)=1,1,0))))</f>
        <v>0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276</v>
      </c>
      <c r="K113" s="1" t="s">
        <v>158</v>
      </c>
      <c r="P113" s="1" t="s">
        <v>183</v>
      </c>
      <c r="Q113" s="83">
        <f>2*11</f>
        <v>22</v>
      </c>
      <c r="R113" s="147" t="s">
        <v>195</v>
      </c>
      <c r="S113" s="21">
        <f>$H$20*350</f>
        <v>619.5</v>
      </c>
      <c r="T113" s="9">
        <f t="shared" si="20"/>
        <v>13629</v>
      </c>
      <c r="U113" s="14">
        <v>15</v>
      </c>
      <c r="V113" s="14"/>
      <c r="Y113" s="9">
        <f>SUM(AE113:EB113)</f>
        <v>9410.3550741585368</v>
      </c>
      <c r="Z113" s="82"/>
      <c r="AA113" s="82"/>
      <c r="AC113" s="9">
        <f>$Y113*(Voorblad!$K$44*(1+Voorblad!$K$44)^Voorblad!$K$41)/((1+Voorblad!$K$44)^Voorblad!$K$41-1)</f>
        <v>510.75568901790348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9410.3550741585368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0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0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276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0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276</v>
      </c>
      <c r="K115" s="14" t="s">
        <v>161</v>
      </c>
      <c r="O115" s="14" t="s">
        <v>157</v>
      </c>
      <c r="P115" s="14" t="s">
        <v>198</v>
      </c>
      <c r="Q115" s="84">
        <f>2.5%*2*11</f>
        <v>0.55000000000000004</v>
      </c>
      <c r="R115" s="14" t="s">
        <v>34</v>
      </c>
      <c r="S115" s="21">
        <f>$H$20*1000</f>
        <v>1770</v>
      </c>
      <c r="T115" s="21">
        <f t="shared" si="20"/>
        <v>973.50000000000011</v>
      </c>
      <c r="U115" s="14">
        <v>15</v>
      </c>
      <c r="Y115" s="21">
        <f t="shared" si="22"/>
        <v>672.16821958275273</v>
      </c>
      <c r="Z115" s="149"/>
      <c r="AA115" s="149"/>
      <c r="AC115" s="9">
        <f>$Y115*(Voorblad!$K$44*(1+Voorblad!$K$44)^Voorblad!$K$41)/((1+Voorblad!$K$44)^Voorblad!$K$41-1)</f>
        <v>36.482549215564539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672.16821958275273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0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0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276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0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276</v>
      </c>
      <c r="K117" s="14" t="s">
        <v>197</v>
      </c>
      <c r="L117" s="14"/>
      <c r="M117" s="14"/>
      <c r="O117" s="1" t="s">
        <v>171</v>
      </c>
      <c r="P117" s="1" t="s">
        <v>174</v>
      </c>
      <c r="Q117" s="83">
        <f>2.5%*2*11</f>
        <v>0.55000000000000004</v>
      </c>
      <c r="R117" s="1" t="s">
        <v>34</v>
      </c>
      <c r="S117" s="14">
        <f>$H$20*500</f>
        <v>885</v>
      </c>
      <c r="T117" s="9">
        <f t="shared" si="20"/>
        <v>486.75000000000006</v>
      </c>
      <c r="U117" s="14">
        <v>15</v>
      </c>
      <c r="V117" s="14"/>
      <c r="Y117" s="9">
        <f t="shared" si="22"/>
        <v>336.08410979137636</v>
      </c>
      <c r="Z117" s="82"/>
      <c r="AA117" s="82"/>
      <c r="AC117" s="9">
        <f>$Y117*(Voorblad!$K$44*(1+Voorblad!$K$44)^Voorblad!$K$41)/((1+Voorblad!$K$44)^Voorblad!$K$41-1)</f>
        <v>18.24127460778227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336.08410979137636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0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0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276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0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276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0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276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0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276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0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276</v>
      </c>
      <c r="K122" s="14" t="s">
        <v>200</v>
      </c>
      <c r="L122" s="14"/>
      <c r="M122" s="14"/>
      <c r="O122" s="1" t="s">
        <v>177</v>
      </c>
      <c r="P122" s="1" t="s">
        <v>180</v>
      </c>
      <c r="Q122" s="83">
        <f>2*11</f>
        <v>22</v>
      </c>
      <c r="R122" s="1" t="s">
        <v>34</v>
      </c>
      <c r="S122" s="14">
        <f>$H$20*100</f>
        <v>177</v>
      </c>
      <c r="T122" s="9">
        <f t="shared" si="20"/>
        <v>3894</v>
      </c>
      <c r="U122" s="14">
        <v>15</v>
      </c>
      <c r="V122" s="14"/>
      <c r="Y122" s="9">
        <f t="shared" si="23"/>
        <v>2688.6728783310105</v>
      </c>
      <c r="Z122" s="82"/>
      <c r="AA122" s="82"/>
      <c r="AC122" s="9">
        <f>$Y122*(Voorblad!$K$44*(1+Voorblad!$K$44)^Voorblad!$K$41)/((1+Voorblad!$K$44)^Voorblad!$K$41-1)</f>
        <v>145.93019686225813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2688.6728783310105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0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0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276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0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276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0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268</v>
      </c>
      <c r="C125" s="2"/>
      <c r="S125" s="14"/>
      <c r="U125" s="14"/>
      <c r="V125" s="14"/>
      <c r="Y125" s="23">
        <f>SUM(Y109:Y124)</f>
        <v>20545.54742851431</v>
      </c>
      <c r="Z125" s="24"/>
      <c r="AA125" s="23">
        <f>SUM(AA109:AA124)</f>
        <v>0</v>
      </c>
      <c r="AC125" s="9">
        <f>$Y125*(Voorblad!$K$44*(1+Voorblad!$K$44)^Voorblad!$K$41)/((1+Voorblad!$K$44)^Voorblad!$K$41-1)</f>
        <v>1115.1285100726318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3125.7794792858858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13718.342299666177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2441.8539333652093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0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0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0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0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0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0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0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0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0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0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1">
        <f>2*11</f>
        <v>22</v>
      </c>
      <c r="R133" s="1" t="s">
        <v>34</v>
      </c>
      <c r="S133" s="21">
        <f>$H$10*125</f>
        <v>297.5</v>
      </c>
      <c r="T133" s="9">
        <f t="shared" si="104"/>
        <v>6545</v>
      </c>
      <c r="U133" s="14">
        <v>30</v>
      </c>
      <c r="V133" s="14"/>
      <c r="Y133" s="9">
        <f t="shared" si="21"/>
        <v>0</v>
      </c>
      <c r="Z133" s="82"/>
      <c r="AA133" s="82"/>
      <c r="AC133" s="9">
        <f>$Y133*(Voorblad!$K$44*(1+Voorblad!$K$44)^Voorblad!$K$41)/((1+Voorblad!$K$44)^Voorblad!$K$41-1)</f>
        <v>0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0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0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0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0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3">
        <f>2*11</f>
        <v>22</v>
      </c>
      <c r="R136" s="147" t="s">
        <v>195</v>
      </c>
      <c r="S136" s="14">
        <f>$H$10*500</f>
        <v>1190</v>
      </c>
      <c r="T136" s="9">
        <f t="shared" si="104"/>
        <v>26180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4">
        <f>7.5%*2*8</f>
        <v>1.2</v>
      </c>
      <c r="R137" s="14" t="s">
        <v>34</v>
      </c>
      <c r="S137" s="21">
        <f>$H$10*1000</f>
        <v>2380</v>
      </c>
      <c r="T137" s="21">
        <f t="shared" si="104"/>
        <v>2856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1">
        <f>2*11</f>
        <v>22</v>
      </c>
      <c r="R139" s="1" t="s">
        <v>34</v>
      </c>
      <c r="S139" s="14">
        <f>$H$10*400</f>
        <v>952</v>
      </c>
      <c r="T139" s="9">
        <f t="shared" si="104"/>
        <v>20944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9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2*8</f>
        <v>16</v>
      </c>
      <c r="R146" s="147" t="s">
        <v>195</v>
      </c>
      <c r="S146" s="14">
        <f>$H$10*500</f>
        <v>1190</v>
      </c>
      <c r="T146" s="9">
        <f t="shared" si="104"/>
        <v>19040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269</v>
      </c>
      <c r="C147" s="2"/>
      <c r="D147" s="22"/>
      <c r="N147" s="6"/>
      <c r="S147" s="14"/>
      <c r="U147" s="14"/>
      <c r="V147" s="14"/>
      <c r="Y147" s="23">
        <f>SUM(Y127:Y146)</f>
        <v>0</v>
      </c>
      <c r="Z147" s="24"/>
      <c r="AA147" s="23">
        <f>SUM(AA127:AA146)</f>
        <v>0</v>
      </c>
      <c r="AC147" s="9">
        <f>$Y147*(Voorblad!$K$44*(1+Voorblad!$K$44)^Voorblad!$K$41)/((1+Voorblad!$K$44)^Voorblad!$K$41-1)</f>
        <v>0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0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302</v>
      </c>
      <c r="Q149" s="84">
        <f>11*(1.7+8+1.7)</f>
        <v>125.39999999999998</v>
      </c>
      <c r="R149" s="81" t="s">
        <v>35</v>
      </c>
      <c r="S149" s="81">
        <v>6890</v>
      </c>
      <c r="T149" s="21">
        <f>Q149*S149</f>
        <v>864005.99999999988</v>
      </c>
      <c r="U149" s="11">
        <v>1</v>
      </c>
      <c r="V149" s="14">
        <f>Voorblad!F24+100</f>
        <v>2053</v>
      </c>
      <c r="W149" s="9">
        <f>Voorblad!K77</f>
        <v>2053</v>
      </c>
      <c r="X149" s="6"/>
      <c r="Y149" s="9">
        <f t="shared" si="21"/>
        <v>466036.70562771446</v>
      </c>
      <c r="Z149" s="82" t="s">
        <v>301</v>
      </c>
      <c r="AA149" s="82">
        <v>52</v>
      </c>
      <c r="AC149" s="9">
        <f>$Y149*(Voorblad!$K$44*(1+Voorblad!$K$44)^Voorblad!$K$41)/((1+Voorblad!$K$44)^Voorblad!$K$41-1)</f>
        <v>25294.571439091163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466036.70562771446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0</v>
      </c>
      <c r="FG149" s="8">
        <f>IF(FG$56-Voorblad!$F$41&gt;Voorblad!$K$41,0,IF($U149=0,0,IF($U149&lt;1,1/$U149,IF((FG$56-Voorblad!$F$41)/$U149-SUM($EE149:FF149)=1,1,0))))</f>
        <v>0</v>
      </c>
      <c r="FH149" s="8">
        <f>IF(FH$56-Voorblad!$F$41&gt;Voorblad!$K$41,0,IF($U149=0,0,IF($U149&lt;1,1/$U149,IF((FH$56-Voorblad!$F$41)/$U149-SUM($EE149:FG149)=1,1,0))))</f>
        <v>0</v>
      </c>
      <c r="FI149" s="8">
        <f>IF(FI$56-Voorblad!$F$41&gt;Voorblad!$K$41,0,IF($U149=0,0,IF($U149&lt;1,1/$U149,IF((FI$56-Voorblad!$F$41)/$U149-SUM($EE149:FH149)=1,1,0))))</f>
        <v>0</v>
      </c>
      <c r="FJ149" s="8">
        <f>IF(FJ$56-Voorblad!$F$41&gt;Voorblad!$K$41,0,IF($U149=0,0,IF($U149&lt;1,1/$U149,IF((FJ$56-Voorblad!$F$41)/$U149-SUM($EE149:FI149)=1,1,0))))</f>
        <v>0</v>
      </c>
      <c r="FK149" s="8">
        <f>IF(FK$56-Voorblad!$F$41&gt;Voorblad!$K$41,0,IF($U149=0,0,IF($U149&lt;1,1/$U149,IF((FK$56-Voorblad!$F$41)/$U149-SUM($EE149:FJ149)=1,1,0))))</f>
        <v>0</v>
      </c>
      <c r="FL149" s="8">
        <f>IF(FL$56-Voorblad!$F$41&gt;Voorblad!$K$41,0,IF($U149=0,0,IF($U149&lt;1,1/$U149,IF((FL$56-Voorblad!$F$41)/$U149-SUM($EE149:FK149)=1,1,0))))</f>
        <v>0</v>
      </c>
      <c r="FM149" s="8">
        <f>IF(FM$56-Voorblad!$F$41&gt;Voorblad!$K$41,0,IF($U149=0,0,IF($U149&lt;1,1/$U149,IF((FM$56-Voorblad!$F$41)/$U149-SUM($EE149:FL149)=1,1,0))))</f>
        <v>0</v>
      </c>
      <c r="FN149" s="8">
        <f>IF(FN$56-Voorblad!$F$41&gt;Voorblad!$K$41,0,IF($U149=0,0,IF($U149&lt;1,1/$U149,IF((FN$56-Voorblad!$F$41)/$U149-SUM($EE149:FM149)=1,1,0))))</f>
        <v>0</v>
      </c>
      <c r="FO149" s="8">
        <f>IF(FO$56-Voorblad!$F$41&gt;Voorblad!$K$41,0,IF($U149=0,0,IF($U149&lt;1,1/$U149,IF((FO$56-Voorblad!$F$41)/$U149-SUM($EE149:FN149)=1,1,0))))</f>
        <v>0</v>
      </c>
      <c r="FP149" s="8">
        <f>IF(FP$56-Voorblad!$F$41&gt;Voorblad!$K$41,0,IF($U149=0,0,IF($U149&lt;1,1/$U149,IF((FP$56-Voorblad!$F$41)/$U149-SUM($EE149:FO149)=1,1,0))))</f>
        <v>0</v>
      </c>
      <c r="FQ149" s="8">
        <f>IF(FQ$56-Voorblad!$F$41&gt;Voorblad!$K$41,0,IF($U149=0,0,IF($U149&lt;1,1/$U149,IF((FQ$56-Voorblad!$F$41)/$U149-SUM($EE149:FP149)=1,1,0))))</f>
        <v>0</v>
      </c>
      <c r="FR149" s="8">
        <f>IF(FR$56-Voorblad!$F$41&gt;Voorblad!$K$41,0,IF($U149=0,0,IF($U149&lt;1,1/$U149,IF((FR$56-Voorblad!$F$41)/$U149-SUM($EE149:FQ149)=1,1,0))))</f>
        <v>0</v>
      </c>
      <c r="FS149" s="8">
        <f>IF(FS$56-Voorblad!$F$41&gt;Voorblad!$K$41,0,IF($U149=0,0,IF($U149&lt;1,1/$U149,IF((FS$56-Voorblad!$F$41)/$U149-SUM($EE149:FR149)=1,1,0))))</f>
        <v>0</v>
      </c>
      <c r="FT149" s="8">
        <f>IF(FT$56-Voorblad!$F$41&gt;Voorblad!$K$41,0,IF($U149=0,0,IF($U149&lt;1,1/$U149,IF((FT$56-Voorblad!$F$41)/$U149-SUM($EE149:FS149)=1,1,0))))</f>
        <v>0</v>
      </c>
      <c r="FU149" s="8">
        <f>IF(FU$56-Voorblad!$F$41&gt;Voorblad!$K$41,0,IF($U149=0,0,IF($U149&lt;1,1/$U149,IF((FU$56-Voorblad!$F$41)/$U149-SUM($EE149:FT149)=1,1,0))))</f>
        <v>0</v>
      </c>
      <c r="FV149" s="8">
        <f>IF(FV$56-Voorblad!$F$41&gt;Voorblad!$K$41,0,IF($U149=0,0,IF($U149&lt;1,1/$U149,IF((FV$56-Voorblad!$F$41)/$U149-SUM($EE149:FU149)=1,1,0))))</f>
        <v>0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0</v>
      </c>
      <c r="FG150" s="8">
        <f>IF(FG$56-Voorblad!$F$41&gt;Voorblad!$K$41,0,IF($U150=0,0,IF($U150&lt;1,1/$U150,IF((FG$56-Voorblad!$F$41)/$U150-SUM($EE150:FF150)=1,1,0))))</f>
        <v>0</v>
      </c>
      <c r="FH150" s="8">
        <f>IF(FH$56-Voorblad!$F$41&gt;Voorblad!$K$41,0,IF($U150=0,0,IF($U150&lt;1,1/$U150,IF((FH$56-Voorblad!$F$41)/$U150-SUM($EE150:FG150)=1,1,0))))</f>
        <v>0</v>
      </c>
      <c r="FI150" s="8">
        <f>IF(FI$56-Voorblad!$F$41&gt;Voorblad!$K$41,0,IF($U150=0,0,IF($U150&lt;1,1/$U150,IF((FI$56-Voorblad!$F$41)/$U150-SUM($EE150:FH150)=1,1,0))))</f>
        <v>0</v>
      </c>
      <c r="FJ150" s="8">
        <f>IF(FJ$56-Voorblad!$F$41&gt;Voorblad!$K$41,0,IF($U150=0,0,IF($U150&lt;1,1/$U150,IF((FJ$56-Voorblad!$F$41)/$U150-SUM($EE150:FI150)=1,1,0))))</f>
        <v>0</v>
      </c>
      <c r="FK150" s="8">
        <f>IF(FK$56-Voorblad!$F$41&gt;Voorblad!$K$41,0,IF($U150=0,0,IF($U150&lt;1,1/$U150,IF((FK$56-Voorblad!$F$41)/$U150-SUM($EE150:FJ150)=1,1,0))))</f>
        <v>0</v>
      </c>
      <c r="FL150" s="8">
        <f>IF(FL$56-Voorblad!$F$41&gt;Voorblad!$K$41,0,IF($U150=0,0,IF($U150&lt;1,1/$U150,IF((FL$56-Voorblad!$F$41)/$U150-SUM($EE150:FK150)=1,1,0))))</f>
        <v>0</v>
      </c>
      <c r="FM150" s="8">
        <f>IF(FM$56-Voorblad!$F$41&gt;Voorblad!$K$41,0,IF($U150=0,0,IF($U150&lt;1,1/$U150,IF((FM$56-Voorblad!$F$41)/$U150-SUM($EE150:FL150)=1,1,0))))</f>
        <v>0</v>
      </c>
      <c r="FN150" s="8">
        <f>IF(FN$56-Voorblad!$F$41&gt;Voorblad!$K$41,0,IF($U150=0,0,IF($U150&lt;1,1/$U150,IF((FN$56-Voorblad!$F$41)/$U150-SUM($EE150:FM150)=1,1,0))))</f>
        <v>0</v>
      </c>
      <c r="FO150" s="8">
        <f>IF(FO$56-Voorblad!$F$41&gt;Voorblad!$K$41,0,IF($U150=0,0,IF($U150&lt;1,1/$U150,IF((FO$56-Voorblad!$F$41)/$U150-SUM($EE150:FN150)=1,1,0))))</f>
        <v>0</v>
      </c>
      <c r="FP150" s="8">
        <f>IF(FP$56-Voorblad!$F$41&gt;Voorblad!$K$41,0,IF($U150=0,0,IF($U150&lt;1,1/$U150,IF((FP$56-Voorblad!$F$41)/$U150-SUM($EE150:FO150)=1,1,0))))</f>
        <v>0</v>
      </c>
      <c r="FQ150" s="8">
        <f>IF(FQ$56-Voorblad!$F$41&gt;Voorblad!$K$41,0,IF($U150=0,0,IF($U150&lt;1,1/$U150,IF((FQ$56-Voorblad!$F$41)/$U150-SUM($EE150:FP150)=1,1,0))))</f>
        <v>0</v>
      </c>
      <c r="FR150" s="8">
        <f>IF(FR$56-Voorblad!$F$41&gt;Voorblad!$K$41,0,IF($U150=0,0,IF($U150&lt;1,1/$U150,IF((FR$56-Voorblad!$F$41)/$U150-SUM($EE150:FQ150)=1,1,0))))</f>
        <v>0</v>
      </c>
      <c r="FS150" s="8">
        <f>IF(FS$56-Voorblad!$F$41&gt;Voorblad!$K$41,0,IF($U150=0,0,IF($U150&lt;1,1/$U150,IF((FS$56-Voorblad!$F$41)/$U150-SUM($EE150:FR150)=1,1,0))))</f>
        <v>0</v>
      </c>
      <c r="FT150" s="8">
        <f>IF(FT$56-Voorblad!$F$41&gt;Voorblad!$K$41,0,IF($U150=0,0,IF($U150&lt;1,1/$U150,IF((FT$56-Voorblad!$F$41)/$U150-SUM($EE150:FS150)=1,1,0))))</f>
        <v>0</v>
      </c>
      <c r="FU150" s="8">
        <f>IF(FU$56-Voorblad!$F$41&gt;Voorblad!$K$41,0,IF($U150=0,0,IF($U150&lt;1,1/$U150,IF((FU$56-Voorblad!$F$41)/$U150-SUM($EE150:FT150)=1,1,0))))</f>
        <v>0</v>
      </c>
      <c r="FV150" s="8">
        <f>IF(FV$56-Voorblad!$F$41&gt;Voorblad!$K$41,0,IF($U150=0,0,IF($U150&lt;1,1/$U150,IF((FV$56-Voorblad!$F$41)/$U150-SUM($EE150:FU150)=1,1,0))))</f>
        <v>0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17280.12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0</v>
      </c>
      <c r="FG151" s="8">
        <f>IF(FG$56-Voorblad!$F$41&gt;Voorblad!$K$41,0,IF($U151=0,0,IF($U151&lt;1,1/$U151,IF((FG$56-Voorblad!$F$41)/$U151-SUM($EE151:FF151)=1,1,0))))</f>
        <v>0</v>
      </c>
      <c r="FH151" s="8">
        <f>IF(FH$56-Voorblad!$F$41&gt;Voorblad!$K$41,0,IF($U151=0,0,IF($U151&lt;1,1/$U151,IF((FH$56-Voorblad!$F$41)/$U151-SUM($EE151:FG151)=1,1,0))))</f>
        <v>0</v>
      </c>
      <c r="FI151" s="8">
        <f>IF(FI$56-Voorblad!$F$41&gt;Voorblad!$K$41,0,IF($U151=0,0,IF($U151&lt;1,1/$U151,IF((FI$56-Voorblad!$F$41)/$U151-SUM($EE151:FH151)=1,1,0))))</f>
        <v>0</v>
      </c>
      <c r="FJ151" s="8">
        <f>IF(FJ$56-Voorblad!$F$41&gt;Voorblad!$K$41,0,IF($U151=0,0,IF($U151&lt;1,1/$U151,IF((FJ$56-Voorblad!$F$41)/$U151-SUM($EE151:FI151)=1,1,0))))</f>
        <v>0</v>
      </c>
      <c r="FK151" s="8">
        <f>IF(FK$56-Voorblad!$F$41&gt;Voorblad!$K$41,0,IF($U151=0,0,IF($U151&lt;1,1/$U151,IF((FK$56-Voorblad!$F$41)/$U151-SUM($EE151:FJ151)=1,1,0))))</f>
        <v>0</v>
      </c>
      <c r="FL151" s="8">
        <f>IF(FL$56-Voorblad!$F$41&gt;Voorblad!$K$41,0,IF($U151=0,0,IF($U151&lt;1,1/$U151,IF((FL$56-Voorblad!$F$41)/$U151-SUM($EE151:FK151)=1,1,0))))</f>
        <v>0</v>
      </c>
      <c r="FM151" s="8">
        <f>IF(FM$56-Voorblad!$F$41&gt;Voorblad!$K$41,0,IF($U151=0,0,IF($U151&lt;1,1/$U151,IF((FM$56-Voorblad!$F$41)/$U151-SUM($EE151:FL151)=1,1,0))))</f>
        <v>0</v>
      </c>
      <c r="FN151" s="8">
        <f>IF(FN$56-Voorblad!$F$41&gt;Voorblad!$K$41,0,IF($U151=0,0,IF($U151&lt;1,1/$U151,IF((FN$56-Voorblad!$F$41)/$U151-SUM($EE151:FM151)=1,1,0))))</f>
        <v>0</v>
      </c>
      <c r="FO151" s="8">
        <f>IF(FO$56-Voorblad!$F$41&gt;Voorblad!$K$41,0,IF($U151=0,0,IF($U151&lt;1,1/$U151,IF((FO$56-Voorblad!$F$41)/$U151-SUM($EE151:FN151)=1,1,0))))</f>
        <v>0</v>
      </c>
      <c r="FP151" s="8">
        <f>IF(FP$56-Voorblad!$F$41&gt;Voorblad!$K$41,0,IF($U151=0,0,IF($U151&lt;1,1/$U151,IF((FP$56-Voorblad!$F$41)/$U151-SUM($EE151:FO151)=1,1,0))))</f>
        <v>0</v>
      </c>
      <c r="FQ151" s="8">
        <f>IF(FQ$56-Voorblad!$F$41&gt;Voorblad!$K$41,0,IF($U151=0,0,IF($U151&lt;1,1/$U151,IF((FQ$56-Voorblad!$F$41)/$U151-SUM($EE151:FP151)=1,1,0))))</f>
        <v>0</v>
      </c>
      <c r="FR151" s="8">
        <f>IF(FR$56-Voorblad!$F$41&gt;Voorblad!$K$41,0,IF($U151=0,0,IF($U151&lt;1,1/$U151,IF((FR$56-Voorblad!$F$41)/$U151-SUM($EE151:FQ151)=1,1,0))))</f>
        <v>0</v>
      </c>
      <c r="FS151" s="8">
        <f>IF(FS$56-Voorblad!$F$41&gt;Voorblad!$K$41,0,IF($U151=0,0,IF($U151&lt;1,1/$U151,IF((FS$56-Voorblad!$F$41)/$U151-SUM($EE151:FR151)=1,1,0))))</f>
        <v>0</v>
      </c>
      <c r="FT151" s="8">
        <f>IF(FT$56-Voorblad!$F$41&gt;Voorblad!$K$41,0,IF($U151=0,0,IF($U151&lt;1,1/$U151,IF((FT$56-Voorblad!$F$41)/$U151-SUM($EE151:FS151)=1,1,0))))</f>
        <v>0</v>
      </c>
      <c r="FU151" s="8">
        <f>IF(FU$56-Voorblad!$F$41&gt;Voorblad!$K$41,0,IF($U151=0,0,IF($U151&lt;1,1/$U151,IF((FU$56-Voorblad!$F$41)/$U151-SUM($EE151:FT151)=1,1,0))))</f>
        <v>0</v>
      </c>
      <c r="FV151" s="8">
        <f>IF(FV$56-Voorblad!$F$41&gt;Voorblad!$K$41,0,IF($U151=0,0,IF($U151&lt;1,1/$U151,IF((FV$56-Voorblad!$F$41)/$U151-SUM($EE151:FU151)=1,1,0))))</f>
        <v>0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34560.239999999998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0</v>
      </c>
      <c r="FG152" s="8">
        <f>IF(FG$56-Voorblad!$F$41&gt;Voorblad!$K$41,0,IF($U152=0,0,IF($U152&lt;1,1/$U152,IF((FG$56-Voorblad!$F$41)/$U152-SUM($EE152:FF152)=1,1,0))))</f>
        <v>0</v>
      </c>
      <c r="FH152" s="8">
        <f>IF(FH$56-Voorblad!$F$41&gt;Voorblad!$K$41,0,IF($U152=0,0,IF($U152&lt;1,1/$U152,IF((FH$56-Voorblad!$F$41)/$U152-SUM($EE152:FG152)=1,1,0))))</f>
        <v>0</v>
      </c>
      <c r="FI152" s="8">
        <f>IF(FI$56-Voorblad!$F$41&gt;Voorblad!$K$41,0,IF($U152=0,0,IF($U152&lt;1,1/$U152,IF((FI$56-Voorblad!$F$41)/$U152-SUM($EE152:FH152)=1,1,0))))</f>
        <v>0</v>
      </c>
      <c r="FJ152" s="8">
        <f>IF(FJ$56-Voorblad!$F$41&gt;Voorblad!$K$41,0,IF($U152=0,0,IF($U152&lt;1,1/$U152,IF((FJ$56-Voorblad!$F$41)/$U152-SUM($EE152:FI152)=1,1,0))))</f>
        <v>0</v>
      </c>
      <c r="FK152" s="8">
        <f>IF(FK$56-Voorblad!$F$41&gt;Voorblad!$K$41,0,IF($U152=0,0,IF($U152&lt;1,1/$U152,IF((FK$56-Voorblad!$F$41)/$U152-SUM($EE152:FJ152)=1,1,0))))</f>
        <v>0</v>
      </c>
      <c r="FL152" s="8">
        <f>IF(FL$56-Voorblad!$F$41&gt;Voorblad!$K$41,0,IF($U152=0,0,IF($U152&lt;1,1/$U152,IF((FL$56-Voorblad!$F$41)/$U152-SUM($EE152:FK152)=1,1,0))))</f>
        <v>0</v>
      </c>
      <c r="FM152" s="8">
        <f>IF(FM$56-Voorblad!$F$41&gt;Voorblad!$K$41,0,IF($U152=0,0,IF($U152&lt;1,1/$U152,IF((FM$56-Voorblad!$F$41)/$U152-SUM($EE152:FL152)=1,1,0))))</f>
        <v>0</v>
      </c>
      <c r="FN152" s="8">
        <f>IF(FN$56-Voorblad!$F$41&gt;Voorblad!$K$41,0,IF($U152=0,0,IF($U152&lt;1,1/$U152,IF((FN$56-Voorblad!$F$41)/$U152-SUM($EE152:FM152)=1,1,0))))</f>
        <v>0</v>
      </c>
      <c r="FO152" s="8">
        <f>IF(FO$56-Voorblad!$F$41&gt;Voorblad!$K$41,0,IF($U152=0,0,IF($U152&lt;1,1/$U152,IF((FO$56-Voorblad!$F$41)/$U152-SUM($EE152:FN152)=1,1,0))))</f>
        <v>0</v>
      </c>
      <c r="FP152" s="8">
        <f>IF(FP$56-Voorblad!$F$41&gt;Voorblad!$K$41,0,IF($U152=0,0,IF($U152&lt;1,1/$U152,IF((FP$56-Voorblad!$F$41)/$U152-SUM($EE152:FO152)=1,1,0))))</f>
        <v>0</v>
      </c>
      <c r="FQ152" s="8">
        <f>IF(FQ$56-Voorblad!$F$41&gt;Voorblad!$K$41,0,IF($U152=0,0,IF($U152&lt;1,1/$U152,IF((FQ$56-Voorblad!$F$41)/$U152-SUM($EE152:FP152)=1,1,0))))</f>
        <v>0</v>
      </c>
      <c r="FR152" s="8">
        <f>IF(FR$56-Voorblad!$F$41&gt;Voorblad!$K$41,0,IF($U152=0,0,IF($U152&lt;1,1/$U152,IF((FR$56-Voorblad!$F$41)/$U152-SUM($EE152:FQ152)=1,1,0))))</f>
        <v>0</v>
      </c>
      <c r="FS152" s="8">
        <f>IF(FS$56-Voorblad!$F$41&gt;Voorblad!$K$41,0,IF($U152=0,0,IF($U152&lt;1,1/$U152,IF((FS$56-Voorblad!$F$41)/$U152-SUM($EE152:FR152)=1,1,0))))</f>
        <v>0</v>
      </c>
      <c r="FT152" s="8">
        <f>IF(FT$56-Voorblad!$F$41&gt;Voorblad!$K$41,0,IF($U152=0,0,IF($U152&lt;1,1/$U152,IF((FT$56-Voorblad!$F$41)/$U152-SUM($EE152:FS152)=1,1,0))))</f>
        <v>0</v>
      </c>
      <c r="FU152" s="8">
        <f>IF(FU$56-Voorblad!$F$41&gt;Voorblad!$K$41,0,IF($U152=0,0,IF($U152&lt;1,1/$U152,IF((FU$56-Voorblad!$F$41)/$U152-SUM($EE152:FT152)=1,1,0))))</f>
        <v>0</v>
      </c>
      <c r="FV152" s="8">
        <f>IF(FV$56-Voorblad!$F$41&gt;Voorblad!$K$41,0,IF($U152=0,0,IF($U152&lt;1,1/$U152,IF((FV$56-Voorblad!$F$41)/$U152-SUM($EE152:FU152)=1,1,0))))</f>
        <v>0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60480.42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0</v>
      </c>
      <c r="FG153" s="8">
        <f>IF(FG$56-Voorblad!$F$41&gt;Voorblad!$K$41,0,IF($U153=0,0,IF($U153&lt;1,1/$U153,IF((FG$56-Voorblad!$F$41)/$U153-SUM($EE153:FF153)=1,1,0))))</f>
        <v>0</v>
      </c>
      <c r="FH153" s="8">
        <f>IF(FH$56-Voorblad!$F$41&gt;Voorblad!$K$41,0,IF($U153=0,0,IF($U153&lt;1,1/$U153,IF((FH$56-Voorblad!$F$41)/$U153-SUM($EE153:FG153)=1,1,0))))</f>
        <v>0</v>
      </c>
      <c r="FI153" s="8">
        <f>IF(FI$56-Voorblad!$F$41&gt;Voorblad!$K$41,0,IF($U153=0,0,IF($U153&lt;1,1/$U153,IF((FI$56-Voorblad!$F$41)/$U153-SUM($EE153:FH153)=1,1,0))))</f>
        <v>0</v>
      </c>
      <c r="FJ153" s="8">
        <f>IF(FJ$56-Voorblad!$F$41&gt;Voorblad!$K$41,0,IF($U153=0,0,IF($U153&lt;1,1/$U153,IF((FJ$56-Voorblad!$F$41)/$U153-SUM($EE153:FI153)=1,1,0))))</f>
        <v>0</v>
      </c>
      <c r="FK153" s="8">
        <f>IF(FK$56-Voorblad!$F$41&gt;Voorblad!$K$41,0,IF($U153=0,0,IF($U153&lt;1,1/$U153,IF((FK$56-Voorblad!$F$41)/$U153-SUM($EE153:FJ153)=1,1,0))))</f>
        <v>0</v>
      </c>
      <c r="FL153" s="8">
        <f>IF(FL$56-Voorblad!$F$41&gt;Voorblad!$K$41,0,IF($U153=0,0,IF($U153&lt;1,1/$U153,IF((FL$56-Voorblad!$F$41)/$U153-SUM($EE153:FK153)=1,1,0))))</f>
        <v>0</v>
      </c>
      <c r="FM153" s="8">
        <f>IF(FM$56-Voorblad!$F$41&gt;Voorblad!$K$41,0,IF($U153=0,0,IF($U153&lt;1,1/$U153,IF((FM$56-Voorblad!$F$41)/$U153-SUM($EE153:FL153)=1,1,0))))</f>
        <v>0</v>
      </c>
      <c r="FN153" s="8">
        <f>IF(FN$56-Voorblad!$F$41&gt;Voorblad!$K$41,0,IF($U153=0,0,IF($U153&lt;1,1/$U153,IF((FN$56-Voorblad!$F$41)/$U153-SUM($EE153:FM153)=1,1,0))))</f>
        <v>0</v>
      </c>
      <c r="FO153" s="8">
        <f>IF(FO$56-Voorblad!$F$41&gt;Voorblad!$K$41,0,IF($U153=0,0,IF($U153&lt;1,1/$U153,IF((FO$56-Voorblad!$F$41)/$U153-SUM($EE153:FN153)=1,1,0))))</f>
        <v>0</v>
      </c>
      <c r="FP153" s="8">
        <f>IF(FP$56-Voorblad!$F$41&gt;Voorblad!$K$41,0,IF($U153=0,0,IF($U153&lt;1,1/$U153,IF((FP$56-Voorblad!$F$41)/$U153-SUM($EE153:FO153)=1,1,0))))</f>
        <v>0</v>
      </c>
      <c r="FQ153" s="8">
        <f>IF(FQ$56-Voorblad!$F$41&gt;Voorblad!$K$41,0,IF($U153=0,0,IF($U153&lt;1,1/$U153,IF((FQ$56-Voorblad!$F$41)/$U153-SUM($EE153:FP153)=1,1,0))))</f>
        <v>0</v>
      </c>
      <c r="FR153" s="8">
        <f>IF(FR$56-Voorblad!$F$41&gt;Voorblad!$K$41,0,IF($U153=0,0,IF($U153&lt;1,1/$U153,IF((FR$56-Voorblad!$F$41)/$U153-SUM($EE153:FQ153)=1,1,0))))</f>
        <v>0</v>
      </c>
      <c r="FS153" s="8">
        <f>IF(FS$56-Voorblad!$F$41&gt;Voorblad!$K$41,0,IF($U153=0,0,IF($U153&lt;1,1/$U153,IF((FS$56-Voorblad!$F$41)/$U153-SUM($EE153:FR153)=1,1,0))))</f>
        <v>0</v>
      </c>
      <c r="FT153" s="8">
        <f>IF(FT$56-Voorblad!$F$41&gt;Voorblad!$K$41,0,IF($U153=0,0,IF($U153&lt;1,1/$U153,IF((FT$56-Voorblad!$F$41)/$U153-SUM($EE153:FS153)=1,1,0))))</f>
        <v>0</v>
      </c>
      <c r="FU153" s="8">
        <f>IF(FU$56-Voorblad!$F$41&gt;Voorblad!$K$41,0,IF($U153=0,0,IF($U153&lt;1,1/$U153,IF((FU$56-Voorblad!$F$41)/$U153-SUM($EE153:FT153)=1,1,0))))</f>
        <v>0</v>
      </c>
      <c r="FV153" s="8">
        <f>IF(FV$56-Voorblad!$F$41&gt;Voorblad!$K$41,0,IF($U153=0,0,IF($U153&lt;1,1/$U153,IF((FV$56-Voorblad!$F$41)/$U153-SUM($EE153:FU153)=1,1,0))))</f>
        <v>0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270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864005.99999999988</v>
      </c>
      <c r="U154" s="14"/>
      <c r="V154" s="14"/>
      <c r="W154" s="14"/>
      <c r="X154" s="6"/>
      <c r="Y154" s="23">
        <f>SUM(Y149:Y153)</f>
        <v>466036.70562771446</v>
      </c>
      <c r="Z154" s="24"/>
      <c r="AA154" s="23">
        <f>SUM(AA149:AA153)</f>
        <v>52</v>
      </c>
      <c r="AC154" s="9">
        <f>$Y154*(Voorblad!$K$44*(1+Voorblad!$K$44)^Voorblad!$K$41)/((1+Voorblad!$K$44)^Voorblad!$K$41-1)</f>
        <v>25294.571439091163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275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0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0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0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276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0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0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276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0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0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276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0</v>
      </c>
      <c r="FG161" s="8">
        <f>IF(FG$56-Voorblad!$F$41&gt;Voorblad!$K$41,0,IF($U161=0,0,IF($U161&lt;1,1/$U161,IF((FG$56-Voorblad!$F$41)/$U161-SUM($EE161:FF161)=1,1,0))))</f>
        <v>0</v>
      </c>
      <c r="FH161" s="8">
        <f>IF(FH$56-Voorblad!$F$41&gt;Voorblad!$K$41,0,IF($U161=0,0,IF($U161&lt;1,1/$U161,IF((FH$56-Voorblad!$F$41)/$U161-SUM($EE161:FG161)=1,1,0))))</f>
        <v>0</v>
      </c>
      <c r="FI161" s="8">
        <f>IF(FI$56-Voorblad!$F$41&gt;Voorblad!$K$41,0,IF($U161=0,0,IF($U161&lt;1,1/$U161,IF((FI$56-Voorblad!$F$41)/$U161-SUM($EE161:FH161)=1,1,0))))</f>
        <v>0</v>
      </c>
      <c r="FJ161" s="8">
        <f>IF(FJ$56-Voorblad!$F$41&gt;Voorblad!$K$41,0,IF($U161=0,0,IF($U161&lt;1,1/$U161,IF((FJ$56-Voorblad!$F$41)/$U161-SUM($EE161:FI161)=1,1,0))))</f>
        <v>0</v>
      </c>
      <c r="FK161" s="8">
        <f>IF(FK$56-Voorblad!$F$41&gt;Voorblad!$K$41,0,IF($U161=0,0,IF($U161&lt;1,1/$U161,IF((FK$56-Voorblad!$F$41)/$U161-SUM($EE161:FJ161)=1,1,0))))</f>
        <v>0</v>
      </c>
      <c r="FL161" s="8">
        <f>IF(FL$56-Voorblad!$F$41&gt;Voorblad!$K$41,0,IF($U161=0,0,IF($U161&lt;1,1/$U161,IF((FL$56-Voorblad!$F$41)/$U161-SUM($EE161:FK161)=1,1,0))))</f>
        <v>0</v>
      </c>
      <c r="FM161" s="8">
        <f>IF(FM$56-Voorblad!$F$41&gt;Voorblad!$K$41,0,IF($U161=0,0,IF($U161&lt;1,1/$U161,IF((FM$56-Voorblad!$F$41)/$U161-SUM($EE161:FL161)=1,1,0))))</f>
        <v>0</v>
      </c>
      <c r="FN161" s="8">
        <f>IF(FN$56-Voorblad!$F$41&gt;Voorblad!$K$41,0,IF($U161=0,0,IF($U161&lt;1,1/$U161,IF((FN$56-Voorblad!$F$41)/$U161-SUM($EE161:FM161)=1,1,0))))</f>
        <v>0</v>
      </c>
      <c r="FO161" s="8">
        <f>IF(FO$56-Voorblad!$F$41&gt;Voorblad!$K$41,0,IF($U161=0,0,IF($U161&lt;1,1/$U161,IF((FO$56-Voorblad!$F$41)/$U161-SUM($EE161:FN161)=1,1,0))))</f>
        <v>0</v>
      </c>
      <c r="FP161" s="8">
        <f>IF(FP$56-Voorblad!$F$41&gt;Voorblad!$K$41,0,IF($U161=0,0,IF($U161&lt;1,1/$U161,IF((FP$56-Voorblad!$F$41)/$U161-SUM($EE161:FO161)=1,1,0))))</f>
        <v>0</v>
      </c>
      <c r="FQ161" s="8">
        <f>IF(FQ$56-Voorblad!$F$41&gt;Voorblad!$K$41,0,IF($U161=0,0,IF($U161&lt;1,1/$U161,IF((FQ$56-Voorblad!$F$41)/$U161-SUM($EE161:FP161)=1,1,0))))</f>
        <v>0</v>
      </c>
      <c r="FR161" s="8">
        <f>IF(FR$56-Voorblad!$F$41&gt;Voorblad!$K$41,0,IF($U161=0,0,IF($U161&lt;1,1/$U161,IF((FR$56-Voorblad!$F$41)/$U161-SUM($EE161:FQ161)=1,1,0))))</f>
        <v>0</v>
      </c>
      <c r="FS161" s="8">
        <f>IF(FS$56-Voorblad!$F$41&gt;Voorblad!$K$41,0,IF($U161=0,0,IF($U161&lt;1,1/$U161,IF((FS$56-Voorblad!$F$41)/$U161-SUM($EE161:FR161)=1,1,0))))</f>
        <v>0</v>
      </c>
      <c r="FT161" s="8">
        <f>IF(FT$56-Voorblad!$F$41&gt;Voorblad!$K$41,0,IF($U161=0,0,IF($U161&lt;1,1/$U161,IF((FT$56-Voorblad!$F$41)/$U161-SUM($EE161:FS161)=1,1,0))))</f>
        <v>0</v>
      </c>
      <c r="FU161" s="8">
        <f>IF(FU$56-Voorblad!$F$41&gt;Voorblad!$K$41,0,IF($U161=0,0,IF($U161&lt;1,1/$U161,IF((FU$56-Voorblad!$F$41)/$U161-SUM($EE161:FT161)=1,1,0))))</f>
        <v>0</v>
      </c>
      <c r="FV161" s="8">
        <f>IF(FV$56-Voorblad!$F$41&gt;Voorblad!$K$41,0,IF($U161=0,0,IF($U161&lt;1,1/$U161,IF((FV$56-Voorblad!$F$41)/$U161-SUM($EE161:FU161)=1,1,0))))</f>
        <v>0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276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0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0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276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0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276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0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276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0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276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0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276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0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276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0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276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0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276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0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276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0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268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0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0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0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0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0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269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2053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0</v>
      </c>
      <c r="FG187" s="8">
        <f>IF(FG$56-Voorblad!$F$41&gt;Voorblad!$K$41,0,IF($U187=0,0,IF($U187&lt;1,1/$U187,IF((FG$56-Voorblad!$F$41)/$U187-SUM($EE187:FF187)=1,1,0))))</f>
        <v>0</v>
      </c>
      <c r="FH187" s="8">
        <f>IF(FH$56-Voorblad!$F$41&gt;Voorblad!$K$41,0,IF($U187=0,0,IF($U187&lt;1,1/$U187,IF((FH$56-Voorblad!$F$41)/$U187-SUM($EE187:FG187)=1,1,0))))</f>
        <v>0</v>
      </c>
      <c r="FI187" s="8">
        <f>IF(FI$56-Voorblad!$F$41&gt;Voorblad!$K$41,0,IF($U187=0,0,IF($U187&lt;1,1/$U187,IF((FI$56-Voorblad!$F$41)/$U187-SUM($EE187:FH187)=1,1,0))))</f>
        <v>0</v>
      </c>
      <c r="FJ187" s="8">
        <f>IF(FJ$56-Voorblad!$F$41&gt;Voorblad!$K$41,0,IF($U187=0,0,IF($U187&lt;1,1/$U187,IF((FJ$56-Voorblad!$F$41)/$U187-SUM($EE187:FI187)=1,1,0))))</f>
        <v>0</v>
      </c>
      <c r="FK187" s="8">
        <f>IF(FK$56-Voorblad!$F$41&gt;Voorblad!$K$41,0,IF($U187=0,0,IF($U187&lt;1,1/$U187,IF((FK$56-Voorblad!$F$41)/$U187-SUM($EE187:FJ187)=1,1,0))))</f>
        <v>0</v>
      </c>
      <c r="FL187" s="8">
        <f>IF(FL$56-Voorblad!$F$41&gt;Voorblad!$K$41,0,IF($U187=0,0,IF($U187&lt;1,1/$U187,IF((FL$56-Voorblad!$F$41)/$U187-SUM($EE187:FK187)=1,1,0))))</f>
        <v>0</v>
      </c>
      <c r="FM187" s="8">
        <f>IF(FM$56-Voorblad!$F$41&gt;Voorblad!$K$41,0,IF($U187=0,0,IF($U187&lt;1,1/$U187,IF((FM$56-Voorblad!$F$41)/$U187-SUM($EE187:FL187)=1,1,0))))</f>
        <v>0</v>
      </c>
      <c r="FN187" s="8">
        <f>IF(FN$56-Voorblad!$F$41&gt;Voorblad!$K$41,0,IF($U187=0,0,IF($U187&lt;1,1/$U187,IF((FN$56-Voorblad!$F$41)/$U187-SUM($EE187:FM187)=1,1,0))))</f>
        <v>0</v>
      </c>
      <c r="FO187" s="8">
        <f>IF(FO$56-Voorblad!$F$41&gt;Voorblad!$K$41,0,IF($U187=0,0,IF($U187&lt;1,1/$U187,IF((FO$56-Voorblad!$F$41)/$U187-SUM($EE187:FN187)=1,1,0))))</f>
        <v>0</v>
      </c>
      <c r="FP187" s="8">
        <f>IF(FP$56-Voorblad!$F$41&gt;Voorblad!$K$41,0,IF($U187=0,0,IF($U187&lt;1,1/$U187,IF((FP$56-Voorblad!$F$41)/$U187-SUM($EE187:FO187)=1,1,0))))</f>
        <v>0</v>
      </c>
      <c r="FQ187" s="8">
        <f>IF(FQ$56-Voorblad!$F$41&gt;Voorblad!$K$41,0,IF($U187=0,0,IF($U187&lt;1,1/$U187,IF((FQ$56-Voorblad!$F$41)/$U187-SUM($EE187:FP187)=1,1,0))))</f>
        <v>0</v>
      </c>
      <c r="FR187" s="8">
        <f>IF(FR$56-Voorblad!$F$41&gt;Voorblad!$K$41,0,IF($U187=0,0,IF($U187&lt;1,1/$U187,IF((FR$56-Voorblad!$F$41)/$U187-SUM($EE187:FQ187)=1,1,0))))</f>
        <v>0</v>
      </c>
      <c r="FS187" s="8">
        <f>IF(FS$56-Voorblad!$F$41&gt;Voorblad!$K$41,0,IF($U187=0,0,IF($U187&lt;1,1/$U187,IF((FS$56-Voorblad!$F$41)/$U187-SUM($EE187:FR187)=1,1,0))))</f>
        <v>0</v>
      </c>
      <c r="FT187" s="8">
        <f>IF(FT$56-Voorblad!$F$41&gt;Voorblad!$K$41,0,IF($U187=0,0,IF($U187&lt;1,1/$U187,IF((FT$56-Voorblad!$F$41)/$U187-SUM($EE187:FS187)=1,1,0))))</f>
        <v>0</v>
      </c>
      <c r="FU187" s="8">
        <f>IF(FU$56-Voorblad!$F$41&gt;Voorblad!$K$41,0,IF($U187=0,0,IF($U187&lt;1,1/$U187,IF((FU$56-Voorblad!$F$41)/$U187-SUM($EE187:FT187)=1,1,0))))</f>
        <v>0</v>
      </c>
      <c r="FV187" s="8">
        <f>IF(FV$56-Voorblad!$F$41&gt;Voorblad!$K$41,0,IF($U187=0,0,IF($U187&lt;1,1/$U187,IF((FV$56-Voorblad!$F$41)/$U187-SUM($EE187:FU187)=1,1,0))))</f>
        <v>0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0</v>
      </c>
      <c r="FG188" s="8">
        <f>IF(FG$56-Voorblad!$F$41&gt;Voorblad!$K$41,0,IF($U188=0,0,IF($U188&lt;1,1/$U188,IF((FG$56-Voorblad!$F$41)/$U188-SUM($EE188:FF188)=1,1,0))))</f>
        <v>0</v>
      </c>
      <c r="FH188" s="8">
        <f>IF(FH$56-Voorblad!$F$41&gt;Voorblad!$K$41,0,IF($U188=0,0,IF($U188&lt;1,1/$U188,IF((FH$56-Voorblad!$F$41)/$U188-SUM($EE188:FG188)=1,1,0))))</f>
        <v>0</v>
      </c>
      <c r="FI188" s="8">
        <f>IF(FI$56-Voorblad!$F$41&gt;Voorblad!$K$41,0,IF($U188=0,0,IF($U188&lt;1,1/$U188,IF((FI$56-Voorblad!$F$41)/$U188-SUM($EE188:FH188)=1,1,0))))</f>
        <v>0</v>
      </c>
      <c r="FJ188" s="8">
        <f>IF(FJ$56-Voorblad!$F$41&gt;Voorblad!$K$41,0,IF($U188=0,0,IF($U188&lt;1,1/$U188,IF((FJ$56-Voorblad!$F$41)/$U188-SUM($EE188:FI188)=1,1,0))))</f>
        <v>0</v>
      </c>
      <c r="FK188" s="8">
        <f>IF(FK$56-Voorblad!$F$41&gt;Voorblad!$K$41,0,IF($U188=0,0,IF($U188&lt;1,1/$U188,IF((FK$56-Voorblad!$F$41)/$U188-SUM($EE188:FJ188)=1,1,0))))</f>
        <v>0</v>
      </c>
      <c r="FL188" s="8">
        <f>IF(FL$56-Voorblad!$F$41&gt;Voorblad!$K$41,0,IF($U188=0,0,IF($U188&lt;1,1/$U188,IF((FL$56-Voorblad!$F$41)/$U188-SUM($EE188:FK188)=1,1,0))))</f>
        <v>0</v>
      </c>
      <c r="FM188" s="8">
        <f>IF(FM$56-Voorblad!$F$41&gt;Voorblad!$K$41,0,IF($U188=0,0,IF($U188&lt;1,1/$U188,IF((FM$56-Voorblad!$F$41)/$U188-SUM($EE188:FL188)=1,1,0))))</f>
        <v>0</v>
      </c>
      <c r="FN188" s="8">
        <f>IF(FN$56-Voorblad!$F$41&gt;Voorblad!$K$41,0,IF($U188=0,0,IF($U188&lt;1,1/$U188,IF((FN$56-Voorblad!$F$41)/$U188-SUM($EE188:FM188)=1,1,0))))</f>
        <v>0</v>
      </c>
      <c r="FO188" s="8">
        <f>IF(FO$56-Voorblad!$F$41&gt;Voorblad!$K$41,0,IF($U188=0,0,IF($U188&lt;1,1/$U188,IF((FO$56-Voorblad!$F$41)/$U188-SUM($EE188:FN188)=1,1,0))))</f>
        <v>0</v>
      </c>
      <c r="FP188" s="8">
        <f>IF(FP$56-Voorblad!$F$41&gt;Voorblad!$K$41,0,IF($U188=0,0,IF($U188&lt;1,1/$U188,IF((FP$56-Voorblad!$F$41)/$U188-SUM($EE188:FO188)=1,1,0))))</f>
        <v>0</v>
      </c>
      <c r="FQ188" s="8">
        <f>IF(FQ$56-Voorblad!$F$41&gt;Voorblad!$K$41,0,IF($U188=0,0,IF($U188&lt;1,1/$U188,IF((FQ$56-Voorblad!$F$41)/$U188-SUM($EE188:FP188)=1,1,0))))</f>
        <v>0</v>
      </c>
      <c r="FR188" s="8">
        <f>IF(FR$56-Voorblad!$F$41&gt;Voorblad!$K$41,0,IF($U188=0,0,IF($U188&lt;1,1/$U188,IF((FR$56-Voorblad!$F$41)/$U188-SUM($EE188:FQ188)=1,1,0))))</f>
        <v>0</v>
      </c>
      <c r="FS188" s="8">
        <f>IF(FS$56-Voorblad!$F$41&gt;Voorblad!$K$41,0,IF($U188=0,0,IF($U188&lt;1,1/$U188,IF((FS$56-Voorblad!$F$41)/$U188-SUM($EE188:FR188)=1,1,0))))</f>
        <v>0</v>
      </c>
      <c r="FT188" s="8">
        <f>IF(FT$56-Voorblad!$F$41&gt;Voorblad!$K$41,0,IF($U188=0,0,IF($U188&lt;1,1/$U188,IF((FT$56-Voorblad!$F$41)/$U188-SUM($EE188:FS188)=1,1,0))))</f>
        <v>0</v>
      </c>
      <c r="FU188" s="8">
        <f>IF(FU$56-Voorblad!$F$41&gt;Voorblad!$K$41,0,IF($U188=0,0,IF($U188&lt;1,1/$U188,IF((FU$56-Voorblad!$F$41)/$U188-SUM($EE188:FT188)=1,1,0))))</f>
        <v>0</v>
      </c>
      <c r="FV188" s="8">
        <f>IF(FV$56-Voorblad!$F$41&gt;Voorblad!$K$41,0,IF($U188=0,0,IF($U188&lt;1,1/$U188,IF((FV$56-Voorblad!$F$41)/$U188-SUM($EE188:FU188)=1,1,0))))</f>
        <v>0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0</v>
      </c>
      <c r="FG189" s="8">
        <f>IF(FG$56-Voorblad!$F$41&gt;Voorblad!$K$41,0,IF($U189=0,0,IF($U189&lt;1,1/$U189,IF((FG$56-Voorblad!$F$41)/$U189-SUM($EE189:FF189)=1,1,0))))</f>
        <v>0</v>
      </c>
      <c r="FH189" s="8">
        <f>IF(FH$56-Voorblad!$F$41&gt;Voorblad!$K$41,0,IF($U189=0,0,IF($U189&lt;1,1/$U189,IF((FH$56-Voorblad!$F$41)/$U189-SUM($EE189:FG189)=1,1,0))))</f>
        <v>0</v>
      </c>
      <c r="FI189" s="8">
        <f>IF(FI$56-Voorblad!$F$41&gt;Voorblad!$K$41,0,IF($U189=0,0,IF($U189&lt;1,1/$U189,IF((FI$56-Voorblad!$F$41)/$U189-SUM($EE189:FH189)=1,1,0))))</f>
        <v>0</v>
      </c>
      <c r="FJ189" s="8">
        <f>IF(FJ$56-Voorblad!$F$41&gt;Voorblad!$K$41,0,IF($U189=0,0,IF($U189&lt;1,1/$U189,IF((FJ$56-Voorblad!$F$41)/$U189-SUM($EE189:FI189)=1,1,0))))</f>
        <v>0</v>
      </c>
      <c r="FK189" s="8">
        <f>IF(FK$56-Voorblad!$F$41&gt;Voorblad!$K$41,0,IF($U189=0,0,IF($U189&lt;1,1/$U189,IF((FK$56-Voorblad!$F$41)/$U189-SUM($EE189:FJ189)=1,1,0))))</f>
        <v>0</v>
      </c>
      <c r="FL189" s="8">
        <f>IF(FL$56-Voorblad!$F$41&gt;Voorblad!$K$41,0,IF($U189=0,0,IF($U189&lt;1,1/$U189,IF((FL$56-Voorblad!$F$41)/$U189-SUM($EE189:FK189)=1,1,0))))</f>
        <v>0</v>
      </c>
      <c r="FM189" s="8">
        <f>IF(FM$56-Voorblad!$F$41&gt;Voorblad!$K$41,0,IF($U189=0,0,IF($U189&lt;1,1/$U189,IF((FM$56-Voorblad!$F$41)/$U189-SUM($EE189:FL189)=1,1,0))))</f>
        <v>0</v>
      </c>
      <c r="FN189" s="8">
        <f>IF(FN$56-Voorblad!$F$41&gt;Voorblad!$K$41,0,IF($U189=0,0,IF($U189&lt;1,1/$U189,IF((FN$56-Voorblad!$F$41)/$U189-SUM($EE189:FM189)=1,1,0))))</f>
        <v>0</v>
      </c>
      <c r="FO189" s="8">
        <f>IF(FO$56-Voorblad!$F$41&gt;Voorblad!$K$41,0,IF($U189=0,0,IF($U189&lt;1,1/$U189,IF((FO$56-Voorblad!$F$41)/$U189-SUM($EE189:FN189)=1,1,0))))</f>
        <v>0</v>
      </c>
      <c r="FP189" s="8">
        <f>IF(FP$56-Voorblad!$F$41&gt;Voorblad!$K$41,0,IF($U189=0,0,IF($U189&lt;1,1/$U189,IF((FP$56-Voorblad!$F$41)/$U189-SUM($EE189:FO189)=1,1,0))))</f>
        <v>0</v>
      </c>
      <c r="FQ189" s="8">
        <f>IF(FQ$56-Voorblad!$F$41&gt;Voorblad!$K$41,0,IF($U189=0,0,IF($U189&lt;1,1/$U189,IF((FQ$56-Voorblad!$F$41)/$U189-SUM($EE189:FP189)=1,1,0))))</f>
        <v>0</v>
      </c>
      <c r="FR189" s="8">
        <f>IF(FR$56-Voorblad!$F$41&gt;Voorblad!$K$41,0,IF($U189=0,0,IF($U189&lt;1,1/$U189,IF((FR$56-Voorblad!$F$41)/$U189-SUM($EE189:FQ189)=1,1,0))))</f>
        <v>0</v>
      </c>
      <c r="FS189" s="8">
        <f>IF(FS$56-Voorblad!$F$41&gt;Voorblad!$K$41,0,IF($U189=0,0,IF($U189&lt;1,1/$U189,IF((FS$56-Voorblad!$F$41)/$U189-SUM($EE189:FR189)=1,1,0))))</f>
        <v>0</v>
      </c>
      <c r="FT189" s="8">
        <f>IF(FT$56-Voorblad!$F$41&gt;Voorblad!$K$41,0,IF($U189=0,0,IF($U189&lt;1,1/$U189,IF((FT$56-Voorblad!$F$41)/$U189-SUM($EE189:FS189)=1,1,0))))</f>
        <v>0</v>
      </c>
      <c r="FU189" s="8">
        <f>IF(FU$56-Voorblad!$F$41&gt;Voorblad!$K$41,0,IF($U189=0,0,IF($U189&lt;1,1/$U189,IF((FU$56-Voorblad!$F$41)/$U189-SUM($EE189:FT189)=1,1,0))))</f>
        <v>0</v>
      </c>
      <c r="FV189" s="8">
        <f>IF(FV$56-Voorblad!$F$41&gt;Voorblad!$K$41,0,IF($U189=0,0,IF($U189&lt;1,1/$U189,IF((FV$56-Voorblad!$F$41)/$U189-SUM($EE189:FU189)=1,1,0))))</f>
        <v>0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0</v>
      </c>
      <c r="FG190" s="8">
        <f>IF(FG$56-Voorblad!$F$41&gt;Voorblad!$K$41,0,IF($U190=0,0,IF($U190&lt;1,1/$U190,IF((FG$56-Voorblad!$F$41)/$U190-SUM($EE190:FF190)=1,1,0))))</f>
        <v>0</v>
      </c>
      <c r="FH190" s="8">
        <f>IF(FH$56-Voorblad!$F$41&gt;Voorblad!$K$41,0,IF($U190=0,0,IF($U190&lt;1,1/$U190,IF((FH$56-Voorblad!$F$41)/$U190-SUM($EE190:FG190)=1,1,0))))</f>
        <v>0</v>
      </c>
      <c r="FI190" s="8">
        <f>IF(FI$56-Voorblad!$F$41&gt;Voorblad!$K$41,0,IF($U190=0,0,IF($U190&lt;1,1/$U190,IF((FI$56-Voorblad!$F$41)/$U190-SUM($EE190:FH190)=1,1,0))))</f>
        <v>0</v>
      </c>
      <c r="FJ190" s="8">
        <f>IF(FJ$56-Voorblad!$F$41&gt;Voorblad!$K$41,0,IF($U190=0,0,IF($U190&lt;1,1/$U190,IF((FJ$56-Voorblad!$F$41)/$U190-SUM($EE190:FI190)=1,1,0))))</f>
        <v>0</v>
      </c>
      <c r="FK190" s="8">
        <f>IF(FK$56-Voorblad!$F$41&gt;Voorblad!$K$41,0,IF($U190=0,0,IF($U190&lt;1,1/$U190,IF((FK$56-Voorblad!$F$41)/$U190-SUM($EE190:FJ190)=1,1,0))))</f>
        <v>0</v>
      </c>
      <c r="FL190" s="8">
        <f>IF(FL$56-Voorblad!$F$41&gt;Voorblad!$K$41,0,IF($U190=0,0,IF($U190&lt;1,1/$U190,IF((FL$56-Voorblad!$F$41)/$U190-SUM($EE190:FK190)=1,1,0))))</f>
        <v>0</v>
      </c>
      <c r="FM190" s="8">
        <f>IF(FM$56-Voorblad!$F$41&gt;Voorblad!$K$41,0,IF($U190=0,0,IF($U190&lt;1,1/$U190,IF((FM$56-Voorblad!$F$41)/$U190-SUM($EE190:FL190)=1,1,0))))</f>
        <v>0</v>
      </c>
      <c r="FN190" s="8">
        <f>IF(FN$56-Voorblad!$F$41&gt;Voorblad!$K$41,0,IF($U190=0,0,IF($U190&lt;1,1/$U190,IF((FN$56-Voorblad!$F$41)/$U190-SUM($EE190:FM190)=1,1,0))))</f>
        <v>0</v>
      </c>
      <c r="FO190" s="8">
        <f>IF(FO$56-Voorblad!$F$41&gt;Voorblad!$K$41,0,IF($U190=0,0,IF($U190&lt;1,1/$U190,IF((FO$56-Voorblad!$F$41)/$U190-SUM($EE190:FN190)=1,1,0))))</f>
        <v>0</v>
      </c>
      <c r="FP190" s="8">
        <f>IF(FP$56-Voorblad!$F$41&gt;Voorblad!$K$41,0,IF($U190=0,0,IF($U190&lt;1,1/$U190,IF((FP$56-Voorblad!$F$41)/$U190-SUM($EE190:FO190)=1,1,0))))</f>
        <v>0</v>
      </c>
      <c r="FQ190" s="8">
        <f>IF(FQ$56-Voorblad!$F$41&gt;Voorblad!$K$41,0,IF($U190=0,0,IF($U190&lt;1,1/$U190,IF((FQ$56-Voorblad!$F$41)/$U190-SUM($EE190:FP190)=1,1,0))))</f>
        <v>0</v>
      </c>
      <c r="FR190" s="8">
        <f>IF(FR$56-Voorblad!$F$41&gt;Voorblad!$K$41,0,IF($U190=0,0,IF($U190&lt;1,1/$U190,IF((FR$56-Voorblad!$F$41)/$U190-SUM($EE190:FQ190)=1,1,0))))</f>
        <v>0</v>
      </c>
      <c r="FS190" s="8">
        <f>IF(FS$56-Voorblad!$F$41&gt;Voorblad!$K$41,0,IF($U190=0,0,IF($U190&lt;1,1/$U190,IF((FS$56-Voorblad!$F$41)/$U190-SUM($EE190:FR190)=1,1,0))))</f>
        <v>0</v>
      </c>
      <c r="FT190" s="8">
        <f>IF(FT$56-Voorblad!$F$41&gt;Voorblad!$K$41,0,IF($U190=0,0,IF($U190&lt;1,1/$U190,IF((FT$56-Voorblad!$F$41)/$U190-SUM($EE190:FS190)=1,1,0))))</f>
        <v>0</v>
      </c>
      <c r="FU190" s="8">
        <f>IF(FU$56-Voorblad!$F$41&gt;Voorblad!$K$41,0,IF($U190=0,0,IF($U190&lt;1,1/$U190,IF((FU$56-Voorblad!$F$41)/$U190-SUM($EE190:FT190)=1,1,0))))</f>
        <v>0</v>
      </c>
      <c r="FV190" s="8">
        <f>IF(FV$56-Voorblad!$F$41&gt;Voorblad!$K$41,0,IF($U190=0,0,IF($U190&lt;1,1/$U190,IF((FV$56-Voorblad!$F$41)/$U190-SUM($EE190:FU190)=1,1,0))))</f>
        <v>0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270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275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0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0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0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276</v>
      </c>
      <c r="K196" s="1" t="s">
        <v>83</v>
      </c>
      <c r="O196" s="1" t="s">
        <v>133</v>
      </c>
      <c r="P196" s="1" t="s">
        <v>277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0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0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276</v>
      </c>
      <c r="K197" s="1" t="s">
        <v>84</v>
      </c>
      <c r="O197" s="1" t="s">
        <v>132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0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0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276</v>
      </c>
      <c r="K198" s="1" t="s">
        <v>82</v>
      </c>
      <c r="O198" s="1" t="s">
        <v>217</v>
      </c>
      <c r="P198" s="1" t="s">
        <v>173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0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268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269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229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1962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0</v>
      </c>
      <c r="FG204" s="8">
        <f>IF(FG$56-Voorblad!$F$41&gt;Voorblad!$K$41,0,IF($U204=0,0,IF($U204&lt;1,1/$U204,IF((FG$56-Voorblad!$F$41)/$U204-SUM($EE204:FF204)=1,1,0))))</f>
        <v>0</v>
      </c>
      <c r="FH204" s="8">
        <f>IF(FH$56-Voorblad!$F$41&gt;Voorblad!$K$41,0,IF($U204=0,0,IF($U204&lt;1,1/$U204,IF((FH$56-Voorblad!$F$41)/$U204-SUM($EE204:FG204)=1,1,0))))</f>
        <v>0</v>
      </c>
      <c r="FI204" s="8">
        <f>IF(FI$56-Voorblad!$F$41&gt;Voorblad!$K$41,0,IF($U204=0,0,IF($U204&lt;1,1/$U204,IF((FI$56-Voorblad!$F$41)/$U204-SUM($EE204:FH204)=1,1,0))))</f>
        <v>0</v>
      </c>
      <c r="FJ204" s="8">
        <f>IF(FJ$56-Voorblad!$F$41&gt;Voorblad!$K$41,0,IF($U204=0,0,IF($U204&lt;1,1/$U204,IF((FJ$56-Voorblad!$F$41)/$U204-SUM($EE204:FI204)=1,1,0))))</f>
        <v>0</v>
      </c>
      <c r="FK204" s="8">
        <f>IF(FK$56-Voorblad!$F$41&gt;Voorblad!$K$41,0,IF($U204=0,0,IF($U204&lt;1,1/$U204,IF((FK$56-Voorblad!$F$41)/$U204-SUM($EE204:FJ204)=1,1,0))))</f>
        <v>0</v>
      </c>
      <c r="FL204" s="8">
        <f>IF(FL$56-Voorblad!$F$41&gt;Voorblad!$K$41,0,IF($U204=0,0,IF($U204&lt;1,1/$U204,IF((FL$56-Voorblad!$F$41)/$U204-SUM($EE204:FK204)=1,1,0))))</f>
        <v>0</v>
      </c>
      <c r="FM204" s="8">
        <f>IF(FM$56-Voorblad!$F$41&gt;Voorblad!$K$41,0,IF($U204=0,0,IF($U204&lt;1,1/$U204,IF((FM$56-Voorblad!$F$41)/$U204-SUM($EE204:FL204)=1,1,0))))</f>
        <v>0</v>
      </c>
      <c r="FN204" s="8">
        <f>IF(FN$56-Voorblad!$F$41&gt;Voorblad!$K$41,0,IF($U204=0,0,IF($U204&lt;1,1/$U204,IF((FN$56-Voorblad!$F$41)/$U204-SUM($EE204:FM204)=1,1,0))))</f>
        <v>0</v>
      </c>
      <c r="FO204" s="8">
        <f>IF(FO$56-Voorblad!$F$41&gt;Voorblad!$K$41,0,IF($U204=0,0,IF($U204&lt;1,1/$U204,IF((FO$56-Voorblad!$F$41)/$U204-SUM($EE204:FN204)=1,1,0))))</f>
        <v>0</v>
      </c>
      <c r="FP204" s="8">
        <f>IF(FP$56-Voorblad!$F$41&gt;Voorblad!$K$41,0,IF($U204=0,0,IF($U204&lt;1,1/$U204,IF((FP$56-Voorblad!$F$41)/$U204-SUM($EE204:FO204)=1,1,0))))</f>
        <v>0</v>
      </c>
      <c r="FQ204" s="8">
        <f>IF(FQ$56-Voorblad!$F$41&gt;Voorblad!$K$41,0,IF($U204=0,0,IF($U204&lt;1,1/$U204,IF((FQ$56-Voorblad!$F$41)/$U204-SUM($EE204:FP204)=1,1,0))))</f>
        <v>0</v>
      </c>
      <c r="FR204" s="8">
        <f>IF(FR$56-Voorblad!$F$41&gt;Voorblad!$K$41,0,IF($U204=0,0,IF($U204&lt;1,1/$U204,IF((FR$56-Voorblad!$F$41)/$U204-SUM($EE204:FQ204)=1,1,0))))</f>
        <v>0</v>
      </c>
      <c r="FS204" s="8">
        <f>IF(FS$56-Voorblad!$F$41&gt;Voorblad!$K$41,0,IF($U204=0,0,IF($U204&lt;1,1/$U204,IF((FS$56-Voorblad!$F$41)/$U204-SUM($EE204:FR204)=1,1,0))))</f>
        <v>0</v>
      </c>
      <c r="FT204" s="8">
        <f>IF(FT$56-Voorblad!$F$41&gt;Voorblad!$K$41,0,IF($U204=0,0,IF($U204&lt;1,1/$U204,IF((FT$56-Voorblad!$F$41)/$U204-SUM($EE204:FS204)=1,1,0))))</f>
        <v>0</v>
      </c>
      <c r="FU204" s="8">
        <f>IF(FU$56-Voorblad!$F$41&gt;Voorblad!$K$41,0,IF($U204=0,0,IF($U204&lt;1,1/$U204,IF((FU$56-Voorblad!$F$41)/$U204-SUM($EE204:FT204)=1,1,0))))</f>
        <v>0</v>
      </c>
      <c r="FV204" s="8">
        <f>IF(FV$56-Voorblad!$F$41&gt;Voorblad!$K$41,0,IF($U204=0,0,IF($U204&lt;1,1/$U204,IF((FV$56-Voorblad!$F$41)/$U204-SUM($EE204:FU204)=1,1,0))))</f>
        <v>0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0</v>
      </c>
      <c r="FG205" s="8">
        <f>IF(FG$56-Voorblad!$F$41&gt;Voorblad!$K$41,0,IF($U205=0,0,IF($U205&lt;1,1/$U205,IF((FG$56-Voorblad!$F$41)/$U205-SUM($EE205:FF205)=1,1,0))))</f>
        <v>0</v>
      </c>
      <c r="FH205" s="8">
        <f>IF(FH$56-Voorblad!$F$41&gt;Voorblad!$K$41,0,IF($U205=0,0,IF($U205&lt;1,1/$U205,IF((FH$56-Voorblad!$F$41)/$U205-SUM($EE205:FG205)=1,1,0))))</f>
        <v>0</v>
      </c>
      <c r="FI205" s="8">
        <f>IF(FI$56-Voorblad!$F$41&gt;Voorblad!$K$41,0,IF($U205=0,0,IF($U205&lt;1,1/$U205,IF((FI$56-Voorblad!$F$41)/$U205-SUM($EE205:FH205)=1,1,0))))</f>
        <v>0</v>
      </c>
      <c r="FJ205" s="8">
        <f>IF(FJ$56-Voorblad!$F$41&gt;Voorblad!$K$41,0,IF($U205=0,0,IF($U205&lt;1,1/$U205,IF((FJ$56-Voorblad!$F$41)/$U205-SUM($EE205:FI205)=1,1,0))))</f>
        <v>0</v>
      </c>
      <c r="FK205" s="8">
        <f>IF(FK$56-Voorblad!$F$41&gt;Voorblad!$K$41,0,IF($U205=0,0,IF($U205&lt;1,1/$U205,IF((FK$56-Voorblad!$F$41)/$U205-SUM($EE205:FJ205)=1,1,0))))</f>
        <v>0</v>
      </c>
      <c r="FL205" s="8">
        <f>IF(FL$56-Voorblad!$F$41&gt;Voorblad!$K$41,0,IF($U205=0,0,IF($U205&lt;1,1/$U205,IF((FL$56-Voorblad!$F$41)/$U205-SUM($EE205:FK205)=1,1,0))))</f>
        <v>0</v>
      </c>
      <c r="FM205" s="8">
        <f>IF(FM$56-Voorblad!$F$41&gt;Voorblad!$K$41,0,IF($U205=0,0,IF($U205&lt;1,1/$U205,IF((FM$56-Voorblad!$F$41)/$U205-SUM($EE205:FL205)=1,1,0))))</f>
        <v>0</v>
      </c>
      <c r="FN205" s="8">
        <f>IF(FN$56-Voorblad!$F$41&gt;Voorblad!$K$41,0,IF($U205=0,0,IF($U205&lt;1,1/$U205,IF((FN$56-Voorblad!$F$41)/$U205-SUM($EE205:FM205)=1,1,0))))</f>
        <v>0</v>
      </c>
      <c r="FO205" s="8">
        <f>IF(FO$56-Voorblad!$F$41&gt;Voorblad!$K$41,0,IF($U205=0,0,IF($U205&lt;1,1/$U205,IF((FO$56-Voorblad!$F$41)/$U205-SUM($EE205:FN205)=1,1,0))))</f>
        <v>0</v>
      </c>
      <c r="FP205" s="8">
        <f>IF(FP$56-Voorblad!$F$41&gt;Voorblad!$K$41,0,IF($U205=0,0,IF($U205&lt;1,1/$U205,IF((FP$56-Voorblad!$F$41)/$U205-SUM($EE205:FO205)=1,1,0))))</f>
        <v>0</v>
      </c>
      <c r="FQ205" s="8">
        <f>IF(FQ$56-Voorblad!$F$41&gt;Voorblad!$K$41,0,IF($U205=0,0,IF($U205&lt;1,1/$U205,IF((FQ$56-Voorblad!$F$41)/$U205-SUM($EE205:FP205)=1,1,0))))</f>
        <v>0</v>
      </c>
      <c r="FR205" s="8">
        <f>IF(FR$56-Voorblad!$F$41&gt;Voorblad!$K$41,0,IF($U205=0,0,IF($U205&lt;1,1/$U205,IF((FR$56-Voorblad!$F$41)/$U205-SUM($EE205:FQ205)=1,1,0))))</f>
        <v>0</v>
      </c>
      <c r="FS205" s="8">
        <f>IF(FS$56-Voorblad!$F$41&gt;Voorblad!$K$41,0,IF($U205=0,0,IF($U205&lt;1,1/$U205,IF((FS$56-Voorblad!$F$41)/$U205-SUM($EE205:FR205)=1,1,0))))</f>
        <v>0</v>
      </c>
      <c r="FT205" s="8">
        <f>IF(FT$56-Voorblad!$F$41&gt;Voorblad!$K$41,0,IF($U205=0,0,IF($U205&lt;1,1/$U205,IF((FT$56-Voorblad!$F$41)/$U205-SUM($EE205:FS205)=1,1,0))))</f>
        <v>0</v>
      </c>
      <c r="FU205" s="8">
        <f>IF(FU$56-Voorblad!$F$41&gt;Voorblad!$K$41,0,IF($U205=0,0,IF($U205&lt;1,1/$U205,IF((FU$56-Voorblad!$F$41)/$U205-SUM($EE205:FT205)=1,1,0))))</f>
        <v>0</v>
      </c>
      <c r="FV205" s="8">
        <f>IF(FV$56-Voorblad!$F$41&gt;Voorblad!$K$41,0,IF($U205=0,0,IF($U205&lt;1,1/$U205,IF((FV$56-Voorblad!$F$41)/$U205-SUM($EE205:FU205)=1,1,0))))</f>
        <v>0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0</v>
      </c>
      <c r="FG206" s="8">
        <f>IF(FG$56-Voorblad!$F$41&gt;Voorblad!$K$41,0,IF($U206=0,0,IF($U206&lt;1,1/$U206,IF((FG$56-Voorblad!$F$41)/$U206-SUM($EE206:FF206)=1,1,0))))</f>
        <v>0</v>
      </c>
      <c r="FH206" s="8">
        <f>IF(FH$56-Voorblad!$F$41&gt;Voorblad!$K$41,0,IF($U206=0,0,IF($U206&lt;1,1/$U206,IF((FH$56-Voorblad!$F$41)/$U206-SUM($EE206:FG206)=1,1,0))))</f>
        <v>0</v>
      </c>
      <c r="FI206" s="8">
        <f>IF(FI$56-Voorblad!$F$41&gt;Voorblad!$K$41,0,IF($U206=0,0,IF($U206&lt;1,1/$U206,IF((FI$56-Voorblad!$F$41)/$U206-SUM($EE206:FH206)=1,1,0))))</f>
        <v>0</v>
      </c>
      <c r="FJ206" s="8">
        <f>IF(FJ$56-Voorblad!$F$41&gt;Voorblad!$K$41,0,IF($U206=0,0,IF($U206&lt;1,1/$U206,IF((FJ$56-Voorblad!$F$41)/$U206-SUM($EE206:FI206)=1,1,0))))</f>
        <v>0</v>
      </c>
      <c r="FK206" s="8">
        <f>IF(FK$56-Voorblad!$F$41&gt;Voorblad!$K$41,0,IF($U206=0,0,IF($U206&lt;1,1/$U206,IF((FK$56-Voorblad!$F$41)/$U206-SUM($EE206:FJ206)=1,1,0))))</f>
        <v>0</v>
      </c>
      <c r="FL206" s="8">
        <f>IF(FL$56-Voorblad!$F$41&gt;Voorblad!$K$41,0,IF($U206=0,0,IF($U206&lt;1,1/$U206,IF((FL$56-Voorblad!$F$41)/$U206-SUM($EE206:FK206)=1,1,0))))</f>
        <v>0</v>
      </c>
      <c r="FM206" s="8">
        <f>IF(FM$56-Voorblad!$F$41&gt;Voorblad!$K$41,0,IF($U206=0,0,IF($U206&lt;1,1/$U206,IF((FM$56-Voorblad!$F$41)/$U206-SUM($EE206:FL206)=1,1,0))))</f>
        <v>0</v>
      </c>
      <c r="FN206" s="8">
        <f>IF(FN$56-Voorblad!$F$41&gt;Voorblad!$K$41,0,IF($U206=0,0,IF($U206&lt;1,1/$U206,IF((FN$56-Voorblad!$F$41)/$U206-SUM($EE206:FM206)=1,1,0))))</f>
        <v>0</v>
      </c>
      <c r="FO206" s="8">
        <f>IF(FO$56-Voorblad!$F$41&gt;Voorblad!$K$41,0,IF($U206=0,0,IF($U206&lt;1,1/$U206,IF((FO$56-Voorblad!$F$41)/$U206-SUM($EE206:FN206)=1,1,0))))</f>
        <v>0</v>
      </c>
      <c r="FP206" s="8">
        <f>IF(FP$56-Voorblad!$F$41&gt;Voorblad!$K$41,0,IF($U206=0,0,IF($U206&lt;1,1/$U206,IF((FP$56-Voorblad!$F$41)/$U206-SUM($EE206:FO206)=1,1,0))))</f>
        <v>0</v>
      </c>
      <c r="FQ206" s="8">
        <f>IF(FQ$56-Voorblad!$F$41&gt;Voorblad!$K$41,0,IF($U206=0,0,IF($U206&lt;1,1/$U206,IF((FQ$56-Voorblad!$F$41)/$U206-SUM($EE206:FP206)=1,1,0))))</f>
        <v>0</v>
      </c>
      <c r="FR206" s="8">
        <f>IF(FR$56-Voorblad!$F$41&gt;Voorblad!$K$41,0,IF($U206=0,0,IF($U206&lt;1,1/$U206,IF((FR$56-Voorblad!$F$41)/$U206-SUM($EE206:FQ206)=1,1,0))))</f>
        <v>0</v>
      </c>
      <c r="FS206" s="8">
        <f>IF(FS$56-Voorblad!$F$41&gt;Voorblad!$K$41,0,IF($U206=0,0,IF($U206&lt;1,1/$U206,IF((FS$56-Voorblad!$F$41)/$U206-SUM($EE206:FR206)=1,1,0))))</f>
        <v>0</v>
      </c>
      <c r="FT206" s="8">
        <f>IF(FT$56-Voorblad!$F$41&gt;Voorblad!$K$41,0,IF($U206=0,0,IF($U206&lt;1,1/$U206,IF((FT$56-Voorblad!$F$41)/$U206-SUM($EE206:FS206)=1,1,0))))</f>
        <v>0</v>
      </c>
      <c r="FU206" s="8">
        <f>IF(FU$56-Voorblad!$F$41&gt;Voorblad!$K$41,0,IF($U206=0,0,IF($U206&lt;1,1/$U206,IF((FU$56-Voorblad!$F$41)/$U206-SUM($EE206:FT206)=1,1,0))))</f>
        <v>0</v>
      </c>
      <c r="FV206" s="8">
        <f>IF(FV$56-Voorblad!$F$41&gt;Voorblad!$K$41,0,IF($U206=0,0,IF($U206&lt;1,1/$U206,IF((FV$56-Voorblad!$F$41)/$U206-SUM($EE206:FU206)=1,1,0))))</f>
        <v>0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0</v>
      </c>
      <c r="FG207" s="8">
        <f>IF(FG$56-Voorblad!$F$41&gt;Voorblad!$K$41,0,IF($U207=0,0,IF($U207&lt;1,1/$U207,IF((FG$56-Voorblad!$F$41)/$U207-SUM($EE207:FF207)=1,1,0))))</f>
        <v>0</v>
      </c>
      <c r="FH207" s="8">
        <f>IF(FH$56-Voorblad!$F$41&gt;Voorblad!$K$41,0,IF($U207=0,0,IF($U207&lt;1,1/$U207,IF((FH$56-Voorblad!$F$41)/$U207-SUM($EE207:FG207)=1,1,0))))</f>
        <v>0</v>
      </c>
      <c r="FI207" s="8">
        <f>IF(FI$56-Voorblad!$F$41&gt;Voorblad!$K$41,0,IF($U207=0,0,IF($U207&lt;1,1/$U207,IF((FI$56-Voorblad!$F$41)/$U207-SUM($EE207:FH207)=1,1,0))))</f>
        <v>0</v>
      </c>
      <c r="FJ207" s="8">
        <f>IF(FJ$56-Voorblad!$F$41&gt;Voorblad!$K$41,0,IF($U207=0,0,IF($U207&lt;1,1/$U207,IF((FJ$56-Voorblad!$F$41)/$U207-SUM($EE207:FI207)=1,1,0))))</f>
        <v>0</v>
      </c>
      <c r="FK207" s="8">
        <f>IF(FK$56-Voorblad!$F$41&gt;Voorblad!$K$41,0,IF($U207=0,0,IF($U207&lt;1,1/$U207,IF((FK$56-Voorblad!$F$41)/$U207-SUM($EE207:FJ207)=1,1,0))))</f>
        <v>0</v>
      </c>
      <c r="FL207" s="8">
        <f>IF(FL$56-Voorblad!$F$41&gt;Voorblad!$K$41,0,IF($U207=0,0,IF($U207&lt;1,1/$U207,IF((FL$56-Voorblad!$F$41)/$U207-SUM($EE207:FK207)=1,1,0))))</f>
        <v>0</v>
      </c>
      <c r="FM207" s="8">
        <f>IF(FM$56-Voorblad!$F$41&gt;Voorblad!$K$41,0,IF($U207=0,0,IF($U207&lt;1,1/$U207,IF((FM$56-Voorblad!$F$41)/$U207-SUM($EE207:FL207)=1,1,0))))</f>
        <v>0</v>
      </c>
      <c r="FN207" s="8">
        <f>IF(FN$56-Voorblad!$F$41&gt;Voorblad!$K$41,0,IF($U207=0,0,IF($U207&lt;1,1/$U207,IF((FN$56-Voorblad!$F$41)/$U207-SUM($EE207:FM207)=1,1,0))))</f>
        <v>0</v>
      </c>
      <c r="FO207" s="8">
        <f>IF(FO$56-Voorblad!$F$41&gt;Voorblad!$K$41,0,IF($U207=0,0,IF($U207&lt;1,1/$U207,IF((FO$56-Voorblad!$F$41)/$U207-SUM($EE207:FN207)=1,1,0))))</f>
        <v>0</v>
      </c>
      <c r="FP207" s="8">
        <f>IF(FP$56-Voorblad!$F$41&gt;Voorblad!$K$41,0,IF($U207=0,0,IF($U207&lt;1,1/$U207,IF((FP$56-Voorblad!$F$41)/$U207-SUM($EE207:FO207)=1,1,0))))</f>
        <v>0</v>
      </c>
      <c r="FQ207" s="8">
        <f>IF(FQ$56-Voorblad!$F$41&gt;Voorblad!$K$41,0,IF($U207=0,0,IF($U207&lt;1,1/$U207,IF((FQ$56-Voorblad!$F$41)/$U207-SUM($EE207:FP207)=1,1,0))))</f>
        <v>0</v>
      </c>
      <c r="FR207" s="8">
        <f>IF(FR$56-Voorblad!$F$41&gt;Voorblad!$K$41,0,IF($U207=0,0,IF($U207&lt;1,1/$U207,IF((FR$56-Voorblad!$F$41)/$U207-SUM($EE207:FQ207)=1,1,0))))</f>
        <v>0</v>
      </c>
      <c r="FS207" s="8">
        <f>IF(FS$56-Voorblad!$F$41&gt;Voorblad!$K$41,0,IF($U207=0,0,IF($U207&lt;1,1/$U207,IF((FS$56-Voorblad!$F$41)/$U207-SUM($EE207:FR207)=1,1,0))))</f>
        <v>0</v>
      </c>
      <c r="FT207" s="8">
        <f>IF(FT$56-Voorblad!$F$41&gt;Voorblad!$K$41,0,IF($U207=0,0,IF($U207&lt;1,1/$U207,IF((FT$56-Voorblad!$F$41)/$U207-SUM($EE207:FS207)=1,1,0))))</f>
        <v>0</v>
      </c>
      <c r="FU207" s="8">
        <f>IF(FU$56-Voorblad!$F$41&gt;Voorblad!$K$41,0,IF($U207=0,0,IF($U207&lt;1,1/$U207,IF((FU$56-Voorblad!$F$41)/$U207-SUM($EE207:FT207)=1,1,0))))</f>
        <v>0</v>
      </c>
      <c r="FV207" s="8">
        <f>IF(FV$56-Voorblad!$F$41&gt;Voorblad!$K$41,0,IF($U207=0,0,IF($U207&lt;1,1/$U207,IF((FV$56-Voorblad!$F$41)/$U207-SUM($EE207:FU207)=1,1,0))))</f>
        <v>0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270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customHeight="1" outlineLevel="1" x14ac:dyDescent="0.25">
      <c r="B212" s="1">
        <v>3</v>
      </c>
      <c r="F212" s="1" t="s">
        <v>23</v>
      </c>
      <c r="I212" s="1" t="s">
        <v>275</v>
      </c>
      <c r="K212" s="1" t="s">
        <v>86</v>
      </c>
      <c r="Q212" s="81">
        <v>1</v>
      </c>
      <c r="R212" s="1" t="s">
        <v>33</v>
      </c>
      <c r="S212" s="14">
        <f>$H$20*500</f>
        <v>885</v>
      </c>
      <c r="T212" s="9">
        <f>Q212*S212</f>
        <v>885</v>
      </c>
      <c r="U212" s="14">
        <v>5</v>
      </c>
      <c r="V212" s="14"/>
      <c r="Y212" s="9">
        <f t="shared" ref="Y212:Y224" si="200">SUM(AE212:EB212)</f>
        <v>3102.0841039568709</v>
      </c>
      <c r="Z212" s="83"/>
      <c r="AA212" s="83"/>
      <c r="AC212" s="9">
        <f>$Y212*(Voorblad!$K$44*(1+Voorblad!$K$44)^Voorblad!$K$41)/((1+Voorblad!$K$44)^Voorblad!$K$41-1)</f>
        <v>168.36847190377173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782.21104453442274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691.36058552726843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611.0620178025024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540.08978443006492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477.36067166261267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0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0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0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customHeight="1" outlineLevel="1" x14ac:dyDescent="0.25">
      <c r="B213" s="1">
        <v>3</v>
      </c>
      <c r="F213" s="1" t="s">
        <v>23</v>
      </c>
      <c r="I213" s="1" t="s">
        <v>276</v>
      </c>
      <c r="K213" s="1" t="s">
        <v>87</v>
      </c>
      <c r="O213" s="1" t="s">
        <v>133</v>
      </c>
      <c r="Q213" s="84">
        <f>(2*6.5*1)+(4*((1.5*1.5)/2))</f>
        <v>17.5</v>
      </c>
      <c r="R213" s="1" t="s">
        <v>35</v>
      </c>
      <c r="S213" s="21">
        <f>$H$20*15</f>
        <v>26.55</v>
      </c>
      <c r="T213" s="9">
        <f>Q213*S213</f>
        <v>464.625</v>
      </c>
      <c r="U213" s="14">
        <v>10</v>
      </c>
      <c r="V213" s="14"/>
      <c r="Y213" s="9">
        <f t="shared" si="200"/>
        <v>646.5114442275999</v>
      </c>
      <c r="Z213" s="83"/>
      <c r="AA213" s="83"/>
      <c r="AC213" s="9">
        <f>$Y213*(Voorblad!$K$44*(1+Voorblad!$K$44)^Voorblad!$K$41)/((1+Voorblad!$K$44)^Voorblad!$K$41-1)</f>
        <v>35.090004102098625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362.96430740181592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283.54713682578404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0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0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customHeight="1" outlineLevel="1" x14ac:dyDescent="0.25">
      <c r="B214" s="1">
        <v>3</v>
      </c>
      <c r="F214" s="1" t="s">
        <v>23</v>
      </c>
      <c r="I214" s="1" t="s">
        <v>276</v>
      </c>
      <c r="K214" s="1" t="s">
        <v>84</v>
      </c>
      <c r="O214" s="1" t="s">
        <v>132</v>
      </c>
      <c r="Q214" s="81">
        <f>(4*((1.5*1.5)/2))</f>
        <v>4.5</v>
      </c>
      <c r="R214" s="1" t="s">
        <v>35</v>
      </c>
      <c r="S214" s="21">
        <f>$H$20*20</f>
        <v>35.4</v>
      </c>
      <c r="T214" s="9">
        <f>Q214*S214</f>
        <v>159.29999999999998</v>
      </c>
      <c r="U214" s="14">
        <v>10</v>
      </c>
      <c r="V214" s="14"/>
      <c r="Y214" s="9">
        <f t="shared" si="200"/>
        <v>221.66106659231997</v>
      </c>
      <c r="Z214" s="83"/>
      <c r="AA214" s="83"/>
      <c r="AC214" s="9">
        <f>$Y214*(Voorblad!$K$44*(1+Voorblad!$K$44)^Voorblad!$K$41)/((1+Voorblad!$K$44)^Voorblad!$K$41-1)</f>
        <v>12.030858549290956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124.4449053949083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97.216161197411665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0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0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customHeight="1" outlineLevel="1" x14ac:dyDescent="0.25">
      <c r="B215" s="1">
        <v>3</v>
      </c>
      <c r="F215" s="1" t="s">
        <v>23</v>
      </c>
      <c r="I215" s="1" t="s">
        <v>276</v>
      </c>
      <c r="K215" s="1" t="s">
        <v>88</v>
      </c>
      <c r="O215" s="1" t="s">
        <v>217</v>
      </c>
      <c r="P215" s="1" t="s">
        <v>173</v>
      </c>
      <c r="Q215" s="84">
        <f>2.5%*((2*6.5*1)+(4*((1.5*1.5)/2)))</f>
        <v>0.4375</v>
      </c>
      <c r="R215" s="1" t="s">
        <v>35</v>
      </c>
      <c r="S215" s="14">
        <f>$H$20*500</f>
        <v>885</v>
      </c>
      <c r="T215" s="9">
        <f>Q215*S215</f>
        <v>387.1875</v>
      </c>
      <c r="U215" s="14">
        <v>10</v>
      </c>
      <c r="V215" s="14"/>
      <c r="Y215" s="9">
        <f t="shared" si="200"/>
        <v>538.7595368563334</v>
      </c>
      <c r="Z215" s="83"/>
      <c r="AA215" s="83"/>
      <c r="AC215" s="229">
        <f>$Y215*(Voorblad!$K$44*(1+Voorblad!$K$44)^Voorblad!$K$41)/((1+Voorblad!$K$44)^Voorblad!$K$41-1)</f>
        <v>29.241670085082195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302.47025616817996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236.28928068815338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0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0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customHeight="1" outlineLevel="1" x14ac:dyDescent="0.25">
      <c r="S216" s="14"/>
      <c r="T216" s="9"/>
      <c r="U216" s="14"/>
      <c r="V216" s="14"/>
      <c r="Y216" s="23">
        <f>SUM(Y212:Y215)</f>
        <v>4509.0161516331245</v>
      </c>
      <c r="Z216" s="24"/>
      <c r="AA216" s="23">
        <f>SUM(AA212:AA215)</f>
        <v>0</v>
      </c>
      <c r="AC216" s="9">
        <f>$Y216*(Voorblad!$K$44*(1+Voorblad!$K$44)^Voorblad!$K$41)/((1+Voorblad!$K$44)^Voorblad!$K$41-1)</f>
        <v>244.73100464024353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outlineLevel="1" x14ac:dyDescent="0.25">
      <c r="B217" s="2" t="s">
        <v>268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4">
        <f>10%*((2*6.5*1)+(4*((1.5*1.5)/2)))</f>
        <v>1.75</v>
      </c>
      <c r="R218" s="1" t="s">
        <v>35</v>
      </c>
      <c r="S218" s="14">
        <f>$H$10*500</f>
        <v>1190</v>
      </c>
      <c r="T218" s="9">
        <f>Q218*S218</f>
        <v>2082.5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0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outlineLevel="1" x14ac:dyDescent="0.25">
      <c r="B219" s="2" t="s">
        <v>269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P221" s="1" t="s">
        <v>303</v>
      </c>
      <c r="Q221" s="84">
        <f>11*(1.7+8+1.7)</f>
        <v>125.39999999999998</v>
      </c>
      <c r="R221" s="81" t="s">
        <v>33</v>
      </c>
      <c r="S221" s="81">
        <v>1610</v>
      </c>
      <c r="T221" s="21">
        <f>Q221*S221</f>
        <v>201893.99999999997</v>
      </c>
      <c r="U221" s="11">
        <v>1</v>
      </c>
      <c r="V221" s="14">
        <f>Voorblad!F25+100</f>
        <v>1962</v>
      </c>
      <c r="W221" s="9">
        <f>Voorblad!K89</f>
        <v>2053</v>
      </c>
      <c r="X221" s="6"/>
      <c r="Y221" s="9">
        <f t="shared" si="200"/>
        <v>108899.7236662729</v>
      </c>
      <c r="Z221" s="83" t="s">
        <v>301</v>
      </c>
      <c r="AA221" s="83">
        <v>52</v>
      </c>
      <c r="AC221" s="9">
        <f>$Y221*(Voorblad!$K$44*(1+Voorblad!$K$44)^Voorblad!$K$41)/((1+Voorblad!$K$44)^Voorblad!$K$41-1)</f>
        <v>5910.6328036192708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108899.7236662729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0</v>
      </c>
      <c r="FG221" s="8">
        <f>IF(FG$56-Voorblad!$F$41&gt;Voorblad!$K$41,0,IF($U221=0,0,IF($U221&lt;1,1/$U221,IF((FG$56-Voorblad!$F$41)/$U221-SUM($EE221:FF221)=1,1,0))))</f>
        <v>0</v>
      </c>
      <c r="FH221" s="8">
        <f>IF(FH$56-Voorblad!$F$41&gt;Voorblad!$K$41,0,IF($U221=0,0,IF($U221&lt;1,1/$U221,IF((FH$56-Voorblad!$F$41)/$U221-SUM($EE221:FG221)=1,1,0))))</f>
        <v>0</v>
      </c>
      <c r="FI221" s="8">
        <f>IF(FI$56-Voorblad!$F$41&gt;Voorblad!$K$41,0,IF($U221=0,0,IF($U221&lt;1,1/$U221,IF((FI$56-Voorblad!$F$41)/$U221-SUM($EE221:FH221)=1,1,0))))</f>
        <v>0</v>
      </c>
      <c r="FJ221" s="8">
        <f>IF(FJ$56-Voorblad!$F$41&gt;Voorblad!$K$41,0,IF($U221=0,0,IF($U221&lt;1,1/$U221,IF((FJ$56-Voorblad!$F$41)/$U221-SUM($EE221:FI221)=1,1,0))))</f>
        <v>0</v>
      </c>
      <c r="FK221" s="8">
        <f>IF(FK$56-Voorblad!$F$41&gt;Voorblad!$K$41,0,IF($U221=0,0,IF($U221&lt;1,1/$U221,IF((FK$56-Voorblad!$F$41)/$U221-SUM($EE221:FJ221)=1,1,0))))</f>
        <v>0</v>
      </c>
      <c r="FL221" s="8">
        <f>IF(FL$56-Voorblad!$F$41&gt;Voorblad!$K$41,0,IF($U221=0,0,IF($U221&lt;1,1/$U221,IF((FL$56-Voorblad!$F$41)/$U221-SUM($EE221:FK221)=1,1,0))))</f>
        <v>0</v>
      </c>
      <c r="FM221" s="8">
        <f>IF(FM$56-Voorblad!$F$41&gt;Voorblad!$K$41,0,IF($U221=0,0,IF($U221&lt;1,1/$U221,IF((FM$56-Voorblad!$F$41)/$U221-SUM($EE221:FL221)=1,1,0))))</f>
        <v>0</v>
      </c>
      <c r="FN221" s="8">
        <f>IF(FN$56-Voorblad!$F$41&gt;Voorblad!$K$41,0,IF($U221=0,0,IF($U221&lt;1,1/$U221,IF((FN$56-Voorblad!$F$41)/$U221-SUM($EE221:FM221)=1,1,0))))</f>
        <v>0</v>
      </c>
      <c r="FO221" s="8">
        <f>IF(FO$56-Voorblad!$F$41&gt;Voorblad!$K$41,0,IF($U221=0,0,IF($U221&lt;1,1/$U221,IF((FO$56-Voorblad!$F$41)/$U221-SUM($EE221:FN221)=1,1,0))))</f>
        <v>0</v>
      </c>
      <c r="FP221" s="8">
        <f>IF(FP$56-Voorblad!$F$41&gt;Voorblad!$K$41,0,IF($U221=0,0,IF($U221&lt;1,1/$U221,IF((FP$56-Voorblad!$F$41)/$U221-SUM($EE221:FO221)=1,1,0))))</f>
        <v>0</v>
      </c>
      <c r="FQ221" s="8">
        <f>IF(FQ$56-Voorblad!$F$41&gt;Voorblad!$K$41,0,IF($U221=0,0,IF($U221&lt;1,1/$U221,IF((FQ$56-Voorblad!$F$41)/$U221-SUM($EE221:FP221)=1,1,0))))</f>
        <v>0</v>
      </c>
      <c r="FR221" s="8">
        <f>IF(FR$56-Voorblad!$F$41&gt;Voorblad!$K$41,0,IF($U221=0,0,IF($U221&lt;1,1/$U221,IF((FR$56-Voorblad!$F$41)/$U221-SUM($EE221:FQ221)=1,1,0))))</f>
        <v>0</v>
      </c>
      <c r="FS221" s="8">
        <f>IF(FS$56-Voorblad!$F$41&gt;Voorblad!$K$41,0,IF($U221=0,0,IF($U221&lt;1,1/$U221,IF((FS$56-Voorblad!$F$41)/$U221-SUM($EE221:FR221)=1,1,0))))</f>
        <v>0</v>
      </c>
      <c r="FT221" s="8">
        <f>IF(FT$56-Voorblad!$F$41&gt;Voorblad!$K$41,0,IF($U221=0,0,IF($U221&lt;1,1/$U221,IF((FT$56-Voorblad!$F$41)/$U221-SUM($EE221:FS221)=1,1,0))))</f>
        <v>0</v>
      </c>
      <c r="FU221" s="8">
        <f>IF(FU$56-Voorblad!$F$41&gt;Voorblad!$K$41,0,IF($U221=0,0,IF($U221&lt;1,1/$U221,IF((FU$56-Voorblad!$F$41)/$U221-SUM($EE221:FT221)=1,1,0))))</f>
        <v>0</v>
      </c>
      <c r="FV221" s="8">
        <f>IF(FV$56-Voorblad!$F$41&gt;Voorblad!$K$41,0,IF($U221=0,0,IF($U221&lt;1,1/$U221,IF((FV$56-Voorblad!$F$41)/$U221-SUM($EE221:FU221)=1,1,0))))</f>
        <v>0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4037.8799999999997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0</v>
      </c>
      <c r="FG222" s="8">
        <f>IF(FG$56-Voorblad!$F$41&gt;Voorblad!$K$41,0,IF($U222=0,0,IF($U222&lt;1,1/$U222,IF((FG$56-Voorblad!$F$41)/$U222-SUM($EE222:FF222)=1,1,0))))</f>
        <v>0</v>
      </c>
      <c r="FH222" s="8">
        <f>IF(FH$56-Voorblad!$F$41&gt;Voorblad!$K$41,0,IF($U222=0,0,IF($U222&lt;1,1/$U222,IF((FH$56-Voorblad!$F$41)/$U222-SUM($EE222:FG222)=1,1,0))))</f>
        <v>0</v>
      </c>
      <c r="FI222" s="8">
        <f>IF(FI$56-Voorblad!$F$41&gt;Voorblad!$K$41,0,IF($U222=0,0,IF($U222&lt;1,1/$U222,IF((FI$56-Voorblad!$F$41)/$U222-SUM($EE222:FH222)=1,1,0))))</f>
        <v>0</v>
      </c>
      <c r="FJ222" s="8">
        <f>IF(FJ$56-Voorblad!$F$41&gt;Voorblad!$K$41,0,IF($U222=0,0,IF($U222&lt;1,1/$U222,IF((FJ$56-Voorblad!$F$41)/$U222-SUM($EE222:FI222)=1,1,0))))</f>
        <v>0</v>
      </c>
      <c r="FK222" s="8">
        <f>IF(FK$56-Voorblad!$F$41&gt;Voorblad!$K$41,0,IF($U222=0,0,IF($U222&lt;1,1/$U222,IF((FK$56-Voorblad!$F$41)/$U222-SUM($EE222:FJ222)=1,1,0))))</f>
        <v>0</v>
      </c>
      <c r="FL222" s="8">
        <f>IF(FL$56-Voorblad!$F$41&gt;Voorblad!$K$41,0,IF($U222=0,0,IF($U222&lt;1,1/$U222,IF((FL$56-Voorblad!$F$41)/$U222-SUM($EE222:FK222)=1,1,0))))</f>
        <v>0</v>
      </c>
      <c r="FM222" s="8">
        <f>IF(FM$56-Voorblad!$F$41&gt;Voorblad!$K$41,0,IF($U222=0,0,IF($U222&lt;1,1/$U222,IF((FM$56-Voorblad!$F$41)/$U222-SUM($EE222:FL222)=1,1,0))))</f>
        <v>0</v>
      </c>
      <c r="FN222" s="8">
        <f>IF(FN$56-Voorblad!$F$41&gt;Voorblad!$K$41,0,IF($U222=0,0,IF($U222&lt;1,1/$U222,IF((FN$56-Voorblad!$F$41)/$U222-SUM($EE222:FM222)=1,1,0))))</f>
        <v>0</v>
      </c>
      <c r="FO222" s="8">
        <f>IF(FO$56-Voorblad!$F$41&gt;Voorblad!$K$41,0,IF($U222=0,0,IF($U222&lt;1,1/$U222,IF((FO$56-Voorblad!$F$41)/$U222-SUM($EE222:FN222)=1,1,0))))</f>
        <v>0</v>
      </c>
      <c r="FP222" s="8">
        <f>IF(FP$56-Voorblad!$F$41&gt;Voorblad!$K$41,0,IF($U222=0,0,IF($U222&lt;1,1/$U222,IF((FP$56-Voorblad!$F$41)/$U222-SUM($EE222:FO222)=1,1,0))))</f>
        <v>0</v>
      </c>
      <c r="FQ222" s="8">
        <f>IF(FQ$56-Voorblad!$F$41&gt;Voorblad!$K$41,0,IF($U222=0,0,IF($U222&lt;1,1/$U222,IF((FQ$56-Voorblad!$F$41)/$U222-SUM($EE222:FP222)=1,1,0))))</f>
        <v>0</v>
      </c>
      <c r="FR222" s="8">
        <f>IF(FR$56-Voorblad!$F$41&gt;Voorblad!$K$41,0,IF($U222=0,0,IF($U222&lt;1,1/$U222,IF((FR$56-Voorblad!$F$41)/$U222-SUM($EE222:FQ222)=1,1,0))))</f>
        <v>0</v>
      </c>
      <c r="FS222" s="8">
        <f>IF(FS$56-Voorblad!$F$41&gt;Voorblad!$K$41,0,IF($U222=0,0,IF($U222&lt;1,1/$U222,IF((FS$56-Voorblad!$F$41)/$U222-SUM($EE222:FR222)=1,1,0))))</f>
        <v>0</v>
      </c>
      <c r="FT222" s="8">
        <f>IF(FT$56-Voorblad!$F$41&gt;Voorblad!$K$41,0,IF($U222=0,0,IF($U222&lt;1,1/$U222,IF((FT$56-Voorblad!$F$41)/$U222-SUM($EE222:FS222)=1,1,0))))</f>
        <v>0</v>
      </c>
      <c r="FU222" s="8">
        <f>IF(FU$56-Voorblad!$F$41&gt;Voorblad!$K$41,0,IF($U222=0,0,IF($U222&lt;1,1/$U222,IF((FU$56-Voorblad!$F$41)/$U222-SUM($EE222:FT222)=1,1,0))))</f>
        <v>0</v>
      </c>
      <c r="FV222" s="8">
        <f>IF(FV$56-Voorblad!$F$41&gt;Voorblad!$K$41,0,IF($U222=0,0,IF($U222&lt;1,1/$U222,IF((FV$56-Voorblad!$F$41)/$U222-SUM($EE222:FU222)=1,1,0))))</f>
        <v>0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8075.7599999999993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0</v>
      </c>
      <c r="FG223" s="8">
        <f>IF(FG$56-Voorblad!$F$41&gt;Voorblad!$K$41,0,IF($U223=0,0,IF($U223&lt;1,1/$U223,IF((FG$56-Voorblad!$F$41)/$U223-SUM($EE223:FF223)=1,1,0))))</f>
        <v>0</v>
      </c>
      <c r="FH223" s="8">
        <f>IF(FH$56-Voorblad!$F$41&gt;Voorblad!$K$41,0,IF($U223=0,0,IF($U223&lt;1,1/$U223,IF((FH$56-Voorblad!$F$41)/$U223-SUM($EE223:FG223)=1,1,0))))</f>
        <v>0</v>
      </c>
      <c r="FI223" s="8">
        <f>IF(FI$56-Voorblad!$F$41&gt;Voorblad!$K$41,0,IF($U223=0,0,IF($U223&lt;1,1/$U223,IF((FI$56-Voorblad!$F$41)/$U223-SUM($EE223:FH223)=1,1,0))))</f>
        <v>0</v>
      </c>
      <c r="FJ223" s="8">
        <f>IF(FJ$56-Voorblad!$F$41&gt;Voorblad!$K$41,0,IF($U223=0,0,IF($U223&lt;1,1/$U223,IF((FJ$56-Voorblad!$F$41)/$U223-SUM($EE223:FI223)=1,1,0))))</f>
        <v>0</v>
      </c>
      <c r="FK223" s="8">
        <f>IF(FK$56-Voorblad!$F$41&gt;Voorblad!$K$41,0,IF($U223=0,0,IF($U223&lt;1,1/$U223,IF((FK$56-Voorblad!$F$41)/$U223-SUM($EE223:FJ223)=1,1,0))))</f>
        <v>0</v>
      </c>
      <c r="FL223" s="8">
        <f>IF(FL$56-Voorblad!$F$41&gt;Voorblad!$K$41,0,IF($U223=0,0,IF($U223&lt;1,1/$U223,IF((FL$56-Voorblad!$F$41)/$U223-SUM($EE223:FK223)=1,1,0))))</f>
        <v>0</v>
      </c>
      <c r="FM223" s="8">
        <f>IF(FM$56-Voorblad!$F$41&gt;Voorblad!$K$41,0,IF($U223=0,0,IF($U223&lt;1,1/$U223,IF((FM$56-Voorblad!$F$41)/$U223-SUM($EE223:FL223)=1,1,0))))</f>
        <v>0</v>
      </c>
      <c r="FN223" s="8">
        <f>IF(FN$56-Voorblad!$F$41&gt;Voorblad!$K$41,0,IF($U223=0,0,IF($U223&lt;1,1/$U223,IF((FN$56-Voorblad!$F$41)/$U223-SUM($EE223:FM223)=1,1,0))))</f>
        <v>0</v>
      </c>
      <c r="FO223" s="8">
        <f>IF(FO$56-Voorblad!$F$41&gt;Voorblad!$K$41,0,IF($U223=0,0,IF($U223&lt;1,1/$U223,IF((FO$56-Voorblad!$F$41)/$U223-SUM($EE223:FN223)=1,1,0))))</f>
        <v>0</v>
      </c>
      <c r="FP223" s="8">
        <f>IF(FP$56-Voorblad!$F$41&gt;Voorblad!$K$41,0,IF($U223=0,0,IF($U223&lt;1,1/$U223,IF((FP$56-Voorblad!$F$41)/$U223-SUM($EE223:FO223)=1,1,0))))</f>
        <v>0</v>
      </c>
      <c r="FQ223" s="8">
        <f>IF(FQ$56-Voorblad!$F$41&gt;Voorblad!$K$41,0,IF($U223=0,0,IF($U223&lt;1,1/$U223,IF((FQ$56-Voorblad!$F$41)/$U223-SUM($EE223:FP223)=1,1,0))))</f>
        <v>0</v>
      </c>
      <c r="FR223" s="8">
        <f>IF(FR$56-Voorblad!$F$41&gt;Voorblad!$K$41,0,IF($U223=0,0,IF($U223&lt;1,1/$U223,IF((FR$56-Voorblad!$F$41)/$U223-SUM($EE223:FQ223)=1,1,0))))</f>
        <v>0</v>
      </c>
      <c r="FS223" s="8">
        <f>IF(FS$56-Voorblad!$F$41&gt;Voorblad!$K$41,0,IF($U223=0,0,IF($U223&lt;1,1/$U223,IF((FS$56-Voorblad!$F$41)/$U223-SUM($EE223:FR223)=1,1,0))))</f>
        <v>0</v>
      </c>
      <c r="FT223" s="8">
        <f>IF(FT$56-Voorblad!$F$41&gt;Voorblad!$K$41,0,IF($U223=0,0,IF($U223&lt;1,1/$U223,IF((FT$56-Voorblad!$F$41)/$U223-SUM($EE223:FS223)=1,1,0))))</f>
        <v>0</v>
      </c>
      <c r="FU223" s="8">
        <f>IF(FU$56-Voorblad!$F$41&gt;Voorblad!$K$41,0,IF($U223=0,0,IF($U223&lt;1,1/$U223,IF((FU$56-Voorblad!$F$41)/$U223-SUM($EE223:FT223)=1,1,0))))</f>
        <v>0</v>
      </c>
      <c r="FV223" s="8">
        <f>IF(FV$56-Voorblad!$F$41&gt;Voorblad!$K$41,0,IF($U223=0,0,IF($U223&lt;1,1/$U223,IF((FV$56-Voorblad!$F$41)/$U223-SUM($EE223:FU223)=1,1,0))))</f>
        <v>0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14132.58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0</v>
      </c>
      <c r="FG224" s="8">
        <f>IF(FG$56-Voorblad!$F$41&gt;Voorblad!$K$41,0,IF($U224=0,0,IF($U224&lt;1,1/$U224,IF((FG$56-Voorblad!$F$41)/$U224-SUM($EE224:FF224)=1,1,0))))</f>
        <v>0</v>
      </c>
      <c r="FH224" s="8">
        <f>IF(FH$56-Voorblad!$F$41&gt;Voorblad!$K$41,0,IF($U224=0,0,IF($U224&lt;1,1/$U224,IF((FH$56-Voorblad!$F$41)/$U224-SUM($EE224:FG224)=1,1,0))))</f>
        <v>0</v>
      </c>
      <c r="FI224" s="8">
        <f>IF(FI$56-Voorblad!$F$41&gt;Voorblad!$K$41,0,IF($U224=0,0,IF($U224&lt;1,1/$U224,IF((FI$56-Voorblad!$F$41)/$U224-SUM($EE224:FH224)=1,1,0))))</f>
        <v>0</v>
      </c>
      <c r="FJ224" s="8">
        <f>IF(FJ$56-Voorblad!$F$41&gt;Voorblad!$K$41,0,IF($U224=0,0,IF($U224&lt;1,1/$U224,IF((FJ$56-Voorblad!$F$41)/$U224-SUM($EE224:FI224)=1,1,0))))</f>
        <v>0</v>
      </c>
      <c r="FK224" s="8">
        <f>IF(FK$56-Voorblad!$F$41&gt;Voorblad!$K$41,0,IF($U224=0,0,IF($U224&lt;1,1/$U224,IF((FK$56-Voorblad!$F$41)/$U224-SUM($EE224:FJ224)=1,1,0))))</f>
        <v>0</v>
      </c>
      <c r="FL224" s="8">
        <f>IF(FL$56-Voorblad!$F$41&gt;Voorblad!$K$41,0,IF($U224=0,0,IF($U224&lt;1,1/$U224,IF((FL$56-Voorblad!$F$41)/$U224-SUM($EE224:FK224)=1,1,0))))</f>
        <v>0</v>
      </c>
      <c r="FM224" s="8">
        <f>IF(FM$56-Voorblad!$F$41&gt;Voorblad!$K$41,0,IF($U224=0,0,IF($U224&lt;1,1/$U224,IF((FM$56-Voorblad!$F$41)/$U224-SUM($EE224:FL224)=1,1,0))))</f>
        <v>0</v>
      </c>
      <c r="FN224" s="8">
        <f>IF(FN$56-Voorblad!$F$41&gt;Voorblad!$K$41,0,IF($U224=0,0,IF($U224&lt;1,1/$U224,IF((FN$56-Voorblad!$F$41)/$U224-SUM($EE224:FM224)=1,1,0))))</f>
        <v>0</v>
      </c>
      <c r="FO224" s="8">
        <f>IF(FO$56-Voorblad!$F$41&gt;Voorblad!$K$41,0,IF($U224=0,0,IF($U224&lt;1,1/$U224,IF((FO$56-Voorblad!$F$41)/$U224-SUM($EE224:FN224)=1,1,0))))</f>
        <v>0</v>
      </c>
      <c r="FP224" s="8">
        <f>IF(FP$56-Voorblad!$F$41&gt;Voorblad!$K$41,0,IF($U224=0,0,IF($U224&lt;1,1/$U224,IF((FP$56-Voorblad!$F$41)/$U224-SUM($EE224:FO224)=1,1,0))))</f>
        <v>0</v>
      </c>
      <c r="FQ224" s="8">
        <f>IF(FQ$56-Voorblad!$F$41&gt;Voorblad!$K$41,0,IF($U224=0,0,IF($U224&lt;1,1/$U224,IF((FQ$56-Voorblad!$F$41)/$U224-SUM($EE224:FP224)=1,1,0))))</f>
        <v>0</v>
      </c>
      <c r="FR224" s="8">
        <f>IF(FR$56-Voorblad!$F$41&gt;Voorblad!$K$41,0,IF($U224=0,0,IF($U224&lt;1,1/$U224,IF((FR$56-Voorblad!$F$41)/$U224-SUM($EE224:FQ224)=1,1,0))))</f>
        <v>0</v>
      </c>
      <c r="FS224" s="8">
        <f>IF(FS$56-Voorblad!$F$41&gt;Voorblad!$K$41,0,IF($U224=0,0,IF($U224&lt;1,1/$U224,IF((FS$56-Voorblad!$F$41)/$U224-SUM($EE224:FR224)=1,1,0))))</f>
        <v>0</v>
      </c>
      <c r="FT224" s="8">
        <f>IF(FT$56-Voorblad!$F$41&gt;Voorblad!$K$41,0,IF($U224=0,0,IF($U224&lt;1,1/$U224,IF((FT$56-Voorblad!$F$41)/$U224-SUM($EE224:FS224)=1,1,0))))</f>
        <v>0</v>
      </c>
      <c r="FU224" s="8">
        <f>IF(FU$56-Voorblad!$F$41&gt;Voorblad!$K$41,0,IF($U224=0,0,IF($U224&lt;1,1/$U224,IF((FU$56-Voorblad!$F$41)/$U224-SUM($EE224:FT224)=1,1,0))))</f>
        <v>0</v>
      </c>
      <c r="FV224" s="8">
        <f>IF(FV$56-Voorblad!$F$41&gt;Voorblad!$K$41,0,IF($U224=0,0,IF($U224&lt;1,1/$U224,IF((FV$56-Voorblad!$F$41)/$U224-SUM($EE224:FU224)=1,1,0))))</f>
        <v>0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outlineLevel="1" x14ac:dyDescent="0.25">
      <c r="B225" s="2" t="s">
        <v>272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201893.99999999997</v>
      </c>
      <c r="U225" s="14"/>
      <c r="V225" s="14"/>
      <c r="W225" s="14"/>
      <c r="X225" s="6"/>
      <c r="Y225" s="23">
        <f>SUM(Y221:Y224)</f>
        <v>108899.7236662729</v>
      </c>
      <c r="Z225" s="24"/>
      <c r="AA225" s="23">
        <f>SUM(AA221:AA224)</f>
        <v>52</v>
      </c>
      <c r="AC225" s="9">
        <f>$Y225*(Voorblad!$K$44*(1+Voorblad!$K$44)^Voorblad!$K$41)/((1+Voorblad!$K$44)^Voorblad!$K$41-1)</f>
        <v>5910.6328036192708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261</v>
      </c>
      <c r="P229" s="1" t="s">
        <v>316</v>
      </c>
      <c r="Q229" s="84">
        <f>2*11*0.035</f>
        <v>0.77</v>
      </c>
      <c r="R229" s="1" t="s">
        <v>101</v>
      </c>
      <c r="S229" s="1">
        <v>-200</v>
      </c>
      <c r="T229" s="21">
        <f t="shared" ref="T229:T236" si="201">Q229*S229</f>
        <v>-154</v>
      </c>
      <c r="U229" s="11">
        <v>1</v>
      </c>
      <c r="V229" s="14">
        <f>Voorblad!F24+100</f>
        <v>2053</v>
      </c>
      <c r="W229" s="9">
        <f>Voorblad!$K$77</f>
        <v>2053</v>
      </c>
      <c r="X229" s="6"/>
      <c r="Y229" s="9">
        <f t="shared" ref="Y229" si="202">SUM(AE229:EB229)</f>
        <v>-83.066150775189101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-83.066150775189101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0</v>
      </c>
      <c r="FG229" s="8">
        <f>IF(FG$56-Voorblad!$F$41&gt;Voorblad!$K$41,0,IF($U229=0,0,IF($U229&lt;1,1/$U229,IF((FG$56-Voorblad!$F$41)/$U229-SUM($EE229:FF229)=1,1,0))))</f>
        <v>0</v>
      </c>
      <c r="FH229" s="8">
        <f>IF(FH$56-Voorblad!$F$41&gt;Voorblad!$K$41,0,IF($U229=0,0,IF($U229&lt;1,1/$U229,IF((FH$56-Voorblad!$F$41)/$U229-SUM($EE229:FG229)=1,1,0))))</f>
        <v>0</v>
      </c>
      <c r="FI229" s="8">
        <f>IF(FI$56-Voorblad!$F$41&gt;Voorblad!$K$41,0,IF($U229=0,0,IF($U229&lt;1,1/$U229,IF((FI$56-Voorblad!$F$41)/$U229-SUM($EE229:FH229)=1,1,0))))</f>
        <v>0</v>
      </c>
      <c r="FJ229" s="8">
        <f>IF(FJ$56-Voorblad!$F$41&gt;Voorblad!$K$41,0,IF($U229=0,0,IF($U229&lt;1,1/$U229,IF((FJ$56-Voorblad!$F$41)/$U229-SUM($EE229:FI229)=1,1,0))))</f>
        <v>0</v>
      </c>
      <c r="FK229" s="8">
        <f>IF(FK$56-Voorblad!$F$41&gt;Voorblad!$K$41,0,IF($U229=0,0,IF($U229&lt;1,1/$U229,IF((FK$56-Voorblad!$F$41)/$U229-SUM($EE229:FJ229)=1,1,0))))</f>
        <v>0</v>
      </c>
      <c r="FL229" s="8">
        <f>IF(FL$56-Voorblad!$F$41&gt;Voorblad!$K$41,0,IF($U229=0,0,IF($U229&lt;1,1/$U229,IF((FL$56-Voorblad!$F$41)/$U229-SUM($EE229:FK229)=1,1,0))))</f>
        <v>0</v>
      </c>
      <c r="FM229" s="8">
        <f>IF(FM$56-Voorblad!$F$41&gt;Voorblad!$K$41,0,IF($U229=0,0,IF($U229&lt;1,1/$U229,IF((FM$56-Voorblad!$F$41)/$U229-SUM($EE229:FL229)=1,1,0))))</f>
        <v>0</v>
      </c>
      <c r="FN229" s="8">
        <f>IF(FN$56-Voorblad!$F$41&gt;Voorblad!$K$41,0,IF($U229=0,0,IF($U229&lt;1,1/$U229,IF((FN$56-Voorblad!$F$41)/$U229-SUM($EE229:FM229)=1,1,0))))</f>
        <v>0</v>
      </c>
      <c r="FO229" s="8">
        <f>IF(FO$56-Voorblad!$F$41&gt;Voorblad!$K$41,0,IF($U229=0,0,IF($U229&lt;1,1/$U229,IF((FO$56-Voorblad!$F$41)/$U229-SUM($EE229:FN229)=1,1,0))))</f>
        <v>0</v>
      </c>
      <c r="FP229" s="8">
        <f>IF(FP$56-Voorblad!$F$41&gt;Voorblad!$K$41,0,IF($U229=0,0,IF($U229&lt;1,1/$U229,IF((FP$56-Voorblad!$F$41)/$U229-SUM($EE229:FO229)=1,1,0))))</f>
        <v>0</v>
      </c>
      <c r="FQ229" s="8">
        <f>IF(FQ$56-Voorblad!$F$41&gt;Voorblad!$K$41,0,IF($U229=0,0,IF($U229&lt;1,1/$U229,IF((FQ$56-Voorblad!$F$41)/$U229-SUM($EE229:FP229)=1,1,0))))</f>
        <v>0</v>
      </c>
      <c r="FR229" s="8">
        <f>IF(FR$56-Voorblad!$F$41&gt;Voorblad!$K$41,0,IF($U229=0,0,IF($U229&lt;1,1/$U229,IF((FR$56-Voorblad!$F$41)/$U229-SUM($EE229:FQ229)=1,1,0))))</f>
        <v>0</v>
      </c>
      <c r="FS229" s="8">
        <f>IF(FS$56-Voorblad!$F$41&gt;Voorblad!$K$41,0,IF($U229=0,0,IF($U229&lt;1,1/$U229,IF((FS$56-Voorblad!$F$41)/$U229-SUM($EE229:FR229)=1,1,0))))</f>
        <v>0</v>
      </c>
      <c r="FT229" s="8">
        <f>IF(FT$56-Voorblad!$F$41&gt;Voorblad!$K$41,0,IF($U229=0,0,IF($U229&lt;1,1/$U229,IF((FT$56-Voorblad!$F$41)/$U229-SUM($EE229:FS229)=1,1,0))))</f>
        <v>0</v>
      </c>
      <c r="FU229" s="8">
        <f>IF(FU$56-Voorblad!$F$41&gt;Voorblad!$K$41,0,IF($U229=0,0,IF($U229&lt;1,1/$U229,IF((FU$56-Voorblad!$F$41)/$U229-SUM($EE229:FT229)=1,1,0))))</f>
        <v>0</v>
      </c>
      <c r="FV229" s="8">
        <f>IF(FV$56-Voorblad!$F$41&gt;Voorblad!$K$41,0,IF($U229=0,0,IF($U229&lt;1,1/$U229,IF((FV$56-Voorblad!$F$41)/$U229-SUM($EE229:FU229)=1,1,0))))</f>
        <v>0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262</v>
      </c>
      <c r="O230" s="1" t="s">
        <v>103</v>
      </c>
      <c r="P230" s="1" t="s">
        <v>315</v>
      </c>
      <c r="Q230" s="83">
        <f>2*65</f>
        <v>130</v>
      </c>
      <c r="R230" s="1" t="s">
        <v>101</v>
      </c>
      <c r="S230" s="1">
        <v>-50</v>
      </c>
      <c r="T230" s="21">
        <f t="shared" si="201"/>
        <v>-6500</v>
      </c>
      <c r="U230" s="11">
        <v>1</v>
      </c>
      <c r="V230" s="14">
        <f>Voorblad!F24+100</f>
        <v>2053</v>
      </c>
      <c r="W230" s="9">
        <f>Voorblad!$K$77</f>
        <v>2053</v>
      </c>
      <c r="X230" s="6"/>
      <c r="Y230" s="9">
        <f t="shared" ref="Y230" si="203">SUM(AE230:EB230)</f>
        <v>-3506.0388314203192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-3506.0388314203192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0</v>
      </c>
      <c r="FG230" s="8">
        <f>IF(FG$56-Voorblad!$F$41&gt;Voorblad!$K$41,0,IF($U230=0,0,IF($U230&lt;1,1/$U230,IF((FG$56-Voorblad!$F$41)/$U230-SUM($EE230:FF230)=1,1,0))))</f>
        <v>0</v>
      </c>
      <c r="FH230" s="8">
        <f>IF(FH$56-Voorblad!$F$41&gt;Voorblad!$K$41,0,IF($U230=0,0,IF($U230&lt;1,1/$U230,IF((FH$56-Voorblad!$F$41)/$U230-SUM($EE230:FG230)=1,1,0))))</f>
        <v>0</v>
      </c>
      <c r="FI230" s="8">
        <f>IF(FI$56-Voorblad!$F$41&gt;Voorblad!$K$41,0,IF($U230=0,0,IF($U230&lt;1,1/$U230,IF((FI$56-Voorblad!$F$41)/$U230-SUM($EE230:FH230)=1,1,0))))</f>
        <v>0</v>
      </c>
      <c r="FJ230" s="8">
        <f>IF(FJ$56-Voorblad!$F$41&gt;Voorblad!$K$41,0,IF($U230=0,0,IF($U230&lt;1,1/$U230,IF((FJ$56-Voorblad!$F$41)/$U230-SUM($EE230:FI230)=1,1,0))))</f>
        <v>0</v>
      </c>
      <c r="FK230" s="8">
        <f>IF(FK$56-Voorblad!$F$41&gt;Voorblad!$K$41,0,IF($U230=0,0,IF($U230&lt;1,1/$U230,IF((FK$56-Voorblad!$F$41)/$U230-SUM($EE230:FJ230)=1,1,0))))</f>
        <v>0</v>
      </c>
      <c r="FL230" s="8">
        <f>IF(FL$56-Voorblad!$F$41&gt;Voorblad!$K$41,0,IF($U230=0,0,IF($U230&lt;1,1/$U230,IF((FL$56-Voorblad!$F$41)/$U230-SUM($EE230:FK230)=1,1,0))))</f>
        <v>0</v>
      </c>
      <c r="FM230" s="8">
        <f>IF(FM$56-Voorblad!$F$41&gt;Voorblad!$K$41,0,IF($U230=0,0,IF($U230&lt;1,1/$U230,IF((FM$56-Voorblad!$F$41)/$U230-SUM($EE230:FL230)=1,1,0))))</f>
        <v>0</v>
      </c>
      <c r="FN230" s="8">
        <f>IF(FN$56-Voorblad!$F$41&gt;Voorblad!$K$41,0,IF($U230=0,0,IF($U230&lt;1,1/$U230,IF((FN$56-Voorblad!$F$41)/$U230-SUM($EE230:FM230)=1,1,0))))</f>
        <v>0</v>
      </c>
      <c r="FO230" s="8">
        <f>IF(FO$56-Voorblad!$F$41&gt;Voorblad!$K$41,0,IF($U230=0,0,IF($U230&lt;1,1/$U230,IF((FO$56-Voorblad!$F$41)/$U230-SUM($EE230:FN230)=1,1,0))))</f>
        <v>0</v>
      </c>
      <c r="FP230" s="8">
        <f>IF(FP$56-Voorblad!$F$41&gt;Voorblad!$K$41,0,IF($U230=0,0,IF($U230&lt;1,1/$U230,IF((FP$56-Voorblad!$F$41)/$U230-SUM($EE230:FO230)=1,1,0))))</f>
        <v>0</v>
      </c>
      <c r="FQ230" s="8">
        <f>IF(FQ$56-Voorblad!$F$41&gt;Voorblad!$K$41,0,IF($U230=0,0,IF($U230&lt;1,1/$U230,IF((FQ$56-Voorblad!$F$41)/$U230-SUM($EE230:FP230)=1,1,0))))</f>
        <v>0</v>
      </c>
      <c r="FR230" s="8">
        <f>IF(FR$56-Voorblad!$F$41&gt;Voorblad!$K$41,0,IF($U230=0,0,IF($U230&lt;1,1/$U230,IF((FR$56-Voorblad!$F$41)/$U230-SUM($EE230:FQ230)=1,1,0))))</f>
        <v>0</v>
      </c>
      <c r="FS230" s="8">
        <f>IF(FS$56-Voorblad!$F$41&gt;Voorblad!$K$41,0,IF($U230=0,0,IF($U230&lt;1,1/$U230,IF((FS$56-Voorblad!$F$41)/$U230-SUM($EE230:FR230)=1,1,0))))</f>
        <v>0</v>
      </c>
      <c r="FT230" s="8">
        <f>IF(FT$56-Voorblad!$F$41&gt;Voorblad!$K$41,0,IF($U230=0,0,IF($U230&lt;1,1/$U230,IF((FT$56-Voorblad!$F$41)/$U230-SUM($EE230:FS230)=1,1,0))))</f>
        <v>0</v>
      </c>
      <c r="FU230" s="8">
        <f>IF(FU$56-Voorblad!$F$41&gt;Voorblad!$K$41,0,IF($U230=0,0,IF($U230&lt;1,1/$U230,IF((FU$56-Voorblad!$F$41)/$U230-SUM($EE230:FT230)=1,1,0))))</f>
        <v>0</v>
      </c>
      <c r="FV230" s="8">
        <f>IF(FV$56-Voorblad!$F$41&gt;Voorblad!$K$41,0,IF($U230=0,0,IF($U230&lt;1,1/$U230,IF((FV$56-Voorblad!$F$41)/$U230-SUM($EE230:FU230)=1,1,0))))</f>
        <v>0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263</v>
      </c>
      <c r="O231" s="1" t="s">
        <v>102</v>
      </c>
      <c r="Q231" s="83">
        <f>0.5*Q230</f>
        <v>65</v>
      </c>
      <c r="R231" s="1" t="s">
        <v>101</v>
      </c>
      <c r="S231" s="1">
        <v>-200</v>
      </c>
      <c r="T231" s="21">
        <f t="shared" si="201"/>
        <v>-13000</v>
      </c>
      <c r="U231" s="11">
        <v>1</v>
      </c>
      <c r="V231" s="14">
        <f>Voorblad!F24+100</f>
        <v>2053</v>
      </c>
      <c r="W231" s="9">
        <f>Voorblad!$K$77</f>
        <v>2053</v>
      </c>
      <c r="X231" s="6"/>
      <c r="Y231" s="9">
        <f t="shared" ref="Y231:Y234" si="204">SUM(AE231:EB231)</f>
        <v>-7012.0776628406384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-7012.0776628406384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0</v>
      </c>
      <c r="FG231" s="8">
        <f>IF(FG$56-Voorblad!$F$41&gt;Voorblad!$K$41,0,IF($U231=0,0,IF($U231&lt;1,1/$U231,IF((FG$56-Voorblad!$F$41)/$U231-SUM($EE231:FF231)=1,1,0))))</f>
        <v>0</v>
      </c>
      <c r="FH231" s="8">
        <f>IF(FH$56-Voorblad!$F$41&gt;Voorblad!$K$41,0,IF($U231=0,0,IF($U231&lt;1,1/$U231,IF((FH$56-Voorblad!$F$41)/$U231-SUM($EE231:FG231)=1,1,0))))</f>
        <v>0</v>
      </c>
      <c r="FI231" s="8">
        <f>IF(FI$56-Voorblad!$F$41&gt;Voorblad!$K$41,0,IF($U231=0,0,IF($U231&lt;1,1/$U231,IF((FI$56-Voorblad!$F$41)/$U231-SUM($EE231:FH231)=1,1,0))))</f>
        <v>0</v>
      </c>
      <c r="FJ231" s="8">
        <f>IF(FJ$56-Voorblad!$F$41&gt;Voorblad!$K$41,0,IF($U231=0,0,IF($U231&lt;1,1/$U231,IF((FJ$56-Voorblad!$F$41)/$U231-SUM($EE231:FI231)=1,1,0))))</f>
        <v>0</v>
      </c>
      <c r="FK231" s="8">
        <f>IF(FK$56-Voorblad!$F$41&gt;Voorblad!$K$41,0,IF($U231=0,0,IF($U231&lt;1,1/$U231,IF((FK$56-Voorblad!$F$41)/$U231-SUM($EE231:FJ231)=1,1,0))))</f>
        <v>0</v>
      </c>
      <c r="FL231" s="8">
        <f>IF(FL$56-Voorblad!$F$41&gt;Voorblad!$K$41,0,IF($U231=0,0,IF($U231&lt;1,1/$U231,IF((FL$56-Voorblad!$F$41)/$U231-SUM($EE231:FK231)=1,1,0))))</f>
        <v>0</v>
      </c>
      <c r="FM231" s="8">
        <f>IF(FM$56-Voorblad!$F$41&gt;Voorblad!$K$41,0,IF($U231=0,0,IF($U231&lt;1,1/$U231,IF((FM$56-Voorblad!$F$41)/$U231-SUM($EE231:FL231)=1,1,0))))</f>
        <v>0</v>
      </c>
      <c r="FN231" s="8">
        <f>IF(FN$56-Voorblad!$F$41&gt;Voorblad!$K$41,0,IF($U231=0,0,IF($U231&lt;1,1/$U231,IF((FN$56-Voorblad!$F$41)/$U231-SUM($EE231:FM231)=1,1,0))))</f>
        <v>0</v>
      </c>
      <c r="FO231" s="8">
        <f>IF(FO$56-Voorblad!$F$41&gt;Voorblad!$K$41,0,IF($U231=0,0,IF($U231&lt;1,1/$U231,IF((FO$56-Voorblad!$F$41)/$U231-SUM($EE231:FN231)=1,1,0))))</f>
        <v>0</v>
      </c>
      <c r="FP231" s="8">
        <f>IF(FP$56-Voorblad!$F$41&gt;Voorblad!$K$41,0,IF($U231=0,0,IF($U231&lt;1,1/$U231,IF((FP$56-Voorblad!$F$41)/$U231-SUM($EE231:FO231)=1,1,0))))</f>
        <v>0</v>
      </c>
      <c r="FQ231" s="8">
        <f>IF(FQ$56-Voorblad!$F$41&gt;Voorblad!$K$41,0,IF($U231=0,0,IF($U231&lt;1,1/$U231,IF((FQ$56-Voorblad!$F$41)/$U231-SUM($EE231:FP231)=1,1,0))))</f>
        <v>0</v>
      </c>
      <c r="FR231" s="8">
        <f>IF(FR$56-Voorblad!$F$41&gt;Voorblad!$K$41,0,IF($U231=0,0,IF($U231&lt;1,1/$U231,IF((FR$56-Voorblad!$F$41)/$U231-SUM($EE231:FQ231)=1,1,0))))</f>
        <v>0</v>
      </c>
      <c r="FS231" s="8">
        <f>IF(FS$56-Voorblad!$F$41&gt;Voorblad!$K$41,0,IF($U231=0,0,IF($U231&lt;1,1/$U231,IF((FS$56-Voorblad!$F$41)/$U231-SUM($EE231:FR231)=1,1,0))))</f>
        <v>0</v>
      </c>
      <c r="FT231" s="8">
        <f>IF(FT$56-Voorblad!$F$41&gt;Voorblad!$K$41,0,IF($U231=0,0,IF($U231&lt;1,1/$U231,IF((FT$56-Voorblad!$F$41)/$U231-SUM($EE231:FS231)=1,1,0))))</f>
        <v>0</v>
      </c>
      <c r="FU231" s="8">
        <f>IF(FU$56-Voorblad!$F$41&gt;Voorblad!$K$41,0,IF($U231=0,0,IF($U231&lt;1,1/$U231,IF((FU$56-Voorblad!$F$41)/$U231-SUM($EE231:FT231)=1,1,0))))</f>
        <v>0</v>
      </c>
      <c r="FV231" s="8">
        <f>IF(FV$56-Voorblad!$F$41&gt;Voorblad!$K$41,0,IF($U231=0,0,IF($U231&lt;1,1/$U231,IF((FV$56-Voorblad!$F$41)/$U231-SUM($EE231:FU231)=1,1,0))))</f>
        <v>0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264</v>
      </c>
      <c r="O232" s="1" t="s">
        <v>137</v>
      </c>
      <c r="Q232" s="83">
        <v>0</v>
      </c>
      <c r="R232" s="1" t="s">
        <v>101</v>
      </c>
      <c r="S232" s="1">
        <v>-50</v>
      </c>
      <c r="T232" s="21">
        <f t="shared" si="201"/>
        <v>0</v>
      </c>
      <c r="U232" s="11">
        <v>1</v>
      </c>
      <c r="V232" s="14">
        <f>Voorblad!F24+100</f>
        <v>2053</v>
      </c>
      <c r="W232" s="9">
        <f>Voorblad!$K$77</f>
        <v>2053</v>
      </c>
      <c r="X232" s="6"/>
      <c r="Y232" s="9">
        <f t="shared" ref="Y232" si="205">SUM(AE232:EB232)</f>
        <v>0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0</v>
      </c>
      <c r="FG232" s="8">
        <f>IF(FG$56-Voorblad!$F$41&gt;Voorblad!$K$41,0,IF($U232=0,0,IF($U232&lt;1,1/$U232,IF((FG$56-Voorblad!$F$41)/$U232-SUM($EE232:FF232)=1,1,0))))</f>
        <v>0</v>
      </c>
      <c r="FH232" s="8">
        <f>IF(FH$56-Voorblad!$F$41&gt;Voorblad!$K$41,0,IF($U232=0,0,IF($U232&lt;1,1/$U232,IF((FH$56-Voorblad!$F$41)/$U232-SUM($EE232:FG232)=1,1,0))))</f>
        <v>0</v>
      </c>
      <c r="FI232" s="8">
        <f>IF(FI$56-Voorblad!$F$41&gt;Voorblad!$K$41,0,IF($U232=0,0,IF($U232&lt;1,1/$U232,IF((FI$56-Voorblad!$F$41)/$U232-SUM($EE232:FH232)=1,1,0))))</f>
        <v>0</v>
      </c>
      <c r="FJ232" s="8">
        <f>IF(FJ$56-Voorblad!$F$41&gt;Voorblad!$K$41,0,IF($U232=0,0,IF($U232&lt;1,1/$U232,IF((FJ$56-Voorblad!$F$41)/$U232-SUM($EE232:FI232)=1,1,0))))</f>
        <v>0</v>
      </c>
      <c r="FK232" s="8">
        <f>IF(FK$56-Voorblad!$F$41&gt;Voorblad!$K$41,0,IF($U232=0,0,IF($U232&lt;1,1/$U232,IF((FK$56-Voorblad!$F$41)/$U232-SUM($EE232:FJ232)=1,1,0))))</f>
        <v>0</v>
      </c>
      <c r="FL232" s="8">
        <f>IF(FL$56-Voorblad!$F$41&gt;Voorblad!$K$41,0,IF($U232=0,0,IF($U232&lt;1,1/$U232,IF((FL$56-Voorblad!$F$41)/$U232-SUM($EE232:FK232)=1,1,0))))</f>
        <v>0</v>
      </c>
      <c r="FM232" s="8">
        <f>IF(FM$56-Voorblad!$F$41&gt;Voorblad!$K$41,0,IF($U232=0,0,IF($U232&lt;1,1/$U232,IF((FM$56-Voorblad!$F$41)/$U232-SUM($EE232:FL232)=1,1,0))))</f>
        <v>0</v>
      </c>
      <c r="FN232" s="8">
        <f>IF(FN$56-Voorblad!$F$41&gt;Voorblad!$K$41,0,IF($U232=0,0,IF($U232&lt;1,1/$U232,IF((FN$56-Voorblad!$F$41)/$U232-SUM($EE232:FM232)=1,1,0))))</f>
        <v>0</v>
      </c>
      <c r="FO232" s="8">
        <f>IF(FO$56-Voorblad!$F$41&gt;Voorblad!$K$41,0,IF($U232=0,0,IF($U232&lt;1,1/$U232,IF((FO$56-Voorblad!$F$41)/$U232-SUM($EE232:FN232)=1,1,0))))</f>
        <v>0</v>
      </c>
      <c r="FP232" s="8">
        <f>IF(FP$56-Voorblad!$F$41&gt;Voorblad!$K$41,0,IF($U232=0,0,IF($U232&lt;1,1/$U232,IF((FP$56-Voorblad!$F$41)/$U232-SUM($EE232:FO232)=1,1,0))))</f>
        <v>0</v>
      </c>
      <c r="FQ232" s="8">
        <f>IF(FQ$56-Voorblad!$F$41&gt;Voorblad!$K$41,0,IF($U232=0,0,IF($U232&lt;1,1/$U232,IF((FQ$56-Voorblad!$F$41)/$U232-SUM($EE232:FP232)=1,1,0))))</f>
        <v>0</v>
      </c>
      <c r="FR232" s="8">
        <f>IF(FR$56-Voorblad!$F$41&gt;Voorblad!$K$41,0,IF($U232=0,0,IF($U232&lt;1,1/$U232,IF((FR$56-Voorblad!$F$41)/$U232-SUM($EE232:FQ232)=1,1,0))))</f>
        <v>0</v>
      </c>
      <c r="FS232" s="8">
        <f>IF(FS$56-Voorblad!$F$41&gt;Voorblad!$K$41,0,IF($U232=0,0,IF($U232&lt;1,1/$U232,IF((FS$56-Voorblad!$F$41)/$U232-SUM($EE232:FR232)=1,1,0))))</f>
        <v>0</v>
      </c>
      <c r="FT232" s="8">
        <f>IF(FT$56-Voorblad!$F$41&gt;Voorblad!$K$41,0,IF($U232=0,0,IF($U232&lt;1,1/$U232,IF((FT$56-Voorblad!$F$41)/$U232-SUM($EE232:FS232)=1,1,0))))</f>
        <v>0</v>
      </c>
      <c r="FU232" s="8">
        <f>IF(FU$56-Voorblad!$F$41&gt;Voorblad!$K$41,0,IF($U232=0,0,IF($U232&lt;1,1/$U232,IF((FU$56-Voorblad!$F$41)/$U232-SUM($EE232:FT232)=1,1,0))))</f>
        <v>0</v>
      </c>
      <c r="FV232" s="8">
        <f>IF(FV$56-Voorblad!$F$41&gt;Voorblad!$K$41,0,IF($U232=0,0,IF($U232&lt;1,1/$U232,IF((FV$56-Voorblad!$F$41)/$U232-SUM($EE232:FU232)=1,1,0))))</f>
        <v>0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265</v>
      </c>
      <c r="O233" s="1" t="s">
        <v>136</v>
      </c>
      <c r="Q233" s="83">
        <f>0.2*Q232</f>
        <v>0</v>
      </c>
      <c r="R233" s="1" t="s">
        <v>101</v>
      </c>
      <c r="S233" s="1">
        <v>-200</v>
      </c>
      <c r="T233" s="21">
        <f t="shared" si="201"/>
        <v>0</v>
      </c>
      <c r="U233" s="11">
        <v>1</v>
      </c>
      <c r="V233" s="14">
        <f>Voorblad!F24+100</f>
        <v>2053</v>
      </c>
      <c r="W233" s="9">
        <f>Voorblad!$K$77</f>
        <v>2053</v>
      </c>
      <c r="X233" s="6"/>
      <c r="Y233" s="9">
        <f t="shared" ref="Y233" si="206">SUM(AE233:EB233)</f>
        <v>0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0</v>
      </c>
      <c r="FG233" s="8">
        <f>IF(FG$56-Voorblad!$F$41&gt;Voorblad!$K$41,0,IF($U233=0,0,IF($U233&lt;1,1/$U233,IF((FG$56-Voorblad!$F$41)/$U233-SUM($EE233:FF233)=1,1,0))))</f>
        <v>0</v>
      </c>
      <c r="FH233" s="8">
        <f>IF(FH$56-Voorblad!$F$41&gt;Voorblad!$K$41,0,IF($U233=0,0,IF($U233&lt;1,1/$U233,IF((FH$56-Voorblad!$F$41)/$U233-SUM($EE233:FG233)=1,1,0))))</f>
        <v>0</v>
      </c>
      <c r="FI233" s="8">
        <f>IF(FI$56-Voorblad!$F$41&gt;Voorblad!$K$41,0,IF($U233=0,0,IF($U233&lt;1,1/$U233,IF((FI$56-Voorblad!$F$41)/$U233-SUM($EE233:FH233)=1,1,0))))</f>
        <v>0</v>
      </c>
      <c r="FJ233" s="8">
        <f>IF(FJ$56-Voorblad!$F$41&gt;Voorblad!$K$41,0,IF($U233=0,0,IF($U233&lt;1,1/$U233,IF((FJ$56-Voorblad!$F$41)/$U233-SUM($EE233:FI233)=1,1,0))))</f>
        <v>0</v>
      </c>
      <c r="FK233" s="8">
        <f>IF(FK$56-Voorblad!$F$41&gt;Voorblad!$K$41,0,IF($U233=0,0,IF($U233&lt;1,1/$U233,IF((FK$56-Voorblad!$F$41)/$U233-SUM($EE233:FJ233)=1,1,0))))</f>
        <v>0</v>
      </c>
      <c r="FL233" s="8">
        <f>IF(FL$56-Voorblad!$F$41&gt;Voorblad!$K$41,0,IF($U233=0,0,IF($U233&lt;1,1/$U233,IF((FL$56-Voorblad!$F$41)/$U233-SUM($EE233:FK233)=1,1,0))))</f>
        <v>0</v>
      </c>
      <c r="FM233" s="8">
        <f>IF(FM$56-Voorblad!$F$41&gt;Voorblad!$K$41,0,IF($U233=0,0,IF($U233&lt;1,1/$U233,IF((FM$56-Voorblad!$F$41)/$U233-SUM($EE233:FL233)=1,1,0))))</f>
        <v>0</v>
      </c>
      <c r="FN233" s="8">
        <f>IF(FN$56-Voorblad!$F$41&gt;Voorblad!$K$41,0,IF($U233=0,0,IF($U233&lt;1,1/$U233,IF((FN$56-Voorblad!$F$41)/$U233-SUM($EE233:FM233)=1,1,0))))</f>
        <v>0</v>
      </c>
      <c r="FO233" s="8">
        <f>IF(FO$56-Voorblad!$F$41&gt;Voorblad!$K$41,0,IF($U233=0,0,IF($U233&lt;1,1/$U233,IF((FO$56-Voorblad!$F$41)/$U233-SUM($EE233:FN233)=1,1,0))))</f>
        <v>0</v>
      </c>
      <c r="FP233" s="8">
        <f>IF(FP$56-Voorblad!$F$41&gt;Voorblad!$K$41,0,IF($U233=0,0,IF($U233&lt;1,1/$U233,IF((FP$56-Voorblad!$F$41)/$U233-SUM($EE233:FO233)=1,1,0))))</f>
        <v>0</v>
      </c>
      <c r="FQ233" s="8">
        <f>IF(FQ$56-Voorblad!$F$41&gt;Voorblad!$K$41,0,IF($U233=0,0,IF($U233&lt;1,1/$U233,IF((FQ$56-Voorblad!$F$41)/$U233-SUM($EE233:FP233)=1,1,0))))</f>
        <v>0</v>
      </c>
      <c r="FR233" s="8">
        <f>IF(FR$56-Voorblad!$F$41&gt;Voorblad!$K$41,0,IF($U233=0,0,IF($U233&lt;1,1/$U233,IF((FR$56-Voorblad!$F$41)/$U233-SUM($EE233:FQ233)=1,1,0))))</f>
        <v>0</v>
      </c>
      <c r="FS233" s="8">
        <f>IF(FS$56-Voorblad!$F$41&gt;Voorblad!$K$41,0,IF($U233=0,0,IF($U233&lt;1,1/$U233,IF((FS$56-Voorblad!$F$41)/$U233-SUM($EE233:FR233)=1,1,0))))</f>
        <v>0</v>
      </c>
      <c r="FT233" s="8">
        <f>IF(FT$56-Voorblad!$F$41&gt;Voorblad!$K$41,0,IF($U233=0,0,IF($U233&lt;1,1/$U233,IF((FT$56-Voorblad!$F$41)/$U233-SUM($EE233:FS233)=1,1,0))))</f>
        <v>0</v>
      </c>
      <c r="FU233" s="8">
        <f>IF(FU$56-Voorblad!$F$41&gt;Voorblad!$K$41,0,IF($U233=0,0,IF($U233&lt;1,1/$U233,IF((FU$56-Voorblad!$F$41)/$U233-SUM($EE233:FT233)=1,1,0))))</f>
        <v>0</v>
      </c>
      <c r="FV233" s="8">
        <f>IF(FV$56-Voorblad!$F$41&gt;Voorblad!$K$41,0,IF($U233=0,0,IF($U233&lt;1,1/$U233,IF((FV$56-Voorblad!$F$41)/$U233-SUM($EE233:FU233)=1,1,0))))</f>
        <v>0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266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2053</v>
      </c>
      <c r="W234" s="9">
        <f>Voorblad!$K$77</f>
        <v>2053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0</v>
      </c>
      <c r="FG234" s="8">
        <f>IF(FG$56-Voorblad!$F$41&gt;Voorblad!$K$41,0,IF($U234=0,0,IF($U234&lt;1,1/$U234,IF((FG$56-Voorblad!$F$41)/$U234-SUM($EE234:FF234)=1,1,0))))</f>
        <v>0</v>
      </c>
      <c r="FH234" s="8">
        <f>IF(FH$56-Voorblad!$F$41&gt;Voorblad!$K$41,0,IF($U234=0,0,IF($U234&lt;1,1/$U234,IF((FH$56-Voorblad!$F$41)/$U234-SUM($EE234:FG234)=1,1,0))))</f>
        <v>0</v>
      </c>
      <c r="FI234" s="8">
        <f>IF(FI$56-Voorblad!$F$41&gt;Voorblad!$K$41,0,IF($U234=0,0,IF($U234&lt;1,1/$U234,IF((FI$56-Voorblad!$F$41)/$U234-SUM($EE234:FH234)=1,1,0))))</f>
        <v>0</v>
      </c>
      <c r="FJ234" s="8">
        <f>IF(FJ$56-Voorblad!$F$41&gt;Voorblad!$K$41,0,IF($U234=0,0,IF($U234&lt;1,1/$U234,IF((FJ$56-Voorblad!$F$41)/$U234-SUM($EE234:FI234)=1,1,0))))</f>
        <v>0</v>
      </c>
      <c r="FK234" s="8">
        <f>IF(FK$56-Voorblad!$F$41&gt;Voorblad!$K$41,0,IF($U234=0,0,IF($U234&lt;1,1/$U234,IF((FK$56-Voorblad!$F$41)/$U234-SUM($EE234:FJ234)=1,1,0))))</f>
        <v>0</v>
      </c>
      <c r="FL234" s="8">
        <f>IF(FL$56-Voorblad!$F$41&gt;Voorblad!$K$41,0,IF($U234=0,0,IF($U234&lt;1,1/$U234,IF((FL$56-Voorblad!$F$41)/$U234-SUM($EE234:FK234)=1,1,0))))</f>
        <v>0</v>
      </c>
      <c r="FM234" s="8">
        <f>IF(FM$56-Voorblad!$F$41&gt;Voorblad!$K$41,0,IF($U234=0,0,IF($U234&lt;1,1/$U234,IF((FM$56-Voorblad!$F$41)/$U234-SUM($EE234:FL234)=1,1,0))))</f>
        <v>0</v>
      </c>
      <c r="FN234" s="8">
        <f>IF(FN$56-Voorblad!$F$41&gt;Voorblad!$K$41,0,IF($U234=0,0,IF($U234&lt;1,1/$U234,IF((FN$56-Voorblad!$F$41)/$U234-SUM($EE234:FM234)=1,1,0))))</f>
        <v>0</v>
      </c>
      <c r="FO234" s="8">
        <f>IF(FO$56-Voorblad!$F$41&gt;Voorblad!$K$41,0,IF($U234=0,0,IF($U234&lt;1,1/$U234,IF((FO$56-Voorblad!$F$41)/$U234-SUM($EE234:FN234)=1,1,0))))</f>
        <v>0</v>
      </c>
      <c r="FP234" s="8">
        <f>IF(FP$56-Voorblad!$F$41&gt;Voorblad!$K$41,0,IF($U234=0,0,IF($U234&lt;1,1/$U234,IF((FP$56-Voorblad!$F$41)/$U234-SUM($EE234:FO234)=1,1,0))))</f>
        <v>0</v>
      </c>
      <c r="FQ234" s="8">
        <f>IF(FQ$56-Voorblad!$F$41&gt;Voorblad!$K$41,0,IF($U234=0,0,IF($U234&lt;1,1/$U234,IF((FQ$56-Voorblad!$F$41)/$U234-SUM($EE234:FP234)=1,1,0))))</f>
        <v>0</v>
      </c>
      <c r="FR234" s="8">
        <f>IF(FR$56-Voorblad!$F$41&gt;Voorblad!$K$41,0,IF($U234=0,0,IF($U234&lt;1,1/$U234,IF((FR$56-Voorblad!$F$41)/$U234-SUM($EE234:FQ234)=1,1,0))))</f>
        <v>0</v>
      </c>
      <c r="FS234" s="8">
        <f>IF(FS$56-Voorblad!$F$41&gt;Voorblad!$K$41,0,IF($U234=0,0,IF($U234&lt;1,1/$U234,IF((FS$56-Voorblad!$F$41)/$U234-SUM($EE234:FR234)=1,1,0))))</f>
        <v>0</v>
      </c>
      <c r="FT234" s="8">
        <f>IF(FT$56-Voorblad!$F$41&gt;Voorblad!$K$41,0,IF($U234=0,0,IF($U234&lt;1,1/$U234,IF((FT$56-Voorblad!$F$41)/$U234-SUM($EE234:FS234)=1,1,0))))</f>
        <v>0</v>
      </c>
      <c r="FU234" s="8">
        <f>IF(FU$56-Voorblad!$F$41&gt;Voorblad!$K$41,0,IF($U234=0,0,IF($U234&lt;1,1/$U234,IF((FU$56-Voorblad!$F$41)/$U234-SUM($EE234:FT234)=1,1,0))))</f>
        <v>0</v>
      </c>
      <c r="FV234" s="8">
        <f>IF(FV$56-Voorblad!$F$41&gt;Voorblad!$K$41,0,IF($U234=0,0,IF($U234&lt;1,1/$U234,IF((FV$56-Voorblad!$F$41)/$U234-SUM($EE234:FU234)=1,1,0))))</f>
        <v>0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3">
        <f>1.8*35</f>
        <v>63</v>
      </c>
      <c r="R235" s="1" t="s">
        <v>101</v>
      </c>
      <c r="S235" s="1">
        <v>-50</v>
      </c>
      <c r="T235" s="14">
        <f t="shared" si="201"/>
        <v>-3150</v>
      </c>
      <c r="U235" s="11">
        <v>1</v>
      </c>
      <c r="V235" s="14">
        <f>Voorblad!F24+100</f>
        <v>2053</v>
      </c>
      <c r="W235" s="9">
        <f>Voorblad!$K$77</f>
        <v>2053</v>
      </c>
      <c r="X235" s="6"/>
      <c r="Y235" s="9">
        <f t="shared" ref="Y235" si="207">SUM(AE235:EB235)</f>
        <v>-1699.0803567652317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-1699.0803567652317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0</v>
      </c>
      <c r="FG235" s="8">
        <f>IF(FG$56-Voorblad!$F$41&gt;Voorblad!$K$41,0,IF($U235=0,0,IF($U235&lt;1,1/$U235,IF((FG$56-Voorblad!$F$41)/$U235-SUM($EE235:FF235)=1,1,0))))</f>
        <v>0</v>
      </c>
      <c r="FH235" s="8">
        <f>IF(FH$56-Voorblad!$F$41&gt;Voorblad!$K$41,0,IF($U235=0,0,IF($U235&lt;1,1/$U235,IF((FH$56-Voorblad!$F$41)/$U235-SUM($EE235:FG235)=1,1,0))))</f>
        <v>0</v>
      </c>
      <c r="FI235" s="8">
        <f>IF(FI$56-Voorblad!$F$41&gt;Voorblad!$K$41,0,IF($U235=0,0,IF($U235&lt;1,1/$U235,IF((FI$56-Voorblad!$F$41)/$U235-SUM($EE235:FH235)=1,1,0))))</f>
        <v>0</v>
      </c>
      <c r="FJ235" s="8">
        <f>IF(FJ$56-Voorblad!$F$41&gt;Voorblad!$K$41,0,IF($U235=0,0,IF($U235&lt;1,1/$U235,IF((FJ$56-Voorblad!$F$41)/$U235-SUM($EE235:FI235)=1,1,0))))</f>
        <v>0</v>
      </c>
      <c r="FK235" s="8">
        <f>IF(FK$56-Voorblad!$F$41&gt;Voorblad!$K$41,0,IF($U235=0,0,IF($U235&lt;1,1/$U235,IF((FK$56-Voorblad!$F$41)/$U235-SUM($EE235:FJ235)=1,1,0))))</f>
        <v>0</v>
      </c>
      <c r="FL235" s="8">
        <f>IF(FL$56-Voorblad!$F$41&gt;Voorblad!$K$41,0,IF($U235=0,0,IF($U235&lt;1,1/$U235,IF((FL$56-Voorblad!$F$41)/$U235-SUM($EE235:FK235)=1,1,0))))</f>
        <v>0</v>
      </c>
      <c r="FM235" s="8">
        <f>IF(FM$56-Voorblad!$F$41&gt;Voorblad!$K$41,0,IF($U235=0,0,IF($U235&lt;1,1/$U235,IF((FM$56-Voorblad!$F$41)/$U235-SUM($EE235:FL235)=1,1,0))))</f>
        <v>0</v>
      </c>
      <c r="FN235" s="8">
        <f>IF(FN$56-Voorblad!$F$41&gt;Voorblad!$K$41,0,IF($U235=0,0,IF($U235&lt;1,1/$U235,IF((FN$56-Voorblad!$F$41)/$U235-SUM($EE235:FM235)=1,1,0))))</f>
        <v>0</v>
      </c>
      <c r="FO235" s="8">
        <f>IF(FO$56-Voorblad!$F$41&gt;Voorblad!$K$41,0,IF($U235=0,0,IF($U235&lt;1,1/$U235,IF((FO$56-Voorblad!$F$41)/$U235-SUM($EE235:FN235)=1,1,0))))</f>
        <v>0</v>
      </c>
      <c r="FP235" s="8">
        <f>IF(FP$56-Voorblad!$F$41&gt;Voorblad!$K$41,0,IF($U235=0,0,IF($U235&lt;1,1/$U235,IF((FP$56-Voorblad!$F$41)/$U235-SUM($EE235:FO235)=1,1,0))))</f>
        <v>0</v>
      </c>
      <c r="FQ235" s="8">
        <f>IF(FQ$56-Voorblad!$F$41&gt;Voorblad!$K$41,0,IF($U235=0,0,IF($U235&lt;1,1/$U235,IF((FQ$56-Voorblad!$F$41)/$U235-SUM($EE235:FP235)=1,1,0))))</f>
        <v>0</v>
      </c>
      <c r="FR235" s="8">
        <f>IF(FR$56-Voorblad!$F$41&gt;Voorblad!$K$41,0,IF($U235=0,0,IF($U235&lt;1,1/$U235,IF((FR$56-Voorblad!$F$41)/$U235-SUM($EE235:FQ235)=1,1,0))))</f>
        <v>0</v>
      </c>
      <c r="FS235" s="8">
        <f>IF(FS$56-Voorblad!$F$41&gt;Voorblad!$K$41,0,IF($U235=0,0,IF($U235&lt;1,1/$U235,IF((FS$56-Voorblad!$F$41)/$U235-SUM($EE235:FR235)=1,1,0))))</f>
        <v>0</v>
      </c>
      <c r="FT235" s="8">
        <f>IF(FT$56-Voorblad!$F$41&gt;Voorblad!$K$41,0,IF($U235=0,0,IF($U235&lt;1,1/$U235,IF((FT$56-Voorblad!$F$41)/$U235-SUM($EE235:FS235)=1,1,0))))</f>
        <v>0</v>
      </c>
      <c r="FU235" s="8">
        <f>IF(FU$56-Voorblad!$F$41&gt;Voorblad!$K$41,0,IF($U235=0,0,IF($U235&lt;1,1/$U235,IF((FU$56-Voorblad!$F$41)/$U235-SUM($EE235:FT235)=1,1,0))))</f>
        <v>0</v>
      </c>
      <c r="FV235" s="8">
        <f>IF(FV$56-Voorblad!$F$41&gt;Voorblad!$K$41,0,IF($U235=0,0,IF($U235&lt;1,1/$U235,IF((FV$56-Voorblad!$F$41)/$U235-SUM($EE235:FU235)=1,1,0))))</f>
        <v>0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2053</v>
      </c>
      <c r="W236" s="9">
        <f>Voorblad!$K$77</f>
        <v>2053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0</v>
      </c>
      <c r="FG236" s="8">
        <f>IF(FG$56-Voorblad!$F$41&gt;Voorblad!$K$41,0,IF($U236=0,0,IF($U236&lt;1,1/$U236,IF((FG$56-Voorblad!$F$41)/$U236-SUM($EE236:FF236)=1,1,0))))</f>
        <v>0</v>
      </c>
      <c r="FH236" s="8">
        <f>IF(FH$56-Voorblad!$F$41&gt;Voorblad!$K$41,0,IF($U236=0,0,IF($U236&lt;1,1/$U236,IF((FH$56-Voorblad!$F$41)/$U236-SUM($EE236:FG236)=1,1,0))))</f>
        <v>0</v>
      </c>
      <c r="FI236" s="8">
        <f>IF(FI$56-Voorblad!$F$41&gt;Voorblad!$K$41,0,IF($U236=0,0,IF($U236&lt;1,1/$U236,IF((FI$56-Voorblad!$F$41)/$U236-SUM($EE236:FH236)=1,1,0))))</f>
        <v>0</v>
      </c>
      <c r="FJ236" s="8">
        <f>IF(FJ$56-Voorblad!$F$41&gt;Voorblad!$K$41,0,IF($U236=0,0,IF($U236&lt;1,1/$U236,IF((FJ$56-Voorblad!$F$41)/$U236-SUM($EE236:FI236)=1,1,0))))</f>
        <v>0</v>
      </c>
      <c r="FK236" s="8">
        <f>IF(FK$56-Voorblad!$F$41&gt;Voorblad!$K$41,0,IF($U236=0,0,IF($U236&lt;1,1/$U236,IF((FK$56-Voorblad!$F$41)/$U236-SUM($EE236:FJ236)=1,1,0))))</f>
        <v>0</v>
      </c>
      <c r="FL236" s="8">
        <f>IF(FL$56-Voorblad!$F$41&gt;Voorblad!$K$41,0,IF($U236=0,0,IF($U236&lt;1,1/$U236,IF((FL$56-Voorblad!$F$41)/$U236-SUM($EE236:FK236)=1,1,0))))</f>
        <v>0</v>
      </c>
      <c r="FM236" s="8">
        <f>IF(FM$56-Voorblad!$F$41&gt;Voorblad!$K$41,0,IF($U236=0,0,IF($U236&lt;1,1/$U236,IF((FM$56-Voorblad!$F$41)/$U236-SUM($EE236:FL236)=1,1,0))))</f>
        <v>0</v>
      </c>
      <c r="FN236" s="8">
        <f>IF(FN$56-Voorblad!$F$41&gt;Voorblad!$K$41,0,IF($U236=0,0,IF($U236&lt;1,1/$U236,IF((FN$56-Voorblad!$F$41)/$U236-SUM($EE236:FM236)=1,1,0))))</f>
        <v>0</v>
      </c>
      <c r="FO236" s="8">
        <f>IF(FO$56-Voorblad!$F$41&gt;Voorblad!$K$41,0,IF($U236=0,0,IF($U236&lt;1,1/$U236,IF((FO$56-Voorblad!$F$41)/$U236-SUM($EE236:FN236)=1,1,0))))</f>
        <v>0</v>
      </c>
      <c r="FP236" s="8">
        <f>IF(FP$56-Voorblad!$F$41&gt;Voorblad!$K$41,0,IF($U236=0,0,IF($U236&lt;1,1/$U236,IF((FP$56-Voorblad!$F$41)/$U236-SUM($EE236:FO236)=1,1,0))))</f>
        <v>0</v>
      </c>
      <c r="FQ236" s="8">
        <f>IF(FQ$56-Voorblad!$F$41&gt;Voorblad!$K$41,0,IF($U236=0,0,IF($U236&lt;1,1/$U236,IF((FQ$56-Voorblad!$F$41)/$U236-SUM($EE236:FP236)=1,1,0))))</f>
        <v>0</v>
      </c>
      <c r="FR236" s="8">
        <f>IF(FR$56-Voorblad!$F$41&gt;Voorblad!$K$41,0,IF($U236=0,0,IF($U236&lt;1,1/$U236,IF((FR$56-Voorblad!$F$41)/$U236-SUM($EE236:FQ236)=1,1,0))))</f>
        <v>0</v>
      </c>
      <c r="FS236" s="8">
        <f>IF(FS$56-Voorblad!$F$41&gt;Voorblad!$K$41,0,IF($U236=0,0,IF($U236&lt;1,1/$U236,IF((FS$56-Voorblad!$F$41)/$U236-SUM($EE236:FR236)=1,1,0))))</f>
        <v>0</v>
      </c>
      <c r="FT236" s="8">
        <f>IF(FT$56-Voorblad!$F$41&gt;Voorblad!$K$41,0,IF($U236=0,0,IF($U236&lt;1,1/$U236,IF((FT$56-Voorblad!$F$41)/$U236-SUM($EE236:FS236)=1,1,0))))</f>
        <v>0</v>
      </c>
      <c r="FU236" s="8">
        <f>IF(FU$56-Voorblad!$F$41&gt;Voorblad!$K$41,0,IF($U236=0,0,IF($U236&lt;1,1/$U236,IF((FU$56-Voorblad!$F$41)/$U236-SUM($EE236:FT236)=1,1,0))))</f>
        <v>0</v>
      </c>
      <c r="FV236" s="8">
        <f>IF(FV$56-Voorblad!$F$41&gt;Voorblad!$K$41,0,IF($U236=0,0,IF($U236&lt;1,1/$U236,IF((FV$56-Voorblad!$F$41)/$U236-SUM($EE236:FU236)=1,1,0))))</f>
        <v>0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271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-22804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E89379-34A4-4032-A3CF-12C79FF665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2019-12-10T15:17:03Z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