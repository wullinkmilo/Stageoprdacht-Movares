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2652B510-7B0C-40FE-8A2F-FAAB4AB38A0A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6" i="1" l="1"/>
  <c r="Q232" i="1" l="1"/>
  <c r="Q230" i="1"/>
  <c r="Q197" i="1"/>
  <c r="Q196" i="1"/>
  <c r="Q137" i="1"/>
  <c r="Q136" i="1"/>
  <c r="Q135" i="1"/>
  <c r="Q141" i="1"/>
  <c r="Q124" i="1"/>
  <c r="Q146" i="1"/>
  <c r="Q119" i="1"/>
  <c r="Q115" i="1"/>
  <c r="Q113" i="1"/>
  <c r="Q110" i="1"/>
  <c r="Q204" i="1"/>
  <c r="Q149" i="1"/>
  <c r="Q46" i="1"/>
  <c r="K65" i="2" l="1"/>
  <c r="N61" i="2"/>
  <c r="N60" i="2"/>
  <c r="H61" i="2"/>
  <c r="Q233" i="1" l="1"/>
  <c r="Q231" i="1"/>
  <c r="Q201" i="1"/>
  <c r="Q198" i="1" l="1"/>
  <c r="D50" i="2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L60" i="2" l="1"/>
  <c r="N92" i="2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3" i="2" l="1"/>
  <c r="N62" i="2"/>
  <c r="N66" i="2"/>
  <c r="N64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L6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6" i="2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M62" i="2" l="1"/>
  <c r="O62" i="2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3" i="2" l="1"/>
  <c r="M64" i="2"/>
  <c r="O63" i="2"/>
  <c r="O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6" i="2" l="1"/>
  <c r="O60" i="2"/>
  <c r="M66" i="2"/>
  <c r="M60" i="2"/>
</calcChain>
</file>

<file path=xl/sharedStrings.xml><?xml version="1.0" encoding="utf-8"?>
<sst xmlns="http://schemas.openxmlformats.org/spreadsheetml/2006/main" count="1024" uniqueCount="318">
  <si>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</si>
  <si>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</si>
  <si>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</si>
  <si>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</si>
  <si>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</si>
  <si>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</si>
  <si>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</si>
  <si>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</si>
  <si>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</si>
  <si>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</si>
  <si>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</si>
  <si>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</si>
  <si>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</si>
  <si>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</si>
  <si>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</si>
  <si>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</si>
  <si>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</si>
  <si>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</si>
  <si>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</si>
  <si>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</si>
  <si>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</si>
  <si>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</si>
  <si>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</si>
  <si>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</si>
  <si>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</si>
  <si>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</si>
  <si>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</si>
  <si>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</si>
  <si>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</si>
  <si>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</si>
  <si>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</si>
  <si>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</si>
  <si>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</si>
  <si>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</si>
  <si>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</si>
  <si>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</si>
  <si>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</si>
  <si>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</si>
  <si>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</si>
  <si>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</si>
  <si>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</si>
  <si>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</si>
  <si>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</si>
  <si>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</si>
  <si>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</si>
  <si>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</si>
  <si>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</si>
  <si>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</si>
  <si>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</si>
  <si>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</si>
  <si>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</si>
  <si>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</si>
  <si>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</si>
  <si>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</si>
  <si>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</si>
  <si>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</si>
  <si>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</si>
  <si>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</si>
  <si>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</si>
  <si>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</si>
  <si>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</si>
  <si>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</si>
  <si>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</si>
  <si>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</si>
  <si>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</si>
  <si>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</si>
  <si>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</si>
  <si>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</si>
  <si>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</si>
  <si>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</si>
  <si>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</si>
  <si>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</si>
  <si>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</si>
  <si>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</si>
  <si>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</si>
  <si>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</si>
  <si>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</si>
  <si>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</si>
  <si>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</si>
  <si>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</si>
  <si>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</si>
  <si>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</si>
  <si>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</si>
  <si>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</si>
  <si>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</si>
  <si>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</si>
  <si>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</si>
  <si>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</si>
  <si>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</si>
  <si>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</si>
  <si>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</si>
  <si>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</si>
  <si>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</si>
  <si>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</si>
  <si>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</si>
  <si>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</si>
  <si>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</si>
  <si>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</si>
  <si>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</si>
  <si>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</si>
  <si>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</si>
  <si>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</si>
  <si>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</si>
  <si>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</si>
  <si>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</si>
  <si>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</si>
  <si>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</si>
  <si>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</si>
  <si>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</si>
  <si>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</si>
  <si>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</si>
  <si>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</si>
  <si>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</si>
  <si>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</si>
  <si>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</si>
  <si>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</si>
  <si>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</si>
  <si>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</si>
  <si>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</si>
  <si>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</si>
  <si>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</si>
  <si>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</si>
  <si>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</si>
  <si>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</si>
  <si>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</si>
  <si>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</si>
  <si>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</si>
  <si>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</si>
  <si>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</si>
  <si>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</si>
  <si>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</si>
  <si>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</si>
  <si>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</si>
  <si>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</si>
  <si>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</si>
  <si>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</si>
  <si>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</si>
  <si>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</si>
  <si>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</si>
  <si>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</si>
  <si>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</si>
  <si>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</si>
  <si>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</si>
  <si>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</si>
  <si>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</si>
  <si>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</si>
  <si>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</si>
  <si>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</si>
  <si>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</si>
  <si>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</si>
  <si>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</si>
  <si>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</si>
  <si>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</si>
  <si>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</si>
  <si>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</si>
  <si>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</si>
  <si>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</si>
  <si>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</si>
  <si>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</si>
  <si>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</si>
  <si>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</si>
  <si>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</si>
  <si>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</si>
  <si>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</si>
  <si>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</si>
  <si>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</si>
  <si>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</si>
  <si>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</si>
  <si>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</si>
  <si>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</si>
  <si>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</si>
  <si>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</si>
  <si>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</si>
  <si>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</si>
  <si>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</si>
  <si>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</si>
  <si>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</si>
  <si>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</si>
  <si>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</si>
  <si>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</si>
  <si>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</si>
  <si>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</si>
  <si>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</si>
  <si>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</si>
  <si>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</si>
  <si>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</si>
  <si>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</si>
  <si>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</si>
  <si>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</si>
  <si>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</si>
  <si>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</si>
  <si>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</si>
  <si>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</si>
  <si>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</si>
  <si>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</si>
  <si>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</si>
  <si>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</si>
  <si>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</si>
  <si>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</si>
  <si>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</si>
  <si>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</si>
  <si>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</si>
  <si>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</si>
  <si>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</si>
  <si>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</si>
  <si>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</si>
  <si>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</si>
  <si>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</si>
  <si>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</si>
  <si>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</si>
  <si>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</si>
  <si>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</si>
  <si>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</si>
  <si>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</si>
  <si>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</si>
  <si>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</si>
  <si>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</si>
  <si>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</si>
  <si>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</si>
  <si>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</si>
  <si>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</si>
  <si>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</si>
  <si>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</si>
  <si>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</si>
  <si>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</si>
  <si>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</si>
  <si>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</si>
  <si>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</si>
  <si>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</si>
  <si>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</si>
  <si>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</si>
  <si>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</si>
  <si>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</si>
  <si>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</si>
  <si>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</si>
  <si>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</si>
  <si>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</si>
  <si>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</si>
  <si>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</si>
  <si>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</si>
  <si>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</si>
  <si>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</si>
  <si>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</si>
  <si>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</si>
  <si>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</si>
  <si>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</si>
  <si>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</si>
  <si>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</si>
  <si>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</si>
  <si>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</si>
  <si>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</si>
  <si>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</si>
  <si>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</si>
  <si>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</si>
  <si>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</si>
  <si>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</si>
  <si>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</si>
  <si>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</si>
  <si>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</si>
  <si>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</si>
  <si>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</si>
  <si>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</si>
  <si>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</si>
  <si>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</si>
  <si>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</si>
  <si>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</si>
  <si>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</si>
  <si>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</si>
  <si>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</si>
  <si>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</si>
  <si>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</si>
  <si>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</si>
  <si>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</si>
  <si>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</si>
  <si>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</si>
  <si>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</si>
  <si>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</si>
  <si>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</si>
  <si>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</si>
  <si>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</si>
  <si>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</si>
  <si>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</si>
  <si>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</si>
  <si>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</si>
  <si>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</si>
  <si>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</si>
  <si>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</si>
  <si>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</si>
  <si>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</si>
  <si>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</si>
  <si>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</si>
  <si>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</si>
  <si>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</si>
  <si>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</si>
  <si>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</si>
  <si>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</si>
  <si>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</si>
  <si>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</si>
  <si>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</si>
  <si>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</si>
  <si>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</si>
  <si>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</si>
  <si>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Gewapend beton (op staal)</t>
  </si>
  <si>
    <t>Totaal kosten cat. 2 (advies IB tlv ProRail AM)</t>
  </si>
  <si>
    <t>10943428 + 10943429 + 10885991</t>
  </si>
  <si>
    <t>KW20-123-0051</t>
  </si>
  <si>
    <t>Onderdoorgang Reeshofweg</t>
  </si>
  <si>
    <t>Tilburg</t>
  </si>
  <si>
    <t>Gewapend betonnen plaat (voorgespannen)</t>
  </si>
  <si>
    <t>inpecteren opleggingen en oplegvlakken onder handbereik i.v.m. slechte waarneembaarheid</t>
  </si>
  <si>
    <t>2 landhfd + 2 tussenstpnt+ tunnelvloer obv dek BxL</t>
  </si>
  <si>
    <t xml:space="preserve">Σ: van 2 landhfdn + 2 tussenstnpntn </t>
  </si>
  <si>
    <t>spoordek+PV-paden: 461 m3</t>
  </si>
  <si>
    <t>Σ: 2 landhfdn + 2 tussenstnpntn + vloer: 600 m3</t>
  </si>
  <si>
    <t>stijlen geluidscherm h=1,5m á 25 kg/m2 scherm</t>
  </si>
  <si>
    <t>(Constructie) staal geluidscherm</t>
  </si>
  <si>
    <t>1x52</t>
  </si>
  <si>
    <t>3x52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</si>
</sst>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  <xf numFmtId="166" fontId="1" fillId="0" borderId="56" xfId="0" applyNumberFormat="1" applyFont="1" applyBorder="1" applyAlignment="1">
      <alignment horizontal="center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R48" sqref="R48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244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0" t="s">
        <v>147</v>
      </c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2"/>
      <c r="P7" s="229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43811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 t="s">
        <v>304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305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306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15.71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307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2003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2003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6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308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302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227</v>
      </c>
      <c r="C33" s="101"/>
      <c r="D33" s="97"/>
      <c r="E33" s="97"/>
      <c r="F33" s="144" t="s">
        <v>230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7" t="s">
        <v>143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9"/>
      <c r="P35" s="230"/>
    </row>
    <row r="36" spans="2:16" x14ac:dyDescent="0.3">
      <c r="B36" s="110" t="s">
        <v>245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1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1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1"/>
    </row>
    <row r="41" spans="2:16" x14ac:dyDescent="0.3">
      <c r="B41" s="39" t="s">
        <v>246</v>
      </c>
      <c r="C41" s="41"/>
      <c r="D41" s="40"/>
      <c r="E41" s="40"/>
      <c r="F41" s="102">
        <v>2028</v>
      </c>
      <c r="G41" s="41"/>
      <c r="H41" s="131" t="s">
        <v>247</v>
      </c>
      <c r="I41" s="40"/>
      <c r="J41" s="40"/>
      <c r="K41" s="103">
        <f>F24+100-F41</f>
        <v>75</v>
      </c>
      <c r="L41" s="42"/>
      <c r="M41" s="42"/>
      <c r="N41" s="43"/>
      <c r="O41" s="44"/>
      <c r="P41" s="231"/>
    </row>
    <row r="42" spans="2:16" x14ac:dyDescent="0.3">
      <c r="B42" s="45"/>
      <c r="C42" s="40"/>
      <c r="D42" s="40"/>
      <c r="E42" s="40"/>
      <c r="F42" s="40"/>
      <c r="G42" s="54"/>
      <c r="H42" s="133" t="s">
        <v>248</v>
      </c>
      <c r="I42" s="40"/>
      <c r="J42" s="40"/>
      <c r="K42" s="46">
        <f>F41+K41</f>
        <v>2103</v>
      </c>
      <c r="L42" s="43"/>
      <c r="M42" s="43"/>
      <c r="N42" s="43"/>
      <c r="O42" s="44"/>
      <c r="P42" s="231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1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1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241</v>
      </c>
      <c r="C48" s="164" t="s">
        <v>242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3" t="str">
        <f>'Berekening MJOP+LTP'!AA28</f>
        <v>TVP duur</v>
      </c>
      <c r="O48" s="130" t="s">
        <v>282</v>
      </c>
      <c r="P48" s="232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4"/>
      <c r="O49" s="253">
        <f>'Berekening MJOP+LTP'!AC33</f>
        <v>731.6641072480279</v>
      </c>
      <c r="P49" s="232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4"/>
      <c r="O50" s="253">
        <f>'Berekening MJOP+LTP'!AC36</f>
        <v>446.29381588570288</v>
      </c>
      <c r="P50" s="232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7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4">
        <f>'Berekening MJOP+LTP'!AC38</f>
        <v>530.50310089355912</v>
      </c>
      <c r="P51" s="233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inpecteren opleggingen en oplegvlakken onder handbereik i.v.m. slechte waarneembaarheid</v>
      </c>
      <c r="E52" s="187"/>
      <c r="F52" s="31"/>
      <c r="G52" s="35"/>
      <c r="H52" s="35"/>
      <c r="I52" s="35"/>
      <c r="J52" s="35"/>
      <c r="K52" s="91">
        <v>2020</v>
      </c>
      <c r="L52" s="64">
        <f>'Berekening MJOP+LTP'!T39</f>
        <v>1500</v>
      </c>
      <c r="M52" s="64">
        <f>'Berekening MJOP+LTP'!Y39</f>
        <v>1427.7215942891137</v>
      </c>
      <c r="N52" s="61">
        <f>'Berekening MJOP+LTP'!AA39</f>
        <v>0</v>
      </c>
      <c r="O52" s="254">
        <f>'Berekening MJOP+LTP'!AC39</f>
        <v>163.12970352476941</v>
      </c>
      <c r="P52" s="233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7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4">
        <f>'Berekening MJOP+LTP'!AC40</f>
        <v>0</v>
      </c>
      <c r="P53" s="233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7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4">
        <f>'Berekening MJOP+LTP'!AC41</f>
        <v>0</v>
      </c>
      <c r="P54" s="233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7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4">
        <f>'Berekening MJOP+LTP'!AC42</f>
        <v>0</v>
      </c>
      <c r="P55" s="233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7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4">
        <f>'Berekening MJOP+LTP'!AC43</f>
        <v>0</v>
      </c>
      <c r="P56" s="233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7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4">
        <f>'Berekening MJOP+LTP'!AC44</f>
        <v>0</v>
      </c>
      <c r="P57" s="233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7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5">
        <f>'Berekening MJOP+LTP'!AC45</f>
        <v>0</v>
      </c>
      <c r="P58" s="233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2103</v>
      </c>
      <c r="K59" s="159">
        <v>2103</v>
      </c>
      <c r="L59" s="156">
        <f>'Berekening MJOP+LTP'!T46</f>
        <v>6052332.3199999994</v>
      </c>
      <c r="M59" s="128">
        <f>'Berekening MJOP+LTP'!Y46</f>
        <v>0</v>
      </c>
      <c r="N59" s="129">
        <f>'Berekening MJOP+LTP'!AA46</f>
        <v>156</v>
      </c>
      <c r="O59" s="256">
        <f>'Berekening MJOP+LTP'!AC46</f>
        <v>0</v>
      </c>
      <c r="P59" s="234"/>
    </row>
    <row r="60" spans="2:16" x14ac:dyDescent="0.3">
      <c r="B60" s="206" t="s">
        <v>295</v>
      </c>
      <c r="C60" s="188"/>
      <c r="D60" s="207"/>
      <c r="E60" s="207"/>
      <c r="F60" s="188"/>
      <c r="G60" s="189" t="s">
        <v>149</v>
      </c>
      <c r="H60" s="190">
        <f>F37</f>
        <v>2018</v>
      </c>
      <c r="I60" s="208" t="s">
        <v>29</v>
      </c>
      <c r="J60" s="191">
        <f>K38</f>
        <v>2028</v>
      </c>
      <c r="K60" s="192"/>
      <c r="L60" s="209">
        <f t="shared" ref="L60:O61" si="0">L49</f>
        <v>6500</v>
      </c>
      <c r="M60" s="209">
        <f t="shared" si="0"/>
        <v>6403.5710426315018</v>
      </c>
      <c r="N60" s="245">
        <f t="shared" si="0"/>
        <v>0</v>
      </c>
      <c r="O60" s="257">
        <f t="shared" si="0"/>
        <v>731.6641072480279</v>
      </c>
      <c r="P60" s="235"/>
    </row>
    <row r="61" spans="2:16" x14ac:dyDescent="0.3">
      <c r="B61" s="210" t="s">
        <v>303</v>
      </c>
      <c r="C61" s="193"/>
      <c r="D61" s="211"/>
      <c r="E61" s="211"/>
      <c r="F61" s="193"/>
      <c r="G61" s="194" t="s">
        <v>149</v>
      </c>
      <c r="H61" s="195">
        <f>F37</f>
        <v>2018</v>
      </c>
      <c r="I61" s="212" t="s">
        <v>29</v>
      </c>
      <c r="J61" s="196">
        <f>K38</f>
        <v>2028</v>
      </c>
      <c r="K61" s="197"/>
      <c r="L61" s="213">
        <f t="shared" si="0"/>
        <v>5000</v>
      </c>
      <c r="M61" s="213">
        <f t="shared" si="0"/>
        <v>3905.9920086286352</v>
      </c>
      <c r="N61" s="246">
        <f t="shared" si="0"/>
        <v>0</v>
      </c>
      <c r="O61" s="258">
        <f t="shared" si="0"/>
        <v>446.29381588570288</v>
      </c>
      <c r="P61" s="235"/>
    </row>
    <row r="62" spans="2:16" x14ac:dyDescent="0.3">
      <c r="B62" s="210" t="s">
        <v>296</v>
      </c>
      <c r="C62" s="193"/>
      <c r="D62" s="211"/>
      <c r="E62" s="211"/>
      <c r="F62" s="193"/>
      <c r="G62" s="194" t="s">
        <v>149</v>
      </c>
      <c r="H62" s="195">
        <f>F37</f>
        <v>2018</v>
      </c>
      <c r="I62" s="212" t="s">
        <v>29</v>
      </c>
      <c r="J62" s="196">
        <f>K38</f>
        <v>2028</v>
      </c>
      <c r="K62" s="197"/>
      <c r="L62" s="213">
        <f>SUMIF(B51:B58,2,L51:L58)</f>
        <v>6500</v>
      </c>
      <c r="M62" s="213">
        <f>SUMIF(B51:B58,2,M51:M58)</f>
        <v>6070.7186488878579</v>
      </c>
      <c r="N62" s="246">
        <f>SUMIF(B51:B58,2,N51:N58)</f>
        <v>0</v>
      </c>
      <c r="O62" s="258">
        <f>SUMIF(B51:B58,2,O51:O58)</f>
        <v>693.63280441832853</v>
      </c>
      <c r="P62" s="235"/>
    </row>
    <row r="63" spans="2:16" x14ac:dyDescent="0.3">
      <c r="B63" s="210" t="s">
        <v>297</v>
      </c>
      <c r="C63" s="193"/>
      <c r="D63" s="211"/>
      <c r="E63" s="211"/>
      <c r="F63" s="193"/>
      <c r="G63" s="194" t="s">
        <v>149</v>
      </c>
      <c r="H63" s="195">
        <f>F37</f>
        <v>2018</v>
      </c>
      <c r="I63" s="212" t="s">
        <v>29</v>
      </c>
      <c r="J63" s="196">
        <f>K38</f>
        <v>2028</v>
      </c>
      <c r="K63" s="197"/>
      <c r="L63" s="213">
        <f>SUMIF(B51:B58,1,L51:L58)</f>
        <v>0</v>
      </c>
      <c r="M63" s="213">
        <f>SUMIF(B51:B58,1,M51:M58)</f>
        <v>0</v>
      </c>
      <c r="N63" s="246">
        <f>SUMIF(B51:B58,1,N51:N58)</f>
        <v>0</v>
      </c>
      <c r="O63" s="258">
        <f>SUMIF(B51:B58,1,O51:O58)</f>
        <v>0</v>
      </c>
      <c r="P63" s="235"/>
    </row>
    <row r="64" spans="2:16" x14ac:dyDescent="0.3">
      <c r="B64" s="210" t="s">
        <v>274</v>
      </c>
      <c r="C64" s="193"/>
      <c r="D64" s="211"/>
      <c r="E64" s="211"/>
      <c r="F64" s="193"/>
      <c r="G64" s="194" t="s">
        <v>149</v>
      </c>
      <c r="H64" s="195">
        <f>F37</f>
        <v>2018</v>
      </c>
      <c r="I64" s="212" t="s">
        <v>29</v>
      </c>
      <c r="J64" s="196">
        <f>K38</f>
        <v>2028</v>
      </c>
      <c r="K64" s="197"/>
      <c r="L64" s="213">
        <f>SUM(L51:L58)</f>
        <v>6500</v>
      </c>
      <c r="M64" s="213">
        <f>SUM(M51:M58)</f>
        <v>6070.7186488878579</v>
      </c>
      <c r="N64" s="246">
        <f>SUM(N51:N58)</f>
        <v>0</v>
      </c>
      <c r="O64" s="258">
        <f>SUM(O51:O58)</f>
        <v>693.63280441832853</v>
      </c>
      <c r="P64" s="235"/>
    </row>
    <row r="65" spans="2:16" x14ac:dyDescent="0.3">
      <c r="B65" s="210" t="s">
        <v>298</v>
      </c>
      <c r="C65" s="193"/>
      <c r="D65" s="211"/>
      <c r="E65" s="211"/>
      <c r="F65" s="193"/>
      <c r="G65" s="204" t="s">
        <v>258</v>
      </c>
      <c r="H65" s="195"/>
      <c r="I65" s="212"/>
      <c r="J65" s="196"/>
      <c r="K65" s="223">
        <f>K59</f>
        <v>2103</v>
      </c>
      <c r="L65" s="213">
        <f>L59</f>
        <v>6052332.3199999994</v>
      </c>
      <c r="M65" s="213">
        <f>M59</f>
        <v>0</v>
      </c>
      <c r="N65" s="247">
        <f>N59</f>
        <v>156</v>
      </c>
      <c r="O65" s="258">
        <f>O59</f>
        <v>0</v>
      </c>
      <c r="P65" s="236"/>
    </row>
    <row r="66" spans="2:16" ht="15" thickBot="1" x14ac:dyDescent="0.35">
      <c r="B66" s="214" t="s">
        <v>275</v>
      </c>
      <c r="C66" s="198"/>
      <c r="D66" s="215"/>
      <c r="E66" s="215"/>
      <c r="F66" s="198"/>
      <c r="G66" s="199" t="s">
        <v>149</v>
      </c>
      <c r="H66" s="200">
        <f>F37</f>
        <v>2018</v>
      </c>
      <c r="I66" s="216" t="s">
        <v>29</v>
      </c>
      <c r="J66" s="201">
        <f>K38</f>
        <v>2028</v>
      </c>
      <c r="K66" s="202"/>
      <c r="L66" s="217">
        <f>SUM(L49:L59)</f>
        <v>6070332.3199999994</v>
      </c>
      <c r="M66" s="217">
        <f>SUM(M49:M59)</f>
        <v>16380.281700147994</v>
      </c>
      <c r="N66" s="248">
        <f>SUM(N49:N59)</f>
        <v>156</v>
      </c>
      <c r="O66" s="259">
        <f>SUM(O49:O59)</f>
        <v>1871.5907275520592</v>
      </c>
      <c r="P66" s="236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243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7"/>
    </row>
    <row r="69" spans="2:16" ht="24" x14ac:dyDescent="0.3">
      <c r="B69" s="165" t="s">
        <v>241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9" t="s">
        <v>139</v>
      </c>
      <c r="O69" s="130" t="s">
        <v>282</v>
      </c>
      <c r="P69" s="238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0"/>
      <c r="P70" s="239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0">
        <f>'Berekening MJOP+LTP'!AC74</f>
        <v>0</v>
      </c>
      <c r="P71" s="233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0">
        <f>'Berekening MJOP+LTP'!AC95</f>
        <v>0</v>
      </c>
      <c r="P72" s="233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2103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0">
        <f>'Berekening MJOP+LTP'!AC105</f>
        <v>0</v>
      </c>
      <c r="P73" s="233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0">
        <f>'Berekening MJOP+LTP'!AA145</f>
        <v>0</v>
      </c>
      <c r="P74" s="233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186136.50562845793</v>
      </c>
      <c r="N75" s="61">
        <f>'Berekening MJOP+LTP'!AA125</f>
        <v>0</v>
      </c>
      <c r="O75" s="260">
        <f>'Berekening MJOP+LTP'!AC125</f>
        <v>5519.6138633278924</v>
      </c>
      <c r="P75" s="233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140612.34665515926</v>
      </c>
      <c r="N76" s="61">
        <f>'Berekening MJOP+LTP'!AA147</f>
        <v>0</v>
      </c>
      <c r="O76" s="260">
        <f>'Berekening MJOP+LTP'!AC147</f>
        <v>4169.6595481495087</v>
      </c>
      <c r="P76" s="233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2103</v>
      </c>
      <c r="K77" s="90">
        <v>2103</v>
      </c>
      <c r="L77" s="64">
        <f>'Berekening MJOP+LTP'!T154</f>
        <v>3990883.5599999996</v>
      </c>
      <c r="M77" s="64">
        <f>'Berekening MJOP+LTP'!Y154</f>
        <v>626295.29974178702</v>
      </c>
      <c r="N77" s="61">
        <f>'Berekening MJOP+LTP'!AA149</f>
        <v>52</v>
      </c>
      <c r="O77" s="260">
        <f>'Berekening MJOP+LTP'!AC154</f>
        <v>18571.898120254318</v>
      </c>
      <c r="P77" s="233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0">
        <f>'Berekening MJOP+LTP'!AA196</f>
        <v>0</v>
      </c>
      <c r="P78" s="233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0">
        <f>'Berekening MJOP+LTP'!AC172</f>
        <v>0</v>
      </c>
      <c r="P79" s="233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0">
        <f>'Berekening MJOP+LTP'!AC185</f>
        <v>0</v>
      </c>
      <c r="P80" s="233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2103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0">
        <f>'Berekening MJOP+LTP'!AC191</f>
        <v>0</v>
      </c>
      <c r="P81" s="233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0"/>
      <c r="P82" s="233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54340.048576067456</v>
      </c>
      <c r="N83" s="61">
        <f>'Berekening MJOP+LTP'!AA199</f>
        <v>0</v>
      </c>
      <c r="O83" s="260">
        <f>'Berekening MJOP+LTP'!AC199</f>
        <v>1611.3770076519397</v>
      </c>
      <c r="P83" s="233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4170.6155286343137</v>
      </c>
      <c r="N84" s="61">
        <f>'Berekening MJOP+LTP'!AA202</f>
        <v>0</v>
      </c>
      <c r="O84" s="260">
        <f>'Berekening MJOP+LTP'!AC202</f>
        <v>123.67368352992787</v>
      </c>
      <c r="P84" s="233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2103</v>
      </c>
      <c r="K85" s="90">
        <v>2103</v>
      </c>
      <c r="L85" s="64">
        <f>'Berekening MJOP+LTP'!T208</f>
        <v>2061448.7599999998</v>
      </c>
      <c r="M85" s="64">
        <f>'Berekening MJOP+LTP'!Y208</f>
        <v>323506.22353074496</v>
      </c>
      <c r="N85" s="61">
        <f>'Berekening MJOP+LTP'!AA204</f>
        <v>104</v>
      </c>
      <c r="O85" s="260">
        <f>'Berekening MJOP+LTP'!AC208</f>
        <v>9593.1178585537582</v>
      </c>
      <c r="P85" s="233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0"/>
      <c r="P86" s="233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0">
        <f>'Berekening MJOP+LTP'!AC216</f>
        <v>0</v>
      </c>
      <c r="P87" s="233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0">
        <f>'Berekening MJOP+LTP'!AC219</f>
        <v>0</v>
      </c>
      <c r="P88" s="233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2103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0">
        <f>'Berekening MJOP+LTP'!AC225</f>
        <v>0</v>
      </c>
      <c r="P89" s="233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0"/>
      <c r="P90" s="239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-194039.7</v>
      </c>
      <c r="M91" s="64"/>
      <c r="N91" s="250"/>
      <c r="O91" s="261"/>
      <c r="P91" s="240"/>
      <c r="Q91" s="27"/>
    </row>
    <row r="92" spans="2:17" x14ac:dyDescent="0.3">
      <c r="B92" s="206" t="s">
        <v>299</v>
      </c>
      <c r="C92" s="207"/>
      <c r="D92" s="207"/>
      <c r="E92" s="207"/>
      <c r="F92" s="188"/>
      <c r="G92" s="203" t="s">
        <v>150</v>
      </c>
      <c r="H92" s="190">
        <f>F41</f>
        <v>2028</v>
      </c>
      <c r="I92" s="208" t="s">
        <v>29</v>
      </c>
      <c r="J92" s="191">
        <f>K42</f>
        <v>2103</v>
      </c>
      <c r="K92" s="218"/>
      <c r="L92" s="219"/>
      <c r="M92" s="219">
        <f t="shared" ref="M92:O94" si="1">M71+M75+M79+M83+M87</f>
        <v>240476.5542045254</v>
      </c>
      <c r="N92" s="266">
        <f t="shared" si="1"/>
        <v>0</v>
      </c>
      <c r="O92" s="262">
        <f t="shared" si="1"/>
        <v>7130.9908709798319</v>
      </c>
      <c r="P92" s="241"/>
    </row>
    <row r="93" spans="2:17" x14ac:dyDescent="0.3">
      <c r="B93" s="210" t="s">
        <v>300</v>
      </c>
      <c r="C93" s="211"/>
      <c r="D93" s="211"/>
      <c r="E93" s="211"/>
      <c r="F93" s="193"/>
      <c r="G93" s="204" t="s">
        <v>150</v>
      </c>
      <c r="H93" s="195">
        <f>F41</f>
        <v>2028</v>
      </c>
      <c r="I93" s="212" t="s">
        <v>29</v>
      </c>
      <c r="J93" s="196">
        <f>K42</f>
        <v>2103</v>
      </c>
      <c r="K93" s="220"/>
      <c r="L93" s="221"/>
      <c r="M93" s="221">
        <f t="shared" si="1"/>
        <v>144782.96218379357</v>
      </c>
      <c r="N93" s="251">
        <f t="shared" si="1"/>
        <v>0</v>
      </c>
      <c r="O93" s="263">
        <f t="shared" si="1"/>
        <v>4293.3332316794367</v>
      </c>
      <c r="P93" s="242"/>
    </row>
    <row r="94" spans="2:17" x14ac:dyDescent="0.3">
      <c r="B94" s="210" t="s">
        <v>298</v>
      </c>
      <c r="C94" s="211"/>
      <c r="D94" s="211"/>
      <c r="E94" s="211"/>
      <c r="F94" s="193"/>
      <c r="G94" s="204" t="s">
        <v>258</v>
      </c>
      <c r="H94" s="195"/>
      <c r="I94" s="212"/>
      <c r="J94" s="196"/>
      <c r="K94" s="224">
        <f>K59</f>
        <v>2103</v>
      </c>
      <c r="L94" s="221">
        <f>L73+L77+L81+L85+L89</f>
        <v>6052332.3199999994</v>
      </c>
      <c r="M94" s="221">
        <f t="shared" si="1"/>
        <v>949801.52327253204</v>
      </c>
      <c r="N94" s="251">
        <f t="shared" si="1"/>
        <v>156</v>
      </c>
      <c r="O94" s="263">
        <f t="shared" si="1"/>
        <v>28165.015978808078</v>
      </c>
      <c r="P94" s="242"/>
    </row>
    <row r="95" spans="2:17" ht="15" thickBot="1" x14ac:dyDescent="0.35">
      <c r="B95" s="214" t="s">
        <v>301</v>
      </c>
      <c r="C95" s="215"/>
      <c r="D95" s="215"/>
      <c r="E95" s="215"/>
      <c r="F95" s="198"/>
      <c r="G95" s="205" t="s">
        <v>258</v>
      </c>
      <c r="H95" s="200"/>
      <c r="I95" s="216"/>
      <c r="J95" s="201"/>
      <c r="K95" s="225">
        <f>K59</f>
        <v>2103</v>
      </c>
      <c r="L95" s="222">
        <f>L91</f>
        <v>-194039.7</v>
      </c>
      <c r="M95" s="222"/>
      <c r="N95" s="252"/>
      <c r="O95" s="264"/>
      <c r="P95" s="242"/>
    </row>
    <row r="97" spans="3:6" ht="15" thickBot="1" x14ac:dyDescent="0.35"/>
    <row r="98" spans="3:6" x14ac:dyDescent="0.3">
      <c r="C98" s="173" t="s">
        <v>259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260</v>
      </c>
      <c r="F99" s="177" t="s">
        <v>261</v>
      </c>
    </row>
    <row r="100" spans="3:6" x14ac:dyDescent="0.3">
      <c r="C100" s="184" t="str">
        <f>'Berekening MJOP+LTP'!K229</f>
        <v>(Constructie) staal spoordek</v>
      </c>
      <c r="D100" s="180"/>
      <c r="E100" s="227">
        <f>'Berekening MJOP+LTP'!Q229</f>
        <v>0</v>
      </c>
      <c r="F100" s="182" t="str">
        <f>'Berekening MJOP+LTP'!R229</f>
        <v>ton</v>
      </c>
    </row>
    <row r="101" spans="3:6" x14ac:dyDescent="0.3">
      <c r="C101" s="185" t="str">
        <f>'Berekening MJOP+LTP'!K230</f>
        <v>Beton spoordek</v>
      </c>
      <c r="D101" s="180"/>
      <c r="E101" s="57">
        <f>'Berekening MJOP+LTP'!Q230</f>
        <v>461</v>
      </c>
      <c r="F101" s="182" t="str">
        <f>'Berekening MJOP+LTP'!R230</f>
        <v>ton</v>
      </c>
    </row>
    <row r="102" spans="3:6" x14ac:dyDescent="0.3">
      <c r="C102" s="185" t="str">
        <f>'Berekening MJOP+LTP'!K231</f>
        <v>Betonstaal spoordek</v>
      </c>
      <c r="D102" s="180"/>
      <c r="E102" s="61">
        <f>'Berekening MJOP+LTP'!Q231</f>
        <v>230.5</v>
      </c>
      <c r="F102" s="182" t="str">
        <f>'Berekening MJOP+LTP'!R231</f>
        <v>ton</v>
      </c>
    </row>
    <row r="103" spans="3:6" x14ac:dyDescent="0.3">
      <c r="C103" s="185" t="str">
        <f>'Berekening MJOP+LTP'!K232</f>
        <v>Beton onderbouw</v>
      </c>
      <c r="D103" s="180"/>
      <c r="E103" s="57">
        <f>'Berekening MJOP+LTP'!Q232</f>
        <v>1380</v>
      </c>
      <c r="F103" s="182" t="str">
        <f>'Berekening MJOP+LTP'!R232</f>
        <v>ton</v>
      </c>
    </row>
    <row r="104" spans="3:6" x14ac:dyDescent="0.3">
      <c r="C104" s="185" t="str">
        <f>'Berekening MJOP+LTP'!K233</f>
        <v>Betonstaal onderbouw</v>
      </c>
      <c r="D104" s="180"/>
      <c r="E104" s="61">
        <f>'Berekening MJOP+LTP'!Q233</f>
        <v>276</v>
      </c>
      <c r="F104" s="182" t="str">
        <f>'Berekening MJOP+LTP'!R233</f>
        <v>ton</v>
      </c>
    </row>
    <row r="105" spans="3:6" x14ac:dyDescent="0.3">
      <c r="C105" s="185" t="str">
        <f>'Berekening MJOP+LTP'!K234</f>
        <v>Metselwerk spoordek</v>
      </c>
      <c r="D105" s="180"/>
      <c r="E105" s="57">
        <f>'Berekening MJOP+LTP'!Q234</f>
        <v>0</v>
      </c>
      <c r="F105" s="182" t="str">
        <f>'Berekening MJOP+LTP'!R234</f>
        <v>ton</v>
      </c>
    </row>
    <row r="106" spans="3:6" x14ac:dyDescent="0.3">
      <c r="C106" s="185" t="str">
        <f>'Berekening MJOP+LTP'!K235</f>
        <v>Metselwerk onderbouw</v>
      </c>
      <c r="D106" s="180"/>
      <c r="E106" s="57">
        <f>'Berekening MJOP+LTP'!Q235</f>
        <v>0</v>
      </c>
      <c r="F106" s="182" t="str">
        <f>'Berekening MJOP+LTP'!R235</f>
        <v>ton</v>
      </c>
    </row>
    <row r="107" spans="3:6" ht="15" thickBot="1" x14ac:dyDescent="0.35">
      <c r="C107" s="186" t="str">
        <f>'Berekening MJOP+LTP'!K236</f>
        <v>(Constructie) staal geluidscherm</v>
      </c>
      <c r="D107" s="181"/>
      <c r="E107" s="280">
        <f>'Berekening MJOP+LTP'!Q236</f>
        <v>3.4485000000000001</v>
      </c>
      <c r="F107" s="183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Normal="100" zoomScaleSheetLayoutView="90" workbookViewId="0">
      <pane ySplit="2" topLeftCell="A3" activePane="bottomLeft" state="frozen"/>
      <selection pane="bottomLeft" activeCell="N192" sqref="N192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236</v>
      </c>
      <c r="C1" s="3" t="s">
        <v>237</v>
      </c>
      <c r="D1" s="3" t="s">
        <v>239</v>
      </c>
      <c r="E1" s="3" t="s">
        <v>234</v>
      </c>
      <c r="F1" s="3" t="s">
        <v>0</v>
      </c>
      <c r="G1" s="3"/>
      <c r="H1" s="3"/>
      <c r="I1" s="3" t="s">
        <v>231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280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235</v>
      </c>
      <c r="C2" s="3" t="s">
        <v>240</v>
      </c>
      <c r="D2" s="3" t="s">
        <v>238</v>
      </c>
      <c r="E2" s="3" t="s">
        <v>233</v>
      </c>
      <c r="F2" s="3"/>
      <c r="G2" s="3"/>
      <c r="H2" s="3"/>
      <c r="I2" s="3" t="s">
        <v>232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288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254</v>
      </c>
      <c r="K9" s="1" t="s">
        <v>25</v>
      </c>
    </row>
    <row r="10" spans="2:236" ht="13.8" x14ac:dyDescent="0.3">
      <c r="B10" s="170"/>
      <c r="D10" s="168" t="s">
        <v>257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287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255</v>
      </c>
    </row>
    <row r="15" spans="2:236" ht="13.8" x14ac:dyDescent="0.3">
      <c r="B15" s="170"/>
      <c r="D15" s="168" t="s">
        <v>256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289</v>
      </c>
      <c r="K17" s="1" t="s">
        <v>250</v>
      </c>
    </row>
    <row r="18" spans="2:236" ht="13.8" x14ac:dyDescent="0.3">
      <c r="B18" s="170"/>
      <c r="D18" s="1" t="s">
        <v>40</v>
      </c>
      <c r="K18" s="1" t="s">
        <v>251</v>
      </c>
    </row>
    <row r="19" spans="2:236" ht="13.8" x14ac:dyDescent="0.3">
      <c r="B19" s="170"/>
      <c r="D19" s="1" t="s">
        <v>255</v>
      </c>
      <c r="K19" s="1" t="s">
        <v>252</v>
      </c>
    </row>
    <row r="20" spans="2:236" ht="13.8" x14ac:dyDescent="0.3">
      <c r="B20" s="170"/>
      <c r="D20" s="168" t="s">
        <v>256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3" t="s">
        <v>253</v>
      </c>
      <c r="C24" s="274"/>
      <c r="D24" s="274"/>
      <c r="E24" s="274"/>
      <c r="F24" s="274"/>
      <c r="G24" s="274"/>
      <c r="H24" s="274"/>
      <c r="I24" s="275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236</v>
      </c>
      <c r="C28" s="3" t="s">
        <v>237</v>
      </c>
      <c r="D28" s="3" t="s">
        <v>239</v>
      </c>
      <c r="E28" s="3" t="s">
        <v>234</v>
      </c>
      <c r="F28" s="3" t="s">
        <v>0</v>
      </c>
      <c r="G28" s="3"/>
      <c r="H28" s="3"/>
      <c r="I28" s="3" t="s">
        <v>231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280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235</v>
      </c>
      <c r="C29" s="3" t="s">
        <v>240</v>
      </c>
      <c r="D29" s="3" t="s">
        <v>238</v>
      </c>
      <c r="E29" s="3" t="s">
        <v>233</v>
      </c>
      <c r="F29" s="3"/>
      <c r="G29" s="3"/>
      <c r="H29" s="3"/>
      <c r="I29" s="3" t="s">
        <v>232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283</v>
      </c>
      <c r="K31" s="1" t="s">
        <v>284</v>
      </c>
      <c r="O31" s="1" t="s">
        <v>293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277</v>
      </c>
      <c r="K32" s="1" t="s">
        <v>148</v>
      </c>
      <c r="O32" s="1" t="s">
        <v>293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8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292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5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286</v>
      </c>
      <c r="I35" s="1" t="s">
        <v>285</v>
      </c>
      <c r="K35" s="1" t="s">
        <v>291</v>
      </c>
      <c r="O35" s="1" t="s">
        <v>294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8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290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276</v>
      </c>
      <c r="J39" s="76"/>
      <c r="K39" s="76" t="s">
        <v>309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1500</v>
      </c>
      <c r="T39" s="9">
        <f t="shared" si="4"/>
        <v>1500</v>
      </c>
      <c r="U39" s="11">
        <v>1</v>
      </c>
      <c r="V39" s="14"/>
      <c r="W39" s="9">
        <f>Voorblad!K52</f>
        <v>2020</v>
      </c>
      <c r="Y39" s="9">
        <f t="shared" ref="Y39:Y45" si="5">SUM(AE39:EB39)</f>
        <v>1427.7215942891137</v>
      </c>
      <c r="Z39" s="82"/>
      <c r="AA39" s="82"/>
      <c r="AC39" s="9">
        <f>$Y39*(Voorblad!$K$44*(1+Voorblad!$K$44)^Voorblad!$K$37)/((1+Voorblad!$K$44)^Voorblad!$K$37-1)</f>
        <v>163.12970352476941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1427.7215942891137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6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278</v>
      </c>
      <c r="Q46" s="83">
        <f>12.7*39.98</f>
        <v>507.74599999999992</v>
      </c>
      <c r="R46" s="81" t="s">
        <v>35</v>
      </c>
      <c r="S46" s="81">
        <v>11920</v>
      </c>
      <c r="T46" s="9">
        <f t="shared" si="4"/>
        <v>6052332.3199999994</v>
      </c>
      <c r="U46" s="11">
        <v>1</v>
      </c>
      <c r="V46" s="1">
        <f>Voorblad!F24+100</f>
        <v>2103</v>
      </c>
      <c r="W46" s="9">
        <f>Voorblad!K59</f>
        <v>2103</v>
      </c>
      <c r="X46" s="6"/>
      <c r="Y46" s="9">
        <f>SUM(AE46:EB46)</f>
        <v>0</v>
      </c>
      <c r="Z46" s="82" t="s">
        <v>317</v>
      </c>
      <c r="AA46" s="82">
        <v>156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268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249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6" t="s">
        <v>72</v>
      </c>
      <c r="C52" s="277"/>
      <c r="D52" s="278"/>
      <c r="E52" s="278"/>
      <c r="F52" s="278"/>
      <c r="G52" s="278"/>
      <c r="H52" s="278"/>
      <c r="I52" s="278"/>
      <c r="J52" s="278"/>
      <c r="K52" s="279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236</v>
      </c>
      <c r="C54" s="3"/>
      <c r="D54" s="3"/>
      <c r="E54" s="3"/>
      <c r="F54" s="3" t="s">
        <v>0</v>
      </c>
      <c r="G54" s="3"/>
      <c r="H54" s="3"/>
      <c r="I54" s="3" t="s">
        <v>231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280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235</v>
      </c>
      <c r="I55" s="3" t="s">
        <v>232</v>
      </c>
      <c r="O55" s="14"/>
      <c r="P55" s="14"/>
      <c r="V55" s="3" t="s">
        <v>70</v>
      </c>
      <c r="AC55" s="20" t="s">
        <v>281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276</v>
      </c>
      <c r="K58" s="1" t="s">
        <v>284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277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277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277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277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277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277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277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277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277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277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277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277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277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277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277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8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269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8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270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2103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8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271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276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2"/>
      <c r="AA109" s="82"/>
      <c r="AC109" s="9">
        <f>$Y109*(Voorblad!$K$44*(1+Voorblad!$K$44)^Voorblad!$K$41)/((1+Voorblad!$K$44)^Voorblad!$K$41-1)</f>
        <v>168.36847190377173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277</v>
      </c>
      <c r="K110" s="1" t="s">
        <v>112</v>
      </c>
      <c r="O110" s="1" t="s">
        <v>225</v>
      </c>
      <c r="P110" s="14" t="s">
        <v>226</v>
      </c>
      <c r="Q110" s="83">
        <f>50%*((2*12.7*39.98)+(2*(12.7+39.98)*1.65))</f>
        <v>594.66799999999989</v>
      </c>
      <c r="R110" s="1" t="s">
        <v>35</v>
      </c>
      <c r="S110" s="21">
        <f>$H$20*15</f>
        <v>26.55</v>
      </c>
      <c r="T110" s="9">
        <f t="shared" si="20"/>
        <v>15788.435399999998</v>
      </c>
      <c r="U110" s="14">
        <v>10</v>
      </c>
      <c r="V110" s="14"/>
      <c r="Y110" s="9">
        <f t="shared" si="21"/>
        <v>46361.509447407458</v>
      </c>
      <c r="Z110" s="82"/>
      <c r="AA110" s="82"/>
      <c r="AC110" s="9">
        <f>$Y110*(Voorblad!$K$44*(1+Voorblad!$K$44)^Voorblad!$K$41)/((1+Voorblad!$K$44)^Voorblad!$K$41-1)</f>
        <v>1374.7847549126534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12333.900500229889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9635.2233578237337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7527.0210874022941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5880.0968432345162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4593.5222559272961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3588.4522446219598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2803.2931581677726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277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277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277</v>
      </c>
      <c r="K113" s="1" t="s">
        <v>158</v>
      </c>
      <c r="P113" s="1" t="s">
        <v>183</v>
      </c>
      <c r="Q113" s="83">
        <f>2*39.98</f>
        <v>79.959999999999994</v>
      </c>
      <c r="R113" s="147" t="s">
        <v>195</v>
      </c>
      <c r="S113" s="21">
        <f>$H$20*350</f>
        <v>619.5</v>
      </c>
      <c r="T113" s="9">
        <f t="shared" si="20"/>
        <v>49535.219999999994</v>
      </c>
      <c r="U113" s="14">
        <v>15</v>
      </c>
      <c r="V113" s="14"/>
      <c r="Y113" s="9">
        <f>SUM(AE113:EB113)</f>
        <v>93155.821917884052</v>
      </c>
      <c r="Z113" s="82"/>
      <c r="AA113" s="82"/>
      <c r="AC113" s="9">
        <f>$Y113*(Voorblad!$K$44*(1+Voorblad!$K$44)^Voorblad!$K$41)/((1+Voorblad!$K$44)^Voorblad!$K$41-1)</f>
        <v>2762.4036691330516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34202.363260441663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23615.553793830128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16305.72650031794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11258.542527706235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7773.6358355880875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277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277</v>
      </c>
      <c r="K115" s="14" t="s">
        <v>161</v>
      </c>
      <c r="O115" s="14" t="s">
        <v>157</v>
      </c>
      <c r="P115" s="14" t="s">
        <v>198</v>
      </c>
      <c r="Q115" s="84">
        <f>2.5%*(2*(3+39.98+3))</f>
        <v>2.2989999999999999</v>
      </c>
      <c r="R115" s="14" t="s">
        <v>34</v>
      </c>
      <c r="S115" s="21">
        <f>$H$20*1000</f>
        <v>1770</v>
      </c>
      <c r="T115" s="21">
        <f t="shared" si="20"/>
        <v>4069.23</v>
      </c>
      <c r="U115" s="14">
        <v>15</v>
      </c>
      <c r="Y115" s="21">
        <f t="shared" si="22"/>
        <v>7652.5846705215272</v>
      </c>
      <c r="Z115" s="149"/>
      <c r="AA115" s="149"/>
      <c r="AC115" s="9">
        <f>$Y115*(Voorblad!$K$44*(1+Voorblad!$K$44)^Voorblad!$K$41)/((1+Voorblad!$K$44)^Voorblad!$K$41-1)</f>
        <v>226.92653595858238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2809.6631578559063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1939.9756368189619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1339.4863583302706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924.86919428273552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638.59032323365307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277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277</v>
      </c>
      <c r="K117" s="14" t="s">
        <v>197</v>
      </c>
      <c r="L117" s="14"/>
      <c r="M117" s="14"/>
      <c r="O117" s="1" t="s">
        <v>171</v>
      </c>
      <c r="P117" s="1" t="s">
        <v>174</v>
      </c>
      <c r="Q117" s="83"/>
      <c r="R117" s="1" t="s">
        <v>34</v>
      </c>
      <c r="S117" s="14">
        <f>$H$20*500</f>
        <v>885</v>
      </c>
      <c r="T117" s="9">
        <f t="shared" si="20"/>
        <v>0</v>
      </c>
      <c r="U117" s="14">
        <v>15</v>
      </c>
      <c r="V117" s="14"/>
      <c r="Y117" s="9">
        <f t="shared" si="22"/>
        <v>0</v>
      </c>
      <c r="Z117" s="82"/>
      <c r="AA117" s="82"/>
      <c r="AC117" s="9">
        <f>$Y117*(Voorblad!$K$44*(1+Voorblad!$K$44)^Voorblad!$K$41)/((1+Voorblad!$K$44)^Voorblad!$K$41-1)</f>
        <v>0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0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0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277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277</v>
      </c>
      <c r="K119" s="14" t="s">
        <v>188</v>
      </c>
      <c r="L119" s="14"/>
      <c r="M119" s="14"/>
      <c r="O119" s="1" t="s">
        <v>172</v>
      </c>
      <c r="P119" s="1" t="s">
        <v>175</v>
      </c>
      <c r="Q119" s="84">
        <f>2.5%*(2*(3+39.98+3)*1.5)</f>
        <v>3.4485000000000001</v>
      </c>
      <c r="R119" s="1" t="s">
        <v>35</v>
      </c>
      <c r="S119" s="14">
        <f>$H$20*500</f>
        <v>885</v>
      </c>
      <c r="T119" s="9">
        <f t="shared" si="20"/>
        <v>3051.9225000000001</v>
      </c>
      <c r="U119" s="14">
        <v>15</v>
      </c>
      <c r="V119" s="14"/>
      <c r="Y119" s="9">
        <f t="shared" si="22"/>
        <v>5739.4385028911456</v>
      </c>
      <c r="Z119" s="82"/>
      <c r="AA119" s="82"/>
      <c r="AC119" s="9">
        <f>$Y119*(Voorblad!$K$44*(1+Voorblad!$K$44)^Voorblad!$K$41)/((1+Voorblad!$K$44)^Voorblad!$K$41-1)</f>
        <v>170.19490196893679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2107.2473683919297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1454.9817276142214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1004.6147687477029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693.65189571205167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478.94274242523983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277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277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277</v>
      </c>
      <c r="K122" s="14" t="s">
        <v>200</v>
      </c>
      <c r="L122" s="14"/>
      <c r="M122" s="14"/>
      <c r="O122" s="1" t="s">
        <v>177</v>
      </c>
      <c r="P122" s="1" t="s">
        <v>180</v>
      </c>
      <c r="Q122" s="83">
        <v>0</v>
      </c>
      <c r="R122" s="1" t="s">
        <v>34</v>
      </c>
      <c r="S122" s="14">
        <f>$H$20*100</f>
        <v>177</v>
      </c>
      <c r="T122" s="1">
        <f t="shared" si="20"/>
        <v>0</v>
      </c>
      <c r="U122" s="14">
        <v>15</v>
      </c>
      <c r="V122" s="14"/>
      <c r="Y122" s="9">
        <f t="shared" si="23"/>
        <v>0</v>
      </c>
      <c r="Z122" s="82"/>
      <c r="AA122" s="82"/>
      <c r="AC122" s="9">
        <f>$Y122*(Voorblad!$K$44*(1+Voorblad!$K$44)^Voorblad!$K$41)/((1+Voorblad!$K$44)^Voorblad!$K$41-1)</f>
        <v>0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0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0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277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277</v>
      </c>
      <c r="K124" s="14" t="s">
        <v>206</v>
      </c>
      <c r="L124" s="14"/>
      <c r="M124" s="14"/>
      <c r="O124" s="1" t="s">
        <v>177</v>
      </c>
      <c r="P124" s="1" t="s">
        <v>182</v>
      </c>
      <c r="Q124" s="83">
        <f>2*(3+39.98+3)*1.5</f>
        <v>137.94</v>
      </c>
      <c r="R124" s="1" t="s">
        <v>35</v>
      </c>
      <c r="S124" s="21">
        <f>$H$20*0.6*100</f>
        <v>106.2</v>
      </c>
      <c r="T124" s="9">
        <f t="shared" si="20"/>
        <v>14649.228000000001</v>
      </c>
      <c r="U124" s="14">
        <v>15</v>
      </c>
      <c r="V124" s="14"/>
      <c r="Y124" s="9">
        <f t="shared" si="23"/>
        <v>27549.304813877498</v>
      </c>
      <c r="Z124" s="82"/>
      <c r="AA124" s="82"/>
      <c r="AC124" s="228">
        <f>$Y124*(Voorblad!$K$44*(1+Voorblad!$K$44)^Voorblad!$K$41)/((1+Voorblad!$K$44)^Voorblad!$K$41-1)</f>
        <v>816.93552945089652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10114.787368281262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6983.9122925482634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4822.1508899889741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3329.5290994178481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2298.9251636411514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269</v>
      </c>
      <c r="C125" s="2"/>
      <c r="S125" s="14"/>
      <c r="U125" s="14"/>
      <c r="V125" s="14"/>
      <c r="Y125" s="23">
        <f>SUM(Y109:Y124)</f>
        <v>186136.50562845793</v>
      </c>
      <c r="Z125" s="24"/>
      <c r="AA125" s="23">
        <f>SUM(AA109:AA124)</f>
        <v>0</v>
      </c>
      <c r="AC125" s="9">
        <f>$Y125*(Voorblad!$K$44*(1+Voorblad!$K$44)^Voorblad!$K$41)/((1+Voorblad!$K$44)^Voorblad!$K$41-1)</f>
        <v>5519.6138633278924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13025.261085757158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49845.123172773274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10175.313142253799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41943.361814599026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6209.6979452070746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23763.297864564156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4851.0061099952973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19996.190937008931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2960.4280725607769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11328.978432707543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1">
        <v>0</v>
      </c>
      <c r="R133" s="1" t="s">
        <v>34</v>
      </c>
      <c r="S133" s="21">
        <f>$H$10*125</f>
        <v>297.5</v>
      </c>
      <c r="T133" s="9">
        <f t="shared" si="104"/>
        <v>0</v>
      </c>
      <c r="U133" s="14">
        <v>30</v>
      </c>
      <c r="V133" s="14"/>
      <c r="Y133" s="9">
        <f t="shared" si="21"/>
        <v>0</v>
      </c>
      <c r="Z133" s="82"/>
      <c r="AA133" s="82"/>
      <c r="AC133" s="9">
        <f>$Y133*(Voorblad!$K$44*(1+Voorblad!$K$44)^Voorblad!$K$41)/((1+Voorblad!$K$44)^Voorblad!$K$41-1)</f>
        <v>0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0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3">
        <f>2*(3+39.98+3)*1.5</f>
        <v>137.94</v>
      </c>
      <c r="R135" s="1" t="s">
        <v>35</v>
      </c>
      <c r="S135" s="21">
        <f>$H$10*0.6*125</f>
        <v>178.5</v>
      </c>
      <c r="T135" s="9">
        <f t="shared" si="104"/>
        <v>24622.29</v>
      </c>
      <c r="U135" s="14">
        <v>30</v>
      </c>
      <c r="V135" s="14"/>
      <c r="Y135" s="9">
        <f t="shared" si="107"/>
        <v>17334.739062767898</v>
      </c>
      <c r="Z135" s="82"/>
      <c r="AA135" s="82"/>
      <c r="AC135" s="9">
        <f>$Y135*(Voorblad!$K$44*(1+Voorblad!$K$44)^Voorblad!$K$41)/((1+Voorblad!$K$44)^Voorblad!$K$41-1)</f>
        <v>514.03708114630467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11738.496649904566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5596.242412863332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3">
        <f>2*39.98</f>
        <v>79.959999999999994</v>
      </c>
      <c r="R136" s="147" t="s">
        <v>195</v>
      </c>
      <c r="S136" s="14">
        <f>$H$10*500</f>
        <v>1190</v>
      </c>
      <c r="T136" s="9">
        <f t="shared" si="104"/>
        <v>95152.4</v>
      </c>
      <c r="U136" s="14">
        <v>50</v>
      </c>
      <c r="V136" s="14"/>
      <c r="Y136" s="9">
        <f>SUM(AE136:EB136)</f>
        <v>27683.849351209079</v>
      </c>
      <c r="Z136" s="82"/>
      <c r="AA136" s="82"/>
      <c r="AC136" s="9">
        <f>$Y136*(Voorblad!$K$44*(1+Voorblad!$K$44)^Voorblad!$K$41)/((1+Voorblad!$K$44)^Voorblad!$K$41-1)</f>
        <v>820.92525672649492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27683.849351209079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7.5%*(2*(3+39.98+3))</f>
        <v>6.8969999999999994</v>
      </c>
      <c r="R137" s="14" t="s">
        <v>34</v>
      </c>
      <c r="S137" s="21">
        <f>$H$10*1000</f>
        <v>2380</v>
      </c>
      <c r="T137" s="21">
        <f t="shared" si="104"/>
        <v>16414.859999999997</v>
      </c>
      <c r="U137" s="14">
        <v>50</v>
      </c>
      <c r="Y137" s="21">
        <f t="shared" ref="Y137" si="108">SUM(AE137:EB137)</f>
        <v>4775.7756121883194</v>
      </c>
      <c r="Z137" s="149"/>
      <c r="AA137" s="149"/>
      <c r="AC137" s="9">
        <f>$Y137*(Voorblad!$K$44*(1+Voorblad!$K$44)^Voorblad!$K$41)/((1+Voorblad!$K$44)^Voorblad!$K$41-1)</f>
        <v>141.61884681447313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4775.7756121883194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1">
        <v>0</v>
      </c>
      <c r="R139" s="1" t="s">
        <v>34</v>
      </c>
      <c r="S139" s="14">
        <f>$H$10*400</f>
        <v>952</v>
      </c>
      <c r="T139" s="1">
        <f t="shared" si="104"/>
        <v>0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3">
        <f>2*(3+39.98+3)*1.5</f>
        <v>137.94</v>
      </c>
      <c r="R141" s="1" t="s">
        <v>35</v>
      </c>
      <c r="S141" s="14">
        <f>$H$10*400</f>
        <v>952</v>
      </c>
      <c r="T141" s="9">
        <f t="shared" si="104"/>
        <v>131318.88</v>
      </c>
      <c r="U141" s="14">
        <v>50</v>
      </c>
      <c r="V141" s="14"/>
      <c r="Y141" s="9">
        <f t="shared" si="107"/>
        <v>38206.204897506563</v>
      </c>
      <c r="Z141" s="82"/>
      <c r="AA141" s="82"/>
      <c r="AC141" s="9">
        <f>$Y141*(Voorblad!$K$44*(1+Voorblad!$K$44)^Voorblad!$K$41)/((1+Voorblad!$K$44)^Voorblad!$K$41-1)</f>
        <v>1132.9507745157853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38206.204897506563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24</v>
      </c>
      <c r="R142" s="1" t="s">
        <v>75</v>
      </c>
      <c r="S142" s="14">
        <f>$H$10*1500</f>
        <v>3570</v>
      </c>
      <c r="T142" s="1">
        <f t="shared" si="104"/>
        <v>85680</v>
      </c>
      <c r="U142" s="14">
        <v>50</v>
      </c>
      <c r="V142" s="14"/>
      <c r="Y142" s="9">
        <f>SUM(AE142:EB142)</f>
        <v>24927.928380278314</v>
      </c>
      <c r="Z142" s="82"/>
      <c r="AA142" s="82"/>
      <c r="AC142" s="9">
        <f>$Y142*(Voorblad!$K$44*(1+Voorblad!$K$44)^Voorblad!$K$41)/((1+Voorblad!$K$44)^Voorblad!$K$41-1)</f>
        <v>739.20233221995545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24927.928380278314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3">
        <f>2*39.98</f>
        <v>79.959999999999994</v>
      </c>
      <c r="R146" s="147" t="s">
        <v>195</v>
      </c>
      <c r="S146" s="14">
        <f>$H$10*500</f>
        <v>1190</v>
      </c>
      <c r="T146" s="9">
        <f t="shared" si="104"/>
        <v>95152.4</v>
      </c>
      <c r="U146" s="14">
        <v>50</v>
      </c>
      <c r="V146" s="14"/>
      <c r="Y146" s="9">
        <f>SUM(AE146:EB146)</f>
        <v>27683.849351209079</v>
      </c>
      <c r="Z146" s="82"/>
      <c r="AA146" s="82"/>
      <c r="AC146" s="228">
        <f>$Y146*(Voorblad!$K$44*(1+Voorblad!$K$44)^Voorblad!$K$41)/((1+Voorblad!$K$44)^Voorblad!$K$41-1)</f>
        <v>820.92525672649492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27683.849351209079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270</v>
      </c>
      <c r="C147" s="2"/>
      <c r="D147" s="22"/>
      <c r="N147" s="6"/>
      <c r="S147" s="14"/>
      <c r="U147" s="14"/>
      <c r="V147" s="14"/>
      <c r="Y147" s="23">
        <f>SUM(Y127:Y146)</f>
        <v>140612.34665515926</v>
      </c>
      <c r="Z147" s="24"/>
      <c r="AA147" s="23">
        <f>SUM(AA127:AA146)</f>
        <v>0</v>
      </c>
      <c r="AC147" s="9">
        <f>$Y147*(Voorblad!$K$44*(1+Voorblad!$K$44)^Voorblad!$K$41)/((1+Voorblad!$K$44)^Voorblad!$K$41-1)</f>
        <v>4169.6595481495087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11738.496649904566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123277.60759239136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5596.242412863332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229</v>
      </c>
      <c r="Q149" s="83">
        <f>12.7*39.98</f>
        <v>507.74599999999992</v>
      </c>
      <c r="R149" s="81" t="s">
        <v>35</v>
      </c>
      <c r="S149" s="81">
        <v>7860</v>
      </c>
      <c r="T149" s="21">
        <f>Q149*S149</f>
        <v>3990883.5599999996</v>
      </c>
      <c r="U149" s="11">
        <v>1</v>
      </c>
      <c r="V149" s="14">
        <f>Voorblad!F24+100</f>
        <v>2103</v>
      </c>
      <c r="W149" s="9">
        <f>Voorblad!K77</f>
        <v>2103</v>
      </c>
      <c r="X149" s="6"/>
      <c r="Y149" s="9">
        <f t="shared" si="21"/>
        <v>626295.29974178702</v>
      </c>
      <c r="Z149" s="82" t="s">
        <v>316</v>
      </c>
      <c r="AA149" s="82">
        <v>52</v>
      </c>
      <c r="AC149" s="9">
        <f>$Y149*(Voorblad!$K$44*(1+Voorblad!$K$44)^Voorblad!$K$41)/((1+Voorblad!$K$44)^Voorblad!$K$41-1)</f>
        <v>18571.898120254318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626295.29974178702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79817.671199999997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159635.34239999999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279361.8492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8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271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3990883.5599999996</v>
      </c>
      <c r="U154" s="14"/>
      <c r="V154" s="14"/>
      <c r="W154" s="14"/>
      <c r="X154" s="6"/>
      <c r="Y154" s="23">
        <f>SUM(Y149:Y153)</f>
        <v>626295.29974178702</v>
      </c>
      <c r="Z154" s="24"/>
      <c r="AA154" s="23">
        <f>SUM(AA149:AA153)</f>
        <v>52</v>
      </c>
      <c r="AC154" s="9">
        <f>$Y154*(Voorblad!$K$44*(1+Voorblad!$K$44)^Voorblad!$K$41)/((1+Voorblad!$K$44)^Voorblad!$K$41-1)</f>
        <v>18571.898120254318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276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277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277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277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277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277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277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277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277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277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277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277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277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277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8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269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8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270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2103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8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271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276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2"/>
      <c r="AA195" s="82"/>
      <c r="AC195" s="9">
        <f>$Y195*(Voorblad!$K$44*(1+Voorblad!$K$44)^Voorblad!$K$41)/((1+Voorblad!$K$44)^Voorblad!$K$41-1)</f>
        <v>168.36847190377173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277</v>
      </c>
      <c r="K196" s="1" t="s">
        <v>83</v>
      </c>
      <c r="O196" s="1" t="s">
        <v>133</v>
      </c>
      <c r="P196" s="1" t="s">
        <v>311</v>
      </c>
      <c r="Q196" s="83">
        <f>((3+2.5)*13.165)+((2+2.5)*13.165)+(6*3*(3.14*0.6))+(6*5*(3.14*0.8))</f>
        <v>240.922</v>
      </c>
      <c r="R196" s="1" t="s">
        <v>35</v>
      </c>
      <c r="S196" s="21">
        <f>$H$20*15</f>
        <v>26.55</v>
      </c>
      <c r="T196" s="9">
        <f>Q196*S196</f>
        <v>6396.4791000000005</v>
      </c>
      <c r="U196" s="14">
        <v>10</v>
      </c>
      <c r="V196" s="14"/>
      <c r="Y196" s="9">
        <f t="shared" si="199"/>
        <v>18782.762111107881</v>
      </c>
      <c r="Z196" s="82"/>
      <c r="AA196" s="82"/>
      <c r="AC196" s="9">
        <f>$Y196*(Voorblad!$K$44*(1+Voorblad!$K$44)^Voorblad!$K$41)/((1+Voorblad!$K$44)^Voorblad!$K$41-1)</f>
        <v>556.97614925145854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4996.9192495920179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3903.585331333803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3049.4746218379596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2382.2447006829798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1861.0057526931266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1453.8147196062541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1135.7177353617417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277</v>
      </c>
      <c r="K197" s="1" t="s">
        <v>84</v>
      </c>
      <c r="O197" s="1" t="s">
        <v>132</v>
      </c>
      <c r="Q197" s="83">
        <f>((2.5+2.5)*13.165)+((2+2.5)*13.165)+(6*2.5*(3.14*0.6))+(6*2.5*(3.14*0.8))</f>
        <v>191.00749999999999</v>
      </c>
      <c r="R197" s="1" t="s">
        <v>35</v>
      </c>
      <c r="S197" s="21">
        <f>$H$20*20</f>
        <v>35.4</v>
      </c>
      <c r="T197" s="9">
        <f>Q197*S197</f>
        <v>6761.6654999999992</v>
      </c>
      <c r="U197" s="14">
        <v>10</v>
      </c>
      <c r="V197" s="14"/>
      <c r="Y197" s="9">
        <f>SUM(AE197:EB197)</f>
        <v>19855.10349926498</v>
      </c>
      <c r="Z197" s="82"/>
      <c r="AA197" s="82"/>
      <c r="AC197" s="9">
        <f>$Y197*(Voorblad!$K$44*(1+Voorblad!$K$44)^Voorblad!$K$41)/((1+Voorblad!$K$44)^Voorblad!$K$41-1)</f>
        <v>588.7749109844566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5282.2022816039889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4126.4479799810242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3223.5745667655315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2518.2512994009357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1967.253890235746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1536.8155948408837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1200.5578864368708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277</v>
      </c>
      <c r="K198" s="1" t="s">
        <v>82</v>
      </c>
      <c r="O198" s="1" t="s">
        <v>217</v>
      </c>
      <c r="P198" s="1" t="s">
        <v>173</v>
      </c>
      <c r="Q198" s="84">
        <f>2.5%*Q196</f>
        <v>6.0230500000000005</v>
      </c>
      <c r="R198" s="1" t="s">
        <v>35</v>
      </c>
      <c r="S198" s="14">
        <f>$H$20*500</f>
        <v>885</v>
      </c>
      <c r="T198" s="9">
        <f>Q198*S198</f>
        <v>5330.3992500000004</v>
      </c>
      <c r="U198" s="14">
        <v>15</v>
      </c>
      <c r="V198" s="14"/>
      <c r="Y198" s="9">
        <f t="shared" si="199"/>
        <v>10024.33668981833</v>
      </c>
      <c r="Z198" s="82"/>
      <c r="AA198" s="82"/>
      <c r="AC198" s="228">
        <f>$Y198*(Voorblad!$K$44*(1+Voorblad!$K$44)^Voorblad!$K$41)/((1+Voorblad!$K$44)^Voorblad!$K$41-1)</f>
        <v>297.25747551225305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3680.4570863253625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2541.2288515316332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1754.6309940280853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1211.5122663385453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836.50749159470524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54340.048576067456</v>
      </c>
      <c r="Z199" s="24"/>
      <c r="AA199" s="23">
        <f>SUM(AA195:AA198)</f>
        <v>0</v>
      </c>
      <c r="AC199" s="9">
        <f>$Y199*(Voorblad!$K$44*(1+Voorblad!$K$44)^Voorblad!$K$41)/((1+Voorblad!$K$44)^Voorblad!$K$41-1)</f>
        <v>1611.3770076519397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269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12.046100000000001</v>
      </c>
      <c r="R201" s="1" t="s">
        <v>35</v>
      </c>
      <c r="S201" s="14">
        <f>$H$10*500</f>
        <v>1190</v>
      </c>
      <c r="T201" s="9">
        <f>Q201*S201</f>
        <v>14334.859</v>
      </c>
      <c r="U201" s="14">
        <v>50</v>
      </c>
      <c r="V201" s="14"/>
      <c r="Y201" s="9">
        <f t="shared" si="199"/>
        <v>4170.6155286343137</v>
      </c>
      <c r="Z201" s="82"/>
      <c r="AA201" s="82"/>
      <c r="AC201" s="228">
        <f>$Y201*(Voorblad!$K$44*(1+Voorblad!$K$44)^Voorblad!$K$41)/((1+Voorblad!$K$44)^Voorblad!$K$41-1)</f>
        <v>123.67368352992787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4170.6155286343137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270</v>
      </c>
      <c r="C202" s="2"/>
      <c r="D202" s="15"/>
      <c r="S202" s="14"/>
      <c r="U202" s="14"/>
      <c r="V202" s="14"/>
      <c r="Y202" s="23">
        <f>SUM(Y201)</f>
        <v>4170.6155286343137</v>
      </c>
      <c r="Z202" s="24"/>
      <c r="AA202" s="23">
        <f>SUM(AA201)</f>
        <v>0</v>
      </c>
      <c r="AC202" s="9">
        <f>$Y202*(Voorblad!$K$44*(1+Voorblad!$K$44)^Voorblad!$K$41)/((1+Voorblad!$K$44)^Voorblad!$K$41-1)</f>
        <v>123.67368352992787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310</v>
      </c>
      <c r="Q204" s="83">
        <f>12.7*39.98</f>
        <v>507.74599999999992</v>
      </c>
      <c r="R204" s="81" t="s">
        <v>35</v>
      </c>
      <c r="S204" s="81">
        <v>4060</v>
      </c>
      <c r="T204" s="9">
        <f>Q204*S204</f>
        <v>2061448.7599999998</v>
      </c>
      <c r="U204" s="11">
        <v>1</v>
      </c>
      <c r="V204" s="14">
        <f>Voorblad!F25+100</f>
        <v>2103</v>
      </c>
      <c r="W204" s="9">
        <f>Voorblad!K85</f>
        <v>2103</v>
      </c>
      <c r="X204" s="6"/>
      <c r="Y204" s="9">
        <f t="shared" si="199"/>
        <v>323506.22353074496</v>
      </c>
      <c r="Z204" s="82" t="s">
        <v>279</v>
      </c>
      <c r="AA204" s="82">
        <v>104</v>
      </c>
      <c r="AC204" s="9">
        <f>$Y204*(Voorblad!$K$44*(1+Voorblad!$K$44)^Voorblad!$K$41)/((1+Voorblad!$K$44)^Voorblad!$K$41-1)</f>
        <v>9593.1178585537582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323506.22353074496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41228.975199999993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82457.950399999987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144301.41320000001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8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271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2061448.7599999998</v>
      </c>
      <c r="U208" s="14"/>
      <c r="V208" s="14"/>
      <c r="W208" s="14"/>
      <c r="X208" s="6"/>
      <c r="Y208" s="23">
        <f>SUM(Y204:Y207)</f>
        <v>323506.22353074496</v>
      </c>
      <c r="Z208" s="24"/>
      <c r="AA208" s="23">
        <f>SUM(AA204:AA207)</f>
        <v>104</v>
      </c>
      <c r="AC208" s="9">
        <f>$Y208*(Voorblad!$K$44*(1+Voorblad!$K$44)^Voorblad!$K$41)/((1+Voorblad!$K$44)^Voorblad!$K$41-1)</f>
        <v>9593.1178585537582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276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277</v>
      </c>
      <c r="K213" s="1" t="s">
        <v>87</v>
      </c>
      <c r="O213" s="1" t="s">
        <v>133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277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277</v>
      </c>
      <c r="K215" s="1" t="s">
        <v>88</v>
      </c>
      <c r="O215" s="1" t="s">
        <v>217</v>
      </c>
      <c r="P215" s="1" t="s">
        <v>173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8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269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8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270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2103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8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273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262</v>
      </c>
      <c r="Q229" s="84">
        <v>0</v>
      </c>
      <c r="R229" s="1" t="s">
        <v>101</v>
      </c>
      <c r="S229" s="1">
        <v>-200</v>
      </c>
      <c r="T229" s="21">
        <f t="shared" ref="T229:T236" si="201">Q229*S229</f>
        <v>0</v>
      </c>
      <c r="U229" s="11">
        <v>1</v>
      </c>
      <c r="V229" s="14">
        <f>Voorblad!F24+100</f>
        <v>2103</v>
      </c>
      <c r="W229" s="9">
        <f>Voorblad!$K$77</f>
        <v>2103</v>
      </c>
      <c r="X229" s="6"/>
      <c r="Y229" s="9">
        <f t="shared" ref="Y229" si="202">SUM(AE229:EB229)</f>
        <v>0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263</v>
      </c>
      <c r="O230" s="1" t="s">
        <v>103</v>
      </c>
      <c r="P230" s="1" t="s">
        <v>312</v>
      </c>
      <c r="Q230" s="83">
        <f>461</f>
        <v>461</v>
      </c>
      <c r="R230" s="1" t="s">
        <v>101</v>
      </c>
      <c r="S230" s="1">
        <v>-50</v>
      </c>
      <c r="T230" s="21">
        <f t="shared" si="201"/>
        <v>-23050</v>
      </c>
      <c r="U230" s="11">
        <v>1</v>
      </c>
      <c r="V230" s="14">
        <f>Voorblad!F24+100</f>
        <v>2103</v>
      </c>
      <c r="W230" s="9">
        <f>Voorblad!$K$77</f>
        <v>2103</v>
      </c>
      <c r="X230" s="6"/>
      <c r="Y230" s="9">
        <f t="shared" ref="Y230" si="203">SUM(AE230:EB230)</f>
        <v>-3617.2708228671527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-3617.2708228671527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264</v>
      </c>
      <c r="O231" s="1" t="s">
        <v>102</v>
      </c>
      <c r="Q231" s="83">
        <f>0.5*Q230</f>
        <v>230.5</v>
      </c>
      <c r="R231" s="1" t="s">
        <v>101</v>
      </c>
      <c r="S231" s="1">
        <v>-200</v>
      </c>
      <c r="T231" s="21">
        <f t="shared" si="201"/>
        <v>-46100</v>
      </c>
      <c r="U231" s="11">
        <v>1</v>
      </c>
      <c r="V231" s="14">
        <f>Voorblad!F24+100</f>
        <v>2103</v>
      </c>
      <c r="W231" s="9">
        <f>Voorblad!$K$77</f>
        <v>2103</v>
      </c>
      <c r="X231" s="6"/>
      <c r="Y231" s="9">
        <f t="shared" ref="Y231:Y234" si="204">SUM(AE231:EB231)</f>
        <v>-7234.5416457343053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-7234.5416457343053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265</v>
      </c>
      <c r="O232" s="1" t="s">
        <v>137</v>
      </c>
      <c r="P232" s="1" t="s">
        <v>313</v>
      </c>
      <c r="Q232" s="83">
        <f>2.3*600</f>
        <v>1380</v>
      </c>
      <c r="R232" s="1" t="s">
        <v>101</v>
      </c>
      <c r="S232" s="1">
        <v>-50</v>
      </c>
      <c r="T232" s="21">
        <f t="shared" si="201"/>
        <v>-69000</v>
      </c>
      <c r="U232" s="11">
        <v>1</v>
      </c>
      <c r="V232" s="14">
        <f>Voorblad!F24+100</f>
        <v>2103</v>
      </c>
      <c r="W232" s="9">
        <f>Voorblad!$K$77</f>
        <v>2103</v>
      </c>
      <c r="X232" s="6"/>
      <c r="Y232" s="9">
        <f t="shared" ref="Y232" si="205">SUM(AE232:EB232)</f>
        <v>-10828.272745242237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-10828.272745242237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266</v>
      </c>
      <c r="O233" s="1" t="s">
        <v>136</v>
      </c>
      <c r="Q233" s="83">
        <f>0.2*Q232</f>
        <v>276</v>
      </c>
      <c r="R233" s="1" t="s">
        <v>101</v>
      </c>
      <c r="S233" s="1">
        <v>-200</v>
      </c>
      <c r="T233" s="21">
        <f t="shared" si="201"/>
        <v>-55200</v>
      </c>
      <c r="U233" s="11">
        <v>1</v>
      </c>
      <c r="V233" s="14">
        <f>Voorblad!F24+100</f>
        <v>2103</v>
      </c>
      <c r="W233" s="9">
        <f>Voorblad!$K$77</f>
        <v>2103</v>
      </c>
      <c r="X233" s="6"/>
      <c r="Y233" s="9">
        <f t="shared" ref="Y233" si="206">SUM(AE233:EB233)</f>
        <v>-8662.6181961937891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-8662.6181961937891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267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2103</v>
      </c>
      <c r="W234" s="9">
        <f>Voorblad!$K$77</f>
        <v>2103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2103</v>
      </c>
      <c r="W235" s="9">
        <f>Voorblad!$K$77</f>
        <v>2103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315</v>
      </c>
      <c r="P236" s="1" t="s">
        <v>314</v>
      </c>
      <c r="Q236" s="84">
        <f>2*(3+39.98+3)*1.5*0.025</f>
        <v>3.4485000000000001</v>
      </c>
      <c r="R236" s="81" t="s">
        <v>101</v>
      </c>
      <c r="S236" s="81">
        <v>-200</v>
      </c>
      <c r="T236" s="21">
        <f t="shared" si="201"/>
        <v>-689.7</v>
      </c>
      <c r="U236" s="11">
        <v>1</v>
      </c>
      <c r="V236" s="14">
        <f>Voorblad!F24+100</f>
        <v>2103</v>
      </c>
      <c r="W236" s="9">
        <f>Voorblad!$K$77</f>
        <v>2103</v>
      </c>
      <c r="X236" s="6"/>
      <c r="Y236" s="9">
        <f t="shared" ref="Y236" si="208">SUM(AE236:EB236)</f>
        <v>-108.23564800570392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-108.23564800570392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272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-194039.7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7617AB-55EC-4899-8238-56C8F3783A4A}"/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2019-12-12T12:19:59Z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