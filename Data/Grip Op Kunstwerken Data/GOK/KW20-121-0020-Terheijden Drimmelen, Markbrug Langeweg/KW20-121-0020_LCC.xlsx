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55E4F186-4107-4757-B94F-9C33EB04AE0B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Q232" i="1" l="1"/>
  <c r="Q233" i="1" s="1"/>
  <c r="Q230" i="1"/>
  <c r="Q231" i="1" s="1"/>
  <c r="Q204" i="1"/>
  <c r="Q197" i="1"/>
  <c r="Q196" i="1"/>
  <c r="Q201" i="1" s="1"/>
  <c r="Q149" i="1"/>
  <c r="Q146" i="1"/>
  <c r="Q139" i="1"/>
  <c r="Q137" i="1"/>
  <c r="Q136" i="1"/>
  <c r="Q133" i="1"/>
  <c r="Q122" i="1"/>
  <c r="Q117" i="1"/>
  <c r="Q115" i="1"/>
  <c r="Q113" i="1"/>
  <c r="Q110" i="1"/>
  <c r="AA46" i="1"/>
  <c r="Q46" i="1"/>
  <c r="S40" i="1"/>
  <c r="S39" i="1"/>
  <c r="Q198" i="1" l="1"/>
  <c r="N64" i="2" l="1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O63" i="2"/>
  <c r="N63" i="2"/>
  <c r="N62" i="2"/>
  <c r="M63" i="2"/>
  <c r="L63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6" i="2" l="1"/>
  <c r="L64" i="2"/>
  <c r="L62" i="2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AF35" i="1" l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9" authorId="0" shapeId="0" xr:uid="{9FEF2A1A-4341-490A-A25B-140A9064BA5B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aan beide zijden? en hoe hoog?</t>
        </r>
      </text>
    </comment>
  </commentList>
</comments>
</file>

<file path=xl/sharedStrings.xml><?xml version="1.0" encoding="utf-8"?>
<sst xmlns="http://schemas.openxmlformats.org/spreadsheetml/2006/main" count="1030" uniqueCount="320">
  <si>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</si>
  <si>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</si>
  <si>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</si>
  <si>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</si>
  <si>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</si>
  <si>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</si>
  <si>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</si>
  <si>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</si>
  <si>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</si>
  <si>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</si>
  <si>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</si>
  <si>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</si>
  <si>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</si>
  <si>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</si>
  <si>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</si>
  <si>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</si>
  <si>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</si>
  <si>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</si>
  <si>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</si>
  <si>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</si>
  <si>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</si>
  <si>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</si>
  <si>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</si>
  <si>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</si>
  <si>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</si>
  <si>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</si>
  <si>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</si>
  <si>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</si>
  <si>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</si>
  <si>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</si>
  <si>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</si>
  <si>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</si>
  <si>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</si>
  <si>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</si>
  <si>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</si>
  <si>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</si>
  <si>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</si>
  <si>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</si>
  <si>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</si>
  <si>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</si>
  <si>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</si>
  <si>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</si>
  <si>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</si>
  <si>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</si>
  <si>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</si>
  <si>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</si>
  <si>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</si>
  <si>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</si>
  <si>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</si>
  <si>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</si>
  <si>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</si>
  <si>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</si>
  <si>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</si>
  <si>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</si>
  <si>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</si>
  <si>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</si>
  <si>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</si>
  <si>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</si>
  <si>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</si>
  <si>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</si>
  <si>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</si>
  <si>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</si>
  <si>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</si>
  <si>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</si>
  <si>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</si>
  <si>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</si>
  <si>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</si>
  <si>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</si>
  <si>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</si>
  <si>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</si>
  <si>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</si>
  <si>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</si>
  <si>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</si>
  <si>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</si>
  <si>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</si>
  <si>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</si>
  <si>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</si>
  <si>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</si>
  <si>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</si>
  <si>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</si>
  <si>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</si>
  <si>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</si>
  <si>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</si>
  <si>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</si>
  <si>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</si>
  <si>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</si>
  <si>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</si>
  <si>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</si>
  <si>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</si>
  <si>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</si>
  <si>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</si>
  <si>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</si>
  <si>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</si>
  <si>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</si>
  <si>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</si>
  <si>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</si>
  <si>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</si>
  <si>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</si>
  <si>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</si>
  <si>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</si>
  <si>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</si>
  <si>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</si>
  <si>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</si>
  <si>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</si>
  <si>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</si>
  <si>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</si>
  <si>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</si>
  <si>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</si>
  <si>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</si>
  <si>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</si>
  <si>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</si>
  <si>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</si>
  <si>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</si>
  <si>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</si>
  <si>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</si>
  <si>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</si>
  <si>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</si>
  <si>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</si>
  <si>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</si>
  <si>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</si>
  <si>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</si>
  <si>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</si>
  <si>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</si>
  <si>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</si>
  <si>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</si>
  <si>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</si>
  <si>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</si>
  <si>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</si>
  <si>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</si>
  <si>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</si>
  <si>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</si>
  <si>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</si>
  <si>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</si>
  <si>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</si>
  <si>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</si>
  <si>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</si>
  <si>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</si>
  <si>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</si>
  <si>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</si>
  <si>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</si>
  <si>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</si>
  <si>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</si>
  <si>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</si>
  <si>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</si>
  <si>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</si>
  <si>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</si>
  <si>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</si>
  <si>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</si>
  <si>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</si>
  <si>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</si>
  <si>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</si>
  <si>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</si>
  <si>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</si>
  <si>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</si>
  <si>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</si>
  <si>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</si>
  <si>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</si>
  <si>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</si>
  <si>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</si>
  <si>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</si>
  <si>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</si>
  <si>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</si>
  <si>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</si>
  <si>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</si>
  <si>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</si>
  <si>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</si>
  <si>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</si>
  <si>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</si>
  <si>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</si>
  <si>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</si>
  <si>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</si>
  <si>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</si>
  <si>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</si>
  <si>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</si>
  <si>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</si>
  <si>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</si>
  <si>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</si>
  <si>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</si>
  <si>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</si>
  <si>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</si>
  <si>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</si>
  <si>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</si>
  <si>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</si>
  <si>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</si>
  <si>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</si>
  <si>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</si>
  <si>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</si>
  <si>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</si>
  <si>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</si>
  <si>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</si>
  <si>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</si>
  <si>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</si>
  <si>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</si>
  <si>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</si>
  <si>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</si>
  <si>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</si>
  <si>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</si>
  <si>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</si>
  <si>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</si>
  <si>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</si>
  <si>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</si>
  <si>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</si>
  <si>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</si>
  <si>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</si>
  <si>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</si>
  <si>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</si>
  <si>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</si>
  <si>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</si>
  <si>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</si>
  <si>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</si>
  <si>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</si>
  <si>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</si>
  <si>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</si>
  <si>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</si>
  <si>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</si>
  <si>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</si>
  <si>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</si>
  <si>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</si>
  <si>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</si>
  <si>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</si>
  <si>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</si>
  <si>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</si>
  <si>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</si>
  <si>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</si>
  <si>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</si>
  <si>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</si>
  <si>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</si>
  <si>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</si>
  <si>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</si>
  <si>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</si>
  <si>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</si>
  <si>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</si>
  <si>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</si>
  <si>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</si>
  <si>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</si>
  <si>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</si>
  <si>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</si>
  <si>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</si>
  <si>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</si>
  <si>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</si>
  <si>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</si>
  <si>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</si>
  <si>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</si>
  <si>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</si>
  <si>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</si>
  <si>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</si>
  <si>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</si>
  <si>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</si>
  <si>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</si>
  <si>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</si>
  <si>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</si>
  <si>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</si>
  <si>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</si>
  <si>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</si>
  <si>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</si>
  <si>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</si>
  <si>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</si>
  <si>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</si>
  <si>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</si>
  <si>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</si>
  <si>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</si>
  <si>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</si>
  <si>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</si>
  <si>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</si>
  <si>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</si>
  <si>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</si>
  <si>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</si>
  <si>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</si>
  <si>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</si>
  <si>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</si>
  <si>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</si>
  <si>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</si>
  <si>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</si>
  <si>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</si>
  <si>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</si>
  <si>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</si>
  <si>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</si>
  <si>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</si>
  <si>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</si>
  <si>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</si>
  <si>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</si>
  <si>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</si>
  <si>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</si>
  <si>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</si>
  <si>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</si>
  <si>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</si>
  <si>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</si>
  <si>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</si>
  <si>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</si>
  <si>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</si>
  <si>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</si>
  <si>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</si>
  <si>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</si>
  <si>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</si>
  <si>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</si>
  <si>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</si>
  <si>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</si>
  <si>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</si>
  <si>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</si>
  <si>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</si>
  <si>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alleen spoordek</t>
  </si>
  <si>
    <t>Totaal kosten cat. 2 (advies IB tlv ProRail AM)</t>
  </si>
  <si>
    <t>10735909 + 10877213</t>
  </si>
  <si>
    <t>KW20-121-0020</t>
  </si>
  <si>
    <t>Spoorviaduct o/d Mark (Markbrug)</t>
  </si>
  <si>
    <t>Drimmelen</t>
  </si>
  <si>
    <t>Gewapend beton (op paalfundering)</t>
  </si>
  <si>
    <t>Betonnen voorgespannen DS-dek aan weerszijden geïntegreerde PV-paden</t>
  </si>
  <si>
    <t>no/ko</t>
  </si>
  <si>
    <t>regelmatig (maandelijks) schouwen tav vocht bij oplegvlakken, indien vocht dan onder handbereik inspecteren</t>
  </si>
  <si>
    <t>insp/ko</t>
  </si>
  <si>
    <t>controleren watergoot landhoofden achter opleggingen en vervuiling hoeken landhoofden verwijderen</t>
  </si>
  <si>
    <t>valt deze BHM niet in contract van de PCA? (dan cat. 3 ipv 2)</t>
  </si>
  <si>
    <t>in kwp staat in 2017 maandelijks schouwen?</t>
  </si>
  <si>
    <t>4x52</t>
  </si>
  <si>
    <t>Σ: van 2 landhfdn + vleugelwandn + 4 tussenstnpntn</t>
  </si>
  <si>
    <t xml:space="preserve">Σ: van 2 landhfdn + vleugelwandn + 1 tussenstnpntn </t>
  </si>
  <si>
    <t>spoordek+PV-paden: 1465 m3</t>
  </si>
  <si>
    <t>Σ: 2 landhfdn + 4 tussenstnpntn: 1500 m3</t>
  </si>
  <si>
    <t>leuningen 2x115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</si>
</sst>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5" fillId="8" borderId="0" xfId="0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T78" sqref="T78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243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148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43797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 t="s">
        <v>302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303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304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121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8.625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305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2002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2002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306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42699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112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112</v>
      </c>
      <c r="G32" s="38"/>
      <c r="H32" s="38"/>
      <c r="I32" s="38"/>
      <c r="J32" s="161" t="s">
        <v>225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228</v>
      </c>
      <c r="C33" s="101"/>
      <c r="D33" s="97"/>
      <c r="E33" s="97"/>
      <c r="F33" s="144" t="s">
        <v>307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144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244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245</v>
      </c>
      <c r="C41" s="41"/>
      <c r="D41" s="40"/>
      <c r="E41" s="40"/>
      <c r="F41" s="102">
        <v>2028</v>
      </c>
      <c r="G41" s="41"/>
      <c r="H41" s="131" t="s">
        <v>246</v>
      </c>
      <c r="I41" s="40"/>
      <c r="J41" s="40"/>
      <c r="K41" s="103">
        <f>F24+100-F41</f>
        <v>74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247</v>
      </c>
      <c r="I42" s="40"/>
      <c r="J42" s="40"/>
      <c r="K42" s="46">
        <f>F41+K41</f>
        <v>2102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240</v>
      </c>
      <c r="C48" s="164" t="s">
        <v>241</v>
      </c>
      <c r="D48" s="67" t="str">
        <f>'Berekening MJOP+LTP'!K28</f>
        <v>Omschrijving</v>
      </c>
      <c r="E48" s="67"/>
      <c r="F48" s="68"/>
      <c r="G48" s="69"/>
      <c r="H48" s="151" t="s">
        <v>224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280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regelmatig (maandelijks) schouwen tav vocht bij oplegvlakken, indien vocht dan onder handbereik inspecteren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4425</v>
      </c>
      <c r="M52" s="64">
        <f>'Berekening MJOP+LTP'!Y39</f>
        <v>4211.7787031528851</v>
      </c>
      <c r="N52" s="61">
        <f>'Berekening MJOP+LTP'!AA39</f>
        <v>0</v>
      </c>
      <c r="O52" s="255">
        <f>'Berekening MJOP+LTP'!AC39</f>
        <v>481.23262539806979</v>
      </c>
      <c r="P52" s="234"/>
    </row>
    <row r="53" spans="2:16" x14ac:dyDescent="0.3">
      <c r="B53" s="109">
        <f>'Berekening MJOP+LTP'!B40</f>
        <v>2</v>
      </c>
      <c r="C53" s="66">
        <f>'Berekening MJOP+LTP'!D40</f>
        <v>3</v>
      </c>
      <c r="D53" s="145" t="str">
        <f>'Berekening MJOP+LTP'!K40</f>
        <v>controleren watergoot landhoofden achter opleggingen en vervuiling hoeken landhoofden verwijderen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1770</v>
      </c>
      <c r="M53" s="64">
        <f>'Berekening MJOP+LTP'!Y40</f>
        <v>1684.7114812611542</v>
      </c>
      <c r="N53" s="61">
        <f>'Berekening MJOP+LTP'!AA40</f>
        <v>0</v>
      </c>
      <c r="O53" s="255">
        <f>'Berekening MJOP+LTP'!AC40</f>
        <v>192.49305015922792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2102</v>
      </c>
      <c r="K59" s="159">
        <v>2102</v>
      </c>
      <c r="L59" s="156">
        <f>'Berekening MJOP+LTP'!T46</f>
        <v>16614645.300000001</v>
      </c>
      <c r="M59" s="128">
        <f>'Berekening MJOP+LTP'!Y46</f>
        <v>0</v>
      </c>
      <c r="N59" s="129">
        <f>'Berekening MJOP+LTP'!AA46</f>
        <v>208</v>
      </c>
      <c r="O59" s="257">
        <f>'Berekening MJOP+LTP'!AC46</f>
        <v>0</v>
      </c>
      <c r="P59" s="235"/>
    </row>
    <row r="60" spans="2:16" x14ac:dyDescent="0.3">
      <c r="B60" s="207" t="s">
        <v>293</v>
      </c>
      <c r="C60" s="189"/>
      <c r="D60" s="208"/>
      <c r="E60" s="208"/>
      <c r="F60" s="189"/>
      <c r="G60" s="190" t="s">
        <v>150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301</v>
      </c>
      <c r="C61" s="194"/>
      <c r="D61" s="212"/>
      <c r="E61" s="212"/>
      <c r="F61" s="194"/>
      <c r="G61" s="195" t="s">
        <v>150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294</v>
      </c>
      <c r="C62" s="194"/>
      <c r="D62" s="212"/>
      <c r="E62" s="212"/>
      <c r="F62" s="194"/>
      <c r="G62" s="195" t="s">
        <v>150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11195</v>
      </c>
      <c r="M62" s="214">
        <f>SUMIF(B51:B58,2,M51:M58)</f>
        <v>10539.487239012784</v>
      </c>
      <c r="N62" s="247">
        <f>SUMIF(B51:B58,2,N51:N58)</f>
        <v>0</v>
      </c>
      <c r="O62" s="259">
        <f>SUMIF(B51:B58,2,O51:O58)</f>
        <v>1204.2287764508569</v>
      </c>
      <c r="P62" s="236"/>
    </row>
    <row r="63" spans="2:16" x14ac:dyDescent="0.3">
      <c r="B63" s="211" t="s">
        <v>295</v>
      </c>
      <c r="C63" s="194"/>
      <c r="D63" s="212"/>
      <c r="E63" s="212"/>
      <c r="F63" s="194"/>
      <c r="G63" s="195" t="s">
        <v>150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273</v>
      </c>
      <c r="C64" s="194"/>
      <c r="D64" s="212"/>
      <c r="E64" s="212"/>
      <c r="F64" s="194"/>
      <c r="G64" s="195" t="s">
        <v>150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11195</v>
      </c>
      <c r="M64" s="214">
        <f>SUM(M51:M58)</f>
        <v>10539.487239012784</v>
      </c>
      <c r="N64" s="247">
        <f>SUM(N51:N58)</f>
        <v>0</v>
      </c>
      <c r="O64" s="259">
        <f>SUM(O51:O58)</f>
        <v>1204.2287764508569</v>
      </c>
      <c r="P64" s="236"/>
    </row>
    <row r="65" spans="2:16" x14ac:dyDescent="0.3">
      <c r="B65" s="211" t="s">
        <v>296</v>
      </c>
      <c r="C65" s="194"/>
      <c r="D65" s="212"/>
      <c r="E65" s="212"/>
      <c r="F65" s="194"/>
      <c r="G65" s="205" t="s">
        <v>257</v>
      </c>
      <c r="H65" s="196"/>
      <c r="I65" s="213"/>
      <c r="J65" s="197"/>
      <c r="K65" s="224">
        <f>K59</f>
        <v>2102</v>
      </c>
      <c r="L65" s="214">
        <f>L59</f>
        <v>16614645.300000001</v>
      </c>
      <c r="M65" s="214">
        <f>M59</f>
        <v>0</v>
      </c>
      <c r="N65" s="248">
        <f>N59</f>
        <v>208</v>
      </c>
      <c r="O65" s="259">
        <f>O59</f>
        <v>0</v>
      </c>
      <c r="P65" s="237"/>
    </row>
    <row r="66" spans="2:16" ht="15" thickBot="1" x14ac:dyDescent="0.35">
      <c r="B66" s="215" t="s">
        <v>274</v>
      </c>
      <c r="C66" s="199"/>
      <c r="D66" s="216"/>
      <c r="E66" s="216"/>
      <c r="F66" s="199"/>
      <c r="G66" s="200" t="s">
        <v>150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16637340.300000001</v>
      </c>
      <c r="M66" s="218">
        <f>SUM(M49:M59)</f>
        <v>20849.05029027292</v>
      </c>
      <c r="N66" s="249">
        <f>SUM(N49:N59)</f>
        <v>208</v>
      </c>
      <c r="O66" s="260">
        <f>SUM(O49:O59)</f>
        <v>2382.1866995845876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242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240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140</v>
      </c>
      <c r="O69" s="130" t="s">
        <v>280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2102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420844.82176119729</v>
      </c>
      <c r="N75" s="61">
        <f>'Berekening MJOP+LTP'!AA125</f>
        <v>0</v>
      </c>
      <c r="O75" s="261">
        <f>'Berekening MJOP+LTP'!AC125</f>
        <v>12537.901958721131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290008.52514520643</v>
      </c>
      <c r="N76" s="61">
        <f>'Berekening MJOP+LTP'!AA147</f>
        <v>0</v>
      </c>
      <c r="O76" s="261">
        <f>'Berekening MJOP+LTP'!AC147</f>
        <v>8639.9980882434738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2102</v>
      </c>
      <c r="K77" s="90">
        <v>2102</v>
      </c>
      <c r="L77" s="64">
        <f>'Berekening MJOP+LTP'!T154</f>
        <v>13735438.200000001</v>
      </c>
      <c r="M77" s="64">
        <f>'Berekening MJOP+LTP'!Y154</f>
        <v>2209410.8388789068</v>
      </c>
      <c r="N77" s="61">
        <f>'Berekening MJOP+LTP'!AA149</f>
        <v>104</v>
      </c>
      <c r="O77" s="261">
        <f>'Berekening MJOP+LTP'!AC154</f>
        <v>65823.256107730645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2102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101460.33194066801</v>
      </c>
      <c r="N83" s="61">
        <f>'Berekening MJOP+LTP'!AA199</f>
        <v>0</v>
      </c>
      <c r="O83" s="261">
        <f>'Berekening MJOP+LTP'!AC199</f>
        <v>3022.7286372391991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11885.324652611947</v>
      </c>
      <c r="N84" s="61">
        <f>'Berekening MJOP+LTP'!AA202</f>
        <v>0</v>
      </c>
      <c r="O84" s="261">
        <f>'Berekening MJOP+LTP'!AC202</f>
        <v>354.09021933166991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2102</v>
      </c>
      <c r="K85" s="90">
        <v>2102</v>
      </c>
      <c r="L85" s="64">
        <f>'Berekening MJOP+LTP'!T208</f>
        <v>2866743</v>
      </c>
      <c r="M85" s="64">
        <f>'Berekening MJOP+LTP'!Y208</f>
        <v>461129.30394024367</v>
      </c>
      <c r="N85" s="61">
        <f>'Berekening MJOP+LTP'!AA204</f>
        <v>104</v>
      </c>
      <c r="O85" s="261">
        <f>'Berekening MJOP+LTP'!AC208</f>
        <v>13738.066156785886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2102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-725735</v>
      </c>
      <c r="M91" s="64"/>
      <c r="N91" s="251"/>
      <c r="O91" s="262"/>
      <c r="P91" s="241"/>
      <c r="Q91" s="27"/>
    </row>
    <row r="92" spans="2:17" x14ac:dyDescent="0.3">
      <c r="B92" s="207" t="s">
        <v>297</v>
      </c>
      <c r="C92" s="208"/>
      <c r="D92" s="208"/>
      <c r="E92" s="208"/>
      <c r="F92" s="189"/>
      <c r="G92" s="204" t="s">
        <v>151</v>
      </c>
      <c r="H92" s="191">
        <f>F41</f>
        <v>2028</v>
      </c>
      <c r="I92" s="209" t="s">
        <v>29</v>
      </c>
      <c r="J92" s="192">
        <f>K42</f>
        <v>2102</v>
      </c>
      <c r="K92" s="219"/>
      <c r="L92" s="220"/>
      <c r="M92" s="220">
        <f t="shared" ref="M92:O94" si="1">M71+M75+M79+M83+M87</f>
        <v>522305.15370186529</v>
      </c>
      <c r="N92" s="267">
        <f t="shared" si="1"/>
        <v>0</v>
      </c>
      <c r="O92" s="263">
        <f t="shared" si="1"/>
        <v>15560.630595960331</v>
      </c>
      <c r="P92" s="242"/>
    </row>
    <row r="93" spans="2:17" x14ac:dyDescent="0.3">
      <c r="B93" s="211" t="s">
        <v>298</v>
      </c>
      <c r="C93" s="212"/>
      <c r="D93" s="212"/>
      <c r="E93" s="212"/>
      <c r="F93" s="194"/>
      <c r="G93" s="205" t="s">
        <v>151</v>
      </c>
      <c r="H93" s="196">
        <f>F41</f>
        <v>2028</v>
      </c>
      <c r="I93" s="213" t="s">
        <v>29</v>
      </c>
      <c r="J93" s="197">
        <f>K42</f>
        <v>2102</v>
      </c>
      <c r="K93" s="221"/>
      <c r="L93" s="222"/>
      <c r="M93" s="222">
        <f t="shared" si="1"/>
        <v>301893.84979781834</v>
      </c>
      <c r="N93" s="252">
        <f t="shared" si="1"/>
        <v>0</v>
      </c>
      <c r="O93" s="264">
        <f t="shared" si="1"/>
        <v>8994.0883075751444</v>
      </c>
      <c r="P93" s="243"/>
    </row>
    <row r="94" spans="2:17" x14ac:dyDescent="0.3">
      <c r="B94" s="211" t="s">
        <v>296</v>
      </c>
      <c r="C94" s="212"/>
      <c r="D94" s="212"/>
      <c r="E94" s="212"/>
      <c r="F94" s="194"/>
      <c r="G94" s="205" t="s">
        <v>257</v>
      </c>
      <c r="H94" s="196"/>
      <c r="I94" s="213"/>
      <c r="J94" s="197"/>
      <c r="K94" s="225">
        <f>K59</f>
        <v>2102</v>
      </c>
      <c r="L94" s="222">
        <f>L73+L77+L81+L85+L89</f>
        <v>16602181.200000001</v>
      </c>
      <c r="M94" s="222">
        <f t="shared" si="1"/>
        <v>2670540.1428191504</v>
      </c>
      <c r="N94" s="252">
        <f t="shared" si="1"/>
        <v>208</v>
      </c>
      <c r="O94" s="264">
        <f t="shared" si="1"/>
        <v>79561.322264516537</v>
      </c>
      <c r="P94" s="243"/>
    </row>
    <row r="95" spans="2:17" ht="15" thickBot="1" x14ac:dyDescent="0.35">
      <c r="B95" s="215" t="s">
        <v>299</v>
      </c>
      <c r="C95" s="216"/>
      <c r="D95" s="216"/>
      <c r="E95" s="216"/>
      <c r="F95" s="199"/>
      <c r="G95" s="206" t="s">
        <v>257</v>
      </c>
      <c r="H95" s="201"/>
      <c r="I95" s="217"/>
      <c r="J95" s="202"/>
      <c r="K95" s="226">
        <f>K59</f>
        <v>2102</v>
      </c>
      <c r="L95" s="223">
        <f>L91</f>
        <v>-725735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258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259</v>
      </c>
      <c r="F99" s="177" t="s">
        <v>260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8.0500000000000007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2930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1465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3162.4999999999995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632.5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N1" zoomScale="90" zoomScaleNormal="90" zoomScaleSheetLayoutView="90" workbookViewId="0">
      <pane ySplit="2" topLeftCell="A200" activePane="bottomLeft" state="frozen"/>
      <selection pane="bottomLeft" activeCell="Q230" sqref="Q230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235</v>
      </c>
      <c r="C1" s="3" t="s">
        <v>236</v>
      </c>
      <c r="D1" s="3" t="s">
        <v>238</v>
      </c>
      <c r="E1" s="3" t="s">
        <v>233</v>
      </c>
      <c r="F1" s="3" t="s">
        <v>0</v>
      </c>
      <c r="G1" s="3"/>
      <c r="H1" s="3"/>
      <c r="I1" s="3" t="s">
        <v>230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278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234</v>
      </c>
      <c r="C2" s="3" t="s">
        <v>239</v>
      </c>
      <c r="D2" s="3" t="s">
        <v>237</v>
      </c>
      <c r="E2" s="3" t="s">
        <v>232</v>
      </c>
      <c r="F2" s="3"/>
      <c r="G2" s="3"/>
      <c r="H2" s="3"/>
      <c r="I2" s="3" t="s">
        <v>231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279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286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253</v>
      </c>
      <c r="K9" s="1" t="s">
        <v>25</v>
      </c>
    </row>
    <row r="10" spans="2:236" ht="13.8" x14ac:dyDescent="0.3">
      <c r="B10" s="170"/>
      <c r="D10" s="168" t="s">
        <v>256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285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254</v>
      </c>
    </row>
    <row r="15" spans="2:236" ht="13.8" x14ac:dyDescent="0.3">
      <c r="B15" s="170"/>
      <c r="D15" s="168" t="s">
        <v>255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287</v>
      </c>
      <c r="K17" s="1" t="s">
        <v>249</v>
      </c>
    </row>
    <row r="18" spans="2:236" ht="13.8" x14ac:dyDescent="0.3">
      <c r="B18" s="170"/>
      <c r="D18" s="1" t="s">
        <v>40</v>
      </c>
      <c r="K18" s="1" t="s">
        <v>250</v>
      </c>
    </row>
    <row r="19" spans="2:236" ht="13.8" x14ac:dyDescent="0.3">
      <c r="B19" s="170"/>
      <c r="D19" s="1" t="s">
        <v>254</v>
      </c>
      <c r="K19" s="1" t="s">
        <v>251</v>
      </c>
    </row>
    <row r="20" spans="2:236" ht="13.8" x14ac:dyDescent="0.3">
      <c r="B20" s="170"/>
      <c r="D20" s="168" t="s">
        <v>255</v>
      </c>
      <c r="H20" s="172">
        <v>1.77</v>
      </c>
      <c r="I20" s="167">
        <v>1.77</v>
      </c>
    </row>
    <row r="21" spans="2:236" x14ac:dyDescent="0.25">
      <c r="K21" s="25" t="s">
        <v>147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252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235</v>
      </c>
      <c r="C28" s="3" t="s">
        <v>236</v>
      </c>
      <c r="D28" s="3" t="s">
        <v>238</v>
      </c>
      <c r="E28" s="3" t="s">
        <v>233</v>
      </c>
      <c r="F28" s="3" t="s">
        <v>0</v>
      </c>
      <c r="G28" s="3"/>
      <c r="H28" s="3"/>
      <c r="I28" s="3" t="s">
        <v>230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278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234</v>
      </c>
      <c r="C29" s="3" t="s">
        <v>239</v>
      </c>
      <c r="D29" s="3" t="s">
        <v>237</v>
      </c>
      <c r="E29" s="3" t="s">
        <v>232</v>
      </c>
      <c r="F29" s="3"/>
      <c r="G29" s="3"/>
      <c r="H29" s="3"/>
      <c r="I29" s="3" t="s">
        <v>231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279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281</v>
      </c>
      <c r="K31" s="1" t="s">
        <v>282</v>
      </c>
      <c r="O31" s="1" t="s">
        <v>291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276</v>
      </c>
      <c r="K32" s="1" t="s">
        <v>149</v>
      </c>
      <c r="O32" s="1" t="s">
        <v>291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290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284</v>
      </c>
      <c r="I35" s="1" t="s">
        <v>283</v>
      </c>
      <c r="K35" s="1" t="s">
        <v>289</v>
      </c>
      <c r="O35" s="1" t="s">
        <v>292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288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8">
        <v>2</v>
      </c>
      <c r="C38" s="120" t="s">
        <v>22</v>
      </c>
      <c r="D38" s="78">
        <v>1</v>
      </c>
      <c r="E38" s="120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8">
        <v>2</v>
      </c>
      <c r="C39" s="120" t="s">
        <v>22</v>
      </c>
      <c r="D39" s="78">
        <v>2</v>
      </c>
      <c r="E39" s="120" t="s">
        <v>22</v>
      </c>
      <c r="F39" s="76" t="s">
        <v>23</v>
      </c>
      <c r="G39" s="76"/>
      <c r="H39" s="76"/>
      <c r="I39" s="76" t="s">
        <v>308</v>
      </c>
      <c r="J39" s="76"/>
      <c r="K39" s="76" t="s">
        <v>309</v>
      </c>
      <c r="L39" s="76"/>
      <c r="M39" s="76"/>
      <c r="N39" s="76"/>
      <c r="O39" s="268" t="s">
        <v>312</v>
      </c>
      <c r="P39" s="268" t="s">
        <v>313</v>
      </c>
      <c r="Q39" s="81">
        <v>1</v>
      </c>
      <c r="R39" s="81" t="s">
        <v>33</v>
      </c>
      <c r="S39" s="81">
        <f>H15*2500</f>
        <v>4425</v>
      </c>
      <c r="T39" s="9">
        <f t="shared" si="4"/>
        <v>4425</v>
      </c>
      <c r="U39" s="11">
        <v>1</v>
      </c>
      <c r="V39" s="14"/>
      <c r="W39" s="9">
        <f>Voorblad!K52</f>
        <v>2020</v>
      </c>
      <c r="Y39" s="9">
        <f t="shared" ref="Y39:Y45" si="5">SUM(AE39:EB39)</f>
        <v>4211.7787031528851</v>
      </c>
      <c r="Z39" s="82"/>
      <c r="AA39" s="82"/>
      <c r="AC39" s="9">
        <f>$Y39*(Voorblad!$K$44*(1+Voorblad!$K$44)^Voorblad!$K$37)/((1+Voorblad!$K$44)^Voorblad!$K$37-1)</f>
        <v>481.23262539806979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4211.7787031528851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2</v>
      </c>
      <c r="C40" s="76" t="s">
        <v>22</v>
      </c>
      <c r="D40" s="78">
        <v>3</v>
      </c>
      <c r="E40" s="76" t="s">
        <v>22</v>
      </c>
      <c r="F40" s="76" t="s">
        <v>23</v>
      </c>
      <c r="G40" s="76"/>
      <c r="H40" s="76"/>
      <c r="I40" s="76" t="s">
        <v>310</v>
      </c>
      <c r="J40" s="76"/>
      <c r="K40" s="79" t="s">
        <v>311</v>
      </c>
      <c r="L40" s="76"/>
      <c r="M40" s="76"/>
      <c r="N40" s="76"/>
      <c r="O40" s="268" t="s">
        <v>312</v>
      </c>
      <c r="P40" s="77"/>
      <c r="Q40" s="81">
        <v>1</v>
      </c>
      <c r="R40" s="81" t="s">
        <v>33</v>
      </c>
      <c r="S40" s="81">
        <f>H15*1000</f>
        <v>1770</v>
      </c>
      <c r="T40" s="9">
        <f t="shared" si="4"/>
        <v>1770</v>
      </c>
      <c r="U40" s="11">
        <v>1</v>
      </c>
      <c r="V40" s="14"/>
      <c r="W40" s="9">
        <f>Voorblad!K53</f>
        <v>2020</v>
      </c>
      <c r="Y40" s="9">
        <f t="shared" si="5"/>
        <v>1684.7114812611542</v>
      </c>
      <c r="Z40" s="82"/>
      <c r="AA40" s="82"/>
      <c r="AC40" s="9">
        <f>$Y40*(Voorblad!$K$44*(1+Voorblad!$K$44)^Voorblad!$K$37)/((1+Voorblad!$K$44)^Voorblad!$K$37-1)</f>
        <v>192.49305015922792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1684.7114812611542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229</v>
      </c>
      <c r="P46" s="14"/>
      <c r="Q46" s="83">
        <f>99*12.59</f>
        <v>1246.4100000000001</v>
      </c>
      <c r="R46" s="81" t="s">
        <v>35</v>
      </c>
      <c r="S46" s="81">
        <v>13330</v>
      </c>
      <c r="T46" s="9">
        <f t="shared" si="4"/>
        <v>16614645.300000001</v>
      </c>
      <c r="U46" s="11">
        <v>1</v>
      </c>
      <c r="V46" s="1">
        <f>Voorblad!F24+100</f>
        <v>2102</v>
      </c>
      <c r="W46" s="9">
        <f>Voorblad!K59</f>
        <v>2102</v>
      </c>
      <c r="X46" s="6"/>
      <c r="Y46" s="9">
        <f>SUM(AE46:EB46)</f>
        <v>0</v>
      </c>
      <c r="Z46" s="82" t="s">
        <v>314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267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248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235</v>
      </c>
      <c r="C54" s="3"/>
      <c r="D54" s="3"/>
      <c r="E54" s="3"/>
      <c r="F54" s="3" t="s">
        <v>0</v>
      </c>
      <c r="G54" s="3"/>
      <c r="H54" s="3"/>
      <c r="I54" s="3" t="s">
        <v>230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278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234</v>
      </c>
      <c r="I55" s="3" t="s">
        <v>231</v>
      </c>
      <c r="O55" s="14"/>
      <c r="P55" s="14"/>
      <c r="V55" s="3" t="s">
        <v>70</v>
      </c>
      <c r="AC55" s="20" t="s">
        <v>279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275</v>
      </c>
      <c r="K58" s="1" t="s">
        <v>282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276</v>
      </c>
      <c r="K59" s="1" t="s">
        <v>110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276</v>
      </c>
      <c r="K60" s="1" t="s">
        <v>152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276</v>
      </c>
      <c r="K61" s="1" t="s">
        <v>145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276</v>
      </c>
      <c r="K62" s="14" t="s">
        <v>164</v>
      </c>
      <c r="L62" s="14"/>
      <c r="M62" s="14"/>
      <c r="N62" s="3"/>
      <c r="P62" s="1" t="s">
        <v>184</v>
      </c>
      <c r="Q62" s="81">
        <v>0</v>
      </c>
      <c r="R62" s="147" t="s">
        <v>196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276</v>
      </c>
      <c r="K63" s="14" t="s">
        <v>168</v>
      </c>
      <c r="L63" s="14"/>
      <c r="M63" s="14"/>
      <c r="N63" s="3"/>
      <c r="O63" s="1" t="s">
        <v>170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276</v>
      </c>
      <c r="K64" s="14" t="s">
        <v>203</v>
      </c>
      <c r="L64" s="14"/>
      <c r="M64" s="14"/>
      <c r="N64" s="3"/>
      <c r="O64" s="1" t="s">
        <v>171</v>
      </c>
      <c r="P64" s="1" t="s">
        <v>174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276</v>
      </c>
      <c r="K65" s="14" t="s">
        <v>169</v>
      </c>
      <c r="L65" s="14"/>
      <c r="M65" s="14"/>
      <c r="N65" s="3"/>
      <c r="O65" s="1" t="s">
        <v>172</v>
      </c>
      <c r="P65" s="1" t="s">
        <v>175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276</v>
      </c>
      <c r="K66" s="14" t="s">
        <v>167</v>
      </c>
      <c r="L66" s="14"/>
      <c r="M66" s="14"/>
      <c r="N66" s="3"/>
      <c r="O66" s="1" t="s">
        <v>172</v>
      </c>
      <c r="P66" s="1" t="s">
        <v>175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276</v>
      </c>
      <c r="K67" s="14" t="s">
        <v>189</v>
      </c>
      <c r="L67" s="14"/>
      <c r="M67" s="14"/>
      <c r="N67" s="3"/>
      <c r="O67" s="1" t="s">
        <v>173</v>
      </c>
      <c r="P67" s="1" t="s">
        <v>176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276</v>
      </c>
      <c r="K68" s="14" t="s">
        <v>95</v>
      </c>
      <c r="L68" s="14"/>
      <c r="M68" s="14"/>
      <c r="N68" s="3"/>
      <c r="O68" s="1" t="s">
        <v>178</v>
      </c>
      <c r="P68" s="1" t="s">
        <v>177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276</v>
      </c>
      <c r="K69" s="14" t="s">
        <v>53</v>
      </c>
      <c r="L69" s="14"/>
      <c r="M69" s="14"/>
      <c r="N69" s="3"/>
      <c r="O69" s="1" t="s">
        <v>178</v>
      </c>
      <c r="P69" s="1" t="s">
        <v>179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276</v>
      </c>
      <c r="K70" s="14" t="s">
        <v>191</v>
      </c>
      <c r="L70" s="14"/>
      <c r="M70" s="14"/>
      <c r="N70" s="3"/>
      <c r="O70" s="1" t="s">
        <v>178</v>
      </c>
      <c r="P70" s="1" t="s">
        <v>180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276</v>
      </c>
      <c r="K71" s="14" t="s">
        <v>154</v>
      </c>
      <c r="L71" s="14"/>
      <c r="M71" s="14"/>
      <c r="N71" s="3"/>
      <c r="O71" s="1" t="s">
        <v>178</v>
      </c>
      <c r="P71" s="1" t="s">
        <v>181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276</v>
      </c>
      <c r="K72" s="14" t="s">
        <v>165</v>
      </c>
      <c r="L72" s="14"/>
      <c r="M72" s="14"/>
      <c r="N72" s="3"/>
      <c r="O72" s="1" t="s">
        <v>178</v>
      </c>
      <c r="P72" s="1" t="s">
        <v>182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276</v>
      </c>
      <c r="K73" s="14" t="s">
        <v>166</v>
      </c>
      <c r="L73" s="14"/>
      <c r="M73" s="14"/>
      <c r="N73" s="3"/>
      <c r="O73" s="1" t="s">
        <v>178</v>
      </c>
      <c r="P73" s="1" t="s">
        <v>183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268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146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193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193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193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193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193</v>
      </c>
      <c r="K80" s="1" t="s">
        <v>59</v>
      </c>
      <c r="N80" s="3"/>
      <c r="O80" s="1" t="s">
        <v>187</v>
      </c>
      <c r="P80" s="1" t="s">
        <v>177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193</v>
      </c>
      <c r="K81" s="1" t="s">
        <v>50</v>
      </c>
      <c r="N81" s="3"/>
      <c r="O81" s="1" t="s">
        <v>187</v>
      </c>
      <c r="P81" s="1" t="s">
        <v>179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193</v>
      </c>
      <c r="K82" s="14" t="s">
        <v>190</v>
      </c>
      <c r="N82" s="3"/>
      <c r="O82" s="1" t="s">
        <v>187</v>
      </c>
      <c r="P82" s="1" t="s">
        <v>180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193</v>
      </c>
      <c r="K83" s="14" t="s">
        <v>155</v>
      </c>
      <c r="N83" s="3"/>
      <c r="O83" s="1" t="s">
        <v>187</v>
      </c>
      <c r="P83" s="1" t="s">
        <v>181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193</v>
      </c>
      <c r="K84" s="14" t="s">
        <v>185</v>
      </c>
      <c r="N84" s="3"/>
      <c r="O84" s="1" t="s">
        <v>187</v>
      </c>
      <c r="P84" s="1" t="s">
        <v>182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193</v>
      </c>
      <c r="K85" s="14" t="s">
        <v>186</v>
      </c>
      <c r="N85" s="3"/>
      <c r="O85" s="1" t="s">
        <v>187</v>
      </c>
      <c r="P85" s="1" t="s">
        <v>183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202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160</v>
      </c>
      <c r="N87" s="3"/>
      <c r="P87" s="14" t="s">
        <v>194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188</v>
      </c>
      <c r="N88" s="3"/>
      <c r="P88" s="14" t="s">
        <v>194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192</v>
      </c>
      <c r="N89" s="3"/>
      <c r="P89" s="14" t="s">
        <v>194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195</v>
      </c>
      <c r="N94" s="3"/>
      <c r="Q94" s="81">
        <v>0</v>
      </c>
      <c r="R94" s="147" t="s">
        <v>196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269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2102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153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156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157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270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275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5538.9619080568518</v>
      </c>
      <c r="Z109" s="82"/>
      <c r="AA109" s="82"/>
      <c r="AC109" s="9">
        <f>$Y109*(Voorblad!$K$44*(1+Voorblad!$K$44)^Voorblad!$K$41)/((1+Voorblad!$K$44)^Voorblad!$K$41-1)</f>
        <v>165.01797756635932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276</v>
      </c>
      <c r="K110" s="1" t="s">
        <v>113</v>
      </c>
      <c r="O110" s="1" t="s">
        <v>226</v>
      </c>
      <c r="P110" s="14" t="s">
        <v>227</v>
      </c>
      <c r="Q110" s="83">
        <f>50%*(((2*99*12.59)+(2*(99+12.59)*1.175)))</f>
        <v>1377.5282500000001</v>
      </c>
      <c r="R110" s="1" t="s">
        <v>35</v>
      </c>
      <c r="S110" s="21">
        <f>$H$20*15</f>
        <v>26.55</v>
      </c>
      <c r="T110" s="9">
        <f t="shared" si="20"/>
        <v>36573.375037500002</v>
      </c>
      <c r="U110" s="14">
        <v>10</v>
      </c>
      <c r="V110" s="14"/>
      <c r="Y110" s="9">
        <f t="shared" si="21"/>
        <v>107394.86398535933</v>
      </c>
      <c r="Z110" s="82"/>
      <c r="AA110" s="82"/>
      <c r="AC110" s="9">
        <f>$Y110*(Voorblad!$K$44*(1+Voorblad!$K$44)^Voorblad!$K$41)/((1+Voorblad!$K$44)^Voorblad!$K$41-1)</f>
        <v>3199.5315277579516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28571.062125010605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22319.668067664737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17436.08902150844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13621.044875949889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10640.738486926455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8312.5278991683772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6493.7335091308523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276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276</v>
      </c>
      <c r="K112" s="1" t="s">
        <v>145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276</v>
      </c>
      <c r="K113" s="1" t="s">
        <v>159</v>
      </c>
      <c r="P113" s="1" t="s">
        <v>184</v>
      </c>
      <c r="Q113" s="83">
        <f>2*99</f>
        <v>198</v>
      </c>
      <c r="R113" s="147" t="s">
        <v>196</v>
      </c>
      <c r="S113" s="21">
        <f>$H$20*350</f>
        <v>619.5</v>
      </c>
      <c r="T113" s="9">
        <f t="shared" si="20"/>
        <v>122661</v>
      </c>
      <c r="U113" s="14">
        <v>15</v>
      </c>
      <c r="V113" s="14"/>
      <c r="Y113" s="9">
        <f>SUM(AE113:EB113)</f>
        <v>211426.62386561531</v>
      </c>
      <c r="Z113" s="82"/>
      <c r="AA113" s="82"/>
      <c r="AC113" s="9">
        <f>$Y113*(Voorblad!$K$44*(1+Voorblad!$K$44)^Voorblad!$K$41)/((1+Voorblad!$K$44)^Voorblad!$K$41-1)</f>
        <v>6298.8687145940012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84693.195667426829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58477.734506983063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40376.861519046433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27878.832172159015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276</v>
      </c>
      <c r="K114" s="14" t="s">
        <v>168</v>
      </c>
      <c r="L114" s="14"/>
      <c r="M114" s="14"/>
      <c r="O114" s="1" t="s">
        <v>170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276</v>
      </c>
      <c r="K115" s="14" t="s">
        <v>162</v>
      </c>
      <c r="O115" s="14" t="s">
        <v>158</v>
      </c>
      <c r="P115" s="14" t="s">
        <v>199</v>
      </c>
      <c r="Q115" s="84">
        <f>2.5%*2*(8+99+8)</f>
        <v>5.75</v>
      </c>
      <c r="R115" s="14" t="s">
        <v>34</v>
      </c>
      <c r="S115" s="21">
        <f>$H$20*1000</f>
        <v>1770</v>
      </c>
      <c r="T115" s="21">
        <f t="shared" si="20"/>
        <v>10177.5</v>
      </c>
      <c r="U115" s="14">
        <v>15</v>
      </c>
      <c r="Y115" s="21">
        <f t="shared" si="22"/>
        <v>17542.613091302861</v>
      </c>
      <c r="Z115" s="149"/>
      <c r="AA115" s="149"/>
      <c r="AC115" s="9">
        <f>$Y115*(Voorblad!$K$44*(1+Voorblad!$K$44)^Voorblad!$K$41)/((1+Voorblad!$K$44)^Voorblad!$K$41-1)</f>
        <v>522.63340705505789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7027.2132047287778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4852.0486784293307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3350.1724925615727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2313.1787155831794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276</v>
      </c>
      <c r="K116" s="14" t="s">
        <v>197</v>
      </c>
      <c r="L116" s="14"/>
      <c r="M116" s="14"/>
      <c r="O116" s="1" t="s">
        <v>171</v>
      </c>
      <c r="P116" s="1" t="s">
        <v>174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276</v>
      </c>
      <c r="K117" s="14" t="s">
        <v>198</v>
      </c>
      <c r="L117" s="14"/>
      <c r="M117" s="14"/>
      <c r="O117" s="1" t="s">
        <v>172</v>
      </c>
      <c r="P117" s="1" t="s">
        <v>175</v>
      </c>
      <c r="Q117" s="83">
        <f>2.5%*2*(8+99+8)</f>
        <v>5.75</v>
      </c>
      <c r="R117" s="1" t="s">
        <v>34</v>
      </c>
      <c r="S117" s="14">
        <f>$H$20*500</f>
        <v>885</v>
      </c>
      <c r="T117" s="9">
        <f t="shared" si="20"/>
        <v>5088.75</v>
      </c>
      <c r="U117" s="14">
        <v>15</v>
      </c>
      <c r="V117" s="14"/>
      <c r="Y117" s="9">
        <f t="shared" si="22"/>
        <v>8771.3065456514305</v>
      </c>
      <c r="Z117" s="82"/>
      <c r="AA117" s="82"/>
      <c r="AC117" s="9">
        <f>$Y117*(Voorblad!$K$44*(1+Voorblad!$K$44)^Voorblad!$K$41)/((1+Voorblad!$K$44)^Voorblad!$K$41-1)</f>
        <v>261.31670352752894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3513.6066023643889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2426.0243392146654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1675.0862462807863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1156.5893577915897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276</v>
      </c>
      <c r="K118" s="14" t="s">
        <v>211</v>
      </c>
      <c r="L118" s="14"/>
      <c r="M118" s="14"/>
      <c r="O118" s="1" t="s">
        <v>172</v>
      </c>
      <c r="P118" s="1" t="s">
        <v>175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276</v>
      </c>
      <c r="K119" s="14" t="s">
        <v>189</v>
      </c>
      <c r="L119" s="14"/>
      <c r="M119" s="14"/>
      <c r="O119" s="1" t="s">
        <v>173</v>
      </c>
      <c r="P119" s="1" t="s">
        <v>176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276</v>
      </c>
      <c r="K120" s="1" t="s">
        <v>206</v>
      </c>
      <c r="O120" s="1" t="s">
        <v>178</v>
      </c>
      <c r="P120" s="1" t="s">
        <v>179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276</v>
      </c>
      <c r="K121" s="14" t="s">
        <v>205</v>
      </c>
      <c r="L121" s="14"/>
      <c r="M121" s="14"/>
      <c r="O121" s="1" t="s">
        <v>178</v>
      </c>
      <c r="P121" s="1" t="s">
        <v>180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276</v>
      </c>
      <c r="K122" s="14" t="s">
        <v>201</v>
      </c>
      <c r="L122" s="14"/>
      <c r="M122" s="14"/>
      <c r="O122" s="1" t="s">
        <v>178</v>
      </c>
      <c r="P122" s="1" t="s">
        <v>181</v>
      </c>
      <c r="Q122" s="83">
        <f>2*(8+99+8)</f>
        <v>230</v>
      </c>
      <c r="R122" s="1" t="s">
        <v>34</v>
      </c>
      <c r="S122" s="14">
        <f>$H$20*100</f>
        <v>177</v>
      </c>
      <c r="T122" s="9">
        <f t="shared" si="20"/>
        <v>40710</v>
      </c>
      <c r="U122" s="14">
        <v>15</v>
      </c>
      <c r="V122" s="14"/>
      <c r="Y122" s="9">
        <f t="shared" si="23"/>
        <v>70170.452365211444</v>
      </c>
      <c r="Z122" s="82"/>
      <c r="AA122" s="82"/>
      <c r="AC122" s="9">
        <f>$Y122*(Voorblad!$K$44*(1+Voorblad!$K$44)^Voorblad!$K$41)/((1+Voorblad!$K$44)^Voorblad!$K$41-1)</f>
        <v>2090.5336282202315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28108.852818915111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19408.194713717323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13400.689970246291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9252.7148623327175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276</v>
      </c>
      <c r="K123" s="14" t="s">
        <v>200</v>
      </c>
      <c r="L123" s="14"/>
      <c r="M123" s="14"/>
      <c r="O123" s="1" t="s">
        <v>178</v>
      </c>
      <c r="P123" s="1" t="s">
        <v>182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276</v>
      </c>
      <c r="K124" s="14" t="s">
        <v>207</v>
      </c>
      <c r="L124" s="14"/>
      <c r="M124" s="14"/>
      <c r="O124" s="1" t="s">
        <v>178</v>
      </c>
      <c r="P124" s="1" t="s">
        <v>183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268</v>
      </c>
      <c r="C125" s="2"/>
      <c r="S125" s="14"/>
      <c r="U125" s="14"/>
      <c r="V125" s="14"/>
      <c r="Y125" s="23">
        <f>SUM(Y109:Y124)</f>
        <v>420844.82176119729</v>
      </c>
      <c r="Z125" s="24"/>
      <c r="AA125" s="23">
        <f>SUM(AA109:AA124)</f>
        <v>0</v>
      </c>
      <c r="AC125" s="9">
        <f>$Y125*(Voorblad!$K$44*(1+Voorblad!$K$44)^Voorblad!$K$41)/((1+Voorblad!$K$44)^Voorblad!$K$41-1)</f>
        <v>12537.901958721131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29262.422710537874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123953.93031123761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22859.757852094801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103022.00853623799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13950.645977922446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59094.129575314349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10898.222340994456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49114.988982302981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6650.868423523857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146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193</v>
      </c>
      <c r="K131" s="1" t="s">
        <v>212</v>
      </c>
      <c r="O131" s="1" t="s">
        <v>187</v>
      </c>
      <c r="P131" s="1" t="s">
        <v>179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193</v>
      </c>
      <c r="K132" s="14" t="s">
        <v>213</v>
      </c>
      <c r="O132" s="1" t="s">
        <v>187</v>
      </c>
      <c r="P132" s="1" t="s">
        <v>180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193</v>
      </c>
      <c r="K133" s="1" t="s">
        <v>209</v>
      </c>
      <c r="O133" s="1" t="s">
        <v>187</v>
      </c>
      <c r="P133" s="1" t="s">
        <v>181</v>
      </c>
      <c r="Q133" s="81">
        <f>2*(8+99+8)</f>
        <v>230</v>
      </c>
      <c r="R133" s="1" t="s">
        <v>34</v>
      </c>
      <c r="S133" s="21">
        <f>$H$10*125</f>
        <v>297.5</v>
      </c>
      <c r="T133" s="9">
        <f t="shared" si="104"/>
        <v>68425</v>
      </c>
      <c r="U133" s="14">
        <v>30</v>
      </c>
      <c r="V133" s="14"/>
      <c r="Y133" s="9">
        <f t="shared" si="21"/>
        <v>48172.99773375642</v>
      </c>
      <c r="Z133" s="82"/>
      <c r="AA133" s="82"/>
      <c r="AC133" s="9">
        <f>$Y133*(Voorblad!$K$44*(1+Voorblad!$K$44)^Voorblad!$K$41)/((1+Voorblad!$K$44)^Voorblad!$K$41-1)</f>
        <v>1435.1805972469783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32621.118233507928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15551.879500248493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193</v>
      </c>
      <c r="K134" s="14" t="s">
        <v>210</v>
      </c>
      <c r="O134" s="1" t="s">
        <v>187</v>
      </c>
      <c r="P134" s="1" t="s">
        <v>182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193</v>
      </c>
      <c r="K135" s="14" t="s">
        <v>208</v>
      </c>
      <c r="O135" s="1" t="s">
        <v>187</v>
      </c>
      <c r="P135" s="1" t="s">
        <v>183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184</v>
      </c>
      <c r="Q136" s="83">
        <f>2*99</f>
        <v>198</v>
      </c>
      <c r="R136" s="147" t="s">
        <v>196</v>
      </c>
      <c r="S136" s="14">
        <f>$H$10*500</f>
        <v>1190</v>
      </c>
      <c r="T136" s="9">
        <f t="shared" si="104"/>
        <v>235620</v>
      </c>
      <c r="U136" s="14">
        <v>50</v>
      </c>
      <c r="V136" s="14"/>
      <c r="Y136" s="9">
        <f>SUM(AE136:EB136)</f>
        <v>68551.803045765366</v>
      </c>
      <c r="Z136" s="82"/>
      <c r="AA136" s="82"/>
      <c r="AC136" s="9">
        <f>$Y136*(Voorblad!$K$44*(1+Voorblad!$K$44)^Voorblad!$K$41)/((1+Voorblad!$K$44)^Voorblad!$K$41-1)</f>
        <v>2042.3104698887707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68551.803045765366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161</v>
      </c>
      <c r="O137" s="14" t="s">
        <v>214</v>
      </c>
      <c r="P137" s="14" t="s">
        <v>217</v>
      </c>
      <c r="Q137" s="84">
        <f>7.5%*2*(8+99+8)</f>
        <v>17.25</v>
      </c>
      <c r="R137" s="14" t="s">
        <v>34</v>
      </c>
      <c r="S137" s="21">
        <f>$H$10*1000</f>
        <v>2380</v>
      </c>
      <c r="T137" s="21">
        <f t="shared" si="104"/>
        <v>41055</v>
      </c>
      <c r="U137" s="14">
        <v>50</v>
      </c>
      <c r="Y137" s="21">
        <f t="shared" ref="Y137" si="108">SUM(AE137:EB137)</f>
        <v>11944.632348883359</v>
      </c>
      <c r="Z137" s="149"/>
      <c r="AA137" s="149"/>
      <c r="AC137" s="9">
        <f>$Y137*(Voorblad!$K$44*(1+Voorblad!$K$44)^Voorblad!$K$41)/((1+Voorblad!$K$44)^Voorblad!$K$41-1)</f>
        <v>355.857127329104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11944.632348883359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204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160</v>
      </c>
      <c r="P139" s="14" t="s">
        <v>194</v>
      </c>
      <c r="Q139" s="81">
        <f>2*(8+99+8)</f>
        <v>230</v>
      </c>
      <c r="R139" s="1" t="s">
        <v>34</v>
      </c>
      <c r="S139" s="14">
        <f>$H$10*400</f>
        <v>952</v>
      </c>
      <c r="T139" s="9">
        <f t="shared" si="104"/>
        <v>218960</v>
      </c>
      <c r="U139" s="14">
        <v>50</v>
      </c>
      <c r="V139" s="14"/>
      <c r="Y139" s="9">
        <f t="shared" si="107"/>
        <v>63704.705860711241</v>
      </c>
      <c r="Z139" s="82"/>
      <c r="AA139" s="82"/>
      <c r="AC139" s="9">
        <f>$Y139*(Voorblad!$K$44*(1+Voorblad!$K$44)^Voorblad!$K$41)/((1+Voorblad!$K$44)^Voorblad!$K$41-1)</f>
        <v>1897.9046790885545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63704.705860711241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188</v>
      </c>
      <c r="P140" s="14" t="s">
        <v>194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192</v>
      </c>
      <c r="P141" s="14" t="s">
        <v>194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28</v>
      </c>
      <c r="R142" s="1" t="s">
        <v>75</v>
      </c>
      <c r="S142" s="14">
        <f>$H$10*1500</f>
        <v>3570</v>
      </c>
      <c r="T142" s="9">
        <f t="shared" si="104"/>
        <v>99960</v>
      </c>
      <c r="U142" s="14">
        <v>50</v>
      </c>
      <c r="V142" s="14"/>
      <c r="Y142" s="9">
        <f>SUM(AE142:EB142)</f>
        <v>29082.583110324696</v>
      </c>
      <c r="Z142" s="82"/>
      <c r="AA142" s="82"/>
      <c r="AC142" s="9">
        <f>$Y142*(Voorblad!$K$44*(1+Voorblad!$K$44)^Voorblad!$K$41)/((1+Voorblad!$K$44)^Voorblad!$K$41-1)</f>
        <v>866.43474480129657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29082.583110324696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195</v>
      </c>
      <c r="Q146" s="84">
        <f>2*99</f>
        <v>198</v>
      </c>
      <c r="R146" s="147" t="s">
        <v>196</v>
      </c>
      <c r="S146" s="14">
        <f>$H$10*500</f>
        <v>1190</v>
      </c>
      <c r="T146" s="9">
        <f t="shared" si="104"/>
        <v>235620</v>
      </c>
      <c r="U146" s="14">
        <v>50</v>
      </c>
      <c r="V146" s="14"/>
      <c r="Y146" s="9">
        <f>SUM(AE146:EB146)</f>
        <v>68551.803045765366</v>
      </c>
      <c r="Z146" s="82"/>
      <c r="AA146" s="82"/>
      <c r="AC146" s="229">
        <f>$Y146*(Voorblad!$K$44*(1+Voorblad!$K$44)^Voorblad!$K$41)/((1+Voorblad!$K$44)^Voorblad!$K$41-1)</f>
        <v>2042.3104698887707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68551.803045765366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269</v>
      </c>
      <c r="C147" s="2"/>
      <c r="D147" s="22"/>
      <c r="N147" s="6"/>
      <c r="S147" s="14"/>
      <c r="U147" s="14"/>
      <c r="V147" s="14"/>
      <c r="Y147" s="23">
        <f>SUM(Y127:Y146)</f>
        <v>290008.52514520643</v>
      </c>
      <c r="Z147" s="24"/>
      <c r="AA147" s="23">
        <f>SUM(AA127:AA146)</f>
        <v>0</v>
      </c>
      <c r="AC147" s="9">
        <f>$Y147*(Voorblad!$K$44*(1+Voorblad!$K$44)^Voorblad!$K$41)/((1+Voorblad!$K$44)^Voorblad!$K$41-1)</f>
        <v>8639.9980882434738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32621.118233507928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241835.52741145005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15551.879500248493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300</v>
      </c>
      <c r="Q149" s="83">
        <f>99*12.59</f>
        <v>1246.4100000000001</v>
      </c>
      <c r="R149" s="81" t="s">
        <v>35</v>
      </c>
      <c r="S149" s="81">
        <v>11020</v>
      </c>
      <c r="T149" s="21">
        <f>Q149*S149</f>
        <v>13735438.200000001</v>
      </c>
      <c r="U149" s="11">
        <v>1</v>
      </c>
      <c r="V149" s="14">
        <f>Voorblad!F24+100</f>
        <v>2102</v>
      </c>
      <c r="W149" s="9">
        <f>Voorblad!K77</f>
        <v>2102</v>
      </c>
      <c r="X149" s="6"/>
      <c r="Y149" s="9">
        <f t="shared" si="21"/>
        <v>2209410.8388789068</v>
      </c>
      <c r="Z149" s="82" t="s">
        <v>277</v>
      </c>
      <c r="AA149" s="82">
        <v>104</v>
      </c>
      <c r="AC149" s="9">
        <f>$Y149*(Voorblad!$K$44*(1+Voorblad!$K$44)^Voorblad!$K$41)/((1+Voorblad!$K$44)^Voorblad!$K$41-1)</f>
        <v>65823.256107730645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2209410.8388789068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274708.76400000002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549417.52800000005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961480.67400000012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270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13735438.200000001</v>
      </c>
      <c r="U154" s="14"/>
      <c r="V154" s="14"/>
      <c r="W154" s="14"/>
      <c r="X154" s="6"/>
      <c r="Y154" s="23">
        <f>SUM(Y149:Y153)</f>
        <v>2209410.8388789068</v>
      </c>
      <c r="Z154" s="24"/>
      <c r="AA154" s="23">
        <f>SUM(AA149:AA153)</f>
        <v>104</v>
      </c>
      <c r="AC154" s="9">
        <f>$Y154*(Voorblad!$K$44*(1+Voorblad!$K$44)^Voorblad!$K$41)/((1+Voorblad!$K$44)^Voorblad!$K$41-1)</f>
        <v>65823.256107730645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275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276</v>
      </c>
      <c r="K159" s="1" t="s">
        <v>111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276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276</v>
      </c>
      <c r="K161" s="1" t="s">
        <v>145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276</v>
      </c>
      <c r="K162" s="1" t="s">
        <v>215</v>
      </c>
      <c r="P162" s="1" t="s">
        <v>184</v>
      </c>
      <c r="Q162" s="83">
        <v>0</v>
      </c>
      <c r="R162" s="147" t="s">
        <v>196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276</v>
      </c>
      <c r="K163" s="14" t="s">
        <v>162</v>
      </c>
      <c r="O163" s="14" t="s">
        <v>158</v>
      </c>
      <c r="P163" s="14" t="s">
        <v>199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276</v>
      </c>
      <c r="K164" s="14" t="s">
        <v>197</v>
      </c>
      <c r="L164" s="14"/>
      <c r="M164" s="14"/>
      <c r="O164" s="1" t="s">
        <v>171</v>
      </c>
      <c r="P164" s="1" t="s">
        <v>174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276</v>
      </c>
      <c r="K165" s="14" t="s">
        <v>198</v>
      </c>
      <c r="L165" s="14"/>
      <c r="M165" s="14"/>
      <c r="O165" s="1" t="s">
        <v>172</v>
      </c>
      <c r="P165" s="1" t="s">
        <v>175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276</v>
      </c>
      <c r="K166" s="14" t="s">
        <v>211</v>
      </c>
      <c r="L166" s="14"/>
      <c r="M166" s="14"/>
      <c r="O166" s="1" t="s">
        <v>172</v>
      </c>
      <c r="P166" s="1" t="s">
        <v>175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276</v>
      </c>
      <c r="K167" s="14" t="s">
        <v>189</v>
      </c>
      <c r="L167" s="14"/>
      <c r="M167" s="14"/>
      <c r="O167" s="1" t="s">
        <v>173</v>
      </c>
      <c r="P167" s="1" t="s">
        <v>176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276</v>
      </c>
      <c r="K168" s="14" t="s">
        <v>205</v>
      </c>
      <c r="L168" s="14"/>
      <c r="M168" s="14"/>
      <c r="O168" s="1" t="s">
        <v>178</v>
      </c>
      <c r="P168" s="1" t="s">
        <v>180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276</v>
      </c>
      <c r="K169" s="14" t="s">
        <v>201</v>
      </c>
      <c r="L169" s="14"/>
      <c r="M169" s="14"/>
      <c r="O169" s="1" t="s">
        <v>178</v>
      </c>
      <c r="P169" s="1" t="s">
        <v>181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276</v>
      </c>
      <c r="K170" s="14" t="s">
        <v>200</v>
      </c>
      <c r="L170" s="14"/>
      <c r="M170" s="14"/>
      <c r="O170" s="1" t="s">
        <v>178</v>
      </c>
      <c r="P170" s="1" t="s">
        <v>182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276</v>
      </c>
      <c r="K171" s="14" t="s">
        <v>207</v>
      </c>
      <c r="L171" s="14"/>
      <c r="M171" s="14"/>
      <c r="O171" s="1" t="s">
        <v>178</v>
      </c>
      <c r="P171" s="1" t="s">
        <v>183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268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193</v>
      </c>
      <c r="K174" s="14" t="s">
        <v>213</v>
      </c>
      <c r="O174" s="1" t="s">
        <v>187</v>
      </c>
      <c r="P174" s="1" t="s">
        <v>180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193</v>
      </c>
      <c r="K175" s="1" t="s">
        <v>209</v>
      </c>
      <c r="O175" s="1" t="s">
        <v>187</v>
      </c>
      <c r="P175" s="1" t="s">
        <v>181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193</v>
      </c>
      <c r="K176" s="14" t="s">
        <v>210</v>
      </c>
      <c r="O176" s="1" t="s">
        <v>187</v>
      </c>
      <c r="P176" s="1" t="s">
        <v>182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193</v>
      </c>
      <c r="K177" s="14" t="s">
        <v>208</v>
      </c>
      <c r="O177" s="1" t="s">
        <v>187</v>
      </c>
      <c r="P177" s="1" t="s">
        <v>183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184</v>
      </c>
      <c r="Q178" s="83">
        <v>0</v>
      </c>
      <c r="R178" s="147" t="s">
        <v>196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161</v>
      </c>
      <c r="O179" s="14" t="s">
        <v>214</v>
      </c>
      <c r="P179" s="14" t="s">
        <v>217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204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216</v>
      </c>
      <c r="P181" s="14" t="s">
        <v>194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163</v>
      </c>
      <c r="P182" s="14" t="s">
        <v>194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192</v>
      </c>
      <c r="P183" s="14" t="s">
        <v>194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195</v>
      </c>
      <c r="Q184" s="81">
        <v>0</v>
      </c>
      <c r="R184" s="147" t="s">
        <v>196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269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2102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270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275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5538.9619080568518</v>
      </c>
      <c r="Z195" s="82"/>
      <c r="AA195" s="82"/>
      <c r="AC195" s="9">
        <f>$Y195*(Voorblad!$K$44*(1+Voorblad!$K$44)^Voorblad!$K$41)/((1+Voorblad!$K$44)^Voorblad!$K$41-1)</f>
        <v>165.01797756635932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276</v>
      </c>
      <c r="K196" s="1" t="s">
        <v>83</v>
      </c>
      <c r="O196" s="1" t="s">
        <v>134</v>
      </c>
      <c r="P196" s="1" t="s">
        <v>315</v>
      </c>
      <c r="Q196" s="84">
        <f>(2*((12.59*4.55)+(2*(5.55*5.55)/2)))+((4*4*5*(1*3.14))+(3*((2*(3.6+18)*2))))</f>
        <v>686.57400000000007</v>
      </c>
      <c r="R196" s="1" t="s">
        <v>35</v>
      </c>
      <c r="S196" s="21">
        <f>$H$20*15</f>
        <v>26.55</v>
      </c>
      <c r="T196" s="9">
        <f>Q196*S196</f>
        <v>18228.539700000001</v>
      </c>
      <c r="U196" s="14">
        <v>10</v>
      </c>
      <c r="V196" s="14"/>
      <c r="Y196" s="9">
        <f t="shared" si="199"/>
        <v>53526.685457001782</v>
      </c>
      <c r="Z196" s="82"/>
      <c r="AA196" s="82"/>
      <c r="AC196" s="9">
        <f>$Y196*(Voorblad!$K$44*(1+Voorblad!$K$44)^Voorblad!$K$41)/((1+Voorblad!$K$44)^Voorblad!$K$41-1)</f>
        <v>1594.678845344107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14240.106079433965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11124.348109658622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8690.3229635059288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6788.8664095712147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5303.4515886865074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4143.0479047116678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3236.5424014338769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276</v>
      </c>
      <c r="K197" s="1" t="s">
        <v>84</v>
      </c>
      <c r="O197" s="1" t="s">
        <v>133</v>
      </c>
      <c r="P197" s="1" t="s">
        <v>316</v>
      </c>
      <c r="Q197" s="84">
        <f>(2*((12.59*2.5)+(2*(5.55*5.55)/2)))+((1*4*2.5*(1*3.14)))</f>
        <v>155.95500000000001</v>
      </c>
      <c r="R197" s="1" t="s">
        <v>35</v>
      </c>
      <c r="S197" s="21">
        <f>$H$20*20</f>
        <v>35.4</v>
      </c>
      <c r="T197" s="1">
        <f>Q197*S197</f>
        <v>5520.8069999999998</v>
      </c>
      <c r="U197" s="14">
        <v>10</v>
      </c>
      <c r="V197" s="14"/>
      <c r="Y197" s="9">
        <f>SUM(AE197:EB197)</f>
        <v>16211.419270069868</v>
      </c>
      <c r="Z197" s="82"/>
      <c r="AA197" s="82"/>
      <c r="AC197" s="9">
        <f>$Y197*(Voorblad!$K$44*(1+Voorblad!$K$44)^Voorblad!$K$41)/((1+Voorblad!$K$44)^Voorblad!$K$41-1)</f>
        <v>482.9741864691257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4312.8456046362062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3369.1880932316308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2632.0043535458999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2056.1175943252124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1606.2357784470023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1254.7888229174773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980.23902296643962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276</v>
      </c>
      <c r="K198" s="1" t="s">
        <v>82</v>
      </c>
      <c r="O198" s="1" t="s">
        <v>218</v>
      </c>
      <c r="P198" s="1" t="s">
        <v>174</v>
      </c>
      <c r="Q198" s="84">
        <f>2.5%*Q196</f>
        <v>17.164350000000002</v>
      </c>
      <c r="R198" s="1" t="s">
        <v>35</v>
      </c>
      <c r="S198" s="14">
        <f>$H$20*500</f>
        <v>885</v>
      </c>
      <c r="T198" s="9">
        <f>Q198*S198</f>
        <v>15190.449750000002</v>
      </c>
      <c r="U198" s="14">
        <v>15</v>
      </c>
      <c r="V198" s="14"/>
      <c r="Y198" s="9">
        <f t="shared" si="199"/>
        <v>26183.265305539502</v>
      </c>
      <c r="Z198" s="82"/>
      <c r="AA198" s="82"/>
      <c r="AC198" s="229">
        <f>$Y198*(Voorblad!$K$44*(1+Voorblad!$K$44)^Voorblad!$K$41)/((1+Voorblad!$K$44)^Voorblad!$K$41-1)</f>
        <v>780.05762785960724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10488.482345268383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7241.9358029216073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5000.3072367564555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3452.5399205930562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101460.33194066801</v>
      </c>
      <c r="Z199" s="24"/>
      <c r="AA199" s="23">
        <f>SUM(AA195:AA198)</f>
        <v>0</v>
      </c>
      <c r="AC199" s="9">
        <f>$Y199*(Voorblad!$K$44*(1+Voorblad!$K$44)^Voorblad!$K$41)/((1+Voorblad!$K$44)^Voorblad!$K$41-1)</f>
        <v>3022.7286372391991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268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222</v>
      </c>
      <c r="P201" s="1" t="s">
        <v>223</v>
      </c>
      <c r="Q201" s="84">
        <f>5%*Q196</f>
        <v>34.328700000000005</v>
      </c>
      <c r="R201" s="1" t="s">
        <v>35</v>
      </c>
      <c r="S201" s="14">
        <f>$H$10*500</f>
        <v>1190</v>
      </c>
      <c r="T201" s="9">
        <f>Q201*S201</f>
        <v>40851.153000000006</v>
      </c>
      <c r="U201" s="14">
        <v>50</v>
      </c>
      <c r="V201" s="14"/>
      <c r="Y201" s="9">
        <f t="shared" si="199"/>
        <v>11885.324652611947</v>
      </c>
      <c r="Z201" s="82"/>
      <c r="AA201" s="82"/>
      <c r="AC201" s="229">
        <f>$Y201*(Voorblad!$K$44*(1+Voorblad!$K$44)^Voorblad!$K$41)/((1+Voorblad!$K$44)^Voorblad!$K$41-1)</f>
        <v>354.09021933166991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11885.324652611947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269</v>
      </c>
      <c r="C202" s="2"/>
      <c r="D202" s="15"/>
      <c r="S202" s="14"/>
      <c r="U202" s="14"/>
      <c r="V202" s="14"/>
      <c r="Y202" s="23">
        <f>SUM(Y201)</f>
        <v>11885.324652611947</v>
      </c>
      <c r="Z202" s="24"/>
      <c r="AA202" s="23">
        <f>SUM(AA201)</f>
        <v>0</v>
      </c>
      <c r="AC202" s="9">
        <f>$Y202*(Voorblad!$K$44*(1+Voorblad!$K$44)^Voorblad!$K$41)/((1+Voorblad!$K$44)^Voorblad!$K$41-1)</f>
        <v>354.09021933166991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Q204" s="83">
        <f>99*12.59</f>
        <v>1246.4100000000001</v>
      </c>
      <c r="R204" s="81" t="s">
        <v>35</v>
      </c>
      <c r="S204" s="81">
        <v>2300</v>
      </c>
      <c r="T204" s="9">
        <f>Q204*S204</f>
        <v>2866743</v>
      </c>
      <c r="U204" s="11">
        <v>1</v>
      </c>
      <c r="V204" s="14">
        <f>Voorblad!F25+100</f>
        <v>2102</v>
      </c>
      <c r="W204" s="9">
        <f>Voorblad!K85</f>
        <v>2102</v>
      </c>
      <c r="X204" s="6"/>
      <c r="Y204" s="9">
        <f t="shared" si="199"/>
        <v>461129.30394024367</v>
      </c>
      <c r="Z204" s="83" t="s">
        <v>277</v>
      </c>
      <c r="AA204" s="83">
        <v>104</v>
      </c>
      <c r="AC204" s="9">
        <f>$Y204*(Voorblad!$K$44*(1+Voorblad!$K$44)^Voorblad!$K$41)/((1+Voorblad!$K$44)^Voorblad!$K$41-1)</f>
        <v>13738.066156785886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461129.30394024367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57334.86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114669.72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200672.01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270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2866743</v>
      </c>
      <c r="U208" s="14"/>
      <c r="V208" s="14"/>
      <c r="W208" s="14"/>
      <c r="X208" s="6"/>
      <c r="Y208" s="23">
        <f>SUM(Y204:Y207)</f>
        <v>461129.30394024367</v>
      </c>
      <c r="Z208" s="24"/>
      <c r="AA208" s="23">
        <f>SUM(AA204:AA207)</f>
        <v>104</v>
      </c>
      <c r="AC208" s="9">
        <f>$Y208*(Voorblad!$K$44*(1+Voorblad!$K$44)^Voorblad!$K$41)/((1+Voorblad!$K$44)^Voorblad!$K$41-1)</f>
        <v>13738.066156785886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275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276</v>
      </c>
      <c r="K213" s="1" t="s">
        <v>87</v>
      </c>
      <c r="O213" s="1" t="s">
        <v>134</v>
      </c>
      <c r="Q213" s="84">
        <v>0</v>
      </c>
      <c r="R213" s="1" t="s">
        <v>35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276</v>
      </c>
      <c r="K214" s="1" t="s">
        <v>84</v>
      </c>
      <c r="O214" s="1" t="s">
        <v>133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276</v>
      </c>
      <c r="K215" s="1" t="s">
        <v>88</v>
      </c>
      <c r="O215" s="1" t="s">
        <v>218</v>
      </c>
      <c r="P215" s="1" t="s">
        <v>174</v>
      </c>
      <c r="Q215" s="84">
        <v>0</v>
      </c>
      <c r="R215" s="1" t="s">
        <v>35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T216" s="9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268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221</v>
      </c>
      <c r="O218" s="1" t="s">
        <v>219</v>
      </c>
      <c r="P218" s="1" t="s">
        <v>220</v>
      </c>
      <c r="Q218" s="84">
        <v>0</v>
      </c>
      <c r="R218" s="1" t="s">
        <v>35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269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4">
        <v>0</v>
      </c>
      <c r="R221" s="81" t="s">
        <v>33</v>
      </c>
      <c r="S221" s="81">
        <v>0</v>
      </c>
      <c r="T221" s="21">
        <f>Q221*S221</f>
        <v>0</v>
      </c>
      <c r="U221" s="11">
        <v>1</v>
      </c>
      <c r="V221" s="14">
        <f>Voorblad!F25+100</f>
        <v>2102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21">
        <f>2%*T221</f>
        <v>0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21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21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272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261</v>
      </c>
      <c r="P229" s="1" t="s">
        <v>319</v>
      </c>
      <c r="Q229" s="84">
        <f>2*115*0.035</f>
        <v>8.0500000000000007</v>
      </c>
      <c r="R229" s="1" t="s">
        <v>102</v>
      </c>
      <c r="S229" s="1">
        <v>-200</v>
      </c>
      <c r="T229" s="21">
        <f t="shared" ref="T229:T236" si="201">Q229*S229</f>
        <v>-1610.0000000000002</v>
      </c>
      <c r="U229" s="11">
        <v>1</v>
      </c>
      <c r="V229" s="14">
        <f>Voorblad!F24+100</f>
        <v>2102</v>
      </c>
      <c r="W229" s="9">
        <f>Voorblad!$K$77</f>
        <v>2102</v>
      </c>
      <c r="X229" s="6"/>
      <c r="Y229" s="9">
        <f t="shared" ref="Y229" si="202">SUM(AE229:EB229)</f>
        <v>-258.97618982371017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-258.97618982371017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262</v>
      </c>
      <c r="O230" s="1" t="s">
        <v>104</v>
      </c>
      <c r="P230" s="1" t="s">
        <v>317</v>
      </c>
      <c r="Q230" s="83">
        <f>2*1465</f>
        <v>2930</v>
      </c>
      <c r="R230" s="1" t="s">
        <v>102</v>
      </c>
      <c r="S230" s="1">
        <v>-50</v>
      </c>
      <c r="T230" s="21">
        <f t="shared" si="201"/>
        <v>-146500</v>
      </c>
      <c r="U230" s="11">
        <v>1</v>
      </c>
      <c r="V230" s="14">
        <f>Voorblad!F24+100</f>
        <v>2102</v>
      </c>
      <c r="W230" s="9">
        <f>Voorblad!$K$77</f>
        <v>2102</v>
      </c>
      <c r="X230" s="6"/>
      <c r="Y230" s="9">
        <f t="shared" ref="Y230" si="203">SUM(AE230:EB230)</f>
        <v>-23565.224726194745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-23565.224726194745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263</v>
      </c>
      <c r="O231" s="1" t="s">
        <v>103</v>
      </c>
      <c r="Q231" s="83">
        <f>0.5*Q230</f>
        <v>1465</v>
      </c>
      <c r="R231" s="1" t="s">
        <v>102</v>
      </c>
      <c r="S231" s="1">
        <v>-200</v>
      </c>
      <c r="T231" s="21">
        <f t="shared" si="201"/>
        <v>-293000</v>
      </c>
      <c r="U231" s="11">
        <v>1</v>
      </c>
      <c r="V231" s="14">
        <f>Voorblad!F24+100</f>
        <v>2102</v>
      </c>
      <c r="W231" s="9">
        <f>Voorblad!$K$77</f>
        <v>2102</v>
      </c>
      <c r="X231" s="6"/>
      <c r="Y231" s="9">
        <f t="shared" ref="Y231:Y234" si="204">SUM(AE231:EB231)</f>
        <v>-47130.44945238949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-47130.44945238949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264</v>
      </c>
      <c r="O232" s="1" t="s">
        <v>138</v>
      </c>
      <c r="P232" s="1" t="s">
        <v>318</v>
      </c>
      <c r="Q232" s="83">
        <f>2.3*1375</f>
        <v>3162.4999999999995</v>
      </c>
      <c r="R232" s="1" t="s">
        <v>102</v>
      </c>
      <c r="S232" s="1">
        <v>-50</v>
      </c>
      <c r="T232" s="21">
        <f t="shared" si="201"/>
        <v>-158124.99999999997</v>
      </c>
      <c r="U232" s="11">
        <v>1</v>
      </c>
      <c r="V232" s="14">
        <f>Voorblad!F24+100</f>
        <v>2102</v>
      </c>
      <c r="W232" s="9">
        <f>Voorblad!$K$77</f>
        <v>2102</v>
      </c>
      <c r="X232" s="6"/>
      <c r="Y232" s="9">
        <f t="shared" ref="Y232" si="205">SUM(AE232:EB232)</f>
        <v>-25435.161500542959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-25435.161500542959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265</v>
      </c>
      <c r="O233" s="1" t="s">
        <v>137</v>
      </c>
      <c r="Q233" s="83">
        <f>0.2*Q232</f>
        <v>632.5</v>
      </c>
      <c r="R233" s="1" t="s">
        <v>102</v>
      </c>
      <c r="S233" s="1">
        <v>-200</v>
      </c>
      <c r="T233" s="21">
        <f t="shared" si="201"/>
        <v>-126500</v>
      </c>
      <c r="U233" s="11">
        <v>1</v>
      </c>
      <c r="V233" s="14">
        <f>Voorblad!F24+100</f>
        <v>2102</v>
      </c>
      <c r="W233" s="9">
        <f>Voorblad!$K$77</f>
        <v>2102</v>
      </c>
      <c r="X233" s="6"/>
      <c r="Y233" s="9">
        <f t="shared" ref="Y233" si="206">SUM(AE233:EB233)</f>
        <v>-20348.12920043437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-20348.12920043437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266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2102</v>
      </c>
      <c r="W234" s="9">
        <f>Voorblad!$K$77</f>
        <v>2102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2102</v>
      </c>
      <c r="W235" s="9">
        <f>Voorblad!$K$77</f>
        <v>2102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102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2102</v>
      </c>
      <c r="W236" s="9">
        <f>Voorblad!$K$77</f>
        <v>2102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271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-725735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A9AB033-BCFC-4408-8924-9791BDB07677}"/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2019-12-10T08:19:24Z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