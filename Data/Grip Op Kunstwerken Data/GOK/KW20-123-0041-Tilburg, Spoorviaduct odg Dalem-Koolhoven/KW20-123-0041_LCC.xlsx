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EF4FBCE7-2A50-40B1-AC41-36F14B50D795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6" i="1" l="1"/>
  <c r="Q232" i="1"/>
  <c r="Q230" i="1"/>
  <c r="Q197" i="1"/>
  <c r="Q196" i="1"/>
  <c r="Q146" i="1"/>
  <c r="Q141" i="1"/>
  <c r="Q137" i="1"/>
  <c r="Q136" i="1"/>
  <c r="Q135" i="1"/>
  <c r="Q124" i="1"/>
  <c r="Q119" i="1"/>
  <c r="Q115" i="1"/>
  <c r="Q113" i="1"/>
  <c r="Q110" i="1"/>
  <c r="Q204" i="1"/>
  <c r="Q149" i="1"/>
  <c r="Q46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O63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3" i="1"/>
  <c r="HD232" i="1"/>
  <c r="DC232" i="1" s="1"/>
  <c r="HD233" i="1"/>
  <c r="HD93" i="1"/>
  <c r="DC93" i="1" s="1"/>
  <c r="DC236" i="1"/>
  <c r="DC229" i="1"/>
  <c r="HD229" i="1"/>
  <c r="HD235" i="1"/>
  <c r="DC235" i="1" s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0" i="1"/>
  <c r="HD218" i="1"/>
  <c r="DC218" i="1" s="1"/>
  <c r="HD234" i="1"/>
  <c r="DC234" i="1" s="1"/>
  <c r="HD231" i="1"/>
  <c r="DC231" i="1" s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<sst xmlns="http://schemas.openxmlformats.org/spreadsheetml/2006/main" count="1024" uniqueCount="317">
  <si>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</si>
  <si>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</si>
  <si>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</si>
  <si>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</si>
  <si>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</si>
  <si>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</si>
  <si>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</si>
  <si>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</si>
  <si>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</si>
  <si>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</si>
  <si>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</si>
  <si>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</si>
  <si>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</si>
  <si>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</si>
  <si>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</si>
  <si>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</si>
  <si>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</si>
  <si>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</si>
  <si>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</si>
  <si>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</si>
  <si>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</si>
  <si>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</si>
  <si>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</si>
  <si>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</si>
  <si>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</si>
  <si>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</si>
  <si>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</si>
  <si>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</si>
  <si>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</si>
  <si>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</si>
  <si>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</si>
  <si>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</si>
  <si>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</si>
  <si>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</si>
  <si>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</si>
  <si>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</si>
  <si>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</si>
  <si>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</si>
  <si>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</si>
  <si>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</si>
  <si>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</si>
  <si>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</si>
  <si>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</si>
  <si>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</si>
  <si>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</si>
  <si>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</si>
  <si>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</si>
  <si>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</si>
  <si>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</si>
  <si>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</si>
  <si>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</si>
  <si>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</si>
  <si>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</si>
  <si>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</si>
  <si>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</si>
  <si>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</si>
  <si>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</si>
  <si>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</si>
  <si>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</si>
  <si>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</si>
  <si>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</si>
  <si>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</si>
  <si>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</si>
  <si>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</si>
  <si>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</si>
  <si>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</si>
  <si>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</si>
  <si>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</si>
  <si>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</si>
  <si>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</si>
  <si>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</si>
  <si>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</si>
  <si>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</si>
  <si>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</si>
  <si>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</si>
  <si>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</si>
  <si>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</si>
  <si>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</si>
  <si>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</si>
  <si>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</si>
  <si>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</si>
  <si>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</si>
  <si>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</si>
  <si>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</si>
  <si>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</si>
  <si>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</si>
  <si>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</si>
  <si>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</si>
  <si>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</si>
  <si>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</si>
  <si>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</si>
  <si>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</si>
  <si>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</si>
  <si>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</si>
  <si>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</si>
  <si>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</si>
  <si>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</si>
  <si>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</si>
  <si>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</si>
  <si>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</si>
  <si>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</si>
  <si>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</si>
  <si>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</si>
  <si>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</si>
  <si>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</si>
  <si>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</si>
  <si>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</si>
  <si>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</si>
  <si>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</si>
  <si>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</si>
  <si>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</si>
  <si>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</si>
  <si>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</si>
  <si>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</si>
  <si>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</si>
  <si>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</si>
  <si>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</si>
  <si>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</si>
  <si>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</si>
  <si>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</si>
  <si>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</si>
  <si>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</si>
  <si>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</si>
  <si>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</si>
  <si>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</si>
  <si>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</si>
  <si>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</si>
  <si>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</si>
  <si>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</si>
  <si>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</si>
  <si>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</si>
  <si>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</si>
  <si>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</si>
  <si>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</si>
  <si>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</si>
  <si>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</si>
  <si>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</si>
  <si>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</si>
  <si>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</si>
  <si>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</si>
  <si>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</si>
  <si>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</si>
  <si>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</si>
  <si>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</si>
  <si>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</si>
  <si>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</si>
  <si>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</si>
  <si>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</si>
  <si>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</si>
  <si>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</si>
  <si>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</si>
  <si>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</si>
  <si>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</si>
  <si>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</si>
  <si>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</si>
  <si>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</si>
  <si>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</si>
  <si>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</si>
  <si>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</si>
  <si>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</si>
  <si>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</si>
  <si>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</si>
  <si>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</si>
  <si>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</si>
  <si>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</si>
  <si>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</si>
  <si>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</si>
  <si>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</si>
  <si>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</si>
  <si>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</si>
  <si>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</si>
  <si>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</si>
  <si>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</si>
  <si>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</si>
  <si>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</si>
  <si>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</si>
  <si>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</si>
  <si>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</si>
  <si>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</si>
  <si>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</si>
  <si>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</si>
  <si>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</si>
  <si>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</si>
  <si>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</si>
  <si>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</si>
  <si>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</si>
  <si>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</si>
  <si>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</si>
  <si>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</si>
  <si>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</si>
  <si>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</si>
  <si>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</si>
  <si>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</si>
  <si>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</si>
  <si>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</si>
  <si>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</si>
  <si>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</si>
  <si>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</si>
  <si>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</si>
  <si>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</si>
  <si>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</si>
  <si>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</si>
  <si>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</si>
  <si>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</si>
  <si>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</si>
  <si>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</si>
  <si>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</si>
  <si>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</si>
  <si>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</si>
  <si>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</si>
  <si>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</si>
  <si>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</si>
  <si>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</si>
  <si>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</si>
  <si>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</si>
  <si>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</si>
  <si>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</si>
  <si>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</si>
  <si>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</si>
  <si>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</si>
  <si>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</si>
  <si>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</si>
  <si>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</si>
  <si>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</si>
  <si>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</si>
  <si>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</si>
  <si>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</si>
  <si>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</si>
  <si>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</si>
  <si>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</si>
  <si>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</si>
  <si>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</si>
  <si>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</si>
  <si>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</si>
  <si>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</si>
  <si>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</si>
  <si>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</si>
  <si>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</si>
  <si>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</si>
  <si>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</si>
  <si>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</si>
  <si>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</si>
  <si>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</si>
  <si>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</si>
  <si>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</si>
  <si>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</si>
  <si>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</si>
  <si>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</si>
  <si>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</si>
  <si>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</si>
  <si>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</si>
  <si>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</si>
  <si>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</si>
  <si>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</si>
  <si>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</si>
  <si>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</si>
  <si>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</si>
  <si>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</si>
  <si>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</si>
  <si>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</si>
  <si>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</si>
  <si>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</si>
  <si>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</si>
  <si>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</si>
  <si>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</si>
  <si>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</si>
  <si>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</si>
  <si>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</si>
  <si>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</si>
  <si>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</si>
  <si>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</si>
  <si>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</si>
  <si>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</si>
  <si>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</si>
  <si>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</si>
  <si>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</si>
  <si>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</si>
  <si>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</si>
  <si>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</si>
  <si>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</si>
  <si>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</si>
  <si>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</si>
  <si>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</si>
  <si>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</si>
  <si>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</si>
  <si>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</si>
  <si>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</si>
  <si>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</si>
  <si>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</si>
  <si>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</si>
  <si>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</si>
  <si>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</si>
  <si>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</si>
  <si>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</si>
  <si>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</si>
  <si>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</si>
  <si>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</si>
  <si>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</si>
  <si>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</si>
  <si>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</si>
  <si>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</si>
  <si>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</si>
  <si>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</si>
  <si>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Tilburg</t>
  </si>
  <si>
    <t>Totaal kosten cat. 2 (advies IB tlv ProRail AM)</t>
  </si>
  <si>
    <t>Σ: van 2 landhfdn</t>
  </si>
  <si>
    <t xml:space="preserve">2 wanden landhfd + tunnelvloer </t>
  </si>
  <si>
    <t>(Constructie) staal geluidscherm</t>
  </si>
  <si>
    <t>1x52</t>
  </si>
  <si>
    <t>stijlen geluidscherm h=2,0m á 25 kg/m2 scherm</t>
  </si>
  <si>
    <t>10731865 + 10877256</t>
  </si>
  <si>
    <t>KW20-123-0041</t>
  </si>
  <si>
    <t>Onderdoorgang Dalem-Koolhoven</t>
  </si>
  <si>
    <t>Gewapend betonnen plaat (voorgespannen)</t>
  </si>
  <si>
    <t>nader inspecteren van de opleggingen en oplegvlakken i.v.m. niet zichtbaarheid</t>
  </si>
  <si>
    <t>spoordek+PV-paden: 137 m3</t>
  </si>
  <si>
    <t>Σ: 2 wanden landhfdn + vloer: 166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</si>
</sst>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166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P95" sqref="P95"/>
    </sheetView>
  </sheetViews>
  <sheetFormatPr defaultRowHeight="14.4" outlineLevelRow="1" x14ac:dyDescent="0.3"/>
  <cols>
    <col min="1" max="1" width="3.33203125" customWidth="1"/>
    <col min="2" max="3" width="5.6640625" customWidth="1"/>
    <col min="4" max="4" width="38.5546875" customWidth="1"/>
    <col min="5" max="5" width="9.88671875" customWidth="1"/>
    <col min="6" max="6" width="9.33203125" customWidth="1"/>
    <col min="7" max="7" width="14.6640625" customWidth="1"/>
    <col min="8" max="8" width="9.33203125" customWidth="1"/>
    <col min="9" max="9" width="1.44140625" customWidth="1"/>
    <col min="10" max="11" width="9.6640625" customWidth="1"/>
    <col min="12" max="13" width="11.664062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0" t="s">
        <v>148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2"/>
      <c r="P7" s="228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310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311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312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14.978999999999999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303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2005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2005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313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112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231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7" t="s">
        <v>144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  <c r="P35" s="229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0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0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0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77</v>
      </c>
      <c r="L41" s="42"/>
      <c r="M41" s="42"/>
      <c r="N41" s="43"/>
      <c r="O41" s="44"/>
      <c r="P41" s="230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2105</v>
      </c>
      <c r="L42" s="43"/>
      <c r="M42" s="43"/>
      <c r="N42" s="43"/>
      <c r="O42" s="44"/>
      <c r="P42" s="230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0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0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5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2" t="str">
        <f>'Berekening MJOP+LTP'!AA28</f>
        <v>TVP duur</v>
      </c>
      <c r="O48" s="130" t="s">
        <v>283</v>
      </c>
      <c r="P48" s="231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3"/>
      <c r="O49" s="252">
        <f>'Berekening MJOP+LTP'!AC33</f>
        <v>731.6641072480279</v>
      </c>
      <c r="P49" s="231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3"/>
      <c r="O50" s="252">
        <f>'Berekening MJOP+LTP'!AC36</f>
        <v>446.29381588570288</v>
      </c>
      <c r="P50" s="231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3">
        <f>'Berekening MJOP+LTP'!AC38</f>
        <v>530.50310089355912</v>
      </c>
      <c r="P51" s="232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nader inspecteren van de opleggingen en oplegvlakken i.v.m. niet zichtbaarheid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1000</v>
      </c>
      <c r="M52" s="64">
        <f>'Berekening MJOP+LTP'!Y39</f>
        <v>951.81439619274249</v>
      </c>
      <c r="N52" s="61">
        <f>'Berekening MJOP+LTP'!AA39</f>
        <v>0</v>
      </c>
      <c r="O52" s="253">
        <f>'Berekening MJOP+LTP'!AC39</f>
        <v>108.75313568317961</v>
      </c>
      <c r="P52" s="232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7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3">
        <f>'Berekening MJOP+LTP'!AC40</f>
        <v>0</v>
      </c>
      <c r="P53" s="232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3">
        <f>'Berekening MJOP+LTP'!AC41</f>
        <v>0</v>
      </c>
      <c r="P54" s="232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3">
        <f>'Berekening MJOP+LTP'!AC42</f>
        <v>0</v>
      </c>
      <c r="P55" s="232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3">
        <f>'Berekening MJOP+LTP'!AC43</f>
        <v>0</v>
      </c>
      <c r="P56" s="232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3">
        <f>'Berekening MJOP+LTP'!AC44</f>
        <v>0</v>
      </c>
      <c r="P57" s="232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4">
        <f>'Berekening MJOP+LTP'!AC45</f>
        <v>0</v>
      </c>
      <c r="P58" s="232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2105</v>
      </c>
      <c r="K59" s="159">
        <v>2105</v>
      </c>
      <c r="L59" s="156">
        <f>'Berekening MJOP+LTP'!T46</f>
        <v>1970465.3999999997</v>
      </c>
      <c r="M59" s="128">
        <f>'Berekening MJOP+LTP'!Y46</f>
        <v>0</v>
      </c>
      <c r="N59" s="129">
        <f>'Berekening MJOP+LTP'!AA46</f>
        <v>104</v>
      </c>
      <c r="O59" s="255">
        <f>'Berekening MJOP+LTP'!AC46</f>
        <v>0</v>
      </c>
      <c r="P59" s="233"/>
    </row>
    <row r="60" spans="2:16" x14ac:dyDescent="0.3">
      <c r="B60" s="206" t="s">
        <v>296</v>
      </c>
      <c r="C60" s="188"/>
      <c r="D60" s="207"/>
      <c r="E60" s="207"/>
      <c r="F60" s="188"/>
      <c r="G60" s="189" t="s">
        <v>150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4">
        <f t="shared" si="0"/>
        <v>0</v>
      </c>
      <c r="O60" s="256">
        <f t="shared" si="0"/>
        <v>731.6641072480279</v>
      </c>
      <c r="P60" s="234"/>
    </row>
    <row r="61" spans="2:16" x14ac:dyDescent="0.3">
      <c r="B61" s="210" t="s">
        <v>304</v>
      </c>
      <c r="C61" s="193"/>
      <c r="D61" s="211"/>
      <c r="E61" s="211"/>
      <c r="F61" s="193"/>
      <c r="G61" s="194" t="s">
        <v>150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5">
        <f t="shared" si="0"/>
        <v>0</v>
      </c>
      <c r="O61" s="257">
        <f t="shared" si="0"/>
        <v>446.29381588570288</v>
      </c>
      <c r="P61" s="234"/>
    </row>
    <row r="62" spans="2:16" x14ac:dyDescent="0.3">
      <c r="B62" s="210" t="s">
        <v>297</v>
      </c>
      <c r="C62" s="193"/>
      <c r="D62" s="211"/>
      <c r="E62" s="211"/>
      <c r="F62" s="193"/>
      <c r="G62" s="194" t="s">
        <v>150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6000</v>
      </c>
      <c r="M62" s="213">
        <f>SUMIF(B51:B58,2,M51:M58)</f>
        <v>5594.811450791487</v>
      </c>
      <c r="N62" s="245">
        <f>SUMIF(B51:B58,2,N51:N58)</f>
        <v>0</v>
      </c>
      <c r="O62" s="257">
        <f>SUMIF(B51:B58,2,O51:O58)</f>
        <v>639.25623657673873</v>
      </c>
      <c r="P62" s="234"/>
    </row>
    <row r="63" spans="2:16" x14ac:dyDescent="0.3">
      <c r="B63" s="210" t="s">
        <v>298</v>
      </c>
      <c r="C63" s="193"/>
      <c r="D63" s="211"/>
      <c r="E63" s="211"/>
      <c r="F63" s="193"/>
      <c r="G63" s="194" t="s">
        <v>150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0</v>
      </c>
      <c r="M63" s="213">
        <f>SUMIF(B51:B58,1,M51:M58)</f>
        <v>0</v>
      </c>
      <c r="N63" s="245">
        <f>SUMIF(B51:B58,1,N51:N58)</f>
        <v>0</v>
      </c>
      <c r="O63" s="257">
        <f>SUMIF(B51:B58,1,O51:O58)</f>
        <v>0</v>
      </c>
      <c r="P63" s="234"/>
    </row>
    <row r="64" spans="2:16" x14ac:dyDescent="0.3">
      <c r="B64" s="210" t="s">
        <v>275</v>
      </c>
      <c r="C64" s="193"/>
      <c r="D64" s="211"/>
      <c r="E64" s="211"/>
      <c r="F64" s="193"/>
      <c r="G64" s="194" t="s">
        <v>150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6000</v>
      </c>
      <c r="M64" s="213">
        <f>SUM(M51:M58)</f>
        <v>5594.811450791487</v>
      </c>
      <c r="N64" s="245">
        <f>SUM(N51:N58)</f>
        <v>0</v>
      </c>
      <c r="O64" s="257">
        <f>SUM(O51:O58)</f>
        <v>639.25623657673873</v>
      </c>
      <c r="P64" s="234"/>
    </row>
    <row r="65" spans="2:16" x14ac:dyDescent="0.3">
      <c r="B65" s="210" t="s">
        <v>299</v>
      </c>
      <c r="C65" s="193"/>
      <c r="D65" s="211"/>
      <c r="E65" s="211"/>
      <c r="F65" s="193"/>
      <c r="G65" s="204" t="s">
        <v>259</v>
      </c>
      <c r="H65" s="195"/>
      <c r="I65" s="212"/>
      <c r="J65" s="196"/>
      <c r="K65" s="223">
        <f>K59</f>
        <v>2105</v>
      </c>
      <c r="L65" s="213">
        <f>L59</f>
        <v>1970465.3999999997</v>
      </c>
      <c r="M65" s="213">
        <f>M59</f>
        <v>0</v>
      </c>
      <c r="N65" s="246">
        <f>N59</f>
        <v>104</v>
      </c>
      <c r="O65" s="257">
        <f>O59</f>
        <v>0</v>
      </c>
      <c r="P65" s="235"/>
    </row>
    <row r="66" spans="2:16" ht="15" thickBot="1" x14ac:dyDescent="0.35">
      <c r="B66" s="214" t="s">
        <v>276</v>
      </c>
      <c r="C66" s="198"/>
      <c r="D66" s="215"/>
      <c r="E66" s="215"/>
      <c r="F66" s="198"/>
      <c r="G66" s="199" t="s">
        <v>150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1987965.3999999997</v>
      </c>
      <c r="M66" s="217">
        <f>SUM(M49:M59)</f>
        <v>15904.374502051622</v>
      </c>
      <c r="N66" s="247">
        <f>SUM(N49:N59)</f>
        <v>104</v>
      </c>
      <c r="O66" s="258">
        <f>SUM(O49:O59)</f>
        <v>1817.2141597104694</v>
      </c>
      <c r="P66" s="235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6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8" t="s">
        <v>140</v>
      </c>
      <c r="O69" s="130" t="s">
        <v>283</v>
      </c>
      <c r="P69" s="237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59"/>
      <c r="P70" s="238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59">
        <f>'Berekening MJOP+LTP'!AC74</f>
        <v>0</v>
      </c>
      <c r="P71" s="232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59">
        <f>'Berekening MJOP+LTP'!AC95</f>
        <v>0</v>
      </c>
      <c r="P72" s="232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2105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59">
        <f>'Berekening MJOP+LTP'!AC105</f>
        <v>0</v>
      </c>
      <c r="P73" s="232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59">
        <f>'Berekening MJOP+LTP'!AA145</f>
        <v>0</v>
      </c>
      <c r="P74" s="232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74634.347001022499</v>
      </c>
      <c r="N75" s="61">
        <f>'Berekening MJOP+LTP'!AA125</f>
        <v>0</v>
      </c>
      <c r="O75" s="259">
        <f>'Berekening MJOP+LTP'!AC125</f>
        <v>2193.5011796047293</v>
      </c>
      <c r="P75" s="232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62300.301867850343</v>
      </c>
      <c r="N76" s="61">
        <f>'Berekening MJOP+LTP'!AA147</f>
        <v>0</v>
      </c>
      <c r="O76" s="259">
        <f>'Berekening MJOP+LTP'!AC147</f>
        <v>1831.0039697270779</v>
      </c>
      <c r="P76" s="232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2105</v>
      </c>
      <c r="K77" s="90">
        <v>2105</v>
      </c>
      <c r="L77" s="64">
        <f>'Berekening MJOP+LTP'!T154</f>
        <v>1299316.9499999997</v>
      </c>
      <c r="M77" s="64">
        <f>'Berekening MJOP+LTP'!Y154</f>
        <v>194078.51871630957</v>
      </c>
      <c r="N77" s="61">
        <f>'Berekening MJOP+LTP'!AA149</f>
        <v>52</v>
      </c>
      <c r="O77" s="259">
        <f>'Berekening MJOP+LTP'!AC154</f>
        <v>5703.9617394164543</v>
      </c>
      <c r="P77" s="232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59">
        <f>'Berekening MJOP+LTP'!AA196</f>
        <v>0</v>
      </c>
      <c r="P78" s="232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59">
        <f>'Berekening MJOP+LTP'!AC172</f>
        <v>0</v>
      </c>
      <c r="P79" s="232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59">
        <f>'Berekening MJOP+LTP'!AC185</f>
        <v>0</v>
      </c>
      <c r="P80" s="232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2105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59">
        <f>'Berekening MJOP+LTP'!AC191</f>
        <v>0</v>
      </c>
      <c r="P81" s="232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59"/>
      <c r="P82" s="232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19871.338910833972</v>
      </c>
      <c r="N83" s="61">
        <f>'Berekening MJOP+LTP'!AA199</f>
        <v>0</v>
      </c>
      <c r="O83" s="259">
        <f>'Berekening MJOP+LTP'!AC199</f>
        <v>584.01804387251502</v>
      </c>
      <c r="P83" s="232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1099.252397324773</v>
      </c>
      <c r="N84" s="61">
        <f>'Berekening MJOP+LTP'!AA202</f>
        <v>0</v>
      </c>
      <c r="O84" s="259">
        <f>'Berekening MJOP+LTP'!AC202</f>
        <v>32.306994394714565</v>
      </c>
      <c r="P84" s="232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2105</v>
      </c>
      <c r="K85" s="90">
        <v>2105</v>
      </c>
      <c r="L85" s="64">
        <f>'Berekening MJOP+LTP'!T208</f>
        <v>671148.45</v>
      </c>
      <c r="M85" s="64">
        <f>'Berekening MJOP+LTP'!Y208</f>
        <v>100249.20941325916</v>
      </c>
      <c r="N85" s="61">
        <f>'Berekening MJOP+LTP'!AA204</f>
        <v>52</v>
      </c>
      <c r="O85" s="259">
        <f>'Berekening MJOP+LTP'!AC208</f>
        <v>2946.3212038207134</v>
      </c>
      <c r="P85" s="232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59"/>
      <c r="P86" s="232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59">
        <f>'Berekening MJOP+LTP'!AC216</f>
        <v>0</v>
      </c>
      <c r="P87" s="232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59">
        <f>'Berekening MJOP+LTP'!AC219</f>
        <v>0</v>
      </c>
      <c r="P88" s="232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2105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59">
        <f>'Berekening MJOP+LTP'!AC225</f>
        <v>0</v>
      </c>
      <c r="P89" s="232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59"/>
      <c r="P90" s="238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-75818</v>
      </c>
      <c r="M91" s="64"/>
      <c r="N91" s="249"/>
      <c r="O91" s="260"/>
      <c r="P91" s="239"/>
      <c r="Q91" s="27"/>
    </row>
    <row r="92" spans="2:17" x14ac:dyDescent="0.3">
      <c r="B92" s="206" t="s">
        <v>300</v>
      </c>
      <c r="C92" s="207"/>
      <c r="D92" s="207"/>
      <c r="E92" s="207"/>
      <c r="F92" s="188"/>
      <c r="G92" s="203" t="s">
        <v>151</v>
      </c>
      <c r="H92" s="190">
        <f>F41</f>
        <v>2028</v>
      </c>
      <c r="I92" s="208" t="s">
        <v>29</v>
      </c>
      <c r="J92" s="191">
        <f>K42</f>
        <v>2105</v>
      </c>
      <c r="K92" s="218"/>
      <c r="L92" s="219"/>
      <c r="M92" s="219">
        <f t="shared" ref="M92:O94" si="1">M71+M75+M79+M83+M87</f>
        <v>94505.685911856475</v>
      </c>
      <c r="N92" s="265">
        <f t="shared" si="1"/>
        <v>0</v>
      </c>
      <c r="O92" s="261">
        <f t="shared" si="1"/>
        <v>2777.5192234772444</v>
      </c>
      <c r="P92" s="240"/>
    </row>
    <row r="93" spans="2:17" x14ac:dyDescent="0.3">
      <c r="B93" s="210" t="s">
        <v>301</v>
      </c>
      <c r="C93" s="211"/>
      <c r="D93" s="211"/>
      <c r="E93" s="211"/>
      <c r="F93" s="193"/>
      <c r="G93" s="204" t="s">
        <v>151</v>
      </c>
      <c r="H93" s="195">
        <f>F41</f>
        <v>2028</v>
      </c>
      <c r="I93" s="212" t="s">
        <v>29</v>
      </c>
      <c r="J93" s="196">
        <f>K42</f>
        <v>2105</v>
      </c>
      <c r="K93" s="220"/>
      <c r="L93" s="221"/>
      <c r="M93" s="221">
        <f t="shared" si="1"/>
        <v>63399.554265175117</v>
      </c>
      <c r="N93" s="250">
        <f t="shared" si="1"/>
        <v>0</v>
      </c>
      <c r="O93" s="262">
        <f t="shared" si="1"/>
        <v>1863.3109641217925</v>
      </c>
      <c r="P93" s="241"/>
    </row>
    <row r="94" spans="2:17" x14ac:dyDescent="0.3">
      <c r="B94" s="210" t="s">
        <v>299</v>
      </c>
      <c r="C94" s="211"/>
      <c r="D94" s="211"/>
      <c r="E94" s="211"/>
      <c r="F94" s="193"/>
      <c r="G94" s="204" t="s">
        <v>259</v>
      </c>
      <c r="H94" s="195"/>
      <c r="I94" s="212"/>
      <c r="J94" s="196"/>
      <c r="K94" s="224">
        <f>K59</f>
        <v>2105</v>
      </c>
      <c r="L94" s="221">
        <f>L73+L77+L81+L85+L89</f>
        <v>1970465.3999999997</v>
      </c>
      <c r="M94" s="221">
        <f t="shared" si="1"/>
        <v>294327.72812956874</v>
      </c>
      <c r="N94" s="250">
        <f t="shared" si="1"/>
        <v>104</v>
      </c>
      <c r="O94" s="262">
        <f t="shared" si="1"/>
        <v>8650.2829432371673</v>
      </c>
      <c r="P94" s="241"/>
    </row>
    <row r="95" spans="2:17" ht="15" thickBot="1" x14ac:dyDescent="0.35">
      <c r="B95" s="214" t="s">
        <v>302</v>
      </c>
      <c r="C95" s="215"/>
      <c r="D95" s="215"/>
      <c r="E95" s="215"/>
      <c r="F95" s="198"/>
      <c r="G95" s="205" t="s">
        <v>259</v>
      </c>
      <c r="H95" s="200"/>
      <c r="I95" s="216"/>
      <c r="J95" s="201"/>
      <c r="K95" s="225">
        <f>K59</f>
        <v>2105</v>
      </c>
      <c r="L95" s="222">
        <f>L91</f>
        <v>-75818</v>
      </c>
      <c r="M95" s="222"/>
      <c r="N95" s="251"/>
      <c r="O95" s="263"/>
      <c r="P95" s="241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4" t="str">
        <f>'Berekening MJOP+LTP'!K229</f>
        <v>(Constructie) staal spoordek</v>
      </c>
      <c r="D100" s="180"/>
      <c r="E100" s="61">
        <f>'Berekening MJOP+LTP'!Q229</f>
        <v>0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274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57">
        <f>'Berekening MJOP+LTP'!Q231</f>
        <v>137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61">
        <f>'Berekening MJOP+LTP'!Q232</f>
        <v>381.79999999999995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76.36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 t="str">
        <f>'Berekening MJOP+LTP'!K236</f>
        <v>(Constructie) staal geluidscherm</v>
      </c>
      <c r="D107" s="181"/>
      <c r="E107" s="266">
        <f>'Berekening MJOP+LTP'!Q236</f>
        <v>1.7800000000000002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Normal="100" zoomScaleSheetLayoutView="90" workbookViewId="0">
      <pane ySplit="2" topLeftCell="A3" activePane="bottomLeft" state="frozen"/>
      <selection pane="bottomLeft" activeCell="O241" sqref="O241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6640625" style="1" customWidth="1"/>
    <col min="8" max="8" width="5" style="1" customWidth="1"/>
    <col min="9" max="9" width="5.664062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3320312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6640625" style="1" customWidth="1"/>
    <col min="22" max="22" width="8.88671875" style="1" customWidth="1"/>
    <col min="23" max="23" width="7.664062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33203125" style="1" customWidth="1"/>
    <col min="28" max="28" width="3.44140625" style="1" customWidth="1"/>
    <col min="29" max="29" width="8.6640625" style="1" customWidth="1"/>
    <col min="30" max="30" width="3.6640625" style="1" customWidth="1"/>
    <col min="31" max="32" width="7.6640625" style="1" customWidth="1"/>
    <col min="33" max="33" width="8.33203125" style="1" customWidth="1"/>
    <col min="34" max="40" width="7.6640625" style="1" customWidth="1" outlineLevel="1"/>
    <col min="41" max="41" width="9.33203125" style="1" customWidth="1" outlineLevel="1"/>
    <col min="42" max="46" width="7.664062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3" t="s">
        <v>254</v>
      </c>
      <c r="C24" s="274"/>
      <c r="D24" s="274"/>
      <c r="E24" s="274"/>
      <c r="F24" s="274"/>
      <c r="G24" s="274"/>
      <c r="H24" s="274"/>
      <c r="I24" s="275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278</v>
      </c>
      <c r="K32" s="1" t="s">
        <v>149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7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4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7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277</v>
      </c>
      <c r="J39" s="76"/>
      <c r="K39" s="76" t="s">
        <v>314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1000</v>
      </c>
      <c r="T39" s="9">
        <f t="shared" si="4"/>
        <v>1000</v>
      </c>
      <c r="U39" s="11">
        <v>1</v>
      </c>
      <c r="V39" s="14"/>
      <c r="W39" s="9">
        <f>Voorblad!K52</f>
        <v>2020</v>
      </c>
      <c r="Y39" s="9">
        <f t="shared" ref="Y39:Y45" si="5">SUM(AE39:EB39)</f>
        <v>951.81439619274249</v>
      </c>
      <c r="Z39" s="82"/>
      <c r="AA39" s="82"/>
      <c r="AC39" s="9">
        <f>$Y39*(Voorblad!$K$44*(1+Voorblad!$K$44)^Voorblad!$K$37)/((1+Voorblad!$K$44)^Voorblad!$K$37-1)</f>
        <v>108.75313568317961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951.81439619274249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229</v>
      </c>
      <c r="P46" s="14" t="s">
        <v>279</v>
      </c>
      <c r="Q46" s="83">
        <f>11.85*13.95</f>
        <v>165.30749999999998</v>
      </c>
      <c r="R46" s="81" t="s">
        <v>35</v>
      </c>
      <c r="S46" s="81">
        <v>11920</v>
      </c>
      <c r="T46" s="9">
        <f t="shared" si="4"/>
        <v>1970465.3999999997</v>
      </c>
      <c r="U46" s="11">
        <v>1</v>
      </c>
      <c r="V46" s="1">
        <f>Voorblad!F24+100</f>
        <v>2105</v>
      </c>
      <c r="W46" s="9">
        <f>Voorblad!K59</f>
        <v>2105</v>
      </c>
      <c r="X46" s="6"/>
      <c r="Y46" s="9">
        <f>SUM(AE46:EB46)</f>
        <v>0</v>
      </c>
      <c r="Z46" s="82" t="s">
        <v>280</v>
      </c>
      <c r="AA46" s="82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6" t="s">
        <v>72</v>
      </c>
      <c r="C52" s="277"/>
      <c r="D52" s="278"/>
      <c r="E52" s="278"/>
      <c r="F52" s="278"/>
      <c r="G52" s="278"/>
      <c r="H52" s="278"/>
      <c r="I52" s="278"/>
      <c r="J52" s="278"/>
      <c r="K52" s="279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109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2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94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7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7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2105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1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1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1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1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1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1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1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7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1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166.87172869052199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113</v>
      </c>
      <c r="O110" s="1" t="s">
        <v>226</v>
      </c>
      <c r="P110" s="14" t="s">
        <v>227</v>
      </c>
      <c r="Q110" s="83">
        <f>50%*((2*11.85*13.95)+(2*(11.85+13.95)*1.7))</f>
        <v>209.16749999999996</v>
      </c>
      <c r="R110" s="1" t="s">
        <v>35</v>
      </c>
      <c r="S110" s="21">
        <f>$H$20*15</f>
        <v>26.55</v>
      </c>
      <c r="T110" s="9">
        <f t="shared" si="20"/>
        <v>5553.3971249999995</v>
      </c>
      <c r="U110" s="14">
        <v>10</v>
      </c>
      <c r="V110" s="14"/>
      <c r="Y110" s="9">
        <f t="shared" si="21"/>
        <v>16307.117630914392</v>
      </c>
      <c r="Z110" s="82"/>
      <c r="AA110" s="82"/>
      <c r="AC110" s="9">
        <f>$Y110*(Voorblad!$K$44*(1+Voorblad!$K$44)^Voorblad!$K$41)/((1+Voorblad!$K$44)^Voorblad!$K$41-1)</f>
        <v>479.26568927941105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4338.3049581982477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3389.0768995432677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2647.5414572487834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2068.2551549053514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1615.7176213730563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1262.196023456725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986.02551618896189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2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159</v>
      </c>
      <c r="P113" s="1" t="s">
        <v>184</v>
      </c>
      <c r="Q113" s="83">
        <f>2*13.95</f>
        <v>27.9</v>
      </c>
      <c r="R113" s="147" t="s">
        <v>196</v>
      </c>
      <c r="S113" s="21">
        <f>$H$20*350</f>
        <v>619.5</v>
      </c>
      <c r="T113" s="9">
        <f t="shared" si="20"/>
        <v>17284.05</v>
      </c>
      <c r="U113" s="14">
        <v>15</v>
      </c>
      <c r="V113" s="14"/>
      <c r="Y113" s="9">
        <f>SUM(AE113:EB113)</f>
        <v>32504.345066395268</v>
      </c>
      <c r="Z113" s="82"/>
      <c r="AA113" s="82"/>
      <c r="AC113" s="9">
        <f>$Y113*(Voorblad!$K$44*(1+Voorblad!$K$44)^Voorblad!$K$41)/((1+Voorblad!$K$44)^Voorblad!$K$41-1)</f>
        <v>955.30170907022716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11934.041207682872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8240.0444078021592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5689.4668504110878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3928.3808969860429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2712.4117035131021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162</v>
      </c>
      <c r="O115" s="14" t="s">
        <v>158</v>
      </c>
      <c r="P115" s="14" t="s">
        <v>199</v>
      </c>
      <c r="Q115" s="84">
        <f>2.5%*2*17.8</f>
        <v>0.89000000000000012</v>
      </c>
      <c r="R115" s="14" t="s">
        <v>34</v>
      </c>
      <c r="S115" s="21">
        <f>$H$20*1000</f>
        <v>1770</v>
      </c>
      <c r="T115" s="21">
        <f t="shared" si="20"/>
        <v>1575.3000000000002</v>
      </c>
      <c r="U115" s="14">
        <v>15</v>
      </c>
      <c r="Y115" s="21">
        <f t="shared" si="22"/>
        <v>2962.5055923289078</v>
      </c>
      <c r="Z115" s="149"/>
      <c r="AA115" s="149"/>
      <c r="AC115" s="9">
        <f>$Y115*(Voorblad!$K$44*(1+Voorblad!$K$44)^Voorblad!$K$41)/((1+Voorblad!$K$44)^Voorblad!$K$41-1)</f>
        <v>87.067948906554221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1087.6903916884544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751.01275196558345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518.54843797909564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358.03983597722259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247.21417471855213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198</v>
      </c>
      <c r="L117" s="14"/>
      <c r="M117" s="14"/>
      <c r="O117" s="1" t="s">
        <v>172</v>
      </c>
      <c r="P117" s="1" t="s">
        <v>175</v>
      </c>
      <c r="Q117" s="83">
        <v>0</v>
      </c>
      <c r="R117" s="1" t="s">
        <v>34</v>
      </c>
      <c r="S117" s="14">
        <f>$H$20*500</f>
        <v>885</v>
      </c>
      <c r="T117" s="9">
        <f t="shared" si="20"/>
        <v>0</v>
      </c>
      <c r="U117" s="14">
        <v>15</v>
      </c>
      <c r="V117" s="14"/>
      <c r="Y117" s="9">
        <f t="shared" si="22"/>
        <v>0</v>
      </c>
      <c r="Z117" s="82"/>
      <c r="AA117" s="82"/>
      <c r="AC117" s="9">
        <f>$Y117*(Voorblad!$K$44*(1+Voorblad!$K$44)^Voorblad!$K$41)/((1+Voorblad!$K$44)^Voorblad!$K$41-1)</f>
        <v>0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0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f>2.5%*2*17.8*2</f>
        <v>1.7800000000000002</v>
      </c>
      <c r="R119" s="1" t="s">
        <v>35</v>
      </c>
      <c r="S119" s="14">
        <f>$H$20*500</f>
        <v>885</v>
      </c>
      <c r="T119" s="9">
        <f t="shared" si="20"/>
        <v>1575.3000000000002</v>
      </c>
      <c r="U119" s="14">
        <v>15</v>
      </c>
      <c r="V119" s="14"/>
      <c r="Y119" s="9">
        <f t="shared" si="22"/>
        <v>2962.5055923289078</v>
      </c>
      <c r="Z119" s="82"/>
      <c r="AA119" s="82"/>
      <c r="AC119" s="9">
        <f>$Y119*(Voorblad!$K$44*(1+Voorblad!$K$44)^Voorblad!$K$41)/((1+Voorblad!$K$44)^Voorblad!$K$41-1)</f>
        <v>87.067948906554221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1087.6903916884544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751.01275196558345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518.54843797909564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358.03983597722259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247.21417471855213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v>0</v>
      </c>
      <c r="R122" s="1" t="s">
        <v>34</v>
      </c>
      <c r="S122" s="14">
        <f>$H$20*100</f>
        <v>177</v>
      </c>
      <c r="T122" s="9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f>2*17.8*2</f>
        <v>71.2</v>
      </c>
      <c r="R124" s="1" t="s">
        <v>35</v>
      </c>
      <c r="S124" s="21">
        <f>$H$20*0.6*100</f>
        <v>106.2</v>
      </c>
      <c r="T124" s="9">
        <f t="shared" si="20"/>
        <v>7561.4400000000005</v>
      </c>
      <c r="U124" s="14">
        <v>15</v>
      </c>
      <c r="V124" s="14"/>
      <c r="Y124" s="9">
        <f t="shared" si="23"/>
        <v>14220.026843178759</v>
      </c>
      <c r="Z124" s="82"/>
      <c r="AA124" s="82"/>
      <c r="AC124" s="227">
        <f>$Y124*(Voorblad!$K$44*(1+Voorblad!$K$44)^Voorblad!$K$41)/((1+Voorblad!$K$44)^Voorblad!$K$41-1)</f>
        <v>417.92615475146033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5220.913880104581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3604.8612094348005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2489.032502299659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1718.5912126906683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1186.62803864905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74634.347001022499</v>
      </c>
      <c r="Z125" s="24"/>
      <c r="AA125" s="23">
        <f>SUM(AA109:AA124)</f>
        <v>0</v>
      </c>
      <c r="AC125" s="9">
        <f>$Y125*(Voorblad!$K$44*(1+Voorblad!$K$44)^Voorblad!$K$41)/((1+Voorblad!$K$44)^Voorblad!$K$41-1)</f>
        <v>2193.5011796047293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5029.6655437255158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19941.397888966865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3929.1666839733325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16416.38985480207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2397.8562568779098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9506.9155758482066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1873.201475441057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7826.3937803559838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1143.1604305819662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4532.3524594186674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f>2*17.8*2</f>
        <v>71.2</v>
      </c>
      <c r="R135" s="1" t="s">
        <v>35</v>
      </c>
      <c r="S135" s="21">
        <f>$H$10*0.6*125</f>
        <v>178.5</v>
      </c>
      <c r="T135" s="9">
        <f t="shared" si="104"/>
        <v>12709.2</v>
      </c>
      <c r="U135" s="14">
        <v>30</v>
      </c>
      <c r="V135" s="14"/>
      <c r="Y135" s="9">
        <f t="shared" si="107"/>
        <v>8947.6107095046718</v>
      </c>
      <c r="Z135" s="82"/>
      <c r="AA135" s="82"/>
      <c r="AC135" s="9">
        <f>$Y135*(Voorblad!$K$44*(1+Voorblad!$K$44)^Voorblad!$K$41)/((1+Voorblad!$K$44)^Voorblad!$K$41-1)</f>
        <v>262.97000556156155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6059.0181345019946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2888.5925750026768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2*13.95</f>
        <v>27.9</v>
      </c>
      <c r="R136" s="147" t="s">
        <v>196</v>
      </c>
      <c r="S136" s="14">
        <f>$H$10*500</f>
        <v>1190</v>
      </c>
      <c r="T136" s="9">
        <f t="shared" si="104"/>
        <v>33201</v>
      </c>
      <c r="U136" s="14">
        <v>50</v>
      </c>
      <c r="V136" s="14"/>
      <c r="Y136" s="9">
        <f>SUM(AE136:EB136)</f>
        <v>9659.5722473578462</v>
      </c>
      <c r="Z136" s="82"/>
      <c r="AA136" s="82"/>
      <c r="AC136" s="9">
        <f>$Y136*(Voorblad!$K$44*(1+Voorblad!$K$44)^Voorblad!$K$41)/((1+Voorblad!$K$44)^Voorblad!$K$41-1)</f>
        <v>283.89453342127126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9659.5722473578462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7.5%*2*17.8</f>
        <v>2.67</v>
      </c>
      <c r="R137" s="14" t="s">
        <v>34</v>
      </c>
      <c r="S137" s="21">
        <f>$H$10*1000</f>
        <v>2380</v>
      </c>
      <c r="T137" s="21">
        <f t="shared" si="104"/>
        <v>6354.5999999999995</v>
      </c>
      <c r="U137" s="14">
        <v>50</v>
      </c>
      <c r="Y137" s="21">
        <f t="shared" ref="Y137" si="108">SUM(AE137:EB137)</f>
        <v>1848.8213548706412</v>
      </c>
      <c r="Z137" s="149"/>
      <c r="AA137" s="149"/>
      <c r="AC137" s="9">
        <f>$Y137*(Voorblad!$K$44*(1+Voorblad!$K$44)^Voorblad!$K$41)/((1+Voorblad!$K$44)^Voorblad!$K$41-1)</f>
        <v>54.336803170952983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1848.8213548706412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v>0</v>
      </c>
      <c r="R139" s="1" t="s">
        <v>34</v>
      </c>
      <c r="S139" s="14">
        <f>$H$10*400</f>
        <v>952</v>
      </c>
      <c r="T139" s="9">
        <f t="shared" si="104"/>
        <v>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f>2*17.8*2</f>
        <v>71.2</v>
      </c>
      <c r="R141" s="1" t="s">
        <v>35</v>
      </c>
      <c r="S141" s="14">
        <f>$H$10*400</f>
        <v>952</v>
      </c>
      <c r="T141" s="9">
        <f t="shared" si="104"/>
        <v>67782.400000000009</v>
      </c>
      <c r="U141" s="14">
        <v>50</v>
      </c>
      <c r="V141" s="14"/>
      <c r="Y141" s="9">
        <f t="shared" si="107"/>
        <v>19720.761118620179</v>
      </c>
      <c r="Z141" s="82"/>
      <c r="AA141" s="82"/>
      <c r="AC141" s="9">
        <f>$Y141*(Voorblad!$K$44*(1+Voorblad!$K$44)^Voorblad!$K$41)/((1+Voorblad!$K$44)^Voorblad!$K$41-1)</f>
        <v>579.59256715683205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19720.761118620179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12</v>
      </c>
      <c r="R142" s="1" t="s">
        <v>75</v>
      </c>
      <c r="S142" s="14">
        <f>$H$10*1500</f>
        <v>3570</v>
      </c>
      <c r="T142" s="1">
        <f t="shared" si="104"/>
        <v>42840</v>
      </c>
      <c r="U142" s="14">
        <v>50</v>
      </c>
      <c r="V142" s="14"/>
      <c r="Y142" s="9">
        <f>SUM(AE142:EB142)</f>
        <v>12463.964190139157</v>
      </c>
      <c r="Z142" s="82"/>
      <c r="AA142" s="82"/>
      <c r="AC142" s="9">
        <f>$Y142*(Voorblad!$K$44*(1+Voorblad!$K$44)^Voorblad!$K$41)/((1+Voorblad!$K$44)^Voorblad!$K$41-1)</f>
        <v>366.31552699518875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12463.964190139157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3">
        <f>2*13.95</f>
        <v>27.9</v>
      </c>
      <c r="R146" s="147" t="s">
        <v>196</v>
      </c>
      <c r="S146" s="14">
        <f>$H$10*500</f>
        <v>1190</v>
      </c>
      <c r="T146" s="1">
        <f t="shared" si="104"/>
        <v>33201</v>
      </c>
      <c r="U146" s="14">
        <v>50</v>
      </c>
      <c r="V146" s="14"/>
      <c r="Y146" s="9">
        <f>SUM(AE146:EB146)</f>
        <v>9659.5722473578462</v>
      </c>
      <c r="Z146" s="82"/>
      <c r="AA146" s="82"/>
      <c r="AC146" s="227">
        <f>$Y146*(Voorblad!$K$44*(1+Voorblad!$K$44)^Voorblad!$K$41)/((1+Voorblad!$K$44)^Voorblad!$K$41-1)</f>
        <v>283.89453342127126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9659.5722473578462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62300.301867850343</v>
      </c>
      <c r="Z147" s="24"/>
      <c r="AA147" s="23">
        <f>SUM(AA127:AA146)</f>
        <v>0</v>
      </c>
      <c r="AC147" s="9">
        <f>$Y147*(Voorblad!$K$44*(1+Voorblad!$K$44)^Voorblad!$K$41)/((1+Voorblad!$K$44)^Voorblad!$K$41-1)</f>
        <v>1831.0039697270779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6059.0181345019946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53352.691158345668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2888.5925750026768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230</v>
      </c>
      <c r="Q149" s="83">
        <f>11.85*13.95</f>
        <v>165.30749999999998</v>
      </c>
      <c r="R149" s="81" t="s">
        <v>35</v>
      </c>
      <c r="S149" s="81">
        <v>7860</v>
      </c>
      <c r="T149" s="21">
        <f>Q149*S149</f>
        <v>1299316.9499999997</v>
      </c>
      <c r="U149" s="11">
        <v>1</v>
      </c>
      <c r="V149" s="14">
        <f>Voorblad!F24+100</f>
        <v>2105</v>
      </c>
      <c r="W149" s="9">
        <f>Voorblad!K77</f>
        <v>2105</v>
      </c>
      <c r="X149" s="6"/>
      <c r="Y149" s="9">
        <f t="shared" si="21"/>
        <v>194078.51871630957</v>
      </c>
      <c r="Z149" s="82" t="s">
        <v>308</v>
      </c>
      <c r="AA149" s="82">
        <v>52</v>
      </c>
      <c r="AC149" s="9">
        <f>$Y149*(Voorblad!$K$44*(1+Voorblad!$K$44)^Voorblad!$K$41)/((1+Voorblad!$K$44)^Voorblad!$K$41-1)</f>
        <v>5703.9617394164543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194078.51871630957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1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1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25986.338999999996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1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51972.677999999993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1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90952.186499999996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7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1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1299316.9499999997</v>
      </c>
      <c r="U154" s="14"/>
      <c r="V154" s="14"/>
      <c r="W154" s="14"/>
      <c r="X154" s="6"/>
      <c r="Y154" s="23">
        <f>SUM(Y149:Y153)</f>
        <v>194078.51871630957</v>
      </c>
      <c r="Z154" s="24"/>
      <c r="AA154" s="23">
        <f>SUM(AA149:AA153)</f>
        <v>52</v>
      </c>
      <c r="AC154" s="9">
        <f>$Y154*(Voorblad!$K$44*(1+Voorblad!$K$44)^Voorblad!$K$41)/((1+Voorblad!$K$44)^Voorblad!$K$41-1)</f>
        <v>5703.9617394164543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110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2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7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7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2105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1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1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1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7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1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166.87172869052199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134</v>
      </c>
      <c r="P196" s="1" t="s">
        <v>305</v>
      </c>
      <c r="Q196" s="84">
        <f>2*2.5*12.7</f>
        <v>63.5</v>
      </c>
      <c r="R196" s="1" t="s">
        <v>35</v>
      </c>
      <c r="S196" s="21">
        <f>$H$20*15</f>
        <v>26.55</v>
      </c>
      <c r="T196" s="9">
        <f>Q196*S196</f>
        <v>1685.925</v>
      </c>
      <c r="U196" s="14">
        <v>10</v>
      </c>
      <c r="V196" s="14"/>
      <c r="Y196" s="9">
        <f t="shared" si="199"/>
        <v>4950.5873023441218</v>
      </c>
      <c r="Z196" s="82"/>
      <c r="AA196" s="82"/>
      <c r="AC196" s="9">
        <f>$Y196*(Voorblad!$K$44*(1+Voorblad!$K$44)^Voorblad!$K$41)/((1+Voorblad!$K$44)^Voorblad!$K$41-1)</f>
        <v>145.49760966327275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1317.0419154294464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1028.8710393392735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803.75241151372825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627.89009925772325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490.50674199954148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383.18308288573536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299.34201191867328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133</v>
      </c>
      <c r="Q197" s="84">
        <f>2*2.5*12.7</f>
        <v>63.5</v>
      </c>
      <c r="R197" s="1" t="s">
        <v>35</v>
      </c>
      <c r="S197" s="21">
        <f>$H$20*20</f>
        <v>35.4</v>
      </c>
      <c r="T197" s="1">
        <f>Q197*S197</f>
        <v>2247.9</v>
      </c>
      <c r="U197" s="14">
        <v>10</v>
      </c>
      <c r="V197" s="14"/>
      <c r="Y197" s="9">
        <f>SUM(AE197:EB197)</f>
        <v>6600.7830697921618</v>
      </c>
      <c r="Z197" s="82"/>
      <c r="AA197" s="82"/>
      <c r="AC197" s="9">
        <f>$Y197*(Voorblad!$K$44*(1+Voorblad!$K$44)^Voorblad!$K$41)/((1+Voorblad!$K$44)^Voorblad!$K$41-1)</f>
        <v>193.99681288436366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1756.0558872392619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1371.8280524523648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1071.6698820183044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837.1867990102977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654.00898933272197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510.91077718098052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399.12268255823102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218</v>
      </c>
      <c r="P198" s="1" t="s">
        <v>174</v>
      </c>
      <c r="Q198" s="84">
        <f>2.5%*Q196</f>
        <v>1.5875000000000001</v>
      </c>
      <c r="R198" s="1" t="s">
        <v>35</v>
      </c>
      <c r="S198" s="14">
        <f>$H$20*500</f>
        <v>885</v>
      </c>
      <c r="T198" s="9">
        <f>Q198*S198</f>
        <v>1404.9375000000002</v>
      </c>
      <c r="U198" s="14">
        <v>15</v>
      </c>
      <c r="V198" s="14"/>
      <c r="Y198" s="9">
        <f t="shared" si="199"/>
        <v>2642.1222628214277</v>
      </c>
      <c r="Z198" s="82"/>
      <c r="AA198" s="82"/>
      <c r="AC198" s="227">
        <f>$Y198*(Voorblad!$K$44*(1+Voorblad!$K$44)^Voorblad!$K$41)/((1+Voorblad!$K$44)^Voorblad!$K$41-1)</f>
        <v>77.651892634356656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970.06095326147272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669.79367626144028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462.46946364708674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319.31923573811287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220.47893391331544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19871.338910833972</v>
      </c>
      <c r="Z199" s="24"/>
      <c r="AA199" s="23">
        <f>SUM(AA195:AA198)</f>
        <v>0</v>
      </c>
      <c r="AC199" s="9">
        <f>$Y199*(Voorblad!$K$44*(1+Voorblad!$K$44)^Voorblad!$K$41)/((1+Voorblad!$K$44)^Voorblad!$K$41-1)</f>
        <v>584.01804387251502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3.1750000000000003</v>
      </c>
      <c r="R201" s="1" t="s">
        <v>35</v>
      </c>
      <c r="S201" s="14">
        <f>$H$10*500</f>
        <v>1190</v>
      </c>
      <c r="T201" s="9">
        <f>Q201*S201</f>
        <v>3778.2500000000005</v>
      </c>
      <c r="U201" s="14">
        <v>50</v>
      </c>
      <c r="V201" s="14"/>
      <c r="Y201" s="9">
        <f t="shared" si="199"/>
        <v>1099.252397324773</v>
      </c>
      <c r="Z201" s="82"/>
      <c r="AA201" s="82"/>
      <c r="AC201" s="227">
        <f>$Y201*(Voorblad!$K$44*(1+Voorblad!$K$44)^Voorblad!$K$41)/((1+Voorblad!$K$44)^Voorblad!$K$41-1)</f>
        <v>32.306994394714565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1099.252397324773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1099.252397324773</v>
      </c>
      <c r="Z202" s="24"/>
      <c r="AA202" s="23">
        <f>SUM(AA201)</f>
        <v>0</v>
      </c>
      <c r="AC202" s="9">
        <f>$Y202*(Voorblad!$K$44*(1+Voorblad!$K$44)^Voorblad!$K$41)/((1+Voorblad!$K$44)^Voorblad!$K$41-1)</f>
        <v>32.306994394714565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306</v>
      </c>
      <c r="Q204" s="83">
        <f>11.85*13.95</f>
        <v>165.30749999999998</v>
      </c>
      <c r="R204" s="81" t="s">
        <v>35</v>
      </c>
      <c r="S204" s="81">
        <v>4060</v>
      </c>
      <c r="T204" s="9">
        <f>Q204*S204</f>
        <v>671148.45</v>
      </c>
      <c r="U204" s="11">
        <v>1</v>
      </c>
      <c r="V204" s="14">
        <f>Voorblad!F25+100</f>
        <v>2105</v>
      </c>
      <c r="W204" s="9">
        <f>Voorblad!K85</f>
        <v>2105</v>
      </c>
      <c r="X204" s="6"/>
      <c r="Y204" s="9">
        <f t="shared" si="199"/>
        <v>100249.20941325916</v>
      </c>
      <c r="Z204" s="82" t="s">
        <v>308</v>
      </c>
      <c r="AA204" s="82">
        <v>52</v>
      </c>
      <c r="AC204" s="9">
        <f>$Y204*(Voorblad!$K$44*(1+Voorblad!$K$44)^Voorblad!$K$41)/((1+Voorblad!$K$44)^Voorblad!$K$41-1)</f>
        <v>2946.3212038207134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100249.20941325916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1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13422.968999999999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1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26845.937999999998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1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46980.391499999998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7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1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671148.45</v>
      </c>
      <c r="U208" s="14"/>
      <c r="V208" s="14"/>
      <c r="W208" s="14"/>
      <c r="X208" s="6"/>
      <c r="Y208" s="23">
        <f>SUM(Y204:Y207)</f>
        <v>100249.20941325916</v>
      </c>
      <c r="Z208" s="24"/>
      <c r="AA208" s="23">
        <f>SUM(AA204:AA207)</f>
        <v>52</v>
      </c>
      <c r="AC208" s="9">
        <f>$Y208*(Voorblad!$K$44*(1+Voorblad!$K$44)^Voorblad!$K$41)/((1+Voorblad!$K$44)^Voorblad!$K$41-1)</f>
        <v>2946.3212038207134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218</v>
      </c>
      <c r="P215" s="1" t="s">
        <v>174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7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7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2105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1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1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1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7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1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Q229" s="84">
        <v>0</v>
      </c>
      <c r="R229" s="1" t="s">
        <v>101</v>
      </c>
      <c r="S229" s="1">
        <v>-200</v>
      </c>
      <c r="T229" s="21">
        <f t="shared" ref="T229:T236" si="201">Q229*S229</f>
        <v>0</v>
      </c>
      <c r="U229" s="11">
        <v>1</v>
      </c>
      <c r="V229" s="14">
        <f>Voorblad!F24+100</f>
        <v>2105</v>
      </c>
      <c r="W229" s="9">
        <f>Voorblad!$K$77</f>
        <v>2105</v>
      </c>
      <c r="X229" s="6"/>
      <c r="Y229" s="9">
        <f t="shared" ref="Y229" si="202">SUM(AE229:EB229)</f>
        <v>0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1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103</v>
      </c>
      <c r="P230" s="1" t="s">
        <v>315</v>
      </c>
      <c r="Q230" s="83">
        <f>2*137</f>
        <v>274</v>
      </c>
      <c r="R230" s="1" t="s">
        <v>101</v>
      </c>
      <c r="S230" s="1">
        <v>-50</v>
      </c>
      <c r="T230" s="21">
        <f t="shared" si="201"/>
        <v>-13700</v>
      </c>
      <c r="U230" s="11">
        <v>1</v>
      </c>
      <c r="V230" s="14">
        <f>Voorblad!F24+100</f>
        <v>2105</v>
      </c>
      <c r="W230" s="9">
        <f>Voorblad!$K$77</f>
        <v>2105</v>
      </c>
      <c r="X230" s="6"/>
      <c r="Y230" s="9">
        <f t="shared" ref="Y230" si="203">SUM(AE230:EB230)</f>
        <v>-2046.3642119141457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-2046.3642119141457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1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102</v>
      </c>
      <c r="Q231" s="83">
        <f>0.5*Q230</f>
        <v>137</v>
      </c>
      <c r="R231" s="1" t="s">
        <v>101</v>
      </c>
      <c r="S231" s="1">
        <v>-200</v>
      </c>
      <c r="T231" s="21">
        <f t="shared" si="201"/>
        <v>-27400</v>
      </c>
      <c r="U231" s="11">
        <v>1</v>
      </c>
      <c r="V231" s="14">
        <f>Voorblad!F24+100</f>
        <v>2105</v>
      </c>
      <c r="W231" s="9">
        <f>Voorblad!$K$77</f>
        <v>2105</v>
      </c>
      <c r="X231" s="6"/>
      <c r="Y231" s="9">
        <f t="shared" ref="Y231:Y234" si="204">SUM(AE231:EB231)</f>
        <v>-4092.7284238282914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-4092.7284238282914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1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138</v>
      </c>
      <c r="P232" s="1" t="s">
        <v>316</v>
      </c>
      <c r="Q232" s="83">
        <f>2.3*166</f>
        <v>381.79999999999995</v>
      </c>
      <c r="R232" s="1" t="s">
        <v>101</v>
      </c>
      <c r="S232" s="1">
        <v>-50</v>
      </c>
      <c r="T232" s="21">
        <f t="shared" si="201"/>
        <v>-19089.999999999996</v>
      </c>
      <c r="U232" s="11">
        <v>1</v>
      </c>
      <c r="V232" s="14">
        <f>Voorblad!F24+100</f>
        <v>2105</v>
      </c>
      <c r="W232" s="9">
        <f>Voorblad!$K$77</f>
        <v>2105</v>
      </c>
      <c r="X232" s="6"/>
      <c r="Y232" s="9">
        <f t="shared" ref="Y232" si="205">SUM(AE232:EB232)</f>
        <v>-2851.4666281343821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-2851.4666281343821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1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137</v>
      </c>
      <c r="Q233" s="83">
        <f>0.2*Q232</f>
        <v>76.36</v>
      </c>
      <c r="R233" s="1" t="s">
        <v>101</v>
      </c>
      <c r="S233" s="1">
        <v>-200</v>
      </c>
      <c r="T233" s="21">
        <f t="shared" si="201"/>
        <v>-15272</v>
      </c>
      <c r="U233" s="11">
        <v>1</v>
      </c>
      <c r="V233" s="14">
        <f>Voorblad!F24+100</f>
        <v>2105</v>
      </c>
      <c r="W233" s="9">
        <f>Voorblad!$K$77</f>
        <v>2105</v>
      </c>
      <c r="X233" s="6"/>
      <c r="Y233" s="9">
        <f t="shared" ref="Y233" si="206">SUM(AE233:EB233)</f>
        <v>-2281.1733025075064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-2281.1733025075064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1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2105</v>
      </c>
      <c r="W234" s="9">
        <f>Voorblad!$K$77</f>
        <v>2105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1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2105</v>
      </c>
      <c r="W235" s="9">
        <f>Voorblad!$K$77</f>
        <v>2105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1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307</v>
      </c>
      <c r="P236" s="1" t="s">
        <v>309</v>
      </c>
      <c r="Q236" s="84">
        <f>2*17.8*2*0.025</f>
        <v>1.7800000000000002</v>
      </c>
      <c r="R236" s="81" t="s">
        <v>101</v>
      </c>
      <c r="S236" s="81">
        <v>-200</v>
      </c>
      <c r="T236" s="14">
        <f t="shared" si="201"/>
        <v>-356.00000000000006</v>
      </c>
      <c r="U236" s="11">
        <v>1</v>
      </c>
      <c r="V236" s="14">
        <f>Voorblad!F24+100</f>
        <v>2105</v>
      </c>
      <c r="W236" s="9">
        <f>Voorblad!$K$77</f>
        <v>2105</v>
      </c>
      <c r="X236" s="6"/>
      <c r="Y236" s="9">
        <f t="shared" ref="Y236" si="208">SUM(AE236:EB236)</f>
        <v>-53.175595579666862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-53.175595579666862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1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-75818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2981C-14F1-4CE7-8F8B-96320B6757DA}"/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e75ed97-d5d0-480f-8c5e-5314c0bb5094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2019-12-12T08:50:17Z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