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6A32C869-7897-4C68-8C62-AF30C56CD611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Q236" i="1"/>
  <c r="N61" i="2" l="1"/>
  <c r="N60" i="2"/>
  <c r="J61" i="2"/>
  <c r="H61" i="2"/>
  <c r="Q233" i="1" l="1"/>
  <c r="Q232" i="1"/>
  <c r="Q230" i="1"/>
  <c r="Q231" i="1" s="1"/>
  <c r="Q204" i="1"/>
  <c r="Q198" i="1"/>
  <c r="Q197" i="1"/>
  <c r="Q196" i="1"/>
  <c r="Q201" i="1" s="1"/>
  <c r="AA46" i="1"/>
  <c r="W149" i="1"/>
  <c r="W46" i="1"/>
  <c r="Q119" i="1"/>
  <c r="Q117" i="1"/>
  <c r="Q149" i="1"/>
  <c r="Q146" i="1"/>
  <c r="Q141" i="1"/>
  <c r="Q139" i="1"/>
  <c r="Q137" i="1"/>
  <c r="Q136" i="1"/>
  <c r="Q135" i="1"/>
  <c r="Q133" i="1"/>
  <c r="Q115" i="1"/>
  <c r="Q113" i="1"/>
  <c r="Q110" i="1"/>
  <c r="Q46" i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92" i="2" s="1"/>
  <c r="N76" i="2"/>
  <c r="AA125" i="1"/>
  <c r="N75" i="2" s="1"/>
  <c r="B75" i="2"/>
  <c r="D76" i="2"/>
  <c r="D75" i="2"/>
  <c r="B71" i="2"/>
  <c r="D72" i="2"/>
  <c r="D71" i="2"/>
  <c r="L60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6" i="2" l="1"/>
  <c r="N64" i="2"/>
  <c r="N63" i="2"/>
  <c r="N62" i="2"/>
  <c r="N9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6" i="2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M62" i="2" l="1"/>
  <c r="O62" i="2"/>
  <c r="AE39" i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3" i="2" l="1"/>
  <c r="M64" i="2"/>
  <c r="O64" i="2"/>
  <c r="O63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6" i="2" l="1"/>
  <c r="O60" i="2"/>
  <c r="M66" i="2"/>
  <c r="M6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Alberti RH (Ron)</author>
  </authors>
  <commentList>
    <comment ref="Q117" authorId="0" shapeId="0" xr:uid="{B4C78449-69EF-4C33-A191-807BAECE937E}">
      <text>
        <r>
          <rPr>
            <b/>
            <sz val="9"/>
            <color indexed="81"/>
            <rFont val="Tahoma"/>
            <family val="2"/>
          </rPr>
          <t>Alberti RH (Ron):</t>
        </r>
        <r>
          <rPr>
            <sz val="9"/>
            <color indexed="81"/>
            <rFont val="Tahoma"/>
            <family val="2"/>
          </rPr>
          <t xml:space="preserve">
stijlenhekwerk aan zuidzijde lg 40m
</t>
        </r>
      </text>
    </comment>
    <comment ref="Q119" authorId="0" shapeId="0" xr:uid="{4BCCBD41-17B3-4EF2-AA07-1CD0BB1501D8}">
      <text>
        <r>
          <rPr>
            <b/>
            <sz val="9"/>
            <color indexed="81"/>
            <rFont val="Tahoma"/>
            <family val="2"/>
          </rPr>
          <t>Alberti RH (Ron):</t>
        </r>
        <r>
          <rPr>
            <sz val="9"/>
            <color indexed="81"/>
            <rFont val="Tahoma"/>
            <family val="2"/>
          </rPr>
          <t xml:space="preserve">
geluidscherm h=1,0m aan noordzijde lg 50m</t>
        </r>
      </text>
    </comment>
  </commentList>
</comments>
</file>

<file path=xl/sharedStrings.xml><?xml version="1.0" encoding="utf-8"?>
<sst xmlns="http://schemas.openxmlformats.org/spreadsheetml/2006/main" count="1032" uniqueCount="321">
  <si>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</si>
  <si>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</si>
  <si>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</si>
  <si>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</si>
  <si>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</si>
  <si>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</si>
  <si>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</si>
  <si>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</si>
  <si>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</si>
  <si>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</si>
  <si>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</si>
  <si>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</si>
  <si>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</si>
  <si>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</si>
  <si>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</si>
  <si>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</si>
  <si>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</si>
  <si>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</si>
  <si>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</si>
  <si>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</si>
  <si>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</si>
  <si>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</si>
  <si>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</si>
  <si>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</si>
  <si>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</si>
  <si>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</si>
  <si>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</si>
  <si>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</si>
  <si>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</si>
  <si>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</si>
  <si>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</si>
  <si>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</si>
  <si>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</si>
  <si>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</si>
  <si>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</si>
  <si>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</si>
  <si>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</si>
  <si>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</si>
  <si>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</si>
  <si>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</si>
  <si>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</si>
  <si>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</si>
  <si>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</si>
  <si>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</si>
  <si>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</si>
  <si>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</si>
  <si>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</si>
  <si>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</si>
  <si>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</si>
  <si>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</si>
  <si>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</si>
  <si>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</si>
  <si>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</si>
  <si>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</si>
  <si>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</si>
  <si>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</si>
  <si>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</si>
  <si>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</si>
  <si>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</si>
  <si>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</si>
  <si>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</si>
  <si>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</si>
  <si>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</si>
  <si>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</si>
  <si>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</si>
  <si>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</si>
  <si>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</si>
  <si>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</si>
  <si>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</si>
  <si>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</si>
  <si>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</si>
  <si>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</si>
  <si>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</si>
  <si>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</si>
  <si>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</si>
  <si>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</si>
  <si>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</si>
  <si>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</si>
  <si>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</si>
  <si>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</si>
  <si>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</si>
  <si>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</si>
  <si>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</si>
  <si>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</si>
  <si>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</si>
  <si>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</si>
  <si>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</si>
  <si>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</si>
  <si>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</si>
  <si>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</si>
  <si>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</si>
  <si>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</si>
  <si>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</si>
  <si>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</si>
  <si>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</si>
  <si>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</si>
  <si>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</si>
  <si>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</si>
  <si>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</si>
  <si>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</si>
  <si>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</si>
  <si>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</si>
  <si>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</si>
  <si>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</si>
  <si>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</si>
  <si>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</si>
  <si>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</si>
  <si>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</si>
  <si>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</si>
  <si>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</si>
  <si>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</si>
  <si>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</si>
  <si>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</si>
  <si>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Gewapend beton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</si>
  <si>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</si>
  <si>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</si>
  <si>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</si>
  <si>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</si>
  <si>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</si>
  <si>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</si>
  <si>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</si>
  <si>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</si>
  <si>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</si>
  <si>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</si>
  <si>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</si>
  <si>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</si>
  <si>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</si>
  <si>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</si>
  <si>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</si>
  <si>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</si>
  <si>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</si>
  <si>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</si>
  <si>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</si>
  <si>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</si>
  <si>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</si>
  <si>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</si>
  <si>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</si>
  <si>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</si>
  <si>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</si>
  <si>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</si>
  <si>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</si>
  <si>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</si>
  <si>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</si>
  <si>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</si>
  <si>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</si>
  <si>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</si>
  <si>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</si>
  <si>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</si>
  <si>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</si>
  <si>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</si>
  <si>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</si>
  <si>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</si>
  <si>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</si>
  <si>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</si>
  <si>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</si>
  <si>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</si>
  <si>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</si>
  <si>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</si>
  <si>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</si>
  <si>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</si>
  <si>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</si>
  <si>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</si>
  <si>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</si>
  <si>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</si>
  <si>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</si>
  <si>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</si>
  <si>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</si>
  <si>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</si>
  <si>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</si>
  <si>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</si>
  <si>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</si>
  <si>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</si>
  <si>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</si>
  <si>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</si>
  <si>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</si>
  <si>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</si>
  <si>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</si>
  <si>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</si>
  <si>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</si>
  <si>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</si>
  <si>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</si>
  <si>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</si>
  <si>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</si>
  <si>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</si>
  <si>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</si>
  <si>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</si>
  <si>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</si>
  <si>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</si>
  <si>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</si>
  <si>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</si>
  <si>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</si>
  <si>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</si>
  <si>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</si>
  <si>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</si>
  <si>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</si>
  <si>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</si>
  <si>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</si>
  <si>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</si>
  <si>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</si>
  <si>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</si>
  <si>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</si>
  <si>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</si>
  <si>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</si>
  <si>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</si>
  <si>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</si>
  <si>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</si>
  <si>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</si>
  <si>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</si>
  <si>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</si>
  <si>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</si>
  <si>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</si>
  <si>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</si>
  <si>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</si>
  <si>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</si>
  <si>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</si>
  <si>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</si>
  <si>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</si>
  <si>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</si>
  <si>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</si>
  <si>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</si>
  <si>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</si>
  <si>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</si>
  <si>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</si>
  <si>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</si>
  <si>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</si>
  <si>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</si>
  <si>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</si>
  <si>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</si>
  <si>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</si>
  <si>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</si>
  <si>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</si>
  <si>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</si>
  <si>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2 landhfd + 3 tussenstpnt+ tunnelvloer 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</si>
  <si>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</si>
  <si>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</si>
  <si>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</si>
  <si>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</si>
  <si>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</si>
  <si>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</si>
  <si>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</si>
  <si>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</si>
  <si>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</si>
  <si>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</si>
  <si>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</si>
  <si>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</si>
  <si>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</si>
  <si>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</si>
  <si>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</si>
  <si>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</si>
  <si>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</si>
  <si>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</si>
  <si>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</si>
  <si>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</si>
  <si>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</si>
  <si>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</si>
  <si>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</si>
  <si>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</si>
  <si>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</si>
  <si>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</si>
  <si>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</si>
  <si>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</si>
  <si>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</si>
  <si>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</si>
  <si>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</si>
  <si>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</si>
  <si>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</si>
  <si>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</si>
  <si>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</si>
  <si>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</si>
  <si>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</si>
  <si>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</si>
  <si>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</si>
  <si>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</si>
  <si>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</si>
  <si>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</si>
  <si>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</si>
  <si>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</si>
  <si>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</si>
  <si>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</si>
  <si>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Breda</t>
  </si>
  <si>
    <t>insp</t>
  </si>
  <si>
    <t>ko</t>
  </si>
  <si>
    <t>vervanging gesloten deel tunnel BxL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</si>
  <si>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</si>
  <si>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</si>
  <si>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</si>
  <si>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</si>
  <si>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</si>
  <si>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</si>
  <si>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</si>
  <si>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</si>
  <si>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</si>
  <si>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</si>
  <si>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</si>
  <si>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</si>
  <si>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</si>
  <si>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</si>
  <si>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</si>
  <si>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</si>
  <si>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</si>
  <si>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</si>
  <si>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</si>
  <si>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</si>
  <si>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</si>
  <si>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</si>
  <si>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KW20-544-0010</t>
  </si>
  <si>
    <t>Soorviaduct Terheijdenstraat</t>
  </si>
  <si>
    <t>ja</t>
  </si>
  <si>
    <t>pve/pp</t>
  </si>
  <si>
    <t>leuning vervangen door hoger spijlenhekwerk, ophogen wanden kabelgoten, nieuwe voetpadplaten</t>
  </si>
  <si>
    <t>beheersing functioneren van de waterhuishouding</t>
  </si>
  <si>
    <t>plaatsen hoogtebeperkingsborden</t>
  </si>
  <si>
    <t>3x52</t>
  </si>
  <si>
    <t>6x52</t>
  </si>
  <si>
    <t>Σ: van 2 landhfdn (wand) + 3 tussenstnpntn (kolomrij)</t>
  </si>
  <si>
    <t>spoordek+PV-paden: 1250 m3</t>
  </si>
  <si>
    <t>Σ: 2 landhfdn + 3 tussenstnpntn + vloer: 2520 m3</t>
  </si>
  <si>
    <t>Totaal kosten cat. 2 (advies IB tlv ProRail AM)</t>
  </si>
  <si>
    <t>leuning 40 m1 á 35 kg/m1</t>
  </si>
  <si>
    <t>stijlen geluidscherm h=1,0m, 50 m1 á 25 kg/m1</t>
  </si>
  <si>
    <t>(Constructie) staal geluidscherm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</si>
</sst>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3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topLeftCell="A13" zoomScale="70" zoomScaleNormal="90" zoomScaleSheetLayoutView="70" workbookViewId="0">
      <selection activeCell="R27" sqref="R27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247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149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3">
      <c r="B8" s="110" t="s">
        <v>127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115</v>
      </c>
      <c r="C9" s="93"/>
      <c r="D9" s="94"/>
      <c r="E9" s="94"/>
      <c r="F9" s="137" t="s">
        <v>121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116</v>
      </c>
      <c r="C10" s="93"/>
      <c r="D10" s="94"/>
      <c r="E10" s="94"/>
      <c r="F10" s="138" t="s">
        <v>122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117</v>
      </c>
      <c r="C11" s="93"/>
      <c r="D11" s="94"/>
      <c r="E11" s="94"/>
      <c r="F11" s="138" t="s">
        <v>123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118</v>
      </c>
      <c r="C12" s="93"/>
      <c r="D12" s="94"/>
      <c r="E12" s="94"/>
      <c r="F12" s="137" t="s">
        <v>124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119</v>
      </c>
      <c r="C13" s="93"/>
      <c r="D13" s="94"/>
      <c r="E13" s="94"/>
      <c r="F13" s="139">
        <v>43794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120</v>
      </c>
      <c r="C14" s="96"/>
      <c r="D14" s="97"/>
      <c r="E14" s="97"/>
      <c r="F14" s="140" t="s">
        <v>125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126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128</v>
      </c>
      <c r="C17" s="99"/>
      <c r="D17" s="94"/>
      <c r="E17" s="94"/>
      <c r="F17" s="141">
        <v>10592911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305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306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129</v>
      </c>
      <c r="C21" s="99"/>
      <c r="D21" s="94"/>
      <c r="E21" s="94"/>
      <c r="F21" s="142">
        <v>544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130</v>
      </c>
      <c r="C22" s="99"/>
      <c r="D22" s="94"/>
      <c r="E22" s="94"/>
      <c r="F22" s="141">
        <v>0.92800000000000005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279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1962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1962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93</v>
      </c>
      <c r="C26" s="99"/>
      <c r="D26" s="94"/>
      <c r="E26" s="94"/>
      <c r="F26" s="141" t="s">
        <v>112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94</v>
      </c>
      <c r="C28" s="99"/>
      <c r="D28" s="94"/>
      <c r="E28" s="94"/>
      <c r="F28" s="141" t="s">
        <v>113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43429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>
        <v>43013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>
        <v>43013</v>
      </c>
      <c r="G32" s="38"/>
      <c r="H32" s="38"/>
      <c r="I32" s="38"/>
      <c r="J32" s="161" t="s">
        <v>226</v>
      </c>
      <c r="K32" s="162">
        <v>2017</v>
      </c>
      <c r="L32" s="31"/>
      <c r="M32" s="31"/>
      <c r="N32" s="31"/>
      <c r="O32" s="32"/>
      <c r="P32" s="86"/>
    </row>
    <row r="33" spans="2:16" ht="15" thickBot="1" x14ac:dyDescent="0.35">
      <c r="B33" s="100" t="s">
        <v>229</v>
      </c>
      <c r="C33" s="101"/>
      <c r="D33" s="97"/>
      <c r="E33" s="97"/>
      <c r="F33" s="144" t="s">
        <v>233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145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3">
      <c r="B36" s="110" t="s">
        <v>248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132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131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249</v>
      </c>
      <c r="C41" s="41"/>
      <c r="D41" s="40"/>
      <c r="E41" s="40"/>
      <c r="F41" s="102">
        <v>2028</v>
      </c>
      <c r="G41" s="41"/>
      <c r="H41" s="131" t="s">
        <v>250</v>
      </c>
      <c r="I41" s="40"/>
      <c r="J41" s="40"/>
      <c r="K41" s="103">
        <f>F24+100-F41</f>
        <v>34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251</v>
      </c>
      <c r="I42" s="40"/>
      <c r="J42" s="40"/>
      <c r="K42" s="46">
        <f>F41+K41</f>
        <v>2062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133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244</v>
      </c>
      <c r="C48" s="164" t="s">
        <v>245</v>
      </c>
      <c r="D48" s="67" t="str">
        <f>'Berekening MJOP+LTP'!K28</f>
        <v>Omschrijving</v>
      </c>
      <c r="E48" s="67"/>
      <c r="F48" s="68"/>
      <c r="G48" s="69"/>
      <c r="H48" s="151" t="s">
        <v>225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285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1</v>
      </c>
      <c r="C52" s="66">
        <f>'Berekening MJOP+LTP'!D39</f>
        <v>2</v>
      </c>
      <c r="D52" s="145" t="str">
        <f>'Berekening MJOP+LTP'!K39</f>
        <v>leuning vervangen door hoger spijlenhekwerk, ophogen wanden kabelgoten, nieuwe voetpadplaten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148885</v>
      </c>
      <c r="M52" s="64">
        <f>'Berekening MJOP+LTP'!Y39</f>
        <v>141710.88637715648</v>
      </c>
      <c r="N52" s="61">
        <f>'Berekening MJOP+LTP'!AA39</f>
        <v>0</v>
      </c>
      <c r="O52" s="255">
        <f>'Berekening MJOP+LTP'!AC39</f>
        <v>16191.7106061902</v>
      </c>
      <c r="P52" s="234"/>
    </row>
    <row r="53" spans="2:16" x14ac:dyDescent="0.3">
      <c r="B53" s="109">
        <f>'Berekening MJOP+LTP'!B40</f>
        <v>1</v>
      </c>
      <c r="C53" s="66">
        <f>'Berekening MJOP+LTP'!D40</f>
        <v>3</v>
      </c>
      <c r="D53" s="145" t="str">
        <f>'Berekening MJOP+LTP'!K40</f>
        <v>beheersing functioneren van de waterhuishouding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82584</v>
      </c>
      <c r="M53" s="64">
        <f>'Berekening MJOP+LTP'!Y40</f>
        <v>78604.640095181443</v>
      </c>
      <c r="N53" s="61">
        <f>'Berekening MJOP+LTP'!AA40</f>
        <v>0</v>
      </c>
      <c r="O53" s="255">
        <f>'Berekening MJOP+LTP'!AC40</f>
        <v>8981.2689572597046</v>
      </c>
      <c r="P53" s="234"/>
    </row>
    <row r="54" spans="2:16" x14ac:dyDescent="0.3">
      <c r="B54" s="109">
        <f>'Berekening MJOP+LTP'!B41</f>
        <v>1</v>
      </c>
      <c r="C54" s="66">
        <f>'Berekening MJOP+LTP'!D41</f>
        <v>4</v>
      </c>
      <c r="D54" s="145" t="str">
        <f>'Berekening MJOP+LTP'!K41</f>
        <v>plaatsen hoogtebeperkingsborden</v>
      </c>
      <c r="E54" s="188"/>
      <c r="F54" s="31"/>
      <c r="G54" s="35"/>
      <c r="H54" s="35"/>
      <c r="I54" s="35"/>
      <c r="J54" s="35"/>
      <c r="K54" s="91">
        <v>2020</v>
      </c>
      <c r="L54" s="64">
        <f>'Berekening MJOP+LTP'!T41</f>
        <v>1783</v>
      </c>
      <c r="M54" s="64">
        <f>'Berekening MJOP+LTP'!Y41</f>
        <v>1697.0850684116599</v>
      </c>
      <c r="N54" s="61">
        <f>'Berekening MJOP+LTP'!AA41</f>
        <v>0</v>
      </c>
      <c r="O54" s="255">
        <f>'Berekening MJOP+LTP'!AC41</f>
        <v>193.90684092310926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143</v>
      </c>
      <c r="I59" s="127"/>
      <c r="J59" s="56">
        <f>F24+100</f>
        <v>2062</v>
      </c>
      <c r="K59" s="159">
        <v>2062</v>
      </c>
      <c r="L59" s="156">
        <f>'Berekening MJOP+LTP'!T46</f>
        <v>21255863.199999999</v>
      </c>
      <c r="M59" s="128">
        <f>'Berekening MJOP+LTP'!Y46</f>
        <v>0</v>
      </c>
      <c r="N59" s="129">
        <f>'Berekening MJOP+LTP'!AA46</f>
        <v>312</v>
      </c>
      <c r="O59" s="257">
        <f>'Berekening MJOP+LTP'!AC46</f>
        <v>0</v>
      </c>
      <c r="P59" s="235"/>
    </row>
    <row r="60" spans="2:16" x14ac:dyDescent="0.3">
      <c r="B60" s="207" t="s">
        <v>298</v>
      </c>
      <c r="C60" s="189"/>
      <c r="D60" s="208"/>
      <c r="E60" s="208"/>
      <c r="F60" s="189"/>
      <c r="G60" s="190" t="s">
        <v>151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317</v>
      </c>
      <c r="C61" s="194"/>
      <c r="D61" s="212"/>
      <c r="E61" s="212"/>
      <c r="F61" s="194"/>
      <c r="G61" s="195" t="s">
        <v>151</v>
      </c>
      <c r="H61" s="196">
        <f>F37</f>
        <v>2018</v>
      </c>
      <c r="I61" s="213" t="s">
        <v>29</v>
      </c>
      <c r="J61" s="197">
        <f>K37</f>
        <v>10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299</v>
      </c>
      <c r="C62" s="194"/>
      <c r="D62" s="212"/>
      <c r="E62" s="212"/>
      <c r="F62" s="194"/>
      <c r="G62" s="195" t="s">
        <v>151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5000</v>
      </c>
      <c r="M62" s="214">
        <f>SUMIF(B51:B58,2,M51:M58)</f>
        <v>4642.9970545987444</v>
      </c>
      <c r="N62" s="247">
        <f>SUMIF(B51:B58,2,N51:N58)</f>
        <v>0</v>
      </c>
      <c r="O62" s="259">
        <f>SUMIF(B51:B58,2,O51:O58)</f>
        <v>530.50310089355912</v>
      </c>
      <c r="P62" s="236"/>
    </row>
    <row r="63" spans="2:16" x14ac:dyDescent="0.3">
      <c r="B63" s="211" t="s">
        <v>300</v>
      </c>
      <c r="C63" s="194"/>
      <c r="D63" s="212"/>
      <c r="E63" s="212"/>
      <c r="F63" s="194"/>
      <c r="G63" s="195" t="s">
        <v>151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233252</v>
      </c>
      <c r="M63" s="214">
        <f>SUMIF(B51:B58,1,M51:M58)</f>
        <v>222012.61154074958</v>
      </c>
      <c r="N63" s="247">
        <f>SUMIF(B51:B58,1,N51:N58)</f>
        <v>0</v>
      </c>
      <c r="O63" s="259">
        <f>SUMIF(B51:B58,1,O51:O58)</f>
        <v>25366.88640437301</v>
      </c>
      <c r="P63" s="236"/>
    </row>
    <row r="64" spans="2:16" x14ac:dyDescent="0.3">
      <c r="B64" s="211" t="s">
        <v>277</v>
      </c>
      <c r="C64" s="194"/>
      <c r="D64" s="212"/>
      <c r="E64" s="212"/>
      <c r="F64" s="194"/>
      <c r="G64" s="195" t="s">
        <v>151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238252</v>
      </c>
      <c r="M64" s="214">
        <f>SUM(M51:M58)</f>
        <v>226655.60859534831</v>
      </c>
      <c r="N64" s="247">
        <f>SUM(N51:N58)</f>
        <v>0</v>
      </c>
      <c r="O64" s="259">
        <f>SUM(O51:O58)</f>
        <v>25897.389505266572</v>
      </c>
      <c r="P64" s="236"/>
    </row>
    <row r="65" spans="2:16" x14ac:dyDescent="0.3">
      <c r="B65" s="211" t="s">
        <v>301</v>
      </c>
      <c r="C65" s="194"/>
      <c r="D65" s="212"/>
      <c r="E65" s="212"/>
      <c r="F65" s="194"/>
      <c r="G65" s="205" t="s">
        <v>261</v>
      </c>
      <c r="H65" s="196"/>
      <c r="I65" s="213"/>
      <c r="J65" s="197"/>
      <c r="K65" s="224">
        <f>K59</f>
        <v>2062</v>
      </c>
      <c r="L65" s="214">
        <f>L59</f>
        <v>21255863.199999999</v>
      </c>
      <c r="M65" s="214">
        <f>M59</f>
        <v>0</v>
      </c>
      <c r="N65" s="248">
        <f>N59</f>
        <v>312</v>
      </c>
      <c r="O65" s="259">
        <f>O59</f>
        <v>0</v>
      </c>
      <c r="P65" s="237"/>
    </row>
    <row r="66" spans="2:16" ht="15" thickBot="1" x14ac:dyDescent="0.35">
      <c r="B66" s="215" t="s">
        <v>278</v>
      </c>
      <c r="C66" s="199"/>
      <c r="D66" s="216"/>
      <c r="E66" s="216"/>
      <c r="F66" s="199"/>
      <c r="G66" s="200" t="s">
        <v>151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21505615.199999999</v>
      </c>
      <c r="M66" s="218">
        <f>SUM(M49:M59)</f>
        <v>236965.17164660848</v>
      </c>
      <c r="N66" s="249">
        <f>SUM(N49:N59)</f>
        <v>312</v>
      </c>
      <c r="O66" s="260">
        <f>SUM(O49:O59)</f>
        <v>27075.347428400302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246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244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141</v>
      </c>
      <c r="O69" s="130" t="s">
        <v>285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143</v>
      </c>
      <c r="I73" s="35"/>
      <c r="J73" s="35">
        <f>F24+100</f>
        <v>2062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252947.42008682879</v>
      </c>
      <c r="N75" s="61">
        <f>'Berekening MJOP+LTP'!AA125</f>
        <v>0</v>
      </c>
      <c r="O75" s="261">
        <f>'Berekening MJOP+LTP'!AC125</f>
        <v>11131.394081483753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9928.1664188937175</v>
      </c>
      <c r="N76" s="61">
        <f>'Berekening MJOP+LTP'!AA147</f>
        <v>0</v>
      </c>
      <c r="O76" s="261">
        <f>'Berekening MJOP+LTP'!AC147</f>
        <v>436.90634550580995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143</v>
      </c>
      <c r="I77" s="35"/>
      <c r="J77" s="35">
        <f>F24+100</f>
        <v>2062</v>
      </c>
      <c r="K77" s="90">
        <v>2062</v>
      </c>
      <c r="L77" s="64">
        <f>'Berekening MJOP+LTP'!T154</f>
        <v>14016030.599999998</v>
      </c>
      <c r="M77" s="64">
        <f>'Berekening MJOP+LTP'!Y154</f>
        <v>6053598.5043979269</v>
      </c>
      <c r="N77" s="61">
        <f>'Berekening MJOP+LTP'!AA149</f>
        <v>156</v>
      </c>
      <c r="O77" s="261">
        <f>'Berekening MJOP+LTP'!AC154</f>
        <v>266399.20083155169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143</v>
      </c>
      <c r="I81" s="35"/>
      <c r="J81" s="35">
        <f>F24+100</f>
        <v>2062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42537.457501118908</v>
      </c>
      <c r="N83" s="61">
        <f>'Berekening MJOP+LTP'!AA199</f>
        <v>0</v>
      </c>
      <c r="O83" s="261">
        <f>'Berekening MJOP+LTP'!AC199</f>
        <v>1871.9352919542875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143</v>
      </c>
      <c r="I85" s="35"/>
      <c r="J85" s="35">
        <f>F25+100</f>
        <v>2062</v>
      </c>
      <c r="K85" s="90">
        <v>2062</v>
      </c>
      <c r="L85" s="64">
        <f>'Berekening MJOP+LTP'!T208</f>
        <v>7239832.5999999996</v>
      </c>
      <c r="M85" s="64">
        <f>'Berekening MJOP+LTP'!Y208</f>
        <v>3126922.3826788277</v>
      </c>
      <c r="N85" s="61">
        <f>'Berekening MJOP+LTP'!AA204</f>
        <v>156</v>
      </c>
      <c r="O85" s="261">
        <f>'Berekening MJOP+LTP'!AC208</f>
        <v>137605.69406820612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143</v>
      </c>
      <c r="I89" s="35"/>
      <c r="J89" s="35">
        <f>F25+100</f>
        <v>2062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-897170</v>
      </c>
      <c r="M91" s="64"/>
      <c r="N91" s="251"/>
      <c r="O91" s="262"/>
      <c r="P91" s="241"/>
      <c r="Q91" s="27"/>
    </row>
    <row r="92" spans="2:17" x14ac:dyDescent="0.3">
      <c r="B92" s="207" t="s">
        <v>302</v>
      </c>
      <c r="C92" s="208"/>
      <c r="D92" s="208"/>
      <c r="E92" s="208"/>
      <c r="F92" s="189"/>
      <c r="G92" s="204" t="s">
        <v>152</v>
      </c>
      <c r="H92" s="191">
        <f>F41</f>
        <v>2028</v>
      </c>
      <c r="I92" s="209" t="s">
        <v>29</v>
      </c>
      <c r="J92" s="192">
        <f>K42</f>
        <v>2062</v>
      </c>
      <c r="K92" s="219"/>
      <c r="L92" s="220"/>
      <c r="M92" s="220">
        <f t="shared" ref="M92:O94" si="1">M71+M75+M79+M83+M87</f>
        <v>295484.8775879477</v>
      </c>
      <c r="N92" s="267">
        <f t="shared" si="1"/>
        <v>0</v>
      </c>
      <c r="O92" s="263">
        <f t="shared" si="1"/>
        <v>13003.32937343804</v>
      </c>
      <c r="P92" s="242"/>
    </row>
    <row r="93" spans="2:17" x14ac:dyDescent="0.3">
      <c r="B93" s="211" t="s">
        <v>303</v>
      </c>
      <c r="C93" s="212"/>
      <c r="D93" s="212"/>
      <c r="E93" s="212"/>
      <c r="F93" s="194"/>
      <c r="G93" s="205" t="s">
        <v>152</v>
      </c>
      <c r="H93" s="196">
        <f>F41</f>
        <v>2028</v>
      </c>
      <c r="I93" s="213" t="s">
        <v>29</v>
      </c>
      <c r="J93" s="197">
        <f>K42</f>
        <v>2062</v>
      </c>
      <c r="K93" s="221"/>
      <c r="L93" s="222"/>
      <c r="M93" s="222">
        <f t="shared" si="1"/>
        <v>9928.1664188937175</v>
      </c>
      <c r="N93" s="252">
        <f t="shared" si="1"/>
        <v>0</v>
      </c>
      <c r="O93" s="264">
        <f t="shared" si="1"/>
        <v>436.90634550580995</v>
      </c>
      <c r="P93" s="243"/>
    </row>
    <row r="94" spans="2:17" x14ac:dyDescent="0.3">
      <c r="B94" s="211" t="s">
        <v>301</v>
      </c>
      <c r="C94" s="212"/>
      <c r="D94" s="212"/>
      <c r="E94" s="212"/>
      <c r="F94" s="194"/>
      <c r="G94" s="205" t="s">
        <v>261</v>
      </c>
      <c r="H94" s="196"/>
      <c r="I94" s="213"/>
      <c r="J94" s="197"/>
      <c r="K94" s="225">
        <f>K59</f>
        <v>2062</v>
      </c>
      <c r="L94" s="222">
        <f>L73+L77+L81+L85+L89</f>
        <v>21255863.199999996</v>
      </c>
      <c r="M94" s="222">
        <f t="shared" si="1"/>
        <v>9180520.8870767541</v>
      </c>
      <c r="N94" s="252">
        <f t="shared" si="1"/>
        <v>312</v>
      </c>
      <c r="O94" s="264">
        <f t="shared" si="1"/>
        <v>404004.89489975781</v>
      </c>
      <c r="P94" s="243"/>
    </row>
    <row r="95" spans="2:17" ht="15" thickBot="1" x14ac:dyDescent="0.35">
      <c r="B95" s="215" t="s">
        <v>304</v>
      </c>
      <c r="C95" s="216"/>
      <c r="D95" s="216"/>
      <c r="E95" s="216"/>
      <c r="F95" s="199"/>
      <c r="G95" s="206" t="s">
        <v>261</v>
      </c>
      <c r="H95" s="201"/>
      <c r="I95" s="217"/>
      <c r="J95" s="202"/>
      <c r="K95" s="226">
        <f>K59</f>
        <v>2062</v>
      </c>
      <c r="L95" s="223">
        <f>L91</f>
        <v>-897170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262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263</v>
      </c>
      <c r="F99" s="177" t="s">
        <v>264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1.4000000000000001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2500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1250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5796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1159.2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 t="str">
        <f>'Berekening MJOP+LTP'!K236</f>
        <v>(Constructie) staal geluidscherm</v>
      </c>
      <c r="D107" s="181"/>
      <c r="E107" s="182">
        <f>'Berekening MJOP+LTP'!Q236</f>
        <v>1.25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L1" zoomScale="90" zoomScaleNormal="90" zoomScaleSheetLayoutView="90" workbookViewId="0">
      <pane ySplit="2" topLeftCell="A196" activePane="bottomLeft" state="frozen"/>
      <selection pane="bottomLeft" activeCell="P239" sqref="P239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239</v>
      </c>
      <c r="C1" s="3" t="s">
        <v>240</v>
      </c>
      <c r="D1" s="3" t="s">
        <v>242</v>
      </c>
      <c r="E1" s="3" t="s">
        <v>237</v>
      </c>
      <c r="F1" s="3" t="s">
        <v>0</v>
      </c>
      <c r="G1" s="3"/>
      <c r="H1" s="3"/>
      <c r="I1" s="3" t="s">
        <v>234</v>
      </c>
      <c r="J1" s="3"/>
      <c r="K1" s="3" t="s">
        <v>11</v>
      </c>
      <c r="L1" s="3"/>
      <c r="M1" s="3"/>
      <c r="N1" s="3"/>
      <c r="O1" s="3" t="s">
        <v>54</v>
      </c>
      <c r="P1" s="3" t="s">
        <v>137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142</v>
      </c>
      <c r="X1" s="3"/>
      <c r="Y1" s="20" t="s">
        <v>68</v>
      </c>
      <c r="Z1" s="20" t="s">
        <v>140</v>
      </c>
      <c r="AA1" s="20" t="s">
        <v>144</v>
      </c>
      <c r="AC1" s="20" t="s">
        <v>283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238</v>
      </c>
      <c r="C2" s="3" t="s">
        <v>243</v>
      </c>
      <c r="D2" s="3" t="s">
        <v>241</v>
      </c>
      <c r="E2" s="3" t="s">
        <v>236</v>
      </c>
      <c r="F2" s="3"/>
      <c r="G2" s="3"/>
      <c r="H2" s="3"/>
      <c r="I2" s="3" t="s">
        <v>235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284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291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257</v>
      </c>
      <c r="K9" s="1" t="s">
        <v>25</v>
      </c>
    </row>
    <row r="10" spans="2:236" ht="13.8" x14ac:dyDescent="0.3">
      <c r="B10" s="170"/>
      <c r="D10" s="168" t="s">
        <v>260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290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258</v>
      </c>
    </row>
    <row r="15" spans="2:236" ht="13.8" x14ac:dyDescent="0.3">
      <c r="B15" s="170"/>
      <c r="D15" s="168" t="s">
        <v>259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292</v>
      </c>
      <c r="K17" s="1" t="s">
        <v>253</v>
      </c>
    </row>
    <row r="18" spans="2:236" ht="13.8" x14ac:dyDescent="0.3">
      <c r="B18" s="170"/>
      <c r="D18" s="1" t="s">
        <v>40</v>
      </c>
      <c r="K18" s="1" t="s">
        <v>254</v>
      </c>
    </row>
    <row r="19" spans="2:236" ht="13.8" x14ac:dyDescent="0.3">
      <c r="B19" s="170"/>
      <c r="D19" s="1" t="s">
        <v>258</v>
      </c>
      <c r="K19" s="1" t="s">
        <v>255</v>
      </c>
    </row>
    <row r="20" spans="2:236" ht="13.8" x14ac:dyDescent="0.3">
      <c r="B20" s="170"/>
      <c r="D20" s="168" t="s">
        <v>259</v>
      </c>
      <c r="H20" s="172">
        <v>1.77</v>
      </c>
      <c r="I20" s="167">
        <v>1.77</v>
      </c>
    </row>
    <row r="21" spans="2:236" x14ac:dyDescent="0.25">
      <c r="K21" s="25" t="s">
        <v>148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256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239</v>
      </c>
      <c r="C28" s="3" t="s">
        <v>240</v>
      </c>
      <c r="D28" s="3" t="s">
        <v>242</v>
      </c>
      <c r="E28" s="3" t="s">
        <v>237</v>
      </c>
      <c r="F28" s="3" t="s">
        <v>0</v>
      </c>
      <c r="G28" s="3"/>
      <c r="H28" s="3"/>
      <c r="I28" s="3" t="s">
        <v>234</v>
      </c>
      <c r="J28" s="3"/>
      <c r="K28" s="3" t="s">
        <v>11</v>
      </c>
      <c r="L28" s="3"/>
      <c r="M28" s="3"/>
      <c r="N28" s="3"/>
      <c r="O28" s="3" t="s">
        <v>54</v>
      </c>
      <c r="P28" s="3" t="s">
        <v>137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142</v>
      </c>
      <c r="X28" s="3"/>
      <c r="Y28" s="20" t="s">
        <v>68</v>
      </c>
      <c r="Z28" s="20" t="s">
        <v>140</v>
      </c>
      <c r="AA28" s="20" t="s">
        <v>144</v>
      </c>
      <c r="AC28" s="20" t="s">
        <v>283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238</v>
      </c>
      <c r="C29" s="3" t="s">
        <v>243</v>
      </c>
      <c r="D29" s="3" t="s">
        <v>241</v>
      </c>
      <c r="E29" s="3" t="s">
        <v>236</v>
      </c>
      <c r="F29" s="3"/>
      <c r="G29" s="3"/>
      <c r="H29" s="3"/>
      <c r="I29" s="3" t="s">
        <v>235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284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286</v>
      </c>
      <c r="K31" s="1" t="s">
        <v>287</v>
      </c>
      <c r="O31" s="1" t="s">
        <v>296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281</v>
      </c>
      <c r="K32" s="1" t="s">
        <v>150</v>
      </c>
      <c r="O32" s="1" t="s">
        <v>296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295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112</v>
      </c>
      <c r="D35" s="1" t="s">
        <v>112</v>
      </c>
      <c r="E35" s="1" t="s">
        <v>112</v>
      </c>
      <c r="F35" s="1" t="s">
        <v>289</v>
      </c>
      <c r="I35" s="1" t="s">
        <v>288</v>
      </c>
      <c r="K35" s="1" t="s">
        <v>294</v>
      </c>
      <c r="O35" s="1" t="s">
        <v>297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293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307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1</v>
      </c>
      <c r="C39" s="76" t="s">
        <v>307</v>
      </c>
      <c r="D39" s="78">
        <v>2</v>
      </c>
      <c r="E39" s="76" t="s">
        <v>307</v>
      </c>
      <c r="F39" s="76" t="s">
        <v>308</v>
      </c>
      <c r="G39" s="76"/>
      <c r="H39" s="76"/>
      <c r="I39" s="76" t="s">
        <v>48</v>
      </c>
      <c r="J39" s="76"/>
      <c r="K39" s="76" t="s">
        <v>309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148885</v>
      </c>
      <c r="T39" s="9">
        <f t="shared" si="4"/>
        <v>148885</v>
      </c>
      <c r="U39" s="11">
        <v>1</v>
      </c>
      <c r="V39" s="14"/>
      <c r="W39" s="9">
        <f>Voorblad!K52</f>
        <v>2020</v>
      </c>
      <c r="Y39" s="9">
        <f t="shared" ref="Y39:Y45" si="5">SUM(AE39:EB39)</f>
        <v>141710.88637715648</v>
      </c>
      <c r="Z39" s="82"/>
      <c r="AA39" s="82"/>
      <c r="AC39" s="9">
        <f>$Y39*(Voorblad!$K$44*(1+Voorblad!$K$44)^Voorblad!$K$37)/((1+Voorblad!$K$44)^Voorblad!$K$37-1)</f>
        <v>16191.7106061902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141710.88637715648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1</v>
      </c>
      <c r="C40" s="76" t="s">
        <v>307</v>
      </c>
      <c r="D40" s="76">
        <v>3</v>
      </c>
      <c r="E40" s="76" t="s">
        <v>307</v>
      </c>
      <c r="F40" s="76" t="s">
        <v>21</v>
      </c>
      <c r="G40" s="76"/>
      <c r="H40" s="76"/>
      <c r="I40" s="76" t="s">
        <v>48</v>
      </c>
      <c r="J40" s="76"/>
      <c r="K40" s="79" t="s">
        <v>310</v>
      </c>
      <c r="L40" s="76"/>
      <c r="M40" s="76"/>
      <c r="N40" s="76"/>
      <c r="O40" s="77"/>
      <c r="P40" s="77"/>
      <c r="Q40" s="81">
        <v>1</v>
      </c>
      <c r="R40" s="81" t="s">
        <v>33</v>
      </c>
      <c r="S40" s="81">
        <v>82584</v>
      </c>
      <c r="T40" s="9">
        <f t="shared" si="4"/>
        <v>82584</v>
      </c>
      <c r="U40" s="11">
        <v>1</v>
      </c>
      <c r="V40" s="14"/>
      <c r="W40" s="9">
        <f>Voorblad!K53</f>
        <v>2020</v>
      </c>
      <c r="Y40" s="9">
        <f t="shared" si="5"/>
        <v>78604.640095181443</v>
      </c>
      <c r="Z40" s="82"/>
      <c r="AA40" s="82"/>
      <c r="AC40" s="9">
        <f>$Y40*(Voorblad!$K$44*(1+Voorblad!$K$44)^Voorblad!$K$37)/((1+Voorblad!$K$44)^Voorblad!$K$37-1)</f>
        <v>8981.2689572597046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78604.640095181443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>
        <v>1</v>
      </c>
      <c r="C41" s="76" t="s">
        <v>307</v>
      </c>
      <c r="D41" s="76">
        <v>4</v>
      </c>
      <c r="E41" s="76" t="s">
        <v>307</v>
      </c>
      <c r="F41" s="76" t="s">
        <v>21</v>
      </c>
      <c r="G41" s="76"/>
      <c r="H41" s="76"/>
      <c r="I41" s="76" t="s">
        <v>48</v>
      </c>
      <c r="J41" s="76"/>
      <c r="K41" s="76" t="s">
        <v>311</v>
      </c>
      <c r="L41" s="76"/>
      <c r="M41" s="76"/>
      <c r="N41" s="76"/>
      <c r="O41" s="77"/>
      <c r="P41" s="77"/>
      <c r="Q41" s="81">
        <v>1</v>
      </c>
      <c r="R41" s="81" t="s">
        <v>33</v>
      </c>
      <c r="S41" s="81">
        <v>1783</v>
      </c>
      <c r="T41" s="9">
        <f t="shared" si="4"/>
        <v>1783</v>
      </c>
      <c r="U41" s="11">
        <v>1</v>
      </c>
      <c r="V41" s="14"/>
      <c r="W41" s="9">
        <f>Voorblad!K54</f>
        <v>2020</v>
      </c>
      <c r="Y41" s="9">
        <f t="shared" si="5"/>
        <v>1697.0850684116599</v>
      </c>
      <c r="Z41" s="82"/>
      <c r="AA41" s="82"/>
      <c r="AC41" s="9">
        <f>$Y41*(Voorblad!$K$44*(1+Voorblad!$K$44)^Voorblad!$K$37)/((1+Voorblad!$K$44)^Voorblad!$K$37-1)</f>
        <v>193.90684092310926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1697.0850684116599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230</v>
      </c>
      <c r="P46" s="14" t="s">
        <v>282</v>
      </c>
      <c r="Q46" s="83">
        <f>(31.75+10.15+14)*31.9</f>
        <v>1783.2099999999998</v>
      </c>
      <c r="R46" s="81" t="s">
        <v>35</v>
      </c>
      <c r="S46" s="81">
        <v>11920</v>
      </c>
      <c r="T46" s="9">
        <f t="shared" si="4"/>
        <v>21255863.199999999</v>
      </c>
      <c r="U46" s="11">
        <v>1</v>
      </c>
      <c r="V46" s="1">
        <f>Voorblad!F24+100</f>
        <v>2062</v>
      </c>
      <c r="W46" s="9">
        <f>Voorblad!K77</f>
        <v>2062</v>
      </c>
      <c r="X46" s="6"/>
      <c r="Y46" s="9">
        <f>SUM(AE46:EB46)</f>
        <v>0</v>
      </c>
      <c r="Z46" s="82" t="s">
        <v>313</v>
      </c>
      <c r="AA46" s="82">
        <f>6*52</f>
        <v>312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271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252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239</v>
      </c>
      <c r="C54" s="3"/>
      <c r="D54" s="3"/>
      <c r="E54" s="3"/>
      <c r="F54" s="3" t="s">
        <v>0</v>
      </c>
      <c r="G54" s="3"/>
      <c r="H54" s="3"/>
      <c r="I54" s="3" t="s">
        <v>234</v>
      </c>
      <c r="J54" s="3"/>
      <c r="K54" s="3" t="s">
        <v>11</v>
      </c>
      <c r="L54" s="3"/>
      <c r="M54" s="3"/>
      <c r="N54" s="3"/>
      <c r="O54" s="3" t="s">
        <v>54</v>
      </c>
      <c r="P54" s="3" t="s">
        <v>137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142</v>
      </c>
      <c r="X54" s="6"/>
      <c r="Y54" s="20" t="s">
        <v>68</v>
      </c>
      <c r="Z54" s="20" t="s">
        <v>140</v>
      </c>
      <c r="AA54" s="20" t="s">
        <v>144</v>
      </c>
      <c r="AC54" s="20" t="s">
        <v>283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238</v>
      </c>
      <c r="I55" s="3" t="s">
        <v>235</v>
      </c>
      <c r="O55" s="14"/>
      <c r="P55" s="14"/>
      <c r="V55" s="3" t="s">
        <v>70</v>
      </c>
      <c r="AC55" s="20" t="s">
        <v>284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280</v>
      </c>
      <c r="K58" s="1" t="s">
        <v>287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0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0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281</v>
      </c>
      <c r="K59" s="1" t="s">
        <v>110</v>
      </c>
      <c r="N59" s="3"/>
      <c r="O59" s="1" t="s">
        <v>135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0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281</v>
      </c>
      <c r="K60" s="1" t="s">
        <v>153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0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281</v>
      </c>
      <c r="K61" s="1" t="s">
        <v>146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0</v>
      </c>
      <c r="FP61" s="8">
        <f>IF(FP$56-Voorblad!$F$41&gt;Voorblad!$K$41,0,IF($U61=0,0,IF($U61&lt;1,1/$U61,IF((FP$56-Voorblad!$F$41)/$U61-SUM($EE61:FO61)=1,1,0))))</f>
        <v>0</v>
      </c>
      <c r="FQ61" s="8">
        <f>IF(FQ$56-Voorblad!$F$41&gt;Voorblad!$K$41,0,IF($U61=0,0,IF($U61&lt;1,1/$U61,IF((FQ$56-Voorblad!$F$41)/$U61-SUM($EE61:FP61)=1,1,0))))</f>
        <v>0</v>
      </c>
      <c r="FR61" s="8">
        <f>IF(FR$56-Voorblad!$F$41&gt;Voorblad!$K$41,0,IF($U61=0,0,IF($U61&lt;1,1/$U61,IF((FR$56-Voorblad!$F$41)/$U61-SUM($EE61:FQ61)=1,1,0))))</f>
        <v>0</v>
      </c>
      <c r="FS61" s="8">
        <f>IF(FS$56-Voorblad!$F$41&gt;Voorblad!$K$41,0,IF($U61=0,0,IF($U61&lt;1,1/$U61,IF((FS$56-Voorblad!$F$41)/$U61-SUM($EE61:FR61)=1,1,0))))</f>
        <v>0</v>
      </c>
      <c r="FT61" s="8">
        <f>IF(FT$56-Voorblad!$F$41&gt;Voorblad!$K$41,0,IF($U61=0,0,IF($U61&lt;1,1/$U61,IF((FT$56-Voorblad!$F$41)/$U61-SUM($EE61:FS61)=1,1,0))))</f>
        <v>0</v>
      </c>
      <c r="FU61" s="8">
        <f>IF(FU$56-Voorblad!$F$41&gt;Voorblad!$K$41,0,IF($U61=0,0,IF($U61&lt;1,1/$U61,IF((FU$56-Voorblad!$F$41)/$U61-SUM($EE61:FT61)=1,1,0))))</f>
        <v>0</v>
      </c>
      <c r="FV61" s="8">
        <f>IF(FV$56-Voorblad!$F$41&gt;Voorblad!$K$41,0,IF($U61=0,0,IF($U61&lt;1,1/$U61,IF((FV$56-Voorblad!$F$41)/$U61-SUM($EE61:FU61)=1,1,0))))</f>
        <v>0</v>
      </c>
      <c r="FW61" s="8">
        <f>IF(FW$56-Voorblad!$F$41&gt;Voorblad!$K$41,0,IF($U61=0,0,IF($U61&lt;1,1/$U61,IF((FW$56-Voorblad!$F$41)/$U61-SUM($EE61:FV61)=1,1,0))))</f>
        <v>0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281</v>
      </c>
      <c r="K62" s="14" t="s">
        <v>165</v>
      </c>
      <c r="L62" s="14"/>
      <c r="M62" s="14"/>
      <c r="N62" s="3"/>
      <c r="P62" s="1" t="s">
        <v>185</v>
      </c>
      <c r="Q62" s="81">
        <v>0</v>
      </c>
      <c r="R62" s="147" t="s">
        <v>197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0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281</v>
      </c>
      <c r="K63" s="14" t="s">
        <v>169</v>
      </c>
      <c r="L63" s="14"/>
      <c r="M63" s="14"/>
      <c r="N63" s="3"/>
      <c r="O63" s="1" t="s">
        <v>171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281</v>
      </c>
      <c r="K64" s="14" t="s">
        <v>204</v>
      </c>
      <c r="L64" s="14"/>
      <c r="M64" s="14"/>
      <c r="N64" s="3"/>
      <c r="O64" s="1" t="s">
        <v>172</v>
      </c>
      <c r="P64" s="1" t="s">
        <v>175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281</v>
      </c>
      <c r="K65" s="14" t="s">
        <v>170</v>
      </c>
      <c r="L65" s="14"/>
      <c r="M65" s="14"/>
      <c r="N65" s="3"/>
      <c r="O65" s="1" t="s">
        <v>173</v>
      </c>
      <c r="P65" s="1" t="s">
        <v>176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281</v>
      </c>
      <c r="K66" s="14" t="s">
        <v>168</v>
      </c>
      <c r="L66" s="14"/>
      <c r="M66" s="14"/>
      <c r="N66" s="3"/>
      <c r="O66" s="1" t="s">
        <v>173</v>
      </c>
      <c r="P66" s="1" t="s">
        <v>176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281</v>
      </c>
      <c r="K67" s="14" t="s">
        <v>190</v>
      </c>
      <c r="L67" s="14"/>
      <c r="M67" s="14"/>
      <c r="N67" s="3"/>
      <c r="O67" s="1" t="s">
        <v>174</v>
      </c>
      <c r="P67" s="1" t="s">
        <v>177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281</v>
      </c>
      <c r="K68" s="14" t="s">
        <v>95</v>
      </c>
      <c r="L68" s="14"/>
      <c r="M68" s="14"/>
      <c r="N68" s="3"/>
      <c r="O68" s="1" t="s">
        <v>179</v>
      </c>
      <c r="P68" s="1" t="s">
        <v>178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281</v>
      </c>
      <c r="K69" s="14" t="s">
        <v>53</v>
      </c>
      <c r="L69" s="14"/>
      <c r="M69" s="14"/>
      <c r="N69" s="3"/>
      <c r="O69" s="1" t="s">
        <v>179</v>
      </c>
      <c r="P69" s="1" t="s">
        <v>180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281</v>
      </c>
      <c r="K70" s="14" t="s">
        <v>192</v>
      </c>
      <c r="L70" s="14"/>
      <c r="M70" s="14"/>
      <c r="N70" s="3"/>
      <c r="O70" s="1" t="s">
        <v>179</v>
      </c>
      <c r="P70" s="1" t="s">
        <v>181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281</v>
      </c>
      <c r="K71" s="14" t="s">
        <v>155</v>
      </c>
      <c r="L71" s="14"/>
      <c r="M71" s="14"/>
      <c r="N71" s="3"/>
      <c r="O71" s="1" t="s">
        <v>179</v>
      </c>
      <c r="P71" s="1" t="s">
        <v>182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281</v>
      </c>
      <c r="K72" s="14" t="s">
        <v>166</v>
      </c>
      <c r="L72" s="14"/>
      <c r="M72" s="14"/>
      <c r="N72" s="3"/>
      <c r="O72" s="1" t="s">
        <v>179</v>
      </c>
      <c r="P72" s="1" t="s">
        <v>183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281</v>
      </c>
      <c r="K73" s="14" t="s">
        <v>167</v>
      </c>
      <c r="L73" s="14"/>
      <c r="M73" s="14"/>
      <c r="N73" s="3"/>
      <c r="O73" s="1" t="s">
        <v>179</v>
      </c>
      <c r="P73" s="1" t="s">
        <v>184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272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147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194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0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194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0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194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194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194</v>
      </c>
      <c r="K80" s="1" t="s">
        <v>59</v>
      </c>
      <c r="N80" s="3"/>
      <c r="O80" s="1" t="s">
        <v>188</v>
      </c>
      <c r="P80" s="1" t="s">
        <v>178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194</v>
      </c>
      <c r="K81" s="1" t="s">
        <v>50</v>
      </c>
      <c r="N81" s="3"/>
      <c r="O81" s="1" t="s">
        <v>188</v>
      </c>
      <c r="P81" s="1" t="s">
        <v>180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194</v>
      </c>
      <c r="K82" s="14" t="s">
        <v>191</v>
      </c>
      <c r="N82" s="3"/>
      <c r="O82" s="1" t="s">
        <v>188</v>
      </c>
      <c r="P82" s="1" t="s">
        <v>181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194</v>
      </c>
      <c r="K83" s="14" t="s">
        <v>156</v>
      </c>
      <c r="N83" s="3"/>
      <c r="O83" s="1" t="s">
        <v>188</v>
      </c>
      <c r="P83" s="1" t="s">
        <v>182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194</v>
      </c>
      <c r="K84" s="14" t="s">
        <v>186</v>
      </c>
      <c r="N84" s="3"/>
      <c r="O84" s="1" t="s">
        <v>188</v>
      </c>
      <c r="P84" s="1" t="s">
        <v>183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194</v>
      </c>
      <c r="K85" s="14" t="s">
        <v>187</v>
      </c>
      <c r="N85" s="3"/>
      <c r="O85" s="1" t="s">
        <v>188</v>
      </c>
      <c r="P85" s="1" t="s">
        <v>184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203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161</v>
      </c>
      <c r="N87" s="3"/>
      <c r="P87" s="14" t="s">
        <v>195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189</v>
      </c>
      <c r="N88" s="3"/>
      <c r="P88" s="14" t="s">
        <v>195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193</v>
      </c>
      <c r="N89" s="3"/>
      <c r="P89" s="14" t="s">
        <v>195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136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196</v>
      </c>
      <c r="N94" s="3"/>
      <c r="Q94" s="81">
        <v>0</v>
      </c>
      <c r="R94" s="147" t="s">
        <v>197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273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2062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0</v>
      </c>
      <c r="FP97" s="8">
        <f>IF(FP$56-Voorblad!$F$41&gt;Voorblad!$K$41,0,IF($U97=0,0,IF($U97&lt;1,1/$U97,IF((FP$56-Voorblad!$F$41)/$U97-SUM($EE97:FO97)=1,1,0))))</f>
        <v>0</v>
      </c>
      <c r="FQ97" s="8">
        <f>IF(FQ$56-Voorblad!$F$41&gt;Voorblad!$K$41,0,IF($U97=0,0,IF($U97&lt;1,1/$U97,IF((FQ$56-Voorblad!$F$41)/$U97-SUM($EE97:FP97)=1,1,0))))</f>
        <v>0</v>
      </c>
      <c r="FR97" s="8">
        <f>IF(FR$56-Voorblad!$F$41&gt;Voorblad!$K$41,0,IF($U97=0,0,IF($U97&lt;1,1/$U97,IF((FR$56-Voorblad!$F$41)/$U97-SUM($EE97:FQ97)=1,1,0))))</f>
        <v>0</v>
      </c>
      <c r="FS97" s="8">
        <f>IF(FS$56-Voorblad!$F$41&gt;Voorblad!$K$41,0,IF($U97=0,0,IF($U97&lt;1,1/$U97,IF((FS$56-Voorblad!$F$41)/$U97-SUM($EE97:FR97)=1,1,0))))</f>
        <v>0</v>
      </c>
      <c r="FT97" s="8">
        <f>IF(FT$56-Voorblad!$F$41&gt;Voorblad!$K$41,0,IF($U97=0,0,IF($U97&lt;1,1/$U97,IF((FT$56-Voorblad!$F$41)/$U97-SUM($EE97:FS97)=1,1,0))))</f>
        <v>0</v>
      </c>
      <c r="FU97" s="8">
        <f>IF(FU$56-Voorblad!$F$41&gt;Voorblad!$K$41,0,IF($U97=0,0,IF($U97&lt;1,1/$U97,IF((FU$56-Voorblad!$F$41)/$U97-SUM($EE97:FT97)=1,1,0))))</f>
        <v>0</v>
      </c>
      <c r="FV97" s="8">
        <f>IF(FV$56-Voorblad!$F$41&gt;Voorblad!$K$41,0,IF($U97=0,0,IF($U97&lt;1,1/$U97,IF((FV$56-Voorblad!$F$41)/$U97-SUM($EE97:FU97)=1,1,0))))</f>
        <v>0</v>
      </c>
      <c r="FW97" s="8">
        <f>IF(FW$56-Voorblad!$F$41&gt;Voorblad!$K$41,0,IF($U97=0,0,IF($U97&lt;1,1/$U97,IF((FW$56-Voorblad!$F$41)/$U97-SUM($EE97:FV97)=1,1,0))))</f>
        <v>0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0</v>
      </c>
      <c r="FP98" s="8">
        <f>IF(FP$56-Voorblad!$F$41&gt;Voorblad!$K$41,0,IF($U98=0,0,IF($U98&lt;1,1/$U98,IF((FP$56-Voorblad!$F$41)/$U98-SUM($EE98:FO98)=1,1,0))))</f>
        <v>0</v>
      </c>
      <c r="FQ98" s="8">
        <f>IF(FQ$56-Voorblad!$F$41&gt;Voorblad!$K$41,0,IF($U98=0,0,IF($U98&lt;1,1/$U98,IF((FQ$56-Voorblad!$F$41)/$U98-SUM($EE98:FP98)=1,1,0))))</f>
        <v>0</v>
      </c>
      <c r="FR98" s="8">
        <f>IF(FR$56-Voorblad!$F$41&gt;Voorblad!$K$41,0,IF($U98=0,0,IF($U98&lt;1,1/$U98,IF((FR$56-Voorblad!$F$41)/$U98-SUM($EE98:FQ98)=1,1,0))))</f>
        <v>0</v>
      </c>
      <c r="FS98" s="8">
        <f>IF(FS$56-Voorblad!$F$41&gt;Voorblad!$K$41,0,IF($U98=0,0,IF($U98&lt;1,1/$U98,IF((FS$56-Voorblad!$F$41)/$U98-SUM($EE98:FR98)=1,1,0))))</f>
        <v>0</v>
      </c>
      <c r="FT98" s="8">
        <f>IF(FT$56-Voorblad!$F$41&gt;Voorblad!$K$41,0,IF($U98=0,0,IF($U98&lt;1,1/$U98,IF((FT$56-Voorblad!$F$41)/$U98-SUM($EE98:FS98)=1,1,0))))</f>
        <v>0</v>
      </c>
      <c r="FU98" s="8">
        <f>IF(FU$56-Voorblad!$F$41&gt;Voorblad!$K$41,0,IF($U98=0,0,IF($U98&lt;1,1/$U98,IF((FU$56-Voorblad!$F$41)/$U98-SUM($EE98:FT98)=1,1,0))))</f>
        <v>0</v>
      </c>
      <c r="FV98" s="8">
        <f>IF(FV$56-Voorblad!$F$41&gt;Voorblad!$K$41,0,IF($U98=0,0,IF($U98&lt;1,1/$U98,IF((FV$56-Voorblad!$F$41)/$U98-SUM($EE98:FU98)=1,1,0))))</f>
        <v>0</v>
      </c>
      <c r="FW98" s="8">
        <f>IF(FW$56-Voorblad!$F$41&gt;Voorblad!$K$41,0,IF($U98=0,0,IF($U98&lt;1,1/$U98,IF((FW$56-Voorblad!$F$41)/$U98-SUM($EE98:FV98)=1,1,0))))</f>
        <v>0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154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0</v>
      </c>
      <c r="FP99" s="8">
        <f>IF(FP$56-Voorblad!$F$41&gt;Voorblad!$K$41,0,IF($U99=0,0,IF($U99&lt;1,1/$U99,IF((FP$56-Voorblad!$F$41)/$U99-SUM($EE99:FO99)=1,1,0))))</f>
        <v>0</v>
      </c>
      <c r="FQ99" s="8">
        <f>IF(FQ$56-Voorblad!$F$41&gt;Voorblad!$K$41,0,IF($U99=0,0,IF($U99&lt;1,1/$U99,IF((FQ$56-Voorblad!$F$41)/$U99-SUM($EE99:FP99)=1,1,0))))</f>
        <v>0</v>
      </c>
      <c r="FR99" s="8">
        <f>IF(FR$56-Voorblad!$F$41&gt;Voorblad!$K$41,0,IF($U99=0,0,IF($U99&lt;1,1/$U99,IF((FR$56-Voorblad!$F$41)/$U99-SUM($EE99:FQ99)=1,1,0))))</f>
        <v>0</v>
      </c>
      <c r="FS99" s="8">
        <f>IF(FS$56-Voorblad!$F$41&gt;Voorblad!$K$41,0,IF($U99=0,0,IF($U99&lt;1,1/$U99,IF((FS$56-Voorblad!$F$41)/$U99-SUM($EE99:FR99)=1,1,0))))</f>
        <v>0</v>
      </c>
      <c r="FT99" s="8">
        <f>IF(FT$56-Voorblad!$F$41&gt;Voorblad!$K$41,0,IF($U99=0,0,IF($U99&lt;1,1/$U99,IF((FT$56-Voorblad!$F$41)/$U99-SUM($EE99:FS99)=1,1,0))))</f>
        <v>0</v>
      </c>
      <c r="FU99" s="8">
        <f>IF(FU$56-Voorblad!$F$41&gt;Voorblad!$K$41,0,IF($U99=0,0,IF($U99&lt;1,1/$U99,IF((FU$56-Voorblad!$F$41)/$U99-SUM($EE99:FT99)=1,1,0))))</f>
        <v>0</v>
      </c>
      <c r="FV99" s="8">
        <f>IF(FV$56-Voorblad!$F$41&gt;Voorblad!$K$41,0,IF($U99=0,0,IF($U99&lt;1,1/$U99,IF((FV$56-Voorblad!$F$41)/$U99-SUM($EE99:FU99)=1,1,0))))</f>
        <v>0</v>
      </c>
      <c r="FW99" s="8">
        <f>IF(FW$56-Voorblad!$F$41&gt;Voorblad!$K$41,0,IF($U99=0,0,IF($U99&lt;1,1/$U99,IF((FW$56-Voorblad!$F$41)/$U99-SUM($EE99:FV99)=1,1,0))))</f>
        <v>0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157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0</v>
      </c>
      <c r="FP100" s="8">
        <f>IF(FP$56-Voorblad!$F$41&gt;Voorblad!$K$41,0,IF($U100=0,0,IF($U100&lt;1,1/$U100,IF((FP$56-Voorblad!$F$41)/$U100-SUM($EE100:FO100)=1,1,0))))</f>
        <v>0</v>
      </c>
      <c r="FQ100" s="8">
        <f>IF(FQ$56-Voorblad!$F$41&gt;Voorblad!$K$41,0,IF($U100=0,0,IF($U100&lt;1,1/$U100,IF((FQ$56-Voorblad!$F$41)/$U100-SUM($EE100:FP100)=1,1,0))))</f>
        <v>0</v>
      </c>
      <c r="FR100" s="8">
        <f>IF(FR$56-Voorblad!$F$41&gt;Voorblad!$K$41,0,IF($U100=0,0,IF($U100&lt;1,1/$U100,IF((FR$56-Voorblad!$F$41)/$U100-SUM($EE100:FQ100)=1,1,0))))</f>
        <v>0</v>
      </c>
      <c r="FS100" s="8">
        <f>IF(FS$56-Voorblad!$F$41&gt;Voorblad!$K$41,0,IF($U100=0,0,IF($U100&lt;1,1/$U100,IF((FS$56-Voorblad!$F$41)/$U100-SUM($EE100:FR100)=1,1,0))))</f>
        <v>0</v>
      </c>
      <c r="FT100" s="8">
        <f>IF(FT$56-Voorblad!$F$41&gt;Voorblad!$K$41,0,IF($U100=0,0,IF($U100&lt;1,1/$U100,IF((FT$56-Voorblad!$F$41)/$U100-SUM($EE100:FS100)=1,1,0))))</f>
        <v>0</v>
      </c>
      <c r="FU100" s="8">
        <f>IF(FU$56-Voorblad!$F$41&gt;Voorblad!$K$41,0,IF($U100=0,0,IF($U100&lt;1,1/$U100,IF((FU$56-Voorblad!$F$41)/$U100-SUM($EE100:FT100)=1,1,0))))</f>
        <v>0</v>
      </c>
      <c r="FV100" s="8">
        <f>IF(FV$56-Voorblad!$F$41&gt;Voorblad!$K$41,0,IF($U100=0,0,IF($U100&lt;1,1/$U100,IF((FV$56-Voorblad!$F$41)/$U100-SUM($EE100:FU100)=1,1,0))))</f>
        <v>0</v>
      </c>
      <c r="FW100" s="8">
        <f>IF(FW$56-Voorblad!$F$41&gt;Voorblad!$K$41,0,IF($U100=0,0,IF($U100&lt;1,1/$U100,IF((FW$56-Voorblad!$F$41)/$U100-SUM($EE100:FV100)=1,1,0))))</f>
        <v>0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158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0</v>
      </c>
      <c r="FP101" s="8">
        <f>IF(FP$56-Voorblad!$F$41&gt;Voorblad!$K$41,0,IF($U101=0,0,IF($U101&lt;1,1/$U101,IF((FP$56-Voorblad!$F$41)/$U101-SUM($EE101:FO101)=1,1,0))))</f>
        <v>0</v>
      </c>
      <c r="FQ101" s="8">
        <f>IF(FQ$56-Voorblad!$F$41&gt;Voorblad!$K$41,0,IF($U101=0,0,IF($U101&lt;1,1/$U101,IF((FQ$56-Voorblad!$F$41)/$U101-SUM($EE101:FP101)=1,1,0))))</f>
        <v>0</v>
      </c>
      <c r="FR101" s="8">
        <f>IF(FR$56-Voorblad!$F$41&gt;Voorblad!$K$41,0,IF($U101=0,0,IF($U101&lt;1,1/$U101,IF((FR$56-Voorblad!$F$41)/$U101-SUM($EE101:FQ101)=1,1,0))))</f>
        <v>0</v>
      </c>
      <c r="FS101" s="8">
        <f>IF(FS$56-Voorblad!$F$41&gt;Voorblad!$K$41,0,IF($U101=0,0,IF($U101&lt;1,1/$U101,IF((FS$56-Voorblad!$F$41)/$U101-SUM($EE101:FR101)=1,1,0))))</f>
        <v>0</v>
      </c>
      <c r="FT101" s="8">
        <f>IF(FT$56-Voorblad!$F$41&gt;Voorblad!$K$41,0,IF($U101=0,0,IF($U101&lt;1,1/$U101,IF((FT$56-Voorblad!$F$41)/$U101-SUM($EE101:FS101)=1,1,0))))</f>
        <v>0</v>
      </c>
      <c r="FU101" s="8">
        <f>IF(FU$56-Voorblad!$F$41&gt;Voorblad!$K$41,0,IF($U101=0,0,IF($U101&lt;1,1/$U101,IF((FU$56-Voorblad!$F$41)/$U101-SUM($EE101:FT101)=1,1,0))))</f>
        <v>0</v>
      </c>
      <c r="FV101" s="8">
        <f>IF(FV$56-Voorblad!$F$41&gt;Voorblad!$K$41,0,IF($U101=0,0,IF($U101&lt;1,1/$U101,IF((FV$56-Voorblad!$F$41)/$U101-SUM($EE101:FU101)=1,1,0))))</f>
        <v>0</v>
      </c>
      <c r="FW101" s="8">
        <f>IF(FW$56-Voorblad!$F$41&gt;Voorblad!$K$41,0,IF($U101=0,0,IF($U101&lt;1,1/$U101,IF((FW$56-Voorblad!$F$41)/$U101-SUM($EE101:FV101)=1,1,0))))</f>
        <v>0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0</v>
      </c>
      <c r="FP102" s="8">
        <f>IF(FP$56-Voorblad!$F$41&gt;Voorblad!$K$41,0,IF($U102=0,0,IF($U102&lt;1,1/$U102,IF((FP$56-Voorblad!$F$41)/$U102-SUM($EE102:FO102)=1,1,0))))</f>
        <v>0</v>
      </c>
      <c r="FQ102" s="8">
        <f>IF(FQ$56-Voorblad!$F$41&gt;Voorblad!$K$41,0,IF($U102=0,0,IF($U102&lt;1,1/$U102,IF((FQ$56-Voorblad!$F$41)/$U102-SUM($EE102:FP102)=1,1,0))))</f>
        <v>0</v>
      </c>
      <c r="FR102" s="8">
        <f>IF(FR$56-Voorblad!$F$41&gt;Voorblad!$K$41,0,IF($U102=0,0,IF($U102&lt;1,1/$U102,IF((FR$56-Voorblad!$F$41)/$U102-SUM($EE102:FQ102)=1,1,0))))</f>
        <v>0</v>
      </c>
      <c r="FS102" s="8">
        <f>IF(FS$56-Voorblad!$F$41&gt;Voorblad!$K$41,0,IF($U102=0,0,IF($U102&lt;1,1/$U102,IF((FS$56-Voorblad!$F$41)/$U102-SUM($EE102:FR102)=1,1,0))))</f>
        <v>0</v>
      </c>
      <c r="FT102" s="8">
        <f>IF(FT$56-Voorblad!$F$41&gt;Voorblad!$K$41,0,IF($U102=0,0,IF($U102&lt;1,1/$U102,IF((FT$56-Voorblad!$F$41)/$U102-SUM($EE102:FS102)=1,1,0))))</f>
        <v>0</v>
      </c>
      <c r="FU102" s="8">
        <f>IF(FU$56-Voorblad!$F$41&gt;Voorblad!$K$41,0,IF($U102=0,0,IF($U102&lt;1,1/$U102,IF((FU$56-Voorblad!$F$41)/$U102-SUM($EE102:FT102)=1,1,0))))</f>
        <v>0</v>
      </c>
      <c r="FV102" s="8">
        <f>IF(FV$56-Voorblad!$F$41&gt;Voorblad!$K$41,0,IF($U102=0,0,IF($U102&lt;1,1/$U102,IF((FV$56-Voorblad!$F$41)/$U102-SUM($EE102:FU102)=1,1,0))))</f>
        <v>0</v>
      </c>
      <c r="FW102" s="8">
        <f>IF(FW$56-Voorblad!$F$41&gt;Voorblad!$K$41,0,IF($U102=0,0,IF($U102&lt;1,1/$U102,IF((FW$56-Voorblad!$F$41)/$U102-SUM($EE102:FV102)=1,1,0))))</f>
        <v>0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0</v>
      </c>
      <c r="FP103" s="8">
        <f>IF(FP$56-Voorblad!$F$41&gt;Voorblad!$K$41,0,IF($U103=0,0,IF($U103&lt;1,1/$U103,IF((FP$56-Voorblad!$F$41)/$U103-SUM($EE103:FO103)=1,1,0))))</f>
        <v>0</v>
      </c>
      <c r="FQ103" s="8">
        <f>IF(FQ$56-Voorblad!$F$41&gt;Voorblad!$K$41,0,IF($U103=0,0,IF($U103&lt;1,1/$U103,IF((FQ$56-Voorblad!$F$41)/$U103-SUM($EE103:FP103)=1,1,0))))</f>
        <v>0</v>
      </c>
      <c r="FR103" s="8">
        <f>IF(FR$56-Voorblad!$F$41&gt;Voorblad!$K$41,0,IF($U103=0,0,IF($U103&lt;1,1/$U103,IF((FR$56-Voorblad!$F$41)/$U103-SUM($EE103:FQ103)=1,1,0))))</f>
        <v>0</v>
      </c>
      <c r="FS103" s="8">
        <f>IF(FS$56-Voorblad!$F$41&gt;Voorblad!$K$41,0,IF($U103=0,0,IF($U103&lt;1,1/$U103,IF((FS$56-Voorblad!$F$41)/$U103-SUM($EE103:FR103)=1,1,0))))</f>
        <v>0</v>
      </c>
      <c r="FT103" s="8">
        <f>IF(FT$56-Voorblad!$F$41&gt;Voorblad!$K$41,0,IF($U103=0,0,IF($U103&lt;1,1/$U103,IF((FT$56-Voorblad!$F$41)/$U103-SUM($EE103:FS103)=1,1,0))))</f>
        <v>0</v>
      </c>
      <c r="FU103" s="8">
        <f>IF(FU$56-Voorblad!$F$41&gt;Voorblad!$K$41,0,IF($U103=0,0,IF($U103&lt;1,1/$U103,IF((FU$56-Voorblad!$F$41)/$U103-SUM($EE103:FT103)=1,1,0))))</f>
        <v>0</v>
      </c>
      <c r="FV103" s="8">
        <f>IF(FV$56-Voorblad!$F$41&gt;Voorblad!$K$41,0,IF($U103=0,0,IF($U103&lt;1,1/$U103,IF((FV$56-Voorblad!$F$41)/$U103-SUM($EE103:FU103)=1,1,0))))</f>
        <v>0</v>
      </c>
      <c r="FW103" s="8">
        <f>IF(FW$56-Voorblad!$F$41&gt;Voorblad!$K$41,0,IF($U103=0,0,IF($U103&lt;1,1/$U103,IF((FW$56-Voorblad!$F$41)/$U103-SUM($EE103:FV103)=1,1,0))))</f>
        <v>0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0</v>
      </c>
      <c r="FP104" s="8">
        <f>IF(FP$56-Voorblad!$F$41&gt;Voorblad!$K$41,0,IF($U104=0,0,IF($U104&lt;1,1/$U104,IF((FP$56-Voorblad!$F$41)/$U104-SUM($EE104:FO104)=1,1,0))))</f>
        <v>0</v>
      </c>
      <c r="FQ104" s="8">
        <f>IF(FQ$56-Voorblad!$F$41&gt;Voorblad!$K$41,0,IF($U104=0,0,IF($U104&lt;1,1/$U104,IF((FQ$56-Voorblad!$F$41)/$U104-SUM($EE104:FP104)=1,1,0))))</f>
        <v>0</v>
      </c>
      <c r="FR104" s="8">
        <f>IF(FR$56-Voorblad!$F$41&gt;Voorblad!$K$41,0,IF($U104=0,0,IF($U104&lt;1,1/$U104,IF((FR$56-Voorblad!$F$41)/$U104-SUM($EE104:FQ104)=1,1,0))))</f>
        <v>0</v>
      </c>
      <c r="FS104" s="8">
        <f>IF(FS$56-Voorblad!$F$41&gt;Voorblad!$K$41,0,IF($U104=0,0,IF($U104&lt;1,1/$U104,IF((FS$56-Voorblad!$F$41)/$U104-SUM($EE104:FR104)=1,1,0))))</f>
        <v>0</v>
      </c>
      <c r="FT104" s="8">
        <f>IF(FT$56-Voorblad!$F$41&gt;Voorblad!$K$41,0,IF($U104=0,0,IF($U104&lt;1,1/$U104,IF((FT$56-Voorblad!$F$41)/$U104-SUM($EE104:FS104)=1,1,0))))</f>
        <v>0</v>
      </c>
      <c r="FU104" s="8">
        <f>IF(FU$56-Voorblad!$F$41&gt;Voorblad!$K$41,0,IF($U104=0,0,IF($U104&lt;1,1/$U104,IF((FU$56-Voorblad!$F$41)/$U104-SUM($EE104:FT104)=1,1,0))))</f>
        <v>0</v>
      </c>
      <c r="FV104" s="8">
        <f>IF(FV$56-Voorblad!$F$41&gt;Voorblad!$K$41,0,IF($U104=0,0,IF($U104&lt;1,1/$U104,IF((FV$56-Voorblad!$F$41)/$U104-SUM($EE104:FU104)=1,1,0))))</f>
        <v>0</v>
      </c>
      <c r="FW104" s="8">
        <f>IF(FW$56-Voorblad!$F$41&gt;Voorblad!$K$41,0,IF($U104=0,0,IF($U104&lt;1,1/$U104,IF((FW$56-Voorblad!$F$41)/$U104-SUM($EE104:FV104)=1,1,0))))</f>
        <v>0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274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280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3524.0013803420302</v>
      </c>
      <c r="Z109" s="82"/>
      <c r="AA109" s="82"/>
      <c r="AC109" s="9">
        <f>$Y109*(Voorblad!$K$44*(1+Voorblad!$K$44)^Voorblad!$K$41)/((1+Voorblad!$K$44)^Voorblad!$K$41-1)</f>
        <v>155.07985056662943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0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0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0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0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281</v>
      </c>
      <c r="K110" s="1" t="s">
        <v>114</v>
      </c>
      <c r="O110" s="1" t="s">
        <v>227</v>
      </c>
      <c r="P110" s="14" t="s">
        <v>228</v>
      </c>
      <c r="Q110" s="83">
        <f>50%*((2*(31.75+10.15+14)*31.9)+(2*(31.75+10.15+14)+31.9)*0.7)</f>
        <v>1833.5049999999999</v>
      </c>
      <c r="R110" s="1" t="s">
        <v>35</v>
      </c>
      <c r="S110" s="21">
        <f>$H$20*15</f>
        <v>26.55</v>
      </c>
      <c r="T110" s="9">
        <f t="shared" si="20"/>
        <v>48679.55775</v>
      </c>
      <c r="U110" s="14">
        <v>10</v>
      </c>
      <c r="V110" s="14"/>
      <c r="Y110" s="9">
        <f t="shared" si="21"/>
        <v>90943.735392215749</v>
      </c>
      <c r="Z110" s="82"/>
      <c r="AA110" s="82"/>
      <c r="AC110" s="9">
        <f>$Y110*(Voorblad!$K$44*(1+Voorblad!$K$44)^Voorblad!$K$41)/((1+Voorblad!$K$44)^Voorblad!$K$41-1)</f>
        <v>4002.1383003053911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38028.392711015229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29707.719606043382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23207.623075157138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0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0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281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0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281</v>
      </c>
      <c r="K112" s="1" t="s">
        <v>146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0</v>
      </c>
      <c r="FP112" s="8">
        <f>IF(FP$56-Voorblad!$F$41&gt;Voorblad!$K$41,0,IF($U112=0,0,IF($U112&lt;1,1/$U112,IF((FP$56-Voorblad!$F$41)/$U112-SUM($EE112:FO112)=1,1,0))))</f>
        <v>0</v>
      </c>
      <c r="FQ112" s="8">
        <f>IF(FQ$56-Voorblad!$F$41&gt;Voorblad!$K$41,0,IF($U112=0,0,IF($U112&lt;1,1/$U112,IF((FQ$56-Voorblad!$F$41)/$U112-SUM($EE112:FP112)=1,1,0))))</f>
        <v>0</v>
      </c>
      <c r="FR112" s="8">
        <f>IF(FR$56-Voorblad!$F$41&gt;Voorblad!$K$41,0,IF($U112=0,0,IF($U112&lt;1,1/$U112,IF((FR$56-Voorblad!$F$41)/$U112-SUM($EE112:FQ112)=1,1,0))))</f>
        <v>0</v>
      </c>
      <c r="FS112" s="8">
        <f>IF(FS$56-Voorblad!$F$41&gt;Voorblad!$K$41,0,IF($U112=0,0,IF($U112&lt;1,1/$U112,IF((FS$56-Voorblad!$F$41)/$U112-SUM($EE112:FR112)=1,1,0))))</f>
        <v>0</v>
      </c>
      <c r="FT112" s="8">
        <f>IF(FT$56-Voorblad!$F$41&gt;Voorblad!$K$41,0,IF($U112=0,0,IF($U112&lt;1,1/$U112,IF((FT$56-Voorblad!$F$41)/$U112-SUM($EE112:FS112)=1,1,0))))</f>
        <v>0</v>
      </c>
      <c r="FU112" s="8">
        <f>IF(FU$56-Voorblad!$F$41&gt;Voorblad!$K$41,0,IF($U112=0,0,IF($U112&lt;1,1/$U112,IF((FU$56-Voorblad!$F$41)/$U112-SUM($EE112:FT112)=1,1,0))))</f>
        <v>0</v>
      </c>
      <c r="FV112" s="8">
        <f>IF(FV$56-Voorblad!$F$41&gt;Voorblad!$K$41,0,IF($U112=0,0,IF($U112&lt;1,1/$U112,IF((FV$56-Voorblad!$F$41)/$U112-SUM($EE112:FU112)=1,1,0))))</f>
        <v>0</v>
      </c>
      <c r="FW112" s="8">
        <f>IF(FW$56-Voorblad!$F$41&gt;Voorblad!$K$41,0,IF($U112=0,0,IF($U112&lt;1,1/$U112,IF((FW$56-Voorblad!$F$41)/$U112-SUM($EE112:FV112)=1,1,0))))</f>
        <v>0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281</v>
      </c>
      <c r="K113" s="1" t="s">
        <v>160</v>
      </c>
      <c r="P113" s="1" t="s">
        <v>185</v>
      </c>
      <c r="Q113" s="83">
        <f>6*31.9</f>
        <v>191.39999999999998</v>
      </c>
      <c r="R113" s="147" t="s">
        <v>197</v>
      </c>
      <c r="S113" s="21">
        <f>$H$20*350</f>
        <v>619.5</v>
      </c>
      <c r="T113" s="9">
        <f t="shared" si="20"/>
        <v>118572.29999999999</v>
      </c>
      <c r="U113" s="14">
        <v>15</v>
      </c>
      <c r="V113" s="14"/>
      <c r="Y113" s="9">
        <f>SUM(AE113:EB113)</f>
        <v>138398.56583526288</v>
      </c>
      <c r="Z113" s="82"/>
      <c r="AA113" s="82"/>
      <c r="AC113" s="9">
        <f>$Y113*(Voorblad!$K$44*(1+Voorblad!$K$44)^Voorblad!$K$41)/((1+Voorblad!$K$44)^Voorblad!$K$41-1)</f>
        <v>6090.4711979100493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81870.08914517927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56528.476690083618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281</v>
      </c>
      <c r="K114" s="14" t="s">
        <v>169</v>
      </c>
      <c r="L114" s="14"/>
      <c r="M114" s="14"/>
      <c r="O114" s="1" t="s">
        <v>171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281</v>
      </c>
      <c r="K115" s="14" t="s">
        <v>163</v>
      </c>
      <c r="O115" s="14" t="s">
        <v>159</v>
      </c>
      <c r="P115" s="14" t="s">
        <v>200</v>
      </c>
      <c r="Q115" s="84">
        <f>2.5%*2*31.9</f>
        <v>1.595</v>
      </c>
      <c r="R115" s="14" t="s">
        <v>34</v>
      </c>
      <c r="S115" s="21">
        <f>$H$20*1000</f>
        <v>1770</v>
      </c>
      <c r="T115" s="21">
        <f t="shared" si="20"/>
        <v>2823.15</v>
      </c>
      <c r="U115" s="14">
        <v>15</v>
      </c>
      <c r="Y115" s="21">
        <f t="shared" si="22"/>
        <v>3295.2039484586403</v>
      </c>
      <c r="Z115" s="149"/>
      <c r="AA115" s="149"/>
      <c r="AC115" s="9">
        <f>$Y115*(Voorblad!$K$44*(1+Voorblad!$K$44)^Voorblad!$K$41)/((1+Voorblad!$K$44)^Voorblad!$K$41-1)</f>
        <v>145.01121899785835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1949.2878367899827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1345.9161116686578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281</v>
      </c>
      <c r="K116" s="14" t="s">
        <v>198</v>
      </c>
      <c r="L116" s="14"/>
      <c r="M116" s="14"/>
      <c r="O116" s="1" t="s">
        <v>172</v>
      </c>
      <c r="P116" s="1" t="s">
        <v>175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281</v>
      </c>
      <c r="K117" s="14" t="s">
        <v>199</v>
      </c>
      <c r="L117" s="14"/>
      <c r="M117" s="14"/>
      <c r="O117" s="1" t="s">
        <v>173</v>
      </c>
      <c r="P117" s="1" t="s">
        <v>176</v>
      </c>
      <c r="Q117" s="84">
        <f>2.5%*1*40</f>
        <v>1</v>
      </c>
      <c r="R117" s="1" t="s">
        <v>34</v>
      </c>
      <c r="S117" s="14">
        <f>$H$20*500</f>
        <v>885</v>
      </c>
      <c r="T117" s="9">
        <f t="shared" si="20"/>
        <v>885</v>
      </c>
      <c r="U117" s="14">
        <v>15</v>
      </c>
      <c r="V117" s="14"/>
      <c r="Y117" s="9">
        <f t="shared" si="22"/>
        <v>1032.9792941876617</v>
      </c>
      <c r="Z117" s="82"/>
      <c r="AA117" s="82"/>
      <c r="AC117" s="9">
        <f>$Y117*(Voorblad!$K$44*(1+Voorblad!$K$44)^Voorblad!$K$41)/((1+Voorblad!$K$44)^Voorblad!$K$41-1)</f>
        <v>45.458062381773779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611.0620178025024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421.9172763851592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281</v>
      </c>
      <c r="K118" s="14" t="s">
        <v>212</v>
      </c>
      <c r="L118" s="14"/>
      <c r="M118" s="14"/>
      <c r="O118" s="1" t="s">
        <v>173</v>
      </c>
      <c r="P118" s="1" t="s">
        <v>176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281</v>
      </c>
      <c r="K119" s="14" t="s">
        <v>190</v>
      </c>
      <c r="L119" s="14"/>
      <c r="M119" s="14"/>
      <c r="O119" s="1" t="s">
        <v>174</v>
      </c>
      <c r="P119" s="1" t="s">
        <v>177</v>
      </c>
      <c r="Q119" s="81">
        <f>2.5%*50*1</f>
        <v>1.25</v>
      </c>
      <c r="R119" s="1" t="s">
        <v>35</v>
      </c>
      <c r="S119" s="14">
        <f>$H$20*500</f>
        <v>885</v>
      </c>
      <c r="T119" s="9">
        <f t="shared" si="20"/>
        <v>1106.25</v>
      </c>
      <c r="U119" s="14">
        <v>15</v>
      </c>
      <c r="V119" s="14"/>
      <c r="Y119" s="9">
        <f t="shared" si="22"/>
        <v>1291.224117734577</v>
      </c>
      <c r="Z119" s="82"/>
      <c r="AA119" s="82"/>
      <c r="AC119" s="9">
        <f>$Y119*(Voorblad!$K$44*(1+Voorblad!$K$44)^Voorblad!$K$41)/((1+Voorblad!$K$44)^Voorblad!$K$41-1)</f>
        <v>56.822577977217222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763.827522253128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527.39659548144903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281</v>
      </c>
      <c r="K120" s="1" t="s">
        <v>207</v>
      </c>
      <c r="O120" s="1" t="s">
        <v>179</v>
      </c>
      <c r="P120" s="1" t="s">
        <v>180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281</v>
      </c>
      <c r="K121" s="14" t="s">
        <v>206</v>
      </c>
      <c r="L121" s="14"/>
      <c r="M121" s="14"/>
      <c r="O121" s="1" t="s">
        <v>179</v>
      </c>
      <c r="P121" s="1" t="s">
        <v>181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281</v>
      </c>
      <c r="K122" s="14" t="s">
        <v>202</v>
      </c>
      <c r="L122" s="14"/>
      <c r="M122" s="14"/>
      <c r="O122" s="1" t="s">
        <v>179</v>
      </c>
      <c r="P122" s="1" t="s">
        <v>182</v>
      </c>
      <c r="Q122" s="83">
        <v>40</v>
      </c>
      <c r="R122" s="1" t="s">
        <v>34</v>
      </c>
      <c r="S122" s="14">
        <f>$H$20*100</f>
        <v>177</v>
      </c>
      <c r="T122" s="1">
        <f t="shared" si="20"/>
        <v>7080</v>
      </c>
      <c r="U122" s="14">
        <v>15</v>
      </c>
      <c r="V122" s="14"/>
      <c r="Y122" s="9">
        <f t="shared" si="23"/>
        <v>8263.8343535012937</v>
      </c>
      <c r="Z122" s="82"/>
      <c r="AA122" s="82"/>
      <c r="AC122" s="9">
        <f>$Y122*(Voorblad!$K$44*(1+Voorblad!$K$44)^Voorblad!$K$41)/((1+Voorblad!$K$44)^Voorblad!$K$41-1)</f>
        <v>363.66449905419023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4888.4961424200192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3375.3382110812736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281</v>
      </c>
      <c r="K123" s="14" t="s">
        <v>201</v>
      </c>
      <c r="L123" s="14"/>
      <c r="M123" s="14"/>
      <c r="O123" s="1" t="s">
        <v>179</v>
      </c>
      <c r="P123" s="1" t="s">
        <v>183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281</v>
      </c>
      <c r="K124" s="14" t="s">
        <v>208</v>
      </c>
      <c r="L124" s="14"/>
      <c r="M124" s="14"/>
      <c r="O124" s="1" t="s">
        <v>179</v>
      </c>
      <c r="P124" s="1" t="s">
        <v>184</v>
      </c>
      <c r="Q124" s="81">
        <v>50</v>
      </c>
      <c r="R124" s="1" t="s">
        <v>35</v>
      </c>
      <c r="S124" s="21">
        <f>$H$20*0.6*100</f>
        <v>106.2</v>
      </c>
      <c r="T124" s="9">
        <f t="shared" si="20"/>
        <v>5310</v>
      </c>
      <c r="U124" s="14">
        <v>15</v>
      </c>
      <c r="V124" s="14"/>
      <c r="Y124" s="9">
        <f t="shared" si="23"/>
        <v>6197.8757651259693</v>
      </c>
      <c r="Z124" s="82"/>
      <c r="AA124" s="82"/>
      <c r="AC124" s="229">
        <f>$Y124*(Voorblad!$K$44*(1+Voorblad!$K$44)^Voorblad!$K$41)/((1+Voorblad!$K$44)^Voorblad!$K$41-1)</f>
        <v>272.74837429064269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3666.3721068150144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2531.503658310955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272</v>
      </c>
      <c r="C125" s="2"/>
      <c r="S125" s="14"/>
      <c r="U125" s="14"/>
      <c r="V125" s="14"/>
      <c r="Y125" s="23">
        <f>SUM(Y109:Y124)</f>
        <v>252947.42008682879</v>
      </c>
      <c r="Z125" s="24"/>
      <c r="AA125" s="23">
        <f>SUM(AA109:AA124)</f>
        <v>0</v>
      </c>
      <c r="AC125" s="9">
        <f>$Y125*(Voorblad!$K$44*(1+Voorblad!$K$44)^Voorblad!$K$41)/((1+Voorblad!$K$44)^Voorblad!$K$41-1)</f>
        <v>11131.394081483753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38719.753296542498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94360.196789062407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30247.809390473445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88360.08889455341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0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0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147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0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0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194</v>
      </c>
      <c r="K131" s="1" t="s">
        <v>213</v>
      </c>
      <c r="O131" s="1" t="s">
        <v>188</v>
      </c>
      <c r="P131" s="1" t="s">
        <v>180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194</v>
      </c>
      <c r="K132" s="14" t="s">
        <v>214</v>
      </c>
      <c r="O132" s="1" t="s">
        <v>188</v>
      </c>
      <c r="P132" s="1" t="s">
        <v>181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194</v>
      </c>
      <c r="K133" s="1" t="s">
        <v>210</v>
      </c>
      <c r="O133" s="1" t="s">
        <v>188</v>
      </c>
      <c r="P133" s="1" t="s">
        <v>182</v>
      </c>
      <c r="Q133" s="81">
        <f>1*40</f>
        <v>40</v>
      </c>
      <c r="R133" s="1" t="s">
        <v>34</v>
      </c>
      <c r="S133" s="21">
        <f>$H$10*125</f>
        <v>297.5</v>
      </c>
      <c r="T133" s="9">
        <f t="shared" si="104"/>
        <v>11900</v>
      </c>
      <c r="U133" s="14">
        <v>30</v>
      </c>
      <c r="V133" s="14"/>
      <c r="Y133" s="9">
        <f t="shared" si="21"/>
        <v>5673.2379536535527</v>
      </c>
      <c r="Z133" s="82"/>
      <c r="AA133" s="82"/>
      <c r="AC133" s="9">
        <f>$Y133*(Voorblad!$K$44*(1+Voorblad!$K$44)^Voorblad!$K$41)/((1+Voorblad!$K$44)^Voorblad!$K$41-1)</f>
        <v>249.66076886046281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5673.2379536535527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194</v>
      </c>
      <c r="K134" s="14" t="s">
        <v>211</v>
      </c>
      <c r="O134" s="1" t="s">
        <v>188</v>
      </c>
      <c r="P134" s="1" t="s">
        <v>183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194</v>
      </c>
      <c r="K135" s="14" t="s">
        <v>209</v>
      </c>
      <c r="O135" s="1" t="s">
        <v>188</v>
      </c>
      <c r="P135" s="1" t="s">
        <v>184</v>
      </c>
      <c r="Q135" s="81">
        <f>50*1</f>
        <v>50</v>
      </c>
      <c r="R135" s="1" t="s">
        <v>35</v>
      </c>
      <c r="S135" s="21">
        <f>$H$10*0.6*125</f>
        <v>178.5</v>
      </c>
      <c r="T135" s="9">
        <f t="shared" si="104"/>
        <v>8925</v>
      </c>
      <c r="U135" s="14">
        <v>30</v>
      </c>
      <c r="V135" s="14"/>
      <c r="Y135" s="9">
        <f t="shared" si="107"/>
        <v>4254.9284652401648</v>
      </c>
      <c r="Z135" s="82"/>
      <c r="AA135" s="82"/>
      <c r="AC135" s="9">
        <f>$Y135*(Voorblad!$K$44*(1+Voorblad!$K$44)^Voorblad!$K$41)/((1+Voorblad!$K$44)^Voorblad!$K$41-1)</f>
        <v>187.24557664534711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4254.9284652401648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185</v>
      </c>
      <c r="Q136" s="83">
        <f>6*31.9</f>
        <v>191.39999999999998</v>
      </c>
      <c r="R136" s="147" t="s">
        <v>197</v>
      </c>
      <c r="S136" s="14">
        <f>$H$10*500</f>
        <v>1190</v>
      </c>
      <c r="T136" s="9">
        <f t="shared" si="104"/>
        <v>227765.99999999997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162</v>
      </c>
      <c r="O137" s="14" t="s">
        <v>215</v>
      </c>
      <c r="P137" s="14" t="s">
        <v>218</v>
      </c>
      <c r="Q137" s="84">
        <f>7.5%*2*31.9</f>
        <v>4.7849999999999993</v>
      </c>
      <c r="R137" s="14" t="s">
        <v>34</v>
      </c>
      <c r="S137" s="21">
        <f>$H$10*1000</f>
        <v>2380</v>
      </c>
      <c r="T137" s="21">
        <f t="shared" si="104"/>
        <v>11388.299999999997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205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161</v>
      </c>
      <c r="P139" s="14" t="s">
        <v>195</v>
      </c>
      <c r="Q139" s="81">
        <f>1*40</f>
        <v>40</v>
      </c>
      <c r="R139" s="1" t="s">
        <v>34</v>
      </c>
      <c r="S139" s="14">
        <f>$H$10*400</f>
        <v>952</v>
      </c>
      <c r="T139" s="1">
        <f t="shared" si="104"/>
        <v>38080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189</v>
      </c>
      <c r="P140" s="14" t="s">
        <v>195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193</v>
      </c>
      <c r="P141" s="14" t="s">
        <v>195</v>
      </c>
      <c r="Q141" s="81">
        <f>50*1</f>
        <v>50</v>
      </c>
      <c r="R141" s="1" t="s">
        <v>35</v>
      </c>
      <c r="S141" s="14">
        <f>$H$10*400</f>
        <v>952</v>
      </c>
      <c r="T141" s="9">
        <f t="shared" si="104"/>
        <v>47600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1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136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196</v>
      </c>
      <c r="Q146" s="83">
        <f>6*31.9</f>
        <v>191.39999999999998</v>
      </c>
      <c r="R146" s="147" t="s">
        <v>197</v>
      </c>
      <c r="S146" s="14">
        <f>$H$10*500</f>
        <v>1190</v>
      </c>
      <c r="T146" s="1">
        <f t="shared" si="104"/>
        <v>227765.99999999997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273</v>
      </c>
      <c r="C147" s="2"/>
      <c r="D147" s="22"/>
      <c r="N147" s="6"/>
      <c r="S147" s="14"/>
      <c r="U147" s="14"/>
      <c r="V147" s="14"/>
      <c r="Y147" s="23">
        <f>SUM(Y127:Y146)</f>
        <v>9928.1664188937175</v>
      </c>
      <c r="Z147" s="24"/>
      <c r="AA147" s="23">
        <f>SUM(AA127:AA146)</f>
        <v>0</v>
      </c>
      <c r="AC147" s="9">
        <f>$Y147*(Voorblad!$K$44*(1+Voorblad!$K$44)^Voorblad!$K$41)/((1+Voorblad!$K$44)^Voorblad!$K$41-1)</f>
        <v>436.90634550580995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9928.1664188937175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231</v>
      </c>
      <c r="Q149" s="83">
        <f>(31.75+10.15+14)*31.9</f>
        <v>1783.2099999999998</v>
      </c>
      <c r="R149" s="81" t="s">
        <v>35</v>
      </c>
      <c r="S149" s="81">
        <v>7860</v>
      </c>
      <c r="T149" s="21">
        <f>Q149*S149</f>
        <v>14016030.599999998</v>
      </c>
      <c r="U149" s="11">
        <v>1</v>
      </c>
      <c r="V149" s="14">
        <f>Voorblad!F24+100</f>
        <v>2062</v>
      </c>
      <c r="W149" s="9">
        <f>Voorblad!K77</f>
        <v>2062</v>
      </c>
      <c r="X149" s="6"/>
      <c r="Y149" s="9">
        <f t="shared" si="21"/>
        <v>6053598.5043979269</v>
      </c>
      <c r="Z149" s="82" t="s">
        <v>312</v>
      </c>
      <c r="AA149" s="82">
        <v>156</v>
      </c>
      <c r="AC149" s="9">
        <f>$Y149*(Voorblad!$K$44*(1+Voorblad!$K$44)^Voorblad!$K$41)/((1+Voorblad!$K$44)^Voorblad!$K$41-1)</f>
        <v>266399.20083155169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6053598.5043979269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0</v>
      </c>
      <c r="FP149" s="8">
        <f>IF(FP$56-Voorblad!$F$41&gt;Voorblad!$K$41,0,IF($U149=0,0,IF($U149&lt;1,1/$U149,IF((FP$56-Voorblad!$F$41)/$U149-SUM($EE149:FO149)=1,1,0))))</f>
        <v>0</v>
      </c>
      <c r="FQ149" s="8">
        <f>IF(FQ$56-Voorblad!$F$41&gt;Voorblad!$K$41,0,IF($U149=0,0,IF($U149&lt;1,1/$U149,IF((FQ$56-Voorblad!$F$41)/$U149-SUM($EE149:FP149)=1,1,0))))</f>
        <v>0</v>
      </c>
      <c r="FR149" s="8">
        <f>IF(FR$56-Voorblad!$F$41&gt;Voorblad!$K$41,0,IF($U149=0,0,IF($U149&lt;1,1/$U149,IF((FR$56-Voorblad!$F$41)/$U149-SUM($EE149:FQ149)=1,1,0))))</f>
        <v>0</v>
      </c>
      <c r="FS149" s="8">
        <f>IF(FS$56-Voorblad!$F$41&gt;Voorblad!$K$41,0,IF($U149=0,0,IF($U149&lt;1,1/$U149,IF((FS$56-Voorblad!$F$41)/$U149-SUM($EE149:FR149)=1,1,0))))</f>
        <v>0</v>
      </c>
      <c r="FT149" s="8">
        <f>IF(FT$56-Voorblad!$F$41&gt;Voorblad!$K$41,0,IF($U149=0,0,IF($U149&lt;1,1/$U149,IF((FT$56-Voorblad!$F$41)/$U149-SUM($EE149:FS149)=1,1,0))))</f>
        <v>0</v>
      </c>
      <c r="FU149" s="8">
        <f>IF(FU$56-Voorblad!$F$41&gt;Voorblad!$K$41,0,IF($U149=0,0,IF($U149&lt;1,1/$U149,IF((FU$56-Voorblad!$F$41)/$U149-SUM($EE149:FT149)=1,1,0))))</f>
        <v>0</v>
      </c>
      <c r="FV149" s="8">
        <f>IF(FV$56-Voorblad!$F$41&gt;Voorblad!$K$41,0,IF($U149=0,0,IF($U149&lt;1,1/$U149,IF((FV$56-Voorblad!$F$41)/$U149-SUM($EE149:FU149)=1,1,0))))</f>
        <v>0</v>
      </c>
      <c r="FW149" s="8">
        <f>IF(FW$56-Voorblad!$F$41&gt;Voorblad!$K$41,0,IF($U149=0,0,IF($U149&lt;1,1/$U149,IF((FW$56-Voorblad!$F$41)/$U149-SUM($EE149:FV149)=1,1,0))))</f>
        <v>0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0</v>
      </c>
      <c r="FP150" s="8">
        <f>IF(FP$56-Voorblad!$F$41&gt;Voorblad!$K$41,0,IF($U150=0,0,IF($U150&lt;1,1/$U150,IF((FP$56-Voorblad!$F$41)/$U150-SUM($EE150:FO150)=1,1,0))))</f>
        <v>0</v>
      </c>
      <c r="FQ150" s="8">
        <f>IF(FQ$56-Voorblad!$F$41&gt;Voorblad!$K$41,0,IF($U150=0,0,IF($U150&lt;1,1/$U150,IF((FQ$56-Voorblad!$F$41)/$U150-SUM($EE150:FP150)=1,1,0))))</f>
        <v>0</v>
      </c>
      <c r="FR150" s="8">
        <f>IF(FR$56-Voorblad!$F$41&gt;Voorblad!$K$41,0,IF($U150=0,0,IF($U150&lt;1,1/$U150,IF((FR$56-Voorblad!$F$41)/$U150-SUM($EE150:FQ150)=1,1,0))))</f>
        <v>0</v>
      </c>
      <c r="FS150" s="8">
        <f>IF(FS$56-Voorblad!$F$41&gt;Voorblad!$K$41,0,IF($U150=0,0,IF($U150&lt;1,1/$U150,IF((FS$56-Voorblad!$F$41)/$U150-SUM($EE150:FR150)=1,1,0))))</f>
        <v>0</v>
      </c>
      <c r="FT150" s="8">
        <f>IF(FT$56-Voorblad!$F$41&gt;Voorblad!$K$41,0,IF($U150=0,0,IF($U150&lt;1,1/$U150,IF((FT$56-Voorblad!$F$41)/$U150-SUM($EE150:FS150)=1,1,0))))</f>
        <v>0</v>
      </c>
      <c r="FU150" s="8">
        <f>IF(FU$56-Voorblad!$F$41&gt;Voorblad!$K$41,0,IF($U150=0,0,IF($U150&lt;1,1/$U150,IF((FU$56-Voorblad!$F$41)/$U150-SUM($EE150:FT150)=1,1,0))))</f>
        <v>0</v>
      </c>
      <c r="FV150" s="8">
        <f>IF(FV$56-Voorblad!$F$41&gt;Voorblad!$K$41,0,IF($U150=0,0,IF($U150&lt;1,1/$U150,IF((FV$56-Voorblad!$F$41)/$U150-SUM($EE150:FU150)=1,1,0))))</f>
        <v>0</v>
      </c>
      <c r="FW150" s="8">
        <f>IF(FW$56-Voorblad!$F$41&gt;Voorblad!$K$41,0,IF($U150=0,0,IF($U150&lt;1,1/$U150,IF((FW$56-Voorblad!$F$41)/$U150-SUM($EE150:FV150)=1,1,0))))</f>
        <v>0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280320.61199999996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0</v>
      </c>
      <c r="FP151" s="8">
        <f>IF(FP$56-Voorblad!$F$41&gt;Voorblad!$K$41,0,IF($U151=0,0,IF($U151&lt;1,1/$U151,IF((FP$56-Voorblad!$F$41)/$U151-SUM($EE151:FO151)=1,1,0))))</f>
        <v>0</v>
      </c>
      <c r="FQ151" s="8">
        <f>IF(FQ$56-Voorblad!$F$41&gt;Voorblad!$K$41,0,IF($U151=0,0,IF($U151&lt;1,1/$U151,IF((FQ$56-Voorblad!$F$41)/$U151-SUM($EE151:FP151)=1,1,0))))</f>
        <v>0</v>
      </c>
      <c r="FR151" s="8">
        <f>IF(FR$56-Voorblad!$F$41&gt;Voorblad!$K$41,0,IF($U151=0,0,IF($U151&lt;1,1/$U151,IF((FR$56-Voorblad!$F$41)/$U151-SUM($EE151:FQ151)=1,1,0))))</f>
        <v>0</v>
      </c>
      <c r="FS151" s="8">
        <f>IF(FS$56-Voorblad!$F$41&gt;Voorblad!$K$41,0,IF($U151=0,0,IF($U151&lt;1,1/$U151,IF((FS$56-Voorblad!$F$41)/$U151-SUM($EE151:FR151)=1,1,0))))</f>
        <v>0</v>
      </c>
      <c r="FT151" s="8">
        <f>IF(FT$56-Voorblad!$F$41&gt;Voorblad!$K$41,0,IF($U151=0,0,IF($U151&lt;1,1/$U151,IF((FT$56-Voorblad!$F$41)/$U151-SUM($EE151:FS151)=1,1,0))))</f>
        <v>0</v>
      </c>
      <c r="FU151" s="8">
        <f>IF(FU$56-Voorblad!$F$41&gt;Voorblad!$K$41,0,IF($U151=0,0,IF($U151&lt;1,1/$U151,IF((FU$56-Voorblad!$F$41)/$U151-SUM($EE151:FT151)=1,1,0))))</f>
        <v>0</v>
      </c>
      <c r="FV151" s="8">
        <f>IF(FV$56-Voorblad!$F$41&gt;Voorblad!$K$41,0,IF($U151=0,0,IF($U151&lt;1,1/$U151,IF((FV$56-Voorblad!$F$41)/$U151-SUM($EE151:FU151)=1,1,0))))</f>
        <v>0</v>
      </c>
      <c r="FW151" s="8">
        <f>IF(FW$56-Voorblad!$F$41&gt;Voorblad!$K$41,0,IF($U151=0,0,IF($U151&lt;1,1/$U151,IF((FW$56-Voorblad!$F$41)/$U151-SUM($EE151:FV151)=1,1,0))))</f>
        <v>0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560641.22399999993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0</v>
      </c>
      <c r="FP152" s="8">
        <f>IF(FP$56-Voorblad!$F$41&gt;Voorblad!$K$41,0,IF($U152=0,0,IF($U152&lt;1,1/$U152,IF((FP$56-Voorblad!$F$41)/$U152-SUM($EE152:FO152)=1,1,0))))</f>
        <v>0</v>
      </c>
      <c r="FQ152" s="8">
        <f>IF(FQ$56-Voorblad!$F$41&gt;Voorblad!$K$41,0,IF($U152=0,0,IF($U152&lt;1,1/$U152,IF((FQ$56-Voorblad!$F$41)/$U152-SUM($EE152:FP152)=1,1,0))))</f>
        <v>0</v>
      </c>
      <c r="FR152" s="8">
        <f>IF(FR$56-Voorblad!$F$41&gt;Voorblad!$K$41,0,IF($U152=0,0,IF($U152&lt;1,1/$U152,IF((FR$56-Voorblad!$F$41)/$U152-SUM($EE152:FQ152)=1,1,0))))</f>
        <v>0</v>
      </c>
      <c r="FS152" s="8">
        <f>IF(FS$56-Voorblad!$F$41&gt;Voorblad!$K$41,0,IF($U152=0,0,IF($U152&lt;1,1/$U152,IF((FS$56-Voorblad!$F$41)/$U152-SUM($EE152:FR152)=1,1,0))))</f>
        <v>0</v>
      </c>
      <c r="FT152" s="8">
        <f>IF(FT$56-Voorblad!$F$41&gt;Voorblad!$K$41,0,IF($U152=0,0,IF($U152&lt;1,1/$U152,IF((FT$56-Voorblad!$F$41)/$U152-SUM($EE152:FS152)=1,1,0))))</f>
        <v>0</v>
      </c>
      <c r="FU152" s="8">
        <f>IF(FU$56-Voorblad!$F$41&gt;Voorblad!$K$41,0,IF($U152=0,0,IF($U152&lt;1,1/$U152,IF((FU$56-Voorblad!$F$41)/$U152-SUM($EE152:FT152)=1,1,0))))</f>
        <v>0</v>
      </c>
      <c r="FV152" s="8">
        <f>IF(FV$56-Voorblad!$F$41&gt;Voorblad!$K$41,0,IF($U152=0,0,IF($U152&lt;1,1/$U152,IF((FV$56-Voorblad!$F$41)/$U152-SUM($EE152:FU152)=1,1,0))))</f>
        <v>0</v>
      </c>
      <c r="FW152" s="8">
        <f>IF(FW$56-Voorblad!$F$41&gt;Voorblad!$K$41,0,IF($U152=0,0,IF($U152&lt;1,1/$U152,IF((FW$56-Voorblad!$F$41)/$U152-SUM($EE152:FV152)=1,1,0))))</f>
        <v>0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981122.14199999999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0</v>
      </c>
      <c r="FP153" s="8">
        <f>IF(FP$56-Voorblad!$F$41&gt;Voorblad!$K$41,0,IF($U153=0,0,IF($U153&lt;1,1/$U153,IF((FP$56-Voorblad!$F$41)/$U153-SUM($EE153:FO153)=1,1,0))))</f>
        <v>0</v>
      </c>
      <c r="FQ153" s="8">
        <f>IF(FQ$56-Voorblad!$F$41&gt;Voorblad!$K$41,0,IF($U153=0,0,IF($U153&lt;1,1/$U153,IF((FQ$56-Voorblad!$F$41)/$U153-SUM($EE153:FP153)=1,1,0))))</f>
        <v>0</v>
      </c>
      <c r="FR153" s="8">
        <f>IF(FR$56-Voorblad!$F$41&gt;Voorblad!$K$41,0,IF($U153=0,0,IF($U153&lt;1,1/$U153,IF((FR$56-Voorblad!$F$41)/$U153-SUM($EE153:FQ153)=1,1,0))))</f>
        <v>0</v>
      </c>
      <c r="FS153" s="8">
        <f>IF(FS$56-Voorblad!$F$41&gt;Voorblad!$K$41,0,IF($U153=0,0,IF($U153&lt;1,1/$U153,IF((FS$56-Voorblad!$F$41)/$U153-SUM($EE153:FR153)=1,1,0))))</f>
        <v>0</v>
      </c>
      <c r="FT153" s="8">
        <f>IF(FT$56-Voorblad!$F$41&gt;Voorblad!$K$41,0,IF($U153=0,0,IF($U153&lt;1,1/$U153,IF((FT$56-Voorblad!$F$41)/$U153-SUM($EE153:FS153)=1,1,0))))</f>
        <v>0</v>
      </c>
      <c r="FU153" s="8">
        <f>IF(FU$56-Voorblad!$F$41&gt;Voorblad!$K$41,0,IF($U153=0,0,IF($U153&lt;1,1/$U153,IF((FU$56-Voorblad!$F$41)/$U153-SUM($EE153:FT153)=1,1,0))))</f>
        <v>0</v>
      </c>
      <c r="FV153" s="8">
        <f>IF(FV$56-Voorblad!$F$41&gt;Voorblad!$K$41,0,IF($U153=0,0,IF($U153&lt;1,1/$U153,IF((FV$56-Voorblad!$F$41)/$U153-SUM($EE153:FU153)=1,1,0))))</f>
        <v>0</v>
      </c>
      <c r="FW153" s="8">
        <f>IF(FW$56-Voorblad!$F$41&gt;Voorblad!$K$41,0,IF($U153=0,0,IF($U153&lt;1,1/$U153,IF((FW$56-Voorblad!$F$41)/$U153-SUM($EE153:FV153)=1,1,0))))</f>
        <v>0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274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14016030.599999998</v>
      </c>
      <c r="U154" s="14"/>
      <c r="V154" s="14"/>
      <c r="W154" s="14"/>
      <c r="X154" s="6"/>
      <c r="Y154" s="23">
        <f>SUM(Y149:Y153)</f>
        <v>6053598.5043979269</v>
      </c>
      <c r="Z154" s="24"/>
      <c r="AA154" s="23">
        <f>SUM(AA149:AA153)</f>
        <v>156</v>
      </c>
      <c r="AC154" s="9">
        <f>$Y154*(Voorblad!$K$44*(1+Voorblad!$K$44)^Voorblad!$K$41)/((1+Voorblad!$K$44)^Voorblad!$K$41-1)</f>
        <v>266399.20083155169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280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0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0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281</v>
      </c>
      <c r="K159" s="1" t="s">
        <v>111</v>
      </c>
      <c r="O159" s="1" t="s">
        <v>135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0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281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0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281</v>
      </c>
      <c r="K161" s="1" t="s">
        <v>146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0</v>
      </c>
      <c r="FP161" s="8">
        <f>IF(FP$56-Voorblad!$F$41&gt;Voorblad!$K$41,0,IF($U161=0,0,IF($U161&lt;1,1/$U161,IF((FP$56-Voorblad!$F$41)/$U161-SUM($EE161:FO161)=1,1,0))))</f>
        <v>0</v>
      </c>
      <c r="FQ161" s="8">
        <f>IF(FQ$56-Voorblad!$F$41&gt;Voorblad!$K$41,0,IF($U161=0,0,IF($U161&lt;1,1/$U161,IF((FQ$56-Voorblad!$F$41)/$U161-SUM($EE161:FP161)=1,1,0))))</f>
        <v>0</v>
      </c>
      <c r="FR161" s="8">
        <f>IF(FR$56-Voorblad!$F$41&gt;Voorblad!$K$41,0,IF($U161=0,0,IF($U161&lt;1,1/$U161,IF((FR$56-Voorblad!$F$41)/$U161-SUM($EE161:FQ161)=1,1,0))))</f>
        <v>0</v>
      </c>
      <c r="FS161" s="8">
        <f>IF(FS$56-Voorblad!$F$41&gt;Voorblad!$K$41,0,IF($U161=0,0,IF($U161&lt;1,1/$U161,IF((FS$56-Voorblad!$F$41)/$U161-SUM($EE161:FR161)=1,1,0))))</f>
        <v>0</v>
      </c>
      <c r="FT161" s="8">
        <f>IF(FT$56-Voorblad!$F$41&gt;Voorblad!$K$41,0,IF($U161=0,0,IF($U161&lt;1,1/$U161,IF((FT$56-Voorblad!$F$41)/$U161-SUM($EE161:FS161)=1,1,0))))</f>
        <v>0</v>
      </c>
      <c r="FU161" s="8">
        <f>IF(FU$56-Voorblad!$F$41&gt;Voorblad!$K$41,0,IF($U161=0,0,IF($U161&lt;1,1/$U161,IF((FU$56-Voorblad!$F$41)/$U161-SUM($EE161:FT161)=1,1,0))))</f>
        <v>0</v>
      </c>
      <c r="FV161" s="8">
        <f>IF(FV$56-Voorblad!$F$41&gt;Voorblad!$K$41,0,IF($U161=0,0,IF($U161&lt;1,1/$U161,IF((FV$56-Voorblad!$F$41)/$U161-SUM($EE161:FU161)=1,1,0))))</f>
        <v>0</v>
      </c>
      <c r="FW161" s="8">
        <f>IF(FW$56-Voorblad!$F$41&gt;Voorblad!$K$41,0,IF($U161=0,0,IF($U161&lt;1,1/$U161,IF((FW$56-Voorblad!$F$41)/$U161-SUM($EE161:FV161)=1,1,0))))</f>
        <v>0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281</v>
      </c>
      <c r="K162" s="1" t="s">
        <v>216</v>
      </c>
      <c r="P162" s="1" t="s">
        <v>185</v>
      </c>
      <c r="Q162" s="83">
        <v>0</v>
      </c>
      <c r="R162" s="147" t="s">
        <v>197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0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281</v>
      </c>
      <c r="K163" s="14" t="s">
        <v>163</v>
      </c>
      <c r="O163" s="14" t="s">
        <v>159</v>
      </c>
      <c r="P163" s="14" t="s">
        <v>200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281</v>
      </c>
      <c r="K164" s="14" t="s">
        <v>198</v>
      </c>
      <c r="L164" s="14"/>
      <c r="M164" s="14"/>
      <c r="O164" s="1" t="s">
        <v>172</v>
      </c>
      <c r="P164" s="1" t="s">
        <v>175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281</v>
      </c>
      <c r="K165" s="14" t="s">
        <v>199</v>
      </c>
      <c r="L165" s="14"/>
      <c r="M165" s="14"/>
      <c r="O165" s="1" t="s">
        <v>173</v>
      </c>
      <c r="P165" s="1" t="s">
        <v>176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281</v>
      </c>
      <c r="K166" s="14" t="s">
        <v>212</v>
      </c>
      <c r="L166" s="14"/>
      <c r="M166" s="14"/>
      <c r="O166" s="1" t="s">
        <v>173</v>
      </c>
      <c r="P166" s="1" t="s">
        <v>176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281</v>
      </c>
      <c r="K167" s="14" t="s">
        <v>190</v>
      </c>
      <c r="L167" s="14"/>
      <c r="M167" s="14"/>
      <c r="O167" s="1" t="s">
        <v>174</v>
      </c>
      <c r="P167" s="1" t="s">
        <v>177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281</v>
      </c>
      <c r="K168" s="14" t="s">
        <v>206</v>
      </c>
      <c r="L168" s="14"/>
      <c r="M168" s="14"/>
      <c r="O168" s="1" t="s">
        <v>179</v>
      </c>
      <c r="P168" s="1" t="s">
        <v>181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281</v>
      </c>
      <c r="K169" s="14" t="s">
        <v>202</v>
      </c>
      <c r="L169" s="14"/>
      <c r="M169" s="14"/>
      <c r="O169" s="1" t="s">
        <v>179</v>
      </c>
      <c r="P169" s="1" t="s">
        <v>182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281</v>
      </c>
      <c r="K170" s="14" t="s">
        <v>201</v>
      </c>
      <c r="L170" s="14"/>
      <c r="M170" s="14"/>
      <c r="O170" s="1" t="s">
        <v>179</v>
      </c>
      <c r="P170" s="1" t="s">
        <v>183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281</v>
      </c>
      <c r="K171" s="14" t="s">
        <v>208</v>
      </c>
      <c r="L171" s="14"/>
      <c r="M171" s="14"/>
      <c r="O171" s="1" t="s">
        <v>179</v>
      </c>
      <c r="P171" s="1" t="s">
        <v>184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272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194</v>
      </c>
      <c r="K174" s="14" t="s">
        <v>214</v>
      </c>
      <c r="O174" s="1" t="s">
        <v>188</v>
      </c>
      <c r="P174" s="1" t="s">
        <v>181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194</v>
      </c>
      <c r="K175" s="1" t="s">
        <v>210</v>
      </c>
      <c r="O175" s="1" t="s">
        <v>188</v>
      </c>
      <c r="P175" s="1" t="s">
        <v>182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194</v>
      </c>
      <c r="K176" s="14" t="s">
        <v>211</v>
      </c>
      <c r="O176" s="1" t="s">
        <v>188</v>
      </c>
      <c r="P176" s="1" t="s">
        <v>183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194</v>
      </c>
      <c r="K177" s="14" t="s">
        <v>209</v>
      </c>
      <c r="O177" s="1" t="s">
        <v>188</v>
      </c>
      <c r="P177" s="1" t="s">
        <v>184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185</v>
      </c>
      <c r="Q178" s="83">
        <v>0</v>
      </c>
      <c r="R178" s="147" t="s">
        <v>197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162</v>
      </c>
      <c r="O179" s="14" t="s">
        <v>215</v>
      </c>
      <c r="P179" s="14" t="s">
        <v>218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205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217</v>
      </c>
      <c r="P181" s="14" t="s">
        <v>195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164</v>
      </c>
      <c r="P182" s="14" t="s">
        <v>195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193</v>
      </c>
      <c r="P183" s="14" t="s">
        <v>195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196</v>
      </c>
      <c r="Q184" s="81">
        <v>0</v>
      </c>
      <c r="R184" s="147" t="s">
        <v>197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273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2062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0</v>
      </c>
      <c r="FP187" s="8">
        <f>IF(FP$56-Voorblad!$F$41&gt;Voorblad!$K$41,0,IF($U187=0,0,IF($U187&lt;1,1/$U187,IF((FP$56-Voorblad!$F$41)/$U187-SUM($EE187:FO187)=1,1,0))))</f>
        <v>0</v>
      </c>
      <c r="FQ187" s="8">
        <f>IF(FQ$56-Voorblad!$F$41&gt;Voorblad!$K$41,0,IF($U187=0,0,IF($U187&lt;1,1/$U187,IF((FQ$56-Voorblad!$F$41)/$U187-SUM($EE187:FP187)=1,1,0))))</f>
        <v>0</v>
      </c>
      <c r="FR187" s="8">
        <f>IF(FR$56-Voorblad!$F$41&gt;Voorblad!$K$41,0,IF($U187=0,0,IF($U187&lt;1,1/$U187,IF((FR$56-Voorblad!$F$41)/$U187-SUM($EE187:FQ187)=1,1,0))))</f>
        <v>0</v>
      </c>
      <c r="FS187" s="8">
        <f>IF(FS$56-Voorblad!$F$41&gt;Voorblad!$K$41,0,IF($U187=0,0,IF($U187&lt;1,1/$U187,IF((FS$56-Voorblad!$F$41)/$U187-SUM($EE187:FR187)=1,1,0))))</f>
        <v>0</v>
      </c>
      <c r="FT187" s="8">
        <f>IF(FT$56-Voorblad!$F$41&gt;Voorblad!$K$41,0,IF($U187=0,0,IF($U187&lt;1,1/$U187,IF((FT$56-Voorblad!$F$41)/$U187-SUM($EE187:FS187)=1,1,0))))</f>
        <v>0</v>
      </c>
      <c r="FU187" s="8">
        <f>IF(FU$56-Voorblad!$F$41&gt;Voorblad!$K$41,0,IF($U187=0,0,IF($U187&lt;1,1/$U187,IF((FU$56-Voorblad!$F$41)/$U187-SUM($EE187:FT187)=1,1,0))))</f>
        <v>0</v>
      </c>
      <c r="FV187" s="8">
        <f>IF(FV$56-Voorblad!$F$41&gt;Voorblad!$K$41,0,IF($U187=0,0,IF($U187&lt;1,1/$U187,IF((FV$56-Voorblad!$F$41)/$U187-SUM($EE187:FU187)=1,1,0))))</f>
        <v>0</v>
      </c>
      <c r="FW187" s="8">
        <f>IF(FW$56-Voorblad!$F$41&gt;Voorblad!$K$41,0,IF($U187=0,0,IF($U187&lt;1,1/$U187,IF((FW$56-Voorblad!$F$41)/$U187-SUM($EE187:FV187)=1,1,0))))</f>
        <v>0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0</v>
      </c>
      <c r="FP188" s="8">
        <f>IF(FP$56-Voorblad!$F$41&gt;Voorblad!$K$41,0,IF($U188=0,0,IF($U188&lt;1,1/$U188,IF((FP$56-Voorblad!$F$41)/$U188-SUM($EE188:FO188)=1,1,0))))</f>
        <v>0</v>
      </c>
      <c r="FQ188" s="8">
        <f>IF(FQ$56-Voorblad!$F$41&gt;Voorblad!$K$41,0,IF($U188=0,0,IF($U188&lt;1,1/$U188,IF((FQ$56-Voorblad!$F$41)/$U188-SUM($EE188:FP188)=1,1,0))))</f>
        <v>0</v>
      </c>
      <c r="FR188" s="8">
        <f>IF(FR$56-Voorblad!$F$41&gt;Voorblad!$K$41,0,IF($U188=0,0,IF($U188&lt;1,1/$U188,IF((FR$56-Voorblad!$F$41)/$U188-SUM($EE188:FQ188)=1,1,0))))</f>
        <v>0</v>
      </c>
      <c r="FS188" s="8">
        <f>IF(FS$56-Voorblad!$F$41&gt;Voorblad!$K$41,0,IF($U188=0,0,IF($U188&lt;1,1/$U188,IF((FS$56-Voorblad!$F$41)/$U188-SUM($EE188:FR188)=1,1,0))))</f>
        <v>0</v>
      </c>
      <c r="FT188" s="8">
        <f>IF(FT$56-Voorblad!$F$41&gt;Voorblad!$K$41,0,IF($U188=0,0,IF($U188&lt;1,1/$U188,IF((FT$56-Voorblad!$F$41)/$U188-SUM($EE188:FS188)=1,1,0))))</f>
        <v>0</v>
      </c>
      <c r="FU188" s="8">
        <f>IF(FU$56-Voorblad!$F$41&gt;Voorblad!$K$41,0,IF($U188=0,0,IF($U188&lt;1,1/$U188,IF((FU$56-Voorblad!$F$41)/$U188-SUM($EE188:FT188)=1,1,0))))</f>
        <v>0</v>
      </c>
      <c r="FV188" s="8">
        <f>IF(FV$56-Voorblad!$F$41&gt;Voorblad!$K$41,0,IF($U188=0,0,IF($U188&lt;1,1/$U188,IF((FV$56-Voorblad!$F$41)/$U188-SUM($EE188:FU188)=1,1,0))))</f>
        <v>0</v>
      </c>
      <c r="FW188" s="8">
        <f>IF(FW$56-Voorblad!$F$41&gt;Voorblad!$K$41,0,IF($U188=0,0,IF($U188&lt;1,1/$U188,IF((FW$56-Voorblad!$F$41)/$U188-SUM($EE188:FV188)=1,1,0))))</f>
        <v>0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0</v>
      </c>
      <c r="FP189" s="8">
        <f>IF(FP$56-Voorblad!$F$41&gt;Voorblad!$K$41,0,IF($U189=0,0,IF($U189&lt;1,1/$U189,IF((FP$56-Voorblad!$F$41)/$U189-SUM($EE189:FO189)=1,1,0))))</f>
        <v>0</v>
      </c>
      <c r="FQ189" s="8">
        <f>IF(FQ$56-Voorblad!$F$41&gt;Voorblad!$K$41,0,IF($U189=0,0,IF($U189&lt;1,1/$U189,IF((FQ$56-Voorblad!$F$41)/$U189-SUM($EE189:FP189)=1,1,0))))</f>
        <v>0</v>
      </c>
      <c r="FR189" s="8">
        <f>IF(FR$56-Voorblad!$F$41&gt;Voorblad!$K$41,0,IF($U189=0,0,IF($U189&lt;1,1/$U189,IF((FR$56-Voorblad!$F$41)/$U189-SUM($EE189:FQ189)=1,1,0))))</f>
        <v>0</v>
      </c>
      <c r="FS189" s="8">
        <f>IF(FS$56-Voorblad!$F$41&gt;Voorblad!$K$41,0,IF($U189=0,0,IF($U189&lt;1,1/$U189,IF((FS$56-Voorblad!$F$41)/$U189-SUM($EE189:FR189)=1,1,0))))</f>
        <v>0</v>
      </c>
      <c r="FT189" s="8">
        <f>IF(FT$56-Voorblad!$F$41&gt;Voorblad!$K$41,0,IF($U189=0,0,IF($U189&lt;1,1/$U189,IF((FT$56-Voorblad!$F$41)/$U189-SUM($EE189:FS189)=1,1,0))))</f>
        <v>0</v>
      </c>
      <c r="FU189" s="8">
        <f>IF(FU$56-Voorblad!$F$41&gt;Voorblad!$K$41,0,IF($U189=0,0,IF($U189&lt;1,1/$U189,IF((FU$56-Voorblad!$F$41)/$U189-SUM($EE189:FT189)=1,1,0))))</f>
        <v>0</v>
      </c>
      <c r="FV189" s="8">
        <f>IF(FV$56-Voorblad!$F$41&gt;Voorblad!$K$41,0,IF($U189=0,0,IF($U189&lt;1,1/$U189,IF((FV$56-Voorblad!$F$41)/$U189-SUM($EE189:FU189)=1,1,0))))</f>
        <v>0</v>
      </c>
      <c r="FW189" s="8">
        <f>IF(FW$56-Voorblad!$F$41&gt;Voorblad!$K$41,0,IF($U189=0,0,IF($U189&lt;1,1/$U189,IF((FW$56-Voorblad!$F$41)/$U189-SUM($EE189:FV189)=1,1,0))))</f>
        <v>0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0</v>
      </c>
      <c r="FP190" s="8">
        <f>IF(FP$56-Voorblad!$F$41&gt;Voorblad!$K$41,0,IF($U190=0,0,IF($U190&lt;1,1/$U190,IF((FP$56-Voorblad!$F$41)/$U190-SUM($EE190:FO190)=1,1,0))))</f>
        <v>0</v>
      </c>
      <c r="FQ190" s="8">
        <f>IF(FQ$56-Voorblad!$F$41&gt;Voorblad!$K$41,0,IF($U190=0,0,IF($U190&lt;1,1/$U190,IF((FQ$56-Voorblad!$F$41)/$U190-SUM($EE190:FP190)=1,1,0))))</f>
        <v>0</v>
      </c>
      <c r="FR190" s="8">
        <f>IF(FR$56-Voorblad!$F$41&gt;Voorblad!$K$41,0,IF($U190=0,0,IF($U190&lt;1,1/$U190,IF((FR$56-Voorblad!$F$41)/$U190-SUM($EE190:FQ190)=1,1,0))))</f>
        <v>0</v>
      </c>
      <c r="FS190" s="8">
        <f>IF(FS$56-Voorblad!$F$41&gt;Voorblad!$K$41,0,IF($U190=0,0,IF($U190&lt;1,1/$U190,IF((FS$56-Voorblad!$F$41)/$U190-SUM($EE190:FR190)=1,1,0))))</f>
        <v>0</v>
      </c>
      <c r="FT190" s="8">
        <f>IF(FT$56-Voorblad!$F$41&gt;Voorblad!$K$41,0,IF($U190=0,0,IF($U190&lt;1,1/$U190,IF((FT$56-Voorblad!$F$41)/$U190-SUM($EE190:FS190)=1,1,0))))</f>
        <v>0</v>
      </c>
      <c r="FU190" s="8">
        <f>IF(FU$56-Voorblad!$F$41&gt;Voorblad!$K$41,0,IF($U190=0,0,IF($U190&lt;1,1/$U190,IF((FU$56-Voorblad!$F$41)/$U190-SUM($EE190:FT190)=1,1,0))))</f>
        <v>0</v>
      </c>
      <c r="FV190" s="8">
        <f>IF(FV$56-Voorblad!$F$41&gt;Voorblad!$K$41,0,IF($U190=0,0,IF($U190&lt;1,1/$U190,IF((FV$56-Voorblad!$F$41)/$U190-SUM($EE190:FU190)=1,1,0))))</f>
        <v>0</v>
      </c>
      <c r="FW190" s="8">
        <f>IF(FW$56-Voorblad!$F$41&gt;Voorblad!$K$41,0,IF($U190=0,0,IF($U190&lt;1,1/$U190,IF((FW$56-Voorblad!$F$41)/$U190-SUM($EE190:FV190)=1,1,0))))</f>
        <v>0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274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280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3524.0013803420302</v>
      </c>
      <c r="Z195" s="82"/>
      <c r="AA195" s="82"/>
      <c r="AC195" s="9">
        <f>$Y195*(Voorblad!$K$44*(1+Voorblad!$K$44)^Voorblad!$K$41)/((1+Voorblad!$K$44)^Voorblad!$K$41-1)</f>
        <v>155.07985056662943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0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0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281</v>
      </c>
      <c r="K196" s="1" t="s">
        <v>83</v>
      </c>
      <c r="O196" s="1" t="s">
        <v>135</v>
      </c>
      <c r="P196" s="1" t="s">
        <v>314</v>
      </c>
      <c r="Q196" s="84">
        <f>(2*2.5*31.9)+(2*2.5*(20%*31.9))+(4*4*(20%*31.9))</f>
        <v>293.48</v>
      </c>
      <c r="R196" s="1" t="s">
        <v>35</v>
      </c>
      <c r="S196" s="21">
        <f>$H$20*15</f>
        <v>26.55</v>
      </c>
      <c r="T196" s="9">
        <f>Q196*S196</f>
        <v>7791.8940000000011</v>
      </c>
      <c r="U196" s="14">
        <v>10</v>
      </c>
      <c r="V196" s="14"/>
      <c r="Y196" s="9">
        <f t="shared" si="199"/>
        <v>14556.910105457842</v>
      </c>
      <c r="Z196" s="82"/>
      <c r="AA196" s="82"/>
      <c r="AC196" s="9">
        <f>$Y196*(Voorblad!$K$44*(1+Voorblad!$K$44)^Voorblad!$K$41)/((1+Voorblad!$K$44)^Voorblad!$K$41-1)</f>
        <v>640.60231544153214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6087.0151392162834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4755.1664980360638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3714.728468205496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0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281</v>
      </c>
      <c r="K197" s="1" t="s">
        <v>84</v>
      </c>
      <c r="O197" s="1" t="s">
        <v>134</v>
      </c>
      <c r="Q197" s="84">
        <f>(2*2.5*31.9)+(2*2.5*(20%*31.9))+(4*2.5*(20%*31.9))</f>
        <v>255.2</v>
      </c>
      <c r="R197" s="1" t="s">
        <v>35</v>
      </c>
      <c r="S197" s="21">
        <f>$H$20*20</f>
        <v>35.4</v>
      </c>
      <c r="T197" s="1">
        <f>Q197*S197</f>
        <v>9034.08</v>
      </c>
      <c r="U197" s="14">
        <v>10</v>
      </c>
      <c r="V197" s="14"/>
      <c r="Y197" s="9">
        <f>SUM(AE197:EB197)</f>
        <v>16877.576933864162</v>
      </c>
      <c r="Z197" s="82"/>
      <c r="AA197" s="82"/>
      <c r="AC197" s="9">
        <f>$Y197*(Voorblad!$K$44*(1+Voorblad!$K$44)^Voorblad!$K$41)/((1+Voorblad!$K$44)^Voorblad!$K$41-1)</f>
        <v>742.72732225105165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7057.4088570623562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5513.2365194621025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4306.9315573397053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0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281</v>
      </c>
      <c r="K198" s="1" t="s">
        <v>82</v>
      </c>
      <c r="O198" s="1" t="s">
        <v>219</v>
      </c>
      <c r="P198" s="1" t="s">
        <v>175</v>
      </c>
      <c r="Q198" s="84">
        <f>2.5%*Q196</f>
        <v>7.3370000000000006</v>
      </c>
      <c r="R198" s="1" t="s">
        <v>35</v>
      </c>
      <c r="S198" s="14">
        <f>$H$20*500</f>
        <v>885</v>
      </c>
      <c r="T198" s="9">
        <f>Q198*S198</f>
        <v>6493.2450000000008</v>
      </c>
      <c r="U198" s="14">
        <v>15</v>
      </c>
      <c r="V198" s="14"/>
      <c r="Y198" s="9">
        <f t="shared" si="199"/>
        <v>7578.969081454874</v>
      </c>
      <c r="Z198" s="82"/>
      <c r="AA198" s="82"/>
      <c r="AC198" s="229">
        <f>$Y198*(Voorblad!$K$44*(1+Voorblad!$K$44)^Voorblad!$K$41)/((1+Voorblad!$K$44)^Voorblad!$K$41-1)</f>
        <v>333.52580369507422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4483.3620246169612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3095.6070568379132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42537.457501118908</v>
      </c>
      <c r="Z199" s="24"/>
      <c r="AA199" s="23">
        <f>SUM(AA195:AA198)</f>
        <v>0</v>
      </c>
      <c r="AC199" s="9">
        <f>$Y199*(Voorblad!$K$44*(1+Voorblad!$K$44)^Voorblad!$K$41)/((1+Voorblad!$K$44)^Voorblad!$K$41-1)</f>
        <v>1871.9352919542875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272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223</v>
      </c>
      <c r="P201" s="1" t="s">
        <v>224</v>
      </c>
      <c r="Q201" s="84">
        <f>5%*Q196</f>
        <v>14.674000000000001</v>
      </c>
      <c r="R201" s="1" t="s">
        <v>35</v>
      </c>
      <c r="S201" s="14">
        <f>$H$10*500</f>
        <v>1190</v>
      </c>
      <c r="T201" s="9">
        <f>Q201*S201</f>
        <v>17462.060000000001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273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232</v>
      </c>
      <c r="Q204" s="83">
        <f>(31.75+10.15+14)*31.9</f>
        <v>1783.2099999999998</v>
      </c>
      <c r="R204" s="81" t="s">
        <v>35</v>
      </c>
      <c r="S204" s="81">
        <v>4060</v>
      </c>
      <c r="T204" s="9">
        <f>Q204*S204</f>
        <v>7239832.5999999996</v>
      </c>
      <c r="U204" s="11">
        <v>1</v>
      </c>
      <c r="V204" s="14">
        <f>Voorblad!F25+100</f>
        <v>2062</v>
      </c>
      <c r="W204" s="9">
        <f>Voorblad!K85</f>
        <v>2062</v>
      </c>
      <c r="X204" s="6"/>
      <c r="Y204" s="9">
        <f t="shared" si="199"/>
        <v>3126922.3826788277</v>
      </c>
      <c r="Z204" s="82" t="s">
        <v>312</v>
      </c>
      <c r="AA204" s="82">
        <v>156</v>
      </c>
      <c r="AC204" s="9">
        <f>$Y204*(Voorblad!$K$44*(1+Voorblad!$K$44)^Voorblad!$K$41)/((1+Voorblad!$K$44)^Voorblad!$K$41-1)</f>
        <v>137605.69406820612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3126922.3826788277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0</v>
      </c>
      <c r="FP204" s="8">
        <f>IF(FP$56-Voorblad!$F$41&gt;Voorblad!$K$41,0,IF($U204=0,0,IF($U204&lt;1,1/$U204,IF((FP$56-Voorblad!$F$41)/$U204-SUM($EE204:FO204)=1,1,0))))</f>
        <v>0</v>
      </c>
      <c r="FQ204" s="8">
        <f>IF(FQ$56-Voorblad!$F$41&gt;Voorblad!$K$41,0,IF($U204=0,0,IF($U204&lt;1,1/$U204,IF((FQ$56-Voorblad!$F$41)/$U204-SUM($EE204:FP204)=1,1,0))))</f>
        <v>0</v>
      </c>
      <c r="FR204" s="8">
        <f>IF(FR$56-Voorblad!$F$41&gt;Voorblad!$K$41,0,IF($U204=0,0,IF($U204&lt;1,1/$U204,IF((FR$56-Voorblad!$F$41)/$U204-SUM($EE204:FQ204)=1,1,0))))</f>
        <v>0</v>
      </c>
      <c r="FS204" s="8">
        <f>IF(FS$56-Voorblad!$F$41&gt;Voorblad!$K$41,0,IF($U204=0,0,IF($U204&lt;1,1/$U204,IF((FS$56-Voorblad!$F$41)/$U204-SUM($EE204:FR204)=1,1,0))))</f>
        <v>0</v>
      </c>
      <c r="FT204" s="8">
        <f>IF(FT$56-Voorblad!$F$41&gt;Voorblad!$K$41,0,IF($U204=0,0,IF($U204&lt;1,1/$U204,IF((FT$56-Voorblad!$F$41)/$U204-SUM($EE204:FS204)=1,1,0))))</f>
        <v>0</v>
      </c>
      <c r="FU204" s="8">
        <f>IF(FU$56-Voorblad!$F$41&gt;Voorblad!$K$41,0,IF($U204=0,0,IF($U204&lt;1,1/$U204,IF((FU$56-Voorblad!$F$41)/$U204-SUM($EE204:FT204)=1,1,0))))</f>
        <v>0</v>
      </c>
      <c r="FV204" s="8">
        <f>IF(FV$56-Voorblad!$F$41&gt;Voorblad!$K$41,0,IF($U204=0,0,IF($U204&lt;1,1/$U204,IF((FV$56-Voorblad!$F$41)/$U204-SUM($EE204:FU204)=1,1,0))))</f>
        <v>0</v>
      </c>
      <c r="FW204" s="8">
        <f>IF(FW$56-Voorblad!$F$41&gt;Voorblad!$K$41,0,IF($U204=0,0,IF($U204&lt;1,1/$U204,IF((FW$56-Voorblad!$F$41)/$U204-SUM($EE204:FV204)=1,1,0))))</f>
        <v>0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144796.652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0</v>
      </c>
      <c r="FP205" s="8">
        <f>IF(FP$56-Voorblad!$F$41&gt;Voorblad!$K$41,0,IF($U205=0,0,IF($U205&lt;1,1/$U205,IF((FP$56-Voorblad!$F$41)/$U205-SUM($EE205:FO205)=1,1,0))))</f>
        <v>0</v>
      </c>
      <c r="FQ205" s="8">
        <f>IF(FQ$56-Voorblad!$F$41&gt;Voorblad!$K$41,0,IF($U205=0,0,IF($U205&lt;1,1/$U205,IF((FQ$56-Voorblad!$F$41)/$U205-SUM($EE205:FP205)=1,1,0))))</f>
        <v>0</v>
      </c>
      <c r="FR205" s="8">
        <f>IF(FR$56-Voorblad!$F$41&gt;Voorblad!$K$41,0,IF($U205=0,0,IF($U205&lt;1,1/$U205,IF((FR$56-Voorblad!$F$41)/$U205-SUM($EE205:FQ205)=1,1,0))))</f>
        <v>0</v>
      </c>
      <c r="FS205" s="8">
        <f>IF(FS$56-Voorblad!$F$41&gt;Voorblad!$K$41,0,IF($U205=0,0,IF($U205&lt;1,1/$U205,IF((FS$56-Voorblad!$F$41)/$U205-SUM($EE205:FR205)=1,1,0))))</f>
        <v>0</v>
      </c>
      <c r="FT205" s="8">
        <f>IF(FT$56-Voorblad!$F$41&gt;Voorblad!$K$41,0,IF($U205=0,0,IF($U205&lt;1,1/$U205,IF((FT$56-Voorblad!$F$41)/$U205-SUM($EE205:FS205)=1,1,0))))</f>
        <v>0</v>
      </c>
      <c r="FU205" s="8">
        <f>IF(FU$56-Voorblad!$F$41&gt;Voorblad!$K$41,0,IF($U205=0,0,IF($U205&lt;1,1/$U205,IF((FU$56-Voorblad!$F$41)/$U205-SUM($EE205:FT205)=1,1,0))))</f>
        <v>0</v>
      </c>
      <c r="FV205" s="8">
        <f>IF(FV$56-Voorblad!$F$41&gt;Voorblad!$K$41,0,IF($U205=0,0,IF($U205&lt;1,1/$U205,IF((FV$56-Voorblad!$F$41)/$U205-SUM($EE205:FU205)=1,1,0))))</f>
        <v>0</v>
      </c>
      <c r="FW205" s="8">
        <f>IF(FW$56-Voorblad!$F$41&gt;Voorblad!$K$41,0,IF($U205=0,0,IF($U205&lt;1,1/$U205,IF((FW$56-Voorblad!$F$41)/$U205-SUM($EE205:FV205)=1,1,0))))</f>
        <v>0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289593.304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0</v>
      </c>
      <c r="FP206" s="8">
        <f>IF(FP$56-Voorblad!$F$41&gt;Voorblad!$K$41,0,IF($U206=0,0,IF($U206&lt;1,1/$U206,IF((FP$56-Voorblad!$F$41)/$U206-SUM($EE206:FO206)=1,1,0))))</f>
        <v>0</v>
      </c>
      <c r="FQ206" s="8">
        <f>IF(FQ$56-Voorblad!$F$41&gt;Voorblad!$K$41,0,IF($U206=0,0,IF($U206&lt;1,1/$U206,IF((FQ$56-Voorblad!$F$41)/$U206-SUM($EE206:FP206)=1,1,0))))</f>
        <v>0</v>
      </c>
      <c r="FR206" s="8">
        <f>IF(FR$56-Voorblad!$F$41&gt;Voorblad!$K$41,0,IF($U206=0,0,IF($U206&lt;1,1/$U206,IF((FR$56-Voorblad!$F$41)/$U206-SUM($EE206:FQ206)=1,1,0))))</f>
        <v>0</v>
      </c>
      <c r="FS206" s="8">
        <f>IF(FS$56-Voorblad!$F$41&gt;Voorblad!$K$41,0,IF($U206=0,0,IF($U206&lt;1,1/$U206,IF((FS$56-Voorblad!$F$41)/$U206-SUM($EE206:FR206)=1,1,0))))</f>
        <v>0</v>
      </c>
      <c r="FT206" s="8">
        <f>IF(FT$56-Voorblad!$F$41&gt;Voorblad!$K$41,0,IF($U206=0,0,IF($U206&lt;1,1/$U206,IF((FT$56-Voorblad!$F$41)/$U206-SUM($EE206:FS206)=1,1,0))))</f>
        <v>0</v>
      </c>
      <c r="FU206" s="8">
        <f>IF(FU$56-Voorblad!$F$41&gt;Voorblad!$K$41,0,IF($U206=0,0,IF($U206&lt;1,1/$U206,IF((FU$56-Voorblad!$F$41)/$U206-SUM($EE206:FT206)=1,1,0))))</f>
        <v>0</v>
      </c>
      <c r="FV206" s="8">
        <f>IF(FV$56-Voorblad!$F$41&gt;Voorblad!$K$41,0,IF($U206=0,0,IF($U206&lt;1,1/$U206,IF((FV$56-Voorblad!$F$41)/$U206-SUM($EE206:FU206)=1,1,0))))</f>
        <v>0</v>
      </c>
      <c r="FW206" s="8">
        <f>IF(FW$56-Voorblad!$F$41&gt;Voorblad!$K$41,0,IF($U206=0,0,IF($U206&lt;1,1/$U206,IF((FW$56-Voorblad!$F$41)/$U206-SUM($EE206:FV206)=1,1,0))))</f>
        <v>0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506788.28200000001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0</v>
      </c>
      <c r="FP207" s="8">
        <f>IF(FP$56-Voorblad!$F$41&gt;Voorblad!$K$41,0,IF($U207=0,0,IF($U207&lt;1,1/$U207,IF((FP$56-Voorblad!$F$41)/$U207-SUM($EE207:FO207)=1,1,0))))</f>
        <v>0</v>
      </c>
      <c r="FQ207" s="8">
        <f>IF(FQ$56-Voorblad!$F$41&gt;Voorblad!$K$41,0,IF($U207=0,0,IF($U207&lt;1,1/$U207,IF((FQ$56-Voorblad!$F$41)/$U207-SUM($EE207:FP207)=1,1,0))))</f>
        <v>0</v>
      </c>
      <c r="FR207" s="8">
        <f>IF(FR$56-Voorblad!$F$41&gt;Voorblad!$K$41,0,IF($U207=0,0,IF($U207&lt;1,1/$U207,IF((FR$56-Voorblad!$F$41)/$U207-SUM($EE207:FQ207)=1,1,0))))</f>
        <v>0</v>
      </c>
      <c r="FS207" s="8">
        <f>IF(FS$56-Voorblad!$F$41&gt;Voorblad!$K$41,0,IF($U207=0,0,IF($U207&lt;1,1/$U207,IF((FS$56-Voorblad!$F$41)/$U207-SUM($EE207:FR207)=1,1,0))))</f>
        <v>0</v>
      </c>
      <c r="FT207" s="8">
        <f>IF(FT$56-Voorblad!$F$41&gt;Voorblad!$K$41,0,IF($U207=0,0,IF($U207&lt;1,1/$U207,IF((FT$56-Voorblad!$F$41)/$U207-SUM($EE207:FS207)=1,1,0))))</f>
        <v>0</v>
      </c>
      <c r="FU207" s="8">
        <f>IF(FU$56-Voorblad!$F$41&gt;Voorblad!$K$41,0,IF($U207=0,0,IF($U207&lt;1,1/$U207,IF((FU$56-Voorblad!$F$41)/$U207-SUM($EE207:FT207)=1,1,0))))</f>
        <v>0</v>
      </c>
      <c r="FV207" s="8">
        <f>IF(FV$56-Voorblad!$F$41&gt;Voorblad!$K$41,0,IF($U207=0,0,IF($U207&lt;1,1/$U207,IF((FV$56-Voorblad!$F$41)/$U207-SUM($EE207:FU207)=1,1,0))))</f>
        <v>0</v>
      </c>
      <c r="FW207" s="8">
        <f>IF(FW$56-Voorblad!$F$41&gt;Voorblad!$K$41,0,IF($U207=0,0,IF($U207&lt;1,1/$U207,IF((FW$56-Voorblad!$F$41)/$U207-SUM($EE207:FV207)=1,1,0))))</f>
        <v>0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274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7239832.5999999996</v>
      </c>
      <c r="U208" s="14"/>
      <c r="V208" s="14"/>
      <c r="W208" s="14"/>
      <c r="X208" s="6"/>
      <c r="Y208" s="23">
        <f>SUM(Y204:Y207)</f>
        <v>3126922.3826788277</v>
      </c>
      <c r="Z208" s="24"/>
      <c r="AA208" s="23">
        <f>SUM(AA204:AA207)</f>
        <v>156</v>
      </c>
      <c r="AC208" s="9">
        <f>$Y208*(Voorblad!$K$44*(1+Voorblad!$K$44)^Voorblad!$K$41)/((1+Voorblad!$K$44)^Voorblad!$K$41-1)</f>
        <v>137605.69406820612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280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0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0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281</v>
      </c>
      <c r="K213" s="1" t="s">
        <v>87</v>
      </c>
      <c r="O213" s="1" t="s">
        <v>135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0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281</v>
      </c>
      <c r="K214" s="1" t="s">
        <v>84</v>
      </c>
      <c r="O214" s="1" t="s">
        <v>134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0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281</v>
      </c>
      <c r="K215" s="1" t="s">
        <v>88</v>
      </c>
      <c r="O215" s="1" t="s">
        <v>219</v>
      </c>
      <c r="P215" s="1" t="s">
        <v>175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0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272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222</v>
      </c>
      <c r="O218" s="1" t="s">
        <v>220</v>
      </c>
      <c r="P218" s="1" t="s">
        <v>221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273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2062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0</v>
      </c>
      <c r="FP221" s="8">
        <f>IF(FP$56-Voorblad!$F$41&gt;Voorblad!$K$41,0,IF($U221=0,0,IF($U221&lt;1,1/$U221,IF((FP$56-Voorblad!$F$41)/$U221-SUM($EE221:FO221)=1,1,0))))</f>
        <v>0</v>
      </c>
      <c r="FQ221" s="8">
        <f>IF(FQ$56-Voorblad!$F$41&gt;Voorblad!$K$41,0,IF($U221=0,0,IF($U221&lt;1,1/$U221,IF((FQ$56-Voorblad!$F$41)/$U221-SUM($EE221:FP221)=1,1,0))))</f>
        <v>0</v>
      </c>
      <c r="FR221" s="8">
        <f>IF(FR$56-Voorblad!$F$41&gt;Voorblad!$K$41,0,IF($U221=0,0,IF($U221&lt;1,1/$U221,IF((FR$56-Voorblad!$F$41)/$U221-SUM($EE221:FQ221)=1,1,0))))</f>
        <v>0</v>
      </c>
      <c r="FS221" s="8">
        <f>IF(FS$56-Voorblad!$F$41&gt;Voorblad!$K$41,0,IF($U221=0,0,IF($U221&lt;1,1/$U221,IF((FS$56-Voorblad!$F$41)/$U221-SUM($EE221:FR221)=1,1,0))))</f>
        <v>0</v>
      </c>
      <c r="FT221" s="8">
        <f>IF(FT$56-Voorblad!$F$41&gt;Voorblad!$K$41,0,IF($U221=0,0,IF($U221&lt;1,1/$U221,IF((FT$56-Voorblad!$F$41)/$U221-SUM($EE221:FS221)=1,1,0))))</f>
        <v>0</v>
      </c>
      <c r="FU221" s="8">
        <f>IF(FU$56-Voorblad!$F$41&gt;Voorblad!$K$41,0,IF($U221=0,0,IF($U221&lt;1,1/$U221,IF((FU$56-Voorblad!$F$41)/$U221-SUM($EE221:FT221)=1,1,0))))</f>
        <v>0</v>
      </c>
      <c r="FV221" s="8">
        <f>IF(FV$56-Voorblad!$F$41&gt;Voorblad!$K$41,0,IF($U221=0,0,IF($U221&lt;1,1/$U221,IF((FV$56-Voorblad!$F$41)/$U221-SUM($EE221:FU221)=1,1,0))))</f>
        <v>0</v>
      </c>
      <c r="FW221" s="8">
        <f>IF(FW$56-Voorblad!$F$41&gt;Voorblad!$K$41,0,IF($U221=0,0,IF($U221&lt;1,1/$U221,IF((FW$56-Voorblad!$F$41)/$U221-SUM($EE221:FV221)=1,1,0))))</f>
        <v>0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0</v>
      </c>
      <c r="FP222" s="8">
        <f>IF(FP$56-Voorblad!$F$41&gt;Voorblad!$K$41,0,IF($U222=0,0,IF($U222&lt;1,1/$U222,IF((FP$56-Voorblad!$F$41)/$U222-SUM($EE222:FO222)=1,1,0))))</f>
        <v>0</v>
      </c>
      <c r="FQ222" s="8">
        <f>IF(FQ$56-Voorblad!$F$41&gt;Voorblad!$K$41,0,IF($U222=0,0,IF($U222&lt;1,1/$U222,IF((FQ$56-Voorblad!$F$41)/$U222-SUM($EE222:FP222)=1,1,0))))</f>
        <v>0</v>
      </c>
      <c r="FR222" s="8">
        <f>IF(FR$56-Voorblad!$F$41&gt;Voorblad!$K$41,0,IF($U222=0,0,IF($U222&lt;1,1/$U222,IF((FR$56-Voorblad!$F$41)/$U222-SUM($EE222:FQ222)=1,1,0))))</f>
        <v>0</v>
      </c>
      <c r="FS222" s="8">
        <f>IF(FS$56-Voorblad!$F$41&gt;Voorblad!$K$41,0,IF($U222=0,0,IF($U222&lt;1,1/$U222,IF((FS$56-Voorblad!$F$41)/$U222-SUM($EE222:FR222)=1,1,0))))</f>
        <v>0</v>
      </c>
      <c r="FT222" s="8">
        <f>IF(FT$56-Voorblad!$F$41&gt;Voorblad!$K$41,0,IF($U222=0,0,IF($U222&lt;1,1/$U222,IF((FT$56-Voorblad!$F$41)/$U222-SUM($EE222:FS222)=1,1,0))))</f>
        <v>0</v>
      </c>
      <c r="FU222" s="8">
        <f>IF(FU$56-Voorblad!$F$41&gt;Voorblad!$K$41,0,IF($U222=0,0,IF($U222&lt;1,1/$U222,IF((FU$56-Voorblad!$F$41)/$U222-SUM($EE222:FT222)=1,1,0))))</f>
        <v>0</v>
      </c>
      <c r="FV222" s="8">
        <f>IF(FV$56-Voorblad!$F$41&gt;Voorblad!$K$41,0,IF($U222=0,0,IF($U222&lt;1,1/$U222,IF((FV$56-Voorblad!$F$41)/$U222-SUM($EE222:FU222)=1,1,0))))</f>
        <v>0</v>
      </c>
      <c r="FW222" s="8">
        <f>IF(FW$56-Voorblad!$F$41&gt;Voorblad!$K$41,0,IF($U222=0,0,IF($U222&lt;1,1/$U222,IF((FW$56-Voorblad!$F$41)/$U222-SUM($EE222:FV222)=1,1,0))))</f>
        <v>0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0</v>
      </c>
      <c r="FP223" s="8">
        <f>IF(FP$56-Voorblad!$F$41&gt;Voorblad!$K$41,0,IF($U223=0,0,IF($U223&lt;1,1/$U223,IF((FP$56-Voorblad!$F$41)/$U223-SUM($EE223:FO223)=1,1,0))))</f>
        <v>0</v>
      </c>
      <c r="FQ223" s="8">
        <f>IF(FQ$56-Voorblad!$F$41&gt;Voorblad!$K$41,0,IF($U223=0,0,IF($U223&lt;1,1/$U223,IF((FQ$56-Voorblad!$F$41)/$U223-SUM($EE223:FP223)=1,1,0))))</f>
        <v>0</v>
      </c>
      <c r="FR223" s="8">
        <f>IF(FR$56-Voorblad!$F$41&gt;Voorblad!$K$41,0,IF($U223=0,0,IF($U223&lt;1,1/$U223,IF((FR$56-Voorblad!$F$41)/$U223-SUM($EE223:FQ223)=1,1,0))))</f>
        <v>0</v>
      </c>
      <c r="FS223" s="8">
        <f>IF(FS$56-Voorblad!$F$41&gt;Voorblad!$K$41,0,IF($U223=0,0,IF($U223&lt;1,1/$U223,IF((FS$56-Voorblad!$F$41)/$U223-SUM($EE223:FR223)=1,1,0))))</f>
        <v>0</v>
      </c>
      <c r="FT223" s="8">
        <f>IF(FT$56-Voorblad!$F$41&gt;Voorblad!$K$41,0,IF($U223=0,0,IF($U223&lt;1,1/$U223,IF((FT$56-Voorblad!$F$41)/$U223-SUM($EE223:FS223)=1,1,0))))</f>
        <v>0</v>
      </c>
      <c r="FU223" s="8">
        <f>IF(FU$56-Voorblad!$F$41&gt;Voorblad!$K$41,0,IF($U223=0,0,IF($U223&lt;1,1/$U223,IF((FU$56-Voorblad!$F$41)/$U223-SUM($EE223:FT223)=1,1,0))))</f>
        <v>0</v>
      </c>
      <c r="FV223" s="8">
        <f>IF(FV$56-Voorblad!$F$41&gt;Voorblad!$K$41,0,IF($U223=0,0,IF($U223&lt;1,1/$U223,IF((FV$56-Voorblad!$F$41)/$U223-SUM($EE223:FU223)=1,1,0))))</f>
        <v>0</v>
      </c>
      <c r="FW223" s="8">
        <f>IF(FW$56-Voorblad!$F$41&gt;Voorblad!$K$41,0,IF($U223=0,0,IF($U223&lt;1,1/$U223,IF((FW$56-Voorblad!$F$41)/$U223-SUM($EE223:FV223)=1,1,0))))</f>
        <v>0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0</v>
      </c>
      <c r="FP224" s="8">
        <f>IF(FP$56-Voorblad!$F$41&gt;Voorblad!$K$41,0,IF($U224=0,0,IF($U224&lt;1,1/$U224,IF((FP$56-Voorblad!$F$41)/$U224-SUM($EE224:FO224)=1,1,0))))</f>
        <v>0</v>
      </c>
      <c r="FQ224" s="8">
        <f>IF(FQ$56-Voorblad!$F$41&gt;Voorblad!$K$41,0,IF($U224=0,0,IF($U224&lt;1,1/$U224,IF((FQ$56-Voorblad!$F$41)/$U224-SUM($EE224:FP224)=1,1,0))))</f>
        <v>0</v>
      </c>
      <c r="FR224" s="8">
        <f>IF(FR$56-Voorblad!$F$41&gt;Voorblad!$K$41,0,IF($U224=0,0,IF($U224&lt;1,1/$U224,IF((FR$56-Voorblad!$F$41)/$U224-SUM($EE224:FQ224)=1,1,0))))</f>
        <v>0</v>
      </c>
      <c r="FS224" s="8">
        <f>IF(FS$56-Voorblad!$F$41&gt;Voorblad!$K$41,0,IF($U224=0,0,IF($U224&lt;1,1/$U224,IF((FS$56-Voorblad!$F$41)/$U224-SUM($EE224:FR224)=1,1,0))))</f>
        <v>0</v>
      </c>
      <c r="FT224" s="8">
        <f>IF(FT$56-Voorblad!$F$41&gt;Voorblad!$K$41,0,IF($U224=0,0,IF($U224&lt;1,1/$U224,IF((FT$56-Voorblad!$F$41)/$U224-SUM($EE224:FS224)=1,1,0))))</f>
        <v>0</v>
      </c>
      <c r="FU224" s="8">
        <f>IF(FU$56-Voorblad!$F$41&gt;Voorblad!$K$41,0,IF($U224=0,0,IF($U224&lt;1,1/$U224,IF((FU$56-Voorblad!$F$41)/$U224-SUM($EE224:FT224)=1,1,0))))</f>
        <v>0</v>
      </c>
      <c r="FV224" s="8">
        <f>IF(FV$56-Voorblad!$F$41&gt;Voorblad!$K$41,0,IF($U224=0,0,IF($U224&lt;1,1/$U224,IF((FV$56-Voorblad!$F$41)/$U224-SUM($EE224:FU224)=1,1,0))))</f>
        <v>0</v>
      </c>
      <c r="FW224" s="8">
        <f>IF(FW$56-Voorblad!$F$41&gt;Voorblad!$K$41,0,IF($U224=0,0,IF($U224&lt;1,1/$U224,IF((FW$56-Voorblad!$F$41)/$U224-SUM($EE224:FV224)=1,1,0))))</f>
        <v>0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276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105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265</v>
      </c>
      <c r="P229" s="1" t="s">
        <v>318</v>
      </c>
      <c r="Q229" s="84">
        <f>40*0.035</f>
        <v>1.4000000000000001</v>
      </c>
      <c r="R229" s="1" t="s">
        <v>102</v>
      </c>
      <c r="S229" s="1">
        <v>-200</v>
      </c>
      <c r="T229" s="21">
        <f t="shared" ref="T229:T236" si="201">Q229*S229</f>
        <v>-280</v>
      </c>
      <c r="U229" s="11">
        <v>1</v>
      </c>
      <c r="V229" s="14">
        <f>Voorblad!F24+100</f>
        <v>2062</v>
      </c>
      <c r="W229" s="9">
        <f>Voorblad!$K$77</f>
        <v>2062</v>
      </c>
      <c r="X229" s="6"/>
      <c r="Y229" s="9">
        <f t="shared" ref="Y229" si="202">SUM(AE229:EB229)</f>
        <v>-120.93349605211478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-120.93349605211478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0</v>
      </c>
      <c r="FP229" s="8">
        <f>IF(FP$56-Voorblad!$F$41&gt;Voorblad!$K$41,0,IF($U229=0,0,IF($U229&lt;1,1/$U229,IF((FP$56-Voorblad!$F$41)/$U229-SUM($EE229:FO229)=1,1,0))))</f>
        <v>0</v>
      </c>
      <c r="FQ229" s="8">
        <f>IF(FQ$56-Voorblad!$F$41&gt;Voorblad!$K$41,0,IF($U229=0,0,IF($U229&lt;1,1/$U229,IF((FQ$56-Voorblad!$F$41)/$U229-SUM($EE229:FP229)=1,1,0))))</f>
        <v>0</v>
      </c>
      <c r="FR229" s="8">
        <f>IF(FR$56-Voorblad!$F$41&gt;Voorblad!$K$41,0,IF($U229=0,0,IF($U229&lt;1,1/$U229,IF((FR$56-Voorblad!$F$41)/$U229-SUM($EE229:FQ229)=1,1,0))))</f>
        <v>0</v>
      </c>
      <c r="FS229" s="8">
        <f>IF(FS$56-Voorblad!$F$41&gt;Voorblad!$K$41,0,IF($U229=0,0,IF($U229&lt;1,1/$U229,IF((FS$56-Voorblad!$F$41)/$U229-SUM($EE229:FR229)=1,1,0))))</f>
        <v>0</v>
      </c>
      <c r="FT229" s="8">
        <f>IF(FT$56-Voorblad!$F$41&gt;Voorblad!$K$41,0,IF($U229=0,0,IF($U229&lt;1,1/$U229,IF((FT$56-Voorblad!$F$41)/$U229-SUM($EE229:FS229)=1,1,0))))</f>
        <v>0</v>
      </c>
      <c r="FU229" s="8">
        <f>IF(FU$56-Voorblad!$F$41&gt;Voorblad!$K$41,0,IF($U229=0,0,IF($U229&lt;1,1/$U229,IF((FU$56-Voorblad!$F$41)/$U229-SUM($EE229:FT229)=1,1,0))))</f>
        <v>0</v>
      </c>
      <c r="FV229" s="8">
        <f>IF(FV$56-Voorblad!$F$41&gt;Voorblad!$K$41,0,IF($U229=0,0,IF($U229&lt;1,1/$U229,IF((FV$56-Voorblad!$F$41)/$U229-SUM($EE229:FU229)=1,1,0))))</f>
        <v>0</v>
      </c>
      <c r="FW229" s="8">
        <f>IF(FW$56-Voorblad!$F$41&gt;Voorblad!$K$41,0,IF($U229=0,0,IF($U229&lt;1,1/$U229,IF((FW$56-Voorblad!$F$41)/$U229-SUM($EE229:FV229)=1,1,0))))</f>
        <v>0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266</v>
      </c>
      <c r="O230" s="1" t="s">
        <v>104</v>
      </c>
      <c r="P230" s="1" t="s">
        <v>315</v>
      </c>
      <c r="Q230" s="83">
        <f>2*1250</f>
        <v>2500</v>
      </c>
      <c r="R230" s="1" t="s">
        <v>102</v>
      </c>
      <c r="S230" s="1">
        <v>-50</v>
      </c>
      <c r="T230" s="21">
        <f t="shared" si="201"/>
        <v>-125000</v>
      </c>
      <c r="U230" s="11">
        <v>1</v>
      </c>
      <c r="V230" s="14">
        <f>Voorblad!F24+100</f>
        <v>2062</v>
      </c>
      <c r="W230" s="9">
        <f>Voorblad!$K$77</f>
        <v>2062</v>
      </c>
      <c r="X230" s="6"/>
      <c r="Y230" s="9">
        <f t="shared" ref="Y230" si="203">SUM(AE230:EB230)</f>
        <v>-53988.167880408379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-53988.167880408379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0</v>
      </c>
      <c r="FP230" s="8">
        <f>IF(FP$56-Voorblad!$F$41&gt;Voorblad!$K$41,0,IF($U230=0,0,IF($U230&lt;1,1/$U230,IF((FP$56-Voorblad!$F$41)/$U230-SUM($EE230:FO230)=1,1,0))))</f>
        <v>0</v>
      </c>
      <c r="FQ230" s="8">
        <f>IF(FQ$56-Voorblad!$F$41&gt;Voorblad!$K$41,0,IF($U230=0,0,IF($U230&lt;1,1/$U230,IF((FQ$56-Voorblad!$F$41)/$U230-SUM($EE230:FP230)=1,1,0))))</f>
        <v>0</v>
      </c>
      <c r="FR230" s="8">
        <f>IF(FR$56-Voorblad!$F$41&gt;Voorblad!$K$41,0,IF($U230=0,0,IF($U230&lt;1,1/$U230,IF((FR$56-Voorblad!$F$41)/$U230-SUM($EE230:FQ230)=1,1,0))))</f>
        <v>0</v>
      </c>
      <c r="FS230" s="8">
        <f>IF(FS$56-Voorblad!$F$41&gt;Voorblad!$K$41,0,IF($U230=0,0,IF($U230&lt;1,1/$U230,IF((FS$56-Voorblad!$F$41)/$U230-SUM($EE230:FR230)=1,1,0))))</f>
        <v>0</v>
      </c>
      <c r="FT230" s="8">
        <f>IF(FT$56-Voorblad!$F$41&gt;Voorblad!$K$41,0,IF($U230=0,0,IF($U230&lt;1,1/$U230,IF((FT$56-Voorblad!$F$41)/$U230-SUM($EE230:FS230)=1,1,0))))</f>
        <v>0</v>
      </c>
      <c r="FU230" s="8">
        <f>IF(FU$56-Voorblad!$F$41&gt;Voorblad!$K$41,0,IF($U230=0,0,IF($U230&lt;1,1/$U230,IF((FU$56-Voorblad!$F$41)/$U230-SUM($EE230:FT230)=1,1,0))))</f>
        <v>0</v>
      </c>
      <c r="FV230" s="8">
        <f>IF(FV$56-Voorblad!$F$41&gt;Voorblad!$K$41,0,IF($U230=0,0,IF($U230&lt;1,1/$U230,IF((FV$56-Voorblad!$F$41)/$U230-SUM($EE230:FU230)=1,1,0))))</f>
        <v>0</v>
      </c>
      <c r="FW230" s="8">
        <f>IF(FW$56-Voorblad!$F$41&gt;Voorblad!$K$41,0,IF($U230=0,0,IF($U230&lt;1,1/$U230,IF((FW$56-Voorblad!$F$41)/$U230-SUM($EE230:FV230)=1,1,0))))</f>
        <v>0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267</v>
      </c>
      <c r="O231" s="1" t="s">
        <v>103</v>
      </c>
      <c r="Q231" s="83">
        <f>0.5*Q230</f>
        <v>1250</v>
      </c>
      <c r="R231" s="1" t="s">
        <v>102</v>
      </c>
      <c r="S231" s="1">
        <v>-200</v>
      </c>
      <c r="T231" s="21">
        <f t="shared" si="201"/>
        <v>-250000</v>
      </c>
      <c r="U231" s="11">
        <v>1</v>
      </c>
      <c r="V231" s="14">
        <f>Voorblad!F24+100</f>
        <v>2062</v>
      </c>
      <c r="W231" s="9">
        <f>Voorblad!$K$77</f>
        <v>2062</v>
      </c>
      <c r="X231" s="6"/>
      <c r="Y231" s="9">
        <f t="shared" ref="Y231:Y234" si="204">SUM(AE231:EB231)</f>
        <v>-107976.33576081676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-107976.33576081676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0</v>
      </c>
      <c r="FP231" s="8">
        <f>IF(FP$56-Voorblad!$F$41&gt;Voorblad!$K$41,0,IF($U231=0,0,IF($U231&lt;1,1/$U231,IF((FP$56-Voorblad!$F$41)/$U231-SUM($EE231:FO231)=1,1,0))))</f>
        <v>0</v>
      </c>
      <c r="FQ231" s="8">
        <f>IF(FQ$56-Voorblad!$F$41&gt;Voorblad!$K$41,0,IF($U231=0,0,IF($U231&lt;1,1/$U231,IF((FQ$56-Voorblad!$F$41)/$U231-SUM($EE231:FP231)=1,1,0))))</f>
        <v>0</v>
      </c>
      <c r="FR231" s="8">
        <f>IF(FR$56-Voorblad!$F$41&gt;Voorblad!$K$41,0,IF($U231=0,0,IF($U231&lt;1,1/$U231,IF((FR$56-Voorblad!$F$41)/$U231-SUM($EE231:FQ231)=1,1,0))))</f>
        <v>0</v>
      </c>
      <c r="FS231" s="8">
        <f>IF(FS$56-Voorblad!$F$41&gt;Voorblad!$K$41,0,IF($U231=0,0,IF($U231&lt;1,1/$U231,IF((FS$56-Voorblad!$F$41)/$U231-SUM($EE231:FR231)=1,1,0))))</f>
        <v>0</v>
      </c>
      <c r="FT231" s="8">
        <f>IF(FT$56-Voorblad!$F$41&gt;Voorblad!$K$41,0,IF($U231=0,0,IF($U231&lt;1,1/$U231,IF((FT$56-Voorblad!$F$41)/$U231-SUM($EE231:FS231)=1,1,0))))</f>
        <v>0</v>
      </c>
      <c r="FU231" s="8">
        <f>IF(FU$56-Voorblad!$F$41&gt;Voorblad!$K$41,0,IF($U231=0,0,IF($U231&lt;1,1/$U231,IF((FU$56-Voorblad!$F$41)/$U231-SUM($EE231:FT231)=1,1,0))))</f>
        <v>0</v>
      </c>
      <c r="FV231" s="8">
        <f>IF(FV$56-Voorblad!$F$41&gt;Voorblad!$K$41,0,IF($U231=0,0,IF($U231&lt;1,1/$U231,IF((FV$56-Voorblad!$F$41)/$U231-SUM($EE231:FU231)=1,1,0))))</f>
        <v>0</v>
      </c>
      <c r="FW231" s="8">
        <f>IF(FW$56-Voorblad!$F$41&gt;Voorblad!$K$41,0,IF($U231=0,0,IF($U231&lt;1,1/$U231,IF((FW$56-Voorblad!$F$41)/$U231-SUM($EE231:FV231)=1,1,0))))</f>
        <v>0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268</v>
      </c>
      <c r="O232" s="1" t="s">
        <v>139</v>
      </c>
      <c r="P232" s="1" t="s">
        <v>316</v>
      </c>
      <c r="Q232" s="83">
        <f>2.3*2520</f>
        <v>5796</v>
      </c>
      <c r="R232" s="1" t="s">
        <v>102</v>
      </c>
      <c r="S232" s="1">
        <v>-50</v>
      </c>
      <c r="T232" s="21">
        <f t="shared" si="201"/>
        <v>-289800</v>
      </c>
      <c r="U232" s="11">
        <v>1</v>
      </c>
      <c r="V232" s="14">
        <f>Voorblad!F24+100</f>
        <v>2062</v>
      </c>
      <c r="W232" s="9">
        <f>Voorblad!$K$77</f>
        <v>2062</v>
      </c>
      <c r="X232" s="6"/>
      <c r="Y232" s="9">
        <f t="shared" ref="Y232" si="205">SUM(AE232:EB232)</f>
        <v>-125166.16841393879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-125166.16841393879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0</v>
      </c>
      <c r="FP232" s="8">
        <f>IF(FP$56-Voorblad!$F$41&gt;Voorblad!$K$41,0,IF($U232=0,0,IF($U232&lt;1,1/$U232,IF((FP$56-Voorblad!$F$41)/$U232-SUM($EE232:FO232)=1,1,0))))</f>
        <v>0</v>
      </c>
      <c r="FQ232" s="8">
        <f>IF(FQ$56-Voorblad!$F$41&gt;Voorblad!$K$41,0,IF($U232=0,0,IF($U232&lt;1,1/$U232,IF((FQ$56-Voorblad!$F$41)/$U232-SUM($EE232:FP232)=1,1,0))))</f>
        <v>0</v>
      </c>
      <c r="FR232" s="8">
        <f>IF(FR$56-Voorblad!$F$41&gt;Voorblad!$K$41,0,IF($U232=0,0,IF($U232&lt;1,1/$U232,IF((FR$56-Voorblad!$F$41)/$U232-SUM($EE232:FQ232)=1,1,0))))</f>
        <v>0</v>
      </c>
      <c r="FS232" s="8">
        <f>IF(FS$56-Voorblad!$F$41&gt;Voorblad!$K$41,0,IF($U232=0,0,IF($U232&lt;1,1/$U232,IF((FS$56-Voorblad!$F$41)/$U232-SUM($EE232:FR232)=1,1,0))))</f>
        <v>0</v>
      </c>
      <c r="FT232" s="8">
        <f>IF(FT$56-Voorblad!$F$41&gt;Voorblad!$K$41,0,IF($U232=0,0,IF($U232&lt;1,1/$U232,IF((FT$56-Voorblad!$F$41)/$U232-SUM($EE232:FS232)=1,1,0))))</f>
        <v>0</v>
      </c>
      <c r="FU232" s="8">
        <f>IF(FU$56-Voorblad!$F$41&gt;Voorblad!$K$41,0,IF($U232=0,0,IF($U232&lt;1,1/$U232,IF((FU$56-Voorblad!$F$41)/$U232-SUM($EE232:FT232)=1,1,0))))</f>
        <v>0</v>
      </c>
      <c r="FV232" s="8">
        <f>IF(FV$56-Voorblad!$F$41&gt;Voorblad!$K$41,0,IF($U232=0,0,IF($U232&lt;1,1/$U232,IF((FV$56-Voorblad!$F$41)/$U232-SUM($EE232:FU232)=1,1,0))))</f>
        <v>0</v>
      </c>
      <c r="FW232" s="8">
        <f>IF(FW$56-Voorblad!$F$41&gt;Voorblad!$K$41,0,IF($U232=0,0,IF($U232&lt;1,1/$U232,IF((FW$56-Voorblad!$F$41)/$U232-SUM($EE232:FV232)=1,1,0))))</f>
        <v>0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269</v>
      </c>
      <c r="O233" s="1" t="s">
        <v>138</v>
      </c>
      <c r="Q233" s="83">
        <f>0.2*Q232</f>
        <v>1159.2</v>
      </c>
      <c r="R233" s="1" t="s">
        <v>102</v>
      </c>
      <c r="S233" s="1">
        <v>-200</v>
      </c>
      <c r="T233" s="21">
        <f t="shared" si="201"/>
        <v>-231840</v>
      </c>
      <c r="U233" s="11">
        <v>1</v>
      </c>
      <c r="V233" s="14">
        <f>Voorblad!F24+100</f>
        <v>2062</v>
      </c>
      <c r="W233" s="9">
        <f>Voorblad!$K$77</f>
        <v>2062</v>
      </c>
      <c r="X233" s="6"/>
      <c r="Y233" s="9">
        <f t="shared" ref="Y233" si="206">SUM(AE233:EB233)</f>
        <v>-100132.93473115104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-100132.93473115104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0</v>
      </c>
      <c r="FP233" s="8">
        <f>IF(FP$56-Voorblad!$F$41&gt;Voorblad!$K$41,0,IF($U233=0,0,IF($U233&lt;1,1/$U233,IF((FP$56-Voorblad!$F$41)/$U233-SUM($EE233:FO233)=1,1,0))))</f>
        <v>0</v>
      </c>
      <c r="FQ233" s="8">
        <f>IF(FQ$56-Voorblad!$F$41&gt;Voorblad!$K$41,0,IF($U233=0,0,IF($U233&lt;1,1/$U233,IF((FQ$56-Voorblad!$F$41)/$U233-SUM($EE233:FP233)=1,1,0))))</f>
        <v>0</v>
      </c>
      <c r="FR233" s="8">
        <f>IF(FR$56-Voorblad!$F$41&gt;Voorblad!$K$41,0,IF($U233=0,0,IF($U233&lt;1,1/$U233,IF((FR$56-Voorblad!$F$41)/$U233-SUM($EE233:FQ233)=1,1,0))))</f>
        <v>0</v>
      </c>
      <c r="FS233" s="8">
        <f>IF(FS$56-Voorblad!$F$41&gt;Voorblad!$K$41,0,IF($U233=0,0,IF($U233&lt;1,1/$U233,IF((FS$56-Voorblad!$F$41)/$U233-SUM($EE233:FR233)=1,1,0))))</f>
        <v>0</v>
      </c>
      <c r="FT233" s="8">
        <f>IF(FT$56-Voorblad!$F$41&gt;Voorblad!$K$41,0,IF($U233=0,0,IF($U233&lt;1,1/$U233,IF((FT$56-Voorblad!$F$41)/$U233-SUM($EE233:FS233)=1,1,0))))</f>
        <v>0</v>
      </c>
      <c r="FU233" s="8">
        <f>IF(FU$56-Voorblad!$F$41&gt;Voorblad!$K$41,0,IF($U233=0,0,IF($U233&lt;1,1/$U233,IF((FU$56-Voorblad!$F$41)/$U233-SUM($EE233:FT233)=1,1,0))))</f>
        <v>0</v>
      </c>
      <c r="FV233" s="8">
        <f>IF(FV$56-Voorblad!$F$41&gt;Voorblad!$K$41,0,IF($U233=0,0,IF($U233&lt;1,1/$U233,IF((FV$56-Voorblad!$F$41)/$U233-SUM($EE233:FU233)=1,1,0))))</f>
        <v>0</v>
      </c>
      <c r="FW233" s="8">
        <f>IF(FW$56-Voorblad!$F$41&gt;Voorblad!$K$41,0,IF($U233=0,0,IF($U233&lt;1,1/$U233,IF((FW$56-Voorblad!$F$41)/$U233-SUM($EE233:FV233)=1,1,0))))</f>
        <v>0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270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2062</v>
      </c>
      <c r="W234" s="9">
        <f>Voorblad!$K$77</f>
        <v>2062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0</v>
      </c>
      <c r="FP234" s="8">
        <f>IF(FP$56-Voorblad!$F$41&gt;Voorblad!$K$41,0,IF($U234=0,0,IF($U234&lt;1,1/$U234,IF((FP$56-Voorblad!$F$41)/$U234-SUM($EE234:FO234)=1,1,0))))</f>
        <v>0</v>
      </c>
      <c r="FQ234" s="8">
        <f>IF(FQ$56-Voorblad!$F$41&gt;Voorblad!$K$41,0,IF($U234=0,0,IF($U234&lt;1,1/$U234,IF((FQ$56-Voorblad!$F$41)/$U234-SUM($EE234:FP234)=1,1,0))))</f>
        <v>0</v>
      </c>
      <c r="FR234" s="8">
        <f>IF(FR$56-Voorblad!$F$41&gt;Voorblad!$K$41,0,IF($U234=0,0,IF($U234&lt;1,1/$U234,IF((FR$56-Voorblad!$F$41)/$U234-SUM($EE234:FQ234)=1,1,0))))</f>
        <v>0</v>
      </c>
      <c r="FS234" s="8">
        <f>IF(FS$56-Voorblad!$F$41&gt;Voorblad!$K$41,0,IF($U234=0,0,IF($U234&lt;1,1/$U234,IF((FS$56-Voorblad!$F$41)/$U234-SUM($EE234:FR234)=1,1,0))))</f>
        <v>0</v>
      </c>
      <c r="FT234" s="8">
        <f>IF(FT$56-Voorblad!$F$41&gt;Voorblad!$K$41,0,IF($U234=0,0,IF($U234&lt;1,1/$U234,IF((FT$56-Voorblad!$F$41)/$U234-SUM($EE234:FS234)=1,1,0))))</f>
        <v>0</v>
      </c>
      <c r="FU234" s="8">
        <f>IF(FU$56-Voorblad!$F$41&gt;Voorblad!$K$41,0,IF($U234=0,0,IF($U234&lt;1,1/$U234,IF((FU$56-Voorblad!$F$41)/$U234-SUM($EE234:FT234)=1,1,0))))</f>
        <v>0</v>
      </c>
      <c r="FV234" s="8">
        <f>IF(FV$56-Voorblad!$F$41&gt;Voorblad!$K$41,0,IF($U234=0,0,IF($U234&lt;1,1/$U234,IF((FV$56-Voorblad!$F$41)/$U234-SUM($EE234:FU234)=1,1,0))))</f>
        <v>0</v>
      </c>
      <c r="FW234" s="8">
        <f>IF(FW$56-Voorblad!$F$41&gt;Voorblad!$K$41,0,IF($U234=0,0,IF($U234&lt;1,1/$U234,IF((FW$56-Voorblad!$F$41)/$U234-SUM($EE234:FV234)=1,1,0))))</f>
        <v>0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2062</v>
      </c>
      <c r="W235" s="9">
        <f>Voorblad!$K$77</f>
        <v>2062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0</v>
      </c>
      <c r="FP235" s="8">
        <f>IF(FP$56-Voorblad!$F$41&gt;Voorblad!$K$41,0,IF($U235=0,0,IF($U235&lt;1,1/$U235,IF((FP$56-Voorblad!$F$41)/$U235-SUM($EE235:FO235)=1,1,0))))</f>
        <v>0</v>
      </c>
      <c r="FQ235" s="8">
        <f>IF(FQ$56-Voorblad!$F$41&gt;Voorblad!$K$41,0,IF($U235=0,0,IF($U235&lt;1,1/$U235,IF((FQ$56-Voorblad!$F$41)/$U235-SUM($EE235:FP235)=1,1,0))))</f>
        <v>0</v>
      </c>
      <c r="FR235" s="8">
        <f>IF(FR$56-Voorblad!$F$41&gt;Voorblad!$K$41,0,IF($U235=0,0,IF($U235&lt;1,1/$U235,IF((FR$56-Voorblad!$F$41)/$U235-SUM($EE235:FQ235)=1,1,0))))</f>
        <v>0</v>
      </c>
      <c r="FS235" s="8">
        <f>IF(FS$56-Voorblad!$F$41&gt;Voorblad!$K$41,0,IF($U235=0,0,IF($U235&lt;1,1/$U235,IF((FS$56-Voorblad!$F$41)/$U235-SUM($EE235:FR235)=1,1,0))))</f>
        <v>0</v>
      </c>
      <c r="FT235" s="8">
        <f>IF(FT$56-Voorblad!$F$41&gt;Voorblad!$K$41,0,IF($U235=0,0,IF($U235&lt;1,1/$U235,IF((FT$56-Voorblad!$F$41)/$U235-SUM($EE235:FS235)=1,1,0))))</f>
        <v>0</v>
      </c>
      <c r="FU235" s="8">
        <f>IF(FU$56-Voorblad!$F$41&gt;Voorblad!$K$41,0,IF($U235=0,0,IF($U235&lt;1,1/$U235,IF((FU$56-Voorblad!$F$41)/$U235-SUM($EE235:FT235)=1,1,0))))</f>
        <v>0</v>
      </c>
      <c r="FV235" s="8">
        <f>IF(FV$56-Voorblad!$F$41&gt;Voorblad!$K$41,0,IF($U235=0,0,IF($U235&lt;1,1/$U235,IF((FV$56-Voorblad!$F$41)/$U235-SUM($EE235:FU235)=1,1,0))))</f>
        <v>0</v>
      </c>
      <c r="FW235" s="8">
        <f>IF(FW$56-Voorblad!$F$41&gt;Voorblad!$K$41,0,IF($U235=0,0,IF($U235&lt;1,1/$U235,IF((FW$56-Voorblad!$F$41)/$U235-SUM($EE235:FV235)=1,1,0))))</f>
        <v>0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K236" s="1" t="s">
        <v>320</v>
      </c>
      <c r="P236" s="1" t="s">
        <v>319</v>
      </c>
      <c r="Q236" s="84">
        <f>50*0.025</f>
        <v>1.25</v>
      </c>
      <c r="R236" s="81" t="s">
        <v>102</v>
      </c>
      <c r="S236" s="81">
        <v>-200</v>
      </c>
      <c r="T236" s="14">
        <f t="shared" si="201"/>
        <v>-250</v>
      </c>
      <c r="U236" s="11">
        <v>1</v>
      </c>
      <c r="V236" s="14">
        <f>Voorblad!F24+100</f>
        <v>2062</v>
      </c>
      <c r="W236" s="9">
        <f>Voorblad!$K$77</f>
        <v>2062</v>
      </c>
      <c r="X236" s="6"/>
      <c r="Y236" s="9">
        <f t="shared" ref="Y236" si="208">SUM(AE236:EB236)</f>
        <v>-107.97633576081677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-107.97633576081677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0</v>
      </c>
      <c r="FP236" s="8">
        <f>IF(FP$56-Voorblad!$F$41&gt;Voorblad!$K$41,0,IF($U236=0,0,IF($U236&lt;1,1/$U236,IF((FP$56-Voorblad!$F$41)/$U236-SUM($EE236:FO236)=1,1,0))))</f>
        <v>0</v>
      </c>
      <c r="FQ236" s="8">
        <f>IF(FQ$56-Voorblad!$F$41&gt;Voorblad!$K$41,0,IF($U236=0,0,IF($U236&lt;1,1/$U236,IF((FQ$56-Voorblad!$F$41)/$U236-SUM($EE236:FP236)=1,1,0))))</f>
        <v>0</v>
      </c>
      <c r="FR236" s="8">
        <f>IF(FR$56-Voorblad!$F$41&gt;Voorblad!$K$41,0,IF($U236=0,0,IF($U236&lt;1,1/$U236,IF((FR$56-Voorblad!$F$41)/$U236-SUM($EE236:FQ236)=1,1,0))))</f>
        <v>0</v>
      </c>
      <c r="FS236" s="8">
        <f>IF(FS$56-Voorblad!$F$41&gt;Voorblad!$K$41,0,IF($U236=0,0,IF($U236&lt;1,1/$U236,IF((FS$56-Voorblad!$F$41)/$U236-SUM($EE236:FR236)=1,1,0))))</f>
        <v>0</v>
      </c>
      <c r="FT236" s="8">
        <f>IF(FT$56-Voorblad!$F$41&gt;Voorblad!$K$41,0,IF($U236=0,0,IF($U236&lt;1,1/$U236,IF((FT$56-Voorblad!$F$41)/$U236-SUM($EE236:FS236)=1,1,0))))</f>
        <v>0</v>
      </c>
      <c r="FU236" s="8">
        <f>IF(FU$56-Voorblad!$F$41&gt;Voorblad!$K$41,0,IF($U236=0,0,IF($U236&lt;1,1/$U236,IF((FU$56-Voorblad!$F$41)/$U236-SUM($EE236:FT236)=1,1,0))))</f>
        <v>0</v>
      </c>
      <c r="FV236" s="8">
        <f>IF(FV$56-Voorblad!$F$41&gt;Voorblad!$K$41,0,IF($U236=0,0,IF($U236&lt;1,1/$U236,IF((FV$56-Voorblad!$F$41)/$U236-SUM($EE236:FU236)=1,1,0))))</f>
        <v>0</v>
      </c>
      <c r="FW236" s="8">
        <f>IF(FW$56-Voorblad!$F$41&gt;Voorblad!$K$41,0,IF($U236=0,0,IF($U236&lt;1,1/$U236,IF((FW$56-Voorblad!$F$41)/$U236-SUM($EE236:FV236)=1,1,0))))</f>
        <v>0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275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-897170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A9AC76-D654-4686-887A-462D1C403E0B}"/>
</file>

<file path=customXml/itemProps2.xml><?xml version="1.0" encoding="utf-8"?>
<ds:datastoreItem xmlns:ds="http://schemas.openxmlformats.org/officeDocument/2006/customXml" ds:itemID="{AFBE7987-5940-42B3-A8E9-EDAEAF82DEB9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2019-12-10T08:28:04Z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