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0FD1BC1-E1DC-4D9F-8A5E-691F6EB3A9B8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5" i="1" l="1"/>
  <c r="Q230" i="1" l="1"/>
  <c r="Q115" i="1"/>
  <c r="Q139" i="1" l="1"/>
  <c r="Q133" i="1"/>
  <c r="Q122" i="1"/>
  <c r="Q117" i="1"/>
  <c r="Q229" i="1"/>
  <c r="Q149" i="1"/>
  <c r="Q146" i="1"/>
  <c r="Q137" i="1"/>
  <c r="Q136" i="1"/>
  <c r="Q113" i="1"/>
  <c r="Q46" i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FQ232" i="1"/>
  <c r="BP232" i="1" s="1"/>
  <c r="FQ233" i="1"/>
  <c r="BP233" i="1" s="1"/>
  <c r="FQ93" i="1"/>
  <c r="BP93" i="1" s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BP236" i="1" s="1"/>
  <c r="FQ110" i="1"/>
  <c r="BP110" i="1" s="1"/>
  <c r="BP231" i="1"/>
  <c r="FQ218" i="1"/>
  <c r="BP218" i="1" s="1"/>
  <c r="FQ231" i="1"/>
  <c r="FQ230" i="1"/>
  <c r="BP230" i="1" s="1"/>
  <c r="FQ234" i="1"/>
  <c r="BP234" i="1" s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GJ232" i="1"/>
  <c r="CI232" i="1" s="1"/>
  <c r="GJ233" i="1"/>
  <c r="CI233" i="1" s="1"/>
  <c r="GJ93" i="1"/>
  <c r="CI93" i="1" s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CI236" i="1" s="1"/>
  <c r="GJ218" i="1"/>
  <c r="CI218" i="1" s="1"/>
  <c r="GJ234" i="1"/>
  <c r="CI234" i="1" s="1"/>
  <c r="GJ230" i="1"/>
  <c r="GJ231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<sst xmlns="http://schemas.openxmlformats.org/spreadsheetml/2006/main" count="1016" uniqueCount="312">
  <si>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</si>
  <si>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</si>
  <si>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</si>
  <si>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</si>
  <si>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</si>
  <si>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</si>
  <si>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</si>
  <si>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</si>
  <si>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</si>
  <si>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</si>
  <si>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</si>
  <si>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</si>
  <si>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</si>
  <si>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</si>
  <si>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</si>
  <si>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</si>
  <si>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</si>
  <si>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</si>
  <si>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</si>
  <si>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</si>
  <si>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</si>
  <si>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</si>
  <si>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</si>
  <si>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</si>
  <si>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</si>
  <si>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</si>
  <si>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</si>
  <si>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</si>
  <si>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</si>
  <si>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</si>
  <si>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</si>
  <si>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</si>
  <si>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</si>
  <si>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</si>
  <si>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</si>
  <si>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</si>
  <si>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</si>
  <si>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</si>
  <si>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</si>
  <si>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</si>
  <si>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</si>
  <si>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</si>
  <si>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</si>
  <si>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</si>
  <si>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</si>
  <si>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</si>
  <si>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</si>
  <si>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</si>
  <si>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</si>
  <si>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</si>
  <si>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</si>
  <si>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</si>
  <si>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</si>
  <si>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</si>
  <si>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</si>
  <si>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</si>
  <si>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</si>
  <si>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</si>
  <si>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</si>
  <si>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</si>
  <si>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</si>
  <si>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</si>
  <si>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</si>
  <si>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</si>
  <si>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</si>
  <si>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</si>
  <si>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</si>
  <si>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</si>
  <si>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</si>
  <si>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</si>
  <si>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</si>
  <si>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</si>
  <si>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</si>
  <si>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</si>
  <si>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</si>
  <si>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</si>
  <si>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</si>
  <si>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</si>
  <si>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</si>
  <si>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</si>
  <si>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</si>
  <si>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</si>
  <si>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</si>
  <si>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</si>
  <si>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</si>
  <si>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</si>
  <si>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</si>
  <si>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</si>
  <si>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</si>
  <si>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</si>
  <si>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</si>
  <si>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</si>
  <si>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</si>
  <si>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</si>
  <si>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</si>
  <si>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</si>
  <si>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</si>
  <si>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</si>
  <si>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</si>
  <si>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</si>
  <si>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</si>
  <si>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</si>
  <si>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</si>
  <si>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</si>
  <si>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</si>
  <si>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</si>
  <si>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</si>
  <si>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</si>
  <si>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</si>
  <si>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</si>
  <si>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</si>
  <si>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</si>
  <si>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</si>
  <si>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</si>
  <si>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</si>
  <si>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</si>
  <si>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</si>
  <si>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</si>
  <si>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</si>
  <si>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</si>
  <si>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</si>
  <si>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</si>
  <si>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</si>
  <si>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</si>
  <si>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</si>
  <si>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</si>
  <si>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</si>
  <si>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</si>
  <si>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</si>
  <si>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</si>
  <si>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</si>
  <si>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</si>
  <si>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</si>
  <si>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</si>
  <si>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</si>
  <si>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</si>
  <si>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</si>
  <si>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</si>
  <si>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</si>
  <si>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</si>
  <si>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</si>
  <si>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</si>
  <si>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</si>
  <si>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</si>
  <si>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</si>
  <si>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</si>
  <si>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</si>
  <si>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</si>
  <si>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</si>
  <si>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</si>
  <si>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</si>
  <si>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</si>
  <si>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</si>
  <si>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</si>
  <si>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</si>
  <si>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</si>
  <si>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</si>
  <si>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</si>
  <si>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</si>
  <si>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</si>
  <si>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</si>
  <si>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</si>
  <si>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</si>
  <si>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</si>
  <si>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</si>
  <si>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</si>
  <si>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</si>
  <si>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</si>
  <si>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</si>
  <si>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</si>
  <si>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</si>
  <si>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</si>
  <si>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</si>
  <si>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</si>
  <si>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</si>
  <si>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</si>
  <si>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</si>
  <si>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</si>
  <si>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</si>
  <si>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</si>
  <si>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</si>
  <si>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</si>
  <si>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</si>
  <si>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</si>
  <si>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</si>
  <si>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</si>
  <si>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</si>
  <si>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</si>
  <si>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</si>
  <si>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</si>
  <si>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</si>
  <si>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</si>
  <si>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</si>
  <si>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</si>
  <si>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</si>
  <si>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</si>
  <si>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</si>
  <si>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</si>
  <si>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</si>
  <si>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</si>
  <si>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</si>
  <si>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</si>
  <si>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</si>
  <si>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</si>
  <si>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</si>
  <si>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</si>
  <si>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</si>
  <si>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</si>
  <si>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</si>
  <si>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</si>
  <si>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</si>
  <si>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</si>
  <si>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</si>
  <si>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</si>
  <si>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</si>
  <si>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</si>
  <si>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</si>
  <si>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</si>
  <si>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</si>
  <si>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</si>
  <si>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</si>
  <si>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</si>
  <si>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</si>
  <si>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</si>
  <si>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</si>
  <si>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</si>
  <si>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</si>
  <si>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</si>
  <si>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</si>
  <si>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</si>
  <si>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</si>
  <si>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</si>
  <si>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</si>
  <si>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</si>
  <si>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</si>
  <si>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</si>
  <si>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</si>
  <si>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</si>
  <si>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</si>
  <si>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</si>
  <si>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</si>
  <si>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</si>
  <si>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</si>
  <si>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</si>
  <si>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</si>
  <si>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</si>
  <si>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</si>
  <si>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</si>
  <si>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</si>
  <si>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</si>
  <si>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</si>
  <si>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</si>
  <si>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</si>
  <si>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</si>
  <si>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</si>
  <si>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</si>
  <si>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</si>
  <si>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</si>
  <si>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</si>
  <si>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</si>
  <si>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</si>
  <si>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</si>
  <si>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</si>
  <si>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</si>
  <si>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</si>
  <si>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</si>
  <si>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</si>
  <si>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</si>
  <si>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</si>
  <si>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</si>
  <si>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</si>
  <si>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</si>
  <si>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</si>
  <si>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</si>
  <si>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</si>
  <si>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</si>
  <si>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</si>
  <si>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</si>
  <si>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</si>
  <si>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</si>
  <si>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</si>
  <si>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</si>
  <si>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</si>
  <si>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</si>
  <si>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</si>
  <si>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</si>
  <si>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</si>
  <si>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</si>
  <si>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</si>
  <si>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</si>
  <si>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</si>
  <si>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</si>
  <si>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</si>
  <si>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</si>
  <si>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</si>
  <si>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</si>
  <si>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</si>
  <si>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</si>
  <si>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</si>
  <si>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</si>
  <si>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</si>
  <si>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</si>
  <si>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</si>
  <si>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Gewapend betonnen duiker</t>
  </si>
  <si>
    <t>zicht gedeelte betonwerk</t>
  </si>
  <si>
    <t>KW20-123-0031</t>
  </si>
  <si>
    <t>Duiker (spoorviaduct)</t>
  </si>
  <si>
    <t>Gilse Rijen</t>
  </si>
  <si>
    <t>leuningen 2x4,25 m1 á 35 kg/m1</t>
  </si>
  <si>
    <r>
      <t>vervanging gehele duiker BxL, uit</t>
    </r>
    <r>
      <rPr>
        <sz val="9"/>
        <color rgb="FFFF0000"/>
        <rFont val="Calibri"/>
        <family val="2"/>
      </rPr>
      <t>w BxH: 2,4x2,55m</t>
    </r>
  </si>
  <si>
    <t>duiker: 55 m3</t>
  </si>
  <si>
    <t>restant oude metselwerkduiker: 100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</si>
</sst>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G112" sqref="G112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/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12.398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1964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42758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36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2064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8"/>
      <c r="F52" s="31"/>
      <c r="G52" s="35"/>
      <c r="H52" s="35"/>
      <c r="I52" s="35"/>
      <c r="J52" s="35"/>
      <c r="K52" s="91"/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5">
        <f>'Berekening MJOP+LTP'!AC39</f>
        <v>0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2064</v>
      </c>
      <c r="K59" s="159">
        <v>2064</v>
      </c>
      <c r="L59" s="156">
        <f>'Berekening MJOP+LTP'!T46</f>
        <v>226929.60000000003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5000</v>
      </c>
      <c r="M64" s="214">
        <f>SUM(M51:M58)</f>
        <v>4642.9970545987444</v>
      </c>
      <c r="N64" s="247">
        <f>SUM(N51:N58)</f>
        <v>0</v>
      </c>
      <c r="O64" s="259">
        <f>SUM(O51:O58)</f>
        <v>530.50310089355912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2064</v>
      </c>
      <c r="L65" s="214">
        <f>L59</f>
        <v>226929.60000000003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243429.60000000003</v>
      </c>
      <c r="M66" s="218">
        <f>SUM(M49:M59)</f>
        <v>14952.56010585888</v>
      </c>
      <c r="N66" s="249">
        <f>SUM(N49:N59)</f>
        <v>52</v>
      </c>
      <c r="O66" s="260">
        <f>SUM(O49:O59)</f>
        <v>1708.4610240272898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2064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11079.24401500931</v>
      </c>
      <c r="N75" s="61">
        <f>'Berekening MJOP+LTP'!AA125</f>
        <v>0</v>
      </c>
      <c r="O75" s="261">
        <f>'Berekening MJOP+LTP'!AC125</f>
        <v>470.33137756293843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1205.56306515138</v>
      </c>
      <c r="N76" s="61">
        <f>'Berekening MJOP+LTP'!AA147</f>
        <v>0</v>
      </c>
      <c r="O76" s="261">
        <f>'Berekening MJOP+LTP'!AC147</f>
        <v>51.178052979381967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2064</v>
      </c>
      <c r="K77" s="90">
        <v>2064</v>
      </c>
      <c r="L77" s="64">
        <f>'Berekening MJOP+LTP'!T154</f>
        <v>226929.60000000003</v>
      </c>
      <c r="M77" s="64">
        <f>'Berekening MJOP+LTP'!Y154</f>
        <v>93289.334191239876</v>
      </c>
      <c r="N77" s="61">
        <f>'Berekening MJOP+LTP'!AA149</f>
        <v>52</v>
      </c>
      <c r="O77" s="261">
        <f>'Berekening MJOP+LTP'!AC154</f>
        <v>3960.2793297678181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2064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2064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2064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-25559.5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2064</v>
      </c>
      <c r="K92" s="219"/>
      <c r="L92" s="220"/>
      <c r="M92" s="220">
        <f t="shared" ref="M92:O94" si="1">M71+M75+M79+M83+M87</f>
        <v>11079.24401500931</v>
      </c>
      <c r="N92" s="267">
        <f t="shared" si="1"/>
        <v>0</v>
      </c>
      <c r="O92" s="263">
        <f t="shared" si="1"/>
        <v>470.33137756293843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2064</v>
      </c>
      <c r="K93" s="221"/>
      <c r="L93" s="222"/>
      <c r="M93" s="222">
        <f t="shared" si="1"/>
        <v>1205.56306515138</v>
      </c>
      <c r="N93" s="252">
        <f t="shared" si="1"/>
        <v>0</v>
      </c>
      <c r="O93" s="264">
        <f t="shared" si="1"/>
        <v>51.178052979381967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2064</v>
      </c>
      <c r="L94" s="222">
        <f>L73+L77+L81+L85+L89</f>
        <v>226929.60000000003</v>
      </c>
      <c r="M94" s="222">
        <f t="shared" si="1"/>
        <v>93289.334191239876</v>
      </c>
      <c r="N94" s="252">
        <f t="shared" si="1"/>
        <v>52</v>
      </c>
      <c r="O94" s="264">
        <f t="shared" si="1"/>
        <v>3960.2793297678181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2064</v>
      </c>
      <c r="L95" s="223">
        <f>L91</f>
        <v>-25559.5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0.29750000000000004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110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55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180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O1" zoomScale="90" zoomScaleNormal="90" zoomScaleSheetLayoutView="90" workbookViewId="0">
      <pane ySplit="2" topLeftCell="A143" activePane="bottomLeft" state="frozen"/>
      <selection pane="bottomLeft" activeCell="Y243" sqref="Y243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251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309</v>
      </c>
      <c r="Q46" s="268">
        <f>20.6*2.4</f>
        <v>49.440000000000005</v>
      </c>
      <c r="R46" s="81" t="s">
        <v>35</v>
      </c>
      <c r="S46" s="81">
        <v>4590</v>
      </c>
      <c r="T46" s="9">
        <f t="shared" si="4"/>
        <v>226929.60000000003</v>
      </c>
      <c r="U46" s="11">
        <v>1</v>
      </c>
      <c r="V46" s="1">
        <f>Voorblad!F24+100</f>
        <v>2064</v>
      </c>
      <c r="W46" s="9">
        <f>Voorblad!K59</f>
        <v>2064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3896.9147740915828</v>
      </c>
      <c r="Z109" s="82"/>
      <c r="AA109" s="82"/>
      <c r="AC109" s="9">
        <f>$Y109*(Voorblad!$K$44*(1+Voorblad!$K$44)^Voorblad!$K$41)/((1+Voorblad!$K$44)^Voorblad!$K$41-1)</f>
        <v>165.43017659516013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304</v>
      </c>
      <c r="Q110" s="83">
        <v>30</v>
      </c>
      <c r="R110" s="1" t="s">
        <v>35</v>
      </c>
      <c r="S110" s="21">
        <f>$H$20*15</f>
        <v>26.55</v>
      </c>
      <c r="T110" s="9">
        <f t="shared" si="20"/>
        <v>796.5</v>
      </c>
      <c r="U110" s="14">
        <v>10</v>
      </c>
      <c r="V110" s="14"/>
      <c r="Y110" s="9">
        <f t="shared" si="21"/>
        <v>1488.0308817082432</v>
      </c>
      <c r="Z110" s="82"/>
      <c r="AA110" s="82"/>
      <c r="AC110" s="9">
        <f>$Y110*(Voorblad!$K$44*(1+Voorblad!$K$44)^Voorblad!$K$41)/((1+Voorblad!$K$44)^Voorblad!$K$41-1)</f>
        <v>63.169257171509628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622.22452697454162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486.0808059870584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379.72554874664326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2*2.4</f>
        <v>4.8</v>
      </c>
      <c r="R113" s="147" t="s">
        <v>195</v>
      </c>
      <c r="S113" s="21">
        <f>$H$20*350</f>
        <v>619.5</v>
      </c>
      <c r="T113" s="9">
        <f t="shared" si="20"/>
        <v>2973.6</v>
      </c>
      <c r="U113" s="14">
        <v>15</v>
      </c>
      <c r="V113" s="14"/>
      <c r="Y113" s="9">
        <f>SUM(AE113:EB113)</f>
        <v>3470.8104284705432</v>
      </c>
      <c r="Z113" s="82"/>
      <c r="AA113" s="82"/>
      <c r="AC113" s="9">
        <f>$Y113*(Voorblad!$K$44*(1+Voorblad!$K$44)^Voorblad!$K$41)/((1+Voorblad!$K$44)^Voorblad!$K$41-1)</f>
        <v>147.34137526629712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2053.1683798164081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1417.6420486541349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268">
        <f>2.5%*2*2.4</f>
        <v>0.12</v>
      </c>
      <c r="R115" s="14" t="s">
        <v>34</v>
      </c>
      <c r="S115" s="21">
        <f>$H$20*1000</f>
        <v>1770</v>
      </c>
      <c r="T115" s="21">
        <f t="shared" si="20"/>
        <v>212.4</v>
      </c>
      <c r="U115" s="14">
        <v>15</v>
      </c>
      <c r="Y115" s="21">
        <f t="shared" si="22"/>
        <v>247.91503060503879</v>
      </c>
      <c r="Z115" s="149"/>
      <c r="AA115" s="149"/>
      <c r="AC115" s="9">
        <f>$Y115*(Voorblad!$K$44*(1+Voorblad!$K$44)^Voorblad!$K$41)/((1+Voorblad!$K$44)^Voorblad!$K$41-1)</f>
        <v>10.524383947592652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146.65488427260058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101.26014633243821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2.5%*2*4.25</f>
        <v>0.21250000000000002</v>
      </c>
      <c r="R117" s="1" t="s">
        <v>34</v>
      </c>
      <c r="S117" s="14">
        <f>$H$20*500</f>
        <v>885</v>
      </c>
      <c r="T117" s="9">
        <f t="shared" si="20"/>
        <v>188.06250000000003</v>
      </c>
      <c r="U117" s="14">
        <v>15</v>
      </c>
      <c r="V117" s="14"/>
      <c r="Y117" s="9">
        <f t="shared" si="22"/>
        <v>219.50810001487812</v>
      </c>
      <c r="Z117" s="82"/>
      <c r="AA117" s="82"/>
      <c r="AC117" s="9">
        <f>$Y117*(Voorblad!$K$44*(1+Voorblad!$K$44)^Voorblad!$K$41)/((1+Voorblad!$K$44)^Voorblad!$K$41-1)</f>
        <v>9.31846495359766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129.85067878303178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89.657421231846342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4">
        <f>2*4.25</f>
        <v>8.5</v>
      </c>
      <c r="R122" s="1" t="s">
        <v>34</v>
      </c>
      <c r="S122" s="14">
        <f>$H$20*100</f>
        <v>177</v>
      </c>
      <c r="T122" s="9">
        <f t="shared" si="20"/>
        <v>1504.5</v>
      </c>
      <c r="U122" s="14">
        <v>15</v>
      </c>
      <c r="V122" s="14"/>
      <c r="Y122" s="9">
        <f t="shared" si="23"/>
        <v>1756.0648001190248</v>
      </c>
      <c r="Z122" s="82"/>
      <c r="AA122" s="82"/>
      <c r="AC122" s="9">
        <f>$Y122*(Voorblad!$K$44*(1+Voorblad!$K$44)^Voorblad!$K$41)/((1+Voorblad!$K$44)^Voorblad!$K$41-1)</f>
        <v>74.54771962878128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1038.805430264254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717.25936985477063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11079.24401500931</v>
      </c>
      <c r="Z125" s="24"/>
      <c r="AA125" s="23">
        <f>SUM(AA109:AA124)</f>
        <v>0</v>
      </c>
      <c r="AC125" s="9">
        <f>$Y125*(Voorblad!$K$44*(1+Voorblad!$K$44)^Voorblad!$K$41)/((1+Voorblad!$K$44)^Voorblad!$K$41-1)</f>
        <v>470.33137756293843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1313.58511250181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3979.5413909387971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1026.1705904171233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3127.461811204993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2*4.25</f>
        <v>8.5</v>
      </c>
      <c r="R133" s="1" t="s">
        <v>34</v>
      </c>
      <c r="S133" s="21">
        <f>$H$10*125</f>
        <v>297.5</v>
      </c>
      <c r="T133" s="9">
        <f t="shared" si="104"/>
        <v>2528.75</v>
      </c>
      <c r="U133" s="14">
        <v>30</v>
      </c>
      <c r="V133" s="14"/>
      <c r="Y133" s="9">
        <f t="shared" si="21"/>
        <v>1205.56306515138</v>
      </c>
      <c r="Z133" s="82"/>
      <c r="AA133" s="82"/>
      <c r="AC133" s="9">
        <f>$Y133*(Voorblad!$K$44*(1+Voorblad!$K$44)^Voorblad!$K$41)/((1+Voorblad!$K$44)^Voorblad!$K$41-1)</f>
        <v>51.178052979381967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1205.56306515138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2*2.4</f>
        <v>4.8</v>
      </c>
      <c r="R136" s="147" t="s">
        <v>195</v>
      </c>
      <c r="S136" s="14">
        <f>$H$10*500</f>
        <v>1190</v>
      </c>
      <c r="T136" s="9">
        <f t="shared" si="104"/>
        <v>5712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7.5%*2*2.4</f>
        <v>0.36</v>
      </c>
      <c r="R137" s="14" t="s">
        <v>34</v>
      </c>
      <c r="S137" s="21">
        <f>$H$10*1000</f>
        <v>2380</v>
      </c>
      <c r="T137" s="21">
        <f t="shared" si="104"/>
        <v>856.8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2*4.25</f>
        <v>8.5</v>
      </c>
      <c r="R139" s="1" t="s">
        <v>34</v>
      </c>
      <c r="S139" s="14">
        <f>$H$10*400</f>
        <v>952</v>
      </c>
      <c r="T139" s="9">
        <f t="shared" si="104"/>
        <v>8092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2*2.4</f>
        <v>4.8</v>
      </c>
      <c r="R146" s="147" t="s">
        <v>195</v>
      </c>
      <c r="S146" s="14">
        <f>$H$10*500</f>
        <v>1190</v>
      </c>
      <c r="T146" s="9">
        <f t="shared" si="104"/>
        <v>5712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1205.56306515138</v>
      </c>
      <c r="Z147" s="24"/>
      <c r="AA147" s="23">
        <f>SUM(AA127:AA146)</f>
        <v>0</v>
      </c>
      <c r="AC147" s="9">
        <f>$Y147*(Voorblad!$K$44*(1+Voorblad!$K$44)^Voorblad!$K$41)/((1+Voorblad!$K$44)^Voorblad!$K$41-1)</f>
        <v>51.178052979381967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1205.56306515138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268">
        <f>20.6*2.4</f>
        <v>49.440000000000005</v>
      </c>
      <c r="R149" s="81" t="s">
        <v>35</v>
      </c>
      <c r="S149" s="81">
        <v>4590</v>
      </c>
      <c r="T149" s="21">
        <f>Q149*S149</f>
        <v>226929.60000000003</v>
      </c>
      <c r="U149" s="11">
        <v>1</v>
      </c>
      <c r="V149" s="14">
        <f>Voorblad!F24+100</f>
        <v>2064</v>
      </c>
      <c r="W149" s="9">
        <f>Voorblad!K77</f>
        <v>2064</v>
      </c>
      <c r="X149" s="6"/>
      <c r="Y149" s="9">
        <f t="shared" si="21"/>
        <v>93289.334191239876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3960.2793297678181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93289.334191239876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4538.5920000000006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9077.1840000000011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15885.072000000004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226929.60000000003</v>
      </c>
      <c r="U154" s="14"/>
      <c r="V154" s="14"/>
      <c r="W154" s="14"/>
      <c r="X154" s="6"/>
      <c r="Y154" s="23">
        <f>SUM(Y149:Y153)</f>
        <v>93289.334191239876</v>
      </c>
      <c r="Z154" s="24"/>
      <c r="AA154" s="23">
        <f>SUM(AA149:AA153)</f>
        <v>52</v>
      </c>
      <c r="AC154" s="9">
        <f>$Y154*(Voorblad!$K$44*(1+Voorblad!$K$44)^Voorblad!$K$41)/((1+Voorblad!$K$44)^Voorblad!$K$41-1)</f>
        <v>3960.2793297678181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2064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2064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308</v>
      </c>
      <c r="Q229" s="84">
        <f>2*4.25*0.035</f>
        <v>0.29750000000000004</v>
      </c>
      <c r="R229" s="1" t="s">
        <v>101</v>
      </c>
      <c r="S229" s="1">
        <v>-200</v>
      </c>
      <c r="T229" s="21">
        <f t="shared" ref="T229:T236" si="201">Q229*S229</f>
        <v>-59.500000000000007</v>
      </c>
      <c r="U229" s="11">
        <v>1</v>
      </c>
      <c r="V229" s="14">
        <f>Voorblad!F24+100</f>
        <v>2064</v>
      </c>
      <c r="W229" s="9">
        <f>Voorblad!$K$77</f>
        <v>2064</v>
      </c>
      <c r="X229" s="6"/>
      <c r="Y229" s="9">
        <f t="shared" ref="Y229" si="202">SUM(AE229:EB229)</f>
        <v>-24.460076536418221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-24.460076536418221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310</v>
      </c>
      <c r="Q230" s="83">
        <f>2*55</f>
        <v>110</v>
      </c>
      <c r="R230" s="1" t="s">
        <v>101</v>
      </c>
      <c r="S230" s="1">
        <v>-50</v>
      </c>
      <c r="T230" s="21">
        <f t="shared" si="201"/>
        <v>-5500</v>
      </c>
      <c r="U230" s="11">
        <v>1</v>
      </c>
      <c r="V230" s="14">
        <f>Voorblad!F24+100</f>
        <v>2064</v>
      </c>
      <c r="W230" s="9">
        <f>Voorblad!$K$77</f>
        <v>2064</v>
      </c>
      <c r="X230" s="6"/>
      <c r="Y230" s="9">
        <f t="shared" ref="Y230" si="203">SUM(AE230:EB230)</f>
        <v>-2261.015478156306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-2261.015478156306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55</v>
      </c>
      <c r="R231" s="1" t="s">
        <v>101</v>
      </c>
      <c r="S231" s="1">
        <v>-200</v>
      </c>
      <c r="T231" s="21">
        <f t="shared" si="201"/>
        <v>-11000</v>
      </c>
      <c r="U231" s="11">
        <v>1</v>
      </c>
      <c r="V231" s="14">
        <f>Voorblad!F24+100</f>
        <v>2064</v>
      </c>
      <c r="W231" s="9">
        <f>Voorblad!$K$77</f>
        <v>2064</v>
      </c>
      <c r="X231" s="6"/>
      <c r="Y231" s="9">
        <f t="shared" ref="Y231:Y234" si="204">SUM(AE231:EB231)</f>
        <v>-4522.030956312612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-4522.030956312612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2064</v>
      </c>
      <c r="W232" s="9">
        <f>Voorblad!$K$77</f>
        <v>2064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2064</v>
      </c>
      <c r="W233" s="9">
        <f>Voorblad!$K$77</f>
        <v>2064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2064</v>
      </c>
      <c r="W234" s="9">
        <f>Voorblad!$K$77</f>
        <v>2064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311</v>
      </c>
      <c r="Q235" s="83">
        <f>1.8*100</f>
        <v>180</v>
      </c>
      <c r="R235" s="1" t="s">
        <v>101</v>
      </c>
      <c r="S235" s="1">
        <v>-50</v>
      </c>
      <c r="T235" s="14">
        <f t="shared" si="201"/>
        <v>-9000</v>
      </c>
      <c r="U235" s="11">
        <v>1</v>
      </c>
      <c r="V235" s="14">
        <f>Voorblad!F24+100</f>
        <v>2064</v>
      </c>
      <c r="W235" s="9">
        <f>Voorblad!$K$77</f>
        <v>2064</v>
      </c>
      <c r="X235" s="6"/>
      <c r="Y235" s="9">
        <f t="shared" ref="Y235" si="207">SUM(AE235:EB235)</f>
        <v>-3699.8435097103188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-3699.8435097103188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2064</v>
      </c>
      <c r="W236" s="9">
        <f>Voorblad!$K$77</f>
        <v>2064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-25559.5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4B621-839C-4203-9522-52B59E260B0F}"/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2019-12-11T15:20:07Z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